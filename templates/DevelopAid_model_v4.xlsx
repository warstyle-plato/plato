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ROUND(Z88*$K$15,0)</x:f>
      </x:c>
      <x:c r="M88" s="83" t="n">
        <x:f>ROUND(AA88*$K$15,0)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ROUND(Z89*$K$15,0)</x:f>
      </x:c>
      <x:c r="M89" s="83" t="n">
        <x:f>ROUND(AA89*$K$15,0)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ROUND(Z90*$K$15,0)</x:f>
      </x:c>
      <x:c r="M90" s="83" t="n">
        <x:f>ROUND(AA90*$K$15,0)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ROUND(Z91*$K$15,0)</x:f>
      </x:c>
      <x:c r="M91" s="83" t="n">
        <x:f>ROUND(AA91*$K$15,0)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C35" s="92"/>
      <x:c r="D35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$7)^MAX(0,(12*(YEAR(D$3)-YEAR($B$7))+MONTH(D$3)-MONTH($B$7)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$7)^MAX(0,(12*(YEAR(E$3)-YEAR($B$7))+MONTH(E$3)-MONTH($B$7)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$7)^MAX(0,(12*(YEAR(F$3)-YEAR($B$7))+MONTH(F$3)-MONTH($B$7)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$7)^MAX(0,(12*(YEAR(G$3)-YEAR($B$7))+MONTH(G$3)-MONTH($B$7)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$7)^MAX(0,(12*(YEAR(H$3)-YEAR($B$7))+MONTH(H$3)-MONTH($B$7)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$7)^MAX(0,(12*(YEAR(I$3)-YEAR($B$7))+MONTH(I$3)-MONTH($B$7)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$7)^MAX(0,(12*(YEAR(J$3)-YEAR($B$7))+MONTH(J$3)-MONTH($B$7)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$7)^MAX(0,(12*(YEAR(K$3)-YEAR($B$7))+MONTH(K$3)-MONTH($B$7)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$7)^MAX(0,(12*(YEAR(L$3)-YEAR($B$7))+MONTH(L$3)-MONTH($B$7)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$7)^MAX(0,(12*(YEAR(M$3)-YEAR($B$7))+MONTH(M$3)-MONTH($B$7)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$7)^MAX(0,(12*(YEAR(N$3)-YEAR($B$7))+MONTH(N$3)-MONTH($B$7)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$7)^MAX(0,(12*(YEAR(O$3)-YEAR($B$7))+MONTH(O$3)-MONTH($B$7)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$7)^MAX(0,(12*(YEAR(P$3)-YEAR($B$7))+MONTH(P$3)-MONTH($B$7)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$7)^MAX(0,(12*(YEAR(Q$3)-YEAR($B$7))+MONTH(Q$3)-MONTH($B$7)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$7)^MAX(0,(12*(YEAR(R$3)-YEAR($B$7))+MONTH(R$3)-MONTH($B$7)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$7)^MAX(0,(12*(YEAR(S$3)-YEAR($B$7))+MONTH(S$3)-MONTH($B$7)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$7)^MAX(0,(12*(YEAR(T$3)-YEAR($B$7))+MONTH(T$3)-MONTH($B$7)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$7)^MAX(0,(12*(YEAR(U$3)-YEAR($B$7))+MONTH(U$3)-MONTH($B$7)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$7)^MAX(0,(12*(YEAR(V$3)-YEAR($B$7))+MONTH(V$3)-MONTH($B$7)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$7)^MAX(0,(12*(YEAR(W$3)-YEAR($B$7))+MONTH(W$3)-MONTH($B$7)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$7)^MAX(0,(12*(YEAR(X$3)-YEAR($B$7))+MONTH(X$3)-MONTH($B$7)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$7)^MAX(0,(12*(YEAR(Y$3)-YEAR($B$7))+MONTH(Y$3)-MONTH($B$7)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$7)^MAX(0,(12*(YEAR(Z$3)-YEAR($B$7))+MONTH(Z$3)-MONTH($B$7)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$7)^MAX(0,(12*(YEAR(AA$3)-YEAR($B$7))+MONTH(AA$3)-MONTH($B$7)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$7)^MAX(0,(12*(YEAR(AB$3)-YEAR($B$7))+MONTH(AB$3)-MONTH($B$7)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$7)^MAX(0,(12*(YEAR(AC$3)-YEAR($B$7))+MONTH(AC$3)-MONTH($B$7)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$7)^MAX(0,(12*(YEAR(AD$3)-YEAR($B$7))+MONTH(AD$3)-MONTH($B$7)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$7)^MAX(0,(12*(YEAR(AE$3)-YEAR($B$7))+MONTH(AE$3)-MONTH($B$7)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$7)^MAX(0,(12*(YEAR(AF$3)-YEAR($B$7))+MONTH(AF$3)-MONTH($B$7)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$7)^MAX(0,(12*(YEAR(AG$3)-YEAR($B$7))+MONTH(AG$3)-MONTH($B$7)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$7)^MAX(0,(12*(YEAR(AH$3)-YEAR($B$7))+MONTH(AH$3)-MONTH($B$7)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$7)^MAX(0,(12*(YEAR(AI$3)-YEAR($B$7))+MONTH(AI$3)-MONTH($B$7)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$7)^MAX(0,(12*(YEAR(AJ$3)-YEAR($B$7))+MONTH(AJ$3)-MONTH($B$7)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$7)^MAX(0,(12*(YEAR(AK$3)-YEAR($B$7))+MONTH(AK$3)-MONTH($B$7)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$7)^MAX(0,(12*(YEAR(AL$3)-YEAR($B$7))+MONTH(AL$3)-MONTH($B$7)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$7)^MAX(0,(12*(YEAR(AM$3)-YEAR($B$7))+MONTH(AM$3)-MONTH($B$7)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$7)^MAX(0,(12*(YEAR(AN$3)-YEAR($B$7))+MONTH(AN$3)-MONTH($B$7)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$7)^MAX(0,(12*(YEAR(AO$3)-YEAR($B$7))+MONTH(AO$3)-MONTH($B$7)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$7)^MAX(0,(12*(YEAR(AP$3)-YEAR($B$7))+MONTH(AP$3)-MONTH($B$7)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$7)^MAX(0,(12*(YEAR(AQ$3)-YEAR($B$7))+MONTH(AQ$3)-MONTH($B$7)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$7)^MAX(0,(12*(YEAR(AR$3)-YEAR($B$7))+MONTH(AR$3)-MONTH($B$7)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$7)^MAX(0,(12*(YEAR(AS$3)-YEAR($B$7))+MONTH(AS$3)-MONTH($B$7)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$7)^MAX(0,(12*(YEAR(AT$3)-YEAR($B$7))+MONTH(AT$3)-MONTH($B$7)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$7)^MAX(0,(12*(YEAR(AU$3)-YEAR($B$7))+MONTH(AU$3)-MONTH($B$7)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$7)^MAX(0,(12*(YEAR(AV$3)-YEAR($B$7))+MONTH(AV$3)-MONTH($B$7)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$7)^MAX(0,(12*(YEAR(AW$3)-YEAR($B$7))+MONTH(AW$3)-MONTH($B$7)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$7)^MAX(0,(12*(YEAR(AX$3)-YEAR($B$7))+MONTH(AX$3)-MONTH($B$7)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$7)^MAX(0,(12*(YEAR(AY$3)-YEAR($B$7))+MONTH(AY$3)-MONTH($B$7)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$7)^MAX(0,(12*(YEAR(AZ$3)-YEAR($B$7))+MONTH(AZ$3)-MONTH($B$7)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$7)^MAX(0,(12*(YEAR(BA$3)-YEAR($B$7))+MONTH(BA$3)-MONTH($B$7)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$7)^MAX(0,(12*(YEAR(BB$3)-YEAR($B$7))+MONTH(BB$3)-MONTH($B$7)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$7)^MAX(0,(12*(YEAR(BC$3)-YEAR($B$7))+MONTH(BC$3)-MONTH($B$7)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$7)^MAX(0,(12*(YEAR(BD$3)-YEAR($B$7))+MONTH(BD$3)-MONTH($B$7)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$7)^MAX(0,(12*(YEAR(BE$3)-YEAR($B$7))+MONTH(BE$3)-MONTH($B$7)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$7)^MAX(0,(12*(YEAR(BF$3)-YEAR($B$7))+MONTH(BF$3)-MONTH($B$7)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$7)^MAX(0,(12*(YEAR(BG$3)-YEAR($B$7))+MONTH(BG$3)-MONTH($B$7)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$7)^MAX(0,(12*(YEAR(BH$3)-YEAR($B$7))+MONTH(BH$3)-MONTH($B$7)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$7)^MAX(0,(12*(YEAR(BI$3)-YEAR($B$7))+MONTH(BI$3)-MONTH($B$7)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$7)^MAX(0,(12*(YEAR(BJ$3)-YEAR($B$7))+MONTH(BJ$3)-MONTH($B$7)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$7)^MAX(0,(12*(YEAR(BK$3)-YEAR($B$7))+MONTH(BK$3)-MONTH($B$7)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$7)^MAX(0,(12*(YEAR(BL$3)-YEAR($B$7))+MONTH(BL$3)-MONTH($B$7)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$7)^MAX(0,(12*(YEAR(BM$3)-YEAR($B$7))+MONTH(BM$3)-MONTH($B$7)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$7)^MAX(0,(12*(YEAR(BN$3)-YEAR($B$7))+MONTH(BN$3)-MONTH($B$7)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$7)^MAX(0,(12*(YEAR(BO$3)-YEAR($B$7))+MONTH(BO$3)-MONTH($B$7)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$7)^MAX(0,(12*(YEAR(BP$3)-YEAR($B$7))+MONTH(BP$3)-MONTH($B$7)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$7)^MAX(0,(12*(YEAR(BQ$3)-YEAR($B$7))+MONTH(BQ$3)-MONTH($B$7)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$7)^MAX(0,(12*(YEAR(BR$3)-YEAR($B$7))+MONTH(BR$3)-MONTH($B$7)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$7)^MAX(0,(12*(YEAR(BS$3)-YEAR($B$7))+MONTH(BS$3)-MONTH($B$7)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$7)^MAX(0,(12*(YEAR(BT$3)-YEAR($B$7))+MONTH(BT$3)-MONTH($B$7)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$7)^MAX(0,(12*(YEAR(BU$3)-YEAR($B$7))+MONTH(BU$3)-MONTH($B$7)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$7)^MAX(0,(12*(YEAR(BV$3)-YEAR($B$7))+MONTH(BV$3)-MONTH($B$7)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$7)^MAX(0,(12*(YEAR(BW$3)-YEAR($B$7))+MONTH(BW$3)-MONTH($B$7)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$7)^MAX(0,(12*(YEAR(BX$3)-YEAR($B$7))+MONTH(BX$3)-MONTH($B$7)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$7)^MAX(0,(12*(YEAR(BY$3)-YEAR($B$7))+MONTH(BY$3)-MONTH($B$7)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$7)^MAX(0,(12*(YEAR(BZ$3)-YEAR($B$7))+MONTH(BZ$3)-MONTH($B$7)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$7)^MAX(0,(12*(YEAR(CA$3)-YEAR($B$7))+MONTH(CA$3)-MONTH($B$7)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$7)^MAX(0,(12*(YEAR(CB$3)-YEAR($B$7))+MONTH(CB$3)-MONTH($B$7)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$7)^MAX(0,(12*(YEAR(CC$3)-YEAR($B$7))+MONTH(CC$3)-MONTH($B$7)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$7)^MAX(0,(12*(YEAR(CD$3)-YEAR($B$7))+MONTH(CD$3)-MONTH($B$7)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$7)^MAX(0,(12*(YEAR(CE$3)-YEAR($B$7))+MONTH(CE$3)-MONTH($B$7)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$7)^MAX(0,(12*(YEAR(CF$3)-YEAR($B$7))+MONTH(CF$3)-MONTH($B$7)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$7)^MAX(0,(12*(YEAR(CG$3)-YEAR($B$7))+MONTH(CG$3)-MONTH($B$7)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$7)^MAX(0,(12*(YEAR(CH$3)-YEAR($B$7))+MONTH(CH$3)-MONTH($B$7)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$7)^MAX(0,(12*(YEAR(CI$3)-YEAR($B$7))+MONTH(CI$3)-MONTH($B$7)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$7)^MAX(0,(12*(YEAR(CJ$3)-YEAR($B$7))+MONTH(CJ$3)-MONTH($B$7)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$7)^MAX(0,(12*(YEAR(CK$3)-YEAR($B$7))+MONTH(CK$3)-MONTH($B$7)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$7)^MAX(0,(12*(YEAR(CL$3)-YEAR($B$7))+MONTH(CL$3)-MONTH($B$7)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$7)^MAX(0,(12*(YEAR(CM$3)-YEAR($B$7))+MONTH(CM$3)-MONTH($B$7)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$7)^MAX(0,(12*(YEAR(CN$3)-YEAR($B$7))+MONTH(CN$3)-MONTH($B$7)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$7)^MAX(0,(12*(YEAR(CO$3)-YEAR($B$7))+MONTH(CO$3)-MONTH($B$7)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$7)^MAX(0,(12*(YEAR(CP$3)-YEAR($B$7))+MONTH(CP$3)-MONTH($B$7)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$7)^MAX(0,(12*(YEAR(CQ$3)-YEAR($B$7))+MONTH(CQ$3)-MONTH($B$7)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$7)^MAX(0,(12*(YEAR(CR$3)-YEAR($B$7))+MONTH(CR$3)-MONTH($B$7)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$7)^MAX(0,(12*(YEAR(CS$3)-YEAR($B$7))+MONTH(CS$3)-MONTH($B$7)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$7)^MAX(0,(12*(YEAR(CT$3)-YEAR($B$7))+MONTH(CT$3)-MONTH($B$7)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$7)^MAX(0,(12*(YEAR(CU$3)-YEAR($B$7))+MONTH(CU$3)-MONTH($B$7)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$7)^MAX(0,(12*(YEAR(CV$3)-YEAR($B$7))+MONTH(CV$3)-MONTH($B$7)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$7)^MAX(0,(12*(YEAR(CW$3)-YEAR($B$7))+MONTH(CW$3)-MONTH($B$7)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$7)^MAX(0,(12*(YEAR(CX$3)-YEAR($B$7))+MONTH(CX$3)-MONTH($B$7)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$7)^MAX(0,(12*(YEAR(CY$3)-YEAR($B$7))+MONTH(CY$3)-MONTH($B$7)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$7)^MAX(0,(12*(YEAR(CZ$3)-YEAR($B$7))+MONTH(CZ$3)-MONTH($B$7)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$7)^MAX(0,(12*(YEAR(DA$3)-YEAR($B$7))+MONTH(DA$3)-MONTH($B$7)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$7)^MAX(0,(12*(YEAR(DB$3)-YEAR($B$7))+MONTH(DB$3)-MONTH($B$7)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$7)^MAX(0,(12*(YEAR(DC$3)-YEAR($B$7))+MONTH(DC$3)-MONTH($B$7)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$7)^MAX(0,(12*(YEAR(DD$3)-YEAR($B$7))+MONTH(DD$3)-MONTH($B$7)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$7)^MAX(0,(12*(YEAR(DE$3)-YEAR($B$7))+MONTH(DE$3)-MONTH($B$7)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$7)^MAX(0,(12*(YEAR(DF$3)-YEAR($B$7))+MONTH(DF$3)-MONTH($B$7)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$7)^MAX(0,(12*(YEAR(DG$3)-YEAR($B$7))+MONTH(DG$3)-MONTH($B$7)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$7)^MAX(0,(12*(YEAR(DH$3)-YEAR($B$7))+MONTH(DH$3)-MONTH($B$7)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$7)^MAX(0,(12*(YEAR(DI$3)-YEAR($B$7))+MONTH(DI$3)-MONTH($B$7)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$7)^MAX(0,(12*(YEAR(DJ$3)-YEAR($B$7))+MONTH(DJ$3)-MONTH($B$7)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$7)^MAX(0,(12*(YEAR(DK$3)-YEAR($B$7))+MONTH(DK$3)-MONTH($B$7)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$7)^MAX(0,(12*(YEAR(DL$3)-YEAR($B$7))+MONTH(DL$3)-MONTH($B$7)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$7)^MAX(0,(12*(YEAR(DM$3)-YEAR($B$7))+MONTH(DM$3)-MONTH($B$7)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$7)^MAX(0,(12*(YEAR(DN$3)-YEAR($B$7))+MONTH(DN$3)-MONTH($B$7)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$7)^MAX(0,(12*(YEAR(DO$3)-YEAR($B$7))+MONTH(DO$3)-MONTH($B$7)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$7)^MAX(0,(12*(YEAR(DP$3)-YEAR($B$7))+MONTH(DP$3)-MONTH($B$7)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$7)^MAX(0,(12*(YEAR(DQ$3)-YEAR($B$7))+MONTH(DQ$3)-MONTH($B$7)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$7)^MAX(0,(12*(YEAR(DR$3)-YEAR($B$7))+MONTH(DR$3)-MONTH($B$7)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$7)^MAX(0,(12*(YEAR(DS$3)-YEAR($B$7))+MONTH(DS$3)-MONTH($B$7)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$7)^MAX(0,(12*(YEAR(D$3)-YEAR($B$30))+MONTH(D$3)-MONTH($B$30)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$7)^MAX(0,(12*(YEAR(E$3)-YEAR($B$30))+MONTH(E$3)-MONTH($B$30)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$7)^MAX(0,(12*(YEAR(F$3)-YEAR($B$30))+MONTH(F$3)-MONTH($B$30)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$7)^MAX(0,(12*(YEAR(G$3)-YEAR($B$30))+MONTH(G$3)-MONTH($B$30)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$7)^MAX(0,(12*(YEAR(H$3)-YEAR($B$30))+MONTH(H$3)-MONTH($B$30)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$7)^MAX(0,(12*(YEAR(I$3)-YEAR($B$30))+MONTH(I$3)-MONTH($B$30)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$7)^MAX(0,(12*(YEAR(J$3)-YEAR($B$30))+MONTH(J$3)-MONTH($B$30)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$7)^MAX(0,(12*(YEAR(K$3)-YEAR($B$30))+MONTH(K$3)-MONTH($B$30)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$7)^MAX(0,(12*(YEAR(L$3)-YEAR($B$30))+MONTH(L$3)-MONTH($B$30)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$7)^MAX(0,(12*(YEAR(M$3)-YEAR($B$30))+MONTH(M$3)-MONTH($B$30)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$7)^MAX(0,(12*(YEAR(N$3)-YEAR($B$30))+MONTH(N$3)-MONTH($B$30)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$7)^MAX(0,(12*(YEAR(O$3)-YEAR($B$30))+MONTH(O$3)-MONTH($B$30)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$7)^MAX(0,(12*(YEAR(P$3)-YEAR($B$30))+MONTH(P$3)-MONTH($B$30)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$7)^MAX(0,(12*(YEAR(Q$3)-YEAR($B$30))+MONTH(Q$3)-MONTH($B$30)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$7)^MAX(0,(12*(YEAR(R$3)-YEAR($B$30))+MONTH(R$3)-MONTH($B$30)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$7)^MAX(0,(12*(YEAR(S$3)-YEAR($B$30))+MONTH(S$3)-MONTH($B$30)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$7)^MAX(0,(12*(YEAR(T$3)-YEAR($B$30))+MONTH(T$3)-MONTH($B$30)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$7)^MAX(0,(12*(YEAR(U$3)-YEAR($B$30))+MONTH(U$3)-MONTH($B$30)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$7)^MAX(0,(12*(YEAR(V$3)-YEAR($B$30))+MONTH(V$3)-MONTH($B$30)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$7)^MAX(0,(12*(YEAR(W$3)-YEAR($B$30))+MONTH(W$3)-MONTH($B$30)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$7)^MAX(0,(12*(YEAR(X$3)-YEAR($B$30))+MONTH(X$3)-MONTH($B$30)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$7)^MAX(0,(12*(YEAR(Y$3)-YEAR($B$30))+MONTH(Y$3)-MONTH($B$30)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$7)^MAX(0,(12*(YEAR(Z$3)-YEAR($B$30))+MONTH(Z$3)-MONTH($B$30)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$7)^MAX(0,(12*(YEAR(AA$3)-YEAR($B$30))+MONTH(AA$3)-MONTH($B$30)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$7)^MAX(0,(12*(YEAR(AB$3)-YEAR($B$30))+MONTH(AB$3)-MONTH($B$30)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$7)^MAX(0,(12*(YEAR(AC$3)-YEAR($B$30))+MONTH(AC$3)-MONTH($B$30)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$7)^MAX(0,(12*(YEAR(AD$3)-YEAR($B$30))+MONTH(AD$3)-MONTH($B$30)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$7)^MAX(0,(12*(YEAR(AE$3)-YEAR($B$30))+MONTH(AE$3)-MONTH($B$30)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$7)^MAX(0,(12*(YEAR(AF$3)-YEAR($B$30))+MONTH(AF$3)-MONTH($B$30)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$7)^MAX(0,(12*(YEAR(AG$3)-YEAR($B$30))+MONTH(AG$3)-MONTH($B$30)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$7)^MAX(0,(12*(YEAR(AH$3)-YEAR($B$30))+MONTH(AH$3)-MONTH($B$30)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$7)^MAX(0,(12*(YEAR(AI$3)-YEAR($B$30))+MONTH(AI$3)-MONTH($B$30)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$7)^MAX(0,(12*(YEAR(AJ$3)-YEAR($B$30))+MONTH(AJ$3)-MONTH($B$30)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$7)^MAX(0,(12*(YEAR(AK$3)-YEAR($B$30))+MONTH(AK$3)-MONTH($B$30)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$7)^MAX(0,(12*(YEAR(AL$3)-YEAR($B$30))+MONTH(AL$3)-MONTH($B$30)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$7)^MAX(0,(12*(YEAR(AM$3)-YEAR($B$30))+MONTH(AM$3)-MONTH($B$30)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$7)^MAX(0,(12*(YEAR(AN$3)-YEAR($B$30))+MONTH(AN$3)-MONTH($B$30)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$7)^MAX(0,(12*(YEAR(AO$3)-YEAR($B$30))+MONTH(AO$3)-MONTH($B$30)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$7)^MAX(0,(12*(YEAR(AP$3)-YEAR($B$30))+MONTH(AP$3)-MONTH($B$30)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$7)^MAX(0,(12*(YEAR(AQ$3)-YEAR($B$30))+MONTH(AQ$3)-MONTH($B$30)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$7)^MAX(0,(12*(YEAR(AR$3)-YEAR($B$30))+MONTH(AR$3)-MONTH($B$30)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$7)^MAX(0,(12*(YEAR(AS$3)-YEAR($B$30))+MONTH(AS$3)-MONTH($B$30)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$7)^MAX(0,(12*(YEAR(AT$3)-YEAR($B$30))+MONTH(AT$3)-MONTH($B$30)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$7)^MAX(0,(12*(YEAR(AU$3)-YEAR($B$30))+MONTH(AU$3)-MONTH($B$30)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$7)^MAX(0,(12*(YEAR(AV$3)-YEAR($B$30))+MONTH(AV$3)-MONTH($B$30)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$7)^MAX(0,(12*(YEAR(AW$3)-YEAR($B$30))+MONTH(AW$3)-MONTH($B$30)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$7)^MAX(0,(12*(YEAR(AX$3)-YEAR($B$30))+MONTH(AX$3)-MONTH($B$30)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$7)^MAX(0,(12*(YEAR(AY$3)-YEAR($B$30))+MONTH(AY$3)-MONTH($B$30)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$7)^MAX(0,(12*(YEAR(AZ$3)-YEAR($B$30))+MONTH(AZ$3)-MONTH($B$30)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$7)^MAX(0,(12*(YEAR(BA$3)-YEAR($B$30))+MONTH(BA$3)-MONTH($B$30)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$7)^MAX(0,(12*(YEAR(BB$3)-YEAR($B$30))+MONTH(BB$3)-MONTH($B$30)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$7)^MAX(0,(12*(YEAR(BC$3)-YEAR($B$30))+MONTH(BC$3)-MONTH($B$30)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$7)^MAX(0,(12*(YEAR(BD$3)-YEAR($B$30))+MONTH(BD$3)-MONTH($B$30)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$7)^MAX(0,(12*(YEAR(BE$3)-YEAR($B$30))+MONTH(BE$3)-MONTH($B$30)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$7)^MAX(0,(12*(YEAR(BF$3)-YEAR($B$30))+MONTH(BF$3)-MONTH($B$30)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$7)^MAX(0,(12*(YEAR(BG$3)-YEAR($B$30))+MONTH(BG$3)-MONTH($B$30)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$7)^MAX(0,(12*(YEAR(BH$3)-YEAR($B$30))+MONTH(BH$3)-MONTH($B$30)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$7)^MAX(0,(12*(YEAR(BI$3)-YEAR($B$30))+MONTH(BI$3)-MONTH($B$30)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$7)^MAX(0,(12*(YEAR(BJ$3)-YEAR($B$30))+MONTH(BJ$3)-MONTH($B$30)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$7)^MAX(0,(12*(YEAR(BK$3)-YEAR($B$30))+MONTH(BK$3)-MONTH($B$30)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$7)^MAX(0,(12*(YEAR(BL$3)-YEAR($B$30))+MONTH(BL$3)-MONTH($B$30)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$7)^MAX(0,(12*(YEAR(BM$3)-YEAR($B$30))+MONTH(BM$3)-MONTH($B$30)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$7)^MAX(0,(12*(YEAR(BN$3)-YEAR($B$30))+MONTH(BN$3)-MONTH($B$30)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$7)^MAX(0,(12*(YEAR(BO$3)-YEAR($B$30))+MONTH(BO$3)-MONTH($B$30)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$7)^MAX(0,(12*(YEAR(BP$3)-YEAR($B$30))+MONTH(BP$3)-MONTH($B$30)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$7)^MAX(0,(12*(YEAR(BQ$3)-YEAR($B$30))+MONTH(BQ$3)-MONTH($B$30)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$7)^MAX(0,(12*(YEAR(BR$3)-YEAR($B$30))+MONTH(BR$3)-MONTH($B$30)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$7)^MAX(0,(12*(YEAR(BS$3)-YEAR($B$30))+MONTH(BS$3)-MONTH($B$30)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$7)^MAX(0,(12*(YEAR(BT$3)-YEAR($B$30))+MONTH(BT$3)-MONTH($B$30)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$7)^MAX(0,(12*(YEAR(BU$3)-YEAR($B$30))+MONTH(BU$3)-MONTH($B$30)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$7)^MAX(0,(12*(YEAR(BV$3)-YEAR($B$30))+MONTH(BV$3)-MONTH($B$30)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$7)^MAX(0,(12*(YEAR(BW$3)-YEAR($B$30))+MONTH(BW$3)-MONTH($B$30)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$7)^MAX(0,(12*(YEAR(BX$3)-YEAR($B$30))+MONTH(BX$3)-MONTH($B$30)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$7)^MAX(0,(12*(YEAR(BY$3)-YEAR($B$30))+MONTH(BY$3)-MONTH($B$30)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$7)^MAX(0,(12*(YEAR(BZ$3)-YEAR($B$30))+MONTH(BZ$3)-MONTH($B$30)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$7)^MAX(0,(12*(YEAR(CA$3)-YEAR($B$30))+MONTH(CA$3)-MONTH($B$30)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$7)^MAX(0,(12*(YEAR(CB$3)-YEAR($B$30))+MONTH(CB$3)-MONTH($B$30)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$7)^MAX(0,(12*(YEAR(CC$3)-YEAR($B$30))+MONTH(CC$3)-MONTH($B$30)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$7)^MAX(0,(12*(YEAR(CD$3)-YEAR($B$30))+MONTH(CD$3)-MONTH($B$30)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$7)^MAX(0,(12*(YEAR(CE$3)-YEAR($B$30))+MONTH(CE$3)-MONTH($B$30)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$7)^MAX(0,(12*(YEAR(CF$3)-YEAR($B$30))+MONTH(CF$3)-MONTH($B$30)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$7)^MAX(0,(12*(YEAR(CG$3)-YEAR($B$30))+MONTH(CG$3)-MONTH($B$30)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$7)^MAX(0,(12*(YEAR(CH$3)-YEAR($B$30))+MONTH(CH$3)-MONTH($B$30)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$7)^MAX(0,(12*(YEAR(CI$3)-YEAR($B$30))+MONTH(CI$3)-MONTH($B$30)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$7)^MAX(0,(12*(YEAR(CJ$3)-YEAR($B$30))+MONTH(CJ$3)-MONTH($B$30)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$7)^MAX(0,(12*(YEAR(CK$3)-YEAR($B$30))+MONTH(CK$3)-MONTH($B$30)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$7)^MAX(0,(12*(YEAR(CL$3)-YEAR($B$30))+MONTH(CL$3)-MONTH($B$30)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$7)^MAX(0,(12*(YEAR(CM$3)-YEAR($B$30))+MONTH(CM$3)-MONTH($B$30)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$7)^MAX(0,(12*(YEAR(CN$3)-YEAR($B$30))+MONTH(CN$3)-MONTH($B$30)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$7)^MAX(0,(12*(YEAR(CO$3)-YEAR($B$30))+MONTH(CO$3)-MONTH($B$30)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$7)^MAX(0,(12*(YEAR(CP$3)-YEAR($B$30))+MONTH(CP$3)-MONTH($B$30)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$7)^MAX(0,(12*(YEAR(CQ$3)-YEAR($B$30))+MONTH(CQ$3)-MONTH($B$30)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$7)^MAX(0,(12*(YEAR(CR$3)-YEAR($B$30))+MONTH(CR$3)-MONTH($B$30)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$7)^MAX(0,(12*(YEAR(CS$3)-YEAR($B$30))+MONTH(CS$3)-MONTH($B$30)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$7)^MAX(0,(12*(YEAR(CT$3)-YEAR($B$30))+MONTH(CT$3)-MONTH($B$30)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$7)^MAX(0,(12*(YEAR(CU$3)-YEAR($B$30))+MONTH(CU$3)-MONTH($B$30)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$7)^MAX(0,(12*(YEAR(CV$3)-YEAR($B$30))+MONTH(CV$3)-MONTH($B$30)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$7)^MAX(0,(12*(YEAR(CW$3)-YEAR($B$30))+MONTH(CW$3)-MONTH($B$30)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$7)^MAX(0,(12*(YEAR(CX$3)-YEAR($B$30))+MONTH(CX$3)-MONTH($B$30)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$7)^MAX(0,(12*(YEAR(CY$3)-YEAR($B$30))+MONTH(CY$3)-MONTH($B$30)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$7)^MAX(0,(12*(YEAR(CZ$3)-YEAR($B$30))+MONTH(CZ$3)-MONTH($B$30)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$7)^MAX(0,(12*(YEAR(DA$3)-YEAR($B$30))+MONTH(DA$3)-MONTH($B$30)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$7)^MAX(0,(12*(YEAR(DB$3)-YEAR($B$30))+MONTH(DB$3)-MONTH($B$30)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$7)^MAX(0,(12*(YEAR(DC$3)-YEAR($B$30))+MONTH(DC$3)-MONTH($B$30)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$7)^MAX(0,(12*(YEAR(DD$3)-YEAR($B$30))+MONTH(DD$3)-MONTH($B$30)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$7)^MAX(0,(12*(YEAR(DE$3)-YEAR($B$30))+MONTH(DE$3)-MONTH($B$30)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$7)^MAX(0,(12*(YEAR(DF$3)-YEAR($B$30))+MONTH(DF$3)-MONTH($B$30)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$7)^MAX(0,(12*(YEAR(DG$3)-YEAR($B$30))+MONTH(DG$3)-MONTH($B$30)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$7)^MAX(0,(12*(YEAR(DH$3)-YEAR($B$30))+MONTH(DH$3)-MONTH($B$30)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$7)^MAX(0,(12*(YEAR(DI$3)-YEAR($B$30))+MONTH(DI$3)-MONTH($B$30)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$7)^MAX(0,(12*(YEAR(DJ$3)-YEAR($B$30))+MONTH(DJ$3)-MONTH($B$30)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$7)^MAX(0,(12*(YEAR(DK$3)-YEAR($B$30))+MONTH(DK$3)-MONTH($B$30)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$7)^MAX(0,(12*(YEAR(DL$3)-YEAR($B$30))+MONTH(DL$3)-MONTH($B$30)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$7)^MAX(0,(12*(YEAR(DM$3)-YEAR($B$30))+MONTH(DM$3)-MONTH($B$30)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$7)^MAX(0,(12*(YEAR(DN$3)-YEAR($B$30))+MONTH(DN$3)-MONTH($B$30)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$7)^MAX(0,(12*(YEAR(DO$3)-YEAR($B$30))+MONTH(DO$3)-MONTH($B$30)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$7)^MAX(0,(12*(YEAR(DP$3)-YEAR($B$30))+MONTH(DP$3)-MONTH($B$30)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$7)^MAX(0,(12*(YEAR(DQ$3)-YEAR($B$30))+MONTH(DQ$3)-MONTH($B$30)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$7)^MAX(0,(12*(YEAR(DR$3)-YEAR($B$30))+MONTH(DR$3)-MONTH($B$30)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$7)^MAX(0,(12*(YEAR(DS$3)-YEAR($B$30))+MONTH(DS$3)-MONTH($B$30)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$7)^MAX(0,(12*(YEAR(D$3)-YEAR($B$53))+MONTH(D$3)-MONTH($B$53)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$7)^MAX(0,(12*(YEAR(E$3)-YEAR($B$53))+MONTH(E$3)-MONTH($B$53)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$7)^MAX(0,(12*(YEAR(F$3)-YEAR($B$53))+MONTH(F$3)-MONTH($B$53)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$7)^MAX(0,(12*(YEAR(G$3)-YEAR($B$53))+MONTH(G$3)-MONTH($B$53)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$7)^MAX(0,(12*(YEAR(H$3)-YEAR($B$53))+MONTH(H$3)-MONTH($B$53)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$7)^MAX(0,(12*(YEAR(I$3)-YEAR($B$53))+MONTH(I$3)-MONTH($B$53)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$7)^MAX(0,(12*(YEAR(J$3)-YEAR($B$53))+MONTH(J$3)-MONTH($B$53)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$7)^MAX(0,(12*(YEAR(K$3)-YEAR($B$53))+MONTH(K$3)-MONTH($B$53)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$7)^MAX(0,(12*(YEAR(L$3)-YEAR($B$53))+MONTH(L$3)-MONTH($B$53)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$7)^MAX(0,(12*(YEAR(M$3)-YEAR($B$53))+MONTH(M$3)-MONTH($B$53)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$7)^MAX(0,(12*(YEAR(N$3)-YEAR($B$53))+MONTH(N$3)-MONTH($B$53)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$7)^MAX(0,(12*(YEAR(O$3)-YEAR($B$53))+MONTH(O$3)-MONTH($B$53)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$7)^MAX(0,(12*(YEAR(P$3)-YEAR($B$53))+MONTH(P$3)-MONTH($B$53)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$7)^MAX(0,(12*(YEAR(Q$3)-YEAR($B$53))+MONTH(Q$3)-MONTH($B$53)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$7)^MAX(0,(12*(YEAR(R$3)-YEAR($B$53))+MONTH(R$3)-MONTH($B$53)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$7)^MAX(0,(12*(YEAR(S$3)-YEAR($B$53))+MONTH(S$3)-MONTH($B$53)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$7)^MAX(0,(12*(YEAR(T$3)-YEAR($B$53))+MONTH(T$3)-MONTH($B$53)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$7)^MAX(0,(12*(YEAR(U$3)-YEAR($B$53))+MONTH(U$3)-MONTH($B$53)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$7)^MAX(0,(12*(YEAR(V$3)-YEAR($B$53))+MONTH(V$3)-MONTH($B$53)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$7)^MAX(0,(12*(YEAR(W$3)-YEAR($B$53))+MONTH(W$3)-MONTH($B$53)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$7)^MAX(0,(12*(YEAR(X$3)-YEAR($B$53))+MONTH(X$3)-MONTH($B$53)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$7)^MAX(0,(12*(YEAR(Y$3)-YEAR($B$53))+MONTH(Y$3)-MONTH($B$53)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$7)^MAX(0,(12*(YEAR(Z$3)-YEAR($B$53))+MONTH(Z$3)-MONTH($B$53)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$7)^MAX(0,(12*(YEAR(AA$3)-YEAR($B$53))+MONTH(AA$3)-MONTH($B$53)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$7)^MAX(0,(12*(YEAR(AB$3)-YEAR($B$53))+MONTH(AB$3)-MONTH($B$53)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$7)^MAX(0,(12*(YEAR(AC$3)-YEAR($B$53))+MONTH(AC$3)-MONTH($B$53)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$7)^MAX(0,(12*(YEAR(AD$3)-YEAR($B$53))+MONTH(AD$3)-MONTH($B$53)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$7)^MAX(0,(12*(YEAR(AE$3)-YEAR($B$53))+MONTH(AE$3)-MONTH($B$53)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$7)^MAX(0,(12*(YEAR(AF$3)-YEAR($B$53))+MONTH(AF$3)-MONTH($B$53)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$7)^MAX(0,(12*(YEAR(AG$3)-YEAR($B$53))+MONTH(AG$3)-MONTH($B$53)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$7)^MAX(0,(12*(YEAR(AH$3)-YEAR($B$53))+MONTH(AH$3)-MONTH($B$53)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$7)^MAX(0,(12*(YEAR(AI$3)-YEAR($B$53))+MONTH(AI$3)-MONTH($B$53)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$7)^MAX(0,(12*(YEAR(AJ$3)-YEAR($B$53))+MONTH(AJ$3)-MONTH($B$53)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$7)^MAX(0,(12*(YEAR(AK$3)-YEAR($B$53))+MONTH(AK$3)-MONTH($B$53)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$7)^MAX(0,(12*(YEAR(AL$3)-YEAR($B$53))+MONTH(AL$3)-MONTH($B$53)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$7)^MAX(0,(12*(YEAR(AM$3)-YEAR($B$53))+MONTH(AM$3)-MONTH($B$53)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$7)^MAX(0,(12*(YEAR(AN$3)-YEAR($B$53))+MONTH(AN$3)-MONTH($B$53)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$7)^MAX(0,(12*(YEAR(AO$3)-YEAR($B$53))+MONTH(AO$3)-MONTH($B$53)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$7)^MAX(0,(12*(YEAR(AP$3)-YEAR($B$53))+MONTH(AP$3)-MONTH($B$53)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$7)^MAX(0,(12*(YEAR(AQ$3)-YEAR($B$53))+MONTH(AQ$3)-MONTH($B$53)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$7)^MAX(0,(12*(YEAR(AR$3)-YEAR($B$53))+MONTH(AR$3)-MONTH($B$53)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$7)^MAX(0,(12*(YEAR(AS$3)-YEAR($B$53))+MONTH(AS$3)-MONTH($B$53)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$7)^MAX(0,(12*(YEAR(AT$3)-YEAR($B$53))+MONTH(AT$3)-MONTH($B$53)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$7)^MAX(0,(12*(YEAR(AU$3)-YEAR($B$53))+MONTH(AU$3)-MONTH($B$53)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$7)^MAX(0,(12*(YEAR(AV$3)-YEAR($B$53))+MONTH(AV$3)-MONTH($B$53)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$7)^MAX(0,(12*(YEAR(AW$3)-YEAR($B$53))+MONTH(AW$3)-MONTH($B$53)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$7)^MAX(0,(12*(YEAR(AX$3)-YEAR($B$53))+MONTH(AX$3)-MONTH($B$53)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$7)^MAX(0,(12*(YEAR(AY$3)-YEAR($B$53))+MONTH(AY$3)-MONTH($B$53)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$7)^MAX(0,(12*(YEAR(AZ$3)-YEAR($B$53))+MONTH(AZ$3)-MONTH($B$53)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$7)^MAX(0,(12*(YEAR(BA$3)-YEAR($B$53))+MONTH(BA$3)-MONTH($B$53)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$7)^MAX(0,(12*(YEAR(BB$3)-YEAR($B$53))+MONTH(BB$3)-MONTH($B$53)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$7)^MAX(0,(12*(YEAR(BC$3)-YEAR($B$53))+MONTH(BC$3)-MONTH($B$53)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$7)^MAX(0,(12*(YEAR(BD$3)-YEAR($B$53))+MONTH(BD$3)-MONTH($B$53)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$7)^MAX(0,(12*(YEAR(BE$3)-YEAR($B$53))+MONTH(BE$3)-MONTH($B$53)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$7)^MAX(0,(12*(YEAR(BF$3)-YEAR($B$53))+MONTH(BF$3)-MONTH($B$53)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$7)^MAX(0,(12*(YEAR(BG$3)-YEAR($B$53))+MONTH(BG$3)-MONTH($B$53)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$7)^MAX(0,(12*(YEAR(BH$3)-YEAR($B$53))+MONTH(BH$3)-MONTH($B$53)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$7)^MAX(0,(12*(YEAR(BI$3)-YEAR($B$53))+MONTH(BI$3)-MONTH($B$53)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$7)^MAX(0,(12*(YEAR(BJ$3)-YEAR($B$53))+MONTH(BJ$3)-MONTH($B$53)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$7)^MAX(0,(12*(YEAR(BK$3)-YEAR($B$53))+MONTH(BK$3)-MONTH($B$53)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$7)^MAX(0,(12*(YEAR(BL$3)-YEAR($B$53))+MONTH(BL$3)-MONTH($B$53)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$7)^MAX(0,(12*(YEAR(BM$3)-YEAR($B$53))+MONTH(BM$3)-MONTH($B$53)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$7)^MAX(0,(12*(YEAR(BN$3)-YEAR($B$53))+MONTH(BN$3)-MONTH($B$53)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$7)^MAX(0,(12*(YEAR(BO$3)-YEAR($B$53))+MONTH(BO$3)-MONTH($B$53)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$7)^MAX(0,(12*(YEAR(BP$3)-YEAR($B$53))+MONTH(BP$3)-MONTH($B$53)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$7)^MAX(0,(12*(YEAR(BQ$3)-YEAR($B$53))+MONTH(BQ$3)-MONTH($B$53)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$7)^MAX(0,(12*(YEAR(BR$3)-YEAR($B$53))+MONTH(BR$3)-MONTH($B$53)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$7)^MAX(0,(12*(YEAR(BS$3)-YEAR($B$53))+MONTH(BS$3)-MONTH($B$53)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$7)^MAX(0,(12*(YEAR(BT$3)-YEAR($B$53))+MONTH(BT$3)-MONTH($B$53)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$7)^MAX(0,(12*(YEAR(BU$3)-YEAR($B$53))+MONTH(BU$3)-MONTH($B$53)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$7)^MAX(0,(12*(YEAR(BV$3)-YEAR($B$53))+MONTH(BV$3)-MONTH($B$53)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$7)^MAX(0,(12*(YEAR(BW$3)-YEAR($B$53))+MONTH(BW$3)-MONTH($B$53)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$7)^MAX(0,(12*(YEAR(BX$3)-YEAR($B$53))+MONTH(BX$3)-MONTH($B$53)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$7)^MAX(0,(12*(YEAR(BY$3)-YEAR($B$53))+MONTH(BY$3)-MONTH($B$53)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$7)^MAX(0,(12*(YEAR(BZ$3)-YEAR($B$53))+MONTH(BZ$3)-MONTH($B$53)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$7)^MAX(0,(12*(YEAR(CA$3)-YEAR($B$53))+MONTH(CA$3)-MONTH($B$53)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$7)^MAX(0,(12*(YEAR(CB$3)-YEAR($B$53))+MONTH(CB$3)-MONTH($B$53)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$7)^MAX(0,(12*(YEAR(CC$3)-YEAR($B$53))+MONTH(CC$3)-MONTH($B$53)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$7)^MAX(0,(12*(YEAR(CD$3)-YEAR($B$53))+MONTH(CD$3)-MONTH($B$53)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$7)^MAX(0,(12*(YEAR(CE$3)-YEAR($B$53))+MONTH(CE$3)-MONTH($B$53)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$7)^MAX(0,(12*(YEAR(CF$3)-YEAR($B$53))+MONTH(CF$3)-MONTH($B$53)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$7)^MAX(0,(12*(YEAR(CG$3)-YEAR($B$53))+MONTH(CG$3)-MONTH($B$53)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$7)^MAX(0,(12*(YEAR(CH$3)-YEAR($B$53))+MONTH(CH$3)-MONTH($B$53)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$7)^MAX(0,(12*(YEAR(CI$3)-YEAR($B$53))+MONTH(CI$3)-MONTH($B$53)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$7)^MAX(0,(12*(YEAR(CJ$3)-YEAR($B$53))+MONTH(CJ$3)-MONTH($B$53)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$7)^MAX(0,(12*(YEAR(CK$3)-YEAR($B$53))+MONTH(CK$3)-MONTH($B$53)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$7)^MAX(0,(12*(YEAR(CL$3)-YEAR($B$53))+MONTH(CL$3)-MONTH($B$53)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$7)^MAX(0,(12*(YEAR(CM$3)-YEAR($B$53))+MONTH(CM$3)-MONTH($B$53)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$7)^MAX(0,(12*(YEAR(CN$3)-YEAR($B$53))+MONTH(CN$3)-MONTH($B$53)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$7)^MAX(0,(12*(YEAR(CO$3)-YEAR($B$53))+MONTH(CO$3)-MONTH($B$53)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$7)^MAX(0,(12*(YEAR(CP$3)-YEAR($B$53))+MONTH(CP$3)-MONTH($B$53)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$7)^MAX(0,(12*(YEAR(CQ$3)-YEAR($B$53))+MONTH(CQ$3)-MONTH($B$53)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$7)^MAX(0,(12*(YEAR(CR$3)-YEAR($B$53))+MONTH(CR$3)-MONTH($B$53)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$7)^MAX(0,(12*(YEAR(CS$3)-YEAR($B$53))+MONTH(CS$3)-MONTH($B$53)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$7)^MAX(0,(12*(YEAR(CT$3)-YEAR($B$53))+MONTH(CT$3)-MONTH($B$53)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$7)^MAX(0,(12*(YEAR(CU$3)-YEAR($B$53))+MONTH(CU$3)-MONTH($B$53)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$7)^MAX(0,(12*(YEAR(CV$3)-YEAR($B$53))+MONTH(CV$3)-MONTH($B$53)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$7)^MAX(0,(12*(YEAR(CW$3)-YEAR($B$53))+MONTH(CW$3)-MONTH($B$53)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$7)^MAX(0,(12*(YEAR(CX$3)-YEAR($B$53))+MONTH(CX$3)-MONTH($B$53)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$7)^MAX(0,(12*(YEAR(CY$3)-YEAR($B$53))+MONTH(CY$3)-MONTH($B$53)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$7)^MAX(0,(12*(YEAR(CZ$3)-YEAR($B$53))+MONTH(CZ$3)-MONTH($B$53)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$7)^MAX(0,(12*(YEAR(DA$3)-YEAR($B$53))+MONTH(DA$3)-MONTH($B$53)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$7)^MAX(0,(12*(YEAR(DB$3)-YEAR($B$53))+MONTH(DB$3)-MONTH($B$53)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$7)^MAX(0,(12*(YEAR(DC$3)-YEAR($B$53))+MONTH(DC$3)-MONTH($B$53)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$7)^MAX(0,(12*(YEAR(DD$3)-YEAR($B$53))+MONTH(DD$3)-MONTH($B$53)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$7)^MAX(0,(12*(YEAR(DE$3)-YEAR($B$53))+MONTH(DE$3)-MONTH($B$53)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$7)^MAX(0,(12*(YEAR(DF$3)-YEAR($B$53))+MONTH(DF$3)-MONTH($B$53)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$7)^MAX(0,(12*(YEAR(DG$3)-YEAR($B$53))+MONTH(DG$3)-MONTH($B$53)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$7)^MAX(0,(12*(YEAR(DH$3)-YEAR($B$53))+MONTH(DH$3)-MONTH($B$53)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$7)^MAX(0,(12*(YEAR(DI$3)-YEAR($B$53))+MONTH(DI$3)-MONTH($B$53)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$7)^MAX(0,(12*(YEAR(DJ$3)-YEAR($B$53))+MONTH(DJ$3)-MONTH($B$53)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$7)^MAX(0,(12*(YEAR(DK$3)-YEAR($B$53))+MONTH(DK$3)-MONTH($B$53)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$7)^MAX(0,(12*(YEAR(DL$3)-YEAR($B$53))+MONTH(DL$3)-MONTH($B$53)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$7)^MAX(0,(12*(YEAR(DM$3)-YEAR($B$53))+MONTH(DM$3)-MONTH($B$53)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$7)^MAX(0,(12*(YEAR(DN$3)-YEAR($B$53))+MONTH(DN$3)-MONTH($B$53)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$7)^MAX(0,(12*(YEAR(DO$3)-YEAR($B$53))+MONTH(DO$3)-MONTH($B$53)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$7)^MAX(0,(12*(YEAR(DP$3)-YEAR($B$53))+MONTH(DP$3)-MONTH($B$53)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$7)^MAX(0,(12*(YEAR(DQ$3)-YEAR($B$53))+MONTH(DQ$3)-MONTH($B$53)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$7)^MAX(0,(12*(YEAR(DR$3)-YEAR($B$53))+MONTH(DR$3)-MONTH($B$53)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$7)^MAX(0,(12*(YEAR(DS$3)-YEAR($B$53))+MONTH(DS$3)-MONTH($B$53)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$7)^MAX(0,(12*(YEAR(D$3)-YEAR($B$76))+MONTH(D$3)-MONTH($B$76)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$7)^MAX(0,(12*(YEAR(E$3)-YEAR($B$76))+MONTH(E$3)-MONTH($B$76)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$7)^MAX(0,(12*(YEAR(F$3)-YEAR($B$76))+MONTH(F$3)-MONTH($B$76)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$7)^MAX(0,(12*(YEAR(G$3)-YEAR($B$76))+MONTH(G$3)-MONTH($B$76)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$7)^MAX(0,(12*(YEAR(H$3)-YEAR($B$76))+MONTH(H$3)-MONTH($B$76)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$7)^MAX(0,(12*(YEAR(I$3)-YEAR($B$76))+MONTH(I$3)-MONTH($B$76)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$7)^MAX(0,(12*(YEAR(J$3)-YEAR($B$76))+MONTH(J$3)-MONTH($B$76)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$7)^MAX(0,(12*(YEAR(K$3)-YEAR($B$76))+MONTH(K$3)-MONTH($B$76)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$7)^MAX(0,(12*(YEAR(L$3)-YEAR($B$76))+MONTH(L$3)-MONTH($B$76)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$7)^MAX(0,(12*(YEAR(M$3)-YEAR($B$76))+MONTH(M$3)-MONTH($B$76)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$7)^MAX(0,(12*(YEAR(N$3)-YEAR($B$76))+MONTH(N$3)-MONTH($B$76)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$7)^MAX(0,(12*(YEAR(O$3)-YEAR($B$76))+MONTH(O$3)-MONTH($B$76)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$7)^MAX(0,(12*(YEAR(P$3)-YEAR($B$76))+MONTH(P$3)-MONTH($B$76)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$7)^MAX(0,(12*(YEAR(Q$3)-YEAR($B$76))+MONTH(Q$3)-MONTH($B$76)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$7)^MAX(0,(12*(YEAR(R$3)-YEAR($B$76))+MONTH(R$3)-MONTH($B$76)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$7)^MAX(0,(12*(YEAR(S$3)-YEAR($B$76))+MONTH(S$3)-MONTH($B$76)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$7)^MAX(0,(12*(YEAR(T$3)-YEAR($B$76))+MONTH(T$3)-MONTH($B$76)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$7)^MAX(0,(12*(YEAR(U$3)-YEAR($B$76))+MONTH(U$3)-MONTH($B$76)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$7)^MAX(0,(12*(YEAR(V$3)-YEAR($B$76))+MONTH(V$3)-MONTH($B$76)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$7)^MAX(0,(12*(YEAR(W$3)-YEAR($B$76))+MONTH(W$3)-MONTH($B$76)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$7)^MAX(0,(12*(YEAR(X$3)-YEAR($B$76))+MONTH(X$3)-MONTH($B$76)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$7)^MAX(0,(12*(YEAR(Y$3)-YEAR($B$76))+MONTH(Y$3)-MONTH($B$76)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$7)^MAX(0,(12*(YEAR(Z$3)-YEAR($B$76))+MONTH(Z$3)-MONTH($B$76)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$7)^MAX(0,(12*(YEAR(AA$3)-YEAR($B$76))+MONTH(AA$3)-MONTH($B$76)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$7)^MAX(0,(12*(YEAR(AB$3)-YEAR($B$76))+MONTH(AB$3)-MONTH($B$76)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$7)^MAX(0,(12*(YEAR(AC$3)-YEAR($B$76))+MONTH(AC$3)-MONTH($B$76)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$7)^MAX(0,(12*(YEAR(AD$3)-YEAR($B$76))+MONTH(AD$3)-MONTH($B$76)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$7)^MAX(0,(12*(YEAR(AE$3)-YEAR($B$76))+MONTH(AE$3)-MONTH($B$76)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$7)^MAX(0,(12*(YEAR(AF$3)-YEAR($B$76))+MONTH(AF$3)-MONTH($B$76)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$7)^MAX(0,(12*(YEAR(AG$3)-YEAR($B$76))+MONTH(AG$3)-MONTH($B$76)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$7)^MAX(0,(12*(YEAR(AH$3)-YEAR($B$76))+MONTH(AH$3)-MONTH($B$76)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$7)^MAX(0,(12*(YEAR(AI$3)-YEAR($B$76))+MONTH(AI$3)-MONTH($B$76)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$7)^MAX(0,(12*(YEAR(AJ$3)-YEAR($B$76))+MONTH(AJ$3)-MONTH($B$76)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$7)^MAX(0,(12*(YEAR(AK$3)-YEAR($B$76))+MONTH(AK$3)-MONTH($B$76)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$7)^MAX(0,(12*(YEAR(AL$3)-YEAR($B$76))+MONTH(AL$3)-MONTH($B$76)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$7)^MAX(0,(12*(YEAR(AM$3)-YEAR($B$76))+MONTH(AM$3)-MONTH($B$76)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$7)^MAX(0,(12*(YEAR(AN$3)-YEAR($B$76))+MONTH(AN$3)-MONTH($B$76)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$7)^MAX(0,(12*(YEAR(AO$3)-YEAR($B$76))+MONTH(AO$3)-MONTH($B$76)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$7)^MAX(0,(12*(YEAR(AP$3)-YEAR($B$76))+MONTH(AP$3)-MONTH($B$76)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$7)^MAX(0,(12*(YEAR(AQ$3)-YEAR($B$76))+MONTH(AQ$3)-MONTH($B$76)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$7)^MAX(0,(12*(YEAR(AR$3)-YEAR($B$76))+MONTH(AR$3)-MONTH($B$76)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$7)^MAX(0,(12*(YEAR(AS$3)-YEAR($B$76))+MONTH(AS$3)-MONTH($B$76)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$7)^MAX(0,(12*(YEAR(AT$3)-YEAR($B$76))+MONTH(AT$3)-MONTH($B$76)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$7)^MAX(0,(12*(YEAR(AU$3)-YEAR($B$76))+MONTH(AU$3)-MONTH($B$76)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$7)^MAX(0,(12*(YEAR(AV$3)-YEAR($B$76))+MONTH(AV$3)-MONTH($B$76)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$7)^MAX(0,(12*(YEAR(AW$3)-YEAR($B$76))+MONTH(AW$3)-MONTH($B$76)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$7)^MAX(0,(12*(YEAR(AX$3)-YEAR($B$76))+MONTH(AX$3)-MONTH($B$76)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$7)^MAX(0,(12*(YEAR(AY$3)-YEAR($B$76))+MONTH(AY$3)-MONTH($B$76)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$7)^MAX(0,(12*(YEAR(AZ$3)-YEAR($B$76))+MONTH(AZ$3)-MONTH($B$76)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$7)^MAX(0,(12*(YEAR(BA$3)-YEAR($B$76))+MONTH(BA$3)-MONTH($B$76)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$7)^MAX(0,(12*(YEAR(BB$3)-YEAR($B$76))+MONTH(BB$3)-MONTH($B$76)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$7)^MAX(0,(12*(YEAR(BC$3)-YEAR($B$76))+MONTH(BC$3)-MONTH($B$76)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$7)^MAX(0,(12*(YEAR(BD$3)-YEAR($B$76))+MONTH(BD$3)-MONTH($B$76)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$7)^MAX(0,(12*(YEAR(BE$3)-YEAR($B$76))+MONTH(BE$3)-MONTH($B$76)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$7)^MAX(0,(12*(YEAR(BF$3)-YEAR($B$76))+MONTH(BF$3)-MONTH($B$76)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$7)^MAX(0,(12*(YEAR(BG$3)-YEAR($B$76))+MONTH(BG$3)-MONTH($B$76)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$7)^MAX(0,(12*(YEAR(BH$3)-YEAR($B$76))+MONTH(BH$3)-MONTH($B$76)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$7)^MAX(0,(12*(YEAR(BI$3)-YEAR($B$76))+MONTH(BI$3)-MONTH($B$76)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$7)^MAX(0,(12*(YEAR(BJ$3)-YEAR($B$76))+MONTH(BJ$3)-MONTH($B$76)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$7)^MAX(0,(12*(YEAR(BK$3)-YEAR($B$76))+MONTH(BK$3)-MONTH($B$76)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$7)^MAX(0,(12*(YEAR(BL$3)-YEAR($B$76))+MONTH(BL$3)-MONTH($B$76)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$7)^MAX(0,(12*(YEAR(BM$3)-YEAR($B$76))+MONTH(BM$3)-MONTH($B$76)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$7)^MAX(0,(12*(YEAR(BN$3)-YEAR($B$76))+MONTH(BN$3)-MONTH($B$76)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$7)^MAX(0,(12*(YEAR(BO$3)-YEAR($B$76))+MONTH(BO$3)-MONTH($B$76)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$7)^MAX(0,(12*(YEAR(BP$3)-YEAR($B$76))+MONTH(BP$3)-MONTH($B$76)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$7)^MAX(0,(12*(YEAR(BQ$3)-YEAR($B$76))+MONTH(BQ$3)-MONTH($B$76)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$7)^MAX(0,(12*(YEAR(BR$3)-YEAR($B$76))+MONTH(BR$3)-MONTH($B$76)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$7)^MAX(0,(12*(YEAR(BS$3)-YEAR($B$76))+MONTH(BS$3)-MONTH($B$76)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$7)^MAX(0,(12*(YEAR(BT$3)-YEAR($B$76))+MONTH(BT$3)-MONTH($B$76)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$7)^MAX(0,(12*(YEAR(BU$3)-YEAR($B$76))+MONTH(BU$3)-MONTH($B$76)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$7)^MAX(0,(12*(YEAR(BV$3)-YEAR($B$76))+MONTH(BV$3)-MONTH($B$76)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$7)^MAX(0,(12*(YEAR(BW$3)-YEAR($B$76))+MONTH(BW$3)-MONTH($B$76)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$7)^MAX(0,(12*(YEAR(BX$3)-YEAR($B$76))+MONTH(BX$3)-MONTH($B$76)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$7)^MAX(0,(12*(YEAR(BY$3)-YEAR($B$76))+MONTH(BY$3)-MONTH($B$76)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$7)^MAX(0,(12*(YEAR(BZ$3)-YEAR($B$76))+MONTH(BZ$3)-MONTH($B$76)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$7)^MAX(0,(12*(YEAR(CA$3)-YEAR($B$76))+MONTH(CA$3)-MONTH($B$76)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$7)^MAX(0,(12*(YEAR(CB$3)-YEAR($B$76))+MONTH(CB$3)-MONTH($B$76)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$7)^MAX(0,(12*(YEAR(CC$3)-YEAR($B$76))+MONTH(CC$3)-MONTH($B$76)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$7)^MAX(0,(12*(YEAR(CD$3)-YEAR($B$76))+MONTH(CD$3)-MONTH($B$76)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$7)^MAX(0,(12*(YEAR(CE$3)-YEAR($B$76))+MONTH(CE$3)-MONTH($B$76)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$7)^MAX(0,(12*(YEAR(CF$3)-YEAR($B$76))+MONTH(CF$3)-MONTH($B$76)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$7)^MAX(0,(12*(YEAR(CG$3)-YEAR($B$76))+MONTH(CG$3)-MONTH($B$76)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$7)^MAX(0,(12*(YEAR(CH$3)-YEAR($B$76))+MONTH(CH$3)-MONTH($B$76)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$7)^MAX(0,(12*(YEAR(CI$3)-YEAR($B$76))+MONTH(CI$3)-MONTH($B$76)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$7)^MAX(0,(12*(YEAR(CJ$3)-YEAR($B$76))+MONTH(CJ$3)-MONTH($B$76)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$7)^MAX(0,(12*(YEAR(CK$3)-YEAR($B$76))+MONTH(CK$3)-MONTH($B$76)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$7)^MAX(0,(12*(YEAR(CL$3)-YEAR($B$76))+MONTH(CL$3)-MONTH($B$76)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$7)^MAX(0,(12*(YEAR(CM$3)-YEAR($B$76))+MONTH(CM$3)-MONTH($B$76)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$7)^MAX(0,(12*(YEAR(CN$3)-YEAR($B$76))+MONTH(CN$3)-MONTH($B$76)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$7)^MAX(0,(12*(YEAR(CO$3)-YEAR($B$76))+MONTH(CO$3)-MONTH($B$76)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$7)^MAX(0,(12*(YEAR(CP$3)-YEAR($B$76))+MONTH(CP$3)-MONTH($B$76)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$7)^MAX(0,(12*(YEAR(CQ$3)-YEAR($B$76))+MONTH(CQ$3)-MONTH($B$76)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$7)^MAX(0,(12*(YEAR(CR$3)-YEAR($B$76))+MONTH(CR$3)-MONTH($B$76)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$7)^MAX(0,(12*(YEAR(CS$3)-YEAR($B$76))+MONTH(CS$3)-MONTH($B$76)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$7)^MAX(0,(12*(YEAR(CT$3)-YEAR($B$76))+MONTH(CT$3)-MONTH($B$76)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$7)^MAX(0,(12*(YEAR(CU$3)-YEAR($B$76))+MONTH(CU$3)-MONTH($B$76)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$7)^MAX(0,(12*(YEAR(CV$3)-YEAR($B$76))+MONTH(CV$3)-MONTH($B$76)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$7)^MAX(0,(12*(YEAR(CW$3)-YEAR($B$76))+MONTH(CW$3)-MONTH($B$76)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$7)^MAX(0,(12*(YEAR(CX$3)-YEAR($B$76))+MONTH(CX$3)-MONTH($B$76)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$7)^MAX(0,(12*(YEAR(CY$3)-YEAR($B$76))+MONTH(CY$3)-MONTH($B$76)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$7)^MAX(0,(12*(YEAR(CZ$3)-YEAR($B$76))+MONTH(CZ$3)-MONTH($B$76)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$7)^MAX(0,(12*(YEAR(DA$3)-YEAR($B$76))+MONTH(DA$3)-MONTH($B$76)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$7)^MAX(0,(12*(YEAR(DB$3)-YEAR($B$76))+MONTH(DB$3)-MONTH($B$76)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$7)^MAX(0,(12*(YEAR(DC$3)-YEAR($B$76))+MONTH(DC$3)-MONTH($B$76)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$7)^MAX(0,(12*(YEAR(DD$3)-YEAR($B$76))+MONTH(DD$3)-MONTH($B$76)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$7)^MAX(0,(12*(YEAR(DE$3)-YEAR($B$76))+MONTH(DE$3)-MONTH($B$76)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$7)^MAX(0,(12*(YEAR(DF$3)-YEAR($B$76))+MONTH(DF$3)-MONTH($B$76)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$7)^MAX(0,(12*(YEAR(DG$3)-YEAR($B$76))+MONTH(DG$3)-MONTH($B$76)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$7)^MAX(0,(12*(YEAR(DH$3)-YEAR($B$76))+MONTH(DH$3)-MONTH($B$76)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$7)^MAX(0,(12*(YEAR(DI$3)-YEAR($B$76))+MONTH(DI$3)-MONTH($B$76)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$7)^MAX(0,(12*(YEAR(DJ$3)-YEAR($B$76))+MONTH(DJ$3)-MONTH($B$76)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$7)^MAX(0,(12*(YEAR(DK$3)-YEAR($B$76))+MONTH(DK$3)-MONTH($B$76)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$7)^MAX(0,(12*(YEAR(DL$3)-YEAR($B$76))+MONTH(DL$3)-MONTH($B$76)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$7)^MAX(0,(12*(YEAR(DM$3)-YEAR($B$76))+MONTH(DM$3)-MONTH($B$76)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$7)^MAX(0,(12*(YEAR(DN$3)-YEAR($B$76))+MONTH(DN$3)-MONTH($B$76)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$7)^MAX(0,(12*(YEAR(DO$3)-YEAR($B$76))+MONTH(DO$3)-MONTH($B$76)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$7)^MAX(0,(12*(YEAR(DP$3)-YEAR($B$76))+MONTH(DP$3)-MONTH($B$76)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$7)^MAX(0,(12*(YEAR(DQ$3)-YEAR($B$76))+MONTH(DQ$3)-MONTH($B$76)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$7)^MAX(0,(12*(YEAR(DR$3)-YEAR($B$76))+MONTH(DR$3)-MONTH($B$76)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$7)^MAX(0,(12*(YEAR(DS$3)-YEAR($B$76))+MONTH(DS$3)-MONTH($B$76)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SUM(B16:B26)*'Вводные'!$B$53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SUM(B16:B26)*'Вводные'!$B$52</x:f>
      </x:c>
      <x:c r="C28" t="str">
        <x:v>млн ₽</x:v>
      </x:c>
      <x:c r="D28" s="117" t="n">
        <x:f>$B$28*D10</x:f>
      </x:c>
      <x:c r="E28" s="117" t="n">
        <x:f>$B$28*E10</x:f>
      </x:c>
      <x:c r="F28" s="117" t="n">
        <x:f>$B$28*F10</x:f>
      </x:c>
      <x:c r="G28" s="117" t="n">
        <x:f>$B$28*G10</x:f>
      </x:c>
      <x:c r="H28" s="117" t="n">
        <x:f>$B$28*H10</x:f>
      </x:c>
      <x:c r="I28" s="117" t="n">
        <x:f>$B$28*I10</x:f>
      </x:c>
      <x:c r="J28" s="117" t="n">
        <x:f>$B$28*J10</x:f>
      </x:c>
      <x:c r="K28" s="117" t="n">
        <x:f>$B$28*K10</x:f>
      </x:c>
      <x:c r="L28" s="117" t="n">
        <x:f>$B$28*L10</x:f>
      </x:c>
      <x:c r="M28" s="117" t="n">
        <x:f>$B$28*M10</x:f>
      </x:c>
      <x:c r="N28" s="117" t="n">
        <x:f>$B$28*N10</x:f>
      </x:c>
      <x:c r="O28" s="117" t="n">
        <x:f>$B$28*O10</x:f>
      </x:c>
      <x:c r="P28" s="117" t="n">
        <x:f>$B$28*P10</x:f>
      </x:c>
      <x:c r="Q28" s="117" t="n">
        <x:f>$B$28*Q10</x:f>
      </x:c>
      <x:c r="R28" s="117" t="n">
        <x:f>$B$28*R10</x:f>
      </x:c>
      <x:c r="S28" s="117" t="n">
        <x:f>$B$28*S10</x:f>
      </x:c>
      <x:c r="T28" s="117" t="n">
        <x:f>$B$28*T10</x:f>
      </x:c>
      <x:c r="U28" s="117" t="n">
        <x:f>$B$28*U10</x:f>
      </x:c>
      <x:c r="V28" s="117" t="n">
        <x:f>$B$28*V10</x:f>
      </x:c>
      <x:c r="W28" s="117" t="n">
        <x:f>$B$28*W10</x:f>
      </x:c>
      <x:c r="X28" s="117" t="n">
        <x:f>$B$28*X10</x:f>
      </x:c>
      <x:c r="Y28" s="117" t="n">
        <x:f>$B$28*Y10</x:f>
      </x:c>
      <x:c r="Z28" s="117" t="n">
        <x:f>$B$28*Z10</x:f>
      </x:c>
      <x:c r="AA28" s="117" t="n">
        <x:f>$B$28*AA10</x:f>
      </x:c>
      <x:c r="AB28" s="117" t="n">
        <x:f>$B$28*AB10</x:f>
      </x:c>
      <x:c r="AC28" s="117" t="n">
        <x:f>$B$28*AC10</x:f>
      </x:c>
      <x:c r="AD28" s="117" t="n">
        <x:f>$B$28*AD10</x:f>
      </x:c>
      <x:c r="AE28" s="117" t="n">
        <x:f>$B$28*AE10</x:f>
      </x:c>
      <x:c r="AF28" s="117" t="n">
        <x:f>$B$28*AF10</x:f>
      </x:c>
      <x:c r="AG28" s="117" t="n">
        <x:f>$B$28*AG10</x:f>
      </x:c>
      <x:c r="AH28" s="117" t="n">
        <x:f>$B$28*AH10</x:f>
      </x:c>
      <x:c r="AI28" s="117" t="n">
        <x:f>$B$28*AI10</x:f>
      </x:c>
      <x:c r="AJ28" s="117" t="n">
        <x:f>$B$28*AJ10</x:f>
      </x:c>
      <x:c r="AK28" s="117" t="n">
        <x:f>$B$28*AK10</x:f>
      </x:c>
      <x:c r="AL28" s="117" t="n">
        <x:f>$B$28*AL10</x:f>
      </x:c>
      <x:c r="AM28" s="117" t="n">
        <x:f>$B$28*AM10</x:f>
      </x:c>
      <x:c r="AN28" s="117" t="n">
        <x:f>$B$28*AN10</x:f>
      </x:c>
      <x:c r="AO28" s="117" t="n">
        <x:f>$B$28*AO10</x:f>
      </x:c>
      <x:c r="AP28" s="117" t="n">
        <x:f>$B$28*AP10</x:f>
      </x:c>
      <x:c r="AQ28" s="117" t="n">
        <x:f>$B$28*AQ10</x:f>
      </x:c>
      <x:c r="AR28" s="117" t="n">
        <x:f>$B$28*AR10</x:f>
      </x:c>
      <x:c r="AS28" s="117" t="n">
        <x:f>$B$28*AS10</x:f>
      </x:c>
      <x:c r="AT28" s="117" t="n">
        <x:f>$B$28*AT10</x:f>
      </x:c>
      <x:c r="AU28" s="117" t="n">
        <x:f>$B$28*AU10</x:f>
      </x:c>
      <x:c r="AV28" s="117" t="n">
        <x:f>$B$28*AV10</x:f>
      </x:c>
      <x:c r="AW28" s="117" t="n">
        <x:f>$B$28*AW10</x:f>
      </x:c>
      <x:c r="AX28" s="117" t="n">
        <x:f>$B$28*AX10</x:f>
      </x:c>
      <x:c r="AY28" s="117" t="n">
        <x:f>$B$28*AY10</x:f>
      </x:c>
      <x:c r="AZ28" s="117" t="n">
        <x:f>$B$28*AZ10</x:f>
      </x:c>
      <x:c r="BA28" s="117" t="n">
        <x:f>$B$28*BA10</x:f>
      </x:c>
      <x:c r="BB28" s="117" t="n">
        <x:f>$B$28*BB10</x:f>
      </x:c>
      <x:c r="BC28" s="117" t="n">
        <x:f>$B$28*BC10</x:f>
      </x:c>
      <x:c r="BD28" s="117" t="n">
        <x:f>$B$28*BD10</x:f>
      </x:c>
      <x:c r="BE28" s="117" t="n">
        <x:f>$B$28*BE10</x:f>
      </x:c>
      <x:c r="BF28" s="117" t="n">
        <x:f>$B$28*BF10</x:f>
      </x:c>
      <x:c r="BG28" s="117" t="n">
        <x:f>$B$28*BG10</x:f>
      </x:c>
      <x:c r="BH28" s="117" t="n">
        <x:f>$B$28*BH10</x:f>
      </x:c>
      <x:c r="BI28" s="117" t="n">
        <x:f>$B$28*BI10</x:f>
      </x:c>
      <x:c r="BJ28" s="117" t="n">
        <x:f>$B$28*BJ10</x:f>
      </x:c>
      <x:c r="BK28" s="117" t="n">
        <x:f>$B$28*BK10</x:f>
      </x:c>
      <x:c r="BL28" s="117" t="n">
        <x:f>$B$28*BL10</x:f>
      </x:c>
      <x:c r="BM28" s="117" t="n">
        <x:f>$B$28*BM10</x:f>
      </x:c>
      <x:c r="BN28" s="117" t="n">
        <x:f>$B$28*BN10</x:f>
      </x:c>
      <x:c r="BO28" s="117" t="n">
        <x:f>$B$28*BO10</x:f>
      </x:c>
      <x:c r="BP28" s="117" t="n">
        <x:f>$B$28*BP10</x:f>
      </x:c>
      <x:c r="BQ28" s="117" t="n">
        <x:f>$B$28*BQ10</x:f>
      </x:c>
      <x:c r="BR28" s="117" t="n">
        <x:f>$B$28*BR10</x:f>
      </x:c>
      <x:c r="BS28" s="117" t="n">
        <x:f>$B$28*BS10</x:f>
      </x:c>
      <x:c r="BT28" s="117" t="n">
        <x:f>$B$28*BT10</x:f>
      </x:c>
      <x:c r="BU28" s="117" t="n">
        <x:f>$B$28*BU10</x:f>
      </x:c>
      <x:c r="BV28" s="117" t="n">
        <x:f>$B$28*BV10</x:f>
      </x:c>
      <x:c r="BW28" s="117" t="n">
        <x:f>$B$28*BW10</x:f>
      </x:c>
      <x:c r="BX28" s="117" t="n">
        <x:f>$B$28*BX10</x:f>
      </x:c>
      <x:c r="BY28" s="117" t="n">
        <x:f>$B$28*BY10</x:f>
      </x:c>
      <x:c r="BZ28" s="117" t="n">
        <x:f>$B$28*BZ10</x:f>
      </x:c>
      <x:c r="CA28" s="117" t="n">
        <x:f>$B$28*CA10</x:f>
      </x:c>
      <x:c r="CB28" s="117" t="n">
        <x:f>$B$28*CB10</x:f>
      </x:c>
      <x:c r="CC28" s="117" t="n">
        <x:f>$B$28*CC10</x:f>
      </x:c>
      <x:c r="CD28" s="117" t="n">
        <x:f>$B$28*CD10</x:f>
      </x:c>
      <x:c r="CE28" s="117" t="n">
        <x:f>$B$28*CE10</x:f>
      </x:c>
      <x:c r="CF28" s="117" t="n">
        <x:f>$B$28*CF10</x:f>
      </x:c>
      <x:c r="CG28" s="117" t="n">
        <x:f>$B$28*CG10</x:f>
      </x:c>
      <x:c r="CH28" s="117" t="n">
        <x:f>$B$28*CH10</x:f>
      </x:c>
      <x:c r="CI28" s="117" t="n">
        <x:f>$B$28*CI10</x:f>
      </x:c>
      <x:c r="CJ28" s="117" t="n">
        <x:f>$B$28*CJ10</x:f>
      </x:c>
      <x:c r="CK28" s="117" t="n">
        <x:f>$B$28*CK10</x:f>
      </x:c>
      <x:c r="CL28" s="117" t="n">
        <x:f>$B$28*CL10</x:f>
      </x:c>
      <x:c r="CM28" s="117" t="n">
        <x:f>$B$28*CM10</x:f>
      </x:c>
      <x:c r="CN28" s="117" t="n">
        <x:f>$B$28*CN10</x:f>
      </x:c>
      <x:c r="CO28" s="117" t="n">
        <x:f>$B$28*CO10</x:f>
      </x:c>
      <x:c r="CP28" s="117" t="n">
        <x:f>$B$28*CP10</x:f>
      </x:c>
      <x:c r="CQ28" s="117" t="n">
        <x:f>$B$28*CQ10</x:f>
      </x:c>
      <x:c r="CR28" s="117" t="n">
        <x:f>$B$28*CR10</x:f>
      </x:c>
      <x:c r="CS28" s="117" t="n">
        <x:f>$B$28*CS10</x:f>
      </x:c>
      <x:c r="CT28" s="117" t="n">
        <x:f>$B$28*CT10</x:f>
      </x:c>
      <x:c r="CU28" s="117" t="n">
        <x:f>$B$28*CU10</x:f>
      </x:c>
      <x:c r="CV28" s="117" t="n">
        <x:f>$B$28*CV10</x:f>
      </x:c>
      <x:c r="CW28" s="117" t="n">
        <x:f>$B$28*CW10</x:f>
      </x:c>
      <x:c r="CX28" s="117" t="n">
        <x:f>$B$28*CX10</x:f>
      </x:c>
      <x:c r="CY28" s="117" t="n">
        <x:f>$B$28*CY10</x:f>
      </x:c>
      <x:c r="CZ28" s="117" t="n">
        <x:f>$B$28*CZ10</x:f>
      </x:c>
      <x:c r="DA28" s="117" t="n">
        <x:f>$B$28*DA10</x:f>
      </x:c>
      <x:c r="DB28" s="117" t="n">
        <x:f>$B$28*DB10</x:f>
      </x:c>
      <x:c r="DC28" s="117" t="n">
        <x:f>$B$28*DC10</x:f>
      </x:c>
      <x:c r="DD28" s="117" t="n">
        <x:f>$B$28*DD10</x:f>
      </x:c>
      <x:c r="DE28" s="117" t="n">
        <x:f>$B$28*DE10</x:f>
      </x:c>
      <x:c r="DF28" s="117" t="n">
        <x:f>$B$28*DF10</x:f>
      </x:c>
      <x:c r="DG28" s="117" t="n">
        <x:f>$B$28*DG10</x:f>
      </x:c>
      <x:c r="DH28" s="117" t="n">
        <x:f>$B$28*DH10</x:f>
      </x:c>
      <x:c r="DI28" s="117" t="n">
        <x:f>$B$28*DI10</x:f>
      </x:c>
      <x:c r="DJ28" s="117" t="n">
        <x:f>$B$28*DJ10</x:f>
      </x:c>
      <x:c r="DK28" s="117" t="n">
        <x:f>$B$28*DK10</x:f>
      </x:c>
      <x:c r="DL28" s="117" t="n">
        <x:f>$B$28*DL10</x:f>
      </x:c>
      <x:c r="DM28" s="117" t="n">
        <x:f>$B$28*DM10</x:f>
      </x:c>
      <x:c r="DN28" s="117" t="n">
        <x:f>$B$28*DN10</x:f>
      </x:c>
      <x:c r="DO28" s="117" t="n">
        <x:f>$B$28*DO10</x:f>
      </x:c>
      <x:c r="DP28" s="117" t="n">
        <x:f>$B$28*DP10</x:f>
      </x:c>
      <x:c r="DQ28" s="117" t="n">
        <x:f>$B$28*DQ10</x:f>
      </x:c>
      <x:c r="DR28" s="117" t="n">
        <x:f>$B$28*DR10</x:f>
      </x:c>
      <x:c r="DS28" s="117" t="n">
        <x:f>$B$28*DS10</x:f>
      </x:c>
    </x:row>
    <x:row r="29">
      <x:c r="A29" t="str">
        <x:v>Вознаграждение генподрядчика</x:v>
      </x:c>
      <x:c r="B29" s="107" t="n">
        <x:f>SUM(B16:B26)*'Вводные'!$B$50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IF(AND(YEAR(D$3)=YEAR('Вводные'!$B$18),MONTH(D$3)=MONTH('Вводные'!$B$18)),$B$31,0)</x:f>
      </x:c>
      <x:c r="E31" s="117" t="n">
        <x:f>IF(AND(YEAR(E$3)=YEAR('Вводные'!$B$18),MONTH(E$3)=MONTH('Вводные'!$B$18)),$B$31,0)</x:f>
      </x:c>
      <x:c r="F31" s="117" t="n">
        <x:f>IF(AND(YEAR(F$3)=YEAR('Вводные'!$B$18),MONTH(F$3)=MONTH('Вводные'!$B$18)),$B$31,0)</x:f>
      </x:c>
      <x:c r="G31" s="117" t="n">
        <x:f>IF(AND(YEAR(G$3)=YEAR('Вводные'!$B$18),MONTH(G$3)=MONTH('Вводные'!$B$18)),$B$31,0)</x:f>
      </x:c>
      <x:c r="H31" s="117" t="n">
        <x:f>IF(AND(YEAR(H$3)=YEAR('Вводные'!$B$18),MONTH(H$3)=MONTH('Вводные'!$B$18)),$B$31,0)</x:f>
      </x:c>
      <x:c r="I31" s="117" t="n">
        <x:f>IF(AND(YEAR(I$3)=YEAR('Вводные'!$B$18),MONTH(I$3)=MONTH('Вводные'!$B$18)),$B$31,0)</x:f>
      </x:c>
      <x:c r="J31" s="117" t="n">
        <x:f>IF(AND(YEAR(J$3)=YEAR('Вводные'!$B$18),MONTH(J$3)=MONTH('Вводные'!$B$18)),$B$31,0)</x:f>
      </x:c>
      <x:c r="K31" s="117" t="n">
        <x:f>IF(AND(YEAR(K$3)=YEAR('Вводные'!$B$18),MONTH(K$3)=MONTH('Вводные'!$B$18)),$B$31,0)</x:f>
      </x:c>
      <x:c r="L31" s="117" t="n">
        <x:f>IF(AND(YEAR(L$3)=YEAR('Вводные'!$B$18),MONTH(L$3)=MONTH('Вводные'!$B$18)),$B$31,0)</x:f>
      </x:c>
      <x:c r="M31" s="117" t="n">
        <x:f>IF(AND(YEAR(M$3)=YEAR('Вводные'!$B$18),MONTH(M$3)=MONTH('Вводные'!$B$18)),$B$31,0)</x:f>
      </x:c>
      <x:c r="N31" s="117" t="n">
        <x:f>IF(AND(YEAR(N$3)=YEAR('Вводные'!$B$18),MONTH(N$3)=MONTH('Вводные'!$B$18)),$B$31,0)</x:f>
      </x:c>
      <x:c r="O31" s="117" t="n">
        <x:f>IF(AND(YEAR(O$3)=YEAR('Вводные'!$B$18),MONTH(O$3)=MONTH('Вводные'!$B$18)),$B$31,0)</x:f>
      </x:c>
      <x:c r="P31" s="117" t="n">
        <x:f>IF(AND(YEAR(P$3)=YEAR('Вводные'!$B$18),MONTH(P$3)=MONTH('Вводные'!$B$18)),$B$31,0)</x:f>
      </x:c>
      <x:c r="Q31" s="117" t="n">
        <x:f>IF(AND(YEAR(Q$3)=YEAR('Вводные'!$B$18),MONTH(Q$3)=MONTH('Вводные'!$B$18)),$B$31,0)</x:f>
      </x:c>
      <x:c r="R31" s="117" t="n">
        <x:f>IF(AND(YEAR(R$3)=YEAR('Вводные'!$B$18),MONTH(R$3)=MONTH('Вводные'!$B$18)),$B$31,0)</x:f>
      </x:c>
      <x:c r="S31" s="117" t="n">
        <x:f>IF(AND(YEAR(S$3)=YEAR('Вводные'!$B$18),MONTH(S$3)=MONTH('Вводные'!$B$18)),$B$31,0)</x:f>
      </x:c>
      <x:c r="T31" s="117" t="n">
        <x:f>IF(AND(YEAR(T$3)=YEAR('Вводные'!$B$18),MONTH(T$3)=MONTH('Вводные'!$B$18)),$B$31,0)</x:f>
      </x:c>
      <x:c r="U31" s="117" t="n">
        <x:f>IF(AND(YEAR(U$3)=YEAR('Вводные'!$B$18),MONTH(U$3)=MONTH('Вводные'!$B$18)),$B$31,0)</x:f>
      </x:c>
      <x:c r="V31" s="117" t="n">
        <x:f>IF(AND(YEAR(V$3)=YEAR('Вводные'!$B$18),MONTH(V$3)=MONTH('Вводные'!$B$18)),$B$31,0)</x:f>
      </x:c>
      <x:c r="W31" s="117" t="n">
        <x:f>IF(AND(YEAR(W$3)=YEAR('Вводные'!$B$18),MONTH(W$3)=MONTH('Вводные'!$B$18)),$B$31,0)</x:f>
      </x:c>
      <x:c r="X31" s="117" t="n">
        <x:f>IF(AND(YEAR(X$3)=YEAR('Вводные'!$B$18),MONTH(X$3)=MONTH('Вводные'!$B$18)),$B$31,0)</x:f>
      </x:c>
      <x:c r="Y31" s="117" t="n">
        <x:f>IF(AND(YEAR(Y$3)=YEAR('Вводные'!$B$18),MONTH(Y$3)=MONTH('Вводные'!$B$18)),$B$31,0)</x:f>
      </x:c>
      <x:c r="Z31" s="117" t="n">
        <x:f>IF(AND(YEAR(Z$3)=YEAR('Вводные'!$B$18),MONTH(Z$3)=MONTH('Вводные'!$B$18)),$B$31,0)</x:f>
      </x:c>
      <x:c r="AA31" s="117" t="n">
        <x:f>IF(AND(YEAR(AA$3)=YEAR('Вводные'!$B$18),MONTH(AA$3)=MONTH('Вводные'!$B$18)),$B$31,0)</x:f>
      </x:c>
      <x:c r="AB31" s="117" t="n">
        <x:f>IF(AND(YEAR(AB$3)=YEAR('Вводные'!$B$18),MONTH(AB$3)=MONTH('Вводные'!$B$18)),$B$31,0)</x:f>
      </x:c>
      <x:c r="AC31" s="117" t="n">
        <x:f>IF(AND(YEAR(AC$3)=YEAR('Вводные'!$B$18),MONTH(AC$3)=MONTH('Вводные'!$B$18)),$B$31,0)</x:f>
      </x:c>
      <x:c r="AD31" s="117" t="n">
        <x:f>IF(AND(YEAR(AD$3)=YEAR('Вводные'!$B$18),MONTH(AD$3)=MONTH('Вводные'!$B$18)),$B$31,0)</x:f>
      </x:c>
      <x:c r="AE31" s="117" t="n">
        <x:f>IF(AND(YEAR(AE$3)=YEAR('Вводные'!$B$18),MONTH(AE$3)=MONTH('Вводные'!$B$18)),$B$31,0)</x:f>
      </x:c>
      <x:c r="AF31" s="117" t="n">
        <x:f>IF(AND(YEAR(AF$3)=YEAR('Вводные'!$B$18),MONTH(AF$3)=MONTH('Вводные'!$B$18)),$B$31,0)</x:f>
      </x:c>
      <x:c r="AG31" s="117" t="n">
        <x:f>IF(AND(YEAR(AG$3)=YEAR('Вводные'!$B$18),MONTH(AG$3)=MONTH('Вводные'!$B$18)),$B$31,0)</x:f>
      </x:c>
      <x:c r="AH31" s="117" t="n">
        <x:f>IF(AND(YEAR(AH$3)=YEAR('Вводные'!$B$18),MONTH(AH$3)=MONTH('Вводные'!$B$18)),$B$31,0)</x:f>
      </x:c>
      <x:c r="AI31" s="117" t="n">
        <x:f>IF(AND(YEAR(AI$3)=YEAR('Вводные'!$B$18),MONTH(AI$3)=MONTH('Вводные'!$B$18)),$B$31,0)</x:f>
      </x:c>
      <x:c r="AJ31" s="117" t="n">
        <x:f>IF(AND(YEAR(AJ$3)=YEAR('Вводные'!$B$18),MONTH(AJ$3)=MONTH('Вводные'!$B$18)),$B$31,0)</x:f>
      </x:c>
      <x:c r="AK31" s="117" t="n">
        <x:f>IF(AND(YEAR(AK$3)=YEAR('Вводные'!$B$18),MONTH(AK$3)=MONTH('Вводные'!$B$18)),$B$31,0)</x:f>
      </x:c>
      <x:c r="AL31" s="117" t="n">
        <x:f>IF(AND(YEAR(AL$3)=YEAR('Вводные'!$B$18),MONTH(AL$3)=MONTH('Вводные'!$B$18)),$B$31,0)</x:f>
      </x:c>
      <x:c r="AM31" s="117" t="n">
        <x:f>IF(AND(YEAR(AM$3)=YEAR('Вводные'!$B$18),MONTH(AM$3)=MONTH('Вводные'!$B$18)),$B$31,0)</x:f>
      </x:c>
      <x:c r="AN31" s="117" t="n">
        <x:f>IF(AND(YEAR(AN$3)=YEAR('Вводные'!$B$18),MONTH(AN$3)=MONTH('Вводные'!$B$18)),$B$31,0)</x:f>
      </x:c>
      <x:c r="AO31" s="117" t="n">
        <x:f>IF(AND(YEAR(AO$3)=YEAR('Вводные'!$B$18),MONTH(AO$3)=MONTH('Вводные'!$B$18)),$B$31,0)</x:f>
      </x:c>
      <x:c r="AP31" s="117" t="n">
        <x:f>IF(AND(YEAR(AP$3)=YEAR('Вводные'!$B$18),MONTH(AP$3)=MONTH('Вводные'!$B$18)),$B$31,0)</x:f>
      </x:c>
      <x:c r="AQ31" s="117" t="n">
        <x:f>IF(AND(YEAR(AQ$3)=YEAR('Вводные'!$B$18),MONTH(AQ$3)=MONTH('Вводные'!$B$18)),$B$31,0)</x:f>
      </x:c>
      <x:c r="AR31" s="117" t="n">
        <x:f>IF(AND(YEAR(AR$3)=YEAR('Вводные'!$B$18),MONTH(AR$3)=MONTH('Вводные'!$B$18)),$B$31,0)</x:f>
      </x:c>
      <x:c r="AS31" s="117" t="n">
        <x:f>IF(AND(YEAR(AS$3)=YEAR('Вводные'!$B$18),MONTH(AS$3)=MONTH('Вводные'!$B$18)),$B$31,0)</x:f>
      </x:c>
      <x:c r="AT31" s="117" t="n">
        <x:f>IF(AND(YEAR(AT$3)=YEAR('Вводные'!$B$18),MONTH(AT$3)=MONTH('Вводные'!$B$18)),$B$31,0)</x:f>
      </x:c>
      <x:c r="AU31" s="117" t="n">
        <x:f>IF(AND(YEAR(AU$3)=YEAR('Вводные'!$B$18),MONTH(AU$3)=MONTH('Вводные'!$B$18)),$B$31,0)</x:f>
      </x:c>
      <x:c r="AV31" s="117" t="n">
        <x:f>IF(AND(YEAR(AV$3)=YEAR('Вводные'!$B$18),MONTH(AV$3)=MONTH('Вводные'!$B$18)),$B$31,0)</x:f>
      </x:c>
      <x:c r="AW31" s="117" t="n">
        <x:f>IF(AND(YEAR(AW$3)=YEAR('Вводные'!$B$18),MONTH(AW$3)=MONTH('Вводные'!$B$18)),$B$31,0)</x:f>
      </x:c>
      <x:c r="AX31" s="117" t="n">
        <x:f>IF(AND(YEAR(AX$3)=YEAR('Вводные'!$B$18),MONTH(AX$3)=MONTH('Вводные'!$B$18)),$B$31,0)</x:f>
      </x:c>
      <x:c r="AY31" s="117" t="n">
        <x:f>IF(AND(YEAR(AY$3)=YEAR('Вводные'!$B$18),MONTH(AY$3)=MONTH('Вводные'!$B$18)),$B$31,0)</x:f>
      </x:c>
      <x:c r="AZ31" s="117" t="n">
        <x:f>IF(AND(YEAR(AZ$3)=YEAR('Вводные'!$B$18),MONTH(AZ$3)=MONTH('Вводные'!$B$18)),$B$31,0)</x:f>
      </x:c>
      <x:c r="BA31" s="117" t="n">
        <x:f>IF(AND(YEAR(BA$3)=YEAR('Вводные'!$B$18),MONTH(BA$3)=MONTH('Вводные'!$B$18)),$B$31,0)</x:f>
      </x:c>
      <x:c r="BB31" s="117" t="n">
        <x:f>IF(AND(YEAR(BB$3)=YEAR('Вводные'!$B$18),MONTH(BB$3)=MONTH('Вводные'!$B$18)),$B$31,0)</x:f>
      </x:c>
      <x:c r="BC31" s="117" t="n">
        <x:f>IF(AND(YEAR(BC$3)=YEAR('Вводные'!$B$18),MONTH(BC$3)=MONTH('Вводные'!$B$18)),$B$31,0)</x:f>
      </x:c>
      <x:c r="BD31" s="117" t="n">
        <x:f>IF(AND(YEAR(BD$3)=YEAR('Вводные'!$B$18),MONTH(BD$3)=MONTH('Вводные'!$B$18)),$B$31,0)</x:f>
      </x:c>
      <x:c r="BE31" s="117" t="n">
        <x:f>IF(AND(YEAR(BE$3)=YEAR('Вводные'!$B$18),MONTH(BE$3)=MONTH('Вводные'!$B$18)),$B$31,0)</x:f>
      </x:c>
      <x:c r="BF31" s="117" t="n">
        <x:f>IF(AND(YEAR(BF$3)=YEAR('Вводные'!$B$18),MONTH(BF$3)=MONTH('Вводные'!$B$18)),$B$31,0)</x:f>
      </x:c>
      <x:c r="BG31" s="117" t="n">
        <x:f>IF(AND(YEAR(BG$3)=YEAR('Вводные'!$B$18),MONTH(BG$3)=MONTH('Вводные'!$B$18)),$B$31,0)</x:f>
      </x:c>
      <x:c r="BH31" s="117" t="n">
        <x:f>IF(AND(YEAR(BH$3)=YEAR('Вводные'!$B$18),MONTH(BH$3)=MONTH('Вводные'!$B$18)),$B$31,0)</x:f>
      </x:c>
      <x:c r="BI31" s="117" t="n">
        <x:f>IF(AND(YEAR(BI$3)=YEAR('Вводные'!$B$18),MONTH(BI$3)=MONTH('Вводные'!$B$18)),$B$31,0)</x:f>
      </x:c>
      <x:c r="BJ31" s="117" t="n">
        <x:f>IF(AND(YEAR(BJ$3)=YEAR('Вводные'!$B$18),MONTH(BJ$3)=MONTH('Вводные'!$B$18)),$B$31,0)</x:f>
      </x:c>
      <x:c r="BK31" s="117" t="n">
        <x:f>IF(AND(YEAR(BK$3)=YEAR('Вводные'!$B$18),MONTH(BK$3)=MONTH('Вводные'!$B$18)),$B$31,0)</x:f>
      </x:c>
      <x:c r="BL31" s="117" t="n">
        <x:f>IF(AND(YEAR(BL$3)=YEAR('Вводные'!$B$18),MONTH(BL$3)=MONTH('Вводные'!$B$18)),$B$31,0)</x:f>
      </x:c>
      <x:c r="BM31" s="117" t="n">
        <x:f>IF(AND(YEAR(BM$3)=YEAR('Вводные'!$B$18),MONTH(BM$3)=MONTH('Вводные'!$B$18)),$B$31,0)</x:f>
      </x:c>
      <x:c r="BN31" s="117" t="n">
        <x:f>IF(AND(YEAR(BN$3)=YEAR('Вводные'!$B$18),MONTH(BN$3)=MONTH('Вводные'!$B$18)),$B$31,0)</x:f>
      </x:c>
      <x:c r="BO31" s="117" t="n">
        <x:f>IF(AND(YEAR(BO$3)=YEAR('Вводные'!$B$18),MONTH(BO$3)=MONTH('Вводные'!$B$18)),$B$31,0)</x:f>
      </x:c>
      <x:c r="BP31" s="117" t="n">
        <x:f>IF(AND(YEAR(BP$3)=YEAR('Вводные'!$B$18),MONTH(BP$3)=MONTH('Вводные'!$B$18)),$B$31,0)</x:f>
      </x:c>
      <x:c r="BQ31" s="117" t="n">
        <x:f>IF(AND(YEAR(BQ$3)=YEAR('Вводные'!$B$18),MONTH(BQ$3)=MONTH('Вводные'!$B$18)),$B$31,0)</x:f>
      </x:c>
      <x:c r="BR31" s="117" t="n">
        <x:f>IF(AND(YEAR(BR$3)=YEAR('Вводные'!$B$18),MONTH(BR$3)=MONTH('Вводные'!$B$18)),$B$31,0)</x:f>
      </x:c>
      <x:c r="BS31" s="117" t="n">
        <x:f>IF(AND(YEAR(BS$3)=YEAR('Вводные'!$B$18),MONTH(BS$3)=MONTH('Вводные'!$B$18)),$B$31,0)</x:f>
      </x:c>
      <x:c r="BT31" s="117" t="n">
        <x:f>IF(AND(YEAR(BT$3)=YEAR('Вводные'!$B$18),MONTH(BT$3)=MONTH('Вводные'!$B$18)),$B$31,0)</x:f>
      </x:c>
      <x:c r="BU31" s="117" t="n">
        <x:f>IF(AND(YEAR(BU$3)=YEAR('Вводные'!$B$18),MONTH(BU$3)=MONTH('Вводные'!$B$18)),$B$31,0)</x:f>
      </x:c>
      <x:c r="BV31" s="117" t="n">
        <x:f>IF(AND(YEAR(BV$3)=YEAR('Вводные'!$B$18),MONTH(BV$3)=MONTH('Вводные'!$B$18)),$B$31,0)</x:f>
      </x:c>
      <x:c r="BW31" s="117" t="n">
        <x:f>IF(AND(YEAR(BW$3)=YEAR('Вводные'!$B$18),MONTH(BW$3)=MONTH('Вводные'!$B$18)),$B$31,0)</x:f>
      </x:c>
      <x:c r="BX31" s="117" t="n">
        <x:f>IF(AND(YEAR(BX$3)=YEAR('Вводные'!$B$18),MONTH(BX$3)=MONTH('Вводные'!$B$18)),$B$31,0)</x:f>
      </x:c>
      <x:c r="BY31" s="117" t="n">
        <x:f>IF(AND(YEAR(BY$3)=YEAR('Вводные'!$B$18),MONTH(BY$3)=MONTH('Вводные'!$B$18)),$B$31,0)</x:f>
      </x:c>
      <x:c r="BZ31" s="117" t="n">
        <x:f>IF(AND(YEAR(BZ$3)=YEAR('Вводные'!$B$18),MONTH(BZ$3)=MONTH('Вводные'!$B$18)),$B$31,0)</x:f>
      </x:c>
      <x:c r="CA31" s="117" t="n">
        <x:f>IF(AND(YEAR(CA$3)=YEAR('Вводные'!$B$18),MONTH(CA$3)=MONTH('Вводные'!$B$18)),$B$31,0)</x:f>
      </x:c>
      <x:c r="CB31" s="117" t="n">
        <x:f>IF(AND(YEAR(CB$3)=YEAR('Вводные'!$B$18),MONTH(CB$3)=MONTH('Вводные'!$B$18)),$B$31,0)</x:f>
      </x:c>
      <x:c r="CC31" s="117" t="n">
        <x:f>IF(AND(YEAR(CC$3)=YEAR('Вводные'!$B$18),MONTH(CC$3)=MONTH('Вводные'!$B$18)),$B$31,0)</x:f>
      </x:c>
      <x:c r="CD31" s="117" t="n">
        <x:f>IF(AND(YEAR(CD$3)=YEAR('Вводные'!$B$18),MONTH(CD$3)=MONTH('Вводные'!$B$18)),$B$31,0)</x:f>
      </x:c>
      <x:c r="CE31" s="117" t="n">
        <x:f>IF(AND(YEAR(CE$3)=YEAR('Вводные'!$B$18),MONTH(CE$3)=MONTH('Вводные'!$B$18)),$B$31,0)</x:f>
      </x:c>
      <x:c r="CF31" s="117" t="n">
        <x:f>IF(AND(YEAR(CF$3)=YEAR('Вводные'!$B$18),MONTH(CF$3)=MONTH('Вводные'!$B$18)),$B$31,0)</x:f>
      </x:c>
      <x:c r="CG31" s="117" t="n">
        <x:f>IF(AND(YEAR(CG$3)=YEAR('Вводные'!$B$18),MONTH(CG$3)=MONTH('Вводные'!$B$18)),$B$31,0)</x:f>
      </x:c>
      <x:c r="CH31" s="117" t="n">
        <x:f>IF(AND(YEAR(CH$3)=YEAR('Вводные'!$B$18),MONTH(CH$3)=MONTH('Вводные'!$B$18)),$B$31,0)</x:f>
      </x:c>
      <x:c r="CI31" s="117" t="n">
        <x:f>IF(AND(YEAR(CI$3)=YEAR('Вводные'!$B$18),MONTH(CI$3)=MONTH('Вводные'!$B$18)),$B$31,0)</x:f>
      </x:c>
      <x:c r="CJ31" s="117" t="n">
        <x:f>IF(AND(YEAR(CJ$3)=YEAR('Вводные'!$B$18),MONTH(CJ$3)=MONTH('Вводные'!$B$18)),$B$31,0)</x:f>
      </x:c>
      <x:c r="CK31" s="117" t="n">
        <x:f>IF(AND(YEAR(CK$3)=YEAR('Вводные'!$B$18),MONTH(CK$3)=MONTH('Вводные'!$B$18)),$B$31,0)</x:f>
      </x:c>
      <x:c r="CL31" s="117" t="n">
        <x:f>IF(AND(YEAR(CL$3)=YEAR('Вводные'!$B$18),MONTH(CL$3)=MONTH('Вводные'!$B$18)),$B$31,0)</x:f>
      </x:c>
      <x:c r="CM31" s="117" t="n">
        <x:f>IF(AND(YEAR(CM$3)=YEAR('Вводные'!$B$18),MONTH(CM$3)=MONTH('Вводные'!$B$18)),$B$31,0)</x:f>
      </x:c>
      <x:c r="CN31" s="117" t="n">
        <x:f>IF(AND(YEAR(CN$3)=YEAR('Вводные'!$B$18),MONTH(CN$3)=MONTH('Вводные'!$B$18)),$B$31,0)</x:f>
      </x:c>
      <x:c r="CO31" s="117" t="n">
        <x:f>IF(AND(YEAR(CO$3)=YEAR('Вводные'!$B$18),MONTH(CO$3)=MONTH('Вводные'!$B$18)),$B$31,0)</x:f>
      </x:c>
      <x:c r="CP31" s="117" t="n">
        <x:f>IF(AND(YEAR(CP$3)=YEAR('Вводные'!$B$18),MONTH(CP$3)=MONTH('Вводные'!$B$18)),$B$31,0)</x:f>
      </x:c>
      <x:c r="CQ31" s="117" t="n">
        <x:f>IF(AND(YEAR(CQ$3)=YEAR('Вводные'!$B$18),MONTH(CQ$3)=MONTH('Вводные'!$B$18)),$B$31,0)</x:f>
      </x:c>
      <x:c r="CR31" s="117" t="n">
        <x:f>IF(AND(YEAR(CR$3)=YEAR('Вводные'!$B$18),MONTH(CR$3)=MONTH('Вводные'!$B$18)),$B$31,0)</x:f>
      </x:c>
      <x:c r="CS31" s="117" t="n">
        <x:f>IF(AND(YEAR(CS$3)=YEAR('Вводные'!$B$18),MONTH(CS$3)=MONTH('Вводные'!$B$18)),$B$31,0)</x:f>
      </x:c>
      <x:c r="CT31" s="117" t="n">
        <x:f>IF(AND(YEAR(CT$3)=YEAR('Вводные'!$B$18),MONTH(CT$3)=MONTH('Вводные'!$B$18)),$B$31,0)</x:f>
      </x:c>
      <x:c r="CU31" s="117" t="n">
        <x:f>IF(AND(YEAR(CU$3)=YEAR('Вводные'!$B$18),MONTH(CU$3)=MONTH('Вводные'!$B$18)),$B$31,0)</x:f>
      </x:c>
      <x:c r="CV31" s="117" t="n">
        <x:f>IF(AND(YEAR(CV$3)=YEAR('Вводные'!$B$18),MONTH(CV$3)=MONTH('Вводные'!$B$18)),$B$31,0)</x:f>
      </x:c>
      <x:c r="CW31" s="117" t="n">
        <x:f>IF(AND(YEAR(CW$3)=YEAR('Вводные'!$B$18),MONTH(CW$3)=MONTH('Вводные'!$B$18)),$B$31,0)</x:f>
      </x:c>
      <x:c r="CX31" s="117" t="n">
        <x:f>IF(AND(YEAR(CX$3)=YEAR('Вводные'!$B$18),MONTH(CX$3)=MONTH('Вводные'!$B$18)),$B$31,0)</x:f>
      </x:c>
      <x:c r="CY31" s="117" t="n">
        <x:f>IF(AND(YEAR(CY$3)=YEAR('Вводные'!$B$18),MONTH(CY$3)=MONTH('Вводные'!$B$18)),$B$31,0)</x:f>
      </x:c>
      <x:c r="CZ31" s="117" t="n">
        <x:f>IF(AND(YEAR(CZ$3)=YEAR('Вводные'!$B$18),MONTH(CZ$3)=MONTH('Вводные'!$B$18)),$B$31,0)</x:f>
      </x:c>
      <x:c r="DA31" s="117" t="n">
        <x:f>IF(AND(YEAR(DA$3)=YEAR('Вводные'!$B$18),MONTH(DA$3)=MONTH('Вводные'!$B$18)),$B$31,0)</x:f>
      </x:c>
      <x:c r="DB31" s="117" t="n">
        <x:f>IF(AND(YEAR(DB$3)=YEAR('Вводные'!$B$18),MONTH(DB$3)=MONTH('Вводные'!$B$18)),$B$31,0)</x:f>
      </x:c>
      <x:c r="DC31" s="117" t="n">
        <x:f>IF(AND(YEAR(DC$3)=YEAR('Вводные'!$B$18),MONTH(DC$3)=MONTH('Вводные'!$B$18)),$B$31,0)</x:f>
      </x:c>
      <x:c r="DD31" s="117" t="n">
        <x:f>IF(AND(YEAR(DD$3)=YEAR('Вводные'!$B$18),MONTH(DD$3)=MONTH('Вводные'!$B$18)),$B$31,0)</x:f>
      </x:c>
      <x:c r="DE31" s="117" t="n">
        <x:f>IF(AND(YEAR(DE$3)=YEAR('Вводные'!$B$18),MONTH(DE$3)=MONTH('Вводные'!$B$18)),$B$31,0)</x:f>
      </x:c>
      <x:c r="DF31" s="117" t="n">
        <x:f>IF(AND(YEAR(DF$3)=YEAR('Вводные'!$B$18),MONTH(DF$3)=MONTH('Вводные'!$B$18)),$B$31,0)</x:f>
      </x:c>
      <x:c r="DG31" s="117" t="n">
        <x:f>IF(AND(YEAR(DG$3)=YEAR('Вводные'!$B$18),MONTH(DG$3)=MONTH('Вводные'!$B$18)),$B$31,0)</x:f>
      </x:c>
      <x:c r="DH31" s="117" t="n">
        <x:f>IF(AND(YEAR(DH$3)=YEAR('Вводные'!$B$18),MONTH(DH$3)=MONTH('Вводные'!$B$18)),$B$31,0)</x:f>
      </x:c>
      <x:c r="DI31" s="117" t="n">
        <x:f>IF(AND(YEAR(DI$3)=YEAR('Вводные'!$B$18),MONTH(DI$3)=MONTH('Вводные'!$B$18)),$B$31,0)</x:f>
      </x:c>
      <x:c r="DJ31" s="117" t="n">
        <x:f>IF(AND(YEAR(DJ$3)=YEAR('Вводные'!$B$18),MONTH(DJ$3)=MONTH('Вводные'!$B$18)),$B$31,0)</x:f>
      </x:c>
      <x:c r="DK31" s="117" t="n">
        <x:f>IF(AND(YEAR(DK$3)=YEAR('Вводные'!$B$18),MONTH(DK$3)=MONTH('Вводные'!$B$18)),$B$31,0)</x:f>
      </x:c>
      <x:c r="DL31" s="117" t="n">
        <x:f>IF(AND(YEAR(DL$3)=YEAR('Вводные'!$B$18),MONTH(DL$3)=MONTH('Вводные'!$B$18)),$B$31,0)</x:f>
      </x:c>
      <x:c r="DM31" s="117" t="n">
        <x:f>IF(AND(YEAR(DM$3)=YEAR('Вводные'!$B$18),MONTH(DM$3)=MONTH('Вводные'!$B$18)),$B$31,0)</x:f>
      </x:c>
      <x:c r="DN31" s="117" t="n">
        <x:f>IF(AND(YEAR(DN$3)=YEAR('Вводные'!$B$18),MONTH(DN$3)=MONTH('Вводные'!$B$18)),$B$31,0)</x:f>
      </x:c>
      <x:c r="DO31" s="117" t="n">
        <x:f>IF(AND(YEAR(DO$3)=YEAR('Вводные'!$B$18),MONTH(DO$3)=MONTH('Вводные'!$B$18)),$B$31,0)</x:f>
      </x:c>
      <x:c r="DP31" s="117" t="n">
        <x:f>IF(AND(YEAR(DP$3)=YEAR('Вводные'!$B$18),MONTH(DP$3)=MONTH('Вводные'!$B$18)),$B$31,0)</x:f>
      </x:c>
      <x:c r="DQ31" s="117" t="n">
        <x:f>IF(AND(YEAR(DQ$3)=YEAR('Вводные'!$B$18),MONTH(DQ$3)=MONTH('Вводные'!$B$18)),$B$31,0)</x:f>
      </x:c>
      <x:c r="DR31" s="117" t="n">
        <x:f>IF(AND(YEAR(DR$3)=YEAR('Вводные'!$B$18),MONTH(DR$3)=MONTH('Вводные'!$B$18)),$B$31,0)</x:f>
      </x:c>
      <x:c r="DS31" s="117" t="n">
        <x:f>IF(AND(YEAR(DS$3)=YEAR('Вводные'!$B$18),MONTH(DS$3)=MONTH('Вводные'!$B$18)),$B$31,0)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SUM(B50:B60)*'Вводные'!$B$53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SUM(B50:B60)*'Вводные'!$B$52</x:f>
      </x:c>
      <x:c r="C62" t="str">
        <x:v>млн ₽</x:v>
      </x:c>
      <x:c r="D62" s="117" t="n">
        <x:f>$B$62*D44</x:f>
      </x:c>
      <x:c r="E62" s="117" t="n">
        <x:f>$B$62*E44</x:f>
      </x:c>
      <x:c r="F62" s="117" t="n">
        <x:f>$B$62*F44</x:f>
      </x:c>
      <x:c r="G62" s="117" t="n">
        <x:f>$B$62*G44</x:f>
      </x:c>
      <x:c r="H62" s="117" t="n">
        <x:f>$B$62*H44</x:f>
      </x:c>
      <x:c r="I62" s="117" t="n">
        <x:f>$B$62*I44</x:f>
      </x:c>
      <x:c r="J62" s="117" t="n">
        <x:f>$B$62*J44</x:f>
      </x:c>
      <x:c r="K62" s="117" t="n">
        <x:f>$B$62*K44</x:f>
      </x:c>
      <x:c r="L62" s="117" t="n">
        <x:f>$B$62*L44</x:f>
      </x:c>
      <x:c r="M62" s="117" t="n">
        <x:f>$B$62*M44</x:f>
      </x:c>
      <x:c r="N62" s="117" t="n">
        <x:f>$B$62*N44</x:f>
      </x:c>
      <x:c r="O62" s="117" t="n">
        <x:f>$B$62*O44</x:f>
      </x:c>
      <x:c r="P62" s="117" t="n">
        <x:f>$B$62*P44</x:f>
      </x:c>
      <x:c r="Q62" s="117" t="n">
        <x:f>$B$62*Q44</x:f>
      </x:c>
      <x:c r="R62" s="117" t="n">
        <x:f>$B$62*R44</x:f>
      </x:c>
      <x:c r="S62" s="117" t="n">
        <x:f>$B$62*S44</x:f>
      </x:c>
      <x:c r="T62" s="117" t="n">
        <x:f>$B$62*T44</x:f>
      </x:c>
      <x:c r="U62" s="117" t="n">
        <x:f>$B$62*U44</x:f>
      </x:c>
      <x:c r="V62" s="117" t="n">
        <x:f>$B$62*V44</x:f>
      </x:c>
      <x:c r="W62" s="117" t="n">
        <x:f>$B$62*W44</x:f>
      </x:c>
      <x:c r="X62" s="117" t="n">
        <x:f>$B$62*X44</x:f>
      </x:c>
      <x:c r="Y62" s="117" t="n">
        <x:f>$B$62*Y44</x:f>
      </x:c>
      <x:c r="Z62" s="117" t="n">
        <x:f>$B$62*Z44</x:f>
      </x:c>
      <x:c r="AA62" s="117" t="n">
        <x:f>$B$62*AA44</x:f>
      </x:c>
      <x:c r="AB62" s="117" t="n">
        <x:f>$B$62*AB44</x:f>
      </x:c>
      <x:c r="AC62" s="117" t="n">
        <x:f>$B$62*AC44</x:f>
      </x:c>
      <x:c r="AD62" s="117" t="n">
        <x:f>$B$62*AD44</x:f>
      </x:c>
      <x:c r="AE62" s="117" t="n">
        <x:f>$B$62*AE44</x:f>
      </x:c>
      <x:c r="AF62" s="117" t="n">
        <x:f>$B$62*AF44</x:f>
      </x:c>
      <x:c r="AG62" s="117" t="n">
        <x:f>$B$62*AG44</x:f>
      </x:c>
      <x:c r="AH62" s="117" t="n">
        <x:f>$B$62*AH44</x:f>
      </x:c>
      <x:c r="AI62" s="117" t="n">
        <x:f>$B$62*AI44</x:f>
      </x:c>
      <x:c r="AJ62" s="117" t="n">
        <x:f>$B$62*AJ44</x:f>
      </x:c>
      <x:c r="AK62" s="117" t="n">
        <x:f>$B$62*AK44</x:f>
      </x:c>
      <x:c r="AL62" s="117" t="n">
        <x:f>$B$62*AL44</x:f>
      </x:c>
      <x:c r="AM62" s="117" t="n">
        <x:f>$B$62*AM44</x:f>
      </x:c>
      <x:c r="AN62" s="117" t="n">
        <x:f>$B$62*AN44</x:f>
      </x:c>
      <x:c r="AO62" s="117" t="n">
        <x:f>$B$62*AO44</x:f>
      </x:c>
      <x:c r="AP62" s="117" t="n">
        <x:f>$B$62*AP44</x:f>
      </x:c>
      <x:c r="AQ62" s="117" t="n">
        <x:f>$B$62*AQ44</x:f>
      </x:c>
      <x:c r="AR62" s="117" t="n">
        <x:f>$B$62*AR44</x:f>
      </x:c>
      <x:c r="AS62" s="117" t="n">
        <x:f>$B$62*AS44</x:f>
      </x:c>
      <x:c r="AT62" s="117" t="n">
        <x:f>$B$62*AT44</x:f>
      </x:c>
      <x:c r="AU62" s="117" t="n">
        <x:f>$B$62*AU44</x:f>
      </x:c>
      <x:c r="AV62" s="117" t="n">
        <x:f>$B$62*AV44</x:f>
      </x:c>
      <x:c r="AW62" s="117" t="n">
        <x:f>$B$62*AW44</x:f>
      </x:c>
      <x:c r="AX62" s="117" t="n">
        <x:f>$B$62*AX44</x:f>
      </x:c>
      <x:c r="AY62" s="117" t="n">
        <x:f>$B$62*AY44</x:f>
      </x:c>
      <x:c r="AZ62" s="117" t="n">
        <x:f>$B$62*AZ44</x:f>
      </x:c>
      <x:c r="BA62" s="117" t="n">
        <x:f>$B$62*BA44</x:f>
      </x:c>
      <x:c r="BB62" s="117" t="n">
        <x:f>$B$62*BB44</x:f>
      </x:c>
      <x:c r="BC62" s="117" t="n">
        <x:f>$B$62*BC44</x:f>
      </x:c>
      <x:c r="BD62" s="117" t="n">
        <x:f>$B$62*BD44</x:f>
      </x:c>
      <x:c r="BE62" s="117" t="n">
        <x:f>$B$62*BE44</x:f>
      </x:c>
      <x:c r="BF62" s="117" t="n">
        <x:f>$B$62*BF44</x:f>
      </x:c>
      <x:c r="BG62" s="117" t="n">
        <x:f>$B$62*BG44</x:f>
      </x:c>
      <x:c r="BH62" s="117" t="n">
        <x:f>$B$62*BH44</x:f>
      </x:c>
      <x:c r="BI62" s="117" t="n">
        <x:f>$B$62*BI44</x:f>
      </x:c>
      <x:c r="BJ62" s="117" t="n">
        <x:f>$B$62*BJ44</x:f>
      </x:c>
      <x:c r="BK62" s="117" t="n">
        <x:f>$B$62*BK44</x:f>
      </x:c>
      <x:c r="BL62" s="117" t="n">
        <x:f>$B$62*BL44</x:f>
      </x:c>
      <x:c r="BM62" s="117" t="n">
        <x:f>$B$62*BM44</x:f>
      </x:c>
      <x:c r="BN62" s="117" t="n">
        <x:f>$B$62*BN44</x:f>
      </x:c>
      <x:c r="BO62" s="117" t="n">
        <x:f>$B$62*BO44</x:f>
      </x:c>
      <x:c r="BP62" s="117" t="n">
        <x:f>$B$62*BP44</x:f>
      </x:c>
      <x:c r="BQ62" s="117" t="n">
        <x:f>$B$62*BQ44</x:f>
      </x:c>
      <x:c r="BR62" s="117" t="n">
        <x:f>$B$62*BR44</x:f>
      </x:c>
      <x:c r="BS62" s="117" t="n">
        <x:f>$B$62*BS44</x:f>
      </x:c>
      <x:c r="BT62" s="117" t="n">
        <x:f>$B$62*BT44</x:f>
      </x:c>
      <x:c r="BU62" s="117" t="n">
        <x:f>$B$62*BU44</x:f>
      </x:c>
      <x:c r="BV62" s="117" t="n">
        <x:f>$B$62*BV44</x:f>
      </x:c>
      <x:c r="BW62" s="117" t="n">
        <x:f>$B$62*BW44</x:f>
      </x:c>
      <x:c r="BX62" s="117" t="n">
        <x:f>$B$62*BX44</x:f>
      </x:c>
      <x:c r="BY62" s="117" t="n">
        <x:f>$B$62*BY44</x:f>
      </x:c>
      <x:c r="BZ62" s="117" t="n">
        <x:f>$B$62*BZ44</x:f>
      </x:c>
      <x:c r="CA62" s="117" t="n">
        <x:f>$B$62*CA44</x:f>
      </x:c>
      <x:c r="CB62" s="117" t="n">
        <x:f>$B$62*CB44</x:f>
      </x:c>
      <x:c r="CC62" s="117" t="n">
        <x:f>$B$62*CC44</x:f>
      </x:c>
      <x:c r="CD62" s="117" t="n">
        <x:f>$B$62*CD44</x:f>
      </x:c>
      <x:c r="CE62" s="117" t="n">
        <x:f>$B$62*CE44</x:f>
      </x:c>
      <x:c r="CF62" s="117" t="n">
        <x:f>$B$62*CF44</x:f>
      </x:c>
      <x:c r="CG62" s="117" t="n">
        <x:f>$B$62*CG44</x:f>
      </x:c>
      <x:c r="CH62" s="117" t="n">
        <x:f>$B$62*CH44</x:f>
      </x:c>
      <x:c r="CI62" s="117" t="n">
        <x:f>$B$62*CI44</x:f>
      </x:c>
      <x:c r="CJ62" s="117" t="n">
        <x:f>$B$62*CJ44</x:f>
      </x:c>
      <x:c r="CK62" s="117" t="n">
        <x:f>$B$62*CK44</x:f>
      </x:c>
      <x:c r="CL62" s="117" t="n">
        <x:f>$B$62*CL44</x:f>
      </x:c>
      <x:c r="CM62" s="117" t="n">
        <x:f>$B$62*CM44</x:f>
      </x:c>
      <x:c r="CN62" s="117" t="n">
        <x:f>$B$62*CN44</x:f>
      </x:c>
      <x:c r="CO62" s="117" t="n">
        <x:f>$B$62*CO44</x:f>
      </x:c>
      <x:c r="CP62" s="117" t="n">
        <x:f>$B$62*CP44</x:f>
      </x:c>
      <x:c r="CQ62" s="117" t="n">
        <x:f>$B$62*CQ44</x:f>
      </x:c>
      <x:c r="CR62" s="117" t="n">
        <x:f>$B$62*CR44</x:f>
      </x:c>
      <x:c r="CS62" s="117" t="n">
        <x:f>$B$62*CS44</x:f>
      </x:c>
      <x:c r="CT62" s="117" t="n">
        <x:f>$B$62*CT44</x:f>
      </x:c>
      <x:c r="CU62" s="117" t="n">
        <x:f>$B$62*CU44</x:f>
      </x:c>
      <x:c r="CV62" s="117" t="n">
        <x:f>$B$62*CV44</x:f>
      </x:c>
      <x:c r="CW62" s="117" t="n">
        <x:f>$B$62*CW44</x:f>
      </x:c>
      <x:c r="CX62" s="117" t="n">
        <x:f>$B$62*CX44</x:f>
      </x:c>
      <x:c r="CY62" s="117" t="n">
        <x:f>$B$62*CY44</x:f>
      </x:c>
      <x:c r="CZ62" s="117" t="n">
        <x:f>$B$62*CZ44</x:f>
      </x:c>
      <x:c r="DA62" s="117" t="n">
        <x:f>$B$62*DA44</x:f>
      </x:c>
      <x:c r="DB62" s="117" t="n">
        <x:f>$B$62*DB44</x:f>
      </x:c>
      <x:c r="DC62" s="117" t="n">
        <x:f>$B$62*DC44</x:f>
      </x:c>
      <x:c r="DD62" s="117" t="n">
        <x:f>$B$62*DD44</x:f>
      </x:c>
      <x:c r="DE62" s="117" t="n">
        <x:f>$B$62*DE44</x:f>
      </x:c>
      <x:c r="DF62" s="117" t="n">
        <x:f>$B$62*DF44</x:f>
      </x:c>
      <x:c r="DG62" s="117" t="n">
        <x:f>$B$62*DG44</x:f>
      </x:c>
      <x:c r="DH62" s="117" t="n">
        <x:f>$B$62*DH44</x:f>
      </x:c>
      <x:c r="DI62" s="117" t="n">
        <x:f>$B$62*DI44</x:f>
      </x:c>
      <x:c r="DJ62" s="117" t="n">
        <x:f>$B$62*DJ44</x:f>
      </x:c>
      <x:c r="DK62" s="117" t="n">
        <x:f>$B$62*DK44</x:f>
      </x:c>
      <x:c r="DL62" s="117" t="n">
        <x:f>$B$62*DL44</x:f>
      </x:c>
      <x:c r="DM62" s="117" t="n">
        <x:f>$B$62*DM44</x:f>
      </x:c>
      <x:c r="DN62" s="117" t="n">
        <x:f>$B$62*DN44</x:f>
      </x:c>
      <x:c r="DO62" s="117" t="n">
        <x:f>$B$62*DO44</x:f>
      </x:c>
      <x:c r="DP62" s="117" t="n">
        <x:f>$B$62*DP44</x:f>
      </x:c>
      <x:c r="DQ62" s="117" t="n">
        <x:f>$B$62*DQ44</x:f>
      </x:c>
      <x:c r="DR62" s="117" t="n">
        <x:f>$B$62*DR44</x:f>
      </x:c>
      <x:c r="DS62" s="117" t="n">
        <x:f>$B$62*DS44</x:f>
      </x:c>
    </x:row>
    <x:row r="63">
      <x:c r="A63" t="str">
        <x:v>Вознаграждение генподрядчика</x:v>
      </x:c>
      <x:c r="B63" s="107" t="n">
        <x:f>SUM(B50:B60)*'Вводные'!$B$50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IF(AND(YEAR(D$3)=YEAR('Вводные'!$B$18),MONTH(D$3)=MONTH('Вводные'!$B$18)),$B$65,0)</x:f>
      </x:c>
      <x:c r="E65" s="117" t="n">
        <x:f>IF(AND(YEAR(E$3)=YEAR('Вводные'!$B$18),MONTH(E$3)=MONTH('Вводные'!$B$18)),$B$65,0)</x:f>
      </x:c>
      <x:c r="F65" s="117" t="n">
        <x:f>IF(AND(YEAR(F$3)=YEAR('Вводные'!$B$18),MONTH(F$3)=MONTH('Вводные'!$B$18)),$B$65,0)</x:f>
      </x:c>
      <x:c r="G65" s="117" t="n">
        <x:f>IF(AND(YEAR(G$3)=YEAR('Вводные'!$B$18),MONTH(G$3)=MONTH('Вводные'!$B$18)),$B$65,0)</x:f>
      </x:c>
      <x:c r="H65" s="117" t="n">
        <x:f>IF(AND(YEAR(H$3)=YEAR('Вводные'!$B$18),MONTH(H$3)=MONTH('Вводные'!$B$18)),$B$65,0)</x:f>
      </x:c>
      <x:c r="I65" s="117" t="n">
        <x:f>IF(AND(YEAR(I$3)=YEAR('Вводные'!$B$18),MONTH(I$3)=MONTH('Вводные'!$B$18)),$B$65,0)</x:f>
      </x:c>
      <x:c r="J65" s="117" t="n">
        <x:f>IF(AND(YEAR(J$3)=YEAR('Вводные'!$B$18),MONTH(J$3)=MONTH('Вводные'!$B$18)),$B$65,0)</x:f>
      </x:c>
      <x:c r="K65" s="117" t="n">
        <x:f>IF(AND(YEAR(K$3)=YEAR('Вводные'!$B$18),MONTH(K$3)=MONTH('Вводные'!$B$18)),$B$65,0)</x:f>
      </x:c>
      <x:c r="L65" s="117" t="n">
        <x:f>IF(AND(YEAR(L$3)=YEAR('Вводные'!$B$18),MONTH(L$3)=MONTH('Вводные'!$B$18)),$B$65,0)</x:f>
      </x:c>
      <x:c r="M65" s="117" t="n">
        <x:f>IF(AND(YEAR(M$3)=YEAR('Вводные'!$B$18),MONTH(M$3)=MONTH('Вводные'!$B$18)),$B$65,0)</x:f>
      </x:c>
      <x:c r="N65" s="117" t="n">
        <x:f>IF(AND(YEAR(N$3)=YEAR('Вводные'!$B$18),MONTH(N$3)=MONTH('Вводные'!$B$18)),$B$65,0)</x:f>
      </x:c>
      <x:c r="O65" s="117" t="n">
        <x:f>IF(AND(YEAR(O$3)=YEAR('Вводные'!$B$18),MONTH(O$3)=MONTH('Вводные'!$B$18)),$B$65,0)</x:f>
      </x:c>
      <x:c r="P65" s="117" t="n">
        <x:f>IF(AND(YEAR(P$3)=YEAR('Вводные'!$B$18),MONTH(P$3)=MONTH('Вводные'!$B$18)),$B$65,0)</x:f>
      </x:c>
      <x:c r="Q65" s="117" t="n">
        <x:f>IF(AND(YEAR(Q$3)=YEAR('Вводные'!$B$18),MONTH(Q$3)=MONTH('Вводные'!$B$18)),$B$65,0)</x:f>
      </x:c>
      <x:c r="R65" s="117" t="n">
        <x:f>IF(AND(YEAR(R$3)=YEAR('Вводные'!$B$18),MONTH(R$3)=MONTH('Вводные'!$B$18)),$B$65,0)</x:f>
      </x:c>
      <x:c r="S65" s="117" t="n">
        <x:f>IF(AND(YEAR(S$3)=YEAR('Вводные'!$B$18),MONTH(S$3)=MONTH('Вводные'!$B$18)),$B$65,0)</x:f>
      </x:c>
      <x:c r="T65" s="117" t="n">
        <x:f>IF(AND(YEAR(T$3)=YEAR('Вводные'!$B$18),MONTH(T$3)=MONTH('Вводные'!$B$18)),$B$65,0)</x:f>
      </x:c>
      <x:c r="U65" s="117" t="n">
        <x:f>IF(AND(YEAR(U$3)=YEAR('Вводные'!$B$18),MONTH(U$3)=MONTH('Вводные'!$B$18)),$B$65,0)</x:f>
      </x:c>
      <x:c r="V65" s="117" t="n">
        <x:f>IF(AND(YEAR(V$3)=YEAR('Вводные'!$B$18),MONTH(V$3)=MONTH('Вводные'!$B$18)),$B$65,0)</x:f>
      </x:c>
      <x:c r="W65" s="117" t="n">
        <x:f>IF(AND(YEAR(W$3)=YEAR('Вводные'!$B$18),MONTH(W$3)=MONTH('Вводные'!$B$18)),$B$65,0)</x:f>
      </x:c>
      <x:c r="X65" s="117" t="n">
        <x:f>IF(AND(YEAR(X$3)=YEAR('Вводные'!$B$18),MONTH(X$3)=MONTH('Вводные'!$B$18)),$B$65,0)</x:f>
      </x:c>
      <x:c r="Y65" s="117" t="n">
        <x:f>IF(AND(YEAR(Y$3)=YEAR('Вводные'!$B$18),MONTH(Y$3)=MONTH('Вводные'!$B$18)),$B$65,0)</x:f>
      </x:c>
      <x:c r="Z65" s="117" t="n">
        <x:f>IF(AND(YEAR(Z$3)=YEAR('Вводные'!$B$18),MONTH(Z$3)=MONTH('Вводные'!$B$18)),$B$65,0)</x:f>
      </x:c>
      <x:c r="AA65" s="117" t="n">
        <x:f>IF(AND(YEAR(AA$3)=YEAR('Вводные'!$B$18),MONTH(AA$3)=MONTH('Вводные'!$B$18)),$B$65,0)</x:f>
      </x:c>
      <x:c r="AB65" s="117" t="n">
        <x:f>IF(AND(YEAR(AB$3)=YEAR('Вводные'!$B$18),MONTH(AB$3)=MONTH('Вводные'!$B$18)),$B$65,0)</x:f>
      </x:c>
      <x:c r="AC65" s="117" t="n">
        <x:f>IF(AND(YEAR(AC$3)=YEAR('Вводные'!$B$18),MONTH(AC$3)=MONTH('Вводные'!$B$18)),$B$65,0)</x:f>
      </x:c>
      <x:c r="AD65" s="117" t="n">
        <x:f>IF(AND(YEAR(AD$3)=YEAR('Вводные'!$B$18),MONTH(AD$3)=MONTH('Вводные'!$B$18)),$B$65,0)</x:f>
      </x:c>
      <x:c r="AE65" s="117" t="n">
        <x:f>IF(AND(YEAR(AE$3)=YEAR('Вводные'!$B$18),MONTH(AE$3)=MONTH('Вводные'!$B$18)),$B$65,0)</x:f>
      </x:c>
      <x:c r="AF65" s="117" t="n">
        <x:f>IF(AND(YEAR(AF$3)=YEAR('Вводные'!$B$18),MONTH(AF$3)=MONTH('Вводные'!$B$18)),$B$65,0)</x:f>
      </x:c>
      <x:c r="AG65" s="117" t="n">
        <x:f>IF(AND(YEAR(AG$3)=YEAR('Вводные'!$B$18),MONTH(AG$3)=MONTH('Вводные'!$B$18)),$B$65,0)</x:f>
      </x:c>
      <x:c r="AH65" s="117" t="n">
        <x:f>IF(AND(YEAR(AH$3)=YEAR('Вводные'!$B$18),MONTH(AH$3)=MONTH('Вводные'!$B$18)),$B$65,0)</x:f>
      </x:c>
      <x:c r="AI65" s="117" t="n">
        <x:f>IF(AND(YEAR(AI$3)=YEAR('Вводные'!$B$18),MONTH(AI$3)=MONTH('Вводные'!$B$18)),$B$65,0)</x:f>
      </x:c>
      <x:c r="AJ65" s="117" t="n">
        <x:f>IF(AND(YEAR(AJ$3)=YEAR('Вводные'!$B$18),MONTH(AJ$3)=MONTH('Вводные'!$B$18)),$B$65,0)</x:f>
      </x:c>
      <x:c r="AK65" s="117" t="n">
        <x:f>IF(AND(YEAR(AK$3)=YEAR('Вводные'!$B$18),MONTH(AK$3)=MONTH('Вводные'!$B$18)),$B$65,0)</x:f>
      </x:c>
      <x:c r="AL65" s="117" t="n">
        <x:f>IF(AND(YEAR(AL$3)=YEAR('Вводные'!$B$18),MONTH(AL$3)=MONTH('Вводные'!$B$18)),$B$65,0)</x:f>
      </x:c>
      <x:c r="AM65" s="117" t="n">
        <x:f>IF(AND(YEAR(AM$3)=YEAR('Вводные'!$B$18),MONTH(AM$3)=MONTH('Вводные'!$B$18)),$B$65,0)</x:f>
      </x:c>
      <x:c r="AN65" s="117" t="n">
        <x:f>IF(AND(YEAR(AN$3)=YEAR('Вводные'!$B$18),MONTH(AN$3)=MONTH('Вводные'!$B$18)),$B$65,0)</x:f>
      </x:c>
      <x:c r="AO65" s="117" t="n">
        <x:f>IF(AND(YEAR(AO$3)=YEAR('Вводные'!$B$18),MONTH(AO$3)=MONTH('Вводные'!$B$18)),$B$65,0)</x:f>
      </x:c>
      <x:c r="AP65" s="117" t="n">
        <x:f>IF(AND(YEAR(AP$3)=YEAR('Вводные'!$B$18),MONTH(AP$3)=MONTH('Вводные'!$B$18)),$B$65,0)</x:f>
      </x:c>
      <x:c r="AQ65" s="117" t="n">
        <x:f>IF(AND(YEAR(AQ$3)=YEAR('Вводные'!$B$18),MONTH(AQ$3)=MONTH('Вводные'!$B$18)),$B$65,0)</x:f>
      </x:c>
      <x:c r="AR65" s="117" t="n">
        <x:f>IF(AND(YEAR(AR$3)=YEAR('Вводные'!$B$18),MONTH(AR$3)=MONTH('Вводные'!$B$18)),$B$65,0)</x:f>
      </x:c>
      <x:c r="AS65" s="117" t="n">
        <x:f>IF(AND(YEAR(AS$3)=YEAR('Вводные'!$B$18),MONTH(AS$3)=MONTH('Вводные'!$B$18)),$B$65,0)</x:f>
      </x:c>
      <x:c r="AT65" s="117" t="n">
        <x:f>IF(AND(YEAR(AT$3)=YEAR('Вводные'!$B$18),MONTH(AT$3)=MONTH('Вводные'!$B$18)),$B$65,0)</x:f>
      </x:c>
      <x:c r="AU65" s="117" t="n">
        <x:f>IF(AND(YEAR(AU$3)=YEAR('Вводные'!$B$18),MONTH(AU$3)=MONTH('Вводные'!$B$18)),$B$65,0)</x:f>
      </x:c>
      <x:c r="AV65" s="117" t="n">
        <x:f>IF(AND(YEAR(AV$3)=YEAR('Вводные'!$B$18),MONTH(AV$3)=MONTH('Вводные'!$B$18)),$B$65,0)</x:f>
      </x:c>
      <x:c r="AW65" s="117" t="n">
        <x:f>IF(AND(YEAR(AW$3)=YEAR('Вводные'!$B$18),MONTH(AW$3)=MONTH('Вводные'!$B$18)),$B$65,0)</x:f>
      </x:c>
      <x:c r="AX65" s="117" t="n">
        <x:f>IF(AND(YEAR(AX$3)=YEAR('Вводные'!$B$18),MONTH(AX$3)=MONTH('Вводные'!$B$18)),$B$65,0)</x:f>
      </x:c>
      <x:c r="AY65" s="117" t="n">
        <x:f>IF(AND(YEAR(AY$3)=YEAR('Вводные'!$B$18),MONTH(AY$3)=MONTH('Вводные'!$B$18)),$B$65,0)</x:f>
      </x:c>
      <x:c r="AZ65" s="117" t="n">
        <x:f>IF(AND(YEAR(AZ$3)=YEAR('Вводные'!$B$18),MONTH(AZ$3)=MONTH('Вводные'!$B$18)),$B$65,0)</x:f>
      </x:c>
      <x:c r="BA65" s="117" t="n">
        <x:f>IF(AND(YEAR(BA$3)=YEAR('Вводные'!$B$18),MONTH(BA$3)=MONTH('Вводные'!$B$18)),$B$65,0)</x:f>
      </x:c>
      <x:c r="BB65" s="117" t="n">
        <x:f>IF(AND(YEAR(BB$3)=YEAR('Вводные'!$B$18),MONTH(BB$3)=MONTH('Вводные'!$B$18)),$B$65,0)</x:f>
      </x:c>
      <x:c r="BC65" s="117" t="n">
        <x:f>IF(AND(YEAR(BC$3)=YEAR('Вводные'!$B$18),MONTH(BC$3)=MONTH('Вводные'!$B$18)),$B$65,0)</x:f>
      </x:c>
      <x:c r="BD65" s="117" t="n">
        <x:f>IF(AND(YEAR(BD$3)=YEAR('Вводные'!$B$18),MONTH(BD$3)=MONTH('Вводные'!$B$18)),$B$65,0)</x:f>
      </x:c>
      <x:c r="BE65" s="117" t="n">
        <x:f>IF(AND(YEAR(BE$3)=YEAR('Вводные'!$B$18),MONTH(BE$3)=MONTH('Вводные'!$B$18)),$B$65,0)</x:f>
      </x:c>
      <x:c r="BF65" s="117" t="n">
        <x:f>IF(AND(YEAR(BF$3)=YEAR('Вводные'!$B$18),MONTH(BF$3)=MONTH('Вводные'!$B$18)),$B$65,0)</x:f>
      </x:c>
      <x:c r="BG65" s="117" t="n">
        <x:f>IF(AND(YEAR(BG$3)=YEAR('Вводные'!$B$18),MONTH(BG$3)=MONTH('Вводные'!$B$18)),$B$65,0)</x:f>
      </x:c>
      <x:c r="BH65" s="117" t="n">
        <x:f>IF(AND(YEAR(BH$3)=YEAR('Вводные'!$B$18),MONTH(BH$3)=MONTH('Вводные'!$B$18)),$B$65,0)</x:f>
      </x:c>
      <x:c r="BI65" s="117" t="n">
        <x:f>IF(AND(YEAR(BI$3)=YEAR('Вводные'!$B$18),MONTH(BI$3)=MONTH('Вводные'!$B$18)),$B$65,0)</x:f>
      </x:c>
      <x:c r="BJ65" s="117" t="n">
        <x:f>IF(AND(YEAR(BJ$3)=YEAR('Вводные'!$B$18),MONTH(BJ$3)=MONTH('Вводные'!$B$18)),$B$65,0)</x:f>
      </x:c>
      <x:c r="BK65" s="117" t="n">
        <x:f>IF(AND(YEAR(BK$3)=YEAR('Вводные'!$B$18),MONTH(BK$3)=MONTH('Вводные'!$B$18)),$B$65,0)</x:f>
      </x:c>
      <x:c r="BL65" s="117" t="n">
        <x:f>IF(AND(YEAR(BL$3)=YEAR('Вводные'!$B$18),MONTH(BL$3)=MONTH('Вводные'!$B$18)),$B$65,0)</x:f>
      </x:c>
      <x:c r="BM65" s="117" t="n">
        <x:f>IF(AND(YEAR(BM$3)=YEAR('Вводные'!$B$18),MONTH(BM$3)=MONTH('Вводные'!$B$18)),$B$65,0)</x:f>
      </x:c>
      <x:c r="BN65" s="117" t="n">
        <x:f>IF(AND(YEAR(BN$3)=YEAR('Вводные'!$B$18),MONTH(BN$3)=MONTH('Вводные'!$B$18)),$B$65,0)</x:f>
      </x:c>
      <x:c r="BO65" s="117" t="n">
        <x:f>IF(AND(YEAR(BO$3)=YEAR('Вводные'!$B$18),MONTH(BO$3)=MONTH('Вводные'!$B$18)),$B$65,0)</x:f>
      </x:c>
      <x:c r="BP65" s="117" t="n">
        <x:f>IF(AND(YEAR(BP$3)=YEAR('Вводные'!$B$18),MONTH(BP$3)=MONTH('Вводные'!$B$18)),$B$65,0)</x:f>
      </x:c>
      <x:c r="BQ65" s="117" t="n">
        <x:f>IF(AND(YEAR(BQ$3)=YEAR('Вводные'!$B$18),MONTH(BQ$3)=MONTH('Вводные'!$B$18)),$B$65,0)</x:f>
      </x:c>
      <x:c r="BR65" s="117" t="n">
        <x:f>IF(AND(YEAR(BR$3)=YEAR('Вводные'!$B$18),MONTH(BR$3)=MONTH('Вводные'!$B$18)),$B$65,0)</x:f>
      </x:c>
      <x:c r="BS65" s="117" t="n">
        <x:f>IF(AND(YEAR(BS$3)=YEAR('Вводные'!$B$18),MONTH(BS$3)=MONTH('Вводные'!$B$18)),$B$65,0)</x:f>
      </x:c>
      <x:c r="BT65" s="117" t="n">
        <x:f>IF(AND(YEAR(BT$3)=YEAR('Вводные'!$B$18),MONTH(BT$3)=MONTH('Вводные'!$B$18)),$B$65,0)</x:f>
      </x:c>
      <x:c r="BU65" s="117" t="n">
        <x:f>IF(AND(YEAR(BU$3)=YEAR('Вводные'!$B$18),MONTH(BU$3)=MONTH('Вводные'!$B$18)),$B$65,0)</x:f>
      </x:c>
      <x:c r="BV65" s="117" t="n">
        <x:f>IF(AND(YEAR(BV$3)=YEAR('Вводные'!$B$18),MONTH(BV$3)=MONTH('Вводные'!$B$18)),$B$65,0)</x:f>
      </x:c>
      <x:c r="BW65" s="117" t="n">
        <x:f>IF(AND(YEAR(BW$3)=YEAR('Вводные'!$B$18),MONTH(BW$3)=MONTH('Вводные'!$B$18)),$B$65,0)</x:f>
      </x:c>
      <x:c r="BX65" s="117" t="n">
        <x:f>IF(AND(YEAR(BX$3)=YEAR('Вводные'!$B$18),MONTH(BX$3)=MONTH('Вводные'!$B$18)),$B$65,0)</x:f>
      </x:c>
      <x:c r="BY65" s="117" t="n">
        <x:f>IF(AND(YEAR(BY$3)=YEAR('Вводные'!$B$18),MONTH(BY$3)=MONTH('Вводные'!$B$18)),$B$65,0)</x:f>
      </x:c>
      <x:c r="BZ65" s="117" t="n">
        <x:f>IF(AND(YEAR(BZ$3)=YEAR('Вводные'!$B$18),MONTH(BZ$3)=MONTH('Вводные'!$B$18)),$B$65,0)</x:f>
      </x:c>
      <x:c r="CA65" s="117" t="n">
        <x:f>IF(AND(YEAR(CA$3)=YEAR('Вводные'!$B$18),MONTH(CA$3)=MONTH('Вводные'!$B$18)),$B$65,0)</x:f>
      </x:c>
      <x:c r="CB65" s="117" t="n">
        <x:f>IF(AND(YEAR(CB$3)=YEAR('Вводные'!$B$18),MONTH(CB$3)=MONTH('Вводные'!$B$18)),$B$65,0)</x:f>
      </x:c>
      <x:c r="CC65" s="117" t="n">
        <x:f>IF(AND(YEAR(CC$3)=YEAR('Вводные'!$B$18),MONTH(CC$3)=MONTH('Вводные'!$B$18)),$B$65,0)</x:f>
      </x:c>
      <x:c r="CD65" s="117" t="n">
        <x:f>IF(AND(YEAR(CD$3)=YEAR('Вводные'!$B$18),MONTH(CD$3)=MONTH('Вводные'!$B$18)),$B$65,0)</x:f>
      </x:c>
      <x:c r="CE65" s="117" t="n">
        <x:f>IF(AND(YEAR(CE$3)=YEAR('Вводные'!$B$18),MONTH(CE$3)=MONTH('Вводные'!$B$18)),$B$65,0)</x:f>
      </x:c>
      <x:c r="CF65" s="117" t="n">
        <x:f>IF(AND(YEAR(CF$3)=YEAR('Вводные'!$B$18),MONTH(CF$3)=MONTH('Вводные'!$B$18)),$B$65,0)</x:f>
      </x:c>
      <x:c r="CG65" s="117" t="n">
        <x:f>IF(AND(YEAR(CG$3)=YEAR('Вводные'!$B$18),MONTH(CG$3)=MONTH('Вводные'!$B$18)),$B$65,0)</x:f>
      </x:c>
      <x:c r="CH65" s="117" t="n">
        <x:f>IF(AND(YEAR(CH$3)=YEAR('Вводные'!$B$18),MONTH(CH$3)=MONTH('Вводные'!$B$18)),$B$65,0)</x:f>
      </x:c>
      <x:c r="CI65" s="117" t="n">
        <x:f>IF(AND(YEAR(CI$3)=YEAR('Вводные'!$B$18),MONTH(CI$3)=MONTH('Вводные'!$B$18)),$B$65,0)</x:f>
      </x:c>
      <x:c r="CJ65" s="117" t="n">
        <x:f>IF(AND(YEAR(CJ$3)=YEAR('Вводные'!$B$18),MONTH(CJ$3)=MONTH('Вводные'!$B$18)),$B$65,0)</x:f>
      </x:c>
      <x:c r="CK65" s="117" t="n">
        <x:f>IF(AND(YEAR(CK$3)=YEAR('Вводные'!$B$18),MONTH(CK$3)=MONTH('Вводные'!$B$18)),$B$65,0)</x:f>
      </x:c>
      <x:c r="CL65" s="117" t="n">
        <x:f>IF(AND(YEAR(CL$3)=YEAR('Вводные'!$B$18),MONTH(CL$3)=MONTH('Вводные'!$B$18)),$B$65,0)</x:f>
      </x:c>
      <x:c r="CM65" s="117" t="n">
        <x:f>IF(AND(YEAR(CM$3)=YEAR('Вводные'!$B$18),MONTH(CM$3)=MONTH('Вводные'!$B$18)),$B$65,0)</x:f>
      </x:c>
      <x:c r="CN65" s="117" t="n">
        <x:f>IF(AND(YEAR(CN$3)=YEAR('Вводные'!$B$18),MONTH(CN$3)=MONTH('Вводные'!$B$18)),$B$65,0)</x:f>
      </x:c>
      <x:c r="CO65" s="117" t="n">
        <x:f>IF(AND(YEAR(CO$3)=YEAR('Вводные'!$B$18),MONTH(CO$3)=MONTH('Вводные'!$B$18)),$B$65,0)</x:f>
      </x:c>
      <x:c r="CP65" s="117" t="n">
        <x:f>IF(AND(YEAR(CP$3)=YEAR('Вводные'!$B$18),MONTH(CP$3)=MONTH('Вводные'!$B$18)),$B$65,0)</x:f>
      </x:c>
      <x:c r="CQ65" s="117" t="n">
        <x:f>IF(AND(YEAR(CQ$3)=YEAR('Вводные'!$B$18),MONTH(CQ$3)=MONTH('Вводные'!$B$18)),$B$65,0)</x:f>
      </x:c>
      <x:c r="CR65" s="117" t="n">
        <x:f>IF(AND(YEAR(CR$3)=YEAR('Вводные'!$B$18),MONTH(CR$3)=MONTH('Вводные'!$B$18)),$B$65,0)</x:f>
      </x:c>
      <x:c r="CS65" s="117" t="n">
        <x:f>IF(AND(YEAR(CS$3)=YEAR('Вводные'!$B$18),MONTH(CS$3)=MONTH('Вводные'!$B$18)),$B$65,0)</x:f>
      </x:c>
      <x:c r="CT65" s="117" t="n">
        <x:f>IF(AND(YEAR(CT$3)=YEAR('Вводные'!$B$18),MONTH(CT$3)=MONTH('Вводные'!$B$18)),$B$65,0)</x:f>
      </x:c>
      <x:c r="CU65" s="117" t="n">
        <x:f>IF(AND(YEAR(CU$3)=YEAR('Вводные'!$B$18),MONTH(CU$3)=MONTH('Вводные'!$B$18)),$B$65,0)</x:f>
      </x:c>
      <x:c r="CV65" s="117" t="n">
        <x:f>IF(AND(YEAR(CV$3)=YEAR('Вводные'!$B$18),MONTH(CV$3)=MONTH('Вводные'!$B$18)),$B$65,0)</x:f>
      </x:c>
      <x:c r="CW65" s="117" t="n">
        <x:f>IF(AND(YEAR(CW$3)=YEAR('Вводные'!$B$18),MONTH(CW$3)=MONTH('Вводные'!$B$18)),$B$65,0)</x:f>
      </x:c>
      <x:c r="CX65" s="117" t="n">
        <x:f>IF(AND(YEAR(CX$3)=YEAR('Вводные'!$B$18),MONTH(CX$3)=MONTH('Вводные'!$B$18)),$B$65,0)</x:f>
      </x:c>
      <x:c r="CY65" s="117" t="n">
        <x:f>IF(AND(YEAR(CY$3)=YEAR('Вводные'!$B$18),MONTH(CY$3)=MONTH('Вводные'!$B$18)),$B$65,0)</x:f>
      </x:c>
      <x:c r="CZ65" s="117" t="n">
        <x:f>IF(AND(YEAR(CZ$3)=YEAR('Вводные'!$B$18),MONTH(CZ$3)=MONTH('Вводные'!$B$18)),$B$65,0)</x:f>
      </x:c>
      <x:c r="DA65" s="117" t="n">
        <x:f>IF(AND(YEAR(DA$3)=YEAR('Вводные'!$B$18),MONTH(DA$3)=MONTH('Вводные'!$B$18)),$B$65,0)</x:f>
      </x:c>
      <x:c r="DB65" s="117" t="n">
        <x:f>IF(AND(YEAR(DB$3)=YEAR('Вводные'!$B$18),MONTH(DB$3)=MONTH('Вводные'!$B$18)),$B$65,0)</x:f>
      </x:c>
      <x:c r="DC65" s="117" t="n">
        <x:f>IF(AND(YEAR(DC$3)=YEAR('Вводные'!$B$18),MONTH(DC$3)=MONTH('Вводные'!$B$18)),$B$65,0)</x:f>
      </x:c>
      <x:c r="DD65" s="117" t="n">
        <x:f>IF(AND(YEAR(DD$3)=YEAR('Вводные'!$B$18),MONTH(DD$3)=MONTH('Вводные'!$B$18)),$B$65,0)</x:f>
      </x:c>
      <x:c r="DE65" s="117" t="n">
        <x:f>IF(AND(YEAR(DE$3)=YEAR('Вводные'!$B$18),MONTH(DE$3)=MONTH('Вводные'!$B$18)),$B$65,0)</x:f>
      </x:c>
      <x:c r="DF65" s="117" t="n">
        <x:f>IF(AND(YEAR(DF$3)=YEAR('Вводные'!$B$18),MONTH(DF$3)=MONTH('Вводные'!$B$18)),$B$65,0)</x:f>
      </x:c>
      <x:c r="DG65" s="117" t="n">
        <x:f>IF(AND(YEAR(DG$3)=YEAR('Вводные'!$B$18),MONTH(DG$3)=MONTH('Вводные'!$B$18)),$B$65,0)</x:f>
      </x:c>
      <x:c r="DH65" s="117" t="n">
        <x:f>IF(AND(YEAR(DH$3)=YEAR('Вводные'!$B$18),MONTH(DH$3)=MONTH('Вводные'!$B$18)),$B$65,0)</x:f>
      </x:c>
      <x:c r="DI65" s="117" t="n">
        <x:f>IF(AND(YEAR(DI$3)=YEAR('Вводные'!$B$18),MONTH(DI$3)=MONTH('Вводные'!$B$18)),$B$65,0)</x:f>
      </x:c>
      <x:c r="DJ65" s="117" t="n">
        <x:f>IF(AND(YEAR(DJ$3)=YEAR('Вводные'!$B$18),MONTH(DJ$3)=MONTH('Вводные'!$B$18)),$B$65,0)</x:f>
      </x:c>
      <x:c r="DK65" s="117" t="n">
        <x:f>IF(AND(YEAR(DK$3)=YEAR('Вводные'!$B$18),MONTH(DK$3)=MONTH('Вводные'!$B$18)),$B$65,0)</x:f>
      </x:c>
      <x:c r="DL65" s="117" t="n">
        <x:f>IF(AND(YEAR(DL$3)=YEAR('Вводные'!$B$18),MONTH(DL$3)=MONTH('Вводные'!$B$18)),$B$65,0)</x:f>
      </x:c>
      <x:c r="DM65" s="117" t="n">
        <x:f>IF(AND(YEAR(DM$3)=YEAR('Вводные'!$B$18),MONTH(DM$3)=MONTH('Вводные'!$B$18)),$B$65,0)</x:f>
      </x:c>
      <x:c r="DN65" s="117" t="n">
        <x:f>IF(AND(YEAR(DN$3)=YEAR('Вводные'!$B$18),MONTH(DN$3)=MONTH('Вводные'!$B$18)),$B$65,0)</x:f>
      </x:c>
      <x:c r="DO65" s="117" t="n">
        <x:f>IF(AND(YEAR(DO$3)=YEAR('Вводные'!$B$18),MONTH(DO$3)=MONTH('Вводные'!$B$18)),$B$65,0)</x:f>
      </x:c>
      <x:c r="DP65" s="117" t="n">
        <x:f>IF(AND(YEAR(DP$3)=YEAR('Вводные'!$B$18),MONTH(DP$3)=MONTH('Вводные'!$B$18)),$B$65,0)</x:f>
      </x:c>
      <x:c r="DQ65" s="117" t="n">
        <x:f>IF(AND(YEAR(DQ$3)=YEAR('Вводные'!$B$18),MONTH(DQ$3)=MONTH('Вводные'!$B$18)),$B$65,0)</x:f>
      </x:c>
      <x:c r="DR65" s="117" t="n">
        <x:f>IF(AND(YEAR(DR$3)=YEAR('Вводные'!$B$18),MONTH(DR$3)=MONTH('Вводные'!$B$18)),$B$65,0)</x:f>
      </x:c>
      <x:c r="DS65" s="117" t="n">
        <x:f>IF(AND(YEAR(DS$3)=YEAR('Вводные'!$B$18),MONTH(DS$3)=MONTH('Вводные'!$B$18)),$B$65,0)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SUM(B84:B94)*'Вводные'!$B$53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SUM(B84:B94)*'Вводные'!$B$52</x:f>
      </x:c>
      <x:c r="C96" t="str">
        <x:v>млн ₽</x:v>
      </x:c>
      <x:c r="D96" s="117" t="n">
        <x:f>$B$96*D78</x:f>
      </x:c>
      <x:c r="E96" s="117" t="n">
        <x:f>$B$96*E78</x:f>
      </x:c>
      <x:c r="F96" s="117" t="n">
        <x:f>$B$96*F78</x:f>
      </x:c>
      <x:c r="G96" s="117" t="n">
        <x:f>$B$96*G78</x:f>
      </x:c>
      <x:c r="H96" s="117" t="n">
        <x:f>$B$96*H78</x:f>
      </x:c>
      <x:c r="I96" s="117" t="n">
        <x:f>$B$96*I78</x:f>
      </x:c>
      <x:c r="J96" s="117" t="n">
        <x:f>$B$96*J78</x:f>
      </x:c>
      <x:c r="K96" s="117" t="n">
        <x:f>$B$96*K78</x:f>
      </x:c>
      <x:c r="L96" s="117" t="n">
        <x:f>$B$96*L78</x:f>
      </x:c>
      <x:c r="M96" s="117" t="n">
        <x:f>$B$96*M78</x:f>
      </x:c>
      <x:c r="N96" s="117" t="n">
        <x:f>$B$96*N78</x:f>
      </x:c>
      <x:c r="O96" s="117" t="n">
        <x:f>$B$96*O78</x:f>
      </x:c>
      <x:c r="P96" s="117" t="n">
        <x:f>$B$96*P78</x:f>
      </x:c>
      <x:c r="Q96" s="117" t="n">
        <x:f>$B$96*Q78</x:f>
      </x:c>
      <x:c r="R96" s="117" t="n">
        <x:f>$B$96*R78</x:f>
      </x:c>
      <x:c r="S96" s="117" t="n">
        <x:f>$B$96*S78</x:f>
      </x:c>
      <x:c r="T96" s="117" t="n">
        <x:f>$B$96*T78</x:f>
      </x:c>
      <x:c r="U96" s="117" t="n">
        <x:f>$B$96*U78</x:f>
      </x:c>
      <x:c r="V96" s="117" t="n">
        <x:f>$B$96*V78</x:f>
      </x:c>
      <x:c r="W96" s="117" t="n">
        <x:f>$B$96*W78</x:f>
      </x:c>
      <x:c r="X96" s="117" t="n">
        <x:f>$B$96*X78</x:f>
      </x:c>
      <x:c r="Y96" s="117" t="n">
        <x:f>$B$96*Y78</x:f>
      </x:c>
      <x:c r="Z96" s="117" t="n">
        <x:f>$B$96*Z78</x:f>
      </x:c>
      <x:c r="AA96" s="117" t="n">
        <x:f>$B$96*AA78</x:f>
      </x:c>
      <x:c r="AB96" s="117" t="n">
        <x:f>$B$96*AB78</x:f>
      </x:c>
      <x:c r="AC96" s="117" t="n">
        <x:f>$B$96*AC78</x:f>
      </x:c>
      <x:c r="AD96" s="117" t="n">
        <x:f>$B$96*AD78</x:f>
      </x:c>
      <x:c r="AE96" s="117" t="n">
        <x:f>$B$96*AE78</x:f>
      </x:c>
      <x:c r="AF96" s="117" t="n">
        <x:f>$B$96*AF78</x:f>
      </x:c>
      <x:c r="AG96" s="117" t="n">
        <x:f>$B$96*AG78</x:f>
      </x:c>
      <x:c r="AH96" s="117" t="n">
        <x:f>$B$96*AH78</x:f>
      </x:c>
      <x:c r="AI96" s="117" t="n">
        <x:f>$B$96*AI78</x:f>
      </x:c>
      <x:c r="AJ96" s="117" t="n">
        <x:f>$B$96*AJ78</x:f>
      </x:c>
      <x:c r="AK96" s="117" t="n">
        <x:f>$B$96*AK78</x:f>
      </x:c>
      <x:c r="AL96" s="117" t="n">
        <x:f>$B$96*AL78</x:f>
      </x:c>
      <x:c r="AM96" s="117" t="n">
        <x:f>$B$96*AM78</x:f>
      </x:c>
      <x:c r="AN96" s="117" t="n">
        <x:f>$B$96*AN78</x:f>
      </x:c>
      <x:c r="AO96" s="117" t="n">
        <x:f>$B$96*AO78</x:f>
      </x:c>
      <x:c r="AP96" s="117" t="n">
        <x:f>$B$96*AP78</x:f>
      </x:c>
      <x:c r="AQ96" s="117" t="n">
        <x:f>$B$96*AQ78</x:f>
      </x:c>
      <x:c r="AR96" s="117" t="n">
        <x:f>$B$96*AR78</x:f>
      </x:c>
      <x:c r="AS96" s="117" t="n">
        <x:f>$B$96*AS78</x:f>
      </x:c>
      <x:c r="AT96" s="117" t="n">
        <x:f>$B$96*AT78</x:f>
      </x:c>
      <x:c r="AU96" s="117" t="n">
        <x:f>$B$96*AU78</x:f>
      </x:c>
      <x:c r="AV96" s="117" t="n">
        <x:f>$B$96*AV78</x:f>
      </x:c>
      <x:c r="AW96" s="117" t="n">
        <x:f>$B$96*AW78</x:f>
      </x:c>
      <x:c r="AX96" s="117" t="n">
        <x:f>$B$96*AX78</x:f>
      </x:c>
      <x:c r="AY96" s="117" t="n">
        <x:f>$B$96*AY78</x:f>
      </x:c>
      <x:c r="AZ96" s="117" t="n">
        <x:f>$B$96*AZ78</x:f>
      </x:c>
      <x:c r="BA96" s="117" t="n">
        <x:f>$B$96*BA78</x:f>
      </x:c>
      <x:c r="BB96" s="117" t="n">
        <x:f>$B$96*BB78</x:f>
      </x:c>
      <x:c r="BC96" s="117" t="n">
        <x:f>$B$96*BC78</x:f>
      </x:c>
      <x:c r="BD96" s="117" t="n">
        <x:f>$B$96*BD78</x:f>
      </x:c>
      <x:c r="BE96" s="117" t="n">
        <x:f>$B$96*BE78</x:f>
      </x:c>
      <x:c r="BF96" s="117" t="n">
        <x:f>$B$96*BF78</x:f>
      </x:c>
      <x:c r="BG96" s="117" t="n">
        <x:f>$B$96*BG78</x:f>
      </x:c>
      <x:c r="BH96" s="117" t="n">
        <x:f>$B$96*BH78</x:f>
      </x:c>
      <x:c r="BI96" s="117" t="n">
        <x:f>$B$96*BI78</x:f>
      </x:c>
      <x:c r="BJ96" s="117" t="n">
        <x:f>$B$96*BJ78</x:f>
      </x:c>
      <x:c r="BK96" s="117" t="n">
        <x:f>$B$96*BK78</x:f>
      </x:c>
      <x:c r="BL96" s="117" t="n">
        <x:f>$B$96*BL78</x:f>
      </x:c>
      <x:c r="BM96" s="117" t="n">
        <x:f>$B$96*BM78</x:f>
      </x:c>
      <x:c r="BN96" s="117" t="n">
        <x:f>$B$96*BN78</x:f>
      </x:c>
      <x:c r="BO96" s="117" t="n">
        <x:f>$B$96*BO78</x:f>
      </x:c>
      <x:c r="BP96" s="117" t="n">
        <x:f>$B$96*BP78</x:f>
      </x:c>
      <x:c r="BQ96" s="117" t="n">
        <x:f>$B$96*BQ78</x:f>
      </x:c>
      <x:c r="BR96" s="117" t="n">
        <x:f>$B$96*BR78</x:f>
      </x:c>
      <x:c r="BS96" s="117" t="n">
        <x:f>$B$96*BS78</x:f>
      </x:c>
      <x:c r="BT96" s="117" t="n">
        <x:f>$B$96*BT78</x:f>
      </x:c>
      <x:c r="BU96" s="117" t="n">
        <x:f>$B$96*BU78</x:f>
      </x:c>
      <x:c r="BV96" s="117" t="n">
        <x:f>$B$96*BV78</x:f>
      </x:c>
      <x:c r="BW96" s="117" t="n">
        <x:f>$B$96*BW78</x:f>
      </x:c>
      <x:c r="BX96" s="117" t="n">
        <x:f>$B$96*BX78</x:f>
      </x:c>
      <x:c r="BY96" s="117" t="n">
        <x:f>$B$96*BY78</x:f>
      </x:c>
      <x:c r="BZ96" s="117" t="n">
        <x:f>$B$96*BZ78</x:f>
      </x:c>
      <x:c r="CA96" s="117" t="n">
        <x:f>$B$96*CA78</x:f>
      </x:c>
      <x:c r="CB96" s="117" t="n">
        <x:f>$B$96*CB78</x:f>
      </x:c>
      <x:c r="CC96" s="117" t="n">
        <x:f>$B$96*CC78</x:f>
      </x:c>
      <x:c r="CD96" s="117" t="n">
        <x:f>$B$96*CD78</x:f>
      </x:c>
      <x:c r="CE96" s="117" t="n">
        <x:f>$B$96*CE78</x:f>
      </x:c>
      <x:c r="CF96" s="117" t="n">
        <x:f>$B$96*CF78</x:f>
      </x:c>
      <x:c r="CG96" s="117" t="n">
        <x:f>$B$96*CG78</x:f>
      </x:c>
      <x:c r="CH96" s="117" t="n">
        <x:f>$B$96*CH78</x:f>
      </x:c>
      <x:c r="CI96" s="117" t="n">
        <x:f>$B$96*CI78</x:f>
      </x:c>
      <x:c r="CJ96" s="117" t="n">
        <x:f>$B$96*CJ78</x:f>
      </x:c>
      <x:c r="CK96" s="117" t="n">
        <x:f>$B$96*CK78</x:f>
      </x:c>
      <x:c r="CL96" s="117" t="n">
        <x:f>$B$96*CL78</x:f>
      </x:c>
      <x:c r="CM96" s="117" t="n">
        <x:f>$B$96*CM78</x:f>
      </x:c>
      <x:c r="CN96" s="117" t="n">
        <x:f>$B$96*CN78</x:f>
      </x:c>
      <x:c r="CO96" s="117" t="n">
        <x:f>$B$96*CO78</x:f>
      </x:c>
      <x:c r="CP96" s="117" t="n">
        <x:f>$B$96*CP78</x:f>
      </x:c>
      <x:c r="CQ96" s="117" t="n">
        <x:f>$B$96*CQ78</x:f>
      </x:c>
      <x:c r="CR96" s="117" t="n">
        <x:f>$B$96*CR78</x:f>
      </x:c>
      <x:c r="CS96" s="117" t="n">
        <x:f>$B$96*CS78</x:f>
      </x:c>
      <x:c r="CT96" s="117" t="n">
        <x:f>$B$96*CT78</x:f>
      </x:c>
      <x:c r="CU96" s="117" t="n">
        <x:f>$B$96*CU78</x:f>
      </x:c>
      <x:c r="CV96" s="117" t="n">
        <x:f>$B$96*CV78</x:f>
      </x:c>
      <x:c r="CW96" s="117" t="n">
        <x:f>$B$96*CW78</x:f>
      </x:c>
      <x:c r="CX96" s="117" t="n">
        <x:f>$B$96*CX78</x:f>
      </x:c>
      <x:c r="CY96" s="117" t="n">
        <x:f>$B$96*CY78</x:f>
      </x:c>
      <x:c r="CZ96" s="117" t="n">
        <x:f>$B$96*CZ78</x:f>
      </x:c>
      <x:c r="DA96" s="117" t="n">
        <x:f>$B$96*DA78</x:f>
      </x:c>
      <x:c r="DB96" s="117" t="n">
        <x:f>$B$96*DB78</x:f>
      </x:c>
      <x:c r="DC96" s="117" t="n">
        <x:f>$B$96*DC78</x:f>
      </x:c>
      <x:c r="DD96" s="117" t="n">
        <x:f>$B$96*DD78</x:f>
      </x:c>
      <x:c r="DE96" s="117" t="n">
        <x:f>$B$96*DE78</x:f>
      </x:c>
      <x:c r="DF96" s="117" t="n">
        <x:f>$B$96*DF78</x:f>
      </x:c>
      <x:c r="DG96" s="117" t="n">
        <x:f>$B$96*DG78</x:f>
      </x:c>
      <x:c r="DH96" s="117" t="n">
        <x:f>$B$96*DH78</x:f>
      </x:c>
      <x:c r="DI96" s="117" t="n">
        <x:f>$B$96*DI78</x:f>
      </x:c>
      <x:c r="DJ96" s="117" t="n">
        <x:f>$B$96*DJ78</x:f>
      </x:c>
      <x:c r="DK96" s="117" t="n">
        <x:f>$B$96*DK78</x:f>
      </x:c>
      <x:c r="DL96" s="117" t="n">
        <x:f>$B$96*DL78</x:f>
      </x:c>
      <x:c r="DM96" s="117" t="n">
        <x:f>$B$96*DM78</x:f>
      </x:c>
      <x:c r="DN96" s="117" t="n">
        <x:f>$B$96*DN78</x:f>
      </x:c>
      <x:c r="DO96" s="117" t="n">
        <x:f>$B$96*DO78</x:f>
      </x:c>
      <x:c r="DP96" s="117" t="n">
        <x:f>$B$96*DP78</x:f>
      </x:c>
      <x:c r="DQ96" s="117" t="n">
        <x:f>$B$96*DQ78</x:f>
      </x:c>
      <x:c r="DR96" s="117" t="n">
        <x:f>$B$96*DR78</x:f>
      </x:c>
      <x:c r="DS96" s="117" t="n">
        <x:f>$B$96*DS78</x:f>
      </x:c>
    </x:row>
    <x:row r="97">
      <x:c r="A97" t="str">
        <x:v>Вознаграждение генподрядчика</x:v>
      </x:c>
      <x:c r="B97" s="107" t="n">
        <x:f>SUM(B84:B94)*'Вводные'!$B$50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IF(AND(YEAR(D$3)=YEAR('Вводные'!$B$18),MONTH(D$3)=MONTH('Вводные'!$B$18)),$B$99,0)</x:f>
      </x:c>
      <x:c r="E99" s="117" t="n">
        <x:f>IF(AND(YEAR(E$3)=YEAR('Вводные'!$B$18),MONTH(E$3)=MONTH('Вводные'!$B$18)),$B$99,0)</x:f>
      </x:c>
      <x:c r="F99" s="117" t="n">
        <x:f>IF(AND(YEAR(F$3)=YEAR('Вводные'!$B$18),MONTH(F$3)=MONTH('Вводные'!$B$18)),$B$99,0)</x:f>
      </x:c>
      <x:c r="G99" s="117" t="n">
        <x:f>IF(AND(YEAR(G$3)=YEAR('Вводные'!$B$18),MONTH(G$3)=MONTH('Вводные'!$B$18)),$B$99,0)</x:f>
      </x:c>
      <x:c r="H99" s="117" t="n">
        <x:f>IF(AND(YEAR(H$3)=YEAR('Вводные'!$B$18),MONTH(H$3)=MONTH('Вводные'!$B$18)),$B$99,0)</x:f>
      </x:c>
      <x:c r="I99" s="117" t="n">
        <x:f>IF(AND(YEAR(I$3)=YEAR('Вводные'!$B$18),MONTH(I$3)=MONTH('Вводные'!$B$18)),$B$99,0)</x:f>
      </x:c>
      <x:c r="J99" s="117" t="n">
        <x:f>IF(AND(YEAR(J$3)=YEAR('Вводные'!$B$18),MONTH(J$3)=MONTH('Вводные'!$B$18)),$B$99,0)</x:f>
      </x:c>
      <x:c r="K99" s="117" t="n">
        <x:f>IF(AND(YEAR(K$3)=YEAR('Вводные'!$B$18),MONTH(K$3)=MONTH('Вводные'!$B$18)),$B$99,0)</x:f>
      </x:c>
      <x:c r="L99" s="117" t="n">
        <x:f>IF(AND(YEAR(L$3)=YEAR('Вводные'!$B$18),MONTH(L$3)=MONTH('Вводные'!$B$18)),$B$99,0)</x:f>
      </x:c>
      <x:c r="M99" s="117" t="n">
        <x:f>IF(AND(YEAR(M$3)=YEAR('Вводные'!$B$18),MONTH(M$3)=MONTH('Вводные'!$B$18)),$B$99,0)</x:f>
      </x:c>
      <x:c r="N99" s="117" t="n">
        <x:f>IF(AND(YEAR(N$3)=YEAR('Вводные'!$B$18),MONTH(N$3)=MONTH('Вводные'!$B$18)),$B$99,0)</x:f>
      </x:c>
      <x:c r="O99" s="117" t="n">
        <x:f>IF(AND(YEAR(O$3)=YEAR('Вводные'!$B$18),MONTH(O$3)=MONTH('Вводные'!$B$18)),$B$99,0)</x:f>
      </x:c>
      <x:c r="P99" s="117" t="n">
        <x:f>IF(AND(YEAR(P$3)=YEAR('Вводные'!$B$18),MONTH(P$3)=MONTH('Вводные'!$B$18)),$B$99,0)</x:f>
      </x:c>
      <x:c r="Q99" s="117" t="n">
        <x:f>IF(AND(YEAR(Q$3)=YEAR('Вводные'!$B$18),MONTH(Q$3)=MONTH('Вводные'!$B$18)),$B$99,0)</x:f>
      </x:c>
      <x:c r="R99" s="117" t="n">
        <x:f>IF(AND(YEAR(R$3)=YEAR('Вводные'!$B$18),MONTH(R$3)=MONTH('Вводные'!$B$18)),$B$99,0)</x:f>
      </x:c>
      <x:c r="S99" s="117" t="n">
        <x:f>IF(AND(YEAR(S$3)=YEAR('Вводные'!$B$18),MONTH(S$3)=MONTH('Вводные'!$B$18)),$B$99,0)</x:f>
      </x:c>
      <x:c r="T99" s="117" t="n">
        <x:f>IF(AND(YEAR(T$3)=YEAR('Вводные'!$B$18),MONTH(T$3)=MONTH('Вводные'!$B$18)),$B$99,0)</x:f>
      </x:c>
      <x:c r="U99" s="117" t="n">
        <x:f>IF(AND(YEAR(U$3)=YEAR('Вводные'!$B$18),MONTH(U$3)=MONTH('Вводные'!$B$18)),$B$99,0)</x:f>
      </x:c>
      <x:c r="V99" s="117" t="n">
        <x:f>IF(AND(YEAR(V$3)=YEAR('Вводные'!$B$18),MONTH(V$3)=MONTH('Вводные'!$B$18)),$B$99,0)</x:f>
      </x:c>
      <x:c r="W99" s="117" t="n">
        <x:f>IF(AND(YEAR(W$3)=YEAR('Вводные'!$B$18),MONTH(W$3)=MONTH('Вводные'!$B$18)),$B$99,0)</x:f>
      </x:c>
      <x:c r="X99" s="117" t="n">
        <x:f>IF(AND(YEAR(X$3)=YEAR('Вводные'!$B$18),MONTH(X$3)=MONTH('Вводные'!$B$18)),$B$99,0)</x:f>
      </x:c>
      <x:c r="Y99" s="117" t="n">
        <x:f>IF(AND(YEAR(Y$3)=YEAR('Вводные'!$B$18),MONTH(Y$3)=MONTH('Вводные'!$B$18)),$B$99,0)</x:f>
      </x:c>
      <x:c r="Z99" s="117" t="n">
        <x:f>IF(AND(YEAR(Z$3)=YEAR('Вводные'!$B$18),MONTH(Z$3)=MONTH('Вводные'!$B$18)),$B$99,0)</x:f>
      </x:c>
      <x:c r="AA99" s="117" t="n">
        <x:f>IF(AND(YEAR(AA$3)=YEAR('Вводные'!$B$18),MONTH(AA$3)=MONTH('Вводные'!$B$18)),$B$99,0)</x:f>
      </x:c>
      <x:c r="AB99" s="117" t="n">
        <x:f>IF(AND(YEAR(AB$3)=YEAR('Вводные'!$B$18),MONTH(AB$3)=MONTH('Вводные'!$B$18)),$B$99,0)</x:f>
      </x:c>
      <x:c r="AC99" s="117" t="n">
        <x:f>IF(AND(YEAR(AC$3)=YEAR('Вводные'!$B$18),MONTH(AC$3)=MONTH('Вводные'!$B$18)),$B$99,0)</x:f>
      </x:c>
      <x:c r="AD99" s="117" t="n">
        <x:f>IF(AND(YEAR(AD$3)=YEAR('Вводные'!$B$18),MONTH(AD$3)=MONTH('Вводные'!$B$18)),$B$99,0)</x:f>
      </x:c>
      <x:c r="AE99" s="117" t="n">
        <x:f>IF(AND(YEAR(AE$3)=YEAR('Вводные'!$B$18),MONTH(AE$3)=MONTH('Вводные'!$B$18)),$B$99,0)</x:f>
      </x:c>
      <x:c r="AF99" s="117" t="n">
        <x:f>IF(AND(YEAR(AF$3)=YEAR('Вводные'!$B$18),MONTH(AF$3)=MONTH('Вводные'!$B$18)),$B$99,0)</x:f>
      </x:c>
      <x:c r="AG99" s="117" t="n">
        <x:f>IF(AND(YEAR(AG$3)=YEAR('Вводные'!$B$18),MONTH(AG$3)=MONTH('Вводные'!$B$18)),$B$99,0)</x:f>
      </x:c>
      <x:c r="AH99" s="117" t="n">
        <x:f>IF(AND(YEAR(AH$3)=YEAR('Вводные'!$B$18),MONTH(AH$3)=MONTH('Вводные'!$B$18)),$B$99,0)</x:f>
      </x:c>
      <x:c r="AI99" s="117" t="n">
        <x:f>IF(AND(YEAR(AI$3)=YEAR('Вводные'!$B$18),MONTH(AI$3)=MONTH('Вводные'!$B$18)),$B$99,0)</x:f>
      </x:c>
      <x:c r="AJ99" s="117" t="n">
        <x:f>IF(AND(YEAR(AJ$3)=YEAR('Вводные'!$B$18),MONTH(AJ$3)=MONTH('Вводные'!$B$18)),$B$99,0)</x:f>
      </x:c>
      <x:c r="AK99" s="117" t="n">
        <x:f>IF(AND(YEAR(AK$3)=YEAR('Вводные'!$B$18),MONTH(AK$3)=MONTH('Вводные'!$B$18)),$B$99,0)</x:f>
      </x:c>
      <x:c r="AL99" s="117" t="n">
        <x:f>IF(AND(YEAR(AL$3)=YEAR('Вводные'!$B$18),MONTH(AL$3)=MONTH('Вводные'!$B$18)),$B$99,0)</x:f>
      </x:c>
      <x:c r="AM99" s="117" t="n">
        <x:f>IF(AND(YEAR(AM$3)=YEAR('Вводные'!$B$18),MONTH(AM$3)=MONTH('Вводные'!$B$18)),$B$99,0)</x:f>
      </x:c>
      <x:c r="AN99" s="117" t="n">
        <x:f>IF(AND(YEAR(AN$3)=YEAR('Вводные'!$B$18),MONTH(AN$3)=MONTH('Вводные'!$B$18)),$B$99,0)</x:f>
      </x:c>
      <x:c r="AO99" s="117" t="n">
        <x:f>IF(AND(YEAR(AO$3)=YEAR('Вводные'!$B$18),MONTH(AO$3)=MONTH('Вводные'!$B$18)),$B$99,0)</x:f>
      </x:c>
      <x:c r="AP99" s="117" t="n">
        <x:f>IF(AND(YEAR(AP$3)=YEAR('Вводные'!$B$18),MONTH(AP$3)=MONTH('Вводные'!$B$18)),$B$99,0)</x:f>
      </x:c>
      <x:c r="AQ99" s="117" t="n">
        <x:f>IF(AND(YEAR(AQ$3)=YEAR('Вводные'!$B$18),MONTH(AQ$3)=MONTH('Вводные'!$B$18)),$B$99,0)</x:f>
      </x:c>
      <x:c r="AR99" s="117" t="n">
        <x:f>IF(AND(YEAR(AR$3)=YEAR('Вводные'!$B$18),MONTH(AR$3)=MONTH('Вводные'!$B$18)),$B$99,0)</x:f>
      </x:c>
      <x:c r="AS99" s="117" t="n">
        <x:f>IF(AND(YEAR(AS$3)=YEAR('Вводные'!$B$18),MONTH(AS$3)=MONTH('Вводные'!$B$18)),$B$99,0)</x:f>
      </x:c>
      <x:c r="AT99" s="117" t="n">
        <x:f>IF(AND(YEAR(AT$3)=YEAR('Вводные'!$B$18),MONTH(AT$3)=MONTH('Вводные'!$B$18)),$B$99,0)</x:f>
      </x:c>
      <x:c r="AU99" s="117" t="n">
        <x:f>IF(AND(YEAR(AU$3)=YEAR('Вводные'!$B$18),MONTH(AU$3)=MONTH('Вводные'!$B$18)),$B$99,0)</x:f>
      </x:c>
      <x:c r="AV99" s="117" t="n">
        <x:f>IF(AND(YEAR(AV$3)=YEAR('Вводные'!$B$18),MONTH(AV$3)=MONTH('Вводные'!$B$18)),$B$99,0)</x:f>
      </x:c>
      <x:c r="AW99" s="117" t="n">
        <x:f>IF(AND(YEAR(AW$3)=YEAR('Вводные'!$B$18),MONTH(AW$3)=MONTH('Вводные'!$B$18)),$B$99,0)</x:f>
      </x:c>
      <x:c r="AX99" s="117" t="n">
        <x:f>IF(AND(YEAR(AX$3)=YEAR('Вводные'!$B$18),MONTH(AX$3)=MONTH('Вводные'!$B$18)),$B$99,0)</x:f>
      </x:c>
      <x:c r="AY99" s="117" t="n">
        <x:f>IF(AND(YEAR(AY$3)=YEAR('Вводные'!$B$18),MONTH(AY$3)=MONTH('Вводные'!$B$18)),$B$99,0)</x:f>
      </x:c>
      <x:c r="AZ99" s="117" t="n">
        <x:f>IF(AND(YEAR(AZ$3)=YEAR('Вводные'!$B$18),MONTH(AZ$3)=MONTH('Вводные'!$B$18)),$B$99,0)</x:f>
      </x:c>
      <x:c r="BA99" s="117" t="n">
        <x:f>IF(AND(YEAR(BA$3)=YEAR('Вводные'!$B$18),MONTH(BA$3)=MONTH('Вводные'!$B$18)),$B$99,0)</x:f>
      </x:c>
      <x:c r="BB99" s="117" t="n">
        <x:f>IF(AND(YEAR(BB$3)=YEAR('Вводные'!$B$18),MONTH(BB$3)=MONTH('Вводные'!$B$18)),$B$99,0)</x:f>
      </x:c>
      <x:c r="BC99" s="117" t="n">
        <x:f>IF(AND(YEAR(BC$3)=YEAR('Вводные'!$B$18),MONTH(BC$3)=MONTH('Вводные'!$B$18)),$B$99,0)</x:f>
      </x:c>
      <x:c r="BD99" s="117" t="n">
        <x:f>IF(AND(YEAR(BD$3)=YEAR('Вводные'!$B$18),MONTH(BD$3)=MONTH('Вводные'!$B$18)),$B$99,0)</x:f>
      </x:c>
      <x:c r="BE99" s="117" t="n">
        <x:f>IF(AND(YEAR(BE$3)=YEAR('Вводные'!$B$18),MONTH(BE$3)=MONTH('Вводные'!$B$18)),$B$99,0)</x:f>
      </x:c>
      <x:c r="BF99" s="117" t="n">
        <x:f>IF(AND(YEAR(BF$3)=YEAR('Вводные'!$B$18),MONTH(BF$3)=MONTH('Вводные'!$B$18)),$B$99,0)</x:f>
      </x:c>
      <x:c r="BG99" s="117" t="n">
        <x:f>IF(AND(YEAR(BG$3)=YEAR('Вводные'!$B$18),MONTH(BG$3)=MONTH('Вводные'!$B$18)),$B$99,0)</x:f>
      </x:c>
      <x:c r="BH99" s="117" t="n">
        <x:f>IF(AND(YEAR(BH$3)=YEAR('Вводные'!$B$18),MONTH(BH$3)=MONTH('Вводные'!$B$18)),$B$99,0)</x:f>
      </x:c>
      <x:c r="BI99" s="117" t="n">
        <x:f>IF(AND(YEAR(BI$3)=YEAR('Вводные'!$B$18),MONTH(BI$3)=MONTH('Вводные'!$B$18)),$B$99,0)</x:f>
      </x:c>
      <x:c r="BJ99" s="117" t="n">
        <x:f>IF(AND(YEAR(BJ$3)=YEAR('Вводные'!$B$18),MONTH(BJ$3)=MONTH('Вводные'!$B$18)),$B$99,0)</x:f>
      </x:c>
      <x:c r="BK99" s="117" t="n">
        <x:f>IF(AND(YEAR(BK$3)=YEAR('Вводные'!$B$18),MONTH(BK$3)=MONTH('Вводные'!$B$18)),$B$99,0)</x:f>
      </x:c>
      <x:c r="BL99" s="117" t="n">
        <x:f>IF(AND(YEAR(BL$3)=YEAR('Вводные'!$B$18),MONTH(BL$3)=MONTH('Вводные'!$B$18)),$B$99,0)</x:f>
      </x:c>
      <x:c r="BM99" s="117" t="n">
        <x:f>IF(AND(YEAR(BM$3)=YEAR('Вводные'!$B$18),MONTH(BM$3)=MONTH('Вводные'!$B$18)),$B$99,0)</x:f>
      </x:c>
      <x:c r="BN99" s="117" t="n">
        <x:f>IF(AND(YEAR(BN$3)=YEAR('Вводные'!$B$18),MONTH(BN$3)=MONTH('Вводные'!$B$18)),$B$99,0)</x:f>
      </x:c>
      <x:c r="BO99" s="117" t="n">
        <x:f>IF(AND(YEAR(BO$3)=YEAR('Вводные'!$B$18),MONTH(BO$3)=MONTH('Вводные'!$B$18)),$B$99,0)</x:f>
      </x:c>
      <x:c r="BP99" s="117" t="n">
        <x:f>IF(AND(YEAR(BP$3)=YEAR('Вводные'!$B$18),MONTH(BP$3)=MONTH('Вводные'!$B$18)),$B$99,0)</x:f>
      </x:c>
      <x:c r="BQ99" s="117" t="n">
        <x:f>IF(AND(YEAR(BQ$3)=YEAR('Вводные'!$B$18),MONTH(BQ$3)=MONTH('Вводные'!$B$18)),$B$99,0)</x:f>
      </x:c>
      <x:c r="BR99" s="117" t="n">
        <x:f>IF(AND(YEAR(BR$3)=YEAR('Вводные'!$B$18),MONTH(BR$3)=MONTH('Вводные'!$B$18)),$B$99,0)</x:f>
      </x:c>
      <x:c r="BS99" s="117" t="n">
        <x:f>IF(AND(YEAR(BS$3)=YEAR('Вводные'!$B$18),MONTH(BS$3)=MONTH('Вводные'!$B$18)),$B$99,0)</x:f>
      </x:c>
      <x:c r="BT99" s="117" t="n">
        <x:f>IF(AND(YEAR(BT$3)=YEAR('Вводные'!$B$18),MONTH(BT$3)=MONTH('Вводные'!$B$18)),$B$99,0)</x:f>
      </x:c>
      <x:c r="BU99" s="117" t="n">
        <x:f>IF(AND(YEAR(BU$3)=YEAR('Вводные'!$B$18),MONTH(BU$3)=MONTH('Вводные'!$B$18)),$B$99,0)</x:f>
      </x:c>
      <x:c r="BV99" s="117" t="n">
        <x:f>IF(AND(YEAR(BV$3)=YEAR('Вводные'!$B$18),MONTH(BV$3)=MONTH('Вводные'!$B$18)),$B$99,0)</x:f>
      </x:c>
      <x:c r="BW99" s="117" t="n">
        <x:f>IF(AND(YEAR(BW$3)=YEAR('Вводные'!$B$18),MONTH(BW$3)=MONTH('Вводные'!$B$18)),$B$99,0)</x:f>
      </x:c>
      <x:c r="BX99" s="117" t="n">
        <x:f>IF(AND(YEAR(BX$3)=YEAR('Вводные'!$B$18),MONTH(BX$3)=MONTH('Вводные'!$B$18)),$B$99,0)</x:f>
      </x:c>
      <x:c r="BY99" s="117" t="n">
        <x:f>IF(AND(YEAR(BY$3)=YEAR('Вводные'!$B$18),MONTH(BY$3)=MONTH('Вводные'!$B$18)),$B$99,0)</x:f>
      </x:c>
      <x:c r="BZ99" s="117" t="n">
        <x:f>IF(AND(YEAR(BZ$3)=YEAR('Вводные'!$B$18),MONTH(BZ$3)=MONTH('Вводные'!$B$18)),$B$99,0)</x:f>
      </x:c>
      <x:c r="CA99" s="117" t="n">
        <x:f>IF(AND(YEAR(CA$3)=YEAR('Вводные'!$B$18),MONTH(CA$3)=MONTH('Вводные'!$B$18)),$B$99,0)</x:f>
      </x:c>
      <x:c r="CB99" s="117" t="n">
        <x:f>IF(AND(YEAR(CB$3)=YEAR('Вводные'!$B$18),MONTH(CB$3)=MONTH('Вводные'!$B$18)),$B$99,0)</x:f>
      </x:c>
      <x:c r="CC99" s="117" t="n">
        <x:f>IF(AND(YEAR(CC$3)=YEAR('Вводные'!$B$18),MONTH(CC$3)=MONTH('Вводные'!$B$18)),$B$99,0)</x:f>
      </x:c>
      <x:c r="CD99" s="117" t="n">
        <x:f>IF(AND(YEAR(CD$3)=YEAR('Вводные'!$B$18),MONTH(CD$3)=MONTH('Вводные'!$B$18)),$B$99,0)</x:f>
      </x:c>
      <x:c r="CE99" s="117" t="n">
        <x:f>IF(AND(YEAR(CE$3)=YEAR('Вводные'!$B$18),MONTH(CE$3)=MONTH('Вводные'!$B$18)),$B$99,0)</x:f>
      </x:c>
      <x:c r="CF99" s="117" t="n">
        <x:f>IF(AND(YEAR(CF$3)=YEAR('Вводные'!$B$18),MONTH(CF$3)=MONTH('Вводные'!$B$18)),$B$99,0)</x:f>
      </x:c>
      <x:c r="CG99" s="117" t="n">
        <x:f>IF(AND(YEAR(CG$3)=YEAR('Вводные'!$B$18),MONTH(CG$3)=MONTH('Вводные'!$B$18)),$B$99,0)</x:f>
      </x:c>
      <x:c r="CH99" s="117" t="n">
        <x:f>IF(AND(YEAR(CH$3)=YEAR('Вводные'!$B$18),MONTH(CH$3)=MONTH('Вводные'!$B$18)),$B$99,0)</x:f>
      </x:c>
      <x:c r="CI99" s="117" t="n">
        <x:f>IF(AND(YEAR(CI$3)=YEAR('Вводные'!$B$18),MONTH(CI$3)=MONTH('Вводные'!$B$18)),$B$99,0)</x:f>
      </x:c>
      <x:c r="CJ99" s="117" t="n">
        <x:f>IF(AND(YEAR(CJ$3)=YEAR('Вводные'!$B$18),MONTH(CJ$3)=MONTH('Вводные'!$B$18)),$B$99,0)</x:f>
      </x:c>
      <x:c r="CK99" s="117" t="n">
        <x:f>IF(AND(YEAR(CK$3)=YEAR('Вводные'!$B$18),MONTH(CK$3)=MONTH('Вводные'!$B$18)),$B$99,0)</x:f>
      </x:c>
      <x:c r="CL99" s="117" t="n">
        <x:f>IF(AND(YEAR(CL$3)=YEAR('Вводные'!$B$18),MONTH(CL$3)=MONTH('Вводные'!$B$18)),$B$99,0)</x:f>
      </x:c>
      <x:c r="CM99" s="117" t="n">
        <x:f>IF(AND(YEAR(CM$3)=YEAR('Вводные'!$B$18),MONTH(CM$3)=MONTH('Вводные'!$B$18)),$B$99,0)</x:f>
      </x:c>
      <x:c r="CN99" s="117" t="n">
        <x:f>IF(AND(YEAR(CN$3)=YEAR('Вводные'!$B$18),MONTH(CN$3)=MONTH('Вводные'!$B$18)),$B$99,0)</x:f>
      </x:c>
      <x:c r="CO99" s="117" t="n">
        <x:f>IF(AND(YEAR(CO$3)=YEAR('Вводные'!$B$18),MONTH(CO$3)=MONTH('Вводные'!$B$18)),$B$99,0)</x:f>
      </x:c>
      <x:c r="CP99" s="117" t="n">
        <x:f>IF(AND(YEAR(CP$3)=YEAR('Вводные'!$B$18),MONTH(CP$3)=MONTH('Вводные'!$B$18)),$B$99,0)</x:f>
      </x:c>
      <x:c r="CQ99" s="117" t="n">
        <x:f>IF(AND(YEAR(CQ$3)=YEAR('Вводные'!$B$18),MONTH(CQ$3)=MONTH('Вводные'!$B$18)),$B$99,0)</x:f>
      </x:c>
      <x:c r="CR99" s="117" t="n">
        <x:f>IF(AND(YEAR(CR$3)=YEAR('Вводные'!$B$18),MONTH(CR$3)=MONTH('Вводные'!$B$18)),$B$99,0)</x:f>
      </x:c>
      <x:c r="CS99" s="117" t="n">
        <x:f>IF(AND(YEAR(CS$3)=YEAR('Вводные'!$B$18),MONTH(CS$3)=MONTH('Вводные'!$B$18)),$B$99,0)</x:f>
      </x:c>
      <x:c r="CT99" s="117" t="n">
        <x:f>IF(AND(YEAR(CT$3)=YEAR('Вводные'!$B$18),MONTH(CT$3)=MONTH('Вводные'!$B$18)),$B$99,0)</x:f>
      </x:c>
      <x:c r="CU99" s="117" t="n">
        <x:f>IF(AND(YEAR(CU$3)=YEAR('Вводные'!$B$18),MONTH(CU$3)=MONTH('Вводные'!$B$18)),$B$99,0)</x:f>
      </x:c>
      <x:c r="CV99" s="117" t="n">
        <x:f>IF(AND(YEAR(CV$3)=YEAR('Вводные'!$B$18),MONTH(CV$3)=MONTH('Вводные'!$B$18)),$B$99,0)</x:f>
      </x:c>
      <x:c r="CW99" s="117" t="n">
        <x:f>IF(AND(YEAR(CW$3)=YEAR('Вводные'!$B$18),MONTH(CW$3)=MONTH('Вводные'!$B$18)),$B$99,0)</x:f>
      </x:c>
      <x:c r="CX99" s="117" t="n">
        <x:f>IF(AND(YEAR(CX$3)=YEAR('Вводные'!$B$18),MONTH(CX$3)=MONTH('Вводные'!$B$18)),$B$99,0)</x:f>
      </x:c>
      <x:c r="CY99" s="117" t="n">
        <x:f>IF(AND(YEAR(CY$3)=YEAR('Вводные'!$B$18),MONTH(CY$3)=MONTH('Вводные'!$B$18)),$B$99,0)</x:f>
      </x:c>
      <x:c r="CZ99" s="117" t="n">
        <x:f>IF(AND(YEAR(CZ$3)=YEAR('Вводные'!$B$18),MONTH(CZ$3)=MONTH('Вводные'!$B$18)),$B$99,0)</x:f>
      </x:c>
      <x:c r="DA99" s="117" t="n">
        <x:f>IF(AND(YEAR(DA$3)=YEAR('Вводные'!$B$18),MONTH(DA$3)=MONTH('Вводные'!$B$18)),$B$99,0)</x:f>
      </x:c>
      <x:c r="DB99" s="117" t="n">
        <x:f>IF(AND(YEAR(DB$3)=YEAR('Вводные'!$B$18),MONTH(DB$3)=MONTH('Вводные'!$B$18)),$B$99,0)</x:f>
      </x:c>
      <x:c r="DC99" s="117" t="n">
        <x:f>IF(AND(YEAR(DC$3)=YEAR('Вводные'!$B$18),MONTH(DC$3)=MONTH('Вводные'!$B$18)),$B$99,0)</x:f>
      </x:c>
      <x:c r="DD99" s="117" t="n">
        <x:f>IF(AND(YEAR(DD$3)=YEAR('Вводные'!$B$18),MONTH(DD$3)=MONTH('Вводные'!$B$18)),$B$99,0)</x:f>
      </x:c>
      <x:c r="DE99" s="117" t="n">
        <x:f>IF(AND(YEAR(DE$3)=YEAR('Вводные'!$B$18),MONTH(DE$3)=MONTH('Вводные'!$B$18)),$B$99,0)</x:f>
      </x:c>
      <x:c r="DF99" s="117" t="n">
        <x:f>IF(AND(YEAR(DF$3)=YEAR('Вводные'!$B$18),MONTH(DF$3)=MONTH('Вводные'!$B$18)),$B$99,0)</x:f>
      </x:c>
      <x:c r="DG99" s="117" t="n">
        <x:f>IF(AND(YEAR(DG$3)=YEAR('Вводные'!$B$18),MONTH(DG$3)=MONTH('Вводные'!$B$18)),$B$99,0)</x:f>
      </x:c>
      <x:c r="DH99" s="117" t="n">
        <x:f>IF(AND(YEAR(DH$3)=YEAR('Вводные'!$B$18),MONTH(DH$3)=MONTH('Вводные'!$B$18)),$B$99,0)</x:f>
      </x:c>
      <x:c r="DI99" s="117" t="n">
        <x:f>IF(AND(YEAR(DI$3)=YEAR('Вводные'!$B$18),MONTH(DI$3)=MONTH('Вводные'!$B$18)),$B$99,0)</x:f>
      </x:c>
      <x:c r="DJ99" s="117" t="n">
        <x:f>IF(AND(YEAR(DJ$3)=YEAR('Вводные'!$B$18),MONTH(DJ$3)=MONTH('Вводные'!$B$18)),$B$99,0)</x:f>
      </x:c>
      <x:c r="DK99" s="117" t="n">
        <x:f>IF(AND(YEAR(DK$3)=YEAR('Вводные'!$B$18),MONTH(DK$3)=MONTH('Вводные'!$B$18)),$B$99,0)</x:f>
      </x:c>
      <x:c r="DL99" s="117" t="n">
        <x:f>IF(AND(YEAR(DL$3)=YEAR('Вводные'!$B$18),MONTH(DL$3)=MONTH('Вводные'!$B$18)),$B$99,0)</x:f>
      </x:c>
      <x:c r="DM99" s="117" t="n">
        <x:f>IF(AND(YEAR(DM$3)=YEAR('Вводные'!$B$18),MONTH(DM$3)=MONTH('Вводные'!$B$18)),$B$99,0)</x:f>
      </x:c>
      <x:c r="DN99" s="117" t="n">
        <x:f>IF(AND(YEAR(DN$3)=YEAR('Вводные'!$B$18),MONTH(DN$3)=MONTH('Вводные'!$B$18)),$B$99,0)</x:f>
      </x:c>
      <x:c r="DO99" s="117" t="n">
        <x:f>IF(AND(YEAR(DO$3)=YEAR('Вводные'!$B$18),MONTH(DO$3)=MONTH('Вводные'!$B$18)),$B$99,0)</x:f>
      </x:c>
      <x:c r="DP99" s="117" t="n">
        <x:f>IF(AND(YEAR(DP$3)=YEAR('Вводные'!$B$18),MONTH(DP$3)=MONTH('Вводные'!$B$18)),$B$99,0)</x:f>
      </x:c>
      <x:c r="DQ99" s="117" t="n">
        <x:f>IF(AND(YEAR(DQ$3)=YEAR('Вводные'!$B$18),MONTH(DQ$3)=MONTH('Вводные'!$B$18)),$B$99,0)</x:f>
      </x:c>
      <x:c r="DR99" s="117" t="n">
        <x:f>IF(AND(YEAR(DR$3)=YEAR('Вводные'!$B$18),MONTH(DR$3)=MONTH('Вводные'!$B$18)),$B$99,0)</x:f>
      </x:c>
      <x:c r="DS99" s="117" t="n">
        <x:f>IF(AND(YEAR(DS$3)=YEAR('Вводные'!$B$18),MONTH(DS$3)=MONTH('Вводные'!$B$18)),$B$99,0)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SUM(B118:B128)*'Вводные'!$B$53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SUM(B118:B128)*'Вводные'!$B$52</x:f>
      </x:c>
      <x:c r="C130" t="str">
        <x:v>млн ₽</x:v>
      </x:c>
      <x:c r="D130" s="117" t="n">
        <x:f>$B$130*D112</x:f>
      </x:c>
      <x:c r="E130" s="117" t="n">
        <x:f>$B$130*E112</x:f>
      </x:c>
      <x:c r="F130" s="117" t="n">
        <x:f>$B$130*F112</x:f>
      </x:c>
      <x:c r="G130" s="117" t="n">
        <x:f>$B$130*G112</x:f>
      </x:c>
      <x:c r="H130" s="117" t="n">
        <x:f>$B$130*H112</x:f>
      </x:c>
      <x:c r="I130" s="117" t="n">
        <x:f>$B$130*I112</x:f>
      </x:c>
      <x:c r="J130" s="117" t="n">
        <x:f>$B$130*J112</x:f>
      </x:c>
      <x:c r="K130" s="117" t="n">
        <x:f>$B$130*K112</x:f>
      </x:c>
      <x:c r="L130" s="117" t="n">
        <x:f>$B$130*L112</x:f>
      </x:c>
      <x:c r="M130" s="117" t="n">
        <x:f>$B$130*M112</x:f>
      </x:c>
      <x:c r="N130" s="117" t="n">
        <x:f>$B$130*N112</x:f>
      </x:c>
      <x:c r="O130" s="117" t="n">
        <x:f>$B$130*O112</x:f>
      </x:c>
      <x:c r="P130" s="117" t="n">
        <x:f>$B$130*P112</x:f>
      </x:c>
      <x:c r="Q130" s="117" t="n">
        <x:f>$B$130*Q112</x:f>
      </x:c>
      <x:c r="R130" s="117" t="n">
        <x:f>$B$130*R112</x:f>
      </x:c>
      <x:c r="S130" s="117" t="n">
        <x:f>$B$130*S112</x:f>
      </x:c>
      <x:c r="T130" s="117" t="n">
        <x:f>$B$130*T112</x:f>
      </x:c>
      <x:c r="U130" s="117" t="n">
        <x:f>$B$130*U112</x:f>
      </x:c>
      <x:c r="V130" s="117" t="n">
        <x:f>$B$130*V112</x:f>
      </x:c>
      <x:c r="W130" s="117" t="n">
        <x:f>$B$130*W112</x:f>
      </x:c>
      <x:c r="X130" s="117" t="n">
        <x:f>$B$130*X112</x:f>
      </x:c>
      <x:c r="Y130" s="117" t="n">
        <x:f>$B$130*Y112</x:f>
      </x:c>
      <x:c r="Z130" s="117" t="n">
        <x:f>$B$130*Z112</x:f>
      </x:c>
      <x:c r="AA130" s="117" t="n">
        <x:f>$B$130*AA112</x:f>
      </x:c>
      <x:c r="AB130" s="117" t="n">
        <x:f>$B$130*AB112</x:f>
      </x:c>
      <x:c r="AC130" s="117" t="n">
        <x:f>$B$130*AC112</x:f>
      </x:c>
      <x:c r="AD130" s="117" t="n">
        <x:f>$B$130*AD112</x:f>
      </x:c>
      <x:c r="AE130" s="117" t="n">
        <x:f>$B$130*AE112</x:f>
      </x:c>
      <x:c r="AF130" s="117" t="n">
        <x:f>$B$130*AF112</x:f>
      </x:c>
      <x:c r="AG130" s="117" t="n">
        <x:f>$B$130*AG112</x:f>
      </x:c>
      <x:c r="AH130" s="117" t="n">
        <x:f>$B$130*AH112</x:f>
      </x:c>
      <x:c r="AI130" s="117" t="n">
        <x:f>$B$130*AI112</x:f>
      </x:c>
      <x:c r="AJ130" s="117" t="n">
        <x:f>$B$130*AJ112</x:f>
      </x:c>
      <x:c r="AK130" s="117" t="n">
        <x:f>$B$130*AK112</x:f>
      </x:c>
      <x:c r="AL130" s="117" t="n">
        <x:f>$B$130*AL112</x:f>
      </x:c>
      <x:c r="AM130" s="117" t="n">
        <x:f>$B$130*AM112</x:f>
      </x:c>
      <x:c r="AN130" s="117" t="n">
        <x:f>$B$130*AN112</x:f>
      </x:c>
      <x:c r="AO130" s="117" t="n">
        <x:f>$B$130*AO112</x:f>
      </x:c>
      <x:c r="AP130" s="117" t="n">
        <x:f>$B$130*AP112</x:f>
      </x:c>
      <x:c r="AQ130" s="117" t="n">
        <x:f>$B$130*AQ112</x:f>
      </x:c>
      <x:c r="AR130" s="117" t="n">
        <x:f>$B$130*AR112</x:f>
      </x:c>
      <x:c r="AS130" s="117" t="n">
        <x:f>$B$130*AS112</x:f>
      </x:c>
      <x:c r="AT130" s="117" t="n">
        <x:f>$B$130*AT112</x:f>
      </x:c>
      <x:c r="AU130" s="117" t="n">
        <x:f>$B$130*AU112</x:f>
      </x:c>
      <x:c r="AV130" s="117" t="n">
        <x:f>$B$130*AV112</x:f>
      </x:c>
      <x:c r="AW130" s="117" t="n">
        <x:f>$B$130*AW112</x:f>
      </x:c>
      <x:c r="AX130" s="117" t="n">
        <x:f>$B$130*AX112</x:f>
      </x:c>
      <x:c r="AY130" s="117" t="n">
        <x:f>$B$130*AY112</x:f>
      </x:c>
      <x:c r="AZ130" s="117" t="n">
        <x:f>$B$130*AZ112</x:f>
      </x:c>
      <x:c r="BA130" s="117" t="n">
        <x:f>$B$130*BA112</x:f>
      </x:c>
      <x:c r="BB130" s="117" t="n">
        <x:f>$B$130*BB112</x:f>
      </x:c>
      <x:c r="BC130" s="117" t="n">
        <x:f>$B$130*BC112</x:f>
      </x:c>
      <x:c r="BD130" s="117" t="n">
        <x:f>$B$130*BD112</x:f>
      </x:c>
      <x:c r="BE130" s="117" t="n">
        <x:f>$B$130*BE112</x:f>
      </x:c>
      <x:c r="BF130" s="117" t="n">
        <x:f>$B$130*BF112</x:f>
      </x:c>
      <x:c r="BG130" s="117" t="n">
        <x:f>$B$130*BG112</x:f>
      </x:c>
      <x:c r="BH130" s="117" t="n">
        <x:f>$B$130*BH112</x:f>
      </x:c>
      <x:c r="BI130" s="117" t="n">
        <x:f>$B$130*BI112</x:f>
      </x:c>
      <x:c r="BJ130" s="117" t="n">
        <x:f>$B$130*BJ112</x:f>
      </x:c>
      <x:c r="BK130" s="117" t="n">
        <x:f>$B$130*BK112</x:f>
      </x:c>
      <x:c r="BL130" s="117" t="n">
        <x:f>$B$130*BL112</x:f>
      </x:c>
      <x:c r="BM130" s="117" t="n">
        <x:f>$B$130*BM112</x:f>
      </x:c>
      <x:c r="BN130" s="117" t="n">
        <x:f>$B$130*BN112</x:f>
      </x:c>
      <x:c r="BO130" s="117" t="n">
        <x:f>$B$130*BO112</x:f>
      </x:c>
      <x:c r="BP130" s="117" t="n">
        <x:f>$B$130*BP112</x:f>
      </x:c>
      <x:c r="BQ130" s="117" t="n">
        <x:f>$B$130*BQ112</x:f>
      </x:c>
      <x:c r="BR130" s="117" t="n">
        <x:f>$B$130*BR112</x:f>
      </x:c>
      <x:c r="BS130" s="117" t="n">
        <x:f>$B$130*BS112</x:f>
      </x:c>
      <x:c r="BT130" s="117" t="n">
        <x:f>$B$130*BT112</x:f>
      </x:c>
      <x:c r="BU130" s="117" t="n">
        <x:f>$B$130*BU112</x:f>
      </x:c>
      <x:c r="BV130" s="117" t="n">
        <x:f>$B$130*BV112</x:f>
      </x:c>
      <x:c r="BW130" s="117" t="n">
        <x:f>$B$130*BW112</x:f>
      </x:c>
      <x:c r="BX130" s="117" t="n">
        <x:f>$B$130*BX112</x:f>
      </x:c>
      <x:c r="BY130" s="117" t="n">
        <x:f>$B$130*BY112</x:f>
      </x:c>
      <x:c r="BZ130" s="117" t="n">
        <x:f>$B$130*BZ112</x:f>
      </x:c>
      <x:c r="CA130" s="117" t="n">
        <x:f>$B$130*CA112</x:f>
      </x:c>
      <x:c r="CB130" s="117" t="n">
        <x:f>$B$130*CB112</x:f>
      </x:c>
      <x:c r="CC130" s="117" t="n">
        <x:f>$B$130*CC112</x:f>
      </x:c>
      <x:c r="CD130" s="117" t="n">
        <x:f>$B$130*CD112</x:f>
      </x:c>
      <x:c r="CE130" s="117" t="n">
        <x:f>$B$130*CE112</x:f>
      </x:c>
      <x:c r="CF130" s="117" t="n">
        <x:f>$B$130*CF112</x:f>
      </x:c>
      <x:c r="CG130" s="117" t="n">
        <x:f>$B$130*CG112</x:f>
      </x:c>
      <x:c r="CH130" s="117" t="n">
        <x:f>$B$130*CH112</x:f>
      </x:c>
      <x:c r="CI130" s="117" t="n">
        <x:f>$B$130*CI112</x:f>
      </x:c>
      <x:c r="CJ130" s="117" t="n">
        <x:f>$B$130*CJ112</x:f>
      </x:c>
      <x:c r="CK130" s="117" t="n">
        <x:f>$B$130*CK112</x:f>
      </x:c>
      <x:c r="CL130" s="117" t="n">
        <x:f>$B$130*CL112</x:f>
      </x:c>
      <x:c r="CM130" s="117" t="n">
        <x:f>$B$130*CM112</x:f>
      </x:c>
      <x:c r="CN130" s="117" t="n">
        <x:f>$B$130*CN112</x:f>
      </x:c>
      <x:c r="CO130" s="117" t="n">
        <x:f>$B$130*CO112</x:f>
      </x:c>
      <x:c r="CP130" s="117" t="n">
        <x:f>$B$130*CP112</x:f>
      </x:c>
      <x:c r="CQ130" s="117" t="n">
        <x:f>$B$130*CQ112</x:f>
      </x:c>
      <x:c r="CR130" s="117" t="n">
        <x:f>$B$130*CR112</x:f>
      </x:c>
      <x:c r="CS130" s="117" t="n">
        <x:f>$B$130*CS112</x:f>
      </x:c>
      <x:c r="CT130" s="117" t="n">
        <x:f>$B$130*CT112</x:f>
      </x:c>
      <x:c r="CU130" s="117" t="n">
        <x:f>$B$130*CU112</x:f>
      </x:c>
      <x:c r="CV130" s="117" t="n">
        <x:f>$B$130*CV112</x:f>
      </x:c>
      <x:c r="CW130" s="117" t="n">
        <x:f>$B$130*CW112</x:f>
      </x:c>
      <x:c r="CX130" s="117" t="n">
        <x:f>$B$130*CX112</x:f>
      </x:c>
      <x:c r="CY130" s="117" t="n">
        <x:f>$B$130*CY112</x:f>
      </x:c>
      <x:c r="CZ130" s="117" t="n">
        <x:f>$B$130*CZ112</x:f>
      </x:c>
      <x:c r="DA130" s="117" t="n">
        <x:f>$B$130*DA112</x:f>
      </x:c>
      <x:c r="DB130" s="117" t="n">
        <x:f>$B$130*DB112</x:f>
      </x:c>
      <x:c r="DC130" s="117" t="n">
        <x:f>$B$130*DC112</x:f>
      </x:c>
      <x:c r="DD130" s="117" t="n">
        <x:f>$B$130*DD112</x:f>
      </x:c>
      <x:c r="DE130" s="117" t="n">
        <x:f>$B$130*DE112</x:f>
      </x:c>
      <x:c r="DF130" s="117" t="n">
        <x:f>$B$130*DF112</x:f>
      </x:c>
      <x:c r="DG130" s="117" t="n">
        <x:f>$B$130*DG112</x:f>
      </x:c>
      <x:c r="DH130" s="117" t="n">
        <x:f>$B$130*DH112</x:f>
      </x:c>
      <x:c r="DI130" s="117" t="n">
        <x:f>$B$130*DI112</x:f>
      </x:c>
      <x:c r="DJ130" s="117" t="n">
        <x:f>$B$130*DJ112</x:f>
      </x:c>
      <x:c r="DK130" s="117" t="n">
        <x:f>$B$130*DK112</x:f>
      </x:c>
      <x:c r="DL130" s="117" t="n">
        <x:f>$B$130*DL112</x:f>
      </x:c>
      <x:c r="DM130" s="117" t="n">
        <x:f>$B$130*DM112</x:f>
      </x:c>
      <x:c r="DN130" s="117" t="n">
        <x:f>$B$130*DN112</x:f>
      </x:c>
      <x:c r="DO130" s="117" t="n">
        <x:f>$B$130*DO112</x:f>
      </x:c>
      <x:c r="DP130" s="117" t="n">
        <x:f>$B$130*DP112</x:f>
      </x:c>
      <x:c r="DQ130" s="117" t="n">
        <x:f>$B$130*DQ112</x:f>
      </x:c>
      <x:c r="DR130" s="117" t="n">
        <x:f>$B$130*DR112</x:f>
      </x:c>
      <x:c r="DS130" s="117" t="n">
        <x:f>$B$130*DS112</x:f>
      </x:c>
    </x:row>
    <x:row r="131">
      <x:c r="A131" t="str">
        <x:v>Вознаграждение генподрядчика</x:v>
      </x:c>
      <x:c r="B131" s="107" t="n">
        <x:f>SUM(B118:B128)*'Вводные'!$B$50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IF(AND(YEAR(D$3)=YEAR('Вводные'!$B$18),MONTH(D$3)=MONTH('Вводные'!$B$18)),$B$133,0)</x:f>
      </x:c>
      <x:c r="E133" s="117" t="n">
        <x:f>IF(AND(YEAR(E$3)=YEAR('Вводные'!$B$18),MONTH(E$3)=MONTH('Вводные'!$B$18)),$B$133,0)</x:f>
      </x:c>
      <x:c r="F133" s="117" t="n">
        <x:f>IF(AND(YEAR(F$3)=YEAR('Вводные'!$B$18),MONTH(F$3)=MONTH('Вводные'!$B$18)),$B$133,0)</x:f>
      </x:c>
      <x:c r="G133" s="117" t="n">
        <x:f>IF(AND(YEAR(G$3)=YEAR('Вводные'!$B$18),MONTH(G$3)=MONTH('Вводные'!$B$18)),$B$133,0)</x:f>
      </x:c>
      <x:c r="H133" s="117" t="n">
        <x:f>IF(AND(YEAR(H$3)=YEAR('Вводные'!$B$18),MONTH(H$3)=MONTH('Вводные'!$B$18)),$B$133,0)</x:f>
      </x:c>
      <x:c r="I133" s="117" t="n">
        <x:f>IF(AND(YEAR(I$3)=YEAR('Вводные'!$B$18),MONTH(I$3)=MONTH('Вводные'!$B$18)),$B$133,0)</x:f>
      </x:c>
      <x:c r="J133" s="117" t="n">
        <x:f>IF(AND(YEAR(J$3)=YEAR('Вводные'!$B$18),MONTH(J$3)=MONTH('Вводные'!$B$18)),$B$133,0)</x:f>
      </x:c>
      <x:c r="K133" s="117" t="n">
        <x:f>IF(AND(YEAR(K$3)=YEAR('Вводные'!$B$18),MONTH(K$3)=MONTH('Вводные'!$B$18)),$B$133,0)</x:f>
      </x:c>
      <x:c r="L133" s="117" t="n">
        <x:f>IF(AND(YEAR(L$3)=YEAR('Вводные'!$B$18),MONTH(L$3)=MONTH('Вводные'!$B$18)),$B$133,0)</x:f>
      </x:c>
      <x:c r="M133" s="117" t="n">
        <x:f>IF(AND(YEAR(M$3)=YEAR('Вводные'!$B$18),MONTH(M$3)=MONTH('Вводные'!$B$18)),$B$133,0)</x:f>
      </x:c>
      <x:c r="N133" s="117" t="n">
        <x:f>IF(AND(YEAR(N$3)=YEAR('Вводные'!$B$18),MONTH(N$3)=MONTH('Вводные'!$B$18)),$B$133,0)</x:f>
      </x:c>
      <x:c r="O133" s="117" t="n">
        <x:f>IF(AND(YEAR(O$3)=YEAR('Вводные'!$B$18),MONTH(O$3)=MONTH('Вводные'!$B$18)),$B$133,0)</x:f>
      </x:c>
      <x:c r="P133" s="117" t="n">
        <x:f>IF(AND(YEAR(P$3)=YEAR('Вводные'!$B$18),MONTH(P$3)=MONTH('Вводные'!$B$18)),$B$133,0)</x:f>
      </x:c>
      <x:c r="Q133" s="117" t="n">
        <x:f>IF(AND(YEAR(Q$3)=YEAR('Вводные'!$B$18),MONTH(Q$3)=MONTH('Вводные'!$B$18)),$B$133,0)</x:f>
      </x:c>
      <x:c r="R133" s="117" t="n">
        <x:f>IF(AND(YEAR(R$3)=YEAR('Вводные'!$B$18),MONTH(R$3)=MONTH('Вводные'!$B$18)),$B$133,0)</x:f>
      </x:c>
      <x:c r="S133" s="117" t="n">
        <x:f>IF(AND(YEAR(S$3)=YEAR('Вводные'!$B$18),MONTH(S$3)=MONTH('Вводные'!$B$18)),$B$133,0)</x:f>
      </x:c>
      <x:c r="T133" s="117" t="n">
        <x:f>IF(AND(YEAR(T$3)=YEAR('Вводные'!$B$18),MONTH(T$3)=MONTH('Вводные'!$B$18)),$B$133,0)</x:f>
      </x:c>
      <x:c r="U133" s="117" t="n">
        <x:f>IF(AND(YEAR(U$3)=YEAR('Вводные'!$B$18),MONTH(U$3)=MONTH('Вводные'!$B$18)),$B$133,0)</x:f>
      </x:c>
      <x:c r="V133" s="117" t="n">
        <x:f>IF(AND(YEAR(V$3)=YEAR('Вводные'!$B$18),MONTH(V$3)=MONTH('Вводные'!$B$18)),$B$133,0)</x:f>
      </x:c>
      <x:c r="W133" s="117" t="n">
        <x:f>IF(AND(YEAR(W$3)=YEAR('Вводные'!$B$18),MONTH(W$3)=MONTH('Вводные'!$B$18)),$B$133,0)</x:f>
      </x:c>
      <x:c r="X133" s="117" t="n">
        <x:f>IF(AND(YEAR(X$3)=YEAR('Вводные'!$B$18),MONTH(X$3)=MONTH('Вводные'!$B$18)),$B$133,0)</x:f>
      </x:c>
      <x:c r="Y133" s="117" t="n">
        <x:f>IF(AND(YEAR(Y$3)=YEAR('Вводные'!$B$18),MONTH(Y$3)=MONTH('Вводные'!$B$18)),$B$133,0)</x:f>
      </x:c>
      <x:c r="Z133" s="117" t="n">
        <x:f>IF(AND(YEAR(Z$3)=YEAR('Вводные'!$B$18),MONTH(Z$3)=MONTH('Вводные'!$B$18)),$B$133,0)</x:f>
      </x:c>
      <x:c r="AA133" s="117" t="n">
        <x:f>IF(AND(YEAR(AA$3)=YEAR('Вводные'!$B$18),MONTH(AA$3)=MONTH('Вводные'!$B$18)),$B$133,0)</x:f>
      </x:c>
      <x:c r="AB133" s="117" t="n">
        <x:f>IF(AND(YEAR(AB$3)=YEAR('Вводные'!$B$18),MONTH(AB$3)=MONTH('Вводные'!$B$18)),$B$133,0)</x:f>
      </x:c>
      <x:c r="AC133" s="117" t="n">
        <x:f>IF(AND(YEAR(AC$3)=YEAR('Вводные'!$B$18),MONTH(AC$3)=MONTH('Вводные'!$B$18)),$B$133,0)</x:f>
      </x:c>
      <x:c r="AD133" s="117" t="n">
        <x:f>IF(AND(YEAR(AD$3)=YEAR('Вводные'!$B$18),MONTH(AD$3)=MONTH('Вводные'!$B$18)),$B$133,0)</x:f>
      </x:c>
      <x:c r="AE133" s="117" t="n">
        <x:f>IF(AND(YEAR(AE$3)=YEAR('Вводные'!$B$18),MONTH(AE$3)=MONTH('Вводные'!$B$18)),$B$133,0)</x:f>
      </x:c>
      <x:c r="AF133" s="117" t="n">
        <x:f>IF(AND(YEAR(AF$3)=YEAR('Вводные'!$B$18),MONTH(AF$3)=MONTH('Вводные'!$B$18)),$B$133,0)</x:f>
      </x:c>
      <x:c r="AG133" s="117" t="n">
        <x:f>IF(AND(YEAR(AG$3)=YEAR('Вводные'!$B$18),MONTH(AG$3)=MONTH('Вводные'!$B$18)),$B$133,0)</x:f>
      </x:c>
      <x:c r="AH133" s="117" t="n">
        <x:f>IF(AND(YEAR(AH$3)=YEAR('Вводные'!$B$18),MONTH(AH$3)=MONTH('Вводные'!$B$18)),$B$133,0)</x:f>
      </x:c>
      <x:c r="AI133" s="117" t="n">
        <x:f>IF(AND(YEAR(AI$3)=YEAR('Вводные'!$B$18),MONTH(AI$3)=MONTH('Вводные'!$B$18)),$B$133,0)</x:f>
      </x:c>
      <x:c r="AJ133" s="117" t="n">
        <x:f>IF(AND(YEAR(AJ$3)=YEAR('Вводные'!$B$18),MONTH(AJ$3)=MONTH('Вводные'!$B$18)),$B$133,0)</x:f>
      </x:c>
      <x:c r="AK133" s="117" t="n">
        <x:f>IF(AND(YEAR(AK$3)=YEAR('Вводные'!$B$18),MONTH(AK$3)=MONTH('Вводные'!$B$18)),$B$133,0)</x:f>
      </x:c>
      <x:c r="AL133" s="117" t="n">
        <x:f>IF(AND(YEAR(AL$3)=YEAR('Вводные'!$B$18),MONTH(AL$3)=MONTH('Вводные'!$B$18)),$B$133,0)</x:f>
      </x:c>
      <x:c r="AM133" s="117" t="n">
        <x:f>IF(AND(YEAR(AM$3)=YEAR('Вводные'!$B$18),MONTH(AM$3)=MONTH('Вводные'!$B$18)),$B$133,0)</x:f>
      </x:c>
      <x:c r="AN133" s="117" t="n">
        <x:f>IF(AND(YEAR(AN$3)=YEAR('Вводные'!$B$18),MONTH(AN$3)=MONTH('Вводные'!$B$18)),$B$133,0)</x:f>
      </x:c>
      <x:c r="AO133" s="117" t="n">
        <x:f>IF(AND(YEAR(AO$3)=YEAR('Вводные'!$B$18),MONTH(AO$3)=MONTH('Вводные'!$B$18)),$B$133,0)</x:f>
      </x:c>
      <x:c r="AP133" s="117" t="n">
        <x:f>IF(AND(YEAR(AP$3)=YEAR('Вводные'!$B$18),MONTH(AP$3)=MONTH('Вводные'!$B$18)),$B$133,0)</x:f>
      </x:c>
      <x:c r="AQ133" s="117" t="n">
        <x:f>IF(AND(YEAR(AQ$3)=YEAR('Вводные'!$B$18),MONTH(AQ$3)=MONTH('Вводные'!$B$18)),$B$133,0)</x:f>
      </x:c>
      <x:c r="AR133" s="117" t="n">
        <x:f>IF(AND(YEAR(AR$3)=YEAR('Вводные'!$B$18),MONTH(AR$3)=MONTH('Вводные'!$B$18)),$B$133,0)</x:f>
      </x:c>
      <x:c r="AS133" s="117" t="n">
        <x:f>IF(AND(YEAR(AS$3)=YEAR('Вводные'!$B$18),MONTH(AS$3)=MONTH('Вводные'!$B$18)),$B$133,0)</x:f>
      </x:c>
      <x:c r="AT133" s="117" t="n">
        <x:f>IF(AND(YEAR(AT$3)=YEAR('Вводные'!$B$18),MONTH(AT$3)=MONTH('Вводные'!$B$18)),$B$133,0)</x:f>
      </x:c>
      <x:c r="AU133" s="117" t="n">
        <x:f>IF(AND(YEAR(AU$3)=YEAR('Вводные'!$B$18),MONTH(AU$3)=MONTH('Вводные'!$B$18)),$B$133,0)</x:f>
      </x:c>
      <x:c r="AV133" s="117" t="n">
        <x:f>IF(AND(YEAR(AV$3)=YEAR('Вводные'!$B$18),MONTH(AV$3)=MONTH('Вводные'!$B$18)),$B$133,0)</x:f>
      </x:c>
      <x:c r="AW133" s="117" t="n">
        <x:f>IF(AND(YEAR(AW$3)=YEAR('Вводные'!$B$18),MONTH(AW$3)=MONTH('Вводные'!$B$18)),$B$133,0)</x:f>
      </x:c>
      <x:c r="AX133" s="117" t="n">
        <x:f>IF(AND(YEAR(AX$3)=YEAR('Вводные'!$B$18),MONTH(AX$3)=MONTH('Вводные'!$B$18)),$B$133,0)</x:f>
      </x:c>
      <x:c r="AY133" s="117" t="n">
        <x:f>IF(AND(YEAR(AY$3)=YEAR('Вводные'!$B$18),MONTH(AY$3)=MONTH('Вводные'!$B$18)),$B$133,0)</x:f>
      </x:c>
      <x:c r="AZ133" s="117" t="n">
        <x:f>IF(AND(YEAR(AZ$3)=YEAR('Вводные'!$B$18),MONTH(AZ$3)=MONTH('Вводные'!$B$18)),$B$133,0)</x:f>
      </x:c>
      <x:c r="BA133" s="117" t="n">
        <x:f>IF(AND(YEAR(BA$3)=YEAR('Вводные'!$B$18),MONTH(BA$3)=MONTH('Вводные'!$B$18)),$B$133,0)</x:f>
      </x:c>
      <x:c r="BB133" s="117" t="n">
        <x:f>IF(AND(YEAR(BB$3)=YEAR('Вводные'!$B$18),MONTH(BB$3)=MONTH('Вводные'!$B$18)),$B$133,0)</x:f>
      </x:c>
      <x:c r="BC133" s="117" t="n">
        <x:f>IF(AND(YEAR(BC$3)=YEAR('Вводные'!$B$18),MONTH(BC$3)=MONTH('Вводные'!$B$18)),$B$133,0)</x:f>
      </x:c>
      <x:c r="BD133" s="117" t="n">
        <x:f>IF(AND(YEAR(BD$3)=YEAR('Вводные'!$B$18),MONTH(BD$3)=MONTH('Вводные'!$B$18)),$B$133,0)</x:f>
      </x:c>
      <x:c r="BE133" s="117" t="n">
        <x:f>IF(AND(YEAR(BE$3)=YEAR('Вводные'!$B$18),MONTH(BE$3)=MONTH('Вводные'!$B$18)),$B$133,0)</x:f>
      </x:c>
      <x:c r="BF133" s="117" t="n">
        <x:f>IF(AND(YEAR(BF$3)=YEAR('Вводные'!$B$18),MONTH(BF$3)=MONTH('Вводные'!$B$18)),$B$133,0)</x:f>
      </x:c>
      <x:c r="BG133" s="117" t="n">
        <x:f>IF(AND(YEAR(BG$3)=YEAR('Вводные'!$B$18),MONTH(BG$3)=MONTH('Вводные'!$B$18)),$B$133,0)</x:f>
      </x:c>
      <x:c r="BH133" s="117" t="n">
        <x:f>IF(AND(YEAR(BH$3)=YEAR('Вводные'!$B$18),MONTH(BH$3)=MONTH('Вводные'!$B$18)),$B$133,0)</x:f>
      </x:c>
      <x:c r="BI133" s="117" t="n">
        <x:f>IF(AND(YEAR(BI$3)=YEAR('Вводные'!$B$18),MONTH(BI$3)=MONTH('Вводные'!$B$18)),$B$133,0)</x:f>
      </x:c>
      <x:c r="BJ133" s="117" t="n">
        <x:f>IF(AND(YEAR(BJ$3)=YEAR('Вводные'!$B$18),MONTH(BJ$3)=MONTH('Вводные'!$B$18)),$B$133,0)</x:f>
      </x:c>
      <x:c r="BK133" s="117" t="n">
        <x:f>IF(AND(YEAR(BK$3)=YEAR('Вводные'!$B$18),MONTH(BK$3)=MONTH('Вводные'!$B$18)),$B$133,0)</x:f>
      </x:c>
      <x:c r="BL133" s="117" t="n">
        <x:f>IF(AND(YEAR(BL$3)=YEAR('Вводные'!$B$18),MONTH(BL$3)=MONTH('Вводные'!$B$18)),$B$133,0)</x:f>
      </x:c>
      <x:c r="BM133" s="117" t="n">
        <x:f>IF(AND(YEAR(BM$3)=YEAR('Вводные'!$B$18),MONTH(BM$3)=MONTH('Вводные'!$B$18)),$B$133,0)</x:f>
      </x:c>
      <x:c r="BN133" s="117" t="n">
        <x:f>IF(AND(YEAR(BN$3)=YEAR('Вводные'!$B$18),MONTH(BN$3)=MONTH('Вводные'!$B$18)),$B$133,0)</x:f>
      </x:c>
      <x:c r="BO133" s="117" t="n">
        <x:f>IF(AND(YEAR(BO$3)=YEAR('Вводные'!$B$18),MONTH(BO$3)=MONTH('Вводные'!$B$18)),$B$133,0)</x:f>
      </x:c>
      <x:c r="BP133" s="117" t="n">
        <x:f>IF(AND(YEAR(BP$3)=YEAR('Вводные'!$B$18),MONTH(BP$3)=MONTH('Вводные'!$B$18)),$B$133,0)</x:f>
      </x:c>
      <x:c r="BQ133" s="117" t="n">
        <x:f>IF(AND(YEAR(BQ$3)=YEAR('Вводные'!$B$18),MONTH(BQ$3)=MONTH('Вводные'!$B$18)),$B$133,0)</x:f>
      </x:c>
      <x:c r="BR133" s="117" t="n">
        <x:f>IF(AND(YEAR(BR$3)=YEAR('Вводные'!$B$18),MONTH(BR$3)=MONTH('Вводные'!$B$18)),$B$133,0)</x:f>
      </x:c>
      <x:c r="BS133" s="117" t="n">
        <x:f>IF(AND(YEAR(BS$3)=YEAR('Вводные'!$B$18),MONTH(BS$3)=MONTH('Вводные'!$B$18)),$B$133,0)</x:f>
      </x:c>
      <x:c r="BT133" s="117" t="n">
        <x:f>IF(AND(YEAR(BT$3)=YEAR('Вводные'!$B$18),MONTH(BT$3)=MONTH('Вводные'!$B$18)),$B$133,0)</x:f>
      </x:c>
      <x:c r="BU133" s="117" t="n">
        <x:f>IF(AND(YEAR(BU$3)=YEAR('Вводные'!$B$18),MONTH(BU$3)=MONTH('Вводные'!$B$18)),$B$133,0)</x:f>
      </x:c>
      <x:c r="BV133" s="117" t="n">
        <x:f>IF(AND(YEAR(BV$3)=YEAR('Вводные'!$B$18),MONTH(BV$3)=MONTH('Вводные'!$B$18)),$B$133,0)</x:f>
      </x:c>
      <x:c r="BW133" s="117" t="n">
        <x:f>IF(AND(YEAR(BW$3)=YEAR('Вводные'!$B$18),MONTH(BW$3)=MONTH('Вводные'!$B$18)),$B$133,0)</x:f>
      </x:c>
      <x:c r="BX133" s="117" t="n">
        <x:f>IF(AND(YEAR(BX$3)=YEAR('Вводные'!$B$18),MONTH(BX$3)=MONTH('Вводные'!$B$18)),$B$133,0)</x:f>
      </x:c>
      <x:c r="BY133" s="117" t="n">
        <x:f>IF(AND(YEAR(BY$3)=YEAR('Вводные'!$B$18),MONTH(BY$3)=MONTH('Вводные'!$B$18)),$B$133,0)</x:f>
      </x:c>
      <x:c r="BZ133" s="117" t="n">
        <x:f>IF(AND(YEAR(BZ$3)=YEAR('Вводные'!$B$18),MONTH(BZ$3)=MONTH('Вводные'!$B$18)),$B$133,0)</x:f>
      </x:c>
      <x:c r="CA133" s="117" t="n">
        <x:f>IF(AND(YEAR(CA$3)=YEAR('Вводные'!$B$18),MONTH(CA$3)=MONTH('Вводные'!$B$18)),$B$133,0)</x:f>
      </x:c>
      <x:c r="CB133" s="117" t="n">
        <x:f>IF(AND(YEAR(CB$3)=YEAR('Вводные'!$B$18),MONTH(CB$3)=MONTH('Вводные'!$B$18)),$B$133,0)</x:f>
      </x:c>
      <x:c r="CC133" s="117" t="n">
        <x:f>IF(AND(YEAR(CC$3)=YEAR('Вводные'!$B$18),MONTH(CC$3)=MONTH('Вводные'!$B$18)),$B$133,0)</x:f>
      </x:c>
      <x:c r="CD133" s="117" t="n">
        <x:f>IF(AND(YEAR(CD$3)=YEAR('Вводные'!$B$18),MONTH(CD$3)=MONTH('Вводные'!$B$18)),$B$133,0)</x:f>
      </x:c>
      <x:c r="CE133" s="117" t="n">
        <x:f>IF(AND(YEAR(CE$3)=YEAR('Вводные'!$B$18),MONTH(CE$3)=MONTH('Вводные'!$B$18)),$B$133,0)</x:f>
      </x:c>
      <x:c r="CF133" s="117" t="n">
        <x:f>IF(AND(YEAR(CF$3)=YEAR('Вводные'!$B$18),MONTH(CF$3)=MONTH('Вводные'!$B$18)),$B$133,0)</x:f>
      </x:c>
      <x:c r="CG133" s="117" t="n">
        <x:f>IF(AND(YEAR(CG$3)=YEAR('Вводные'!$B$18),MONTH(CG$3)=MONTH('Вводные'!$B$18)),$B$133,0)</x:f>
      </x:c>
      <x:c r="CH133" s="117" t="n">
        <x:f>IF(AND(YEAR(CH$3)=YEAR('Вводные'!$B$18),MONTH(CH$3)=MONTH('Вводные'!$B$18)),$B$133,0)</x:f>
      </x:c>
      <x:c r="CI133" s="117" t="n">
        <x:f>IF(AND(YEAR(CI$3)=YEAR('Вводные'!$B$18),MONTH(CI$3)=MONTH('Вводные'!$B$18)),$B$133,0)</x:f>
      </x:c>
      <x:c r="CJ133" s="117" t="n">
        <x:f>IF(AND(YEAR(CJ$3)=YEAR('Вводные'!$B$18),MONTH(CJ$3)=MONTH('Вводные'!$B$18)),$B$133,0)</x:f>
      </x:c>
      <x:c r="CK133" s="117" t="n">
        <x:f>IF(AND(YEAR(CK$3)=YEAR('Вводные'!$B$18),MONTH(CK$3)=MONTH('Вводные'!$B$18)),$B$133,0)</x:f>
      </x:c>
      <x:c r="CL133" s="117" t="n">
        <x:f>IF(AND(YEAR(CL$3)=YEAR('Вводные'!$B$18),MONTH(CL$3)=MONTH('Вводные'!$B$18)),$B$133,0)</x:f>
      </x:c>
      <x:c r="CM133" s="117" t="n">
        <x:f>IF(AND(YEAR(CM$3)=YEAR('Вводные'!$B$18),MONTH(CM$3)=MONTH('Вводные'!$B$18)),$B$133,0)</x:f>
      </x:c>
      <x:c r="CN133" s="117" t="n">
        <x:f>IF(AND(YEAR(CN$3)=YEAR('Вводные'!$B$18),MONTH(CN$3)=MONTH('Вводные'!$B$18)),$B$133,0)</x:f>
      </x:c>
      <x:c r="CO133" s="117" t="n">
        <x:f>IF(AND(YEAR(CO$3)=YEAR('Вводные'!$B$18),MONTH(CO$3)=MONTH('Вводные'!$B$18)),$B$133,0)</x:f>
      </x:c>
      <x:c r="CP133" s="117" t="n">
        <x:f>IF(AND(YEAR(CP$3)=YEAR('Вводные'!$B$18),MONTH(CP$3)=MONTH('Вводные'!$B$18)),$B$133,0)</x:f>
      </x:c>
      <x:c r="CQ133" s="117" t="n">
        <x:f>IF(AND(YEAR(CQ$3)=YEAR('Вводные'!$B$18),MONTH(CQ$3)=MONTH('Вводные'!$B$18)),$B$133,0)</x:f>
      </x:c>
      <x:c r="CR133" s="117" t="n">
        <x:f>IF(AND(YEAR(CR$3)=YEAR('Вводные'!$B$18),MONTH(CR$3)=MONTH('Вводные'!$B$18)),$B$133,0)</x:f>
      </x:c>
      <x:c r="CS133" s="117" t="n">
        <x:f>IF(AND(YEAR(CS$3)=YEAR('Вводные'!$B$18),MONTH(CS$3)=MONTH('Вводные'!$B$18)),$B$133,0)</x:f>
      </x:c>
      <x:c r="CT133" s="117" t="n">
        <x:f>IF(AND(YEAR(CT$3)=YEAR('Вводные'!$B$18),MONTH(CT$3)=MONTH('Вводные'!$B$18)),$B$133,0)</x:f>
      </x:c>
      <x:c r="CU133" s="117" t="n">
        <x:f>IF(AND(YEAR(CU$3)=YEAR('Вводные'!$B$18),MONTH(CU$3)=MONTH('Вводные'!$B$18)),$B$133,0)</x:f>
      </x:c>
      <x:c r="CV133" s="117" t="n">
        <x:f>IF(AND(YEAR(CV$3)=YEAR('Вводные'!$B$18),MONTH(CV$3)=MONTH('Вводные'!$B$18)),$B$133,0)</x:f>
      </x:c>
      <x:c r="CW133" s="117" t="n">
        <x:f>IF(AND(YEAR(CW$3)=YEAR('Вводные'!$B$18),MONTH(CW$3)=MONTH('Вводные'!$B$18)),$B$133,0)</x:f>
      </x:c>
      <x:c r="CX133" s="117" t="n">
        <x:f>IF(AND(YEAR(CX$3)=YEAR('Вводные'!$B$18),MONTH(CX$3)=MONTH('Вводные'!$B$18)),$B$133,0)</x:f>
      </x:c>
      <x:c r="CY133" s="117" t="n">
        <x:f>IF(AND(YEAR(CY$3)=YEAR('Вводные'!$B$18),MONTH(CY$3)=MONTH('Вводные'!$B$18)),$B$133,0)</x:f>
      </x:c>
      <x:c r="CZ133" s="117" t="n">
        <x:f>IF(AND(YEAR(CZ$3)=YEAR('Вводные'!$B$18),MONTH(CZ$3)=MONTH('Вводные'!$B$18)),$B$133,0)</x:f>
      </x:c>
      <x:c r="DA133" s="117" t="n">
        <x:f>IF(AND(YEAR(DA$3)=YEAR('Вводные'!$B$18),MONTH(DA$3)=MONTH('Вводные'!$B$18)),$B$133,0)</x:f>
      </x:c>
      <x:c r="DB133" s="117" t="n">
        <x:f>IF(AND(YEAR(DB$3)=YEAR('Вводные'!$B$18),MONTH(DB$3)=MONTH('Вводные'!$B$18)),$B$133,0)</x:f>
      </x:c>
      <x:c r="DC133" s="117" t="n">
        <x:f>IF(AND(YEAR(DC$3)=YEAR('Вводные'!$B$18),MONTH(DC$3)=MONTH('Вводные'!$B$18)),$B$133,0)</x:f>
      </x:c>
      <x:c r="DD133" s="117" t="n">
        <x:f>IF(AND(YEAR(DD$3)=YEAR('Вводные'!$B$18),MONTH(DD$3)=MONTH('Вводные'!$B$18)),$B$133,0)</x:f>
      </x:c>
      <x:c r="DE133" s="117" t="n">
        <x:f>IF(AND(YEAR(DE$3)=YEAR('Вводные'!$B$18),MONTH(DE$3)=MONTH('Вводные'!$B$18)),$B$133,0)</x:f>
      </x:c>
      <x:c r="DF133" s="117" t="n">
        <x:f>IF(AND(YEAR(DF$3)=YEAR('Вводные'!$B$18),MONTH(DF$3)=MONTH('Вводные'!$B$18)),$B$133,0)</x:f>
      </x:c>
      <x:c r="DG133" s="117" t="n">
        <x:f>IF(AND(YEAR(DG$3)=YEAR('Вводные'!$B$18),MONTH(DG$3)=MONTH('Вводные'!$B$18)),$B$133,0)</x:f>
      </x:c>
      <x:c r="DH133" s="117" t="n">
        <x:f>IF(AND(YEAR(DH$3)=YEAR('Вводные'!$B$18),MONTH(DH$3)=MONTH('Вводные'!$B$18)),$B$133,0)</x:f>
      </x:c>
      <x:c r="DI133" s="117" t="n">
        <x:f>IF(AND(YEAR(DI$3)=YEAR('Вводные'!$B$18),MONTH(DI$3)=MONTH('Вводные'!$B$18)),$B$133,0)</x:f>
      </x:c>
      <x:c r="DJ133" s="117" t="n">
        <x:f>IF(AND(YEAR(DJ$3)=YEAR('Вводные'!$B$18),MONTH(DJ$3)=MONTH('Вводные'!$B$18)),$B$133,0)</x:f>
      </x:c>
      <x:c r="DK133" s="117" t="n">
        <x:f>IF(AND(YEAR(DK$3)=YEAR('Вводные'!$B$18),MONTH(DK$3)=MONTH('Вводные'!$B$18)),$B$133,0)</x:f>
      </x:c>
      <x:c r="DL133" s="117" t="n">
        <x:f>IF(AND(YEAR(DL$3)=YEAR('Вводные'!$B$18),MONTH(DL$3)=MONTH('Вводные'!$B$18)),$B$133,0)</x:f>
      </x:c>
      <x:c r="DM133" s="117" t="n">
        <x:f>IF(AND(YEAR(DM$3)=YEAR('Вводные'!$B$18),MONTH(DM$3)=MONTH('Вводные'!$B$18)),$B$133,0)</x:f>
      </x:c>
      <x:c r="DN133" s="117" t="n">
        <x:f>IF(AND(YEAR(DN$3)=YEAR('Вводные'!$B$18),MONTH(DN$3)=MONTH('Вводные'!$B$18)),$B$133,0)</x:f>
      </x:c>
      <x:c r="DO133" s="117" t="n">
        <x:f>IF(AND(YEAR(DO$3)=YEAR('Вводные'!$B$18),MONTH(DO$3)=MONTH('Вводные'!$B$18)),$B$133,0)</x:f>
      </x:c>
      <x:c r="DP133" s="117" t="n">
        <x:f>IF(AND(YEAR(DP$3)=YEAR('Вводные'!$B$18),MONTH(DP$3)=MONTH('Вводные'!$B$18)),$B$133,0)</x:f>
      </x:c>
      <x:c r="DQ133" s="117" t="n">
        <x:f>IF(AND(YEAR(DQ$3)=YEAR('Вводные'!$B$18),MONTH(DQ$3)=MONTH('Вводные'!$B$18)),$B$133,0)</x:f>
      </x:c>
      <x:c r="DR133" s="117" t="n">
        <x:f>IF(AND(YEAR(DR$3)=YEAR('Вводные'!$B$18),MONTH(DR$3)=MONTH('Вводные'!$B$18)),$B$133,0)</x:f>
      </x:c>
      <x:c r="DS133" s="117" t="n">
        <x:f>IF(AND(YEAR(DS$3)=YEAR('Вводные'!$B$18),MONTH(DS$3)=MONTH('Вводные'!$B$18)),$B$133,0)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MIN(MAX(0,'Вводные'!$B$24*'Вводные'!$U$88-D30),D33)</x:f>
      </x:c>
      <x:c r="E34" s="117" t="n">
        <x:f>MIN(MAX(0,'Вводные'!$B$24*'Вводные'!$U$88-E30),E33)</x:f>
      </x:c>
      <x:c r="F34" s="117" t="n">
        <x:f>MIN(MAX(0,'Вводные'!$B$24*'Вводные'!$U$88-F30),F33)</x:f>
      </x:c>
      <x:c r="G34" s="117" t="n">
        <x:f>MIN(MAX(0,'Вводные'!$B$24*'Вводные'!$U$88-G30),G33)</x:f>
      </x:c>
      <x:c r="H34" s="117" t="n">
        <x:f>MIN(MAX(0,'Вводные'!$B$24*'Вводные'!$U$88-H30),H33)</x:f>
      </x:c>
      <x:c r="I34" s="117" t="n">
        <x:f>MIN(MAX(0,'Вводные'!$B$24*'Вводные'!$U$88-I30),I33)</x:f>
      </x:c>
      <x:c r="J34" s="117" t="n">
        <x:f>MIN(MAX(0,'Вводные'!$B$24*'Вводные'!$U$88-J30),J33)</x:f>
      </x:c>
      <x:c r="K34" s="117" t="n">
        <x:f>MIN(MAX(0,'Вводные'!$B$24*'Вводные'!$U$88-K30),K33)</x:f>
      </x:c>
      <x:c r="L34" s="117" t="n">
        <x:f>MIN(MAX(0,'Вводные'!$B$24*'Вводные'!$U$88-L30),L33)</x:f>
      </x:c>
      <x:c r="M34" s="117" t="n">
        <x:f>MIN(MAX(0,'Вводные'!$B$24*'Вводные'!$U$88-M30),M33)</x:f>
      </x:c>
      <x:c r="N34" s="117" t="n">
        <x:f>MIN(MAX(0,'Вводные'!$B$24*'Вводные'!$U$88-N30),N33)</x:f>
      </x:c>
      <x:c r="O34" s="117" t="n">
        <x:f>MIN(MAX(0,'Вводные'!$B$24*'Вводные'!$U$88-O30),O33)</x:f>
      </x:c>
      <x:c r="P34" s="117" t="n">
        <x:f>MIN(MAX(0,'Вводные'!$B$24*'Вводные'!$U$88-P30),P33)</x:f>
      </x:c>
      <x:c r="Q34" s="117" t="n">
        <x:f>MIN(MAX(0,'Вводные'!$B$24*'Вводные'!$U$88-Q30),Q33)</x:f>
      </x:c>
      <x:c r="R34" s="117" t="n">
        <x:f>MIN(MAX(0,'Вводные'!$B$24*'Вводные'!$U$88-R30),R33)</x:f>
      </x:c>
      <x:c r="S34" s="117" t="n">
        <x:f>MIN(MAX(0,'Вводные'!$B$24*'Вводные'!$U$88-S30),S33)</x:f>
      </x:c>
      <x:c r="T34" s="117" t="n">
        <x:f>MIN(MAX(0,'Вводные'!$B$24*'Вводные'!$U$88-T30),T33)</x:f>
      </x:c>
      <x:c r="U34" s="117" t="n">
        <x:f>MIN(MAX(0,'Вводные'!$B$24*'Вводные'!$U$88-U30),U33)</x:f>
      </x:c>
      <x:c r="V34" s="117" t="n">
        <x:f>MIN(MAX(0,'Вводные'!$B$24*'Вводные'!$U$88-V30),V33)</x:f>
      </x:c>
      <x:c r="W34" s="117" t="n">
        <x:f>MIN(MAX(0,'Вводные'!$B$24*'Вводные'!$U$88-W30),W33)</x:f>
      </x:c>
      <x:c r="X34" s="117" t="n">
        <x:f>MIN(MAX(0,'Вводные'!$B$24*'Вводные'!$U$88-X30),X33)</x:f>
      </x:c>
      <x:c r="Y34" s="117" t="n">
        <x:f>MIN(MAX(0,'Вводные'!$B$24*'Вводные'!$U$88-Y30),Y33)</x:f>
      </x:c>
      <x:c r="Z34" s="117" t="n">
        <x:f>MIN(MAX(0,'Вводные'!$B$24*'Вводные'!$U$88-Z30),Z33)</x:f>
      </x:c>
      <x:c r="AA34" s="117" t="n">
        <x:f>MIN(MAX(0,'Вводные'!$B$24*'Вводные'!$U$88-AA30),AA33)</x:f>
      </x:c>
      <x:c r="AB34" s="117" t="n">
        <x:f>MIN(MAX(0,'Вводные'!$B$24*'Вводные'!$U$88-AB30),AB33)</x:f>
      </x:c>
      <x:c r="AC34" s="117" t="n">
        <x:f>MIN(MAX(0,'Вводные'!$B$24*'Вводные'!$U$88-AC30),AC33)</x:f>
      </x:c>
      <x:c r="AD34" s="117" t="n">
        <x:f>MIN(MAX(0,'Вводные'!$B$24*'Вводные'!$U$88-AD30),AD33)</x:f>
      </x:c>
      <x:c r="AE34" s="117" t="n">
        <x:f>MIN(MAX(0,'Вводные'!$B$24*'Вводные'!$U$88-AE30),AE33)</x:f>
      </x:c>
      <x:c r="AF34" s="117" t="n">
        <x:f>MIN(MAX(0,'Вводные'!$B$24*'Вводные'!$U$88-AF30),AF33)</x:f>
      </x:c>
      <x:c r="AG34" s="117" t="n">
        <x:f>MIN(MAX(0,'Вводные'!$B$24*'Вводные'!$U$88-AG30),AG33)</x:f>
      </x:c>
      <x:c r="AH34" s="117" t="n">
        <x:f>MIN(MAX(0,'Вводные'!$B$24*'Вводные'!$U$88-AH30),AH33)</x:f>
      </x:c>
      <x:c r="AI34" s="117" t="n">
        <x:f>MIN(MAX(0,'Вводные'!$B$24*'Вводные'!$U$88-AI30),AI33)</x:f>
      </x:c>
      <x:c r="AJ34" s="117" t="n">
        <x:f>MIN(MAX(0,'Вводные'!$B$24*'Вводные'!$U$88-AJ30),AJ33)</x:f>
      </x:c>
      <x:c r="AK34" s="117" t="n">
        <x:f>MIN(MAX(0,'Вводные'!$B$24*'Вводные'!$U$88-AK30),AK33)</x:f>
      </x:c>
      <x:c r="AL34" s="117" t="n">
        <x:f>MIN(MAX(0,'Вводные'!$B$24*'Вводные'!$U$88-AL30),AL33)</x:f>
      </x:c>
      <x:c r="AM34" s="117" t="n">
        <x:f>MIN(MAX(0,'Вводные'!$B$24*'Вводные'!$U$88-AM30),AM33)</x:f>
      </x:c>
      <x:c r="AN34" s="117" t="n">
        <x:f>MIN(MAX(0,'Вводные'!$B$24*'Вводные'!$U$88-AN30),AN33)</x:f>
      </x:c>
      <x:c r="AO34" s="117" t="n">
        <x:f>MIN(MAX(0,'Вводные'!$B$24*'Вводные'!$U$88-AO30),AO33)</x:f>
      </x:c>
      <x:c r="AP34" s="117" t="n">
        <x:f>MIN(MAX(0,'Вводные'!$B$24*'Вводные'!$U$88-AP30),AP33)</x:f>
      </x:c>
      <x:c r="AQ34" s="117" t="n">
        <x:f>MIN(MAX(0,'Вводные'!$B$24*'Вводные'!$U$88-AQ30),AQ33)</x:f>
      </x:c>
      <x:c r="AR34" s="117" t="n">
        <x:f>MIN(MAX(0,'Вводные'!$B$24*'Вводные'!$U$88-AR30),AR33)</x:f>
      </x:c>
      <x:c r="AS34" s="117" t="n">
        <x:f>MIN(MAX(0,'Вводные'!$B$24*'Вводные'!$U$88-AS30),AS33)</x:f>
      </x:c>
      <x:c r="AT34" s="117" t="n">
        <x:f>MIN(MAX(0,'Вводные'!$B$24*'Вводные'!$U$88-AT30),AT33)</x:f>
      </x:c>
      <x:c r="AU34" s="117" t="n">
        <x:f>MIN(MAX(0,'Вводные'!$B$24*'Вводные'!$U$88-AU30),AU33)</x:f>
      </x:c>
      <x:c r="AV34" s="117" t="n">
        <x:f>MIN(MAX(0,'Вводные'!$B$24*'Вводные'!$U$88-AV30),AV33)</x:f>
      </x:c>
      <x:c r="AW34" s="117" t="n">
        <x:f>MIN(MAX(0,'Вводные'!$B$24*'Вводные'!$U$88-AW30),AW33)</x:f>
      </x:c>
      <x:c r="AX34" s="117" t="n">
        <x:f>MIN(MAX(0,'Вводные'!$B$24*'Вводные'!$U$88-AX30),AX33)</x:f>
      </x:c>
      <x:c r="AY34" s="117" t="n">
        <x:f>MIN(MAX(0,'Вводные'!$B$24*'Вводные'!$U$88-AY30),AY33)</x:f>
      </x:c>
      <x:c r="AZ34" s="117" t="n">
        <x:f>MIN(MAX(0,'Вводные'!$B$24*'Вводные'!$U$88-AZ30),AZ33)</x:f>
      </x:c>
      <x:c r="BA34" s="117" t="n">
        <x:f>MIN(MAX(0,'Вводные'!$B$24*'Вводные'!$U$88-BA30),BA33)</x:f>
      </x:c>
      <x:c r="BB34" s="117" t="n">
        <x:f>MIN(MAX(0,'Вводные'!$B$24*'Вводные'!$U$88-BB30),BB33)</x:f>
      </x:c>
      <x:c r="BC34" s="117" t="n">
        <x:f>MIN(MAX(0,'Вводные'!$B$24*'Вводные'!$U$88-BC30),BC33)</x:f>
      </x:c>
      <x:c r="BD34" s="117" t="n">
        <x:f>MIN(MAX(0,'Вводные'!$B$24*'Вводные'!$U$88-BD30),BD33)</x:f>
      </x:c>
      <x:c r="BE34" s="117" t="n">
        <x:f>MIN(MAX(0,'Вводные'!$B$24*'Вводные'!$U$88-BE30),BE33)</x:f>
      </x:c>
      <x:c r="BF34" s="117" t="n">
        <x:f>MIN(MAX(0,'Вводные'!$B$24*'Вводные'!$U$88-BF30),BF33)</x:f>
      </x:c>
      <x:c r="BG34" s="117" t="n">
        <x:f>MIN(MAX(0,'Вводные'!$B$24*'Вводные'!$U$88-BG30),BG33)</x:f>
      </x:c>
      <x:c r="BH34" s="117" t="n">
        <x:f>MIN(MAX(0,'Вводные'!$B$24*'Вводные'!$U$88-BH30),BH33)</x:f>
      </x:c>
      <x:c r="BI34" s="117" t="n">
        <x:f>MIN(MAX(0,'Вводные'!$B$24*'Вводные'!$U$88-BI30),BI33)</x:f>
      </x:c>
      <x:c r="BJ34" s="117" t="n">
        <x:f>MIN(MAX(0,'Вводные'!$B$24*'Вводные'!$U$88-BJ30),BJ33)</x:f>
      </x:c>
      <x:c r="BK34" s="117" t="n">
        <x:f>MIN(MAX(0,'Вводные'!$B$24*'Вводные'!$U$88-BK30),BK33)</x:f>
      </x:c>
      <x:c r="BL34" s="117" t="n">
        <x:f>MIN(MAX(0,'Вводные'!$B$24*'Вводные'!$U$88-BL30),BL33)</x:f>
      </x:c>
      <x:c r="BM34" s="117" t="n">
        <x:f>MIN(MAX(0,'Вводные'!$B$24*'Вводные'!$U$88-BM30),BM33)</x:f>
      </x:c>
      <x:c r="BN34" s="117" t="n">
        <x:f>MIN(MAX(0,'Вводные'!$B$24*'Вводные'!$U$88-BN30),BN33)</x:f>
      </x:c>
      <x:c r="BO34" s="117" t="n">
        <x:f>MIN(MAX(0,'Вводные'!$B$24*'Вводные'!$U$88-BO30),BO33)</x:f>
      </x:c>
      <x:c r="BP34" s="117" t="n">
        <x:f>MIN(MAX(0,'Вводные'!$B$24*'Вводные'!$U$88-BP30),BP33)</x:f>
      </x:c>
      <x:c r="BQ34" s="117" t="n">
        <x:f>MIN(MAX(0,'Вводные'!$B$24*'Вводные'!$U$88-BQ30),BQ33)</x:f>
      </x:c>
      <x:c r="BR34" s="117" t="n">
        <x:f>MIN(MAX(0,'Вводные'!$B$24*'Вводные'!$U$88-BR30),BR33)</x:f>
      </x:c>
      <x:c r="BS34" s="117" t="n">
        <x:f>MIN(MAX(0,'Вводные'!$B$24*'Вводные'!$U$88-BS30),BS33)</x:f>
      </x:c>
      <x:c r="BT34" s="117" t="n">
        <x:f>MIN(MAX(0,'Вводные'!$B$24*'Вводные'!$U$88-BT30),BT33)</x:f>
      </x:c>
      <x:c r="BU34" s="117" t="n">
        <x:f>MIN(MAX(0,'Вводные'!$B$24*'Вводные'!$U$88-BU30),BU33)</x:f>
      </x:c>
      <x:c r="BV34" s="117" t="n">
        <x:f>MIN(MAX(0,'Вводные'!$B$24*'Вводные'!$U$88-BV30),BV33)</x:f>
      </x:c>
      <x:c r="BW34" s="117" t="n">
        <x:f>MIN(MAX(0,'Вводные'!$B$24*'Вводные'!$U$88-BW30),BW33)</x:f>
      </x:c>
      <x:c r="BX34" s="117" t="n">
        <x:f>MIN(MAX(0,'Вводные'!$B$24*'Вводные'!$U$88-BX30),BX33)</x:f>
      </x:c>
      <x:c r="BY34" s="117" t="n">
        <x:f>MIN(MAX(0,'Вводные'!$B$24*'Вводные'!$U$88-BY30),BY33)</x:f>
      </x:c>
      <x:c r="BZ34" s="117" t="n">
        <x:f>MIN(MAX(0,'Вводные'!$B$24*'Вводные'!$U$88-BZ30),BZ33)</x:f>
      </x:c>
      <x:c r="CA34" s="117" t="n">
        <x:f>MIN(MAX(0,'Вводные'!$B$24*'Вводные'!$U$88-CA30),CA33)</x:f>
      </x:c>
      <x:c r="CB34" s="117" t="n">
        <x:f>MIN(MAX(0,'Вводные'!$B$24*'Вводные'!$U$88-CB30),CB33)</x:f>
      </x:c>
      <x:c r="CC34" s="117" t="n">
        <x:f>MIN(MAX(0,'Вводные'!$B$24*'Вводные'!$U$88-CC30),CC33)</x:f>
      </x:c>
      <x:c r="CD34" s="117" t="n">
        <x:f>MIN(MAX(0,'Вводные'!$B$24*'Вводные'!$U$88-CD30),CD33)</x:f>
      </x:c>
      <x:c r="CE34" s="117" t="n">
        <x:f>MIN(MAX(0,'Вводные'!$B$24*'Вводные'!$U$88-CE30),CE33)</x:f>
      </x:c>
      <x:c r="CF34" s="117" t="n">
        <x:f>MIN(MAX(0,'Вводные'!$B$24*'Вводные'!$U$88-CF30),CF33)</x:f>
      </x:c>
      <x:c r="CG34" s="117" t="n">
        <x:f>MIN(MAX(0,'Вводные'!$B$24*'Вводные'!$U$88-CG30),CG33)</x:f>
      </x:c>
      <x:c r="CH34" s="117" t="n">
        <x:f>MIN(MAX(0,'Вводные'!$B$24*'Вводные'!$U$88-CH30),CH33)</x:f>
      </x:c>
      <x:c r="CI34" s="117" t="n">
        <x:f>MIN(MAX(0,'Вводные'!$B$24*'Вводные'!$U$88-CI30),CI33)</x:f>
      </x:c>
      <x:c r="CJ34" s="117" t="n">
        <x:f>MIN(MAX(0,'Вводные'!$B$24*'Вводные'!$U$88-CJ30),CJ33)</x:f>
      </x:c>
      <x:c r="CK34" s="117" t="n">
        <x:f>MIN(MAX(0,'Вводные'!$B$24*'Вводные'!$U$88-CK30),CK33)</x:f>
      </x:c>
      <x:c r="CL34" s="117" t="n">
        <x:f>MIN(MAX(0,'Вводные'!$B$24*'Вводные'!$U$88-CL30),CL33)</x:f>
      </x:c>
      <x:c r="CM34" s="117" t="n">
        <x:f>MIN(MAX(0,'Вводные'!$B$24*'Вводные'!$U$88-CM30),CM33)</x:f>
      </x:c>
      <x:c r="CN34" s="117" t="n">
        <x:f>MIN(MAX(0,'Вводные'!$B$24*'Вводные'!$U$88-CN30),CN33)</x:f>
      </x:c>
      <x:c r="CO34" s="117" t="n">
        <x:f>MIN(MAX(0,'Вводные'!$B$24*'Вводные'!$U$88-CO30),CO33)</x:f>
      </x:c>
      <x:c r="CP34" s="117" t="n">
        <x:f>MIN(MAX(0,'Вводные'!$B$24*'Вводные'!$U$88-CP30),CP33)</x:f>
      </x:c>
      <x:c r="CQ34" s="117" t="n">
        <x:f>MIN(MAX(0,'Вводные'!$B$24*'Вводные'!$U$88-CQ30),CQ33)</x:f>
      </x:c>
      <x:c r="CR34" s="117" t="n">
        <x:f>MIN(MAX(0,'Вводные'!$B$24*'Вводные'!$U$88-CR30),CR33)</x:f>
      </x:c>
      <x:c r="CS34" s="117" t="n">
        <x:f>MIN(MAX(0,'Вводные'!$B$24*'Вводные'!$U$88-CS30),CS33)</x:f>
      </x:c>
      <x:c r="CT34" s="117" t="n">
        <x:f>MIN(MAX(0,'Вводные'!$B$24*'Вводные'!$U$88-CT30),CT33)</x:f>
      </x:c>
      <x:c r="CU34" s="117" t="n">
        <x:f>MIN(MAX(0,'Вводные'!$B$24*'Вводные'!$U$88-CU30),CU33)</x:f>
      </x:c>
      <x:c r="CV34" s="117" t="n">
        <x:f>MIN(MAX(0,'Вводные'!$B$24*'Вводные'!$U$88-CV30),CV33)</x:f>
      </x:c>
      <x:c r="CW34" s="117" t="n">
        <x:f>MIN(MAX(0,'Вводные'!$B$24*'Вводные'!$U$88-CW30),CW33)</x:f>
      </x:c>
      <x:c r="CX34" s="117" t="n">
        <x:f>MIN(MAX(0,'Вводные'!$B$24*'Вводные'!$U$88-CX30),CX33)</x:f>
      </x:c>
      <x:c r="CY34" s="117" t="n">
        <x:f>MIN(MAX(0,'Вводные'!$B$24*'Вводные'!$U$88-CY30),CY33)</x:f>
      </x:c>
      <x:c r="CZ34" s="117" t="n">
        <x:f>MIN(MAX(0,'Вводные'!$B$24*'Вводные'!$U$88-CZ30),CZ33)</x:f>
      </x:c>
      <x:c r="DA34" s="117" t="n">
        <x:f>MIN(MAX(0,'Вводные'!$B$24*'Вводные'!$U$88-DA30),DA33)</x:f>
      </x:c>
      <x:c r="DB34" s="117" t="n">
        <x:f>MIN(MAX(0,'Вводные'!$B$24*'Вводные'!$U$88-DB30),DB33)</x:f>
      </x:c>
      <x:c r="DC34" s="117" t="n">
        <x:f>MIN(MAX(0,'Вводные'!$B$24*'Вводные'!$U$88-DC30),DC33)</x:f>
      </x:c>
      <x:c r="DD34" s="117" t="n">
        <x:f>MIN(MAX(0,'Вводные'!$B$24*'Вводные'!$U$88-DD30),DD33)</x:f>
      </x:c>
      <x:c r="DE34" s="117" t="n">
        <x:f>MIN(MAX(0,'Вводные'!$B$24*'Вводные'!$U$88-DE30),DE33)</x:f>
      </x:c>
      <x:c r="DF34" s="117" t="n">
        <x:f>MIN(MAX(0,'Вводные'!$B$24*'Вводные'!$U$88-DF30),DF33)</x:f>
      </x:c>
      <x:c r="DG34" s="117" t="n">
        <x:f>MIN(MAX(0,'Вводные'!$B$24*'Вводные'!$U$88-DG30),DG33)</x:f>
      </x:c>
      <x:c r="DH34" s="117" t="n">
        <x:f>MIN(MAX(0,'Вводные'!$B$24*'Вводные'!$U$88-DH30),DH33)</x:f>
      </x:c>
      <x:c r="DI34" s="117" t="n">
        <x:f>MIN(MAX(0,'Вводные'!$B$24*'Вводные'!$U$88-DI30),DI33)</x:f>
      </x:c>
      <x:c r="DJ34" s="117" t="n">
        <x:f>MIN(MAX(0,'Вводные'!$B$24*'Вводные'!$U$88-DJ30),DJ33)</x:f>
      </x:c>
      <x:c r="DK34" s="117" t="n">
        <x:f>MIN(MAX(0,'Вводные'!$B$24*'Вводные'!$U$88-DK30),DK33)</x:f>
      </x:c>
      <x:c r="DL34" s="117" t="n">
        <x:f>MIN(MAX(0,'Вводные'!$B$24*'Вводные'!$U$88-DL30),DL33)</x:f>
      </x:c>
      <x:c r="DM34" s="117" t="n">
        <x:f>MIN(MAX(0,'Вводные'!$B$24*'Вводные'!$U$88-DM30),DM33)</x:f>
      </x:c>
      <x:c r="DN34" s="117" t="n">
        <x:f>MIN(MAX(0,'Вводные'!$B$24*'Вводные'!$U$88-DN30),DN33)</x:f>
      </x:c>
      <x:c r="DO34" s="117" t="n">
        <x:f>MIN(MAX(0,'Вводные'!$B$24*'Вводные'!$U$88-DO30),DO33)</x:f>
      </x:c>
      <x:c r="DP34" s="117" t="n">
        <x:f>MIN(MAX(0,'Вводные'!$B$24*'Вводные'!$U$88-DP30),DP33)</x:f>
      </x:c>
      <x:c r="DQ34" s="117" t="n">
        <x:f>MIN(MAX(0,'Вводные'!$B$24*'Вводные'!$U$88-DQ30),DQ33)</x:f>
      </x:c>
      <x:c r="DR34" s="117" t="n">
        <x:f>MIN(MAX(0,'Вводные'!$B$24*'Вводные'!$U$88-DR30),DR33)</x:f>
      </x:c>
      <x:c r="DS34" s="117" t="n">
        <x:f>MIN(MAX(0,'Вводные'!$B$24*'Вводные'!$U$88-DS30),DS33)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IF(AND(D38&gt;0,D$3&lt;EDATE($B$8,'Вводные'!$H$88)),D38*D41/12,0)</x:f>
      </x:c>
      <x:c r="E42" s="117" t="n">
        <x:f>IF(AND(E38&gt;0,E$3&lt;EDATE($B$8,'Вводные'!$H$88)),E38*E41/12,0)</x:f>
      </x:c>
      <x:c r="F42" s="117" t="n">
        <x:f>IF(AND(F38&gt;0,F$3&lt;EDATE($B$8,'Вводные'!$H$88)),F38*F41/12,0)</x:f>
      </x:c>
      <x:c r="G42" s="117" t="n">
        <x:f>IF(AND(G38&gt;0,G$3&lt;EDATE($B$8,'Вводные'!$H$88)),G38*G41/12,0)</x:f>
      </x:c>
      <x:c r="H42" s="117" t="n">
        <x:f>IF(AND(H38&gt;0,H$3&lt;EDATE($B$8,'Вводные'!$H$88)),H38*H41/12,0)</x:f>
      </x:c>
      <x:c r="I42" s="117" t="n">
        <x:f>IF(AND(I38&gt;0,I$3&lt;EDATE($B$8,'Вводные'!$H$88)),I38*I41/12,0)</x:f>
      </x:c>
      <x:c r="J42" s="117" t="n">
        <x:f>IF(AND(J38&gt;0,J$3&lt;EDATE($B$8,'Вводные'!$H$88)),J38*J41/12,0)</x:f>
      </x:c>
      <x:c r="K42" s="117" t="n">
        <x:f>IF(AND(K38&gt;0,K$3&lt;EDATE($B$8,'Вводные'!$H$88)),K38*K41/12,0)</x:f>
      </x:c>
      <x:c r="L42" s="117" t="n">
        <x:f>IF(AND(L38&gt;0,L$3&lt;EDATE($B$8,'Вводные'!$H$88)),L38*L41/12,0)</x:f>
      </x:c>
      <x:c r="M42" s="117" t="n">
        <x:f>IF(AND(M38&gt;0,M$3&lt;EDATE($B$8,'Вводные'!$H$88)),M38*M41/12,0)</x:f>
      </x:c>
      <x:c r="N42" s="117" t="n">
        <x:f>IF(AND(N38&gt;0,N$3&lt;EDATE($B$8,'Вводные'!$H$88)),N38*N41/12,0)</x:f>
      </x:c>
      <x:c r="O42" s="117" t="n">
        <x:f>IF(AND(O38&gt;0,O$3&lt;EDATE($B$8,'Вводные'!$H$88)),O38*O41/12,0)</x:f>
      </x:c>
      <x:c r="P42" s="117" t="n">
        <x:f>IF(AND(P38&gt;0,P$3&lt;EDATE($B$8,'Вводные'!$H$88)),P38*P41/12,0)</x:f>
      </x:c>
      <x:c r="Q42" s="117" t="n">
        <x:f>IF(AND(Q38&gt;0,Q$3&lt;EDATE($B$8,'Вводные'!$H$88)),Q38*Q41/12,0)</x:f>
      </x:c>
      <x:c r="R42" s="117" t="n">
        <x:f>IF(AND(R38&gt;0,R$3&lt;EDATE($B$8,'Вводные'!$H$88)),R38*R41/12,0)</x:f>
      </x:c>
      <x:c r="S42" s="117" t="n">
        <x:f>IF(AND(S38&gt;0,S$3&lt;EDATE($B$8,'Вводные'!$H$88)),S38*S41/12,0)</x:f>
      </x:c>
      <x:c r="T42" s="117" t="n">
        <x:f>IF(AND(T38&gt;0,T$3&lt;EDATE($B$8,'Вводные'!$H$88)),T38*T41/12,0)</x:f>
      </x:c>
      <x:c r="U42" s="117" t="n">
        <x:f>IF(AND(U38&gt;0,U$3&lt;EDATE($B$8,'Вводные'!$H$88)),U38*U41/12,0)</x:f>
      </x:c>
      <x:c r="V42" s="117" t="n">
        <x:f>IF(AND(V38&gt;0,V$3&lt;EDATE($B$8,'Вводные'!$H$88)),V38*V41/12,0)</x:f>
      </x:c>
      <x:c r="W42" s="117" t="n">
        <x:f>IF(AND(W38&gt;0,W$3&lt;EDATE($B$8,'Вводные'!$H$88)),W38*W41/12,0)</x:f>
      </x:c>
      <x:c r="X42" s="117" t="n">
        <x:f>IF(AND(X38&gt;0,X$3&lt;EDATE($B$8,'Вводные'!$H$88)),X38*X41/12,0)</x:f>
      </x:c>
      <x:c r="Y42" s="117" t="n">
        <x:f>IF(AND(Y38&gt;0,Y$3&lt;EDATE($B$8,'Вводные'!$H$88)),Y38*Y41/12,0)</x:f>
      </x:c>
      <x:c r="Z42" s="117" t="n">
        <x:f>IF(AND(Z38&gt;0,Z$3&lt;EDATE($B$8,'Вводные'!$H$88)),Z38*Z41/12,0)</x:f>
      </x:c>
      <x:c r="AA42" s="117" t="n">
        <x:f>IF(AND(AA38&gt;0,AA$3&lt;EDATE($B$8,'Вводные'!$H$88)),AA38*AA41/12,0)</x:f>
      </x:c>
      <x:c r="AB42" s="117" t="n">
        <x:f>IF(AND(AB38&gt;0,AB$3&lt;EDATE($B$8,'Вводные'!$H$88)),AB38*AB41/12,0)</x:f>
      </x:c>
      <x:c r="AC42" s="117" t="n">
        <x:f>IF(AND(AC38&gt;0,AC$3&lt;EDATE($B$8,'Вводные'!$H$88)),AC38*AC41/12,0)</x:f>
      </x:c>
      <x:c r="AD42" s="117" t="n">
        <x:f>IF(AND(AD38&gt;0,AD$3&lt;EDATE($B$8,'Вводные'!$H$88)),AD38*AD41/12,0)</x:f>
      </x:c>
      <x:c r="AE42" s="117" t="n">
        <x:f>IF(AND(AE38&gt;0,AE$3&lt;EDATE($B$8,'Вводные'!$H$88)),AE38*AE41/12,0)</x:f>
      </x:c>
      <x:c r="AF42" s="117" t="n">
        <x:f>IF(AND(AF38&gt;0,AF$3&lt;EDATE($B$8,'Вводные'!$H$88)),AF38*AF41/12,0)</x:f>
      </x:c>
      <x:c r="AG42" s="117" t="n">
        <x:f>IF(AND(AG38&gt;0,AG$3&lt;EDATE($B$8,'Вводные'!$H$88)),AG38*AG41/12,0)</x:f>
      </x:c>
      <x:c r="AH42" s="117" t="n">
        <x:f>IF(AND(AH38&gt;0,AH$3&lt;EDATE($B$8,'Вводные'!$H$88)),AH38*AH41/12,0)</x:f>
      </x:c>
      <x:c r="AI42" s="117" t="n">
        <x:f>IF(AND(AI38&gt;0,AI$3&lt;EDATE($B$8,'Вводные'!$H$88)),AI38*AI41/12,0)</x:f>
      </x:c>
      <x:c r="AJ42" s="117" t="n">
        <x:f>IF(AND(AJ38&gt;0,AJ$3&lt;EDATE($B$8,'Вводные'!$H$88)),AJ38*AJ41/12,0)</x:f>
      </x:c>
      <x:c r="AK42" s="117" t="n">
        <x:f>IF(AND(AK38&gt;0,AK$3&lt;EDATE($B$8,'Вводные'!$H$88)),AK38*AK41/12,0)</x:f>
      </x:c>
      <x:c r="AL42" s="117" t="n">
        <x:f>IF(AND(AL38&gt;0,AL$3&lt;EDATE($B$8,'Вводные'!$H$88)),AL38*AL41/12,0)</x:f>
      </x:c>
      <x:c r="AM42" s="117" t="n">
        <x:f>IF(AND(AM38&gt;0,AM$3&lt;EDATE($B$8,'Вводные'!$H$88)),AM38*AM41/12,0)</x:f>
      </x:c>
      <x:c r="AN42" s="117" t="n">
        <x:f>IF(AND(AN38&gt;0,AN$3&lt;EDATE($B$8,'Вводные'!$H$88)),AN38*AN41/12,0)</x:f>
      </x:c>
      <x:c r="AO42" s="117" t="n">
        <x:f>IF(AND(AO38&gt;0,AO$3&lt;EDATE($B$8,'Вводные'!$H$88)),AO38*AO41/12,0)</x:f>
      </x:c>
      <x:c r="AP42" s="117" t="n">
        <x:f>IF(AND(AP38&gt;0,AP$3&lt;EDATE($B$8,'Вводные'!$H$88)),AP38*AP41/12,0)</x:f>
      </x:c>
      <x:c r="AQ42" s="117" t="n">
        <x:f>IF(AND(AQ38&gt;0,AQ$3&lt;EDATE($B$8,'Вводные'!$H$88)),AQ38*AQ41/12,0)</x:f>
      </x:c>
      <x:c r="AR42" s="117" t="n">
        <x:f>IF(AND(AR38&gt;0,AR$3&lt;EDATE($B$8,'Вводные'!$H$88)),AR38*AR41/12,0)</x:f>
      </x:c>
      <x:c r="AS42" s="117" t="n">
        <x:f>IF(AND(AS38&gt;0,AS$3&lt;EDATE($B$8,'Вводные'!$H$88)),AS38*AS41/12,0)</x:f>
      </x:c>
      <x:c r="AT42" s="117" t="n">
        <x:f>IF(AND(AT38&gt;0,AT$3&lt;EDATE($B$8,'Вводные'!$H$88)),AT38*AT41/12,0)</x:f>
      </x:c>
      <x:c r="AU42" s="117" t="n">
        <x:f>IF(AND(AU38&gt;0,AU$3&lt;EDATE($B$8,'Вводные'!$H$88)),AU38*AU41/12,0)</x:f>
      </x:c>
      <x:c r="AV42" s="117" t="n">
        <x:f>IF(AND(AV38&gt;0,AV$3&lt;EDATE($B$8,'Вводные'!$H$88)),AV38*AV41/12,0)</x:f>
      </x:c>
      <x:c r="AW42" s="117" t="n">
        <x:f>IF(AND(AW38&gt;0,AW$3&lt;EDATE($B$8,'Вводные'!$H$88)),AW38*AW41/12,0)</x:f>
      </x:c>
      <x:c r="AX42" s="117" t="n">
        <x:f>IF(AND(AX38&gt;0,AX$3&lt;EDATE($B$8,'Вводные'!$H$88)),AX38*AX41/12,0)</x:f>
      </x:c>
      <x:c r="AY42" s="117" t="n">
        <x:f>IF(AND(AY38&gt;0,AY$3&lt;EDATE($B$8,'Вводные'!$H$88)),AY38*AY41/12,0)</x:f>
      </x:c>
      <x:c r="AZ42" s="117" t="n">
        <x:f>IF(AND(AZ38&gt;0,AZ$3&lt;EDATE($B$8,'Вводные'!$H$88)),AZ38*AZ41/12,0)</x:f>
      </x:c>
      <x:c r="BA42" s="117" t="n">
        <x:f>IF(AND(BA38&gt;0,BA$3&lt;EDATE($B$8,'Вводные'!$H$88)),BA38*BA41/12,0)</x:f>
      </x:c>
      <x:c r="BB42" s="117" t="n">
        <x:f>IF(AND(BB38&gt;0,BB$3&lt;EDATE($B$8,'Вводные'!$H$88)),BB38*BB41/12,0)</x:f>
      </x:c>
      <x:c r="BC42" s="117" t="n">
        <x:f>IF(AND(BC38&gt;0,BC$3&lt;EDATE($B$8,'Вводные'!$H$88)),BC38*BC41/12,0)</x:f>
      </x:c>
      <x:c r="BD42" s="117" t="n">
        <x:f>IF(AND(BD38&gt;0,BD$3&lt;EDATE($B$8,'Вводные'!$H$88)),BD38*BD41/12,0)</x:f>
      </x:c>
      <x:c r="BE42" s="117" t="n">
        <x:f>IF(AND(BE38&gt;0,BE$3&lt;EDATE($B$8,'Вводные'!$H$88)),BE38*BE41/12,0)</x:f>
      </x:c>
      <x:c r="BF42" s="117" t="n">
        <x:f>IF(AND(BF38&gt;0,BF$3&lt;EDATE($B$8,'Вводные'!$H$88)),BF38*BF41/12,0)</x:f>
      </x:c>
      <x:c r="BG42" s="117" t="n">
        <x:f>IF(AND(BG38&gt;0,BG$3&lt;EDATE($B$8,'Вводные'!$H$88)),BG38*BG41/12,0)</x:f>
      </x:c>
      <x:c r="BH42" s="117" t="n">
        <x:f>IF(AND(BH38&gt;0,BH$3&lt;EDATE($B$8,'Вводные'!$H$88)),BH38*BH41/12,0)</x:f>
      </x:c>
      <x:c r="BI42" s="117" t="n">
        <x:f>IF(AND(BI38&gt;0,BI$3&lt;EDATE($B$8,'Вводные'!$H$88)),BI38*BI41/12,0)</x:f>
      </x:c>
      <x:c r="BJ42" s="117" t="n">
        <x:f>IF(AND(BJ38&gt;0,BJ$3&lt;EDATE($B$8,'Вводные'!$H$88)),BJ38*BJ41/12,0)</x:f>
      </x:c>
      <x:c r="BK42" s="117" t="n">
        <x:f>IF(AND(BK38&gt;0,BK$3&lt;EDATE($B$8,'Вводные'!$H$88)),BK38*BK41/12,0)</x:f>
      </x:c>
      <x:c r="BL42" s="117" t="n">
        <x:f>IF(AND(BL38&gt;0,BL$3&lt;EDATE($B$8,'Вводные'!$H$88)),BL38*BL41/12,0)</x:f>
      </x:c>
      <x:c r="BM42" s="117" t="n">
        <x:f>IF(AND(BM38&gt;0,BM$3&lt;EDATE($B$8,'Вводные'!$H$88)),BM38*BM41/12,0)</x:f>
      </x:c>
      <x:c r="BN42" s="117" t="n">
        <x:f>IF(AND(BN38&gt;0,BN$3&lt;EDATE($B$8,'Вводные'!$H$88)),BN38*BN41/12,0)</x:f>
      </x:c>
      <x:c r="BO42" s="117" t="n">
        <x:f>IF(AND(BO38&gt;0,BO$3&lt;EDATE($B$8,'Вводные'!$H$88)),BO38*BO41/12,0)</x:f>
      </x:c>
      <x:c r="BP42" s="117" t="n">
        <x:f>IF(AND(BP38&gt;0,BP$3&lt;EDATE($B$8,'Вводные'!$H$88)),BP38*BP41/12,0)</x:f>
      </x:c>
      <x:c r="BQ42" s="117" t="n">
        <x:f>IF(AND(BQ38&gt;0,BQ$3&lt;EDATE($B$8,'Вводные'!$H$88)),BQ38*BQ41/12,0)</x:f>
      </x:c>
      <x:c r="BR42" s="117" t="n">
        <x:f>IF(AND(BR38&gt;0,BR$3&lt;EDATE($B$8,'Вводные'!$H$88)),BR38*BR41/12,0)</x:f>
      </x:c>
      <x:c r="BS42" s="117" t="n">
        <x:f>IF(AND(BS38&gt;0,BS$3&lt;EDATE($B$8,'Вводные'!$H$88)),BS38*BS41/12,0)</x:f>
      </x:c>
      <x:c r="BT42" s="117" t="n">
        <x:f>IF(AND(BT38&gt;0,BT$3&lt;EDATE($B$8,'Вводные'!$H$88)),BT38*BT41/12,0)</x:f>
      </x:c>
      <x:c r="BU42" s="117" t="n">
        <x:f>IF(AND(BU38&gt;0,BU$3&lt;EDATE($B$8,'Вводные'!$H$88)),BU38*BU41/12,0)</x:f>
      </x:c>
      <x:c r="BV42" s="117" t="n">
        <x:f>IF(AND(BV38&gt;0,BV$3&lt;EDATE($B$8,'Вводные'!$H$88)),BV38*BV41/12,0)</x:f>
      </x:c>
      <x:c r="BW42" s="117" t="n">
        <x:f>IF(AND(BW38&gt;0,BW$3&lt;EDATE($B$8,'Вводные'!$H$88)),BW38*BW41/12,0)</x:f>
      </x:c>
      <x:c r="BX42" s="117" t="n">
        <x:f>IF(AND(BX38&gt;0,BX$3&lt;EDATE($B$8,'Вводные'!$H$88)),BX38*BX41/12,0)</x:f>
      </x:c>
      <x:c r="BY42" s="117" t="n">
        <x:f>IF(AND(BY38&gt;0,BY$3&lt;EDATE($B$8,'Вводные'!$H$88)),BY38*BY41/12,0)</x:f>
      </x:c>
      <x:c r="BZ42" s="117" t="n">
        <x:f>IF(AND(BZ38&gt;0,BZ$3&lt;EDATE($B$8,'Вводные'!$H$88)),BZ38*BZ41/12,0)</x:f>
      </x:c>
      <x:c r="CA42" s="117" t="n">
        <x:f>IF(AND(CA38&gt;0,CA$3&lt;EDATE($B$8,'Вводные'!$H$88)),CA38*CA41/12,0)</x:f>
      </x:c>
      <x:c r="CB42" s="117" t="n">
        <x:f>IF(AND(CB38&gt;0,CB$3&lt;EDATE($B$8,'Вводные'!$H$88)),CB38*CB41/12,0)</x:f>
      </x:c>
      <x:c r="CC42" s="117" t="n">
        <x:f>IF(AND(CC38&gt;0,CC$3&lt;EDATE($B$8,'Вводные'!$H$88)),CC38*CC41/12,0)</x:f>
      </x:c>
      <x:c r="CD42" s="117" t="n">
        <x:f>IF(AND(CD38&gt;0,CD$3&lt;EDATE($B$8,'Вводные'!$H$88)),CD38*CD41/12,0)</x:f>
      </x:c>
      <x:c r="CE42" s="117" t="n">
        <x:f>IF(AND(CE38&gt;0,CE$3&lt;EDATE($B$8,'Вводные'!$H$88)),CE38*CE41/12,0)</x:f>
      </x:c>
      <x:c r="CF42" s="117" t="n">
        <x:f>IF(AND(CF38&gt;0,CF$3&lt;EDATE($B$8,'Вводные'!$H$88)),CF38*CF41/12,0)</x:f>
      </x:c>
      <x:c r="CG42" s="117" t="n">
        <x:f>IF(AND(CG38&gt;0,CG$3&lt;EDATE($B$8,'Вводные'!$H$88)),CG38*CG41/12,0)</x:f>
      </x:c>
      <x:c r="CH42" s="117" t="n">
        <x:f>IF(AND(CH38&gt;0,CH$3&lt;EDATE($B$8,'Вводные'!$H$88)),CH38*CH41/12,0)</x:f>
      </x:c>
      <x:c r="CI42" s="117" t="n">
        <x:f>IF(AND(CI38&gt;0,CI$3&lt;EDATE($B$8,'Вводные'!$H$88)),CI38*CI41/12,0)</x:f>
      </x:c>
      <x:c r="CJ42" s="117" t="n">
        <x:f>IF(AND(CJ38&gt;0,CJ$3&lt;EDATE($B$8,'Вводные'!$H$88)),CJ38*CJ41/12,0)</x:f>
      </x:c>
      <x:c r="CK42" s="117" t="n">
        <x:f>IF(AND(CK38&gt;0,CK$3&lt;EDATE($B$8,'Вводные'!$H$88)),CK38*CK41/12,0)</x:f>
      </x:c>
      <x:c r="CL42" s="117" t="n">
        <x:f>IF(AND(CL38&gt;0,CL$3&lt;EDATE($B$8,'Вводные'!$H$88)),CL38*CL41/12,0)</x:f>
      </x:c>
      <x:c r="CM42" s="117" t="n">
        <x:f>IF(AND(CM38&gt;0,CM$3&lt;EDATE($B$8,'Вводные'!$H$88)),CM38*CM41/12,0)</x:f>
      </x:c>
      <x:c r="CN42" s="117" t="n">
        <x:f>IF(AND(CN38&gt;0,CN$3&lt;EDATE($B$8,'Вводные'!$H$88)),CN38*CN41/12,0)</x:f>
      </x:c>
      <x:c r="CO42" s="117" t="n">
        <x:f>IF(AND(CO38&gt;0,CO$3&lt;EDATE($B$8,'Вводные'!$H$88)),CO38*CO41/12,0)</x:f>
      </x:c>
      <x:c r="CP42" s="117" t="n">
        <x:f>IF(AND(CP38&gt;0,CP$3&lt;EDATE($B$8,'Вводные'!$H$88)),CP38*CP41/12,0)</x:f>
      </x:c>
      <x:c r="CQ42" s="117" t="n">
        <x:f>IF(AND(CQ38&gt;0,CQ$3&lt;EDATE($B$8,'Вводные'!$H$88)),CQ38*CQ41/12,0)</x:f>
      </x:c>
      <x:c r="CR42" s="117" t="n">
        <x:f>IF(AND(CR38&gt;0,CR$3&lt;EDATE($B$8,'Вводные'!$H$88)),CR38*CR41/12,0)</x:f>
      </x:c>
      <x:c r="CS42" s="117" t="n">
        <x:f>IF(AND(CS38&gt;0,CS$3&lt;EDATE($B$8,'Вводные'!$H$88)),CS38*CS41/12,0)</x:f>
      </x:c>
      <x:c r="CT42" s="117" t="n">
        <x:f>IF(AND(CT38&gt;0,CT$3&lt;EDATE($B$8,'Вводные'!$H$88)),CT38*CT41/12,0)</x:f>
      </x:c>
      <x:c r="CU42" s="117" t="n">
        <x:f>IF(AND(CU38&gt;0,CU$3&lt;EDATE($B$8,'Вводные'!$H$88)),CU38*CU41/12,0)</x:f>
      </x:c>
      <x:c r="CV42" s="117" t="n">
        <x:f>IF(AND(CV38&gt;0,CV$3&lt;EDATE($B$8,'Вводные'!$H$88)),CV38*CV41/12,0)</x:f>
      </x:c>
      <x:c r="CW42" s="117" t="n">
        <x:f>IF(AND(CW38&gt;0,CW$3&lt;EDATE($B$8,'Вводные'!$H$88)),CW38*CW41/12,0)</x:f>
      </x:c>
      <x:c r="CX42" s="117" t="n">
        <x:f>IF(AND(CX38&gt;0,CX$3&lt;EDATE($B$8,'Вводные'!$H$88)),CX38*CX41/12,0)</x:f>
      </x:c>
      <x:c r="CY42" s="117" t="n">
        <x:f>IF(AND(CY38&gt;0,CY$3&lt;EDATE($B$8,'Вводные'!$H$88)),CY38*CY41/12,0)</x:f>
      </x:c>
      <x:c r="CZ42" s="117" t="n">
        <x:f>IF(AND(CZ38&gt;0,CZ$3&lt;EDATE($B$8,'Вводные'!$H$88)),CZ38*CZ41/12,0)</x:f>
      </x:c>
      <x:c r="DA42" s="117" t="n">
        <x:f>IF(AND(DA38&gt;0,DA$3&lt;EDATE($B$8,'Вводные'!$H$88)),DA38*DA41/12,0)</x:f>
      </x:c>
      <x:c r="DB42" s="117" t="n">
        <x:f>IF(AND(DB38&gt;0,DB$3&lt;EDATE($B$8,'Вводные'!$H$88)),DB38*DB41/12,0)</x:f>
      </x:c>
      <x:c r="DC42" s="117" t="n">
        <x:f>IF(AND(DC38&gt;0,DC$3&lt;EDATE($B$8,'Вводные'!$H$88)),DC38*DC41/12,0)</x:f>
      </x:c>
      <x:c r="DD42" s="117" t="n">
        <x:f>IF(AND(DD38&gt;0,DD$3&lt;EDATE($B$8,'Вводные'!$H$88)),DD38*DD41/12,0)</x:f>
      </x:c>
      <x:c r="DE42" s="117" t="n">
        <x:f>IF(AND(DE38&gt;0,DE$3&lt;EDATE($B$8,'Вводные'!$H$88)),DE38*DE41/12,0)</x:f>
      </x:c>
      <x:c r="DF42" s="117" t="n">
        <x:f>IF(AND(DF38&gt;0,DF$3&lt;EDATE($B$8,'Вводные'!$H$88)),DF38*DF41/12,0)</x:f>
      </x:c>
      <x:c r="DG42" s="117" t="n">
        <x:f>IF(AND(DG38&gt;0,DG$3&lt;EDATE($B$8,'Вводные'!$H$88)),DG38*DG41/12,0)</x:f>
      </x:c>
      <x:c r="DH42" s="117" t="n">
        <x:f>IF(AND(DH38&gt;0,DH$3&lt;EDATE($B$8,'Вводные'!$H$88)),DH38*DH41/12,0)</x:f>
      </x:c>
      <x:c r="DI42" s="117" t="n">
        <x:f>IF(AND(DI38&gt;0,DI$3&lt;EDATE($B$8,'Вводные'!$H$88)),DI38*DI41/12,0)</x:f>
      </x:c>
      <x:c r="DJ42" s="117" t="n">
        <x:f>IF(AND(DJ38&gt;0,DJ$3&lt;EDATE($B$8,'Вводные'!$H$88)),DJ38*DJ41/12,0)</x:f>
      </x:c>
      <x:c r="DK42" s="117" t="n">
        <x:f>IF(AND(DK38&gt;0,DK$3&lt;EDATE($B$8,'Вводные'!$H$88)),DK38*DK41/12,0)</x:f>
      </x:c>
      <x:c r="DL42" s="117" t="n">
        <x:f>IF(AND(DL38&gt;0,DL$3&lt;EDATE($B$8,'Вводные'!$H$88)),DL38*DL41/12,0)</x:f>
      </x:c>
      <x:c r="DM42" s="117" t="n">
        <x:f>IF(AND(DM38&gt;0,DM$3&lt;EDATE($B$8,'Вводные'!$H$88)),DM38*DM41/12,0)</x:f>
      </x:c>
      <x:c r="DN42" s="117" t="n">
        <x:f>IF(AND(DN38&gt;0,DN$3&lt;EDATE($B$8,'Вводные'!$H$88)),DN38*DN41/12,0)</x:f>
      </x:c>
      <x:c r="DO42" s="117" t="n">
        <x:f>IF(AND(DO38&gt;0,DO$3&lt;EDATE($B$8,'Вводные'!$H$88)),DO38*DO41/12,0)</x:f>
      </x:c>
      <x:c r="DP42" s="117" t="n">
        <x:f>IF(AND(DP38&gt;0,DP$3&lt;EDATE($B$8,'Вводные'!$H$88)),DP38*DP41/12,0)</x:f>
      </x:c>
      <x:c r="DQ42" s="117" t="n">
        <x:f>IF(AND(DQ38&gt;0,DQ$3&lt;EDATE($B$8,'Вводные'!$H$88)),DQ38*DQ41/12,0)</x:f>
      </x:c>
      <x:c r="DR42" s="117" t="n">
        <x:f>IF(AND(DR38&gt;0,DR$3&lt;EDATE($B$8,'Вводные'!$H$88)),DR38*DR41/12,0)</x:f>
      </x:c>
      <x:c r="DS42" s="117" t="n">
        <x:f>IF(AND(DS38&gt;0,DS$3&lt;EDATE($B$8,'Вводные'!$H$88)),DS38*DS41/12,0)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$88)),MAX(0,'Вводные'!$B$26*'Вводные'!$V$88-D38)*'Вводные'!$B$29/12,0)+IF(AND(YEAR(D$3)=YEAR($B$7),MONTH(D$3)=MONTH($B$7)),'Вводные'!$B$26*'Вводные'!$V$88*'Вводные'!$B$30,0)</x:f>
      </x:c>
      <x:c r="E43" s="117" t="n">
        <x:f>IF(AND(OR(E38&gt;0,E$3&lt;=$B$8),E$3&gt;=$B$7,E$3&lt;EDATE($B$8,'Вводные'!$H$88)),MAX(0,'Вводные'!$B$26*'Вводные'!$V$88-E38)*'Вводные'!$B$29/12,0)+IF(AND(YEAR(E$3)=YEAR($B$7),MONTH(E$3)=MONTH($B$7)),'Вводные'!$B$26*'Вводные'!$V$88*'Вводные'!$B$30,0)</x:f>
      </x:c>
      <x:c r="F43" s="117" t="n">
        <x:f>IF(AND(OR(F38&gt;0,F$3&lt;=$B$8),F$3&gt;=$B$7,F$3&lt;EDATE($B$8,'Вводные'!$H$88)),MAX(0,'Вводные'!$B$26*'Вводные'!$V$88-F38)*'Вводные'!$B$29/12,0)+IF(AND(YEAR(F$3)=YEAR($B$7),MONTH(F$3)=MONTH($B$7)),'Вводные'!$B$26*'Вводные'!$V$88*'Вводные'!$B$30,0)</x:f>
      </x:c>
      <x:c r="G43" s="117" t="n">
        <x:f>IF(AND(OR(G38&gt;0,G$3&lt;=$B$8),G$3&gt;=$B$7,G$3&lt;EDATE($B$8,'Вводные'!$H$88)),MAX(0,'Вводные'!$B$26*'Вводные'!$V$88-G38)*'Вводные'!$B$29/12,0)+IF(AND(YEAR(G$3)=YEAR($B$7),MONTH(G$3)=MONTH($B$7)),'Вводные'!$B$26*'Вводные'!$V$88*'Вводные'!$B$30,0)</x:f>
      </x:c>
      <x:c r="H43" s="117" t="n">
        <x:f>IF(AND(OR(H38&gt;0,H$3&lt;=$B$8),H$3&gt;=$B$7,H$3&lt;EDATE($B$8,'Вводные'!$H$88)),MAX(0,'Вводные'!$B$26*'Вводные'!$V$88-H38)*'Вводные'!$B$29/12,0)+IF(AND(YEAR(H$3)=YEAR($B$7),MONTH(H$3)=MONTH($B$7)),'Вводные'!$B$26*'Вводные'!$V$88*'Вводные'!$B$30,0)</x:f>
      </x:c>
      <x:c r="I43" s="117" t="n">
        <x:f>IF(AND(OR(I38&gt;0,I$3&lt;=$B$8),I$3&gt;=$B$7,I$3&lt;EDATE($B$8,'Вводные'!$H$88)),MAX(0,'Вводные'!$B$26*'Вводные'!$V$88-I38)*'Вводные'!$B$29/12,0)+IF(AND(YEAR(I$3)=YEAR($B$7),MONTH(I$3)=MONTH($B$7)),'Вводные'!$B$26*'Вводные'!$V$88*'Вводные'!$B$30,0)</x:f>
      </x:c>
      <x:c r="J43" s="117" t="n">
        <x:f>IF(AND(OR(J38&gt;0,J$3&lt;=$B$8),J$3&gt;=$B$7,J$3&lt;EDATE($B$8,'Вводные'!$H$88)),MAX(0,'Вводные'!$B$26*'Вводные'!$V$88-J38)*'Вводные'!$B$29/12,0)+IF(AND(YEAR(J$3)=YEAR($B$7),MONTH(J$3)=MONTH($B$7)),'Вводные'!$B$26*'Вводные'!$V$88*'Вводные'!$B$30,0)</x:f>
      </x:c>
      <x:c r="K43" s="117" t="n">
        <x:f>IF(AND(OR(K38&gt;0,K$3&lt;=$B$8),K$3&gt;=$B$7,K$3&lt;EDATE($B$8,'Вводные'!$H$88)),MAX(0,'Вводные'!$B$26*'Вводные'!$V$88-K38)*'Вводные'!$B$29/12,0)+IF(AND(YEAR(K$3)=YEAR($B$7),MONTH(K$3)=MONTH($B$7)),'Вводные'!$B$26*'Вводные'!$V$88*'Вводные'!$B$30,0)</x:f>
      </x:c>
      <x:c r="L43" s="117" t="n">
        <x:f>IF(AND(OR(L38&gt;0,L$3&lt;=$B$8),L$3&gt;=$B$7,L$3&lt;EDATE($B$8,'Вводные'!$H$88)),MAX(0,'Вводные'!$B$26*'Вводные'!$V$88-L38)*'Вводные'!$B$29/12,0)+IF(AND(YEAR(L$3)=YEAR($B$7),MONTH(L$3)=MONTH($B$7)),'Вводные'!$B$26*'Вводные'!$V$88*'Вводные'!$B$30,0)</x:f>
      </x:c>
      <x:c r="M43" s="117" t="n">
        <x:f>IF(AND(OR(M38&gt;0,M$3&lt;=$B$8),M$3&gt;=$B$7,M$3&lt;EDATE($B$8,'Вводные'!$H$88)),MAX(0,'Вводные'!$B$26*'Вводные'!$V$88-M38)*'Вводные'!$B$29/12,0)+IF(AND(YEAR(M$3)=YEAR($B$7),MONTH(M$3)=MONTH($B$7)),'Вводные'!$B$26*'Вводные'!$V$88*'Вводные'!$B$30,0)</x:f>
      </x:c>
      <x:c r="N43" s="117" t="n">
        <x:f>IF(AND(OR(N38&gt;0,N$3&lt;=$B$8),N$3&gt;=$B$7,N$3&lt;EDATE($B$8,'Вводные'!$H$88)),MAX(0,'Вводные'!$B$26*'Вводные'!$V$88-N38)*'Вводные'!$B$29/12,0)+IF(AND(YEAR(N$3)=YEAR($B$7),MONTH(N$3)=MONTH($B$7)),'Вводные'!$B$26*'Вводные'!$V$88*'Вводные'!$B$30,0)</x:f>
      </x:c>
      <x:c r="O43" s="117" t="n">
        <x:f>IF(AND(OR(O38&gt;0,O$3&lt;=$B$8),O$3&gt;=$B$7,O$3&lt;EDATE($B$8,'Вводные'!$H$88)),MAX(0,'Вводные'!$B$26*'Вводные'!$V$88-O38)*'Вводные'!$B$29/12,0)+IF(AND(YEAR(O$3)=YEAR($B$7),MONTH(O$3)=MONTH($B$7)),'Вводные'!$B$26*'Вводные'!$V$88*'Вводные'!$B$30,0)</x:f>
      </x:c>
      <x:c r="P43" s="117" t="n">
        <x:f>IF(AND(OR(P38&gt;0,P$3&lt;=$B$8),P$3&gt;=$B$7,P$3&lt;EDATE($B$8,'Вводные'!$H$88)),MAX(0,'Вводные'!$B$26*'Вводные'!$V$88-P38)*'Вводные'!$B$29/12,0)+IF(AND(YEAR(P$3)=YEAR($B$7),MONTH(P$3)=MONTH($B$7)),'Вводные'!$B$26*'Вводные'!$V$88*'Вводные'!$B$30,0)</x:f>
      </x:c>
      <x:c r="Q43" s="117" t="n">
        <x:f>IF(AND(OR(Q38&gt;0,Q$3&lt;=$B$8),Q$3&gt;=$B$7,Q$3&lt;EDATE($B$8,'Вводные'!$H$88)),MAX(0,'Вводные'!$B$26*'Вводные'!$V$88-Q38)*'Вводные'!$B$29/12,0)+IF(AND(YEAR(Q$3)=YEAR($B$7),MONTH(Q$3)=MONTH($B$7)),'Вводные'!$B$26*'Вводные'!$V$88*'Вводные'!$B$30,0)</x:f>
      </x:c>
      <x:c r="R43" s="117" t="n">
        <x:f>IF(AND(OR(R38&gt;0,R$3&lt;=$B$8),R$3&gt;=$B$7,R$3&lt;EDATE($B$8,'Вводные'!$H$88)),MAX(0,'Вводные'!$B$26*'Вводные'!$V$88-R38)*'Вводные'!$B$29/12,0)+IF(AND(YEAR(R$3)=YEAR($B$7),MONTH(R$3)=MONTH($B$7)),'Вводные'!$B$26*'Вводные'!$V$88*'Вводные'!$B$30,0)</x:f>
      </x:c>
      <x:c r="S43" s="117" t="n">
        <x:f>IF(AND(OR(S38&gt;0,S$3&lt;=$B$8),S$3&gt;=$B$7,S$3&lt;EDATE($B$8,'Вводные'!$H$88)),MAX(0,'Вводные'!$B$26*'Вводные'!$V$88-S38)*'Вводные'!$B$29/12,0)+IF(AND(YEAR(S$3)=YEAR($B$7),MONTH(S$3)=MONTH($B$7)),'Вводные'!$B$26*'Вводные'!$V$88*'Вводные'!$B$30,0)</x:f>
      </x:c>
      <x:c r="T43" s="117" t="n">
        <x:f>IF(AND(OR(T38&gt;0,T$3&lt;=$B$8),T$3&gt;=$B$7,T$3&lt;EDATE($B$8,'Вводные'!$H$88)),MAX(0,'Вводные'!$B$26*'Вводные'!$V$88-T38)*'Вводные'!$B$29/12,0)+IF(AND(YEAR(T$3)=YEAR($B$7),MONTH(T$3)=MONTH($B$7)),'Вводные'!$B$26*'Вводные'!$V$88*'Вводные'!$B$30,0)</x:f>
      </x:c>
      <x:c r="U43" s="117" t="n">
        <x:f>IF(AND(OR(U38&gt;0,U$3&lt;=$B$8),U$3&gt;=$B$7,U$3&lt;EDATE($B$8,'Вводные'!$H$88)),MAX(0,'Вводные'!$B$26*'Вводные'!$V$88-U38)*'Вводные'!$B$29/12,0)+IF(AND(YEAR(U$3)=YEAR($B$7),MONTH(U$3)=MONTH($B$7)),'Вводные'!$B$26*'Вводные'!$V$88*'Вводные'!$B$30,0)</x:f>
      </x:c>
      <x:c r="V43" s="117" t="n">
        <x:f>IF(AND(OR(V38&gt;0,V$3&lt;=$B$8),V$3&gt;=$B$7,V$3&lt;EDATE($B$8,'Вводные'!$H$88)),MAX(0,'Вводные'!$B$26*'Вводные'!$V$88-V38)*'Вводные'!$B$29/12,0)+IF(AND(YEAR(V$3)=YEAR($B$7),MONTH(V$3)=MONTH($B$7)),'Вводные'!$B$26*'Вводные'!$V$88*'Вводные'!$B$30,0)</x:f>
      </x:c>
      <x:c r="W43" s="117" t="n">
        <x:f>IF(AND(OR(W38&gt;0,W$3&lt;=$B$8),W$3&gt;=$B$7,W$3&lt;EDATE($B$8,'Вводные'!$H$88)),MAX(0,'Вводные'!$B$26*'Вводные'!$V$88-W38)*'Вводные'!$B$29/12,0)+IF(AND(YEAR(W$3)=YEAR($B$7),MONTH(W$3)=MONTH($B$7)),'Вводные'!$B$26*'Вводные'!$V$88*'Вводные'!$B$30,0)</x:f>
      </x:c>
      <x:c r="X43" s="117" t="n">
        <x:f>IF(AND(OR(X38&gt;0,X$3&lt;=$B$8),X$3&gt;=$B$7,X$3&lt;EDATE($B$8,'Вводные'!$H$88)),MAX(0,'Вводные'!$B$26*'Вводные'!$V$88-X38)*'Вводные'!$B$29/12,0)+IF(AND(YEAR(X$3)=YEAR($B$7),MONTH(X$3)=MONTH($B$7)),'Вводные'!$B$26*'Вводные'!$V$88*'Вводные'!$B$30,0)</x:f>
      </x:c>
      <x:c r="Y43" s="117" t="n">
        <x:f>IF(AND(OR(Y38&gt;0,Y$3&lt;=$B$8),Y$3&gt;=$B$7,Y$3&lt;EDATE($B$8,'Вводные'!$H$88)),MAX(0,'Вводные'!$B$26*'Вводные'!$V$88-Y38)*'Вводные'!$B$29/12,0)+IF(AND(YEAR(Y$3)=YEAR($B$7),MONTH(Y$3)=MONTH($B$7)),'Вводные'!$B$26*'Вводные'!$V$88*'Вводные'!$B$30,0)</x:f>
      </x:c>
      <x:c r="Z43" s="117" t="n">
        <x:f>IF(AND(OR(Z38&gt;0,Z$3&lt;=$B$8),Z$3&gt;=$B$7,Z$3&lt;EDATE($B$8,'Вводные'!$H$88)),MAX(0,'Вводные'!$B$26*'Вводные'!$V$88-Z38)*'Вводные'!$B$29/12,0)+IF(AND(YEAR(Z$3)=YEAR($B$7),MONTH(Z$3)=MONTH($B$7)),'Вводные'!$B$26*'Вводные'!$V$88*'Вводные'!$B$30,0)</x:f>
      </x:c>
      <x:c r="AA43" s="117" t="n">
        <x:f>IF(AND(OR(AA38&gt;0,AA$3&lt;=$B$8),AA$3&gt;=$B$7,AA$3&lt;EDATE($B$8,'Вводные'!$H$88)),MAX(0,'Вводные'!$B$26*'Вводные'!$V$88-AA38)*'Вводные'!$B$29/12,0)+IF(AND(YEAR(AA$3)=YEAR($B$7),MONTH(AA$3)=MONTH($B$7)),'Вводные'!$B$26*'Вводные'!$V$88*'Вводные'!$B$30,0)</x:f>
      </x:c>
      <x:c r="AB43" s="117" t="n">
        <x:f>IF(AND(OR(AB38&gt;0,AB$3&lt;=$B$8),AB$3&gt;=$B$7,AB$3&lt;EDATE($B$8,'Вводные'!$H$88)),MAX(0,'Вводные'!$B$26*'Вводные'!$V$88-AB38)*'Вводные'!$B$29/12,0)+IF(AND(YEAR(AB$3)=YEAR($B$7),MONTH(AB$3)=MONTH($B$7)),'Вводные'!$B$26*'Вводные'!$V$88*'Вводные'!$B$30,0)</x:f>
      </x:c>
      <x:c r="AC43" s="117" t="n">
        <x:f>IF(AND(OR(AC38&gt;0,AC$3&lt;=$B$8),AC$3&gt;=$B$7,AC$3&lt;EDATE($B$8,'Вводные'!$H$88)),MAX(0,'Вводные'!$B$26*'Вводные'!$V$88-AC38)*'Вводные'!$B$29/12,0)+IF(AND(YEAR(AC$3)=YEAR($B$7),MONTH(AC$3)=MONTH($B$7)),'Вводные'!$B$26*'Вводные'!$V$88*'Вводные'!$B$30,0)</x:f>
      </x:c>
      <x:c r="AD43" s="117" t="n">
        <x:f>IF(AND(OR(AD38&gt;0,AD$3&lt;=$B$8),AD$3&gt;=$B$7,AD$3&lt;EDATE($B$8,'Вводные'!$H$88)),MAX(0,'Вводные'!$B$26*'Вводные'!$V$88-AD38)*'Вводные'!$B$29/12,0)+IF(AND(YEAR(AD$3)=YEAR($B$7),MONTH(AD$3)=MONTH($B$7)),'Вводные'!$B$26*'Вводные'!$V$88*'Вводные'!$B$30,0)</x:f>
      </x:c>
      <x:c r="AE43" s="117" t="n">
        <x:f>IF(AND(OR(AE38&gt;0,AE$3&lt;=$B$8),AE$3&gt;=$B$7,AE$3&lt;EDATE($B$8,'Вводные'!$H$88)),MAX(0,'Вводные'!$B$26*'Вводные'!$V$88-AE38)*'Вводные'!$B$29/12,0)+IF(AND(YEAR(AE$3)=YEAR($B$7),MONTH(AE$3)=MONTH($B$7)),'Вводные'!$B$26*'Вводные'!$V$88*'Вводные'!$B$30,0)</x:f>
      </x:c>
      <x:c r="AF43" s="117" t="n">
        <x:f>IF(AND(OR(AF38&gt;0,AF$3&lt;=$B$8),AF$3&gt;=$B$7,AF$3&lt;EDATE($B$8,'Вводные'!$H$88)),MAX(0,'Вводные'!$B$26*'Вводные'!$V$88-AF38)*'Вводные'!$B$29/12,0)+IF(AND(YEAR(AF$3)=YEAR($B$7),MONTH(AF$3)=MONTH($B$7)),'Вводные'!$B$26*'Вводные'!$V$88*'Вводные'!$B$30,0)</x:f>
      </x:c>
      <x:c r="AG43" s="117" t="n">
        <x:f>IF(AND(OR(AG38&gt;0,AG$3&lt;=$B$8),AG$3&gt;=$B$7,AG$3&lt;EDATE($B$8,'Вводные'!$H$88)),MAX(0,'Вводные'!$B$26*'Вводные'!$V$88-AG38)*'Вводные'!$B$29/12,0)+IF(AND(YEAR(AG$3)=YEAR($B$7),MONTH(AG$3)=MONTH($B$7)),'Вводные'!$B$26*'Вводные'!$V$88*'Вводные'!$B$30,0)</x:f>
      </x:c>
      <x:c r="AH43" s="117" t="n">
        <x:f>IF(AND(OR(AH38&gt;0,AH$3&lt;=$B$8),AH$3&gt;=$B$7,AH$3&lt;EDATE($B$8,'Вводные'!$H$88)),MAX(0,'Вводные'!$B$26*'Вводные'!$V$88-AH38)*'Вводные'!$B$29/12,0)+IF(AND(YEAR(AH$3)=YEAR($B$7),MONTH(AH$3)=MONTH($B$7)),'Вводные'!$B$26*'Вводные'!$V$88*'Вводные'!$B$30,0)</x:f>
      </x:c>
      <x:c r="AI43" s="117" t="n">
        <x:f>IF(AND(OR(AI38&gt;0,AI$3&lt;=$B$8),AI$3&gt;=$B$7,AI$3&lt;EDATE($B$8,'Вводные'!$H$88)),MAX(0,'Вводные'!$B$26*'Вводные'!$V$88-AI38)*'Вводные'!$B$29/12,0)+IF(AND(YEAR(AI$3)=YEAR($B$7),MONTH(AI$3)=MONTH($B$7)),'Вводные'!$B$26*'Вводные'!$V$88*'Вводные'!$B$30,0)</x:f>
      </x:c>
      <x:c r="AJ43" s="117" t="n">
        <x:f>IF(AND(OR(AJ38&gt;0,AJ$3&lt;=$B$8),AJ$3&gt;=$B$7,AJ$3&lt;EDATE($B$8,'Вводные'!$H$88)),MAX(0,'Вводные'!$B$26*'Вводные'!$V$88-AJ38)*'Вводные'!$B$29/12,0)+IF(AND(YEAR(AJ$3)=YEAR($B$7),MONTH(AJ$3)=MONTH($B$7)),'Вводные'!$B$26*'Вводные'!$V$88*'Вводные'!$B$30,0)</x:f>
      </x:c>
      <x:c r="AK43" s="117" t="n">
        <x:f>IF(AND(OR(AK38&gt;0,AK$3&lt;=$B$8),AK$3&gt;=$B$7,AK$3&lt;EDATE($B$8,'Вводные'!$H$88)),MAX(0,'Вводные'!$B$26*'Вводные'!$V$88-AK38)*'Вводные'!$B$29/12,0)+IF(AND(YEAR(AK$3)=YEAR($B$7),MONTH(AK$3)=MONTH($B$7)),'Вводные'!$B$26*'Вводные'!$V$88*'Вводные'!$B$30,0)</x:f>
      </x:c>
      <x:c r="AL43" s="117" t="n">
        <x:f>IF(AND(OR(AL38&gt;0,AL$3&lt;=$B$8),AL$3&gt;=$B$7,AL$3&lt;EDATE($B$8,'Вводные'!$H$88)),MAX(0,'Вводные'!$B$26*'Вводные'!$V$88-AL38)*'Вводные'!$B$29/12,0)+IF(AND(YEAR(AL$3)=YEAR($B$7),MONTH(AL$3)=MONTH($B$7)),'Вводные'!$B$26*'Вводные'!$V$88*'Вводные'!$B$30,0)</x:f>
      </x:c>
      <x:c r="AM43" s="117" t="n">
        <x:f>IF(AND(OR(AM38&gt;0,AM$3&lt;=$B$8),AM$3&gt;=$B$7,AM$3&lt;EDATE($B$8,'Вводные'!$H$88)),MAX(0,'Вводные'!$B$26*'Вводные'!$V$88-AM38)*'Вводные'!$B$29/12,0)+IF(AND(YEAR(AM$3)=YEAR($B$7),MONTH(AM$3)=MONTH($B$7)),'Вводные'!$B$26*'Вводные'!$V$88*'Вводные'!$B$30,0)</x:f>
      </x:c>
      <x:c r="AN43" s="117" t="n">
        <x:f>IF(AND(OR(AN38&gt;0,AN$3&lt;=$B$8),AN$3&gt;=$B$7,AN$3&lt;EDATE($B$8,'Вводные'!$H$88)),MAX(0,'Вводные'!$B$26*'Вводные'!$V$88-AN38)*'Вводные'!$B$29/12,0)+IF(AND(YEAR(AN$3)=YEAR($B$7),MONTH(AN$3)=MONTH($B$7)),'Вводные'!$B$26*'Вводные'!$V$88*'Вводные'!$B$30,0)</x:f>
      </x:c>
      <x:c r="AO43" s="117" t="n">
        <x:f>IF(AND(OR(AO38&gt;0,AO$3&lt;=$B$8),AO$3&gt;=$B$7,AO$3&lt;EDATE($B$8,'Вводные'!$H$88)),MAX(0,'Вводные'!$B$26*'Вводные'!$V$88-AO38)*'Вводные'!$B$29/12,0)+IF(AND(YEAR(AO$3)=YEAR($B$7),MONTH(AO$3)=MONTH($B$7)),'Вводные'!$B$26*'Вводные'!$V$88*'Вводные'!$B$30,0)</x:f>
      </x:c>
      <x:c r="AP43" s="117" t="n">
        <x:f>IF(AND(OR(AP38&gt;0,AP$3&lt;=$B$8),AP$3&gt;=$B$7,AP$3&lt;EDATE($B$8,'Вводные'!$H$88)),MAX(0,'Вводные'!$B$26*'Вводные'!$V$88-AP38)*'Вводные'!$B$29/12,0)+IF(AND(YEAR(AP$3)=YEAR($B$7),MONTH(AP$3)=MONTH($B$7)),'Вводные'!$B$26*'Вводные'!$V$88*'Вводные'!$B$30,0)</x:f>
      </x:c>
      <x:c r="AQ43" s="117" t="n">
        <x:f>IF(AND(OR(AQ38&gt;0,AQ$3&lt;=$B$8),AQ$3&gt;=$B$7,AQ$3&lt;EDATE($B$8,'Вводные'!$H$88)),MAX(0,'Вводные'!$B$26*'Вводные'!$V$88-AQ38)*'Вводные'!$B$29/12,0)+IF(AND(YEAR(AQ$3)=YEAR($B$7),MONTH(AQ$3)=MONTH($B$7)),'Вводные'!$B$26*'Вводные'!$V$88*'Вводные'!$B$30,0)</x:f>
      </x:c>
      <x:c r="AR43" s="117" t="n">
        <x:f>IF(AND(OR(AR38&gt;0,AR$3&lt;=$B$8),AR$3&gt;=$B$7,AR$3&lt;EDATE($B$8,'Вводные'!$H$88)),MAX(0,'Вводные'!$B$26*'Вводные'!$V$88-AR38)*'Вводные'!$B$29/12,0)+IF(AND(YEAR(AR$3)=YEAR($B$7),MONTH(AR$3)=MONTH($B$7)),'Вводные'!$B$26*'Вводные'!$V$88*'Вводные'!$B$30,0)</x:f>
      </x:c>
      <x:c r="AS43" s="117" t="n">
        <x:f>IF(AND(OR(AS38&gt;0,AS$3&lt;=$B$8),AS$3&gt;=$B$7,AS$3&lt;EDATE($B$8,'Вводные'!$H$88)),MAX(0,'Вводные'!$B$26*'Вводные'!$V$88-AS38)*'Вводные'!$B$29/12,0)+IF(AND(YEAR(AS$3)=YEAR($B$7),MONTH(AS$3)=MONTH($B$7)),'Вводные'!$B$26*'Вводные'!$V$88*'Вводные'!$B$30,0)</x:f>
      </x:c>
      <x:c r="AT43" s="117" t="n">
        <x:f>IF(AND(OR(AT38&gt;0,AT$3&lt;=$B$8),AT$3&gt;=$B$7,AT$3&lt;EDATE($B$8,'Вводные'!$H$88)),MAX(0,'Вводные'!$B$26*'Вводные'!$V$88-AT38)*'Вводные'!$B$29/12,0)+IF(AND(YEAR(AT$3)=YEAR($B$7),MONTH(AT$3)=MONTH($B$7)),'Вводные'!$B$26*'Вводные'!$V$88*'Вводные'!$B$30,0)</x:f>
      </x:c>
      <x:c r="AU43" s="117" t="n">
        <x:f>IF(AND(OR(AU38&gt;0,AU$3&lt;=$B$8),AU$3&gt;=$B$7,AU$3&lt;EDATE($B$8,'Вводные'!$H$88)),MAX(0,'Вводные'!$B$26*'Вводные'!$V$88-AU38)*'Вводные'!$B$29/12,0)+IF(AND(YEAR(AU$3)=YEAR($B$7),MONTH(AU$3)=MONTH($B$7)),'Вводные'!$B$26*'Вводные'!$V$88*'Вводные'!$B$30,0)</x:f>
      </x:c>
      <x:c r="AV43" s="117" t="n">
        <x:f>IF(AND(OR(AV38&gt;0,AV$3&lt;=$B$8),AV$3&gt;=$B$7,AV$3&lt;EDATE($B$8,'Вводные'!$H$88)),MAX(0,'Вводные'!$B$26*'Вводные'!$V$88-AV38)*'Вводные'!$B$29/12,0)+IF(AND(YEAR(AV$3)=YEAR($B$7),MONTH(AV$3)=MONTH($B$7)),'Вводные'!$B$26*'Вводные'!$V$88*'Вводные'!$B$30,0)</x:f>
      </x:c>
      <x:c r="AW43" s="117" t="n">
        <x:f>IF(AND(OR(AW38&gt;0,AW$3&lt;=$B$8),AW$3&gt;=$B$7,AW$3&lt;EDATE($B$8,'Вводные'!$H$88)),MAX(0,'Вводные'!$B$26*'Вводные'!$V$88-AW38)*'Вводные'!$B$29/12,0)+IF(AND(YEAR(AW$3)=YEAR($B$7),MONTH(AW$3)=MONTH($B$7)),'Вводные'!$B$26*'Вводные'!$V$88*'Вводные'!$B$30,0)</x:f>
      </x:c>
      <x:c r="AX43" s="117" t="n">
        <x:f>IF(AND(OR(AX38&gt;0,AX$3&lt;=$B$8),AX$3&gt;=$B$7,AX$3&lt;EDATE($B$8,'Вводные'!$H$88)),MAX(0,'Вводные'!$B$26*'Вводные'!$V$88-AX38)*'Вводные'!$B$29/12,0)+IF(AND(YEAR(AX$3)=YEAR($B$7),MONTH(AX$3)=MONTH($B$7)),'Вводные'!$B$26*'Вводные'!$V$88*'Вводные'!$B$30,0)</x:f>
      </x:c>
      <x:c r="AY43" s="117" t="n">
        <x:f>IF(AND(OR(AY38&gt;0,AY$3&lt;=$B$8),AY$3&gt;=$B$7,AY$3&lt;EDATE($B$8,'Вводные'!$H$88)),MAX(0,'Вводные'!$B$26*'Вводные'!$V$88-AY38)*'Вводные'!$B$29/12,0)+IF(AND(YEAR(AY$3)=YEAR($B$7),MONTH(AY$3)=MONTH($B$7)),'Вводные'!$B$26*'Вводные'!$V$88*'Вводные'!$B$30,0)</x:f>
      </x:c>
      <x:c r="AZ43" s="117" t="n">
        <x:f>IF(AND(OR(AZ38&gt;0,AZ$3&lt;=$B$8),AZ$3&gt;=$B$7,AZ$3&lt;EDATE($B$8,'Вводные'!$H$88)),MAX(0,'Вводные'!$B$26*'Вводные'!$V$88-AZ38)*'Вводные'!$B$29/12,0)+IF(AND(YEAR(AZ$3)=YEAR($B$7),MONTH(AZ$3)=MONTH($B$7)),'Вводные'!$B$26*'Вводные'!$V$88*'Вводные'!$B$30,0)</x:f>
      </x:c>
      <x:c r="BA43" s="117" t="n">
        <x:f>IF(AND(OR(BA38&gt;0,BA$3&lt;=$B$8),BA$3&gt;=$B$7,BA$3&lt;EDATE($B$8,'Вводные'!$H$88)),MAX(0,'Вводные'!$B$26*'Вводные'!$V$88-BA38)*'Вводные'!$B$29/12,0)+IF(AND(YEAR(BA$3)=YEAR($B$7),MONTH(BA$3)=MONTH($B$7)),'Вводные'!$B$26*'Вводные'!$V$88*'Вводные'!$B$30,0)</x:f>
      </x:c>
      <x:c r="BB43" s="117" t="n">
        <x:f>IF(AND(OR(BB38&gt;0,BB$3&lt;=$B$8),BB$3&gt;=$B$7,BB$3&lt;EDATE($B$8,'Вводные'!$H$88)),MAX(0,'Вводные'!$B$26*'Вводные'!$V$88-BB38)*'Вводные'!$B$29/12,0)+IF(AND(YEAR(BB$3)=YEAR($B$7),MONTH(BB$3)=MONTH($B$7)),'Вводные'!$B$26*'Вводные'!$V$88*'Вводные'!$B$30,0)</x:f>
      </x:c>
      <x:c r="BC43" s="117" t="n">
        <x:f>IF(AND(OR(BC38&gt;0,BC$3&lt;=$B$8),BC$3&gt;=$B$7,BC$3&lt;EDATE($B$8,'Вводные'!$H$88)),MAX(0,'Вводные'!$B$26*'Вводные'!$V$88-BC38)*'Вводные'!$B$29/12,0)+IF(AND(YEAR(BC$3)=YEAR($B$7),MONTH(BC$3)=MONTH($B$7)),'Вводные'!$B$26*'Вводные'!$V$88*'Вводные'!$B$30,0)</x:f>
      </x:c>
      <x:c r="BD43" s="117" t="n">
        <x:f>IF(AND(OR(BD38&gt;0,BD$3&lt;=$B$8),BD$3&gt;=$B$7,BD$3&lt;EDATE($B$8,'Вводные'!$H$88)),MAX(0,'Вводные'!$B$26*'Вводные'!$V$88-BD38)*'Вводные'!$B$29/12,0)+IF(AND(YEAR(BD$3)=YEAR($B$7),MONTH(BD$3)=MONTH($B$7)),'Вводные'!$B$26*'Вводные'!$V$88*'Вводные'!$B$30,0)</x:f>
      </x:c>
      <x:c r="BE43" s="117" t="n">
        <x:f>IF(AND(OR(BE38&gt;0,BE$3&lt;=$B$8),BE$3&gt;=$B$7,BE$3&lt;EDATE($B$8,'Вводные'!$H$88)),MAX(0,'Вводные'!$B$26*'Вводные'!$V$88-BE38)*'Вводные'!$B$29/12,0)+IF(AND(YEAR(BE$3)=YEAR($B$7),MONTH(BE$3)=MONTH($B$7)),'Вводные'!$B$26*'Вводные'!$V$88*'Вводные'!$B$30,0)</x:f>
      </x:c>
      <x:c r="BF43" s="117" t="n">
        <x:f>IF(AND(OR(BF38&gt;0,BF$3&lt;=$B$8),BF$3&gt;=$B$7,BF$3&lt;EDATE($B$8,'Вводные'!$H$88)),MAX(0,'Вводные'!$B$26*'Вводные'!$V$88-BF38)*'Вводные'!$B$29/12,0)+IF(AND(YEAR(BF$3)=YEAR($B$7),MONTH(BF$3)=MONTH($B$7)),'Вводные'!$B$26*'Вводные'!$V$88*'Вводные'!$B$30,0)</x:f>
      </x:c>
      <x:c r="BG43" s="117" t="n">
        <x:f>IF(AND(OR(BG38&gt;0,BG$3&lt;=$B$8),BG$3&gt;=$B$7,BG$3&lt;EDATE($B$8,'Вводные'!$H$88)),MAX(0,'Вводные'!$B$26*'Вводные'!$V$88-BG38)*'Вводные'!$B$29/12,0)+IF(AND(YEAR(BG$3)=YEAR($B$7),MONTH(BG$3)=MONTH($B$7)),'Вводные'!$B$26*'Вводные'!$V$88*'Вводные'!$B$30,0)</x:f>
      </x:c>
      <x:c r="BH43" s="117" t="n">
        <x:f>IF(AND(OR(BH38&gt;0,BH$3&lt;=$B$8),BH$3&gt;=$B$7,BH$3&lt;EDATE($B$8,'Вводные'!$H$88)),MAX(0,'Вводные'!$B$26*'Вводные'!$V$88-BH38)*'Вводные'!$B$29/12,0)+IF(AND(YEAR(BH$3)=YEAR($B$7),MONTH(BH$3)=MONTH($B$7)),'Вводные'!$B$26*'Вводные'!$V$88*'Вводные'!$B$30,0)</x:f>
      </x:c>
      <x:c r="BI43" s="117" t="n">
        <x:f>IF(AND(OR(BI38&gt;0,BI$3&lt;=$B$8),BI$3&gt;=$B$7,BI$3&lt;EDATE($B$8,'Вводные'!$H$88)),MAX(0,'Вводные'!$B$26*'Вводные'!$V$88-BI38)*'Вводные'!$B$29/12,0)+IF(AND(YEAR(BI$3)=YEAR($B$7),MONTH(BI$3)=MONTH($B$7)),'Вводные'!$B$26*'Вводные'!$V$88*'Вводные'!$B$30,0)</x:f>
      </x:c>
      <x:c r="BJ43" s="117" t="n">
        <x:f>IF(AND(OR(BJ38&gt;0,BJ$3&lt;=$B$8),BJ$3&gt;=$B$7,BJ$3&lt;EDATE($B$8,'Вводные'!$H$88)),MAX(0,'Вводные'!$B$26*'Вводные'!$V$88-BJ38)*'Вводные'!$B$29/12,0)+IF(AND(YEAR(BJ$3)=YEAR($B$7),MONTH(BJ$3)=MONTH($B$7)),'Вводные'!$B$26*'Вводные'!$V$88*'Вводные'!$B$30,0)</x:f>
      </x:c>
      <x:c r="BK43" s="117" t="n">
        <x:f>IF(AND(OR(BK38&gt;0,BK$3&lt;=$B$8),BK$3&gt;=$B$7,BK$3&lt;EDATE($B$8,'Вводные'!$H$88)),MAX(0,'Вводные'!$B$26*'Вводные'!$V$88-BK38)*'Вводные'!$B$29/12,0)+IF(AND(YEAR(BK$3)=YEAR($B$7),MONTH(BK$3)=MONTH($B$7)),'Вводные'!$B$26*'Вводные'!$V$88*'Вводные'!$B$30,0)</x:f>
      </x:c>
      <x:c r="BL43" s="117" t="n">
        <x:f>IF(AND(OR(BL38&gt;0,BL$3&lt;=$B$8),BL$3&gt;=$B$7,BL$3&lt;EDATE($B$8,'Вводные'!$H$88)),MAX(0,'Вводные'!$B$26*'Вводные'!$V$88-BL38)*'Вводные'!$B$29/12,0)+IF(AND(YEAR(BL$3)=YEAR($B$7),MONTH(BL$3)=MONTH($B$7)),'Вводные'!$B$26*'Вводные'!$V$88*'Вводные'!$B$30,0)</x:f>
      </x:c>
      <x:c r="BM43" s="117" t="n">
        <x:f>IF(AND(OR(BM38&gt;0,BM$3&lt;=$B$8),BM$3&gt;=$B$7,BM$3&lt;EDATE($B$8,'Вводные'!$H$88)),MAX(0,'Вводные'!$B$26*'Вводные'!$V$88-BM38)*'Вводные'!$B$29/12,0)+IF(AND(YEAR(BM$3)=YEAR($B$7),MONTH(BM$3)=MONTH($B$7)),'Вводные'!$B$26*'Вводные'!$V$88*'Вводные'!$B$30,0)</x:f>
      </x:c>
      <x:c r="BN43" s="117" t="n">
        <x:f>IF(AND(OR(BN38&gt;0,BN$3&lt;=$B$8),BN$3&gt;=$B$7,BN$3&lt;EDATE($B$8,'Вводные'!$H$88)),MAX(0,'Вводные'!$B$26*'Вводные'!$V$88-BN38)*'Вводные'!$B$29/12,0)+IF(AND(YEAR(BN$3)=YEAR($B$7),MONTH(BN$3)=MONTH($B$7)),'Вводные'!$B$26*'Вводные'!$V$88*'Вводные'!$B$30,0)</x:f>
      </x:c>
      <x:c r="BO43" s="117" t="n">
        <x:f>IF(AND(OR(BO38&gt;0,BO$3&lt;=$B$8),BO$3&gt;=$B$7,BO$3&lt;EDATE($B$8,'Вводные'!$H$88)),MAX(0,'Вводные'!$B$26*'Вводные'!$V$88-BO38)*'Вводные'!$B$29/12,0)+IF(AND(YEAR(BO$3)=YEAR($B$7),MONTH(BO$3)=MONTH($B$7)),'Вводные'!$B$26*'Вводные'!$V$88*'Вводные'!$B$30,0)</x:f>
      </x:c>
      <x:c r="BP43" s="117" t="n">
        <x:f>IF(AND(OR(BP38&gt;0,BP$3&lt;=$B$8),BP$3&gt;=$B$7,BP$3&lt;EDATE($B$8,'Вводные'!$H$88)),MAX(0,'Вводные'!$B$26*'Вводные'!$V$88-BP38)*'Вводные'!$B$29/12,0)+IF(AND(YEAR(BP$3)=YEAR($B$7),MONTH(BP$3)=MONTH($B$7)),'Вводные'!$B$26*'Вводные'!$V$88*'Вводные'!$B$30,0)</x:f>
      </x:c>
      <x:c r="BQ43" s="117" t="n">
        <x:f>IF(AND(OR(BQ38&gt;0,BQ$3&lt;=$B$8),BQ$3&gt;=$B$7,BQ$3&lt;EDATE($B$8,'Вводные'!$H$88)),MAX(0,'Вводные'!$B$26*'Вводные'!$V$88-BQ38)*'Вводные'!$B$29/12,0)+IF(AND(YEAR(BQ$3)=YEAR($B$7),MONTH(BQ$3)=MONTH($B$7)),'Вводные'!$B$26*'Вводные'!$V$88*'Вводные'!$B$30,0)</x:f>
      </x:c>
      <x:c r="BR43" s="117" t="n">
        <x:f>IF(AND(OR(BR38&gt;0,BR$3&lt;=$B$8),BR$3&gt;=$B$7,BR$3&lt;EDATE($B$8,'Вводные'!$H$88)),MAX(0,'Вводные'!$B$26*'Вводные'!$V$88-BR38)*'Вводные'!$B$29/12,0)+IF(AND(YEAR(BR$3)=YEAR($B$7),MONTH(BR$3)=MONTH($B$7)),'Вводные'!$B$26*'Вводные'!$V$88*'Вводные'!$B$30,0)</x:f>
      </x:c>
      <x:c r="BS43" s="117" t="n">
        <x:f>IF(AND(OR(BS38&gt;0,BS$3&lt;=$B$8),BS$3&gt;=$B$7,BS$3&lt;EDATE($B$8,'Вводные'!$H$88)),MAX(0,'Вводные'!$B$26*'Вводные'!$V$88-BS38)*'Вводные'!$B$29/12,0)+IF(AND(YEAR(BS$3)=YEAR($B$7),MONTH(BS$3)=MONTH($B$7)),'Вводные'!$B$26*'Вводные'!$V$88*'Вводные'!$B$30,0)</x:f>
      </x:c>
      <x:c r="BT43" s="117" t="n">
        <x:f>IF(AND(OR(BT38&gt;0,BT$3&lt;=$B$8),BT$3&gt;=$B$7,BT$3&lt;EDATE($B$8,'Вводные'!$H$88)),MAX(0,'Вводные'!$B$26*'Вводные'!$V$88-BT38)*'Вводные'!$B$29/12,0)+IF(AND(YEAR(BT$3)=YEAR($B$7),MONTH(BT$3)=MONTH($B$7)),'Вводные'!$B$26*'Вводные'!$V$88*'Вводные'!$B$30,0)</x:f>
      </x:c>
      <x:c r="BU43" s="117" t="n">
        <x:f>IF(AND(OR(BU38&gt;0,BU$3&lt;=$B$8),BU$3&gt;=$B$7,BU$3&lt;EDATE($B$8,'Вводные'!$H$88)),MAX(0,'Вводные'!$B$26*'Вводные'!$V$88-BU38)*'Вводные'!$B$29/12,0)+IF(AND(YEAR(BU$3)=YEAR($B$7),MONTH(BU$3)=MONTH($B$7)),'Вводные'!$B$26*'Вводные'!$V$88*'Вводные'!$B$30,0)</x:f>
      </x:c>
      <x:c r="BV43" s="117" t="n">
        <x:f>IF(AND(OR(BV38&gt;0,BV$3&lt;=$B$8),BV$3&gt;=$B$7,BV$3&lt;EDATE($B$8,'Вводные'!$H$88)),MAX(0,'Вводные'!$B$26*'Вводные'!$V$88-BV38)*'Вводные'!$B$29/12,0)+IF(AND(YEAR(BV$3)=YEAR($B$7),MONTH(BV$3)=MONTH($B$7)),'Вводные'!$B$26*'Вводные'!$V$88*'Вводные'!$B$30,0)</x:f>
      </x:c>
      <x:c r="BW43" s="117" t="n">
        <x:f>IF(AND(OR(BW38&gt;0,BW$3&lt;=$B$8),BW$3&gt;=$B$7,BW$3&lt;EDATE($B$8,'Вводные'!$H$88)),MAX(0,'Вводные'!$B$26*'Вводные'!$V$88-BW38)*'Вводные'!$B$29/12,0)+IF(AND(YEAR(BW$3)=YEAR($B$7),MONTH(BW$3)=MONTH($B$7)),'Вводные'!$B$26*'Вводные'!$V$88*'Вводные'!$B$30,0)</x:f>
      </x:c>
      <x:c r="BX43" s="117" t="n">
        <x:f>IF(AND(OR(BX38&gt;0,BX$3&lt;=$B$8),BX$3&gt;=$B$7,BX$3&lt;EDATE($B$8,'Вводные'!$H$88)),MAX(0,'Вводные'!$B$26*'Вводные'!$V$88-BX38)*'Вводные'!$B$29/12,0)+IF(AND(YEAR(BX$3)=YEAR($B$7),MONTH(BX$3)=MONTH($B$7)),'Вводные'!$B$26*'Вводные'!$V$88*'Вводные'!$B$30,0)</x:f>
      </x:c>
      <x:c r="BY43" s="117" t="n">
        <x:f>IF(AND(OR(BY38&gt;0,BY$3&lt;=$B$8),BY$3&gt;=$B$7,BY$3&lt;EDATE($B$8,'Вводные'!$H$88)),MAX(0,'Вводные'!$B$26*'Вводные'!$V$88-BY38)*'Вводные'!$B$29/12,0)+IF(AND(YEAR(BY$3)=YEAR($B$7),MONTH(BY$3)=MONTH($B$7)),'Вводные'!$B$26*'Вводные'!$V$88*'Вводные'!$B$30,0)</x:f>
      </x:c>
      <x:c r="BZ43" s="117" t="n">
        <x:f>IF(AND(OR(BZ38&gt;0,BZ$3&lt;=$B$8),BZ$3&gt;=$B$7,BZ$3&lt;EDATE($B$8,'Вводные'!$H$88)),MAX(0,'Вводные'!$B$26*'Вводные'!$V$88-BZ38)*'Вводные'!$B$29/12,0)+IF(AND(YEAR(BZ$3)=YEAR($B$7),MONTH(BZ$3)=MONTH($B$7)),'Вводные'!$B$26*'Вводные'!$V$88*'Вводные'!$B$30,0)</x:f>
      </x:c>
      <x:c r="CA43" s="117" t="n">
        <x:f>IF(AND(OR(CA38&gt;0,CA$3&lt;=$B$8),CA$3&gt;=$B$7,CA$3&lt;EDATE($B$8,'Вводные'!$H$88)),MAX(0,'Вводные'!$B$26*'Вводные'!$V$88-CA38)*'Вводные'!$B$29/12,0)+IF(AND(YEAR(CA$3)=YEAR($B$7),MONTH(CA$3)=MONTH($B$7)),'Вводные'!$B$26*'Вводные'!$V$88*'Вводные'!$B$30,0)</x:f>
      </x:c>
      <x:c r="CB43" s="117" t="n">
        <x:f>IF(AND(OR(CB38&gt;0,CB$3&lt;=$B$8),CB$3&gt;=$B$7,CB$3&lt;EDATE($B$8,'Вводные'!$H$88)),MAX(0,'Вводные'!$B$26*'Вводные'!$V$88-CB38)*'Вводные'!$B$29/12,0)+IF(AND(YEAR(CB$3)=YEAR($B$7),MONTH(CB$3)=MONTH($B$7)),'Вводные'!$B$26*'Вводные'!$V$88*'Вводные'!$B$30,0)</x:f>
      </x:c>
      <x:c r="CC43" s="117" t="n">
        <x:f>IF(AND(OR(CC38&gt;0,CC$3&lt;=$B$8),CC$3&gt;=$B$7,CC$3&lt;EDATE($B$8,'Вводные'!$H$88)),MAX(0,'Вводные'!$B$26*'Вводные'!$V$88-CC38)*'Вводные'!$B$29/12,0)+IF(AND(YEAR(CC$3)=YEAR($B$7),MONTH(CC$3)=MONTH($B$7)),'Вводные'!$B$26*'Вводные'!$V$88*'Вводные'!$B$30,0)</x:f>
      </x:c>
      <x:c r="CD43" s="117" t="n">
        <x:f>IF(AND(OR(CD38&gt;0,CD$3&lt;=$B$8),CD$3&gt;=$B$7,CD$3&lt;EDATE($B$8,'Вводные'!$H$88)),MAX(0,'Вводные'!$B$26*'Вводные'!$V$88-CD38)*'Вводные'!$B$29/12,0)+IF(AND(YEAR(CD$3)=YEAR($B$7),MONTH(CD$3)=MONTH($B$7)),'Вводные'!$B$26*'Вводные'!$V$88*'Вводные'!$B$30,0)</x:f>
      </x:c>
      <x:c r="CE43" s="117" t="n">
        <x:f>IF(AND(OR(CE38&gt;0,CE$3&lt;=$B$8),CE$3&gt;=$B$7,CE$3&lt;EDATE($B$8,'Вводные'!$H$88)),MAX(0,'Вводные'!$B$26*'Вводные'!$V$88-CE38)*'Вводные'!$B$29/12,0)+IF(AND(YEAR(CE$3)=YEAR($B$7),MONTH(CE$3)=MONTH($B$7)),'Вводные'!$B$26*'Вводные'!$V$88*'Вводные'!$B$30,0)</x:f>
      </x:c>
      <x:c r="CF43" s="117" t="n">
        <x:f>IF(AND(OR(CF38&gt;0,CF$3&lt;=$B$8),CF$3&gt;=$B$7,CF$3&lt;EDATE($B$8,'Вводные'!$H$88)),MAX(0,'Вводные'!$B$26*'Вводные'!$V$88-CF38)*'Вводные'!$B$29/12,0)+IF(AND(YEAR(CF$3)=YEAR($B$7),MONTH(CF$3)=MONTH($B$7)),'Вводные'!$B$26*'Вводные'!$V$88*'Вводные'!$B$30,0)</x:f>
      </x:c>
      <x:c r="CG43" s="117" t="n">
        <x:f>IF(AND(OR(CG38&gt;0,CG$3&lt;=$B$8),CG$3&gt;=$B$7,CG$3&lt;EDATE($B$8,'Вводные'!$H$88)),MAX(0,'Вводные'!$B$26*'Вводные'!$V$88-CG38)*'Вводные'!$B$29/12,0)+IF(AND(YEAR(CG$3)=YEAR($B$7),MONTH(CG$3)=MONTH($B$7)),'Вводные'!$B$26*'Вводные'!$V$88*'Вводные'!$B$30,0)</x:f>
      </x:c>
      <x:c r="CH43" s="117" t="n">
        <x:f>IF(AND(OR(CH38&gt;0,CH$3&lt;=$B$8),CH$3&gt;=$B$7,CH$3&lt;EDATE($B$8,'Вводные'!$H$88)),MAX(0,'Вводные'!$B$26*'Вводные'!$V$88-CH38)*'Вводные'!$B$29/12,0)+IF(AND(YEAR(CH$3)=YEAR($B$7),MONTH(CH$3)=MONTH($B$7)),'Вводные'!$B$26*'Вводные'!$V$88*'Вводные'!$B$30,0)</x:f>
      </x:c>
      <x:c r="CI43" s="117" t="n">
        <x:f>IF(AND(OR(CI38&gt;0,CI$3&lt;=$B$8),CI$3&gt;=$B$7,CI$3&lt;EDATE($B$8,'Вводные'!$H$88)),MAX(0,'Вводные'!$B$26*'Вводные'!$V$88-CI38)*'Вводные'!$B$29/12,0)+IF(AND(YEAR(CI$3)=YEAR($B$7),MONTH(CI$3)=MONTH($B$7)),'Вводные'!$B$26*'Вводные'!$V$88*'Вводные'!$B$30,0)</x:f>
      </x:c>
      <x:c r="CJ43" s="117" t="n">
        <x:f>IF(AND(OR(CJ38&gt;0,CJ$3&lt;=$B$8),CJ$3&gt;=$B$7,CJ$3&lt;EDATE($B$8,'Вводные'!$H$88)),MAX(0,'Вводные'!$B$26*'Вводные'!$V$88-CJ38)*'Вводные'!$B$29/12,0)+IF(AND(YEAR(CJ$3)=YEAR($B$7),MONTH(CJ$3)=MONTH($B$7)),'Вводные'!$B$26*'Вводные'!$V$88*'Вводные'!$B$30,0)</x:f>
      </x:c>
      <x:c r="CK43" s="117" t="n">
        <x:f>IF(AND(OR(CK38&gt;0,CK$3&lt;=$B$8),CK$3&gt;=$B$7,CK$3&lt;EDATE($B$8,'Вводные'!$H$88)),MAX(0,'Вводные'!$B$26*'Вводные'!$V$88-CK38)*'Вводные'!$B$29/12,0)+IF(AND(YEAR(CK$3)=YEAR($B$7),MONTH(CK$3)=MONTH($B$7)),'Вводные'!$B$26*'Вводные'!$V$88*'Вводные'!$B$30,0)</x:f>
      </x:c>
      <x:c r="CL43" s="117" t="n">
        <x:f>IF(AND(OR(CL38&gt;0,CL$3&lt;=$B$8),CL$3&gt;=$B$7,CL$3&lt;EDATE($B$8,'Вводные'!$H$88)),MAX(0,'Вводные'!$B$26*'Вводные'!$V$88-CL38)*'Вводные'!$B$29/12,0)+IF(AND(YEAR(CL$3)=YEAR($B$7),MONTH(CL$3)=MONTH($B$7)),'Вводные'!$B$26*'Вводные'!$V$88*'Вводные'!$B$30,0)</x:f>
      </x:c>
      <x:c r="CM43" s="117" t="n">
        <x:f>IF(AND(OR(CM38&gt;0,CM$3&lt;=$B$8),CM$3&gt;=$B$7,CM$3&lt;EDATE($B$8,'Вводные'!$H$88)),MAX(0,'Вводные'!$B$26*'Вводные'!$V$88-CM38)*'Вводные'!$B$29/12,0)+IF(AND(YEAR(CM$3)=YEAR($B$7),MONTH(CM$3)=MONTH($B$7)),'Вводные'!$B$26*'Вводные'!$V$88*'Вводные'!$B$30,0)</x:f>
      </x:c>
      <x:c r="CN43" s="117" t="n">
        <x:f>IF(AND(OR(CN38&gt;0,CN$3&lt;=$B$8),CN$3&gt;=$B$7,CN$3&lt;EDATE($B$8,'Вводные'!$H$88)),MAX(0,'Вводные'!$B$26*'Вводные'!$V$88-CN38)*'Вводные'!$B$29/12,0)+IF(AND(YEAR(CN$3)=YEAR($B$7),MONTH(CN$3)=MONTH($B$7)),'Вводные'!$B$26*'Вводные'!$V$88*'Вводные'!$B$30,0)</x:f>
      </x:c>
      <x:c r="CO43" s="117" t="n">
        <x:f>IF(AND(OR(CO38&gt;0,CO$3&lt;=$B$8),CO$3&gt;=$B$7,CO$3&lt;EDATE($B$8,'Вводные'!$H$88)),MAX(0,'Вводные'!$B$26*'Вводные'!$V$88-CO38)*'Вводные'!$B$29/12,0)+IF(AND(YEAR(CO$3)=YEAR($B$7),MONTH(CO$3)=MONTH($B$7)),'Вводные'!$B$26*'Вводные'!$V$88*'Вводные'!$B$30,0)</x:f>
      </x:c>
      <x:c r="CP43" s="117" t="n">
        <x:f>IF(AND(OR(CP38&gt;0,CP$3&lt;=$B$8),CP$3&gt;=$B$7,CP$3&lt;EDATE($B$8,'Вводные'!$H$88)),MAX(0,'Вводные'!$B$26*'Вводные'!$V$88-CP38)*'Вводные'!$B$29/12,0)+IF(AND(YEAR(CP$3)=YEAR($B$7),MONTH(CP$3)=MONTH($B$7)),'Вводные'!$B$26*'Вводные'!$V$88*'Вводные'!$B$30,0)</x:f>
      </x:c>
      <x:c r="CQ43" s="117" t="n">
        <x:f>IF(AND(OR(CQ38&gt;0,CQ$3&lt;=$B$8),CQ$3&gt;=$B$7,CQ$3&lt;EDATE($B$8,'Вводные'!$H$88)),MAX(0,'Вводные'!$B$26*'Вводные'!$V$88-CQ38)*'Вводные'!$B$29/12,0)+IF(AND(YEAR(CQ$3)=YEAR($B$7),MONTH(CQ$3)=MONTH($B$7)),'Вводные'!$B$26*'Вводные'!$V$88*'Вводные'!$B$30,0)</x:f>
      </x:c>
      <x:c r="CR43" s="117" t="n">
        <x:f>IF(AND(OR(CR38&gt;0,CR$3&lt;=$B$8),CR$3&gt;=$B$7,CR$3&lt;EDATE($B$8,'Вводные'!$H$88)),MAX(0,'Вводные'!$B$26*'Вводные'!$V$88-CR38)*'Вводные'!$B$29/12,0)+IF(AND(YEAR(CR$3)=YEAR($B$7),MONTH(CR$3)=MONTH($B$7)),'Вводные'!$B$26*'Вводные'!$V$88*'Вводные'!$B$30,0)</x:f>
      </x:c>
      <x:c r="CS43" s="117" t="n">
        <x:f>IF(AND(OR(CS38&gt;0,CS$3&lt;=$B$8),CS$3&gt;=$B$7,CS$3&lt;EDATE($B$8,'Вводные'!$H$88)),MAX(0,'Вводные'!$B$26*'Вводные'!$V$88-CS38)*'Вводные'!$B$29/12,0)+IF(AND(YEAR(CS$3)=YEAR($B$7),MONTH(CS$3)=MONTH($B$7)),'Вводные'!$B$26*'Вводные'!$V$88*'Вводные'!$B$30,0)</x:f>
      </x:c>
      <x:c r="CT43" s="117" t="n">
        <x:f>IF(AND(OR(CT38&gt;0,CT$3&lt;=$B$8),CT$3&gt;=$B$7,CT$3&lt;EDATE($B$8,'Вводные'!$H$88)),MAX(0,'Вводные'!$B$26*'Вводные'!$V$88-CT38)*'Вводные'!$B$29/12,0)+IF(AND(YEAR(CT$3)=YEAR($B$7),MONTH(CT$3)=MONTH($B$7)),'Вводные'!$B$26*'Вводные'!$V$88*'Вводные'!$B$30,0)</x:f>
      </x:c>
      <x:c r="CU43" s="117" t="n">
        <x:f>IF(AND(OR(CU38&gt;0,CU$3&lt;=$B$8),CU$3&gt;=$B$7,CU$3&lt;EDATE($B$8,'Вводные'!$H$88)),MAX(0,'Вводные'!$B$26*'Вводные'!$V$88-CU38)*'Вводные'!$B$29/12,0)+IF(AND(YEAR(CU$3)=YEAR($B$7),MONTH(CU$3)=MONTH($B$7)),'Вводные'!$B$26*'Вводные'!$V$88*'Вводные'!$B$30,0)</x:f>
      </x:c>
      <x:c r="CV43" s="117" t="n">
        <x:f>IF(AND(OR(CV38&gt;0,CV$3&lt;=$B$8),CV$3&gt;=$B$7,CV$3&lt;EDATE($B$8,'Вводные'!$H$88)),MAX(0,'Вводные'!$B$26*'Вводные'!$V$88-CV38)*'Вводные'!$B$29/12,0)+IF(AND(YEAR(CV$3)=YEAR($B$7),MONTH(CV$3)=MONTH($B$7)),'Вводные'!$B$26*'Вводные'!$V$88*'Вводные'!$B$30,0)</x:f>
      </x:c>
      <x:c r="CW43" s="117" t="n">
        <x:f>IF(AND(OR(CW38&gt;0,CW$3&lt;=$B$8),CW$3&gt;=$B$7,CW$3&lt;EDATE($B$8,'Вводные'!$H$88)),MAX(0,'Вводные'!$B$26*'Вводные'!$V$88-CW38)*'Вводные'!$B$29/12,0)+IF(AND(YEAR(CW$3)=YEAR($B$7),MONTH(CW$3)=MONTH($B$7)),'Вводные'!$B$26*'Вводные'!$V$88*'Вводные'!$B$30,0)</x:f>
      </x:c>
      <x:c r="CX43" s="117" t="n">
        <x:f>IF(AND(OR(CX38&gt;0,CX$3&lt;=$B$8),CX$3&gt;=$B$7,CX$3&lt;EDATE($B$8,'Вводные'!$H$88)),MAX(0,'Вводные'!$B$26*'Вводные'!$V$88-CX38)*'Вводные'!$B$29/12,0)+IF(AND(YEAR(CX$3)=YEAR($B$7),MONTH(CX$3)=MONTH($B$7)),'Вводные'!$B$26*'Вводные'!$V$88*'Вводные'!$B$30,0)</x:f>
      </x:c>
      <x:c r="CY43" s="117" t="n">
        <x:f>IF(AND(OR(CY38&gt;0,CY$3&lt;=$B$8),CY$3&gt;=$B$7,CY$3&lt;EDATE($B$8,'Вводные'!$H$88)),MAX(0,'Вводные'!$B$26*'Вводные'!$V$88-CY38)*'Вводные'!$B$29/12,0)+IF(AND(YEAR(CY$3)=YEAR($B$7),MONTH(CY$3)=MONTH($B$7)),'Вводные'!$B$26*'Вводные'!$V$88*'Вводные'!$B$30,0)</x:f>
      </x:c>
      <x:c r="CZ43" s="117" t="n">
        <x:f>IF(AND(OR(CZ38&gt;0,CZ$3&lt;=$B$8),CZ$3&gt;=$B$7,CZ$3&lt;EDATE($B$8,'Вводные'!$H$88)),MAX(0,'Вводные'!$B$26*'Вводные'!$V$88-CZ38)*'Вводные'!$B$29/12,0)+IF(AND(YEAR(CZ$3)=YEAR($B$7),MONTH(CZ$3)=MONTH($B$7)),'Вводные'!$B$26*'Вводные'!$V$88*'Вводные'!$B$30,0)</x:f>
      </x:c>
      <x:c r="DA43" s="117" t="n">
        <x:f>IF(AND(OR(DA38&gt;0,DA$3&lt;=$B$8),DA$3&gt;=$B$7,DA$3&lt;EDATE($B$8,'Вводные'!$H$88)),MAX(0,'Вводные'!$B$26*'Вводные'!$V$88-DA38)*'Вводные'!$B$29/12,0)+IF(AND(YEAR(DA$3)=YEAR($B$7),MONTH(DA$3)=MONTH($B$7)),'Вводные'!$B$26*'Вводные'!$V$88*'Вводные'!$B$30,0)</x:f>
      </x:c>
      <x:c r="DB43" s="117" t="n">
        <x:f>IF(AND(OR(DB38&gt;0,DB$3&lt;=$B$8),DB$3&gt;=$B$7,DB$3&lt;EDATE($B$8,'Вводные'!$H$88)),MAX(0,'Вводные'!$B$26*'Вводные'!$V$88-DB38)*'Вводные'!$B$29/12,0)+IF(AND(YEAR(DB$3)=YEAR($B$7),MONTH(DB$3)=MONTH($B$7)),'Вводные'!$B$26*'Вводные'!$V$88*'Вводные'!$B$30,0)</x:f>
      </x:c>
      <x:c r="DC43" s="117" t="n">
        <x:f>IF(AND(OR(DC38&gt;0,DC$3&lt;=$B$8),DC$3&gt;=$B$7,DC$3&lt;EDATE($B$8,'Вводные'!$H$88)),MAX(0,'Вводные'!$B$26*'Вводные'!$V$88-DC38)*'Вводные'!$B$29/12,0)+IF(AND(YEAR(DC$3)=YEAR($B$7),MONTH(DC$3)=MONTH($B$7)),'Вводные'!$B$26*'Вводные'!$V$88*'Вводные'!$B$30,0)</x:f>
      </x:c>
      <x:c r="DD43" s="117" t="n">
        <x:f>IF(AND(OR(DD38&gt;0,DD$3&lt;=$B$8),DD$3&gt;=$B$7,DD$3&lt;EDATE($B$8,'Вводные'!$H$88)),MAX(0,'Вводные'!$B$26*'Вводные'!$V$88-DD38)*'Вводные'!$B$29/12,0)+IF(AND(YEAR(DD$3)=YEAR($B$7),MONTH(DD$3)=MONTH($B$7)),'Вводные'!$B$26*'Вводные'!$V$88*'Вводные'!$B$30,0)</x:f>
      </x:c>
      <x:c r="DE43" s="117" t="n">
        <x:f>IF(AND(OR(DE38&gt;0,DE$3&lt;=$B$8),DE$3&gt;=$B$7,DE$3&lt;EDATE($B$8,'Вводные'!$H$88)),MAX(0,'Вводные'!$B$26*'Вводные'!$V$88-DE38)*'Вводные'!$B$29/12,0)+IF(AND(YEAR(DE$3)=YEAR($B$7),MONTH(DE$3)=MONTH($B$7)),'Вводные'!$B$26*'Вводные'!$V$88*'Вводные'!$B$30,0)</x:f>
      </x:c>
      <x:c r="DF43" s="117" t="n">
        <x:f>IF(AND(OR(DF38&gt;0,DF$3&lt;=$B$8),DF$3&gt;=$B$7,DF$3&lt;EDATE($B$8,'Вводные'!$H$88)),MAX(0,'Вводные'!$B$26*'Вводные'!$V$88-DF38)*'Вводные'!$B$29/12,0)+IF(AND(YEAR(DF$3)=YEAR($B$7),MONTH(DF$3)=MONTH($B$7)),'Вводные'!$B$26*'Вводные'!$V$88*'Вводные'!$B$30,0)</x:f>
      </x:c>
      <x:c r="DG43" s="117" t="n">
        <x:f>IF(AND(OR(DG38&gt;0,DG$3&lt;=$B$8),DG$3&gt;=$B$7,DG$3&lt;EDATE($B$8,'Вводные'!$H$88)),MAX(0,'Вводные'!$B$26*'Вводные'!$V$88-DG38)*'Вводные'!$B$29/12,0)+IF(AND(YEAR(DG$3)=YEAR($B$7),MONTH(DG$3)=MONTH($B$7)),'Вводные'!$B$26*'Вводные'!$V$88*'Вводные'!$B$30,0)</x:f>
      </x:c>
      <x:c r="DH43" s="117" t="n">
        <x:f>IF(AND(OR(DH38&gt;0,DH$3&lt;=$B$8),DH$3&gt;=$B$7,DH$3&lt;EDATE($B$8,'Вводные'!$H$88)),MAX(0,'Вводные'!$B$26*'Вводные'!$V$88-DH38)*'Вводные'!$B$29/12,0)+IF(AND(YEAR(DH$3)=YEAR($B$7),MONTH(DH$3)=MONTH($B$7)),'Вводные'!$B$26*'Вводные'!$V$88*'Вводные'!$B$30,0)</x:f>
      </x:c>
      <x:c r="DI43" s="117" t="n">
        <x:f>IF(AND(OR(DI38&gt;0,DI$3&lt;=$B$8),DI$3&gt;=$B$7,DI$3&lt;EDATE($B$8,'Вводные'!$H$88)),MAX(0,'Вводные'!$B$26*'Вводные'!$V$88-DI38)*'Вводные'!$B$29/12,0)+IF(AND(YEAR(DI$3)=YEAR($B$7),MONTH(DI$3)=MONTH($B$7)),'Вводные'!$B$26*'Вводные'!$V$88*'Вводные'!$B$30,0)</x:f>
      </x:c>
      <x:c r="DJ43" s="117" t="n">
        <x:f>IF(AND(OR(DJ38&gt;0,DJ$3&lt;=$B$8),DJ$3&gt;=$B$7,DJ$3&lt;EDATE($B$8,'Вводные'!$H$88)),MAX(0,'Вводные'!$B$26*'Вводные'!$V$88-DJ38)*'Вводные'!$B$29/12,0)+IF(AND(YEAR(DJ$3)=YEAR($B$7),MONTH(DJ$3)=MONTH($B$7)),'Вводные'!$B$26*'Вводные'!$V$88*'Вводные'!$B$30,0)</x:f>
      </x:c>
      <x:c r="DK43" s="117" t="n">
        <x:f>IF(AND(OR(DK38&gt;0,DK$3&lt;=$B$8),DK$3&gt;=$B$7,DK$3&lt;EDATE($B$8,'Вводные'!$H$88)),MAX(0,'Вводные'!$B$26*'Вводные'!$V$88-DK38)*'Вводные'!$B$29/12,0)+IF(AND(YEAR(DK$3)=YEAR($B$7),MONTH(DK$3)=MONTH($B$7)),'Вводные'!$B$26*'Вводные'!$V$88*'Вводные'!$B$30,0)</x:f>
      </x:c>
      <x:c r="DL43" s="117" t="n">
        <x:f>IF(AND(OR(DL38&gt;0,DL$3&lt;=$B$8),DL$3&gt;=$B$7,DL$3&lt;EDATE($B$8,'Вводные'!$H$88)),MAX(0,'Вводные'!$B$26*'Вводные'!$V$88-DL38)*'Вводные'!$B$29/12,0)+IF(AND(YEAR(DL$3)=YEAR($B$7),MONTH(DL$3)=MONTH($B$7)),'Вводные'!$B$26*'Вводные'!$V$88*'Вводные'!$B$30,0)</x:f>
      </x:c>
      <x:c r="DM43" s="117" t="n">
        <x:f>IF(AND(OR(DM38&gt;0,DM$3&lt;=$B$8),DM$3&gt;=$B$7,DM$3&lt;EDATE($B$8,'Вводные'!$H$88)),MAX(0,'Вводные'!$B$26*'Вводные'!$V$88-DM38)*'Вводные'!$B$29/12,0)+IF(AND(YEAR(DM$3)=YEAR($B$7),MONTH(DM$3)=MONTH($B$7)),'Вводные'!$B$26*'Вводные'!$V$88*'Вводные'!$B$30,0)</x:f>
      </x:c>
      <x:c r="DN43" s="117" t="n">
        <x:f>IF(AND(OR(DN38&gt;0,DN$3&lt;=$B$8),DN$3&gt;=$B$7,DN$3&lt;EDATE($B$8,'Вводные'!$H$88)),MAX(0,'Вводные'!$B$26*'Вводные'!$V$88-DN38)*'Вводные'!$B$29/12,0)+IF(AND(YEAR(DN$3)=YEAR($B$7),MONTH(DN$3)=MONTH($B$7)),'Вводные'!$B$26*'Вводные'!$V$88*'Вводные'!$B$30,0)</x:f>
      </x:c>
      <x:c r="DO43" s="117" t="n">
        <x:f>IF(AND(OR(DO38&gt;0,DO$3&lt;=$B$8),DO$3&gt;=$B$7,DO$3&lt;EDATE($B$8,'Вводные'!$H$88)),MAX(0,'Вводные'!$B$26*'Вводные'!$V$88-DO38)*'Вводные'!$B$29/12,0)+IF(AND(YEAR(DO$3)=YEAR($B$7),MONTH(DO$3)=MONTH($B$7)),'Вводные'!$B$26*'Вводные'!$V$88*'Вводные'!$B$30,0)</x:f>
      </x:c>
      <x:c r="DP43" s="117" t="n">
        <x:f>IF(AND(OR(DP38&gt;0,DP$3&lt;=$B$8),DP$3&gt;=$B$7,DP$3&lt;EDATE($B$8,'Вводные'!$H$88)),MAX(0,'Вводные'!$B$26*'Вводные'!$V$88-DP38)*'Вводные'!$B$29/12,0)+IF(AND(YEAR(DP$3)=YEAR($B$7),MONTH(DP$3)=MONTH($B$7)),'Вводные'!$B$26*'Вводные'!$V$88*'Вводные'!$B$30,0)</x:f>
      </x:c>
      <x:c r="DQ43" s="117" t="n">
        <x:f>IF(AND(OR(DQ38&gt;0,DQ$3&lt;=$B$8),DQ$3&gt;=$B$7,DQ$3&lt;EDATE($B$8,'Вводные'!$H$88)),MAX(0,'Вводные'!$B$26*'Вводные'!$V$88-DQ38)*'Вводные'!$B$29/12,0)+IF(AND(YEAR(DQ$3)=YEAR($B$7),MONTH(DQ$3)=MONTH($B$7)),'Вводные'!$B$26*'Вводные'!$V$88*'Вводные'!$B$30,0)</x:f>
      </x:c>
      <x:c r="DR43" s="117" t="n">
        <x:f>IF(AND(OR(DR38&gt;0,DR$3&lt;=$B$8),DR$3&gt;=$B$7,DR$3&lt;EDATE($B$8,'Вводные'!$H$88)),MAX(0,'Вводные'!$B$26*'Вводные'!$V$88-DR38)*'Вводные'!$B$29/12,0)+IF(AND(YEAR(DR$3)=YEAR($B$7),MONTH(DR$3)=MONTH($B$7)),'Вводные'!$B$26*'Вводные'!$V$88*'Вводные'!$B$30,0)</x:f>
      </x:c>
      <x:c r="DS43" s="117" t="n">
        <x:f>IF(AND(OR(DS38&gt;0,DS$3&lt;=$B$8),DS$3&gt;=$B$7,DS$3&lt;EDATE($B$8,'Вводные'!$H$88)),MAX(0,'Вводные'!$B$26*'Вводные'!$V$88-DS38)*'Вводные'!$B$29/12,0)+IF(AND(YEAR(DS$3)=YEAR($B$7),MONTH(DS$3)=MONTH($B$7)),'Вводные'!$B$26*'Вводные'!$V$88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MIN(MAX(0,'Вводные'!$B$24*'Вводные'!$U$89-D30),D33)</x:f>
      </x:c>
      <x:c r="E34" s="117" t="n">
        <x:f>MIN(MAX(0,'Вводные'!$B$24*'Вводные'!$U$89-E30),E33)</x:f>
      </x:c>
      <x:c r="F34" s="117" t="n">
        <x:f>MIN(MAX(0,'Вводные'!$B$24*'Вводные'!$U$89-F30),F33)</x:f>
      </x:c>
      <x:c r="G34" s="117" t="n">
        <x:f>MIN(MAX(0,'Вводные'!$B$24*'Вводные'!$U$89-G30),G33)</x:f>
      </x:c>
      <x:c r="H34" s="117" t="n">
        <x:f>MIN(MAX(0,'Вводные'!$B$24*'Вводные'!$U$89-H30),H33)</x:f>
      </x:c>
      <x:c r="I34" s="117" t="n">
        <x:f>MIN(MAX(0,'Вводные'!$B$24*'Вводные'!$U$89-I30),I33)</x:f>
      </x:c>
      <x:c r="J34" s="117" t="n">
        <x:f>MIN(MAX(0,'Вводные'!$B$24*'Вводные'!$U$89-J30),J33)</x:f>
      </x:c>
      <x:c r="K34" s="117" t="n">
        <x:f>MIN(MAX(0,'Вводные'!$B$24*'Вводные'!$U$89-K30),K33)</x:f>
      </x:c>
      <x:c r="L34" s="117" t="n">
        <x:f>MIN(MAX(0,'Вводные'!$B$24*'Вводные'!$U$89-L30),L33)</x:f>
      </x:c>
      <x:c r="M34" s="117" t="n">
        <x:f>MIN(MAX(0,'Вводные'!$B$24*'Вводные'!$U$89-M30),M33)</x:f>
      </x:c>
      <x:c r="N34" s="117" t="n">
        <x:f>MIN(MAX(0,'Вводные'!$B$24*'Вводные'!$U$89-N30),N33)</x:f>
      </x:c>
      <x:c r="O34" s="117" t="n">
        <x:f>MIN(MAX(0,'Вводные'!$B$24*'Вводные'!$U$89-O30),O33)</x:f>
      </x:c>
      <x:c r="P34" s="117" t="n">
        <x:f>MIN(MAX(0,'Вводные'!$B$24*'Вводные'!$U$89-P30),P33)</x:f>
      </x:c>
      <x:c r="Q34" s="117" t="n">
        <x:f>MIN(MAX(0,'Вводные'!$B$24*'Вводные'!$U$89-Q30),Q33)</x:f>
      </x:c>
      <x:c r="R34" s="117" t="n">
        <x:f>MIN(MAX(0,'Вводные'!$B$24*'Вводные'!$U$89-R30),R33)</x:f>
      </x:c>
      <x:c r="S34" s="117" t="n">
        <x:f>MIN(MAX(0,'Вводные'!$B$24*'Вводные'!$U$89-S30),S33)</x:f>
      </x:c>
      <x:c r="T34" s="117" t="n">
        <x:f>MIN(MAX(0,'Вводные'!$B$24*'Вводные'!$U$89-T30),T33)</x:f>
      </x:c>
      <x:c r="U34" s="117" t="n">
        <x:f>MIN(MAX(0,'Вводные'!$B$24*'Вводные'!$U$89-U30),U33)</x:f>
      </x:c>
      <x:c r="V34" s="117" t="n">
        <x:f>MIN(MAX(0,'Вводные'!$B$24*'Вводные'!$U$89-V30),V33)</x:f>
      </x:c>
      <x:c r="W34" s="117" t="n">
        <x:f>MIN(MAX(0,'Вводные'!$B$24*'Вводные'!$U$89-W30),W33)</x:f>
      </x:c>
      <x:c r="X34" s="117" t="n">
        <x:f>MIN(MAX(0,'Вводные'!$B$24*'Вводные'!$U$89-X30),X33)</x:f>
      </x:c>
      <x:c r="Y34" s="117" t="n">
        <x:f>MIN(MAX(0,'Вводные'!$B$24*'Вводные'!$U$89-Y30),Y33)</x:f>
      </x:c>
      <x:c r="Z34" s="117" t="n">
        <x:f>MIN(MAX(0,'Вводные'!$B$24*'Вводные'!$U$89-Z30),Z33)</x:f>
      </x:c>
      <x:c r="AA34" s="117" t="n">
        <x:f>MIN(MAX(0,'Вводные'!$B$24*'Вводные'!$U$89-AA30),AA33)</x:f>
      </x:c>
      <x:c r="AB34" s="117" t="n">
        <x:f>MIN(MAX(0,'Вводные'!$B$24*'Вводные'!$U$89-AB30),AB33)</x:f>
      </x:c>
      <x:c r="AC34" s="117" t="n">
        <x:f>MIN(MAX(0,'Вводные'!$B$24*'Вводные'!$U$89-AC30),AC33)</x:f>
      </x:c>
      <x:c r="AD34" s="117" t="n">
        <x:f>MIN(MAX(0,'Вводные'!$B$24*'Вводные'!$U$89-AD30),AD33)</x:f>
      </x:c>
      <x:c r="AE34" s="117" t="n">
        <x:f>MIN(MAX(0,'Вводные'!$B$24*'Вводные'!$U$89-AE30),AE33)</x:f>
      </x:c>
      <x:c r="AF34" s="117" t="n">
        <x:f>MIN(MAX(0,'Вводные'!$B$24*'Вводные'!$U$89-AF30),AF33)</x:f>
      </x:c>
      <x:c r="AG34" s="117" t="n">
        <x:f>MIN(MAX(0,'Вводные'!$B$24*'Вводные'!$U$89-AG30),AG33)</x:f>
      </x:c>
      <x:c r="AH34" s="117" t="n">
        <x:f>MIN(MAX(0,'Вводные'!$B$24*'Вводные'!$U$89-AH30),AH33)</x:f>
      </x:c>
      <x:c r="AI34" s="117" t="n">
        <x:f>MIN(MAX(0,'Вводные'!$B$24*'Вводные'!$U$89-AI30),AI33)</x:f>
      </x:c>
      <x:c r="AJ34" s="117" t="n">
        <x:f>MIN(MAX(0,'Вводные'!$B$24*'Вводные'!$U$89-AJ30),AJ33)</x:f>
      </x:c>
      <x:c r="AK34" s="117" t="n">
        <x:f>MIN(MAX(0,'Вводные'!$B$24*'Вводные'!$U$89-AK30),AK33)</x:f>
      </x:c>
      <x:c r="AL34" s="117" t="n">
        <x:f>MIN(MAX(0,'Вводные'!$B$24*'Вводные'!$U$89-AL30),AL33)</x:f>
      </x:c>
      <x:c r="AM34" s="117" t="n">
        <x:f>MIN(MAX(0,'Вводные'!$B$24*'Вводные'!$U$89-AM30),AM33)</x:f>
      </x:c>
      <x:c r="AN34" s="117" t="n">
        <x:f>MIN(MAX(0,'Вводные'!$B$24*'Вводные'!$U$89-AN30),AN33)</x:f>
      </x:c>
      <x:c r="AO34" s="117" t="n">
        <x:f>MIN(MAX(0,'Вводные'!$B$24*'Вводные'!$U$89-AO30),AO33)</x:f>
      </x:c>
      <x:c r="AP34" s="117" t="n">
        <x:f>MIN(MAX(0,'Вводные'!$B$24*'Вводные'!$U$89-AP30),AP33)</x:f>
      </x:c>
      <x:c r="AQ34" s="117" t="n">
        <x:f>MIN(MAX(0,'Вводные'!$B$24*'Вводные'!$U$89-AQ30),AQ33)</x:f>
      </x:c>
      <x:c r="AR34" s="117" t="n">
        <x:f>MIN(MAX(0,'Вводные'!$B$24*'Вводные'!$U$89-AR30),AR33)</x:f>
      </x:c>
      <x:c r="AS34" s="117" t="n">
        <x:f>MIN(MAX(0,'Вводные'!$B$24*'Вводные'!$U$89-AS30),AS33)</x:f>
      </x:c>
      <x:c r="AT34" s="117" t="n">
        <x:f>MIN(MAX(0,'Вводные'!$B$24*'Вводные'!$U$89-AT30),AT33)</x:f>
      </x:c>
      <x:c r="AU34" s="117" t="n">
        <x:f>MIN(MAX(0,'Вводные'!$B$24*'Вводные'!$U$89-AU30),AU33)</x:f>
      </x:c>
      <x:c r="AV34" s="117" t="n">
        <x:f>MIN(MAX(0,'Вводные'!$B$24*'Вводные'!$U$89-AV30),AV33)</x:f>
      </x:c>
      <x:c r="AW34" s="117" t="n">
        <x:f>MIN(MAX(0,'Вводные'!$B$24*'Вводные'!$U$89-AW30),AW33)</x:f>
      </x:c>
      <x:c r="AX34" s="117" t="n">
        <x:f>MIN(MAX(0,'Вводные'!$B$24*'Вводные'!$U$89-AX30),AX33)</x:f>
      </x:c>
      <x:c r="AY34" s="117" t="n">
        <x:f>MIN(MAX(0,'Вводные'!$B$24*'Вводные'!$U$89-AY30),AY33)</x:f>
      </x:c>
      <x:c r="AZ34" s="117" t="n">
        <x:f>MIN(MAX(0,'Вводные'!$B$24*'Вводные'!$U$89-AZ30),AZ33)</x:f>
      </x:c>
      <x:c r="BA34" s="117" t="n">
        <x:f>MIN(MAX(0,'Вводные'!$B$24*'Вводные'!$U$89-BA30),BA33)</x:f>
      </x:c>
      <x:c r="BB34" s="117" t="n">
        <x:f>MIN(MAX(0,'Вводные'!$B$24*'Вводные'!$U$89-BB30),BB33)</x:f>
      </x:c>
      <x:c r="BC34" s="117" t="n">
        <x:f>MIN(MAX(0,'Вводные'!$B$24*'Вводные'!$U$89-BC30),BC33)</x:f>
      </x:c>
      <x:c r="BD34" s="117" t="n">
        <x:f>MIN(MAX(0,'Вводные'!$B$24*'Вводные'!$U$89-BD30),BD33)</x:f>
      </x:c>
      <x:c r="BE34" s="117" t="n">
        <x:f>MIN(MAX(0,'Вводные'!$B$24*'Вводные'!$U$89-BE30),BE33)</x:f>
      </x:c>
      <x:c r="BF34" s="117" t="n">
        <x:f>MIN(MAX(0,'Вводные'!$B$24*'Вводные'!$U$89-BF30),BF33)</x:f>
      </x:c>
      <x:c r="BG34" s="117" t="n">
        <x:f>MIN(MAX(0,'Вводные'!$B$24*'Вводные'!$U$89-BG30),BG33)</x:f>
      </x:c>
      <x:c r="BH34" s="117" t="n">
        <x:f>MIN(MAX(0,'Вводные'!$B$24*'Вводные'!$U$89-BH30),BH33)</x:f>
      </x:c>
      <x:c r="BI34" s="117" t="n">
        <x:f>MIN(MAX(0,'Вводные'!$B$24*'Вводные'!$U$89-BI30),BI33)</x:f>
      </x:c>
      <x:c r="BJ34" s="117" t="n">
        <x:f>MIN(MAX(0,'Вводные'!$B$24*'Вводные'!$U$89-BJ30),BJ33)</x:f>
      </x:c>
      <x:c r="BK34" s="117" t="n">
        <x:f>MIN(MAX(0,'Вводные'!$B$24*'Вводные'!$U$89-BK30),BK33)</x:f>
      </x:c>
      <x:c r="BL34" s="117" t="n">
        <x:f>MIN(MAX(0,'Вводные'!$B$24*'Вводные'!$U$89-BL30),BL33)</x:f>
      </x:c>
      <x:c r="BM34" s="117" t="n">
        <x:f>MIN(MAX(0,'Вводные'!$B$24*'Вводные'!$U$89-BM30),BM33)</x:f>
      </x:c>
      <x:c r="BN34" s="117" t="n">
        <x:f>MIN(MAX(0,'Вводные'!$B$24*'Вводные'!$U$89-BN30),BN33)</x:f>
      </x:c>
      <x:c r="BO34" s="117" t="n">
        <x:f>MIN(MAX(0,'Вводные'!$B$24*'Вводные'!$U$89-BO30),BO33)</x:f>
      </x:c>
      <x:c r="BP34" s="117" t="n">
        <x:f>MIN(MAX(0,'Вводные'!$B$24*'Вводные'!$U$89-BP30),BP33)</x:f>
      </x:c>
      <x:c r="BQ34" s="117" t="n">
        <x:f>MIN(MAX(0,'Вводные'!$B$24*'Вводные'!$U$89-BQ30),BQ33)</x:f>
      </x:c>
      <x:c r="BR34" s="117" t="n">
        <x:f>MIN(MAX(0,'Вводные'!$B$24*'Вводные'!$U$89-BR30),BR33)</x:f>
      </x:c>
      <x:c r="BS34" s="117" t="n">
        <x:f>MIN(MAX(0,'Вводные'!$B$24*'Вводные'!$U$89-BS30),BS33)</x:f>
      </x:c>
      <x:c r="BT34" s="117" t="n">
        <x:f>MIN(MAX(0,'Вводные'!$B$24*'Вводные'!$U$89-BT30),BT33)</x:f>
      </x:c>
      <x:c r="BU34" s="117" t="n">
        <x:f>MIN(MAX(0,'Вводные'!$B$24*'Вводные'!$U$89-BU30),BU33)</x:f>
      </x:c>
      <x:c r="BV34" s="117" t="n">
        <x:f>MIN(MAX(0,'Вводные'!$B$24*'Вводные'!$U$89-BV30),BV33)</x:f>
      </x:c>
      <x:c r="BW34" s="117" t="n">
        <x:f>MIN(MAX(0,'Вводные'!$B$24*'Вводные'!$U$89-BW30),BW33)</x:f>
      </x:c>
      <x:c r="BX34" s="117" t="n">
        <x:f>MIN(MAX(0,'Вводные'!$B$24*'Вводные'!$U$89-BX30),BX33)</x:f>
      </x:c>
      <x:c r="BY34" s="117" t="n">
        <x:f>MIN(MAX(0,'Вводные'!$B$24*'Вводные'!$U$89-BY30),BY33)</x:f>
      </x:c>
      <x:c r="BZ34" s="117" t="n">
        <x:f>MIN(MAX(0,'Вводные'!$B$24*'Вводные'!$U$89-BZ30),BZ33)</x:f>
      </x:c>
      <x:c r="CA34" s="117" t="n">
        <x:f>MIN(MAX(0,'Вводные'!$B$24*'Вводные'!$U$89-CA30),CA33)</x:f>
      </x:c>
      <x:c r="CB34" s="117" t="n">
        <x:f>MIN(MAX(0,'Вводные'!$B$24*'Вводные'!$U$89-CB30),CB33)</x:f>
      </x:c>
      <x:c r="CC34" s="117" t="n">
        <x:f>MIN(MAX(0,'Вводные'!$B$24*'Вводные'!$U$89-CC30),CC33)</x:f>
      </x:c>
      <x:c r="CD34" s="117" t="n">
        <x:f>MIN(MAX(0,'Вводные'!$B$24*'Вводные'!$U$89-CD30),CD33)</x:f>
      </x:c>
      <x:c r="CE34" s="117" t="n">
        <x:f>MIN(MAX(0,'Вводные'!$B$24*'Вводные'!$U$89-CE30),CE33)</x:f>
      </x:c>
      <x:c r="CF34" s="117" t="n">
        <x:f>MIN(MAX(0,'Вводные'!$B$24*'Вводные'!$U$89-CF30),CF33)</x:f>
      </x:c>
      <x:c r="CG34" s="117" t="n">
        <x:f>MIN(MAX(0,'Вводные'!$B$24*'Вводные'!$U$89-CG30),CG33)</x:f>
      </x:c>
      <x:c r="CH34" s="117" t="n">
        <x:f>MIN(MAX(0,'Вводные'!$B$24*'Вводные'!$U$89-CH30),CH33)</x:f>
      </x:c>
      <x:c r="CI34" s="117" t="n">
        <x:f>MIN(MAX(0,'Вводные'!$B$24*'Вводные'!$U$89-CI30),CI33)</x:f>
      </x:c>
      <x:c r="CJ34" s="117" t="n">
        <x:f>MIN(MAX(0,'Вводные'!$B$24*'Вводные'!$U$89-CJ30),CJ33)</x:f>
      </x:c>
      <x:c r="CK34" s="117" t="n">
        <x:f>MIN(MAX(0,'Вводные'!$B$24*'Вводные'!$U$89-CK30),CK33)</x:f>
      </x:c>
      <x:c r="CL34" s="117" t="n">
        <x:f>MIN(MAX(0,'Вводные'!$B$24*'Вводные'!$U$89-CL30),CL33)</x:f>
      </x:c>
      <x:c r="CM34" s="117" t="n">
        <x:f>MIN(MAX(0,'Вводные'!$B$24*'Вводные'!$U$89-CM30),CM33)</x:f>
      </x:c>
      <x:c r="CN34" s="117" t="n">
        <x:f>MIN(MAX(0,'Вводные'!$B$24*'Вводные'!$U$89-CN30),CN33)</x:f>
      </x:c>
      <x:c r="CO34" s="117" t="n">
        <x:f>MIN(MAX(0,'Вводные'!$B$24*'Вводные'!$U$89-CO30),CO33)</x:f>
      </x:c>
      <x:c r="CP34" s="117" t="n">
        <x:f>MIN(MAX(0,'Вводные'!$B$24*'Вводные'!$U$89-CP30),CP33)</x:f>
      </x:c>
      <x:c r="CQ34" s="117" t="n">
        <x:f>MIN(MAX(0,'Вводные'!$B$24*'Вводные'!$U$89-CQ30),CQ33)</x:f>
      </x:c>
      <x:c r="CR34" s="117" t="n">
        <x:f>MIN(MAX(0,'Вводные'!$B$24*'Вводные'!$U$89-CR30),CR33)</x:f>
      </x:c>
      <x:c r="CS34" s="117" t="n">
        <x:f>MIN(MAX(0,'Вводные'!$B$24*'Вводные'!$U$89-CS30),CS33)</x:f>
      </x:c>
      <x:c r="CT34" s="117" t="n">
        <x:f>MIN(MAX(0,'Вводные'!$B$24*'Вводные'!$U$89-CT30),CT33)</x:f>
      </x:c>
      <x:c r="CU34" s="117" t="n">
        <x:f>MIN(MAX(0,'Вводные'!$B$24*'Вводные'!$U$89-CU30),CU33)</x:f>
      </x:c>
      <x:c r="CV34" s="117" t="n">
        <x:f>MIN(MAX(0,'Вводные'!$B$24*'Вводные'!$U$89-CV30),CV33)</x:f>
      </x:c>
      <x:c r="CW34" s="117" t="n">
        <x:f>MIN(MAX(0,'Вводные'!$B$24*'Вводные'!$U$89-CW30),CW33)</x:f>
      </x:c>
      <x:c r="CX34" s="117" t="n">
        <x:f>MIN(MAX(0,'Вводные'!$B$24*'Вводные'!$U$89-CX30),CX33)</x:f>
      </x:c>
      <x:c r="CY34" s="117" t="n">
        <x:f>MIN(MAX(0,'Вводные'!$B$24*'Вводные'!$U$89-CY30),CY33)</x:f>
      </x:c>
      <x:c r="CZ34" s="117" t="n">
        <x:f>MIN(MAX(0,'Вводные'!$B$24*'Вводные'!$U$89-CZ30),CZ33)</x:f>
      </x:c>
      <x:c r="DA34" s="117" t="n">
        <x:f>MIN(MAX(0,'Вводные'!$B$24*'Вводные'!$U$89-DA30),DA33)</x:f>
      </x:c>
      <x:c r="DB34" s="117" t="n">
        <x:f>MIN(MAX(0,'Вводные'!$B$24*'Вводные'!$U$89-DB30),DB33)</x:f>
      </x:c>
      <x:c r="DC34" s="117" t="n">
        <x:f>MIN(MAX(0,'Вводные'!$B$24*'Вводные'!$U$89-DC30),DC33)</x:f>
      </x:c>
      <x:c r="DD34" s="117" t="n">
        <x:f>MIN(MAX(0,'Вводные'!$B$24*'Вводные'!$U$89-DD30),DD33)</x:f>
      </x:c>
      <x:c r="DE34" s="117" t="n">
        <x:f>MIN(MAX(0,'Вводные'!$B$24*'Вводные'!$U$89-DE30),DE33)</x:f>
      </x:c>
      <x:c r="DF34" s="117" t="n">
        <x:f>MIN(MAX(0,'Вводные'!$B$24*'Вводные'!$U$89-DF30),DF33)</x:f>
      </x:c>
      <x:c r="DG34" s="117" t="n">
        <x:f>MIN(MAX(0,'Вводные'!$B$24*'Вводные'!$U$89-DG30),DG33)</x:f>
      </x:c>
      <x:c r="DH34" s="117" t="n">
        <x:f>MIN(MAX(0,'Вводные'!$B$24*'Вводные'!$U$89-DH30),DH33)</x:f>
      </x:c>
      <x:c r="DI34" s="117" t="n">
        <x:f>MIN(MAX(0,'Вводные'!$B$24*'Вводные'!$U$89-DI30),DI33)</x:f>
      </x:c>
      <x:c r="DJ34" s="117" t="n">
        <x:f>MIN(MAX(0,'Вводные'!$B$24*'Вводные'!$U$89-DJ30),DJ33)</x:f>
      </x:c>
      <x:c r="DK34" s="117" t="n">
        <x:f>MIN(MAX(0,'Вводные'!$B$24*'Вводные'!$U$89-DK30),DK33)</x:f>
      </x:c>
      <x:c r="DL34" s="117" t="n">
        <x:f>MIN(MAX(0,'Вводные'!$B$24*'Вводные'!$U$89-DL30),DL33)</x:f>
      </x:c>
      <x:c r="DM34" s="117" t="n">
        <x:f>MIN(MAX(0,'Вводные'!$B$24*'Вводные'!$U$89-DM30),DM33)</x:f>
      </x:c>
      <x:c r="DN34" s="117" t="n">
        <x:f>MIN(MAX(0,'Вводные'!$B$24*'Вводные'!$U$89-DN30),DN33)</x:f>
      </x:c>
      <x:c r="DO34" s="117" t="n">
        <x:f>MIN(MAX(0,'Вводные'!$B$24*'Вводные'!$U$89-DO30),DO33)</x:f>
      </x:c>
      <x:c r="DP34" s="117" t="n">
        <x:f>MIN(MAX(0,'Вводные'!$B$24*'Вводные'!$U$89-DP30),DP33)</x:f>
      </x:c>
      <x:c r="DQ34" s="117" t="n">
        <x:f>MIN(MAX(0,'Вводные'!$B$24*'Вводные'!$U$89-DQ30),DQ33)</x:f>
      </x:c>
      <x:c r="DR34" s="117" t="n">
        <x:f>MIN(MAX(0,'Вводные'!$B$24*'Вводные'!$U$89-DR30),DR33)</x:f>
      </x:c>
      <x:c r="DS34" s="117" t="n">
        <x:f>MIN(MAX(0,'Вводные'!$B$24*'Вводные'!$U$89-DS30),DS33)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IF(AND(D38&gt;0,D$3&lt;EDATE($B$8,'Вводные'!$H$89)),D38*D41/12,0)</x:f>
      </x:c>
      <x:c r="E42" s="117" t="n">
        <x:f>IF(AND(E38&gt;0,E$3&lt;EDATE($B$8,'Вводные'!$H$89)),E38*E41/12,0)</x:f>
      </x:c>
      <x:c r="F42" s="117" t="n">
        <x:f>IF(AND(F38&gt;0,F$3&lt;EDATE($B$8,'Вводные'!$H$89)),F38*F41/12,0)</x:f>
      </x:c>
      <x:c r="G42" s="117" t="n">
        <x:f>IF(AND(G38&gt;0,G$3&lt;EDATE($B$8,'Вводные'!$H$89)),G38*G41/12,0)</x:f>
      </x:c>
      <x:c r="H42" s="117" t="n">
        <x:f>IF(AND(H38&gt;0,H$3&lt;EDATE($B$8,'Вводные'!$H$89)),H38*H41/12,0)</x:f>
      </x:c>
      <x:c r="I42" s="117" t="n">
        <x:f>IF(AND(I38&gt;0,I$3&lt;EDATE($B$8,'Вводные'!$H$89)),I38*I41/12,0)</x:f>
      </x:c>
      <x:c r="J42" s="117" t="n">
        <x:f>IF(AND(J38&gt;0,J$3&lt;EDATE($B$8,'Вводные'!$H$89)),J38*J41/12,0)</x:f>
      </x:c>
      <x:c r="K42" s="117" t="n">
        <x:f>IF(AND(K38&gt;0,K$3&lt;EDATE($B$8,'Вводные'!$H$89)),K38*K41/12,0)</x:f>
      </x:c>
      <x:c r="L42" s="117" t="n">
        <x:f>IF(AND(L38&gt;0,L$3&lt;EDATE($B$8,'Вводные'!$H$89)),L38*L41/12,0)</x:f>
      </x:c>
      <x:c r="M42" s="117" t="n">
        <x:f>IF(AND(M38&gt;0,M$3&lt;EDATE($B$8,'Вводные'!$H$89)),M38*M41/12,0)</x:f>
      </x:c>
      <x:c r="N42" s="117" t="n">
        <x:f>IF(AND(N38&gt;0,N$3&lt;EDATE($B$8,'Вводные'!$H$89)),N38*N41/12,0)</x:f>
      </x:c>
      <x:c r="O42" s="117" t="n">
        <x:f>IF(AND(O38&gt;0,O$3&lt;EDATE($B$8,'Вводные'!$H$89)),O38*O41/12,0)</x:f>
      </x:c>
      <x:c r="P42" s="117" t="n">
        <x:f>IF(AND(P38&gt;0,P$3&lt;EDATE($B$8,'Вводные'!$H$89)),P38*P41/12,0)</x:f>
      </x:c>
      <x:c r="Q42" s="117" t="n">
        <x:f>IF(AND(Q38&gt;0,Q$3&lt;EDATE($B$8,'Вводные'!$H$89)),Q38*Q41/12,0)</x:f>
      </x:c>
      <x:c r="R42" s="117" t="n">
        <x:f>IF(AND(R38&gt;0,R$3&lt;EDATE($B$8,'Вводные'!$H$89)),R38*R41/12,0)</x:f>
      </x:c>
      <x:c r="S42" s="117" t="n">
        <x:f>IF(AND(S38&gt;0,S$3&lt;EDATE($B$8,'Вводные'!$H$89)),S38*S41/12,0)</x:f>
      </x:c>
      <x:c r="T42" s="117" t="n">
        <x:f>IF(AND(T38&gt;0,T$3&lt;EDATE($B$8,'Вводные'!$H$89)),T38*T41/12,0)</x:f>
      </x:c>
      <x:c r="U42" s="117" t="n">
        <x:f>IF(AND(U38&gt;0,U$3&lt;EDATE($B$8,'Вводные'!$H$89)),U38*U41/12,0)</x:f>
      </x:c>
      <x:c r="V42" s="117" t="n">
        <x:f>IF(AND(V38&gt;0,V$3&lt;EDATE($B$8,'Вводные'!$H$89)),V38*V41/12,0)</x:f>
      </x:c>
      <x:c r="W42" s="117" t="n">
        <x:f>IF(AND(W38&gt;0,W$3&lt;EDATE($B$8,'Вводные'!$H$89)),W38*W41/12,0)</x:f>
      </x:c>
      <x:c r="X42" s="117" t="n">
        <x:f>IF(AND(X38&gt;0,X$3&lt;EDATE($B$8,'Вводные'!$H$89)),X38*X41/12,0)</x:f>
      </x:c>
      <x:c r="Y42" s="117" t="n">
        <x:f>IF(AND(Y38&gt;0,Y$3&lt;EDATE($B$8,'Вводные'!$H$89)),Y38*Y41/12,0)</x:f>
      </x:c>
      <x:c r="Z42" s="117" t="n">
        <x:f>IF(AND(Z38&gt;0,Z$3&lt;EDATE($B$8,'Вводные'!$H$89)),Z38*Z41/12,0)</x:f>
      </x:c>
      <x:c r="AA42" s="117" t="n">
        <x:f>IF(AND(AA38&gt;0,AA$3&lt;EDATE($B$8,'Вводные'!$H$89)),AA38*AA41/12,0)</x:f>
      </x:c>
      <x:c r="AB42" s="117" t="n">
        <x:f>IF(AND(AB38&gt;0,AB$3&lt;EDATE($B$8,'Вводные'!$H$89)),AB38*AB41/12,0)</x:f>
      </x:c>
      <x:c r="AC42" s="117" t="n">
        <x:f>IF(AND(AC38&gt;0,AC$3&lt;EDATE($B$8,'Вводные'!$H$89)),AC38*AC41/12,0)</x:f>
      </x:c>
      <x:c r="AD42" s="117" t="n">
        <x:f>IF(AND(AD38&gt;0,AD$3&lt;EDATE($B$8,'Вводные'!$H$89)),AD38*AD41/12,0)</x:f>
      </x:c>
      <x:c r="AE42" s="117" t="n">
        <x:f>IF(AND(AE38&gt;0,AE$3&lt;EDATE($B$8,'Вводные'!$H$89)),AE38*AE41/12,0)</x:f>
      </x:c>
      <x:c r="AF42" s="117" t="n">
        <x:f>IF(AND(AF38&gt;0,AF$3&lt;EDATE($B$8,'Вводные'!$H$89)),AF38*AF41/12,0)</x:f>
      </x:c>
      <x:c r="AG42" s="117" t="n">
        <x:f>IF(AND(AG38&gt;0,AG$3&lt;EDATE($B$8,'Вводные'!$H$89)),AG38*AG41/12,0)</x:f>
      </x:c>
      <x:c r="AH42" s="117" t="n">
        <x:f>IF(AND(AH38&gt;0,AH$3&lt;EDATE($B$8,'Вводные'!$H$89)),AH38*AH41/12,0)</x:f>
      </x:c>
      <x:c r="AI42" s="117" t="n">
        <x:f>IF(AND(AI38&gt;0,AI$3&lt;EDATE($B$8,'Вводные'!$H$89)),AI38*AI41/12,0)</x:f>
      </x:c>
      <x:c r="AJ42" s="117" t="n">
        <x:f>IF(AND(AJ38&gt;0,AJ$3&lt;EDATE($B$8,'Вводные'!$H$89)),AJ38*AJ41/12,0)</x:f>
      </x:c>
      <x:c r="AK42" s="117" t="n">
        <x:f>IF(AND(AK38&gt;0,AK$3&lt;EDATE($B$8,'Вводные'!$H$89)),AK38*AK41/12,0)</x:f>
      </x:c>
      <x:c r="AL42" s="117" t="n">
        <x:f>IF(AND(AL38&gt;0,AL$3&lt;EDATE($B$8,'Вводные'!$H$89)),AL38*AL41/12,0)</x:f>
      </x:c>
      <x:c r="AM42" s="117" t="n">
        <x:f>IF(AND(AM38&gt;0,AM$3&lt;EDATE($B$8,'Вводные'!$H$89)),AM38*AM41/12,0)</x:f>
      </x:c>
      <x:c r="AN42" s="117" t="n">
        <x:f>IF(AND(AN38&gt;0,AN$3&lt;EDATE($B$8,'Вводные'!$H$89)),AN38*AN41/12,0)</x:f>
      </x:c>
      <x:c r="AO42" s="117" t="n">
        <x:f>IF(AND(AO38&gt;0,AO$3&lt;EDATE($B$8,'Вводные'!$H$89)),AO38*AO41/12,0)</x:f>
      </x:c>
      <x:c r="AP42" s="117" t="n">
        <x:f>IF(AND(AP38&gt;0,AP$3&lt;EDATE($B$8,'Вводные'!$H$89)),AP38*AP41/12,0)</x:f>
      </x:c>
      <x:c r="AQ42" s="117" t="n">
        <x:f>IF(AND(AQ38&gt;0,AQ$3&lt;EDATE($B$8,'Вводные'!$H$89)),AQ38*AQ41/12,0)</x:f>
      </x:c>
      <x:c r="AR42" s="117" t="n">
        <x:f>IF(AND(AR38&gt;0,AR$3&lt;EDATE($B$8,'Вводные'!$H$89)),AR38*AR41/12,0)</x:f>
      </x:c>
      <x:c r="AS42" s="117" t="n">
        <x:f>IF(AND(AS38&gt;0,AS$3&lt;EDATE($B$8,'Вводные'!$H$89)),AS38*AS41/12,0)</x:f>
      </x:c>
      <x:c r="AT42" s="117" t="n">
        <x:f>IF(AND(AT38&gt;0,AT$3&lt;EDATE($B$8,'Вводные'!$H$89)),AT38*AT41/12,0)</x:f>
      </x:c>
      <x:c r="AU42" s="117" t="n">
        <x:f>IF(AND(AU38&gt;0,AU$3&lt;EDATE($B$8,'Вводные'!$H$89)),AU38*AU41/12,0)</x:f>
      </x:c>
      <x:c r="AV42" s="117" t="n">
        <x:f>IF(AND(AV38&gt;0,AV$3&lt;EDATE($B$8,'Вводные'!$H$89)),AV38*AV41/12,0)</x:f>
      </x:c>
      <x:c r="AW42" s="117" t="n">
        <x:f>IF(AND(AW38&gt;0,AW$3&lt;EDATE($B$8,'Вводные'!$H$89)),AW38*AW41/12,0)</x:f>
      </x:c>
      <x:c r="AX42" s="117" t="n">
        <x:f>IF(AND(AX38&gt;0,AX$3&lt;EDATE($B$8,'Вводные'!$H$89)),AX38*AX41/12,0)</x:f>
      </x:c>
      <x:c r="AY42" s="117" t="n">
        <x:f>IF(AND(AY38&gt;0,AY$3&lt;EDATE($B$8,'Вводные'!$H$89)),AY38*AY41/12,0)</x:f>
      </x:c>
      <x:c r="AZ42" s="117" t="n">
        <x:f>IF(AND(AZ38&gt;0,AZ$3&lt;EDATE($B$8,'Вводные'!$H$89)),AZ38*AZ41/12,0)</x:f>
      </x:c>
      <x:c r="BA42" s="117" t="n">
        <x:f>IF(AND(BA38&gt;0,BA$3&lt;EDATE($B$8,'Вводные'!$H$89)),BA38*BA41/12,0)</x:f>
      </x:c>
      <x:c r="BB42" s="117" t="n">
        <x:f>IF(AND(BB38&gt;0,BB$3&lt;EDATE($B$8,'Вводные'!$H$89)),BB38*BB41/12,0)</x:f>
      </x:c>
      <x:c r="BC42" s="117" t="n">
        <x:f>IF(AND(BC38&gt;0,BC$3&lt;EDATE($B$8,'Вводные'!$H$89)),BC38*BC41/12,0)</x:f>
      </x:c>
      <x:c r="BD42" s="117" t="n">
        <x:f>IF(AND(BD38&gt;0,BD$3&lt;EDATE($B$8,'Вводные'!$H$89)),BD38*BD41/12,0)</x:f>
      </x:c>
      <x:c r="BE42" s="117" t="n">
        <x:f>IF(AND(BE38&gt;0,BE$3&lt;EDATE($B$8,'Вводные'!$H$89)),BE38*BE41/12,0)</x:f>
      </x:c>
      <x:c r="BF42" s="117" t="n">
        <x:f>IF(AND(BF38&gt;0,BF$3&lt;EDATE($B$8,'Вводные'!$H$89)),BF38*BF41/12,0)</x:f>
      </x:c>
      <x:c r="BG42" s="117" t="n">
        <x:f>IF(AND(BG38&gt;0,BG$3&lt;EDATE($B$8,'Вводные'!$H$89)),BG38*BG41/12,0)</x:f>
      </x:c>
      <x:c r="BH42" s="117" t="n">
        <x:f>IF(AND(BH38&gt;0,BH$3&lt;EDATE($B$8,'Вводные'!$H$89)),BH38*BH41/12,0)</x:f>
      </x:c>
      <x:c r="BI42" s="117" t="n">
        <x:f>IF(AND(BI38&gt;0,BI$3&lt;EDATE($B$8,'Вводные'!$H$89)),BI38*BI41/12,0)</x:f>
      </x:c>
      <x:c r="BJ42" s="117" t="n">
        <x:f>IF(AND(BJ38&gt;0,BJ$3&lt;EDATE($B$8,'Вводные'!$H$89)),BJ38*BJ41/12,0)</x:f>
      </x:c>
      <x:c r="BK42" s="117" t="n">
        <x:f>IF(AND(BK38&gt;0,BK$3&lt;EDATE($B$8,'Вводные'!$H$89)),BK38*BK41/12,0)</x:f>
      </x:c>
      <x:c r="BL42" s="117" t="n">
        <x:f>IF(AND(BL38&gt;0,BL$3&lt;EDATE($B$8,'Вводные'!$H$89)),BL38*BL41/12,0)</x:f>
      </x:c>
      <x:c r="BM42" s="117" t="n">
        <x:f>IF(AND(BM38&gt;0,BM$3&lt;EDATE($B$8,'Вводные'!$H$89)),BM38*BM41/12,0)</x:f>
      </x:c>
      <x:c r="BN42" s="117" t="n">
        <x:f>IF(AND(BN38&gt;0,BN$3&lt;EDATE($B$8,'Вводные'!$H$89)),BN38*BN41/12,0)</x:f>
      </x:c>
      <x:c r="BO42" s="117" t="n">
        <x:f>IF(AND(BO38&gt;0,BO$3&lt;EDATE($B$8,'Вводные'!$H$89)),BO38*BO41/12,0)</x:f>
      </x:c>
      <x:c r="BP42" s="117" t="n">
        <x:f>IF(AND(BP38&gt;0,BP$3&lt;EDATE($B$8,'Вводные'!$H$89)),BP38*BP41/12,0)</x:f>
      </x:c>
      <x:c r="BQ42" s="117" t="n">
        <x:f>IF(AND(BQ38&gt;0,BQ$3&lt;EDATE($B$8,'Вводные'!$H$89)),BQ38*BQ41/12,0)</x:f>
      </x:c>
      <x:c r="BR42" s="117" t="n">
        <x:f>IF(AND(BR38&gt;0,BR$3&lt;EDATE($B$8,'Вводные'!$H$89)),BR38*BR41/12,0)</x:f>
      </x:c>
      <x:c r="BS42" s="117" t="n">
        <x:f>IF(AND(BS38&gt;0,BS$3&lt;EDATE($B$8,'Вводные'!$H$89)),BS38*BS41/12,0)</x:f>
      </x:c>
      <x:c r="BT42" s="117" t="n">
        <x:f>IF(AND(BT38&gt;0,BT$3&lt;EDATE($B$8,'Вводные'!$H$89)),BT38*BT41/12,0)</x:f>
      </x:c>
      <x:c r="BU42" s="117" t="n">
        <x:f>IF(AND(BU38&gt;0,BU$3&lt;EDATE($B$8,'Вводные'!$H$89)),BU38*BU41/12,0)</x:f>
      </x:c>
      <x:c r="BV42" s="117" t="n">
        <x:f>IF(AND(BV38&gt;0,BV$3&lt;EDATE($B$8,'Вводные'!$H$89)),BV38*BV41/12,0)</x:f>
      </x:c>
      <x:c r="BW42" s="117" t="n">
        <x:f>IF(AND(BW38&gt;0,BW$3&lt;EDATE($B$8,'Вводные'!$H$89)),BW38*BW41/12,0)</x:f>
      </x:c>
      <x:c r="BX42" s="117" t="n">
        <x:f>IF(AND(BX38&gt;0,BX$3&lt;EDATE($B$8,'Вводные'!$H$89)),BX38*BX41/12,0)</x:f>
      </x:c>
      <x:c r="BY42" s="117" t="n">
        <x:f>IF(AND(BY38&gt;0,BY$3&lt;EDATE($B$8,'Вводные'!$H$89)),BY38*BY41/12,0)</x:f>
      </x:c>
      <x:c r="BZ42" s="117" t="n">
        <x:f>IF(AND(BZ38&gt;0,BZ$3&lt;EDATE($B$8,'Вводные'!$H$89)),BZ38*BZ41/12,0)</x:f>
      </x:c>
      <x:c r="CA42" s="117" t="n">
        <x:f>IF(AND(CA38&gt;0,CA$3&lt;EDATE($B$8,'Вводные'!$H$89)),CA38*CA41/12,0)</x:f>
      </x:c>
      <x:c r="CB42" s="117" t="n">
        <x:f>IF(AND(CB38&gt;0,CB$3&lt;EDATE($B$8,'Вводные'!$H$89)),CB38*CB41/12,0)</x:f>
      </x:c>
      <x:c r="CC42" s="117" t="n">
        <x:f>IF(AND(CC38&gt;0,CC$3&lt;EDATE($B$8,'Вводные'!$H$89)),CC38*CC41/12,0)</x:f>
      </x:c>
      <x:c r="CD42" s="117" t="n">
        <x:f>IF(AND(CD38&gt;0,CD$3&lt;EDATE($B$8,'Вводные'!$H$89)),CD38*CD41/12,0)</x:f>
      </x:c>
      <x:c r="CE42" s="117" t="n">
        <x:f>IF(AND(CE38&gt;0,CE$3&lt;EDATE($B$8,'Вводные'!$H$89)),CE38*CE41/12,0)</x:f>
      </x:c>
      <x:c r="CF42" s="117" t="n">
        <x:f>IF(AND(CF38&gt;0,CF$3&lt;EDATE($B$8,'Вводные'!$H$89)),CF38*CF41/12,0)</x:f>
      </x:c>
      <x:c r="CG42" s="117" t="n">
        <x:f>IF(AND(CG38&gt;0,CG$3&lt;EDATE($B$8,'Вводные'!$H$89)),CG38*CG41/12,0)</x:f>
      </x:c>
      <x:c r="CH42" s="117" t="n">
        <x:f>IF(AND(CH38&gt;0,CH$3&lt;EDATE($B$8,'Вводные'!$H$89)),CH38*CH41/12,0)</x:f>
      </x:c>
      <x:c r="CI42" s="117" t="n">
        <x:f>IF(AND(CI38&gt;0,CI$3&lt;EDATE($B$8,'Вводные'!$H$89)),CI38*CI41/12,0)</x:f>
      </x:c>
      <x:c r="CJ42" s="117" t="n">
        <x:f>IF(AND(CJ38&gt;0,CJ$3&lt;EDATE($B$8,'Вводные'!$H$89)),CJ38*CJ41/12,0)</x:f>
      </x:c>
      <x:c r="CK42" s="117" t="n">
        <x:f>IF(AND(CK38&gt;0,CK$3&lt;EDATE($B$8,'Вводные'!$H$89)),CK38*CK41/12,0)</x:f>
      </x:c>
      <x:c r="CL42" s="117" t="n">
        <x:f>IF(AND(CL38&gt;0,CL$3&lt;EDATE($B$8,'Вводные'!$H$89)),CL38*CL41/12,0)</x:f>
      </x:c>
      <x:c r="CM42" s="117" t="n">
        <x:f>IF(AND(CM38&gt;0,CM$3&lt;EDATE($B$8,'Вводные'!$H$89)),CM38*CM41/12,0)</x:f>
      </x:c>
      <x:c r="CN42" s="117" t="n">
        <x:f>IF(AND(CN38&gt;0,CN$3&lt;EDATE($B$8,'Вводные'!$H$89)),CN38*CN41/12,0)</x:f>
      </x:c>
      <x:c r="CO42" s="117" t="n">
        <x:f>IF(AND(CO38&gt;0,CO$3&lt;EDATE($B$8,'Вводные'!$H$89)),CO38*CO41/12,0)</x:f>
      </x:c>
      <x:c r="CP42" s="117" t="n">
        <x:f>IF(AND(CP38&gt;0,CP$3&lt;EDATE($B$8,'Вводные'!$H$89)),CP38*CP41/12,0)</x:f>
      </x:c>
      <x:c r="CQ42" s="117" t="n">
        <x:f>IF(AND(CQ38&gt;0,CQ$3&lt;EDATE($B$8,'Вводные'!$H$89)),CQ38*CQ41/12,0)</x:f>
      </x:c>
      <x:c r="CR42" s="117" t="n">
        <x:f>IF(AND(CR38&gt;0,CR$3&lt;EDATE($B$8,'Вводные'!$H$89)),CR38*CR41/12,0)</x:f>
      </x:c>
      <x:c r="CS42" s="117" t="n">
        <x:f>IF(AND(CS38&gt;0,CS$3&lt;EDATE($B$8,'Вводные'!$H$89)),CS38*CS41/12,0)</x:f>
      </x:c>
      <x:c r="CT42" s="117" t="n">
        <x:f>IF(AND(CT38&gt;0,CT$3&lt;EDATE($B$8,'Вводные'!$H$89)),CT38*CT41/12,0)</x:f>
      </x:c>
      <x:c r="CU42" s="117" t="n">
        <x:f>IF(AND(CU38&gt;0,CU$3&lt;EDATE($B$8,'Вводные'!$H$89)),CU38*CU41/12,0)</x:f>
      </x:c>
      <x:c r="CV42" s="117" t="n">
        <x:f>IF(AND(CV38&gt;0,CV$3&lt;EDATE($B$8,'Вводные'!$H$89)),CV38*CV41/12,0)</x:f>
      </x:c>
      <x:c r="CW42" s="117" t="n">
        <x:f>IF(AND(CW38&gt;0,CW$3&lt;EDATE($B$8,'Вводные'!$H$89)),CW38*CW41/12,0)</x:f>
      </x:c>
      <x:c r="CX42" s="117" t="n">
        <x:f>IF(AND(CX38&gt;0,CX$3&lt;EDATE($B$8,'Вводные'!$H$89)),CX38*CX41/12,0)</x:f>
      </x:c>
      <x:c r="CY42" s="117" t="n">
        <x:f>IF(AND(CY38&gt;0,CY$3&lt;EDATE($B$8,'Вводные'!$H$89)),CY38*CY41/12,0)</x:f>
      </x:c>
      <x:c r="CZ42" s="117" t="n">
        <x:f>IF(AND(CZ38&gt;0,CZ$3&lt;EDATE($B$8,'Вводные'!$H$89)),CZ38*CZ41/12,0)</x:f>
      </x:c>
      <x:c r="DA42" s="117" t="n">
        <x:f>IF(AND(DA38&gt;0,DA$3&lt;EDATE($B$8,'Вводные'!$H$89)),DA38*DA41/12,0)</x:f>
      </x:c>
      <x:c r="DB42" s="117" t="n">
        <x:f>IF(AND(DB38&gt;0,DB$3&lt;EDATE($B$8,'Вводные'!$H$89)),DB38*DB41/12,0)</x:f>
      </x:c>
      <x:c r="DC42" s="117" t="n">
        <x:f>IF(AND(DC38&gt;0,DC$3&lt;EDATE($B$8,'Вводные'!$H$89)),DC38*DC41/12,0)</x:f>
      </x:c>
      <x:c r="DD42" s="117" t="n">
        <x:f>IF(AND(DD38&gt;0,DD$3&lt;EDATE($B$8,'Вводные'!$H$89)),DD38*DD41/12,0)</x:f>
      </x:c>
      <x:c r="DE42" s="117" t="n">
        <x:f>IF(AND(DE38&gt;0,DE$3&lt;EDATE($B$8,'Вводные'!$H$89)),DE38*DE41/12,0)</x:f>
      </x:c>
      <x:c r="DF42" s="117" t="n">
        <x:f>IF(AND(DF38&gt;0,DF$3&lt;EDATE($B$8,'Вводные'!$H$89)),DF38*DF41/12,0)</x:f>
      </x:c>
      <x:c r="DG42" s="117" t="n">
        <x:f>IF(AND(DG38&gt;0,DG$3&lt;EDATE($B$8,'Вводные'!$H$89)),DG38*DG41/12,0)</x:f>
      </x:c>
      <x:c r="DH42" s="117" t="n">
        <x:f>IF(AND(DH38&gt;0,DH$3&lt;EDATE($B$8,'Вводные'!$H$89)),DH38*DH41/12,0)</x:f>
      </x:c>
      <x:c r="DI42" s="117" t="n">
        <x:f>IF(AND(DI38&gt;0,DI$3&lt;EDATE($B$8,'Вводные'!$H$89)),DI38*DI41/12,0)</x:f>
      </x:c>
      <x:c r="DJ42" s="117" t="n">
        <x:f>IF(AND(DJ38&gt;0,DJ$3&lt;EDATE($B$8,'Вводные'!$H$89)),DJ38*DJ41/12,0)</x:f>
      </x:c>
      <x:c r="DK42" s="117" t="n">
        <x:f>IF(AND(DK38&gt;0,DK$3&lt;EDATE($B$8,'Вводные'!$H$89)),DK38*DK41/12,0)</x:f>
      </x:c>
      <x:c r="DL42" s="117" t="n">
        <x:f>IF(AND(DL38&gt;0,DL$3&lt;EDATE($B$8,'Вводные'!$H$89)),DL38*DL41/12,0)</x:f>
      </x:c>
      <x:c r="DM42" s="117" t="n">
        <x:f>IF(AND(DM38&gt;0,DM$3&lt;EDATE($B$8,'Вводные'!$H$89)),DM38*DM41/12,0)</x:f>
      </x:c>
      <x:c r="DN42" s="117" t="n">
        <x:f>IF(AND(DN38&gt;0,DN$3&lt;EDATE($B$8,'Вводные'!$H$89)),DN38*DN41/12,0)</x:f>
      </x:c>
      <x:c r="DO42" s="117" t="n">
        <x:f>IF(AND(DO38&gt;0,DO$3&lt;EDATE($B$8,'Вводные'!$H$89)),DO38*DO41/12,0)</x:f>
      </x:c>
      <x:c r="DP42" s="117" t="n">
        <x:f>IF(AND(DP38&gt;0,DP$3&lt;EDATE($B$8,'Вводные'!$H$89)),DP38*DP41/12,0)</x:f>
      </x:c>
      <x:c r="DQ42" s="117" t="n">
        <x:f>IF(AND(DQ38&gt;0,DQ$3&lt;EDATE($B$8,'Вводные'!$H$89)),DQ38*DQ41/12,0)</x:f>
      </x:c>
      <x:c r="DR42" s="117" t="n">
        <x:f>IF(AND(DR38&gt;0,DR$3&lt;EDATE($B$8,'Вводные'!$H$89)),DR38*DR41/12,0)</x:f>
      </x:c>
      <x:c r="DS42" s="117" t="n">
        <x:f>IF(AND(DS38&gt;0,DS$3&lt;EDATE($B$8,'Вводные'!$H$89)),DS38*DS41/12,0)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$89)),MAX(0,'Вводные'!$B$26*'Вводные'!$V$89-D38)*'Вводные'!$B$29/12,0)+IF(AND(YEAR(D$3)=YEAR($B$7),MONTH(D$3)=MONTH($B$7)),'Вводные'!$B$26*'Вводные'!$V$89*'Вводные'!$B$30,0)</x:f>
      </x:c>
      <x:c r="E43" s="117" t="n">
        <x:f>IF(AND(OR(E38&gt;0,E$3&lt;=$B$8),E$3&gt;=$B$7,E$3&lt;EDATE($B$8,'Вводные'!$H$89)),MAX(0,'Вводные'!$B$26*'Вводные'!$V$89-E38)*'Вводные'!$B$29/12,0)+IF(AND(YEAR(E$3)=YEAR($B$7),MONTH(E$3)=MONTH($B$7)),'Вводные'!$B$26*'Вводные'!$V$89*'Вводные'!$B$30,0)</x:f>
      </x:c>
      <x:c r="F43" s="117" t="n">
        <x:f>IF(AND(OR(F38&gt;0,F$3&lt;=$B$8),F$3&gt;=$B$7,F$3&lt;EDATE($B$8,'Вводные'!$H$89)),MAX(0,'Вводные'!$B$26*'Вводные'!$V$89-F38)*'Вводные'!$B$29/12,0)+IF(AND(YEAR(F$3)=YEAR($B$7),MONTH(F$3)=MONTH($B$7)),'Вводные'!$B$26*'Вводные'!$V$89*'Вводные'!$B$30,0)</x:f>
      </x:c>
      <x:c r="G43" s="117" t="n">
        <x:f>IF(AND(OR(G38&gt;0,G$3&lt;=$B$8),G$3&gt;=$B$7,G$3&lt;EDATE($B$8,'Вводные'!$H$89)),MAX(0,'Вводные'!$B$26*'Вводные'!$V$89-G38)*'Вводные'!$B$29/12,0)+IF(AND(YEAR(G$3)=YEAR($B$7),MONTH(G$3)=MONTH($B$7)),'Вводные'!$B$26*'Вводные'!$V$89*'Вводные'!$B$30,0)</x:f>
      </x:c>
      <x:c r="H43" s="117" t="n">
        <x:f>IF(AND(OR(H38&gt;0,H$3&lt;=$B$8),H$3&gt;=$B$7,H$3&lt;EDATE($B$8,'Вводные'!$H$89)),MAX(0,'Вводные'!$B$26*'Вводные'!$V$89-H38)*'Вводные'!$B$29/12,0)+IF(AND(YEAR(H$3)=YEAR($B$7),MONTH(H$3)=MONTH($B$7)),'Вводные'!$B$26*'Вводные'!$V$89*'Вводные'!$B$30,0)</x:f>
      </x:c>
      <x:c r="I43" s="117" t="n">
        <x:f>IF(AND(OR(I38&gt;0,I$3&lt;=$B$8),I$3&gt;=$B$7,I$3&lt;EDATE($B$8,'Вводные'!$H$89)),MAX(0,'Вводные'!$B$26*'Вводные'!$V$89-I38)*'Вводные'!$B$29/12,0)+IF(AND(YEAR(I$3)=YEAR($B$7),MONTH(I$3)=MONTH($B$7)),'Вводные'!$B$26*'Вводные'!$V$89*'Вводные'!$B$30,0)</x:f>
      </x:c>
      <x:c r="J43" s="117" t="n">
        <x:f>IF(AND(OR(J38&gt;0,J$3&lt;=$B$8),J$3&gt;=$B$7,J$3&lt;EDATE($B$8,'Вводные'!$H$89)),MAX(0,'Вводные'!$B$26*'Вводные'!$V$89-J38)*'Вводные'!$B$29/12,0)+IF(AND(YEAR(J$3)=YEAR($B$7),MONTH(J$3)=MONTH($B$7)),'Вводные'!$B$26*'Вводные'!$V$89*'Вводные'!$B$30,0)</x:f>
      </x:c>
      <x:c r="K43" s="117" t="n">
        <x:f>IF(AND(OR(K38&gt;0,K$3&lt;=$B$8),K$3&gt;=$B$7,K$3&lt;EDATE($B$8,'Вводные'!$H$89)),MAX(0,'Вводные'!$B$26*'Вводные'!$V$89-K38)*'Вводные'!$B$29/12,0)+IF(AND(YEAR(K$3)=YEAR($B$7),MONTH(K$3)=MONTH($B$7)),'Вводные'!$B$26*'Вводные'!$V$89*'Вводные'!$B$30,0)</x:f>
      </x:c>
      <x:c r="L43" s="117" t="n">
        <x:f>IF(AND(OR(L38&gt;0,L$3&lt;=$B$8),L$3&gt;=$B$7,L$3&lt;EDATE($B$8,'Вводные'!$H$89)),MAX(0,'Вводные'!$B$26*'Вводные'!$V$89-L38)*'Вводные'!$B$29/12,0)+IF(AND(YEAR(L$3)=YEAR($B$7),MONTH(L$3)=MONTH($B$7)),'Вводные'!$B$26*'Вводные'!$V$89*'Вводные'!$B$30,0)</x:f>
      </x:c>
      <x:c r="M43" s="117" t="n">
        <x:f>IF(AND(OR(M38&gt;0,M$3&lt;=$B$8),M$3&gt;=$B$7,M$3&lt;EDATE($B$8,'Вводные'!$H$89)),MAX(0,'Вводные'!$B$26*'Вводные'!$V$89-M38)*'Вводные'!$B$29/12,0)+IF(AND(YEAR(M$3)=YEAR($B$7),MONTH(M$3)=MONTH($B$7)),'Вводные'!$B$26*'Вводные'!$V$89*'Вводные'!$B$30,0)</x:f>
      </x:c>
      <x:c r="N43" s="117" t="n">
        <x:f>IF(AND(OR(N38&gt;0,N$3&lt;=$B$8),N$3&gt;=$B$7,N$3&lt;EDATE($B$8,'Вводные'!$H$89)),MAX(0,'Вводные'!$B$26*'Вводные'!$V$89-N38)*'Вводные'!$B$29/12,0)+IF(AND(YEAR(N$3)=YEAR($B$7),MONTH(N$3)=MONTH($B$7)),'Вводные'!$B$26*'Вводные'!$V$89*'Вводные'!$B$30,0)</x:f>
      </x:c>
      <x:c r="O43" s="117" t="n">
        <x:f>IF(AND(OR(O38&gt;0,O$3&lt;=$B$8),O$3&gt;=$B$7,O$3&lt;EDATE($B$8,'Вводные'!$H$89)),MAX(0,'Вводные'!$B$26*'Вводные'!$V$89-O38)*'Вводные'!$B$29/12,0)+IF(AND(YEAR(O$3)=YEAR($B$7),MONTH(O$3)=MONTH($B$7)),'Вводные'!$B$26*'Вводные'!$V$89*'Вводные'!$B$30,0)</x:f>
      </x:c>
      <x:c r="P43" s="117" t="n">
        <x:f>IF(AND(OR(P38&gt;0,P$3&lt;=$B$8),P$3&gt;=$B$7,P$3&lt;EDATE($B$8,'Вводные'!$H$89)),MAX(0,'Вводные'!$B$26*'Вводные'!$V$89-P38)*'Вводные'!$B$29/12,0)+IF(AND(YEAR(P$3)=YEAR($B$7),MONTH(P$3)=MONTH($B$7)),'Вводные'!$B$26*'Вводные'!$V$89*'Вводные'!$B$30,0)</x:f>
      </x:c>
      <x:c r="Q43" s="117" t="n">
        <x:f>IF(AND(OR(Q38&gt;0,Q$3&lt;=$B$8),Q$3&gt;=$B$7,Q$3&lt;EDATE($B$8,'Вводные'!$H$89)),MAX(0,'Вводные'!$B$26*'Вводные'!$V$89-Q38)*'Вводные'!$B$29/12,0)+IF(AND(YEAR(Q$3)=YEAR($B$7),MONTH(Q$3)=MONTH($B$7)),'Вводные'!$B$26*'Вводные'!$V$89*'Вводные'!$B$30,0)</x:f>
      </x:c>
      <x:c r="R43" s="117" t="n">
        <x:f>IF(AND(OR(R38&gt;0,R$3&lt;=$B$8),R$3&gt;=$B$7,R$3&lt;EDATE($B$8,'Вводные'!$H$89)),MAX(0,'Вводные'!$B$26*'Вводные'!$V$89-R38)*'Вводные'!$B$29/12,0)+IF(AND(YEAR(R$3)=YEAR($B$7),MONTH(R$3)=MONTH($B$7)),'Вводные'!$B$26*'Вводные'!$V$89*'Вводные'!$B$30,0)</x:f>
      </x:c>
      <x:c r="S43" s="117" t="n">
        <x:f>IF(AND(OR(S38&gt;0,S$3&lt;=$B$8),S$3&gt;=$B$7,S$3&lt;EDATE($B$8,'Вводные'!$H$89)),MAX(0,'Вводные'!$B$26*'Вводные'!$V$89-S38)*'Вводные'!$B$29/12,0)+IF(AND(YEAR(S$3)=YEAR($B$7),MONTH(S$3)=MONTH($B$7)),'Вводные'!$B$26*'Вводные'!$V$89*'Вводные'!$B$30,0)</x:f>
      </x:c>
      <x:c r="T43" s="117" t="n">
        <x:f>IF(AND(OR(T38&gt;0,T$3&lt;=$B$8),T$3&gt;=$B$7,T$3&lt;EDATE($B$8,'Вводные'!$H$89)),MAX(0,'Вводные'!$B$26*'Вводные'!$V$89-T38)*'Вводные'!$B$29/12,0)+IF(AND(YEAR(T$3)=YEAR($B$7),MONTH(T$3)=MONTH($B$7)),'Вводные'!$B$26*'Вводные'!$V$89*'Вводные'!$B$30,0)</x:f>
      </x:c>
      <x:c r="U43" s="117" t="n">
        <x:f>IF(AND(OR(U38&gt;0,U$3&lt;=$B$8),U$3&gt;=$B$7,U$3&lt;EDATE($B$8,'Вводные'!$H$89)),MAX(0,'Вводные'!$B$26*'Вводные'!$V$89-U38)*'Вводные'!$B$29/12,0)+IF(AND(YEAR(U$3)=YEAR($B$7),MONTH(U$3)=MONTH($B$7)),'Вводные'!$B$26*'Вводные'!$V$89*'Вводные'!$B$30,0)</x:f>
      </x:c>
      <x:c r="V43" s="117" t="n">
        <x:f>IF(AND(OR(V38&gt;0,V$3&lt;=$B$8),V$3&gt;=$B$7,V$3&lt;EDATE($B$8,'Вводные'!$H$89)),MAX(0,'Вводные'!$B$26*'Вводные'!$V$89-V38)*'Вводные'!$B$29/12,0)+IF(AND(YEAR(V$3)=YEAR($B$7),MONTH(V$3)=MONTH($B$7)),'Вводные'!$B$26*'Вводные'!$V$89*'Вводные'!$B$30,0)</x:f>
      </x:c>
      <x:c r="W43" s="117" t="n">
        <x:f>IF(AND(OR(W38&gt;0,W$3&lt;=$B$8),W$3&gt;=$B$7,W$3&lt;EDATE($B$8,'Вводные'!$H$89)),MAX(0,'Вводные'!$B$26*'Вводные'!$V$89-W38)*'Вводные'!$B$29/12,0)+IF(AND(YEAR(W$3)=YEAR($B$7),MONTH(W$3)=MONTH($B$7)),'Вводные'!$B$26*'Вводные'!$V$89*'Вводные'!$B$30,0)</x:f>
      </x:c>
      <x:c r="X43" s="117" t="n">
        <x:f>IF(AND(OR(X38&gt;0,X$3&lt;=$B$8),X$3&gt;=$B$7,X$3&lt;EDATE($B$8,'Вводные'!$H$89)),MAX(0,'Вводные'!$B$26*'Вводные'!$V$89-X38)*'Вводные'!$B$29/12,0)+IF(AND(YEAR(X$3)=YEAR($B$7),MONTH(X$3)=MONTH($B$7)),'Вводные'!$B$26*'Вводные'!$V$89*'Вводные'!$B$30,0)</x:f>
      </x:c>
      <x:c r="Y43" s="117" t="n">
        <x:f>IF(AND(OR(Y38&gt;0,Y$3&lt;=$B$8),Y$3&gt;=$B$7,Y$3&lt;EDATE($B$8,'Вводные'!$H$89)),MAX(0,'Вводные'!$B$26*'Вводные'!$V$89-Y38)*'Вводные'!$B$29/12,0)+IF(AND(YEAR(Y$3)=YEAR($B$7),MONTH(Y$3)=MONTH($B$7)),'Вводные'!$B$26*'Вводные'!$V$89*'Вводные'!$B$30,0)</x:f>
      </x:c>
      <x:c r="Z43" s="117" t="n">
        <x:f>IF(AND(OR(Z38&gt;0,Z$3&lt;=$B$8),Z$3&gt;=$B$7,Z$3&lt;EDATE($B$8,'Вводные'!$H$89)),MAX(0,'Вводные'!$B$26*'Вводные'!$V$89-Z38)*'Вводные'!$B$29/12,0)+IF(AND(YEAR(Z$3)=YEAR($B$7),MONTH(Z$3)=MONTH($B$7)),'Вводные'!$B$26*'Вводные'!$V$89*'Вводные'!$B$30,0)</x:f>
      </x:c>
      <x:c r="AA43" s="117" t="n">
        <x:f>IF(AND(OR(AA38&gt;0,AA$3&lt;=$B$8),AA$3&gt;=$B$7,AA$3&lt;EDATE($B$8,'Вводные'!$H$89)),MAX(0,'Вводные'!$B$26*'Вводные'!$V$89-AA38)*'Вводные'!$B$29/12,0)+IF(AND(YEAR(AA$3)=YEAR($B$7),MONTH(AA$3)=MONTH($B$7)),'Вводные'!$B$26*'Вводные'!$V$89*'Вводные'!$B$30,0)</x:f>
      </x:c>
      <x:c r="AB43" s="117" t="n">
        <x:f>IF(AND(OR(AB38&gt;0,AB$3&lt;=$B$8),AB$3&gt;=$B$7,AB$3&lt;EDATE($B$8,'Вводные'!$H$89)),MAX(0,'Вводные'!$B$26*'Вводные'!$V$89-AB38)*'Вводные'!$B$29/12,0)+IF(AND(YEAR(AB$3)=YEAR($B$7),MONTH(AB$3)=MONTH($B$7)),'Вводные'!$B$26*'Вводные'!$V$89*'Вводные'!$B$30,0)</x:f>
      </x:c>
      <x:c r="AC43" s="117" t="n">
        <x:f>IF(AND(OR(AC38&gt;0,AC$3&lt;=$B$8),AC$3&gt;=$B$7,AC$3&lt;EDATE($B$8,'Вводные'!$H$89)),MAX(0,'Вводные'!$B$26*'Вводные'!$V$89-AC38)*'Вводные'!$B$29/12,0)+IF(AND(YEAR(AC$3)=YEAR($B$7),MONTH(AC$3)=MONTH($B$7)),'Вводные'!$B$26*'Вводные'!$V$89*'Вводные'!$B$30,0)</x:f>
      </x:c>
      <x:c r="AD43" s="117" t="n">
        <x:f>IF(AND(OR(AD38&gt;0,AD$3&lt;=$B$8),AD$3&gt;=$B$7,AD$3&lt;EDATE($B$8,'Вводные'!$H$89)),MAX(0,'Вводные'!$B$26*'Вводные'!$V$89-AD38)*'Вводные'!$B$29/12,0)+IF(AND(YEAR(AD$3)=YEAR($B$7),MONTH(AD$3)=MONTH($B$7)),'Вводные'!$B$26*'Вводные'!$V$89*'Вводные'!$B$30,0)</x:f>
      </x:c>
      <x:c r="AE43" s="117" t="n">
        <x:f>IF(AND(OR(AE38&gt;0,AE$3&lt;=$B$8),AE$3&gt;=$B$7,AE$3&lt;EDATE($B$8,'Вводные'!$H$89)),MAX(0,'Вводные'!$B$26*'Вводные'!$V$89-AE38)*'Вводные'!$B$29/12,0)+IF(AND(YEAR(AE$3)=YEAR($B$7),MONTH(AE$3)=MONTH($B$7)),'Вводные'!$B$26*'Вводные'!$V$89*'Вводные'!$B$30,0)</x:f>
      </x:c>
      <x:c r="AF43" s="117" t="n">
        <x:f>IF(AND(OR(AF38&gt;0,AF$3&lt;=$B$8),AF$3&gt;=$B$7,AF$3&lt;EDATE($B$8,'Вводные'!$H$89)),MAX(0,'Вводные'!$B$26*'Вводные'!$V$89-AF38)*'Вводные'!$B$29/12,0)+IF(AND(YEAR(AF$3)=YEAR($B$7),MONTH(AF$3)=MONTH($B$7)),'Вводные'!$B$26*'Вводные'!$V$89*'Вводные'!$B$30,0)</x:f>
      </x:c>
      <x:c r="AG43" s="117" t="n">
        <x:f>IF(AND(OR(AG38&gt;0,AG$3&lt;=$B$8),AG$3&gt;=$B$7,AG$3&lt;EDATE($B$8,'Вводные'!$H$89)),MAX(0,'Вводные'!$B$26*'Вводные'!$V$89-AG38)*'Вводные'!$B$29/12,0)+IF(AND(YEAR(AG$3)=YEAR($B$7),MONTH(AG$3)=MONTH($B$7)),'Вводные'!$B$26*'Вводные'!$V$89*'Вводные'!$B$30,0)</x:f>
      </x:c>
      <x:c r="AH43" s="117" t="n">
        <x:f>IF(AND(OR(AH38&gt;0,AH$3&lt;=$B$8),AH$3&gt;=$B$7,AH$3&lt;EDATE($B$8,'Вводные'!$H$89)),MAX(0,'Вводные'!$B$26*'Вводные'!$V$89-AH38)*'Вводные'!$B$29/12,0)+IF(AND(YEAR(AH$3)=YEAR($B$7),MONTH(AH$3)=MONTH($B$7)),'Вводные'!$B$26*'Вводные'!$V$89*'Вводные'!$B$30,0)</x:f>
      </x:c>
      <x:c r="AI43" s="117" t="n">
        <x:f>IF(AND(OR(AI38&gt;0,AI$3&lt;=$B$8),AI$3&gt;=$B$7,AI$3&lt;EDATE($B$8,'Вводные'!$H$89)),MAX(0,'Вводные'!$B$26*'Вводные'!$V$89-AI38)*'Вводные'!$B$29/12,0)+IF(AND(YEAR(AI$3)=YEAR($B$7),MONTH(AI$3)=MONTH($B$7)),'Вводные'!$B$26*'Вводные'!$V$89*'Вводные'!$B$30,0)</x:f>
      </x:c>
      <x:c r="AJ43" s="117" t="n">
        <x:f>IF(AND(OR(AJ38&gt;0,AJ$3&lt;=$B$8),AJ$3&gt;=$B$7,AJ$3&lt;EDATE($B$8,'Вводные'!$H$89)),MAX(0,'Вводные'!$B$26*'Вводные'!$V$89-AJ38)*'Вводные'!$B$29/12,0)+IF(AND(YEAR(AJ$3)=YEAR($B$7),MONTH(AJ$3)=MONTH($B$7)),'Вводные'!$B$26*'Вводные'!$V$89*'Вводные'!$B$30,0)</x:f>
      </x:c>
      <x:c r="AK43" s="117" t="n">
        <x:f>IF(AND(OR(AK38&gt;0,AK$3&lt;=$B$8),AK$3&gt;=$B$7,AK$3&lt;EDATE($B$8,'Вводные'!$H$89)),MAX(0,'Вводные'!$B$26*'Вводные'!$V$89-AK38)*'Вводные'!$B$29/12,0)+IF(AND(YEAR(AK$3)=YEAR($B$7),MONTH(AK$3)=MONTH($B$7)),'Вводные'!$B$26*'Вводные'!$V$89*'Вводные'!$B$30,0)</x:f>
      </x:c>
      <x:c r="AL43" s="117" t="n">
        <x:f>IF(AND(OR(AL38&gt;0,AL$3&lt;=$B$8),AL$3&gt;=$B$7,AL$3&lt;EDATE($B$8,'Вводные'!$H$89)),MAX(0,'Вводные'!$B$26*'Вводные'!$V$89-AL38)*'Вводные'!$B$29/12,0)+IF(AND(YEAR(AL$3)=YEAR($B$7),MONTH(AL$3)=MONTH($B$7)),'Вводные'!$B$26*'Вводные'!$V$89*'Вводные'!$B$30,0)</x:f>
      </x:c>
      <x:c r="AM43" s="117" t="n">
        <x:f>IF(AND(OR(AM38&gt;0,AM$3&lt;=$B$8),AM$3&gt;=$B$7,AM$3&lt;EDATE($B$8,'Вводные'!$H$89)),MAX(0,'Вводные'!$B$26*'Вводные'!$V$89-AM38)*'Вводные'!$B$29/12,0)+IF(AND(YEAR(AM$3)=YEAR($B$7),MONTH(AM$3)=MONTH($B$7)),'Вводные'!$B$26*'Вводные'!$V$89*'Вводные'!$B$30,0)</x:f>
      </x:c>
      <x:c r="AN43" s="117" t="n">
        <x:f>IF(AND(OR(AN38&gt;0,AN$3&lt;=$B$8),AN$3&gt;=$B$7,AN$3&lt;EDATE($B$8,'Вводные'!$H$89)),MAX(0,'Вводные'!$B$26*'Вводные'!$V$89-AN38)*'Вводные'!$B$29/12,0)+IF(AND(YEAR(AN$3)=YEAR($B$7),MONTH(AN$3)=MONTH($B$7)),'Вводные'!$B$26*'Вводные'!$V$89*'Вводные'!$B$30,0)</x:f>
      </x:c>
      <x:c r="AO43" s="117" t="n">
        <x:f>IF(AND(OR(AO38&gt;0,AO$3&lt;=$B$8),AO$3&gt;=$B$7,AO$3&lt;EDATE($B$8,'Вводные'!$H$89)),MAX(0,'Вводные'!$B$26*'Вводные'!$V$89-AO38)*'Вводные'!$B$29/12,0)+IF(AND(YEAR(AO$3)=YEAR($B$7),MONTH(AO$3)=MONTH($B$7)),'Вводные'!$B$26*'Вводные'!$V$89*'Вводные'!$B$30,0)</x:f>
      </x:c>
      <x:c r="AP43" s="117" t="n">
        <x:f>IF(AND(OR(AP38&gt;0,AP$3&lt;=$B$8),AP$3&gt;=$B$7,AP$3&lt;EDATE($B$8,'Вводные'!$H$89)),MAX(0,'Вводные'!$B$26*'Вводные'!$V$89-AP38)*'Вводные'!$B$29/12,0)+IF(AND(YEAR(AP$3)=YEAR($B$7),MONTH(AP$3)=MONTH($B$7)),'Вводные'!$B$26*'Вводные'!$V$89*'Вводные'!$B$30,0)</x:f>
      </x:c>
      <x:c r="AQ43" s="117" t="n">
        <x:f>IF(AND(OR(AQ38&gt;0,AQ$3&lt;=$B$8),AQ$3&gt;=$B$7,AQ$3&lt;EDATE($B$8,'Вводные'!$H$89)),MAX(0,'Вводные'!$B$26*'Вводные'!$V$89-AQ38)*'Вводные'!$B$29/12,0)+IF(AND(YEAR(AQ$3)=YEAR($B$7),MONTH(AQ$3)=MONTH($B$7)),'Вводные'!$B$26*'Вводные'!$V$89*'Вводные'!$B$30,0)</x:f>
      </x:c>
      <x:c r="AR43" s="117" t="n">
        <x:f>IF(AND(OR(AR38&gt;0,AR$3&lt;=$B$8),AR$3&gt;=$B$7,AR$3&lt;EDATE($B$8,'Вводные'!$H$89)),MAX(0,'Вводные'!$B$26*'Вводные'!$V$89-AR38)*'Вводные'!$B$29/12,0)+IF(AND(YEAR(AR$3)=YEAR($B$7),MONTH(AR$3)=MONTH($B$7)),'Вводные'!$B$26*'Вводные'!$V$89*'Вводные'!$B$30,0)</x:f>
      </x:c>
      <x:c r="AS43" s="117" t="n">
        <x:f>IF(AND(OR(AS38&gt;0,AS$3&lt;=$B$8),AS$3&gt;=$B$7,AS$3&lt;EDATE($B$8,'Вводные'!$H$89)),MAX(0,'Вводные'!$B$26*'Вводные'!$V$89-AS38)*'Вводные'!$B$29/12,0)+IF(AND(YEAR(AS$3)=YEAR($B$7),MONTH(AS$3)=MONTH($B$7)),'Вводные'!$B$26*'Вводные'!$V$89*'Вводные'!$B$30,0)</x:f>
      </x:c>
      <x:c r="AT43" s="117" t="n">
        <x:f>IF(AND(OR(AT38&gt;0,AT$3&lt;=$B$8),AT$3&gt;=$B$7,AT$3&lt;EDATE($B$8,'Вводные'!$H$89)),MAX(0,'Вводные'!$B$26*'Вводные'!$V$89-AT38)*'Вводные'!$B$29/12,0)+IF(AND(YEAR(AT$3)=YEAR($B$7),MONTH(AT$3)=MONTH($B$7)),'Вводные'!$B$26*'Вводные'!$V$89*'Вводные'!$B$30,0)</x:f>
      </x:c>
      <x:c r="AU43" s="117" t="n">
        <x:f>IF(AND(OR(AU38&gt;0,AU$3&lt;=$B$8),AU$3&gt;=$B$7,AU$3&lt;EDATE($B$8,'Вводные'!$H$89)),MAX(0,'Вводные'!$B$26*'Вводные'!$V$89-AU38)*'Вводные'!$B$29/12,0)+IF(AND(YEAR(AU$3)=YEAR($B$7),MONTH(AU$3)=MONTH($B$7)),'Вводные'!$B$26*'Вводные'!$V$89*'Вводные'!$B$30,0)</x:f>
      </x:c>
      <x:c r="AV43" s="117" t="n">
        <x:f>IF(AND(OR(AV38&gt;0,AV$3&lt;=$B$8),AV$3&gt;=$B$7,AV$3&lt;EDATE($B$8,'Вводные'!$H$89)),MAX(0,'Вводные'!$B$26*'Вводные'!$V$89-AV38)*'Вводные'!$B$29/12,0)+IF(AND(YEAR(AV$3)=YEAR($B$7),MONTH(AV$3)=MONTH($B$7)),'Вводные'!$B$26*'Вводные'!$V$89*'Вводные'!$B$30,0)</x:f>
      </x:c>
      <x:c r="AW43" s="117" t="n">
        <x:f>IF(AND(OR(AW38&gt;0,AW$3&lt;=$B$8),AW$3&gt;=$B$7,AW$3&lt;EDATE($B$8,'Вводные'!$H$89)),MAX(0,'Вводные'!$B$26*'Вводные'!$V$89-AW38)*'Вводные'!$B$29/12,0)+IF(AND(YEAR(AW$3)=YEAR($B$7),MONTH(AW$3)=MONTH($B$7)),'Вводные'!$B$26*'Вводные'!$V$89*'Вводные'!$B$30,0)</x:f>
      </x:c>
      <x:c r="AX43" s="117" t="n">
        <x:f>IF(AND(OR(AX38&gt;0,AX$3&lt;=$B$8),AX$3&gt;=$B$7,AX$3&lt;EDATE($B$8,'Вводные'!$H$89)),MAX(0,'Вводные'!$B$26*'Вводные'!$V$89-AX38)*'Вводные'!$B$29/12,0)+IF(AND(YEAR(AX$3)=YEAR($B$7),MONTH(AX$3)=MONTH($B$7)),'Вводные'!$B$26*'Вводные'!$V$89*'Вводные'!$B$30,0)</x:f>
      </x:c>
      <x:c r="AY43" s="117" t="n">
        <x:f>IF(AND(OR(AY38&gt;0,AY$3&lt;=$B$8),AY$3&gt;=$B$7,AY$3&lt;EDATE($B$8,'Вводные'!$H$89)),MAX(0,'Вводные'!$B$26*'Вводные'!$V$89-AY38)*'Вводные'!$B$29/12,0)+IF(AND(YEAR(AY$3)=YEAR($B$7),MONTH(AY$3)=MONTH($B$7)),'Вводные'!$B$26*'Вводные'!$V$89*'Вводные'!$B$30,0)</x:f>
      </x:c>
      <x:c r="AZ43" s="117" t="n">
        <x:f>IF(AND(OR(AZ38&gt;0,AZ$3&lt;=$B$8),AZ$3&gt;=$B$7,AZ$3&lt;EDATE($B$8,'Вводные'!$H$89)),MAX(0,'Вводные'!$B$26*'Вводные'!$V$89-AZ38)*'Вводные'!$B$29/12,0)+IF(AND(YEAR(AZ$3)=YEAR($B$7),MONTH(AZ$3)=MONTH($B$7)),'Вводные'!$B$26*'Вводные'!$V$89*'Вводные'!$B$30,0)</x:f>
      </x:c>
      <x:c r="BA43" s="117" t="n">
        <x:f>IF(AND(OR(BA38&gt;0,BA$3&lt;=$B$8),BA$3&gt;=$B$7,BA$3&lt;EDATE($B$8,'Вводные'!$H$89)),MAX(0,'Вводные'!$B$26*'Вводные'!$V$89-BA38)*'Вводные'!$B$29/12,0)+IF(AND(YEAR(BA$3)=YEAR($B$7),MONTH(BA$3)=MONTH($B$7)),'Вводные'!$B$26*'Вводные'!$V$89*'Вводные'!$B$30,0)</x:f>
      </x:c>
      <x:c r="BB43" s="117" t="n">
        <x:f>IF(AND(OR(BB38&gt;0,BB$3&lt;=$B$8),BB$3&gt;=$B$7,BB$3&lt;EDATE($B$8,'Вводные'!$H$89)),MAX(0,'Вводные'!$B$26*'Вводные'!$V$89-BB38)*'Вводные'!$B$29/12,0)+IF(AND(YEAR(BB$3)=YEAR($B$7),MONTH(BB$3)=MONTH($B$7)),'Вводные'!$B$26*'Вводные'!$V$89*'Вводные'!$B$30,0)</x:f>
      </x:c>
      <x:c r="BC43" s="117" t="n">
        <x:f>IF(AND(OR(BC38&gt;0,BC$3&lt;=$B$8),BC$3&gt;=$B$7,BC$3&lt;EDATE($B$8,'Вводные'!$H$89)),MAX(0,'Вводные'!$B$26*'Вводные'!$V$89-BC38)*'Вводные'!$B$29/12,0)+IF(AND(YEAR(BC$3)=YEAR($B$7),MONTH(BC$3)=MONTH($B$7)),'Вводные'!$B$26*'Вводные'!$V$89*'Вводные'!$B$30,0)</x:f>
      </x:c>
      <x:c r="BD43" s="117" t="n">
        <x:f>IF(AND(OR(BD38&gt;0,BD$3&lt;=$B$8),BD$3&gt;=$B$7,BD$3&lt;EDATE($B$8,'Вводные'!$H$89)),MAX(0,'Вводные'!$B$26*'Вводные'!$V$89-BD38)*'Вводные'!$B$29/12,0)+IF(AND(YEAR(BD$3)=YEAR($B$7),MONTH(BD$3)=MONTH($B$7)),'Вводные'!$B$26*'Вводные'!$V$89*'Вводные'!$B$30,0)</x:f>
      </x:c>
      <x:c r="BE43" s="117" t="n">
        <x:f>IF(AND(OR(BE38&gt;0,BE$3&lt;=$B$8),BE$3&gt;=$B$7,BE$3&lt;EDATE($B$8,'Вводные'!$H$89)),MAX(0,'Вводные'!$B$26*'Вводные'!$V$89-BE38)*'Вводные'!$B$29/12,0)+IF(AND(YEAR(BE$3)=YEAR($B$7),MONTH(BE$3)=MONTH($B$7)),'Вводные'!$B$26*'Вводные'!$V$89*'Вводные'!$B$30,0)</x:f>
      </x:c>
      <x:c r="BF43" s="117" t="n">
        <x:f>IF(AND(OR(BF38&gt;0,BF$3&lt;=$B$8),BF$3&gt;=$B$7,BF$3&lt;EDATE($B$8,'Вводные'!$H$89)),MAX(0,'Вводные'!$B$26*'Вводные'!$V$89-BF38)*'Вводные'!$B$29/12,0)+IF(AND(YEAR(BF$3)=YEAR($B$7),MONTH(BF$3)=MONTH($B$7)),'Вводные'!$B$26*'Вводные'!$V$89*'Вводные'!$B$30,0)</x:f>
      </x:c>
      <x:c r="BG43" s="117" t="n">
        <x:f>IF(AND(OR(BG38&gt;0,BG$3&lt;=$B$8),BG$3&gt;=$B$7,BG$3&lt;EDATE($B$8,'Вводные'!$H$89)),MAX(0,'Вводные'!$B$26*'Вводные'!$V$89-BG38)*'Вводные'!$B$29/12,0)+IF(AND(YEAR(BG$3)=YEAR($B$7),MONTH(BG$3)=MONTH($B$7)),'Вводные'!$B$26*'Вводные'!$V$89*'Вводные'!$B$30,0)</x:f>
      </x:c>
      <x:c r="BH43" s="117" t="n">
        <x:f>IF(AND(OR(BH38&gt;0,BH$3&lt;=$B$8),BH$3&gt;=$B$7,BH$3&lt;EDATE($B$8,'Вводные'!$H$89)),MAX(0,'Вводные'!$B$26*'Вводные'!$V$89-BH38)*'Вводные'!$B$29/12,0)+IF(AND(YEAR(BH$3)=YEAR($B$7),MONTH(BH$3)=MONTH($B$7)),'Вводные'!$B$26*'Вводные'!$V$89*'Вводные'!$B$30,0)</x:f>
      </x:c>
      <x:c r="BI43" s="117" t="n">
        <x:f>IF(AND(OR(BI38&gt;0,BI$3&lt;=$B$8),BI$3&gt;=$B$7,BI$3&lt;EDATE($B$8,'Вводные'!$H$89)),MAX(0,'Вводные'!$B$26*'Вводные'!$V$89-BI38)*'Вводные'!$B$29/12,0)+IF(AND(YEAR(BI$3)=YEAR($B$7),MONTH(BI$3)=MONTH($B$7)),'Вводные'!$B$26*'Вводные'!$V$89*'Вводные'!$B$30,0)</x:f>
      </x:c>
      <x:c r="BJ43" s="117" t="n">
        <x:f>IF(AND(OR(BJ38&gt;0,BJ$3&lt;=$B$8),BJ$3&gt;=$B$7,BJ$3&lt;EDATE($B$8,'Вводные'!$H$89)),MAX(0,'Вводные'!$B$26*'Вводные'!$V$89-BJ38)*'Вводные'!$B$29/12,0)+IF(AND(YEAR(BJ$3)=YEAR($B$7),MONTH(BJ$3)=MONTH($B$7)),'Вводные'!$B$26*'Вводные'!$V$89*'Вводные'!$B$30,0)</x:f>
      </x:c>
      <x:c r="BK43" s="117" t="n">
        <x:f>IF(AND(OR(BK38&gt;0,BK$3&lt;=$B$8),BK$3&gt;=$B$7,BK$3&lt;EDATE($B$8,'Вводные'!$H$89)),MAX(0,'Вводные'!$B$26*'Вводные'!$V$89-BK38)*'Вводные'!$B$29/12,0)+IF(AND(YEAR(BK$3)=YEAR($B$7),MONTH(BK$3)=MONTH($B$7)),'Вводные'!$B$26*'Вводные'!$V$89*'Вводные'!$B$30,0)</x:f>
      </x:c>
      <x:c r="BL43" s="117" t="n">
        <x:f>IF(AND(OR(BL38&gt;0,BL$3&lt;=$B$8),BL$3&gt;=$B$7,BL$3&lt;EDATE($B$8,'Вводные'!$H$89)),MAX(0,'Вводные'!$B$26*'Вводные'!$V$89-BL38)*'Вводные'!$B$29/12,0)+IF(AND(YEAR(BL$3)=YEAR($B$7),MONTH(BL$3)=MONTH($B$7)),'Вводные'!$B$26*'Вводные'!$V$89*'Вводные'!$B$30,0)</x:f>
      </x:c>
      <x:c r="BM43" s="117" t="n">
        <x:f>IF(AND(OR(BM38&gt;0,BM$3&lt;=$B$8),BM$3&gt;=$B$7,BM$3&lt;EDATE($B$8,'Вводные'!$H$89)),MAX(0,'Вводные'!$B$26*'Вводные'!$V$89-BM38)*'Вводные'!$B$29/12,0)+IF(AND(YEAR(BM$3)=YEAR($B$7),MONTH(BM$3)=MONTH($B$7)),'Вводные'!$B$26*'Вводные'!$V$89*'Вводные'!$B$30,0)</x:f>
      </x:c>
      <x:c r="BN43" s="117" t="n">
        <x:f>IF(AND(OR(BN38&gt;0,BN$3&lt;=$B$8),BN$3&gt;=$B$7,BN$3&lt;EDATE($B$8,'Вводные'!$H$89)),MAX(0,'Вводные'!$B$26*'Вводные'!$V$89-BN38)*'Вводные'!$B$29/12,0)+IF(AND(YEAR(BN$3)=YEAR($B$7),MONTH(BN$3)=MONTH($B$7)),'Вводные'!$B$26*'Вводные'!$V$89*'Вводные'!$B$30,0)</x:f>
      </x:c>
      <x:c r="BO43" s="117" t="n">
        <x:f>IF(AND(OR(BO38&gt;0,BO$3&lt;=$B$8),BO$3&gt;=$B$7,BO$3&lt;EDATE($B$8,'Вводные'!$H$89)),MAX(0,'Вводные'!$B$26*'Вводные'!$V$89-BO38)*'Вводные'!$B$29/12,0)+IF(AND(YEAR(BO$3)=YEAR($B$7),MONTH(BO$3)=MONTH($B$7)),'Вводные'!$B$26*'Вводные'!$V$89*'Вводные'!$B$30,0)</x:f>
      </x:c>
      <x:c r="BP43" s="117" t="n">
        <x:f>IF(AND(OR(BP38&gt;0,BP$3&lt;=$B$8),BP$3&gt;=$B$7,BP$3&lt;EDATE($B$8,'Вводные'!$H$89)),MAX(0,'Вводные'!$B$26*'Вводные'!$V$89-BP38)*'Вводные'!$B$29/12,0)+IF(AND(YEAR(BP$3)=YEAR($B$7),MONTH(BP$3)=MONTH($B$7)),'Вводные'!$B$26*'Вводные'!$V$89*'Вводные'!$B$30,0)</x:f>
      </x:c>
      <x:c r="BQ43" s="117" t="n">
        <x:f>IF(AND(OR(BQ38&gt;0,BQ$3&lt;=$B$8),BQ$3&gt;=$B$7,BQ$3&lt;EDATE($B$8,'Вводные'!$H$89)),MAX(0,'Вводные'!$B$26*'Вводные'!$V$89-BQ38)*'Вводные'!$B$29/12,0)+IF(AND(YEAR(BQ$3)=YEAR($B$7),MONTH(BQ$3)=MONTH($B$7)),'Вводные'!$B$26*'Вводные'!$V$89*'Вводные'!$B$30,0)</x:f>
      </x:c>
      <x:c r="BR43" s="117" t="n">
        <x:f>IF(AND(OR(BR38&gt;0,BR$3&lt;=$B$8),BR$3&gt;=$B$7,BR$3&lt;EDATE($B$8,'Вводные'!$H$89)),MAX(0,'Вводные'!$B$26*'Вводные'!$V$89-BR38)*'Вводные'!$B$29/12,0)+IF(AND(YEAR(BR$3)=YEAR($B$7),MONTH(BR$3)=MONTH($B$7)),'Вводные'!$B$26*'Вводные'!$V$89*'Вводные'!$B$30,0)</x:f>
      </x:c>
      <x:c r="BS43" s="117" t="n">
        <x:f>IF(AND(OR(BS38&gt;0,BS$3&lt;=$B$8),BS$3&gt;=$B$7,BS$3&lt;EDATE($B$8,'Вводные'!$H$89)),MAX(0,'Вводные'!$B$26*'Вводные'!$V$89-BS38)*'Вводные'!$B$29/12,0)+IF(AND(YEAR(BS$3)=YEAR($B$7),MONTH(BS$3)=MONTH($B$7)),'Вводные'!$B$26*'Вводные'!$V$89*'Вводные'!$B$30,0)</x:f>
      </x:c>
      <x:c r="BT43" s="117" t="n">
        <x:f>IF(AND(OR(BT38&gt;0,BT$3&lt;=$B$8),BT$3&gt;=$B$7,BT$3&lt;EDATE($B$8,'Вводные'!$H$89)),MAX(0,'Вводные'!$B$26*'Вводные'!$V$89-BT38)*'Вводные'!$B$29/12,0)+IF(AND(YEAR(BT$3)=YEAR($B$7),MONTH(BT$3)=MONTH($B$7)),'Вводные'!$B$26*'Вводные'!$V$89*'Вводные'!$B$30,0)</x:f>
      </x:c>
      <x:c r="BU43" s="117" t="n">
        <x:f>IF(AND(OR(BU38&gt;0,BU$3&lt;=$B$8),BU$3&gt;=$B$7,BU$3&lt;EDATE($B$8,'Вводные'!$H$89)),MAX(0,'Вводные'!$B$26*'Вводные'!$V$89-BU38)*'Вводные'!$B$29/12,0)+IF(AND(YEAR(BU$3)=YEAR($B$7),MONTH(BU$3)=MONTH($B$7)),'Вводные'!$B$26*'Вводные'!$V$89*'Вводные'!$B$30,0)</x:f>
      </x:c>
      <x:c r="BV43" s="117" t="n">
        <x:f>IF(AND(OR(BV38&gt;0,BV$3&lt;=$B$8),BV$3&gt;=$B$7,BV$3&lt;EDATE($B$8,'Вводные'!$H$89)),MAX(0,'Вводные'!$B$26*'Вводные'!$V$89-BV38)*'Вводные'!$B$29/12,0)+IF(AND(YEAR(BV$3)=YEAR($B$7),MONTH(BV$3)=MONTH($B$7)),'Вводные'!$B$26*'Вводные'!$V$89*'Вводные'!$B$30,0)</x:f>
      </x:c>
      <x:c r="BW43" s="117" t="n">
        <x:f>IF(AND(OR(BW38&gt;0,BW$3&lt;=$B$8),BW$3&gt;=$B$7,BW$3&lt;EDATE($B$8,'Вводные'!$H$89)),MAX(0,'Вводные'!$B$26*'Вводные'!$V$89-BW38)*'Вводные'!$B$29/12,0)+IF(AND(YEAR(BW$3)=YEAR($B$7),MONTH(BW$3)=MONTH($B$7)),'Вводные'!$B$26*'Вводные'!$V$89*'Вводные'!$B$30,0)</x:f>
      </x:c>
      <x:c r="BX43" s="117" t="n">
        <x:f>IF(AND(OR(BX38&gt;0,BX$3&lt;=$B$8),BX$3&gt;=$B$7,BX$3&lt;EDATE($B$8,'Вводные'!$H$89)),MAX(0,'Вводные'!$B$26*'Вводные'!$V$89-BX38)*'Вводные'!$B$29/12,0)+IF(AND(YEAR(BX$3)=YEAR($B$7),MONTH(BX$3)=MONTH($B$7)),'Вводные'!$B$26*'Вводные'!$V$89*'Вводные'!$B$30,0)</x:f>
      </x:c>
      <x:c r="BY43" s="117" t="n">
        <x:f>IF(AND(OR(BY38&gt;0,BY$3&lt;=$B$8),BY$3&gt;=$B$7,BY$3&lt;EDATE($B$8,'Вводные'!$H$89)),MAX(0,'Вводные'!$B$26*'Вводные'!$V$89-BY38)*'Вводные'!$B$29/12,0)+IF(AND(YEAR(BY$3)=YEAR($B$7),MONTH(BY$3)=MONTH($B$7)),'Вводные'!$B$26*'Вводные'!$V$89*'Вводные'!$B$30,0)</x:f>
      </x:c>
      <x:c r="BZ43" s="117" t="n">
        <x:f>IF(AND(OR(BZ38&gt;0,BZ$3&lt;=$B$8),BZ$3&gt;=$B$7,BZ$3&lt;EDATE($B$8,'Вводные'!$H$89)),MAX(0,'Вводные'!$B$26*'Вводные'!$V$89-BZ38)*'Вводные'!$B$29/12,0)+IF(AND(YEAR(BZ$3)=YEAR($B$7),MONTH(BZ$3)=MONTH($B$7)),'Вводные'!$B$26*'Вводные'!$V$89*'Вводные'!$B$30,0)</x:f>
      </x:c>
      <x:c r="CA43" s="117" t="n">
        <x:f>IF(AND(OR(CA38&gt;0,CA$3&lt;=$B$8),CA$3&gt;=$B$7,CA$3&lt;EDATE($B$8,'Вводные'!$H$89)),MAX(0,'Вводные'!$B$26*'Вводные'!$V$89-CA38)*'Вводные'!$B$29/12,0)+IF(AND(YEAR(CA$3)=YEAR($B$7),MONTH(CA$3)=MONTH($B$7)),'Вводные'!$B$26*'Вводные'!$V$89*'Вводные'!$B$30,0)</x:f>
      </x:c>
      <x:c r="CB43" s="117" t="n">
        <x:f>IF(AND(OR(CB38&gt;0,CB$3&lt;=$B$8),CB$3&gt;=$B$7,CB$3&lt;EDATE($B$8,'Вводные'!$H$89)),MAX(0,'Вводные'!$B$26*'Вводные'!$V$89-CB38)*'Вводные'!$B$29/12,0)+IF(AND(YEAR(CB$3)=YEAR($B$7),MONTH(CB$3)=MONTH($B$7)),'Вводные'!$B$26*'Вводные'!$V$89*'Вводные'!$B$30,0)</x:f>
      </x:c>
      <x:c r="CC43" s="117" t="n">
        <x:f>IF(AND(OR(CC38&gt;0,CC$3&lt;=$B$8),CC$3&gt;=$B$7,CC$3&lt;EDATE($B$8,'Вводные'!$H$89)),MAX(0,'Вводные'!$B$26*'Вводные'!$V$89-CC38)*'Вводные'!$B$29/12,0)+IF(AND(YEAR(CC$3)=YEAR($B$7),MONTH(CC$3)=MONTH($B$7)),'Вводные'!$B$26*'Вводные'!$V$89*'Вводные'!$B$30,0)</x:f>
      </x:c>
      <x:c r="CD43" s="117" t="n">
        <x:f>IF(AND(OR(CD38&gt;0,CD$3&lt;=$B$8),CD$3&gt;=$B$7,CD$3&lt;EDATE($B$8,'Вводные'!$H$89)),MAX(0,'Вводные'!$B$26*'Вводные'!$V$89-CD38)*'Вводные'!$B$29/12,0)+IF(AND(YEAR(CD$3)=YEAR($B$7),MONTH(CD$3)=MONTH($B$7)),'Вводные'!$B$26*'Вводные'!$V$89*'Вводные'!$B$30,0)</x:f>
      </x:c>
      <x:c r="CE43" s="117" t="n">
        <x:f>IF(AND(OR(CE38&gt;0,CE$3&lt;=$B$8),CE$3&gt;=$B$7,CE$3&lt;EDATE($B$8,'Вводные'!$H$89)),MAX(0,'Вводные'!$B$26*'Вводные'!$V$89-CE38)*'Вводные'!$B$29/12,0)+IF(AND(YEAR(CE$3)=YEAR($B$7),MONTH(CE$3)=MONTH($B$7)),'Вводные'!$B$26*'Вводные'!$V$89*'Вводные'!$B$30,0)</x:f>
      </x:c>
      <x:c r="CF43" s="117" t="n">
        <x:f>IF(AND(OR(CF38&gt;0,CF$3&lt;=$B$8),CF$3&gt;=$B$7,CF$3&lt;EDATE($B$8,'Вводные'!$H$89)),MAX(0,'Вводные'!$B$26*'Вводные'!$V$89-CF38)*'Вводные'!$B$29/12,0)+IF(AND(YEAR(CF$3)=YEAR($B$7),MONTH(CF$3)=MONTH($B$7)),'Вводные'!$B$26*'Вводные'!$V$89*'Вводные'!$B$30,0)</x:f>
      </x:c>
      <x:c r="CG43" s="117" t="n">
        <x:f>IF(AND(OR(CG38&gt;0,CG$3&lt;=$B$8),CG$3&gt;=$B$7,CG$3&lt;EDATE($B$8,'Вводные'!$H$89)),MAX(0,'Вводные'!$B$26*'Вводные'!$V$89-CG38)*'Вводные'!$B$29/12,0)+IF(AND(YEAR(CG$3)=YEAR($B$7),MONTH(CG$3)=MONTH($B$7)),'Вводные'!$B$26*'Вводные'!$V$89*'Вводные'!$B$30,0)</x:f>
      </x:c>
      <x:c r="CH43" s="117" t="n">
        <x:f>IF(AND(OR(CH38&gt;0,CH$3&lt;=$B$8),CH$3&gt;=$B$7,CH$3&lt;EDATE($B$8,'Вводные'!$H$89)),MAX(0,'Вводные'!$B$26*'Вводные'!$V$89-CH38)*'Вводные'!$B$29/12,0)+IF(AND(YEAR(CH$3)=YEAR($B$7),MONTH(CH$3)=MONTH($B$7)),'Вводные'!$B$26*'Вводные'!$V$89*'Вводные'!$B$30,0)</x:f>
      </x:c>
      <x:c r="CI43" s="117" t="n">
        <x:f>IF(AND(OR(CI38&gt;0,CI$3&lt;=$B$8),CI$3&gt;=$B$7,CI$3&lt;EDATE($B$8,'Вводные'!$H$89)),MAX(0,'Вводные'!$B$26*'Вводные'!$V$89-CI38)*'Вводные'!$B$29/12,0)+IF(AND(YEAR(CI$3)=YEAR($B$7),MONTH(CI$3)=MONTH($B$7)),'Вводные'!$B$26*'Вводные'!$V$89*'Вводные'!$B$30,0)</x:f>
      </x:c>
      <x:c r="CJ43" s="117" t="n">
        <x:f>IF(AND(OR(CJ38&gt;0,CJ$3&lt;=$B$8),CJ$3&gt;=$B$7,CJ$3&lt;EDATE($B$8,'Вводные'!$H$89)),MAX(0,'Вводные'!$B$26*'Вводные'!$V$89-CJ38)*'Вводные'!$B$29/12,0)+IF(AND(YEAR(CJ$3)=YEAR($B$7),MONTH(CJ$3)=MONTH($B$7)),'Вводные'!$B$26*'Вводные'!$V$89*'Вводные'!$B$30,0)</x:f>
      </x:c>
      <x:c r="CK43" s="117" t="n">
        <x:f>IF(AND(OR(CK38&gt;0,CK$3&lt;=$B$8),CK$3&gt;=$B$7,CK$3&lt;EDATE($B$8,'Вводные'!$H$89)),MAX(0,'Вводные'!$B$26*'Вводные'!$V$89-CK38)*'Вводные'!$B$29/12,0)+IF(AND(YEAR(CK$3)=YEAR($B$7),MONTH(CK$3)=MONTH($B$7)),'Вводные'!$B$26*'Вводные'!$V$89*'Вводные'!$B$30,0)</x:f>
      </x:c>
      <x:c r="CL43" s="117" t="n">
        <x:f>IF(AND(OR(CL38&gt;0,CL$3&lt;=$B$8),CL$3&gt;=$B$7,CL$3&lt;EDATE($B$8,'Вводные'!$H$89)),MAX(0,'Вводные'!$B$26*'Вводные'!$V$89-CL38)*'Вводные'!$B$29/12,0)+IF(AND(YEAR(CL$3)=YEAR($B$7),MONTH(CL$3)=MONTH($B$7)),'Вводные'!$B$26*'Вводные'!$V$89*'Вводные'!$B$30,0)</x:f>
      </x:c>
      <x:c r="CM43" s="117" t="n">
        <x:f>IF(AND(OR(CM38&gt;0,CM$3&lt;=$B$8),CM$3&gt;=$B$7,CM$3&lt;EDATE($B$8,'Вводные'!$H$89)),MAX(0,'Вводные'!$B$26*'Вводные'!$V$89-CM38)*'Вводные'!$B$29/12,0)+IF(AND(YEAR(CM$3)=YEAR($B$7),MONTH(CM$3)=MONTH($B$7)),'Вводные'!$B$26*'Вводные'!$V$89*'Вводные'!$B$30,0)</x:f>
      </x:c>
      <x:c r="CN43" s="117" t="n">
        <x:f>IF(AND(OR(CN38&gt;0,CN$3&lt;=$B$8),CN$3&gt;=$B$7,CN$3&lt;EDATE($B$8,'Вводные'!$H$89)),MAX(0,'Вводные'!$B$26*'Вводные'!$V$89-CN38)*'Вводные'!$B$29/12,0)+IF(AND(YEAR(CN$3)=YEAR($B$7),MONTH(CN$3)=MONTH($B$7)),'Вводные'!$B$26*'Вводные'!$V$89*'Вводные'!$B$30,0)</x:f>
      </x:c>
      <x:c r="CO43" s="117" t="n">
        <x:f>IF(AND(OR(CO38&gt;0,CO$3&lt;=$B$8),CO$3&gt;=$B$7,CO$3&lt;EDATE($B$8,'Вводные'!$H$89)),MAX(0,'Вводные'!$B$26*'Вводные'!$V$89-CO38)*'Вводные'!$B$29/12,0)+IF(AND(YEAR(CO$3)=YEAR($B$7),MONTH(CO$3)=MONTH($B$7)),'Вводные'!$B$26*'Вводные'!$V$89*'Вводные'!$B$30,0)</x:f>
      </x:c>
      <x:c r="CP43" s="117" t="n">
        <x:f>IF(AND(OR(CP38&gt;0,CP$3&lt;=$B$8),CP$3&gt;=$B$7,CP$3&lt;EDATE($B$8,'Вводные'!$H$89)),MAX(0,'Вводные'!$B$26*'Вводные'!$V$89-CP38)*'Вводные'!$B$29/12,0)+IF(AND(YEAR(CP$3)=YEAR($B$7),MONTH(CP$3)=MONTH($B$7)),'Вводные'!$B$26*'Вводные'!$V$89*'Вводные'!$B$30,0)</x:f>
      </x:c>
      <x:c r="CQ43" s="117" t="n">
        <x:f>IF(AND(OR(CQ38&gt;0,CQ$3&lt;=$B$8),CQ$3&gt;=$B$7,CQ$3&lt;EDATE($B$8,'Вводные'!$H$89)),MAX(0,'Вводные'!$B$26*'Вводные'!$V$89-CQ38)*'Вводные'!$B$29/12,0)+IF(AND(YEAR(CQ$3)=YEAR($B$7),MONTH(CQ$3)=MONTH($B$7)),'Вводные'!$B$26*'Вводные'!$V$89*'Вводные'!$B$30,0)</x:f>
      </x:c>
      <x:c r="CR43" s="117" t="n">
        <x:f>IF(AND(OR(CR38&gt;0,CR$3&lt;=$B$8),CR$3&gt;=$B$7,CR$3&lt;EDATE($B$8,'Вводные'!$H$89)),MAX(0,'Вводные'!$B$26*'Вводные'!$V$89-CR38)*'Вводные'!$B$29/12,0)+IF(AND(YEAR(CR$3)=YEAR($B$7),MONTH(CR$3)=MONTH($B$7)),'Вводные'!$B$26*'Вводные'!$V$89*'Вводные'!$B$30,0)</x:f>
      </x:c>
      <x:c r="CS43" s="117" t="n">
        <x:f>IF(AND(OR(CS38&gt;0,CS$3&lt;=$B$8),CS$3&gt;=$B$7,CS$3&lt;EDATE($B$8,'Вводные'!$H$89)),MAX(0,'Вводные'!$B$26*'Вводные'!$V$89-CS38)*'Вводные'!$B$29/12,0)+IF(AND(YEAR(CS$3)=YEAR($B$7),MONTH(CS$3)=MONTH($B$7)),'Вводные'!$B$26*'Вводные'!$V$89*'Вводные'!$B$30,0)</x:f>
      </x:c>
      <x:c r="CT43" s="117" t="n">
        <x:f>IF(AND(OR(CT38&gt;0,CT$3&lt;=$B$8),CT$3&gt;=$B$7,CT$3&lt;EDATE($B$8,'Вводные'!$H$89)),MAX(0,'Вводные'!$B$26*'Вводные'!$V$89-CT38)*'Вводные'!$B$29/12,0)+IF(AND(YEAR(CT$3)=YEAR($B$7),MONTH(CT$3)=MONTH($B$7)),'Вводные'!$B$26*'Вводные'!$V$89*'Вводные'!$B$30,0)</x:f>
      </x:c>
      <x:c r="CU43" s="117" t="n">
        <x:f>IF(AND(OR(CU38&gt;0,CU$3&lt;=$B$8),CU$3&gt;=$B$7,CU$3&lt;EDATE($B$8,'Вводные'!$H$89)),MAX(0,'Вводные'!$B$26*'Вводные'!$V$89-CU38)*'Вводные'!$B$29/12,0)+IF(AND(YEAR(CU$3)=YEAR($B$7),MONTH(CU$3)=MONTH($B$7)),'Вводные'!$B$26*'Вводные'!$V$89*'Вводные'!$B$30,0)</x:f>
      </x:c>
      <x:c r="CV43" s="117" t="n">
        <x:f>IF(AND(OR(CV38&gt;0,CV$3&lt;=$B$8),CV$3&gt;=$B$7,CV$3&lt;EDATE($B$8,'Вводные'!$H$89)),MAX(0,'Вводные'!$B$26*'Вводные'!$V$89-CV38)*'Вводные'!$B$29/12,0)+IF(AND(YEAR(CV$3)=YEAR($B$7),MONTH(CV$3)=MONTH($B$7)),'Вводные'!$B$26*'Вводные'!$V$89*'Вводные'!$B$30,0)</x:f>
      </x:c>
      <x:c r="CW43" s="117" t="n">
        <x:f>IF(AND(OR(CW38&gt;0,CW$3&lt;=$B$8),CW$3&gt;=$B$7,CW$3&lt;EDATE($B$8,'Вводные'!$H$89)),MAX(0,'Вводные'!$B$26*'Вводные'!$V$89-CW38)*'Вводные'!$B$29/12,0)+IF(AND(YEAR(CW$3)=YEAR($B$7),MONTH(CW$3)=MONTH($B$7)),'Вводные'!$B$26*'Вводные'!$V$89*'Вводные'!$B$30,0)</x:f>
      </x:c>
      <x:c r="CX43" s="117" t="n">
        <x:f>IF(AND(OR(CX38&gt;0,CX$3&lt;=$B$8),CX$3&gt;=$B$7,CX$3&lt;EDATE($B$8,'Вводные'!$H$89)),MAX(0,'Вводные'!$B$26*'Вводные'!$V$89-CX38)*'Вводные'!$B$29/12,0)+IF(AND(YEAR(CX$3)=YEAR($B$7),MONTH(CX$3)=MONTH($B$7)),'Вводные'!$B$26*'Вводные'!$V$89*'Вводные'!$B$30,0)</x:f>
      </x:c>
      <x:c r="CY43" s="117" t="n">
        <x:f>IF(AND(OR(CY38&gt;0,CY$3&lt;=$B$8),CY$3&gt;=$B$7,CY$3&lt;EDATE($B$8,'Вводные'!$H$89)),MAX(0,'Вводные'!$B$26*'Вводные'!$V$89-CY38)*'Вводные'!$B$29/12,0)+IF(AND(YEAR(CY$3)=YEAR($B$7),MONTH(CY$3)=MONTH($B$7)),'Вводные'!$B$26*'Вводные'!$V$89*'Вводные'!$B$30,0)</x:f>
      </x:c>
      <x:c r="CZ43" s="117" t="n">
        <x:f>IF(AND(OR(CZ38&gt;0,CZ$3&lt;=$B$8),CZ$3&gt;=$B$7,CZ$3&lt;EDATE($B$8,'Вводные'!$H$89)),MAX(0,'Вводные'!$B$26*'Вводные'!$V$89-CZ38)*'Вводные'!$B$29/12,0)+IF(AND(YEAR(CZ$3)=YEAR($B$7),MONTH(CZ$3)=MONTH($B$7)),'Вводные'!$B$26*'Вводные'!$V$89*'Вводные'!$B$30,0)</x:f>
      </x:c>
      <x:c r="DA43" s="117" t="n">
        <x:f>IF(AND(OR(DA38&gt;0,DA$3&lt;=$B$8),DA$3&gt;=$B$7,DA$3&lt;EDATE($B$8,'Вводные'!$H$89)),MAX(0,'Вводные'!$B$26*'Вводные'!$V$89-DA38)*'Вводные'!$B$29/12,0)+IF(AND(YEAR(DA$3)=YEAR($B$7),MONTH(DA$3)=MONTH($B$7)),'Вводные'!$B$26*'Вводные'!$V$89*'Вводные'!$B$30,0)</x:f>
      </x:c>
      <x:c r="DB43" s="117" t="n">
        <x:f>IF(AND(OR(DB38&gt;0,DB$3&lt;=$B$8),DB$3&gt;=$B$7,DB$3&lt;EDATE($B$8,'Вводные'!$H$89)),MAX(0,'Вводные'!$B$26*'Вводные'!$V$89-DB38)*'Вводные'!$B$29/12,0)+IF(AND(YEAR(DB$3)=YEAR($B$7),MONTH(DB$3)=MONTH($B$7)),'Вводные'!$B$26*'Вводные'!$V$89*'Вводные'!$B$30,0)</x:f>
      </x:c>
      <x:c r="DC43" s="117" t="n">
        <x:f>IF(AND(OR(DC38&gt;0,DC$3&lt;=$B$8),DC$3&gt;=$B$7,DC$3&lt;EDATE($B$8,'Вводные'!$H$89)),MAX(0,'Вводные'!$B$26*'Вводные'!$V$89-DC38)*'Вводные'!$B$29/12,0)+IF(AND(YEAR(DC$3)=YEAR($B$7),MONTH(DC$3)=MONTH($B$7)),'Вводные'!$B$26*'Вводные'!$V$89*'Вводные'!$B$30,0)</x:f>
      </x:c>
      <x:c r="DD43" s="117" t="n">
        <x:f>IF(AND(OR(DD38&gt;0,DD$3&lt;=$B$8),DD$3&gt;=$B$7,DD$3&lt;EDATE($B$8,'Вводные'!$H$89)),MAX(0,'Вводные'!$B$26*'Вводные'!$V$89-DD38)*'Вводные'!$B$29/12,0)+IF(AND(YEAR(DD$3)=YEAR($B$7),MONTH(DD$3)=MONTH($B$7)),'Вводные'!$B$26*'Вводные'!$V$89*'Вводные'!$B$30,0)</x:f>
      </x:c>
      <x:c r="DE43" s="117" t="n">
        <x:f>IF(AND(OR(DE38&gt;0,DE$3&lt;=$B$8),DE$3&gt;=$B$7,DE$3&lt;EDATE($B$8,'Вводные'!$H$89)),MAX(0,'Вводные'!$B$26*'Вводные'!$V$89-DE38)*'Вводные'!$B$29/12,0)+IF(AND(YEAR(DE$3)=YEAR($B$7),MONTH(DE$3)=MONTH($B$7)),'Вводные'!$B$26*'Вводные'!$V$89*'Вводные'!$B$30,0)</x:f>
      </x:c>
      <x:c r="DF43" s="117" t="n">
        <x:f>IF(AND(OR(DF38&gt;0,DF$3&lt;=$B$8),DF$3&gt;=$B$7,DF$3&lt;EDATE($B$8,'Вводные'!$H$89)),MAX(0,'Вводные'!$B$26*'Вводные'!$V$89-DF38)*'Вводные'!$B$29/12,0)+IF(AND(YEAR(DF$3)=YEAR($B$7),MONTH(DF$3)=MONTH($B$7)),'Вводные'!$B$26*'Вводные'!$V$89*'Вводные'!$B$30,0)</x:f>
      </x:c>
      <x:c r="DG43" s="117" t="n">
        <x:f>IF(AND(OR(DG38&gt;0,DG$3&lt;=$B$8),DG$3&gt;=$B$7,DG$3&lt;EDATE($B$8,'Вводные'!$H$89)),MAX(0,'Вводные'!$B$26*'Вводные'!$V$89-DG38)*'Вводные'!$B$29/12,0)+IF(AND(YEAR(DG$3)=YEAR($B$7),MONTH(DG$3)=MONTH($B$7)),'Вводные'!$B$26*'Вводные'!$V$89*'Вводные'!$B$30,0)</x:f>
      </x:c>
      <x:c r="DH43" s="117" t="n">
        <x:f>IF(AND(OR(DH38&gt;0,DH$3&lt;=$B$8),DH$3&gt;=$B$7,DH$3&lt;EDATE($B$8,'Вводные'!$H$89)),MAX(0,'Вводные'!$B$26*'Вводные'!$V$89-DH38)*'Вводные'!$B$29/12,0)+IF(AND(YEAR(DH$3)=YEAR($B$7),MONTH(DH$3)=MONTH($B$7)),'Вводные'!$B$26*'Вводные'!$V$89*'Вводные'!$B$30,0)</x:f>
      </x:c>
      <x:c r="DI43" s="117" t="n">
        <x:f>IF(AND(OR(DI38&gt;0,DI$3&lt;=$B$8),DI$3&gt;=$B$7,DI$3&lt;EDATE($B$8,'Вводные'!$H$89)),MAX(0,'Вводные'!$B$26*'Вводные'!$V$89-DI38)*'Вводные'!$B$29/12,0)+IF(AND(YEAR(DI$3)=YEAR($B$7),MONTH(DI$3)=MONTH($B$7)),'Вводные'!$B$26*'Вводные'!$V$89*'Вводные'!$B$30,0)</x:f>
      </x:c>
      <x:c r="DJ43" s="117" t="n">
        <x:f>IF(AND(OR(DJ38&gt;0,DJ$3&lt;=$B$8),DJ$3&gt;=$B$7,DJ$3&lt;EDATE($B$8,'Вводные'!$H$89)),MAX(0,'Вводные'!$B$26*'Вводные'!$V$89-DJ38)*'Вводные'!$B$29/12,0)+IF(AND(YEAR(DJ$3)=YEAR($B$7),MONTH(DJ$3)=MONTH($B$7)),'Вводные'!$B$26*'Вводные'!$V$89*'Вводные'!$B$30,0)</x:f>
      </x:c>
      <x:c r="DK43" s="117" t="n">
        <x:f>IF(AND(OR(DK38&gt;0,DK$3&lt;=$B$8),DK$3&gt;=$B$7,DK$3&lt;EDATE($B$8,'Вводные'!$H$89)),MAX(0,'Вводные'!$B$26*'Вводные'!$V$89-DK38)*'Вводные'!$B$29/12,0)+IF(AND(YEAR(DK$3)=YEAR($B$7),MONTH(DK$3)=MONTH($B$7)),'Вводные'!$B$26*'Вводные'!$V$89*'Вводные'!$B$30,0)</x:f>
      </x:c>
      <x:c r="DL43" s="117" t="n">
        <x:f>IF(AND(OR(DL38&gt;0,DL$3&lt;=$B$8),DL$3&gt;=$B$7,DL$3&lt;EDATE($B$8,'Вводные'!$H$89)),MAX(0,'Вводные'!$B$26*'Вводные'!$V$89-DL38)*'Вводные'!$B$29/12,0)+IF(AND(YEAR(DL$3)=YEAR($B$7),MONTH(DL$3)=MONTH($B$7)),'Вводные'!$B$26*'Вводные'!$V$89*'Вводные'!$B$30,0)</x:f>
      </x:c>
      <x:c r="DM43" s="117" t="n">
        <x:f>IF(AND(OR(DM38&gt;0,DM$3&lt;=$B$8),DM$3&gt;=$B$7,DM$3&lt;EDATE($B$8,'Вводные'!$H$89)),MAX(0,'Вводные'!$B$26*'Вводные'!$V$89-DM38)*'Вводные'!$B$29/12,0)+IF(AND(YEAR(DM$3)=YEAR($B$7),MONTH(DM$3)=MONTH($B$7)),'Вводные'!$B$26*'Вводные'!$V$89*'Вводные'!$B$30,0)</x:f>
      </x:c>
      <x:c r="DN43" s="117" t="n">
        <x:f>IF(AND(OR(DN38&gt;0,DN$3&lt;=$B$8),DN$3&gt;=$B$7,DN$3&lt;EDATE($B$8,'Вводные'!$H$89)),MAX(0,'Вводные'!$B$26*'Вводные'!$V$89-DN38)*'Вводные'!$B$29/12,0)+IF(AND(YEAR(DN$3)=YEAR($B$7),MONTH(DN$3)=MONTH($B$7)),'Вводные'!$B$26*'Вводные'!$V$89*'Вводные'!$B$30,0)</x:f>
      </x:c>
      <x:c r="DO43" s="117" t="n">
        <x:f>IF(AND(OR(DO38&gt;0,DO$3&lt;=$B$8),DO$3&gt;=$B$7,DO$3&lt;EDATE($B$8,'Вводные'!$H$89)),MAX(0,'Вводные'!$B$26*'Вводные'!$V$89-DO38)*'Вводные'!$B$29/12,0)+IF(AND(YEAR(DO$3)=YEAR($B$7),MONTH(DO$3)=MONTH($B$7)),'Вводные'!$B$26*'Вводные'!$V$89*'Вводные'!$B$30,0)</x:f>
      </x:c>
      <x:c r="DP43" s="117" t="n">
        <x:f>IF(AND(OR(DP38&gt;0,DP$3&lt;=$B$8),DP$3&gt;=$B$7,DP$3&lt;EDATE($B$8,'Вводные'!$H$89)),MAX(0,'Вводные'!$B$26*'Вводные'!$V$89-DP38)*'Вводные'!$B$29/12,0)+IF(AND(YEAR(DP$3)=YEAR($B$7),MONTH(DP$3)=MONTH($B$7)),'Вводные'!$B$26*'Вводные'!$V$89*'Вводные'!$B$30,0)</x:f>
      </x:c>
      <x:c r="DQ43" s="117" t="n">
        <x:f>IF(AND(OR(DQ38&gt;0,DQ$3&lt;=$B$8),DQ$3&gt;=$B$7,DQ$3&lt;EDATE($B$8,'Вводные'!$H$89)),MAX(0,'Вводные'!$B$26*'Вводные'!$V$89-DQ38)*'Вводные'!$B$29/12,0)+IF(AND(YEAR(DQ$3)=YEAR($B$7),MONTH(DQ$3)=MONTH($B$7)),'Вводные'!$B$26*'Вводные'!$V$89*'Вводные'!$B$30,0)</x:f>
      </x:c>
      <x:c r="DR43" s="117" t="n">
        <x:f>IF(AND(OR(DR38&gt;0,DR$3&lt;=$B$8),DR$3&gt;=$B$7,DR$3&lt;EDATE($B$8,'Вводные'!$H$89)),MAX(0,'Вводные'!$B$26*'Вводные'!$V$89-DR38)*'Вводные'!$B$29/12,0)+IF(AND(YEAR(DR$3)=YEAR($B$7),MONTH(DR$3)=MONTH($B$7)),'Вводные'!$B$26*'Вводные'!$V$89*'Вводные'!$B$30,0)</x:f>
      </x:c>
      <x:c r="DS43" s="117" t="n">
        <x:f>IF(AND(OR(DS38&gt;0,DS$3&lt;=$B$8),DS$3&gt;=$B$7,DS$3&lt;EDATE($B$8,'Вводные'!$H$89)),MAX(0,'Вводные'!$B$26*'Вводные'!$V$89-DS38)*'Вводные'!$B$29/12,0)+IF(AND(YEAR(DS$3)=YEAR($B$7),MONTH(DS$3)=MONTH($B$7)),'Вводные'!$B$26*'Вводные'!$V$89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MIN(MAX(0,'Вводные'!$B$24*'Вводные'!$U$90-D30),D33)</x:f>
      </x:c>
      <x:c r="E34" s="117" t="n">
        <x:f>MIN(MAX(0,'Вводные'!$B$24*'Вводные'!$U$90-E30),E33)</x:f>
      </x:c>
      <x:c r="F34" s="117" t="n">
        <x:f>MIN(MAX(0,'Вводные'!$B$24*'Вводные'!$U$90-F30),F33)</x:f>
      </x:c>
      <x:c r="G34" s="117" t="n">
        <x:f>MIN(MAX(0,'Вводные'!$B$24*'Вводные'!$U$90-G30),G33)</x:f>
      </x:c>
      <x:c r="H34" s="117" t="n">
        <x:f>MIN(MAX(0,'Вводные'!$B$24*'Вводные'!$U$90-H30),H33)</x:f>
      </x:c>
      <x:c r="I34" s="117" t="n">
        <x:f>MIN(MAX(0,'Вводные'!$B$24*'Вводные'!$U$90-I30),I33)</x:f>
      </x:c>
      <x:c r="J34" s="117" t="n">
        <x:f>MIN(MAX(0,'Вводные'!$B$24*'Вводные'!$U$90-J30),J33)</x:f>
      </x:c>
      <x:c r="K34" s="117" t="n">
        <x:f>MIN(MAX(0,'Вводные'!$B$24*'Вводные'!$U$90-K30),K33)</x:f>
      </x:c>
      <x:c r="L34" s="117" t="n">
        <x:f>MIN(MAX(0,'Вводные'!$B$24*'Вводные'!$U$90-L30),L33)</x:f>
      </x:c>
      <x:c r="M34" s="117" t="n">
        <x:f>MIN(MAX(0,'Вводные'!$B$24*'Вводные'!$U$90-M30),M33)</x:f>
      </x:c>
      <x:c r="N34" s="117" t="n">
        <x:f>MIN(MAX(0,'Вводные'!$B$24*'Вводные'!$U$90-N30),N33)</x:f>
      </x:c>
      <x:c r="O34" s="117" t="n">
        <x:f>MIN(MAX(0,'Вводные'!$B$24*'Вводные'!$U$90-O30),O33)</x:f>
      </x:c>
      <x:c r="P34" s="117" t="n">
        <x:f>MIN(MAX(0,'Вводные'!$B$24*'Вводные'!$U$90-P30),P33)</x:f>
      </x:c>
      <x:c r="Q34" s="117" t="n">
        <x:f>MIN(MAX(0,'Вводные'!$B$24*'Вводные'!$U$90-Q30),Q33)</x:f>
      </x:c>
      <x:c r="R34" s="117" t="n">
        <x:f>MIN(MAX(0,'Вводные'!$B$24*'Вводные'!$U$90-R30),R33)</x:f>
      </x:c>
      <x:c r="S34" s="117" t="n">
        <x:f>MIN(MAX(0,'Вводные'!$B$24*'Вводные'!$U$90-S30),S33)</x:f>
      </x:c>
      <x:c r="T34" s="117" t="n">
        <x:f>MIN(MAX(0,'Вводные'!$B$24*'Вводные'!$U$90-T30),T33)</x:f>
      </x:c>
      <x:c r="U34" s="117" t="n">
        <x:f>MIN(MAX(0,'Вводные'!$B$24*'Вводные'!$U$90-U30),U33)</x:f>
      </x:c>
      <x:c r="V34" s="117" t="n">
        <x:f>MIN(MAX(0,'Вводные'!$B$24*'Вводные'!$U$90-V30),V33)</x:f>
      </x:c>
      <x:c r="W34" s="117" t="n">
        <x:f>MIN(MAX(0,'Вводные'!$B$24*'Вводные'!$U$90-W30),W33)</x:f>
      </x:c>
      <x:c r="X34" s="117" t="n">
        <x:f>MIN(MAX(0,'Вводные'!$B$24*'Вводные'!$U$90-X30),X33)</x:f>
      </x:c>
      <x:c r="Y34" s="117" t="n">
        <x:f>MIN(MAX(0,'Вводные'!$B$24*'Вводные'!$U$90-Y30),Y33)</x:f>
      </x:c>
      <x:c r="Z34" s="117" t="n">
        <x:f>MIN(MAX(0,'Вводные'!$B$24*'Вводные'!$U$90-Z30),Z33)</x:f>
      </x:c>
      <x:c r="AA34" s="117" t="n">
        <x:f>MIN(MAX(0,'Вводные'!$B$24*'Вводные'!$U$90-AA30),AA33)</x:f>
      </x:c>
      <x:c r="AB34" s="117" t="n">
        <x:f>MIN(MAX(0,'Вводные'!$B$24*'Вводные'!$U$90-AB30),AB33)</x:f>
      </x:c>
      <x:c r="AC34" s="117" t="n">
        <x:f>MIN(MAX(0,'Вводные'!$B$24*'Вводные'!$U$90-AC30),AC33)</x:f>
      </x:c>
      <x:c r="AD34" s="117" t="n">
        <x:f>MIN(MAX(0,'Вводные'!$B$24*'Вводные'!$U$90-AD30),AD33)</x:f>
      </x:c>
      <x:c r="AE34" s="117" t="n">
        <x:f>MIN(MAX(0,'Вводные'!$B$24*'Вводные'!$U$90-AE30),AE33)</x:f>
      </x:c>
      <x:c r="AF34" s="117" t="n">
        <x:f>MIN(MAX(0,'Вводные'!$B$24*'Вводные'!$U$90-AF30),AF33)</x:f>
      </x:c>
      <x:c r="AG34" s="117" t="n">
        <x:f>MIN(MAX(0,'Вводные'!$B$24*'Вводные'!$U$90-AG30),AG33)</x:f>
      </x:c>
      <x:c r="AH34" s="117" t="n">
        <x:f>MIN(MAX(0,'Вводные'!$B$24*'Вводные'!$U$90-AH30),AH33)</x:f>
      </x:c>
      <x:c r="AI34" s="117" t="n">
        <x:f>MIN(MAX(0,'Вводные'!$B$24*'Вводные'!$U$90-AI30),AI33)</x:f>
      </x:c>
      <x:c r="AJ34" s="117" t="n">
        <x:f>MIN(MAX(0,'Вводные'!$B$24*'Вводные'!$U$90-AJ30),AJ33)</x:f>
      </x:c>
      <x:c r="AK34" s="117" t="n">
        <x:f>MIN(MAX(0,'Вводные'!$B$24*'Вводные'!$U$90-AK30),AK33)</x:f>
      </x:c>
      <x:c r="AL34" s="117" t="n">
        <x:f>MIN(MAX(0,'Вводные'!$B$24*'Вводные'!$U$90-AL30),AL33)</x:f>
      </x:c>
      <x:c r="AM34" s="117" t="n">
        <x:f>MIN(MAX(0,'Вводные'!$B$24*'Вводные'!$U$90-AM30),AM33)</x:f>
      </x:c>
      <x:c r="AN34" s="117" t="n">
        <x:f>MIN(MAX(0,'Вводные'!$B$24*'Вводные'!$U$90-AN30),AN33)</x:f>
      </x:c>
      <x:c r="AO34" s="117" t="n">
        <x:f>MIN(MAX(0,'Вводные'!$B$24*'Вводные'!$U$90-AO30),AO33)</x:f>
      </x:c>
      <x:c r="AP34" s="117" t="n">
        <x:f>MIN(MAX(0,'Вводные'!$B$24*'Вводные'!$U$90-AP30),AP33)</x:f>
      </x:c>
      <x:c r="AQ34" s="117" t="n">
        <x:f>MIN(MAX(0,'Вводные'!$B$24*'Вводные'!$U$90-AQ30),AQ33)</x:f>
      </x:c>
      <x:c r="AR34" s="117" t="n">
        <x:f>MIN(MAX(0,'Вводные'!$B$24*'Вводные'!$U$90-AR30),AR33)</x:f>
      </x:c>
      <x:c r="AS34" s="117" t="n">
        <x:f>MIN(MAX(0,'Вводные'!$B$24*'Вводные'!$U$90-AS30),AS33)</x:f>
      </x:c>
      <x:c r="AT34" s="117" t="n">
        <x:f>MIN(MAX(0,'Вводные'!$B$24*'Вводные'!$U$90-AT30),AT33)</x:f>
      </x:c>
      <x:c r="AU34" s="117" t="n">
        <x:f>MIN(MAX(0,'Вводные'!$B$24*'Вводные'!$U$90-AU30),AU33)</x:f>
      </x:c>
      <x:c r="AV34" s="117" t="n">
        <x:f>MIN(MAX(0,'Вводные'!$B$24*'Вводные'!$U$90-AV30),AV33)</x:f>
      </x:c>
      <x:c r="AW34" s="117" t="n">
        <x:f>MIN(MAX(0,'Вводные'!$B$24*'Вводные'!$U$90-AW30),AW33)</x:f>
      </x:c>
      <x:c r="AX34" s="117" t="n">
        <x:f>MIN(MAX(0,'Вводные'!$B$24*'Вводные'!$U$90-AX30),AX33)</x:f>
      </x:c>
      <x:c r="AY34" s="117" t="n">
        <x:f>MIN(MAX(0,'Вводные'!$B$24*'Вводные'!$U$90-AY30),AY33)</x:f>
      </x:c>
      <x:c r="AZ34" s="117" t="n">
        <x:f>MIN(MAX(0,'Вводные'!$B$24*'Вводные'!$U$90-AZ30),AZ33)</x:f>
      </x:c>
      <x:c r="BA34" s="117" t="n">
        <x:f>MIN(MAX(0,'Вводные'!$B$24*'Вводные'!$U$90-BA30),BA33)</x:f>
      </x:c>
      <x:c r="BB34" s="117" t="n">
        <x:f>MIN(MAX(0,'Вводные'!$B$24*'Вводные'!$U$90-BB30),BB33)</x:f>
      </x:c>
      <x:c r="BC34" s="117" t="n">
        <x:f>MIN(MAX(0,'Вводные'!$B$24*'Вводные'!$U$90-BC30),BC33)</x:f>
      </x:c>
      <x:c r="BD34" s="117" t="n">
        <x:f>MIN(MAX(0,'Вводные'!$B$24*'Вводные'!$U$90-BD30),BD33)</x:f>
      </x:c>
      <x:c r="BE34" s="117" t="n">
        <x:f>MIN(MAX(0,'Вводные'!$B$24*'Вводные'!$U$90-BE30),BE33)</x:f>
      </x:c>
      <x:c r="BF34" s="117" t="n">
        <x:f>MIN(MAX(0,'Вводные'!$B$24*'Вводные'!$U$90-BF30),BF33)</x:f>
      </x:c>
      <x:c r="BG34" s="117" t="n">
        <x:f>MIN(MAX(0,'Вводные'!$B$24*'Вводные'!$U$90-BG30),BG33)</x:f>
      </x:c>
      <x:c r="BH34" s="117" t="n">
        <x:f>MIN(MAX(0,'Вводные'!$B$24*'Вводные'!$U$90-BH30),BH33)</x:f>
      </x:c>
      <x:c r="BI34" s="117" t="n">
        <x:f>MIN(MAX(0,'Вводные'!$B$24*'Вводные'!$U$90-BI30),BI33)</x:f>
      </x:c>
      <x:c r="BJ34" s="117" t="n">
        <x:f>MIN(MAX(0,'Вводные'!$B$24*'Вводные'!$U$90-BJ30),BJ33)</x:f>
      </x:c>
      <x:c r="BK34" s="117" t="n">
        <x:f>MIN(MAX(0,'Вводные'!$B$24*'Вводные'!$U$90-BK30),BK33)</x:f>
      </x:c>
      <x:c r="BL34" s="117" t="n">
        <x:f>MIN(MAX(0,'Вводные'!$B$24*'Вводные'!$U$90-BL30),BL33)</x:f>
      </x:c>
      <x:c r="BM34" s="117" t="n">
        <x:f>MIN(MAX(0,'Вводные'!$B$24*'Вводные'!$U$90-BM30),BM33)</x:f>
      </x:c>
      <x:c r="BN34" s="117" t="n">
        <x:f>MIN(MAX(0,'Вводные'!$B$24*'Вводные'!$U$90-BN30),BN33)</x:f>
      </x:c>
      <x:c r="BO34" s="117" t="n">
        <x:f>MIN(MAX(0,'Вводные'!$B$24*'Вводные'!$U$90-BO30),BO33)</x:f>
      </x:c>
      <x:c r="BP34" s="117" t="n">
        <x:f>MIN(MAX(0,'Вводные'!$B$24*'Вводные'!$U$90-BP30),BP33)</x:f>
      </x:c>
      <x:c r="BQ34" s="117" t="n">
        <x:f>MIN(MAX(0,'Вводные'!$B$24*'Вводные'!$U$90-BQ30),BQ33)</x:f>
      </x:c>
      <x:c r="BR34" s="117" t="n">
        <x:f>MIN(MAX(0,'Вводные'!$B$24*'Вводные'!$U$90-BR30),BR33)</x:f>
      </x:c>
      <x:c r="BS34" s="117" t="n">
        <x:f>MIN(MAX(0,'Вводные'!$B$24*'Вводные'!$U$90-BS30),BS33)</x:f>
      </x:c>
      <x:c r="BT34" s="117" t="n">
        <x:f>MIN(MAX(0,'Вводные'!$B$24*'Вводные'!$U$90-BT30),BT33)</x:f>
      </x:c>
      <x:c r="BU34" s="117" t="n">
        <x:f>MIN(MAX(0,'Вводные'!$B$24*'Вводные'!$U$90-BU30),BU33)</x:f>
      </x:c>
      <x:c r="BV34" s="117" t="n">
        <x:f>MIN(MAX(0,'Вводные'!$B$24*'Вводные'!$U$90-BV30),BV33)</x:f>
      </x:c>
      <x:c r="BW34" s="117" t="n">
        <x:f>MIN(MAX(0,'Вводные'!$B$24*'Вводные'!$U$90-BW30),BW33)</x:f>
      </x:c>
      <x:c r="BX34" s="117" t="n">
        <x:f>MIN(MAX(0,'Вводные'!$B$24*'Вводные'!$U$90-BX30),BX33)</x:f>
      </x:c>
      <x:c r="BY34" s="117" t="n">
        <x:f>MIN(MAX(0,'Вводные'!$B$24*'Вводные'!$U$90-BY30),BY33)</x:f>
      </x:c>
      <x:c r="BZ34" s="117" t="n">
        <x:f>MIN(MAX(0,'Вводные'!$B$24*'Вводные'!$U$90-BZ30),BZ33)</x:f>
      </x:c>
      <x:c r="CA34" s="117" t="n">
        <x:f>MIN(MAX(0,'Вводные'!$B$24*'Вводные'!$U$90-CA30),CA33)</x:f>
      </x:c>
      <x:c r="CB34" s="117" t="n">
        <x:f>MIN(MAX(0,'Вводные'!$B$24*'Вводные'!$U$90-CB30),CB33)</x:f>
      </x:c>
      <x:c r="CC34" s="117" t="n">
        <x:f>MIN(MAX(0,'Вводные'!$B$24*'Вводные'!$U$90-CC30),CC33)</x:f>
      </x:c>
      <x:c r="CD34" s="117" t="n">
        <x:f>MIN(MAX(0,'Вводные'!$B$24*'Вводные'!$U$90-CD30),CD33)</x:f>
      </x:c>
      <x:c r="CE34" s="117" t="n">
        <x:f>MIN(MAX(0,'Вводные'!$B$24*'Вводные'!$U$90-CE30),CE33)</x:f>
      </x:c>
      <x:c r="CF34" s="117" t="n">
        <x:f>MIN(MAX(0,'Вводные'!$B$24*'Вводные'!$U$90-CF30),CF33)</x:f>
      </x:c>
      <x:c r="CG34" s="117" t="n">
        <x:f>MIN(MAX(0,'Вводные'!$B$24*'Вводные'!$U$90-CG30),CG33)</x:f>
      </x:c>
      <x:c r="CH34" s="117" t="n">
        <x:f>MIN(MAX(0,'Вводные'!$B$24*'Вводные'!$U$90-CH30),CH33)</x:f>
      </x:c>
      <x:c r="CI34" s="117" t="n">
        <x:f>MIN(MAX(0,'Вводные'!$B$24*'Вводные'!$U$90-CI30),CI33)</x:f>
      </x:c>
      <x:c r="CJ34" s="117" t="n">
        <x:f>MIN(MAX(0,'Вводные'!$B$24*'Вводные'!$U$90-CJ30),CJ33)</x:f>
      </x:c>
      <x:c r="CK34" s="117" t="n">
        <x:f>MIN(MAX(0,'Вводные'!$B$24*'Вводные'!$U$90-CK30),CK33)</x:f>
      </x:c>
      <x:c r="CL34" s="117" t="n">
        <x:f>MIN(MAX(0,'Вводные'!$B$24*'Вводные'!$U$90-CL30),CL33)</x:f>
      </x:c>
      <x:c r="CM34" s="117" t="n">
        <x:f>MIN(MAX(0,'Вводные'!$B$24*'Вводные'!$U$90-CM30),CM33)</x:f>
      </x:c>
      <x:c r="CN34" s="117" t="n">
        <x:f>MIN(MAX(0,'Вводные'!$B$24*'Вводные'!$U$90-CN30),CN33)</x:f>
      </x:c>
      <x:c r="CO34" s="117" t="n">
        <x:f>MIN(MAX(0,'Вводные'!$B$24*'Вводные'!$U$90-CO30),CO33)</x:f>
      </x:c>
      <x:c r="CP34" s="117" t="n">
        <x:f>MIN(MAX(0,'Вводные'!$B$24*'Вводные'!$U$90-CP30),CP33)</x:f>
      </x:c>
      <x:c r="CQ34" s="117" t="n">
        <x:f>MIN(MAX(0,'Вводные'!$B$24*'Вводные'!$U$90-CQ30),CQ33)</x:f>
      </x:c>
      <x:c r="CR34" s="117" t="n">
        <x:f>MIN(MAX(0,'Вводные'!$B$24*'Вводные'!$U$90-CR30),CR33)</x:f>
      </x:c>
      <x:c r="CS34" s="117" t="n">
        <x:f>MIN(MAX(0,'Вводные'!$B$24*'Вводные'!$U$90-CS30),CS33)</x:f>
      </x:c>
      <x:c r="CT34" s="117" t="n">
        <x:f>MIN(MAX(0,'Вводные'!$B$24*'Вводные'!$U$90-CT30),CT33)</x:f>
      </x:c>
      <x:c r="CU34" s="117" t="n">
        <x:f>MIN(MAX(0,'Вводные'!$B$24*'Вводные'!$U$90-CU30),CU33)</x:f>
      </x:c>
      <x:c r="CV34" s="117" t="n">
        <x:f>MIN(MAX(0,'Вводные'!$B$24*'Вводные'!$U$90-CV30),CV33)</x:f>
      </x:c>
      <x:c r="CW34" s="117" t="n">
        <x:f>MIN(MAX(0,'Вводные'!$B$24*'Вводные'!$U$90-CW30),CW33)</x:f>
      </x:c>
      <x:c r="CX34" s="117" t="n">
        <x:f>MIN(MAX(0,'Вводные'!$B$24*'Вводные'!$U$90-CX30),CX33)</x:f>
      </x:c>
      <x:c r="CY34" s="117" t="n">
        <x:f>MIN(MAX(0,'Вводные'!$B$24*'Вводные'!$U$90-CY30),CY33)</x:f>
      </x:c>
      <x:c r="CZ34" s="117" t="n">
        <x:f>MIN(MAX(0,'Вводные'!$B$24*'Вводные'!$U$90-CZ30),CZ33)</x:f>
      </x:c>
      <x:c r="DA34" s="117" t="n">
        <x:f>MIN(MAX(0,'Вводные'!$B$24*'Вводные'!$U$90-DA30),DA33)</x:f>
      </x:c>
      <x:c r="DB34" s="117" t="n">
        <x:f>MIN(MAX(0,'Вводные'!$B$24*'Вводные'!$U$90-DB30),DB33)</x:f>
      </x:c>
      <x:c r="DC34" s="117" t="n">
        <x:f>MIN(MAX(0,'Вводные'!$B$24*'Вводные'!$U$90-DC30),DC33)</x:f>
      </x:c>
      <x:c r="DD34" s="117" t="n">
        <x:f>MIN(MAX(0,'Вводные'!$B$24*'Вводные'!$U$90-DD30),DD33)</x:f>
      </x:c>
      <x:c r="DE34" s="117" t="n">
        <x:f>MIN(MAX(0,'Вводные'!$B$24*'Вводные'!$U$90-DE30),DE33)</x:f>
      </x:c>
      <x:c r="DF34" s="117" t="n">
        <x:f>MIN(MAX(0,'Вводные'!$B$24*'Вводные'!$U$90-DF30),DF33)</x:f>
      </x:c>
      <x:c r="DG34" s="117" t="n">
        <x:f>MIN(MAX(0,'Вводные'!$B$24*'Вводные'!$U$90-DG30),DG33)</x:f>
      </x:c>
      <x:c r="DH34" s="117" t="n">
        <x:f>MIN(MAX(0,'Вводные'!$B$24*'Вводные'!$U$90-DH30),DH33)</x:f>
      </x:c>
      <x:c r="DI34" s="117" t="n">
        <x:f>MIN(MAX(0,'Вводные'!$B$24*'Вводные'!$U$90-DI30),DI33)</x:f>
      </x:c>
      <x:c r="DJ34" s="117" t="n">
        <x:f>MIN(MAX(0,'Вводные'!$B$24*'Вводные'!$U$90-DJ30),DJ33)</x:f>
      </x:c>
      <x:c r="DK34" s="117" t="n">
        <x:f>MIN(MAX(0,'Вводные'!$B$24*'Вводные'!$U$90-DK30),DK33)</x:f>
      </x:c>
      <x:c r="DL34" s="117" t="n">
        <x:f>MIN(MAX(0,'Вводные'!$B$24*'Вводные'!$U$90-DL30),DL33)</x:f>
      </x:c>
      <x:c r="DM34" s="117" t="n">
        <x:f>MIN(MAX(0,'Вводные'!$B$24*'Вводные'!$U$90-DM30),DM33)</x:f>
      </x:c>
      <x:c r="DN34" s="117" t="n">
        <x:f>MIN(MAX(0,'Вводные'!$B$24*'Вводные'!$U$90-DN30),DN33)</x:f>
      </x:c>
      <x:c r="DO34" s="117" t="n">
        <x:f>MIN(MAX(0,'Вводные'!$B$24*'Вводные'!$U$90-DO30),DO33)</x:f>
      </x:c>
      <x:c r="DP34" s="117" t="n">
        <x:f>MIN(MAX(0,'Вводные'!$B$24*'Вводные'!$U$90-DP30),DP33)</x:f>
      </x:c>
      <x:c r="DQ34" s="117" t="n">
        <x:f>MIN(MAX(0,'Вводные'!$B$24*'Вводные'!$U$90-DQ30),DQ33)</x:f>
      </x:c>
      <x:c r="DR34" s="117" t="n">
        <x:f>MIN(MAX(0,'Вводные'!$B$24*'Вводные'!$U$90-DR30),DR33)</x:f>
      </x:c>
      <x:c r="DS34" s="117" t="n">
        <x:f>MIN(MAX(0,'Вводные'!$B$24*'Вводные'!$U$90-DS30),DS33)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IF(AND(D38&gt;0,D$3&lt;EDATE($B$8,'Вводные'!$H$90)),D38*D41/12,0)</x:f>
      </x:c>
      <x:c r="E42" s="117" t="n">
        <x:f>IF(AND(E38&gt;0,E$3&lt;EDATE($B$8,'Вводные'!$H$90)),E38*E41/12,0)</x:f>
      </x:c>
      <x:c r="F42" s="117" t="n">
        <x:f>IF(AND(F38&gt;0,F$3&lt;EDATE($B$8,'Вводные'!$H$90)),F38*F41/12,0)</x:f>
      </x:c>
      <x:c r="G42" s="117" t="n">
        <x:f>IF(AND(G38&gt;0,G$3&lt;EDATE($B$8,'Вводные'!$H$90)),G38*G41/12,0)</x:f>
      </x:c>
      <x:c r="H42" s="117" t="n">
        <x:f>IF(AND(H38&gt;0,H$3&lt;EDATE($B$8,'Вводные'!$H$90)),H38*H41/12,0)</x:f>
      </x:c>
      <x:c r="I42" s="117" t="n">
        <x:f>IF(AND(I38&gt;0,I$3&lt;EDATE($B$8,'Вводные'!$H$90)),I38*I41/12,0)</x:f>
      </x:c>
      <x:c r="J42" s="117" t="n">
        <x:f>IF(AND(J38&gt;0,J$3&lt;EDATE($B$8,'Вводные'!$H$90)),J38*J41/12,0)</x:f>
      </x:c>
      <x:c r="K42" s="117" t="n">
        <x:f>IF(AND(K38&gt;0,K$3&lt;EDATE($B$8,'Вводные'!$H$90)),K38*K41/12,0)</x:f>
      </x:c>
      <x:c r="L42" s="117" t="n">
        <x:f>IF(AND(L38&gt;0,L$3&lt;EDATE($B$8,'Вводные'!$H$90)),L38*L41/12,0)</x:f>
      </x:c>
      <x:c r="M42" s="117" t="n">
        <x:f>IF(AND(M38&gt;0,M$3&lt;EDATE($B$8,'Вводные'!$H$90)),M38*M41/12,0)</x:f>
      </x:c>
      <x:c r="N42" s="117" t="n">
        <x:f>IF(AND(N38&gt;0,N$3&lt;EDATE($B$8,'Вводные'!$H$90)),N38*N41/12,0)</x:f>
      </x:c>
      <x:c r="O42" s="117" t="n">
        <x:f>IF(AND(O38&gt;0,O$3&lt;EDATE($B$8,'Вводные'!$H$90)),O38*O41/12,0)</x:f>
      </x:c>
      <x:c r="P42" s="117" t="n">
        <x:f>IF(AND(P38&gt;0,P$3&lt;EDATE($B$8,'Вводные'!$H$90)),P38*P41/12,0)</x:f>
      </x:c>
      <x:c r="Q42" s="117" t="n">
        <x:f>IF(AND(Q38&gt;0,Q$3&lt;EDATE($B$8,'Вводные'!$H$90)),Q38*Q41/12,0)</x:f>
      </x:c>
      <x:c r="R42" s="117" t="n">
        <x:f>IF(AND(R38&gt;0,R$3&lt;EDATE($B$8,'Вводные'!$H$90)),R38*R41/12,0)</x:f>
      </x:c>
      <x:c r="S42" s="117" t="n">
        <x:f>IF(AND(S38&gt;0,S$3&lt;EDATE($B$8,'Вводные'!$H$90)),S38*S41/12,0)</x:f>
      </x:c>
      <x:c r="T42" s="117" t="n">
        <x:f>IF(AND(T38&gt;0,T$3&lt;EDATE($B$8,'Вводные'!$H$90)),T38*T41/12,0)</x:f>
      </x:c>
      <x:c r="U42" s="117" t="n">
        <x:f>IF(AND(U38&gt;0,U$3&lt;EDATE($B$8,'Вводные'!$H$90)),U38*U41/12,0)</x:f>
      </x:c>
      <x:c r="V42" s="117" t="n">
        <x:f>IF(AND(V38&gt;0,V$3&lt;EDATE($B$8,'Вводные'!$H$90)),V38*V41/12,0)</x:f>
      </x:c>
      <x:c r="W42" s="117" t="n">
        <x:f>IF(AND(W38&gt;0,W$3&lt;EDATE($B$8,'Вводные'!$H$90)),W38*W41/12,0)</x:f>
      </x:c>
      <x:c r="X42" s="117" t="n">
        <x:f>IF(AND(X38&gt;0,X$3&lt;EDATE($B$8,'Вводные'!$H$90)),X38*X41/12,0)</x:f>
      </x:c>
      <x:c r="Y42" s="117" t="n">
        <x:f>IF(AND(Y38&gt;0,Y$3&lt;EDATE($B$8,'Вводные'!$H$90)),Y38*Y41/12,0)</x:f>
      </x:c>
      <x:c r="Z42" s="117" t="n">
        <x:f>IF(AND(Z38&gt;0,Z$3&lt;EDATE($B$8,'Вводные'!$H$90)),Z38*Z41/12,0)</x:f>
      </x:c>
      <x:c r="AA42" s="117" t="n">
        <x:f>IF(AND(AA38&gt;0,AA$3&lt;EDATE($B$8,'Вводные'!$H$90)),AA38*AA41/12,0)</x:f>
      </x:c>
      <x:c r="AB42" s="117" t="n">
        <x:f>IF(AND(AB38&gt;0,AB$3&lt;EDATE($B$8,'Вводные'!$H$90)),AB38*AB41/12,0)</x:f>
      </x:c>
      <x:c r="AC42" s="117" t="n">
        <x:f>IF(AND(AC38&gt;0,AC$3&lt;EDATE($B$8,'Вводные'!$H$90)),AC38*AC41/12,0)</x:f>
      </x:c>
      <x:c r="AD42" s="117" t="n">
        <x:f>IF(AND(AD38&gt;0,AD$3&lt;EDATE($B$8,'Вводные'!$H$90)),AD38*AD41/12,0)</x:f>
      </x:c>
      <x:c r="AE42" s="117" t="n">
        <x:f>IF(AND(AE38&gt;0,AE$3&lt;EDATE($B$8,'Вводные'!$H$90)),AE38*AE41/12,0)</x:f>
      </x:c>
      <x:c r="AF42" s="117" t="n">
        <x:f>IF(AND(AF38&gt;0,AF$3&lt;EDATE($B$8,'Вводные'!$H$90)),AF38*AF41/12,0)</x:f>
      </x:c>
      <x:c r="AG42" s="117" t="n">
        <x:f>IF(AND(AG38&gt;0,AG$3&lt;EDATE($B$8,'Вводные'!$H$90)),AG38*AG41/12,0)</x:f>
      </x:c>
      <x:c r="AH42" s="117" t="n">
        <x:f>IF(AND(AH38&gt;0,AH$3&lt;EDATE($B$8,'Вводные'!$H$90)),AH38*AH41/12,0)</x:f>
      </x:c>
      <x:c r="AI42" s="117" t="n">
        <x:f>IF(AND(AI38&gt;0,AI$3&lt;EDATE($B$8,'Вводные'!$H$90)),AI38*AI41/12,0)</x:f>
      </x:c>
      <x:c r="AJ42" s="117" t="n">
        <x:f>IF(AND(AJ38&gt;0,AJ$3&lt;EDATE($B$8,'Вводные'!$H$90)),AJ38*AJ41/12,0)</x:f>
      </x:c>
      <x:c r="AK42" s="117" t="n">
        <x:f>IF(AND(AK38&gt;0,AK$3&lt;EDATE($B$8,'Вводные'!$H$90)),AK38*AK41/12,0)</x:f>
      </x:c>
      <x:c r="AL42" s="117" t="n">
        <x:f>IF(AND(AL38&gt;0,AL$3&lt;EDATE($B$8,'Вводные'!$H$90)),AL38*AL41/12,0)</x:f>
      </x:c>
      <x:c r="AM42" s="117" t="n">
        <x:f>IF(AND(AM38&gt;0,AM$3&lt;EDATE($B$8,'Вводные'!$H$90)),AM38*AM41/12,0)</x:f>
      </x:c>
      <x:c r="AN42" s="117" t="n">
        <x:f>IF(AND(AN38&gt;0,AN$3&lt;EDATE($B$8,'Вводные'!$H$90)),AN38*AN41/12,0)</x:f>
      </x:c>
      <x:c r="AO42" s="117" t="n">
        <x:f>IF(AND(AO38&gt;0,AO$3&lt;EDATE($B$8,'Вводные'!$H$90)),AO38*AO41/12,0)</x:f>
      </x:c>
      <x:c r="AP42" s="117" t="n">
        <x:f>IF(AND(AP38&gt;0,AP$3&lt;EDATE($B$8,'Вводные'!$H$90)),AP38*AP41/12,0)</x:f>
      </x:c>
      <x:c r="AQ42" s="117" t="n">
        <x:f>IF(AND(AQ38&gt;0,AQ$3&lt;EDATE($B$8,'Вводные'!$H$90)),AQ38*AQ41/12,0)</x:f>
      </x:c>
      <x:c r="AR42" s="117" t="n">
        <x:f>IF(AND(AR38&gt;0,AR$3&lt;EDATE($B$8,'Вводные'!$H$90)),AR38*AR41/12,0)</x:f>
      </x:c>
      <x:c r="AS42" s="117" t="n">
        <x:f>IF(AND(AS38&gt;0,AS$3&lt;EDATE($B$8,'Вводные'!$H$90)),AS38*AS41/12,0)</x:f>
      </x:c>
      <x:c r="AT42" s="117" t="n">
        <x:f>IF(AND(AT38&gt;0,AT$3&lt;EDATE($B$8,'Вводные'!$H$90)),AT38*AT41/12,0)</x:f>
      </x:c>
      <x:c r="AU42" s="117" t="n">
        <x:f>IF(AND(AU38&gt;0,AU$3&lt;EDATE($B$8,'Вводные'!$H$90)),AU38*AU41/12,0)</x:f>
      </x:c>
      <x:c r="AV42" s="117" t="n">
        <x:f>IF(AND(AV38&gt;0,AV$3&lt;EDATE($B$8,'Вводные'!$H$90)),AV38*AV41/12,0)</x:f>
      </x:c>
      <x:c r="AW42" s="117" t="n">
        <x:f>IF(AND(AW38&gt;0,AW$3&lt;EDATE($B$8,'Вводные'!$H$90)),AW38*AW41/12,0)</x:f>
      </x:c>
      <x:c r="AX42" s="117" t="n">
        <x:f>IF(AND(AX38&gt;0,AX$3&lt;EDATE($B$8,'Вводные'!$H$90)),AX38*AX41/12,0)</x:f>
      </x:c>
      <x:c r="AY42" s="117" t="n">
        <x:f>IF(AND(AY38&gt;0,AY$3&lt;EDATE($B$8,'Вводные'!$H$90)),AY38*AY41/12,0)</x:f>
      </x:c>
      <x:c r="AZ42" s="117" t="n">
        <x:f>IF(AND(AZ38&gt;0,AZ$3&lt;EDATE($B$8,'Вводные'!$H$90)),AZ38*AZ41/12,0)</x:f>
      </x:c>
      <x:c r="BA42" s="117" t="n">
        <x:f>IF(AND(BA38&gt;0,BA$3&lt;EDATE($B$8,'Вводные'!$H$90)),BA38*BA41/12,0)</x:f>
      </x:c>
      <x:c r="BB42" s="117" t="n">
        <x:f>IF(AND(BB38&gt;0,BB$3&lt;EDATE($B$8,'Вводные'!$H$90)),BB38*BB41/12,0)</x:f>
      </x:c>
      <x:c r="BC42" s="117" t="n">
        <x:f>IF(AND(BC38&gt;0,BC$3&lt;EDATE($B$8,'Вводные'!$H$90)),BC38*BC41/12,0)</x:f>
      </x:c>
      <x:c r="BD42" s="117" t="n">
        <x:f>IF(AND(BD38&gt;0,BD$3&lt;EDATE($B$8,'Вводные'!$H$90)),BD38*BD41/12,0)</x:f>
      </x:c>
      <x:c r="BE42" s="117" t="n">
        <x:f>IF(AND(BE38&gt;0,BE$3&lt;EDATE($B$8,'Вводные'!$H$90)),BE38*BE41/12,0)</x:f>
      </x:c>
      <x:c r="BF42" s="117" t="n">
        <x:f>IF(AND(BF38&gt;0,BF$3&lt;EDATE($B$8,'Вводные'!$H$90)),BF38*BF41/12,0)</x:f>
      </x:c>
      <x:c r="BG42" s="117" t="n">
        <x:f>IF(AND(BG38&gt;0,BG$3&lt;EDATE($B$8,'Вводные'!$H$90)),BG38*BG41/12,0)</x:f>
      </x:c>
      <x:c r="BH42" s="117" t="n">
        <x:f>IF(AND(BH38&gt;0,BH$3&lt;EDATE($B$8,'Вводные'!$H$90)),BH38*BH41/12,0)</x:f>
      </x:c>
      <x:c r="BI42" s="117" t="n">
        <x:f>IF(AND(BI38&gt;0,BI$3&lt;EDATE($B$8,'Вводные'!$H$90)),BI38*BI41/12,0)</x:f>
      </x:c>
      <x:c r="BJ42" s="117" t="n">
        <x:f>IF(AND(BJ38&gt;0,BJ$3&lt;EDATE($B$8,'Вводные'!$H$90)),BJ38*BJ41/12,0)</x:f>
      </x:c>
      <x:c r="BK42" s="117" t="n">
        <x:f>IF(AND(BK38&gt;0,BK$3&lt;EDATE($B$8,'Вводные'!$H$90)),BK38*BK41/12,0)</x:f>
      </x:c>
      <x:c r="BL42" s="117" t="n">
        <x:f>IF(AND(BL38&gt;0,BL$3&lt;EDATE($B$8,'Вводные'!$H$90)),BL38*BL41/12,0)</x:f>
      </x:c>
      <x:c r="BM42" s="117" t="n">
        <x:f>IF(AND(BM38&gt;0,BM$3&lt;EDATE($B$8,'Вводные'!$H$90)),BM38*BM41/12,0)</x:f>
      </x:c>
      <x:c r="BN42" s="117" t="n">
        <x:f>IF(AND(BN38&gt;0,BN$3&lt;EDATE($B$8,'Вводные'!$H$90)),BN38*BN41/12,0)</x:f>
      </x:c>
      <x:c r="BO42" s="117" t="n">
        <x:f>IF(AND(BO38&gt;0,BO$3&lt;EDATE($B$8,'Вводные'!$H$90)),BO38*BO41/12,0)</x:f>
      </x:c>
      <x:c r="BP42" s="117" t="n">
        <x:f>IF(AND(BP38&gt;0,BP$3&lt;EDATE($B$8,'Вводные'!$H$90)),BP38*BP41/12,0)</x:f>
      </x:c>
      <x:c r="BQ42" s="117" t="n">
        <x:f>IF(AND(BQ38&gt;0,BQ$3&lt;EDATE($B$8,'Вводные'!$H$90)),BQ38*BQ41/12,0)</x:f>
      </x:c>
      <x:c r="BR42" s="117" t="n">
        <x:f>IF(AND(BR38&gt;0,BR$3&lt;EDATE($B$8,'Вводные'!$H$90)),BR38*BR41/12,0)</x:f>
      </x:c>
      <x:c r="BS42" s="117" t="n">
        <x:f>IF(AND(BS38&gt;0,BS$3&lt;EDATE($B$8,'Вводные'!$H$90)),BS38*BS41/12,0)</x:f>
      </x:c>
      <x:c r="BT42" s="117" t="n">
        <x:f>IF(AND(BT38&gt;0,BT$3&lt;EDATE($B$8,'Вводные'!$H$90)),BT38*BT41/12,0)</x:f>
      </x:c>
      <x:c r="BU42" s="117" t="n">
        <x:f>IF(AND(BU38&gt;0,BU$3&lt;EDATE($B$8,'Вводные'!$H$90)),BU38*BU41/12,0)</x:f>
      </x:c>
      <x:c r="BV42" s="117" t="n">
        <x:f>IF(AND(BV38&gt;0,BV$3&lt;EDATE($B$8,'Вводные'!$H$90)),BV38*BV41/12,0)</x:f>
      </x:c>
      <x:c r="BW42" s="117" t="n">
        <x:f>IF(AND(BW38&gt;0,BW$3&lt;EDATE($B$8,'Вводные'!$H$90)),BW38*BW41/12,0)</x:f>
      </x:c>
      <x:c r="BX42" s="117" t="n">
        <x:f>IF(AND(BX38&gt;0,BX$3&lt;EDATE($B$8,'Вводные'!$H$90)),BX38*BX41/12,0)</x:f>
      </x:c>
      <x:c r="BY42" s="117" t="n">
        <x:f>IF(AND(BY38&gt;0,BY$3&lt;EDATE($B$8,'Вводные'!$H$90)),BY38*BY41/12,0)</x:f>
      </x:c>
      <x:c r="BZ42" s="117" t="n">
        <x:f>IF(AND(BZ38&gt;0,BZ$3&lt;EDATE($B$8,'Вводные'!$H$90)),BZ38*BZ41/12,0)</x:f>
      </x:c>
      <x:c r="CA42" s="117" t="n">
        <x:f>IF(AND(CA38&gt;0,CA$3&lt;EDATE($B$8,'Вводные'!$H$90)),CA38*CA41/12,0)</x:f>
      </x:c>
      <x:c r="CB42" s="117" t="n">
        <x:f>IF(AND(CB38&gt;0,CB$3&lt;EDATE($B$8,'Вводные'!$H$90)),CB38*CB41/12,0)</x:f>
      </x:c>
      <x:c r="CC42" s="117" t="n">
        <x:f>IF(AND(CC38&gt;0,CC$3&lt;EDATE($B$8,'Вводные'!$H$90)),CC38*CC41/12,0)</x:f>
      </x:c>
      <x:c r="CD42" s="117" t="n">
        <x:f>IF(AND(CD38&gt;0,CD$3&lt;EDATE($B$8,'Вводные'!$H$90)),CD38*CD41/12,0)</x:f>
      </x:c>
      <x:c r="CE42" s="117" t="n">
        <x:f>IF(AND(CE38&gt;0,CE$3&lt;EDATE($B$8,'Вводные'!$H$90)),CE38*CE41/12,0)</x:f>
      </x:c>
      <x:c r="CF42" s="117" t="n">
        <x:f>IF(AND(CF38&gt;0,CF$3&lt;EDATE($B$8,'Вводные'!$H$90)),CF38*CF41/12,0)</x:f>
      </x:c>
      <x:c r="CG42" s="117" t="n">
        <x:f>IF(AND(CG38&gt;0,CG$3&lt;EDATE($B$8,'Вводные'!$H$90)),CG38*CG41/12,0)</x:f>
      </x:c>
      <x:c r="CH42" s="117" t="n">
        <x:f>IF(AND(CH38&gt;0,CH$3&lt;EDATE($B$8,'Вводные'!$H$90)),CH38*CH41/12,0)</x:f>
      </x:c>
      <x:c r="CI42" s="117" t="n">
        <x:f>IF(AND(CI38&gt;0,CI$3&lt;EDATE($B$8,'Вводные'!$H$90)),CI38*CI41/12,0)</x:f>
      </x:c>
      <x:c r="CJ42" s="117" t="n">
        <x:f>IF(AND(CJ38&gt;0,CJ$3&lt;EDATE($B$8,'Вводные'!$H$90)),CJ38*CJ41/12,0)</x:f>
      </x:c>
      <x:c r="CK42" s="117" t="n">
        <x:f>IF(AND(CK38&gt;0,CK$3&lt;EDATE($B$8,'Вводные'!$H$90)),CK38*CK41/12,0)</x:f>
      </x:c>
      <x:c r="CL42" s="117" t="n">
        <x:f>IF(AND(CL38&gt;0,CL$3&lt;EDATE($B$8,'Вводные'!$H$90)),CL38*CL41/12,0)</x:f>
      </x:c>
      <x:c r="CM42" s="117" t="n">
        <x:f>IF(AND(CM38&gt;0,CM$3&lt;EDATE($B$8,'Вводные'!$H$90)),CM38*CM41/12,0)</x:f>
      </x:c>
      <x:c r="CN42" s="117" t="n">
        <x:f>IF(AND(CN38&gt;0,CN$3&lt;EDATE($B$8,'Вводные'!$H$90)),CN38*CN41/12,0)</x:f>
      </x:c>
      <x:c r="CO42" s="117" t="n">
        <x:f>IF(AND(CO38&gt;0,CO$3&lt;EDATE($B$8,'Вводные'!$H$90)),CO38*CO41/12,0)</x:f>
      </x:c>
      <x:c r="CP42" s="117" t="n">
        <x:f>IF(AND(CP38&gt;0,CP$3&lt;EDATE($B$8,'Вводные'!$H$90)),CP38*CP41/12,0)</x:f>
      </x:c>
      <x:c r="CQ42" s="117" t="n">
        <x:f>IF(AND(CQ38&gt;0,CQ$3&lt;EDATE($B$8,'Вводные'!$H$90)),CQ38*CQ41/12,0)</x:f>
      </x:c>
      <x:c r="CR42" s="117" t="n">
        <x:f>IF(AND(CR38&gt;0,CR$3&lt;EDATE($B$8,'Вводные'!$H$90)),CR38*CR41/12,0)</x:f>
      </x:c>
      <x:c r="CS42" s="117" t="n">
        <x:f>IF(AND(CS38&gt;0,CS$3&lt;EDATE($B$8,'Вводные'!$H$90)),CS38*CS41/12,0)</x:f>
      </x:c>
      <x:c r="CT42" s="117" t="n">
        <x:f>IF(AND(CT38&gt;0,CT$3&lt;EDATE($B$8,'Вводные'!$H$90)),CT38*CT41/12,0)</x:f>
      </x:c>
      <x:c r="CU42" s="117" t="n">
        <x:f>IF(AND(CU38&gt;0,CU$3&lt;EDATE($B$8,'Вводные'!$H$90)),CU38*CU41/12,0)</x:f>
      </x:c>
      <x:c r="CV42" s="117" t="n">
        <x:f>IF(AND(CV38&gt;0,CV$3&lt;EDATE($B$8,'Вводные'!$H$90)),CV38*CV41/12,0)</x:f>
      </x:c>
      <x:c r="CW42" s="117" t="n">
        <x:f>IF(AND(CW38&gt;0,CW$3&lt;EDATE($B$8,'Вводные'!$H$90)),CW38*CW41/12,0)</x:f>
      </x:c>
      <x:c r="CX42" s="117" t="n">
        <x:f>IF(AND(CX38&gt;0,CX$3&lt;EDATE($B$8,'Вводные'!$H$90)),CX38*CX41/12,0)</x:f>
      </x:c>
      <x:c r="CY42" s="117" t="n">
        <x:f>IF(AND(CY38&gt;0,CY$3&lt;EDATE($B$8,'Вводные'!$H$90)),CY38*CY41/12,0)</x:f>
      </x:c>
      <x:c r="CZ42" s="117" t="n">
        <x:f>IF(AND(CZ38&gt;0,CZ$3&lt;EDATE($B$8,'Вводные'!$H$90)),CZ38*CZ41/12,0)</x:f>
      </x:c>
      <x:c r="DA42" s="117" t="n">
        <x:f>IF(AND(DA38&gt;0,DA$3&lt;EDATE($B$8,'Вводные'!$H$90)),DA38*DA41/12,0)</x:f>
      </x:c>
      <x:c r="DB42" s="117" t="n">
        <x:f>IF(AND(DB38&gt;0,DB$3&lt;EDATE($B$8,'Вводные'!$H$90)),DB38*DB41/12,0)</x:f>
      </x:c>
      <x:c r="DC42" s="117" t="n">
        <x:f>IF(AND(DC38&gt;0,DC$3&lt;EDATE($B$8,'Вводные'!$H$90)),DC38*DC41/12,0)</x:f>
      </x:c>
      <x:c r="DD42" s="117" t="n">
        <x:f>IF(AND(DD38&gt;0,DD$3&lt;EDATE($B$8,'Вводные'!$H$90)),DD38*DD41/12,0)</x:f>
      </x:c>
      <x:c r="DE42" s="117" t="n">
        <x:f>IF(AND(DE38&gt;0,DE$3&lt;EDATE($B$8,'Вводные'!$H$90)),DE38*DE41/12,0)</x:f>
      </x:c>
      <x:c r="DF42" s="117" t="n">
        <x:f>IF(AND(DF38&gt;0,DF$3&lt;EDATE($B$8,'Вводные'!$H$90)),DF38*DF41/12,0)</x:f>
      </x:c>
      <x:c r="DG42" s="117" t="n">
        <x:f>IF(AND(DG38&gt;0,DG$3&lt;EDATE($B$8,'Вводные'!$H$90)),DG38*DG41/12,0)</x:f>
      </x:c>
      <x:c r="DH42" s="117" t="n">
        <x:f>IF(AND(DH38&gt;0,DH$3&lt;EDATE($B$8,'Вводные'!$H$90)),DH38*DH41/12,0)</x:f>
      </x:c>
      <x:c r="DI42" s="117" t="n">
        <x:f>IF(AND(DI38&gt;0,DI$3&lt;EDATE($B$8,'Вводные'!$H$90)),DI38*DI41/12,0)</x:f>
      </x:c>
      <x:c r="DJ42" s="117" t="n">
        <x:f>IF(AND(DJ38&gt;0,DJ$3&lt;EDATE($B$8,'Вводные'!$H$90)),DJ38*DJ41/12,0)</x:f>
      </x:c>
      <x:c r="DK42" s="117" t="n">
        <x:f>IF(AND(DK38&gt;0,DK$3&lt;EDATE($B$8,'Вводные'!$H$90)),DK38*DK41/12,0)</x:f>
      </x:c>
      <x:c r="DL42" s="117" t="n">
        <x:f>IF(AND(DL38&gt;0,DL$3&lt;EDATE($B$8,'Вводные'!$H$90)),DL38*DL41/12,0)</x:f>
      </x:c>
      <x:c r="DM42" s="117" t="n">
        <x:f>IF(AND(DM38&gt;0,DM$3&lt;EDATE($B$8,'Вводные'!$H$90)),DM38*DM41/12,0)</x:f>
      </x:c>
      <x:c r="DN42" s="117" t="n">
        <x:f>IF(AND(DN38&gt;0,DN$3&lt;EDATE($B$8,'Вводные'!$H$90)),DN38*DN41/12,0)</x:f>
      </x:c>
      <x:c r="DO42" s="117" t="n">
        <x:f>IF(AND(DO38&gt;0,DO$3&lt;EDATE($B$8,'Вводные'!$H$90)),DO38*DO41/12,0)</x:f>
      </x:c>
      <x:c r="DP42" s="117" t="n">
        <x:f>IF(AND(DP38&gt;0,DP$3&lt;EDATE($B$8,'Вводные'!$H$90)),DP38*DP41/12,0)</x:f>
      </x:c>
      <x:c r="DQ42" s="117" t="n">
        <x:f>IF(AND(DQ38&gt;0,DQ$3&lt;EDATE($B$8,'Вводные'!$H$90)),DQ38*DQ41/12,0)</x:f>
      </x:c>
      <x:c r="DR42" s="117" t="n">
        <x:f>IF(AND(DR38&gt;0,DR$3&lt;EDATE($B$8,'Вводные'!$H$90)),DR38*DR41/12,0)</x:f>
      </x:c>
      <x:c r="DS42" s="117" t="n">
        <x:f>IF(AND(DS38&gt;0,DS$3&lt;EDATE($B$8,'Вводные'!$H$90)),DS38*DS41/12,0)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$90)),MAX(0,'Вводные'!$B$26*'Вводные'!$V$90-D38)*'Вводные'!$B$29/12,0)+IF(AND(YEAR(D$3)=YEAR($B$7),MONTH(D$3)=MONTH($B$7)),'Вводные'!$B$26*'Вводные'!$V$90*'Вводные'!$B$30,0)</x:f>
      </x:c>
      <x:c r="E43" s="117" t="n">
        <x:f>IF(AND(OR(E38&gt;0,E$3&lt;=$B$8),E$3&gt;=$B$7,E$3&lt;EDATE($B$8,'Вводные'!$H$90)),MAX(0,'Вводные'!$B$26*'Вводные'!$V$90-E38)*'Вводные'!$B$29/12,0)+IF(AND(YEAR(E$3)=YEAR($B$7),MONTH(E$3)=MONTH($B$7)),'Вводные'!$B$26*'Вводные'!$V$90*'Вводные'!$B$30,0)</x:f>
      </x:c>
      <x:c r="F43" s="117" t="n">
        <x:f>IF(AND(OR(F38&gt;0,F$3&lt;=$B$8),F$3&gt;=$B$7,F$3&lt;EDATE($B$8,'Вводные'!$H$90)),MAX(0,'Вводные'!$B$26*'Вводные'!$V$90-F38)*'Вводные'!$B$29/12,0)+IF(AND(YEAR(F$3)=YEAR($B$7),MONTH(F$3)=MONTH($B$7)),'Вводные'!$B$26*'Вводные'!$V$90*'Вводные'!$B$30,0)</x:f>
      </x:c>
      <x:c r="G43" s="117" t="n">
        <x:f>IF(AND(OR(G38&gt;0,G$3&lt;=$B$8),G$3&gt;=$B$7,G$3&lt;EDATE($B$8,'Вводные'!$H$90)),MAX(0,'Вводные'!$B$26*'Вводные'!$V$90-G38)*'Вводные'!$B$29/12,0)+IF(AND(YEAR(G$3)=YEAR($B$7),MONTH(G$3)=MONTH($B$7)),'Вводные'!$B$26*'Вводные'!$V$90*'Вводные'!$B$30,0)</x:f>
      </x:c>
      <x:c r="H43" s="117" t="n">
        <x:f>IF(AND(OR(H38&gt;0,H$3&lt;=$B$8),H$3&gt;=$B$7,H$3&lt;EDATE($B$8,'Вводные'!$H$90)),MAX(0,'Вводные'!$B$26*'Вводные'!$V$90-H38)*'Вводные'!$B$29/12,0)+IF(AND(YEAR(H$3)=YEAR($B$7),MONTH(H$3)=MONTH($B$7)),'Вводные'!$B$26*'Вводные'!$V$90*'Вводные'!$B$30,0)</x:f>
      </x:c>
      <x:c r="I43" s="117" t="n">
        <x:f>IF(AND(OR(I38&gt;0,I$3&lt;=$B$8),I$3&gt;=$B$7,I$3&lt;EDATE($B$8,'Вводные'!$H$90)),MAX(0,'Вводные'!$B$26*'Вводные'!$V$90-I38)*'Вводные'!$B$29/12,0)+IF(AND(YEAR(I$3)=YEAR($B$7),MONTH(I$3)=MONTH($B$7)),'Вводные'!$B$26*'Вводные'!$V$90*'Вводные'!$B$30,0)</x:f>
      </x:c>
      <x:c r="J43" s="117" t="n">
        <x:f>IF(AND(OR(J38&gt;0,J$3&lt;=$B$8),J$3&gt;=$B$7,J$3&lt;EDATE($B$8,'Вводные'!$H$90)),MAX(0,'Вводные'!$B$26*'Вводные'!$V$90-J38)*'Вводные'!$B$29/12,0)+IF(AND(YEAR(J$3)=YEAR($B$7),MONTH(J$3)=MONTH($B$7)),'Вводные'!$B$26*'Вводные'!$V$90*'Вводные'!$B$30,0)</x:f>
      </x:c>
      <x:c r="K43" s="117" t="n">
        <x:f>IF(AND(OR(K38&gt;0,K$3&lt;=$B$8),K$3&gt;=$B$7,K$3&lt;EDATE($B$8,'Вводные'!$H$90)),MAX(0,'Вводные'!$B$26*'Вводные'!$V$90-K38)*'Вводные'!$B$29/12,0)+IF(AND(YEAR(K$3)=YEAR($B$7),MONTH(K$3)=MONTH($B$7)),'Вводные'!$B$26*'Вводные'!$V$90*'Вводные'!$B$30,0)</x:f>
      </x:c>
      <x:c r="L43" s="117" t="n">
        <x:f>IF(AND(OR(L38&gt;0,L$3&lt;=$B$8),L$3&gt;=$B$7,L$3&lt;EDATE($B$8,'Вводные'!$H$90)),MAX(0,'Вводные'!$B$26*'Вводные'!$V$90-L38)*'Вводные'!$B$29/12,0)+IF(AND(YEAR(L$3)=YEAR($B$7),MONTH(L$3)=MONTH($B$7)),'Вводные'!$B$26*'Вводные'!$V$90*'Вводные'!$B$30,0)</x:f>
      </x:c>
      <x:c r="M43" s="117" t="n">
        <x:f>IF(AND(OR(M38&gt;0,M$3&lt;=$B$8),M$3&gt;=$B$7,M$3&lt;EDATE($B$8,'Вводные'!$H$90)),MAX(0,'Вводные'!$B$26*'Вводные'!$V$90-M38)*'Вводные'!$B$29/12,0)+IF(AND(YEAR(M$3)=YEAR($B$7),MONTH(M$3)=MONTH($B$7)),'Вводные'!$B$26*'Вводные'!$V$90*'Вводные'!$B$30,0)</x:f>
      </x:c>
      <x:c r="N43" s="117" t="n">
        <x:f>IF(AND(OR(N38&gt;0,N$3&lt;=$B$8),N$3&gt;=$B$7,N$3&lt;EDATE($B$8,'Вводные'!$H$90)),MAX(0,'Вводные'!$B$26*'Вводные'!$V$90-N38)*'Вводные'!$B$29/12,0)+IF(AND(YEAR(N$3)=YEAR($B$7),MONTH(N$3)=MONTH($B$7)),'Вводные'!$B$26*'Вводные'!$V$90*'Вводные'!$B$30,0)</x:f>
      </x:c>
      <x:c r="O43" s="117" t="n">
        <x:f>IF(AND(OR(O38&gt;0,O$3&lt;=$B$8),O$3&gt;=$B$7,O$3&lt;EDATE($B$8,'Вводные'!$H$90)),MAX(0,'Вводные'!$B$26*'Вводные'!$V$90-O38)*'Вводные'!$B$29/12,0)+IF(AND(YEAR(O$3)=YEAR($B$7),MONTH(O$3)=MONTH($B$7)),'Вводные'!$B$26*'Вводные'!$V$90*'Вводные'!$B$30,0)</x:f>
      </x:c>
      <x:c r="P43" s="117" t="n">
        <x:f>IF(AND(OR(P38&gt;0,P$3&lt;=$B$8),P$3&gt;=$B$7,P$3&lt;EDATE($B$8,'Вводные'!$H$90)),MAX(0,'Вводные'!$B$26*'Вводные'!$V$90-P38)*'Вводные'!$B$29/12,0)+IF(AND(YEAR(P$3)=YEAR($B$7),MONTH(P$3)=MONTH($B$7)),'Вводные'!$B$26*'Вводные'!$V$90*'Вводные'!$B$30,0)</x:f>
      </x:c>
      <x:c r="Q43" s="117" t="n">
        <x:f>IF(AND(OR(Q38&gt;0,Q$3&lt;=$B$8),Q$3&gt;=$B$7,Q$3&lt;EDATE($B$8,'Вводные'!$H$90)),MAX(0,'Вводные'!$B$26*'Вводные'!$V$90-Q38)*'Вводные'!$B$29/12,0)+IF(AND(YEAR(Q$3)=YEAR($B$7),MONTH(Q$3)=MONTH($B$7)),'Вводные'!$B$26*'Вводные'!$V$90*'Вводные'!$B$30,0)</x:f>
      </x:c>
      <x:c r="R43" s="117" t="n">
        <x:f>IF(AND(OR(R38&gt;0,R$3&lt;=$B$8),R$3&gt;=$B$7,R$3&lt;EDATE($B$8,'Вводные'!$H$90)),MAX(0,'Вводные'!$B$26*'Вводные'!$V$90-R38)*'Вводные'!$B$29/12,0)+IF(AND(YEAR(R$3)=YEAR($B$7),MONTH(R$3)=MONTH($B$7)),'Вводные'!$B$26*'Вводные'!$V$90*'Вводные'!$B$30,0)</x:f>
      </x:c>
      <x:c r="S43" s="117" t="n">
        <x:f>IF(AND(OR(S38&gt;0,S$3&lt;=$B$8),S$3&gt;=$B$7,S$3&lt;EDATE($B$8,'Вводные'!$H$90)),MAX(0,'Вводные'!$B$26*'Вводные'!$V$90-S38)*'Вводные'!$B$29/12,0)+IF(AND(YEAR(S$3)=YEAR($B$7),MONTH(S$3)=MONTH($B$7)),'Вводные'!$B$26*'Вводные'!$V$90*'Вводные'!$B$30,0)</x:f>
      </x:c>
      <x:c r="T43" s="117" t="n">
        <x:f>IF(AND(OR(T38&gt;0,T$3&lt;=$B$8),T$3&gt;=$B$7,T$3&lt;EDATE($B$8,'Вводные'!$H$90)),MAX(0,'Вводные'!$B$26*'Вводные'!$V$90-T38)*'Вводные'!$B$29/12,0)+IF(AND(YEAR(T$3)=YEAR($B$7),MONTH(T$3)=MONTH($B$7)),'Вводные'!$B$26*'Вводные'!$V$90*'Вводные'!$B$30,0)</x:f>
      </x:c>
      <x:c r="U43" s="117" t="n">
        <x:f>IF(AND(OR(U38&gt;0,U$3&lt;=$B$8),U$3&gt;=$B$7,U$3&lt;EDATE($B$8,'Вводные'!$H$90)),MAX(0,'Вводные'!$B$26*'Вводные'!$V$90-U38)*'Вводные'!$B$29/12,0)+IF(AND(YEAR(U$3)=YEAR($B$7),MONTH(U$3)=MONTH($B$7)),'Вводные'!$B$26*'Вводные'!$V$90*'Вводные'!$B$30,0)</x:f>
      </x:c>
      <x:c r="V43" s="117" t="n">
        <x:f>IF(AND(OR(V38&gt;0,V$3&lt;=$B$8),V$3&gt;=$B$7,V$3&lt;EDATE($B$8,'Вводные'!$H$90)),MAX(0,'Вводные'!$B$26*'Вводные'!$V$90-V38)*'Вводные'!$B$29/12,0)+IF(AND(YEAR(V$3)=YEAR($B$7),MONTH(V$3)=MONTH($B$7)),'Вводные'!$B$26*'Вводные'!$V$90*'Вводные'!$B$30,0)</x:f>
      </x:c>
      <x:c r="W43" s="117" t="n">
        <x:f>IF(AND(OR(W38&gt;0,W$3&lt;=$B$8),W$3&gt;=$B$7,W$3&lt;EDATE($B$8,'Вводные'!$H$90)),MAX(0,'Вводные'!$B$26*'Вводные'!$V$90-W38)*'Вводные'!$B$29/12,0)+IF(AND(YEAR(W$3)=YEAR($B$7),MONTH(W$3)=MONTH($B$7)),'Вводные'!$B$26*'Вводные'!$V$90*'Вводные'!$B$30,0)</x:f>
      </x:c>
      <x:c r="X43" s="117" t="n">
        <x:f>IF(AND(OR(X38&gt;0,X$3&lt;=$B$8),X$3&gt;=$B$7,X$3&lt;EDATE($B$8,'Вводные'!$H$90)),MAX(0,'Вводные'!$B$26*'Вводные'!$V$90-X38)*'Вводные'!$B$29/12,0)+IF(AND(YEAR(X$3)=YEAR($B$7),MONTH(X$3)=MONTH($B$7)),'Вводные'!$B$26*'Вводные'!$V$90*'Вводные'!$B$30,0)</x:f>
      </x:c>
      <x:c r="Y43" s="117" t="n">
        <x:f>IF(AND(OR(Y38&gt;0,Y$3&lt;=$B$8),Y$3&gt;=$B$7,Y$3&lt;EDATE($B$8,'Вводные'!$H$90)),MAX(0,'Вводные'!$B$26*'Вводные'!$V$90-Y38)*'Вводные'!$B$29/12,0)+IF(AND(YEAR(Y$3)=YEAR($B$7),MONTH(Y$3)=MONTH($B$7)),'Вводные'!$B$26*'Вводные'!$V$90*'Вводные'!$B$30,0)</x:f>
      </x:c>
      <x:c r="Z43" s="117" t="n">
        <x:f>IF(AND(OR(Z38&gt;0,Z$3&lt;=$B$8),Z$3&gt;=$B$7,Z$3&lt;EDATE($B$8,'Вводные'!$H$90)),MAX(0,'Вводные'!$B$26*'Вводные'!$V$90-Z38)*'Вводные'!$B$29/12,0)+IF(AND(YEAR(Z$3)=YEAR($B$7),MONTH(Z$3)=MONTH($B$7)),'Вводные'!$B$26*'Вводные'!$V$90*'Вводные'!$B$30,0)</x:f>
      </x:c>
      <x:c r="AA43" s="117" t="n">
        <x:f>IF(AND(OR(AA38&gt;0,AA$3&lt;=$B$8),AA$3&gt;=$B$7,AA$3&lt;EDATE($B$8,'Вводные'!$H$90)),MAX(0,'Вводные'!$B$26*'Вводные'!$V$90-AA38)*'Вводные'!$B$29/12,0)+IF(AND(YEAR(AA$3)=YEAR($B$7),MONTH(AA$3)=MONTH($B$7)),'Вводные'!$B$26*'Вводные'!$V$90*'Вводные'!$B$30,0)</x:f>
      </x:c>
      <x:c r="AB43" s="117" t="n">
        <x:f>IF(AND(OR(AB38&gt;0,AB$3&lt;=$B$8),AB$3&gt;=$B$7,AB$3&lt;EDATE($B$8,'Вводные'!$H$90)),MAX(0,'Вводные'!$B$26*'Вводные'!$V$90-AB38)*'Вводные'!$B$29/12,0)+IF(AND(YEAR(AB$3)=YEAR($B$7),MONTH(AB$3)=MONTH($B$7)),'Вводные'!$B$26*'Вводные'!$V$90*'Вводные'!$B$30,0)</x:f>
      </x:c>
      <x:c r="AC43" s="117" t="n">
        <x:f>IF(AND(OR(AC38&gt;0,AC$3&lt;=$B$8),AC$3&gt;=$B$7,AC$3&lt;EDATE($B$8,'Вводные'!$H$90)),MAX(0,'Вводные'!$B$26*'Вводные'!$V$90-AC38)*'Вводные'!$B$29/12,0)+IF(AND(YEAR(AC$3)=YEAR($B$7),MONTH(AC$3)=MONTH($B$7)),'Вводные'!$B$26*'Вводные'!$V$90*'Вводные'!$B$30,0)</x:f>
      </x:c>
      <x:c r="AD43" s="117" t="n">
        <x:f>IF(AND(OR(AD38&gt;0,AD$3&lt;=$B$8),AD$3&gt;=$B$7,AD$3&lt;EDATE($B$8,'Вводные'!$H$90)),MAX(0,'Вводные'!$B$26*'Вводные'!$V$90-AD38)*'Вводные'!$B$29/12,0)+IF(AND(YEAR(AD$3)=YEAR($B$7),MONTH(AD$3)=MONTH($B$7)),'Вводные'!$B$26*'Вводные'!$V$90*'Вводные'!$B$30,0)</x:f>
      </x:c>
      <x:c r="AE43" s="117" t="n">
        <x:f>IF(AND(OR(AE38&gt;0,AE$3&lt;=$B$8),AE$3&gt;=$B$7,AE$3&lt;EDATE($B$8,'Вводные'!$H$90)),MAX(0,'Вводные'!$B$26*'Вводные'!$V$90-AE38)*'Вводные'!$B$29/12,0)+IF(AND(YEAR(AE$3)=YEAR($B$7),MONTH(AE$3)=MONTH($B$7)),'Вводные'!$B$26*'Вводные'!$V$90*'Вводные'!$B$30,0)</x:f>
      </x:c>
      <x:c r="AF43" s="117" t="n">
        <x:f>IF(AND(OR(AF38&gt;0,AF$3&lt;=$B$8),AF$3&gt;=$B$7,AF$3&lt;EDATE($B$8,'Вводные'!$H$90)),MAX(0,'Вводные'!$B$26*'Вводные'!$V$90-AF38)*'Вводные'!$B$29/12,0)+IF(AND(YEAR(AF$3)=YEAR($B$7),MONTH(AF$3)=MONTH($B$7)),'Вводные'!$B$26*'Вводные'!$V$90*'Вводные'!$B$30,0)</x:f>
      </x:c>
      <x:c r="AG43" s="117" t="n">
        <x:f>IF(AND(OR(AG38&gt;0,AG$3&lt;=$B$8),AG$3&gt;=$B$7,AG$3&lt;EDATE($B$8,'Вводные'!$H$90)),MAX(0,'Вводные'!$B$26*'Вводные'!$V$90-AG38)*'Вводные'!$B$29/12,0)+IF(AND(YEAR(AG$3)=YEAR($B$7),MONTH(AG$3)=MONTH($B$7)),'Вводные'!$B$26*'Вводные'!$V$90*'Вводные'!$B$30,0)</x:f>
      </x:c>
      <x:c r="AH43" s="117" t="n">
        <x:f>IF(AND(OR(AH38&gt;0,AH$3&lt;=$B$8),AH$3&gt;=$B$7,AH$3&lt;EDATE($B$8,'Вводные'!$H$90)),MAX(0,'Вводные'!$B$26*'Вводные'!$V$90-AH38)*'Вводные'!$B$29/12,0)+IF(AND(YEAR(AH$3)=YEAR($B$7),MONTH(AH$3)=MONTH($B$7)),'Вводные'!$B$26*'Вводные'!$V$90*'Вводные'!$B$30,0)</x:f>
      </x:c>
      <x:c r="AI43" s="117" t="n">
        <x:f>IF(AND(OR(AI38&gt;0,AI$3&lt;=$B$8),AI$3&gt;=$B$7,AI$3&lt;EDATE($B$8,'Вводные'!$H$90)),MAX(0,'Вводные'!$B$26*'Вводные'!$V$90-AI38)*'Вводные'!$B$29/12,0)+IF(AND(YEAR(AI$3)=YEAR($B$7),MONTH(AI$3)=MONTH($B$7)),'Вводные'!$B$26*'Вводные'!$V$90*'Вводные'!$B$30,0)</x:f>
      </x:c>
      <x:c r="AJ43" s="117" t="n">
        <x:f>IF(AND(OR(AJ38&gt;0,AJ$3&lt;=$B$8),AJ$3&gt;=$B$7,AJ$3&lt;EDATE($B$8,'Вводные'!$H$90)),MAX(0,'Вводные'!$B$26*'Вводные'!$V$90-AJ38)*'Вводные'!$B$29/12,0)+IF(AND(YEAR(AJ$3)=YEAR($B$7),MONTH(AJ$3)=MONTH($B$7)),'Вводные'!$B$26*'Вводные'!$V$90*'Вводные'!$B$30,0)</x:f>
      </x:c>
      <x:c r="AK43" s="117" t="n">
        <x:f>IF(AND(OR(AK38&gt;0,AK$3&lt;=$B$8),AK$3&gt;=$B$7,AK$3&lt;EDATE($B$8,'Вводные'!$H$90)),MAX(0,'Вводные'!$B$26*'Вводные'!$V$90-AK38)*'Вводные'!$B$29/12,0)+IF(AND(YEAR(AK$3)=YEAR($B$7),MONTH(AK$3)=MONTH($B$7)),'Вводные'!$B$26*'Вводные'!$V$90*'Вводные'!$B$30,0)</x:f>
      </x:c>
      <x:c r="AL43" s="117" t="n">
        <x:f>IF(AND(OR(AL38&gt;0,AL$3&lt;=$B$8),AL$3&gt;=$B$7,AL$3&lt;EDATE($B$8,'Вводные'!$H$90)),MAX(0,'Вводные'!$B$26*'Вводные'!$V$90-AL38)*'Вводные'!$B$29/12,0)+IF(AND(YEAR(AL$3)=YEAR($B$7),MONTH(AL$3)=MONTH($B$7)),'Вводные'!$B$26*'Вводные'!$V$90*'Вводные'!$B$30,0)</x:f>
      </x:c>
      <x:c r="AM43" s="117" t="n">
        <x:f>IF(AND(OR(AM38&gt;0,AM$3&lt;=$B$8),AM$3&gt;=$B$7,AM$3&lt;EDATE($B$8,'Вводные'!$H$90)),MAX(0,'Вводные'!$B$26*'Вводные'!$V$90-AM38)*'Вводные'!$B$29/12,0)+IF(AND(YEAR(AM$3)=YEAR($B$7),MONTH(AM$3)=MONTH($B$7)),'Вводные'!$B$26*'Вводные'!$V$90*'Вводные'!$B$30,0)</x:f>
      </x:c>
      <x:c r="AN43" s="117" t="n">
        <x:f>IF(AND(OR(AN38&gt;0,AN$3&lt;=$B$8),AN$3&gt;=$B$7,AN$3&lt;EDATE($B$8,'Вводные'!$H$90)),MAX(0,'Вводные'!$B$26*'Вводные'!$V$90-AN38)*'Вводные'!$B$29/12,0)+IF(AND(YEAR(AN$3)=YEAR($B$7),MONTH(AN$3)=MONTH($B$7)),'Вводные'!$B$26*'Вводные'!$V$90*'Вводные'!$B$30,0)</x:f>
      </x:c>
      <x:c r="AO43" s="117" t="n">
        <x:f>IF(AND(OR(AO38&gt;0,AO$3&lt;=$B$8),AO$3&gt;=$B$7,AO$3&lt;EDATE($B$8,'Вводные'!$H$90)),MAX(0,'Вводные'!$B$26*'Вводные'!$V$90-AO38)*'Вводные'!$B$29/12,0)+IF(AND(YEAR(AO$3)=YEAR($B$7),MONTH(AO$3)=MONTH($B$7)),'Вводные'!$B$26*'Вводные'!$V$90*'Вводные'!$B$30,0)</x:f>
      </x:c>
      <x:c r="AP43" s="117" t="n">
        <x:f>IF(AND(OR(AP38&gt;0,AP$3&lt;=$B$8),AP$3&gt;=$B$7,AP$3&lt;EDATE($B$8,'Вводные'!$H$90)),MAX(0,'Вводные'!$B$26*'Вводные'!$V$90-AP38)*'Вводные'!$B$29/12,0)+IF(AND(YEAR(AP$3)=YEAR($B$7),MONTH(AP$3)=MONTH($B$7)),'Вводные'!$B$26*'Вводные'!$V$90*'Вводные'!$B$30,0)</x:f>
      </x:c>
      <x:c r="AQ43" s="117" t="n">
        <x:f>IF(AND(OR(AQ38&gt;0,AQ$3&lt;=$B$8),AQ$3&gt;=$B$7,AQ$3&lt;EDATE($B$8,'Вводные'!$H$90)),MAX(0,'Вводные'!$B$26*'Вводные'!$V$90-AQ38)*'Вводные'!$B$29/12,0)+IF(AND(YEAR(AQ$3)=YEAR($B$7),MONTH(AQ$3)=MONTH($B$7)),'Вводные'!$B$26*'Вводные'!$V$90*'Вводные'!$B$30,0)</x:f>
      </x:c>
      <x:c r="AR43" s="117" t="n">
        <x:f>IF(AND(OR(AR38&gt;0,AR$3&lt;=$B$8),AR$3&gt;=$B$7,AR$3&lt;EDATE($B$8,'Вводные'!$H$90)),MAX(0,'Вводные'!$B$26*'Вводные'!$V$90-AR38)*'Вводные'!$B$29/12,0)+IF(AND(YEAR(AR$3)=YEAR($B$7),MONTH(AR$3)=MONTH($B$7)),'Вводные'!$B$26*'Вводные'!$V$90*'Вводные'!$B$30,0)</x:f>
      </x:c>
      <x:c r="AS43" s="117" t="n">
        <x:f>IF(AND(OR(AS38&gt;0,AS$3&lt;=$B$8),AS$3&gt;=$B$7,AS$3&lt;EDATE($B$8,'Вводные'!$H$90)),MAX(0,'Вводные'!$B$26*'Вводные'!$V$90-AS38)*'Вводные'!$B$29/12,0)+IF(AND(YEAR(AS$3)=YEAR($B$7),MONTH(AS$3)=MONTH($B$7)),'Вводные'!$B$26*'Вводные'!$V$90*'Вводные'!$B$30,0)</x:f>
      </x:c>
      <x:c r="AT43" s="117" t="n">
        <x:f>IF(AND(OR(AT38&gt;0,AT$3&lt;=$B$8),AT$3&gt;=$B$7,AT$3&lt;EDATE($B$8,'Вводные'!$H$90)),MAX(0,'Вводные'!$B$26*'Вводные'!$V$90-AT38)*'Вводные'!$B$29/12,0)+IF(AND(YEAR(AT$3)=YEAR($B$7),MONTH(AT$3)=MONTH($B$7)),'Вводные'!$B$26*'Вводные'!$V$90*'Вводные'!$B$30,0)</x:f>
      </x:c>
      <x:c r="AU43" s="117" t="n">
        <x:f>IF(AND(OR(AU38&gt;0,AU$3&lt;=$B$8),AU$3&gt;=$B$7,AU$3&lt;EDATE($B$8,'Вводные'!$H$90)),MAX(0,'Вводные'!$B$26*'Вводные'!$V$90-AU38)*'Вводные'!$B$29/12,0)+IF(AND(YEAR(AU$3)=YEAR($B$7),MONTH(AU$3)=MONTH($B$7)),'Вводные'!$B$26*'Вводные'!$V$90*'Вводные'!$B$30,0)</x:f>
      </x:c>
      <x:c r="AV43" s="117" t="n">
        <x:f>IF(AND(OR(AV38&gt;0,AV$3&lt;=$B$8),AV$3&gt;=$B$7,AV$3&lt;EDATE($B$8,'Вводные'!$H$90)),MAX(0,'Вводные'!$B$26*'Вводные'!$V$90-AV38)*'Вводные'!$B$29/12,0)+IF(AND(YEAR(AV$3)=YEAR($B$7),MONTH(AV$3)=MONTH($B$7)),'Вводные'!$B$26*'Вводные'!$V$90*'Вводные'!$B$30,0)</x:f>
      </x:c>
      <x:c r="AW43" s="117" t="n">
        <x:f>IF(AND(OR(AW38&gt;0,AW$3&lt;=$B$8),AW$3&gt;=$B$7,AW$3&lt;EDATE($B$8,'Вводные'!$H$90)),MAX(0,'Вводные'!$B$26*'Вводные'!$V$90-AW38)*'Вводные'!$B$29/12,0)+IF(AND(YEAR(AW$3)=YEAR($B$7),MONTH(AW$3)=MONTH($B$7)),'Вводные'!$B$26*'Вводные'!$V$90*'Вводные'!$B$30,0)</x:f>
      </x:c>
      <x:c r="AX43" s="117" t="n">
        <x:f>IF(AND(OR(AX38&gt;0,AX$3&lt;=$B$8),AX$3&gt;=$B$7,AX$3&lt;EDATE($B$8,'Вводные'!$H$90)),MAX(0,'Вводные'!$B$26*'Вводные'!$V$90-AX38)*'Вводные'!$B$29/12,0)+IF(AND(YEAR(AX$3)=YEAR($B$7),MONTH(AX$3)=MONTH($B$7)),'Вводные'!$B$26*'Вводные'!$V$90*'Вводные'!$B$30,0)</x:f>
      </x:c>
      <x:c r="AY43" s="117" t="n">
        <x:f>IF(AND(OR(AY38&gt;0,AY$3&lt;=$B$8),AY$3&gt;=$B$7,AY$3&lt;EDATE($B$8,'Вводные'!$H$90)),MAX(0,'Вводные'!$B$26*'Вводные'!$V$90-AY38)*'Вводные'!$B$29/12,0)+IF(AND(YEAR(AY$3)=YEAR($B$7),MONTH(AY$3)=MONTH($B$7)),'Вводные'!$B$26*'Вводные'!$V$90*'Вводные'!$B$30,0)</x:f>
      </x:c>
      <x:c r="AZ43" s="117" t="n">
        <x:f>IF(AND(OR(AZ38&gt;0,AZ$3&lt;=$B$8),AZ$3&gt;=$B$7,AZ$3&lt;EDATE($B$8,'Вводные'!$H$90)),MAX(0,'Вводные'!$B$26*'Вводные'!$V$90-AZ38)*'Вводные'!$B$29/12,0)+IF(AND(YEAR(AZ$3)=YEAR($B$7),MONTH(AZ$3)=MONTH($B$7)),'Вводные'!$B$26*'Вводные'!$V$90*'Вводные'!$B$30,0)</x:f>
      </x:c>
      <x:c r="BA43" s="117" t="n">
        <x:f>IF(AND(OR(BA38&gt;0,BA$3&lt;=$B$8),BA$3&gt;=$B$7,BA$3&lt;EDATE($B$8,'Вводные'!$H$90)),MAX(0,'Вводные'!$B$26*'Вводные'!$V$90-BA38)*'Вводные'!$B$29/12,0)+IF(AND(YEAR(BA$3)=YEAR($B$7),MONTH(BA$3)=MONTH($B$7)),'Вводные'!$B$26*'Вводные'!$V$90*'Вводные'!$B$30,0)</x:f>
      </x:c>
      <x:c r="BB43" s="117" t="n">
        <x:f>IF(AND(OR(BB38&gt;0,BB$3&lt;=$B$8),BB$3&gt;=$B$7,BB$3&lt;EDATE($B$8,'Вводные'!$H$90)),MAX(0,'Вводные'!$B$26*'Вводные'!$V$90-BB38)*'Вводные'!$B$29/12,0)+IF(AND(YEAR(BB$3)=YEAR($B$7),MONTH(BB$3)=MONTH($B$7)),'Вводные'!$B$26*'Вводные'!$V$90*'Вводные'!$B$30,0)</x:f>
      </x:c>
      <x:c r="BC43" s="117" t="n">
        <x:f>IF(AND(OR(BC38&gt;0,BC$3&lt;=$B$8),BC$3&gt;=$B$7,BC$3&lt;EDATE($B$8,'Вводные'!$H$90)),MAX(0,'Вводные'!$B$26*'Вводные'!$V$90-BC38)*'Вводные'!$B$29/12,0)+IF(AND(YEAR(BC$3)=YEAR($B$7),MONTH(BC$3)=MONTH($B$7)),'Вводные'!$B$26*'Вводные'!$V$90*'Вводные'!$B$30,0)</x:f>
      </x:c>
      <x:c r="BD43" s="117" t="n">
        <x:f>IF(AND(OR(BD38&gt;0,BD$3&lt;=$B$8),BD$3&gt;=$B$7,BD$3&lt;EDATE($B$8,'Вводные'!$H$90)),MAX(0,'Вводные'!$B$26*'Вводные'!$V$90-BD38)*'Вводные'!$B$29/12,0)+IF(AND(YEAR(BD$3)=YEAR($B$7),MONTH(BD$3)=MONTH($B$7)),'Вводные'!$B$26*'Вводные'!$V$90*'Вводные'!$B$30,0)</x:f>
      </x:c>
      <x:c r="BE43" s="117" t="n">
        <x:f>IF(AND(OR(BE38&gt;0,BE$3&lt;=$B$8),BE$3&gt;=$B$7,BE$3&lt;EDATE($B$8,'Вводные'!$H$90)),MAX(0,'Вводные'!$B$26*'Вводные'!$V$90-BE38)*'Вводные'!$B$29/12,0)+IF(AND(YEAR(BE$3)=YEAR($B$7),MONTH(BE$3)=MONTH($B$7)),'Вводные'!$B$26*'Вводные'!$V$90*'Вводные'!$B$30,0)</x:f>
      </x:c>
      <x:c r="BF43" s="117" t="n">
        <x:f>IF(AND(OR(BF38&gt;0,BF$3&lt;=$B$8),BF$3&gt;=$B$7,BF$3&lt;EDATE($B$8,'Вводные'!$H$90)),MAX(0,'Вводные'!$B$26*'Вводные'!$V$90-BF38)*'Вводные'!$B$29/12,0)+IF(AND(YEAR(BF$3)=YEAR($B$7),MONTH(BF$3)=MONTH($B$7)),'Вводные'!$B$26*'Вводные'!$V$90*'Вводные'!$B$30,0)</x:f>
      </x:c>
      <x:c r="BG43" s="117" t="n">
        <x:f>IF(AND(OR(BG38&gt;0,BG$3&lt;=$B$8),BG$3&gt;=$B$7,BG$3&lt;EDATE($B$8,'Вводные'!$H$90)),MAX(0,'Вводные'!$B$26*'Вводные'!$V$90-BG38)*'Вводные'!$B$29/12,0)+IF(AND(YEAR(BG$3)=YEAR($B$7),MONTH(BG$3)=MONTH($B$7)),'Вводные'!$B$26*'Вводные'!$V$90*'Вводные'!$B$30,0)</x:f>
      </x:c>
      <x:c r="BH43" s="117" t="n">
        <x:f>IF(AND(OR(BH38&gt;0,BH$3&lt;=$B$8),BH$3&gt;=$B$7,BH$3&lt;EDATE($B$8,'Вводные'!$H$90)),MAX(0,'Вводные'!$B$26*'Вводные'!$V$90-BH38)*'Вводные'!$B$29/12,0)+IF(AND(YEAR(BH$3)=YEAR($B$7),MONTH(BH$3)=MONTH($B$7)),'Вводные'!$B$26*'Вводные'!$V$90*'Вводные'!$B$30,0)</x:f>
      </x:c>
      <x:c r="BI43" s="117" t="n">
        <x:f>IF(AND(OR(BI38&gt;0,BI$3&lt;=$B$8),BI$3&gt;=$B$7,BI$3&lt;EDATE($B$8,'Вводные'!$H$90)),MAX(0,'Вводные'!$B$26*'Вводные'!$V$90-BI38)*'Вводные'!$B$29/12,0)+IF(AND(YEAR(BI$3)=YEAR($B$7),MONTH(BI$3)=MONTH($B$7)),'Вводные'!$B$26*'Вводные'!$V$90*'Вводные'!$B$30,0)</x:f>
      </x:c>
      <x:c r="BJ43" s="117" t="n">
        <x:f>IF(AND(OR(BJ38&gt;0,BJ$3&lt;=$B$8),BJ$3&gt;=$B$7,BJ$3&lt;EDATE($B$8,'Вводные'!$H$90)),MAX(0,'Вводные'!$B$26*'Вводные'!$V$90-BJ38)*'Вводные'!$B$29/12,0)+IF(AND(YEAR(BJ$3)=YEAR($B$7),MONTH(BJ$3)=MONTH($B$7)),'Вводные'!$B$26*'Вводные'!$V$90*'Вводные'!$B$30,0)</x:f>
      </x:c>
      <x:c r="BK43" s="117" t="n">
        <x:f>IF(AND(OR(BK38&gt;0,BK$3&lt;=$B$8),BK$3&gt;=$B$7,BK$3&lt;EDATE($B$8,'Вводные'!$H$90)),MAX(0,'Вводные'!$B$26*'Вводные'!$V$90-BK38)*'Вводные'!$B$29/12,0)+IF(AND(YEAR(BK$3)=YEAR($B$7),MONTH(BK$3)=MONTH($B$7)),'Вводные'!$B$26*'Вводные'!$V$90*'Вводные'!$B$30,0)</x:f>
      </x:c>
      <x:c r="BL43" s="117" t="n">
        <x:f>IF(AND(OR(BL38&gt;0,BL$3&lt;=$B$8),BL$3&gt;=$B$7,BL$3&lt;EDATE($B$8,'Вводные'!$H$90)),MAX(0,'Вводные'!$B$26*'Вводные'!$V$90-BL38)*'Вводные'!$B$29/12,0)+IF(AND(YEAR(BL$3)=YEAR($B$7),MONTH(BL$3)=MONTH($B$7)),'Вводные'!$B$26*'Вводные'!$V$90*'Вводные'!$B$30,0)</x:f>
      </x:c>
      <x:c r="BM43" s="117" t="n">
        <x:f>IF(AND(OR(BM38&gt;0,BM$3&lt;=$B$8),BM$3&gt;=$B$7,BM$3&lt;EDATE($B$8,'Вводные'!$H$90)),MAX(0,'Вводные'!$B$26*'Вводные'!$V$90-BM38)*'Вводные'!$B$29/12,0)+IF(AND(YEAR(BM$3)=YEAR($B$7),MONTH(BM$3)=MONTH($B$7)),'Вводные'!$B$26*'Вводные'!$V$90*'Вводные'!$B$30,0)</x:f>
      </x:c>
      <x:c r="BN43" s="117" t="n">
        <x:f>IF(AND(OR(BN38&gt;0,BN$3&lt;=$B$8),BN$3&gt;=$B$7,BN$3&lt;EDATE($B$8,'Вводные'!$H$90)),MAX(0,'Вводные'!$B$26*'Вводные'!$V$90-BN38)*'Вводные'!$B$29/12,0)+IF(AND(YEAR(BN$3)=YEAR($B$7),MONTH(BN$3)=MONTH($B$7)),'Вводные'!$B$26*'Вводные'!$V$90*'Вводные'!$B$30,0)</x:f>
      </x:c>
      <x:c r="BO43" s="117" t="n">
        <x:f>IF(AND(OR(BO38&gt;0,BO$3&lt;=$B$8),BO$3&gt;=$B$7,BO$3&lt;EDATE($B$8,'Вводные'!$H$90)),MAX(0,'Вводные'!$B$26*'Вводные'!$V$90-BO38)*'Вводные'!$B$29/12,0)+IF(AND(YEAR(BO$3)=YEAR($B$7),MONTH(BO$3)=MONTH($B$7)),'Вводные'!$B$26*'Вводные'!$V$90*'Вводные'!$B$30,0)</x:f>
      </x:c>
      <x:c r="BP43" s="117" t="n">
        <x:f>IF(AND(OR(BP38&gt;0,BP$3&lt;=$B$8),BP$3&gt;=$B$7,BP$3&lt;EDATE($B$8,'Вводные'!$H$90)),MAX(0,'Вводные'!$B$26*'Вводные'!$V$90-BP38)*'Вводные'!$B$29/12,0)+IF(AND(YEAR(BP$3)=YEAR($B$7),MONTH(BP$3)=MONTH($B$7)),'Вводные'!$B$26*'Вводные'!$V$90*'Вводные'!$B$30,0)</x:f>
      </x:c>
      <x:c r="BQ43" s="117" t="n">
        <x:f>IF(AND(OR(BQ38&gt;0,BQ$3&lt;=$B$8),BQ$3&gt;=$B$7,BQ$3&lt;EDATE($B$8,'Вводные'!$H$90)),MAX(0,'Вводные'!$B$26*'Вводные'!$V$90-BQ38)*'Вводные'!$B$29/12,0)+IF(AND(YEAR(BQ$3)=YEAR($B$7),MONTH(BQ$3)=MONTH($B$7)),'Вводные'!$B$26*'Вводные'!$V$90*'Вводные'!$B$30,0)</x:f>
      </x:c>
      <x:c r="BR43" s="117" t="n">
        <x:f>IF(AND(OR(BR38&gt;0,BR$3&lt;=$B$8),BR$3&gt;=$B$7,BR$3&lt;EDATE($B$8,'Вводные'!$H$90)),MAX(0,'Вводные'!$B$26*'Вводные'!$V$90-BR38)*'Вводные'!$B$29/12,0)+IF(AND(YEAR(BR$3)=YEAR($B$7),MONTH(BR$3)=MONTH($B$7)),'Вводные'!$B$26*'Вводные'!$V$90*'Вводные'!$B$30,0)</x:f>
      </x:c>
      <x:c r="BS43" s="117" t="n">
        <x:f>IF(AND(OR(BS38&gt;0,BS$3&lt;=$B$8),BS$3&gt;=$B$7,BS$3&lt;EDATE($B$8,'Вводные'!$H$90)),MAX(0,'Вводные'!$B$26*'Вводные'!$V$90-BS38)*'Вводные'!$B$29/12,0)+IF(AND(YEAR(BS$3)=YEAR($B$7),MONTH(BS$3)=MONTH($B$7)),'Вводные'!$B$26*'Вводные'!$V$90*'Вводные'!$B$30,0)</x:f>
      </x:c>
      <x:c r="BT43" s="117" t="n">
        <x:f>IF(AND(OR(BT38&gt;0,BT$3&lt;=$B$8),BT$3&gt;=$B$7,BT$3&lt;EDATE($B$8,'Вводные'!$H$90)),MAX(0,'Вводные'!$B$26*'Вводные'!$V$90-BT38)*'Вводные'!$B$29/12,0)+IF(AND(YEAR(BT$3)=YEAR($B$7),MONTH(BT$3)=MONTH($B$7)),'Вводные'!$B$26*'Вводные'!$V$90*'Вводные'!$B$30,0)</x:f>
      </x:c>
      <x:c r="BU43" s="117" t="n">
        <x:f>IF(AND(OR(BU38&gt;0,BU$3&lt;=$B$8),BU$3&gt;=$B$7,BU$3&lt;EDATE($B$8,'Вводные'!$H$90)),MAX(0,'Вводные'!$B$26*'Вводные'!$V$90-BU38)*'Вводные'!$B$29/12,0)+IF(AND(YEAR(BU$3)=YEAR($B$7),MONTH(BU$3)=MONTH($B$7)),'Вводные'!$B$26*'Вводные'!$V$90*'Вводные'!$B$30,0)</x:f>
      </x:c>
      <x:c r="BV43" s="117" t="n">
        <x:f>IF(AND(OR(BV38&gt;0,BV$3&lt;=$B$8),BV$3&gt;=$B$7,BV$3&lt;EDATE($B$8,'Вводные'!$H$90)),MAX(0,'Вводные'!$B$26*'Вводные'!$V$90-BV38)*'Вводные'!$B$29/12,0)+IF(AND(YEAR(BV$3)=YEAR($B$7),MONTH(BV$3)=MONTH($B$7)),'Вводные'!$B$26*'Вводные'!$V$90*'Вводные'!$B$30,0)</x:f>
      </x:c>
      <x:c r="BW43" s="117" t="n">
        <x:f>IF(AND(OR(BW38&gt;0,BW$3&lt;=$B$8),BW$3&gt;=$B$7,BW$3&lt;EDATE($B$8,'Вводные'!$H$90)),MAX(0,'Вводные'!$B$26*'Вводные'!$V$90-BW38)*'Вводные'!$B$29/12,0)+IF(AND(YEAR(BW$3)=YEAR($B$7),MONTH(BW$3)=MONTH($B$7)),'Вводные'!$B$26*'Вводные'!$V$90*'Вводные'!$B$30,0)</x:f>
      </x:c>
      <x:c r="BX43" s="117" t="n">
        <x:f>IF(AND(OR(BX38&gt;0,BX$3&lt;=$B$8),BX$3&gt;=$B$7,BX$3&lt;EDATE($B$8,'Вводные'!$H$90)),MAX(0,'Вводные'!$B$26*'Вводные'!$V$90-BX38)*'Вводные'!$B$29/12,0)+IF(AND(YEAR(BX$3)=YEAR($B$7),MONTH(BX$3)=MONTH($B$7)),'Вводные'!$B$26*'Вводные'!$V$90*'Вводные'!$B$30,0)</x:f>
      </x:c>
      <x:c r="BY43" s="117" t="n">
        <x:f>IF(AND(OR(BY38&gt;0,BY$3&lt;=$B$8),BY$3&gt;=$B$7,BY$3&lt;EDATE($B$8,'Вводные'!$H$90)),MAX(0,'Вводные'!$B$26*'Вводные'!$V$90-BY38)*'Вводные'!$B$29/12,0)+IF(AND(YEAR(BY$3)=YEAR($B$7),MONTH(BY$3)=MONTH($B$7)),'Вводные'!$B$26*'Вводные'!$V$90*'Вводные'!$B$30,0)</x:f>
      </x:c>
      <x:c r="BZ43" s="117" t="n">
        <x:f>IF(AND(OR(BZ38&gt;0,BZ$3&lt;=$B$8),BZ$3&gt;=$B$7,BZ$3&lt;EDATE($B$8,'Вводные'!$H$90)),MAX(0,'Вводные'!$B$26*'Вводные'!$V$90-BZ38)*'Вводные'!$B$29/12,0)+IF(AND(YEAR(BZ$3)=YEAR($B$7),MONTH(BZ$3)=MONTH($B$7)),'Вводные'!$B$26*'Вводные'!$V$90*'Вводные'!$B$30,0)</x:f>
      </x:c>
      <x:c r="CA43" s="117" t="n">
        <x:f>IF(AND(OR(CA38&gt;0,CA$3&lt;=$B$8),CA$3&gt;=$B$7,CA$3&lt;EDATE($B$8,'Вводные'!$H$90)),MAX(0,'Вводные'!$B$26*'Вводные'!$V$90-CA38)*'Вводные'!$B$29/12,0)+IF(AND(YEAR(CA$3)=YEAR($B$7),MONTH(CA$3)=MONTH($B$7)),'Вводные'!$B$26*'Вводные'!$V$90*'Вводные'!$B$30,0)</x:f>
      </x:c>
      <x:c r="CB43" s="117" t="n">
        <x:f>IF(AND(OR(CB38&gt;0,CB$3&lt;=$B$8),CB$3&gt;=$B$7,CB$3&lt;EDATE($B$8,'Вводные'!$H$90)),MAX(0,'Вводные'!$B$26*'Вводные'!$V$90-CB38)*'Вводные'!$B$29/12,0)+IF(AND(YEAR(CB$3)=YEAR($B$7),MONTH(CB$3)=MONTH($B$7)),'Вводные'!$B$26*'Вводные'!$V$90*'Вводные'!$B$30,0)</x:f>
      </x:c>
      <x:c r="CC43" s="117" t="n">
        <x:f>IF(AND(OR(CC38&gt;0,CC$3&lt;=$B$8),CC$3&gt;=$B$7,CC$3&lt;EDATE($B$8,'Вводные'!$H$90)),MAX(0,'Вводные'!$B$26*'Вводные'!$V$90-CC38)*'Вводные'!$B$29/12,0)+IF(AND(YEAR(CC$3)=YEAR($B$7),MONTH(CC$3)=MONTH($B$7)),'Вводные'!$B$26*'Вводные'!$V$90*'Вводные'!$B$30,0)</x:f>
      </x:c>
      <x:c r="CD43" s="117" t="n">
        <x:f>IF(AND(OR(CD38&gt;0,CD$3&lt;=$B$8),CD$3&gt;=$B$7,CD$3&lt;EDATE($B$8,'Вводные'!$H$90)),MAX(0,'Вводные'!$B$26*'Вводные'!$V$90-CD38)*'Вводные'!$B$29/12,0)+IF(AND(YEAR(CD$3)=YEAR($B$7),MONTH(CD$3)=MONTH($B$7)),'Вводные'!$B$26*'Вводные'!$V$90*'Вводные'!$B$30,0)</x:f>
      </x:c>
      <x:c r="CE43" s="117" t="n">
        <x:f>IF(AND(OR(CE38&gt;0,CE$3&lt;=$B$8),CE$3&gt;=$B$7,CE$3&lt;EDATE($B$8,'Вводные'!$H$90)),MAX(0,'Вводные'!$B$26*'Вводные'!$V$90-CE38)*'Вводные'!$B$29/12,0)+IF(AND(YEAR(CE$3)=YEAR($B$7),MONTH(CE$3)=MONTH($B$7)),'Вводные'!$B$26*'Вводные'!$V$90*'Вводные'!$B$30,0)</x:f>
      </x:c>
      <x:c r="CF43" s="117" t="n">
        <x:f>IF(AND(OR(CF38&gt;0,CF$3&lt;=$B$8),CF$3&gt;=$B$7,CF$3&lt;EDATE($B$8,'Вводные'!$H$90)),MAX(0,'Вводные'!$B$26*'Вводные'!$V$90-CF38)*'Вводные'!$B$29/12,0)+IF(AND(YEAR(CF$3)=YEAR($B$7),MONTH(CF$3)=MONTH($B$7)),'Вводные'!$B$26*'Вводные'!$V$90*'Вводные'!$B$30,0)</x:f>
      </x:c>
      <x:c r="CG43" s="117" t="n">
        <x:f>IF(AND(OR(CG38&gt;0,CG$3&lt;=$B$8),CG$3&gt;=$B$7,CG$3&lt;EDATE($B$8,'Вводные'!$H$90)),MAX(0,'Вводные'!$B$26*'Вводные'!$V$90-CG38)*'Вводные'!$B$29/12,0)+IF(AND(YEAR(CG$3)=YEAR($B$7),MONTH(CG$3)=MONTH($B$7)),'Вводные'!$B$26*'Вводные'!$V$90*'Вводные'!$B$30,0)</x:f>
      </x:c>
      <x:c r="CH43" s="117" t="n">
        <x:f>IF(AND(OR(CH38&gt;0,CH$3&lt;=$B$8),CH$3&gt;=$B$7,CH$3&lt;EDATE($B$8,'Вводные'!$H$90)),MAX(0,'Вводные'!$B$26*'Вводные'!$V$90-CH38)*'Вводные'!$B$29/12,0)+IF(AND(YEAR(CH$3)=YEAR($B$7),MONTH(CH$3)=MONTH($B$7)),'Вводные'!$B$26*'Вводные'!$V$90*'Вводные'!$B$30,0)</x:f>
      </x:c>
      <x:c r="CI43" s="117" t="n">
        <x:f>IF(AND(OR(CI38&gt;0,CI$3&lt;=$B$8),CI$3&gt;=$B$7,CI$3&lt;EDATE($B$8,'Вводные'!$H$90)),MAX(0,'Вводные'!$B$26*'Вводные'!$V$90-CI38)*'Вводные'!$B$29/12,0)+IF(AND(YEAR(CI$3)=YEAR($B$7),MONTH(CI$3)=MONTH($B$7)),'Вводные'!$B$26*'Вводные'!$V$90*'Вводные'!$B$30,0)</x:f>
      </x:c>
      <x:c r="CJ43" s="117" t="n">
        <x:f>IF(AND(OR(CJ38&gt;0,CJ$3&lt;=$B$8),CJ$3&gt;=$B$7,CJ$3&lt;EDATE($B$8,'Вводные'!$H$90)),MAX(0,'Вводные'!$B$26*'Вводные'!$V$90-CJ38)*'Вводные'!$B$29/12,0)+IF(AND(YEAR(CJ$3)=YEAR($B$7),MONTH(CJ$3)=MONTH($B$7)),'Вводные'!$B$26*'Вводные'!$V$90*'Вводные'!$B$30,0)</x:f>
      </x:c>
      <x:c r="CK43" s="117" t="n">
        <x:f>IF(AND(OR(CK38&gt;0,CK$3&lt;=$B$8),CK$3&gt;=$B$7,CK$3&lt;EDATE($B$8,'Вводные'!$H$90)),MAX(0,'Вводные'!$B$26*'Вводные'!$V$90-CK38)*'Вводные'!$B$29/12,0)+IF(AND(YEAR(CK$3)=YEAR($B$7),MONTH(CK$3)=MONTH($B$7)),'Вводные'!$B$26*'Вводные'!$V$90*'Вводные'!$B$30,0)</x:f>
      </x:c>
      <x:c r="CL43" s="117" t="n">
        <x:f>IF(AND(OR(CL38&gt;0,CL$3&lt;=$B$8),CL$3&gt;=$B$7,CL$3&lt;EDATE($B$8,'Вводные'!$H$90)),MAX(0,'Вводные'!$B$26*'Вводные'!$V$90-CL38)*'Вводные'!$B$29/12,0)+IF(AND(YEAR(CL$3)=YEAR($B$7),MONTH(CL$3)=MONTH($B$7)),'Вводные'!$B$26*'Вводные'!$V$90*'Вводные'!$B$30,0)</x:f>
      </x:c>
      <x:c r="CM43" s="117" t="n">
        <x:f>IF(AND(OR(CM38&gt;0,CM$3&lt;=$B$8),CM$3&gt;=$B$7,CM$3&lt;EDATE($B$8,'Вводные'!$H$90)),MAX(0,'Вводные'!$B$26*'Вводные'!$V$90-CM38)*'Вводные'!$B$29/12,0)+IF(AND(YEAR(CM$3)=YEAR($B$7),MONTH(CM$3)=MONTH($B$7)),'Вводные'!$B$26*'Вводные'!$V$90*'Вводные'!$B$30,0)</x:f>
      </x:c>
      <x:c r="CN43" s="117" t="n">
        <x:f>IF(AND(OR(CN38&gt;0,CN$3&lt;=$B$8),CN$3&gt;=$B$7,CN$3&lt;EDATE($B$8,'Вводные'!$H$90)),MAX(0,'Вводные'!$B$26*'Вводные'!$V$90-CN38)*'Вводные'!$B$29/12,0)+IF(AND(YEAR(CN$3)=YEAR($B$7),MONTH(CN$3)=MONTH($B$7)),'Вводные'!$B$26*'Вводные'!$V$90*'Вводные'!$B$30,0)</x:f>
      </x:c>
      <x:c r="CO43" s="117" t="n">
        <x:f>IF(AND(OR(CO38&gt;0,CO$3&lt;=$B$8),CO$3&gt;=$B$7,CO$3&lt;EDATE($B$8,'Вводные'!$H$90)),MAX(0,'Вводные'!$B$26*'Вводные'!$V$90-CO38)*'Вводные'!$B$29/12,0)+IF(AND(YEAR(CO$3)=YEAR($B$7),MONTH(CO$3)=MONTH($B$7)),'Вводные'!$B$26*'Вводные'!$V$90*'Вводные'!$B$30,0)</x:f>
      </x:c>
      <x:c r="CP43" s="117" t="n">
        <x:f>IF(AND(OR(CP38&gt;0,CP$3&lt;=$B$8),CP$3&gt;=$B$7,CP$3&lt;EDATE($B$8,'Вводные'!$H$90)),MAX(0,'Вводные'!$B$26*'Вводные'!$V$90-CP38)*'Вводные'!$B$29/12,0)+IF(AND(YEAR(CP$3)=YEAR($B$7),MONTH(CP$3)=MONTH($B$7)),'Вводные'!$B$26*'Вводные'!$V$90*'Вводные'!$B$30,0)</x:f>
      </x:c>
      <x:c r="CQ43" s="117" t="n">
        <x:f>IF(AND(OR(CQ38&gt;0,CQ$3&lt;=$B$8),CQ$3&gt;=$B$7,CQ$3&lt;EDATE($B$8,'Вводные'!$H$90)),MAX(0,'Вводные'!$B$26*'Вводные'!$V$90-CQ38)*'Вводные'!$B$29/12,0)+IF(AND(YEAR(CQ$3)=YEAR($B$7),MONTH(CQ$3)=MONTH($B$7)),'Вводные'!$B$26*'Вводные'!$V$90*'Вводные'!$B$30,0)</x:f>
      </x:c>
      <x:c r="CR43" s="117" t="n">
        <x:f>IF(AND(OR(CR38&gt;0,CR$3&lt;=$B$8),CR$3&gt;=$B$7,CR$3&lt;EDATE($B$8,'Вводные'!$H$90)),MAX(0,'Вводные'!$B$26*'Вводные'!$V$90-CR38)*'Вводные'!$B$29/12,0)+IF(AND(YEAR(CR$3)=YEAR($B$7),MONTH(CR$3)=MONTH($B$7)),'Вводные'!$B$26*'Вводные'!$V$90*'Вводные'!$B$30,0)</x:f>
      </x:c>
      <x:c r="CS43" s="117" t="n">
        <x:f>IF(AND(OR(CS38&gt;0,CS$3&lt;=$B$8),CS$3&gt;=$B$7,CS$3&lt;EDATE($B$8,'Вводные'!$H$90)),MAX(0,'Вводные'!$B$26*'Вводные'!$V$90-CS38)*'Вводные'!$B$29/12,0)+IF(AND(YEAR(CS$3)=YEAR($B$7),MONTH(CS$3)=MONTH($B$7)),'Вводные'!$B$26*'Вводные'!$V$90*'Вводные'!$B$30,0)</x:f>
      </x:c>
      <x:c r="CT43" s="117" t="n">
        <x:f>IF(AND(OR(CT38&gt;0,CT$3&lt;=$B$8),CT$3&gt;=$B$7,CT$3&lt;EDATE($B$8,'Вводные'!$H$90)),MAX(0,'Вводные'!$B$26*'Вводные'!$V$90-CT38)*'Вводные'!$B$29/12,0)+IF(AND(YEAR(CT$3)=YEAR($B$7),MONTH(CT$3)=MONTH($B$7)),'Вводные'!$B$26*'Вводные'!$V$90*'Вводные'!$B$30,0)</x:f>
      </x:c>
      <x:c r="CU43" s="117" t="n">
        <x:f>IF(AND(OR(CU38&gt;0,CU$3&lt;=$B$8),CU$3&gt;=$B$7,CU$3&lt;EDATE($B$8,'Вводные'!$H$90)),MAX(0,'Вводные'!$B$26*'Вводные'!$V$90-CU38)*'Вводные'!$B$29/12,0)+IF(AND(YEAR(CU$3)=YEAR($B$7),MONTH(CU$3)=MONTH($B$7)),'Вводные'!$B$26*'Вводные'!$V$90*'Вводные'!$B$30,0)</x:f>
      </x:c>
      <x:c r="CV43" s="117" t="n">
        <x:f>IF(AND(OR(CV38&gt;0,CV$3&lt;=$B$8),CV$3&gt;=$B$7,CV$3&lt;EDATE($B$8,'Вводные'!$H$90)),MAX(0,'Вводные'!$B$26*'Вводные'!$V$90-CV38)*'Вводные'!$B$29/12,0)+IF(AND(YEAR(CV$3)=YEAR($B$7),MONTH(CV$3)=MONTH($B$7)),'Вводные'!$B$26*'Вводные'!$V$90*'Вводные'!$B$30,0)</x:f>
      </x:c>
      <x:c r="CW43" s="117" t="n">
        <x:f>IF(AND(OR(CW38&gt;0,CW$3&lt;=$B$8),CW$3&gt;=$B$7,CW$3&lt;EDATE($B$8,'Вводные'!$H$90)),MAX(0,'Вводные'!$B$26*'Вводные'!$V$90-CW38)*'Вводные'!$B$29/12,0)+IF(AND(YEAR(CW$3)=YEAR($B$7),MONTH(CW$3)=MONTH($B$7)),'Вводные'!$B$26*'Вводные'!$V$90*'Вводные'!$B$30,0)</x:f>
      </x:c>
      <x:c r="CX43" s="117" t="n">
        <x:f>IF(AND(OR(CX38&gt;0,CX$3&lt;=$B$8),CX$3&gt;=$B$7,CX$3&lt;EDATE($B$8,'Вводные'!$H$90)),MAX(0,'Вводные'!$B$26*'Вводные'!$V$90-CX38)*'Вводные'!$B$29/12,0)+IF(AND(YEAR(CX$3)=YEAR($B$7),MONTH(CX$3)=MONTH($B$7)),'Вводные'!$B$26*'Вводные'!$V$90*'Вводные'!$B$30,0)</x:f>
      </x:c>
      <x:c r="CY43" s="117" t="n">
        <x:f>IF(AND(OR(CY38&gt;0,CY$3&lt;=$B$8),CY$3&gt;=$B$7,CY$3&lt;EDATE($B$8,'Вводные'!$H$90)),MAX(0,'Вводные'!$B$26*'Вводные'!$V$90-CY38)*'Вводные'!$B$29/12,0)+IF(AND(YEAR(CY$3)=YEAR($B$7),MONTH(CY$3)=MONTH($B$7)),'Вводные'!$B$26*'Вводные'!$V$90*'Вводные'!$B$30,0)</x:f>
      </x:c>
      <x:c r="CZ43" s="117" t="n">
        <x:f>IF(AND(OR(CZ38&gt;0,CZ$3&lt;=$B$8),CZ$3&gt;=$B$7,CZ$3&lt;EDATE($B$8,'Вводные'!$H$90)),MAX(0,'Вводные'!$B$26*'Вводные'!$V$90-CZ38)*'Вводные'!$B$29/12,0)+IF(AND(YEAR(CZ$3)=YEAR($B$7),MONTH(CZ$3)=MONTH($B$7)),'Вводные'!$B$26*'Вводные'!$V$90*'Вводные'!$B$30,0)</x:f>
      </x:c>
      <x:c r="DA43" s="117" t="n">
        <x:f>IF(AND(OR(DA38&gt;0,DA$3&lt;=$B$8),DA$3&gt;=$B$7,DA$3&lt;EDATE($B$8,'Вводные'!$H$90)),MAX(0,'Вводные'!$B$26*'Вводные'!$V$90-DA38)*'Вводные'!$B$29/12,0)+IF(AND(YEAR(DA$3)=YEAR($B$7),MONTH(DA$3)=MONTH($B$7)),'Вводные'!$B$26*'Вводные'!$V$90*'Вводные'!$B$30,0)</x:f>
      </x:c>
      <x:c r="DB43" s="117" t="n">
        <x:f>IF(AND(OR(DB38&gt;0,DB$3&lt;=$B$8),DB$3&gt;=$B$7,DB$3&lt;EDATE($B$8,'Вводные'!$H$90)),MAX(0,'Вводные'!$B$26*'Вводные'!$V$90-DB38)*'Вводные'!$B$29/12,0)+IF(AND(YEAR(DB$3)=YEAR($B$7),MONTH(DB$3)=MONTH($B$7)),'Вводные'!$B$26*'Вводные'!$V$90*'Вводные'!$B$30,0)</x:f>
      </x:c>
      <x:c r="DC43" s="117" t="n">
        <x:f>IF(AND(OR(DC38&gt;0,DC$3&lt;=$B$8),DC$3&gt;=$B$7,DC$3&lt;EDATE($B$8,'Вводные'!$H$90)),MAX(0,'Вводные'!$B$26*'Вводные'!$V$90-DC38)*'Вводные'!$B$29/12,0)+IF(AND(YEAR(DC$3)=YEAR($B$7),MONTH(DC$3)=MONTH($B$7)),'Вводные'!$B$26*'Вводные'!$V$90*'Вводные'!$B$30,0)</x:f>
      </x:c>
      <x:c r="DD43" s="117" t="n">
        <x:f>IF(AND(OR(DD38&gt;0,DD$3&lt;=$B$8),DD$3&gt;=$B$7,DD$3&lt;EDATE($B$8,'Вводные'!$H$90)),MAX(0,'Вводные'!$B$26*'Вводные'!$V$90-DD38)*'Вводные'!$B$29/12,0)+IF(AND(YEAR(DD$3)=YEAR($B$7),MONTH(DD$3)=MONTH($B$7)),'Вводные'!$B$26*'Вводные'!$V$90*'Вводные'!$B$30,0)</x:f>
      </x:c>
      <x:c r="DE43" s="117" t="n">
        <x:f>IF(AND(OR(DE38&gt;0,DE$3&lt;=$B$8),DE$3&gt;=$B$7,DE$3&lt;EDATE($B$8,'Вводные'!$H$90)),MAX(0,'Вводные'!$B$26*'Вводные'!$V$90-DE38)*'Вводные'!$B$29/12,0)+IF(AND(YEAR(DE$3)=YEAR($B$7),MONTH(DE$3)=MONTH($B$7)),'Вводные'!$B$26*'Вводные'!$V$90*'Вводные'!$B$30,0)</x:f>
      </x:c>
      <x:c r="DF43" s="117" t="n">
        <x:f>IF(AND(OR(DF38&gt;0,DF$3&lt;=$B$8),DF$3&gt;=$B$7,DF$3&lt;EDATE($B$8,'Вводные'!$H$90)),MAX(0,'Вводные'!$B$26*'Вводные'!$V$90-DF38)*'Вводные'!$B$29/12,0)+IF(AND(YEAR(DF$3)=YEAR($B$7),MONTH(DF$3)=MONTH($B$7)),'Вводные'!$B$26*'Вводные'!$V$90*'Вводные'!$B$30,0)</x:f>
      </x:c>
      <x:c r="DG43" s="117" t="n">
        <x:f>IF(AND(OR(DG38&gt;0,DG$3&lt;=$B$8),DG$3&gt;=$B$7,DG$3&lt;EDATE($B$8,'Вводные'!$H$90)),MAX(0,'Вводные'!$B$26*'Вводные'!$V$90-DG38)*'Вводные'!$B$29/12,0)+IF(AND(YEAR(DG$3)=YEAR($B$7),MONTH(DG$3)=MONTH($B$7)),'Вводные'!$B$26*'Вводные'!$V$90*'Вводные'!$B$30,0)</x:f>
      </x:c>
      <x:c r="DH43" s="117" t="n">
        <x:f>IF(AND(OR(DH38&gt;0,DH$3&lt;=$B$8),DH$3&gt;=$B$7,DH$3&lt;EDATE($B$8,'Вводные'!$H$90)),MAX(0,'Вводные'!$B$26*'Вводные'!$V$90-DH38)*'Вводные'!$B$29/12,0)+IF(AND(YEAR(DH$3)=YEAR($B$7),MONTH(DH$3)=MONTH($B$7)),'Вводные'!$B$26*'Вводные'!$V$90*'Вводные'!$B$30,0)</x:f>
      </x:c>
      <x:c r="DI43" s="117" t="n">
        <x:f>IF(AND(OR(DI38&gt;0,DI$3&lt;=$B$8),DI$3&gt;=$B$7,DI$3&lt;EDATE($B$8,'Вводные'!$H$90)),MAX(0,'Вводные'!$B$26*'Вводные'!$V$90-DI38)*'Вводные'!$B$29/12,0)+IF(AND(YEAR(DI$3)=YEAR($B$7),MONTH(DI$3)=MONTH($B$7)),'Вводные'!$B$26*'Вводные'!$V$90*'Вводные'!$B$30,0)</x:f>
      </x:c>
      <x:c r="DJ43" s="117" t="n">
        <x:f>IF(AND(OR(DJ38&gt;0,DJ$3&lt;=$B$8),DJ$3&gt;=$B$7,DJ$3&lt;EDATE($B$8,'Вводные'!$H$90)),MAX(0,'Вводные'!$B$26*'Вводные'!$V$90-DJ38)*'Вводные'!$B$29/12,0)+IF(AND(YEAR(DJ$3)=YEAR($B$7),MONTH(DJ$3)=MONTH($B$7)),'Вводные'!$B$26*'Вводные'!$V$90*'Вводные'!$B$30,0)</x:f>
      </x:c>
      <x:c r="DK43" s="117" t="n">
        <x:f>IF(AND(OR(DK38&gt;0,DK$3&lt;=$B$8),DK$3&gt;=$B$7,DK$3&lt;EDATE($B$8,'Вводные'!$H$90)),MAX(0,'Вводные'!$B$26*'Вводные'!$V$90-DK38)*'Вводные'!$B$29/12,0)+IF(AND(YEAR(DK$3)=YEAR($B$7),MONTH(DK$3)=MONTH($B$7)),'Вводные'!$B$26*'Вводные'!$V$90*'Вводные'!$B$30,0)</x:f>
      </x:c>
      <x:c r="DL43" s="117" t="n">
        <x:f>IF(AND(OR(DL38&gt;0,DL$3&lt;=$B$8),DL$3&gt;=$B$7,DL$3&lt;EDATE($B$8,'Вводные'!$H$90)),MAX(0,'Вводные'!$B$26*'Вводные'!$V$90-DL38)*'Вводные'!$B$29/12,0)+IF(AND(YEAR(DL$3)=YEAR($B$7),MONTH(DL$3)=MONTH($B$7)),'Вводные'!$B$26*'Вводные'!$V$90*'Вводные'!$B$30,0)</x:f>
      </x:c>
      <x:c r="DM43" s="117" t="n">
        <x:f>IF(AND(OR(DM38&gt;0,DM$3&lt;=$B$8),DM$3&gt;=$B$7,DM$3&lt;EDATE($B$8,'Вводные'!$H$90)),MAX(0,'Вводные'!$B$26*'Вводные'!$V$90-DM38)*'Вводные'!$B$29/12,0)+IF(AND(YEAR(DM$3)=YEAR($B$7),MONTH(DM$3)=MONTH($B$7)),'Вводные'!$B$26*'Вводные'!$V$90*'Вводные'!$B$30,0)</x:f>
      </x:c>
      <x:c r="DN43" s="117" t="n">
        <x:f>IF(AND(OR(DN38&gt;0,DN$3&lt;=$B$8),DN$3&gt;=$B$7,DN$3&lt;EDATE($B$8,'Вводные'!$H$90)),MAX(0,'Вводные'!$B$26*'Вводные'!$V$90-DN38)*'Вводные'!$B$29/12,0)+IF(AND(YEAR(DN$3)=YEAR($B$7),MONTH(DN$3)=MONTH($B$7)),'Вводные'!$B$26*'Вводные'!$V$90*'Вводные'!$B$30,0)</x:f>
      </x:c>
      <x:c r="DO43" s="117" t="n">
        <x:f>IF(AND(OR(DO38&gt;0,DO$3&lt;=$B$8),DO$3&gt;=$B$7,DO$3&lt;EDATE($B$8,'Вводные'!$H$90)),MAX(0,'Вводные'!$B$26*'Вводные'!$V$90-DO38)*'Вводные'!$B$29/12,0)+IF(AND(YEAR(DO$3)=YEAR($B$7),MONTH(DO$3)=MONTH($B$7)),'Вводные'!$B$26*'Вводные'!$V$90*'Вводные'!$B$30,0)</x:f>
      </x:c>
      <x:c r="DP43" s="117" t="n">
        <x:f>IF(AND(OR(DP38&gt;0,DP$3&lt;=$B$8),DP$3&gt;=$B$7,DP$3&lt;EDATE($B$8,'Вводные'!$H$90)),MAX(0,'Вводные'!$B$26*'Вводные'!$V$90-DP38)*'Вводные'!$B$29/12,0)+IF(AND(YEAR(DP$3)=YEAR($B$7),MONTH(DP$3)=MONTH($B$7)),'Вводные'!$B$26*'Вводные'!$V$90*'Вводные'!$B$30,0)</x:f>
      </x:c>
      <x:c r="DQ43" s="117" t="n">
        <x:f>IF(AND(OR(DQ38&gt;0,DQ$3&lt;=$B$8),DQ$3&gt;=$B$7,DQ$3&lt;EDATE($B$8,'Вводные'!$H$90)),MAX(0,'Вводные'!$B$26*'Вводные'!$V$90-DQ38)*'Вводные'!$B$29/12,0)+IF(AND(YEAR(DQ$3)=YEAR($B$7),MONTH(DQ$3)=MONTH($B$7)),'Вводные'!$B$26*'Вводные'!$V$90*'Вводные'!$B$30,0)</x:f>
      </x:c>
      <x:c r="DR43" s="117" t="n">
        <x:f>IF(AND(OR(DR38&gt;0,DR$3&lt;=$B$8),DR$3&gt;=$B$7,DR$3&lt;EDATE($B$8,'Вводные'!$H$90)),MAX(0,'Вводные'!$B$26*'Вводные'!$V$90-DR38)*'Вводные'!$B$29/12,0)+IF(AND(YEAR(DR$3)=YEAR($B$7),MONTH(DR$3)=MONTH($B$7)),'Вводные'!$B$26*'Вводные'!$V$90*'Вводные'!$B$30,0)</x:f>
      </x:c>
      <x:c r="DS43" s="117" t="n">
        <x:f>IF(AND(OR(DS38&gt;0,DS$3&lt;=$B$8),DS$3&gt;=$B$7,DS$3&lt;EDATE($B$8,'Вводные'!$H$90)),MAX(0,'Вводные'!$B$26*'Вводные'!$V$90-DS38)*'Вводные'!$B$29/12,0)+IF(AND(YEAR(DS$3)=YEAR($B$7),MONTH(DS$3)=MONTH($B$7)),'Вводные'!$B$26*'Вводные'!$V$90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SUM('CF_1'!D43,'CF_2'!D43,'CF_3'!D43,'CF_4'!D43)</x:f>
      </x:c>
      <x:c r="E21" s="117" t="n">
        <x:f>SUM('CF_1'!E43,'CF_2'!E43,'CF_3'!E43,'CF_4'!E43)</x:f>
      </x:c>
      <x:c r="F21" s="117" t="n">
        <x:f>SUM('CF_1'!F43,'CF_2'!F43,'CF_3'!F43,'CF_4'!F43)</x:f>
      </x:c>
      <x:c r="G21" s="117" t="n">
        <x:f>SUM('CF_1'!G43,'CF_2'!G43,'CF_3'!G43,'CF_4'!G43)</x:f>
      </x:c>
      <x:c r="H21" s="117" t="n">
        <x:f>SUM('CF_1'!H43,'CF_2'!H43,'CF_3'!H43,'CF_4'!H43)</x:f>
      </x:c>
      <x:c r="I21" s="117" t="n">
        <x:f>SUM('CF_1'!I43,'CF_2'!I43,'CF_3'!I43,'CF_4'!I43)</x:f>
      </x:c>
      <x:c r="J21" s="117" t="n">
        <x:f>SUM('CF_1'!J43,'CF_2'!J43,'CF_3'!J43,'CF_4'!J43)</x:f>
      </x:c>
      <x:c r="K21" s="117" t="n">
        <x:f>SUM('CF_1'!K43,'CF_2'!K43,'CF_3'!K43,'CF_4'!K43)</x:f>
      </x:c>
      <x:c r="L21" s="117" t="n">
        <x:f>SUM('CF_1'!L43,'CF_2'!L43,'CF_3'!L43,'CF_4'!L43)</x:f>
      </x:c>
      <x:c r="M21" s="117" t="n">
        <x:f>SUM('CF_1'!M43,'CF_2'!M43,'CF_3'!M43,'CF_4'!M43)</x:f>
      </x:c>
      <x:c r="N21" s="117" t="n">
        <x:f>SUM('CF_1'!N43,'CF_2'!N43,'CF_3'!N43,'CF_4'!N43)</x:f>
      </x:c>
      <x:c r="O21" s="117" t="n">
        <x:f>SUM('CF_1'!O43,'CF_2'!O43,'CF_3'!O43,'CF_4'!O43)</x:f>
      </x:c>
      <x:c r="P21" s="117" t="n">
        <x:f>SUM('CF_1'!P43,'CF_2'!P43,'CF_3'!P43,'CF_4'!P43)</x:f>
      </x:c>
      <x:c r="Q21" s="117" t="n">
        <x:f>SUM('CF_1'!Q43,'CF_2'!Q43,'CF_3'!Q43,'CF_4'!Q43)</x:f>
      </x:c>
      <x:c r="R21" s="117" t="n">
        <x:f>SUM('CF_1'!R43,'CF_2'!R43,'CF_3'!R43,'CF_4'!R43)</x:f>
      </x:c>
      <x:c r="S21" s="117" t="n">
        <x:f>SUM('CF_1'!S43,'CF_2'!S43,'CF_3'!S43,'CF_4'!S43)</x:f>
      </x:c>
      <x:c r="T21" s="117" t="n">
        <x:f>SUM('CF_1'!T43,'CF_2'!T43,'CF_3'!T43,'CF_4'!T43)</x:f>
      </x:c>
      <x:c r="U21" s="117" t="n">
        <x:f>SUM('CF_1'!U43,'CF_2'!U43,'CF_3'!U43,'CF_4'!U43)</x:f>
      </x:c>
      <x:c r="V21" s="117" t="n">
        <x:f>SUM('CF_1'!V43,'CF_2'!V43,'CF_3'!V43,'CF_4'!V43)</x:f>
      </x:c>
      <x:c r="W21" s="117" t="n">
        <x:f>SUM('CF_1'!W43,'CF_2'!W43,'CF_3'!W43,'CF_4'!W43)</x:f>
      </x:c>
      <x:c r="X21" s="117" t="n">
        <x:f>SUM('CF_1'!X43,'CF_2'!X43,'CF_3'!X43,'CF_4'!X43)</x:f>
      </x:c>
      <x:c r="Y21" s="117" t="n">
        <x:f>SUM('CF_1'!Y43,'CF_2'!Y43,'CF_3'!Y43,'CF_4'!Y43)</x:f>
      </x:c>
      <x:c r="Z21" s="117" t="n">
        <x:f>SUM('CF_1'!Z43,'CF_2'!Z43,'CF_3'!Z43,'CF_4'!Z43)</x:f>
      </x:c>
      <x:c r="AA21" s="117" t="n">
        <x:f>SUM('CF_1'!AA43,'CF_2'!AA43,'CF_3'!AA43,'CF_4'!AA43)</x:f>
      </x:c>
      <x:c r="AB21" s="117" t="n">
        <x:f>SUM('CF_1'!AB43,'CF_2'!AB43,'CF_3'!AB43,'CF_4'!AB43)</x:f>
      </x:c>
      <x:c r="AC21" s="117" t="n">
        <x:f>SUM('CF_1'!AC43,'CF_2'!AC43,'CF_3'!AC43,'CF_4'!AC43)</x:f>
      </x:c>
      <x:c r="AD21" s="117" t="n">
        <x:f>SUM('CF_1'!AD43,'CF_2'!AD43,'CF_3'!AD43,'CF_4'!AD43)</x:f>
      </x:c>
      <x:c r="AE21" s="117" t="n">
        <x:f>SUM('CF_1'!AE43,'CF_2'!AE43,'CF_3'!AE43,'CF_4'!AE43)</x:f>
      </x:c>
      <x:c r="AF21" s="117" t="n">
        <x:f>SUM('CF_1'!AF43,'CF_2'!AF43,'CF_3'!AF43,'CF_4'!AF43)</x:f>
      </x:c>
      <x:c r="AG21" s="117" t="n">
        <x:f>SUM('CF_1'!AG43,'CF_2'!AG43,'CF_3'!AG43,'CF_4'!AG43)</x:f>
      </x:c>
      <x:c r="AH21" s="117" t="n">
        <x:f>SUM('CF_1'!AH43,'CF_2'!AH43,'CF_3'!AH43,'CF_4'!AH43)</x:f>
      </x:c>
      <x:c r="AI21" s="117" t="n">
        <x:f>SUM('CF_1'!AI43,'CF_2'!AI43,'CF_3'!AI43,'CF_4'!AI43)</x:f>
      </x:c>
      <x:c r="AJ21" s="117" t="n">
        <x:f>SUM('CF_1'!AJ43,'CF_2'!AJ43,'CF_3'!AJ43,'CF_4'!AJ43)</x:f>
      </x:c>
      <x:c r="AK21" s="117" t="n">
        <x:f>SUM('CF_1'!AK43,'CF_2'!AK43,'CF_3'!AK43,'CF_4'!AK43)</x:f>
      </x:c>
      <x:c r="AL21" s="117" t="n">
        <x:f>SUM('CF_1'!AL43,'CF_2'!AL43,'CF_3'!AL43,'CF_4'!AL43)</x:f>
      </x:c>
      <x:c r="AM21" s="117" t="n">
        <x:f>SUM('CF_1'!AM43,'CF_2'!AM43,'CF_3'!AM43,'CF_4'!AM43)</x:f>
      </x:c>
      <x:c r="AN21" s="117" t="n">
        <x:f>SUM('CF_1'!AN43,'CF_2'!AN43,'CF_3'!AN43,'CF_4'!AN43)</x:f>
      </x:c>
      <x:c r="AO21" s="117" t="n">
        <x:f>SUM('CF_1'!AO43,'CF_2'!AO43,'CF_3'!AO43,'CF_4'!AO43)</x:f>
      </x:c>
      <x:c r="AP21" s="117" t="n">
        <x:f>SUM('CF_1'!AP43,'CF_2'!AP43,'CF_3'!AP43,'CF_4'!AP43)</x:f>
      </x:c>
      <x:c r="AQ21" s="117" t="n">
        <x:f>SUM('CF_1'!AQ43,'CF_2'!AQ43,'CF_3'!AQ43,'CF_4'!AQ43)</x:f>
      </x:c>
      <x:c r="AR21" s="117" t="n">
        <x:f>SUM('CF_1'!AR43,'CF_2'!AR43,'CF_3'!AR43,'CF_4'!AR43)</x:f>
      </x:c>
      <x:c r="AS21" s="117" t="n">
        <x:f>SUM('CF_1'!AS43,'CF_2'!AS43,'CF_3'!AS43,'CF_4'!AS43)</x:f>
      </x:c>
      <x:c r="AT21" s="117" t="n">
        <x:f>SUM('CF_1'!AT43,'CF_2'!AT43,'CF_3'!AT43,'CF_4'!AT43)</x:f>
      </x:c>
      <x:c r="AU21" s="117" t="n">
        <x:f>SUM('CF_1'!AU43,'CF_2'!AU43,'CF_3'!AU43,'CF_4'!AU43)</x:f>
      </x:c>
      <x:c r="AV21" s="117" t="n">
        <x:f>SUM('CF_1'!AV43,'CF_2'!AV43,'CF_3'!AV43,'CF_4'!AV43)</x:f>
      </x:c>
      <x:c r="AW21" s="117" t="n">
        <x:f>SUM('CF_1'!AW43,'CF_2'!AW43,'CF_3'!AW43,'CF_4'!AW43)</x:f>
      </x:c>
      <x:c r="AX21" s="117" t="n">
        <x:f>SUM('CF_1'!AX43,'CF_2'!AX43,'CF_3'!AX43,'CF_4'!AX43)</x:f>
      </x:c>
      <x:c r="AY21" s="117" t="n">
        <x:f>SUM('CF_1'!AY43,'CF_2'!AY43,'CF_3'!AY43,'CF_4'!AY43)</x:f>
      </x:c>
      <x:c r="AZ21" s="117" t="n">
        <x:f>SUM('CF_1'!AZ43,'CF_2'!AZ43,'CF_3'!AZ43,'CF_4'!AZ43)</x:f>
      </x:c>
      <x:c r="BA21" s="117" t="n">
        <x:f>SUM('CF_1'!BA43,'CF_2'!BA43,'CF_3'!BA43,'CF_4'!BA43)</x:f>
      </x:c>
      <x:c r="BB21" s="117" t="n">
        <x:f>SUM('CF_1'!BB43,'CF_2'!BB43,'CF_3'!BB43,'CF_4'!BB43)</x:f>
      </x:c>
      <x:c r="BC21" s="117" t="n">
        <x:f>SUM('CF_1'!BC43,'CF_2'!BC43,'CF_3'!BC43,'CF_4'!BC43)</x:f>
      </x:c>
      <x:c r="BD21" s="117" t="n">
        <x:f>SUM('CF_1'!BD43,'CF_2'!BD43,'CF_3'!BD43,'CF_4'!BD43)</x:f>
      </x:c>
      <x:c r="BE21" s="117" t="n">
        <x:f>SUM('CF_1'!BE43,'CF_2'!BE43,'CF_3'!BE43,'CF_4'!BE43)</x:f>
      </x:c>
      <x:c r="BF21" s="117" t="n">
        <x:f>SUM('CF_1'!BF43,'CF_2'!BF43,'CF_3'!BF43,'CF_4'!BF43)</x:f>
      </x:c>
      <x:c r="BG21" s="117" t="n">
        <x:f>SUM('CF_1'!BG43,'CF_2'!BG43,'CF_3'!BG43,'CF_4'!BG43)</x:f>
      </x:c>
      <x:c r="BH21" s="117" t="n">
        <x:f>SUM('CF_1'!BH43,'CF_2'!BH43,'CF_3'!BH43,'CF_4'!BH43)</x:f>
      </x:c>
      <x:c r="BI21" s="117" t="n">
        <x:f>SUM('CF_1'!BI43,'CF_2'!BI43,'CF_3'!BI43,'CF_4'!BI43)</x:f>
      </x:c>
      <x:c r="BJ21" s="117" t="n">
        <x:f>SUM('CF_1'!BJ43,'CF_2'!BJ43,'CF_3'!BJ43,'CF_4'!BJ43)</x:f>
      </x:c>
      <x:c r="BK21" s="117" t="n">
        <x:f>SUM('CF_1'!BK43,'CF_2'!BK43,'CF_3'!BK43,'CF_4'!BK43)</x:f>
      </x:c>
      <x:c r="BL21" s="117" t="n">
        <x:f>SUM('CF_1'!BL43,'CF_2'!BL43,'CF_3'!BL43,'CF_4'!BL43)</x:f>
      </x:c>
      <x:c r="BM21" s="117" t="n">
        <x:f>SUM('CF_1'!BM43,'CF_2'!BM43,'CF_3'!BM43,'CF_4'!BM43)</x:f>
      </x:c>
      <x:c r="BN21" s="117" t="n">
        <x:f>SUM('CF_1'!BN43,'CF_2'!BN43,'CF_3'!BN43,'CF_4'!BN43)</x:f>
      </x:c>
      <x:c r="BO21" s="117" t="n">
        <x:f>SUM('CF_1'!BO43,'CF_2'!BO43,'CF_3'!BO43,'CF_4'!BO43)</x:f>
      </x:c>
      <x:c r="BP21" s="117" t="n">
        <x:f>SUM('CF_1'!BP43,'CF_2'!BP43,'CF_3'!BP43,'CF_4'!BP43)</x:f>
      </x:c>
      <x:c r="BQ21" s="117" t="n">
        <x:f>SUM('CF_1'!BQ43,'CF_2'!BQ43,'CF_3'!BQ43,'CF_4'!BQ43)</x:f>
      </x:c>
      <x:c r="BR21" s="117" t="n">
        <x:f>SUM('CF_1'!BR43,'CF_2'!BR43,'CF_3'!BR43,'CF_4'!BR43)</x:f>
      </x:c>
      <x:c r="BS21" s="117" t="n">
        <x:f>SUM('CF_1'!BS43,'CF_2'!BS43,'CF_3'!BS43,'CF_4'!BS43)</x:f>
      </x:c>
      <x:c r="BT21" s="117" t="n">
        <x:f>SUM('CF_1'!BT43,'CF_2'!BT43,'CF_3'!BT43,'CF_4'!BT43)</x:f>
      </x:c>
      <x:c r="BU21" s="117" t="n">
        <x:f>SUM('CF_1'!BU43,'CF_2'!BU43,'CF_3'!BU43,'CF_4'!BU43)</x:f>
      </x:c>
      <x:c r="BV21" s="117" t="n">
        <x:f>SUM('CF_1'!BV43,'CF_2'!BV43,'CF_3'!BV43,'CF_4'!BV43)</x:f>
      </x:c>
      <x:c r="BW21" s="117" t="n">
        <x:f>SUM('CF_1'!BW43,'CF_2'!BW43,'CF_3'!BW43,'CF_4'!BW43)</x:f>
      </x:c>
      <x:c r="BX21" s="117" t="n">
        <x:f>SUM('CF_1'!BX43,'CF_2'!BX43,'CF_3'!BX43,'CF_4'!BX43)</x:f>
      </x:c>
      <x:c r="BY21" s="117" t="n">
        <x:f>SUM('CF_1'!BY43,'CF_2'!BY43,'CF_3'!BY43,'CF_4'!BY43)</x:f>
      </x:c>
      <x:c r="BZ21" s="117" t="n">
        <x:f>SUM('CF_1'!BZ43,'CF_2'!BZ43,'CF_3'!BZ43,'CF_4'!BZ43)</x:f>
      </x:c>
      <x:c r="CA21" s="117" t="n">
        <x:f>SUM('CF_1'!CA43,'CF_2'!CA43,'CF_3'!CA43,'CF_4'!CA43)</x:f>
      </x:c>
      <x:c r="CB21" s="117" t="n">
        <x:f>SUM('CF_1'!CB43,'CF_2'!CB43,'CF_3'!CB43,'CF_4'!CB43)</x:f>
      </x:c>
      <x:c r="CC21" s="117" t="n">
        <x:f>SUM('CF_1'!CC43,'CF_2'!CC43,'CF_3'!CC43,'CF_4'!CC43)</x:f>
      </x:c>
      <x:c r="CD21" s="117" t="n">
        <x:f>SUM('CF_1'!CD43,'CF_2'!CD43,'CF_3'!CD43,'CF_4'!CD43)</x:f>
      </x:c>
      <x:c r="CE21" s="117" t="n">
        <x:f>SUM('CF_1'!CE43,'CF_2'!CE43,'CF_3'!CE43,'CF_4'!CE43)</x:f>
      </x:c>
      <x:c r="CF21" s="117" t="n">
        <x:f>SUM('CF_1'!CF43,'CF_2'!CF43,'CF_3'!CF43,'CF_4'!CF43)</x:f>
      </x:c>
      <x:c r="CG21" s="117" t="n">
        <x:f>SUM('CF_1'!CG43,'CF_2'!CG43,'CF_3'!CG43,'CF_4'!CG43)</x:f>
      </x:c>
      <x:c r="CH21" s="117" t="n">
        <x:f>SUM('CF_1'!CH43,'CF_2'!CH43,'CF_3'!CH43,'CF_4'!CH43)</x:f>
      </x:c>
      <x:c r="CI21" s="117" t="n">
        <x:f>SUM('CF_1'!CI43,'CF_2'!CI43,'CF_3'!CI43,'CF_4'!CI43)</x:f>
      </x:c>
      <x:c r="CJ21" s="117" t="n">
        <x:f>SUM('CF_1'!CJ43,'CF_2'!CJ43,'CF_3'!CJ43,'CF_4'!CJ43)</x:f>
      </x:c>
      <x:c r="CK21" s="117" t="n">
        <x:f>SUM('CF_1'!CK43,'CF_2'!CK43,'CF_3'!CK43,'CF_4'!CK43)</x:f>
      </x:c>
      <x:c r="CL21" s="117" t="n">
        <x:f>SUM('CF_1'!CL43,'CF_2'!CL43,'CF_3'!CL43,'CF_4'!CL43)</x:f>
      </x:c>
      <x:c r="CM21" s="117" t="n">
        <x:f>SUM('CF_1'!CM43,'CF_2'!CM43,'CF_3'!CM43,'CF_4'!CM43)</x:f>
      </x:c>
      <x:c r="CN21" s="117" t="n">
        <x:f>SUM('CF_1'!CN43,'CF_2'!CN43,'CF_3'!CN43,'CF_4'!CN43)</x:f>
      </x:c>
      <x:c r="CO21" s="117" t="n">
        <x:f>SUM('CF_1'!CO43,'CF_2'!CO43,'CF_3'!CO43,'CF_4'!CO43)</x:f>
      </x:c>
      <x:c r="CP21" s="117" t="n">
        <x:f>SUM('CF_1'!CP43,'CF_2'!CP43,'CF_3'!CP43,'CF_4'!CP43)</x:f>
      </x:c>
      <x:c r="CQ21" s="117" t="n">
        <x:f>SUM('CF_1'!CQ43,'CF_2'!CQ43,'CF_3'!CQ43,'CF_4'!CQ43)</x:f>
      </x:c>
      <x:c r="CR21" s="117" t="n">
        <x:f>SUM('CF_1'!CR43,'CF_2'!CR43,'CF_3'!CR43,'CF_4'!CR43)</x:f>
      </x:c>
      <x:c r="CS21" s="117" t="n">
        <x:f>SUM('CF_1'!CS43,'CF_2'!CS43,'CF_3'!CS43,'CF_4'!CS43)</x:f>
      </x:c>
      <x:c r="CT21" s="117" t="n">
        <x:f>SUM('CF_1'!CT43,'CF_2'!CT43,'CF_3'!CT43,'CF_4'!CT43)</x:f>
      </x:c>
      <x:c r="CU21" s="117" t="n">
        <x:f>SUM('CF_1'!CU43,'CF_2'!CU43,'CF_3'!CU43,'CF_4'!CU43)</x:f>
      </x:c>
      <x:c r="CV21" s="117" t="n">
        <x:f>SUM('CF_1'!CV43,'CF_2'!CV43,'CF_3'!CV43,'CF_4'!CV43)</x:f>
      </x:c>
      <x:c r="CW21" s="117" t="n">
        <x:f>SUM('CF_1'!CW43,'CF_2'!CW43,'CF_3'!CW43,'CF_4'!CW43)</x:f>
      </x:c>
      <x:c r="CX21" s="117" t="n">
        <x:f>SUM('CF_1'!CX43,'CF_2'!CX43,'CF_3'!CX43,'CF_4'!CX43)</x:f>
      </x:c>
      <x:c r="CY21" s="117" t="n">
        <x:f>SUM('CF_1'!CY43,'CF_2'!CY43,'CF_3'!CY43,'CF_4'!CY43)</x:f>
      </x:c>
      <x:c r="CZ21" s="117" t="n">
        <x:f>SUM('CF_1'!CZ43,'CF_2'!CZ43,'CF_3'!CZ43,'CF_4'!CZ43)</x:f>
      </x:c>
      <x:c r="DA21" s="117" t="n">
        <x:f>SUM('CF_1'!DA43,'CF_2'!DA43,'CF_3'!DA43,'CF_4'!DA43)</x:f>
      </x:c>
      <x:c r="DB21" s="117" t="n">
        <x:f>SUM('CF_1'!DB43,'CF_2'!DB43,'CF_3'!DB43,'CF_4'!DB43)</x:f>
      </x:c>
      <x:c r="DC21" s="117" t="n">
        <x:f>SUM('CF_1'!DC43,'CF_2'!DC43,'CF_3'!DC43,'CF_4'!DC43)</x:f>
      </x:c>
      <x:c r="DD21" s="117" t="n">
        <x:f>SUM('CF_1'!DD43,'CF_2'!DD43,'CF_3'!DD43,'CF_4'!DD43)</x:f>
      </x:c>
      <x:c r="DE21" s="117" t="n">
        <x:f>SUM('CF_1'!DE43,'CF_2'!DE43,'CF_3'!DE43,'CF_4'!DE43)</x:f>
      </x:c>
      <x:c r="DF21" s="117" t="n">
        <x:f>SUM('CF_1'!DF43,'CF_2'!DF43,'CF_3'!DF43,'CF_4'!DF43)</x:f>
      </x:c>
      <x:c r="DG21" s="117" t="n">
        <x:f>SUM('CF_1'!DG43,'CF_2'!DG43,'CF_3'!DG43,'CF_4'!DG43)</x:f>
      </x:c>
      <x:c r="DH21" s="117" t="n">
        <x:f>SUM('CF_1'!DH43,'CF_2'!DH43,'CF_3'!DH43,'CF_4'!DH43)</x:f>
      </x:c>
      <x:c r="DI21" s="117" t="n">
        <x:f>SUM('CF_1'!DI43,'CF_2'!DI43,'CF_3'!DI43,'CF_4'!DI43)</x:f>
      </x:c>
      <x:c r="DJ21" s="117" t="n">
        <x:f>SUM('CF_1'!DJ43,'CF_2'!DJ43,'CF_3'!DJ43,'CF_4'!DJ43)</x:f>
      </x:c>
      <x:c r="DK21" s="117" t="n">
        <x:f>SUM('CF_1'!DK43,'CF_2'!DK43,'CF_3'!DK43,'CF_4'!DK43)</x:f>
      </x:c>
      <x:c r="DL21" s="117" t="n">
        <x:f>SUM('CF_1'!DL43,'CF_2'!DL43,'CF_3'!DL43,'CF_4'!DL43)</x:f>
      </x:c>
      <x:c r="DM21" s="117" t="n">
        <x:f>SUM('CF_1'!DM43,'CF_2'!DM43,'CF_3'!DM43,'CF_4'!DM43)</x:f>
      </x:c>
      <x:c r="DN21" s="117" t="n">
        <x:f>SUM('CF_1'!DN43,'CF_2'!DN43,'CF_3'!DN43,'CF_4'!DN43)</x:f>
      </x:c>
      <x:c r="DO21" s="117" t="n">
        <x:f>SUM('CF_1'!DO43,'CF_2'!DO43,'CF_3'!DO43,'CF_4'!DO43)</x:f>
      </x:c>
      <x:c r="DP21" s="117" t="n">
        <x:f>SUM('CF_1'!DP43,'CF_2'!DP43,'CF_3'!DP43,'CF_4'!DP43)</x:f>
      </x:c>
      <x:c r="DQ21" s="117" t="n">
        <x:f>SUM('CF_1'!DQ43,'CF_2'!DQ43,'CF_3'!DQ43,'CF_4'!DQ43)</x:f>
      </x:c>
      <x:c r="DR21" s="117" t="n">
        <x:f>SUM('CF_1'!DR43,'CF_2'!DR43,'CF_3'!DR43,'CF_4'!DR43)</x:f>
      </x:c>
      <x:c r="DS21" s="117" t="n">
        <x:f>SUM('CF_1'!DS43,'CF_2'!DS43,'CF_3'!DS43,'CF_4'!DS43)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'CF_1'!B6</x:f>
      </x:c>
      <x:c r="D4" s="92" t="n">
        <x:f>'CF_1'!B7</x:f>
      </x:c>
      <x:c r="E4" s="92" t="n">
        <x:f>'CF_1'!B8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'CF_2'!B6</x:f>
      </x:c>
      <x:c r="D5" s="92" t="n">
        <x:f>'CF_2'!B7</x:f>
      </x:c>
      <x:c r="E5" s="92" t="n">
        <x:f>'CF_2'!B8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'CF_3'!B6</x:f>
      </x:c>
      <x:c r="D6" s="92" t="n">
        <x:f>'CF_3'!B7</x:f>
      </x:c>
      <x:c r="E6" s="92" t="n">
        <x:f>'CF_3'!B8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'CF_4'!B6</x:f>
      </x:c>
      <x:c r="D7" s="92" t="n">
        <x:f>'CF_4'!B7</x:f>
      </x:c>
      <x:c r="E7" s="92" t="n">
        <x:f>'CF_4'!B8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SUM('Вводные'!$I$88:$K$89,IF('ОБЪЕКТЫ'!$B$8=1,'ОБЪЕКТЫ'!$B$12,0),IF('ОБЪЕКТЫ'!$B$36=1,'ОБЪЕКТЫ'!$B$40,0),IF('ОБЪЕКТЫ'!$B$64=1,'ОБЪЕКТЫ'!$B$68,0))</x:f>
      </x:c>
      <x:c r="C58" s="132" t="n">
        <x:f>SUM('Вводные'!$I$89:$K$90,IF('ОБЪЕКТЫ'!$B$8=2,'ОБЪЕКТЫ'!$B$12,0),IF('ОБЪЕКТЫ'!$B$36=2,'ОБЪЕКТЫ'!$B$40,0),IF('ОБЪЕКТЫ'!$B$64=2,'ОБЪЕКТЫ'!$B$68,0))</x:f>
      </x:c>
      <x:c r="D58" s="132" t="n">
        <x:f>SUM('Вводные'!$I$90:$K$91,IF('ОБЪЕКТЫ'!$B$8=3,'ОБЪЕКТЫ'!$B$12,0),IF('ОБЪЕКТЫ'!$B$36=3,'ОБЪЕКТЫ'!$B$40,0),IF('ОБЪЕКТЫ'!$B$64=3,'ОБЪЕКТЫ'!$B$68,0))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IFERROR(E59*1000/E57,0)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IFERROR($B$6*1000/E58,0)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IFERROR(SUM('CF_3'!$B$68,'CF_4'!$B$68,'CF_3'!$B$69,'CF_4'!$B$69,'CF_3'!$B$74,'CF_4'!$B$74,'CF_3'!$B$76,'CF_4'!$B$76)*1000/D57,0)</x:f>
      </x:c>
      <x:c r="E63" s="107" t="n">
        <x:f>IFERROR(SUM('CF_4'!$B$68,'CF_4'!$B$69,'CF_4'!$B$74,'CF_4'!$B$76)*1000/E57,0)</x:f>
      </x:c>
      <x:c r="F63" s="107" t="n">
        <x:f>IFERROR(SUM($B$6,$B$7,$B$9,$B$11)*1000/E57,0)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4'!$B$68,'CF_3'!$B$69,'CF_4'!$B$69,'CF_3'!$B$74,'CF_4'!$B$74,'CF_3'!$B$76,'CF_4'!$B$76)-('CF_3'!$B$67-D59))*1000/D57,(SUM('CF_4'!$B$68,'CF_4'!$B$68,'CF_4'!$B$69,'CF_4'!$B$69,'CF_4'!$B$74,'CF_4'!$B$74,'CF_4'!$B$76,'CF_4'!$B$76)-('CF_4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IFERROR(MAX(0,(SUM($B$6,$B$7,$B$9,$B$11)-($B$5-E59))*1000/E57),0)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$64)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$64)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$87)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$87)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$64)*'Продажи'!$D$55:$DS$55)+--('ОБЪЕКТЫ'!$B$8=3)*'ОБЪЕКТЫ'!$D$22:$DS$22*'ОБЪЕКТЫ'!$D$17:$DS$17+--('ОБЪЕКТЫ'!$B$36=3)*'ОБЪЕКТЫ'!$D$50:$DS$50*'ОБЪЕКТЫ'!$D$45:$DS$45)+((('Продажи'!$D$83:$DS$83+'Продажи'!$D$86:$DS$87)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$64)*'Продажи'!$D$55:$DS$55)+--('ОБЪЕКТЫ'!$B$8=3)*'ОБЪЕКТЫ'!$D$22:$DS$22*'ОБЪЕКТЫ'!$D$17:$DS$17+--('ОБЪЕКТЫ'!$B$36=3)*'ОБЪЕКТЫ'!$D$50:$DS$50*'ОБЪЕКТЫ'!$D$45:$DS$45)+((('Продажи'!$D$83:$DS$83+'Продажи'!$D$86:$DS$87)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$64)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$64)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$87)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$87)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$64)*'Продажи'!$D$58:$DS$58)+--('ОБЪЕКТЫ'!$B$8=3)*'ОБЪЕКТЫ'!$D$22:$DS$22*'ОБЪЕКТЫ'!$D$20:$DS$20+--('ОБЪЕКТЫ'!$B$36=3)*'ОБЪЕКТЫ'!$D$50:$DS$50*'ОБЪЕКТЫ'!$D$48:$DS$48)+((('Продажи'!$D$83:$DS$83+'Продажи'!$D$86:$DS$87)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$64)*'Продажи'!$D$58:$DS$58)+--('ОБЪЕКТЫ'!$B$8=3)*'ОБЪЕКТЫ'!$D$22:$DS$22*'ОБЪЕКТЫ'!$D$20:$DS$20+--('ОБЪЕКТЫ'!$B$36=3)*'ОБЪЕКТЫ'!$D$50:$DS$50*'ОБЪЕКТЫ'!$D$48:$DS$48)+((('Продажи'!$D$83:$DS$83+'Продажи'!$D$86:$DS$87)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$64)+--('ОБЪЕКТЫ'!$B$8=3)*'ОБЪЕКТЫ'!$D$22:$DS$22+--('ОБЪЕКТЫ'!$B$36=3)*'ОБЪЕКТЫ'!$D$50:$DS$50)/SUMPRODUCT(--((('Продажи'!$D$60:$DS$60+'Продажи'!$D$63:$DS$64)+--('ОБЪЕКТЫ'!$B$8=3)*'ОБЪЕКТЫ'!$D$22:$DS$22+--('ОБЪЕКТЫ'!$B$36=3)*'ОБЪЕКТЫ'!$D$50:$DS$50)&gt;0)),0)</x:f>
      </x:c>
      <x:c r="E67" s="107" t="n">
        <x:f>IFERROR(SUMPRODUCT(('Продажи'!$D$83:$DS$83+'Продажи'!$D$86:$DS$87)+--('ОБЪЕКТЫ'!$B$8=4)*'ОБЪЕКТЫ'!$D$22:$DS$22+--('ОБЪЕКТЫ'!$B$36=4)*'ОБЪЕКТЫ'!$D$50:$DS$50)/SUMPRODUCT(--((('Продажи'!$D$83:$DS$83+'Продажи'!$D$86:$DS$87)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$64)+--('ОБЪЕКТЫ'!$B$8=3)*'ОБЪЕКТЫ'!$D$22:$DS$22+--('ОБЪЕКТЫ'!$B$36=3)*'ОБЪЕКТЫ'!$D$50:$DS$50)+(('Продажи'!$D$83:$DS$83+'Продажи'!$D$86:$DS$87)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$64)+--('ОБЪЕКТЫ'!$B$8=3)*'ОБЪЕКТЫ'!$D$22:$DS$22+--('ОБЪЕКТЫ'!$B$36=3)*'ОБЪЕКТЫ'!$D$50:$DS$50)+(('Продажи'!$D$83:$DS$83+'Продажи'!$D$86:$DS$87)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$67+'Продажи'!$D$69:$DS$70)*'Продажи'!$D$55:$DS$55)+--('ОБЪЕКТЫ'!$B$64=3)*'ОБЪЕКТЫ'!$D$78:$DS$79*'ОБЪЕКТЫ'!$D$73:$DS$74)/SUMPRODUCT(--(((('Продажи'!$D$66:$DS$67+'Продажи'!$D$69:$DS$70)*'Продажи'!$D$55:$DS$55)+--('ОБЪЕКТЫ'!$B$64=3)*'ОБЪЕКТЫ'!$D$78:$DS$79*'ОБЪЕКТЫ'!$D$73:$DS$74)&gt;0)),0)</x:f>
      </x:c>
      <x:c r="E68" s="107" t="n">
        <x:f>IFERROR(SUMPRODUCT((('Продажи'!$D$89:$DS$90+'Продажи'!$D$92:$DS$93)*'Продажи'!$D$78:$DS$78)+--('ОБЪЕКТЫ'!$B$64=4)*'ОБЪЕКТЫ'!$D$78:$DS$79*'ОБЪЕКТЫ'!$D$73:$DS$74)/SUMPRODUCT(--(((('Продажи'!$D$89:$DS$90+'Продажи'!$D$92:$DS$93)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$67+'Продажи'!$D$69:$DS$70)*'Продажи'!$D$55:$DS$55)+--('ОБЪЕКТЫ'!$B$64=3)*'ОБЪЕКТЫ'!$D$78:$DS$79*'ОБЪЕКТЫ'!$D$73:$DS$74)+((('Продажи'!$D$89:$DS$90+'Продажи'!$D$92:$DS$93)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$67+'Продажи'!$D$69:$DS$70)*'Продажи'!$D$55:$DS$55)+--('ОБЪЕКТЫ'!$B$64=3)*'ОБЪЕКТЫ'!$D$78:$DS$79*'ОБЪЕКТЫ'!$D$73:$DS$74)+((('Продажи'!$D$89:$DS$90+'Продажи'!$D$92:$DS$93)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$67+'Продажи'!$D$69:$DS$70)*'Продажи'!$D$58:$DS$58)+--('ОБЪЕКТЫ'!$B$64=3)*'ОБЪЕКТЫ'!$D$78:$DS$79*'ОБЪЕКТЫ'!$D$76:$DS$77)/SUMPRODUCT(--(((('Продажи'!$D$66:$DS$67+'Продажи'!$D$69:$DS$70)*'Продажи'!$D$58:$DS$58)+--('ОБЪЕКТЫ'!$B$64=3)*'ОБЪЕКТЫ'!$D$78:$DS$79*'ОБЪЕКТЫ'!$D$76:$DS$77)&gt;0)),0)</x:f>
      </x:c>
      <x:c r="E69" s="107" t="n">
        <x:f>IFERROR(SUMPRODUCT((('Продажи'!$D$89:$DS$90+'Продажи'!$D$92:$DS$93)*'Продажи'!$D$81:$DS$81)+--('ОБЪЕКТЫ'!$B$64=4)*'ОБЪЕКТЫ'!$D$78:$DS$79*'ОБЪЕКТЫ'!$D$76:$DS$77)/SUMPRODUCT(--(((('Продажи'!$D$89:$DS$90+'Продажи'!$D$92:$DS$93)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$67+'Продажи'!$D$69:$DS$70)*'Продажи'!$D$58:$DS$58)+--('ОБЪЕКТЫ'!$B$64=3)*'ОБЪЕКТЫ'!$D$78:$DS$79*'ОБЪЕКТЫ'!$D$76:$DS$77)+((('Продажи'!$D$89:$DS$90+'Продажи'!$D$92:$DS$93)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$67+'Продажи'!$D$69:$DS$70)*'Продажи'!$D$58:$DS$58)+--('ОБЪЕКТЫ'!$B$64=3)*'ОБЪЕКТЫ'!$D$78:$DS$79*'ОБЪЕКТЫ'!$D$76:$DS$77)+((('Продажи'!$D$89:$DS$90+'Продажи'!$D$92:$DS$93)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$67+'Продажи'!$D$69:$DS$70)+--('ОБЪЕКТЫ'!$B$64=3)*'ОБЪЕКТЫ'!$D$78:$DS$79)/SUMPRODUCT(--((('Продажи'!$D$66:$DS$67+'Продажи'!$D$69:$DS$70)+--('ОБЪЕКТЫ'!$B$64=3)*'ОБЪЕКТЫ'!$D$78:$DS$79)&gt;0)),0)</x:f>
      </x:c>
      <x:c r="E70" s="107" t="n">
        <x:f>IFERROR(SUMPRODUCT(('Продажи'!$D$89:$DS$90+'Продажи'!$D$92:$DS$93)+--('ОБЪЕКТЫ'!$B$64=4)*'ОБЪЕКТЫ'!$D$78:$DS$79)/SUMPRODUCT(--((('Продажи'!$D$89:$DS$90+'Продажи'!$D$92:$DS$93)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$67+'Продажи'!$D$69:$DS$70)+--('ОБЪЕКТЫ'!$B$64=3)*'ОБЪЕКТЫ'!$D$78:$DS$79)+(('Продажи'!$D$89:$DS$90+'Продажи'!$D$92:$DS$93)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$67+'Продажи'!$D$69:$DS$70)+--('ОБЪЕКТЫ'!$B$64=3)*'ОБЪЕКТЫ'!$D$78:$DS$79)+(('Продажи'!$D$89:$DS$90+'Продажи'!$D$92:$DS$93)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IFERROR(SUMPRODUCT('CF_3'!$D$38:$DS$38,'CF_3'!$D$39:$DS$39)/SUM('CF_3'!$D$38:$DS$38,'CF_4'!$D$38:$DS$38),0)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IFERROR(SUMPRODUCT('CF_3'!$D$38:$DS$38,'CF_3'!$D$41:$DS$41)/SUM('CF_3'!$D$38:$DS$38,'CF_4'!$D$38:$DS$38),0)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IFERROR('КОНСОЛИДАТОР'!G8*1000/E57,0)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$64,'Продажи'!$D$55:$DS$55)+SUMPRODUCT('Продажи'!$D$86:$DS$87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$64,'Продажи'!$D$58:$DS$58)+SUMPRODUCT('Продажи'!$D$86:$DS$87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$67,'Продажи'!$D$55:$DS$55)+SUMPRODUCT('Продажи'!$D$89:$DS$90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$67,'Продажи'!$D$58:$DS$58)+SUMPRODUCT('Продажи'!$D$89:$DS$90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$70,'Продажи'!$D$55:$DS$55)+SUMPRODUCT('Продажи'!$D$92:$DS$93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$70,'Продажи'!$D$58:$DS$58)+SUMPRODUCT('Продажи'!$D$92:$DS$93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IF(COUNTIF(F6:F75,"FAIL")&gt;0,"FAIL",IF(COUNTIF(F6:F75,"WARN")&gt;0,"PASS WITH WARNINGS","PASS"))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IF(B72&lt;=C72+E72,"OK","WARN")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$B$3="PASS"</x:formula>
    </x:cfRule>
    <x:cfRule type="expression" dxfId="7" priority="8">
      <x:formula>$B$3="PASS WITH WARNINGS"</x:formula>
    </x:cfRule>
    <x:cfRule type="expression" dxfId="8" priority="9">
      <x:formula>$B$3="FAIL"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(1+INDEX('Вводные'!$AD$88:$AD$91,$B$8)*'Вводные'!$H$7)^MAX(0,(12*(YEAR(D$3)-YEAR($B$11))+MONTH(D$3)-MONTH($B$11)))*(1+IF(MONTH(D$3)=1,'Вводные'!$B$67,IF(AND(MONTH(D$3)&gt;=5,MONTH(D$3)&lt;=8),'Вводные'!$B$70,0))),0)</x:f>
      </x:c>
      <x:c r="E18" s="35" t="n">
        <x:f>IF(AND(E$3&gt;=$B$11,E$3&lt;EDATE($B$11,MAX(1,'Вводные'!$K$33)),AND($B$7="Да",IFERROR(INDEX('Вводные'!$B$88:$B$91,$B$8),"Нет")="Да")),(1+INDEX('Вводные'!$AD$88:$AD$91,$B$8)*'Вводные'!$H$7)^MAX(0,(12*(YEAR(E$3)-YEAR($B$11))+MONTH(E$3)-MONTH($B$11)))*(1+IF(MONTH(E$3)=1,'Вводные'!$B$67,IF(AND(MONTH(E$3)&gt;=5,MONTH(E$3)&lt;=8),'Вводные'!$B$70,0))),0)</x:f>
      </x:c>
      <x:c r="F18" s="35" t="n">
        <x:f>IF(AND(F$3&gt;=$B$11,F$3&lt;EDATE($B$11,MAX(1,'Вводные'!$K$33)),AND($B$7="Да",IFERROR(INDEX('Вводные'!$B$88:$B$91,$B$8),"Нет")="Да")),(1+INDEX('Вводные'!$AD$88:$AD$91,$B$8)*'Вводные'!$H$7)^MAX(0,(12*(YEAR(F$3)-YEAR($B$11))+MONTH(F$3)-MONTH($B$11)))*(1+IF(MONTH(F$3)=1,'Вводные'!$B$67,IF(AND(MONTH(F$3)&gt;=5,MONTH(F$3)&lt;=8),'Вводные'!$B$70,0))),0)</x:f>
      </x:c>
      <x:c r="G18" s="35" t="n">
        <x:f>IF(AND(G$3&gt;=$B$11,G$3&lt;EDATE($B$11,MAX(1,'Вводные'!$K$33)),AND($B$7="Да",IFERROR(INDEX('Вводные'!$B$88:$B$91,$B$8),"Нет")="Да")),(1+INDEX('Вводные'!$AD$88:$AD$91,$B$8)*'Вводные'!$H$7)^MAX(0,(12*(YEAR(G$3)-YEAR($B$11))+MONTH(G$3)-MONTH($B$11)))*(1+IF(MONTH(G$3)=1,'Вводные'!$B$67,IF(AND(MONTH(G$3)&gt;=5,MONTH(G$3)&lt;=8),'Вводные'!$B$70,0))),0)</x:f>
      </x:c>
      <x:c r="H18" s="35" t="n">
        <x:f>IF(AND(H$3&gt;=$B$11,H$3&lt;EDATE($B$11,MAX(1,'Вводные'!$K$33)),AND($B$7="Да",IFERROR(INDEX('Вводные'!$B$88:$B$91,$B$8),"Нет")="Да")),(1+INDEX('Вводные'!$AD$88:$AD$91,$B$8)*'Вводные'!$H$7)^MAX(0,(12*(YEAR(H$3)-YEAR($B$11))+MONTH(H$3)-MONTH($B$11)))*(1+IF(MONTH(H$3)=1,'Вводные'!$B$67,IF(AND(MONTH(H$3)&gt;=5,MONTH(H$3)&lt;=8),'Вводные'!$B$70,0))),0)</x:f>
      </x:c>
      <x:c r="I18" s="35" t="n">
        <x:f>IF(AND(I$3&gt;=$B$11,I$3&lt;EDATE($B$11,MAX(1,'Вводные'!$K$33)),AND($B$7="Да",IFERROR(INDEX('Вводные'!$B$88:$B$91,$B$8),"Нет")="Да")),(1+INDEX('Вводные'!$AD$88:$AD$91,$B$8)*'Вводные'!$H$7)^MAX(0,(12*(YEAR(I$3)-YEAR($B$11))+MONTH(I$3)-MONTH($B$11)))*(1+IF(MONTH(I$3)=1,'Вводные'!$B$67,IF(AND(MONTH(I$3)&gt;=5,MONTH(I$3)&lt;=8),'Вводные'!$B$70,0))),0)</x:f>
      </x:c>
      <x:c r="J18" s="35" t="n">
        <x:f>IF(AND(J$3&gt;=$B$11,J$3&lt;EDATE($B$11,MAX(1,'Вводные'!$K$33)),AND($B$7="Да",IFERROR(INDEX('Вводные'!$B$88:$B$91,$B$8),"Нет")="Да")),(1+INDEX('Вводные'!$AD$88:$AD$91,$B$8)*'Вводные'!$H$7)^MAX(0,(12*(YEAR(J$3)-YEAR($B$11))+MONTH(J$3)-MONTH($B$11)))*(1+IF(MONTH(J$3)=1,'Вводные'!$B$67,IF(AND(MONTH(J$3)&gt;=5,MONTH(J$3)&lt;=8),'Вводные'!$B$70,0))),0)</x:f>
      </x:c>
      <x:c r="K18" s="35" t="n">
        <x:f>IF(AND(K$3&gt;=$B$11,K$3&lt;EDATE($B$11,MAX(1,'Вводные'!$K$33)),AND($B$7="Да",IFERROR(INDEX('Вводные'!$B$88:$B$91,$B$8),"Нет")="Да")),(1+INDEX('Вводные'!$AD$88:$AD$91,$B$8)*'Вводные'!$H$7)^MAX(0,(12*(YEAR(K$3)-YEAR($B$11))+MONTH(K$3)-MONTH($B$11)))*(1+IF(MONTH(K$3)=1,'Вводные'!$B$67,IF(AND(MONTH(K$3)&gt;=5,MONTH(K$3)&lt;=8),'Вводные'!$B$70,0))),0)</x:f>
      </x:c>
      <x:c r="L18" s="35" t="n">
        <x:f>IF(AND(L$3&gt;=$B$11,L$3&lt;EDATE($B$11,MAX(1,'Вводные'!$K$33)),AND($B$7="Да",IFERROR(INDEX('Вводные'!$B$88:$B$91,$B$8),"Нет")="Да")),(1+INDEX('Вводные'!$AD$88:$AD$91,$B$8)*'Вводные'!$H$7)^MAX(0,(12*(YEAR(L$3)-YEAR($B$11))+MONTH(L$3)-MONTH($B$11)))*(1+IF(MONTH(L$3)=1,'Вводные'!$B$67,IF(AND(MONTH(L$3)&gt;=5,MONTH(L$3)&lt;=8),'Вводные'!$B$70,0))),0)</x:f>
      </x:c>
      <x:c r="M18" s="35" t="n">
        <x:f>IF(AND(M$3&gt;=$B$11,M$3&lt;EDATE($B$11,MAX(1,'Вводные'!$K$33)),AND($B$7="Да",IFERROR(INDEX('Вводные'!$B$88:$B$91,$B$8),"Нет")="Да")),(1+INDEX('Вводные'!$AD$88:$AD$91,$B$8)*'Вводные'!$H$7)^MAX(0,(12*(YEAR(M$3)-YEAR($B$11))+MONTH(M$3)-MONTH($B$11)))*(1+IF(MONTH(M$3)=1,'Вводные'!$B$67,IF(AND(MONTH(M$3)&gt;=5,MONTH(M$3)&lt;=8),'Вводные'!$B$70,0))),0)</x:f>
      </x:c>
      <x:c r="N18" s="35" t="n">
        <x:f>IF(AND(N$3&gt;=$B$11,N$3&lt;EDATE($B$11,MAX(1,'Вводные'!$K$33)),AND($B$7="Да",IFERROR(INDEX('Вводные'!$B$88:$B$91,$B$8),"Нет")="Да")),(1+INDEX('Вводные'!$AD$88:$AD$91,$B$8)*'Вводные'!$H$7)^MAX(0,(12*(YEAR(N$3)-YEAR($B$11))+MONTH(N$3)-MONTH($B$11)))*(1+IF(MONTH(N$3)=1,'Вводные'!$B$67,IF(AND(MONTH(N$3)&gt;=5,MONTH(N$3)&lt;=8),'Вводные'!$B$70,0))),0)</x:f>
      </x:c>
      <x:c r="O18" s="35" t="n">
        <x:f>IF(AND(O$3&gt;=$B$11,O$3&lt;EDATE($B$11,MAX(1,'Вводные'!$K$33)),AND($B$7="Да",IFERROR(INDEX('Вводные'!$B$88:$B$91,$B$8),"Нет")="Да")),(1+INDEX('Вводные'!$AD$88:$AD$91,$B$8)*'Вводные'!$H$7)^MAX(0,(12*(YEAR(O$3)-YEAR($B$11))+MONTH(O$3)-MONTH($B$11)))*(1+IF(MONTH(O$3)=1,'Вводные'!$B$67,IF(AND(MONTH(O$3)&gt;=5,MONTH(O$3)&lt;=8),'Вводные'!$B$70,0))),0)</x:f>
      </x:c>
      <x:c r="P18" s="35" t="n">
        <x:f>IF(AND(P$3&gt;=$B$11,P$3&lt;EDATE($B$11,MAX(1,'Вводные'!$K$33)),AND($B$7="Да",IFERROR(INDEX('Вводные'!$B$88:$B$91,$B$8),"Нет")="Да")),(1+INDEX('Вводные'!$AD$88:$AD$91,$B$8)*'Вводные'!$H$7)^MAX(0,(12*(YEAR(P$3)-YEAR($B$11))+MONTH(P$3)-MONTH($B$11)))*(1+IF(MONTH(P$3)=1,'Вводные'!$B$67,IF(AND(MONTH(P$3)&gt;=5,MONTH(P$3)&lt;=8),'Вводные'!$B$70,0))),0)</x:f>
      </x:c>
      <x:c r="Q18" s="35" t="n">
        <x:f>IF(AND(Q$3&gt;=$B$11,Q$3&lt;EDATE($B$11,MAX(1,'Вводные'!$K$33)),AND($B$7="Да",IFERROR(INDEX('Вводные'!$B$88:$B$91,$B$8),"Нет")="Да")),(1+INDEX('Вводные'!$AD$88:$AD$91,$B$8)*'Вводные'!$H$7)^MAX(0,(12*(YEAR(Q$3)-YEAR($B$11))+MONTH(Q$3)-MONTH($B$11)))*(1+IF(MONTH(Q$3)=1,'Вводные'!$B$67,IF(AND(MONTH(Q$3)&gt;=5,MONTH(Q$3)&lt;=8),'Вводные'!$B$70,0))),0)</x:f>
      </x:c>
      <x:c r="R18" s="35" t="n">
        <x:f>IF(AND(R$3&gt;=$B$11,R$3&lt;EDATE($B$11,MAX(1,'Вводные'!$K$33)),AND($B$7="Да",IFERROR(INDEX('Вводные'!$B$88:$B$91,$B$8),"Нет")="Да")),(1+INDEX('Вводные'!$AD$88:$AD$91,$B$8)*'Вводные'!$H$7)^MAX(0,(12*(YEAR(R$3)-YEAR($B$11))+MONTH(R$3)-MONTH($B$11)))*(1+IF(MONTH(R$3)=1,'Вводные'!$B$67,IF(AND(MONTH(R$3)&gt;=5,MONTH(R$3)&lt;=8),'Вводные'!$B$70,0))),0)</x:f>
      </x:c>
      <x:c r="S18" s="35" t="n">
        <x:f>IF(AND(S$3&gt;=$B$11,S$3&lt;EDATE($B$11,MAX(1,'Вводные'!$K$33)),AND($B$7="Да",IFERROR(INDEX('Вводные'!$B$88:$B$91,$B$8),"Нет")="Да")),(1+INDEX('Вводные'!$AD$88:$AD$91,$B$8)*'Вводные'!$H$7)^MAX(0,(12*(YEAR(S$3)-YEAR($B$11))+MONTH(S$3)-MONTH($B$11)))*(1+IF(MONTH(S$3)=1,'Вводные'!$B$67,IF(AND(MONTH(S$3)&gt;=5,MONTH(S$3)&lt;=8),'Вводные'!$B$70,0))),0)</x:f>
      </x:c>
      <x:c r="T18" s="35" t="n">
        <x:f>IF(AND(T$3&gt;=$B$11,T$3&lt;EDATE($B$11,MAX(1,'Вводные'!$K$33)),AND($B$7="Да",IFERROR(INDEX('Вводные'!$B$88:$B$91,$B$8),"Нет")="Да")),(1+INDEX('Вводные'!$AD$88:$AD$91,$B$8)*'Вводные'!$H$7)^MAX(0,(12*(YEAR(T$3)-YEAR($B$11))+MONTH(T$3)-MONTH($B$11)))*(1+IF(MONTH(T$3)=1,'Вводные'!$B$67,IF(AND(MONTH(T$3)&gt;=5,MONTH(T$3)&lt;=8),'Вводные'!$B$70,0))),0)</x:f>
      </x:c>
      <x:c r="U18" s="35" t="n">
        <x:f>IF(AND(U$3&gt;=$B$11,U$3&lt;EDATE($B$11,MAX(1,'Вводные'!$K$33)),AND($B$7="Да",IFERROR(INDEX('Вводные'!$B$88:$B$91,$B$8),"Нет")="Да")),(1+INDEX('Вводные'!$AD$88:$AD$91,$B$8)*'Вводные'!$H$7)^MAX(0,(12*(YEAR(U$3)-YEAR($B$11))+MONTH(U$3)-MONTH($B$11)))*(1+IF(MONTH(U$3)=1,'Вводные'!$B$67,IF(AND(MONTH(U$3)&gt;=5,MONTH(U$3)&lt;=8),'Вводные'!$B$70,0))),0)</x:f>
      </x:c>
      <x:c r="V18" s="35" t="n">
        <x:f>IF(AND(V$3&gt;=$B$11,V$3&lt;EDATE($B$11,MAX(1,'Вводные'!$K$33)),AND($B$7="Да",IFERROR(INDEX('Вводные'!$B$88:$B$91,$B$8),"Нет")="Да")),(1+INDEX('Вводные'!$AD$88:$AD$91,$B$8)*'Вводные'!$H$7)^MAX(0,(12*(YEAR(V$3)-YEAR($B$11))+MONTH(V$3)-MONTH($B$11)))*(1+IF(MONTH(V$3)=1,'Вводные'!$B$67,IF(AND(MONTH(V$3)&gt;=5,MONTH(V$3)&lt;=8),'Вводные'!$B$70,0))),0)</x:f>
      </x:c>
      <x:c r="W18" s="35" t="n">
        <x:f>IF(AND(W$3&gt;=$B$11,W$3&lt;EDATE($B$11,MAX(1,'Вводные'!$K$33)),AND($B$7="Да",IFERROR(INDEX('Вводные'!$B$88:$B$91,$B$8),"Нет")="Да")),(1+INDEX('Вводные'!$AD$88:$AD$91,$B$8)*'Вводные'!$H$7)^MAX(0,(12*(YEAR(W$3)-YEAR($B$11))+MONTH(W$3)-MONTH($B$11)))*(1+IF(MONTH(W$3)=1,'Вводные'!$B$67,IF(AND(MONTH(W$3)&gt;=5,MONTH(W$3)&lt;=8),'Вводные'!$B$70,0))),0)</x:f>
      </x:c>
      <x:c r="X18" s="35" t="n">
        <x:f>IF(AND(X$3&gt;=$B$11,X$3&lt;EDATE($B$11,MAX(1,'Вводные'!$K$33)),AND($B$7="Да",IFERROR(INDEX('Вводные'!$B$88:$B$91,$B$8),"Нет")="Да")),(1+INDEX('Вводные'!$AD$88:$AD$91,$B$8)*'Вводные'!$H$7)^MAX(0,(12*(YEAR(X$3)-YEAR($B$11))+MONTH(X$3)-MONTH($B$11)))*(1+IF(MONTH(X$3)=1,'Вводные'!$B$67,IF(AND(MONTH(X$3)&gt;=5,MONTH(X$3)&lt;=8),'Вводные'!$B$70,0))),0)</x:f>
      </x:c>
      <x:c r="Y18" s="35" t="n">
        <x:f>IF(AND(Y$3&gt;=$B$11,Y$3&lt;EDATE($B$11,MAX(1,'Вводные'!$K$33)),AND($B$7="Да",IFERROR(INDEX('Вводные'!$B$88:$B$91,$B$8),"Нет")="Да")),(1+INDEX('Вводные'!$AD$88:$AD$91,$B$8)*'Вводные'!$H$7)^MAX(0,(12*(YEAR(Y$3)-YEAR($B$11))+MONTH(Y$3)-MONTH($B$11)))*(1+IF(MONTH(Y$3)=1,'Вводные'!$B$67,IF(AND(MONTH(Y$3)&gt;=5,MONTH(Y$3)&lt;=8),'Вводные'!$B$70,0))),0)</x:f>
      </x:c>
      <x:c r="Z18" s="35" t="n">
        <x:f>IF(AND(Z$3&gt;=$B$11,Z$3&lt;EDATE($B$11,MAX(1,'Вводные'!$K$33)),AND($B$7="Да",IFERROR(INDEX('Вводные'!$B$88:$B$91,$B$8),"Нет")="Да")),(1+INDEX('Вводные'!$AD$88:$AD$91,$B$8)*'Вводные'!$H$7)^MAX(0,(12*(YEAR(Z$3)-YEAR($B$11))+MONTH(Z$3)-MONTH($B$11)))*(1+IF(MONTH(Z$3)=1,'Вводные'!$B$67,IF(AND(MONTH(Z$3)&gt;=5,MONTH(Z$3)&lt;=8),'Вводные'!$B$70,0))),0)</x:f>
      </x:c>
      <x:c r="AA18" s="35" t="n">
        <x:f>IF(AND(AA$3&gt;=$B$11,AA$3&lt;EDATE($B$11,MAX(1,'Вводные'!$K$33)),AND($B$7="Да",IFERROR(INDEX('Вводные'!$B$88:$B$91,$B$8),"Нет")="Да")),(1+INDEX('Вводные'!$AD$88:$AD$91,$B$8)*'Вводные'!$H$7)^MAX(0,(12*(YEAR(AA$3)-YEAR($B$11))+MONTH(AA$3)-MONTH($B$11)))*(1+IF(MONTH(AA$3)=1,'Вводные'!$B$67,IF(AND(MONTH(AA$3)&gt;=5,MONTH(AA$3)&lt;=8),'Вводные'!$B$70,0))),0)</x:f>
      </x:c>
      <x:c r="AB18" s="35" t="n">
        <x:f>IF(AND(AB$3&gt;=$B$11,AB$3&lt;EDATE($B$11,MAX(1,'Вводные'!$K$33)),AND($B$7="Да",IFERROR(INDEX('Вводные'!$B$88:$B$91,$B$8),"Нет")="Да")),(1+INDEX('Вводные'!$AD$88:$AD$91,$B$8)*'Вводные'!$H$7)^MAX(0,(12*(YEAR(AB$3)-YEAR($B$11))+MONTH(AB$3)-MONTH($B$11)))*(1+IF(MONTH(AB$3)=1,'Вводные'!$B$67,IF(AND(MONTH(AB$3)&gt;=5,MONTH(AB$3)&lt;=8),'Вводные'!$B$70,0))),0)</x:f>
      </x:c>
      <x:c r="AC18" s="35" t="n">
        <x:f>IF(AND(AC$3&gt;=$B$11,AC$3&lt;EDATE($B$11,MAX(1,'Вводные'!$K$33)),AND($B$7="Да",IFERROR(INDEX('Вводные'!$B$88:$B$91,$B$8),"Нет")="Да")),(1+INDEX('Вводные'!$AD$88:$AD$91,$B$8)*'Вводные'!$H$7)^MAX(0,(12*(YEAR(AC$3)-YEAR($B$11))+MONTH(AC$3)-MONTH($B$11)))*(1+IF(MONTH(AC$3)=1,'Вводные'!$B$67,IF(AND(MONTH(AC$3)&gt;=5,MONTH(AC$3)&lt;=8),'Вводные'!$B$70,0))),0)</x:f>
      </x:c>
      <x:c r="AD18" s="35" t="n">
        <x:f>IF(AND(AD$3&gt;=$B$11,AD$3&lt;EDATE($B$11,MAX(1,'Вводные'!$K$33)),AND($B$7="Да",IFERROR(INDEX('Вводные'!$B$88:$B$91,$B$8),"Нет")="Да")),(1+INDEX('Вводные'!$AD$88:$AD$91,$B$8)*'Вводные'!$H$7)^MAX(0,(12*(YEAR(AD$3)-YEAR($B$11))+MONTH(AD$3)-MONTH($B$11)))*(1+IF(MONTH(AD$3)=1,'Вводные'!$B$67,IF(AND(MONTH(AD$3)&gt;=5,MONTH(AD$3)&lt;=8),'Вводные'!$B$70,0))),0)</x:f>
      </x:c>
      <x:c r="AE18" s="35" t="n">
        <x:f>IF(AND(AE$3&gt;=$B$11,AE$3&lt;EDATE($B$11,MAX(1,'Вводные'!$K$33)),AND($B$7="Да",IFERROR(INDEX('Вводные'!$B$88:$B$91,$B$8),"Нет")="Да")),(1+INDEX('Вводные'!$AD$88:$AD$91,$B$8)*'Вводные'!$H$7)^MAX(0,(12*(YEAR(AE$3)-YEAR($B$11))+MONTH(AE$3)-MONTH($B$11)))*(1+IF(MONTH(AE$3)=1,'Вводные'!$B$67,IF(AND(MONTH(AE$3)&gt;=5,MONTH(AE$3)&lt;=8),'Вводные'!$B$70,0))),0)</x:f>
      </x:c>
      <x:c r="AF18" s="35" t="n">
        <x:f>IF(AND(AF$3&gt;=$B$11,AF$3&lt;EDATE($B$11,MAX(1,'Вводные'!$K$33)),AND($B$7="Да",IFERROR(INDEX('Вводные'!$B$88:$B$91,$B$8),"Нет")="Да")),(1+INDEX('Вводные'!$AD$88:$AD$91,$B$8)*'Вводные'!$H$7)^MAX(0,(12*(YEAR(AF$3)-YEAR($B$11))+MONTH(AF$3)-MONTH($B$11)))*(1+IF(MONTH(AF$3)=1,'Вводные'!$B$67,IF(AND(MONTH(AF$3)&gt;=5,MONTH(AF$3)&lt;=8),'Вводные'!$B$70,0))),0)</x:f>
      </x:c>
      <x:c r="AG18" s="35" t="n">
        <x:f>IF(AND(AG$3&gt;=$B$11,AG$3&lt;EDATE($B$11,MAX(1,'Вводные'!$K$33)),AND($B$7="Да",IFERROR(INDEX('Вводные'!$B$88:$B$91,$B$8),"Нет")="Да")),(1+INDEX('Вводные'!$AD$88:$AD$91,$B$8)*'Вводные'!$H$7)^MAX(0,(12*(YEAR(AG$3)-YEAR($B$11))+MONTH(AG$3)-MONTH($B$11)))*(1+IF(MONTH(AG$3)=1,'Вводные'!$B$67,IF(AND(MONTH(AG$3)&gt;=5,MONTH(AG$3)&lt;=8),'Вводные'!$B$70,0))),0)</x:f>
      </x:c>
      <x:c r="AH18" s="35" t="n">
        <x:f>IF(AND(AH$3&gt;=$B$11,AH$3&lt;EDATE($B$11,MAX(1,'Вводные'!$K$33)),AND($B$7="Да",IFERROR(INDEX('Вводные'!$B$88:$B$91,$B$8),"Нет")="Да")),(1+INDEX('Вводные'!$AD$88:$AD$91,$B$8)*'Вводные'!$H$7)^MAX(0,(12*(YEAR(AH$3)-YEAR($B$11))+MONTH(AH$3)-MONTH($B$11)))*(1+IF(MONTH(AH$3)=1,'Вводные'!$B$67,IF(AND(MONTH(AH$3)&gt;=5,MONTH(AH$3)&lt;=8),'Вводные'!$B$70,0))),0)</x:f>
      </x:c>
      <x:c r="AI18" s="35" t="n">
        <x:f>IF(AND(AI$3&gt;=$B$11,AI$3&lt;EDATE($B$11,MAX(1,'Вводные'!$K$33)),AND($B$7="Да",IFERROR(INDEX('Вводные'!$B$88:$B$91,$B$8),"Нет")="Да")),(1+INDEX('Вводные'!$AD$88:$AD$91,$B$8)*'Вводные'!$H$7)^MAX(0,(12*(YEAR(AI$3)-YEAR($B$11))+MONTH(AI$3)-MONTH($B$11)))*(1+IF(MONTH(AI$3)=1,'Вводные'!$B$67,IF(AND(MONTH(AI$3)&gt;=5,MONTH(AI$3)&lt;=8),'Вводные'!$B$70,0))),0)</x:f>
      </x:c>
      <x:c r="AJ18" s="35" t="n">
        <x:f>IF(AND(AJ$3&gt;=$B$11,AJ$3&lt;EDATE($B$11,MAX(1,'Вводные'!$K$33)),AND($B$7="Да",IFERROR(INDEX('Вводные'!$B$88:$B$91,$B$8),"Нет")="Да")),(1+INDEX('Вводные'!$AD$88:$AD$91,$B$8)*'Вводные'!$H$7)^MAX(0,(12*(YEAR(AJ$3)-YEAR($B$11))+MONTH(AJ$3)-MONTH($B$11)))*(1+IF(MONTH(AJ$3)=1,'Вводные'!$B$67,IF(AND(MONTH(AJ$3)&gt;=5,MONTH(AJ$3)&lt;=8),'Вводные'!$B$70,0))),0)</x:f>
      </x:c>
      <x:c r="AK18" s="35" t="n">
        <x:f>IF(AND(AK$3&gt;=$B$11,AK$3&lt;EDATE($B$11,MAX(1,'Вводные'!$K$33)),AND($B$7="Да",IFERROR(INDEX('Вводные'!$B$88:$B$91,$B$8),"Нет")="Да")),(1+INDEX('Вводные'!$AD$88:$AD$91,$B$8)*'Вводные'!$H$7)^MAX(0,(12*(YEAR(AK$3)-YEAR($B$11))+MONTH(AK$3)-MONTH($B$11)))*(1+IF(MONTH(AK$3)=1,'Вводные'!$B$67,IF(AND(MONTH(AK$3)&gt;=5,MONTH(AK$3)&lt;=8),'Вводные'!$B$70,0))),0)</x:f>
      </x:c>
      <x:c r="AL18" s="35" t="n">
        <x:f>IF(AND(AL$3&gt;=$B$11,AL$3&lt;EDATE($B$11,MAX(1,'Вводные'!$K$33)),AND($B$7="Да",IFERROR(INDEX('Вводные'!$B$88:$B$91,$B$8),"Нет")="Да")),(1+INDEX('Вводные'!$AD$88:$AD$91,$B$8)*'Вводные'!$H$7)^MAX(0,(12*(YEAR(AL$3)-YEAR($B$11))+MONTH(AL$3)-MONTH($B$11)))*(1+IF(MONTH(AL$3)=1,'Вводные'!$B$67,IF(AND(MONTH(AL$3)&gt;=5,MONTH(AL$3)&lt;=8),'Вводные'!$B$70,0))),0)</x:f>
      </x:c>
      <x:c r="AM18" s="35" t="n">
        <x:f>IF(AND(AM$3&gt;=$B$11,AM$3&lt;EDATE($B$11,MAX(1,'Вводные'!$K$33)),AND($B$7="Да",IFERROR(INDEX('Вводные'!$B$88:$B$91,$B$8),"Нет")="Да")),(1+INDEX('Вводные'!$AD$88:$AD$91,$B$8)*'Вводные'!$H$7)^MAX(0,(12*(YEAR(AM$3)-YEAR($B$11))+MONTH(AM$3)-MONTH($B$11)))*(1+IF(MONTH(AM$3)=1,'Вводные'!$B$67,IF(AND(MONTH(AM$3)&gt;=5,MONTH(AM$3)&lt;=8),'Вводные'!$B$70,0))),0)</x:f>
      </x:c>
      <x:c r="AN18" s="35" t="n">
        <x:f>IF(AND(AN$3&gt;=$B$11,AN$3&lt;EDATE($B$11,MAX(1,'Вводные'!$K$33)),AND($B$7="Да",IFERROR(INDEX('Вводные'!$B$88:$B$91,$B$8),"Нет")="Да")),(1+INDEX('Вводные'!$AD$88:$AD$91,$B$8)*'Вводные'!$H$7)^MAX(0,(12*(YEAR(AN$3)-YEAR($B$11))+MONTH(AN$3)-MONTH($B$11)))*(1+IF(MONTH(AN$3)=1,'Вводные'!$B$67,IF(AND(MONTH(AN$3)&gt;=5,MONTH(AN$3)&lt;=8),'Вводные'!$B$70,0))),0)</x:f>
      </x:c>
      <x:c r="AO18" s="35" t="n">
        <x:f>IF(AND(AO$3&gt;=$B$11,AO$3&lt;EDATE($B$11,MAX(1,'Вводные'!$K$33)),AND($B$7="Да",IFERROR(INDEX('Вводные'!$B$88:$B$91,$B$8),"Нет")="Да")),(1+INDEX('Вводные'!$AD$88:$AD$91,$B$8)*'Вводные'!$H$7)^MAX(0,(12*(YEAR(AO$3)-YEAR($B$11))+MONTH(AO$3)-MONTH($B$11)))*(1+IF(MONTH(AO$3)=1,'Вводные'!$B$67,IF(AND(MONTH(AO$3)&gt;=5,MONTH(AO$3)&lt;=8),'Вводные'!$B$70,0))),0)</x:f>
      </x:c>
      <x:c r="AP18" s="35" t="n">
        <x:f>IF(AND(AP$3&gt;=$B$11,AP$3&lt;EDATE($B$11,MAX(1,'Вводные'!$K$33)),AND($B$7="Да",IFERROR(INDEX('Вводные'!$B$88:$B$91,$B$8),"Нет")="Да")),(1+INDEX('Вводные'!$AD$88:$AD$91,$B$8)*'Вводные'!$H$7)^MAX(0,(12*(YEAR(AP$3)-YEAR($B$11))+MONTH(AP$3)-MONTH($B$11)))*(1+IF(MONTH(AP$3)=1,'Вводные'!$B$67,IF(AND(MONTH(AP$3)&gt;=5,MONTH(AP$3)&lt;=8),'Вводные'!$B$70,0))),0)</x:f>
      </x:c>
      <x:c r="AQ18" s="35" t="n">
        <x:f>IF(AND(AQ$3&gt;=$B$11,AQ$3&lt;EDATE($B$11,MAX(1,'Вводные'!$K$33)),AND($B$7="Да",IFERROR(INDEX('Вводные'!$B$88:$B$91,$B$8),"Нет")="Да")),(1+INDEX('Вводные'!$AD$88:$AD$91,$B$8)*'Вводные'!$H$7)^MAX(0,(12*(YEAR(AQ$3)-YEAR($B$11))+MONTH(AQ$3)-MONTH($B$11)))*(1+IF(MONTH(AQ$3)=1,'Вводные'!$B$67,IF(AND(MONTH(AQ$3)&gt;=5,MONTH(AQ$3)&lt;=8),'Вводные'!$B$70,0))),0)</x:f>
      </x:c>
      <x:c r="AR18" s="35" t="n">
        <x:f>IF(AND(AR$3&gt;=$B$11,AR$3&lt;EDATE($B$11,MAX(1,'Вводные'!$K$33)),AND($B$7="Да",IFERROR(INDEX('Вводные'!$B$88:$B$91,$B$8),"Нет")="Да")),(1+INDEX('Вводные'!$AD$88:$AD$91,$B$8)*'Вводные'!$H$7)^MAX(0,(12*(YEAR(AR$3)-YEAR($B$11))+MONTH(AR$3)-MONTH($B$11)))*(1+IF(MONTH(AR$3)=1,'Вводные'!$B$67,IF(AND(MONTH(AR$3)&gt;=5,MONTH(AR$3)&lt;=8),'Вводные'!$B$70,0))),0)</x:f>
      </x:c>
      <x:c r="AS18" s="35" t="n">
        <x:f>IF(AND(AS$3&gt;=$B$11,AS$3&lt;EDATE($B$11,MAX(1,'Вводные'!$K$33)),AND($B$7="Да",IFERROR(INDEX('Вводные'!$B$88:$B$91,$B$8),"Нет")="Да")),(1+INDEX('Вводные'!$AD$88:$AD$91,$B$8)*'Вводные'!$H$7)^MAX(0,(12*(YEAR(AS$3)-YEAR($B$11))+MONTH(AS$3)-MONTH($B$11)))*(1+IF(MONTH(AS$3)=1,'Вводные'!$B$67,IF(AND(MONTH(AS$3)&gt;=5,MONTH(AS$3)&lt;=8),'Вводные'!$B$70,0))),0)</x:f>
      </x:c>
      <x:c r="AT18" s="35" t="n">
        <x:f>IF(AND(AT$3&gt;=$B$11,AT$3&lt;EDATE($B$11,MAX(1,'Вводные'!$K$33)),AND($B$7="Да",IFERROR(INDEX('Вводные'!$B$88:$B$91,$B$8),"Нет")="Да")),(1+INDEX('Вводные'!$AD$88:$AD$91,$B$8)*'Вводные'!$H$7)^MAX(0,(12*(YEAR(AT$3)-YEAR($B$11))+MONTH(AT$3)-MONTH($B$11)))*(1+IF(MONTH(AT$3)=1,'Вводные'!$B$67,IF(AND(MONTH(AT$3)&gt;=5,MONTH(AT$3)&lt;=8),'Вводные'!$B$70,0))),0)</x:f>
      </x:c>
      <x:c r="AU18" s="35" t="n">
        <x:f>IF(AND(AU$3&gt;=$B$11,AU$3&lt;EDATE($B$11,MAX(1,'Вводные'!$K$33)),AND($B$7="Да",IFERROR(INDEX('Вводные'!$B$88:$B$91,$B$8),"Нет")="Да")),(1+INDEX('Вводные'!$AD$88:$AD$91,$B$8)*'Вводные'!$H$7)^MAX(0,(12*(YEAR(AU$3)-YEAR($B$11))+MONTH(AU$3)-MONTH($B$11)))*(1+IF(MONTH(AU$3)=1,'Вводные'!$B$67,IF(AND(MONTH(AU$3)&gt;=5,MONTH(AU$3)&lt;=8),'Вводные'!$B$70,0))),0)</x:f>
      </x:c>
      <x:c r="AV18" s="35" t="n">
        <x:f>IF(AND(AV$3&gt;=$B$11,AV$3&lt;EDATE($B$11,MAX(1,'Вводные'!$K$33)),AND($B$7="Да",IFERROR(INDEX('Вводные'!$B$88:$B$91,$B$8),"Нет")="Да")),(1+INDEX('Вводные'!$AD$88:$AD$91,$B$8)*'Вводные'!$H$7)^MAX(0,(12*(YEAR(AV$3)-YEAR($B$11))+MONTH(AV$3)-MONTH($B$11)))*(1+IF(MONTH(AV$3)=1,'Вводные'!$B$67,IF(AND(MONTH(AV$3)&gt;=5,MONTH(AV$3)&lt;=8),'Вводные'!$B$70,0))),0)</x:f>
      </x:c>
      <x:c r="AW18" s="35" t="n">
        <x:f>IF(AND(AW$3&gt;=$B$11,AW$3&lt;EDATE($B$11,MAX(1,'Вводные'!$K$33)),AND($B$7="Да",IFERROR(INDEX('Вводные'!$B$88:$B$91,$B$8),"Нет")="Да")),(1+INDEX('Вводные'!$AD$88:$AD$91,$B$8)*'Вводные'!$H$7)^MAX(0,(12*(YEAR(AW$3)-YEAR($B$11))+MONTH(AW$3)-MONTH($B$11)))*(1+IF(MONTH(AW$3)=1,'Вводные'!$B$67,IF(AND(MONTH(AW$3)&gt;=5,MONTH(AW$3)&lt;=8),'Вводные'!$B$70,0))),0)</x:f>
      </x:c>
      <x:c r="AX18" s="35" t="n">
        <x:f>IF(AND(AX$3&gt;=$B$11,AX$3&lt;EDATE($B$11,MAX(1,'Вводные'!$K$33)),AND($B$7="Да",IFERROR(INDEX('Вводные'!$B$88:$B$91,$B$8),"Нет")="Да")),(1+INDEX('Вводные'!$AD$88:$AD$91,$B$8)*'Вводные'!$H$7)^MAX(0,(12*(YEAR(AX$3)-YEAR($B$11))+MONTH(AX$3)-MONTH($B$11)))*(1+IF(MONTH(AX$3)=1,'Вводные'!$B$67,IF(AND(MONTH(AX$3)&gt;=5,MONTH(AX$3)&lt;=8),'Вводные'!$B$70,0))),0)</x:f>
      </x:c>
      <x:c r="AY18" s="35" t="n">
        <x:f>IF(AND(AY$3&gt;=$B$11,AY$3&lt;EDATE($B$11,MAX(1,'Вводные'!$K$33)),AND($B$7="Да",IFERROR(INDEX('Вводные'!$B$88:$B$91,$B$8),"Нет")="Да")),(1+INDEX('Вводные'!$AD$88:$AD$91,$B$8)*'Вводные'!$H$7)^MAX(0,(12*(YEAR(AY$3)-YEAR($B$11))+MONTH(AY$3)-MONTH($B$11)))*(1+IF(MONTH(AY$3)=1,'Вводные'!$B$67,IF(AND(MONTH(AY$3)&gt;=5,MONTH(AY$3)&lt;=8),'Вводные'!$B$70,0))),0)</x:f>
      </x:c>
      <x:c r="AZ18" s="35" t="n">
        <x:f>IF(AND(AZ$3&gt;=$B$11,AZ$3&lt;EDATE($B$11,MAX(1,'Вводные'!$K$33)),AND($B$7="Да",IFERROR(INDEX('Вводные'!$B$88:$B$91,$B$8),"Нет")="Да")),(1+INDEX('Вводные'!$AD$88:$AD$91,$B$8)*'Вводные'!$H$7)^MAX(0,(12*(YEAR(AZ$3)-YEAR($B$11))+MONTH(AZ$3)-MONTH($B$11)))*(1+IF(MONTH(AZ$3)=1,'Вводные'!$B$67,IF(AND(MONTH(AZ$3)&gt;=5,MONTH(AZ$3)&lt;=8),'Вводные'!$B$70,0))),0)</x:f>
      </x:c>
      <x:c r="BA18" s="35" t="n">
        <x:f>IF(AND(BA$3&gt;=$B$11,BA$3&lt;EDATE($B$11,MAX(1,'Вводные'!$K$33)),AND($B$7="Да",IFERROR(INDEX('Вводные'!$B$88:$B$91,$B$8),"Нет")="Да")),(1+INDEX('Вводные'!$AD$88:$AD$91,$B$8)*'Вводные'!$H$7)^MAX(0,(12*(YEAR(BA$3)-YEAR($B$11))+MONTH(BA$3)-MONTH($B$11)))*(1+IF(MONTH(BA$3)=1,'Вводные'!$B$67,IF(AND(MONTH(BA$3)&gt;=5,MONTH(BA$3)&lt;=8),'Вводные'!$B$70,0))),0)</x:f>
      </x:c>
      <x:c r="BB18" s="35" t="n">
        <x:f>IF(AND(BB$3&gt;=$B$11,BB$3&lt;EDATE($B$11,MAX(1,'Вводные'!$K$33)),AND($B$7="Да",IFERROR(INDEX('Вводные'!$B$88:$B$91,$B$8),"Нет")="Да")),(1+INDEX('Вводные'!$AD$88:$AD$91,$B$8)*'Вводные'!$H$7)^MAX(0,(12*(YEAR(BB$3)-YEAR($B$11))+MONTH(BB$3)-MONTH($B$11)))*(1+IF(MONTH(BB$3)=1,'Вводные'!$B$67,IF(AND(MONTH(BB$3)&gt;=5,MONTH(BB$3)&lt;=8),'Вводные'!$B$70,0))),0)</x:f>
      </x:c>
      <x:c r="BC18" s="35" t="n">
        <x:f>IF(AND(BC$3&gt;=$B$11,BC$3&lt;EDATE($B$11,MAX(1,'Вводные'!$K$33)),AND($B$7="Да",IFERROR(INDEX('Вводные'!$B$88:$B$91,$B$8),"Нет")="Да")),(1+INDEX('Вводные'!$AD$88:$AD$91,$B$8)*'Вводные'!$H$7)^MAX(0,(12*(YEAR(BC$3)-YEAR($B$11))+MONTH(BC$3)-MONTH($B$11)))*(1+IF(MONTH(BC$3)=1,'Вводные'!$B$67,IF(AND(MONTH(BC$3)&gt;=5,MONTH(BC$3)&lt;=8),'Вводные'!$B$70,0))),0)</x:f>
      </x:c>
      <x:c r="BD18" s="35" t="n">
        <x:f>IF(AND(BD$3&gt;=$B$11,BD$3&lt;EDATE($B$11,MAX(1,'Вводные'!$K$33)),AND($B$7="Да",IFERROR(INDEX('Вводные'!$B$88:$B$91,$B$8),"Нет")="Да")),(1+INDEX('Вводные'!$AD$88:$AD$91,$B$8)*'Вводные'!$H$7)^MAX(0,(12*(YEAR(BD$3)-YEAR($B$11))+MONTH(BD$3)-MONTH($B$11)))*(1+IF(MONTH(BD$3)=1,'Вводные'!$B$67,IF(AND(MONTH(BD$3)&gt;=5,MONTH(BD$3)&lt;=8),'Вводные'!$B$70,0))),0)</x:f>
      </x:c>
      <x:c r="BE18" s="35" t="n">
        <x:f>IF(AND(BE$3&gt;=$B$11,BE$3&lt;EDATE($B$11,MAX(1,'Вводные'!$K$33)),AND($B$7="Да",IFERROR(INDEX('Вводные'!$B$88:$B$91,$B$8),"Нет")="Да")),(1+INDEX('Вводные'!$AD$88:$AD$91,$B$8)*'Вводные'!$H$7)^MAX(0,(12*(YEAR(BE$3)-YEAR($B$11))+MONTH(BE$3)-MONTH($B$11)))*(1+IF(MONTH(BE$3)=1,'Вводные'!$B$67,IF(AND(MONTH(BE$3)&gt;=5,MONTH(BE$3)&lt;=8),'Вводные'!$B$70,0))),0)</x:f>
      </x:c>
      <x:c r="BF18" s="35" t="n">
        <x:f>IF(AND(BF$3&gt;=$B$11,BF$3&lt;EDATE($B$11,MAX(1,'Вводные'!$K$33)),AND($B$7="Да",IFERROR(INDEX('Вводные'!$B$88:$B$91,$B$8),"Нет")="Да")),(1+INDEX('Вводные'!$AD$88:$AD$91,$B$8)*'Вводные'!$H$7)^MAX(0,(12*(YEAR(BF$3)-YEAR($B$11))+MONTH(BF$3)-MONTH($B$11)))*(1+IF(MONTH(BF$3)=1,'Вводные'!$B$67,IF(AND(MONTH(BF$3)&gt;=5,MONTH(BF$3)&lt;=8),'Вводные'!$B$70,0))),0)</x:f>
      </x:c>
      <x:c r="BG18" s="35" t="n">
        <x:f>IF(AND(BG$3&gt;=$B$11,BG$3&lt;EDATE($B$11,MAX(1,'Вводные'!$K$33)),AND($B$7="Да",IFERROR(INDEX('Вводные'!$B$88:$B$91,$B$8),"Нет")="Да")),(1+INDEX('Вводные'!$AD$88:$AD$91,$B$8)*'Вводные'!$H$7)^MAX(0,(12*(YEAR(BG$3)-YEAR($B$11))+MONTH(BG$3)-MONTH($B$11)))*(1+IF(MONTH(BG$3)=1,'Вводные'!$B$67,IF(AND(MONTH(BG$3)&gt;=5,MONTH(BG$3)&lt;=8),'Вводные'!$B$70,0))),0)</x:f>
      </x:c>
      <x:c r="BH18" s="35" t="n">
        <x:f>IF(AND(BH$3&gt;=$B$11,BH$3&lt;EDATE($B$11,MAX(1,'Вводные'!$K$33)),AND($B$7="Да",IFERROR(INDEX('Вводные'!$B$88:$B$91,$B$8),"Нет")="Да")),(1+INDEX('Вводные'!$AD$88:$AD$91,$B$8)*'Вводные'!$H$7)^MAX(0,(12*(YEAR(BH$3)-YEAR($B$11))+MONTH(BH$3)-MONTH($B$11)))*(1+IF(MONTH(BH$3)=1,'Вводные'!$B$67,IF(AND(MONTH(BH$3)&gt;=5,MONTH(BH$3)&lt;=8),'Вводные'!$B$70,0))),0)</x:f>
      </x:c>
      <x:c r="BI18" s="35" t="n">
        <x:f>IF(AND(BI$3&gt;=$B$11,BI$3&lt;EDATE($B$11,MAX(1,'Вводные'!$K$33)),AND($B$7="Да",IFERROR(INDEX('Вводные'!$B$88:$B$91,$B$8),"Нет")="Да")),(1+INDEX('Вводные'!$AD$88:$AD$91,$B$8)*'Вводные'!$H$7)^MAX(0,(12*(YEAR(BI$3)-YEAR($B$11))+MONTH(BI$3)-MONTH($B$11)))*(1+IF(MONTH(BI$3)=1,'Вводные'!$B$67,IF(AND(MONTH(BI$3)&gt;=5,MONTH(BI$3)&lt;=8),'Вводные'!$B$70,0))),0)</x:f>
      </x:c>
      <x:c r="BJ18" s="35" t="n">
        <x:f>IF(AND(BJ$3&gt;=$B$11,BJ$3&lt;EDATE($B$11,MAX(1,'Вводные'!$K$33)),AND($B$7="Да",IFERROR(INDEX('Вводные'!$B$88:$B$91,$B$8),"Нет")="Да")),(1+INDEX('Вводные'!$AD$88:$AD$91,$B$8)*'Вводные'!$H$7)^MAX(0,(12*(YEAR(BJ$3)-YEAR($B$11))+MONTH(BJ$3)-MONTH($B$11)))*(1+IF(MONTH(BJ$3)=1,'Вводные'!$B$67,IF(AND(MONTH(BJ$3)&gt;=5,MONTH(BJ$3)&lt;=8),'Вводные'!$B$70,0))),0)</x:f>
      </x:c>
      <x:c r="BK18" s="35" t="n">
        <x:f>IF(AND(BK$3&gt;=$B$11,BK$3&lt;EDATE($B$11,MAX(1,'Вводные'!$K$33)),AND($B$7="Да",IFERROR(INDEX('Вводные'!$B$88:$B$91,$B$8),"Нет")="Да")),(1+INDEX('Вводные'!$AD$88:$AD$91,$B$8)*'Вводные'!$H$7)^MAX(0,(12*(YEAR(BK$3)-YEAR($B$11))+MONTH(BK$3)-MONTH($B$11)))*(1+IF(MONTH(BK$3)=1,'Вводные'!$B$67,IF(AND(MONTH(BK$3)&gt;=5,MONTH(BK$3)&lt;=8),'Вводные'!$B$70,0))),0)</x:f>
      </x:c>
      <x:c r="BL18" s="35" t="n">
        <x:f>IF(AND(BL$3&gt;=$B$11,BL$3&lt;EDATE($B$11,MAX(1,'Вводные'!$K$33)),AND($B$7="Да",IFERROR(INDEX('Вводные'!$B$88:$B$91,$B$8),"Нет")="Да")),(1+INDEX('Вводные'!$AD$88:$AD$91,$B$8)*'Вводные'!$H$7)^MAX(0,(12*(YEAR(BL$3)-YEAR($B$11))+MONTH(BL$3)-MONTH($B$11)))*(1+IF(MONTH(BL$3)=1,'Вводные'!$B$67,IF(AND(MONTH(BL$3)&gt;=5,MONTH(BL$3)&lt;=8),'Вводные'!$B$70,0))),0)</x:f>
      </x:c>
      <x:c r="BM18" s="35" t="n">
        <x:f>IF(AND(BM$3&gt;=$B$11,BM$3&lt;EDATE($B$11,MAX(1,'Вводные'!$K$33)),AND($B$7="Да",IFERROR(INDEX('Вводные'!$B$88:$B$91,$B$8),"Нет")="Да")),(1+INDEX('Вводные'!$AD$88:$AD$91,$B$8)*'Вводные'!$H$7)^MAX(0,(12*(YEAR(BM$3)-YEAR($B$11))+MONTH(BM$3)-MONTH($B$11)))*(1+IF(MONTH(BM$3)=1,'Вводные'!$B$67,IF(AND(MONTH(BM$3)&gt;=5,MONTH(BM$3)&lt;=8),'Вводные'!$B$70,0))),0)</x:f>
      </x:c>
      <x:c r="BN18" s="35" t="n">
        <x:f>IF(AND(BN$3&gt;=$B$11,BN$3&lt;EDATE($B$11,MAX(1,'Вводные'!$K$33)),AND($B$7="Да",IFERROR(INDEX('Вводные'!$B$88:$B$91,$B$8),"Нет")="Да")),(1+INDEX('Вводные'!$AD$88:$AD$91,$B$8)*'Вводные'!$H$7)^MAX(0,(12*(YEAR(BN$3)-YEAR($B$11))+MONTH(BN$3)-MONTH($B$11)))*(1+IF(MONTH(BN$3)=1,'Вводные'!$B$67,IF(AND(MONTH(BN$3)&gt;=5,MONTH(BN$3)&lt;=8),'Вводные'!$B$70,0))),0)</x:f>
      </x:c>
      <x:c r="BO18" s="35" t="n">
        <x:f>IF(AND(BO$3&gt;=$B$11,BO$3&lt;EDATE($B$11,MAX(1,'Вводные'!$K$33)),AND($B$7="Да",IFERROR(INDEX('Вводные'!$B$88:$B$91,$B$8),"Нет")="Да")),(1+INDEX('Вводные'!$AD$88:$AD$91,$B$8)*'Вводные'!$H$7)^MAX(0,(12*(YEAR(BO$3)-YEAR($B$11))+MONTH(BO$3)-MONTH($B$11)))*(1+IF(MONTH(BO$3)=1,'Вводные'!$B$67,IF(AND(MONTH(BO$3)&gt;=5,MONTH(BO$3)&lt;=8),'Вводные'!$B$70,0))),0)</x:f>
      </x:c>
      <x:c r="BP18" s="35" t="n">
        <x:f>IF(AND(BP$3&gt;=$B$11,BP$3&lt;EDATE($B$11,MAX(1,'Вводные'!$K$33)),AND($B$7="Да",IFERROR(INDEX('Вводные'!$B$88:$B$91,$B$8),"Нет")="Да")),(1+INDEX('Вводные'!$AD$88:$AD$91,$B$8)*'Вводные'!$H$7)^MAX(0,(12*(YEAR(BP$3)-YEAR($B$11))+MONTH(BP$3)-MONTH($B$11)))*(1+IF(MONTH(BP$3)=1,'Вводные'!$B$67,IF(AND(MONTH(BP$3)&gt;=5,MONTH(BP$3)&lt;=8),'Вводные'!$B$70,0))),0)</x:f>
      </x:c>
      <x:c r="BQ18" s="35" t="n">
        <x:f>IF(AND(BQ$3&gt;=$B$11,BQ$3&lt;EDATE($B$11,MAX(1,'Вводные'!$K$33)),AND($B$7="Да",IFERROR(INDEX('Вводные'!$B$88:$B$91,$B$8),"Нет")="Да")),(1+INDEX('Вводные'!$AD$88:$AD$91,$B$8)*'Вводные'!$H$7)^MAX(0,(12*(YEAR(BQ$3)-YEAR($B$11))+MONTH(BQ$3)-MONTH($B$11)))*(1+IF(MONTH(BQ$3)=1,'Вводные'!$B$67,IF(AND(MONTH(BQ$3)&gt;=5,MONTH(BQ$3)&lt;=8),'Вводные'!$B$70,0))),0)</x:f>
      </x:c>
      <x:c r="BR18" s="35" t="n">
        <x:f>IF(AND(BR$3&gt;=$B$11,BR$3&lt;EDATE($B$11,MAX(1,'Вводные'!$K$33)),AND($B$7="Да",IFERROR(INDEX('Вводные'!$B$88:$B$91,$B$8),"Нет")="Да")),(1+INDEX('Вводные'!$AD$88:$AD$91,$B$8)*'Вводные'!$H$7)^MAX(0,(12*(YEAR(BR$3)-YEAR($B$11))+MONTH(BR$3)-MONTH($B$11)))*(1+IF(MONTH(BR$3)=1,'Вводные'!$B$67,IF(AND(MONTH(BR$3)&gt;=5,MONTH(BR$3)&lt;=8),'Вводные'!$B$70,0))),0)</x:f>
      </x:c>
      <x:c r="BS18" s="35" t="n">
        <x:f>IF(AND(BS$3&gt;=$B$11,BS$3&lt;EDATE($B$11,MAX(1,'Вводные'!$K$33)),AND($B$7="Да",IFERROR(INDEX('Вводные'!$B$88:$B$91,$B$8),"Нет")="Да")),(1+INDEX('Вводные'!$AD$88:$AD$91,$B$8)*'Вводные'!$H$7)^MAX(0,(12*(YEAR(BS$3)-YEAR($B$11))+MONTH(BS$3)-MONTH($B$11)))*(1+IF(MONTH(BS$3)=1,'Вводные'!$B$67,IF(AND(MONTH(BS$3)&gt;=5,MONTH(BS$3)&lt;=8),'Вводные'!$B$70,0))),0)</x:f>
      </x:c>
      <x:c r="BT18" s="35" t="n">
        <x:f>IF(AND(BT$3&gt;=$B$11,BT$3&lt;EDATE($B$11,MAX(1,'Вводные'!$K$33)),AND($B$7="Да",IFERROR(INDEX('Вводные'!$B$88:$B$91,$B$8),"Нет")="Да")),(1+INDEX('Вводные'!$AD$88:$AD$91,$B$8)*'Вводные'!$H$7)^MAX(0,(12*(YEAR(BT$3)-YEAR($B$11))+MONTH(BT$3)-MONTH($B$11)))*(1+IF(MONTH(BT$3)=1,'Вводные'!$B$67,IF(AND(MONTH(BT$3)&gt;=5,MONTH(BT$3)&lt;=8),'Вводные'!$B$70,0))),0)</x:f>
      </x:c>
      <x:c r="BU18" s="35" t="n">
        <x:f>IF(AND(BU$3&gt;=$B$11,BU$3&lt;EDATE($B$11,MAX(1,'Вводные'!$K$33)),AND($B$7="Да",IFERROR(INDEX('Вводные'!$B$88:$B$91,$B$8),"Нет")="Да")),(1+INDEX('Вводные'!$AD$88:$AD$91,$B$8)*'Вводные'!$H$7)^MAX(0,(12*(YEAR(BU$3)-YEAR($B$11))+MONTH(BU$3)-MONTH($B$11)))*(1+IF(MONTH(BU$3)=1,'Вводные'!$B$67,IF(AND(MONTH(BU$3)&gt;=5,MONTH(BU$3)&lt;=8),'Вводные'!$B$70,0))),0)</x:f>
      </x:c>
      <x:c r="BV18" s="35" t="n">
        <x:f>IF(AND(BV$3&gt;=$B$11,BV$3&lt;EDATE($B$11,MAX(1,'Вводные'!$K$33)),AND($B$7="Да",IFERROR(INDEX('Вводные'!$B$88:$B$91,$B$8),"Нет")="Да")),(1+INDEX('Вводные'!$AD$88:$AD$91,$B$8)*'Вводные'!$H$7)^MAX(0,(12*(YEAR(BV$3)-YEAR($B$11))+MONTH(BV$3)-MONTH($B$11)))*(1+IF(MONTH(BV$3)=1,'Вводные'!$B$67,IF(AND(MONTH(BV$3)&gt;=5,MONTH(BV$3)&lt;=8),'Вводные'!$B$70,0))),0)</x:f>
      </x:c>
      <x:c r="BW18" s="35" t="n">
        <x:f>IF(AND(BW$3&gt;=$B$11,BW$3&lt;EDATE($B$11,MAX(1,'Вводные'!$K$33)),AND($B$7="Да",IFERROR(INDEX('Вводные'!$B$88:$B$91,$B$8),"Нет")="Да")),(1+INDEX('Вводные'!$AD$88:$AD$91,$B$8)*'Вводные'!$H$7)^MAX(0,(12*(YEAR(BW$3)-YEAR($B$11))+MONTH(BW$3)-MONTH($B$11)))*(1+IF(MONTH(BW$3)=1,'Вводные'!$B$67,IF(AND(MONTH(BW$3)&gt;=5,MONTH(BW$3)&lt;=8),'Вводные'!$B$70,0))),0)</x:f>
      </x:c>
      <x:c r="BX18" s="35" t="n">
        <x:f>IF(AND(BX$3&gt;=$B$11,BX$3&lt;EDATE($B$11,MAX(1,'Вводные'!$K$33)),AND($B$7="Да",IFERROR(INDEX('Вводные'!$B$88:$B$91,$B$8),"Нет")="Да")),(1+INDEX('Вводные'!$AD$88:$AD$91,$B$8)*'Вводные'!$H$7)^MAX(0,(12*(YEAR(BX$3)-YEAR($B$11))+MONTH(BX$3)-MONTH($B$11)))*(1+IF(MONTH(BX$3)=1,'Вводные'!$B$67,IF(AND(MONTH(BX$3)&gt;=5,MONTH(BX$3)&lt;=8),'Вводные'!$B$70,0))),0)</x:f>
      </x:c>
      <x:c r="BY18" s="35" t="n">
        <x:f>IF(AND(BY$3&gt;=$B$11,BY$3&lt;EDATE($B$11,MAX(1,'Вводные'!$K$33)),AND($B$7="Да",IFERROR(INDEX('Вводные'!$B$88:$B$91,$B$8),"Нет")="Да")),(1+INDEX('Вводные'!$AD$88:$AD$91,$B$8)*'Вводные'!$H$7)^MAX(0,(12*(YEAR(BY$3)-YEAR($B$11))+MONTH(BY$3)-MONTH($B$11)))*(1+IF(MONTH(BY$3)=1,'Вводные'!$B$67,IF(AND(MONTH(BY$3)&gt;=5,MONTH(BY$3)&lt;=8),'Вводные'!$B$70,0))),0)</x:f>
      </x:c>
      <x:c r="BZ18" s="35" t="n">
        <x:f>IF(AND(BZ$3&gt;=$B$11,BZ$3&lt;EDATE($B$11,MAX(1,'Вводные'!$K$33)),AND($B$7="Да",IFERROR(INDEX('Вводные'!$B$88:$B$91,$B$8),"Нет")="Да")),(1+INDEX('Вводные'!$AD$88:$AD$91,$B$8)*'Вводные'!$H$7)^MAX(0,(12*(YEAR(BZ$3)-YEAR($B$11))+MONTH(BZ$3)-MONTH($B$11)))*(1+IF(MONTH(BZ$3)=1,'Вводные'!$B$67,IF(AND(MONTH(BZ$3)&gt;=5,MONTH(BZ$3)&lt;=8),'Вводные'!$B$70,0))),0)</x:f>
      </x:c>
      <x:c r="CA18" s="35" t="n">
        <x:f>IF(AND(CA$3&gt;=$B$11,CA$3&lt;EDATE($B$11,MAX(1,'Вводные'!$K$33)),AND($B$7="Да",IFERROR(INDEX('Вводные'!$B$88:$B$91,$B$8),"Нет")="Да")),(1+INDEX('Вводные'!$AD$88:$AD$91,$B$8)*'Вводные'!$H$7)^MAX(0,(12*(YEAR(CA$3)-YEAR($B$11))+MONTH(CA$3)-MONTH($B$11)))*(1+IF(MONTH(CA$3)=1,'Вводные'!$B$67,IF(AND(MONTH(CA$3)&gt;=5,MONTH(CA$3)&lt;=8),'Вводные'!$B$70,0))),0)</x:f>
      </x:c>
      <x:c r="CB18" s="35" t="n">
        <x:f>IF(AND(CB$3&gt;=$B$11,CB$3&lt;EDATE($B$11,MAX(1,'Вводные'!$K$33)),AND($B$7="Да",IFERROR(INDEX('Вводные'!$B$88:$B$91,$B$8),"Нет")="Да")),(1+INDEX('Вводные'!$AD$88:$AD$91,$B$8)*'Вводные'!$H$7)^MAX(0,(12*(YEAR(CB$3)-YEAR($B$11))+MONTH(CB$3)-MONTH($B$11)))*(1+IF(MONTH(CB$3)=1,'Вводные'!$B$67,IF(AND(MONTH(CB$3)&gt;=5,MONTH(CB$3)&lt;=8),'Вводные'!$B$70,0))),0)</x:f>
      </x:c>
      <x:c r="CC18" s="35" t="n">
        <x:f>IF(AND(CC$3&gt;=$B$11,CC$3&lt;EDATE($B$11,MAX(1,'Вводные'!$K$33)),AND($B$7="Да",IFERROR(INDEX('Вводные'!$B$88:$B$91,$B$8),"Нет")="Да")),(1+INDEX('Вводные'!$AD$88:$AD$91,$B$8)*'Вводные'!$H$7)^MAX(0,(12*(YEAR(CC$3)-YEAR($B$11))+MONTH(CC$3)-MONTH($B$11)))*(1+IF(MONTH(CC$3)=1,'Вводные'!$B$67,IF(AND(MONTH(CC$3)&gt;=5,MONTH(CC$3)&lt;=8),'Вводные'!$B$70,0))),0)</x:f>
      </x:c>
      <x:c r="CD18" s="35" t="n">
        <x:f>IF(AND(CD$3&gt;=$B$11,CD$3&lt;EDATE($B$11,MAX(1,'Вводные'!$K$33)),AND($B$7="Да",IFERROR(INDEX('Вводные'!$B$88:$B$91,$B$8),"Нет")="Да")),(1+INDEX('Вводные'!$AD$88:$AD$91,$B$8)*'Вводные'!$H$7)^MAX(0,(12*(YEAR(CD$3)-YEAR($B$11))+MONTH(CD$3)-MONTH($B$11)))*(1+IF(MONTH(CD$3)=1,'Вводные'!$B$67,IF(AND(MONTH(CD$3)&gt;=5,MONTH(CD$3)&lt;=8),'Вводные'!$B$70,0))),0)</x:f>
      </x:c>
      <x:c r="CE18" s="35" t="n">
        <x:f>IF(AND(CE$3&gt;=$B$11,CE$3&lt;EDATE($B$11,MAX(1,'Вводные'!$K$33)),AND($B$7="Да",IFERROR(INDEX('Вводные'!$B$88:$B$91,$B$8),"Нет")="Да")),(1+INDEX('Вводные'!$AD$88:$AD$91,$B$8)*'Вводные'!$H$7)^MAX(0,(12*(YEAR(CE$3)-YEAR($B$11))+MONTH(CE$3)-MONTH($B$11)))*(1+IF(MONTH(CE$3)=1,'Вводные'!$B$67,IF(AND(MONTH(CE$3)&gt;=5,MONTH(CE$3)&lt;=8),'Вводные'!$B$70,0))),0)</x:f>
      </x:c>
      <x:c r="CF18" s="35" t="n">
        <x:f>IF(AND(CF$3&gt;=$B$11,CF$3&lt;EDATE($B$11,MAX(1,'Вводные'!$K$33)),AND($B$7="Да",IFERROR(INDEX('Вводные'!$B$88:$B$91,$B$8),"Нет")="Да")),(1+INDEX('Вводные'!$AD$88:$AD$91,$B$8)*'Вводные'!$H$7)^MAX(0,(12*(YEAR(CF$3)-YEAR($B$11))+MONTH(CF$3)-MONTH($B$11)))*(1+IF(MONTH(CF$3)=1,'Вводные'!$B$67,IF(AND(MONTH(CF$3)&gt;=5,MONTH(CF$3)&lt;=8),'Вводные'!$B$70,0))),0)</x:f>
      </x:c>
      <x:c r="CG18" s="35" t="n">
        <x:f>IF(AND(CG$3&gt;=$B$11,CG$3&lt;EDATE($B$11,MAX(1,'Вводные'!$K$33)),AND($B$7="Да",IFERROR(INDEX('Вводные'!$B$88:$B$91,$B$8),"Нет")="Да")),(1+INDEX('Вводные'!$AD$88:$AD$91,$B$8)*'Вводные'!$H$7)^MAX(0,(12*(YEAR(CG$3)-YEAR($B$11))+MONTH(CG$3)-MONTH($B$11)))*(1+IF(MONTH(CG$3)=1,'Вводные'!$B$67,IF(AND(MONTH(CG$3)&gt;=5,MONTH(CG$3)&lt;=8),'Вводные'!$B$70,0))),0)</x:f>
      </x:c>
      <x:c r="CH18" s="35" t="n">
        <x:f>IF(AND(CH$3&gt;=$B$11,CH$3&lt;EDATE($B$11,MAX(1,'Вводные'!$K$33)),AND($B$7="Да",IFERROR(INDEX('Вводные'!$B$88:$B$91,$B$8),"Нет")="Да")),(1+INDEX('Вводные'!$AD$88:$AD$91,$B$8)*'Вводные'!$H$7)^MAX(0,(12*(YEAR(CH$3)-YEAR($B$11))+MONTH(CH$3)-MONTH($B$11)))*(1+IF(MONTH(CH$3)=1,'Вводные'!$B$67,IF(AND(MONTH(CH$3)&gt;=5,MONTH(CH$3)&lt;=8),'Вводные'!$B$70,0))),0)</x:f>
      </x:c>
      <x:c r="CI18" s="35" t="n">
        <x:f>IF(AND(CI$3&gt;=$B$11,CI$3&lt;EDATE($B$11,MAX(1,'Вводные'!$K$33)),AND($B$7="Да",IFERROR(INDEX('Вводные'!$B$88:$B$91,$B$8),"Нет")="Да")),(1+INDEX('Вводные'!$AD$88:$AD$91,$B$8)*'Вводные'!$H$7)^MAX(0,(12*(YEAR(CI$3)-YEAR($B$11))+MONTH(CI$3)-MONTH($B$11)))*(1+IF(MONTH(CI$3)=1,'Вводные'!$B$67,IF(AND(MONTH(CI$3)&gt;=5,MONTH(CI$3)&lt;=8),'Вводные'!$B$70,0))),0)</x:f>
      </x:c>
      <x:c r="CJ18" s="35" t="n">
        <x:f>IF(AND(CJ$3&gt;=$B$11,CJ$3&lt;EDATE($B$11,MAX(1,'Вводные'!$K$33)),AND($B$7="Да",IFERROR(INDEX('Вводные'!$B$88:$B$91,$B$8),"Нет")="Да")),(1+INDEX('Вводные'!$AD$88:$AD$91,$B$8)*'Вводные'!$H$7)^MAX(0,(12*(YEAR(CJ$3)-YEAR($B$11))+MONTH(CJ$3)-MONTH($B$11)))*(1+IF(MONTH(CJ$3)=1,'Вводные'!$B$67,IF(AND(MONTH(CJ$3)&gt;=5,MONTH(CJ$3)&lt;=8),'Вводные'!$B$70,0))),0)</x:f>
      </x:c>
      <x:c r="CK18" s="35" t="n">
        <x:f>IF(AND(CK$3&gt;=$B$11,CK$3&lt;EDATE($B$11,MAX(1,'Вводные'!$K$33)),AND($B$7="Да",IFERROR(INDEX('Вводные'!$B$88:$B$91,$B$8),"Нет")="Да")),(1+INDEX('Вводные'!$AD$88:$AD$91,$B$8)*'Вводные'!$H$7)^MAX(0,(12*(YEAR(CK$3)-YEAR($B$11))+MONTH(CK$3)-MONTH($B$11)))*(1+IF(MONTH(CK$3)=1,'Вводные'!$B$67,IF(AND(MONTH(CK$3)&gt;=5,MONTH(CK$3)&lt;=8),'Вводные'!$B$70,0))),0)</x:f>
      </x:c>
      <x:c r="CL18" s="35" t="n">
        <x:f>IF(AND(CL$3&gt;=$B$11,CL$3&lt;EDATE($B$11,MAX(1,'Вводные'!$K$33)),AND($B$7="Да",IFERROR(INDEX('Вводные'!$B$88:$B$91,$B$8),"Нет")="Да")),(1+INDEX('Вводные'!$AD$88:$AD$91,$B$8)*'Вводные'!$H$7)^MAX(0,(12*(YEAR(CL$3)-YEAR($B$11))+MONTH(CL$3)-MONTH($B$11)))*(1+IF(MONTH(CL$3)=1,'Вводные'!$B$67,IF(AND(MONTH(CL$3)&gt;=5,MONTH(CL$3)&lt;=8),'Вводные'!$B$70,0))),0)</x:f>
      </x:c>
      <x:c r="CM18" s="35" t="n">
        <x:f>IF(AND(CM$3&gt;=$B$11,CM$3&lt;EDATE($B$11,MAX(1,'Вводные'!$K$33)),AND($B$7="Да",IFERROR(INDEX('Вводные'!$B$88:$B$91,$B$8),"Нет")="Да")),(1+INDEX('Вводные'!$AD$88:$AD$91,$B$8)*'Вводные'!$H$7)^MAX(0,(12*(YEAR(CM$3)-YEAR($B$11))+MONTH(CM$3)-MONTH($B$11)))*(1+IF(MONTH(CM$3)=1,'Вводные'!$B$67,IF(AND(MONTH(CM$3)&gt;=5,MONTH(CM$3)&lt;=8),'Вводные'!$B$70,0))),0)</x:f>
      </x:c>
      <x:c r="CN18" s="35" t="n">
        <x:f>IF(AND(CN$3&gt;=$B$11,CN$3&lt;EDATE($B$11,MAX(1,'Вводные'!$K$33)),AND($B$7="Да",IFERROR(INDEX('Вводные'!$B$88:$B$91,$B$8),"Нет")="Да")),(1+INDEX('Вводные'!$AD$88:$AD$91,$B$8)*'Вводные'!$H$7)^MAX(0,(12*(YEAR(CN$3)-YEAR($B$11))+MONTH(CN$3)-MONTH($B$11)))*(1+IF(MONTH(CN$3)=1,'Вводные'!$B$67,IF(AND(MONTH(CN$3)&gt;=5,MONTH(CN$3)&lt;=8),'Вводные'!$B$70,0))),0)</x:f>
      </x:c>
      <x:c r="CO18" s="35" t="n">
        <x:f>IF(AND(CO$3&gt;=$B$11,CO$3&lt;EDATE($B$11,MAX(1,'Вводные'!$K$33)),AND($B$7="Да",IFERROR(INDEX('Вводные'!$B$88:$B$91,$B$8),"Нет")="Да")),(1+INDEX('Вводные'!$AD$88:$AD$91,$B$8)*'Вводные'!$H$7)^MAX(0,(12*(YEAR(CO$3)-YEAR($B$11))+MONTH(CO$3)-MONTH($B$11)))*(1+IF(MONTH(CO$3)=1,'Вводные'!$B$67,IF(AND(MONTH(CO$3)&gt;=5,MONTH(CO$3)&lt;=8),'Вводные'!$B$70,0))),0)</x:f>
      </x:c>
      <x:c r="CP18" s="35" t="n">
        <x:f>IF(AND(CP$3&gt;=$B$11,CP$3&lt;EDATE($B$11,MAX(1,'Вводные'!$K$33)),AND($B$7="Да",IFERROR(INDEX('Вводные'!$B$88:$B$91,$B$8),"Нет")="Да")),(1+INDEX('Вводные'!$AD$88:$AD$91,$B$8)*'Вводные'!$H$7)^MAX(0,(12*(YEAR(CP$3)-YEAR($B$11))+MONTH(CP$3)-MONTH($B$11)))*(1+IF(MONTH(CP$3)=1,'Вводные'!$B$67,IF(AND(MONTH(CP$3)&gt;=5,MONTH(CP$3)&lt;=8),'Вводные'!$B$70,0))),0)</x:f>
      </x:c>
      <x:c r="CQ18" s="35" t="n">
        <x:f>IF(AND(CQ$3&gt;=$B$11,CQ$3&lt;EDATE($B$11,MAX(1,'Вводные'!$K$33)),AND($B$7="Да",IFERROR(INDEX('Вводные'!$B$88:$B$91,$B$8),"Нет")="Да")),(1+INDEX('Вводные'!$AD$88:$AD$91,$B$8)*'Вводные'!$H$7)^MAX(0,(12*(YEAR(CQ$3)-YEAR($B$11))+MONTH(CQ$3)-MONTH($B$11)))*(1+IF(MONTH(CQ$3)=1,'Вводные'!$B$67,IF(AND(MONTH(CQ$3)&gt;=5,MONTH(CQ$3)&lt;=8),'Вводные'!$B$70,0))),0)</x:f>
      </x:c>
      <x:c r="CR18" s="35" t="n">
        <x:f>IF(AND(CR$3&gt;=$B$11,CR$3&lt;EDATE($B$11,MAX(1,'Вводные'!$K$33)),AND($B$7="Да",IFERROR(INDEX('Вводные'!$B$88:$B$91,$B$8),"Нет")="Да")),(1+INDEX('Вводные'!$AD$88:$AD$91,$B$8)*'Вводные'!$H$7)^MAX(0,(12*(YEAR(CR$3)-YEAR($B$11))+MONTH(CR$3)-MONTH($B$11)))*(1+IF(MONTH(CR$3)=1,'Вводные'!$B$67,IF(AND(MONTH(CR$3)&gt;=5,MONTH(CR$3)&lt;=8),'Вводные'!$B$70,0))),0)</x:f>
      </x:c>
      <x:c r="CS18" s="35" t="n">
        <x:f>IF(AND(CS$3&gt;=$B$11,CS$3&lt;EDATE($B$11,MAX(1,'Вводные'!$K$33)),AND($B$7="Да",IFERROR(INDEX('Вводные'!$B$88:$B$91,$B$8),"Нет")="Да")),(1+INDEX('Вводные'!$AD$88:$AD$91,$B$8)*'Вводные'!$H$7)^MAX(0,(12*(YEAR(CS$3)-YEAR($B$11))+MONTH(CS$3)-MONTH($B$11)))*(1+IF(MONTH(CS$3)=1,'Вводные'!$B$67,IF(AND(MONTH(CS$3)&gt;=5,MONTH(CS$3)&lt;=8),'Вводные'!$B$70,0))),0)</x:f>
      </x:c>
      <x:c r="CT18" s="35" t="n">
        <x:f>IF(AND(CT$3&gt;=$B$11,CT$3&lt;EDATE($B$11,MAX(1,'Вводные'!$K$33)),AND($B$7="Да",IFERROR(INDEX('Вводные'!$B$88:$B$91,$B$8),"Нет")="Да")),(1+INDEX('Вводные'!$AD$88:$AD$91,$B$8)*'Вводные'!$H$7)^MAX(0,(12*(YEAR(CT$3)-YEAR($B$11))+MONTH(CT$3)-MONTH($B$11)))*(1+IF(MONTH(CT$3)=1,'Вводные'!$B$67,IF(AND(MONTH(CT$3)&gt;=5,MONTH(CT$3)&lt;=8),'Вводные'!$B$70,0))),0)</x:f>
      </x:c>
      <x:c r="CU18" s="35" t="n">
        <x:f>IF(AND(CU$3&gt;=$B$11,CU$3&lt;EDATE($B$11,MAX(1,'Вводные'!$K$33)),AND($B$7="Да",IFERROR(INDEX('Вводные'!$B$88:$B$91,$B$8),"Нет")="Да")),(1+INDEX('Вводные'!$AD$88:$AD$91,$B$8)*'Вводные'!$H$7)^MAX(0,(12*(YEAR(CU$3)-YEAR($B$11))+MONTH(CU$3)-MONTH($B$11)))*(1+IF(MONTH(CU$3)=1,'Вводные'!$B$67,IF(AND(MONTH(CU$3)&gt;=5,MONTH(CU$3)&lt;=8),'Вводные'!$B$70,0))),0)</x:f>
      </x:c>
      <x:c r="CV18" s="35" t="n">
        <x:f>IF(AND(CV$3&gt;=$B$11,CV$3&lt;EDATE($B$11,MAX(1,'Вводные'!$K$33)),AND($B$7="Да",IFERROR(INDEX('Вводные'!$B$88:$B$91,$B$8),"Нет")="Да")),(1+INDEX('Вводные'!$AD$88:$AD$91,$B$8)*'Вводные'!$H$7)^MAX(0,(12*(YEAR(CV$3)-YEAR($B$11))+MONTH(CV$3)-MONTH($B$11)))*(1+IF(MONTH(CV$3)=1,'Вводные'!$B$67,IF(AND(MONTH(CV$3)&gt;=5,MONTH(CV$3)&lt;=8),'Вводные'!$B$70,0))),0)</x:f>
      </x:c>
      <x:c r="CW18" s="35" t="n">
        <x:f>IF(AND(CW$3&gt;=$B$11,CW$3&lt;EDATE($B$11,MAX(1,'Вводные'!$K$33)),AND($B$7="Да",IFERROR(INDEX('Вводные'!$B$88:$B$91,$B$8),"Нет")="Да")),(1+INDEX('Вводные'!$AD$88:$AD$91,$B$8)*'Вводные'!$H$7)^MAX(0,(12*(YEAR(CW$3)-YEAR($B$11))+MONTH(CW$3)-MONTH($B$11)))*(1+IF(MONTH(CW$3)=1,'Вводные'!$B$67,IF(AND(MONTH(CW$3)&gt;=5,MONTH(CW$3)&lt;=8),'Вводные'!$B$70,0))),0)</x:f>
      </x:c>
      <x:c r="CX18" s="35" t="n">
        <x:f>IF(AND(CX$3&gt;=$B$11,CX$3&lt;EDATE($B$11,MAX(1,'Вводные'!$K$33)),AND($B$7="Да",IFERROR(INDEX('Вводные'!$B$88:$B$91,$B$8),"Нет")="Да")),(1+INDEX('Вводные'!$AD$88:$AD$91,$B$8)*'Вводные'!$H$7)^MAX(0,(12*(YEAR(CX$3)-YEAR($B$11))+MONTH(CX$3)-MONTH($B$11)))*(1+IF(MONTH(CX$3)=1,'Вводные'!$B$67,IF(AND(MONTH(CX$3)&gt;=5,MONTH(CX$3)&lt;=8),'Вводные'!$B$70,0))),0)</x:f>
      </x:c>
      <x:c r="CY18" s="35" t="n">
        <x:f>IF(AND(CY$3&gt;=$B$11,CY$3&lt;EDATE($B$11,MAX(1,'Вводные'!$K$33)),AND($B$7="Да",IFERROR(INDEX('Вводные'!$B$88:$B$91,$B$8),"Нет")="Да")),(1+INDEX('Вводные'!$AD$88:$AD$91,$B$8)*'Вводные'!$H$7)^MAX(0,(12*(YEAR(CY$3)-YEAR($B$11))+MONTH(CY$3)-MONTH($B$11)))*(1+IF(MONTH(CY$3)=1,'Вводные'!$B$67,IF(AND(MONTH(CY$3)&gt;=5,MONTH(CY$3)&lt;=8),'Вводные'!$B$70,0))),0)</x:f>
      </x:c>
      <x:c r="CZ18" s="35" t="n">
        <x:f>IF(AND(CZ$3&gt;=$B$11,CZ$3&lt;EDATE($B$11,MAX(1,'Вводные'!$K$33)),AND($B$7="Да",IFERROR(INDEX('Вводные'!$B$88:$B$91,$B$8),"Нет")="Да")),(1+INDEX('Вводные'!$AD$88:$AD$91,$B$8)*'Вводные'!$H$7)^MAX(0,(12*(YEAR(CZ$3)-YEAR($B$11))+MONTH(CZ$3)-MONTH($B$11)))*(1+IF(MONTH(CZ$3)=1,'Вводные'!$B$67,IF(AND(MONTH(CZ$3)&gt;=5,MONTH(CZ$3)&lt;=8),'Вводные'!$B$70,0))),0)</x:f>
      </x:c>
      <x:c r="DA18" s="35" t="n">
        <x:f>IF(AND(DA$3&gt;=$B$11,DA$3&lt;EDATE($B$11,MAX(1,'Вводные'!$K$33)),AND($B$7="Да",IFERROR(INDEX('Вводные'!$B$88:$B$91,$B$8),"Нет")="Да")),(1+INDEX('Вводные'!$AD$88:$AD$91,$B$8)*'Вводные'!$H$7)^MAX(0,(12*(YEAR(DA$3)-YEAR($B$11))+MONTH(DA$3)-MONTH($B$11)))*(1+IF(MONTH(DA$3)=1,'Вводные'!$B$67,IF(AND(MONTH(DA$3)&gt;=5,MONTH(DA$3)&lt;=8),'Вводные'!$B$70,0))),0)</x:f>
      </x:c>
      <x:c r="DB18" s="35" t="n">
        <x:f>IF(AND(DB$3&gt;=$B$11,DB$3&lt;EDATE($B$11,MAX(1,'Вводные'!$K$33)),AND($B$7="Да",IFERROR(INDEX('Вводные'!$B$88:$B$91,$B$8),"Нет")="Да")),(1+INDEX('Вводные'!$AD$88:$AD$91,$B$8)*'Вводные'!$H$7)^MAX(0,(12*(YEAR(DB$3)-YEAR($B$11))+MONTH(DB$3)-MONTH($B$11)))*(1+IF(MONTH(DB$3)=1,'Вводные'!$B$67,IF(AND(MONTH(DB$3)&gt;=5,MONTH(DB$3)&lt;=8),'Вводные'!$B$70,0))),0)</x:f>
      </x:c>
      <x:c r="DC18" s="35" t="n">
        <x:f>IF(AND(DC$3&gt;=$B$11,DC$3&lt;EDATE($B$11,MAX(1,'Вводные'!$K$33)),AND($B$7="Да",IFERROR(INDEX('Вводные'!$B$88:$B$91,$B$8),"Нет")="Да")),(1+INDEX('Вводные'!$AD$88:$AD$91,$B$8)*'Вводные'!$H$7)^MAX(0,(12*(YEAR(DC$3)-YEAR($B$11))+MONTH(DC$3)-MONTH($B$11)))*(1+IF(MONTH(DC$3)=1,'Вводные'!$B$67,IF(AND(MONTH(DC$3)&gt;=5,MONTH(DC$3)&lt;=8),'Вводные'!$B$70,0))),0)</x:f>
      </x:c>
      <x:c r="DD18" s="35" t="n">
        <x:f>IF(AND(DD$3&gt;=$B$11,DD$3&lt;EDATE($B$11,MAX(1,'Вводные'!$K$33)),AND($B$7="Да",IFERROR(INDEX('Вводные'!$B$88:$B$91,$B$8),"Нет")="Да")),(1+INDEX('Вводные'!$AD$88:$AD$91,$B$8)*'Вводные'!$H$7)^MAX(0,(12*(YEAR(DD$3)-YEAR($B$11))+MONTH(DD$3)-MONTH($B$11)))*(1+IF(MONTH(DD$3)=1,'Вводные'!$B$67,IF(AND(MONTH(DD$3)&gt;=5,MONTH(DD$3)&lt;=8),'Вводные'!$B$70,0))),0)</x:f>
      </x:c>
      <x:c r="DE18" s="35" t="n">
        <x:f>IF(AND(DE$3&gt;=$B$11,DE$3&lt;EDATE($B$11,MAX(1,'Вводные'!$K$33)),AND($B$7="Да",IFERROR(INDEX('Вводные'!$B$88:$B$91,$B$8),"Нет")="Да")),(1+INDEX('Вводные'!$AD$88:$AD$91,$B$8)*'Вводные'!$H$7)^MAX(0,(12*(YEAR(DE$3)-YEAR($B$11))+MONTH(DE$3)-MONTH($B$11)))*(1+IF(MONTH(DE$3)=1,'Вводные'!$B$67,IF(AND(MONTH(DE$3)&gt;=5,MONTH(DE$3)&lt;=8),'Вводные'!$B$70,0))),0)</x:f>
      </x:c>
      <x:c r="DF18" s="35" t="n">
        <x:f>IF(AND(DF$3&gt;=$B$11,DF$3&lt;EDATE($B$11,MAX(1,'Вводные'!$K$33)),AND($B$7="Да",IFERROR(INDEX('Вводные'!$B$88:$B$91,$B$8),"Нет")="Да")),(1+INDEX('Вводные'!$AD$88:$AD$91,$B$8)*'Вводные'!$H$7)^MAX(0,(12*(YEAR(DF$3)-YEAR($B$11))+MONTH(DF$3)-MONTH($B$11)))*(1+IF(MONTH(DF$3)=1,'Вводные'!$B$67,IF(AND(MONTH(DF$3)&gt;=5,MONTH(DF$3)&lt;=8),'Вводные'!$B$70,0))),0)</x:f>
      </x:c>
      <x:c r="DG18" s="35" t="n">
        <x:f>IF(AND(DG$3&gt;=$B$11,DG$3&lt;EDATE($B$11,MAX(1,'Вводные'!$K$33)),AND($B$7="Да",IFERROR(INDEX('Вводные'!$B$88:$B$91,$B$8),"Нет")="Да")),(1+INDEX('Вводные'!$AD$88:$AD$91,$B$8)*'Вводные'!$H$7)^MAX(0,(12*(YEAR(DG$3)-YEAR($B$11))+MONTH(DG$3)-MONTH($B$11)))*(1+IF(MONTH(DG$3)=1,'Вводные'!$B$67,IF(AND(MONTH(DG$3)&gt;=5,MONTH(DG$3)&lt;=8),'Вводные'!$B$70,0))),0)</x:f>
      </x:c>
      <x:c r="DH18" s="35" t="n">
        <x:f>IF(AND(DH$3&gt;=$B$11,DH$3&lt;EDATE($B$11,MAX(1,'Вводные'!$K$33)),AND($B$7="Да",IFERROR(INDEX('Вводные'!$B$88:$B$91,$B$8),"Нет")="Да")),(1+INDEX('Вводные'!$AD$88:$AD$91,$B$8)*'Вводные'!$H$7)^MAX(0,(12*(YEAR(DH$3)-YEAR($B$11))+MONTH(DH$3)-MONTH($B$11)))*(1+IF(MONTH(DH$3)=1,'Вводные'!$B$67,IF(AND(MONTH(DH$3)&gt;=5,MONTH(DH$3)&lt;=8),'Вводные'!$B$70,0))),0)</x:f>
      </x:c>
      <x:c r="DI18" s="35" t="n">
        <x:f>IF(AND(DI$3&gt;=$B$11,DI$3&lt;EDATE($B$11,MAX(1,'Вводные'!$K$33)),AND($B$7="Да",IFERROR(INDEX('Вводные'!$B$88:$B$91,$B$8),"Нет")="Да")),(1+INDEX('Вводные'!$AD$88:$AD$91,$B$8)*'Вводные'!$H$7)^MAX(0,(12*(YEAR(DI$3)-YEAR($B$11))+MONTH(DI$3)-MONTH($B$11)))*(1+IF(MONTH(DI$3)=1,'Вводные'!$B$67,IF(AND(MONTH(DI$3)&gt;=5,MONTH(DI$3)&lt;=8),'Вводные'!$B$70,0))),0)</x:f>
      </x:c>
      <x:c r="DJ18" s="35" t="n">
        <x:f>IF(AND(DJ$3&gt;=$B$11,DJ$3&lt;EDATE($B$11,MAX(1,'Вводные'!$K$33)),AND($B$7="Да",IFERROR(INDEX('Вводные'!$B$88:$B$91,$B$8),"Нет")="Да")),(1+INDEX('Вводные'!$AD$88:$AD$91,$B$8)*'Вводные'!$H$7)^MAX(0,(12*(YEAR(DJ$3)-YEAR($B$11))+MONTH(DJ$3)-MONTH($B$11)))*(1+IF(MONTH(DJ$3)=1,'Вводные'!$B$67,IF(AND(MONTH(DJ$3)&gt;=5,MONTH(DJ$3)&lt;=8),'Вводные'!$B$70,0))),0)</x:f>
      </x:c>
      <x:c r="DK18" s="35" t="n">
        <x:f>IF(AND(DK$3&gt;=$B$11,DK$3&lt;EDATE($B$11,MAX(1,'Вводные'!$K$33)),AND($B$7="Да",IFERROR(INDEX('Вводные'!$B$88:$B$91,$B$8),"Нет")="Да")),(1+INDEX('Вводные'!$AD$88:$AD$91,$B$8)*'Вводные'!$H$7)^MAX(0,(12*(YEAR(DK$3)-YEAR($B$11))+MONTH(DK$3)-MONTH($B$11)))*(1+IF(MONTH(DK$3)=1,'Вводные'!$B$67,IF(AND(MONTH(DK$3)&gt;=5,MONTH(DK$3)&lt;=8),'Вводные'!$B$70,0))),0)</x:f>
      </x:c>
      <x:c r="DL18" s="35" t="n">
        <x:f>IF(AND(DL$3&gt;=$B$11,DL$3&lt;EDATE($B$11,MAX(1,'Вводные'!$K$33)),AND($B$7="Да",IFERROR(INDEX('Вводные'!$B$88:$B$91,$B$8),"Нет")="Да")),(1+INDEX('Вводные'!$AD$88:$AD$91,$B$8)*'Вводные'!$H$7)^MAX(0,(12*(YEAR(DL$3)-YEAR($B$11))+MONTH(DL$3)-MONTH($B$11)))*(1+IF(MONTH(DL$3)=1,'Вводные'!$B$67,IF(AND(MONTH(DL$3)&gt;=5,MONTH(DL$3)&lt;=8),'Вводные'!$B$70,0))),0)</x:f>
      </x:c>
      <x:c r="DM18" s="35" t="n">
        <x:f>IF(AND(DM$3&gt;=$B$11,DM$3&lt;EDATE($B$11,MAX(1,'Вводные'!$K$33)),AND($B$7="Да",IFERROR(INDEX('Вводные'!$B$88:$B$91,$B$8),"Нет")="Да")),(1+INDEX('Вводные'!$AD$88:$AD$91,$B$8)*'Вводные'!$H$7)^MAX(0,(12*(YEAR(DM$3)-YEAR($B$11))+MONTH(DM$3)-MONTH($B$11)))*(1+IF(MONTH(DM$3)=1,'Вводные'!$B$67,IF(AND(MONTH(DM$3)&gt;=5,MONTH(DM$3)&lt;=8),'Вводные'!$B$70,0))),0)</x:f>
      </x:c>
      <x:c r="DN18" s="35" t="n">
        <x:f>IF(AND(DN$3&gt;=$B$11,DN$3&lt;EDATE($B$11,MAX(1,'Вводные'!$K$33)),AND($B$7="Да",IFERROR(INDEX('Вводные'!$B$88:$B$91,$B$8),"Нет")="Да")),(1+INDEX('Вводные'!$AD$88:$AD$91,$B$8)*'Вводные'!$H$7)^MAX(0,(12*(YEAR(DN$3)-YEAR($B$11))+MONTH(DN$3)-MONTH($B$11)))*(1+IF(MONTH(DN$3)=1,'Вводные'!$B$67,IF(AND(MONTH(DN$3)&gt;=5,MONTH(DN$3)&lt;=8),'Вводные'!$B$70,0))),0)</x:f>
      </x:c>
      <x:c r="DO18" s="35" t="n">
        <x:f>IF(AND(DO$3&gt;=$B$11,DO$3&lt;EDATE($B$11,MAX(1,'Вводные'!$K$33)),AND($B$7="Да",IFERROR(INDEX('Вводные'!$B$88:$B$91,$B$8),"Нет")="Да")),(1+INDEX('Вводные'!$AD$88:$AD$91,$B$8)*'Вводные'!$H$7)^MAX(0,(12*(YEAR(DO$3)-YEAR($B$11))+MONTH(DO$3)-MONTH($B$11)))*(1+IF(MONTH(DO$3)=1,'Вводные'!$B$67,IF(AND(MONTH(DO$3)&gt;=5,MONTH(DO$3)&lt;=8),'Вводные'!$B$70,0))),0)</x:f>
      </x:c>
      <x:c r="DP18" s="35" t="n">
        <x:f>IF(AND(DP$3&gt;=$B$11,DP$3&lt;EDATE($B$11,MAX(1,'Вводные'!$K$33)),AND($B$7="Да",IFERROR(INDEX('Вводные'!$B$88:$B$91,$B$8),"Нет")="Да")),(1+INDEX('Вводные'!$AD$88:$AD$91,$B$8)*'Вводные'!$H$7)^MAX(0,(12*(YEAR(DP$3)-YEAR($B$11))+MONTH(DP$3)-MONTH($B$11)))*(1+IF(MONTH(DP$3)=1,'Вводные'!$B$67,IF(AND(MONTH(DP$3)&gt;=5,MONTH(DP$3)&lt;=8),'Вводные'!$B$70,0))),0)</x:f>
      </x:c>
      <x:c r="DQ18" s="35" t="n">
        <x:f>IF(AND(DQ$3&gt;=$B$11,DQ$3&lt;EDATE($B$11,MAX(1,'Вводные'!$K$33)),AND($B$7="Да",IFERROR(INDEX('Вводные'!$B$88:$B$91,$B$8),"Нет")="Да")),(1+INDEX('Вводные'!$AD$88:$AD$91,$B$8)*'Вводные'!$H$7)^MAX(0,(12*(YEAR(DQ$3)-YEAR($B$11))+MONTH(DQ$3)-MONTH($B$11)))*(1+IF(MONTH(DQ$3)=1,'Вводные'!$B$67,IF(AND(MONTH(DQ$3)&gt;=5,MONTH(DQ$3)&lt;=8),'Вводные'!$B$70,0))),0)</x:f>
      </x:c>
      <x:c r="DR18" s="35" t="n">
        <x:f>IF(AND(DR$3&gt;=$B$11,DR$3&lt;EDATE($B$11,MAX(1,'Вводные'!$K$33)),AND($B$7="Да",IFERROR(INDEX('Вводные'!$B$88:$B$91,$B$8),"Нет")="Да")),(1+INDEX('Вводные'!$AD$88:$AD$91,$B$8)*'Вводные'!$H$7)^MAX(0,(12*(YEAR(DR$3)-YEAR($B$11))+MONTH(DR$3)-MONTH($B$11)))*(1+IF(MONTH(DR$3)=1,'Вводные'!$B$67,IF(AND(MONTH(DR$3)&gt;=5,MONTH(DR$3)&lt;=8),'Вводные'!$B$70,0))),0)</x:f>
      </x:c>
      <x:c r="DS18" s="35" t="n">
        <x:f>IF(AND(DS$3&gt;=$B$11,DS$3&lt;EDATE($B$11,MAX(1,'Вводные'!$K$33)),AND($B$7="Да",IFERROR(INDEX('Вводные'!$B$88:$B$91,$B$8),"Нет")="Да")),(1+INDEX('Вводные'!$AD$88:$AD$91,$B$8)*'Вводные'!$H$7)^MAX(0,(12*(YEAR(DS$3)-YEAR($B$11))+MONTH(DS$3)-MONTH($B$11)))*(1+IF(MONTH(DS$3)=1,'Вводные'!$B$67,IF(AND(MONTH(DS$3)&gt;=5,MONTH(DS$3)&lt;=8),'Вводные'!$B$70,0)))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IF(D$3&lt;$B$10,D24,0)</x:f>
      </x:c>
      <x:c r="E25" s="107" t="n">
        <x:f>IF(E$3&lt;$B$10,E24,0)</x:f>
      </x:c>
      <x:c r="F25" s="107" t="n">
        <x:f>IF(F$3&lt;$B$10,F24,0)</x:f>
      </x:c>
      <x:c r="G25" s="107" t="n">
        <x:f>IF(G$3&lt;$B$10,G24,0)</x:f>
      </x:c>
      <x:c r="H25" s="107" t="n">
        <x:f>IF(H$3&lt;$B$10,H24,0)</x:f>
      </x:c>
      <x:c r="I25" s="107" t="n">
        <x:f>IF(I$3&lt;$B$10,I24,0)</x:f>
      </x:c>
      <x:c r="J25" s="107" t="n">
        <x:f>IF(J$3&lt;$B$10,J24,0)</x:f>
      </x:c>
      <x:c r="K25" s="107" t="n">
        <x:f>IF(K$3&lt;$B$10,K24,0)</x:f>
      </x:c>
      <x:c r="L25" s="107" t="n">
        <x:f>IF(L$3&lt;$B$10,L24,0)</x:f>
      </x:c>
      <x:c r="M25" s="107" t="n">
        <x:f>IF(M$3&lt;$B$10,M24,0)</x:f>
      </x:c>
      <x:c r="N25" s="107" t="n">
        <x:f>IF(N$3&lt;$B$10,N24,0)</x:f>
      </x:c>
      <x:c r="O25" s="107" t="n">
        <x:f>IF(O$3&lt;$B$10,O24,0)</x:f>
      </x:c>
      <x:c r="P25" s="107" t="n">
        <x:f>IF(P$3&lt;$B$10,P24,0)</x:f>
      </x:c>
      <x:c r="Q25" s="107" t="n">
        <x:f>IF(Q$3&lt;$B$10,Q24,0)</x:f>
      </x:c>
      <x:c r="R25" s="107" t="n">
        <x:f>IF(R$3&lt;$B$10,R24,0)</x:f>
      </x:c>
      <x:c r="S25" s="107" t="n">
        <x:f>IF(S$3&lt;$B$10,S24,0)</x:f>
      </x:c>
      <x:c r="T25" s="107" t="n">
        <x:f>IF(T$3&lt;$B$10,T24,0)</x:f>
      </x:c>
      <x:c r="U25" s="107" t="n">
        <x:f>IF(U$3&lt;$B$10,U24,0)</x:f>
      </x:c>
      <x:c r="V25" s="107" t="n">
        <x:f>IF(V$3&lt;$B$10,V24,0)</x:f>
      </x:c>
      <x:c r="W25" s="107" t="n">
        <x:f>IF(W$3&lt;$B$10,W24,0)</x:f>
      </x:c>
      <x:c r="X25" s="107" t="n">
        <x:f>IF(X$3&lt;$B$10,X24,0)</x:f>
      </x:c>
      <x:c r="Y25" s="107" t="n">
        <x:f>IF(Y$3&lt;$B$10,Y24,0)</x:f>
      </x:c>
      <x:c r="Z25" s="107" t="n">
        <x:f>IF(Z$3&lt;$B$10,Z24,0)</x:f>
      </x:c>
      <x:c r="AA25" s="107" t="n">
        <x:f>IF(AA$3&lt;$B$10,AA24,0)</x:f>
      </x:c>
      <x:c r="AB25" s="107" t="n">
        <x:f>IF(AB$3&lt;$B$10,AB24,0)</x:f>
      </x:c>
      <x:c r="AC25" s="107" t="n">
        <x:f>IF(AC$3&lt;$B$10,AC24,0)</x:f>
      </x:c>
      <x:c r="AD25" s="107" t="n">
        <x:f>IF(AD$3&lt;$B$10,AD24,0)</x:f>
      </x:c>
      <x:c r="AE25" s="107" t="n">
        <x:f>IF(AE$3&lt;$B$10,AE24,0)</x:f>
      </x:c>
      <x:c r="AF25" s="107" t="n">
        <x:f>IF(AF$3&lt;$B$10,AF24,0)</x:f>
      </x:c>
      <x:c r="AG25" s="107" t="n">
        <x:f>IF(AG$3&lt;$B$10,AG24,0)</x:f>
      </x:c>
      <x:c r="AH25" s="107" t="n">
        <x:f>IF(AH$3&lt;$B$10,AH24,0)</x:f>
      </x:c>
      <x:c r="AI25" s="107" t="n">
        <x:f>IF(AI$3&lt;$B$10,AI24,0)</x:f>
      </x:c>
      <x:c r="AJ25" s="107" t="n">
        <x:f>IF(AJ$3&lt;$B$10,AJ24,0)</x:f>
      </x:c>
      <x:c r="AK25" s="107" t="n">
        <x:f>IF(AK$3&lt;$B$10,AK24,0)</x:f>
      </x:c>
      <x:c r="AL25" s="107" t="n">
        <x:f>IF(AL$3&lt;$B$10,AL24,0)</x:f>
      </x:c>
      <x:c r="AM25" s="107" t="n">
        <x:f>IF(AM$3&lt;$B$10,AM24,0)</x:f>
      </x:c>
      <x:c r="AN25" s="107" t="n">
        <x:f>IF(AN$3&lt;$B$10,AN24,0)</x:f>
      </x:c>
      <x:c r="AO25" s="107" t="n">
        <x:f>IF(AO$3&lt;$B$10,AO24,0)</x:f>
      </x:c>
      <x:c r="AP25" s="107" t="n">
        <x:f>IF(AP$3&lt;$B$10,AP24,0)</x:f>
      </x:c>
      <x:c r="AQ25" s="107" t="n">
        <x:f>IF(AQ$3&lt;$B$10,AQ24,0)</x:f>
      </x:c>
      <x:c r="AR25" s="107" t="n">
        <x:f>IF(AR$3&lt;$B$10,AR24,0)</x:f>
      </x:c>
      <x:c r="AS25" s="107" t="n">
        <x:f>IF(AS$3&lt;$B$10,AS24,0)</x:f>
      </x:c>
      <x:c r="AT25" s="107" t="n">
        <x:f>IF(AT$3&lt;$B$10,AT24,0)</x:f>
      </x:c>
      <x:c r="AU25" s="107" t="n">
        <x:f>IF(AU$3&lt;$B$10,AU24,0)</x:f>
      </x:c>
      <x:c r="AV25" s="107" t="n">
        <x:f>IF(AV$3&lt;$B$10,AV24,0)</x:f>
      </x:c>
      <x:c r="AW25" s="107" t="n">
        <x:f>IF(AW$3&lt;$B$10,AW24,0)</x:f>
      </x:c>
      <x:c r="AX25" s="107" t="n">
        <x:f>IF(AX$3&lt;$B$10,AX24,0)</x:f>
      </x:c>
      <x:c r="AY25" s="107" t="n">
        <x:f>IF(AY$3&lt;$B$10,AY24,0)</x:f>
      </x:c>
      <x:c r="AZ25" s="107" t="n">
        <x:f>IF(AZ$3&lt;$B$10,AZ24,0)</x:f>
      </x:c>
      <x:c r="BA25" s="107" t="n">
        <x:f>IF(BA$3&lt;$B$10,BA24,0)</x:f>
      </x:c>
      <x:c r="BB25" s="107" t="n">
        <x:f>IF(BB$3&lt;$B$10,BB24,0)</x:f>
      </x:c>
      <x:c r="BC25" s="107" t="n">
        <x:f>IF(BC$3&lt;$B$10,BC24,0)</x:f>
      </x:c>
      <x:c r="BD25" s="107" t="n">
        <x:f>IF(BD$3&lt;$B$10,BD24,0)</x:f>
      </x:c>
      <x:c r="BE25" s="107" t="n">
        <x:f>IF(BE$3&lt;$B$10,BE24,0)</x:f>
      </x:c>
      <x:c r="BF25" s="107" t="n">
        <x:f>IF(BF$3&lt;$B$10,BF24,0)</x:f>
      </x:c>
      <x:c r="BG25" s="107" t="n">
        <x:f>IF(BG$3&lt;$B$10,BG24,0)</x:f>
      </x:c>
      <x:c r="BH25" s="107" t="n">
        <x:f>IF(BH$3&lt;$B$10,BH24,0)</x:f>
      </x:c>
      <x:c r="BI25" s="107" t="n">
        <x:f>IF(BI$3&lt;$B$10,BI24,0)</x:f>
      </x:c>
      <x:c r="BJ25" s="107" t="n">
        <x:f>IF(BJ$3&lt;$B$10,BJ24,0)</x:f>
      </x:c>
      <x:c r="BK25" s="107" t="n">
        <x:f>IF(BK$3&lt;$B$10,BK24,0)</x:f>
      </x:c>
      <x:c r="BL25" s="107" t="n">
        <x:f>IF(BL$3&lt;$B$10,BL24,0)</x:f>
      </x:c>
      <x:c r="BM25" s="107" t="n">
        <x:f>IF(BM$3&lt;$B$10,BM24,0)</x:f>
      </x:c>
      <x:c r="BN25" s="107" t="n">
        <x:f>IF(BN$3&lt;$B$10,BN24,0)</x:f>
      </x:c>
      <x:c r="BO25" s="107" t="n">
        <x:f>IF(BO$3&lt;$B$10,BO24,0)</x:f>
      </x:c>
      <x:c r="BP25" s="107" t="n">
        <x:f>IF(BP$3&lt;$B$10,BP24,0)</x:f>
      </x:c>
      <x:c r="BQ25" s="107" t="n">
        <x:f>IF(BQ$3&lt;$B$10,BQ24,0)</x:f>
      </x:c>
      <x:c r="BR25" s="107" t="n">
        <x:f>IF(BR$3&lt;$B$10,BR24,0)</x:f>
      </x:c>
      <x:c r="BS25" s="107" t="n">
        <x:f>IF(BS$3&lt;$B$10,BS24,0)</x:f>
      </x:c>
      <x:c r="BT25" s="107" t="n">
        <x:f>IF(BT$3&lt;$B$10,BT24,0)</x:f>
      </x:c>
      <x:c r="BU25" s="107" t="n">
        <x:f>IF(BU$3&lt;$B$10,BU24,0)</x:f>
      </x:c>
      <x:c r="BV25" s="107" t="n">
        <x:f>IF(BV$3&lt;$B$10,BV24,0)</x:f>
      </x:c>
      <x:c r="BW25" s="107" t="n">
        <x:f>IF(BW$3&lt;$B$10,BW24,0)</x:f>
      </x:c>
      <x:c r="BX25" s="107" t="n">
        <x:f>IF(BX$3&lt;$B$10,BX24,0)</x:f>
      </x:c>
      <x:c r="BY25" s="107" t="n">
        <x:f>IF(BY$3&lt;$B$10,BY24,0)</x:f>
      </x:c>
      <x:c r="BZ25" s="107" t="n">
        <x:f>IF(BZ$3&lt;$B$10,BZ24,0)</x:f>
      </x:c>
      <x:c r="CA25" s="107" t="n">
        <x:f>IF(CA$3&lt;$B$10,CA24,0)</x:f>
      </x:c>
      <x:c r="CB25" s="107" t="n">
        <x:f>IF(CB$3&lt;$B$10,CB24,0)</x:f>
      </x:c>
      <x:c r="CC25" s="107" t="n">
        <x:f>IF(CC$3&lt;$B$10,CC24,0)</x:f>
      </x:c>
      <x:c r="CD25" s="107" t="n">
        <x:f>IF(CD$3&lt;$B$10,CD24,0)</x:f>
      </x:c>
      <x:c r="CE25" s="107" t="n">
        <x:f>IF(CE$3&lt;$B$10,CE24,0)</x:f>
      </x:c>
      <x:c r="CF25" s="107" t="n">
        <x:f>IF(CF$3&lt;$B$10,CF24,0)</x:f>
      </x:c>
      <x:c r="CG25" s="107" t="n">
        <x:f>IF(CG$3&lt;$B$10,CG24,0)</x:f>
      </x:c>
      <x:c r="CH25" s="107" t="n">
        <x:f>IF(CH$3&lt;$B$10,CH24,0)</x:f>
      </x:c>
      <x:c r="CI25" s="107" t="n">
        <x:f>IF(CI$3&lt;$B$10,CI24,0)</x:f>
      </x:c>
      <x:c r="CJ25" s="107" t="n">
        <x:f>IF(CJ$3&lt;$B$10,CJ24,0)</x:f>
      </x:c>
      <x:c r="CK25" s="107" t="n">
        <x:f>IF(CK$3&lt;$B$10,CK24,0)</x:f>
      </x:c>
      <x:c r="CL25" s="107" t="n">
        <x:f>IF(CL$3&lt;$B$10,CL24,0)</x:f>
      </x:c>
      <x:c r="CM25" s="107" t="n">
        <x:f>IF(CM$3&lt;$B$10,CM24,0)</x:f>
      </x:c>
      <x:c r="CN25" s="107" t="n">
        <x:f>IF(CN$3&lt;$B$10,CN24,0)</x:f>
      </x:c>
      <x:c r="CO25" s="107" t="n">
        <x:f>IF(CO$3&lt;$B$10,CO24,0)</x:f>
      </x:c>
      <x:c r="CP25" s="107" t="n">
        <x:f>IF(CP$3&lt;$B$10,CP24,0)</x:f>
      </x:c>
      <x:c r="CQ25" s="107" t="n">
        <x:f>IF(CQ$3&lt;$B$10,CQ24,0)</x:f>
      </x:c>
      <x:c r="CR25" s="107" t="n">
        <x:f>IF(CR$3&lt;$B$10,CR24,0)</x:f>
      </x:c>
      <x:c r="CS25" s="107" t="n">
        <x:f>IF(CS$3&lt;$B$10,CS24,0)</x:f>
      </x:c>
      <x:c r="CT25" s="107" t="n">
        <x:f>IF(CT$3&lt;$B$10,CT24,0)</x:f>
      </x:c>
      <x:c r="CU25" s="107" t="n">
        <x:f>IF(CU$3&lt;$B$10,CU24,0)</x:f>
      </x:c>
      <x:c r="CV25" s="107" t="n">
        <x:f>IF(CV$3&lt;$B$10,CV24,0)</x:f>
      </x:c>
      <x:c r="CW25" s="107" t="n">
        <x:f>IF(CW$3&lt;$B$10,CW24,0)</x:f>
      </x:c>
      <x:c r="CX25" s="107" t="n">
        <x:f>IF(CX$3&lt;$B$10,CX24,0)</x:f>
      </x:c>
      <x:c r="CY25" s="107" t="n">
        <x:f>IF(CY$3&lt;$B$10,CY24,0)</x:f>
      </x:c>
      <x:c r="CZ25" s="107" t="n">
        <x:f>IF(CZ$3&lt;$B$10,CZ24,0)</x:f>
      </x:c>
      <x:c r="DA25" s="107" t="n">
        <x:f>IF(DA$3&lt;$B$10,DA24,0)</x:f>
      </x:c>
      <x:c r="DB25" s="107" t="n">
        <x:f>IF(DB$3&lt;$B$10,DB24,0)</x:f>
      </x:c>
      <x:c r="DC25" s="107" t="n">
        <x:f>IF(DC$3&lt;$B$10,DC24,0)</x:f>
      </x:c>
      <x:c r="DD25" s="107" t="n">
        <x:f>IF(DD$3&lt;$B$10,DD24,0)</x:f>
      </x:c>
      <x:c r="DE25" s="107" t="n">
        <x:f>IF(DE$3&lt;$B$10,DE24,0)</x:f>
      </x:c>
      <x:c r="DF25" s="107" t="n">
        <x:f>IF(DF$3&lt;$B$10,DF24,0)</x:f>
      </x:c>
      <x:c r="DG25" s="107" t="n">
        <x:f>IF(DG$3&lt;$B$10,DG24,0)</x:f>
      </x:c>
      <x:c r="DH25" s="107" t="n">
        <x:f>IF(DH$3&lt;$B$10,DH24,0)</x:f>
      </x:c>
      <x:c r="DI25" s="107" t="n">
        <x:f>IF(DI$3&lt;$B$10,DI24,0)</x:f>
      </x:c>
      <x:c r="DJ25" s="107" t="n">
        <x:f>IF(DJ$3&lt;$B$10,DJ24,0)</x:f>
      </x:c>
      <x:c r="DK25" s="107" t="n">
        <x:f>IF(DK$3&lt;$B$10,DK24,0)</x:f>
      </x:c>
      <x:c r="DL25" s="107" t="n">
        <x:f>IF(DL$3&lt;$B$10,DL24,0)</x:f>
      </x:c>
      <x:c r="DM25" s="107" t="n">
        <x:f>IF(DM$3&lt;$B$10,DM24,0)</x:f>
      </x:c>
      <x:c r="DN25" s="107" t="n">
        <x:f>IF(DN$3&lt;$B$10,DN24,0)</x:f>
      </x:c>
      <x:c r="DO25" s="107" t="n">
        <x:f>IF(DO$3&lt;$B$10,DO24,0)</x:f>
      </x:c>
      <x:c r="DP25" s="107" t="n">
        <x:f>IF(DP$3&lt;$B$10,DP24,0)</x:f>
      </x:c>
      <x:c r="DQ25" s="107" t="n">
        <x:f>IF(DQ$3&lt;$B$10,DQ24,0)</x:f>
      </x:c>
      <x:c r="DR25" s="107" t="n">
        <x:f>IF(DR$3&lt;$B$10,DR24,0)</x:f>
      </x:c>
      <x:c r="DS25" s="107" t="n">
        <x:f>IF(DS$3&lt;$B$10,DS24,0)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IF(D$3&gt;=$B$10,D24,0)</x:f>
      </x:c>
      <x:c r="E26" s="107" t="n">
        <x:f>IF(E$3&gt;=$B$10,E24,0)</x:f>
      </x:c>
      <x:c r="F26" s="107" t="n">
        <x:f>IF(F$3&gt;=$B$10,F24,0)</x:f>
      </x:c>
      <x:c r="G26" s="107" t="n">
        <x:f>IF(G$3&gt;=$B$10,G24,0)</x:f>
      </x:c>
      <x:c r="H26" s="107" t="n">
        <x:f>IF(H$3&gt;=$B$10,H24,0)</x:f>
      </x:c>
      <x:c r="I26" s="107" t="n">
        <x:f>IF(I$3&gt;=$B$10,I24,0)</x:f>
      </x:c>
      <x:c r="J26" s="107" t="n">
        <x:f>IF(J$3&gt;=$B$10,J24,0)</x:f>
      </x:c>
      <x:c r="K26" s="107" t="n">
        <x:f>IF(K$3&gt;=$B$10,K24,0)</x:f>
      </x:c>
      <x:c r="L26" s="107" t="n">
        <x:f>IF(L$3&gt;=$B$10,L24,0)</x:f>
      </x:c>
      <x:c r="M26" s="107" t="n">
        <x:f>IF(M$3&gt;=$B$10,M24,0)</x:f>
      </x:c>
      <x:c r="N26" s="107" t="n">
        <x:f>IF(N$3&gt;=$B$10,N24,0)</x:f>
      </x:c>
      <x:c r="O26" s="107" t="n">
        <x:f>IF(O$3&gt;=$B$10,O24,0)</x:f>
      </x:c>
      <x:c r="P26" s="107" t="n">
        <x:f>IF(P$3&gt;=$B$10,P24,0)</x:f>
      </x:c>
      <x:c r="Q26" s="107" t="n">
        <x:f>IF(Q$3&gt;=$B$10,Q24,0)</x:f>
      </x:c>
      <x:c r="R26" s="107" t="n">
        <x:f>IF(R$3&gt;=$B$10,R24,0)</x:f>
      </x:c>
      <x:c r="S26" s="107" t="n">
        <x:f>IF(S$3&gt;=$B$10,S24,0)</x:f>
      </x:c>
      <x:c r="T26" s="107" t="n">
        <x:f>IF(T$3&gt;=$B$10,T24,0)</x:f>
      </x:c>
      <x:c r="U26" s="107" t="n">
        <x:f>IF(U$3&gt;=$B$10,U24,0)</x:f>
      </x:c>
      <x:c r="V26" s="107" t="n">
        <x:f>IF(V$3&gt;=$B$10,V24,0)</x:f>
      </x:c>
      <x:c r="W26" s="107" t="n">
        <x:f>IF(W$3&gt;=$B$10,W24,0)</x:f>
      </x:c>
      <x:c r="X26" s="107" t="n">
        <x:f>IF(X$3&gt;=$B$10,X24,0)</x:f>
      </x:c>
      <x:c r="Y26" s="107" t="n">
        <x:f>IF(Y$3&gt;=$B$10,Y24,0)</x:f>
      </x:c>
      <x:c r="Z26" s="107" t="n">
        <x:f>IF(Z$3&gt;=$B$10,Z24,0)</x:f>
      </x:c>
      <x:c r="AA26" s="107" t="n">
        <x:f>IF(AA$3&gt;=$B$10,AA24,0)</x:f>
      </x:c>
      <x:c r="AB26" s="107" t="n">
        <x:f>IF(AB$3&gt;=$B$10,AB24,0)</x:f>
      </x:c>
      <x:c r="AC26" s="107" t="n">
        <x:f>IF(AC$3&gt;=$B$10,AC24,0)</x:f>
      </x:c>
      <x:c r="AD26" s="107" t="n">
        <x:f>IF(AD$3&gt;=$B$10,AD24,0)</x:f>
      </x:c>
      <x:c r="AE26" s="107" t="n">
        <x:f>IF(AE$3&gt;=$B$10,AE24,0)</x:f>
      </x:c>
      <x:c r="AF26" s="107" t="n">
        <x:f>IF(AF$3&gt;=$B$10,AF24,0)</x:f>
      </x:c>
      <x:c r="AG26" s="107" t="n">
        <x:f>IF(AG$3&gt;=$B$10,AG24,0)</x:f>
      </x:c>
      <x:c r="AH26" s="107" t="n">
        <x:f>IF(AH$3&gt;=$B$10,AH24,0)</x:f>
      </x:c>
      <x:c r="AI26" s="107" t="n">
        <x:f>IF(AI$3&gt;=$B$10,AI24,0)</x:f>
      </x:c>
      <x:c r="AJ26" s="107" t="n">
        <x:f>IF(AJ$3&gt;=$B$10,AJ24,0)</x:f>
      </x:c>
      <x:c r="AK26" s="107" t="n">
        <x:f>IF(AK$3&gt;=$B$10,AK24,0)</x:f>
      </x:c>
      <x:c r="AL26" s="107" t="n">
        <x:f>IF(AL$3&gt;=$B$10,AL24,0)</x:f>
      </x:c>
      <x:c r="AM26" s="107" t="n">
        <x:f>IF(AM$3&gt;=$B$10,AM24,0)</x:f>
      </x:c>
      <x:c r="AN26" s="107" t="n">
        <x:f>IF(AN$3&gt;=$B$10,AN24,0)</x:f>
      </x:c>
      <x:c r="AO26" s="107" t="n">
        <x:f>IF(AO$3&gt;=$B$10,AO24,0)</x:f>
      </x:c>
      <x:c r="AP26" s="107" t="n">
        <x:f>IF(AP$3&gt;=$B$10,AP24,0)</x:f>
      </x:c>
      <x:c r="AQ26" s="107" t="n">
        <x:f>IF(AQ$3&gt;=$B$10,AQ24,0)</x:f>
      </x:c>
      <x:c r="AR26" s="107" t="n">
        <x:f>IF(AR$3&gt;=$B$10,AR24,0)</x:f>
      </x:c>
      <x:c r="AS26" s="107" t="n">
        <x:f>IF(AS$3&gt;=$B$10,AS24,0)</x:f>
      </x:c>
      <x:c r="AT26" s="107" t="n">
        <x:f>IF(AT$3&gt;=$B$10,AT24,0)</x:f>
      </x:c>
      <x:c r="AU26" s="107" t="n">
        <x:f>IF(AU$3&gt;=$B$10,AU24,0)</x:f>
      </x:c>
      <x:c r="AV26" s="107" t="n">
        <x:f>IF(AV$3&gt;=$B$10,AV24,0)</x:f>
      </x:c>
      <x:c r="AW26" s="107" t="n">
        <x:f>IF(AW$3&gt;=$B$10,AW24,0)</x:f>
      </x:c>
      <x:c r="AX26" s="107" t="n">
        <x:f>IF(AX$3&gt;=$B$10,AX24,0)</x:f>
      </x:c>
      <x:c r="AY26" s="107" t="n">
        <x:f>IF(AY$3&gt;=$B$10,AY24,0)</x:f>
      </x:c>
      <x:c r="AZ26" s="107" t="n">
        <x:f>IF(AZ$3&gt;=$B$10,AZ24,0)</x:f>
      </x:c>
      <x:c r="BA26" s="107" t="n">
        <x:f>IF(BA$3&gt;=$B$10,BA24,0)</x:f>
      </x:c>
      <x:c r="BB26" s="107" t="n">
        <x:f>IF(BB$3&gt;=$B$10,BB24,0)</x:f>
      </x:c>
      <x:c r="BC26" s="107" t="n">
        <x:f>IF(BC$3&gt;=$B$10,BC24,0)</x:f>
      </x:c>
      <x:c r="BD26" s="107" t="n">
        <x:f>IF(BD$3&gt;=$B$10,BD24,0)</x:f>
      </x:c>
      <x:c r="BE26" s="107" t="n">
        <x:f>IF(BE$3&gt;=$B$10,BE24,0)</x:f>
      </x:c>
      <x:c r="BF26" s="107" t="n">
        <x:f>IF(BF$3&gt;=$B$10,BF24,0)</x:f>
      </x:c>
      <x:c r="BG26" s="107" t="n">
        <x:f>IF(BG$3&gt;=$B$10,BG24,0)</x:f>
      </x:c>
      <x:c r="BH26" s="107" t="n">
        <x:f>IF(BH$3&gt;=$B$10,BH24,0)</x:f>
      </x:c>
      <x:c r="BI26" s="107" t="n">
        <x:f>IF(BI$3&gt;=$B$10,BI24,0)</x:f>
      </x:c>
      <x:c r="BJ26" s="107" t="n">
        <x:f>IF(BJ$3&gt;=$B$10,BJ24,0)</x:f>
      </x:c>
      <x:c r="BK26" s="107" t="n">
        <x:f>IF(BK$3&gt;=$B$10,BK24,0)</x:f>
      </x:c>
      <x:c r="BL26" s="107" t="n">
        <x:f>IF(BL$3&gt;=$B$10,BL24,0)</x:f>
      </x:c>
      <x:c r="BM26" s="107" t="n">
        <x:f>IF(BM$3&gt;=$B$10,BM24,0)</x:f>
      </x:c>
      <x:c r="BN26" s="107" t="n">
        <x:f>IF(BN$3&gt;=$B$10,BN24,0)</x:f>
      </x:c>
      <x:c r="BO26" s="107" t="n">
        <x:f>IF(BO$3&gt;=$B$10,BO24,0)</x:f>
      </x:c>
      <x:c r="BP26" s="107" t="n">
        <x:f>IF(BP$3&gt;=$B$10,BP24,0)</x:f>
      </x:c>
      <x:c r="BQ26" s="107" t="n">
        <x:f>IF(BQ$3&gt;=$B$10,BQ24,0)</x:f>
      </x:c>
      <x:c r="BR26" s="107" t="n">
        <x:f>IF(BR$3&gt;=$B$10,BR24,0)</x:f>
      </x:c>
      <x:c r="BS26" s="107" t="n">
        <x:f>IF(BS$3&gt;=$B$10,BS24,0)</x:f>
      </x:c>
      <x:c r="BT26" s="107" t="n">
        <x:f>IF(BT$3&gt;=$B$10,BT24,0)</x:f>
      </x:c>
      <x:c r="BU26" s="107" t="n">
        <x:f>IF(BU$3&gt;=$B$10,BU24,0)</x:f>
      </x:c>
      <x:c r="BV26" s="107" t="n">
        <x:f>IF(BV$3&gt;=$B$10,BV24,0)</x:f>
      </x:c>
      <x:c r="BW26" s="107" t="n">
        <x:f>IF(BW$3&gt;=$B$10,BW24,0)</x:f>
      </x:c>
      <x:c r="BX26" s="107" t="n">
        <x:f>IF(BX$3&gt;=$B$10,BX24,0)</x:f>
      </x:c>
      <x:c r="BY26" s="107" t="n">
        <x:f>IF(BY$3&gt;=$B$10,BY24,0)</x:f>
      </x:c>
      <x:c r="BZ26" s="107" t="n">
        <x:f>IF(BZ$3&gt;=$B$10,BZ24,0)</x:f>
      </x:c>
      <x:c r="CA26" s="107" t="n">
        <x:f>IF(CA$3&gt;=$B$10,CA24,0)</x:f>
      </x:c>
      <x:c r="CB26" s="107" t="n">
        <x:f>IF(CB$3&gt;=$B$10,CB24,0)</x:f>
      </x:c>
      <x:c r="CC26" s="107" t="n">
        <x:f>IF(CC$3&gt;=$B$10,CC24,0)</x:f>
      </x:c>
      <x:c r="CD26" s="107" t="n">
        <x:f>IF(CD$3&gt;=$B$10,CD24,0)</x:f>
      </x:c>
      <x:c r="CE26" s="107" t="n">
        <x:f>IF(CE$3&gt;=$B$10,CE24,0)</x:f>
      </x:c>
      <x:c r="CF26" s="107" t="n">
        <x:f>IF(CF$3&gt;=$B$10,CF24,0)</x:f>
      </x:c>
      <x:c r="CG26" s="107" t="n">
        <x:f>IF(CG$3&gt;=$B$10,CG24,0)</x:f>
      </x:c>
      <x:c r="CH26" s="107" t="n">
        <x:f>IF(CH$3&gt;=$B$10,CH24,0)</x:f>
      </x:c>
      <x:c r="CI26" s="107" t="n">
        <x:f>IF(CI$3&gt;=$B$10,CI24,0)</x:f>
      </x:c>
      <x:c r="CJ26" s="107" t="n">
        <x:f>IF(CJ$3&gt;=$B$10,CJ24,0)</x:f>
      </x:c>
      <x:c r="CK26" s="107" t="n">
        <x:f>IF(CK$3&gt;=$B$10,CK24,0)</x:f>
      </x:c>
      <x:c r="CL26" s="107" t="n">
        <x:f>IF(CL$3&gt;=$B$10,CL24,0)</x:f>
      </x:c>
      <x:c r="CM26" s="107" t="n">
        <x:f>IF(CM$3&gt;=$B$10,CM24,0)</x:f>
      </x:c>
      <x:c r="CN26" s="107" t="n">
        <x:f>IF(CN$3&gt;=$B$10,CN24,0)</x:f>
      </x:c>
      <x:c r="CO26" s="107" t="n">
        <x:f>IF(CO$3&gt;=$B$10,CO24,0)</x:f>
      </x:c>
      <x:c r="CP26" s="107" t="n">
        <x:f>IF(CP$3&gt;=$B$10,CP24,0)</x:f>
      </x:c>
      <x:c r="CQ26" s="107" t="n">
        <x:f>IF(CQ$3&gt;=$B$10,CQ24,0)</x:f>
      </x:c>
      <x:c r="CR26" s="107" t="n">
        <x:f>IF(CR$3&gt;=$B$10,CR24,0)</x:f>
      </x:c>
      <x:c r="CS26" s="107" t="n">
        <x:f>IF(CS$3&gt;=$B$10,CS24,0)</x:f>
      </x:c>
      <x:c r="CT26" s="107" t="n">
        <x:f>IF(CT$3&gt;=$B$10,CT24,0)</x:f>
      </x:c>
      <x:c r="CU26" s="107" t="n">
        <x:f>IF(CU$3&gt;=$B$10,CU24,0)</x:f>
      </x:c>
      <x:c r="CV26" s="107" t="n">
        <x:f>IF(CV$3&gt;=$B$10,CV24,0)</x:f>
      </x:c>
      <x:c r="CW26" s="107" t="n">
        <x:f>IF(CW$3&gt;=$B$10,CW24,0)</x:f>
      </x:c>
      <x:c r="CX26" s="107" t="n">
        <x:f>IF(CX$3&gt;=$B$10,CX24,0)</x:f>
      </x:c>
      <x:c r="CY26" s="107" t="n">
        <x:f>IF(CY$3&gt;=$B$10,CY24,0)</x:f>
      </x:c>
      <x:c r="CZ26" s="107" t="n">
        <x:f>IF(CZ$3&gt;=$B$10,CZ24,0)</x:f>
      </x:c>
      <x:c r="DA26" s="107" t="n">
        <x:f>IF(DA$3&gt;=$B$10,DA24,0)</x:f>
      </x:c>
      <x:c r="DB26" s="107" t="n">
        <x:f>IF(DB$3&gt;=$B$10,DB24,0)</x:f>
      </x:c>
      <x:c r="DC26" s="107" t="n">
        <x:f>IF(DC$3&gt;=$B$10,DC24,0)</x:f>
      </x:c>
      <x:c r="DD26" s="107" t="n">
        <x:f>IF(DD$3&gt;=$B$10,DD24,0)</x:f>
      </x:c>
      <x:c r="DE26" s="107" t="n">
        <x:f>IF(DE$3&gt;=$B$10,DE24,0)</x:f>
      </x:c>
      <x:c r="DF26" s="107" t="n">
        <x:f>IF(DF$3&gt;=$B$10,DF24,0)</x:f>
      </x:c>
      <x:c r="DG26" s="107" t="n">
        <x:f>IF(DG$3&gt;=$B$10,DG24,0)</x:f>
      </x:c>
      <x:c r="DH26" s="107" t="n">
        <x:f>IF(DH$3&gt;=$B$10,DH24,0)</x:f>
      </x:c>
      <x:c r="DI26" s="107" t="n">
        <x:f>IF(DI$3&gt;=$B$10,DI24,0)</x:f>
      </x:c>
      <x:c r="DJ26" s="107" t="n">
        <x:f>IF(DJ$3&gt;=$B$10,DJ24,0)</x:f>
      </x:c>
      <x:c r="DK26" s="107" t="n">
        <x:f>IF(DK$3&gt;=$B$10,DK24,0)</x:f>
      </x:c>
      <x:c r="DL26" s="107" t="n">
        <x:f>IF(DL$3&gt;=$B$10,DL24,0)</x:f>
      </x:c>
      <x:c r="DM26" s="107" t="n">
        <x:f>IF(DM$3&gt;=$B$10,DM24,0)</x:f>
      </x:c>
      <x:c r="DN26" s="107" t="n">
        <x:f>IF(DN$3&gt;=$B$10,DN24,0)</x:f>
      </x:c>
      <x:c r="DO26" s="107" t="n">
        <x:f>IF(DO$3&gt;=$B$10,DO24,0)</x:f>
      </x:c>
      <x:c r="DP26" s="107" t="n">
        <x:f>IF(DP$3&gt;=$B$10,DP24,0)</x:f>
      </x:c>
      <x:c r="DQ26" s="107" t="n">
        <x:f>IF(DQ$3&gt;=$B$10,DQ24,0)</x:f>
      </x:c>
      <x:c r="DR26" s="107" t="n">
        <x:f>IF(DR$3&gt;=$B$10,DR24,0)</x:f>
      </x:c>
      <x:c r="DS26" s="107" t="n">
        <x:f>IF(DS$3&gt;=$B$10,DS24,0)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IF(AND(YEAR(D$3)=YEAR($B$10),MONTH(D$3)=MONTH($B$10),AND($B$7="Да",IFERROR(INDEX('Вводные'!$B$88:$B$91,$B$8),"Нет")="Да")),MAX(0,SUM($D25:D25)-D25),0)</x:f>
      </x:c>
      <x:c r="E27" s="107" t="n">
        <x:f>IF(AND(YEAR(E$3)=YEAR($B$10),MONTH(E$3)=MONTH($B$10),AND($B$7="Да",IFERROR(INDEX('Вводные'!$B$88:$B$91,$B$8),"Нет")="Да")),MAX(0,SUM($D25:E25)-E25),0)</x:f>
      </x:c>
      <x:c r="F27" s="107" t="n">
        <x:f>IF(AND(YEAR(F$3)=YEAR($B$10),MONTH(F$3)=MONTH($B$10),AND($B$7="Да",IFERROR(INDEX('Вводные'!$B$88:$B$91,$B$8),"Нет")="Да")),MAX(0,SUM($D25:F25)-F25),0)</x:f>
      </x:c>
      <x:c r="G27" s="107" t="n">
        <x:f>IF(AND(YEAR(G$3)=YEAR($B$10),MONTH(G$3)=MONTH($B$10),AND($B$7="Да",IFERROR(INDEX('Вводные'!$B$88:$B$91,$B$8),"Нет")="Да")),MAX(0,SUM($D25:G25)-G25),0)</x:f>
      </x:c>
      <x:c r="H27" s="107" t="n">
        <x:f>IF(AND(YEAR(H$3)=YEAR($B$10),MONTH(H$3)=MONTH($B$10),AND($B$7="Да",IFERROR(INDEX('Вводные'!$B$88:$B$91,$B$8),"Нет")="Да")),MAX(0,SUM($D25:H25)-H25),0)</x:f>
      </x:c>
      <x:c r="I27" s="107" t="n">
        <x:f>IF(AND(YEAR(I$3)=YEAR($B$10),MONTH(I$3)=MONTH($B$10),AND($B$7="Да",IFERROR(INDEX('Вводные'!$B$88:$B$91,$B$8),"Нет")="Да")),MAX(0,SUM($D25:I25)-I25),0)</x:f>
      </x:c>
      <x:c r="J27" s="107" t="n">
        <x:f>IF(AND(YEAR(J$3)=YEAR($B$10),MONTH(J$3)=MONTH($B$10),AND($B$7="Да",IFERROR(INDEX('Вводные'!$B$88:$B$91,$B$8),"Нет")="Да")),MAX(0,SUM($D25:J25)-J25),0)</x:f>
      </x:c>
      <x:c r="K27" s="107" t="n">
        <x:f>IF(AND(YEAR(K$3)=YEAR($B$10),MONTH(K$3)=MONTH($B$10),AND($B$7="Да",IFERROR(INDEX('Вводные'!$B$88:$B$91,$B$8),"Нет")="Да")),MAX(0,SUM($D25:K25)-K25),0)</x:f>
      </x:c>
      <x:c r="L27" s="107" t="n">
        <x:f>IF(AND(YEAR(L$3)=YEAR($B$10),MONTH(L$3)=MONTH($B$10),AND($B$7="Да",IFERROR(INDEX('Вводные'!$B$88:$B$91,$B$8),"Нет")="Да")),MAX(0,SUM($D25:L25)-L25),0)</x:f>
      </x:c>
      <x:c r="M27" s="107" t="n">
        <x:f>IF(AND(YEAR(M$3)=YEAR($B$10),MONTH(M$3)=MONTH($B$10),AND($B$7="Да",IFERROR(INDEX('Вводные'!$B$88:$B$91,$B$8),"Нет")="Да")),MAX(0,SUM($D25:M25)-M25),0)</x:f>
      </x:c>
      <x:c r="N27" s="107" t="n">
        <x:f>IF(AND(YEAR(N$3)=YEAR($B$10),MONTH(N$3)=MONTH($B$10),AND($B$7="Да",IFERROR(INDEX('Вводные'!$B$88:$B$91,$B$8),"Нет")="Да")),MAX(0,SUM($D25:N25)-N25),0)</x:f>
      </x:c>
      <x:c r="O27" s="107" t="n">
        <x:f>IF(AND(YEAR(O$3)=YEAR($B$10),MONTH(O$3)=MONTH($B$10),AND($B$7="Да",IFERROR(INDEX('Вводные'!$B$88:$B$91,$B$8),"Нет")="Да")),MAX(0,SUM($D25:O25)-O25),0)</x:f>
      </x:c>
      <x:c r="P27" s="107" t="n">
        <x:f>IF(AND(YEAR(P$3)=YEAR($B$10),MONTH(P$3)=MONTH($B$10),AND($B$7="Да",IFERROR(INDEX('Вводные'!$B$88:$B$91,$B$8),"Нет")="Да")),MAX(0,SUM($D25:P25)-P25),0)</x:f>
      </x:c>
      <x:c r="Q27" s="107" t="n">
        <x:f>IF(AND(YEAR(Q$3)=YEAR($B$10),MONTH(Q$3)=MONTH($B$10),AND($B$7="Да",IFERROR(INDEX('Вводные'!$B$88:$B$91,$B$8),"Нет")="Да")),MAX(0,SUM($D25:Q25)-Q25),0)</x:f>
      </x:c>
      <x:c r="R27" s="107" t="n">
        <x:f>IF(AND(YEAR(R$3)=YEAR($B$10),MONTH(R$3)=MONTH($B$10),AND($B$7="Да",IFERROR(INDEX('Вводные'!$B$88:$B$91,$B$8),"Нет")="Да")),MAX(0,SUM($D25:R25)-R25),0)</x:f>
      </x:c>
      <x:c r="S27" s="107" t="n">
        <x:f>IF(AND(YEAR(S$3)=YEAR($B$10),MONTH(S$3)=MONTH($B$10),AND($B$7="Да",IFERROR(INDEX('Вводные'!$B$88:$B$91,$B$8),"Нет")="Да")),MAX(0,SUM($D25:S25)-S25),0)</x:f>
      </x:c>
      <x:c r="T27" s="107" t="n">
        <x:f>IF(AND(YEAR(T$3)=YEAR($B$10),MONTH(T$3)=MONTH($B$10),AND($B$7="Да",IFERROR(INDEX('Вводные'!$B$88:$B$91,$B$8),"Нет")="Да")),MAX(0,SUM($D25:T25)-T25),0)</x:f>
      </x:c>
      <x:c r="U27" s="107" t="n">
        <x:f>IF(AND(YEAR(U$3)=YEAR($B$10),MONTH(U$3)=MONTH($B$10),AND($B$7="Да",IFERROR(INDEX('Вводные'!$B$88:$B$91,$B$8),"Нет")="Да")),MAX(0,SUM($D25:U25)-U25),0)</x:f>
      </x:c>
      <x:c r="V27" s="107" t="n">
        <x:f>IF(AND(YEAR(V$3)=YEAR($B$10),MONTH(V$3)=MONTH($B$10),AND($B$7="Да",IFERROR(INDEX('Вводные'!$B$88:$B$91,$B$8),"Нет")="Да")),MAX(0,SUM($D25:V25)-V25),0)</x:f>
      </x:c>
      <x:c r="W27" s="107" t="n">
        <x:f>IF(AND(YEAR(W$3)=YEAR($B$10),MONTH(W$3)=MONTH($B$10),AND($B$7="Да",IFERROR(INDEX('Вводные'!$B$88:$B$91,$B$8),"Нет")="Да")),MAX(0,SUM($D25:W25)-W25),0)</x:f>
      </x:c>
      <x:c r="X27" s="107" t="n">
        <x:f>IF(AND(YEAR(X$3)=YEAR($B$10),MONTH(X$3)=MONTH($B$10),AND($B$7="Да",IFERROR(INDEX('Вводные'!$B$88:$B$91,$B$8),"Нет")="Да")),MAX(0,SUM($D25:X25)-X25),0)</x:f>
      </x:c>
      <x:c r="Y27" s="107" t="n">
        <x:f>IF(AND(YEAR(Y$3)=YEAR($B$10),MONTH(Y$3)=MONTH($B$10),AND($B$7="Да",IFERROR(INDEX('Вводные'!$B$88:$B$91,$B$8),"Нет")="Да")),MAX(0,SUM($D25:Y25)-Y25),0)</x:f>
      </x:c>
      <x:c r="Z27" s="107" t="n">
        <x:f>IF(AND(YEAR(Z$3)=YEAR($B$10),MONTH(Z$3)=MONTH($B$10),AND($B$7="Да",IFERROR(INDEX('Вводные'!$B$88:$B$91,$B$8),"Нет")="Да")),MAX(0,SUM($D25:Z25)-Z25),0)</x:f>
      </x:c>
      <x:c r="AA27" s="107" t="n">
        <x:f>IF(AND(YEAR(AA$3)=YEAR($B$10),MONTH(AA$3)=MONTH($B$10),AND($B$7="Да",IFERROR(INDEX('Вводные'!$B$88:$B$91,$B$8),"Нет")="Да")),MAX(0,SUM($D25:AA25)-AA25),0)</x:f>
      </x:c>
      <x:c r="AB27" s="107" t="n">
        <x:f>IF(AND(YEAR(AB$3)=YEAR($B$10),MONTH(AB$3)=MONTH($B$10),AND($B$7="Да",IFERROR(INDEX('Вводные'!$B$88:$B$91,$B$8),"Нет")="Да")),MAX(0,SUM($D25:AB25)-AB25),0)</x:f>
      </x:c>
      <x:c r="AC27" s="107" t="n">
        <x:f>IF(AND(YEAR(AC$3)=YEAR($B$10),MONTH(AC$3)=MONTH($B$10),AND($B$7="Да",IFERROR(INDEX('Вводные'!$B$88:$B$91,$B$8),"Нет")="Да")),MAX(0,SUM($D25:AC25)-AC25),0)</x:f>
      </x:c>
      <x:c r="AD27" s="107" t="n">
        <x:f>IF(AND(YEAR(AD$3)=YEAR($B$10),MONTH(AD$3)=MONTH($B$10),AND($B$7="Да",IFERROR(INDEX('Вводные'!$B$88:$B$91,$B$8),"Нет")="Да")),MAX(0,SUM($D25:AD25)-AD25),0)</x:f>
      </x:c>
      <x:c r="AE27" s="107" t="n">
        <x:f>IF(AND(YEAR(AE$3)=YEAR($B$10),MONTH(AE$3)=MONTH($B$10),AND($B$7="Да",IFERROR(INDEX('Вводные'!$B$88:$B$91,$B$8),"Нет")="Да")),MAX(0,SUM($D25:AE25)-AE25),0)</x:f>
      </x:c>
      <x:c r="AF27" s="107" t="n">
        <x:f>IF(AND(YEAR(AF$3)=YEAR($B$10),MONTH(AF$3)=MONTH($B$10),AND($B$7="Да",IFERROR(INDEX('Вводные'!$B$88:$B$91,$B$8),"Нет")="Да")),MAX(0,SUM($D25:AF25)-AF25),0)</x:f>
      </x:c>
      <x:c r="AG27" s="107" t="n">
        <x:f>IF(AND(YEAR(AG$3)=YEAR($B$10),MONTH(AG$3)=MONTH($B$10),AND($B$7="Да",IFERROR(INDEX('Вводные'!$B$88:$B$91,$B$8),"Нет")="Да")),MAX(0,SUM($D25:AG25)-AG25),0)</x:f>
      </x:c>
      <x:c r="AH27" s="107" t="n">
        <x:f>IF(AND(YEAR(AH$3)=YEAR($B$10),MONTH(AH$3)=MONTH($B$10),AND($B$7="Да",IFERROR(INDEX('Вводные'!$B$88:$B$91,$B$8),"Нет")="Да")),MAX(0,SUM($D25:AH25)-AH25),0)</x:f>
      </x:c>
      <x:c r="AI27" s="107" t="n">
        <x:f>IF(AND(YEAR(AI$3)=YEAR($B$10),MONTH(AI$3)=MONTH($B$10),AND($B$7="Да",IFERROR(INDEX('Вводные'!$B$88:$B$91,$B$8),"Нет")="Да")),MAX(0,SUM($D25:AI25)-AI25),0)</x:f>
      </x:c>
      <x:c r="AJ27" s="107" t="n">
        <x:f>IF(AND(YEAR(AJ$3)=YEAR($B$10),MONTH(AJ$3)=MONTH($B$10),AND($B$7="Да",IFERROR(INDEX('Вводные'!$B$88:$B$91,$B$8),"Нет")="Да")),MAX(0,SUM($D25:AJ25)-AJ25),0)</x:f>
      </x:c>
      <x:c r="AK27" s="107" t="n">
        <x:f>IF(AND(YEAR(AK$3)=YEAR($B$10),MONTH(AK$3)=MONTH($B$10),AND($B$7="Да",IFERROR(INDEX('Вводные'!$B$88:$B$91,$B$8),"Нет")="Да")),MAX(0,SUM($D25:AK25)-AK25),0)</x:f>
      </x:c>
      <x:c r="AL27" s="107" t="n">
        <x:f>IF(AND(YEAR(AL$3)=YEAR($B$10),MONTH(AL$3)=MONTH($B$10),AND($B$7="Да",IFERROR(INDEX('Вводные'!$B$88:$B$91,$B$8),"Нет")="Да")),MAX(0,SUM($D25:AL25)-AL25),0)</x:f>
      </x:c>
      <x:c r="AM27" s="107" t="n">
        <x:f>IF(AND(YEAR(AM$3)=YEAR($B$10),MONTH(AM$3)=MONTH($B$10),AND($B$7="Да",IFERROR(INDEX('Вводные'!$B$88:$B$91,$B$8),"Нет")="Да")),MAX(0,SUM($D25:AM25)-AM25),0)</x:f>
      </x:c>
      <x:c r="AN27" s="107" t="n">
        <x:f>IF(AND(YEAR(AN$3)=YEAR($B$10),MONTH(AN$3)=MONTH($B$10),AND($B$7="Да",IFERROR(INDEX('Вводные'!$B$88:$B$91,$B$8),"Нет")="Да")),MAX(0,SUM($D25:AN25)-AN25),0)</x:f>
      </x:c>
      <x:c r="AO27" s="107" t="n">
        <x:f>IF(AND(YEAR(AO$3)=YEAR($B$10),MONTH(AO$3)=MONTH($B$10),AND($B$7="Да",IFERROR(INDEX('Вводные'!$B$88:$B$91,$B$8),"Нет")="Да")),MAX(0,SUM($D25:AO25)-AO25),0)</x:f>
      </x:c>
      <x:c r="AP27" s="107" t="n">
        <x:f>IF(AND(YEAR(AP$3)=YEAR($B$10),MONTH(AP$3)=MONTH($B$10),AND($B$7="Да",IFERROR(INDEX('Вводные'!$B$88:$B$91,$B$8),"Нет")="Да")),MAX(0,SUM($D25:AP25)-AP25),0)</x:f>
      </x:c>
      <x:c r="AQ27" s="107" t="n">
        <x:f>IF(AND(YEAR(AQ$3)=YEAR($B$10),MONTH(AQ$3)=MONTH($B$10),AND($B$7="Да",IFERROR(INDEX('Вводные'!$B$88:$B$91,$B$8),"Нет")="Да")),MAX(0,SUM($D25:AQ25)-AQ25),0)</x:f>
      </x:c>
      <x:c r="AR27" s="107" t="n">
        <x:f>IF(AND(YEAR(AR$3)=YEAR($B$10),MONTH(AR$3)=MONTH($B$10),AND($B$7="Да",IFERROR(INDEX('Вводные'!$B$88:$B$91,$B$8),"Нет")="Да")),MAX(0,SUM($D25:AR25)-AR25),0)</x:f>
      </x:c>
      <x:c r="AS27" s="107" t="n">
        <x:f>IF(AND(YEAR(AS$3)=YEAR($B$10),MONTH(AS$3)=MONTH($B$10),AND($B$7="Да",IFERROR(INDEX('Вводные'!$B$88:$B$91,$B$8),"Нет")="Да")),MAX(0,SUM($D25:AS25)-AS25),0)</x:f>
      </x:c>
      <x:c r="AT27" s="107" t="n">
        <x:f>IF(AND(YEAR(AT$3)=YEAR($B$10),MONTH(AT$3)=MONTH($B$10),AND($B$7="Да",IFERROR(INDEX('Вводные'!$B$88:$B$91,$B$8),"Нет")="Да")),MAX(0,SUM($D25:AT25)-AT25),0)</x:f>
      </x:c>
      <x:c r="AU27" s="107" t="n">
        <x:f>IF(AND(YEAR(AU$3)=YEAR($B$10),MONTH(AU$3)=MONTH($B$10),AND($B$7="Да",IFERROR(INDEX('Вводные'!$B$88:$B$91,$B$8),"Нет")="Да")),MAX(0,SUM($D25:AU25)-AU25),0)</x:f>
      </x:c>
      <x:c r="AV27" s="107" t="n">
        <x:f>IF(AND(YEAR(AV$3)=YEAR($B$10),MONTH(AV$3)=MONTH($B$10),AND($B$7="Да",IFERROR(INDEX('Вводные'!$B$88:$B$91,$B$8),"Нет")="Да")),MAX(0,SUM($D25:AV25)-AV25),0)</x:f>
      </x:c>
      <x:c r="AW27" s="107" t="n">
        <x:f>IF(AND(YEAR(AW$3)=YEAR($B$10),MONTH(AW$3)=MONTH($B$10),AND($B$7="Да",IFERROR(INDEX('Вводные'!$B$88:$B$91,$B$8),"Нет")="Да")),MAX(0,SUM($D25:AW25)-AW25),0)</x:f>
      </x:c>
      <x:c r="AX27" s="107" t="n">
        <x:f>IF(AND(YEAR(AX$3)=YEAR($B$10),MONTH(AX$3)=MONTH($B$10),AND($B$7="Да",IFERROR(INDEX('Вводные'!$B$88:$B$91,$B$8),"Нет")="Да")),MAX(0,SUM($D25:AX25)-AX25),0)</x:f>
      </x:c>
      <x:c r="AY27" s="107" t="n">
        <x:f>IF(AND(YEAR(AY$3)=YEAR($B$10),MONTH(AY$3)=MONTH($B$10),AND($B$7="Да",IFERROR(INDEX('Вводные'!$B$88:$B$91,$B$8),"Нет")="Да")),MAX(0,SUM($D25:AY25)-AY25),0)</x:f>
      </x:c>
      <x:c r="AZ27" s="107" t="n">
        <x:f>IF(AND(YEAR(AZ$3)=YEAR($B$10),MONTH(AZ$3)=MONTH($B$10),AND($B$7="Да",IFERROR(INDEX('Вводные'!$B$88:$B$91,$B$8),"Нет")="Да")),MAX(0,SUM($D25:AZ25)-AZ25),0)</x:f>
      </x:c>
      <x:c r="BA27" s="107" t="n">
        <x:f>IF(AND(YEAR(BA$3)=YEAR($B$10),MONTH(BA$3)=MONTH($B$10),AND($B$7="Да",IFERROR(INDEX('Вводные'!$B$88:$B$91,$B$8),"Нет")="Да")),MAX(0,SUM($D25:BA25)-BA25),0)</x:f>
      </x:c>
      <x:c r="BB27" s="107" t="n">
        <x:f>IF(AND(YEAR(BB$3)=YEAR($B$10),MONTH(BB$3)=MONTH($B$10),AND($B$7="Да",IFERROR(INDEX('Вводные'!$B$88:$B$91,$B$8),"Нет")="Да")),MAX(0,SUM($D25:BB25)-BB25),0)</x:f>
      </x:c>
      <x:c r="BC27" s="107" t="n">
        <x:f>IF(AND(YEAR(BC$3)=YEAR($B$10),MONTH(BC$3)=MONTH($B$10),AND($B$7="Да",IFERROR(INDEX('Вводные'!$B$88:$B$91,$B$8),"Нет")="Да")),MAX(0,SUM($D25:BC25)-BC25),0)</x:f>
      </x:c>
      <x:c r="BD27" s="107" t="n">
        <x:f>IF(AND(YEAR(BD$3)=YEAR($B$10),MONTH(BD$3)=MONTH($B$10),AND($B$7="Да",IFERROR(INDEX('Вводные'!$B$88:$B$91,$B$8),"Нет")="Да")),MAX(0,SUM($D25:BD25)-BD25),0)</x:f>
      </x:c>
      <x:c r="BE27" s="107" t="n">
        <x:f>IF(AND(YEAR(BE$3)=YEAR($B$10),MONTH(BE$3)=MONTH($B$10),AND($B$7="Да",IFERROR(INDEX('Вводные'!$B$88:$B$91,$B$8),"Нет")="Да")),MAX(0,SUM($D25:BE25)-BE25),0)</x:f>
      </x:c>
      <x:c r="BF27" s="107" t="n">
        <x:f>IF(AND(YEAR(BF$3)=YEAR($B$10),MONTH(BF$3)=MONTH($B$10),AND($B$7="Да",IFERROR(INDEX('Вводные'!$B$88:$B$91,$B$8),"Нет")="Да")),MAX(0,SUM($D25:BF25)-BF25),0)</x:f>
      </x:c>
      <x:c r="BG27" s="107" t="n">
        <x:f>IF(AND(YEAR(BG$3)=YEAR($B$10),MONTH(BG$3)=MONTH($B$10),AND($B$7="Да",IFERROR(INDEX('Вводные'!$B$88:$B$91,$B$8),"Нет")="Да")),MAX(0,SUM($D25:BG25)-BG25),0)</x:f>
      </x:c>
      <x:c r="BH27" s="107" t="n">
        <x:f>IF(AND(YEAR(BH$3)=YEAR($B$10),MONTH(BH$3)=MONTH($B$10),AND($B$7="Да",IFERROR(INDEX('Вводные'!$B$88:$B$91,$B$8),"Нет")="Да")),MAX(0,SUM($D25:BH25)-BH25),0)</x:f>
      </x:c>
      <x:c r="BI27" s="107" t="n">
        <x:f>IF(AND(YEAR(BI$3)=YEAR($B$10),MONTH(BI$3)=MONTH($B$10),AND($B$7="Да",IFERROR(INDEX('Вводные'!$B$88:$B$91,$B$8),"Нет")="Да")),MAX(0,SUM($D25:BI25)-BI25),0)</x:f>
      </x:c>
      <x:c r="BJ27" s="107" t="n">
        <x:f>IF(AND(YEAR(BJ$3)=YEAR($B$10),MONTH(BJ$3)=MONTH($B$10),AND($B$7="Да",IFERROR(INDEX('Вводные'!$B$88:$B$91,$B$8),"Нет")="Да")),MAX(0,SUM($D25:BJ25)-BJ25),0)</x:f>
      </x:c>
      <x:c r="BK27" s="107" t="n">
        <x:f>IF(AND(YEAR(BK$3)=YEAR($B$10),MONTH(BK$3)=MONTH($B$10),AND($B$7="Да",IFERROR(INDEX('Вводные'!$B$88:$B$91,$B$8),"Нет")="Да")),MAX(0,SUM($D25:BK25)-BK25),0)</x:f>
      </x:c>
      <x:c r="BL27" s="107" t="n">
        <x:f>IF(AND(YEAR(BL$3)=YEAR($B$10),MONTH(BL$3)=MONTH($B$10),AND($B$7="Да",IFERROR(INDEX('Вводные'!$B$88:$B$91,$B$8),"Нет")="Да")),MAX(0,SUM($D25:BL25)-BL25),0)</x:f>
      </x:c>
      <x:c r="BM27" s="107" t="n">
        <x:f>IF(AND(YEAR(BM$3)=YEAR($B$10),MONTH(BM$3)=MONTH($B$10),AND($B$7="Да",IFERROR(INDEX('Вводные'!$B$88:$B$91,$B$8),"Нет")="Да")),MAX(0,SUM($D25:BM25)-BM25),0)</x:f>
      </x:c>
      <x:c r="BN27" s="107" t="n">
        <x:f>IF(AND(YEAR(BN$3)=YEAR($B$10),MONTH(BN$3)=MONTH($B$10),AND($B$7="Да",IFERROR(INDEX('Вводные'!$B$88:$B$91,$B$8),"Нет")="Да")),MAX(0,SUM($D25:BN25)-BN25),0)</x:f>
      </x:c>
      <x:c r="BO27" s="107" t="n">
        <x:f>IF(AND(YEAR(BO$3)=YEAR($B$10),MONTH(BO$3)=MONTH($B$10),AND($B$7="Да",IFERROR(INDEX('Вводные'!$B$88:$B$91,$B$8),"Нет")="Да")),MAX(0,SUM($D25:BO25)-BO25),0)</x:f>
      </x:c>
      <x:c r="BP27" s="107" t="n">
        <x:f>IF(AND(YEAR(BP$3)=YEAR($B$10),MONTH(BP$3)=MONTH($B$10),AND($B$7="Да",IFERROR(INDEX('Вводные'!$B$88:$B$91,$B$8),"Нет")="Да")),MAX(0,SUM($D25:BP25)-BP25),0)</x:f>
      </x:c>
      <x:c r="BQ27" s="107" t="n">
        <x:f>IF(AND(YEAR(BQ$3)=YEAR($B$10),MONTH(BQ$3)=MONTH($B$10),AND($B$7="Да",IFERROR(INDEX('Вводные'!$B$88:$B$91,$B$8),"Нет")="Да")),MAX(0,SUM($D25:BQ25)-BQ25),0)</x:f>
      </x:c>
      <x:c r="BR27" s="107" t="n">
        <x:f>IF(AND(YEAR(BR$3)=YEAR($B$10),MONTH(BR$3)=MONTH($B$10),AND($B$7="Да",IFERROR(INDEX('Вводные'!$B$88:$B$91,$B$8),"Нет")="Да")),MAX(0,SUM($D25:BR25)-BR25),0)</x:f>
      </x:c>
      <x:c r="BS27" s="107" t="n">
        <x:f>IF(AND(YEAR(BS$3)=YEAR($B$10),MONTH(BS$3)=MONTH($B$10),AND($B$7="Да",IFERROR(INDEX('Вводные'!$B$88:$B$91,$B$8),"Нет")="Да")),MAX(0,SUM($D25:BS25)-BS25),0)</x:f>
      </x:c>
      <x:c r="BT27" s="107" t="n">
        <x:f>IF(AND(YEAR(BT$3)=YEAR($B$10),MONTH(BT$3)=MONTH($B$10),AND($B$7="Да",IFERROR(INDEX('Вводные'!$B$88:$B$91,$B$8),"Нет")="Да")),MAX(0,SUM($D25:BT25)-BT25),0)</x:f>
      </x:c>
      <x:c r="BU27" s="107" t="n">
        <x:f>IF(AND(YEAR(BU$3)=YEAR($B$10),MONTH(BU$3)=MONTH($B$10),AND($B$7="Да",IFERROR(INDEX('Вводные'!$B$88:$B$91,$B$8),"Нет")="Да")),MAX(0,SUM($D25:BU25)-BU25),0)</x:f>
      </x:c>
      <x:c r="BV27" s="107" t="n">
        <x:f>IF(AND(YEAR(BV$3)=YEAR($B$10),MONTH(BV$3)=MONTH($B$10),AND($B$7="Да",IFERROR(INDEX('Вводные'!$B$88:$B$91,$B$8),"Нет")="Да")),MAX(0,SUM($D25:BV25)-BV25),0)</x:f>
      </x:c>
      <x:c r="BW27" s="107" t="n">
        <x:f>IF(AND(YEAR(BW$3)=YEAR($B$10),MONTH(BW$3)=MONTH($B$10),AND($B$7="Да",IFERROR(INDEX('Вводные'!$B$88:$B$91,$B$8),"Нет")="Да")),MAX(0,SUM($D25:BW25)-BW25),0)</x:f>
      </x:c>
      <x:c r="BX27" s="107" t="n">
        <x:f>IF(AND(YEAR(BX$3)=YEAR($B$10),MONTH(BX$3)=MONTH($B$10),AND($B$7="Да",IFERROR(INDEX('Вводные'!$B$88:$B$91,$B$8),"Нет")="Да")),MAX(0,SUM($D25:BX25)-BX25),0)</x:f>
      </x:c>
      <x:c r="BY27" s="107" t="n">
        <x:f>IF(AND(YEAR(BY$3)=YEAR($B$10),MONTH(BY$3)=MONTH($B$10),AND($B$7="Да",IFERROR(INDEX('Вводные'!$B$88:$B$91,$B$8),"Нет")="Да")),MAX(0,SUM($D25:BY25)-BY25),0)</x:f>
      </x:c>
      <x:c r="BZ27" s="107" t="n">
        <x:f>IF(AND(YEAR(BZ$3)=YEAR($B$10),MONTH(BZ$3)=MONTH($B$10),AND($B$7="Да",IFERROR(INDEX('Вводные'!$B$88:$B$91,$B$8),"Нет")="Да")),MAX(0,SUM($D25:BZ25)-BZ25),0)</x:f>
      </x:c>
      <x:c r="CA27" s="107" t="n">
        <x:f>IF(AND(YEAR(CA$3)=YEAR($B$10),MONTH(CA$3)=MONTH($B$10),AND($B$7="Да",IFERROR(INDEX('Вводные'!$B$88:$B$91,$B$8),"Нет")="Да")),MAX(0,SUM($D25:CA25)-CA25),0)</x:f>
      </x:c>
      <x:c r="CB27" s="107" t="n">
        <x:f>IF(AND(YEAR(CB$3)=YEAR($B$10),MONTH(CB$3)=MONTH($B$10),AND($B$7="Да",IFERROR(INDEX('Вводные'!$B$88:$B$91,$B$8),"Нет")="Да")),MAX(0,SUM($D25:CB25)-CB25),0)</x:f>
      </x:c>
      <x:c r="CC27" s="107" t="n">
        <x:f>IF(AND(YEAR(CC$3)=YEAR($B$10),MONTH(CC$3)=MONTH($B$10),AND($B$7="Да",IFERROR(INDEX('Вводные'!$B$88:$B$91,$B$8),"Нет")="Да")),MAX(0,SUM($D25:CC25)-CC25),0)</x:f>
      </x:c>
      <x:c r="CD27" s="107" t="n">
        <x:f>IF(AND(YEAR(CD$3)=YEAR($B$10),MONTH(CD$3)=MONTH($B$10),AND($B$7="Да",IFERROR(INDEX('Вводные'!$B$88:$B$91,$B$8),"Нет")="Да")),MAX(0,SUM($D25:CD25)-CD25),0)</x:f>
      </x:c>
      <x:c r="CE27" s="107" t="n">
        <x:f>IF(AND(YEAR(CE$3)=YEAR($B$10),MONTH(CE$3)=MONTH($B$10),AND($B$7="Да",IFERROR(INDEX('Вводные'!$B$88:$B$91,$B$8),"Нет")="Да")),MAX(0,SUM($D25:CE25)-CE25),0)</x:f>
      </x:c>
      <x:c r="CF27" s="107" t="n">
        <x:f>IF(AND(YEAR(CF$3)=YEAR($B$10),MONTH(CF$3)=MONTH($B$10),AND($B$7="Да",IFERROR(INDEX('Вводные'!$B$88:$B$91,$B$8),"Нет")="Да")),MAX(0,SUM($D25:CF25)-CF25),0)</x:f>
      </x:c>
      <x:c r="CG27" s="107" t="n">
        <x:f>IF(AND(YEAR(CG$3)=YEAR($B$10),MONTH(CG$3)=MONTH($B$10),AND($B$7="Да",IFERROR(INDEX('Вводные'!$B$88:$B$91,$B$8),"Нет")="Да")),MAX(0,SUM($D25:CG25)-CG25),0)</x:f>
      </x:c>
      <x:c r="CH27" s="107" t="n">
        <x:f>IF(AND(YEAR(CH$3)=YEAR($B$10),MONTH(CH$3)=MONTH($B$10),AND($B$7="Да",IFERROR(INDEX('Вводные'!$B$88:$B$91,$B$8),"Нет")="Да")),MAX(0,SUM($D25:CH25)-CH25),0)</x:f>
      </x:c>
      <x:c r="CI27" s="107" t="n">
        <x:f>IF(AND(YEAR(CI$3)=YEAR($B$10),MONTH(CI$3)=MONTH($B$10),AND($B$7="Да",IFERROR(INDEX('Вводные'!$B$88:$B$91,$B$8),"Нет")="Да")),MAX(0,SUM($D25:CI25)-CI25),0)</x:f>
      </x:c>
      <x:c r="CJ27" s="107" t="n">
        <x:f>IF(AND(YEAR(CJ$3)=YEAR($B$10),MONTH(CJ$3)=MONTH($B$10),AND($B$7="Да",IFERROR(INDEX('Вводные'!$B$88:$B$91,$B$8),"Нет")="Да")),MAX(0,SUM($D25:CJ25)-CJ25),0)</x:f>
      </x:c>
      <x:c r="CK27" s="107" t="n">
        <x:f>IF(AND(YEAR(CK$3)=YEAR($B$10),MONTH(CK$3)=MONTH($B$10),AND($B$7="Да",IFERROR(INDEX('Вводные'!$B$88:$B$91,$B$8),"Нет")="Да")),MAX(0,SUM($D25:CK25)-CK25),0)</x:f>
      </x:c>
      <x:c r="CL27" s="107" t="n">
        <x:f>IF(AND(YEAR(CL$3)=YEAR($B$10),MONTH(CL$3)=MONTH($B$10),AND($B$7="Да",IFERROR(INDEX('Вводные'!$B$88:$B$91,$B$8),"Нет")="Да")),MAX(0,SUM($D25:CL25)-CL25),0)</x:f>
      </x:c>
      <x:c r="CM27" s="107" t="n">
        <x:f>IF(AND(YEAR(CM$3)=YEAR($B$10),MONTH(CM$3)=MONTH($B$10),AND($B$7="Да",IFERROR(INDEX('Вводные'!$B$88:$B$91,$B$8),"Нет")="Да")),MAX(0,SUM($D25:CM25)-CM25),0)</x:f>
      </x:c>
      <x:c r="CN27" s="107" t="n">
        <x:f>IF(AND(YEAR(CN$3)=YEAR($B$10),MONTH(CN$3)=MONTH($B$10),AND($B$7="Да",IFERROR(INDEX('Вводные'!$B$88:$B$91,$B$8),"Нет")="Да")),MAX(0,SUM($D25:CN25)-CN25),0)</x:f>
      </x:c>
      <x:c r="CO27" s="107" t="n">
        <x:f>IF(AND(YEAR(CO$3)=YEAR($B$10),MONTH(CO$3)=MONTH($B$10),AND($B$7="Да",IFERROR(INDEX('Вводные'!$B$88:$B$91,$B$8),"Нет")="Да")),MAX(0,SUM($D25:CO25)-CO25),0)</x:f>
      </x:c>
      <x:c r="CP27" s="107" t="n">
        <x:f>IF(AND(YEAR(CP$3)=YEAR($B$10),MONTH(CP$3)=MONTH($B$10),AND($B$7="Да",IFERROR(INDEX('Вводные'!$B$88:$B$91,$B$8),"Нет")="Да")),MAX(0,SUM($D25:CP25)-CP25),0)</x:f>
      </x:c>
      <x:c r="CQ27" s="107" t="n">
        <x:f>IF(AND(YEAR(CQ$3)=YEAR($B$10),MONTH(CQ$3)=MONTH($B$10),AND($B$7="Да",IFERROR(INDEX('Вводные'!$B$88:$B$91,$B$8),"Нет")="Да")),MAX(0,SUM($D25:CQ25)-CQ25),0)</x:f>
      </x:c>
      <x:c r="CR27" s="107" t="n">
        <x:f>IF(AND(YEAR(CR$3)=YEAR($B$10),MONTH(CR$3)=MONTH($B$10),AND($B$7="Да",IFERROR(INDEX('Вводные'!$B$88:$B$91,$B$8),"Нет")="Да")),MAX(0,SUM($D25:CR25)-CR25),0)</x:f>
      </x:c>
      <x:c r="CS27" s="107" t="n">
        <x:f>IF(AND(YEAR(CS$3)=YEAR($B$10),MONTH(CS$3)=MONTH($B$10),AND($B$7="Да",IFERROR(INDEX('Вводные'!$B$88:$B$91,$B$8),"Нет")="Да")),MAX(0,SUM($D25:CS25)-CS25),0)</x:f>
      </x:c>
      <x:c r="CT27" s="107" t="n">
        <x:f>IF(AND(YEAR(CT$3)=YEAR($B$10),MONTH(CT$3)=MONTH($B$10),AND($B$7="Да",IFERROR(INDEX('Вводные'!$B$88:$B$91,$B$8),"Нет")="Да")),MAX(0,SUM($D25:CT25)-CT25),0)</x:f>
      </x:c>
      <x:c r="CU27" s="107" t="n">
        <x:f>IF(AND(YEAR(CU$3)=YEAR($B$10),MONTH(CU$3)=MONTH($B$10),AND($B$7="Да",IFERROR(INDEX('Вводные'!$B$88:$B$91,$B$8),"Нет")="Да")),MAX(0,SUM($D25:CU25)-CU25),0)</x:f>
      </x:c>
      <x:c r="CV27" s="107" t="n">
        <x:f>IF(AND(YEAR(CV$3)=YEAR($B$10),MONTH(CV$3)=MONTH($B$10),AND($B$7="Да",IFERROR(INDEX('Вводные'!$B$88:$B$91,$B$8),"Нет")="Да")),MAX(0,SUM($D25:CV25)-CV25),0)</x:f>
      </x:c>
      <x:c r="CW27" s="107" t="n">
        <x:f>IF(AND(YEAR(CW$3)=YEAR($B$10),MONTH(CW$3)=MONTH($B$10),AND($B$7="Да",IFERROR(INDEX('Вводные'!$B$88:$B$91,$B$8),"Нет")="Да")),MAX(0,SUM($D25:CW25)-CW25),0)</x:f>
      </x:c>
      <x:c r="CX27" s="107" t="n">
        <x:f>IF(AND(YEAR(CX$3)=YEAR($B$10),MONTH(CX$3)=MONTH($B$10),AND($B$7="Да",IFERROR(INDEX('Вводные'!$B$88:$B$91,$B$8),"Нет")="Да")),MAX(0,SUM($D25:CX25)-CX25),0)</x:f>
      </x:c>
      <x:c r="CY27" s="107" t="n">
        <x:f>IF(AND(YEAR(CY$3)=YEAR($B$10),MONTH(CY$3)=MONTH($B$10),AND($B$7="Да",IFERROR(INDEX('Вводные'!$B$88:$B$91,$B$8),"Нет")="Да")),MAX(0,SUM($D25:CY25)-CY25),0)</x:f>
      </x:c>
      <x:c r="CZ27" s="107" t="n">
        <x:f>IF(AND(YEAR(CZ$3)=YEAR($B$10),MONTH(CZ$3)=MONTH($B$10),AND($B$7="Да",IFERROR(INDEX('Вводные'!$B$88:$B$91,$B$8),"Нет")="Да")),MAX(0,SUM($D25:CZ25)-CZ25),0)</x:f>
      </x:c>
      <x:c r="DA27" s="107" t="n">
        <x:f>IF(AND(YEAR(DA$3)=YEAR($B$10),MONTH(DA$3)=MONTH($B$10),AND($B$7="Да",IFERROR(INDEX('Вводные'!$B$88:$B$91,$B$8),"Нет")="Да")),MAX(0,SUM($D25:DA25)-DA25),0)</x:f>
      </x:c>
      <x:c r="DB27" s="107" t="n">
        <x:f>IF(AND(YEAR(DB$3)=YEAR($B$10),MONTH(DB$3)=MONTH($B$10),AND($B$7="Да",IFERROR(INDEX('Вводные'!$B$88:$B$91,$B$8),"Нет")="Да")),MAX(0,SUM($D25:DB25)-DB25),0)</x:f>
      </x:c>
      <x:c r="DC27" s="107" t="n">
        <x:f>IF(AND(YEAR(DC$3)=YEAR($B$10),MONTH(DC$3)=MONTH($B$10),AND($B$7="Да",IFERROR(INDEX('Вводные'!$B$88:$B$91,$B$8),"Нет")="Да")),MAX(0,SUM($D25:DC25)-DC25),0)</x:f>
      </x:c>
      <x:c r="DD27" s="107" t="n">
        <x:f>IF(AND(YEAR(DD$3)=YEAR($B$10),MONTH(DD$3)=MONTH($B$10),AND($B$7="Да",IFERROR(INDEX('Вводные'!$B$88:$B$91,$B$8),"Нет")="Да")),MAX(0,SUM($D25:DD25)-DD25),0)</x:f>
      </x:c>
      <x:c r="DE27" s="107" t="n">
        <x:f>IF(AND(YEAR(DE$3)=YEAR($B$10),MONTH(DE$3)=MONTH($B$10),AND($B$7="Да",IFERROR(INDEX('Вводные'!$B$88:$B$91,$B$8),"Нет")="Да")),MAX(0,SUM($D25:DE25)-DE25),0)</x:f>
      </x:c>
      <x:c r="DF27" s="107" t="n">
        <x:f>IF(AND(YEAR(DF$3)=YEAR($B$10),MONTH(DF$3)=MONTH($B$10),AND($B$7="Да",IFERROR(INDEX('Вводные'!$B$88:$B$91,$B$8),"Нет")="Да")),MAX(0,SUM($D25:DF25)-DF25),0)</x:f>
      </x:c>
      <x:c r="DG27" s="107" t="n">
        <x:f>IF(AND(YEAR(DG$3)=YEAR($B$10),MONTH(DG$3)=MONTH($B$10),AND($B$7="Да",IFERROR(INDEX('Вводные'!$B$88:$B$91,$B$8),"Нет")="Да")),MAX(0,SUM($D25:DG25)-DG25),0)</x:f>
      </x:c>
      <x:c r="DH27" s="107" t="n">
        <x:f>IF(AND(YEAR(DH$3)=YEAR($B$10),MONTH(DH$3)=MONTH($B$10),AND($B$7="Да",IFERROR(INDEX('Вводные'!$B$88:$B$91,$B$8),"Нет")="Да")),MAX(0,SUM($D25:DH25)-DH25),0)</x:f>
      </x:c>
      <x:c r="DI27" s="107" t="n">
        <x:f>IF(AND(YEAR(DI$3)=YEAR($B$10),MONTH(DI$3)=MONTH($B$10),AND($B$7="Да",IFERROR(INDEX('Вводные'!$B$88:$B$91,$B$8),"Нет")="Да")),MAX(0,SUM($D25:DI25)-DI25),0)</x:f>
      </x:c>
      <x:c r="DJ27" s="107" t="n">
        <x:f>IF(AND(YEAR(DJ$3)=YEAR($B$10),MONTH(DJ$3)=MONTH($B$10),AND($B$7="Да",IFERROR(INDEX('Вводные'!$B$88:$B$91,$B$8),"Нет")="Да")),MAX(0,SUM($D25:DJ25)-DJ25),0)</x:f>
      </x:c>
      <x:c r="DK27" s="107" t="n">
        <x:f>IF(AND(YEAR(DK$3)=YEAR($B$10),MONTH(DK$3)=MONTH($B$10),AND($B$7="Да",IFERROR(INDEX('Вводные'!$B$88:$B$91,$B$8),"Нет")="Да")),MAX(0,SUM($D25:DK25)-DK25),0)</x:f>
      </x:c>
      <x:c r="DL27" s="107" t="n">
        <x:f>IF(AND(YEAR(DL$3)=YEAR($B$10),MONTH(DL$3)=MONTH($B$10),AND($B$7="Да",IFERROR(INDEX('Вводные'!$B$88:$B$91,$B$8),"Нет")="Да")),MAX(0,SUM($D25:DL25)-DL25),0)</x:f>
      </x:c>
      <x:c r="DM27" s="107" t="n">
        <x:f>IF(AND(YEAR(DM$3)=YEAR($B$10),MONTH(DM$3)=MONTH($B$10),AND($B$7="Да",IFERROR(INDEX('Вводные'!$B$88:$B$91,$B$8),"Нет")="Да")),MAX(0,SUM($D25:DM25)-DM25),0)</x:f>
      </x:c>
      <x:c r="DN27" s="107" t="n">
        <x:f>IF(AND(YEAR(DN$3)=YEAR($B$10),MONTH(DN$3)=MONTH($B$10),AND($B$7="Да",IFERROR(INDEX('Вводные'!$B$88:$B$91,$B$8),"Нет")="Да")),MAX(0,SUM($D25:DN25)-DN25),0)</x:f>
      </x:c>
      <x:c r="DO27" s="107" t="n">
        <x:f>IF(AND(YEAR(DO$3)=YEAR($B$10),MONTH(DO$3)=MONTH($B$10),AND($B$7="Да",IFERROR(INDEX('Вводные'!$B$88:$B$91,$B$8),"Нет")="Да")),MAX(0,SUM($D25:DO25)-DO25),0)</x:f>
      </x:c>
      <x:c r="DP27" s="107" t="n">
        <x:f>IF(AND(YEAR(DP$3)=YEAR($B$10),MONTH(DP$3)=MONTH($B$10),AND($B$7="Да",IFERROR(INDEX('Вводные'!$B$88:$B$91,$B$8),"Нет")="Да")),MAX(0,SUM($D25:DP25)-DP25),0)</x:f>
      </x:c>
      <x:c r="DQ27" s="107" t="n">
        <x:f>IF(AND(YEAR(DQ$3)=YEAR($B$10),MONTH(DQ$3)=MONTH($B$10),AND($B$7="Да",IFERROR(INDEX('Вводные'!$B$88:$B$91,$B$8),"Нет")="Да")),MAX(0,SUM($D25:DQ25)-DQ25),0)</x:f>
      </x:c>
      <x:c r="DR27" s="107" t="n">
        <x:f>IF(AND(YEAR(DR$3)=YEAR($B$10),MONTH(DR$3)=MONTH($B$10),AND($B$7="Да",IFERROR(INDEX('Вводные'!$B$88:$B$91,$B$8),"Нет")="Да")),MAX(0,SUM($D25:DR25)-DR25),0)</x:f>
      </x:c>
      <x:c r="DS27" s="107" t="n">
        <x:f>IF(AND(YEAR(DS$3)=YEAR($B$10),MONTH(DS$3)=MONTH($B$10),AND($B$7="Да",IFERROR(INDEX('Вводные'!$B$88:$B$91,$B$8),"Нет")="Да")),MAX(0,SUM($D25:DS25)-DS25),0)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(1+INDEX('Вводные'!$AD$88:$AD$91,$B$36)*'Вводные'!$H$7)^MAX(0,(12*(YEAR(D$3)-YEAR($B$39))+MONTH(D$3)-MONTH($B$39)))*(1+IF(MONTH(D$3)=1,'Вводные'!$B$67,IF(AND(MONTH(D$3)&gt;=5,MONTH(D$3)&lt;=8),'Вводные'!$B$70,0))),0)</x:f>
      </x:c>
      <x:c r="E46" s="35" t="n">
        <x:f>IF(AND(E$3&gt;=$B$39,E$3&lt;EDATE($B$39,MAX(1,'Вводные'!$K$53)),AND($B$35="Да",IFERROR(INDEX('Вводные'!$B$88:$B$91,$B$36),"Нет")="Да")),(1+INDEX('Вводные'!$AD$88:$AD$91,$B$36)*'Вводные'!$H$7)^MAX(0,(12*(YEAR(E$3)-YEAR($B$39))+MONTH(E$3)-MONTH($B$39)))*(1+IF(MONTH(E$3)=1,'Вводные'!$B$67,IF(AND(MONTH(E$3)&gt;=5,MONTH(E$3)&lt;=8),'Вводные'!$B$70,0))),0)</x:f>
      </x:c>
      <x:c r="F46" s="35" t="n">
        <x:f>IF(AND(F$3&gt;=$B$39,F$3&lt;EDATE($B$39,MAX(1,'Вводные'!$K$53)),AND($B$35="Да",IFERROR(INDEX('Вводные'!$B$88:$B$91,$B$36),"Нет")="Да")),(1+INDEX('Вводные'!$AD$88:$AD$91,$B$36)*'Вводные'!$H$7)^MAX(0,(12*(YEAR(F$3)-YEAR($B$39))+MONTH(F$3)-MONTH($B$39)))*(1+IF(MONTH(F$3)=1,'Вводные'!$B$67,IF(AND(MONTH(F$3)&gt;=5,MONTH(F$3)&lt;=8),'Вводные'!$B$70,0))),0)</x:f>
      </x:c>
      <x:c r="G46" s="35" t="n">
        <x:f>IF(AND(G$3&gt;=$B$39,G$3&lt;EDATE($B$39,MAX(1,'Вводные'!$K$53)),AND($B$35="Да",IFERROR(INDEX('Вводные'!$B$88:$B$91,$B$36),"Нет")="Да")),(1+INDEX('Вводные'!$AD$88:$AD$91,$B$36)*'Вводные'!$H$7)^MAX(0,(12*(YEAR(G$3)-YEAR($B$39))+MONTH(G$3)-MONTH($B$39)))*(1+IF(MONTH(G$3)=1,'Вводные'!$B$67,IF(AND(MONTH(G$3)&gt;=5,MONTH(G$3)&lt;=8),'Вводные'!$B$70,0))),0)</x:f>
      </x:c>
      <x:c r="H46" s="35" t="n">
        <x:f>IF(AND(H$3&gt;=$B$39,H$3&lt;EDATE($B$39,MAX(1,'Вводные'!$K$53)),AND($B$35="Да",IFERROR(INDEX('Вводные'!$B$88:$B$91,$B$36),"Нет")="Да")),(1+INDEX('Вводные'!$AD$88:$AD$91,$B$36)*'Вводные'!$H$7)^MAX(0,(12*(YEAR(H$3)-YEAR($B$39))+MONTH(H$3)-MONTH($B$39)))*(1+IF(MONTH(H$3)=1,'Вводные'!$B$67,IF(AND(MONTH(H$3)&gt;=5,MONTH(H$3)&lt;=8),'Вводные'!$B$70,0))),0)</x:f>
      </x:c>
      <x:c r="I46" s="35" t="n">
        <x:f>IF(AND(I$3&gt;=$B$39,I$3&lt;EDATE($B$39,MAX(1,'Вводные'!$K$53)),AND($B$35="Да",IFERROR(INDEX('Вводные'!$B$88:$B$91,$B$36),"Нет")="Да")),(1+INDEX('Вводные'!$AD$88:$AD$91,$B$36)*'Вводные'!$H$7)^MAX(0,(12*(YEAR(I$3)-YEAR($B$39))+MONTH(I$3)-MONTH($B$39)))*(1+IF(MONTH(I$3)=1,'Вводные'!$B$67,IF(AND(MONTH(I$3)&gt;=5,MONTH(I$3)&lt;=8),'Вводные'!$B$70,0))),0)</x:f>
      </x:c>
      <x:c r="J46" s="35" t="n">
        <x:f>IF(AND(J$3&gt;=$B$39,J$3&lt;EDATE($B$39,MAX(1,'Вводные'!$K$53)),AND($B$35="Да",IFERROR(INDEX('Вводные'!$B$88:$B$91,$B$36),"Нет")="Да")),(1+INDEX('Вводные'!$AD$88:$AD$91,$B$36)*'Вводные'!$H$7)^MAX(0,(12*(YEAR(J$3)-YEAR($B$39))+MONTH(J$3)-MONTH($B$39)))*(1+IF(MONTH(J$3)=1,'Вводные'!$B$67,IF(AND(MONTH(J$3)&gt;=5,MONTH(J$3)&lt;=8),'Вводные'!$B$70,0))),0)</x:f>
      </x:c>
      <x:c r="K46" s="35" t="n">
        <x:f>IF(AND(K$3&gt;=$B$39,K$3&lt;EDATE($B$39,MAX(1,'Вводные'!$K$53)),AND($B$35="Да",IFERROR(INDEX('Вводные'!$B$88:$B$91,$B$36),"Нет")="Да")),(1+INDEX('Вводные'!$AD$88:$AD$91,$B$36)*'Вводные'!$H$7)^MAX(0,(12*(YEAR(K$3)-YEAR($B$39))+MONTH(K$3)-MONTH($B$39)))*(1+IF(MONTH(K$3)=1,'Вводные'!$B$67,IF(AND(MONTH(K$3)&gt;=5,MONTH(K$3)&lt;=8),'Вводные'!$B$70,0))),0)</x:f>
      </x:c>
      <x:c r="L46" s="35" t="n">
        <x:f>IF(AND(L$3&gt;=$B$39,L$3&lt;EDATE($B$39,MAX(1,'Вводные'!$K$53)),AND($B$35="Да",IFERROR(INDEX('Вводные'!$B$88:$B$91,$B$36),"Нет")="Да")),(1+INDEX('Вводные'!$AD$88:$AD$91,$B$36)*'Вводные'!$H$7)^MAX(0,(12*(YEAR(L$3)-YEAR($B$39))+MONTH(L$3)-MONTH($B$39)))*(1+IF(MONTH(L$3)=1,'Вводные'!$B$67,IF(AND(MONTH(L$3)&gt;=5,MONTH(L$3)&lt;=8),'Вводные'!$B$70,0))),0)</x:f>
      </x:c>
      <x:c r="M46" s="35" t="n">
        <x:f>IF(AND(M$3&gt;=$B$39,M$3&lt;EDATE($B$39,MAX(1,'Вводные'!$K$53)),AND($B$35="Да",IFERROR(INDEX('Вводные'!$B$88:$B$91,$B$36),"Нет")="Да")),(1+INDEX('Вводные'!$AD$88:$AD$91,$B$36)*'Вводные'!$H$7)^MAX(0,(12*(YEAR(M$3)-YEAR($B$39))+MONTH(M$3)-MONTH($B$39)))*(1+IF(MONTH(M$3)=1,'Вводные'!$B$67,IF(AND(MONTH(M$3)&gt;=5,MONTH(M$3)&lt;=8),'Вводные'!$B$70,0))),0)</x:f>
      </x:c>
      <x:c r="N46" s="35" t="n">
        <x:f>IF(AND(N$3&gt;=$B$39,N$3&lt;EDATE($B$39,MAX(1,'Вводные'!$K$53)),AND($B$35="Да",IFERROR(INDEX('Вводные'!$B$88:$B$91,$B$36),"Нет")="Да")),(1+INDEX('Вводные'!$AD$88:$AD$91,$B$36)*'Вводные'!$H$7)^MAX(0,(12*(YEAR(N$3)-YEAR($B$39))+MONTH(N$3)-MONTH($B$39)))*(1+IF(MONTH(N$3)=1,'Вводные'!$B$67,IF(AND(MONTH(N$3)&gt;=5,MONTH(N$3)&lt;=8),'Вводные'!$B$70,0))),0)</x:f>
      </x:c>
      <x:c r="O46" s="35" t="n">
        <x:f>IF(AND(O$3&gt;=$B$39,O$3&lt;EDATE($B$39,MAX(1,'Вводные'!$K$53)),AND($B$35="Да",IFERROR(INDEX('Вводные'!$B$88:$B$91,$B$36),"Нет")="Да")),(1+INDEX('Вводные'!$AD$88:$AD$91,$B$36)*'Вводные'!$H$7)^MAX(0,(12*(YEAR(O$3)-YEAR($B$39))+MONTH(O$3)-MONTH($B$39)))*(1+IF(MONTH(O$3)=1,'Вводные'!$B$67,IF(AND(MONTH(O$3)&gt;=5,MONTH(O$3)&lt;=8),'Вводные'!$B$70,0))),0)</x:f>
      </x:c>
      <x:c r="P46" s="35" t="n">
        <x:f>IF(AND(P$3&gt;=$B$39,P$3&lt;EDATE($B$39,MAX(1,'Вводные'!$K$53)),AND($B$35="Да",IFERROR(INDEX('Вводные'!$B$88:$B$91,$B$36),"Нет")="Да")),(1+INDEX('Вводные'!$AD$88:$AD$91,$B$36)*'Вводные'!$H$7)^MAX(0,(12*(YEAR(P$3)-YEAR($B$39))+MONTH(P$3)-MONTH($B$39)))*(1+IF(MONTH(P$3)=1,'Вводные'!$B$67,IF(AND(MONTH(P$3)&gt;=5,MONTH(P$3)&lt;=8),'Вводные'!$B$70,0))),0)</x:f>
      </x:c>
      <x:c r="Q46" s="35" t="n">
        <x:f>IF(AND(Q$3&gt;=$B$39,Q$3&lt;EDATE($B$39,MAX(1,'Вводные'!$K$53)),AND($B$35="Да",IFERROR(INDEX('Вводные'!$B$88:$B$91,$B$36),"Нет")="Да")),(1+INDEX('Вводные'!$AD$88:$AD$91,$B$36)*'Вводные'!$H$7)^MAX(0,(12*(YEAR(Q$3)-YEAR($B$39))+MONTH(Q$3)-MONTH($B$39)))*(1+IF(MONTH(Q$3)=1,'Вводные'!$B$67,IF(AND(MONTH(Q$3)&gt;=5,MONTH(Q$3)&lt;=8),'Вводные'!$B$70,0))),0)</x:f>
      </x:c>
      <x:c r="R46" s="35" t="n">
        <x:f>IF(AND(R$3&gt;=$B$39,R$3&lt;EDATE($B$39,MAX(1,'Вводные'!$K$53)),AND($B$35="Да",IFERROR(INDEX('Вводные'!$B$88:$B$91,$B$36),"Нет")="Да")),(1+INDEX('Вводные'!$AD$88:$AD$91,$B$36)*'Вводные'!$H$7)^MAX(0,(12*(YEAR(R$3)-YEAR($B$39))+MONTH(R$3)-MONTH($B$39)))*(1+IF(MONTH(R$3)=1,'Вводные'!$B$67,IF(AND(MONTH(R$3)&gt;=5,MONTH(R$3)&lt;=8),'Вводные'!$B$70,0))),0)</x:f>
      </x:c>
      <x:c r="S46" s="35" t="n">
        <x:f>IF(AND(S$3&gt;=$B$39,S$3&lt;EDATE($B$39,MAX(1,'Вводные'!$K$53)),AND($B$35="Да",IFERROR(INDEX('Вводные'!$B$88:$B$91,$B$36),"Нет")="Да")),(1+INDEX('Вводные'!$AD$88:$AD$91,$B$36)*'Вводные'!$H$7)^MAX(0,(12*(YEAR(S$3)-YEAR($B$39))+MONTH(S$3)-MONTH($B$39)))*(1+IF(MONTH(S$3)=1,'Вводные'!$B$67,IF(AND(MONTH(S$3)&gt;=5,MONTH(S$3)&lt;=8),'Вводные'!$B$70,0))),0)</x:f>
      </x:c>
      <x:c r="T46" s="35" t="n">
        <x:f>IF(AND(T$3&gt;=$B$39,T$3&lt;EDATE($B$39,MAX(1,'Вводные'!$K$53)),AND($B$35="Да",IFERROR(INDEX('Вводные'!$B$88:$B$91,$B$36),"Нет")="Да")),(1+INDEX('Вводные'!$AD$88:$AD$91,$B$36)*'Вводные'!$H$7)^MAX(0,(12*(YEAR(T$3)-YEAR($B$39))+MONTH(T$3)-MONTH($B$39)))*(1+IF(MONTH(T$3)=1,'Вводные'!$B$67,IF(AND(MONTH(T$3)&gt;=5,MONTH(T$3)&lt;=8),'Вводные'!$B$70,0))),0)</x:f>
      </x:c>
      <x:c r="U46" s="35" t="n">
        <x:f>IF(AND(U$3&gt;=$B$39,U$3&lt;EDATE($B$39,MAX(1,'Вводные'!$K$53)),AND($B$35="Да",IFERROR(INDEX('Вводные'!$B$88:$B$91,$B$36),"Нет")="Да")),(1+INDEX('Вводные'!$AD$88:$AD$91,$B$36)*'Вводные'!$H$7)^MAX(0,(12*(YEAR(U$3)-YEAR($B$39))+MONTH(U$3)-MONTH($B$39)))*(1+IF(MONTH(U$3)=1,'Вводные'!$B$67,IF(AND(MONTH(U$3)&gt;=5,MONTH(U$3)&lt;=8),'Вводные'!$B$70,0))),0)</x:f>
      </x:c>
      <x:c r="V46" s="35" t="n">
        <x:f>IF(AND(V$3&gt;=$B$39,V$3&lt;EDATE($B$39,MAX(1,'Вводные'!$K$53)),AND($B$35="Да",IFERROR(INDEX('Вводные'!$B$88:$B$91,$B$36),"Нет")="Да")),(1+INDEX('Вводные'!$AD$88:$AD$91,$B$36)*'Вводные'!$H$7)^MAX(0,(12*(YEAR(V$3)-YEAR($B$39))+MONTH(V$3)-MONTH($B$39)))*(1+IF(MONTH(V$3)=1,'Вводные'!$B$67,IF(AND(MONTH(V$3)&gt;=5,MONTH(V$3)&lt;=8),'Вводные'!$B$70,0))),0)</x:f>
      </x:c>
      <x:c r="W46" s="35" t="n">
        <x:f>IF(AND(W$3&gt;=$B$39,W$3&lt;EDATE($B$39,MAX(1,'Вводные'!$K$53)),AND($B$35="Да",IFERROR(INDEX('Вводные'!$B$88:$B$91,$B$36),"Нет")="Да")),(1+INDEX('Вводные'!$AD$88:$AD$91,$B$36)*'Вводные'!$H$7)^MAX(0,(12*(YEAR(W$3)-YEAR($B$39))+MONTH(W$3)-MONTH($B$39)))*(1+IF(MONTH(W$3)=1,'Вводные'!$B$67,IF(AND(MONTH(W$3)&gt;=5,MONTH(W$3)&lt;=8),'Вводные'!$B$70,0))),0)</x:f>
      </x:c>
      <x:c r="X46" s="35" t="n">
        <x:f>IF(AND(X$3&gt;=$B$39,X$3&lt;EDATE($B$39,MAX(1,'Вводные'!$K$53)),AND($B$35="Да",IFERROR(INDEX('Вводные'!$B$88:$B$91,$B$36),"Нет")="Да")),(1+INDEX('Вводные'!$AD$88:$AD$91,$B$36)*'Вводные'!$H$7)^MAX(0,(12*(YEAR(X$3)-YEAR($B$39))+MONTH(X$3)-MONTH($B$39)))*(1+IF(MONTH(X$3)=1,'Вводные'!$B$67,IF(AND(MONTH(X$3)&gt;=5,MONTH(X$3)&lt;=8),'Вводные'!$B$70,0))),0)</x:f>
      </x:c>
      <x:c r="Y46" s="35" t="n">
        <x:f>IF(AND(Y$3&gt;=$B$39,Y$3&lt;EDATE($B$39,MAX(1,'Вводные'!$K$53)),AND($B$35="Да",IFERROR(INDEX('Вводные'!$B$88:$B$91,$B$36),"Нет")="Да")),(1+INDEX('Вводные'!$AD$88:$AD$91,$B$36)*'Вводные'!$H$7)^MAX(0,(12*(YEAR(Y$3)-YEAR($B$39))+MONTH(Y$3)-MONTH($B$39)))*(1+IF(MONTH(Y$3)=1,'Вводные'!$B$67,IF(AND(MONTH(Y$3)&gt;=5,MONTH(Y$3)&lt;=8),'Вводные'!$B$70,0))),0)</x:f>
      </x:c>
      <x:c r="Z46" s="35" t="n">
        <x:f>IF(AND(Z$3&gt;=$B$39,Z$3&lt;EDATE($B$39,MAX(1,'Вводные'!$K$53)),AND($B$35="Да",IFERROR(INDEX('Вводные'!$B$88:$B$91,$B$36),"Нет")="Да")),(1+INDEX('Вводные'!$AD$88:$AD$91,$B$36)*'Вводные'!$H$7)^MAX(0,(12*(YEAR(Z$3)-YEAR($B$39))+MONTH(Z$3)-MONTH($B$39)))*(1+IF(MONTH(Z$3)=1,'Вводные'!$B$67,IF(AND(MONTH(Z$3)&gt;=5,MONTH(Z$3)&lt;=8),'Вводные'!$B$70,0))),0)</x:f>
      </x:c>
      <x:c r="AA46" s="35" t="n">
        <x:f>IF(AND(AA$3&gt;=$B$39,AA$3&lt;EDATE($B$39,MAX(1,'Вводные'!$K$53)),AND($B$35="Да",IFERROR(INDEX('Вводные'!$B$88:$B$91,$B$36),"Нет")="Да")),(1+INDEX('Вводные'!$AD$88:$AD$91,$B$36)*'Вводные'!$H$7)^MAX(0,(12*(YEAR(AA$3)-YEAR($B$39))+MONTH(AA$3)-MONTH($B$39)))*(1+IF(MONTH(AA$3)=1,'Вводные'!$B$67,IF(AND(MONTH(AA$3)&gt;=5,MONTH(AA$3)&lt;=8),'Вводные'!$B$70,0))),0)</x:f>
      </x:c>
      <x:c r="AB46" s="35" t="n">
        <x:f>IF(AND(AB$3&gt;=$B$39,AB$3&lt;EDATE($B$39,MAX(1,'Вводные'!$K$53)),AND($B$35="Да",IFERROR(INDEX('Вводные'!$B$88:$B$91,$B$36),"Нет")="Да")),(1+INDEX('Вводные'!$AD$88:$AD$91,$B$36)*'Вводные'!$H$7)^MAX(0,(12*(YEAR(AB$3)-YEAR($B$39))+MONTH(AB$3)-MONTH($B$39)))*(1+IF(MONTH(AB$3)=1,'Вводные'!$B$67,IF(AND(MONTH(AB$3)&gt;=5,MONTH(AB$3)&lt;=8),'Вводные'!$B$70,0))),0)</x:f>
      </x:c>
      <x:c r="AC46" s="35" t="n">
        <x:f>IF(AND(AC$3&gt;=$B$39,AC$3&lt;EDATE($B$39,MAX(1,'Вводные'!$K$53)),AND($B$35="Да",IFERROR(INDEX('Вводные'!$B$88:$B$91,$B$36),"Нет")="Да")),(1+INDEX('Вводные'!$AD$88:$AD$91,$B$36)*'Вводные'!$H$7)^MAX(0,(12*(YEAR(AC$3)-YEAR($B$39))+MONTH(AC$3)-MONTH($B$39)))*(1+IF(MONTH(AC$3)=1,'Вводные'!$B$67,IF(AND(MONTH(AC$3)&gt;=5,MONTH(AC$3)&lt;=8),'Вводные'!$B$70,0))),0)</x:f>
      </x:c>
      <x:c r="AD46" s="35" t="n">
        <x:f>IF(AND(AD$3&gt;=$B$39,AD$3&lt;EDATE($B$39,MAX(1,'Вводные'!$K$53)),AND($B$35="Да",IFERROR(INDEX('Вводные'!$B$88:$B$91,$B$36),"Нет")="Да")),(1+INDEX('Вводные'!$AD$88:$AD$91,$B$36)*'Вводные'!$H$7)^MAX(0,(12*(YEAR(AD$3)-YEAR($B$39))+MONTH(AD$3)-MONTH($B$39)))*(1+IF(MONTH(AD$3)=1,'Вводные'!$B$67,IF(AND(MONTH(AD$3)&gt;=5,MONTH(AD$3)&lt;=8),'Вводные'!$B$70,0))),0)</x:f>
      </x:c>
      <x:c r="AE46" s="35" t="n">
        <x:f>IF(AND(AE$3&gt;=$B$39,AE$3&lt;EDATE($B$39,MAX(1,'Вводные'!$K$53)),AND($B$35="Да",IFERROR(INDEX('Вводные'!$B$88:$B$91,$B$36),"Нет")="Да")),(1+INDEX('Вводные'!$AD$88:$AD$91,$B$36)*'Вводные'!$H$7)^MAX(0,(12*(YEAR(AE$3)-YEAR($B$39))+MONTH(AE$3)-MONTH($B$39)))*(1+IF(MONTH(AE$3)=1,'Вводные'!$B$67,IF(AND(MONTH(AE$3)&gt;=5,MONTH(AE$3)&lt;=8),'Вводные'!$B$70,0))),0)</x:f>
      </x:c>
      <x:c r="AF46" s="35" t="n">
        <x:f>IF(AND(AF$3&gt;=$B$39,AF$3&lt;EDATE($B$39,MAX(1,'Вводные'!$K$53)),AND($B$35="Да",IFERROR(INDEX('Вводные'!$B$88:$B$91,$B$36),"Нет")="Да")),(1+INDEX('Вводные'!$AD$88:$AD$91,$B$36)*'Вводные'!$H$7)^MAX(0,(12*(YEAR(AF$3)-YEAR($B$39))+MONTH(AF$3)-MONTH($B$39)))*(1+IF(MONTH(AF$3)=1,'Вводные'!$B$67,IF(AND(MONTH(AF$3)&gt;=5,MONTH(AF$3)&lt;=8),'Вводные'!$B$70,0))),0)</x:f>
      </x:c>
      <x:c r="AG46" s="35" t="n">
        <x:f>IF(AND(AG$3&gt;=$B$39,AG$3&lt;EDATE($B$39,MAX(1,'Вводные'!$K$53)),AND($B$35="Да",IFERROR(INDEX('Вводные'!$B$88:$B$91,$B$36),"Нет")="Да")),(1+INDEX('Вводные'!$AD$88:$AD$91,$B$36)*'Вводные'!$H$7)^MAX(0,(12*(YEAR(AG$3)-YEAR($B$39))+MONTH(AG$3)-MONTH($B$39)))*(1+IF(MONTH(AG$3)=1,'Вводные'!$B$67,IF(AND(MONTH(AG$3)&gt;=5,MONTH(AG$3)&lt;=8),'Вводные'!$B$70,0))),0)</x:f>
      </x:c>
      <x:c r="AH46" s="35" t="n">
        <x:f>IF(AND(AH$3&gt;=$B$39,AH$3&lt;EDATE($B$39,MAX(1,'Вводные'!$K$53)),AND($B$35="Да",IFERROR(INDEX('Вводные'!$B$88:$B$91,$B$36),"Нет")="Да")),(1+INDEX('Вводные'!$AD$88:$AD$91,$B$36)*'Вводные'!$H$7)^MAX(0,(12*(YEAR(AH$3)-YEAR($B$39))+MONTH(AH$3)-MONTH($B$39)))*(1+IF(MONTH(AH$3)=1,'Вводные'!$B$67,IF(AND(MONTH(AH$3)&gt;=5,MONTH(AH$3)&lt;=8),'Вводные'!$B$70,0))),0)</x:f>
      </x:c>
      <x:c r="AI46" s="35" t="n">
        <x:f>IF(AND(AI$3&gt;=$B$39,AI$3&lt;EDATE($B$39,MAX(1,'Вводные'!$K$53)),AND($B$35="Да",IFERROR(INDEX('Вводные'!$B$88:$B$91,$B$36),"Нет")="Да")),(1+INDEX('Вводные'!$AD$88:$AD$91,$B$36)*'Вводные'!$H$7)^MAX(0,(12*(YEAR(AI$3)-YEAR($B$39))+MONTH(AI$3)-MONTH($B$39)))*(1+IF(MONTH(AI$3)=1,'Вводные'!$B$67,IF(AND(MONTH(AI$3)&gt;=5,MONTH(AI$3)&lt;=8),'Вводные'!$B$70,0))),0)</x:f>
      </x:c>
      <x:c r="AJ46" s="35" t="n">
        <x:f>IF(AND(AJ$3&gt;=$B$39,AJ$3&lt;EDATE($B$39,MAX(1,'Вводные'!$K$53)),AND($B$35="Да",IFERROR(INDEX('Вводные'!$B$88:$B$91,$B$36),"Нет")="Да")),(1+INDEX('Вводные'!$AD$88:$AD$91,$B$36)*'Вводные'!$H$7)^MAX(0,(12*(YEAR(AJ$3)-YEAR($B$39))+MONTH(AJ$3)-MONTH($B$39)))*(1+IF(MONTH(AJ$3)=1,'Вводные'!$B$67,IF(AND(MONTH(AJ$3)&gt;=5,MONTH(AJ$3)&lt;=8),'Вводные'!$B$70,0))),0)</x:f>
      </x:c>
      <x:c r="AK46" s="35" t="n">
        <x:f>IF(AND(AK$3&gt;=$B$39,AK$3&lt;EDATE($B$39,MAX(1,'Вводные'!$K$53)),AND($B$35="Да",IFERROR(INDEX('Вводные'!$B$88:$B$91,$B$36),"Нет")="Да")),(1+INDEX('Вводные'!$AD$88:$AD$91,$B$36)*'Вводные'!$H$7)^MAX(0,(12*(YEAR(AK$3)-YEAR($B$39))+MONTH(AK$3)-MONTH($B$39)))*(1+IF(MONTH(AK$3)=1,'Вводные'!$B$67,IF(AND(MONTH(AK$3)&gt;=5,MONTH(AK$3)&lt;=8),'Вводные'!$B$70,0))),0)</x:f>
      </x:c>
      <x:c r="AL46" s="35" t="n">
        <x:f>IF(AND(AL$3&gt;=$B$39,AL$3&lt;EDATE($B$39,MAX(1,'Вводные'!$K$53)),AND($B$35="Да",IFERROR(INDEX('Вводные'!$B$88:$B$91,$B$36),"Нет")="Да")),(1+INDEX('Вводные'!$AD$88:$AD$91,$B$36)*'Вводные'!$H$7)^MAX(0,(12*(YEAR(AL$3)-YEAR($B$39))+MONTH(AL$3)-MONTH($B$39)))*(1+IF(MONTH(AL$3)=1,'Вводные'!$B$67,IF(AND(MONTH(AL$3)&gt;=5,MONTH(AL$3)&lt;=8),'Вводные'!$B$70,0))),0)</x:f>
      </x:c>
      <x:c r="AM46" s="35" t="n">
        <x:f>IF(AND(AM$3&gt;=$B$39,AM$3&lt;EDATE($B$39,MAX(1,'Вводные'!$K$53)),AND($B$35="Да",IFERROR(INDEX('Вводные'!$B$88:$B$91,$B$36),"Нет")="Да")),(1+INDEX('Вводные'!$AD$88:$AD$91,$B$36)*'Вводные'!$H$7)^MAX(0,(12*(YEAR(AM$3)-YEAR($B$39))+MONTH(AM$3)-MONTH($B$39)))*(1+IF(MONTH(AM$3)=1,'Вводные'!$B$67,IF(AND(MONTH(AM$3)&gt;=5,MONTH(AM$3)&lt;=8),'Вводные'!$B$70,0))),0)</x:f>
      </x:c>
      <x:c r="AN46" s="35" t="n">
        <x:f>IF(AND(AN$3&gt;=$B$39,AN$3&lt;EDATE($B$39,MAX(1,'Вводные'!$K$53)),AND($B$35="Да",IFERROR(INDEX('Вводные'!$B$88:$B$91,$B$36),"Нет")="Да")),(1+INDEX('Вводные'!$AD$88:$AD$91,$B$36)*'Вводные'!$H$7)^MAX(0,(12*(YEAR(AN$3)-YEAR($B$39))+MONTH(AN$3)-MONTH($B$39)))*(1+IF(MONTH(AN$3)=1,'Вводные'!$B$67,IF(AND(MONTH(AN$3)&gt;=5,MONTH(AN$3)&lt;=8),'Вводные'!$B$70,0))),0)</x:f>
      </x:c>
      <x:c r="AO46" s="35" t="n">
        <x:f>IF(AND(AO$3&gt;=$B$39,AO$3&lt;EDATE($B$39,MAX(1,'Вводные'!$K$53)),AND($B$35="Да",IFERROR(INDEX('Вводные'!$B$88:$B$91,$B$36),"Нет")="Да")),(1+INDEX('Вводные'!$AD$88:$AD$91,$B$36)*'Вводные'!$H$7)^MAX(0,(12*(YEAR(AO$3)-YEAR($B$39))+MONTH(AO$3)-MONTH($B$39)))*(1+IF(MONTH(AO$3)=1,'Вводные'!$B$67,IF(AND(MONTH(AO$3)&gt;=5,MONTH(AO$3)&lt;=8),'Вводные'!$B$70,0))),0)</x:f>
      </x:c>
      <x:c r="AP46" s="35" t="n">
        <x:f>IF(AND(AP$3&gt;=$B$39,AP$3&lt;EDATE($B$39,MAX(1,'Вводные'!$K$53)),AND($B$35="Да",IFERROR(INDEX('Вводные'!$B$88:$B$91,$B$36),"Нет")="Да")),(1+INDEX('Вводные'!$AD$88:$AD$91,$B$36)*'Вводные'!$H$7)^MAX(0,(12*(YEAR(AP$3)-YEAR($B$39))+MONTH(AP$3)-MONTH($B$39)))*(1+IF(MONTH(AP$3)=1,'Вводные'!$B$67,IF(AND(MONTH(AP$3)&gt;=5,MONTH(AP$3)&lt;=8),'Вводные'!$B$70,0))),0)</x:f>
      </x:c>
      <x:c r="AQ46" s="35" t="n">
        <x:f>IF(AND(AQ$3&gt;=$B$39,AQ$3&lt;EDATE($B$39,MAX(1,'Вводные'!$K$53)),AND($B$35="Да",IFERROR(INDEX('Вводные'!$B$88:$B$91,$B$36),"Нет")="Да")),(1+INDEX('Вводные'!$AD$88:$AD$91,$B$36)*'Вводные'!$H$7)^MAX(0,(12*(YEAR(AQ$3)-YEAR($B$39))+MONTH(AQ$3)-MONTH($B$39)))*(1+IF(MONTH(AQ$3)=1,'Вводные'!$B$67,IF(AND(MONTH(AQ$3)&gt;=5,MONTH(AQ$3)&lt;=8),'Вводные'!$B$70,0))),0)</x:f>
      </x:c>
      <x:c r="AR46" s="35" t="n">
        <x:f>IF(AND(AR$3&gt;=$B$39,AR$3&lt;EDATE($B$39,MAX(1,'Вводные'!$K$53)),AND($B$35="Да",IFERROR(INDEX('Вводные'!$B$88:$B$91,$B$36),"Нет")="Да")),(1+INDEX('Вводные'!$AD$88:$AD$91,$B$36)*'Вводные'!$H$7)^MAX(0,(12*(YEAR(AR$3)-YEAR($B$39))+MONTH(AR$3)-MONTH($B$39)))*(1+IF(MONTH(AR$3)=1,'Вводные'!$B$67,IF(AND(MONTH(AR$3)&gt;=5,MONTH(AR$3)&lt;=8),'Вводные'!$B$70,0))),0)</x:f>
      </x:c>
      <x:c r="AS46" s="35" t="n">
        <x:f>IF(AND(AS$3&gt;=$B$39,AS$3&lt;EDATE($B$39,MAX(1,'Вводные'!$K$53)),AND($B$35="Да",IFERROR(INDEX('Вводные'!$B$88:$B$91,$B$36),"Нет")="Да")),(1+INDEX('Вводные'!$AD$88:$AD$91,$B$36)*'Вводные'!$H$7)^MAX(0,(12*(YEAR(AS$3)-YEAR($B$39))+MONTH(AS$3)-MONTH($B$39)))*(1+IF(MONTH(AS$3)=1,'Вводные'!$B$67,IF(AND(MONTH(AS$3)&gt;=5,MONTH(AS$3)&lt;=8),'Вводные'!$B$70,0))),0)</x:f>
      </x:c>
      <x:c r="AT46" s="35" t="n">
        <x:f>IF(AND(AT$3&gt;=$B$39,AT$3&lt;EDATE($B$39,MAX(1,'Вводные'!$K$53)),AND($B$35="Да",IFERROR(INDEX('Вводные'!$B$88:$B$91,$B$36),"Нет")="Да")),(1+INDEX('Вводные'!$AD$88:$AD$91,$B$36)*'Вводные'!$H$7)^MAX(0,(12*(YEAR(AT$3)-YEAR($B$39))+MONTH(AT$3)-MONTH($B$39)))*(1+IF(MONTH(AT$3)=1,'Вводные'!$B$67,IF(AND(MONTH(AT$3)&gt;=5,MONTH(AT$3)&lt;=8),'Вводные'!$B$70,0))),0)</x:f>
      </x:c>
      <x:c r="AU46" s="35" t="n">
        <x:f>IF(AND(AU$3&gt;=$B$39,AU$3&lt;EDATE($B$39,MAX(1,'Вводные'!$K$53)),AND($B$35="Да",IFERROR(INDEX('Вводные'!$B$88:$B$91,$B$36),"Нет")="Да")),(1+INDEX('Вводные'!$AD$88:$AD$91,$B$36)*'Вводные'!$H$7)^MAX(0,(12*(YEAR(AU$3)-YEAR($B$39))+MONTH(AU$3)-MONTH($B$39)))*(1+IF(MONTH(AU$3)=1,'Вводные'!$B$67,IF(AND(MONTH(AU$3)&gt;=5,MONTH(AU$3)&lt;=8),'Вводные'!$B$70,0))),0)</x:f>
      </x:c>
      <x:c r="AV46" s="35" t="n">
        <x:f>IF(AND(AV$3&gt;=$B$39,AV$3&lt;EDATE($B$39,MAX(1,'Вводные'!$K$53)),AND($B$35="Да",IFERROR(INDEX('Вводные'!$B$88:$B$91,$B$36),"Нет")="Да")),(1+INDEX('Вводные'!$AD$88:$AD$91,$B$36)*'Вводные'!$H$7)^MAX(0,(12*(YEAR(AV$3)-YEAR($B$39))+MONTH(AV$3)-MONTH($B$39)))*(1+IF(MONTH(AV$3)=1,'Вводные'!$B$67,IF(AND(MONTH(AV$3)&gt;=5,MONTH(AV$3)&lt;=8),'Вводные'!$B$70,0))),0)</x:f>
      </x:c>
      <x:c r="AW46" s="35" t="n">
        <x:f>IF(AND(AW$3&gt;=$B$39,AW$3&lt;EDATE($B$39,MAX(1,'Вводные'!$K$53)),AND($B$35="Да",IFERROR(INDEX('Вводные'!$B$88:$B$91,$B$36),"Нет")="Да")),(1+INDEX('Вводные'!$AD$88:$AD$91,$B$36)*'Вводные'!$H$7)^MAX(0,(12*(YEAR(AW$3)-YEAR($B$39))+MONTH(AW$3)-MONTH($B$39)))*(1+IF(MONTH(AW$3)=1,'Вводные'!$B$67,IF(AND(MONTH(AW$3)&gt;=5,MONTH(AW$3)&lt;=8),'Вводные'!$B$70,0))),0)</x:f>
      </x:c>
      <x:c r="AX46" s="35" t="n">
        <x:f>IF(AND(AX$3&gt;=$B$39,AX$3&lt;EDATE($B$39,MAX(1,'Вводные'!$K$53)),AND($B$35="Да",IFERROR(INDEX('Вводные'!$B$88:$B$91,$B$36),"Нет")="Да")),(1+INDEX('Вводные'!$AD$88:$AD$91,$B$36)*'Вводные'!$H$7)^MAX(0,(12*(YEAR(AX$3)-YEAR($B$39))+MONTH(AX$3)-MONTH($B$39)))*(1+IF(MONTH(AX$3)=1,'Вводные'!$B$67,IF(AND(MONTH(AX$3)&gt;=5,MONTH(AX$3)&lt;=8),'Вводные'!$B$70,0))),0)</x:f>
      </x:c>
      <x:c r="AY46" s="35" t="n">
        <x:f>IF(AND(AY$3&gt;=$B$39,AY$3&lt;EDATE($B$39,MAX(1,'Вводные'!$K$53)),AND($B$35="Да",IFERROR(INDEX('Вводные'!$B$88:$B$91,$B$36),"Нет")="Да")),(1+INDEX('Вводные'!$AD$88:$AD$91,$B$36)*'Вводные'!$H$7)^MAX(0,(12*(YEAR(AY$3)-YEAR($B$39))+MONTH(AY$3)-MONTH($B$39)))*(1+IF(MONTH(AY$3)=1,'Вводные'!$B$67,IF(AND(MONTH(AY$3)&gt;=5,MONTH(AY$3)&lt;=8),'Вводные'!$B$70,0))),0)</x:f>
      </x:c>
      <x:c r="AZ46" s="35" t="n">
        <x:f>IF(AND(AZ$3&gt;=$B$39,AZ$3&lt;EDATE($B$39,MAX(1,'Вводные'!$K$53)),AND($B$35="Да",IFERROR(INDEX('Вводные'!$B$88:$B$91,$B$36),"Нет")="Да")),(1+INDEX('Вводные'!$AD$88:$AD$91,$B$36)*'Вводные'!$H$7)^MAX(0,(12*(YEAR(AZ$3)-YEAR($B$39))+MONTH(AZ$3)-MONTH($B$39)))*(1+IF(MONTH(AZ$3)=1,'Вводные'!$B$67,IF(AND(MONTH(AZ$3)&gt;=5,MONTH(AZ$3)&lt;=8),'Вводные'!$B$70,0))),0)</x:f>
      </x:c>
      <x:c r="BA46" s="35" t="n">
        <x:f>IF(AND(BA$3&gt;=$B$39,BA$3&lt;EDATE($B$39,MAX(1,'Вводные'!$K$53)),AND($B$35="Да",IFERROR(INDEX('Вводные'!$B$88:$B$91,$B$36),"Нет")="Да")),(1+INDEX('Вводные'!$AD$88:$AD$91,$B$36)*'Вводные'!$H$7)^MAX(0,(12*(YEAR(BA$3)-YEAR($B$39))+MONTH(BA$3)-MONTH($B$39)))*(1+IF(MONTH(BA$3)=1,'Вводные'!$B$67,IF(AND(MONTH(BA$3)&gt;=5,MONTH(BA$3)&lt;=8),'Вводные'!$B$70,0))),0)</x:f>
      </x:c>
      <x:c r="BB46" s="35" t="n">
        <x:f>IF(AND(BB$3&gt;=$B$39,BB$3&lt;EDATE($B$39,MAX(1,'Вводные'!$K$53)),AND($B$35="Да",IFERROR(INDEX('Вводные'!$B$88:$B$91,$B$36),"Нет")="Да")),(1+INDEX('Вводные'!$AD$88:$AD$91,$B$36)*'Вводные'!$H$7)^MAX(0,(12*(YEAR(BB$3)-YEAR($B$39))+MONTH(BB$3)-MONTH($B$39)))*(1+IF(MONTH(BB$3)=1,'Вводные'!$B$67,IF(AND(MONTH(BB$3)&gt;=5,MONTH(BB$3)&lt;=8),'Вводные'!$B$70,0))),0)</x:f>
      </x:c>
      <x:c r="BC46" s="35" t="n">
        <x:f>IF(AND(BC$3&gt;=$B$39,BC$3&lt;EDATE($B$39,MAX(1,'Вводные'!$K$53)),AND($B$35="Да",IFERROR(INDEX('Вводные'!$B$88:$B$91,$B$36),"Нет")="Да")),(1+INDEX('Вводные'!$AD$88:$AD$91,$B$36)*'Вводные'!$H$7)^MAX(0,(12*(YEAR(BC$3)-YEAR($B$39))+MONTH(BC$3)-MONTH($B$39)))*(1+IF(MONTH(BC$3)=1,'Вводные'!$B$67,IF(AND(MONTH(BC$3)&gt;=5,MONTH(BC$3)&lt;=8),'Вводные'!$B$70,0))),0)</x:f>
      </x:c>
      <x:c r="BD46" s="35" t="n">
        <x:f>IF(AND(BD$3&gt;=$B$39,BD$3&lt;EDATE($B$39,MAX(1,'Вводные'!$K$53)),AND($B$35="Да",IFERROR(INDEX('Вводные'!$B$88:$B$91,$B$36),"Нет")="Да")),(1+INDEX('Вводные'!$AD$88:$AD$91,$B$36)*'Вводные'!$H$7)^MAX(0,(12*(YEAR(BD$3)-YEAR($B$39))+MONTH(BD$3)-MONTH($B$39)))*(1+IF(MONTH(BD$3)=1,'Вводные'!$B$67,IF(AND(MONTH(BD$3)&gt;=5,MONTH(BD$3)&lt;=8),'Вводные'!$B$70,0))),0)</x:f>
      </x:c>
      <x:c r="BE46" s="35" t="n">
        <x:f>IF(AND(BE$3&gt;=$B$39,BE$3&lt;EDATE($B$39,MAX(1,'Вводные'!$K$53)),AND($B$35="Да",IFERROR(INDEX('Вводные'!$B$88:$B$91,$B$36),"Нет")="Да")),(1+INDEX('Вводные'!$AD$88:$AD$91,$B$36)*'Вводные'!$H$7)^MAX(0,(12*(YEAR(BE$3)-YEAR($B$39))+MONTH(BE$3)-MONTH($B$39)))*(1+IF(MONTH(BE$3)=1,'Вводные'!$B$67,IF(AND(MONTH(BE$3)&gt;=5,MONTH(BE$3)&lt;=8),'Вводные'!$B$70,0))),0)</x:f>
      </x:c>
      <x:c r="BF46" s="35" t="n">
        <x:f>IF(AND(BF$3&gt;=$B$39,BF$3&lt;EDATE($B$39,MAX(1,'Вводные'!$K$53)),AND($B$35="Да",IFERROR(INDEX('Вводные'!$B$88:$B$91,$B$36),"Нет")="Да")),(1+INDEX('Вводные'!$AD$88:$AD$91,$B$36)*'Вводные'!$H$7)^MAX(0,(12*(YEAR(BF$3)-YEAR($B$39))+MONTH(BF$3)-MONTH($B$39)))*(1+IF(MONTH(BF$3)=1,'Вводные'!$B$67,IF(AND(MONTH(BF$3)&gt;=5,MONTH(BF$3)&lt;=8),'Вводные'!$B$70,0))),0)</x:f>
      </x:c>
      <x:c r="BG46" s="35" t="n">
        <x:f>IF(AND(BG$3&gt;=$B$39,BG$3&lt;EDATE($B$39,MAX(1,'Вводные'!$K$53)),AND($B$35="Да",IFERROR(INDEX('Вводные'!$B$88:$B$91,$B$36),"Нет")="Да")),(1+INDEX('Вводные'!$AD$88:$AD$91,$B$36)*'Вводные'!$H$7)^MAX(0,(12*(YEAR(BG$3)-YEAR($B$39))+MONTH(BG$3)-MONTH($B$39)))*(1+IF(MONTH(BG$3)=1,'Вводные'!$B$67,IF(AND(MONTH(BG$3)&gt;=5,MONTH(BG$3)&lt;=8),'Вводные'!$B$70,0))),0)</x:f>
      </x:c>
      <x:c r="BH46" s="35" t="n">
        <x:f>IF(AND(BH$3&gt;=$B$39,BH$3&lt;EDATE($B$39,MAX(1,'Вводные'!$K$53)),AND($B$35="Да",IFERROR(INDEX('Вводные'!$B$88:$B$91,$B$36),"Нет")="Да")),(1+INDEX('Вводные'!$AD$88:$AD$91,$B$36)*'Вводные'!$H$7)^MAX(0,(12*(YEAR(BH$3)-YEAR($B$39))+MONTH(BH$3)-MONTH($B$39)))*(1+IF(MONTH(BH$3)=1,'Вводные'!$B$67,IF(AND(MONTH(BH$3)&gt;=5,MONTH(BH$3)&lt;=8),'Вводные'!$B$70,0))),0)</x:f>
      </x:c>
      <x:c r="BI46" s="35" t="n">
        <x:f>IF(AND(BI$3&gt;=$B$39,BI$3&lt;EDATE($B$39,MAX(1,'Вводные'!$K$53)),AND($B$35="Да",IFERROR(INDEX('Вводные'!$B$88:$B$91,$B$36),"Нет")="Да")),(1+INDEX('Вводные'!$AD$88:$AD$91,$B$36)*'Вводные'!$H$7)^MAX(0,(12*(YEAR(BI$3)-YEAR($B$39))+MONTH(BI$3)-MONTH($B$39)))*(1+IF(MONTH(BI$3)=1,'Вводные'!$B$67,IF(AND(MONTH(BI$3)&gt;=5,MONTH(BI$3)&lt;=8),'Вводные'!$B$70,0))),0)</x:f>
      </x:c>
      <x:c r="BJ46" s="35" t="n">
        <x:f>IF(AND(BJ$3&gt;=$B$39,BJ$3&lt;EDATE($B$39,MAX(1,'Вводные'!$K$53)),AND($B$35="Да",IFERROR(INDEX('Вводные'!$B$88:$B$91,$B$36),"Нет")="Да")),(1+INDEX('Вводные'!$AD$88:$AD$91,$B$36)*'Вводные'!$H$7)^MAX(0,(12*(YEAR(BJ$3)-YEAR($B$39))+MONTH(BJ$3)-MONTH($B$39)))*(1+IF(MONTH(BJ$3)=1,'Вводные'!$B$67,IF(AND(MONTH(BJ$3)&gt;=5,MONTH(BJ$3)&lt;=8),'Вводные'!$B$70,0))),0)</x:f>
      </x:c>
      <x:c r="BK46" s="35" t="n">
        <x:f>IF(AND(BK$3&gt;=$B$39,BK$3&lt;EDATE($B$39,MAX(1,'Вводные'!$K$53)),AND($B$35="Да",IFERROR(INDEX('Вводные'!$B$88:$B$91,$B$36),"Нет")="Да")),(1+INDEX('Вводные'!$AD$88:$AD$91,$B$36)*'Вводные'!$H$7)^MAX(0,(12*(YEAR(BK$3)-YEAR($B$39))+MONTH(BK$3)-MONTH($B$39)))*(1+IF(MONTH(BK$3)=1,'Вводные'!$B$67,IF(AND(MONTH(BK$3)&gt;=5,MONTH(BK$3)&lt;=8),'Вводные'!$B$70,0))),0)</x:f>
      </x:c>
      <x:c r="BL46" s="35" t="n">
        <x:f>IF(AND(BL$3&gt;=$B$39,BL$3&lt;EDATE($B$39,MAX(1,'Вводные'!$K$53)),AND($B$35="Да",IFERROR(INDEX('Вводные'!$B$88:$B$91,$B$36),"Нет")="Да")),(1+INDEX('Вводные'!$AD$88:$AD$91,$B$36)*'Вводные'!$H$7)^MAX(0,(12*(YEAR(BL$3)-YEAR($B$39))+MONTH(BL$3)-MONTH($B$39)))*(1+IF(MONTH(BL$3)=1,'Вводные'!$B$67,IF(AND(MONTH(BL$3)&gt;=5,MONTH(BL$3)&lt;=8),'Вводные'!$B$70,0))),0)</x:f>
      </x:c>
      <x:c r="BM46" s="35" t="n">
        <x:f>IF(AND(BM$3&gt;=$B$39,BM$3&lt;EDATE($B$39,MAX(1,'Вводные'!$K$53)),AND($B$35="Да",IFERROR(INDEX('Вводные'!$B$88:$B$91,$B$36),"Нет")="Да")),(1+INDEX('Вводные'!$AD$88:$AD$91,$B$36)*'Вводные'!$H$7)^MAX(0,(12*(YEAR(BM$3)-YEAR($B$39))+MONTH(BM$3)-MONTH($B$39)))*(1+IF(MONTH(BM$3)=1,'Вводные'!$B$67,IF(AND(MONTH(BM$3)&gt;=5,MONTH(BM$3)&lt;=8),'Вводные'!$B$70,0))),0)</x:f>
      </x:c>
      <x:c r="BN46" s="35" t="n">
        <x:f>IF(AND(BN$3&gt;=$B$39,BN$3&lt;EDATE($B$39,MAX(1,'Вводные'!$K$53)),AND($B$35="Да",IFERROR(INDEX('Вводные'!$B$88:$B$91,$B$36),"Нет")="Да")),(1+INDEX('Вводные'!$AD$88:$AD$91,$B$36)*'Вводные'!$H$7)^MAX(0,(12*(YEAR(BN$3)-YEAR($B$39))+MONTH(BN$3)-MONTH($B$39)))*(1+IF(MONTH(BN$3)=1,'Вводные'!$B$67,IF(AND(MONTH(BN$3)&gt;=5,MONTH(BN$3)&lt;=8),'Вводные'!$B$70,0))),0)</x:f>
      </x:c>
      <x:c r="BO46" s="35" t="n">
        <x:f>IF(AND(BO$3&gt;=$B$39,BO$3&lt;EDATE($B$39,MAX(1,'Вводные'!$K$53)),AND($B$35="Да",IFERROR(INDEX('Вводные'!$B$88:$B$91,$B$36),"Нет")="Да")),(1+INDEX('Вводные'!$AD$88:$AD$91,$B$36)*'Вводные'!$H$7)^MAX(0,(12*(YEAR(BO$3)-YEAR($B$39))+MONTH(BO$3)-MONTH($B$39)))*(1+IF(MONTH(BO$3)=1,'Вводные'!$B$67,IF(AND(MONTH(BO$3)&gt;=5,MONTH(BO$3)&lt;=8),'Вводные'!$B$70,0))),0)</x:f>
      </x:c>
      <x:c r="BP46" s="35" t="n">
        <x:f>IF(AND(BP$3&gt;=$B$39,BP$3&lt;EDATE($B$39,MAX(1,'Вводные'!$K$53)),AND($B$35="Да",IFERROR(INDEX('Вводные'!$B$88:$B$91,$B$36),"Нет")="Да")),(1+INDEX('Вводные'!$AD$88:$AD$91,$B$36)*'Вводные'!$H$7)^MAX(0,(12*(YEAR(BP$3)-YEAR($B$39))+MONTH(BP$3)-MONTH($B$39)))*(1+IF(MONTH(BP$3)=1,'Вводные'!$B$67,IF(AND(MONTH(BP$3)&gt;=5,MONTH(BP$3)&lt;=8),'Вводные'!$B$70,0))),0)</x:f>
      </x:c>
      <x:c r="BQ46" s="35" t="n">
        <x:f>IF(AND(BQ$3&gt;=$B$39,BQ$3&lt;EDATE($B$39,MAX(1,'Вводные'!$K$53)),AND($B$35="Да",IFERROR(INDEX('Вводные'!$B$88:$B$91,$B$36),"Нет")="Да")),(1+INDEX('Вводные'!$AD$88:$AD$91,$B$36)*'Вводные'!$H$7)^MAX(0,(12*(YEAR(BQ$3)-YEAR($B$39))+MONTH(BQ$3)-MONTH($B$39)))*(1+IF(MONTH(BQ$3)=1,'Вводные'!$B$67,IF(AND(MONTH(BQ$3)&gt;=5,MONTH(BQ$3)&lt;=8),'Вводные'!$B$70,0))),0)</x:f>
      </x:c>
      <x:c r="BR46" s="35" t="n">
        <x:f>IF(AND(BR$3&gt;=$B$39,BR$3&lt;EDATE($B$39,MAX(1,'Вводные'!$K$53)),AND($B$35="Да",IFERROR(INDEX('Вводные'!$B$88:$B$91,$B$36),"Нет")="Да")),(1+INDEX('Вводные'!$AD$88:$AD$91,$B$36)*'Вводные'!$H$7)^MAX(0,(12*(YEAR(BR$3)-YEAR($B$39))+MONTH(BR$3)-MONTH($B$39)))*(1+IF(MONTH(BR$3)=1,'Вводные'!$B$67,IF(AND(MONTH(BR$3)&gt;=5,MONTH(BR$3)&lt;=8),'Вводные'!$B$70,0))),0)</x:f>
      </x:c>
      <x:c r="BS46" s="35" t="n">
        <x:f>IF(AND(BS$3&gt;=$B$39,BS$3&lt;EDATE($B$39,MAX(1,'Вводные'!$K$53)),AND($B$35="Да",IFERROR(INDEX('Вводные'!$B$88:$B$91,$B$36),"Нет")="Да")),(1+INDEX('Вводные'!$AD$88:$AD$91,$B$36)*'Вводные'!$H$7)^MAX(0,(12*(YEAR(BS$3)-YEAR($B$39))+MONTH(BS$3)-MONTH($B$39)))*(1+IF(MONTH(BS$3)=1,'Вводные'!$B$67,IF(AND(MONTH(BS$3)&gt;=5,MONTH(BS$3)&lt;=8),'Вводные'!$B$70,0))),0)</x:f>
      </x:c>
      <x:c r="BT46" s="35" t="n">
        <x:f>IF(AND(BT$3&gt;=$B$39,BT$3&lt;EDATE($B$39,MAX(1,'Вводные'!$K$53)),AND($B$35="Да",IFERROR(INDEX('Вводные'!$B$88:$B$91,$B$36),"Нет")="Да")),(1+INDEX('Вводные'!$AD$88:$AD$91,$B$36)*'Вводные'!$H$7)^MAX(0,(12*(YEAR(BT$3)-YEAR($B$39))+MONTH(BT$3)-MONTH($B$39)))*(1+IF(MONTH(BT$3)=1,'Вводные'!$B$67,IF(AND(MONTH(BT$3)&gt;=5,MONTH(BT$3)&lt;=8),'Вводные'!$B$70,0))),0)</x:f>
      </x:c>
      <x:c r="BU46" s="35" t="n">
        <x:f>IF(AND(BU$3&gt;=$B$39,BU$3&lt;EDATE($B$39,MAX(1,'Вводные'!$K$53)),AND($B$35="Да",IFERROR(INDEX('Вводные'!$B$88:$B$91,$B$36),"Нет")="Да")),(1+INDEX('Вводные'!$AD$88:$AD$91,$B$36)*'Вводные'!$H$7)^MAX(0,(12*(YEAR(BU$3)-YEAR($B$39))+MONTH(BU$3)-MONTH($B$39)))*(1+IF(MONTH(BU$3)=1,'Вводные'!$B$67,IF(AND(MONTH(BU$3)&gt;=5,MONTH(BU$3)&lt;=8),'Вводные'!$B$70,0))),0)</x:f>
      </x:c>
      <x:c r="BV46" s="35" t="n">
        <x:f>IF(AND(BV$3&gt;=$B$39,BV$3&lt;EDATE($B$39,MAX(1,'Вводные'!$K$53)),AND($B$35="Да",IFERROR(INDEX('Вводные'!$B$88:$B$91,$B$36),"Нет")="Да")),(1+INDEX('Вводные'!$AD$88:$AD$91,$B$36)*'Вводные'!$H$7)^MAX(0,(12*(YEAR(BV$3)-YEAR($B$39))+MONTH(BV$3)-MONTH($B$39)))*(1+IF(MONTH(BV$3)=1,'Вводные'!$B$67,IF(AND(MONTH(BV$3)&gt;=5,MONTH(BV$3)&lt;=8),'Вводные'!$B$70,0))),0)</x:f>
      </x:c>
      <x:c r="BW46" s="35" t="n">
        <x:f>IF(AND(BW$3&gt;=$B$39,BW$3&lt;EDATE($B$39,MAX(1,'Вводные'!$K$53)),AND($B$35="Да",IFERROR(INDEX('Вводные'!$B$88:$B$91,$B$36),"Нет")="Да")),(1+INDEX('Вводные'!$AD$88:$AD$91,$B$36)*'Вводные'!$H$7)^MAX(0,(12*(YEAR(BW$3)-YEAR($B$39))+MONTH(BW$3)-MONTH($B$39)))*(1+IF(MONTH(BW$3)=1,'Вводные'!$B$67,IF(AND(MONTH(BW$3)&gt;=5,MONTH(BW$3)&lt;=8),'Вводные'!$B$70,0))),0)</x:f>
      </x:c>
      <x:c r="BX46" s="35" t="n">
        <x:f>IF(AND(BX$3&gt;=$B$39,BX$3&lt;EDATE($B$39,MAX(1,'Вводные'!$K$53)),AND($B$35="Да",IFERROR(INDEX('Вводные'!$B$88:$B$91,$B$36),"Нет")="Да")),(1+INDEX('Вводные'!$AD$88:$AD$91,$B$36)*'Вводные'!$H$7)^MAX(0,(12*(YEAR(BX$3)-YEAR($B$39))+MONTH(BX$3)-MONTH($B$39)))*(1+IF(MONTH(BX$3)=1,'Вводные'!$B$67,IF(AND(MONTH(BX$3)&gt;=5,MONTH(BX$3)&lt;=8),'Вводные'!$B$70,0))),0)</x:f>
      </x:c>
      <x:c r="BY46" s="35" t="n">
        <x:f>IF(AND(BY$3&gt;=$B$39,BY$3&lt;EDATE($B$39,MAX(1,'Вводные'!$K$53)),AND($B$35="Да",IFERROR(INDEX('Вводные'!$B$88:$B$91,$B$36),"Нет")="Да")),(1+INDEX('Вводные'!$AD$88:$AD$91,$B$36)*'Вводные'!$H$7)^MAX(0,(12*(YEAR(BY$3)-YEAR($B$39))+MONTH(BY$3)-MONTH($B$39)))*(1+IF(MONTH(BY$3)=1,'Вводные'!$B$67,IF(AND(MONTH(BY$3)&gt;=5,MONTH(BY$3)&lt;=8),'Вводные'!$B$70,0))),0)</x:f>
      </x:c>
      <x:c r="BZ46" s="35" t="n">
        <x:f>IF(AND(BZ$3&gt;=$B$39,BZ$3&lt;EDATE($B$39,MAX(1,'Вводные'!$K$53)),AND($B$35="Да",IFERROR(INDEX('Вводные'!$B$88:$B$91,$B$36),"Нет")="Да")),(1+INDEX('Вводные'!$AD$88:$AD$91,$B$36)*'Вводные'!$H$7)^MAX(0,(12*(YEAR(BZ$3)-YEAR($B$39))+MONTH(BZ$3)-MONTH($B$39)))*(1+IF(MONTH(BZ$3)=1,'Вводные'!$B$67,IF(AND(MONTH(BZ$3)&gt;=5,MONTH(BZ$3)&lt;=8),'Вводные'!$B$70,0))),0)</x:f>
      </x:c>
      <x:c r="CA46" s="35" t="n">
        <x:f>IF(AND(CA$3&gt;=$B$39,CA$3&lt;EDATE($B$39,MAX(1,'Вводные'!$K$53)),AND($B$35="Да",IFERROR(INDEX('Вводные'!$B$88:$B$91,$B$36),"Нет")="Да")),(1+INDEX('Вводные'!$AD$88:$AD$91,$B$36)*'Вводные'!$H$7)^MAX(0,(12*(YEAR(CA$3)-YEAR($B$39))+MONTH(CA$3)-MONTH($B$39)))*(1+IF(MONTH(CA$3)=1,'Вводные'!$B$67,IF(AND(MONTH(CA$3)&gt;=5,MONTH(CA$3)&lt;=8),'Вводные'!$B$70,0))),0)</x:f>
      </x:c>
      <x:c r="CB46" s="35" t="n">
        <x:f>IF(AND(CB$3&gt;=$B$39,CB$3&lt;EDATE($B$39,MAX(1,'Вводные'!$K$53)),AND($B$35="Да",IFERROR(INDEX('Вводные'!$B$88:$B$91,$B$36),"Нет")="Да")),(1+INDEX('Вводные'!$AD$88:$AD$91,$B$36)*'Вводные'!$H$7)^MAX(0,(12*(YEAR(CB$3)-YEAR($B$39))+MONTH(CB$3)-MONTH($B$39)))*(1+IF(MONTH(CB$3)=1,'Вводные'!$B$67,IF(AND(MONTH(CB$3)&gt;=5,MONTH(CB$3)&lt;=8),'Вводные'!$B$70,0))),0)</x:f>
      </x:c>
      <x:c r="CC46" s="35" t="n">
        <x:f>IF(AND(CC$3&gt;=$B$39,CC$3&lt;EDATE($B$39,MAX(1,'Вводные'!$K$53)),AND($B$35="Да",IFERROR(INDEX('Вводные'!$B$88:$B$91,$B$36),"Нет")="Да")),(1+INDEX('Вводные'!$AD$88:$AD$91,$B$36)*'Вводные'!$H$7)^MAX(0,(12*(YEAR(CC$3)-YEAR($B$39))+MONTH(CC$3)-MONTH($B$39)))*(1+IF(MONTH(CC$3)=1,'Вводные'!$B$67,IF(AND(MONTH(CC$3)&gt;=5,MONTH(CC$3)&lt;=8),'Вводные'!$B$70,0))),0)</x:f>
      </x:c>
      <x:c r="CD46" s="35" t="n">
        <x:f>IF(AND(CD$3&gt;=$B$39,CD$3&lt;EDATE($B$39,MAX(1,'Вводные'!$K$53)),AND($B$35="Да",IFERROR(INDEX('Вводные'!$B$88:$B$91,$B$36),"Нет")="Да")),(1+INDEX('Вводные'!$AD$88:$AD$91,$B$36)*'Вводные'!$H$7)^MAX(0,(12*(YEAR(CD$3)-YEAR($B$39))+MONTH(CD$3)-MONTH($B$39)))*(1+IF(MONTH(CD$3)=1,'Вводные'!$B$67,IF(AND(MONTH(CD$3)&gt;=5,MONTH(CD$3)&lt;=8),'Вводные'!$B$70,0))),0)</x:f>
      </x:c>
      <x:c r="CE46" s="35" t="n">
        <x:f>IF(AND(CE$3&gt;=$B$39,CE$3&lt;EDATE($B$39,MAX(1,'Вводные'!$K$53)),AND($B$35="Да",IFERROR(INDEX('Вводные'!$B$88:$B$91,$B$36),"Нет")="Да")),(1+INDEX('Вводные'!$AD$88:$AD$91,$B$36)*'Вводные'!$H$7)^MAX(0,(12*(YEAR(CE$3)-YEAR($B$39))+MONTH(CE$3)-MONTH($B$39)))*(1+IF(MONTH(CE$3)=1,'Вводные'!$B$67,IF(AND(MONTH(CE$3)&gt;=5,MONTH(CE$3)&lt;=8),'Вводные'!$B$70,0))),0)</x:f>
      </x:c>
      <x:c r="CF46" s="35" t="n">
        <x:f>IF(AND(CF$3&gt;=$B$39,CF$3&lt;EDATE($B$39,MAX(1,'Вводные'!$K$53)),AND($B$35="Да",IFERROR(INDEX('Вводные'!$B$88:$B$91,$B$36),"Нет")="Да")),(1+INDEX('Вводные'!$AD$88:$AD$91,$B$36)*'Вводные'!$H$7)^MAX(0,(12*(YEAR(CF$3)-YEAR($B$39))+MONTH(CF$3)-MONTH($B$39)))*(1+IF(MONTH(CF$3)=1,'Вводные'!$B$67,IF(AND(MONTH(CF$3)&gt;=5,MONTH(CF$3)&lt;=8),'Вводные'!$B$70,0))),0)</x:f>
      </x:c>
      <x:c r="CG46" s="35" t="n">
        <x:f>IF(AND(CG$3&gt;=$B$39,CG$3&lt;EDATE($B$39,MAX(1,'Вводные'!$K$53)),AND($B$35="Да",IFERROR(INDEX('Вводные'!$B$88:$B$91,$B$36),"Нет")="Да")),(1+INDEX('Вводные'!$AD$88:$AD$91,$B$36)*'Вводные'!$H$7)^MAX(0,(12*(YEAR(CG$3)-YEAR($B$39))+MONTH(CG$3)-MONTH($B$39)))*(1+IF(MONTH(CG$3)=1,'Вводные'!$B$67,IF(AND(MONTH(CG$3)&gt;=5,MONTH(CG$3)&lt;=8),'Вводные'!$B$70,0))),0)</x:f>
      </x:c>
      <x:c r="CH46" s="35" t="n">
        <x:f>IF(AND(CH$3&gt;=$B$39,CH$3&lt;EDATE($B$39,MAX(1,'Вводные'!$K$53)),AND($B$35="Да",IFERROR(INDEX('Вводные'!$B$88:$B$91,$B$36),"Нет")="Да")),(1+INDEX('Вводные'!$AD$88:$AD$91,$B$36)*'Вводные'!$H$7)^MAX(0,(12*(YEAR(CH$3)-YEAR($B$39))+MONTH(CH$3)-MONTH($B$39)))*(1+IF(MONTH(CH$3)=1,'Вводные'!$B$67,IF(AND(MONTH(CH$3)&gt;=5,MONTH(CH$3)&lt;=8),'Вводные'!$B$70,0))),0)</x:f>
      </x:c>
      <x:c r="CI46" s="35" t="n">
        <x:f>IF(AND(CI$3&gt;=$B$39,CI$3&lt;EDATE($B$39,MAX(1,'Вводные'!$K$53)),AND($B$35="Да",IFERROR(INDEX('Вводные'!$B$88:$B$91,$B$36),"Нет")="Да")),(1+INDEX('Вводные'!$AD$88:$AD$91,$B$36)*'Вводные'!$H$7)^MAX(0,(12*(YEAR(CI$3)-YEAR($B$39))+MONTH(CI$3)-MONTH($B$39)))*(1+IF(MONTH(CI$3)=1,'Вводные'!$B$67,IF(AND(MONTH(CI$3)&gt;=5,MONTH(CI$3)&lt;=8),'Вводные'!$B$70,0))),0)</x:f>
      </x:c>
      <x:c r="CJ46" s="35" t="n">
        <x:f>IF(AND(CJ$3&gt;=$B$39,CJ$3&lt;EDATE($B$39,MAX(1,'Вводные'!$K$53)),AND($B$35="Да",IFERROR(INDEX('Вводные'!$B$88:$B$91,$B$36),"Нет")="Да")),(1+INDEX('Вводные'!$AD$88:$AD$91,$B$36)*'Вводные'!$H$7)^MAX(0,(12*(YEAR(CJ$3)-YEAR($B$39))+MONTH(CJ$3)-MONTH($B$39)))*(1+IF(MONTH(CJ$3)=1,'Вводные'!$B$67,IF(AND(MONTH(CJ$3)&gt;=5,MONTH(CJ$3)&lt;=8),'Вводные'!$B$70,0))),0)</x:f>
      </x:c>
      <x:c r="CK46" s="35" t="n">
        <x:f>IF(AND(CK$3&gt;=$B$39,CK$3&lt;EDATE($B$39,MAX(1,'Вводные'!$K$53)),AND($B$35="Да",IFERROR(INDEX('Вводные'!$B$88:$B$91,$B$36),"Нет")="Да")),(1+INDEX('Вводные'!$AD$88:$AD$91,$B$36)*'Вводные'!$H$7)^MAX(0,(12*(YEAR(CK$3)-YEAR($B$39))+MONTH(CK$3)-MONTH($B$39)))*(1+IF(MONTH(CK$3)=1,'Вводные'!$B$67,IF(AND(MONTH(CK$3)&gt;=5,MONTH(CK$3)&lt;=8),'Вводные'!$B$70,0))),0)</x:f>
      </x:c>
      <x:c r="CL46" s="35" t="n">
        <x:f>IF(AND(CL$3&gt;=$B$39,CL$3&lt;EDATE($B$39,MAX(1,'Вводные'!$K$53)),AND($B$35="Да",IFERROR(INDEX('Вводные'!$B$88:$B$91,$B$36),"Нет")="Да")),(1+INDEX('Вводные'!$AD$88:$AD$91,$B$36)*'Вводные'!$H$7)^MAX(0,(12*(YEAR(CL$3)-YEAR($B$39))+MONTH(CL$3)-MONTH($B$39)))*(1+IF(MONTH(CL$3)=1,'Вводные'!$B$67,IF(AND(MONTH(CL$3)&gt;=5,MONTH(CL$3)&lt;=8),'Вводные'!$B$70,0))),0)</x:f>
      </x:c>
      <x:c r="CM46" s="35" t="n">
        <x:f>IF(AND(CM$3&gt;=$B$39,CM$3&lt;EDATE($B$39,MAX(1,'Вводные'!$K$53)),AND($B$35="Да",IFERROR(INDEX('Вводные'!$B$88:$B$91,$B$36),"Нет")="Да")),(1+INDEX('Вводные'!$AD$88:$AD$91,$B$36)*'Вводные'!$H$7)^MAX(0,(12*(YEAR(CM$3)-YEAR($B$39))+MONTH(CM$3)-MONTH($B$39)))*(1+IF(MONTH(CM$3)=1,'Вводные'!$B$67,IF(AND(MONTH(CM$3)&gt;=5,MONTH(CM$3)&lt;=8),'Вводные'!$B$70,0))),0)</x:f>
      </x:c>
      <x:c r="CN46" s="35" t="n">
        <x:f>IF(AND(CN$3&gt;=$B$39,CN$3&lt;EDATE($B$39,MAX(1,'Вводные'!$K$53)),AND($B$35="Да",IFERROR(INDEX('Вводные'!$B$88:$B$91,$B$36),"Нет")="Да")),(1+INDEX('Вводные'!$AD$88:$AD$91,$B$36)*'Вводные'!$H$7)^MAX(0,(12*(YEAR(CN$3)-YEAR($B$39))+MONTH(CN$3)-MONTH($B$39)))*(1+IF(MONTH(CN$3)=1,'Вводные'!$B$67,IF(AND(MONTH(CN$3)&gt;=5,MONTH(CN$3)&lt;=8),'Вводные'!$B$70,0))),0)</x:f>
      </x:c>
      <x:c r="CO46" s="35" t="n">
        <x:f>IF(AND(CO$3&gt;=$B$39,CO$3&lt;EDATE($B$39,MAX(1,'Вводные'!$K$53)),AND($B$35="Да",IFERROR(INDEX('Вводные'!$B$88:$B$91,$B$36),"Нет")="Да")),(1+INDEX('Вводные'!$AD$88:$AD$91,$B$36)*'Вводные'!$H$7)^MAX(0,(12*(YEAR(CO$3)-YEAR($B$39))+MONTH(CO$3)-MONTH($B$39)))*(1+IF(MONTH(CO$3)=1,'Вводные'!$B$67,IF(AND(MONTH(CO$3)&gt;=5,MONTH(CO$3)&lt;=8),'Вводные'!$B$70,0))),0)</x:f>
      </x:c>
      <x:c r="CP46" s="35" t="n">
        <x:f>IF(AND(CP$3&gt;=$B$39,CP$3&lt;EDATE($B$39,MAX(1,'Вводные'!$K$53)),AND($B$35="Да",IFERROR(INDEX('Вводные'!$B$88:$B$91,$B$36),"Нет")="Да")),(1+INDEX('Вводные'!$AD$88:$AD$91,$B$36)*'Вводные'!$H$7)^MAX(0,(12*(YEAR(CP$3)-YEAR($B$39))+MONTH(CP$3)-MONTH($B$39)))*(1+IF(MONTH(CP$3)=1,'Вводные'!$B$67,IF(AND(MONTH(CP$3)&gt;=5,MONTH(CP$3)&lt;=8),'Вводные'!$B$70,0))),0)</x:f>
      </x:c>
      <x:c r="CQ46" s="35" t="n">
        <x:f>IF(AND(CQ$3&gt;=$B$39,CQ$3&lt;EDATE($B$39,MAX(1,'Вводные'!$K$53)),AND($B$35="Да",IFERROR(INDEX('Вводные'!$B$88:$B$91,$B$36),"Нет")="Да")),(1+INDEX('Вводные'!$AD$88:$AD$91,$B$36)*'Вводные'!$H$7)^MAX(0,(12*(YEAR(CQ$3)-YEAR($B$39))+MONTH(CQ$3)-MONTH($B$39)))*(1+IF(MONTH(CQ$3)=1,'Вводные'!$B$67,IF(AND(MONTH(CQ$3)&gt;=5,MONTH(CQ$3)&lt;=8),'Вводные'!$B$70,0))),0)</x:f>
      </x:c>
      <x:c r="CR46" s="35" t="n">
        <x:f>IF(AND(CR$3&gt;=$B$39,CR$3&lt;EDATE($B$39,MAX(1,'Вводные'!$K$53)),AND($B$35="Да",IFERROR(INDEX('Вводные'!$B$88:$B$91,$B$36),"Нет")="Да")),(1+INDEX('Вводные'!$AD$88:$AD$91,$B$36)*'Вводные'!$H$7)^MAX(0,(12*(YEAR(CR$3)-YEAR($B$39))+MONTH(CR$3)-MONTH($B$39)))*(1+IF(MONTH(CR$3)=1,'Вводные'!$B$67,IF(AND(MONTH(CR$3)&gt;=5,MONTH(CR$3)&lt;=8),'Вводные'!$B$70,0))),0)</x:f>
      </x:c>
      <x:c r="CS46" s="35" t="n">
        <x:f>IF(AND(CS$3&gt;=$B$39,CS$3&lt;EDATE($B$39,MAX(1,'Вводные'!$K$53)),AND($B$35="Да",IFERROR(INDEX('Вводные'!$B$88:$B$91,$B$36),"Нет")="Да")),(1+INDEX('Вводные'!$AD$88:$AD$91,$B$36)*'Вводные'!$H$7)^MAX(0,(12*(YEAR(CS$3)-YEAR($B$39))+MONTH(CS$3)-MONTH($B$39)))*(1+IF(MONTH(CS$3)=1,'Вводные'!$B$67,IF(AND(MONTH(CS$3)&gt;=5,MONTH(CS$3)&lt;=8),'Вводные'!$B$70,0))),0)</x:f>
      </x:c>
      <x:c r="CT46" s="35" t="n">
        <x:f>IF(AND(CT$3&gt;=$B$39,CT$3&lt;EDATE($B$39,MAX(1,'Вводные'!$K$53)),AND($B$35="Да",IFERROR(INDEX('Вводные'!$B$88:$B$91,$B$36),"Нет")="Да")),(1+INDEX('Вводные'!$AD$88:$AD$91,$B$36)*'Вводные'!$H$7)^MAX(0,(12*(YEAR(CT$3)-YEAR($B$39))+MONTH(CT$3)-MONTH($B$39)))*(1+IF(MONTH(CT$3)=1,'Вводные'!$B$67,IF(AND(MONTH(CT$3)&gt;=5,MONTH(CT$3)&lt;=8),'Вводные'!$B$70,0))),0)</x:f>
      </x:c>
      <x:c r="CU46" s="35" t="n">
        <x:f>IF(AND(CU$3&gt;=$B$39,CU$3&lt;EDATE($B$39,MAX(1,'Вводные'!$K$53)),AND($B$35="Да",IFERROR(INDEX('Вводные'!$B$88:$B$91,$B$36),"Нет")="Да")),(1+INDEX('Вводные'!$AD$88:$AD$91,$B$36)*'Вводные'!$H$7)^MAX(0,(12*(YEAR(CU$3)-YEAR($B$39))+MONTH(CU$3)-MONTH($B$39)))*(1+IF(MONTH(CU$3)=1,'Вводные'!$B$67,IF(AND(MONTH(CU$3)&gt;=5,MONTH(CU$3)&lt;=8),'Вводные'!$B$70,0))),0)</x:f>
      </x:c>
      <x:c r="CV46" s="35" t="n">
        <x:f>IF(AND(CV$3&gt;=$B$39,CV$3&lt;EDATE($B$39,MAX(1,'Вводные'!$K$53)),AND($B$35="Да",IFERROR(INDEX('Вводные'!$B$88:$B$91,$B$36),"Нет")="Да")),(1+INDEX('Вводные'!$AD$88:$AD$91,$B$36)*'Вводные'!$H$7)^MAX(0,(12*(YEAR(CV$3)-YEAR($B$39))+MONTH(CV$3)-MONTH($B$39)))*(1+IF(MONTH(CV$3)=1,'Вводные'!$B$67,IF(AND(MONTH(CV$3)&gt;=5,MONTH(CV$3)&lt;=8),'Вводные'!$B$70,0))),0)</x:f>
      </x:c>
      <x:c r="CW46" s="35" t="n">
        <x:f>IF(AND(CW$3&gt;=$B$39,CW$3&lt;EDATE($B$39,MAX(1,'Вводные'!$K$53)),AND($B$35="Да",IFERROR(INDEX('Вводные'!$B$88:$B$91,$B$36),"Нет")="Да")),(1+INDEX('Вводные'!$AD$88:$AD$91,$B$36)*'Вводные'!$H$7)^MAX(0,(12*(YEAR(CW$3)-YEAR($B$39))+MONTH(CW$3)-MONTH($B$39)))*(1+IF(MONTH(CW$3)=1,'Вводные'!$B$67,IF(AND(MONTH(CW$3)&gt;=5,MONTH(CW$3)&lt;=8),'Вводные'!$B$70,0))),0)</x:f>
      </x:c>
      <x:c r="CX46" s="35" t="n">
        <x:f>IF(AND(CX$3&gt;=$B$39,CX$3&lt;EDATE($B$39,MAX(1,'Вводные'!$K$53)),AND($B$35="Да",IFERROR(INDEX('Вводные'!$B$88:$B$91,$B$36),"Нет")="Да")),(1+INDEX('Вводные'!$AD$88:$AD$91,$B$36)*'Вводные'!$H$7)^MAX(0,(12*(YEAR(CX$3)-YEAR($B$39))+MONTH(CX$3)-MONTH($B$39)))*(1+IF(MONTH(CX$3)=1,'Вводные'!$B$67,IF(AND(MONTH(CX$3)&gt;=5,MONTH(CX$3)&lt;=8),'Вводные'!$B$70,0))),0)</x:f>
      </x:c>
      <x:c r="CY46" s="35" t="n">
        <x:f>IF(AND(CY$3&gt;=$B$39,CY$3&lt;EDATE($B$39,MAX(1,'Вводные'!$K$53)),AND($B$35="Да",IFERROR(INDEX('Вводные'!$B$88:$B$91,$B$36),"Нет")="Да")),(1+INDEX('Вводные'!$AD$88:$AD$91,$B$36)*'Вводные'!$H$7)^MAX(0,(12*(YEAR(CY$3)-YEAR($B$39))+MONTH(CY$3)-MONTH($B$39)))*(1+IF(MONTH(CY$3)=1,'Вводные'!$B$67,IF(AND(MONTH(CY$3)&gt;=5,MONTH(CY$3)&lt;=8),'Вводные'!$B$70,0))),0)</x:f>
      </x:c>
      <x:c r="CZ46" s="35" t="n">
        <x:f>IF(AND(CZ$3&gt;=$B$39,CZ$3&lt;EDATE($B$39,MAX(1,'Вводные'!$K$53)),AND($B$35="Да",IFERROR(INDEX('Вводные'!$B$88:$B$91,$B$36),"Нет")="Да")),(1+INDEX('Вводные'!$AD$88:$AD$91,$B$36)*'Вводные'!$H$7)^MAX(0,(12*(YEAR(CZ$3)-YEAR($B$39))+MONTH(CZ$3)-MONTH($B$39)))*(1+IF(MONTH(CZ$3)=1,'Вводные'!$B$67,IF(AND(MONTH(CZ$3)&gt;=5,MONTH(CZ$3)&lt;=8),'Вводные'!$B$70,0))),0)</x:f>
      </x:c>
      <x:c r="DA46" s="35" t="n">
        <x:f>IF(AND(DA$3&gt;=$B$39,DA$3&lt;EDATE($B$39,MAX(1,'Вводные'!$K$53)),AND($B$35="Да",IFERROR(INDEX('Вводные'!$B$88:$B$91,$B$36),"Нет")="Да")),(1+INDEX('Вводные'!$AD$88:$AD$91,$B$36)*'Вводные'!$H$7)^MAX(0,(12*(YEAR(DA$3)-YEAR($B$39))+MONTH(DA$3)-MONTH($B$39)))*(1+IF(MONTH(DA$3)=1,'Вводные'!$B$67,IF(AND(MONTH(DA$3)&gt;=5,MONTH(DA$3)&lt;=8),'Вводные'!$B$70,0))),0)</x:f>
      </x:c>
      <x:c r="DB46" s="35" t="n">
        <x:f>IF(AND(DB$3&gt;=$B$39,DB$3&lt;EDATE($B$39,MAX(1,'Вводные'!$K$53)),AND($B$35="Да",IFERROR(INDEX('Вводные'!$B$88:$B$91,$B$36),"Нет")="Да")),(1+INDEX('Вводные'!$AD$88:$AD$91,$B$36)*'Вводные'!$H$7)^MAX(0,(12*(YEAR(DB$3)-YEAR($B$39))+MONTH(DB$3)-MONTH($B$39)))*(1+IF(MONTH(DB$3)=1,'Вводные'!$B$67,IF(AND(MONTH(DB$3)&gt;=5,MONTH(DB$3)&lt;=8),'Вводные'!$B$70,0))),0)</x:f>
      </x:c>
      <x:c r="DC46" s="35" t="n">
        <x:f>IF(AND(DC$3&gt;=$B$39,DC$3&lt;EDATE($B$39,MAX(1,'Вводные'!$K$53)),AND($B$35="Да",IFERROR(INDEX('Вводные'!$B$88:$B$91,$B$36),"Нет")="Да")),(1+INDEX('Вводные'!$AD$88:$AD$91,$B$36)*'Вводные'!$H$7)^MAX(0,(12*(YEAR(DC$3)-YEAR($B$39))+MONTH(DC$3)-MONTH($B$39)))*(1+IF(MONTH(DC$3)=1,'Вводные'!$B$67,IF(AND(MONTH(DC$3)&gt;=5,MONTH(DC$3)&lt;=8),'Вводные'!$B$70,0))),0)</x:f>
      </x:c>
      <x:c r="DD46" s="35" t="n">
        <x:f>IF(AND(DD$3&gt;=$B$39,DD$3&lt;EDATE($B$39,MAX(1,'Вводные'!$K$53)),AND($B$35="Да",IFERROR(INDEX('Вводные'!$B$88:$B$91,$B$36),"Нет")="Да")),(1+INDEX('Вводные'!$AD$88:$AD$91,$B$36)*'Вводные'!$H$7)^MAX(0,(12*(YEAR(DD$3)-YEAR($B$39))+MONTH(DD$3)-MONTH($B$39)))*(1+IF(MONTH(DD$3)=1,'Вводные'!$B$67,IF(AND(MONTH(DD$3)&gt;=5,MONTH(DD$3)&lt;=8),'Вводные'!$B$70,0))),0)</x:f>
      </x:c>
      <x:c r="DE46" s="35" t="n">
        <x:f>IF(AND(DE$3&gt;=$B$39,DE$3&lt;EDATE($B$39,MAX(1,'Вводные'!$K$53)),AND($B$35="Да",IFERROR(INDEX('Вводные'!$B$88:$B$91,$B$36),"Нет")="Да")),(1+INDEX('Вводные'!$AD$88:$AD$91,$B$36)*'Вводные'!$H$7)^MAX(0,(12*(YEAR(DE$3)-YEAR($B$39))+MONTH(DE$3)-MONTH($B$39)))*(1+IF(MONTH(DE$3)=1,'Вводные'!$B$67,IF(AND(MONTH(DE$3)&gt;=5,MONTH(DE$3)&lt;=8),'Вводные'!$B$70,0))),0)</x:f>
      </x:c>
      <x:c r="DF46" s="35" t="n">
        <x:f>IF(AND(DF$3&gt;=$B$39,DF$3&lt;EDATE($B$39,MAX(1,'Вводные'!$K$53)),AND($B$35="Да",IFERROR(INDEX('Вводные'!$B$88:$B$91,$B$36),"Нет")="Да")),(1+INDEX('Вводные'!$AD$88:$AD$91,$B$36)*'Вводные'!$H$7)^MAX(0,(12*(YEAR(DF$3)-YEAR($B$39))+MONTH(DF$3)-MONTH($B$39)))*(1+IF(MONTH(DF$3)=1,'Вводные'!$B$67,IF(AND(MONTH(DF$3)&gt;=5,MONTH(DF$3)&lt;=8),'Вводные'!$B$70,0))),0)</x:f>
      </x:c>
      <x:c r="DG46" s="35" t="n">
        <x:f>IF(AND(DG$3&gt;=$B$39,DG$3&lt;EDATE($B$39,MAX(1,'Вводные'!$K$53)),AND($B$35="Да",IFERROR(INDEX('Вводные'!$B$88:$B$91,$B$36),"Нет")="Да")),(1+INDEX('Вводные'!$AD$88:$AD$91,$B$36)*'Вводные'!$H$7)^MAX(0,(12*(YEAR(DG$3)-YEAR($B$39))+MONTH(DG$3)-MONTH($B$39)))*(1+IF(MONTH(DG$3)=1,'Вводные'!$B$67,IF(AND(MONTH(DG$3)&gt;=5,MONTH(DG$3)&lt;=8),'Вводные'!$B$70,0))),0)</x:f>
      </x:c>
      <x:c r="DH46" s="35" t="n">
        <x:f>IF(AND(DH$3&gt;=$B$39,DH$3&lt;EDATE($B$39,MAX(1,'Вводные'!$K$53)),AND($B$35="Да",IFERROR(INDEX('Вводные'!$B$88:$B$91,$B$36),"Нет")="Да")),(1+INDEX('Вводные'!$AD$88:$AD$91,$B$36)*'Вводные'!$H$7)^MAX(0,(12*(YEAR(DH$3)-YEAR($B$39))+MONTH(DH$3)-MONTH($B$39)))*(1+IF(MONTH(DH$3)=1,'Вводные'!$B$67,IF(AND(MONTH(DH$3)&gt;=5,MONTH(DH$3)&lt;=8),'Вводные'!$B$70,0))),0)</x:f>
      </x:c>
      <x:c r="DI46" s="35" t="n">
        <x:f>IF(AND(DI$3&gt;=$B$39,DI$3&lt;EDATE($B$39,MAX(1,'Вводные'!$K$53)),AND($B$35="Да",IFERROR(INDEX('Вводные'!$B$88:$B$91,$B$36),"Нет")="Да")),(1+INDEX('Вводные'!$AD$88:$AD$91,$B$36)*'Вводные'!$H$7)^MAX(0,(12*(YEAR(DI$3)-YEAR($B$39))+MONTH(DI$3)-MONTH($B$39)))*(1+IF(MONTH(DI$3)=1,'Вводные'!$B$67,IF(AND(MONTH(DI$3)&gt;=5,MONTH(DI$3)&lt;=8),'Вводные'!$B$70,0))),0)</x:f>
      </x:c>
      <x:c r="DJ46" s="35" t="n">
        <x:f>IF(AND(DJ$3&gt;=$B$39,DJ$3&lt;EDATE($B$39,MAX(1,'Вводные'!$K$53)),AND($B$35="Да",IFERROR(INDEX('Вводные'!$B$88:$B$91,$B$36),"Нет")="Да")),(1+INDEX('Вводные'!$AD$88:$AD$91,$B$36)*'Вводные'!$H$7)^MAX(0,(12*(YEAR(DJ$3)-YEAR($B$39))+MONTH(DJ$3)-MONTH($B$39)))*(1+IF(MONTH(DJ$3)=1,'Вводные'!$B$67,IF(AND(MONTH(DJ$3)&gt;=5,MONTH(DJ$3)&lt;=8),'Вводные'!$B$70,0))),0)</x:f>
      </x:c>
      <x:c r="DK46" s="35" t="n">
        <x:f>IF(AND(DK$3&gt;=$B$39,DK$3&lt;EDATE($B$39,MAX(1,'Вводные'!$K$53)),AND($B$35="Да",IFERROR(INDEX('Вводные'!$B$88:$B$91,$B$36),"Нет")="Да")),(1+INDEX('Вводные'!$AD$88:$AD$91,$B$36)*'Вводные'!$H$7)^MAX(0,(12*(YEAR(DK$3)-YEAR($B$39))+MONTH(DK$3)-MONTH($B$39)))*(1+IF(MONTH(DK$3)=1,'Вводные'!$B$67,IF(AND(MONTH(DK$3)&gt;=5,MONTH(DK$3)&lt;=8),'Вводные'!$B$70,0))),0)</x:f>
      </x:c>
      <x:c r="DL46" s="35" t="n">
        <x:f>IF(AND(DL$3&gt;=$B$39,DL$3&lt;EDATE($B$39,MAX(1,'Вводные'!$K$53)),AND($B$35="Да",IFERROR(INDEX('Вводные'!$B$88:$B$91,$B$36),"Нет")="Да")),(1+INDEX('Вводные'!$AD$88:$AD$91,$B$36)*'Вводные'!$H$7)^MAX(0,(12*(YEAR(DL$3)-YEAR($B$39))+MONTH(DL$3)-MONTH($B$39)))*(1+IF(MONTH(DL$3)=1,'Вводные'!$B$67,IF(AND(MONTH(DL$3)&gt;=5,MONTH(DL$3)&lt;=8),'Вводные'!$B$70,0))),0)</x:f>
      </x:c>
      <x:c r="DM46" s="35" t="n">
        <x:f>IF(AND(DM$3&gt;=$B$39,DM$3&lt;EDATE($B$39,MAX(1,'Вводные'!$K$53)),AND($B$35="Да",IFERROR(INDEX('Вводные'!$B$88:$B$91,$B$36),"Нет")="Да")),(1+INDEX('Вводные'!$AD$88:$AD$91,$B$36)*'Вводные'!$H$7)^MAX(0,(12*(YEAR(DM$3)-YEAR($B$39))+MONTH(DM$3)-MONTH($B$39)))*(1+IF(MONTH(DM$3)=1,'Вводные'!$B$67,IF(AND(MONTH(DM$3)&gt;=5,MONTH(DM$3)&lt;=8),'Вводные'!$B$70,0))),0)</x:f>
      </x:c>
      <x:c r="DN46" s="35" t="n">
        <x:f>IF(AND(DN$3&gt;=$B$39,DN$3&lt;EDATE($B$39,MAX(1,'Вводные'!$K$53)),AND($B$35="Да",IFERROR(INDEX('Вводные'!$B$88:$B$91,$B$36),"Нет")="Да")),(1+INDEX('Вводные'!$AD$88:$AD$91,$B$36)*'Вводные'!$H$7)^MAX(0,(12*(YEAR(DN$3)-YEAR($B$39))+MONTH(DN$3)-MONTH($B$39)))*(1+IF(MONTH(DN$3)=1,'Вводные'!$B$67,IF(AND(MONTH(DN$3)&gt;=5,MONTH(DN$3)&lt;=8),'Вводные'!$B$70,0))),0)</x:f>
      </x:c>
      <x:c r="DO46" s="35" t="n">
        <x:f>IF(AND(DO$3&gt;=$B$39,DO$3&lt;EDATE($B$39,MAX(1,'Вводные'!$K$53)),AND($B$35="Да",IFERROR(INDEX('Вводные'!$B$88:$B$91,$B$36),"Нет")="Да")),(1+INDEX('Вводные'!$AD$88:$AD$91,$B$36)*'Вводные'!$H$7)^MAX(0,(12*(YEAR(DO$3)-YEAR($B$39))+MONTH(DO$3)-MONTH($B$39)))*(1+IF(MONTH(DO$3)=1,'Вводные'!$B$67,IF(AND(MONTH(DO$3)&gt;=5,MONTH(DO$3)&lt;=8),'Вводные'!$B$70,0))),0)</x:f>
      </x:c>
      <x:c r="DP46" s="35" t="n">
        <x:f>IF(AND(DP$3&gt;=$B$39,DP$3&lt;EDATE($B$39,MAX(1,'Вводные'!$K$53)),AND($B$35="Да",IFERROR(INDEX('Вводные'!$B$88:$B$91,$B$36),"Нет")="Да")),(1+INDEX('Вводные'!$AD$88:$AD$91,$B$36)*'Вводные'!$H$7)^MAX(0,(12*(YEAR(DP$3)-YEAR($B$39))+MONTH(DP$3)-MONTH($B$39)))*(1+IF(MONTH(DP$3)=1,'Вводные'!$B$67,IF(AND(MONTH(DP$3)&gt;=5,MONTH(DP$3)&lt;=8),'Вводные'!$B$70,0))),0)</x:f>
      </x:c>
      <x:c r="DQ46" s="35" t="n">
        <x:f>IF(AND(DQ$3&gt;=$B$39,DQ$3&lt;EDATE($B$39,MAX(1,'Вводные'!$K$53)),AND($B$35="Да",IFERROR(INDEX('Вводные'!$B$88:$B$91,$B$36),"Нет")="Да")),(1+INDEX('Вводные'!$AD$88:$AD$91,$B$36)*'Вводные'!$H$7)^MAX(0,(12*(YEAR(DQ$3)-YEAR($B$39))+MONTH(DQ$3)-MONTH($B$39)))*(1+IF(MONTH(DQ$3)=1,'Вводные'!$B$67,IF(AND(MONTH(DQ$3)&gt;=5,MONTH(DQ$3)&lt;=8),'Вводные'!$B$70,0))),0)</x:f>
      </x:c>
      <x:c r="DR46" s="35" t="n">
        <x:f>IF(AND(DR$3&gt;=$B$39,DR$3&lt;EDATE($B$39,MAX(1,'Вводные'!$K$53)),AND($B$35="Да",IFERROR(INDEX('Вводные'!$B$88:$B$91,$B$36),"Нет")="Да")),(1+INDEX('Вводные'!$AD$88:$AD$91,$B$36)*'Вводные'!$H$7)^MAX(0,(12*(YEAR(DR$3)-YEAR($B$39))+MONTH(DR$3)-MONTH($B$39)))*(1+IF(MONTH(DR$3)=1,'Вводные'!$B$67,IF(AND(MONTH(DR$3)&gt;=5,MONTH(DR$3)&lt;=8),'Вводные'!$B$70,0))),0)</x:f>
      </x:c>
      <x:c r="DS46" s="35" t="n">
        <x:f>IF(AND(DS$3&gt;=$B$39,DS$3&lt;EDATE($B$39,MAX(1,'Вводные'!$K$53)),AND($B$35="Да",IFERROR(INDEX('Вводные'!$B$88:$B$91,$B$36),"Нет")="Да")),(1+INDEX('Вводные'!$AD$88:$AD$91,$B$36)*'Вводные'!$H$7)^MAX(0,(12*(YEAR(DS$3)-YEAR($B$39))+MONTH(DS$3)-MONTH($B$39)))*(1+IF(MONTH(DS$3)=1,'Вводные'!$B$67,IF(AND(MONTH(DS$3)&gt;=5,MONTH(DS$3)&lt;=8),'Вводные'!$B$70,0)))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IF(D$3&lt;$B$38,D52,0)</x:f>
      </x:c>
      <x:c r="E53" s="107" t="n">
        <x:f>IF(E$3&lt;$B$38,E52,0)</x:f>
      </x:c>
      <x:c r="F53" s="107" t="n">
        <x:f>IF(F$3&lt;$B$38,F52,0)</x:f>
      </x:c>
      <x:c r="G53" s="107" t="n">
        <x:f>IF(G$3&lt;$B$38,G52,0)</x:f>
      </x:c>
      <x:c r="H53" s="107" t="n">
        <x:f>IF(H$3&lt;$B$38,H52,0)</x:f>
      </x:c>
      <x:c r="I53" s="107" t="n">
        <x:f>IF(I$3&lt;$B$38,I52,0)</x:f>
      </x:c>
      <x:c r="J53" s="107" t="n">
        <x:f>IF(J$3&lt;$B$38,J52,0)</x:f>
      </x:c>
      <x:c r="K53" s="107" t="n">
        <x:f>IF(K$3&lt;$B$38,K52,0)</x:f>
      </x:c>
      <x:c r="L53" s="107" t="n">
        <x:f>IF(L$3&lt;$B$38,L52,0)</x:f>
      </x:c>
      <x:c r="M53" s="107" t="n">
        <x:f>IF(M$3&lt;$B$38,M52,0)</x:f>
      </x:c>
      <x:c r="N53" s="107" t="n">
        <x:f>IF(N$3&lt;$B$38,N52,0)</x:f>
      </x:c>
      <x:c r="O53" s="107" t="n">
        <x:f>IF(O$3&lt;$B$38,O52,0)</x:f>
      </x:c>
      <x:c r="P53" s="107" t="n">
        <x:f>IF(P$3&lt;$B$38,P52,0)</x:f>
      </x:c>
      <x:c r="Q53" s="107" t="n">
        <x:f>IF(Q$3&lt;$B$38,Q52,0)</x:f>
      </x:c>
      <x:c r="R53" s="107" t="n">
        <x:f>IF(R$3&lt;$B$38,R52,0)</x:f>
      </x:c>
      <x:c r="S53" s="107" t="n">
        <x:f>IF(S$3&lt;$B$38,S52,0)</x:f>
      </x:c>
      <x:c r="T53" s="107" t="n">
        <x:f>IF(T$3&lt;$B$38,T52,0)</x:f>
      </x:c>
      <x:c r="U53" s="107" t="n">
        <x:f>IF(U$3&lt;$B$38,U52,0)</x:f>
      </x:c>
      <x:c r="V53" s="107" t="n">
        <x:f>IF(V$3&lt;$B$38,V52,0)</x:f>
      </x:c>
      <x:c r="W53" s="107" t="n">
        <x:f>IF(W$3&lt;$B$38,W52,0)</x:f>
      </x:c>
      <x:c r="X53" s="107" t="n">
        <x:f>IF(X$3&lt;$B$38,X52,0)</x:f>
      </x:c>
      <x:c r="Y53" s="107" t="n">
        <x:f>IF(Y$3&lt;$B$38,Y52,0)</x:f>
      </x:c>
      <x:c r="Z53" s="107" t="n">
        <x:f>IF(Z$3&lt;$B$38,Z52,0)</x:f>
      </x:c>
      <x:c r="AA53" s="107" t="n">
        <x:f>IF(AA$3&lt;$B$38,AA52,0)</x:f>
      </x:c>
      <x:c r="AB53" s="107" t="n">
        <x:f>IF(AB$3&lt;$B$38,AB52,0)</x:f>
      </x:c>
      <x:c r="AC53" s="107" t="n">
        <x:f>IF(AC$3&lt;$B$38,AC52,0)</x:f>
      </x:c>
      <x:c r="AD53" s="107" t="n">
        <x:f>IF(AD$3&lt;$B$38,AD52,0)</x:f>
      </x:c>
      <x:c r="AE53" s="107" t="n">
        <x:f>IF(AE$3&lt;$B$38,AE52,0)</x:f>
      </x:c>
      <x:c r="AF53" s="107" t="n">
        <x:f>IF(AF$3&lt;$B$38,AF52,0)</x:f>
      </x:c>
      <x:c r="AG53" s="107" t="n">
        <x:f>IF(AG$3&lt;$B$38,AG52,0)</x:f>
      </x:c>
      <x:c r="AH53" s="107" t="n">
        <x:f>IF(AH$3&lt;$B$38,AH52,0)</x:f>
      </x:c>
      <x:c r="AI53" s="107" t="n">
        <x:f>IF(AI$3&lt;$B$38,AI52,0)</x:f>
      </x:c>
      <x:c r="AJ53" s="107" t="n">
        <x:f>IF(AJ$3&lt;$B$38,AJ52,0)</x:f>
      </x:c>
      <x:c r="AK53" s="107" t="n">
        <x:f>IF(AK$3&lt;$B$38,AK52,0)</x:f>
      </x:c>
      <x:c r="AL53" s="107" t="n">
        <x:f>IF(AL$3&lt;$B$38,AL52,0)</x:f>
      </x:c>
      <x:c r="AM53" s="107" t="n">
        <x:f>IF(AM$3&lt;$B$38,AM52,0)</x:f>
      </x:c>
      <x:c r="AN53" s="107" t="n">
        <x:f>IF(AN$3&lt;$B$38,AN52,0)</x:f>
      </x:c>
      <x:c r="AO53" s="107" t="n">
        <x:f>IF(AO$3&lt;$B$38,AO52,0)</x:f>
      </x:c>
      <x:c r="AP53" s="107" t="n">
        <x:f>IF(AP$3&lt;$B$38,AP52,0)</x:f>
      </x:c>
      <x:c r="AQ53" s="107" t="n">
        <x:f>IF(AQ$3&lt;$B$38,AQ52,0)</x:f>
      </x:c>
      <x:c r="AR53" s="107" t="n">
        <x:f>IF(AR$3&lt;$B$38,AR52,0)</x:f>
      </x:c>
      <x:c r="AS53" s="107" t="n">
        <x:f>IF(AS$3&lt;$B$38,AS52,0)</x:f>
      </x:c>
      <x:c r="AT53" s="107" t="n">
        <x:f>IF(AT$3&lt;$B$38,AT52,0)</x:f>
      </x:c>
      <x:c r="AU53" s="107" t="n">
        <x:f>IF(AU$3&lt;$B$38,AU52,0)</x:f>
      </x:c>
      <x:c r="AV53" s="107" t="n">
        <x:f>IF(AV$3&lt;$B$38,AV52,0)</x:f>
      </x:c>
      <x:c r="AW53" s="107" t="n">
        <x:f>IF(AW$3&lt;$B$38,AW52,0)</x:f>
      </x:c>
      <x:c r="AX53" s="107" t="n">
        <x:f>IF(AX$3&lt;$B$38,AX52,0)</x:f>
      </x:c>
      <x:c r="AY53" s="107" t="n">
        <x:f>IF(AY$3&lt;$B$38,AY52,0)</x:f>
      </x:c>
      <x:c r="AZ53" s="107" t="n">
        <x:f>IF(AZ$3&lt;$B$38,AZ52,0)</x:f>
      </x:c>
      <x:c r="BA53" s="107" t="n">
        <x:f>IF(BA$3&lt;$B$38,BA52,0)</x:f>
      </x:c>
      <x:c r="BB53" s="107" t="n">
        <x:f>IF(BB$3&lt;$B$38,BB52,0)</x:f>
      </x:c>
      <x:c r="BC53" s="107" t="n">
        <x:f>IF(BC$3&lt;$B$38,BC52,0)</x:f>
      </x:c>
      <x:c r="BD53" s="107" t="n">
        <x:f>IF(BD$3&lt;$B$38,BD52,0)</x:f>
      </x:c>
      <x:c r="BE53" s="107" t="n">
        <x:f>IF(BE$3&lt;$B$38,BE52,0)</x:f>
      </x:c>
      <x:c r="BF53" s="107" t="n">
        <x:f>IF(BF$3&lt;$B$38,BF52,0)</x:f>
      </x:c>
      <x:c r="BG53" s="107" t="n">
        <x:f>IF(BG$3&lt;$B$38,BG52,0)</x:f>
      </x:c>
      <x:c r="BH53" s="107" t="n">
        <x:f>IF(BH$3&lt;$B$38,BH52,0)</x:f>
      </x:c>
      <x:c r="BI53" s="107" t="n">
        <x:f>IF(BI$3&lt;$B$38,BI52,0)</x:f>
      </x:c>
      <x:c r="BJ53" s="107" t="n">
        <x:f>IF(BJ$3&lt;$B$38,BJ52,0)</x:f>
      </x:c>
      <x:c r="BK53" s="107" t="n">
        <x:f>IF(BK$3&lt;$B$38,BK52,0)</x:f>
      </x:c>
      <x:c r="BL53" s="107" t="n">
        <x:f>IF(BL$3&lt;$B$38,BL52,0)</x:f>
      </x:c>
      <x:c r="BM53" s="107" t="n">
        <x:f>IF(BM$3&lt;$B$38,BM52,0)</x:f>
      </x:c>
      <x:c r="BN53" s="107" t="n">
        <x:f>IF(BN$3&lt;$B$38,BN52,0)</x:f>
      </x:c>
      <x:c r="BO53" s="107" t="n">
        <x:f>IF(BO$3&lt;$B$38,BO52,0)</x:f>
      </x:c>
      <x:c r="BP53" s="107" t="n">
        <x:f>IF(BP$3&lt;$B$38,BP52,0)</x:f>
      </x:c>
      <x:c r="BQ53" s="107" t="n">
        <x:f>IF(BQ$3&lt;$B$38,BQ52,0)</x:f>
      </x:c>
      <x:c r="BR53" s="107" t="n">
        <x:f>IF(BR$3&lt;$B$38,BR52,0)</x:f>
      </x:c>
      <x:c r="BS53" s="107" t="n">
        <x:f>IF(BS$3&lt;$B$38,BS52,0)</x:f>
      </x:c>
      <x:c r="BT53" s="107" t="n">
        <x:f>IF(BT$3&lt;$B$38,BT52,0)</x:f>
      </x:c>
      <x:c r="BU53" s="107" t="n">
        <x:f>IF(BU$3&lt;$B$38,BU52,0)</x:f>
      </x:c>
      <x:c r="BV53" s="107" t="n">
        <x:f>IF(BV$3&lt;$B$38,BV52,0)</x:f>
      </x:c>
      <x:c r="BW53" s="107" t="n">
        <x:f>IF(BW$3&lt;$B$38,BW52,0)</x:f>
      </x:c>
      <x:c r="BX53" s="107" t="n">
        <x:f>IF(BX$3&lt;$B$38,BX52,0)</x:f>
      </x:c>
      <x:c r="BY53" s="107" t="n">
        <x:f>IF(BY$3&lt;$B$38,BY52,0)</x:f>
      </x:c>
      <x:c r="BZ53" s="107" t="n">
        <x:f>IF(BZ$3&lt;$B$38,BZ52,0)</x:f>
      </x:c>
      <x:c r="CA53" s="107" t="n">
        <x:f>IF(CA$3&lt;$B$38,CA52,0)</x:f>
      </x:c>
      <x:c r="CB53" s="107" t="n">
        <x:f>IF(CB$3&lt;$B$38,CB52,0)</x:f>
      </x:c>
      <x:c r="CC53" s="107" t="n">
        <x:f>IF(CC$3&lt;$B$38,CC52,0)</x:f>
      </x:c>
      <x:c r="CD53" s="107" t="n">
        <x:f>IF(CD$3&lt;$B$38,CD52,0)</x:f>
      </x:c>
      <x:c r="CE53" s="107" t="n">
        <x:f>IF(CE$3&lt;$B$38,CE52,0)</x:f>
      </x:c>
      <x:c r="CF53" s="107" t="n">
        <x:f>IF(CF$3&lt;$B$38,CF52,0)</x:f>
      </x:c>
      <x:c r="CG53" s="107" t="n">
        <x:f>IF(CG$3&lt;$B$38,CG52,0)</x:f>
      </x:c>
      <x:c r="CH53" s="107" t="n">
        <x:f>IF(CH$3&lt;$B$38,CH52,0)</x:f>
      </x:c>
      <x:c r="CI53" s="107" t="n">
        <x:f>IF(CI$3&lt;$B$38,CI52,0)</x:f>
      </x:c>
      <x:c r="CJ53" s="107" t="n">
        <x:f>IF(CJ$3&lt;$B$38,CJ52,0)</x:f>
      </x:c>
      <x:c r="CK53" s="107" t="n">
        <x:f>IF(CK$3&lt;$B$38,CK52,0)</x:f>
      </x:c>
      <x:c r="CL53" s="107" t="n">
        <x:f>IF(CL$3&lt;$B$38,CL52,0)</x:f>
      </x:c>
      <x:c r="CM53" s="107" t="n">
        <x:f>IF(CM$3&lt;$B$38,CM52,0)</x:f>
      </x:c>
      <x:c r="CN53" s="107" t="n">
        <x:f>IF(CN$3&lt;$B$38,CN52,0)</x:f>
      </x:c>
      <x:c r="CO53" s="107" t="n">
        <x:f>IF(CO$3&lt;$B$38,CO52,0)</x:f>
      </x:c>
      <x:c r="CP53" s="107" t="n">
        <x:f>IF(CP$3&lt;$B$38,CP52,0)</x:f>
      </x:c>
      <x:c r="CQ53" s="107" t="n">
        <x:f>IF(CQ$3&lt;$B$38,CQ52,0)</x:f>
      </x:c>
      <x:c r="CR53" s="107" t="n">
        <x:f>IF(CR$3&lt;$B$38,CR52,0)</x:f>
      </x:c>
      <x:c r="CS53" s="107" t="n">
        <x:f>IF(CS$3&lt;$B$38,CS52,0)</x:f>
      </x:c>
      <x:c r="CT53" s="107" t="n">
        <x:f>IF(CT$3&lt;$B$38,CT52,0)</x:f>
      </x:c>
      <x:c r="CU53" s="107" t="n">
        <x:f>IF(CU$3&lt;$B$38,CU52,0)</x:f>
      </x:c>
      <x:c r="CV53" s="107" t="n">
        <x:f>IF(CV$3&lt;$B$38,CV52,0)</x:f>
      </x:c>
      <x:c r="CW53" s="107" t="n">
        <x:f>IF(CW$3&lt;$B$38,CW52,0)</x:f>
      </x:c>
      <x:c r="CX53" s="107" t="n">
        <x:f>IF(CX$3&lt;$B$38,CX52,0)</x:f>
      </x:c>
      <x:c r="CY53" s="107" t="n">
        <x:f>IF(CY$3&lt;$B$38,CY52,0)</x:f>
      </x:c>
      <x:c r="CZ53" s="107" t="n">
        <x:f>IF(CZ$3&lt;$B$38,CZ52,0)</x:f>
      </x:c>
      <x:c r="DA53" s="107" t="n">
        <x:f>IF(DA$3&lt;$B$38,DA52,0)</x:f>
      </x:c>
      <x:c r="DB53" s="107" t="n">
        <x:f>IF(DB$3&lt;$B$38,DB52,0)</x:f>
      </x:c>
      <x:c r="DC53" s="107" t="n">
        <x:f>IF(DC$3&lt;$B$38,DC52,0)</x:f>
      </x:c>
      <x:c r="DD53" s="107" t="n">
        <x:f>IF(DD$3&lt;$B$38,DD52,0)</x:f>
      </x:c>
      <x:c r="DE53" s="107" t="n">
        <x:f>IF(DE$3&lt;$B$38,DE52,0)</x:f>
      </x:c>
      <x:c r="DF53" s="107" t="n">
        <x:f>IF(DF$3&lt;$B$38,DF52,0)</x:f>
      </x:c>
      <x:c r="DG53" s="107" t="n">
        <x:f>IF(DG$3&lt;$B$38,DG52,0)</x:f>
      </x:c>
      <x:c r="DH53" s="107" t="n">
        <x:f>IF(DH$3&lt;$B$38,DH52,0)</x:f>
      </x:c>
      <x:c r="DI53" s="107" t="n">
        <x:f>IF(DI$3&lt;$B$38,DI52,0)</x:f>
      </x:c>
      <x:c r="DJ53" s="107" t="n">
        <x:f>IF(DJ$3&lt;$B$38,DJ52,0)</x:f>
      </x:c>
      <x:c r="DK53" s="107" t="n">
        <x:f>IF(DK$3&lt;$B$38,DK52,0)</x:f>
      </x:c>
      <x:c r="DL53" s="107" t="n">
        <x:f>IF(DL$3&lt;$B$38,DL52,0)</x:f>
      </x:c>
      <x:c r="DM53" s="107" t="n">
        <x:f>IF(DM$3&lt;$B$38,DM52,0)</x:f>
      </x:c>
      <x:c r="DN53" s="107" t="n">
        <x:f>IF(DN$3&lt;$B$38,DN52,0)</x:f>
      </x:c>
      <x:c r="DO53" s="107" t="n">
        <x:f>IF(DO$3&lt;$B$38,DO52,0)</x:f>
      </x:c>
      <x:c r="DP53" s="107" t="n">
        <x:f>IF(DP$3&lt;$B$38,DP52,0)</x:f>
      </x:c>
      <x:c r="DQ53" s="107" t="n">
        <x:f>IF(DQ$3&lt;$B$38,DQ52,0)</x:f>
      </x:c>
      <x:c r="DR53" s="107" t="n">
        <x:f>IF(DR$3&lt;$B$38,DR52,0)</x:f>
      </x:c>
      <x:c r="DS53" s="107" t="n">
        <x:f>IF(DS$3&lt;$B$38,DS52,0)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IF(D$3&gt;=$B$38,D52,0)</x:f>
      </x:c>
      <x:c r="E54" s="107" t="n">
        <x:f>IF(E$3&gt;=$B$38,E52,0)</x:f>
      </x:c>
      <x:c r="F54" s="107" t="n">
        <x:f>IF(F$3&gt;=$B$38,F52,0)</x:f>
      </x:c>
      <x:c r="G54" s="107" t="n">
        <x:f>IF(G$3&gt;=$B$38,G52,0)</x:f>
      </x:c>
      <x:c r="H54" s="107" t="n">
        <x:f>IF(H$3&gt;=$B$38,H52,0)</x:f>
      </x:c>
      <x:c r="I54" s="107" t="n">
        <x:f>IF(I$3&gt;=$B$38,I52,0)</x:f>
      </x:c>
      <x:c r="J54" s="107" t="n">
        <x:f>IF(J$3&gt;=$B$38,J52,0)</x:f>
      </x:c>
      <x:c r="K54" s="107" t="n">
        <x:f>IF(K$3&gt;=$B$38,K52,0)</x:f>
      </x:c>
      <x:c r="L54" s="107" t="n">
        <x:f>IF(L$3&gt;=$B$38,L52,0)</x:f>
      </x:c>
      <x:c r="M54" s="107" t="n">
        <x:f>IF(M$3&gt;=$B$38,M52,0)</x:f>
      </x:c>
      <x:c r="N54" s="107" t="n">
        <x:f>IF(N$3&gt;=$B$38,N52,0)</x:f>
      </x:c>
      <x:c r="O54" s="107" t="n">
        <x:f>IF(O$3&gt;=$B$38,O52,0)</x:f>
      </x:c>
      <x:c r="P54" s="107" t="n">
        <x:f>IF(P$3&gt;=$B$38,P52,0)</x:f>
      </x:c>
      <x:c r="Q54" s="107" t="n">
        <x:f>IF(Q$3&gt;=$B$38,Q52,0)</x:f>
      </x:c>
      <x:c r="R54" s="107" t="n">
        <x:f>IF(R$3&gt;=$B$38,R52,0)</x:f>
      </x:c>
      <x:c r="S54" s="107" t="n">
        <x:f>IF(S$3&gt;=$B$38,S52,0)</x:f>
      </x:c>
      <x:c r="T54" s="107" t="n">
        <x:f>IF(T$3&gt;=$B$38,T52,0)</x:f>
      </x:c>
      <x:c r="U54" s="107" t="n">
        <x:f>IF(U$3&gt;=$B$38,U52,0)</x:f>
      </x:c>
      <x:c r="V54" s="107" t="n">
        <x:f>IF(V$3&gt;=$B$38,V52,0)</x:f>
      </x:c>
      <x:c r="W54" s="107" t="n">
        <x:f>IF(W$3&gt;=$B$38,W52,0)</x:f>
      </x:c>
      <x:c r="X54" s="107" t="n">
        <x:f>IF(X$3&gt;=$B$38,X52,0)</x:f>
      </x:c>
      <x:c r="Y54" s="107" t="n">
        <x:f>IF(Y$3&gt;=$B$38,Y52,0)</x:f>
      </x:c>
      <x:c r="Z54" s="107" t="n">
        <x:f>IF(Z$3&gt;=$B$38,Z52,0)</x:f>
      </x:c>
      <x:c r="AA54" s="107" t="n">
        <x:f>IF(AA$3&gt;=$B$38,AA52,0)</x:f>
      </x:c>
      <x:c r="AB54" s="107" t="n">
        <x:f>IF(AB$3&gt;=$B$38,AB52,0)</x:f>
      </x:c>
      <x:c r="AC54" s="107" t="n">
        <x:f>IF(AC$3&gt;=$B$38,AC52,0)</x:f>
      </x:c>
      <x:c r="AD54" s="107" t="n">
        <x:f>IF(AD$3&gt;=$B$38,AD52,0)</x:f>
      </x:c>
      <x:c r="AE54" s="107" t="n">
        <x:f>IF(AE$3&gt;=$B$38,AE52,0)</x:f>
      </x:c>
      <x:c r="AF54" s="107" t="n">
        <x:f>IF(AF$3&gt;=$B$38,AF52,0)</x:f>
      </x:c>
      <x:c r="AG54" s="107" t="n">
        <x:f>IF(AG$3&gt;=$B$38,AG52,0)</x:f>
      </x:c>
      <x:c r="AH54" s="107" t="n">
        <x:f>IF(AH$3&gt;=$B$38,AH52,0)</x:f>
      </x:c>
      <x:c r="AI54" s="107" t="n">
        <x:f>IF(AI$3&gt;=$B$38,AI52,0)</x:f>
      </x:c>
      <x:c r="AJ54" s="107" t="n">
        <x:f>IF(AJ$3&gt;=$B$38,AJ52,0)</x:f>
      </x:c>
      <x:c r="AK54" s="107" t="n">
        <x:f>IF(AK$3&gt;=$B$38,AK52,0)</x:f>
      </x:c>
      <x:c r="AL54" s="107" t="n">
        <x:f>IF(AL$3&gt;=$B$38,AL52,0)</x:f>
      </x:c>
      <x:c r="AM54" s="107" t="n">
        <x:f>IF(AM$3&gt;=$B$38,AM52,0)</x:f>
      </x:c>
      <x:c r="AN54" s="107" t="n">
        <x:f>IF(AN$3&gt;=$B$38,AN52,0)</x:f>
      </x:c>
      <x:c r="AO54" s="107" t="n">
        <x:f>IF(AO$3&gt;=$B$38,AO52,0)</x:f>
      </x:c>
      <x:c r="AP54" s="107" t="n">
        <x:f>IF(AP$3&gt;=$B$38,AP52,0)</x:f>
      </x:c>
      <x:c r="AQ54" s="107" t="n">
        <x:f>IF(AQ$3&gt;=$B$38,AQ52,0)</x:f>
      </x:c>
      <x:c r="AR54" s="107" t="n">
        <x:f>IF(AR$3&gt;=$B$38,AR52,0)</x:f>
      </x:c>
      <x:c r="AS54" s="107" t="n">
        <x:f>IF(AS$3&gt;=$B$38,AS52,0)</x:f>
      </x:c>
      <x:c r="AT54" s="107" t="n">
        <x:f>IF(AT$3&gt;=$B$38,AT52,0)</x:f>
      </x:c>
      <x:c r="AU54" s="107" t="n">
        <x:f>IF(AU$3&gt;=$B$38,AU52,0)</x:f>
      </x:c>
      <x:c r="AV54" s="107" t="n">
        <x:f>IF(AV$3&gt;=$B$38,AV52,0)</x:f>
      </x:c>
      <x:c r="AW54" s="107" t="n">
        <x:f>IF(AW$3&gt;=$B$38,AW52,0)</x:f>
      </x:c>
      <x:c r="AX54" s="107" t="n">
        <x:f>IF(AX$3&gt;=$B$38,AX52,0)</x:f>
      </x:c>
      <x:c r="AY54" s="107" t="n">
        <x:f>IF(AY$3&gt;=$B$38,AY52,0)</x:f>
      </x:c>
      <x:c r="AZ54" s="107" t="n">
        <x:f>IF(AZ$3&gt;=$B$38,AZ52,0)</x:f>
      </x:c>
      <x:c r="BA54" s="107" t="n">
        <x:f>IF(BA$3&gt;=$B$38,BA52,0)</x:f>
      </x:c>
      <x:c r="BB54" s="107" t="n">
        <x:f>IF(BB$3&gt;=$B$38,BB52,0)</x:f>
      </x:c>
      <x:c r="BC54" s="107" t="n">
        <x:f>IF(BC$3&gt;=$B$38,BC52,0)</x:f>
      </x:c>
      <x:c r="BD54" s="107" t="n">
        <x:f>IF(BD$3&gt;=$B$38,BD52,0)</x:f>
      </x:c>
      <x:c r="BE54" s="107" t="n">
        <x:f>IF(BE$3&gt;=$B$38,BE52,0)</x:f>
      </x:c>
      <x:c r="BF54" s="107" t="n">
        <x:f>IF(BF$3&gt;=$B$38,BF52,0)</x:f>
      </x:c>
      <x:c r="BG54" s="107" t="n">
        <x:f>IF(BG$3&gt;=$B$38,BG52,0)</x:f>
      </x:c>
      <x:c r="BH54" s="107" t="n">
        <x:f>IF(BH$3&gt;=$B$38,BH52,0)</x:f>
      </x:c>
      <x:c r="BI54" s="107" t="n">
        <x:f>IF(BI$3&gt;=$B$38,BI52,0)</x:f>
      </x:c>
      <x:c r="BJ54" s="107" t="n">
        <x:f>IF(BJ$3&gt;=$B$38,BJ52,0)</x:f>
      </x:c>
      <x:c r="BK54" s="107" t="n">
        <x:f>IF(BK$3&gt;=$B$38,BK52,0)</x:f>
      </x:c>
      <x:c r="BL54" s="107" t="n">
        <x:f>IF(BL$3&gt;=$B$38,BL52,0)</x:f>
      </x:c>
      <x:c r="BM54" s="107" t="n">
        <x:f>IF(BM$3&gt;=$B$38,BM52,0)</x:f>
      </x:c>
      <x:c r="BN54" s="107" t="n">
        <x:f>IF(BN$3&gt;=$B$38,BN52,0)</x:f>
      </x:c>
      <x:c r="BO54" s="107" t="n">
        <x:f>IF(BO$3&gt;=$B$38,BO52,0)</x:f>
      </x:c>
      <x:c r="BP54" s="107" t="n">
        <x:f>IF(BP$3&gt;=$B$38,BP52,0)</x:f>
      </x:c>
      <x:c r="BQ54" s="107" t="n">
        <x:f>IF(BQ$3&gt;=$B$38,BQ52,0)</x:f>
      </x:c>
      <x:c r="BR54" s="107" t="n">
        <x:f>IF(BR$3&gt;=$B$38,BR52,0)</x:f>
      </x:c>
      <x:c r="BS54" s="107" t="n">
        <x:f>IF(BS$3&gt;=$B$38,BS52,0)</x:f>
      </x:c>
      <x:c r="BT54" s="107" t="n">
        <x:f>IF(BT$3&gt;=$B$38,BT52,0)</x:f>
      </x:c>
      <x:c r="BU54" s="107" t="n">
        <x:f>IF(BU$3&gt;=$B$38,BU52,0)</x:f>
      </x:c>
      <x:c r="BV54" s="107" t="n">
        <x:f>IF(BV$3&gt;=$B$38,BV52,0)</x:f>
      </x:c>
      <x:c r="BW54" s="107" t="n">
        <x:f>IF(BW$3&gt;=$B$38,BW52,0)</x:f>
      </x:c>
      <x:c r="BX54" s="107" t="n">
        <x:f>IF(BX$3&gt;=$B$38,BX52,0)</x:f>
      </x:c>
      <x:c r="BY54" s="107" t="n">
        <x:f>IF(BY$3&gt;=$B$38,BY52,0)</x:f>
      </x:c>
      <x:c r="BZ54" s="107" t="n">
        <x:f>IF(BZ$3&gt;=$B$38,BZ52,0)</x:f>
      </x:c>
      <x:c r="CA54" s="107" t="n">
        <x:f>IF(CA$3&gt;=$B$38,CA52,0)</x:f>
      </x:c>
      <x:c r="CB54" s="107" t="n">
        <x:f>IF(CB$3&gt;=$B$38,CB52,0)</x:f>
      </x:c>
      <x:c r="CC54" s="107" t="n">
        <x:f>IF(CC$3&gt;=$B$38,CC52,0)</x:f>
      </x:c>
      <x:c r="CD54" s="107" t="n">
        <x:f>IF(CD$3&gt;=$B$38,CD52,0)</x:f>
      </x:c>
      <x:c r="CE54" s="107" t="n">
        <x:f>IF(CE$3&gt;=$B$38,CE52,0)</x:f>
      </x:c>
      <x:c r="CF54" s="107" t="n">
        <x:f>IF(CF$3&gt;=$B$38,CF52,0)</x:f>
      </x:c>
      <x:c r="CG54" s="107" t="n">
        <x:f>IF(CG$3&gt;=$B$38,CG52,0)</x:f>
      </x:c>
      <x:c r="CH54" s="107" t="n">
        <x:f>IF(CH$3&gt;=$B$38,CH52,0)</x:f>
      </x:c>
      <x:c r="CI54" s="107" t="n">
        <x:f>IF(CI$3&gt;=$B$38,CI52,0)</x:f>
      </x:c>
      <x:c r="CJ54" s="107" t="n">
        <x:f>IF(CJ$3&gt;=$B$38,CJ52,0)</x:f>
      </x:c>
      <x:c r="CK54" s="107" t="n">
        <x:f>IF(CK$3&gt;=$B$38,CK52,0)</x:f>
      </x:c>
      <x:c r="CL54" s="107" t="n">
        <x:f>IF(CL$3&gt;=$B$38,CL52,0)</x:f>
      </x:c>
      <x:c r="CM54" s="107" t="n">
        <x:f>IF(CM$3&gt;=$B$38,CM52,0)</x:f>
      </x:c>
      <x:c r="CN54" s="107" t="n">
        <x:f>IF(CN$3&gt;=$B$38,CN52,0)</x:f>
      </x:c>
      <x:c r="CO54" s="107" t="n">
        <x:f>IF(CO$3&gt;=$B$38,CO52,0)</x:f>
      </x:c>
      <x:c r="CP54" s="107" t="n">
        <x:f>IF(CP$3&gt;=$B$38,CP52,0)</x:f>
      </x:c>
      <x:c r="CQ54" s="107" t="n">
        <x:f>IF(CQ$3&gt;=$B$38,CQ52,0)</x:f>
      </x:c>
      <x:c r="CR54" s="107" t="n">
        <x:f>IF(CR$3&gt;=$B$38,CR52,0)</x:f>
      </x:c>
      <x:c r="CS54" s="107" t="n">
        <x:f>IF(CS$3&gt;=$B$38,CS52,0)</x:f>
      </x:c>
      <x:c r="CT54" s="107" t="n">
        <x:f>IF(CT$3&gt;=$B$38,CT52,0)</x:f>
      </x:c>
      <x:c r="CU54" s="107" t="n">
        <x:f>IF(CU$3&gt;=$B$38,CU52,0)</x:f>
      </x:c>
      <x:c r="CV54" s="107" t="n">
        <x:f>IF(CV$3&gt;=$B$38,CV52,0)</x:f>
      </x:c>
      <x:c r="CW54" s="107" t="n">
        <x:f>IF(CW$3&gt;=$B$38,CW52,0)</x:f>
      </x:c>
      <x:c r="CX54" s="107" t="n">
        <x:f>IF(CX$3&gt;=$B$38,CX52,0)</x:f>
      </x:c>
      <x:c r="CY54" s="107" t="n">
        <x:f>IF(CY$3&gt;=$B$38,CY52,0)</x:f>
      </x:c>
      <x:c r="CZ54" s="107" t="n">
        <x:f>IF(CZ$3&gt;=$B$38,CZ52,0)</x:f>
      </x:c>
      <x:c r="DA54" s="107" t="n">
        <x:f>IF(DA$3&gt;=$B$38,DA52,0)</x:f>
      </x:c>
      <x:c r="DB54" s="107" t="n">
        <x:f>IF(DB$3&gt;=$B$38,DB52,0)</x:f>
      </x:c>
      <x:c r="DC54" s="107" t="n">
        <x:f>IF(DC$3&gt;=$B$38,DC52,0)</x:f>
      </x:c>
      <x:c r="DD54" s="107" t="n">
        <x:f>IF(DD$3&gt;=$B$38,DD52,0)</x:f>
      </x:c>
      <x:c r="DE54" s="107" t="n">
        <x:f>IF(DE$3&gt;=$B$38,DE52,0)</x:f>
      </x:c>
      <x:c r="DF54" s="107" t="n">
        <x:f>IF(DF$3&gt;=$B$38,DF52,0)</x:f>
      </x:c>
      <x:c r="DG54" s="107" t="n">
        <x:f>IF(DG$3&gt;=$B$38,DG52,0)</x:f>
      </x:c>
      <x:c r="DH54" s="107" t="n">
        <x:f>IF(DH$3&gt;=$B$38,DH52,0)</x:f>
      </x:c>
      <x:c r="DI54" s="107" t="n">
        <x:f>IF(DI$3&gt;=$B$38,DI52,0)</x:f>
      </x:c>
      <x:c r="DJ54" s="107" t="n">
        <x:f>IF(DJ$3&gt;=$B$38,DJ52,0)</x:f>
      </x:c>
      <x:c r="DK54" s="107" t="n">
        <x:f>IF(DK$3&gt;=$B$38,DK52,0)</x:f>
      </x:c>
      <x:c r="DL54" s="107" t="n">
        <x:f>IF(DL$3&gt;=$B$38,DL52,0)</x:f>
      </x:c>
      <x:c r="DM54" s="107" t="n">
        <x:f>IF(DM$3&gt;=$B$38,DM52,0)</x:f>
      </x:c>
      <x:c r="DN54" s="107" t="n">
        <x:f>IF(DN$3&gt;=$B$38,DN52,0)</x:f>
      </x:c>
      <x:c r="DO54" s="107" t="n">
        <x:f>IF(DO$3&gt;=$B$38,DO52,0)</x:f>
      </x:c>
      <x:c r="DP54" s="107" t="n">
        <x:f>IF(DP$3&gt;=$B$38,DP52,0)</x:f>
      </x:c>
      <x:c r="DQ54" s="107" t="n">
        <x:f>IF(DQ$3&gt;=$B$38,DQ52,0)</x:f>
      </x:c>
      <x:c r="DR54" s="107" t="n">
        <x:f>IF(DR$3&gt;=$B$38,DR52,0)</x:f>
      </x:c>
      <x:c r="DS54" s="107" t="n">
        <x:f>IF(DS$3&gt;=$B$38,DS52,0)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IF(AND(YEAR(D$3)=YEAR($B$38),MONTH(D$3)=MONTH($B$38),AND($B$35="Да",IFERROR(INDEX('Вводные'!$B$88:$B$91,$B$36),"Нет")="Да")),MAX(0,SUM($D53:D53)-D53),0)</x:f>
      </x:c>
      <x:c r="E55" s="107" t="n">
        <x:f>IF(AND(YEAR(E$3)=YEAR($B$38),MONTH(E$3)=MONTH($B$38),AND($B$35="Да",IFERROR(INDEX('Вводные'!$B$88:$B$91,$B$36),"Нет")="Да")),MAX(0,SUM($D53:E53)-E53),0)</x:f>
      </x:c>
      <x:c r="F55" s="107" t="n">
        <x:f>IF(AND(YEAR(F$3)=YEAR($B$38),MONTH(F$3)=MONTH($B$38),AND($B$35="Да",IFERROR(INDEX('Вводные'!$B$88:$B$91,$B$36),"Нет")="Да")),MAX(0,SUM($D53:F53)-F53),0)</x:f>
      </x:c>
      <x:c r="G55" s="107" t="n">
        <x:f>IF(AND(YEAR(G$3)=YEAR($B$38),MONTH(G$3)=MONTH($B$38),AND($B$35="Да",IFERROR(INDEX('Вводные'!$B$88:$B$91,$B$36),"Нет")="Да")),MAX(0,SUM($D53:G53)-G53),0)</x:f>
      </x:c>
      <x:c r="H55" s="107" t="n">
        <x:f>IF(AND(YEAR(H$3)=YEAR($B$38),MONTH(H$3)=MONTH($B$38),AND($B$35="Да",IFERROR(INDEX('Вводные'!$B$88:$B$91,$B$36),"Нет")="Да")),MAX(0,SUM($D53:H53)-H53),0)</x:f>
      </x:c>
      <x:c r="I55" s="107" t="n">
        <x:f>IF(AND(YEAR(I$3)=YEAR($B$38),MONTH(I$3)=MONTH($B$38),AND($B$35="Да",IFERROR(INDEX('Вводные'!$B$88:$B$91,$B$36),"Нет")="Да")),MAX(0,SUM($D53:I53)-I53),0)</x:f>
      </x:c>
      <x:c r="J55" s="107" t="n">
        <x:f>IF(AND(YEAR(J$3)=YEAR($B$38),MONTH(J$3)=MONTH($B$38),AND($B$35="Да",IFERROR(INDEX('Вводные'!$B$88:$B$91,$B$36),"Нет")="Да")),MAX(0,SUM($D53:J53)-J53),0)</x:f>
      </x:c>
      <x:c r="K55" s="107" t="n">
        <x:f>IF(AND(YEAR(K$3)=YEAR($B$38),MONTH(K$3)=MONTH($B$38),AND($B$35="Да",IFERROR(INDEX('Вводные'!$B$88:$B$91,$B$36),"Нет")="Да")),MAX(0,SUM($D53:K53)-K53),0)</x:f>
      </x:c>
      <x:c r="L55" s="107" t="n">
        <x:f>IF(AND(YEAR(L$3)=YEAR($B$38),MONTH(L$3)=MONTH($B$38),AND($B$35="Да",IFERROR(INDEX('Вводные'!$B$88:$B$91,$B$36),"Нет")="Да")),MAX(0,SUM($D53:L53)-L53),0)</x:f>
      </x:c>
      <x:c r="M55" s="107" t="n">
        <x:f>IF(AND(YEAR(M$3)=YEAR($B$38),MONTH(M$3)=MONTH($B$38),AND($B$35="Да",IFERROR(INDEX('Вводные'!$B$88:$B$91,$B$36),"Нет")="Да")),MAX(0,SUM($D53:M53)-M53),0)</x:f>
      </x:c>
      <x:c r="N55" s="107" t="n">
        <x:f>IF(AND(YEAR(N$3)=YEAR($B$38),MONTH(N$3)=MONTH($B$38),AND($B$35="Да",IFERROR(INDEX('Вводные'!$B$88:$B$91,$B$36),"Нет")="Да")),MAX(0,SUM($D53:N53)-N53),0)</x:f>
      </x:c>
      <x:c r="O55" s="107" t="n">
        <x:f>IF(AND(YEAR(O$3)=YEAR($B$38),MONTH(O$3)=MONTH($B$38),AND($B$35="Да",IFERROR(INDEX('Вводные'!$B$88:$B$91,$B$36),"Нет")="Да")),MAX(0,SUM($D53:O53)-O53),0)</x:f>
      </x:c>
      <x:c r="P55" s="107" t="n">
        <x:f>IF(AND(YEAR(P$3)=YEAR($B$38),MONTH(P$3)=MONTH($B$38),AND($B$35="Да",IFERROR(INDEX('Вводные'!$B$88:$B$91,$B$36),"Нет")="Да")),MAX(0,SUM($D53:P53)-P53),0)</x:f>
      </x:c>
      <x:c r="Q55" s="107" t="n">
        <x:f>IF(AND(YEAR(Q$3)=YEAR($B$38),MONTH(Q$3)=MONTH($B$38),AND($B$35="Да",IFERROR(INDEX('Вводные'!$B$88:$B$91,$B$36),"Нет")="Да")),MAX(0,SUM($D53:Q53)-Q53),0)</x:f>
      </x:c>
      <x:c r="R55" s="107" t="n">
        <x:f>IF(AND(YEAR(R$3)=YEAR($B$38),MONTH(R$3)=MONTH($B$38),AND($B$35="Да",IFERROR(INDEX('Вводные'!$B$88:$B$91,$B$36),"Нет")="Да")),MAX(0,SUM($D53:R53)-R53),0)</x:f>
      </x:c>
      <x:c r="S55" s="107" t="n">
        <x:f>IF(AND(YEAR(S$3)=YEAR($B$38),MONTH(S$3)=MONTH($B$38),AND($B$35="Да",IFERROR(INDEX('Вводные'!$B$88:$B$91,$B$36),"Нет")="Да")),MAX(0,SUM($D53:S53)-S53),0)</x:f>
      </x:c>
      <x:c r="T55" s="107" t="n">
        <x:f>IF(AND(YEAR(T$3)=YEAR($B$38),MONTH(T$3)=MONTH($B$38),AND($B$35="Да",IFERROR(INDEX('Вводные'!$B$88:$B$91,$B$36),"Нет")="Да")),MAX(0,SUM($D53:T53)-T53),0)</x:f>
      </x:c>
      <x:c r="U55" s="107" t="n">
        <x:f>IF(AND(YEAR(U$3)=YEAR($B$38),MONTH(U$3)=MONTH($B$38),AND($B$35="Да",IFERROR(INDEX('Вводные'!$B$88:$B$91,$B$36),"Нет")="Да")),MAX(0,SUM($D53:U53)-U53),0)</x:f>
      </x:c>
      <x:c r="V55" s="107" t="n">
        <x:f>IF(AND(YEAR(V$3)=YEAR($B$38),MONTH(V$3)=MONTH($B$38),AND($B$35="Да",IFERROR(INDEX('Вводные'!$B$88:$B$91,$B$36),"Нет")="Да")),MAX(0,SUM($D53:V53)-V53),0)</x:f>
      </x:c>
      <x:c r="W55" s="107" t="n">
        <x:f>IF(AND(YEAR(W$3)=YEAR($B$38),MONTH(W$3)=MONTH($B$38),AND($B$35="Да",IFERROR(INDEX('Вводные'!$B$88:$B$91,$B$36),"Нет")="Да")),MAX(0,SUM($D53:W53)-W53),0)</x:f>
      </x:c>
      <x:c r="X55" s="107" t="n">
        <x:f>IF(AND(YEAR(X$3)=YEAR($B$38),MONTH(X$3)=MONTH($B$38),AND($B$35="Да",IFERROR(INDEX('Вводные'!$B$88:$B$91,$B$36),"Нет")="Да")),MAX(0,SUM($D53:X53)-X53),0)</x:f>
      </x:c>
      <x:c r="Y55" s="107" t="n">
        <x:f>IF(AND(YEAR(Y$3)=YEAR($B$38),MONTH(Y$3)=MONTH($B$38),AND($B$35="Да",IFERROR(INDEX('Вводные'!$B$88:$B$91,$B$36),"Нет")="Да")),MAX(0,SUM($D53:Y53)-Y53),0)</x:f>
      </x:c>
      <x:c r="Z55" s="107" t="n">
        <x:f>IF(AND(YEAR(Z$3)=YEAR($B$38),MONTH(Z$3)=MONTH($B$38),AND($B$35="Да",IFERROR(INDEX('Вводные'!$B$88:$B$91,$B$36),"Нет")="Да")),MAX(0,SUM($D53:Z53)-Z53),0)</x:f>
      </x:c>
      <x:c r="AA55" s="107" t="n">
        <x:f>IF(AND(YEAR(AA$3)=YEAR($B$38),MONTH(AA$3)=MONTH($B$38),AND($B$35="Да",IFERROR(INDEX('Вводные'!$B$88:$B$91,$B$36),"Нет")="Да")),MAX(0,SUM($D53:AA53)-AA53),0)</x:f>
      </x:c>
      <x:c r="AB55" s="107" t="n">
        <x:f>IF(AND(YEAR(AB$3)=YEAR($B$38),MONTH(AB$3)=MONTH($B$38),AND($B$35="Да",IFERROR(INDEX('Вводные'!$B$88:$B$91,$B$36),"Нет")="Да")),MAX(0,SUM($D53:AB53)-AB53),0)</x:f>
      </x:c>
      <x:c r="AC55" s="107" t="n">
        <x:f>IF(AND(YEAR(AC$3)=YEAR($B$38),MONTH(AC$3)=MONTH($B$38),AND($B$35="Да",IFERROR(INDEX('Вводные'!$B$88:$B$91,$B$36),"Нет")="Да")),MAX(0,SUM($D53:AC53)-AC53),0)</x:f>
      </x:c>
      <x:c r="AD55" s="107" t="n">
        <x:f>IF(AND(YEAR(AD$3)=YEAR($B$38),MONTH(AD$3)=MONTH($B$38),AND($B$35="Да",IFERROR(INDEX('Вводные'!$B$88:$B$91,$B$36),"Нет")="Да")),MAX(0,SUM($D53:AD53)-AD53),0)</x:f>
      </x:c>
      <x:c r="AE55" s="107" t="n">
        <x:f>IF(AND(YEAR(AE$3)=YEAR($B$38),MONTH(AE$3)=MONTH($B$38),AND($B$35="Да",IFERROR(INDEX('Вводные'!$B$88:$B$91,$B$36),"Нет")="Да")),MAX(0,SUM($D53:AE53)-AE53),0)</x:f>
      </x:c>
      <x:c r="AF55" s="107" t="n">
        <x:f>IF(AND(YEAR(AF$3)=YEAR($B$38),MONTH(AF$3)=MONTH($B$38),AND($B$35="Да",IFERROR(INDEX('Вводные'!$B$88:$B$91,$B$36),"Нет")="Да")),MAX(0,SUM($D53:AF53)-AF53),0)</x:f>
      </x:c>
      <x:c r="AG55" s="107" t="n">
        <x:f>IF(AND(YEAR(AG$3)=YEAR($B$38),MONTH(AG$3)=MONTH($B$38),AND($B$35="Да",IFERROR(INDEX('Вводные'!$B$88:$B$91,$B$36),"Нет")="Да")),MAX(0,SUM($D53:AG53)-AG53),0)</x:f>
      </x:c>
      <x:c r="AH55" s="107" t="n">
        <x:f>IF(AND(YEAR(AH$3)=YEAR($B$38),MONTH(AH$3)=MONTH($B$38),AND($B$35="Да",IFERROR(INDEX('Вводные'!$B$88:$B$91,$B$36),"Нет")="Да")),MAX(0,SUM($D53:AH53)-AH53),0)</x:f>
      </x:c>
      <x:c r="AI55" s="107" t="n">
        <x:f>IF(AND(YEAR(AI$3)=YEAR($B$38),MONTH(AI$3)=MONTH($B$38),AND($B$35="Да",IFERROR(INDEX('Вводные'!$B$88:$B$91,$B$36),"Нет")="Да")),MAX(0,SUM($D53:AI53)-AI53),0)</x:f>
      </x:c>
      <x:c r="AJ55" s="107" t="n">
        <x:f>IF(AND(YEAR(AJ$3)=YEAR($B$38),MONTH(AJ$3)=MONTH($B$38),AND($B$35="Да",IFERROR(INDEX('Вводные'!$B$88:$B$91,$B$36),"Нет")="Да")),MAX(0,SUM($D53:AJ53)-AJ53),0)</x:f>
      </x:c>
      <x:c r="AK55" s="107" t="n">
        <x:f>IF(AND(YEAR(AK$3)=YEAR($B$38),MONTH(AK$3)=MONTH($B$38),AND($B$35="Да",IFERROR(INDEX('Вводные'!$B$88:$B$91,$B$36),"Нет")="Да")),MAX(0,SUM($D53:AK53)-AK53),0)</x:f>
      </x:c>
      <x:c r="AL55" s="107" t="n">
        <x:f>IF(AND(YEAR(AL$3)=YEAR($B$38),MONTH(AL$3)=MONTH($B$38),AND($B$35="Да",IFERROR(INDEX('Вводные'!$B$88:$B$91,$B$36),"Нет")="Да")),MAX(0,SUM($D53:AL53)-AL53),0)</x:f>
      </x:c>
      <x:c r="AM55" s="107" t="n">
        <x:f>IF(AND(YEAR(AM$3)=YEAR($B$38),MONTH(AM$3)=MONTH($B$38),AND($B$35="Да",IFERROR(INDEX('Вводные'!$B$88:$B$91,$B$36),"Нет")="Да")),MAX(0,SUM($D53:AM53)-AM53),0)</x:f>
      </x:c>
      <x:c r="AN55" s="107" t="n">
        <x:f>IF(AND(YEAR(AN$3)=YEAR($B$38),MONTH(AN$3)=MONTH($B$38),AND($B$35="Да",IFERROR(INDEX('Вводные'!$B$88:$B$91,$B$36),"Нет")="Да")),MAX(0,SUM($D53:AN53)-AN53),0)</x:f>
      </x:c>
      <x:c r="AO55" s="107" t="n">
        <x:f>IF(AND(YEAR(AO$3)=YEAR($B$38),MONTH(AO$3)=MONTH($B$38),AND($B$35="Да",IFERROR(INDEX('Вводные'!$B$88:$B$91,$B$36),"Нет")="Да")),MAX(0,SUM($D53:AO53)-AO53),0)</x:f>
      </x:c>
      <x:c r="AP55" s="107" t="n">
        <x:f>IF(AND(YEAR(AP$3)=YEAR($B$38),MONTH(AP$3)=MONTH($B$38),AND($B$35="Да",IFERROR(INDEX('Вводные'!$B$88:$B$91,$B$36),"Нет")="Да")),MAX(0,SUM($D53:AP53)-AP53),0)</x:f>
      </x:c>
      <x:c r="AQ55" s="107" t="n">
        <x:f>IF(AND(YEAR(AQ$3)=YEAR($B$38),MONTH(AQ$3)=MONTH($B$38),AND($B$35="Да",IFERROR(INDEX('Вводные'!$B$88:$B$91,$B$36),"Нет")="Да")),MAX(0,SUM($D53:AQ53)-AQ53),0)</x:f>
      </x:c>
      <x:c r="AR55" s="107" t="n">
        <x:f>IF(AND(YEAR(AR$3)=YEAR($B$38),MONTH(AR$3)=MONTH($B$38),AND($B$35="Да",IFERROR(INDEX('Вводные'!$B$88:$B$91,$B$36),"Нет")="Да")),MAX(0,SUM($D53:AR53)-AR53),0)</x:f>
      </x:c>
      <x:c r="AS55" s="107" t="n">
        <x:f>IF(AND(YEAR(AS$3)=YEAR($B$38),MONTH(AS$3)=MONTH($B$38),AND($B$35="Да",IFERROR(INDEX('Вводные'!$B$88:$B$91,$B$36),"Нет")="Да")),MAX(0,SUM($D53:AS53)-AS53),0)</x:f>
      </x:c>
      <x:c r="AT55" s="107" t="n">
        <x:f>IF(AND(YEAR(AT$3)=YEAR($B$38),MONTH(AT$3)=MONTH($B$38),AND($B$35="Да",IFERROR(INDEX('Вводные'!$B$88:$B$91,$B$36),"Нет")="Да")),MAX(0,SUM($D53:AT53)-AT53),0)</x:f>
      </x:c>
      <x:c r="AU55" s="107" t="n">
        <x:f>IF(AND(YEAR(AU$3)=YEAR($B$38),MONTH(AU$3)=MONTH($B$38),AND($B$35="Да",IFERROR(INDEX('Вводные'!$B$88:$B$91,$B$36),"Нет")="Да")),MAX(0,SUM($D53:AU53)-AU53),0)</x:f>
      </x:c>
      <x:c r="AV55" s="107" t="n">
        <x:f>IF(AND(YEAR(AV$3)=YEAR($B$38),MONTH(AV$3)=MONTH($B$38),AND($B$35="Да",IFERROR(INDEX('Вводные'!$B$88:$B$91,$B$36),"Нет")="Да")),MAX(0,SUM($D53:AV53)-AV53),0)</x:f>
      </x:c>
      <x:c r="AW55" s="107" t="n">
        <x:f>IF(AND(YEAR(AW$3)=YEAR($B$38),MONTH(AW$3)=MONTH($B$38),AND($B$35="Да",IFERROR(INDEX('Вводные'!$B$88:$B$91,$B$36),"Нет")="Да")),MAX(0,SUM($D53:AW53)-AW53),0)</x:f>
      </x:c>
      <x:c r="AX55" s="107" t="n">
        <x:f>IF(AND(YEAR(AX$3)=YEAR($B$38),MONTH(AX$3)=MONTH($B$38),AND($B$35="Да",IFERROR(INDEX('Вводные'!$B$88:$B$91,$B$36),"Нет")="Да")),MAX(0,SUM($D53:AX53)-AX53),0)</x:f>
      </x:c>
      <x:c r="AY55" s="107" t="n">
        <x:f>IF(AND(YEAR(AY$3)=YEAR($B$38),MONTH(AY$3)=MONTH($B$38),AND($B$35="Да",IFERROR(INDEX('Вводные'!$B$88:$B$91,$B$36),"Нет")="Да")),MAX(0,SUM($D53:AY53)-AY53),0)</x:f>
      </x:c>
      <x:c r="AZ55" s="107" t="n">
        <x:f>IF(AND(YEAR(AZ$3)=YEAR($B$38),MONTH(AZ$3)=MONTH($B$38),AND($B$35="Да",IFERROR(INDEX('Вводные'!$B$88:$B$91,$B$36),"Нет")="Да")),MAX(0,SUM($D53:AZ53)-AZ53),0)</x:f>
      </x:c>
      <x:c r="BA55" s="107" t="n">
        <x:f>IF(AND(YEAR(BA$3)=YEAR($B$38),MONTH(BA$3)=MONTH($B$38),AND($B$35="Да",IFERROR(INDEX('Вводные'!$B$88:$B$91,$B$36),"Нет")="Да")),MAX(0,SUM($D53:BA53)-BA53),0)</x:f>
      </x:c>
      <x:c r="BB55" s="107" t="n">
        <x:f>IF(AND(YEAR(BB$3)=YEAR($B$38),MONTH(BB$3)=MONTH($B$38),AND($B$35="Да",IFERROR(INDEX('Вводные'!$B$88:$B$91,$B$36),"Нет")="Да")),MAX(0,SUM($D53:BB53)-BB53),0)</x:f>
      </x:c>
      <x:c r="BC55" s="107" t="n">
        <x:f>IF(AND(YEAR(BC$3)=YEAR($B$38),MONTH(BC$3)=MONTH($B$38),AND($B$35="Да",IFERROR(INDEX('Вводные'!$B$88:$B$91,$B$36),"Нет")="Да")),MAX(0,SUM($D53:BC53)-BC53),0)</x:f>
      </x:c>
      <x:c r="BD55" s="107" t="n">
        <x:f>IF(AND(YEAR(BD$3)=YEAR($B$38),MONTH(BD$3)=MONTH($B$38),AND($B$35="Да",IFERROR(INDEX('Вводные'!$B$88:$B$91,$B$36),"Нет")="Да")),MAX(0,SUM($D53:BD53)-BD53),0)</x:f>
      </x:c>
      <x:c r="BE55" s="107" t="n">
        <x:f>IF(AND(YEAR(BE$3)=YEAR($B$38),MONTH(BE$3)=MONTH($B$38),AND($B$35="Да",IFERROR(INDEX('Вводные'!$B$88:$B$91,$B$36),"Нет")="Да")),MAX(0,SUM($D53:BE53)-BE53),0)</x:f>
      </x:c>
      <x:c r="BF55" s="107" t="n">
        <x:f>IF(AND(YEAR(BF$3)=YEAR($B$38),MONTH(BF$3)=MONTH($B$38),AND($B$35="Да",IFERROR(INDEX('Вводные'!$B$88:$B$91,$B$36),"Нет")="Да")),MAX(0,SUM($D53:BF53)-BF53),0)</x:f>
      </x:c>
      <x:c r="BG55" s="107" t="n">
        <x:f>IF(AND(YEAR(BG$3)=YEAR($B$38),MONTH(BG$3)=MONTH($B$38),AND($B$35="Да",IFERROR(INDEX('Вводные'!$B$88:$B$91,$B$36),"Нет")="Да")),MAX(0,SUM($D53:BG53)-BG53),0)</x:f>
      </x:c>
      <x:c r="BH55" s="107" t="n">
        <x:f>IF(AND(YEAR(BH$3)=YEAR($B$38),MONTH(BH$3)=MONTH($B$38),AND($B$35="Да",IFERROR(INDEX('Вводные'!$B$88:$B$91,$B$36),"Нет")="Да")),MAX(0,SUM($D53:BH53)-BH53),0)</x:f>
      </x:c>
      <x:c r="BI55" s="107" t="n">
        <x:f>IF(AND(YEAR(BI$3)=YEAR($B$38),MONTH(BI$3)=MONTH($B$38),AND($B$35="Да",IFERROR(INDEX('Вводные'!$B$88:$B$91,$B$36),"Нет")="Да")),MAX(0,SUM($D53:BI53)-BI53),0)</x:f>
      </x:c>
      <x:c r="BJ55" s="107" t="n">
        <x:f>IF(AND(YEAR(BJ$3)=YEAR($B$38),MONTH(BJ$3)=MONTH($B$38),AND($B$35="Да",IFERROR(INDEX('Вводные'!$B$88:$B$91,$B$36),"Нет")="Да")),MAX(0,SUM($D53:BJ53)-BJ53),0)</x:f>
      </x:c>
      <x:c r="BK55" s="107" t="n">
        <x:f>IF(AND(YEAR(BK$3)=YEAR($B$38),MONTH(BK$3)=MONTH($B$38),AND($B$35="Да",IFERROR(INDEX('Вводные'!$B$88:$B$91,$B$36),"Нет")="Да")),MAX(0,SUM($D53:BK53)-BK53),0)</x:f>
      </x:c>
      <x:c r="BL55" s="107" t="n">
        <x:f>IF(AND(YEAR(BL$3)=YEAR($B$38),MONTH(BL$3)=MONTH($B$38),AND($B$35="Да",IFERROR(INDEX('Вводные'!$B$88:$B$91,$B$36),"Нет")="Да")),MAX(0,SUM($D53:BL53)-BL53),0)</x:f>
      </x:c>
      <x:c r="BM55" s="107" t="n">
        <x:f>IF(AND(YEAR(BM$3)=YEAR($B$38),MONTH(BM$3)=MONTH($B$38),AND($B$35="Да",IFERROR(INDEX('Вводные'!$B$88:$B$91,$B$36),"Нет")="Да")),MAX(0,SUM($D53:BM53)-BM53),0)</x:f>
      </x:c>
      <x:c r="BN55" s="107" t="n">
        <x:f>IF(AND(YEAR(BN$3)=YEAR($B$38),MONTH(BN$3)=MONTH($B$38),AND($B$35="Да",IFERROR(INDEX('Вводные'!$B$88:$B$91,$B$36),"Нет")="Да")),MAX(0,SUM($D53:BN53)-BN53),0)</x:f>
      </x:c>
      <x:c r="BO55" s="107" t="n">
        <x:f>IF(AND(YEAR(BO$3)=YEAR($B$38),MONTH(BO$3)=MONTH($B$38),AND($B$35="Да",IFERROR(INDEX('Вводные'!$B$88:$B$91,$B$36),"Нет")="Да")),MAX(0,SUM($D53:BO53)-BO53),0)</x:f>
      </x:c>
      <x:c r="BP55" s="107" t="n">
        <x:f>IF(AND(YEAR(BP$3)=YEAR($B$38),MONTH(BP$3)=MONTH($B$38),AND($B$35="Да",IFERROR(INDEX('Вводные'!$B$88:$B$91,$B$36),"Нет")="Да")),MAX(0,SUM($D53:BP53)-BP53),0)</x:f>
      </x:c>
      <x:c r="BQ55" s="107" t="n">
        <x:f>IF(AND(YEAR(BQ$3)=YEAR($B$38),MONTH(BQ$3)=MONTH($B$38),AND($B$35="Да",IFERROR(INDEX('Вводные'!$B$88:$B$91,$B$36),"Нет")="Да")),MAX(0,SUM($D53:BQ53)-BQ53),0)</x:f>
      </x:c>
      <x:c r="BR55" s="107" t="n">
        <x:f>IF(AND(YEAR(BR$3)=YEAR($B$38),MONTH(BR$3)=MONTH($B$38),AND($B$35="Да",IFERROR(INDEX('Вводные'!$B$88:$B$91,$B$36),"Нет")="Да")),MAX(0,SUM($D53:BR53)-BR53),0)</x:f>
      </x:c>
      <x:c r="BS55" s="107" t="n">
        <x:f>IF(AND(YEAR(BS$3)=YEAR($B$38),MONTH(BS$3)=MONTH($B$38),AND($B$35="Да",IFERROR(INDEX('Вводные'!$B$88:$B$91,$B$36),"Нет")="Да")),MAX(0,SUM($D53:BS53)-BS53),0)</x:f>
      </x:c>
      <x:c r="BT55" s="107" t="n">
        <x:f>IF(AND(YEAR(BT$3)=YEAR($B$38),MONTH(BT$3)=MONTH($B$38),AND($B$35="Да",IFERROR(INDEX('Вводные'!$B$88:$B$91,$B$36),"Нет")="Да")),MAX(0,SUM($D53:BT53)-BT53),0)</x:f>
      </x:c>
      <x:c r="BU55" s="107" t="n">
        <x:f>IF(AND(YEAR(BU$3)=YEAR($B$38),MONTH(BU$3)=MONTH($B$38),AND($B$35="Да",IFERROR(INDEX('Вводные'!$B$88:$B$91,$B$36),"Нет")="Да")),MAX(0,SUM($D53:BU53)-BU53),0)</x:f>
      </x:c>
      <x:c r="BV55" s="107" t="n">
        <x:f>IF(AND(YEAR(BV$3)=YEAR($B$38),MONTH(BV$3)=MONTH($B$38),AND($B$35="Да",IFERROR(INDEX('Вводные'!$B$88:$B$91,$B$36),"Нет")="Да")),MAX(0,SUM($D53:BV53)-BV53),0)</x:f>
      </x:c>
      <x:c r="BW55" s="107" t="n">
        <x:f>IF(AND(YEAR(BW$3)=YEAR($B$38),MONTH(BW$3)=MONTH($B$38),AND($B$35="Да",IFERROR(INDEX('Вводные'!$B$88:$B$91,$B$36),"Нет")="Да")),MAX(0,SUM($D53:BW53)-BW53),0)</x:f>
      </x:c>
      <x:c r="BX55" s="107" t="n">
        <x:f>IF(AND(YEAR(BX$3)=YEAR($B$38),MONTH(BX$3)=MONTH($B$38),AND($B$35="Да",IFERROR(INDEX('Вводные'!$B$88:$B$91,$B$36),"Нет")="Да")),MAX(0,SUM($D53:BX53)-BX53),0)</x:f>
      </x:c>
      <x:c r="BY55" s="107" t="n">
        <x:f>IF(AND(YEAR(BY$3)=YEAR($B$38),MONTH(BY$3)=MONTH($B$38),AND($B$35="Да",IFERROR(INDEX('Вводные'!$B$88:$B$91,$B$36),"Нет")="Да")),MAX(0,SUM($D53:BY53)-BY53),0)</x:f>
      </x:c>
      <x:c r="BZ55" s="107" t="n">
        <x:f>IF(AND(YEAR(BZ$3)=YEAR($B$38),MONTH(BZ$3)=MONTH($B$38),AND($B$35="Да",IFERROR(INDEX('Вводные'!$B$88:$B$91,$B$36),"Нет")="Да")),MAX(0,SUM($D53:BZ53)-BZ53),0)</x:f>
      </x:c>
      <x:c r="CA55" s="107" t="n">
        <x:f>IF(AND(YEAR(CA$3)=YEAR($B$38),MONTH(CA$3)=MONTH($B$38),AND($B$35="Да",IFERROR(INDEX('Вводные'!$B$88:$B$91,$B$36),"Нет")="Да")),MAX(0,SUM($D53:CA53)-CA53),0)</x:f>
      </x:c>
      <x:c r="CB55" s="107" t="n">
        <x:f>IF(AND(YEAR(CB$3)=YEAR($B$38),MONTH(CB$3)=MONTH($B$38),AND($B$35="Да",IFERROR(INDEX('Вводные'!$B$88:$B$91,$B$36),"Нет")="Да")),MAX(0,SUM($D53:CB53)-CB53),0)</x:f>
      </x:c>
      <x:c r="CC55" s="107" t="n">
        <x:f>IF(AND(YEAR(CC$3)=YEAR($B$38),MONTH(CC$3)=MONTH($B$38),AND($B$35="Да",IFERROR(INDEX('Вводные'!$B$88:$B$91,$B$36),"Нет")="Да")),MAX(0,SUM($D53:CC53)-CC53),0)</x:f>
      </x:c>
      <x:c r="CD55" s="107" t="n">
        <x:f>IF(AND(YEAR(CD$3)=YEAR($B$38),MONTH(CD$3)=MONTH($B$38),AND($B$35="Да",IFERROR(INDEX('Вводные'!$B$88:$B$91,$B$36),"Нет")="Да")),MAX(0,SUM($D53:CD53)-CD53),0)</x:f>
      </x:c>
      <x:c r="CE55" s="107" t="n">
        <x:f>IF(AND(YEAR(CE$3)=YEAR($B$38),MONTH(CE$3)=MONTH($B$38),AND($B$35="Да",IFERROR(INDEX('Вводные'!$B$88:$B$91,$B$36),"Нет")="Да")),MAX(0,SUM($D53:CE53)-CE53),0)</x:f>
      </x:c>
      <x:c r="CF55" s="107" t="n">
        <x:f>IF(AND(YEAR(CF$3)=YEAR($B$38),MONTH(CF$3)=MONTH($B$38),AND($B$35="Да",IFERROR(INDEX('Вводные'!$B$88:$B$91,$B$36),"Нет")="Да")),MAX(0,SUM($D53:CF53)-CF53),0)</x:f>
      </x:c>
      <x:c r="CG55" s="107" t="n">
        <x:f>IF(AND(YEAR(CG$3)=YEAR($B$38),MONTH(CG$3)=MONTH($B$38),AND($B$35="Да",IFERROR(INDEX('Вводные'!$B$88:$B$91,$B$36),"Нет")="Да")),MAX(0,SUM($D53:CG53)-CG53),0)</x:f>
      </x:c>
      <x:c r="CH55" s="107" t="n">
        <x:f>IF(AND(YEAR(CH$3)=YEAR($B$38),MONTH(CH$3)=MONTH($B$38),AND($B$35="Да",IFERROR(INDEX('Вводные'!$B$88:$B$91,$B$36),"Нет")="Да")),MAX(0,SUM($D53:CH53)-CH53),0)</x:f>
      </x:c>
      <x:c r="CI55" s="107" t="n">
        <x:f>IF(AND(YEAR(CI$3)=YEAR($B$38),MONTH(CI$3)=MONTH($B$38),AND($B$35="Да",IFERROR(INDEX('Вводные'!$B$88:$B$91,$B$36),"Нет")="Да")),MAX(0,SUM($D53:CI53)-CI53),0)</x:f>
      </x:c>
      <x:c r="CJ55" s="107" t="n">
        <x:f>IF(AND(YEAR(CJ$3)=YEAR($B$38),MONTH(CJ$3)=MONTH($B$38),AND($B$35="Да",IFERROR(INDEX('Вводные'!$B$88:$B$91,$B$36),"Нет")="Да")),MAX(0,SUM($D53:CJ53)-CJ53),0)</x:f>
      </x:c>
      <x:c r="CK55" s="107" t="n">
        <x:f>IF(AND(YEAR(CK$3)=YEAR($B$38),MONTH(CK$3)=MONTH($B$38),AND($B$35="Да",IFERROR(INDEX('Вводные'!$B$88:$B$91,$B$36),"Нет")="Да")),MAX(0,SUM($D53:CK53)-CK53),0)</x:f>
      </x:c>
      <x:c r="CL55" s="107" t="n">
        <x:f>IF(AND(YEAR(CL$3)=YEAR($B$38),MONTH(CL$3)=MONTH($B$38),AND($B$35="Да",IFERROR(INDEX('Вводные'!$B$88:$B$91,$B$36),"Нет")="Да")),MAX(0,SUM($D53:CL53)-CL53),0)</x:f>
      </x:c>
      <x:c r="CM55" s="107" t="n">
        <x:f>IF(AND(YEAR(CM$3)=YEAR($B$38),MONTH(CM$3)=MONTH($B$38),AND($B$35="Да",IFERROR(INDEX('Вводные'!$B$88:$B$91,$B$36),"Нет")="Да")),MAX(0,SUM($D53:CM53)-CM53),0)</x:f>
      </x:c>
      <x:c r="CN55" s="107" t="n">
        <x:f>IF(AND(YEAR(CN$3)=YEAR($B$38),MONTH(CN$3)=MONTH($B$38),AND($B$35="Да",IFERROR(INDEX('Вводные'!$B$88:$B$91,$B$36),"Нет")="Да")),MAX(0,SUM($D53:CN53)-CN53),0)</x:f>
      </x:c>
      <x:c r="CO55" s="107" t="n">
        <x:f>IF(AND(YEAR(CO$3)=YEAR($B$38),MONTH(CO$3)=MONTH($B$38),AND($B$35="Да",IFERROR(INDEX('Вводные'!$B$88:$B$91,$B$36),"Нет")="Да")),MAX(0,SUM($D53:CO53)-CO53),0)</x:f>
      </x:c>
      <x:c r="CP55" s="107" t="n">
        <x:f>IF(AND(YEAR(CP$3)=YEAR($B$38),MONTH(CP$3)=MONTH($B$38),AND($B$35="Да",IFERROR(INDEX('Вводные'!$B$88:$B$91,$B$36),"Нет")="Да")),MAX(0,SUM($D53:CP53)-CP53),0)</x:f>
      </x:c>
      <x:c r="CQ55" s="107" t="n">
        <x:f>IF(AND(YEAR(CQ$3)=YEAR($B$38),MONTH(CQ$3)=MONTH($B$38),AND($B$35="Да",IFERROR(INDEX('Вводные'!$B$88:$B$91,$B$36),"Нет")="Да")),MAX(0,SUM($D53:CQ53)-CQ53),0)</x:f>
      </x:c>
      <x:c r="CR55" s="107" t="n">
        <x:f>IF(AND(YEAR(CR$3)=YEAR($B$38),MONTH(CR$3)=MONTH($B$38),AND($B$35="Да",IFERROR(INDEX('Вводные'!$B$88:$B$91,$B$36),"Нет")="Да")),MAX(0,SUM($D53:CR53)-CR53),0)</x:f>
      </x:c>
      <x:c r="CS55" s="107" t="n">
        <x:f>IF(AND(YEAR(CS$3)=YEAR($B$38),MONTH(CS$3)=MONTH($B$38),AND($B$35="Да",IFERROR(INDEX('Вводные'!$B$88:$B$91,$B$36),"Нет")="Да")),MAX(0,SUM($D53:CS53)-CS53),0)</x:f>
      </x:c>
      <x:c r="CT55" s="107" t="n">
        <x:f>IF(AND(YEAR(CT$3)=YEAR($B$38),MONTH(CT$3)=MONTH($B$38),AND($B$35="Да",IFERROR(INDEX('Вводные'!$B$88:$B$91,$B$36),"Нет")="Да")),MAX(0,SUM($D53:CT53)-CT53),0)</x:f>
      </x:c>
      <x:c r="CU55" s="107" t="n">
        <x:f>IF(AND(YEAR(CU$3)=YEAR($B$38),MONTH(CU$3)=MONTH($B$38),AND($B$35="Да",IFERROR(INDEX('Вводные'!$B$88:$B$91,$B$36),"Нет")="Да")),MAX(0,SUM($D53:CU53)-CU53),0)</x:f>
      </x:c>
      <x:c r="CV55" s="107" t="n">
        <x:f>IF(AND(YEAR(CV$3)=YEAR($B$38),MONTH(CV$3)=MONTH($B$38),AND($B$35="Да",IFERROR(INDEX('Вводные'!$B$88:$B$91,$B$36),"Нет")="Да")),MAX(0,SUM($D53:CV53)-CV53),0)</x:f>
      </x:c>
      <x:c r="CW55" s="107" t="n">
        <x:f>IF(AND(YEAR(CW$3)=YEAR($B$38),MONTH(CW$3)=MONTH($B$38),AND($B$35="Да",IFERROR(INDEX('Вводные'!$B$88:$B$91,$B$36),"Нет")="Да")),MAX(0,SUM($D53:CW53)-CW53),0)</x:f>
      </x:c>
      <x:c r="CX55" s="107" t="n">
        <x:f>IF(AND(YEAR(CX$3)=YEAR($B$38),MONTH(CX$3)=MONTH($B$38),AND($B$35="Да",IFERROR(INDEX('Вводные'!$B$88:$B$91,$B$36),"Нет")="Да")),MAX(0,SUM($D53:CX53)-CX53),0)</x:f>
      </x:c>
      <x:c r="CY55" s="107" t="n">
        <x:f>IF(AND(YEAR(CY$3)=YEAR($B$38),MONTH(CY$3)=MONTH($B$38),AND($B$35="Да",IFERROR(INDEX('Вводные'!$B$88:$B$91,$B$36),"Нет")="Да")),MAX(0,SUM($D53:CY53)-CY53),0)</x:f>
      </x:c>
      <x:c r="CZ55" s="107" t="n">
        <x:f>IF(AND(YEAR(CZ$3)=YEAR($B$38),MONTH(CZ$3)=MONTH($B$38),AND($B$35="Да",IFERROR(INDEX('Вводные'!$B$88:$B$91,$B$36),"Нет")="Да")),MAX(0,SUM($D53:CZ53)-CZ53),0)</x:f>
      </x:c>
      <x:c r="DA55" s="107" t="n">
        <x:f>IF(AND(YEAR(DA$3)=YEAR($B$38),MONTH(DA$3)=MONTH($B$38),AND($B$35="Да",IFERROR(INDEX('Вводные'!$B$88:$B$91,$B$36),"Нет")="Да")),MAX(0,SUM($D53:DA53)-DA53),0)</x:f>
      </x:c>
      <x:c r="DB55" s="107" t="n">
        <x:f>IF(AND(YEAR(DB$3)=YEAR($B$38),MONTH(DB$3)=MONTH($B$38),AND($B$35="Да",IFERROR(INDEX('Вводные'!$B$88:$B$91,$B$36),"Нет")="Да")),MAX(0,SUM($D53:DB53)-DB53),0)</x:f>
      </x:c>
      <x:c r="DC55" s="107" t="n">
        <x:f>IF(AND(YEAR(DC$3)=YEAR($B$38),MONTH(DC$3)=MONTH($B$38),AND($B$35="Да",IFERROR(INDEX('Вводные'!$B$88:$B$91,$B$36),"Нет")="Да")),MAX(0,SUM($D53:DC53)-DC53),0)</x:f>
      </x:c>
      <x:c r="DD55" s="107" t="n">
        <x:f>IF(AND(YEAR(DD$3)=YEAR($B$38),MONTH(DD$3)=MONTH($B$38),AND($B$35="Да",IFERROR(INDEX('Вводные'!$B$88:$B$91,$B$36),"Нет")="Да")),MAX(0,SUM($D53:DD53)-DD53),0)</x:f>
      </x:c>
      <x:c r="DE55" s="107" t="n">
        <x:f>IF(AND(YEAR(DE$3)=YEAR($B$38),MONTH(DE$3)=MONTH($B$38),AND($B$35="Да",IFERROR(INDEX('Вводные'!$B$88:$B$91,$B$36),"Нет")="Да")),MAX(0,SUM($D53:DE53)-DE53),0)</x:f>
      </x:c>
      <x:c r="DF55" s="107" t="n">
        <x:f>IF(AND(YEAR(DF$3)=YEAR($B$38),MONTH(DF$3)=MONTH($B$38),AND($B$35="Да",IFERROR(INDEX('Вводные'!$B$88:$B$91,$B$36),"Нет")="Да")),MAX(0,SUM($D53:DF53)-DF53),0)</x:f>
      </x:c>
      <x:c r="DG55" s="107" t="n">
        <x:f>IF(AND(YEAR(DG$3)=YEAR($B$38),MONTH(DG$3)=MONTH($B$38),AND($B$35="Да",IFERROR(INDEX('Вводные'!$B$88:$B$91,$B$36),"Нет")="Да")),MAX(0,SUM($D53:DG53)-DG53),0)</x:f>
      </x:c>
      <x:c r="DH55" s="107" t="n">
        <x:f>IF(AND(YEAR(DH$3)=YEAR($B$38),MONTH(DH$3)=MONTH($B$38),AND($B$35="Да",IFERROR(INDEX('Вводные'!$B$88:$B$91,$B$36),"Нет")="Да")),MAX(0,SUM($D53:DH53)-DH53),0)</x:f>
      </x:c>
      <x:c r="DI55" s="107" t="n">
        <x:f>IF(AND(YEAR(DI$3)=YEAR($B$38),MONTH(DI$3)=MONTH($B$38),AND($B$35="Да",IFERROR(INDEX('Вводные'!$B$88:$B$91,$B$36),"Нет")="Да")),MAX(0,SUM($D53:DI53)-DI53),0)</x:f>
      </x:c>
      <x:c r="DJ55" s="107" t="n">
        <x:f>IF(AND(YEAR(DJ$3)=YEAR($B$38),MONTH(DJ$3)=MONTH($B$38),AND($B$35="Да",IFERROR(INDEX('Вводные'!$B$88:$B$91,$B$36),"Нет")="Да")),MAX(0,SUM($D53:DJ53)-DJ53),0)</x:f>
      </x:c>
      <x:c r="DK55" s="107" t="n">
        <x:f>IF(AND(YEAR(DK$3)=YEAR($B$38),MONTH(DK$3)=MONTH($B$38),AND($B$35="Да",IFERROR(INDEX('Вводные'!$B$88:$B$91,$B$36),"Нет")="Да")),MAX(0,SUM($D53:DK53)-DK53),0)</x:f>
      </x:c>
      <x:c r="DL55" s="107" t="n">
        <x:f>IF(AND(YEAR(DL$3)=YEAR($B$38),MONTH(DL$3)=MONTH($B$38),AND($B$35="Да",IFERROR(INDEX('Вводные'!$B$88:$B$91,$B$36),"Нет")="Да")),MAX(0,SUM($D53:DL53)-DL53),0)</x:f>
      </x:c>
      <x:c r="DM55" s="107" t="n">
        <x:f>IF(AND(YEAR(DM$3)=YEAR($B$38),MONTH(DM$3)=MONTH($B$38),AND($B$35="Да",IFERROR(INDEX('Вводные'!$B$88:$B$91,$B$36),"Нет")="Да")),MAX(0,SUM($D53:DM53)-DM53),0)</x:f>
      </x:c>
      <x:c r="DN55" s="107" t="n">
        <x:f>IF(AND(YEAR(DN$3)=YEAR($B$38),MONTH(DN$3)=MONTH($B$38),AND($B$35="Да",IFERROR(INDEX('Вводные'!$B$88:$B$91,$B$36),"Нет")="Да")),MAX(0,SUM($D53:DN53)-DN53),0)</x:f>
      </x:c>
      <x:c r="DO55" s="107" t="n">
        <x:f>IF(AND(YEAR(DO$3)=YEAR($B$38),MONTH(DO$3)=MONTH($B$38),AND($B$35="Да",IFERROR(INDEX('Вводные'!$B$88:$B$91,$B$36),"Нет")="Да")),MAX(0,SUM($D53:DO53)-DO53),0)</x:f>
      </x:c>
      <x:c r="DP55" s="107" t="n">
        <x:f>IF(AND(YEAR(DP$3)=YEAR($B$38),MONTH(DP$3)=MONTH($B$38),AND($B$35="Да",IFERROR(INDEX('Вводные'!$B$88:$B$91,$B$36),"Нет")="Да")),MAX(0,SUM($D53:DP53)-DP53),0)</x:f>
      </x:c>
      <x:c r="DQ55" s="107" t="n">
        <x:f>IF(AND(YEAR(DQ$3)=YEAR($B$38),MONTH(DQ$3)=MONTH($B$38),AND($B$35="Да",IFERROR(INDEX('Вводные'!$B$88:$B$91,$B$36),"Нет")="Да")),MAX(0,SUM($D53:DQ53)-DQ53),0)</x:f>
      </x:c>
      <x:c r="DR55" s="107" t="n">
        <x:f>IF(AND(YEAR(DR$3)=YEAR($B$38),MONTH(DR$3)=MONTH($B$38),AND($B$35="Да",IFERROR(INDEX('Вводные'!$B$88:$B$91,$B$36),"Нет")="Да")),MAX(0,SUM($D53:DR53)-DR53),0)</x:f>
      </x:c>
      <x:c r="DS55" s="107" t="n">
        <x:f>IF(AND(YEAR(DS$3)=YEAR($B$38),MONTH(DS$3)=MONTH($B$38),AND($B$35="Да",IFERROR(INDEX('Вводные'!$B$88:$B$91,$B$36),"Нет")="Да")),MAX(0,SUM($D53:DS53)-DS53),0)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(1+INDEX('Вводные'!$AD$88:$AD$91,$B$64)*'Вводные'!$H$7)^MAX(0,(12*(YEAR(D$3)-YEAR($B$67))+MONTH(D$3)-MONTH($B$67)))*(1+IF(MONTH(D$3)=1,'Вводные'!$B$67,IF(AND(MONTH(D$3)&gt;=5,MONTH(D$3)&lt;=8),'Вводные'!$B$70,0))),0)</x:f>
      </x:c>
      <x:c r="E74" s="35" t="n">
        <x:f>IF(AND(E$3&gt;=$B$67,E$3&lt;EDATE($B$67,MAX(1,'Вводные'!$K$73)),AND($B$63="Да",IFERROR(INDEX('Вводные'!$B$88:$B$91,$B$64),"Нет")="Да")),(1+INDEX('Вводные'!$AD$88:$AD$91,$B$64)*'Вводные'!$H$7)^MAX(0,(12*(YEAR(E$3)-YEAR($B$67))+MONTH(E$3)-MONTH($B$67)))*(1+IF(MONTH(E$3)=1,'Вводные'!$B$67,IF(AND(MONTH(E$3)&gt;=5,MONTH(E$3)&lt;=8),'Вводные'!$B$70,0))),0)</x:f>
      </x:c>
      <x:c r="F74" s="35" t="n">
        <x:f>IF(AND(F$3&gt;=$B$67,F$3&lt;EDATE($B$67,MAX(1,'Вводные'!$K$73)),AND($B$63="Да",IFERROR(INDEX('Вводные'!$B$88:$B$91,$B$64),"Нет")="Да")),(1+INDEX('Вводные'!$AD$88:$AD$91,$B$64)*'Вводные'!$H$7)^MAX(0,(12*(YEAR(F$3)-YEAR($B$67))+MONTH(F$3)-MONTH($B$67)))*(1+IF(MONTH(F$3)=1,'Вводные'!$B$67,IF(AND(MONTH(F$3)&gt;=5,MONTH(F$3)&lt;=8),'Вводные'!$B$70,0))),0)</x:f>
      </x:c>
      <x:c r="G74" s="35" t="n">
        <x:f>IF(AND(G$3&gt;=$B$67,G$3&lt;EDATE($B$67,MAX(1,'Вводные'!$K$73)),AND($B$63="Да",IFERROR(INDEX('Вводные'!$B$88:$B$91,$B$64),"Нет")="Да")),(1+INDEX('Вводные'!$AD$88:$AD$91,$B$64)*'Вводные'!$H$7)^MAX(0,(12*(YEAR(G$3)-YEAR($B$67))+MONTH(G$3)-MONTH($B$67)))*(1+IF(MONTH(G$3)=1,'Вводные'!$B$67,IF(AND(MONTH(G$3)&gt;=5,MONTH(G$3)&lt;=8),'Вводные'!$B$70,0))),0)</x:f>
      </x:c>
      <x:c r="H74" s="35" t="n">
        <x:f>IF(AND(H$3&gt;=$B$67,H$3&lt;EDATE($B$67,MAX(1,'Вводные'!$K$73)),AND($B$63="Да",IFERROR(INDEX('Вводные'!$B$88:$B$91,$B$64),"Нет")="Да")),(1+INDEX('Вводные'!$AD$88:$AD$91,$B$64)*'Вводные'!$H$7)^MAX(0,(12*(YEAR(H$3)-YEAR($B$67))+MONTH(H$3)-MONTH($B$67)))*(1+IF(MONTH(H$3)=1,'Вводные'!$B$67,IF(AND(MONTH(H$3)&gt;=5,MONTH(H$3)&lt;=8),'Вводные'!$B$70,0))),0)</x:f>
      </x:c>
      <x:c r="I74" s="35" t="n">
        <x:f>IF(AND(I$3&gt;=$B$67,I$3&lt;EDATE($B$67,MAX(1,'Вводные'!$K$73)),AND($B$63="Да",IFERROR(INDEX('Вводные'!$B$88:$B$91,$B$64),"Нет")="Да")),(1+INDEX('Вводные'!$AD$88:$AD$91,$B$64)*'Вводные'!$H$7)^MAX(0,(12*(YEAR(I$3)-YEAR($B$67))+MONTH(I$3)-MONTH($B$67)))*(1+IF(MONTH(I$3)=1,'Вводные'!$B$67,IF(AND(MONTH(I$3)&gt;=5,MONTH(I$3)&lt;=8),'Вводные'!$B$70,0))),0)</x:f>
      </x:c>
      <x:c r="J74" s="35" t="n">
        <x:f>IF(AND(J$3&gt;=$B$67,J$3&lt;EDATE($B$67,MAX(1,'Вводные'!$K$73)),AND($B$63="Да",IFERROR(INDEX('Вводные'!$B$88:$B$91,$B$64),"Нет")="Да")),(1+INDEX('Вводные'!$AD$88:$AD$91,$B$64)*'Вводные'!$H$7)^MAX(0,(12*(YEAR(J$3)-YEAR($B$67))+MONTH(J$3)-MONTH($B$67)))*(1+IF(MONTH(J$3)=1,'Вводные'!$B$67,IF(AND(MONTH(J$3)&gt;=5,MONTH(J$3)&lt;=8),'Вводные'!$B$70,0))),0)</x:f>
      </x:c>
      <x:c r="K74" s="35" t="n">
        <x:f>IF(AND(K$3&gt;=$B$67,K$3&lt;EDATE($B$67,MAX(1,'Вводные'!$K$73)),AND($B$63="Да",IFERROR(INDEX('Вводные'!$B$88:$B$91,$B$64),"Нет")="Да")),(1+INDEX('Вводные'!$AD$88:$AD$91,$B$64)*'Вводные'!$H$7)^MAX(0,(12*(YEAR(K$3)-YEAR($B$67))+MONTH(K$3)-MONTH($B$67)))*(1+IF(MONTH(K$3)=1,'Вводные'!$B$67,IF(AND(MONTH(K$3)&gt;=5,MONTH(K$3)&lt;=8),'Вводные'!$B$70,0))),0)</x:f>
      </x:c>
      <x:c r="L74" s="35" t="n">
        <x:f>IF(AND(L$3&gt;=$B$67,L$3&lt;EDATE($B$67,MAX(1,'Вводные'!$K$73)),AND($B$63="Да",IFERROR(INDEX('Вводные'!$B$88:$B$91,$B$64),"Нет")="Да")),(1+INDEX('Вводные'!$AD$88:$AD$91,$B$64)*'Вводные'!$H$7)^MAX(0,(12*(YEAR(L$3)-YEAR($B$67))+MONTH(L$3)-MONTH($B$67)))*(1+IF(MONTH(L$3)=1,'Вводные'!$B$67,IF(AND(MONTH(L$3)&gt;=5,MONTH(L$3)&lt;=8),'Вводные'!$B$70,0))),0)</x:f>
      </x:c>
      <x:c r="M74" s="35" t="n">
        <x:f>IF(AND(M$3&gt;=$B$67,M$3&lt;EDATE($B$67,MAX(1,'Вводные'!$K$73)),AND($B$63="Да",IFERROR(INDEX('Вводные'!$B$88:$B$91,$B$64),"Нет")="Да")),(1+INDEX('Вводные'!$AD$88:$AD$91,$B$64)*'Вводные'!$H$7)^MAX(0,(12*(YEAR(M$3)-YEAR($B$67))+MONTH(M$3)-MONTH($B$67)))*(1+IF(MONTH(M$3)=1,'Вводные'!$B$67,IF(AND(MONTH(M$3)&gt;=5,MONTH(M$3)&lt;=8),'Вводные'!$B$70,0))),0)</x:f>
      </x:c>
      <x:c r="N74" s="35" t="n">
        <x:f>IF(AND(N$3&gt;=$B$67,N$3&lt;EDATE($B$67,MAX(1,'Вводные'!$K$73)),AND($B$63="Да",IFERROR(INDEX('Вводные'!$B$88:$B$91,$B$64),"Нет")="Да")),(1+INDEX('Вводные'!$AD$88:$AD$91,$B$64)*'Вводные'!$H$7)^MAX(0,(12*(YEAR(N$3)-YEAR($B$67))+MONTH(N$3)-MONTH($B$67)))*(1+IF(MONTH(N$3)=1,'Вводные'!$B$67,IF(AND(MONTH(N$3)&gt;=5,MONTH(N$3)&lt;=8),'Вводные'!$B$70,0))),0)</x:f>
      </x:c>
      <x:c r="O74" s="35" t="n">
        <x:f>IF(AND(O$3&gt;=$B$67,O$3&lt;EDATE($B$67,MAX(1,'Вводные'!$K$73)),AND($B$63="Да",IFERROR(INDEX('Вводные'!$B$88:$B$91,$B$64),"Нет")="Да")),(1+INDEX('Вводные'!$AD$88:$AD$91,$B$64)*'Вводные'!$H$7)^MAX(0,(12*(YEAR(O$3)-YEAR($B$67))+MONTH(O$3)-MONTH($B$67)))*(1+IF(MONTH(O$3)=1,'Вводные'!$B$67,IF(AND(MONTH(O$3)&gt;=5,MONTH(O$3)&lt;=8),'Вводные'!$B$70,0))),0)</x:f>
      </x:c>
      <x:c r="P74" s="35" t="n">
        <x:f>IF(AND(P$3&gt;=$B$67,P$3&lt;EDATE($B$67,MAX(1,'Вводные'!$K$73)),AND($B$63="Да",IFERROR(INDEX('Вводные'!$B$88:$B$91,$B$64),"Нет")="Да")),(1+INDEX('Вводные'!$AD$88:$AD$91,$B$64)*'Вводные'!$H$7)^MAX(0,(12*(YEAR(P$3)-YEAR($B$67))+MONTH(P$3)-MONTH($B$67)))*(1+IF(MONTH(P$3)=1,'Вводные'!$B$67,IF(AND(MONTH(P$3)&gt;=5,MONTH(P$3)&lt;=8),'Вводные'!$B$70,0))),0)</x:f>
      </x:c>
      <x:c r="Q74" s="35" t="n">
        <x:f>IF(AND(Q$3&gt;=$B$67,Q$3&lt;EDATE($B$67,MAX(1,'Вводные'!$K$73)),AND($B$63="Да",IFERROR(INDEX('Вводные'!$B$88:$B$91,$B$64),"Нет")="Да")),(1+INDEX('Вводные'!$AD$88:$AD$91,$B$64)*'Вводные'!$H$7)^MAX(0,(12*(YEAR(Q$3)-YEAR($B$67))+MONTH(Q$3)-MONTH($B$67)))*(1+IF(MONTH(Q$3)=1,'Вводные'!$B$67,IF(AND(MONTH(Q$3)&gt;=5,MONTH(Q$3)&lt;=8),'Вводные'!$B$70,0))),0)</x:f>
      </x:c>
      <x:c r="R74" s="35" t="n">
        <x:f>IF(AND(R$3&gt;=$B$67,R$3&lt;EDATE($B$67,MAX(1,'Вводные'!$K$73)),AND($B$63="Да",IFERROR(INDEX('Вводные'!$B$88:$B$91,$B$64),"Нет")="Да")),(1+INDEX('Вводные'!$AD$88:$AD$91,$B$64)*'Вводные'!$H$7)^MAX(0,(12*(YEAR(R$3)-YEAR($B$67))+MONTH(R$3)-MONTH($B$67)))*(1+IF(MONTH(R$3)=1,'Вводные'!$B$67,IF(AND(MONTH(R$3)&gt;=5,MONTH(R$3)&lt;=8),'Вводные'!$B$70,0))),0)</x:f>
      </x:c>
      <x:c r="S74" s="35" t="n">
        <x:f>IF(AND(S$3&gt;=$B$67,S$3&lt;EDATE($B$67,MAX(1,'Вводные'!$K$73)),AND($B$63="Да",IFERROR(INDEX('Вводные'!$B$88:$B$91,$B$64),"Нет")="Да")),(1+INDEX('Вводные'!$AD$88:$AD$91,$B$64)*'Вводные'!$H$7)^MAX(0,(12*(YEAR(S$3)-YEAR($B$67))+MONTH(S$3)-MONTH($B$67)))*(1+IF(MONTH(S$3)=1,'Вводные'!$B$67,IF(AND(MONTH(S$3)&gt;=5,MONTH(S$3)&lt;=8),'Вводные'!$B$70,0))),0)</x:f>
      </x:c>
      <x:c r="T74" s="35" t="n">
        <x:f>IF(AND(T$3&gt;=$B$67,T$3&lt;EDATE($B$67,MAX(1,'Вводные'!$K$73)),AND($B$63="Да",IFERROR(INDEX('Вводные'!$B$88:$B$91,$B$64),"Нет")="Да")),(1+INDEX('Вводные'!$AD$88:$AD$91,$B$64)*'Вводные'!$H$7)^MAX(0,(12*(YEAR(T$3)-YEAR($B$67))+MONTH(T$3)-MONTH($B$67)))*(1+IF(MONTH(T$3)=1,'Вводные'!$B$67,IF(AND(MONTH(T$3)&gt;=5,MONTH(T$3)&lt;=8),'Вводные'!$B$70,0))),0)</x:f>
      </x:c>
      <x:c r="U74" s="35" t="n">
        <x:f>IF(AND(U$3&gt;=$B$67,U$3&lt;EDATE($B$67,MAX(1,'Вводные'!$K$73)),AND($B$63="Да",IFERROR(INDEX('Вводные'!$B$88:$B$91,$B$64),"Нет")="Да")),(1+INDEX('Вводные'!$AD$88:$AD$91,$B$64)*'Вводные'!$H$7)^MAX(0,(12*(YEAR(U$3)-YEAR($B$67))+MONTH(U$3)-MONTH($B$67)))*(1+IF(MONTH(U$3)=1,'Вводные'!$B$67,IF(AND(MONTH(U$3)&gt;=5,MONTH(U$3)&lt;=8),'Вводные'!$B$70,0))),0)</x:f>
      </x:c>
      <x:c r="V74" s="35" t="n">
        <x:f>IF(AND(V$3&gt;=$B$67,V$3&lt;EDATE($B$67,MAX(1,'Вводные'!$K$73)),AND($B$63="Да",IFERROR(INDEX('Вводные'!$B$88:$B$91,$B$64),"Нет")="Да")),(1+INDEX('Вводные'!$AD$88:$AD$91,$B$64)*'Вводные'!$H$7)^MAX(0,(12*(YEAR(V$3)-YEAR($B$67))+MONTH(V$3)-MONTH($B$67)))*(1+IF(MONTH(V$3)=1,'Вводные'!$B$67,IF(AND(MONTH(V$3)&gt;=5,MONTH(V$3)&lt;=8),'Вводные'!$B$70,0))),0)</x:f>
      </x:c>
      <x:c r="W74" s="35" t="n">
        <x:f>IF(AND(W$3&gt;=$B$67,W$3&lt;EDATE($B$67,MAX(1,'Вводные'!$K$73)),AND($B$63="Да",IFERROR(INDEX('Вводные'!$B$88:$B$91,$B$64),"Нет")="Да")),(1+INDEX('Вводные'!$AD$88:$AD$91,$B$64)*'Вводные'!$H$7)^MAX(0,(12*(YEAR(W$3)-YEAR($B$67))+MONTH(W$3)-MONTH($B$67)))*(1+IF(MONTH(W$3)=1,'Вводные'!$B$67,IF(AND(MONTH(W$3)&gt;=5,MONTH(W$3)&lt;=8),'Вводные'!$B$70,0))),0)</x:f>
      </x:c>
      <x:c r="X74" s="35" t="n">
        <x:f>IF(AND(X$3&gt;=$B$67,X$3&lt;EDATE($B$67,MAX(1,'Вводные'!$K$73)),AND($B$63="Да",IFERROR(INDEX('Вводные'!$B$88:$B$91,$B$64),"Нет")="Да")),(1+INDEX('Вводные'!$AD$88:$AD$91,$B$64)*'Вводные'!$H$7)^MAX(0,(12*(YEAR(X$3)-YEAR($B$67))+MONTH(X$3)-MONTH($B$67)))*(1+IF(MONTH(X$3)=1,'Вводные'!$B$67,IF(AND(MONTH(X$3)&gt;=5,MONTH(X$3)&lt;=8),'Вводные'!$B$70,0))),0)</x:f>
      </x:c>
      <x:c r="Y74" s="35" t="n">
        <x:f>IF(AND(Y$3&gt;=$B$67,Y$3&lt;EDATE($B$67,MAX(1,'Вводные'!$K$73)),AND($B$63="Да",IFERROR(INDEX('Вводные'!$B$88:$B$91,$B$64),"Нет")="Да")),(1+INDEX('Вводные'!$AD$88:$AD$91,$B$64)*'Вводные'!$H$7)^MAX(0,(12*(YEAR(Y$3)-YEAR($B$67))+MONTH(Y$3)-MONTH($B$67)))*(1+IF(MONTH(Y$3)=1,'Вводные'!$B$67,IF(AND(MONTH(Y$3)&gt;=5,MONTH(Y$3)&lt;=8),'Вводные'!$B$70,0))),0)</x:f>
      </x:c>
      <x:c r="Z74" s="35" t="n">
        <x:f>IF(AND(Z$3&gt;=$B$67,Z$3&lt;EDATE($B$67,MAX(1,'Вводные'!$K$73)),AND($B$63="Да",IFERROR(INDEX('Вводные'!$B$88:$B$91,$B$64),"Нет")="Да")),(1+INDEX('Вводные'!$AD$88:$AD$91,$B$64)*'Вводные'!$H$7)^MAX(0,(12*(YEAR(Z$3)-YEAR($B$67))+MONTH(Z$3)-MONTH($B$67)))*(1+IF(MONTH(Z$3)=1,'Вводные'!$B$67,IF(AND(MONTH(Z$3)&gt;=5,MONTH(Z$3)&lt;=8),'Вводные'!$B$70,0))),0)</x:f>
      </x:c>
      <x:c r="AA74" s="35" t="n">
        <x:f>IF(AND(AA$3&gt;=$B$67,AA$3&lt;EDATE($B$67,MAX(1,'Вводные'!$K$73)),AND($B$63="Да",IFERROR(INDEX('Вводные'!$B$88:$B$91,$B$64),"Нет")="Да")),(1+INDEX('Вводные'!$AD$88:$AD$91,$B$64)*'Вводные'!$H$7)^MAX(0,(12*(YEAR(AA$3)-YEAR($B$67))+MONTH(AA$3)-MONTH($B$67)))*(1+IF(MONTH(AA$3)=1,'Вводные'!$B$67,IF(AND(MONTH(AA$3)&gt;=5,MONTH(AA$3)&lt;=8),'Вводные'!$B$70,0))),0)</x:f>
      </x:c>
      <x:c r="AB74" s="35" t="n">
        <x:f>IF(AND(AB$3&gt;=$B$67,AB$3&lt;EDATE($B$67,MAX(1,'Вводные'!$K$73)),AND($B$63="Да",IFERROR(INDEX('Вводные'!$B$88:$B$91,$B$64),"Нет")="Да")),(1+INDEX('Вводные'!$AD$88:$AD$91,$B$64)*'Вводные'!$H$7)^MAX(0,(12*(YEAR(AB$3)-YEAR($B$67))+MONTH(AB$3)-MONTH($B$67)))*(1+IF(MONTH(AB$3)=1,'Вводные'!$B$67,IF(AND(MONTH(AB$3)&gt;=5,MONTH(AB$3)&lt;=8),'Вводные'!$B$70,0))),0)</x:f>
      </x:c>
      <x:c r="AC74" s="35" t="n">
        <x:f>IF(AND(AC$3&gt;=$B$67,AC$3&lt;EDATE($B$67,MAX(1,'Вводные'!$K$73)),AND($B$63="Да",IFERROR(INDEX('Вводные'!$B$88:$B$91,$B$64),"Нет")="Да")),(1+INDEX('Вводные'!$AD$88:$AD$91,$B$64)*'Вводные'!$H$7)^MAX(0,(12*(YEAR(AC$3)-YEAR($B$67))+MONTH(AC$3)-MONTH($B$67)))*(1+IF(MONTH(AC$3)=1,'Вводные'!$B$67,IF(AND(MONTH(AC$3)&gt;=5,MONTH(AC$3)&lt;=8),'Вводные'!$B$70,0))),0)</x:f>
      </x:c>
      <x:c r="AD74" s="35" t="n">
        <x:f>IF(AND(AD$3&gt;=$B$67,AD$3&lt;EDATE($B$67,MAX(1,'Вводные'!$K$73)),AND($B$63="Да",IFERROR(INDEX('Вводные'!$B$88:$B$91,$B$64),"Нет")="Да")),(1+INDEX('Вводные'!$AD$88:$AD$91,$B$64)*'Вводные'!$H$7)^MAX(0,(12*(YEAR(AD$3)-YEAR($B$67))+MONTH(AD$3)-MONTH($B$67)))*(1+IF(MONTH(AD$3)=1,'Вводные'!$B$67,IF(AND(MONTH(AD$3)&gt;=5,MONTH(AD$3)&lt;=8),'Вводные'!$B$70,0))),0)</x:f>
      </x:c>
      <x:c r="AE74" s="35" t="n">
        <x:f>IF(AND(AE$3&gt;=$B$67,AE$3&lt;EDATE($B$67,MAX(1,'Вводные'!$K$73)),AND($B$63="Да",IFERROR(INDEX('Вводные'!$B$88:$B$91,$B$64),"Нет")="Да")),(1+INDEX('Вводные'!$AD$88:$AD$91,$B$64)*'Вводные'!$H$7)^MAX(0,(12*(YEAR(AE$3)-YEAR($B$67))+MONTH(AE$3)-MONTH($B$67)))*(1+IF(MONTH(AE$3)=1,'Вводные'!$B$67,IF(AND(MONTH(AE$3)&gt;=5,MONTH(AE$3)&lt;=8),'Вводные'!$B$70,0))),0)</x:f>
      </x:c>
      <x:c r="AF74" s="35" t="n">
        <x:f>IF(AND(AF$3&gt;=$B$67,AF$3&lt;EDATE($B$67,MAX(1,'Вводные'!$K$73)),AND($B$63="Да",IFERROR(INDEX('Вводные'!$B$88:$B$91,$B$64),"Нет")="Да")),(1+INDEX('Вводные'!$AD$88:$AD$91,$B$64)*'Вводные'!$H$7)^MAX(0,(12*(YEAR(AF$3)-YEAR($B$67))+MONTH(AF$3)-MONTH($B$67)))*(1+IF(MONTH(AF$3)=1,'Вводные'!$B$67,IF(AND(MONTH(AF$3)&gt;=5,MONTH(AF$3)&lt;=8),'Вводные'!$B$70,0))),0)</x:f>
      </x:c>
      <x:c r="AG74" s="35" t="n">
        <x:f>IF(AND(AG$3&gt;=$B$67,AG$3&lt;EDATE($B$67,MAX(1,'Вводные'!$K$73)),AND($B$63="Да",IFERROR(INDEX('Вводные'!$B$88:$B$91,$B$64),"Нет")="Да")),(1+INDEX('Вводные'!$AD$88:$AD$91,$B$64)*'Вводные'!$H$7)^MAX(0,(12*(YEAR(AG$3)-YEAR($B$67))+MONTH(AG$3)-MONTH($B$67)))*(1+IF(MONTH(AG$3)=1,'Вводные'!$B$67,IF(AND(MONTH(AG$3)&gt;=5,MONTH(AG$3)&lt;=8),'Вводные'!$B$70,0))),0)</x:f>
      </x:c>
      <x:c r="AH74" s="35" t="n">
        <x:f>IF(AND(AH$3&gt;=$B$67,AH$3&lt;EDATE($B$67,MAX(1,'Вводные'!$K$73)),AND($B$63="Да",IFERROR(INDEX('Вводные'!$B$88:$B$91,$B$64),"Нет")="Да")),(1+INDEX('Вводные'!$AD$88:$AD$91,$B$64)*'Вводные'!$H$7)^MAX(0,(12*(YEAR(AH$3)-YEAR($B$67))+MONTH(AH$3)-MONTH($B$67)))*(1+IF(MONTH(AH$3)=1,'Вводные'!$B$67,IF(AND(MONTH(AH$3)&gt;=5,MONTH(AH$3)&lt;=8),'Вводные'!$B$70,0))),0)</x:f>
      </x:c>
      <x:c r="AI74" s="35" t="n">
        <x:f>IF(AND(AI$3&gt;=$B$67,AI$3&lt;EDATE($B$67,MAX(1,'Вводные'!$K$73)),AND($B$63="Да",IFERROR(INDEX('Вводные'!$B$88:$B$91,$B$64),"Нет")="Да")),(1+INDEX('Вводные'!$AD$88:$AD$91,$B$64)*'Вводные'!$H$7)^MAX(0,(12*(YEAR(AI$3)-YEAR($B$67))+MONTH(AI$3)-MONTH($B$67)))*(1+IF(MONTH(AI$3)=1,'Вводные'!$B$67,IF(AND(MONTH(AI$3)&gt;=5,MONTH(AI$3)&lt;=8),'Вводные'!$B$70,0))),0)</x:f>
      </x:c>
      <x:c r="AJ74" s="35" t="n">
        <x:f>IF(AND(AJ$3&gt;=$B$67,AJ$3&lt;EDATE($B$67,MAX(1,'Вводные'!$K$73)),AND($B$63="Да",IFERROR(INDEX('Вводные'!$B$88:$B$91,$B$64),"Нет")="Да")),(1+INDEX('Вводные'!$AD$88:$AD$91,$B$64)*'Вводные'!$H$7)^MAX(0,(12*(YEAR(AJ$3)-YEAR($B$67))+MONTH(AJ$3)-MONTH($B$67)))*(1+IF(MONTH(AJ$3)=1,'Вводные'!$B$67,IF(AND(MONTH(AJ$3)&gt;=5,MONTH(AJ$3)&lt;=8),'Вводные'!$B$70,0))),0)</x:f>
      </x:c>
      <x:c r="AK74" s="35" t="n">
        <x:f>IF(AND(AK$3&gt;=$B$67,AK$3&lt;EDATE($B$67,MAX(1,'Вводные'!$K$73)),AND($B$63="Да",IFERROR(INDEX('Вводные'!$B$88:$B$91,$B$64),"Нет")="Да")),(1+INDEX('Вводные'!$AD$88:$AD$91,$B$64)*'Вводные'!$H$7)^MAX(0,(12*(YEAR(AK$3)-YEAR($B$67))+MONTH(AK$3)-MONTH($B$67)))*(1+IF(MONTH(AK$3)=1,'Вводные'!$B$67,IF(AND(MONTH(AK$3)&gt;=5,MONTH(AK$3)&lt;=8),'Вводные'!$B$70,0))),0)</x:f>
      </x:c>
      <x:c r="AL74" s="35" t="n">
        <x:f>IF(AND(AL$3&gt;=$B$67,AL$3&lt;EDATE($B$67,MAX(1,'Вводные'!$K$73)),AND($B$63="Да",IFERROR(INDEX('Вводные'!$B$88:$B$91,$B$64),"Нет")="Да")),(1+INDEX('Вводные'!$AD$88:$AD$91,$B$64)*'Вводные'!$H$7)^MAX(0,(12*(YEAR(AL$3)-YEAR($B$67))+MONTH(AL$3)-MONTH($B$67)))*(1+IF(MONTH(AL$3)=1,'Вводные'!$B$67,IF(AND(MONTH(AL$3)&gt;=5,MONTH(AL$3)&lt;=8),'Вводные'!$B$70,0))),0)</x:f>
      </x:c>
      <x:c r="AM74" s="35" t="n">
        <x:f>IF(AND(AM$3&gt;=$B$67,AM$3&lt;EDATE($B$67,MAX(1,'Вводные'!$K$73)),AND($B$63="Да",IFERROR(INDEX('Вводные'!$B$88:$B$91,$B$64),"Нет")="Да")),(1+INDEX('Вводные'!$AD$88:$AD$91,$B$64)*'Вводные'!$H$7)^MAX(0,(12*(YEAR(AM$3)-YEAR($B$67))+MONTH(AM$3)-MONTH($B$67)))*(1+IF(MONTH(AM$3)=1,'Вводные'!$B$67,IF(AND(MONTH(AM$3)&gt;=5,MONTH(AM$3)&lt;=8),'Вводные'!$B$70,0))),0)</x:f>
      </x:c>
      <x:c r="AN74" s="35" t="n">
        <x:f>IF(AND(AN$3&gt;=$B$67,AN$3&lt;EDATE($B$67,MAX(1,'Вводные'!$K$73)),AND($B$63="Да",IFERROR(INDEX('Вводные'!$B$88:$B$91,$B$64),"Нет")="Да")),(1+INDEX('Вводные'!$AD$88:$AD$91,$B$64)*'Вводные'!$H$7)^MAX(0,(12*(YEAR(AN$3)-YEAR($B$67))+MONTH(AN$3)-MONTH($B$67)))*(1+IF(MONTH(AN$3)=1,'Вводные'!$B$67,IF(AND(MONTH(AN$3)&gt;=5,MONTH(AN$3)&lt;=8),'Вводные'!$B$70,0))),0)</x:f>
      </x:c>
      <x:c r="AO74" s="35" t="n">
        <x:f>IF(AND(AO$3&gt;=$B$67,AO$3&lt;EDATE($B$67,MAX(1,'Вводные'!$K$73)),AND($B$63="Да",IFERROR(INDEX('Вводные'!$B$88:$B$91,$B$64),"Нет")="Да")),(1+INDEX('Вводные'!$AD$88:$AD$91,$B$64)*'Вводные'!$H$7)^MAX(0,(12*(YEAR(AO$3)-YEAR($B$67))+MONTH(AO$3)-MONTH($B$67)))*(1+IF(MONTH(AO$3)=1,'Вводные'!$B$67,IF(AND(MONTH(AO$3)&gt;=5,MONTH(AO$3)&lt;=8),'Вводные'!$B$70,0))),0)</x:f>
      </x:c>
      <x:c r="AP74" s="35" t="n">
        <x:f>IF(AND(AP$3&gt;=$B$67,AP$3&lt;EDATE($B$67,MAX(1,'Вводные'!$K$73)),AND($B$63="Да",IFERROR(INDEX('Вводные'!$B$88:$B$91,$B$64),"Нет")="Да")),(1+INDEX('Вводные'!$AD$88:$AD$91,$B$64)*'Вводные'!$H$7)^MAX(0,(12*(YEAR(AP$3)-YEAR($B$67))+MONTH(AP$3)-MONTH($B$67)))*(1+IF(MONTH(AP$3)=1,'Вводные'!$B$67,IF(AND(MONTH(AP$3)&gt;=5,MONTH(AP$3)&lt;=8),'Вводные'!$B$70,0))),0)</x:f>
      </x:c>
      <x:c r="AQ74" s="35" t="n">
        <x:f>IF(AND(AQ$3&gt;=$B$67,AQ$3&lt;EDATE($B$67,MAX(1,'Вводные'!$K$73)),AND($B$63="Да",IFERROR(INDEX('Вводные'!$B$88:$B$91,$B$64),"Нет")="Да")),(1+INDEX('Вводные'!$AD$88:$AD$91,$B$64)*'Вводные'!$H$7)^MAX(0,(12*(YEAR(AQ$3)-YEAR($B$67))+MONTH(AQ$3)-MONTH($B$67)))*(1+IF(MONTH(AQ$3)=1,'Вводные'!$B$67,IF(AND(MONTH(AQ$3)&gt;=5,MONTH(AQ$3)&lt;=8),'Вводные'!$B$70,0))),0)</x:f>
      </x:c>
      <x:c r="AR74" s="35" t="n">
        <x:f>IF(AND(AR$3&gt;=$B$67,AR$3&lt;EDATE($B$67,MAX(1,'Вводные'!$K$73)),AND($B$63="Да",IFERROR(INDEX('Вводные'!$B$88:$B$91,$B$64),"Нет")="Да")),(1+INDEX('Вводные'!$AD$88:$AD$91,$B$64)*'Вводные'!$H$7)^MAX(0,(12*(YEAR(AR$3)-YEAR($B$67))+MONTH(AR$3)-MONTH($B$67)))*(1+IF(MONTH(AR$3)=1,'Вводные'!$B$67,IF(AND(MONTH(AR$3)&gt;=5,MONTH(AR$3)&lt;=8),'Вводные'!$B$70,0))),0)</x:f>
      </x:c>
      <x:c r="AS74" s="35" t="n">
        <x:f>IF(AND(AS$3&gt;=$B$67,AS$3&lt;EDATE($B$67,MAX(1,'Вводные'!$K$73)),AND($B$63="Да",IFERROR(INDEX('Вводные'!$B$88:$B$91,$B$64),"Нет")="Да")),(1+INDEX('Вводные'!$AD$88:$AD$91,$B$64)*'Вводные'!$H$7)^MAX(0,(12*(YEAR(AS$3)-YEAR($B$67))+MONTH(AS$3)-MONTH($B$67)))*(1+IF(MONTH(AS$3)=1,'Вводные'!$B$67,IF(AND(MONTH(AS$3)&gt;=5,MONTH(AS$3)&lt;=8),'Вводные'!$B$70,0))),0)</x:f>
      </x:c>
      <x:c r="AT74" s="35" t="n">
        <x:f>IF(AND(AT$3&gt;=$B$67,AT$3&lt;EDATE($B$67,MAX(1,'Вводные'!$K$73)),AND($B$63="Да",IFERROR(INDEX('Вводные'!$B$88:$B$91,$B$64),"Нет")="Да")),(1+INDEX('Вводные'!$AD$88:$AD$91,$B$64)*'Вводные'!$H$7)^MAX(0,(12*(YEAR(AT$3)-YEAR($B$67))+MONTH(AT$3)-MONTH($B$67)))*(1+IF(MONTH(AT$3)=1,'Вводные'!$B$67,IF(AND(MONTH(AT$3)&gt;=5,MONTH(AT$3)&lt;=8),'Вводные'!$B$70,0))),0)</x:f>
      </x:c>
      <x:c r="AU74" s="35" t="n">
        <x:f>IF(AND(AU$3&gt;=$B$67,AU$3&lt;EDATE($B$67,MAX(1,'Вводные'!$K$73)),AND($B$63="Да",IFERROR(INDEX('Вводные'!$B$88:$B$91,$B$64),"Нет")="Да")),(1+INDEX('Вводные'!$AD$88:$AD$91,$B$64)*'Вводные'!$H$7)^MAX(0,(12*(YEAR(AU$3)-YEAR($B$67))+MONTH(AU$3)-MONTH($B$67)))*(1+IF(MONTH(AU$3)=1,'Вводные'!$B$67,IF(AND(MONTH(AU$3)&gt;=5,MONTH(AU$3)&lt;=8),'Вводные'!$B$70,0))),0)</x:f>
      </x:c>
      <x:c r="AV74" s="35" t="n">
        <x:f>IF(AND(AV$3&gt;=$B$67,AV$3&lt;EDATE($B$67,MAX(1,'Вводные'!$K$73)),AND($B$63="Да",IFERROR(INDEX('Вводные'!$B$88:$B$91,$B$64),"Нет")="Да")),(1+INDEX('Вводные'!$AD$88:$AD$91,$B$64)*'Вводные'!$H$7)^MAX(0,(12*(YEAR(AV$3)-YEAR($B$67))+MONTH(AV$3)-MONTH($B$67)))*(1+IF(MONTH(AV$3)=1,'Вводные'!$B$67,IF(AND(MONTH(AV$3)&gt;=5,MONTH(AV$3)&lt;=8),'Вводные'!$B$70,0))),0)</x:f>
      </x:c>
      <x:c r="AW74" s="35" t="n">
        <x:f>IF(AND(AW$3&gt;=$B$67,AW$3&lt;EDATE($B$67,MAX(1,'Вводные'!$K$73)),AND($B$63="Да",IFERROR(INDEX('Вводные'!$B$88:$B$91,$B$64),"Нет")="Да")),(1+INDEX('Вводные'!$AD$88:$AD$91,$B$64)*'Вводные'!$H$7)^MAX(0,(12*(YEAR(AW$3)-YEAR($B$67))+MONTH(AW$3)-MONTH($B$67)))*(1+IF(MONTH(AW$3)=1,'Вводные'!$B$67,IF(AND(MONTH(AW$3)&gt;=5,MONTH(AW$3)&lt;=8),'Вводные'!$B$70,0))),0)</x:f>
      </x:c>
      <x:c r="AX74" s="35" t="n">
        <x:f>IF(AND(AX$3&gt;=$B$67,AX$3&lt;EDATE($B$67,MAX(1,'Вводные'!$K$73)),AND($B$63="Да",IFERROR(INDEX('Вводные'!$B$88:$B$91,$B$64),"Нет")="Да")),(1+INDEX('Вводные'!$AD$88:$AD$91,$B$64)*'Вводные'!$H$7)^MAX(0,(12*(YEAR(AX$3)-YEAR($B$67))+MONTH(AX$3)-MONTH($B$67)))*(1+IF(MONTH(AX$3)=1,'Вводные'!$B$67,IF(AND(MONTH(AX$3)&gt;=5,MONTH(AX$3)&lt;=8),'Вводные'!$B$70,0))),0)</x:f>
      </x:c>
      <x:c r="AY74" s="35" t="n">
        <x:f>IF(AND(AY$3&gt;=$B$67,AY$3&lt;EDATE($B$67,MAX(1,'Вводные'!$K$73)),AND($B$63="Да",IFERROR(INDEX('Вводные'!$B$88:$B$91,$B$64),"Нет")="Да")),(1+INDEX('Вводные'!$AD$88:$AD$91,$B$64)*'Вводные'!$H$7)^MAX(0,(12*(YEAR(AY$3)-YEAR($B$67))+MONTH(AY$3)-MONTH($B$67)))*(1+IF(MONTH(AY$3)=1,'Вводные'!$B$67,IF(AND(MONTH(AY$3)&gt;=5,MONTH(AY$3)&lt;=8),'Вводные'!$B$70,0))),0)</x:f>
      </x:c>
      <x:c r="AZ74" s="35" t="n">
        <x:f>IF(AND(AZ$3&gt;=$B$67,AZ$3&lt;EDATE($B$67,MAX(1,'Вводные'!$K$73)),AND($B$63="Да",IFERROR(INDEX('Вводные'!$B$88:$B$91,$B$64),"Нет")="Да")),(1+INDEX('Вводные'!$AD$88:$AD$91,$B$64)*'Вводные'!$H$7)^MAX(0,(12*(YEAR(AZ$3)-YEAR($B$67))+MONTH(AZ$3)-MONTH($B$67)))*(1+IF(MONTH(AZ$3)=1,'Вводные'!$B$67,IF(AND(MONTH(AZ$3)&gt;=5,MONTH(AZ$3)&lt;=8),'Вводные'!$B$70,0))),0)</x:f>
      </x:c>
      <x:c r="BA74" s="35" t="n">
        <x:f>IF(AND(BA$3&gt;=$B$67,BA$3&lt;EDATE($B$67,MAX(1,'Вводные'!$K$73)),AND($B$63="Да",IFERROR(INDEX('Вводные'!$B$88:$B$91,$B$64),"Нет")="Да")),(1+INDEX('Вводные'!$AD$88:$AD$91,$B$64)*'Вводные'!$H$7)^MAX(0,(12*(YEAR(BA$3)-YEAR($B$67))+MONTH(BA$3)-MONTH($B$67)))*(1+IF(MONTH(BA$3)=1,'Вводные'!$B$67,IF(AND(MONTH(BA$3)&gt;=5,MONTH(BA$3)&lt;=8),'Вводные'!$B$70,0))),0)</x:f>
      </x:c>
      <x:c r="BB74" s="35" t="n">
        <x:f>IF(AND(BB$3&gt;=$B$67,BB$3&lt;EDATE($B$67,MAX(1,'Вводные'!$K$73)),AND($B$63="Да",IFERROR(INDEX('Вводные'!$B$88:$B$91,$B$64),"Нет")="Да")),(1+INDEX('Вводные'!$AD$88:$AD$91,$B$64)*'Вводные'!$H$7)^MAX(0,(12*(YEAR(BB$3)-YEAR($B$67))+MONTH(BB$3)-MONTH($B$67)))*(1+IF(MONTH(BB$3)=1,'Вводные'!$B$67,IF(AND(MONTH(BB$3)&gt;=5,MONTH(BB$3)&lt;=8),'Вводные'!$B$70,0))),0)</x:f>
      </x:c>
      <x:c r="BC74" s="35" t="n">
        <x:f>IF(AND(BC$3&gt;=$B$67,BC$3&lt;EDATE($B$67,MAX(1,'Вводные'!$K$73)),AND($B$63="Да",IFERROR(INDEX('Вводные'!$B$88:$B$91,$B$64),"Нет")="Да")),(1+INDEX('Вводные'!$AD$88:$AD$91,$B$64)*'Вводные'!$H$7)^MAX(0,(12*(YEAR(BC$3)-YEAR($B$67))+MONTH(BC$3)-MONTH($B$67)))*(1+IF(MONTH(BC$3)=1,'Вводные'!$B$67,IF(AND(MONTH(BC$3)&gt;=5,MONTH(BC$3)&lt;=8),'Вводные'!$B$70,0))),0)</x:f>
      </x:c>
      <x:c r="BD74" s="35" t="n">
        <x:f>IF(AND(BD$3&gt;=$B$67,BD$3&lt;EDATE($B$67,MAX(1,'Вводные'!$K$73)),AND($B$63="Да",IFERROR(INDEX('Вводные'!$B$88:$B$91,$B$64),"Нет")="Да")),(1+INDEX('Вводные'!$AD$88:$AD$91,$B$64)*'Вводные'!$H$7)^MAX(0,(12*(YEAR(BD$3)-YEAR($B$67))+MONTH(BD$3)-MONTH($B$67)))*(1+IF(MONTH(BD$3)=1,'Вводные'!$B$67,IF(AND(MONTH(BD$3)&gt;=5,MONTH(BD$3)&lt;=8),'Вводные'!$B$70,0))),0)</x:f>
      </x:c>
      <x:c r="BE74" s="35" t="n">
        <x:f>IF(AND(BE$3&gt;=$B$67,BE$3&lt;EDATE($B$67,MAX(1,'Вводные'!$K$73)),AND($B$63="Да",IFERROR(INDEX('Вводные'!$B$88:$B$91,$B$64),"Нет")="Да")),(1+INDEX('Вводные'!$AD$88:$AD$91,$B$64)*'Вводные'!$H$7)^MAX(0,(12*(YEAR(BE$3)-YEAR($B$67))+MONTH(BE$3)-MONTH($B$67)))*(1+IF(MONTH(BE$3)=1,'Вводные'!$B$67,IF(AND(MONTH(BE$3)&gt;=5,MONTH(BE$3)&lt;=8),'Вводные'!$B$70,0))),0)</x:f>
      </x:c>
      <x:c r="BF74" s="35" t="n">
        <x:f>IF(AND(BF$3&gt;=$B$67,BF$3&lt;EDATE($B$67,MAX(1,'Вводные'!$K$73)),AND($B$63="Да",IFERROR(INDEX('Вводные'!$B$88:$B$91,$B$64),"Нет")="Да")),(1+INDEX('Вводные'!$AD$88:$AD$91,$B$64)*'Вводные'!$H$7)^MAX(0,(12*(YEAR(BF$3)-YEAR($B$67))+MONTH(BF$3)-MONTH($B$67)))*(1+IF(MONTH(BF$3)=1,'Вводные'!$B$67,IF(AND(MONTH(BF$3)&gt;=5,MONTH(BF$3)&lt;=8),'Вводные'!$B$70,0))),0)</x:f>
      </x:c>
      <x:c r="BG74" s="35" t="n">
        <x:f>IF(AND(BG$3&gt;=$B$67,BG$3&lt;EDATE($B$67,MAX(1,'Вводные'!$K$73)),AND($B$63="Да",IFERROR(INDEX('Вводные'!$B$88:$B$91,$B$64),"Нет")="Да")),(1+INDEX('Вводные'!$AD$88:$AD$91,$B$64)*'Вводные'!$H$7)^MAX(0,(12*(YEAR(BG$3)-YEAR($B$67))+MONTH(BG$3)-MONTH($B$67)))*(1+IF(MONTH(BG$3)=1,'Вводные'!$B$67,IF(AND(MONTH(BG$3)&gt;=5,MONTH(BG$3)&lt;=8),'Вводные'!$B$70,0))),0)</x:f>
      </x:c>
      <x:c r="BH74" s="35" t="n">
        <x:f>IF(AND(BH$3&gt;=$B$67,BH$3&lt;EDATE($B$67,MAX(1,'Вводные'!$K$73)),AND($B$63="Да",IFERROR(INDEX('Вводные'!$B$88:$B$91,$B$64),"Нет")="Да")),(1+INDEX('Вводные'!$AD$88:$AD$91,$B$64)*'Вводные'!$H$7)^MAX(0,(12*(YEAR(BH$3)-YEAR($B$67))+MONTH(BH$3)-MONTH($B$67)))*(1+IF(MONTH(BH$3)=1,'Вводные'!$B$67,IF(AND(MONTH(BH$3)&gt;=5,MONTH(BH$3)&lt;=8),'Вводные'!$B$70,0))),0)</x:f>
      </x:c>
      <x:c r="BI74" s="35" t="n">
        <x:f>IF(AND(BI$3&gt;=$B$67,BI$3&lt;EDATE($B$67,MAX(1,'Вводные'!$K$73)),AND($B$63="Да",IFERROR(INDEX('Вводные'!$B$88:$B$91,$B$64),"Нет")="Да")),(1+INDEX('Вводные'!$AD$88:$AD$91,$B$64)*'Вводные'!$H$7)^MAX(0,(12*(YEAR(BI$3)-YEAR($B$67))+MONTH(BI$3)-MONTH($B$67)))*(1+IF(MONTH(BI$3)=1,'Вводные'!$B$67,IF(AND(MONTH(BI$3)&gt;=5,MONTH(BI$3)&lt;=8),'Вводные'!$B$70,0))),0)</x:f>
      </x:c>
      <x:c r="BJ74" s="35" t="n">
        <x:f>IF(AND(BJ$3&gt;=$B$67,BJ$3&lt;EDATE($B$67,MAX(1,'Вводные'!$K$73)),AND($B$63="Да",IFERROR(INDEX('Вводные'!$B$88:$B$91,$B$64),"Нет")="Да")),(1+INDEX('Вводные'!$AD$88:$AD$91,$B$64)*'Вводные'!$H$7)^MAX(0,(12*(YEAR(BJ$3)-YEAR($B$67))+MONTH(BJ$3)-MONTH($B$67)))*(1+IF(MONTH(BJ$3)=1,'Вводные'!$B$67,IF(AND(MONTH(BJ$3)&gt;=5,MONTH(BJ$3)&lt;=8),'Вводные'!$B$70,0))),0)</x:f>
      </x:c>
      <x:c r="BK74" s="35" t="n">
        <x:f>IF(AND(BK$3&gt;=$B$67,BK$3&lt;EDATE($B$67,MAX(1,'Вводные'!$K$73)),AND($B$63="Да",IFERROR(INDEX('Вводные'!$B$88:$B$91,$B$64),"Нет")="Да")),(1+INDEX('Вводные'!$AD$88:$AD$91,$B$64)*'Вводные'!$H$7)^MAX(0,(12*(YEAR(BK$3)-YEAR($B$67))+MONTH(BK$3)-MONTH($B$67)))*(1+IF(MONTH(BK$3)=1,'Вводные'!$B$67,IF(AND(MONTH(BK$3)&gt;=5,MONTH(BK$3)&lt;=8),'Вводные'!$B$70,0))),0)</x:f>
      </x:c>
      <x:c r="BL74" s="35" t="n">
        <x:f>IF(AND(BL$3&gt;=$B$67,BL$3&lt;EDATE($B$67,MAX(1,'Вводные'!$K$73)),AND($B$63="Да",IFERROR(INDEX('Вводные'!$B$88:$B$91,$B$64),"Нет")="Да")),(1+INDEX('Вводные'!$AD$88:$AD$91,$B$64)*'Вводные'!$H$7)^MAX(0,(12*(YEAR(BL$3)-YEAR($B$67))+MONTH(BL$3)-MONTH($B$67)))*(1+IF(MONTH(BL$3)=1,'Вводные'!$B$67,IF(AND(MONTH(BL$3)&gt;=5,MONTH(BL$3)&lt;=8),'Вводные'!$B$70,0))),0)</x:f>
      </x:c>
      <x:c r="BM74" s="35" t="n">
        <x:f>IF(AND(BM$3&gt;=$B$67,BM$3&lt;EDATE($B$67,MAX(1,'Вводные'!$K$73)),AND($B$63="Да",IFERROR(INDEX('Вводные'!$B$88:$B$91,$B$64),"Нет")="Да")),(1+INDEX('Вводные'!$AD$88:$AD$91,$B$64)*'Вводные'!$H$7)^MAX(0,(12*(YEAR(BM$3)-YEAR($B$67))+MONTH(BM$3)-MONTH($B$67)))*(1+IF(MONTH(BM$3)=1,'Вводные'!$B$67,IF(AND(MONTH(BM$3)&gt;=5,MONTH(BM$3)&lt;=8),'Вводные'!$B$70,0))),0)</x:f>
      </x:c>
      <x:c r="BN74" s="35" t="n">
        <x:f>IF(AND(BN$3&gt;=$B$67,BN$3&lt;EDATE($B$67,MAX(1,'Вводные'!$K$73)),AND($B$63="Да",IFERROR(INDEX('Вводные'!$B$88:$B$91,$B$64),"Нет")="Да")),(1+INDEX('Вводные'!$AD$88:$AD$91,$B$64)*'Вводные'!$H$7)^MAX(0,(12*(YEAR(BN$3)-YEAR($B$67))+MONTH(BN$3)-MONTH($B$67)))*(1+IF(MONTH(BN$3)=1,'Вводные'!$B$67,IF(AND(MONTH(BN$3)&gt;=5,MONTH(BN$3)&lt;=8),'Вводные'!$B$70,0))),0)</x:f>
      </x:c>
      <x:c r="BO74" s="35" t="n">
        <x:f>IF(AND(BO$3&gt;=$B$67,BO$3&lt;EDATE($B$67,MAX(1,'Вводные'!$K$73)),AND($B$63="Да",IFERROR(INDEX('Вводные'!$B$88:$B$91,$B$64),"Нет")="Да")),(1+INDEX('Вводные'!$AD$88:$AD$91,$B$64)*'Вводные'!$H$7)^MAX(0,(12*(YEAR(BO$3)-YEAR($B$67))+MONTH(BO$3)-MONTH($B$67)))*(1+IF(MONTH(BO$3)=1,'Вводные'!$B$67,IF(AND(MONTH(BO$3)&gt;=5,MONTH(BO$3)&lt;=8),'Вводные'!$B$70,0))),0)</x:f>
      </x:c>
      <x:c r="BP74" s="35" t="n">
        <x:f>IF(AND(BP$3&gt;=$B$67,BP$3&lt;EDATE($B$67,MAX(1,'Вводные'!$K$73)),AND($B$63="Да",IFERROR(INDEX('Вводные'!$B$88:$B$91,$B$64),"Нет")="Да")),(1+INDEX('Вводные'!$AD$88:$AD$91,$B$64)*'Вводные'!$H$7)^MAX(0,(12*(YEAR(BP$3)-YEAR($B$67))+MONTH(BP$3)-MONTH($B$67)))*(1+IF(MONTH(BP$3)=1,'Вводные'!$B$67,IF(AND(MONTH(BP$3)&gt;=5,MONTH(BP$3)&lt;=8),'Вводные'!$B$70,0))),0)</x:f>
      </x:c>
      <x:c r="BQ74" s="35" t="n">
        <x:f>IF(AND(BQ$3&gt;=$B$67,BQ$3&lt;EDATE($B$67,MAX(1,'Вводные'!$K$73)),AND($B$63="Да",IFERROR(INDEX('Вводные'!$B$88:$B$91,$B$64),"Нет")="Да")),(1+INDEX('Вводные'!$AD$88:$AD$91,$B$64)*'Вводные'!$H$7)^MAX(0,(12*(YEAR(BQ$3)-YEAR($B$67))+MONTH(BQ$3)-MONTH($B$67)))*(1+IF(MONTH(BQ$3)=1,'Вводные'!$B$67,IF(AND(MONTH(BQ$3)&gt;=5,MONTH(BQ$3)&lt;=8),'Вводные'!$B$70,0))),0)</x:f>
      </x:c>
      <x:c r="BR74" s="35" t="n">
        <x:f>IF(AND(BR$3&gt;=$B$67,BR$3&lt;EDATE($B$67,MAX(1,'Вводные'!$K$73)),AND($B$63="Да",IFERROR(INDEX('Вводные'!$B$88:$B$91,$B$64),"Нет")="Да")),(1+INDEX('Вводные'!$AD$88:$AD$91,$B$64)*'Вводные'!$H$7)^MAX(0,(12*(YEAR(BR$3)-YEAR($B$67))+MONTH(BR$3)-MONTH($B$67)))*(1+IF(MONTH(BR$3)=1,'Вводные'!$B$67,IF(AND(MONTH(BR$3)&gt;=5,MONTH(BR$3)&lt;=8),'Вводные'!$B$70,0))),0)</x:f>
      </x:c>
      <x:c r="BS74" s="35" t="n">
        <x:f>IF(AND(BS$3&gt;=$B$67,BS$3&lt;EDATE($B$67,MAX(1,'Вводные'!$K$73)),AND($B$63="Да",IFERROR(INDEX('Вводные'!$B$88:$B$91,$B$64),"Нет")="Да")),(1+INDEX('Вводные'!$AD$88:$AD$91,$B$64)*'Вводные'!$H$7)^MAX(0,(12*(YEAR(BS$3)-YEAR($B$67))+MONTH(BS$3)-MONTH($B$67)))*(1+IF(MONTH(BS$3)=1,'Вводные'!$B$67,IF(AND(MONTH(BS$3)&gt;=5,MONTH(BS$3)&lt;=8),'Вводные'!$B$70,0))),0)</x:f>
      </x:c>
      <x:c r="BT74" s="35" t="n">
        <x:f>IF(AND(BT$3&gt;=$B$67,BT$3&lt;EDATE($B$67,MAX(1,'Вводные'!$K$73)),AND($B$63="Да",IFERROR(INDEX('Вводные'!$B$88:$B$91,$B$64),"Нет")="Да")),(1+INDEX('Вводные'!$AD$88:$AD$91,$B$64)*'Вводные'!$H$7)^MAX(0,(12*(YEAR(BT$3)-YEAR($B$67))+MONTH(BT$3)-MONTH($B$67)))*(1+IF(MONTH(BT$3)=1,'Вводные'!$B$67,IF(AND(MONTH(BT$3)&gt;=5,MONTH(BT$3)&lt;=8),'Вводные'!$B$70,0))),0)</x:f>
      </x:c>
      <x:c r="BU74" s="35" t="n">
        <x:f>IF(AND(BU$3&gt;=$B$67,BU$3&lt;EDATE($B$67,MAX(1,'Вводные'!$K$73)),AND($B$63="Да",IFERROR(INDEX('Вводные'!$B$88:$B$91,$B$64),"Нет")="Да")),(1+INDEX('Вводные'!$AD$88:$AD$91,$B$64)*'Вводные'!$H$7)^MAX(0,(12*(YEAR(BU$3)-YEAR($B$67))+MONTH(BU$3)-MONTH($B$67)))*(1+IF(MONTH(BU$3)=1,'Вводные'!$B$67,IF(AND(MONTH(BU$3)&gt;=5,MONTH(BU$3)&lt;=8),'Вводные'!$B$70,0))),0)</x:f>
      </x:c>
      <x:c r="BV74" s="35" t="n">
        <x:f>IF(AND(BV$3&gt;=$B$67,BV$3&lt;EDATE($B$67,MAX(1,'Вводные'!$K$73)),AND($B$63="Да",IFERROR(INDEX('Вводные'!$B$88:$B$91,$B$64),"Нет")="Да")),(1+INDEX('Вводные'!$AD$88:$AD$91,$B$64)*'Вводные'!$H$7)^MAX(0,(12*(YEAR(BV$3)-YEAR($B$67))+MONTH(BV$3)-MONTH($B$67)))*(1+IF(MONTH(BV$3)=1,'Вводные'!$B$67,IF(AND(MONTH(BV$3)&gt;=5,MONTH(BV$3)&lt;=8),'Вводные'!$B$70,0))),0)</x:f>
      </x:c>
      <x:c r="BW74" s="35" t="n">
        <x:f>IF(AND(BW$3&gt;=$B$67,BW$3&lt;EDATE($B$67,MAX(1,'Вводные'!$K$73)),AND($B$63="Да",IFERROR(INDEX('Вводные'!$B$88:$B$91,$B$64),"Нет")="Да")),(1+INDEX('Вводные'!$AD$88:$AD$91,$B$64)*'Вводные'!$H$7)^MAX(0,(12*(YEAR(BW$3)-YEAR($B$67))+MONTH(BW$3)-MONTH($B$67)))*(1+IF(MONTH(BW$3)=1,'Вводные'!$B$67,IF(AND(MONTH(BW$3)&gt;=5,MONTH(BW$3)&lt;=8),'Вводные'!$B$70,0))),0)</x:f>
      </x:c>
      <x:c r="BX74" s="35" t="n">
        <x:f>IF(AND(BX$3&gt;=$B$67,BX$3&lt;EDATE($B$67,MAX(1,'Вводные'!$K$73)),AND($B$63="Да",IFERROR(INDEX('Вводные'!$B$88:$B$91,$B$64),"Нет")="Да")),(1+INDEX('Вводные'!$AD$88:$AD$91,$B$64)*'Вводные'!$H$7)^MAX(0,(12*(YEAR(BX$3)-YEAR($B$67))+MONTH(BX$3)-MONTH($B$67)))*(1+IF(MONTH(BX$3)=1,'Вводные'!$B$67,IF(AND(MONTH(BX$3)&gt;=5,MONTH(BX$3)&lt;=8),'Вводные'!$B$70,0))),0)</x:f>
      </x:c>
      <x:c r="BY74" s="35" t="n">
        <x:f>IF(AND(BY$3&gt;=$B$67,BY$3&lt;EDATE($B$67,MAX(1,'Вводные'!$K$73)),AND($B$63="Да",IFERROR(INDEX('Вводные'!$B$88:$B$91,$B$64),"Нет")="Да")),(1+INDEX('Вводные'!$AD$88:$AD$91,$B$64)*'Вводные'!$H$7)^MAX(0,(12*(YEAR(BY$3)-YEAR($B$67))+MONTH(BY$3)-MONTH($B$67)))*(1+IF(MONTH(BY$3)=1,'Вводные'!$B$67,IF(AND(MONTH(BY$3)&gt;=5,MONTH(BY$3)&lt;=8),'Вводные'!$B$70,0))),0)</x:f>
      </x:c>
      <x:c r="BZ74" s="35" t="n">
        <x:f>IF(AND(BZ$3&gt;=$B$67,BZ$3&lt;EDATE($B$67,MAX(1,'Вводные'!$K$73)),AND($B$63="Да",IFERROR(INDEX('Вводные'!$B$88:$B$91,$B$64),"Нет")="Да")),(1+INDEX('Вводные'!$AD$88:$AD$91,$B$64)*'Вводные'!$H$7)^MAX(0,(12*(YEAR(BZ$3)-YEAR($B$67))+MONTH(BZ$3)-MONTH($B$67)))*(1+IF(MONTH(BZ$3)=1,'Вводные'!$B$67,IF(AND(MONTH(BZ$3)&gt;=5,MONTH(BZ$3)&lt;=8),'Вводные'!$B$70,0))),0)</x:f>
      </x:c>
      <x:c r="CA74" s="35" t="n">
        <x:f>IF(AND(CA$3&gt;=$B$67,CA$3&lt;EDATE($B$67,MAX(1,'Вводные'!$K$73)),AND($B$63="Да",IFERROR(INDEX('Вводные'!$B$88:$B$91,$B$64),"Нет")="Да")),(1+INDEX('Вводные'!$AD$88:$AD$91,$B$64)*'Вводные'!$H$7)^MAX(0,(12*(YEAR(CA$3)-YEAR($B$67))+MONTH(CA$3)-MONTH($B$67)))*(1+IF(MONTH(CA$3)=1,'Вводные'!$B$67,IF(AND(MONTH(CA$3)&gt;=5,MONTH(CA$3)&lt;=8),'Вводные'!$B$70,0))),0)</x:f>
      </x:c>
      <x:c r="CB74" s="35" t="n">
        <x:f>IF(AND(CB$3&gt;=$B$67,CB$3&lt;EDATE($B$67,MAX(1,'Вводные'!$K$73)),AND($B$63="Да",IFERROR(INDEX('Вводные'!$B$88:$B$91,$B$64),"Нет")="Да")),(1+INDEX('Вводные'!$AD$88:$AD$91,$B$64)*'Вводные'!$H$7)^MAX(0,(12*(YEAR(CB$3)-YEAR($B$67))+MONTH(CB$3)-MONTH($B$67)))*(1+IF(MONTH(CB$3)=1,'Вводные'!$B$67,IF(AND(MONTH(CB$3)&gt;=5,MONTH(CB$3)&lt;=8),'Вводные'!$B$70,0))),0)</x:f>
      </x:c>
      <x:c r="CC74" s="35" t="n">
        <x:f>IF(AND(CC$3&gt;=$B$67,CC$3&lt;EDATE($B$67,MAX(1,'Вводные'!$K$73)),AND($B$63="Да",IFERROR(INDEX('Вводные'!$B$88:$B$91,$B$64),"Нет")="Да")),(1+INDEX('Вводные'!$AD$88:$AD$91,$B$64)*'Вводные'!$H$7)^MAX(0,(12*(YEAR(CC$3)-YEAR($B$67))+MONTH(CC$3)-MONTH($B$67)))*(1+IF(MONTH(CC$3)=1,'Вводные'!$B$67,IF(AND(MONTH(CC$3)&gt;=5,MONTH(CC$3)&lt;=8),'Вводные'!$B$70,0))),0)</x:f>
      </x:c>
      <x:c r="CD74" s="35" t="n">
        <x:f>IF(AND(CD$3&gt;=$B$67,CD$3&lt;EDATE($B$67,MAX(1,'Вводные'!$K$73)),AND($B$63="Да",IFERROR(INDEX('Вводные'!$B$88:$B$91,$B$64),"Нет")="Да")),(1+INDEX('Вводные'!$AD$88:$AD$91,$B$64)*'Вводные'!$H$7)^MAX(0,(12*(YEAR(CD$3)-YEAR($B$67))+MONTH(CD$3)-MONTH($B$67)))*(1+IF(MONTH(CD$3)=1,'Вводные'!$B$67,IF(AND(MONTH(CD$3)&gt;=5,MONTH(CD$3)&lt;=8),'Вводные'!$B$70,0))),0)</x:f>
      </x:c>
      <x:c r="CE74" s="35" t="n">
        <x:f>IF(AND(CE$3&gt;=$B$67,CE$3&lt;EDATE($B$67,MAX(1,'Вводные'!$K$73)),AND($B$63="Да",IFERROR(INDEX('Вводные'!$B$88:$B$91,$B$64),"Нет")="Да")),(1+INDEX('Вводные'!$AD$88:$AD$91,$B$64)*'Вводные'!$H$7)^MAX(0,(12*(YEAR(CE$3)-YEAR($B$67))+MONTH(CE$3)-MONTH($B$67)))*(1+IF(MONTH(CE$3)=1,'Вводные'!$B$67,IF(AND(MONTH(CE$3)&gt;=5,MONTH(CE$3)&lt;=8),'Вводные'!$B$70,0))),0)</x:f>
      </x:c>
      <x:c r="CF74" s="35" t="n">
        <x:f>IF(AND(CF$3&gt;=$B$67,CF$3&lt;EDATE($B$67,MAX(1,'Вводные'!$K$73)),AND($B$63="Да",IFERROR(INDEX('Вводные'!$B$88:$B$91,$B$64),"Нет")="Да")),(1+INDEX('Вводные'!$AD$88:$AD$91,$B$64)*'Вводные'!$H$7)^MAX(0,(12*(YEAR(CF$3)-YEAR($B$67))+MONTH(CF$3)-MONTH($B$67)))*(1+IF(MONTH(CF$3)=1,'Вводные'!$B$67,IF(AND(MONTH(CF$3)&gt;=5,MONTH(CF$3)&lt;=8),'Вводные'!$B$70,0))),0)</x:f>
      </x:c>
      <x:c r="CG74" s="35" t="n">
        <x:f>IF(AND(CG$3&gt;=$B$67,CG$3&lt;EDATE($B$67,MAX(1,'Вводные'!$K$73)),AND($B$63="Да",IFERROR(INDEX('Вводные'!$B$88:$B$91,$B$64),"Нет")="Да")),(1+INDEX('Вводные'!$AD$88:$AD$91,$B$64)*'Вводные'!$H$7)^MAX(0,(12*(YEAR(CG$3)-YEAR($B$67))+MONTH(CG$3)-MONTH($B$67)))*(1+IF(MONTH(CG$3)=1,'Вводные'!$B$67,IF(AND(MONTH(CG$3)&gt;=5,MONTH(CG$3)&lt;=8),'Вводные'!$B$70,0))),0)</x:f>
      </x:c>
      <x:c r="CH74" s="35" t="n">
        <x:f>IF(AND(CH$3&gt;=$B$67,CH$3&lt;EDATE($B$67,MAX(1,'Вводные'!$K$73)),AND($B$63="Да",IFERROR(INDEX('Вводные'!$B$88:$B$91,$B$64),"Нет")="Да")),(1+INDEX('Вводные'!$AD$88:$AD$91,$B$64)*'Вводные'!$H$7)^MAX(0,(12*(YEAR(CH$3)-YEAR($B$67))+MONTH(CH$3)-MONTH($B$67)))*(1+IF(MONTH(CH$3)=1,'Вводные'!$B$67,IF(AND(MONTH(CH$3)&gt;=5,MONTH(CH$3)&lt;=8),'Вводные'!$B$70,0))),0)</x:f>
      </x:c>
      <x:c r="CI74" s="35" t="n">
        <x:f>IF(AND(CI$3&gt;=$B$67,CI$3&lt;EDATE($B$67,MAX(1,'Вводные'!$K$73)),AND($B$63="Да",IFERROR(INDEX('Вводные'!$B$88:$B$91,$B$64),"Нет")="Да")),(1+INDEX('Вводные'!$AD$88:$AD$91,$B$64)*'Вводные'!$H$7)^MAX(0,(12*(YEAR(CI$3)-YEAR($B$67))+MONTH(CI$3)-MONTH($B$67)))*(1+IF(MONTH(CI$3)=1,'Вводные'!$B$67,IF(AND(MONTH(CI$3)&gt;=5,MONTH(CI$3)&lt;=8),'Вводные'!$B$70,0))),0)</x:f>
      </x:c>
      <x:c r="CJ74" s="35" t="n">
        <x:f>IF(AND(CJ$3&gt;=$B$67,CJ$3&lt;EDATE($B$67,MAX(1,'Вводные'!$K$73)),AND($B$63="Да",IFERROR(INDEX('Вводные'!$B$88:$B$91,$B$64),"Нет")="Да")),(1+INDEX('Вводные'!$AD$88:$AD$91,$B$64)*'Вводные'!$H$7)^MAX(0,(12*(YEAR(CJ$3)-YEAR($B$67))+MONTH(CJ$3)-MONTH($B$67)))*(1+IF(MONTH(CJ$3)=1,'Вводные'!$B$67,IF(AND(MONTH(CJ$3)&gt;=5,MONTH(CJ$3)&lt;=8),'Вводные'!$B$70,0))),0)</x:f>
      </x:c>
      <x:c r="CK74" s="35" t="n">
        <x:f>IF(AND(CK$3&gt;=$B$67,CK$3&lt;EDATE($B$67,MAX(1,'Вводные'!$K$73)),AND($B$63="Да",IFERROR(INDEX('Вводные'!$B$88:$B$91,$B$64),"Нет")="Да")),(1+INDEX('Вводные'!$AD$88:$AD$91,$B$64)*'Вводные'!$H$7)^MAX(0,(12*(YEAR(CK$3)-YEAR($B$67))+MONTH(CK$3)-MONTH($B$67)))*(1+IF(MONTH(CK$3)=1,'Вводные'!$B$67,IF(AND(MONTH(CK$3)&gt;=5,MONTH(CK$3)&lt;=8),'Вводные'!$B$70,0))),0)</x:f>
      </x:c>
      <x:c r="CL74" s="35" t="n">
        <x:f>IF(AND(CL$3&gt;=$B$67,CL$3&lt;EDATE($B$67,MAX(1,'Вводные'!$K$73)),AND($B$63="Да",IFERROR(INDEX('Вводные'!$B$88:$B$91,$B$64),"Нет")="Да")),(1+INDEX('Вводные'!$AD$88:$AD$91,$B$64)*'Вводные'!$H$7)^MAX(0,(12*(YEAR(CL$3)-YEAR($B$67))+MONTH(CL$3)-MONTH($B$67)))*(1+IF(MONTH(CL$3)=1,'Вводные'!$B$67,IF(AND(MONTH(CL$3)&gt;=5,MONTH(CL$3)&lt;=8),'Вводные'!$B$70,0))),0)</x:f>
      </x:c>
      <x:c r="CM74" s="35" t="n">
        <x:f>IF(AND(CM$3&gt;=$B$67,CM$3&lt;EDATE($B$67,MAX(1,'Вводные'!$K$73)),AND($B$63="Да",IFERROR(INDEX('Вводные'!$B$88:$B$91,$B$64),"Нет")="Да")),(1+INDEX('Вводные'!$AD$88:$AD$91,$B$64)*'Вводные'!$H$7)^MAX(0,(12*(YEAR(CM$3)-YEAR($B$67))+MONTH(CM$3)-MONTH($B$67)))*(1+IF(MONTH(CM$3)=1,'Вводные'!$B$67,IF(AND(MONTH(CM$3)&gt;=5,MONTH(CM$3)&lt;=8),'Вводные'!$B$70,0))),0)</x:f>
      </x:c>
      <x:c r="CN74" s="35" t="n">
        <x:f>IF(AND(CN$3&gt;=$B$67,CN$3&lt;EDATE($B$67,MAX(1,'Вводные'!$K$73)),AND($B$63="Да",IFERROR(INDEX('Вводные'!$B$88:$B$91,$B$64),"Нет")="Да")),(1+INDEX('Вводные'!$AD$88:$AD$91,$B$64)*'Вводные'!$H$7)^MAX(0,(12*(YEAR(CN$3)-YEAR($B$67))+MONTH(CN$3)-MONTH($B$67)))*(1+IF(MONTH(CN$3)=1,'Вводные'!$B$67,IF(AND(MONTH(CN$3)&gt;=5,MONTH(CN$3)&lt;=8),'Вводные'!$B$70,0))),0)</x:f>
      </x:c>
      <x:c r="CO74" s="35" t="n">
        <x:f>IF(AND(CO$3&gt;=$B$67,CO$3&lt;EDATE($B$67,MAX(1,'Вводные'!$K$73)),AND($B$63="Да",IFERROR(INDEX('Вводные'!$B$88:$B$91,$B$64),"Нет")="Да")),(1+INDEX('Вводные'!$AD$88:$AD$91,$B$64)*'Вводные'!$H$7)^MAX(0,(12*(YEAR(CO$3)-YEAR($B$67))+MONTH(CO$3)-MONTH($B$67)))*(1+IF(MONTH(CO$3)=1,'Вводные'!$B$67,IF(AND(MONTH(CO$3)&gt;=5,MONTH(CO$3)&lt;=8),'Вводные'!$B$70,0))),0)</x:f>
      </x:c>
      <x:c r="CP74" s="35" t="n">
        <x:f>IF(AND(CP$3&gt;=$B$67,CP$3&lt;EDATE($B$67,MAX(1,'Вводные'!$K$73)),AND($B$63="Да",IFERROR(INDEX('Вводные'!$B$88:$B$91,$B$64),"Нет")="Да")),(1+INDEX('Вводные'!$AD$88:$AD$91,$B$64)*'Вводные'!$H$7)^MAX(0,(12*(YEAR(CP$3)-YEAR($B$67))+MONTH(CP$3)-MONTH($B$67)))*(1+IF(MONTH(CP$3)=1,'Вводные'!$B$67,IF(AND(MONTH(CP$3)&gt;=5,MONTH(CP$3)&lt;=8),'Вводные'!$B$70,0))),0)</x:f>
      </x:c>
      <x:c r="CQ74" s="35" t="n">
        <x:f>IF(AND(CQ$3&gt;=$B$67,CQ$3&lt;EDATE($B$67,MAX(1,'Вводные'!$K$73)),AND($B$63="Да",IFERROR(INDEX('Вводные'!$B$88:$B$91,$B$64),"Нет")="Да")),(1+INDEX('Вводные'!$AD$88:$AD$91,$B$64)*'Вводные'!$H$7)^MAX(0,(12*(YEAR(CQ$3)-YEAR($B$67))+MONTH(CQ$3)-MONTH($B$67)))*(1+IF(MONTH(CQ$3)=1,'Вводные'!$B$67,IF(AND(MONTH(CQ$3)&gt;=5,MONTH(CQ$3)&lt;=8),'Вводные'!$B$70,0))),0)</x:f>
      </x:c>
      <x:c r="CR74" s="35" t="n">
        <x:f>IF(AND(CR$3&gt;=$B$67,CR$3&lt;EDATE($B$67,MAX(1,'Вводные'!$K$73)),AND($B$63="Да",IFERROR(INDEX('Вводные'!$B$88:$B$91,$B$64),"Нет")="Да")),(1+INDEX('Вводные'!$AD$88:$AD$91,$B$64)*'Вводные'!$H$7)^MAX(0,(12*(YEAR(CR$3)-YEAR($B$67))+MONTH(CR$3)-MONTH($B$67)))*(1+IF(MONTH(CR$3)=1,'Вводные'!$B$67,IF(AND(MONTH(CR$3)&gt;=5,MONTH(CR$3)&lt;=8),'Вводные'!$B$70,0))),0)</x:f>
      </x:c>
      <x:c r="CS74" s="35" t="n">
        <x:f>IF(AND(CS$3&gt;=$B$67,CS$3&lt;EDATE($B$67,MAX(1,'Вводные'!$K$73)),AND($B$63="Да",IFERROR(INDEX('Вводные'!$B$88:$B$91,$B$64),"Нет")="Да")),(1+INDEX('Вводные'!$AD$88:$AD$91,$B$64)*'Вводные'!$H$7)^MAX(0,(12*(YEAR(CS$3)-YEAR($B$67))+MONTH(CS$3)-MONTH($B$67)))*(1+IF(MONTH(CS$3)=1,'Вводные'!$B$67,IF(AND(MONTH(CS$3)&gt;=5,MONTH(CS$3)&lt;=8),'Вводные'!$B$70,0))),0)</x:f>
      </x:c>
      <x:c r="CT74" s="35" t="n">
        <x:f>IF(AND(CT$3&gt;=$B$67,CT$3&lt;EDATE($B$67,MAX(1,'Вводные'!$K$73)),AND($B$63="Да",IFERROR(INDEX('Вводные'!$B$88:$B$91,$B$64),"Нет")="Да")),(1+INDEX('Вводные'!$AD$88:$AD$91,$B$64)*'Вводные'!$H$7)^MAX(0,(12*(YEAR(CT$3)-YEAR($B$67))+MONTH(CT$3)-MONTH($B$67)))*(1+IF(MONTH(CT$3)=1,'Вводные'!$B$67,IF(AND(MONTH(CT$3)&gt;=5,MONTH(CT$3)&lt;=8),'Вводные'!$B$70,0))),0)</x:f>
      </x:c>
      <x:c r="CU74" s="35" t="n">
        <x:f>IF(AND(CU$3&gt;=$B$67,CU$3&lt;EDATE($B$67,MAX(1,'Вводные'!$K$73)),AND($B$63="Да",IFERROR(INDEX('Вводные'!$B$88:$B$91,$B$64),"Нет")="Да")),(1+INDEX('Вводные'!$AD$88:$AD$91,$B$64)*'Вводные'!$H$7)^MAX(0,(12*(YEAR(CU$3)-YEAR($B$67))+MONTH(CU$3)-MONTH($B$67)))*(1+IF(MONTH(CU$3)=1,'Вводные'!$B$67,IF(AND(MONTH(CU$3)&gt;=5,MONTH(CU$3)&lt;=8),'Вводные'!$B$70,0))),0)</x:f>
      </x:c>
      <x:c r="CV74" s="35" t="n">
        <x:f>IF(AND(CV$3&gt;=$B$67,CV$3&lt;EDATE($B$67,MAX(1,'Вводные'!$K$73)),AND($B$63="Да",IFERROR(INDEX('Вводные'!$B$88:$B$91,$B$64),"Нет")="Да")),(1+INDEX('Вводные'!$AD$88:$AD$91,$B$64)*'Вводные'!$H$7)^MAX(0,(12*(YEAR(CV$3)-YEAR($B$67))+MONTH(CV$3)-MONTH($B$67)))*(1+IF(MONTH(CV$3)=1,'Вводные'!$B$67,IF(AND(MONTH(CV$3)&gt;=5,MONTH(CV$3)&lt;=8),'Вводные'!$B$70,0))),0)</x:f>
      </x:c>
      <x:c r="CW74" s="35" t="n">
        <x:f>IF(AND(CW$3&gt;=$B$67,CW$3&lt;EDATE($B$67,MAX(1,'Вводные'!$K$73)),AND($B$63="Да",IFERROR(INDEX('Вводные'!$B$88:$B$91,$B$64),"Нет")="Да")),(1+INDEX('Вводные'!$AD$88:$AD$91,$B$64)*'Вводные'!$H$7)^MAX(0,(12*(YEAR(CW$3)-YEAR($B$67))+MONTH(CW$3)-MONTH($B$67)))*(1+IF(MONTH(CW$3)=1,'Вводные'!$B$67,IF(AND(MONTH(CW$3)&gt;=5,MONTH(CW$3)&lt;=8),'Вводные'!$B$70,0))),0)</x:f>
      </x:c>
      <x:c r="CX74" s="35" t="n">
        <x:f>IF(AND(CX$3&gt;=$B$67,CX$3&lt;EDATE($B$67,MAX(1,'Вводные'!$K$73)),AND($B$63="Да",IFERROR(INDEX('Вводные'!$B$88:$B$91,$B$64),"Нет")="Да")),(1+INDEX('Вводные'!$AD$88:$AD$91,$B$64)*'Вводные'!$H$7)^MAX(0,(12*(YEAR(CX$3)-YEAR($B$67))+MONTH(CX$3)-MONTH($B$67)))*(1+IF(MONTH(CX$3)=1,'Вводные'!$B$67,IF(AND(MONTH(CX$3)&gt;=5,MONTH(CX$3)&lt;=8),'Вводные'!$B$70,0))),0)</x:f>
      </x:c>
      <x:c r="CY74" s="35" t="n">
        <x:f>IF(AND(CY$3&gt;=$B$67,CY$3&lt;EDATE($B$67,MAX(1,'Вводные'!$K$73)),AND($B$63="Да",IFERROR(INDEX('Вводные'!$B$88:$B$91,$B$64),"Нет")="Да")),(1+INDEX('Вводные'!$AD$88:$AD$91,$B$64)*'Вводные'!$H$7)^MAX(0,(12*(YEAR(CY$3)-YEAR($B$67))+MONTH(CY$3)-MONTH($B$67)))*(1+IF(MONTH(CY$3)=1,'Вводные'!$B$67,IF(AND(MONTH(CY$3)&gt;=5,MONTH(CY$3)&lt;=8),'Вводные'!$B$70,0))),0)</x:f>
      </x:c>
      <x:c r="CZ74" s="35" t="n">
        <x:f>IF(AND(CZ$3&gt;=$B$67,CZ$3&lt;EDATE($B$67,MAX(1,'Вводные'!$K$73)),AND($B$63="Да",IFERROR(INDEX('Вводные'!$B$88:$B$91,$B$64),"Нет")="Да")),(1+INDEX('Вводные'!$AD$88:$AD$91,$B$64)*'Вводные'!$H$7)^MAX(0,(12*(YEAR(CZ$3)-YEAR($B$67))+MONTH(CZ$3)-MONTH($B$67)))*(1+IF(MONTH(CZ$3)=1,'Вводные'!$B$67,IF(AND(MONTH(CZ$3)&gt;=5,MONTH(CZ$3)&lt;=8),'Вводные'!$B$70,0))),0)</x:f>
      </x:c>
      <x:c r="DA74" s="35" t="n">
        <x:f>IF(AND(DA$3&gt;=$B$67,DA$3&lt;EDATE($B$67,MAX(1,'Вводные'!$K$73)),AND($B$63="Да",IFERROR(INDEX('Вводные'!$B$88:$B$91,$B$64),"Нет")="Да")),(1+INDEX('Вводные'!$AD$88:$AD$91,$B$64)*'Вводные'!$H$7)^MAX(0,(12*(YEAR(DA$3)-YEAR($B$67))+MONTH(DA$3)-MONTH($B$67)))*(1+IF(MONTH(DA$3)=1,'Вводные'!$B$67,IF(AND(MONTH(DA$3)&gt;=5,MONTH(DA$3)&lt;=8),'Вводные'!$B$70,0))),0)</x:f>
      </x:c>
      <x:c r="DB74" s="35" t="n">
        <x:f>IF(AND(DB$3&gt;=$B$67,DB$3&lt;EDATE($B$67,MAX(1,'Вводные'!$K$73)),AND($B$63="Да",IFERROR(INDEX('Вводные'!$B$88:$B$91,$B$64),"Нет")="Да")),(1+INDEX('Вводные'!$AD$88:$AD$91,$B$64)*'Вводные'!$H$7)^MAX(0,(12*(YEAR(DB$3)-YEAR($B$67))+MONTH(DB$3)-MONTH($B$67)))*(1+IF(MONTH(DB$3)=1,'Вводные'!$B$67,IF(AND(MONTH(DB$3)&gt;=5,MONTH(DB$3)&lt;=8),'Вводные'!$B$70,0))),0)</x:f>
      </x:c>
      <x:c r="DC74" s="35" t="n">
        <x:f>IF(AND(DC$3&gt;=$B$67,DC$3&lt;EDATE($B$67,MAX(1,'Вводные'!$K$73)),AND($B$63="Да",IFERROR(INDEX('Вводные'!$B$88:$B$91,$B$64),"Нет")="Да")),(1+INDEX('Вводные'!$AD$88:$AD$91,$B$64)*'Вводные'!$H$7)^MAX(0,(12*(YEAR(DC$3)-YEAR($B$67))+MONTH(DC$3)-MONTH($B$67)))*(1+IF(MONTH(DC$3)=1,'Вводные'!$B$67,IF(AND(MONTH(DC$3)&gt;=5,MONTH(DC$3)&lt;=8),'Вводные'!$B$70,0))),0)</x:f>
      </x:c>
      <x:c r="DD74" s="35" t="n">
        <x:f>IF(AND(DD$3&gt;=$B$67,DD$3&lt;EDATE($B$67,MAX(1,'Вводные'!$K$73)),AND($B$63="Да",IFERROR(INDEX('Вводные'!$B$88:$B$91,$B$64),"Нет")="Да")),(1+INDEX('Вводные'!$AD$88:$AD$91,$B$64)*'Вводные'!$H$7)^MAX(0,(12*(YEAR(DD$3)-YEAR($B$67))+MONTH(DD$3)-MONTH($B$67)))*(1+IF(MONTH(DD$3)=1,'Вводные'!$B$67,IF(AND(MONTH(DD$3)&gt;=5,MONTH(DD$3)&lt;=8),'Вводные'!$B$70,0))),0)</x:f>
      </x:c>
      <x:c r="DE74" s="35" t="n">
        <x:f>IF(AND(DE$3&gt;=$B$67,DE$3&lt;EDATE($B$67,MAX(1,'Вводные'!$K$73)),AND($B$63="Да",IFERROR(INDEX('Вводные'!$B$88:$B$91,$B$64),"Нет")="Да")),(1+INDEX('Вводные'!$AD$88:$AD$91,$B$64)*'Вводные'!$H$7)^MAX(0,(12*(YEAR(DE$3)-YEAR($B$67))+MONTH(DE$3)-MONTH($B$67)))*(1+IF(MONTH(DE$3)=1,'Вводные'!$B$67,IF(AND(MONTH(DE$3)&gt;=5,MONTH(DE$3)&lt;=8),'Вводные'!$B$70,0))),0)</x:f>
      </x:c>
      <x:c r="DF74" s="35" t="n">
        <x:f>IF(AND(DF$3&gt;=$B$67,DF$3&lt;EDATE($B$67,MAX(1,'Вводные'!$K$73)),AND($B$63="Да",IFERROR(INDEX('Вводные'!$B$88:$B$91,$B$64),"Нет")="Да")),(1+INDEX('Вводные'!$AD$88:$AD$91,$B$64)*'Вводные'!$H$7)^MAX(0,(12*(YEAR(DF$3)-YEAR($B$67))+MONTH(DF$3)-MONTH($B$67)))*(1+IF(MONTH(DF$3)=1,'Вводные'!$B$67,IF(AND(MONTH(DF$3)&gt;=5,MONTH(DF$3)&lt;=8),'Вводные'!$B$70,0))),0)</x:f>
      </x:c>
      <x:c r="DG74" s="35" t="n">
        <x:f>IF(AND(DG$3&gt;=$B$67,DG$3&lt;EDATE($B$67,MAX(1,'Вводные'!$K$73)),AND($B$63="Да",IFERROR(INDEX('Вводные'!$B$88:$B$91,$B$64),"Нет")="Да")),(1+INDEX('Вводные'!$AD$88:$AD$91,$B$64)*'Вводные'!$H$7)^MAX(0,(12*(YEAR(DG$3)-YEAR($B$67))+MONTH(DG$3)-MONTH($B$67)))*(1+IF(MONTH(DG$3)=1,'Вводные'!$B$67,IF(AND(MONTH(DG$3)&gt;=5,MONTH(DG$3)&lt;=8),'Вводные'!$B$70,0))),0)</x:f>
      </x:c>
      <x:c r="DH74" s="35" t="n">
        <x:f>IF(AND(DH$3&gt;=$B$67,DH$3&lt;EDATE($B$67,MAX(1,'Вводные'!$K$73)),AND($B$63="Да",IFERROR(INDEX('Вводные'!$B$88:$B$91,$B$64),"Нет")="Да")),(1+INDEX('Вводные'!$AD$88:$AD$91,$B$64)*'Вводные'!$H$7)^MAX(0,(12*(YEAR(DH$3)-YEAR($B$67))+MONTH(DH$3)-MONTH($B$67)))*(1+IF(MONTH(DH$3)=1,'Вводные'!$B$67,IF(AND(MONTH(DH$3)&gt;=5,MONTH(DH$3)&lt;=8),'Вводные'!$B$70,0))),0)</x:f>
      </x:c>
      <x:c r="DI74" s="35" t="n">
        <x:f>IF(AND(DI$3&gt;=$B$67,DI$3&lt;EDATE($B$67,MAX(1,'Вводные'!$K$73)),AND($B$63="Да",IFERROR(INDEX('Вводные'!$B$88:$B$91,$B$64),"Нет")="Да")),(1+INDEX('Вводные'!$AD$88:$AD$91,$B$64)*'Вводные'!$H$7)^MAX(0,(12*(YEAR(DI$3)-YEAR($B$67))+MONTH(DI$3)-MONTH($B$67)))*(1+IF(MONTH(DI$3)=1,'Вводные'!$B$67,IF(AND(MONTH(DI$3)&gt;=5,MONTH(DI$3)&lt;=8),'Вводные'!$B$70,0))),0)</x:f>
      </x:c>
      <x:c r="DJ74" s="35" t="n">
        <x:f>IF(AND(DJ$3&gt;=$B$67,DJ$3&lt;EDATE($B$67,MAX(1,'Вводные'!$K$73)),AND($B$63="Да",IFERROR(INDEX('Вводные'!$B$88:$B$91,$B$64),"Нет")="Да")),(1+INDEX('Вводные'!$AD$88:$AD$91,$B$64)*'Вводные'!$H$7)^MAX(0,(12*(YEAR(DJ$3)-YEAR($B$67))+MONTH(DJ$3)-MONTH($B$67)))*(1+IF(MONTH(DJ$3)=1,'Вводные'!$B$67,IF(AND(MONTH(DJ$3)&gt;=5,MONTH(DJ$3)&lt;=8),'Вводные'!$B$70,0))),0)</x:f>
      </x:c>
      <x:c r="DK74" s="35" t="n">
        <x:f>IF(AND(DK$3&gt;=$B$67,DK$3&lt;EDATE($B$67,MAX(1,'Вводные'!$K$73)),AND($B$63="Да",IFERROR(INDEX('Вводные'!$B$88:$B$91,$B$64),"Нет")="Да")),(1+INDEX('Вводные'!$AD$88:$AD$91,$B$64)*'Вводные'!$H$7)^MAX(0,(12*(YEAR(DK$3)-YEAR($B$67))+MONTH(DK$3)-MONTH($B$67)))*(1+IF(MONTH(DK$3)=1,'Вводные'!$B$67,IF(AND(MONTH(DK$3)&gt;=5,MONTH(DK$3)&lt;=8),'Вводные'!$B$70,0))),0)</x:f>
      </x:c>
      <x:c r="DL74" s="35" t="n">
        <x:f>IF(AND(DL$3&gt;=$B$67,DL$3&lt;EDATE($B$67,MAX(1,'Вводные'!$K$73)),AND($B$63="Да",IFERROR(INDEX('Вводные'!$B$88:$B$91,$B$64),"Нет")="Да")),(1+INDEX('Вводные'!$AD$88:$AD$91,$B$64)*'Вводные'!$H$7)^MAX(0,(12*(YEAR(DL$3)-YEAR($B$67))+MONTH(DL$3)-MONTH($B$67)))*(1+IF(MONTH(DL$3)=1,'Вводные'!$B$67,IF(AND(MONTH(DL$3)&gt;=5,MONTH(DL$3)&lt;=8),'Вводные'!$B$70,0))),0)</x:f>
      </x:c>
      <x:c r="DM74" s="35" t="n">
        <x:f>IF(AND(DM$3&gt;=$B$67,DM$3&lt;EDATE($B$67,MAX(1,'Вводные'!$K$73)),AND($B$63="Да",IFERROR(INDEX('Вводные'!$B$88:$B$91,$B$64),"Нет")="Да")),(1+INDEX('Вводные'!$AD$88:$AD$91,$B$64)*'Вводные'!$H$7)^MAX(0,(12*(YEAR(DM$3)-YEAR($B$67))+MONTH(DM$3)-MONTH($B$67)))*(1+IF(MONTH(DM$3)=1,'Вводные'!$B$67,IF(AND(MONTH(DM$3)&gt;=5,MONTH(DM$3)&lt;=8),'Вводные'!$B$70,0))),0)</x:f>
      </x:c>
      <x:c r="DN74" s="35" t="n">
        <x:f>IF(AND(DN$3&gt;=$B$67,DN$3&lt;EDATE($B$67,MAX(1,'Вводные'!$K$73)),AND($B$63="Да",IFERROR(INDEX('Вводные'!$B$88:$B$91,$B$64),"Нет")="Да")),(1+INDEX('Вводные'!$AD$88:$AD$91,$B$64)*'Вводные'!$H$7)^MAX(0,(12*(YEAR(DN$3)-YEAR($B$67))+MONTH(DN$3)-MONTH($B$67)))*(1+IF(MONTH(DN$3)=1,'Вводные'!$B$67,IF(AND(MONTH(DN$3)&gt;=5,MONTH(DN$3)&lt;=8),'Вводные'!$B$70,0))),0)</x:f>
      </x:c>
      <x:c r="DO74" s="35" t="n">
        <x:f>IF(AND(DO$3&gt;=$B$67,DO$3&lt;EDATE($B$67,MAX(1,'Вводные'!$K$73)),AND($B$63="Да",IFERROR(INDEX('Вводные'!$B$88:$B$91,$B$64),"Нет")="Да")),(1+INDEX('Вводные'!$AD$88:$AD$91,$B$64)*'Вводные'!$H$7)^MAX(0,(12*(YEAR(DO$3)-YEAR($B$67))+MONTH(DO$3)-MONTH($B$67)))*(1+IF(MONTH(DO$3)=1,'Вводные'!$B$67,IF(AND(MONTH(DO$3)&gt;=5,MONTH(DO$3)&lt;=8),'Вводные'!$B$70,0))),0)</x:f>
      </x:c>
      <x:c r="DP74" s="35" t="n">
        <x:f>IF(AND(DP$3&gt;=$B$67,DP$3&lt;EDATE($B$67,MAX(1,'Вводные'!$K$73)),AND($B$63="Да",IFERROR(INDEX('Вводные'!$B$88:$B$91,$B$64),"Нет")="Да")),(1+INDEX('Вводные'!$AD$88:$AD$91,$B$64)*'Вводные'!$H$7)^MAX(0,(12*(YEAR(DP$3)-YEAR($B$67))+MONTH(DP$3)-MONTH($B$67)))*(1+IF(MONTH(DP$3)=1,'Вводные'!$B$67,IF(AND(MONTH(DP$3)&gt;=5,MONTH(DP$3)&lt;=8),'Вводные'!$B$70,0))),0)</x:f>
      </x:c>
      <x:c r="DQ74" s="35" t="n">
        <x:f>IF(AND(DQ$3&gt;=$B$67,DQ$3&lt;EDATE($B$67,MAX(1,'Вводные'!$K$73)),AND($B$63="Да",IFERROR(INDEX('Вводные'!$B$88:$B$91,$B$64),"Нет")="Да")),(1+INDEX('Вводные'!$AD$88:$AD$91,$B$64)*'Вводные'!$H$7)^MAX(0,(12*(YEAR(DQ$3)-YEAR($B$67))+MONTH(DQ$3)-MONTH($B$67)))*(1+IF(MONTH(DQ$3)=1,'Вводные'!$B$67,IF(AND(MONTH(DQ$3)&gt;=5,MONTH(DQ$3)&lt;=8),'Вводные'!$B$70,0))),0)</x:f>
      </x:c>
      <x:c r="DR74" s="35" t="n">
        <x:f>IF(AND(DR$3&gt;=$B$67,DR$3&lt;EDATE($B$67,MAX(1,'Вводные'!$K$73)),AND($B$63="Да",IFERROR(INDEX('Вводные'!$B$88:$B$91,$B$64),"Нет")="Да")),(1+INDEX('Вводные'!$AD$88:$AD$91,$B$64)*'Вводные'!$H$7)^MAX(0,(12*(YEAR(DR$3)-YEAR($B$67))+MONTH(DR$3)-MONTH($B$67)))*(1+IF(MONTH(DR$3)=1,'Вводные'!$B$67,IF(AND(MONTH(DR$3)&gt;=5,MONTH(DR$3)&lt;=8),'Вводные'!$B$70,0))),0)</x:f>
      </x:c>
      <x:c r="DS74" s="35" t="n">
        <x:f>IF(AND(DS$3&gt;=$B$67,DS$3&lt;EDATE($B$67,MAX(1,'Вводные'!$K$73)),AND($B$63="Да",IFERROR(INDEX('Вводные'!$B$88:$B$91,$B$64),"Нет")="Да")),(1+INDEX('Вводные'!$AD$88:$AD$91,$B$64)*'Вводные'!$H$7)^MAX(0,(12*(YEAR(DS$3)-YEAR($B$67))+MONTH(DS$3)-MONTH($B$67)))*(1+IF(MONTH(DS$3)=1,'Вводные'!$B$67,IF(AND(MONTH(DS$3)&gt;=5,MONTH(DS$3)&lt;=8),'Вводные'!$B$70,0)))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IF(D$3&lt;$B$66,D80,0)</x:f>
      </x:c>
      <x:c r="E81" s="107" t="n">
        <x:f>IF(E$3&lt;$B$66,E80,0)</x:f>
      </x:c>
      <x:c r="F81" s="107" t="n">
        <x:f>IF(F$3&lt;$B$66,F80,0)</x:f>
      </x:c>
      <x:c r="G81" s="107" t="n">
        <x:f>IF(G$3&lt;$B$66,G80,0)</x:f>
      </x:c>
      <x:c r="H81" s="107" t="n">
        <x:f>IF(H$3&lt;$B$66,H80,0)</x:f>
      </x:c>
      <x:c r="I81" s="107" t="n">
        <x:f>IF(I$3&lt;$B$66,I80,0)</x:f>
      </x:c>
      <x:c r="J81" s="107" t="n">
        <x:f>IF(J$3&lt;$B$66,J80,0)</x:f>
      </x:c>
      <x:c r="K81" s="107" t="n">
        <x:f>IF(K$3&lt;$B$66,K80,0)</x:f>
      </x:c>
      <x:c r="L81" s="107" t="n">
        <x:f>IF(L$3&lt;$B$66,L80,0)</x:f>
      </x:c>
      <x:c r="M81" s="107" t="n">
        <x:f>IF(M$3&lt;$B$66,M80,0)</x:f>
      </x:c>
      <x:c r="N81" s="107" t="n">
        <x:f>IF(N$3&lt;$B$66,N80,0)</x:f>
      </x:c>
      <x:c r="O81" s="107" t="n">
        <x:f>IF(O$3&lt;$B$66,O80,0)</x:f>
      </x:c>
      <x:c r="P81" s="107" t="n">
        <x:f>IF(P$3&lt;$B$66,P80,0)</x:f>
      </x:c>
      <x:c r="Q81" s="107" t="n">
        <x:f>IF(Q$3&lt;$B$66,Q80,0)</x:f>
      </x:c>
      <x:c r="R81" s="107" t="n">
        <x:f>IF(R$3&lt;$B$66,R80,0)</x:f>
      </x:c>
      <x:c r="S81" s="107" t="n">
        <x:f>IF(S$3&lt;$B$66,S80,0)</x:f>
      </x:c>
      <x:c r="T81" s="107" t="n">
        <x:f>IF(T$3&lt;$B$66,T80,0)</x:f>
      </x:c>
      <x:c r="U81" s="107" t="n">
        <x:f>IF(U$3&lt;$B$66,U80,0)</x:f>
      </x:c>
      <x:c r="V81" s="107" t="n">
        <x:f>IF(V$3&lt;$B$66,V80,0)</x:f>
      </x:c>
      <x:c r="W81" s="107" t="n">
        <x:f>IF(W$3&lt;$B$66,W80,0)</x:f>
      </x:c>
      <x:c r="X81" s="107" t="n">
        <x:f>IF(X$3&lt;$B$66,X80,0)</x:f>
      </x:c>
      <x:c r="Y81" s="107" t="n">
        <x:f>IF(Y$3&lt;$B$66,Y80,0)</x:f>
      </x:c>
      <x:c r="Z81" s="107" t="n">
        <x:f>IF(Z$3&lt;$B$66,Z80,0)</x:f>
      </x:c>
      <x:c r="AA81" s="107" t="n">
        <x:f>IF(AA$3&lt;$B$66,AA80,0)</x:f>
      </x:c>
      <x:c r="AB81" s="107" t="n">
        <x:f>IF(AB$3&lt;$B$66,AB80,0)</x:f>
      </x:c>
      <x:c r="AC81" s="107" t="n">
        <x:f>IF(AC$3&lt;$B$66,AC80,0)</x:f>
      </x:c>
      <x:c r="AD81" s="107" t="n">
        <x:f>IF(AD$3&lt;$B$66,AD80,0)</x:f>
      </x:c>
      <x:c r="AE81" s="107" t="n">
        <x:f>IF(AE$3&lt;$B$66,AE80,0)</x:f>
      </x:c>
      <x:c r="AF81" s="107" t="n">
        <x:f>IF(AF$3&lt;$B$66,AF80,0)</x:f>
      </x:c>
      <x:c r="AG81" s="107" t="n">
        <x:f>IF(AG$3&lt;$B$66,AG80,0)</x:f>
      </x:c>
      <x:c r="AH81" s="107" t="n">
        <x:f>IF(AH$3&lt;$B$66,AH80,0)</x:f>
      </x:c>
      <x:c r="AI81" s="107" t="n">
        <x:f>IF(AI$3&lt;$B$66,AI80,0)</x:f>
      </x:c>
      <x:c r="AJ81" s="107" t="n">
        <x:f>IF(AJ$3&lt;$B$66,AJ80,0)</x:f>
      </x:c>
      <x:c r="AK81" s="107" t="n">
        <x:f>IF(AK$3&lt;$B$66,AK80,0)</x:f>
      </x:c>
      <x:c r="AL81" s="107" t="n">
        <x:f>IF(AL$3&lt;$B$66,AL80,0)</x:f>
      </x:c>
      <x:c r="AM81" s="107" t="n">
        <x:f>IF(AM$3&lt;$B$66,AM80,0)</x:f>
      </x:c>
      <x:c r="AN81" s="107" t="n">
        <x:f>IF(AN$3&lt;$B$66,AN80,0)</x:f>
      </x:c>
      <x:c r="AO81" s="107" t="n">
        <x:f>IF(AO$3&lt;$B$66,AO80,0)</x:f>
      </x:c>
      <x:c r="AP81" s="107" t="n">
        <x:f>IF(AP$3&lt;$B$66,AP80,0)</x:f>
      </x:c>
      <x:c r="AQ81" s="107" t="n">
        <x:f>IF(AQ$3&lt;$B$66,AQ80,0)</x:f>
      </x:c>
      <x:c r="AR81" s="107" t="n">
        <x:f>IF(AR$3&lt;$B$66,AR80,0)</x:f>
      </x:c>
      <x:c r="AS81" s="107" t="n">
        <x:f>IF(AS$3&lt;$B$66,AS80,0)</x:f>
      </x:c>
      <x:c r="AT81" s="107" t="n">
        <x:f>IF(AT$3&lt;$B$66,AT80,0)</x:f>
      </x:c>
      <x:c r="AU81" s="107" t="n">
        <x:f>IF(AU$3&lt;$B$66,AU80,0)</x:f>
      </x:c>
      <x:c r="AV81" s="107" t="n">
        <x:f>IF(AV$3&lt;$B$66,AV80,0)</x:f>
      </x:c>
      <x:c r="AW81" s="107" t="n">
        <x:f>IF(AW$3&lt;$B$66,AW80,0)</x:f>
      </x:c>
      <x:c r="AX81" s="107" t="n">
        <x:f>IF(AX$3&lt;$B$66,AX80,0)</x:f>
      </x:c>
      <x:c r="AY81" s="107" t="n">
        <x:f>IF(AY$3&lt;$B$66,AY80,0)</x:f>
      </x:c>
      <x:c r="AZ81" s="107" t="n">
        <x:f>IF(AZ$3&lt;$B$66,AZ80,0)</x:f>
      </x:c>
      <x:c r="BA81" s="107" t="n">
        <x:f>IF(BA$3&lt;$B$66,BA80,0)</x:f>
      </x:c>
      <x:c r="BB81" s="107" t="n">
        <x:f>IF(BB$3&lt;$B$66,BB80,0)</x:f>
      </x:c>
      <x:c r="BC81" s="107" t="n">
        <x:f>IF(BC$3&lt;$B$66,BC80,0)</x:f>
      </x:c>
      <x:c r="BD81" s="107" t="n">
        <x:f>IF(BD$3&lt;$B$66,BD80,0)</x:f>
      </x:c>
      <x:c r="BE81" s="107" t="n">
        <x:f>IF(BE$3&lt;$B$66,BE80,0)</x:f>
      </x:c>
      <x:c r="BF81" s="107" t="n">
        <x:f>IF(BF$3&lt;$B$66,BF80,0)</x:f>
      </x:c>
      <x:c r="BG81" s="107" t="n">
        <x:f>IF(BG$3&lt;$B$66,BG80,0)</x:f>
      </x:c>
      <x:c r="BH81" s="107" t="n">
        <x:f>IF(BH$3&lt;$B$66,BH80,0)</x:f>
      </x:c>
      <x:c r="BI81" s="107" t="n">
        <x:f>IF(BI$3&lt;$B$66,BI80,0)</x:f>
      </x:c>
      <x:c r="BJ81" s="107" t="n">
        <x:f>IF(BJ$3&lt;$B$66,BJ80,0)</x:f>
      </x:c>
      <x:c r="BK81" s="107" t="n">
        <x:f>IF(BK$3&lt;$B$66,BK80,0)</x:f>
      </x:c>
      <x:c r="BL81" s="107" t="n">
        <x:f>IF(BL$3&lt;$B$66,BL80,0)</x:f>
      </x:c>
      <x:c r="BM81" s="107" t="n">
        <x:f>IF(BM$3&lt;$B$66,BM80,0)</x:f>
      </x:c>
      <x:c r="BN81" s="107" t="n">
        <x:f>IF(BN$3&lt;$B$66,BN80,0)</x:f>
      </x:c>
      <x:c r="BO81" s="107" t="n">
        <x:f>IF(BO$3&lt;$B$66,BO80,0)</x:f>
      </x:c>
      <x:c r="BP81" s="107" t="n">
        <x:f>IF(BP$3&lt;$B$66,BP80,0)</x:f>
      </x:c>
      <x:c r="BQ81" s="107" t="n">
        <x:f>IF(BQ$3&lt;$B$66,BQ80,0)</x:f>
      </x:c>
      <x:c r="BR81" s="107" t="n">
        <x:f>IF(BR$3&lt;$B$66,BR80,0)</x:f>
      </x:c>
      <x:c r="BS81" s="107" t="n">
        <x:f>IF(BS$3&lt;$B$66,BS80,0)</x:f>
      </x:c>
      <x:c r="BT81" s="107" t="n">
        <x:f>IF(BT$3&lt;$B$66,BT80,0)</x:f>
      </x:c>
      <x:c r="BU81" s="107" t="n">
        <x:f>IF(BU$3&lt;$B$66,BU80,0)</x:f>
      </x:c>
      <x:c r="BV81" s="107" t="n">
        <x:f>IF(BV$3&lt;$B$66,BV80,0)</x:f>
      </x:c>
      <x:c r="BW81" s="107" t="n">
        <x:f>IF(BW$3&lt;$B$66,BW80,0)</x:f>
      </x:c>
      <x:c r="BX81" s="107" t="n">
        <x:f>IF(BX$3&lt;$B$66,BX80,0)</x:f>
      </x:c>
      <x:c r="BY81" s="107" t="n">
        <x:f>IF(BY$3&lt;$B$66,BY80,0)</x:f>
      </x:c>
      <x:c r="BZ81" s="107" t="n">
        <x:f>IF(BZ$3&lt;$B$66,BZ80,0)</x:f>
      </x:c>
      <x:c r="CA81" s="107" t="n">
        <x:f>IF(CA$3&lt;$B$66,CA80,0)</x:f>
      </x:c>
      <x:c r="CB81" s="107" t="n">
        <x:f>IF(CB$3&lt;$B$66,CB80,0)</x:f>
      </x:c>
      <x:c r="CC81" s="107" t="n">
        <x:f>IF(CC$3&lt;$B$66,CC80,0)</x:f>
      </x:c>
      <x:c r="CD81" s="107" t="n">
        <x:f>IF(CD$3&lt;$B$66,CD80,0)</x:f>
      </x:c>
      <x:c r="CE81" s="107" t="n">
        <x:f>IF(CE$3&lt;$B$66,CE80,0)</x:f>
      </x:c>
      <x:c r="CF81" s="107" t="n">
        <x:f>IF(CF$3&lt;$B$66,CF80,0)</x:f>
      </x:c>
      <x:c r="CG81" s="107" t="n">
        <x:f>IF(CG$3&lt;$B$66,CG80,0)</x:f>
      </x:c>
      <x:c r="CH81" s="107" t="n">
        <x:f>IF(CH$3&lt;$B$66,CH80,0)</x:f>
      </x:c>
      <x:c r="CI81" s="107" t="n">
        <x:f>IF(CI$3&lt;$B$66,CI80,0)</x:f>
      </x:c>
      <x:c r="CJ81" s="107" t="n">
        <x:f>IF(CJ$3&lt;$B$66,CJ80,0)</x:f>
      </x:c>
      <x:c r="CK81" s="107" t="n">
        <x:f>IF(CK$3&lt;$B$66,CK80,0)</x:f>
      </x:c>
      <x:c r="CL81" s="107" t="n">
        <x:f>IF(CL$3&lt;$B$66,CL80,0)</x:f>
      </x:c>
      <x:c r="CM81" s="107" t="n">
        <x:f>IF(CM$3&lt;$B$66,CM80,0)</x:f>
      </x:c>
      <x:c r="CN81" s="107" t="n">
        <x:f>IF(CN$3&lt;$B$66,CN80,0)</x:f>
      </x:c>
      <x:c r="CO81" s="107" t="n">
        <x:f>IF(CO$3&lt;$B$66,CO80,0)</x:f>
      </x:c>
      <x:c r="CP81" s="107" t="n">
        <x:f>IF(CP$3&lt;$B$66,CP80,0)</x:f>
      </x:c>
      <x:c r="CQ81" s="107" t="n">
        <x:f>IF(CQ$3&lt;$B$66,CQ80,0)</x:f>
      </x:c>
      <x:c r="CR81" s="107" t="n">
        <x:f>IF(CR$3&lt;$B$66,CR80,0)</x:f>
      </x:c>
      <x:c r="CS81" s="107" t="n">
        <x:f>IF(CS$3&lt;$B$66,CS80,0)</x:f>
      </x:c>
      <x:c r="CT81" s="107" t="n">
        <x:f>IF(CT$3&lt;$B$66,CT80,0)</x:f>
      </x:c>
      <x:c r="CU81" s="107" t="n">
        <x:f>IF(CU$3&lt;$B$66,CU80,0)</x:f>
      </x:c>
      <x:c r="CV81" s="107" t="n">
        <x:f>IF(CV$3&lt;$B$66,CV80,0)</x:f>
      </x:c>
      <x:c r="CW81" s="107" t="n">
        <x:f>IF(CW$3&lt;$B$66,CW80,0)</x:f>
      </x:c>
      <x:c r="CX81" s="107" t="n">
        <x:f>IF(CX$3&lt;$B$66,CX80,0)</x:f>
      </x:c>
      <x:c r="CY81" s="107" t="n">
        <x:f>IF(CY$3&lt;$B$66,CY80,0)</x:f>
      </x:c>
      <x:c r="CZ81" s="107" t="n">
        <x:f>IF(CZ$3&lt;$B$66,CZ80,0)</x:f>
      </x:c>
      <x:c r="DA81" s="107" t="n">
        <x:f>IF(DA$3&lt;$B$66,DA80,0)</x:f>
      </x:c>
      <x:c r="DB81" s="107" t="n">
        <x:f>IF(DB$3&lt;$B$66,DB80,0)</x:f>
      </x:c>
      <x:c r="DC81" s="107" t="n">
        <x:f>IF(DC$3&lt;$B$66,DC80,0)</x:f>
      </x:c>
      <x:c r="DD81" s="107" t="n">
        <x:f>IF(DD$3&lt;$B$66,DD80,0)</x:f>
      </x:c>
      <x:c r="DE81" s="107" t="n">
        <x:f>IF(DE$3&lt;$B$66,DE80,0)</x:f>
      </x:c>
      <x:c r="DF81" s="107" t="n">
        <x:f>IF(DF$3&lt;$B$66,DF80,0)</x:f>
      </x:c>
      <x:c r="DG81" s="107" t="n">
        <x:f>IF(DG$3&lt;$B$66,DG80,0)</x:f>
      </x:c>
      <x:c r="DH81" s="107" t="n">
        <x:f>IF(DH$3&lt;$B$66,DH80,0)</x:f>
      </x:c>
      <x:c r="DI81" s="107" t="n">
        <x:f>IF(DI$3&lt;$B$66,DI80,0)</x:f>
      </x:c>
      <x:c r="DJ81" s="107" t="n">
        <x:f>IF(DJ$3&lt;$B$66,DJ80,0)</x:f>
      </x:c>
      <x:c r="DK81" s="107" t="n">
        <x:f>IF(DK$3&lt;$B$66,DK80,0)</x:f>
      </x:c>
      <x:c r="DL81" s="107" t="n">
        <x:f>IF(DL$3&lt;$B$66,DL80,0)</x:f>
      </x:c>
      <x:c r="DM81" s="107" t="n">
        <x:f>IF(DM$3&lt;$B$66,DM80,0)</x:f>
      </x:c>
      <x:c r="DN81" s="107" t="n">
        <x:f>IF(DN$3&lt;$B$66,DN80,0)</x:f>
      </x:c>
      <x:c r="DO81" s="107" t="n">
        <x:f>IF(DO$3&lt;$B$66,DO80,0)</x:f>
      </x:c>
      <x:c r="DP81" s="107" t="n">
        <x:f>IF(DP$3&lt;$B$66,DP80,0)</x:f>
      </x:c>
      <x:c r="DQ81" s="107" t="n">
        <x:f>IF(DQ$3&lt;$B$66,DQ80,0)</x:f>
      </x:c>
      <x:c r="DR81" s="107" t="n">
        <x:f>IF(DR$3&lt;$B$66,DR80,0)</x:f>
      </x:c>
      <x:c r="DS81" s="107" t="n">
        <x:f>IF(DS$3&lt;$B$66,DS80,0)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IF(D$3&gt;=$B$66,D80,0)</x:f>
      </x:c>
      <x:c r="E82" s="107" t="n">
        <x:f>IF(E$3&gt;=$B$66,E80,0)</x:f>
      </x:c>
      <x:c r="F82" s="107" t="n">
        <x:f>IF(F$3&gt;=$B$66,F80,0)</x:f>
      </x:c>
      <x:c r="G82" s="107" t="n">
        <x:f>IF(G$3&gt;=$B$66,G80,0)</x:f>
      </x:c>
      <x:c r="H82" s="107" t="n">
        <x:f>IF(H$3&gt;=$B$66,H80,0)</x:f>
      </x:c>
      <x:c r="I82" s="107" t="n">
        <x:f>IF(I$3&gt;=$B$66,I80,0)</x:f>
      </x:c>
      <x:c r="J82" s="107" t="n">
        <x:f>IF(J$3&gt;=$B$66,J80,0)</x:f>
      </x:c>
      <x:c r="K82" s="107" t="n">
        <x:f>IF(K$3&gt;=$B$66,K80,0)</x:f>
      </x:c>
      <x:c r="L82" s="107" t="n">
        <x:f>IF(L$3&gt;=$B$66,L80,0)</x:f>
      </x:c>
      <x:c r="M82" s="107" t="n">
        <x:f>IF(M$3&gt;=$B$66,M80,0)</x:f>
      </x:c>
      <x:c r="N82" s="107" t="n">
        <x:f>IF(N$3&gt;=$B$66,N80,0)</x:f>
      </x:c>
      <x:c r="O82" s="107" t="n">
        <x:f>IF(O$3&gt;=$B$66,O80,0)</x:f>
      </x:c>
      <x:c r="P82" s="107" t="n">
        <x:f>IF(P$3&gt;=$B$66,P80,0)</x:f>
      </x:c>
      <x:c r="Q82" s="107" t="n">
        <x:f>IF(Q$3&gt;=$B$66,Q80,0)</x:f>
      </x:c>
      <x:c r="R82" s="107" t="n">
        <x:f>IF(R$3&gt;=$B$66,R80,0)</x:f>
      </x:c>
      <x:c r="S82" s="107" t="n">
        <x:f>IF(S$3&gt;=$B$66,S80,0)</x:f>
      </x:c>
      <x:c r="T82" s="107" t="n">
        <x:f>IF(T$3&gt;=$B$66,T80,0)</x:f>
      </x:c>
      <x:c r="U82" s="107" t="n">
        <x:f>IF(U$3&gt;=$B$66,U80,0)</x:f>
      </x:c>
      <x:c r="V82" s="107" t="n">
        <x:f>IF(V$3&gt;=$B$66,V80,0)</x:f>
      </x:c>
      <x:c r="W82" s="107" t="n">
        <x:f>IF(W$3&gt;=$B$66,W80,0)</x:f>
      </x:c>
      <x:c r="X82" s="107" t="n">
        <x:f>IF(X$3&gt;=$B$66,X80,0)</x:f>
      </x:c>
      <x:c r="Y82" s="107" t="n">
        <x:f>IF(Y$3&gt;=$B$66,Y80,0)</x:f>
      </x:c>
      <x:c r="Z82" s="107" t="n">
        <x:f>IF(Z$3&gt;=$B$66,Z80,0)</x:f>
      </x:c>
      <x:c r="AA82" s="107" t="n">
        <x:f>IF(AA$3&gt;=$B$66,AA80,0)</x:f>
      </x:c>
      <x:c r="AB82" s="107" t="n">
        <x:f>IF(AB$3&gt;=$B$66,AB80,0)</x:f>
      </x:c>
      <x:c r="AC82" s="107" t="n">
        <x:f>IF(AC$3&gt;=$B$66,AC80,0)</x:f>
      </x:c>
      <x:c r="AD82" s="107" t="n">
        <x:f>IF(AD$3&gt;=$B$66,AD80,0)</x:f>
      </x:c>
      <x:c r="AE82" s="107" t="n">
        <x:f>IF(AE$3&gt;=$B$66,AE80,0)</x:f>
      </x:c>
      <x:c r="AF82" s="107" t="n">
        <x:f>IF(AF$3&gt;=$B$66,AF80,0)</x:f>
      </x:c>
      <x:c r="AG82" s="107" t="n">
        <x:f>IF(AG$3&gt;=$B$66,AG80,0)</x:f>
      </x:c>
      <x:c r="AH82" s="107" t="n">
        <x:f>IF(AH$3&gt;=$B$66,AH80,0)</x:f>
      </x:c>
      <x:c r="AI82" s="107" t="n">
        <x:f>IF(AI$3&gt;=$B$66,AI80,0)</x:f>
      </x:c>
      <x:c r="AJ82" s="107" t="n">
        <x:f>IF(AJ$3&gt;=$B$66,AJ80,0)</x:f>
      </x:c>
      <x:c r="AK82" s="107" t="n">
        <x:f>IF(AK$3&gt;=$B$66,AK80,0)</x:f>
      </x:c>
      <x:c r="AL82" s="107" t="n">
        <x:f>IF(AL$3&gt;=$B$66,AL80,0)</x:f>
      </x:c>
      <x:c r="AM82" s="107" t="n">
        <x:f>IF(AM$3&gt;=$B$66,AM80,0)</x:f>
      </x:c>
      <x:c r="AN82" s="107" t="n">
        <x:f>IF(AN$3&gt;=$B$66,AN80,0)</x:f>
      </x:c>
      <x:c r="AO82" s="107" t="n">
        <x:f>IF(AO$3&gt;=$B$66,AO80,0)</x:f>
      </x:c>
      <x:c r="AP82" s="107" t="n">
        <x:f>IF(AP$3&gt;=$B$66,AP80,0)</x:f>
      </x:c>
      <x:c r="AQ82" s="107" t="n">
        <x:f>IF(AQ$3&gt;=$B$66,AQ80,0)</x:f>
      </x:c>
      <x:c r="AR82" s="107" t="n">
        <x:f>IF(AR$3&gt;=$B$66,AR80,0)</x:f>
      </x:c>
      <x:c r="AS82" s="107" t="n">
        <x:f>IF(AS$3&gt;=$B$66,AS80,0)</x:f>
      </x:c>
      <x:c r="AT82" s="107" t="n">
        <x:f>IF(AT$3&gt;=$B$66,AT80,0)</x:f>
      </x:c>
      <x:c r="AU82" s="107" t="n">
        <x:f>IF(AU$3&gt;=$B$66,AU80,0)</x:f>
      </x:c>
      <x:c r="AV82" s="107" t="n">
        <x:f>IF(AV$3&gt;=$B$66,AV80,0)</x:f>
      </x:c>
      <x:c r="AW82" s="107" t="n">
        <x:f>IF(AW$3&gt;=$B$66,AW80,0)</x:f>
      </x:c>
      <x:c r="AX82" s="107" t="n">
        <x:f>IF(AX$3&gt;=$B$66,AX80,0)</x:f>
      </x:c>
      <x:c r="AY82" s="107" t="n">
        <x:f>IF(AY$3&gt;=$B$66,AY80,0)</x:f>
      </x:c>
      <x:c r="AZ82" s="107" t="n">
        <x:f>IF(AZ$3&gt;=$B$66,AZ80,0)</x:f>
      </x:c>
      <x:c r="BA82" s="107" t="n">
        <x:f>IF(BA$3&gt;=$B$66,BA80,0)</x:f>
      </x:c>
      <x:c r="BB82" s="107" t="n">
        <x:f>IF(BB$3&gt;=$B$66,BB80,0)</x:f>
      </x:c>
      <x:c r="BC82" s="107" t="n">
        <x:f>IF(BC$3&gt;=$B$66,BC80,0)</x:f>
      </x:c>
      <x:c r="BD82" s="107" t="n">
        <x:f>IF(BD$3&gt;=$B$66,BD80,0)</x:f>
      </x:c>
      <x:c r="BE82" s="107" t="n">
        <x:f>IF(BE$3&gt;=$B$66,BE80,0)</x:f>
      </x:c>
      <x:c r="BF82" s="107" t="n">
        <x:f>IF(BF$3&gt;=$B$66,BF80,0)</x:f>
      </x:c>
      <x:c r="BG82" s="107" t="n">
        <x:f>IF(BG$3&gt;=$B$66,BG80,0)</x:f>
      </x:c>
      <x:c r="BH82" s="107" t="n">
        <x:f>IF(BH$3&gt;=$B$66,BH80,0)</x:f>
      </x:c>
      <x:c r="BI82" s="107" t="n">
        <x:f>IF(BI$3&gt;=$B$66,BI80,0)</x:f>
      </x:c>
      <x:c r="BJ82" s="107" t="n">
        <x:f>IF(BJ$3&gt;=$B$66,BJ80,0)</x:f>
      </x:c>
      <x:c r="BK82" s="107" t="n">
        <x:f>IF(BK$3&gt;=$B$66,BK80,0)</x:f>
      </x:c>
      <x:c r="BL82" s="107" t="n">
        <x:f>IF(BL$3&gt;=$B$66,BL80,0)</x:f>
      </x:c>
      <x:c r="BM82" s="107" t="n">
        <x:f>IF(BM$3&gt;=$B$66,BM80,0)</x:f>
      </x:c>
      <x:c r="BN82" s="107" t="n">
        <x:f>IF(BN$3&gt;=$B$66,BN80,0)</x:f>
      </x:c>
      <x:c r="BO82" s="107" t="n">
        <x:f>IF(BO$3&gt;=$B$66,BO80,0)</x:f>
      </x:c>
      <x:c r="BP82" s="107" t="n">
        <x:f>IF(BP$3&gt;=$B$66,BP80,0)</x:f>
      </x:c>
      <x:c r="BQ82" s="107" t="n">
        <x:f>IF(BQ$3&gt;=$B$66,BQ80,0)</x:f>
      </x:c>
      <x:c r="BR82" s="107" t="n">
        <x:f>IF(BR$3&gt;=$B$66,BR80,0)</x:f>
      </x:c>
      <x:c r="BS82" s="107" t="n">
        <x:f>IF(BS$3&gt;=$B$66,BS80,0)</x:f>
      </x:c>
      <x:c r="BT82" s="107" t="n">
        <x:f>IF(BT$3&gt;=$B$66,BT80,0)</x:f>
      </x:c>
      <x:c r="BU82" s="107" t="n">
        <x:f>IF(BU$3&gt;=$B$66,BU80,0)</x:f>
      </x:c>
      <x:c r="BV82" s="107" t="n">
        <x:f>IF(BV$3&gt;=$B$66,BV80,0)</x:f>
      </x:c>
      <x:c r="BW82" s="107" t="n">
        <x:f>IF(BW$3&gt;=$B$66,BW80,0)</x:f>
      </x:c>
      <x:c r="BX82" s="107" t="n">
        <x:f>IF(BX$3&gt;=$B$66,BX80,0)</x:f>
      </x:c>
      <x:c r="BY82" s="107" t="n">
        <x:f>IF(BY$3&gt;=$B$66,BY80,0)</x:f>
      </x:c>
      <x:c r="BZ82" s="107" t="n">
        <x:f>IF(BZ$3&gt;=$B$66,BZ80,0)</x:f>
      </x:c>
      <x:c r="CA82" s="107" t="n">
        <x:f>IF(CA$3&gt;=$B$66,CA80,0)</x:f>
      </x:c>
      <x:c r="CB82" s="107" t="n">
        <x:f>IF(CB$3&gt;=$B$66,CB80,0)</x:f>
      </x:c>
      <x:c r="CC82" s="107" t="n">
        <x:f>IF(CC$3&gt;=$B$66,CC80,0)</x:f>
      </x:c>
      <x:c r="CD82" s="107" t="n">
        <x:f>IF(CD$3&gt;=$B$66,CD80,0)</x:f>
      </x:c>
      <x:c r="CE82" s="107" t="n">
        <x:f>IF(CE$3&gt;=$B$66,CE80,0)</x:f>
      </x:c>
      <x:c r="CF82" s="107" t="n">
        <x:f>IF(CF$3&gt;=$B$66,CF80,0)</x:f>
      </x:c>
      <x:c r="CG82" s="107" t="n">
        <x:f>IF(CG$3&gt;=$B$66,CG80,0)</x:f>
      </x:c>
      <x:c r="CH82" s="107" t="n">
        <x:f>IF(CH$3&gt;=$B$66,CH80,0)</x:f>
      </x:c>
      <x:c r="CI82" s="107" t="n">
        <x:f>IF(CI$3&gt;=$B$66,CI80,0)</x:f>
      </x:c>
      <x:c r="CJ82" s="107" t="n">
        <x:f>IF(CJ$3&gt;=$B$66,CJ80,0)</x:f>
      </x:c>
      <x:c r="CK82" s="107" t="n">
        <x:f>IF(CK$3&gt;=$B$66,CK80,0)</x:f>
      </x:c>
      <x:c r="CL82" s="107" t="n">
        <x:f>IF(CL$3&gt;=$B$66,CL80,0)</x:f>
      </x:c>
      <x:c r="CM82" s="107" t="n">
        <x:f>IF(CM$3&gt;=$B$66,CM80,0)</x:f>
      </x:c>
      <x:c r="CN82" s="107" t="n">
        <x:f>IF(CN$3&gt;=$B$66,CN80,0)</x:f>
      </x:c>
      <x:c r="CO82" s="107" t="n">
        <x:f>IF(CO$3&gt;=$B$66,CO80,0)</x:f>
      </x:c>
      <x:c r="CP82" s="107" t="n">
        <x:f>IF(CP$3&gt;=$B$66,CP80,0)</x:f>
      </x:c>
      <x:c r="CQ82" s="107" t="n">
        <x:f>IF(CQ$3&gt;=$B$66,CQ80,0)</x:f>
      </x:c>
      <x:c r="CR82" s="107" t="n">
        <x:f>IF(CR$3&gt;=$B$66,CR80,0)</x:f>
      </x:c>
      <x:c r="CS82" s="107" t="n">
        <x:f>IF(CS$3&gt;=$B$66,CS80,0)</x:f>
      </x:c>
      <x:c r="CT82" s="107" t="n">
        <x:f>IF(CT$3&gt;=$B$66,CT80,0)</x:f>
      </x:c>
      <x:c r="CU82" s="107" t="n">
        <x:f>IF(CU$3&gt;=$B$66,CU80,0)</x:f>
      </x:c>
      <x:c r="CV82" s="107" t="n">
        <x:f>IF(CV$3&gt;=$B$66,CV80,0)</x:f>
      </x:c>
      <x:c r="CW82" s="107" t="n">
        <x:f>IF(CW$3&gt;=$B$66,CW80,0)</x:f>
      </x:c>
      <x:c r="CX82" s="107" t="n">
        <x:f>IF(CX$3&gt;=$B$66,CX80,0)</x:f>
      </x:c>
      <x:c r="CY82" s="107" t="n">
        <x:f>IF(CY$3&gt;=$B$66,CY80,0)</x:f>
      </x:c>
      <x:c r="CZ82" s="107" t="n">
        <x:f>IF(CZ$3&gt;=$B$66,CZ80,0)</x:f>
      </x:c>
      <x:c r="DA82" s="107" t="n">
        <x:f>IF(DA$3&gt;=$B$66,DA80,0)</x:f>
      </x:c>
      <x:c r="DB82" s="107" t="n">
        <x:f>IF(DB$3&gt;=$B$66,DB80,0)</x:f>
      </x:c>
      <x:c r="DC82" s="107" t="n">
        <x:f>IF(DC$3&gt;=$B$66,DC80,0)</x:f>
      </x:c>
      <x:c r="DD82" s="107" t="n">
        <x:f>IF(DD$3&gt;=$B$66,DD80,0)</x:f>
      </x:c>
      <x:c r="DE82" s="107" t="n">
        <x:f>IF(DE$3&gt;=$B$66,DE80,0)</x:f>
      </x:c>
      <x:c r="DF82" s="107" t="n">
        <x:f>IF(DF$3&gt;=$B$66,DF80,0)</x:f>
      </x:c>
      <x:c r="DG82" s="107" t="n">
        <x:f>IF(DG$3&gt;=$B$66,DG80,0)</x:f>
      </x:c>
      <x:c r="DH82" s="107" t="n">
        <x:f>IF(DH$3&gt;=$B$66,DH80,0)</x:f>
      </x:c>
      <x:c r="DI82" s="107" t="n">
        <x:f>IF(DI$3&gt;=$B$66,DI80,0)</x:f>
      </x:c>
      <x:c r="DJ82" s="107" t="n">
        <x:f>IF(DJ$3&gt;=$B$66,DJ80,0)</x:f>
      </x:c>
      <x:c r="DK82" s="107" t="n">
        <x:f>IF(DK$3&gt;=$B$66,DK80,0)</x:f>
      </x:c>
      <x:c r="DL82" s="107" t="n">
        <x:f>IF(DL$3&gt;=$B$66,DL80,0)</x:f>
      </x:c>
      <x:c r="DM82" s="107" t="n">
        <x:f>IF(DM$3&gt;=$B$66,DM80,0)</x:f>
      </x:c>
      <x:c r="DN82" s="107" t="n">
        <x:f>IF(DN$3&gt;=$B$66,DN80,0)</x:f>
      </x:c>
      <x:c r="DO82" s="107" t="n">
        <x:f>IF(DO$3&gt;=$B$66,DO80,0)</x:f>
      </x:c>
      <x:c r="DP82" s="107" t="n">
        <x:f>IF(DP$3&gt;=$B$66,DP80,0)</x:f>
      </x:c>
      <x:c r="DQ82" s="107" t="n">
        <x:f>IF(DQ$3&gt;=$B$66,DQ80,0)</x:f>
      </x:c>
      <x:c r="DR82" s="107" t="n">
        <x:f>IF(DR$3&gt;=$B$66,DR80,0)</x:f>
      </x:c>
      <x:c r="DS82" s="107" t="n">
        <x:f>IF(DS$3&gt;=$B$66,DS80,0)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IF(AND(YEAR(D$3)=YEAR($B$66),MONTH(D$3)=MONTH($B$66),AND($B$63="Да",IFERROR(INDEX('Вводные'!$B$88:$B$91,$B$64),"Нет")="Да")),MAX(0,SUM($D81:D81)-D81),0)</x:f>
      </x:c>
      <x:c r="E83" s="107" t="n">
        <x:f>IF(AND(YEAR(E$3)=YEAR($B$66),MONTH(E$3)=MONTH($B$66),AND($B$63="Да",IFERROR(INDEX('Вводные'!$B$88:$B$91,$B$64),"Нет")="Да")),MAX(0,SUM($D81:E81)-E81),0)</x:f>
      </x:c>
      <x:c r="F83" s="107" t="n">
        <x:f>IF(AND(YEAR(F$3)=YEAR($B$66),MONTH(F$3)=MONTH($B$66),AND($B$63="Да",IFERROR(INDEX('Вводные'!$B$88:$B$91,$B$64),"Нет")="Да")),MAX(0,SUM($D81:F81)-F81),0)</x:f>
      </x:c>
      <x:c r="G83" s="107" t="n">
        <x:f>IF(AND(YEAR(G$3)=YEAR($B$66),MONTH(G$3)=MONTH($B$66),AND($B$63="Да",IFERROR(INDEX('Вводные'!$B$88:$B$91,$B$64),"Нет")="Да")),MAX(0,SUM($D81:G81)-G81),0)</x:f>
      </x:c>
      <x:c r="H83" s="107" t="n">
        <x:f>IF(AND(YEAR(H$3)=YEAR($B$66),MONTH(H$3)=MONTH($B$66),AND($B$63="Да",IFERROR(INDEX('Вводные'!$B$88:$B$91,$B$64),"Нет")="Да")),MAX(0,SUM($D81:H81)-H81),0)</x:f>
      </x:c>
      <x:c r="I83" s="107" t="n">
        <x:f>IF(AND(YEAR(I$3)=YEAR($B$66),MONTH(I$3)=MONTH($B$66),AND($B$63="Да",IFERROR(INDEX('Вводные'!$B$88:$B$91,$B$64),"Нет")="Да")),MAX(0,SUM($D81:I81)-I81),0)</x:f>
      </x:c>
      <x:c r="J83" s="107" t="n">
        <x:f>IF(AND(YEAR(J$3)=YEAR($B$66),MONTH(J$3)=MONTH($B$66),AND($B$63="Да",IFERROR(INDEX('Вводные'!$B$88:$B$91,$B$64),"Нет")="Да")),MAX(0,SUM($D81:J81)-J81),0)</x:f>
      </x:c>
      <x:c r="K83" s="107" t="n">
        <x:f>IF(AND(YEAR(K$3)=YEAR($B$66),MONTH(K$3)=MONTH($B$66),AND($B$63="Да",IFERROR(INDEX('Вводные'!$B$88:$B$91,$B$64),"Нет")="Да")),MAX(0,SUM($D81:K81)-K81),0)</x:f>
      </x:c>
      <x:c r="L83" s="107" t="n">
        <x:f>IF(AND(YEAR(L$3)=YEAR($B$66),MONTH(L$3)=MONTH($B$66),AND($B$63="Да",IFERROR(INDEX('Вводные'!$B$88:$B$91,$B$64),"Нет")="Да")),MAX(0,SUM($D81:L81)-L81),0)</x:f>
      </x:c>
      <x:c r="M83" s="107" t="n">
        <x:f>IF(AND(YEAR(M$3)=YEAR($B$66),MONTH(M$3)=MONTH($B$66),AND($B$63="Да",IFERROR(INDEX('Вводные'!$B$88:$B$91,$B$64),"Нет")="Да")),MAX(0,SUM($D81:M81)-M81),0)</x:f>
      </x:c>
      <x:c r="N83" s="107" t="n">
        <x:f>IF(AND(YEAR(N$3)=YEAR($B$66),MONTH(N$3)=MONTH($B$66),AND($B$63="Да",IFERROR(INDEX('Вводные'!$B$88:$B$91,$B$64),"Нет")="Да")),MAX(0,SUM($D81:N81)-N81),0)</x:f>
      </x:c>
      <x:c r="O83" s="107" t="n">
        <x:f>IF(AND(YEAR(O$3)=YEAR($B$66),MONTH(O$3)=MONTH($B$66),AND($B$63="Да",IFERROR(INDEX('Вводные'!$B$88:$B$91,$B$64),"Нет")="Да")),MAX(0,SUM($D81:O81)-O81),0)</x:f>
      </x:c>
      <x:c r="P83" s="107" t="n">
        <x:f>IF(AND(YEAR(P$3)=YEAR($B$66),MONTH(P$3)=MONTH($B$66),AND($B$63="Да",IFERROR(INDEX('Вводные'!$B$88:$B$91,$B$64),"Нет")="Да")),MAX(0,SUM($D81:P81)-P81),0)</x:f>
      </x:c>
      <x:c r="Q83" s="107" t="n">
        <x:f>IF(AND(YEAR(Q$3)=YEAR($B$66),MONTH(Q$3)=MONTH($B$66),AND($B$63="Да",IFERROR(INDEX('Вводные'!$B$88:$B$91,$B$64),"Нет")="Да")),MAX(0,SUM($D81:Q81)-Q81),0)</x:f>
      </x:c>
      <x:c r="R83" s="107" t="n">
        <x:f>IF(AND(YEAR(R$3)=YEAR($B$66),MONTH(R$3)=MONTH($B$66),AND($B$63="Да",IFERROR(INDEX('Вводные'!$B$88:$B$91,$B$64),"Нет")="Да")),MAX(0,SUM($D81:R81)-R81),0)</x:f>
      </x:c>
      <x:c r="S83" s="107" t="n">
        <x:f>IF(AND(YEAR(S$3)=YEAR($B$66),MONTH(S$3)=MONTH($B$66),AND($B$63="Да",IFERROR(INDEX('Вводные'!$B$88:$B$91,$B$64),"Нет")="Да")),MAX(0,SUM($D81:S81)-S81),0)</x:f>
      </x:c>
      <x:c r="T83" s="107" t="n">
        <x:f>IF(AND(YEAR(T$3)=YEAR($B$66),MONTH(T$3)=MONTH($B$66),AND($B$63="Да",IFERROR(INDEX('Вводные'!$B$88:$B$91,$B$64),"Нет")="Да")),MAX(0,SUM($D81:T81)-T81),0)</x:f>
      </x:c>
      <x:c r="U83" s="107" t="n">
        <x:f>IF(AND(YEAR(U$3)=YEAR($B$66),MONTH(U$3)=MONTH($B$66),AND($B$63="Да",IFERROR(INDEX('Вводные'!$B$88:$B$91,$B$64),"Нет")="Да")),MAX(0,SUM($D81:U81)-U81),0)</x:f>
      </x:c>
      <x:c r="V83" s="107" t="n">
        <x:f>IF(AND(YEAR(V$3)=YEAR($B$66),MONTH(V$3)=MONTH($B$66),AND($B$63="Да",IFERROR(INDEX('Вводные'!$B$88:$B$91,$B$64),"Нет")="Да")),MAX(0,SUM($D81:V81)-V81),0)</x:f>
      </x:c>
      <x:c r="W83" s="107" t="n">
        <x:f>IF(AND(YEAR(W$3)=YEAR($B$66),MONTH(W$3)=MONTH($B$66),AND($B$63="Да",IFERROR(INDEX('Вводные'!$B$88:$B$91,$B$64),"Нет")="Да")),MAX(0,SUM($D81:W81)-W81),0)</x:f>
      </x:c>
      <x:c r="X83" s="107" t="n">
        <x:f>IF(AND(YEAR(X$3)=YEAR($B$66),MONTH(X$3)=MONTH($B$66),AND($B$63="Да",IFERROR(INDEX('Вводные'!$B$88:$B$91,$B$64),"Нет")="Да")),MAX(0,SUM($D81:X81)-X81),0)</x:f>
      </x:c>
      <x:c r="Y83" s="107" t="n">
        <x:f>IF(AND(YEAR(Y$3)=YEAR($B$66),MONTH(Y$3)=MONTH($B$66),AND($B$63="Да",IFERROR(INDEX('Вводные'!$B$88:$B$91,$B$64),"Нет")="Да")),MAX(0,SUM($D81:Y81)-Y81),0)</x:f>
      </x:c>
      <x:c r="Z83" s="107" t="n">
        <x:f>IF(AND(YEAR(Z$3)=YEAR($B$66),MONTH(Z$3)=MONTH($B$66),AND($B$63="Да",IFERROR(INDEX('Вводные'!$B$88:$B$91,$B$64),"Нет")="Да")),MAX(0,SUM($D81:Z81)-Z81),0)</x:f>
      </x:c>
      <x:c r="AA83" s="107" t="n">
        <x:f>IF(AND(YEAR(AA$3)=YEAR($B$66),MONTH(AA$3)=MONTH($B$66),AND($B$63="Да",IFERROR(INDEX('Вводные'!$B$88:$B$91,$B$64),"Нет")="Да")),MAX(0,SUM($D81:AA81)-AA81),0)</x:f>
      </x:c>
      <x:c r="AB83" s="107" t="n">
        <x:f>IF(AND(YEAR(AB$3)=YEAR($B$66),MONTH(AB$3)=MONTH($B$66),AND($B$63="Да",IFERROR(INDEX('Вводные'!$B$88:$B$91,$B$64),"Нет")="Да")),MAX(0,SUM($D81:AB81)-AB81),0)</x:f>
      </x:c>
      <x:c r="AC83" s="107" t="n">
        <x:f>IF(AND(YEAR(AC$3)=YEAR($B$66),MONTH(AC$3)=MONTH($B$66),AND($B$63="Да",IFERROR(INDEX('Вводные'!$B$88:$B$91,$B$64),"Нет")="Да")),MAX(0,SUM($D81:AC81)-AC81),0)</x:f>
      </x:c>
      <x:c r="AD83" s="107" t="n">
        <x:f>IF(AND(YEAR(AD$3)=YEAR($B$66),MONTH(AD$3)=MONTH($B$66),AND($B$63="Да",IFERROR(INDEX('Вводные'!$B$88:$B$91,$B$64),"Нет")="Да")),MAX(0,SUM($D81:AD81)-AD81),0)</x:f>
      </x:c>
      <x:c r="AE83" s="107" t="n">
        <x:f>IF(AND(YEAR(AE$3)=YEAR($B$66),MONTH(AE$3)=MONTH($B$66),AND($B$63="Да",IFERROR(INDEX('Вводные'!$B$88:$B$91,$B$64),"Нет")="Да")),MAX(0,SUM($D81:AE81)-AE81),0)</x:f>
      </x:c>
      <x:c r="AF83" s="107" t="n">
        <x:f>IF(AND(YEAR(AF$3)=YEAR($B$66),MONTH(AF$3)=MONTH($B$66),AND($B$63="Да",IFERROR(INDEX('Вводные'!$B$88:$B$91,$B$64),"Нет")="Да")),MAX(0,SUM($D81:AF81)-AF81),0)</x:f>
      </x:c>
      <x:c r="AG83" s="107" t="n">
        <x:f>IF(AND(YEAR(AG$3)=YEAR($B$66),MONTH(AG$3)=MONTH($B$66),AND($B$63="Да",IFERROR(INDEX('Вводные'!$B$88:$B$91,$B$64),"Нет")="Да")),MAX(0,SUM($D81:AG81)-AG81),0)</x:f>
      </x:c>
      <x:c r="AH83" s="107" t="n">
        <x:f>IF(AND(YEAR(AH$3)=YEAR($B$66),MONTH(AH$3)=MONTH($B$66),AND($B$63="Да",IFERROR(INDEX('Вводные'!$B$88:$B$91,$B$64),"Нет")="Да")),MAX(0,SUM($D81:AH81)-AH81),0)</x:f>
      </x:c>
      <x:c r="AI83" s="107" t="n">
        <x:f>IF(AND(YEAR(AI$3)=YEAR($B$66),MONTH(AI$3)=MONTH($B$66),AND($B$63="Да",IFERROR(INDEX('Вводные'!$B$88:$B$91,$B$64),"Нет")="Да")),MAX(0,SUM($D81:AI81)-AI81),0)</x:f>
      </x:c>
      <x:c r="AJ83" s="107" t="n">
        <x:f>IF(AND(YEAR(AJ$3)=YEAR($B$66),MONTH(AJ$3)=MONTH($B$66),AND($B$63="Да",IFERROR(INDEX('Вводные'!$B$88:$B$91,$B$64),"Нет")="Да")),MAX(0,SUM($D81:AJ81)-AJ81),0)</x:f>
      </x:c>
      <x:c r="AK83" s="107" t="n">
        <x:f>IF(AND(YEAR(AK$3)=YEAR($B$66),MONTH(AK$3)=MONTH($B$66),AND($B$63="Да",IFERROR(INDEX('Вводные'!$B$88:$B$91,$B$64),"Нет")="Да")),MAX(0,SUM($D81:AK81)-AK81),0)</x:f>
      </x:c>
      <x:c r="AL83" s="107" t="n">
        <x:f>IF(AND(YEAR(AL$3)=YEAR($B$66),MONTH(AL$3)=MONTH($B$66),AND($B$63="Да",IFERROR(INDEX('Вводные'!$B$88:$B$91,$B$64),"Нет")="Да")),MAX(0,SUM($D81:AL81)-AL81),0)</x:f>
      </x:c>
      <x:c r="AM83" s="107" t="n">
        <x:f>IF(AND(YEAR(AM$3)=YEAR($B$66),MONTH(AM$3)=MONTH($B$66),AND($B$63="Да",IFERROR(INDEX('Вводные'!$B$88:$B$91,$B$64),"Нет")="Да")),MAX(0,SUM($D81:AM81)-AM81),0)</x:f>
      </x:c>
      <x:c r="AN83" s="107" t="n">
        <x:f>IF(AND(YEAR(AN$3)=YEAR($B$66),MONTH(AN$3)=MONTH($B$66),AND($B$63="Да",IFERROR(INDEX('Вводные'!$B$88:$B$91,$B$64),"Нет")="Да")),MAX(0,SUM($D81:AN81)-AN81),0)</x:f>
      </x:c>
      <x:c r="AO83" s="107" t="n">
        <x:f>IF(AND(YEAR(AO$3)=YEAR($B$66),MONTH(AO$3)=MONTH($B$66),AND($B$63="Да",IFERROR(INDEX('Вводные'!$B$88:$B$91,$B$64),"Нет")="Да")),MAX(0,SUM($D81:AO81)-AO81),0)</x:f>
      </x:c>
      <x:c r="AP83" s="107" t="n">
        <x:f>IF(AND(YEAR(AP$3)=YEAR($B$66),MONTH(AP$3)=MONTH($B$66),AND($B$63="Да",IFERROR(INDEX('Вводные'!$B$88:$B$91,$B$64),"Нет")="Да")),MAX(0,SUM($D81:AP81)-AP81),0)</x:f>
      </x:c>
      <x:c r="AQ83" s="107" t="n">
        <x:f>IF(AND(YEAR(AQ$3)=YEAR($B$66),MONTH(AQ$3)=MONTH($B$66),AND($B$63="Да",IFERROR(INDEX('Вводные'!$B$88:$B$91,$B$64),"Нет")="Да")),MAX(0,SUM($D81:AQ81)-AQ81),0)</x:f>
      </x:c>
      <x:c r="AR83" s="107" t="n">
        <x:f>IF(AND(YEAR(AR$3)=YEAR($B$66),MONTH(AR$3)=MONTH($B$66),AND($B$63="Да",IFERROR(INDEX('Вводные'!$B$88:$B$91,$B$64),"Нет")="Да")),MAX(0,SUM($D81:AR81)-AR81),0)</x:f>
      </x:c>
      <x:c r="AS83" s="107" t="n">
        <x:f>IF(AND(YEAR(AS$3)=YEAR($B$66),MONTH(AS$3)=MONTH($B$66),AND($B$63="Да",IFERROR(INDEX('Вводные'!$B$88:$B$91,$B$64),"Нет")="Да")),MAX(0,SUM($D81:AS81)-AS81),0)</x:f>
      </x:c>
      <x:c r="AT83" s="107" t="n">
        <x:f>IF(AND(YEAR(AT$3)=YEAR($B$66),MONTH(AT$3)=MONTH($B$66),AND($B$63="Да",IFERROR(INDEX('Вводные'!$B$88:$B$91,$B$64),"Нет")="Да")),MAX(0,SUM($D81:AT81)-AT81),0)</x:f>
      </x:c>
      <x:c r="AU83" s="107" t="n">
        <x:f>IF(AND(YEAR(AU$3)=YEAR($B$66),MONTH(AU$3)=MONTH($B$66),AND($B$63="Да",IFERROR(INDEX('Вводные'!$B$88:$B$91,$B$64),"Нет")="Да")),MAX(0,SUM($D81:AU81)-AU81),0)</x:f>
      </x:c>
      <x:c r="AV83" s="107" t="n">
        <x:f>IF(AND(YEAR(AV$3)=YEAR($B$66),MONTH(AV$3)=MONTH($B$66),AND($B$63="Да",IFERROR(INDEX('Вводные'!$B$88:$B$91,$B$64),"Нет")="Да")),MAX(0,SUM($D81:AV81)-AV81),0)</x:f>
      </x:c>
      <x:c r="AW83" s="107" t="n">
        <x:f>IF(AND(YEAR(AW$3)=YEAR($B$66),MONTH(AW$3)=MONTH($B$66),AND($B$63="Да",IFERROR(INDEX('Вводные'!$B$88:$B$91,$B$64),"Нет")="Да")),MAX(0,SUM($D81:AW81)-AW81),0)</x:f>
      </x:c>
      <x:c r="AX83" s="107" t="n">
        <x:f>IF(AND(YEAR(AX$3)=YEAR($B$66),MONTH(AX$3)=MONTH($B$66),AND($B$63="Да",IFERROR(INDEX('Вводные'!$B$88:$B$91,$B$64),"Нет")="Да")),MAX(0,SUM($D81:AX81)-AX81),0)</x:f>
      </x:c>
      <x:c r="AY83" s="107" t="n">
        <x:f>IF(AND(YEAR(AY$3)=YEAR($B$66),MONTH(AY$3)=MONTH($B$66),AND($B$63="Да",IFERROR(INDEX('Вводные'!$B$88:$B$91,$B$64),"Нет")="Да")),MAX(0,SUM($D81:AY81)-AY81),0)</x:f>
      </x:c>
      <x:c r="AZ83" s="107" t="n">
        <x:f>IF(AND(YEAR(AZ$3)=YEAR($B$66),MONTH(AZ$3)=MONTH($B$66),AND($B$63="Да",IFERROR(INDEX('Вводные'!$B$88:$B$91,$B$64),"Нет")="Да")),MAX(0,SUM($D81:AZ81)-AZ81),0)</x:f>
      </x:c>
      <x:c r="BA83" s="107" t="n">
        <x:f>IF(AND(YEAR(BA$3)=YEAR($B$66),MONTH(BA$3)=MONTH($B$66),AND($B$63="Да",IFERROR(INDEX('Вводные'!$B$88:$B$91,$B$64),"Нет")="Да")),MAX(0,SUM($D81:BA81)-BA81),0)</x:f>
      </x:c>
      <x:c r="BB83" s="107" t="n">
        <x:f>IF(AND(YEAR(BB$3)=YEAR($B$66),MONTH(BB$3)=MONTH($B$66),AND($B$63="Да",IFERROR(INDEX('Вводные'!$B$88:$B$91,$B$64),"Нет")="Да")),MAX(0,SUM($D81:BB81)-BB81),0)</x:f>
      </x:c>
      <x:c r="BC83" s="107" t="n">
        <x:f>IF(AND(YEAR(BC$3)=YEAR($B$66),MONTH(BC$3)=MONTH($B$66),AND($B$63="Да",IFERROR(INDEX('Вводные'!$B$88:$B$91,$B$64),"Нет")="Да")),MAX(0,SUM($D81:BC81)-BC81),0)</x:f>
      </x:c>
      <x:c r="BD83" s="107" t="n">
        <x:f>IF(AND(YEAR(BD$3)=YEAR($B$66),MONTH(BD$3)=MONTH($B$66),AND($B$63="Да",IFERROR(INDEX('Вводные'!$B$88:$B$91,$B$64),"Нет")="Да")),MAX(0,SUM($D81:BD81)-BD81),0)</x:f>
      </x:c>
      <x:c r="BE83" s="107" t="n">
        <x:f>IF(AND(YEAR(BE$3)=YEAR($B$66),MONTH(BE$3)=MONTH($B$66),AND($B$63="Да",IFERROR(INDEX('Вводные'!$B$88:$B$91,$B$64),"Нет")="Да")),MAX(0,SUM($D81:BE81)-BE81),0)</x:f>
      </x:c>
      <x:c r="BF83" s="107" t="n">
        <x:f>IF(AND(YEAR(BF$3)=YEAR($B$66),MONTH(BF$3)=MONTH($B$66),AND($B$63="Да",IFERROR(INDEX('Вводные'!$B$88:$B$91,$B$64),"Нет")="Да")),MAX(0,SUM($D81:BF81)-BF81),0)</x:f>
      </x:c>
      <x:c r="BG83" s="107" t="n">
        <x:f>IF(AND(YEAR(BG$3)=YEAR($B$66),MONTH(BG$3)=MONTH($B$66),AND($B$63="Да",IFERROR(INDEX('Вводные'!$B$88:$B$91,$B$64),"Нет")="Да")),MAX(0,SUM($D81:BG81)-BG81),0)</x:f>
      </x:c>
      <x:c r="BH83" s="107" t="n">
        <x:f>IF(AND(YEAR(BH$3)=YEAR($B$66),MONTH(BH$3)=MONTH($B$66),AND($B$63="Да",IFERROR(INDEX('Вводные'!$B$88:$B$91,$B$64),"Нет")="Да")),MAX(0,SUM($D81:BH81)-BH81),0)</x:f>
      </x:c>
      <x:c r="BI83" s="107" t="n">
        <x:f>IF(AND(YEAR(BI$3)=YEAR($B$66),MONTH(BI$3)=MONTH($B$66),AND($B$63="Да",IFERROR(INDEX('Вводные'!$B$88:$B$91,$B$64),"Нет")="Да")),MAX(0,SUM($D81:BI81)-BI81),0)</x:f>
      </x:c>
      <x:c r="BJ83" s="107" t="n">
        <x:f>IF(AND(YEAR(BJ$3)=YEAR($B$66),MONTH(BJ$3)=MONTH($B$66),AND($B$63="Да",IFERROR(INDEX('Вводные'!$B$88:$B$91,$B$64),"Нет")="Да")),MAX(0,SUM($D81:BJ81)-BJ81),0)</x:f>
      </x:c>
      <x:c r="BK83" s="107" t="n">
        <x:f>IF(AND(YEAR(BK$3)=YEAR($B$66),MONTH(BK$3)=MONTH($B$66),AND($B$63="Да",IFERROR(INDEX('Вводные'!$B$88:$B$91,$B$64),"Нет")="Да")),MAX(0,SUM($D81:BK81)-BK81),0)</x:f>
      </x:c>
      <x:c r="BL83" s="107" t="n">
        <x:f>IF(AND(YEAR(BL$3)=YEAR($B$66),MONTH(BL$3)=MONTH($B$66),AND($B$63="Да",IFERROR(INDEX('Вводные'!$B$88:$B$91,$B$64),"Нет")="Да")),MAX(0,SUM($D81:BL81)-BL81),0)</x:f>
      </x:c>
      <x:c r="BM83" s="107" t="n">
        <x:f>IF(AND(YEAR(BM$3)=YEAR($B$66),MONTH(BM$3)=MONTH($B$66),AND($B$63="Да",IFERROR(INDEX('Вводные'!$B$88:$B$91,$B$64),"Нет")="Да")),MAX(0,SUM($D81:BM81)-BM81),0)</x:f>
      </x:c>
      <x:c r="BN83" s="107" t="n">
        <x:f>IF(AND(YEAR(BN$3)=YEAR($B$66),MONTH(BN$3)=MONTH($B$66),AND($B$63="Да",IFERROR(INDEX('Вводные'!$B$88:$B$91,$B$64),"Нет")="Да")),MAX(0,SUM($D81:BN81)-BN81),0)</x:f>
      </x:c>
      <x:c r="BO83" s="107" t="n">
        <x:f>IF(AND(YEAR(BO$3)=YEAR($B$66),MONTH(BO$3)=MONTH($B$66),AND($B$63="Да",IFERROR(INDEX('Вводные'!$B$88:$B$91,$B$64),"Нет")="Да")),MAX(0,SUM($D81:BO81)-BO81),0)</x:f>
      </x:c>
      <x:c r="BP83" s="107" t="n">
        <x:f>IF(AND(YEAR(BP$3)=YEAR($B$66),MONTH(BP$3)=MONTH($B$66),AND($B$63="Да",IFERROR(INDEX('Вводные'!$B$88:$B$91,$B$64),"Нет")="Да")),MAX(0,SUM($D81:BP81)-BP81),0)</x:f>
      </x:c>
      <x:c r="BQ83" s="107" t="n">
        <x:f>IF(AND(YEAR(BQ$3)=YEAR($B$66),MONTH(BQ$3)=MONTH($B$66),AND($B$63="Да",IFERROR(INDEX('Вводные'!$B$88:$B$91,$B$64),"Нет")="Да")),MAX(0,SUM($D81:BQ81)-BQ81),0)</x:f>
      </x:c>
      <x:c r="BR83" s="107" t="n">
        <x:f>IF(AND(YEAR(BR$3)=YEAR($B$66),MONTH(BR$3)=MONTH($B$66),AND($B$63="Да",IFERROR(INDEX('Вводные'!$B$88:$B$91,$B$64),"Нет")="Да")),MAX(0,SUM($D81:BR81)-BR81),0)</x:f>
      </x:c>
      <x:c r="BS83" s="107" t="n">
        <x:f>IF(AND(YEAR(BS$3)=YEAR($B$66),MONTH(BS$3)=MONTH($B$66),AND($B$63="Да",IFERROR(INDEX('Вводные'!$B$88:$B$91,$B$64),"Нет")="Да")),MAX(0,SUM($D81:BS81)-BS81),0)</x:f>
      </x:c>
      <x:c r="BT83" s="107" t="n">
        <x:f>IF(AND(YEAR(BT$3)=YEAR($B$66),MONTH(BT$3)=MONTH($B$66),AND($B$63="Да",IFERROR(INDEX('Вводные'!$B$88:$B$91,$B$64),"Нет")="Да")),MAX(0,SUM($D81:BT81)-BT81),0)</x:f>
      </x:c>
      <x:c r="BU83" s="107" t="n">
        <x:f>IF(AND(YEAR(BU$3)=YEAR($B$66),MONTH(BU$3)=MONTH($B$66),AND($B$63="Да",IFERROR(INDEX('Вводные'!$B$88:$B$91,$B$64),"Нет")="Да")),MAX(0,SUM($D81:BU81)-BU81),0)</x:f>
      </x:c>
      <x:c r="BV83" s="107" t="n">
        <x:f>IF(AND(YEAR(BV$3)=YEAR($B$66),MONTH(BV$3)=MONTH($B$66),AND($B$63="Да",IFERROR(INDEX('Вводные'!$B$88:$B$91,$B$64),"Нет")="Да")),MAX(0,SUM($D81:BV81)-BV81),0)</x:f>
      </x:c>
      <x:c r="BW83" s="107" t="n">
        <x:f>IF(AND(YEAR(BW$3)=YEAR($B$66),MONTH(BW$3)=MONTH($B$66),AND($B$63="Да",IFERROR(INDEX('Вводные'!$B$88:$B$91,$B$64),"Нет")="Да")),MAX(0,SUM($D81:BW81)-BW81),0)</x:f>
      </x:c>
      <x:c r="BX83" s="107" t="n">
        <x:f>IF(AND(YEAR(BX$3)=YEAR($B$66),MONTH(BX$3)=MONTH($B$66),AND($B$63="Да",IFERROR(INDEX('Вводные'!$B$88:$B$91,$B$64),"Нет")="Да")),MAX(0,SUM($D81:BX81)-BX81),0)</x:f>
      </x:c>
      <x:c r="BY83" s="107" t="n">
        <x:f>IF(AND(YEAR(BY$3)=YEAR($B$66),MONTH(BY$3)=MONTH($B$66),AND($B$63="Да",IFERROR(INDEX('Вводные'!$B$88:$B$91,$B$64),"Нет")="Да")),MAX(0,SUM($D81:BY81)-BY81),0)</x:f>
      </x:c>
      <x:c r="BZ83" s="107" t="n">
        <x:f>IF(AND(YEAR(BZ$3)=YEAR($B$66),MONTH(BZ$3)=MONTH($B$66),AND($B$63="Да",IFERROR(INDEX('Вводные'!$B$88:$B$91,$B$64),"Нет")="Да")),MAX(0,SUM($D81:BZ81)-BZ81),0)</x:f>
      </x:c>
      <x:c r="CA83" s="107" t="n">
        <x:f>IF(AND(YEAR(CA$3)=YEAR($B$66),MONTH(CA$3)=MONTH($B$66),AND($B$63="Да",IFERROR(INDEX('Вводные'!$B$88:$B$91,$B$64),"Нет")="Да")),MAX(0,SUM($D81:CA81)-CA81),0)</x:f>
      </x:c>
      <x:c r="CB83" s="107" t="n">
        <x:f>IF(AND(YEAR(CB$3)=YEAR($B$66),MONTH(CB$3)=MONTH($B$66),AND($B$63="Да",IFERROR(INDEX('Вводные'!$B$88:$B$91,$B$64),"Нет")="Да")),MAX(0,SUM($D81:CB81)-CB81),0)</x:f>
      </x:c>
      <x:c r="CC83" s="107" t="n">
        <x:f>IF(AND(YEAR(CC$3)=YEAR($B$66),MONTH(CC$3)=MONTH($B$66),AND($B$63="Да",IFERROR(INDEX('Вводные'!$B$88:$B$91,$B$64),"Нет")="Да")),MAX(0,SUM($D81:CC81)-CC81),0)</x:f>
      </x:c>
      <x:c r="CD83" s="107" t="n">
        <x:f>IF(AND(YEAR(CD$3)=YEAR($B$66),MONTH(CD$3)=MONTH($B$66),AND($B$63="Да",IFERROR(INDEX('Вводные'!$B$88:$B$91,$B$64),"Нет")="Да")),MAX(0,SUM($D81:CD81)-CD81),0)</x:f>
      </x:c>
      <x:c r="CE83" s="107" t="n">
        <x:f>IF(AND(YEAR(CE$3)=YEAR($B$66),MONTH(CE$3)=MONTH($B$66),AND($B$63="Да",IFERROR(INDEX('Вводные'!$B$88:$B$91,$B$64),"Нет")="Да")),MAX(0,SUM($D81:CE81)-CE81),0)</x:f>
      </x:c>
      <x:c r="CF83" s="107" t="n">
        <x:f>IF(AND(YEAR(CF$3)=YEAR($B$66),MONTH(CF$3)=MONTH($B$66),AND($B$63="Да",IFERROR(INDEX('Вводные'!$B$88:$B$91,$B$64),"Нет")="Да")),MAX(0,SUM($D81:CF81)-CF81),0)</x:f>
      </x:c>
      <x:c r="CG83" s="107" t="n">
        <x:f>IF(AND(YEAR(CG$3)=YEAR($B$66),MONTH(CG$3)=MONTH($B$66),AND($B$63="Да",IFERROR(INDEX('Вводные'!$B$88:$B$91,$B$64),"Нет")="Да")),MAX(0,SUM($D81:CG81)-CG81),0)</x:f>
      </x:c>
      <x:c r="CH83" s="107" t="n">
        <x:f>IF(AND(YEAR(CH$3)=YEAR($B$66),MONTH(CH$3)=MONTH($B$66),AND($B$63="Да",IFERROR(INDEX('Вводные'!$B$88:$B$91,$B$64),"Нет")="Да")),MAX(0,SUM($D81:CH81)-CH81),0)</x:f>
      </x:c>
      <x:c r="CI83" s="107" t="n">
        <x:f>IF(AND(YEAR(CI$3)=YEAR($B$66),MONTH(CI$3)=MONTH($B$66),AND($B$63="Да",IFERROR(INDEX('Вводные'!$B$88:$B$91,$B$64),"Нет")="Да")),MAX(0,SUM($D81:CI81)-CI81),0)</x:f>
      </x:c>
      <x:c r="CJ83" s="107" t="n">
        <x:f>IF(AND(YEAR(CJ$3)=YEAR($B$66),MONTH(CJ$3)=MONTH($B$66),AND($B$63="Да",IFERROR(INDEX('Вводные'!$B$88:$B$91,$B$64),"Нет")="Да")),MAX(0,SUM($D81:CJ81)-CJ81),0)</x:f>
      </x:c>
      <x:c r="CK83" s="107" t="n">
        <x:f>IF(AND(YEAR(CK$3)=YEAR($B$66),MONTH(CK$3)=MONTH($B$66),AND($B$63="Да",IFERROR(INDEX('Вводные'!$B$88:$B$91,$B$64),"Нет")="Да")),MAX(0,SUM($D81:CK81)-CK81),0)</x:f>
      </x:c>
      <x:c r="CL83" s="107" t="n">
        <x:f>IF(AND(YEAR(CL$3)=YEAR($B$66),MONTH(CL$3)=MONTH($B$66),AND($B$63="Да",IFERROR(INDEX('Вводные'!$B$88:$B$91,$B$64),"Нет")="Да")),MAX(0,SUM($D81:CL81)-CL81),0)</x:f>
      </x:c>
      <x:c r="CM83" s="107" t="n">
        <x:f>IF(AND(YEAR(CM$3)=YEAR($B$66),MONTH(CM$3)=MONTH($B$66),AND($B$63="Да",IFERROR(INDEX('Вводные'!$B$88:$B$91,$B$64),"Нет")="Да")),MAX(0,SUM($D81:CM81)-CM81),0)</x:f>
      </x:c>
      <x:c r="CN83" s="107" t="n">
        <x:f>IF(AND(YEAR(CN$3)=YEAR($B$66),MONTH(CN$3)=MONTH($B$66),AND($B$63="Да",IFERROR(INDEX('Вводные'!$B$88:$B$91,$B$64),"Нет")="Да")),MAX(0,SUM($D81:CN81)-CN81),0)</x:f>
      </x:c>
      <x:c r="CO83" s="107" t="n">
        <x:f>IF(AND(YEAR(CO$3)=YEAR($B$66),MONTH(CO$3)=MONTH($B$66),AND($B$63="Да",IFERROR(INDEX('Вводные'!$B$88:$B$91,$B$64),"Нет")="Да")),MAX(0,SUM($D81:CO81)-CO81),0)</x:f>
      </x:c>
      <x:c r="CP83" s="107" t="n">
        <x:f>IF(AND(YEAR(CP$3)=YEAR($B$66),MONTH(CP$3)=MONTH($B$66),AND($B$63="Да",IFERROR(INDEX('Вводные'!$B$88:$B$91,$B$64),"Нет")="Да")),MAX(0,SUM($D81:CP81)-CP81),0)</x:f>
      </x:c>
      <x:c r="CQ83" s="107" t="n">
        <x:f>IF(AND(YEAR(CQ$3)=YEAR($B$66),MONTH(CQ$3)=MONTH($B$66),AND($B$63="Да",IFERROR(INDEX('Вводные'!$B$88:$B$91,$B$64),"Нет")="Да")),MAX(0,SUM($D81:CQ81)-CQ81),0)</x:f>
      </x:c>
      <x:c r="CR83" s="107" t="n">
        <x:f>IF(AND(YEAR(CR$3)=YEAR($B$66),MONTH(CR$3)=MONTH($B$66),AND($B$63="Да",IFERROR(INDEX('Вводные'!$B$88:$B$91,$B$64),"Нет")="Да")),MAX(0,SUM($D81:CR81)-CR81),0)</x:f>
      </x:c>
      <x:c r="CS83" s="107" t="n">
        <x:f>IF(AND(YEAR(CS$3)=YEAR($B$66),MONTH(CS$3)=MONTH($B$66),AND($B$63="Да",IFERROR(INDEX('Вводные'!$B$88:$B$91,$B$64),"Нет")="Да")),MAX(0,SUM($D81:CS81)-CS81),0)</x:f>
      </x:c>
      <x:c r="CT83" s="107" t="n">
        <x:f>IF(AND(YEAR(CT$3)=YEAR($B$66),MONTH(CT$3)=MONTH($B$66),AND($B$63="Да",IFERROR(INDEX('Вводные'!$B$88:$B$91,$B$64),"Нет")="Да")),MAX(0,SUM($D81:CT81)-CT81),0)</x:f>
      </x:c>
      <x:c r="CU83" s="107" t="n">
        <x:f>IF(AND(YEAR(CU$3)=YEAR($B$66),MONTH(CU$3)=MONTH($B$66),AND($B$63="Да",IFERROR(INDEX('Вводные'!$B$88:$B$91,$B$64),"Нет")="Да")),MAX(0,SUM($D81:CU81)-CU81),0)</x:f>
      </x:c>
      <x:c r="CV83" s="107" t="n">
        <x:f>IF(AND(YEAR(CV$3)=YEAR($B$66),MONTH(CV$3)=MONTH($B$66),AND($B$63="Да",IFERROR(INDEX('Вводные'!$B$88:$B$91,$B$64),"Нет")="Да")),MAX(0,SUM($D81:CV81)-CV81),0)</x:f>
      </x:c>
      <x:c r="CW83" s="107" t="n">
        <x:f>IF(AND(YEAR(CW$3)=YEAR($B$66),MONTH(CW$3)=MONTH($B$66),AND($B$63="Да",IFERROR(INDEX('Вводные'!$B$88:$B$91,$B$64),"Нет")="Да")),MAX(0,SUM($D81:CW81)-CW81),0)</x:f>
      </x:c>
      <x:c r="CX83" s="107" t="n">
        <x:f>IF(AND(YEAR(CX$3)=YEAR($B$66),MONTH(CX$3)=MONTH($B$66),AND($B$63="Да",IFERROR(INDEX('Вводные'!$B$88:$B$91,$B$64),"Нет")="Да")),MAX(0,SUM($D81:CX81)-CX81),0)</x:f>
      </x:c>
      <x:c r="CY83" s="107" t="n">
        <x:f>IF(AND(YEAR(CY$3)=YEAR($B$66),MONTH(CY$3)=MONTH($B$66),AND($B$63="Да",IFERROR(INDEX('Вводные'!$B$88:$B$91,$B$64),"Нет")="Да")),MAX(0,SUM($D81:CY81)-CY81),0)</x:f>
      </x:c>
      <x:c r="CZ83" s="107" t="n">
        <x:f>IF(AND(YEAR(CZ$3)=YEAR($B$66),MONTH(CZ$3)=MONTH($B$66),AND($B$63="Да",IFERROR(INDEX('Вводные'!$B$88:$B$91,$B$64),"Нет")="Да")),MAX(0,SUM($D81:CZ81)-CZ81),0)</x:f>
      </x:c>
      <x:c r="DA83" s="107" t="n">
        <x:f>IF(AND(YEAR(DA$3)=YEAR($B$66),MONTH(DA$3)=MONTH($B$66),AND($B$63="Да",IFERROR(INDEX('Вводные'!$B$88:$B$91,$B$64),"Нет")="Да")),MAX(0,SUM($D81:DA81)-DA81),0)</x:f>
      </x:c>
      <x:c r="DB83" s="107" t="n">
        <x:f>IF(AND(YEAR(DB$3)=YEAR($B$66),MONTH(DB$3)=MONTH($B$66),AND($B$63="Да",IFERROR(INDEX('Вводные'!$B$88:$B$91,$B$64),"Нет")="Да")),MAX(0,SUM($D81:DB81)-DB81),0)</x:f>
      </x:c>
      <x:c r="DC83" s="107" t="n">
        <x:f>IF(AND(YEAR(DC$3)=YEAR($B$66),MONTH(DC$3)=MONTH($B$66),AND($B$63="Да",IFERROR(INDEX('Вводные'!$B$88:$B$91,$B$64),"Нет")="Да")),MAX(0,SUM($D81:DC81)-DC81),0)</x:f>
      </x:c>
      <x:c r="DD83" s="107" t="n">
        <x:f>IF(AND(YEAR(DD$3)=YEAR($B$66),MONTH(DD$3)=MONTH($B$66),AND($B$63="Да",IFERROR(INDEX('Вводные'!$B$88:$B$91,$B$64),"Нет")="Да")),MAX(0,SUM($D81:DD81)-DD81),0)</x:f>
      </x:c>
      <x:c r="DE83" s="107" t="n">
        <x:f>IF(AND(YEAR(DE$3)=YEAR($B$66),MONTH(DE$3)=MONTH($B$66),AND($B$63="Да",IFERROR(INDEX('Вводные'!$B$88:$B$91,$B$64),"Нет")="Да")),MAX(0,SUM($D81:DE81)-DE81),0)</x:f>
      </x:c>
      <x:c r="DF83" s="107" t="n">
        <x:f>IF(AND(YEAR(DF$3)=YEAR($B$66),MONTH(DF$3)=MONTH($B$66),AND($B$63="Да",IFERROR(INDEX('Вводные'!$B$88:$B$91,$B$64),"Нет")="Да")),MAX(0,SUM($D81:DF81)-DF81),0)</x:f>
      </x:c>
      <x:c r="DG83" s="107" t="n">
        <x:f>IF(AND(YEAR(DG$3)=YEAR($B$66),MONTH(DG$3)=MONTH($B$66),AND($B$63="Да",IFERROR(INDEX('Вводные'!$B$88:$B$91,$B$64),"Нет")="Да")),MAX(0,SUM($D81:DG81)-DG81),0)</x:f>
      </x:c>
      <x:c r="DH83" s="107" t="n">
        <x:f>IF(AND(YEAR(DH$3)=YEAR($B$66),MONTH(DH$3)=MONTH($B$66),AND($B$63="Да",IFERROR(INDEX('Вводные'!$B$88:$B$91,$B$64),"Нет")="Да")),MAX(0,SUM($D81:DH81)-DH81),0)</x:f>
      </x:c>
      <x:c r="DI83" s="107" t="n">
        <x:f>IF(AND(YEAR(DI$3)=YEAR($B$66),MONTH(DI$3)=MONTH($B$66),AND($B$63="Да",IFERROR(INDEX('Вводные'!$B$88:$B$91,$B$64),"Нет")="Да")),MAX(0,SUM($D81:DI81)-DI81),0)</x:f>
      </x:c>
      <x:c r="DJ83" s="107" t="n">
        <x:f>IF(AND(YEAR(DJ$3)=YEAR($B$66),MONTH(DJ$3)=MONTH($B$66),AND($B$63="Да",IFERROR(INDEX('Вводные'!$B$88:$B$91,$B$64),"Нет")="Да")),MAX(0,SUM($D81:DJ81)-DJ81),0)</x:f>
      </x:c>
      <x:c r="DK83" s="107" t="n">
        <x:f>IF(AND(YEAR(DK$3)=YEAR($B$66),MONTH(DK$3)=MONTH($B$66),AND($B$63="Да",IFERROR(INDEX('Вводные'!$B$88:$B$91,$B$64),"Нет")="Да")),MAX(0,SUM($D81:DK81)-DK81),0)</x:f>
      </x:c>
      <x:c r="DL83" s="107" t="n">
        <x:f>IF(AND(YEAR(DL$3)=YEAR($B$66),MONTH(DL$3)=MONTH($B$66),AND($B$63="Да",IFERROR(INDEX('Вводные'!$B$88:$B$91,$B$64),"Нет")="Да")),MAX(0,SUM($D81:DL81)-DL81),0)</x:f>
      </x:c>
      <x:c r="DM83" s="107" t="n">
        <x:f>IF(AND(YEAR(DM$3)=YEAR($B$66),MONTH(DM$3)=MONTH($B$66),AND($B$63="Да",IFERROR(INDEX('Вводные'!$B$88:$B$91,$B$64),"Нет")="Да")),MAX(0,SUM($D81:DM81)-DM81),0)</x:f>
      </x:c>
      <x:c r="DN83" s="107" t="n">
        <x:f>IF(AND(YEAR(DN$3)=YEAR($B$66),MONTH(DN$3)=MONTH($B$66),AND($B$63="Да",IFERROR(INDEX('Вводные'!$B$88:$B$91,$B$64),"Нет")="Да")),MAX(0,SUM($D81:DN81)-DN81),0)</x:f>
      </x:c>
      <x:c r="DO83" s="107" t="n">
        <x:f>IF(AND(YEAR(DO$3)=YEAR($B$66),MONTH(DO$3)=MONTH($B$66),AND($B$63="Да",IFERROR(INDEX('Вводные'!$B$88:$B$91,$B$64),"Нет")="Да")),MAX(0,SUM($D81:DO81)-DO81),0)</x:f>
      </x:c>
      <x:c r="DP83" s="107" t="n">
        <x:f>IF(AND(YEAR(DP$3)=YEAR($B$66),MONTH(DP$3)=MONTH($B$66),AND($B$63="Да",IFERROR(INDEX('Вводные'!$B$88:$B$91,$B$64),"Нет")="Да")),MAX(0,SUM($D81:DP81)-DP81),0)</x:f>
      </x:c>
      <x:c r="DQ83" s="107" t="n">
        <x:f>IF(AND(YEAR(DQ$3)=YEAR($B$66),MONTH(DQ$3)=MONTH($B$66),AND($B$63="Да",IFERROR(INDEX('Вводные'!$B$88:$B$91,$B$64),"Нет")="Да")),MAX(0,SUM($D81:DQ81)-DQ81),0)</x:f>
      </x:c>
      <x:c r="DR83" s="107" t="n">
        <x:f>IF(AND(YEAR(DR$3)=YEAR($B$66),MONTH(DR$3)=MONTH($B$66),AND($B$63="Да",IFERROR(INDEX('Вводные'!$B$88:$B$91,$B$64),"Нет")="Да")),MAX(0,SUM($D81:DR81)-DR81),0)</x:f>
      </x:c>
      <x:c r="DS83" s="107" t="n">
        <x:f>IF(AND(YEAR(DS$3)=YEAR($B$66),MONTH(DS$3)=MONTH($B$66),AND($B$63="Да",IFERROR(INDEX('Вводные'!$B$88:$B$91,$B$64),"Нет")="Да")),MAX(0,SUM($D81:DS81)-DS81),0)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MIN(MAX(0,'Вводные'!$B$24*'Вводные'!$U$91-D30),D33)</x:f>
      </x:c>
      <x:c r="E34" s="117" t="n">
        <x:f>MIN(MAX(0,'Вводные'!$B$24*'Вводные'!$U$91-E30),E33)</x:f>
      </x:c>
      <x:c r="F34" s="117" t="n">
        <x:f>MIN(MAX(0,'Вводные'!$B$24*'Вводные'!$U$91-F30),F33)</x:f>
      </x:c>
      <x:c r="G34" s="117" t="n">
        <x:f>MIN(MAX(0,'Вводные'!$B$24*'Вводные'!$U$91-G30),G33)</x:f>
      </x:c>
      <x:c r="H34" s="117" t="n">
        <x:f>MIN(MAX(0,'Вводные'!$B$24*'Вводные'!$U$91-H30),H33)</x:f>
      </x:c>
      <x:c r="I34" s="117" t="n">
        <x:f>MIN(MAX(0,'Вводные'!$B$24*'Вводные'!$U$91-I30),I33)</x:f>
      </x:c>
      <x:c r="J34" s="117" t="n">
        <x:f>MIN(MAX(0,'Вводные'!$B$24*'Вводные'!$U$91-J30),J33)</x:f>
      </x:c>
      <x:c r="K34" s="117" t="n">
        <x:f>MIN(MAX(0,'Вводные'!$B$24*'Вводные'!$U$91-K30),K33)</x:f>
      </x:c>
      <x:c r="L34" s="117" t="n">
        <x:f>MIN(MAX(0,'Вводные'!$B$24*'Вводные'!$U$91-L30),L33)</x:f>
      </x:c>
      <x:c r="M34" s="117" t="n">
        <x:f>MIN(MAX(0,'Вводные'!$B$24*'Вводные'!$U$91-M30),M33)</x:f>
      </x:c>
      <x:c r="N34" s="117" t="n">
        <x:f>MIN(MAX(0,'Вводные'!$B$24*'Вводные'!$U$91-N30),N33)</x:f>
      </x:c>
      <x:c r="O34" s="117" t="n">
        <x:f>MIN(MAX(0,'Вводные'!$B$24*'Вводные'!$U$91-O30),O33)</x:f>
      </x:c>
      <x:c r="P34" s="117" t="n">
        <x:f>MIN(MAX(0,'Вводные'!$B$24*'Вводные'!$U$91-P30),P33)</x:f>
      </x:c>
      <x:c r="Q34" s="117" t="n">
        <x:f>MIN(MAX(0,'Вводные'!$B$24*'Вводные'!$U$91-Q30),Q33)</x:f>
      </x:c>
      <x:c r="R34" s="117" t="n">
        <x:f>MIN(MAX(0,'Вводные'!$B$24*'Вводные'!$U$91-R30),R33)</x:f>
      </x:c>
      <x:c r="S34" s="117" t="n">
        <x:f>MIN(MAX(0,'Вводные'!$B$24*'Вводные'!$U$91-S30),S33)</x:f>
      </x:c>
      <x:c r="T34" s="117" t="n">
        <x:f>MIN(MAX(0,'Вводные'!$B$24*'Вводные'!$U$91-T30),T33)</x:f>
      </x:c>
      <x:c r="U34" s="117" t="n">
        <x:f>MIN(MAX(0,'Вводные'!$B$24*'Вводные'!$U$91-U30),U33)</x:f>
      </x:c>
      <x:c r="V34" s="117" t="n">
        <x:f>MIN(MAX(0,'Вводные'!$B$24*'Вводные'!$U$91-V30),V33)</x:f>
      </x:c>
      <x:c r="W34" s="117" t="n">
        <x:f>MIN(MAX(0,'Вводные'!$B$24*'Вводные'!$U$91-W30),W33)</x:f>
      </x:c>
      <x:c r="X34" s="117" t="n">
        <x:f>MIN(MAX(0,'Вводные'!$B$24*'Вводные'!$U$91-X30),X33)</x:f>
      </x:c>
      <x:c r="Y34" s="117" t="n">
        <x:f>MIN(MAX(0,'Вводные'!$B$24*'Вводные'!$U$91-Y30),Y33)</x:f>
      </x:c>
      <x:c r="Z34" s="117" t="n">
        <x:f>MIN(MAX(0,'Вводные'!$B$24*'Вводные'!$U$91-Z30),Z33)</x:f>
      </x:c>
      <x:c r="AA34" s="117" t="n">
        <x:f>MIN(MAX(0,'Вводные'!$B$24*'Вводные'!$U$91-AA30),AA33)</x:f>
      </x:c>
      <x:c r="AB34" s="117" t="n">
        <x:f>MIN(MAX(0,'Вводные'!$B$24*'Вводные'!$U$91-AB30),AB33)</x:f>
      </x:c>
      <x:c r="AC34" s="117" t="n">
        <x:f>MIN(MAX(0,'Вводные'!$B$24*'Вводные'!$U$91-AC30),AC33)</x:f>
      </x:c>
      <x:c r="AD34" s="117" t="n">
        <x:f>MIN(MAX(0,'Вводные'!$B$24*'Вводные'!$U$91-AD30),AD33)</x:f>
      </x:c>
      <x:c r="AE34" s="117" t="n">
        <x:f>MIN(MAX(0,'Вводные'!$B$24*'Вводные'!$U$91-AE30),AE33)</x:f>
      </x:c>
      <x:c r="AF34" s="117" t="n">
        <x:f>MIN(MAX(0,'Вводные'!$B$24*'Вводные'!$U$91-AF30),AF33)</x:f>
      </x:c>
      <x:c r="AG34" s="117" t="n">
        <x:f>MIN(MAX(0,'Вводные'!$B$24*'Вводные'!$U$91-AG30),AG33)</x:f>
      </x:c>
      <x:c r="AH34" s="117" t="n">
        <x:f>MIN(MAX(0,'Вводные'!$B$24*'Вводные'!$U$91-AH30),AH33)</x:f>
      </x:c>
      <x:c r="AI34" s="117" t="n">
        <x:f>MIN(MAX(0,'Вводные'!$B$24*'Вводные'!$U$91-AI30),AI33)</x:f>
      </x:c>
      <x:c r="AJ34" s="117" t="n">
        <x:f>MIN(MAX(0,'Вводные'!$B$24*'Вводные'!$U$91-AJ30),AJ33)</x:f>
      </x:c>
      <x:c r="AK34" s="117" t="n">
        <x:f>MIN(MAX(0,'Вводные'!$B$24*'Вводные'!$U$91-AK30),AK33)</x:f>
      </x:c>
      <x:c r="AL34" s="117" t="n">
        <x:f>MIN(MAX(0,'Вводные'!$B$24*'Вводные'!$U$91-AL30),AL33)</x:f>
      </x:c>
      <x:c r="AM34" s="117" t="n">
        <x:f>MIN(MAX(0,'Вводные'!$B$24*'Вводные'!$U$91-AM30),AM33)</x:f>
      </x:c>
      <x:c r="AN34" s="117" t="n">
        <x:f>MIN(MAX(0,'Вводные'!$B$24*'Вводные'!$U$91-AN30),AN33)</x:f>
      </x:c>
      <x:c r="AO34" s="117" t="n">
        <x:f>MIN(MAX(0,'Вводные'!$B$24*'Вводные'!$U$91-AO30),AO33)</x:f>
      </x:c>
      <x:c r="AP34" s="117" t="n">
        <x:f>MIN(MAX(0,'Вводные'!$B$24*'Вводные'!$U$91-AP30),AP33)</x:f>
      </x:c>
      <x:c r="AQ34" s="117" t="n">
        <x:f>MIN(MAX(0,'Вводные'!$B$24*'Вводные'!$U$91-AQ30),AQ33)</x:f>
      </x:c>
      <x:c r="AR34" s="117" t="n">
        <x:f>MIN(MAX(0,'Вводные'!$B$24*'Вводные'!$U$91-AR30),AR33)</x:f>
      </x:c>
      <x:c r="AS34" s="117" t="n">
        <x:f>MIN(MAX(0,'Вводные'!$B$24*'Вводные'!$U$91-AS30),AS33)</x:f>
      </x:c>
      <x:c r="AT34" s="117" t="n">
        <x:f>MIN(MAX(0,'Вводные'!$B$24*'Вводные'!$U$91-AT30),AT33)</x:f>
      </x:c>
      <x:c r="AU34" s="117" t="n">
        <x:f>MIN(MAX(0,'Вводные'!$B$24*'Вводные'!$U$91-AU30),AU33)</x:f>
      </x:c>
      <x:c r="AV34" s="117" t="n">
        <x:f>MIN(MAX(0,'Вводные'!$B$24*'Вводные'!$U$91-AV30),AV33)</x:f>
      </x:c>
      <x:c r="AW34" s="117" t="n">
        <x:f>MIN(MAX(0,'Вводные'!$B$24*'Вводные'!$U$91-AW30),AW33)</x:f>
      </x:c>
      <x:c r="AX34" s="117" t="n">
        <x:f>MIN(MAX(0,'Вводные'!$B$24*'Вводные'!$U$91-AX30),AX33)</x:f>
      </x:c>
      <x:c r="AY34" s="117" t="n">
        <x:f>MIN(MAX(0,'Вводные'!$B$24*'Вводные'!$U$91-AY30),AY33)</x:f>
      </x:c>
      <x:c r="AZ34" s="117" t="n">
        <x:f>MIN(MAX(0,'Вводные'!$B$24*'Вводные'!$U$91-AZ30),AZ33)</x:f>
      </x:c>
      <x:c r="BA34" s="117" t="n">
        <x:f>MIN(MAX(0,'Вводные'!$B$24*'Вводные'!$U$91-BA30),BA33)</x:f>
      </x:c>
      <x:c r="BB34" s="117" t="n">
        <x:f>MIN(MAX(0,'Вводные'!$B$24*'Вводные'!$U$91-BB30),BB33)</x:f>
      </x:c>
      <x:c r="BC34" s="117" t="n">
        <x:f>MIN(MAX(0,'Вводные'!$B$24*'Вводные'!$U$91-BC30),BC33)</x:f>
      </x:c>
      <x:c r="BD34" s="117" t="n">
        <x:f>MIN(MAX(0,'Вводные'!$B$24*'Вводные'!$U$91-BD30),BD33)</x:f>
      </x:c>
      <x:c r="BE34" s="117" t="n">
        <x:f>MIN(MAX(0,'Вводные'!$B$24*'Вводные'!$U$91-BE30),BE33)</x:f>
      </x:c>
      <x:c r="BF34" s="117" t="n">
        <x:f>MIN(MAX(0,'Вводные'!$B$24*'Вводные'!$U$91-BF30),BF33)</x:f>
      </x:c>
      <x:c r="BG34" s="117" t="n">
        <x:f>MIN(MAX(0,'Вводные'!$B$24*'Вводные'!$U$91-BG30),BG33)</x:f>
      </x:c>
      <x:c r="BH34" s="117" t="n">
        <x:f>MIN(MAX(0,'Вводные'!$B$24*'Вводные'!$U$91-BH30),BH33)</x:f>
      </x:c>
      <x:c r="BI34" s="117" t="n">
        <x:f>MIN(MAX(0,'Вводные'!$B$24*'Вводные'!$U$91-BI30),BI33)</x:f>
      </x:c>
      <x:c r="BJ34" s="117" t="n">
        <x:f>MIN(MAX(0,'Вводные'!$B$24*'Вводные'!$U$91-BJ30),BJ33)</x:f>
      </x:c>
      <x:c r="BK34" s="117" t="n">
        <x:f>MIN(MAX(0,'Вводные'!$B$24*'Вводные'!$U$91-BK30),BK33)</x:f>
      </x:c>
      <x:c r="BL34" s="117" t="n">
        <x:f>MIN(MAX(0,'Вводные'!$B$24*'Вводные'!$U$91-BL30),BL33)</x:f>
      </x:c>
      <x:c r="BM34" s="117" t="n">
        <x:f>MIN(MAX(0,'Вводные'!$B$24*'Вводные'!$U$91-BM30),BM33)</x:f>
      </x:c>
      <x:c r="BN34" s="117" t="n">
        <x:f>MIN(MAX(0,'Вводные'!$B$24*'Вводные'!$U$91-BN30),BN33)</x:f>
      </x:c>
      <x:c r="BO34" s="117" t="n">
        <x:f>MIN(MAX(0,'Вводные'!$B$24*'Вводные'!$U$91-BO30),BO33)</x:f>
      </x:c>
      <x:c r="BP34" s="117" t="n">
        <x:f>MIN(MAX(0,'Вводные'!$B$24*'Вводные'!$U$91-BP30),BP33)</x:f>
      </x:c>
      <x:c r="BQ34" s="117" t="n">
        <x:f>MIN(MAX(0,'Вводные'!$B$24*'Вводные'!$U$91-BQ30),BQ33)</x:f>
      </x:c>
      <x:c r="BR34" s="117" t="n">
        <x:f>MIN(MAX(0,'Вводные'!$B$24*'Вводные'!$U$91-BR30),BR33)</x:f>
      </x:c>
      <x:c r="BS34" s="117" t="n">
        <x:f>MIN(MAX(0,'Вводные'!$B$24*'Вводные'!$U$91-BS30),BS33)</x:f>
      </x:c>
      <x:c r="BT34" s="117" t="n">
        <x:f>MIN(MAX(0,'Вводные'!$B$24*'Вводные'!$U$91-BT30),BT33)</x:f>
      </x:c>
      <x:c r="BU34" s="117" t="n">
        <x:f>MIN(MAX(0,'Вводные'!$B$24*'Вводные'!$U$91-BU30),BU33)</x:f>
      </x:c>
      <x:c r="BV34" s="117" t="n">
        <x:f>MIN(MAX(0,'Вводные'!$B$24*'Вводные'!$U$91-BV30),BV33)</x:f>
      </x:c>
      <x:c r="BW34" s="117" t="n">
        <x:f>MIN(MAX(0,'Вводные'!$B$24*'Вводные'!$U$91-BW30),BW33)</x:f>
      </x:c>
      <x:c r="BX34" s="117" t="n">
        <x:f>MIN(MAX(0,'Вводные'!$B$24*'Вводные'!$U$91-BX30),BX33)</x:f>
      </x:c>
      <x:c r="BY34" s="117" t="n">
        <x:f>MIN(MAX(0,'Вводные'!$B$24*'Вводные'!$U$91-BY30),BY33)</x:f>
      </x:c>
      <x:c r="BZ34" s="117" t="n">
        <x:f>MIN(MAX(0,'Вводные'!$B$24*'Вводные'!$U$91-BZ30),BZ33)</x:f>
      </x:c>
      <x:c r="CA34" s="117" t="n">
        <x:f>MIN(MAX(0,'Вводные'!$B$24*'Вводные'!$U$91-CA30),CA33)</x:f>
      </x:c>
      <x:c r="CB34" s="117" t="n">
        <x:f>MIN(MAX(0,'Вводные'!$B$24*'Вводные'!$U$91-CB30),CB33)</x:f>
      </x:c>
      <x:c r="CC34" s="117" t="n">
        <x:f>MIN(MAX(0,'Вводные'!$B$24*'Вводные'!$U$91-CC30),CC33)</x:f>
      </x:c>
      <x:c r="CD34" s="117" t="n">
        <x:f>MIN(MAX(0,'Вводные'!$B$24*'Вводные'!$U$91-CD30),CD33)</x:f>
      </x:c>
      <x:c r="CE34" s="117" t="n">
        <x:f>MIN(MAX(0,'Вводные'!$B$24*'Вводные'!$U$91-CE30),CE33)</x:f>
      </x:c>
      <x:c r="CF34" s="117" t="n">
        <x:f>MIN(MAX(0,'Вводные'!$B$24*'Вводные'!$U$91-CF30),CF33)</x:f>
      </x:c>
      <x:c r="CG34" s="117" t="n">
        <x:f>MIN(MAX(0,'Вводные'!$B$24*'Вводные'!$U$91-CG30),CG33)</x:f>
      </x:c>
      <x:c r="CH34" s="117" t="n">
        <x:f>MIN(MAX(0,'Вводные'!$B$24*'Вводные'!$U$91-CH30),CH33)</x:f>
      </x:c>
      <x:c r="CI34" s="117" t="n">
        <x:f>MIN(MAX(0,'Вводные'!$B$24*'Вводные'!$U$91-CI30),CI33)</x:f>
      </x:c>
      <x:c r="CJ34" s="117" t="n">
        <x:f>MIN(MAX(0,'Вводные'!$B$24*'Вводные'!$U$91-CJ30),CJ33)</x:f>
      </x:c>
      <x:c r="CK34" s="117" t="n">
        <x:f>MIN(MAX(0,'Вводные'!$B$24*'Вводные'!$U$91-CK30),CK33)</x:f>
      </x:c>
      <x:c r="CL34" s="117" t="n">
        <x:f>MIN(MAX(0,'Вводные'!$B$24*'Вводные'!$U$91-CL30),CL33)</x:f>
      </x:c>
      <x:c r="CM34" s="117" t="n">
        <x:f>MIN(MAX(0,'Вводные'!$B$24*'Вводные'!$U$91-CM30),CM33)</x:f>
      </x:c>
      <x:c r="CN34" s="117" t="n">
        <x:f>MIN(MAX(0,'Вводные'!$B$24*'Вводные'!$U$91-CN30),CN33)</x:f>
      </x:c>
      <x:c r="CO34" s="117" t="n">
        <x:f>MIN(MAX(0,'Вводные'!$B$24*'Вводные'!$U$91-CO30),CO33)</x:f>
      </x:c>
      <x:c r="CP34" s="117" t="n">
        <x:f>MIN(MAX(0,'Вводные'!$B$24*'Вводные'!$U$91-CP30),CP33)</x:f>
      </x:c>
      <x:c r="CQ34" s="117" t="n">
        <x:f>MIN(MAX(0,'Вводные'!$B$24*'Вводные'!$U$91-CQ30),CQ33)</x:f>
      </x:c>
      <x:c r="CR34" s="117" t="n">
        <x:f>MIN(MAX(0,'Вводные'!$B$24*'Вводные'!$U$91-CR30),CR33)</x:f>
      </x:c>
      <x:c r="CS34" s="117" t="n">
        <x:f>MIN(MAX(0,'Вводные'!$B$24*'Вводные'!$U$91-CS30),CS33)</x:f>
      </x:c>
      <x:c r="CT34" s="117" t="n">
        <x:f>MIN(MAX(0,'Вводные'!$B$24*'Вводные'!$U$91-CT30),CT33)</x:f>
      </x:c>
      <x:c r="CU34" s="117" t="n">
        <x:f>MIN(MAX(0,'Вводные'!$B$24*'Вводные'!$U$91-CU30),CU33)</x:f>
      </x:c>
      <x:c r="CV34" s="117" t="n">
        <x:f>MIN(MAX(0,'Вводные'!$B$24*'Вводные'!$U$91-CV30),CV33)</x:f>
      </x:c>
      <x:c r="CW34" s="117" t="n">
        <x:f>MIN(MAX(0,'Вводные'!$B$24*'Вводные'!$U$91-CW30),CW33)</x:f>
      </x:c>
      <x:c r="CX34" s="117" t="n">
        <x:f>MIN(MAX(0,'Вводные'!$B$24*'Вводные'!$U$91-CX30),CX33)</x:f>
      </x:c>
      <x:c r="CY34" s="117" t="n">
        <x:f>MIN(MAX(0,'Вводные'!$B$24*'Вводные'!$U$91-CY30),CY33)</x:f>
      </x:c>
      <x:c r="CZ34" s="117" t="n">
        <x:f>MIN(MAX(0,'Вводные'!$B$24*'Вводные'!$U$91-CZ30),CZ33)</x:f>
      </x:c>
      <x:c r="DA34" s="117" t="n">
        <x:f>MIN(MAX(0,'Вводные'!$B$24*'Вводные'!$U$91-DA30),DA33)</x:f>
      </x:c>
      <x:c r="DB34" s="117" t="n">
        <x:f>MIN(MAX(0,'Вводные'!$B$24*'Вводные'!$U$91-DB30),DB33)</x:f>
      </x:c>
      <x:c r="DC34" s="117" t="n">
        <x:f>MIN(MAX(0,'Вводные'!$B$24*'Вводные'!$U$91-DC30),DC33)</x:f>
      </x:c>
      <x:c r="DD34" s="117" t="n">
        <x:f>MIN(MAX(0,'Вводные'!$B$24*'Вводные'!$U$91-DD30),DD33)</x:f>
      </x:c>
      <x:c r="DE34" s="117" t="n">
        <x:f>MIN(MAX(0,'Вводные'!$B$24*'Вводные'!$U$91-DE30),DE33)</x:f>
      </x:c>
      <x:c r="DF34" s="117" t="n">
        <x:f>MIN(MAX(0,'Вводные'!$B$24*'Вводные'!$U$91-DF30),DF33)</x:f>
      </x:c>
      <x:c r="DG34" s="117" t="n">
        <x:f>MIN(MAX(0,'Вводные'!$B$24*'Вводные'!$U$91-DG30),DG33)</x:f>
      </x:c>
      <x:c r="DH34" s="117" t="n">
        <x:f>MIN(MAX(0,'Вводные'!$B$24*'Вводные'!$U$91-DH30),DH33)</x:f>
      </x:c>
      <x:c r="DI34" s="117" t="n">
        <x:f>MIN(MAX(0,'Вводные'!$B$24*'Вводные'!$U$91-DI30),DI33)</x:f>
      </x:c>
      <x:c r="DJ34" s="117" t="n">
        <x:f>MIN(MAX(0,'Вводные'!$B$24*'Вводные'!$U$91-DJ30),DJ33)</x:f>
      </x:c>
      <x:c r="DK34" s="117" t="n">
        <x:f>MIN(MAX(0,'Вводные'!$B$24*'Вводные'!$U$91-DK30),DK33)</x:f>
      </x:c>
      <x:c r="DL34" s="117" t="n">
        <x:f>MIN(MAX(0,'Вводные'!$B$24*'Вводные'!$U$91-DL30),DL33)</x:f>
      </x:c>
      <x:c r="DM34" s="117" t="n">
        <x:f>MIN(MAX(0,'Вводные'!$B$24*'Вводные'!$U$91-DM30),DM33)</x:f>
      </x:c>
      <x:c r="DN34" s="117" t="n">
        <x:f>MIN(MAX(0,'Вводные'!$B$24*'Вводные'!$U$91-DN30),DN33)</x:f>
      </x:c>
      <x:c r="DO34" s="117" t="n">
        <x:f>MIN(MAX(0,'Вводные'!$B$24*'Вводные'!$U$91-DO30),DO33)</x:f>
      </x:c>
      <x:c r="DP34" s="117" t="n">
        <x:f>MIN(MAX(0,'Вводные'!$B$24*'Вводные'!$U$91-DP30),DP33)</x:f>
      </x:c>
      <x:c r="DQ34" s="117" t="n">
        <x:f>MIN(MAX(0,'Вводные'!$B$24*'Вводные'!$U$91-DQ30),DQ33)</x:f>
      </x:c>
      <x:c r="DR34" s="117" t="n">
        <x:f>MIN(MAX(0,'Вводные'!$B$24*'Вводные'!$U$91-DR30),DR33)</x:f>
      </x:c>
      <x:c r="DS34" s="117" t="n">
        <x:f>MIN(MAX(0,'Вводные'!$B$24*'Вводные'!$U$91-DS30),DS33)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IF(AND(D38&gt;0,D$3&lt;EDATE($B$8,'Вводные'!$H$91)),D38*D41/12,0)</x:f>
      </x:c>
      <x:c r="E42" s="117" t="n">
        <x:f>IF(AND(E38&gt;0,E$3&lt;EDATE($B$8,'Вводные'!$H$91)),E38*E41/12,0)</x:f>
      </x:c>
      <x:c r="F42" s="117" t="n">
        <x:f>IF(AND(F38&gt;0,F$3&lt;EDATE($B$8,'Вводные'!$H$91)),F38*F41/12,0)</x:f>
      </x:c>
      <x:c r="G42" s="117" t="n">
        <x:f>IF(AND(G38&gt;0,G$3&lt;EDATE($B$8,'Вводные'!$H$91)),G38*G41/12,0)</x:f>
      </x:c>
      <x:c r="H42" s="117" t="n">
        <x:f>IF(AND(H38&gt;0,H$3&lt;EDATE($B$8,'Вводные'!$H$91)),H38*H41/12,0)</x:f>
      </x:c>
      <x:c r="I42" s="117" t="n">
        <x:f>IF(AND(I38&gt;0,I$3&lt;EDATE($B$8,'Вводные'!$H$91)),I38*I41/12,0)</x:f>
      </x:c>
      <x:c r="J42" s="117" t="n">
        <x:f>IF(AND(J38&gt;0,J$3&lt;EDATE($B$8,'Вводные'!$H$91)),J38*J41/12,0)</x:f>
      </x:c>
      <x:c r="K42" s="117" t="n">
        <x:f>IF(AND(K38&gt;0,K$3&lt;EDATE($B$8,'Вводные'!$H$91)),K38*K41/12,0)</x:f>
      </x:c>
      <x:c r="L42" s="117" t="n">
        <x:f>IF(AND(L38&gt;0,L$3&lt;EDATE($B$8,'Вводные'!$H$91)),L38*L41/12,0)</x:f>
      </x:c>
      <x:c r="M42" s="117" t="n">
        <x:f>IF(AND(M38&gt;0,M$3&lt;EDATE($B$8,'Вводные'!$H$91)),M38*M41/12,0)</x:f>
      </x:c>
      <x:c r="N42" s="117" t="n">
        <x:f>IF(AND(N38&gt;0,N$3&lt;EDATE($B$8,'Вводные'!$H$91)),N38*N41/12,0)</x:f>
      </x:c>
      <x:c r="O42" s="117" t="n">
        <x:f>IF(AND(O38&gt;0,O$3&lt;EDATE($B$8,'Вводные'!$H$91)),O38*O41/12,0)</x:f>
      </x:c>
      <x:c r="P42" s="117" t="n">
        <x:f>IF(AND(P38&gt;0,P$3&lt;EDATE($B$8,'Вводные'!$H$91)),P38*P41/12,0)</x:f>
      </x:c>
      <x:c r="Q42" s="117" t="n">
        <x:f>IF(AND(Q38&gt;0,Q$3&lt;EDATE($B$8,'Вводные'!$H$91)),Q38*Q41/12,0)</x:f>
      </x:c>
      <x:c r="R42" s="117" t="n">
        <x:f>IF(AND(R38&gt;0,R$3&lt;EDATE($B$8,'Вводные'!$H$91)),R38*R41/12,0)</x:f>
      </x:c>
      <x:c r="S42" s="117" t="n">
        <x:f>IF(AND(S38&gt;0,S$3&lt;EDATE($B$8,'Вводные'!$H$91)),S38*S41/12,0)</x:f>
      </x:c>
      <x:c r="T42" s="117" t="n">
        <x:f>IF(AND(T38&gt;0,T$3&lt;EDATE($B$8,'Вводные'!$H$91)),T38*T41/12,0)</x:f>
      </x:c>
      <x:c r="U42" s="117" t="n">
        <x:f>IF(AND(U38&gt;0,U$3&lt;EDATE($B$8,'Вводные'!$H$91)),U38*U41/12,0)</x:f>
      </x:c>
      <x:c r="V42" s="117" t="n">
        <x:f>IF(AND(V38&gt;0,V$3&lt;EDATE($B$8,'Вводные'!$H$91)),V38*V41/12,0)</x:f>
      </x:c>
      <x:c r="W42" s="117" t="n">
        <x:f>IF(AND(W38&gt;0,W$3&lt;EDATE($B$8,'Вводные'!$H$91)),W38*W41/12,0)</x:f>
      </x:c>
      <x:c r="X42" s="117" t="n">
        <x:f>IF(AND(X38&gt;0,X$3&lt;EDATE($B$8,'Вводные'!$H$91)),X38*X41/12,0)</x:f>
      </x:c>
      <x:c r="Y42" s="117" t="n">
        <x:f>IF(AND(Y38&gt;0,Y$3&lt;EDATE($B$8,'Вводные'!$H$91)),Y38*Y41/12,0)</x:f>
      </x:c>
      <x:c r="Z42" s="117" t="n">
        <x:f>IF(AND(Z38&gt;0,Z$3&lt;EDATE($B$8,'Вводные'!$H$91)),Z38*Z41/12,0)</x:f>
      </x:c>
      <x:c r="AA42" s="117" t="n">
        <x:f>IF(AND(AA38&gt;0,AA$3&lt;EDATE($B$8,'Вводные'!$H$91)),AA38*AA41/12,0)</x:f>
      </x:c>
      <x:c r="AB42" s="117" t="n">
        <x:f>IF(AND(AB38&gt;0,AB$3&lt;EDATE($B$8,'Вводные'!$H$91)),AB38*AB41/12,0)</x:f>
      </x:c>
      <x:c r="AC42" s="117" t="n">
        <x:f>IF(AND(AC38&gt;0,AC$3&lt;EDATE($B$8,'Вводные'!$H$91)),AC38*AC41/12,0)</x:f>
      </x:c>
      <x:c r="AD42" s="117" t="n">
        <x:f>IF(AND(AD38&gt;0,AD$3&lt;EDATE($B$8,'Вводные'!$H$91)),AD38*AD41/12,0)</x:f>
      </x:c>
      <x:c r="AE42" s="117" t="n">
        <x:f>IF(AND(AE38&gt;0,AE$3&lt;EDATE($B$8,'Вводные'!$H$91)),AE38*AE41/12,0)</x:f>
      </x:c>
      <x:c r="AF42" s="117" t="n">
        <x:f>IF(AND(AF38&gt;0,AF$3&lt;EDATE($B$8,'Вводные'!$H$91)),AF38*AF41/12,0)</x:f>
      </x:c>
      <x:c r="AG42" s="117" t="n">
        <x:f>IF(AND(AG38&gt;0,AG$3&lt;EDATE($B$8,'Вводные'!$H$91)),AG38*AG41/12,0)</x:f>
      </x:c>
      <x:c r="AH42" s="117" t="n">
        <x:f>IF(AND(AH38&gt;0,AH$3&lt;EDATE($B$8,'Вводные'!$H$91)),AH38*AH41/12,0)</x:f>
      </x:c>
      <x:c r="AI42" s="117" t="n">
        <x:f>IF(AND(AI38&gt;0,AI$3&lt;EDATE($B$8,'Вводные'!$H$91)),AI38*AI41/12,0)</x:f>
      </x:c>
      <x:c r="AJ42" s="117" t="n">
        <x:f>IF(AND(AJ38&gt;0,AJ$3&lt;EDATE($B$8,'Вводные'!$H$91)),AJ38*AJ41/12,0)</x:f>
      </x:c>
      <x:c r="AK42" s="117" t="n">
        <x:f>IF(AND(AK38&gt;0,AK$3&lt;EDATE($B$8,'Вводные'!$H$91)),AK38*AK41/12,0)</x:f>
      </x:c>
      <x:c r="AL42" s="117" t="n">
        <x:f>IF(AND(AL38&gt;0,AL$3&lt;EDATE($B$8,'Вводные'!$H$91)),AL38*AL41/12,0)</x:f>
      </x:c>
      <x:c r="AM42" s="117" t="n">
        <x:f>IF(AND(AM38&gt;0,AM$3&lt;EDATE($B$8,'Вводные'!$H$91)),AM38*AM41/12,0)</x:f>
      </x:c>
      <x:c r="AN42" s="117" t="n">
        <x:f>IF(AND(AN38&gt;0,AN$3&lt;EDATE($B$8,'Вводные'!$H$91)),AN38*AN41/12,0)</x:f>
      </x:c>
      <x:c r="AO42" s="117" t="n">
        <x:f>IF(AND(AO38&gt;0,AO$3&lt;EDATE($B$8,'Вводные'!$H$91)),AO38*AO41/12,0)</x:f>
      </x:c>
      <x:c r="AP42" s="117" t="n">
        <x:f>IF(AND(AP38&gt;0,AP$3&lt;EDATE($B$8,'Вводные'!$H$91)),AP38*AP41/12,0)</x:f>
      </x:c>
      <x:c r="AQ42" s="117" t="n">
        <x:f>IF(AND(AQ38&gt;0,AQ$3&lt;EDATE($B$8,'Вводные'!$H$91)),AQ38*AQ41/12,0)</x:f>
      </x:c>
      <x:c r="AR42" s="117" t="n">
        <x:f>IF(AND(AR38&gt;0,AR$3&lt;EDATE($B$8,'Вводные'!$H$91)),AR38*AR41/12,0)</x:f>
      </x:c>
      <x:c r="AS42" s="117" t="n">
        <x:f>IF(AND(AS38&gt;0,AS$3&lt;EDATE($B$8,'Вводные'!$H$91)),AS38*AS41/12,0)</x:f>
      </x:c>
      <x:c r="AT42" s="117" t="n">
        <x:f>IF(AND(AT38&gt;0,AT$3&lt;EDATE($B$8,'Вводные'!$H$91)),AT38*AT41/12,0)</x:f>
      </x:c>
      <x:c r="AU42" s="117" t="n">
        <x:f>IF(AND(AU38&gt;0,AU$3&lt;EDATE($B$8,'Вводные'!$H$91)),AU38*AU41/12,0)</x:f>
      </x:c>
      <x:c r="AV42" s="117" t="n">
        <x:f>IF(AND(AV38&gt;0,AV$3&lt;EDATE($B$8,'Вводные'!$H$91)),AV38*AV41/12,0)</x:f>
      </x:c>
      <x:c r="AW42" s="117" t="n">
        <x:f>IF(AND(AW38&gt;0,AW$3&lt;EDATE($B$8,'Вводные'!$H$91)),AW38*AW41/12,0)</x:f>
      </x:c>
      <x:c r="AX42" s="117" t="n">
        <x:f>IF(AND(AX38&gt;0,AX$3&lt;EDATE($B$8,'Вводные'!$H$91)),AX38*AX41/12,0)</x:f>
      </x:c>
      <x:c r="AY42" s="117" t="n">
        <x:f>IF(AND(AY38&gt;0,AY$3&lt;EDATE($B$8,'Вводные'!$H$91)),AY38*AY41/12,0)</x:f>
      </x:c>
      <x:c r="AZ42" s="117" t="n">
        <x:f>IF(AND(AZ38&gt;0,AZ$3&lt;EDATE($B$8,'Вводные'!$H$91)),AZ38*AZ41/12,0)</x:f>
      </x:c>
      <x:c r="BA42" s="117" t="n">
        <x:f>IF(AND(BA38&gt;0,BA$3&lt;EDATE($B$8,'Вводные'!$H$91)),BA38*BA41/12,0)</x:f>
      </x:c>
      <x:c r="BB42" s="117" t="n">
        <x:f>IF(AND(BB38&gt;0,BB$3&lt;EDATE($B$8,'Вводные'!$H$91)),BB38*BB41/12,0)</x:f>
      </x:c>
      <x:c r="BC42" s="117" t="n">
        <x:f>IF(AND(BC38&gt;0,BC$3&lt;EDATE($B$8,'Вводные'!$H$91)),BC38*BC41/12,0)</x:f>
      </x:c>
      <x:c r="BD42" s="117" t="n">
        <x:f>IF(AND(BD38&gt;0,BD$3&lt;EDATE($B$8,'Вводные'!$H$91)),BD38*BD41/12,0)</x:f>
      </x:c>
      <x:c r="BE42" s="117" t="n">
        <x:f>IF(AND(BE38&gt;0,BE$3&lt;EDATE($B$8,'Вводные'!$H$91)),BE38*BE41/12,0)</x:f>
      </x:c>
      <x:c r="BF42" s="117" t="n">
        <x:f>IF(AND(BF38&gt;0,BF$3&lt;EDATE($B$8,'Вводные'!$H$91)),BF38*BF41/12,0)</x:f>
      </x:c>
      <x:c r="BG42" s="117" t="n">
        <x:f>IF(AND(BG38&gt;0,BG$3&lt;EDATE($B$8,'Вводные'!$H$91)),BG38*BG41/12,0)</x:f>
      </x:c>
      <x:c r="BH42" s="117" t="n">
        <x:f>IF(AND(BH38&gt;0,BH$3&lt;EDATE($B$8,'Вводные'!$H$91)),BH38*BH41/12,0)</x:f>
      </x:c>
      <x:c r="BI42" s="117" t="n">
        <x:f>IF(AND(BI38&gt;0,BI$3&lt;EDATE($B$8,'Вводные'!$H$91)),BI38*BI41/12,0)</x:f>
      </x:c>
      <x:c r="BJ42" s="117" t="n">
        <x:f>IF(AND(BJ38&gt;0,BJ$3&lt;EDATE($B$8,'Вводные'!$H$91)),BJ38*BJ41/12,0)</x:f>
      </x:c>
      <x:c r="BK42" s="117" t="n">
        <x:f>IF(AND(BK38&gt;0,BK$3&lt;EDATE($B$8,'Вводные'!$H$91)),BK38*BK41/12,0)</x:f>
      </x:c>
      <x:c r="BL42" s="117" t="n">
        <x:f>IF(AND(BL38&gt;0,BL$3&lt;EDATE($B$8,'Вводные'!$H$91)),BL38*BL41/12,0)</x:f>
      </x:c>
      <x:c r="BM42" s="117" t="n">
        <x:f>IF(AND(BM38&gt;0,BM$3&lt;EDATE($B$8,'Вводные'!$H$91)),BM38*BM41/12,0)</x:f>
      </x:c>
      <x:c r="BN42" s="117" t="n">
        <x:f>IF(AND(BN38&gt;0,BN$3&lt;EDATE($B$8,'Вводные'!$H$91)),BN38*BN41/12,0)</x:f>
      </x:c>
      <x:c r="BO42" s="117" t="n">
        <x:f>IF(AND(BO38&gt;0,BO$3&lt;EDATE($B$8,'Вводные'!$H$91)),BO38*BO41/12,0)</x:f>
      </x:c>
      <x:c r="BP42" s="117" t="n">
        <x:f>IF(AND(BP38&gt;0,BP$3&lt;EDATE($B$8,'Вводные'!$H$91)),BP38*BP41/12,0)</x:f>
      </x:c>
      <x:c r="BQ42" s="117" t="n">
        <x:f>IF(AND(BQ38&gt;0,BQ$3&lt;EDATE($B$8,'Вводные'!$H$91)),BQ38*BQ41/12,0)</x:f>
      </x:c>
      <x:c r="BR42" s="117" t="n">
        <x:f>IF(AND(BR38&gt;0,BR$3&lt;EDATE($B$8,'Вводные'!$H$91)),BR38*BR41/12,0)</x:f>
      </x:c>
      <x:c r="BS42" s="117" t="n">
        <x:f>IF(AND(BS38&gt;0,BS$3&lt;EDATE($B$8,'Вводные'!$H$91)),BS38*BS41/12,0)</x:f>
      </x:c>
      <x:c r="BT42" s="117" t="n">
        <x:f>IF(AND(BT38&gt;0,BT$3&lt;EDATE($B$8,'Вводные'!$H$91)),BT38*BT41/12,0)</x:f>
      </x:c>
      <x:c r="BU42" s="117" t="n">
        <x:f>IF(AND(BU38&gt;0,BU$3&lt;EDATE($B$8,'Вводные'!$H$91)),BU38*BU41/12,0)</x:f>
      </x:c>
      <x:c r="BV42" s="117" t="n">
        <x:f>IF(AND(BV38&gt;0,BV$3&lt;EDATE($B$8,'Вводные'!$H$91)),BV38*BV41/12,0)</x:f>
      </x:c>
      <x:c r="BW42" s="117" t="n">
        <x:f>IF(AND(BW38&gt;0,BW$3&lt;EDATE($B$8,'Вводные'!$H$91)),BW38*BW41/12,0)</x:f>
      </x:c>
      <x:c r="BX42" s="117" t="n">
        <x:f>IF(AND(BX38&gt;0,BX$3&lt;EDATE($B$8,'Вводные'!$H$91)),BX38*BX41/12,0)</x:f>
      </x:c>
      <x:c r="BY42" s="117" t="n">
        <x:f>IF(AND(BY38&gt;0,BY$3&lt;EDATE($B$8,'Вводные'!$H$91)),BY38*BY41/12,0)</x:f>
      </x:c>
      <x:c r="BZ42" s="117" t="n">
        <x:f>IF(AND(BZ38&gt;0,BZ$3&lt;EDATE($B$8,'Вводные'!$H$91)),BZ38*BZ41/12,0)</x:f>
      </x:c>
      <x:c r="CA42" s="117" t="n">
        <x:f>IF(AND(CA38&gt;0,CA$3&lt;EDATE($B$8,'Вводные'!$H$91)),CA38*CA41/12,0)</x:f>
      </x:c>
      <x:c r="CB42" s="117" t="n">
        <x:f>IF(AND(CB38&gt;0,CB$3&lt;EDATE($B$8,'Вводные'!$H$91)),CB38*CB41/12,0)</x:f>
      </x:c>
      <x:c r="CC42" s="117" t="n">
        <x:f>IF(AND(CC38&gt;0,CC$3&lt;EDATE($B$8,'Вводные'!$H$91)),CC38*CC41/12,0)</x:f>
      </x:c>
      <x:c r="CD42" s="117" t="n">
        <x:f>IF(AND(CD38&gt;0,CD$3&lt;EDATE($B$8,'Вводные'!$H$91)),CD38*CD41/12,0)</x:f>
      </x:c>
      <x:c r="CE42" s="117" t="n">
        <x:f>IF(AND(CE38&gt;0,CE$3&lt;EDATE($B$8,'Вводные'!$H$91)),CE38*CE41/12,0)</x:f>
      </x:c>
      <x:c r="CF42" s="117" t="n">
        <x:f>IF(AND(CF38&gt;0,CF$3&lt;EDATE($B$8,'Вводные'!$H$91)),CF38*CF41/12,0)</x:f>
      </x:c>
      <x:c r="CG42" s="117" t="n">
        <x:f>IF(AND(CG38&gt;0,CG$3&lt;EDATE($B$8,'Вводные'!$H$91)),CG38*CG41/12,0)</x:f>
      </x:c>
      <x:c r="CH42" s="117" t="n">
        <x:f>IF(AND(CH38&gt;0,CH$3&lt;EDATE($B$8,'Вводные'!$H$91)),CH38*CH41/12,0)</x:f>
      </x:c>
      <x:c r="CI42" s="117" t="n">
        <x:f>IF(AND(CI38&gt;0,CI$3&lt;EDATE($B$8,'Вводные'!$H$91)),CI38*CI41/12,0)</x:f>
      </x:c>
      <x:c r="CJ42" s="117" t="n">
        <x:f>IF(AND(CJ38&gt;0,CJ$3&lt;EDATE($B$8,'Вводные'!$H$91)),CJ38*CJ41/12,0)</x:f>
      </x:c>
      <x:c r="CK42" s="117" t="n">
        <x:f>IF(AND(CK38&gt;0,CK$3&lt;EDATE($B$8,'Вводные'!$H$91)),CK38*CK41/12,0)</x:f>
      </x:c>
      <x:c r="CL42" s="117" t="n">
        <x:f>IF(AND(CL38&gt;0,CL$3&lt;EDATE($B$8,'Вводные'!$H$91)),CL38*CL41/12,0)</x:f>
      </x:c>
      <x:c r="CM42" s="117" t="n">
        <x:f>IF(AND(CM38&gt;0,CM$3&lt;EDATE($B$8,'Вводные'!$H$91)),CM38*CM41/12,0)</x:f>
      </x:c>
      <x:c r="CN42" s="117" t="n">
        <x:f>IF(AND(CN38&gt;0,CN$3&lt;EDATE($B$8,'Вводные'!$H$91)),CN38*CN41/12,0)</x:f>
      </x:c>
      <x:c r="CO42" s="117" t="n">
        <x:f>IF(AND(CO38&gt;0,CO$3&lt;EDATE($B$8,'Вводные'!$H$91)),CO38*CO41/12,0)</x:f>
      </x:c>
      <x:c r="CP42" s="117" t="n">
        <x:f>IF(AND(CP38&gt;0,CP$3&lt;EDATE($B$8,'Вводные'!$H$91)),CP38*CP41/12,0)</x:f>
      </x:c>
      <x:c r="CQ42" s="117" t="n">
        <x:f>IF(AND(CQ38&gt;0,CQ$3&lt;EDATE($B$8,'Вводные'!$H$91)),CQ38*CQ41/12,0)</x:f>
      </x:c>
      <x:c r="CR42" s="117" t="n">
        <x:f>IF(AND(CR38&gt;0,CR$3&lt;EDATE($B$8,'Вводные'!$H$91)),CR38*CR41/12,0)</x:f>
      </x:c>
      <x:c r="CS42" s="117" t="n">
        <x:f>IF(AND(CS38&gt;0,CS$3&lt;EDATE($B$8,'Вводные'!$H$91)),CS38*CS41/12,0)</x:f>
      </x:c>
      <x:c r="CT42" s="117" t="n">
        <x:f>IF(AND(CT38&gt;0,CT$3&lt;EDATE($B$8,'Вводные'!$H$91)),CT38*CT41/12,0)</x:f>
      </x:c>
      <x:c r="CU42" s="117" t="n">
        <x:f>IF(AND(CU38&gt;0,CU$3&lt;EDATE($B$8,'Вводные'!$H$91)),CU38*CU41/12,0)</x:f>
      </x:c>
      <x:c r="CV42" s="117" t="n">
        <x:f>IF(AND(CV38&gt;0,CV$3&lt;EDATE($B$8,'Вводные'!$H$91)),CV38*CV41/12,0)</x:f>
      </x:c>
      <x:c r="CW42" s="117" t="n">
        <x:f>IF(AND(CW38&gt;0,CW$3&lt;EDATE($B$8,'Вводные'!$H$91)),CW38*CW41/12,0)</x:f>
      </x:c>
      <x:c r="CX42" s="117" t="n">
        <x:f>IF(AND(CX38&gt;0,CX$3&lt;EDATE($B$8,'Вводные'!$H$91)),CX38*CX41/12,0)</x:f>
      </x:c>
      <x:c r="CY42" s="117" t="n">
        <x:f>IF(AND(CY38&gt;0,CY$3&lt;EDATE($B$8,'Вводные'!$H$91)),CY38*CY41/12,0)</x:f>
      </x:c>
      <x:c r="CZ42" s="117" t="n">
        <x:f>IF(AND(CZ38&gt;0,CZ$3&lt;EDATE($B$8,'Вводные'!$H$91)),CZ38*CZ41/12,0)</x:f>
      </x:c>
      <x:c r="DA42" s="117" t="n">
        <x:f>IF(AND(DA38&gt;0,DA$3&lt;EDATE($B$8,'Вводные'!$H$91)),DA38*DA41/12,0)</x:f>
      </x:c>
      <x:c r="DB42" s="117" t="n">
        <x:f>IF(AND(DB38&gt;0,DB$3&lt;EDATE($B$8,'Вводные'!$H$91)),DB38*DB41/12,0)</x:f>
      </x:c>
      <x:c r="DC42" s="117" t="n">
        <x:f>IF(AND(DC38&gt;0,DC$3&lt;EDATE($B$8,'Вводные'!$H$91)),DC38*DC41/12,0)</x:f>
      </x:c>
      <x:c r="DD42" s="117" t="n">
        <x:f>IF(AND(DD38&gt;0,DD$3&lt;EDATE($B$8,'Вводные'!$H$91)),DD38*DD41/12,0)</x:f>
      </x:c>
      <x:c r="DE42" s="117" t="n">
        <x:f>IF(AND(DE38&gt;0,DE$3&lt;EDATE($B$8,'Вводные'!$H$91)),DE38*DE41/12,0)</x:f>
      </x:c>
      <x:c r="DF42" s="117" t="n">
        <x:f>IF(AND(DF38&gt;0,DF$3&lt;EDATE($B$8,'Вводные'!$H$91)),DF38*DF41/12,0)</x:f>
      </x:c>
      <x:c r="DG42" s="117" t="n">
        <x:f>IF(AND(DG38&gt;0,DG$3&lt;EDATE($B$8,'Вводные'!$H$91)),DG38*DG41/12,0)</x:f>
      </x:c>
      <x:c r="DH42" s="117" t="n">
        <x:f>IF(AND(DH38&gt;0,DH$3&lt;EDATE($B$8,'Вводные'!$H$91)),DH38*DH41/12,0)</x:f>
      </x:c>
      <x:c r="DI42" s="117" t="n">
        <x:f>IF(AND(DI38&gt;0,DI$3&lt;EDATE($B$8,'Вводные'!$H$91)),DI38*DI41/12,0)</x:f>
      </x:c>
      <x:c r="DJ42" s="117" t="n">
        <x:f>IF(AND(DJ38&gt;0,DJ$3&lt;EDATE($B$8,'Вводные'!$H$91)),DJ38*DJ41/12,0)</x:f>
      </x:c>
      <x:c r="DK42" s="117" t="n">
        <x:f>IF(AND(DK38&gt;0,DK$3&lt;EDATE($B$8,'Вводные'!$H$91)),DK38*DK41/12,0)</x:f>
      </x:c>
      <x:c r="DL42" s="117" t="n">
        <x:f>IF(AND(DL38&gt;0,DL$3&lt;EDATE($B$8,'Вводные'!$H$91)),DL38*DL41/12,0)</x:f>
      </x:c>
      <x:c r="DM42" s="117" t="n">
        <x:f>IF(AND(DM38&gt;0,DM$3&lt;EDATE($B$8,'Вводные'!$H$91)),DM38*DM41/12,0)</x:f>
      </x:c>
      <x:c r="DN42" s="117" t="n">
        <x:f>IF(AND(DN38&gt;0,DN$3&lt;EDATE($B$8,'Вводные'!$H$91)),DN38*DN41/12,0)</x:f>
      </x:c>
      <x:c r="DO42" s="117" t="n">
        <x:f>IF(AND(DO38&gt;0,DO$3&lt;EDATE($B$8,'Вводные'!$H$91)),DO38*DO41/12,0)</x:f>
      </x:c>
      <x:c r="DP42" s="117" t="n">
        <x:f>IF(AND(DP38&gt;0,DP$3&lt;EDATE($B$8,'Вводные'!$H$91)),DP38*DP41/12,0)</x:f>
      </x:c>
      <x:c r="DQ42" s="117" t="n">
        <x:f>IF(AND(DQ38&gt;0,DQ$3&lt;EDATE($B$8,'Вводные'!$H$91)),DQ38*DQ41/12,0)</x:f>
      </x:c>
      <x:c r="DR42" s="117" t="n">
        <x:f>IF(AND(DR38&gt;0,DR$3&lt;EDATE($B$8,'Вводные'!$H$91)),DR38*DR41/12,0)</x:f>
      </x:c>
      <x:c r="DS42" s="117" t="n">
        <x:f>IF(AND(DS38&gt;0,DS$3&lt;EDATE($B$8,'Вводные'!$H$91)),DS38*DS41/12,0)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$91)),MAX(0,'Вводные'!$B$26*'Вводные'!$V$91-D38)*'Вводные'!$B$29/12,0)+IF(AND(YEAR(D$3)=YEAR($B$7),MONTH(D$3)=MONTH($B$7)),'Вводные'!$B$26*'Вводные'!$V$91*'Вводные'!$B$30,0)</x:f>
      </x:c>
      <x:c r="E43" s="117" t="n">
        <x:f>IF(AND(OR(E38&gt;0,E$3&lt;=$B$8),E$3&gt;=$B$7,E$3&lt;EDATE($B$8,'Вводные'!$H$91)),MAX(0,'Вводные'!$B$26*'Вводные'!$V$91-E38)*'Вводные'!$B$29/12,0)+IF(AND(YEAR(E$3)=YEAR($B$7),MONTH(E$3)=MONTH($B$7)),'Вводные'!$B$26*'Вводные'!$V$91*'Вводные'!$B$30,0)</x:f>
      </x:c>
      <x:c r="F43" s="117" t="n">
        <x:f>IF(AND(OR(F38&gt;0,F$3&lt;=$B$8),F$3&gt;=$B$7,F$3&lt;EDATE($B$8,'Вводные'!$H$91)),MAX(0,'Вводные'!$B$26*'Вводные'!$V$91-F38)*'Вводные'!$B$29/12,0)+IF(AND(YEAR(F$3)=YEAR($B$7),MONTH(F$3)=MONTH($B$7)),'Вводные'!$B$26*'Вводные'!$V$91*'Вводные'!$B$30,0)</x:f>
      </x:c>
      <x:c r="G43" s="117" t="n">
        <x:f>IF(AND(OR(G38&gt;0,G$3&lt;=$B$8),G$3&gt;=$B$7,G$3&lt;EDATE($B$8,'Вводные'!$H$91)),MAX(0,'Вводные'!$B$26*'Вводные'!$V$91-G38)*'Вводные'!$B$29/12,0)+IF(AND(YEAR(G$3)=YEAR($B$7),MONTH(G$3)=MONTH($B$7)),'Вводные'!$B$26*'Вводные'!$V$91*'Вводные'!$B$30,0)</x:f>
      </x:c>
      <x:c r="H43" s="117" t="n">
        <x:f>IF(AND(OR(H38&gt;0,H$3&lt;=$B$8),H$3&gt;=$B$7,H$3&lt;EDATE($B$8,'Вводные'!$H$91)),MAX(0,'Вводные'!$B$26*'Вводные'!$V$91-H38)*'Вводные'!$B$29/12,0)+IF(AND(YEAR(H$3)=YEAR($B$7),MONTH(H$3)=MONTH($B$7)),'Вводные'!$B$26*'Вводные'!$V$91*'Вводные'!$B$30,0)</x:f>
      </x:c>
      <x:c r="I43" s="117" t="n">
        <x:f>IF(AND(OR(I38&gt;0,I$3&lt;=$B$8),I$3&gt;=$B$7,I$3&lt;EDATE($B$8,'Вводные'!$H$91)),MAX(0,'Вводные'!$B$26*'Вводные'!$V$91-I38)*'Вводные'!$B$29/12,0)+IF(AND(YEAR(I$3)=YEAR($B$7),MONTH(I$3)=MONTH($B$7)),'Вводные'!$B$26*'Вводные'!$V$91*'Вводные'!$B$30,0)</x:f>
      </x:c>
      <x:c r="J43" s="117" t="n">
        <x:f>IF(AND(OR(J38&gt;0,J$3&lt;=$B$8),J$3&gt;=$B$7,J$3&lt;EDATE($B$8,'Вводные'!$H$91)),MAX(0,'Вводные'!$B$26*'Вводные'!$V$91-J38)*'Вводные'!$B$29/12,0)+IF(AND(YEAR(J$3)=YEAR($B$7),MONTH(J$3)=MONTH($B$7)),'Вводные'!$B$26*'Вводные'!$V$91*'Вводные'!$B$30,0)</x:f>
      </x:c>
      <x:c r="K43" s="117" t="n">
        <x:f>IF(AND(OR(K38&gt;0,K$3&lt;=$B$8),K$3&gt;=$B$7,K$3&lt;EDATE($B$8,'Вводные'!$H$91)),MAX(0,'Вводные'!$B$26*'Вводные'!$V$91-K38)*'Вводные'!$B$29/12,0)+IF(AND(YEAR(K$3)=YEAR($B$7),MONTH(K$3)=MONTH($B$7)),'Вводные'!$B$26*'Вводные'!$V$91*'Вводные'!$B$30,0)</x:f>
      </x:c>
      <x:c r="L43" s="117" t="n">
        <x:f>IF(AND(OR(L38&gt;0,L$3&lt;=$B$8),L$3&gt;=$B$7,L$3&lt;EDATE($B$8,'Вводные'!$H$91)),MAX(0,'Вводные'!$B$26*'Вводные'!$V$91-L38)*'Вводные'!$B$29/12,0)+IF(AND(YEAR(L$3)=YEAR($B$7),MONTH(L$3)=MONTH($B$7)),'Вводные'!$B$26*'Вводные'!$V$91*'Вводные'!$B$30,0)</x:f>
      </x:c>
      <x:c r="M43" s="117" t="n">
        <x:f>IF(AND(OR(M38&gt;0,M$3&lt;=$B$8),M$3&gt;=$B$7,M$3&lt;EDATE($B$8,'Вводные'!$H$91)),MAX(0,'Вводные'!$B$26*'Вводные'!$V$91-M38)*'Вводные'!$B$29/12,0)+IF(AND(YEAR(M$3)=YEAR($B$7),MONTH(M$3)=MONTH($B$7)),'Вводные'!$B$26*'Вводные'!$V$91*'Вводные'!$B$30,0)</x:f>
      </x:c>
      <x:c r="N43" s="117" t="n">
        <x:f>IF(AND(OR(N38&gt;0,N$3&lt;=$B$8),N$3&gt;=$B$7,N$3&lt;EDATE($B$8,'Вводные'!$H$91)),MAX(0,'Вводные'!$B$26*'Вводные'!$V$91-N38)*'Вводные'!$B$29/12,0)+IF(AND(YEAR(N$3)=YEAR($B$7),MONTH(N$3)=MONTH($B$7)),'Вводные'!$B$26*'Вводные'!$V$91*'Вводные'!$B$30,0)</x:f>
      </x:c>
      <x:c r="O43" s="117" t="n">
        <x:f>IF(AND(OR(O38&gt;0,O$3&lt;=$B$8),O$3&gt;=$B$7,O$3&lt;EDATE($B$8,'Вводные'!$H$91)),MAX(0,'Вводные'!$B$26*'Вводные'!$V$91-O38)*'Вводные'!$B$29/12,0)+IF(AND(YEAR(O$3)=YEAR($B$7),MONTH(O$3)=MONTH($B$7)),'Вводные'!$B$26*'Вводные'!$V$91*'Вводные'!$B$30,0)</x:f>
      </x:c>
      <x:c r="P43" s="117" t="n">
        <x:f>IF(AND(OR(P38&gt;0,P$3&lt;=$B$8),P$3&gt;=$B$7,P$3&lt;EDATE($B$8,'Вводные'!$H$91)),MAX(0,'Вводные'!$B$26*'Вводные'!$V$91-P38)*'Вводные'!$B$29/12,0)+IF(AND(YEAR(P$3)=YEAR($B$7),MONTH(P$3)=MONTH($B$7)),'Вводные'!$B$26*'Вводные'!$V$91*'Вводные'!$B$30,0)</x:f>
      </x:c>
      <x:c r="Q43" s="117" t="n">
        <x:f>IF(AND(OR(Q38&gt;0,Q$3&lt;=$B$8),Q$3&gt;=$B$7,Q$3&lt;EDATE($B$8,'Вводные'!$H$91)),MAX(0,'Вводные'!$B$26*'Вводные'!$V$91-Q38)*'Вводные'!$B$29/12,0)+IF(AND(YEAR(Q$3)=YEAR($B$7),MONTH(Q$3)=MONTH($B$7)),'Вводные'!$B$26*'Вводные'!$V$91*'Вводные'!$B$30,0)</x:f>
      </x:c>
      <x:c r="R43" s="117" t="n">
        <x:f>IF(AND(OR(R38&gt;0,R$3&lt;=$B$8),R$3&gt;=$B$7,R$3&lt;EDATE($B$8,'Вводные'!$H$91)),MAX(0,'Вводные'!$B$26*'Вводные'!$V$91-R38)*'Вводные'!$B$29/12,0)+IF(AND(YEAR(R$3)=YEAR($B$7),MONTH(R$3)=MONTH($B$7)),'Вводные'!$B$26*'Вводные'!$V$91*'Вводные'!$B$30,0)</x:f>
      </x:c>
      <x:c r="S43" s="117" t="n">
        <x:f>IF(AND(OR(S38&gt;0,S$3&lt;=$B$8),S$3&gt;=$B$7,S$3&lt;EDATE($B$8,'Вводные'!$H$91)),MAX(0,'Вводные'!$B$26*'Вводные'!$V$91-S38)*'Вводные'!$B$29/12,0)+IF(AND(YEAR(S$3)=YEAR($B$7),MONTH(S$3)=MONTH($B$7)),'Вводные'!$B$26*'Вводные'!$V$91*'Вводные'!$B$30,0)</x:f>
      </x:c>
      <x:c r="T43" s="117" t="n">
        <x:f>IF(AND(OR(T38&gt;0,T$3&lt;=$B$8),T$3&gt;=$B$7,T$3&lt;EDATE($B$8,'Вводные'!$H$91)),MAX(0,'Вводные'!$B$26*'Вводные'!$V$91-T38)*'Вводные'!$B$29/12,0)+IF(AND(YEAR(T$3)=YEAR($B$7),MONTH(T$3)=MONTH($B$7)),'Вводные'!$B$26*'Вводные'!$V$91*'Вводные'!$B$30,0)</x:f>
      </x:c>
      <x:c r="U43" s="117" t="n">
        <x:f>IF(AND(OR(U38&gt;0,U$3&lt;=$B$8),U$3&gt;=$B$7,U$3&lt;EDATE($B$8,'Вводные'!$H$91)),MAX(0,'Вводные'!$B$26*'Вводные'!$V$91-U38)*'Вводные'!$B$29/12,0)+IF(AND(YEAR(U$3)=YEAR($B$7),MONTH(U$3)=MONTH($B$7)),'Вводные'!$B$26*'Вводные'!$V$91*'Вводные'!$B$30,0)</x:f>
      </x:c>
      <x:c r="V43" s="117" t="n">
        <x:f>IF(AND(OR(V38&gt;0,V$3&lt;=$B$8),V$3&gt;=$B$7,V$3&lt;EDATE($B$8,'Вводные'!$H$91)),MAX(0,'Вводные'!$B$26*'Вводные'!$V$91-V38)*'Вводные'!$B$29/12,0)+IF(AND(YEAR(V$3)=YEAR($B$7),MONTH(V$3)=MONTH($B$7)),'Вводные'!$B$26*'Вводные'!$V$91*'Вводные'!$B$30,0)</x:f>
      </x:c>
      <x:c r="W43" s="117" t="n">
        <x:f>IF(AND(OR(W38&gt;0,W$3&lt;=$B$8),W$3&gt;=$B$7,W$3&lt;EDATE($B$8,'Вводные'!$H$91)),MAX(0,'Вводные'!$B$26*'Вводные'!$V$91-W38)*'Вводные'!$B$29/12,0)+IF(AND(YEAR(W$3)=YEAR($B$7),MONTH(W$3)=MONTH($B$7)),'Вводные'!$B$26*'Вводные'!$V$91*'Вводные'!$B$30,0)</x:f>
      </x:c>
      <x:c r="X43" s="117" t="n">
        <x:f>IF(AND(OR(X38&gt;0,X$3&lt;=$B$8),X$3&gt;=$B$7,X$3&lt;EDATE($B$8,'Вводные'!$H$91)),MAX(0,'Вводные'!$B$26*'Вводные'!$V$91-X38)*'Вводные'!$B$29/12,0)+IF(AND(YEAR(X$3)=YEAR($B$7),MONTH(X$3)=MONTH($B$7)),'Вводные'!$B$26*'Вводные'!$V$91*'Вводные'!$B$30,0)</x:f>
      </x:c>
      <x:c r="Y43" s="117" t="n">
        <x:f>IF(AND(OR(Y38&gt;0,Y$3&lt;=$B$8),Y$3&gt;=$B$7,Y$3&lt;EDATE($B$8,'Вводные'!$H$91)),MAX(0,'Вводные'!$B$26*'Вводные'!$V$91-Y38)*'Вводные'!$B$29/12,0)+IF(AND(YEAR(Y$3)=YEAR($B$7),MONTH(Y$3)=MONTH($B$7)),'Вводные'!$B$26*'Вводные'!$V$91*'Вводные'!$B$30,0)</x:f>
      </x:c>
      <x:c r="Z43" s="117" t="n">
        <x:f>IF(AND(OR(Z38&gt;0,Z$3&lt;=$B$8),Z$3&gt;=$B$7,Z$3&lt;EDATE($B$8,'Вводные'!$H$91)),MAX(0,'Вводные'!$B$26*'Вводные'!$V$91-Z38)*'Вводные'!$B$29/12,0)+IF(AND(YEAR(Z$3)=YEAR($B$7),MONTH(Z$3)=MONTH($B$7)),'Вводные'!$B$26*'Вводные'!$V$91*'Вводные'!$B$30,0)</x:f>
      </x:c>
      <x:c r="AA43" s="117" t="n">
        <x:f>IF(AND(OR(AA38&gt;0,AA$3&lt;=$B$8),AA$3&gt;=$B$7,AA$3&lt;EDATE($B$8,'Вводные'!$H$91)),MAX(0,'Вводные'!$B$26*'Вводные'!$V$91-AA38)*'Вводные'!$B$29/12,0)+IF(AND(YEAR(AA$3)=YEAR($B$7),MONTH(AA$3)=MONTH($B$7)),'Вводные'!$B$26*'Вводные'!$V$91*'Вводные'!$B$30,0)</x:f>
      </x:c>
      <x:c r="AB43" s="117" t="n">
        <x:f>IF(AND(OR(AB38&gt;0,AB$3&lt;=$B$8),AB$3&gt;=$B$7,AB$3&lt;EDATE($B$8,'Вводные'!$H$91)),MAX(0,'Вводные'!$B$26*'Вводные'!$V$91-AB38)*'Вводные'!$B$29/12,0)+IF(AND(YEAR(AB$3)=YEAR($B$7),MONTH(AB$3)=MONTH($B$7)),'Вводные'!$B$26*'Вводные'!$V$91*'Вводные'!$B$30,0)</x:f>
      </x:c>
      <x:c r="AC43" s="117" t="n">
        <x:f>IF(AND(OR(AC38&gt;0,AC$3&lt;=$B$8),AC$3&gt;=$B$7,AC$3&lt;EDATE($B$8,'Вводные'!$H$91)),MAX(0,'Вводные'!$B$26*'Вводные'!$V$91-AC38)*'Вводные'!$B$29/12,0)+IF(AND(YEAR(AC$3)=YEAR($B$7),MONTH(AC$3)=MONTH($B$7)),'Вводные'!$B$26*'Вводные'!$V$91*'Вводные'!$B$30,0)</x:f>
      </x:c>
      <x:c r="AD43" s="117" t="n">
        <x:f>IF(AND(OR(AD38&gt;0,AD$3&lt;=$B$8),AD$3&gt;=$B$7,AD$3&lt;EDATE($B$8,'Вводные'!$H$91)),MAX(0,'Вводные'!$B$26*'Вводные'!$V$91-AD38)*'Вводные'!$B$29/12,0)+IF(AND(YEAR(AD$3)=YEAR($B$7),MONTH(AD$3)=MONTH($B$7)),'Вводные'!$B$26*'Вводные'!$V$91*'Вводные'!$B$30,0)</x:f>
      </x:c>
      <x:c r="AE43" s="117" t="n">
        <x:f>IF(AND(OR(AE38&gt;0,AE$3&lt;=$B$8),AE$3&gt;=$B$7,AE$3&lt;EDATE($B$8,'Вводные'!$H$91)),MAX(0,'Вводные'!$B$26*'Вводные'!$V$91-AE38)*'Вводные'!$B$29/12,0)+IF(AND(YEAR(AE$3)=YEAR($B$7),MONTH(AE$3)=MONTH($B$7)),'Вводные'!$B$26*'Вводные'!$V$91*'Вводные'!$B$30,0)</x:f>
      </x:c>
      <x:c r="AF43" s="117" t="n">
        <x:f>IF(AND(OR(AF38&gt;0,AF$3&lt;=$B$8),AF$3&gt;=$B$7,AF$3&lt;EDATE($B$8,'Вводные'!$H$91)),MAX(0,'Вводные'!$B$26*'Вводные'!$V$91-AF38)*'Вводные'!$B$29/12,0)+IF(AND(YEAR(AF$3)=YEAR($B$7),MONTH(AF$3)=MONTH($B$7)),'Вводные'!$B$26*'Вводные'!$V$91*'Вводные'!$B$30,0)</x:f>
      </x:c>
      <x:c r="AG43" s="117" t="n">
        <x:f>IF(AND(OR(AG38&gt;0,AG$3&lt;=$B$8),AG$3&gt;=$B$7,AG$3&lt;EDATE($B$8,'Вводные'!$H$91)),MAX(0,'Вводные'!$B$26*'Вводные'!$V$91-AG38)*'Вводные'!$B$29/12,0)+IF(AND(YEAR(AG$3)=YEAR($B$7),MONTH(AG$3)=MONTH($B$7)),'Вводные'!$B$26*'Вводные'!$V$91*'Вводные'!$B$30,0)</x:f>
      </x:c>
      <x:c r="AH43" s="117" t="n">
        <x:f>IF(AND(OR(AH38&gt;0,AH$3&lt;=$B$8),AH$3&gt;=$B$7,AH$3&lt;EDATE($B$8,'Вводные'!$H$91)),MAX(0,'Вводные'!$B$26*'Вводные'!$V$91-AH38)*'Вводные'!$B$29/12,0)+IF(AND(YEAR(AH$3)=YEAR($B$7),MONTH(AH$3)=MONTH($B$7)),'Вводные'!$B$26*'Вводные'!$V$91*'Вводные'!$B$30,0)</x:f>
      </x:c>
      <x:c r="AI43" s="117" t="n">
        <x:f>IF(AND(OR(AI38&gt;0,AI$3&lt;=$B$8),AI$3&gt;=$B$7,AI$3&lt;EDATE($B$8,'Вводные'!$H$91)),MAX(0,'Вводные'!$B$26*'Вводные'!$V$91-AI38)*'Вводные'!$B$29/12,0)+IF(AND(YEAR(AI$3)=YEAR($B$7),MONTH(AI$3)=MONTH($B$7)),'Вводные'!$B$26*'Вводные'!$V$91*'Вводные'!$B$30,0)</x:f>
      </x:c>
      <x:c r="AJ43" s="117" t="n">
        <x:f>IF(AND(OR(AJ38&gt;0,AJ$3&lt;=$B$8),AJ$3&gt;=$B$7,AJ$3&lt;EDATE($B$8,'Вводные'!$H$91)),MAX(0,'Вводные'!$B$26*'Вводные'!$V$91-AJ38)*'Вводные'!$B$29/12,0)+IF(AND(YEAR(AJ$3)=YEAR($B$7),MONTH(AJ$3)=MONTH($B$7)),'Вводные'!$B$26*'Вводные'!$V$91*'Вводные'!$B$30,0)</x:f>
      </x:c>
      <x:c r="AK43" s="117" t="n">
        <x:f>IF(AND(OR(AK38&gt;0,AK$3&lt;=$B$8),AK$3&gt;=$B$7,AK$3&lt;EDATE($B$8,'Вводные'!$H$91)),MAX(0,'Вводные'!$B$26*'Вводные'!$V$91-AK38)*'Вводные'!$B$29/12,0)+IF(AND(YEAR(AK$3)=YEAR($B$7),MONTH(AK$3)=MONTH($B$7)),'Вводные'!$B$26*'Вводные'!$V$91*'Вводные'!$B$30,0)</x:f>
      </x:c>
      <x:c r="AL43" s="117" t="n">
        <x:f>IF(AND(OR(AL38&gt;0,AL$3&lt;=$B$8),AL$3&gt;=$B$7,AL$3&lt;EDATE($B$8,'Вводные'!$H$91)),MAX(0,'Вводные'!$B$26*'Вводные'!$V$91-AL38)*'Вводные'!$B$29/12,0)+IF(AND(YEAR(AL$3)=YEAR($B$7),MONTH(AL$3)=MONTH($B$7)),'Вводные'!$B$26*'Вводные'!$V$91*'Вводные'!$B$30,0)</x:f>
      </x:c>
      <x:c r="AM43" s="117" t="n">
        <x:f>IF(AND(OR(AM38&gt;0,AM$3&lt;=$B$8),AM$3&gt;=$B$7,AM$3&lt;EDATE($B$8,'Вводные'!$H$91)),MAX(0,'Вводные'!$B$26*'Вводные'!$V$91-AM38)*'Вводные'!$B$29/12,0)+IF(AND(YEAR(AM$3)=YEAR($B$7),MONTH(AM$3)=MONTH($B$7)),'Вводные'!$B$26*'Вводные'!$V$91*'Вводные'!$B$30,0)</x:f>
      </x:c>
      <x:c r="AN43" s="117" t="n">
        <x:f>IF(AND(OR(AN38&gt;0,AN$3&lt;=$B$8),AN$3&gt;=$B$7,AN$3&lt;EDATE($B$8,'Вводные'!$H$91)),MAX(0,'Вводные'!$B$26*'Вводные'!$V$91-AN38)*'Вводные'!$B$29/12,0)+IF(AND(YEAR(AN$3)=YEAR($B$7),MONTH(AN$3)=MONTH($B$7)),'Вводные'!$B$26*'Вводные'!$V$91*'Вводные'!$B$30,0)</x:f>
      </x:c>
      <x:c r="AO43" s="117" t="n">
        <x:f>IF(AND(OR(AO38&gt;0,AO$3&lt;=$B$8),AO$3&gt;=$B$7,AO$3&lt;EDATE($B$8,'Вводные'!$H$91)),MAX(0,'Вводные'!$B$26*'Вводные'!$V$91-AO38)*'Вводные'!$B$29/12,0)+IF(AND(YEAR(AO$3)=YEAR($B$7),MONTH(AO$3)=MONTH($B$7)),'Вводные'!$B$26*'Вводные'!$V$91*'Вводные'!$B$30,0)</x:f>
      </x:c>
      <x:c r="AP43" s="117" t="n">
        <x:f>IF(AND(OR(AP38&gt;0,AP$3&lt;=$B$8),AP$3&gt;=$B$7,AP$3&lt;EDATE($B$8,'Вводные'!$H$91)),MAX(0,'Вводные'!$B$26*'Вводные'!$V$91-AP38)*'Вводные'!$B$29/12,0)+IF(AND(YEAR(AP$3)=YEAR($B$7),MONTH(AP$3)=MONTH($B$7)),'Вводные'!$B$26*'Вводные'!$V$91*'Вводные'!$B$30,0)</x:f>
      </x:c>
      <x:c r="AQ43" s="117" t="n">
        <x:f>IF(AND(OR(AQ38&gt;0,AQ$3&lt;=$B$8),AQ$3&gt;=$B$7,AQ$3&lt;EDATE($B$8,'Вводные'!$H$91)),MAX(0,'Вводные'!$B$26*'Вводные'!$V$91-AQ38)*'Вводные'!$B$29/12,0)+IF(AND(YEAR(AQ$3)=YEAR($B$7),MONTH(AQ$3)=MONTH($B$7)),'Вводные'!$B$26*'Вводные'!$V$91*'Вводные'!$B$30,0)</x:f>
      </x:c>
      <x:c r="AR43" s="117" t="n">
        <x:f>IF(AND(OR(AR38&gt;0,AR$3&lt;=$B$8),AR$3&gt;=$B$7,AR$3&lt;EDATE($B$8,'Вводные'!$H$91)),MAX(0,'Вводные'!$B$26*'Вводные'!$V$91-AR38)*'Вводные'!$B$29/12,0)+IF(AND(YEAR(AR$3)=YEAR($B$7),MONTH(AR$3)=MONTH($B$7)),'Вводные'!$B$26*'Вводные'!$V$91*'Вводные'!$B$30,0)</x:f>
      </x:c>
      <x:c r="AS43" s="117" t="n">
        <x:f>IF(AND(OR(AS38&gt;0,AS$3&lt;=$B$8),AS$3&gt;=$B$7,AS$3&lt;EDATE($B$8,'Вводные'!$H$91)),MAX(0,'Вводные'!$B$26*'Вводные'!$V$91-AS38)*'Вводные'!$B$29/12,0)+IF(AND(YEAR(AS$3)=YEAR($B$7),MONTH(AS$3)=MONTH($B$7)),'Вводные'!$B$26*'Вводные'!$V$91*'Вводные'!$B$30,0)</x:f>
      </x:c>
      <x:c r="AT43" s="117" t="n">
        <x:f>IF(AND(OR(AT38&gt;0,AT$3&lt;=$B$8),AT$3&gt;=$B$7,AT$3&lt;EDATE($B$8,'Вводные'!$H$91)),MAX(0,'Вводные'!$B$26*'Вводные'!$V$91-AT38)*'Вводные'!$B$29/12,0)+IF(AND(YEAR(AT$3)=YEAR($B$7),MONTH(AT$3)=MONTH($B$7)),'Вводные'!$B$26*'Вводные'!$V$91*'Вводные'!$B$30,0)</x:f>
      </x:c>
      <x:c r="AU43" s="117" t="n">
        <x:f>IF(AND(OR(AU38&gt;0,AU$3&lt;=$B$8),AU$3&gt;=$B$7,AU$3&lt;EDATE($B$8,'Вводные'!$H$91)),MAX(0,'Вводные'!$B$26*'Вводные'!$V$91-AU38)*'Вводные'!$B$29/12,0)+IF(AND(YEAR(AU$3)=YEAR($B$7),MONTH(AU$3)=MONTH($B$7)),'Вводные'!$B$26*'Вводные'!$V$91*'Вводные'!$B$30,0)</x:f>
      </x:c>
      <x:c r="AV43" s="117" t="n">
        <x:f>IF(AND(OR(AV38&gt;0,AV$3&lt;=$B$8),AV$3&gt;=$B$7,AV$3&lt;EDATE($B$8,'Вводные'!$H$91)),MAX(0,'Вводные'!$B$26*'Вводные'!$V$91-AV38)*'Вводные'!$B$29/12,0)+IF(AND(YEAR(AV$3)=YEAR($B$7),MONTH(AV$3)=MONTH($B$7)),'Вводные'!$B$26*'Вводные'!$V$91*'Вводные'!$B$30,0)</x:f>
      </x:c>
      <x:c r="AW43" s="117" t="n">
        <x:f>IF(AND(OR(AW38&gt;0,AW$3&lt;=$B$8),AW$3&gt;=$B$7,AW$3&lt;EDATE($B$8,'Вводные'!$H$91)),MAX(0,'Вводные'!$B$26*'Вводные'!$V$91-AW38)*'Вводные'!$B$29/12,0)+IF(AND(YEAR(AW$3)=YEAR($B$7),MONTH(AW$3)=MONTH($B$7)),'Вводные'!$B$26*'Вводные'!$V$91*'Вводные'!$B$30,0)</x:f>
      </x:c>
      <x:c r="AX43" s="117" t="n">
        <x:f>IF(AND(OR(AX38&gt;0,AX$3&lt;=$B$8),AX$3&gt;=$B$7,AX$3&lt;EDATE($B$8,'Вводные'!$H$91)),MAX(0,'Вводные'!$B$26*'Вводные'!$V$91-AX38)*'Вводные'!$B$29/12,0)+IF(AND(YEAR(AX$3)=YEAR($B$7),MONTH(AX$3)=MONTH($B$7)),'Вводные'!$B$26*'Вводные'!$V$91*'Вводные'!$B$30,0)</x:f>
      </x:c>
      <x:c r="AY43" s="117" t="n">
        <x:f>IF(AND(OR(AY38&gt;0,AY$3&lt;=$B$8),AY$3&gt;=$B$7,AY$3&lt;EDATE($B$8,'Вводные'!$H$91)),MAX(0,'Вводные'!$B$26*'Вводные'!$V$91-AY38)*'Вводные'!$B$29/12,0)+IF(AND(YEAR(AY$3)=YEAR($B$7),MONTH(AY$3)=MONTH($B$7)),'Вводные'!$B$26*'Вводные'!$V$91*'Вводные'!$B$30,0)</x:f>
      </x:c>
      <x:c r="AZ43" s="117" t="n">
        <x:f>IF(AND(OR(AZ38&gt;0,AZ$3&lt;=$B$8),AZ$3&gt;=$B$7,AZ$3&lt;EDATE($B$8,'Вводные'!$H$91)),MAX(0,'Вводные'!$B$26*'Вводные'!$V$91-AZ38)*'Вводные'!$B$29/12,0)+IF(AND(YEAR(AZ$3)=YEAR($B$7),MONTH(AZ$3)=MONTH($B$7)),'Вводные'!$B$26*'Вводные'!$V$91*'Вводные'!$B$30,0)</x:f>
      </x:c>
      <x:c r="BA43" s="117" t="n">
        <x:f>IF(AND(OR(BA38&gt;0,BA$3&lt;=$B$8),BA$3&gt;=$B$7,BA$3&lt;EDATE($B$8,'Вводные'!$H$91)),MAX(0,'Вводные'!$B$26*'Вводные'!$V$91-BA38)*'Вводные'!$B$29/12,0)+IF(AND(YEAR(BA$3)=YEAR($B$7),MONTH(BA$3)=MONTH($B$7)),'Вводные'!$B$26*'Вводные'!$V$91*'Вводные'!$B$30,0)</x:f>
      </x:c>
      <x:c r="BB43" s="117" t="n">
        <x:f>IF(AND(OR(BB38&gt;0,BB$3&lt;=$B$8),BB$3&gt;=$B$7,BB$3&lt;EDATE($B$8,'Вводные'!$H$91)),MAX(0,'Вводные'!$B$26*'Вводные'!$V$91-BB38)*'Вводные'!$B$29/12,0)+IF(AND(YEAR(BB$3)=YEAR($B$7),MONTH(BB$3)=MONTH($B$7)),'Вводные'!$B$26*'Вводные'!$V$91*'Вводные'!$B$30,0)</x:f>
      </x:c>
      <x:c r="BC43" s="117" t="n">
        <x:f>IF(AND(OR(BC38&gt;0,BC$3&lt;=$B$8),BC$3&gt;=$B$7,BC$3&lt;EDATE($B$8,'Вводные'!$H$91)),MAX(0,'Вводные'!$B$26*'Вводные'!$V$91-BC38)*'Вводные'!$B$29/12,0)+IF(AND(YEAR(BC$3)=YEAR($B$7),MONTH(BC$3)=MONTH($B$7)),'Вводные'!$B$26*'Вводные'!$V$91*'Вводные'!$B$30,0)</x:f>
      </x:c>
      <x:c r="BD43" s="117" t="n">
        <x:f>IF(AND(OR(BD38&gt;0,BD$3&lt;=$B$8),BD$3&gt;=$B$7,BD$3&lt;EDATE($B$8,'Вводные'!$H$91)),MAX(0,'Вводные'!$B$26*'Вводные'!$V$91-BD38)*'Вводные'!$B$29/12,0)+IF(AND(YEAR(BD$3)=YEAR($B$7),MONTH(BD$3)=MONTH($B$7)),'Вводные'!$B$26*'Вводные'!$V$91*'Вводные'!$B$30,0)</x:f>
      </x:c>
      <x:c r="BE43" s="117" t="n">
        <x:f>IF(AND(OR(BE38&gt;0,BE$3&lt;=$B$8),BE$3&gt;=$B$7,BE$3&lt;EDATE($B$8,'Вводные'!$H$91)),MAX(0,'Вводные'!$B$26*'Вводные'!$V$91-BE38)*'Вводные'!$B$29/12,0)+IF(AND(YEAR(BE$3)=YEAR($B$7),MONTH(BE$3)=MONTH($B$7)),'Вводные'!$B$26*'Вводные'!$V$91*'Вводные'!$B$30,0)</x:f>
      </x:c>
      <x:c r="BF43" s="117" t="n">
        <x:f>IF(AND(OR(BF38&gt;0,BF$3&lt;=$B$8),BF$3&gt;=$B$7,BF$3&lt;EDATE($B$8,'Вводные'!$H$91)),MAX(0,'Вводные'!$B$26*'Вводные'!$V$91-BF38)*'Вводные'!$B$29/12,0)+IF(AND(YEAR(BF$3)=YEAR($B$7),MONTH(BF$3)=MONTH($B$7)),'Вводные'!$B$26*'Вводные'!$V$91*'Вводные'!$B$30,0)</x:f>
      </x:c>
      <x:c r="BG43" s="117" t="n">
        <x:f>IF(AND(OR(BG38&gt;0,BG$3&lt;=$B$8),BG$3&gt;=$B$7,BG$3&lt;EDATE($B$8,'Вводные'!$H$91)),MAX(0,'Вводные'!$B$26*'Вводные'!$V$91-BG38)*'Вводные'!$B$29/12,0)+IF(AND(YEAR(BG$3)=YEAR($B$7),MONTH(BG$3)=MONTH($B$7)),'Вводные'!$B$26*'Вводные'!$V$91*'Вводные'!$B$30,0)</x:f>
      </x:c>
      <x:c r="BH43" s="117" t="n">
        <x:f>IF(AND(OR(BH38&gt;0,BH$3&lt;=$B$8),BH$3&gt;=$B$7,BH$3&lt;EDATE($B$8,'Вводные'!$H$91)),MAX(0,'Вводные'!$B$26*'Вводные'!$V$91-BH38)*'Вводные'!$B$29/12,0)+IF(AND(YEAR(BH$3)=YEAR($B$7),MONTH(BH$3)=MONTH($B$7)),'Вводные'!$B$26*'Вводные'!$V$91*'Вводные'!$B$30,0)</x:f>
      </x:c>
      <x:c r="BI43" s="117" t="n">
        <x:f>IF(AND(OR(BI38&gt;0,BI$3&lt;=$B$8),BI$3&gt;=$B$7,BI$3&lt;EDATE($B$8,'Вводные'!$H$91)),MAX(0,'Вводные'!$B$26*'Вводные'!$V$91-BI38)*'Вводные'!$B$29/12,0)+IF(AND(YEAR(BI$3)=YEAR($B$7),MONTH(BI$3)=MONTH($B$7)),'Вводные'!$B$26*'Вводные'!$V$91*'Вводные'!$B$30,0)</x:f>
      </x:c>
      <x:c r="BJ43" s="117" t="n">
        <x:f>IF(AND(OR(BJ38&gt;0,BJ$3&lt;=$B$8),BJ$3&gt;=$B$7,BJ$3&lt;EDATE($B$8,'Вводные'!$H$91)),MAX(0,'Вводные'!$B$26*'Вводные'!$V$91-BJ38)*'Вводные'!$B$29/12,0)+IF(AND(YEAR(BJ$3)=YEAR($B$7),MONTH(BJ$3)=MONTH($B$7)),'Вводные'!$B$26*'Вводные'!$V$91*'Вводные'!$B$30,0)</x:f>
      </x:c>
      <x:c r="BK43" s="117" t="n">
        <x:f>IF(AND(OR(BK38&gt;0,BK$3&lt;=$B$8),BK$3&gt;=$B$7,BK$3&lt;EDATE($B$8,'Вводные'!$H$91)),MAX(0,'Вводные'!$B$26*'Вводные'!$V$91-BK38)*'Вводные'!$B$29/12,0)+IF(AND(YEAR(BK$3)=YEAR($B$7),MONTH(BK$3)=MONTH($B$7)),'Вводные'!$B$26*'Вводные'!$V$91*'Вводные'!$B$30,0)</x:f>
      </x:c>
      <x:c r="BL43" s="117" t="n">
        <x:f>IF(AND(OR(BL38&gt;0,BL$3&lt;=$B$8),BL$3&gt;=$B$7,BL$3&lt;EDATE($B$8,'Вводные'!$H$91)),MAX(0,'Вводные'!$B$26*'Вводные'!$V$91-BL38)*'Вводные'!$B$29/12,0)+IF(AND(YEAR(BL$3)=YEAR($B$7),MONTH(BL$3)=MONTH($B$7)),'Вводные'!$B$26*'Вводные'!$V$91*'Вводные'!$B$30,0)</x:f>
      </x:c>
      <x:c r="BM43" s="117" t="n">
        <x:f>IF(AND(OR(BM38&gt;0,BM$3&lt;=$B$8),BM$3&gt;=$B$7,BM$3&lt;EDATE($B$8,'Вводные'!$H$91)),MAX(0,'Вводные'!$B$26*'Вводные'!$V$91-BM38)*'Вводные'!$B$29/12,0)+IF(AND(YEAR(BM$3)=YEAR($B$7),MONTH(BM$3)=MONTH($B$7)),'Вводные'!$B$26*'Вводные'!$V$91*'Вводные'!$B$30,0)</x:f>
      </x:c>
      <x:c r="BN43" s="117" t="n">
        <x:f>IF(AND(OR(BN38&gt;0,BN$3&lt;=$B$8),BN$3&gt;=$B$7,BN$3&lt;EDATE($B$8,'Вводные'!$H$91)),MAX(0,'Вводные'!$B$26*'Вводные'!$V$91-BN38)*'Вводные'!$B$29/12,0)+IF(AND(YEAR(BN$3)=YEAR($B$7),MONTH(BN$3)=MONTH($B$7)),'Вводные'!$B$26*'Вводные'!$V$91*'Вводные'!$B$30,0)</x:f>
      </x:c>
      <x:c r="BO43" s="117" t="n">
        <x:f>IF(AND(OR(BO38&gt;0,BO$3&lt;=$B$8),BO$3&gt;=$B$7,BO$3&lt;EDATE($B$8,'Вводные'!$H$91)),MAX(0,'Вводные'!$B$26*'Вводные'!$V$91-BO38)*'Вводные'!$B$29/12,0)+IF(AND(YEAR(BO$3)=YEAR($B$7),MONTH(BO$3)=MONTH($B$7)),'Вводные'!$B$26*'Вводные'!$V$91*'Вводные'!$B$30,0)</x:f>
      </x:c>
      <x:c r="BP43" s="117" t="n">
        <x:f>IF(AND(OR(BP38&gt;0,BP$3&lt;=$B$8),BP$3&gt;=$B$7,BP$3&lt;EDATE($B$8,'Вводные'!$H$91)),MAX(0,'Вводные'!$B$26*'Вводные'!$V$91-BP38)*'Вводные'!$B$29/12,0)+IF(AND(YEAR(BP$3)=YEAR($B$7),MONTH(BP$3)=MONTH($B$7)),'Вводные'!$B$26*'Вводные'!$V$91*'Вводные'!$B$30,0)</x:f>
      </x:c>
      <x:c r="BQ43" s="117" t="n">
        <x:f>IF(AND(OR(BQ38&gt;0,BQ$3&lt;=$B$8),BQ$3&gt;=$B$7,BQ$3&lt;EDATE($B$8,'Вводные'!$H$91)),MAX(0,'Вводные'!$B$26*'Вводные'!$V$91-BQ38)*'Вводные'!$B$29/12,0)+IF(AND(YEAR(BQ$3)=YEAR($B$7),MONTH(BQ$3)=MONTH($B$7)),'Вводные'!$B$26*'Вводные'!$V$91*'Вводные'!$B$30,0)</x:f>
      </x:c>
      <x:c r="BR43" s="117" t="n">
        <x:f>IF(AND(OR(BR38&gt;0,BR$3&lt;=$B$8),BR$3&gt;=$B$7,BR$3&lt;EDATE($B$8,'Вводные'!$H$91)),MAX(0,'Вводные'!$B$26*'Вводные'!$V$91-BR38)*'Вводные'!$B$29/12,0)+IF(AND(YEAR(BR$3)=YEAR($B$7),MONTH(BR$3)=MONTH($B$7)),'Вводные'!$B$26*'Вводные'!$V$91*'Вводные'!$B$30,0)</x:f>
      </x:c>
      <x:c r="BS43" s="117" t="n">
        <x:f>IF(AND(OR(BS38&gt;0,BS$3&lt;=$B$8),BS$3&gt;=$B$7,BS$3&lt;EDATE($B$8,'Вводные'!$H$91)),MAX(0,'Вводные'!$B$26*'Вводные'!$V$91-BS38)*'Вводные'!$B$29/12,0)+IF(AND(YEAR(BS$3)=YEAR($B$7),MONTH(BS$3)=MONTH($B$7)),'Вводные'!$B$26*'Вводные'!$V$91*'Вводные'!$B$30,0)</x:f>
      </x:c>
      <x:c r="BT43" s="117" t="n">
        <x:f>IF(AND(OR(BT38&gt;0,BT$3&lt;=$B$8),BT$3&gt;=$B$7,BT$3&lt;EDATE($B$8,'Вводные'!$H$91)),MAX(0,'Вводные'!$B$26*'Вводные'!$V$91-BT38)*'Вводные'!$B$29/12,0)+IF(AND(YEAR(BT$3)=YEAR($B$7),MONTH(BT$3)=MONTH($B$7)),'Вводные'!$B$26*'Вводные'!$V$91*'Вводные'!$B$30,0)</x:f>
      </x:c>
      <x:c r="BU43" s="117" t="n">
        <x:f>IF(AND(OR(BU38&gt;0,BU$3&lt;=$B$8),BU$3&gt;=$B$7,BU$3&lt;EDATE($B$8,'Вводные'!$H$91)),MAX(0,'Вводные'!$B$26*'Вводные'!$V$91-BU38)*'Вводные'!$B$29/12,0)+IF(AND(YEAR(BU$3)=YEAR($B$7),MONTH(BU$3)=MONTH($B$7)),'Вводные'!$B$26*'Вводные'!$V$91*'Вводные'!$B$30,0)</x:f>
      </x:c>
      <x:c r="BV43" s="117" t="n">
        <x:f>IF(AND(OR(BV38&gt;0,BV$3&lt;=$B$8),BV$3&gt;=$B$7,BV$3&lt;EDATE($B$8,'Вводные'!$H$91)),MAX(0,'Вводные'!$B$26*'Вводные'!$V$91-BV38)*'Вводные'!$B$29/12,0)+IF(AND(YEAR(BV$3)=YEAR($B$7),MONTH(BV$3)=MONTH($B$7)),'Вводные'!$B$26*'Вводные'!$V$91*'Вводные'!$B$30,0)</x:f>
      </x:c>
      <x:c r="BW43" s="117" t="n">
        <x:f>IF(AND(OR(BW38&gt;0,BW$3&lt;=$B$8),BW$3&gt;=$B$7,BW$3&lt;EDATE($B$8,'Вводные'!$H$91)),MAX(0,'Вводные'!$B$26*'Вводные'!$V$91-BW38)*'Вводные'!$B$29/12,0)+IF(AND(YEAR(BW$3)=YEAR($B$7),MONTH(BW$3)=MONTH($B$7)),'Вводные'!$B$26*'Вводные'!$V$91*'Вводные'!$B$30,0)</x:f>
      </x:c>
      <x:c r="BX43" s="117" t="n">
        <x:f>IF(AND(OR(BX38&gt;0,BX$3&lt;=$B$8),BX$3&gt;=$B$7,BX$3&lt;EDATE($B$8,'Вводные'!$H$91)),MAX(0,'Вводные'!$B$26*'Вводные'!$V$91-BX38)*'Вводные'!$B$29/12,0)+IF(AND(YEAR(BX$3)=YEAR($B$7),MONTH(BX$3)=MONTH($B$7)),'Вводные'!$B$26*'Вводные'!$V$91*'Вводные'!$B$30,0)</x:f>
      </x:c>
      <x:c r="BY43" s="117" t="n">
        <x:f>IF(AND(OR(BY38&gt;0,BY$3&lt;=$B$8),BY$3&gt;=$B$7,BY$3&lt;EDATE($B$8,'Вводные'!$H$91)),MAX(0,'Вводные'!$B$26*'Вводные'!$V$91-BY38)*'Вводные'!$B$29/12,0)+IF(AND(YEAR(BY$3)=YEAR($B$7),MONTH(BY$3)=MONTH($B$7)),'Вводные'!$B$26*'Вводные'!$V$91*'Вводные'!$B$30,0)</x:f>
      </x:c>
      <x:c r="BZ43" s="117" t="n">
        <x:f>IF(AND(OR(BZ38&gt;0,BZ$3&lt;=$B$8),BZ$3&gt;=$B$7,BZ$3&lt;EDATE($B$8,'Вводные'!$H$91)),MAX(0,'Вводные'!$B$26*'Вводные'!$V$91-BZ38)*'Вводные'!$B$29/12,0)+IF(AND(YEAR(BZ$3)=YEAR($B$7),MONTH(BZ$3)=MONTH($B$7)),'Вводные'!$B$26*'Вводные'!$V$91*'Вводные'!$B$30,0)</x:f>
      </x:c>
      <x:c r="CA43" s="117" t="n">
        <x:f>IF(AND(OR(CA38&gt;0,CA$3&lt;=$B$8),CA$3&gt;=$B$7,CA$3&lt;EDATE($B$8,'Вводные'!$H$91)),MAX(0,'Вводные'!$B$26*'Вводные'!$V$91-CA38)*'Вводные'!$B$29/12,0)+IF(AND(YEAR(CA$3)=YEAR($B$7),MONTH(CA$3)=MONTH($B$7)),'Вводные'!$B$26*'Вводные'!$V$91*'Вводные'!$B$30,0)</x:f>
      </x:c>
      <x:c r="CB43" s="117" t="n">
        <x:f>IF(AND(OR(CB38&gt;0,CB$3&lt;=$B$8),CB$3&gt;=$B$7,CB$3&lt;EDATE($B$8,'Вводные'!$H$91)),MAX(0,'Вводные'!$B$26*'Вводные'!$V$91-CB38)*'Вводные'!$B$29/12,0)+IF(AND(YEAR(CB$3)=YEAR($B$7),MONTH(CB$3)=MONTH($B$7)),'Вводные'!$B$26*'Вводные'!$V$91*'Вводные'!$B$30,0)</x:f>
      </x:c>
      <x:c r="CC43" s="117" t="n">
        <x:f>IF(AND(OR(CC38&gt;0,CC$3&lt;=$B$8),CC$3&gt;=$B$7,CC$3&lt;EDATE($B$8,'Вводные'!$H$91)),MAX(0,'Вводные'!$B$26*'Вводные'!$V$91-CC38)*'Вводные'!$B$29/12,0)+IF(AND(YEAR(CC$3)=YEAR($B$7),MONTH(CC$3)=MONTH($B$7)),'Вводные'!$B$26*'Вводные'!$V$91*'Вводные'!$B$30,0)</x:f>
      </x:c>
      <x:c r="CD43" s="117" t="n">
        <x:f>IF(AND(OR(CD38&gt;0,CD$3&lt;=$B$8),CD$3&gt;=$B$7,CD$3&lt;EDATE($B$8,'Вводные'!$H$91)),MAX(0,'Вводные'!$B$26*'Вводные'!$V$91-CD38)*'Вводные'!$B$29/12,0)+IF(AND(YEAR(CD$3)=YEAR($B$7),MONTH(CD$3)=MONTH($B$7)),'Вводные'!$B$26*'Вводные'!$V$91*'Вводные'!$B$30,0)</x:f>
      </x:c>
      <x:c r="CE43" s="117" t="n">
        <x:f>IF(AND(OR(CE38&gt;0,CE$3&lt;=$B$8),CE$3&gt;=$B$7,CE$3&lt;EDATE($B$8,'Вводные'!$H$91)),MAX(0,'Вводные'!$B$26*'Вводные'!$V$91-CE38)*'Вводные'!$B$29/12,0)+IF(AND(YEAR(CE$3)=YEAR($B$7),MONTH(CE$3)=MONTH($B$7)),'Вводные'!$B$26*'Вводные'!$V$91*'Вводные'!$B$30,0)</x:f>
      </x:c>
      <x:c r="CF43" s="117" t="n">
        <x:f>IF(AND(OR(CF38&gt;0,CF$3&lt;=$B$8),CF$3&gt;=$B$7,CF$3&lt;EDATE($B$8,'Вводные'!$H$91)),MAX(0,'Вводные'!$B$26*'Вводные'!$V$91-CF38)*'Вводные'!$B$29/12,0)+IF(AND(YEAR(CF$3)=YEAR($B$7),MONTH(CF$3)=MONTH($B$7)),'Вводные'!$B$26*'Вводные'!$V$91*'Вводные'!$B$30,0)</x:f>
      </x:c>
      <x:c r="CG43" s="117" t="n">
        <x:f>IF(AND(OR(CG38&gt;0,CG$3&lt;=$B$8),CG$3&gt;=$B$7,CG$3&lt;EDATE($B$8,'Вводные'!$H$91)),MAX(0,'Вводные'!$B$26*'Вводные'!$V$91-CG38)*'Вводные'!$B$29/12,0)+IF(AND(YEAR(CG$3)=YEAR($B$7),MONTH(CG$3)=MONTH($B$7)),'Вводные'!$B$26*'Вводные'!$V$91*'Вводные'!$B$30,0)</x:f>
      </x:c>
      <x:c r="CH43" s="117" t="n">
        <x:f>IF(AND(OR(CH38&gt;0,CH$3&lt;=$B$8),CH$3&gt;=$B$7,CH$3&lt;EDATE($B$8,'Вводные'!$H$91)),MAX(0,'Вводные'!$B$26*'Вводные'!$V$91-CH38)*'Вводные'!$B$29/12,0)+IF(AND(YEAR(CH$3)=YEAR($B$7),MONTH(CH$3)=MONTH($B$7)),'Вводные'!$B$26*'Вводные'!$V$91*'Вводные'!$B$30,0)</x:f>
      </x:c>
      <x:c r="CI43" s="117" t="n">
        <x:f>IF(AND(OR(CI38&gt;0,CI$3&lt;=$B$8),CI$3&gt;=$B$7,CI$3&lt;EDATE($B$8,'Вводные'!$H$91)),MAX(0,'Вводные'!$B$26*'Вводные'!$V$91-CI38)*'Вводные'!$B$29/12,0)+IF(AND(YEAR(CI$3)=YEAR($B$7),MONTH(CI$3)=MONTH($B$7)),'Вводные'!$B$26*'Вводные'!$V$91*'Вводные'!$B$30,0)</x:f>
      </x:c>
      <x:c r="CJ43" s="117" t="n">
        <x:f>IF(AND(OR(CJ38&gt;0,CJ$3&lt;=$B$8),CJ$3&gt;=$B$7,CJ$3&lt;EDATE($B$8,'Вводные'!$H$91)),MAX(0,'Вводные'!$B$26*'Вводные'!$V$91-CJ38)*'Вводные'!$B$29/12,0)+IF(AND(YEAR(CJ$3)=YEAR($B$7),MONTH(CJ$3)=MONTH($B$7)),'Вводные'!$B$26*'Вводные'!$V$91*'Вводные'!$B$30,0)</x:f>
      </x:c>
      <x:c r="CK43" s="117" t="n">
        <x:f>IF(AND(OR(CK38&gt;0,CK$3&lt;=$B$8),CK$3&gt;=$B$7,CK$3&lt;EDATE($B$8,'Вводные'!$H$91)),MAX(0,'Вводные'!$B$26*'Вводные'!$V$91-CK38)*'Вводные'!$B$29/12,0)+IF(AND(YEAR(CK$3)=YEAR($B$7),MONTH(CK$3)=MONTH($B$7)),'Вводные'!$B$26*'Вводные'!$V$91*'Вводные'!$B$30,0)</x:f>
      </x:c>
      <x:c r="CL43" s="117" t="n">
        <x:f>IF(AND(OR(CL38&gt;0,CL$3&lt;=$B$8),CL$3&gt;=$B$7,CL$3&lt;EDATE($B$8,'Вводные'!$H$91)),MAX(0,'Вводные'!$B$26*'Вводные'!$V$91-CL38)*'Вводные'!$B$29/12,0)+IF(AND(YEAR(CL$3)=YEAR($B$7),MONTH(CL$3)=MONTH($B$7)),'Вводные'!$B$26*'Вводные'!$V$91*'Вводные'!$B$30,0)</x:f>
      </x:c>
      <x:c r="CM43" s="117" t="n">
        <x:f>IF(AND(OR(CM38&gt;0,CM$3&lt;=$B$8),CM$3&gt;=$B$7,CM$3&lt;EDATE($B$8,'Вводные'!$H$91)),MAX(0,'Вводные'!$B$26*'Вводные'!$V$91-CM38)*'Вводные'!$B$29/12,0)+IF(AND(YEAR(CM$3)=YEAR($B$7),MONTH(CM$3)=MONTH($B$7)),'Вводные'!$B$26*'Вводные'!$V$91*'Вводные'!$B$30,0)</x:f>
      </x:c>
      <x:c r="CN43" s="117" t="n">
        <x:f>IF(AND(OR(CN38&gt;0,CN$3&lt;=$B$8),CN$3&gt;=$B$7,CN$3&lt;EDATE($B$8,'Вводные'!$H$91)),MAX(0,'Вводные'!$B$26*'Вводные'!$V$91-CN38)*'Вводные'!$B$29/12,0)+IF(AND(YEAR(CN$3)=YEAR($B$7),MONTH(CN$3)=MONTH($B$7)),'Вводные'!$B$26*'Вводные'!$V$91*'Вводные'!$B$30,0)</x:f>
      </x:c>
      <x:c r="CO43" s="117" t="n">
        <x:f>IF(AND(OR(CO38&gt;0,CO$3&lt;=$B$8),CO$3&gt;=$B$7,CO$3&lt;EDATE($B$8,'Вводные'!$H$91)),MAX(0,'Вводные'!$B$26*'Вводные'!$V$91-CO38)*'Вводные'!$B$29/12,0)+IF(AND(YEAR(CO$3)=YEAR($B$7),MONTH(CO$3)=MONTH($B$7)),'Вводные'!$B$26*'Вводные'!$V$91*'Вводные'!$B$30,0)</x:f>
      </x:c>
      <x:c r="CP43" s="117" t="n">
        <x:f>IF(AND(OR(CP38&gt;0,CP$3&lt;=$B$8),CP$3&gt;=$B$7,CP$3&lt;EDATE($B$8,'Вводные'!$H$91)),MAX(0,'Вводные'!$B$26*'Вводные'!$V$91-CP38)*'Вводные'!$B$29/12,0)+IF(AND(YEAR(CP$3)=YEAR($B$7),MONTH(CP$3)=MONTH($B$7)),'Вводные'!$B$26*'Вводные'!$V$91*'Вводные'!$B$30,0)</x:f>
      </x:c>
      <x:c r="CQ43" s="117" t="n">
        <x:f>IF(AND(OR(CQ38&gt;0,CQ$3&lt;=$B$8),CQ$3&gt;=$B$7,CQ$3&lt;EDATE($B$8,'Вводные'!$H$91)),MAX(0,'Вводные'!$B$26*'Вводные'!$V$91-CQ38)*'Вводные'!$B$29/12,0)+IF(AND(YEAR(CQ$3)=YEAR($B$7),MONTH(CQ$3)=MONTH($B$7)),'Вводные'!$B$26*'Вводные'!$V$91*'Вводные'!$B$30,0)</x:f>
      </x:c>
      <x:c r="CR43" s="117" t="n">
        <x:f>IF(AND(OR(CR38&gt;0,CR$3&lt;=$B$8),CR$3&gt;=$B$7,CR$3&lt;EDATE($B$8,'Вводные'!$H$91)),MAX(0,'Вводные'!$B$26*'Вводные'!$V$91-CR38)*'Вводные'!$B$29/12,0)+IF(AND(YEAR(CR$3)=YEAR($B$7),MONTH(CR$3)=MONTH($B$7)),'Вводные'!$B$26*'Вводные'!$V$91*'Вводные'!$B$30,0)</x:f>
      </x:c>
      <x:c r="CS43" s="117" t="n">
        <x:f>IF(AND(OR(CS38&gt;0,CS$3&lt;=$B$8),CS$3&gt;=$B$7,CS$3&lt;EDATE($B$8,'Вводные'!$H$91)),MAX(0,'Вводные'!$B$26*'Вводные'!$V$91-CS38)*'Вводные'!$B$29/12,0)+IF(AND(YEAR(CS$3)=YEAR($B$7),MONTH(CS$3)=MONTH($B$7)),'Вводные'!$B$26*'Вводные'!$V$91*'Вводные'!$B$30,0)</x:f>
      </x:c>
      <x:c r="CT43" s="117" t="n">
        <x:f>IF(AND(OR(CT38&gt;0,CT$3&lt;=$B$8),CT$3&gt;=$B$7,CT$3&lt;EDATE($B$8,'Вводные'!$H$91)),MAX(0,'Вводные'!$B$26*'Вводные'!$V$91-CT38)*'Вводные'!$B$29/12,0)+IF(AND(YEAR(CT$3)=YEAR($B$7),MONTH(CT$3)=MONTH($B$7)),'Вводные'!$B$26*'Вводные'!$V$91*'Вводные'!$B$30,0)</x:f>
      </x:c>
      <x:c r="CU43" s="117" t="n">
        <x:f>IF(AND(OR(CU38&gt;0,CU$3&lt;=$B$8),CU$3&gt;=$B$7,CU$3&lt;EDATE($B$8,'Вводные'!$H$91)),MAX(0,'Вводные'!$B$26*'Вводные'!$V$91-CU38)*'Вводные'!$B$29/12,0)+IF(AND(YEAR(CU$3)=YEAR($B$7),MONTH(CU$3)=MONTH($B$7)),'Вводные'!$B$26*'Вводные'!$V$91*'Вводные'!$B$30,0)</x:f>
      </x:c>
      <x:c r="CV43" s="117" t="n">
        <x:f>IF(AND(OR(CV38&gt;0,CV$3&lt;=$B$8),CV$3&gt;=$B$7,CV$3&lt;EDATE($B$8,'Вводные'!$H$91)),MAX(0,'Вводные'!$B$26*'Вводные'!$V$91-CV38)*'Вводные'!$B$29/12,0)+IF(AND(YEAR(CV$3)=YEAR($B$7),MONTH(CV$3)=MONTH($B$7)),'Вводные'!$B$26*'Вводные'!$V$91*'Вводные'!$B$30,0)</x:f>
      </x:c>
      <x:c r="CW43" s="117" t="n">
        <x:f>IF(AND(OR(CW38&gt;0,CW$3&lt;=$B$8),CW$3&gt;=$B$7,CW$3&lt;EDATE($B$8,'Вводные'!$H$91)),MAX(0,'Вводные'!$B$26*'Вводные'!$V$91-CW38)*'Вводные'!$B$29/12,0)+IF(AND(YEAR(CW$3)=YEAR($B$7),MONTH(CW$3)=MONTH($B$7)),'Вводные'!$B$26*'Вводные'!$V$91*'Вводные'!$B$30,0)</x:f>
      </x:c>
      <x:c r="CX43" s="117" t="n">
        <x:f>IF(AND(OR(CX38&gt;0,CX$3&lt;=$B$8),CX$3&gt;=$B$7,CX$3&lt;EDATE($B$8,'Вводные'!$H$91)),MAX(0,'Вводные'!$B$26*'Вводные'!$V$91-CX38)*'Вводные'!$B$29/12,0)+IF(AND(YEAR(CX$3)=YEAR($B$7),MONTH(CX$3)=MONTH($B$7)),'Вводные'!$B$26*'Вводные'!$V$91*'Вводные'!$B$30,0)</x:f>
      </x:c>
      <x:c r="CY43" s="117" t="n">
        <x:f>IF(AND(OR(CY38&gt;0,CY$3&lt;=$B$8),CY$3&gt;=$B$7,CY$3&lt;EDATE($B$8,'Вводные'!$H$91)),MAX(0,'Вводные'!$B$26*'Вводные'!$V$91-CY38)*'Вводные'!$B$29/12,0)+IF(AND(YEAR(CY$3)=YEAR($B$7),MONTH(CY$3)=MONTH($B$7)),'Вводные'!$B$26*'Вводные'!$V$91*'Вводные'!$B$30,0)</x:f>
      </x:c>
      <x:c r="CZ43" s="117" t="n">
        <x:f>IF(AND(OR(CZ38&gt;0,CZ$3&lt;=$B$8),CZ$3&gt;=$B$7,CZ$3&lt;EDATE($B$8,'Вводные'!$H$91)),MAX(0,'Вводные'!$B$26*'Вводные'!$V$91-CZ38)*'Вводные'!$B$29/12,0)+IF(AND(YEAR(CZ$3)=YEAR($B$7),MONTH(CZ$3)=MONTH($B$7)),'Вводные'!$B$26*'Вводные'!$V$91*'Вводные'!$B$30,0)</x:f>
      </x:c>
      <x:c r="DA43" s="117" t="n">
        <x:f>IF(AND(OR(DA38&gt;0,DA$3&lt;=$B$8),DA$3&gt;=$B$7,DA$3&lt;EDATE($B$8,'Вводные'!$H$91)),MAX(0,'Вводные'!$B$26*'Вводные'!$V$91-DA38)*'Вводные'!$B$29/12,0)+IF(AND(YEAR(DA$3)=YEAR($B$7),MONTH(DA$3)=MONTH($B$7)),'Вводные'!$B$26*'Вводные'!$V$91*'Вводные'!$B$30,0)</x:f>
      </x:c>
      <x:c r="DB43" s="117" t="n">
        <x:f>IF(AND(OR(DB38&gt;0,DB$3&lt;=$B$8),DB$3&gt;=$B$7,DB$3&lt;EDATE($B$8,'Вводные'!$H$91)),MAX(0,'Вводные'!$B$26*'Вводные'!$V$91-DB38)*'Вводные'!$B$29/12,0)+IF(AND(YEAR(DB$3)=YEAR($B$7),MONTH(DB$3)=MONTH($B$7)),'Вводные'!$B$26*'Вводные'!$V$91*'Вводные'!$B$30,0)</x:f>
      </x:c>
      <x:c r="DC43" s="117" t="n">
        <x:f>IF(AND(OR(DC38&gt;0,DC$3&lt;=$B$8),DC$3&gt;=$B$7,DC$3&lt;EDATE($B$8,'Вводные'!$H$91)),MAX(0,'Вводные'!$B$26*'Вводные'!$V$91-DC38)*'Вводные'!$B$29/12,0)+IF(AND(YEAR(DC$3)=YEAR($B$7),MONTH(DC$3)=MONTH($B$7)),'Вводные'!$B$26*'Вводные'!$V$91*'Вводные'!$B$30,0)</x:f>
      </x:c>
      <x:c r="DD43" s="117" t="n">
        <x:f>IF(AND(OR(DD38&gt;0,DD$3&lt;=$B$8),DD$3&gt;=$B$7,DD$3&lt;EDATE($B$8,'Вводные'!$H$91)),MAX(0,'Вводные'!$B$26*'Вводные'!$V$91-DD38)*'Вводные'!$B$29/12,0)+IF(AND(YEAR(DD$3)=YEAR($B$7),MONTH(DD$3)=MONTH($B$7)),'Вводные'!$B$26*'Вводные'!$V$91*'Вводные'!$B$30,0)</x:f>
      </x:c>
      <x:c r="DE43" s="117" t="n">
        <x:f>IF(AND(OR(DE38&gt;0,DE$3&lt;=$B$8),DE$3&gt;=$B$7,DE$3&lt;EDATE($B$8,'Вводные'!$H$91)),MAX(0,'Вводные'!$B$26*'Вводные'!$V$91-DE38)*'Вводные'!$B$29/12,0)+IF(AND(YEAR(DE$3)=YEAR($B$7),MONTH(DE$3)=MONTH($B$7)),'Вводные'!$B$26*'Вводные'!$V$91*'Вводные'!$B$30,0)</x:f>
      </x:c>
      <x:c r="DF43" s="117" t="n">
        <x:f>IF(AND(OR(DF38&gt;0,DF$3&lt;=$B$8),DF$3&gt;=$B$7,DF$3&lt;EDATE($B$8,'Вводные'!$H$91)),MAX(0,'Вводные'!$B$26*'Вводные'!$V$91-DF38)*'Вводные'!$B$29/12,0)+IF(AND(YEAR(DF$3)=YEAR($B$7),MONTH(DF$3)=MONTH($B$7)),'Вводные'!$B$26*'Вводные'!$V$91*'Вводные'!$B$30,0)</x:f>
      </x:c>
      <x:c r="DG43" s="117" t="n">
        <x:f>IF(AND(OR(DG38&gt;0,DG$3&lt;=$B$8),DG$3&gt;=$B$7,DG$3&lt;EDATE($B$8,'Вводные'!$H$91)),MAX(0,'Вводные'!$B$26*'Вводные'!$V$91-DG38)*'Вводные'!$B$29/12,0)+IF(AND(YEAR(DG$3)=YEAR($B$7),MONTH(DG$3)=MONTH($B$7)),'Вводные'!$B$26*'Вводные'!$V$91*'Вводные'!$B$30,0)</x:f>
      </x:c>
      <x:c r="DH43" s="117" t="n">
        <x:f>IF(AND(OR(DH38&gt;0,DH$3&lt;=$B$8),DH$3&gt;=$B$7,DH$3&lt;EDATE($B$8,'Вводные'!$H$91)),MAX(0,'Вводные'!$B$26*'Вводные'!$V$91-DH38)*'Вводные'!$B$29/12,0)+IF(AND(YEAR(DH$3)=YEAR($B$7),MONTH(DH$3)=MONTH($B$7)),'Вводные'!$B$26*'Вводные'!$V$91*'Вводные'!$B$30,0)</x:f>
      </x:c>
      <x:c r="DI43" s="117" t="n">
        <x:f>IF(AND(OR(DI38&gt;0,DI$3&lt;=$B$8),DI$3&gt;=$B$7,DI$3&lt;EDATE($B$8,'Вводные'!$H$91)),MAX(0,'Вводные'!$B$26*'Вводные'!$V$91-DI38)*'Вводные'!$B$29/12,0)+IF(AND(YEAR(DI$3)=YEAR($B$7),MONTH(DI$3)=MONTH($B$7)),'Вводные'!$B$26*'Вводные'!$V$91*'Вводные'!$B$30,0)</x:f>
      </x:c>
      <x:c r="DJ43" s="117" t="n">
        <x:f>IF(AND(OR(DJ38&gt;0,DJ$3&lt;=$B$8),DJ$3&gt;=$B$7,DJ$3&lt;EDATE($B$8,'Вводные'!$H$91)),MAX(0,'Вводные'!$B$26*'Вводные'!$V$91-DJ38)*'Вводные'!$B$29/12,0)+IF(AND(YEAR(DJ$3)=YEAR($B$7),MONTH(DJ$3)=MONTH($B$7)),'Вводные'!$B$26*'Вводные'!$V$91*'Вводные'!$B$30,0)</x:f>
      </x:c>
      <x:c r="DK43" s="117" t="n">
        <x:f>IF(AND(OR(DK38&gt;0,DK$3&lt;=$B$8),DK$3&gt;=$B$7,DK$3&lt;EDATE($B$8,'Вводные'!$H$91)),MAX(0,'Вводные'!$B$26*'Вводные'!$V$91-DK38)*'Вводные'!$B$29/12,0)+IF(AND(YEAR(DK$3)=YEAR($B$7),MONTH(DK$3)=MONTH($B$7)),'Вводные'!$B$26*'Вводные'!$V$91*'Вводные'!$B$30,0)</x:f>
      </x:c>
      <x:c r="DL43" s="117" t="n">
        <x:f>IF(AND(OR(DL38&gt;0,DL$3&lt;=$B$8),DL$3&gt;=$B$7,DL$3&lt;EDATE($B$8,'Вводные'!$H$91)),MAX(0,'Вводные'!$B$26*'Вводные'!$V$91-DL38)*'Вводные'!$B$29/12,0)+IF(AND(YEAR(DL$3)=YEAR($B$7),MONTH(DL$3)=MONTH($B$7)),'Вводные'!$B$26*'Вводные'!$V$91*'Вводные'!$B$30,0)</x:f>
      </x:c>
      <x:c r="DM43" s="117" t="n">
        <x:f>IF(AND(OR(DM38&gt;0,DM$3&lt;=$B$8),DM$3&gt;=$B$7,DM$3&lt;EDATE($B$8,'Вводные'!$H$91)),MAX(0,'Вводные'!$B$26*'Вводные'!$V$91-DM38)*'Вводные'!$B$29/12,0)+IF(AND(YEAR(DM$3)=YEAR($B$7),MONTH(DM$3)=MONTH($B$7)),'Вводные'!$B$26*'Вводные'!$V$91*'Вводные'!$B$30,0)</x:f>
      </x:c>
      <x:c r="DN43" s="117" t="n">
        <x:f>IF(AND(OR(DN38&gt;0,DN$3&lt;=$B$8),DN$3&gt;=$B$7,DN$3&lt;EDATE($B$8,'Вводные'!$H$91)),MAX(0,'Вводные'!$B$26*'Вводные'!$V$91-DN38)*'Вводные'!$B$29/12,0)+IF(AND(YEAR(DN$3)=YEAR($B$7),MONTH(DN$3)=MONTH($B$7)),'Вводные'!$B$26*'Вводные'!$V$91*'Вводные'!$B$30,0)</x:f>
      </x:c>
      <x:c r="DO43" s="117" t="n">
        <x:f>IF(AND(OR(DO38&gt;0,DO$3&lt;=$B$8),DO$3&gt;=$B$7,DO$3&lt;EDATE($B$8,'Вводные'!$H$91)),MAX(0,'Вводные'!$B$26*'Вводные'!$V$91-DO38)*'Вводные'!$B$29/12,0)+IF(AND(YEAR(DO$3)=YEAR($B$7),MONTH(DO$3)=MONTH($B$7)),'Вводные'!$B$26*'Вводные'!$V$91*'Вводные'!$B$30,0)</x:f>
      </x:c>
      <x:c r="DP43" s="117" t="n">
        <x:f>IF(AND(OR(DP38&gt;0,DP$3&lt;=$B$8),DP$3&gt;=$B$7,DP$3&lt;EDATE($B$8,'Вводные'!$H$91)),MAX(0,'Вводные'!$B$26*'Вводные'!$V$91-DP38)*'Вводные'!$B$29/12,0)+IF(AND(YEAR(DP$3)=YEAR($B$7),MONTH(DP$3)=MONTH($B$7)),'Вводные'!$B$26*'Вводные'!$V$91*'Вводные'!$B$30,0)</x:f>
      </x:c>
      <x:c r="DQ43" s="117" t="n">
        <x:f>IF(AND(OR(DQ38&gt;0,DQ$3&lt;=$B$8),DQ$3&gt;=$B$7,DQ$3&lt;EDATE($B$8,'Вводные'!$H$91)),MAX(0,'Вводные'!$B$26*'Вводные'!$V$91-DQ38)*'Вводные'!$B$29/12,0)+IF(AND(YEAR(DQ$3)=YEAR($B$7),MONTH(DQ$3)=MONTH($B$7)),'Вводные'!$B$26*'Вводные'!$V$91*'Вводные'!$B$30,0)</x:f>
      </x:c>
      <x:c r="DR43" s="117" t="n">
        <x:f>IF(AND(OR(DR38&gt;0,DR$3&lt;=$B$8),DR$3&gt;=$B$7,DR$3&lt;EDATE($B$8,'Вводные'!$H$91)),MAX(0,'Вводные'!$B$26*'Вводные'!$V$91-DR38)*'Вводные'!$B$29/12,0)+IF(AND(YEAR(DR$3)=YEAR($B$7),MONTH(DR$3)=MONTH($B$7)),'Вводные'!$B$26*'Вводные'!$V$91*'Вводные'!$B$30,0)</x:f>
      </x:c>
      <x:c r="DS43" s="117" t="n">
        <x:f>IF(AND(OR(DS38&gt;0,DS$3&lt;=$B$8),DS$3&gt;=$B$7,DS$3&lt;EDATE($B$8,'Вводные'!$H$91)),MAX(0,'Вводные'!$B$26*'Вводные'!$V$91-DS38)*'Вводные'!$B$29/12,0)+IF(AND(YEAR(DS$3)=YEAR($B$7),MONTH(DS$3)=MONTH($B$7)),'Вводные'!$B$26*'Вводные'!$V$91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