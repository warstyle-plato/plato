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IF(AND((D38+D45)&gt;0,$B$5=1,D$3&lt;EDATE($B$8,'Вводные'!$H$88)),(D38+D45)*D41/12,0)</x:f>
      </x:c>
      <x:c r="E42" s="117">
        <x:f>IF(AND((E38+E45)&gt;0,$B$5=1,E$3&lt;EDATE($B$8,'Вводные'!$H$88)),(E38+E45)*E41/12,0)</x:f>
      </x:c>
      <x:c r="F42" s="117">
        <x:f>IF(AND((F38+F45)&gt;0,$B$5=1,F$3&lt;EDATE($B$8,'Вводные'!$H$88)),(F38+F45)*F41/12,0)</x:f>
      </x:c>
      <x:c r="G42" s="117">
        <x:f>IF(AND((G38+G45)&gt;0,$B$5=1,G$3&lt;EDATE($B$8,'Вводные'!$H$88)),(G38+G45)*G41/12,0)</x:f>
      </x:c>
      <x:c r="H42" s="117">
        <x:f>IF(AND((H38+H45)&gt;0,$B$5=1,H$3&lt;EDATE($B$8,'Вводные'!$H$88)),(H38+H45)*H41/12,0)</x:f>
      </x:c>
      <x:c r="I42" s="117">
        <x:f>IF(AND((I38+I45)&gt;0,$B$5=1,I$3&lt;EDATE($B$8,'Вводные'!$H$88)),(I38+I45)*I41/12,0)</x:f>
      </x:c>
      <x:c r="J42" s="117">
        <x:f>IF(AND((J38+J45)&gt;0,$B$5=1,J$3&lt;EDATE($B$8,'Вводные'!$H$88)),(J38+J45)*J41/12,0)</x:f>
      </x:c>
      <x:c r="K42" s="117">
        <x:f>IF(AND((K38+K45)&gt;0,$B$5=1,K$3&lt;EDATE($B$8,'Вводные'!$H$88)),(K38+K45)*K41/12,0)</x:f>
      </x:c>
      <x:c r="L42" s="117">
        <x:f>IF(AND((L38+L45)&gt;0,$B$5=1,L$3&lt;EDATE($B$8,'Вводные'!$H$88)),(L38+L45)*L41/12,0)</x:f>
      </x:c>
      <x:c r="M42" s="117">
        <x:f>IF(AND((M38+M45)&gt;0,$B$5=1,M$3&lt;EDATE($B$8,'Вводные'!$H$88)),(M38+M45)*M41/12,0)</x:f>
      </x:c>
      <x:c r="N42" s="117">
        <x:f>IF(AND((N38+N45)&gt;0,$B$5=1,N$3&lt;EDATE($B$8,'Вводные'!$H$88)),(N38+N45)*N41/12,0)</x:f>
      </x:c>
      <x:c r="O42" s="117">
        <x:f>IF(AND((O38+O45)&gt;0,$B$5=1,O$3&lt;EDATE($B$8,'Вводные'!$H$88)),(O38+O45)*O41/12,0)</x:f>
      </x:c>
      <x:c r="P42" s="117">
        <x:f>IF(AND((P38+P45)&gt;0,$B$5=1,P$3&lt;EDATE($B$8,'Вводные'!$H$88)),(P38+P45)*P41/12,0)</x:f>
      </x:c>
      <x:c r="Q42" s="117">
        <x:f>IF(AND((Q38+Q45)&gt;0,$B$5=1,Q$3&lt;EDATE($B$8,'Вводные'!$H$88)),(Q38+Q45)*Q41/12,0)</x:f>
      </x:c>
      <x:c r="R42" s="117">
        <x:f>IF(AND((R38+R45)&gt;0,$B$5=1,R$3&lt;EDATE($B$8,'Вводные'!$H$88)),(R38+R45)*R41/12,0)</x:f>
      </x:c>
      <x:c r="S42" s="117">
        <x:f>IF(AND((S38+S45)&gt;0,$B$5=1,S$3&lt;EDATE($B$8,'Вводные'!$H$88)),(S38+S45)*S41/12,0)</x:f>
      </x:c>
      <x:c r="T42" s="117">
        <x:f>IF(AND((T38+T45)&gt;0,$B$5=1,T$3&lt;EDATE($B$8,'Вводные'!$H$88)),(T38+T45)*T41/12,0)</x:f>
      </x:c>
      <x:c r="U42" s="117">
        <x:f>IF(AND((U38+U45)&gt;0,$B$5=1,U$3&lt;EDATE($B$8,'Вводные'!$H$88)),(U38+U45)*U41/12,0)</x:f>
      </x:c>
      <x:c r="V42" s="117">
        <x:f>IF(AND((V38+V45)&gt;0,$B$5=1,V$3&lt;EDATE($B$8,'Вводные'!$H$88)),(V38+V45)*V41/12,0)</x:f>
      </x:c>
      <x:c r="W42" s="117">
        <x:f>IF(AND((W38+W45)&gt;0,$B$5=1,W$3&lt;EDATE($B$8,'Вводные'!$H$88)),(W38+W45)*W41/12,0)</x:f>
      </x:c>
      <x:c r="X42" s="117">
        <x:f>IF(AND((X38+X45)&gt;0,$B$5=1,X$3&lt;EDATE($B$8,'Вводные'!$H$88)),(X38+X45)*X41/12,0)</x:f>
      </x:c>
      <x:c r="Y42" s="117">
        <x:f>IF(AND((Y38+Y45)&gt;0,$B$5=1,Y$3&lt;EDATE($B$8,'Вводные'!$H$88)),(Y38+Y45)*Y41/12,0)</x:f>
      </x:c>
      <x:c r="Z42" s="117">
        <x:f>IF(AND((Z38+Z45)&gt;0,$B$5=1,Z$3&lt;EDATE($B$8,'Вводные'!$H$88)),(Z38+Z45)*Z41/12,0)</x:f>
      </x:c>
      <x:c r="AA42" s="117">
        <x:f>IF(AND((AA38+AA45)&gt;0,$B$5=1,AA$3&lt;EDATE($B$8,'Вводные'!$H$88)),(AA38+AA45)*AA41/12,0)</x:f>
      </x:c>
      <x:c r="AB42" s="117">
        <x:f>IF(AND((AB38+AB45)&gt;0,$B$5=1,AB$3&lt;EDATE($B$8,'Вводные'!$H$88)),(AB38+AB45)*AB41/12,0)</x:f>
      </x:c>
      <x:c r="AC42" s="117">
        <x:f>IF(AND((AC38+AC45)&gt;0,$B$5=1,AC$3&lt;EDATE($B$8,'Вводные'!$H$88)),(AC38+AC45)*AC41/12,0)</x:f>
      </x:c>
      <x:c r="AD42" s="117">
        <x:f>IF(AND((AD38+AD45)&gt;0,$B$5=1,AD$3&lt;EDATE($B$8,'Вводные'!$H$88)),(AD38+AD45)*AD41/12,0)</x:f>
      </x:c>
      <x:c r="AE42" s="117">
        <x:f>IF(AND((AE38+AE45)&gt;0,$B$5=1,AE$3&lt;EDATE($B$8,'Вводные'!$H$88)),(AE38+AE45)*AE41/12,0)</x:f>
      </x:c>
      <x:c r="AF42" s="117">
        <x:f>IF(AND((AF38+AF45)&gt;0,$B$5=1,AF$3&lt;EDATE($B$8,'Вводные'!$H$88)),(AF38+AF45)*AF41/12,0)</x:f>
      </x:c>
      <x:c r="AG42" s="117">
        <x:f>IF(AND((AG38+AG45)&gt;0,$B$5=1,AG$3&lt;EDATE($B$8,'Вводные'!$H$88)),(AG38+AG45)*AG41/12,0)</x:f>
      </x:c>
      <x:c r="AH42" s="117">
        <x:f>IF(AND((AH38+AH45)&gt;0,$B$5=1,AH$3&lt;EDATE($B$8,'Вводные'!$H$88)),(AH38+AH45)*AH41/12,0)</x:f>
      </x:c>
      <x:c r="AI42" s="117">
        <x:f>IF(AND((AI38+AI45)&gt;0,$B$5=1,AI$3&lt;EDATE($B$8,'Вводные'!$H$88)),(AI38+AI45)*AI41/12,0)</x:f>
      </x:c>
      <x:c r="AJ42" s="117">
        <x:f>IF(AND((AJ38+AJ45)&gt;0,$B$5=1,AJ$3&lt;EDATE($B$8,'Вводные'!$H$88)),(AJ38+AJ45)*AJ41/12,0)</x:f>
      </x:c>
      <x:c r="AK42" s="117">
        <x:f>IF(AND((AK38+AK45)&gt;0,$B$5=1,AK$3&lt;EDATE($B$8,'Вводные'!$H$88)),(AK38+AK45)*AK41/12,0)</x:f>
      </x:c>
      <x:c r="AL42" s="117">
        <x:f>IF(AND((AL38+AL45)&gt;0,$B$5=1,AL$3&lt;EDATE($B$8,'Вводные'!$H$88)),(AL38+AL45)*AL41/12,0)</x:f>
      </x:c>
      <x:c r="AM42" s="117">
        <x:f>IF(AND((AM38+AM45)&gt;0,$B$5=1,AM$3&lt;EDATE($B$8,'Вводные'!$H$88)),(AM38+AM45)*AM41/12,0)</x:f>
      </x:c>
      <x:c r="AN42" s="117">
        <x:f>IF(AND((AN38+AN45)&gt;0,$B$5=1,AN$3&lt;EDATE($B$8,'Вводные'!$H$88)),(AN38+AN45)*AN41/12,0)</x:f>
      </x:c>
      <x:c r="AO42" s="117">
        <x:f>IF(AND((AO38+AO45)&gt;0,$B$5=1,AO$3&lt;EDATE($B$8,'Вводные'!$H$88)),(AO38+AO45)*AO41/12,0)</x:f>
      </x:c>
      <x:c r="AP42" s="117">
        <x:f>IF(AND((AP38+AP45)&gt;0,$B$5=1,AP$3&lt;EDATE($B$8,'Вводные'!$H$88)),(AP38+AP45)*AP41/12,0)</x:f>
      </x:c>
      <x:c r="AQ42" s="117">
        <x:f>IF(AND((AQ38+AQ45)&gt;0,$B$5=1,AQ$3&lt;EDATE($B$8,'Вводные'!$H$88)),(AQ38+AQ45)*AQ41/12,0)</x:f>
      </x:c>
      <x:c r="AR42" s="117">
        <x:f>IF(AND((AR38+AR45)&gt;0,$B$5=1,AR$3&lt;EDATE($B$8,'Вводные'!$H$88)),(AR38+AR45)*AR41/12,0)</x:f>
      </x:c>
      <x:c r="AS42" s="117">
        <x:f>IF(AND((AS38+AS45)&gt;0,$B$5=1,AS$3&lt;EDATE($B$8,'Вводные'!$H$88)),(AS38+AS45)*AS41/12,0)</x:f>
      </x:c>
      <x:c r="AT42" s="117">
        <x:f>IF(AND((AT38+AT45)&gt;0,$B$5=1,AT$3&lt;EDATE($B$8,'Вводные'!$H$88)),(AT38+AT45)*AT41/12,0)</x:f>
      </x:c>
      <x:c r="AU42" s="117">
        <x:f>IF(AND((AU38+AU45)&gt;0,$B$5=1,AU$3&lt;EDATE($B$8,'Вводные'!$H$88)),(AU38+AU45)*AU41/12,0)</x:f>
      </x:c>
      <x:c r="AV42" s="117">
        <x:f>IF(AND((AV38+AV45)&gt;0,$B$5=1,AV$3&lt;EDATE($B$8,'Вводные'!$H$88)),(AV38+AV45)*AV41/12,0)</x:f>
      </x:c>
      <x:c r="AW42" s="117">
        <x:f>IF(AND((AW38+AW45)&gt;0,$B$5=1,AW$3&lt;EDATE($B$8,'Вводные'!$H$88)),(AW38+AW45)*AW41/12,0)</x:f>
      </x:c>
      <x:c r="AX42" s="117">
        <x:f>IF(AND((AX38+AX45)&gt;0,$B$5=1,AX$3&lt;EDATE($B$8,'Вводные'!$H$88)),(AX38+AX45)*AX41/12,0)</x:f>
      </x:c>
      <x:c r="AY42" s="117">
        <x:f>IF(AND((AY38+AY45)&gt;0,$B$5=1,AY$3&lt;EDATE($B$8,'Вводные'!$H$88)),(AY38+AY45)*AY41/12,0)</x:f>
      </x:c>
      <x:c r="AZ42" s="117">
        <x:f>IF(AND((AZ38+AZ45)&gt;0,$B$5=1,AZ$3&lt;EDATE($B$8,'Вводные'!$H$88)),(AZ38+AZ45)*AZ41/12,0)</x:f>
      </x:c>
      <x:c r="BA42" s="117">
        <x:f>IF(AND((BA38+BA45)&gt;0,$B$5=1,BA$3&lt;EDATE($B$8,'Вводные'!$H$88)),(BA38+BA45)*BA41/12,0)</x:f>
      </x:c>
      <x:c r="BB42" s="117">
        <x:f>IF(AND((BB38+BB45)&gt;0,$B$5=1,BB$3&lt;EDATE($B$8,'Вводные'!$H$88)),(BB38+BB45)*BB41/12,0)</x:f>
      </x:c>
      <x:c r="BC42" s="117">
        <x:f>IF(AND((BC38+BC45)&gt;0,$B$5=1,BC$3&lt;EDATE($B$8,'Вводные'!$H$88)),(BC38+BC45)*BC41/12,0)</x:f>
      </x:c>
      <x:c r="BD42" s="117">
        <x:f>IF(AND((BD38+BD45)&gt;0,$B$5=1,BD$3&lt;EDATE($B$8,'Вводные'!$H$88)),(BD38+BD45)*BD41/12,0)</x:f>
      </x:c>
      <x:c r="BE42" s="117">
        <x:f>IF(AND((BE38+BE45)&gt;0,$B$5=1,BE$3&lt;EDATE($B$8,'Вводные'!$H$88)),(BE38+BE45)*BE41/12,0)</x:f>
      </x:c>
      <x:c r="BF42" s="117">
        <x:f>IF(AND((BF38+BF45)&gt;0,$B$5=1,BF$3&lt;EDATE($B$8,'Вводные'!$H$88)),(BF38+BF45)*BF41/12,0)</x:f>
      </x:c>
      <x:c r="BG42" s="117">
        <x:f>IF(AND((BG38+BG45)&gt;0,$B$5=1,BG$3&lt;EDATE($B$8,'Вводные'!$H$88)),(BG38+BG45)*BG41/12,0)</x:f>
      </x:c>
      <x:c r="BH42" s="117">
        <x:f>IF(AND((BH38+BH45)&gt;0,$B$5=1,BH$3&lt;EDATE($B$8,'Вводные'!$H$88)),(BH38+BH45)*BH41/12,0)</x:f>
      </x:c>
      <x:c r="BI42" s="117">
        <x:f>IF(AND((BI38+BI45)&gt;0,$B$5=1,BI$3&lt;EDATE($B$8,'Вводные'!$H$88)),(BI38+BI45)*BI41/12,0)</x:f>
      </x:c>
      <x:c r="BJ42" s="117">
        <x:f>IF(AND((BJ38+BJ45)&gt;0,$B$5=1,BJ$3&lt;EDATE($B$8,'Вводные'!$H$88)),(BJ38+BJ45)*BJ41/12,0)</x:f>
      </x:c>
      <x:c r="BK42" s="117">
        <x:f>IF(AND((BK38+BK45)&gt;0,$B$5=1,BK$3&lt;EDATE($B$8,'Вводные'!$H$88)),(BK38+BK45)*BK41/12,0)</x:f>
      </x:c>
      <x:c r="BL42" s="117">
        <x:f>IF(AND((BL38+BL45)&gt;0,$B$5=1,BL$3&lt;EDATE($B$8,'Вводные'!$H$88)),(BL38+BL45)*BL41/12,0)</x:f>
      </x:c>
      <x:c r="BM42" s="117">
        <x:f>IF(AND((BM38+BM45)&gt;0,$B$5=1,BM$3&lt;EDATE($B$8,'Вводные'!$H$88)),(BM38+BM45)*BM41/12,0)</x:f>
      </x:c>
      <x:c r="BN42" s="117">
        <x:f>IF(AND((BN38+BN45)&gt;0,$B$5=1,BN$3&lt;EDATE($B$8,'Вводные'!$H$88)),(BN38+BN45)*BN41/12,0)</x:f>
      </x:c>
      <x:c r="BO42" s="117">
        <x:f>IF(AND((BO38+BO45)&gt;0,$B$5=1,BO$3&lt;EDATE($B$8,'Вводные'!$H$88)),(BO38+BO45)*BO41/12,0)</x:f>
      </x:c>
      <x:c r="BP42" s="117">
        <x:f>IF(AND((BP38+BP45)&gt;0,$B$5=1,BP$3&lt;EDATE($B$8,'Вводные'!$H$88)),(BP38+BP45)*BP41/12,0)</x:f>
      </x:c>
      <x:c r="BQ42" s="117">
        <x:f>IF(AND((BQ38+BQ45)&gt;0,$B$5=1,BQ$3&lt;EDATE($B$8,'Вводные'!$H$88)),(BQ38+BQ45)*BQ41/12,0)</x:f>
      </x:c>
      <x:c r="BR42" s="117">
        <x:f>IF(AND((BR38+BR45)&gt;0,$B$5=1,BR$3&lt;EDATE($B$8,'Вводные'!$H$88)),(BR38+BR45)*BR41/12,0)</x:f>
      </x:c>
      <x:c r="BS42" s="117">
        <x:f>IF(AND((BS38+BS45)&gt;0,$B$5=1,BS$3&lt;EDATE($B$8,'Вводные'!$H$88)),(BS38+BS45)*BS41/12,0)</x:f>
      </x:c>
      <x:c r="BT42" s="117">
        <x:f>IF(AND((BT38+BT45)&gt;0,$B$5=1,BT$3&lt;EDATE($B$8,'Вводные'!$H$88)),(BT38+BT45)*BT41/12,0)</x:f>
      </x:c>
      <x:c r="BU42" s="117">
        <x:f>IF(AND((BU38+BU45)&gt;0,$B$5=1,BU$3&lt;EDATE($B$8,'Вводные'!$H$88)),(BU38+BU45)*BU41/12,0)</x:f>
      </x:c>
      <x:c r="BV42" s="117">
        <x:f>IF(AND((BV38+BV45)&gt;0,$B$5=1,BV$3&lt;EDATE($B$8,'Вводные'!$H$88)),(BV38+BV45)*BV41/12,0)</x:f>
      </x:c>
      <x:c r="BW42" s="117">
        <x:f>IF(AND((BW38+BW45)&gt;0,$B$5=1,BW$3&lt;EDATE($B$8,'Вводные'!$H$88)),(BW38+BW45)*BW41/12,0)</x:f>
      </x:c>
      <x:c r="BX42" s="117">
        <x:f>IF(AND((BX38+BX45)&gt;0,$B$5=1,BX$3&lt;EDATE($B$8,'Вводные'!$H$88)),(BX38+BX45)*BX41/12,0)</x:f>
      </x:c>
      <x:c r="BY42" s="117">
        <x:f>IF(AND((BY38+BY45)&gt;0,$B$5=1,BY$3&lt;EDATE($B$8,'Вводные'!$H$88)),(BY38+BY45)*BY41/12,0)</x:f>
      </x:c>
      <x:c r="BZ42" s="117">
        <x:f>IF(AND((BZ38+BZ45)&gt;0,$B$5=1,BZ$3&lt;EDATE($B$8,'Вводные'!$H$88)),(BZ38+BZ45)*BZ41/12,0)</x:f>
      </x:c>
      <x:c r="CA42" s="117">
        <x:f>IF(AND((CA38+CA45)&gt;0,$B$5=1,CA$3&lt;EDATE($B$8,'Вводные'!$H$88)),(CA38+CA45)*CA41/12,0)</x:f>
      </x:c>
      <x:c r="CB42" s="117">
        <x:f>IF(AND((CB38+CB45)&gt;0,$B$5=1,CB$3&lt;EDATE($B$8,'Вводные'!$H$88)),(CB38+CB45)*CB41/12,0)</x:f>
      </x:c>
      <x:c r="CC42" s="117">
        <x:f>IF(AND((CC38+CC45)&gt;0,$B$5=1,CC$3&lt;EDATE($B$8,'Вводные'!$H$88)),(CC38+CC45)*CC41/12,0)</x:f>
      </x:c>
      <x:c r="CD42" s="117">
        <x:f>IF(AND((CD38+CD45)&gt;0,$B$5=1,CD$3&lt;EDATE($B$8,'Вводные'!$H$88)),(CD38+CD45)*CD41/12,0)</x:f>
      </x:c>
      <x:c r="CE42" s="117">
        <x:f>IF(AND((CE38+CE45)&gt;0,$B$5=1,CE$3&lt;EDATE($B$8,'Вводные'!$H$88)),(CE38+CE45)*CE41/12,0)</x:f>
      </x:c>
      <x:c r="CF42" s="117">
        <x:f>IF(AND((CF38+CF45)&gt;0,$B$5=1,CF$3&lt;EDATE($B$8,'Вводные'!$H$88)),(CF38+CF45)*CF41/12,0)</x:f>
      </x:c>
      <x:c r="CG42" s="117">
        <x:f>IF(AND((CG38+CG45)&gt;0,$B$5=1,CG$3&lt;EDATE($B$8,'Вводные'!$H$88)),(CG38+CG45)*CG41/12,0)</x:f>
      </x:c>
      <x:c r="CH42" s="117">
        <x:f>IF(AND((CH38+CH45)&gt;0,$B$5=1,CH$3&lt;EDATE($B$8,'Вводные'!$H$88)),(CH38+CH45)*CH41/12,0)</x:f>
      </x:c>
      <x:c r="CI42" s="117">
        <x:f>IF(AND((CI38+CI45)&gt;0,$B$5=1,CI$3&lt;EDATE($B$8,'Вводные'!$H$88)),(CI38+CI45)*CI41/12,0)</x:f>
      </x:c>
      <x:c r="CJ42" s="117">
        <x:f>IF(AND((CJ38+CJ45)&gt;0,$B$5=1,CJ$3&lt;EDATE($B$8,'Вводные'!$H$88)),(CJ38+CJ45)*CJ41/12,0)</x:f>
      </x:c>
      <x:c r="CK42" s="117">
        <x:f>IF(AND((CK38+CK45)&gt;0,$B$5=1,CK$3&lt;EDATE($B$8,'Вводные'!$H$88)),(CK38+CK45)*CK41/12,0)</x:f>
      </x:c>
      <x:c r="CL42" s="117">
        <x:f>IF(AND((CL38+CL45)&gt;0,$B$5=1,CL$3&lt;EDATE($B$8,'Вводные'!$H$88)),(CL38+CL45)*CL41/12,0)</x:f>
      </x:c>
      <x:c r="CM42" s="117">
        <x:f>IF(AND((CM38+CM45)&gt;0,$B$5=1,CM$3&lt;EDATE($B$8,'Вводные'!$H$88)),(CM38+CM45)*CM41/12,0)</x:f>
      </x:c>
      <x:c r="CN42" s="117">
        <x:f>IF(AND((CN38+CN45)&gt;0,$B$5=1,CN$3&lt;EDATE($B$8,'Вводные'!$H$88)),(CN38+CN45)*CN41/12,0)</x:f>
      </x:c>
      <x:c r="CO42" s="117">
        <x:f>IF(AND((CO38+CO45)&gt;0,$B$5=1,CO$3&lt;EDATE($B$8,'Вводные'!$H$88)),(CO38+CO45)*CO41/12,0)</x:f>
      </x:c>
      <x:c r="CP42" s="117">
        <x:f>IF(AND((CP38+CP45)&gt;0,$B$5=1,CP$3&lt;EDATE($B$8,'Вводные'!$H$88)),(CP38+CP45)*CP41/12,0)</x:f>
      </x:c>
      <x:c r="CQ42" s="117">
        <x:f>IF(AND((CQ38+CQ45)&gt;0,$B$5=1,CQ$3&lt;EDATE($B$8,'Вводные'!$H$88)),(CQ38+CQ45)*CQ41/12,0)</x:f>
      </x:c>
      <x:c r="CR42" s="117">
        <x:f>IF(AND((CR38+CR45)&gt;0,$B$5=1,CR$3&lt;EDATE($B$8,'Вводные'!$H$88)),(CR38+CR45)*CR41/12,0)</x:f>
      </x:c>
      <x:c r="CS42" s="117">
        <x:f>IF(AND((CS38+CS45)&gt;0,$B$5=1,CS$3&lt;EDATE($B$8,'Вводные'!$H$88)),(CS38+CS45)*CS41/12,0)</x:f>
      </x:c>
      <x:c r="CT42" s="117">
        <x:f>IF(AND((CT38+CT45)&gt;0,$B$5=1,CT$3&lt;EDATE($B$8,'Вводные'!$H$88)),(CT38+CT45)*CT41/12,0)</x:f>
      </x:c>
      <x:c r="CU42" s="117">
        <x:f>IF(AND((CU38+CU45)&gt;0,$B$5=1,CU$3&lt;EDATE($B$8,'Вводные'!$H$88)),(CU38+CU45)*CU41/12,0)</x:f>
      </x:c>
      <x:c r="CV42" s="117">
        <x:f>IF(AND((CV38+CV45)&gt;0,$B$5=1,CV$3&lt;EDATE($B$8,'Вводные'!$H$88)),(CV38+CV45)*CV41/12,0)</x:f>
      </x:c>
      <x:c r="CW42" s="117">
        <x:f>IF(AND((CW38+CW45)&gt;0,$B$5=1,CW$3&lt;EDATE($B$8,'Вводные'!$H$88)),(CW38+CW45)*CW41/12,0)</x:f>
      </x:c>
      <x:c r="CX42" s="117">
        <x:f>IF(AND((CX38+CX45)&gt;0,$B$5=1,CX$3&lt;EDATE($B$8,'Вводные'!$H$88)),(CX38+CX45)*CX41/12,0)</x:f>
      </x:c>
      <x:c r="CY42" s="117">
        <x:f>IF(AND((CY38+CY45)&gt;0,$B$5=1,CY$3&lt;EDATE($B$8,'Вводные'!$H$88)),(CY38+CY45)*CY41/12,0)</x:f>
      </x:c>
      <x:c r="CZ42" s="117">
        <x:f>IF(AND((CZ38+CZ45)&gt;0,$B$5=1,CZ$3&lt;EDATE($B$8,'Вводные'!$H$88)),(CZ38+CZ45)*CZ41/12,0)</x:f>
      </x:c>
      <x:c r="DA42" s="117">
        <x:f>IF(AND((DA38+DA45)&gt;0,$B$5=1,DA$3&lt;EDATE($B$8,'Вводные'!$H$88)),(DA38+DA45)*DA41/12,0)</x:f>
      </x:c>
      <x:c r="DB42" s="117">
        <x:f>IF(AND((DB38+DB45)&gt;0,$B$5=1,DB$3&lt;EDATE($B$8,'Вводные'!$H$88)),(DB38+DB45)*DB41/12,0)</x:f>
      </x:c>
      <x:c r="DC42" s="117">
        <x:f>IF(AND((DC38+DC45)&gt;0,$B$5=1,DC$3&lt;EDATE($B$8,'Вводные'!$H$88)),(DC38+DC45)*DC41/12,0)</x:f>
      </x:c>
      <x:c r="DD42" s="117">
        <x:f>IF(AND((DD38+DD45)&gt;0,$B$5=1,DD$3&lt;EDATE($B$8,'Вводные'!$H$88)),(DD38+DD45)*DD41/12,0)</x:f>
      </x:c>
      <x:c r="DE42" s="117">
        <x:f>IF(AND((DE38+DE45)&gt;0,$B$5=1,DE$3&lt;EDATE($B$8,'Вводные'!$H$88)),(DE38+DE45)*DE41/12,0)</x:f>
      </x:c>
      <x:c r="DF42" s="117">
        <x:f>IF(AND((DF38+DF45)&gt;0,$B$5=1,DF$3&lt;EDATE($B$8,'Вводные'!$H$88)),(DF38+DF45)*DF41/12,0)</x:f>
      </x:c>
      <x:c r="DG42" s="117">
        <x:f>IF(AND((DG38+DG45)&gt;0,$B$5=1,DG$3&lt;EDATE($B$8,'Вводные'!$H$88)),(DG38+DG45)*DG41/12,0)</x:f>
      </x:c>
      <x:c r="DH42" s="117">
        <x:f>IF(AND((DH38+DH45)&gt;0,$B$5=1,DH$3&lt;EDATE($B$8,'Вводные'!$H$88)),(DH38+DH45)*DH41/12,0)</x:f>
      </x:c>
      <x:c r="DI42" s="117">
        <x:f>IF(AND((DI38+DI45)&gt;0,$B$5=1,DI$3&lt;EDATE($B$8,'Вводные'!$H$88)),(DI38+DI45)*DI41/12,0)</x:f>
      </x:c>
      <x:c r="DJ42" s="117">
        <x:f>IF(AND((DJ38+DJ45)&gt;0,$B$5=1,DJ$3&lt;EDATE($B$8,'Вводные'!$H$88)),(DJ38+DJ45)*DJ41/12,0)</x:f>
      </x:c>
      <x:c r="DK42" s="117">
        <x:f>IF(AND((DK38+DK45)&gt;0,$B$5=1,DK$3&lt;EDATE($B$8,'Вводные'!$H$88)),(DK38+DK45)*DK41/12,0)</x:f>
      </x:c>
      <x:c r="DL42" s="117">
        <x:f>IF(AND((DL38+DL45)&gt;0,$B$5=1,DL$3&lt;EDATE($B$8,'Вводные'!$H$88)),(DL38+DL45)*DL41/12,0)</x:f>
      </x:c>
      <x:c r="DM42" s="117">
        <x:f>IF(AND((DM38+DM45)&gt;0,$B$5=1,DM$3&lt;EDATE($B$8,'Вводные'!$H$88)),(DM38+DM45)*DM41/12,0)</x:f>
      </x:c>
      <x:c r="DN42" s="117">
        <x:f>IF(AND((DN38+DN45)&gt;0,$B$5=1,DN$3&lt;EDATE($B$8,'Вводные'!$H$88)),(DN38+DN45)*DN41/12,0)</x:f>
      </x:c>
      <x:c r="DO42" s="117">
        <x:f>IF(AND((DO38+DO45)&gt;0,$B$5=1,DO$3&lt;EDATE($B$8,'Вводные'!$H$88)),(DO38+DO45)*DO41/12,0)</x:f>
      </x:c>
      <x:c r="DP42" s="117">
        <x:f>IF(AND((DP38+DP45)&gt;0,$B$5=1,DP$3&lt;EDATE($B$8,'Вводные'!$H$88)),(DP38+DP45)*DP41/12,0)</x:f>
      </x:c>
      <x:c r="DQ42" s="117">
        <x:f>IF(AND((DQ38+DQ45)&gt;0,$B$5=1,DQ$3&lt;EDATE($B$8,'Вводные'!$H$88)),(DQ38+DQ45)*DQ41/12,0)</x:f>
      </x:c>
      <x:c r="DR42" s="117">
        <x:f>IF(AND((DR38+DR45)&gt;0,$B$5=1,DR$3&lt;EDATE($B$8,'Вводные'!$H$88)),(DR38+DR45)*DR41/12,0)</x:f>
      </x:c>
      <x:c r="DS42" s="117">
        <x:f>IF(AND((DS38+DS45)&gt;0,$B$5=1,DS$3&lt;EDATE($B$8,'Вводные'!$H$88)),(DS38+DS45)*DS41/12,0)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IF(AND((D38+D45)&gt;0,$B$5=1,D$3&lt;EDATE($B$8,'Вводные'!$H$89)),(D38+D45)*D41/12,0)</x:f>
      </x:c>
      <x:c r="E42" s="117">
        <x:f>IF(AND((E38+E45)&gt;0,$B$5=1,E$3&lt;EDATE($B$8,'Вводные'!$H$89)),(E38+E45)*E41/12,0)</x:f>
      </x:c>
      <x:c r="F42" s="117">
        <x:f>IF(AND((F38+F45)&gt;0,$B$5=1,F$3&lt;EDATE($B$8,'Вводные'!$H$89)),(F38+F45)*F41/12,0)</x:f>
      </x:c>
      <x:c r="G42" s="117">
        <x:f>IF(AND((G38+G45)&gt;0,$B$5=1,G$3&lt;EDATE($B$8,'Вводные'!$H$89)),(G38+G45)*G41/12,0)</x:f>
      </x:c>
      <x:c r="H42" s="117">
        <x:f>IF(AND((H38+H45)&gt;0,$B$5=1,H$3&lt;EDATE($B$8,'Вводные'!$H$89)),(H38+H45)*H41/12,0)</x:f>
      </x:c>
      <x:c r="I42" s="117">
        <x:f>IF(AND((I38+I45)&gt;0,$B$5=1,I$3&lt;EDATE($B$8,'Вводные'!$H$89)),(I38+I45)*I41/12,0)</x:f>
      </x:c>
      <x:c r="J42" s="117">
        <x:f>IF(AND((J38+J45)&gt;0,$B$5=1,J$3&lt;EDATE($B$8,'Вводные'!$H$89)),(J38+J45)*J41/12,0)</x:f>
      </x:c>
      <x:c r="K42" s="117">
        <x:f>IF(AND((K38+K45)&gt;0,$B$5=1,K$3&lt;EDATE($B$8,'Вводные'!$H$89)),(K38+K45)*K41/12,0)</x:f>
      </x:c>
      <x:c r="L42" s="117">
        <x:f>IF(AND((L38+L45)&gt;0,$B$5=1,L$3&lt;EDATE($B$8,'Вводные'!$H$89)),(L38+L45)*L41/12,0)</x:f>
      </x:c>
      <x:c r="M42" s="117">
        <x:f>IF(AND((M38+M45)&gt;0,$B$5=1,M$3&lt;EDATE($B$8,'Вводные'!$H$89)),(M38+M45)*M41/12,0)</x:f>
      </x:c>
      <x:c r="N42" s="117">
        <x:f>IF(AND((N38+N45)&gt;0,$B$5=1,N$3&lt;EDATE($B$8,'Вводные'!$H$89)),(N38+N45)*N41/12,0)</x:f>
      </x:c>
      <x:c r="O42" s="117">
        <x:f>IF(AND((O38+O45)&gt;0,$B$5=1,O$3&lt;EDATE($B$8,'Вводные'!$H$89)),(O38+O45)*O41/12,0)</x:f>
      </x:c>
      <x:c r="P42" s="117">
        <x:f>IF(AND((P38+P45)&gt;0,$B$5=1,P$3&lt;EDATE($B$8,'Вводные'!$H$89)),(P38+P45)*P41/12,0)</x:f>
      </x:c>
      <x:c r="Q42" s="117">
        <x:f>IF(AND((Q38+Q45)&gt;0,$B$5=1,Q$3&lt;EDATE($B$8,'Вводные'!$H$89)),(Q38+Q45)*Q41/12,0)</x:f>
      </x:c>
      <x:c r="R42" s="117">
        <x:f>IF(AND((R38+R45)&gt;0,$B$5=1,R$3&lt;EDATE($B$8,'Вводные'!$H$89)),(R38+R45)*R41/12,0)</x:f>
      </x:c>
      <x:c r="S42" s="117">
        <x:f>IF(AND((S38+S45)&gt;0,$B$5=1,S$3&lt;EDATE($B$8,'Вводные'!$H$89)),(S38+S45)*S41/12,0)</x:f>
      </x:c>
      <x:c r="T42" s="117">
        <x:f>IF(AND((T38+T45)&gt;0,$B$5=1,T$3&lt;EDATE($B$8,'Вводные'!$H$89)),(T38+T45)*T41/12,0)</x:f>
      </x:c>
      <x:c r="U42" s="117">
        <x:f>IF(AND((U38+U45)&gt;0,$B$5=1,U$3&lt;EDATE($B$8,'Вводные'!$H$89)),(U38+U45)*U41/12,0)</x:f>
      </x:c>
      <x:c r="V42" s="117">
        <x:f>IF(AND((V38+V45)&gt;0,$B$5=1,V$3&lt;EDATE($B$8,'Вводные'!$H$89)),(V38+V45)*V41/12,0)</x:f>
      </x:c>
      <x:c r="W42" s="117">
        <x:f>IF(AND((W38+W45)&gt;0,$B$5=1,W$3&lt;EDATE($B$8,'Вводные'!$H$89)),(W38+W45)*W41/12,0)</x:f>
      </x:c>
      <x:c r="X42" s="117">
        <x:f>IF(AND((X38+X45)&gt;0,$B$5=1,X$3&lt;EDATE($B$8,'Вводные'!$H$89)),(X38+X45)*X41/12,0)</x:f>
      </x:c>
      <x:c r="Y42" s="117">
        <x:f>IF(AND((Y38+Y45)&gt;0,$B$5=1,Y$3&lt;EDATE($B$8,'Вводные'!$H$89)),(Y38+Y45)*Y41/12,0)</x:f>
      </x:c>
      <x:c r="Z42" s="117">
        <x:f>IF(AND((Z38+Z45)&gt;0,$B$5=1,Z$3&lt;EDATE($B$8,'Вводные'!$H$89)),(Z38+Z45)*Z41/12,0)</x:f>
      </x:c>
      <x:c r="AA42" s="117">
        <x:f>IF(AND((AA38+AA45)&gt;0,$B$5=1,AA$3&lt;EDATE($B$8,'Вводные'!$H$89)),(AA38+AA45)*AA41/12,0)</x:f>
      </x:c>
      <x:c r="AB42" s="117">
        <x:f>IF(AND((AB38+AB45)&gt;0,$B$5=1,AB$3&lt;EDATE($B$8,'Вводные'!$H$89)),(AB38+AB45)*AB41/12,0)</x:f>
      </x:c>
      <x:c r="AC42" s="117">
        <x:f>IF(AND((AC38+AC45)&gt;0,$B$5=1,AC$3&lt;EDATE($B$8,'Вводные'!$H$89)),(AC38+AC45)*AC41/12,0)</x:f>
      </x:c>
      <x:c r="AD42" s="117">
        <x:f>IF(AND((AD38+AD45)&gt;0,$B$5=1,AD$3&lt;EDATE($B$8,'Вводные'!$H$89)),(AD38+AD45)*AD41/12,0)</x:f>
      </x:c>
      <x:c r="AE42" s="117">
        <x:f>IF(AND((AE38+AE45)&gt;0,$B$5=1,AE$3&lt;EDATE($B$8,'Вводные'!$H$89)),(AE38+AE45)*AE41/12,0)</x:f>
      </x:c>
      <x:c r="AF42" s="117">
        <x:f>IF(AND((AF38+AF45)&gt;0,$B$5=1,AF$3&lt;EDATE($B$8,'Вводные'!$H$89)),(AF38+AF45)*AF41/12,0)</x:f>
      </x:c>
      <x:c r="AG42" s="117">
        <x:f>IF(AND((AG38+AG45)&gt;0,$B$5=1,AG$3&lt;EDATE($B$8,'Вводные'!$H$89)),(AG38+AG45)*AG41/12,0)</x:f>
      </x:c>
      <x:c r="AH42" s="117">
        <x:f>IF(AND((AH38+AH45)&gt;0,$B$5=1,AH$3&lt;EDATE($B$8,'Вводные'!$H$89)),(AH38+AH45)*AH41/12,0)</x:f>
      </x:c>
      <x:c r="AI42" s="117">
        <x:f>IF(AND((AI38+AI45)&gt;0,$B$5=1,AI$3&lt;EDATE($B$8,'Вводные'!$H$89)),(AI38+AI45)*AI41/12,0)</x:f>
      </x:c>
      <x:c r="AJ42" s="117">
        <x:f>IF(AND((AJ38+AJ45)&gt;0,$B$5=1,AJ$3&lt;EDATE($B$8,'Вводные'!$H$89)),(AJ38+AJ45)*AJ41/12,0)</x:f>
      </x:c>
      <x:c r="AK42" s="117">
        <x:f>IF(AND((AK38+AK45)&gt;0,$B$5=1,AK$3&lt;EDATE($B$8,'Вводные'!$H$89)),(AK38+AK45)*AK41/12,0)</x:f>
      </x:c>
      <x:c r="AL42" s="117">
        <x:f>IF(AND((AL38+AL45)&gt;0,$B$5=1,AL$3&lt;EDATE($B$8,'Вводные'!$H$89)),(AL38+AL45)*AL41/12,0)</x:f>
      </x:c>
      <x:c r="AM42" s="117">
        <x:f>IF(AND((AM38+AM45)&gt;0,$B$5=1,AM$3&lt;EDATE($B$8,'Вводные'!$H$89)),(AM38+AM45)*AM41/12,0)</x:f>
      </x:c>
      <x:c r="AN42" s="117">
        <x:f>IF(AND((AN38+AN45)&gt;0,$B$5=1,AN$3&lt;EDATE($B$8,'Вводные'!$H$89)),(AN38+AN45)*AN41/12,0)</x:f>
      </x:c>
      <x:c r="AO42" s="117">
        <x:f>IF(AND((AO38+AO45)&gt;0,$B$5=1,AO$3&lt;EDATE($B$8,'Вводные'!$H$89)),(AO38+AO45)*AO41/12,0)</x:f>
      </x:c>
      <x:c r="AP42" s="117">
        <x:f>IF(AND((AP38+AP45)&gt;0,$B$5=1,AP$3&lt;EDATE($B$8,'Вводные'!$H$89)),(AP38+AP45)*AP41/12,0)</x:f>
      </x:c>
      <x:c r="AQ42" s="117">
        <x:f>IF(AND((AQ38+AQ45)&gt;0,$B$5=1,AQ$3&lt;EDATE($B$8,'Вводные'!$H$89)),(AQ38+AQ45)*AQ41/12,0)</x:f>
      </x:c>
      <x:c r="AR42" s="117">
        <x:f>IF(AND((AR38+AR45)&gt;0,$B$5=1,AR$3&lt;EDATE($B$8,'Вводные'!$H$89)),(AR38+AR45)*AR41/12,0)</x:f>
      </x:c>
      <x:c r="AS42" s="117">
        <x:f>IF(AND((AS38+AS45)&gt;0,$B$5=1,AS$3&lt;EDATE($B$8,'Вводные'!$H$89)),(AS38+AS45)*AS41/12,0)</x:f>
      </x:c>
      <x:c r="AT42" s="117">
        <x:f>IF(AND((AT38+AT45)&gt;0,$B$5=1,AT$3&lt;EDATE($B$8,'Вводные'!$H$89)),(AT38+AT45)*AT41/12,0)</x:f>
      </x:c>
      <x:c r="AU42" s="117">
        <x:f>IF(AND((AU38+AU45)&gt;0,$B$5=1,AU$3&lt;EDATE($B$8,'Вводные'!$H$89)),(AU38+AU45)*AU41/12,0)</x:f>
      </x:c>
      <x:c r="AV42" s="117">
        <x:f>IF(AND((AV38+AV45)&gt;0,$B$5=1,AV$3&lt;EDATE($B$8,'Вводные'!$H$89)),(AV38+AV45)*AV41/12,0)</x:f>
      </x:c>
      <x:c r="AW42" s="117">
        <x:f>IF(AND((AW38+AW45)&gt;0,$B$5=1,AW$3&lt;EDATE($B$8,'Вводные'!$H$89)),(AW38+AW45)*AW41/12,0)</x:f>
      </x:c>
      <x:c r="AX42" s="117">
        <x:f>IF(AND((AX38+AX45)&gt;0,$B$5=1,AX$3&lt;EDATE($B$8,'Вводные'!$H$89)),(AX38+AX45)*AX41/12,0)</x:f>
      </x:c>
      <x:c r="AY42" s="117">
        <x:f>IF(AND((AY38+AY45)&gt;0,$B$5=1,AY$3&lt;EDATE($B$8,'Вводные'!$H$89)),(AY38+AY45)*AY41/12,0)</x:f>
      </x:c>
      <x:c r="AZ42" s="117">
        <x:f>IF(AND((AZ38+AZ45)&gt;0,$B$5=1,AZ$3&lt;EDATE($B$8,'Вводные'!$H$89)),(AZ38+AZ45)*AZ41/12,0)</x:f>
      </x:c>
      <x:c r="BA42" s="117">
        <x:f>IF(AND((BA38+BA45)&gt;0,$B$5=1,BA$3&lt;EDATE($B$8,'Вводные'!$H$89)),(BA38+BA45)*BA41/12,0)</x:f>
      </x:c>
      <x:c r="BB42" s="117">
        <x:f>IF(AND((BB38+BB45)&gt;0,$B$5=1,BB$3&lt;EDATE($B$8,'Вводные'!$H$89)),(BB38+BB45)*BB41/12,0)</x:f>
      </x:c>
      <x:c r="BC42" s="117">
        <x:f>IF(AND((BC38+BC45)&gt;0,$B$5=1,BC$3&lt;EDATE($B$8,'Вводные'!$H$89)),(BC38+BC45)*BC41/12,0)</x:f>
      </x:c>
      <x:c r="BD42" s="117">
        <x:f>IF(AND((BD38+BD45)&gt;0,$B$5=1,BD$3&lt;EDATE($B$8,'Вводные'!$H$89)),(BD38+BD45)*BD41/12,0)</x:f>
      </x:c>
      <x:c r="BE42" s="117">
        <x:f>IF(AND((BE38+BE45)&gt;0,$B$5=1,BE$3&lt;EDATE($B$8,'Вводные'!$H$89)),(BE38+BE45)*BE41/12,0)</x:f>
      </x:c>
      <x:c r="BF42" s="117">
        <x:f>IF(AND((BF38+BF45)&gt;0,$B$5=1,BF$3&lt;EDATE($B$8,'Вводные'!$H$89)),(BF38+BF45)*BF41/12,0)</x:f>
      </x:c>
      <x:c r="BG42" s="117">
        <x:f>IF(AND((BG38+BG45)&gt;0,$B$5=1,BG$3&lt;EDATE($B$8,'Вводные'!$H$89)),(BG38+BG45)*BG41/12,0)</x:f>
      </x:c>
      <x:c r="BH42" s="117">
        <x:f>IF(AND((BH38+BH45)&gt;0,$B$5=1,BH$3&lt;EDATE($B$8,'Вводные'!$H$89)),(BH38+BH45)*BH41/12,0)</x:f>
      </x:c>
      <x:c r="BI42" s="117">
        <x:f>IF(AND((BI38+BI45)&gt;0,$B$5=1,BI$3&lt;EDATE($B$8,'Вводные'!$H$89)),(BI38+BI45)*BI41/12,0)</x:f>
      </x:c>
      <x:c r="BJ42" s="117">
        <x:f>IF(AND((BJ38+BJ45)&gt;0,$B$5=1,BJ$3&lt;EDATE($B$8,'Вводные'!$H$89)),(BJ38+BJ45)*BJ41/12,0)</x:f>
      </x:c>
      <x:c r="BK42" s="117">
        <x:f>IF(AND((BK38+BK45)&gt;0,$B$5=1,BK$3&lt;EDATE($B$8,'Вводные'!$H$89)),(BK38+BK45)*BK41/12,0)</x:f>
      </x:c>
      <x:c r="BL42" s="117">
        <x:f>IF(AND((BL38+BL45)&gt;0,$B$5=1,BL$3&lt;EDATE($B$8,'Вводные'!$H$89)),(BL38+BL45)*BL41/12,0)</x:f>
      </x:c>
      <x:c r="BM42" s="117">
        <x:f>IF(AND((BM38+BM45)&gt;0,$B$5=1,BM$3&lt;EDATE($B$8,'Вводные'!$H$89)),(BM38+BM45)*BM41/12,0)</x:f>
      </x:c>
      <x:c r="BN42" s="117">
        <x:f>IF(AND((BN38+BN45)&gt;0,$B$5=1,BN$3&lt;EDATE($B$8,'Вводные'!$H$89)),(BN38+BN45)*BN41/12,0)</x:f>
      </x:c>
      <x:c r="BO42" s="117">
        <x:f>IF(AND((BO38+BO45)&gt;0,$B$5=1,BO$3&lt;EDATE($B$8,'Вводные'!$H$89)),(BO38+BO45)*BO41/12,0)</x:f>
      </x:c>
      <x:c r="BP42" s="117">
        <x:f>IF(AND((BP38+BP45)&gt;0,$B$5=1,BP$3&lt;EDATE($B$8,'Вводные'!$H$89)),(BP38+BP45)*BP41/12,0)</x:f>
      </x:c>
      <x:c r="BQ42" s="117">
        <x:f>IF(AND((BQ38+BQ45)&gt;0,$B$5=1,BQ$3&lt;EDATE($B$8,'Вводные'!$H$89)),(BQ38+BQ45)*BQ41/12,0)</x:f>
      </x:c>
      <x:c r="BR42" s="117">
        <x:f>IF(AND((BR38+BR45)&gt;0,$B$5=1,BR$3&lt;EDATE($B$8,'Вводные'!$H$89)),(BR38+BR45)*BR41/12,0)</x:f>
      </x:c>
      <x:c r="BS42" s="117">
        <x:f>IF(AND((BS38+BS45)&gt;0,$B$5=1,BS$3&lt;EDATE($B$8,'Вводные'!$H$89)),(BS38+BS45)*BS41/12,0)</x:f>
      </x:c>
      <x:c r="BT42" s="117">
        <x:f>IF(AND((BT38+BT45)&gt;0,$B$5=1,BT$3&lt;EDATE($B$8,'Вводные'!$H$89)),(BT38+BT45)*BT41/12,0)</x:f>
      </x:c>
      <x:c r="BU42" s="117">
        <x:f>IF(AND((BU38+BU45)&gt;0,$B$5=1,BU$3&lt;EDATE($B$8,'Вводные'!$H$89)),(BU38+BU45)*BU41/12,0)</x:f>
      </x:c>
      <x:c r="BV42" s="117">
        <x:f>IF(AND((BV38+BV45)&gt;0,$B$5=1,BV$3&lt;EDATE($B$8,'Вводные'!$H$89)),(BV38+BV45)*BV41/12,0)</x:f>
      </x:c>
      <x:c r="BW42" s="117">
        <x:f>IF(AND((BW38+BW45)&gt;0,$B$5=1,BW$3&lt;EDATE($B$8,'Вводные'!$H$89)),(BW38+BW45)*BW41/12,0)</x:f>
      </x:c>
      <x:c r="BX42" s="117">
        <x:f>IF(AND((BX38+BX45)&gt;0,$B$5=1,BX$3&lt;EDATE($B$8,'Вводные'!$H$89)),(BX38+BX45)*BX41/12,0)</x:f>
      </x:c>
      <x:c r="BY42" s="117">
        <x:f>IF(AND((BY38+BY45)&gt;0,$B$5=1,BY$3&lt;EDATE($B$8,'Вводные'!$H$89)),(BY38+BY45)*BY41/12,0)</x:f>
      </x:c>
      <x:c r="BZ42" s="117">
        <x:f>IF(AND((BZ38+BZ45)&gt;0,$B$5=1,BZ$3&lt;EDATE($B$8,'Вводные'!$H$89)),(BZ38+BZ45)*BZ41/12,0)</x:f>
      </x:c>
      <x:c r="CA42" s="117">
        <x:f>IF(AND((CA38+CA45)&gt;0,$B$5=1,CA$3&lt;EDATE($B$8,'Вводные'!$H$89)),(CA38+CA45)*CA41/12,0)</x:f>
      </x:c>
      <x:c r="CB42" s="117">
        <x:f>IF(AND((CB38+CB45)&gt;0,$B$5=1,CB$3&lt;EDATE($B$8,'Вводные'!$H$89)),(CB38+CB45)*CB41/12,0)</x:f>
      </x:c>
      <x:c r="CC42" s="117">
        <x:f>IF(AND((CC38+CC45)&gt;0,$B$5=1,CC$3&lt;EDATE($B$8,'Вводные'!$H$89)),(CC38+CC45)*CC41/12,0)</x:f>
      </x:c>
      <x:c r="CD42" s="117">
        <x:f>IF(AND((CD38+CD45)&gt;0,$B$5=1,CD$3&lt;EDATE($B$8,'Вводные'!$H$89)),(CD38+CD45)*CD41/12,0)</x:f>
      </x:c>
      <x:c r="CE42" s="117">
        <x:f>IF(AND((CE38+CE45)&gt;0,$B$5=1,CE$3&lt;EDATE($B$8,'Вводные'!$H$89)),(CE38+CE45)*CE41/12,0)</x:f>
      </x:c>
      <x:c r="CF42" s="117">
        <x:f>IF(AND((CF38+CF45)&gt;0,$B$5=1,CF$3&lt;EDATE($B$8,'Вводные'!$H$89)),(CF38+CF45)*CF41/12,0)</x:f>
      </x:c>
      <x:c r="CG42" s="117">
        <x:f>IF(AND((CG38+CG45)&gt;0,$B$5=1,CG$3&lt;EDATE($B$8,'Вводные'!$H$89)),(CG38+CG45)*CG41/12,0)</x:f>
      </x:c>
      <x:c r="CH42" s="117">
        <x:f>IF(AND((CH38+CH45)&gt;0,$B$5=1,CH$3&lt;EDATE($B$8,'Вводные'!$H$89)),(CH38+CH45)*CH41/12,0)</x:f>
      </x:c>
      <x:c r="CI42" s="117">
        <x:f>IF(AND((CI38+CI45)&gt;0,$B$5=1,CI$3&lt;EDATE($B$8,'Вводные'!$H$89)),(CI38+CI45)*CI41/12,0)</x:f>
      </x:c>
      <x:c r="CJ42" s="117">
        <x:f>IF(AND((CJ38+CJ45)&gt;0,$B$5=1,CJ$3&lt;EDATE($B$8,'Вводные'!$H$89)),(CJ38+CJ45)*CJ41/12,0)</x:f>
      </x:c>
      <x:c r="CK42" s="117">
        <x:f>IF(AND((CK38+CK45)&gt;0,$B$5=1,CK$3&lt;EDATE($B$8,'Вводные'!$H$89)),(CK38+CK45)*CK41/12,0)</x:f>
      </x:c>
      <x:c r="CL42" s="117">
        <x:f>IF(AND((CL38+CL45)&gt;0,$B$5=1,CL$3&lt;EDATE($B$8,'Вводные'!$H$89)),(CL38+CL45)*CL41/12,0)</x:f>
      </x:c>
      <x:c r="CM42" s="117">
        <x:f>IF(AND((CM38+CM45)&gt;0,$B$5=1,CM$3&lt;EDATE($B$8,'Вводные'!$H$89)),(CM38+CM45)*CM41/12,0)</x:f>
      </x:c>
      <x:c r="CN42" s="117">
        <x:f>IF(AND((CN38+CN45)&gt;0,$B$5=1,CN$3&lt;EDATE($B$8,'Вводные'!$H$89)),(CN38+CN45)*CN41/12,0)</x:f>
      </x:c>
      <x:c r="CO42" s="117">
        <x:f>IF(AND((CO38+CO45)&gt;0,$B$5=1,CO$3&lt;EDATE($B$8,'Вводные'!$H$89)),(CO38+CO45)*CO41/12,0)</x:f>
      </x:c>
      <x:c r="CP42" s="117">
        <x:f>IF(AND((CP38+CP45)&gt;0,$B$5=1,CP$3&lt;EDATE($B$8,'Вводные'!$H$89)),(CP38+CP45)*CP41/12,0)</x:f>
      </x:c>
      <x:c r="CQ42" s="117">
        <x:f>IF(AND((CQ38+CQ45)&gt;0,$B$5=1,CQ$3&lt;EDATE($B$8,'Вводные'!$H$89)),(CQ38+CQ45)*CQ41/12,0)</x:f>
      </x:c>
      <x:c r="CR42" s="117">
        <x:f>IF(AND((CR38+CR45)&gt;0,$B$5=1,CR$3&lt;EDATE($B$8,'Вводные'!$H$89)),(CR38+CR45)*CR41/12,0)</x:f>
      </x:c>
      <x:c r="CS42" s="117">
        <x:f>IF(AND((CS38+CS45)&gt;0,$B$5=1,CS$3&lt;EDATE($B$8,'Вводные'!$H$89)),(CS38+CS45)*CS41/12,0)</x:f>
      </x:c>
      <x:c r="CT42" s="117">
        <x:f>IF(AND((CT38+CT45)&gt;0,$B$5=1,CT$3&lt;EDATE($B$8,'Вводные'!$H$89)),(CT38+CT45)*CT41/12,0)</x:f>
      </x:c>
      <x:c r="CU42" s="117">
        <x:f>IF(AND((CU38+CU45)&gt;0,$B$5=1,CU$3&lt;EDATE($B$8,'Вводные'!$H$89)),(CU38+CU45)*CU41/12,0)</x:f>
      </x:c>
      <x:c r="CV42" s="117">
        <x:f>IF(AND((CV38+CV45)&gt;0,$B$5=1,CV$3&lt;EDATE($B$8,'Вводные'!$H$89)),(CV38+CV45)*CV41/12,0)</x:f>
      </x:c>
      <x:c r="CW42" s="117">
        <x:f>IF(AND((CW38+CW45)&gt;0,$B$5=1,CW$3&lt;EDATE($B$8,'Вводные'!$H$89)),(CW38+CW45)*CW41/12,0)</x:f>
      </x:c>
      <x:c r="CX42" s="117">
        <x:f>IF(AND((CX38+CX45)&gt;0,$B$5=1,CX$3&lt;EDATE($B$8,'Вводные'!$H$89)),(CX38+CX45)*CX41/12,0)</x:f>
      </x:c>
      <x:c r="CY42" s="117">
        <x:f>IF(AND((CY38+CY45)&gt;0,$B$5=1,CY$3&lt;EDATE($B$8,'Вводные'!$H$89)),(CY38+CY45)*CY41/12,0)</x:f>
      </x:c>
      <x:c r="CZ42" s="117">
        <x:f>IF(AND((CZ38+CZ45)&gt;0,$B$5=1,CZ$3&lt;EDATE($B$8,'Вводные'!$H$89)),(CZ38+CZ45)*CZ41/12,0)</x:f>
      </x:c>
      <x:c r="DA42" s="117">
        <x:f>IF(AND((DA38+DA45)&gt;0,$B$5=1,DA$3&lt;EDATE($B$8,'Вводные'!$H$89)),(DA38+DA45)*DA41/12,0)</x:f>
      </x:c>
      <x:c r="DB42" s="117">
        <x:f>IF(AND((DB38+DB45)&gt;0,$B$5=1,DB$3&lt;EDATE($B$8,'Вводные'!$H$89)),(DB38+DB45)*DB41/12,0)</x:f>
      </x:c>
      <x:c r="DC42" s="117">
        <x:f>IF(AND((DC38+DC45)&gt;0,$B$5=1,DC$3&lt;EDATE($B$8,'Вводные'!$H$89)),(DC38+DC45)*DC41/12,0)</x:f>
      </x:c>
      <x:c r="DD42" s="117">
        <x:f>IF(AND((DD38+DD45)&gt;0,$B$5=1,DD$3&lt;EDATE($B$8,'Вводные'!$H$89)),(DD38+DD45)*DD41/12,0)</x:f>
      </x:c>
      <x:c r="DE42" s="117">
        <x:f>IF(AND((DE38+DE45)&gt;0,$B$5=1,DE$3&lt;EDATE($B$8,'Вводные'!$H$89)),(DE38+DE45)*DE41/12,0)</x:f>
      </x:c>
      <x:c r="DF42" s="117">
        <x:f>IF(AND((DF38+DF45)&gt;0,$B$5=1,DF$3&lt;EDATE($B$8,'Вводные'!$H$89)),(DF38+DF45)*DF41/12,0)</x:f>
      </x:c>
      <x:c r="DG42" s="117">
        <x:f>IF(AND((DG38+DG45)&gt;0,$B$5=1,DG$3&lt;EDATE($B$8,'Вводные'!$H$89)),(DG38+DG45)*DG41/12,0)</x:f>
      </x:c>
      <x:c r="DH42" s="117">
        <x:f>IF(AND((DH38+DH45)&gt;0,$B$5=1,DH$3&lt;EDATE($B$8,'Вводные'!$H$89)),(DH38+DH45)*DH41/12,0)</x:f>
      </x:c>
      <x:c r="DI42" s="117">
        <x:f>IF(AND((DI38+DI45)&gt;0,$B$5=1,DI$3&lt;EDATE($B$8,'Вводные'!$H$89)),(DI38+DI45)*DI41/12,0)</x:f>
      </x:c>
      <x:c r="DJ42" s="117">
        <x:f>IF(AND((DJ38+DJ45)&gt;0,$B$5=1,DJ$3&lt;EDATE($B$8,'Вводные'!$H$89)),(DJ38+DJ45)*DJ41/12,0)</x:f>
      </x:c>
      <x:c r="DK42" s="117">
        <x:f>IF(AND((DK38+DK45)&gt;0,$B$5=1,DK$3&lt;EDATE($B$8,'Вводные'!$H$89)),(DK38+DK45)*DK41/12,0)</x:f>
      </x:c>
      <x:c r="DL42" s="117">
        <x:f>IF(AND((DL38+DL45)&gt;0,$B$5=1,DL$3&lt;EDATE($B$8,'Вводные'!$H$89)),(DL38+DL45)*DL41/12,0)</x:f>
      </x:c>
      <x:c r="DM42" s="117">
        <x:f>IF(AND((DM38+DM45)&gt;0,$B$5=1,DM$3&lt;EDATE($B$8,'Вводные'!$H$89)),(DM38+DM45)*DM41/12,0)</x:f>
      </x:c>
      <x:c r="DN42" s="117">
        <x:f>IF(AND((DN38+DN45)&gt;0,$B$5=1,DN$3&lt;EDATE($B$8,'Вводные'!$H$89)),(DN38+DN45)*DN41/12,0)</x:f>
      </x:c>
      <x:c r="DO42" s="117">
        <x:f>IF(AND((DO38+DO45)&gt;0,$B$5=1,DO$3&lt;EDATE($B$8,'Вводные'!$H$89)),(DO38+DO45)*DO41/12,0)</x:f>
      </x:c>
      <x:c r="DP42" s="117">
        <x:f>IF(AND((DP38+DP45)&gt;0,$B$5=1,DP$3&lt;EDATE($B$8,'Вводные'!$H$89)),(DP38+DP45)*DP41/12,0)</x:f>
      </x:c>
      <x:c r="DQ42" s="117">
        <x:f>IF(AND((DQ38+DQ45)&gt;0,$B$5=1,DQ$3&lt;EDATE($B$8,'Вводные'!$H$89)),(DQ38+DQ45)*DQ41/12,0)</x:f>
      </x:c>
      <x:c r="DR42" s="117">
        <x:f>IF(AND((DR38+DR45)&gt;0,$B$5=1,DR$3&lt;EDATE($B$8,'Вводные'!$H$89)),(DR38+DR45)*DR41/12,0)</x:f>
      </x:c>
      <x:c r="DS42" s="117">
        <x:f>IF(AND((DS38+DS45)&gt;0,$B$5=1,DS$3&lt;EDATE($B$8,'Вводные'!$H$89)),(DS38+DS45)*DS41/12,0)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IF(AND((D38+D45)&gt;0,$B$5=1,D$3&lt;EDATE($B$8,'Вводные'!$H$90)),(D38+D45)*D41/12,0)</x:f>
      </x:c>
      <x:c r="E42" s="117">
        <x:f>IF(AND((E38+E45)&gt;0,$B$5=1,E$3&lt;EDATE($B$8,'Вводные'!$H$90)),(E38+E45)*E41/12,0)</x:f>
      </x:c>
      <x:c r="F42" s="117">
        <x:f>IF(AND((F38+F45)&gt;0,$B$5=1,F$3&lt;EDATE($B$8,'Вводные'!$H$90)),(F38+F45)*F41/12,0)</x:f>
      </x:c>
      <x:c r="G42" s="117">
        <x:f>IF(AND((G38+G45)&gt;0,$B$5=1,G$3&lt;EDATE($B$8,'Вводные'!$H$90)),(G38+G45)*G41/12,0)</x:f>
      </x:c>
      <x:c r="H42" s="117">
        <x:f>IF(AND((H38+H45)&gt;0,$B$5=1,H$3&lt;EDATE($B$8,'Вводные'!$H$90)),(H38+H45)*H41/12,0)</x:f>
      </x:c>
      <x:c r="I42" s="117">
        <x:f>IF(AND((I38+I45)&gt;0,$B$5=1,I$3&lt;EDATE($B$8,'Вводные'!$H$90)),(I38+I45)*I41/12,0)</x:f>
      </x:c>
      <x:c r="J42" s="117">
        <x:f>IF(AND((J38+J45)&gt;0,$B$5=1,J$3&lt;EDATE($B$8,'Вводные'!$H$90)),(J38+J45)*J41/12,0)</x:f>
      </x:c>
      <x:c r="K42" s="117">
        <x:f>IF(AND((K38+K45)&gt;0,$B$5=1,K$3&lt;EDATE($B$8,'Вводные'!$H$90)),(K38+K45)*K41/12,0)</x:f>
      </x:c>
      <x:c r="L42" s="117">
        <x:f>IF(AND((L38+L45)&gt;0,$B$5=1,L$3&lt;EDATE($B$8,'Вводные'!$H$90)),(L38+L45)*L41/12,0)</x:f>
      </x:c>
      <x:c r="M42" s="117">
        <x:f>IF(AND((M38+M45)&gt;0,$B$5=1,M$3&lt;EDATE($B$8,'Вводные'!$H$90)),(M38+M45)*M41/12,0)</x:f>
      </x:c>
      <x:c r="N42" s="117">
        <x:f>IF(AND((N38+N45)&gt;0,$B$5=1,N$3&lt;EDATE($B$8,'Вводные'!$H$90)),(N38+N45)*N41/12,0)</x:f>
      </x:c>
      <x:c r="O42" s="117">
        <x:f>IF(AND((O38+O45)&gt;0,$B$5=1,O$3&lt;EDATE($B$8,'Вводные'!$H$90)),(O38+O45)*O41/12,0)</x:f>
      </x:c>
      <x:c r="P42" s="117">
        <x:f>IF(AND((P38+P45)&gt;0,$B$5=1,P$3&lt;EDATE($B$8,'Вводные'!$H$90)),(P38+P45)*P41/12,0)</x:f>
      </x:c>
      <x:c r="Q42" s="117">
        <x:f>IF(AND((Q38+Q45)&gt;0,$B$5=1,Q$3&lt;EDATE($B$8,'Вводные'!$H$90)),(Q38+Q45)*Q41/12,0)</x:f>
      </x:c>
      <x:c r="R42" s="117">
        <x:f>IF(AND((R38+R45)&gt;0,$B$5=1,R$3&lt;EDATE($B$8,'Вводные'!$H$90)),(R38+R45)*R41/12,0)</x:f>
      </x:c>
      <x:c r="S42" s="117">
        <x:f>IF(AND((S38+S45)&gt;0,$B$5=1,S$3&lt;EDATE($B$8,'Вводные'!$H$90)),(S38+S45)*S41/12,0)</x:f>
      </x:c>
      <x:c r="T42" s="117">
        <x:f>IF(AND((T38+T45)&gt;0,$B$5=1,T$3&lt;EDATE($B$8,'Вводные'!$H$90)),(T38+T45)*T41/12,0)</x:f>
      </x:c>
      <x:c r="U42" s="117">
        <x:f>IF(AND((U38+U45)&gt;0,$B$5=1,U$3&lt;EDATE($B$8,'Вводные'!$H$90)),(U38+U45)*U41/12,0)</x:f>
      </x:c>
      <x:c r="V42" s="117">
        <x:f>IF(AND((V38+V45)&gt;0,$B$5=1,V$3&lt;EDATE($B$8,'Вводные'!$H$90)),(V38+V45)*V41/12,0)</x:f>
      </x:c>
      <x:c r="W42" s="117">
        <x:f>IF(AND((W38+W45)&gt;0,$B$5=1,W$3&lt;EDATE($B$8,'Вводные'!$H$90)),(W38+W45)*W41/12,0)</x:f>
      </x:c>
      <x:c r="X42" s="117">
        <x:f>IF(AND((X38+X45)&gt;0,$B$5=1,X$3&lt;EDATE($B$8,'Вводные'!$H$90)),(X38+X45)*X41/12,0)</x:f>
      </x:c>
      <x:c r="Y42" s="117">
        <x:f>IF(AND((Y38+Y45)&gt;0,$B$5=1,Y$3&lt;EDATE($B$8,'Вводные'!$H$90)),(Y38+Y45)*Y41/12,0)</x:f>
      </x:c>
      <x:c r="Z42" s="117">
        <x:f>IF(AND((Z38+Z45)&gt;0,$B$5=1,Z$3&lt;EDATE($B$8,'Вводные'!$H$90)),(Z38+Z45)*Z41/12,0)</x:f>
      </x:c>
      <x:c r="AA42" s="117">
        <x:f>IF(AND((AA38+AA45)&gt;0,$B$5=1,AA$3&lt;EDATE($B$8,'Вводные'!$H$90)),(AA38+AA45)*AA41/12,0)</x:f>
      </x:c>
      <x:c r="AB42" s="117">
        <x:f>IF(AND((AB38+AB45)&gt;0,$B$5=1,AB$3&lt;EDATE($B$8,'Вводные'!$H$90)),(AB38+AB45)*AB41/12,0)</x:f>
      </x:c>
      <x:c r="AC42" s="117">
        <x:f>IF(AND((AC38+AC45)&gt;0,$B$5=1,AC$3&lt;EDATE($B$8,'Вводные'!$H$90)),(AC38+AC45)*AC41/12,0)</x:f>
      </x:c>
      <x:c r="AD42" s="117">
        <x:f>IF(AND((AD38+AD45)&gt;0,$B$5=1,AD$3&lt;EDATE($B$8,'Вводные'!$H$90)),(AD38+AD45)*AD41/12,0)</x:f>
      </x:c>
      <x:c r="AE42" s="117">
        <x:f>IF(AND((AE38+AE45)&gt;0,$B$5=1,AE$3&lt;EDATE($B$8,'Вводные'!$H$90)),(AE38+AE45)*AE41/12,0)</x:f>
      </x:c>
      <x:c r="AF42" s="117">
        <x:f>IF(AND((AF38+AF45)&gt;0,$B$5=1,AF$3&lt;EDATE($B$8,'Вводные'!$H$90)),(AF38+AF45)*AF41/12,0)</x:f>
      </x:c>
      <x:c r="AG42" s="117">
        <x:f>IF(AND((AG38+AG45)&gt;0,$B$5=1,AG$3&lt;EDATE($B$8,'Вводные'!$H$90)),(AG38+AG45)*AG41/12,0)</x:f>
      </x:c>
      <x:c r="AH42" s="117">
        <x:f>IF(AND((AH38+AH45)&gt;0,$B$5=1,AH$3&lt;EDATE($B$8,'Вводные'!$H$90)),(AH38+AH45)*AH41/12,0)</x:f>
      </x:c>
      <x:c r="AI42" s="117">
        <x:f>IF(AND((AI38+AI45)&gt;0,$B$5=1,AI$3&lt;EDATE($B$8,'Вводные'!$H$90)),(AI38+AI45)*AI41/12,0)</x:f>
      </x:c>
      <x:c r="AJ42" s="117">
        <x:f>IF(AND((AJ38+AJ45)&gt;0,$B$5=1,AJ$3&lt;EDATE($B$8,'Вводные'!$H$90)),(AJ38+AJ45)*AJ41/12,0)</x:f>
      </x:c>
      <x:c r="AK42" s="117">
        <x:f>IF(AND((AK38+AK45)&gt;0,$B$5=1,AK$3&lt;EDATE($B$8,'Вводные'!$H$90)),(AK38+AK45)*AK41/12,0)</x:f>
      </x:c>
      <x:c r="AL42" s="117">
        <x:f>IF(AND((AL38+AL45)&gt;0,$B$5=1,AL$3&lt;EDATE($B$8,'Вводные'!$H$90)),(AL38+AL45)*AL41/12,0)</x:f>
      </x:c>
      <x:c r="AM42" s="117">
        <x:f>IF(AND((AM38+AM45)&gt;0,$B$5=1,AM$3&lt;EDATE($B$8,'Вводные'!$H$90)),(AM38+AM45)*AM41/12,0)</x:f>
      </x:c>
      <x:c r="AN42" s="117">
        <x:f>IF(AND((AN38+AN45)&gt;0,$B$5=1,AN$3&lt;EDATE($B$8,'Вводные'!$H$90)),(AN38+AN45)*AN41/12,0)</x:f>
      </x:c>
      <x:c r="AO42" s="117">
        <x:f>IF(AND((AO38+AO45)&gt;0,$B$5=1,AO$3&lt;EDATE($B$8,'Вводные'!$H$90)),(AO38+AO45)*AO41/12,0)</x:f>
      </x:c>
      <x:c r="AP42" s="117">
        <x:f>IF(AND((AP38+AP45)&gt;0,$B$5=1,AP$3&lt;EDATE($B$8,'Вводные'!$H$90)),(AP38+AP45)*AP41/12,0)</x:f>
      </x:c>
      <x:c r="AQ42" s="117">
        <x:f>IF(AND((AQ38+AQ45)&gt;0,$B$5=1,AQ$3&lt;EDATE($B$8,'Вводные'!$H$90)),(AQ38+AQ45)*AQ41/12,0)</x:f>
      </x:c>
      <x:c r="AR42" s="117">
        <x:f>IF(AND((AR38+AR45)&gt;0,$B$5=1,AR$3&lt;EDATE($B$8,'Вводные'!$H$90)),(AR38+AR45)*AR41/12,0)</x:f>
      </x:c>
      <x:c r="AS42" s="117">
        <x:f>IF(AND((AS38+AS45)&gt;0,$B$5=1,AS$3&lt;EDATE($B$8,'Вводные'!$H$90)),(AS38+AS45)*AS41/12,0)</x:f>
      </x:c>
      <x:c r="AT42" s="117">
        <x:f>IF(AND((AT38+AT45)&gt;0,$B$5=1,AT$3&lt;EDATE($B$8,'Вводные'!$H$90)),(AT38+AT45)*AT41/12,0)</x:f>
      </x:c>
      <x:c r="AU42" s="117">
        <x:f>IF(AND((AU38+AU45)&gt;0,$B$5=1,AU$3&lt;EDATE($B$8,'Вводные'!$H$90)),(AU38+AU45)*AU41/12,0)</x:f>
      </x:c>
      <x:c r="AV42" s="117">
        <x:f>IF(AND((AV38+AV45)&gt;0,$B$5=1,AV$3&lt;EDATE($B$8,'Вводные'!$H$90)),(AV38+AV45)*AV41/12,0)</x:f>
      </x:c>
      <x:c r="AW42" s="117">
        <x:f>IF(AND((AW38+AW45)&gt;0,$B$5=1,AW$3&lt;EDATE($B$8,'Вводные'!$H$90)),(AW38+AW45)*AW41/12,0)</x:f>
      </x:c>
      <x:c r="AX42" s="117">
        <x:f>IF(AND((AX38+AX45)&gt;0,$B$5=1,AX$3&lt;EDATE($B$8,'Вводные'!$H$90)),(AX38+AX45)*AX41/12,0)</x:f>
      </x:c>
      <x:c r="AY42" s="117">
        <x:f>IF(AND((AY38+AY45)&gt;0,$B$5=1,AY$3&lt;EDATE($B$8,'Вводные'!$H$90)),(AY38+AY45)*AY41/12,0)</x:f>
      </x:c>
      <x:c r="AZ42" s="117">
        <x:f>IF(AND((AZ38+AZ45)&gt;0,$B$5=1,AZ$3&lt;EDATE($B$8,'Вводные'!$H$90)),(AZ38+AZ45)*AZ41/12,0)</x:f>
      </x:c>
      <x:c r="BA42" s="117">
        <x:f>IF(AND((BA38+BA45)&gt;0,$B$5=1,BA$3&lt;EDATE($B$8,'Вводные'!$H$90)),(BA38+BA45)*BA41/12,0)</x:f>
      </x:c>
      <x:c r="BB42" s="117">
        <x:f>IF(AND((BB38+BB45)&gt;0,$B$5=1,BB$3&lt;EDATE($B$8,'Вводные'!$H$90)),(BB38+BB45)*BB41/12,0)</x:f>
      </x:c>
      <x:c r="BC42" s="117">
        <x:f>IF(AND((BC38+BC45)&gt;0,$B$5=1,BC$3&lt;EDATE($B$8,'Вводные'!$H$90)),(BC38+BC45)*BC41/12,0)</x:f>
      </x:c>
      <x:c r="BD42" s="117">
        <x:f>IF(AND((BD38+BD45)&gt;0,$B$5=1,BD$3&lt;EDATE($B$8,'Вводные'!$H$90)),(BD38+BD45)*BD41/12,0)</x:f>
      </x:c>
      <x:c r="BE42" s="117">
        <x:f>IF(AND((BE38+BE45)&gt;0,$B$5=1,BE$3&lt;EDATE($B$8,'Вводные'!$H$90)),(BE38+BE45)*BE41/12,0)</x:f>
      </x:c>
      <x:c r="BF42" s="117">
        <x:f>IF(AND((BF38+BF45)&gt;0,$B$5=1,BF$3&lt;EDATE($B$8,'Вводные'!$H$90)),(BF38+BF45)*BF41/12,0)</x:f>
      </x:c>
      <x:c r="BG42" s="117">
        <x:f>IF(AND((BG38+BG45)&gt;0,$B$5=1,BG$3&lt;EDATE($B$8,'Вводные'!$H$90)),(BG38+BG45)*BG41/12,0)</x:f>
      </x:c>
      <x:c r="BH42" s="117">
        <x:f>IF(AND((BH38+BH45)&gt;0,$B$5=1,BH$3&lt;EDATE($B$8,'Вводные'!$H$90)),(BH38+BH45)*BH41/12,0)</x:f>
      </x:c>
      <x:c r="BI42" s="117">
        <x:f>IF(AND((BI38+BI45)&gt;0,$B$5=1,BI$3&lt;EDATE($B$8,'Вводные'!$H$90)),(BI38+BI45)*BI41/12,0)</x:f>
      </x:c>
      <x:c r="BJ42" s="117">
        <x:f>IF(AND((BJ38+BJ45)&gt;0,$B$5=1,BJ$3&lt;EDATE($B$8,'Вводные'!$H$90)),(BJ38+BJ45)*BJ41/12,0)</x:f>
      </x:c>
      <x:c r="BK42" s="117">
        <x:f>IF(AND((BK38+BK45)&gt;0,$B$5=1,BK$3&lt;EDATE($B$8,'Вводные'!$H$90)),(BK38+BK45)*BK41/12,0)</x:f>
      </x:c>
      <x:c r="BL42" s="117">
        <x:f>IF(AND((BL38+BL45)&gt;0,$B$5=1,BL$3&lt;EDATE($B$8,'Вводные'!$H$90)),(BL38+BL45)*BL41/12,0)</x:f>
      </x:c>
      <x:c r="BM42" s="117">
        <x:f>IF(AND((BM38+BM45)&gt;0,$B$5=1,BM$3&lt;EDATE($B$8,'Вводные'!$H$90)),(BM38+BM45)*BM41/12,0)</x:f>
      </x:c>
      <x:c r="BN42" s="117">
        <x:f>IF(AND((BN38+BN45)&gt;0,$B$5=1,BN$3&lt;EDATE($B$8,'Вводные'!$H$90)),(BN38+BN45)*BN41/12,0)</x:f>
      </x:c>
      <x:c r="BO42" s="117">
        <x:f>IF(AND((BO38+BO45)&gt;0,$B$5=1,BO$3&lt;EDATE($B$8,'Вводные'!$H$90)),(BO38+BO45)*BO41/12,0)</x:f>
      </x:c>
      <x:c r="BP42" s="117">
        <x:f>IF(AND((BP38+BP45)&gt;0,$B$5=1,BP$3&lt;EDATE($B$8,'Вводные'!$H$90)),(BP38+BP45)*BP41/12,0)</x:f>
      </x:c>
      <x:c r="BQ42" s="117">
        <x:f>IF(AND((BQ38+BQ45)&gt;0,$B$5=1,BQ$3&lt;EDATE($B$8,'Вводные'!$H$90)),(BQ38+BQ45)*BQ41/12,0)</x:f>
      </x:c>
      <x:c r="BR42" s="117">
        <x:f>IF(AND((BR38+BR45)&gt;0,$B$5=1,BR$3&lt;EDATE($B$8,'Вводные'!$H$90)),(BR38+BR45)*BR41/12,0)</x:f>
      </x:c>
      <x:c r="BS42" s="117">
        <x:f>IF(AND((BS38+BS45)&gt;0,$B$5=1,BS$3&lt;EDATE($B$8,'Вводные'!$H$90)),(BS38+BS45)*BS41/12,0)</x:f>
      </x:c>
      <x:c r="BT42" s="117">
        <x:f>IF(AND((BT38+BT45)&gt;0,$B$5=1,BT$3&lt;EDATE($B$8,'Вводные'!$H$90)),(BT38+BT45)*BT41/12,0)</x:f>
      </x:c>
      <x:c r="BU42" s="117">
        <x:f>IF(AND((BU38+BU45)&gt;0,$B$5=1,BU$3&lt;EDATE($B$8,'Вводные'!$H$90)),(BU38+BU45)*BU41/12,0)</x:f>
      </x:c>
      <x:c r="BV42" s="117">
        <x:f>IF(AND((BV38+BV45)&gt;0,$B$5=1,BV$3&lt;EDATE($B$8,'Вводные'!$H$90)),(BV38+BV45)*BV41/12,0)</x:f>
      </x:c>
      <x:c r="BW42" s="117">
        <x:f>IF(AND((BW38+BW45)&gt;0,$B$5=1,BW$3&lt;EDATE($B$8,'Вводные'!$H$90)),(BW38+BW45)*BW41/12,0)</x:f>
      </x:c>
      <x:c r="BX42" s="117">
        <x:f>IF(AND((BX38+BX45)&gt;0,$B$5=1,BX$3&lt;EDATE($B$8,'Вводные'!$H$90)),(BX38+BX45)*BX41/12,0)</x:f>
      </x:c>
      <x:c r="BY42" s="117">
        <x:f>IF(AND((BY38+BY45)&gt;0,$B$5=1,BY$3&lt;EDATE($B$8,'Вводные'!$H$90)),(BY38+BY45)*BY41/12,0)</x:f>
      </x:c>
      <x:c r="BZ42" s="117">
        <x:f>IF(AND((BZ38+BZ45)&gt;0,$B$5=1,BZ$3&lt;EDATE($B$8,'Вводные'!$H$90)),(BZ38+BZ45)*BZ41/12,0)</x:f>
      </x:c>
      <x:c r="CA42" s="117">
        <x:f>IF(AND((CA38+CA45)&gt;0,$B$5=1,CA$3&lt;EDATE($B$8,'Вводные'!$H$90)),(CA38+CA45)*CA41/12,0)</x:f>
      </x:c>
      <x:c r="CB42" s="117">
        <x:f>IF(AND((CB38+CB45)&gt;0,$B$5=1,CB$3&lt;EDATE($B$8,'Вводные'!$H$90)),(CB38+CB45)*CB41/12,0)</x:f>
      </x:c>
      <x:c r="CC42" s="117">
        <x:f>IF(AND((CC38+CC45)&gt;0,$B$5=1,CC$3&lt;EDATE($B$8,'Вводные'!$H$90)),(CC38+CC45)*CC41/12,0)</x:f>
      </x:c>
      <x:c r="CD42" s="117">
        <x:f>IF(AND((CD38+CD45)&gt;0,$B$5=1,CD$3&lt;EDATE($B$8,'Вводные'!$H$90)),(CD38+CD45)*CD41/12,0)</x:f>
      </x:c>
      <x:c r="CE42" s="117">
        <x:f>IF(AND((CE38+CE45)&gt;0,$B$5=1,CE$3&lt;EDATE($B$8,'Вводные'!$H$90)),(CE38+CE45)*CE41/12,0)</x:f>
      </x:c>
      <x:c r="CF42" s="117">
        <x:f>IF(AND((CF38+CF45)&gt;0,$B$5=1,CF$3&lt;EDATE($B$8,'Вводные'!$H$90)),(CF38+CF45)*CF41/12,0)</x:f>
      </x:c>
      <x:c r="CG42" s="117">
        <x:f>IF(AND((CG38+CG45)&gt;0,$B$5=1,CG$3&lt;EDATE($B$8,'Вводные'!$H$90)),(CG38+CG45)*CG41/12,0)</x:f>
      </x:c>
      <x:c r="CH42" s="117">
        <x:f>IF(AND((CH38+CH45)&gt;0,$B$5=1,CH$3&lt;EDATE($B$8,'Вводные'!$H$90)),(CH38+CH45)*CH41/12,0)</x:f>
      </x:c>
      <x:c r="CI42" s="117">
        <x:f>IF(AND((CI38+CI45)&gt;0,$B$5=1,CI$3&lt;EDATE($B$8,'Вводные'!$H$90)),(CI38+CI45)*CI41/12,0)</x:f>
      </x:c>
      <x:c r="CJ42" s="117">
        <x:f>IF(AND((CJ38+CJ45)&gt;0,$B$5=1,CJ$3&lt;EDATE($B$8,'Вводные'!$H$90)),(CJ38+CJ45)*CJ41/12,0)</x:f>
      </x:c>
      <x:c r="CK42" s="117">
        <x:f>IF(AND((CK38+CK45)&gt;0,$B$5=1,CK$3&lt;EDATE($B$8,'Вводные'!$H$90)),(CK38+CK45)*CK41/12,0)</x:f>
      </x:c>
      <x:c r="CL42" s="117">
        <x:f>IF(AND((CL38+CL45)&gt;0,$B$5=1,CL$3&lt;EDATE($B$8,'Вводные'!$H$90)),(CL38+CL45)*CL41/12,0)</x:f>
      </x:c>
      <x:c r="CM42" s="117">
        <x:f>IF(AND((CM38+CM45)&gt;0,$B$5=1,CM$3&lt;EDATE($B$8,'Вводные'!$H$90)),(CM38+CM45)*CM41/12,0)</x:f>
      </x:c>
      <x:c r="CN42" s="117">
        <x:f>IF(AND((CN38+CN45)&gt;0,$B$5=1,CN$3&lt;EDATE($B$8,'Вводные'!$H$90)),(CN38+CN45)*CN41/12,0)</x:f>
      </x:c>
      <x:c r="CO42" s="117">
        <x:f>IF(AND((CO38+CO45)&gt;0,$B$5=1,CO$3&lt;EDATE($B$8,'Вводные'!$H$90)),(CO38+CO45)*CO41/12,0)</x:f>
      </x:c>
      <x:c r="CP42" s="117">
        <x:f>IF(AND((CP38+CP45)&gt;0,$B$5=1,CP$3&lt;EDATE($B$8,'Вводные'!$H$90)),(CP38+CP45)*CP41/12,0)</x:f>
      </x:c>
      <x:c r="CQ42" s="117">
        <x:f>IF(AND((CQ38+CQ45)&gt;0,$B$5=1,CQ$3&lt;EDATE($B$8,'Вводные'!$H$90)),(CQ38+CQ45)*CQ41/12,0)</x:f>
      </x:c>
      <x:c r="CR42" s="117">
        <x:f>IF(AND((CR38+CR45)&gt;0,$B$5=1,CR$3&lt;EDATE($B$8,'Вводные'!$H$90)),(CR38+CR45)*CR41/12,0)</x:f>
      </x:c>
      <x:c r="CS42" s="117">
        <x:f>IF(AND((CS38+CS45)&gt;0,$B$5=1,CS$3&lt;EDATE($B$8,'Вводные'!$H$90)),(CS38+CS45)*CS41/12,0)</x:f>
      </x:c>
      <x:c r="CT42" s="117">
        <x:f>IF(AND((CT38+CT45)&gt;0,$B$5=1,CT$3&lt;EDATE($B$8,'Вводные'!$H$90)),(CT38+CT45)*CT41/12,0)</x:f>
      </x:c>
      <x:c r="CU42" s="117">
        <x:f>IF(AND((CU38+CU45)&gt;0,$B$5=1,CU$3&lt;EDATE($B$8,'Вводные'!$H$90)),(CU38+CU45)*CU41/12,0)</x:f>
      </x:c>
      <x:c r="CV42" s="117">
        <x:f>IF(AND((CV38+CV45)&gt;0,$B$5=1,CV$3&lt;EDATE($B$8,'Вводные'!$H$90)),(CV38+CV45)*CV41/12,0)</x:f>
      </x:c>
      <x:c r="CW42" s="117">
        <x:f>IF(AND((CW38+CW45)&gt;0,$B$5=1,CW$3&lt;EDATE($B$8,'Вводные'!$H$90)),(CW38+CW45)*CW41/12,0)</x:f>
      </x:c>
      <x:c r="CX42" s="117">
        <x:f>IF(AND((CX38+CX45)&gt;0,$B$5=1,CX$3&lt;EDATE($B$8,'Вводные'!$H$90)),(CX38+CX45)*CX41/12,0)</x:f>
      </x:c>
      <x:c r="CY42" s="117">
        <x:f>IF(AND((CY38+CY45)&gt;0,$B$5=1,CY$3&lt;EDATE($B$8,'Вводные'!$H$90)),(CY38+CY45)*CY41/12,0)</x:f>
      </x:c>
      <x:c r="CZ42" s="117">
        <x:f>IF(AND((CZ38+CZ45)&gt;0,$B$5=1,CZ$3&lt;EDATE($B$8,'Вводные'!$H$90)),(CZ38+CZ45)*CZ41/12,0)</x:f>
      </x:c>
      <x:c r="DA42" s="117">
        <x:f>IF(AND((DA38+DA45)&gt;0,$B$5=1,DA$3&lt;EDATE($B$8,'Вводные'!$H$90)),(DA38+DA45)*DA41/12,0)</x:f>
      </x:c>
      <x:c r="DB42" s="117">
        <x:f>IF(AND((DB38+DB45)&gt;0,$B$5=1,DB$3&lt;EDATE($B$8,'Вводные'!$H$90)),(DB38+DB45)*DB41/12,0)</x:f>
      </x:c>
      <x:c r="DC42" s="117">
        <x:f>IF(AND((DC38+DC45)&gt;0,$B$5=1,DC$3&lt;EDATE($B$8,'Вводные'!$H$90)),(DC38+DC45)*DC41/12,0)</x:f>
      </x:c>
      <x:c r="DD42" s="117">
        <x:f>IF(AND((DD38+DD45)&gt;0,$B$5=1,DD$3&lt;EDATE($B$8,'Вводные'!$H$90)),(DD38+DD45)*DD41/12,0)</x:f>
      </x:c>
      <x:c r="DE42" s="117">
        <x:f>IF(AND((DE38+DE45)&gt;0,$B$5=1,DE$3&lt;EDATE($B$8,'Вводные'!$H$90)),(DE38+DE45)*DE41/12,0)</x:f>
      </x:c>
      <x:c r="DF42" s="117">
        <x:f>IF(AND((DF38+DF45)&gt;0,$B$5=1,DF$3&lt;EDATE($B$8,'Вводные'!$H$90)),(DF38+DF45)*DF41/12,0)</x:f>
      </x:c>
      <x:c r="DG42" s="117">
        <x:f>IF(AND((DG38+DG45)&gt;0,$B$5=1,DG$3&lt;EDATE($B$8,'Вводные'!$H$90)),(DG38+DG45)*DG41/12,0)</x:f>
      </x:c>
      <x:c r="DH42" s="117">
        <x:f>IF(AND((DH38+DH45)&gt;0,$B$5=1,DH$3&lt;EDATE($B$8,'Вводные'!$H$90)),(DH38+DH45)*DH41/12,0)</x:f>
      </x:c>
      <x:c r="DI42" s="117">
        <x:f>IF(AND((DI38+DI45)&gt;0,$B$5=1,DI$3&lt;EDATE($B$8,'Вводные'!$H$90)),(DI38+DI45)*DI41/12,0)</x:f>
      </x:c>
      <x:c r="DJ42" s="117">
        <x:f>IF(AND((DJ38+DJ45)&gt;0,$B$5=1,DJ$3&lt;EDATE($B$8,'Вводные'!$H$90)),(DJ38+DJ45)*DJ41/12,0)</x:f>
      </x:c>
      <x:c r="DK42" s="117">
        <x:f>IF(AND((DK38+DK45)&gt;0,$B$5=1,DK$3&lt;EDATE($B$8,'Вводные'!$H$90)),(DK38+DK45)*DK41/12,0)</x:f>
      </x:c>
      <x:c r="DL42" s="117">
        <x:f>IF(AND((DL38+DL45)&gt;0,$B$5=1,DL$3&lt;EDATE($B$8,'Вводные'!$H$90)),(DL38+DL45)*DL41/12,0)</x:f>
      </x:c>
      <x:c r="DM42" s="117">
        <x:f>IF(AND((DM38+DM45)&gt;0,$B$5=1,DM$3&lt;EDATE($B$8,'Вводные'!$H$90)),(DM38+DM45)*DM41/12,0)</x:f>
      </x:c>
      <x:c r="DN42" s="117">
        <x:f>IF(AND((DN38+DN45)&gt;0,$B$5=1,DN$3&lt;EDATE($B$8,'Вводные'!$H$90)),(DN38+DN45)*DN41/12,0)</x:f>
      </x:c>
      <x:c r="DO42" s="117">
        <x:f>IF(AND((DO38+DO45)&gt;0,$B$5=1,DO$3&lt;EDATE($B$8,'Вводные'!$H$90)),(DO38+DO45)*DO41/12,0)</x:f>
      </x:c>
      <x:c r="DP42" s="117">
        <x:f>IF(AND((DP38+DP45)&gt;0,$B$5=1,DP$3&lt;EDATE($B$8,'Вводные'!$H$90)),(DP38+DP45)*DP41/12,0)</x:f>
      </x:c>
      <x:c r="DQ42" s="117">
        <x:f>IF(AND((DQ38+DQ45)&gt;0,$B$5=1,DQ$3&lt;EDATE($B$8,'Вводные'!$H$90)),(DQ38+DQ45)*DQ41/12,0)</x:f>
      </x:c>
      <x:c r="DR42" s="117">
        <x:f>IF(AND((DR38+DR45)&gt;0,$B$5=1,DR$3&lt;EDATE($B$8,'Вводные'!$H$90)),(DR38+DR45)*DR41/12,0)</x:f>
      </x:c>
      <x:c r="DS42" s="117">
        <x:f>IF(AND((DS38+DS45)&gt;0,$B$5=1,DS$3&lt;EDATE($B$8,'Вводные'!$H$90)),(DS38+DS45)*DS41/12,0)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IF(AND((D38+D45)&gt;0,$B$5=1,D$3&lt;EDATE($B$8,'Вводные'!$H$91)),(D38+D45)*D41/12,0)</x:f>
      </x:c>
      <x:c r="E42" s="117">
        <x:f>IF(AND((E38+E45)&gt;0,$B$5=1,E$3&lt;EDATE($B$8,'Вводные'!$H$91)),(E38+E45)*E41/12,0)</x:f>
      </x:c>
      <x:c r="F42" s="117">
        <x:f>IF(AND((F38+F45)&gt;0,$B$5=1,F$3&lt;EDATE($B$8,'Вводные'!$H$91)),(F38+F45)*F41/12,0)</x:f>
      </x:c>
      <x:c r="G42" s="117">
        <x:f>IF(AND((G38+G45)&gt;0,$B$5=1,G$3&lt;EDATE($B$8,'Вводные'!$H$91)),(G38+G45)*G41/12,0)</x:f>
      </x:c>
      <x:c r="H42" s="117">
        <x:f>IF(AND((H38+H45)&gt;0,$B$5=1,H$3&lt;EDATE($B$8,'Вводные'!$H$91)),(H38+H45)*H41/12,0)</x:f>
      </x:c>
      <x:c r="I42" s="117">
        <x:f>IF(AND((I38+I45)&gt;0,$B$5=1,I$3&lt;EDATE($B$8,'Вводные'!$H$91)),(I38+I45)*I41/12,0)</x:f>
      </x:c>
      <x:c r="J42" s="117">
        <x:f>IF(AND((J38+J45)&gt;0,$B$5=1,J$3&lt;EDATE($B$8,'Вводные'!$H$91)),(J38+J45)*J41/12,0)</x:f>
      </x:c>
      <x:c r="K42" s="117">
        <x:f>IF(AND((K38+K45)&gt;0,$B$5=1,K$3&lt;EDATE($B$8,'Вводные'!$H$91)),(K38+K45)*K41/12,0)</x:f>
      </x:c>
      <x:c r="L42" s="117">
        <x:f>IF(AND((L38+L45)&gt;0,$B$5=1,L$3&lt;EDATE($B$8,'Вводные'!$H$91)),(L38+L45)*L41/12,0)</x:f>
      </x:c>
      <x:c r="M42" s="117">
        <x:f>IF(AND((M38+M45)&gt;0,$B$5=1,M$3&lt;EDATE($B$8,'Вводные'!$H$91)),(M38+M45)*M41/12,0)</x:f>
      </x:c>
      <x:c r="N42" s="117">
        <x:f>IF(AND((N38+N45)&gt;0,$B$5=1,N$3&lt;EDATE($B$8,'Вводные'!$H$91)),(N38+N45)*N41/12,0)</x:f>
      </x:c>
      <x:c r="O42" s="117">
        <x:f>IF(AND((O38+O45)&gt;0,$B$5=1,O$3&lt;EDATE($B$8,'Вводные'!$H$91)),(O38+O45)*O41/12,0)</x:f>
      </x:c>
      <x:c r="P42" s="117">
        <x:f>IF(AND((P38+P45)&gt;0,$B$5=1,P$3&lt;EDATE($B$8,'Вводные'!$H$91)),(P38+P45)*P41/12,0)</x:f>
      </x:c>
      <x:c r="Q42" s="117">
        <x:f>IF(AND((Q38+Q45)&gt;0,$B$5=1,Q$3&lt;EDATE($B$8,'Вводные'!$H$91)),(Q38+Q45)*Q41/12,0)</x:f>
      </x:c>
      <x:c r="R42" s="117">
        <x:f>IF(AND((R38+R45)&gt;0,$B$5=1,R$3&lt;EDATE($B$8,'Вводные'!$H$91)),(R38+R45)*R41/12,0)</x:f>
      </x:c>
      <x:c r="S42" s="117">
        <x:f>IF(AND((S38+S45)&gt;0,$B$5=1,S$3&lt;EDATE($B$8,'Вводные'!$H$91)),(S38+S45)*S41/12,0)</x:f>
      </x:c>
      <x:c r="T42" s="117">
        <x:f>IF(AND((T38+T45)&gt;0,$B$5=1,T$3&lt;EDATE($B$8,'Вводные'!$H$91)),(T38+T45)*T41/12,0)</x:f>
      </x:c>
      <x:c r="U42" s="117">
        <x:f>IF(AND((U38+U45)&gt;0,$B$5=1,U$3&lt;EDATE($B$8,'Вводные'!$H$91)),(U38+U45)*U41/12,0)</x:f>
      </x:c>
      <x:c r="V42" s="117">
        <x:f>IF(AND((V38+V45)&gt;0,$B$5=1,V$3&lt;EDATE($B$8,'Вводные'!$H$91)),(V38+V45)*V41/12,0)</x:f>
      </x:c>
      <x:c r="W42" s="117">
        <x:f>IF(AND((W38+W45)&gt;0,$B$5=1,W$3&lt;EDATE($B$8,'Вводные'!$H$91)),(W38+W45)*W41/12,0)</x:f>
      </x:c>
      <x:c r="X42" s="117">
        <x:f>IF(AND((X38+X45)&gt;0,$B$5=1,X$3&lt;EDATE($B$8,'Вводные'!$H$91)),(X38+X45)*X41/12,0)</x:f>
      </x:c>
      <x:c r="Y42" s="117">
        <x:f>IF(AND((Y38+Y45)&gt;0,$B$5=1,Y$3&lt;EDATE($B$8,'Вводные'!$H$91)),(Y38+Y45)*Y41/12,0)</x:f>
      </x:c>
      <x:c r="Z42" s="117">
        <x:f>IF(AND((Z38+Z45)&gt;0,$B$5=1,Z$3&lt;EDATE($B$8,'Вводные'!$H$91)),(Z38+Z45)*Z41/12,0)</x:f>
      </x:c>
      <x:c r="AA42" s="117">
        <x:f>IF(AND((AA38+AA45)&gt;0,$B$5=1,AA$3&lt;EDATE($B$8,'Вводные'!$H$91)),(AA38+AA45)*AA41/12,0)</x:f>
      </x:c>
      <x:c r="AB42" s="117">
        <x:f>IF(AND((AB38+AB45)&gt;0,$B$5=1,AB$3&lt;EDATE($B$8,'Вводные'!$H$91)),(AB38+AB45)*AB41/12,0)</x:f>
      </x:c>
      <x:c r="AC42" s="117">
        <x:f>IF(AND((AC38+AC45)&gt;0,$B$5=1,AC$3&lt;EDATE($B$8,'Вводные'!$H$91)),(AC38+AC45)*AC41/12,0)</x:f>
      </x:c>
      <x:c r="AD42" s="117">
        <x:f>IF(AND((AD38+AD45)&gt;0,$B$5=1,AD$3&lt;EDATE($B$8,'Вводные'!$H$91)),(AD38+AD45)*AD41/12,0)</x:f>
      </x:c>
      <x:c r="AE42" s="117">
        <x:f>IF(AND((AE38+AE45)&gt;0,$B$5=1,AE$3&lt;EDATE($B$8,'Вводные'!$H$91)),(AE38+AE45)*AE41/12,0)</x:f>
      </x:c>
      <x:c r="AF42" s="117">
        <x:f>IF(AND((AF38+AF45)&gt;0,$B$5=1,AF$3&lt;EDATE($B$8,'Вводные'!$H$91)),(AF38+AF45)*AF41/12,0)</x:f>
      </x:c>
      <x:c r="AG42" s="117">
        <x:f>IF(AND((AG38+AG45)&gt;0,$B$5=1,AG$3&lt;EDATE($B$8,'Вводные'!$H$91)),(AG38+AG45)*AG41/12,0)</x:f>
      </x:c>
      <x:c r="AH42" s="117">
        <x:f>IF(AND((AH38+AH45)&gt;0,$B$5=1,AH$3&lt;EDATE($B$8,'Вводные'!$H$91)),(AH38+AH45)*AH41/12,0)</x:f>
      </x:c>
      <x:c r="AI42" s="117">
        <x:f>IF(AND((AI38+AI45)&gt;0,$B$5=1,AI$3&lt;EDATE($B$8,'Вводные'!$H$91)),(AI38+AI45)*AI41/12,0)</x:f>
      </x:c>
      <x:c r="AJ42" s="117">
        <x:f>IF(AND((AJ38+AJ45)&gt;0,$B$5=1,AJ$3&lt;EDATE($B$8,'Вводные'!$H$91)),(AJ38+AJ45)*AJ41/12,0)</x:f>
      </x:c>
      <x:c r="AK42" s="117">
        <x:f>IF(AND((AK38+AK45)&gt;0,$B$5=1,AK$3&lt;EDATE($B$8,'Вводные'!$H$91)),(AK38+AK45)*AK41/12,0)</x:f>
      </x:c>
      <x:c r="AL42" s="117">
        <x:f>IF(AND((AL38+AL45)&gt;0,$B$5=1,AL$3&lt;EDATE($B$8,'Вводные'!$H$91)),(AL38+AL45)*AL41/12,0)</x:f>
      </x:c>
      <x:c r="AM42" s="117">
        <x:f>IF(AND((AM38+AM45)&gt;0,$B$5=1,AM$3&lt;EDATE($B$8,'Вводные'!$H$91)),(AM38+AM45)*AM41/12,0)</x:f>
      </x:c>
      <x:c r="AN42" s="117">
        <x:f>IF(AND((AN38+AN45)&gt;0,$B$5=1,AN$3&lt;EDATE($B$8,'Вводные'!$H$91)),(AN38+AN45)*AN41/12,0)</x:f>
      </x:c>
      <x:c r="AO42" s="117">
        <x:f>IF(AND((AO38+AO45)&gt;0,$B$5=1,AO$3&lt;EDATE($B$8,'Вводные'!$H$91)),(AO38+AO45)*AO41/12,0)</x:f>
      </x:c>
      <x:c r="AP42" s="117">
        <x:f>IF(AND((AP38+AP45)&gt;0,$B$5=1,AP$3&lt;EDATE($B$8,'Вводные'!$H$91)),(AP38+AP45)*AP41/12,0)</x:f>
      </x:c>
      <x:c r="AQ42" s="117">
        <x:f>IF(AND((AQ38+AQ45)&gt;0,$B$5=1,AQ$3&lt;EDATE($B$8,'Вводные'!$H$91)),(AQ38+AQ45)*AQ41/12,0)</x:f>
      </x:c>
      <x:c r="AR42" s="117">
        <x:f>IF(AND((AR38+AR45)&gt;0,$B$5=1,AR$3&lt;EDATE($B$8,'Вводные'!$H$91)),(AR38+AR45)*AR41/12,0)</x:f>
      </x:c>
      <x:c r="AS42" s="117">
        <x:f>IF(AND((AS38+AS45)&gt;0,$B$5=1,AS$3&lt;EDATE($B$8,'Вводные'!$H$91)),(AS38+AS45)*AS41/12,0)</x:f>
      </x:c>
      <x:c r="AT42" s="117">
        <x:f>IF(AND((AT38+AT45)&gt;0,$B$5=1,AT$3&lt;EDATE($B$8,'Вводные'!$H$91)),(AT38+AT45)*AT41/12,0)</x:f>
      </x:c>
      <x:c r="AU42" s="117">
        <x:f>IF(AND((AU38+AU45)&gt;0,$B$5=1,AU$3&lt;EDATE($B$8,'Вводные'!$H$91)),(AU38+AU45)*AU41/12,0)</x:f>
      </x:c>
      <x:c r="AV42" s="117">
        <x:f>IF(AND((AV38+AV45)&gt;0,$B$5=1,AV$3&lt;EDATE($B$8,'Вводные'!$H$91)),(AV38+AV45)*AV41/12,0)</x:f>
      </x:c>
      <x:c r="AW42" s="117">
        <x:f>IF(AND((AW38+AW45)&gt;0,$B$5=1,AW$3&lt;EDATE($B$8,'Вводные'!$H$91)),(AW38+AW45)*AW41/12,0)</x:f>
      </x:c>
      <x:c r="AX42" s="117">
        <x:f>IF(AND((AX38+AX45)&gt;0,$B$5=1,AX$3&lt;EDATE($B$8,'Вводные'!$H$91)),(AX38+AX45)*AX41/12,0)</x:f>
      </x:c>
      <x:c r="AY42" s="117">
        <x:f>IF(AND((AY38+AY45)&gt;0,$B$5=1,AY$3&lt;EDATE($B$8,'Вводные'!$H$91)),(AY38+AY45)*AY41/12,0)</x:f>
      </x:c>
      <x:c r="AZ42" s="117">
        <x:f>IF(AND((AZ38+AZ45)&gt;0,$B$5=1,AZ$3&lt;EDATE($B$8,'Вводные'!$H$91)),(AZ38+AZ45)*AZ41/12,0)</x:f>
      </x:c>
      <x:c r="BA42" s="117">
        <x:f>IF(AND((BA38+BA45)&gt;0,$B$5=1,BA$3&lt;EDATE($B$8,'Вводные'!$H$91)),(BA38+BA45)*BA41/12,0)</x:f>
      </x:c>
      <x:c r="BB42" s="117">
        <x:f>IF(AND((BB38+BB45)&gt;0,$B$5=1,BB$3&lt;EDATE($B$8,'Вводные'!$H$91)),(BB38+BB45)*BB41/12,0)</x:f>
      </x:c>
      <x:c r="BC42" s="117">
        <x:f>IF(AND((BC38+BC45)&gt;0,$B$5=1,BC$3&lt;EDATE($B$8,'Вводные'!$H$91)),(BC38+BC45)*BC41/12,0)</x:f>
      </x:c>
      <x:c r="BD42" s="117">
        <x:f>IF(AND((BD38+BD45)&gt;0,$B$5=1,BD$3&lt;EDATE($B$8,'Вводные'!$H$91)),(BD38+BD45)*BD41/12,0)</x:f>
      </x:c>
      <x:c r="BE42" s="117">
        <x:f>IF(AND((BE38+BE45)&gt;0,$B$5=1,BE$3&lt;EDATE($B$8,'Вводные'!$H$91)),(BE38+BE45)*BE41/12,0)</x:f>
      </x:c>
      <x:c r="BF42" s="117">
        <x:f>IF(AND((BF38+BF45)&gt;0,$B$5=1,BF$3&lt;EDATE($B$8,'Вводные'!$H$91)),(BF38+BF45)*BF41/12,0)</x:f>
      </x:c>
      <x:c r="BG42" s="117">
        <x:f>IF(AND((BG38+BG45)&gt;0,$B$5=1,BG$3&lt;EDATE($B$8,'Вводные'!$H$91)),(BG38+BG45)*BG41/12,0)</x:f>
      </x:c>
      <x:c r="BH42" s="117">
        <x:f>IF(AND((BH38+BH45)&gt;0,$B$5=1,BH$3&lt;EDATE($B$8,'Вводные'!$H$91)),(BH38+BH45)*BH41/12,0)</x:f>
      </x:c>
      <x:c r="BI42" s="117">
        <x:f>IF(AND((BI38+BI45)&gt;0,$B$5=1,BI$3&lt;EDATE($B$8,'Вводные'!$H$91)),(BI38+BI45)*BI41/12,0)</x:f>
      </x:c>
      <x:c r="BJ42" s="117">
        <x:f>IF(AND((BJ38+BJ45)&gt;0,$B$5=1,BJ$3&lt;EDATE($B$8,'Вводные'!$H$91)),(BJ38+BJ45)*BJ41/12,0)</x:f>
      </x:c>
      <x:c r="BK42" s="117">
        <x:f>IF(AND((BK38+BK45)&gt;0,$B$5=1,BK$3&lt;EDATE($B$8,'Вводные'!$H$91)),(BK38+BK45)*BK41/12,0)</x:f>
      </x:c>
      <x:c r="BL42" s="117">
        <x:f>IF(AND((BL38+BL45)&gt;0,$B$5=1,BL$3&lt;EDATE($B$8,'Вводные'!$H$91)),(BL38+BL45)*BL41/12,0)</x:f>
      </x:c>
      <x:c r="BM42" s="117">
        <x:f>IF(AND((BM38+BM45)&gt;0,$B$5=1,BM$3&lt;EDATE($B$8,'Вводные'!$H$91)),(BM38+BM45)*BM41/12,0)</x:f>
      </x:c>
      <x:c r="BN42" s="117">
        <x:f>IF(AND((BN38+BN45)&gt;0,$B$5=1,BN$3&lt;EDATE($B$8,'Вводные'!$H$91)),(BN38+BN45)*BN41/12,0)</x:f>
      </x:c>
      <x:c r="BO42" s="117">
        <x:f>IF(AND((BO38+BO45)&gt;0,$B$5=1,BO$3&lt;EDATE($B$8,'Вводные'!$H$91)),(BO38+BO45)*BO41/12,0)</x:f>
      </x:c>
      <x:c r="BP42" s="117">
        <x:f>IF(AND((BP38+BP45)&gt;0,$B$5=1,BP$3&lt;EDATE($B$8,'Вводные'!$H$91)),(BP38+BP45)*BP41/12,0)</x:f>
      </x:c>
      <x:c r="BQ42" s="117">
        <x:f>IF(AND((BQ38+BQ45)&gt;0,$B$5=1,BQ$3&lt;EDATE($B$8,'Вводные'!$H$91)),(BQ38+BQ45)*BQ41/12,0)</x:f>
      </x:c>
      <x:c r="BR42" s="117">
        <x:f>IF(AND((BR38+BR45)&gt;0,$B$5=1,BR$3&lt;EDATE($B$8,'Вводные'!$H$91)),(BR38+BR45)*BR41/12,0)</x:f>
      </x:c>
      <x:c r="BS42" s="117">
        <x:f>IF(AND((BS38+BS45)&gt;0,$B$5=1,BS$3&lt;EDATE($B$8,'Вводные'!$H$91)),(BS38+BS45)*BS41/12,0)</x:f>
      </x:c>
      <x:c r="BT42" s="117">
        <x:f>IF(AND((BT38+BT45)&gt;0,$B$5=1,BT$3&lt;EDATE($B$8,'Вводные'!$H$91)),(BT38+BT45)*BT41/12,0)</x:f>
      </x:c>
      <x:c r="BU42" s="117">
        <x:f>IF(AND((BU38+BU45)&gt;0,$B$5=1,BU$3&lt;EDATE($B$8,'Вводные'!$H$91)),(BU38+BU45)*BU41/12,0)</x:f>
      </x:c>
      <x:c r="BV42" s="117">
        <x:f>IF(AND((BV38+BV45)&gt;0,$B$5=1,BV$3&lt;EDATE($B$8,'Вводные'!$H$91)),(BV38+BV45)*BV41/12,0)</x:f>
      </x:c>
      <x:c r="BW42" s="117">
        <x:f>IF(AND((BW38+BW45)&gt;0,$B$5=1,BW$3&lt;EDATE($B$8,'Вводные'!$H$91)),(BW38+BW45)*BW41/12,0)</x:f>
      </x:c>
      <x:c r="BX42" s="117">
        <x:f>IF(AND((BX38+BX45)&gt;0,$B$5=1,BX$3&lt;EDATE($B$8,'Вводные'!$H$91)),(BX38+BX45)*BX41/12,0)</x:f>
      </x:c>
      <x:c r="BY42" s="117">
        <x:f>IF(AND((BY38+BY45)&gt;0,$B$5=1,BY$3&lt;EDATE($B$8,'Вводные'!$H$91)),(BY38+BY45)*BY41/12,0)</x:f>
      </x:c>
      <x:c r="BZ42" s="117">
        <x:f>IF(AND((BZ38+BZ45)&gt;0,$B$5=1,BZ$3&lt;EDATE($B$8,'Вводные'!$H$91)),(BZ38+BZ45)*BZ41/12,0)</x:f>
      </x:c>
      <x:c r="CA42" s="117">
        <x:f>IF(AND((CA38+CA45)&gt;0,$B$5=1,CA$3&lt;EDATE($B$8,'Вводные'!$H$91)),(CA38+CA45)*CA41/12,0)</x:f>
      </x:c>
      <x:c r="CB42" s="117">
        <x:f>IF(AND((CB38+CB45)&gt;0,$B$5=1,CB$3&lt;EDATE($B$8,'Вводные'!$H$91)),(CB38+CB45)*CB41/12,0)</x:f>
      </x:c>
      <x:c r="CC42" s="117">
        <x:f>IF(AND((CC38+CC45)&gt;0,$B$5=1,CC$3&lt;EDATE($B$8,'Вводные'!$H$91)),(CC38+CC45)*CC41/12,0)</x:f>
      </x:c>
      <x:c r="CD42" s="117">
        <x:f>IF(AND((CD38+CD45)&gt;0,$B$5=1,CD$3&lt;EDATE($B$8,'Вводные'!$H$91)),(CD38+CD45)*CD41/12,0)</x:f>
      </x:c>
      <x:c r="CE42" s="117">
        <x:f>IF(AND((CE38+CE45)&gt;0,$B$5=1,CE$3&lt;EDATE($B$8,'Вводные'!$H$91)),(CE38+CE45)*CE41/12,0)</x:f>
      </x:c>
      <x:c r="CF42" s="117">
        <x:f>IF(AND((CF38+CF45)&gt;0,$B$5=1,CF$3&lt;EDATE($B$8,'Вводные'!$H$91)),(CF38+CF45)*CF41/12,0)</x:f>
      </x:c>
      <x:c r="CG42" s="117">
        <x:f>IF(AND((CG38+CG45)&gt;0,$B$5=1,CG$3&lt;EDATE($B$8,'Вводные'!$H$91)),(CG38+CG45)*CG41/12,0)</x:f>
      </x:c>
      <x:c r="CH42" s="117">
        <x:f>IF(AND((CH38+CH45)&gt;0,$B$5=1,CH$3&lt;EDATE($B$8,'Вводные'!$H$91)),(CH38+CH45)*CH41/12,0)</x:f>
      </x:c>
      <x:c r="CI42" s="117">
        <x:f>IF(AND((CI38+CI45)&gt;0,$B$5=1,CI$3&lt;EDATE($B$8,'Вводные'!$H$91)),(CI38+CI45)*CI41/12,0)</x:f>
      </x:c>
      <x:c r="CJ42" s="117">
        <x:f>IF(AND((CJ38+CJ45)&gt;0,$B$5=1,CJ$3&lt;EDATE($B$8,'Вводные'!$H$91)),(CJ38+CJ45)*CJ41/12,0)</x:f>
      </x:c>
      <x:c r="CK42" s="117">
        <x:f>IF(AND((CK38+CK45)&gt;0,$B$5=1,CK$3&lt;EDATE($B$8,'Вводные'!$H$91)),(CK38+CK45)*CK41/12,0)</x:f>
      </x:c>
      <x:c r="CL42" s="117">
        <x:f>IF(AND((CL38+CL45)&gt;0,$B$5=1,CL$3&lt;EDATE($B$8,'Вводные'!$H$91)),(CL38+CL45)*CL41/12,0)</x:f>
      </x:c>
      <x:c r="CM42" s="117">
        <x:f>IF(AND((CM38+CM45)&gt;0,$B$5=1,CM$3&lt;EDATE($B$8,'Вводные'!$H$91)),(CM38+CM45)*CM41/12,0)</x:f>
      </x:c>
      <x:c r="CN42" s="117">
        <x:f>IF(AND((CN38+CN45)&gt;0,$B$5=1,CN$3&lt;EDATE($B$8,'Вводные'!$H$91)),(CN38+CN45)*CN41/12,0)</x:f>
      </x:c>
      <x:c r="CO42" s="117">
        <x:f>IF(AND((CO38+CO45)&gt;0,$B$5=1,CO$3&lt;EDATE($B$8,'Вводные'!$H$91)),(CO38+CO45)*CO41/12,0)</x:f>
      </x:c>
      <x:c r="CP42" s="117">
        <x:f>IF(AND((CP38+CP45)&gt;0,$B$5=1,CP$3&lt;EDATE($B$8,'Вводные'!$H$91)),(CP38+CP45)*CP41/12,0)</x:f>
      </x:c>
      <x:c r="CQ42" s="117">
        <x:f>IF(AND((CQ38+CQ45)&gt;0,$B$5=1,CQ$3&lt;EDATE($B$8,'Вводные'!$H$91)),(CQ38+CQ45)*CQ41/12,0)</x:f>
      </x:c>
      <x:c r="CR42" s="117">
        <x:f>IF(AND((CR38+CR45)&gt;0,$B$5=1,CR$3&lt;EDATE($B$8,'Вводные'!$H$91)),(CR38+CR45)*CR41/12,0)</x:f>
      </x:c>
      <x:c r="CS42" s="117">
        <x:f>IF(AND((CS38+CS45)&gt;0,$B$5=1,CS$3&lt;EDATE($B$8,'Вводные'!$H$91)),(CS38+CS45)*CS41/12,0)</x:f>
      </x:c>
      <x:c r="CT42" s="117">
        <x:f>IF(AND((CT38+CT45)&gt;0,$B$5=1,CT$3&lt;EDATE($B$8,'Вводные'!$H$91)),(CT38+CT45)*CT41/12,0)</x:f>
      </x:c>
      <x:c r="CU42" s="117">
        <x:f>IF(AND((CU38+CU45)&gt;0,$B$5=1,CU$3&lt;EDATE($B$8,'Вводные'!$H$91)),(CU38+CU45)*CU41/12,0)</x:f>
      </x:c>
      <x:c r="CV42" s="117">
        <x:f>IF(AND((CV38+CV45)&gt;0,$B$5=1,CV$3&lt;EDATE($B$8,'Вводные'!$H$91)),(CV38+CV45)*CV41/12,0)</x:f>
      </x:c>
      <x:c r="CW42" s="117">
        <x:f>IF(AND((CW38+CW45)&gt;0,$B$5=1,CW$3&lt;EDATE($B$8,'Вводные'!$H$91)),(CW38+CW45)*CW41/12,0)</x:f>
      </x:c>
      <x:c r="CX42" s="117">
        <x:f>IF(AND((CX38+CX45)&gt;0,$B$5=1,CX$3&lt;EDATE($B$8,'Вводные'!$H$91)),(CX38+CX45)*CX41/12,0)</x:f>
      </x:c>
      <x:c r="CY42" s="117">
        <x:f>IF(AND((CY38+CY45)&gt;0,$B$5=1,CY$3&lt;EDATE($B$8,'Вводные'!$H$91)),(CY38+CY45)*CY41/12,0)</x:f>
      </x:c>
      <x:c r="CZ42" s="117">
        <x:f>IF(AND((CZ38+CZ45)&gt;0,$B$5=1,CZ$3&lt;EDATE($B$8,'Вводные'!$H$91)),(CZ38+CZ45)*CZ41/12,0)</x:f>
      </x:c>
      <x:c r="DA42" s="117">
        <x:f>IF(AND((DA38+DA45)&gt;0,$B$5=1,DA$3&lt;EDATE($B$8,'Вводные'!$H$91)),(DA38+DA45)*DA41/12,0)</x:f>
      </x:c>
      <x:c r="DB42" s="117">
        <x:f>IF(AND((DB38+DB45)&gt;0,$B$5=1,DB$3&lt;EDATE($B$8,'Вводные'!$H$91)),(DB38+DB45)*DB41/12,0)</x:f>
      </x:c>
      <x:c r="DC42" s="117">
        <x:f>IF(AND((DC38+DC45)&gt;0,$B$5=1,DC$3&lt;EDATE($B$8,'Вводные'!$H$91)),(DC38+DC45)*DC41/12,0)</x:f>
      </x:c>
      <x:c r="DD42" s="117">
        <x:f>IF(AND((DD38+DD45)&gt;0,$B$5=1,DD$3&lt;EDATE($B$8,'Вводные'!$H$91)),(DD38+DD45)*DD41/12,0)</x:f>
      </x:c>
      <x:c r="DE42" s="117">
        <x:f>IF(AND((DE38+DE45)&gt;0,$B$5=1,DE$3&lt;EDATE($B$8,'Вводные'!$H$91)),(DE38+DE45)*DE41/12,0)</x:f>
      </x:c>
      <x:c r="DF42" s="117">
        <x:f>IF(AND((DF38+DF45)&gt;0,$B$5=1,DF$3&lt;EDATE($B$8,'Вводные'!$H$91)),(DF38+DF45)*DF41/12,0)</x:f>
      </x:c>
      <x:c r="DG42" s="117">
        <x:f>IF(AND((DG38+DG45)&gt;0,$B$5=1,DG$3&lt;EDATE($B$8,'Вводные'!$H$91)),(DG38+DG45)*DG41/12,0)</x:f>
      </x:c>
      <x:c r="DH42" s="117">
        <x:f>IF(AND((DH38+DH45)&gt;0,$B$5=1,DH$3&lt;EDATE($B$8,'Вводные'!$H$91)),(DH38+DH45)*DH41/12,0)</x:f>
      </x:c>
      <x:c r="DI42" s="117">
        <x:f>IF(AND((DI38+DI45)&gt;0,$B$5=1,DI$3&lt;EDATE($B$8,'Вводные'!$H$91)),(DI38+DI45)*DI41/12,0)</x:f>
      </x:c>
      <x:c r="DJ42" s="117">
        <x:f>IF(AND((DJ38+DJ45)&gt;0,$B$5=1,DJ$3&lt;EDATE($B$8,'Вводные'!$H$91)),(DJ38+DJ45)*DJ41/12,0)</x:f>
      </x:c>
      <x:c r="DK42" s="117">
        <x:f>IF(AND((DK38+DK45)&gt;0,$B$5=1,DK$3&lt;EDATE($B$8,'Вводные'!$H$91)),(DK38+DK45)*DK41/12,0)</x:f>
      </x:c>
      <x:c r="DL42" s="117">
        <x:f>IF(AND((DL38+DL45)&gt;0,$B$5=1,DL$3&lt;EDATE($B$8,'Вводные'!$H$91)),(DL38+DL45)*DL41/12,0)</x:f>
      </x:c>
      <x:c r="DM42" s="117">
        <x:f>IF(AND((DM38+DM45)&gt;0,$B$5=1,DM$3&lt;EDATE($B$8,'Вводные'!$H$91)),(DM38+DM45)*DM41/12,0)</x:f>
      </x:c>
      <x:c r="DN42" s="117">
        <x:f>IF(AND((DN38+DN45)&gt;0,$B$5=1,DN$3&lt;EDATE($B$8,'Вводные'!$H$91)),(DN38+DN45)*DN41/12,0)</x:f>
      </x:c>
      <x:c r="DO42" s="117">
        <x:f>IF(AND((DO38+DO45)&gt;0,$B$5=1,DO$3&lt;EDATE($B$8,'Вводные'!$H$91)),(DO38+DO45)*DO41/12,0)</x:f>
      </x:c>
      <x:c r="DP42" s="117">
        <x:f>IF(AND((DP38+DP45)&gt;0,$B$5=1,DP$3&lt;EDATE($B$8,'Вводные'!$H$91)),(DP38+DP45)*DP41/12,0)</x:f>
      </x:c>
      <x:c r="DQ42" s="117">
        <x:f>IF(AND((DQ38+DQ45)&gt;0,$B$5=1,DQ$3&lt;EDATE($B$8,'Вводные'!$H$91)),(DQ38+DQ45)*DQ41/12,0)</x:f>
      </x:c>
      <x:c r="DR42" s="117">
        <x:f>IF(AND((DR38+DR45)&gt;0,$B$5=1,DR$3&lt;EDATE($B$8,'Вводные'!$H$91)),(DR38+DR45)*DR41/12,0)</x:f>
      </x:c>
      <x:c r="DS42" s="117">
        <x:f>IF(AND((DS38+DS45)&gt;0,$B$5=1,DS$3&lt;EDATE($B$8,'Вводные'!$H$91)),(DS38+DS45)*DS41/12,0)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