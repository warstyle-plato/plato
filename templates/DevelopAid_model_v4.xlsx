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756b7e0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водные" sheetId="1" r:id="R774fa9117cf74834"/>
    <x:sheet xmlns:r="http://schemas.openxmlformats.org/officeDocument/2006/relationships" name="ТЭП" sheetId="2" r:id="R855b8c4488664b12"/>
    <x:sheet xmlns:r="http://schemas.openxmlformats.org/officeDocument/2006/relationships" name="СРОКИ" sheetId="3" r:id="R78360448fe104d42"/>
    <x:sheet xmlns:r="http://schemas.openxmlformats.org/officeDocument/2006/relationships" name="Ставки" sheetId="4" r:id="R212d7480780d4826"/>
    <x:sheet xmlns:r="http://schemas.openxmlformats.org/officeDocument/2006/relationships" name="Продажи" sheetId="5" r:id="R19ea631707af4c09"/>
    <x:sheet xmlns:r="http://schemas.openxmlformats.org/officeDocument/2006/relationships" name="ВРИ" sheetId="6" r:id="R336d2d0407134420"/>
    <x:sheet xmlns:r="http://schemas.openxmlformats.org/officeDocument/2006/relationships" name="CAPEX" sheetId="7" r:id="R76a2d21c54ad4230"/>
    <x:sheet xmlns:r="http://schemas.openxmlformats.org/officeDocument/2006/relationships" name="CF_1" sheetId="8" r:id="R0075705680cb47d8"/>
    <x:sheet xmlns:r="http://schemas.openxmlformats.org/officeDocument/2006/relationships" name="CF_2" sheetId="9" r:id="R89bbb3542ffe41b4"/>
    <x:sheet xmlns:r="http://schemas.openxmlformats.org/officeDocument/2006/relationships" name="CF_3" sheetId="10" r:id="R24ab5922949942a1"/>
    <x:sheet xmlns:r="http://schemas.openxmlformats.org/officeDocument/2006/relationships" name="CF_4" sheetId="19" r:id="RidCF4worksheet0001"/>
    <x:sheet xmlns:r="http://schemas.openxmlformats.org/officeDocument/2006/relationships" name="CF" sheetId="11" r:id="R2b6b3fe77c104813"/>
    <x:sheet xmlns:r="http://schemas.openxmlformats.org/officeDocument/2006/relationships" name="КРЕДИТЫ" sheetId="12" r:id="R8531feb057c945ef"/>
    <x:sheet xmlns:r="http://schemas.openxmlformats.org/officeDocument/2006/relationships" name="КОНСОЛИДАТОР" sheetId="13" r:id="R0876d8cdf5404039"/>
    <x:sheet xmlns:r="http://schemas.openxmlformats.org/officeDocument/2006/relationships" name="ОТЧЕТ" sheetId="14" r:id="R1bb57a16a5bc491a"/>
    <x:sheet xmlns:r="http://schemas.openxmlformats.org/officeDocument/2006/relationships" name="Дашборд" sheetId="15" r:id="R3a549e4115214feb"/>
    <x:sheet xmlns:r="http://schemas.openxmlformats.org/officeDocument/2006/relationships" name="ПРОВЕРКИ" sheetId="16" r:id="R9492bc82770f42fb"/>
    <x:sheet xmlns:r="http://schemas.openxmlformats.org/officeDocument/2006/relationships" name="Источники" sheetId="17" r:id="Ree30bb7cb7d64b73"/>
    <x:sheet xmlns:r="http://schemas.openxmlformats.org/officeDocument/2006/relationships" name="ОБЪЕКТЫ" sheetId="18" r:id="Rc299bed227bc49b4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dd.mm.yyyy"/>
    <x:numFmt numFmtId="201" formatCode="0"/>
    <x:numFmt numFmtId="202" formatCode="0.0%;[Red](0.0%);-"/>
    <x:numFmt numFmtId="203" formatCode="#,##0;[Red](#,##0);-"/>
    <x:numFmt numFmtId="204" formatCode="0.0000"/>
    <x:numFmt numFmtId="205" formatCode="0.000x"/>
    <x:numFmt numFmtId="206" formatCode="0.00x;[Red](0.00x);-"/>
    <x:numFmt numFmtId="207" formatCode="#,##0.0;[Red](#,##0.0);-"/>
    <x:numFmt numFmtId="208" formatCode="mmm yyyy"/>
    <x:numFmt numFmtId="209" formatCode="0.00%;[Red](0.00%);-"/>
    <x:numFmt numFmtId="210" formatCode="#,##0.00;[Red](#,##0.00);-"/>
    <x:numFmt numFmtId="211" formatCode="@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0B1F33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B1F33"/>
      <x:name val="Carlito"/>
    </x:font>
    <x:font>
      <x:sz val="11"/>
      <x:color rgb="FF000000"/>
      <x:name val="Carlito"/>
    </x:font>
    <x:font>
      <x:sz val="11"/>
      <x:color rgb="FFF4B183"/>
      <x:name val="Carlito"/>
    </x:font>
    <x:font>
      <x:sz val="11"/>
      <x:color rgb="FF0F6B78"/>
      <x:name val="Carlito"/>
    </x:font>
    <x:font>
      <x:sz val="11"/>
      <x:color rgb="FF006100"/>
      <x:name val="Carlito"/>
    </x:font>
    <x:font>
      <x:sz val="11"/>
      <x:color rgb="FF1F4E78"/>
      <x:name val="Carlito"/>
    </x:font>
    <x:font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0B1F33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double">
        <x:color rgb="FF0B1F33"/>
      </x:bottom>
    </x:border>
  </x:borders>
  <x:cellStyleXfs count="1">
    <x:xf numFmtId="0" fontId="0" fillId="0" borderId="0"/>
  </x:cellStyleXfs>
  <x:cellXfs count="3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200" fontId="4" fillId="3" borderId="2" xfId="0" applyNumberFormat="1" applyFont="1" applyFill="1" applyBorder="1"/>
    <x:xf numFmtId="201" fontId="4" fillId="3" borderId="3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4" xfId="0" applyNumberFormat="1" applyFont="1" applyFill="1" applyBorder="1"/>
    <x:xf numFmtId="0" fontId="1" fillId="5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horizont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202" fontId="4" fillId="3" borderId="5" xfId="0" applyNumberFormat="1" applyFont="1" applyFill="1" applyBorder="1"/>
    <x:xf numFmtId="202" fontId="4" fillId="3" borderId="6" xfId="0" applyNumberFormat="1" applyFont="1" applyFill="1" applyBorder="1"/>
    <x:xf numFmtId="202" fontId="4" fillId="3" borderId="7" xfId="0" applyNumberFormat="1" applyFont="1" applyFill="1" applyBorder="1"/>
    <x:xf numFmtId="202" fontId="0" fillId="0" borderId="0" xfId="0" applyNumberFormat="1" applyFont="1" applyFill="1" applyBorder="1"/>
    <x:xf numFmtId="202" fontId="4" fillId="3" borderId="8" xfId="0" applyNumberFormat="1" applyFont="1" applyFill="1" applyBorder="1"/>
    <x:xf numFmtId="202" fontId="4" fillId="3" borderId="0" xfId="0" applyNumberFormat="1" applyFont="1" applyFill="1" applyBorder="1"/>
    <x:xf numFmtId="202" fontId="4" fillId="3" borderId="9" xfId="0" applyNumberFormat="1" applyFont="1" applyFill="1" applyBorder="1"/>
    <x:xf numFmtId="201" fontId="4" fillId="3" borderId="10" xfId="0" applyNumberFormat="1" applyFont="1" applyFill="1" applyBorder="1"/>
    <x:xf numFmtId="201" fontId="4" fillId="3" borderId="11" xfId="0" applyNumberFormat="1" applyFont="1" applyFill="1" applyBorder="1"/>
    <x:xf numFmtId="201" fontId="4" fillId="3" borderId="12" xfId="0" applyNumberFormat="1" applyFont="1" applyFill="1" applyBorder="1"/>
    <x:xf numFmtId="202" fontId="0" fillId="4" borderId="0" xfId="0" applyNumberFormat="1" applyFont="1" applyFill="1" applyBorder="1"/>
    <x:xf numFmtId="202" fontId="5" fillId="4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3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3" xfId="0" applyNumberFormat="1" applyFont="1" applyFill="1" applyBorder="1" applyAlignment="1">
      <x:alignment horizontal="left"/>
    </x:xf>
    <x:xf numFmtId="0" fontId="1" fillId="6" borderId="14" xfId="0" applyNumberFormat="1" applyFont="1" applyFill="1" applyBorder="1" applyAlignment="1">
      <x:alignment horizontal="left"/>
    </x:xf>
    <x:xf numFmtId="0" fontId="1" fillId="6" borderId="15" xfId="0" applyNumberFormat="1" applyFont="1" applyFill="1" applyBorder="1" applyAlignment="1">
      <x:alignment horizontal="left"/>
    </x:xf>
    <x:xf numFmtId="0" fontId="1" fillId="6" borderId="13" xfId="0" applyNumberFormat="1" applyFont="1" applyFill="1" applyBorder="1" applyAlignment="1">
      <x:alignment horizontal="left" vertical="center"/>
    </x:xf>
    <x:xf numFmtId="0" fontId="1" fillId="6" borderId="14" xfId="0" applyNumberFormat="1" applyFont="1" applyFill="1" applyBorder="1" applyAlignment="1">
      <x:alignment horizontal="left" vertical="center"/>
    </x:xf>
    <x:xf numFmtId="0" fontId="1" fillId="6" borderId="15" xfId="0" applyNumberFormat="1" applyFont="1" applyFill="1" applyBorder="1" applyAlignment="1">
      <x:alignment horizontal="left" vertical="center"/>
    </x:xf>
    <x:xf numFmtId="0" fontId="4" fillId="3" borderId="4" xfId="0" applyNumberFormat="1" applyFont="1" applyFill="1" applyBorder="1"/>
    <x:xf numFmtId="203" fontId="4" fillId="3" borderId="4" xfId="0" applyNumberFormat="1" applyFont="1" applyFill="1" applyBorder="1"/>
    <x:xf numFmtId="0" fontId="0" fillId="4" borderId="0" xfId="0" applyNumberFormat="1" applyFont="1" applyFill="1" applyBorder="1"/>
    <x:xf numFmtId="203" fontId="4" fillId="4" borderId="4" xfId="0" applyNumberFormat="1" applyFont="1" applyFill="1" applyBorder="1"/>
    <x:xf numFmtId="0" fontId="6" fillId="4" borderId="0" xfId="0" applyNumberFormat="1" applyFont="1" applyFill="1" applyBorder="1"/>
    <x:xf numFmtId="203" fontId="6" fillId="4" borderId="4" xfId="0" applyNumberFormat="1" applyFont="1" applyFill="1" applyBorder="1"/>
    <x:xf numFmtId="204" fontId="4" fillId="3" borderId="2" xfId="0" applyNumberFormat="1" applyFont="1" applyFill="1" applyBorder="1"/>
    <x:xf numFmtId="203" fontId="4" fillId="3" borderId="2" xfId="0" applyNumberFormat="1" applyFont="1" applyFill="1" applyBorder="1"/>
    <x:xf numFmtId="203" fontId="4" fillId="3" borderId="3" xfId="0" applyNumberFormat="1" applyFont="1" applyFill="1" applyBorder="1"/>
    <x:xf numFmtId="203" fontId="6" fillId="4" borderId="0" xfId="0" applyNumberFormat="1" applyFont="1" applyFill="1" applyBorder="1"/>
    <x:xf numFmtId="205" fontId="6" fillId="4" borderId="0" xfId="0" applyNumberFormat="1" applyFont="1" applyFill="1" applyBorder="1"/>
    <x:xf numFmtId="0" fontId="4" fillId="4" borderId="2" xfId="0" applyNumberFormat="1" applyFont="1" applyFill="1" applyBorder="1"/>
    <x:xf numFmtId="0" fontId="6" fillId="4" borderId="2" xfId="0" applyNumberFormat="1" applyFont="1" applyFill="1" applyBorder="1"/>
    <x:xf numFmtId="0" fontId="6" fillId="4" borderId="4" xfId="0" applyNumberFormat="1" applyFont="1" applyFill="1" applyBorder="1"/>
    <x:xf numFmtId="202" fontId="4" fillId="3" borderId="2" xfId="0" applyNumberFormat="1" applyFont="1" applyFill="1" applyBorder="1"/>
    <x:xf numFmtId="206" fontId="4" fillId="3" borderId="2" xfId="0" applyNumberFormat="1" applyFont="1" applyFill="1" applyBorder="1"/>
    <x:xf numFmtId="202" fontId="6" fillId="4" borderId="4" xfId="0" applyNumberFormat="1" applyFont="1" applyFill="1" applyBorder="1"/>
    <x:xf numFmtId="207" fontId="4" fillId="3" borderId="1" xfId="0" applyNumberFormat="1" applyFont="1" applyFill="1" applyBorder="1"/>
    <x:xf numFmtId="207" fontId="4" fillId="3" borderId="2" xfId="0" applyNumberFormat="1" applyFont="1" applyFill="1" applyBorder="1"/>
    <x:xf numFmtId="207" fontId="6" fillId="4" borderId="4" xfId="0" applyNumberFormat="1" applyFont="1" applyFill="1" applyBorder="1"/>
    <x:xf numFmtId="202" fontId="4" fillId="3" borderId="3" xfId="0" applyNumberFormat="1" applyFont="1" applyFill="1" applyBorder="1"/>
    <x:xf numFmtId="0" fontId="6" fillId="4" borderId="1" xfId="0" applyNumberFormat="1" applyFont="1" applyFill="1" applyBorder="1"/>
    <x:xf numFmtId="0" fontId="6" fillId="4" borderId="3" xfId="0" applyNumberFormat="1" applyFont="1" applyFill="1" applyBorder="1"/>
    <x:xf numFmtId="201" fontId="6" fillId="4" borderId="1" xfId="0" applyNumberFormat="1" applyFont="1" applyFill="1" applyBorder="1"/>
    <x:xf numFmtId="201" fontId="6" fillId="4" borderId="2" xfId="0" applyNumberFormat="1" applyFont="1" applyFill="1" applyBorder="1"/>
    <x:xf numFmtId="201" fontId="6" fillId="4" borderId="3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203" fontId="7" fillId="4" borderId="4" xfId="0" applyNumberFormat="1" applyFont="1" applyFill="1" applyBorder="1"/>
    <x:xf numFmtId="200" fontId="4" fillId="3" borderId="6" xfId="0" applyNumberFormat="1" applyFont="1" applyFill="1" applyBorder="1"/>
    <x:xf numFmtId="200" fontId="4" fillId="3" borderId="0" xfId="0" applyNumberFormat="1" applyFont="1" applyFill="1" applyBorder="1"/>
    <x:xf numFmtId="200" fontId="4" fillId="3" borderId="11" xfId="0" applyNumberFormat="1" applyFont="1" applyFill="1" applyBorder="1"/>
    <x:xf numFmtId="202" fontId="4" fillId="3" borderId="10" xfId="0" applyNumberFormat="1" applyFont="1" applyFill="1" applyBorder="1"/>
    <x:xf numFmtId="202" fontId="4" fillId="3" borderId="11" xfId="0" applyNumberFormat="1" applyFont="1" applyFill="1" applyBorder="1"/>
    <x:xf numFmtId="0" fontId="3" fillId="4" borderId="0" xfId="0" applyNumberFormat="1" applyFont="1" applyFill="1" applyBorder="1"/>
    <x:xf numFmtId="202" fontId="6" fillId="4" borderId="0" xfId="0" applyNumberFormat="1" applyFont="1" applyFill="1" applyBorder="1"/>
    <x:xf numFmtId="208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8" fontId="1" fillId="5" borderId="0" xfId="0" applyNumberFormat="1" applyFont="1" applyFill="1" applyBorder="1"/>
    <x:xf numFmtId="208" fontId="1" fillId="5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209" fontId="9" fillId="0" borderId="0" xfId="0" applyNumberFormat="1" applyFont="1" applyFill="1" applyBorder="1"/>
    <x:xf numFmtId="208" fontId="1" fillId="5" borderId="4" xfId="0" applyNumberFormat="1" applyFont="1" applyFill="1" applyBorder="1"/>
    <x:xf numFmtId="208" fontId="1" fillId="5" borderId="4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7" fontId="0" fillId="0" borderId="0" xfId="0" applyNumberFormat="1" applyFont="1" applyFill="1" applyBorder="1"/>
    <x:xf numFmtId="0" fontId="0" fillId="7" borderId="0" xfId="0" applyNumberFormat="1" applyFont="1" applyFill="1" applyBorder="1"/>
    <x:xf numFmtId="207" fontId="0" fillId="7" borderId="0" xfId="0" applyNumberFormat="1" applyFont="1" applyFill="1" applyBorder="1"/>
    <x:xf numFmtId="0" fontId="5" fillId="7" borderId="0" xfId="0" applyNumberFormat="1" applyFont="1" applyFill="1" applyBorder="1"/>
    <x:xf numFmtId="207" fontId="5" fillId="7" borderId="0" xfId="0" applyNumberFormat="1" applyFont="1" applyFill="1" applyBorder="1"/>
    <x:xf numFmtId="0" fontId="5" fillId="7" borderId="16" xfId="0" applyNumberFormat="1" applyFont="1" applyFill="1" applyBorder="1"/>
    <x:xf numFmtId="207" fontId="5" fillId="7" borderId="16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7" fontId="9" fillId="0" borderId="0" xfId="0" applyNumberFormat="1" applyFont="1" applyFill="1" applyBorder="1"/>
    <x:xf numFmtId="207" fontId="9" fillId="0" borderId="0" xfId="0" applyNumberFormat="1" applyFont="1" applyFill="1" applyBorder="1" applyAlignment="1">
      <x:alignment horizontal="right"/>
    </x:xf>
    <x:xf numFmtId="207" fontId="9" fillId="7" borderId="0" xfId="0" applyNumberFormat="1" applyFont="1" applyFill="1" applyBorder="1" applyAlignment="1">
      <x:alignment horizontal="right"/>
    </x:xf>
    <x:xf numFmtId="207" fontId="5" fillId="7" borderId="0" xfId="0" applyNumberFormat="1" applyFont="1" applyFill="1" applyBorder="1" applyAlignment="1">
      <x:alignment horizontal="right"/>
    </x:xf>
    <x:xf numFmtId="207" fontId="5" fillId="7" borderId="16" xfId="0" applyNumberFormat="1" applyFont="1" applyFill="1" applyBorder="1" applyAlignment="1">
      <x:alignment horizontal="right"/>
    </x:xf>
    <x:xf numFmtId="202" fontId="9" fillId="0" borderId="0" xfId="0" applyNumberFormat="1" applyFont="1" applyFill="1" applyBorder="1" applyAlignment="1">
      <x:alignment horizontal="right"/>
    </x:xf>
    <x:xf numFmtId="206" fontId="9" fillId="0" borderId="0" xfId="0" applyNumberFormat="1" applyFont="1" applyFill="1" applyBorder="1" applyAlignment="1">
      <x:alignment horizontal="right"/>
    </x:xf>
    <x:xf numFmtId="206" fontId="9" fillId="7" borderId="0" xfId="0" applyNumberFormat="1" applyFont="1" applyFill="1" applyBorder="1" applyAlignment="1">
      <x:alignment horizontal="right"/>
    </x:xf>
    <x:xf numFmtId="206" fontId="5" fillId="7" borderId="0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/>
    <x:xf numFmtId="0" fontId="9" fillId="7" borderId="0" xfId="0" applyNumberFormat="1" applyFont="1" applyFill="1" applyBorder="1"/>
    <x:xf numFmtId="207" fontId="9" fillId="7" borderId="0" xfId="0" applyNumberFormat="1" applyFont="1" applyFill="1" applyBorder="1"/>
    <x:xf numFmtId="206" fontId="0" fillId="0" borderId="0" xfId="0" applyNumberFormat="1" applyFont="1" applyFill="1" applyBorder="1"/>
    <x:xf numFmtId="202" fontId="9" fillId="0" borderId="0" xfId="0" applyNumberFormat="1" applyFont="1" applyFill="1" applyBorder="1"/>
    <x:xf numFmtId="206" fontId="9" fillId="0" borderId="0" xfId="0" applyNumberFormat="1" applyFont="1" applyFill="1" applyBorder="1"/>
    <x:xf numFmtId="203" fontId="0" fillId="0" borderId="0" xfId="0" applyNumberFormat="1" applyFont="1" applyFill="1" applyBorder="1"/>
    <x:xf numFmtId="203" fontId="5" fillId="7" borderId="16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horizontal="center"/>
    </x:xf>
    <x:xf numFmtId="200" fontId="5" fillId="7" borderId="16" xfId="0" applyNumberFormat="1" applyFont="1" applyFill="1" applyBorder="1"/>
    <x:xf numFmtId="202" fontId="5" fillId="7" borderId="16" xfId="0" applyNumberFormat="1" applyFont="1" applyFill="1" applyBorder="1"/>
    <x:xf numFmtId="202" fontId="0" fillId="7" borderId="0" xfId="0" applyNumberFormat="1" applyFont="1" applyFill="1" applyBorder="1"/>
    <x:xf numFmtId="202" fontId="5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21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1" fillId="6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207" fontId="3" fillId="4" borderId="5" xfId="0" applyNumberFormat="1" applyFont="1" applyFill="1" applyBorder="1"/>
    <x:xf numFmtId="207" fontId="3" fillId="4" borderId="6" xfId="0" applyNumberFormat="1" applyFont="1" applyFill="1" applyBorder="1"/>
    <x:xf numFmtId="207" fontId="3" fillId="4" borderId="7" xfId="0" applyNumberFormat="1" applyFont="1" applyFill="1" applyBorder="1"/>
    <x:xf numFmtId="207" fontId="3" fillId="4" borderId="8" xfId="0" applyNumberFormat="1" applyFont="1" applyFill="1" applyBorder="1"/>
    <x:xf numFmtId="207" fontId="3" fillId="4" borderId="0" xfId="0" applyNumberFormat="1" applyFont="1" applyFill="1" applyBorder="1"/>
    <x:xf numFmtId="207" fontId="3" fillId="4" borderId="9" xfId="0" applyNumberFormat="1" applyFont="1" applyFill="1" applyBorder="1"/>
    <x:xf numFmtId="207" fontId="3" fillId="4" borderId="10" xfId="0" applyNumberFormat="1" applyFont="1" applyFill="1" applyBorder="1"/>
    <x:xf numFmtId="207" fontId="3" fillId="4" borderId="11" xfId="0" applyNumberFormat="1" applyFont="1" applyFill="1" applyBorder="1"/>
    <x:xf numFmtId="207" fontId="3" fillId="4" borderId="12" xfId="0" applyNumberFormat="1" applyFont="1" applyFill="1" applyBorder="1"/>
    <x:xf numFmtId="207" fontId="3" fillId="4" borderId="5" xfId="0" applyNumberFormat="1" applyFont="1" applyFill="1" applyBorder="1" applyAlignment="1">
      <x:alignment horizontal="center"/>
    </x:xf>
    <x:xf numFmtId="207" fontId="3" fillId="4" borderId="6" xfId="0" applyNumberFormat="1" applyFont="1" applyFill="1" applyBorder="1" applyAlignment="1">
      <x:alignment horizontal="center"/>
    </x:xf>
    <x:xf numFmtId="207" fontId="3" fillId="4" borderId="7" xfId="0" applyNumberFormat="1" applyFont="1" applyFill="1" applyBorder="1" applyAlignment="1">
      <x:alignment horizontal="center"/>
    </x:xf>
    <x:xf numFmtId="207" fontId="3" fillId="4" borderId="8" xfId="0" applyNumberFormat="1" applyFont="1" applyFill="1" applyBorder="1" applyAlignment="1">
      <x:alignment horizontal="center"/>
    </x:xf>
    <x:xf numFmtId="207" fontId="3" fillId="4" borderId="0" xfId="0" applyNumberFormat="1" applyFont="1" applyFill="1" applyBorder="1" applyAlignment="1">
      <x:alignment horizontal="center"/>
    </x:xf>
    <x:xf numFmtId="207" fontId="3" fillId="4" borderId="9" xfId="0" applyNumberFormat="1" applyFont="1" applyFill="1" applyBorder="1" applyAlignment="1">
      <x:alignment horizontal="center"/>
    </x:xf>
    <x:xf numFmtId="207" fontId="3" fillId="4" borderId="10" xfId="0" applyNumberFormat="1" applyFont="1" applyFill="1" applyBorder="1" applyAlignment="1">
      <x:alignment horizontal="center"/>
    </x:xf>
    <x:xf numFmtId="207" fontId="3" fillId="4" borderId="11" xfId="0" applyNumberFormat="1" applyFont="1" applyFill="1" applyBorder="1" applyAlignment="1">
      <x:alignment horizontal="center"/>
    </x:xf>
    <x:xf numFmtId="207" fontId="3" fillId="4" borderId="12" xfId="0" applyNumberFormat="1" applyFont="1" applyFill="1" applyBorder="1" applyAlignment="1">
      <x:alignment horizontal="center"/>
    </x:xf>
    <x:xf numFmtId="207" fontId="3" fillId="4" borderId="5" xfId="0" applyNumberFormat="1" applyFont="1" applyFill="1" applyBorder="1" applyAlignment="1">
      <x:alignment horizontal="center" vertical="center"/>
    </x:xf>
    <x:xf numFmtId="207" fontId="3" fillId="4" borderId="6" xfId="0" applyNumberFormat="1" applyFont="1" applyFill="1" applyBorder="1" applyAlignment="1">
      <x:alignment horizontal="center" vertical="center"/>
    </x:xf>
    <x:xf numFmtId="207" fontId="3" fillId="4" borderId="7" xfId="0" applyNumberFormat="1" applyFont="1" applyFill="1" applyBorder="1" applyAlignment="1">
      <x:alignment horizontal="center" vertical="center"/>
    </x:xf>
    <x:xf numFmtId="207" fontId="3" fillId="4" borderId="8" xfId="0" applyNumberFormat="1" applyFont="1" applyFill="1" applyBorder="1" applyAlignment="1">
      <x:alignment horizontal="center" vertical="center"/>
    </x:xf>
    <x:xf numFmtId="207" fontId="3" fillId="4" borderId="0" xfId="0" applyNumberFormat="1" applyFont="1" applyFill="1" applyBorder="1" applyAlignment="1">
      <x:alignment horizontal="center" vertical="center"/>
    </x:xf>
    <x:xf numFmtId="207" fontId="3" fillId="4" borderId="9" xfId="0" applyNumberFormat="1" applyFont="1" applyFill="1" applyBorder="1" applyAlignment="1">
      <x:alignment horizontal="center" vertical="center"/>
    </x:xf>
    <x:xf numFmtId="207" fontId="3" fillId="4" borderId="10" xfId="0" applyNumberFormat="1" applyFont="1" applyFill="1" applyBorder="1" applyAlignment="1">
      <x:alignment horizontal="center" vertical="center"/>
    </x:xf>
    <x:xf numFmtId="207" fontId="3" fillId="4" borderId="11" xfId="0" applyNumberFormat="1" applyFont="1" applyFill="1" applyBorder="1" applyAlignment="1">
      <x:alignment horizontal="center" vertical="center"/>
    </x:xf>
    <x:xf numFmtId="207" fontId="3" fillId="4" borderId="12" xfId="0" applyNumberFormat="1" applyFont="1" applyFill="1" applyBorder="1" applyAlignment="1">
      <x:alignment horizontal="center" vertical="center"/>
    </x:xf>
    <x:xf numFmtId="202" fontId="3" fillId="4" borderId="5" xfId="0" applyNumberFormat="1" applyFont="1" applyFill="1" applyBorder="1"/>
    <x:xf numFmtId="202" fontId="3" fillId="4" borderId="6" xfId="0" applyNumberFormat="1" applyFont="1" applyFill="1" applyBorder="1"/>
    <x:xf numFmtId="202" fontId="3" fillId="4" borderId="7" xfId="0" applyNumberFormat="1" applyFont="1" applyFill="1" applyBorder="1"/>
    <x:xf numFmtId="202" fontId="3" fillId="4" borderId="8" xfId="0" applyNumberFormat="1" applyFont="1" applyFill="1" applyBorder="1"/>
    <x:xf numFmtId="202" fontId="3" fillId="4" borderId="0" xfId="0" applyNumberFormat="1" applyFont="1" applyFill="1" applyBorder="1"/>
    <x:xf numFmtId="202" fontId="3" fillId="4" borderId="9" xfId="0" applyNumberFormat="1" applyFont="1" applyFill="1" applyBorder="1"/>
    <x:xf numFmtId="202" fontId="3" fillId="4" borderId="10" xfId="0" applyNumberFormat="1" applyFont="1" applyFill="1" applyBorder="1"/>
    <x:xf numFmtId="202" fontId="3" fillId="4" borderId="11" xfId="0" applyNumberFormat="1" applyFont="1" applyFill="1" applyBorder="1"/>
    <x:xf numFmtId="202" fontId="3" fillId="4" borderId="12" xfId="0" applyNumberFormat="1" applyFont="1" applyFill="1" applyBorder="1"/>
    <x:xf numFmtId="202" fontId="3" fillId="4" borderId="5" xfId="0" applyNumberFormat="1" applyFont="1" applyFill="1" applyBorder="1" applyAlignment="1">
      <x:alignment horizontal="center"/>
    </x:xf>
    <x:xf numFmtId="202" fontId="3" fillId="4" borderId="6" xfId="0" applyNumberFormat="1" applyFont="1" applyFill="1" applyBorder="1" applyAlignment="1">
      <x:alignment horizontal="center"/>
    </x:xf>
    <x:xf numFmtId="202" fontId="3" fillId="4" borderId="7" xfId="0" applyNumberFormat="1" applyFont="1" applyFill="1" applyBorder="1" applyAlignment="1">
      <x:alignment horizontal="center"/>
    </x:xf>
    <x:xf numFmtId="202" fontId="3" fillId="4" borderId="8" xfId="0" applyNumberFormat="1" applyFont="1" applyFill="1" applyBorder="1" applyAlignment="1">
      <x:alignment horizontal="center"/>
    </x:xf>
    <x:xf numFmtId="202" fontId="3" fillId="4" borderId="0" xfId="0" applyNumberFormat="1" applyFont="1" applyFill="1" applyBorder="1" applyAlignment="1">
      <x:alignment horizontal="center"/>
    </x:xf>
    <x:xf numFmtId="202" fontId="3" fillId="4" borderId="9" xfId="0" applyNumberFormat="1" applyFont="1" applyFill="1" applyBorder="1" applyAlignment="1">
      <x:alignment horizontal="center"/>
    </x:xf>
    <x:xf numFmtId="202" fontId="3" fillId="4" borderId="10" xfId="0" applyNumberFormat="1" applyFont="1" applyFill="1" applyBorder="1" applyAlignment="1">
      <x:alignment horizontal="center"/>
    </x:xf>
    <x:xf numFmtId="202" fontId="3" fillId="4" borderId="11" xfId="0" applyNumberFormat="1" applyFont="1" applyFill="1" applyBorder="1" applyAlignment="1">
      <x:alignment horizontal="center"/>
    </x:xf>
    <x:xf numFmtId="202" fontId="3" fillId="4" borderId="12" xfId="0" applyNumberFormat="1" applyFont="1" applyFill="1" applyBorder="1" applyAlignment="1">
      <x:alignment horizontal="center"/>
    </x:xf>
    <x:xf numFmtId="202" fontId="3" fillId="4" borderId="5" xfId="0" applyNumberFormat="1" applyFont="1" applyFill="1" applyBorder="1" applyAlignment="1">
      <x:alignment horizontal="center" vertical="center"/>
    </x:xf>
    <x:xf numFmtId="202" fontId="3" fillId="4" borderId="6" xfId="0" applyNumberFormat="1" applyFont="1" applyFill="1" applyBorder="1" applyAlignment="1">
      <x:alignment horizontal="center" vertical="center"/>
    </x:xf>
    <x:xf numFmtId="202" fontId="3" fillId="4" borderId="7" xfId="0" applyNumberFormat="1" applyFont="1" applyFill="1" applyBorder="1" applyAlignment="1">
      <x:alignment horizontal="center" vertical="center"/>
    </x:xf>
    <x:xf numFmtId="202" fontId="3" fillId="4" borderId="8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2" fontId="3" fillId="4" borderId="9" xfId="0" applyNumberFormat="1" applyFont="1" applyFill="1" applyBorder="1" applyAlignment="1">
      <x:alignment horizontal="center" vertical="center"/>
    </x:xf>
    <x:xf numFmtId="202" fontId="3" fillId="4" borderId="10" xfId="0" applyNumberFormat="1" applyFont="1" applyFill="1" applyBorder="1" applyAlignment="1">
      <x:alignment horizontal="center" vertical="center"/>
    </x:xf>
    <x:xf numFmtId="202" fontId="3" fillId="4" borderId="11" xfId="0" applyNumberFormat="1" applyFont="1" applyFill="1" applyBorder="1" applyAlignment="1">
      <x:alignment horizontal="center" vertical="center"/>
    </x:xf>
    <x:xf numFmtId="202" fontId="3" fillId="4" borderId="12" xfId="0" applyNumberFormat="1" applyFont="1" applyFill="1" applyBorder="1" applyAlignment="1">
      <x:alignment horizontal="center" vertical="center"/>
    </x:xf>
    <x:xf numFmtId="206" fontId="3" fillId="4" borderId="5" xfId="0" applyNumberFormat="1" applyFont="1" applyFill="1" applyBorder="1"/>
    <x:xf numFmtId="206" fontId="3" fillId="4" borderId="6" xfId="0" applyNumberFormat="1" applyFont="1" applyFill="1" applyBorder="1"/>
    <x:xf numFmtId="206" fontId="3" fillId="4" borderId="7" xfId="0" applyNumberFormat="1" applyFont="1" applyFill="1" applyBorder="1"/>
    <x:xf numFmtId="206" fontId="3" fillId="4" borderId="8" xfId="0" applyNumberFormat="1" applyFont="1" applyFill="1" applyBorder="1"/>
    <x:xf numFmtId="206" fontId="3" fillId="4" borderId="0" xfId="0" applyNumberFormat="1" applyFont="1" applyFill="1" applyBorder="1"/>
    <x:xf numFmtId="206" fontId="3" fillId="4" borderId="9" xfId="0" applyNumberFormat="1" applyFont="1" applyFill="1" applyBorder="1"/>
    <x:xf numFmtId="206" fontId="3" fillId="4" borderId="10" xfId="0" applyNumberFormat="1" applyFont="1" applyFill="1" applyBorder="1"/>
    <x:xf numFmtId="206" fontId="3" fillId="4" borderId="11" xfId="0" applyNumberFormat="1" applyFont="1" applyFill="1" applyBorder="1"/>
    <x:xf numFmtId="206" fontId="3" fillId="4" borderId="12" xfId="0" applyNumberFormat="1" applyFont="1" applyFill="1" applyBorder="1"/>
    <x:xf numFmtId="206" fontId="3" fillId="4" borderId="5" xfId="0" applyNumberFormat="1" applyFont="1" applyFill="1" applyBorder="1" applyAlignment="1">
      <x:alignment horizontal="center"/>
    </x:xf>
    <x:xf numFmtId="206" fontId="3" fillId="4" borderId="6" xfId="0" applyNumberFormat="1" applyFont="1" applyFill="1" applyBorder="1" applyAlignment="1">
      <x:alignment horizontal="center"/>
    </x:xf>
    <x:xf numFmtId="206" fontId="3" fillId="4" borderId="7" xfId="0" applyNumberFormat="1" applyFont="1" applyFill="1" applyBorder="1" applyAlignment="1">
      <x:alignment horizontal="center"/>
    </x:xf>
    <x:xf numFmtId="206" fontId="3" fillId="4" borderId="8" xfId="0" applyNumberFormat="1" applyFont="1" applyFill="1" applyBorder="1" applyAlignment="1">
      <x:alignment horizontal="center"/>
    </x:xf>
    <x:xf numFmtId="206" fontId="3" fillId="4" borderId="0" xfId="0" applyNumberFormat="1" applyFont="1" applyFill="1" applyBorder="1" applyAlignment="1">
      <x:alignment horizontal="center"/>
    </x:xf>
    <x:xf numFmtId="206" fontId="3" fillId="4" borderId="9" xfId="0" applyNumberFormat="1" applyFont="1" applyFill="1" applyBorder="1" applyAlignment="1">
      <x:alignment horizontal="center"/>
    </x:xf>
    <x:xf numFmtId="206" fontId="3" fillId="4" borderId="10" xfId="0" applyNumberFormat="1" applyFont="1" applyFill="1" applyBorder="1" applyAlignment="1">
      <x:alignment horizontal="center"/>
    </x:xf>
    <x:xf numFmtId="206" fontId="3" fillId="4" borderId="11" xfId="0" applyNumberFormat="1" applyFont="1" applyFill="1" applyBorder="1" applyAlignment="1">
      <x:alignment horizontal="center"/>
    </x:xf>
    <x:xf numFmtId="206" fontId="3" fillId="4" borderId="12" xfId="0" applyNumberFormat="1" applyFont="1" applyFill="1" applyBorder="1" applyAlignment="1">
      <x:alignment horizontal="center"/>
    </x:xf>
    <x:xf numFmtId="206" fontId="3" fillId="4" borderId="5" xfId="0" applyNumberFormat="1" applyFont="1" applyFill="1" applyBorder="1" applyAlignment="1">
      <x:alignment horizontal="center" vertical="center"/>
    </x:xf>
    <x:xf numFmtId="206" fontId="3" fillId="4" borderId="6" xfId="0" applyNumberFormat="1" applyFont="1" applyFill="1" applyBorder="1" applyAlignment="1">
      <x:alignment horizontal="center" vertical="center"/>
    </x:xf>
    <x:xf numFmtId="206" fontId="3" fillId="4" borderId="7" xfId="0" applyNumberFormat="1" applyFont="1" applyFill="1" applyBorder="1" applyAlignment="1">
      <x:alignment horizontal="center" vertical="center"/>
    </x:xf>
    <x:xf numFmtId="206" fontId="3" fillId="4" borderId="8" xfId="0" applyNumberFormat="1" applyFont="1" applyFill="1" applyBorder="1" applyAlignment="1">
      <x:alignment horizontal="center" vertical="center"/>
    </x:xf>
    <x:xf numFmtId="206" fontId="3" fillId="4" borderId="0" xfId="0" applyNumberFormat="1" applyFont="1" applyFill="1" applyBorder="1" applyAlignment="1">
      <x:alignment horizontal="center" vertical="center"/>
    </x:xf>
    <x:xf numFmtId="206" fontId="3" fillId="4" borderId="9" xfId="0" applyNumberFormat="1" applyFont="1" applyFill="1" applyBorder="1" applyAlignment="1">
      <x:alignment horizontal="center" vertical="center"/>
    </x:xf>
    <x:xf numFmtId="206" fontId="3" fillId="4" borderId="10" xfId="0" applyNumberFormat="1" applyFont="1" applyFill="1" applyBorder="1" applyAlignment="1">
      <x:alignment horizontal="center" vertical="center"/>
    </x:xf>
    <x:xf numFmtId="206" fontId="3" fillId="4" borderId="11" xfId="0" applyNumberFormat="1" applyFont="1" applyFill="1" applyBorder="1" applyAlignment="1">
      <x:alignment horizontal="center" vertical="center"/>
    </x:xf>
    <x:xf numFmtId="206" fontId="3" fillId="4" borderId="12" xfId="0" applyNumberFormat="1" applyFont="1" applyFill="1" applyBorder="1" applyAlignment="1">
      <x:alignment horizontal="center" vertical="center"/>
    </x:xf>
    <x:xf numFmtId="211" fontId="3" fillId="4" borderId="5" xfId="0" applyNumberFormat="1" applyFont="1" applyFill="1" applyBorder="1"/>
    <x:xf numFmtId="211" fontId="3" fillId="4" borderId="6" xfId="0" applyNumberFormat="1" applyFont="1" applyFill="1" applyBorder="1"/>
    <x:xf numFmtId="211" fontId="3" fillId="4" borderId="7" xfId="0" applyNumberFormat="1" applyFont="1" applyFill="1" applyBorder="1"/>
    <x:xf numFmtId="211" fontId="3" fillId="4" borderId="8" xfId="0" applyNumberFormat="1" applyFont="1" applyFill="1" applyBorder="1"/>
    <x:xf numFmtId="211" fontId="3" fillId="4" borderId="0" xfId="0" applyNumberFormat="1" applyFont="1" applyFill="1" applyBorder="1"/>
    <x:xf numFmtId="211" fontId="3" fillId="4" borderId="9" xfId="0" applyNumberFormat="1" applyFont="1" applyFill="1" applyBorder="1"/>
    <x:xf numFmtId="211" fontId="3" fillId="4" borderId="10" xfId="0" applyNumberFormat="1" applyFont="1" applyFill="1" applyBorder="1"/>
    <x:xf numFmtId="211" fontId="3" fillId="4" borderId="11" xfId="0" applyNumberFormat="1" applyFont="1" applyFill="1" applyBorder="1"/>
    <x:xf numFmtId="211" fontId="3" fillId="4" borderId="12" xfId="0" applyNumberFormat="1" applyFont="1" applyFill="1" applyBorder="1"/>
    <x:xf numFmtId="211" fontId="3" fillId="4" borderId="5" xfId="0" applyNumberFormat="1" applyFont="1" applyFill="1" applyBorder="1" applyAlignment="1">
      <x:alignment horizontal="center"/>
    </x:xf>
    <x:xf numFmtId="211" fontId="3" fillId="4" borderId="6" xfId="0" applyNumberFormat="1" applyFont="1" applyFill="1" applyBorder="1" applyAlignment="1">
      <x:alignment horizontal="center"/>
    </x:xf>
    <x:xf numFmtId="211" fontId="3" fillId="4" borderId="7" xfId="0" applyNumberFormat="1" applyFont="1" applyFill="1" applyBorder="1" applyAlignment="1">
      <x:alignment horizontal="center"/>
    </x:xf>
    <x:xf numFmtId="211" fontId="3" fillId="4" borderId="8" xfId="0" applyNumberFormat="1" applyFont="1" applyFill="1" applyBorder="1" applyAlignment="1">
      <x:alignment horizontal="center"/>
    </x:xf>
    <x:xf numFmtId="211" fontId="3" fillId="4" borderId="0" xfId="0" applyNumberFormat="1" applyFont="1" applyFill="1" applyBorder="1" applyAlignment="1">
      <x:alignment horizontal="center"/>
    </x:xf>
    <x:xf numFmtId="211" fontId="3" fillId="4" borderId="9" xfId="0" applyNumberFormat="1" applyFont="1" applyFill="1" applyBorder="1" applyAlignment="1">
      <x:alignment horizontal="center"/>
    </x:xf>
    <x:xf numFmtId="211" fontId="3" fillId="4" borderId="10" xfId="0" applyNumberFormat="1" applyFont="1" applyFill="1" applyBorder="1" applyAlignment="1">
      <x:alignment horizontal="center"/>
    </x:xf>
    <x:xf numFmtId="211" fontId="3" fillId="4" borderId="11" xfId="0" applyNumberFormat="1" applyFont="1" applyFill="1" applyBorder="1" applyAlignment="1">
      <x:alignment horizontal="center"/>
    </x:xf>
    <x:xf numFmtId="211" fontId="3" fillId="4" borderId="12" xfId="0" applyNumberFormat="1" applyFont="1" applyFill="1" applyBorder="1" applyAlignment="1">
      <x:alignment horizontal="center"/>
    </x:xf>
    <x:xf numFmtId="211" fontId="3" fillId="4" borderId="5" xfId="0" applyNumberFormat="1" applyFont="1" applyFill="1" applyBorder="1" applyAlignment="1">
      <x:alignment horizontal="center" vertical="center"/>
    </x:xf>
    <x:xf numFmtId="211" fontId="3" fillId="4" borderId="6" xfId="0" applyNumberFormat="1" applyFont="1" applyFill="1" applyBorder="1" applyAlignment="1">
      <x:alignment horizontal="center" vertical="center"/>
    </x:xf>
    <x:xf numFmtId="211" fontId="3" fillId="4" borderId="7" xfId="0" applyNumberFormat="1" applyFont="1" applyFill="1" applyBorder="1" applyAlignment="1">
      <x:alignment horizontal="center" vertical="center"/>
    </x:xf>
    <x:xf numFmtId="211" fontId="3" fillId="4" borderId="8" xfId="0" applyNumberFormat="1" applyFont="1" applyFill="1" applyBorder="1" applyAlignment="1">
      <x:alignment horizontal="center" vertical="center"/>
    </x:xf>
    <x:xf numFmtId="211" fontId="3" fillId="4" borderId="0" xfId="0" applyNumberFormat="1" applyFont="1" applyFill="1" applyBorder="1" applyAlignment="1">
      <x:alignment horizontal="center" vertical="center"/>
    </x:xf>
    <x:xf numFmtId="211" fontId="3" fillId="4" borderId="9" xfId="0" applyNumberFormat="1" applyFont="1" applyFill="1" applyBorder="1" applyAlignment="1">
      <x:alignment horizontal="center" vertical="center"/>
    </x:xf>
    <x:xf numFmtId="211" fontId="3" fillId="4" borderId="10" xfId="0" applyNumberFormat="1" applyFont="1" applyFill="1" applyBorder="1" applyAlignment="1">
      <x:alignment horizontal="center" vertical="center"/>
    </x:xf>
    <x:xf numFmtId="211" fontId="3" fillId="4" borderId="11" xfId="0" applyNumberFormat="1" applyFont="1" applyFill="1" applyBorder="1" applyAlignment="1">
      <x:alignment horizontal="center" vertical="center"/>
    </x:xf>
    <x:xf numFmtId="211" fontId="3" fillId="4" borderId="12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4" xfId="0" applyNumberFormat="1" applyFont="1" applyFill="1" applyBorder="1"/>
    <x:xf numFmtId="200" fontId="4" fillId="8" borderId="4" xfId="0" applyNumberFormat="1" applyFont="1" applyFill="1" applyBorder="1"/>
    <x:xf numFmtId="202" fontId="4" fillId="8" borderId="2" xfId="0" applyNumberFormat="1" applyFont="1" applyFill="1" applyBorder="1"/>
    <x:xf numFmtId="202" fontId="4" fillId="8" borderId="4" xfId="0" applyNumberFormat="1" applyFont="1" applyFill="1" applyBorder="1"/>
    <x:xf numFmtId="0" fontId="4" fillId="8" borderId="3" xfId="0" applyNumberFormat="1" applyFont="1" applyFill="1" applyBorder="1"/>
    <x:xf numFmtId="202" fontId="4" fillId="8" borderId="3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3" xfId="0" applyNumberFormat="1" applyFont="1" applyFill="1" applyBorder="1"/>
    <x:xf numFmtId="0" fontId="1" fillId="9" borderId="14" xfId="0" applyNumberFormat="1" applyFont="1" applyFill="1" applyBorder="1"/>
    <x:xf numFmtId="0" fontId="1" fillId="9" borderId="15" xfId="0" applyNumberFormat="1" applyFont="1" applyFill="1" applyBorder="1"/>
    <x:xf numFmtId="0" fontId="1" fillId="9" borderId="13" xfId="0" applyNumberFormat="1" applyFont="1" applyFill="1" applyBorder="1" applyAlignment="1">
      <x:alignment vertical="center"/>
    </x:xf>
    <x:xf numFmtId="0" fontId="1" fillId="9" borderId="14" xfId="0" applyNumberFormat="1" applyFont="1" applyFill="1" applyBorder="1" applyAlignment="1">
      <x:alignment vertical="center"/>
    </x:xf>
    <x:xf numFmtId="0" fontId="1" fillId="9" borderId="1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4" xfId="0" applyNumberFormat="1" applyFont="1" applyFill="1" applyBorder="1"/>
    <x:xf numFmtId="0" fontId="1" fillId="10" borderId="4" xfId="0" applyNumberFormat="1" applyFont="1" applyFill="1" applyBorder="1" applyAlignment="1">
      <x:alignment wrapText="1"/>
    </x:xf>
    <x:xf numFmtId="0" fontId="1" fillId="10" borderId="4" xfId="0" applyNumberFormat="1" applyFont="1" applyFill="1" applyBorder="1" applyAlignment="1">
      <x:alignment horizont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" xfId="0" applyNumberFormat="1" applyFont="1" applyFill="1" applyBorder="1"/>
    <x:xf numFmtId="0" fontId="7" fillId="11" borderId="3" xfId="0" applyNumberFormat="1" applyFont="1" applyFill="1" applyBorder="1"/>
    <x:xf numFmtId="200" fontId="4" fillId="8" borderId="1" xfId="0" applyNumberFormat="1" applyFont="1" applyFill="1" applyBorder="1"/>
    <x:xf numFmtId="200" fontId="4" fillId="8" borderId="2" xfId="0" applyNumberFormat="1" applyFont="1" applyFill="1" applyBorder="1"/>
    <x:xf numFmtId="203" fontId="4" fillId="8" borderId="2" xfId="0" applyNumberFormat="1" applyFont="1" applyFill="1" applyBorder="1"/>
    <x:xf numFmtId="203" fontId="4" fillId="8" borderId="3" xfId="0" applyNumberFormat="1" applyFont="1" applyFill="1" applyBorder="1"/>
    <x:xf numFmtId="203" fontId="7" fillId="11" borderId="1" xfId="0" applyNumberFormat="1" applyFont="1" applyFill="1" applyBorder="1"/>
    <x:xf numFmtId="203" fontId="7" fillId="11" borderId="3" xfId="0" applyNumberFormat="1" applyFont="1" applyFill="1" applyBorder="1"/>
    <x:xf numFmtId="0" fontId="1" fillId="9" borderId="13" xfId="0" applyNumberFormat="1" applyFont="1" applyFill="1" applyBorder="1" applyAlignment="1">
      <x:alignment horizontal="left" vertical="center"/>
    </x:xf>
    <x:xf numFmtId="0" fontId="1" fillId="9" borderId="14" xfId="0" applyNumberFormat="1" applyFont="1" applyFill="1" applyBorder="1" applyAlignment="1">
      <x:alignment horizontal="left" vertical="center"/>
    </x:xf>
    <x:xf numFmtId="0" fontId="1" fillId="9" borderId="15" xfId="0" applyNumberFormat="1" applyFont="1" applyFill="1" applyBorder="1" applyAlignment="1">
      <x:alignment horizontal="left" vertical="center"/>
    </x:xf>
    <x:xf numFmtId="0" fontId="4" fillId="8" borderId="7" xfId="0" applyNumberFormat="1" applyFont="1" applyFill="1" applyBorder="1"/>
    <x:xf numFmtId="0" fontId="4" fillId="8" borderId="9" xfId="0" applyNumberFormat="1" applyFont="1" applyFill="1" applyBorder="1"/>
    <x:xf numFmtId="0" fontId="4" fillId="8" borderId="12" xfId="0" applyNumberFormat="1" applyFont="1" applyFill="1" applyBorder="1"/>
    <x:xf numFmtId="0" fontId="4" fillId="8" borderId="5" xfId="0" applyNumberFormat="1" applyFont="1" applyFill="1" applyBorder="1"/>
    <x:xf numFmtId="0" fontId="4" fillId="8" borderId="6" xfId="0" applyNumberFormat="1" applyFont="1" applyFill="1" applyBorder="1"/>
    <x:xf numFmtId="0" fontId="4" fillId="8" borderId="8" xfId="0" applyNumberFormat="1" applyFont="1" applyFill="1" applyBorder="1"/>
    <x:xf numFmtId="0" fontId="4" fillId="8" xfId="0" applyNumberFormat="1" applyFont="1" applyFill="1" applyBorder="0"/>
    <x:xf numFmtId="0" fontId="4" fillId="8" borderId="10" xfId="0" applyNumberFormat="1" applyFont="1" applyFill="1" applyBorder="1"/>
    <x:xf numFmtId="0" fontId="4" fillId="8" borderId="11" xfId="0" applyNumberFormat="1" applyFont="1" applyFill="1" applyBorder="1"/>
    <x:xf numFmtId="0" fontId="7" fillId="11" borderId="5" xfId="0" applyNumberFormat="1" applyFont="1" applyFill="1" applyBorder="1"/>
    <x:xf numFmtId="0" fontId="7" fillId="11" borderId="7" xfId="0" applyNumberFormat="1" applyFont="1" applyFill="1" applyBorder="1"/>
    <x:xf numFmtId="0" fontId="7" fillId="11" borderId="8" xfId="0" applyNumberFormat="1" applyFont="1" applyFill="1" applyBorder="1"/>
    <x:xf numFmtId="0" fontId="7" fillId="11" borderId="9" xfId="0" applyNumberFormat="1" applyFont="1" applyFill="1" applyBorder="1"/>
    <x:xf numFmtId="0" fontId="7" fillId="11" borderId="10" xfId="0" applyNumberFormat="1" applyFont="1" applyFill="1" applyBorder="1"/>
    <x:xf numFmtId="0" fontId="7" fillId="11" borderId="12" xfId="0" applyNumberFormat="1" applyFont="1" applyFill="1" applyBorder="1"/>
    <x:xf numFmtId="202" fontId="4" fillId="8" borderId="5" xfId="0" applyNumberFormat="1" applyFont="1" applyFill="1" applyBorder="1"/>
    <x:xf numFmtId="202" fontId="4" fillId="8" borderId="6" xfId="0" applyNumberFormat="1" applyFont="1" applyFill="1" applyBorder="1"/>
    <x:xf numFmtId="202" fontId="4" fillId="8" borderId="7" xfId="0" applyNumberFormat="1" applyFont="1" applyFill="1" applyBorder="1"/>
    <x:xf numFmtId="202" fontId="4" fillId="8" borderId="8" xfId="0" applyNumberFormat="1" applyFont="1" applyFill="1" applyBorder="1"/>
    <x:xf numFmtId="202" fontId="4" fillId="8" xfId="0" applyNumberFormat="1" applyFont="1" applyFill="1" applyBorder="0"/>
    <x:xf numFmtId="202" fontId="4" fillId="8" borderId="9" xfId="0" applyNumberFormat="1" applyFont="1" applyFill="1" applyBorder="1"/>
    <x:xf numFmtId="202" fontId="4" fillId="8" borderId="10" xfId="0" applyNumberFormat="1" applyFont="1" applyFill="1" applyBorder="1"/>
    <x:xf numFmtId="202" fontId="4" fillId="8" borderId="11" xfId="0" applyNumberFormat="1" applyFont="1" applyFill="1" applyBorder="1"/>
    <x:xf numFmtId="202" fontId="4" fillId="8" borderId="12" xfId="0" applyNumberFormat="1" applyFont="1" applyFill="1" applyBorder="1"/>
    <x:xf numFmtId="206" fontId="7" fillId="11" borderId="5" xfId="0" applyNumberFormat="1" applyFont="1" applyFill="1" applyBorder="1"/>
    <x:xf numFmtId="206" fontId="7" fillId="11" borderId="7" xfId="0" applyNumberFormat="1" applyFont="1" applyFill="1" applyBorder="1"/>
    <x:xf numFmtId="206" fontId="7" fillId="11" borderId="8" xfId="0" applyNumberFormat="1" applyFont="1" applyFill="1" applyBorder="1"/>
    <x:xf numFmtId="206" fontId="7" fillId="11" borderId="9" xfId="0" applyNumberFormat="1" applyFont="1" applyFill="1" applyBorder="1"/>
    <x:xf numFmtId="206" fontId="7" fillId="11" borderId="10" xfId="0" applyNumberFormat="1" applyFont="1" applyFill="1" applyBorder="1"/>
    <x:xf numFmtId="206" fontId="7" fillId="11" borderId="12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208" fontId="1" fillId="10" borderId="4" xfId="0" applyNumberFormat="1" applyFont="1" applyFill="1" applyBorder="1"/>
    <x:xf numFmtId="208" fontId="1" fillId="10" borderId="4" xfId="0" applyNumberFormat="1" applyFont="1" applyFill="1" applyBorder="1" applyAlignment="1">
      <x:alignment horizontal="center"/>
    </x:xf>
    <x:xf numFmtId="201" fontId="8" fillId="11" borderId="0" xfId="0" applyNumberFormat="1" applyFont="1" applyFill="1" applyBorder="1"/>
    <x:xf numFmtId="201" fontId="8" fillId="11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207" fontId="0" fillId="13" borderId="0" xfId="0" applyNumberFormat="1" applyFont="1" applyFill="1" applyBorder="1"/>
    <x:xf numFmtId="0" fontId="5" fillId="13" borderId="0" xfId="0" applyNumberFormat="1" applyFont="1" applyFill="1" applyBorder="1"/>
    <x:xf numFmtId="207" fontId="5" fillId="13" borderId="0" xfId="0" applyNumberFormat="1" applyFont="1" applyFill="1" applyBorder="1"/>
    <x:xf numFmtId="0" fontId="5" fillId="13" borderId="16" xfId="0" applyNumberFormat="1" applyFont="1" applyFill="1" applyBorder="1"/>
    <x:xf numFmtId="207" fontId="5" fillId="13" borderId="16" xfId="0" applyNumberFormat="1" applyFont="1" applyFill="1" applyBorder="1"/>
    <x:xf numFmtId="208" fontId="1" fillId="10" borderId="0" xfId="0" applyNumberFormat="1" applyFont="1" applyFill="1" applyBorder="1"/>
    <x:xf numFmtId="208" fontId="1" fillId="10" borderId="0" xfId="0" applyNumberFormat="1" applyFont="1" applyFill="1" applyBorder="1" applyAlignment="1">
      <x:alignment horizontal="center"/>
    </x:xf>
    <x:xf numFmtId="203" fontId="5" fillId="13" borderId="16" xfId="0" applyNumberFormat="1" applyFont="1" applyFill="1" applyBorder="1"/>
    <x:xf numFmtId="209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89a851f3944ed" /><Relationship Type="http://schemas.openxmlformats.org/officeDocument/2006/relationships/theme" Target="/xl/theme/theme1.xml" Id="R9c14981227aa4695" /><Relationship Type="http://schemas.openxmlformats.org/officeDocument/2006/relationships/sharedStrings" Target="/xl/sharedStrings.xml" Id="R86be9747b0ab4a83" /><Relationship Type="http://schemas.openxmlformats.org/officeDocument/2006/relationships/worksheet" Target="/xl/worksheets/sheet1.xml" Id="R774fa9117cf74834" /><Relationship Type="http://schemas.openxmlformats.org/officeDocument/2006/relationships/worksheet" Target="/xl/worksheets/sheet2.xml" Id="R855b8c4488664b12" /><Relationship Type="http://schemas.openxmlformats.org/officeDocument/2006/relationships/worksheet" Target="/xl/worksheets/sheet3.xml" Id="R78360448fe104d42" /><Relationship Type="http://schemas.openxmlformats.org/officeDocument/2006/relationships/worksheet" Target="/xl/worksheets/sheet4.xml" Id="R212d7480780d4826" /><Relationship Type="http://schemas.openxmlformats.org/officeDocument/2006/relationships/worksheet" Target="/xl/worksheets/sheet5.xml" Id="R19ea631707af4c09" /><Relationship Type="http://schemas.openxmlformats.org/officeDocument/2006/relationships/worksheet" Target="/xl/worksheets/sheet6.xml" Id="R336d2d0407134420" /><Relationship Type="http://schemas.openxmlformats.org/officeDocument/2006/relationships/worksheet" Target="/xl/worksheets/sheet7.xml" Id="R76a2d21c54ad4230" /><Relationship Type="http://schemas.openxmlformats.org/officeDocument/2006/relationships/worksheet" Target="/xl/worksheets/sheet8.xml" Id="R0075705680cb47d8" /><Relationship Type="http://schemas.openxmlformats.org/officeDocument/2006/relationships/worksheet" Target="/xl/worksheets/sheet9.xml" Id="R89bbb3542ffe41b4" /><Relationship Type="http://schemas.openxmlformats.org/officeDocument/2006/relationships/worksheet" Target="/xl/worksheets/sheet10.xml" Id="R24ab5922949942a1" /><Relationship Type="http://schemas.openxmlformats.org/officeDocument/2006/relationships/worksheet" Target="/xl/worksheets/sheet11.xml" Id="R2b6b3fe77c104813" /><Relationship Type="http://schemas.openxmlformats.org/officeDocument/2006/relationships/worksheet" Target="/xl/worksheets/sheet12.xml" Id="R8531feb057c945ef" /><Relationship Type="http://schemas.openxmlformats.org/officeDocument/2006/relationships/worksheet" Target="/xl/worksheets/sheet13.xml" Id="R0876d8cdf5404039" /><Relationship Type="http://schemas.openxmlformats.org/officeDocument/2006/relationships/worksheet" Target="/xl/worksheets/sheet14.xml" Id="R1bb57a16a5bc491a" /><Relationship Type="http://schemas.openxmlformats.org/officeDocument/2006/relationships/worksheet" Target="/xl/worksheets/sheet15.xml" Id="R3a549e4115214feb" /><Relationship Type="http://schemas.openxmlformats.org/officeDocument/2006/relationships/worksheet" Target="/xl/worksheets/sheet16.xml" Id="R9492bc82770f42fb" /><Relationship Type="http://schemas.openxmlformats.org/officeDocument/2006/relationships/worksheet" Target="/xl/worksheets/sheet17.xml" Id="Ree30bb7cb7d64b73" /><Relationship Type="http://schemas.openxmlformats.org/officeDocument/2006/relationships/worksheet" Target="/xl/worksheets/sheet18.xml" Id="Rc299bed227bc49b4" /><Relationship Type="http://schemas.openxmlformats.org/officeDocument/2006/relationships/worksheet" Target="/xl/worksheets/sheet19.xml" Id="RidCF4worksheet00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88ae97814a88" /><Relationship Type="http://schemas.openxmlformats.org/officeDocument/2006/relationships/chart" Target="/xl/drawings/charts/chart2.xml" Id="R61ed4f4ee11c4944" /><Relationship Type="http://schemas.openxmlformats.org/officeDocument/2006/relationships/chart" Target="/xl/drawings/charts/chart3.xml" Id="R8e4645a1352d4ecc" /><Relationship Type="http://schemas.openxmlformats.org/officeDocument/2006/relationships/chart" Target="/xl/drawings/charts/chart4.xml" Id="R83954957704e45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Выручка и расходы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Выручка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'Дашборд'!$S$4:$S$43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Расходы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'Дашборд'!$T$4:$T$43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Долг и эскроу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Долг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'Дашборд'!$AE$4:$AE$43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Эскроу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'Дашборд'!$AF$4:$AF$43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Структура расходов,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Сумма</c:v>
          </c:tx>
          <c:cat>
            <c:strRef>
              <c:f>'Дашборд'!$X$4:$X$10</c:f>
              <c:strCache>
                <c:ptCount val="0"/>
              </c:strCache>
            </c:strRef>
          </c:cat>
          <c:val>
            <c:numRef>
              <c:f>'Дашборд'!$Y$4:$Y$10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Чистая прибыль по очередям,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Чистая прибыль</c:v>
          </c:tx>
          <c:cat>
            <c:strRef>
              <c:f>'Дашборд'!$AA$4:$AA$7</c:f>
              <c:strCache>
                <c:ptCount val="0"/>
              </c:strCache>
            </c:strRef>
          </c:cat>
          <c:val>
            <c:numRef>
              <c:f>'Дашборд'!$AB$4:$AB$7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88ae97814a88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ed4f4ee11c494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8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645a1352d4ecc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16</xdr:col>
      <xdr:colOff>0</xdr:colOff>
      <xdr:row>51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54957704e45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995f2a1ad5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20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42" hidden="0" customWidth="1"/>
    <x:col min="11" max="11" width="18" hidden="0" customWidth="1"/>
    <x:col min="12" max="12" width="20" hidden="0" customWidth="1"/>
    <x:col min="13" max="13" width="3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</x:cols>
  <x:sheetData>
    <x:row r="1" ht="28" customHeight="1">
      <x:c r="A1" s="4" t="str">
        <x:v>DEVELOPAID · ПОЛНАЯ ИНВЕСТИЦИОННАЯ МОДЕЛЬ</x:v>
      </x:c>
      <x:c r="B1" s="4" t="str">
        <x:v>DEVELOPAID · ПОЛНАЯ ИНВЕСТИЦИОННАЯ МОДЕЛЬ</x:v>
      </x:c>
      <x:c r="C1" s="4" t="str">
        <x:v>DEVELOPAID · ПОЛНАЯ ИНВЕСТИЦИОННАЯ МОДЕЛЬ</x:v>
      </x:c>
      <x:c r="D1" s="4" t="str">
        <x:v>DEVELOPAID · ПОЛНАЯ ИНВЕСТИЦИОННАЯ МОДЕЛЬ</x:v>
      </x:c>
      <x:c r="E1" s="4" t="str">
        <x:v>DEVELOPAID · ПОЛНАЯ ИНВЕСТИЦИОННАЯ МОДЕЛЬ</x:v>
      </x:c>
      <x:c r="F1" s="4" t="str">
        <x:v>DEVELOPAID · ПОЛНАЯ ИНВЕСТИЦИОННАЯ МОДЕЛЬ</x:v>
      </x:c>
      <x:c r="G1" s="4" t="str">
        <x:v>DEVELOPAID · ПОЛНАЯ ИНВЕСТИЦИОННАЯ МОДЕЛЬ</x:v>
      </x:c>
      <x:c r="H1" s="4" t="str">
        <x:v>DEVELOPAID · ПОЛНАЯ ИНВЕСТИЦИОННАЯ МОДЕЛЬ</x:v>
      </x:c>
      <x:c r="I1" s="4" t="str">
        <x:v>DEVELOPAID · ПОЛНАЯ ИНВЕСТИЦИОННАЯ МОДЕЛЬ</x:v>
      </x:c>
      <x:c r="J1" s="4" t="str">
        <x:v>DEVELOPAID · ПОЛНАЯ ИНВЕСТИЦИОННАЯ МОДЕЛЬ</x:v>
      </x:c>
      <x:c r="K1" s="4" t="str">
        <x:v>DEVELOPAID · ПОЛНАЯ ИНВЕСТИЦИОННАЯ МОДЕЛЬ</x:v>
      </x:c>
      <x:c r="L1" s="4" t="str">
        <x:v>DEVELOPAID · ПОЛНАЯ ИНВЕСТИЦИОННАЯ МОДЕЛЬ</x:v>
      </x:c>
      <x:c r="M1" s="4" t="str">
        <x:v>DEVELOPAID · ПОЛНАЯ ИНВЕСТИЦИОННАЯ МОДЕЛЬ</x:v>
      </x:c>
    </x:row>
    <x:row r="2">
      <x:c r="A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B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C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D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E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F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G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H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I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J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K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L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M2" s="6" t="str">
        <x:v>Синие значения — ввод пользователя; зелёные формулы — ссылки и расчётные параметры; все денежные показатели — млн ₽.</x:v>
      </x:c>
    </x:row>
    <x:row r="4" ht="21" customHeight="1">
      <x:c r="A4" s="7" t="str">
        <x:v>Проект</x:v>
      </x:c>
      <x:c r="B4" s="10" t="str">
        <x:v>Проект DevelopAid</x:v>
      </x:c>
      <x:c r="D4" s="23" t="str">
        <x:v>Сценарный драйвер</x:v>
      </x:c>
      <x:c r="E4" s="23" t="str">
        <x:v>Base</x:v>
      </x:c>
      <x:c r="F4" s="23" t="str">
        <x:v>Upside</x:v>
      </x:c>
      <x:c r="G4" s="23" t="str">
        <x:v>Downside</x:v>
      </x:c>
      <x:c r="H4" s="23" t="str">
        <x:v>Активно</x:v>
      </x:c>
      <x:c r="J4" s="52" t="str">
        <x:v>ПЛОТНОСТЬ И ПЕРЕСЧЁТ ТЭП</x:v>
      </x:c>
      <x:c r="K4" s="53" t="str">
        <x:v>ПЛОТНОСТЬ И ПЕРЕСЧЁТ ТЭП</x:v>
      </x:c>
      <x:c r="L4" s="53" t="str">
        <x:v>ПЛОТНОСТЬ И ПЕРЕСЧЁТ ТЭП</x:v>
      </x:c>
      <x:c r="M4" s="54" t="str">
        <x:v>ПЛОТНОСТЬ И ПЕРЕСЧЁТ ТЭП</x:v>
      </x:c>
    </x:row>
    <x:row r="5">
      <x:c r="A5" s="7" t="str">
        <x:v>Версия</x:v>
      </x:c>
      <x:c r="B5" s="11" t="str">
        <x:v>4.0 · sales-drivers</x:v>
      </x:c>
      <x:c r="D5" t="str">
        <x:v>Множитель цены</x:v>
      </x:c>
      <x:c r="E5" s="32" t="n">
        <x:v>1</x:v>
      </x:c>
      <x:c r="F5" s="33" t="n">
        <x:v>1.1</x:v>
      </x:c>
      <x:c r="G5" s="34" t="n">
        <x:v>0.9</x:v>
      </x:c>
      <x:c r="H5" s="43" t="n">
        <x:f>INDEX($E5:$G5,1,MATCH($B$6,$E$4:$G$4,0))</x:f>
      </x:c>
      <x:c r="J5" s="23" t="str">
        <x:v>Показатель</x:v>
      </x:c>
      <x:c r="K5" s="23" t="str">
        <x:v>Значение</x:v>
      </x:c>
      <x:c r="L5" s="23" t="str">
        <x:v>Ед. изм.</x:v>
      </x:c>
      <x:c r="M5" s="23" t="str">
        <x:v>Ключ API</x:v>
      </x:c>
    </x:row>
    <x:row r="6">
      <x:c r="A6" s="7" t="str">
        <x:v>Активный сценарий</x:v>
      </x:c>
      <x:c r="B6" s="11" t="str">
        <x:v>Base</x:v>
      </x:c>
      <x:c r="D6" t="str">
        <x:v>Множитель затрат</x:v>
      </x:c>
      <x:c r="E6" s="36" t="n">
        <x:v>1</x:v>
      </x:c>
      <x:c r="F6" s="37" t="n">
        <x:v>0.95</x:v>
      </x:c>
      <x:c r="G6" s="38" t="n">
        <x:v>1.1</x:v>
      </x:c>
      <x:c r="H6" s="43" t="n">
        <x:f>INDEX($E6:$G6,1,MATCH($B$6,$E$4:$G$4,0))</x:f>
      </x:c>
      <x:c r="J6" t="str">
        <x:v>Регион проекта</x:v>
      </x:c>
      <x:c r="K6" s="10" t="str">
        <x:v>Москва</x:v>
      </x:c>
      <x:c r="L6" t="str">
        <x:v>регион</x:v>
      </x:c>
      <x:c r="M6" t="str">
        <x:v>project_region</x:v>
      </x:c>
    </x:row>
    <x:row r="7">
      <x:c r="A7" s="7" t="str">
        <x:v>Единицы модели</x:v>
      </x:c>
      <x:c r="B7" s="11" t="str">
        <x:v>млн ₽</x:v>
      </x:c>
      <x:c r="D7" t="str">
        <x:v>Множитель темпа продаж</x:v>
      </x:c>
      <x:c r="E7" s="36" t="n">
        <x:v>1</x:v>
      </x:c>
      <x:c r="F7" s="37" t="n">
        <x:v>1.15</x:v>
      </x:c>
      <x:c r="G7" s="38" t="n">
        <x:v>0.85</x:v>
      </x:c>
      <x:c r="H7" s="43" t="n">
        <x:f>INDEX($E7:$G7,1,MATCH($B$6,$E$4:$G$4,0))</x:f>
      </x:c>
      <x:c r="J7" t="str">
        <x:v>Площадь участка</x:v>
      </x:c>
      <x:c r="K7" s="61" t="n">
        <x:v>1.1546</x:v>
      </x:c>
      <x:c r="L7" t="str">
        <x:v>га</x:v>
      </x:c>
      <x:c r="M7" t="str">
        <x:v>site_area_ha</x:v>
      </x:c>
    </x:row>
    <x:row r="8">
      <x:c r="A8" s="7" t="str">
        <x:v>Начало горизонта</x:v>
      </x:c>
      <x:c r="B8" s="13" t="n">
        <x:v>46388</x:v>
      </x:c>
      <x:c r="D8" t="str">
        <x:v>Целевая ключевая ставка</x:v>
      </x:c>
      <x:c r="E8" s="36" t="n">
        <x:v>0.09</x:v>
      </x:c>
      <x:c r="F8" s="37" t="n">
        <x:v>0.07</x:v>
      </x:c>
      <x:c r="G8" s="38" t="n">
        <x:v>0.11</x:v>
      </x:c>
      <x:c r="H8" s="43" t="n">
        <x:f>INDEX($E8:$G8,1,MATCH($B$6,$E$4:$G$4,0))</x:f>
      </x:c>
      <x:c r="J8" t="str">
        <x:v>Использовать плотность по умолчанию</x:v>
      </x:c>
      <x:c r="K8" s="11" t="str">
        <x:v>Да</x:v>
      </x:c>
      <x:c r="L8" t="str">
        <x:v>Да / Нет</x:v>
      </x:c>
      <x:c r="M8" t="str">
        <x:v>use_default_density</x:v>
      </x:c>
    </x:row>
    <x:row r="9">
      <x:c r="A9" s="7" t="str">
        <x:v>Горизонт, мес.</x:v>
      </x:c>
      <x:c r="B9" s="14" t="n">
        <x:v>120</x:v>
      </x:c>
      <x:c r="D9" t="str">
        <x:v>Задержка старта, мес.</x:v>
      </x:c>
      <x:c r="E9" s="39" t="n">
        <x:v>0</x:v>
      </x:c>
      <x:c r="F9" s="40" t="n">
        <x:v>0</x:v>
      </x:c>
      <x:c r="G9" s="41" t="n">
        <x:v>3</x:v>
      </x:c>
      <x:c r="H9" s="17" t="n">
        <x:f>INDEX($E9:$G9,1,MATCH($B$6,$E$4:$G$4,0))</x:f>
      </x:c>
      <x:c r="J9" t="str">
        <x:v>Плотность ГлавАПУ (Москва)</x:v>
      </x:c>
      <x:c r="K9" s="62" t="n">
        <x:v>35000</x:v>
      </x:c>
      <x:c r="L9" t="str">
        <x:v>м² / га</x:v>
      </x:c>
      <x:c r="M9" t="str">
        <x:v>moscow_density_sqm_ha</x:v>
      </x:c>
    </x:row>
    <x:row r="10">
      <x:c r="A10" s="7" t="str">
        <x:v>Активных очередей</x:v>
      </x:c>
      <x:c r="B10" s="17" t="n">
        <x:f>COUNTIF($B$88:$B$91,"Да")</x:f>
      </x:c>
      <x:c r="J10" t="str">
        <x:v>Плотность по умолчанию (МО)</x:v>
      </x:c>
      <x:c r="K10" s="62" t="n">
        <x:v>30000</x:v>
      </x:c>
      <x:c r="L10" t="str">
        <x:v>м² / га</x:v>
      </x:c>
      <x:c r="M10" t="str">
        <x:v>mo_default_density_sqm_ha</x:v>
      </x:c>
    </x:row>
    <x:row r="11">
      <x:c r="J11" t="str">
        <x:v>Ручная плотность</x:v>
      </x:c>
      <x:c r="K11" s="63" t="n">
        <x:v>35000</x:v>
      </x:c>
      <x:c r="L11" t="str">
        <x:v>м² / га</x:v>
      </x:c>
      <x:c r="M11" t="str">
        <x:v>manual_density_sqm_ha</x:v>
      </x:c>
    </x:row>
    <x:row r="12">
      <x:c r="J12" t="str">
        <x:v>Применяемая плотность</x:v>
      </x:c>
      <x:c r="K12" s="64" t="n">
        <x:f>IF(K8="Да",IF(K6="Москва",K9,K10),K11)</x:f>
      </x:c>
      <x:c r="L12" t="str">
        <x:v>м² / га</x:v>
      </x:c>
      <x:c r="M12" t="str">
        <x:v>active_density_sqm_ha</x:v>
      </x:c>
    </x:row>
    <x:row r="13" ht="21" customHeight="1">
      <x:c r="A13" s="52" t="str">
        <x:v>СДЕЛКА, НАЛОГИ И ФИНАНСИРОВАНИЕ</x:v>
      </x:c>
      <x:c r="B13" s="53" t="str">
        <x:v>СДЕЛКА, НАЛОГИ И ФИНАНСИРОВАНИЕ</x:v>
      </x:c>
      <x:c r="C13" s="53" t="str">
        <x:v>СДЕЛКА, НАЛОГИ И ФИНАНСИРОВАНИЕ</x:v>
      </x:c>
      <x:c r="D13" s="54" t="str">
        <x:v>СДЕЛКА, НАЛОГИ И ФИНАНСИРОВАНИЕ</x:v>
      </x:c>
      <x:c r="J13" t="str">
        <x:v>Базовый потенциал Мишина 46</x:v>
      </x:c>
      <x:c r="K13" s="60" t="n">
        <x:v>40411</x:v>
      </x:c>
      <x:c r="L13" t="str">
        <x:v>м²</x:v>
      </x:c>
      <x:c r="M13" t="str">
        <x:v>base_gfa_potential_sqm</x:v>
      </x:c>
    </x:row>
    <x:row r="14">
      <x:c r="A14" s="23" t="str">
        <x:v>Показатель</x:v>
      </x:c>
      <x:c r="B14" s="23" t="str">
        <x:v>Значение</x:v>
      </x:c>
      <x:c r="C14" s="23" t="str">
        <x:v>Ед. изм.</x:v>
      </x:c>
      <x:c r="D14" s="23" t="str">
        <x:v>Ключ API</x:v>
      </x:c>
      <x:c r="J14" t="str">
        <x:v>Потенциал при выбранной плотности</x:v>
      </x:c>
      <x:c r="K14" s="64" t="n">
        <x:f>K7*K12</x:f>
      </x:c>
      <x:c r="L14" t="str">
        <x:v>м²</x:v>
      </x:c>
      <x:c r="M14" t="str">
        <x:v>active_gfa_potential_sqm</x:v>
      </x:c>
    </x:row>
    <x:row r="15">
      <x:c r="A15" t="str">
        <x:v>Стоимость покупки / цена входа</x:v>
      </x:c>
      <x:c r="B15" s="72" t="n">
        <x:v>700</x:v>
      </x:c>
      <x:c r="C15" t="str">
        <x:v>млн ₽</x:v>
      </x:c>
      <x:c r="D15" t="str">
        <x:v>purchase_price_mln</x:v>
      </x:c>
      <x:c r="J15" t="str">
        <x:v>Коэффициент пересчёта ТЭП</x:v>
      </x:c>
      <x:c r="K15" s="65" t="n">
        <x:f>IFERROR(K14/K13,1)</x:f>
      </x:c>
      <x:c r="L15" t="str">
        <x:v>×</x:v>
      </x:c>
      <x:c r="M15" t="str">
        <x:v>tep_density_factor</x:v>
      </x:c>
    </x:row>
    <x:row r="16">
      <x:c r="A16" t="str">
        <x:v>Плата за изменение ВРИ — ввод сайта / бота</x:v>
      </x:c>
      <x:c r="B16" s="73" t="n">
        <x:v>1267.539</x:v>
      </x:c>
      <x:c r="C16" t="str">
        <x:v>млн ₽</x:v>
      </x:c>
      <x:c r="D16" t="str">
        <x:v>land_rights_cost_mln</x:v>
      </x:c>
    </x:row>
    <x:row r="17">
      <x:c r="A17" t="str">
        <x:v>Социальный платёж / компенсация</x:v>
      </x:c>
      <x:c r="B17" s="73" t="n">
        <x:v>580.668</x:v>
      </x:c>
      <x:c r="C17" t="str">
        <x:v>млн ₽</x:v>
      </x:c>
      <x:c r="D17" t="str">
        <x:v>social_compensation_mln</x:v>
      </x:c>
    </x:row>
    <x:row r="18" ht="21" customHeight="1">
      <x:c r="A18" t="str">
        <x:v>Дата социального платежа</x:v>
      </x:c>
      <x:c r="B18" s="13" t="n">
        <x:f>EDATE('CF_1'!$B$7,-1)</x:f>
      </x:c>
      <x:c r="C18" t="str">
        <x:v>дата</x:v>
      </x:c>
      <x:c r="D18" t="str">
        <x:v>social_comp_date</x:v>
      </x:c>
      <x:c r="E18">
        <x:v>1</x:v>
      </x:c>
      <x:c r="F18" t="inlineStr">
        <x:is>
          <x:t>мес. разноса платежа (1 — разовый)</x:t>
        </x:is>
      </x:c>
      <x:c r="J18" s="281" t="str">
        <x:v>МФОЦ / ОФИСНЫЙ ЦЕНТР</x:v>
      </x:c>
      <x:c r="K18" s="282" t="str">
        <x:v>МФОЦ / ОФИСНЫЙ ЦЕНТР</x:v>
      </x:c>
      <x:c r="L18" s="282" t="str">
        <x:v>МФОЦ / ОФИСНЫЙ ЦЕНТР</x:v>
      </x:c>
      <x:c r="M18" s="283" t="str">
        <x:v>МФОЦ / ОФИСНЫЙ ЦЕНТР</x:v>
      </x:c>
    </x:row>
    <x:row r="19">
      <x:c r="A19" t="str">
        <x:v>Маркетинг</x:v>
      </x:c>
      <x:c r="B19" s="69" t="n">
        <x:v>0.03</x:v>
      </x:c>
      <x:c r="C19" t="str">
        <x:v>% выручки</x:v>
      </x:c>
      <x:c r="D19" t="str">
        <x:v>marketing_pct</x:v>
      </x:c>
      <x:c r="J19" s="289" t="str">
        <x:v>Показатель</x:v>
      </x:c>
      <x:c r="K19" s="289" t="str">
        <x:v>Значение</x:v>
      </x:c>
      <x:c r="L19" s="289" t="str">
        <x:v>Ед. изм.</x:v>
      </x:c>
      <x:c r="M19" s="289" t="str">
        <x:v>Ключ API</x:v>
      </x:c>
    </x:row>
    <x:row r="20">
      <x:c r="A20" t="str">
        <x:v>Расходы на продажи</x:v>
      </x:c>
      <x:c r="B20" s="69" t="n">
        <x:v>0.04</x:v>
      </x:c>
      <x:c r="C20" t="str">
        <x:v>% выручки</x:v>
      </x:c>
      <x:c r="D20" t="str">
        <x:v>selling_pct</x:v>
      </x:c>
      <x:c r="J20" t="str">
        <x:v>Объект включён</x:v>
      </x:c>
      <x:c r="K20" s="290" t="str">
        <x:v>Нет</x:v>
      </x:c>
      <x:c r="L20" t="str">
        <x:v>Да / Нет</x:v>
      </x:c>
      <x:c r="M20" t="str">
        <x:v>offices_enabled</x:v>
      </x:c>
    </x:row>
    <x:row r="21">
      <x:c r="A21" t="str">
        <x:v>Налог на прибыль</x:v>
      </x:c>
      <x:c r="B21" s="69" t="n">
        <x:v>0.25</x:v>
      </x:c>
      <x:c r="C21" t="str">
        <x:v>%</x:v>
      </x:c>
      <x:c r="D21" t="str">
        <x:v>profit_tax_pct</x:v>
      </x:c>
      <x:c r="J21" t="str">
        <x:v>Очередь финансирования</x:v>
      </x:c>
      <x:c r="K21" s="291" t="n">
        <x:v>1</x:v>
      </x:c>
      <x:c r="L21" t="str">
        <x:v>1–3</x:v>
      </x:c>
      <x:c r="M21" t="str">
        <x:v>offices_queue</x:v>
      </x:c>
    </x:row>
    <x:row r="22">
      <x:c r="A22" t="str">
        <x:v>НДС (справочно)</x:v>
      </x:c>
      <x:c r="B22" s="69" t="n">
        <x:v>0.22</x:v>
      </x:c>
      <x:c r="C22" t="str">
        <x:v>%</x:v>
      </x:c>
      <x:c r="D22" t="str">
        <x:v>vat_pct</x:v>
      </x:c>
      <x:c r="J22" t="str">
        <x:v>Пересчитывать по плотности</x:v>
      </x:c>
      <x:c r="K22" s="291" t="str">
        <x:v>Да</x:v>
      </x:c>
      <x:c r="L22" t="str">
        <x:v>Да / Нет</x:v>
      </x:c>
      <x:c r="M22" t="str">
        <x:v>offices_density_linked</x:v>
      </x:c>
    </x:row>
    <x:row r="23">
      <x:c r="A23" t="str">
        <x:v>Ставка дисконтирования</x:v>
      </x:c>
      <x:c r="B23" s="69" t="n">
        <x:v>0.2</x:v>
      </x:c>
      <x:c r="C23" t="str">
        <x:v>% год</x:v>
      </x:c>
      <x:c r="D23" t="str">
        <x:v>discount_rate_pct</x:v>
      </x:c>
      <x:c r="J23" t="str">
        <x:v>Базовая общая площадь (GBA)</x:v>
      </x:c>
      <x:c r="K23" s="298" t="n">
        <x:v>0</x:v>
      </x:c>
      <x:c r="L23" t="str">
        <x:v>м²</x:v>
      </x:c>
      <x:c r="M23" t="str">
        <x:v>offices_gba_base_sqm</x:v>
      </x:c>
    </x:row>
    <x:row r="24">
      <x:c r="A24" t="str">
        <x:v>Лимит БРИДЖ</x:v>
      </x:c>
      <x:c r="B24" s="73" t="n">
        <x:v>3500</x:v>
      </x:c>
      <x:c r="C24" t="str">
        <x:v>млн ₽</x:v>
      </x:c>
      <x:c r="D24" t="str">
        <x:v>bridge_limit_mln</x:v>
      </x:c>
      <x:c r="J24" t="str">
        <x:v>Базовая продаваемая площадь</x:v>
      </x:c>
      <x:c r="K24" s="299" t="n">
        <x:v>0</x:v>
      </x:c>
      <x:c r="L24" t="str">
        <x:v>м²</x:v>
      </x:c>
      <x:c r="M24" t="str">
        <x:v>offices_saleable_base_sqm</x:v>
      </x:c>
    </x:row>
    <x:row r="25">
      <x:c r="A25" t="str">
        <x:v>Спред БРИДЖ</x:v>
      </x:c>
      <x:c r="B25" s="73" t="n">
        <x:v>0.06</x:v>
      </x:c>
      <x:c r="C25" t="str">
        <x:v>п.п.</x:v>
      </x:c>
      <x:c r="D25" t="str">
        <x:v>bridge_spread_pp</x:v>
      </x:c>
      <x:c r="J25" t="str">
        <x:v>Расчётная общая площадь (GBA)</x:v>
      </x:c>
      <x:c r="K25" s="300" t="n">
        <x:f>IF(K20="Да",K23*IF(K22="Да",$K$15,1),0)</x:f>
      </x:c>
      <x:c r="L25" t="str">
        <x:v>м²</x:v>
      </x:c>
      <x:c r="M25" t="str">
        <x:v>offices_gba_sqm</x:v>
      </x:c>
    </x:row>
    <x:row r="26">
      <x:c r="A26" t="str">
        <x:v>Расчётный лимит ПФ (авто)</x:v>
      </x:c>
      <x:c r="B26" s="74" t="n">
        <x:f>ROUNDUP(SUM('CAPEX'!$B$35,'CAPEX'!$B$69,'CAPEX'!$B$103,'CAPEX'!$B$137)/10,0)*10</x:f>
      </x:c>
      <x:c r="C26" t="str">
        <x:v>млн ₽</x:v>
      </x:c>
      <x:c r="D26" t="str">
        <x:v>pf_limit_auto_mln</x:v>
      </x:c>
      <x:c r="J26" t="str">
        <x:v>Расчётная продаваемая площадь</x:v>
      </x:c>
      <x:c r="K26" s="301" t="n">
        <x:f>IF(K20="Да",K24*IF(K22="Да",$K$15,1),0)</x:f>
      </x:c>
      <x:c r="L26" t="str">
        <x:v>м²</x:v>
      </x:c>
      <x:c r="M26" t="str">
        <x:v>offices_saleable_sqm</x:v>
      </x:c>
    </x:row>
    <x:row r="27">
      <x:c r="A27" t="str">
        <x:v>Спред ПФ</x:v>
      </x:c>
      <x:c r="B27" s="69" t="n">
        <x:v>0.045</x:v>
      </x:c>
      <x:c r="C27" t="str">
        <x:v>п.п.</x:v>
      </x:c>
      <x:c r="D27" t="str">
        <x:v>pf_spread_pp</x:v>
      </x:c>
      <x:c r="J27" t="str">
        <x:v>Начало строительства</x:v>
      </x:c>
      <x:c r="K27" s="296" t="n">
        <x:v>46935</x:v>
      </x:c>
      <x:c r="L27" t="str">
        <x:v>дата</x:v>
      </x:c>
      <x:c r="M27" t="str">
        <x:v>offices_start</x:v>
      </x:c>
    </x:row>
    <x:row r="28">
      <x:c r="A28" t="str">
        <x:v>Ставка ПФ при покрытии эскроу 1×</x:v>
      </x:c>
      <x:c r="B28" s="69" t="n">
        <x:v>0.045</x:v>
      </x:c>
      <x:c r="C28" t="str">
        <x:v>% год</x:v>
      </x:c>
      <x:c r="D28" t="str">
        <x:v>pf_special_pct</x:v>
      </x:c>
      <x:c r="J28" t="str">
        <x:v>Срок строительства</x:v>
      </x:c>
      <x:c r="K28" s="291" t="n">
        <x:v>24</x:v>
      </x:c>
      <x:c r="L28" t="str">
        <x:v>мес.</x:v>
      </x:c>
      <x:c r="M28" t="str">
        <x:v>offices_months</x:v>
      </x:c>
    </x:row>
    <x:row r="29">
      <x:c r="A29" t="str">
        <x:v>Плата за невыбранный лимит</x:v>
      </x:c>
      <x:c r="B29" s="69" t="n">
        <x:v>0.005</x:v>
      </x:c>
      <x:c r="C29" t="str">
        <x:v>% год</x:v>
      </x:c>
      <x:c r="D29" t="str">
        <x:v>limit_fee_pct</x:v>
      </x:c>
      <x:c r="J29" t="str">
        <x:v>Себестоимость строительства</x:v>
      </x:c>
      <x:c r="K29" s="291" t="n">
        <x:v>200</x:v>
      </x:c>
      <x:c r="L29" t="str">
        <x:v>тыс. ₽/м² GBA</x:v>
      </x:c>
      <x:c r="M29" t="str">
        <x:v>offices_cost_th_per_sqm</x:v>
      </x:c>
    </x:row>
    <x:row r="30">
      <x:c r="A30" t="str">
        <x:v>Плата за резервирование</x:v>
      </x:c>
      <x:c r="B30" s="69" t="n">
        <x:v>0.005</x:v>
      </x:c>
      <x:c r="C30" t="str">
        <x:v>%</x:v>
      </x:c>
      <x:c r="D30" t="str">
        <x:v>reservation_fee_pct</x:v>
      </x:c>
      <x:c r="J30" t="str">
        <x:v>Старт продаж</x:v>
      </x:c>
      <x:c r="K30" s="297" t="n">
        <x:v>46935</x:v>
      </x:c>
      <x:c r="L30" t="str">
        <x:v>дата</x:v>
      </x:c>
      <x:c r="M30" t="str">
        <x:v>offices_sales_start</x:v>
      </x:c>
    </x:row>
    <x:row r="31">
      <x:c r="A31" t="str">
        <x:v>Проценты БРИДЖ</x:v>
      </x:c>
      <x:c r="B31" s="11" t="str">
        <x:v>Капитализация в ПФ</x:v>
      </x:c>
      <x:c r="C31" t="str">
        <x:v>режим</x:v>
      </x:c>
      <x:c r="D31" t="str">
        <x:v>bridge_interest_mode</x:v>
      </x:c>
      <x:c r="J31" t="str">
        <x:v>Стартовая цена</x:v>
      </x:c>
      <x:c r="K31" s="291" t="n">
        <x:v>500</x:v>
      </x:c>
      <x:c r="L31" t="str">
        <x:v>тыс. ₽/м²</x:v>
      </x:c>
      <x:c r="M31" t="str">
        <x:v>offices_price_th_per_sqm</x:v>
      </x:c>
    </x:row>
    <x:row r="32">
      <x:c r="A32" t="str">
        <x:v>Ковенант LLCR</x:v>
      </x:c>
      <x:c r="B32" s="70" t="n">
        <x:v>1.2</x:v>
      </x:c>
      <x:c r="C32" t="str">
        <x:v>×</x:v>
      </x:c>
      <x:c r="D32" t="str">
        <x:v>llcr_covenant</x:v>
      </x:c>
      <x:c r="J32" t="str">
        <x:v>Доля продаж до РВЭ</x:v>
      </x:c>
      <x:c r="K32" s="272" t="n">
        <x:v>0.85</x:v>
      </x:c>
      <x:c r="L32" t="str">
        <x:v>%</x:v>
      </x:c>
      <x:c r="M32" t="str">
        <x:v>offices_share_before_rve_pct</x:v>
      </x:c>
    </x:row>
    <x:row r="33">
      <x:c r="A33" t="str">
        <x:v>Ключевая ставка на старте</x:v>
      </x:c>
      <x:c r="B33" s="69" t="n">
        <x:v>0.14</x:v>
      </x:c>
      <x:c r="C33" t="str">
        <x:v>% год</x:v>
      </x:c>
      <x:c r="D33" t="str">
        <x:v>key_rate_start_pct</x:v>
      </x:c>
      <x:c r="J33" t="str">
        <x:v>Общий срок продаж</x:v>
      </x:c>
      <x:c r="K33" s="291" t="n">
        <x:v>30</x:v>
      </x:c>
      <x:c r="L33" t="str">
        <x:v>мес.</x:v>
      </x:c>
      <x:c r="M33" t="str">
        <x:v>offices_sales_term_months</x:v>
      </x:c>
    </x:row>
    <x:row r="34">
      <x:c r="A34" t="str">
        <x:v>Целевая ставка активного сценария</x:v>
      </x:c>
      <x:c r="B34" s="71" t="n">
        <x:f>$H$8</x:f>
      </x:c>
      <x:c r="C34" t="str">
        <x:v>% год</x:v>
      </x:c>
      <x:c r="D34" t="str">
        <x:v>key_rate_target_pct</x:v>
      </x:c>
      <x:c r="J34" t="str">
        <x:v>Рост цены до РВЭ</x:v>
      </x:c>
      <x:c r="K34" s="272" t="n">
        <x:v>0.015</x:v>
      </x:c>
      <x:c r="L34" t="str">
        <x:v>%/мес.</x:v>
      </x:c>
      <x:c r="M34" t="str">
        <x:v>offices_growth_pre_pct</x:v>
      </x:c>
    </x:row>
    <x:row r="35">
      <x:c r="A35" t="str">
        <x:v>Снижение до целевой ставки</x:v>
      </x:c>
      <x:c r="B35" s="12" t="n">
        <x:v>24</x:v>
      </x:c>
      <x:c r="C35" t="str">
        <x:v>мес.</x:v>
      </x:c>
      <x:c r="D35" t="str">
        <x:v>key_rate_decline_months</x:v>
      </x:c>
      <x:c r="J35" t="str">
        <x:v>Рост цены после РВЭ</x:v>
      </x:c>
      <x:c r="K35" s="275" t="n">
        <x:v>0.0025</x:v>
      </x:c>
      <x:c r="L35" t="str">
        <x:v>%/мес.</x:v>
      </x:c>
      <x:c r="M35" t="str">
        <x:v>offices_growth_post_pct</x:v>
      </x:c>
    </x:row>
    <x:row r="36">
      <x:c r="A36" t="str">
        <x:v>Дата базы цен и затрат</x:v>
      </x:c>
      <x:c r="B36" s="271" t="n">
        <x:v>46388</x:v>
      </x:c>
      <x:c r="C36" t="str">
        <x:v>дата</x:v>
      </x:c>
      <x:c r="D36" t="str">
        <x:v>price_cost_base_date</x:v>
      </x:c>
    </x:row>
    <x:row r="38" ht="21" customHeight="1">
      <x:c r="A38" s="52" t="str">
        <x:v>СТОИМОСТЬ СТРОИТЕЛЬСТВА</x:v>
      </x:c>
      <x:c r="B38" s="53" t="str">
        <x:v>СТОИМОСТЬ СТРОИТЕЛЬСТВА</x:v>
      </x:c>
      <x:c r="C38" s="53" t="str">
        <x:v>СТОИМОСТЬ СТРОИТЕЛЬСТВА</x:v>
      </x:c>
      <x:c r="D38" s="54" t="str">
        <x:v>СТОИМОСТЬ СТРОИТЕЛЬСТВА</x:v>
      </x:c>
      <x:c r="J38" s="281" t="str">
        <x:v>ТОРГОВЫЙ ЦЕНТР / КОММЕРЦИЯ ОСЗ</x:v>
      </x:c>
      <x:c r="K38" s="282" t="str">
        <x:v>ТОРГОВЫЙ ЦЕНТР / КОММЕРЦИЯ ОСЗ</x:v>
      </x:c>
      <x:c r="L38" s="282" t="str">
        <x:v>ТОРГОВЫЙ ЦЕНТР / КОММЕРЦИЯ ОСЗ</x:v>
      </x:c>
      <x:c r="M38" s="283" t="str">
        <x:v>ТОРГОВЫЙ ЦЕНТР / КОММЕРЦИЯ ОСЗ</x:v>
      </x:c>
    </x:row>
    <x:row r="39">
      <x:c r="A39" s="23" t="str">
        <x:v>Показатель</x:v>
      </x:c>
      <x:c r="B39" s="23" t="str">
        <x:v>Значение</x:v>
      </x:c>
      <x:c r="C39" s="23" t="str">
        <x:v>Ед. изм.</x:v>
      </x:c>
      <x:c r="D39" s="23" t="str">
        <x:v>Ключ API</x:v>
      </x:c>
      <x:c r="J39" s="289" t="str">
        <x:v>Показатель</x:v>
      </x:c>
      <x:c r="K39" s="289" t="str">
        <x:v>Значение</x:v>
      </x:c>
      <x:c r="L39" s="289" t="str">
        <x:v>Ед. изм.</x:v>
      </x:c>
      <x:c r="M39" s="289" t="str">
        <x:v>Ключ API</x:v>
      </x:c>
    </x:row>
    <x:row r="40">
      <x:c r="A40" t="str">
        <x:v>ИРД и согласования</x:v>
      </x:c>
      <x:c r="B40" s="10" t="n">
        <x:v>1</x:v>
      </x:c>
      <x:c r="C40" t="str">
        <x:v>тыс. ₽/м² ГНС</x:v>
      </x:c>
      <x:c r="D40" t="str">
        <x:v>ird_th_per_sqm</x:v>
      </x:c>
      <x:c r="J40" t="str">
        <x:v>Объект включён</x:v>
      </x:c>
      <x:c r="K40" s="290" t="str">
        <x:v>Нет</x:v>
      </x:c>
      <x:c r="L40" t="str">
        <x:v>Да / Нет</x:v>
      </x:c>
      <x:c r="M40" t="str">
        <x:v>retail_enabled</x:v>
      </x:c>
    </x:row>
    <x:row r="41">
      <x:c r="A41" t="str">
        <x:v>Проектирование, стадия П</x:v>
      </x:c>
      <x:c r="B41" s="11" t="n">
        <x:v>2.5</x:v>
      </x:c>
      <x:c r="C41" t="str">
        <x:v>тыс. ₽/м² ГНС</x:v>
      </x:c>
      <x:c r="D41" t="str">
        <x:v>design_p_th_per_sqm</x:v>
      </x:c>
      <x:c r="J41" t="str">
        <x:v>Очередь финансирования</x:v>
      </x:c>
      <x:c r="K41" s="291" t="n">
        <x:v>1</x:v>
      </x:c>
      <x:c r="L41" t="str">
        <x:v>1–3</x:v>
      </x:c>
      <x:c r="M41" t="str">
        <x:v>retail_queue</x:v>
      </x:c>
    </x:row>
    <x:row r="42">
      <x:c r="A42" t="str">
        <x:v>Проектирование, стадия РД</x:v>
      </x:c>
      <x:c r="B42" s="11" t="n">
        <x:v>2.5</x:v>
      </x:c>
      <x:c r="C42" t="str">
        <x:v>тыс. ₽/м² ГНС</x:v>
      </x:c>
      <x:c r="D42" t="str">
        <x:v>design_rd_th_per_sqm</x:v>
      </x:c>
      <x:c r="J42" t="str">
        <x:v>Пересчитывать по плотности</x:v>
      </x:c>
      <x:c r="K42" s="291" t="str">
        <x:v>Да</x:v>
      </x:c>
      <x:c r="L42" t="str">
        <x:v>Да / Нет</x:v>
      </x:c>
      <x:c r="M42" t="str">
        <x:v>retail_density_linked</x:v>
      </x:c>
    </x:row>
    <x:row r="43">
      <x:c r="A43" t="str">
        <x:v>Подготовительные работы</x:v>
      </x:c>
      <x:c r="B43" s="11" t="n">
        <x:v>1</x:v>
      </x:c>
      <x:c r="C43" t="str">
        <x:v>тыс. ₽/м² ГНС</x:v>
      </x:c>
      <x:c r="D43" t="str">
        <x:v>preparation_th_per_sqm</x:v>
      </x:c>
      <x:c r="J43" t="str">
        <x:v>Базовая общая площадь (GBA)</x:v>
      </x:c>
      <x:c r="K43" s="298" t="n">
        <x:v>0</x:v>
      </x:c>
      <x:c r="L43" t="str">
        <x:v>м²</x:v>
      </x:c>
      <x:c r="M43" t="str">
        <x:v>retail_gba_base_sqm</x:v>
      </x:c>
    </x:row>
    <x:row r="44">
      <x:c r="A44" t="str">
        <x:v>Основное строительство — наземная часть</x:v>
      </x:c>
      <x:c r="B44" s="11" t="n">
        <x:v>190</x:v>
      </x:c>
      <x:c r="C44" t="str">
        <x:v>тыс. ₽/м² ГНС</x:v>
      </x:c>
      <x:c r="D44" t="str">
        <x:v>main_above_th_per_sqm</x:v>
      </x:c>
      <x:c r="J44" t="str">
        <x:v>Базовая продаваемая площадь</x:v>
      </x:c>
      <x:c r="K44" s="299" t="n">
        <x:v>0</x:v>
      </x:c>
      <x:c r="L44" t="str">
        <x:v>м²</x:v>
      </x:c>
      <x:c r="M44" t="str">
        <x:v>retail_saleable_base_sqm</x:v>
      </x:c>
    </x:row>
    <x:row r="45">
      <x:c r="A45" t="str">
        <x:v>Основное строительство — подземная часть</x:v>
      </x:c>
      <x:c r="B45" s="11" t="n">
        <x:v>190</x:v>
      </x:c>
      <x:c r="C45" t="str">
        <x:v>тыс. ₽/м² ГНС</x:v>
      </x:c>
      <x:c r="D45" t="str">
        <x:v>main_under_th_per_sqm</x:v>
      </x:c>
      <x:c r="J45" t="str">
        <x:v>Расчётная общая площадь (GBA)</x:v>
      </x:c>
      <x:c r="K45" s="300" t="n">
        <x:f>IF(K40="Да",K43*IF(K42="Да",$K$15,1),0)</x:f>
      </x:c>
      <x:c r="L45" t="str">
        <x:v>м²</x:v>
      </x:c>
      <x:c r="M45" t="str">
        <x:v>retail_gba_sqm</x:v>
      </x:c>
    </x:row>
    <x:row r="46">
      <x:c r="A46" t="str">
        <x:v>Наружные инженерные сети</x:v>
      </x:c>
      <x:c r="B46" s="11" t="n">
        <x:v>7.5</x:v>
      </x:c>
      <x:c r="C46" t="str">
        <x:v>тыс. ₽/м² ГНС</x:v>
      </x:c>
      <x:c r="D46" t="str">
        <x:v>utilities_th_per_sqm</x:v>
      </x:c>
      <x:c r="J46" t="str">
        <x:v>Расчётная продаваемая площадь</x:v>
      </x:c>
      <x:c r="K46" s="301" t="n">
        <x:f>IF(K40="Да",K44*IF(K42="Да",$K$15,1),0)</x:f>
      </x:c>
      <x:c r="L46" t="str">
        <x:v>м²</x:v>
      </x:c>
      <x:c r="M46" t="str">
        <x:v>retail_saleable_sqm</x:v>
      </x:c>
    </x:row>
    <x:row r="47">
      <x:c r="A47" t="str">
        <x:v>Благоустройство</x:v>
      </x:c>
      <x:c r="B47" s="11" t="n">
        <x:v>5</x:v>
      </x:c>
      <x:c r="C47" t="str">
        <x:v>тыс. ₽/м² ГНС</x:v>
      </x:c>
      <x:c r="D47" t="str">
        <x:v>landscaping_th_per_sqm</x:v>
      </x:c>
      <x:c r="J47" t="str">
        <x:v>Начало строительства</x:v>
      </x:c>
      <x:c r="K47" s="296" t="n">
        <x:v>46935</x:v>
      </x:c>
      <x:c r="L47" t="str">
        <x:v>дата</x:v>
      </x:c>
      <x:c r="M47" t="str">
        <x:v>retail_start</x:v>
      </x:c>
    </x:row>
    <x:row r="48">
      <x:c r="A48" t="str">
        <x:v>Сдача и ввод</x:v>
      </x:c>
      <x:c r="B48" s="11" t="n">
        <x:v>1</x:v>
      </x:c>
      <x:c r="C48" t="str">
        <x:v>тыс. ₽/м² ГНС</x:v>
      </x:c>
      <x:c r="D48" t="str">
        <x:v>commissioning_th_per_sqm</x:v>
      </x:c>
      <x:c r="J48" t="str">
        <x:v>Срок строительства</x:v>
      </x:c>
      <x:c r="K48" s="291" t="n">
        <x:v>24</x:v>
      </x:c>
      <x:c r="L48" t="str">
        <x:v>мес.</x:v>
      </x:c>
      <x:c r="M48" t="str">
        <x:v>retail_months</x:v>
      </x:c>
    </x:row>
    <x:row r="49">
      <x:c r="A49" t="str">
        <x:v>Содержание стройплощадки</x:v>
      </x:c>
      <x:c r="B49" s="11" t="n">
        <x:v>1</x:v>
      </x:c>
      <x:c r="C49" t="str">
        <x:v>тыс. ₽/м² ГНС</x:v>
      </x:c>
      <x:c r="D49" t="str">
        <x:v>site_maintenance_th_per_sqm</x:v>
      </x:c>
      <x:c r="J49" t="str">
        <x:v>Себестоимость строительства</x:v>
      </x:c>
      <x:c r="K49" s="291" t="n">
        <x:v>200</x:v>
      </x:c>
      <x:c r="L49" t="str">
        <x:v>тыс. ₽/м² GBA</x:v>
      </x:c>
      <x:c r="M49" t="str">
        <x:v>retail_cost_th_per_sqm</x:v>
      </x:c>
    </x:row>
    <x:row r="50">
      <x:c r="A50" t="str">
        <x:v>Вознаграждение генподрядчика</x:v>
      </x:c>
      <x:c r="B50" s="69" t="n">
        <x:v>0.07</x:v>
      </x:c>
      <x:c r="C50" t="str">
        <x:v>% СМР</x:v>
      </x:c>
      <x:c r="D50" t="str">
        <x:v>gc_fee_pct</x:v>
      </x:c>
      <x:c r="J50" t="str">
        <x:v>Старт продаж</x:v>
      </x:c>
      <x:c r="K50" s="297" t="n">
        <x:v>46935</x:v>
      </x:c>
      <x:c r="L50" t="str">
        <x:v>дата</x:v>
      </x:c>
      <x:c r="M50" t="str">
        <x:v>retail_sales_start</x:v>
      </x:c>
    </x:row>
    <x:row r="51">
      <x:c r="A51" t="str">
        <x:v>Авторский надзор</x:v>
      </x:c>
      <x:c r="B51" s="69" t="n">
        <x:v>0</x:v>
      </x:c>
      <x:c r="C51" t="str">
        <x:v>% П + РД</x:v>
      </x:c>
      <x:c r="D51" t="str">
        <x:v>author_supervision_pct</x:v>
      </x:c>
      <x:c r="J51" t="str">
        <x:v>Стартовая цена</x:v>
      </x:c>
      <x:c r="K51" s="291" t="n">
        <x:v>500</x:v>
      </x:c>
      <x:c r="L51" t="str">
        <x:v>тыс. ₽/м²</x:v>
      </x:c>
      <x:c r="M51" t="str">
        <x:v>retail_price_th_per_sqm</x:v>
      </x:c>
    </x:row>
    <x:row r="52">
      <x:c r="A52" t="str">
        <x:v>Управление проектом</x:v>
      </x:c>
      <x:c r="B52" s="69" t="n">
        <x:v>0.05</x:v>
      </x:c>
      <x:c r="C52" t="str">
        <x:v>% прямых затрат</x:v>
      </x:c>
      <x:c r="D52" t="str">
        <x:v>project_management_pct</x:v>
      </x:c>
      <x:c r="J52" t="str">
        <x:v>Доля продаж до РВЭ</x:v>
      </x:c>
      <x:c r="K52" s="272" t="n">
        <x:v>0.85</x:v>
      </x:c>
      <x:c r="L52" t="str">
        <x:v>%</x:v>
      </x:c>
      <x:c r="M52" t="str">
        <x:v>retail_share_before_rve_pct</x:v>
      </x:c>
    </x:row>
    <x:row r="53">
      <x:c r="A53" t="str">
        <x:v>Техзаказчик / стройконтроль</x:v>
      </x:c>
      <x:c r="B53" s="69" t="n">
        <x:v>0.05</x:v>
      </x:c>
      <x:c r="C53" t="str">
        <x:v>% СМР</x:v>
      </x:c>
      <x:c r="D53" t="str">
        <x:v>technical_supervision_pct</x:v>
      </x:c>
      <x:c r="J53" t="str">
        <x:v>Общий срок продаж</x:v>
      </x:c>
      <x:c r="K53" s="291" t="n">
        <x:v>30</x:v>
      </x:c>
      <x:c r="L53" t="str">
        <x:v>мес.</x:v>
      </x:c>
      <x:c r="M53" t="str">
        <x:v>retail_sales_term_months</x:v>
      </x:c>
    </x:row>
    <x:row r="54">
      <x:c r="A54" t="str">
        <x:v>Резерв</x:v>
      </x:c>
      <x:c r="B54" s="75" t="n">
        <x:v>0.05</x:v>
      </x:c>
      <x:c r="C54" t="str">
        <x:v>%</x:v>
      </x:c>
      <x:c r="D54" t="str">
        <x:v>reserve_pct</x:v>
      </x:c>
      <x:c r="J54" t="str">
        <x:v>Рост цены до РВЭ</x:v>
      </x:c>
      <x:c r="K54" s="272" t="n">
        <x:v>0.015</x:v>
      </x:c>
      <x:c r="L54" t="str">
        <x:v>%/мес.</x:v>
      </x:c>
      <x:c r="M54" t="str">
        <x:v>retail_growth_pre_pct</x:v>
      </x:c>
    </x:row>
    <x:row r="55">
      <x:c r="J55" t="str">
        <x:v>Рост цены после РВЭ</x:v>
      </x:c>
      <x:c r="K55" s="275" t="n">
        <x:v>0.0025</x:v>
      </x:c>
      <x:c r="L55" t="str">
        <x:v>%/мес.</x:v>
      </x:c>
      <x:c r="M55" t="str">
        <x:v>retail_growth_post_pct</x:v>
      </x:c>
    </x:row>
    <x:row r="57" ht="21" customHeight="1">
      <x:c r="A57" s="52" t="str">
        <x:v>ПРОДАЖИ</x:v>
      </x:c>
      <x:c r="B57" s="53" t="str">
        <x:v>ПРОДАЖИ</x:v>
      </x:c>
      <x:c r="C57" s="53" t="str">
        <x:v>ПРОДАЖИ</x:v>
      </x:c>
      <x:c r="D57" s="54" t="str">
        <x:v>ПРОДАЖИ</x:v>
      </x:c>
    </x:row>
    <x:row r="58" ht="21" customHeight="1">
      <x:c r="A58" s="23" t="str">
        <x:v>Показатель</x:v>
      </x:c>
      <x:c r="B58" s="23" t="str">
        <x:v>Значение</x:v>
      </x:c>
      <x:c r="C58" s="23" t="str">
        <x:v>Ед. изм.</x:v>
      </x:c>
      <x:c r="D58" s="23" t="str">
        <x:v>Ключ API</x:v>
      </x:c>
      <x:c r="J58" s="281" t="str">
        <x:v>НАЗЕМНЫЙ МНОГОЭТАЖНЫЙ ПАРКИНГ</x:v>
      </x:c>
      <x:c r="K58" s="282" t="str">
        <x:v>НАЗЕМНЫЙ МНОГОЭТАЖНЫЙ ПАРКИНГ</x:v>
      </x:c>
      <x:c r="L58" s="282" t="str">
        <x:v>НАЗЕМНЫЙ МНОГОЭТАЖНЫЙ ПАРКИНГ</x:v>
      </x:c>
      <x:c r="M58" s="283" t="str">
        <x:v>НАЗЕМНЫЙ МНОГОЭТАЖНЫЙ ПАРКИНГ</x:v>
      </x:c>
    </x:row>
    <x:row r="59">
      <x:c r="A59" t="str">
        <x:v>Стартовая цена квартир</x:v>
      </x:c>
      <x:c r="B59" s="10" t="n">
        <x:v>650</x:v>
      </x:c>
      <x:c r="C59" t="str">
        <x:v>тыс. ₽/м²</x:v>
      </x:c>
      <x:c r="D59" t="str">
        <x:v>apartment_price_th</x:v>
      </x:c>
      <x:c r="J59" s="289" t="str">
        <x:v>Показатель</x:v>
      </x:c>
      <x:c r="K59" s="289" t="str">
        <x:v>Значение</x:v>
      </x:c>
      <x:c r="L59" s="289" t="str">
        <x:v>Ед. изм.</x:v>
      </x:c>
      <x:c r="M59" s="289" t="str">
        <x:v>Ключ API</x:v>
      </x:c>
    </x:row>
    <x:row r="60">
      <x:c r="A60" t="str">
        <x:v>Стартовая цена коммерции 1 этажа</x:v>
      </x:c>
      <x:c r="B60" s="11" t="n">
        <x:v>650</x:v>
      </x:c>
      <x:c r="C60" t="str">
        <x:v>тыс. ₽/м²</x:v>
      </x:c>
      <x:c r="D60" t="str">
        <x:v>commercial_price_th</x:v>
      </x:c>
      <x:c r="J60" t="str">
        <x:v>Объект включён</x:v>
      </x:c>
      <x:c r="K60" s="290" t="str">
        <x:v>Нет</x:v>
      </x:c>
      <x:c r="L60" t="str">
        <x:v>Да / Нет</x:v>
      </x:c>
      <x:c r="M60" t="str">
        <x:v>above_parking_enabled</x:v>
      </x:c>
    </x:row>
    <x:row r="61">
      <x:c r="A61" t="str">
        <x:v>Цена подземного машино-места</x:v>
      </x:c>
      <x:c r="B61" s="11" t="n">
        <x:v>5000</x:v>
      </x:c>
      <x:c r="C61" t="str">
        <x:v>тыс. ₽/шт.</x:v>
      </x:c>
      <x:c r="D61" t="str">
        <x:v>parking_price_th</x:v>
      </x:c>
      <x:c r="J61" t="str">
        <x:v>Очередь финансирования</x:v>
      </x:c>
      <x:c r="K61" s="291" t="n">
        <x:v>1</x:v>
      </x:c>
      <x:c r="L61" t="str">
        <x:v>1–3</x:v>
      </x:c>
      <x:c r="M61" t="str">
        <x:v>above_parking_queue</x:v>
      </x:c>
    </x:row>
    <x:row r="62">
      <x:c r="A62" t="str">
        <x:v>Цена кладовой</x:v>
      </x:c>
      <x:c r="B62" s="11" t="n">
        <x:v>1000</x:v>
      </x:c>
      <x:c r="C62" t="str">
        <x:v>тыс. ₽/шт.</x:v>
      </x:c>
      <x:c r="D62" t="str">
        <x:v>storage_price_th</x:v>
      </x:c>
      <x:c r="J62" t="str">
        <x:v>Пересчитывать по плотности</x:v>
      </x:c>
      <x:c r="K62" s="291" t="str">
        <x:v>Да</x:v>
      </x:c>
      <x:c r="L62" t="str">
        <x:v>Да / Нет</x:v>
      </x:c>
      <x:c r="M62" t="str">
        <x:v>above_parking_density_linked</x:v>
      </x:c>
    </x:row>
    <x:row r="63">
      <x:c r="A63" t="str">
        <x:v>Доля продаж до РВЭ</x:v>
      </x:c>
      <x:c r="B63" s="69" t="n">
        <x:v>0.85</x:v>
      </x:c>
      <x:c r="C63" t="str">
        <x:v>%</x:v>
      </x:c>
      <x:c r="D63" t="str">
        <x:v>share_before_rve_pct</x:v>
      </x:c>
      <x:c r="J63" t="str">
        <x:v>Базовое количество машино-мест</x:v>
      </x:c>
      <x:c r="K63" s="298" t="n">
        <x:v>0</x:v>
      </x:c>
      <x:c r="L63" t="str">
        <x:v>шт.</x:v>
      </x:c>
      <x:c r="M63" t="str">
        <x:v>above_parking_spaces_base</x:v>
      </x:c>
    </x:row>
    <x:row r="64">
      <x:c r="A64" t="str">
        <x:v>Ежемесячный рост цены до РВЭ</x:v>
      </x:c>
      <x:c r="B64" s="69" t="n">
        <x:v>0.015</x:v>
      </x:c>
      <x:c r="C64" t="str">
        <x:v>%/мес.</x:v>
      </x:c>
      <x:c r="D64" t="str">
        <x:v>monthly_growth_pre_pct</x:v>
      </x:c>
      <x:c r="J64" t="str">
        <x:v>Площадь на одно место для ТЭП</x:v>
      </x:c>
      <x:c r="K64" s="299" t="n">
        <x:v>25</x:v>
      </x:c>
      <x:c r="L64" t="str">
        <x:v>м²/место</x:v>
      </x:c>
      <x:c r="M64" t="str">
        <x:v>above_parking_area_per_space_sqm</x:v>
      </x:c>
    </x:row>
    <x:row r="65">
      <x:c r="A65" t="str">
        <x:v>Ежемесячный рост цены после РВЭ</x:v>
      </x:c>
      <x:c r="B65" s="69" t="n">
        <x:v>0.0025</x:v>
      </x:c>
      <x:c r="C65" t="str">
        <x:v>%/мес.</x:v>
      </x:c>
      <x:c r="D65" t="str">
        <x:v>monthly_growth_post_pct</x:v>
      </x:c>
      <x:c r="J65" t="str">
        <x:v>Расчётное количество машино-мест</x:v>
      </x:c>
      <x:c r="K65" s="300" t="n">
        <x:f>IF(K60="Да",K63*IF(K62="Да",$K$15,1),0)</x:f>
      </x:c>
      <x:c r="L65" t="str">
        <x:v>шт.</x:v>
      </x:c>
      <x:c r="M65" t="str">
        <x:v>above_parking_spaces</x:v>
      </x:c>
    </x:row>
    <x:row r="66">
      <x:c r="A66" t="str">
        <x:v>Тренд темпа продаж</x:v>
      </x:c>
      <x:c r="B66" s="69" t="n">
        <x:v>0.01</x:v>
      </x:c>
      <x:c r="C66" t="str">
        <x:v>%/мес.</x:v>
      </x:c>
      <x:c r="D66" t="str">
        <x:v>pace_trend_pct</x:v>
      </x:c>
      <x:c r="J66" t="str">
        <x:v>Расчётная общая площадь (GBA)</x:v>
      </x:c>
      <x:c r="K66" s="301" t="n">
        <x:f>K65*K64</x:f>
      </x:c>
      <x:c r="L66" t="str">
        <x:v>м²</x:v>
      </x:c>
      <x:c r="M66" t="str">
        <x:v>above_parking_gba_sqm</x:v>
      </x:c>
    </x:row>
    <x:row r="67">
      <x:c r="A67" t="str">
        <x:v>Сезонное снижение темпа (январь)</x:v>
      </x:c>
      <x:c r="B67" s="273" t="n">
        <x:v>-0.15</x:v>
      </x:c>
      <x:c r="C67" t="str">
        <x:v>%</x:v>
      </x:c>
      <x:c r="D67" t="str">
        <x:v>seasonality_january_pct</x:v>
      </x:c>
      <x:c r="J67" t="str">
        <x:v>Себестоимость одного места</x:v>
      </x:c>
      <x:c r="K67" s="290" t="n">
        <x:v>1</x:v>
      </x:c>
      <x:c r="L67" t="str">
        <x:v>млн ₽/место</x:v>
      </x:c>
      <x:c r="M67" t="str">
        <x:v>above_parking_cost_mln_per_space</x:v>
      </x:c>
    </x:row>
    <x:row r="68">
      <x:c r="A68" t="str">
        <x:v>Лаг старта продаж после РнС</x:v>
      </x:c>
      <x:c r="B68" s="11" t="n">
        <x:v>0</x:v>
      </x:c>
      <x:c r="C68" t="str">
        <x:v>мес.</x:v>
      </x:c>
      <x:c r="D68" t="str">
        <x:v>sales_lag_months</x:v>
      </x:c>
      <x:c r="J68" t="str">
        <x:v>Начало строительства</x:v>
      </x:c>
      <x:c r="K68" s="297" t="n">
        <x:v>46935</x:v>
      </x:c>
      <x:c r="L68" t="str">
        <x:v>дата</x:v>
      </x:c>
      <x:c r="M68" t="str">
        <x:v>above_parking_start</x:v>
      </x:c>
    </x:row>
    <x:row r="69">
      <x:c r="A69" t="inlineStr">
        <x:is>
          <x:t>Остаточные продажи после РВЭ, мес.</x:t>
        </x:is>
      </x:c>
      <x:c r="B69" s="270" t="n">
        <x:v>6</x:v>
      </x:c>
      <x:c r="C69" t="str">
        <x:v>мес.</x:v>
      </x:c>
      <x:c r="D69" t="str">
        <x:v>sales_term_default_months</x:v>
      </x:c>
      <x:c r="J69" t="str">
        <x:v>Срок строительства</x:v>
      </x:c>
      <x:c r="K69" s="291" t="n">
        <x:v>18</x:v>
      </x:c>
      <x:c r="L69" t="str">
        <x:v>мес.</x:v>
      </x:c>
      <x:c r="M69" t="str">
        <x:v>above_parking_months</x:v>
      </x:c>
    </x:row>
    <x:row r="70">
      <x:c r="A70" t="str">
        <x:v>Сезонное снижение темпа (май–август)</x:v>
      </x:c>
      <x:c r="B70" s="275" t="n">
        <x:v>-0.15</x:v>
      </x:c>
      <x:c r="C70" t="str">
        <x:v>%</x:v>
      </x:c>
      <x:c r="D70" t="str">
        <x:v>seasonality_may_aug_pct</x:v>
      </x:c>
      <x:c r="J70" t="str">
        <x:v>Старт продаж</x:v>
      </x:c>
      <x:c r="K70" s="297" t="n">
        <x:v>46935</x:v>
      </x:c>
      <x:c r="L70" t="str">
        <x:v>дата</x:v>
      </x:c>
      <x:c r="M70" t="str">
        <x:v>above_parking_sales_start</x:v>
      </x:c>
    </x:row>
    <x:row r="71">
      <x:c r="J71" t="str">
        <x:v>Стартовая цена места</x:v>
      </x:c>
      <x:c r="K71" s="291" t="n">
        <x:v>2</x:v>
      </x:c>
      <x:c r="L71" t="str">
        <x:v>млн ₽/место</x:v>
      </x:c>
      <x:c r="M71" t="str">
        <x:v>above_parking_price_mln_per_space</x:v>
      </x:c>
    </x:row>
    <x:row r="72" ht="21" customHeight="1">
      <x:c r="A72" s="52" t="str">
        <x:v>УСЛОВИЯ ПЛАТЫ ЗА ВРИ</x:v>
      </x:c>
      <x:c r="B72" s="53" t="str">
        <x:v>УСЛОВИЯ ПЛАТЫ ЗА ВРИ</x:v>
      </x:c>
      <x:c r="C72" s="53" t="str">
        <x:v>УСЛОВИЯ ПЛАТЫ ЗА ВРИ</x:v>
      </x:c>
      <x:c r="D72" s="54" t="str">
        <x:v>УСЛОВИЯ ПЛАТЫ ЗА ВРИ</x:v>
      </x:c>
      <x:c r="J72" t="str">
        <x:v>Доля продаж до РВЭ</x:v>
      </x:c>
      <x:c r="K72" s="272" t="n">
        <x:v>0.85</x:v>
      </x:c>
      <x:c r="L72" t="str">
        <x:v>%</x:v>
      </x:c>
      <x:c r="M72" t="str">
        <x:v>above_parking_share_before_rve_pct</x:v>
      </x:c>
    </x:row>
    <x:row r="73">
      <x:c r="A73" s="23" t="str">
        <x:v>Показатель</x:v>
      </x:c>
      <x:c r="B73" s="23" t="str">
        <x:v>Значение</x:v>
      </x:c>
      <x:c r="C73" s="23" t="str">
        <x:v>Ед. изм.</x:v>
      </x:c>
      <x:c r="D73" s="23" t="str">
        <x:v>Ключ API</x:v>
      </x:c>
      <x:c r="J73" t="str">
        <x:v>Общий срок продаж</x:v>
      </x:c>
      <x:c r="K73" s="291" t="n">
        <x:v>24</x:v>
      </x:c>
      <x:c r="L73" t="str">
        <x:v>мес.</x:v>
      </x:c>
      <x:c r="M73" t="str">
        <x:v>above_parking_sales_term_months</x:v>
      </x:c>
    </x:row>
    <x:row r="74">
      <x:c r="A74" t="str">
        <x:v>Требуется изменение ВРИ</x:v>
      </x:c>
      <x:c r="B74" s="10" t="str">
        <x:v>Да</x:v>
      </x:c>
      <x:c r="C74" t="str">
        <x:v>Да / Нет</x:v>
      </x:c>
      <x:c r="D74" t="str">
        <x:v>vri_required</x:v>
      </x:c>
      <x:c r="J74" t="str">
        <x:v>Рост цены до РВЭ</x:v>
      </x:c>
      <x:c r="K74" s="272" t="n">
        <x:v>0.0075</x:v>
      </x:c>
      <x:c r="L74" t="str">
        <x:v>%/мес.</x:v>
      </x:c>
      <x:c r="M74" t="str">
        <x:v>above_parking_growth_pre_pct</x:v>
      </x:c>
    </x:row>
    <x:row r="75">
      <x:c r="A75" t="str">
        <x:v>График оплаты ВРИ</x:v>
      </x:c>
      <x:c r="B75" s="11" t="str">
        <x:v>Единовременно</x:v>
      </x:c>
      <x:c r="C75" t="str">
        <x:v>режим</x:v>
      </x:c>
      <x:c r="D75" t="str">
        <x:v>vri_payment_mode</x:v>
      </x:c>
      <x:c r="J75" t="str">
        <x:v>Рост цены после РВЭ</x:v>
      </x:c>
      <x:c r="K75" s="275" t="n">
        <x:v>0.002</x:v>
      </x:c>
      <x:c r="L75" t="str">
        <x:v>%/мес.</x:v>
      </x:c>
      <x:c r="M75" t="str">
        <x:v>above_parking_growth_post_pct</x:v>
      </x:c>
    </x:row>
    <x:row r="76">
      <x:c r="A76" t="str">
        <x:v>Обязательство до РнС</x:v>
      </x:c>
      <x:c r="B76" s="11" t="n">
        <x:v>1</x:v>
      </x:c>
      <x:c r="C76" t="str">
        <x:v>мес.</x:v>
      </x:c>
      <x:c r="D76" t="str">
        <x:v>vri_obligation_lead_months</x:v>
      </x:c>
    </x:row>
    <x:row r="77">
      <x:c r="A77" t="str">
        <x:v>Срок рассрочки</x:v>
      </x:c>
      <x:c r="B77" s="78" t="n">
        <x:f>IF(B75="1 год",1,IF(B75="2 года",2,IF(B75="3 года",3,IF(B75="4 года",4,IF(B75="5 лет",5,IF(B75="6 лет",6,0))))))</x:f>
      </x:c>
      <x:c r="C77" t="str">
        <x:v>лет</x:v>
      </x:c>
      <x:c r="D77" t="str">
        <x:v>vri_installment_years</x:v>
      </x:c>
    </x:row>
    <x:row r="78" ht="21" customHeight="1">
      <x:c r="A78" t="str">
        <x:v>Периодичность платежей</x:v>
      </x:c>
      <x:c r="B78" s="79" t="n">
        <x:v>3</x:v>
      </x:c>
      <x:c r="C78" t="str">
        <x:v>мес.</x:v>
      </x:c>
      <x:c r="D78" t="str">
        <x:v>vri_periodicity_months</x:v>
      </x:c>
      <x:c r="J78" s="281" t="str">
        <x:v>ПАРКИНГ И КЛАДОВЫЕ · ПЕРЕСЧЁТ ПО ПЛОТНОСТИ</x:v>
      </x:c>
      <x:c r="K78" s="282" t="str">
        <x:v>ПАРКИНГ И КЛАДОВЫЕ · ПЕРЕСЧЁТ ПО ПЛОТНОСТИ</x:v>
      </x:c>
      <x:c r="L78" s="282" t="str">
        <x:v>ПАРКИНГ И КЛАДОВЫЕ · ПЕРЕСЧЁТ ПО ПЛОТНОСТИ</x:v>
      </x:c>
      <x:c r="M78" s="283" t="str">
        <x:v>ПАРКИНГ И КЛАДОВЫЕ · ПЕРЕСЧЁТ ПО ПЛОТНОСТИ</x:v>
      </x:c>
    </x:row>
    <x:row r="79">
      <x:c r="A79" t="str">
        <x:v>Количество платежей</x:v>
      </x:c>
      <x:c r="B79" s="80" t="n">
        <x:f>IF(B75="Единовременно",1,B77*12/B78)</x:f>
      </x:c>
      <x:c r="C79" t="str">
        <x:v>шт.</x:v>
      </x:c>
      <x:c r="D79" t="str">
        <x:v>vri_payment_count</x:v>
      </x:c>
      <x:c r="J79" s="289" t="str">
        <x:v>Показатель</x:v>
      </x:c>
      <x:c r="K79" s="289" t="str">
        <x:v>Значение</x:v>
      </x:c>
      <x:c r="L79" s="289" t="str">
        <x:v>Ед. изм.</x:v>
      </x:c>
      <x:c r="M79" s="289" t="str">
        <x:v>Ключ API</x:v>
      </x:c>
    </x:row>
    <x:row r="80">
      <x:c r="A80" t="str">
        <x:v>Проценты на остаток</x:v>
      </x:c>
      <x:c r="B80" s="11" t="str">
        <x:v>Да</x:v>
      </x:c>
      <x:c r="C80" t="str">
        <x:v>Да / Нет</x:v>
      </x:c>
      <x:c r="D80" t="str">
        <x:v>vri_interest_enabled</x:v>
      </x:c>
      <x:c r="J80" t="str">
        <x:v>Подземный паркинг</x:v>
      </x:c>
      <x:c r="K80" s="290" t="str">
        <x:v>Да</x:v>
      </x:c>
      <x:c r="L80" t="str">
        <x:v>Да / Нет</x:v>
      </x:c>
      <x:c r="M80" t="str">
        <x:v>underground_parking_density_linked</x:v>
      </x:c>
    </x:row>
    <x:row r="81">
      <x:c r="A81" t="str">
        <x:v>Спред к ключевой ставке</x:v>
      </x:c>
      <x:c r="B81" s="69" t="n">
        <x:v>0.03</x:v>
      </x:c>
      <x:c r="C81" t="str">
        <x:v>п.п.</x:v>
      </x:c>
      <x:c r="D81" t="str">
        <x:v>vri_interest_spread_pp</x:v>
      </x:c>
      <x:c r="J81" t="str">
        <x:v>Кладовые</x:v>
      </x:c>
      <x:c r="K81" s="274" t="str">
        <x:v>Да</x:v>
      </x:c>
      <x:c r="L81" t="str">
        <x:v>Да / Нет</x:v>
      </x:c>
      <x:c r="M81" t="str">
        <x:v>storage_density_linked</x:v>
      </x:c>
    </x:row>
    <x:row r="82">
      <x:c r="A82" t="str">
        <x:v>Льгота — сумма</x:v>
      </x:c>
      <x:c r="B82" s="73" t="n">
        <x:v>0</x:v>
      </x:c>
      <x:c r="C82" t="str">
        <x:v>млн ₽</x:v>
      </x:c>
      <x:c r="D82" t="str">
        <x:v>vri_relief_mln</x:v>
      </x:c>
    </x:row>
    <x:row r="83">
      <x:c r="A83" t="str">
        <x:v>Обеспечение обязательства</x:v>
      </x:c>
      <x:c r="B83" s="73" t="n">
        <x:v>0</x:v>
      </x:c>
      <x:c r="C83" t="str">
        <x:v>млн ₽</x:v>
      </x:c>
      <x:c r="D83" t="str">
        <x:v>vri_security_cost_mln</x:v>
      </x:c>
    </x:row>
    <x:row r="84">
      <x:c r="A84" t="str">
        <x:v>Досрочное погашение при открытии ПФ</x:v>
      </x:c>
      <x:c r="B84" s="12" t="str">
        <x:v>Нет</x:v>
      </x:c>
      <x:c r="C84" t="str">
        <x:v>Да / Нет</x:v>
      </x:c>
      <x:c r="D84" t="str">
        <x:v>vri_early_repay_after_pf</x:v>
      </x:c>
    </x:row>
    <x:row r="86" ht="21" customHeight="1">
      <x:c r="A86" s="302" t="str">
        <x:v>ОЧЕРЕДИ ПРОЕКТА</x:v>
      </x:c>
      <x:c r="B86" s="303" t="str">
        <x:v>ОЧЕРЕДИ ПРОЕКТА</x:v>
      </x:c>
      <x:c r="C86" s="303" t="str">
        <x:v>ОЧЕРЕДИ ПРОЕКТА</x:v>
      </x:c>
      <x:c r="D86" s="303" t="str">
        <x:v>ОЧЕРЕДИ ПРОЕКТА</x:v>
      </x:c>
      <x:c r="E86" s="303" t="str">
        <x:v>ОЧЕРЕДИ ПРОЕКТА</x:v>
      </x:c>
      <x:c r="F86" s="303" t="str">
        <x:v>ОЧЕРЕДИ ПРОЕКТА</x:v>
      </x:c>
      <x:c r="G86" s="303" t="str">
        <x:v>ОЧЕРЕДИ ПРОЕКТА</x:v>
      </x:c>
      <x:c r="H86" s="303" t="str">
        <x:v>ОЧЕРЕДИ ПРОЕКТА</x:v>
      </x:c>
      <x:c r="I86" s="303" t="str">
        <x:v>ОЧЕРЕДИ ПРОЕКТА</x:v>
      </x:c>
      <x:c r="J86" s="303" t="str">
        <x:v>ОЧЕРЕДИ ПРОЕКТА</x:v>
      </x:c>
      <x:c r="K86" s="303" t="str">
        <x:v>ОЧЕРЕДИ ПРОЕКТА</x:v>
      </x:c>
      <x:c r="L86" s="303" t="str">
        <x:v>ОЧЕРЕДИ ПРОЕКТА</x:v>
      </x:c>
      <x:c r="M86" s="303" t="str">
        <x:v>ОЧЕРЕДИ ПРОЕКТА</x:v>
      </x:c>
      <x:c r="N86" s="303" t="str">
        <x:v>ОЧЕРЕДИ ПРОЕКТА</x:v>
      </x:c>
      <x:c r="O86" s="303" t="str">
        <x:v>ОЧЕРЕДИ ПРОЕКТА</x:v>
      </x:c>
      <x:c r="P86" s="303" t="str">
        <x:v>ОЧЕРЕДИ ПРОЕКТА</x:v>
      </x:c>
      <x:c r="Q86" s="303" t="str">
        <x:v>ОЧЕРЕДИ ПРОЕКТА</x:v>
      </x:c>
      <x:c r="R86" s="303" t="str">
        <x:v>ОЧЕРЕДИ ПРОЕКТА</x:v>
      </x:c>
      <x:c r="S86" s="303" t="str">
        <x:v>ОЧЕРЕДИ ПРОЕКТА</x:v>
      </x:c>
      <x:c r="T86" s="303" t="str">
        <x:v>ОЧЕРЕДИ ПРОЕКТА</x:v>
      </x:c>
      <x:c r="U86" s="303" t="str">
        <x:v>ОЧЕРЕДИ ПРОЕКТА</x:v>
      </x:c>
      <x:c r="V86" s="303" t="str">
        <x:v>ОЧЕРЕДИ ПРОЕКТА</x:v>
      </x:c>
      <x:c r="W86" s="303" t="str">
        <x:v>ОЧЕРЕДИ ПРОЕКТА</x:v>
      </x:c>
      <x:c r="X86" s="303" t="str">
        <x:v>ОЧЕРЕДИ ПРОЕКТА</x:v>
      </x:c>
      <x:c r="Y86" s="303" t="str">
        <x:v>ОЧЕРЕДИ ПРОЕКТА</x:v>
      </x:c>
      <x:c r="Z86" s="303" t="str">
        <x:v>ОЧЕРЕДИ ПРОЕКТА</x:v>
      </x:c>
      <x:c r="AA86" s="303" t="str">
        <x:v>ОЧЕРЕДИ ПРОЕКТА</x:v>
      </x:c>
      <x:c r="AB86" s="303" t="str">
        <x:v>ОЧЕРЕДИ ПРОЕКТА</x:v>
      </x:c>
      <x:c r="AC86" s="304" t="str">
        <x:v>ОЧЕРЕДИ ПРОЕКТА</x:v>
      </x:c>
      <x:c r="AD86" s="282" t="str">
        <x:v>ОЧЕРЕДИ ПРОЕКТА</x:v>
      </x:c>
      <x:c r="AE86" s="282" t="str">
        <x:v>ОЧЕРЕДИ ПРОЕКТА</x:v>
      </x:c>
      <x:c r="AF86" s="282" t="str">
        <x:v>ОЧЕРЕДИ ПРОЕКТА</x:v>
      </x:c>
      <x:c r="AG86" s="282" t="str">
        <x:v>ОЧЕРЕДИ ПРОЕКТА</x:v>
      </x:c>
      <x:c r="AH86" s="283" t="str">
        <x:v>ОЧЕРЕДИ ПРОЕКТА</x:v>
      </x:c>
    </x:row>
    <x:row r="87">
      <x:c r="A87" s="23" t="str">
        <x:v>ID</x:v>
      </x:c>
      <x:c r="B87" s="23" t="str">
        <x:v>Вкл.</x:v>
      </x:c>
      <x:c r="C87" s="23" t="str">
        <x:v>Наименование</x:v>
      </x:c>
      <x:c r="D87" s="23" t="str">
        <x:v>Старт</x:v>
      </x:c>
      <x:c r="E87" s="23" t="str">
        <x:v>ИРД, мес.</x:v>
      </x:c>
      <x:c r="F87" s="23" t="str">
        <x:v>Стройка, мес.</x:v>
      </x:c>
      <x:c r="G87" s="23" t="str">
        <x:v>Лаг продаж</x:v>
      </x:c>
      <x:c r="H87" s="23" t="str">
        <x:v>Срок продаж, мес.</x:v>
      </x:c>
      <x:c r="I87" s="23" t="str">
        <x:v>ГНС квартир</x:v>
      </x:c>
      <x:c r="J87" s="23" t="str">
        <x:v>ГНС коммерции</x:v>
      </x:c>
      <x:c r="K87" s="23" t="str">
        <x:v>ГНС подземная</x:v>
      </x:c>
      <x:c r="L87" s="23" t="str">
        <x:v>Прод. квартир</x:v>
      </x:c>
      <x:c r="M87" s="23" t="str">
        <x:v>Прод. коммерции</x:v>
      </x:c>
      <x:c r="N87" s="23" t="str">
        <x:v>Паркинг, шт.</x:v>
      </x:c>
      <x:c r="O87" s="23" t="str">
        <x:v>Кладовые, шт.</x:v>
      </x:c>
      <x:c r="P87" s="23" t="str">
        <x:v>Доля покупки</x:v>
      </x:c>
      <x:c r="Q87" s="23" t="str">
        <x:v>Доля ВРИ</x:v>
      </x:c>
      <x:c r="R87" s="23" t="str">
        <x:v>Доля соцнагрузки</x:v>
      </x:c>
      <x:c r="S87" s="23" t="str">
        <x:v>Множ. цены</x:v>
      </x:c>
      <x:c r="T87" s="23" t="str">
        <x:v>Множ. затрат</x:v>
      </x:c>
      <x:c r="U87" s="23" t="str">
        <x:v>Доля лимита БРИДЖ</x:v>
      </x:c>
      <x:c r="V87" s="23" t="str">
        <x:v>Доля лимита ПФ</x:v>
      </x:c>
      <x:c r="W87" s="23" t="str">
        <x:v>База ГНС квартир</x:v>
      </x:c>
      <x:c r="X87" s="23" t="str">
        <x:v>База ГНС коммерции</x:v>
      </x:c>
      <x:c r="Y87" s="23" t="str">
        <x:v>База ГНС подземная</x:v>
      </x:c>
      <x:c r="Z87" s="23" t="str">
        <x:v>База прод. квартир</x:v>
      </x:c>
      <x:c r="AA87" s="23" t="str">
        <x:v>База прод. коммерции</x:v>
      </x:c>
      <x:c r="AB87" s="23" t="str">
        <x:v>База паркинга</x:v>
      </x:c>
      <x:c r="AC87" s="23" t="str">
        <x:v>База кладовых</x:v>
      </x:c>
      <x:c r="AD87" s="289" t="str">
        <x:v>Тренд темпа продаж, %/мес.</x:v>
      </x:c>
      <x:c r="AE87" s="289" t="str">
        <x:v>Инфляция цены, %/год</x:v>
      </x:c>
      <x:c r="AF87" s="289" t="str">
        <x:v>Инфляция затрат, %/год</x:v>
      </x:c>
      <x:c r="AG87" s="289" t="str">
        <x:v>Коэфф. цены к старту</x:v>
      </x:c>
      <x:c r="AH87" s="289" t="str">
        <x:v>Коэфф. затрат к старту</x:v>
      </x:c>
    </x:row>
    <x:row r="88">
      <x:c r="A88" s="89" t="n">
        <x:v>1</x:v>
      </x:c>
      <x:c r="B88" s="24" t="str">
        <x:v>Да</x:v>
      </x:c>
      <x:c r="C88" s="25" t="str">
        <x:v>Очередь 1</x:v>
      </x:c>
      <x:c r="D88" s="84" t="n">
        <x:v>46388</x:v>
      </x:c>
      <x:c r="E88" s="25" t="n">
        <x:v>18</x:v>
      </x:c>
      <x:c r="F88" s="25" t="n">
        <x:v>24</x:v>
      </x:c>
      <x:c r="G88" s="25" t="n">
        <x:v>0</x:v>
      </x:c>
      <x:c r="H88" s="290" t="n">
        <x:f>MAX(1,F88-G88+$B$69)</x:f>
      </x:c>
      <x:c r="I88" s="83" t="n">
        <x:f>ROUND(W88*$K$15,0)</x:f>
      </x:c>
      <x:c r="J88" s="83" t="n">
        <x:f>ROUND(X88*$K$15,0)</x:f>
      </x:c>
      <x:c r="K88" s="83" t="n">
        <x:f>ROUND(Y88*IF($K$80="Да",$K$15,1),0)</x:f>
      </x:c>
      <x:c r="L88" s="83" t="n">
        <x:f>ROUND(Z88*$K$15,0)</x:f>
      </x:c>
      <x:c r="M88" s="83" t="n">
        <x:f>ROUND(AA88*$K$15,0)</x:f>
      </x:c>
      <x:c r="N88" s="83" t="n">
        <x:f>ROUND(AB88*IF($K$80="Да",$K$15,1),0)</x:f>
      </x:c>
      <x:c r="O88" s="83" t="n">
        <x:f>ROUND(AC88*IF($K$81="Да",$K$15,1),0)</x:f>
      </x:c>
      <x:c r="P88" s="32" t="n">
        <x:v>1</x:v>
      </x:c>
      <x:c r="Q88" s="33" t="n">
        <x:v>1</x:v>
      </x:c>
      <x:c r="R88" s="33" t="n">
        <x:v>1</x:v>
      </x:c>
      <x:c r="S88" s="33" t="n">
        <x:v>1</x:v>
      </x:c>
      <x:c r="T88" s="33" t="n">
        <x:v>1</x:v>
      </x:c>
      <x:c r="U88" s="33" t="n">
        <x:v>1</x:v>
      </x:c>
      <x:c r="V88" s="33" t="n">
        <x:v>1</x:v>
      </x:c>
      <x:c r="W88" s="25" t="n">
        <x:v>21415</x:v>
      </x:c>
      <x:c r="X88" s="25" t="n">
        <x:v>1367</x:v>
      </x:c>
      <x:c r="Y88" s="25" t="n">
        <x:v>3185</x:v>
      </x:c>
      <x:c r="Z88" s="25" t="n">
        <x:v>13920</x:v>
      </x:c>
      <x:c r="AA88" s="25" t="n">
        <x:v>1230</x:v>
      </x:c>
      <x:c r="AB88" s="25" t="n">
        <x:v>91</x:v>
      </x:c>
      <x:c r="AC88" s="26" t="n">
        <x:v>0</x:v>
      </x:c>
      <x:c r="AD88" s="320" t="n">
        <x:v>0.01</x:v>
      </x:c>
      <x:c r="AE88" s="321" t="n">
        <x:v>0</x:v>
      </x:c>
      <x:c r="AF88" s="322" t="n">
        <x:v>0</x:v>
      </x:c>
      <x:c r="AG88" s="329" t="n">
        <x:f>(1+AE88)^(MAX(0,(12*(YEAR(EDATE(D88,E88+G88+$H$9))-YEAR($B$36))+MONTH(EDATE(D88,E88+G88+$H$9))-MONTH($B$36)))/12)</x:f>
      </x:c>
      <x:c r="AH88" s="330" t="n">
        <x:f>(1+AF88)^(MAX(0,(12*(YEAR(EDATE(D88,E88+$H$9))-YEAR($B$36))+MONTH(EDATE(D88,E88+$H$9))-MONTH($B$36)))/12)</x:f>
      </x:c>
    </x:row>
    <x:row r="89">
      <x:c r="A89" s="89" t="n">
        <x:v>2</x:v>
      </x:c>
      <x:c r="B89" s="27" t="str">
        <x:v>Нет</x:v>
      </x:c>
      <x:c r="C89" s="9" t="str">
        <x:v>Очередь 2</x:v>
      </x:c>
      <x:c r="D89" s="85" t="n">
        <x:v>47119</x:v>
      </x:c>
      <x:c r="E89" s="9" t="n">
        <x:v>18</x:v>
      </x:c>
      <x:c r="F89" s="9" t="n">
        <x:v>24</x:v>
      </x:c>
      <x:c r="G89" s="9" t="n">
        <x:v>0</x:v>
      </x:c>
      <x:c r="H89" s="291" t="n">
        <x:f>MAX(1,F89-G89+$B$69)</x:f>
      </x:c>
      <x:c r="I89" s="83" t="n">
        <x:f>ROUND(W89*$K$15,0)</x:f>
      </x:c>
      <x:c r="J89" s="83" t="n">
        <x:f>ROUND(X89*$K$15,0)</x:f>
      </x:c>
      <x:c r="K89" s="83" t="n">
        <x:f>ROUND(Y89*IF($K$80="Да",$K$15,1),0)</x:f>
      </x:c>
      <x:c r="L89" s="83" t="n">
        <x:f>ROUND(Z89*$K$15,0)</x:f>
      </x:c>
      <x:c r="M89" s="83" t="n">
        <x:f>ROUND(AA89*$K$15,0)</x:f>
      </x:c>
      <x:c r="N89" s="83" t="n">
        <x:f>ROUND(AB89*IF($K$80="Да",$K$15,1),0)</x:f>
      </x:c>
      <x:c r="O89" s="83" t="n">
        <x:f>ROUND(AC89*IF($K$81="Да",$K$15,1),0)</x:f>
      </x:c>
      <x:c r="P89" s="36" t="n">
        <x:v>0</x:v>
      </x:c>
      <x:c r="Q89" s="37" t="n">
        <x:v>0</x:v>
      </x:c>
      <x:c r="R89" s="37" t="n">
        <x:v>0</x:v>
      </x:c>
      <x:c r="S89" s="37" t="n">
        <x:v>1</x:v>
      </x:c>
      <x:c r="T89" s="37" t="n">
        <x:v>1</x:v>
      </x:c>
      <x:c r="U89" s="37" t="n">
        <x:v>0</x:v>
      </x:c>
      <x:c r="V89" s="37" t="n">
        <x:v>0</x:v>
      </x:c>
      <x:c r="W89" s="9" t="n">
        <x:v>0</x:v>
      </x:c>
      <x:c r="X89" s="9" t="n">
        <x:v>0</x:v>
      </x:c>
      <x:c r="Y89" s="9" t="n">
        <x:v>0</x:v>
      </x:c>
      <x:c r="Z89" s="9" t="n">
        <x:v>0</x:v>
      </x:c>
      <x:c r="AA89" s="9" t="n">
        <x:v>0</x:v>
      </x:c>
      <x:c r="AB89" s="9" t="n">
        <x:v>0</x:v>
      </x:c>
      <x:c r="AC89" s="28" t="n">
        <x:v>0</x:v>
      </x:c>
      <x:c r="AD89" s="323" t="n">
        <x:v>0.01</x:v>
      </x:c>
      <x:c r="AE89" s="324" t="n">
        <x:v>0</x:v>
      </x:c>
      <x:c r="AF89" s="325" t="n">
        <x:v>0</x:v>
      </x:c>
      <x:c r="AG89" s="331" t="n">
        <x:f>(1+AE89)^(MAX(0,(12*(YEAR(EDATE(D89,E89+G89+$H$9))-YEAR($B$36))+MONTH(EDATE(D89,E89+G89+$H$9))-MONTH($B$36)))/12)</x:f>
      </x:c>
      <x:c r="AH89" s="332" t="n">
        <x:f>(1+AF89)^(MAX(0,(12*(YEAR(EDATE(D89,E89+$H$9))-YEAR($B$36))+MONTH(EDATE(D89,E89+$H$9))-MONTH($B$36)))/12)</x:f>
      </x:c>
    </x:row>
    <x:row r="90">
      <x:c r="A90" s="89" t="n">
        <x:v>3</x:v>
      </x:c>
      <x:c r="B90" s="29" t="str">
        <x:v>Нет</x:v>
      </x:c>
      <x:c r="C90" s="30" t="str">
        <x:v>Очередь 3</x:v>
      </x:c>
      <x:c r="D90" s="86" t="n">
        <x:v>47849</x:v>
      </x:c>
      <x:c r="E90" s="30" t="n">
        <x:v>18</x:v>
      </x:c>
      <x:c r="F90" s="30" t="n">
        <x:v>24</x:v>
      </x:c>
      <x:c r="G90" s="30" t="n">
        <x:v>0</x:v>
      </x:c>
      <x:c r="H90" s="274" t="n">
        <x:f>MAX(1,F90-G90+$B$69)</x:f>
      </x:c>
      <x:c r="I90" s="83" t="n">
        <x:f>ROUND(W90*$K$15,0)</x:f>
      </x:c>
      <x:c r="J90" s="83" t="n">
        <x:f>ROUND(X90*$K$15,0)</x:f>
      </x:c>
      <x:c r="K90" s="83" t="n">
        <x:f>ROUND(Y90*IF($K$80="Да",$K$15,1),0)</x:f>
      </x:c>
      <x:c r="L90" s="83" t="n">
        <x:f>ROUND(Z90*$K$15,0)</x:f>
      </x:c>
      <x:c r="M90" s="83" t="n">
        <x:f>ROUND(AA90*$K$15,0)</x:f>
      </x:c>
      <x:c r="N90" s="83" t="n">
        <x:f>ROUND(AB90*IF($K$80="Да",$K$15,1),0)</x:f>
      </x:c>
      <x:c r="O90" s="83" t="n">
        <x:f>ROUND(AC90*IF($K$81="Да",$K$15,1),0)</x:f>
      </x:c>
      <x:c r="P90" s="87" t="n">
        <x:v>0</x:v>
      </x:c>
      <x:c r="Q90" s="88" t="n">
        <x:v>0</x:v>
      </x:c>
      <x:c r="R90" s="88" t="n">
        <x:v>0</x:v>
      </x:c>
      <x:c r="S90" s="88" t="n">
        <x:v>1</x:v>
      </x:c>
      <x:c r="T90" s="88" t="n">
        <x:v>1</x:v>
      </x:c>
      <x:c r="U90" s="88" t="n">
        <x:v>0</x:v>
      </x:c>
      <x:c r="V90" s="88" t="n">
        <x:v>0</x:v>
      </x:c>
      <x:c r="W90" s="30" t="n">
        <x:v>0</x:v>
      </x:c>
      <x:c r="X90" s="30" t="n">
        <x:v>0</x:v>
      </x:c>
      <x:c r="Y90" s="30" t="n">
        <x:v>0</x:v>
      </x:c>
      <x:c r="Z90" s="30" t="n">
        <x:v>0</x:v>
      </x:c>
      <x:c r="AA90" s="30" t="n">
        <x:v>0</x:v>
      </x:c>
      <x:c r="AB90" s="30" t="n">
        <x:v>0</x:v>
      </x:c>
      <x:c r="AC90" s="31" t="n">
        <x:v>0</x:v>
      </x:c>
      <x:c r="AD90" s="326" t="n">
        <x:v>0.01</x:v>
      </x:c>
      <x:c r="AE90" s="327" t="n">
        <x:v>0</x:v>
      </x:c>
      <x:c r="AF90" s="328" t="n">
        <x:v>0</x:v>
      </x:c>
      <x:c r="AG90" s="333" t="n">
        <x:f>(1+AE90)^(MAX(0,(12*(YEAR(EDATE(D90,E90+G90+$H$9))-YEAR($B$36))+MONTH(EDATE(D90,E90+G90+$H$9))-MONTH($B$36)))/12)</x:f>
      </x:c>
      <x:c r="AH90" s="334" t="n">
        <x:f>(1+AF90)^(MAX(0,(12*(YEAR(EDATE(D90,E90+$H$9))-YEAR($B$36))+MONTH(EDATE(D90,E90+$H$9))-MONTH($B$36)))/12)</x:f>
      </x:c>
    </x:row>
    <x:row r="91">
      <x:c r="A91" s="89" t="n">
        <x:v>4</x:v>
      </x:c>
      <x:c r="B91" s="29" t="str">
        <x:v>Нет</x:v>
      </x:c>
      <x:c r="C91" s="30" t="str">
        <x:v>Очередь 4</x:v>
      </x:c>
      <x:c r="D91" s="86" t="n">
        <x:v>47849</x:v>
      </x:c>
      <x:c r="E91" s="30" t="n">
        <x:v>18</x:v>
      </x:c>
      <x:c r="F91" s="30" t="n">
        <x:v>24</x:v>
      </x:c>
      <x:c r="G91" s="30" t="n">
        <x:v>0</x:v>
      </x:c>
      <x:c r="H91" s="274" t="n">
        <x:f>MAX(1,F91-G91+$B$69)</x:f>
      </x:c>
      <x:c r="I91" s="83" t="n">
        <x:f>ROUND(W91*$K$15,0)</x:f>
      </x:c>
      <x:c r="J91" s="83" t="n">
        <x:f>ROUND(X91*$K$15,0)</x:f>
      </x:c>
      <x:c r="K91" s="83" t="n">
        <x:f>ROUND(Y91*IF($K$80="Да",$K$15,1),0)</x:f>
      </x:c>
      <x:c r="L91" s="83" t="n">
        <x:f>ROUND(Z91*$K$15,0)</x:f>
      </x:c>
      <x:c r="M91" s="83" t="n">
        <x:f>ROUND(AA91*$K$15,0)</x:f>
      </x:c>
      <x:c r="N91" s="83" t="n">
        <x:f>ROUND(AB91*IF($K$80="Да",$K$15,1),0)</x:f>
      </x:c>
      <x:c r="O91" s="83" t="n">
        <x:f>ROUND(AC91*IF($K$81="Да",$K$15,1),0)</x:f>
      </x:c>
      <x:c r="P91" s="87" t="n">
        <x:v>0</x:v>
      </x:c>
      <x:c r="Q91" s="88" t="n">
        <x:v>0</x:v>
      </x:c>
      <x:c r="R91" s="88" t="n">
        <x:v>0</x:v>
      </x:c>
      <x:c r="S91" s="88" t="n">
        <x:v>1</x:v>
      </x:c>
      <x:c r="T91" s="88" t="n">
        <x:v>1</x:v>
      </x:c>
      <x:c r="U91" s="88" t="n">
        <x:v>0</x:v>
      </x:c>
      <x:c r="V91" s="88" t="n">
        <x:v>0</x:v>
      </x:c>
      <x:c r="W91" s="30" t="n">
        <x:v>0</x:v>
      </x:c>
      <x:c r="X91" s="30" t="n">
        <x:v>0</x:v>
      </x:c>
      <x:c r="Y91" s="30" t="n">
        <x:v>0</x:v>
      </x:c>
      <x:c r="Z91" s="30" t="n">
        <x:v>0</x:v>
      </x:c>
      <x:c r="AA91" s="30" t="n">
        <x:v>0</x:v>
      </x:c>
      <x:c r="AB91" s="30" t="n">
        <x:v>0</x:v>
      </x:c>
      <x:c r="AC91" s="31" t="n">
        <x:v>0</x:v>
      </x:c>
      <x:c r="AD91" s="326" t="n">
        <x:v>0.01</x:v>
      </x:c>
      <x:c r="AE91" s="327" t="n">
        <x:v>0</x:v>
      </x:c>
      <x:c r="AF91" s="328" t="n">
        <x:v>0</x:v>
      </x:c>
      <x:c r="AG91" s="333" t="n">
        <x:f>(1+AE91)^(MAX(0,(12*(YEAR(EDATE(D91,E91+G91+$H$9))-YEAR($B$36))+MONTH(EDATE(D91,E91+G91+$H$9))-MONTH($B$36)))/12)</x:f>
      </x:c>
      <x:c r="AH91" s="334" t="n">
        <x:f>(1+AF91)^(MAX(0,(12*(YEAR(EDATE(D91,E91+$H$9))-YEAR($B$36))+MONTH(EDATE(D91,E91+$H$9))-MONTH($B$36)))/12)</x:f>
      </x:c>
    </x:row>
    <x:row r="93" ht="21" customHeight="1">
      <x:c r="A93" s="52" t="str">
        <x:v>ПРОГНОЗ КЛЮЧЕВОЙ СТАВКИ · СЦЕНАРИИ</x:v>
      </x:c>
      <x:c r="B93" s="53" t="str">
        <x:v>ПРОГНОЗ КЛЮЧЕВОЙ СТАВКИ · СЦЕНАРИИ</x:v>
      </x:c>
      <x:c r="C93" s="53" t="str">
        <x:v>ПРОГНОЗ КЛЮЧЕВОЙ СТАВКИ · СЦЕНАРИИ</x:v>
      </x:c>
      <x:c r="D93" s="53" t="str">
        <x:v>ПРОГНОЗ КЛЮЧЕВОЙ СТАВКИ · СЦЕНАРИИ</x:v>
      </x:c>
      <x:c r="E93" s="53" t="str">
        <x:v>ПРОГНОЗ КЛЮЧЕВОЙ СТАВКИ · СЦЕНАРИИ</x:v>
      </x:c>
      <x:c r="F93" s="53" t="str">
        <x:v>ПРОГНОЗ КЛЮЧЕВОЙ СТАВКИ · СЦЕНАРИИ</x:v>
      </x:c>
      <x:c r="G93" s="53" t="str">
        <x:v>ПРОГНОЗ КЛЮЧЕВОЙ СТАВКИ · СЦЕНАРИИ</x:v>
      </x:c>
      <x:c r="H93" s="54" t="str">
        <x:v>ПРОГНОЗ КЛЮЧЕВОЙ СТАВКИ · СЦЕНАРИИ</x:v>
      </x:c>
    </x:row>
    <x:row r="94">
      <x:c r="A94" t="str">
        <x:v>Сценарий ставки</x:v>
      </x:c>
      <x:c r="B94" s="59" t="str">
        <x:f>$B$6</x:f>
      </x:c>
      <x:c r="D94" s="23" t="str">
        <x:v>Целевая ставка</x:v>
      </x:c>
      <x:c r="E94" s="23" t="str">
        <x:v>Downside</x:v>
      </x:c>
      <x:c r="F94" s="23" t="str">
        <x:v>Base</x:v>
      </x:c>
      <x:c r="G94" s="23" t="str">
        <x:v>Upside</x:v>
      </x:c>
    </x:row>
    <x:row r="95">
      <x:c r="A95" t="str">
        <x:v>Ключевая на старте</x:v>
      </x:c>
      <x:c r="B95" s="90" t="n">
        <x:f>$B$33</x:f>
      </x:c>
      <x:c r="C95" s="35"/>
      <x:c r="D95" s="35" t="str">
        <x:v>Ставка</x:v>
      </x:c>
      <x:c r="E95" s="35" t="n">
        <x:f>$G$8</x:f>
      </x:c>
      <x:c r="F95" s="35" t="n">
        <x:f>$E$8</x:f>
      </x:c>
      <x:c r="G95" s="35" t="n">
        <x:f>$F$8</x:f>
      </x:c>
    </x:row>
    <x:row r="96">
      <x:c r="A96" t="str">
        <x:v>Месяцев до целевой ставки</x:v>
      </x:c>
      <x:c r="B96" s="59" t="n">
        <x:f>$B$35</x:f>
      </x:c>
    </x:row>
    <x:row r="98">
      <x:c r="A98" s="23" t="str">
        <x:v>Точка</x:v>
      </x:c>
      <x:c r="B98" s="23" t="str">
        <x:v>Дата</x:v>
      </x:c>
      <x:c r="C98" s="23" t="str">
        <x:v>Месяц</x:v>
      </x:c>
      <x:c r="D98" s="23" t="str">
        <x:v>Downside</x:v>
      </x:c>
      <x:c r="E98" s="23" t="str">
        <x:v>Base</x:v>
      </x:c>
      <x:c r="F98" s="23" t="str">
        <x:v>Upside</x:v>
      </x:c>
      <x:c r="G98" s="23" t="str">
        <x:v>Активная</x:v>
      </x:c>
      <x:c r="H98" s="23" t="str">
        <x:v>Фаза</x:v>
      </x:c>
    </x:row>
    <x:row r="99">
      <x:c r="A99" t="n">
        <x:v>1</x:v>
      </x:c>
      <x:c r="B99" s="91" t="n">
        <x:f>EDATE($B$8,ROUND(0*($B$9-1)/20,0))</x:f>
      </x:c>
      <x:c r="C99" t="n">
        <x:f>ROUND(0*($B$9-1)/20,0)</x:f>
      </x:c>
      <x:c r="D99" s="35" t="n">
        <x:f>MAX($E$95,$B$95-($B$95-$E$95)*MIN(1,$C99/MAX(1,$B$96)))</x:f>
      </x:c>
      <x:c r="E99" s="35" t="n">
        <x:f>MAX($F$95,$B$95-($B$95-$F$95)*MIN(1,$C99/MAX(1,$B$96)))</x:f>
      </x:c>
      <x:c r="F99" s="35" t="n">
        <x:f>MAX($G$95,$B$95-($B$95-$G$95)*MIN(1,$C99/MAX(1,$B$96)))</x:f>
      </x:c>
      <x:c r="G99" s="90" t="n">
        <x:f>IF($B$6="Downside",D99,IF($B$6="Upside",F99,E99))</x:f>
      </x:c>
      <x:c r="H99" t="str">
        <x:f>IF($C99&lt;$B$96,"Переход","Целевая")</x:f>
      </x:c>
    </x:row>
    <x:row r="100">
      <x:c r="A100" t="n">
        <x:v>2</x:v>
      </x:c>
      <x:c r="B100" s="91" t="n">
        <x:f>EDATE($B$8,ROUND(1*($B$9-1)/20,0))</x:f>
      </x:c>
      <x:c r="C100" t="n">
        <x:f>ROUND(1*($B$9-1)/20,0)</x:f>
      </x:c>
      <x:c r="D100" s="35" t="n">
        <x:f>MAX($E$95,$B$95-($B$95-$E$95)*MIN(1,$C100/MAX(1,$B$96)))</x:f>
      </x:c>
      <x:c r="E100" s="35" t="n">
        <x:f>MAX($F$95,$B$95-($B$95-$F$95)*MIN(1,$C100/MAX(1,$B$96)))</x:f>
      </x:c>
      <x:c r="F100" s="35" t="n">
        <x:f>MAX($G$95,$B$95-($B$95-$G$95)*MIN(1,$C100/MAX(1,$B$96)))</x:f>
      </x:c>
      <x:c r="G100" s="90" t="n">
        <x:f>IF($B$6="Downside",D100,IF($B$6="Upside",F100,E100))</x:f>
      </x:c>
      <x:c r="H100" t="str">
        <x:f>IF($C100&lt;$B$96,"Переход","Целевая")</x:f>
      </x:c>
    </x:row>
    <x:row r="101">
      <x:c r="A101" t="n">
        <x:v>3</x:v>
      </x:c>
      <x:c r="B101" s="91" t="n">
        <x:f>EDATE($B$8,ROUND(2*($B$9-1)/20,0))</x:f>
      </x:c>
      <x:c r="C101" t="n">
        <x:f>ROUND(2*($B$9-1)/20,0)</x:f>
      </x:c>
      <x:c r="D101" s="35" t="n">
        <x:f>MAX($E$95,$B$95-($B$95-$E$95)*MIN(1,$C101/MAX(1,$B$96)))</x:f>
      </x:c>
      <x:c r="E101" s="35" t="n">
        <x:f>MAX($F$95,$B$95-($B$95-$F$95)*MIN(1,$C101/MAX(1,$B$96)))</x:f>
      </x:c>
      <x:c r="F101" s="35" t="n">
        <x:f>MAX($G$95,$B$95-($B$95-$G$95)*MIN(1,$C101/MAX(1,$B$96)))</x:f>
      </x:c>
      <x:c r="G101" s="90" t="n">
        <x:f>IF($B$6="Downside",D101,IF($B$6="Upside",F101,E101))</x:f>
      </x:c>
      <x:c r="H101" t="str">
        <x:f>IF($C101&lt;$B$96,"Переход","Целевая")</x:f>
      </x:c>
    </x:row>
    <x:row r="102">
      <x:c r="A102" t="n">
        <x:v>4</x:v>
      </x:c>
      <x:c r="B102" s="91" t="n">
        <x:f>EDATE($B$8,ROUND(3*($B$9-1)/20,0))</x:f>
      </x:c>
      <x:c r="C102" t="n">
        <x:f>ROUND(3*($B$9-1)/20,0)</x:f>
      </x:c>
      <x:c r="D102" s="35" t="n">
        <x:f>MAX($E$95,$B$95-($B$95-$E$95)*MIN(1,$C102/MAX(1,$B$96)))</x:f>
      </x:c>
      <x:c r="E102" s="35" t="n">
        <x:f>MAX($F$95,$B$95-($B$95-$F$95)*MIN(1,$C102/MAX(1,$B$96)))</x:f>
      </x:c>
      <x:c r="F102" s="35" t="n">
        <x:f>MAX($G$95,$B$95-($B$95-$G$95)*MIN(1,$C102/MAX(1,$B$96)))</x:f>
      </x:c>
      <x:c r="G102" s="90" t="n">
        <x:f>IF($B$6="Downside",D102,IF($B$6="Upside",F102,E102))</x:f>
      </x:c>
      <x:c r="H102" t="str">
        <x:f>IF($C102&lt;$B$96,"Переход","Целевая")</x:f>
      </x:c>
    </x:row>
    <x:row r="103">
      <x:c r="A103" t="n">
        <x:v>5</x:v>
      </x:c>
      <x:c r="B103" s="91" t="n">
        <x:f>EDATE($B$8,ROUND(4*($B$9-1)/20,0))</x:f>
      </x:c>
      <x:c r="C103" t="n">
        <x:f>ROUND(4*($B$9-1)/20,0)</x:f>
      </x:c>
      <x:c r="D103" s="35" t="n">
        <x:f>MAX($E$95,$B$95-($B$95-$E$95)*MIN(1,$C103/MAX(1,$B$96)))</x:f>
      </x:c>
      <x:c r="E103" s="35" t="n">
        <x:f>MAX($F$95,$B$95-($B$95-$F$95)*MIN(1,$C103/MAX(1,$B$96)))</x:f>
      </x:c>
      <x:c r="F103" s="35" t="n">
        <x:f>MAX($G$95,$B$95-($B$95-$G$95)*MIN(1,$C103/MAX(1,$B$96)))</x:f>
      </x:c>
      <x:c r="G103" s="90" t="n">
        <x:f>IF($B$6="Downside",D103,IF($B$6="Upside",F103,E103))</x:f>
      </x:c>
      <x:c r="H103" t="str">
        <x:f>IF($C103&lt;$B$96,"Переход","Целевая")</x:f>
      </x:c>
    </x:row>
    <x:row r="104">
      <x:c r="A104" t="n">
        <x:v>6</x:v>
      </x:c>
      <x:c r="B104" s="91" t="n">
        <x:f>EDATE($B$8,ROUND(5*($B$9-1)/20,0))</x:f>
      </x:c>
      <x:c r="C104" t="n">
        <x:f>ROUND(5*($B$9-1)/20,0)</x:f>
      </x:c>
      <x:c r="D104" s="35" t="n">
        <x:f>MAX($E$95,$B$95-($B$95-$E$95)*MIN(1,$C104/MAX(1,$B$96)))</x:f>
      </x:c>
      <x:c r="E104" s="35" t="n">
        <x:f>MAX($F$95,$B$95-($B$95-$F$95)*MIN(1,$C104/MAX(1,$B$96)))</x:f>
      </x:c>
      <x:c r="F104" s="35" t="n">
        <x:f>MAX($G$95,$B$95-($B$95-$G$95)*MIN(1,$C104/MAX(1,$B$96)))</x:f>
      </x:c>
      <x:c r="G104" s="90" t="n">
        <x:f>IF($B$6="Downside",D104,IF($B$6="Upside",F104,E104))</x:f>
      </x:c>
      <x:c r="H104" t="str">
        <x:f>IF($C104&lt;$B$96,"Переход","Целевая")</x:f>
      </x:c>
    </x:row>
    <x:row r="105">
      <x:c r="A105" t="n">
        <x:v>7</x:v>
      </x:c>
      <x:c r="B105" s="91" t="n">
        <x:f>EDATE($B$8,ROUND(6*($B$9-1)/20,0))</x:f>
      </x:c>
      <x:c r="C105" t="n">
        <x:f>ROUND(6*($B$9-1)/20,0)</x:f>
      </x:c>
      <x:c r="D105" s="35" t="n">
        <x:f>MAX($E$95,$B$95-($B$95-$E$95)*MIN(1,$C105/MAX(1,$B$96)))</x:f>
      </x:c>
      <x:c r="E105" s="35" t="n">
        <x:f>MAX($F$95,$B$95-($B$95-$F$95)*MIN(1,$C105/MAX(1,$B$96)))</x:f>
      </x:c>
      <x:c r="F105" s="35" t="n">
        <x:f>MAX($G$95,$B$95-($B$95-$G$95)*MIN(1,$C105/MAX(1,$B$96)))</x:f>
      </x:c>
      <x:c r="G105" s="90" t="n">
        <x:f>IF($B$6="Downside",D105,IF($B$6="Upside",F105,E105))</x:f>
      </x:c>
      <x:c r="H105" t="str">
        <x:f>IF($C105&lt;$B$96,"Переход","Целевая")</x:f>
      </x:c>
    </x:row>
    <x:row r="106">
      <x:c r="A106" t="n">
        <x:v>8</x:v>
      </x:c>
      <x:c r="B106" s="91" t="n">
        <x:f>EDATE($B$8,ROUND(7*($B$9-1)/20,0))</x:f>
      </x:c>
      <x:c r="C106" t="n">
        <x:f>ROUND(7*($B$9-1)/20,0)</x:f>
      </x:c>
      <x:c r="D106" s="35" t="n">
        <x:f>MAX($E$95,$B$95-($B$95-$E$95)*MIN(1,$C106/MAX(1,$B$96)))</x:f>
      </x:c>
      <x:c r="E106" s="35" t="n">
        <x:f>MAX($F$95,$B$95-($B$95-$F$95)*MIN(1,$C106/MAX(1,$B$96)))</x:f>
      </x:c>
      <x:c r="F106" s="35" t="n">
        <x:f>MAX($G$95,$B$95-($B$95-$G$95)*MIN(1,$C106/MAX(1,$B$96)))</x:f>
      </x:c>
      <x:c r="G106" s="90" t="n">
        <x:f>IF($B$6="Downside",D106,IF($B$6="Upside",F106,E106))</x:f>
      </x:c>
      <x:c r="H106" t="str">
        <x:f>IF($C106&lt;$B$96,"Переход","Целевая")</x:f>
      </x:c>
    </x:row>
    <x:row r="107">
      <x:c r="A107" t="n">
        <x:v>9</x:v>
      </x:c>
      <x:c r="B107" s="91" t="n">
        <x:f>EDATE($B$8,ROUND(8*($B$9-1)/20,0))</x:f>
      </x:c>
      <x:c r="C107" t="n">
        <x:f>ROUND(8*($B$9-1)/20,0)</x:f>
      </x:c>
      <x:c r="D107" s="35" t="n">
        <x:f>MAX($E$95,$B$95-($B$95-$E$95)*MIN(1,$C107/MAX(1,$B$96)))</x:f>
      </x:c>
      <x:c r="E107" s="35" t="n">
        <x:f>MAX($F$95,$B$95-($B$95-$F$95)*MIN(1,$C107/MAX(1,$B$96)))</x:f>
      </x:c>
      <x:c r="F107" s="35" t="n">
        <x:f>MAX($G$95,$B$95-($B$95-$G$95)*MIN(1,$C107/MAX(1,$B$96)))</x:f>
      </x:c>
      <x:c r="G107" s="90" t="n">
        <x:f>IF($B$6="Downside",D107,IF($B$6="Upside",F107,E107))</x:f>
      </x:c>
      <x:c r="H107" t="str">
        <x:f>IF($C107&lt;$B$96,"Переход","Целевая")</x:f>
      </x:c>
    </x:row>
    <x:row r="108">
      <x:c r="A108" t="n">
        <x:v>10</x:v>
      </x:c>
      <x:c r="B108" s="91" t="n">
        <x:f>EDATE($B$8,ROUND(9*($B$9-1)/20,0))</x:f>
      </x:c>
      <x:c r="C108" t="n">
        <x:f>ROUND(9*($B$9-1)/20,0)</x:f>
      </x:c>
      <x:c r="D108" s="35" t="n">
        <x:f>MAX($E$95,$B$95-($B$95-$E$95)*MIN(1,$C108/MAX(1,$B$96)))</x:f>
      </x:c>
      <x:c r="E108" s="35" t="n">
        <x:f>MAX($F$95,$B$95-($B$95-$F$95)*MIN(1,$C108/MAX(1,$B$96)))</x:f>
      </x:c>
      <x:c r="F108" s="35" t="n">
        <x:f>MAX($G$95,$B$95-($B$95-$G$95)*MIN(1,$C108/MAX(1,$B$96)))</x:f>
      </x:c>
      <x:c r="G108" s="90" t="n">
        <x:f>IF($B$6="Downside",D108,IF($B$6="Upside",F108,E108))</x:f>
      </x:c>
      <x:c r="H108" t="str">
        <x:f>IF($C108&lt;$B$96,"Переход","Целевая")</x:f>
      </x:c>
    </x:row>
    <x:row r="109">
      <x:c r="A109" t="n">
        <x:v>11</x:v>
      </x:c>
      <x:c r="B109" s="91" t="n">
        <x:f>EDATE($B$8,ROUND(10*($B$9-1)/20,0))</x:f>
      </x:c>
      <x:c r="C109" t="n">
        <x:f>ROUND(10*($B$9-1)/20,0)</x:f>
      </x:c>
      <x:c r="D109" s="35" t="n">
        <x:f>MAX($E$95,$B$95-($B$95-$E$95)*MIN(1,$C109/MAX(1,$B$96)))</x:f>
      </x:c>
      <x:c r="E109" s="35" t="n">
        <x:f>MAX($F$95,$B$95-($B$95-$F$95)*MIN(1,$C109/MAX(1,$B$96)))</x:f>
      </x:c>
      <x:c r="F109" s="35" t="n">
        <x:f>MAX($G$95,$B$95-($B$95-$G$95)*MIN(1,$C109/MAX(1,$B$96)))</x:f>
      </x:c>
      <x:c r="G109" s="90" t="n">
        <x:f>IF($B$6="Downside",D109,IF($B$6="Upside",F109,E109))</x:f>
      </x:c>
      <x:c r="H109" t="str">
        <x:f>IF($C109&lt;$B$96,"Переход","Целевая")</x:f>
      </x:c>
    </x:row>
    <x:row r="110">
      <x:c r="A110" t="n">
        <x:v>12</x:v>
      </x:c>
      <x:c r="B110" s="91" t="n">
        <x:f>EDATE($B$8,ROUND(11*($B$9-1)/20,0))</x:f>
      </x:c>
      <x:c r="C110" t="n">
        <x:f>ROUND(11*($B$9-1)/20,0)</x:f>
      </x:c>
      <x:c r="D110" s="35" t="n">
        <x:f>MAX($E$95,$B$95-($B$95-$E$95)*MIN(1,$C110/MAX(1,$B$96)))</x:f>
      </x:c>
      <x:c r="E110" s="35" t="n">
        <x:f>MAX($F$95,$B$95-($B$95-$F$95)*MIN(1,$C110/MAX(1,$B$96)))</x:f>
      </x:c>
      <x:c r="F110" s="35" t="n">
        <x:f>MAX($G$95,$B$95-($B$95-$G$95)*MIN(1,$C110/MAX(1,$B$96)))</x:f>
      </x:c>
      <x:c r="G110" s="90" t="n">
        <x:f>IF($B$6="Downside",D110,IF($B$6="Upside",F110,E110))</x:f>
      </x:c>
      <x:c r="H110" t="str">
        <x:f>IF($C110&lt;$B$96,"Переход","Целевая")</x:f>
      </x:c>
    </x:row>
    <x:row r="111">
      <x:c r="A111" t="n">
        <x:v>13</x:v>
      </x:c>
      <x:c r="B111" s="91" t="n">
        <x:f>EDATE($B$8,ROUND(12*($B$9-1)/20,0))</x:f>
      </x:c>
      <x:c r="C111" t="n">
        <x:f>ROUND(12*($B$9-1)/20,0)</x:f>
      </x:c>
      <x:c r="D111" s="35" t="n">
        <x:f>MAX($E$95,$B$95-($B$95-$E$95)*MIN(1,$C111/MAX(1,$B$96)))</x:f>
      </x:c>
      <x:c r="E111" s="35" t="n">
        <x:f>MAX($F$95,$B$95-($B$95-$F$95)*MIN(1,$C111/MAX(1,$B$96)))</x:f>
      </x:c>
      <x:c r="F111" s="35" t="n">
        <x:f>MAX($G$95,$B$95-($B$95-$G$95)*MIN(1,$C111/MAX(1,$B$96)))</x:f>
      </x:c>
      <x:c r="G111" s="90" t="n">
        <x:f>IF($B$6="Downside",D111,IF($B$6="Upside",F111,E111))</x:f>
      </x:c>
      <x:c r="H111" t="str">
        <x:f>IF($C111&lt;$B$96,"Переход","Целевая")</x:f>
      </x:c>
    </x:row>
    <x:row r="112">
      <x:c r="A112" t="n">
        <x:v>14</x:v>
      </x:c>
      <x:c r="B112" s="91" t="n">
        <x:f>EDATE($B$8,ROUND(13*($B$9-1)/20,0))</x:f>
      </x:c>
      <x:c r="C112" t="n">
        <x:f>ROUND(13*($B$9-1)/20,0)</x:f>
      </x:c>
      <x:c r="D112" s="35" t="n">
        <x:f>MAX($E$95,$B$95-($B$95-$E$95)*MIN(1,$C112/MAX(1,$B$96)))</x:f>
      </x:c>
      <x:c r="E112" s="35" t="n">
        <x:f>MAX($F$95,$B$95-($B$95-$F$95)*MIN(1,$C112/MAX(1,$B$96)))</x:f>
      </x:c>
      <x:c r="F112" s="35" t="n">
        <x:f>MAX($G$95,$B$95-($B$95-$G$95)*MIN(1,$C112/MAX(1,$B$96)))</x:f>
      </x:c>
      <x:c r="G112" s="90" t="n">
        <x:f>IF($B$6="Downside",D112,IF($B$6="Upside",F112,E112))</x:f>
      </x:c>
      <x:c r="H112" t="str">
        <x:f>IF($C112&lt;$B$96,"Переход","Целевая")</x:f>
      </x:c>
    </x:row>
    <x:row r="113">
      <x:c r="A113" t="n">
        <x:v>15</x:v>
      </x:c>
      <x:c r="B113" s="91" t="n">
        <x:f>EDATE($B$8,ROUND(14*($B$9-1)/20,0))</x:f>
      </x:c>
      <x:c r="C113" t="n">
        <x:f>ROUND(14*($B$9-1)/20,0)</x:f>
      </x:c>
      <x:c r="D113" s="35" t="n">
        <x:f>MAX($E$95,$B$95-($B$95-$E$95)*MIN(1,$C113/MAX(1,$B$96)))</x:f>
      </x:c>
      <x:c r="E113" s="35" t="n">
        <x:f>MAX($F$95,$B$95-($B$95-$F$95)*MIN(1,$C113/MAX(1,$B$96)))</x:f>
      </x:c>
      <x:c r="F113" s="35" t="n">
        <x:f>MAX($G$95,$B$95-($B$95-$G$95)*MIN(1,$C113/MAX(1,$B$96)))</x:f>
      </x:c>
      <x:c r="G113" s="90" t="n">
        <x:f>IF($B$6="Downside",D113,IF($B$6="Upside",F113,E113))</x:f>
      </x:c>
      <x:c r="H113" t="str">
        <x:f>IF($C113&lt;$B$96,"Переход","Целевая")</x:f>
      </x:c>
    </x:row>
    <x:row r="114">
      <x:c r="A114" t="n">
        <x:v>16</x:v>
      </x:c>
      <x:c r="B114" s="91" t="n">
        <x:f>EDATE($B$8,ROUND(15*($B$9-1)/20,0))</x:f>
      </x:c>
      <x:c r="C114" t="n">
        <x:f>ROUND(15*($B$9-1)/20,0)</x:f>
      </x:c>
      <x:c r="D114" s="35" t="n">
        <x:f>MAX($E$95,$B$95-($B$95-$E$95)*MIN(1,$C114/MAX(1,$B$96)))</x:f>
      </x:c>
      <x:c r="E114" s="35" t="n">
        <x:f>MAX($F$95,$B$95-($B$95-$F$95)*MIN(1,$C114/MAX(1,$B$96)))</x:f>
      </x:c>
      <x:c r="F114" s="35" t="n">
        <x:f>MAX($G$95,$B$95-($B$95-$G$95)*MIN(1,$C114/MAX(1,$B$96)))</x:f>
      </x:c>
      <x:c r="G114" s="90" t="n">
        <x:f>IF($B$6="Downside",D114,IF($B$6="Upside",F114,E114))</x:f>
      </x:c>
      <x:c r="H114" t="str">
        <x:f>IF($C114&lt;$B$96,"Переход","Целевая")</x:f>
      </x:c>
    </x:row>
    <x:row r="115">
      <x:c r="A115" t="n">
        <x:v>17</x:v>
      </x:c>
      <x:c r="B115" s="91" t="n">
        <x:f>EDATE($B$8,ROUND(16*($B$9-1)/20,0))</x:f>
      </x:c>
      <x:c r="C115" t="n">
        <x:f>ROUND(16*($B$9-1)/20,0)</x:f>
      </x:c>
      <x:c r="D115" s="35" t="n">
        <x:f>MAX($E$95,$B$95-($B$95-$E$95)*MIN(1,$C115/MAX(1,$B$96)))</x:f>
      </x:c>
      <x:c r="E115" s="35" t="n">
        <x:f>MAX($F$95,$B$95-($B$95-$F$95)*MIN(1,$C115/MAX(1,$B$96)))</x:f>
      </x:c>
      <x:c r="F115" s="35" t="n">
        <x:f>MAX($G$95,$B$95-($B$95-$G$95)*MIN(1,$C115/MAX(1,$B$96)))</x:f>
      </x:c>
      <x:c r="G115" s="90" t="n">
        <x:f>IF($B$6="Downside",D115,IF($B$6="Upside",F115,E115))</x:f>
      </x:c>
      <x:c r="H115" t="str">
        <x:f>IF($C115&lt;$B$96,"Переход","Целевая")</x:f>
      </x:c>
    </x:row>
    <x:row r="116">
      <x:c r="A116" t="n">
        <x:v>18</x:v>
      </x:c>
      <x:c r="B116" s="91" t="n">
        <x:f>EDATE($B$8,ROUND(17*($B$9-1)/20,0))</x:f>
      </x:c>
      <x:c r="C116" t="n">
        <x:f>ROUND(17*($B$9-1)/20,0)</x:f>
      </x:c>
      <x:c r="D116" s="35" t="n">
        <x:f>MAX($E$95,$B$95-($B$95-$E$95)*MIN(1,$C116/MAX(1,$B$96)))</x:f>
      </x:c>
      <x:c r="E116" s="35" t="n">
        <x:f>MAX($F$95,$B$95-($B$95-$F$95)*MIN(1,$C116/MAX(1,$B$96)))</x:f>
      </x:c>
      <x:c r="F116" s="35" t="n">
        <x:f>MAX($G$95,$B$95-($B$95-$G$95)*MIN(1,$C116/MAX(1,$B$96)))</x:f>
      </x:c>
      <x:c r="G116" s="90" t="n">
        <x:f>IF($B$6="Downside",D116,IF($B$6="Upside",F116,E116))</x:f>
      </x:c>
      <x:c r="H116" t="str">
        <x:f>IF($C116&lt;$B$96,"Переход","Целевая")</x:f>
      </x:c>
    </x:row>
    <x:row r="117">
      <x:c r="A117" t="n">
        <x:v>19</x:v>
      </x:c>
      <x:c r="B117" s="91" t="n">
        <x:f>EDATE($B$8,ROUND(18*($B$9-1)/20,0))</x:f>
      </x:c>
      <x:c r="C117" t="n">
        <x:f>ROUND(18*($B$9-1)/20,0)</x:f>
      </x:c>
      <x:c r="D117" s="35" t="n">
        <x:f>MAX($E$95,$B$95-($B$95-$E$95)*MIN(1,$C117/MAX(1,$B$96)))</x:f>
      </x:c>
      <x:c r="E117" s="35" t="n">
        <x:f>MAX($F$95,$B$95-($B$95-$F$95)*MIN(1,$C117/MAX(1,$B$96)))</x:f>
      </x:c>
      <x:c r="F117" s="35" t="n">
        <x:f>MAX($G$95,$B$95-($B$95-$G$95)*MIN(1,$C117/MAX(1,$B$96)))</x:f>
      </x:c>
      <x:c r="G117" s="90" t="n">
        <x:f>IF($B$6="Downside",D117,IF($B$6="Upside",F117,E117))</x:f>
      </x:c>
      <x:c r="H117" t="str">
        <x:f>IF($C117&lt;$B$96,"Переход","Целевая")</x:f>
      </x:c>
    </x:row>
    <x:row r="118">
      <x:c r="A118" t="n">
        <x:v>20</x:v>
      </x:c>
      <x:c r="B118" s="91" t="n">
        <x:f>EDATE($B$8,ROUND(19*($B$9-1)/20,0))</x:f>
      </x:c>
      <x:c r="C118" t="n">
        <x:f>ROUND(19*($B$9-1)/20,0)</x:f>
      </x:c>
      <x:c r="D118" s="35" t="n">
        <x:f>MAX($E$95,$B$95-($B$95-$E$95)*MIN(1,$C118/MAX(1,$B$96)))</x:f>
      </x:c>
      <x:c r="E118" s="35" t="n">
        <x:f>MAX($F$95,$B$95-($B$95-$F$95)*MIN(1,$C118/MAX(1,$B$96)))</x:f>
      </x:c>
      <x:c r="F118" s="35" t="n">
        <x:f>MAX($G$95,$B$95-($B$95-$G$95)*MIN(1,$C118/MAX(1,$B$96)))</x:f>
      </x:c>
      <x:c r="G118" s="90" t="n">
        <x:f>IF($B$6="Downside",D118,IF($B$6="Upside",F118,E118))</x:f>
      </x:c>
      <x:c r="H118" t="str">
        <x:f>IF($C118&lt;$B$96,"Переход","Целевая")</x:f>
      </x:c>
    </x:row>
    <x:row r="119">
      <x:c r="A119" t="n">
        <x:v>21</x:v>
      </x:c>
      <x:c r="B119" s="91" t="n">
        <x:f>EDATE($B$8,ROUND(20*($B$9-1)/20,0))</x:f>
      </x:c>
      <x:c r="C119" t="n">
        <x:f>ROUND(20*($B$9-1)/20,0)</x:f>
      </x:c>
      <x:c r="D119" s="35" t="n">
        <x:f>MAX($E$95,$B$95-($B$95-$E$95)*MIN(1,$C119/MAX(1,$B$96)))</x:f>
      </x:c>
      <x:c r="E119" s="35" t="n">
        <x:f>MAX($F$95,$B$95-($B$95-$F$95)*MIN(1,$C119/MAX(1,$B$96)))</x:f>
      </x:c>
      <x:c r="F119" s="35" t="n">
        <x:f>MAX($G$95,$B$95-($B$95-$G$95)*MIN(1,$C119/MAX(1,$B$96)))</x:f>
      </x:c>
      <x:c r="G119" s="90" t="n">
        <x:f>IF($B$6="Downside",D119,IF($B$6="Upside",F119,E119))</x:f>
      </x:c>
      <x:c r="H119" t="str">
        <x:f>IF($C119&lt;$B$96,"Переход","Целевая")</x:f>
      </x:c>
    </x:row>
  </x:sheetData>
  <x:mergeCells>
    <x:mergeCell ref="A1:M1"/>
    <x:mergeCell ref="A2:M2"/>
    <x:mergeCell ref="J4:M4"/>
    <x:mergeCell ref="A13:D13"/>
    <x:mergeCell ref="A38:D38"/>
    <x:mergeCell ref="A57:D57"/>
    <x:mergeCell ref="A72:D72"/>
    <x:mergeCell ref="A93:H93"/>
    <x:mergeCell ref="J18:M18"/>
    <x:mergeCell ref="J38:M38"/>
    <x:mergeCell ref="J58:M58"/>
    <x:mergeCell ref="J78:M78"/>
    <x:mergeCell ref="A86:AH86"/>
  </x:mergeCells>
  <x:dataValidations count="24">
    <x:dataValidation type="list" sqref="B6">
      <x:formula1>"Base,Upside,Downside"</x:formula1>
    </x:dataValidation>
    <x:dataValidation type="list" sqref="K6">
      <x:formula1>"Москва,Московская область"</x:formula1>
    </x:dataValidation>
    <x:dataValidation type="list" sqref="K8">
      <x:formula1>"Да,Нет"</x:formula1>
    </x:dataValidation>
    <x:dataValidation type="list" sqref="B31">
      <x:formula1>"Капитализация в ПФ,Оплата капиталом"</x:formula1>
    </x:dataValidation>
    <x:dataValidation type="list" sqref="B74">
      <x:formula1>"Да,Нет"</x:formula1>
    </x:dataValidation>
    <x:dataValidation type="list" sqref="B75">
      <x:formula1>"Единовременно,1 год,2 года,3 года,4 года,5 лет,6 лет"</x:formula1>
    </x:dataValidation>
    <x:dataValidation type="list" sqref="B80">
      <x:formula1>"Да,Нет"</x:formula1>
    </x:dataValidation>
    <x:dataValidation type="decimal" operator="greaterThanOrEqual" sqref="B81">
      <x:formula1>0</x:formula1>
    </x:dataValidation>
    <x:dataValidation type="list" sqref="B84">
      <x:formula1>"Да,Нет"</x:formula1>
    </x:dataValidation>
    <x:dataValidation type="list" sqref="B88:B91">
      <x:formula1>"Да,Нет"</x:formula1>
    </x:dataValidation>
    <x:dataValidation type="decimal" operator="between" sqref="B67">
      <x:formula1>-0.9</x:formula1>
      <x:formula2>1</x:formula2>
    </x:dataValidation>
    <x:dataValidation type="decimal" operator="between" sqref="B70">
      <x:formula1>-0.9</x:formula1>
      <x:formula2>1</x:formula2>
    </x:dataValidation>
    <x:dataValidation type="list" sqref="K20">
      <x:formula1>"Да,Нет"</x:formula1>
    </x:dataValidation>
    <x:dataValidation type="list" sqref="K22">
      <x:formula1>"Да,Нет"</x:formula1>
    </x:dataValidation>
    <x:dataValidation type="list" sqref="K40">
      <x:formula1>"Да,Нет"</x:formula1>
    </x:dataValidation>
    <x:dataValidation type="list" sqref="K42">
      <x:formula1>"Да,Нет"</x:formula1>
    </x:dataValidation>
    <x:dataValidation type="list" sqref="K60">
      <x:formula1>"Да,Нет"</x:formula1>
    </x:dataValidation>
    <x:dataValidation type="list" sqref="K62">
      <x:formula1>"Да,Нет"</x:formula1>
    </x:dataValidation>
    <x:dataValidation type="list" sqref="K80">
      <x:formula1>"Да,Нет"</x:formula1>
    </x:dataValidation>
    <x:dataValidation type="list" sqref="K81">
      <x:formula1>"Да,Нет"</x:formula1>
    </x:dataValidation>
    <x:dataValidation type="list" sqref="K21">
      <x:formula1>"1,2,3,4"</x:formula1>
    </x:dataValidation>
    <x:dataValidation type="list" sqref="K41">
      <x:formula1>"1,2,3,4"</x:formula1>
    </x:dataValidation>
    <x:dataValidation type="list" sqref="K61">
      <x:formula1>"1,2,3,4"</x:formula1>
    </x:dataValidation>
    <x:dataValidation type="decimal" operator="between" sqref="AD88:AF91">
      <x:formula1>-0.5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4" t="str">
        <x:v>ТЭП И ПРОДУКТОВЫЙ СОСТАВ</x:v>
      </x:c>
      <x:c r="B1" s="4" t="str">
        <x:v>ТЭП И ПРОДУКТОВЫЙ СОСТАВ</x:v>
      </x:c>
      <x:c r="C1" s="4" t="str">
        <x:v>ТЭП И ПРОДУКТОВЫЙ СОСТАВ</x:v>
      </x:c>
      <x:c r="D1" s="4" t="str">
        <x:v>ТЭП И ПРОДУКТОВЫЙ СОСТАВ</x:v>
      </x:c>
      <x:c r="E1" s="4" t="str">
        <x:v>ТЭП И ПРОДУКТОВЫЙ СОСТАВ</x:v>
      </x:c>
      <x:c r="F1" s="4" t="str">
        <x:v>ТЭП И ПРОДУКТОВЫЙ СОСТАВ</x:v>
      </x:c>
      <x:c r="G1" s="4" t="str">
        <x:v>ТЭП И ПРОДУКТОВЫЙ СОСТАВ</x:v>
      </x:c>
      <x:c r="H1" s="4" t="str">
        <x:v>ТЭП И ПРОДУКТОВЫЙ СОСТАВ</x:v>
      </x:c>
    </x:row>
    <x:row r="3">
      <x:c r="A3" s="23" t="str">
        <x:v>Очередь</x:v>
      </x:c>
      <x:c r="B3" s="23" t="str">
        <x:v>Продукт</x:v>
      </x:c>
      <x:c r="C3" s="23" t="str">
        <x:v>ГНС, м²</x:v>
      </x:c>
      <x:c r="D3" s="23" t="str">
        <x:v>Продаваемая площадь</x:v>
      </x:c>
      <x:c r="E3" s="23" t="str">
        <x:v>Единицы</x:v>
      </x:c>
      <x:c r="F3" s="23" t="str">
        <x:v>Стартовая цена</x:v>
      </x:c>
      <x:c r="G3" s="23" t="str">
        <x:v>Выручка, млн ₽</x:v>
      </x:c>
      <x:c r="H3" s="23" t="str">
        <x:v>Комментарий</x:v>
      </x:c>
    </x:row>
    <x:row r="4">
      <x:c r="A4" t="str">
        <x:f>'Вводные'!$C$88</x:f>
      </x:c>
      <x:c r="B4" t="str">
        <x:v>Квартиры</x:v>
      </x:c>
      <x:c r="C4" s="132" t="n">
        <x:f>'Вводные'!$I$88</x:f>
      </x:c>
      <x:c r="D4" s="132" t="n">
        <x:f>'Вводные'!$L$88</x:f>
      </x:c>
      <x:c r="E4" s="132"/>
      <x:c r="F4" s="107" t="n">
        <x:f>('Вводные'!$B$59*'Вводные'!$S$88*'Вводные'!$H$5)*'Вводные'!$AG$88</x:f>
      </x:c>
      <x:c r="G4" s="107" t="n">
        <x:f>'Продажи'!B16</x:f>
      </x:c>
      <x:c r="H4" t="str">
        <x:v>Жилая часть</x:v>
      </x:c>
    </x:row>
    <x:row r="5">
      <x:c r="A5" t="str">
        <x:f>'Вводные'!$C$88</x:f>
      </x:c>
      <x:c r="B5" t="str">
        <x:v>Коммерция 1 этажа</x:v>
      </x:c>
      <x:c r="C5" s="132" t="n">
        <x:f>'Вводные'!$J$88</x:f>
      </x:c>
      <x:c r="D5" s="132" t="n">
        <x:f>'Вводные'!$M$88</x:f>
      </x:c>
      <x:c r="E5" s="132"/>
      <x:c r="F5" s="107" t="n">
        <x:f>('Вводные'!$B$60*'Вводные'!$S$88*'Вводные'!$H$5)*'Вводные'!$AG$88</x:f>
      </x:c>
      <x:c r="G5" s="107" t="n">
        <x:f>'Продажи'!B19</x:f>
      </x:c>
      <x:c r="H5" t="str">
        <x:v>Встроенная коммерция</x:v>
      </x:c>
    </x:row>
    <x:row r="6">
      <x:c r="A6" t="str">
        <x:f>'Вводные'!$C$88</x:f>
      </x:c>
      <x:c r="B6" t="str">
        <x:v>Подземный паркинг</x:v>
      </x:c>
      <x:c r="C6" s="132" t="n">
        <x:f>'Вводные'!$K$88</x:f>
      </x:c>
      <x:c r="D6" s="132"/>
      <x:c r="E6" s="132" t="n">
        <x:f>'Вводные'!$N$88</x:f>
      </x:c>
      <x:c r="F6" s="107" t="n">
        <x:f>('Вводные'!$B$61*'Вводные'!$S$88*'Вводные'!$H$5)*'Вводные'!$AG$88</x:f>
      </x:c>
      <x:c r="G6" s="107" t="n">
        <x:f>'Продажи'!B22</x:f>
      </x:c>
      <x:c r="H6" t="str">
        <x:v>Машино-места</x:v>
      </x:c>
    </x:row>
    <x:row r="7">
      <x:c r="A7" t="str">
        <x:f>'Вводные'!$C$88</x:f>
      </x:c>
      <x:c r="B7" t="str">
        <x:v>Кладовые</x:v>
      </x:c>
      <x:c r="C7" s="132"/>
      <x:c r="D7" s="132"/>
      <x:c r="E7" s="132" t="n">
        <x:f>'Вводные'!$O$88</x:f>
      </x:c>
      <x:c r="F7" s="107" t="n">
        <x:f>('Вводные'!$B$62*'Вводные'!$S$88*'Вводные'!$H$5)*'Вводные'!$AG$88</x:f>
      </x:c>
      <x:c r="G7" s="107" t="n">
        <x:f>'Продажи'!B25</x:f>
      </x:c>
      <x:c r="H7" t="str">
        <x:v>Штучный продукт</x:v>
      </x:c>
    </x:row>
    <x:row r="8">
      <x:c r="A8" s="113" t="str">
        <x:v>Итого очередь 1</x:v>
      </x:c>
      <x:c r="B8" s="113"/>
      <x:c r="C8" s="133" t="n">
        <x:f>SUM(C4:C7)</x:f>
      </x:c>
      <x:c r="D8" s="133" t="n">
        <x:f>SUM(D4:D7)</x:f>
      </x:c>
      <x:c r="E8" s="133" t="n">
        <x:f>SUM(E4:E7)</x:f>
      </x:c>
      <x:c r="F8" s="113"/>
      <x:c r="G8" s="113" t="n">
        <x:f>SUM(G4:G7)</x:f>
      </x:c>
      <x:c r="H8" s="113"/>
    </x:row>
    <x:row r="9">
      <x:c r="C9" s="132"/>
      <x:c r="D9" s="132"/>
      <x:c r="E9" s="132"/>
      <x:c r="F9" s="107"/>
      <x:c r="G9" s="107"/>
    </x:row>
    <x:row r="10">
      <x:c r="A10" t="str">
        <x:f>'Вводные'!$C$89</x:f>
      </x:c>
      <x:c r="B10" t="str">
        <x:v>Квартиры</x:v>
      </x:c>
      <x:c r="C10" s="132" t="n">
        <x:f>'Вводные'!$I$89</x:f>
      </x:c>
      <x:c r="D10" s="132" t="n">
        <x:f>'Вводные'!$L$89</x:f>
      </x:c>
      <x:c r="E10" s="132"/>
      <x:c r="F10" s="107" t="n">
        <x:f>('Вводные'!$B$59*'Вводные'!$S$89*'Вводные'!$H$5)*'Вводные'!$AG$89</x:f>
      </x:c>
      <x:c r="G10" s="107" t="n">
        <x:f>'Продажи'!B39</x:f>
      </x:c>
      <x:c r="H10" t="str">
        <x:v>Жилая часть</x:v>
      </x:c>
    </x:row>
    <x:row r="11">
      <x:c r="A11" t="str">
        <x:f>'Вводные'!$C$89</x:f>
      </x:c>
      <x:c r="B11" t="str">
        <x:v>Коммерция 1 этажа</x:v>
      </x:c>
      <x:c r="C11" s="132" t="n">
        <x:f>'Вводные'!$J$89</x:f>
      </x:c>
      <x:c r="D11" s="132" t="n">
        <x:f>'Вводные'!$M$89</x:f>
      </x:c>
      <x:c r="E11" s="132"/>
      <x:c r="F11" s="107" t="n">
        <x:f>('Вводные'!$B$60*'Вводные'!$S$89*'Вводные'!$H$5)*'Вводные'!$AG$89</x:f>
      </x:c>
      <x:c r="G11" s="107" t="n">
        <x:f>'Продажи'!B42</x:f>
      </x:c>
      <x:c r="H11" t="str">
        <x:v>Встроенная коммерция</x:v>
      </x:c>
    </x:row>
    <x:row r="12">
      <x:c r="A12" t="str">
        <x:f>'Вводные'!$C$89</x:f>
      </x:c>
      <x:c r="B12" t="str">
        <x:v>Подземный паркинг</x:v>
      </x:c>
      <x:c r="C12" s="132" t="n">
        <x:f>'Вводные'!$K$89</x:f>
      </x:c>
      <x:c r="D12" s="132"/>
      <x:c r="E12" s="132" t="n">
        <x:f>'Вводные'!$N$89</x:f>
      </x:c>
      <x:c r="F12" s="107" t="n">
        <x:f>('Вводные'!$B$61*'Вводные'!$S$89*'Вводные'!$H$5)*'Вводные'!$AG$89</x:f>
      </x:c>
      <x:c r="G12" s="107" t="n">
        <x:f>'Продажи'!B45</x:f>
      </x:c>
      <x:c r="H12" t="str">
        <x:v>Машино-места</x:v>
      </x:c>
    </x:row>
    <x:row r="13">
      <x:c r="A13" t="str">
        <x:f>'Вводные'!$C$89</x:f>
      </x:c>
      <x:c r="B13" t="str">
        <x:v>Кладовые</x:v>
      </x:c>
      <x:c r="C13" s="132"/>
      <x:c r="D13" s="132"/>
      <x:c r="E13" s="132" t="n">
        <x:f>'Вводные'!$O$89</x:f>
      </x:c>
      <x:c r="F13" s="107" t="n">
        <x:f>('Вводные'!$B$62*'Вводные'!$S$89*'Вводные'!$H$5)*'Вводные'!$AG$89</x:f>
      </x:c>
      <x:c r="G13" s="107" t="n">
        <x:f>'Продажи'!B48</x:f>
      </x:c>
      <x:c r="H13" t="str">
        <x:v>Штучный продукт</x:v>
      </x:c>
    </x:row>
    <x:row r="14">
      <x:c r="A14" s="113" t="str">
        <x:v>Итого очередь 2</x:v>
      </x:c>
      <x:c r="B14" s="113"/>
      <x:c r="C14" s="133" t="n">
        <x:f>SUM(C10:C13)</x:f>
      </x:c>
      <x:c r="D14" s="133" t="n">
        <x:f>SUM(D10:D13)</x:f>
      </x:c>
      <x:c r="E14" s="133" t="n">
        <x:f>SUM(E10:E13)</x:f>
      </x:c>
      <x:c r="F14" s="113"/>
      <x:c r="G14" s="113" t="n">
        <x:f>SUM(G10:G13)</x:f>
      </x:c>
      <x:c r="H14" s="113"/>
    </x:row>
    <x:row r="15">
      <x:c r="C15" s="132"/>
      <x:c r="D15" s="132"/>
      <x:c r="E15" s="132"/>
      <x:c r="F15" s="107"/>
      <x:c r="G15" s="107"/>
    </x:row>
    <x:row r="16">
      <x:c r="A16" t="str">
        <x:f>'Вводные'!$C$90</x:f>
      </x:c>
      <x:c r="B16" t="str">
        <x:v>Квартиры</x:v>
      </x:c>
      <x:c r="C16" s="132" t="n">
        <x:f>'Вводные'!$I$90</x:f>
      </x:c>
      <x:c r="D16" s="132" t="n">
        <x:f>'Вводные'!$L$90</x:f>
      </x:c>
      <x:c r="E16" s="132"/>
      <x:c r="F16" s="107" t="n">
        <x:f>('Вводные'!$B$59*'Вводные'!$S$90*'Вводные'!$H$5)*'Вводные'!$AG$90</x:f>
      </x:c>
      <x:c r="G16" s="107" t="n">
        <x:f>'Продажи'!B62</x:f>
      </x:c>
      <x:c r="H16" t="str">
        <x:v>Жилая часть</x:v>
      </x:c>
    </x:row>
    <x:row r="17">
      <x:c r="A17" t="str">
        <x:f>'Вводные'!$C$90</x:f>
      </x:c>
      <x:c r="B17" t="str">
        <x:v>Коммерция 1 этажа</x:v>
      </x:c>
      <x:c r="C17" s="132" t="n">
        <x:f>'Вводные'!$J$90</x:f>
      </x:c>
      <x:c r="D17" s="132" t="n">
        <x:f>'Вводные'!$M$90</x:f>
      </x:c>
      <x:c r="E17" s="132"/>
      <x:c r="F17" s="107" t="n">
        <x:f>('Вводные'!$B$60*'Вводные'!$S$90*'Вводные'!$H$5)*'Вводные'!$AG$90</x:f>
      </x:c>
      <x:c r="G17" s="107" t="n">
        <x:f>'Продажи'!B65</x:f>
      </x:c>
      <x:c r="H17" t="str">
        <x:v>Встроенная коммерция</x:v>
      </x:c>
    </x:row>
    <x:row r="18">
      <x:c r="A18" t="str">
        <x:f>'Вводные'!$C$90</x:f>
      </x:c>
      <x:c r="B18" t="str">
        <x:v>Подземный паркинг</x:v>
      </x:c>
      <x:c r="C18" s="132" t="n">
        <x:f>'Вводные'!$K$90</x:f>
      </x:c>
      <x:c r="D18" s="132"/>
      <x:c r="E18" s="132" t="n">
        <x:f>'Вводные'!$N$90</x:f>
      </x:c>
      <x:c r="F18" s="107" t="n">
        <x:f>('Вводные'!$B$61*'Вводные'!$S$90*'Вводные'!$H$5)*'Вводные'!$AG$90</x:f>
      </x:c>
      <x:c r="G18" s="107" t="n">
        <x:f>'Продажи'!B68</x:f>
      </x:c>
      <x:c r="H18" t="str">
        <x:v>Машино-места</x:v>
      </x:c>
    </x:row>
    <x:row r="19">
      <x:c r="A19" t="str">
        <x:f>'Вводные'!$C$90</x:f>
      </x:c>
      <x:c r="B19" t="str">
        <x:v>Кладовые</x:v>
      </x:c>
      <x:c r="C19" s="132"/>
      <x:c r="D19" s="132"/>
      <x:c r="E19" s="132" t="n">
        <x:f>'Вводные'!$O$90</x:f>
      </x:c>
      <x:c r="F19" s="107" t="n">
        <x:f>('Вводные'!$B$62*'Вводные'!$S$90*'Вводные'!$H$5)*'Вводные'!$AG$90</x:f>
      </x:c>
      <x:c r="G19" s="107" t="n">
        <x:f>'Продажи'!B71</x:f>
      </x:c>
      <x:c r="H19" t="str">
        <x:v>Штучный продукт</x:v>
      </x:c>
    </x:row>
    <x:row r="20">
      <x:c r="A20" s="113" t="str">
        <x:v>Итого очередь 3</x:v>
      </x:c>
      <x:c r="B20" s="113"/>
      <x:c r="C20" s="133" t="n">
        <x:f>SUM(C16:C19)</x:f>
      </x:c>
      <x:c r="D20" s="133" t="n">
        <x:f>SUM(D16:D19)</x:f>
      </x:c>
      <x:c r="E20" s="133" t="n">
        <x:f>SUM(E16:E19)</x:f>
      </x:c>
      <x:c r="F20" s="113"/>
      <x:c r="G20" s="113" t="n">
        <x:f>SUM(G16:G19)</x:f>
      </x:c>
      <x:c r="H20" s="113"/>
    </x:row>
    <x:row r="21">
      <x:c r="C21" s="132"/>
      <x:c r="D21" s="132"/>
      <x:c r="E21" s="132"/>
      <x:c r="F21" s="107"/>
      <x:c r="G21" s="107"/>
    </x:row>
    <x:row r="22">
      <x:c r="A22" t="str">
        <x:f>'Вводные'!$C$91</x:f>
      </x:c>
      <x:c r="B22" t="str">
        <x:v>Квартиры</x:v>
      </x:c>
      <x:c r="C22" s="132" t="n">
        <x:f>'Вводные'!$I$91</x:f>
      </x:c>
      <x:c r="D22" s="132" t="n">
        <x:f>'Вводные'!$L$91</x:f>
      </x:c>
      <x:c r="E22" s="132"/>
      <x:c r="F22" s="107" t="n">
        <x:f>('Вводные'!$B$59*'Вводные'!$S$91*'Вводные'!$H$5)*'Вводные'!$AG$91</x:f>
      </x:c>
      <x:c r="G22" s="107" t="n">
        <x:f>'Продажи'!B85</x:f>
      </x:c>
      <x:c r="H22" t="str">
        <x:v>Жилая часть</x:v>
      </x:c>
    </x:row>
    <x:row r="23">
      <x:c r="A23" t="str">
        <x:f>'Вводные'!$C$91</x:f>
      </x:c>
      <x:c r="B23" t="str">
        <x:v>Коммерция 1 этажа</x:v>
      </x:c>
      <x:c r="C23" s="132" t="n">
        <x:f>'Вводные'!$J$91</x:f>
      </x:c>
      <x:c r="D23" s="132" t="n">
        <x:f>'Вводные'!$M$91</x:f>
      </x:c>
      <x:c r="E23" s="132"/>
      <x:c r="F23" s="107" t="n">
        <x:f>('Вводные'!$B$60*'Вводные'!$S$91*'Вводные'!$H$5)*'Вводные'!$AG$91</x:f>
      </x:c>
      <x:c r="G23" s="107" t="n">
        <x:f>'Продажи'!B88</x:f>
      </x:c>
      <x:c r="H23" t="str">
        <x:v>Встроенная коммерция</x:v>
      </x:c>
    </x:row>
    <x:row r="24">
      <x:c r="A24" t="str">
        <x:f>'Вводные'!$C$91</x:f>
      </x:c>
      <x:c r="B24" t="str">
        <x:v>Подземный паркинг</x:v>
      </x:c>
      <x:c r="C24" s="132" t="n">
        <x:f>'Вводные'!$K$91</x:f>
      </x:c>
      <x:c r="D24" s="132"/>
      <x:c r="E24" s="132" t="n">
        <x:f>'Вводные'!$N$91</x:f>
      </x:c>
      <x:c r="F24" s="107" t="n">
        <x:f>('Вводные'!$B$61*'Вводные'!$S$91*'Вводные'!$H$5)*'Вводные'!$AG$91</x:f>
      </x:c>
      <x:c r="G24" s="107" t="n">
        <x:f>'Продажи'!B91</x:f>
      </x:c>
      <x:c r="H24" t="str">
        <x:v>Машино-места</x:v>
      </x:c>
    </x:row>
    <x:row r="25">
      <x:c r="A25" t="str">
        <x:f>'Вводные'!$C$91</x:f>
      </x:c>
      <x:c r="B25" t="str">
        <x:v>Кладовые</x:v>
      </x:c>
      <x:c r="C25" s="132"/>
      <x:c r="D25" s="132"/>
      <x:c r="E25" s="132" t="n">
        <x:f>'Вводные'!$O$91</x:f>
      </x:c>
      <x:c r="F25" s="107" t="n">
        <x:f>('Вводные'!$B$62*'Вводные'!$S$91*'Вводные'!$H$5)*'Вводные'!$AG$91</x:f>
      </x:c>
      <x:c r="G25" s="107" t="n">
        <x:f>'Продажи'!B94</x:f>
      </x:c>
      <x:c r="H25" t="str">
        <x:v>Штучный продукт</x:v>
      </x:c>
    </x:row>
    <x:row r="26">
      <x:c r="A26" s="113" t="str">
        <x:v>Итого очередь 4</x:v>
      </x:c>
      <x:c r="B26" s="113"/>
      <x:c r="C26" s="133" t="n">
        <x:f>SUM(C22:C25)</x:f>
      </x:c>
      <x:c r="D26" s="133" t="n">
        <x:f>SUM(D22:D25)</x:f>
      </x:c>
      <x:c r="E26" s="133" t="n">
        <x:f>SUM(E22:E25)</x:f>
      </x:c>
      <x:c r="F26" s="113"/>
      <x:c r="G26" s="113" t="n">
        <x:f>SUM(G22:G25)</x:f>
      </x:c>
      <x:c r="H26" s="113"/>
    </x:row>
    <x:row r="28">
      <x:c r="A28" s="113" t="str">
        <x:v>ИТОГО ЖИЛЫЕ ОЧЕРЕДИ</x:v>
      </x:c>
      <x:c r="B28" s="113"/>
      <x:c r="C28" s="133" t="n">
        <x:f>SUM(C8,C14,C20,C26)</x:f>
      </x:c>
      <x:c r="D28" s="133" t="n">
        <x:f>SUM(D4:D7,D10:D13,D16:D19,D22:D25)</x:f>
      </x:c>
      <x:c r="E28" s="133" t="n">
        <x:f>SUM(E4:E7,E10:E13,E16:E19,E22:E25)</x:f>
      </x:c>
      <x:c r="F28" s="113"/>
      <x:c r="G28" s="113">
        <x:f>SUM(G8,G14,G20,G26)</x:f>
      </x:c>
      <x:c r="H28" s="113"/>
    </x:row>
    <x:row r="30" ht="21" customHeight="1">
      <x:c r="A30" s="281" t="str">
        <x:v>ОТДЕЛЬНО СТОЯЩИЕ КОММЕРЧЕСКИЕ ОБЪЕКТЫ</x:v>
      </x:c>
      <x:c r="B30" s="282" t="str">
        <x:v>ОТДЕЛЬНО СТОЯЩИЕ КОММЕРЧЕСКИЕ ОБЪЕКТЫ</x:v>
      </x:c>
      <x:c r="C30" s="282" t="str">
        <x:v>ОТДЕЛЬНО СТОЯЩИЕ КОММЕРЧЕСКИЕ ОБЪЕКТЫ</x:v>
      </x:c>
      <x:c r="D30" s="282" t="str">
        <x:v>ОТДЕЛЬНО СТОЯЩИЕ КОММЕРЧЕСКИЕ ОБЪЕКТЫ</x:v>
      </x:c>
      <x:c r="E30" s="282" t="str">
        <x:v>ОТДЕЛЬНО СТОЯЩИЕ КОММЕРЧЕСКИЕ ОБЪЕКТЫ</x:v>
      </x:c>
      <x:c r="F30" s="282" t="str">
        <x:v>ОТДЕЛЬНО СТОЯЩИЕ КОММЕРЧЕСКИЕ ОБЪЕКТЫ</x:v>
      </x:c>
      <x:c r="G30" s="282" t="str">
        <x:v>ОТДЕЛЬНО СТОЯЩИЕ КОММЕРЧЕСКИЕ ОБЪЕКТЫ</x:v>
      </x:c>
      <x:c r="H30" s="283" t="str">
        <x:v>ОТДЕЛЬНО СТОЯЩИЕ КОММЕРЧЕСКИЕ ОБЪЕКТЫ</x:v>
      </x:c>
    </x:row>
    <x:row r="31">
      <x:c r="A31" t="str">
        <x:v>Проект</x:v>
      </x:c>
      <x:c r="B31" t="str">
        <x:v>МФОЦ / офисный центр</x:v>
      </x:c>
      <x:c r="C31" s="132" t="n">
        <x:f>'Вводные'!$K$25</x:f>
      </x:c>
      <x:c r="D31" s="132" t="n">
        <x:f>'Вводные'!$K$26</x:f>
      </x:c>
      <x:c r="E31" s="132"/>
      <x:c r="F31" s="107" t="n">
        <x:f>'Вводные'!$K$31*'Вводные'!$H$5*INDEX('Вводные'!$S$88:$S$91,'Вводные'!$K$21)*INDEX('Вводные'!$AG$88:$AG$91,'Вводные'!$K$21)</x:f>
      </x:c>
      <x:c r="G31" s="107" t="n">
        <x:f>'ОБЪЕКТЫ'!B24</x:f>
      </x:c>
      <x:c r="H31" t="str">
        <x:v>Отдельно стоящий офисный объект</x:v>
      </x:c>
    </x:row>
    <x:row r="32">
      <x:c r="A32" t="str">
        <x:v>Проект</x:v>
      </x:c>
      <x:c r="B32" t="str">
        <x:v>Торговый центр / коммерция ОСЗ</x:v>
      </x:c>
      <x:c r="C32" s="132" t="n">
        <x:f>'Вводные'!$K$45</x:f>
      </x:c>
      <x:c r="D32" s="132" t="n">
        <x:f>'Вводные'!$K$46</x:f>
      </x:c>
      <x:c r="E32" s="132"/>
      <x:c r="F32" s="107" t="n">
        <x:f>'Вводные'!$K$51*'Вводные'!$H$5*INDEX('Вводные'!$S$88:$S$91,'Вводные'!$K$41)*INDEX('Вводные'!$AG$88:$AG$91,'Вводные'!$K$41)</x:f>
      </x:c>
      <x:c r="G32" s="107" t="n">
        <x:f>'ОБЪЕКТЫ'!B52</x:f>
      </x:c>
      <x:c r="H32" t="str">
        <x:v>Отдельно стоящий торговый объект</x:v>
      </x:c>
    </x:row>
    <x:row r="33">
      <x:c r="A33" t="str">
        <x:v>Проект</x:v>
      </x:c>
      <x:c r="B33" t="str">
        <x:v>Наземный многоэтажный паркинг</x:v>
      </x:c>
      <x:c r="C33" s="132" t="n">
        <x:f>'Вводные'!$K$66</x:f>
      </x:c>
      <x:c r="D33" s="132"/>
      <x:c r="E33" s="132" t="n">
        <x:f>'Вводные'!$K$65</x:f>
      </x:c>
      <x:c r="F33" s="107" t="n">
        <x:f>'Вводные'!$K$71*1000*'Вводные'!$H$5*INDEX('Вводные'!$S$88:$S$91,'Вводные'!$K$61)*INDEX('Вводные'!$AG$88:$AG$91,'Вводные'!$K$61)</x:f>
      </x:c>
      <x:c r="G33" s="107" t="n">
        <x:f>'ОБЪЕКТЫ'!B80</x:f>
      </x:c>
      <x:c r="H33" t="str">
        <x:v>Машино-места; GBA = места × площадь на место</x:v>
      </x:c>
    </x:row>
    <x:row r="34">
      <x:c r="A34" s="348" t="str">
        <x:v>ИТОГО ОБЪЕКТЫ</x:v>
      </x:c>
      <x:c r="B34" s="348"/>
      <x:c r="C34" s="351" t="n">
        <x:f>SUM(C31:C33)</x:f>
      </x:c>
      <x:c r="D34" s="351" t="n">
        <x:f>SUM(D31:D33)</x:f>
      </x:c>
      <x:c r="E34" s="351" t="n">
        <x:f>SUM(E31:E33)</x:f>
      </x:c>
      <x:c r="F34" s="348"/>
      <x:c r="G34" s="348" t="n">
        <x:f>SUM(G31:G33)</x:f>
      </x:c>
      <x:c r="H34" s="348"/>
    </x:row>
    <x:row r="35">
      <x:c r="C35" s="132"/>
      <x:c r="D35" s="132"/>
      <x:c r="E35" s="132"/>
      <x:c r="F35" s="107"/>
      <x:c r="G35" s="107"/>
    </x:row>
    <x:row r="36">
      <x:c r="A36" s="348" t="str">
        <x:v>ИТОГО ПРОЕКТ</x:v>
      </x:c>
      <x:c r="B36" s="348"/>
      <x:c r="C36" s="351" t="n">
        <x:f>SUM(C28,C34)</x:f>
      </x:c>
      <x:c r="D36" s="351" t="n">
        <x:f>SUM(D28,D34)</x:f>
      </x:c>
      <x:c r="E36" s="351" t="n">
        <x:f>SUM(E28,E34)</x:f>
      </x:c>
      <x:c r="F36" s="348"/>
      <x:c r="G36" s="348" t="n">
        <x:f>SUM(G28,G34)</x:f>
      </x:c>
      <x:c r="H36" s="348"/>
    </x:row>
  </x:sheetData>
  <x:mergeCells>
    <x:mergeCell ref="A1:H1"/>
    <x:mergeCell ref="A30:H3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3" hidden="0" customWidth="1"/>
    <x:col min="4" max="4" width="13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  <x:col min="36" max="36" width="4" hidden="0" customWidth="1"/>
    <x:col min="37" max="37" width="4" hidden="0" customWidth="1"/>
    <x:col min="38" max="38" width="4" hidden="0" customWidth="1"/>
    <x:col min="39" max="39" width="4" hidden="0" customWidth="1"/>
    <x:col min="40" max="40" width="4" hidden="0" customWidth="1"/>
    <x:col min="41" max="41" width="4" hidden="0" customWidth="1"/>
    <x:col min="42" max="42" width="4" hidden="0" customWidth="1"/>
    <x:col min="43" max="43" width="4" hidden="0" customWidth="1"/>
    <x:col min="44" max="44" width="4" hidden="0" customWidth="1"/>
    <x:col min="45" max="45" width="4" hidden="0" customWidth="1"/>
    <x:col min="46" max="46" width="4" hidden="0" customWidth="1"/>
    <x:col min="47" max="47" width="4" hidden="0" customWidth="1"/>
    <x:col min="48" max="48" width="4" hidden="0" customWidth="1"/>
    <x:col min="49" max="49" width="4" hidden="0" customWidth="1"/>
    <x:col min="50" max="50" width="4" hidden="0" customWidth="1"/>
    <x:col min="51" max="51" width="4" hidden="0" customWidth="1"/>
    <x:col min="52" max="52" width="4" hidden="0" customWidth="1"/>
    <x:col min="53" max="53" width="4" hidden="0" customWidth="1"/>
    <x:col min="54" max="54" width="4" hidden="0" customWidth="1"/>
    <x:col min="55" max="55" width="4" hidden="0" customWidth="1"/>
    <x:col min="56" max="56" width="4" hidden="0" customWidth="1"/>
    <x:col min="57" max="57" width="4" hidden="0" customWidth="1"/>
    <x:col min="58" max="58" width="4" hidden="0" customWidth="1"/>
    <x:col min="59" max="59" width="4" hidden="0" customWidth="1"/>
    <x:col min="60" max="60" width="4" hidden="0" customWidth="1"/>
    <x:col min="61" max="61" width="4" hidden="0" customWidth="1"/>
    <x:col min="62" max="62" width="4" hidden="0" customWidth="1"/>
    <x:col min="63" max="63" width="4" hidden="0" customWidth="1"/>
    <x:col min="64" max="64" width="4" hidden="0" customWidth="1"/>
    <x:col min="65" max="65" width="4" hidden="0" customWidth="1"/>
    <x:col min="66" max="66" width="4" hidden="0" customWidth="1"/>
    <x:col min="67" max="67" width="4" hidden="0" customWidth="1"/>
    <x:col min="68" max="68" width="4" hidden="0" customWidth="1"/>
    <x:col min="69" max="69" width="4" hidden="0" customWidth="1"/>
    <x:col min="70" max="70" width="4" hidden="0" customWidth="1"/>
    <x:col min="71" max="71" width="4" hidden="0" customWidth="1"/>
    <x:col min="72" max="72" width="4" hidden="0" customWidth="1"/>
    <x:col min="73" max="73" width="4" hidden="0" customWidth="1"/>
    <x:col min="74" max="74" width="4" hidden="0" customWidth="1"/>
    <x:col min="75" max="75" width="4" hidden="0" customWidth="1"/>
    <x:col min="76" max="76" width="4" hidden="0" customWidth="1"/>
    <x:col min="77" max="77" width="4" hidden="0" customWidth="1"/>
    <x:col min="78" max="78" width="4" hidden="0" customWidth="1"/>
    <x:col min="79" max="79" width="4" hidden="0" customWidth="1"/>
    <x:col min="80" max="80" width="4" hidden="0" customWidth="1"/>
    <x:col min="81" max="81" width="4" hidden="0" customWidth="1"/>
    <x:col min="82" max="82" width="4" hidden="0" customWidth="1"/>
    <x:col min="83" max="83" width="4" hidden="0" customWidth="1"/>
    <x:col min="84" max="84" width="4" hidden="0" customWidth="1"/>
    <x:col min="85" max="85" width="4" hidden="0" customWidth="1"/>
    <x:col min="86" max="86" width="4" hidden="0" customWidth="1"/>
    <x:col min="87" max="87" width="4" hidden="0" customWidth="1"/>
    <x:col min="88" max="88" width="4" hidden="0" customWidth="1"/>
    <x:col min="89" max="89" width="4" hidden="0" customWidth="1"/>
    <x:col min="90" max="90" width="4" hidden="0" customWidth="1"/>
    <x:col min="91" max="91" width="4" hidden="0" customWidth="1"/>
    <x:col min="92" max="92" width="4" hidden="0" customWidth="1"/>
    <x:col min="93" max="93" width="4" hidden="0" customWidth="1"/>
    <x:col min="94" max="94" width="4" hidden="0" customWidth="1"/>
    <x:col min="95" max="95" width="4" hidden="0" customWidth="1"/>
    <x:col min="96" max="96" width="4" hidden="0" customWidth="1"/>
    <x:col min="97" max="97" width="4" hidden="0" customWidth="1"/>
    <x:col min="98" max="98" width="4" hidden="0" customWidth="1"/>
    <x:col min="99" max="99" width="4" hidden="0" customWidth="1"/>
    <x:col min="100" max="100" width="4" hidden="0" customWidth="1"/>
    <x:col min="101" max="101" width="4" hidden="0" customWidth="1"/>
    <x:col min="102" max="102" width="4" hidden="0" customWidth="1"/>
    <x:col min="103" max="103" width="4" hidden="0" customWidth="1"/>
    <x:col min="104" max="104" width="4" hidden="0" customWidth="1"/>
    <x:col min="105" max="105" width="4" hidden="0" customWidth="1"/>
    <x:col min="106" max="106" width="4" hidden="0" customWidth="1"/>
    <x:col min="107" max="107" width="4" hidden="0" customWidth="1"/>
    <x:col min="108" max="108" width="4" hidden="0" customWidth="1"/>
    <x:col min="109" max="109" width="4" hidden="0" customWidth="1"/>
    <x:col min="110" max="110" width="4" hidden="0" customWidth="1"/>
    <x:col min="111" max="111" width="4" hidden="0" customWidth="1"/>
    <x:col min="112" max="112" width="4" hidden="0" customWidth="1"/>
    <x:col min="113" max="113" width="4" hidden="0" customWidth="1"/>
    <x:col min="114" max="114" width="4" hidden="0" customWidth="1"/>
    <x:col min="115" max="115" width="4" hidden="0" customWidth="1"/>
    <x:col min="116" max="116" width="4" hidden="0" customWidth="1"/>
    <x:col min="117" max="117" width="4" hidden="0" customWidth="1"/>
    <x:col min="118" max="118" width="4" hidden="0" customWidth="1"/>
    <x:col min="119" max="119" width="4" hidden="0" customWidth="1"/>
    <x:col min="120" max="120" width="4" hidden="0" customWidth="1"/>
    <x:col min="121" max="121" width="4" hidden="0" customWidth="1"/>
    <x:col min="122" max="122" width="4" hidden="0" customWidth="1"/>
    <x:col min="123" max="123" width="4" hidden="0" customWidth="1"/>
    <x:col min="124" max="124" width="4" hidden="0" customWidth="1"/>
  </x:cols>
  <x:sheetData>
    <x:row r="1" ht="28" customHeight="1">
      <x:c r="A1" s="4" t="str">
        <x:v>КАЛЕНДАРНЫЙ ПЛАН И ВЕХИ</x:v>
      </x:c>
      <x:c r="B1" s="4" t="str">
        <x:v>КАЛЕНДАРНЫЙ ПЛАН И ВЕХИ</x:v>
      </x:c>
      <x:c r="C1" s="4" t="str">
        <x:v>КАЛЕНДАРНЫЙ ПЛАН И ВЕХИ</x:v>
      </x:c>
      <x:c r="D1" s="4" t="str">
        <x:v>КАЛЕНДАРНЫЙ ПЛАН И ВЕХИ</x:v>
      </x:c>
      <x:c r="E1" s="4" t="str">
        <x:v>КАЛЕНДАРНЫЙ ПЛАН И ВЕХИ</x:v>
      </x:c>
      <x:c r="F1" s="4" t="str">
        <x:v>КАЛЕНДАРНЫЙ ПЛАН И ВЕХИ</x:v>
      </x:c>
      <x:c r="G1" s="4" t="str">
        <x:v>КАЛЕНДАРНЫЙ ПЛАН И ВЕХИ</x:v>
      </x:c>
      <x:c r="H1" s="4" t="str">
        <x:v>КАЛЕНДАРНЫЙ ПЛАН И ВЕХИ</x:v>
      </x:c>
      <x:c r="I1" s="4" t="str">
        <x:v>КАЛЕНДАРНЫЙ ПЛАН И ВЕХИ</x:v>
      </x:c>
      <x:c r="J1" s="4" t="str">
        <x:v>КАЛЕНДАРНЫЙ ПЛАН И ВЕХИ</x:v>
      </x:c>
      <x:c r="K1" s="4" t="str">
        <x:v>КАЛЕНДАРНЫЙ ПЛАН И ВЕХИ</x:v>
      </x:c>
      <x:c r="L1" s="4" t="str">
        <x:v>КАЛЕНДАРНЫЙ ПЛАН И ВЕХИ</x:v>
      </x:c>
      <x:c r="M1" s="4" t="str">
        <x:v>КАЛЕНДАРНЫЙ ПЛАН И ВЕХИ</x:v>
      </x:c>
      <x:c r="N1" s="4" t="str">
        <x:v>КАЛЕНДАРНЫЙ ПЛАН И ВЕХИ</x:v>
      </x:c>
      <x:c r="O1" s="4" t="str">
        <x:v>КАЛЕНДАРНЫЙ ПЛАН И ВЕХИ</x:v>
      </x:c>
      <x:c r="P1" s="4" t="str">
        <x:v>КАЛЕНДАРНЫЙ ПЛАН И ВЕХИ</x:v>
      </x:c>
      <x:c r="Q1" s="4" t="str">
        <x:v>КАЛЕНДАРНЫЙ ПЛАН И ВЕХИ</x:v>
      </x:c>
      <x:c r="R1" s="4" t="str">
        <x:v>КАЛЕНДАРНЫЙ ПЛАН И ВЕХИ</x:v>
      </x:c>
      <x:c r="S1" s="4" t="str">
        <x:v>КАЛЕНДАРНЫЙ ПЛАН И ВЕХИ</x:v>
      </x:c>
      <x:c r="T1" s="4" t="str">
        <x:v>КАЛЕНДАРНЫЙ ПЛАН И ВЕХИ</x:v>
      </x:c>
      <x:c r="U1" s="4" t="str">
        <x:v>КАЛЕНДАРНЫЙ ПЛАН И ВЕХИ</x:v>
      </x:c>
      <x:c r="V1" s="4" t="str">
        <x:v>КАЛЕНДАРНЫЙ ПЛАН И ВЕХИ</x:v>
      </x:c>
      <x:c r="W1" s="4" t="str">
        <x:v>КАЛЕНДАРНЫЙ ПЛАН И ВЕХИ</x:v>
      </x:c>
      <x:c r="X1" s="4" t="str">
        <x:v>КАЛЕНДАРНЫЙ ПЛАН И ВЕХИ</x:v>
      </x:c>
      <x:c r="Y1" s="4" t="str">
        <x:v>КАЛЕНДАРНЫЙ ПЛАН И ВЕХИ</x:v>
      </x:c>
      <x:c r="Z1" s="4" t="str">
        <x:v>КАЛЕНДАРНЫЙ ПЛАН И ВЕХИ</x:v>
      </x:c>
      <x:c r="AA1" s="4" t="str">
        <x:v>КАЛЕНДАРНЫЙ ПЛАН И ВЕХИ</x:v>
      </x:c>
      <x:c r="AB1" s="4" t="str">
        <x:v>КАЛЕНДАРНЫЙ ПЛАН И ВЕХИ</x:v>
      </x:c>
      <x:c r="AC1" s="4" t="str">
        <x:v>КАЛЕНДАРНЫЙ ПЛАН И ВЕХИ</x:v>
      </x:c>
      <x:c r="AD1" s="4" t="str">
        <x:v>КАЛЕНДАРНЫЙ ПЛАН И ВЕХИ</x:v>
      </x:c>
      <x:c r="AE1" s="4" t="str">
        <x:v>КАЛЕНДАРНЫЙ ПЛАН И ВЕХИ</x:v>
      </x:c>
      <x:c r="AF1" s="4" t="str">
        <x:v>КАЛЕНДАРНЫЙ ПЛАН И ВЕХИ</x:v>
      </x:c>
      <x:c r="AG1" s="4" t="str">
        <x:v>КАЛЕНДАРНЫЙ ПЛАН И ВЕХИ</x:v>
      </x:c>
      <x:c r="AH1" s="4" t="str">
        <x:v>КАЛЕНДАРНЫЙ ПЛАН И ВЕХИ</x:v>
      </x:c>
      <x:c r="AI1" s="4" t="str">
        <x:v>КАЛЕНДАРНЫЙ ПЛАН И ВЕХИ</x:v>
      </x:c>
      <x:c r="AJ1" s="4" t="str">
        <x:v>КАЛЕНДАРНЫЙ ПЛАН И ВЕХИ</x:v>
      </x:c>
      <x:c r="AK1" s="4" t="str">
        <x:v>КАЛЕНДАРНЫЙ ПЛАН И ВЕХИ</x:v>
      </x:c>
      <x:c r="AL1" s="4" t="str">
        <x:v>КАЛЕНДАРНЫЙ ПЛАН И ВЕХИ</x:v>
      </x:c>
      <x:c r="AM1" s="4" t="str">
        <x:v>КАЛЕНДАРНЫЙ ПЛАН И ВЕХИ</x:v>
      </x:c>
      <x:c r="AN1" s="4" t="str">
        <x:v>КАЛЕНДАРНЫЙ ПЛАН И ВЕХИ</x:v>
      </x:c>
      <x:c r="AO1" s="4" t="str">
        <x:v>КАЛЕНДАРНЫЙ ПЛАН И ВЕХИ</x:v>
      </x:c>
      <x:c r="AP1" s="4" t="str">
        <x:v>КАЛЕНДАРНЫЙ ПЛАН И ВЕХИ</x:v>
      </x:c>
      <x:c r="AQ1" s="4" t="str">
        <x:v>КАЛЕНДАРНЫЙ ПЛАН И ВЕХИ</x:v>
      </x:c>
      <x:c r="AR1" s="4" t="str">
        <x:v>КАЛЕНДАРНЫЙ ПЛАН И ВЕХИ</x:v>
      </x:c>
      <x:c r="AS1" s="4" t="str">
        <x:v>КАЛЕНДАРНЫЙ ПЛАН И ВЕХИ</x:v>
      </x:c>
      <x:c r="AT1" s="4" t="str">
        <x:v>КАЛЕНДАРНЫЙ ПЛАН И ВЕХИ</x:v>
      </x:c>
      <x:c r="AU1" s="4" t="str">
        <x:v>КАЛЕНДАРНЫЙ ПЛАН И ВЕХИ</x:v>
      </x:c>
      <x:c r="AV1" s="4" t="str">
        <x:v>КАЛЕНДАРНЫЙ ПЛАН И ВЕХИ</x:v>
      </x:c>
      <x:c r="AW1" s="4" t="str">
        <x:v>КАЛЕНДАРНЫЙ ПЛАН И ВЕХИ</x:v>
      </x:c>
      <x:c r="AX1" s="4" t="str">
        <x:v>КАЛЕНДАРНЫЙ ПЛАН И ВЕХИ</x:v>
      </x:c>
      <x:c r="AY1" s="4" t="str">
        <x:v>КАЛЕНДАРНЫЙ ПЛАН И ВЕХИ</x:v>
      </x:c>
      <x:c r="AZ1" s="4" t="str">
        <x:v>КАЛЕНДАРНЫЙ ПЛАН И ВЕХИ</x:v>
      </x:c>
      <x:c r="BA1" s="4" t="str">
        <x:v>КАЛЕНДАРНЫЙ ПЛАН И ВЕХИ</x:v>
      </x:c>
      <x:c r="BB1" s="4" t="str">
        <x:v>КАЛЕНДАРНЫЙ ПЛАН И ВЕХИ</x:v>
      </x:c>
      <x:c r="BC1" s="4" t="str">
        <x:v>КАЛЕНДАРНЫЙ ПЛАН И ВЕХИ</x:v>
      </x:c>
      <x:c r="BD1" s="4" t="str">
        <x:v>КАЛЕНДАРНЫЙ ПЛАН И ВЕХИ</x:v>
      </x:c>
      <x:c r="BE1" s="4" t="str">
        <x:v>КАЛЕНДАРНЫЙ ПЛАН И ВЕХИ</x:v>
      </x:c>
      <x:c r="BF1" s="4" t="str">
        <x:v>КАЛЕНДАРНЫЙ ПЛАН И ВЕХИ</x:v>
      </x:c>
      <x:c r="BG1" s="4" t="str">
        <x:v>КАЛЕНДАРНЫЙ ПЛАН И ВЕХИ</x:v>
      </x:c>
      <x:c r="BH1" s="4" t="str">
        <x:v>КАЛЕНДАРНЫЙ ПЛАН И ВЕХИ</x:v>
      </x:c>
      <x:c r="BI1" s="4" t="str">
        <x:v>КАЛЕНДАРНЫЙ ПЛАН И ВЕХИ</x:v>
      </x:c>
      <x:c r="BJ1" s="4" t="str">
        <x:v>КАЛЕНДАРНЫЙ ПЛАН И ВЕХИ</x:v>
      </x:c>
      <x:c r="BK1" s="4" t="str">
        <x:v>КАЛЕНДАРНЫЙ ПЛАН И ВЕХИ</x:v>
      </x:c>
      <x:c r="BL1" s="4" t="str">
        <x:v>КАЛЕНДАРНЫЙ ПЛАН И ВЕХИ</x:v>
      </x:c>
      <x:c r="BM1" s="4" t="str">
        <x:v>КАЛЕНДАРНЫЙ ПЛАН И ВЕХИ</x:v>
      </x:c>
      <x:c r="BN1" s="4" t="str">
        <x:v>КАЛЕНДАРНЫЙ ПЛАН И ВЕХИ</x:v>
      </x:c>
      <x:c r="BO1" s="4" t="str">
        <x:v>КАЛЕНДАРНЫЙ ПЛАН И ВЕХИ</x:v>
      </x:c>
      <x:c r="BP1" s="4" t="str">
        <x:v>КАЛЕНДАРНЫЙ ПЛАН И ВЕХИ</x:v>
      </x:c>
      <x:c r="BQ1" s="4" t="str">
        <x:v>КАЛЕНДАРНЫЙ ПЛАН И ВЕХИ</x:v>
      </x:c>
      <x:c r="BR1" s="4" t="str">
        <x:v>КАЛЕНДАРНЫЙ ПЛАН И ВЕХИ</x:v>
      </x:c>
      <x:c r="BS1" s="4" t="str">
        <x:v>КАЛЕНДАРНЫЙ ПЛАН И ВЕХИ</x:v>
      </x:c>
      <x:c r="BT1" s="4" t="str">
        <x:v>КАЛЕНДАРНЫЙ ПЛАН И ВЕХИ</x:v>
      </x:c>
      <x:c r="BU1" s="4" t="str">
        <x:v>КАЛЕНДАРНЫЙ ПЛАН И ВЕХИ</x:v>
      </x:c>
      <x:c r="BV1" s="4" t="str">
        <x:v>КАЛЕНДАРНЫЙ ПЛАН И ВЕХИ</x:v>
      </x:c>
      <x:c r="BW1" s="4" t="str">
        <x:v>КАЛЕНДАРНЫЙ ПЛАН И ВЕХИ</x:v>
      </x:c>
      <x:c r="BX1" s="4" t="str">
        <x:v>КАЛЕНДАРНЫЙ ПЛАН И ВЕХИ</x:v>
      </x:c>
      <x:c r="BY1" s="4" t="str">
        <x:v>КАЛЕНДАРНЫЙ ПЛАН И ВЕХИ</x:v>
      </x:c>
      <x:c r="BZ1" s="4" t="str">
        <x:v>КАЛЕНДАРНЫЙ ПЛАН И ВЕХИ</x:v>
      </x:c>
      <x:c r="CA1" s="4" t="str">
        <x:v>КАЛЕНДАРНЫЙ ПЛАН И ВЕХИ</x:v>
      </x:c>
      <x:c r="CB1" s="4" t="str">
        <x:v>КАЛЕНДАРНЫЙ ПЛАН И ВЕХИ</x:v>
      </x:c>
      <x:c r="CC1" s="4" t="str">
        <x:v>КАЛЕНДАРНЫЙ ПЛАН И ВЕХИ</x:v>
      </x:c>
      <x:c r="CD1" s="4" t="str">
        <x:v>КАЛЕНДАРНЫЙ ПЛАН И ВЕХИ</x:v>
      </x:c>
      <x:c r="CE1" s="4" t="str">
        <x:v>КАЛЕНДАРНЫЙ ПЛАН И ВЕХИ</x:v>
      </x:c>
      <x:c r="CF1" s="4" t="str">
        <x:v>КАЛЕНДАРНЫЙ ПЛАН И ВЕХИ</x:v>
      </x:c>
      <x:c r="CG1" s="4" t="str">
        <x:v>КАЛЕНДАРНЫЙ ПЛАН И ВЕХИ</x:v>
      </x:c>
      <x:c r="CH1" s="4" t="str">
        <x:v>КАЛЕНДАРНЫЙ ПЛАН И ВЕХИ</x:v>
      </x:c>
      <x:c r="CI1" s="4" t="str">
        <x:v>КАЛЕНДАРНЫЙ ПЛАН И ВЕХИ</x:v>
      </x:c>
      <x:c r="CJ1" s="4" t="str">
        <x:v>КАЛЕНДАРНЫЙ ПЛАН И ВЕХИ</x:v>
      </x:c>
      <x:c r="CK1" s="4" t="str">
        <x:v>КАЛЕНДАРНЫЙ ПЛАН И ВЕХИ</x:v>
      </x:c>
      <x:c r="CL1" s="4" t="str">
        <x:v>КАЛЕНДАРНЫЙ ПЛАН И ВЕХИ</x:v>
      </x:c>
      <x:c r="CM1" s="4" t="str">
        <x:v>КАЛЕНДАРНЫЙ ПЛАН И ВЕХИ</x:v>
      </x:c>
      <x:c r="CN1" s="4" t="str">
        <x:v>КАЛЕНДАРНЫЙ ПЛАН И ВЕХИ</x:v>
      </x:c>
      <x:c r="CO1" s="4" t="str">
        <x:v>КАЛЕНДАРНЫЙ ПЛАН И ВЕХИ</x:v>
      </x:c>
      <x:c r="CP1" s="4" t="str">
        <x:v>КАЛЕНДАРНЫЙ ПЛАН И ВЕХИ</x:v>
      </x:c>
      <x:c r="CQ1" s="4" t="str">
        <x:v>КАЛЕНДАРНЫЙ ПЛАН И ВЕХИ</x:v>
      </x:c>
      <x:c r="CR1" s="4" t="str">
        <x:v>КАЛЕНДАРНЫЙ ПЛАН И ВЕХИ</x:v>
      </x:c>
      <x:c r="CS1" s="4" t="str">
        <x:v>КАЛЕНДАРНЫЙ ПЛАН И ВЕХИ</x:v>
      </x:c>
      <x:c r="CT1" s="4" t="str">
        <x:v>КАЛЕНДАРНЫЙ ПЛАН И ВЕХИ</x:v>
      </x:c>
      <x:c r="CU1" s="4" t="str">
        <x:v>КАЛЕНДАРНЫЙ ПЛАН И ВЕХИ</x:v>
      </x:c>
      <x:c r="CV1" s="4" t="str">
        <x:v>КАЛЕНДАРНЫЙ ПЛАН И ВЕХИ</x:v>
      </x:c>
      <x:c r="CW1" s="4" t="str">
        <x:v>КАЛЕНДАРНЫЙ ПЛАН И ВЕХИ</x:v>
      </x:c>
      <x:c r="CX1" s="4" t="str">
        <x:v>КАЛЕНДАРНЫЙ ПЛАН И ВЕХИ</x:v>
      </x:c>
      <x:c r="CY1" s="4" t="str">
        <x:v>КАЛЕНДАРНЫЙ ПЛАН И ВЕХИ</x:v>
      </x:c>
      <x:c r="CZ1" s="4" t="str">
        <x:v>КАЛЕНДАРНЫЙ ПЛАН И ВЕХИ</x:v>
      </x:c>
      <x:c r="DA1" s="4" t="str">
        <x:v>КАЛЕНДАРНЫЙ ПЛАН И ВЕХИ</x:v>
      </x:c>
      <x:c r="DB1" s="4" t="str">
        <x:v>КАЛЕНДАРНЫЙ ПЛАН И ВЕХИ</x:v>
      </x:c>
      <x:c r="DC1" s="4" t="str">
        <x:v>КАЛЕНДАРНЫЙ ПЛАН И ВЕХИ</x:v>
      </x:c>
      <x:c r="DD1" s="4" t="str">
        <x:v>КАЛЕНДАРНЫЙ ПЛАН И ВЕХИ</x:v>
      </x:c>
      <x:c r="DE1" s="4" t="str">
        <x:v>КАЛЕНДАРНЫЙ ПЛАН И ВЕХИ</x:v>
      </x:c>
      <x:c r="DF1" s="4" t="str">
        <x:v>КАЛЕНДАРНЫЙ ПЛАН И ВЕХИ</x:v>
      </x:c>
      <x:c r="DG1" s="4" t="str">
        <x:v>КАЛЕНДАРНЫЙ ПЛАН И ВЕХИ</x:v>
      </x:c>
      <x:c r="DH1" s="4" t="str">
        <x:v>КАЛЕНДАРНЫЙ ПЛАН И ВЕХИ</x:v>
      </x:c>
      <x:c r="DI1" s="4" t="str">
        <x:v>КАЛЕНДАРНЫЙ ПЛАН И ВЕХИ</x:v>
      </x:c>
      <x:c r="DJ1" s="4" t="str">
        <x:v>КАЛЕНДАРНЫЙ ПЛАН И ВЕХИ</x:v>
      </x:c>
      <x:c r="DK1" s="4" t="str">
        <x:v>КАЛЕНДАРНЫЙ ПЛАН И ВЕХИ</x:v>
      </x:c>
      <x:c r="DL1" s="4" t="str">
        <x:v>КАЛЕНДАРНЫЙ ПЛАН И ВЕХИ</x:v>
      </x:c>
      <x:c r="DM1" s="4" t="str">
        <x:v>КАЛЕНДАРНЫЙ ПЛАН И ВЕХИ</x:v>
      </x:c>
      <x:c r="DN1" s="4" t="str">
        <x:v>КАЛЕНДАРНЫЙ ПЛАН И ВЕХИ</x:v>
      </x:c>
      <x:c r="DO1" s="4" t="str">
        <x:v>КАЛЕНДАРНЫЙ ПЛАН И ВЕХИ</x:v>
      </x:c>
      <x:c r="DP1" s="4" t="str">
        <x:v>КАЛЕНДАРНЫЙ ПЛАН И ВЕХИ</x:v>
      </x:c>
      <x:c r="DQ1" s="4" t="str">
        <x:v>КАЛЕНДАРНЫЙ ПЛАН И ВЕХИ</x:v>
      </x:c>
      <x:c r="DR1" s="4" t="str">
        <x:v>КАЛЕНДАРНЫЙ ПЛАН И ВЕХИ</x:v>
      </x:c>
      <x:c r="DS1" s="4" t="str">
        <x:v>КАЛЕНДАРНЫЙ ПЛАН И ВЕХИ</x:v>
      </x:c>
      <x:c r="DT1" s="4" t="str">
        <x:v>КАЛЕНДАРНЫЙ ПЛАН И ВЕХИ</x:v>
      </x:c>
    </x:row>
    <x:row r="4">
      <x:c r="A4" s="23" t="str">
        <x:v>Очередь</x:v>
      </x:c>
      <x:c r="B4" s="23" t="str">
        <x:v>Событие</x:v>
      </x:c>
      <x:c r="C4" s="23" t="str">
        <x:v>Начало</x:v>
      </x:c>
      <x:c r="D4" s="23" t="str">
        <x:v>Окончание</x:v>
      </x:c>
      <x:c r="E4" s="96" t="n">
        <x:f>'Ставки'!D$3</x:f>
      </x:c>
      <x:c r="F4" s="96" t="n">
        <x:f>'Ставки'!E$3</x:f>
      </x:c>
      <x:c r="G4" s="96" t="n">
        <x:f>'Ставки'!F$3</x:f>
      </x:c>
      <x:c r="H4" s="96" t="n">
        <x:f>'Ставки'!G$3</x:f>
      </x:c>
      <x:c r="I4" s="96" t="n">
        <x:f>'Ставки'!H$3</x:f>
      </x:c>
      <x:c r="J4" s="96" t="n">
        <x:f>'Ставки'!I$3</x:f>
      </x:c>
      <x:c r="K4" s="96" t="n">
        <x:f>'Ставки'!J$3</x:f>
      </x:c>
      <x:c r="L4" s="96" t="n">
        <x:f>'Ставки'!K$3</x:f>
      </x:c>
      <x:c r="M4" s="96" t="n">
        <x:f>'Ставки'!L$3</x:f>
      </x:c>
      <x:c r="N4" s="96" t="n">
        <x:f>'Ставки'!M$3</x:f>
      </x:c>
      <x:c r="O4" s="96" t="n">
        <x:f>'Ставки'!N$3</x:f>
      </x:c>
      <x:c r="P4" s="96" t="n">
        <x:f>'Ставки'!O$3</x:f>
      </x:c>
      <x:c r="Q4" s="96" t="n">
        <x:f>'Ставки'!P$3</x:f>
      </x:c>
      <x:c r="R4" s="96" t="n">
        <x:f>'Ставки'!Q$3</x:f>
      </x:c>
      <x:c r="S4" s="96" t="n">
        <x:f>'Ставки'!R$3</x:f>
      </x:c>
      <x:c r="T4" s="96" t="n">
        <x:f>'Ставки'!S$3</x:f>
      </x:c>
      <x:c r="U4" s="96" t="n">
        <x:f>'Ставки'!T$3</x:f>
      </x:c>
      <x:c r="V4" s="96" t="n">
        <x:f>'Ставки'!U$3</x:f>
      </x:c>
      <x:c r="W4" s="96" t="n">
        <x:f>'Ставки'!V$3</x:f>
      </x:c>
      <x:c r="X4" s="96" t="n">
        <x:f>'Ставки'!W$3</x:f>
      </x:c>
      <x:c r="Y4" s="96" t="n">
        <x:f>'Ставки'!X$3</x:f>
      </x:c>
      <x:c r="Z4" s="96" t="n">
        <x:f>'Ставки'!Y$3</x:f>
      </x:c>
      <x:c r="AA4" s="96" t="n">
        <x:f>'Ставки'!Z$3</x:f>
      </x:c>
      <x:c r="AB4" s="96" t="n">
        <x:f>'Ставки'!AA$3</x:f>
      </x:c>
      <x:c r="AC4" s="96" t="n">
        <x:f>'Ставки'!AB$3</x:f>
      </x:c>
      <x:c r="AD4" s="96" t="n">
        <x:f>'Ставки'!AC$3</x:f>
      </x:c>
      <x:c r="AE4" s="96" t="n">
        <x:f>'Ставки'!AD$3</x:f>
      </x:c>
      <x:c r="AF4" s="96" t="n">
        <x:f>'Ставки'!AE$3</x:f>
      </x:c>
      <x:c r="AG4" s="96" t="n">
        <x:f>'Ставки'!AF$3</x:f>
      </x:c>
      <x:c r="AH4" s="96" t="n">
        <x:f>'Ставки'!AG$3</x:f>
      </x:c>
      <x:c r="AI4" s="96" t="n">
        <x:f>'Ставки'!AH$3</x:f>
      </x:c>
      <x:c r="AJ4" s="96" t="n">
        <x:f>'Ставки'!AI$3</x:f>
      </x:c>
      <x:c r="AK4" s="96" t="n">
        <x:f>'Ставки'!AJ$3</x:f>
      </x:c>
      <x:c r="AL4" s="96" t="n">
        <x:f>'Ставки'!AK$3</x:f>
      </x:c>
      <x:c r="AM4" s="96" t="n">
        <x:f>'Ставки'!AL$3</x:f>
      </x:c>
      <x:c r="AN4" s="96" t="n">
        <x:f>'Ставки'!AM$3</x:f>
      </x:c>
      <x:c r="AO4" s="96" t="n">
        <x:f>'Ставки'!AN$3</x:f>
      </x:c>
      <x:c r="AP4" s="96" t="n">
        <x:f>'Ставки'!AO$3</x:f>
      </x:c>
      <x:c r="AQ4" s="96" t="n">
        <x:f>'Ставки'!AP$3</x:f>
      </x:c>
      <x:c r="AR4" s="96" t="n">
        <x:f>'Ставки'!AQ$3</x:f>
      </x:c>
      <x:c r="AS4" s="96" t="n">
        <x:f>'Ставки'!AR$3</x:f>
      </x:c>
      <x:c r="AT4" s="96" t="n">
        <x:f>'Ставки'!AS$3</x:f>
      </x:c>
      <x:c r="AU4" s="96" t="n">
        <x:f>'Ставки'!AT$3</x:f>
      </x:c>
      <x:c r="AV4" s="96" t="n">
        <x:f>'Ставки'!AU$3</x:f>
      </x:c>
      <x:c r="AW4" s="96" t="n">
        <x:f>'Ставки'!AV$3</x:f>
      </x:c>
      <x:c r="AX4" s="96" t="n">
        <x:f>'Ставки'!AW$3</x:f>
      </x:c>
      <x:c r="AY4" s="96" t="n">
        <x:f>'Ставки'!AX$3</x:f>
      </x:c>
      <x:c r="AZ4" s="96" t="n">
        <x:f>'Ставки'!AY$3</x:f>
      </x:c>
      <x:c r="BA4" s="96" t="n">
        <x:f>'Ставки'!AZ$3</x:f>
      </x:c>
      <x:c r="BB4" s="96" t="n">
        <x:f>'Ставки'!BA$3</x:f>
      </x:c>
      <x:c r="BC4" s="96" t="n">
        <x:f>'Ставки'!BB$3</x:f>
      </x:c>
      <x:c r="BD4" s="96" t="n">
        <x:f>'Ставки'!BC$3</x:f>
      </x:c>
      <x:c r="BE4" s="96" t="n">
        <x:f>'Ставки'!BD$3</x:f>
      </x:c>
      <x:c r="BF4" s="96" t="n">
        <x:f>'Ставки'!BE$3</x:f>
      </x:c>
      <x:c r="BG4" s="96" t="n">
        <x:f>'Ставки'!BF$3</x:f>
      </x:c>
      <x:c r="BH4" s="96" t="n">
        <x:f>'Ставки'!BG$3</x:f>
      </x:c>
      <x:c r="BI4" s="96" t="n">
        <x:f>'Ставки'!BH$3</x:f>
      </x:c>
      <x:c r="BJ4" s="96" t="n">
        <x:f>'Ставки'!BI$3</x:f>
      </x:c>
      <x:c r="BK4" s="96" t="n">
        <x:f>'Ставки'!BJ$3</x:f>
      </x:c>
      <x:c r="BL4" s="96" t="n">
        <x:f>'Ставки'!BK$3</x:f>
      </x:c>
      <x:c r="BM4" s="96" t="n">
        <x:f>'Ставки'!BL$3</x:f>
      </x:c>
      <x:c r="BN4" s="96" t="n">
        <x:f>'Ставки'!BM$3</x:f>
      </x:c>
      <x:c r="BO4" s="96" t="n">
        <x:f>'Ставки'!BN$3</x:f>
      </x:c>
      <x:c r="BP4" s="96" t="n">
        <x:f>'Ставки'!BO$3</x:f>
      </x:c>
      <x:c r="BQ4" s="96" t="n">
        <x:f>'Ставки'!BP$3</x:f>
      </x:c>
      <x:c r="BR4" s="96" t="n">
        <x:f>'Ставки'!BQ$3</x:f>
      </x:c>
      <x:c r="BS4" s="96" t="n">
        <x:f>'Ставки'!BR$3</x:f>
      </x:c>
      <x:c r="BT4" s="96" t="n">
        <x:f>'Ставки'!BS$3</x:f>
      </x:c>
      <x:c r="BU4" s="96" t="n">
        <x:f>'Ставки'!BT$3</x:f>
      </x:c>
      <x:c r="BV4" s="96" t="n">
        <x:f>'Ставки'!BU$3</x:f>
      </x:c>
      <x:c r="BW4" s="96" t="n">
        <x:f>'Ставки'!BV$3</x:f>
      </x:c>
      <x:c r="BX4" s="96" t="n">
        <x:f>'Ставки'!BW$3</x:f>
      </x:c>
      <x:c r="BY4" s="96" t="n">
        <x:f>'Ставки'!BX$3</x:f>
      </x:c>
      <x:c r="BZ4" s="96" t="n">
        <x:f>'Ставки'!BY$3</x:f>
      </x:c>
      <x:c r="CA4" s="96" t="n">
        <x:f>'Ставки'!BZ$3</x:f>
      </x:c>
      <x:c r="CB4" s="96" t="n">
        <x:f>'Ставки'!CA$3</x:f>
      </x:c>
      <x:c r="CC4" s="96" t="n">
        <x:f>'Ставки'!CB$3</x:f>
      </x:c>
      <x:c r="CD4" s="96" t="n">
        <x:f>'Ставки'!CC$3</x:f>
      </x:c>
      <x:c r="CE4" s="96" t="n">
        <x:f>'Ставки'!CD$3</x:f>
      </x:c>
      <x:c r="CF4" s="96" t="n">
        <x:f>'Ставки'!CE$3</x:f>
      </x:c>
      <x:c r="CG4" s="96" t="n">
        <x:f>'Ставки'!CF$3</x:f>
      </x:c>
      <x:c r="CH4" s="96" t="n">
        <x:f>'Ставки'!CG$3</x:f>
      </x:c>
      <x:c r="CI4" s="96" t="n">
        <x:f>'Ставки'!CH$3</x:f>
      </x:c>
      <x:c r="CJ4" s="96" t="n">
        <x:f>'Ставки'!CI$3</x:f>
      </x:c>
      <x:c r="CK4" s="96" t="n">
        <x:f>'Ставки'!CJ$3</x:f>
      </x:c>
      <x:c r="CL4" s="96" t="n">
        <x:f>'Ставки'!CK$3</x:f>
      </x:c>
      <x:c r="CM4" s="96" t="n">
        <x:f>'Ставки'!CL$3</x:f>
      </x:c>
      <x:c r="CN4" s="96" t="n">
        <x:f>'Ставки'!CM$3</x:f>
      </x:c>
      <x:c r="CO4" s="96" t="n">
        <x:f>'Ставки'!CN$3</x:f>
      </x:c>
      <x:c r="CP4" s="96" t="n">
        <x:f>'Ставки'!CO$3</x:f>
      </x:c>
      <x:c r="CQ4" s="96" t="n">
        <x:f>'Ставки'!CP$3</x:f>
      </x:c>
      <x:c r="CR4" s="96" t="n">
        <x:f>'Ставки'!CQ$3</x:f>
      </x:c>
      <x:c r="CS4" s="96" t="n">
        <x:f>'Ставки'!CR$3</x:f>
      </x:c>
      <x:c r="CT4" s="96" t="n">
        <x:f>'Ставки'!CS$3</x:f>
      </x:c>
      <x:c r="CU4" s="96" t="n">
        <x:f>'Ставки'!CT$3</x:f>
      </x:c>
      <x:c r="CV4" s="96" t="n">
        <x:f>'Ставки'!CU$3</x:f>
      </x:c>
      <x:c r="CW4" s="96" t="n">
        <x:f>'Ставки'!CV$3</x:f>
      </x:c>
      <x:c r="CX4" s="96" t="n">
        <x:f>'Ставки'!CW$3</x:f>
      </x:c>
      <x:c r="CY4" s="96" t="n">
        <x:f>'Ставки'!CX$3</x:f>
      </x:c>
      <x:c r="CZ4" s="96" t="n">
        <x:f>'Ставки'!CY$3</x:f>
      </x:c>
      <x:c r="DA4" s="96" t="n">
        <x:f>'Ставки'!CZ$3</x:f>
      </x:c>
      <x:c r="DB4" s="96" t="n">
        <x:f>'Ставки'!DA$3</x:f>
      </x:c>
      <x:c r="DC4" s="96" t="n">
        <x:f>'Ставки'!DB$3</x:f>
      </x:c>
      <x:c r="DD4" s="96" t="n">
        <x:f>'Ставки'!DC$3</x:f>
      </x:c>
      <x:c r="DE4" s="96" t="n">
        <x:f>'Ставки'!DD$3</x:f>
      </x:c>
      <x:c r="DF4" s="96" t="n">
        <x:f>'Ставки'!DE$3</x:f>
      </x:c>
      <x:c r="DG4" s="96" t="n">
        <x:f>'Ставки'!DF$3</x:f>
      </x:c>
      <x:c r="DH4" s="96" t="n">
        <x:f>'Ставки'!DG$3</x:f>
      </x:c>
      <x:c r="DI4" s="96" t="n">
        <x:f>'Ставки'!DH$3</x:f>
      </x:c>
      <x:c r="DJ4" s="96" t="n">
        <x:f>'Ставки'!DI$3</x:f>
      </x:c>
      <x:c r="DK4" s="96" t="n">
        <x:f>'Ставки'!DJ$3</x:f>
      </x:c>
      <x:c r="DL4" s="96" t="n">
        <x:f>'Ставки'!DK$3</x:f>
      </x:c>
      <x:c r="DM4" s="96" t="n">
        <x:f>'Ставки'!DL$3</x:f>
      </x:c>
      <x:c r="DN4" s="96" t="n">
        <x:f>'Ставки'!DM$3</x:f>
      </x:c>
      <x:c r="DO4" s="96" t="n">
        <x:f>'Ставки'!DN$3</x:f>
      </x:c>
      <x:c r="DP4" s="96" t="n">
        <x:f>'Ставки'!DO$3</x:f>
      </x:c>
      <x:c r="DQ4" s="96" t="n">
        <x:f>'Ставки'!DP$3</x:f>
      </x:c>
      <x:c r="DR4" s="96" t="n">
        <x:f>'Ставки'!DQ$3</x:f>
      </x:c>
      <x:c r="DS4" s="96" t="n">
        <x:f>'Ставки'!DR$3</x:f>
      </x:c>
      <x:c r="DT4" s="96" t="n">
        <x:f>'Ставки'!DS$3</x:f>
      </x:c>
    </x:row>
    <x:row r="5">
      <x:c r="A5" t="str">
        <x:f>'Вводные'!$C$88</x:f>
      </x:c>
      <x:c r="B5" t="str">
        <x:v>Сделка / старт</x:v>
      </x:c>
      <x:c r="C5" s="92" t="n">
        <x:f>EDATE('Вводные'!$D$88,'Вводные'!$H$9)</x:f>
      </x:c>
      <x:c r="D5" s="92" t="n">
        <x:f>C5</x:f>
      </x:c>
      <x:c r="E5" s="135" t="str">
        <x:f>IF(AND(E$4&gt;=$C5,E$4&lt;=$D5,'Вводные'!$B$88="Да"),"■","")</x:f>
      </x:c>
      <x:c r="F5" s="135" t="str">
        <x:f>IF(AND(F$4&gt;=$C5,F$4&lt;=$D5,'Вводные'!$B$88="Да"),"■","")</x:f>
      </x:c>
      <x:c r="G5" s="135" t="str">
        <x:f>IF(AND(G$4&gt;=$C5,G$4&lt;=$D5,'Вводные'!$B$88="Да"),"■","")</x:f>
      </x:c>
      <x:c r="H5" s="135" t="str">
        <x:f>IF(AND(H$4&gt;=$C5,H$4&lt;=$D5,'Вводные'!$B$88="Да"),"■","")</x:f>
      </x:c>
      <x:c r="I5" s="135" t="str">
        <x:f>IF(AND(I$4&gt;=$C5,I$4&lt;=$D5,'Вводные'!$B$88="Да"),"■","")</x:f>
      </x:c>
      <x:c r="J5" s="135" t="str">
        <x:f>IF(AND(J$4&gt;=$C5,J$4&lt;=$D5,'Вводные'!$B$88="Да"),"■","")</x:f>
      </x:c>
      <x:c r="K5" s="135" t="str">
        <x:f>IF(AND(K$4&gt;=$C5,K$4&lt;=$D5,'Вводные'!$B$88="Да"),"■","")</x:f>
      </x:c>
      <x:c r="L5" s="135" t="str">
        <x:f>IF(AND(L$4&gt;=$C5,L$4&lt;=$D5,'Вводные'!$B$88="Да"),"■","")</x:f>
      </x:c>
      <x:c r="M5" s="135" t="str">
        <x:f>IF(AND(M$4&gt;=$C5,M$4&lt;=$D5,'Вводные'!$B$88="Да"),"■","")</x:f>
      </x:c>
      <x:c r="N5" s="135" t="str">
        <x:f>IF(AND(N$4&gt;=$C5,N$4&lt;=$D5,'Вводные'!$B$88="Да"),"■","")</x:f>
      </x:c>
      <x:c r="O5" s="135" t="str">
        <x:f>IF(AND(O$4&gt;=$C5,O$4&lt;=$D5,'Вводные'!$B$88="Да"),"■","")</x:f>
      </x:c>
      <x:c r="P5" s="135" t="str">
        <x:f>IF(AND(P$4&gt;=$C5,P$4&lt;=$D5,'Вводные'!$B$88="Да"),"■","")</x:f>
      </x:c>
      <x:c r="Q5" s="135" t="str">
        <x:f>IF(AND(Q$4&gt;=$C5,Q$4&lt;=$D5,'Вводные'!$B$88="Да"),"■","")</x:f>
      </x:c>
      <x:c r="R5" s="135" t="str">
        <x:f>IF(AND(R$4&gt;=$C5,R$4&lt;=$D5,'Вводные'!$B$88="Да"),"■","")</x:f>
      </x:c>
      <x:c r="S5" s="135" t="str">
        <x:f>IF(AND(S$4&gt;=$C5,S$4&lt;=$D5,'Вводные'!$B$88="Да"),"■","")</x:f>
      </x:c>
      <x:c r="T5" s="135" t="str">
        <x:f>IF(AND(T$4&gt;=$C5,T$4&lt;=$D5,'Вводные'!$B$88="Да"),"■","")</x:f>
      </x:c>
      <x:c r="U5" s="135" t="str">
        <x:f>IF(AND(U$4&gt;=$C5,U$4&lt;=$D5,'Вводные'!$B$88="Да"),"■","")</x:f>
      </x:c>
      <x:c r="V5" s="135" t="str">
        <x:f>IF(AND(V$4&gt;=$C5,V$4&lt;=$D5,'Вводные'!$B$88="Да"),"■","")</x:f>
      </x:c>
      <x:c r="W5" s="135" t="str">
        <x:f>IF(AND(W$4&gt;=$C5,W$4&lt;=$D5,'Вводные'!$B$88="Да"),"■","")</x:f>
      </x:c>
      <x:c r="X5" s="135" t="str">
        <x:f>IF(AND(X$4&gt;=$C5,X$4&lt;=$D5,'Вводные'!$B$88="Да"),"■","")</x:f>
      </x:c>
      <x:c r="Y5" s="135" t="str">
        <x:f>IF(AND(Y$4&gt;=$C5,Y$4&lt;=$D5,'Вводные'!$B$88="Да"),"■","")</x:f>
      </x:c>
      <x:c r="Z5" s="135" t="str">
        <x:f>IF(AND(Z$4&gt;=$C5,Z$4&lt;=$D5,'Вводные'!$B$88="Да"),"■","")</x:f>
      </x:c>
      <x:c r="AA5" s="135" t="str">
        <x:f>IF(AND(AA$4&gt;=$C5,AA$4&lt;=$D5,'Вводные'!$B$88="Да"),"■","")</x:f>
      </x:c>
      <x:c r="AB5" s="135" t="str">
        <x:f>IF(AND(AB$4&gt;=$C5,AB$4&lt;=$D5,'Вводные'!$B$88="Да"),"■","")</x:f>
      </x:c>
      <x:c r="AC5" s="135" t="str">
        <x:f>IF(AND(AC$4&gt;=$C5,AC$4&lt;=$D5,'Вводные'!$B$88="Да"),"■","")</x:f>
      </x:c>
      <x:c r="AD5" s="135" t="str">
        <x:f>IF(AND(AD$4&gt;=$C5,AD$4&lt;=$D5,'Вводные'!$B$88="Да"),"■","")</x:f>
      </x:c>
      <x:c r="AE5" s="135" t="str">
        <x:f>IF(AND(AE$4&gt;=$C5,AE$4&lt;=$D5,'Вводные'!$B$88="Да"),"■","")</x:f>
      </x:c>
      <x:c r="AF5" s="135" t="str">
        <x:f>IF(AND(AF$4&gt;=$C5,AF$4&lt;=$D5,'Вводные'!$B$88="Да"),"■","")</x:f>
      </x:c>
      <x:c r="AG5" s="135" t="str">
        <x:f>IF(AND(AG$4&gt;=$C5,AG$4&lt;=$D5,'Вводные'!$B$88="Да"),"■","")</x:f>
      </x:c>
      <x:c r="AH5" s="135" t="str">
        <x:f>IF(AND(AH$4&gt;=$C5,AH$4&lt;=$D5,'Вводные'!$B$88="Да"),"■","")</x:f>
      </x:c>
      <x:c r="AI5" s="135" t="str">
        <x:f>IF(AND(AI$4&gt;=$C5,AI$4&lt;=$D5,'Вводные'!$B$88="Да"),"■","")</x:f>
      </x:c>
      <x:c r="AJ5" s="135" t="str">
        <x:f>IF(AND(AJ$4&gt;=$C5,AJ$4&lt;=$D5,'Вводные'!$B$88="Да"),"■","")</x:f>
      </x:c>
      <x:c r="AK5" s="135" t="str">
        <x:f>IF(AND(AK$4&gt;=$C5,AK$4&lt;=$D5,'Вводные'!$B$88="Да"),"■","")</x:f>
      </x:c>
      <x:c r="AL5" s="135" t="str">
        <x:f>IF(AND(AL$4&gt;=$C5,AL$4&lt;=$D5,'Вводные'!$B$88="Да"),"■","")</x:f>
      </x:c>
      <x:c r="AM5" s="135" t="str">
        <x:f>IF(AND(AM$4&gt;=$C5,AM$4&lt;=$D5,'Вводные'!$B$88="Да"),"■","")</x:f>
      </x:c>
      <x:c r="AN5" s="135" t="str">
        <x:f>IF(AND(AN$4&gt;=$C5,AN$4&lt;=$D5,'Вводные'!$B$88="Да"),"■","")</x:f>
      </x:c>
      <x:c r="AO5" s="135" t="str">
        <x:f>IF(AND(AO$4&gt;=$C5,AO$4&lt;=$D5,'Вводные'!$B$88="Да"),"■","")</x:f>
      </x:c>
      <x:c r="AP5" s="135" t="str">
        <x:f>IF(AND(AP$4&gt;=$C5,AP$4&lt;=$D5,'Вводные'!$B$88="Да"),"■","")</x:f>
      </x:c>
      <x:c r="AQ5" s="135" t="str">
        <x:f>IF(AND(AQ$4&gt;=$C5,AQ$4&lt;=$D5,'Вводные'!$B$88="Да"),"■","")</x:f>
      </x:c>
      <x:c r="AR5" s="135" t="str">
        <x:f>IF(AND(AR$4&gt;=$C5,AR$4&lt;=$D5,'Вводные'!$B$88="Да"),"■","")</x:f>
      </x:c>
      <x:c r="AS5" s="135" t="str">
        <x:f>IF(AND(AS$4&gt;=$C5,AS$4&lt;=$D5,'Вводные'!$B$88="Да"),"■","")</x:f>
      </x:c>
      <x:c r="AT5" s="135" t="str">
        <x:f>IF(AND(AT$4&gt;=$C5,AT$4&lt;=$D5,'Вводные'!$B$88="Да"),"■","")</x:f>
      </x:c>
      <x:c r="AU5" s="135" t="str">
        <x:f>IF(AND(AU$4&gt;=$C5,AU$4&lt;=$D5,'Вводные'!$B$88="Да"),"■","")</x:f>
      </x:c>
      <x:c r="AV5" s="135" t="str">
        <x:f>IF(AND(AV$4&gt;=$C5,AV$4&lt;=$D5,'Вводные'!$B$88="Да"),"■","")</x:f>
      </x:c>
      <x:c r="AW5" s="135" t="str">
        <x:f>IF(AND(AW$4&gt;=$C5,AW$4&lt;=$D5,'Вводные'!$B$88="Да"),"■","")</x:f>
      </x:c>
      <x:c r="AX5" s="135" t="str">
        <x:f>IF(AND(AX$4&gt;=$C5,AX$4&lt;=$D5,'Вводные'!$B$88="Да"),"■","")</x:f>
      </x:c>
      <x:c r="AY5" s="135" t="str">
        <x:f>IF(AND(AY$4&gt;=$C5,AY$4&lt;=$D5,'Вводные'!$B$88="Да"),"■","")</x:f>
      </x:c>
      <x:c r="AZ5" s="135" t="str">
        <x:f>IF(AND(AZ$4&gt;=$C5,AZ$4&lt;=$D5,'Вводные'!$B$88="Да"),"■","")</x:f>
      </x:c>
      <x:c r="BA5" s="135" t="str">
        <x:f>IF(AND(BA$4&gt;=$C5,BA$4&lt;=$D5,'Вводные'!$B$88="Да"),"■","")</x:f>
      </x:c>
      <x:c r="BB5" s="135" t="str">
        <x:f>IF(AND(BB$4&gt;=$C5,BB$4&lt;=$D5,'Вводные'!$B$88="Да"),"■","")</x:f>
      </x:c>
      <x:c r="BC5" s="135" t="str">
        <x:f>IF(AND(BC$4&gt;=$C5,BC$4&lt;=$D5,'Вводные'!$B$88="Да"),"■","")</x:f>
      </x:c>
      <x:c r="BD5" s="135" t="str">
        <x:f>IF(AND(BD$4&gt;=$C5,BD$4&lt;=$D5,'Вводные'!$B$88="Да"),"■","")</x:f>
      </x:c>
      <x:c r="BE5" s="135" t="str">
        <x:f>IF(AND(BE$4&gt;=$C5,BE$4&lt;=$D5,'Вводные'!$B$88="Да"),"■","")</x:f>
      </x:c>
      <x:c r="BF5" s="135" t="str">
        <x:f>IF(AND(BF$4&gt;=$C5,BF$4&lt;=$D5,'Вводные'!$B$88="Да"),"■","")</x:f>
      </x:c>
      <x:c r="BG5" s="135" t="str">
        <x:f>IF(AND(BG$4&gt;=$C5,BG$4&lt;=$D5,'Вводные'!$B$88="Да"),"■","")</x:f>
      </x:c>
      <x:c r="BH5" s="135" t="str">
        <x:f>IF(AND(BH$4&gt;=$C5,BH$4&lt;=$D5,'Вводные'!$B$88="Да"),"■","")</x:f>
      </x:c>
      <x:c r="BI5" s="135" t="str">
        <x:f>IF(AND(BI$4&gt;=$C5,BI$4&lt;=$D5,'Вводные'!$B$88="Да"),"■","")</x:f>
      </x:c>
      <x:c r="BJ5" s="135" t="str">
        <x:f>IF(AND(BJ$4&gt;=$C5,BJ$4&lt;=$D5,'Вводные'!$B$88="Да"),"■","")</x:f>
      </x:c>
      <x:c r="BK5" s="135" t="str">
        <x:f>IF(AND(BK$4&gt;=$C5,BK$4&lt;=$D5,'Вводные'!$B$88="Да"),"■","")</x:f>
      </x:c>
      <x:c r="BL5" s="135" t="str">
        <x:f>IF(AND(BL$4&gt;=$C5,BL$4&lt;=$D5,'Вводные'!$B$88="Да"),"■","")</x:f>
      </x:c>
      <x:c r="BM5" s="135" t="str">
        <x:f>IF(AND(BM$4&gt;=$C5,BM$4&lt;=$D5,'Вводные'!$B$88="Да"),"■","")</x:f>
      </x:c>
      <x:c r="BN5" s="135" t="str">
        <x:f>IF(AND(BN$4&gt;=$C5,BN$4&lt;=$D5,'Вводные'!$B$88="Да"),"■","")</x:f>
      </x:c>
      <x:c r="BO5" s="135" t="str">
        <x:f>IF(AND(BO$4&gt;=$C5,BO$4&lt;=$D5,'Вводные'!$B$88="Да"),"■","")</x:f>
      </x:c>
      <x:c r="BP5" s="135" t="str">
        <x:f>IF(AND(BP$4&gt;=$C5,BP$4&lt;=$D5,'Вводные'!$B$88="Да"),"■","")</x:f>
      </x:c>
      <x:c r="BQ5" s="135" t="str">
        <x:f>IF(AND(BQ$4&gt;=$C5,BQ$4&lt;=$D5,'Вводные'!$B$88="Да"),"■","")</x:f>
      </x:c>
      <x:c r="BR5" s="135" t="str">
        <x:f>IF(AND(BR$4&gt;=$C5,BR$4&lt;=$D5,'Вводные'!$B$88="Да"),"■","")</x:f>
      </x:c>
      <x:c r="BS5" s="135" t="str">
        <x:f>IF(AND(BS$4&gt;=$C5,BS$4&lt;=$D5,'Вводные'!$B$88="Да"),"■","")</x:f>
      </x:c>
      <x:c r="BT5" s="135" t="str">
        <x:f>IF(AND(BT$4&gt;=$C5,BT$4&lt;=$D5,'Вводные'!$B$88="Да"),"■","")</x:f>
      </x:c>
      <x:c r="BU5" s="135" t="str">
        <x:f>IF(AND(BU$4&gt;=$C5,BU$4&lt;=$D5,'Вводные'!$B$88="Да"),"■","")</x:f>
      </x:c>
      <x:c r="BV5" s="135" t="str">
        <x:f>IF(AND(BV$4&gt;=$C5,BV$4&lt;=$D5,'Вводные'!$B$88="Да"),"■","")</x:f>
      </x:c>
      <x:c r="BW5" s="135" t="str">
        <x:f>IF(AND(BW$4&gt;=$C5,BW$4&lt;=$D5,'Вводные'!$B$88="Да"),"■","")</x:f>
      </x:c>
      <x:c r="BX5" s="135" t="str">
        <x:f>IF(AND(BX$4&gt;=$C5,BX$4&lt;=$D5,'Вводные'!$B$88="Да"),"■","")</x:f>
      </x:c>
      <x:c r="BY5" s="135" t="str">
        <x:f>IF(AND(BY$4&gt;=$C5,BY$4&lt;=$D5,'Вводные'!$B$88="Да"),"■","")</x:f>
      </x:c>
      <x:c r="BZ5" s="135" t="str">
        <x:f>IF(AND(BZ$4&gt;=$C5,BZ$4&lt;=$D5,'Вводные'!$B$88="Да"),"■","")</x:f>
      </x:c>
      <x:c r="CA5" s="135" t="str">
        <x:f>IF(AND(CA$4&gt;=$C5,CA$4&lt;=$D5,'Вводные'!$B$88="Да"),"■","")</x:f>
      </x:c>
      <x:c r="CB5" s="135" t="str">
        <x:f>IF(AND(CB$4&gt;=$C5,CB$4&lt;=$D5,'Вводные'!$B$88="Да"),"■","")</x:f>
      </x:c>
      <x:c r="CC5" s="135" t="str">
        <x:f>IF(AND(CC$4&gt;=$C5,CC$4&lt;=$D5,'Вводные'!$B$88="Да"),"■","")</x:f>
      </x:c>
      <x:c r="CD5" s="135" t="str">
        <x:f>IF(AND(CD$4&gt;=$C5,CD$4&lt;=$D5,'Вводные'!$B$88="Да"),"■","")</x:f>
      </x:c>
      <x:c r="CE5" s="135" t="str">
        <x:f>IF(AND(CE$4&gt;=$C5,CE$4&lt;=$D5,'Вводные'!$B$88="Да"),"■","")</x:f>
      </x:c>
      <x:c r="CF5" s="135" t="str">
        <x:f>IF(AND(CF$4&gt;=$C5,CF$4&lt;=$D5,'Вводные'!$B$88="Да"),"■","")</x:f>
      </x:c>
      <x:c r="CG5" s="135" t="str">
        <x:f>IF(AND(CG$4&gt;=$C5,CG$4&lt;=$D5,'Вводные'!$B$88="Да"),"■","")</x:f>
      </x:c>
      <x:c r="CH5" s="135" t="str">
        <x:f>IF(AND(CH$4&gt;=$C5,CH$4&lt;=$D5,'Вводные'!$B$88="Да"),"■","")</x:f>
      </x:c>
      <x:c r="CI5" s="135" t="str">
        <x:f>IF(AND(CI$4&gt;=$C5,CI$4&lt;=$D5,'Вводные'!$B$88="Да"),"■","")</x:f>
      </x:c>
      <x:c r="CJ5" s="135" t="str">
        <x:f>IF(AND(CJ$4&gt;=$C5,CJ$4&lt;=$D5,'Вводные'!$B$88="Да"),"■","")</x:f>
      </x:c>
      <x:c r="CK5" s="135" t="str">
        <x:f>IF(AND(CK$4&gt;=$C5,CK$4&lt;=$D5,'Вводные'!$B$88="Да"),"■","")</x:f>
      </x:c>
      <x:c r="CL5" s="135" t="str">
        <x:f>IF(AND(CL$4&gt;=$C5,CL$4&lt;=$D5,'Вводные'!$B$88="Да"),"■","")</x:f>
      </x:c>
      <x:c r="CM5" s="135" t="str">
        <x:f>IF(AND(CM$4&gt;=$C5,CM$4&lt;=$D5,'Вводные'!$B$88="Да"),"■","")</x:f>
      </x:c>
      <x:c r="CN5" s="135" t="str">
        <x:f>IF(AND(CN$4&gt;=$C5,CN$4&lt;=$D5,'Вводные'!$B$88="Да"),"■","")</x:f>
      </x:c>
      <x:c r="CO5" s="135" t="str">
        <x:f>IF(AND(CO$4&gt;=$C5,CO$4&lt;=$D5,'Вводные'!$B$88="Да"),"■","")</x:f>
      </x:c>
      <x:c r="CP5" s="135" t="str">
        <x:f>IF(AND(CP$4&gt;=$C5,CP$4&lt;=$D5,'Вводные'!$B$88="Да"),"■","")</x:f>
      </x:c>
      <x:c r="CQ5" s="135" t="str">
        <x:f>IF(AND(CQ$4&gt;=$C5,CQ$4&lt;=$D5,'Вводные'!$B$88="Да"),"■","")</x:f>
      </x:c>
      <x:c r="CR5" s="135" t="str">
        <x:f>IF(AND(CR$4&gt;=$C5,CR$4&lt;=$D5,'Вводные'!$B$88="Да"),"■","")</x:f>
      </x:c>
      <x:c r="CS5" s="135" t="str">
        <x:f>IF(AND(CS$4&gt;=$C5,CS$4&lt;=$D5,'Вводные'!$B$88="Да"),"■","")</x:f>
      </x:c>
      <x:c r="CT5" s="135" t="str">
        <x:f>IF(AND(CT$4&gt;=$C5,CT$4&lt;=$D5,'Вводные'!$B$88="Да"),"■","")</x:f>
      </x:c>
      <x:c r="CU5" s="135" t="str">
        <x:f>IF(AND(CU$4&gt;=$C5,CU$4&lt;=$D5,'Вводные'!$B$88="Да"),"■","")</x:f>
      </x:c>
      <x:c r="CV5" s="135" t="str">
        <x:f>IF(AND(CV$4&gt;=$C5,CV$4&lt;=$D5,'Вводные'!$B$88="Да"),"■","")</x:f>
      </x:c>
      <x:c r="CW5" s="135" t="str">
        <x:f>IF(AND(CW$4&gt;=$C5,CW$4&lt;=$D5,'Вводные'!$B$88="Да"),"■","")</x:f>
      </x:c>
      <x:c r="CX5" s="135" t="str">
        <x:f>IF(AND(CX$4&gt;=$C5,CX$4&lt;=$D5,'Вводные'!$B$88="Да"),"■","")</x:f>
      </x:c>
      <x:c r="CY5" s="135" t="str">
        <x:f>IF(AND(CY$4&gt;=$C5,CY$4&lt;=$D5,'Вводные'!$B$88="Да"),"■","")</x:f>
      </x:c>
      <x:c r="CZ5" s="135" t="str">
        <x:f>IF(AND(CZ$4&gt;=$C5,CZ$4&lt;=$D5,'Вводные'!$B$88="Да"),"■","")</x:f>
      </x:c>
      <x:c r="DA5" s="135" t="str">
        <x:f>IF(AND(DA$4&gt;=$C5,DA$4&lt;=$D5,'Вводные'!$B$88="Да"),"■","")</x:f>
      </x:c>
      <x:c r="DB5" s="135" t="str">
        <x:f>IF(AND(DB$4&gt;=$C5,DB$4&lt;=$D5,'Вводные'!$B$88="Да"),"■","")</x:f>
      </x:c>
      <x:c r="DC5" s="135" t="str">
        <x:f>IF(AND(DC$4&gt;=$C5,DC$4&lt;=$D5,'Вводные'!$B$88="Да"),"■","")</x:f>
      </x:c>
      <x:c r="DD5" s="135" t="str">
        <x:f>IF(AND(DD$4&gt;=$C5,DD$4&lt;=$D5,'Вводные'!$B$88="Да"),"■","")</x:f>
      </x:c>
      <x:c r="DE5" s="135" t="str">
        <x:f>IF(AND(DE$4&gt;=$C5,DE$4&lt;=$D5,'Вводные'!$B$88="Да"),"■","")</x:f>
      </x:c>
      <x:c r="DF5" s="135" t="str">
        <x:f>IF(AND(DF$4&gt;=$C5,DF$4&lt;=$D5,'Вводные'!$B$88="Да"),"■","")</x:f>
      </x:c>
      <x:c r="DG5" s="135" t="str">
        <x:f>IF(AND(DG$4&gt;=$C5,DG$4&lt;=$D5,'Вводные'!$B$88="Да"),"■","")</x:f>
      </x:c>
      <x:c r="DH5" s="135" t="str">
        <x:f>IF(AND(DH$4&gt;=$C5,DH$4&lt;=$D5,'Вводные'!$B$88="Да"),"■","")</x:f>
      </x:c>
      <x:c r="DI5" s="135" t="str">
        <x:f>IF(AND(DI$4&gt;=$C5,DI$4&lt;=$D5,'Вводные'!$B$88="Да"),"■","")</x:f>
      </x:c>
      <x:c r="DJ5" s="135" t="str">
        <x:f>IF(AND(DJ$4&gt;=$C5,DJ$4&lt;=$D5,'Вводные'!$B$88="Да"),"■","")</x:f>
      </x:c>
      <x:c r="DK5" s="135" t="str">
        <x:f>IF(AND(DK$4&gt;=$C5,DK$4&lt;=$D5,'Вводные'!$B$88="Да"),"■","")</x:f>
      </x:c>
      <x:c r="DL5" s="135" t="str">
        <x:f>IF(AND(DL$4&gt;=$C5,DL$4&lt;=$D5,'Вводные'!$B$88="Да"),"■","")</x:f>
      </x:c>
      <x:c r="DM5" s="135" t="str">
        <x:f>IF(AND(DM$4&gt;=$C5,DM$4&lt;=$D5,'Вводные'!$B$88="Да"),"■","")</x:f>
      </x:c>
      <x:c r="DN5" s="135" t="str">
        <x:f>IF(AND(DN$4&gt;=$C5,DN$4&lt;=$D5,'Вводные'!$B$88="Да"),"■","")</x:f>
      </x:c>
      <x:c r="DO5" s="135" t="str">
        <x:f>IF(AND(DO$4&gt;=$C5,DO$4&lt;=$D5,'Вводные'!$B$88="Да"),"■","")</x:f>
      </x:c>
      <x:c r="DP5" s="135" t="str">
        <x:f>IF(AND(DP$4&gt;=$C5,DP$4&lt;=$D5,'Вводные'!$B$88="Да"),"■","")</x:f>
      </x:c>
      <x:c r="DQ5" s="135" t="str">
        <x:f>IF(AND(DQ$4&gt;=$C5,DQ$4&lt;=$D5,'Вводные'!$B$88="Да"),"■","")</x:f>
      </x:c>
      <x:c r="DR5" s="135" t="str">
        <x:f>IF(AND(DR$4&gt;=$C5,DR$4&lt;=$D5,'Вводные'!$B$88="Да"),"■","")</x:f>
      </x:c>
      <x:c r="DS5" s="135" t="str">
        <x:f>IF(AND(DS$4&gt;=$C5,DS$4&lt;=$D5,'Вводные'!$B$88="Да"),"■","")</x:f>
      </x:c>
      <x:c r="DT5" s="135" t="str">
        <x:f>IF(AND(DT$4&gt;=$C5,DT$4&lt;=$D5,'Вводные'!$B$88="Да"),"■","")</x:f>
      </x:c>
    </x:row>
    <x:row r="6">
      <x:c r="A6" t="str">
        <x:f>'Вводные'!$C$88</x:f>
      </x:c>
      <x:c r="B6" t="str">
        <x:v>ИРД и согласования</x:v>
      </x:c>
      <x:c r="C6" s="92" t="n">
        <x:f>EDATE('Вводные'!$D$88,'Вводные'!$H$9)</x:f>
      </x:c>
      <x:c r="D6" s="92" t="n">
        <x:f>EDATE(C6,'Вводные'!$E$88-1)</x:f>
      </x:c>
      <x:c r="E6" s="137" t="str">
        <x:f>IF(AND(E$4&gt;=$C6,E$4&lt;=$D6,'Вводные'!$B$88="Да"),"■","")</x:f>
      </x:c>
      <x:c r="F6" s="137" t="str">
        <x:f>IF(AND(F$4&gt;=$C6,F$4&lt;=$D6,'Вводные'!$B$88="Да"),"■","")</x:f>
      </x:c>
      <x:c r="G6" s="137" t="str">
        <x:f>IF(AND(G$4&gt;=$C6,G$4&lt;=$D6,'Вводные'!$B$88="Да"),"■","")</x:f>
      </x:c>
      <x:c r="H6" s="137" t="str">
        <x:f>IF(AND(H$4&gt;=$C6,H$4&lt;=$D6,'Вводные'!$B$88="Да"),"■","")</x:f>
      </x:c>
      <x:c r="I6" s="137" t="str">
        <x:f>IF(AND(I$4&gt;=$C6,I$4&lt;=$D6,'Вводные'!$B$88="Да"),"■","")</x:f>
      </x:c>
      <x:c r="J6" s="137" t="str">
        <x:f>IF(AND(J$4&gt;=$C6,J$4&lt;=$D6,'Вводные'!$B$88="Да"),"■","")</x:f>
      </x:c>
      <x:c r="K6" s="137" t="str">
        <x:f>IF(AND(K$4&gt;=$C6,K$4&lt;=$D6,'Вводные'!$B$88="Да"),"■","")</x:f>
      </x:c>
      <x:c r="L6" s="137" t="str">
        <x:f>IF(AND(L$4&gt;=$C6,L$4&lt;=$D6,'Вводные'!$B$88="Да"),"■","")</x:f>
      </x:c>
      <x:c r="M6" s="137" t="str">
        <x:f>IF(AND(M$4&gt;=$C6,M$4&lt;=$D6,'Вводные'!$B$88="Да"),"■","")</x:f>
      </x:c>
      <x:c r="N6" s="137" t="str">
        <x:f>IF(AND(N$4&gt;=$C6,N$4&lt;=$D6,'Вводные'!$B$88="Да"),"■","")</x:f>
      </x:c>
      <x:c r="O6" s="137" t="str">
        <x:f>IF(AND(O$4&gt;=$C6,O$4&lt;=$D6,'Вводные'!$B$88="Да"),"■","")</x:f>
      </x:c>
      <x:c r="P6" s="137" t="str">
        <x:f>IF(AND(P$4&gt;=$C6,P$4&lt;=$D6,'Вводные'!$B$88="Да"),"■","")</x:f>
      </x:c>
      <x:c r="Q6" s="137" t="str">
        <x:f>IF(AND(Q$4&gt;=$C6,Q$4&lt;=$D6,'Вводные'!$B$88="Да"),"■","")</x:f>
      </x:c>
      <x:c r="R6" s="137" t="str">
        <x:f>IF(AND(R$4&gt;=$C6,R$4&lt;=$D6,'Вводные'!$B$88="Да"),"■","")</x:f>
      </x:c>
      <x:c r="S6" s="137" t="str">
        <x:f>IF(AND(S$4&gt;=$C6,S$4&lt;=$D6,'Вводные'!$B$88="Да"),"■","")</x:f>
      </x:c>
      <x:c r="T6" s="137" t="str">
        <x:f>IF(AND(T$4&gt;=$C6,T$4&lt;=$D6,'Вводные'!$B$88="Да"),"■","")</x:f>
      </x:c>
      <x:c r="U6" s="137" t="str">
        <x:f>IF(AND(U$4&gt;=$C6,U$4&lt;=$D6,'Вводные'!$B$88="Да"),"■","")</x:f>
      </x:c>
      <x:c r="V6" s="137" t="str">
        <x:f>IF(AND(V$4&gt;=$C6,V$4&lt;=$D6,'Вводные'!$B$88="Да"),"■","")</x:f>
      </x:c>
      <x:c r="W6" s="137" t="str">
        <x:f>IF(AND(W$4&gt;=$C6,W$4&lt;=$D6,'Вводные'!$B$88="Да"),"■","")</x:f>
      </x:c>
      <x:c r="X6" s="137" t="str">
        <x:f>IF(AND(X$4&gt;=$C6,X$4&lt;=$D6,'Вводные'!$B$88="Да"),"■","")</x:f>
      </x:c>
      <x:c r="Y6" s="137" t="str">
        <x:f>IF(AND(Y$4&gt;=$C6,Y$4&lt;=$D6,'Вводные'!$B$88="Да"),"■","")</x:f>
      </x:c>
      <x:c r="Z6" s="137" t="str">
        <x:f>IF(AND(Z$4&gt;=$C6,Z$4&lt;=$D6,'Вводные'!$B$88="Да"),"■","")</x:f>
      </x:c>
      <x:c r="AA6" s="137" t="str">
        <x:f>IF(AND(AA$4&gt;=$C6,AA$4&lt;=$D6,'Вводные'!$B$88="Да"),"■","")</x:f>
      </x:c>
      <x:c r="AB6" s="137" t="str">
        <x:f>IF(AND(AB$4&gt;=$C6,AB$4&lt;=$D6,'Вводные'!$B$88="Да"),"■","")</x:f>
      </x:c>
      <x:c r="AC6" s="137" t="str">
        <x:f>IF(AND(AC$4&gt;=$C6,AC$4&lt;=$D6,'Вводные'!$B$88="Да"),"■","")</x:f>
      </x:c>
      <x:c r="AD6" s="137" t="str">
        <x:f>IF(AND(AD$4&gt;=$C6,AD$4&lt;=$D6,'Вводные'!$B$88="Да"),"■","")</x:f>
      </x:c>
      <x:c r="AE6" s="137" t="str">
        <x:f>IF(AND(AE$4&gt;=$C6,AE$4&lt;=$D6,'Вводные'!$B$88="Да"),"■","")</x:f>
      </x:c>
      <x:c r="AF6" s="137" t="str">
        <x:f>IF(AND(AF$4&gt;=$C6,AF$4&lt;=$D6,'Вводные'!$B$88="Да"),"■","")</x:f>
      </x:c>
      <x:c r="AG6" s="137" t="str">
        <x:f>IF(AND(AG$4&gt;=$C6,AG$4&lt;=$D6,'Вводные'!$B$88="Да"),"■","")</x:f>
      </x:c>
      <x:c r="AH6" s="137" t="str">
        <x:f>IF(AND(AH$4&gt;=$C6,AH$4&lt;=$D6,'Вводные'!$B$88="Да"),"■","")</x:f>
      </x:c>
      <x:c r="AI6" s="137" t="str">
        <x:f>IF(AND(AI$4&gt;=$C6,AI$4&lt;=$D6,'Вводные'!$B$88="Да"),"■","")</x:f>
      </x:c>
      <x:c r="AJ6" s="137" t="str">
        <x:f>IF(AND(AJ$4&gt;=$C6,AJ$4&lt;=$D6,'Вводные'!$B$88="Да"),"■","")</x:f>
      </x:c>
      <x:c r="AK6" s="137" t="str">
        <x:f>IF(AND(AK$4&gt;=$C6,AK$4&lt;=$D6,'Вводные'!$B$88="Да"),"■","")</x:f>
      </x:c>
      <x:c r="AL6" s="137" t="str">
        <x:f>IF(AND(AL$4&gt;=$C6,AL$4&lt;=$D6,'Вводные'!$B$88="Да"),"■","")</x:f>
      </x:c>
      <x:c r="AM6" s="137" t="str">
        <x:f>IF(AND(AM$4&gt;=$C6,AM$4&lt;=$D6,'Вводные'!$B$88="Да"),"■","")</x:f>
      </x:c>
      <x:c r="AN6" s="137" t="str">
        <x:f>IF(AND(AN$4&gt;=$C6,AN$4&lt;=$D6,'Вводные'!$B$88="Да"),"■","")</x:f>
      </x:c>
      <x:c r="AO6" s="137" t="str">
        <x:f>IF(AND(AO$4&gt;=$C6,AO$4&lt;=$D6,'Вводные'!$B$88="Да"),"■","")</x:f>
      </x:c>
      <x:c r="AP6" s="137" t="str">
        <x:f>IF(AND(AP$4&gt;=$C6,AP$4&lt;=$D6,'Вводные'!$B$88="Да"),"■","")</x:f>
      </x:c>
      <x:c r="AQ6" s="137" t="str">
        <x:f>IF(AND(AQ$4&gt;=$C6,AQ$4&lt;=$D6,'Вводные'!$B$88="Да"),"■","")</x:f>
      </x:c>
      <x:c r="AR6" s="137" t="str">
        <x:f>IF(AND(AR$4&gt;=$C6,AR$4&lt;=$D6,'Вводные'!$B$88="Да"),"■","")</x:f>
      </x:c>
      <x:c r="AS6" s="137" t="str">
        <x:f>IF(AND(AS$4&gt;=$C6,AS$4&lt;=$D6,'Вводные'!$B$88="Да"),"■","")</x:f>
      </x:c>
      <x:c r="AT6" s="137" t="str">
        <x:f>IF(AND(AT$4&gt;=$C6,AT$4&lt;=$D6,'Вводные'!$B$88="Да"),"■","")</x:f>
      </x:c>
      <x:c r="AU6" s="137" t="str">
        <x:f>IF(AND(AU$4&gt;=$C6,AU$4&lt;=$D6,'Вводные'!$B$88="Да"),"■","")</x:f>
      </x:c>
      <x:c r="AV6" s="137" t="str">
        <x:f>IF(AND(AV$4&gt;=$C6,AV$4&lt;=$D6,'Вводные'!$B$88="Да"),"■","")</x:f>
      </x:c>
      <x:c r="AW6" s="137" t="str">
        <x:f>IF(AND(AW$4&gt;=$C6,AW$4&lt;=$D6,'Вводные'!$B$88="Да"),"■","")</x:f>
      </x:c>
      <x:c r="AX6" s="137" t="str">
        <x:f>IF(AND(AX$4&gt;=$C6,AX$4&lt;=$D6,'Вводные'!$B$88="Да"),"■","")</x:f>
      </x:c>
      <x:c r="AY6" s="137" t="str">
        <x:f>IF(AND(AY$4&gt;=$C6,AY$4&lt;=$D6,'Вводные'!$B$88="Да"),"■","")</x:f>
      </x:c>
      <x:c r="AZ6" s="137" t="str">
        <x:f>IF(AND(AZ$4&gt;=$C6,AZ$4&lt;=$D6,'Вводные'!$B$88="Да"),"■","")</x:f>
      </x:c>
      <x:c r="BA6" s="137" t="str">
        <x:f>IF(AND(BA$4&gt;=$C6,BA$4&lt;=$D6,'Вводные'!$B$88="Да"),"■","")</x:f>
      </x:c>
      <x:c r="BB6" s="137" t="str">
        <x:f>IF(AND(BB$4&gt;=$C6,BB$4&lt;=$D6,'Вводные'!$B$88="Да"),"■","")</x:f>
      </x:c>
      <x:c r="BC6" s="137" t="str">
        <x:f>IF(AND(BC$4&gt;=$C6,BC$4&lt;=$D6,'Вводные'!$B$88="Да"),"■","")</x:f>
      </x:c>
      <x:c r="BD6" s="137" t="str">
        <x:f>IF(AND(BD$4&gt;=$C6,BD$4&lt;=$D6,'Вводные'!$B$88="Да"),"■","")</x:f>
      </x:c>
      <x:c r="BE6" s="137" t="str">
        <x:f>IF(AND(BE$4&gt;=$C6,BE$4&lt;=$D6,'Вводные'!$B$88="Да"),"■","")</x:f>
      </x:c>
      <x:c r="BF6" s="137" t="str">
        <x:f>IF(AND(BF$4&gt;=$C6,BF$4&lt;=$D6,'Вводные'!$B$88="Да"),"■","")</x:f>
      </x:c>
      <x:c r="BG6" s="137" t="str">
        <x:f>IF(AND(BG$4&gt;=$C6,BG$4&lt;=$D6,'Вводные'!$B$88="Да"),"■","")</x:f>
      </x:c>
      <x:c r="BH6" s="137" t="str">
        <x:f>IF(AND(BH$4&gt;=$C6,BH$4&lt;=$D6,'Вводные'!$B$88="Да"),"■","")</x:f>
      </x:c>
      <x:c r="BI6" s="137" t="str">
        <x:f>IF(AND(BI$4&gt;=$C6,BI$4&lt;=$D6,'Вводные'!$B$88="Да"),"■","")</x:f>
      </x:c>
      <x:c r="BJ6" s="137" t="str">
        <x:f>IF(AND(BJ$4&gt;=$C6,BJ$4&lt;=$D6,'Вводные'!$B$88="Да"),"■","")</x:f>
      </x:c>
      <x:c r="BK6" s="137" t="str">
        <x:f>IF(AND(BK$4&gt;=$C6,BK$4&lt;=$D6,'Вводные'!$B$88="Да"),"■","")</x:f>
      </x:c>
      <x:c r="BL6" s="137" t="str">
        <x:f>IF(AND(BL$4&gt;=$C6,BL$4&lt;=$D6,'Вводные'!$B$88="Да"),"■","")</x:f>
      </x:c>
      <x:c r="BM6" s="137" t="str">
        <x:f>IF(AND(BM$4&gt;=$C6,BM$4&lt;=$D6,'Вводные'!$B$88="Да"),"■","")</x:f>
      </x:c>
      <x:c r="BN6" s="137" t="str">
        <x:f>IF(AND(BN$4&gt;=$C6,BN$4&lt;=$D6,'Вводные'!$B$88="Да"),"■","")</x:f>
      </x:c>
      <x:c r="BO6" s="137" t="str">
        <x:f>IF(AND(BO$4&gt;=$C6,BO$4&lt;=$D6,'Вводные'!$B$88="Да"),"■","")</x:f>
      </x:c>
      <x:c r="BP6" s="137" t="str">
        <x:f>IF(AND(BP$4&gt;=$C6,BP$4&lt;=$D6,'Вводные'!$B$88="Да"),"■","")</x:f>
      </x:c>
      <x:c r="BQ6" s="137" t="str">
        <x:f>IF(AND(BQ$4&gt;=$C6,BQ$4&lt;=$D6,'Вводные'!$B$88="Да"),"■","")</x:f>
      </x:c>
      <x:c r="BR6" s="137" t="str">
        <x:f>IF(AND(BR$4&gt;=$C6,BR$4&lt;=$D6,'Вводные'!$B$88="Да"),"■","")</x:f>
      </x:c>
      <x:c r="BS6" s="137" t="str">
        <x:f>IF(AND(BS$4&gt;=$C6,BS$4&lt;=$D6,'Вводные'!$B$88="Да"),"■","")</x:f>
      </x:c>
      <x:c r="BT6" s="137" t="str">
        <x:f>IF(AND(BT$4&gt;=$C6,BT$4&lt;=$D6,'Вводные'!$B$88="Да"),"■","")</x:f>
      </x:c>
      <x:c r="BU6" s="137" t="str">
        <x:f>IF(AND(BU$4&gt;=$C6,BU$4&lt;=$D6,'Вводные'!$B$88="Да"),"■","")</x:f>
      </x:c>
      <x:c r="BV6" s="137" t="str">
        <x:f>IF(AND(BV$4&gt;=$C6,BV$4&lt;=$D6,'Вводные'!$B$88="Да"),"■","")</x:f>
      </x:c>
      <x:c r="BW6" s="137" t="str">
        <x:f>IF(AND(BW$4&gt;=$C6,BW$4&lt;=$D6,'Вводные'!$B$88="Да"),"■","")</x:f>
      </x:c>
      <x:c r="BX6" s="137" t="str">
        <x:f>IF(AND(BX$4&gt;=$C6,BX$4&lt;=$D6,'Вводные'!$B$88="Да"),"■","")</x:f>
      </x:c>
      <x:c r="BY6" s="137" t="str">
        <x:f>IF(AND(BY$4&gt;=$C6,BY$4&lt;=$D6,'Вводные'!$B$88="Да"),"■","")</x:f>
      </x:c>
      <x:c r="BZ6" s="137" t="str">
        <x:f>IF(AND(BZ$4&gt;=$C6,BZ$4&lt;=$D6,'Вводные'!$B$88="Да"),"■","")</x:f>
      </x:c>
      <x:c r="CA6" s="137" t="str">
        <x:f>IF(AND(CA$4&gt;=$C6,CA$4&lt;=$D6,'Вводные'!$B$88="Да"),"■","")</x:f>
      </x:c>
      <x:c r="CB6" s="137" t="str">
        <x:f>IF(AND(CB$4&gt;=$C6,CB$4&lt;=$D6,'Вводные'!$B$88="Да"),"■","")</x:f>
      </x:c>
      <x:c r="CC6" s="137" t="str">
        <x:f>IF(AND(CC$4&gt;=$C6,CC$4&lt;=$D6,'Вводные'!$B$88="Да"),"■","")</x:f>
      </x:c>
      <x:c r="CD6" s="137" t="str">
        <x:f>IF(AND(CD$4&gt;=$C6,CD$4&lt;=$D6,'Вводные'!$B$88="Да"),"■","")</x:f>
      </x:c>
      <x:c r="CE6" s="137" t="str">
        <x:f>IF(AND(CE$4&gt;=$C6,CE$4&lt;=$D6,'Вводные'!$B$88="Да"),"■","")</x:f>
      </x:c>
      <x:c r="CF6" s="137" t="str">
        <x:f>IF(AND(CF$4&gt;=$C6,CF$4&lt;=$D6,'Вводные'!$B$88="Да"),"■","")</x:f>
      </x:c>
      <x:c r="CG6" s="137" t="str">
        <x:f>IF(AND(CG$4&gt;=$C6,CG$4&lt;=$D6,'Вводные'!$B$88="Да"),"■","")</x:f>
      </x:c>
      <x:c r="CH6" s="137" t="str">
        <x:f>IF(AND(CH$4&gt;=$C6,CH$4&lt;=$D6,'Вводные'!$B$88="Да"),"■","")</x:f>
      </x:c>
      <x:c r="CI6" s="137" t="str">
        <x:f>IF(AND(CI$4&gt;=$C6,CI$4&lt;=$D6,'Вводные'!$B$88="Да"),"■","")</x:f>
      </x:c>
      <x:c r="CJ6" s="137" t="str">
        <x:f>IF(AND(CJ$4&gt;=$C6,CJ$4&lt;=$D6,'Вводные'!$B$88="Да"),"■","")</x:f>
      </x:c>
      <x:c r="CK6" s="137" t="str">
        <x:f>IF(AND(CK$4&gt;=$C6,CK$4&lt;=$D6,'Вводные'!$B$88="Да"),"■","")</x:f>
      </x:c>
      <x:c r="CL6" s="137" t="str">
        <x:f>IF(AND(CL$4&gt;=$C6,CL$4&lt;=$D6,'Вводные'!$B$88="Да"),"■","")</x:f>
      </x:c>
      <x:c r="CM6" s="137" t="str">
        <x:f>IF(AND(CM$4&gt;=$C6,CM$4&lt;=$D6,'Вводные'!$B$88="Да"),"■","")</x:f>
      </x:c>
      <x:c r="CN6" s="137" t="str">
        <x:f>IF(AND(CN$4&gt;=$C6,CN$4&lt;=$D6,'Вводные'!$B$88="Да"),"■","")</x:f>
      </x:c>
      <x:c r="CO6" s="137" t="str">
        <x:f>IF(AND(CO$4&gt;=$C6,CO$4&lt;=$D6,'Вводные'!$B$88="Да"),"■","")</x:f>
      </x:c>
      <x:c r="CP6" s="137" t="str">
        <x:f>IF(AND(CP$4&gt;=$C6,CP$4&lt;=$D6,'Вводные'!$B$88="Да"),"■","")</x:f>
      </x:c>
      <x:c r="CQ6" s="137" t="str">
        <x:f>IF(AND(CQ$4&gt;=$C6,CQ$4&lt;=$D6,'Вводные'!$B$88="Да"),"■","")</x:f>
      </x:c>
      <x:c r="CR6" s="137" t="str">
        <x:f>IF(AND(CR$4&gt;=$C6,CR$4&lt;=$D6,'Вводные'!$B$88="Да"),"■","")</x:f>
      </x:c>
      <x:c r="CS6" s="137" t="str">
        <x:f>IF(AND(CS$4&gt;=$C6,CS$4&lt;=$D6,'Вводные'!$B$88="Да"),"■","")</x:f>
      </x:c>
      <x:c r="CT6" s="137" t="str">
        <x:f>IF(AND(CT$4&gt;=$C6,CT$4&lt;=$D6,'Вводные'!$B$88="Да"),"■","")</x:f>
      </x:c>
      <x:c r="CU6" s="137" t="str">
        <x:f>IF(AND(CU$4&gt;=$C6,CU$4&lt;=$D6,'Вводные'!$B$88="Да"),"■","")</x:f>
      </x:c>
      <x:c r="CV6" s="137" t="str">
        <x:f>IF(AND(CV$4&gt;=$C6,CV$4&lt;=$D6,'Вводные'!$B$88="Да"),"■","")</x:f>
      </x:c>
      <x:c r="CW6" s="137" t="str">
        <x:f>IF(AND(CW$4&gt;=$C6,CW$4&lt;=$D6,'Вводные'!$B$88="Да"),"■","")</x:f>
      </x:c>
      <x:c r="CX6" s="137" t="str">
        <x:f>IF(AND(CX$4&gt;=$C6,CX$4&lt;=$D6,'Вводные'!$B$88="Да"),"■","")</x:f>
      </x:c>
      <x:c r="CY6" s="137" t="str">
        <x:f>IF(AND(CY$4&gt;=$C6,CY$4&lt;=$D6,'Вводные'!$B$88="Да"),"■","")</x:f>
      </x:c>
      <x:c r="CZ6" s="137" t="str">
        <x:f>IF(AND(CZ$4&gt;=$C6,CZ$4&lt;=$D6,'Вводные'!$B$88="Да"),"■","")</x:f>
      </x:c>
      <x:c r="DA6" s="137" t="str">
        <x:f>IF(AND(DA$4&gt;=$C6,DA$4&lt;=$D6,'Вводные'!$B$88="Да"),"■","")</x:f>
      </x:c>
      <x:c r="DB6" s="137" t="str">
        <x:f>IF(AND(DB$4&gt;=$C6,DB$4&lt;=$D6,'Вводные'!$B$88="Да"),"■","")</x:f>
      </x:c>
      <x:c r="DC6" s="137" t="str">
        <x:f>IF(AND(DC$4&gt;=$C6,DC$4&lt;=$D6,'Вводные'!$B$88="Да"),"■","")</x:f>
      </x:c>
      <x:c r="DD6" s="137" t="str">
        <x:f>IF(AND(DD$4&gt;=$C6,DD$4&lt;=$D6,'Вводные'!$B$88="Да"),"■","")</x:f>
      </x:c>
      <x:c r="DE6" s="137" t="str">
        <x:f>IF(AND(DE$4&gt;=$C6,DE$4&lt;=$D6,'Вводные'!$B$88="Да"),"■","")</x:f>
      </x:c>
      <x:c r="DF6" s="137" t="str">
        <x:f>IF(AND(DF$4&gt;=$C6,DF$4&lt;=$D6,'Вводные'!$B$88="Да"),"■","")</x:f>
      </x:c>
      <x:c r="DG6" s="137" t="str">
        <x:f>IF(AND(DG$4&gt;=$C6,DG$4&lt;=$D6,'Вводные'!$B$88="Да"),"■","")</x:f>
      </x:c>
      <x:c r="DH6" s="137" t="str">
        <x:f>IF(AND(DH$4&gt;=$C6,DH$4&lt;=$D6,'Вводные'!$B$88="Да"),"■","")</x:f>
      </x:c>
      <x:c r="DI6" s="137" t="str">
        <x:f>IF(AND(DI$4&gt;=$C6,DI$4&lt;=$D6,'Вводные'!$B$88="Да"),"■","")</x:f>
      </x:c>
      <x:c r="DJ6" s="137" t="str">
        <x:f>IF(AND(DJ$4&gt;=$C6,DJ$4&lt;=$D6,'Вводные'!$B$88="Да"),"■","")</x:f>
      </x:c>
      <x:c r="DK6" s="137" t="str">
        <x:f>IF(AND(DK$4&gt;=$C6,DK$4&lt;=$D6,'Вводные'!$B$88="Да"),"■","")</x:f>
      </x:c>
      <x:c r="DL6" s="137" t="str">
        <x:f>IF(AND(DL$4&gt;=$C6,DL$4&lt;=$D6,'Вводные'!$B$88="Да"),"■","")</x:f>
      </x:c>
      <x:c r="DM6" s="137" t="str">
        <x:f>IF(AND(DM$4&gt;=$C6,DM$4&lt;=$D6,'Вводные'!$B$88="Да"),"■","")</x:f>
      </x:c>
      <x:c r="DN6" s="137" t="str">
        <x:f>IF(AND(DN$4&gt;=$C6,DN$4&lt;=$D6,'Вводные'!$B$88="Да"),"■","")</x:f>
      </x:c>
      <x:c r="DO6" s="137" t="str">
        <x:f>IF(AND(DO$4&gt;=$C6,DO$4&lt;=$D6,'Вводные'!$B$88="Да"),"■","")</x:f>
      </x:c>
      <x:c r="DP6" s="137" t="str">
        <x:f>IF(AND(DP$4&gt;=$C6,DP$4&lt;=$D6,'Вводные'!$B$88="Да"),"■","")</x:f>
      </x:c>
      <x:c r="DQ6" s="137" t="str">
        <x:f>IF(AND(DQ$4&gt;=$C6,DQ$4&lt;=$D6,'Вводные'!$B$88="Да"),"■","")</x:f>
      </x:c>
      <x:c r="DR6" s="137" t="str">
        <x:f>IF(AND(DR$4&gt;=$C6,DR$4&lt;=$D6,'Вводные'!$B$88="Да"),"■","")</x:f>
      </x:c>
      <x:c r="DS6" s="137" t="str">
        <x:f>IF(AND(DS$4&gt;=$C6,DS$4&lt;=$D6,'Вводные'!$B$88="Да"),"■","")</x:f>
      </x:c>
      <x:c r="DT6" s="137" t="str">
        <x:f>IF(AND(DT$4&gt;=$C6,DT$4&lt;=$D6,'Вводные'!$B$88="Да"),"■","")</x:f>
      </x:c>
    </x:row>
    <x:row r="7">
      <x:c r="A7" t="str">
        <x:f>'Вводные'!$C$88</x:f>
      </x:c>
      <x:c r="B7" t="str">
        <x:v>Обязательство по ВРИ</x:v>
      </x:c>
      <x:c r="C7" s="92" t="n">
        <x:f>'ВРИ'!B7</x:f>
      </x:c>
      <x:c r="D7" s="92" t="n">
        <x:f>C7</x:f>
      </x:c>
      <x:c r="E7" s="137" t="str">
        <x:f>IF(AND(E$4&gt;=$C7,E$4&lt;=$D7,'Вводные'!$B$88="Да"),"■","")</x:f>
      </x:c>
      <x:c r="F7" s="137" t="str">
        <x:f>IF(AND(F$4&gt;=$C7,F$4&lt;=$D7,'Вводные'!$B$88="Да"),"■","")</x:f>
      </x:c>
      <x:c r="G7" s="137" t="str">
        <x:f>IF(AND(G$4&gt;=$C7,G$4&lt;=$D7,'Вводные'!$B$88="Да"),"■","")</x:f>
      </x:c>
      <x:c r="H7" s="137" t="str">
        <x:f>IF(AND(H$4&gt;=$C7,H$4&lt;=$D7,'Вводные'!$B$88="Да"),"■","")</x:f>
      </x:c>
      <x:c r="I7" s="137" t="str">
        <x:f>IF(AND(I$4&gt;=$C7,I$4&lt;=$D7,'Вводные'!$B$88="Да"),"■","")</x:f>
      </x:c>
      <x:c r="J7" s="137" t="str">
        <x:f>IF(AND(J$4&gt;=$C7,J$4&lt;=$D7,'Вводные'!$B$88="Да"),"■","")</x:f>
      </x:c>
      <x:c r="K7" s="137" t="str">
        <x:f>IF(AND(K$4&gt;=$C7,K$4&lt;=$D7,'Вводные'!$B$88="Да"),"■","")</x:f>
      </x:c>
      <x:c r="L7" s="137" t="str">
        <x:f>IF(AND(L$4&gt;=$C7,L$4&lt;=$D7,'Вводные'!$B$88="Да"),"■","")</x:f>
      </x:c>
      <x:c r="M7" s="137" t="str">
        <x:f>IF(AND(M$4&gt;=$C7,M$4&lt;=$D7,'Вводные'!$B$88="Да"),"■","")</x:f>
      </x:c>
      <x:c r="N7" s="137" t="str">
        <x:f>IF(AND(N$4&gt;=$C7,N$4&lt;=$D7,'Вводные'!$B$88="Да"),"■","")</x:f>
      </x:c>
      <x:c r="O7" s="137" t="str">
        <x:f>IF(AND(O$4&gt;=$C7,O$4&lt;=$D7,'Вводные'!$B$88="Да"),"■","")</x:f>
      </x:c>
      <x:c r="P7" s="137" t="str">
        <x:f>IF(AND(P$4&gt;=$C7,P$4&lt;=$D7,'Вводные'!$B$88="Да"),"■","")</x:f>
      </x:c>
      <x:c r="Q7" s="137" t="str">
        <x:f>IF(AND(Q$4&gt;=$C7,Q$4&lt;=$D7,'Вводные'!$B$88="Да"),"■","")</x:f>
      </x:c>
      <x:c r="R7" s="137" t="str">
        <x:f>IF(AND(R$4&gt;=$C7,R$4&lt;=$D7,'Вводные'!$B$88="Да"),"■","")</x:f>
      </x:c>
      <x:c r="S7" s="137" t="str">
        <x:f>IF(AND(S$4&gt;=$C7,S$4&lt;=$D7,'Вводные'!$B$88="Да"),"■","")</x:f>
      </x:c>
      <x:c r="T7" s="137" t="str">
        <x:f>IF(AND(T$4&gt;=$C7,T$4&lt;=$D7,'Вводные'!$B$88="Да"),"■","")</x:f>
      </x:c>
      <x:c r="U7" s="137" t="str">
        <x:f>IF(AND(U$4&gt;=$C7,U$4&lt;=$D7,'Вводные'!$B$88="Да"),"■","")</x:f>
      </x:c>
      <x:c r="V7" s="137" t="str">
        <x:f>IF(AND(V$4&gt;=$C7,V$4&lt;=$D7,'Вводные'!$B$88="Да"),"■","")</x:f>
      </x:c>
      <x:c r="W7" s="137" t="str">
        <x:f>IF(AND(W$4&gt;=$C7,W$4&lt;=$D7,'Вводные'!$B$88="Да"),"■","")</x:f>
      </x:c>
      <x:c r="X7" s="137" t="str">
        <x:f>IF(AND(X$4&gt;=$C7,X$4&lt;=$D7,'Вводные'!$B$88="Да"),"■","")</x:f>
      </x:c>
      <x:c r="Y7" s="137" t="str">
        <x:f>IF(AND(Y$4&gt;=$C7,Y$4&lt;=$D7,'Вводные'!$B$88="Да"),"■","")</x:f>
      </x:c>
      <x:c r="Z7" s="137" t="str">
        <x:f>IF(AND(Z$4&gt;=$C7,Z$4&lt;=$D7,'Вводные'!$B$88="Да"),"■","")</x:f>
      </x:c>
      <x:c r="AA7" s="137" t="str">
        <x:f>IF(AND(AA$4&gt;=$C7,AA$4&lt;=$D7,'Вводные'!$B$88="Да"),"■","")</x:f>
      </x:c>
      <x:c r="AB7" s="137" t="str">
        <x:f>IF(AND(AB$4&gt;=$C7,AB$4&lt;=$D7,'Вводные'!$B$88="Да"),"■","")</x:f>
      </x:c>
      <x:c r="AC7" s="137" t="str">
        <x:f>IF(AND(AC$4&gt;=$C7,AC$4&lt;=$D7,'Вводные'!$B$88="Да"),"■","")</x:f>
      </x:c>
      <x:c r="AD7" s="137" t="str">
        <x:f>IF(AND(AD$4&gt;=$C7,AD$4&lt;=$D7,'Вводные'!$B$88="Да"),"■","")</x:f>
      </x:c>
      <x:c r="AE7" s="137" t="str">
        <x:f>IF(AND(AE$4&gt;=$C7,AE$4&lt;=$D7,'Вводные'!$B$88="Да"),"■","")</x:f>
      </x:c>
      <x:c r="AF7" s="137" t="str">
        <x:f>IF(AND(AF$4&gt;=$C7,AF$4&lt;=$D7,'Вводные'!$B$88="Да"),"■","")</x:f>
      </x:c>
      <x:c r="AG7" s="137" t="str">
        <x:f>IF(AND(AG$4&gt;=$C7,AG$4&lt;=$D7,'Вводные'!$B$88="Да"),"■","")</x:f>
      </x:c>
      <x:c r="AH7" s="137" t="str">
        <x:f>IF(AND(AH$4&gt;=$C7,AH$4&lt;=$D7,'Вводные'!$B$88="Да"),"■","")</x:f>
      </x:c>
      <x:c r="AI7" s="137" t="str">
        <x:f>IF(AND(AI$4&gt;=$C7,AI$4&lt;=$D7,'Вводные'!$B$88="Да"),"■","")</x:f>
      </x:c>
      <x:c r="AJ7" s="137" t="str">
        <x:f>IF(AND(AJ$4&gt;=$C7,AJ$4&lt;=$D7,'Вводные'!$B$88="Да"),"■","")</x:f>
      </x:c>
      <x:c r="AK7" s="137" t="str">
        <x:f>IF(AND(AK$4&gt;=$C7,AK$4&lt;=$D7,'Вводные'!$B$88="Да"),"■","")</x:f>
      </x:c>
      <x:c r="AL7" s="137" t="str">
        <x:f>IF(AND(AL$4&gt;=$C7,AL$4&lt;=$D7,'Вводные'!$B$88="Да"),"■","")</x:f>
      </x:c>
      <x:c r="AM7" s="137" t="str">
        <x:f>IF(AND(AM$4&gt;=$C7,AM$4&lt;=$D7,'Вводные'!$B$88="Да"),"■","")</x:f>
      </x:c>
      <x:c r="AN7" s="137" t="str">
        <x:f>IF(AND(AN$4&gt;=$C7,AN$4&lt;=$D7,'Вводные'!$B$88="Да"),"■","")</x:f>
      </x:c>
      <x:c r="AO7" s="137" t="str">
        <x:f>IF(AND(AO$4&gt;=$C7,AO$4&lt;=$D7,'Вводные'!$B$88="Да"),"■","")</x:f>
      </x:c>
      <x:c r="AP7" s="137" t="str">
        <x:f>IF(AND(AP$4&gt;=$C7,AP$4&lt;=$D7,'Вводные'!$B$88="Да"),"■","")</x:f>
      </x:c>
      <x:c r="AQ7" s="137" t="str">
        <x:f>IF(AND(AQ$4&gt;=$C7,AQ$4&lt;=$D7,'Вводные'!$B$88="Да"),"■","")</x:f>
      </x:c>
      <x:c r="AR7" s="137" t="str">
        <x:f>IF(AND(AR$4&gt;=$C7,AR$4&lt;=$D7,'Вводные'!$B$88="Да"),"■","")</x:f>
      </x:c>
      <x:c r="AS7" s="137" t="str">
        <x:f>IF(AND(AS$4&gt;=$C7,AS$4&lt;=$D7,'Вводные'!$B$88="Да"),"■","")</x:f>
      </x:c>
      <x:c r="AT7" s="137" t="str">
        <x:f>IF(AND(AT$4&gt;=$C7,AT$4&lt;=$D7,'Вводные'!$B$88="Да"),"■","")</x:f>
      </x:c>
      <x:c r="AU7" s="137" t="str">
        <x:f>IF(AND(AU$4&gt;=$C7,AU$4&lt;=$D7,'Вводные'!$B$88="Да"),"■","")</x:f>
      </x:c>
      <x:c r="AV7" s="137" t="str">
        <x:f>IF(AND(AV$4&gt;=$C7,AV$4&lt;=$D7,'Вводные'!$B$88="Да"),"■","")</x:f>
      </x:c>
      <x:c r="AW7" s="137" t="str">
        <x:f>IF(AND(AW$4&gt;=$C7,AW$4&lt;=$D7,'Вводные'!$B$88="Да"),"■","")</x:f>
      </x:c>
      <x:c r="AX7" s="137" t="str">
        <x:f>IF(AND(AX$4&gt;=$C7,AX$4&lt;=$D7,'Вводные'!$B$88="Да"),"■","")</x:f>
      </x:c>
      <x:c r="AY7" s="137" t="str">
        <x:f>IF(AND(AY$4&gt;=$C7,AY$4&lt;=$D7,'Вводные'!$B$88="Да"),"■","")</x:f>
      </x:c>
      <x:c r="AZ7" s="137" t="str">
        <x:f>IF(AND(AZ$4&gt;=$C7,AZ$4&lt;=$D7,'Вводные'!$B$88="Да"),"■","")</x:f>
      </x:c>
      <x:c r="BA7" s="137" t="str">
        <x:f>IF(AND(BA$4&gt;=$C7,BA$4&lt;=$D7,'Вводные'!$B$88="Да"),"■","")</x:f>
      </x:c>
      <x:c r="BB7" s="137" t="str">
        <x:f>IF(AND(BB$4&gt;=$C7,BB$4&lt;=$D7,'Вводные'!$B$88="Да"),"■","")</x:f>
      </x:c>
      <x:c r="BC7" s="137" t="str">
        <x:f>IF(AND(BC$4&gt;=$C7,BC$4&lt;=$D7,'Вводные'!$B$88="Да"),"■","")</x:f>
      </x:c>
      <x:c r="BD7" s="137" t="str">
        <x:f>IF(AND(BD$4&gt;=$C7,BD$4&lt;=$D7,'Вводные'!$B$88="Да"),"■","")</x:f>
      </x:c>
      <x:c r="BE7" s="137" t="str">
        <x:f>IF(AND(BE$4&gt;=$C7,BE$4&lt;=$D7,'Вводные'!$B$88="Да"),"■","")</x:f>
      </x:c>
      <x:c r="BF7" s="137" t="str">
        <x:f>IF(AND(BF$4&gt;=$C7,BF$4&lt;=$D7,'Вводные'!$B$88="Да"),"■","")</x:f>
      </x:c>
      <x:c r="BG7" s="137" t="str">
        <x:f>IF(AND(BG$4&gt;=$C7,BG$4&lt;=$D7,'Вводные'!$B$88="Да"),"■","")</x:f>
      </x:c>
      <x:c r="BH7" s="137" t="str">
        <x:f>IF(AND(BH$4&gt;=$C7,BH$4&lt;=$D7,'Вводные'!$B$88="Да"),"■","")</x:f>
      </x:c>
      <x:c r="BI7" s="137" t="str">
        <x:f>IF(AND(BI$4&gt;=$C7,BI$4&lt;=$D7,'Вводные'!$B$88="Да"),"■","")</x:f>
      </x:c>
      <x:c r="BJ7" s="137" t="str">
        <x:f>IF(AND(BJ$4&gt;=$C7,BJ$4&lt;=$D7,'Вводные'!$B$88="Да"),"■","")</x:f>
      </x:c>
      <x:c r="BK7" s="137" t="str">
        <x:f>IF(AND(BK$4&gt;=$C7,BK$4&lt;=$D7,'Вводные'!$B$88="Да"),"■","")</x:f>
      </x:c>
      <x:c r="BL7" s="137" t="str">
        <x:f>IF(AND(BL$4&gt;=$C7,BL$4&lt;=$D7,'Вводные'!$B$88="Да"),"■","")</x:f>
      </x:c>
      <x:c r="BM7" s="137" t="str">
        <x:f>IF(AND(BM$4&gt;=$C7,BM$4&lt;=$D7,'Вводные'!$B$88="Да"),"■","")</x:f>
      </x:c>
      <x:c r="BN7" s="137" t="str">
        <x:f>IF(AND(BN$4&gt;=$C7,BN$4&lt;=$D7,'Вводные'!$B$88="Да"),"■","")</x:f>
      </x:c>
      <x:c r="BO7" s="137" t="str">
        <x:f>IF(AND(BO$4&gt;=$C7,BO$4&lt;=$D7,'Вводные'!$B$88="Да"),"■","")</x:f>
      </x:c>
      <x:c r="BP7" s="137" t="str">
        <x:f>IF(AND(BP$4&gt;=$C7,BP$4&lt;=$D7,'Вводные'!$B$88="Да"),"■","")</x:f>
      </x:c>
      <x:c r="BQ7" s="137" t="str">
        <x:f>IF(AND(BQ$4&gt;=$C7,BQ$4&lt;=$D7,'Вводные'!$B$88="Да"),"■","")</x:f>
      </x:c>
      <x:c r="BR7" s="137" t="str">
        <x:f>IF(AND(BR$4&gt;=$C7,BR$4&lt;=$D7,'Вводные'!$B$88="Да"),"■","")</x:f>
      </x:c>
      <x:c r="BS7" s="137" t="str">
        <x:f>IF(AND(BS$4&gt;=$C7,BS$4&lt;=$D7,'Вводные'!$B$88="Да"),"■","")</x:f>
      </x:c>
      <x:c r="BT7" s="137" t="str">
        <x:f>IF(AND(BT$4&gt;=$C7,BT$4&lt;=$D7,'Вводные'!$B$88="Да"),"■","")</x:f>
      </x:c>
      <x:c r="BU7" s="137" t="str">
        <x:f>IF(AND(BU$4&gt;=$C7,BU$4&lt;=$D7,'Вводные'!$B$88="Да"),"■","")</x:f>
      </x:c>
      <x:c r="BV7" s="137" t="str">
        <x:f>IF(AND(BV$4&gt;=$C7,BV$4&lt;=$D7,'Вводные'!$B$88="Да"),"■","")</x:f>
      </x:c>
      <x:c r="BW7" s="137" t="str">
        <x:f>IF(AND(BW$4&gt;=$C7,BW$4&lt;=$D7,'Вводные'!$B$88="Да"),"■","")</x:f>
      </x:c>
      <x:c r="BX7" s="137" t="str">
        <x:f>IF(AND(BX$4&gt;=$C7,BX$4&lt;=$D7,'Вводные'!$B$88="Да"),"■","")</x:f>
      </x:c>
      <x:c r="BY7" s="137" t="str">
        <x:f>IF(AND(BY$4&gt;=$C7,BY$4&lt;=$D7,'Вводные'!$B$88="Да"),"■","")</x:f>
      </x:c>
      <x:c r="BZ7" s="137" t="str">
        <x:f>IF(AND(BZ$4&gt;=$C7,BZ$4&lt;=$D7,'Вводные'!$B$88="Да"),"■","")</x:f>
      </x:c>
      <x:c r="CA7" s="137" t="str">
        <x:f>IF(AND(CA$4&gt;=$C7,CA$4&lt;=$D7,'Вводные'!$B$88="Да"),"■","")</x:f>
      </x:c>
      <x:c r="CB7" s="137" t="str">
        <x:f>IF(AND(CB$4&gt;=$C7,CB$4&lt;=$D7,'Вводные'!$B$88="Да"),"■","")</x:f>
      </x:c>
      <x:c r="CC7" s="137" t="str">
        <x:f>IF(AND(CC$4&gt;=$C7,CC$4&lt;=$D7,'Вводные'!$B$88="Да"),"■","")</x:f>
      </x:c>
      <x:c r="CD7" s="137" t="str">
        <x:f>IF(AND(CD$4&gt;=$C7,CD$4&lt;=$D7,'Вводные'!$B$88="Да"),"■","")</x:f>
      </x:c>
      <x:c r="CE7" s="137" t="str">
        <x:f>IF(AND(CE$4&gt;=$C7,CE$4&lt;=$D7,'Вводные'!$B$88="Да"),"■","")</x:f>
      </x:c>
      <x:c r="CF7" s="137" t="str">
        <x:f>IF(AND(CF$4&gt;=$C7,CF$4&lt;=$D7,'Вводные'!$B$88="Да"),"■","")</x:f>
      </x:c>
      <x:c r="CG7" s="137" t="str">
        <x:f>IF(AND(CG$4&gt;=$C7,CG$4&lt;=$D7,'Вводные'!$B$88="Да"),"■","")</x:f>
      </x:c>
      <x:c r="CH7" s="137" t="str">
        <x:f>IF(AND(CH$4&gt;=$C7,CH$4&lt;=$D7,'Вводные'!$B$88="Да"),"■","")</x:f>
      </x:c>
      <x:c r="CI7" s="137" t="str">
        <x:f>IF(AND(CI$4&gt;=$C7,CI$4&lt;=$D7,'Вводные'!$B$88="Да"),"■","")</x:f>
      </x:c>
      <x:c r="CJ7" s="137" t="str">
        <x:f>IF(AND(CJ$4&gt;=$C7,CJ$4&lt;=$D7,'Вводные'!$B$88="Да"),"■","")</x:f>
      </x:c>
      <x:c r="CK7" s="137" t="str">
        <x:f>IF(AND(CK$4&gt;=$C7,CK$4&lt;=$D7,'Вводные'!$B$88="Да"),"■","")</x:f>
      </x:c>
      <x:c r="CL7" s="137" t="str">
        <x:f>IF(AND(CL$4&gt;=$C7,CL$4&lt;=$D7,'Вводные'!$B$88="Да"),"■","")</x:f>
      </x:c>
      <x:c r="CM7" s="137" t="str">
        <x:f>IF(AND(CM$4&gt;=$C7,CM$4&lt;=$D7,'Вводные'!$B$88="Да"),"■","")</x:f>
      </x:c>
      <x:c r="CN7" s="137" t="str">
        <x:f>IF(AND(CN$4&gt;=$C7,CN$4&lt;=$D7,'Вводные'!$B$88="Да"),"■","")</x:f>
      </x:c>
      <x:c r="CO7" s="137" t="str">
        <x:f>IF(AND(CO$4&gt;=$C7,CO$4&lt;=$D7,'Вводные'!$B$88="Да"),"■","")</x:f>
      </x:c>
      <x:c r="CP7" s="137" t="str">
        <x:f>IF(AND(CP$4&gt;=$C7,CP$4&lt;=$D7,'Вводные'!$B$88="Да"),"■","")</x:f>
      </x:c>
      <x:c r="CQ7" s="137" t="str">
        <x:f>IF(AND(CQ$4&gt;=$C7,CQ$4&lt;=$D7,'Вводные'!$B$88="Да"),"■","")</x:f>
      </x:c>
      <x:c r="CR7" s="137" t="str">
        <x:f>IF(AND(CR$4&gt;=$C7,CR$4&lt;=$D7,'Вводные'!$B$88="Да"),"■","")</x:f>
      </x:c>
      <x:c r="CS7" s="137" t="str">
        <x:f>IF(AND(CS$4&gt;=$C7,CS$4&lt;=$D7,'Вводные'!$B$88="Да"),"■","")</x:f>
      </x:c>
      <x:c r="CT7" s="137" t="str">
        <x:f>IF(AND(CT$4&gt;=$C7,CT$4&lt;=$D7,'Вводные'!$B$88="Да"),"■","")</x:f>
      </x:c>
      <x:c r="CU7" s="137" t="str">
        <x:f>IF(AND(CU$4&gt;=$C7,CU$4&lt;=$D7,'Вводные'!$B$88="Да"),"■","")</x:f>
      </x:c>
      <x:c r="CV7" s="137" t="str">
        <x:f>IF(AND(CV$4&gt;=$C7,CV$4&lt;=$D7,'Вводные'!$B$88="Да"),"■","")</x:f>
      </x:c>
      <x:c r="CW7" s="137" t="str">
        <x:f>IF(AND(CW$4&gt;=$C7,CW$4&lt;=$D7,'Вводные'!$B$88="Да"),"■","")</x:f>
      </x:c>
      <x:c r="CX7" s="137" t="str">
        <x:f>IF(AND(CX$4&gt;=$C7,CX$4&lt;=$D7,'Вводные'!$B$88="Да"),"■","")</x:f>
      </x:c>
      <x:c r="CY7" s="137" t="str">
        <x:f>IF(AND(CY$4&gt;=$C7,CY$4&lt;=$D7,'Вводные'!$B$88="Да"),"■","")</x:f>
      </x:c>
      <x:c r="CZ7" s="137" t="str">
        <x:f>IF(AND(CZ$4&gt;=$C7,CZ$4&lt;=$D7,'Вводные'!$B$88="Да"),"■","")</x:f>
      </x:c>
      <x:c r="DA7" s="137" t="str">
        <x:f>IF(AND(DA$4&gt;=$C7,DA$4&lt;=$D7,'Вводные'!$B$88="Да"),"■","")</x:f>
      </x:c>
      <x:c r="DB7" s="137" t="str">
        <x:f>IF(AND(DB$4&gt;=$C7,DB$4&lt;=$D7,'Вводные'!$B$88="Да"),"■","")</x:f>
      </x:c>
      <x:c r="DC7" s="137" t="str">
        <x:f>IF(AND(DC$4&gt;=$C7,DC$4&lt;=$D7,'Вводные'!$B$88="Да"),"■","")</x:f>
      </x:c>
      <x:c r="DD7" s="137" t="str">
        <x:f>IF(AND(DD$4&gt;=$C7,DD$4&lt;=$D7,'Вводные'!$B$88="Да"),"■","")</x:f>
      </x:c>
      <x:c r="DE7" s="137" t="str">
        <x:f>IF(AND(DE$4&gt;=$C7,DE$4&lt;=$D7,'Вводные'!$B$88="Да"),"■","")</x:f>
      </x:c>
      <x:c r="DF7" s="137" t="str">
        <x:f>IF(AND(DF$4&gt;=$C7,DF$4&lt;=$D7,'Вводные'!$B$88="Да"),"■","")</x:f>
      </x:c>
      <x:c r="DG7" s="137" t="str">
        <x:f>IF(AND(DG$4&gt;=$C7,DG$4&lt;=$D7,'Вводные'!$B$88="Да"),"■","")</x:f>
      </x:c>
      <x:c r="DH7" s="137" t="str">
        <x:f>IF(AND(DH$4&gt;=$C7,DH$4&lt;=$D7,'Вводные'!$B$88="Да"),"■","")</x:f>
      </x:c>
      <x:c r="DI7" s="137" t="str">
        <x:f>IF(AND(DI$4&gt;=$C7,DI$4&lt;=$D7,'Вводные'!$B$88="Да"),"■","")</x:f>
      </x:c>
      <x:c r="DJ7" s="137" t="str">
        <x:f>IF(AND(DJ$4&gt;=$C7,DJ$4&lt;=$D7,'Вводные'!$B$88="Да"),"■","")</x:f>
      </x:c>
      <x:c r="DK7" s="137" t="str">
        <x:f>IF(AND(DK$4&gt;=$C7,DK$4&lt;=$D7,'Вводные'!$B$88="Да"),"■","")</x:f>
      </x:c>
      <x:c r="DL7" s="137" t="str">
        <x:f>IF(AND(DL$4&gt;=$C7,DL$4&lt;=$D7,'Вводные'!$B$88="Да"),"■","")</x:f>
      </x:c>
      <x:c r="DM7" s="137" t="str">
        <x:f>IF(AND(DM$4&gt;=$C7,DM$4&lt;=$D7,'Вводные'!$B$88="Да"),"■","")</x:f>
      </x:c>
      <x:c r="DN7" s="137" t="str">
        <x:f>IF(AND(DN$4&gt;=$C7,DN$4&lt;=$D7,'Вводные'!$B$88="Да"),"■","")</x:f>
      </x:c>
      <x:c r="DO7" s="137" t="str">
        <x:f>IF(AND(DO$4&gt;=$C7,DO$4&lt;=$D7,'Вводные'!$B$88="Да"),"■","")</x:f>
      </x:c>
      <x:c r="DP7" s="137" t="str">
        <x:f>IF(AND(DP$4&gt;=$C7,DP$4&lt;=$D7,'Вводные'!$B$88="Да"),"■","")</x:f>
      </x:c>
      <x:c r="DQ7" s="137" t="str">
        <x:f>IF(AND(DQ$4&gt;=$C7,DQ$4&lt;=$D7,'Вводные'!$B$88="Да"),"■","")</x:f>
      </x:c>
      <x:c r="DR7" s="137" t="str">
        <x:f>IF(AND(DR$4&gt;=$C7,DR$4&lt;=$D7,'Вводные'!$B$88="Да"),"■","")</x:f>
      </x:c>
      <x:c r="DS7" s="137" t="str">
        <x:f>IF(AND(DS$4&gt;=$C7,DS$4&lt;=$D7,'Вводные'!$B$88="Да"),"■","")</x:f>
      </x:c>
      <x:c r="DT7" s="137" t="str">
        <x:f>IF(AND(DT$4&gt;=$C7,DT$4&lt;=$D7,'Вводные'!$B$88="Да"),"■","")</x:f>
      </x:c>
    </x:row>
    <x:row r="8">
      <x:c r="A8" t="str">
        <x:f>'Вводные'!$C$88</x:f>
      </x:c>
      <x:c r="B8" t="str">
        <x:v>РнС / открытие ПФ</x:v>
      </x:c>
      <x:c r="C8" s="92" t="n">
        <x:f>'CF_1'!B7</x:f>
      </x:c>
      <x:c r="D8" s="92" t="n">
        <x:f>C8</x:f>
      </x:c>
      <x:c r="E8" s="135" t="str">
        <x:f>IF(AND(E$4&gt;=$C8,E$4&lt;=$D8,'Вводные'!$B$88="Да"),"■","")</x:f>
      </x:c>
      <x:c r="F8" s="135" t="str">
        <x:f>IF(AND(F$4&gt;=$C8,F$4&lt;=$D8,'Вводные'!$B$88="Да"),"■","")</x:f>
      </x:c>
      <x:c r="G8" s="135" t="str">
        <x:f>IF(AND(G$4&gt;=$C8,G$4&lt;=$D8,'Вводные'!$B$88="Да"),"■","")</x:f>
      </x:c>
      <x:c r="H8" s="135" t="str">
        <x:f>IF(AND(H$4&gt;=$C8,H$4&lt;=$D8,'Вводные'!$B$88="Да"),"■","")</x:f>
      </x:c>
      <x:c r="I8" s="135" t="str">
        <x:f>IF(AND(I$4&gt;=$C8,I$4&lt;=$D8,'Вводные'!$B$88="Да"),"■","")</x:f>
      </x:c>
      <x:c r="J8" s="135" t="str">
        <x:f>IF(AND(J$4&gt;=$C8,J$4&lt;=$D8,'Вводные'!$B$88="Да"),"■","")</x:f>
      </x:c>
      <x:c r="K8" s="135" t="str">
        <x:f>IF(AND(K$4&gt;=$C8,K$4&lt;=$D8,'Вводные'!$B$88="Да"),"■","")</x:f>
      </x:c>
      <x:c r="L8" s="135" t="str">
        <x:f>IF(AND(L$4&gt;=$C8,L$4&lt;=$D8,'Вводные'!$B$88="Да"),"■","")</x:f>
      </x:c>
      <x:c r="M8" s="135" t="str">
        <x:f>IF(AND(M$4&gt;=$C8,M$4&lt;=$D8,'Вводные'!$B$88="Да"),"■","")</x:f>
      </x:c>
      <x:c r="N8" s="135" t="str">
        <x:f>IF(AND(N$4&gt;=$C8,N$4&lt;=$D8,'Вводные'!$B$88="Да"),"■","")</x:f>
      </x:c>
      <x:c r="O8" s="135" t="str">
        <x:f>IF(AND(O$4&gt;=$C8,O$4&lt;=$D8,'Вводные'!$B$88="Да"),"■","")</x:f>
      </x:c>
      <x:c r="P8" s="135" t="str">
        <x:f>IF(AND(P$4&gt;=$C8,P$4&lt;=$D8,'Вводные'!$B$88="Да"),"■","")</x:f>
      </x:c>
      <x:c r="Q8" s="135" t="str">
        <x:f>IF(AND(Q$4&gt;=$C8,Q$4&lt;=$D8,'Вводные'!$B$88="Да"),"■","")</x:f>
      </x:c>
      <x:c r="R8" s="135" t="str">
        <x:f>IF(AND(R$4&gt;=$C8,R$4&lt;=$D8,'Вводные'!$B$88="Да"),"■","")</x:f>
      </x:c>
      <x:c r="S8" s="135" t="str">
        <x:f>IF(AND(S$4&gt;=$C8,S$4&lt;=$D8,'Вводные'!$B$88="Да"),"■","")</x:f>
      </x:c>
      <x:c r="T8" s="135" t="str">
        <x:f>IF(AND(T$4&gt;=$C8,T$4&lt;=$D8,'Вводные'!$B$88="Да"),"■","")</x:f>
      </x:c>
      <x:c r="U8" s="135" t="str">
        <x:f>IF(AND(U$4&gt;=$C8,U$4&lt;=$D8,'Вводные'!$B$88="Да"),"■","")</x:f>
      </x:c>
      <x:c r="V8" s="135" t="str">
        <x:f>IF(AND(V$4&gt;=$C8,V$4&lt;=$D8,'Вводные'!$B$88="Да"),"■","")</x:f>
      </x:c>
      <x:c r="W8" s="135" t="str">
        <x:f>IF(AND(W$4&gt;=$C8,W$4&lt;=$D8,'Вводные'!$B$88="Да"),"■","")</x:f>
      </x:c>
      <x:c r="X8" s="135" t="str">
        <x:f>IF(AND(X$4&gt;=$C8,X$4&lt;=$D8,'Вводные'!$B$88="Да"),"■","")</x:f>
      </x:c>
      <x:c r="Y8" s="135" t="str">
        <x:f>IF(AND(Y$4&gt;=$C8,Y$4&lt;=$D8,'Вводные'!$B$88="Да"),"■","")</x:f>
      </x:c>
      <x:c r="Z8" s="135" t="str">
        <x:f>IF(AND(Z$4&gt;=$C8,Z$4&lt;=$D8,'Вводные'!$B$88="Да"),"■","")</x:f>
      </x:c>
      <x:c r="AA8" s="135" t="str">
        <x:f>IF(AND(AA$4&gt;=$C8,AA$4&lt;=$D8,'Вводные'!$B$88="Да"),"■","")</x:f>
      </x:c>
      <x:c r="AB8" s="135" t="str">
        <x:f>IF(AND(AB$4&gt;=$C8,AB$4&lt;=$D8,'Вводные'!$B$88="Да"),"■","")</x:f>
      </x:c>
      <x:c r="AC8" s="135" t="str">
        <x:f>IF(AND(AC$4&gt;=$C8,AC$4&lt;=$D8,'Вводные'!$B$88="Да"),"■","")</x:f>
      </x:c>
      <x:c r="AD8" s="135" t="str">
        <x:f>IF(AND(AD$4&gt;=$C8,AD$4&lt;=$D8,'Вводные'!$B$88="Да"),"■","")</x:f>
      </x:c>
      <x:c r="AE8" s="135" t="str">
        <x:f>IF(AND(AE$4&gt;=$C8,AE$4&lt;=$D8,'Вводные'!$B$88="Да"),"■","")</x:f>
      </x:c>
      <x:c r="AF8" s="135" t="str">
        <x:f>IF(AND(AF$4&gt;=$C8,AF$4&lt;=$D8,'Вводные'!$B$88="Да"),"■","")</x:f>
      </x:c>
      <x:c r="AG8" s="135" t="str">
        <x:f>IF(AND(AG$4&gt;=$C8,AG$4&lt;=$D8,'Вводные'!$B$88="Да"),"■","")</x:f>
      </x:c>
      <x:c r="AH8" s="135" t="str">
        <x:f>IF(AND(AH$4&gt;=$C8,AH$4&lt;=$D8,'Вводные'!$B$88="Да"),"■","")</x:f>
      </x:c>
      <x:c r="AI8" s="135" t="str">
        <x:f>IF(AND(AI$4&gt;=$C8,AI$4&lt;=$D8,'Вводные'!$B$88="Да"),"■","")</x:f>
      </x:c>
      <x:c r="AJ8" s="135" t="str">
        <x:f>IF(AND(AJ$4&gt;=$C8,AJ$4&lt;=$D8,'Вводные'!$B$88="Да"),"■","")</x:f>
      </x:c>
      <x:c r="AK8" s="135" t="str">
        <x:f>IF(AND(AK$4&gt;=$C8,AK$4&lt;=$D8,'Вводные'!$B$88="Да"),"■","")</x:f>
      </x:c>
      <x:c r="AL8" s="135" t="str">
        <x:f>IF(AND(AL$4&gt;=$C8,AL$4&lt;=$D8,'Вводные'!$B$88="Да"),"■","")</x:f>
      </x:c>
      <x:c r="AM8" s="135" t="str">
        <x:f>IF(AND(AM$4&gt;=$C8,AM$4&lt;=$D8,'Вводные'!$B$88="Да"),"■","")</x:f>
      </x:c>
      <x:c r="AN8" s="135" t="str">
        <x:f>IF(AND(AN$4&gt;=$C8,AN$4&lt;=$D8,'Вводные'!$B$88="Да"),"■","")</x:f>
      </x:c>
      <x:c r="AO8" s="135" t="str">
        <x:f>IF(AND(AO$4&gt;=$C8,AO$4&lt;=$D8,'Вводные'!$B$88="Да"),"■","")</x:f>
      </x:c>
      <x:c r="AP8" s="135" t="str">
        <x:f>IF(AND(AP$4&gt;=$C8,AP$4&lt;=$D8,'Вводные'!$B$88="Да"),"■","")</x:f>
      </x:c>
      <x:c r="AQ8" s="135" t="str">
        <x:f>IF(AND(AQ$4&gt;=$C8,AQ$4&lt;=$D8,'Вводные'!$B$88="Да"),"■","")</x:f>
      </x:c>
      <x:c r="AR8" s="135" t="str">
        <x:f>IF(AND(AR$4&gt;=$C8,AR$4&lt;=$D8,'Вводные'!$B$88="Да"),"■","")</x:f>
      </x:c>
      <x:c r="AS8" s="135" t="str">
        <x:f>IF(AND(AS$4&gt;=$C8,AS$4&lt;=$D8,'Вводные'!$B$88="Да"),"■","")</x:f>
      </x:c>
      <x:c r="AT8" s="135" t="str">
        <x:f>IF(AND(AT$4&gt;=$C8,AT$4&lt;=$D8,'Вводные'!$B$88="Да"),"■","")</x:f>
      </x:c>
      <x:c r="AU8" s="135" t="str">
        <x:f>IF(AND(AU$4&gt;=$C8,AU$4&lt;=$D8,'Вводные'!$B$88="Да"),"■","")</x:f>
      </x:c>
      <x:c r="AV8" s="135" t="str">
        <x:f>IF(AND(AV$4&gt;=$C8,AV$4&lt;=$D8,'Вводные'!$B$88="Да"),"■","")</x:f>
      </x:c>
      <x:c r="AW8" s="135" t="str">
        <x:f>IF(AND(AW$4&gt;=$C8,AW$4&lt;=$D8,'Вводные'!$B$88="Да"),"■","")</x:f>
      </x:c>
      <x:c r="AX8" s="135" t="str">
        <x:f>IF(AND(AX$4&gt;=$C8,AX$4&lt;=$D8,'Вводные'!$B$88="Да"),"■","")</x:f>
      </x:c>
      <x:c r="AY8" s="135" t="str">
        <x:f>IF(AND(AY$4&gt;=$C8,AY$4&lt;=$D8,'Вводные'!$B$88="Да"),"■","")</x:f>
      </x:c>
      <x:c r="AZ8" s="135" t="str">
        <x:f>IF(AND(AZ$4&gt;=$C8,AZ$4&lt;=$D8,'Вводные'!$B$88="Да"),"■","")</x:f>
      </x:c>
      <x:c r="BA8" s="135" t="str">
        <x:f>IF(AND(BA$4&gt;=$C8,BA$4&lt;=$D8,'Вводные'!$B$88="Да"),"■","")</x:f>
      </x:c>
      <x:c r="BB8" s="135" t="str">
        <x:f>IF(AND(BB$4&gt;=$C8,BB$4&lt;=$D8,'Вводные'!$B$88="Да"),"■","")</x:f>
      </x:c>
      <x:c r="BC8" s="135" t="str">
        <x:f>IF(AND(BC$4&gt;=$C8,BC$4&lt;=$D8,'Вводные'!$B$88="Да"),"■","")</x:f>
      </x:c>
      <x:c r="BD8" s="135" t="str">
        <x:f>IF(AND(BD$4&gt;=$C8,BD$4&lt;=$D8,'Вводные'!$B$88="Да"),"■","")</x:f>
      </x:c>
      <x:c r="BE8" s="135" t="str">
        <x:f>IF(AND(BE$4&gt;=$C8,BE$4&lt;=$D8,'Вводные'!$B$88="Да"),"■","")</x:f>
      </x:c>
      <x:c r="BF8" s="135" t="str">
        <x:f>IF(AND(BF$4&gt;=$C8,BF$4&lt;=$D8,'Вводные'!$B$88="Да"),"■","")</x:f>
      </x:c>
      <x:c r="BG8" s="135" t="str">
        <x:f>IF(AND(BG$4&gt;=$C8,BG$4&lt;=$D8,'Вводные'!$B$88="Да"),"■","")</x:f>
      </x:c>
      <x:c r="BH8" s="135" t="str">
        <x:f>IF(AND(BH$4&gt;=$C8,BH$4&lt;=$D8,'Вводные'!$B$88="Да"),"■","")</x:f>
      </x:c>
      <x:c r="BI8" s="135" t="str">
        <x:f>IF(AND(BI$4&gt;=$C8,BI$4&lt;=$D8,'Вводные'!$B$88="Да"),"■","")</x:f>
      </x:c>
      <x:c r="BJ8" s="135" t="str">
        <x:f>IF(AND(BJ$4&gt;=$C8,BJ$4&lt;=$D8,'Вводные'!$B$88="Да"),"■","")</x:f>
      </x:c>
      <x:c r="BK8" s="135" t="str">
        <x:f>IF(AND(BK$4&gt;=$C8,BK$4&lt;=$D8,'Вводные'!$B$88="Да"),"■","")</x:f>
      </x:c>
      <x:c r="BL8" s="135" t="str">
        <x:f>IF(AND(BL$4&gt;=$C8,BL$4&lt;=$D8,'Вводные'!$B$88="Да"),"■","")</x:f>
      </x:c>
      <x:c r="BM8" s="135" t="str">
        <x:f>IF(AND(BM$4&gt;=$C8,BM$4&lt;=$D8,'Вводные'!$B$88="Да"),"■","")</x:f>
      </x:c>
      <x:c r="BN8" s="135" t="str">
        <x:f>IF(AND(BN$4&gt;=$C8,BN$4&lt;=$D8,'Вводные'!$B$88="Да"),"■","")</x:f>
      </x:c>
      <x:c r="BO8" s="135" t="str">
        <x:f>IF(AND(BO$4&gt;=$C8,BO$4&lt;=$D8,'Вводные'!$B$88="Да"),"■","")</x:f>
      </x:c>
      <x:c r="BP8" s="135" t="str">
        <x:f>IF(AND(BP$4&gt;=$C8,BP$4&lt;=$D8,'Вводные'!$B$88="Да"),"■","")</x:f>
      </x:c>
      <x:c r="BQ8" s="135" t="str">
        <x:f>IF(AND(BQ$4&gt;=$C8,BQ$4&lt;=$D8,'Вводные'!$B$88="Да"),"■","")</x:f>
      </x:c>
      <x:c r="BR8" s="135" t="str">
        <x:f>IF(AND(BR$4&gt;=$C8,BR$4&lt;=$D8,'Вводные'!$B$88="Да"),"■","")</x:f>
      </x:c>
      <x:c r="BS8" s="135" t="str">
        <x:f>IF(AND(BS$4&gt;=$C8,BS$4&lt;=$D8,'Вводные'!$B$88="Да"),"■","")</x:f>
      </x:c>
      <x:c r="BT8" s="135" t="str">
        <x:f>IF(AND(BT$4&gt;=$C8,BT$4&lt;=$D8,'Вводные'!$B$88="Да"),"■","")</x:f>
      </x:c>
      <x:c r="BU8" s="135" t="str">
        <x:f>IF(AND(BU$4&gt;=$C8,BU$4&lt;=$D8,'Вводные'!$B$88="Да"),"■","")</x:f>
      </x:c>
      <x:c r="BV8" s="135" t="str">
        <x:f>IF(AND(BV$4&gt;=$C8,BV$4&lt;=$D8,'Вводные'!$B$88="Да"),"■","")</x:f>
      </x:c>
      <x:c r="BW8" s="135" t="str">
        <x:f>IF(AND(BW$4&gt;=$C8,BW$4&lt;=$D8,'Вводные'!$B$88="Да"),"■","")</x:f>
      </x:c>
      <x:c r="BX8" s="135" t="str">
        <x:f>IF(AND(BX$4&gt;=$C8,BX$4&lt;=$D8,'Вводные'!$B$88="Да"),"■","")</x:f>
      </x:c>
      <x:c r="BY8" s="135" t="str">
        <x:f>IF(AND(BY$4&gt;=$C8,BY$4&lt;=$D8,'Вводные'!$B$88="Да"),"■","")</x:f>
      </x:c>
      <x:c r="BZ8" s="135" t="str">
        <x:f>IF(AND(BZ$4&gt;=$C8,BZ$4&lt;=$D8,'Вводные'!$B$88="Да"),"■","")</x:f>
      </x:c>
      <x:c r="CA8" s="135" t="str">
        <x:f>IF(AND(CA$4&gt;=$C8,CA$4&lt;=$D8,'Вводные'!$B$88="Да"),"■","")</x:f>
      </x:c>
      <x:c r="CB8" s="135" t="str">
        <x:f>IF(AND(CB$4&gt;=$C8,CB$4&lt;=$D8,'Вводные'!$B$88="Да"),"■","")</x:f>
      </x:c>
      <x:c r="CC8" s="135" t="str">
        <x:f>IF(AND(CC$4&gt;=$C8,CC$4&lt;=$D8,'Вводные'!$B$88="Да"),"■","")</x:f>
      </x:c>
      <x:c r="CD8" s="135" t="str">
        <x:f>IF(AND(CD$4&gt;=$C8,CD$4&lt;=$D8,'Вводные'!$B$88="Да"),"■","")</x:f>
      </x:c>
      <x:c r="CE8" s="135" t="str">
        <x:f>IF(AND(CE$4&gt;=$C8,CE$4&lt;=$D8,'Вводные'!$B$88="Да"),"■","")</x:f>
      </x:c>
      <x:c r="CF8" s="135" t="str">
        <x:f>IF(AND(CF$4&gt;=$C8,CF$4&lt;=$D8,'Вводные'!$B$88="Да"),"■","")</x:f>
      </x:c>
      <x:c r="CG8" s="135" t="str">
        <x:f>IF(AND(CG$4&gt;=$C8,CG$4&lt;=$D8,'Вводные'!$B$88="Да"),"■","")</x:f>
      </x:c>
      <x:c r="CH8" s="135" t="str">
        <x:f>IF(AND(CH$4&gt;=$C8,CH$4&lt;=$D8,'Вводные'!$B$88="Да"),"■","")</x:f>
      </x:c>
      <x:c r="CI8" s="135" t="str">
        <x:f>IF(AND(CI$4&gt;=$C8,CI$4&lt;=$D8,'Вводные'!$B$88="Да"),"■","")</x:f>
      </x:c>
      <x:c r="CJ8" s="135" t="str">
        <x:f>IF(AND(CJ$4&gt;=$C8,CJ$4&lt;=$D8,'Вводные'!$B$88="Да"),"■","")</x:f>
      </x:c>
      <x:c r="CK8" s="135" t="str">
        <x:f>IF(AND(CK$4&gt;=$C8,CK$4&lt;=$D8,'Вводные'!$B$88="Да"),"■","")</x:f>
      </x:c>
      <x:c r="CL8" s="135" t="str">
        <x:f>IF(AND(CL$4&gt;=$C8,CL$4&lt;=$D8,'Вводные'!$B$88="Да"),"■","")</x:f>
      </x:c>
      <x:c r="CM8" s="135" t="str">
        <x:f>IF(AND(CM$4&gt;=$C8,CM$4&lt;=$D8,'Вводные'!$B$88="Да"),"■","")</x:f>
      </x:c>
      <x:c r="CN8" s="135" t="str">
        <x:f>IF(AND(CN$4&gt;=$C8,CN$4&lt;=$D8,'Вводные'!$B$88="Да"),"■","")</x:f>
      </x:c>
      <x:c r="CO8" s="135" t="str">
        <x:f>IF(AND(CO$4&gt;=$C8,CO$4&lt;=$D8,'Вводные'!$B$88="Да"),"■","")</x:f>
      </x:c>
      <x:c r="CP8" s="135" t="str">
        <x:f>IF(AND(CP$4&gt;=$C8,CP$4&lt;=$D8,'Вводные'!$B$88="Да"),"■","")</x:f>
      </x:c>
      <x:c r="CQ8" s="135" t="str">
        <x:f>IF(AND(CQ$4&gt;=$C8,CQ$4&lt;=$D8,'Вводные'!$B$88="Да"),"■","")</x:f>
      </x:c>
      <x:c r="CR8" s="135" t="str">
        <x:f>IF(AND(CR$4&gt;=$C8,CR$4&lt;=$D8,'Вводные'!$B$88="Да"),"■","")</x:f>
      </x:c>
      <x:c r="CS8" s="135" t="str">
        <x:f>IF(AND(CS$4&gt;=$C8,CS$4&lt;=$D8,'Вводные'!$B$88="Да"),"■","")</x:f>
      </x:c>
      <x:c r="CT8" s="135" t="str">
        <x:f>IF(AND(CT$4&gt;=$C8,CT$4&lt;=$D8,'Вводные'!$B$88="Да"),"■","")</x:f>
      </x:c>
      <x:c r="CU8" s="135" t="str">
        <x:f>IF(AND(CU$4&gt;=$C8,CU$4&lt;=$D8,'Вводные'!$B$88="Да"),"■","")</x:f>
      </x:c>
      <x:c r="CV8" s="135" t="str">
        <x:f>IF(AND(CV$4&gt;=$C8,CV$4&lt;=$D8,'Вводные'!$B$88="Да"),"■","")</x:f>
      </x:c>
      <x:c r="CW8" s="135" t="str">
        <x:f>IF(AND(CW$4&gt;=$C8,CW$4&lt;=$D8,'Вводные'!$B$88="Да"),"■","")</x:f>
      </x:c>
      <x:c r="CX8" s="135" t="str">
        <x:f>IF(AND(CX$4&gt;=$C8,CX$4&lt;=$D8,'Вводные'!$B$88="Да"),"■","")</x:f>
      </x:c>
      <x:c r="CY8" s="135" t="str">
        <x:f>IF(AND(CY$4&gt;=$C8,CY$4&lt;=$D8,'Вводные'!$B$88="Да"),"■","")</x:f>
      </x:c>
      <x:c r="CZ8" s="135" t="str">
        <x:f>IF(AND(CZ$4&gt;=$C8,CZ$4&lt;=$D8,'Вводные'!$B$88="Да"),"■","")</x:f>
      </x:c>
      <x:c r="DA8" s="135" t="str">
        <x:f>IF(AND(DA$4&gt;=$C8,DA$4&lt;=$D8,'Вводные'!$B$88="Да"),"■","")</x:f>
      </x:c>
      <x:c r="DB8" s="135" t="str">
        <x:f>IF(AND(DB$4&gt;=$C8,DB$4&lt;=$D8,'Вводные'!$B$88="Да"),"■","")</x:f>
      </x:c>
      <x:c r="DC8" s="135" t="str">
        <x:f>IF(AND(DC$4&gt;=$C8,DC$4&lt;=$D8,'Вводные'!$B$88="Да"),"■","")</x:f>
      </x:c>
      <x:c r="DD8" s="135" t="str">
        <x:f>IF(AND(DD$4&gt;=$C8,DD$4&lt;=$D8,'Вводные'!$B$88="Да"),"■","")</x:f>
      </x:c>
      <x:c r="DE8" s="135" t="str">
        <x:f>IF(AND(DE$4&gt;=$C8,DE$4&lt;=$D8,'Вводные'!$B$88="Да"),"■","")</x:f>
      </x:c>
      <x:c r="DF8" s="135" t="str">
        <x:f>IF(AND(DF$4&gt;=$C8,DF$4&lt;=$D8,'Вводные'!$B$88="Да"),"■","")</x:f>
      </x:c>
      <x:c r="DG8" s="135" t="str">
        <x:f>IF(AND(DG$4&gt;=$C8,DG$4&lt;=$D8,'Вводные'!$B$88="Да"),"■","")</x:f>
      </x:c>
      <x:c r="DH8" s="135" t="str">
        <x:f>IF(AND(DH$4&gt;=$C8,DH$4&lt;=$D8,'Вводные'!$B$88="Да"),"■","")</x:f>
      </x:c>
      <x:c r="DI8" s="135" t="str">
        <x:f>IF(AND(DI$4&gt;=$C8,DI$4&lt;=$D8,'Вводные'!$B$88="Да"),"■","")</x:f>
      </x:c>
      <x:c r="DJ8" s="135" t="str">
        <x:f>IF(AND(DJ$4&gt;=$C8,DJ$4&lt;=$D8,'Вводные'!$B$88="Да"),"■","")</x:f>
      </x:c>
      <x:c r="DK8" s="135" t="str">
        <x:f>IF(AND(DK$4&gt;=$C8,DK$4&lt;=$D8,'Вводные'!$B$88="Да"),"■","")</x:f>
      </x:c>
      <x:c r="DL8" s="135" t="str">
        <x:f>IF(AND(DL$4&gt;=$C8,DL$4&lt;=$D8,'Вводные'!$B$88="Да"),"■","")</x:f>
      </x:c>
      <x:c r="DM8" s="135" t="str">
        <x:f>IF(AND(DM$4&gt;=$C8,DM$4&lt;=$D8,'Вводные'!$B$88="Да"),"■","")</x:f>
      </x:c>
      <x:c r="DN8" s="135" t="str">
        <x:f>IF(AND(DN$4&gt;=$C8,DN$4&lt;=$D8,'Вводные'!$B$88="Да"),"■","")</x:f>
      </x:c>
      <x:c r="DO8" s="135" t="str">
        <x:f>IF(AND(DO$4&gt;=$C8,DO$4&lt;=$D8,'Вводные'!$B$88="Да"),"■","")</x:f>
      </x:c>
      <x:c r="DP8" s="135" t="str">
        <x:f>IF(AND(DP$4&gt;=$C8,DP$4&lt;=$D8,'Вводные'!$B$88="Да"),"■","")</x:f>
      </x:c>
      <x:c r="DQ8" s="135" t="str">
        <x:f>IF(AND(DQ$4&gt;=$C8,DQ$4&lt;=$D8,'Вводные'!$B$88="Да"),"■","")</x:f>
      </x:c>
      <x:c r="DR8" s="135" t="str">
        <x:f>IF(AND(DR$4&gt;=$C8,DR$4&lt;=$D8,'Вводные'!$B$88="Да"),"■","")</x:f>
      </x:c>
      <x:c r="DS8" s="135" t="str">
        <x:f>IF(AND(DS$4&gt;=$C8,DS$4&lt;=$D8,'Вводные'!$B$88="Да"),"■","")</x:f>
      </x:c>
      <x:c r="DT8" s="135" t="str">
        <x:f>IF(AND(DT$4&gt;=$C8,DT$4&lt;=$D8,'Вводные'!$B$88="Да"),"■","")</x:f>
      </x:c>
    </x:row>
    <x:row r="9">
      <x:c r="A9" t="str">
        <x:f>'Вводные'!$C$88</x:f>
      </x:c>
      <x:c r="B9" t="str">
        <x:v>Продажи</x:v>
      </x:c>
      <x:c r="C9" s="92" t="n">
        <x:f>'Продажи'!B7</x:f>
      </x:c>
      <x:c r="D9" s="92" t="n">
        <x:f>EDATE('Продажи'!B7,'Вводные'!$H$88-1)</x:f>
      </x:c>
      <x:c r="E9" s="139" t="str">
        <x:f>IF(AND(E$4&gt;=$C9,E$4&lt;=$D9,'Вводные'!$B$88="Да"),"■","")</x:f>
      </x:c>
      <x:c r="F9" s="139" t="str">
        <x:f>IF(AND(F$4&gt;=$C9,F$4&lt;=$D9,'Вводные'!$B$88="Да"),"■","")</x:f>
      </x:c>
      <x:c r="G9" s="139" t="str">
        <x:f>IF(AND(G$4&gt;=$C9,G$4&lt;=$D9,'Вводные'!$B$88="Да"),"■","")</x:f>
      </x:c>
      <x:c r="H9" s="139" t="str">
        <x:f>IF(AND(H$4&gt;=$C9,H$4&lt;=$D9,'Вводные'!$B$88="Да"),"■","")</x:f>
      </x:c>
      <x:c r="I9" s="139" t="str">
        <x:f>IF(AND(I$4&gt;=$C9,I$4&lt;=$D9,'Вводные'!$B$88="Да"),"■","")</x:f>
      </x:c>
      <x:c r="J9" s="139" t="str">
        <x:f>IF(AND(J$4&gt;=$C9,J$4&lt;=$D9,'Вводные'!$B$88="Да"),"■","")</x:f>
      </x:c>
      <x:c r="K9" s="139" t="str">
        <x:f>IF(AND(K$4&gt;=$C9,K$4&lt;=$D9,'Вводные'!$B$88="Да"),"■","")</x:f>
      </x:c>
      <x:c r="L9" s="139" t="str">
        <x:f>IF(AND(L$4&gt;=$C9,L$4&lt;=$D9,'Вводные'!$B$88="Да"),"■","")</x:f>
      </x:c>
      <x:c r="M9" s="139" t="str">
        <x:f>IF(AND(M$4&gt;=$C9,M$4&lt;=$D9,'Вводные'!$B$88="Да"),"■","")</x:f>
      </x:c>
      <x:c r="N9" s="139" t="str">
        <x:f>IF(AND(N$4&gt;=$C9,N$4&lt;=$D9,'Вводные'!$B$88="Да"),"■","")</x:f>
      </x:c>
      <x:c r="O9" s="139" t="str">
        <x:f>IF(AND(O$4&gt;=$C9,O$4&lt;=$D9,'Вводные'!$B$88="Да"),"■","")</x:f>
      </x:c>
      <x:c r="P9" s="139" t="str">
        <x:f>IF(AND(P$4&gt;=$C9,P$4&lt;=$D9,'Вводные'!$B$88="Да"),"■","")</x:f>
      </x:c>
      <x:c r="Q9" s="139" t="str">
        <x:f>IF(AND(Q$4&gt;=$C9,Q$4&lt;=$D9,'Вводные'!$B$88="Да"),"■","")</x:f>
      </x:c>
      <x:c r="R9" s="139" t="str">
        <x:f>IF(AND(R$4&gt;=$C9,R$4&lt;=$D9,'Вводные'!$B$88="Да"),"■","")</x:f>
      </x:c>
      <x:c r="S9" s="139" t="str">
        <x:f>IF(AND(S$4&gt;=$C9,S$4&lt;=$D9,'Вводные'!$B$88="Да"),"■","")</x:f>
      </x:c>
      <x:c r="T9" s="139" t="str">
        <x:f>IF(AND(T$4&gt;=$C9,T$4&lt;=$D9,'Вводные'!$B$88="Да"),"■","")</x:f>
      </x:c>
      <x:c r="U9" s="139" t="str">
        <x:f>IF(AND(U$4&gt;=$C9,U$4&lt;=$D9,'Вводные'!$B$88="Да"),"■","")</x:f>
      </x:c>
      <x:c r="V9" s="139" t="str">
        <x:f>IF(AND(V$4&gt;=$C9,V$4&lt;=$D9,'Вводные'!$B$88="Да"),"■","")</x:f>
      </x:c>
      <x:c r="W9" s="139" t="str">
        <x:f>IF(AND(W$4&gt;=$C9,W$4&lt;=$D9,'Вводные'!$B$88="Да"),"■","")</x:f>
      </x:c>
      <x:c r="X9" s="139" t="str">
        <x:f>IF(AND(X$4&gt;=$C9,X$4&lt;=$D9,'Вводные'!$B$88="Да"),"■","")</x:f>
      </x:c>
      <x:c r="Y9" s="139" t="str">
        <x:f>IF(AND(Y$4&gt;=$C9,Y$4&lt;=$D9,'Вводные'!$B$88="Да"),"■","")</x:f>
      </x:c>
      <x:c r="Z9" s="139" t="str">
        <x:f>IF(AND(Z$4&gt;=$C9,Z$4&lt;=$D9,'Вводные'!$B$88="Да"),"■","")</x:f>
      </x:c>
      <x:c r="AA9" s="139" t="str">
        <x:f>IF(AND(AA$4&gt;=$C9,AA$4&lt;=$D9,'Вводные'!$B$88="Да"),"■","")</x:f>
      </x:c>
      <x:c r="AB9" s="139" t="str">
        <x:f>IF(AND(AB$4&gt;=$C9,AB$4&lt;=$D9,'Вводные'!$B$88="Да"),"■","")</x:f>
      </x:c>
      <x:c r="AC9" s="139" t="str">
        <x:f>IF(AND(AC$4&gt;=$C9,AC$4&lt;=$D9,'Вводные'!$B$88="Да"),"■","")</x:f>
      </x:c>
      <x:c r="AD9" s="139" t="str">
        <x:f>IF(AND(AD$4&gt;=$C9,AD$4&lt;=$D9,'Вводные'!$B$88="Да"),"■","")</x:f>
      </x:c>
      <x:c r="AE9" s="139" t="str">
        <x:f>IF(AND(AE$4&gt;=$C9,AE$4&lt;=$D9,'Вводные'!$B$88="Да"),"■","")</x:f>
      </x:c>
      <x:c r="AF9" s="139" t="str">
        <x:f>IF(AND(AF$4&gt;=$C9,AF$4&lt;=$D9,'Вводные'!$B$88="Да"),"■","")</x:f>
      </x:c>
      <x:c r="AG9" s="139" t="str">
        <x:f>IF(AND(AG$4&gt;=$C9,AG$4&lt;=$D9,'Вводные'!$B$88="Да"),"■","")</x:f>
      </x:c>
      <x:c r="AH9" s="139" t="str">
        <x:f>IF(AND(AH$4&gt;=$C9,AH$4&lt;=$D9,'Вводные'!$B$88="Да"),"■","")</x:f>
      </x:c>
      <x:c r="AI9" s="139" t="str">
        <x:f>IF(AND(AI$4&gt;=$C9,AI$4&lt;=$D9,'Вводные'!$B$88="Да"),"■","")</x:f>
      </x:c>
      <x:c r="AJ9" s="139" t="str">
        <x:f>IF(AND(AJ$4&gt;=$C9,AJ$4&lt;=$D9,'Вводные'!$B$88="Да"),"■","")</x:f>
      </x:c>
      <x:c r="AK9" s="139" t="str">
        <x:f>IF(AND(AK$4&gt;=$C9,AK$4&lt;=$D9,'Вводные'!$B$88="Да"),"■","")</x:f>
      </x:c>
      <x:c r="AL9" s="139" t="str">
        <x:f>IF(AND(AL$4&gt;=$C9,AL$4&lt;=$D9,'Вводные'!$B$88="Да"),"■","")</x:f>
      </x:c>
      <x:c r="AM9" s="139" t="str">
        <x:f>IF(AND(AM$4&gt;=$C9,AM$4&lt;=$D9,'Вводные'!$B$88="Да"),"■","")</x:f>
      </x:c>
      <x:c r="AN9" s="139" t="str">
        <x:f>IF(AND(AN$4&gt;=$C9,AN$4&lt;=$D9,'Вводные'!$B$88="Да"),"■","")</x:f>
      </x:c>
      <x:c r="AO9" s="139" t="str">
        <x:f>IF(AND(AO$4&gt;=$C9,AO$4&lt;=$D9,'Вводные'!$B$88="Да"),"■","")</x:f>
      </x:c>
      <x:c r="AP9" s="139" t="str">
        <x:f>IF(AND(AP$4&gt;=$C9,AP$4&lt;=$D9,'Вводные'!$B$88="Да"),"■","")</x:f>
      </x:c>
      <x:c r="AQ9" s="139" t="str">
        <x:f>IF(AND(AQ$4&gt;=$C9,AQ$4&lt;=$D9,'Вводные'!$B$88="Да"),"■","")</x:f>
      </x:c>
      <x:c r="AR9" s="139" t="str">
        <x:f>IF(AND(AR$4&gt;=$C9,AR$4&lt;=$D9,'Вводные'!$B$88="Да"),"■","")</x:f>
      </x:c>
      <x:c r="AS9" s="139" t="str">
        <x:f>IF(AND(AS$4&gt;=$C9,AS$4&lt;=$D9,'Вводные'!$B$88="Да"),"■","")</x:f>
      </x:c>
      <x:c r="AT9" s="139" t="str">
        <x:f>IF(AND(AT$4&gt;=$C9,AT$4&lt;=$D9,'Вводные'!$B$88="Да"),"■","")</x:f>
      </x:c>
      <x:c r="AU9" s="139" t="str">
        <x:f>IF(AND(AU$4&gt;=$C9,AU$4&lt;=$D9,'Вводные'!$B$88="Да"),"■","")</x:f>
      </x:c>
      <x:c r="AV9" s="139" t="str">
        <x:f>IF(AND(AV$4&gt;=$C9,AV$4&lt;=$D9,'Вводные'!$B$88="Да"),"■","")</x:f>
      </x:c>
      <x:c r="AW9" s="139" t="str">
        <x:f>IF(AND(AW$4&gt;=$C9,AW$4&lt;=$D9,'Вводные'!$B$88="Да"),"■","")</x:f>
      </x:c>
      <x:c r="AX9" s="139" t="str">
        <x:f>IF(AND(AX$4&gt;=$C9,AX$4&lt;=$D9,'Вводные'!$B$88="Да"),"■","")</x:f>
      </x:c>
      <x:c r="AY9" s="139" t="str">
        <x:f>IF(AND(AY$4&gt;=$C9,AY$4&lt;=$D9,'Вводные'!$B$88="Да"),"■","")</x:f>
      </x:c>
      <x:c r="AZ9" s="139" t="str">
        <x:f>IF(AND(AZ$4&gt;=$C9,AZ$4&lt;=$D9,'Вводные'!$B$88="Да"),"■","")</x:f>
      </x:c>
      <x:c r="BA9" s="139" t="str">
        <x:f>IF(AND(BA$4&gt;=$C9,BA$4&lt;=$D9,'Вводные'!$B$88="Да"),"■","")</x:f>
      </x:c>
      <x:c r="BB9" s="139" t="str">
        <x:f>IF(AND(BB$4&gt;=$C9,BB$4&lt;=$D9,'Вводные'!$B$88="Да"),"■","")</x:f>
      </x:c>
      <x:c r="BC9" s="139" t="str">
        <x:f>IF(AND(BC$4&gt;=$C9,BC$4&lt;=$D9,'Вводные'!$B$88="Да"),"■","")</x:f>
      </x:c>
      <x:c r="BD9" s="139" t="str">
        <x:f>IF(AND(BD$4&gt;=$C9,BD$4&lt;=$D9,'Вводные'!$B$88="Да"),"■","")</x:f>
      </x:c>
      <x:c r="BE9" s="139" t="str">
        <x:f>IF(AND(BE$4&gt;=$C9,BE$4&lt;=$D9,'Вводные'!$B$88="Да"),"■","")</x:f>
      </x:c>
      <x:c r="BF9" s="139" t="str">
        <x:f>IF(AND(BF$4&gt;=$C9,BF$4&lt;=$D9,'Вводные'!$B$88="Да"),"■","")</x:f>
      </x:c>
      <x:c r="BG9" s="139" t="str">
        <x:f>IF(AND(BG$4&gt;=$C9,BG$4&lt;=$D9,'Вводные'!$B$88="Да"),"■","")</x:f>
      </x:c>
      <x:c r="BH9" s="139" t="str">
        <x:f>IF(AND(BH$4&gt;=$C9,BH$4&lt;=$D9,'Вводные'!$B$88="Да"),"■","")</x:f>
      </x:c>
      <x:c r="BI9" s="139" t="str">
        <x:f>IF(AND(BI$4&gt;=$C9,BI$4&lt;=$D9,'Вводные'!$B$88="Да"),"■","")</x:f>
      </x:c>
      <x:c r="BJ9" s="139" t="str">
        <x:f>IF(AND(BJ$4&gt;=$C9,BJ$4&lt;=$D9,'Вводные'!$B$88="Да"),"■","")</x:f>
      </x:c>
      <x:c r="BK9" s="139" t="str">
        <x:f>IF(AND(BK$4&gt;=$C9,BK$4&lt;=$D9,'Вводные'!$B$88="Да"),"■","")</x:f>
      </x:c>
      <x:c r="BL9" s="139" t="str">
        <x:f>IF(AND(BL$4&gt;=$C9,BL$4&lt;=$D9,'Вводные'!$B$88="Да"),"■","")</x:f>
      </x:c>
      <x:c r="BM9" s="139" t="str">
        <x:f>IF(AND(BM$4&gt;=$C9,BM$4&lt;=$D9,'Вводные'!$B$88="Да"),"■","")</x:f>
      </x:c>
      <x:c r="BN9" s="139" t="str">
        <x:f>IF(AND(BN$4&gt;=$C9,BN$4&lt;=$D9,'Вводные'!$B$88="Да"),"■","")</x:f>
      </x:c>
      <x:c r="BO9" s="139" t="str">
        <x:f>IF(AND(BO$4&gt;=$C9,BO$4&lt;=$D9,'Вводные'!$B$88="Да"),"■","")</x:f>
      </x:c>
      <x:c r="BP9" s="139" t="str">
        <x:f>IF(AND(BP$4&gt;=$C9,BP$4&lt;=$D9,'Вводные'!$B$88="Да"),"■","")</x:f>
      </x:c>
      <x:c r="BQ9" s="139" t="str">
        <x:f>IF(AND(BQ$4&gt;=$C9,BQ$4&lt;=$D9,'Вводные'!$B$88="Да"),"■","")</x:f>
      </x:c>
      <x:c r="BR9" s="139" t="str">
        <x:f>IF(AND(BR$4&gt;=$C9,BR$4&lt;=$D9,'Вводные'!$B$88="Да"),"■","")</x:f>
      </x:c>
      <x:c r="BS9" s="139" t="str">
        <x:f>IF(AND(BS$4&gt;=$C9,BS$4&lt;=$D9,'Вводные'!$B$88="Да"),"■","")</x:f>
      </x:c>
      <x:c r="BT9" s="139" t="str">
        <x:f>IF(AND(BT$4&gt;=$C9,BT$4&lt;=$D9,'Вводные'!$B$88="Да"),"■","")</x:f>
      </x:c>
      <x:c r="BU9" s="139" t="str">
        <x:f>IF(AND(BU$4&gt;=$C9,BU$4&lt;=$D9,'Вводные'!$B$88="Да"),"■","")</x:f>
      </x:c>
      <x:c r="BV9" s="139" t="str">
        <x:f>IF(AND(BV$4&gt;=$C9,BV$4&lt;=$D9,'Вводные'!$B$88="Да"),"■","")</x:f>
      </x:c>
      <x:c r="BW9" s="139" t="str">
        <x:f>IF(AND(BW$4&gt;=$C9,BW$4&lt;=$D9,'Вводные'!$B$88="Да"),"■","")</x:f>
      </x:c>
      <x:c r="BX9" s="139" t="str">
        <x:f>IF(AND(BX$4&gt;=$C9,BX$4&lt;=$D9,'Вводные'!$B$88="Да"),"■","")</x:f>
      </x:c>
      <x:c r="BY9" s="139" t="str">
        <x:f>IF(AND(BY$4&gt;=$C9,BY$4&lt;=$D9,'Вводные'!$B$88="Да"),"■","")</x:f>
      </x:c>
      <x:c r="BZ9" s="139" t="str">
        <x:f>IF(AND(BZ$4&gt;=$C9,BZ$4&lt;=$D9,'Вводные'!$B$88="Да"),"■","")</x:f>
      </x:c>
      <x:c r="CA9" s="139" t="str">
        <x:f>IF(AND(CA$4&gt;=$C9,CA$4&lt;=$D9,'Вводные'!$B$88="Да"),"■","")</x:f>
      </x:c>
      <x:c r="CB9" s="139" t="str">
        <x:f>IF(AND(CB$4&gt;=$C9,CB$4&lt;=$D9,'Вводные'!$B$88="Да"),"■","")</x:f>
      </x:c>
      <x:c r="CC9" s="139" t="str">
        <x:f>IF(AND(CC$4&gt;=$C9,CC$4&lt;=$D9,'Вводные'!$B$88="Да"),"■","")</x:f>
      </x:c>
      <x:c r="CD9" s="139" t="str">
        <x:f>IF(AND(CD$4&gt;=$C9,CD$4&lt;=$D9,'Вводные'!$B$88="Да"),"■","")</x:f>
      </x:c>
      <x:c r="CE9" s="139" t="str">
        <x:f>IF(AND(CE$4&gt;=$C9,CE$4&lt;=$D9,'Вводные'!$B$88="Да"),"■","")</x:f>
      </x:c>
      <x:c r="CF9" s="139" t="str">
        <x:f>IF(AND(CF$4&gt;=$C9,CF$4&lt;=$D9,'Вводные'!$B$88="Да"),"■","")</x:f>
      </x:c>
      <x:c r="CG9" s="139" t="str">
        <x:f>IF(AND(CG$4&gt;=$C9,CG$4&lt;=$D9,'Вводные'!$B$88="Да"),"■","")</x:f>
      </x:c>
      <x:c r="CH9" s="139" t="str">
        <x:f>IF(AND(CH$4&gt;=$C9,CH$4&lt;=$D9,'Вводные'!$B$88="Да"),"■","")</x:f>
      </x:c>
      <x:c r="CI9" s="139" t="str">
        <x:f>IF(AND(CI$4&gt;=$C9,CI$4&lt;=$D9,'Вводные'!$B$88="Да"),"■","")</x:f>
      </x:c>
      <x:c r="CJ9" s="139" t="str">
        <x:f>IF(AND(CJ$4&gt;=$C9,CJ$4&lt;=$D9,'Вводные'!$B$88="Да"),"■","")</x:f>
      </x:c>
      <x:c r="CK9" s="139" t="str">
        <x:f>IF(AND(CK$4&gt;=$C9,CK$4&lt;=$D9,'Вводные'!$B$88="Да"),"■","")</x:f>
      </x:c>
      <x:c r="CL9" s="139" t="str">
        <x:f>IF(AND(CL$4&gt;=$C9,CL$4&lt;=$D9,'Вводные'!$B$88="Да"),"■","")</x:f>
      </x:c>
      <x:c r="CM9" s="139" t="str">
        <x:f>IF(AND(CM$4&gt;=$C9,CM$4&lt;=$D9,'Вводные'!$B$88="Да"),"■","")</x:f>
      </x:c>
      <x:c r="CN9" s="139" t="str">
        <x:f>IF(AND(CN$4&gt;=$C9,CN$4&lt;=$D9,'Вводные'!$B$88="Да"),"■","")</x:f>
      </x:c>
      <x:c r="CO9" s="139" t="str">
        <x:f>IF(AND(CO$4&gt;=$C9,CO$4&lt;=$D9,'Вводные'!$B$88="Да"),"■","")</x:f>
      </x:c>
      <x:c r="CP9" s="139" t="str">
        <x:f>IF(AND(CP$4&gt;=$C9,CP$4&lt;=$D9,'Вводные'!$B$88="Да"),"■","")</x:f>
      </x:c>
      <x:c r="CQ9" s="139" t="str">
        <x:f>IF(AND(CQ$4&gt;=$C9,CQ$4&lt;=$D9,'Вводные'!$B$88="Да"),"■","")</x:f>
      </x:c>
      <x:c r="CR9" s="139" t="str">
        <x:f>IF(AND(CR$4&gt;=$C9,CR$4&lt;=$D9,'Вводные'!$B$88="Да"),"■","")</x:f>
      </x:c>
      <x:c r="CS9" s="139" t="str">
        <x:f>IF(AND(CS$4&gt;=$C9,CS$4&lt;=$D9,'Вводные'!$B$88="Да"),"■","")</x:f>
      </x:c>
      <x:c r="CT9" s="139" t="str">
        <x:f>IF(AND(CT$4&gt;=$C9,CT$4&lt;=$D9,'Вводные'!$B$88="Да"),"■","")</x:f>
      </x:c>
      <x:c r="CU9" s="139" t="str">
        <x:f>IF(AND(CU$4&gt;=$C9,CU$4&lt;=$D9,'Вводные'!$B$88="Да"),"■","")</x:f>
      </x:c>
      <x:c r="CV9" s="139" t="str">
        <x:f>IF(AND(CV$4&gt;=$C9,CV$4&lt;=$D9,'Вводные'!$B$88="Да"),"■","")</x:f>
      </x:c>
      <x:c r="CW9" s="139" t="str">
        <x:f>IF(AND(CW$4&gt;=$C9,CW$4&lt;=$D9,'Вводные'!$B$88="Да"),"■","")</x:f>
      </x:c>
      <x:c r="CX9" s="139" t="str">
        <x:f>IF(AND(CX$4&gt;=$C9,CX$4&lt;=$D9,'Вводные'!$B$88="Да"),"■","")</x:f>
      </x:c>
      <x:c r="CY9" s="139" t="str">
        <x:f>IF(AND(CY$4&gt;=$C9,CY$4&lt;=$D9,'Вводные'!$B$88="Да"),"■","")</x:f>
      </x:c>
      <x:c r="CZ9" s="139" t="str">
        <x:f>IF(AND(CZ$4&gt;=$C9,CZ$4&lt;=$D9,'Вводные'!$B$88="Да"),"■","")</x:f>
      </x:c>
      <x:c r="DA9" s="139" t="str">
        <x:f>IF(AND(DA$4&gt;=$C9,DA$4&lt;=$D9,'Вводные'!$B$88="Да"),"■","")</x:f>
      </x:c>
      <x:c r="DB9" s="139" t="str">
        <x:f>IF(AND(DB$4&gt;=$C9,DB$4&lt;=$D9,'Вводные'!$B$88="Да"),"■","")</x:f>
      </x:c>
      <x:c r="DC9" s="139" t="str">
        <x:f>IF(AND(DC$4&gt;=$C9,DC$4&lt;=$D9,'Вводные'!$B$88="Да"),"■","")</x:f>
      </x:c>
      <x:c r="DD9" s="139" t="str">
        <x:f>IF(AND(DD$4&gt;=$C9,DD$4&lt;=$D9,'Вводные'!$B$88="Да"),"■","")</x:f>
      </x:c>
      <x:c r="DE9" s="139" t="str">
        <x:f>IF(AND(DE$4&gt;=$C9,DE$4&lt;=$D9,'Вводные'!$B$88="Да"),"■","")</x:f>
      </x:c>
      <x:c r="DF9" s="139" t="str">
        <x:f>IF(AND(DF$4&gt;=$C9,DF$4&lt;=$D9,'Вводные'!$B$88="Да"),"■","")</x:f>
      </x:c>
      <x:c r="DG9" s="139" t="str">
        <x:f>IF(AND(DG$4&gt;=$C9,DG$4&lt;=$D9,'Вводные'!$B$88="Да"),"■","")</x:f>
      </x:c>
      <x:c r="DH9" s="139" t="str">
        <x:f>IF(AND(DH$4&gt;=$C9,DH$4&lt;=$D9,'Вводные'!$B$88="Да"),"■","")</x:f>
      </x:c>
      <x:c r="DI9" s="139" t="str">
        <x:f>IF(AND(DI$4&gt;=$C9,DI$4&lt;=$D9,'Вводные'!$B$88="Да"),"■","")</x:f>
      </x:c>
      <x:c r="DJ9" s="139" t="str">
        <x:f>IF(AND(DJ$4&gt;=$C9,DJ$4&lt;=$D9,'Вводные'!$B$88="Да"),"■","")</x:f>
      </x:c>
      <x:c r="DK9" s="139" t="str">
        <x:f>IF(AND(DK$4&gt;=$C9,DK$4&lt;=$D9,'Вводные'!$B$88="Да"),"■","")</x:f>
      </x:c>
      <x:c r="DL9" s="139" t="str">
        <x:f>IF(AND(DL$4&gt;=$C9,DL$4&lt;=$D9,'Вводные'!$B$88="Да"),"■","")</x:f>
      </x:c>
      <x:c r="DM9" s="139" t="str">
        <x:f>IF(AND(DM$4&gt;=$C9,DM$4&lt;=$D9,'Вводные'!$B$88="Да"),"■","")</x:f>
      </x:c>
      <x:c r="DN9" s="139" t="str">
        <x:f>IF(AND(DN$4&gt;=$C9,DN$4&lt;=$D9,'Вводные'!$B$88="Да"),"■","")</x:f>
      </x:c>
      <x:c r="DO9" s="139" t="str">
        <x:f>IF(AND(DO$4&gt;=$C9,DO$4&lt;=$D9,'Вводные'!$B$88="Да"),"■","")</x:f>
      </x:c>
      <x:c r="DP9" s="139" t="str">
        <x:f>IF(AND(DP$4&gt;=$C9,DP$4&lt;=$D9,'Вводные'!$B$88="Да"),"■","")</x:f>
      </x:c>
      <x:c r="DQ9" s="139" t="str">
        <x:f>IF(AND(DQ$4&gt;=$C9,DQ$4&lt;=$D9,'Вводные'!$B$88="Да"),"■","")</x:f>
      </x:c>
      <x:c r="DR9" s="139" t="str">
        <x:f>IF(AND(DR$4&gt;=$C9,DR$4&lt;=$D9,'Вводные'!$B$88="Да"),"■","")</x:f>
      </x:c>
      <x:c r="DS9" s="139" t="str">
        <x:f>IF(AND(DS$4&gt;=$C9,DS$4&lt;=$D9,'Вводные'!$B$88="Да"),"■","")</x:f>
      </x:c>
      <x:c r="DT9" s="139" t="str">
        <x:f>IF(AND(DT$4&gt;=$C9,DT$4&lt;=$D9,'Вводные'!$B$88="Да"),"■","")</x:f>
      </x:c>
    </x:row>
    <x:row r="10">
      <x:c r="A10" t="str">
        <x:f>'Вводные'!$C$88</x:f>
      </x:c>
      <x:c r="B10" t="str">
        <x:v>Строительство</x:v>
      </x:c>
      <x:c r="C10" s="92" t="n">
        <x:f>'CF_1'!B7</x:f>
      </x:c>
      <x:c r="D10" s="92" t="n">
        <x:f>EDATE(C10,'Вводные'!$F$88-1)</x:f>
      </x:c>
      <x:c r="E10" s="141" t="str">
        <x:f>IF(AND(E$4&gt;=$C10,E$4&lt;=$D10,'Вводные'!$B$88="Да"),"■","")</x:f>
      </x:c>
      <x:c r="F10" s="141" t="str">
        <x:f>IF(AND(F$4&gt;=$C10,F$4&lt;=$D10,'Вводные'!$B$88="Да"),"■","")</x:f>
      </x:c>
      <x:c r="G10" s="141" t="str">
        <x:f>IF(AND(G$4&gt;=$C10,G$4&lt;=$D10,'Вводные'!$B$88="Да"),"■","")</x:f>
      </x:c>
      <x:c r="H10" s="141" t="str">
        <x:f>IF(AND(H$4&gt;=$C10,H$4&lt;=$D10,'Вводные'!$B$88="Да"),"■","")</x:f>
      </x:c>
      <x:c r="I10" s="141" t="str">
        <x:f>IF(AND(I$4&gt;=$C10,I$4&lt;=$D10,'Вводные'!$B$88="Да"),"■","")</x:f>
      </x:c>
      <x:c r="J10" s="141" t="str">
        <x:f>IF(AND(J$4&gt;=$C10,J$4&lt;=$D10,'Вводные'!$B$88="Да"),"■","")</x:f>
      </x:c>
      <x:c r="K10" s="141" t="str">
        <x:f>IF(AND(K$4&gt;=$C10,K$4&lt;=$D10,'Вводные'!$B$88="Да"),"■","")</x:f>
      </x:c>
      <x:c r="L10" s="141" t="str">
        <x:f>IF(AND(L$4&gt;=$C10,L$4&lt;=$D10,'Вводные'!$B$88="Да"),"■","")</x:f>
      </x:c>
      <x:c r="M10" s="141" t="str">
        <x:f>IF(AND(M$4&gt;=$C10,M$4&lt;=$D10,'Вводные'!$B$88="Да"),"■","")</x:f>
      </x:c>
      <x:c r="N10" s="141" t="str">
        <x:f>IF(AND(N$4&gt;=$C10,N$4&lt;=$D10,'Вводные'!$B$88="Да"),"■","")</x:f>
      </x:c>
      <x:c r="O10" s="141" t="str">
        <x:f>IF(AND(O$4&gt;=$C10,O$4&lt;=$D10,'Вводные'!$B$88="Да"),"■","")</x:f>
      </x:c>
      <x:c r="P10" s="141" t="str">
        <x:f>IF(AND(P$4&gt;=$C10,P$4&lt;=$D10,'Вводные'!$B$88="Да"),"■","")</x:f>
      </x:c>
      <x:c r="Q10" s="141" t="str">
        <x:f>IF(AND(Q$4&gt;=$C10,Q$4&lt;=$D10,'Вводные'!$B$88="Да"),"■","")</x:f>
      </x:c>
      <x:c r="R10" s="141" t="str">
        <x:f>IF(AND(R$4&gt;=$C10,R$4&lt;=$D10,'Вводные'!$B$88="Да"),"■","")</x:f>
      </x:c>
      <x:c r="S10" s="141" t="str">
        <x:f>IF(AND(S$4&gt;=$C10,S$4&lt;=$D10,'Вводные'!$B$88="Да"),"■","")</x:f>
      </x:c>
      <x:c r="T10" s="141" t="str">
        <x:f>IF(AND(T$4&gt;=$C10,T$4&lt;=$D10,'Вводные'!$B$88="Да"),"■","")</x:f>
      </x:c>
      <x:c r="U10" s="141" t="str">
        <x:f>IF(AND(U$4&gt;=$C10,U$4&lt;=$D10,'Вводные'!$B$88="Да"),"■","")</x:f>
      </x:c>
      <x:c r="V10" s="141" t="str">
        <x:f>IF(AND(V$4&gt;=$C10,V$4&lt;=$D10,'Вводные'!$B$88="Да"),"■","")</x:f>
      </x:c>
      <x:c r="W10" s="141" t="str">
        <x:f>IF(AND(W$4&gt;=$C10,W$4&lt;=$D10,'Вводные'!$B$88="Да"),"■","")</x:f>
      </x:c>
      <x:c r="X10" s="141" t="str">
        <x:f>IF(AND(X$4&gt;=$C10,X$4&lt;=$D10,'Вводные'!$B$88="Да"),"■","")</x:f>
      </x:c>
      <x:c r="Y10" s="141" t="str">
        <x:f>IF(AND(Y$4&gt;=$C10,Y$4&lt;=$D10,'Вводные'!$B$88="Да"),"■","")</x:f>
      </x:c>
      <x:c r="Z10" s="141" t="str">
        <x:f>IF(AND(Z$4&gt;=$C10,Z$4&lt;=$D10,'Вводные'!$B$88="Да"),"■","")</x:f>
      </x:c>
      <x:c r="AA10" s="141" t="str">
        <x:f>IF(AND(AA$4&gt;=$C10,AA$4&lt;=$D10,'Вводные'!$B$88="Да"),"■","")</x:f>
      </x:c>
      <x:c r="AB10" s="141" t="str">
        <x:f>IF(AND(AB$4&gt;=$C10,AB$4&lt;=$D10,'Вводные'!$B$88="Да"),"■","")</x:f>
      </x:c>
      <x:c r="AC10" s="141" t="str">
        <x:f>IF(AND(AC$4&gt;=$C10,AC$4&lt;=$D10,'Вводные'!$B$88="Да"),"■","")</x:f>
      </x:c>
      <x:c r="AD10" s="141" t="str">
        <x:f>IF(AND(AD$4&gt;=$C10,AD$4&lt;=$D10,'Вводные'!$B$88="Да"),"■","")</x:f>
      </x:c>
      <x:c r="AE10" s="141" t="str">
        <x:f>IF(AND(AE$4&gt;=$C10,AE$4&lt;=$D10,'Вводные'!$B$88="Да"),"■","")</x:f>
      </x:c>
      <x:c r="AF10" s="141" t="str">
        <x:f>IF(AND(AF$4&gt;=$C10,AF$4&lt;=$D10,'Вводные'!$B$88="Да"),"■","")</x:f>
      </x:c>
      <x:c r="AG10" s="141" t="str">
        <x:f>IF(AND(AG$4&gt;=$C10,AG$4&lt;=$D10,'Вводные'!$B$88="Да"),"■","")</x:f>
      </x:c>
      <x:c r="AH10" s="141" t="str">
        <x:f>IF(AND(AH$4&gt;=$C10,AH$4&lt;=$D10,'Вводные'!$B$88="Да"),"■","")</x:f>
      </x:c>
      <x:c r="AI10" s="141" t="str">
        <x:f>IF(AND(AI$4&gt;=$C10,AI$4&lt;=$D10,'Вводные'!$B$88="Да"),"■","")</x:f>
      </x:c>
      <x:c r="AJ10" s="141" t="str">
        <x:f>IF(AND(AJ$4&gt;=$C10,AJ$4&lt;=$D10,'Вводные'!$B$88="Да"),"■","")</x:f>
      </x:c>
      <x:c r="AK10" s="141" t="str">
        <x:f>IF(AND(AK$4&gt;=$C10,AK$4&lt;=$D10,'Вводные'!$B$88="Да"),"■","")</x:f>
      </x:c>
      <x:c r="AL10" s="141" t="str">
        <x:f>IF(AND(AL$4&gt;=$C10,AL$4&lt;=$D10,'Вводные'!$B$88="Да"),"■","")</x:f>
      </x:c>
      <x:c r="AM10" s="141" t="str">
        <x:f>IF(AND(AM$4&gt;=$C10,AM$4&lt;=$D10,'Вводные'!$B$88="Да"),"■","")</x:f>
      </x:c>
      <x:c r="AN10" s="141" t="str">
        <x:f>IF(AND(AN$4&gt;=$C10,AN$4&lt;=$D10,'Вводные'!$B$88="Да"),"■","")</x:f>
      </x:c>
      <x:c r="AO10" s="141" t="str">
        <x:f>IF(AND(AO$4&gt;=$C10,AO$4&lt;=$D10,'Вводные'!$B$88="Да"),"■","")</x:f>
      </x:c>
      <x:c r="AP10" s="141" t="str">
        <x:f>IF(AND(AP$4&gt;=$C10,AP$4&lt;=$D10,'Вводные'!$B$88="Да"),"■","")</x:f>
      </x:c>
      <x:c r="AQ10" s="141" t="str">
        <x:f>IF(AND(AQ$4&gt;=$C10,AQ$4&lt;=$D10,'Вводные'!$B$88="Да"),"■","")</x:f>
      </x:c>
      <x:c r="AR10" s="141" t="str">
        <x:f>IF(AND(AR$4&gt;=$C10,AR$4&lt;=$D10,'Вводные'!$B$88="Да"),"■","")</x:f>
      </x:c>
      <x:c r="AS10" s="141" t="str">
        <x:f>IF(AND(AS$4&gt;=$C10,AS$4&lt;=$D10,'Вводные'!$B$88="Да"),"■","")</x:f>
      </x:c>
      <x:c r="AT10" s="141" t="str">
        <x:f>IF(AND(AT$4&gt;=$C10,AT$4&lt;=$D10,'Вводные'!$B$88="Да"),"■","")</x:f>
      </x:c>
      <x:c r="AU10" s="141" t="str">
        <x:f>IF(AND(AU$4&gt;=$C10,AU$4&lt;=$D10,'Вводные'!$B$88="Да"),"■","")</x:f>
      </x:c>
      <x:c r="AV10" s="141" t="str">
        <x:f>IF(AND(AV$4&gt;=$C10,AV$4&lt;=$D10,'Вводные'!$B$88="Да"),"■","")</x:f>
      </x:c>
      <x:c r="AW10" s="141" t="str">
        <x:f>IF(AND(AW$4&gt;=$C10,AW$4&lt;=$D10,'Вводные'!$B$88="Да"),"■","")</x:f>
      </x:c>
      <x:c r="AX10" s="141" t="str">
        <x:f>IF(AND(AX$4&gt;=$C10,AX$4&lt;=$D10,'Вводные'!$B$88="Да"),"■","")</x:f>
      </x:c>
      <x:c r="AY10" s="141" t="str">
        <x:f>IF(AND(AY$4&gt;=$C10,AY$4&lt;=$D10,'Вводные'!$B$88="Да"),"■","")</x:f>
      </x:c>
      <x:c r="AZ10" s="141" t="str">
        <x:f>IF(AND(AZ$4&gt;=$C10,AZ$4&lt;=$D10,'Вводные'!$B$88="Да"),"■","")</x:f>
      </x:c>
      <x:c r="BA10" s="141" t="str">
        <x:f>IF(AND(BA$4&gt;=$C10,BA$4&lt;=$D10,'Вводные'!$B$88="Да"),"■","")</x:f>
      </x:c>
      <x:c r="BB10" s="141" t="str">
        <x:f>IF(AND(BB$4&gt;=$C10,BB$4&lt;=$D10,'Вводные'!$B$88="Да"),"■","")</x:f>
      </x:c>
      <x:c r="BC10" s="141" t="str">
        <x:f>IF(AND(BC$4&gt;=$C10,BC$4&lt;=$D10,'Вводные'!$B$88="Да"),"■","")</x:f>
      </x:c>
      <x:c r="BD10" s="141" t="str">
        <x:f>IF(AND(BD$4&gt;=$C10,BD$4&lt;=$D10,'Вводные'!$B$88="Да"),"■","")</x:f>
      </x:c>
      <x:c r="BE10" s="141" t="str">
        <x:f>IF(AND(BE$4&gt;=$C10,BE$4&lt;=$D10,'Вводные'!$B$88="Да"),"■","")</x:f>
      </x:c>
      <x:c r="BF10" s="141" t="str">
        <x:f>IF(AND(BF$4&gt;=$C10,BF$4&lt;=$D10,'Вводные'!$B$88="Да"),"■","")</x:f>
      </x:c>
      <x:c r="BG10" s="141" t="str">
        <x:f>IF(AND(BG$4&gt;=$C10,BG$4&lt;=$D10,'Вводные'!$B$88="Да"),"■","")</x:f>
      </x:c>
      <x:c r="BH10" s="141" t="str">
        <x:f>IF(AND(BH$4&gt;=$C10,BH$4&lt;=$D10,'Вводные'!$B$88="Да"),"■","")</x:f>
      </x:c>
      <x:c r="BI10" s="141" t="str">
        <x:f>IF(AND(BI$4&gt;=$C10,BI$4&lt;=$D10,'Вводные'!$B$88="Да"),"■","")</x:f>
      </x:c>
      <x:c r="BJ10" s="141" t="str">
        <x:f>IF(AND(BJ$4&gt;=$C10,BJ$4&lt;=$D10,'Вводные'!$B$88="Да"),"■","")</x:f>
      </x:c>
      <x:c r="BK10" s="141" t="str">
        <x:f>IF(AND(BK$4&gt;=$C10,BK$4&lt;=$D10,'Вводные'!$B$88="Да"),"■","")</x:f>
      </x:c>
      <x:c r="BL10" s="141" t="str">
        <x:f>IF(AND(BL$4&gt;=$C10,BL$4&lt;=$D10,'Вводные'!$B$88="Да"),"■","")</x:f>
      </x:c>
      <x:c r="BM10" s="141" t="str">
        <x:f>IF(AND(BM$4&gt;=$C10,BM$4&lt;=$D10,'Вводные'!$B$88="Да"),"■","")</x:f>
      </x:c>
      <x:c r="BN10" s="141" t="str">
        <x:f>IF(AND(BN$4&gt;=$C10,BN$4&lt;=$D10,'Вводные'!$B$88="Да"),"■","")</x:f>
      </x:c>
      <x:c r="BO10" s="141" t="str">
        <x:f>IF(AND(BO$4&gt;=$C10,BO$4&lt;=$D10,'Вводные'!$B$88="Да"),"■","")</x:f>
      </x:c>
      <x:c r="BP10" s="141" t="str">
        <x:f>IF(AND(BP$4&gt;=$C10,BP$4&lt;=$D10,'Вводные'!$B$88="Да"),"■","")</x:f>
      </x:c>
      <x:c r="BQ10" s="141" t="str">
        <x:f>IF(AND(BQ$4&gt;=$C10,BQ$4&lt;=$D10,'Вводные'!$B$88="Да"),"■","")</x:f>
      </x:c>
      <x:c r="BR10" s="141" t="str">
        <x:f>IF(AND(BR$4&gt;=$C10,BR$4&lt;=$D10,'Вводные'!$B$88="Да"),"■","")</x:f>
      </x:c>
      <x:c r="BS10" s="141" t="str">
        <x:f>IF(AND(BS$4&gt;=$C10,BS$4&lt;=$D10,'Вводные'!$B$88="Да"),"■","")</x:f>
      </x:c>
      <x:c r="BT10" s="141" t="str">
        <x:f>IF(AND(BT$4&gt;=$C10,BT$4&lt;=$D10,'Вводные'!$B$88="Да"),"■","")</x:f>
      </x:c>
      <x:c r="BU10" s="141" t="str">
        <x:f>IF(AND(BU$4&gt;=$C10,BU$4&lt;=$D10,'Вводные'!$B$88="Да"),"■","")</x:f>
      </x:c>
      <x:c r="BV10" s="141" t="str">
        <x:f>IF(AND(BV$4&gt;=$C10,BV$4&lt;=$D10,'Вводные'!$B$88="Да"),"■","")</x:f>
      </x:c>
      <x:c r="BW10" s="141" t="str">
        <x:f>IF(AND(BW$4&gt;=$C10,BW$4&lt;=$D10,'Вводные'!$B$88="Да"),"■","")</x:f>
      </x:c>
      <x:c r="BX10" s="141" t="str">
        <x:f>IF(AND(BX$4&gt;=$C10,BX$4&lt;=$D10,'Вводные'!$B$88="Да"),"■","")</x:f>
      </x:c>
      <x:c r="BY10" s="141" t="str">
        <x:f>IF(AND(BY$4&gt;=$C10,BY$4&lt;=$D10,'Вводные'!$B$88="Да"),"■","")</x:f>
      </x:c>
      <x:c r="BZ10" s="141" t="str">
        <x:f>IF(AND(BZ$4&gt;=$C10,BZ$4&lt;=$D10,'Вводные'!$B$88="Да"),"■","")</x:f>
      </x:c>
      <x:c r="CA10" s="141" t="str">
        <x:f>IF(AND(CA$4&gt;=$C10,CA$4&lt;=$D10,'Вводные'!$B$88="Да"),"■","")</x:f>
      </x:c>
      <x:c r="CB10" s="141" t="str">
        <x:f>IF(AND(CB$4&gt;=$C10,CB$4&lt;=$D10,'Вводные'!$B$88="Да"),"■","")</x:f>
      </x:c>
      <x:c r="CC10" s="141" t="str">
        <x:f>IF(AND(CC$4&gt;=$C10,CC$4&lt;=$D10,'Вводные'!$B$88="Да"),"■","")</x:f>
      </x:c>
      <x:c r="CD10" s="141" t="str">
        <x:f>IF(AND(CD$4&gt;=$C10,CD$4&lt;=$D10,'Вводные'!$B$88="Да"),"■","")</x:f>
      </x:c>
      <x:c r="CE10" s="141" t="str">
        <x:f>IF(AND(CE$4&gt;=$C10,CE$4&lt;=$D10,'Вводные'!$B$88="Да"),"■","")</x:f>
      </x:c>
      <x:c r="CF10" s="141" t="str">
        <x:f>IF(AND(CF$4&gt;=$C10,CF$4&lt;=$D10,'Вводные'!$B$88="Да"),"■","")</x:f>
      </x:c>
      <x:c r="CG10" s="141" t="str">
        <x:f>IF(AND(CG$4&gt;=$C10,CG$4&lt;=$D10,'Вводные'!$B$88="Да"),"■","")</x:f>
      </x:c>
      <x:c r="CH10" s="141" t="str">
        <x:f>IF(AND(CH$4&gt;=$C10,CH$4&lt;=$D10,'Вводные'!$B$88="Да"),"■","")</x:f>
      </x:c>
      <x:c r="CI10" s="141" t="str">
        <x:f>IF(AND(CI$4&gt;=$C10,CI$4&lt;=$D10,'Вводные'!$B$88="Да"),"■","")</x:f>
      </x:c>
      <x:c r="CJ10" s="141" t="str">
        <x:f>IF(AND(CJ$4&gt;=$C10,CJ$4&lt;=$D10,'Вводные'!$B$88="Да"),"■","")</x:f>
      </x:c>
      <x:c r="CK10" s="141" t="str">
        <x:f>IF(AND(CK$4&gt;=$C10,CK$4&lt;=$D10,'Вводные'!$B$88="Да"),"■","")</x:f>
      </x:c>
      <x:c r="CL10" s="141" t="str">
        <x:f>IF(AND(CL$4&gt;=$C10,CL$4&lt;=$D10,'Вводные'!$B$88="Да"),"■","")</x:f>
      </x:c>
      <x:c r="CM10" s="141" t="str">
        <x:f>IF(AND(CM$4&gt;=$C10,CM$4&lt;=$D10,'Вводные'!$B$88="Да"),"■","")</x:f>
      </x:c>
      <x:c r="CN10" s="141" t="str">
        <x:f>IF(AND(CN$4&gt;=$C10,CN$4&lt;=$D10,'Вводные'!$B$88="Да"),"■","")</x:f>
      </x:c>
      <x:c r="CO10" s="141" t="str">
        <x:f>IF(AND(CO$4&gt;=$C10,CO$4&lt;=$D10,'Вводные'!$B$88="Да"),"■","")</x:f>
      </x:c>
      <x:c r="CP10" s="141" t="str">
        <x:f>IF(AND(CP$4&gt;=$C10,CP$4&lt;=$D10,'Вводные'!$B$88="Да"),"■","")</x:f>
      </x:c>
      <x:c r="CQ10" s="141" t="str">
        <x:f>IF(AND(CQ$4&gt;=$C10,CQ$4&lt;=$D10,'Вводные'!$B$88="Да"),"■","")</x:f>
      </x:c>
      <x:c r="CR10" s="141" t="str">
        <x:f>IF(AND(CR$4&gt;=$C10,CR$4&lt;=$D10,'Вводные'!$B$88="Да"),"■","")</x:f>
      </x:c>
      <x:c r="CS10" s="141" t="str">
        <x:f>IF(AND(CS$4&gt;=$C10,CS$4&lt;=$D10,'Вводные'!$B$88="Да"),"■","")</x:f>
      </x:c>
      <x:c r="CT10" s="141" t="str">
        <x:f>IF(AND(CT$4&gt;=$C10,CT$4&lt;=$D10,'Вводные'!$B$88="Да"),"■","")</x:f>
      </x:c>
      <x:c r="CU10" s="141" t="str">
        <x:f>IF(AND(CU$4&gt;=$C10,CU$4&lt;=$D10,'Вводные'!$B$88="Да"),"■","")</x:f>
      </x:c>
      <x:c r="CV10" s="141" t="str">
        <x:f>IF(AND(CV$4&gt;=$C10,CV$4&lt;=$D10,'Вводные'!$B$88="Да"),"■","")</x:f>
      </x:c>
      <x:c r="CW10" s="141" t="str">
        <x:f>IF(AND(CW$4&gt;=$C10,CW$4&lt;=$D10,'Вводные'!$B$88="Да"),"■","")</x:f>
      </x:c>
      <x:c r="CX10" s="141" t="str">
        <x:f>IF(AND(CX$4&gt;=$C10,CX$4&lt;=$D10,'Вводные'!$B$88="Да"),"■","")</x:f>
      </x:c>
      <x:c r="CY10" s="141" t="str">
        <x:f>IF(AND(CY$4&gt;=$C10,CY$4&lt;=$D10,'Вводные'!$B$88="Да"),"■","")</x:f>
      </x:c>
      <x:c r="CZ10" s="141" t="str">
        <x:f>IF(AND(CZ$4&gt;=$C10,CZ$4&lt;=$D10,'Вводные'!$B$88="Да"),"■","")</x:f>
      </x:c>
      <x:c r="DA10" s="141" t="str">
        <x:f>IF(AND(DA$4&gt;=$C10,DA$4&lt;=$D10,'Вводные'!$B$88="Да"),"■","")</x:f>
      </x:c>
      <x:c r="DB10" s="141" t="str">
        <x:f>IF(AND(DB$4&gt;=$C10,DB$4&lt;=$D10,'Вводные'!$B$88="Да"),"■","")</x:f>
      </x:c>
      <x:c r="DC10" s="141" t="str">
        <x:f>IF(AND(DC$4&gt;=$C10,DC$4&lt;=$D10,'Вводные'!$B$88="Да"),"■","")</x:f>
      </x:c>
      <x:c r="DD10" s="141" t="str">
        <x:f>IF(AND(DD$4&gt;=$C10,DD$4&lt;=$D10,'Вводные'!$B$88="Да"),"■","")</x:f>
      </x:c>
      <x:c r="DE10" s="141" t="str">
        <x:f>IF(AND(DE$4&gt;=$C10,DE$4&lt;=$D10,'Вводные'!$B$88="Да"),"■","")</x:f>
      </x:c>
      <x:c r="DF10" s="141" t="str">
        <x:f>IF(AND(DF$4&gt;=$C10,DF$4&lt;=$D10,'Вводные'!$B$88="Да"),"■","")</x:f>
      </x:c>
      <x:c r="DG10" s="141" t="str">
        <x:f>IF(AND(DG$4&gt;=$C10,DG$4&lt;=$D10,'Вводные'!$B$88="Да"),"■","")</x:f>
      </x:c>
      <x:c r="DH10" s="141" t="str">
        <x:f>IF(AND(DH$4&gt;=$C10,DH$4&lt;=$D10,'Вводные'!$B$88="Да"),"■","")</x:f>
      </x:c>
      <x:c r="DI10" s="141" t="str">
        <x:f>IF(AND(DI$4&gt;=$C10,DI$4&lt;=$D10,'Вводные'!$B$88="Да"),"■","")</x:f>
      </x:c>
      <x:c r="DJ10" s="141" t="str">
        <x:f>IF(AND(DJ$4&gt;=$C10,DJ$4&lt;=$D10,'Вводные'!$B$88="Да"),"■","")</x:f>
      </x:c>
      <x:c r="DK10" s="141" t="str">
        <x:f>IF(AND(DK$4&gt;=$C10,DK$4&lt;=$D10,'Вводные'!$B$88="Да"),"■","")</x:f>
      </x:c>
      <x:c r="DL10" s="141" t="str">
        <x:f>IF(AND(DL$4&gt;=$C10,DL$4&lt;=$D10,'Вводные'!$B$88="Да"),"■","")</x:f>
      </x:c>
      <x:c r="DM10" s="141" t="str">
        <x:f>IF(AND(DM$4&gt;=$C10,DM$4&lt;=$D10,'Вводные'!$B$88="Да"),"■","")</x:f>
      </x:c>
      <x:c r="DN10" s="141" t="str">
        <x:f>IF(AND(DN$4&gt;=$C10,DN$4&lt;=$D10,'Вводные'!$B$88="Да"),"■","")</x:f>
      </x:c>
      <x:c r="DO10" s="141" t="str">
        <x:f>IF(AND(DO$4&gt;=$C10,DO$4&lt;=$D10,'Вводные'!$B$88="Да"),"■","")</x:f>
      </x:c>
      <x:c r="DP10" s="141" t="str">
        <x:f>IF(AND(DP$4&gt;=$C10,DP$4&lt;=$D10,'Вводные'!$B$88="Да"),"■","")</x:f>
      </x:c>
      <x:c r="DQ10" s="141" t="str">
        <x:f>IF(AND(DQ$4&gt;=$C10,DQ$4&lt;=$D10,'Вводные'!$B$88="Да"),"■","")</x:f>
      </x:c>
      <x:c r="DR10" s="141" t="str">
        <x:f>IF(AND(DR$4&gt;=$C10,DR$4&lt;=$D10,'Вводные'!$B$88="Да"),"■","")</x:f>
      </x:c>
      <x:c r="DS10" s="141" t="str">
        <x:f>IF(AND(DS$4&gt;=$C10,DS$4&lt;=$D10,'Вводные'!$B$88="Да"),"■","")</x:f>
      </x:c>
      <x:c r="DT10" s="141" t="str">
        <x:f>IF(AND(DT$4&gt;=$C10,DT$4&lt;=$D10,'Вводные'!$B$88="Да"),"■","")</x:f>
      </x:c>
    </x:row>
    <x:row r="11">
      <x:c r="A11" t="str">
        <x:f>'Вводные'!$C$88</x:f>
      </x:c>
      <x:c r="B11" t="str">
        <x:v>РВЭ</x:v>
      </x:c>
      <x:c r="C11" s="92" t="n">
        <x:f>'CF_1'!B8</x:f>
      </x:c>
      <x:c r="D11" s="92" t="n">
        <x:f>C11</x:f>
      </x:c>
      <x:c r="E11" s="135" t="str">
        <x:f>IF(AND(E$4&gt;=$C11,E$4&lt;=$D11,'Вводные'!$B$88="Да"),"■","")</x:f>
      </x:c>
      <x:c r="F11" s="135" t="str">
        <x:f>IF(AND(F$4&gt;=$C11,F$4&lt;=$D11,'Вводные'!$B$88="Да"),"■","")</x:f>
      </x:c>
      <x:c r="G11" s="135" t="str">
        <x:f>IF(AND(G$4&gt;=$C11,G$4&lt;=$D11,'Вводные'!$B$88="Да"),"■","")</x:f>
      </x:c>
      <x:c r="H11" s="135" t="str">
        <x:f>IF(AND(H$4&gt;=$C11,H$4&lt;=$D11,'Вводные'!$B$88="Да"),"■","")</x:f>
      </x:c>
      <x:c r="I11" s="135" t="str">
        <x:f>IF(AND(I$4&gt;=$C11,I$4&lt;=$D11,'Вводные'!$B$88="Да"),"■","")</x:f>
      </x:c>
      <x:c r="J11" s="135" t="str">
        <x:f>IF(AND(J$4&gt;=$C11,J$4&lt;=$D11,'Вводные'!$B$88="Да"),"■","")</x:f>
      </x:c>
      <x:c r="K11" s="135" t="str">
        <x:f>IF(AND(K$4&gt;=$C11,K$4&lt;=$D11,'Вводные'!$B$88="Да"),"■","")</x:f>
      </x:c>
      <x:c r="L11" s="135" t="str">
        <x:f>IF(AND(L$4&gt;=$C11,L$4&lt;=$D11,'Вводные'!$B$88="Да"),"■","")</x:f>
      </x:c>
      <x:c r="M11" s="135" t="str">
        <x:f>IF(AND(M$4&gt;=$C11,M$4&lt;=$D11,'Вводные'!$B$88="Да"),"■","")</x:f>
      </x:c>
      <x:c r="N11" s="135" t="str">
        <x:f>IF(AND(N$4&gt;=$C11,N$4&lt;=$D11,'Вводные'!$B$88="Да"),"■","")</x:f>
      </x:c>
      <x:c r="O11" s="135" t="str">
        <x:f>IF(AND(O$4&gt;=$C11,O$4&lt;=$D11,'Вводные'!$B$88="Да"),"■","")</x:f>
      </x:c>
      <x:c r="P11" s="135" t="str">
        <x:f>IF(AND(P$4&gt;=$C11,P$4&lt;=$D11,'Вводные'!$B$88="Да"),"■","")</x:f>
      </x:c>
      <x:c r="Q11" s="135" t="str">
        <x:f>IF(AND(Q$4&gt;=$C11,Q$4&lt;=$D11,'Вводные'!$B$88="Да"),"■","")</x:f>
      </x:c>
      <x:c r="R11" s="135" t="str">
        <x:f>IF(AND(R$4&gt;=$C11,R$4&lt;=$D11,'Вводные'!$B$88="Да"),"■","")</x:f>
      </x:c>
      <x:c r="S11" s="135" t="str">
        <x:f>IF(AND(S$4&gt;=$C11,S$4&lt;=$D11,'Вводные'!$B$88="Да"),"■","")</x:f>
      </x:c>
      <x:c r="T11" s="135" t="str">
        <x:f>IF(AND(T$4&gt;=$C11,T$4&lt;=$D11,'Вводные'!$B$88="Да"),"■","")</x:f>
      </x:c>
      <x:c r="U11" s="135" t="str">
        <x:f>IF(AND(U$4&gt;=$C11,U$4&lt;=$D11,'Вводные'!$B$88="Да"),"■","")</x:f>
      </x:c>
      <x:c r="V11" s="135" t="str">
        <x:f>IF(AND(V$4&gt;=$C11,V$4&lt;=$D11,'Вводные'!$B$88="Да"),"■","")</x:f>
      </x:c>
      <x:c r="W11" s="135" t="str">
        <x:f>IF(AND(W$4&gt;=$C11,W$4&lt;=$D11,'Вводные'!$B$88="Да"),"■","")</x:f>
      </x:c>
      <x:c r="X11" s="135" t="str">
        <x:f>IF(AND(X$4&gt;=$C11,X$4&lt;=$D11,'Вводные'!$B$88="Да"),"■","")</x:f>
      </x:c>
      <x:c r="Y11" s="135" t="str">
        <x:f>IF(AND(Y$4&gt;=$C11,Y$4&lt;=$D11,'Вводные'!$B$88="Да"),"■","")</x:f>
      </x:c>
      <x:c r="Z11" s="135" t="str">
        <x:f>IF(AND(Z$4&gt;=$C11,Z$4&lt;=$D11,'Вводные'!$B$88="Да"),"■","")</x:f>
      </x:c>
      <x:c r="AA11" s="135" t="str">
        <x:f>IF(AND(AA$4&gt;=$C11,AA$4&lt;=$D11,'Вводные'!$B$88="Да"),"■","")</x:f>
      </x:c>
      <x:c r="AB11" s="135" t="str">
        <x:f>IF(AND(AB$4&gt;=$C11,AB$4&lt;=$D11,'Вводные'!$B$88="Да"),"■","")</x:f>
      </x:c>
      <x:c r="AC11" s="135" t="str">
        <x:f>IF(AND(AC$4&gt;=$C11,AC$4&lt;=$D11,'Вводные'!$B$88="Да"),"■","")</x:f>
      </x:c>
      <x:c r="AD11" s="135" t="str">
        <x:f>IF(AND(AD$4&gt;=$C11,AD$4&lt;=$D11,'Вводные'!$B$88="Да"),"■","")</x:f>
      </x:c>
      <x:c r="AE11" s="135" t="str">
        <x:f>IF(AND(AE$4&gt;=$C11,AE$4&lt;=$D11,'Вводные'!$B$88="Да"),"■","")</x:f>
      </x:c>
      <x:c r="AF11" s="135" t="str">
        <x:f>IF(AND(AF$4&gt;=$C11,AF$4&lt;=$D11,'Вводные'!$B$88="Да"),"■","")</x:f>
      </x:c>
      <x:c r="AG11" s="135" t="str">
        <x:f>IF(AND(AG$4&gt;=$C11,AG$4&lt;=$D11,'Вводные'!$B$88="Да"),"■","")</x:f>
      </x:c>
      <x:c r="AH11" s="135" t="str">
        <x:f>IF(AND(AH$4&gt;=$C11,AH$4&lt;=$D11,'Вводные'!$B$88="Да"),"■","")</x:f>
      </x:c>
      <x:c r="AI11" s="135" t="str">
        <x:f>IF(AND(AI$4&gt;=$C11,AI$4&lt;=$D11,'Вводные'!$B$88="Да"),"■","")</x:f>
      </x:c>
      <x:c r="AJ11" s="135" t="str">
        <x:f>IF(AND(AJ$4&gt;=$C11,AJ$4&lt;=$D11,'Вводные'!$B$88="Да"),"■","")</x:f>
      </x:c>
      <x:c r="AK11" s="135" t="str">
        <x:f>IF(AND(AK$4&gt;=$C11,AK$4&lt;=$D11,'Вводные'!$B$88="Да"),"■","")</x:f>
      </x:c>
      <x:c r="AL11" s="135" t="str">
        <x:f>IF(AND(AL$4&gt;=$C11,AL$4&lt;=$D11,'Вводные'!$B$88="Да"),"■","")</x:f>
      </x:c>
      <x:c r="AM11" s="135" t="str">
        <x:f>IF(AND(AM$4&gt;=$C11,AM$4&lt;=$D11,'Вводные'!$B$88="Да"),"■","")</x:f>
      </x:c>
      <x:c r="AN11" s="135" t="str">
        <x:f>IF(AND(AN$4&gt;=$C11,AN$4&lt;=$D11,'Вводные'!$B$88="Да"),"■","")</x:f>
      </x:c>
      <x:c r="AO11" s="135" t="str">
        <x:f>IF(AND(AO$4&gt;=$C11,AO$4&lt;=$D11,'Вводные'!$B$88="Да"),"■","")</x:f>
      </x:c>
      <x:c r="AP11" s="135" t="str">
        <x:f>IF(AND(AP$4&gt;=$C11,AP$4&lt;=$D11,'Вводные'!$B$88="Да"),"■","")</x:f>
      </x:c>
      <x:c r="AQ11" s="135" t="str">
        <x:f>IF(AND(AQ$4&gt;=$C11,AQ$4&lt;=$D11,'Вводные'!$B$88="Да"),"■","")</x:f>
      </x:c>
      <x:c r="AR11" s="135" t="str">
        <x:f>IF(AND(AR$4&gt;=$C11,AR$4&lt;=$D11,'Вводные'!$B$88="Да"),"■","")</x:f>
      </x:c>
      <x:c r="AS11" s="135" t="str">
        <x:f>IF(AND(AS$4&gt;=$C11,AS$4&lt;=$D11,'Вводные'!$B$88="Да"),"■","")</x:f>
      </x:c>
      <x:c r="AT11" s="135" t="str">
        <x:f>IF(AND(AT$4&gt;=$C11,AT$4&lt;=$D11,'Вводные'!$B$88="Да"),"■","")</x:f>
      </x:c>
      <x:c r="AU11" s="135" t="str">
        <x:f>IF(AND(AU$4&gt;=$C11,AU$4&lt;=$D11,'Вводные'!$B$88="Да"),"■","")</x:f>
      </x:c>
      <x:c r="AV11" s="135" t="str">
        <x:f>IF(AND(AV$4&gt;=$C11,AV$4&lt;=$D11,'Вводные'!$B$88="Да"),"■","")</x:f>
      </x:c>
      <x:c r="AW11" s="135" t="str">
        <x:f>IF(AND(AW$4&gt;=$C11,AW$4&lt;=$D11,'Вводные'!$B$88="Да"),"■","")</x:f>
      </x:c>
      <x:c r="AX11" s="135" t="str">
        <x:f>IF(AND(AX$4&gt;=$C11,AX$4&lt;=$D11,'Вводные'!$B$88="Да"),"■","")</x:f>
      </x:c>
      <x:c r="AY11" s="135" t="str">
        <x:f>IF(AND(AY$4&gt;=$C11,AY$4&lt;=$D11,'Вводные'!$B$88="Да"),"■","")</x:f>
      </x:c>
      <x:c r="AZ11" s="135" t="str">
        <x:f>IF(AND(AZ$4&gt;=$C11,AZ$4&lt;=$D11,'Вводные'!$B$88="Да"),"■","")</x:f>
      </x:c>
      <x:c r="BA11" s="135" t="str">
        <x:f>IF(AND(BA$4&gt;=$C11,BA$4&lt;=$D11,'Вводные'!$B$88="Да"),"■","")</x:f>
      </x:c>
      <x:c r="BB11" s="135" t="str">
        <x:f>IF(AND(BB$4&gt;=$C11,BB$4&lt;=$D11,'Вводные'!$B$88="Да"),"■","")</x:f>
      </x:c>
      <x:c r="BC11" s="135" t="str">
        <x:f>IF(AND(BC$4&gt;=$C11,BC$4&lt;=$D11,'Вводные'!$B$88="Да"),"■","")</x:f>
      </x:c>
      <x:c r="BD11" s="135" t="str">
        <x:f>IF(AND(BD$4&gt;=$C11,BD$4&lt;=$D11,'Вводные'!$B$88="Да"),"■","")</x:f>
      </x:c>
      <x:c r="BE11" s="135" t="str">
        <x:f>IF(AND(BE$4&gt;=$C11,BE$4&lt;=$D11,'Вводные'!$B$88="Да"),"■","")</x:f>
      </x:c>
      <x:c r="BF11" s="135" t="str">
        <x:f>IF(AND(BF$4&gt;=$C11,BF$4&lt;=$D11,'Вводные'!$B$88="Да"),"■","")</x:f>
      </x:c>
      <x:c r="BG11" s="135" t="str">
        <x:f>IF(AND(BG$4&gt;=$C11,BG$4&lt;=$D11,'Вводные'!$B$88="Да"),"■","")</x:f>
      </x:c>
      <x:c r="BH11" s="135" t="str">
        <x:f>IF(AND(BH$4&gt;=$C11,BH$4&lt;=$D11,'Вводные'!$B$88="Да"),"■","")</x:f>
      </x:c>
      <x:c r="BI11" s="135" t="str">
        <x:f>IF(AND(BI$4&gt;=$C11,BI$4&lt;=$D11,'Вводные'!$B$88="Да"),"■","")</x:f>
      </x:c>
      <x:c r="BJ11" s="135" t="str">
        <x:f>IF(AND(BJ$4&gt;=$C11,BJ$4&lt;=$D11,'Вводные'!$B$88="Да"),"■","")</x:f>
      </x:c>
      <x:c r="BK11" s="135" t="str">
        <x:f>IF(AND(BK$4&gt;=$C11,BK$4&lt;=$D11,'Вводные'!$B$88="Да"),"■","")</x:f>
      </x:c>
      <x:c r="BL11" s="135" t="str">
        <x:f>IF(AND(BL$4&gt;=$C11,BL$4&lt;=$D11,'Вводные'!$B$88="Да"),"■","")</x:f>
      </x:c>
      <x:c r="BM11" s="135" t="str">
        <x:f>IF(AND(BM$4&gt;=$C11,BM$4&lt;=$D11,'Вводные'!$B$88="Да"),"■","")</x:f>
      </x:c>
      <x:c r="BN11" s="135" t="str">
        <x:f>IF(AND(BN$4&gt;=$C11,BN$4&lt;=$D11,'Вводные'!$B$88="Да"),"■","")</x:f>
      </x:c>
      <x:c r="BO11" s="135" t="str">
        <x:f>IF(AND(BO$4&gt;=$C11,BO$4&lt;=$D11,'Вводные'!$B$88="Да"),"■","")</x:f>
      </x:c>
      <x:c r="BP11" s="135" t="str">
        <x:f>IF(AND(BP$4&gt;=$C11,BP$4&lt;=$D11,'Вводные'!$B$88="Да"),"■","")</x:f>
      </x:c>
      <x:c r="BQ11" s="135" t="str">
        <x:f>IF(AND(BQ$4&gt;=$C11,BQ$4&lt;=$D11,'Вводные'!$B$88="Да"),"■","")</x:f>
      </x:c>
      <x:c r="BR11" s="135" t="str">
        <x:f>IF(AND(BR$4&gt;=$C11,BR$4&lt;=$D11,'Вводные'!$B$88="Да"),"■","")</x:f>
      </x:c>
      <x:c r="BS11" s="135" t="str">
        <x:f>IF(AND(BS$4&gt;=$C11,BS$4&lt;=$D11,'Вводные'!$B$88="Да"),"■","")</x:f>
      </x:c>
      <x:c r="BT11" s="135" t="str">
        <x:f>IF(AND(BT$4&gt;=$C11,BT$4&lt;=$D11,'Вводные'!$B$88="Да"),"■","")</x:f>
      </x:c>
      <x:c r="BU11" s="135" t="str">
        <x:f>IF(AND(BU$4&gt;=$C11,BU$4&lt;=$D11,'Вводные'!$B$88="Да"),"■","")</x:f>
      </x:c>
      <x:c r="BV11" s="135" t="str">
        <x:f>IF(AND(BV$4&gt;=$C11,BV$4&lt;=$D11,'Вводные'!$B$88="Да"),"■","")</x:f>
      </x:c>
      <x:c r="BW11" s="135" t="str">
        <x:f>IF(AND(BW$4&gt;=$C11,BW$4&lt;=$D11,'Вводные'!$B$88="Да"),"■","")</x:f>
      </x:c>
      <x:c r="BX11" s="135" t="str">
        <x:f>IF(AND(BX$4&gt;=$C11,BX$4&lt;=$D11,'Вводные'!$B$88="Да"),"■","")</x:f>
      </x:c>
      <x:c r="BY11" s="135" t="str">
        <x:f>IF(AND(BY$4&gt;=$C11,BY$4&lt;=$D11,'Вводные'!$B$88="Да"),"■","")</x:f>
      </x:c>
      <x:c r="BZ11" s="135" t="str">
        <x:f>IF(AND(BZ$4&gt;=$C11,BZ$4&lt;=$D11,'Вводные'!$B$88="Да"),"■","")</x:f>
      </x:c>
      <x:c r="CA11" s="135" t="str">
        <x:f>IF(AND(CA$4&gt;=$C11,CA$4&lt;=$D11,'Вводные'!$B$88="Да"),"■","")</x:f>
      </x:c>
      <x:c r="CB11" s="135" t="str">
        <x:f>IF(AND(CB$4&gt;=$C11,CB$4&lt;=$D11,'Вводные'!$B$88="Да"),"■","")</x:f>
      </x:c>
      <x:c r="CC11" s="135" t="str">
        <x:f>IF(AND(CC$4&gt;=$C11,CC$4&lt;=$D11,'Вводные'!$B$88="Да"),"■","")</x:f>
      </x:c>
      <x:c r="CD11" s="135" t="str">
        <x:f>IF(AND(CD$4&gt;=$C11,CD$4&lt;=$D11,'Вводные'!$B$88="Да"),"■","")</x:f>
      </x:c>
      <x:c r="CE11" s="135" t="str">
        <x:f>IF(AND(CE$4&gt;=$C11,CE$4&lt;=$D11,'Вводные'!$B$88="Да"),"■","")</x:f>
      </x:c>
      <x:c r="CF11" s="135" t="str">
        <x:f>IF(AND(CF$4&gt;=$C11,CF$4&lt;=$D11,'Вводные'!$B$88="Да"),"■","")</x:f>
      </x:c>
      <x:c r="CG11" s="135" t="str">
        <x:f>IF(AND(CG$4&gt;=$C11,CG$4&lt;=$D11,'Вводные'!$B$88="Да"),"■","")</x:f>
      </x:c>
      <x:c r="CH11" s="135" t="str">
        <x:f>IF(AND(CH$4&gt;=$C11,CH$4&lt;=$D11,'Вводные'!$B$88="Да"),"■","")</x:f>
      </x:c>
      <x:c r="CI11" s="135" t="str">
        <x:f>IF(AND(CI$4&gt;=$C11,CI$4&lt;=$D11,'Вводные'!$B$88="Да"),"■","")</x:f>
      </x:c>
      <x:c r="CJ11" s="135" t="str">
        <x:f>IF(AND(CJ$4&gt;=$C11,CJ$4&lt;=$D11,'Вводные'!$B$88="Да"),"■","")</x:f>
      </x:c>
      <x:c r="CK11" s="135" t="str">
        <x:f>IF(AND(CK$4&gt;=$C11,CK$4&lt;=$D11,'Вводные'!$B$88="Да"),"■","")</x:f>
      </x:c>
      <x:c r="CL11" s="135" t="str">
        <x:f>IF(AND(CL$4&gt;=$C11,CL$4&lt;=$D11,'Вводные'!$B$88="Да"),"■","")</x:f>
      </x:c>
      <x:c r="CM11" s="135" t="str">
        <x:f>IF(AND(CM$4&gt;=$C11,CM$4&lt;=$D11,'Вводные'!$B$88="Да"),"■","")</x:f>
      </x:c>
      <x:c r="CN11" s="135" t="str">
        <x:f>IF(AND(CN$4&gt;=$C11,CN$4&lt;=$D11,'Вводные'!$B$88="Да"),"■","")</x:f>
      </x:c>
      <x:c r="CO11" s="135" t="str">
        <x:f>IF(AND(CO$4&gt;=$C11,CO$4&lt;=$D11,'Вводные'!$B$88="Да"),"■","")</x:f>
      </x:c>
      <x:c r="CP11" s="135" t="str">
        <x:f>IF(AND(CP$4&gt;=$C11,CP$4&lt;=$D11,'Вводные'!$B$88="Да"),"■","")</x:f>
      </x:c>
      <x:c r="CQ11" s="135" t="str">
        <x:f>IF(AND(CQ$4&gt;=$C11,CQ$4&lt;=$D11,'Вводные'!$B$88="Да"),"■","")</x:f>
      </x:c>
      <x:c r="CR11" s="135" t="str">
        <x:f>IF(AND(CR$4&gt;=$C11,CR$4&lt;=$D11,'Вводные'!$B$88="Да"),"■","")</x:f>
      </x:c>
      <x:c r="CS11" s="135" t="str">
        <x:f>IF(AND(CS$4&gt;=$C11,CS$4&lt;=$D11,'Вводные'!$B$88="Да"),"■","")</x:f>
      </x:c>
      <x:c r="CT11" s="135" t="str">
        <x:f>IF(AND(CT$4&gt;=$C11,CT$4&lt;=$D11,'Вводные'!$B$88="Да"),"■","")</x:f>
      </x:c>
      <x:c r="CU11" s="135" t="str">
        <x:f>IF(AND(CU$4&gt;=$C11,CU$4&lt;=$D11,'Вводные'!$B$88="Да"),"■","")</x:f>
      </x:c>
      <x:c r="CV11" s="135" t="str">
        <x:f>IF(AND(CV$4&gt;=$C11,CV$4&lt;=$D11,'Вводные'!$B$88="Да"),"■","")</x:f>
      </x:c>
      <x:c r="CW11" s="135" t="str">
        <x:f>IF(AND(CW$4&gt;=$C11,CW$4&lt;=$D11,'Вводные'!$B$88="Да"),"■","")</x:f>
      </x:c>
      <x:c r="CX11" s="135" t="str">
        <x:f>IF(AND(CX$4&gt;=$C11,CX$4&lt;=$D11,'Вводные'!$B$88="Да"),"■","")</x:f>
      </x:c>
      <x:c r="CY11" s="135" t="str">
        <x:f>IF(AND(CY$4&gt;=$C11,CY$4&lt;=$D11,'Вводные'!$B$88="Да"),"■","")</x:f>
      </x:c>
      <x:c r="CZ11" s="135" t="str">
        <x:f>IF(AND(CZ$4&gt;=$C11,CZ$4&lt;=$D11,'Вводные'!$B$88="Да"),"■","")</x:f>
      </x:c>
      <x:c r="DA11" s="135" t="str">
        <x:f>IF(AND(DA$4&gt;=$C11,DA$4&lt;=$D11,'Вводные'!$B$88="Да"),"■","")</x:f>
      </x:c>
      <x:c r="DB11" s="135" t="str">
        <x:f>IF(AND(DB$4&gt;=$C11,DB$4&lt;=$D11,'Вводные'!$B$88="Да"),"■","")</x:f>
      </x:c>
      <x:c r="DC11" s="135" t="str">
        <x:f>IF(AND(DC$4&gt;=$C11,DC$4&lt;=$D11,'Вводные'!$B$88="Да"),"■","")</x:f>
      </x:c>
      <x:c r="DD11" s="135" t="str">
        <x:f>IF(AND(DD$4&gt;=$C11,DD$4&lt;=$D11,'Вводные'!$B$88="Да"),"■","")</x:f>
      </x:c>
      <x:c r="DE11" s="135" t="str">
        <x:f>IF(AND(DE$4&gt;=$C11,DE$4&lt;=$D11,'Вводные'!$B$88="Да"),"■","")</x:f>
      </x:c>
      <x:c r="DF11" s="135" t="str">
        <x:f>IF(AND(DF$4&gt;=$C11,DF$4&lt;=$D11,'Вводные'!$B$88="Да"),"■","")</x:f>
      </x:c>
      <x:c r="DG11" s="135" t="str">
        <x:f>IF(AND(DG$4&gt;=$C11,DG$4&lt;=$D11,'Вводные'!$B$88="Да"),"■","")</x:f>
      </x:c>
      <x:c r="DH11" s="135" t="str">
        <x:f>IF(AND(DH$4&gt;=$C11,DH$4&lt;=$D11,'Вводные'!$B$88="Да"),"■","")</x:f>
      </x:c>
      <x:c r="DI11" s="135" t="str">
        <x:f>IF(AND(DI$4&gt;=$C11,DI$4&lt;=$D11,'Вводные'!$B$88="Да"),"■","")</x:f>
      </x:c>
      <x:c r="DJ11" s="135" t="str">
        <x:f>IF(AND(DJ$4&gt;=$C11,DJ$4&lt;=$D11,'Вводные'!$B$88="Да"),"■","")</x:f>
      </x:c>
      <x:c r="DK11" s="135" t="str">
        <x:f>IF(AND(DK$4&gt;=$C11,DK$4&lt;=$D11,'Вводные'!$B$88="Да"),"■","")</x:f>
      </x:c>
      <x:c r="DL11" s="135" t="str">
        <x:f>IF(AND(DL$4&gt;=$C11,DL$4&lt;=$D11,'Вводные'!$B$88="Да"),"■","")</x:f>
      </x:c>
      <x:c r="DM11" s="135" t="str">
        <x:f>IF(AND(DM$4&gt;=$C11,DM$4&lt;=$D11,'Вводные'!$B$88="Да"),"■","")</x:f>
      </x:c>
      <x:c r="DN11" s="135" t="str">
        <x:f>IF(AND(DN$4&gt;=$C11,DN$4&lt;=$D11,'Вводные'!$B$88="Да"),"■","")</x:f>
      </x:c>
      <x:c r="DO11" s="135" t="str">
        <x:f>IF(AND(DO$4&gt;=$C11,DO$4&lt;=$D11,'Вводные'!$B$88="Да"),"■","")</x:f>
      </x:c>
      <x:c r="DP11" s="135" t="str">
        <x:f>IF(AND(DP$4&gt;=$C11,DP$4&lt;=$D11,'Вводные'!$B$88="Да"),"■","")</x:f>
      </x:c>
      <x:c r="DQ11" s="135" t="str">
        <x:f>IF(AND(DQ$4&gt;=$C11,DQ$4&lt;=$D11,'Вводные'!$B$88="Да"),"■","")</x:f>
      </x:c>
      <x:c r="DR11" s="135" t="str">
        <x:f>IF(AND(DR$4&gt;=$C11,DR$4&lt;=$D11,'Вводные'!$B$88="Да"),"■","")</x:f>
      </x:c>
      <x:c r="DS11" s="135" t="str">
        <x:f>IF(AND(DS$4&gt;=$C11,DS$4&lt;=$D11,'Вводные'!$B$88="Да"),"■","")</x:f>
      </x:c>
      <x:c r="DT11" s="135" t="str">
        <x:f>IF(AND(DT$4&gt;=$C11,DT$4&lt;=$D11,'Вводные'!$B$88="Да"),"■","")</x:f>
      </x:c>
    </x:row>
    <x:row r="12">
      <x:c r="A12" t="str">
        <x:f>'Вводные'!$C$88</x:f>
      </x:c>
      <x:c r="B12" t="str">
        <x:v>Проектное финансирование</x:v>
      </x:c>
      <x:c r="C12" s="92" t="n">
        <x:f>'CF_1'!B7</x:f>
      </x:c>
      <x:c r="D12" s="92" t="n">
        <x:f>EDATE('Продажи'!B7,'Вводные'!$H$88-1)</x:f>
      </x:c>
      <x:c r="E12" s="137" t="str">
        <x:f>IF(AND(E$4&gt;=$C12,E$4&lt;=$D12,'Вводные'!$B$88="Да"),"■","")</x:f>
      </x:c>
      <x:c r="F12" s="137" t="str">
        <x:f>IF(AND(F$4&gt;=$C12,F$4&lt;=$D12,'Вводные'!$B$88="Да"),"■","")</x:f>
      </x:c>
      <x:c r="G12" s="137" t="str">
        <x:f>IF(AND(G$4&gt;=$C12,G$4&lt;=$D12,'Вводные'!$B$88="Да"),"■","")</x:f>
      </x:c>
      <x:c r="H12" s="137" t="str">
        <x:f>IF(AND(H$4&gt;=$C12,H$4&lt;=$D12,'Вводные'!$B$88="Да"),"■","")</x:f>
      </x:c>
      <x:c r="I12" s="137" t="str">
        <x:f>IF(AND(I$4&gt;=$C12,I$4&lt;=$D12,'Вводные'!$B$88="Да"),"■","")</x:f>
      </x:c>
      <x:c r="J12" s="137" t="str">
        <x:f>IF(AND(J$4&gt;=$C12,J$4&lt;=$D12,'Вводные'!$B$88="Да"),"■","")</x:f>
      </x:c>
      <x:c r="K12" s="137" t="str">
        <x:f>IF(AND(K$4&gt;=$C12,K$4&lt;=$D12,'Вводные'!$B$88="Да"),"■","")</x:f>
      </x:c>
      <x:c r="L12" s="137" t="str">
        <x:f>IF(AND(L$4&gt;=$C12,L$4&lt;=$D12,'Вводные'!$B$88="Да"),"■","")</x:f>
      </x:c>
      <x:c r="M12" s="137" t="str">
        <x:f>IF(AND(M$4&gt;=$C12,M$4&lt;=$D12,'Вводные'!$B$88="Да"),"■","")</x:f>
      </x:c>
      <x:c r="N12" s="137" t="str">
        <x:f>IF(AND(N$4&gt;=$C12,N$4&lt;=$D12,'Вводные'!$B$88="Да"),"■","")</x:f>
      </x:c>
      <x:c r="O12" s="137" t="str">
        <x:f>IF(AND(O$4&gt;=$C12,O$4&lt;=$D12,'Вводные'!$B$88="Да"),"■","")</x:f>
      </x:c>
      <x:c r="P12" s="137" t="str">
        <x:f>IF(AND(P$4&gt;=$C12,P$4&lt;=$D12,'Вводные'!$B$88="Да"),"■","")</x:f>
      </x:c>
      <x:c r="Q12" s="137" t="str">
        <x:f>IF(AND(Q$4&gt;=$C12,Q$4&lt;=$D12,'Вводные'!$B$88="Да"),"■","")</x:f>
      </x:c>
      <x:c r="R12" s="137" t="str">
        <x:f>IF(AND(R$4&gt;=$C12,R$4&lt;=$D12,'Вводные'!$B$88="Да"),"■","")</x:f>
      </x:c>
      <x:c r="S12" s="137" t="str">
        <x:f>IF(AND(S$4&gt;=$C12,S$4&lt;=$D12,'Вводные'!$B$88="Да"),"■","")</x:f>
      </x:c>
      <x:c r="T12" s="137" t="str">
        <x:f>IF(AND(T$4&gt;=$C12,T$4&lt;=$D12,'Вводные'!$B$88="Да"),"■","")</x:f>
      </x:c>
      <x:c r="U12" s="137" t="str">
        <x:f>IF(AND(U$4&gt;=$C12,U$4&lt;=$D12,'Вводные'!$B$88="Да"),"■","")</x:f>
      </x:c>
      <x:c r="V12" s="137" t="str">
        <x:f>IF(AND(V$4&gt;=$C12,V$4&lt;=$D12,'Вводные'!$B$88="Да"),"■","")</x:f>
      </x:c>
      <x:c r="W12" s="137" t="str">
        <x:f>IF(AND(W$4&gt;=$C12,W$4&lt;=$D12,'Вводные'!$B$88="Да"),"■","")</x:f>
      </x:c>
      <x:c r="X12" s="137" t="str">
        <x:f>IF(AND(X$4&gt;=$C12,X$4&lt;=$D12,'Вводные'!$B$88="Да"),"■","")</x:f>
      </x:c>
      <x:c r="Y12" s="137" t="str">
        <x:f>IF(AND(Y$4&gt;=$C12,Y$4&lt;=$D12,'Вводные'!$B$88="Да"),"■","")</x:f>
      </x:c>
      <x:c r="Z12" s="137" t="str">
        <x:f>IF(AND(Z$4&gt;=$C12,Z$4&lt;=$D12,'Вводные'!$B$88="Да"),"■","")</x:f>
      </x:c>
      <x:c r="AA12" s="137" t="str">
        <x:f>IF(AND(AA$4&gt;=$C12,AA$4&lt;=$D12,'Вводные'!$B$88="Да"),"■","")</x:f>
      </x:c>
      <x:c r="AB12" s="137" t="str">
        <x:f>IF(AND(AB$4&gt;=$C12,AB$4&lt;=$D12,'Вводные'!$B$88="Да"),"■","")</x:f>
      </x:c>
      <x:c r="AC12" s="137" t="str">
        <x:f>IF(AND(AC$4&gt;=$C12,AC$4&lt;=$D12,'Вводные'!$B$88="Да"),"■","")</x:f>
      </x:c>
      <x:c r="AD12" s="137" t="str">
        <x:f>IF(AND(AD$4&gt;=$C12,AD$4&lt;=$D12,'Вводные'!$B$88="Да"),"■","")</x:f>
      </x:c>
      <x:c r="AE12" s="137" t="str">
        <x:f>IF(AND(AE$4&gt;=$C12,AE$4&lt;=$D12,'Вводные'!$B$88="Да"),"■","")</x:f>
      </x:c>
      <x:c r="AF12" s="137" t="str">
        <x:f>IF(AND(AF$4&gt;=$C12,AF$4&lt;=$D12,'Вводные'!$B$88="Да"),"■","")</x:f>
      </x:c>
      <x:c r="AG12" s="137" t="str">
        <x:f>IF(AND(AG$4&gt;=$C12,AG$4&lt;=$D12,'Вводные'!$B$88="Да"),"■","")</x:f>
      </x:c>
      <x:c r="AH12" s="137" t="str">
        <x:f>IF(AND(AH$4&gt;=$C12,AH$4&lt;=$D12,'Вводные'!$B$88="Да"),"■","")</x:f>
      </x:c>
      <x:c r="AI12" s="137" t="str">
        <x:f>IF(AND(AI$4&gt;=$C12,AI$4&lt;=$D12,'Вводные'!$B$88="Да"),"■","")</x:f>
      </x:c>
      <x:c r="AJ12" s="137" t="str">
        <x:f>IF(AND(AJ$4&gt;=$C12,AJ$4&lt;=$D12,'Вводные'!$B$88="Да"),"■","")</x:f>
      </x:c>
      <x:c r="AK12" s="137" t="str">
        <x:f>IF(AND(AK$4&gt;=$C12,AK$4&lt;=$D12,'Вводные'!$B$88="Да"),"■","")</x:f>
      </x:c>
      <x:c r="AL12" s="137" t="str">
        <x:f>IF(AND(AL$4&gt;=$C12,AL$4&lt;=$D12,'Вводные'!$B$88="Да"),"■","")</x:f>
      </x:c>
      <x:c r="AM12" s="137" t="str">
        <x:f>IF(AND(AM$4&gt;=$C12,AM$4&lt;=$D12,'Вводные'!$B$88="Да"),"■","")</x:f>
      </x:c>
      <x:c r="AN12" s="137" t="str">
        <x:f>IF(AND(AN$4&gt;=$C12,AN$4&lt;=$D12,'Вводные'!$B$88="Да"),"■","")</x:f>
      </x:c>
      <x:c r="AO12" s="137" t="str">
        <x:f>IF(AND(AO$4&gt;=$C12,AO$4&lt;=$D12,'Вводные'!$B$88="Да"),"■","")</x:f>
      </x:c>
      <x:c r="AP12" s="137" t="str">
        <x:f>IF(AND(AP$4&gt;=$C12,AP$4&lt;=$D12,'Вводные'!$B$88="Да"),"■","")</x:f>
      </x:c>
      <x:c r="AQ12" s="137" t="str">
        <x:f>IF(AND(AQ$4&gt;=$C12,AQ$4&lt;=$D12,'Вводные'!$B$88="Да"),"■","")</x:f>
      </x:c>
      <x:c r="AR12" s="137" t="str">
        <x:f>IF(AND(AR$4&gt;=$C12,AR$4&lt;=$D12,'Вводные'!$B$88="Да"),"■","")</x:f>
      </x:c>
      <x:c r="AS12" s="137" t="str">
        <x:f>IF(AND(AS$4&gt;=$C12,AS$4&lt;=$D12,'Вводные'!$B$88="Да"),"■","")</x:f>
      </x:c>
      <x:c r="AT12" s="137" t="str">
        <x:f>IF(AND(AT$4&gt;=$C12,AT$4&lt;=$D12,'Вводные'!$B$88="Да"),"■","")</x:f>
      </x:c>
      <x:c r="AU12" s="137" t="str">
        <x:f>IF(AND(AU$4&gt;=$C12,AU$4&lt;=$D12,'Вводные'!$B$88="Да"),"■","")</x:f>
      </x:c>
      <x:c r="AV12" s="137" t="str">
        <x:f>IF(AND(AV$4&gt;=$C12,AV$4&lt;=$D12,'Вводные'!$B$88="Да"),"■","")</x:f>
      </x:c>
      <x:c r="AW12" s="137" t="str">
        <x:f>IF(AND(AW$4&gt;=$C12,AW$4&lt;=$D12,'Вводные'!$B$88="Да"),"■","")</x:f>
      </x:c>
      <x:c r="AX12" s="137" t="str">
        <x:f>IF(AND(AX$4&gt;=$C12,AX$4&lt;=$D12,'Вводные'!$B$88="Да"),"■","")</x:f>
      </x:c>
      <x:c r="AY12" s="137" t="str">
        <x:f>IF(AND(AY$4&gt;=$C12,AY$4&lt;=$D12,'Вводные'!$B$88="Да"),"■","")</x:f>
      </x:c>
      <x:c r="AZ12" s="137" t="str">
        <x:f>IF(AND(AZ$4&gt;=$C12,AZ$4&lt;=$D12,'Вводные'!$B$88="Да"),"■","")</x:f>
      </x:c>
      <x:c r="BA12" s="137" t="str">
        <x:f>IF(AND(BA$4&gt;=$C12,BA$4&lt;=$D12,'Вводные'!$B$88="Да"),"■","")</x:f>
      </x:c>
      <x:c r="BB12" s="137" t="str">
        <x:f>IF(AND(BB$4&gt;=$C12,BB$4&lt;=$D12,'Вводные'!$B$88="Да"),"■","")</x:f>
      </x:c>
      <x:c r="BC12" s="137" t="str">
        <x:f>IF(AND(BC$4&gt;=$C12,BC$4&lt;=$D12,'Вводные'!$B$88="Да"),"■","")</x:f>
      </x:c>
      <x:c r="BD12" s="137" t="str">
        <x:f>IF(AND(BD$4&gt;=$C12,BD$4&lt;=$D12,'Вводные'!$B$88="Да"),"■","")</x:f>
      </x:c>
      <x:c r="BE12" s="137" t="str">
        <x:f>IF(AND(BE$4&gt;=$C12,BE$4&lt;=$D12,'Вводные'!$B$88="Да"),"■","")</x:f>
      </x:c>
      <x:c r="BF12" s="137" t="str">
        <x:f>IF(AND(BF$4&gt;=$C12,BF$4&lt;=$D12,'Вводные'!$B$88="Да"),"■","")</x:f>
      </x:c>
      <x:c r="BG12" s="137" t="str">
        <x:f>IF(AND(BG$4&gt;=$C12,BG$4&lt;=$D12,'Вводные'!$B$88="Да"),"■","")</x:f>
      </x:c>
      <x:c r="BH12" s="137" t="str">
        <x:f>IF(AND(BH$4&gt;=$C12,BH$4&lt;=$D12,'Вводные'!$B$88="Да"),"■","")</x:f>
      </x:c>
      <x:c r="BI12" s="137" t="str">
        <x:f>IF(AND(BI$4&gt;=$C12,BI$4&lt;=$D12,'Вводные'!$B$88="Да"),"■","")</x:f>
      </x:c>
      <x:c r="BJ12" s="137" t="str">
        <x:f>IF(AND(BJ$4&gt;=$C12,BJ$4&lt;=$D12,'Вводные'!$B$88="Да"),"■","")</x:f>
      </x:c>
      <x:c r="BK12" s="137" t="str">
        <x:f>IF(AND(BK$4&gt;=$C12,BK$4&lt;=$D12,'Вводные'!$B$88="Да"),"■","")</x:f>
      </x:c>
      <x:c r="BL12" s="137" t="str">
        <x:f>IF(AND(BL$4&gt;=$C12,BL$4&lt;=$D12,'Вводные'!$B$88="Да"),"■","")</x:f>
      </x:c>
      <x:c r="BM12" s="137" t="str">
        <x:f>IF(AND(BM$4&gt;=$C12,BM$4&lt;=$D12,'Вводные'!$B$88="Да"),"■","")</x:f>
      </x:c>
      <x:c r="BN12" s="137" t="str">
        <x:f>IF(AND(BN$4&gt;=$C12,BN$4&lt;=$D12,'Вводные'!$B$88="Да"),"■","")</x:f>
      </x:c>
      <x:c r="BO12" s="137" t="str">
        <x:f>IF(AND(BO$4&gt;=$C12,BO$4&lt;=$D12,'Вводные'!$B$88="Да"),"■","")</x:f>
      </x:c>
      <x:c r="BP12" s="137" t="str">
        <x:f>IF(AND(BP$4&gt;=$C12,BP$4&lt;=$D12,'Вводные'!$B$88="Да"),"■","")</x:f>
      </x:c>
      <x:c r="BQ12" s="137" t="str">
        <x:f>IF(AND(BQ$4&gt;=$C12,BQ$4&lt;=$D12,'Вводные'!$B$88="Да"),"■","")</x:f>
      </x:c>
      <x:c r="BR12" s="137" t="str">
        <x:f>IF(AND(BR$4&gt;=$C12,BR$4&lt;=$D12,'Вводные'!$B$88="Да"),"■","")</x:f>
      </x:c>
      <x:c r="BS12" s="137" t="str">
        <x:f>IF(AND(BS$4&gt;=$C12,BS$4&lt;=$D12,'Вводные'!$B$88="Да"),"■","")</x:f>
      </x:c>
      <x:c r="BT12" s="137" t="str">
        <x:f>IF(AND(BT$4&gt;=$C12,BT$4&lt;=$D12,'Вводные'!$B$88="Да"),"■","")</x:f>
      </x:c>
      <x:c r="BU12" s="137" t="str">
        <x:f>IF(AND(BU$4&gt;=$C12,BU$4&lt;=$D12,'Вводные'!$B$88="Да"),"■","")</x:f>
      </x:c>
      <x:c r="BV12" s="137" t="str">
        <x:f>IF(AND(BV$4&gt;=$C12,BV$4&lt;=$D12,'Вводные'!$B$88="Да"),"■","")</x:f>
      </x:c>
      <x:c r="BW12" s="137" t="str">
        <x:f>IF(AND(BW$4&gt;=$C12,BW$4&lt;=$D12,'Вводные'!$B$88="Да"),"■","")</x:f>
      </x:c>
      <x:c r="BX12" s="137" t="str">
        <x:f>IF(AND(BX$4&gt;=$C12,BX$4&lt;=$D12,'Вводные'!$B$88="Да"),"■","")</x:f>
      </x:c>
      <x:c r="BY12" s="137" t="str">
        <x:f>IF(AND(BY$4&gt;=$C12,BY$4&lt;=$D12,'Вводные'!$B$88="Да"),"■","")</x:f>
      </x:c>
      <x:c r="BZ12" s="137" t="str">
        <x:f>IF(AND(BZ$4&gt;=$C12,BZ$4&lt;=$D12,'Вводные'!$B$88="Да"),"■","")</x:f>
      </x:c>
      <x:c r="CA12" s="137" t="str">
        <x:f>IF(AND(CA$4&gt;=$C12,CA$4&lt;=$D12,'Вводные'!$B$88="Да"),"■","")</x:f>
      </x:c>
      <x:c r="CB12" s="137" t="str">
        <x:f>IF(AND(CB$4&gt;=$C12,CB$4&lt;=$D12,'Вводные'!$B$88="Да"),"■","")</x:f>
      </x:c>
      <x:c r="CC12" s="137" t="str">
        <x:f>IF(AND(CC$4&gt;=$C12,CC$4&lt;=$D12,'Вводные'!$B$88="Да"),"■","")</x:f>
      </x:c>
      <x:c r="CD12" s="137" t="str">
        <x:f>IF(AND(CD$4&gt;=$C12,CD$4&lt;=$D12,'Вводные'!$B$88="Да"),"■","")</x:f>
      </x:c>
      <x:c r="CE12" s="137" t="str">
        <x:f>IF(AND(CE$4&gt;=$C12,CE$4&lt;=$D12,'Вводные'!$B$88="Да"),"■","")</x:f>
      </x:c>
      <x:c r="CF12" s="137" t="str">
        <x:f>IF(AND(CF$4&gt;=$C12,CF$4&lt;=$D12,'Вводные'!$B$88="Да"),"■","")</x:f>
      </x:c>
      <x:c r="CG12" s="137" t="str">
        <x:f>IF(AND(CG$4&gt;=$C12,CG$4&lt;=$D12,'Вводные'!$B$88="Да"),"■","")</x:f>
      </x:c>
      <x:c r="CH12" s="137" t="str">
        <x:f>IF(AND(CH$4&gt;=$C12,CH$4&lt;=$D12,'Вводные'!$B$88="Да"),"■","")</x:f>
      </x:c>
      <x:c r="CI12" s="137" t="str">
        <x:f>IF(AND(CI$4&gt;=$C12,CI$4&lt;=$D12,'Вводные'!$B$88="Да"),"■","")</x:f>
      </x:c>
      <x:c r="CJ12" s="137" t="str">
        <x:f>IF(AND(CJ$4&gt;=$C12,CJ$4&lt;=$D12,'Вводные'!$B$88="Да"),"■","")</x:f>
      </x:c>
      <x:c r="CK12" s="137" t="str">
        <x:f>IF(AND(CK$4&gt;=$C12,CK$4&lt;=$D12,'Вводные'!$B$88="Да"),"■","")</x:f>
      </x:c>
      <x:c r="CL12" s="137" t="str">
        <x:f>IF(AND(CL$4&gt;=$C12,CL$4&lt;=$D12,'Вводные'!$B$88="Да"),"■","")</x:f>
      </x:c>
      <x:c r="CM12" s="137" t="str">
        <x:f>IF(AND(CM$4&gt;=$C12,CM$4&lt;=$D12,'Вводные'!$B$88="Да"),"■","")</x:f>
      </x:c>
      <x:c r="CN12" s="137" t="str">
        <x:f>IF(AND(CN$4&gt;=$C12,CN$4&lt;=$D12,'Вводные'!$B$88="Да"),"■","")</x:f>
      </x:c>
      <x:c r="CO12" s="137" t="str">
        <x:f>IF(AND(CO$4&gt;=$C12,CO$4&lt;=$D12,'Вводные'!$B$88="Да"),"■","")</x:f>
      </x:c>
      <x:c r="CP12" s="137" t="str">
        <x:f>IF(AND(CP$4&gt;=$C12,CP$4&lt;=$D12,'Вводные'!$B$88="Да"),"■","")</x:f>
      </x:c>
      <x:c r="CQ12" s="137" t="str">
        <x:f>IF(AND(CQ$4&gt;=$C12,CQ$4&lt;=$D12,'Вводные'!$B$88="Да"),"■","")</x:f>
      </x:c>
      <x:c r="CR12" s="137" t="str">
        <x:f>IF(AND(CR$4&gt;=$C12,CR$4&lt;=$D12,'Вводные'!$B$88="Да"),"■","")</x:f>
      </x:c>
      <x:c r="CS12" s="137" t="str">
        <x:f>IF(AND(CS$4&gt;=$C12,CS$4&lt;=$D12,'Вводные'!$B$88="Да"),"■","")</x:f>
      </x:c>
      <x:c r="CT12" s="137" t="str">
        <x:f>IF(AND(CT$4&gt;=$C12,CT$4&lt;=$D12,'Вводные'!$B$88="Да"),"■","")</x:f>
      </x:c>
      <x:c r="CU12" s="137" t="str">
        <x:f>IF(AND(CU$4&gt;=$C12,CU$4&lt;=$D12,'Вводные'!$B$88="Да"),"■","")</x:f>
      </x:c>
      <x:c r="CV12" s="137" t="str">
        <x:f>IF(AND(CV$4&gt;=$C12,CV$4&lt;=$D12,'Вводные'!$B$88="Да"),"■","")</x:f>
      </x:c>
      <x:c r="CW12" s="137" t="str">
        <x:f>IF(AND(CW$4&gt;=$C12,CW$4&lt;=$D12,'Вводные'!$B$88="Да"),"■","")</x:f>
      </x:c>
      <x:c r="CX12" s="137" t="str">
        <x:f>IF(AND(CX$4&gt;=$C12,CX$4&lt;=$D12,'Вводные'!$B$88="Да"),"■","")</x:f>
      </x:c>
      <x:c r="CY12" s="137" t="str">
        <x:f>IF(AND(CY$4&gt;=$C12,CY$4&lt;=$D12,'Вводные'!$B$88="Да"),"■","")</x:f>
      </x:c>
      <x:c r="CZ12" s="137" t="str">
        <x:f>IF(AND(CZ$4&gt;=$C12,CZ$4&lt;=$D12,'Вводные'!$B$88="Да"),"■","")</x:f>
      </x:c>
      <x:c r="DA12" s="137" t="str">
        <x:f>IF(AND(DA$4&gt;=$C12,DA$4&lt;=$D12,'Вводные'!$B$88="Да"),"■","")</x:f>
      </x:c>
      <x:c r="DB12" s="137" t="str">
        <x:f>IF(AND(DB$4&gt;=$C12,DB$4&lt;=$D12,'Вводные'!$B$88="Да"),"■","")</x:f>
      </x:c>
      <x:c r="DC12" s="137" t="str">
        <x:f>IF(AND(DC$4&gt;=$C12,DC$4&lt;=$D12,'Вводные'!$B$88="Да"),"■","")</x:f>
      </x:c>
      <x:c r="DD12" s="137" t="str">
        <x:f>IF(AND(DD$4&gt;=$C12,DD$4&lt;=$D12,'Вводные'!$B$88="Да"),"■","")</x:f>
      </x:c>
      <x:c r="DE12" s="137" t="str">
        <x:f>IF(AND(DE$4&gt;=$C12,DE$4&lt;=$D12,'Вводные'!$B$88="Да"),"■","")</x:f>
      </x:c>
      <x:c r="DF12" s="137" t="str">
        <x:f>IF(AND(DF$4&gt;=$C12,DF$4&lt;=$D12,'Вводные'!$B$88="Да"),"■","")</x:f>
      </x:c>
      <x:c r="DG12" s="137" t="str">
        <x:f>IF(AND(DG$4&gt;=$C12,DG$4&lt;=$D12,'Вводные'!$B$88="Да"),"■","")</x:f>
      </x:c>
      <x:c r="DH12" s="137" t="str">
        <x:f>IF(AND(DH$4&gt;=$C12,DH$4&lt;=$D12,'Вводные'!$B$88="Да"),"■","")</x:f>
      </x:c>
      <x:c r="DI12" s="137" t="str">
        <x:f>IF(AND(DI$4&gt;=$C12,DI$4&lt;=$D12,'Вводные'!$B$88="Да"),"■","")</x:f>
      </x:c>
      <x:c r="DJ12" s="137" t="str">
        <x:f>IF(AND(DJ$4&gt;=$C12,DJ$4&lt;=$D12,'Вводные'!$B$88="Да"),"■","")</x:f>
      </x:c>
      <x:c r="DK12" s="137" t="str">
        <x:f>IF(AND(DK$4&gt;=$C12,DK$4&lt;=$D12,'Вводные'!$B$88="Да"),"■","")</x:f>
      </x:c>
      <x:c r="DL12" s="137" t="str">
        <x:f>IF(AND(DL$4&gt;=$C12,DL$4&lt;=$D12,'Вводные'!$B$88="Да"),"■","")</x:f>
      </x:c>
      <x:c r="DM12" s="137" t="str">
        <x:f>IF(AND(DM$4&gt;=$C12,DM$4&lt;=$D12,'Вводные'!$B$88="Да"),"■","")</x:f>
      </x:c>
      <x:c r="DN12" s="137" t="str">
        <x:f>IF(AND(DN$4&gt;=$C12,DN$4&lt;=$D12,'Вводные'!$B$88="Да"),"■","")</x:f>
      </x:c>
      <x:c r="DO12" s="137" t="str">
        <x:f>IF(AND(DO$4&gt;=$C12,DO$4&lt;=$D12,'Вводные'!$B$88="Да"),"■","")</x:f>
      </x:c>
      <x:c r="DP12" s="137" t="str">
        <x:f>IF(AND(DP$4&gt;=$C12,DP$4&lt;=$D12,'Вводные'!$B$88="Да"),"■","")</x:f>
      </x:c>
      <x:c r="DQ12" s="137" t="str">
        <x:f>IF(AND(DQ$4&gt;=$C12,DQ$4&lt;=$D12,'Вводные'!$B$88="Да"),"■","")</x:f>
      </x:c>
      <x:c r="DR12" s="137" t="str">
        <x:f>IF(AND(DR$4&gt;=$C12,DR$4&lt;=$D12,'Вводные'!$B$88="Да"),"■","")</x:f>
      </x:c>
      <x:c r="DS12" s="137" t="str">
        <x:f>IF(AND(DS$4&gt;=$C12,DS$4&lt;=$D12,'Вводные'!$B$88="Да"),"■","")</x:f>
      </x:c>
      <x:c r="DT12" s="137" t="str">
        <x:f>IF(AND(DT$4&gt;=$C12,DT$4&lt;=$D12,'Вводные'!$B$88="Да"),"■","")</x:f>
      </x:c>
    </x:row>
    <x:row r="13">
      <x:c r="C13" s="92"/>
      <x:c r="D13" s="92"/>
    </x:row>
    <x:row r="14">
      <x:c r="C14" s="92"/>
      <x:c r="D14" s="92"/>
    </x:row>
    <x:row r="15">
      <x:c r="A15" t="str">
        <x:f>'Вводные'!$C$89</x:f>
      </x:c>
      <x:c r="B15" t="str">
        <x:v>Сделка / старт</x:v>
      </x:c>
      <x:c r="C15" s="92" t="n">
        <x:f>EDATE('Вводные'!$D$89,'Вводные'!$H$9)</x:f>
      </x:c>
      <x:c r="D15" s="92" t="n">
        <x:f>C15</x:f>
      </x:c>
      <x:c r="E15" s="135" t="str">
        <x:f>IF(AND(E$4&gt;=$C15,E$4&lt;=$D15,'Вводные'!$B$89="Да"),"■","")</x:f>
      </x:c>
      <x:c r="F15" s="135" t="str">
        <x:f>IF(AND(F$4&gt;=$C15,F$4&lt;=$D15,'Вводные'!$B$89="Да"),"■","")</x:f>
      </x:c>
      <x:c r="G15" s="135" t="str">
        <x:f>IF(AND(G$4&gt;=$C15,G$4&lt;=$D15,'Вводные'!$B$89="Да"),"■","")</x:f>
      </x:c>
      <x:c r="H15" s="135" t="str">
        <x:f>IF(AND(H$4&gt;=$C15,H$4&lt;=$D15,'Вводные'!$B$89="Да"),"■","")</x:f>
      </x:c>
      <x:c r="I15" s="135" t="str">
        <x:f>IF(AND(I$4&gt;=$C15,I$4&lt;=$D15,'Вводные'!$B$89="Да"),"■","")</x:f>
      </x:c>
      <x:c r="J15" s="135" t="str">
        <x:f>IF(AND(J$4&gt;=$C15,J$4&lt;=$D15,'Вводные'!$B$89="Да"),"■","")</x:f>
      </x:c>
      <x:c r="K15" s="135" t="str">
        <x:f>IF(AND(K$4&gt;=$C15,K$4&lt;=$D15,'Вводные'!$B$89="Да"),"■","")</x:f>
      </x:c>
      <x:c r="L15" s="135" t="str">
        <x:f>IF(AND(L$4&gt;=$C15,L$4&lt;=$D15,'Вводные'!$B$89="Да"),"■","")</x:f>
      </x:c>
      <x:c r="M15" s="135" t="str">
        <x:f>IF(AND(M$4&gt;=$C15,M$4&lt;=$D15,'Вводные'!$B$89="Да"),"■","")</x:f>
      </x:c>
      <x:c r="N15" s="135" t="str">
        <x:f>IF(AND(N$4&gt;=$C15,N$4&lt;=$D15,'Вводные'!$B$89="Да"),"■","")</x:f>
      </x:c>
      <x:c r="O15" s="135" t="str">
        <x:f>IF(AND(O$4&gt;=$C15,O$4&lt;=$D15,'Вводные'!$B$89="Да"),"■","")</x:f>
      </x:c>
      <x:c r="P15" s="135" t="str">
        <x:f>IF(AND(P$4&gt;=$C15,P$4&lt;=$D15,'Вводные'!$B$89="Да"),"■","")</x:f>
      </x:c>
      <x:c r="Q15" s="135" t="str">
        <x:f>IF(AND(Q$4&gt;=$C15,Q$4&lt;=$D15,'Вводные'!$B$89="Да"),"■","")</x:f>
      </x:c>
      <x:c r="R15" s="135" t="str">
        <x:f>IF(AND(R$4&gt;=$C15,R$4&lt;=$D15,'Вводные'!$B$89="Да"),"■","")</x:f>
      </x:c>
      <x:c r="S15" s="135" t="str">
        <x:f>IF(AND(S$4&gt;=$C15,S$4&lt;=$D15,'Вводные'!$B$89="Да"),"■","")</x:f>
      </x:c>
      <x:c r="T15" s="135" t="str">
        <x:f>IF(AND(T$4&gt;=$C15,T$4&lt;=$D15,'Вводные'!$B$89="Да"),"■","")</x:f>
      </x:c>
      <x:c r="U15" s="135" t="str">
        <x:f>IF(AND(U$4&gt;=$C15,U$4&lt;=$D15,'Вводные'!$B$89="Да"),"■","")</x:f>
      </x:c>
      <x:c r="V15" s="135" t="str">
        <x:f>IF(AND(V$4&gt;=$C15,V$4&lt;=$D15,'Вводные'!$B$89="Да"),"■","")</x:f>
      </x:c>
      <x:c r="W15" s="135" t="str">
        <x:f>IF(AND(W$4&gt;=$C15,W$4&lt;=$D15,'Вводные'!$B$89="Да"),"■","")</x:f>
      </x:c>
      <x:c r="X15" s="135" t="str">
        <x:f>IF(AND(X$4&gt;=$C15,X$4&lt;=$D15,'Вводные'!$B$89="Да"),"■","")</x:f>
      </x:c>
      <x:c r="Y15" s="135" t="str">
        <x:f>IF(AND(Y$4&gt;=$C15,Y$4&lt;=$D15,'Вводные'!$B$89="Да"),"■","")</x:f>
      </x:c>
      <x:c r="Z15" s="135" t="str">
        <x:f>IF(AND(Z$4&gt;=$C15,Z$4&lt;=$D15,'Вводные'!$B$89="Да"),"■","")</x:f>
      </x:c>
      <x:c r="AA15" s="135" t="str">
        <x:f>IF(AND(AA$4&gt;=$C15,AA$4&lt;=$D15,'Вводные'!$B$89="Да"),"■","")</x:f>
      </x:c>
      <x:c r="AB15" s="135" t="str">
        <x:f>IF(AND(AB$4&gt;=$C15,AB$4&lt;=$D15,'Вводные'!$B$89="Да"),"■","")</x:f>
      </x:c>
      <x:c r="AC15" s="135" t="str">
        <x:f>IF(AND(AC$4&gt;=$C15,AC$4&lt;=$D15,'Вводные'!$B$89="Да"),"■","")</x:f>
      </x:c>
      <x:c r="AD15" s="135" t="str">
        <x:f>IF(AND(AD$4&gt;=$C15,AD$4&lt;=$D15,'Вводные'!$B$89="Да"),"■","")</x:f>
      </x:c>
      <x:c r="AE15" s="135" t="str">
        <x:f>IF(AND(AE$4&gt;=$C15,AE$4&lt;=$D15,'Вводные'!$B$89="Да"),"■","")</x:f>
      </x:c>
      <x:c r="AF15" s="135" t="str">
        <x:f>IF(AND(AF$4&gt;=$C15,AF$4&lt;=$D15,'Вводные'!$B$89="Да"),"■","")</x:f>
      </x:c>
      <x:c r="AG15" s="135" t="str">
        <x:f>IF(AND(AG$4&gt;=$C15,AG$4&lt;=$D15,'Вводные'!$B$89="Да"),"■","")</x:f>
      </x:c>
      <x:c r="AH15" s="135" t="str">
        <x:f>IF(AND(AH$4&gt;=$C15,AH$4&lt;=$D15,'Вводные'!$B$89="Да"),"■","")</x:f>
      </x:c>
      <x:c r="AI15" s="135" t="str">
        <x:f>IF(AND(AI$4&gt;=$C15,AI$4&lt;=$D15,'Вводные'!$B$89="Да"),"■","")</x:f>
      </x:c>
      <x:c r="AJ15" s="135" t="str">
        <x:f>IF(AND(AJ$4&gt;=$C15,AJ$4&lt;=$D15,'Вводные'!$B$89="Да"),"■","")</x:f>
      </x:c>
      <x:c r="AK15" s="135" t="str">
        <x:f>IF(AND(AK$4&gt;=$C15,AK$4&lt;=$D15,'Вводные'!$B$89="Да"),"■","")</x:f>
      </x:c>
      <x:c r="AL15" s="135" t="str">
        <x:f>IF(AND(AL$4&gt;=$C15,AL$4&lt;=$D15,'Вводные'!$B$89="Да"),"■","")</x:f>
      </x:c>
      <x:c r="AM15" s="135" t="str">
        <x:f>IF(AND(AM$4&gt;=$C15,AM$4&lt;=$D15,'Вводные'!$B$89="Да"),"■","")</x:f>
      </x:c>
      <x:c r="AN15" s="135" t="str">
        <x:f>IF(AND(AN$4&gt;=$C15,AN$4&lt;=$D15,'Вводные'!$B$89="Да"),"■","")</x:f>
      </x:c>
      <x:c r="AO15" s="135" t="str">
        <x:f>IF(AND(AO$4&gt;=$C15,AO$4&lt;=$D15,'Вводные'!$B$89="Да"),"■","")</x:f>
      </x:c>
      <x:c r="AP15" s="135" t="str">
        <x:f>IF(AND(AP$4&gt;=$C15,AP$4&lt;=$D15,'Вводные'!$B$89="Да"),"■","")</x:f>
      </x:c>
      <x:c r="AQ15" s="135" t="str">
        <x:f>IF(AND(AQ$4&gt;=$C15,AQ$4&lt;=$D15,'Вводные'!$B$89="Да"),"■","")</x:f>
      </x:c>
      <x:c r="AR15" s="135" t="str">
        <x:f>IF(AND(AR$4&gt;=$C15,AR$4&lt;=$D15,'Вводные'!$B$89="Да"),"■","")</x:f>
      </x:c>
      <x:c r="AS15" s="135" t="str">
        <x:f>IF(AND(AS$4&gt;=$C15,AS$4&lt;=$D15,'Вводные'!$B$89="Да"),"■","")</x:f>
      </x:c>
      <x:c r="AT15" s="135" t="str">
        <x:f>IF(AND(AT$4&gt;=$C15,AT$4&lt;=$D15,'Вводные'!$B$89="Да"),"■","")</x:f>
      </x:c>
      <x:c r="AU15" s="135" t="str">
        <x:f>IF(AND(AU$4&gt;=$C15,AU$4&lt;=$D15,'Вводные'!$B$89="Да"),"■","")</x:f>
      </x:c>
      <x:c r="AV15" s="135" t="str">
        <x:f>IF(AND(AV$4&gt;=$C15,AV$4&lt;=$D15,'Вводные'!$B$89="Да"),"■","")</x:f>
      </x:c>
      <x:c r="AW15" s="135" t="str">
        <x:f>IF(AND(AW$4&gt;=$C15,AW$4&lt;=$D15,'Вводные'!$B$89="Да"),"■","")</x:f>
      </x:c>
      <x:c r="AX15" s="135" t="str">
        <x:f>IF(AND(AX$4&gt;=$C15,AX$4&lt;=$D15,'Вводные'!$B$89="Да"),"■","")</x:f>
      </x:c>
      <x:c r="AY15" s="135" t="str">
        <x:f>IF(AND(AY$4&gt;=$C15,AY$4&lt;=$D15,'Вводные'!$B$89="Да"),"■","")</x:f>
      </x:c>
      <x:c r="AZ15" s="135" t="str">
        <x:f>IF(AND(AZ$4&gt;=$C15,AZ$4&lt;=$D15,'Вводные'!$B$89="Да"),"■","")</x:f>
      </x:c>
      <x:c r="BA15" s="135" t="str">
        <x:f>IF(AND(BA$4&gt;=$C15,BA$4&lt;=$D15,'Вводные'!$B$89="Да"),"■","")</x:f>
      </x:c>
      <x:c r="BB15" s="135" t="str">
        <x:f>IF(AND(BB$4&gt;=$C15,BB$4&lt;=$D15,'Вводные'!$B$89="Да"),"■","")</x:f>
      </x:c>
      <x:c r="BC15" s="135" t="str">
        <x:f>IF(AND(BC$4&gt;=$C15,BC$4&lt;=$D15,'Вводные'!$B$89="Да"),"■","")</x:f>
      </x:c>
      <x:c r="BD15" s="135" t="str">
        <x:f>IF(AND(BD$4&gt;=$C15,BD$4&lt;=$D15,'Вводные'!$B$89="Да"),"■","")</x:f>
      </x:c>
      <x:c r="BE15" s="135" t="str">
        <x:f>IF(AND(BE$4&gt;=$C15,BE$4&lt;=$D15,'Вводные'!$B$89="Да"),"■","")</x:f>
      </x:c>
      <x:c r="BF15" s="135" t="str">
        <x:f>IF(AND(BF$4&gt;=$C15,BF$4&lt;=$D15,'Вводные'!$B$89="Да"),"■","")</x:f>
      </x:c>
      <x:c r="BG15" s="135" t="str">
        <x:f>IF(AND(BG$4&gt;=$C15,BG$4&lt;=$D15,'Вводные'!$B$89="Да"),"■","")</x:f>
      </x:c>
      <x:c r="BH15" s="135" t="str">
        <x:f>IF(AND(BH$4&gt;=$C15,BH$4&lt;=$D15,'Вводные'!$B$89="Да"),"■","")</x:f>
      </x:c>
      <x:c r="BI15" s="135" t="str">
        <x:f>IF(AND(BI$4&gt;=$C15,BI$4&lt;=$D15,'Вводные'!$B$89="Да"),"■","")</x:f>
      </x:c>
      <x:c r="BJ15" s="135" t="str">
        <x:f>IF(AND(BJ$4&gt;=$C15,BJ$4&lt;=$D15,'Вводные'!$B$89="Да"),"■","")</x:f>
      </x:c>
      <x:c r="BK15" s="135" t="str">
        <x:f>IF(AND(BK$4&gt;=$C15,BK$4&lt;=$D15,'Вводные'!$B$89="Да"),"■","")</x:f>
      </x:c>
      <x:c r="BL15" s="135" t="str">
        <x:f>IF(AND(BL$4&gt;=$C15,BL$4&lt;=$D15,'Вводные'!$B$89="Да"),"■","")</x:f>
      </x:c>
      <x:c r="BM15" s="135" t="str">
        <x:f>IF(AND(BM$4&gt;=$C15,BM$4&lt;=$D15,'Вводные'!$B$89="Да"),"■","")</x:f>
      </x:c>
      <x:c r="BN15" s="135" t="str">
        <x:f>IF(AND(BN$4&gt;=$C15,BN$4&lt;=$D15,'Вводные'!$B$89="Да"),"■","")</x:f>
      </x:c>
      <x:c r="BO15" s="135" t="str">
        <x:f>IF(AND(BO$4&gt;=$C15,BO$4&lt;=$D15,'Вводные'!$B$89="Да"),"■","")</x:f>
      </x:c>
      <x:c r="BP15" s="135" t="str">
        <x:f>IF(AND(BP$4&gt;=$C15,BP$4&lt;=$D15,'Вводные'!$B$89="Да"),"■","")</x:f>
      </x:c>
      <x:c r="BQ15" s="135" t="str">
        <x:f>IF(AND(BQ$4&gt;=$C15,BQ$4&lt;=$D15,'Вводные'!$B$89="Да"),"■","")</x:f>
      </x:c>
      <x:c r="BR15" s="135" t="str">
        <x:f>IF(AND(BR$4&gt;=$C15,BR$4&lt;=$D15,'Вводные'!$B$89="Да"),"■","")</x:f>
      </x:c>
      <x:c r="BS15" s="135" t="str">
        <x:f>IF(AND(BS$4&gt;=$C15,BS$4&lt;=$D15,'Вводные'!$B$89="Да"),"■","")</x:f>
      </x:c>
      <x:c r="BT15" s="135" t="str">
        <x:f>IF(AND(BT$4&gt;=$C15,BT$4&lt;=$D15,'Вводные'!$B$89="Да"),"■","")</x:f>
      </x:c>
      <x:c r="BU15" s="135" t="str">
        <x:f>IF(AND(BU$4&gt;=$C15,BU$4&lt;=$D15,'Вводные'!$B$89="Да"),"■","")</x:f>
      </x:c>
      <x:c r="BV15" s="135" t="str">
        <x:f>IF(AND(BV$4&gt;=$C15,BV$4&lt;=$D15,'Вводные'!$B$89="Да"),"■","")</x:f>
      </x:c>
      <x:c r="BW15" s="135" t="str">
        <x:f>IF(AND(BW$4&gt;=$C15,BW$4&lt;=$D15,'Вводные'!$B$89="Да"),"■","")</x:f>
      </x:c>
      <x:c r="BX15" s="135" t="str">
        <x:f>IF(AND(BX$4&gt;=$C15,BX$4&lt;=$D15,'Вводные'!$B$89="Да"),"■","")</x:f>
      </x:c>
      <x:c r="BY15" s="135" t="str">
        <x:f>IF(AND(BY$4&gt;=$C15,BY$4&lt;=$D15,'Вводные'!$B$89="Да"),"■","")</x:f>
      </x:c>
      <x:c r="BZ15" s="135" t="str">
        <x:f>IF(AND(BZ$4&gt;=$C15,BZ$4&lt;=$D15,'Вводные'!$B$89="Да"),"■","")</x:f>
      </x:c>
      <x:c r="CA15" s="135" t="str">
        <x:f>IF(AND(CA$4&gt;=$C15,CA$4&lt;=$D15,'Вводные'!$B$89="Да"),"■","")</x:f>
      </x:c>
      <x:c r="CB15" s="135" t="str">
        <x:f>IF(AND(CB$4&gt;=$C15,CB$4&lt;=$D15,'Вводные'!$B$89="Да"),"■","")</x:f>
      </x:c>
      <x:c r="CC15" s="135" t="str">
        <x:f>IF(AND(CC$4&gt;=$C15,CC$4&lt;=$D15,'Вводные'!$B$89="Да"),"■","")</x:f>
      </x:c>
      <x:c r="CD15" s="135" t="str">
        <x:f>IF(AND(CD$4&gt;=$C15,CD$4&lt;=$D15,'Вводные'!$B$89="Да"),"■","")</x:f>
      </x:c>
      <x:c r="CE15" s="135" t="str">
        <x:f>IF(AND(CE$4&gt;=$C15,CE$4&lt;=$D15,'Вводные'!$B$89="Да"),"■","")</x:f>
      </x:c>
      <x:c r="CF15" s="135" t="str">
        <x:f>IF(AND(CF$4&gt;=$C15,CF$4&lt;=$D15,'Вводные'!$B$89="Да"),"■","")</x:f>
      </x:c>
      <x:c r="CG15" s="135" t="str">
        <x:f>IF(AND(CG$4&gt;=$C15,CG$4&lt;=$D15,'Вводные'!$B$89="Да"),"■","")</x:f>
      </x:c>
      <x:c r="CH15" s="135" t="str">
        <x:f>IF(AND(CH$4&gt;=$C15,CH$4&lt;=$D15,'Вводные'!$B$89="Да"),"■","")</x:f>
      </x:c>
      <x:c r="CI15" s="135" t="str">
        <x:f>IF(AND(CI$4&gt;=$C15,CI$4&lt;=$D15,'Вводные'!$B$89="Да"),"■","")</x:f>
      </x:c>
      <x:c r="CJ15" s="135" t="str">
        <x:f>IF(AND(CJ$4&gt;=$C15,CJ$4&lt;=$D15,'Вводные'!$B$89="Да"),"■","")</x:f>
      </x:c>
      <x:c r="CK15" s="135" t="str">
        <x:f>IF(AND(CK$4&gt;=$C15,CK$4&lt;=$D15,'Вводные'!$B$89="Да"),"■","")</x:f>
      </x:c>
      <x:c r="CL15" s="135" t="str">
        <x:f>IF(AND(CL$4&gt;=$C15,CL$4&lt;=$D15,'Вводные'!$B$89="Да"),"■","")</x:f>
      </x:c>
      <x:c r="CM15" s="135" t="str">
        <x:f>IF(AND(CM$4&gt;=$C15,CM$4&lt;=$D15,'Вводные'!$B$89="Да"),"■","")</x:f>
      </x:c>
      <x:c r="CN15" s="135" t="str">
        <x:f>IF(AND(CN$4&gt;=$C15,CN$4&lt;=$D15,'Вводные'!$B$89="Да"),"■","")</x:f>
      </x:c>
      <x:c r="CO15" s="135" t="str">
        <x:f>IF(AND(CO$4&gt;=$C15,CO$4&lt;=$D15,'Вводные'!$B$89="Да"),"■","")</x:f>
      </x:c>
      <x:c r="CP15" s="135" t="str">
        <x:f>IF(AND(CP$4&gt;=$C15,CP$4&lt;=$D15,'Вводные'!$B$89="Да"),"■","")</x:f>
      </x:c>
      <x:c r="CQ15" s="135" t="str">
        <x:f>IF(AND(CQ$4&gt;=$C15,CQ$4&lt;=$D15,'Вводные'!$B$89="Да"),"■","")</x:f>
      </x:c>
      <x:c r="CR15" s="135" t="str">
        <x:f>IF(AND(CR$4&gt;=$C15,CR$4&lt;=$D15,'Вводные'!$B$89="Да"),"■","")</x:f>
      </x:c>
      <x:c r="CS15" s="135" t="str">
        <x:f>IF(AND(CS$4&gt;=$C15,CS$4&lt;=$D15,'Вводные'!$B$89="Да"),"■","")</x:f>
      </x:c>
      <x:c r="CT15" s="135" t="str">
        <x:f>IF(AND(CT$4&gt;=$C15,CT$4&lt;=$D15,'Вводные'!$B$89="Да"),"■","")</x:f>
      </x:c>
      <x:c r="CU15" s="135" t="str">
        <x:f>IF(AND(CU$4&gt;=$C15,CU$4&lt;=$D15,'Вводные'!$B$89="Да"),"■","")</x:f>
      </x:c>
      <x:c r="CV15" s="135" t="str">
        <x:f>IF(AND(CV$4&gt;=$C15,CV$4&lt;=$D15,'Вводные'!$B$89="Да"),"■","")</x:f>
      </x:c>
      <x:c r="CW15" s="135" t="str">
        <x:f>IF(AND(CW$4&gt;=$C15,CW$4&lt;=$D15,'Вводные'!$B$89="Да"),"■","")</x:f>
      </x:c>
      <x:c r="CX15" s="135" t="str">
        <x:f>IF(AND(CX$4&gt;=$C15,CX$4&lt;=$D15,'Вводные'!$B$89="Да"),"■","")</x:f>
      </x:c>
      <x:c r="CY15" s="135" t="str">
        <x:f>IF(AND(CY$4&gt;=$C15,CY$4&lt;=$D15,'Вводные'!$B$89="Да"),"■","")</x:f>
      </x:c>
      <x:c r="CZ15" s="135" t="str">
        <x:f>IF(AND(CZ$4&gt;=$C15,CZ$4&lt;=$D15,'Вводные'!$B$89="Да"),"■","")</x:f>
      </x:c>
      <x:c r="DA15" s="135" t="str">
        <x:f>IF(AND(DA$4&gt;=$C15,DA$4&lt;=$D15,'Вводные'!$B$89="Да"),"■","")</x:f>
      </x:c>
      <x:c r="DB15" s="135" t="str">
        <x:f>IF(AND(DB$4&gt;=$C15,DB$4&lt;=$D15,'Вводные'!$B$89="Да"),"■","")</x:f>
      </x:c>
      <x:c r="DC15" s="135" t="str">
        <x:f>IF(AND(DC$4&gt;=$C15,DC$4&lt;=$D15,'Вводные'!$B$89="Да"),"■","")</x:f>
      </x:c>
      <x:c r="DD15" s="135" t="str">
        <x:f>IF(AND(DD$4&gt;=$C15,DD$4&lt;=$D15,'Вводные'!$B$89="Да"),"■","")</x:f>
      </x:c>
      <x:c r="DE15" s="135" t="str">
        <x:f>IF(AND(DE$4&gt;=$C15,DE$4&lt;=$D15,'Вводные'!$B$89="Да"),"■","")</x:f>
      </x:c>
      <x:c r="DF15" s="135" t="str">
        <x:f>IF(AND(DF$4&gt;=$C15,DF$4&lt;=$D15,'Вводные'!$B$89="Да"),"■","")</x:f>
      </x:c>
      <x:c r="DG15" s="135" t="str">
        <x:f>IF(AND(DG$4&gt;=$C15,DG$4&lt;=$D15,'Вводные'!$B$89="Да"),"■","")</x:f>
      </x:c>
      <x:c r="DH15" s="135" t="str">
        <x:f>IF(AND(DH$4&gt;=$C15,DH$4&lt;=$D15,'Вводные'!$B$89="Да"),"■","")</x:f>
      </x:c>
      <x:c r="DI15" s="135" t="str">
        <x:f>IF(AND(DI$4&gt;=$C15,DI$4&lt;=$D15,'Вводные'!$B$89="Да"),"■","")</x:f>
      </x:c>
      <x:c r="DJ15" s="135" t="str">
        <x:f>IF(AND(DJ$4&gt;=$C15,DJ$4&lt;=$D15,'Вводные'!$B$89="Да"),"■","")</x:f>
      </x:c>
      <x:c r="DK15" s="135" t="str">
        <x:f>IF(AND(DK$4&gt;=$C15,DK$4&lt;=$D15,'Вводные'!$B$89="Да"),"■","")</x:f>
      </x:c>
      <x:c r="DL15" s="135" t="str">
        <x:f>IF(AND(DL$4&gt;=$C15,DL$4&lt;=$D15,'Вводные'!$B$89="Да"),"■","")</x:f>
      </x:c>
      <x:c r="DM15" s="135" t="str">
        <x:f>IF(AND(DM$4&gt;=$C15,DM$4&lt;=$D15,'Вводные'!$B$89="Да"),"■","")</x:f>
      </x:c>
      <x:c r="DN15" s="135" t="str">
        <x:f>IF(AND(DN$4&gt;=$C15,DN$4&lt;=$D15,'Вводные'!$B$89="Да"),"■","")</x:f>
      </x:c>
      <x:c r="DO15" s="135" t="str">
        <x:f>IF(AND(DO$4&gt;=$C15,DO$4&lt;=$D15,'Вводные'!$B$89="Да"),"■","")</x:f>
      </x:c>
      <x:c r="DP15" s="135" t="str">
        <x:f>IF(AND(DP$4&gt;=$C15,DP$4&lt;=$D15,'Вводные'!$B$89="Да"),"■","")</x:f>
      </x:c>
      <x:c r="DQ15" s="135" t="str">
        <x:f>IF(AND(DQ$4&gt;=$C15,DQ$4&lt;=$D15,'Вводные'!$B$89="Да"),"■","")</x:f>
      </x:c>
      <x:c r="DR15" s="135" t="str">
        <x:f>IF(AND(DR$4&gt;=$C15,DR$4&lt;=$D15,'Вводные'!$B$89="Да"),"■","")</x:f>
      </x:c>
      <x:c r="DS15" s="135" t="str">
        <x:f>IF(AND(DS$4&gt;=$C15,DS$4&lt;=$D15,'Вводные'!$B$89="Да"),"■","")</x:f>
      </x:c>
      <x:c r="DT15" s="135" t="str">
        <x:f>IF(AND(DT$4&gt;=$C15,DT$4&lt;=$D15,'Вводные'!$B$89="Да"),"■","")</x:f>
      </x:c>
    </x:row>
    <x:row r="16">
      <x:c r="A16" t="str">
        <x:f>'Вводные'!$C$89</x:f>
      </x:c>
      <x:c r="B16" t="str">
        <x:v>ИРД и согласования</x:v>
      </x:c>
      <x:c r="C16" s="92" t="n">
        <x:f>EDATE('Вводные'!$D$89,'Вводные'!$H$9)</x:f>
      </x:c>
      <x:c r="D16" s="92" t="n">
        <x:f>EDATE(C16,'Вводные'!$E$89-1)</x:f>
      </x:c>
      <x:c r="E16" s="137" t="str">
        <x:f>IF(AND(E$4&gt;=$C16,E$4&lt;=$D16,'Вводные'!$B$89="Да"),"■","")</x:f>
      </x:c>
      <x:c r="F16" s="137" t="str">
        <x:f>IF(AND(F$4&gt;=$C16,F$4&lt;=$D16,'Вводные'!$B$89="Да"),"■","")</x:f>
      </x:c>
      <x:c r="G16" s="137" t="str">
        <x:f>IF(AND(G$4&gt;=$C16,G$4&lt;=$D16,'Вводные'!$B$89="Да"),"■","")</x:f>
      </x:c>
      <x:c r="H16" s="137" t="str">
        <x:f>IF(AND(H$4&gt;=$C16,H$4&lt;=$D16,'Вводные'!$B$89="Да"),"■","")</x:f>
      </x:c>
      <x:c r="I16" s="137" t="str">
        <x:f>IF(AND(I$4&gt;=$C16,I$4&lt;=$D16,'Вводные'!$B$89="Да"),"■","")</x:f>
      </x:c>
      <x:c r="J16" s="137" t="str">
        <x:f>IF(AND(J$4&gt;=$C16,J$4&lt;=$D16,'Вводные'!$B$89="Да"),"■","")</x:f>
      </x:c>
      <x:c r="K16" s="137" t="str">
        <x:f>IF(AND(K$4&gt;=$C16,K$4&lt;=$D16,'Вводные'!$B$89="Да"),"■","")</x:f>
      </x:c>
      <x:c r="L16" s="137" t="str">
        <x:f>IF(AND(L$4&gt;=$C16,L$4&lt;=$D16,'Вводные'!$B$89="Да"),"■","")</x:f>
      </x:c>
      <x:c r="M16" s="137" t="str">
        <x:f>IF(AND(M$4&gt;=$C16,M$4&lt;=$D16,'Вводные'!$B$89="Да"),"■","")</x:f>
      </x:c>
      <x:c r="N16" s="137" t="str">
        <x:f>IF(AND(N$4&gt;=$C16,N$4&lt;=$D16,'Вводные'!$B$89="Да"),"■","")</x:f>
      </x:c>
      <x:c r="O16" s="137" t="str">
        <x:f>IF(AND(O$4&gt;=$C16,O$4&lt;=$D16,'Вводные'!$B$89="Да"),"■","")</x:f>
      </x:c>
      <x:c r="P16" s="137" t="str">
        <x:f>IF(AND(P$4&gt;=$C16,P$4&lt;=$D16,'Вводные'!$B$89="Да"),"■","")</x:f>
      </x:c>
      <x:c r="Q16" s="137" t="str">
        <x:f>IF(AND(Q$4&gt;=$C16,Q$4&lt;=$D16,'Вводные'!$B$89="Да"),"■","")</x:f>
      </x:c>
      <x:c r="R16" s="137" t="str">
        <x:f>IF(AND(R$4&gt;=$C16,R$4&lt;=$D16,'Вводные'!$B$89="Да"),"■","")</x:f>
      </x:c>
      <x:c r="S16" s="137" t="str">
        <x:f>IF(AND(S$4&gt;=$C16,S$4&lt;=$D16,'Вводные'!$B$89="Да"),"■","")</x:f>
      </x:c>
      <x:c r="T16" s="137" t="str">
        <x:f>IF(AND(T$4&gt;=$C16,T$4&lt;=$D16,'Вводные'!$B$89="Да"),"■","")</x:f>
      </x:c>
      <x:c r="U16" s="137" t="str">
        <x:f>IF(AND(U$4&gt;=$C16,U$4&lt;=$D16,'Вводные'!$B$89="Да"),"■","")</x:f>
      </x:c>
      <x:c r="V16" s="137" t="str">
        <x:f>IF(AND(V$4&gt;=$C16,V$4&lt;=$D16,'Вводные'!$B$89="Да"),"■","")</x:f>
      </x:c>
      <x:c r="W16" s="137" t="str">
        <x:f>IF(AND(W$4&gt;=$C16,W$4&lt;=$D16,'Вводные'!$B$89="Да"),"■","")</x:f>
      </x:c>
      <x:c r="X16" s="137" t="str">
        <x:f>IF(AND(X$4&gt;=$C16,X$4&lt;=$D16,'Вводные'!$B$89="Да"),"■","")</x:f>
      </x:c>
      <x:c r="Y16" s="137" t="str">
        <x:f>IF(AND(Y$4&gt;=$C16,Y$4&lt;=$D16,'Вводные'!$B$89="Да"),"■","")</x:f>
      </x:c>
      <x:c r="Z16" s="137" t="str">
        <x:f>IF(AND(Z$4&gt;=$C16,Z$4&lt;=$D16,'Вводные'!$B$89="Да"),"■","")</x:f>
      </x:c>
      <x:c r="AA16" s="137" t="str">
        <x:f>IF(AND(AA$4&gt;=$C16,AA$4&lt;=$D16,'Вводные'!$B$89="Да"),"■","")</x:f>
      </x:c>
      <x:c r="AB16" s="137" t="str">
        <x:f>IF(AND(AB$4&gt;=$C16,AB$4&lt;=$D16,'Вводные'!$B$89="Да"),"■","")</x:f>
      </x:c>
      <x:c r="AC16" s="137" t="str">
        <x:f>IF(AND(AC$4&gt;=$C16,AC$4&lt;=$D16,'Вводные'!$B$89="Да"),"■","")</x:f>
      </x:c>
      <x:c r="AD16" s="137" t="str">
        <x:f>IF(AND(AD$4&gt;=$C16,AD$4&lt;=$D16,'Вводные'!$B$89="Да"),"■","")</x:f>
      </x:c>
      <x:c r="AE16" s="137" t="str">
        <x:f>IF(AND(AE$4&gt;=$C16,AE$4&lt;=$D16,'Вводные'!$B$89="Да"),"■","")</x:f>
      </x:c>
      <x:c r="AF16" s="137" t="str">
        <x:f>IF(AND(AF$4&gt;=$C16,AF$4&lt;=$D16,'Вводные'!$B$89="Да"),"■","")</x:f>
      </x:c>
      <x:c r="AG16" s="137" t="str">
        <x:f>IF(AND(AG$4&gt;=$C16,AG$4&lt;=$D16,'Вводные'!$B$89="Да"),"■","")</x:f>
      </x:c>
      <x:c r="AH16" s="137" t="str">
        <x:f>IF(AND(AH$4&gt;=$C16,AH$4&lt;=$D16,'Вводные'!$B$89="Да"),"■","")</x:f>
      </x:c>
      <x:c r="AI16" s="137" t="str">
        <x:f>IF(AND(AI$4&gt;=$C16,AI$4&lt;=$D16,'Вводные'!$B$89="Да"),"■","")</x:f>
      </x:c>
      <x:c r="AJ16" s="137" t="str">
        <x:f>IF(AND(AJ$4&gt;=$C16,AJ$4&lt;=$D16,'Вводные'!$B$89="Да"),"■","")</x:f>
      </x:c>
      <x:c r="AK16" s="137" t="str">
        <x:f>IF(AND(AK$4&gt;=$C16,AK$4&lt;=$D16,'Вводные'!$B$89="Да"),"■","")</x:f>
      </x:c>
      <x:c r="AL16" s="137" t="str">
        <x:f>IF(AND(AL$4&gt;=$C16,AL$4&lt;=$D16,'Вводные'!$B$89="Да"),"■","")</x:f>
      </x:c>
      <x:c r="AM16" s="137" t="str">
        <x:f>IF(AND(AM$4&gt;=$C16,AM$4&lt;=$D16,'Вводные'!$B$89="Да"),"■","")</x:f>
      </x:c>
      <x:c r="AN16" s="137" t="str">
        <x:f>IF(AND(AN$4&gt;=$C16,AN$4&lt;=$D16,'Вводные'!$B$89="Да"),"■","")</x:f>
      </x:c>
      <x:c r="AO16" s="137" t="str">
        <x:f>IF(AND(AO$4&gt;=$C16,AO$4&lt;=$D16,'Вводные'!$B$89="Да"),"■","")</x:f>
      </x:c>
      <x:c r="AP16" s="137" t="str">
        <x:f>IF(AND(AP$4&gt;=$C16,AP$4&lt;=$D16,'Вводные'!$B$89="Да"),"■","")</x:f>
      </x:c>
      <x:c r="AQ16" s="137" t="str">
        <x:f>IF(AND(AQ$4&gt;=$C16,AQ$4&lt;=$D16,'Вводные'!$B$89="Да"),"■","")</x:f>
      </x:c>
      <x:c r="AR16" s="137" t="str">
        <x:f>IF(AND(AR$4&gt;=$C16,AR$4&lt;=$D16,'Вводные'!$B$89="Да"),"■","")</x:f>
      </x:c>
      <x:c r="AS16" s="137" t="str">
        <x:f>IF(AND(AS$4&gt;=$C16,AS$4&lt;=$D16,'Вводные'!$B$89="Да"),"■","")</x:f>
      </x:c>
      <x:c r="AT16" s="137" t="str">
        <x:f>IF(AND(AT$4&gt;=$C16,AT$4&lt;=$D16,'Вводные'!$B$89="Да"),"■","")</x:f>
      </x:c>
      <x:c r="AU16" s="137" t="str">
        <x:f>IF(AND(AU$4&gt;=$C16,AU$4&lt;=$D16,'Вводные'!$B$89="Да"),"■","")</x:f>
      </x:c>
      <x:c r="AV16" s="137" t="str">
        <x:f>IF(AND(AV$4&gt;=$C16,AV$4&lt;=$D16,'Вводные'!$B$89="Да"),"■","")</x:f>
      </x:c>
      <x:c r="AW16" s="137" t="str">
        <x:f>IF(AND(AW$4&gt;=$C16,AW$4&lt;=$D16,'Вводные'!$B$89="Да"),"■","")</x:f>
      </x:c>
      <x:c r="AX16" s="137" t="str">
        <x:f>IF(AND(AX$4&gt;=$C16,AX$4&lt;=$D16,'Вводные'!$B$89="Да"),"■","")</x:f>
      </x:c>
      <x:c r="AY16" s="137" t="str">
        <x:f>IF(AND(AY$4&gt;=$C16,AY$4&lt;=$D16,'Вводные'!$B$89="Да"),"■","")</x:f>
      </x:c>
      <x:c r="AZ16" s="137" t="str">
        <x:f>IF(AND(AZ$4&gt;=$C16,AZ$4&lt;=$D16,'Вводные'!$B$89="Да"),"■","")</x:f>
      </x:c>
      <x:c r="BA16" s="137" t="str">
        <x:f>IF(AND(BA$4&gt;=$C16,BA$4&lt;=$D16,'Вводные'!$B$89="Да"),"■","")</x:f>
      </x:c>
      <x:c r="BB16" s="137" t="str">
        <x:f>IF(AND(BB$4&gt;=$C16,BB$4&lt;=$D16,'Вводные'!$B$89="Да"),"■","")</x:f>
      </x:c>
      <x:c r="BC16" s="137" t="str">
        <x:f>IF(AND(BC$4&gt;=$C16,BC$4&lt;=$D16,'Вводные'!$B$89="Да"),"■","")</x:f>
      </x:c>
      <x:c r="BD16" s="137" t="str">
        <x:f>IF(AND(BD$4&gt;=$C16,BD$4&lt;=$D16,'Вводные'!$B$89="Да"),"■","")</x:f>
      </x:c>
      <x:c r="BE16" s="137" t="str">
        <x:f>IF(AND(BE$4&gt;=$C16,BE$4&lt;=$D16,'Вводные'!$B$89="Да"),"■","")</x:f>
      </x:c>
      <x:c r="BF16" s="137" t="str">
        <x:f>IF(AND(BF$4&gt;=$C16,BF$4&lt;=$D16,'Вводные'!$B$89="Да"),"■","")</x:f>
      </x:c>
      <x:c r="BG16" s="137" t="str">
        <x:f>IF(AND(BG$4&gt;=$C16,BG$4&lt;=$D16,'Вводные'!$B$89="Да"),"■","")</x:f>
      </x:c>
      <x:c r="BH16" s="137" t="str">
        <x:f>IF(AND(BH$4&gt;=$C16,BH$4&lt;=$D16,'Вводные'!$B$89="Да"),"■","")</x:f>
      </x:c>
      <x:c r="BI16" s="137" t="str">
        <x:f>IF(AND(BI$4&gt;=$C16,BI$4&lt;=$D16,'Вводные'!$B$89="Да"),"■","")</x:f>
      </x:c>
      <x:c r="BJ16" s="137" t="str">
        <x:f>IF(AND(BJ$4&gt;=$C16,BJ$4&lt;=$D16,'Вводные'!$B$89="Да"),"■","")</x:f>
      </x:c>
      <x:c r="BK16" s="137" t="str">
        <x:f>IF(AND(BK$4&gt;=$C16,BK$4&lt;=$D16,'Вводные'!$B$89="Да"),"■","")</x:f>
      </x:c>
      <x:c r="BL16" s="137" t="str">
        <x:f>IF(AND(BL$4&gt;=$C16,BL$4&lt;=$D16,'Вводные'!$B$89="Да"),"■","")</x:f>
      </x:c>
      <x:c r="BM16" s="137" t="str">
        <x:f>IF(AND(BM$4&gt;=$C16,BM$4&lt;=$D16,'Вводные'!$B$89="Да"),"■","")</x:f>
      </x:c>
      <x:c r="BN16" s="137" t="str">
        <x:f>IF(AND(BN$4&gt;=$C16,BN$4&lt;=$D16,'Вводные'!$B$89="Да"),"■","")</x:f>
      </x:c>
      <x:c r="BO16" s="137" t="str">
        <x:f>IF(AND(BO$4&gt;=$C16,BO$4&lt;=$D16,'Вводные'!$B$89="Да"),"■","")</x:f>
      </x:c>
      <x:c r="BP16" s="137" t="str">
        <x:f>IF(AND(BP$4&gt;=$C16,BP$4&lt;=$D16,'Вводные'!$B$89="Да"),"■","")</x:f>
      </x:c>
      <x:c r="BQ16" s="137" t="str">
        <x:f>IF(AND(BQ$4&gt;=$C16,BQ$4&lt;=$D16,'Вводные'!$B$89="Да"),"■","")</x:f>
      </x:c>
      <x:c r="BR16" s="137" t="str">
        <x:f>IF(AND(BR$4&gt;=$C16,BR$4&lt;=$D16,'Вводные'!$B$89="Да"),"■","")</x:f>
      </x:c>
      <x:c r="BS16" s="137" t="str">
        <x:f>IF(AND(BS$4&gt;=$C16,BS$4&lt;=$D16,'Вводные'!$B$89="Да"),"■","")</x:f>
      </x:c>
      <x:c r="BT16" s="137" t="str">
        <x:f>IF(AND(BT$4&gt;=$C16,BT$4&lt;=$D16,'Вводные'!$B$89="Да"),"■","")</x:f>
      </x:c>
      <x:c r="BU16" s="137" t="str">
        <x:f>IF(AND(BU$4&gt;=$C16,BU$4&lt;=$D16,'Вводные'!$B$89="Да"),"■","")</x:f>
      </x:c>
      <x:c r="BV16" s="137" t="str">
        <x:f>IF(AND(BV$4&gt;=$C16,BV$4&lt;=$D16,'Вводные'!$B$89="Да"),"■","")</x:f>
      </x:c>
      <x:c r="BW16" s="137" t="str">
        <x:f>IF(AND(BW$4&gt;=$C16,BW$4&lt;=$D16,'Вводные'!$B$89="Да"),"■","")</x:f>
      </x:c>
      <x:c r="BX16" s="137" t="str">
        <x:f>IF(AND(BX$4&gt;=$C16,BX$4&lt;=$D16,'Вводные'!$B$89="Да"),"■","")</x:f>
      </x:c>
      <x:c r="BY16" s="137" t="str">
        <x:f>IF(AND(BY$4&gt;=$C16,BY$4&lt;=$D16,'Вводные'!$B$89="Да"),"■","")</x:f>
      </x:c>
      <x:c r="BZ16" s="137" t="str">
        <x:f>IF(AND(BZ$4&gt;=$C16,BZ$4&lt;=$D16,'Вводные'!$B$89="Да"),"■","")</x:f>
      </x:c>
      <x:c r="CA16" s="137" t="str">
        <x:f>IF(AND(CA$4&gt;=$C16,CA$4&lt;=$D16,'Вводные'!$B$89="Да"),"■","")</x:f>
      </x:c>
      <x:c r="CB16" s="137" t="str">
        <x:f>IF(AND(CB$4&gt;=$C16,CB$4&lt;=$D16,'Вводные'!$B$89="Да"),"■","")</x:f>
      </x:c>
      <x:c r="CC16" s="137" t="str">
        <x:f>IF(AND(CC$4&gt;=$C16,CC$4&lt;=$D16,'Вводные'!$B$89="Да"),"■","")</x:f>
      </x:c>
      <x:c r="CD16" s="137" t="str">
        <x:f>IF(AND(CD$4&gt;=$C16,CD$4&lt;=$D16,'Вводные'!$B$89="Да"),"■","")</x:f>
      </x:c>
      <x:c r="CE16" s="137" t="str">
        <x:f>IF(AND(CE$4&gt;=$C16,CE$4&lt;=$D16,'Вводные'!$B$89="Да"),"■","")</x:f>
      </x:c>
      <x:c r="CF16" s="137" t="str">
        <x:f>IF(AND(CF$4&gt;=$C16,CF$4&lt;=$D16,'Вводные'!$B$89="Да"),"■","")</x:f>
      </x:c>
      <x:c r="CG16" s="137" t="str">
        <x:f>IF(AND(CG$4&gt;=$C16,CG$4&lt;=$D16,'Вводные'!$B$89="Да"),"■","")</x:f>
      </x:c>
      <x:c r="CH16" s="137" t="str">
        <x:f>IF(AND(CH$4&gt;=$C16,CH$4&lt;=$D16,'Вводные'!$B$89="Да"),"■","")</x:f>
      </x:c>
      <x:c r="CI16" s="137" t="str">
        <x:f>IF(AND(CI$4&gt;=$C16,CI$4&lt;=$D16,'Вводные'!$B$89="Да"),"■","")</x:f>
      </x:c>
      <x:c r="CJ16" s="137" t="str">
        <x:f>IF(AND(CJ$4&gt;=$C16,CJ$4&lt;=$D16,'Вводные'!$B$89="Да"),"■","")</x:f>
      </x:c>
      <x:c r="CK16" s="137" t="str">
        <x:f>IF(AND(CK$4&gt;=$C16,CK$4&lt;=$D16,'Вводные'!$B$89="Да"),"■","")</x:f>
      </x:c>
      <x:c r="CL16" s="137" t="str">
        <x:f>IF(AND(CL$4&gt;=$C16,CL$4&lt;=$D16,'Вводные'!$B$89="Да"),"■","")</x:f>
      </x:c>
      <x:c r="CM16" s="137" t="str">
        <x:f>IF(AND(CM$4&gt;=$C16,CM$4&lt;=$D16,'Вводные'!$B$89="Да"),"■","")</x:f>
      </x:c>
      <x:c r="CN16" s="137" t="str">
        <x:f>IF(AND(CN$4&gt;=$C16,CN$4&lt;=$D16,'Вводные'!$B$89="Да"),"■","")</x:f>
      </x:c>
      <x:c r="CO16" s="137" t="str">
        <x:f>IF(AND(CO$4&gt;=$C16,CO$4&lt;=$D16,'Вводные'!$B$89="Да"),"■","")</x:f>
      </x:c>
      <x:c r="CP16" s="137" t="str">
        <x:f>IF(AND(CP$4&gt;=$C16,CP$4&lt;=$D16,'Вводные'!$B$89="Да"),"■","")</x:f>
      </x:c>
      <x:c r="CQ16" s="137" t="str">
        <x:f>IF(AND(CQ$4&gt;=$C16,CQ$4&lt;=$D16,'Вводные'!$B$89="Да"),"■","")</x:f>
      </x:c>
      <x:c r="CR16" s="137" t="str">
        <x:f>IF(AND(CR$4&gt;=$C16,CR$4&lt;=$D16,'Вводные'!$B$89="Да"),"■","")</x:f>
      </x:c>
      <x:c r="CS16" s="137" t="str">
        <x:f>IF(AND(CS$4&gt;=$C16,CS$4&lt;=$D16,'Вводные'!$B$89="Да"),"■","")</x:f>
      </x:c>
      <x:c r="CT16" s="137" t="str">
        <x:f>IF(AND(CT$4&gt;=$C16,CT$4&lt;=$D16,'Вводные'!$B$89="Да"),"■","")</x:f>
      </x:c>
      <x:c r="CU16" s="137" t="str">
        <x:f>IF(AND(CU$4&gt;=$C16,CU$4&lt;=$D16,'Вводные'!$B$89="Да"),"■","")</x:f>
      </x:c>
      <x:c r="CV16" s="137" t="str">
        <x:f>IF(AND(CV$4&gt;=$C16,CV$4&lt;=$D16,'Вводные'!$B$89="Да"),"■","")</x:f>
      </x:c>
      <x:c r="CW16" s="137" t="str">
        <x:f>IF(AND(CW$4&gt;=$C16,CW$4&lt;=$D16,'Вводные'!$B$89="Да"),"■","")</x:f>
      </x:c>
      <x:c r="CX16" s="137" t="str">
        <x:f>IF(AND(CX$4&gt;=$C16,CX$4&lt;=$D16,'Вводные'!$B$89="Да"),"■","")</x:f>
      </x:c>
      <x:c r="CY16" s="137" t="str">
        <x:f>IF(AND(CY$4&gt;=$C16,CY$4&lt;=$D16,'Вводные'!$B$89="Да"),"■","")</x:f>
      </x:c>
      <x:c r="CZ16" s="137" t="str">
        <x:f>IF(AND(CZ$4&gt;=$C16,CZ$4&lt;=$D16,'Вводные'!$B$89="Да"),"■","")</x:f>
      </x:c>
      <x:c r="DA16" s="137" t="str">
        <x:f>IF(AND(DA$4&gt;=$C16,DA$4&lt;=$D16,'Вводные'!$B$89="Да"),"■","")</x:f>
      </x:c>
      <x:c r="DB16" s="137" t="str">
        <x:f>IF(AND(DB$4&gt;=$C16,DB$4&lt;=$D16,'Вводные'!$B$89="Да"),"■","")</x:f>
      </x:c>
      <x:c r="DC16" s="137" t="str">
        <x:f>IF(AND(DC$4&gt;=$C16,DC$4&lt;=$D16,'Вводные'!$B$89="Да"),"■","")</x:f>
      </x:c>
      <x:c r="DD16" s="137" t="str">
        <x:f>IF(AND(DD$4&gt;=$C16,DD$4&lt;=$D16,'Вводные'!$B$89="Да"),"■","")</x:f>
      </x:c>
      <x:c r="DE16" s="137" t="str">
        <x:f>IF(AND(DE$4&gt;=$C16,DE$4&lt;=$D16,'Вводные'!$B$89="Да"),"■","")</x:f>
      </x:c>
      <x:c r="DF16" s="137" t="str">
        <x:f>IF(AND(DF$4&gt;=$C16,DF$4&lt;=$D16,'Вводные'!$B$89="Да"),"■","")</x:f>
      </x:c>
      <x:c r="DG16" s="137" t="str">
        <x:f>IF(AND(DG$4&gt;=$C16,DG$4&lt;=$D16,'Вводные'!$B$89="Да"),"■","")</x:f>
      </x:c>
      <x:c r="DH16" s="137" t="str">
        <x:f>IF(AND(DH$4&gt;=$C16,DH$4&lt;=$D16,'Вводные'!$B$89="Да"),"■","")</x:f>
      </x:c>
      <x:c r="DI16" s="137" t="str">
        <x:f>IF(AND(DI$4&gt;=$C16,DI$4&lt;=$D16,'Вводные'!$B$89="Да"),"■","")</x:f>
      </x:c>
      <x:c r="DJ16" s="137" t="str">
        <x:f>IF(AND(DJ$4&gt;=$C16,DJ$4&lt;=$D16,'Вводные'!$B$89="Да"),"■","")</x:f>
      </x:c>
      <x:c r="DK16" s="137" t="str">
        <x:f>IF(AND(DK$4&gt;=$C16,DK$4&lt;=$D16,'Вводные'!$B$89="Да"),"■","")</x:f>
      </x:c>
      <x:c r="DL16" s="137" t="str">
        <x:f>IF(AND(DL$4&gt;=$C16,DL$4&lt;=$D16,'Вводные'!$B$89="Да"),"■","")</x:f>
      </x:c>
      <x:c r="DM16" s="137" t="str">
        <x:f>IF(AND(DM$4&gt;=$C16,DM$4&lt;=$D16,'Вводные'!$B$89="Да"),"■","")</x:f>
      </x:c>
      <x:c r="DN16" s="137" t="str">
        <x:f>IF(AND(DN$4&gt;=$C16,DN$4&lt;=$D16,'Вводные'!$B$89="Да"),"■","")</x:f>
      </x:c>
      <x:c r="DO16" s="137" t="str">
        <x:f>IF(AND(DO$4&gt;=$C16,DO$4&lt;=$D16,'Вводные'!$B$89="Да"),"■","")</x:f>
      </x:c>
      <x:c r="DP16" s="137" t="str">
        <x:f>IF(AND(DP$4&gt;=$C16,DP$4&lt;=$D16,'Вводные'!$B$89="Да"),"■","")</x:f>
      </x:c>
      <x:c r="DQ16" s="137" t="str">
        <x:f>IF(AND(DQ$4&gt;=$C16,DQ$4&lt;=$D16,'Вводные'!$B$89="Да"),"■","")</x:f>
      </x:c>
      <x:c r="DR16" s="137" t="str">
        <x:f>IF(AND(DR$4&gt;=$C16,DR$4&lt;=$D16,'Вводные'!$B$89="Да"),"■","")</x:f>
      </x:c>
      <x:c r="DS16" s="137" t="str">
        <x:f>IF(AND(DS$4&gt;=$C16,DS$4&lt;=$D16,'Вводные'!$B$89="Да"),"■","")</x:f>
      </x:c>
      <x:c r="DT16" s="137" t="str">
        <x:f>IF(AND(DT$4&gt;=$C16,DT$4&lt;=$D16,'Вводные'!$B$89="Да"),"■","")</x:f>
      </x:c>
    </x:row>
    <x:row r="17">
      <x:c r="A17" t="str">
        <x:f>'Вводные'!$C$89</x:f>
      </x:c>
      <x:c r="B17" t="str">
        <x:v>Обязательство по ВРИ</x:v>
      </x:c>
      <x:c r="C17" s="92" t="n">
        <x:f>'ВРИ'!B20</x:f>
      </x:c>
      <x:c r="D17" s="92" t="n">
        <x:f>C17</x:f>
      </x:c>
      <x:c r="E17" s="137" t="str">
        <x:f>IF(AND(E$4&gt;=$C17,E$4&lt;=$D17,'Вводные'!$B$89="Да"),"■","")</x:f>
      </x:c>
      <x:c r="F17" s="137" t="str">
        <x:f>IF(AND(F$4&gt;=$C17,F$4&lt;=$D17,'Вводные'!$B$89="Да"),"■","")</x:f>
      </x:c>
      <x:c r="G17" s="137" t="str">
        <x:f>IF(AND(G$4&gt;=$C17,G$4&lt;=$D17,'Вводные'!$B$89="Да"),"■","")</x:f>
      </x:c>
      <x:c r="H17" s="137" t="str">
        <x:f>IF(AND(H$4&gt;=$C17,H$4&lt;=$D17,'Вводные'!$B$89="Да"),"■","")</x:f>
      </x:c>
      <x:c r="I17" s="137" t="str">
        <x:f>IF(AND(I$4&gt;=$C17,I$4&lt;=$D17,'Вводные'!$B$89="Да"),"■","")</x:f>
      </x:c>
      <x:c r="J17" s="137" t="str">
        <x:f>IF(AND(J$4&gt;=$C17,J$4&lt;=$D17,'Вводные'!$B$89="Да"),"■","")</x:f>
      </x:c>
      <x:c r="K17" s="137" t="str">
        <x:f>IF(AND(K$4&gt;=$C17,K$4&lt;=$D17,'Вводные'!$B$89="Да"),"■","")</x:f>
      </x:c>
      <x:c r="L17" s="137" t="str">
        <x:f>IF(AND(L$4&gt;=$C17,L$4&lt;=$D17,'Вводные'!$B$89="Да"),"■","")</x:f>
      </x:c>
      <x:c r="M17" s="137" t="str">
        <x:f>IF(AND(M$4&gt;=$C17,M$4&lt;=$D17,'Вводные'!$B$89="Да"),"■","")</x:f>
      </x:c>
      <x:c r="N17" s="137" t="str">
        <x:f>IF(AND(N$4&gt;=$C17,N$4&lt;=$D17,'Вводные'!$B$89="Да"),"■","")</x:f>
      </x:c>
      <x:c r="O17" s="137" t="str">
        <x:f>IF(AND(O$4&gt;=$C17,O$4&lt;=$D17,'Вводные'!$B$89="Да"),"■","")</x:f>
      </x:c>
      <x:c r="P17" s="137" t="str">
        <x:f>IF(AND(P$4&gt;=$C17,P$4&lt;=$D17,'Вводные'!$B$89="Да"),"■","")</x:f>
      </x:c>
      <x:c r="Q17" s="137" t="str">
        <x:f>IF(AND(Q$4&gt;=$C17,Q$4&lt;=$D17,'Вводные'!$B$89="Да"),"■","")</x:f>
      </x:c>
      <x:c r="R17" s="137" t="str">
        <x:f>IF(AND(R$4&gt;=$C17,R$4&lt;=$D17,'Вводные'!$B$89="Да"),"■","")</x:f>
      </x:c>
      <x:c r="S17" s="137" t="str">
        <x:f>IF(AND(S$4&gt;=$C17,S$4&lt;=$D17,'Вводные'!$B$89="Да"),"■","")</x:f>
      </x:c>
      <x:c r="T17" s="137" t="str">
        <x:f>IF(AND(T$4&gt;=$C17,T$4&lt;=$D17,'Вводные'!$B$89="Да"),"■","")</x:f>
      </x:c>
      <x:c r="U17" s="137" t="str">
        <x:f>IF(AND(U$4&gt;=$C17,U$4&lt;=$D17,'Вводные'!$B$89="Да"),"■","")</x:f>
      </x:c>
      <x:c r="V17" s="137" t="str">
        <x:f>IF(AND(V$4&gt;=$C17,V$4&lt;=$D17,'Вводные'!$B$89="Да"),"■","")</x:f>
      </x:c>
      <x:c r="W17" s="137" t="str">
        <x:f>IF(AND(W$4&gt;=$C17,W$4&lt;=$D17,'Вводные'!$B$89="Да"),"■","")</x:f>
      </x:c>
      <x:c r="X17" s="137" t="str">
        <x:f>IF(AND(X$4&gt;=$C17,X$4&lt;=$D17,'Вводные'!$B$89="Да"),"■","")</x:f>
      </x:c>
      <x:c r="Y17" s="137" t="str">
        <x:f>IF(AND(Y$4&gt;=$C17,Y$4&lt;=$D17,'Вводные'!$B$89="Да"),"■","")</x:f>
      </x:c>
      <x:c r="Z17" s="137" t="str">
        <x:f>IF(AND(Z$4&gt;=$C17,Z$4&lt;=$D17,'Вводные'!$B$89="Да"),"■","")</x:f>
      </x:c>
      <x:c r="AA17" s="137" t="str">
        <x:f>IF(AND(AA$4&gt;=$C17,AA$4&lt;=$D17,'Вводные'!$B$89="Да"),"■","")</x:f>
      </x:c>
      <x:c r="AB17" s="137" t="str">
        <x:f>IF(AND(AB$4&gt;=$C17,AB$4&lt;=$D17,'Вводные'!$B$89="Да"),"■","")</x:f>
      </x:c>
      <x:c r="AC17" s="137" t="str">
        <x:f>IF(AND(AC$4&gt;=$C17,AC$4&lt;=$D17,'Вводные'!$B$89="Да"),"■","")</x:f>
      </x:c>
      <x:c r="AD17" s="137" t="str">
        <x:f>IF(AND(AD$4&gt;=$C17,AD$4&lt;=$D17,'Вводные'!$B$89="Да"),"■","")</x:f>
      </x:c>
      <x:c r="AE17" s="137" t="str">
        <x:f>IF(AND(AE$4&gt;=$C17,AE$4&lt;=$D17,'Вводные'!$B$89="Да"),"■","")</x:f>
      </x:c>
      <x:c r="AF17" s="137" t="str">
        <x:f>IF(AND(AF$4&gt;=$C17,AF$4&lt;=$D17,'Вводные'!$B$89="Да"),"■","")</x:f>
      </x:c>
      <x:c r="AG17" s="137" t="str">
        <x:f>IF(AND(AG$4&gt;=$C17,AG$4&lt;=$D17,'Вводные'!$B$89="Да"),"■","")</x:f>
      </x:c>
      <x:c r="AH17" s="137" t="str">
        <x:f>IF(AND(AH$4&gt;=$C17,AH$4&lt;=$D17,'Вводные'!$B$89="Да"),"■","")</x:f>
      </x:c>
      <x:c r="AI17" s="137" t="str">
        <x:f>IF(AND(AI$4&gt;=$C17,AI$4&lt;=$D17,'Вводные'!$B$89="Да"),"■","")</x:f>
      </x:c>
      <x:c r="AJ17" s="137" t="str">
        <x:f>IF(AND(AJ$4&gt;=$C17,AJ$4&lt;=$D17,'Вводные'!$B$89="Да"),"■","")</x:f>
      </x:c>
      <x:c r="AK17" s="137" t="str">
        <x:f>IF(AND(AK$4&gt;=$C17,AK$4&lt;=$D17,'Вводные'!$B$89="Да"),"■","")</x:f>
      </x:c>
      <x:c r="AL17" s="137" t="str">
        <x:f>IF(AND(AL$4&gt;=$C17,AL$4&lt;=$D17,'Вводные'!$B$89="Да"),"■","")</x:f>
      </x:c>
      <x:c r="AM17" s="137" t="str">
        <x:f>IF(AND(AM$4&gt;=$C17,AM$4&lt;=$D17,'Вводные'!$B$89="Да"),"■","")</x:f>
      </x:c>
      <x:c r="AN17" s="137" t="str">
        <x:f>IF(AND(AN$4&gt;=$C17,AN$4&lt;=$D17,'Вводные'!$B$89="Да"),"■","")</x:f>
      </x:c>
      <x:c r="AO17" s="137" t="str">
        <x:f>IF(AND(AO$4&gt;=$C17,AO$4&lt;=$D17,'Вводные'!$B$89="Да"),"■","")</x:f>
      </x:c>
      <x:c r="AP17" s="137" t="str">
        <x:f>IF(AND(AP$4&gt;=$C17,AP$4&lt;=$D17,'Вводные'!$B$89="Да"),"■","")</x:f>
      </x:c>
      <x:c r="AQ17" s="137" t="str">
        <x:f>IF(AND(AQ$4&gt;=$C17,AQ$4&lt;=$D17,'Вводные'!$B$89="Да"),"■","")</x:f>
      </x:c>
      <x:c r="AR17" s="137" t="str">
        <x:f>IF(AND(AR$4&gt;=$C17,AR$4&lt;=$D17,'Вводные'!$B$89="Да"),"■","")</x:f>
      </x:c>
      <x:c r="AS17" s="137" t="str">
        <x:f>IF(AND(AS$4&gt;=$C17,AS$4&lt;=$D17,'Вводные'!$B$89="Да"),"■","")</x:f>
      </x:c>
      <x:c r="AT17" s="137" t="str">
        <x:f>IF(AND(AT$4&gt;=$C17,AT$4&lt;=$D17,'Вводные'!$B$89="Да"),"■","")</x:f>
      </x:c>
      <x:c r="AU17" s="137" t="str">
        <x:f>IF(AND(AU$4&gt;=$C17,AU$4&lt;=$D17,'Вводные'!$B$89="Да"),"■","")</x:f>
      </x:c>
      <x:c r="AV17" s="137" t="str">
        <x:f>IF(AND(AV$4&gt;=$C17,AV$4&lt;=$D17,'Вводные'!$B$89="Да"),"■","")</x:f>
      </x:c>
      <x:c r="AW17" s="137" t="str">
        <x:f>IF(AND(AW$4&gt;=$C17,AW$4&lt;=$D17,'Вводные'!$B$89="Да"),"■","")</x:f>
      </x:c>
      <x:c r="AX17" s="137" t="str">
        <x:f>IF(AND(AX$4&gt;=$C17,AX$4&lt;=$D17,'Вводные'!$B$89="Да"),"■","")</x:f>
      </x:c>
      <x:c r="AY17" s="137" t="str">
        <x:f>IF(AND(AY$4&gt;=$C17,AY$4&lt;=$D17,'Вводные'!$B$89="Да"),"■","")</x:f>
      </x:c>
      <x:c r="AZ17" s="137" t="str">
        <x:f>IF(AND(AZ$4&gt;=$C17,AZ$4&lt;=$D17,'Вводные'!$B$89="Да"),"■","")</x:f>
      </x:c>
      <x:c r="BA17" s="137" t="str">
        <x:f>IF(AND(BA$4&gt;=$C17,BA$4&lt;=$D17,'Вводные'!$B$89="Да"),"■","")</x:f>
      </x:c>
      <x:c r="BB17" s="137" t="str">
        <x:f>IF(AND(BB$4&gt;=$C17,BB$4&lt;=$D17,'Вводные'!$B$89="Да"),"■","")</x:f>
      </x:c>
      <x:c r="BC17" s="137" t="str">
        <x:f>IF(AND(BC$4&gt;=$C17,BC$4&lt;=$D17,'Вводные'!$B$89="Да"),"■","")</x:f>
      </x:c>
      <x:c r="BD17" s="137" t="str">
        <x:f>IF(AND(BD$4&gt;=$C17,BD$4&lt;=$D17,'Вводные'!$B$89="Да"),"■","")</x:f>
      </x:c>
      <x:c r="BE17" s="137" t="str">
        <x:f>IF(AND(BE$4&gt;=$C17,BE$4&lt;=$D17,'Вводные'!$B$89="Да"),"■","")</x:f>
      </x:c>
      <x:c r="BF17" s="137" t="str">
        <x:f>IF(AND(BF$4&gt;=$C17,BF$4&lt;=$D17,'Вводные'!$B$89="Да"),"■","")</x:f>
      </x:c>
      <x:c r="BG17" s="137" t="str">
        <x:f>IF(AND(BG$4&gt;=$C17,BG$4&lt;=$D17,'Вводные'!$B$89="Да"),"■","")</x:f>
      </x:c>
      <x:c r="BH17" s="137" t="str">
        <x:f>IF(AND(BH$4&gt;=$C17,BH$4&lt;=$D17,'Вводные'!$B$89="Да"),"■","")</x:f>
      </x:c>
      <x:c r="BI17" s="137" t="str">
        <x:f>IF(AND(BI$4&gt;=$C17,BI$4&lt;=$D17,'Вводные'!$B$89="Да"),"■","")</x:f>
      </x:c>
      <x:c r="BJ17" s="137" t="str">
        <x:f>IF(AND(BJ$4&gt;=$C17,BJ$4&lt;=$D17,'Вводные'!$B$89="Да"),"■","")</x:f>
      </x:c>
      <x:c r="BK17" s="137" t="str">
        <x:f>IF(AND(BK$4&gt;=$C17,BK$4&lt;=$D17,'Вводные'!$B$89="Да"),"■","")</x:f>
      </x:c>
      <x:c r="BL17" s="137" t="str">
        <x:f>IF(AND(BL$4&gt;=$C17,BL$4&lt;=$D17,'Вводные'!$B$89="Да"),"■","")</x:f>
      </x:c>
      <x:c r="BM17" s="137" t="str">
        <x:f>IF(AND(BM$4&gt;=$C17,BM$4&lt;=$D17,'Вводные'!$B$89="Да"),"■","")</x:f>
      </x:c>
      <x:c r="BN17" s="137" t="str">
        <x:f>IF(AND(BN$4&gt;=$C17,BN$4&lt;=$D17,'Вводные'!$B$89="Да"),"■","")</x:f>
      </x:c>
      <x:c r="BO17" s="137" t="str">
        <x:f>IF(AND(BO$4&gt;=$C17,BO$4&lt;=$D17,'Вводные'!$B$89="Да"),"■","")</x:f>
      </x:c>
      <x:c r="BP17" s="137" t="str">
        <x:f>IF(AND(BP$4&gt;=$C17,BP$4&lt;=$D17,'Вводные'!$B$89="Да"),"■","")</x:f>
      </x:c>
      <x:c r="BQ17" s="137" t="str">
        <x:f>IF(AND(BQ$4&gt;=$C17,BQ$4&lt;=$D17,'Вводные'!$B$89="Да"),"■","")</x:f>
      </x:c>
      <x:c r="BR17" s="137" t="str">
        <x:f>IF(AND(BR$4&gt;=$C17,BR$4&lt;=$D17,'Вводные'!$B$89="Да"),"■","")</x:f>
      </x:c>
      <x:c r="BS17" s="137" t="str">
        <x:f>IF(AND(BS$4&gt;=$C17,BS$4&lt;=$D17,'Вводные'!$B$89="Да"),"■","")</x:f>
      </x:c>
      <x:c r="BT17" s="137" t="str">
        <x:f>IF(AND(BT$4&gt;=$C17,BT$4&lt;=$D17,'Вводные'!$B$89="Да"),"■","")</x:f>
      </x:c>
      <x:c r="BU17" s="137" t="str">
        <x:f>IF(AND(BU$4&gt;=$C17,BU$4&lt;=$D17,'Вводные'!$B$89="Да"),"■","")</x:f>
      </x:c>
      <x:c r="BV17" s="137" t="str">
        <x:f>IF(AND(BV$4&gt;=$C17,BV$4&lt;=$D17,'Вводные'!$B$89="Да"),"■","")</x:f>
      </x:c>
      <x:c r="BW17" s="137" t="str">
        <x:f>IF(AND(BW$4&gt;=$C17,BW$4&lt;=$D17,'Вводные'!$B$89="Да"),"■","")</x:f>
      </x:c>
      <x:c r="BX17" s="137" t="str">
        <x:f>IF(AND(BX$4&gt;=$C17,BX$4&lt;=$D17,'Вводные'!$B$89="Да"),"■","")</x:f>
      </x:c>
      <x:c r="BY17" s="137" t="str">
        <x:f>IF(AND(BY$4&gt;=$C17,BY$4&lt;=$D17,'Вводные'!$B$89="Да"),"■","")</x:f>
      </x:c>
      <x:c r="BZ17" s="137" t="str">
        <x:f>IF(AND(BZ$4&gt;=$C17,BZ$4&lt;=$D17,'Вводные'!$B$89="Да"),"■","")</x:f>
      </x:c>
      <x:c r="CA17" s="137" t="str">
        <x:f>IF(AND(CA$4&gt;=$C17,CA$4&lt;=$D17,'Вводные'!$B$89="Да"),"■","")</x:f>
      </x:c>
      <x:c r="CB17" s="137" t="str">
        <x:f>IF(AND(CB$4&gt;=$C17,CB$4&lt;=$D17,'Вводные'!$B$89="Да"),"■","")</x:f>
      </x:c>
      <x:c r="CC17" s="137" t="str">
        <x:f>IF(AND(CC$4&gt;=$C17,CC$4&lt;=$D17,'Вводные'!$B$89="Да"),"■","")</x:f>
      </x:c>
      <x:c r="CD17" s="137" t="str">
        <x:f>IF(AND(CD$4&gt;=$C17,CD$4&lt;=$D17,'Вводные'!$B$89="Да"),"■","")</x:f>
      </x:c>
      <x:c r="CE17" s="137" t="str">
        <x:f>IF(AND(CE$4&gt;=$C17,CE$4&lt;=$D17,'Вводные'!$B$89="Да"),"■","")</x:f>
      </x:c>
      <x:c r="CF17" s="137" t="str">
        <x:f>IF(AND(CF$4&gt;=$C17,CF$4&lt;=$D17,'Вводные'!$B$89="Да"),"■","")</x:f>
      </x:c>
      <x:c r="CG17" s="137" t="str">
        <x:f>IF(AND(CG$4&gt;=$C17,CG$4&lt;=$D17,'Вводные'!$B$89="Да"),"■","")</x:f>
      </x:c>
      <x:c r="CH17" s="137" t="str">
        <x:f>IF(AND(CH$4&gt;=$C17,CH$4&lt;=$D17,'Вводные'!$B$89="Да"),"■","")</x:f>
      </x:c>
      <x:c r="CI17" s="137" t="str">
        <x:f>IF(AND(CI$4&gt;=$C17,CI$4&lt;=$D17,'Вводные'!$B$89="Да"),"■","")</x:f>
      </x:c>
      <x:c r="CJ17" s="137" t="str">
        <x:f>IF(AND(CJ$4&gt;=$C17,CJ$4&lt;=$D17,'Вводные'!$B$89="Да"),"■","")</x:f>
      </x:c>
      <x:c r="CK17" s="137" t="str">
        <x:f>IF(AND(CK$4&gt;=$C17,CK$4&lt;=$D17,'Вводные'!$B$89="Да"),"■","")</x:f>
      </x:c>
      <x:c r="CL17" s="137" t="str">
        <x:f>IF(AND(CL$4&gt;=$C17,CL$4&lt;=$D17,'Вводные'!$B$89="Да"),"■","")</x:f>
      </x:c>
      <x:c r="CM17" s="137" t="str">
        <x:f>IF(AND(CM$4&gt;=$C17,CM$4&lt;=$D17,'Вводные'!$B$89="Да"),"■","")</x:f>
      </x:c>
      <x:c r="CN17" s="137" t="str">
        <x:f>IF(AND(CN$4&gt;=$C17,CN$4&lt;=$D17,'Вводные'!$B$89="Да"),"■","")</x:f>
      </x:c>
      <x:c r="CO17" s="137" t="str">
        <x:f>IF(AND(CO$4&gt;=$C17,CO$4&lt;=$D17,'Вводные'!$B$89="Да"),"■","")</x:f>
      </x:c>
      <x:c r="CP17" s="137" t="str">
        <x:f>IF(AND(CP$4&gt;=$C17,CP$4&lt;=$D17,'Вводные'!$B$89="Да"),"■","")</x:f>
      </x:c>
      <x:c r="CQ17" s="137" t="str">
        <x:f>IF(AND(CQ$4&gt;=$C17,CQ$4&lt;=$D17,'Вводные'!$B$89="Да"),"■","")</x:f>
      </x:c>
      <x:c r="CR17" s="137" t="str">
        <x:f>IF(AND(CR$4&gt;=$C17,CR$4&lt;=$D17,'Вводные'!$B$89="Да"),"■","")</x:f>
      </x:c>
      <x:c r="CS17" s="137" t="str">
        <x:f>IF(AND(CS$4&gt;=$C17,CS$4&lt;=$D17,'Вводные'!$B$89="Да"),"■","")</x:f>
      </x:c>
      <x:c r="CT17" s="137" t="str">
        <x:f>IF(AND(CT$4&gt;=$C17,CT$4&lt;=$D17,'Вводные'!$B$89="Да"),"■","")</x:f>
      </x:c>
      <x:c r="CU17" s="137" t="str">
        <x:f>IF(AND(CU$4&gt;=$C17,CU$4&lt;=$D17,'Вводные'!$B$89="Да"),"■","")</x:f>
      </x:c>
      <x:c r="CV17" s="137" t="str">
        <x:f>IF(AND(CV$4&gt;=$C17,CV$4&lt;=$D17,'Вводные'!$B$89="Да"),"■","")</x:f>
      </x:c>
      <x:c r="CW17" s="137" t="str">
        <x:f>IF(AND(CW$4&gt;=$C17,CW$4&lt;=$D17,'Вводные'!$B$89="Да"),"■","")</x:f>
      </x:c>
      <x:c r="CX17" s="137" t="str">
        <x:f>IF(AND(CX$4&gt;=$C17,CX$4&lt;=$D17,'Вводные'!$B$89="Да"),"■","")</x:f>
      </x:c>
      <x:c r="CY17" s="137" t="str">
        <x:f>IF(AND(CY$4&gt;=$C17,CY$4&lt;=$D17,'Вводные'!$B$89="Да"),"■","")</x:f>
      </x:c>
      <x:c r="CZ17" s="137" t="str">
        <x:f>IF(AND(CZ$4&gt;=$C17,CZ$4&lt;=$D17,'Вводные'!$B$89="Да"),"■","")</x:f>
      </x:c>
      <x:c r="DA17" s="137" t="str">
        <x:f>IF(AND(DA$4&gt;=$C17,DA$4&lt;=$D17,'Вводные'!$B$89="Да"),"■","")</x:f>
      </x:c>
      <x:c r="DB17" s="137" t="str">
        <x:f>IF(AND(DB$4&gt;=$C17,DB$4&lt;=$D17,'Вводные'!$B$89="Да"),"■","")</x:f>
      </x:c>
      <x:c r="DC17" s="137" t="str">
        <x:f>IF(AND(DC$4&gt;=$C17,DC$4&lt;=$D17,'Вводные'!$B$89="Да"),"■","")</x:f>
      </x:c>
      <x:c r="DD17" s="137" t="str">
        <x:f>IF(AND(DD$4&gt;=$C17,DD$4&lt;=$D17,'Вводные'!$B$89="Да"),"■","")</x:f>
      </x:c>
      <x:c r="DE17" s="137" t="str">
        <x:f>IF(AND(DE$4&gt;=$C17,DE$4&lt;=$D17,'Вводные'!$B$89="Да"),"■","")</x:f>
      </x:c>
      <x:c r="DF17" s="137" t="str">
        <x:f>IF(AND(DF$4&gt;=$C17,DF$4&lt;=$D17,'Вводные'!$B$89="Да"),"■","")</x:f>
      </x:c>
      <x:c r="DG17" s="137" t="str">
        <x:f>IF(AND(DG$4&gt;=$C17,DG$4&lt;=$D17,'Вводные'!$B$89="Да"),"■","")</x:f>
      </x:c>
      <x:c r="DH17" s="137" t="str">
        <x:f>IF(AND(DH$4&gt;=$C17,DH$4&lt;=$D17,'Вводные'!$B$89="Да"),"■","")</x:f>
      </x:c>
      <x:c r="DI17" s="137" t="str">
        <x:f>IF(AND(DI$4&gt;=$C17,DI$4&lt;=$D17,'Вводные'!$B$89="Да"),"■","")</x:f>
      </x:c>
      <x:c r="DJ17" s="137" t="str">
        <x:f>IF(AND(DJ$4&gt;=$C17,DJ$4&lt;=$D17,'Вводные'!$B$89="Да"),"■","")</x:f>
      </x:c>
      <x:c r="DK17" s="137" t="str">
        <x:f>IF(AND(DK$4&gt;=$C17,DK$4&lt;=$D17,'Вводные'!$B$89="Да"),"■","")</x:f>
      </x:c>
      <x:c r="DL17" s="137" t="str">
        <x:f>IF(AND(DL$4&gt;=$C17,DL$4&lt;=$D17,'Вводные'!$B$89="Да"),"■","")</x:f>
      </x:c>
      <x:c r="DM17" s="137" t="str">
        <x:f>IF(AND(DM$4&gt;=$C17,DM$4&lt;=$D17,'Вводные'!$B$89="Да"),"■","")</x:f>
      </x:c>
      <x:c r="DN17" s="137" t="str">
        <x:f>IF(AND(DN$4&gt;=$C17,DN$4&lt;=$D17,'Вводные'!$B$89="Да"),"■","")</x:f>
      </x:c>
      <x:c r="DO17" s="137" t="str">
        <x:f>IF(AND(DO$4&gt;=$C17,DO$4&lt;=$D17,'Вводные'!$B$89="Да"),"■","")</x:f>
      </x:c>
      <x:c r="DP17" s="137" t="str">
        <x:f>IF(AND(DP$4&gt;=$C17,DP$4&lt;=$D17,'Вводные'!$B$89="Да"),"■","")</x:f>
      </x:c>
      <x:c r="DQ17" s="137" t="str">
        <x:f>IF(AND(DQ$4&gt;=$C17,DQ$4&lt;=$D17,'Вводные'!$B$89="Да"),"■","")</x:f>
      </x:c>
      <x:c r="DR17" s="137" t="str">
        <x:f>IF(AND(DR$4&gt;=$C17,DR$4&lt;=$D17,'Вводные'!$B$89="Да"),"■","")</x:f>
      </x:c>
      <x:c r="DS17" s="137" t="str">
        <x:f>IF(AND(DS$4&gt;=$C17,DS$4&lt;=$D17,'Вводные'!$B$89="Да"),"■","")</x:f>
      </x:c>
      <x:c r="DT17" s="137" t="str">
        <x:f>IF(AND(DT$4&gt;=$C17,DT$4&lt;=$D17,'Вводные'!$B$89="Да"),"■","")</x:f>
      </x:c>
    </x:row>
    <x:row r="18">
      <x:c r="A18" t="str">
        <x:f>'Вводные'!$C$89</x:f>
      </x:c>
      <x:c r="B18" t="str">
        <x:v>РнС / открытие ПФ</x:v>
      </x:c>
      <x:c r="C18" s="92" t="n">
        <x:f>'CF_2'!B7</x:f>
      </x:c>
      <x:c r="D18" s="92" t="n">
        <x:f>C18</x:f>
      </x:c>
      <x:c r="E18" s="135" t="str">
        <x:f>IF(AND(E$4&gt;=$C18,E$4&lt;=$D18,'Вводные'!$B$89="Да"),"■","")</x:f>
      </x:c>
      <x:c r="F18" s="135" t="str">
        <x:f>IF(AND(F$4&gt;=$C18,F$4&lt;=$D18,'Вводные'!$B$89="Да"),"■","")</x:f>
      </x:c>
      <x:c r="G18" s="135" t="str">
        <x:f>IF(AND(G$4&gt;=$C18,G$4&lt;=$D18,'Вводные'!$B$89="Да"),"■","")</x:f>
      </x:c>
      <x:c r="H18" s="135" t="str">
        <x:f>IF(AND(H$4&gt;=$C18,H$4&lt;=$D18,'Вводные'!$B$89="Да"),"■","")</x:f>
      </x:c>
      <x:c r="I18" s="135" t="str">
        <x:f>IF(AND(I$4&gt;=$C18,I$4&lt;=$D18,'Вводные'!$B$89="Да"),"■","")</x:f>
      </x:c>
      <x:c r="J18" s="135" t="str">
        <x:f>IF(AND(J$4&gt;=$C18,J$4&lt;=$D18,'Вводные'!$B$89="Да"),"■","")</x:f>
      </x:c>
      <x:c r="K18" s="135" t="str">
        <x:f>IF(AND(K$4&gt;=$C18,K$4&lt;=$D18,'Вводные'!$B$89="Да"),"■","")</x:f>
      </x:c>
      <x:c r="L18" s="135" t="str">
        <x:f>IF(AND(L$4&gt;=$C18,L$4&lt;=$D18,'Вводные'!$B$89="Да"),"■","")</x:f>
      </x:c>
      <x:c r="M18" s="135" t="str">
        <x:f>IF(AND(M$4&gt;=$C18,M$4&lt;=$D18,'Вводные'!$B$89="Да"),"■","")</x:f>
      </x:c>
      <x:c r="N18" s="135" t="str">
        <x:f>IF(AND(N$4&gt;=$C18,N$4&lt;=$D18,'Вводные'!$B$89="Да"),"■","")</x:f>
      </x:c>
      <x:c r="O18" s="135" t="str">
        <x:f>IF(AND(O$4&gt;=$C18,O$4&lt;=$D18,'Вводные'!$B$89="Да"),"■","")</x:f>
      </x:c>
      <x:c r="P18" s="135" t="str">
        <x:f>IF(AND(P$4&gt;=$C18,P$4&lt;=$D18,'Вводные'!$B$89="Да"),"■","")</x:f>
      </x:c>
      <x:c r="Q18" s="135" t="str">
        <x:f>IF(AND(Q$4&gt;=$C18,Q$4&lt;=$D18,'Вводные'!$B$89="Да"),"■","")</x:f>
      </x:c>
      <x:c r="R18" s="135" t="str">
        <x:f>IF(AND(R$4&gt;=$C18,R$4&lt;=$D18,'Вводные'!$B$89="Да"),"■","")</x:f>
      </x:c>
      <x:c r="S18" s="135" t="str">
        <x:f>IF(AND(S$4&gt;=$C18,S$4&lt;=$D18,'Вводные'!$B$89="Да"),"■","")</x:f>
      </x:c>
      <x:c r="T18" s="135" t="str">
        <x:f>IF(AND(T$4&gt;=$C18,T$4&lt;=$D18,'Вводные'!$B$89="Да"),"■","")</x:f>
      </x:c>
      <x:c r="U18" s="135" t="str">
        <x:f>IF(AND(U$4&gt;=$C18,U$4&lt;=$D18,'Вводные'!$B$89="Да"),"■","")</x:f>
      </x:c>
      <x:c r="V18" s="135" t="str">
        <x:f>IF(AND(V$4&gt;=$C18,V$4&lt;=$D18,'Вводные'!$B$89="Да"),"■","")</x:f>
      </x:c>
      <x:c r="W18" s="135" t="str">
        <x:f>IF(AND(W$4&gt;=$C18,W$4&lt;=$D18,'Вводные'!$B$89="Да"),"■","")</x:f>
      </x:c>
      <x:c r="X18" s="135" t="str">
        <x:f>IF(AND(X$4&gt;=$C18,X$4&lt;=$D18,'Вводные'!$B$89="Да"),"■","")</x:f>
      </x:c>
      <x:c r="Y18" s="135" t="str">
        <x:f>IF(AND(Y$4&gt;=$C18,Y$4&lt;=$D18,'Вводные'!$B$89="Да"),"■","")</x:f>
      </x:c>
      <x:c r="Z18" s="135" t="str">
        <x:f>IF(AND(Z$4&gt;=$C18,Z$4&lt;=$D18,'Вводные'!$B$89="Да"),"■","")</x:f>
      </x:c>
      <x:c r="AA18" s="135" t="str">
        <x:f>IF(AND(AA$4&gt;=$C18,AA$4&lt;=$D18,'Вводные'!$B$89="Да"),"■","")</x:f>
      </x:c>
      <x:c r="AB18" s="135" t="str">
        <x:f>IF(AND(AB$4&gt;=$C18,AB$4&lt;=$D18,'Вводные'!$B$89="Да"),"■","")</x:f>
      </x:c>
      <x:c r="AC18" s="135" t="str">
        <x:f>IF(AND(AC$4&gt;=$C18,AC$4&lt;=$D18,'Вводные'!$B$89="Да"),"■","")</x:f>
      </x:c>
      <x:c r="AD18" s="135" t="str">
        <x:f>IF(AND(AD$4&gt;=$C18,AD$4&lt;=$D18,'Вводные'!$B$89="Да"),"■","")</x:f>
      </x:c>
      <x:c r="AE18" s="135" t="str">
        <x:f>IF(AND(AE$4&gt;=$C18,AE$4&lt;=$D18,'Вводные'!$B$89="Да"),"■","")</x:f>
      </x:c>
      <x:c r="AF18" s="135" t="str">
        <x:f>IF(AND(AF$4&gt;=$C18,AF$4&lt;=$D18,'Вводные'!$B$89="Да"),"■","")</x:f>
      </x:c>
      <x:c r="AG18" s="135" t="str">
        <x:f>IF(AND(AG$4&gt;=$C18,AG$4&lt;=$D18,'Вводные'!$B$89="Да"),"■","")</x:f>
      </x:c>
      <x:c r="AH18" s="135" t="str">
        <x:f>IF(AND(AH$4&gt;=$C18,AH$4&lt;=$D18,'Вводные'!$B$89="Да"),"■","")</x:f>
      </x:c>
      <x:c r="AI18" s="135" t="str">
        <x:f>IF(AND(AI$4&gt;=$C18,AI$4&lt;=$D18,'Вводные'!$B$89="Да"),"■","")</x:f>
      </x:c>
      <x:c r="AJ18" s="135" t="str">
        <x:f>IF(AND(AJ$4&gt;=$C18,AJ$4&lt;=$D18,'Вводные'!$B$89="Да"),"■","")</x:f>
      </x:c>
      <x:c r="AK18" s="135" t="str">
        <x:f>IF(AND(AK$4&gt;=$C18,AK$4&lt;=$D18,'Вводные'!$B$89="Да"),"■","")</x:f>
      </x:c>
      <x:c r="AL18" s="135" t="str">
        <x:f>IF(AND(AL$4&gt;=$C18,AL$4&lt;=$D18,'Вводные'!$B$89="Да"),"■","")</x:f>
      </x:c>
      <x:c r="AM18" s="135" t="str">
        <x:f>IF(AND(AM$4&gt;=$C18,AM$4&lt;=$D18,'Вводные'!$B$89="Да"),"■","")</x:f>
      </x:c>
      <x:c r="AN18" s="135" t="str">
        <x:f>IF(AND(AN$4&gt;=$C18,AN$4&lt;=$D18,'Вводные'!$B$89="Да"),"■","")</x:f>
      </x:c>
      <x:c r="AO18" s="135" t="str">
        <x:f>IF(AND(AO$4&gt;=$C18,AO$4&lt;=$D18,'Вводные'!$B$89="Да"),"■","")</x:f>
      </x:c>
      <x:c r="AP18" s="135" t="str">
        <x:f>IF(AND(AP$4&gt;=$C18,AP$4&lt;=$D18,'Вводные'!$B$89="Да"),"■","")</x:f>
      </x:c>
      <x:c r="AQ18" s="135" t="str">
        <x:f>IF(AND(AQ$4&gt;=$C18,AQ$4&lt;=$D18,'Вводные'!$B$89="Да"),"■","")</x:f>
      </x:c>
      <x:c r="AR18" s="135" t="str">
        <x:f>IF(AND(AR$4&gt;=$C18,AR$4&lt;=$D18,'Вводные'!$B$89="Да"),"■","")</x:f>
      </x:c>
      <x:c r="AS18" s="135" t="str">
        <x:f>IF(AND(AS$4&gt;=$C18,AS$4&lt;=$D18,'Вводные'!$B$89="Да"),"■","")</x:f>
      </x:c>
      <x:c r="AT18" s="135" t="str">
        <x:f>IF(AND(AT$4&gt;=$C18,AT$4&lt;=$D18,'Вводные'!$B$89="Да"),"■","")</x:f>
      </x:c>
      <x:c r="AU18" s="135" t="str">
        <x:f>IF(AND(AU$4&gt;=$C18,AU$4&lt;=$D18,'Вводные'!$B$89="Да"),"■","")</x:f>
      </x:c>
      <x:c r="AV18" s="135" t="str">
        <x:f>IF(AND(AV$4&gt;=$C18,AV$4&lt;=$D18,'Вводные'!$B$89="Да"),"■","")</x:f>
      </x:c>
      <x:c r="AW18" s="135" t="str">
        <x:f>IF(AND(AW$4&gt;=$C18,AW$4&lt;=$D18,'Вводные'!$B$89="Да"),"■","")</x:f>
      </x:c>
      <x:c r="AX18" s="135" t="str">
        <x:f>IF(AND(AX$4&gt;=$C18,AX$4&lt;=$D18,'Вводные'!$B$89="Да"),"■","")</x:f>
      </x:c>
      <x:c r="AY18" s="135" t="str">
        <x:f>IF(AND(AY$4&gt;=$C18,AY$4&lt;=$D18,'Вводные'!$B$89="Да"),"■","")</x:f>
      </x:c>
      <x:c r="AZ18" s="135" t="str">
        <x:f>IF(AND(AZ$4&gt;=$C18,AZ$4&lt;=$D18,'Вводные'!$B$89="Да"),"■","")</x:f>
      </x:c>
      <x:c r="BA18" s="135" t="str">
        <x:f>IF(AND(BA$4&gt;=$C18,BA$4&lt;=$D18,'Вводные'!$B$89="Да"),"■","")</x:f>
      </x:c>
      <x:c r="BB18" s="135" t="str">
        <x:f>IF(AND(BB$4&gt;=$C18,BB$4&lt;=$D18,'Вводные'!$B$89="Да"),"■","")</x:f>
      </x:c>
      <x:c r="BC18" s="135" t="str">
        <x:f>IF(AND(BC$4&gt;=$C18,BC$4&lt;=$D18,'Вводные'!$B$89="Да"),"■","")</x:f>
      </x:c>
      <x:c r="BD18" s="135" t="str">
        <x:f>IF(AND(BD$4&gt;=$C18,BD$4&lt;=$D18,'Вводные'!$B$89="Да"),"■","")</x:f>
      </x:c>
      <x:c r="BE18" s="135" t="str">
        <x:f>IF(AND(BE$4&gt;=$C18,BE$4&lt;=$D18,'Вводные'!$B$89="Да"),"■","")</x:f>
      </x:c>
      <x:c r="BF18" s="135" t="str">
        <x:f>IF(AND(BF$4&gt;=$C18,BF$4&lt;=$D18,'Вводные'!$B$89="Да"),"■","")</x:f>
      </x:c>
      <x:c r="BG18" s="135" t="str">
        <x:f>IF(AND(BG$4&gt;=$C18,BG$4&lt;=$D18,'Вводные'!$B$89="Да"),"■","")</x:f>
      </x:c>
      <x:c r="BH18" s="135" t="str">
        <x:f>IF(AND(BH$4&gt;=$C18,BH$4&lt;=$D18,'Вводные'!$B$89="Да"),"■","")</x:f>
      </x:c>
      <x:c r="BI18" s="135" t="str">
        <x:f>IF(AND(BI$4&gt;=$C18,BI$4&lt;=$D18,'Вводные'!$B$89="Да"),"■","")</x:f>
      </x:c>
      <x:c r="BJ18" s="135" t="str">
        <x:f>IF(AND(BJ$4&gt;=$C18,BJ$4&lt;=$D18,'Вводные'!$B$89="Да"),"■","")</x:f>
      </x:c>
      <x:c r="BK18" s="135" t="str">
        <x:f>IF(AND(BK$4&gt;=$C18,BK$4&lt;=$D18,'Вводные'!$B$89="Да"),"■","")</x:f>
      </x:c>
      <x:c r="BL18" s="135" t="str">
        <x:f>IF(AND(BL$4&gt;=$C18,BL$4&lt;=$D18,'Вводные'!$B$89="Да"),"■","")</x:f>
      </x:c>
      <x:c r="BM18" s="135" t="str">
        <x:f>IF(AND(BM$4&gt;=$C18,BM$4&lt;=$D18,'Вводные'!$B$89="Да"),"■","")</x:f>
      </x:c>
      <x:c r="BN18" s="135" t="str">
        <x:f>IF(AND(BN$4&gt;=$C18,BN$4&lt;=$D18,'Вводные'!$B$89="Да"),"■","")</x:f>
      </x:c>
      <x:c r="BO18" s="135" t="str">
        <x:f>IF(AND(BO$4&gt;=$C18,BO$4&lt;=$D18,'Вводные'!$B$89="Да"),"■","")</x:f>
      </x:c>
      <x:c r="BP18" s="135" t="str">
        <x:f>IF(AND(BP$4&gt;=$C18,BP$4&lt;=$D18,'Вводные'!$B$89="Да"),"■","")</x:f>
      </x:c>
      <x:c r="BQ18" s="135" t="str">
        <x:f>IF(AND(BQ$4&gt;=$C18,BQ$4&lt;=$D18,'Вводные'!$B$89="Да"),"■","")</x:f>
      </x:c>
      <x:c r="BR18" s="135" t="str">
        <x:f>IF(AND(BR$4&gt;=$C18,BR$4&lt;=$D18,'Вводные'!$B$89="Да"),"■","")</x:f>
      </x:c>
      <x:c r="BS18" s="135" t="str">
        <x:f>IF(AND(BS$4&gt;=$C18,BS$4&lt;=$D18,'Вводные'!$B$89="Да"),"■","")</x:f>
      </x:c>
      <x:c r="BT18" s="135" t="str">
        <x:f>IF(AND(BT$4&gt;=$C18,BT$4&lt;=$D18,'Вводные'!$B$89="Да"),"■","")</x:f>
      </x:c>
      <x:c r="BU18" s="135" t="str">
        <x:f>IF(AND(BU$4&gt;=$C18,BU$4&lt;=$D18,'Вводные'!$B$89="Да"),"■","")</x:f>
      </x:c>
      <x:c r="BV18" s="135" t="str">
        <x:f>IF(AND(BV$4&gt;=$C18,BV$4&lt;=$D18,'Вводные'!$B$89="Да"),"■","")</x:f>
      </x:c>
      <x:c r="BW18" s="135" t="str">
        <x:f>IF(AND(BW$4&gt;=$C18,BW$4&lt;=$D18,'Вводные'!$B$89="Да"),"■","")</x:f>
      </x:c>
      <x:c r="BX18" s="135" t="str">
        <x:f>IF(AND(BX$4&gt;=$C18,BX$4&lt;=$D18,'Вводные'!$B$89="Да"),"■","")</x:f>
      </x:c>
      <x:c r="BY18" s="135" t="str">
        <x:f>IF(AND(BY$4&gt;=$C18,BY$4&lt;=$D18,'Вводные'!$B$89="Да"),"■","")</x:f>
      </x:c>
      <x:c r="BZ18" s="135" t="str">
        <x:f>IF(AND(BZ$4&gt;=$C18,BZ$4&lt;=$D18,'Вводные'!$B$89="Да"),"■","")</x:f>
      </x:c>
      <x:c r="CA18" s="135" t="str">
        <x:f>IF(AND(CA$4&gt;=$C18,CA$4&lt;=$D18,'Вводные'!$B$89="Да"),"■","")</x:f>
      </x:c>
      <x:c r="CB18" s="135" t="str">
        <x:f>IF(AND(CB$4&gt;=$C18,CB$4&lt;=$D18,'Вводные'!$B$89="Да"),"■","")</x:f>
      </x:c>
      <x:c r="CC18" s="135" t="str">
        <x:f>IF(AND(CC$4&gt;=$C18,CC$4&lt;=$D18,'Вводные'!$B$89="Да"),"■","")</x:f>
      </x:c>
      <x:c r="CD18" s="135" t="str">
        <x:f>IF(AND(CD$4&gt;=$C18,CD$4&lt;=$D18,'Вводные'!$B$89="Да"),"■","")</x:f>
      </x:c>
      <x:c r="CE18" s="135" t="str">
        <x:f>IF(AND(CE$4&gt;=$C18,CE$4&lt;=$D18,'Вводные'!$B$89="Да"),"■","")</x:f>
      </x:c>
      <x:c r="CF18" s="135" t="str">
        <x:f>IF(AND(CF$4&gt;=$C18,CF$4&lt;=$D18,'Вводные'!$B$89="Да"),"■","")</x:f>
      </x:c>
      <x:c r="CG18" s="135" t="str">
        <x:f>IF(AND(CG$4&gt;=$C18,CG$4&lt;=$D18,'Вводные'!$B$89="Да"),"■","")</x:f>
      </x:c>
      <x:c r="CH18" s="135" t="str">
        <x:f>IF(AND(CH$4&gt;=$C18,CH$4&lt;=$D18,'Вводные'!$B$89="Да"),"■","")</x:f>
      </x:c>
      <x:c r="CI18" s="135" t="str">
        <x:f>IF(AND(CI$4&gt;=$C18,CI$4&lt;=$D18,'Вводные'!$B$89="Да"),"■","")</x:f>
      </x:c>
      <x:c r="CJ18" s="135" t="str">
        <x:f>IF(AND(CJ$4&gt;=$C18,CJ$4&lt;=$D18,'Вводные'!$B$89="Да"),"■","")</x:f>
      </x:c>
      <x:c r="CK18" s="135" t="str">
        <x:f>IF(AND(CK$4&gt;=$C18,CK$4&lt;=$D18,'Вводные'!$B$89="Да"),"■","")</x:f>
      </x:c>
      <x:c r="CL18" s="135" t="str">
        <x:f>IF(AND(CL$4&gt;=$C18,CL$4&lt;=$D18,'Вводные'!$B$89="Да"),"■","")</x:f>
      </x:c>
      <x:c r="CM18" s="135" t="str">
        <x:f>IF(AND(CM$4&gt;=$C18,CM$4&lt;=$D18,'Вводные'!$B$89="Да"),"■","")</x:f>
      </x:c>
      <x:c r="CN18" s="135" t="str">
        <x:f>IF(AND(CN$4&gt;=$C18,CN$4&lt;=$D18,'Вводные'!$B$89="Да"),"■","")</x:f>
      </x:c>
      <x:c r="CO18" s="135" t="str">
        <x:f>IF(AND(CO$4&gt;=$C18,CO$4&lt;=$D18,'Вводные'!$B$89="Да"),"■","")</x:f>
      </x:c>
      <x:c r="CP18" s="135" t="str">
        <x:f>IF(AND(CP$4&gt;=$C18,CP$4&lt;=$D18,'Вводные'!$B$89="Да"),"■","")</x:f>
      </x:c>
      <x:c r="CQ18" s="135" t="str">
        <x:f>IF(AND(CQ$4&gt;=$C18,CQ$4&lt;=$D18,'Вводные'!$B$89="Да"),"■","")</x:f>
      </x:c>
      <x:c r="CR18" s="135" t="str">
        <x:f>IF(AND(CR$4&gt;=$C18,CR$4&lt;=$D18,'Вводные'!$B$89="Да"),"■","")</x:f>
      </x:c>
      <x:c r="CS18" s="135" t="str">
        <x:f>IF(AND(CS$4&gt;=$C18,CS$4&lt;=$D18,'Вводные'!$B$89="Да"),"■","")</x:f>
      </x:c>
      <x:c r="CT18" s="135" t="str">
        <x:f>IF(AND(CT$4&gt;=$C18,CT$4&lt;=$D18,'Вводные'!$B$89="Да"),"■","")</x:f>
      </x:c>
      <x:c r="CU18" s="135" t="str">
        <x:f>IF(AND(CU$4&gt;=$C18,CU$4&lt;=$D18,'Вводные'!$B$89="Да"),"■","")</x:f>
      </x:c>
      <x:c r="CV18" s="135" t="str">
        <x:f>IF(AND(CV$4&gt;=$C18,CV$4&lt;=$D18,'Вводные'!$B$89="Да"),"■","")</x:f>
      </x:c>
      <x:c r="CW18" s="135" t="str">
        <x:f>IF(AND(CW$4&gt;=$C18,CW$4&lt;=$D18,'Вводные'!$B$89="Да"),"■","")</x:f>
      </x:c>
      <x:c r="CX18" s="135" t="str">
        <x:f>IF(AND(CX$4&gt;=$C18,CX$4&lt;=$D18,'Вводные'!$B$89="Да"),"■","")</x:f>
      </x:c>
      <x:c r="CY18" s="135" t="str">
        <x:f>IF(AND(CY$4&gt;=$C18,CY$4&lt;=$D18,'Вводные'!$B$89="Да"),"■","")</x:f>
      </x:c>
      <x:c r="CZ18" s="135" t="str">
        <x:f>IF(AND(CZ$4&gt;=$C18,CZ$4&lt;=$D18,'Вводные'!$B$89="Да"),"■","")</x:f>
      </x:c>
      <x:c r="DA18" s="135" t="str">
        <x:f>IF(AND(DA$4&gt;=$C18,DA$4&lt;=$D18,'Вводные'!$B$89="Да"),"■","")</x:f>
      </x:c>
      <x:c r="DB18" s="135" t="str">
        <x:f>IF(AND(DB$4&gt;=$C18,DB$4&lt;=$D18,'Вводные'!$B$89="Да"),"■","")</x:f>
      </x:c>
      <x:c r="DC18" s="135" t="str">
        <x:f>IF(AND(DC$4&gt;=$C18,DC$4&lt;=$D18,'Вводные'!$B$89="Да"),"■","")</x:f>
      </x:c>
      <x:c r="DD18" s="135" t="str">
        <x:f>IF(AND(DD$4&gt;=$C18,DD$4&lt;=$D18,'Вводные'!$B$89="Да"),"■","")</x:f>
      </x:c>
      <x:c r="DE18" s="135" t="str">
        <x:f>IF(AND(DE$4&gt;=$C18,DE$4&lt;=$D18,'Вводные'!$B$89="Да"),"■","")</x:f>
      </x:c>
      <x:c r="DF18" s="135" t="str">
        <x:f>IF(AND(DF$4&gt;=$C18,DF$4&lt;=$D18,'Вводные'!$B$89="Да"),"■","")</x:f>
      </x:c>
      <x:c r="DG18" s="135" t="str">
        <x:f>IF(AND(DG$4&gt;=$C18,DG$4&lt;=$D18,'Вводные'!$B$89="Да"),"■","")</x:f>
      </x:c>
      <x:c r="DH18" s="135" t="str">
        <x:f>IF(AND(DH$4&gt;=$C18,DH$4&lt;=$D18,'Вводные'!$B$89="Да"),"■","")</x:f>
      </x:c>
      <x:c r="DI18" s="135" t="str">
        <x:f>IF(AND(DI$4&gt;=$C18,DI$4&lt;=$D18,'Вводные'!$B$89="Да"),"■","")</x:f>
      </x:c>
      <x:c r="DJ18" s="135" t="str">
        <x:f>IF(AND(DJ$4&gt;=$C18,DJ$4&lt;=$D18,'Вводные'!$B$89="Да"),"■","")</x:f>
      </x:c>
      <x:c r="DK18" s="135" t="str">
        <x:f>IF(AND(DK$4&gt;=$C18,DK$4&lt;=$D18,'Вводные'!$B$89="Да"),"■","")</x:f>
      </x:c>
      <x:c r="DL18" s="135" t="str">
        <x:f>IF(AND(DL$4&gt;=$C18,DL$4&lt;=$D18,'Вводные'!$B$89="Да"),"■","")</x:f>
      </x:c>
      <x:c r="DM18" s="135" t="str">
        <x:f>IF(AND(DM$4&gt;=$C18,DM$4&lt;=$D18,'Вводные'!$B$89="Да"),"■","")</x:f>
      </x:c>
      <x:c r="DN18" s="135" t="str">
        <x:f>IF(AND(DN$4&gt;=$C18,DN$4&lt;=$D18,'Вводные'!$B$89="Да"),"■","")</x:f>
      </x:c>
      <x:c r="DO18" s="135" t="str">
        <x:f>IF(AND(DO$4&gt;=$C18,DO$4&lt;=$D18,'Вводные'!$B$89="Да"),"■","")</x:f>
      </x:c>
      <x:c r="DP18" s="135" t="str">
        <x:f>IF(AND(DP$4&gt;=$C18,DP$4&lt;=$D18,'Вводные'!$B$89="Да"),"■","")</x:f>
      </x:c>
      <x:c r="DQ18" s="135" t="str">
        <x:f>IF(AND(DQ$4&gt;=$C18,DQ$4&lt;=$D18,'Вводные'!$B$89="Да"),"■","")</x:f>
      </x:c>
      <x:c r="DR18" s="135" t="str">
        <x:f>IF(AND(DR$4&gt;=$C18,DR$4&lt;=$D18,'Вводные'!$B$89="Да"),"■","")</x:f>
      </x:c>
      <x:c r="DS18" s="135" t="str">
        <x:f>IF(AND(DS$4&gt;=$C18,DS$4&lt;=$D18,'Вводные'!$B$89="Да"),"■","")</x:f>
      </x:c>
      <x:c r="DT18" s="135" t="str">
        <x:f>IF(AND(DT$4&gt;=$C18,DT$4&lt;=$D18,'Вводные'!$B$89="Да"),"■","")</x:f>
      </x:c>
    </x:row>
    <x:row r="19">
      <x:c r="A19" t="str">
        <x:f>'Вводные'!$C$89</x:f>
      </x:c>
      <x:c r="B19" t="str">
        <x:v>Продажи</x:v>
      </x:c>
      <x:c r="C19" s="92" t="n">
        <x:f>'Продажи'!B30</x:f>
      </x:c>
      <x:c r="D19" s="92" t="n">
        <x:f>EDATE('Продажи'!B30,'Вводные'!$H$89-1)</x:f>
      </x:c>
      <x:c r="E19" s="139" t="str">
        <x:f>IF(AND(E$4&gt;=$C19,E$4&lt;=$D19,'Вводные'!$B$89="Да"),"■","")</x:f>
      </x:c>
      <x:c r="F19" s="139" t="str">
        <x:f>IF(AND(F$4&gt;=$C19,F$4&lt;=$D19,'Вводные'!$B$89="Да"),"■","")</x:f>
      </x:c>
      <x:c r="G19" s="139" t="str">
        <x:f>IF(AND(G$4&gt;=$C19,G$4&lt;=$D19,'Вводные'!$B$89="Да"),"■","")</x:f>
      </x:c>
      <x:c r="H19" s="139" t="str">
        <x:f>IF(AND(H$4&gt;=$C19,H$4&lt;=$D19,'Вводные'!$B$89="Да"),"■","")</x:f>
      </x:c>
      <x:c r="I19" s="139" t="str">
        <x:f>IF(AND(I$4&gt;=$C19,I$4&lt;=$D19,'Вводные'!$B$89="Да"),"■","")</x:f>
      </x:c>
      <x:c r="J19" s="139" t="str">
        <x:f>IF(AND(J$4&gt;=$C19,J$4&lt;=$D19,'Вводные'!$B$89="Да"),"■","")</x:f>
      </x:c>
      <x:c r="K19" s="139" t="str">
        <x:f>IF(AND(K$4&gt;=$C19,K$4&lt;=$D19,'Вводные'!$B$89="Да"),"■","")</x:f>
      </x:c>
      <x:c r="L19" s="139" t="str">
        <x:f>IF(AND(L$4&gt;=$C19,L$4&lt;=$D19,'Вводные'!$B$89="Да"),"■","")</x:f>
      </x:c>
      <x:c r="M19" s="139" t="str">
        <x:f>IF(AND(M$4&gt;=$C19,M$4&lt;=$D19,'Вводные'!$B$89="Да"),"■","")</x:f>
      </x:c>
      <x:c r="N19" s="139" t="str">
        <x:f>IF(AND(N$4&gt;=$C19,N$4&lt;=$D19,'Вводные'!$B$89="Да"),"■","")</x:f>
      </x:c>
      <x:c r="O19" s="139" t="str">
        <x:f>IF(AND(O$4&gt;=$C19,O$4&lt;=$D19,'Вводные'!$B$89="Да"),"■","")</x:f>
      </x:c>
      <x:c r="P19" s="139" t="str">
        <x:f>IF(AND(P$4&gt;=$C19,P$4&lt;=$D19,'Вводные'!$B$89="Да"),"■","")</x:f>
      </x:c>
      <x:c r="Q19" s="139" t="str">
        <x:f>IF(AND(Q$4&gt;=$C19,Q$4&lt;=$D19,'Вводные'!$B$89="Да"),"■","")</x:f>
      </x:c>
      <x:c r="R19" s="139" t="str">
        <x:f>IF(AND(R$4&gt;=$C19,R$4&lt;=$D19,'Вводные'!$B$89="Да"),"■","")</x:f>
      </x:c>
      <x:c r="S19" s="139" t="str">
        <x:f>IF(AND(S$4&gt;=$C19,S$4&lt;=$D19,'Вводные'!$B$89="Да"),"■","")</x:f>
      </x:c>
      <x:c r="T19" s="139" t="str">
        <x:f>IF(AND(T$4&gt;=$C19,T$4&lt;=$D19,'Вводные'!$B$89="Да"),"■","")</x:f>
      </x:c>
      <x:c r="U19" s="139" t="str">
        <x:f>IF(AND(U$4&gt;=$C19,U$4&lt;=$D19,'Вводные'!$B$89="Да"),"■","")</x:f>
      </x:c>
      <x:c r="V19" s="139" t="str">
        <x:f>IF(AND(V$4&gt;=$C19,V$4&lt;=$D19,'Вводные'!$B$89="Да"),"■","")</x:f>
      </x:c>
      <x:c r="W19" s="139" t="str">
        <x:f>IF(AND(W$4&gt;=$C19,W$4&lt;=$D19,'Вводные'!$B$89="Да"),"■","")</x:f>
      </x:c>
      <x:c r="X19" s="139" t="str">
        <x:f>IF(AND(X$4&gt;=$C19,X$4&lt;=$D19,'Вводные'!$B$89="Да"),"■","")</x:f>
      </x:c>
      <x:c r="Y19" s="139" t="str">
        <x:f>IF(AND(Y$4&gt;=$C19,Y$4&lt;=$D19,'Вводные'!$B$89="Да"),"■","")</x:f>
      </x:c>
      <x:c r="Z19" s="139" t="str">
        <x:f>IF(AND(Z$4&gt;=$C19,Z$4&lt;=$D19,'Вводные'!$B$89="Да"),"■","")</x:f>
      </x:c>
      <x:c r="AA19" s="139" t="str">
        <x:f>IF(AND(AA$4&gt;=$C19,AA$4&lt;=$D19,'Вводные'!$B$89="Да"),"■","")</x:f>
      </x:c>
      <x:c r="AB19" s="139" t="str">
        <x:f>IF(AND(AB$4&gt;=$C19,AB$4&lt;=$D19,'Вводные'!$B$89="Да"),"■","")</x:f>
      </x:c>
      <x:c r="AC19" s="139" t="str">
        <x:f>IF(AND(AC$4&gt;=$C19,AC$4&lt;=$D19,'Вводные'!$B$89="Да"),"■","")</x:f>
      </x:c>
      <x:c r="AD19" s="139" t="str">
        <x:f>IF(AND(AD$4&gt;=$C19,AD$4&lt;=$D19,'Вводные'!$B$89="Да"),"■","")</x:f>
      </x:c>
      <x:c r="AE19" s="139" t="str">
        <x:f>IF(AND(AE$4&gt;=$C19,AE$4&lt;=$D19,'Вводные'!$B$89="Да"),"■","")</x:f>
      </x:c>
      <x:c r="AF19" s="139" t="str">
        <x:f>IF(AND(AF$4&gt;=$C19,AF$4&lt;=$D19,'Вводные'!$B$89="Да"),"■","")</x:f>
      </x:c>
      <x:c r="AG19" s="139" t="str">
        <x:f>IF(AND(AG$4&gt;=$C19,AG$4&lt;=$D19,'Вводные'!$B$89="Да"),"■","")</x:f>
      </x:c>
      <x:c r="AH19" s="139" t="str">
        <x:f>IF(AND(AH$4&gt;=$C19,AH$4&lt;=$D19,'Вводные'!$B$89="Да"),"■","")</x:f>
      </x:c>
      <x:c r="AI19" s="139" t="str">
        <x:f>IF(AND(AI$4&gt;=$C19,AI$4&lt;=$D19,'Вводные'!$B$89="Да"),"■","")</x:f>
      </x:c>
      <x:c r="AJ19" s="139" t="str">
        <x:f>IF(AND(AJ$4&gt;=$C19,AJ$4&lt;=$D19,'Вводные'!$B$89="Да"),"■","")</x:f>
      </x:c>
      <x:c r="AK19" s="139" t="str">
        <x:f>IF(AND(AK$4&gt;=$C19,AK$4&lt;=$D19,'Вводные'!$B$89="Да"),"■","")</x:f>
      </x:c>
      <x:c r="AL19" s="139" t="str">
        <x:f>IF(AND(AL$4&gt;=$C19,AL$4&lt;=$D19,'Вводные'!$B$89="Да"),"■","")</x:f>
      </x:c>
      <x:c r="AM19" s="139" t="str">
        <x:f>IF(AND(AM$4&gt;=$C19,AM$4&lt;=$D19,'Вводные'!$B$89="Да"),"■","")</x:f>
      </x:c>
      <x:c r="AN19" s="139" t="str">
        <x:f>IF(AND(AN$4&gt;=$C19,AN$4&lt;=$D19,'Вводные'!$B$89="Да"),"■","")</x:f>
      </x:c>
      <x:c r="AO19" s="139" t="str">
        <x:f>IF(AND(AO$4&gt;=$C19,AO$4&lt;=$D19,'Вводные'!$B$89="Да"),"■","")</x:f>
      </x:c>
      <x:c r="AP19" s="139" t="str">
        <x:f>IF(AND(AP$4&gt;=$C19,AP$4&lt;=$D19,'Вводные'!$B$89="Да"),"■","")</x:f>
      </x:c>
      <x:c r="AQ19" s="139" t="str">
        <x:f>IF(AND(AQ$4&gt;=$C19,AQ$4&lt;=$D19,'Вводные'!$B$89="Да"),"■","")</x:f>
      </x:c>
      <x:c r="AR19" s="139" t="str">
        <x:f>IF(AND(AR$4&gt;=$C19,AR$4&lt;=$D19,'Вводные'!$B$89="Да"),"■","")</x:f>
      </x:c>
      <x:c r="AS19" s="139" t="str">
        <x:f>IF(AND(AS$4&gt;=$C19,AS$4&lt;=$D19,'Вводные'!$B$89="Да"),"■","")</x:f>
      </x:c>
      <x:c r="AT19" s="139" t="str">
        <x:f>IF(AND(AT$4&gt;=$C19,AT$4&lt;=$D19,'Вводные'!$B$89="Да"),"■","")</x:f>
      </x:c>
      <x:c r="AU19" s="139" t="str">
        <x:f>IF(AND(AU$4&gt;=$C19,AU$4&lt;=$D19,'Вводные'!$B$89="Да"),"■","")</x:f>
      </x:c>
      <x:c r="AV19" s="139" t="str">
        <x:f>IF(AND(AV$4&gt;=$C19,AV$4&lt;=$D19,'Вводные'!$B$89="Да"),"■","")</x:f>
      </x:c>
      <x:c r="AW19" s="139" t="str">
        <x:f>IF(AND(AW$4&gt;=$C19,AW$4&lt;=$D19,'Вводные'!$B$89="Да"),"■","")</x:f>
      </x:c>
      <x:c r="AX19" s="139" t="str">
        <x:f>IF(AND(AX$4&gt;=$C19,AX$4&lt;=$D19,'Вводные'!$B$89="Да"),"■","")</x:f>
      </x:c>
      <x:c r="AY19" s="139" t="str">
        <x:f>IF(AND(AY$4&gt;=$C19,AY$4&lt;=$D19,'Вводные'!$B$89="Да"),"■","")</x:f>
      </x:c>
      <x:c r="AZ19" s="139" t="str">
        <x:f>IF(AND(AZ$4&gt;=$C19,AZ$4&lt;=$D19,'Вводные'!$B$89="Да"),"■","")</x:f>
      </x:c>
      <x:c r="BA19" s="139" t="str">
        <x:f>IF(AND(BA$4&gt;=$C19,BA$4&lt;=$D19,'Вводные'!$B$89="Да"),"■","")</x:f>
      </x:c>
      <x:c r="BB19" s="139" t="str">
        <x:f>IF(AND(BB$4&gt;=$C19,BB$4&lt;=$D19,'Вводные'!$B$89="Да"),"■","")</x:f>
      </x:c>
      <x:c r="BC19" s="139" t="str">
        <x:f>IF(AND(BC$4&gt;=$C19,BC$4&lt;=$D19,'Вводные'!$B$89="Да"),"■","")</x:f>
      </x:c>
      <x:c r="BD19" s="139" t="str">
        <x:f>IF(AND(BD$4&gt;=$C19,BD$4&lt;=$D19,'Вводные'!$B$89="Да"),"■","")</x:f>
      </x:c>
      <x:c r="BE19" s="139" t="str">
        <x:f>IF(AND(BE$4&gt;=$C19,BE$4&lt;=$D19,'Вводные'!$B$89="Да"),"■","")</x:f>
      </x:c>
      <x:c r="BF19" s="139" t="str">
        <x:f>IF(AND(BF$4&gt;=$C19,BF$4&lt;=$D19,'Вводные'!$B$89="Да"),"■","")</x:f>
      </x:c>
      <x:c r="BG19" s="139" t="str">
        <x:f>IF(AND(BG$4&gt;=$C19,BG$4&lt;=$D19,'Вводные'!$B$89="Да"),"■","")</x:f>
      </x:c>
      <x:c r="BH19" s="139" t="str">
        <x:f>IF(AND(BH$4&gt;=$C19,BH$4&lt;=$D19,'Вводные'!$B$89="Да"),"■","")</x:f>
      </x:c>
      <x:c r="BI19" s="139" t="str">
        <x:f>IF(AND(BI$4&gt;=$C19,BI$4&lt;=$D19,'Вводные'!$B$89="Да"),"■","")</x:f>
      </x:c>
      <x:c r="BJ19" s="139" t="str">
        <x:f>IF(AND(BJ$4&gt;=$C19,BJ$4&lt;=$D19,'Вводные'!$B$89="Да"),"■","")</x:f>
      </x:c>
      <x:c r="BK19" s="139" t="str">
        <x:f>IF(AND(BK$4&gt;=$C19,BK$4&lt;=$D19,'Вводные'!$B$89="Да"),"■","")</x:f>
      </x:c>
      <x:c r="BL19" s="139" t="str">
        <x:f>IF(AND(BL$4&gt;=$C19,BL$4&lt;=$D19,'Вводные'!$B$89="Да"),"■","")</x:f>
      </x:c>
      <x:c r="BM19" s="139" t="str">
        <x:f>IF(AND(BM$4&gt;=$C19,BM$4&lt;=$D19,'Вводные'!$B$89="Да"),"■","")</x:f>
      </x:c>
      <x:c r="BN19" s="139" t="str">
        <x:f>IF(AND(BN$4&gt;=$C19,BN$4&lt;=$D19,'Вводные'!$B$89="Да"),"■","")</x:f>
      </x:c>
      <x:c r="BO19" s="139" t="str">
        <x:f>IF(AND(BO$4&gt;=$C19,BO$4&lt;=$D19,'Вводные'!$B$89="Да"),"■","")</x:f>
      </x:c>
      <x:c r="BP19" s="139" t="str">
        <x:f>IF(AND(BP$4&gt;=$C19,BP$4&lt;=$D19,'Вводные'!$B$89="Да"),"■","")</x:f>
      </x:c>
      <x:c r="BQ19" s="139" t="str">
        <x:f>IF(AND(BQ$4&gt;=$C19,BQ$4&lt;=$D19,'Вводные'!$B$89="Да"),"■","")</x:f>
      </x:c>
      <x:c r="BR19" s="139" t="str">
        <x:f>IF(AND(BR$4&gt;=$C19,BR$4&lt;=$D19,'Вводные'!$B$89="Да"),"■","")</x:f>
      </x:c>
      <x:c r="BS19" s="139" t="str">
        <x:f>IF(AND(BS$4&gt;=$C19,BS$4&lt;=$D19,'Вводные'!$B$89="Да"),"■","")</x:f>
      </x:c>
      <x:c r="BT19" s="139" t="str">
        <x:f>IF(AND(BT$4&gt;=$C19,BT$4&lt;=$D19,'Вводные'!$B$89="Да"),"■","")</x:f>
      </x:c>
      <x:c r="BU19" s="139" t="str">
        <x:f>IF(AND(BU$4&gt;=$C19,BU$4&lt;=$D19,'Вводные'!$B$89="Да"),"■","")</x:f>
      </x:c>
      <x:c r="BV19" s="139" t="str">
        <x:f>IF(AND(BV$4&gt;=$C19,BV$4&lt;=$D19,'Вводные'!$B$89="Да"),"■","")</x:f>
      </x:c>
      <x:c r="BW19" s="139" t="str">
        <x:f>IF(AND(BW$4&gt;=$C19,BW$4&lt;=$D19,'Вводные'!$B$89="Да"),"■","")</x:f>
      </x:c>
      <x:c r="BX19" s="139" t="str">
        <x:f>IF(AND(BX$4&gt;=$C19,BX$4&lt;=$D19,'Вводные'!$B$89="Да"),"■","")</x:f>
      </x:c>
      <x:c r="BY19" s="139" t="str">
        <x:f>IF(AND(BY$4&gt;=$C19,BY$4&lt;=$D19,'Вводные'!$B$89="Да"),"■","")</x:f>
      </x:c>
      <x:c r="BZ19" s="139" t="str">
        <x:f>IF(AND(BZ$4&gt;=$C19,BZ$4&lt;=$D19,'Вводные'!$B$89="Да"),"■","")</x:f>
      </x:c>
      <x:c r="CA19" s="139" t="str">
        <x:f>IF(AND(CA$4&gt;=$C19,CA$4&lt;=$D19,'Вводные'!$B$89="Да"),"■","")</x:f>
      </x:c>
      <x:c r="CB19" s="139" t="str">
        <x:f>IF(AND(CB$4&gt;=$C19,CB$4&lt;=$D19,'Вводные'!$B$89="Да"),"■","")</x:f>
      </x:c>
      <x:c r="CC19" s="139" t="str">
        <x:f>IF(AND(CC$4&gt;=$C19,CC$4&lt;=$D19,'Вводные'!$B$89="Да"),"■","")</x:f>
      </x:c>
      <x:c r="CD19" s="139" t="str">
        <x:f>IF(AND(CD$4&gt;=$C19,CD$4&lt;=$D19,'Вводные'!$B$89="Да"),"■","")</x:f>
      </x:c>
      <x:c r="CE19" s="139" t="str">
        <x:f>IF(AND(CE$4&gt;=$C19,CE$4&lt;=$D19,'Вводные'!$B$89="Да"),"■","")</x:f>
      </x:c>
      <x:c r="CF19" s="139" t="str">
        <x:f>IF(AND(CF$4&gt;=$C19,CF$4&lt;=$D19,'Вводные'!$B$89="Да"),"■","")</x:f>
      </x:c>
      <x:c r="CG19" s="139" t="str">
        <x:f>IF(AND(CG$4&gt;=$C19,CG$4&lt;=$D19,'Вводные'!$B$89="Да"),"■","")</x:f>
      </x:c>
      <x:c r="CH19" s="139" t="str">
        <x:f>IF(AND(CH$4&gt;=$C19,CH$4&lt;=$D19,'Вводные'!$B$89="Да"),"■","")</x:f>
      </x:c>
      <x:c r="CI19" s="139" t="str">
        <x:f>IF(AND(CI$4&gt;=$C19,CI$4&lt;=$D19,'Вводные'!$B$89="Да"),"■","")</x:f>
      </x:c>
      <x:c r="CJ19" s="139" t="str">
        <x:f>IF(AND(CJ$4&gt;=$C19,CJ$4&lt;=$D19,'Вводные'!$B$89="Да"),"■","")</x:f>
      </x:c>
      <x:c r="CK19" s="139" t="str">
        <x:f>IF(AND(CK$4&gt;=$C19,CK$4&lt;=$D19,'Вводные'!$B$89="Да"),"■","")</x:f>
      </x:c>
      <x:c r="CL19" s="139" t="str">
        <x:f>IF(AND(CL$4&gt;=$C19,CL$4&lt;=$D19,'Вводные'!$B$89="Да"),"■","")</x:f>
      </x:c>
      <x:c r="CM19" s="139" t="str">
        <x:f>IF(AND(CM$4&gt;=$C19,CM$4&lt;=$D19,'Вводные'!$B$89="Да"),"■","")</x:f>
      </x:c>
      <x:c r="CN19" s="139" t="str">
        <x:f>IF(AND(CN$4&gt;=$C19,CN$4&lt;=$D19,'Вводные'!$B$89="Да"),"■","")</x:f>
      </x:c>
      <x:c r="CO19" s="139" t="str">
        <x:f>IF(AND(CO$4&gt;=$C19,CO$4&lt;=$D19,'Вводные'!$B$89="Да"),"■","")</x:f>
      </x:c>
      <x:c r="CP19" s="139" t="str">
        <x:f>IF(AND(CP$4&gt;=$C19,CP$4&lt;=$D19,'Вводные'!$B$89="Да"),"■","")</x:f>
      </x:c>
      <x:c r="CQ19" s="139" t="str">
        <x:f>IF(AND(CQ$4&gt;=$C19,CQ$4&lt;=$D19,'Вводные'!$B$89="Да"),"■","")</x:f>
      </x:c>
      <x:c r="CR19" s="139" t="str">
        <x:f>IF(AND(CR$4&gt;=$C19,CR$4&lt;=$D19,'Вводные'!$B$89="Да"),"■","")</x:f>
      </x:c>
      <x:c r="CS19" s="139" t="str">
        <x:f>IF(AND(CS$4&gt;=$C19,CS$4&lt;=$D19,'Вводные'!$B$89="Да"),"■","")</x:f>
      </x:c>
      <x:c r="CT19" s="139" t="str">
        <x:f>IF(AND(CT$4&gt;=$C19,CT$4&lt;=$D19,'Вводные'!$B$89="Да"),"■","")</x:f>
      </x:c>
      <x:c r="CU19" s="139" t="str">
        <x:f>IF(AND(CU$4&gt;=$C19,CU$4&lt;=$D19,'Вводные'!$B$89="Да"),"■","")</x:f>
      </x:c>
      <x:c r="CV19" s="139" t="str">
        <x:f>IF(AND(CV$4&gt;=$C19,CV$4&lt;=$D19,'Вводные'!$B$89="Да"),"■","")</x:f>
      </x:c>
      <x:c r="CW19" s="139" t="str">
        <x:f>IF(AND(CW$4&gt;=$C19,CW$4&lt;=$D19,'Вводные'!$B$89="Да"),"■","")</x:f>
      </x:c>
      <x:c r="CX19" s="139" t="str">
        <x:f>IF(AND(CX$4&gt;=$C19,CX$4&lt;=$D19,'Вводные'!$B$89="Да"),"■","")</x:f>
      </x:c>
      <x:c r="CY19" s="139" t="str">
        <x:f>IF(AND(CY$4&gt;=$C19,CY$4&lt;=$D19,'Вводные'!$B$89="Да"),"■","")</x:f>
      </x:c>
      <x:c r="CZ19" s="139" t="str">
        <x:f>IF(AND(CZ$4&gt;=$C19,CZ$4&lt;=$D19,'Вводные'!$B$89="Да"),"■","")</x:f>
      </x:c>
      <x:c r="DA19" s="139" t="str">
        <x:f>IF(AND(DA$4&gt;=$C19,DA$4&lt;=$D19,'Вводные'!$B$89="Да"),"■","")</x:f>
      </x:c>
      <x:c r="DB19" s="139" t="str">
        <x:f>IF(AND(DB$4&gt;=$C19,DB$4&lt;=$D19,'Вводные'!$B$89="Да"),"■","")</x:f>
      </x:c>
      <x:c r="DC19" s="139" t="str">
        <x:f>IF(AND(DC$4&gt;=$C19,DC$4&lt;=$D19,'Вводные'!$B$89="Да"),"■","")</x:f>
      </x:c>
      <x:c r="DD19" s="139" t="str">
        <x:f>IF(AND(DD$4&gt;=$C19,DD$4&lt;=$D19,'Вводные'!$B$89="Да"),"■","")</x:f>
      </x:c>
      <x:c r="DE19" s="139" t="str">
        <x:f>IF(AND(DE$4&gt;=$C19,DE$4&lt;=$D19,'Вводные'!$B$89="Да"),"■","")</x:f>
      </x:c>
      <x:c r="DF19" s="139" t="str">
        <x:f>IF(AND(DF$4&gt;=$C19,DF$4&lt;=$D19,'Вводные'!$B$89="Да"),"■","")</x:f>
      </x:c>
      <x:c r="DG19" s="139" t="str">
        <x:f>IF(AND(DG$4&gt;=$C19,DG$4&lt;=$D19,'Вводные'!$B$89="Да"),"■","")</x:f>
      </x:c>
      <x:c r="DH19" s="139" t="str">
        <x:f>IF(AND(DH$4&gt;=$C19,DH$4&lt;=$D19,'Вводные'!$B$89="Да"),"■","")</x:f>
      </x:c>
      <x:c r="DI19" s="139" t="str">
        <x:f>IF(AND(DI$4&gt;=$C19,DI$4&lt;=$D19,'Вводные'!$B$89="Да"),"■","")</x:f>
      </x:c>
      <x:c r="DJ19" s="139" t="str">
        <x:f>IF(AND(DJ$4&gt;=$C19,DJ$4&lt;=$D19,'Вводные'!$B$89="Да"),"■","")</x:f>
      </x:c>
      <x:c r="DK19" s="139" t="str">
        <x:f>IF(AND(DK$4&gt;=$C19,DK$4&lt;=$D19,'Вводные'!$B$89="Да"),"■","")</x:f>
      </x:c>
      <x:c r="DL19" s="139" t="str">
        <x:f>IF(AND(DL$4&gt;=$C19,DL$4&lt;=$D19,'Вводные'!$B$89="Да"),"■","")</x:f>
      </x:c>
      <x:c r="DM19" s="139" t="str">
        <x:f>IF(AND(DM$4&gt;=$C19,DM$4&lt;=$D19,'Вводные'!$B$89="Да"),"■","")</x:f>
      </x:c>
      <x:c r="DN19" s="139" t="str">
        <x:f>IF(AND(DN$4&gt;=$C19,DN$4&lt;=$D19,'Вводные'!$B$89="Да"),"■","")</x:f>
      </x:c>
      <x:c r="DO19" s="139" t="str">
        <x:f>IF(AND(DO$4&gt;=$C19,DO$4&lt;=$D19,'Вводные'!$B$89="Да"),"■","")</x:f>
      </x:c>
      <x:c r="DP19" s="139" t="str">
        <x:f>IF(AND(DP$4&gt;=$C19,DP$4&lt;=$D19,'Вводные'!$B$89="Да"),"■","")</x:f>
      </x:c>
      <x:c r="DQ19" s="139" t="str">
        <x:f>IF(AND(DQ$4&gt;=$C19,DQ$4&lt;=$D19,'Вводные'!$B$89="Да"),"■","")</x:f>
      </x:c>
      <x:c r="DR19" s="139" t="str">
        <x:f>IF(AND(DR$4&gt;=$C19,DR$4&lt;=$D19,'Вводные'!$B$89="Да"),"■","")</x:f>
      </x:c>
      <x:c r="DS19" s="139" t="str">
        <x:f>IF(AND(DS$4&gt;=$C19,DS$4&lt;=$D19,'Вводные'!$B$89="Да"),"■","")</x:f>
      </x:c>
      <x:c r="DT19" s="139" t="str">
        <x:f>IF(AND(DT$4&gt;=$C19,DT$4&lt;=$D19,'Вводные'!$B$89="Да"),"■","")</x:f>
      </x:c>
    </x:row>
    <x:row r="20">
      <x:c r="A20" t="str">
        <x:f>'Вводные'!$C$89</x:f>
      </x:c>
      <x:c r="B20" t="str">
        <x:v>Строительство</x:v>
      </x:c>
      <x:c r="C20" s="92" t="n">
        <x:f>'CF_2'!B7</x:f>
      </x:c>
      <x:c r="D20" s="92" t="n">
        <x:f>EDATE(C20,'Вводные'!$F$89-1)</x:f>
      </x:c>
      <x:c r="E20" s="141" t="str">
        <x:f>IF(AND(E$4&gt;=$C20,E$4&lt;=$D20,'Вводные'!$B$89="Да"),"■","")</x:f>
      </x:c>
      <x:c r="F20" s="141" t="str">
        <x:f>IF(AND(F$4&gt;=$C20,F$4&lt;=$D20,'Вводные'!$B$89="Да"),"■","")</x:f>
      </x:c>
      <x:c r="G20" s="141" t="str">
        <x:f>IF(AND(G$4&gt;=$C20,G$4&lt;=$D20,'Вводные'!$B$89="Да"),"■","")</x:f>
      </x:c>
      <x:c r="H20" s="141" t="str">
        <x:f>IF(AND(H$4&gt;=$C20,H$4&lt;=$D20,'Вводные'!$B$89="Да"),"■","")</x:f>
      </x:c>
      <x:c r="I20" s="141" t="str">
        <x:f>IF(AND(I$4&gt;=$C20,I$4&lt;=$D20,'Вводные'!$B$89="Да"),"■","")</x:f>
      </x:c>
      <x:c r="J20" s="141" t="str">
        <x:f>IF(AND(J$4&gt;=$C20,J$4&lt;=$D20,'Вводные'!$B$89="Да"),"■","")</x:f>
      </x:c>
      <x:c r="K20" s="141" t="str">
        <x:f>IF(AND(K$4&gt;=$C20,K$4&lt;=$D20,'Вводные'!$B$89="Да"),"■","")</x:f>
      </x:c>
      <x:c r="L20" s="141" t="str">
        <x:f>IF(AND(L$4&gt;=$C20,L$4&lt;=$D20,'Вводные'!$B$89="Да"),"■","")</x:f>
      </x:c>
      <x:c r="M20" s="141" t="str">
        <x:f>IF(AND(M$4&gt;=$C20,M$4&lt;=$D20,'Вводные'!$B$89="Да"),"■","")</x:f>
      </x:c>
      <x:c r="N20" s="141" t="str">
        <x:f>IF(AND(N$4&gt;=$C20,N$4&lt;=$D20,'Вводные'!$B$89="Да"),"■","")</x:f>
      </x:c>
      <x:c r="O20" s="141" t="str">
        <x:f>IF(AND(O$4&gt;=$C20,O$4&lt;=$D20,'Вводные'!$B$89="Да"),"■","")</x:f>
      </x:c>
      <x:c r="P20" s="141" t="str">
        <x:f>IF(AND(P$4&gt;=$C20,P$4&lt;=$D20,'Вводные'!$B$89="Да"),"■","")</x:f>
      </x:c>
      <x:c r="Q20" s="141" t="str">
        <x:f>IF(AND(Q$4&gt;=$C20,Q$4&lt;=$D20,'Вводные'!$B$89="Да"),"■","")</x:f>
      </x:c>
      <x:c r="R20" s="141" t="str">
        <x:f>IF(AND(R$4&gt;=$C20,R$4&lt;=$D20,'Вводные'!$B$89="Да"),"■","")</x:f>
      </x:c>
      <x:c r="S20" s="141" t="str">
        <x:f>IF(AND(S$4&gt;=$C20,S$4&lt;=$D20,'Вводные'!$B$89="Да"),"■","")</x:f>
      </x:c>
      <x:c r="T20" s="141" t="str">
        <x:f>IF(AND(T$4&gt;=$C20,T$4&lt;=$D20,'Вводные'!$B$89="Да"),"■","")</x:f>
      </x:c>
      <x:c r="U20" s="141" t="str">
        <x:f>IF(AND(U$4&gt;=$C20,U$4&lt;=$D20,'Вводные'!$B$89="Да"),"■","")</x:f>
      </x:c>
      <x:c r="V20" s="141" t="str">
        <x:f>IF(AND(V$4&gt;=$C20,V$4&lt;=$D20,'Вводные'!$B$89="Да"),"■","")</x:f>
      </x:c>
      <x:c r="W20" s="141" t="str">
        <x:f>IF(AND(W$4&gt;=$C20,W$4&lt;=$D20,'Вводные'!$B$89="Да"),"■","")</x:f>
      </x:c>
      <x:c r="X20" s="141" t="str">
        <x:f>IF(AND(X$4&gt;=$C20,X$4&lt;=$D20,'Вводные'!$B$89="Да"),"■","")</x:f>
      </x:c>
      <x:c r="Y20" s="141" t="str">
        <x:f>IF(AND(Y$4&gt;=$C20,Y$4&lt;=$D20,'Вводные'!$B$89="Да"),"■","")</x:f>
      </x:c>
      <x:c r="Z20" s="141" t="str">
        <x:f>IF(AND(Z$4&gt;=$C20,Z$4&lt;=$D20,'Вводные'!$B$89="Да"),"■","")</x:f>
      </x:c>
      <x:c r="AA20" s="141" t="str">
        <x:f>IF(AND(AA$4&gt;=$C20,AA$4&lt;=$D20,'Вводные'!$B$89="Да"),"■","")</x:f>
      </x:c>
      <x:c r="AB20" s="141" t="str">
        <x:f>IF(AND(AB$4&gt;=$C20,AB$4&lt;=$D20,'Вводные'!$B$89="Да"),"■","")</x:f>
      </x:c>
      <x:c r="AC20" s="141" t="str">
        <x:f>IF(AND(AC$4&gt;=$C20,AC$4&lt;=$D20,'Вводные'!$B$89="Да"),"■","")</x:f>
      </x:c>
      <x:c r="AD20" s="141" t="str">
        <x:f>IF(AND(AD$4&gt;=$C20,AD$4&lt;=$D20,'Вводные'!$B$89="Да"),"■","")</x:f>
      </x:c>
      <x:c r="AE20" s="141" t="str">
        <x:f>IF(AND(AE$4&gt;=$C20,AE$4&lt;=$D20,'Вводные'!$B$89="Да"),"■","")</x:f>
      </x:c>
      <x:c r="AF20" s="141" t="str">
        <x:f>IF(AND(AF$4&gt;=$C20,AF$4&lt;=$D20,'Вводные'!$B$89="Да"),"■","")</x:f>
      </x:c>
      <x:c r="AG20" s="141" t="str">
        <x:f>IF(AND(AG$4&gt;=$C20,AG$4&lt;=$D20,'Вводные'!$B$89="Да"),"■","")</x:f>
      </x:c>
      <x:c r="AH20" s="141" t="str">
        <x:f>IF(AND(AH$4&gt;=$C20,AH$4&lt;=$D20,'Вводные'!$B$89="Да"),"■","")</x:f>
      </x:c>
      <x:c r="AI20" s="141" t="str">
        <x:f>IF(AND(AI$4&gt;=$C20,AI$4&lt;=$D20,'Вводные'!$B$89="Да"),"■","")</x:f>
      </x:c>
      <x:c r="AJ20" s="141" t="str">
        <x:f>IF(AND(AJ$4&gt;=$C20,AJ$4&lt;=$D20,'Вводные'!$B$89="Да"),"■","")</x:f>
      </x:c>
      <x:c r="AK20" s="141" t="str">
        <x:f>IF(AND(AK$4&gt;=$C20,AK$4&lt;=$D20,'Вводные'!$B$89="Да"),"■","")</x:f>
      </x:c>
      <x:c r="AL20" s="141" t="str">
        <x:f>IF(AND(AL$4&gt;=$C20,AL$4&lt;=$D20,'Вводные'!$B$89="Да"),"■","")</x:f>
      </x:c>
      <x:c r="AM20" s="141" t="str">
        <x:f>IF(AND(AM$4&gt;=$C20,AM$4&lt;=$D20,'Вводные'!$B$89="Да"),"■","")</x:f>
      </x:c>
      <x:c r="AN20" s="141" t="str">
        <x:f>IF(AND(AN$4&gt;=$C20,AN$4&lt;=$D20,'Вводные'!$B$89="Да"),"■","")</x:f>
      </x:c>
      <x:c r="AO20" s="141" t="str">
        <x:f>IF(AND(AO$4&gt;=$C20,AO$4&lt;=$D20,'Вводные'!$B$89="Да"),"■","")</x:f>
      </x:c>
      <x:c r="AP20" s="141" t="str">
        <x:f>IF(AND(AP$4&gt;=$C20,AP$4&lt;=$D20,'Вводные'!$B$89="Да"),"■","")</x:f>
      </x:c>
      <x:c r="AQ20" s="141" t="str">
        <x:f>IF(AND(AQ$4&gt;=$C20,AQ$4&lt;=$D20,'Вводные'!$B$89="Да"),"■","")</x:f>
      </x:c>
      <x:c r="AR20" s="141" t="str">
        <x:f>IF(AND(AR$4&gt;=$C20,AR$4&lt;=$D20,'Вводные'!$B$89="Да"),"■","")</x:f>
      </x:c>
      <x:c r="AS20" s="141" t="str">
        <x:f>IF(AND(AS$4&gt;=$C20,AS$4&lt;=$D20,'Вводные'!$B$89="Да"),"■","")</x:f>
      </x:c>
      <x:c r="AT20" s="141" t="str">
        <x:f>IF(AND(AT$4&gt;=$C20,AT$4&lt;=$D20,'Вводные'!$B$89="Да"),"■","")</x:f>
      </x:c>
      <x:c r="AU20" s="141" t="str">
        <x:f>IF(AND(AU$4&gt;=$C20,AU$4&lt;=$D20,'Вводные'!$B$89="Да"),"■","")</x:f>
      </x:c>
      <x:c r="AV20" s="141" t="str">
        <x:f>IF(AND(AV$4&gt;=$C20,AV$4&lt;=$D20,'Вводные'!$B$89="Да"),"■","")</x:f>
      </x:c>
      <x:c r="AW20" s="141" t="str">
        <x:f>IF(AND(AW$4&gt;=$C20,AW$4&lt;=$D20,'Вводные'!$B$89="Да"),"■","")</x:f>
      </x:c>
      <x:c r="AX20" s="141" t="str">
        <x:f>IF(AND(AX$4&gt;=$C20,AX$4&lt;=$D20,'Вводные'!$B$89="Да"),"■","")</x:f>
      </x:c>
      <x:c r="AY20" s="141" t="str">
        <x:f>IF(AND(AY$4&gt;=$C20,AY$4&lt;=$D20,'Вводные'!$B$89="Да"),"■","")</x:f>
      </x:c>
      <x:c r="AZ20" s="141" t="str">
        <x:f>IF(AND(AZ$4&gt;=$C20,AZ$4&lt;=$D20,'Вводные'!$B$89="Да"),"■","")</x:f>
      </x:c>
      <x:c r="BA20" s="141" t="str">
        <x:f>IF(AND(BA$4&gt;=$C20,BA$4&lt;=$D20,'Вводные'!$B$89="Да"),"■","")</x:f>
      </x:c>
      <x:c r="BB20" s="141" t="str">
        <x:f>IF(AND(BB$4&gt;=$C20,BB$4&lt;=$D20,'Вводные'!$B$89="Да"),"■","")</x:f>
      </x:c>
      <x:c r="BC20" s="141" t="str">
        <x:f>IF(AND(BC$4&gt;=$C20,BC$4&lt;=$D20,'Вводные'!$B$89="Да"),"■","")</x:f>
      </x:c>
      <x:c r="BD20" s="141" t="str">
        <x:f>IF(AND(BD$4&gt;=$C20,BD$4&lt;=$D20,'Вводные'!$B$89="Да"),"■","")</x:f>
      </x:c>
      <x:c r="BE20" s="141" t="str">
        <x:f>IF(AND(BE$4&gt;=$C20,BE$4&lt;=$D20,'Вводные'!$B$89="Да"),"■","")</x:f>
      </x:c>
      <x:c r="BF20" s="141" t="str">
        <x:f>IF(AND(BF$4&gt;=$C20,BF$4&lt;=$D20,'Вводные'!$B$89="Да"),"■","")</x:f>
      </x:c>
      <x:c r="BG20" s="141" t="str">
        <x:f>IF(AND(BG$4&gt;=$C20,BG$4&lt;=$D20,'Вводные'!$B$89="Да"),"■","")</x:f>
      </x:c>
      <x:c r="BH20" s="141" t="str">
        <x:f>IF(AND(BH$4&gt;=$C20,BH$4&lt;=$D20,'Вводные'!$B$89="Да"),"■","")</x:f>
      </x:c>
      <x:c r="BI20" s="141" t="str">
        <x:f>IF(AND(BI$4&gt;=$C20,BI$4&lt;=$D20,'Вводные'!$B$89="Да"),"■","")</x:f>
      </x:c>
      <x:c r="BJ20" s="141" t="str">
        <x:f>IF(AND(BJ$4&gt;=$C20,BJ$4&lt;=$D20,'Вводные'!$B$89="Да"),"■","")</x:f>
      </x:c>
      <x:c r="BK20" s="141" t="str">
        <x:f>IF(AND(BK$4&gt;=$C20,BK$4&lt;=$D20,'Вводные'!$B$89="Да"),"■","")</x:f>
      </x:c>
      <x:c r="BL20" s="141" t="str">
        <x:f>IF(AND(BL$4&gt;=$C20,BL$4&lt;=$D20,'Вводные'!$B$89="Да"),"■","")</x:f>
      </x:c>
      <x:c r="BM20" s="141" t="str">
        <x:f>IF(AND(BM$4&gt;=$C20,BM$4&lt;=$D20,'Вводные'!$B$89="Да"),"■","")</x:f>
      </x:c>
      <x:c r="BN20" s="141" t="str">
        <x:f>IF(AND(BN$4&gt;=$C20,BN$4&lt;=$D20,'Вводные'!$B$89="Да"),"■","")</x:f>
      </x:c>
      <x:c r="BO20" s="141" t="str">
        <x:f>IF(AND(BO$4&gt;=$C20,BO$4&lt;=$D20,'Вводные'!$B$89="Да"),"■","")</x:f>
      </x:c>
      <x:c r="BP20" s="141" t="str">
        <x:f>IF(AND(BP$4&gt;=$C20,BP$4&lt;=$D20,'Вводные'!$B$89="Да"),"■","")</x:f>
      </x:c>
      <x:c r="BQ20" s="141" t="str">
        <x:f>IF(AND(BQ$4&gt;=$C20,BQ$4&lt;=$D20,'Вводные'!$B$89="Да"),"■","")</x:f>
      </x:c>
      <x:c r="BR20" s="141" t="str">
        <x:f>IF(AND(BR$4&gt;=$C20,BR$4&lt;=$D20,'Вводные'!$B$89="Да"),"■","")</x:f>
      </x:c>
      <x:c r="BS20" s="141" t="str">
        <x:f>IF(AND(BS$4&gt;=$C20,BS$4&lt;=$D20,'Вводные'!$B$89="Да"),"■","")</x:f>
      </x:c>
      <x:c r="BT20" s="141" t="str">
        <x:f>IF(AND(BT$4&gt;=$C20,BT$4&lt;=$D20,'Вводные'!$B$89="Да"),"■","")</x:f>
      </x:c>
      <x:c r="BU20" s="141" t="str">
        <x:f>IF(AND(BU$4&gt;=$C20,BU$4&lt;=$D20,'Вводные'!$B$89="Да"),"■","")</x:f>
      </x:c>
      <x:c r="BV20" s="141" t="str">
        <x:f>IF(AND(BV$4&gt;=$C20,BV$4&lt;=$D20,'Вводные'!$B$89="Да"),"■","")</x:f>
      </x:c>
      <x:c r="BW20" s="141" t="str">
        <x:f>IF(AND(BW$4&gt;=$C20,BW$4&lt;=$D20,'Вводные'!$B$89="Да"),"■","")</x:f>
      </x:c>
      <x:c r="BX20" s="141" t="str">
        <x:f>IF(AND(BX$4&gt;=$C20,BX$4&lt;=$D20,'Вводные'!$B$89="Да"),"■","")</x:f>
      </x:c>
      <x:c r="BY20" s="141" t="str">
        <x:f>IF(AND(BY$4&gt;=$C20,BY$4&lt;=$D20,'Вводные'!$B$89="Да"),"■","")</x:f>
      </x:c>
      <x:c r="BZ20" s="141" t="str">
        <x:f>IF(AND(BZ$4&gt;=$C20,BZ$4&lt;=$D20,'Вводные'!$B$89="Да"),"■","")</x:f>
      </x:c>
      <x:c r="CA20" s="141" t="str">
        <x:f>IF(AND(CA$4&gt;=$C20,CA$4&lt;=$D20,'Вводные'!$B$89="Да"),"■","")</x:f>
      </x:c>
      <x:c r="CB20" s="141" t="str">
        <x:f>IF(AND(CB$4&gt;=$C20,CB$4&lt;=$D20,'Вводные'!$B$89="Да"),"■","")</x:f>
      </x:c>
      <x:c r="CC20" s="141" t="str">
        <x:f>IF(AND(CC$4&gt;=$C20,CC$4&lt;=$D20,'Вводные'!$B$89="Да"),"■","")</x:f>
      </x:c>
      <x:c r="CD20" s="141" t="str">
        <x:f>IF(AND(CD$4&gt;=$C20,CD$4&lt;=$D20,'Вводные'!$B$89="Да"),"■","")</x:f>
      </x:c>
      <x:c r="CE20" s="141" t="str">
        <x:f>IF(AND(CE$4&gt;=$C20,CE$4&lt;=$D20,'Вводные'!$B$89="Да"),"■","")</x:f>
      </x:c>
      <x:c r="CF20" s="141" t="str">
        <x:f>IF(AND(CF$4&gt;=$C20,CF$4&lt;=$D20,'Вводные'!$B$89="Да"),"■","")</x:f>
      </x:c>
      <x:c r="CG20" s="141" t="str">
        <x:f>IF(AND(CG$4&gt;=$C20,CG$4&lt;=$D20,'Вводные'!$B$89="Да"),"■","")</x:f>
      </x:c>
      <x:c r="CH20" s="141" t="str">
        <x:f>IF(AND(CH$4&gt;=$C20,CH$4&lt;=$D20,'Вводные'!$B$89="Да"),"■","")</x:f>
      </x:c>
      <x:c r="CI20" s="141" t="str">
        <x:f>IF(AND(CI$4&gt;=$C20,CI$4&lt;=$D20,'Вводные'!$B$89="Да"),"■","")</x:f>
      </x:c>
      <x:c r="CJ20" s="141" t="str">
        <x:f>IF(AND(CJ$4&gt;=$C20,CJ$4&lt;=$D20,'Вводные'!$B$89="Да"),"■","")</x:f>
      </x:c>
      <x:c r="CK20" s="141" t="str">
        <x:f>IF(AND(CK$4&gt;=$C20,CK$4&lt;=$D20,'Вводные'!$B$89="Да"),"■","")</x:f>
      </x:c>
      <x:c r="CL20" s="141" t="str">
        <x:f>IF(AND(CL$4&gt;=$C20,CL$4&lt;=$D20,'Вводные'!$B$89="Да"),"■","")</x:f>
      </x:c>
      <x:c r="CM20" s="141" t="str">
        <x:f>IF(AND(CM$4&gt;=$C20,CM$4&lt;=$D20,'Вводные'!$B$89="Да"),"■","")</x:f>
      </x:c>
      <x:c r="CN20" s="141" t="str">
        <x:f>IF(AND(CN$4&gt;=$C20,CN$4&lt;=$D20,'Вводные'!$B$89="Да"),"■","")</x:f>
      </x:c>
      <x:c r="CO20" s="141" t="str">
        <x:f>IF(AND(CO$4&gt;=$C20,CO$4&lt;=$D20,'Вводные'!$B$89="Да"),"■","")</x:f>
      </x:c>
      <x:c r="CP20" s="141" t="str">
        <x:f>IF(AND(CP$4&gt;=$C20,CP$4&lt;=$D20,'Вводные'!$B$89="Да"),"■","")</x:f>
      </x:c>
      <x:c r="CQ20" s="141" t="str">
        <x:f>IF(AND(CQ$4&gt;=$C20,CQ$4&lt;=$D20,'Вводные'!$B$89="Да"),"■","")</x:f>
      </x:c>
      <x:c r="CR20" s="141" t="str">
        <x:f>IF(AND(CR$4&gt;=$C20,CR$4&lt;=$D20,'Вводные'!$B$89="Да"),"■","")</x:f>
      </x:c>
      <x:c r="CS20" s="141" t="str">
        <x:f>IF(AND(CS$4&gt;=$C20,CS$4&lt;=$D20,'Вводные'!$B$89="Да"),"■","")</x:f>
      </x:c>
      <x:c r="CT20" s="141" t="str">
        <x:f>IF(AND(CT$4&gt;=$C20,CT$4&lt;=$D20,'Вводные'!$B$89="Да"),"■","")</x:f>
      </x:c>
      <x:c r="CU20" s="141" t="str">
        <x:f>IF(AND(CU$4&gt;=$C20,CU$4&lt;=$D20,'Вводные'!$B$89="Да"),"■","")</x:f>
      </x:c>
      <x:c r="CV20" s="141" t="str">
        <x:f>IF(AND(CV$4&gt;=$C20,CV$4&lt;=$D20,'Вводные'!$B$89="Да"),"■","")</x:f>
      </x:c>
      <x:c r="CW20" s="141" t="str">
        <x:f>IF(AND(CW$4&gt;=$C20,CW$4&lt;=$D20,'Вводные'!$B$89="Да"),"■","")</x:f>
      </x:c>
      <x:c r="CX20" s="141" t="str">
        <x:f>IF(AND(CX$4&gt;=$C20,CX$4&lt;=$D20,'Вводные'!$B$89="Да"),"■","")</x:f>
      </x:c>
      <x:c r="CY20" s="141" t="str">
        <x:f>IF(AND(CY$4&gt;=$C20,CY$4&lt;=$D20,'Вводные'!$B$89="Да"),"■","")</x:f>
      </x:c>
      <x:c r="CZ20" s="141" t="str">
        <x:f>IF(AND(CZ$4&gt;=$C20,CZ$4&lt;=$D20,'Вводные'!$B$89="Да"),"■","")</x:f>
      </x:c>
      <x:c r="DA20" s="141" t="str">
        <x:f>IF(AND(DA$4&gt;=$C20,DA$4&lt;=$D20,'Вводные'!$B$89="Да"),"■","")</x:f>
      </x:c>
      <x:c r="DB20" s="141" t="str">
        <x:f>IF(AND(DB$4&gt;=$C20,DB$4&lt;=$D20,'Вводные'!$B$89="Да"),"■","")</x:f>
      </x:c>
      <x:c r="DC20" s="141" t="str">
        <x:f>IF(AND(DC$4&gt;=$C20,DC$4&lt;=$D20,'Вводные'!$B$89="Да"),"■","")</x:f>
      </x:c>
      <x:c r="DD20" s="141" t="str">
        <x:f>IF(AND(DD$4&gt;=$C20,DD$4&lt;=$D20,'Вводные'!$B$89="Да"),"■","")</x:f>
      </x:c>
      <x:c r="DE20" s="141" t="str">
        <x:f>IF(AND(DE$4&gt;=$C20,DE$4&lt;=$D20,'Вводные'!$B$89="Да"),"■","")</x:f>
      </x:c>
      <x:c r="DF20" s="141" t="str">
        <x:f>IF(AND(DF$4&gt;=$C20,DF$4&lt;=$D20,'Вводные'!$B$89="Да"),"■","")</x:f>
      </x:c>
      <x:c r="DG20" s="141" t="str">
        <x:f>IF(AND(DG$4&gt;=$C20,DG$4&lt;=$D20,'Вводные'!$B$89="Да"),"■","")</x:f>
      </x:c>
      <x:c r="DH20" s="141" t="str">
        <x:f>IF(AND(DH$4&gt;=$C20,DH$4&lt;=$D20,'Вводные'!$B$89="Да"),"■","")</x:f>
      </x:c>
      <x:c r="DI20" s="141" t="str">
        <x:f>IF(AND(DI$4&gt;=$C20,DI$4&lt;=$D20,'Вводные'!$B$89="Да"),"■","")</x:f>
      </x:c>
      <x:c r="DJ20" s="141" t="str">
        <x:f>IF(AND(DJ$4&gt;=$C20,DJ$4&lt;=$D20,'Вводные'!$B$89="Да"),"■","")</x:f>
      </x:c>
      <x:c r="DK20" s="141" t="str">
        <x:f>IF(AND(DK$4&gt;=$C20,DK$4&lt;=$D20,'Вводные'!$B$89="Да"),"■","")</x:f>
      </x:c>
      <x:c r="DL20" s="141" t="str">
        <x:f>IF(AND(DL$4&gt;=$C20,DL$4&lt;=$D20,'Вводные'!$B$89="Да"),"■","")</x:f>
      </x:c>
      <x:c r="DM20" s="141" t="str">
        <x:f>IF(AND(DM$4&gt;=$C20,DM$4&lt;=$D20,'Вводные'!$B$89="Да"),"■","")</x:f>
      </x:c>
      <x:c r="DN20" s="141" t="str">
        <x:f>IF(AND(DN$4&gt;=$C20,DN$4&lt;=$D20,'Вводные'!$B$89="Да"),"■","")</x:f>
      </x:c>
      <x:c r="DO20" s="141" t="str">
        <x:f>IF(AND(DO$4&gt;=$C20,DO$4&lt;=$D20,'Вводные'!$B$89="Да"),"■","")</x:f>
      </x:c>
      <x:c r="DP20" s="141" t="str">
        <x:f>IF(AND(DP$4&gt;=$C20,DP$4&lt;=$D20,'Вводные'!$B$89="Да"),"■","")</x:f>
      </x:c>
      <x:c r="DQ20" s="141" t="str">
        <x:f>IF(AND(DQ$4&gt;=$C20,DQ$4&lt;=$D20,'Вводные'!$B$89="Да"),"■","")</x:f>
      </x:c>
      <x:c r="DR20" s="141" t="str">
        <x:f>IF(AND(DR$4&gt;=$C20,DR$4&lt;=$D20,'Вводные'!$B$89="Да"),"■","")</x:f>
      </x:c>
      <x:c r="DS20" s="141" t="str">
        <x:f>IF(AND(DS$4&gt;=$C20,DS$4&lt;=$D20,'Вводные'!$B$89="Да"),"■","")</x:f>
      </x:c>
      <x:c r="DT20" s="141" t="str">
        <x:f>IF(AND(DT$4&gt;=$C20,DT$4&lt;=$D20,'Вводные'!$B$89="Да"),"■","")</x:f>
      </x:c>
    </x:row>
    <x:row r="21">
      <x:c r="A21" t="str">
        <x:f>'Вводные'!$C$89</x:f>
      </x:c>
      <x:c r="B21" t="str">
        <x:v>РВЭ</x:v>
      </x:c>
      <x:c r="C21" s="92" t="n">
        <x:f>'CF_2'!B8</x:f>
      </x:c>
      <x:c r="D21" s="92" t="n">
        <x:f>C21</x:f>
      </x:c>
      <x:c r="E21" s="135" t="str">
        <x:f>IF(AND(E$4&gt;=$C21,E$4&lt;=$D21,'Вводные'!$B$89="Да"),"■","")</x:f>
      </x:c>
      <x:c r="F21" s="135" t="str">
        <x:f>IF(AND(F$4&gt;=$C21,F$4&lt;=$D21,'Вводные'!$B$89="Да"),"■","")</x:f>
      </x:c>
      <x:c r="G21" s="135" t="str">
        <x:f>IF(AND(G$4&gt;=$C21,G$4&lt;=$D21,'Вводные'!$B$89="Да"),"■","")</x:f>
      </x:c>
      <x:c r="H21" s="135" t="str">
        <x:f>IF(AND(H$4&gt;=$C21,H$4&lt;=$D21,'Вводные'!$B$89="Да"),"■","")</x:f>
      </x:c>
      <x:c r="I21" s="135" t="str">
        <x:f>IF(AND(I$4&gt;=$C21,I$4&lt;=$D21,'Вводные'!$B$89="Да"),"■","")</x:f>
      </x:c>
      <x:c r="J21" s="135" t="str">
        <x:f>IF(AND(J$4&gt;=$C21,J$4&lt;=$D21,'Вводные'!$B$89="Да"),"■","")</x:f>
      </x:c>
      <x:c r="K21" s="135" t="str">
        <x:f>IF(AND(K$4&gt;=$C21,K$4&lt;=$D21,'Вводные'!$B$89="Да"),"■","")</x:f>
      </x:c>
      <x:c r="L21" s="135" t="str">
        <x:f>IF(AND(L$4&gt;=$C21,L$4&lt;=$D21,'Вводные'!$B$89="Да"),"■","")</x:f>
      </x:c>
      <x:c r="M21" s="135" t="str">
        <x:f>IF(AND(M$4&gt;=$C21,M$4&lt;=$D21,'Вводные'!$B$89="Да"),"■","")</x:f>
      </x:c>
      <x:c r="N21" s="135" t="str">
        <x:f>IF(AND(N$4&gt;=$C21,N$4&lt;=$D21,'Вводные'!$B$89="Да"),"■","")</x:f>
      </x:c>
      <x:c r="O21" s="135" t="str">
        <x:f>IF(AND(O$4&gt;=$C21,O$4&lt;=$D21,'Вводные'!$B$89="Да"),"■","")</x:f>
      </x:c>
      <x:c r="P21" s="135" t="str">
        <x:f>IF(AND(P$4&gt;=$C21,P$4&lt;=$D21,'Вводные'!$B$89="Да"),"■","")</x:f>
      </x:c>
      <x:c r="Q21" s="135" t="str">
        <x:f>IF(AND(Q$4&gt;=$C21,Q$4&lt;=$D21,'Вводные'!$B$89="Да"),"■","")</x:f>
      </x:c>
      <x:c r="R21" s="135" t="str">
        <x:f>IF(AND(R$4&gt;=$C21,R$4&lt;=$D21,'Вводные'!$B$89="Да"),"■","")</x:f>
      </x:c>
      <x:c r="S21" s="135" t="str">
        <x:f>IF(AND(S$4&gt;=$C21,S$4&lt;=$D21,'Вводные'!$B$89="Да"),"■","")</x:f>
      </x:c>
      <x:c r="T21" s="135" t="str">
        <x:f>IF(AND(T$4&gt;=$C21,T$4&lt;=$D21,'Вводные'!$B$89="Да"),"■","")</x:f>
      </x:c>
      <x:c r="U21" s="135" t="str">
        <x:f>IF(AND(U$4&gt;=$C21,U$4&lt;=$D21,'Вводные'!$B$89="Да"),"■","")</x:f>
      </x:c>
      <x:c r="V21" s="135" t="str">
        <x:f>IF(AND(V$4&gt;=$C21,V$4&lt;=$D21,'Вводные'!$B$89="Да"),"■","")</x:f>
      </x:c>
      <x:c r="W21" s="135" t="str">
        <x:f>IF(AND(W$4&gt;=$C21,W$4&lt;=$D21,'Вводные'!$B$89="Да"),"■","")</x:f>
      </x:c>
      <x:c r="X21" s="135" t="str">
        <x:f>IF(AND(X$4&gt;=$C21,X$4&lt;=$D21,'Вводные'!$B$89="Да"),"■","")</x:f>
      </x:c>
      <x:c r="Y21" s="135" t="str">
        <x:f>IF(AND(Y$4&gt;=$C21,Y$4&lt;=$D21,'Вводные'!$B$89="Да"),"■","")</x:f>
      </x:c>
      <x:c r="Z21" s="135" t="str">
        <x:f>IF(AND(Z$4&gt;=$C21,Z$4&lt;=$D21,'Вводные'!$B$89="Да"),"■","")</x:f>
      </x:c>
      <x:c r="AA21" s="135" t="str">
        <x:f>IF(AND(AA$4&gt;=$C21,AA$4&lt;=$D21,'Вводные'!$B$89="Да"),"■","")</x:f>
      </x:c>
      <x:c r="AB21" s="135" t="str">
        <x:f>IF(AND(AB$4&gt;=$C21,AB$4&lt;=$D21,'Вводные'!$B$89="Да"),"■","")</x:f>
      </x:c>
      <x:c r="AC21" s="135" t="str">
        <x:f>IF(AND(AC$4&gt;=$C21,AC$4&lt;=$D21,'Вводные'!$B$89="Да"),"■","")</x:f>
      </x:c>
      <x:c r="AD21" s="135" t="str">
        <x:f>IF(AND(AD$4&gt;=$C21,AD$4&lt;=$D21,'Вводные'!$B$89="Да"),"■","")</x:f>
      </x:c>
      <x:c r="AE21" s="135" t="str">
        <x:f>IF(AND(AE$4&gt;=$C21,AE$4&lt;=$D21,'Вводные'!$B$89="Да"),"■","")</x:f>
      </x:c>
      <x:c r="AF21" s="135" t="str">
        <x:f>IF(AND(AF$4&gt;=$C21,AF$4&lt;=$D21,'Вводные'!$B$89="Да"),"■","")</x:f>
      </x:c>
      <x:c r="AG21" s="135" t="str">
        <x:f>IF(AND(AG$4&gt;=$C21,AG$4&lt;=$D21,'Вводные'!$B$89="Да"),"■","")</x:f>
      </x:c>
      <x:c r="AH21" s="135" t="str">
        <x:f>IF(AND(AH$4&gt;=$C21,AH$4&lt;=$D21,'Вводные'!$B$89="Да"),"■","")</x:f>
      </x:c>
      <x:c r="AI21" s="135" t="str">
        <x:f>IF(AND(AI$4&gt;=$C21,AI$4&lt;=$D21,'Вводные'!$B$89="Да"),"■","")</x:f>
      </x:c>
      <x:c r="AJ21" s="135" t="str">
        <x:f>IF(AND(AJ$4&gt;=$C21,AJ$4&lt;=$D21,'Вводные'!$B$89="Да"),"■","")</x:f>
      </x:c>
      <x:c r="AK21" s="135" t="str">
        <x:f>IF(AND(AK$4&gt;=$C21,AK$4&lt;=$D21,'Вводные'!$B$89="Да"),"■","")</x:f>
      </x:c>
      <x:c r="AL21" s="135" t="str">
        <x:f>IF(AND(AL$4&gt;=$C21,AL$4&lt;=$D21,'Вводные'!$B$89="Да"),"■","")</x:f>
      </x:c>
      <x:c r="AM21" s="135" t="str">
        <x:f>IF(AND(AM$4&gt;=$C21,AM$4&lt;=$D21,'Вводные'!$B$89="Да"),"■","")</x:f>
      </x:c>
      <x:c r="AN21" s="135" t="str">
        <x:f>IF(AND(AN$4&gt;=$C21,AN$4&lt;=$D21,'Вводные'!$B$89="Да"),"■","")</x:f>
      </x:c>
      <x:c r="AO21" s="135" t="str">
        <x:f>IF(AND(AO$4&gt;=$C21,AO$4&lt;=$D21,'Вводные'!$B$89="Да"),"■","")</x:f>
      </x:c>
      <x:c r="AP21" s="135" t="str">
        <x:f>IF(AND(AP$4&gt;=$C21,AP$4&lt;=$D21,'Вводные'!$B$89="Да"),"■","")</x:f>
      </x:c>
      <x:c r="AQ21" s="135" t="str">
        <x:f>IF(AND(AQ$4&gt;=$C21,AQ$4&lt;=$D21,'Вводные'!$B$89="Да"),"■","")</x:f>
      </x:c>
      <x:c r="AR21" s="135" t="str">
        <x:f>IF(AND(AR$4&gt;=$C21,AR$4&lt;=$D21,'Вводные'!$B$89="Да"),"■","")</x:f>
      </x:c>
      <x:c r="AS21" s="135" t="str">
        <x:f>IF(AND(AS$4&gt;=$C21,AS$4&lt;=$D21,'Вводные'!$B$89="Да"),"■","")</x:f>
      </x:c>
      <x:c r="AT21" s="135" t="str">
        <x:f>IF(AND(AT$4&gt;=$C21,AT$4&lt;=$D21,'Вводные'!$B$89="Да"),"■","")</x:f>
      </x:c>
      <x:c r="AU21" s="135" t="str">
        <x:f>IF(AND(AU$4&gt;=$C21,AU$4&lt;=$D21,'Вводные'!$B$89="Да"),"■","")</x:f>
      </x:c>
      <x:c r="AV21" s="135" t="str">
        <x:f>IF(AND(AV$4&gt;=$C21,AV$4&lt;=$D21,'Вводные'!$B$89="Да"),"■","")</x:f>
      </x:c>
      <x:c r="AW21" s="135" t="str">
        <x:f>IF(AND(AW$4&gt;=$C21,AW$4&lt;=$D21,'Вводные'!$B$89="Да"),"■","")</x:f>
      </x:c>
      <x:c r="AX21" s="135" t="str">
        <x:f>IF(AND(AX$4&gt;=$C21,AX$4&lt;=$D21,'Вводные'!$B$89="Да"),"■","")</x:f>
      </x:c>
      <x:c r="AY21" s="135" t="str">
        <x:f>IF(AND(AY$4&gt;=$C21,AY$4&lt;=$D21,'Вводные'!$B$89="Да"),"■","")</x:f>
      </x:c>
      <x:c r="AZ21" s="135" t="str">
        <x:f>IF(AND(AZ$4&gt;=$C21,AZ$4&lt;=$D21,'Вводные'!$B$89="Да"),"■","")</x:f>
      </x:c>
      <x:c r="BA21" s="135" t="str">
        <x:f>IF(AND(BA$4&gt;=$C21,BA$4&lt;=$D21,'Вводные'!$B$89="Да"),"■","")</x:f>
      </x:c>
      <x:c r="BB21" s="135" t="str">
        <x:f>IF(AND(BB$4&gt;=$C21,BB$4&lt;=$D21,'Вводные'!$B$89="Да"),"■","")</x:f>
      </x:c>
      <x:c r="BC21" s="135" t="str">
        <x:f>IF(AND(BC$4&gt;=$C21,BC$4&lt;=$D21,'Вводные'!$B$89="Да"),"■","")</x:f>
      </x:c>
      <x:c r="BD21" s="135" t="str">
        <x:f>IF(AND(BD$4&gt;=$C21,BD$4&lt;=$D21,'Вводные'!$B$89="Да"),"■","")</x:f>
      </x:c>
      <x:c r="BE21" s="135" t="str">
        <x:f>IF(AND(BE$4&gt;=$C21,BE$4&lt;=$D21,'Вводные'!$B$89="Да"),"■","")</x:f>
      </x:c>
      <x:c r="BF21" s="135" t="str">
        <x:f>IF(AND(BF$4&gt;=$C21,BF$4&lt;=$D21,'Вводные'!$B$89="Да"),"■","")</x:f>
      </x:c>
      <x:c r="BG21" s="135" t="str">
        <x:f>IF(AND(BG$4&gt;=$C21,BG$4&lt;=$D21,'Вводные'!$B$89="Да"),"■","")</x:f>
      </x:c>
      <x:c r="BH21" s="135" t="str">
        <x:f>IF(AND(BH$4&gt;=$C21,BH$4&lt;=$D21,'Вводные'!$B$89="Да"),"■","")</x:f>
      </x:c>
      <x:c r="BI21" s="135" t="str">
        <x:f>IF(AND(BI$4&gt;=$C21,BI$4&lt;=$D21,'Вводные'!$B$89="Да"),"■","")</x:f>
      </x:c>
      <x:c r="BJ21" s="135" t="str">
        <x:f>IF(AND(BJ$4&gt;=$C21,BJ$4&lt;=$D21,'Вводные'!$B$89="Да"),"■","")</x:f>
      </x:c>
      <x:c r="BK21" s="135" t="str">
        <x:f>IF(AND(BK$4&gt;=$C21,BK$4&lt;=$D21,'Вводные'!$B$89="Да"),"■","")</x:f>
      </x:c>
      <x:c r="BL21" s="135" t="str">
        <x:f>IF(AND(BL$4&gt;=$C21,BL$4&lt;=$D21,'Вводные'!$B$89="Да"),"■","")</x:f>
      </x:c>
      <x:c r="BM21" s="135" t="str">
        <x:f>IF(AND(BM$4&gt;=$C21,BM$4&lt;=$D21,'Вводные'!$B$89="Да"),"■","")</x:f>
      </x:c>
      <x:c r="BN21" s="135" t="str">
        <x:f>IF(AND(BN$4&gt;=$C21,BN$4&lt;=$D21,'Вводные'!$B$89="Да"),"■","")</x:f>
      </x:c>
      <x:c r="BO21" s="135" t="str">
        <x:f>IF(AND(BO$4&gt;=$C21,BO$4&lt;=$D21,'Вводные'!$B$89="Да"),"■","")</x:f>
      </x:c>
      <x:c r="BP21" s="135" t="str">
        <x:f>IF(AND(BP$4&gt;=$C21,BP$4&lt;=$D21,'Вводные'!$B$89="Да"),"■","")</x:f>
      </x:c>
      <x:c r="BQ21" s="135" t="str">
        <x:f>IF(AND(BQ$4&gt;=$C21,BQ$4&lt;=$D21,'Вводные'!$B$89="Да"),"■","")</x:f>
      </x:c>
      <x:c r="BR21" s="135" t="str">
        <x:f>IF(AND(BR$4&gt;=$C21,BR$4&lt;=$D21,'Вводные'!$B$89="Да"),"■","")</x:f>
      </x:c>
      <x:c r="BS21" s="135" t="str">
        <x:f>IF(AND(BS$4&gt;=$C21,BS$4&lt;=$D21,'Вводные'!$B$89="Да"),"■","")</x:f>
      </x:c>
      <x:c r="BT21" s="135" t="str">
        <x:f>IF(AND(BT$4&gt;=$C21,BT$4&lt;=$D21,'Вводные'!$B$89="Да"),"■","")</x:f>
      </x:c>
      <x:c r="BU21" s="135" t="str">
        <x:f>IF(AND(BU$4&gt;=$C21,BU$4&lt;=$D21,'Вводные'!$B$89="Да"),"■","")</x:f>
      </x:c>
      <x:c r="BV21" s="135" t="str">
        <x:f>IF(AND(BV$4&gt;=$C21,BV$4&lt;=$D21,'Вводные'!$B$89="Да"),"■","")</x:f>
      </x:c>
      <x:c r="BW21" s="135" t="str">
        <x:f>IF(AND(BW$4&gt;=$C21,BW$4&lt;=$D21,'Вводные'!$B$89="Да"),"■","")</x:f>
      </x:c>
      <x:c r="BX21" s="135" t="str">
        <x:f>IF(AND(BX$4&gt;=$C21,BX$4&lt;=$D21,'Вводные'!$B$89="Да"),"■","")</x:f>
      </x:c>
      <x:c r="BY21" s="135" t="str">
        <x:f>IF(AND(BY$4&gt;=$C21,BY$4&lt;=$D21,'Вводные'!$B$89="Да"),"■","")</x:f>
      </x:c>
      <x:c r="BZ21" s="135" t="str">
        <x:f>IF(AND(BZ$4&gt;=$C21,BZ$4&lt;=$D21,'Вводные'!$B$89="Да"),"■","")</x:f>
      </x:c>
      <x:c r="CA21" s="135" t="str">
        <x:f>IF(AND(CA$4&gt;=$C21,CA$4&lt;=$D21,'Вводные'!$B$89="Да"),"■","")</x:f>
      </x:c>
      <x:c r="CB21" s="135" t="str">
        <x:f>IF(AND(CB$4&gt;=$C21,CB$4&lt;=$D21,'Вводные'!$B$89="Да"),"■","")</x:f>
      </x:c>
      <x:c r="CC21" s="135" t="str">
        <x:f>IF(AND(CC$4&gt;=$C21,CC$4&lt;=$D21,'Вводные'!$B$89="Да"),"■","")</x:f>
      </x:c>
      <x:c r="CD21" s="135" t="str">
        <x:f>IF(AND(CD$4&gt;=$C21,CD$4&lt;=$D21,'Вводные'!$B$89="Да"),"■","")</x:f>
      </x:c>
      <x:c r="CE21" s="135" t="str">
        <x:f>IF(AND(CE$4&gt;=$C21,CE$4&lt;=$D21,'Вводные'!$B$89="Да"),"■","")</x:f>
      </x:c>
      <x:c r="CF21" s="135" t="str">
        <x:f>IF(AND(CF$4&gt;=$C21,CF$4&lt;=$D21,'Вводные'!$B$89="Да"),"■","")</x:f>
      </x:c>
      <x:c r="CG21" s="135" t="str">
        <x:f>IF(AND(CG$4&gt;=$C21,CG$4&lt;=$D21,'Вводные'!$B$89="Да"),"■","")</x:f>
      </x:c>
      <x:c r="CH21" s="135" t="str">
        <x:f>IF(AND(CH$4&gt;=$C21,CH$4&lt;=$D21,'Вводные'!$B$89="Да"),"■","")</x:f>
      </x:c>
      <x:c r="CI21" s="135" t="str">
        <x:f>IF(AND(CI$4&gt;=$C21,CI$4&lt;=$D21,'Вводные'!$B$89="Да"),"■","")</x:f>
      </x:c>
      <x:c r="CJ21" s="135" t="str">
        <x:f>IF(AND(CJ$4&gt;=$C21,CJ$4&lt;=$D21,'Вводные'!$B$89="Да"),"■","")</x:f>
      </x:c>
      <x:c r="CK21" s="135" t="str">
        <x:f>IF(AND(CK$4&gt;=$C21,CK$4&lt;=$D21,'Вводные'!$B$89="Да"),"■","")</x:f>
      </x:c>
      <x:c r="CL21" s="135" t="str">
        <x:f>IF(AND(CL$4&gt;=$C21,CL$4&lt;=$D21,'Вводные'!$B$89="Да"),"■","")</x:f>
      </x:c>
      <x:c r="CM21" s="135" t="str">
        <x:f>IF(AND(CM$4&gt;=$C21,CM$4&lt;=$D21,'Вводные'!$B$89="Да"),"■","")</x:f>
      </x:c>
      <x:c r="CN21" s="135" t="str">
        <x:f>IF(AND(CN$4&gt;=$C21,CN$4&lt;=$D21,'Вводные'!$B$89="Да"),"■","")</x:f>
      </x:c>
      <x:c r="CO21" s="135" t="str">
        <x:f>IF(AND(CO$4&gt;=$C21,CO$4&lt;=$D21,'Вводные'!$B$89="Да"),"■","")</x:f>
      </x:c>
      <x:c r="CP21" s="135" t="str">
        <x:f>IF(AND(CP$4&gt;=$C21,CP$4&lt;=$D21,'Вводные'!$B$89="Да"),"■","")</x:f>
      </x:c>
      <x:c r="CQ21" s="135" t="str">
        <x:f>IF(AND(CQ$4&gt;=$C21,CQ$4&lt;=$D21,'Вводные'!$B$89="Да"),"■","")</x:f>
      </x:c>
      <x:c r="CR21" s="135" t="str">
        <x:f>IF(AND(CR$4&gt;=$C21,CR$4&lt;=$D21,'Вводные'!$B$89="Да"),"■","")</x:f>
      </x:c>
      <x:c r="CS21" s="135" t="str">
        <x:f>IF(AND(CS$4&gt;=$C21,CS$4&lt;=$D21,'Вводные'!$B$89="Да"),"■","")</x:f>
      </x:c>
      <x:c r="CT21" s="135" t="str">
        <x:f>IF(AND(CT$4&gt;=$C21,CT$4&lt;=$D21,'Вводные'!$B$89="Да"),"■","")</x:f>
      </x:c>
      <x:c r="CU21" s="135" t="str">
        <x:f>IF(AND(CU$4&gt;=$C21,CU$4&lt;=$D21,'Вводные'!$B$89="Да"),"■","")</x:f>
      </x:c>
      <x:c r="CV21" s="135" t="str">
        <x:f>IF(AND(CV$4&gt;=$C21,CV$4&lt;=$D21,'Вводные'!$B$89="Да"),"■","")</x:f>
      </x:c>
      <x:c r="CW21" s="135" t="str">
        <x:f>IF(AND(CW$4&gt;=$C21,CW$4&lt;=$D21,'Вводные'!$B$89="Да"),"■","")</x:f>
      </x:c>
      <x:c r="CX21" s="135" t="str">
        <x:f>IF(AND(CX$4&gt;=$C21,CX$4&lt;=$D21,'Вводные'!$B$89="Да"),"■","")</x:f>
      </x:c>
      <x:c r="CY21" s="135" t="str">
        <x:f>IF(AND(CY$4&gt;=$C21,CY$4&lt;=$D21,'Вводные'!$B$89="Да"),"■","")</x:f>
      </x:c>
      <x:c r="CZ21" s="135" t="str">
        <x:f>IF(AND(CZ$4&gt;=$C21,CZ$4&lt;=$D21,'Вводные'!$B$89="Да"),"■","")</x:f>
      </x:c>
      <x:c r="DA21" s="135" t="str">
        <x:f>IF(AND(DA$4&gt;=$C21,DA$4&lt;=$D21,'Вводные'!$B$89="Да"),"■","")</x:f>
      </x:c>
      <x:c r="DB21" s="135" t="str">
        <x:f>IF(AND(DB$4&gt;=$C21,DB$4&lt;=$D21,'Вводные'!$B$89="Да"),"■","")</x:f>
      </x:c>
      <x:c r="DC21" s="135" t="str">
        <x:f>IF(AND(DC$4&gt;=$C21,DC$4&lt;=$D21,'Вводные'!$B$89="Да"),"■","")</x:f>
      </x:c>
      <x:c r="DD21" s="135" t="str">
        <x:f>IF(AND(DD$4&gt;=$C21,DD$4&lt;=$D21,'Вводные'!$B$89="Да"),"■","")</x:f>
      </x:c>
      <x:c r="DE21" s="135" t="str">
        <x:f>IF(AND(DE$4&gt;=$C21,DE$4&lt;=$D21,'Вводные'!$B$89="Да"),"■","")</x:f>
      </x:c>
      <x:c r="DF21" s="135" t="str">
        <x:f>IF(AND(DF$4&gt;=$C21,DF$4&lt;=$D21,'Вводные'!$B$89="Да"),"■","")</x:f>
      </x:c>
      <x:c r="DG21" s="135" t="str">
        <x:f>IF(AND(DG$4&gt;=$C21,DG$4&lt;=$D21,'Вводные'!$B$89="Да"),"■","")</x:f>
      </x:c>
      <x:c r="DH21" s="135" t="str">
        <x:f>IF(AND(DH$4&gt;=$C21,DH$4&lt;=$D21,'Вводные'!$B$89="Да"),"■","")</x:f>
      </x:c>
      <x:c r="DI21" s="135" t="str">
        <x:f>IF(AND(DI$4&gt;=$C21,DI$4&lt;=$D21,'Вводные'!$B$89="Да"),"■","")</x:f>
      </x:c>
      <x:c r="DJ21" s="135" t="str">
        <x:f>IF(AND(DJ$4&gt;=$C21,DJ$4&lt;=$D21,'Вводные'!$B$89="Да"),"■","")</x:f>
      </x:c>
      <x:c r="DK21" s="135" t="str">
        <x:f>IF(AND(DK$4&gt;=$C21,DK$4&lt;=$D21,'Вводные'!$B$89="Да"),"■","")</x:f>
      </x:c>
      <x:c r="DL21" s="135" t="str">
        <x:f>IF(AND(DL$4&gt;=$C21,DL$4&lt;=$D21,'Вводные'!$B$89="Да"),"■","")</x:f>
      </x:c>
      <x:c r="DM21" s="135" t="str">
        <x:f>IF(AND(DM$4&gt;=$C21,DM$4&lt;=$D21,'Вводные'!$B$89="Да"),"■","")</x:f>
      </x:c>
      <x:c r="DN21" s="135" t="str">
        <x:f>IF(AND(DN$4&gt;=$C21,DN$4&lt;=$D21,'Вводные'!$B$89="Да"),"■","")</x:f>
      </x:c>
      <x:c r="DO21" s="135" t="str">
        <x:f>IF(AND(DO$4&gt;=$C21,DO$4&lt;=$D21,'Вводные'!$B$89="Да"),"■","")</x:f>
      </x:c>
      <x:c r="DP21" s="135" t="str">
        <x:f>IF(AND(DP$4&gt;=$C21,DP$4&lt;=$D21,'Вводные'!$B$89="Да"),"■","")</x:f>
      </x:c>
      <x:c r="DQ21" s="135" t="str">
        <x:f>IF(AND(DQ$4&gt;=$C21,DQ$4&lt;=$D21,'Вводные'!$B$89="Да"),"■","")</x:f>
      </x:c>
      <x:c r="DR21" s="135" t="str">
        <x:f>IF(AND(DR$4&gt;=$C21,DR$4&lt;=$D21,'Вводные'!$B$89="Да"),"■","")</x:f>
      </x:c>
      <x:c r="DS21" s="135" t="str">
        <x:f>IF(AND(DS$4&gt;=$C21,DS$4&lt;=$D21,'Вводные'!$B$89="Да"),"■","")</x:f>
      </x:c>
      <x:c r="DT21" s="135" t="str">
        <x:f>IF(AND(DT$4&gt;=$C21,DT$4&lt;=$D21,'Вводные'!$B$89="Да"),"■","")</x:f>
      </x:c>
    </x:row>
    <x:row r="22">
      <x:c r="A22" t="str">
        <x:f>'Вводные'!$C$89</x:f>
      </x:c>
      <x:c r="B22" t="str">
        <x:v>Проектное финансирование</x:v>
      </x:c>
      <x:c r="C22" s="92" t="n">
        <x:f>'CF_2'!B7</x:f>
      </x:c>
      <x:c r="D22" s="92" t="n">
        <x:f>EDATE('Продажи'!B30,'Вводные'!$H$89-1)</x:f>
      </x:c>
      <x:c r="E22" s="137" t="str">
        <x:f>IF(AND(E$4&gt;=$C22,E$4&lt;=$D22,'Вводные'!$B$89="Да"),"■","")</x:f>
      </x:c>
      <x:c r="F22" s="137" t="str">
        <x:f>IF(AND(F$4&gt;=$C22,F$4&lt;=$D22,'Вводные'!$B$89="Да"),"■","")</x:f>
      </x:c>
      <x:c r="G22" s="137" t="str">
        <x:f>IF(AND(G$4&gt;=$C22,G$4&lt;=$D22,'Вводные'!$B$89="Да"),"■","")</x:f>
      </x:c>
      <x:c r="H22" s="137" t="str">
        <x:f>IF(AND(H$4&gt;=$C22,H$4&lt;=$D22,'Вводные'!$B$89="Да"),"■","")</x:f>
      </x:c>
      <x:c r="I22" s="137" t="str">
        <x:f>IF(AND(I$4&gt;=$C22,I$4&lt;=$D22,'Вводные'!$B$89="Да"),"■","")</x:f>
      </x:c>
      <x:c r="J22" s="137" t="str">
        <x:f>IF(AND(J$4&gt;=$C22,J$4&lt;=$D22,'Вводные'!$B$89="Да"),"■","")</x:f>
      </x:c>
      <x:c r="K22" s="137" t="str">
        <x:f>IF(AND(K$4&gt;=$C22,K$4&lt;=$D22,'Вводные'!$B$89="Да"),"■","")</x:f>
      </x:c>
      <x:c r="L22" s="137" t="str">
        <x:f>IF(AND(L$4&gt;=$C22,L$4&lt;=$D22,'Вводные'!$B$89="Да"),"■","")</x:f>
      </x:c>
      <x:c r="M22" s="137" t="str">
        <x:f>IF(AND(M$4&gt;=$C22,M$4&lt;=$D22,'Вводные'!$B$89="Да"),"■","")</x:f>
      </x:c>
      <x:c r="N22" s="137" t="str">
        <x:f>IF(AND(N$4&gt;=$C22,N$4&lt;=$D22,'Вводные'!$B$89="Да"),"■","")</x:f>
      </x:c>
      <x:c r="O22" s="137" t="str">
        <x:f>IF(AND(O$4&gt;=$C22,O$4&lt;=$D22,'Вводные'!$B$89="Да"),"■","")</x:f>
      </x:c>
      <x:c r="P22" s="137" t="str">
        <x:f>IF(AND(P$4&gt;=$C22,P$4&lt;=$D22,'Вводные'!$B$89="Да"),"■","")</x:f>
      </x:c>
      <x:c r="Q22" s="137" t="str">
        <x:f>IF(AND(Q$4&gt;=$C22,Q$4&lt;=$D22,'Вводные'!$B$89="Да"),"■","")</x:f>
      </x:c>
      <x:c r="R22" s="137" t="str">
        <x:f>IF(AND(R$4&gt;=$C22,R$4&lt;=$D22,'Вводные'!$B$89="Да"),"■","")</x:f>
      </x:c>
      <x:c r="S22" s="137" t="str">
        <x:f>IF(AND(S$4&gt;=$C22,S$4&lt;=$D22,'Вводные'!$B$89="Да"),"■","")</x:f>
      </x:c>
      <x:c r="T22" s="137" t="str">
        <x:f>IF(AND(T$4&gt;=$C22,T$4&lt;=$D22,'Вводные'!$B$89="Да"),"■","")</x:f>
      </x:c>
      <x:c r="U22" s="137" t="str">
        <x:f>IF(AND(U$4&gt;=$C22,U$4&lt;=$D22,'Вводные'!$B$89="Да"),"■","")</x:f>
      </x:c>
      <x:c r="V22" s="137" t="str">
        <x:f>IF(AND(V$4&gt;=$C22,V$4&lt;=$D22,'Вводные'!$B$89="Да"),"■","")</x:f>
      </x:c>
      <x:c r="W22" s="137" t="str">
        <x:f>IF(AND(W$4&gt;=$C22,W$4&lt;=$D22,'Вводные'!$B$89="Да"),"■","")</x:f>
      </x:c>
      <x:c r="X22" s="137" t="str">
        <x:f>IF(AND(X$4&gt;=$C22,X$4&lt;=$D22,'Вводные'!$B$89="Да"),"■","")</x:f>
      </x:c>
      <x:c r="Y22" s="137" t="str">
        <x:f>IF(AND(Y$4&gt;=$C22,Y$4&lt;=$D22,'Вводные'!$B$89="Да"),"■","")</x:f>
      </x:c>
      <x:c r="Z22" s="137" t="str">
        <x:f>IF(AND(Z$4&gt;=$C22,Z$4&lt;=$D22,'Вводные'!$B$89="Да"),"■","")</x:f>
      </x:c>
      <x:c r="AA22" s="137" t="str">
        <x:f>IF(AND(AA$4&gt;=$C22,AA$4&lt;=$D22,'Вводные'!$B$89="Да"),"■","")</x:f>
      </x:c>
      <x:c r="AB22" s="137" t="str">
        <x:f>IF(AND(AB$4&gt;=$C22,AB$4&lt;=$D22,'Вводные'!$B$89="Да"),"■","")</x:f>
      </x:c>
      <x:c r="AC22" s="137" t="str">
        <x:f>IF(AND(AC$4&gt;=$C22,AC$4&lt;=$D22,'Вводные'!$B$89="Да"),"■","")</x:f>
      </x:c>
      <x:c r="AD22" s="137" t="str">
        <x:f>IF(AND(AD$4&gt;=$C22,AD$4&lt;=$D22,'Вводные'!$B$89="Да"),"■","")</x:f>
      </x:c>
      <x:c r="AE22" s="137" t="str">
        <x:f>IF(AND(AE$4&gt;=$C22,AE$4&lt;=$D22,'Вводные'!$B$89="Да"),"■","")</x:f>
      </x:c>
      <x:c r="AF22" s="137" t="str">
        <x:f>IF(AND(AF$4&gt;=$C22,AF$4&lt;=$D22,'Вводные'!$B$89="Да"),"■","")</x:f>
      </x:c>
      <x:c r="AG22" s="137" t="str">
        <x:f>IF(AND(AG$4&gt;=$C22,AG$4&lt;=$D22,'Вводные'!$B$89="Да"),"■","")</x:f>
      </x:c>
      <x:c r="AH22" s="137" t="str">
        <x:f>IF(AND(AH$4&gt;=$C22,AH$4&lt;=$D22,'Вводные'!$B$89="Да"),"■","")</x:f>
      </x:c>
      <x:c r="AI22" s="137" t="str">
        <x:f>IF(AND(AI$4&gt;=$C22,AI$4&lt;=$D22,'Вводные'!$B$89="Да"),"■","")</x:f>
      </x:c>
      <x:c r="AJ22" s="137" t="str">
        <x:f>IF(AND(AJ$4&gt;=$C22,AJ$4&lt;=$D22,'Вводные'!$B$89="Да"),"■","")</x:f>
      </x:c>
      <x:c r="AK22" s="137" t="str">
        <x:f>IF(AND(AK$4&gt;=$C22,AK$4&lt;=$D22,'Вводные'!$B$89="Да"),"■","")</x:f>
      </x:c>
      <x:c r="AL22" s="137" t="str">
        <x:f>IF(AND(AL$4&gt;=$C22,AL$4&lt;=$D22,'Вводные'!$B$89="Да"),"■","")</x:f>
      </x:c>
      <x:c r="AM22" s="137" t="str">
        <x:f>IF(AND(AM$4&gt;=$C22,AM$4&lt;=$D22,'Вводные'!$B$89="Да"),"■","")</x:f>
      </x:c>
      <x:c r="AN22" s="137" t="str">
        <x:f>IF(AND(AN$4&gt;=$C22,AN$4&lt;=$D22,'Вводные'!$B$89="Да"),"■","")</x:f>
      </x:c>
      <x:c r="AO22" s="137" t="str">
        <x:f>IF(AND(AO$4&gt;=$C22,AO$4&lt;=$D22,'Вводные'!$B$89="Да"),"■","")</x:f>
      </x:c>
      <x:c r="AP22" s="137" t="str">
        <x:f>IF(AND(AP$4&gt;=$C22,AP$4&lt;=$D22,'Вводные'!$B$89="Да"),"■","")</x:f>
      </x:c>
      <x:c r="AQ22" s="137" t="str">
        <x:f>IF(AND(AQ$4&gt;=$C22,AQ$4&lt;=$D22,'Вводные'!$B$89="Да"),"■","")</x:f>
      </x:c>
      <x:c r="AR22" s="137" t="str">
        <x:f>IF(AND(AR$4&gt;=$C22,AR$4&lt;=$D22,'Вводные'!$B$89="Да"),"■","")</x:f>
      </x:c>
      <x:c r="AS22" s="137" t="str">
        <x:f>IF(AND(AS$4&gt;=$C22,AS$4&lt;=$D22,'Вводные'!$B$89="Да"),"■","")</x:f>
      </x:c>
      <x:c r="AT22" s="137" t="str">
        <x:f>IF(AND(AT$4&gt;=$C22,AT$4&lt;=$D22,'Вводные'!$B$89="Да"),"■","")</x:f>
      </x:c>
      <x:c r="AU22" s="137" t="str">
        <x:f>IF(AND(AU$4&gt;=$C22,AU$4&lt;=$D22,'Вводные'!$B$89="Да"),"■","")</x:f>
      </x:c>
      <x:c r="AV22" s="137" t="str">
        <x:f>IF(AND(AV$4&gt;=$C22,AV$4&lt;=$D22,'Вводные'!$B$89="Да"),"■","")</x:f>
      </x:c>
      <x:c r="AW22" s="137" t="str">
        <x:f>IF(AND(AW$4&gt;=$C22,AW$4&lt;=$D22,'Вводные'!$B$89="Да"),"■","")</x:f>
      </x:c>
      <x:c r="AX22" s="137" t="str">
        <x:f>IF(AND(AX$4&gt;=$C22,AX$4&lt;=$D22,'Вводные'!$B$89="Да"),"■","")</x:f>
      </x:c>
      <x:c r="AY22" s="137" t="str">
        <x:f>IF(AND(AY$4&gt;=$C22,AY$4&lt;=$D22,'Вводные'!$B$89="Да"),"■","")</x:f>
      </x:c>
      <x:c r="AZ22" s="137" t="str">
        <x:f>IF(AND(AZ$4&gt;=$C22,AZ$4&lt;=$D22,'Вводные'!$B$89="Да"),"■","")</x:f>
      </x:c>
      <x:c r="BA22" s="137" t="str">
        <x:f>IF(AND(BA$4&gt;=$C22,BA$4&lt;=$D22,'Вводные'!$B$89="Да"),"■","")</x:f>
      </x:c>
      <x:c r="BB22" s="137" t="str">
        <x:f>IF(AND(BB$4&gt;=$C22,BB$4&lt;=$D22,'Вводные'!$B$89="Да"),"■","")</x:f>
      </x:c>
      <x:c r="BC22" s="137" t="str">
        <x:f>IF(AND(BC$4&gt;=$C22,BC$4&lt;=$D22,'Вводные'!$B$89="Да"),"■","")</x:f>
      </x:c>
      <x:c r="BD22" s="137" t="str">
        <x:f>IF(AND(BD$4&gt;=$C22,BD$4&lt;=$D22,'Вводные'!$B$89="Да"),"■","")</x:f>
      </x:c>
      <x:c r="BE22" s="137" t="str">
        <x:f>IF(AND(BE$4&gt;=$C22,BE$4&lt;=$D22,'Вводные'!$B$89="Да"),"■","")</x:f>
      </x:c>
      <x:c r="BF22" s="137" t="str">
        <x:f>IF(AND(BF$4&gt;=$C22,BF$4&lt;=$D22,'Вводные'!$B$89="Да"),"■","")</x:f>
      </x:c>
      <x:c r="BG22" s="137" t="str">
        <x:f>IF(AND(BG$4&gt;=$C22,BG$4&lt;=$D22,'Вводные'!$B$89="Да"),"■","")</x:f>
      </x:c>
      <x:c r="BH22" s="137" t="str">
        <x:f>IF(AND(BH$4&gt;=$C22,BH$4&lt;=$D22,'Вводные'!$B$89="Да"),"■","")</x:f>
      </x:c>
      <x:c r="BI22" s="137" t="str">
        <x:f>IF(AND(BI$4&gt;=$C22,BI$4&lt;=$D22,'Вводные'!$B$89="Да"),"■","")</x:f>
      </x:c>
      <x:c r="BJ22" s="137" t="str">
        <x:f>IF(AND(BJ$4&gt;=$C22,BJ$4&lt;=$D22,'Вводные'!$B$89="Да"),"■","")</x:f>
      </x:c>
      <x:c r="BK22" s="137" t="str">
        <x:f>IF(AND(BK$4&gt;=$C22,BK$4&lt;=$D22,'Вводные'!$B$89="Да"),"■","")</x:f>
      </x:c>
      <x:c r="BL22" s="137" t="str">
        <x:f>IF(AND(BL$4&gt;=$C22,BL$4&lt;=$D22,'Вводные'!$B$89="Да"),"■","")</x:f>
      </x:c>
      <x:c r="BM22" s="137" t="str">
        <x:f>IF(AND(BM$4&gt;=$C22,BM$4&lt;=$D22,'Вводные'!$B$89="Да"),"■","")</x:f>
      </x:c>
      <x:c r="BN22" s="137" t="str">
        <x:f>IF(AND(BN$4&gt;=$C22,BN$4&lt;=$D22,'Вводные'!$B$89="Да"),"■","")</x:f>
      </x:c>
      <x:c r="BO22" s="137" t="str">
        <x:f>IF(AND(BO$4&gt;=$C22,BO$4&lt;=$D22,'Вводные'!$B$89="Да"),"■","")</x:f>
      </x:c>
      <x:c r="BP22" s="137" t="str">
        <x:f>IF(AND(BP$4&gt;=$C22,BP$4&lt;=$D22,'Вводные'!$B$89="Да"),"■","")</x:f>
      </x:c>
      <x:c r="BQ22" s="137" t="str">
        <x:f>IF(AND(BQ$4&gt;=$C22,BQ$4&lt;=$D22,'Вводные'!$B$89="Да"),"■","")</x:f>
      </x:c>
      <x:c r="BR22" s="137" t="str">
        <x:f>IF(AND(BR$4&gt;=$C22,BR$4&lt;=$D22,'Вводные'!$B$89="Да"),"■","")</x:f>
      </x:c>
      <x:c r="BS22" s="137" t="str">
        <x:f>IF(AND(BS$4&gt;=$C22,BS$4&lt;=$D22,'Вводные'!$B$89="Да"),"■","")</x:f>
      </x:c>
      <x:c r="BT22" s="137" t="str">
        <x:f>IF(AND(BT$4&gt;=$C22,BT$4&lt;=$D22,'Вводные'!$B$89="Да"),"■","")</x:f>
      </x:c>
      <x:c r="BU22" s="137" t="str">
        <x:f>IF(AND(BU$4&gt;=$C22,BU$4&lt;=$D22,'Вводные'!$B$89="Да"),"■","")</x:f>
      </x:c>
      <x:c r="BV22" s="137" t="str">
        <x:f>IF(AND(BV$4&gt;=$C22,BV$4&lt;=$D22,'Вводные'!$B$89="Да"),"■","")</x:f>
      </x:c>
      <x:c r="BW22" s="137" t="str">
        <x:f>IF(AND(BW$4&gt;=$C22,BW$4&lt;=$D22,'Вводные'!$B$89="Да"),"■","")</x:f>
      </x:c>
      <x:c r="BX22" s="137" t="str">
        <x:f>IF(AND(BX$4&gt;=$C22,BX$4&lt;=$D22,'Вводные'!$B$89="Да"),"■","")</x:f>
      </x:c>
      <x:c r="BY22" s="137" t="str">
        <x:f>IF(AND(BY$4&gt;=$C22,BY$4&lt;=$D22,'Вводные'!$B$89="Да"),"■","")</x:f>
      </x:c>
      <x:c r="BZ22" s="137" t="str">
        <x:f>IF(AND(BZ$4&gt;=$C22,BZ$4&lt;=$D22,'Вводные'!$B$89="Да"),"■","")</x:f>
      </x:c>
      <x:c r="CA22" s="137" t="str">
        <x:f>IF(AND(CA$4&gt;=$C22,CA$4&lt;=$D22,'Вводные'!$B$89="Да"),"■","")</x:f>
      </x:c>
      <x:c r="CB22" s="137" t="str">
        <x:f>IF(AND(CB$4&gt;=$C22,CB$4&lt;=$D22,'Вводные'!$B$89="Да"),"■","")</x:f>
      </x:c>
      <x:c r="CC22" s="137" t="str">
        <x:f>IF(AND(CC$4&gt;=$C22,CC$4&lt;=$D22,'Вводные'!$B$89="Да"),"■","")</x:f>
      </x:c>
      <x:c r="CD22" s="137" t="str">
        <x:f>IF(AND(CD$4&gt;=$C22,CD$4&lt;=$D22,'Вводные'!$B$89="Да"),"■","")</x:f>
      </x:c>
      <x:c r="CE22" s="137" t="str">
        <x:f>IF(AND(CE$4&gt;=$C22,CE$4&lt;=$D22,'Вводные'!$B$89="Да"),"■","")</x:f>
      </x:c>
      <x:c r="CF22" s="137" t="str">
        <x:f>IF(AND(CF$4&gt;=$C22,CF$4&lt;=$D22,'Вводные'!$B$89="Да"),"■","")</x:f>
      </x:c>
      <x:c r="CG22" s="137" t="str">
        <x:f>IF(AND(CG$4&gt;=$C22,CG$4&lt;=$D22,'Вводные'!$B$89="Да"),"■","")</x:f>
      </x:c>
      <x:c r="CH22" s="137" t="str">
        <x:f>IF(AND(CH$4&gt;=$C22,CH$4&lt;=$D22,'Вводные'!$B$89="Да"),"■","")</x:f>
      </x:c>
      <x:c r="CI22" s="137" t="str">
        <x:f>IF(AND(CI$4&gt;=$C22,CI$4&lt;=$D22,'Вводные'!$B$89="Да"),"■","")</x:f>
      </x:c>
      <x:c r="CJ22" s="137" t="str">
        <x:f>IF(AND(CJ$4&gt;=$C22,CJ$4&lt;=$D22,'Вводные'!$B$89="Да"),"■","")</x:f>
      </x:c>
      <x:c r="CK22" s="137" t="str">
        <x:f>IF(AND(CK$4&gt;=$C22,CK$4&lt;=$D22,'Вводные'!$B$89="Да"),"■","")</x:f>
      </x:c>
      <x:c r="CL22" s="137" t="str">
        <x:f>IF(AND(CL$4&gt;=$C22,CL$4&lt;=$D22,'Вводные'!$B$89="Да"),"■","")</x:f>
      </x:c>
      <x:c r="CM22" s="137" t="str">
        <x:f>IF(AND(CM$4&gt;=$C22,CM$4&lt;=$D22,'Вводные'!$B$89="Да"),"■","")</x:f>
      </x:c>
      <x:c r="CN22" s="137" t="str">
        <x:f>IF(AND(CN$4&gt;=$C22,CN$4&lt;=$D22,'Вводные'!$B$89="Да"),"■","")</x:f>
      </x:c>
      <x:c r="CO22" s="137" t="str">
        <x:f>IF(AND(CO$4&gt;=$C22,CO$4&lt;=$D22,'Вводные'!$B$89="Да"),"■","")</x:f>
      </x:c>
      <x:c r="CP22" s="137" t="str">
        <x:f>IF(AND(CP$4&gt;=$C22,CP$4&lt;=$D22,'Вводные'!$B$89="Да"),"■","")</x:f>
      </x:c>
      <x:c r="CQ22" s="137" t="str">
        <x:f>IF(AND(CQ$4&gt;=$C22,CQ$4&lt;=$D22,'Вводные'!$B$89="Да"),"■","")</x:f>
      </x:c>
      <x:c r="CR22" s="137" t="str">
        <x:f>IF(AND(CR$4&gt;=$C22,CR$4&lt;=$D22,'Вводные'!$B$89="Да"),"■","")</x:f>
      </x:c>
      <x:c r="CS22" s="137" t="str">
        <x:f>IF(AND(CS$4&gt;=$C22,CS$4&lt;=$D22,'Вводные'!$B$89="Да"),"■","")</x:f>
      </x:c>
      <x:c r="CT22" s="137" t="str">
        <x:f>IF(AND(CT$4&gt;=$C22,CT$4&lt;=$D22,'Вводные'!$B$89="Да"),"■","")</x:f>
      </x:c>
      <x:c r="CU22" s="137" t="str">
        <x:f>IF(AND(CU$4&gt;=$C22,CU$4&lt;=$D22,'Вводные'!$B$89="Да"),"■","")</x:f>
      </x:c>
      <x:c r="CV22" s="137" t="str">
        <x:f>IF(AND(CV$4&gt;=$C22,CV$4&lt;=$D22,'Вводные'!$B$89="Да"),"■","")</x:f>
      </x:c>
      <x:c r="CW22" s="137" t="str">
        <x:f>IF(AND(CW$4&gt;=$C22,CW$4&lt;=$D22,'Вводные'!$B$89="Да"),"■","")</x:f>
      </x:c>
      <x:c r="CX22" s="137" t="str">
        <x:f>IF(AND(CX$4&gt;=$C22,CX$4&lt;=$D22,'Вводные'!$B$89="Да"),"■","")</x:f>
      </x:c>
      <x:c r="CY22" s="137" t="str">
        <x:f>IF(AND(CY$4&gt;=$C22,CY$4&lt;=$D22,'Вводные'!$B$89="Да"),"■","")</x:f>
      </x:c>
      <x:c r="CZ22" s="137" t="str">
        <x:f>IF(AND(CZ$4&gt;=$C22,CZ$4&lt;=$D22,'Вводные'!$B$89="Да"),"■","")</x:f>
      </x:c>
      <x:c r="DA22" s="137" t="str">
        <x:f>IF(AND(DA$4&gt;=$C22,DA$4&lt;=$D22,'Вводные'!$B$89="Да"),"■","")</x:f>
      </x:c>
      <x:c r="DB22" s="137" t="str">
        <x:f>IF(AND(DB$4&gt;=$C22,DB$4&lt;=$D22,'Вводные'!$B$89="Да"),"■","")</x:f>
      </x:c>
      <x:c r="DC22" s="137" t="str">
        <x:f>IF(AND(DC$4&gt;=$C22,DC$4&lt;=$D22,'Вводные'!$B$89="Да"),"■","")</x:f>
      </x:c>
      <x:c r="DD22" s="137" t="str">
        <x:f>IF(AND(DD$4&gt;=$C22,DD$4&lt;=$D22,'Вводные'!$B$89="Да"),"■","")</x:f>
      </x:c>
      <x:c r="DE22" s="137" t="str">
        <x:f>IF(AND(DE$4&gt;=$C22,DE$4&lt;=$D22,'Вводные'!$B$89="Да"),"■","")</x:f>
      </x:c>
      <x:c r="DF22" s="137" t="str">
        <x:f>IF(AND(DF$4&gt;=$C22,DF$4&lt;=$D22,'Вводные'!$B$89="Да"),"■","")</x:f>
      </x:c>
      <x:c r="DG22" s="137" t="str">
        <x:f>IF(AND(DG$4&gt;=$C22,DG$4&lt;=$D22,'Вводные'!$B$89="Да"),"■","")</x:f>
      </x:c>
      <x:c r="DH22" s="137" t="str">
        <x:f>IF(AND(DH$4&gt;=$C22,DH$4&lt;=$D22,'Вводные'!$B$89="Да"),"■","")</x:f>
      </x:c>
      <x:c r="DI22" s="137" t="str">
        <x:f>IF(AND(DI$4&gt;=$C22,DI$4&lt;=$D22,'Вводные'!$B$89="Да"),"■","")</x:f>
      </x:c>
      <x:c r="DJ22" s="137" t="str">
        <x:f>IF(AND(DJ$4&gt;=$C22,DJ$4&lt;=$D22,'Вводные'!$B$89="Да"),"■","")</x:f>
      </x:c>
      <x:c r="DK22" s="137" t="str">
        <x:f>IF(AND(DK$4&gt;=$C22,DK$4&lt;=$D22,'Вводные'!$B$89="Да"),"■","")</x:f>
      </x:c>
      <x:c r="DL22" s="137" t="str">
        <x:f>IF(AND(DL$4&gt;=$C22,DL$4&lt;=$D22,'Вводные'!$B$89="Да"),"■","")</x:f>
      </x:c>
      <x:c r="DM22" s="137" t="str">
        <x:f>IF(AND(DM$4&gt;=$C22,DM$4&lt;=$D22,'Вводные'!$B$89="Да"),"■","")</x:f>
      </x:c>
      <x:c r="DN22" s="137" t="str">
        <x:f>IF(AND(DN$4&gt;=$C22,DN$4&lt;=$D22,'Вводные'!$B$89="Да"),"■","")</x:f>
      </x:c>
      <x:c r="DO22" s="137" t="str">
        <x:f>IF(AND(DO$4&gt;=$C22,DO$4&lt;=$D22,'Вводные'!$B$89="Да"),"■","")</x:f>
      </x:c>
      <x:c r="DP22" s="137" t="str">
        <x:f>IF(AND(DP$4&gt;=$C22,DP$4&lt;=$D22,'Вводные'!$B$89="Да"),"■","")</x:f>
      </x:c>
      <x:c r="DQ22" s="137" t="str">
        <x:f>IF(AND(DQ$4&gt;=$C22,DQ$4&lt;=$D22,'Вводные'!$B$89="Да"),"■","")</x:f>
      </x:c>
      <x:c r="DR22" s="137" t="str">
        <x:f>IF(AND(DR$4&gt;=$C22,DR$4&lt;=$D22,'Вводные'!$B$89="Да"),"■","")</x:f>
      </x:c>
      <x:c r="DS22" s="137" t="str">
        <x:f>IF(AND(DS$4&gt;=$C22,DS$4&lt;=$D22,'Вводные'!$B$89="Да"),"■","")</x:f>
      </x:c>
      <x:c r="DT22" s="137" t="str">
        <x:f>IF(AND(DT$4&gt;=$C22,DT$4&lt;=$D22,'Вводные'!$B$89="Да"),"■","")</x:f>
      </x:c>
    </x:row>
    <x:row r="23">
      <x:c r="C23" s="92"/>
      <x:c r="D23" s="92"/>
    </x:row>
    <x:row r="24">
      <x:c r="C24" s="92"/>
      <x:c r="D24" s="92"/>
    </x:row>
    <x:row r="25">
      <x:c r="A25" t="str">
        <x:f>'Вводные'!$C$90</x:f>
      </x:c>
      <x:c r="B25" t="str">
        <x:v>Сделка / старт</x:v>
      </x:c>
      <x:c r="C25" s="92" t="n">
        <x:f>EDATE('Вводные'!$D$90,'Вводные'!$H$9)</x:f>
      </x:c>
      <x:c r="D25" s="92" t="n">
        <x:f>C25</x:f>
      </x:c>
      <x:c r="E25" s="135" t="str">
        <x:f>IF(AND(E$4&gt;=$C25,E$4&lt;=$D25,'Вводные'!$B$90="Да"),"■","")</x:f>
      </x:c>
      <x:c r="F25" s="135" t="str">
        <x:f>IF(AND(F$4&gt;=$C25,F$4&lt;=$D25,'Вводные'!$B$90="Да"),"■","")</x:f>
      </x:c>
      <x:c r="G25" s="135" t="str">
        <x:f>IF(AND(G$4&gt;=$C25,G$4&lt;=$D25,'Вводные'!$B$90="Да"),"■","")</x:f>
      </x:c>
      <x:c r="H25" s="135" t="str">
        <x:f>IF(AND(H$4&gt;=$C25,H$4&lt;=$D25,'Вводные'!$B$90="Да"),"■","")</x:f>
      </x:c>
      <x:c r="I25" s="135" t="str">
        <x:f>IF(AND(I$4&gt;=$C25,I$4&lt;=$D25,'Вводные'!$B$90="Да"),"■","")</x:f>
      </x:c>
      <x:c r="J25" s="135" t="str">
        <x:f>IF(AND(J$4&gt;=$C25,J$4&lt;=$D25,'Вводные'!$B$90="Да"),"■","")</x:f>
      </x:c>
      <x:c r="K25" s="135" t="str">
        <x:f>IF(AND(K$4&gt;=$C25,K$4&lt;=$D25,'Вводные'!$B$90="Да"),"■","")</x:f>
      </x:c>
      <x:c r="L25" s="135" t="str">
        <x:f>IF(AND(L$4&gt;=$C25,L$4&lt;=$D25,'Вводные'!$B$90="Да"),"■","")</x:f>
      </x:c>
      <x:c r="M25" s="135" t="str">
        <x:f>IF(AND(M$4&gt;=$C25,M$4&lt;=$D25,'Вводные'!$B$90="Да"),"■","")</x:f>
      </x:c>
      <x:c r="N25" s="135" t="str">
        <x:f>IF(AND(N$4&gt;=$C25,N$4&lt;=$D25,'Вводные'!$B$90="Да"),"■","")</x:f>
      </x:c>
      <x:c r="O25" s="135" t="str">
        <x:f>IF(AND(O$4&gt;=$C25,O$4&lt;=$D25,'Вводные'!$B$90="Да"),"■","")</x:f>
      </x:c>
      <x:c r="P25" s="135" t="str">
        <x:f>IF(AND(P$4&gt;=$C25,P$4&lt;=$D25,'Вводные'!$B$90="Да"),"■","")</x:f>
      </x:c>
      <x:c r="Q25" s="135" t="str">
        <x:f>IF(AND(Q$4&gt;=$C25,Q$4&lt;=$D25,'Вводные'!$B$90="Да"),"■","")</x:f>
      </x:c>
      <x:c r="R25" s="135" t="str">
        <x:f>IF(AND(R$4&gt;=$C25,R$4&lt;=$D25,'Вводные'!$B$90="Да"),"■","")</x:f>
      </x:c>
      <x:c r="S25" s="135" t="str">
        <x:f>IF(AND(S$4&gt;=$C25,S$4&lt;=$D25,'Вводные'!$B$90="Да"),"■","")</x:f>
      </x:c>
      <x:c r="T25" s="135" t="str">
        <x:f>IF(AND(T$4&gt;=$C25,T$4&lt;=$D25,'Вводные'!$B$90="Да"),"■","")</x:f>
      </x:c>
      <x:c r="U25" s="135" t="str">
        <x:f>IF(AND(U$4&gt;=$C25,U$4&lt;=$D25,'Вводные'!$B$90="Да"),"■","")</x:f>
      </x:c>
      <x:c r="V25" s="135" t="str">
        <x:f>IF(AND(V$4&gt;=$C25,V$4&lt;=$D25,'Вводные'!$B$90="Да"),"■","")</x:f>
      </x:c>
      <x:c r="W25" s="135" t="str">
        <x:f>IF(AND(W$4&gt;=$C25,W$4&lt;=$D25,'Вводные'!$B$90="Да"),"■","")</x:f>
      </x:c>
      <x:c r="X25" s="135" t="str">
        <x:f>IF(AND(X$4&gt;=$C25,X$4&lt;=$D25,'Вводные'!$B$90="Да"),"■","")</x:f>
      </x:c>
      <x:c r="Y25" s="135" t="str">
        <x:f>IF(AND(Y$4&gt;=$C25,Y$4&lt;=$D25,'Вводные'!$B$90="Да"),"■","")</x:f>
      </x:c>
      <x:c r="Z25" s="135" t="str">
        <x:f>IF(AND(Z$4&gt;=$C25,Z$4&lt;=$D25,'Вводные'!$B$90="Да"),"■","")</x:f>
      </x:c>
      <x:c r="AA25" s="135" t="str">
        <x:f>IF(AND(AA$4&gt;=$C25,AA$4&lt;=$D25,'Вводные'!$B$90="Да"),"■","")</x:f>
      </x:c>
      <x:c r="AB25" s="135" t="str">
        <x:f>IF(AND(AB$4&gt;=$C25,AB$4&lt;=$D25,'Вводные'!$B$90="Да"),"■","")</x:f>
      </x:c>
      <x:c r="AC25" s="135" t="str">
        <x:f>IF(AND(AC$4&gt;=$C25,AC$4&lt;=$D25,'Вводные'!$B$90="Да"),"■","")</x:f>
      </x:c>
      <x:c r="AD25" s="135" t="str">
        <x:f>IF(AND(AD$4&gt;=$C25,AD$4&lt;=$D25,'Вводные'!$B$90="Да"),"■","")</x:f>
      </x:c>
      <x:c r="AE25" s="135" t="str">
        <x:f>IF(AND(AE$4&gt;=$C25,AE$4&lt;=$D25,'Вводные'!$B$90="Да"),"■","")</x:f>
      </x:c>
      <x:c r="AF25" s="135" t="str">
        <x:f>IF(AND(AF$4&gt;=$C25,AF$4&lt;=$D25,'Вводные'!$B$90="Да"),"■","")</x:f>
      </x:c>
      <x:c r="AG25" s="135" t="str">
        <x:f>IF(AND(AG$4&gt;=$C25,AG$4&lt;=$D25,'Вводные'!$B$90="Да"),"■","")</x:f>
      </x:c>
      <x:c r="AH25" s="135" t="str">
        <x:f>IF(AND(AH$4&gt;=$C25,AH$4&lt;=$D25,'Вводные'!$B$90="Да"),"■","")</x:f>
      </x:c>
      <x:c r="AI25" s="135" t="str">
        <x:f>IF(AND(AI$4&gt;=$C25,AI$4&lt;=$D25,'Вводные'!$B$90="Да"),"■","")</x:f>
      </x:c>
      <x:c r="AJ25" s="135" t="str">
        <x:f>IF(AND(AJ$4&gt;=$C25,AJ$4&lt;=$D25,'Вводные'!$B$90="Да"),"■","")</x:f>
      </x:c>
      <x:c r="AK25" s="135" t="str">
        <x:f>IF(AND(AK$4&gt;=$C25,AK$4&lt;=$D25,'Вводные'!$B$90="Да"),"■","")</x:f>
      </x:c>
      <x:c r="AL25" s="135" t="str">
        <x:f>IF(AND(AL$4&gt;=$C25,AL$4&lt;=$D25,'Вводные'!$B$90="Да"),"■","")</x:f>
      </x:c>
      <x:c r="AM25" s="135" t="str">
        <x:f>IF(AND(AM$4&gt;=$C25,AM$4&lt;=$D25,'Вводные'!$B$90="Да"),"■","")</x:f>
      </x:c>
      <x:c r="AN25" s="135" t="str">
        <x:f>IF(AND(AN$4&gt;=$C25,AN$4&lt;=$D25,'Вводные'!$B$90="Да"),"■","")</x:f>
      </x:c>
      <x:c r="AO25" s="135" t="str">
        <x:f>IF(AND(AO$4&gt;=$C25,AO$4&lt;=$D25,'Вводные'!$B$90="Да"),"■","")</x:f>
      </x:c>
      <x:c r="AP25" s="135" t="str">
        <x:f>IF(AND(AP$4&gt;=$C25,AP$4&lt;=$D25,'Вводные'!$B$90="Да"),"■","")</x:f>
      </x:c>
      <x:c r="AQ25" s="135" t="str">
        <x:f>IF(AND(AQ$4&gt;=$C25,AQ$4&lt;=$D25,'Вводные'!$B$90="Да"),"■","")</x:f>
      </x:c>
      <x:c r="AR25" s="135" t="str">
        <x:f>IF(AND(AR$4&gt;=$C25,AR$4&lt;=$D25,'Вводные'!$B$90="Да"),"■","")</x:f>
      </x:c>
      <x:c r="AS25" s="135" t="str">
        <x:f>IF(AND(AS$4&gt;=$C25,AS$4&lt;=$D25,'Вводные'!$B$90="Да"),"■","")</x:f>
      </x:c>
      <x:c r="AT25" s="135" t="str">
        <x:f>IF(AND(AT$4&gt;=$C25,AT$4&lt;=$D25,'Вводные'!$B$90="Да"),"■","")</x:f>
      </x:c>
      <x:c r="AU25" s="135" t="str">
        <x:f>IF(AND(AU$4&gt;=$C25,AU$4&lt;=$D25,'Вводные'!$B$90="Да"),"■","")</x:f>
      </x:c>
      <x:c r="AV25" s="135" t="str">
        <x:f>IF(AND(AV$4&gt;=$C25,AV$4&lt;=$D25,'Вводные'!$B$90="Да"),"■","")</x:f>
      </x:c>
      <x:c r="AW25" s="135" t="str">
        <x:f>IF(AND(AW$4&gt;=$C25,AW$4&lt;=$D25,'Вводные'!$B$90="Да"),"■","")</x:f>
      </x:c>
      <x:c r="AX25" s="135" t="str">
        <x:f>IF(AND(AX$4&gt;=$C25,AX$4&lt;=$D25,'Вводные'!$B$90="Да"),"■","")</x:f>
      </x:c>
      <x:c r="AY25" s="135" t="str">
        <x:f>IF(AND(AY$4&gt;=$C25,AY$4&lt;=$D25,'Вводные'!$B$90="Да"),"■","")</x:f>
      </x:c>
      <x:c r="AZ25" s="135" t="str">
        <x:f>IF(AND(AZ$4&gt;=$C25,AZ$4&lt;=$D25,'Вводные'!$B$90="Да"),"■","")</x:f>
      </x:c>
      <x:c r="BA25" s="135" t="str">
        <x:f>IF(AND(BA$4&gt;=$C25,BA$4&lt;=$D25,'Вводные'!$B$90="Да"),"■","")</x:f>
      </x:c>
      <x:c r="BB25" s="135" t="str">
        <x:f>IF(AND(BB$4&gt;=$C25,BB$4&lt;=$D25,'Вводные'!$B$90="Да"),"■","")</x:f>
      </x:c>
      <x:c r="BC25" s="135" t="str">
        <x:f>IF(AND(BC$4&gt;=$C25,BC$4&lt;=$D25,'Вводные'!$B$90="Да"),"■","")</x:f>
      </x:c>
      <x:c r="BD25" s="135" t="str">
        <x:f>IF(AND(BD$4&gt;=$C25,BD$4&lt;=$D25,'Вводные'!$B$90="Да"),"■","")</x:f>
      </x:c>
      <x:c r="BE25" s="135" t="str">
        <x:f>IF(AND(BE$4&gt;=$C25,BE$4&lt;=$D25,'Вводные'!$B$90="Да"),"■","")</x:f>
      </x:c>
      <x:c r="BF25" s="135" t="str">
        <x:f>IF(AND(BF$4&gt;=$C25,BF$4&lt;=$D25,'Вводные'!$B$90="Да"),"■","")</x:f>
      </x:c>
      <x:c r="BG25" s="135" t="str">
        <x:f>IF(AND(BG$4&gt;=$C25,BG$4&lt;=$D25,'Вводные'!$B$90="Да"),"■","")</x:f>
      </x:c>
      <x:c r="BH25" s="135" t="str">
        <x:f>IF(AND(BH$4&gt;=$C25,BH$4&lt;=$D25,'Вводные'!$B$90="Да"),"■","")</x:f>
      </x:c>
      <x:c r="BI25" s="135" t="str">
        <x:f>IF(AND(BI$4&gt;=$C25,BI$4&lt;=$D25,'Вводные'!$B$90="Да"),"■","")</x:f>
      </x:c>
      <x:c r="BJ25" s="135" t="str">
        <x:f>IF(AND(BJ$4&gt;=$C25,BJ$4&lt;=$D25,'Вводные'!$B$90="Да"),"■","")</x:f>
      </x:c>
      <x:c r="BK25" s="135" t="str">
        <x:f>IF(AND(BK$4&gt;=$C25,BK$4&lt;=$D25,'Вводные'!$B$90="Да"),"■","")</x:f>
      </x:c>
      <x:c r="BL25" s="135" t="str">
        <x:f>IF(AND(BL$4&gt;=$C25,BL$4&lt;=$D25,'Вводные'!$B$90="Да"),"■","")</x:f>
      </x:c>
      <x:c r="BM25" s="135" t="str">
        <x:f>IF(AND(BM$4&gt;=$C25,BM$4&lt;=$D25,'Вводные'!$B$90="Да"),"■","")</x:f>
      </x:c>
      <x:c r="BN25" s="135" t="str">
        <x:f>IF(AND(BN$4&gt;=$C25,BN$4&lt;=$D25,'Вводные'!$B$90="Да"),"■","")</x:f>
      </x:c>
      <x:c r="BO25" s="135" t="str">
        <x:f>IF(AND(BO$4&gt;=$C25,BO$4&lt;=$D25,'Вводные'!$B$90="Да"),"■","")</x:f>
      </x:c>
      <x:c r="BP25" s="135" t="str">
        <x:f>IF(AND(BP$4&gt;=$C25,BP$4&lt;=$D25,'Вводные'!$B$90="Да"),"■","")</x:f>
      </x:c>
      <x:c r="BQ25" s="135" t="str">
        <x:f>IF(AND(BQ$4&gt;=$C25,BQ$4&lt;=$D25,'Вводные'!$B$90="Да"),"■","")</x:f>
      </x:c>
      <x:c r="BR25" s="135" t="str">
        <x:f>IF(AND(BR$4&gt;=$C25,BR$4&lt;=$D25,'Вводные'!$B$90="Да"),"■","")</x:f>
      </x:c>
      <x:c r="BS25" s="135" t="str">
        <x:f>IF(AND(BS$4&gt;=$C25,BS$4&lt;=$D25,'Вводные'!$B$90="Да"),"■","")</x:f>
      </x:c>
      <x:c r="BT25" s="135" t="str">
        <x:f>IF(AND(BT$4&gt;=$C25,BT$4&lt;=$D25,'Вводные'!$B$90="Да"),"■","")</x:f>
      </x:c>
      <x:c r="BU25" s="135" t="str">
        <x:f>IF(AND(BU$4&gt;=$C25,BU$4&lt;=$D25,'Вводные'!$B$90="Да"),"■","")</x:f>
      </x:c>
      <x:c r="BV25" s="135" t="str">
        <x:f>IF(AND(BV$4&gt;=$C25,BV$4&lt;=$D25,'Вводные'!$B$90="Да"),"■","")</x:f>
      </x:c>
      <x:c r="BW25" s="135" t="str">
        <x:f>IF(AND(BW$4&gt;=$C25,BW$4&lt;=$D25,'Вводные'!$B$90="Да"),"■","")</x:f>
      </x:c>
      <x:c r="BX25" s="135" t="str">
        <x:f>IF(AND(BX$4&gt;=$C25,BX$4&lt;=$D25,'Вводные'!$B$90="Да"),"■","")</x:f>
      </x:c>
      <x:c r="BY25" s="135" t="str">
        <x:f>IF(AND(BY$4&gt;=$C25,BY$4&lt;=$D25,'Вводные'!$B$90="Да"),"■","")</x:f>
      </x:c>
      <x:c r="BZ25" s="135" t="str">
        <x:f>IF(AND(BZ$4&gt;=$C25,BZ$4&lt;=$D25,'Вводные'!$B$90="Да"),"■","")</x:f>
      </x:c>
      <x:c r="CA25" s="135" t="str">
        <x:f>IF(AND(CA$4&gt;=$C25,CA$4&lt;=$D25,'Вводные'!$B$90="Да"),"■","")</x:f>
      </x:c>
      <x:c r="CB25" s="135" t="str">
        <x:f>IF(AND(CB$4&gt;=$C25,CB$4&lt;=$D25,'Вводные'!$B$90="Да"),"■","")</x:f>
      </x:c>
      <x:c r="CC25" s="135" t="str">
        <x:f>IF(AND(CC$4&gt;=$C25,CC$4&lt;=$D25,'Вводные'!$B$90="Да"),"■","")</x:f>
      </x:c>
      <x:c r="CD25" s="135" t="str">
        <x:f>IF(AND(CD$4&gt;=$C25,CD$4&lt;=$D25,'Вводные'!$B$90="Да"),"■","")</x:f>
      </x:c>
      <x:c r="CE25" s="135" t="str">
        <x:f>IF(AND(CE$4&gt;=$C25,CE$4&lt;=$D25,'Вводные'!$B$90="Да"),"■","")</x:f>
      </x:c>
      <x:c r="CF25" s="135" t="str">
        <x:f>IF(AND(CF$4&gt;=$C25,CF$4&lt;=$D25,'Вводные'!$B$90="Да"),"■","")</x:f>
      </x:c>
      <x:c r="CG25" s="135" t="str">
        <x:f>IF(AND(CG$4&gt;=$C25,CG$4&lt;=$D25,'Вводные'!$B$90="Да"),"■","")</x:f>
      </x:c>
      <x:c r="CH25" s="135" t="str">
        <x:f>IF(AND(CH$4&gt;=$C25,CH$4&lt;=$D25,'Вводные'!$B$90="Да"),"■","")</x:f>
      </x:c>
      <x:c r="CI25" s="135" t="str">
        <x:f>IF(AND(CI$4&gt;=$C25,CI$4&lt;=$D25,'Вводные'!$B$90="Да"),"■","")</x:f>
      </x:c>
      <x:c r="CJ25" s="135" t="str">
        <x:f>IF(AND(CJ$4&gt;=$C25,CJ$4&lt;=$D25,'Вводные'!$B$90="Да"),"■","")</x:f>
      </x:c>
      <x:c r="CK25" s="135" t="str">
        <x:f>IF(AND(CK$4&gt;=$C25,CK$4&lt;=$D25,'Вводные'!$B$90="Да"),"■","")</x:f>
      </x:c>
      <x:c r="CL25" s="135" t="str">
        <x:f>IF(AND(CL$4&gt;=$C25,CL$4&lt;=$D25,'Вводные'!$B$90="Да"),"■","")</x:f>
      </x:c>
      <x:c r="CM25" s="135" t="str">
        <x:f>IF(AND(CM$4&gt;=$C25,CM$4&lt;=$D25,'Вводные'!$B$90="Да"),"■","")</x:f>
      </x:c>
      <x:c r="CN25" s="135" t="str">
        <x:f>IF(AND(CN$4&gt;=$C25,CN$4&lt;=$D25,'Вводные'!$B$90="Да"),"■","")</x:f>
      </x:c>
      <x:c r="CO25" s="135" t="str">
        <x:f>IF(AND(CO$4&gt;=$C25,CO$4&lt;=$D25,'Вводные'!$B$90="Да"),"■","")</x:f>
      </x:c>
      <x:c r="CP25" s="135" t="str">
        <x:f>IF(AND(CP$4&gt;=$C25,CP$4&lt;=$D25,'Вводные'!$B$90="Да"),"■","")</x:f>
      </x:c>
      <x:c r="CQ25" s="135" t="str">
        <x:f>IF(AND(CQ$4&gt;=$C25,CQ$4&lt;=$D25,'Вводные'!$B$90="Да"),"■","")</x:f>
      </x:c>
      <x:c r="CR25" s="135" t="str">
        <x:f>IF(AND(CR$4&gt;=$C25,CR$4&lt;=$D25,'Вводные'!$B$90="Да"),"■","")</x:f>
      </x:c>
      <x:c r="CS25" s="135" t="str">
        <x:f>IF(AND(CS$4&gt;=$C25,CS$4&lt;=$D25,'Вводные'!$B$90="Да"),"■","")</x:f>
      </x:c>
      <x:c r="CT25" s="135" t="str">
        <x:f>IF(AND(CT$4&gt;=$C25,CT$4&lt;=$D25,'Вводные'!$B$90="Да"),"■","")</x:f>
      </x:c>
      <x:c r="CU25" s="135" t="str">
        <x:f>IF(AND(CU$4&gt;=$C25,CU$4&lt;=$D25,'Вводные'!$B$90="Да"),"■","")</x:f>
      </x:c>
      <x:c r="CV25" s="135" t="str">
        <x:f>IF(AND(CV$4&gt;=$C25,CV$4&lt;=$D25,'Вводные'!$B$90="Да"),"■","")</x:f>
      </x:c>
      <x:c r="CW25" s="135" t="str">
        <x:f>IF(AND(CW$4&gt;=$C25,CW$4&lt;=$D25,'Вводные'!$B$90="Да"),"■","")</x:f>
      </x:c>
      <x:c r="CX25" s="135" t="str">
        <x:f>IF(AND(CX$4&gt;=$C25,CX$4&lt;=$D25,'Вводные'!$B$90="Да"),"■","")</x:f>
      </x:c>
      <x:c r="CY25" s="135" t="str">
        <x:f>IF(AND(CY$4&gt;=$C25,CY$4&lt;=$D25,'Вводные'!$B$90="Да"),"■","")</x:f>
      </x:c>
      <x:c r="CZ25" s="135" t="str">
        <x:f>IF(AND(CZ$4&gt;=$C25,CZ$4&lt;=$D25,'Вводные'!$B$90="Да"),"■","")</x:f>
      </x:c>
      <x:c r="DA25" s="135" t="str">
        <x:f>IF(AND(DA$4&gt;=$C25,DA$4&lt;=$D25,'Вводные'!$B$90="Да"),"■","")</x:f>
      </x:c>
      <x:c r="DB25" s="135" t="str">
        <x:f>IF(AND(DB$4&gt;=$C25,DB$4&lt;=$D25,'Вводные'!$B$90="Да"),"■","")</x:f>
      </x:c>
      <x:c r="DC25" s="135" t="str">
        <x:f>IF(AND(DC$4&gt;=$C25,DC$4&lt;=$D25,'Вводные'!$B$90="Да"),"■","")</x:f>
      </x:c>
      <x:c r="DD25" s="135" t="str">
        <x:f>IF(AND(DD$4&gt;=$C25,DD$4&lt;=$D25,'Вводные'!$B$90="Да"),"■","")</x:f>
      </x:c>
      <x:c r="DE25" s="135" t="str">
        <x:f>IF(AND(DE$4&gt;=$C25,DE$4&lt;=$D25,'Вводные'!$B$90="Да"),"■","")</x:f>
      </x:c>
      <x:c r="DF25" s="135" t="str">
        <x:f>IF(AND(DF$4&gt;=$C25,DF$4&lt;=$D25,'Вводные'!$B$90="Да"),"■","")</x:f>
      </x:c>
      <x:c r="DG25" s="135" t="str">
        <x:f>IF(AND(DG$4&gt;=$C25,DG$4&lt;=$D25,'Вводные'!$B$90="Да"),"■","")</x:f>
      </x:c>
      <x:c r="DH25" s="135" t="str">
        <x:f>IF(AND(DH$4&gt;=$C25,DH$4&lt;=$D25,'Вводные'!$B$90="Да"),"■","")</x:f>
      </x:c>
      <x:c r="DI25" s="135" t="str">
        <x:f>IF(AND(DI$4&gt;=$C25,DI$4&lt;=$D25,'Вводные'!$B$90="Да"),"■","")</x:f>
      </x:c>
      <x:c r="DJ25" s="135" t="str">
        <x:f>IF(AND(DJ$4&gt;=$C25,DJ$4&lt;=$D25,'Вводные'!$B$90="Да"),"■","")</x:f>
      </x:c>
      <x:c r="DK25" s="135" t="str">
        <x:f>IF(AND(DK$4&gt;=$C25,DK$4&lt;=$D25,'Вводные'!$B$90="Да"),"■","")</x:f>
      </x:c>
      <x:c r="DL25" s="135" t="str">
        <x:f>IF(AND(DL$4&gt;=$C25,DL$4&lt;=$D25,'Вводные'!$B$90="Да"),"■","")</x:f>
      </x:c>
      <x:c r="DM25" s="135" t="str">
        <x:f>IF(AND(DM$4&gt;=$C25,DM$4&lt;=$D25,'Вводные'!$B$90="Да"),"■","")</x:f>
      </x:c>
      <x:c r="DN25" s="135" t="str">
        <x:f>IF(AND(DN$4&gt;=$C25,DN$4&lt;=$D25,'Вводные'!$B$90="Да"),"■","")</x:f>
      </x:c>
      <x:c r="DO25" s="135" t="str">
        <x:f>IF(AND(DO$4&gt;=$C25,DO$4&lt;=$D25,'Вводные'!$B$90="Да"),"■","")</x:f>
      </x:c>
      <x:c r="DP25" s="135" t="str">
        <x:f>IF(AND(DP$4&gt;=$C25,DP$4&lt;=$D25,'Вводные'!$B$90="Да"),"■","")</x:f>
      </x:c>
      <x:c r="DQ25" s="135" t="str">
        <x:f>IF(AND(DQ$4&gt;=$C25,DQ$4&lt;=$D25,'Вводные'!$B$90="Да"),"■","")</x:f>
      </x:c>
      <x:c r="DR25" s="135" t="str">
        <x:f>IF(AND(DR$4&gt;=$C25,DR$4&lt;=$D25,'Вводные'!$B$90="Да"),"■","")</x:f>
      </x:c>
      <x:c r="DS25" s="135" t="str">
        <x:f>IF(AND(DS$4&gt;=$C25,DS$4&lt;=$D25,'Вводные'!$B$90="Да"),"■","")</x:f>
      </x:c>
      <x:c r="DT25" s="135" t="str">
        <x:f>IF(AND(DT$4&gt;=$C25,DT$4&lt;=$D25,'Вводные'!$B$90="Да"),"■","")</x:f>
      </x:c>
    </x:row>
    <x:row r="26">
      <x:c r="A26" t="str">
        <x:f>'Вводные'!$C$90</x:f>
      </x:c>
      <x:c r="B26" t="str">
        <x:v>ИРД и согласования</x:v>
      </x:c>
      <x:c r="C26" s="92" t="n">
        <x:f>EDATE('Вводные'!$D$90,'Вводные'!$H$9)</x:f>
      </x:c>
      <x:c r="D26" s="92" t="n">
        <x:f>EDATE(C26,'Вводные'!$E$90-1)</x:f>
      </x:c>
      <x:c r="E26" s="137" t="str">
        <x:f>IF(AND(E$4&gt;=$C26,E$4&lt;=$D26,'Вводные'!$B$90="Да"),"■","")</x:f>
      </x:c>
      <x:c r="F26" s="137" t="str">
        <x:f>IF(AND(F$4&gt;=$C26,F$4&lt;=$D26,'Вводные'!$B$90="Да"),"■","")</x:f>
      </x:c>
      <x:c r="G26" s="137" t="str">
        <x:f>IF(AND(G$4&gt;=$C26,G$4&lt;=$D26,'Вводные'!$B$90="Да"),"■","")</x:f>
      </x:c>
      <x:c r="H26" s="137" t="str">
        <x:f>IF(AND(H$4&gt;=$C26,H$4&lt;=$D26,'Вводные'!$B$90="Да"),"■","")</x:f>
      </x:c>
      <x:c r="I26" s="137" t="str">
        <x:f>IF(AND(I$4&gt;=$C26,I$4&lt;=$D26,'Вводные'!$B$90="Да"),"■","")</x:f>
      </x:c>
      <x:c r="J26" s="137" t="str">
        <x:f>IF(AND(J$4&gt;=$C26,J$4&lt;=$D26,'Вводные'!$B$90="Да"),"■","")</x:f>
      </x:c>
      <x:c r="K26" s="137" t="str">
        <x:f>IF(AND(K$4&gt;=$C26,K$4&lt;=$D26,'Вводные'!$B$90="Да"),"■","")</x:f>
      </x:c>
      <x:c r="L26" s="137" t="str">
        <x:f>IF(AND(L$4&gt;=$C26,L$4&lt;=$D26,'Вводные'!$B$90="Да"),"■","")</x:f>
      </x:c>
      <x:c r="M26" s="137" t="str">
        <x:f>IF(AND(M$4&gt;=$C26,M$4&lt;=$D26,'Вводные'!$B$90="Да"),"■","")</x:f>
      </x:c>
      <x:c r="N26" s="137" t="str">
        <x:f>IF(AND(N$4&gt;=$C26,N$4&lt;=$D26,'Вводные'!$B$90="Да"),"■","")</x:f>
      </x:c>
      <x:c r="O26" s="137" t="str">
        <x:f>IF(AND(O$4&gt;=$C26,O$4&lt;=$D26,'Вводные'!$B$90="Да"),"■","")</x:f>
      </x:c>
      <x:c r="P26" s="137" t="str">
        <x:f>IF(AND(P$4&gt;=$C26,P$4&lt;=$D26,'Вводные'!$B$90="Да"),"■","")</x:f>
      </x:c>
      <x:c r="Q26" s="137" t="str">
        <x:f>IF(AND(Q$4&gt;=$C26,Q$4&lt;=$D26,'Вводные'!$B$90="Да"),"■","")</x:f>
      </x:c>
      <x:c r="R26" s="137" t="str">
        <x:f>IF(AND(R$4&gt;=$C26,R$4&lt;=$D26,'Вводные'!$B$90="Да"),"■","")</x:f>
      </x:c>
      <x:c r="S26" s="137" t="str">
        <x:f>IF(AND(S$4&gt;=$C26,S$4&lt;=$D26,'Вводные'!$B$90="Да"),"■","")</x:f>
      </x:c>
      <x:c r="T26" s="137" t="str">
        <x:f>IF(AND(T$4&gt;=$C26,T$4&lt;=$D26,'Вводные'!$B$90="Да"),"■","")</x:f>
      </x:c>
      <x:c r="U26" s="137" t="str">
        <x:f>IF(AND(U$4&gt;=$C26,U$4&lt;=$D26,'Вводные'!$B$90="Да"),"■","")</x:f>
      </x:c>
      <x:c r="V26" s="137" t="str">
        <x:f>IF(AND(V$4&gt;=$C26,V$4&lt;=$D26,'Вводные'!$B$90="Да"),"■","")</x:f>
      </x:c>
      <x:c r="W26" s="137" t="str">
        <x:f>IF(AND(W$4&gt;=$C26,W$4&lt;=$D26,'Вводные'!$B$90="Да"),"■","")</x:f>
      </x:c>
      <x:c r="X26" s="137" t="str">
        <x:f>IF(AND(X$4&gt;=$C26,X$4&lt;=$D26,'Вводные'!$B$90="Да"),"■","")</x:f>
      </x:c>
      <x:c r="Y26" s="137" t="str">
        <x:f>IF(AND(Y$4&gt;=$C26,Y$4&lt;=$D26,'Вводные'!$B$90="Да"),"■","")</x:f>
      </x:c>
      <x:c r="Z26" s="137" t="str">
        <x:f>IF(AND(Z$4&gt;=$C26,Z$4&lt;=$D26,'Вводные'!$B$90="Да"),"■","")</x:f>
      </x:c>
      <x:c r="AA26" s="137" t="str">
        <x:f>IF(AND(AA$4&gt;=$C26,AA$4&lt;=$D26,'Вводные'!$B$90="Да"),"■","")</x:f>
      </x:c>
      <x:c r="AB26" s="137" t="str">
        <x:f>IF(AND(AB$4&gt;=$C26,AB$4&lt;=$D26,'Вводные'!$B$90="Да"),"■","")</x:f>
      </x:c>
      <x:c r="AC26" s="137" t="str">
        <x:f>IF(AND(AC$4&gt;=$C26,AC$4&lt;=$D26,'Вводные'!$B$90="Да"),"■","")</x:f>
      </x:c>
      <x:c r="AD26" s="137" t="str">
        <x:f>IF(AND(AD$4&gt;=$C26,AD$4&lt;=$D26,'Вводные'!$B$90="Да"),"■","")</x:f>
      </x:c>
      <x:c r="AE26" s="137" t="str">
        <x:f>IF(AND(AE$4&gt;=$C26,AE$4&lt;=$D26,'Вводные'!$B$90="Да"),"■","")</x:f>
      </x:c>
      <x:c r="AF26" s="137" t="str">
        <x:f>IF(AND(AF$4&gt;=$C26,AF$4&lt;=$D26,'Вводные'!$B$90="Да"),"■","")</x:f>
      </x:c>
      <x:c r="AG26" s="137" t="str">
        <x:f>IF(AND(AG$4&gt;=$C26,AG$4&lt;=$D26,'Вводные'!$B$90="Да"),"■","")</x:f>
      </x:c>
      <x:c r="AH26" s="137" t="str">
        <x:f>IF(AND(AH$4&gt;=$C26,AH$4&lt;=$D26,'Вводные'!$B$90="Да"),"■","")</x:f>
      </x:c>
      <x:c r="AI26" s="137" t="str">
        <x:f>IF(AND(AI$4&gt;=$C26,AI$4&lt;=$D26,'Вводные'!$B$90="Да"),"■","")</x:f>
      </x:c>
      <x:c r="AJ26" s="137" t="str">
        <x:f>IF(AND(AJ$4&gt;=$C26,AJ$4&lt;=$D26,'Вводные'!$B$90="Да"),"■","")</x:f>
      </x:c>
      <x:c r="AK26" s="137" t="str">
        <x:f>IF(AND(AK$4&gt;=$C26,AK$4&lt;=$D26,'Вводные'!$B$90="Да"),"■","")</x:f>
      </x:c>
      <x:c r="AL26" s="137" t="str">
        <x:f>IF(AND(AL$4&gt;=$C26,AL$4&lt;=$D26,'Вводные'!$B$90="Да"),"■","")</x:f>
      </x:c>
      <x:c r="AM26" s="137" t="str">
        <x:f>IF(AND(AM$4&gt;=$C26,AM$4&lt;=$D26,'Вводные'!$B$90="Да"),"■","")</x:f>
      </x:c>
      <x:c r="AN26" s="137" t="str">
        <x:f>IF(AND(AN$4&gt;=$C26,AN$4&lt;=$D26,'Вводные'!$B$90="Да"),"■","")</x:f>
      </x:c>
      <x:c r="AO26" s="137" t="str">
        <x:f>IF(AND(AO$4&gt;=$C26,AO$4&lt;=$D26,'Вводные'!$B$90="Да"),"■","")</x:f>
      </x:c>
      <x:c r="AP26" s="137" t="str">
        <x:f>IF(AND(AP$4&gt;=$C26,AP$4&lt;=$D26,'Вводные'!$B$90="Да"),"■","")</x:f>
      </x:c>
      <x:c r="AQ26" s="137" t="str">
        <x:f>IF(AND(AQ$4&gt;=$C26,AQ$4&lt;=$D26,'Вводные'!$B$90="Да"),"■","")</x:f>
      </x:c>
      <x:c r="AR26" s="137" t="str">
        <x:f>IF(AND(AR$4&gt;=$C26,AR$4&lt;=$D26,'Вводные'!$B$90="Да"),"■","")</x:f>
      </x:c>
      <x:c r="AS26" s="137" t="str">
        <x:f>IF(AND(AS$4&gt;=$C26,AS$4&lt;=$D26,'Вводные'!$B$90="Да"),"■","")</x:f>
      </x:c>
      <x:c r="AT26" s="137" t="str">
        <x:f>IF(AND(AT$4&gt;=$C26,AT$4&lt;=$D26,'Вводные'!$B$90="Да"),"■","")</x:f>
      </x:c>
      <x:c r="AU26" s="137" t="str">
        <x:f>IF(AND(AU$4&gt;=$C26,AU$4&lt;=$D26,'Вводные'!$B$90="Да"),"■","")</x:f>
      </x:c>
      <x:c r="AV26" s="137" t="str">
        <x:f>IF(AND(AV$4&gt;=$C26,AV$4&lt;=$D26,'Вводные'!$B$90="Да"),"■","")</x:f>
      </x:c>
      <x:c r="AW26" s="137" t="str">
        <x:f>IF(AND(AW$4&gt;=$C26,AW$4&lt;=$D26,'Вводные'!$B$90="Да"),"■","")</x:f>
      </x:c>
      <x:c r="AX26" s="137" t="str">
        <x:f>IF(AND(AX$4&gt;=$C26,AX$4&lt;=$D26,'Вводные'!$B$90="Да"),"■","")</x:f>
      </x:c>
      <x:c r="AY26" s="137" t="str">
        <x:f>IF(AND(AY$4&gt;=$C26,AY$4&lt;=$D26,'Вводные'!$B$90="Да"),"■","")</x:f>
      </x:c>
      <x:c r="AZ26" s="137" t="str">
        <x:f>IF(AND(AZ$4&gt;=$C26,AZ$4&lt;=$D26,'Вводные'!$B$90="Да"),"■","")</x:f>
      </x:c>
      <x:c r="BA26" s="137" t="str">
        <x:f>IF(AND(BA$4&gt;=$C26,BA$4&lt;=$D26,'Вводные'!$B$90="Да"),"■","")</x:f>
      </x:c>
      <x:c r="BB26" s="137" t="str">
        <x:f>IF(AND(BB$4&gt;=$C26,BB$4&lt;=$D26,'Вводные'!$B$90="Да"),"■","")</x:f>
      </x:c>
      <x:c r="BC26" s="137" t="str">
        <x:f>IF(AND(BC$4&gt;=$C26,BC$4&lt;=$D26,'Вводные'!$B$90="Да"),"■","")</x:f>
      </x:c>
      <x:c r="BD26" s="137" t="str">
        <x:f>IF(AND(BD$4&gt;=$C26,BD$4&lt;=$D26,'Вводные'!$B$90="Да"),"■","")</x:f>
      </x:c>
      <x:c r="BE26" s="137" t="str">
        <x:f>IF(AND(BE$4&gt;=$C26,BE$4&lt;=$D26,'Вводные'!$B$90="Да"),"■","")</x:f>
      </x:c>
      <x:c r="BF26" s="137" t="str">
        <x:f>IF(AND(BF$4&gt;=$C26,BF$4&lt;=$D26,'Вводные'!$B$90="Да"),"■","")</x:f>
      </x:c>
      <x:c r="BG26" s="137" t="str">
        <x:f>IF(AND(BG$4&gt;=$C26,BG$4&lt;=$D26,'Вводные'!$B$90="Да"),"■","")</x:f>
      </x:c>
      <x:c r="BH26" s="137" t="str">
        <x:f>IF(AND(BH$4&gt;=$C26,BH$4&lt;=$D26,'Вводные'!$B$90="Да"),"■","")</x:f>
      </x:c>
      <x:c r="BI26" s="137" t="str">
        <x:f>IF(AND(BI$4&gt;=$C26,BI$4&lt;=$D26,'Вводные'!$B$90="Да"),"■","")</x:f>
      </x:c>
      <x:c r="BJ26" s="137" t="str">
        <x:f>IF(AND(BJ$4&gt;=$C26,BJ$4&lt;=$D26,'Вводные'!$B$90="Да"),"■","")</x:f>
      </x:c>
      <x:c r="BK26" s="137" t="str">
        <x:f>IF(AND(BK$4&gt;=$C26,BK$4&lt;=$D26,'Вводные'!$B$90="Да"),"■","")</x:f>
      </x:c>
      <x:c r="BL26" s="137" t="str">
        <x:f>IF(AND(BL$4&gt;=$C26,BL$4&lt;=$D26,'Вводные'!$B$90="Да"),"■","")</x:f>
      </x:c>
      <x:c r="BM26" s="137" t="str">
        <x:f>IF(AND(BM$4&gt;=$C26,BM$4&lt;=$D26,'Вводные'!$B$90="Да"),"■","")</x:f>
      </x:c>
      <x:c r="BN26" s="137" t="str">
        <x:f>IF(AND(BN$4&gt;=$C26,BN$4&lt;=$D26,'Вводные'!$B$90="Да"),"■","")</x:f>
      </x:c>
      <x:c r="BO26" s="137" t="str">
        <x:f>IF(AND(BO$4&gt;=$C26,BO$4&lt;=$D26,'Вводные'!$B$90="Да"),"■","")</x:f>
      </x:c>
      <x:c r="BP26" s="137" t="str">
        <x:f>IF(AND(BP$4&gt;=$C26,BP$4&lt;=$D26,'Вводные'!$B$90="Да"),"■","")</x:f>
      </x:c>
      <x:c r="BQ26" s="137" t="str">
        <x:f>IF(AND(BQ$4&gt;=$C26,BQ$4&lt;=$D26,'Вводные'!$B$90="Да"),"■","")</x:f>
      </x:c>
      <x:c r="BR26" s="137" t="str">
        <x:f>IF(AND(BR$4&gt;=$C26,BR$4&lt;=$D26,'Вводные'!$B$90="Да"),"■","")</x:f>
      </x:c>
      <x:c r="BS26" s="137" t="str">
        <x:f>IF(AND(BS$4&gt;=$C26,BS$4&lt;=$D26,'Вводные'!$B$90="Да"),"■","")</x:f>
      </x:c>
      <x:c r="BT26" s="137" t="str">
        <x:f>IF(AND(BT$4&gt;=$C26,BT$4&lt;=$D26,'Вводные'!$B$90="Да"),"■","")</x:f>
      </x:c>
      <x:c r="BU26" s="137" t="str">
        <x:f>IF(AND(BU$4&gt;=$C26,BU$4&lt;=$D26,'Вводные'!$B$90="Да"),"■","")</x:f>
      </x:c>
      <x:c r="BV26" s="137" t="str">
        <x:f>IF(AND(BV$4&gt;=$C26,BV$4&lt;=$D26,'Вводные'!$B$90="Да"),"■","")</x:f>
      </x:c>
      <x:c r="BW26" s="137" t="str">
        <x:f>IF(AND(BW$4&gt;=$C26,BW$4&lt;=$D26,'Вводные'!$B$90="Да"),"■","")</x:f>
      </x:c>
      <x:c r="BX26" s="137" t="str">
        <x:f>IF(AND(BX$4&gt;=$C26,BX$4&lt;=$D26,'Вводные'!$B$90="Да"),"■","")</x:f>
      </x:c>
      <x:c r="BY26" s="137" t="str">
        <x:f>IF(AND(BY$4&gt;=$C26,BY$4&lt;=$D26,'Вводные'!$B$90="Да"),"■","")</x:f>
      </x:c>
      <x:c r="BZ26" s="137" t="str">
        <x:f>IF(AND(BZ$4&gt;=$C26,BZ$4&lt;=$D26,'Вводные'!$B$90="Да"),"■","")</x:f>
      </x:c>
      <x:c r="CA26" s="137" t="str">
        <x:f>IF(AND(CA$4&gt;=$C26,CA$4&lt;=$D26,'Вводные'!$B$90="Да"),"■","")</x:f>
      </x:c>
      <x:c r="CB26" s="137" t="str">
        <x:f>IF(AND(CB$4&gt;=$C26,CB$4&lt;=$D26,'Вводные'!$B$90="Да"),"■","")</x:f>
      </x:c>
      <x:c r="CC26" s="137" t="str">
        <x:f>IF(AND(CC$4&gt;=$C26,CC$4&lt;=$D26,'Вводные'!$B$90="Да"),"■","")</x:f>
      </x:c>
      <x:c r="CD26" s="137" t="str">
        <x:f>IF(AND(CD$4&gt;=$C26,CD$4&lt;=$D26,'Вводные'!$B$90="Да"),"■","")</x:f>
      </x:c>
      <x:c r="CE26" s="137" t="str">
        <x:f>IF(AND(CE$4&gt;=$C26,CE$4&lt;=$D26,'Вводные'!$B$90="Да"),"■","")</x:f>
      </x:c>
      <x:c r="CF26" s="137" t="str">
        <x:f>IF(AND(CF$4&gt;=$C26,CF$4&lt;=$D26,'Вводные'!$B$90="Да"),"■","")</x:f>
      </x:c>
      <x:c r="CG26" s="137" t="str">
        <x:f>IF(AND(CG$4&gt;=$C26,CG$4&lt;=$D26,'Вводные'!$B$90="Да"),"■","")</x:f>
      </x:c>
      <x:c r="CH26" s="137" t="str">
        <x:f>IF(AND(CH$4&gt;=$C26,CH$4&lt;=$D26,'Вводные'!$B$90="Да"),"■","")</x:f>
      </x:c>
      <x:c r="CI26" s="137" t="str">
        <x:f>IF(AND(CI$4&gt;=$C26,CI$4&lt;=$D26,'Вводные'!$B$90="Да"),"■","")</x:f>
      </x:c>
      <x:c r="CJ26" s="137" t="str">
        <x:f>IF(AND(CJ$4&gt;=$C26,CJ$4&lt;=$D26,'Вводные'!$B$90="Да"),"■","")</x:f>
      </x:c>
      <x:c r="CK26" s="137" t="str">
        <x:f>IF(AND(CK$4&gt;=$C26,CK$4&lt;=$D26,'Вводные'!$B$90="Да"),"■","")</x:f>
      </x:c>
      <x:c r="CL26" s="137" t="str">
        <x:f>IF(AND(CL$4&gt;=$C26,CL$4&lt;=$D26,'Вводные'!$B$90="Да"),"■","")</x:f>
      </x:c>
      <x:c r="CM26" s="137" t="str">
        <x:f>IF(AND(CM$4&gt;=$C26,CM$4&lt;=$D26,'Вводные'!$B$90="Да"),"■","")</x:f>
      </x:c>
      <x:c r="CN26" s="137" t="str">
        <x:f>IF(AND(CN$4&gt;=$C26,CN$4&lt;=$D26,'Вводные'!$B$90="Да"),"■","")</x:f>
      </x:c>
      <x:c r="CO26" s="137" t="str">
        <x:f>IF(AND(CO$4&gt;=$C26,CO$4&lt;=$D26,'Вводные'!$B$90="Да"),"■","")</x:f>
      </x:c>
      <x:c r="CP26" s="137" t="str">
        <x:f>IF(AND(CP$4&gt;=$C26,CP$4&lt;=$D26,'Вводные'!$B$90="Да"),"■","")</x:f>
      </x:c>
      <x:c r="CQ26" s="137" t="str">
        <x:f>IF(AND(CQ$4&gt;=$C26,CQ$4&lt;=$D26,'Вводные'!$B$90="Да"),"■","")</x:f>
      </x:c>
      <x:c r="CR26" s="137" t="str">
        <x:f>IF(AND(CR$4&gt;=$C26,CR$4&lt;=$D26,'Вводные'!$B$90="Да"),"■","")</x:f>
      </x:c>
      <x:c r="CS26" s="137" t="str">
        <x:f>IF(AND(CS$4&gt;=$C26,CS$4&lt;=$D26,'Вводные'!$B$90="Да"),"■","")</x:f>
      </x:c>
      <x:c r="CT26" s="137" t="str">
        <x:f>IF(AND(CT$4&gt;=$C26,CT$4&lt;=$D26,'Вводные'!$B$90="Да"),"■","")</x:f>
      </x:c>
      <x:c r="CU26" s="137" t="str">
        <x:f>IF(AND(CU$4&gt;=$C26,CU$4&lt;=$D26,'Вводные'!$B$90="Да"),"■","")</x:f>
      </x:c>
      <x:c r="CV26" s="137" t="str">
        <x:f>IF(AND(CV$4&gt;=$C26,CV$4&lt;=$D26,'Вводные'!$B$90="Да"),"■","")</x:f>
      </x:c>
      <x:c r="CW26" s="137" t="str">
        <x:f>IF(AND(CW$4&gt;=$C26,CW$4&lt;=$D26,'Вводные'!$B$90="Да"),"■","")</x:f>
      </x:c>
      <x:c r="CX26" s="137" t="str">
        <x:f>IF(AND(CX$4&gt;=$C26,CX$4&lt;=$D26,'Вводные'!$B$90="Да"),"■","")</x:f>
      </x:c>
      <x:c r="CY26" s="137" t="str">
        <x:f>IF(AND(CY$4&gt;=$C26,CY$4&lt;=$D26,'Вводные'!$B$90="Да"),"■","")</x:f>
      </x:c>
      <x:c r="CZ26" s="137" t="str">
        <x:f>IF(AND(CZ$4&gt;=$C26,CZ$4&lt;=$D26,'Вводные'!$B$90="Да"),"■","")</x:f>
      </x:c>
      <x:c r="DA26" s="137" t="str">
        <x:f>IF(AND(DA$4&gt;=$C26,DA$4&lt;=$D26,'Вводные'!$B$90="Да"),"■","")</x:f>
      </x:c>
      <x:c r="DB26" s="137" t="str">
        <x:f>IF(AND(DB$4&gt;=$C26,DB$4&lt;=$D26,'Вводные'!$B$90="Да"),"■","")</x:f>
      </x:c>
      <x:c r="DC26" s="137" t="str">
        <x:f>IF(AND(DC$4&gt;=$C26,DC$4&lt;=$D26,'Вводные'!$B$90="Да"),"■","")</x:f>
      </x:c>
      <x:c r="DD26" s="137" t="str">
        <x:f>IF(AND(DD$4&gt;=$C26,DD$4&lt;=$D26,'Вводные'!$B$90="Да"),"■","")</x:f>
      </x:c>
      <x:c r="DE26" s="137" t="str">
        <x:f>IF(AND(DE$4&gt;=$C26,DE$4&lt;=$D26,'Вводные'!$B$90="Да"),"■","")</x:f>
      </x:c>
      <x:c r="DF26" s="137" t="str">
        <x:f>IF(AND(DF$4&gt;=$C26,DF$4&lt;=$D26,'Вводные'!$B$90="Да"),"■","")</x:f>
      </x:c>
      <x:c r="DG26" s="137" t="str">
        <x:f>IF(AND(DG$4&gt;=$C26,DG$4&lt;=$D26,'Вводные'!$B$90="Да"),"■","")</x:f>
      </x:c>
      <x:c r="DH26" s="137" t="str">
        <x:f>IF(AND(DH$4&gt;=$C26,DH$4&lt;=$D26,'Вводные'!$B$90="Да"),"■","")</x:f>
      </x:c>
      <x:c r="DI26" s="137" t="str">
        <x:f>IF(AND(DI$4&gt;=$C26,DI$4&lt;=$D26,'Вводные'!$B$90="Да"),"■","")</x:f>
      </x:c>
      <x:c r="DJ26" s="137" t="str">
        <x:f>IF(AND(DJ$4&gt;=$C26,DJ$4&lt;=$D26,'Вводные'!$B$90="Да"),"■","")</x:f>
      </x:c>
      <x:c r="DK26" s="137" t="str">
        <x:f>IF(AND(DK$4&gt;=$C26,DK$4&lt;=$D26,'Вводные'!$B$90="Да"),"■","")</x:f>
      </x:c>
      <x:c r="DL26" s="137" t="str">
        <x:f>IF(AND(DL$4&gt;=$C26,DL$4&lt;=$D26,'Вводные'!$B$90="Да"),"■","")</x:f>
      </x:c>
      <x:c r="DM26" s="137" t="str">
        <x:f>IF(AND(DM$4&gt;=$C26,DM$4&lt;=$D26,'Вводные'!$B$90="Да"),"■","")</x:f>
      </x:c>
      <x:c r="DN26" s="137" t="str">
        <x:f>IF(AND(DN$4&gt;=$C26,DN$4&lt;=$D26,'Вводные'!$B$90="Да"),"■","")</x:f>
      </x:c>
      <x:c r="DO26" s="137" t="str">
        <x:f>IF(AND(DO$4&gt;=$C26,DO$4&lt;=$D26,'Вводные'!$B$90="Да"),"■","")</x:f>
      </x:c>
      <x:c r="DP26" s="137" t="str">
        <x:f>IF(AND(DP$4&gt;=$C26,DP$4&lt;=$D26,'Вводные'!$B$90="Да"),"■","")</x:f>
      </x:c>
      <x:c r="DQ26" s="137" t="str">
        <x:f>IF(AND(DQ$4&gt;=$C26,DQ$4&lt;=$D26,'Вводные'!$B$90="Да"),"■","")</x:f>
      </x:c>
      <x:c r="DR26" s="137" t="str">
        <x:f>IF(AND(DR$4&gt;=$C26,DR$4&lt;=$D26,'Вводные'!$B$90="Да"),"■","")</x:f>
      </x:c>
      <x:c r="DS26" s="137" t="str">
        <x:f>IF(AND(DS$4&gt;=$C26,DS$4&lt;=$D26,'Вводные'!$B$90="Да"),"■","")</x:f>
      </x:c>
      <x:c r="DT26" s="137" t="str">
        <x:f>IF(AND(DT$4&gt;=$C26,DT$4&lt;=$D26,'Вводные'!$B$90="Да"),"■","")</x:f>
      </x:c>
    </x:row>
    <x:row r="27">
      <x:c r="A27" t="str">
        <x:f>'Вводные'!$C$90</x:f>
      </x:c>
      <x:c r="B27" t="str">
        <x:v>Обязательство по ВРИ</x:v>
      </x:c>
      <x:c r="C27" s="92" t="n">
        <x:f>'ВРИ'!B33</x:f>
      </x:c>
      <x:c r="D27" s="92" t="n">
        <x:f>C27</x:f>
      </x:c>
      <x:c r="E27" s="137" t="str">
        <x:f>IF(AND(E$4&gt;=$C27,E$4&lt;=$D27,'Вводные'!$B$90="Да"),"■","")</x:f>
      </x:c>
      <x:c r="F27" s="137" t="str">
        <x:f>IF(AND(F$4&gt;=$C27,F$4&lt;=$D27,'Вводные'!$B$90="Да"),"■","")</x:f>
      </x:c>
      <x:c r="G27" s="137" t="str">
        <x:f>IF(AND(G$4&gt;=$C27,G$4&lt;=$D27,'Вводные'!$B$90="Да"),"■","")</x:f>
      </x:c>
      <x:c r="H27" s="137" t="str">
        <x:f>IF(AND(H$4&gt;=$C27,H$4&lt;=$D27,'Вводные'!$B$90="Да"),"■","")</x:f>
      </x:c>
      <x:c r="I27" s="137" t="str">
        <x:f>IF(AND(I$4&gt;=$C27,I$4&lt;=$D27,'Вводные'!$B$90="Да"),"■","")</x:f>
      </x:c>
      <x:c r="J27" s="137" t="str">
        <x:f>IF(AND(J$4&gt;=$C27,J$4&lt;=$D27,'Вводные'!$B$90="Да"),"■","")</x:f>
      </x:c>
      <x:c r="K27" s="137" t="str">
        <x:f>IF(AND(K$4&gt;=$C27,K$4&lt;=$D27,'Вводные'!$B$90="Да"),"■","")</x:f>
      </x:c>
      <x:c r="L27" s="137" t="str">
        <x:f>IF(AND(L$4&gt;=$C27,L$4&lt;=$D27,'Вводные'!$B$90="Да"),"■","")</x:f>
      </x:c>
      <x:c r="M27" s="137" t="str">
        <x:f>IF(AND(M$4&gt;=$C27,M$4&lt;=$D27,'Вводные'!$B$90="Да"),"■","")</x:f>
      </x:c>
      <x:c r="N27" s="137" t="str">
        <x:f>IF(AND(N$4&gt;=$C27,N$4&lt;=$D27,'Вводные'!$B$90="Да"),"■","")</x:f>
      </x:c>
      <x:c r="O27" s="137" t="str">
        <x:f>IF(AND(O$4&gt;=$C27,O$4&lt;=$D27,'Вводные'!$B$90="Да"),"■","")</x:f>
      </x:c>
      <x:c r="P27" s="137" t="str">
        <x:f>IF(AND(P$4&gt;=$C27,P$4&lt;=$D27,'Вводные'!$B$90="Да"),"■","")</x:f>
      </x:c>
      <x:c r="Q27" s="137" t="str">
        <x:f>IF(AND(Q$4&gt;=$C27,Q$4&lt;=$D27,'Вводные'!$B$90="Да"),"■","")</x:f>
      </x:c>
      <x:c r="R27" s="137" t="str">
        <x:f>IF(AND(R$4&gt;=$C27,R$4&lt;=$D27,'Вводные'!$B$90="Да"),"■","")</x:f>
      </x:c>
      <x:c r="S27" s="137" t="str">
        <x:f>IF(AND(S$4&gt;=$C27,S$4&lt;=$D27,'Вводные'!$B$90="Да"),"■","")</x:f>
      </x:c>
      <x:c r="T27" s="137" t="str">
        <x:f>IF(AND(T$4&gt;=$C27,T$4&lt;=$D27,'Вводные'!$B$90="Да"),"■","")</x:f>
      </x:c>
      <x:c r="U27" s="137" t="str">
        <x:f>IF(AND(U$4&gt;=$C27,U$4&lt;=$D27,'Вводные'!$B$90="Да"),"■","")</x:f>
      </x:c>
      <x:c r="V27" s="137" t="str">
        <x:f>IF(AND(V$4&gt;=$C27,V$4&lt;=$D27,'Вводные'!$B$90="Да"),"■","")</x:f>
      </x:c>
      <x:c r="W27" s="137" t="str">
        <x:f>IF(AND(W$4&gt;=$C27,W$4&lt;=$D27,'Вводные'!$B$90="Да"),"■","")</x:f>
      </x:c>
      <x:c r="X27" s="137" t="str">
        <x:f>IF(AND(X$4&gt;=$C27,X$4&lt;=$D27,'Вводные'!$B$90="Да"),"■","")</x:f>
      </x:c>
      <x:c r="Y27" s="137" t="str">
        <x:f>IF(AND(Y$4&gt;=$C27,Y$4&lt;=$D27,'Вводные'!$B$90="Да"),"■","")</x:f>
      </x:c>
      <x:c r="Z27" s="137" t="str">
        <x:f>IF(AND(Z$4&gt;=$C27,Z$4&lt;=$D27,'Вводные'!$B$90="Да"),"■","")</x:f>
      </x:c>
      <x:c r="AA27" s="137" t="str">
        <x:f>IF(AND(AA$4&gt;=$C27,AA$4&lt;=$D27,'Вводные'!$B$90="Да"),"■","")</x:f>
      </x:c>
      <x:c r="AB27" s="137" t="str">
        <x:f>IF(AND(AB$4&gt;=$C27,AB$4&lt;=$D27,'Вводные'!$B$90="Да"),"■","")</x:f>
      </x:c>
      <x:c r="AC27" s="137" t="str">
        <x:f>IF(AND(AC$4&gt;=$C27,AC$4&lt;=$D27,'Вводные'!$B$90="Да"),"■","")</x:f>
      </x:c>
      <x:c r="AD27" s="137" t="str">
        <x:f>IF(AND(AD$4&gt;=$C27,AD$4&lt;=$D27,'Вводные'!$B$90="Да"),"■","")</x:f>
      </x:c>
      <x:c r="AE27" s="137" t="str">
        <x:f>IF(AND(AE$4&gt;=$C27,AE$4&lt;=$D27,'Вводные'!$B$90="Да"),"■","")</x:f>
      </x:c>
      <x:c r="AF27" s="137" t="str">
        <x:f>IF(AND(AF$4&gt;=$C27,AF$4&lt;=$D27,'Вводные'!$B$90="Да"),"■","")</x:f>
      </x:c>
      <x:c r="AG27" s="137" t="str">
        <x:f>IF(AND(AG$4&gt;=$C27,AG$4&lt;=$D27,'Вводные'!$B$90="Да"),"■","")</x:f>
      </x:c>
      <x:c r="AH27" s="137" t="str">
        <x:f>IF(AND(AH$4&gt;=$C27,AH$4&lt;=$D27,'Вводные'!$B$90="Да"),"■","")</x:f>
      </x:c>
      <x:c r="AI27" s="137" t="str">
        <x:f>IF(AND(AI$4&gt;=$C27,AI$4&lt;=$D27,'Вводные'!$B$90="Да"),"■","")</x:f>
      </x:c>
      <x:c r="AJ27" s="137" t="str">
        <x:f>IF(AND(AJ$4&gt;=$C27,AJ$4&lt;=$D27,'Вводные'!$B$90="Да"),"■","")</x:f>
      </x:c>
      <x:c r="AK27" s="137" t="str">
        <x:f>IF(AND(AK$4&gt;=$C27,AK$4&lt;=$D27,'Вводные'!$B$90="Да"),"■","")</x:f>
      </x:c>
      <x:c r="AL27" s="137" t="str">
        <x:f>IF(AND(AL$4&gt;=$C27,AL$4&lt;=$D27,'Вводные'!$B$90="Да"),"■","")</x:f>
      </x:c>
      <x:c r="AM27" s="137" t="str">
        <x:f>IF(AND(AM$4&gt;=$C27,AM$4&lt;=$D27,'Вводные'!$B$90="Да"),"■","")</x:f>
      </x:c>
      <x:c r="AN27" s="137" t="str">
        <x:f>IF(AND(AN$4&gt;=$C27,AN$4&lt;=$D27,'Вводные'!$B$90="Да"),"■","")</x:f>
      </x:c>
      <x:c r="AO27" s="137" t="str">
        <x:f>IF(AND(AO$4&gt;=$C27,AO$4&lt;=$D27,'Вводные'!$B$90="Да"),"■","")</x:f>
      </x:c>
      <x:c r="AP27" s="137" t="str">
        <x:f>IF(AND(AP$4&gt;=$C27,AP$4&lt;=$D27,'Вводные'!$B$90="Да"),"■","")</x:f>
      </x:c>
      <x:c r="AQ27" s="137" t="str">
        <x:f>IF(AND(AQ$4&gt;=$C27,AQ$4&lt;=$D27,'Вводные'!$B$90="Да"),"■","")</x:f>
      </x:c>
      <x:c r="AR27" s="137" t="str">
        <x:f>IF(AND(AR$4&gt;=$C27,AR$4&lt;=$D27,'Вводные'!$B$90="Да"),"■","")</x:f>
      </x:c>
      <x:c r="AS27" s="137" t="str">
        <x:f>IF(AND(AS$4&gt;=$C27,AS$4&lt;=$D27,'Вводные'!$B$90="Да"),"■","")</x:f>
      </x:c>
      <x:c r="AT27" s="137" t="str">
        <x:f>IF(AND(AT$4&gt;=$C27,AT$4&lt;=$D27,'Вводные'!$B$90="Да"),"■","")</x:f>
      </x:c>
      <x:c r="AU27" s="137" t="str">
        <x:f>IF(AND(AU$4&gt;=$C27,AU$4&lt;=$D27,'Вводные'!$B$90="Да"),"■","")</x:f>
      </x:c>
      <x:c r="AV27" s="137" t="str">
        <x:f>IF(AND(AV$4&gt;=$C27,AV$4&lt;=$D27,'Вводные'!$B$90="Да"),"■","")</x:f>
      </x:c>
      <x:c r="AW27" s="137" t="str">
        <x:f>IF(AND(AW$4&gt;=$C27,AW$4&lt;=$D27,'Вводные'!$B$90="Да"),"■","")</x:f>
      </x:c>
      <x:c r="AX27" s="137" t="str">
        <x:f>IF(AND(AX$4&gt;=$C27,AX$4&lt;=$D27,'Вводные'!$B$90="Да"),"■","")</x:f>
      </x:c>
      <x:c r="AY27" s="137" t="str">
        <x:f>IF(AND(AY$4&gt;=$C27,AY$4&lt;=$D27,'Вводные'!$B$90="Да"),"■","")</x:f>
      </x:c>
      <x:c r="AZ27" s="137" t="str">
        <x:f>IF(AND(AZ$4&gt;=$C27,AZ$4&lt;=$D27,'Вводные'!$B$90="Да"),"■","")</x:f>
      </x:c>
      <x:c r="BA27" s="137" t="str">
        <x:f>IF(AND(BA$4&gt;=$C27,BA$4&lt;=$D27,'Вводные'!$B$90="Да"),"■","")</x:f>
      </x:c>
      <x:c r="BB27" s="137" t="str">
        <x:f>IF(AND(BB$4&gt;=$C27,BB$4&lt;=$D27,'Вводные'!$B$90="Да"),"■","")</x:f>
      </x:c>
      <x:c r="BC27" s="137" t="str">
        <x:f>IF(AND(BC$4&gt;=$C27,BC$4&lt;=$D27,'Вводные'!$B$90="Да"),"■","")</x:f>
      </x:c>
      <x:c r="BD27" s="137" t="str">
        <x:f>IF(AND(BD$4&gt;=$C27,BD$4&lt;=$D27,'Вводные'!$B$90="Да"),"■","")</x:f>
      </x:c>
      <x:c r="BE27" s="137" t="str">
        <x:f>IF(AND(BE$4&gt;=$C27,BE$4&lt;=$D27,'Вводные'!$B$90="Да"),"■","")</x:f>
      </x:c>
      <x:c r="BF27" s="137" t="str">
        <x:f>IF(AND(BF$4&gt;=$C27,BF$4&lt;=$D27,'Вводные'!$B$90="Да"),"■","")</x:f>
      </x:c>
      <x:c r="BG27" s="137" t="str">
        <x:f>IF(AND(BG$4&gt;=$C27,BG$4&lt;=$D27,'Вводные'!$B$90="Да"),"■","")</x:f>
      </x:c>
      <x:c r="BH27" s="137" t="str">
        <x:f>IF(AND(BH$4&gt;=$C27,BH$4&lt;=$D27,'Вводные'!$B$90="Да"),"■","")</x:f>
      </x:c>
      <x:c r="BI27" s="137" t="str">
        <x:f>IF(AND(BI$4&gt;=$C27,BI$4&lt;=$D27,'Вводные'!$B$90="Да"),"■","")</x:f>
      </x:c>
      <x:c r="BJ27" s="137" t="str">
        <x:f>IF(AND(BJ$4&gt;=$C27,BJ$4&lt;=$D27,'Вводные'!$B$90="Да"),"■","")</x:f>
      </x:c>
      <x:c r="BK27" s="137" t="str">
        <x:f>IF(AND(BK$4&gt;=$C27,BK$4&lt;=$D27,'Вводные'!$B$90="Да"),"■","")</x:f>
      </x:c>
      <x:c r="BL27" s="137" t="str">
        <x:f>IF(AND(BL$4&gt;=$C27,BL$4&lt;=$D27,'Вводные'!$B$90="Да"),"■","")</x:f>
      </x:c>
      <x:c r="BM27" s="137" t="str">
        <x:f>IF(AND(BM$4&gt;=$C27,BM$4&lt;=$D27,'Вводные'!$B$90="Да"),"■","")</x:f>
      </x:c>
      <x:c r="BN27" s="137" t="str">
        <x:f>IF(AND(BN$4&gt;=$C27,BN$4&lt;=$D27,'Вводные'!$B$90="Да"),"■","")</x:f>
      </x:c>
      <x:c r="BO27" s="137" t="str">
        <x:f>IF(AND(BO$4&gt;=$C27,BO$4&lt;=$D27,'Вводные'!$B$90="Да"),"■","")</x:f>
      </x:c>
      <x:c r="BP27" s="137" t="str">
        <x:f>IF(AND(BP$4&gt;=$C27,BP$4&lt;=$D27,'Вводные'!$B$90="Да"),"■","")</x:f>
      </x:c>
      <x:c r="BQ27" s="137" t="str">
        <x:f>IF(AND(BQ$4&gt;=$C27,BQ$4&lt;=$D27,'Вводные'!$B$90="Да"),"■","")</x:f>
      </x:c>
      <x:c r="BR27" s="137" t="str">
        <x:f>IF(AND(BR$4&gt;=$C27,BR$4&lt;=$D27,'Вводные'!$B$90="Да"),"■","")</x:f>
      </x:c>
      <x:c r="BS27" s="137" t="str">
        <x:f>IF(AND(BS$4&gt;=$C27,BS$4&lt;=$D27,'Вводные'!$B$90="Да"),"■","")</x:f>
      </x:c>
      <x:c r="BT27" s="137" t="str">
        <x:f>IF(AND(BT$4&gt;=$C27,BT$4&lt;=$D27,'Вводные'!$B$90="Да"),"■","")</x:f>
      </x:c>
      <x:c r="BU27" s="137" t="str">
        <x:f>IF(AND(BU$4&gt;=$C27,BU$4&lt;=$D27,'Вводные'!$B$90="Да"),"■","")</x:f>
      </x:c>
      <x:c r="BV27" s="137" t="str">
        <x:f>IF(AND(BV$4&gt;=$C27,BV$4&lt;=$D27,'Вводные'!$B$90="Да"),"■","")</x:f>
      </x:c>
      <x:c r="BW27" s="137" t="str">
        <x:f>IF(AND(BW$4&gt;=$C27,BW$4&lt;=$D27,'Вводные'!$B$90="Да"),"■","")</x:f>
      </x:c>
      <x:c r="BX27" s="137" t="str">
        <x:f>IF(AND(BX$4&gt;=$C27,BX$4&lt;=$D27,'Вводные'!$B$90="Да"),"■","")</x:f>
      </x:c>
      <x:c r="BY27" s="137" t="str">
        <x:f>IF(AND(BY$4&gt;=$C27,BY$4&lt;=$D27,'Вводные'!$B$90="Да"),"■","")</x:f>
      </x:c>
      <x:c r="BZ27" s="137" t="str">
        <x:f>IF(AND(BZ$4&gt;=$C27,BZ$4&lt;=$D27,'Вводные'!$B$90="Да"),"■","")</x:f>
      </x:c>
      <x:c r="CA27" s="137" t="str">
        <x:f>IF(AND(CA$4&gt;=$C27,CA$4&lt;=$D27,'Вводные'!$B$90="Да"),"■","")</x:f>
      </x:c>
      <x:c r="CB27" s="137" t="str">
        <x:f>IF(AND(CB$4&gt;=$C27,CB$4&lt;=$D27,'Вводные'!$B$90="Да"),"■","")</x:f>
      </x:c>
      <x:c r="CC27" s="137" t="str">
        <x:f>IF(AND(CC$4&gt;=$C27,CC$4&lt;=$D27,'Вводные'!$B$90="Да"),"■","")</x:f>
      </x:c>
      <x:c r="CD27" s="137" t="str">
        <x:f>IF(AND(CD$4&gt;=$C27,CD$4&lt;=$D27,'Вводные'!$B$90="Да"),"■","")</x:f>
      </x:c>
      <x:c r="CE27" s="137" t="str">
        <x:f>IF(AND(CE$4&gt;=$C27,CE$4&lt;=$D27,'Вводные'!$B$90="Да"),"■","")</x:f>
      </x:c>
      <x:c r="CF27" s="137" t="str">
        <x:f>IF(AND(CF$4&gt;=$C27,CF$4&lt;=$D27,'Вводные'!$B$90="Да"),"■","")</x:f>
      </x:c>
      <x:c r="CG27" s="137" t="str">
        <x:f>IF(AND(CG$4&gt;=$C27,CG$4&lt;=$D27,'Вводные'!$B$90="Да"),"■","")</x:f>
      </x:c>
      <x:c r="CH27" s="137" t="str">
        <x:f>IF(AND(CH$4&gt;=$C27,CH$4&lt;=$D27,'Вводные'!$B$90="Да"),"■","")</x:f>
      </x:c>
      <x:c r="CI27" s="137" t="str">
        <x:f>IF(AND(CI$4&gt;=$C27,CI$4&lt;=$D27,'Вводные'!$B$90="Да"),"■","")</x:f>
      </x:c>
      <x:c r="CJ27" s="137" t="str">
        <x:f>IF(AND(CJ$4&gt;=$C27,CJ$4&lt;=$D27,'Вводные'!$B$90="Да"),"■","")</x:f>
      </x:c>
      <x:c r="CK27" s="137" t="str">
        <x:f>IF(AND(CK$4&gt;=$C27,CK$4&lt;=$D27,'Вводные'!$B$90="Да"),"■","")</x:f>
      </x:c>
      <x:c r="CL27" s="137" t="str">
        <x:f>IF(AND(CL$4&gt;=$C27,CL$4&lt;=$D27,'Вводные'!$B$90="Да"),"■","")</x:f>
      </x:c>
      <x:c r="CM27" s="137" t="str">
        <x:f>IF(AND(CM$4&gt;=$C27,CM$4&lt;=$D27,'Вводные'!$B$90="Да"),"■","")</x:f>
      </x:c>
      <x:c r="CN27" s="137" t="str">
        <x:f>IF(AND(CN$4&gt;=$C27,CN$4&lt;=$D27,'Вводные'!$B$90="Да"),"■","")</x:f>
      </x:c>
      <x:c r="CO27" s="137" t="str">
        <x:f>IF(AND(CO$4&gt;=$C27,CO$4&lt;=$D27,'Вводные'!$B$90="Да"),"■","")</x:f>
      </x:c>
      <x:c r="CP27" s="137" t="str">
        <x:f>IF(AND(CP$4&gt;=$C27,CP$4&lt;=$D27,'Вводные'!$B$90="Да"),"■","")</x:f>
      </x:c>
      <x:c r="CQ27" s="137" t="str">
        <x:f>IF(AND(CQ$4&gt;=$C27,CQ$4&lt;=$D27,'Вводные'!$B$90="Да"),"■","")</x:f>
      </x:c>
      <x:c r="CR27" s="137" t="str">
        <x:f>IF(AND(CR$4&gt;=$C27,CR$4&lt;=$D27,'Вводные'!$B$90="Да"),"■","")</x:f>
      </x:c>
      <x:c r="CS27" s="137" t="str">
        <x:f>IF(AND(CS$4&gt;=$C27,CS$4&lt;=$D27,'Вводные'!$B$90="Да"),"■","")</x:f>
      </x:c>
      <x:c r="CT27" s="137" t="str">
        <x:f>IF(AND(CT$4&gt;=$C27,CT$4&lt;=$D27,'Вводные'!$B$90="Да"),"■","")</x:f>
      </x:c>
      <x:c r="CU27" s="137" t="str">
        <x:f>IF(AND(CU$4&gt;=$C27,CU$4&lt;=$D27,'Вводные'!$B$90="Да"),"■","")</x:f>
      </x:c>
      <x:c r="CV27" s="137" t="str">
        <x:f>IF(AND(CV$4&gt;=$C27,CV$4&lt;=$D27,'Вводные'!$B$90="Да"),"■","")</x:f>
      </x:c>
      <x:c r="CW27" s="137" t="str">
        <x:f>IF(AND(CW$4&gt;=$C27,CW$4&lt;=$D27,'Вводные'!$B$90="Да"),"■","")</x:f>
      </x:c>
      <x:c r="CX27" s="137" t="str">
        <x:f>IF(AND(CX$4&gt;=$C27,CX$4&lt;=$D27,'Вводные'!$B$90="Да"),"■","")</x:f>
      </x:c>
      <x:c r="CY27" s="137" t="str">
        <x:f>IF(AND(CY$4&gt;=$C27,CY$4&lt;=$D27,'Вводные'!$B$90="Да"),"■","")</x:f>
      </x:c>
      <x:c r="CZ27" s="137" t="str">
        <x:f>IF(AND(CZ$4&gt;=$C27,CZ$4&lt;=$D27,'Вводные'!$B$90="Да"),"■","")</x:f>
      </x:c>
      <x:c r="DA27" s="137" t="str">
        <x:f>IF(AND(DA$4&gt;=$C27,DA$4&lt;=$D27,'Вводные'!$B$90="Да"),"■","")</x:f>
      </x:c>
      <x:c r="DB27" s="137" t="str">
        <x:f>IF(AND(DB$4&gt;=$C27,DB$4&lt;=$D27,'Вводные'!$B$90="Да"),"■","")</x:f>
      </x:c>
      <x:c r="DC27" s="137" t="str">
        <x:f>IF(AND(DC$4&gt;=$C27,DC$4&lt;=$D27,'Вводные'!$B$90="Да"),"■","")</x:f>
      </x:c>
      <x:c r="DD27" s="137" t="str">
        <x:f>IF(AND(DD$4&gt;=$C27,DD$4&lt;=$D27,'Вводные'!$B$90="Да"),"■","")</x:f>
      </x:c>
      <x:c r="DE27" s="137" t="str">
        <x:f>IF(AND(DE$4&gt;=$C27,DE$4&lt;=$D27,'Вводные'!$B$90="Да"),"■","")</x:f>
      </x:c>
      <x:c r="DF27" s="137" t="str">
        <x:f>IF(AND(DF$4&gt;=$C27,DF$4&lt;=$D27,'Вводные'!$B$90="Да"),"■","")</x:f>
      </x:c>
      <x:c r="DG27" s="137" t="str">
        <x:f>IF(AND(DG$4&gt;=$C27,DG$4&lt;=$D27,'Вводные'!$B$90="Да"),"■","")</x:f>
      </x:c>
      <x:c r="DH27" s="137" t="str">
        <x:f>IF(AND(DH$4&gt;=$C27,DH$4&lt;=$D27,'Вводные'!$B$90="Да"),"■","")</x:f>
      </x:c>
      <x:c r="DI27" s="137" t="str">
        <x:f>IF(AND(DI$4&gt;=$C27,DI$4&lt;=$D27,'Вводные'!$B$90="Да"),"■","")</x:f>
      </x:c>
      <x:c r="DJ27" s="137" t="str">
        <x:f>IF(AND(DJ$4&gt;=$C27,DJ$4&lt;=$D27,'Вводные'!$B$90="Да"),"■","")</x:f>
      </x:c>
      <x:c r="DK27" s="137" t="str">
        <x:f>IF(AND(DK$4&gt;=$C27,DK$4&lt;=$D27,'Вводные'!$B$90="Да"),"■","")</x:f>
      </x:c>
      <x:c r="DL27" s="137" t="str">
        <x:f>IF(AND(DL$4&gt;=$C27,DL$4&lt;=$D27,'Вводные'!$B$90="Да"),"■","")</x:f>
      </x:c>
      <x:c r="DM27" s="137" t="str">
        <x:f>IF(AND(DM$4&gt;=$C27,DM$4&lt;=$D27,'Вводные'!$B$90="Да"),"■","")</x:f>
      </x:c>
      <x:c r="DN27" s="137" t="str">
        <x:f>IF(AND(DN$4&gt;=$C27,DN$4&lt;=$D27,'Вводные'!$B$90="Да"),"■","")</x:f>
      </x:c>
      <x:c r="DO27" s="137" t="str">
        <x:f>IF(AND(DO$4&gt;=$C27,DO$4&lt;=$D27,'Вводные'!$B$90="Да"),"■","")</x:f>
      </x:c>
      <x:c r="DP27" s="137" t="str">
        <x:f>IF(AND(DP$4&gt;=$C27,DP$4&lt;=$D27,'Вводные'!$B$90="Да"),"■","")</x:f>
      </x:c>
      <x:c r="DQ27" s="137" t="str">
        <x:f>IF(AND(DQ$4&gt;=$C27,DQ$4&lt;=$D27,'Вводные'!$B$90="Да"),"■","")</x:f>
      </x:c>
      <x:c r="DR27" s="137" t="str">
        <x:f>IF(AND(DR$4&gt;=$C27,DR$4&lt;=$D27,'Вводные'!$B$90="Да"),"■","")</x:f>
      </x:c>
      <x:c r="DS27" s="137" t="str">
        <x:f>IF(AND(DS$4&gt;=$C27,DS$4&lt;=$D27,'Вводные'!$B$90="Да"),"■","")</x:f>
      </x:c>
      <x:c r="DT27" s="137" t="str">
        <x:f>IF(AND(DT$4&gt;=$C27,DT$4&lt;=$D27,'Вводные'!$B$90="Да"),"■","")</x:f>
      </x:c>
    </x:row>
    <x:row r="28">
      <x:c r="A28" t="str">
        <x:f>'Вводные'!$C$90</x:f>
      </x:c>
      <x:c r="B28" t="str">
        <x:v>РнС / открытие ПФ</x:v>
      </x:c>
      <x:c r="C28" s="92" t="n">
        <x:f>'CF_3'!B7</x:f>
      </x:c>
      <x:c r="D28" s="92" t="n">
        <x:f>C28</x:f>
      </x:c>
      <x:c r="E28" s="135" t="str">
        <x:f>IF(AND(E$4&gt;=$C28,E$4&lt;=$D28,'Вводные'!$B$90="Да"),"■","")</x:f>
      </x:c>
      <x:c r="F28" s="135" t="str">
        <x:f>IF(AND(F$4&gt;=$C28,F$4&lt;=$D28,'Вводные'!$B$90="Да"),"■","")</x:f>
      </x:c>
      <x:c r="G28" s="135" t="str">
        <x:f>IF(AND(G$4&gt;=$C28,G$4&lt;=$D28,'Вводные'!$B$90="Да"),"■","")</x:f>
      </x:c>
      <x:c r="H28" s="135" t="str">
        <x:f>IF(AND(H$4&gt;=$C28,H$4&lt;=$D28,'Вводные'!$B$90="Да"),"■","")</x:f>
      </x:c>
      <x:c r="I28" s="135" t="str">
        <x:f>IF(AND(I$4&gt;=$C28,I$4&lt;=$D28,'Вводные'!$B$90="Да"),"■","")</x:f>
      </x:c>
      <x:c r="J28" s="135" t="str">
        <x:f>IF(AND(J$4&gt;=$C28,J$4&lt;=$D28,'Вводные'!$B$90="Да"),"■","")</x:f>
      </x:c>
      <x:c r="K28" s="135" t="str">
        <x:f>IF(AND(K$4&gt;=$C28,K$4&lt;=$D28,'Вводные'!$B$90="Да"),"■","")</x:f>
      </x:c>
      <x:c r="L28" s="135" t="str">
        <x:f>IF(AND(L$4&gt;=$C28,L$4&lt;=$D28,'Вводные'!$B$90="Да"),"■","")</x:f>
      </x:c>
      <x:c r="M28" s="135" t="str">
        <x:f>IF(AND(M$4&gt;=$C28,M$4&lt;=$D28,'Вводные'!$B$90="Да"),"■","")</x:f>
      </x:c>
      <x:c r="N28" s="135" t="str">
        <x:f>IF(AND(N$4&gt;=$C28,N$4&lt;=$D28,'Вводные'!$B$90="Да"),"■","")</x:f>
      </x:c>
      <x:c r="O28" s="135" t="str">
        <x:f>IF(AND(O$4&gt;=$C28,O$4&lt;=$D28,'Вводные'!$B$90="Да"),"■","")</x:f>
      </x:c>
      <x:c r="P28" s="135" t="str">
        <x:f>IF(AND(P$4&gt;=$C28,P$4&lt;=$D28,'Вводные'!$B$90="Да"),"■","")</x:f>
      </x:c>
      <x:c r="Q28" s="135" t="str">
        <x:f>IF(AND(Q$4&gt;=$C28,Q$4&lt;=$D28,'Вводные'!$B$90="Да"),"■","")</x:f>
      </x:c>
      <x:c r="R28" s="135" t="str">
        <x:f>IF(AND(R$4&gt;=$C28,R$4&lt;=$D28,'Вводные'!$B$90="Да"),"■","")</x:f>
      </x:c>
      <x:c r="S28" s="135" t="str">
        <x:f>IF(AND(S$4&gt;=$C28,S$4&lt;=$D28,'Вводные'!$B$90="Да"),"■","")</x:f>
      </x:c>
      <x:c r="T28" s="135" t="str">
        <x:f>IF(AND(T$4&gt;=$C28,T$4&lt;=$D28,'Вводные'!$B$90="Да"),"■","")</x:f>
      </x:c>
      <x:c r="U28" s="135" t="str">
        <x:f>IF(AND(U$4&gt;=$C28,U$4&lt;=$D28,'Вводные'!$B$90="Да"),"■","")</x:f>
      </x:c>
      <x:c r="V28" s="135" t="str">
        <x:f>IF(AND(V$4&gt;=$C28,V$4&lt;=$D28,'Вводные'!$B$90="Да"),"■","")</x:f>
      </x:c>
      <x:c r="W28" s="135" t="str">
        <x:f>IF(AND(W$4&gt;=$C28,W$4&lt;=$D28,'Вводные'!$B$90="Да"),"■","")</x:f>
      </x:c>
      <x:c r="X28" s="135" t="str">
        <x:f>IF(AND(X$4&gt;=$C28,X$4&lt;=$D28,'Вводные'!$B$90="Да"),"■","")</x:f>
      </x:c>
      <x:c r="Y28" s="135" t="str">
        <x:f>IF(AND(Y$4&gt;=$C28,Y$4&lt;=$D28,'Вводные'!$B$90="Да"),"■","")</x:f>
      </x:c>
      <x:c r="Z28" s="135" t="str">
        <x:f>IF(AND(Z$4&gt;=$C28,Z$4&lt;=$D28,'Вводные'!$B$90="Да"),"■","")</x:f>
      </x:c>
      <x:c r="AA28" s="135" t="str">
        <x:f>IF(AND(AA$4&gt;=$C28,AA$4&lt;=$D28,'Вводные'!$B$90="Да"),"■","")</x:f>
      </x:c>
      <x:c r="AB28" s="135" t="str">
        <x:f>IF(AND(AB$4&gt;=$C28,AB$4&lt;=$D28,'Вводные'!$B$90="Да"),"■","")</x:f>
      </x:c>
      <x:c r="AC28" s="135" t="str">
        <x:f>IF(AND(AC$4&gt;=$C28,AC$4&lt;=$D28,'Вводные'!$B$90="Да"),"■","")</x:f>
      </x:c>
      <x:c r="AD28" s="135" t="str">
        <x:f>IF(AND(AD$4&gt;=$C28,AD$4&lt;=$D28,'Вводные'!$B$90="Да"),"■","")</x:f>
      </x:c>
      <x:c r="AE28" s="135" t="str">
        <x:f>IF(AND(AE$4&gt;=$C28,AE$4&lt;=$D28,'Вводные'!$B$90="Да"),"■","")</x:f>
      </x:c>
      <x:c r="AF28" s="135" t="str">
        <x:f>IF(AND(AF$4&gt;=$C28,AF$4&lt;=$D28,'Вводные'!$B$90="Да"),"■","")</x:f>
      </x:c>
      <x:c r="AG28" s="135" t="str">
        <x:f>IF(AND(AG$4&gt;=$C28,AG$4&lt;=$D28,'Вводные'!$B$90="Да"),"■","")</x:f>
      </x:c>
      <x:c r="AH28" s="135" t="str">
        <x:f>IF(AND(AH$4&gt;=$C28,AH$4&lt;=$D28,'Вводные'!$B$90="Да"),"■","")</x:f>
      </x:c>
      <x:c r="AI28" s="135" t="str">
        <x:f>IF(AND(AI$4&gt;=$C28,AI$4&lt;=$D28,'Вводные'!$B$90="Да"),"■","")</x:f>
      </x:c>
      <x:c r="AJ28" s="135" t="str">
        <x:f>IF(AND(AJ$4&gt;=$C28,AJ$4&lt;=$D28,'Вводные'!$B$90="Да"),"■","")</x:f>
      </x:c>
      <x:c r="AK28" s="135" t="str">
        <x:f>IF(AND(AK$4&gt;=$C28,AK$4&lt;=$D28,'Вводные'!$B$90="Да"),"■","")</x:f>
      </x:c>
      <x:c r="AL28" s="135" t="str">
        <x:f>IF(AND(AL$4&gt;=$C28,AL$4&lt;=$D28,'Вводные'!$B$90="Да"),"■","")</x:f>
      </x:c>
      <x:c r="AM28" s="135" t="str">
        <x:f>IF(AND(AM$4&gt;=$C28,AM$4&lt;=$D28,'Вводные'!$B$90="Да"),"■","")</x:f>
      </x:c>
      <x:c r="AN28" s="135" t="str">
        <x:f>IF(AND(AN$4&gt;=$C28,AN$4&lt;=$D28,'Вводные'!$B$90="Да"),"■","")</x:f>
      </x:c>
      <x:c r="AO28" s="135" t="str">
        <x:f>IF(AND(AO$4&gt;=$C28,AO$4&lt;=$D28,'Вводные'!$B$90="Да"),"■","")</x:f>
      </x:c>
      <x:c r="AP28" s="135" t="str">
        <x:f>IF(AND(AP$4&gt;=$C28,AP$4&lt;=$D28,'Вводные'!$B$90="Да"),"■","")</x:f>
      </x:c>
      <x:c r="AQ28" s="135" t="str">
        <x:f>IF(AND(AQ$4&gt;=$C28,AQ$4&lt;=$D28,'Вводные'!$B$90="Да"),"■","")</x:f>
      </x:c>
      <x:c r="AR28" s="135" t="str">
        <x:f>IF(AND(AR$4&gt;=$C28,AR$4&lt;=$D28,'Вводные'!$B$90="Да"),"■","")</x:f>
      </x:c>
      <x:c r="AS28" s="135" t="str">
        <x:f>IF(AND(AS$4&gt;=$C28,AS$4&lt;=$D28,'Вводные'!$B$90="Да"),"■","")</x:f>
      </x:c>
      <x:c r="AT28" s="135" t="str">
        <x:f>IF(AND(AT$4&gt;=$C28,AT$4&lt;=$D28,'Вводные'!$B$90="Да"),"■","")</x:f>
      </x:c>
      <x:c r="AU28" s="135" t="str">
        <x:f>IF(AND(AU$4&gt;=$C28,AU$4&lt;=$D28,'Вводные'!$B$90="Да"),"■","")</x:f>
      </x:c>
      <x:c r="AV28" s="135" t="str">
        <x:f>IF(AND(AV$4&gt;=$C28,AV$4&lt;=$D28,'Вводные'!$B$90="Да"),"■","")</x:f>
      </x:c>
      <x:c r="AW28" s="135" t="str">
        <x:f>IF(AND(AW$4&gt;=$C28,AW$4&lt;=$D28,'Вводные'!$B$90="Да"),"■","")</x:f>
      </x:c>
      <x:c r="AX28" s="135" t="str">
        <x:f>IF(AND(AX$4&gt;=$C28,AX$4&lt;=$D28,'Вводные'!$B$90="Да"),"■","")</x:f>
      </x:c>
      <x:c r="AY28" s="135" t="str">
        <x:f>IF(AND(AY$4&gt;=$C28,AY$4&lt;=$D28,'Вводные'!$B$90="Да"),"■","")</x:f>
      </x:c>
      <x:c r="AZ28" s="135" t="str">
        <x:f>IF(AND(AZ$4&gt;=$C28,AZ$4&lt;=$D28,'Вводные'!$B$90="Да"),"■","")</x:f>
      </x:c>
      <x:c r="BA28" s="135" t="str">
        <x:f>IF(AND(BA$4&gt;=$C28,BA$4&lt;=$D28,'Вводные'!$B$90="Да"),"■","")</x:f>
      </x:c>
      <x:c r="BB28" s="135" t="str">
        <x:f>IF(AND(BB$4&gt;=$C28,BB$4&lt;=$D28,'Вводные'!$B$90="Да"),"■","")</x:f>
      </x:c>
      <x:c r="BC28" s="135" t="str">
        <x:f>IF(AND(BC$4&gt;=$C28,BC$4&lt;=$D28,'Вводные'!$B$90="Да"),"■","")</x:f>
      </x:c>
      <x:c r="BD28" s="135" t="str">
        <x:f>IF(AND(BD$4&gt;=$C28,BD$4&lt;=$D28,'Вводные'!$B$90="Да"),"■","")</x:f>
      </x:c>
      <x:c r="BE28" s="135" t="str">
        <x:f>IF(AND(BE$4&gt;=$C28,BE$4&lt;=$D28,'Вводные'!$B$90="Да"),"■","")</x:f>
      </x:c>
      <x:c r="BF28" s="135" t="str">
        <x:f>IF(AND(BF$4&gt;=$C28,BF$4&lt;=$D28,'Вводные'!$B$90="Да"),"■","")</x:f>
      </x:c>
      <x:c r="BG28" s="135" t="str">
        <x:f>IF(AND(BG$4&gt;=$C28,BG$4&lt;=$D28,'Вводные'!$B$90="Да"),"■","")</x:f>
      </x:c>
      <x:c r="BH28" s="135" t="str">
        <x:f>IF(AND(BH$4&gt;=$C28,BH$4&lt;=$D28,'Вводные'!$B$90="Да"),"■","")</x:f>
      </x:c>
      <x:c r="BI28" s="135" t="str">
        <x:f>IF(AND(BI$4&gt;=$C28,BI$4&lt;=$D28,'Вводные'!$B$90="Да"),"■","")</x:f>
      </x:c>
      <x:c r="BJ28" s="135" t="str">
        <x:f>IF(AND(BJ$4&gt;=$C28,BJ$4&lt;=$D28,'Вводные'!$B$90="Да"),"■","")</x:f>
      </x:c>
      <x:c r="BK28" s="135" t="str">
        <x:f>IF(AND(BK$4&gt;=$C28,BK$4&lt;=$D28,'Вводные'!$B$90="Да"),"■","")</x:f>
      </x:c>
      <x:c r="BL28" s="135" t="str">
        <x:f>IF(AND(BL$4&gt;=$C28,BL$4&lt;=$D28,'Вводные'!$B$90="Да"),"■","")</x:f>
      </x:c>
      <x:c r="BM28" s="135" t="str">
        <x:f>IF(AND(BM$4&gt;=$C28,BM$4&lt;=$D28,'Вводные'!$B$90="Да"),"■","")</x:f>
      </x:c>
      <x:c r="BN28" s="135" t="str">
        <x:f>IF(AND(BN$4&gt;=$C28,BN$4&lt;=$D28,'Вводные'!$B$90="Да"),"■","")</x:f>
      </x:c>
      <x:c r="BO28" s="135" t="str">
        <x:f>IF(AND(BO$4&gt;=$C28,BO$4&lt;=$D28,'Вводные'!$B$90="Да"),"■","")</x:f>
      </x:c>
      <x:c r="BP28" s="135" t="str">
        <x:f>IF(AND(BP$4&gt;=$C28,BP$4&lt;=$D28,'Вводные'!$B$90="Да"),"■","")</x:f>
      </x:c>
      <x:c r="BQ28" s="135" t="str">
        <x:f>IF(AND(BQ$4&gt;=$C28,BQ$4&lt;=$D28,'Вводные'!$B$90="Да"),"■","")</x:f>
      </x:c>
      <x:c r="BR28" s="135" t="str">
        <x:f>IF(AND(BR$4&gt;=$C28,BR$4&lt;=$D28,'Вводные'!$B$90="Да"),"■","")</x:f>
      </x:c>
      <x:c r="BS28" s="135" t="str">
        <x:f>IF(AND(BS$4&gt;=$C28,BS$4&lt;=$D28,'Вводные'!$B$90="Да"),"■","")</x:f>
      </x:c>
      <x:c r="BT28" s="135" t="str">
        <x:f>IF(AND(BT$4&gt;=$C28,BT$4&lt;=$D28,'Вводные'!$B$90="Да"),"■","")</x:f>
      </x:c>
      <x:c r="BU28" s="135" t="str">
        <x:f>IF(AND(BU$4&gt;=$C28,BU$4&lt;=$D28,'Вводные'!$B$90="Да"),"■","")</x:f>
      </x:c>
      <x:c r="BV28" s="135" t="str">
        <x:f>IF(AND(BV$4&gt;=$C28,BV$4&lt;=$D28,'Вводные'!$B$90="Да"),"■","")</x:f>
      </x:c>
      <x:c r="BW28" s="135" t="str">
        <x:f>IF(AND(BW$4&gt;=$C28,BW$4&lt;=$D28,'Вводные'!$B$90="Да"),"■","")</x:f>
      </x:c>
      <x:c r="BX28" s="135" t="str">
        <x:f>IF(AND(BX$4&gt;=$C28,BX$4&lt;=$D28,'Вводные'!$B$90="Да"),"■","")</x:f>
      </x:c>
      <x:c r="BY28" s="135" t="str">
        <x:f>IF(AND(BY$4&gt;=$C28,BY$4&lt;=$D28,'Вводные'!$B$90="Да"),"■","")</x:f>
      </x:c>
      <x:c r="BZ28" s="135" t="str">
        <x:f>IF(AND(BZ$4&gt;=$C28,BZ$4&lt;=$D28,'Вводные'!$B$90="Да"),"■","")</x:f>
      </x:c>
      <x:c r="CA28" s="135" t="str">
        <x:f>IF(AND(CA$4&gt;=$C28,CA$4&lt;=$D28,'Вводные'!$B$90="Да"),"■","")</x:f>
      </x:c>
      <x:c r="CB28" s="135" t="str">
        <x:f>IF(AND(CB$4&gt;=$C28,CB$4&lt;=$D28,'Вводные'!$B$90="Да"),"■","")</x:f>
      </x:c>
      <x:c r="CC28" s="135" t="str">
        <x:f>IF(AND(CC$4&gt;=$C28,CC$4&lt;=$D28,'Вводные'!$B$90="Да"),"■","")</x:f>
      </x:c>
      <x:c r="CD28" s="135" t="str">
        <x:f>IF(AND(CD$4&gt;=$C28,CD$4&lt;=$D28,'Вводные'!$B$90="Да"),"■","")</x:f>
      </x:c>
      <x:c r="CE28" s="135" t="str">
        <x:f>IF(AND(CE$4&gt;=$C28,CE$4&lt;=$D28,'Вводные'!$B$90="Да"),"■","")</x:f>
      </x:c>
      <x:c r="CF28" s="135" t="str">
        <x:f>IF(AND(CF$4&gt;=$C28,CF$4&lt;=$D28,'Вводные'!$B$90="Да"),"■","")</x:f>
      </x:c>
      <x:c r="CG28" s="135" t="str">
        <x:f>IF(AND(CG$4&gt;=$C28,CG$4&lt;=$D28,'Вводные'!$B$90="Да"),"■","")</x:f>
      </x:c>
      <x:c r="CH28" s="135" t="str">
        <x:f>IF(AND(CH$4&gt;=$C28,CH$4&lt;=$D28,'Вводные'!$B$90="Да"),"■","")</x:f>
      </x:c>
      <x:c r="CI28" s="135" t="str">
        <x:f>IF(AND(CI$4&gt;=$C28,CI$4&lt;=$D28,'Вводные'!$B$90="Да"),"■","")</x:f>
      </x:c>
      <x:c r="CJ28" s="135" t="str">
        <x:f>IF(AND(CJ$4&gt;=$C28,CJ$4&lt;=$D28,'Вводные'!$B$90="Да"),"■","")</x:f>
      </x:c>
      <x:c r="CK28" s="135" t="str">
        <x:f>IF(AND(CK$4&gt;=$C28,CK$4&lt;=$D28,'Вводные'!$B$90="Да"),"■","")</x:f>
      </x:c>
      <x:c r="CL28" s="135" t="str">
        <x:f>IF(AND(CL$4&gt;=$C28,CL$4&lt;=$D28,'Вводные'!$B$90="Да"),"■","")</x:f>
      </x:c>
      <x:c r="CM28" s="135" t="str">
        <x:f>IF(AND(CM$4&gt;=$C28,CM$4&lt;=$D28,'Вводные'!$B$90="Да"),"■","")</x:f>
      </x:c>
      <x:c r="CN28" s="135" t="str">
        <x:f>IF(AND(CN$4&gt;=$C28,CN$4&lt;=$D28,'Вводные'!$B$90="Да"),"■","")</x:f>
      </x:c>
      <x:c r="CO28" s="135" t="str">
        <x:f>IF(AND(CO$4&gt;=$C28,CO$4&lt;=$D28,'Вводные'!$B$90="Да"),"■","")</x:f>
      </x:c>
      <x:c r="CP28" s="135" t="str">
        <x:f>IF(AND(CP$4&gt;=$C28,CP$4&lt;=$D28,'Вводные'!$B$90="Да"),"■","")</x:f>
      </x:c>
      <x:c r="CQ28" s="135" t="str">
        <x:f>IF(AND(CQ$4&gt;=$C28,CQ$4&lt;=$D28,'Вводные'!$B$90="Да"),"■","")</x:f>
      </x:c>
      <x:c r="CR28" s="135" t="str">
        <x:f>IF(AND(CR$4&gt;=$C28,CR$4&lt;=$D28,'Вводные'!$B$90="Да"),"■","")</x:f>
      </x:c>
      <x:c r="CS28" s="135" t="str">
        <x:f>IF(AND(CS$4&gt;=$C28,CS$4&lt;=$D28,'Вводные'!$B$90="Да"),"■","")</x:f>
      </x:c>
      <x:c r="CT28" s="135" t="str">
        <x:f>IF(AND(CT$4&gt;=$C28,CT$4&lt;=$D28,'Вводные'!$B$90="Да"),"■","")</x:f>
      </x:c>
      <x:c r="CU28" s="135" t="str">
        <x:f>IF(AND(CU$4&gt;=$C28,CU$4&lt;=$D28,'Вводные'!$B$90="Да"),"■","")</x:f>
      </x:c>
      <x:c r="CV28" s="135" t="str">
        <x:f>IF(AND(CV$4&gt;=$C28,CV$4&lt;=$D28,'Вводные'!$B$90="Да"),"■","")</x:f>
      </x:c>
      <x:c r="CW28" s="135" t="str">
        <x:f>IF(AND(CW$4&gt;=$C28,CW$4&lt;=$D28,'Вводные'!$B$90="Да"),"■","")</x:f>
      </x:c>
      <x:c r="CX28" s="135" t="str">
        <x:f>IF(AND(CX$4&gt;=$C28,CX$4&lt;=$D28,'Вводные'!$B$90="Да"),"■","")</x:f>
      </x:c>
      <x:c r="CY28" s="135" t="str">
        <x:f>IF(AND(CY$4&gt;=$C28,CY$4&lt;=$D28,'Вводные'!$B$90="Да"),"■","")</x:f>
      </x:c>
      <x:c r="CZ28" s="135" t="str">
        <x:f>IF(AND(CZ$4&gt;=$C28,CZ$4&lt;=$D28,'Вводные'!$B$90="Да"),"■","")</x:f>
      </x:c>
      <x:c r="DA28" s="135" t="str">
        <x:f>IF(AND(DA$4&gt;=$C28,DA$4&lt;=$D28,'Вводные'!$B$90="Да"),"■","")</x:f>
      </x:c>
      <x:c r="DB28" s="135" t="str">
        <x:f>IF(AND(DB$4&gt;=$C28,DB$4&lt;=$D28,'Вводные'!$B$90="Да"),"■","")</x:f>
      </x:c>
      <x:c r="DC28" s="135" t="str">
        <x:f>IF(AND(DC$4&gt;=$C28,DC$4&lt;=$D28,'Вводные'!$B$90="Да"),"■","")</x:f>
      </x:c>
      <x:c r="DD28" s="135" t="str">
        <x:f>IF(AND(DD$4&gt;=$C28,DD$4&lt;=$D28,'Вводные'!$B$90="Да"),"■","")</x:f>
      </x:c>
      <x:c r="DE28" s="135" t="str">
        <x:f>IF(AND(DE$4&gt;=$C28,DE$4&lt;=$D28,'Вводные'!$B$90="Да"),"■","")</x:f>
      </x:c>
      <x:c r="DF28" s="135" t="str">
        <x:f>IF(AND(DF$4&gt;=$C28,DF$4&lt;=$D28,'Вводные'!$B$90="Да"),"■","")</x:f>
      </x:c>
      <x:c r="DG28" s="135" t="str">
        <x:f>IF(AND(DG$4&gt;=$C28,DG$4&lt;=$D28,'Вводные'!$B$90="Да"),"■","")</x:f>
      </x:c>
      <x:c r="DH28" s="135" t="str">
        <x:f>IF(AND(DH$4&gt;=$C28,DH$4&lt;=$D28,'Вводные'!$B$90="Да"),"■","")</x:f>
      </x:c>
      <x:c r="DI28" s="135" t="str">
        <x:f>IF(AND(DI$4&gt;=$C28,DI$4&lt;=$D28,'Вводные'!$B$90="Да"),"■","")</x:f>
      </x:c>
      <x:c r="DJ28" s="135" t="str">
        <x:f>IF(AND(DJ$4&gt;=$C28,DJ$4&lt;=$D28,'Вводные'!$B$90="Да"),"■","")</x:f>
      </x:c>
      <x:c r="DK28" s="135" t="str">
        <x:f>IF(AND(DK$4&gt;=$C28,DK$4&lt;=$D28,'Вводные'!$B$90="Да"),"■","")</x:f>
      </x:c>
      <x:c r="DL28" s="135" t="str">
        <x:f>IF(AND(DL$4&gt;=$C28,DL$4&lt;=$D28,'Вводные'!$B$90="Да"),"■","")</x:f>
      </x:c>
      <x:c r="DM28" s="135" t="str">
        <x:f>IF(AND(DM$4&gt;=$C28,DM$4&lt;=$D28,'Вводные'!$B$90="Да"),"■","")</x:f>
      </x:c>
      <x:c r="DN28" s="135" t="str">
        <x:f>IF(AND(DN$4&gt;=$C28,DN$4&lt;=$D28,'Вводные'!$B$90="Да"),"■","")</x:f>
      </x:c>
      <x:c r="DO28" s="135" t="str">
        <x:f>IF(AND(DO$4&gt;=$C28,DO$4&lt;=$D28,'Вводные'!$B$90="Да"),"■","")</x:f>
      </x:c>
      <x:c r="DP28" s="135" t="str">
        <x:f>IF(AND(DP$4&gt;=$C28,DP$4&lt;=$D28,'Вводные'!$B$90="Да"),"■","")</x:f>
      </x:c>
      <x:c r="DQ28" s="135" t="str">
        <x:f>IF(AND(DQ$4&gt;=$C28,DQ$4&lt;=$D28,'Вводные'!$B$90="Да"),"■","")</x:f>
      </x:c>
      <x:c r="DR28" s="135" t="str">
        <x:f>IF(AND(DR$4&gt;=$C28,DR$4&lt;=$D28,'Вводные'!$B$90="Да"),"■","")</x:f>
      </x:c>
      <x:c r="DS28" s="135" t="str">
        <x:f>IF(AND(DS$4&gt;=$C28,DS$4&lt;=$D28,'Вводные'!$B$90="Да"),"■","")</x:f>
      </x:c>
      <x:c r="DT28" s="135" t="str">
        <x:f>IF(AND(DT$4&gt;=$C28,DT$4&lt;=$D28,'Вводные'!$B$90="Да"),"■","")</x:f>
      </x:c>
    </x:row>
    <x:row r="29">
      <x:c r="A29" t="str">
        <x:f>'Вводные'!$C$90</x:f>
      </x:c>
      <x:c r="B29" t="str">
        <x:v>Продажи</x:v>
      </x:c>
      <x:c r="C29" s="92" t="n">
        <x:f>'Продажи'!B53</x:f>
      </x:c>
      <x:c r="D29" s="92" t="n">
        <x:f>EDATE('Продажи'!B53,'Вводные'!$H$90-1)</x:f>
      </x:c>
      <x:c r="E29" s="139" t="str">
        <x:f>IF(AND(E$4&gt;=$C29,E$4&lt;=$D29,'Вводные'!$B$90="Да"),"■","")</x:f>
      </x:c>
      <x:c r="F29" s="139" t="str">
        <x:f>IF(AND(F$4&gt;=$C29,F$4&lt;=$D29,'Вводные'!$B$90="Да"),"■","")</x:f>
      </x:c>
      <x:c r="G29" s="139" t="str">
        <x:f>IF(AND(G$4&gt;=$C29,G$4&lt;=$D29,'Вводные'!$B$90="Да"),"■","")</x:f>
      </x:c>
      <x:c r="H29" s="139" t="str">
        <x:f>IF(AND(H$4&gt;=$C29,H$4&lt;=$D29,'Вводные'!$B$90="Да"),"■","")</x:f>
      </x:c>
      <x:c r="I29" s="139" t="str">
        <x:f>IF(AND(I$4&gt;=$C29,I$4&lt;=$D29,'Вводные'!$B$90="Да"),"■","")</x:f>
      </x:c>
      <x:c r="J29" s="139" t="str">
        <x:f>IF(AND(J$4&gt;=$C29,J$4&lt;=$D29,'Вводные'!$B$90="Да"),"■","")</x:f>
      </x:c>
      <x:c r="K29" s="139" t="str">
        <x:f>IF(AND(K$4&gt;=$C29,K$4&lt;=$D29,'Вводные'!$B$90="Да"),"■","")</x:f>
      </x:c>
      <x:c r="L29" s="139" t="str">
        <x:f>IF(AND(L$4&gt;=$C29,L$4&lt;=$D29,'Вводные'!$B$90="Да"),"■","")</x:f>
      </x:c>
      <x:c r="M29" s="139" t="str">
        <x:f>IF(AND(M$4&gt;=$C29,M$4&lt;=$D29,'Вводные'!$B$90="Да"),"■","")</x:f>
      </x:c>
      <x:c r="N29" s="139" t="str">
        <x:f>IF(AND(N$4&gt;=$C29,N$4&lt;=$D29,'Вводные'!$B$90="Да"),"■","")</x:f>
      </x:c>
      <x:c r="O29" s="139" t="str">
        <x:f>IF(AND(O$4&gt;=$C29,O$4&lt;=$D29,'Вводные'!$B$90="Да"),"■","")</x:f>
      </x:c>
      <x:c r="P29" s="139" t="str">
        <x:f>IF(AND(P$4&gt;=$C29,P$4&lt;=$D29,'Вводные'!$B$90="Да"),"■","")</x:f>
      </x:c>
      <x:c r="Q29" s="139" t="str">
        <x:f>IF(AND(Q$4&gt;=$C29,Q$4&lt;=$D29,'Вводные'!$B$90="Да"),"■","")</x:f>
      </x:c>
      <x:c r="R29" s="139" t="str">
        <x:f>IF(AND(R$4&gt;=$C29,R$4&lt;=$D29,'Вводные'!$B$90="Да"),"■","")</x:f>
      </x:c>
      <x:c r="S29" s="139" t="str">
        <x:f>IF(AND(S$4&gt;=$C29,S$4&lt;=$D29,'Вводные'!$B$90="Да"),"■","")</x:f>
      </x:c>
      <x:c r="T29" s="139" t="str">
        <x:f>IF(AND(T$4&gt;=$C29,T$4&lt;=$D29,'Вводные'!$B$90="Да"),"■","")</x:f>
      </x:c>
      <x:c r="U29" s="139" t="str">
        <x:f>IF(AND(U$4&gt;=$C29,U$4&lt;=$D29,'Вводные'!$B$90="Да"),"■","")</x:f>
      </x:c>
      <x:c r="V29" s="139" t="str">
        <x:f>IF(AND(V$4&gt;=$C29,V$4&lt;=$D29,'Вводные'!$B$90="Да"),"■","")</x:f>
      </x:c>
      <x:c r="W29" s="139" t="str">
        <x:f>IF(AND(W$4&gt;=$C29,W$4&lt;=$D29,'Вводные'!$B$90="Да"),"■","")</x:f>
      </x:c>
      <x:c r="X29" s="139" t="str">
        <x:f>IF(AND(X$4&gt;=$C29,X$4&lt;=$D29,'Вводные'!$B$90="Да"),"■","")</x:f>
      </x:c>
      <x:c r="Y29" s="139" t="str">
        <x:f>IF(AND(Y$4&gt;=$C29,Y$4&lt;=$D29,'Вводные'!$B$90="Да"),"■","")</x:f>
      </x:c>
      <x:c r="Z29" s="139" t="str">
        <x:f>IF(AND(Z$4&gt;=$C29,Z$4&lt;=$D29,'Вводные'!$B$90="Да"),"■","")</x:f>
      </x:c>
      <x:c r="AA29" s="139" t="str">
        <x:f>IF(AND(AA$4&gt;=$C29,AA$4&lt;=$D29,'Вводные'!$B$90="Да"),"■","")</x:f>
      </x:c>
      <x:c r="AB29" s="139" t="str">
        <x:f>IF(AND(AB$4&gt;=$C29,AB$4&lt;=$D29,'Вводные'!$B$90="Да"),"■","")</x:f>
      </x:c>
      <x:c r="AC29" s="139" t="str">
        <x:f>IF(AND(AC$4&gt;=$C29,AC$4&lt;=$D29,'Вводные'!$B$90="Да"),"■","")</x:f>
      </x:c>
      <x:c r="AD29" s="139" t="str">
        <x:f>IF(AND(AD$4&gt;=$C29,AD$4&lt;=$D29,'Вводные'!$B$90="Да"),"■","")</x:f>
      </x:c>
      <x:c r="AE29" s="139" t="str">
        <x:f>IF(AND(AE$4&gt;=$C29,AE$4&lt;=$D29,'Вводные'!$B$90="Да"),"■","")</x:f>
      </x:c>
      <x:c r="AF29" s="139" t="str">
        <x:f>IF(AND(AF$4&gt;=$C29,AF$4&lt;=$D29,'Вводные'!$B$90="Да"),"■","")</x:f>
      </x:c>
      <x:c r="AG29" s="139" t="str">
        <x:f>IF(AND(AG$4&gt;=$C29,AG$4&lt;=$D29,'Вводные'!$B$90="Да"),"■","")</x:f>
      </x:c>
      <x:c r="AH29" s="139" t="str">
        <x:f>IF(AND(AH$4&gt;=$C29,AH$4&lt;=$D29,'Вводные'!$B$90="Да"),"■","")</x:f>
      </x:c>
      <x:c r="AI29" s="139" t="str">
        <x:f>IF(AND(AI$4&gt;=$C29,AI$4&lt;=$D29,'Вводные'!$B$90="Да"),"■","")</x:f>
      </x:c>
      <x:c r="AJ29" s="139" t="str">
        <x:f>IF(AND(AJ$4&gt;=$C29,AJ$4&lt;=$D29,'Вводные'!$B$90="Да"),"■","")</x:f>
      </x:c>
      <x:c r="AK29" s="139" t="str">
        <x:f>IF(AND(AK$4&gt;=$C29,AK$4&lt;=$D29,'Вводные'!$B$90="Да"),"■","")</x:f>
      </x:c>
      <x:c r="AL29" s="139" t="str">
        <x:f>IF(AND(AL$4&gt;=$C29,AL$4&lt;=$D29,'Вводные'!$B$90="Да"),"■","")</x:f>
      </x:c>
      <x:c r="AM29" s="139" t="str">
        <x:f>IF(AND(AM$4&gt;=$C29,AM$4&lt;=$D29,'Вводные'!$B$90="Да"),"■","")</x:f>
      </x:c>
      <x:c r="AN29" s="139" t="str">
        <x:f>IF(AND(AN$4&gt;=$C29,AN$4&lt;=$D29,'Вводные'!$B$90="Да"),"■","")</x:f>
      </x:c>
      <x:c r="AO29" s="139" t="str">
        <x:f>IF(AND(AO$4&gt;=$C29,AO$4&lt;=$D29,'Вводные'!$B$90="Да"),"■","")</x:f>
      </x:c>
      <x:c r="AP29" s="139" t="str">
        <x:f>IF(AND(AP$4&gt;=$C29,AP$4&lt;=$D29,'Вводные'!$B$90="Да"),"■","")</x:f>
      </x:c>
      <x:c r="AQ29" s="139" t="str">
        <x:f>IF(AND(AQ$4&gt;=$C29,AQ$4&lt;=$D29,'Вводные'!$B$90="Да"),"■","")</x:f>
      </x:c>
      <x:c r="AR29" s="139" t="str">
        <x:f>IF(AND(AR$4&gt;=$C29,AR$4&lt;=$D29,'Вводные'!$B$90="Да"),"■","")</x:f>
      </x:c>
      <x:c r="AS29" s="139" t="str">
        <x:f>IF(AND(AS$4&gt;=$C29,AS$4&lt;=$D29,'Вводные'!$B$90="Да"),"■","")</x:f>
      </x:c>
      <x:c r="AT29" s="139" t="str">
        <x:f>IF(AND(AT$4&gt;=$C29,AT$4&lt;=$D29,'Вводные'!$B$90="Да"),"■","")</x:f>
      </x:c>
      <x:c r="AU29" s="139" t="str">
        <x:f>IF(AND(AU$4&gt;=$C29,AU$4&lt;=$D29,'Вводные'!$B$90="Да"),"■","")</x:f>
      </x:c>
      <x:c r="AV29" s="139" t="str">
        <x:f>IF(AND(AV$4&gt;=$C29,AV$4&lt;=$D29,'Вводные'!$B$90="Да"),"■","")</x:f>
      </x:c>
      <x:c r="AW29" s="139" t="str">
        <x:f>IF(AND(AW$4&gt;=$C29,AW$4&lt;=$D29,'Вводные'!$B$90="Да"),"■","")</x:f>
      </x:c>
      <x:c r="AX29" s="139" t="str">
        <x:f>IF(AND(AX$4&gt;=$C29,AX$4&lt;=$D29,'Вводные'!$B$90="Да"),"■","")</x:f>
      </x:c>
      <x:c r="AY29" s="139" t="str">
        <x:f>IF(AND(AY$4&gt;=$C29,AY$4&lt;=$D29,'Вводные'!$B$90="Да"),"■","")</x:f>
      </x:c>
      <x:c r="AZ29" s="139" t="str">
        <x:f>IF(AND(AZ$4&gt;=$C29,AZ$4&lt;=$D29,'Вводные'!$B$90="Да"),"■","")</x:f>
      </x:c>
      <x:c r="BA29" s="139" t="str">
        <x:f>IF(AND(BA$4&gt;=$C29,BA$4&lt;=$D29,'Вводные'!$B$90="Да"),"■","")</x:f>
      </x:c>
      <x:c r="BB29" s="139" t="str">
        <x:f>IF(AND(BB$4&gt;=$C29,BB$4&lt;=$D29,'Вводные'!$B$90="Да"),"■","")</x:f>
      </x:c>
      <x:c r="BC29" s="139" t="str">
        <x:f>IF(AND(BC$4&gt;=$C29,BC$4&lt;=$D29,'Вводные'!$B$90="Да"),"■","")</x:f>
      </x:c>
      <x:c r="BD29" s="139" t="str">
        <x:f>IF(AND(BD$4&gt;=$C29,BD$4&lt;=$D29,'Вводные'!$B$90="Да"),"■","")</x:f>
      </x:c>
      <x:c r="BE29" s="139" t="str">
        <x:f>IF(AND(BE$4&gt;=$C29,BE$4&lt;=$D29,'Вводные'!$B$90="Да"),"■","")</x:f>
      </x:c>
      <x:c r="BF29" s="139" t="str">
        <x:f>IF(AND(BF$4&gt;=$C29,BF$4&lt;=$D29,'Вводные'!$B$90="Да"),"■","")</x:f>
      </x:c>
      <x:c r="BG29" s="139" t="str">
        <x:f>IF(AND(BG$4&gt;=$C29,BG$4&lt;=$D29,'Вводные'!$B$90="Да"),"■","")</x:f>
      </x:c>
      <x:c r="BH29" s="139" t="str">
        <x:f>IF(AND(BH$4&gt;=$C29,BH$4&lt;=$D29,'Вводные'!$B$90="Да"),"■","")</x:f>
      </x:c>
      <x:c r="BI29" s="139" t="str">
        <x:f>IF(AND(BI$4&gt;=$C29,BI$4&lt;=$D29,'Вводные'!$B$90="Да"),"■","")</x:f>
      </x:c>
      <x:c r="BJ29" s="139" t="str">
        <x:f>IF(AND(BJ$4&gt;=$C29,BJ$4&lt;=$D29,'Вводные'!$B$90="Да"),"■","")</x:f>
      </x:c>
      <x:c r="BK29" s="139" t="str">
        <x:f>IF(AND(BK$4&gt;=$C29,BK$4&lt;=$D29,'Вводные'!$B$90="Да"),"■","")</x:f>
      </x:c>
      <x:c r="BL29" s="139" t="str">
        <x:f>IF(AND(BL$4&gt;=$C29,BL$4&lt;=$D29,'Вводные'!$B$90="Да"),"■","")</x:f>
      </x:c>
      <x:c r="BM29" s="139" t="str">
        <x:f>IF(AND(BM$4&gt;=$C29,BM$4&lt;=$D29,'Вводные'!$B$90="Да"),"■","")</x:f>
      </x:c>
      <x:c r="BN29" s="139" t="str">
        <x:f>IF(AND(BN$4&gt;=$C29,BN$4&lt;=$D29,'Вводные'!$B$90="Да"),"■","")</x:f>
      </x:c>
      <x:c r="BO29" s="139" t="str">
        <x:f>IF(AND(BO$4&gt;=$C29,BO$4&lt;=$D29,'Вводные'!$B$90="Да"),"■","")</x:f>
      </x:c>
      <x:c r="BP29" s="139" t="str">
        <x:f>IF(AND(BP$4&gt;=$C29,BP$4&lt;=$D29,'Вводные'!$B$90="Да"),"■","")</x:f>
      </x:c>
      <x:c r="BQ29" s="139" t="str">
        <x:f>IF(AND(BQ$4&gt;=$C29,BQ$4&lt;=$D29,'Вводные'!$B$90="Да"),"■","")</x:f>
      </x:c>
      <x:c r="BR29" s="139" t="str">
        <x:f>IF(AND(BR$4&gt;=$C29,BR$4&lt;=$D29,'Вводные'!$B$90="Да"),"■","")</x:f>
      </x:c>
      <x:c r="BS29" s="139" t="str">
        <x:f>IF(AND(BS$4&gt;=$C29,BS$4&lt;=$D29,'Вводные'!$B$90="Да"),"■","")</x:f>
      </x:c>
      <x:c r="BT29" s="139" t="str">
        <x:f>IF(AND(BT$4&gt;=$C29,BT$4&lt;=$D29,'Вводные'!$B$90="Да"),"■","")</x:f>
      </x:c>
      <x:c r="BU29" s="139" t="str">
        <x:f>IF(AND(BU$4&gt;=$C29,BU$4&lt;=$D29,'Вводные'!$B$90="Да"),"■","")</x:f>
      </x:c>
      <x:c r="BV29" s="139" t="str">
        <x:f>IF(AND(BV$4&gt;=$C29,BV$4&lt;=$D29,'Вводные'!$B$90="Да"),"■","")</x:f>
      </x:c>
      <x:c r="BW29" s="139" t="str">
        <x:f>IF(AND(BW$4&gt;=$C29,BW$4&lt;=$D29,'Вводные'!$B$90="Да"),"■","")</x:f>
      </x:c>
      <x:c r="BX29" s="139" t="str">
        <x:f>IF(AND(BX$4&gt;=$C29,BX$4&lt;=$D29,'Вводные'!$B$90="Да"),"■","")</x:f>
      </x:c>
      <x:c r="BY29" s="139" t="str">
        <x:f>IF(AND(BY$4&gt;=$C29,BY$4&lt;=$D29,'Вводные'!$B$90="Да"),"■","")</x:f>
      </x:c>
      <x:c r="BZ29" s="139" t="str">
        <x:f>IF(AND(BZ$4&gt;=$C29,BZ$4&lt;=$D29,'Вводные'!$B$90="Да"),"■","")</x:f>
      </x:c>
      <x:c r="CA29" s="139" t="str">
        <x:f>IF(AND(CA$4&gt;=$C29,CA$4&lt;=$D29,'Вводные'!$B$90="Да"),"■","")</x:f>
      </x:c>
      <x:c r="CB29" s="139" t="str">
        <x:f>IF(AND(CB$4&gt;=$C29,CB$4&lt;=$D29,'Вводные'!$B$90="Да"),"■","")</x:f>
      </x:c>
      <x:c r="CC29" s="139" t="str">
        <x:f>IF(AND(CC$4&gt;=$C29,CC$4&lt;=$D29,'Вводные'!$B$90="Да"),"■","")</x:f>
      </x:c>
      <x:c r="CD29" s="139" t="str">
        <x:f>IF(AND(CD$4&gt;=$C29,CD$4&lt;=$D29,'Вводные'!$B$90="Да"),"■","")</x:f>
      </x:c>
      <x:c r="CE29" s="139" t="str">
        <x:f>IF(AND(CE$4&gt;=$C29,CE$4&lt;=$D29,'Вводные'!$B$90="Да"),"■","")</x:f>
      </x:c>
      <x:c r="CF29" s="139" t="str">
        <x:f>IF(AND(CF$4&gt;=$C29,CF$4&lt;=$D29,'Вводные'!$B$90="Да"),"■","")</x:f>
      </x:c>
      <x:c r="CG29" s="139" t="str">
        <x:f>IF(AND(CG$4&gt;=$C29,CG$4&lt;=$D29,'Вводные'!$B$90="Да"),"■","")</x:f>
      </x:c>
      <x:c r="CH29" s="139" t="str">
        <x:f>IF(AND(CH$4&gt;=$C29,CH$4&lt;=$D29,'Вводные'!$B$90="Да"),"■","")</x:f>
      </x:c>
      <x:c r="CI29" s="139" t="str">
        <x:f>IF(AND(CI$4&gt;=$C29,CI$4&lt;=$D29,'Вводные'!$B$90="Да"),"■","")</x:f>
      </x:c>
      <x:c r="CJ29" s="139" t="str">
        <x:f>IF(AND(CJ$4&gt;=$C29,CJ$4&lt;=$D29,'Вводные'!$B$90="Да"),"■","")</x:f>
      </x:c>
      <x:c r="CK29" s="139" t="str">
        <x:f>IF(AND(CK$4&gt;=$C29,CK$4&lt;=$D29,'Вводные'!$B$90="Да"),"■","")</x:f>
      </x:c>
      <x:c r="CL29" s="139" t="str">
        <x:f>IF(AND(CL$4&gt;=$C29,CL$4&lt;=$D29,'Вводные'!$B$90="Да"),"■","")</x:f>
      </x:c>
      <x:c r="CM29" s="139" t="str">
        <x:f>IF(AND(CM$4&gt;=$C29,CM$4&lt;=$D29,'Вводные'!$B$90="Да"),"■","")</x:f>
      </x:c>
      <x:c r="CN29" s="139" t="str">
        <x:f>IF(AND(CN$4&gt;=$C29,CN$4&lt;=$D29,'Вводные'!$B$90="Да"),"■","")</x:f>
      </x:c>
      <x:c r="CO29" s="139" t="str">
        <x:f>IF(AND(CO$4&gt;=$C29,CO$4&lt;=$D29,'Вводные'!$B$90="Да"),"■","")</x:f>
      </x:c>
      <x:c r="CP29" s="139" t="str">
        <x:f>IF(AND(CP$4&gt;=$C29,CP$4&lt;=$D29,'Вводные'!$B$90="Да"),"■","")</x:f>
      </x:c>
      <x:c r="CQ29" s="139" t="str">
        <x:f>IF(AND(CQ$4&gt;=$C29,CQ$4&lt;=$D29,'Вводные'!$B$90="Да"),"■","")</x:f>
      </x:c>
      <x:c r="CR29" s="139" t="str">
        <x:f>IF(AND(CR$4&gt;=$C29,CR$4&lt;=$D29,'Вводные'!$B$90="Да"),"■","")</x:f>
      </x:c>
      <x:c r="CS29" s="139" t="str">
        <x:f>IF(AND(CS$4&gt;=$C29,CS$4&lt;=$D29,'Вводные'!$B$90="Да"),"■","")</x:f>
      </x:c>
      <x:c r="CT29" s="139" t="str">
        <x:f>IF(AND(CT$4&gt;=$C29,CT$4&lt;=$D29,'Вводные'!$B$90="Да"),"■","")</x:f>
      </x:c>
      <x:c r="CU29" s="139" t="str">
        <x:f>IF(AND(CU$4&gt;=$C29,CU$4&lt;=$D29,'Вводные'!$B$90="Да"),"■","")</x:f>
      </x:c>
      <x:c r="CV29" s="139" t="str">
        <x:f>IF(AND(CV$4&gt;=$C29,CV$4&lt;=$D29,'Вводные'!$B$90="Да"),"■","")</x:f>
      </x:c>
      <x:c r="CW29" s="139" t="str">
        <x:f>IF(AND(CW$4&gt;=$C29,CW$4&lt;=$D29,'Вводные'!$B$90="Да"),"■","")</x:f>
      </x:c>
      <x:c r="CX29" s="139" t="str">
        <x:f>IF(AND(CX$4&gt;=$C29,CX$4&lt;=$D29,'Вводные'!$B$90="Да"),"■","")</x:f>
      </x:c>
      <x:c r="CY29" s="139" t="str">
        <x:f>IF(AND(CY$4&gt;=$C29,CY$4&lt;=$D29,'Вводные'!$B$90="Да"),"■","")</x:f>
      </x:c>
      <x:c r="CZ29" s="139" t="str">
        <x:f>IF(AND(CZ$4&gt;=$C29,CZ$4&lt;=$D29,'Вводные'!$B$90="Да"),"■","")</x:f>
      </x:c>
      <x:c r="DA29" s="139" t="str">
        <x:f>IF(AND(DA$4&gt;=$C29,DA$4&lt;=$D29,'Вводные'!$B$90="Да"),"■","")</x:f>
      </x:c>
      <x:c r="DB29" s="139" t="str">
        <x:f>IF(AND(DB$4&gt;=$C29,DB$4&lt;=$D29,'Вводные'!$B$90="Да"),"■","")</x:f>
      </x:c>
      <x:c r="DC29" s="139" t="str">
        <x:f>IF(AND(DC$4&gt;=$C29,DC$4&lt;=$D29,'Вводные'!$B$90="Да"),"■","")</x:f>
      </x:c>
      <x:c r="DD29" s="139" t="str">
        <x:f>IF(AND(DD$4&gt;=$C29,DD$4&lt;=$D29,'Вводные'!$B$90="Да"),"■","")</x:f>
      </x:c>
      <x:c r="DE29" s="139" t="str">
        <x:f>IF(AND(DE$4&gt;=$C29,DE$4&lt;=$D29,'Вводные'!$B$90="Да"),"■","")</x:f>
      </x:c>
      <x:c r="DF29" s="139" t="str">
        <x:f>IF(AND(DF$4&gt;=$C29,DF$4&lt;=$D29,'Вводные'!$B$90="Да"),"■","")</x:f>
      </x:c>
      <x:c r="DG29" s="139" t="str">
        <x:f>IF(AND(DG$4&gt;=$C29,DG$4&lt;=$D29,'Вводные'!$B$90="Да"),"■","")</x:f>
      </x:c>
      <x:c r="DH29" s="139" t="str">
        <x:f>IF(AND(DH$4&gt;=$C29,DH$4&lt;=$D29,'Вводные'!$B$90="Да"),"■","")</x:f>
      </x:c>
      <x:c r="DI29" s="139" t="str">
        <x:f>IF(AND(DI$4&gt;=$C29,DI$4&lt;=$D29,'Вводные'!$B$90="Да"),"■","")</x:f>
      </x:c>
      <x:c r="DJ29" s="139" t="str">
        <x:f>IF(AND(DJ$4&gt;=$C29,DJ$4&lt;=$D29,'Вводные'!$B$90="Да"),"■","")</x:f>
      </x:c>
      <x:c r="DK29" s="139" t="str">
        <x:f>IF(AND(DK$4&gt;=$C29,DK$4&lt;=$D29,'Вводные'!$B$90="Да"),"■","")</x:f>
      </x:c>
      <x:c r="DL29" s="139" t="str">
        <x:f>IF(AND(DL$4&gt;=$C29,DL$4&lt;=$D29,'Вводные'!$B$90="Да"),"■","")</x:f>
      </x:c>
      <x:c r="DM29" s="139" t="str">
        <x:f>IF(AND(DM$4&gt;=$C29,DM$4&lt;=$D29,'Вводные'!$B$90="Да"),"■","")</x:f>
      </x:c>
      <x:c r="DN29" s="139" t="str">
        <x:f>IF(AND(DN$4&gt;=$C29,DN$4&lt;=$D29,'Вводные'!$B$90="Да"),"■","")</x:f>
      </x:c>
      <x:c r="DO29" s="139" t="str">
        <x:f>IF(AND(DO$4&gt;=$C29,DO$4&lt;=$D29,'Вводные'!$B$90="Да"),"■","")</x:f>
      </x:c>
      <x:c r="DP29" s="139" t="str">
        <x:f>IF(AND(DP$4&gt;=$C29,DP$4&lt;=$D29,'Вводные'!$B$90="Да"),"■","")</x:f>
      </x:c>
      <x:c r="DQ29" s="139" t="str">
        <x:f>IF(AND(DQ$4&gt;=$C29,DQ$4&lt;=$D29,'Вводные'!$B$90="Да"),"■","")</x:f>
      </x:c>
      <x:c r="DR29" s="139" t="str">
        <x:f>IF(AND(DR$4&gt;=$C29,DR$4&lt;=$D29,'Вводные'!$B$90="Да"),"■","")</x:f>
      </x:c>
      <x:c r="DS29" s="139" t="str">
        <x:f>IF(AND(DS$4&gt;=$C29,DS$4&lt;=$D29,'Вводные'!$B$90="Да"),"■","")</x:f>
      </x:c>
      <x:c r="DT29" s="139" t="str">
        <x:f>IF(AND(DT$4&gt;=$C29,DT$4&lt;=$D29,'Вводные'!$B$90="Да"),"■","")</x:f>
      </x:c>
    </x:row>
    <x:row r="30">
      <x:c r="A30" t="str">
        <x:f>'Вводные'!$C$90</x:f>
      </x:c>
      <x:c r="B30" t="str">
        <x:v>Строительство</x:v>
      </x:c>
      <x:c r="C30" s="92" t="n">
        <x:f>'CF_3'!B7</x:f>
      </x:c>
      <x:c r="D30" s="92" t="n">
        <x:f>EDATE(C30,'Вводные'!$F$90-1)</x:f>
      </x:c>
      <x:c r="E30" s="141" t="str">
        <x:f>IF(AND(E$4&gt;=$C30,E$4&lt;=$D30,'Вводные'!$B$90="Да"),"■","")</x:f>
      </x:c>
      <x:c r="F30" s="141" t="str">
        <x:f>IF(AND(F$4&gt;=$C30,F$4&lt;=$D30,'Вводные'!$B$90="Да"),"■","")</x:f>
      </x:c>
      <x:c r="G30" s="141" t="str">
        <x:f>IF(AND(G$4&gt;=$C30,G$4&lt;=$D30,'Вводные'!$B$90="Да"),"■","")</x:f>
      </x:c>
      <x:c r="H30" s="141" t="str">
        <x:f>IF(AND(H$4&gt;=$C30,H$4&lt;=$D30,'Вводные'!$B$90="Да"),"■","")</x:f>
      </x:c>
      <x:c r="I30" s="141" t="str">
        <x:f>IF(AND(I$4&gt;=$C30,I$4&lt;=$D30,'Вводные'!$B$90="Да"),"■","")</x:f>
      </x:c>
      <x:c r="J30" s="141" t="str">
        <x:f>IF(AND(J$4&gt;=$C30,J$4&lt;=$D30,'Вводные'!$B$90="Да"),"■","")</x:f>
      </x:c>
      <x:c r="K30" s="141" t="str">
        <x:f>IF(AND(K$4&gt;=$C30,K$4&lt;=$D30,'Вводные'!$B$90="Да"),"■","")</x:f>
      </x:c>
      <x:c r="L30" s="141" t="str">
        <x:f>IF(AND(L$4&gt;=$C30,L$4&lt;=$D30,'Вводные'!$B$90="Да"),"■","")</x:f>
      </x:c>
      <x:c r="M30" s="141" t="str">
        <x:f>IF(AND(M$4&gt;=$C30,M$4&lt;=$D30,'Вводные'!$B$90="Да"),"■","")</x:f>
      </x:c>
      <x:c r="N30" s="141" t="str">
        <x:f>IF(AND(N$4&gt;=$C30,N$4&lt;=$D30,'Вводные'!$B$90="Да"),"■","")</x:f>
      </x:c>
      <x:c r="O30" s="141" t="str">
        <x:f>IF(AND(O$4&gt;=$C30,O$4&lt;=$D30,'Вводные'!$B$90="Да"),"■","")</x:f>
      </x:c>
      <x:c r="P30" s="141" t="str">
        <x:f>IF(AND(P$4&gt;=$C30,P$4&lt;=$D30,'Вводные'!$B$90="Да"),"■","")</x:f>
      </x:c>
      <x:c r="Q30" s="141" t="str">
        <x:f>IF(AND(Q$4&gt;=$C30,Q$4&lt;=$D30,'Вводные'!$B$90="Да"),"■","")</x:f>
      </x:c>
      <x:c r="R30" s="141" t="str">
        <x:f>IF(AND(R$4&gt;=$C30,R$4&lt;=$D30,'Вводные'!$B$90="Да"),"■","")</x:f>
      </x:c>
      <x:c r="S30" s="141" t="str">
        <x:f>IF(AND(S$4&gt;=$C30,S$4&lt;=$D30,'Вводные'!$B$90="Да"),"■","")</x:f>
      </x:c>
      <x:c r="T30" s="141" t="str">
        <x:f>IF(AND(T$4&gt;=$C30,T$4&lt;=$D30,'Вводные'!$B$90="Да"),"■","")</x:f>
      </x:c>
      <x:c r="U30" s="141" t="str">
        <x:f>IF(AND(U$4&gt;=$C30,U$4&lt;=$D30,'Вводные'!$B$90="Да"),"■","")</x:f>
      </x:c>
      <x:c r="V30" s="141" t="str">
        <x:f>IF(AND(V$4&gt;=$C30,V$4&lt;=$D30,'Вводные'!$B$90="Да"),"■","")</x:f>
      </x:c>
      <x:c r="W30" s="141" t="str">
        <x:f>IF(AND(W$4&gt;=$C30,W$4&lt;=$D30,'Вводные'!$B$90="Да"),"■","")</x:f>
      </x:c>
      <x:c r="X30" s="141" t="str">
        <x:f>IF(AND(X$4&gt;=$C30,X$4&lt;=$D30,'Вводные'!$B$90="Да"),"■","")</x:f>
      </x:c>
      <x:c r="Y30" s="141" t="str">
        <x:f>IF(AND(Y$4&gt;=$C30,Y$4&lt;=$D30,'Вводные'!$B$90="Да"),"■","")</x:f>
      </x:c>
      <x:c r="Z30" s="141" t="str">
        <x:f>IF(AND(Z$4&gt;=$C30,Z$4&lt;=$D30,'Вводные'!$B$90="Да"),"■","")</x:f>
      </x:c>
      <x:c r="AA30" s="141" t="str">
        <x:f>IF(AND(AA$4&gt;=$C30,AA$4&lt;=$D30,'Вводные'!$B$90="Да"),"■","")</x:f>
      </x:c>
      <x:c r="AB30" s="141" t="str">
        <x:f>IF(AND(AB$4&gt;=$C30,AB$4&lt;=$D30,'Вводные'!$B$90="Да"),"■","")</x:f>
      </x:c>
      <x:c r="AC30" s="141" t="str">
        <x:f>IF(AND(AC$4&gt;=$C30,AC$4&lt;=$D30,'Вводные'!$B$90="Да"),"■","")</x:f>
      </x:c>
      <x:c r="AD30" s="141" t="str">
        <x:f>IF(AND(AD$4&gt;=$C30,AD$4&lt;=$D30,'Вводные'!$B$90="Да"),"■","")</x:f>
      </x:c>
      <x:c r="AE30" s="141" t="str">
        <x:f>IF(AND(AE$4&gt;=$C30,AE$4&lt;=$D30,'Вводные'!$B$90="Да"),"■","")</x:f>
      </x:c>
      <x:c r="AF30" s="141" t="str">
        <x:f>IF(AND(AF$4&gt;=$C30,AF$4&lt;=$D30,'Вводные'!$B$90="Да"),"■","")</x:f>
      </x:c>
      <x:c r="AG30" s="141" t="str">
        <x:f>IF(AND(AG$4&gt;=$C30,AG$4&lt;=$D30,'Вводные'!$B$90="Да"),"■","")</x:f>
      </x:c>
      <x:c r="AH30" s="141" t="str">
        <x:f>IF(AND(AH$4&gt;=$C30,AH$4&lt;=$D30,'Вводные'!$B$90="Да"),"■","")</x:f>
      </x:c>
      <x:c r="AI30" s="141" t="str">
        <x:f>IF(AND(AI$4&gt;=$C30,AI$4&lt;=$D30,'Вводные'!$B$90="Да"),"■","")</x:f>
      </x:c>
      <x:c r="AJ30" s="141" t="str">
        <x:f>IF(AND(AJ$4&gt;=$C30,AJ$4&lt;=$D30,'Вводные'!$B$90="Да"),"■","")</x:f>
      </x:c>
      <x:c r="AK30" s="141" t="str">
        <x:f>IF(AND(AK$4&gt;=$C30,AK$4&lt;=$D30,'Вводные'!$B$90="Да"),"■","")</x:f>
      </x:c>
      <x:c r="AL30" s="141" t="str">
        <x:f>IF(AND(AL$4&gt;=$C30,AL$4&lt;=$D30,'Вводные'!$B$90="Да"),"■","")</x:f>
      </x:c>
      <x:c r="AM30" s="141" t="str">
        <x:f>IF(AND(AM$4&gt;=$C30,AM$4&lt;=$D30,'Вводные'!$B$90="Да"),"■","")</x:f>
      </x:c>
      <x:c r="AN30" s="141" t="str">
        <x:f>IF(AND(AN$4&gt;=$C30,AN$4&lt;=$D30,'Вводные'!$B$90="Да"),"■","")</x:f>
      </x:c>
      <x:c r="AO30" s="141" t="str">
        <x:f>IF(AND(AO$4&gt;=$C30,AO$4&lt;=$D30,'Вводные'!$B$90="Да"),"■","")</x:f>
      </x:c>
      <x:c r="AP30" s="141" t="str">
        <x:f>IF(AND(AP$4&gt;=$C30,AP$4&lt;=$D30,'Вводные'!$B$90="Да"),"■","")</x:f>
      </x:c>
      <x:c r="AQ30" s="141" t="str">
        <x:f>IF(AND(AQ$4&gt;=$C30,AQ$4&lt;=$D30,'Вводные'!$B$90="Да"),"■","")</x:f>
      </x:c>
      <x:c r="AR30" s="141" t="str">
        <x:f>IF(AND(AR$4&gt;=$C30,AR$4&lt;=$D30,'Вводные'!$B$90="Да"),"■","")</x:f>
      </x:c>
      <x:c r="AS30" s="141" t="str">
        <x:f>IF(AND(AS$4&gt;=$C30,AS$4&lt;=$D30,'Вводные'!$B$90="Да"),"■","")</x:f>
      </x:c>
      <x:c r="AT30" s="141" t="str">
        <x:f>IF(AND(AT$4&gt;=$C30,AT$4&lt;=$D30,'Вводные'!$B$90="Да"),"■","")</x:f>
      </x:c>
      <x:c r="AU30" s="141" t="str">
        <x:f>IF(AND(AU$4&gt;=$C30,AU$4&lt;=$D30,'Вводные'!$B$90="Да"),"■","")</x:f>
      </x:c>
      <x:c r="AV30" s="141" t="str">
        <x:f>IF(AND(AV$4&gt;=$C30,AV$4&lt;=$D30,'Вводные'!$B$90="Да"),"■","")</x:f>
      </x:c>
      <x:c r="AW30" s="141" t="str">
        <x:f>IF(AND(AW$4&gt;=$C30,AW$4&lt;=$D30,'Вводные'!$B$90="Да"),"■","")</x:f>
      </x:c>
      <x:c r="AX30" s="141" t="str">
        <x:f>IF(AND(AX$4&gt;=$C30,AX$4&lt;=$D30,'Вводные'!$B$90="Да"),"■","")</x:f>
      </x:c>
      <x:c r="AY30" s="141" t="str">
        <x:f>IF(AND(AY$4&gt;=$C30,AY$4&lt;=$D30,'Вводные'!$B$90="Да"),"■","")</x:f>
      </x:c>
      <x:c r="AZ30" s="141" t="str">
        <x:f>IF(AND(AZ$4&gt;=$C30,AZ$4&lt;=$D30,'Вводные'!$B$90="Да"),"■","")</x:f>
      </x:c>
      <x:c r="BA30" s="141" t="str">
        <x:f>IF(AND(BA$4&gt;=$C30,BA$4&lt;=$D30,'Вводные'!$B$90="Да"),"■","")</x:f>
      </x:c>
      <x:c r="BB30" s="141" t="str">
        <x:f>IF(AND(BB$4&gt;=$C30,BB$4&lt;=$D30,'Вводные'!$B$90="Да"),"■","")</x:f>
      </x:c>
      <x:c r="BC30" s="141" t="str">
        <x:f>IF(AND(BC$4&gt;=$C30,BC$4&lt;=$D30,'Вводные'!$B$90="Да"),"■","")</x:f>
      </x:c>
      <x:c r="BD30" s="141" t="str">
        <x:f>IF(AND(BD$4&gt;=$C30,BD$4&lt;=$D30,'Вводные'!$B$90="Да"),"■","")</x:f>
      </x:c>
      <x:c r="BE30" s="141" t="str">
        <x:f>IF(AND(BE$4&gt;=$C30,BE$4&lt;=$D30,'Вводные'!$B$90="Да"),"■","")</x:f>
      </x:c>
      <x:c r="BF30" s="141" t="str">
        <x:f>IF(AND(BF$4&gt;=$C30,BF$4&lt;=$D30,'Вводные'!$B$90="Да"),"■","")</x:f>
      </x:c>
      <x:c r="BG30" s="141" t="str">
        <x:f>IF(AND(BG$4&gt;=$C30,BG$4&lt;=$D30,'Вводные'!$B$90="Да"),"■","")</x:f>
      </x:c>
      <x:c r="BH30" s="141" t="str">
        <x:f>IF(AND(BH$4&gt;=$C30,BH$4&lt;=$D30,'Вводные'!$B$90="Да"),"■","")</x:f>
      </x:c>
      <x:c r="BI30" s="141" t="str">
        <x:f>IF(AND(BI$4&gt;=$C30,BI$4&lt;=$D30,'Вводные'!$B$90="Да"),"■","")</x:f>
      </x:c>
      <x:c r="BJ30" s="141" t="str">
        <x:f>IF(AND(BJ$4&gt;=$C30,BJ$4&lt;=$D30,'Вводные'!$B$90="Да"),"■","")</x:f>
      </x:c>
      <x:c r="BK30" s="141" t="str">
        <x:f>IF(AND(BK$4&gt;=$C30,BK$4&lt;=$D30,'Вводные'!$B$90="Да"),"■","")</x:f>
      </x:c>
      <x:c r="BL30" s="141" t="str">
        <x:f>IF(AND(BL$4&gt;=$C30,BL$4&lt;=$D30,'Вводные'!$B$90="Да"),"■","")</x:f>
      </x:c>
      <x:c r="BM30" s="141" t="str">
        <x:f>IF(AND(BM$4&gt;=$C30,BM$4&lt;=$D30,'Вводные'!$B$90="Да"),"■","")</x:f>
      </x:c>
      <x:c r="BN30" s="141" t="str">
        <x:f>IF(AND(BN$4&gt;=$C30,BN$4&lt;=$D30,'Вводные'!$B$90="Да"),"■","")</x:f>
      </x:c>
      <x:c r="BO30" s="141" t="str">
        <x:f>IF(AND(BO$4&gt;=$C30,BO$4&lt;=$D30,'Вводные'!$B$90="Да"),"■","")</x:f>
      </x:c>
      <x:c r="BP30" s="141" t="str">
        <x:f>IF(AND(BP$4&gt;=$C30,BP$4&lt;=$D30,'Вводные'!$B$90="Да"),"■","")</x:f>
      </x:c>
      <x:c r="BQ30" s="141" t="str">
        <x:f>IF(AND(BQ$4&gt;=$C30,BQ$4&lt;=$D30,'Вводные'!$B$90="Да"),"■","")</x:f>
      </x:c>
      <x:c r="BR30" s="141" t="str">
        <x:f>IF(AND(BR$4&gt;=$C30,BR$4&lt;=$D30,'Вводные'!$B$90="Да"),"■","")</x:f>
      </x:c>
      <x:c r="BS30" s="141" t="str">
        <x:f>IF(AND(BS$4&gt;=$C30,BS$4&lt;=$D30,'Вводные'!$B$90="Да"),"■","")</x:f>
      </x:c>
      <x:c r="BT30" s="141" t="str">
        <x:f>IF(AND(BT$4&gt;=$C30,BT$4&lt;=$D30,'Вводные'!$B$90="Да"),"■","")</x:f>
      </x:c>
      <x:c r="BU30" s="141" t="str">
        <x:f>IF(AND(BU$4&gt;=$C30,BU$4&lt;=$D30,'Вводные'!$B$90="Да"),"■","")</x:f>
      </x:c>
      <x:c r="BV30" s="141" t="str">
        <x:f>IF(AND(BV$4&gt;=$C30,BV$4&lt;=$D30,'Вводные'!$B$90="Да"),"■","")</x:f>
      </x:c>
      <x:c r="BW30" s="141" t="str">
        <x:f>IF(AND(BW$4&gt;=$C30,BW$4&lt;=$D30,'Вводные'!$B$90="Да"),"■","")</x:f>
      </x:c>
      <x:c r="BX30" s="141" t="str">
        <x:f>IF(AND(BX$4&gt;=$C30,BX$4&lt;=$D30,'Вводные'!$B$90="Да"),"■","")</x:f>
      </x:c>
      <x:c r="BY30" s="141" t="str">
        <x:f>IF(AND(BY$4&gt;=$C30,BY$4&lt;=$D30,'Вводные'!$B$90="Да"),"■","")</x:f>
      </x:c>
      <x:c r="BZ30" s="141" t="str">
        <x:f>IF(AND(BZ$4&gt;=$C30,BZ$4&lt;=$D30,'Вводные'!$B$90="Да"),"■","")</x:f>
      </x:c>
      <x:c r="CA30" s="141" t="str">
        <x:f>IF(AND(CA$4&gt;=$C30,CA$4&lt;=$D30,'Вводные'!$B$90="Да"),"■","")</x:f>
      </x:c>
      <x:c r="CB30" s="141" t="str">
        <x:f>IF(AND(CB$4&gt;=$C30,CB$4&lt;=$D30,'Вводные'!$B$90="Да"),"■","")</x:f>
      </x:c>
      <x:c r="CC30" s="141" t="str">
        <x:f>IF(AND(CC$4&gt;=$C30,CC$4&lt;=$D30,'Вводные'!$B$90="Да"),"■","")</x:f>
      </x:c>
      <x:c r="CD30" s="141" t="str">
        <x:f>IF(AND(CD$4&gt;=$C30,CD$4&lt;=$D30,'Вводные'!$B$90="Да"),"■","")</x:f>
      </x:c>
      <x:c r="CE30" s="141" t="str">
        <x:f>IF(AND(CE$4&gt;=$C30,CE$4&lt;=$D30,'Вводные'!$B$90="Да"),"■","")</x:f>
      </x:c>
      <x:c r="CF30" s="141" t="str">
        <x:f>IF(AND(CF$4&gt;=$C30,CF$4&lt;=$D30,'Вводные'!$B$90="Да"),"■","")</x:f>
      </x:c>
      <x:c r="CG30" s="141" t="str">
        <x:f>IF(AND(CG$4&gt;=$C30,CG$4&lt;=$D30,'Вводные'!$B$90="Да"),"■","")</x:f>
      </x:c>
      <x:c r="CH30" s="141" t="str">
        <x:f>IF(AND(CH$4&gt;=$C30,CH$4&lt;=$D30,'Вводные'!$B$90="Да"),"■","")</x:f>
      </x:c>
      <x:c r="CI30" s="141" t="str">
        <x:f>IF(AND(CI$4&gt;=$C30,CI$4&lt;=$D30,'Вводные'!$B$90="Да"),"■","")</x:f>
      </x:c>
      <x:c r="CJ30" s="141" t="str">
        <x:f>IF(AND(CJ$4&gt;=$C30,CJ$4&lt;=$D30,'Вводные'!$B$90="Да"),"■","")</x:f>
      </x:c>
      <x:c r="CK30" s="141" t="str">
        <x:f>IF(AND(CK$4&gt;=$C30,CK$4&lt;=$D30,'Вводные'!$B$90="Да"),"■","")</x:f>
      </x:c>
      <x:c r="CL30" s="141" t="str">
        <x:f>IF(AND(CL$4&gt;=$C30,CL$4&lt;=$D30,'Вводные'!$B$90="Да"),"■","")</x:f>
      </x:c>
      <x:c r="CM30" s="141" t="str">
        <x:f>IF(AND(CM$4&gt;=$C30,CM$4&lt;=$D30,'Вводные'!$B$90="Да"),"■","")</x:f>
      </x:c>
      <x:c r="CN30" s="141" t="str">
        <x:f>IF(AND(CN$4&gt;=$C30,CN$4&lt;=$D30,'Вводные'!$B$90="Да"),"■","")</x:f>
      </x:c>
      <x:c r="CO30" s="141" t="str">
        <x:f>IF(AND(CO$4&gt;=$C30,CO$4&lt;=$D30,'Вводные'!$B$90="Да"),"■","")</x:f>
      </x:c>
      <x:c r="CP30" s="141" t="str">
        <x:f>IF(AND(CP$4&gt;=$C30,CP$4&lt;=$D30,'Вводные'!$B$90="Да"),"■","")</x:f>
      </x:c>
      <x:c r="CQ30" s="141" t="str">
        <x:f>IF(AND(CQ$4&gt;=$C30,CQ$4&lt;=$D30,'Вводные'!$B$90="Да"),"■","")</x:f>
      </x:c>
      <x:c r="CR30" s="141" t="str">
        <x:f>IF(AND(CR$4&gt;=$C30,CR$4&lt;=$D30,'Вводные'!$B$90="Да"),"■","")</x:f>
      </x:c>
      <x:c r="CS30" s="141" t="str">
        <x:f>IF(AND(CS$4&gt;=$C30,CS$4&lt;=$D30,'Вводные'!$B$90="Да"),"■","")</x:f>
      </x:c>
      <x:c r="CT30" s="141" t="str">
        <x:f>IF(AND(CT$4&gt;=$C30,CT$4&lt;=$D30,'Вводные'!$B$90="Да"),"■","")</x:f>
      </x:c>
      <x:c r="CU30" s="141" t="str">
        <x:f>IF(AND(CU$4&gt;=$C30,CU$4&lt;=$D30,'Вводные'!$B$90="Да"),"■","")</x:f>
      </x:c>
      <x:c r="CV30" s="141" t="str">
        <x:f>IF(AND(CV$4&gt;=$C30,CV$4&lt;=$D30,'Вводные'!$B$90="Да"),"■","")</x:f>
      </x:c>
      <x:c r="CW30" s="141" t="str">
        <x:f>IF(AND(CW$4&gt;=$C30,CW$4&lt;=$D30,'Вводные'!$B$90="Да"),"■","")</x:f>
      </x:c>
      <x:c r="CX30" s="141" t="str">
        <x:f>IF(AND(CX$4&gt;=$C30,CX$4&lt;=$D30,'Вводные'!$B$90="Да"),"■","")</x:f>
      </x:c>
      <x:c r="CY30" s="141" t="str">
        <x:f>IF(AND(CY$4&gt;=$C30,CY$4&lt;=$D30,'Вводные'!$B$90="Да"),"■","")</x:f>
      </x:c>
      <x:c r="CZ30" s="141" t="str">
        <x:f>IF(AND(CZ$4&gt;=$C30,CZ$4&lt;=$D30,'Вводные'!$B$90="Да"),"■","")</x:f>
      </x:c>
      <x:c r="DA30" s="141" t="str">
        <x:f>IF(AND(DA$4&gt;=$C30,DA$4&lt;=$D30,'Вводные'!$B$90="Да"),"■","")</x:f>
      </x:c>
      <x:c r="DB30" s="141" t="str">
        <x:f>IF(AND(DB$4&gt;=$C30,DB$4&lt;=$D30,'Вводные'!$B$90="Да"),"■","")</x:f>
      </x:c>
      <x:c r="DC30" s="141" t="str">
        <x:f>IF(AND(DC$4&gt;=$C30,DC$4&lt;=$D30,'Вводные'!$B$90="Да"),"■","")</x:f>
      </x:c>
      <x:c r="DD30" s="141" t="str">
        <x:f>IF(AND(DD$4&gt;=$C30,DD$4&lt;=$D30,'Вводные'!$B$90="Да"),"■","")</x:f>
      </x:c>
      <x:c r="DE30" s="141" t="str">
        <x:f>IF(AND(DE$4&gt;=$C30,DE$4&lt;=$D30,'Вводные'!$B$90="Да"),"■","")</x:f>
      </x:c>
      <x:c r="DF30" s="141" t="str">
        <x:f>IF(AND(DF$4&gt;=$C30,DF$4&lt;=$D30,'Вводные'!$B$90="Да"),"■","")</x:f>
      </x:c>
      <x:c r="DG30" s="141" t="str">
        <x:f>IF(AND(DG$4&gt;=$C30,DG$4&lt;=$D30,'Вводные'!$B$90="Да"),"■","")</x:f>
      </x:c>
      <x:c r="DH30" s="141" t="str">
        <x:f>IF(AND(DH$4&gt;=$C30,DH$4&lt;=$D30,'Вводные'!$B$90="Да"),"■","")</x:f>
      </x:c>
      <x:c r="DI30" s="141" t="str">
        <x:f>IF(AND(DI$4&gt;=$C30,DI$4&lt;=$D30,'Вводные'!$B$90="Да"),"■","")</x:f>
      </x:c>
      <x:c r="DJ30" s="141" t="str">
        <x:f>IF(AND(DJ$4&gt;=$C30,DJ$4&lt;=$D30,'Вводные'!$B$90="Да"),"■","")</x:f>
      </x:c>
      <x:c r="DK30" s="141" t="str">
        <x:f>IF(AND(DK$4&gt;=$C30,DK$4&lt;=$D30,'Вводные'!$B$90="Да"),"■","")</x:f>
      </x:c>
      <x:c r="DL30" s="141" t="str">
        <x:f>IF(AND(DL$4&gt;=$C30,DL$4&lt;=$D30,'Вводные'!$B$90="Да"),"■","")</x:f>
      </x:c>
      <x:c r="DM30" s="141" t="str">
        <x:f>IF(AND(DM$4&gt;=$C30,DM$4&lt;=$D30,'Вводные'!$B$90="Да"),"■","")</x:f>
      </x:c>
      <x:c r="DN30" s="141" t="str">
        <x:f>IF(AND(DN$4&gt;=$C30,DN$4&lt;=$D30,'Вводные'!$B$90="Да"),"■","")</x:f>
      </x:c>
      <x:c r="DO30" s="141" t="str">
        <x:f>IF(AND(DO$4&gt;=$C30,DO$4&lt;=$D30,'Вводные'!$B$90="Да"),"■","")</x:f>
      </x:c>
      <x:c r="DP30" s="141" t="str">
        <x:f>IF(AND(DP$4&gt;=$C30,DP$4&lt;=$D30,'Вводные'!$B$90="Да"),"■","")</x:f>
      </x:c>
      <x:c r="DQ30" s="141" t="str">
        <x:f>IF(AND(DQ$4&gt;=$C30,DQ$4&lt;=$D30,'Вводные'!$B$90="Да"),"■","")</x:f>
      </x:c>
      <x:c r="DR30" s="141" t="str">
        <x:f>IF(AND(DR$4&gt;=$C30,DR$4&lt;=$D30,'Вводные'!$B$90="Да"),"■","")</x:f>
      </x:c>
      <x:c r="DS30" s="141" t="str">
        <x:f>IF(AND(DS$4&gt;=$C30,DS$4&lt;=$D30,'Вводные'!$B$90="Да"),"■","")</x:f>
      </x:c>
      <x:c r="DT30" s="141" t="str">
        <x:f>IF(AND(DT$4&gt;=$C30,DT$4&lt;=$D30,'Вводные'!$B$90="Да"),"■","")</x:f>
      </x:c>
    </x:row>
    <x:row r="31">
      <x:c r="A31" t="str">
        <x:f>'Вводные'!$C$90</x:f>
      </x:c>
      <x:c r="B31" t="str">
        <x:v>РВЭ</x:v>
      </x:c>
      <x:c r="C31" s="92" t="n">
        <x:f>'CF_3'!B8</x:f>
      </x:c>
      <x:c r="D31" s="92" t="n">
        <x:f>C31</x:f>
      </x:c>
      <x:c r="E31" s="135" t="str">
        <x:f>IF(AND(E$4&gt;=$C31,E$4&lt;=$D31,'Вводные'!$B$90="Да"),"■","")</x:f>
      </x:c>
      <x:c r="F31" s="135" t="str">
        <x:f>IF(AND(F$4&gt;=$C31,F$4&lt;=$D31,'Вводные'!$B$90="Да"),"■","")</x:f>
      </x:c>
      <x:c r="G31" s="135" t="str">
        <x:f>IF(AND(G$4&gt;=$C31,G$4&lt;=$D31,'Вводные'!$B$90="Да"),"■","")</x:f>
      </x:c>
      <x:c r="H31" s="135" t="str">
        <x:f>IF(AND(H$4&gt;=$C31,H$4&lt;=$D31,'Вводные'!$B$90="Да"),"■","")</x:f>
      </x:c>
      <x:c r="I31" s="135" t="str">
        <x:f>IF(AND(I$4&gt;=$C31,I$4&lt;=$D31,'Вводные'!$B$90="Да"),"■","")</x:f>
      </x:c>
      <x:c r="J31" s="135" t="str">
        <x:f>IF(AND(J$4&gt;=$C31,J$4&lt;=$D31,'Вводные'!$B$90="Да"),"■","")</x:f>
      </x:c>
      <x:c r="K31" s="135" t="str">
        <x:f>IF(AND(K$4&gt;=$C31,K$4&lt;=$D31,'Вводные'!$B$90="Да"),"■","")</x:f>
      </x:c>
      <x:c r="L31" s="135" t="str">
        <x:f>IF(AND(L$4&gt;=$C31,L$4&lt;=$D31,'Вводные'!$B$90="Да"),"■","")</x:f>
      </x:c>
      <x:c r="M31" s="135" t="str">
        <x:f>IF(AND(M$4&gt;=$C31,M$4&lt;=$D31,'Вводные'!$B$90="Да"),"■","")</x:f>
      </x:c>
      <x:c r="N31" s="135" t="str">
        <x:f>IF(AND(N$4&gt;=$C31,N$4&lt;=$D31,'Вводные'!$B$90="Да"),"■","")</x:f>
      </x:c>
      <x:c r="O31" s="135" t="str">
        <x:f>IF(AND(O$4&gt;=$C31,O$4&lt;=$D31,'Вводные'!$B$90="Да"),"■","")</x:f>
      </x:c>
      <x:c r="P31" s="135" t="str">
        <x:f>IF(AND(P$4&gt;=$C31,P$4&lt;=$D31,'Вводные'!$B$90="Да"),"■","")</x:f>
      </x:c>
      <x:c r="Q31" s="135" t="str">
        <x:f>IF(AND(Q$4&gt;=$C31,Q$4&lt;=$D31,'Вводные'!$B$90="Да"),"■","")</x:f>
      </x:c>
      <x:c r="R31" s="135" t="str">
        <x:f>IF(AND(R$4&gt;=$C31,R$4&lt;=$D31,'Вводные'!$B$90="Да"),"■","")</x:f>
      </x:c>
      <x:c r="S31" s="135" t="str">
        <x:f>IF(AND(S$4&gt;=$C31,S$4&lt;=$D31,'Вводные'!$B$90="Да"),"■","")</x:f>
      </x:c>
      <x:c r="T31" s="135" t="str">
        <x:f>IF(AND(T$4&gt;=$C31,T$4&lt;=$D31,'Вводные'!$B$90="Да"),"■","")</x:f>
      </x:c>
      <x:c r="U31" s="135" t="str">
        <x:f>IF(AND(U$4&gt;=$C31,U$4&lt;=$D31,'Вводные'!$B$90="Да"),"■","")</x:f>
      </x:c>
      <x:c r="V31" s="135" t="str">
        <x:f>IF(AND(V$4&gt;=$C31,V$4&lt;=$D31,'Вводные'!$B$90="Да"),"■","")</x:f>
      </x:c>
      <x:c r="W31" s="135" t="str">
        <x:f>IF(AND(W$4&gt;=$C31,W$4&lt;=$D31,'Вводные'!$B$90="Да"),"■","")</x:f>
      </x:c>
      <x:c r="X31" s="135" t="str">
        <x:f>IF(AND(X$4&gt;=$C31,X$4&lt;=$D31,'Вводные'!$B$90="Да"),"■","")</x:f>
      </x:c>
      <x:c r="Y31" s="135" t="str">
        <x:f>IF(AND(Y$4&gt;=$C31,Y$4&lt;=$D31,'Вводные'!$B$90="Да"),"■","")</x:f>
      </x:c>
      <x:c r="Z31" s="135" t="str">
        <x:f>IF(AND(Z$4&gt;=$C31,Z$4&lt;=$D31,'Вводные'!$B$90="Да"),"■","")</x:f>
      </x:c>
      <x:c r="AA31" s="135" t="str">
        <x:f>IF(AND(AA$4&gt;=$C31,AA$4&lt;=$D31,'Вводные'!$B$90="Да"),"■","")</x:f>
      </x:c>
      <x:c r="AB31" s="135" t="str">
        <x:f>IF(AND(AB$4&gt;=$C31,AB$4&lt;=$D31,'Вводные'!$B$90="Да"),"■","")</x:f>
      </x:c>
      <x:c r="AC31" s="135" t="str">
        <x:f>IF(AND(AC$4&gt;=$C31,AC$4&lt;=$D31,'Вводные'!$B$90="Да"),"■","")</x:f>
      </x:c>
      <x:c r="AD31" s="135" t="str">
        <x:f>IF(AND(AD$4&gt;=$C31,AD$4&lt;=$D31,'Вводные'!$B$90="Да"),"■","")</x:f>
      </x:c>
      <x:c r="AE31" s="135" t="str">
        <x:f>IF(AND(AE$4&gt;=$C31,AE$4&lt;=$D31,'Вводные'!$B$90="Да"),"■","")</x:f>
      </x:c>
      <x:c r="AF31" s="135" t="str">
        <x:f>IF(AND(AF$4&gt;=$C31,AF$4&lt;=$D31,'Вводные'!$B$90="Да"),"■","")</x:f>
      </x:c>
      <x:c r="AG31" s="135" t="str">
        <x:f>IF(AND(AG$4&gt;=$C31,AG$4&lt;=$D31,'Вводные'!$B$90="Да"),"■","")</x:f>
      </x:c>
      <x:c r="AH31" s="135" t="str">
        <x:f>IF(AND(AH$4&gt;=$C31,AH$4&lt;=$D31,'Вводные'!$B$90="Да"),"■","")</x:f>
      </x:c>
      <x:c r="AI31" s="135" t="str">
        <x:f>IF(AND(AI$4&gt;=$C31,AI$4&lt;=$D31,'Вводные'!$B$90="Да"),"■","")</x:f>
      </x:c>
      <x:c r="AJ31" s="135" t="str">
        <x:f>IF(AND(AJ$4&gt;=$C31,AJ$4&lt;=$D31,'Вводные'!$B$90="Да"),"■","")</x:f>
      </x:c>
      <x:c r="AK31" s="135" t="str">
        <x:f>IF(AND(AK$4&gt;=$C31,AK$4&lt;=$D31,'Вводные'!$B$90="Да"),"■","")</x:f>
      </x:c>
      <x:c r="AL31" s="135" t="str">
        <x:f>IF(AND(AL$4&gt;=$C31,AL$4&lt;=$D31,'Вводные'!$B$90="Да"),"■","")</x:f>
      </x:c>
      <x:c r="AM31" s="135" t="str">
        <x:f>IF(AND(AM$4&gt;=$C31,AM$4&lt;=$D31,'Вводные'!$B$90="Да"),"■","")</x:f>
      </x:c>
      <x:c r="AN31" s="135" t="str">
        <x:f>IF(AND(AN$4&gt;=$C31,AN$4&lt;=$D31,'Вводные'!$B$90="Да"),"■","")</x:f>
      </x:c>
      <x:c r="AO31" s="135" t="str">
        <x:f>IF(AND(AO$4&gt;=$C31,AO$4&lt;=$D31,'Вводные'!$B$90="Да"),"■","")</x:f>
      </x:c>
      <x:c r="AP31" s="135" t="str">
        <x:f>IF(AND(AP$4&gt;=$C31,AP$4&lt;=$D31,'Вводные'!$B$90="Да"),"■","")</x:f>
      </x:c>
      <x:c r="AQ31" s="135" t="str">
        <x:f>IF(AND(AQ$4&gt;=$C31,AQ$4&lt;=$D31,'Вводные'!$B$90="Да"),"■","")</x:f>
      </x:c>
      <x:c r="AR31" s="135" t="str">
        <x:f>IF(AND(AR$4&gt;=$C31,AR$4&lt;=$D31,'Вводные'!$B$90="Да"),"■","")</x:f>
      </x:c>
      <x:c r="AS31" s="135" t="str">
        <x:f>IF(AND(AS$4&gt;=$C31,AS$4&lt;=$D31,'Вводные'!$B$90="Да"),"■","")</x:f>
      </x:c>
      <x:c r="AT31" s="135" t="str">
        <x:f>IF(AND(AT$4&gt;=$C31,AT$4&lt;=$D31,'Вводные'!$B$90="Да"),"■","")</x:f>
      </x:c>
      <x:c r="AU31" s="135" t="str">
        <x:f>IF(AND(AU$4&gt;=$C31,AU$4&lt;=$D31,'Вводные'!$B$90="Да"),"■","")</x:f>
      </x:c>
      <x:c r="AV31" s="135" t="str">
        <x:f>IF(AND(AV$4&gt;=$C31,AV$4&lt;=$D31,'Вводные'!$B$90="Да"),"■","")</x:f>
      </x:c>
      <x:c r="AW31" s="135" t="str">
        <x:f>IF(AND(AW$4&gt;=$C31,AW$4&lt;=$D31,'Вводные'!$B$90="Да"),"■","")</x:f>
      </x:c>
      <x:c r="AX31" s="135" t="str">
        <x:f>IF(AND(AX$4&gt;=$C31,AX$4&lt;=$D31,'Вводные'!$B$90="Да"),"■","")</x:f>
      </x:c>
      <x:c r="AY31" s="135" t="str">
        <x:f>IF(AND(AY$4&gt;=$C31,AY$4&lt;=$D31,'Вводные'!$B$90="Да"),"■","")</x:f>
      </x:c>
      <x:c r="AZ31" s="135" t="str">
        <x:f>IF(AND(AZ$4&gt;=$C31,AZ$4&lt;=$D31,'Вводные'!$B$90="Да"),"■","")</x:f>
      </x:c>
      <x:c r="BA31" s="135" t="str">
        <x:f>IF(AND(BA$4&gt;=$C31,BA$4&lt;=$D31,'Вводные'!$B$90="Да"),"■","")</x:f>
      </x:c>
      <x:c r="BB31" s="135" t="str">
        <x:f>IF(AND(BB$4&gt;=$C31,BB$4&lt;=$D31,'Вводные'!$B$90="Да"),"■","")</x:f>
      </x:c>
      <x:c r="BC31" s="135" t="str">
        <x:f>IF(AND(BC$4&gt;=$C31,BC$4&lt;=$D31,'Вводные'!$B$90="Да"),"■","")</x:f>
      </x:c>
      <x:c r="BD31" s="135" t="str">
        <x:f>IF(AND(BD$4&gt;=$C31,BD$4&lt;=$D31,'Вводные'!$B$90="Да"),"■","")</x:f>
      </x:c>
      <x:c r="BE31" s="135" t="str">
        <x:f>IF(AND(BE$4&gt;=$C31,BE$4&lt;=$D31,'Вводные'!$B$90="Да"),"■","")</x:f>
      </x:c>
      <x:c r="BF31" s="135" t="str">
        <x:f>IF(AND(BF$4&gt;=$C31,BF$4&lt;=$D31,'Вводные'!$B$90="Да"),"■","")</x:f>
      </x:c>
      <x:c r="BG31" s="135" t="str">
        <x:f>IF(AND(BG$4&gt;=$C31,BG$4&lt;=$D31,'Вводные'!$B$90="Да"),"■","")</x:f>
      </x:c>
      <x:c r="BH31" s="135" t="str">
        <x:f>IF(AND(BH$4&gt;=$C31,BH$4&lt;=$D31,'Вводные'!$B$90="Да"),"■","")</x:f>
      </x:c>
      <x:c r="BI31" s="135" t="str">
        <x:f>IF(AND(BI$4&gt;=$C31,BI$4&lt;=$D31,'Вводные'!$B$90="Да"),"■","")</x:f>
      </x:c>
      <x:c r="BJ31" s="135" t="str">
        <x:f>IF(AND(BJ$4&gt;=$C31,BJ$4&lt;=$D31,'Вводные'!$B$90="Да"),"■","")</x:f>
      </x:c>
      <x:c r="BK31" s="135" t="str">
        <x:f>IF(AND(BK$4&gt;=$C31,BK$4&lt;=$D31,'Вводные'!$B$90="Да"),"■","")</x:f>
      </x:c>
      <x:c r="BL31" s="135" t="str">
        <x:f>IF(AND(BL$4&gt;=$C31,BL$4&lt;=$D31,'Вводные'!$B$90="Да"),"■","")</x:f>
      </x:c>
      <x:c r="BM31" s="135" t="str">
        <x:f>IF(AND(BM$4&gt;=$C31,BM$4&lt;=$D31,'Вводные'!$B$90="Да"),"■","")</x:f>
      </x:c>
      <x:c r="BN31" s="135" t="str">
        <x:f>IF(AND(BN$4&gt;=$C31,BN$4&lt;=$D31,'Вводные'!$B$90="Да"),"■","")</x:f>
      </x:c>
      <x:c r="BO31" s="135" t="str">
        <x:f>IF(AND(BO$4&gt;=$C31,BO$4&lt;=$D31,'Вводные'!$B$90="Да"),"■","")</x:f>
      </x:c>
      <x:c r="BP31" s="135" t="str">
        <x:f>IF(AND(BP$4&gt;=$C31,BP$4&lt;=$D31,'Вводные'!$B$90="Да"),"■","")</x:f>
      </x:c>
      <x:c r="BQ31" s="135" t="str">
        <x:f>IF(AND(BQ$4&gt;=$C31,BQ$4&lt;=$D31,'Вводные'!$B$90="Да"),"■","")</x:f>
      </x:c>
      <x:c r="BR31" s="135" t="str">
        <x:f>IF(AND(BR$4&gt;=$C31,BR$4&lt;=$D31,'Вводные'!$B$90="Да"),"■","")</x:f>
      </x:c>
      <x:c r="BS31" s="135" t="str">
        <x:f>IF(AND(BS$4&gt;=$C31,BS$4&lt;=$D31,'Вводные'!$B$90="Да"),"■","")</x:f>
      </x:c>
      <x:c r="BT31" s="135" t="str">
        <x:f>IF(AND(BT$4&gt;=$C31,BT$4&lt;=$D31,'Вводные'!$B$90="Да"),"■","")</x:f>
      </x:c>
      <x:c r="BU31" s="135" t="str">
        <x:f>IF(AND(BU$4&gt;=$C31,BU$4&lt;=$D31,'Вводные'!$B$90="Да"),"■","")</x:f>
      </x:c>
      <x:c r="BV31" s="135" t="str">
        <x:f>IF(AND(BV$4&gt;=$C31,BV$4&lt;=$D31,'Вводные'!$B$90="Да"),"■","")</x:f>
      </x:c>
      <x:c r="BW31" s="135" t="str">
        <x:f>IF(AND(BW$4&gt;=$C31,BW$4&lt;=$D31,'Вводные'!$B$90="Да"),"■","")</x:f>
      </x:c>
      <x:c r="BX31" s="135" t="str">
        <x:f>IF(AND(BX$4&gt;=$C31,BX$4&lt;=$D31,'Вводные'!$B$90="Да"),"■","")</x:f>
      </x:c>
      <x:c r="BY31" s="135" t="str">
        <x:f>IF(AND(BY$4&gt;=$C31,BY$4&lt;=$D31,'Вводные'!$B$90="Да"),"■","")</x:f>
      </x:c>
      <x:c r="BZ31" s="135" t="str">
        <x:f>IF(AND(BZ$4&gt;=$C31,BZ$4&lt;=$D31,'Вводные'!$B$90="Да"),"■","")</x:f>
      </x:c>
      <x:c r="CA31" s="135" t="str">
        <x:f>IF(AND(CA$4&gt;=$C31,CA$4&lt;=$D31,'Вводные'!$B$90="Да"),"■","")</x:f>
      </x:c>
      <x:c r="CB31" s="135" t="str">
        <x:f>IF(AND(CB$4&gt;=$C31,CB$4&lt;=$D31,'Вводные'!$B$90="Да"),"■","")</x:f>
      </x:c>
      <x:c r="CC31" s="135" t="str">
        <x:f>IF(AND(CC$4&gt;=$C31,CC$4&lt;=$D31,'Вводные'!$B$90="Да"),"■","")</x:f>
      </x:c>
      <x:c r="CD31" s="135" t="str">
        <x:f>IF(AND(CD$4&gt;=$C31,CD$4&lt;=$D31,'Вводные'!$B$90="Да"),"■","")</x:f>
      </x:c>
      <x:c r="CE31" s="135" t="str">
        <x:f>IF(AND(CE$4&gt;=$C31,CE$4&lt;=$D31,'Вводные'!$B$90="Да"),"■","")</x:f>
      </x:c>
      <x:c r="CF31" s="135" t="str">
        <x:f>IF(AND(CF$4&gt;=$C31,CF$4&lt;=$D31,'Вводные'!$B$90="Да"),"■","")</x:f>
      </x:c>
      <x:c r="CG31" s="135" t="str">
        <x:f>IF(AND(CG$4&gt;=$C31,CG$4&lt;=$D31,'Вводные'!$B$90="Да"),"■","")</x:f>
      </x:c>
      <x:c r="CH31" s="135" t="str">
        <x:f>IF(AND(CH$4&gt;=$C31,CH$4&lt;=$D31,'Вводные'!$B$90="Да"),"■","")</x:f>
      </x:c>
      <x:c r="CI31" s="135" t="str">
        <x:f>IF(AND(CI$4&gt;=$C31,CI$4&lt;=$D31,'Вводные'!$B$90="Да"),"■","")</x:f>
      </x:c>
      <x:c r="CJ31" s="135" t="str">
        <x:f>IF(AND(CJ$4&gt;=$C31,CJ$4&lt;=$D31,'Вводные'!$B$90="Да"),"■","")</x:f>
      </x:c>
      <x:c r="CK31" s="135" t="str">
        <x:f>IF(AND(CK$4&gt;=$C31,CK$4&lt;=$D31,'Вводные'!$B$90="Да"),"■","")</x:f>
      </x:c>
      <x:c r="CL31" s="135" t="str">
        <x:f>IF(AND(CL$4&gt;=$C31,CL$4&lt;=$D31,'Вводные'!$B$90="Да"),"■","")</x:f>
      </x:c>
      <x:c r="CM31" s="135" t="str">
        <x:f>IF(AND(CM$4&gt;=$C31,CM$4&lt;=$D31,'Вводные'!$B$90="Да"),"■","")</x:f>
      </x:c>
      <x:c r="CN31" s="135" t="str">
        <x:f>IF(AND(CN$4&gt;=$C31,CN$4&lt;=$D31,'Вводные'!$B$90="Да"),"■","")</x:f>
      </x:c>
      <x:c r="CO31" s="135" t="str">
        <x:f>IF(AND(CO$4&gt;=$C31,CO$4&lt;=$D31,'Вводные'!$B$90="Да"),"■","")</x:f>
      </x:c>
      <x:c r="CP31" s="135" t="str">
        <x:f>IF(AND(CP$4&gt;=$C31,CP$4&lt;=$D31,'Вводные'!$B$90="Да"),"■","")</x:f>
      </x:c>
      <x:c r="CQ31" s="135" t="str">
        <x:f>IF(AND(CQ$4&gt;=$C31,CQ$4&lt;=$D31,'Вводные'!$B$90="Да"),"■","")</x:f>
      </x:c>
      <x:c r="CR31" s="135" t="str">
        <x:f>IF(AND(CR$4&gt;=$C31,CR$4&lt;=$D31,'Вводные'!$B$90="Да"),"■","")</x:f>
      </x:c>
      <x:c r="CS31" s="135" t="str">
        <x:f>IF(AND(CS$4&gt;=$C31,CS$4&lt;=$D31,'Вводные'!$B$90="Да"),"■","")</x:f>
      </x:c>
      <x:c r="CT31" s="135" t="str">
        <x:f>IF(AND(CT$4&gt;=$C31,CT$4&lt;=$D31,'Вводные'!$B$90="Да"),"■","")</x:f>
      </x:c>
      <x:c r="CU31" s="135" t="str">
        <x:f>IF(AND(CU$4&gt;=$C31,CU$4&lt;=$D31,'Вводные'!$B$90="Да"),"■","")</x:f>
      </x:c>
      <x:c r="CV31" s="135" t="str">
        <x:f>IF(AND(CV$4&gt;=$C31,CV$4&lt;=$D31,'Вводные'!$B$90="Да"),"■","")</x:f>
      </x:c>
      <x:c r="CW31" s="135" t="str">
        <x:f>IF(AND(CW$4&gt;=$C31,CW$4&lt;=$D31,'Вводные'!$B$90="Да"),"■","")</x:f>
      </x:c>
      <x:c r="CX31" s="135" t="str">
        <x:f>IF(AND(CX$4&gt;=$C31,CX$4&lt;=$D31,'Вводные'!$B$90="Да"),"■","")</x:f>
      </x:c>
      <x:c r="CY31" s="135" t="str">
        <x:f>IF(AND(CY$4&gt;=$C31,CY$4&lt;=$D31,'Вводные'!$B$90="Да"),"■","")</x:f>
      </x:c>
      <x:c r="CZ31" s="135" t="str">
        <x:f>IF(AND(CZ$4&gt;=$C31,CZ$4&lt;=$D31,'Вводные'!$B$90="Да"),"■","")</x:f>
      </x:c>
      <x:c r="DA31" s="135" t="str">
        <x:f>IF(AND(DA$4&gt;=$C31,DA$4&lt;=$D31,'Вводные'!$B$90="Да"),"■","")</x:f>
      </x:c>
      <x:c r="DB31" s="135" t="str">
        <x:f>IF(AND(DB$4&gt;=$C31,DB$4&lt;=$D31,'Вводные'!$B$90="Да"),"■","")</x:f>
      </x:c>
      <x:c r="DC31" s="135" t="str">
        <x:f>IF(AND(DC$4&gt;=$C31,DC$4&lt;=$D31,'Вводные'!$B$90="Да"),"■","")</x:f>
      </x:c>
      <x:c r="DD31" s="135" t="str">
        <x:f>IF(AND(DD$4&gt;=$C31,DD$4&lt;=$D31,'Вводные'!$B$90="Да"),"■","")</x:f>
      </x:c>
      <x:c r="DE31" s="135" t="str">
        <x:f>IF(AND(DE$4&gt;=$C31,DE$4&lt;=$D31,'Вводные'!$B$90="Да"),"■","")</x:f>
      </x:c>
      <x:c r="DF31" s="135" t="str">
        <x:f>IF(AND(DF$4&gt;=$C31,DF$4&lt;=$D31,'Вводные'!$B$90="Да"),"■","")</x:f>
      </x:c>
      <x:c r="DG31" s="135" t="str">
        <x:f>IF(AND(DG$4&gt;=$C31,DG$4&lt;=$D31,'Вводные'!$B$90="Да"),"■","")</x:f>
      </x:c>
      <x:c r="DH31" s="135" t="str">
        <x:f>IF(AND(DH$4&gt;=$C31,DH$4&lt;=$D31,'Вводные'!$B$90="Да"),"■","")</x:f>
      </x:c>
      <x:c r="DI31" s="135" t="str">
        <x:f>IF(AND(DI$4&gt;=$C31,DI$4&lt;=$D31,'Вводные'!$B$90="Да"),"■","")</x:f>
      </x:c>
      <x:c r="DJ31" s="135" t="str">
        <x:f>IF(AND(DJ$4&gt;=$C31,DJ$4&lt;=$D31,'Вводные'!$B$90="Да"),"■","")</x:f>
      </x:c>
      <x:c r="DK31" s="135" t="str">
        <x:f>IF(AND(DK$4&gt;=$C31,DK$4&lt;=$D31,'Вводные'!$B$90="Да"),"■","")</x:f>
      </x:c>
      <x:c r="DL31" s="135" t="str">
        <x:f>IF(AND(DL$4&gt;=$C31,DL$4&lt;=$D31,'Вводные'!$B$90="Да"),"■","")</x:f>
      </x:c>
      <x:c r="DM31" s="135" t="str">
        <x:f>IF(AND(DM$4&gt;=$C31,DM$4&lt;=$D31,'Вводные'!$B$90="Да"),"■","")</x:f>
      </x:c>
      <x:c r="DN31" s="135" t="str">
        <x:f>IF(AND(DN$4&gt;=$C31,DN$4&lt;=$D31,'Вводные'!$B$90="Да"),"■","")</x:f>
      </x:c>
      <x:c r="DO31" s="135" t="str">
        <x:f>IF(AND(DO$4&gt;=$C31,DO$4&lt;=$D31,'Вводные'!$B$90="Да"),"■","")</x:f>
      </x:c>
      <x:c r="DP31" s="135" t="str">
        <x:f>IF(AND(DP$4&gt;=$C31,DP$4&lt;=$D31,'Вводные'!$B$90="Да"),"■","")</x:f>
      </x:c>
      <x:c r="DQ31" s="135" t="str">
        <x:f>IF(AND(DQ$4&gt;=$C31,DQ$4&lt;=$D31,'Вводные'!$B$90="Да"),"■","")</x:f>
      </x:c>
      <x:c r="DR31" s="135" t="str">
        <x:f>IF(AND(DR$4&gt;=$C31,DR$4&lt;=$D31,'Вводные'!$B$90="Да"),"■","")</x:f>
      </x:c>
      <x:c r="DS31" s="135" t="str">
        <x:f>IF(AND(DS$4&gt;=$C31,DS$4&lt;=$D31,'Вводные'!$B$90="Да"),"■","")</x:f>
      </x:c>
      <x:c r="DT31" s="135" t="str">
        <x:f>IF(AND(DT$4&gt;=$C31,DT$4&lt;=$D31,'Вводные'!$B$90="Да"),"■","")</x:f>
      </x:c>
    </x:row>
    <x:row r="32">
      <x:c r="A32" t="str">
        <x:f>'Вводные'!$C$90</x:f>
      </x:c>
      <x:c r="B32" t="str">
        <x:v>Проектное финансирование</x:v>
      </x:c>
      <x:c r="C32" s="92" t="n">
        <x:f>'CF_3'!B7</x:f>
      </x:c>
      <x:c r="D32" s="92" t="n">
        <x:f>EDATE('Продажи'!B53,'Вводные'!$H$90-1)</x:f>
      </x:c>
      <x:c r="E32" s="137" t="str">
        <x:f>IF(AND(E$4&gt;=$C32,E$4&lt;=$D32,'Вводные'!$B$90="Да"),"■","")</x:f>
      </x:c>
      <x:c r="F32" s="137" t="str">
        <x:f>IF(AND(F$4&gt;=$C32,F$4&lt;=$D32,'Вводные'!$B$90="Да"),"■","")</x:f>
      </x:c>
      <x:c r="G32" s="137" t="str">
        <x:f>IF(AND(G$4&gt;=$C32,G$4&lt;=$D32,'Вводные'!$B$90="Да"),"■","")</x:f>
      </x:c>
      <x:c r="H32" s="137" t="str">
        <x:f>IF(AND(H$4&gt;=$C32,H$4&lt;=$D32,'Вводные'!$B$90="Да"),"■","")</x:f>
      </x:c>
      <x:c r="I32" s="137" t="str">
        <x:f>IF(AND(I$4&gt;=$C32,I$4&lt;=$D32,'Вводные'!$B$90="Да"),"■","")</x:f>
      </x:c>
      <x:c r="J32" s="137" t="str">
        <x:f>IF(AND(J$4&gt;=$C32,J$4&lt;=$D32,'Вводные'!$B$90="Да"),"■","")</x:f>
      </x:c>
      <x:c r="K32" s="137" t="str">
        <x:f>IF(AND(K$4&gt;=$C32,K$4&lt;=$D32,'Вводные'!$B$90="Да"),"■","")</x:f>
      </x:c>
      <x:c r="L32" s="137" t="str">
        <x:f>IF(AND(L$4&gt;=$C32,L$4&lt;=$D32,'Вводные'!$B$90="Да"),"■","")</x:f>
      </x:c>
      <x:c r="M32" s="137" t="str">
        <x:f>IF(AND(M$4&gt;=$C32,M$4&lt;=$D32,'Вводные'!$B$90="Да"),"■","")</x:f>
      </x:c>
      <x:c r="N32" s="137" t="str">
        <x:f>IF(AND(N$4&gt;=$C32,N$4&lt;=$D32,'Вводные'!$B$90="Да"),"■","")</x:f>
      </x:c>
      <x:c r="O32" s="137" t="str">
        <x:f>IF(AND(O$4&gt;=$C32,O$4&lt;=$D32,'Вводные'!$B$90="Да"),"■","")</x:f>
      </x:c>
      <x:c r="P32" s="137" t="str">
        <x:f>IF(AND(P$4&gt;=$C32,P$4&lt;=$D32,'Вводные'!$B$90="Да"),"■","")</x:f>
      </x:c>
      <x:c r="Q32" s="137" t="str">
        <x:f>IF(AND(Q$4&gt;=$C32,Q$4&lt;=$D32,'Вводные'!$B$90="Да"),"■","")</x:f>
      </x:c>
      <x:c r="R32" s="137" t="str">
        <x:f>IF(AND(R$4&gt;=$C32,R$4&lt;=$D32,'Вводные'!$B$90="Да"),"■","")</x:f>
      </x:c>
      <x:c r="S32" s="137" t="str">
        <x:f>IF(AND(S$4&gt;=$C32,S$4&lt;=$D32,'Вводные'!$B$90="Да"),"■","")</x:f>
      </x:c>
      <x:c r="T32" s="137" t="str">
        <x:f>IF(AND(T$4&gt;=$C32,T$4&lt;=$D32,'Вводные'!$B$90="Да"),"■","")</x:f>
      </x:c>
      <x:c r="U32" s="137" t="str">
        <x:f>IF(AND(U$4&gt;=$C32,U$4&lt;=$D32,'Вводные'!$B$90="Да"),"■","")</x:f>
      </x:c>
      <x:c r="V32" s="137" t="str">
        <x:f>IF(AND(V$4&gt;=$C32,V$4&lt;=$D32,'Вводные'!$B$90="Да"),"■","")</x:f>
      </x:c>
      <x:c r="W32" s="137" t="str">
        <x:f>IF(AND(W$4&gt;=$C32,W$4&lt;=$D32,'Вводные'!$B$90="Да"),"■","")</x:f>
      </x:c>
      <x:c r="X32" s="137" t="str">
        <x:f>IF(AND(X$4&gt;=$C32,X$4&lt;=$D32,'Вводные'!$B$90="Да"),"■","")</x:f>
      </x:c>
      <x:c r="Y32" s="137" t="str">
        <x:f>IF(AND(Y$4&gt;=$C32,Y$4&lt;=$D32,'Вводные'!$B$90="Да"),"■","")</x:f>
      </x:c>
      <x:c r="Z32" s="137" t="str">
        <x:f>IF(AND(Z$4&gt;=$C32,Z$4&lt;=$D32,'Вводные'!$B$90="Да"),"■","")</x:f>
      </x:c>
      <x:c r="AA32" s="137" t="str">
        <x:f>IF(AND(AA$4&gt;=$C32,AA$4&lt;=$D32,'Вводные'!$B$90="Да"),"■","")</x:f>
      </x:c>
      <x:c r="AB32" s="137" t="str">
        <x:f>IF(AND(AB$4&gt;=$C32,AB$4&lt;=$D32,'Вводные'!$B$90="Да"),"■","")</x:f>
      </x:c>
      <x:c r="AC32" s="137" t="str">
        <x:f>IF(AND(AC$4&gt;=$C32,AC$4&lt;=$D32,'Вводные'!$B$90="Да"),"■","")</x:f>
      </x:c>
      <x:c r="AD32" s="137" t="str">
        <x:f>IF(AND(AD$4&gt;=$C32,AD$4&lt;=$D32,'Вводные'!$B$90="Да"),"■","")</x:f>
      </x:c>
      <x:c r="AE32" s="137" t="str">
        <x:f>IF(AND(AE$4&gt;=$C32,AE$4&lt;=$D32,'Вводные'!$B$90="Да"),"■","")</x:f>
      </x:c>
      <x:c r="AF32" s="137" t="str">
        <x:f>IF(AND(AF$4&gt;=$C32,AF$4&lt;=$D32,'Вводные'!$B$90="Да"),"■","")</x:f>
      </x:c>
      <x:c r="AG32" s="137" t="str">
        <x:f>IF(AND(AG$4&gt;=$C32,AG$4&lt;=$D32,'Вводные'!$B$90="Да"),"■","")</x:f>
      </x:c>
      <x:c r="AH32" s="137" t="str">
        <x:f>IF(AND(AH$4&gt;=$C32,AH$4&lt;=$D32,'Вводные'!$B$90="Да"),"■","")</x:f>
      </x:c>
      <x:c r="AI32" s="137" t="str">
        <x:f>IF(AND(AI$4&gt;=$C32,AI$4&lt;=$D32,'Вводные'!$B$90="Да"),"■","")</x:f>
      </x:c>
      <x:c r="AJ32" s="137" t="str">
        <x:f>IF(AND(AJ$4&gt;=$C32,AJ$4&lt;=$D32,'Вводные'!$B$90="Да"),"■","")</x:f>
      </x:c>
      <x:c r="AK32" s="137" t="str">
        <x:f>IF(AND(AK$4&gt;=$C32,AK$4&lt;=$D32,'Вводные'!$B$90="Да"),"■","")</x:f>
      </x:c>
      <x:c r="AL32" s="137" t="str">
        <x:f>IF(AND(AL$4&gt;=$C32,AL$4&lt;=$D32,'Вводные'!$B$90="Да"),"■","")</x:f>
      </x:c>
      <x:c r="AM32" s="137" t="str">
        <x:f>IF(AND(AM$4&gt;=$C32,AM$4&lt;=$D32,'Вводные'!$B$90="Да"),"■","")</x:f>
      </x:c>
      <x:c r="AN32" s="137" t="str">
        <x:f>IF(AND(AN$4&gt;=$C32,AN$4&lt;=$D32,'Вводные'!$B$90="Да"),"■","")</x:f>
      </x:c>
      <x:c r="AO32" s="137" t="str">
        <x:f>IF(AND(AO$4&gt;=$C32,AO$4&lt;=$D32,'Вводные'!$B$90="Да"),"■","")</x:f>
      </x:c>
      <x:c r="AP32" s="137" t="str">
        <x:f>IF(AND(AP$4&gt;=$C32,AP$4&lt;=$D32,'Вводные'!$B$90="Да"),"■","")</x:f>
      </x:c>
      <x:c r="AQ32" s="137" t="str">
        <x:f>IF(AND(AQ$4&gt;=$C32,AQ$4&lt;=$D32,'Вводные'!$B$90="Да"),"■","")</x:f>
      </x:c>
      <x:c r="AR32" s="137" t="str">
        <x:f>IF(AND(AR$4&gt;=$C32,AR$4&lt;=$D32,'Вводные'!$B$90="Да"),"■","")</x:f>
      </x:c>
      <x:c r="AS32" s="137" t="str">
        <x:f>IF(AND(AS$4&gt;=$C32,AS$4&lt;=$D32,'Вводные'!$B$90="Да"),"■","")</x:f>
      </x:c>
      <x:c r="AT32" s="137" t="str">
        <x:f>IF(AND(AT$4&gt;=$C32,AT$4&lt;=$D32,'Вводные'!$B$90="Да"),"■","")</x:f>
      </x:c>
      <x:c r="AU32" s="137" t="str">
        <x:f>IF(AND(AU$4&gt;=$C32,AU$4&lt;=$D32,'Вводные'!$B$90="Да"),"■","")</x:f>
      </x:c>
      <x:c r="AV32" s="137" t="str">
        <x:f>IF(AND(AV$4&gt;=$C32,AV$4&lt;=$D32,'Вводные'!$B$90="Да"),"■","")</x:f>
      </x:c>
      <x:c r="AW32" s="137" t="str">
        <x:f>IF(AND(AW$4&gt;=$C32,AW$4&lt;=$D32,'Вводные'!$B$90="Да"),"■","")</x:f>
      </x:c>
      <x:c r="AX32" s="137" t="str">
        <x:f>IF(AND(AX$4&gt;=$C32,AX$4&lt;=$D32,'Вводные'!$B$90="Да"),"■","")</x:f>
      </x:c>
      <x:c r="AY32" s="137" t="str">
        <x:f>IF(AND(AY$4&gt;=$C32,AY$4&lt;=$D32,'Вводные'!$B$90="Да"),"■","")</x:f>
      </x:c>
      <x:c r="AZ32" s="137" t="str">
        <x:f>IF(AND(AZ$4&gt;=$C32,AZ$4&lt;=$D32,'Вводные'!$B$90="Да"),"■","")</x:f>
      </x:c>
      <x:c r="BA32" s="137" t="str">
        <x:f>IF(AND(BA$4&gt;=$C32,BA$4&lt;=$D32,'Вводные'!$B$90="Да"),"■","")</x:f>
      </x:c>
      <x:c r="BB32" s="137" t="str">
        <x:f>IF(AND(BB$4&gt;=$C32,BB$4&lt;=$D32,'Вводные'!$B$90="Да"),"■","")</x:f>
      </x:c>
      <x:c r="BC32" s="137" t="str">
        <x:f>IF(AND(BC$4&gt;=$C32,BC$4&lt;=$D32,'Вводные'!$B$90="Да"),"■","")</x:f>
      </x:c>
      <x:c r="BD32" s="137" t="str">
        <x:f>IF(AND(BD$4&gt;=$C32,BD$4&lt;=$D32,'Вводные'!$B$90="Да"),"■","")</x:f>
      </x:c>
      <x:c r="BE32" s="137" t="str">
        <x:f>IF(AND(BE$4&gt;=$C32,BE$4&lt;=$D32,'Вводные'!$B$90="Да"),"■","")</x:f>
      </x:c>
      <x:c r="BF32" s="137" t="str">
        <x:f>IF(AND(BF$4&gt;=$C32,BF$4&lt;=$D32,'Вводные'!$B$90="Да"),"■","")</x:f>
      </x:c>
      <x:c r="BG32" s="137" t="str">
        <x:f>IF(AND(BG$4&gt;=$C32,BG$4&lt;=$D32,'Вводные'!$B$90="Да"),"■","")</x:f>
      </x:c>
      <x:c r="BH32" s="137" t="str">
        <x:f>IF(AND(BH$4&gt;=$C32,BH$4&lt;=$D32,'Вводные'!$B$90="Да"),"■","")</x:f>
      </x:c>
      <x:c r="BI32" s="137" t="str">
        <x:f>IF(AND(BI$4&gt;=$C32,BI$4&lt;=$D32,'Вводные'!$B$90="Да"),"■","")</x:f>
      </x:c>
      <x:c r="BJ32" s="137" t="str">
        <x:f>IF(AND(BJ$4&gt;=$C32,BJ$4&lt;=$D32,'Вводные'!$B$90="Да"),"■","")</x:f>
      </x:c>
      <x:c r="BK32" s="137" t="str">
        <x:f>IF(AND(BK$4&gt;=$C32,BK$4&lt;=$D32,'Вводные'!$B$90="Да"),"■","")</x:f>
      </x:c>
      <x:c r="BL32" s="137" t="str">
        <x:f>IF(AND(BL$4&gt;=$C32,BL$4&lt;=$D32,'Вводные'!$B$90="Да"),"■","")</x:f>
      </x:c>
      <x:c r="BM32" s="137" t="str">
        <x:f>IF(AND(BM$4&gt;=$C32,BM$4&lt;=$D32,'Вводные'!$B$90="Да"),"■","")</x:f>
      </x:c>
      <x:c r="BN32" s="137" t="str">
        <x:f>IF(AND(BN$4&gt;=$C32,BN$4&lt;=$D32,'Вводные'!$B$90="Да"),"■","")</x:f>
      </x:c>
      <x:c r="BO32" s="137" t="str">
        <x:f>IF(AND(BO$4&gt;=$C32,BO$4&lt;=$D32,'Вводные'!$B$90="Да"),"■","")</x:f>
      </x:c>
      <x:c r="BP32" s="137" t="str">
        <x:f>IF(AND(BP$4&gt;=$C32,BP$4&lt;=$D32,'Вводные'!$B$90="Да"),"■","")</x:f>
      </x:c>
      <x:c r="BQ32" s="137" t="str">
        <x:f>IF(AND(BQ$4&gt;=$C32,BQ$4&lt;=$D32,'Вводные'!$B$90="Да"),"■","")</x:f>
      </x:c>
      <x:c r="BR32" s="137" t="str">
        <x:f>IF(AND(BR$4&gt;=$C32,BR$4&lt;=$D32,'Вводные'!$B$90="Да"),"■","")</x:f>
      </x:c>
      <x:c r="BS32" s="137" t="str">
        <x:f>IF(AND(BS$4&gt;=$C32,BS$4&lt;=$D32,'Вводные'!$B$90="Да"),"■","")</x:f>
      </x:c>
      <x:c r="BT32" s="137" t="str">
        <x:f>IF(AND(BT$4&gt;=$C32,BT$4&lt;=$D32,'Вводные'!$B$90="Да"),"■","")</x:f>
      </x:c>
      <x:c r="BU32" s="137" t="str">
        <x:f>IF(AND(BU$4&gt;=$C32,BU$4&lt;=$D32,'Вводные'!$B$90="Да"),"■","")</x:f>
      </x:c>
      <x:c r="BV32" s="137" t="str">
        <x:f>IF(AND(BV$4&gt;=$C32,BV$4&lt;=$D32,'Вводные'!$B$90="Да"),"■","")</x:f>
      </x:c>
      <x:c r="BW32" s="137" t="str">
        <x:f>IF(AND(BW$4&gt;=$C32,BW$4&lt;=$D32,'Вводные'!$B$90="Да"),"■","")</x:f>
      </x:c>
      <x:c r="BX32" s="137" t="str">
        <x:f>IF(AND(BX$4&gt;=$C32,BX$4&lt;=$D32,'Вводные'!$B$90="Да"),"■","")</x:f>
      </x:c>
      <x:c r="BY32" s="137" t="str">
        <x:f>IF(AND(BY$4&gt;=$C32,BY$4&lt;=$D32,'Вводные'!$B$90="Да"),"■","")</x:f>
      </x:c>
      <x:c r="BZ32" s="137" t="str">
        <x:f>IF(AND(BZ$4&gt;=$C32,BZ$4&lt;=$D32,'Вводные'!$B$90="Да"),"■","")</x:f>
      </x:c>
      <x:c r="CA32" s="137" t="str">
        <x:f>IF(AND(CA$4&gt;=$C32,CA$4&lt;=$D32,'Вводные'!$B$90="Да"),"■","")</x:f>
      </x:c>
      <x:c r="CB32" s="137" t="str">
        <x:f>IF(AND(CB$4&gt;=$C32,CB$4&lt;=$D32,'Вводные'!$B$90="Да"),"■","")</x:f>
      </x:c>
      <x:c r="CC32" s="137" t="str">
        <x:f>IF(AND(CC$4&gt;=$C32,CC$4&lt;=$D32,'Вводные'!$B$90="Да"),"■","")</x:f>
      </x:c>
      <x:c r="CD32" s="137" t="str">
        <x:f>IF(AND(CD$4&gt;=$C32,CD$4&lt;=$D32,'Вводные'!$B$90="Да"),"■","")</x:f>
      </x:c>
      <x:c r="CE32" s="137" t="str">
        <x:f>IF(AND(CE$4&gt;=$C32,CE$4&lt;=$D32,'Вводные'!$B$90="Да"),"■","")</x:f>
      </x:c>
      <x:c r="CF32" s="137" t="str">
        <x:f>IF(AND(CF$4&gt;=$C32,CF$4&lt;=$D32,'Вводные'!$B$90="Да"),"■","")</x:f>
      </x:c>
      <x:c r="CG32" s="137" t="str">
        <x:f>IF(AND(CG$4&gt;=$C32,CG$4&lt;=$D32,'Вводные'!$B$90="Да"),"■","")</x:f>
      </x:c>
      <x:c r="CH32" s="137" t="str">
        <x:f>IF(AND(CH$4&gt;=$C32,CH$4&lt;=$D32,'Вводные'!$B$90="Да"),"■","")</x:f>
      </x:c>
      <x:c r="CI32" s="137" t="str">
        <x:f>IF(AND(CI$4&gt;=$C32,CI$4&lt;=$D32,'Вводные'!$B$90="Да"),"■","")</x:f>
      </x:c>
      <x:c r="CJ32" s="137" t="str">
        <x:f>IF(AND(CJ$4&gt;=$C32,CJ$4&lt;=$D32,'Вводные'!$B$90="Да"),"■","")</x:f>
      </x:c>
      <x:c r="CK32" s="137" t="str">
        <x:f>IF(AND(CK$4&gt;=$C32,CK$4&lt;=$D32,'Вводные'!$B$90="Да"),"■","")</x:f>
      </x:c>
      <x:c r="CL32" s="137" t="str">
        <x:f>IF(AND(CL$4&gt;=$C32,CL$4&lt;=$D32,'Вводные'!$B$90="Да"),"■","")</x:f>
      </x:c>
      <x:c r="CM32" s="137" t="str">
        <x:f>IF(AND(CM$4&gt;=$C32,CM$4&lt;=$D32,'Вводные'!$B$90="Да"),"■","")</x:f>
      </x:c>
      <x:c r="CN32" s="137" t="str">
        <x:f>IF(AND(CN$4&gt;=$C32,CN$4&lt;=$D32,'Вводные'!$B$90="Да"),"■","")</x:f>
      </x:c>
      <x:c r="CO32" s="137" t="str">
        <x:f>IF(AND(CO$4&gt;=$C32,CO$4&lt;=$D32,'Вводные'!$B$90="Да"),"■","")</x:f>
      </x:c>
      <x:c r="CP32" s="137" t="str">
        <x:f>IF(AND(CP$4&gt;=$C32,CP$4&lt;=$D32,'Вводные'!$B$90="Да"),"■","")</x:f>
      </x:c>
      <x:c r="CQ32" s="137" t="str">
        <x:f>IF(AND(CQ$4&gt;=$C32,CQ$4&lt;=$D32,'Вводные'!$B$90="Да"),"■","")</x:f>
      </x:c>
      <x:c r="CR32" s="137" t="str">
        <x:f>IF(AND(CR$4&gt;=$C32,CR$4&lt;=$D32,'Вводные'!$B$90="Да"),"■","")</x:f>
      </x:c>
      <x:c r="CS32" s="137" t="str">
        <x:f>IF(AND(CS$4&gt;=$C32,CS$4&lt;=$D32,'Вводные'!$B$90="Да"),"■","")</x:f>
      </x:c>
      <x:c r="CT32" s="137" t="str">
        <x:f>IF(AND(CT$4&gt;=$C32,CT$4&lt;=$D32,'Вводные'!$B$90="Да"),"■","")</x:f>
      </x:c>
      <x:c r="CU32" s="137" t="str">
        <x:f>IF(AND(CU$4&gt;=$C32,CU$4&lt;=$D32,'Вводные'!$B$90="Да"),"■","")</x:f>
      </x:c>
      <x:c r="CV32" s="137" t="str">
        <x:f>IF(AND(CV$4&gt;=$C32,CV$4&lt;=$D32,'Вводные'!$B$90="Да"),"■","")</x:f>
      </x:c>
      <x:c r="CW32" s="137" t="str">
        <x:f>IF(AND(CW$4&gt;=$C32,CW$4&lt;=$D32,'Вводные'!$B$90="Да"),"■","")</x:f>
      </x:c>
      <x:c r="CX32" s="137" t="str">
        <x:f>IF(AND(CX$4&gt;=$C32,CX$4&lt;=$D32,'Вводные'!$B$90="Да"),"■","")</x:f>
      </x:c>
      <x:c r="CY32" s="137" t="str">
        <x:f>IF(AND(CY$4&gt;=$C32,CY$4&lt;=$D32,'Вводные'!$B$90="Да"),"■","")</x:f>
      </x:c>
      <x:c r="CZ32" s="137" t="str">
        <x:f>IF(AND(CZ$4&gt;=$C32,CZ$4&lt;=$D32,'Вводные'!$B$90="Да"),"■","")</x:f>
      </x:c>
      <x:c r="DA32" s="137" t="str">
        <x:f>IF(AND(DA$4&gt;=$C32,DA$4&lt;=$D32,'Вводные'!$B$90="Да"),"■","")</x:f>
      </x:c>
      <x:c r="DB32" s="137" t="str">
        <x:f>IF(AND(DB$4&gt;=$C32,DB$4&lt;=$D32,'Вводные'!$B$90="Да"),"■","")</x:f>
      </x:c>
      <x:c r="DC32" s="137" t="str">
        <x:f>IF(AND(DC$4&gt;=$C32,DC$4&lt;=$D32,'Вводные'!$B$90="Да"),"■","")</x:f>
      </x:c>
      <x:c r="DD32" s="137" t="str">
        <x:f>IF(AND(DD$4&gt;=$C32,DD$4&lt;=$D32,'Вводные'!$B$90="Да"),"■","")</x:f>
      </x:c>
      <x:c r="DE32" s="137" t="str">
        <x:f>IF(AND(DE$4&gt;=$C32,DE$4&lt;=$D32,'Вводные'!$B$90="Да"),"■","")</x:f>
      </x:c>
      <x:c r="DF32" s="137" t="str">
        <x:f>IF(AND(DF$4&gt;=$C32,DF$4&lt;=$D32,'Вводные'!$B$90="Да"),"■","")</x:f>
      </x:c>
      <x:c r="DG32" s="137" t="str">
        <x:f>IF(AND(DG$4&gt;=$C32,DG$4&lt;=$D32,'Вводные'!$B$90="Да"),"■","")</x:f>
      </x:c>
      <x:c r="DH32" s="137" t="str">
        <x:f>IF(AND(DH$4&gt;=$C32,DH$4&lt;=$D32,'Вводные'!$B$90="Да"),"■","")</x:f>
      </x:c>
      <x:c r="DI32" s="137" t="str">
        <x:f>IF(AND(DI$4&gt;=$C32,DI$4&lt;=$D32,'Вводные'!$B$90="Да"),"■","")</x:f>
      </x:c>
      <x:c r="DJ32" s="137" t="str">
        <x:f>IF(AND(DJ$4&gt;=$C32,DJ$4&lt;=$D32,'Вводные'!$B$90="Да"),"■","")</x:f>
      </x:c>
      <x:c r="DK32" s="137" t="str">
        <x:f>IF(AND(DK$4&gt;=$C32,DK$4&lt;=$D32,'Вводные'!$B$90="Да"),"■","")</x:f>
      </x:c>
      <x:c r="DL32" s="137" t="str">
        <x:f>IF(AND(DL$4&gt;=$C32,DL$4&lt;=$D32,'Вводные'!$B$90="Да"),"■","")</x:f>
      </x:c>
      <x:c r="DM32" s="137" t="str">
        <x:f>IF(AND(DM$4&gt;=$C32,DM$4&lt;=$D32,'Вводные'!$B$90="Да"),"■","")</x:f>
      </x:c>
      <x:c r="DN32" s="137" t="str">
        <x:f>IF(AND(DN$4&gt;=$C32,DN$4&lt;=$D32,'Вводные'!$B$90="Да"),"■","")</x:f>
      </x:c>
      <x:c r="DO32" s="137" t="str">
        <x:f>IF(AND(DO$4&gt;=$C32,DO$4&lt;=$D32,'Вводные'!$B$90="Да"),"■","")</x:f>
      </x:c>
      <x:c r="DP32" s="137" t="str">
        <x:f>IF(AND(DP$4&gt;=$C32,DP$4&lt;=$D32,'Вводные'!$B$90="Да"),"■","")</x:f>
      </x:c>
      <x:c r="DQ32" s="137" t="str">
        <x:f>IF(AND(DQ$4&gt;=$C32,DQ$4&lt;=$D32,'Вводные'!$B$90="Да"),"■","")</x:f>
      </x:c>
      <x:c r="DR32" s="137" t="str">
        <x:f>IF(AND(DR$4&gt;=$C32,DR$4&lt;=$D32,'Вводные'!$B$90="Да"),"■","")</x:f>
      </x:c>
      <x:c r="DS32" s="137" t="str">
        <x:f>IF(AND(DS$4&gt;=$C32,DS$4&lt;=$D32,'Вводные'!$B$90="Да"),"■","")</x:f>
      </x:c>
      <x:c r="DT32" s="137" t="str">
        <x:f>IF(AND(DT$4&gt;=$C32,DT$4&lt;=$D32,'Вводные'!$B$90="Да"),"■","")</x:f>
      </x:c>
    </x:row>
    <x:row r="33">
      <x:c r="C33" s="92"/>
      <x:c r="D33" s="92"/>
    </x:row>
    <x:row r="34">
      <x:c r="C34" s="92"/>
      <x:c r="D34" s="92"/>
    </x:row>
    <x:row r="35">
      <x:c r="A35" t="str">
        <x:f>'Вводные'!$C$91</x:f>
      </x:c>
      <x:c r="B35" t="str">
        <x:v>Сделка / старт</x:v>
      </x:c>
      <x:c r="C35" s="92" t="n">
        <x:f>EDATE('Вводные'!$D$91,'Вводные'!$H$9)</x:f>
      </x:c>
      <x:c r="D35" s="92" t="n">
        <x:f>C35</x:f>
      </x:c>
      <x:c r="E35" s="135" t="str">
        <x:f>IF(AND(E$4&gt;=$C35,E$4&lt;=$D35,'Вводные'!$B$91="Да"),"■","")</x:f>
      </x:c>
      <x:c r="F35" s="135" t="str">
        <x:f>IF(AND(F$4&gt;=$C35,F$4&lt;=$D35,'Вводные'!$B$91="Да"),"■","")</x:f>
      </x:c>
      <x:c r="G35" s="135" t="str">
        <x:f>IF(AND(G$4&gt;=$C35,G$4&lt;=$D35,'Вводные'!$B$91="Да"),"■","")</x:f>
      </x:c>
      <x:c r="H35" s="135" t="str">
        <x:f>IF(AND(H$4&gt;=$C35,H$4&lt;=$D35,'Вводные'!$B$91="Да"),"■","")</x:f>
      </x:c>
      <x:c r="I35" s="135" t="str">
        <x:f>IF(AND(I$4&gt;=$C35,I$4&lt;=$D35,'Вводные'!$B$91="Да"),"■","")</x:f>
      </x:c>
      <x:c r="J35" s="135" t="str">
        <x:f>IF(AND(J$4&gt;=$C35,J$4&lt;=$D35,'Вводные'!$B$91="Да"),"■","")</x:f>
      </x:c>
      <x:c r="K35" s="135" t="str">
        <x:f>IF(AND(K$4&gt;=$C35,K$4&lt;=$D35,'Вводные'!$B$91="Да"),"■","")</x:f>
      </x:c>
      <x:c r="L35" s="135" t="str">
        <x:f>IF(AND(L$4&gt;=$C35,L$4&lt;=$D35,'Вводные'!$B$91="Да"),"■","")</x:f>
      </x:c>
      <x:c r="M35" s="135" t="str">
        <x:f>IF(AND(M$4&gt;=$C35,M$4&lt;=$D35,'Вводные'!$B$91="Да"),"■","")</x:f>
      </x:c>
      <x:c r="N35" s="135" t="str">
        <x:f>IF(AND(N$4&gt;=$C35,N$4&lt;=$D35,'Вводные'!$B$91="Да"),"■","")</x:f>
      </x:c>
      <x:c r="O35" s="135" t="str">
        <x:f>IF(AND(O$4&gt;=$C35,O$4&lt;=$D35,'Вводные'!$B$91="Да"),"■","")</x:f>
      </x:c>
      <x:c r="P35" s="135" t="str">
        <x:f>IF(AND(P$4&gt;=$C35,P$4&lt;=$D35,'Вводные'!$B$91="Да"),"■","")</x:f>
      </x:c>
      <x:c r="Q35" s="135" t="str">
        <x:f>IF(AND(Q$4&gt;=$C35,Q$4&lt;=$D35,'Вводные'!$B$91="Да"),"■","")</x:f>
      </x:c>
      <x:c r="R35" s="135" t="str">
        <x:f>IF(AND(R$4&gt;=$C35,R$4&lt;=$D35,'Вводные'!$B$91="Да"),"■","")</x:f>
      </x:c>
      <x:c r="S35" s="135" t="str">
        <x:f>IF(AND(S$4&gt;=$C35,S$4&lt;=$D35,'Вводные'!$B$91="Да"),"■","")</x:f>
      </x:c>
      <x:c r="T35" s="135" t="str">
        <x:f>IF(AND(T$4&gt;=$C35,T$4&lt;=$D35,'Вводные'!$B$91="Да"),"■","")</x:f>
      </x:c>
      <x:c r="U35" s="135" t="str">
        <x:f>IF(AND(U$4&gt;=$C35,U$4&lt;=$D35,'Вводные'!$B$91="Да"),"■","")</x:f>
      </x:c>
      <x:c r="V35" s="135" t="str">
        <x:f>IF(AND(V$4&gt;=$C35,V$4&lt;=$D35,'Вводные'!$B$91="Да"),"■","")</x:f>
      </x:c>
      <x:c r="W35" s="135" t="str">
        <x:f>IF(AND(W$4&gt;=$C35,W$4&lt;=$D35,'Вводные'!$B$91="Да"),"■","")</x:f>
      </x:c>
      <x:c r="X35" s="135" t="str">
        <x:f>IF(AND(X$4&gt;=$C35,X$4&lt;=$D35,'Вводные'!$B$91="Да"),"■","")</x:f>
      </x:c>
      <x:c r="Y35" s="135" t="str">
        <x:f>IF(AND(Y$4&gt;=$C35,Y$4&lt;=$D35,'Вводные'!$B$91="Да"),"■","")</x:f>
      </x:c>
      <x:c r="Z35" s="135" t="str">
        <x:f>IF(AND(Z$4&gt;=$C35,Z$4&lt;=$D35,'Вводные'!$B$91="Да"),"■","")</x:f>
      </x:c>
      <x:c r="AA35" s="135" t="str">
        <x:f>IF(AND(AA$4&gt;=$C35,AA$4&lt;=$D35,'Вводные'!$B$91="Да"),"■","")</x:f>
      </x:c>
      <x:c r="AB35" s="135" t="str">
        <x:f>IF(AND(AB$4&gt;=$C35,AB$4&lt;=$D35,'Вводные'!$B$91="Да"),"■","")</x:f>
      </x:c>
      <x:c r="AC35" s="135" t="str">
        <x:f>IF(AND(AC$4&gt;=$C35,AC$4&lt;=$D35,'Вводные'!$B$91="Да"),"■","")</x:f>
      </x:c>
      <x:c r="AD35" s="135" t="str">
        <x:f>IF(AND(AD$4&gt;=$C35,AD$4&lt;=$D35,'Вводные'!$B$91="Да"),"■","")</x:f>
      </x:c>
      <x:c r="AE35" s="135" t="str">
        <x:f>IF(AND(AE$4&gt;=$C35,AE$4&lt;=$D35,'Вводные'!$B$91="Да"),"■","")</x:f>
      </x:c>
      <x:c r="AF35" s="135" t="str">
        <x:f>IF(AND(AF$4&gt;=$C35,AF$4&lt;=$D35,'Вводные'!$B$91="Да"),"■","")</x:f>
      </x:c>
      <x:c r="AG35" s="135" t="str">
        <x:f>IF(AND(AG$4&gt;=$C35,AG$4&lt;=$D35,'Вводные'!$B$91="Да"),"■","")</x:f>
      </x:c>
      <x:c r="AH35" s="135" t="str">
        <x:f>IF(AND(AH$4&gt;=$C35,AH$4&lt;=$D35,'Вводные'!$B$91="Да"),"■","")</x:f>
      </x:c>
      <x:c r="AI35" s="135" t="str">
        <x:f>IF(AND(AI$4&gt;=$C35,AI$4&lt;=$D35,'Вводные'!$B$91="Да"),"■","")</x:f>
      </x:c>
      <x:c r="AJ35" s="135" t="str">
        <x:f>IF(AND(AJ$4&gt;=$C35,AJ$4&lt;=$D35,'Вводные'!$B$91="Да"),"■","")</x:f>
      </x:c>
      <x:c r="AK35" s="135" t="str">
        <x:f>IF(AND(AK$4&gt;=$C35,AK$4&lt;=$D35,'Вводные'!$B$91="Да"),"■","")</x:f>
      </x:c>
      <x:c r="AL35" s="135" t="str">
        <x:f>IF(AND(AL$4&gt;=$C35,AL$4&lt;=$D35,'Вводные'!$B$91="Да"),"■","")</x:f>
      </x:c>
      <x:c r="AM35" s="135" t="str">
        <x:f>IF(AND(AM$4&gt;=$C35,AM$4&lt;=$D35,'Вводные'!$B$91="Да"),"■","")</x:f>
      </x:c>
      <x:c r="AN35" s="135" t="str">
        <x:f>IF(AND(AN$4&gt;=$C35,AN$4&lt;=$D35,'Вводные'!$B$91="Да"),"■","")</x:f>
      </x:c>
      <x:c r="AO35" s="135" t="str">
        <x:f>IF(AND(AO$4&gt;=$C35,AO$4&lt;=$D35,'Вводные'!$B$91="Да"),"■","")</x:f>
      </x:c>
      <x:c r="AP35" s="135" t="str">
        <x:f>IF(AND(AP$4&gt;=$C35,AP$4&lt;=$D35,'Вводные'!$B$91="Да"),"■","")</x:f>
      </x:c>
      <x:c r="AQ35" s="135" t="str">
        <x:f>IF(AND(AQ$4&gt;=$C35,AQ$4&lt;=$D35,'Вводные'!$B$91="Да"),"■","")</x:f>
      </x:c>
      <x:c r="AR35" s="135" t="str">
        <x:f>IF(AND(AR$4&gt;=$C35,AR$4&lt;=$D35,'Вводные'!$B$91="Да"),"■","")</x:f>
      </x:c>
      <x:c r="AS35" s="135" t="str">
        <x:f>IF(AND(AS$4&gt;=$C35,AS$4&lt;=$D35,'Вводные'!$B$91="Да"),"■","")</x:f>
      </x:c>
      <x:c r="AT35" s="135" t="str">
        <x:f>IF(AND(AT$4&gt;=$C35,AT$4&lt;=$D35,'Вводные'!$B$91="Да"),"■","")</x:f>
      </x:c>
      <x:c r="AU35" s="135" t="str">
        <x:f>IF(AND(AU$4&gt;=$C35,AU$4&lt;=$D35,'Вводные'!$B$91="Да"),"■","")</x:f>
      </x:c>
      <x:c r="AV35" s="135" t="str">
        <x:f>IF(AND(AV$4&gt;=$C35,AV$4&lt;=$D35,'Вводные'!$B$91="Да"),"■","")</x:f>
      </x:c>
      <x:c r="AW35" s="135" t="str">
        <x:f>IF(AND(AW$4&gt;=$C35,AW$4&lt;=$D35,'Вводные'!$B$91="Да"),"■","")</x:f>
      </x:c>
      <x:c r="AX35" s="135" t="str">
        <x:f>IF(AND(AX$4&gt;=$C35,AX$4&lt;=$D35,'Вводные'!$B$91="Да"),"■","")</x:f>
      </x:c>
      <x:c r="AY35" s="135" t="str">
        <x:f>IF(AND(AY$4&gt;=$C35,AY$4&lt;=$D35,'Вводные'!$B$91="Да"),"■","")</x:f>
      </x:c>
      <x:c r="AZ35" s="135" t="str">
        <x:f>IF(AND(AZ$4&gt;=$C35,AZ$4&lt;=$D35,'Вводные'!$B$91="Да"),"■","")</x:f>
      </x:c>
      <x:c r="BA35" s="135" t="str">
        <x:f>IF(AND(BA$4&gt;=$C35,BA$4&lt;=$D35,'Вводные'!$B$91="Да"),"■","")</x:f>
      </x:c>
      <x:c r="BB35" s="135" t="str">
        <x:f>IF(AND(BB$4&gt;=$C35,BB$4&lt;=$D35,'Вводные'!$B$91="Да"),"■","")</x:f>
      </x:c>
      <x:c r="BC35" s="135" t="str">
        <x:f>IF(AND(BC$4&gt;=$C35,BC$4&lt;=$D35,'Вводные'!$B$91="Да"),"■","")</x:f>
      </x:c>
      <x:c r="BD35" s="135" t="str">
        <x:f>IF(AND(BD$4&gt;=$C35,BD$4&lt;=$D35,'Вводные'!$B$91="Да"),"■","")</x:f>
      </x:c>
      <x:c r="BE35" s="135" t="str">
        <x:f>IF(AND(BE$4&gt;=$C35,BE$4&lt;=$D35,'Вводные'!$B$91="Да"),"■","")</x:f>
      </x:c>
      <x:c r="BF35" s="135" t="str">
        <x:f>IF(AND(BF$4&gt;=$C35,BF$4&lt;=$D35,'Вводные'!$B$91="Да"),"■","")</x:f>
      </x:c>
      <x:c r="BG35" s="135" t="str">
        <x:f>IF(AND(BG$4&gt;=$C35,BG$4&lt;=$D35,'Вводные'!$B$91="Да"),"■","")</x:f>
      </x:c>
      <x:c r="BH35" s="135" t="str">
        <x:f>IF(AND(BH$4&gt;=$C35,BH$4&lt;=$D35,'Вводные'!$B$91="Да"),"■","")</x:f>
      </x:c>
      <x:c r="BI35" s="135" t="str">
        <x:f>IF(AND(BI$4&gt;=$C35,BI$4&lt;=$D35,'Вводные'!$B$91="Да"),"■","")</x:f>
      </x:c>
      <x:c r="BJ35" s="135" t="str">
        <x:f>IF(AND(BJ$4&gt;=$C35,BJ$4&lt;=$D35,'Вводные'!$B$91="Да"),"■","")</x:f>
      </x:c>
      <x:c r="BK35" s="135" t="str">
        <x:f>IF(AND(BK$4&gt;=$C35,BK$4&lt;=$D35,'Вводные'!$B$91="Да"),"■","")</x:f>
      </x:c>
      <x:c r="BL35" s="135" t="str">
        <x:f>IF(AND(BL$4&gt;=$C35,BL$4&lt;=$D35,'Вводные'!$B$91="Да"),"■","")</x:f>
      </x:c>
      <x:c r="BM35" s="135" t="str">
        <x:f>IF(AND(BM$4&gt;=$C35,BM$4&lt;=$D35,'Вводные'!$B$91="Да"),"■","")</x:f>
      </x:c>
      <x:c r="BN35" s="135" t="str">
        <x:f>IF(AND(BN$4&gt;=$C35,BN$4&lt;=$D35,'Вводные'!$B$91="Да"),"■","")</x:f>
      </x:c>
      <x:c r="BO35" s="135" t="str">
        <x:f>IF(AND(BO$4&gt;=$C35,BO$4&lt;=$D35,'Вводные'!$B$91="Да"),"■","")</x:f>
      </x:c>
      <x:c r="BP35" s="135" t="str">
        <x:f>IF(AND(BP$4&gt;=$C35,BP$4&lt;=$D35,'Вводные'!$B$91="Да"),"■","")</x:f>
      </x:c>
      <x:c r="BQ35" s="135" t="str">
        <x:f>IF(AND(BQ$4&gt;=$C35,BQ$4&lt;=$D35,'Вводные'!$B$91="Да"),"■","")</x:f>
      </x:c>
      <x:c r="BR35" s="135" t="str">
        <x:f>IF(AND(BR$4&gt;=$C35,BR$4&lt;=$D35,'Вводные'!$B$91="Да"),"■","")</x:f>
      </x:c>
      <x:c r="BS35" s="135" t="str">
        <x:f>IF(AND(BS$4&gt;=$C35,BS$4&lt;=$D35,'Вводные'!$B$91="Да"),"■","")</x:f>
      </x:c>
      <x:c r="BT35" s="135" t="str">
        <x:f>IF(AND(BT$4&gt;=$C35,BT$4&lt;=$D35,'Вводные'!$B$91="Да"),"■","")</x:f>
      </x:c>
      <x:c r="BU35" s="135" t="str">
        <x:f>IF(AND(BU$4&gt;=$C35,BU$4&lt;=$D35,'Вводные'!$B$91="Да"),"■","")</x:f>
      </x:c>
      <x:c r="BV35" s="135" t="str">
        <x:f>IF(AND(BV$4&gt;=$C35,BV$4&lt;=$D35,'Вводные'!$B$91="Да"),"■","")</x:f>
      </x:c>
      <x:c r="BW35" s="135" t="str">
        <x:f>IF(AND(BW$4&gt;=$C35,BW$4&lt;=$D35,'Вводные'!$B$91="Да"),"■","")</x:f>
      </x:c>
      <x:c r="BX35" s="135" t="str">
        <x:f>IF(AND(BX$4&gt;=$C35,BX$4&lt;=$D35,'Вводные'!$B$91="Да"),"■","")</x:f>
      </x:c>
      <x:c r="BY35" s="135" t="str">
        <x:f>IF(AND(BY$4&gt;=$C35,BY$4&lt;=$D35,'Вводные'!$B$91="Да"),"■","")</x:f>
      </x:c>
      <x:c r="BZ35" s="135" t="str">
        <x:f>IF(AND(BZ$4&gt;=$C35,BZ$4&lt;=$D35,'Вводные'!$B$91="Да"),"■","")</x:f>
      </x:c>
      <x:c r="CA35" s="135" t="str">
        <x:f>IF(AND(CA$4&gt;=$C35,CA$4&lt;=$D35,'Вводные'!$B$91="Да"),"■","")</x:f>
      </x:c>
      <x:c r="CB35" s="135" t="str">
        <x:f>IF(AND(CB$4&gt;=$C35,CB$4&lt;=$D35,'Вводные'!$B$91="Да"),"■","")</x:f>
      </x:c>
      <x:c r="CC35" s="135" t="str">
        <x:f>IF(AND(CC$4&gt;=$C35,CC$4&lt;=$D35,'Вводные'!$B$91="Да"),"■","")</x:f>
      </x:c>
      <x:c r="CD35" s="135" t="str">
        <x:f>IF(AND(CD$4&gt;=$C35,CD$4&lt;=$D35,'Вводные'!$B$91="Да"),"■","")</x:f>
      </x:c>
      <x:c r="CE35" s="135" t="str">
        <x:f>IF(AND(CE$4&gt;=$C35,CE$4&lt;=$D35,'Вводные'!$B$91="Да"),"■","")</x:f>
      </x:c>
      <x:c r="CF35" s="135" t="str">
        <x:f>IF(AND(CF$4&gt;=$C35,CF$4&lt;=$D35,'Вводные'!$B$91="Да"),"■","")</x:f>
      </x:c>
      <x:c r="CG35" s="135" t="str">
        <x:f>IF(AND(CG$4&gt;=$C35,CG$4&lt;=$D35,'Вводные'!$B$91="Да"),"■","")</x:f>
      </x:c>
      <x:c r="CH35" s="135" t="str">
        <x:f>IF(AND(CH$4&gt;=$C35,CH$4&lt;=$D35,'Вводные'!$B$91="Да"),"■","")</x:f>
      </x:c>
      <x:c r="CI35" s="135" t="str">
        <x:f>IF(AND(CI$4&gt;=$C35,CI$4&lt;=$D35,'Вводные'!$B$91="Да"),"■","")</x:f>
      </x:c>
      <x:c r="CJ35" s="135" t="str">
        <x:f>IF(AND(CJ$4&gt;=$C35,CJ$4&lt;=$D35,'Вводные'!$B$91="Да"),"■","")</x:f>
      </x:c>
      <x:c r="CK35" s="135" t="str">
        <x:f>IF(AND(CK$4&gt;=$C35,CK$4&lt;=$D35,'Вводные'!$B$91="Да"),"■","")</x:f>
      </x:c>
      <x:c r="CL35" s="135" t="str">
        <x:f>IF(AND(CL$4&gt;=$C35,CL$4&lt;=$D35,'Вводные'!$B$91="Да"),"■","")</x:f>
      </x:c>
      <x:c r="CM35" s="135" t="str">
        <x:f>IF(AND(CM$4&gt;=$C35,CM$4&lt;=$D35,'Вводные'!$B$91="Да"),"■","")</x:f>
      </x:c>
      <x:c r="CN35" s="135" t="str">
        <x:f>IF(AND(CN$4&gt;=$C35,CN$4&lt;=$D35,'Вводные'!$B$91="Да"),"■","")</x:f>
      </x:c>
      <x:c r="CO35" s="135" t="str">
        <x:f>IF(AND(CO$4&gt;=$C35,CO$4&lt;=$D35,'Вводные'!$B$91="Да"),"■","")</x:f>
      </x:c>
      <x:c r="CP35" s="135" t="str">
        <x:f>IF(AND(CP$4&gt;=$C35,CP$4&lt;=$D35,'Вводные'!$B$91="Да"),"■","")</x:f>
      </x:c>
      <x:c r="CQ35" s="135" t="str">
        <x:f>IF(AND(CQ$4&gt;=$C35,CQ$4&lt;=$D35,'Вводные'!$B$91="Да"),"■","")</x:f>
      </x:c>
      <x:c r="CR35" s="135" t="str">
        <x:f>IF(AND(CR$4&gt;=$C35,CR$4&lt;=$D35,'Вводные'!$B$91="Да"),"■","")</x:f>
      </x:c>
      <x:c r="CS35" s="135" t="str">
        <x:f>IF(AND(CS$4&gt;=$C35,CS$4&lt;=$D35,'Вводные'!$B$91="Да"),"■","")</x:f>
      </x:c>
      <x:c r="CT35" s="135" t="str">
        <x:f>IF(AND(CT$4&gt;=$C35,CT$4&lt;=$D35,'Вводные'!$B$91="Да"),"■","")</x:f>
      </x:c>
      <x:c r="CU35" s="135" t="str">
        <x:f>IF(AND(CU$4&gt;=$C35,CU$4&lt;=$D35,'Вводные'!$B$91="Да"),"■","")</x:f>
      </x:c>
      <x:c r="CV35" s="135" t="str">
        <x:f>IF(AND(CV$4&gt;=$C35,CV$4&lt;=$D35,'Вводные'!$B$91="Да"),"■","")</x:f>
      </x:c>
      <x:c r="CW35" s="135" t="str">
        <x:f>IF(AND(CW$4&gt;=$C35,CW$4&lt;=$D35,'Вводные'!$B$91="Да"),"■","")</x:f>
      </x:c>
      <x:c r="CX35" s="135" t="str">
        <x:f>IF(AND(CX$4&gt;=$C35,CX$4&lt;=$D35,'Вводные'!$B$91="Да"),"■","")</x:f>
      </x:c>
      <x:c r="CY35" s="135" t="str">
        <x:f>IF(AND(CY$4&gt;=$C35,CY$4&lt;=$D35,'Вводные'!$B$91="Да"),"■","")</x:f>
      </x:c>
      <x:c r="CZ35" s="135" t="str">
        <x:f>IF(AND(CZ$4&gt;=$C35,CZ$4&lt;=$D35,'Вводные'!$B$91="Да"),"■","")</x:f>
      </x:c>
      <x:c r="DA35" s="135" t="str">
        <x:f>IF(AND(DA$4&gt;=$C35,DA$4&lt;=$D35,'Вводные'!$B$91="Да"),"■","")</x:f>
      </x:c>
      <x:c r="DB35" s="135" t="str">
        <x:f>IF(AND(DB$4&gt;=$C35,DB$4&lt;=$D35,'Вводные'!$B$91="Да"),"■","")</x:f>
      </x:c>
      <x:c r="DC35" s="135" t="str">
        <x:f>IF(AND(DC$4&gt;=$C35,DC$4&lt;=$D35,'Вводные'!$B$91="Да"),"■","")</x:f>
      </x:c>
      <x:c r="DD35" s="135" t="str">
        <x:f>IF(AND(DD$4&gt;=$C35,DD$4&lt;=$D35,'Вводные'!$B$91="Да"),"■","")</x:f>
      </x:c>
      <x:c r="DE35" s="135" t="str">
        <x:f>IF(AND(DE$4&gt;=$C35,DE$4&lt;=$D35,'Вводные'!$B$91="Да"),"■","")</x:f>
      </x:c>
      <x:c r="DF35" s="135" t="str">
        <x:f>IF(AND(DF$4&gt;=$C35,DF$4&lt;=$D35,'Вводные'!$B$91="Да"),"■","")</x:f>
      </x:c>
      <x:c r="DG35" s="135" t="str">
        <x:f>IF(AND(DG$4&gt;=$C35,DG$4&lt;=$D35,'Вводные'!$B$91="Да"),"■","")</x:f>
      </x:c>
      <x:c r="DH35" s="135" t="str">
        <x:f>IF(AND(DH$4&gt;=$C35,DH$4&lt;=$D35,'Вводные'!$B$91="Да"),"■","")</x:f>
      </x:c>
      <x:c r="DI35" s="135" t="str">
        <x:f>IF(AND(DI$4&gt;=$C35,DI$4&lt;=$D35,'Вводные'!$B$91="Да"),"■","")</x:f>
      </x:c>
      <x:c r="DJ35" s="135" t="str">
        <x:f>IF(AND(DJ$4&gt;=$C35,DJ$4&lt;=$D35,'Вводные'!$B$91="Да"),"■","")</x:f>
      </x:c>
      <x:c r="DK35" s="135" t="str">
        <x:f>IF(AND(DK$4&gt;=$C35,DK$4&lt;=$D35,'Вводные'!$B$91="Да"),"■","")</x:f>
      </x:c>
      <x:c r="DL35" s="135" t="str">
        <x:f>IF(AND(DL$4&gt;=$C35,DL$4&lt;=$D35,'Вводные'!$B$91="Да"),"■","")</x:f>
      </x:c>
      <x:c r="DM35" s="135" t="str">
        <x:f>IF(AND(DM$4&gt;=$C35,DM$4&lt;=$D35,'Вводные'!$B$91="Да"),"■","")</x:f>
      </x:c>
      <x:c r="DN35" s="135" t="str">
        <x:f>IF(AND(DN$4&gt;=$C35,DN$4&lt;=$D35,'Вводные'!$B$91="Да"),"■","")</x:f>
      </x:c>
      <x:c r="DO35" s="135" t="str">
        <x:f>IF(AND(DO$4&gt;=$C35,DO$4&lt;=$D35,'Вводные'!$B$91="Да"),"■","")</x:f>
      </x:c>
      <x:c r="DP35" s="135" t="str">
        <x:f>IF(AND(DP$4&gt;=$C35,DP$4&lt;=$D35,'Вводные'!$B$91="Да"),"■","")</x:f>
      </x:c>
      <x:c r="DQ35" s="135" t="str">
        <x:f>IF(AND(DQ$4&gt;=$C35,DQ$4&lt;=$D35,'Вводные'!$B$91="Да"),"■","")</x:f>
      </x:c>
      <x:c r="DR35" s="135" t="str">
        <x:f>IF(AND(DR$4&gt;=$C35,DR$4&lt;=$D35,'Вводные'!$B$91="Да"),"■","")</x:f>
      </x:c>
      <x:c r="DS35" s="135" t="str">
        <x:f>IF(AND(DS$4&gt;=$C35,DS$4&lt;=$D35,'Вводные'!$B$91="Да"),"■","")</x:f>
      </x:c>
      <x:c r="DT35" s="135" t="str">
        <x:f>IF(AND(DT$4&gt;=$C35,DT$4&lt;=$D35,'Вводные'!$B$91="Да"),"■","")</x:f>
      </x:c>
    </x:row>
    <x:row r="36">
      <x:c r="A36" t="str">
        <x:f>'Вводные'!$C$91</x:f>
      </x:c>
      <x:c r="B36" t="str">
        <x:v>ИРД и согласования</x:v>
      </x:c>
      <x:c r="C36" s="92" t="n">
        <x:f>EDATE('Вводные'!$D$91,'Вводные'!$H$9)</x:f>
      </x:c>
      <x:c r="D36" s="92" t="n">
        <x:f>EDATE(C36,'Вводные'!$E$91-1)</x:f>
      </x:c>
      <x:c r="E36" s="137" t="str">
        <x:f>IF(AND(E$4&gt;=$C36,E$4&lt;=$D36,'Вводные'!$B$91="Да"),"■","")</x:f>
      </x:c>
      <x:c r="F36" s="137" t="str">
        <x:f>IF(AND(F$4&gt;=$C36,F$4&lt;=$D36,'Вводные'!$B$91="Да"),"■","")</x:f>
      </x:c>
      <x:c r="G36" s="137" t="str">
        <x:f>IF(AND(G$4&gt;=$C36,G$4&lt;=$D36,'Вводные'!$B$91="Да"),"■","")</x:f>
      </x:c>
      <x:c r="H36" s="137" t="str">
        <x:f>IF(AND(H$4&gt;=$C36,H$4&lt;=$D36,'Вводные'!$B$91="Да"),"■","")</x:f>
      </x:c>
      <x:c r="I36" s="137" t="str">
        <x:f>IF(AND(I$4&gt;=$C36,I$4&lt;=$D36,'Вводные'!$B$91="Да"),"■","")</x:f>
      </x:c>
      <x:c r="J36" s="137" t="str">
        <x:f>IF(AND(J$4&gt;=$C36,J$4&lt;=$D36,'Вводные'!$B$91="Да"),"■","")</x:f>
      </x:c>
      <x:c r="K36" s="137" t="str">
        <x:f>IF(AND(K$4&gt;=$C36,K$4&lt;=$D36,'Вводные'!$B$91="Да"),"■","")</x:f>
      </x:c>
      <x:c r="L36" s="137" t="str">
        <x:f>IF(AND(L$4&gt;=$C36,L$4&lt;=$D36,'Вводные'!$B$91="Да"),"■","")</x:f>
      </x:c>
      <x:c r="M36" s="137" t="str">
        <x:f>IF(AND(M$4&gt;=$C36,M$4&lt;=$D36,'Вводные'!$B$91="Да"),"■","")</x:f>
      </x:c>
      <x:c r="N36" s="137" t="str">
        <x:f>IF(AND(N$4&gt;=$C36,N$4&lt;=$D36,'Вводные'!$B$91="Да"),"■","")</x:f>
      </x:c>
      <x:c r="O36" s="137" t="str">
        <x:f>IF(AND(O$4&gt;=$C36,O$4&lt;=$D36,'Вводные'!$B$91="Да"),"■","")</x:f>
      </x:c>
      <x:c r="P36" s="137" t="str">
        <x:f>IF(AND(P$4&gt;=$C36,P$4&lt;=$D36,'Вводные'!$B$91="Да"),"■","")</x:f>
      </x:c>
      <x:c r="Q36" s="137" t="str">
        <x:f>IF(AND(Q$4&gt;=$C36,Q$4&lt;=$D36,'Вводные'!$B$91="Да"),"■","")</x:f>
      </x:c>
      <x:c r="R36" s="137" t="str">
        <x:f>IF(AND(R$4&gt;=$C36,R$4&lt;=$D36,'Вводные'!$B$91="Да"),"■","")</x:f>
      </x:c>
      <x:c r="S36" s="137" t="str">
        <x:f>IF(AND(S$4&gt;=$C36,S$4&lt;=$D36,'Вводные'!$B$91="Да"),"■","")</x:f>
      </x:c>
      <x:c r="T36" s="137" t="str">
        <x:f>IF(AND(T$4&gt;=$C36,T$4&lt;=$D36,'Вводные'!$B$91="Да"),"■","")</x:f>
      </x:c>
      <x:c r="U36" s="137" t="str">
        <x:f>IF(AND(U$4&gt;=$C36,U$4&lt;=$D36,'Вводные'!$B$91="Да"),"■","")</x:f>
      </x:c>
      <x:c r="V36" s="137" t="str">
        <x:f>IF(AND(V$4&gt;=$C36,V$4&lt;=$D36,'Вводные'!$B$91="Да"),"■","")</x:f>
      </x:c>
      <x:c r="W36" s="137" t="str">
        <x:f>IF(AND(W$4&gt;=$C36,W$4&lt;=$D36,'Вводные'!$B$91="Да"),"■","")</x:f>
      </x:c>
      <x:c r="X36" s="137" t="str">
        <x:f>IF(AND(X$4&gt;=$C36,X$4&lt;=$D36,'Вводные'!$B$91="Да"),"■","")</x:f>
      </x:c>
      <x:c r="Y36" s="137" t="str">
        <x:f>IF(AND(Y$4&gt;=$C36,Y$4&lt;=$D36,'Вводные'!$B$91="Да"),"■","")</x:f>
      </x:c>
      <x:c r="Z36" s="137" t="str">
        <x:f>IF(AND(Z$4&gt;=$C36,Z$4&lt;=$D36,'Вводные'!$B$91="Да"),"■","")</x:f>
      </x:c>
      <x:c r="AA36" s="137" t="str">
        <x:f>IF(AND(AA$4&gt;=$C36,AA$4&lt;=$D36,'Вводные'!$B$91="Да"),"■","")</x:f>
      </x:c>
      <x:c r="AB36" s="137" t="str">
        <x:f>IF(AND(AB$4&gt;=$C36,AB$4&lt;=$D36,'Вводные'!$B$91="Да"),"■","")</x:f>
      </x:c>
      <x:c r="AC36" s="137" t="str">
        <x:f>IF(AND(AC$4&gt;=$C36,AC$4&lt;=$D36,'Вводные'!$B$91="Да"),"■","")</x:f>
      </x:c>
      <x:c r="AD36" s="137" t="str">
        <x:f>IF(AND(AD$4&gt;=$C36,AD$4&lt;=$D36,'Вводные'!$B$91="Да"),"■","")</x:f>
      </x:c>
      <x:c r="AE36" s="137" t="str">
        <x:f>IF(AND(AE$4&gt;=$C36,AE$4&lt;=$D36,'Вводные'!$B$91="Да"),"■","")</x:f>
      </x:c>
      <x:c r="AF36" s="137" t="str">
        <x:f>IF(AND(AF$4&gt;=$C36,AF$4&lt;=$D36,'Вводные'!$B$91="Да"),"■","")</x:f>
      </x:c>
      <x:c r="AG36" s="137" t="str">
        <x:f>IF(AND(AG$4&gt;=$C36,AG$4&lt;=$D36,'Вводные'!$B$91="Да"),"■","")</x:f>
      </x:c>
      <x:c r="AH36" s="137" t="str">
        <x:f>IF(AND(AH$4&gt;=$C36,AH$4&lt;=$D36,'Вводные'!$B$91="Да"),"■","")</x:f>
      </x:c>
      <x:c r="AI36" s="137" t="str">
        <x:f>IF(AND(AI$4&gt;=$C36,AI$4&lt;=$D36,'Вводные'!$B$91="Да"),"■","")</x:f>
      </x:c>
      <x:c r="AJ36" s="137" t="str">
        <x:f>IF(AND(AJ$4&gt;=$C36,AJ$4&lt;=$D36,'Вводные'!$B$91="Да"),"■","")</x:f>
      </x:c>
      <x:c r="AK36" s="137" t="str">
        <x:f>IF(AND(AK$4&gt;=$C36,AK$4&lt;=$D36,'Вводные'!$B$91="Да"),"■","")</x:f>
      </x:c>
      <x:c r="AL36" s="137" t="str">
        <x:f>IF(AND(AL$4&gt;=$C36,AL$4&lt;=$D36,'Вводные'!$B$91="Да"),"■","")</x:f>
      </x:c>
      <x:c r="AM36" s="137" t="str">
        <x:f>IF(AND(AM$4&gt;=$C36,AM$4&lt;=$D36,'Вводные'!$B$91="Да"),"■","")</x:f>
      </x:c>
      <x:c r="AN36" s="137" t="str">
        <x:f>IF(AND(AN$4&gt;=$C36,AN$4&lt;=$D36,'Вводные'!$B$91="Да"),"■","")</x:f>
      </x:c>
      <x:c r="AO36" s="137" t="str">
        <x:f>IF(AND(AO$4&gt;=$C36,AO$4&lt;=$D36,'Вводные'!$B$91="Да"),"■","")</x:f>
      </x:c>
      <x:c r="AP36" s="137" t="str">
        <x:f>IF(AND(AP$4&gt;=$C36,AP$4&lt;=$D36,'Вводные'!$B$91="Да"),"■","")</x:f>
      </x:c>
      <x:c r="AQ36" s="137" t="str">
        <x:f>IF(AND(AQ$4&gt;=$C36,AQ$4&lt;=$D36,'Вводные'!$B$91="Да"),"■","")</x:f>
      </x:c>
      <x:c r="AR36" s="137" t="str">
        <x:f>IF(AND(AR$4&gt;=$C36,AR$4&lt;=$D36,'Вводные'!$B$91="Да"),"■","")</x:f>
      </x:c>
      <x:c r="AS36" s="137" t="str">
        <x:f>IF(AND(AS$4&gt;=$C36,AS$4&lt;=$D36,'Вводные'!$B$91="Да"),"■","")</x:f>
      </x:c>
      <x:c r="AT36" s="137" t="str">
        <x:f>IF(AND(AT$4&gt;=$C36,AT$4&lt;=$D36,'Вводные'!$B$91="Да"),"■","")</x:f>
      </x:c>
      <x:c r="AU36" s="137" t="str">
        <x:f>IF(AND(AU$4&gt;=$C36,AU$4&lt;=$D36,'Вводные'!$B$91="Да"),"■","")</x:f>
      </x:c>
      <x:c r="AV36" s="137" t="str">
        <x:f>IF(AND(AV$4&gt;=$C36,AV$4&lt;=$D36,'Вводные'!$B$91="Да"),"■","")</x:f>
      </x:c>
      <x:c r="AW36" s="137" t="str">
        <x:f>IF(AND(AW$4&gt;=$C36,AW$4&lt;=$D36,'Вводные'!$B$91="Да"),"■","")</x:f>
      </x:c>
      <x:c r="AX36" s="137" t="str">
        <x:f>IF(AND(AX$4&gt;=$C36,AX$4&lt;=$D36,'Вводные'!$B$91="Да"),"■","")</x:f>
      </x:c>
      <x:c r="AY36" s="137" t="str">
        <x:f>IF(AND(AY$4&gt;=$C36,AY$4&lt;=$D36,'Вводные'!$B$91="Да"),"■","")</x:f>
      </x:c>
      <x:c r="AZ36" s="137" t="str">
        <x:f>IF(AND(AZ$4&gt;=$C36,AZ$4&lt;=$D36,'Вводные'!$B$91="Да"),"■","")</x:f>
      </x:c>
      <x:c r="BA36" s="137" t="str">
        <x:f>IF(AND(BA$4&gt;=$C36,BA$4&lt;=$D36,'Вводные'!$B$91="Да"),"■","")</x:f>
      </x:c>
      <x:c r="BB36" s="137" t="str">
        <x:f>IF(AND(BB$4&gt;=$C36,BB$4&lt;=$D36,'Вводные'!$B$91="Да"),"■","")</x:f>
      </x:c>
      <x:c r="BC36" s="137" t="str">
        <x:f>IF(AND(BC$4&gt;=$C36,BC$4&lt;=$D36,'Вводные'!$B$91="Да"),"■","")</x:f>
      </x:c>
      <x:c r="BD36" s="137" t="str">
        <x:f>IF(AND(BD$4&gt;=$C36,BD$4&lt;=$D36,'Вводные'!$B$91="Да"),"■","")</x:f>
      </x:c>
      <x:c r="BE36" s="137" t="str">
        <x:f>IF(AND(BE$4&gt;=$C36,BE$4&lt;=$D36,'Вводные'!$B$91="Да"),"■","")</x:f>
      </x:c>
      <x:c r="BF36" s="137" t="str">
        <x:f>IF(AND(BF$4&gt;=$C36,BF$4&lt;=$D36,'Вводные'!$B$91="Да"),"■","")</x:f>
      </x:c>
      <x:c r="BG36" s="137" t="str">
        <x:f>IF(AND(BG$4&gt;=$C36,BG$4&lt;=$D36,'Вводные'!$B$91="Да"),"■","")</x:f>
      </x:c>
      <x:c r="BH36" s="137" t="str">
        <x:f>IF(AND(BH$4&gt;=$C36,BH$4&lt;=$D36,'Вводные'!$B$91="Да"),"■","")</x:f>
      </x:c>
      <x:c r="BI36" s="137" t="str">
        <x:f>IF(AND(BI$4&gt;=$C36,BI$4&lt;=$D36,'Вводные'!$B$91="Да"),"■","")</x:f>
      </x:c>
      <x:c r="BJ36" s="137" t="str">
        <x:f>IF(AND(BJ$4&gt;=$C36,BJ$4&lt;=$D36,'Вводные'!$B$91="Да"),"■","")</x:f>
      </x:c>
      <x:c r="BK36" s="137" t="str">
        <x:f>IF(AND(BK$4&gt;=$C36,BK$4&lt;=$D36,'Вводные'!$B$91="Да"),"■","")</x:f>
      </x:c>
      <x:c r="BL36" s="137" t="str">
        <x:f>IF(AND(BL$4&gt;=$C36,BL$4&lt;=$D36,'Вводные'!$B$91="Да"),"■","")</x:f>
      </x:c>
      <x:c r="BM36" s="137" t="str">
        <x:f>IF(AND(BM$4&gt;=$C36,BM$4&lt;=$D36,'Вводные'!$B$91="Да"),"■","")</x:f>
      </x:c>
      <x:c r="BN36" s="137" t="str">
        <x:f>IF(AND(BN$4&gt;=$C36,BN$4&lt;=$D36,'Вводные'!$B$91="Да"),"■","")</x:f>
      </x:c>
      <x:c r="BO36" s="137" t="str">
        <x:f>IF(AND(BO$4&gt;=$C36,BO$4&lt;=$D36,'Вводные'!$B$91="Да"),"■","")</x:f>
      </x:c>
      <x:c r="BP36" s="137" t="str">
        <x:f>IF(AND(BP$4&gt;=$C36,BP$4&lt;=$D36,'Вводные'!$B$91="Да"),"■","")</x:f>
      </x:c>
      <x:c r="BQ36" s="137" t="str">
        <x:f>IF(AND(BQ$4&gt;=$C36,BQ$4&lt;=$D36,'Вводные'!$B$91="Да"),"■","")</x:f>
      </x:c>
      <x:c r="BR36" s="137" t="str">
        <x:f>IF(AND(BR$4&gt;=$C36,BR$4&lt;=$D36,'Вводные'!$B$91="Да"),"■","")</x:f>
      </x:c>
      <x:c r="BS36" s="137" t="str">
        <x:f>IF(AND(BS$4&gt;=$C36,BS$4&lt;=$D36,'Вводные'!$B$91="Да"),"■","")</x:f>
      </x:c>
      <x:c r="BT36" s="137" t="str">
        <x:f>IF(AND(BT$4&gt;=$C36,BT$4&lt;=$D36,'Вводные'!$B$91="Да"),"■","")</x:f>
      </x:c>
      <x:c r="BU36" s="137" t="str">
        <x:f>IF(AND(BU$4&gt;=$C36,BU$4&lt;=$D36,'Вводные'!$B$91="Да"),"■","")</x:f>
      </x:c>
      <x:c r="BV36" s="137" t="str">
        <x:f>IF(AND(BV$4&gt;=$C36,BV$4&lt;=$D36,'Вводные'!$B$91="Да"),"■","")</x:f>
      </x:c>
      <x:c r="BW36" s="137" t="str">
        <x:f>IF(AND(BW$4&gt;=$C36,BW$4&lt;=$D36,'Вводные'!$B$91="Да"),"■","")</x:f>
      </x:c>
      <x:c r="BX36" s="137" t="str">
        <x:f>IF(AND(BX$4&gt;=$C36,BX$4&lt;=$D36,'Вводные'!$B$91="Да"),"■","")</x:f>
      </x:c>
      <x:c r="BY36" s="137" t="str">
        <x:f>IF(AND(BY$4&gt;=$C36,BY$4&lt;=$D36,'Вводные'!$B$91="Да"),"■","")</x:f>
      </x:c>
      <x:c r="BZ36" s="137" t="str">
        <x:f>IF(AND(BZ$4&gt;=$C36,BZ$4&lt;=$D36,'Вводные'!$B$91="Да"),"■","")</x:f>
      </x:c>
      <x:c r="CA36" s="137" t="str">
        <x:f>IF(AND(CA$4&gt;=$C36,CA$4&lt;=$D36,'Вводные'!$B$91="Да"),"■","")</x:f>
      </x:c>
      <x:c r="CB36" s="137" t="str">
        <x:f>IF(AND(CB$4&gt;=$C36,CB$4&lt;=$D36,'Вводные'!$B$91="Да"),"■","")</x:f>
      </x:c>
      <x:c r="CC36" s="137" t="str">
        <x:f>IF(AND(CC$4&gt;=$C36,CC$4&lt;=$D36,'Вводные'!$B$91="Да"),"■","")</x:f>
      </x:c>
      <x:c r="CD36" s="137" t="str">
        <x:f>IF(AND(CD$4&gt;=$C36,CD$4&lt;=$D36,'Вводные'!$B$91="Да"),"■","")</x:f>
      </x:c>
      <x:c r="CE36" s="137" t="str">
        <x:f>IF(AND(CE$4&gt;=$C36,CE$4&lt;=$D36,'Вводные'!$B$91="Да"),"■","")</x:f>
      </x:c>
      <x:c r="CF36" s="137" t="str">
        <x:f>IF(AND(CF$4&gt;=$C36,CF$4&lt;=$D36,'Вводные'!$B$91="Да"),"■","")</x:f>
      </x:c>
      <x:c r="CG36" s="137" t="str">
        <x:f>IF(AND(CG$4&gt;=$C36,CG$4&lt;=$D36,'Вводные'!$B$91="Да"),"■","")</x:f>
      </x:c>
      <x:c r="CH36" s="137" t="str">
        <x:f>IF(AND(CH$4&gt;=$C36,CH$4&lt;=$D36,'Вводные'!$B$91="Да"),"■","")</x:f>
      </x:c>
      <x:c r="CI36" s="137" t="str">
        <x:f>IF(AND(CI$4&gt;=$C36,CI$4&lt;=$D36,'Вводные'!$B$91="Да"),"■","")</x:f>
      </x:c>
      <x:c r="CJ36" s="137" t="str">
        <x:f>IF(AND(CJ$4&gt;=$C36,CJ$4&lt;=$D36,'Вводные'!$B$91="Да"),"■","")</x:f>
      </x:c>
      <x:c r="CK36" s="137" t="str">
        <x:f>IF(AND(CK$4&gt;=$C36,CK$4&lt;=$D36,'Вводные'!$B$91="Да"),"■","")</x:f>
      </x:c>
      <x:c r="CL36" s="137" t="str">
        <x:f>IF(AND(CL$4&gt;=$C36,CL$4&lt;=$D36,'Вводные'!$B$91="Да"),"■","")</x:f>
      </x:c>
      <x:c r="CM36" s="137" t="str">
        <x:f>IF(AND(CM$4&gt;=$C36,CM$4&lt;=$D36,'Вводные'!$B$91="Да"),"■","")</x:f>
      </x:c>
      <x:c r="CN36" s="137" t="str">
        <x:f>IF(AND(CN$4&gt;=$C36,CN$4&lt;=$D36,'Вводные'!$B$91="Да"),"■","")</x:f>
      </x:c>
      <x:c r="CO36" s="137" t="str">
        <x:f>IF(AND(CO$4&gt;=$C36,CO$4&lt;=$D36,'Вводные'!$B$91="Да"),"■","")</x:f>
      </x:c>
      <x:c r="CP36" s="137" t="str">
        <x:f>IF(AND(CP$4&gt;=$C36,CP$4&lt;=$D36,'Вводные'!$B$91="Да"),"■","")</x:f>
      </x:c>
      <x:c r="CQ36" s="137" t="str">
        <x:f>IF(AND(CQ$4&gt;=$C36,CQ$4&lt;=$D36,'Вводные'!$B$91="Да"),"■","")</x:f>
      </x:c>
      <x:c r="CR36" s="137" t="str">
        <x:f>IF(AND(CR$4&gt;=$C36,CR$4&lt;=$D36,'Вводные'!$B$91="Да"),"■","")</x:f>
      </x:c>
      <x:c r="CS36" s="137" t="str">
        <x:f>IF(AND(CS$4&gt;=$C36,CS$4&lt;=$D36,'Вводные'!$B$91="Да"),"■","")</x:f>
      </x:c>
      <x:c r="CT36" s="137" t="str">
        <x:f>IF(AND(CT$4&gt;=$C36,CT$4&lt;=$D36,'Вводные'!$B$91="Да"),"■","")</x:f>
      </x:c>
      <x:c r="CU36" s="137" t="str">
        <x:f>IF(AND(CU$4&gt;=$C36,CU$4&lt;=$D36,'Вводные'!$B$91="Да"),"■","")</x:f>
      </x:c>
      <x:c r="CV36" s="137" t="str">
        <x:f>IF(AND(CV$4&gt;=$C36,CV$4&lt;=$D36,'Вводные'!$B$91="Да"),"■","")</x:f>
      </x:c>
      <x:c r="CW36" s="137" t="str">
        <x:f>IF(AND(CW$4&gt;=$C36,CW$4&lt;=$D36,'Вводные'!$B$91="Да"),"■","")</x:f>
      </x:c>
      <x:c r="CX36" s="137" t="str">
        <x:f>IF(AND(CX$4&gt;=$C36,CX$4&lt;=$D36,'Вводные'!$B$91="Да"),"■","")</x:f>
      </x:c>
      <x:c r="CY36" s="137" t="str">
        <x:f>IF(AND(CY$4&gt;=$C36,CY$4&lt;=$D36,'Вводные'!$B$91="Да"),"■","")</x:f>
      </x:c>
      <x:c r="CZ36" s="137" t="str">
        <x:f>IF(AND(CZ$4&gt;=$C36,CZ$4&lt;=$D36,'Вводные'!$B$91="Да"),"■","")</x:f>
      </x:c>
      <x:c r="DA36" s="137" t="str">
        <x:f>IF(AND(DA$4&gt;=$C36,DA$4&lt;=$D36,'Вводные'!$B$91="Да"),"■","")</x:f>
      </x:c>
      <x:c r="DB36" s="137" t="str">
        <x:f>IF(AND(DB$4&gt;=$C36,DB$4&lt;=$D36,'Вводные'!$B$91="Да"),"■","")</x:f>
      </x:c>
      <x:c r="DC36" s="137" t="str">
        <x:f>IF(AND(DC$4&gt;=$C36,DC$4&lt;=$D36,'Вводные'!$B$91="Да"),"■","")</x:f>
      </x:c>
      <x:c r="DD36" s="137" t="str">
        <x:f>IF(AND(DD$4&gt;=$C36,DD$4&lt;=$D36,'Вводные'!$B$91="Да"),"■","")</x:f>
      </x:c>
      <x:c r="DE36" s="137" t="str">
        <x:f>IF(AND(DE$4&gt;=$C36,DE$4&lt;=$D36,'Вводные'!$B$91="Да"),"■","")</x:f>
      </x:c>
      <x:c r="DF36" s="137" t="str">
        <x:f>IF(AND(DF$4&gt;=$C36,DF$4&lt;=$D36,'Вводные'!$B$91="Да"),"■","")</x:f>
      </x:c>
      <x:c r="DG36" s="137" t="str">
        <x:f>IF(AND(DG$4&gt;=$C36,DG$4&lt;=$D36,'Вводные'!$B$91="Да"),"■","")</x:f>
      </x:c>
      <x:c r="DH36" s="137" t="str">
        <x:f>IF(AND(DH$4&gt;=$C36,DH$4&lt;=$D36,'Вводные'!$B$91="Да"),"■","")</x:f>
      </x:c>
      <x:c r="DI36" s="137" t="str">
        <x:f>IF(AND(DI$4&gt;=$C36,DI$4&lt;=$D36,'Вводные'!$B$91="Да"),"■","")</x:f>
      </x:c>
      <x:c r="DJ36" s="137" t="str">
        <x:f>IF(AND(DJ$4&gt;=$C36,DJ$4&lt;=$D36,'Вводные'!$B$91="Да"),"■","")</x:f>
      </x:c>
      <x:c r="DK36" s="137" t="str">
        <x:f>IF(AND(DK$4&gt;=$C36,DK$4&lt;=$D36,'Вводные'!$B$91="Да"),"■","")</x:f>
      </x:c>
      <x:c r="DL36" s="137" t="str">
        <x:f>IF(AND(DL$4&gt;=$C36,DL$4&lt;=$D36,'Вводные'!$B$91="Да"),"■","")</x:f>
      </x:c>
      <x:c r="DM36" s="137" t="str">
        <x:f>IF(AND(DM$4&gt;=$C36,DM$4&lt;=$D36,'Вводные'!$B$91="Да"),"■","")</x:f>
      </x:c>
      <x:c r="DN36" s="137" t="str">
        <x:f>IF(AND(DN$4&gt;=$C36,DN$4&lt;=$D36,'Вводные'!$B$91="Да"),"■","")</x:f>
      </x:c>
      <x:c r="DO36" s="137" t="str">
        <x:f>IF(AND(DO$4&gt;=$C36,DO$4&lt;=$D36,'Вводные'!$B$91="Да"),"■","")</x:f>
      </x:c>
      <x:c r="DP36" s="137" t="str">
        <x:f>IF(AND(DP$4&gt;=$C36,DP$4&lt;=$D36,'Вводные'!$B$91="Да"),"■","")</x:f>
      </x:c>
      <x:c r="DQ36" s="137" t="str">
        <x:f>IF(AND(DQ$4&gt;=$C36,DQ$4&lt;=$D36,'Вводные'!$B$91="Да"),"■","")</x:f>
      </x:c>
      <x:c r="DR36" s="137" t="str">
        <x:f>IF(AND(DR$4&gt;=$C36,DR$4&lt;=$D36,'Вводные'!$B$91="Да"),"■","")</x:f>
      </x:c>
      <x:c r="DS36" s="137" t="str">
        <x:f>IF(AND(DS$4&gt;=$C36,DS$4&lt;=$D36,'Вводные'!$B$91="Да"),"■","")</x:f>
      </x:c>
      <x:c r="DT36" s="137" t="str">
        <x:f>IF(AND(DT$4&gt;=$C36,DT$4&lt;=$D36,'Вводные'!$B$91="Да"),"■","")</x:f>
      </x:c>
    </x:row>
    <x:row r="37">
      <x:c r="A37" t="str">
        <x:f>'Вводные'!$C$91</x:f>
      </x:c>
      <x:c r="B37" t="str">
        <x:v>Обязательство по ВРИ</x:v>
      </x:c>
      <x:c r="C37" s="92" t="n">
        <x:f>'ВРИ'!B46</x:f>
      </x:c>
      <x:c r="D37" s="92" t="n">
        <x:f>C37</x:f>
      </x:c>
      <x:c r="E37" s="137" t="str">
        <x:f>IF(AND(E$4&gt;=$C37,E$4&lt;=$D37,'Вводные'!$B$91="Да"),"■","")</x:f>
      </x:c>
      <x:c r="F37" s="137" t="str">
        <x:f>IF(AND(F$4&gt;=$C37,F$4&lt;=$D37,'Вводные'!$B$91="Да"),"■","")</x:f>
      </x:c>
      <x:c r="G37" s="137" t="str">
        <x:f>IF(AND(G$4&gt;=$C37,G$4&lt;=$D37,'Вводные'!$B$91="Да"),"■","")</x:f>
      </x:c>
      <x:c r="H37" s="137" t="str">
        <x:f>IF(AND(H$4&gt;=$C37,H$4&lt;=$D37,'Вводные'!$B$91="Да"),"■","")</x:f>
      </x:c>
      <x:c r="I37" s="137" t="str">
        <x:f>IF(AND(I$4&gt;=$C37,I$4&lt;=$D37,'Вводные'!$B$91="Да"),"■","")</x:f>
      </x:c>
      <x:c r="J37" s="137" t="str">
        <x:f>IF(AND(J$4&gt;=$C37,J$4&lt;=$D37,'Вводные'!$B$91="Да"),"■","")</x:f>
      </x:c>
      <x:c r="K37" s="137" t="str">
        <x:f>IF(AND(K$4&gt;=$C37,K$4&lt;=$D37,'Вводные'!$B$91="Да"),"■","")</x:f>
      </x:c>
      <x:c r="L37" s="137" t="str">
        <x:f>IF(AND(L$4&gt;=$C37,L$4&lt;=$D37,'Вводные'!$B$91="Да"),"■","")</x:f>
      </x:c>
      <x:c r="M37" s="137" t="str">
        <x:f>IF(AND(M$4&gt;=$C37,M$4&lt;=$D37,'Вводные'!$B$91="Да"),"■","")</x:f>
      </x:c>
      <x:c r="N37" s="137" t="str">
        <x:f>IF(AND(N$4&gt;=$C37,N$4&lt;=$D37,'Вводные'!$B$91="Да"),"■","")</x:f>
      </x:c>
      <x:c r="O37" s="137" t="str">
        <x:f>IF(AND(O$4&gt;=$C37,O$4&lt;=$D37,'Вводные'!$B$91="Да"),"■","")</x:f>
      </x:c>
      <x:c r="P37" s="137" t="str">
        <x:f>IF(AND(P$4&gt;=$C37,P$4&lt;=$D37,'Вводные'!$B$91="Да"),"■","")</x:f>
      </x:c>
      <x:c r="Q37" s="137" t="str">
        <x:f>IF(AND(Q$4&gt;=$C37,Q$4&lt;=$D37,'Вводные'!$B$91="Да"),"■","")</x:f>
      </x:c>
      <x:c r="R37" s="137" t="str">
        <x:f>IF(AND(R$4&gt;=$C37,R$4&lt;=$D37,'Вводные'!$B$91="Да"),"■","")</x:f>
      </x:c>
      <x:c r="S37" s="137" t="str">
        <x:f>IF(AND(S$4&gt;=$C37,S$4&lt;=$D37,'Вводные'!$B$91="Да"),"■","")</x:f>
      </x:c>
      <x:c r="T37" s="137" t="str">
        <x:f>IF(AND(T$4&gt;=$C37,T$4&lt;=$D37,'Вводные'!$B$91="Да"),"■","")</x:f>
      </x:c>
      <x:c r="U37" s="137" t="str">
        <x:f>IF(AND(U$4&gt;=$C37,U$4&lt;=$D37,'Вводные'!$B$91="Да"),"■","")</x:f>
      </x:c>
      <x:c r="V37" s="137" t="str">
        <x:f>IF(AND(V$4&gt;=$C37,V$4&lt;=$D37,'Вводные'!$B$91="Да"),"■","")</x:f>
      </x:c>
      <x:c r="W37" s="137" t="str">
        <x:f>IF(AND(W$4&gt;=$C37,W$4&lt;=$D37,'Вводные'!$B$91="Да"),"■","")</x:f>
      </x:c>
      <x:c r="X37" s="137" t="str">
        <x:f>IF(AND(X$4&gt;=$C37,X$4&lt;=$D37,'Вводные'!$B$91="Да"),"■","")</x:f>
      </x:c>
      <x:c r="Y37" s="137" t="str">
        <x:f>IF(AND(Y$4&gt;=$C37,Y$4&lt;=$D37,'Вводные'!$B$91="Да"),"■","")</x:f>
      </x:c>
      <x:c r="Z37" s="137" t="str">
        <x:f>IF(AND(Z$4&gt;=$C37,Z$4&lt;=$D37,'Вводные'!$B$91="Да"),"■","")</x:f>
      </x:c>
      <x:c r="AA37" s="137" t="str">
        <x:f>IF(AND(AA$4&gt;=$C37,AA$4&lt;=$D37,'Вводные'!$B$91="Да"),"■","")</x:f>
      </x:c>
      <x:c r="AB37" s="137" t="str">
        <x:f>IF(AND(AB$4&gt;=$C37,AB$4&lt;=$D37,'Вводные'!$B$91="Да"),"■","")</x:f>
      </x:c>
      <x:c r="AC37" s="137" t="str">
        <x:f>IF(AND(AC$4&gt;=$C37,AC$4&lt;=$D37,'Вводные'!$B$91="Да"),"■","")</x:f>
      </x:c>
      <x:c r="AD37" s="137" t="str">
        <x:f>IF(AND(AD$4&gt;=$C37,AD$4&lt;=$D37,'Вводные'!$B$91="Да"),"■","")</x:f>
      </x:c>
      <x:c r="AE37" s="137" t="str">
        <x:f>IF(AND(AE$4&gt;=$C37,AE$4&lt;=$D37,'Вводные'!$B$91="Да"),"■","")</x:f>
      </x:c>
      <x:c r="AF37" s="137" t="str">
        <x:f>IF(AND(AF$4&gt;=$C37,AF$4&lt;=$D37,'Вводные'!$B$91="Да"),"■","")</x:f>
      </x:c>
      <x:c r="AG37" s="137" t="str">
        <x:f>IF(AND(AG$4&gt;=$C37,AG$4&lt;=$D37,'Вводные'!$B$91="Да"),"■","")</x:f>
      </x:c>
      <x:c r="AH37" s="137" t="str">
        <x:f>IF(AND(AH$4&gt;=$C37,AH$4&lt;=$D37,'Вводные'!$B$91="Да"),"■","")</x:f>
      </x:c>
      <x:c r="AI37" s="137" t="str">
        <x:f>IF(AND(AI$4&gt;=$C37,AI$4&lt;=$D37,'Вводные'!$B$91="Да"),"■","")</x:f>
      </x:c>
      <x:c r="AJ37" s="137" t="str">
        <x:f>IF(AND(AJ$4&gt;=$C37,AJ$4&lt;=$D37,'Вводные'!$B$91="Да"),"■","")</x:f>
      </x:c>
      <x:c r="AK37" s="137" t="str">
        <x:f>IF(AND(AK$4&gt;=$C37,AK$4&lt;=$D37,'Вводные'!$B$91="Да"),"■","")</x:f>
      </x:c>
      <x:c r="AL37" s="137" t="str">
        <x:f>IF(AND(AL$4&gt;=$C37,AL$4&lt;=$D37,'Вводные'!$B$91="Да"),"■","")</x:f>
      </x:c>
      <x:c r="AM37" s="137" t="str">
        <x:f>IF(AND(AM$4&gt;=$C37,AM$4&lt;=$D37,'Вводные'!$B$91="Да"),"■","")</x:f>
      </x:c>
      <x:c r="AN37" s="137" t="str">
        <x:f>IF(AND(AN$4&gt;=$C37,AN$4&lt;=$D37,'Вводные'!$B$91="Да"),"■","")</x:f>
      </x:c>
      <x:c r="AO37" s="137" t="str">
        <x:f>IF(AND(AO$4&gt;=$C37,AO$4&lt;=$D37,'Вводные'!$B$91="Да"),"■","")</x:f>
      </x:c>
      <x:c r="AP37" s="137" t="str">
        <x:f>IF(AND(AP$4&gt;=$C37,AP$4&lt;=$D37,'Вводные'!$B$91="Да"),"■","")</x:f>
      </x:c>
      <x:c r="AQ37" s="137" t="str">
        <x:f>IF(AND(AQ$4&gt;=$C37,AQ$4&lt;=$D37,'Вводные'!$B$91="Да"),"■","")</x:f>
      </x:c>
      <x:c r="AR37" s="137" t="str">
        <x:f>IF(AND(AR$4&gt;=$C37,AR$4&lt;=$D37,'Вводные'!$B$91="Да"),"■","")</x:f>
      </x:c>
      <x:c r="AS37" s="137" t="str">
        <x:f>IF(AND(AS$4&gt;=$C37,AS$4&lt;=$D37,'Вводные'!$B$91="Да"),"■","")</x:f>
      </x:c>
      <x:c r="AT37" s="137" t="str">
        <x:f>IF(AND(AT$4&gt;=$C37,AT$4&lt;=$D37,'Вводные'!$B$91="Да"),"■","")</x:f>
      </x:c>
      <x:c r="AU37" s="137" t="str">
        <x:f>IF(AND(AU$4&gt;=$C37,AU$4&lt;=$D37,'Вводные'!$B$91="Да"),"■","")</x:f>
      </x:c>
      <x:c r="AV37" s="137" t="str">
        <x:f>IF(AND(AV$4&gt;=$C37,AV$4&lt;=$D37,'Вводные'!$B$91="Да"),"■","")</x:f>
      </x:c>
      <x:c r="AW37" s="137" t="str">
        <x:f>IF(AND(AW$4&gt;=$C37,AW$4&lt;=$D37,'Вводные'!$B$91="Да"),"■","")</x:f>
      </x:c>
      <x:c r="AX37" s="137" t="str">
        <x:f>IF(AND(AX$4&gt;=$C37,AX$4&lt;=$D37,'Вводные'!$B$91="Да"),"■","")</x:f>
      </x:c>
      <x:c r="AY37" s="137" t="str">
        <x:f>IF(AND(AY$4&gt;=$C37,AY$4&lt;=$D37,'Вводные'!$B$91="Да"),"■","")</x:f>
      </x:c>
      <x:c r="AZ37" s="137" t="str">
        <x:f>IF(AND(AZ$4&gt;=$C37,AZ$4&lt;=$D37,'Вводные'!$B$91="Да"),"■","")</x:f>
      </x:c>
      <x:c r="BA37" s="137" t="str">
        <x:f>IF(AND(BA$4&gt;=$C37,BA$4&lt;=$D37,'Вводные'!$B$91="Да"),"■","")</x:f>
      </x:c>
      <x:c r="BB37" s="137" t="str">
        <x:f>IF(AND(BB$4&gt;=$C37,BB$4&lt;=$D37,'Вводные'!$B$91="Да"),"■","")</x:f>
      </x:c>
      <x:c r="BC37" s="137" t="str">
        <x:f>IF(AND(BC$4&gt;=$C37,BC$4&lt;=$D37,'Вводные'!$B$91="Да"),"■","")</x:f>
      </x:c>
      <x:c r="BD37" s="137" t="str">
        <x:f>IF(AND(BD$4&gt;=$C37,BD$4&lt;=$D37,'Вводные'!$B$91="Да"),"■","")</x:f>
      </x:c>
      <x:c r="BE37" s="137" t="str">
        <x:f>IF(AND(BE$4&gt;=$C37,BE$4&lt;=$D37,'Вводные'!$B$91="Да"),"■","")</x:f>
      </x:c>
      <x:c r="BF37" s="137" t="str">
        <x:f>IF(AND(BF$4&gt;=$C37,BF$4&lt;=$D37,'Вводные'!$B$91="Да"),"■","")</x:f>
      </x:c>
      <x:c r="BG37" s="137" t="str">
        <x:f>IF(AND(BG$4&gt;=$C37,BG$4&lt;=$D37,'Вводные'!$B$91="Да"),"■","")</x:f>
      </x:c>
      <x:c r="BH37" s="137" t="str">
        <x:f>IF(AND(BH$4&gt;=$C37,BH$4&lt;=$D37,'Вводные'!$B$91="Да"),"■","")</x:f>
      </x:c>
      <x:c r="BI37" s="137" t="str">
        <x:f>IF(AND(BI$4&gt;=$C37,BI$4&lt;=$D37,'Вводные'!$B$91="Да"),"■","")</x:f>
      </x:c>
      <x:c r="BJ37" s="137" t="str">
        <x:f>IF(AND(BJ$4&gt;=$C37,BJ$4&lt;=$D37,'Вводные'!$B$91="Да"),"■","")</x:f>
      </x:c>
      <x:c r="BK37" s="137" t="str">
        <x:f>IF(AND(BK$4&gt;=$C37,BK$4&lt;=$D37,'Вводные'!$B$91="Да"),"■","")</x:f>
      </x:c>
      <x:c r="BL37" s="137" t="str">
        <x:f>IF(AND(BL$4&gt;=$C37,BL$4&lt;=$D37,'Вводные'!$B$91="Да"),"■","")</x:f>
      </x:c>
      <x:c r="BM37" s="137" t="str">
        <x:f>IF(AND(BM$4&gt;=$C37,BM$4&lt;=$D37,'Вводные'!$B$91="Да"),"■","")</x:f>
      </x:c>
      <x:c r="BN37" s="137" t="str">
        <x:f>IF(AND(BN$4&gt;=$C37,BN$4&lt;=$D37,'Вводные'!$B$91="Да"),"■","")</x:f>
      </x:c>
      <x:c r="BO37" s="137" t="str">
        <x:f>IF(AND(BO$4&gt;=$C37,BO$4&lt;=$D37,'Вводные'!$B$91="Да"),"■","")</x:f>
      </x:c>
      <x:c r="BP37" s="137" t="str">
        <x:f>IF(AND(BP$4&gt;=$C37,BP$4&lt;=$D37,'Вводные'!$B$91="Да"),"■","")</x:f>
      </x:c>
      <x:c r="BQ37" s="137" t="str">
        <x:f>IF(AND(BQ$4&gt;=$C37,BQ$4&lt;=$D37,'Вводные'!$B$91="Да"),"■","")</x:f>
      </x:c>
      <x:c r="BR37" s="137" t="str">
        <x:f>IF(AND(BR$4&gt;=$C37,BR$4&lt;=$D37,'Вводные'!$B$91="Да"),"■","")</x:f>
      </x:c>
      <x:c r="BS37" s="137" t="str">
        <x:f>IF(AND(BS$4&gt;=$C37,BS$4&lt;=$D37,'Вводные'!$B$91="Да"),"■","")</x:f>
      </x:c>
      <x:c r="BT37" s="137" t="str">
        <x:f>IF(AND(BT$4&gt;=$C37,BT$4&lt;=$D37,'Вводные'!$B$91="Да"),"■","")</x:f>
      </x:c>
      <x:c r="BU37" s="137" t="str">
        <x:f>IF(AND(BU$4&gt;=$C37,BU$4&lt;=$D37,'Вводные'!$B$91="Да"),"■","")</x:f>
      </x:c>
      <x:c r="BV37" s="137" t="str">
        <x:f>IF(AND(BV$4&gt;=$C37,BV$4&lt;=$D37,'Вводные'!$B$91="Да"),"■","")</x:f>
      </x:c>
      <x:c r="BW37" s="137" t="str">
        <x:f>IF(AND(BW$4&gt;=$C37,BW$4&lt;=$D37,'Вводные'!$B$91="Да"),"■","")</x:f>
      </x:c>
      <x:c r="BX37" s="137" t="str">
        <x:f>IF(AND(BX$4&gt;=$C37,BX$4&lt;=$D37,'Вводные'!$B$91="Да"),"■","")</x:f>
      </x:c>
      <x:c r="BY37" s="137" t="str">
        <x:f>IF(AND(BY$4&gt;=$C37,BY$4&lt;=$D37,'Вводные'!$B$91="Да"),"■","")</x:f>
      </x:c>
      <x:c r="BZ37" s="137" t="str">
        <x:f>IF(AND(BZ$4&gt;=$C37,BZ$4&lt;=$D37,'Вводные'!$B$91="Да"),"■","")</x:f>
      </x:c>
      <x:c r="CA37" s="137" t="str">
        <x:f>IF(AND(CA$4&gt;=$C37,CA$4&lt;=$D37,'Вводные'!$B$91="Да"),"■","")</x:f>
      </x:c>
      <x:c r="CB37" s="137" t="str">
        <x:f>IF(AND(CB$4&gt;=$C37,CB$4&lt;=$D37,'Вводные'!$B$91="Да"),"■","")</x:f>
      </x:c>
      <x:c r="CC37" s="137" t="str">
        <x:f>IF(AND(CC$4&gt;=$C37,CC$4&lt;=$D37,'Вводные'!$B$91="Да"),"■","")</x:f>
      </x:c>
      <x:c r="CD37" s="137" t="str">
        <x:f>IF(AND(CD$4&gt;=$C37,CD$4&lt;=$D37,'Вводные'!$B$91="Да"),"■","")</x:f>
      </x:c>
      <x:c r="CE37" s="137" t="str">
        <x:f>IF(AND(CE$4&gt;=$C37,CE$4&lt;=$D37,'Вводные'!$B$91="Да"),"■","")</x:f>
      </x:c>
      <x:c r="CF37" s="137" t="str">
        <x:f>IF(AND(CF$4&gt;=$C37,CF$4&lt;=$D37,'Вводные'!$B$91="Да"),"■","")</x:f>
      </x:c>
      <x:c r="CG37" s="137" t="str">
        <x:f>IF(AND(CG$4&gt;=$C37,CG$4&lt;=$D37,'Вводные'!$B$91="Да"),"■","")</x:f>
      </x:c>
      <x:c r="CH37" s="137" t="str">
        <x:f>IF(AND(CH$4&gt;=$C37,CH$4&lt;=$D37,'Вводные'!$B$91="Да"),"■","")</x:f>
      </x:c>
      <x:c r="CI37" s="137" t="str">
        <x:f>IF(AND(CI$4&gt;=$C37,CI$4&lt;=$D37,'Вводные'!$B$91="Да"),"■","")</x:f>
      </x:c>
      <x:c r="CJ37" s="137" t="str">
        <x:f>IF(AND(CJ$4&gt;=$C37,CJ$4&lt;=$D37,'Вводные'!$B$91="Да"),"■","")</x:f>
      </x:c>
      <x:c r="CK37" s="137" t="str">
        <x:f>IF(AND(CK$4&gt;=$C37,CK$4&lt;=$D37,'Вводные'!$B$91="Да"),"■","")</x:f>
      </x:c>
      <x:c r="CL37" s="137" t="str">
        <x:f>IF(AND(CL$4&gt;=$C37,CL$4&lt;=$D37,'Вводные'!$B$91="Да"),"■","")</x:f>
      </x:c>
      <x:c r="CM37" s="137" t="str">
        <x:f>IF(AND(CM$4&gt;=$C37,CM$4&lt;=$D37,'Вводные'!$B$91="Да"),"■","")</x:f>
      </x:c>
      <x:c r="CN37" s="137" t="str">
        <x:f>IF(AND(CN$4&gt;=$C37,CN$4&lt;=$D37,'Вводные'!$B$91="Да"),"■","")</x:f>
      </x:c>
      <x:c r="CO37" s="137" t="str">
        <x:f>IF(AND(CO$4&gt;=$C37,CO$4&lt;=$D37,'Вводные'!$B$91="Да"),"■","")</x:f>
      </x:c>
      <x:c r="CP37" s="137" t="str">
        <x:f>IF(AND(CP$4&gt;=$C37,CP$4&lt;=$D37,'Вводные'!$B$91="Да"),"■","")</x:f>
      </x:c>
      <x:c r="CQ37" s="137" t="str">
        <x:f>IF(AND(CQ$4&gt;=$C37,CQ$4&lt;=$D37,'Вводные'!$B$91="Да"),"■","")</x:f>
      </x:c>
      <x:c r="CR37" s="137" t="str">
        <x:f>IF(AND(CR$4&gt;=$C37,CR$4&lt;=$D37,'Вводные'!$B$91="Да"),"■","")</x:f>
      </x:c>
      <x:c r="CS37" s="137" t="str">
        <x:f>IF(AND(CS$4&gt;=$C37,CS$4&lt;=$D37,'Вводные'!$B$91="Да"),"■","")</x:f>
      </x:c>
      <x:c r="CT37" s="137" t="str">
        <x:f>IF(AND(CT$4&gt;=$C37,CT$4&lt;=$D37,'Вводные'!$B$91="Да"),"■","")</x:f>
      </x:c>
      <x:c r="CU37" s="137" t="str">
        <x:f>IF(AND(CU$4&gt;=$C37,CU$4&lt;=$D37,'Вводные'!$B$91="Да"),"■","")</x:f>
      </x:c>
      <x:c r="CV37" s="137" t="str">
        <x:f>IF(AND(CV$4&gt;=$C37,CV$4&lt;=$D37,'Вводные'!$B$91="Да"),"■","")</x:f>
      </x:c>
      <x:c r="CW37" s="137" t="str">
        <x:f>IF(AND(CW$4&gt;=$C37,CW$4&lt;=$D37,'Вводные'!$B$91="Да"),"■","")</x:f>
      </x:c>
      <x:c r="CX37" s="137" t="str">
        <x:f>IF(AND(CX$4&gt;=$C37,CX$4&lt;=$D37,'Вводные'!$B$91="Да"),"■","")</x:f>
      </x:c>
      <x:c r="CY37" s="137" t="str">
        <x:f>IF(AND(CY$4&gt;=$C37,CY$4&lt;=$D37,'Вводные'!$B$91="Да"),"■","")</x:f>
      </x:c>
      <x:c r="CZ37" s="137" t="str">
        <x:f>IF(AND(CZ$4&gt;=$C37,CZ$4&lt;=$D37,'Вводные'!$B$91="Да"),"■","")</x:f>
      </x:c>
      <x:c r="DA37" s="137" t="str">
        <x:f>IF(AND(DA$4&gt;=$C37,DA$4&lt;=$D37,'Вводные'!$B$91="Да"),"■","")</x:f>
      </x:c>
      <x:c r="DB37" s="137" t="str">
        <x:f>IF(AND(DB$4&gt;=$C37,DB$4&lt;=$D37,'Вводные'!$B$91="Да"),"■","")</x:f>
      </x:c>
      <x:c r="DC37" s="137" t="str">
        <x:f>IF(AND(DC$4&gt;=$C37,DC$4&lt;=$D37,'Вводные'!$B$91="Да"),"■","")</x:f>
      </x:c>
      <x:c r="DD37" s="137" t="str">
        <x:f>IF(AND(DD$4&gt;=$C37,DD$4&lt;=$D37,'Вводные'!$B$91="Да"),"■","")</x:f>
      </x:c>
      <x:c r="DE37" s="137" t="str">
        <x:f>IF(AND(DE$4&gt;=$C37,DE$4&lt;=$D37,'Вводные'!$B$91="Да"),"■","")</x:f>
      </x:c>
      <x:c r="DF37" s="137" t="str">
        <x:f>IF(AND(DF$4&gt;=$C37,DF$4&lt;=$D37,'Вводные'!$B$91="Да"),"■","")</x:f>
      </x:c>
      <x:c r="DG37" s="137" t="str">
        <x:f>IF(AND(DG$4&gt;=$C37,DG$4&lt;=$D37,'Вводные'!$B$91="Да"),"■","")</x:f>
      </x:c>
      <x:c r="DH37" s="137" t="str">
        <x:f>IF(AND(DH$4&gt;=$C37,DH$4&lt;=$D37,'Вводные'!$B$91="Да"),"■","")</x:f>
      </x:c>
      <x:c r="DI37" s="137" t="str">
        <x:f>IF(AND(DI$4&gt;=$C37,DI$4&lt;=$D37,'Вводные'!$B$91="Да"),"■","")</x:f>
      </x:c>
      <x:c r="DJ37" s="137" t="str">
        <x:f>IF(AND(DJ$4&gt;=$C37,DJ$4&lt;=$D37,'Вводные'!$B$91="Да"),"■","")</x:f>
      </x:c>
      <x:c r="DK37" s="137" t="str">
        <x:f>IF(AND(DK$4&gt;=$C37,DK$4&lt;=$D37,'Вводные'!$B$91="Да"),"■","")</x:f>
      </x:c>
      <x:c r="DL37" s="137" t="str">
        <x:f>IF(AND(DL$4&gt;=$C37,DL$4&lt;=$D37,'Вводные'!$B$91="Да"),"■","")</x:f>
      </x:c>
      <x:c r="DM37" s="137" t="str">
        <x:f>IF(AND(DM$4&gt;=$C37,DM$4&lt;=$D37,'Вводные'!$B$91="Да"),"■","")</x:f>
      </x:c>
      <x:c r="DN37" s="137" t="str">
        <x:f>IF(AND(DN$4&gt;=$C37,DN$4&lt;=$D37,'Вводные'!$B$91="Да"),"■","")</x:f>
      </x:c>
      <x:c r="DO37" s="137" t="str">
        <x:f>IF(AND(DO$4&gt;=$C37,DO$4&lt;=$D37,'Вводные'!$B$91="Да"),"■","")</x:f>
      </x:c>
      <x:c r="DP37" s="137" t="str">
        <x:f>IF(AND(DP$4&gt;=$C37,DP$4&lt;=$D37,'Вводные'!$B$91="Да"),"■","")</x:f>
      </x:c>
      <x:c r="DQ37" s="137" t="str">
        <x:f>IF(AND(DQ$4&gt;=$C37,DQ$4&lt;=$D37,'Вводные'!$B$91="Да"),"■","")</x:f>
      </x:c>
      <x:c r="DR37" s="137" t="str">
        <x:f>IF(AND(DR$4&gt;=$C37,DR$4&lt;=$D37,'Вводные'!$B$91="Да"),"■","")</x:f>
      </x:c>
      <x:c r="DS37" s="137" t="str">
        <x:f>IF(AND(DS$4&gt;=$C37,DS$4&lt;=$D37,'Вводные'!$B$91="Да"),"■","")</x:f>
      </x:c>
      <x:c r="DT37" s="137" t="str">
        <x:f>IF(AND(DT$4&gt;=$C37,DT$4&lt;=$D37,'Вводные'!$B$91="Да"),"■","")</x:f>
      </x:c>
    </x:row>
    <x:row r="38">
      <x:c r="A38" t="str">
        <x:f>'Вводные'!$C$91</x:f>
      </x:c>
      <x:c r="B38" t="str">
        <x:v>РнС / открытие ПФ</x:v>
      </x:c>
      <x:c r="C38" s="92" t="n">
        <x:f>'CF_4'!B7</x:f>
      </x:c>
      <x:c r="D38" s="92" t="n">
        <x:f>C38</x:f>
      </x:c>
      <x:c r="E38" s="135" t="str">
        <x:f>IF(AND(E$4&gt;=$C38,E$4&lt;=$D38,'Вводные'!$B$91="Да"),"■","")</x:f>
      </x:c>
      <x:c r="F38" s="135" t="str">
        <x:f>IF(AND(F$4&gt;=$C38,F$4&lt;=$D38,'Вводные'!$B$91="Да"),"■","")</x:f>
      </x:c>
      <x:c r="G38" s="135" t="str">
        <x:f>IF(AND(G$4&gt;=$C38,G$4&lt;=$D38,'Вводные'!$B$91="Да"),"■","")</x:f>
      </x:c>
      <x:c r="H38" s="135" t="str">
        <x:f>IF(AND(H$4&gt;=$C38,H$4&lt;=$D38,'Вводные'!$B$91="Да"),"■","")</x:f>
      </x:c>
      <x:c r="I38" s="135" t="str">
        <x:f>IF(AND(I$4&gt;=$C38,I$4&lt;=$D38,'Вводные'!$B$91="Да"),"■","")</x:f>
      </x:c>
      <x:c r="J38" s="135" t="str">
        <x:f>IF(AND(J$4&gt;=$C38,J$4&lt;=$D38,'Вводные'!$B$91="Да"),"■","")</x:f>
      </x:c>
      <x:c r="K38" s="135" t="str">
        <x:f>IF(AND(K$4&gt;=$C38,K$4&lt;=$D38,'Вводные'!$B$91="Да"),"■","")</x:f>
      </x:c>
      <x:c r="L38" s="135" t="str">
        <x:f>IF(AND(L$4&gt;=$C38,L$4&lt;=$D38,'Вводные'!$B$91="Да"),"■","")</x:f>
      </x:c>
      <x:c r="M38" s="135" t="str">
        <x:f>IF(AND(M$4&gt;=$C38,M$4&lt;=$D38,'Вводные'!$B$91="Да"),"■","")</x:f>
      </x:c>
      <x:c r="N38" s="135" t="str">
        <x:f>IF(AND(N$4&gt;=$C38,N$4&lt;=$D38,'Вводные'!$B$91="Да"),"■","")</x:f>
      </x:c>
      <x:c r="O38" s="135" t="str">
        <x:f>IF(AND(O$4&gt;=$C38,O$4&lt;=$D38,'Вводные'!$B$91="Да"),"■","")</x:f>
      </x:c>
      <x:c r="P38" s="135" t="str">
        <x:f>IF(AND(P$4&gt;=$C38,P$4&lt;=$D38,'Вводные'!$B$91="Да"),"■","")</x:f>
      </x:c>
      <x:c r="Q38" s="135" t="str">
        <x:f>IF(AND(Q$4&gt;=$C38,Q$4&lt;=$D38,'Вводные'!$B$91="Да"),"■","")</x:f>
      </x:c>
      <x:c r="R38" s="135" t="str">
        <x:f>IF(AND(R$4&gt;=$C38,R$4&lt;=$D38,'Вводные'!$B$91="Да"),"■","")</x:f>
      </x:c>
      <x:c r="S38" s="135" t="str">
        <x:f>IF(AND(S$4&gt;=$C38,S$4&lt;=$D38,'Вводные'!$B$91="Да"),"■","")</x:f>
      </x:c>
      <x:c r="T38" s="135" t="str">
        <x:f>IF(AND(T$4&gt;=$C38,T$4&lt;=$D38,'Вводные'!$B$91="Да"),"■","")</x:f>
      </x:c>
      <x:c r="U38" s="135" t="str">
        <x:f>IF(AND(U$4&gt;=$C38,U$4&lt;=$D38,'Вводные'!$B$91="Да"),"■","")</x:f>
      </x:c>
      <x:c r="V38" s="135" t="str">
        <x:f>IF(AND(V$4&gt;=$C38,V$4&lt;=$D38,'Вводные'!$B$91="Да"),"■","")</x:f>
      </x:c>
      <x:c r="W38" s="135" t="str">
        <x:f>IF(AND(W$4&gt;=$C38,W$4&lt;=$D38,'Вводные'!$B$91="Да"),"■","")</x:f>
      </x:c>
      <x:c r="X38" s="135" t="str">
        <x:f>IF(AND(X$4&gt;=$C38,X$4&lt;=$D38,'Вводные'!$B$91="Да"),"■","")</x:f>
      </x:c>
      <x:c r="Y38" s="135" t="str">
        <x:f>IF(AND(Y$4&gt;=$C38,Y$4&lt;=$D38,'Вводные'!$B$91="Да"),"■","")</x:f>
      </x:c>
      <x:c r="Z38" s="135" t="str">
        <x:f>IF(AND(Z$4&gt;=$C38,Z$4&lt;=$D38,'Вводные'!$B$91="Да"),"■","")</x:f>
      </x:c>
      <x:c r="AA38" s="135" t="str">
        <x:f>IF(AND(AA$4&gt;=$C38,AA$4&lt;=$D38,'Вводные'!$B$91="Да"),"■","")</x:f>
      </x:c>
      <x:c r="AB38" s="135" t="str">
        <x:f>IF(AND(AB$4&gt;=$C38,AB$4&lt;=$D38,'Вводные'!$B$91="Да"),"■","")</x:f>
      </x:c>
      <x:c r="AC38" s="135" t="str">
        <x:f>IF(AND(AC$4&gt;=$C38,AC$4&lt;=$D38,'Вводные'!$B$91="Да"),"■","")</x:f>
      </x:c>
      <x:c r="AD38" s="135" t="str">
        <x:f>IF(AND(AD$4&gt;=$C38,AD$4&lt;=$D38,'Вводные'!$B$91="Да"),"■","")</x:f>
      </x:c>
      <x:c r="AE38" s="135" t="str">
        <x:f>IF(AND(AE$4&gt;=$C38,AE$4&lt;=$D38,'Вводные'!$B$91="Да"),"■","")</x:f>
      </x:c>
      <x:c r="AF38" s="135" t="str">
        <x:f>IF(AND(AF$4&gt;=$C38,AF$4&lt;=$D38,'Вводные'!$B$91="Да"),"■","")</x:f>
      </x:c>
      <x:c r="AG38" s="135" t="str">
        <x:f>IF(AND(AG$4&gt;=$C38,AG$4&lt;=$D38,'Вводные'!$B$91="Да"),"■","")</x:f>
      </x:c>
      <x:c r="AH38" s="135" t="str">
        <x:f>IF(AND(AH$4&gt;=$C38,AH$4&lt;=$D38,'Вводные'!$B$91="Да"),"■","")</x:f>
      </x:c>
      <x:c r="AI38" s="135" t="str">
        <x:f>IF(AND(AI$4&gt;=$C38,AI$4&lt;=$D38,'Вводные'!$B$91="Да"),"■","")</x:f>
      </x:c>
      <x:c r="AJ38" s="135" t="str">
        <x:f>IF(AND(AJ$4&gt;=$C38,AJ$4&lt;=$D38,'Вводные'!$B$91="Да"),"■","")</x:f>
      </x:c>
      <x:c r="AK38" s="135" t="str">
        <x:f>IF(AND(AK$4&gt;=$C38,AK$4&lt;=$D38,'Вводные'!$B$91="Да"),"■","")</x:f>
      </x:c>
      <x:c r="AL38" s="135" t="str">
        <x:f>IF(AND(AL$4&gt;=$C38,AL$4&lt;=$D38,'Вводные'!$B$91="Да"),"■","")</x:f>
      </x:c>
      <x:c r="AM38" s="135" t="str">
        <x:f>IF(AND(AM$4&gt;=$C38,AM$4&lt;=$D38,'Вводные'!$B$91="Да"),"■","")</x:f>
      </x:c>
      <x:c r="AN38" s="135" t="str">
        <x:f>IF(AND(AN$4&gt;=$C38,AN$4&lt;=$D38,'Вводные'!$B$91="Да"),"■","")</x:f>
      </x:c>
      <x:c r="AO38" s="135" t="str">
        <x:f>IF(AND(AO$4&gt;=$C38,AO$4&lt;=$D38,'Вводные'!$B$91="Да"),"■","")</x:f>
      </x:c>
      <x:c r="AP38" s="135" t="str">
        <x:f>IF(AND(AP$4&gt;=$C38,AP$4&lt;=$D38,'Вводные'!$B$91="Да"),"■","")</x:f>
      </x:c>
      <x:c r="AQ38" s="135" t="str">
        <x:f>IF(AND(AQ$4&gt;=$C38,AQ$4&lt;=$D38,'Вводные'!$B$91="Да"),"■","")</x:f>
      </x:c>
      <x:c r="AR38" s="135" t="str">
        <x:f>IF(AND(AR$4&gt;=$C38,AR$4&lt;=$D38,'Вводные'!$B$91="Да"),"■","")</x:f>
      </x:c>
      <x:c r="AS38" s="135" t="str">
        <x:f>IF(AND(AS$4&gt;=$C38,AS$4&lt;=$D38,'Вводные'!$B$91="Да"),"■","")</x:f>
      </x:c>
      <x:c r="AT38" s="135" t="str">
        <x:f>IF(AND(AT$4&gt;=$C38,AT$4&lt;=$D38,'Вводные'!$B$91="Да"),"■","")</x:f>
      </x:c>
      <x:c r="AU38" s="135" t="str">
        <x:f>IF(AND(AU$4&gt;=$C38,AU$4&lt;=$D38,'Вводные'!$B$91="Да"),"■","")</x:f>
      </x:c>
      <x:c r="AV38" s="135" t="str">
        <x:f>IF(AND(AV$4&gt;=$C38,AV$4&lt;=$D38,'Вводные'!$B$91="Да"),"■","")</x:f>
      </x:c>
      <x:c r="AW38" s="135" t="str">
        <x:f>IF(AND(AW$4&gt;=$C38,AW$4&lt;=$D38,'Вводные'!$B$91="Да"),"■","")</x:f>
      </x:c>
      <x:c r="AX38" s="135" t="str">
        <x:f>IF(AND(AX$4&gt;=$C38,AX$4&lt;=$D38,'Вводные'!$B$91="Да"),"■","")</x:f>
      </x:c>
      <x:c r="AY38" s="135" t="str">
        <x:f>IF(AND(AY$4&gt;=$C38,AY$4&lt;=$D38,'Вводные'!$B$91="Да"),"■","")</x:f>
      </x:c>
      <x:c r="AZ38" s="135" t="str">
        <x:f>IF(AND(AZ$4&gt;=$C38,AZ$4&lt;=$D38,'Вводные'!$B$91="Да"),"■","")</x:f>
      </x:c>
      <x:c r="BA38" s="135" t="str">
        <x:f>IF(AND(BA$4&gt;=$C38,BA$4&lt;=$D38,'Вводные'!$B$91="Да"),"■","")</x:f>
      </x:c>
      <x:c r="BB38" s="135" t="str">
        <x:f>IF(AND(BB$4&gt;=$C38,BB$4&lt;=$D38,'Вводные'!$B$91="Да"),"■","")</x:f>
      </x:c>
      <x:c r="BC38" s="135" t="str">
        <x:f>IF(AND(BC$4&gt;=$C38,BC$4&lt;=$D38,'Вводные'!$B$91="Да"),"■","")</x:f>
      </x:c>
      <x:c r="BD38" s="135" t="str">
        <x:f>IF(AND(BD$4&gt;=$C38,BD$4&lt;=$D38,'Вводные'!$B$91="Да"),"■","")</x:f>
      </x:c>
      <x:c r="BE38" s="135" t="str">
        <x:f>IF(AND(BE$4&gt;=$C38,BE$4&lt;=$D38,'Вводные'!$B$91="Да"),"■","")</x:f>
      </x:c>
      <x:c r="BF38" s="135" t="str">
        <x:f>IF(AND(BF$4&gt;=$C38,BF$4&lt;=$D38,'Вводные'!$B$91="Да"),"■","")</x:f>
      </x:c>
      <x:c r="BG38" s="135" t="str">
        <x:f>IF(AND(BG$4&gt;=$C38,BG$4&lt;=$D38,'Вводные'!$B$91="Да"),"■","")</x:f>
      </x:c>
      <x:c r="BH38" s="135" t="str">
        <x:f>IF(AND(BH$4&gt;=$C38,BH$4&lt;=$D38,'Вводные'!$B$91="Да"),"■","")</x:f>
      </x:c>
      <x:c r="BI38" s="135" t="str">
        <x:f>IF(AND(BI$4&gt;=$C38,BI$4&lt;=$D38,'Вводные'!$B$91="Да"),"■","")</x:f>
      </x:c>
      <x:c r="BJ38" s="135" t="str">
        <x:f>IF(AND(BJ$4&gt;=$C38,BJ$4&lt;=$D38,'Вводные'!$B$91="Да"),"■","")</x:f>
      </x:c>
      <x:c r="BK38" s="135" t="str">
        <x:f>IF(AND(BK$4&gt;=$C38,BK$4&lt;=$D38,'Вводные'!$B$91="Да"),"■","")</x:f>
      </x:c>
      <x:c r="BL38" s="135" t="str">
        <x:f>IF(AND(BL$4&gt;=$C38,BL$4&lt;=$D38,'Вводные'!$B$91="Да"),"■","")</x:f>
      </x:c>
      <x:c r="BM38" s="135" t="str">
        <x:f>IF(AND(BM$4&gt;=$C38,BM$4&lt;=$D38,'Вводные'!$B$91="Да"),"■","")</x:f>
      </x:c>
      <x:c r="BN38" s="135" t="str">
        <x:f>IF(AND(BN$4&gt;=$C38,BN$4&lt;=$D38,'Вводные'!$B$91="Да"),"■","")</x:f>
      </x:c>
      <x:c r="BO38" s="135" t="str">
        <x:f>IF(AND(BO$4&gt;=$C38,BO$4&lt;=$D38,'Вводные'!$B$91="Да"),"■","")</x:f>
      </x:c>
      <x:c r="BP38" s="135" t="str">
        <x:f>IF(AND(BP$4&gt;=$C38,BP$4&lt;=$D38,'Вводные'!$B$91="Да"),"■","")</x:f>
      </x:c>
      <x:c r="BQ38" s="135" t="str">
        <x:f>IF(AND(BQ$4&gt;=$C38,BQ$4&lt;=$D38,'Вводные'!$B$91="Да"),"■","")</x:f>
      </x:c>
      <x:c r="BR38" s="135" t="str">
        <x:f>IF(AND(BR$4&gt;=$C38,BR$4&lt;=$D38,'Вводные'!$B$91="Да"),"■","")</x:f>
      </x:c>
      <x:c r="BS38" s="135" t="str">
        <x:f>IF(AND(BS$4&gt;=$C38,BS$4&lt;=$D38,'Вводные'!$B$91="Да"),"■","")</x:f>
      </x:c>
      <x:c r="BT38" s="135" t="str">
        <x:f>IF(AND(BT$4&gt;=$C38,BT$4&lt;=$D38,'Вводные'!$B$91="Да"),"■","")</x:f>
      </x:c>
      <x:c r="BU38" s="135" t="str">
        <x:f>IF(AND(BU$4&gt;=$C38,BU$4&lt;=$D38,'Вводные'!$B$91="Да"),"■","")</x:f>
      </x:c>
      <x:c r="BV38" s="135" t="str">
        <x:f>IF(AND(BV$4&gt;=$C38,BV$4&lt;=$D38,'Вводные'!$B$91="Да"),"■","")</x:f>
      </x:c>
      <x:c r="BW38" s="135" t="str">
        <x:f>IF(AND(BW$4&gt;=$C38,BW$4&lt;=$D38,'Вводные'!$B$91="Да"),"■","")</x:f>
      </x:c>
      <x:c r="BX38" s="135" t="str">
        <x:f>IF(AND(BX$4&gt;=$C38,BX$4&lt;=$D38,'Вводные'!$B$91="Да"),"■","")</x:f>
      </x:c>
      <x:c r="BY38" s="135" t="str">
        <x:f>IF(AND(BY$4&gt;=$C38,BY$4&lt;=$D38,'Вводные'!$B$91="Да"),"■","")</x:f>
      </x:c>
      <x:c r="BZ38" s="135" t="str">
        <x:f>IF(AND(BZ$4&gt;=$C38,BZ$4&lt;=$D38,'Вводные'!$B$91="Да"),"■","")</x:f>
      </x:c>
      <x:c r="CA38" s="135" t="str">
        <x:f>IF(AND(CA$4&gt;=$C38,CA$4&lt;=$D38,'Вводные'!$B$91="Да"),"■","")</x:f>
      </x:c>
      <x:c r="CB38" s="135" t="str">
        <x:f>IF(AND(CB$4&gt;=$C38,CB$4&lt;=$D38,'Вводные'!$B$91="Да"),"■","")</x:f>
      </x:c>
      <x:c r="CC38" s="135" t="str">
        <x:f>IF(AND(CC$4&gt;=$C38,CC$4&lt;=$D38,'Вводные'!$B$91="Да"),"■","")</x:f>
      </x:c>
      <x:c r="CD38" s="135" t="str">
        <x:f>IF(AND(CD$4&gt;=$C38,CD$4&lt;=$D38,'Вводные'!$B$91="Да"),"■","")</x:f>
      </x:c>
      <x:c r="CE38" s="135" t="str">
        <x:f>IF(AND(CE$4&gt;=$C38,CE$4&lt;=$D38,'Вводные'!$B$91="Да"),"■","")</x:f>
      </x:c>
      <x:c r="CF38" s="135" t="str">
        <x:f>IF(AND(CF$4&gt;=$C38,CF$4&lt;=$D38,'Вводные'!$B$91="Да"),"■","")</x:f>
      </x:c>
      <x:c r="CG38" s="135" t="str">
        <x:f>IF(AND(CG$4&gt;=$C38,CG$4&lt;=$D38,'Вводные'!$B$91="Да"),"■","")</x:f>
      </x:c>
      <x:c r="CH38" s="135" t="str">
        <x:f>IF(AND(CH$4&gt;=$C38,CH$4&lt;=$D38,'Вводные'!$B$91="Да"),"■","")</x:f>
      </x:c>
      <x:c r="CI38" s="135" t="str">
        <x:f>IF(AND(CI$4&gt;=$C38,CI$4&lt;=$D38,'Вводные'!$B$91="Да"),"■","")</x:f>
      </x:c>
      <x:c r="CJ38" s="135" t="str">
        <x:f>IF(AND(CJ$4&gt;=$C38,CJ$4&lt;=$D38,'Вводные'!$B$91="Да"),"■","")</x:f>
      </x:c>
      <x:c r="CK38" s="135" t="str">
        <x:f>IF(AND(CK$4&gt;=$C38,CK$4&lt;=$D38,'Вводные'!$B$91="Да"),"■","")</x:f>
      </x:c>
      <x:c r="CL38" s="135" t="str">
        <x:f>IF(AND(CL$4&gt;=$C38,CL$4&lt;=$D38,'Вводные'!$B$91="Да"),"■","")</x:f>
      </x:c>
      <x:c r="CM38" s="135" t="str">
        <x:f>IF(AND(CM$4&gt;=$C38,CM$4&lt;=$D38,'Вводные'!$B$91="Да"),"■","")</x:f>
      </x:c>
      <x:c r="CN38" s="135" t="str">
        <x:f>IF(AND(CN$4&gt;=$C38,CN$4&lt;=$D38,'Вводные'!$B$91="Да"),"■","")</x:f>
      </x:c>
      <x:c r="CO38" s="135" t="str">
        <x:f>IF(AND(CO$4&gt;=$C38,CO$4&lt;=$D38,'Вводные'!$B$91="Да"),"■","")</x:f>
      </x:c>
      <x:c r="CP38" s="135" t="str">
        <x:f>IF(AND(CP$4&gt;=$C38,CP$4&lt;=$D38,'Вводные'!$B$91="Да"),"■","")</x:f>
      </x:c>
      <x:c r="CQ38" s="135" t="str">
        <x:f>IF(AND(CQ$4&gt;=$C38,CQ$4&lt;=$D38,'Вводные'!$B$91="Да"),"■","")</x:f>
      </x:c>
      <x:c r="CR38" s="135" t="str">
        <x:f>IF(AND(CR$4&gt;=$C38,CR$4&lt;=$D38,'Вводные'!$B$91="Да"),"■","")</x:f>
      </x:c>
      <x:c r="CS38" s="135" t="str">
        <x:f>IF(AND(CS$4&gt;=$C38,CS$4&lt;=$D38,'Вводные'!$B$91="Да"),"■","")</x:f>
      </x:c>
      <x:c r="CT38" s="135" t="str">
        <x:f>IF(AND(CT$4&gt;=$C38,CT$4&lt;=$D38,'Вводные'!$B$91="Да"),"■","")</x:f>
      </x:c>
      <x:c r="CU38" s="135" t="str">
        <x:f>IF(AND(CU$4&gt;=$C38,CU$4&lt;=$D38,'Вводные'!$B$91="Да"),"■","")</x:f>
      </x:c>
      <x:c r="CV38" s="135" t="str">
        <x:f>IF(AND(CV$4&gt;=$C38,CV$4&lt;=$D38,'Вводные'!$B$91="Да"),"■","")</x:f>
      </x:c>
      <x:c r="CW38" s="135" t="str">
        <x:f>IF(AND(CW$4&gt;=$C38,CW$4&lt;=$D38,'Вводные'!$B$91="Да"),"■","")</x:f>
      </x:c>
      <x:c r="CX38" s="135" t="str">
        <x:f>IF(AND(CX$4&gt;=$C38,CX$4&lt;=$D38,'Вводные'!$B$91="Да"),"■","")</x:f>
      </x:c>
      <x:c r="CY38" s="135" t="str">
        <x:f>IF(AND(CY$4&gt;=$C38,CY$4&lt;=$D38,'Вводные'!$B$91="Да"),"■","")</x:f>
      </x:c>
      <x:c r="CZ38" s="135" t="str">
        <x:f>IF(AND(CZ$4&gt;=$C38,CZ$4&lt;=$D38,'Вводные'!$B$91="Да"),"■","")</x:f>
      </x:c>
      <x:c r="DA38" s="135" t="str">
        <x:f>IF(AND(DA$4&gt;=$C38,DA$4&lt;=$D38,'Вводные'!$B$91="Да"),"■","")</x:f>
      </x:c>
      <x:c r="DB38" s="135" t="str">
        <x:f>IF(AND(DB$4&gt;=$C38,DB$4&lt;=$D38,'Вводные'!$B$91="Да"),"■","")</x:f>
      </x:c>
      <x:c r="DC38" s="135" t="str">
        <x:f>IF(AND(DC$4&gt;=$C38,DC$4&lt;=$D38,'Вводные'!$B$91="Да"),"■","")</x:f>
      </x:c>
      <x:c r="DD38" s="135" t="str">
        <x:f>IF(AND(DD$4&gt;=$C38,DD$4&lt;=$D38,'Вводные'!$B$91="Да"),"■","")</x:f>
      </x:c>
      <x:c r="DE38" s="135" t="str">
        <x:f>IF(AND(DE$4&gt;=$C38,DE$4&lt;=$D38,'Вводные'!$B$91="Да"),"■","")</x:f>
      </x:c>
      <x:c r="DF38" s="135" t="str">
        <x:f>IF(AND(DF$4&gt;=$C38,DF$4&lt;=$D38,'Вводные'!$B$91="Да"),"■","")</x:f>
      </x:c>
      <x:c r="DG38" s="135" t="str">
        <x:f>IF(AND(DG$4&gt;=$C38,DG$4&lt;=$D38,'Вводные'!$B$91="Да"),"■","")</x:f>
      </x:c>
      <x:c r="DH38" s="135" t="str">
        <x:f>IF(AND(DH$4&gt;=$C38,DH$4&lt;=$D38,'Вводные'!$B$91="Да"),"■","")</x:f>
      </x:c>
      <x:c r="DI38" s="135" t="str">
        <x:f>IF(AND(DI$4&gt;=$C38,DI$4&lt;=$D38,'Вводные'!$B$91="Да"),"■","")</x:f>
      </x:c>
      <x:c r="DJ38" s="135" t="str">
        <x:f>IF(AND(DJ$4&gt;=$C38,DJ$4&lt;=$D38,'Вводные'!$B$91="Да"),"■","")</x:f>
      </x:c>
      <x:c r="DK38" s="135" t="str">
        <x:f>IF(AND(DK$4&gt;=$C38,DK$4&lt;=$D38,'Вводные'!$B$91="Да"),"■","")</x:f>
      </x:c>
      <x:c r="DL38" s="135" t="str">
        <x:f>IF(AND(DL$4&gt;=$C38,DL$4&lt;=$D38,'Вводные'!$B$91="Да"),"■","")</x:f>
      </x:c>
      <x:c r="DM38" s="135" t="str">
        <x:f>IF(AND(DM$4&gt;=$C38,DM$4&lt;=$D38,'Вводные'!$B$91="Да"),"■","")</x:f>
      </x:c>
      <x:c r="DN38" s="135" t="str">
        <x:f>IF(AND(DN$4&gt;=$C38,DN$4&lt;=$D38,'Вводные'!$B$91="Да"),"■","")</x:f>
      </x:c>
      <x:c r="DO38" s="135" t="str">
        <x:f>IF(AND(DO$4&gt;=$C38,DO$4&lt;=$D38,'Вводные'!$B$91="Да"),"■","")</x:f>
      </x:c>
      <x:c r="DP38" s="135" t="str">
        <x:f>IF(AND(DP$4&gt;=$C38,DP$4&lt;=$D38,'Вводные'!$B$91="Да"),"■","")</x:f>
      </x:c>
      <x:c r="DQ38" s="135" t="str">
        <x:f>IF(AND(DQ$4&gt;=$C38,DQ$4&lt;=$D38,'Вводные'!$B$91="Да"),"■","")</x:f>
      </x:c>
      <x:c r="DR38" s="135" t="str">
        <x:f>IF(AND(DR$4&gt;=$C38,DR$4&lt;=$D38,'Вводные'!$B$91="Да"),"■","")</x:f>
      </x:c>
      <x:c r="DS38" s="135" t="str">
        <x:f>IF(AND(DS$4&gt;=$C38,DS$4&lt;=$D38,'Вводные'!$B$91="Да"),"■","")</x:f>
      </x:c>
      <x:c r="DT38" s="135" t="str">
        <x:f>IF(AND(DT$4&gt;=$C38,DT$4&lt;=$D38,'Вводные'!$B$91="Да"),"■","")</x:f>
      </x:c>
    </x:row>
    <x:row r="39">
      <x:c r="A39" t="str">
        <x:f>'Вводные'!$C$91</x:f>
      </x:c>
      <x:c r="B39" t="str">
        <x:v>Продажи</x:v>
      </x:c>
      <x:c r="C39" s="92" t="n">
        <x:f>'Продажи'!B76</x:f>
      </x:c>
      <x:c r="D39" s="92" t="n">
        <x:f>EDATE('Продажи'!B76,'Вводные'!$H$91-1)</x:f>
      </x:c>
      <x:c r="E39" s="139" t="str">
        <x:f>IF(AND(E$4&gt;=$C39,E$4&lt;=$D39,'Вводные'!$B$91="Да"),"■","")</x:f>
      </x:c>
      <x:c r="F39" s="139" t="str">
        <x:f>IF(AND(F$4&gt;=$C39,F$4&lt;=$D39,'Вводные'!$B$91="Да"),"■","")</x:f>
      </x:c>
      <x:c r="G39" s="139" t="str">
        <x:f>IF(AND(G$4&gt;=$C39,G$4&lt;=$D39,'Вводные'!$B$91="Да"),"■","")</x:f>
      </x:c>
      <x:c r="H39" s="139" t="str">
        <x:f>IF(AND(H$4&gt;=$C39,H$4&lt;=$D39,'Вводные'!$B$91="Да"),"■","")</x:f>
      </x:c>
      <x:c r="I39" s="139" t="str">
        <x:f>IF(AND(I$4&gt;=$C39,I$4&lt;=$D39,'Вводные'!$B$91="Да"),"■","")</x:f>
      </x:c>
      <x:c r="J39" s="139" t="str">
        <x:f>IF(AND(J$4&gt;=$C39,J$4&lt;=$D39,'Вводные'!$B$91="Да"),"■","")</x:f>
      </x:c>
      <x:c r="K39" s="139" t="str">
        <x:f>IF(AND(K$4&gt;=$C39,K$4&lt;=$D39,'Вводные'!$B$91="Да"),"■","")</x:f>
      </x:c>
      <x:c r="L39" s="139" t="str">
        <x:f>IF(AND(L$4&gt;=$C39,L$4&lt;=$D39,'Вводные'!$B$91="Да"),"■","")</x:f>
      </x:c>
      <x:c r="M39" s="139" t="str">
        <x:f>IF(AND(M$4&gt;=$C39,M$4&lt;=$D39,'Вводные'!$B$91="Да"),"■","")</x:f>
      </x:c>
      <x:c r="N39" s="139" t="str">
        <x:f>IF(AND(N$4&gt;=$C39,N$4&lt;=$D39,'Вводные'!$B$91="Да"),"■","")</x:f>
      </x:c>
      <x:c r="O39" s="139" t="str">
        <x:f>IF(AND(O$4&gt;=$C39,O$4&lt;=$D39,'Вводные'!$B$91="Да"),"■","")</x:f>
      </x:c>
      <x:c r="P39" s="139" t="str">
        <x:f>IF(AND(P$4&gt;=$C39,P$4&lt;=$D39,'Вводные'!$B$91="Да"),"■","")</x:f>
      </x:c>
      <x:c r="Q39" s="139" t="str">
        <x:f>IF(AND(Q$4&gt;=$C39,Q$4&lt;=$D39,'Вводные'!$B$91="Да"),"■","")</x:f>
      </x:c>
      <x:c r="R39" s="139" t="str">
        <x:f>IF(AND(R$4&gt;=$C39,R$4&lt;=$D39,'Вводные'!$B$91="Да"),"■","")</x:f>
      </x:c>
      <x:c r="S39" s="139" t="str">
        <x:f>IF(AND(S$4&gt;=$C39,S$4&lt;=$D39,'Вводные'!$B$91="Да"),"■","")</x:f>
      </x:c>
      <x:c r="T39" s="139" t="str">
        <x:f>IF(AND(T$4&gt;=$C39,T$4&lt;=$D39,'Вводные'!$B$91="Да"),"■","")</x:f>
      </x:c>
      <x:c r="U39" s="139" t="str">
        <x:f>IF(AND(U$4&gt;=$C39,U$4&lt;=$D39,'Вводные'!$B$91="Да"),"■","")</x:f>
      </x:c>
      <x:c r="V39" s="139" t="str">
        <x:f>IF(AND(V$4&gt;=$C39,V$4&lt;=$D39,'Вводные'!$B$91="Да"),"■","")</x:f>
      </x:c>
      <x:c r="W39" s="139" t="str">
        <x:f>IF(AND(W$4&gt;=$C39,W$4&lt;=$D39,'Вводные'!$B$91="Да"),"■","")</x:f>
      </x:c>
      <x:c r="X39" s="139" t="str">
        <x:f>IF(AND(X$4&gt;=$C39,X$4&lt;=$D39,'Вводные'!$B$91="Да"),"■","")</x:f>
      </x:c>
      <x:c r="Y39" s="139" t="str">
        <x:f>IF(AND(Y$4&gt;=$C39,Y$4&lt;=$D39,'Вводные'!$B$91="Да"),"■","")</x:f>
      </x:c>
      <x:c r="Z39" s="139" t="str">
        <x:f>IF(AND(Z$4&gt;=$C39,Z$4&lt;=$D39,'Вводные'!$B$91="Да"),"■","")</x:f>
      </x:c>
      <x:c r="AA39" s="139" t="str">
        <x:f>IF(AND(AA$4&gt;=$C39,AA$4&lt;=$D39,'Вводные'!$B$91="Да"),"■","")</x:f>
      </x:c>
      <x:c r="AB39" s="139" t="str">
        <x:f>IF(AND(AB$4&gt;=$C39,AB$4&lt;=$D39,'Вводные'!$B$91="Да"),"■","")</x:f>
      </x:c>
      <x:c r="AC39" s="139" t="str">
        <x:f>IF(AND(AC$4&gt;=$C39,AC$4&lt;=$D39,'Вводные'!$B$91="Да"),"■","")</x:f>
      </x:c>
      <x:c r="AD39" s="139" t="str">
        <x:f>IF(AND(AD$4&gt;=$C39,AD$4&lt;=$D39,'Вводные'!$B$91="Да"),"■","")</x:f>
      </x:c>
      <x:c r="AE39" s="139" t="str">
        <x:f>IF(AND(AE$4&gt;=$C39,AE$4&lt;=$D39,'Вводные'!$B$91="Да"),"■","")</x:f>
      </x:c>
      <x:c r="AF39" s="139" t="str">
        <x:f>IF(AND(AF$4&gt;=$C39,AF$4&lt;=$D39,'Вводные'!$B$91="Да"),"■","")</x:f>
      </x:c>
      <x:c r="AG39" s="139" t="str">
        <x:f>IF(AND(AG$4&gt;=$C39,AG$4&lt;=$D39,'Вводные'!$B$91="Да"),"■","")</x:f>
      </x:c>
      <x:c r="AH39" s="139" t="str">
        <x:f>IF(AND(AH$4&gt;=$C39,AH$4&lt;=$D39,'Вводные'!$B$91="Да"),"■","")</x:f>
      </x:c>
      <x:c r="AI39" s="139" t="str">
        <x:f>IF(AND(AI$4&gt;=$C39,AI$4&lt;=$D39,'Вводные'!$B$91="Да"),"■","")</x:f>
      </x:c>
      <x:c r="AJ39" s="139" t="str">
        <x:f>IF(AND(AJ$4&gt;=$C39,AJ$4&lt;=$D39,'Вводные'!$B$91="Да"),"■","")</x:f>
      </x:c>
      <x:c r="AK39" s="139" t="str">
        <x:f>IF(AND(AK$4&gt;=$C39,AK$4&lt;=$D39,'Вводные'!$B$91="Да"),"■","")</x:f>
      </x:c>
      <x:c r="AL39" s="139" t="str">
        <x:f>IF(AND(AL$4&gt;=$C39,AL$4&lt;=$D39,'Вводные'!$B$91="Да"),"■","")</x:f>
      </x:c>
      <x:c r="AM39" s="139" t="str">
        <x:f>IF(AND(AM$4&gt;=$C39,AM$4&lt;=$D39,'Вводные'!$B$91="Да"),"■","")</x:f>
      </x:c>
      <x:c r="AN39" s="139" t="str">
        <x:f>IF(AND(AN$4&gt;=$C39,AN$4&lt;=$D39,'Вводные'!$B$91="Да"),"■","")</x:f>
      </x:c>
      <x:c r="AO39" s="139" t="str">
        <x:f>IF(AND(AO$4&gt;=$C39,AO$4&lt;=$D39,'Вводные'!$B$91="Да"),"■","")</x:f>
      </x:c>
      <x:c r="AP39" s="139" t="str">
        <x:f>IF(AND(AP$4&gt;=$C39,AP$4&lt;=$D39,'Вводные'!$B$91="Да"),"■","")</x:f>
      </x:c>
      <x:c r="AQ39" s="139" t="str">
        <x:f>IF(AND(AQ$4&gt;=$C39,AQ$4&lt;=$D39,'Вводные'!$B$91="Да"),"■","")</x:f>
      </x:c>
      <x:c r="AR39" s="139" t="str">
        <x:f>IF(AND(AR$4&gt;=$C39,AR$4&lt;=$D39,'Вводные'!$B$91="Да"),"■","")</x:f>
      </x:c>
      <x:c r="AS39" s="139" t="str">
        <x:f>IF(AND(AS$4&gt;=$C39,AS$4&lt;=$D39,'Вводные'!$B$91="Да"),"■","")</x:f>
      </x:c>
      <x:c r="AT39" s="139" t="str">
        <x:f>IF(AND(AT$4&gt;=$C39,AT$4&lt;=$D39,'Вводные'!$B$91="Да"),"■","")</x:f>
      </x:c>
      <x:c r="AU39" s="139" t="str">
        <x:f>IF(AND(AU$4&gt;=$C39,AU$4&lt;=$D39,'Вводные'!$B$91="Да"),"■","")</x:f>
      </x:c>
      <x:c r="AV39" s="139" t="str">
        <x:f>IF(AND(AV$4&gt;=$C39,AV$4&lt;=$D39,'Вводные'!$B$91="Да"),"■","")</x:f>
      </x:c>
      <x:c r="AW39" s="139" t="str">
        <x:f>IF(AND(AW$4&gt;=$C39,AW$4&lt;=$D39,'Вводные'!$B$91="Да"),"■","")</x:f>
      </x:c>
      <x:c r="AX39" s="139" t="str">
        <x:f>IF(AND(AX$4&gt;=$C39,AX$4&lt;=$D39,'Вводные'!$B$91="Да"),"■","")</x:f>
      </x:c>
      <x:c r="AY39" s="139" t="str">
        <x:f>IF(AND(AY$4&gt;=$C39,AY$4&lt;=$D39,'Вводные'!$B$91="Да"),"■","")</x:f>
      </x:c>
      <x:c r="AZ39" s="139" t="str">
        <x:f>IF(AND(AZ$4&gt;=$C39,AZ$4&lt;=$D39,'Вводные'!$B$91="Да"),"■","")</x:f>
      </x:c>
      <x:c r="BA39" s="139" t="str">
        <x:f>IF(AND(BA$4&gt;=$C39,BA$4&lt;=$D39,'Вводные'!$B$91="Да"),"■","")</x:f>
      </x:c>
      <x:c r="BB39" s="139" t="str">
        <x:f>IF(AND(BB$4&gt;=$C39,BB$4&lt;=$D39,'Вводные'!$B$91="Да"),"■","")</x:f>
      </x:c>
      <x:c r="BC39" s="139" t="str">
        <x:f>IF(AND(BC$4&gt;=$C39,BC$4&lt;=$D39,'Вводные'!$B$91="Да"),"■","")</x:f>
      </x:c>
      <x:c r="BD39" s="139" t="str">
        <x:f>IF(AND(BD$4&gt;=$C39,BD$4&lt;=$D39,'Вводные'!$B$91="Да"),"■","")</x:f>
      </x:c>
      <x:c r="BE39" s="139" t="str">
        <x:f>IF(AND(BE$4&gt;=$C39,BE$4&lt;=$D39,'Вводные'!$B$91="Да"),"■","")</x:f>
      </x:c>
      <x:c r="BF39" s="139" t="str">
        <x:f>IF(AND(BF$4&gt;=$C39,BF$4&lt;=$D39,'Вводные'!$B$91="Да"),"■","")</x:f>
      </x:c>
      <x:c r="BG39" s="139" t="str">
        <x:f>IF(AND(BG$4&gt;=$C39,BG$4&lt;=$D39,'Вводные'!$B$91="Да"),"■","")</x:f>
      </x:c>
      <x:c r="BH39" s="139" t="str">
        <x:f>IF(AND(BH$4&gt;=$C39,BH$4&lt;=$D39,'Вводные'!$B$91="Да"),"■","")</x:f>
      </x:c>
      <x:c r="BI39" s="139" t="str">
        <x:f>IF(AND(BI$4&gt;=$C39,BI$4&lt;=$D39,'Вводные'!$B$91="Да"),"■","")</x:f>
      </x:c>
      <x:c r="BJ39" s="139" t="str">
        <x:f>IF(AND(BJ$4&gt;=$C39,BJ$4&lt;=$D39,'Вводные'!$B$91="Да"),"■","")</x:f>
      </x:c>
      <x:c r="BK39" s="139" t="str">
        <x:f>IF(AND(BK$4&gt;=$C39,BK$4&lt;=$D39,'Вводные'!$B$91="Да"),"■","")</x:f>
      </x:c>
      <x:c r="BL39" s="139" t="str">
        <x:f>IF(AND(BL$4&gt;=$C39,BL$4&lt;=$D39,'Вводные'!$B$91="Да"),"■","")</x:f>
      </x:c>
      <x:c r="BM39" s="139" t="str">
        <x:f>IF(AND(BM$4&gt;=$C39,BM$4&lt;=$D39,'Вводные'!$B$91="Да"),"■","")</x:f>
      </x:c>
      <x:c r="BN39" s="139" t="str">
        <x:f>IF(AND(BN$4&gt;=$C39,BN$4&lt;=$D39,'Вводные'!$B$91="Да"),"■","")</x:f>
      </x:c>
      <x:c r="BO39" s="139" t="str">
        <x:f>IF(AND(BO$4&gt;=$C39,BO$4&lt;=$D39,'Вводные'!$B$91="Да"),"■","")</x:f>
      </x:c>
      <x:c r="BP39" s="139" t="str">
        <x:f>IF(AND(BP$4&gt;=$C39,BP$4&lt;=$D39,'Вводные'!$B$91="Да"),"■","")</x:f>
      </x:c>
      <x:c r="BQ39" s="139" t="str">
        <x:f>IF(AND(BQ$4&gt;=$C39,BQ$4&lt;=$D39,'Вводные'!$B$91="Да"),"■","")</x:f>
      </x:c>
      <x:c r="BR39" s="139" t="str">
        <x:f>IF(AND(BR$4&gt;=$C39,BR$4&lt;=$D39,'Вводные'!$B$91="Да"),"■","")</x:f>
      </x:c>
      <x:c r="BS39" s="139" t="str">
        <x:f>IF(AND(BS$4&gt;=$C39,BS$4&lt;=$D39,'Вводные'!$B$91="Да"),"■","")</x:f>
      </x:c>
      <x:c r="BT39" s="139" t="str">
        <x:f>IF(AND(BT$4&gt;=$C39,BT$4&lt;=$D39,'Вводные'!$B$91="Да"),"■","")</x:f>
      </x:c>
      <x:c r="BU39" s="139" t="str">
        <x:f>IF(AND(BU$4&gt;=$C39,BU$4&lt;=$D39,'Вводные'!$B$91="Да"),"■","")</x:f>
      </x:c>
      <x:c r="BV39" s="139" t="str">
        <x:f>IF(AND(BV$4&gt;=$C39,BV$4&lt;=$D39,'Вводные'!$B$91="Да"),"■","")</x:f>
      </x:c>
      <x:c r="BW39" s="139" t="str">
        <x:f>IF(AND(BW$4&gt;=$C39,BW$4&lt;=$D39,'Вводные'!$B$91="Да"),"■","")</x:f>
      </x:c>
      <x:c r="BX39" s="139" t="str">
        <x:f>IF(AND(BX$4&gt;=$C39,BX$4&lt;=$D39,'Вводные'!$B$91="Да"),"■","")</x:f>
      </x:c>
      <x:c r="BY39" s="139" t="str">
        <x:f>IF(AND(BY$4&gt;=$C39,BY$4&lt;=$D39,'Вводные'!$B$91="Да"),"■","")</x:f>
      </x:c>
      <x:c r="BZ39" s="139" t="str">
        <x:f>IF(AND(BZ$4&gt;=$C39,BZ$4&lt;=$D39,'Вводные'!$B$91="Да"),"■","")</x:f>
      </x:c>
      <x:c r="CA39" s="139" t="str">
        <x:f>IF(AND(CA$4&gt;=$C39,CA$4&lt;=$D39,'Вводные'!$B$91="Да"),"■","")</x:f>
      </x:c>
      <x:c r="CB39" s="139" t="str">
        <x:f>IF(AND(CB$4&gt;=$C39,CB$4&lt;=$D39,'Вводные'!$B$91="Да"),"■","")</x:f>
      </x:c>
      <x:c r="CC39" s="139" t="str">
        <x:f>IF(AND(CC$4&gt;=$C39,CC$4&lt;=$D39,'Вводные'!$B$91="Да"),"■","")</x:f>
      </x:c>
      <x:c r="CD39" s="139" t="str">
        <x:f>IF(AND(CD$4&gt;=$C39,CD$4&lt;=$D39,'Вводные'!$B$91="Да"),"■","")</x:f>
      </x:c>
      <x:c r="CE39" s="139" t="str">
        <x:f>IF(AND(CE$4&gt;=$C39,CE$4&lt;=$D39,'Вводные'!$B$91="Да"),"■","")</x:f>
      </x:c>
      <x:c r="CF39" s="139" t="str">
        <x:f>IF(AND(CF$4&gt;=$C39,CF$4&lt;=$D39,'Вводные'!$B$91="Да"),"■","")</x:f>
      </x:c>
      <x:c r="CG39" s="139" t="str">
        <x:f>IF(AND(CG$4&gt;=$C39,CG$4&lt;=$D39,'Вводные'!$B$91="Да"),"■","")</x:f>
      </x:c>
      <x:c r="CH39" s="139" t="str">
        <x:f>IF(AND(CH$4&gt;=$C39,CH$4&lt;=$D39,'Вводные'!$B$91="Да"),"■","")</x:f>
      </x:c>
      <x:c r="CI39" s="139" t="str">
        <x:f>IF(AND(CI$4&gt;=$C39,CI$4&lt;=$D39,'Вводные'!$B$91="Да"),"■","")</x:f>
      </x:c>
      <x:c r="CJ39" s="139" t="str">
        <x:f>IF(AND(CJ$4&gt;=$C39,CJ$4&lt;=$D39,'Вводные'!$B$91="Да"),"■","")</x:f>
      </x:c>
      <x:c r="CK39" s="139" t="str">
        <x:f>IF(AND(CK$4&gt;=$C39,CK$4&lt;=$D39,'Вводные'!$B$91="Да"),"■","")</x:f>
      </x:c>
      <x:c r="CL39" s="139" t="str">
        <x:f>IF(AND(CL$4&gt;=$C39,CL$4&lt;=$D39,'Вводные'!$B$91="Да"),"■","")</x:f>
      </x:c>
      <x:c r="CM39" s="139" t="str">
        <x:f>IF(AND(CM$4&gt;=$C39,CM$4&lt;=$D39,'Вводные'!$B$91="Да"),"■","")</x:f>
      </x:c>
      <x:c r="CN39" s="139" t="str">
        <x:f>IF(AND(CN$4&gt;=$C39,CN$4&lt;=$D39,'Вводные'!$B$91="Да"),"■","")</x:f>
      </x:c>
      <x:c r="CO39" s="139" t="str">
        <x:f>IF(AND(CO$4&gt;=$C39,CO$4&lt;=$D39,'Вводные'!$B$91="Да"),"■","")</x:f>
      </x:c>
      <x:c r="CP39" s="139" t="str">
        <x:f>IF(AND(CP$4&gt;=$C39,CP$4&lt;=$D39,'Вводные'!$B$91="Да"),"■","")</x:f>
      </x:c>
      <x:c r="CQ39" s="139" t="str">
        <x:f>IF(AND(CQ$4&gt;=$C39,CQ$4&lt;=$D39,'Вводные'!$B$91="Да"),"■","")</x:f>
      </x:c>
      <x:c r="CR39" s="139" t="str">
        <x:f>IF(AND(CR$4&gt;=$C39,CR$4&lt;=$D39,'Вводные'!$B$91="Да"),"■","")</x:f>
      </x:c>
      <x:c r="CS39" s="139" t="str">
        <x:f>IF(AND(CS$4&gt;=$C39,CS$4&lt;=$D39,'Вводные'!$B$91="Да"),"■","")</x:f>
      </x:c>
      <x:c r="CT39" s="139" t="str">
        <x:f>IF(AND(CT$4&gt;=$C39,CT$4&lt;=$D39,'Вводные'!$B$91="Да"),"■","")</x:f>
      </x:c>
      <x:c r="CU39" s="139" t="str">
        <x:f>IF(AND(CU$4&gt;=$C39,CU$4&lt;=$D39,'Вводные'!$B$91="Да"),"■","")</x:f>
      </x:c>
      <x:c r="CV39" s="139" t="str">
        <x:f>IF(AND(CV$4&gt;=$C39,CV$4&lt;=$D39,'Вводные'!$B$91="Да"),"■","")</x:f>
      </x:c>
      <x:c r="CW39" s="139" t="str">
        <x:f>IF(AND(CW$4&gt;=$C39,CW$4&lt;=$D39,'Вводные'!$B$91="Да"),"■","")</x:f>
      </x:c>
      <x:c r="CX39" s="139" t="str">
        <x:f>IF(AND(CX$4&gt;=$C39,CX$4&lt;=$D39,'Вводные'!$B$91="Да"),"■","")</x:f>
      </x:c>
      <x:c r="CY39" s="139" t="str">
        <x:f>IF(AND(CY$4&gt;=$C39,CY$4&lt;=$D39,'Вводные'!$B$91="Да"),"■","")</x:f>
      </x:c>
      <x:c r="CZ39" s="139" t="str">
        <x:f>IF(AND(CZ$4&gt;=$C39,CZ$4&lt;=$D39,'Вводные'!$B$91="Да"),"■","")</x:f>
      </x:c>
      <x:c r="DA39" s="139" t="str">
        <x:f>IF(AND(DA$4&gt;=$C39,DA$4&lt;=$D39,'Вводные'!$B$91="Да"),"■","")</x:f>
      </x:c>
      <x:c r="DB39" s="139" t="str">
        <x:f>IF(AND(DB$4&gt;=$C39,DB$4&lt;=$D39,'Вводные'!$B$91="Да"),"■","")</x:f>
      </x:c>
      <x:c r="DC39" s="139" t="str">
        <x:f>IF(AND(DC$4&gt;=$C39,DC$4&lt;=$D39,'Вводные'!$B$91="Да"),"■","")</x:f>
      </x:c>
      <x:c r="DD39" s="139" t="str">
        <x:f>IF(AND(DD$4&gt;=$C39,DD$4&lt;=$D39,'Вводные'!$B$91="Да"),"■","")</x:f>
      </x:c>
      <x:c r="DE39" s="139" t="str">
        <x:f>IF(AND(DE$4&gt;=$C39,DE$4&lt;=$D39,'Вводные'!$B$91="Да"),"■","")</x:f>
      </x:c>
      <x:c r="DF39" s="139" t="str">
        <x:f>IF(AND(DF$4&gt;=$C39,DF$4&lt;=$D39,'Вводные'!$B$91="Да"),"■","")</x:f>
      </x:c>
      <x:c r="DG39" s="139" t="str">
        <x:f>IF(AND(DG$4&gt;=$C39,DG$4&lt;=$D39,'Вводные'!$B$91="Да"),"■","")</x:f>
      </x:c>
      <x:c r="DH39" s="139" t="str">
        <x:f>IF(AND(DH$4&gt;=$C39,DH$4&lt;=$D39,'Вводные'!$B$91="Да"),"■","")</x:f>
      </x:c>
      <x:c r="DI39" s="139" t="str">
        <x:f>IF(AND(DI$4&gt;=$C39,DI$4&lt;=$D39,'Вводные'!$B$91="Да"),"■","")</x:f>
      </x:c>
      <x:c r="DJ39" s="139" t="str">
        <x:f>IF(AND(DJ$4&gt;=$C39,DJ$4&lt;=$D39,'Вводные'!$B$91="Да"),"■","")</x:f>
      </x:c>
      <x:c r="DK39" s="139" t="str">
        <x:f>IF(AND(DK$4&gt;=$C39,DK$4&lt;=$D39,'Вводные'!$B$91="Да"),"■","")</x:f>
      </x:c>
      <x:c r="DL39" s="139" t="str">
        <x:f>IF(AND(DL$4&gt;=$C39,DL$4&lt;=$D39,'Вводные'!$B$91="Да"),"■","")</x:f>
      </x:c>
      <x:c r="DM39" s="139" t="str">
        <x:f>IF(AND(DM$4&gt;=$C39,DM$4&lt;=$D39,'Вводные'!$B$91="Да"),"■","")</x:f>
      </x:c>
      <x:c r="DN39" s="139" t="str">
        <x:f>IF(AND(DN$4&gt;=$C39,DN$4&lt;=$D39,'Вводные'!$B$91="Да"),"■","")</x:f>
      </x:c>
      <x:c r="DO39" s="139" t="str">
        <x:f>IF(AND(DO$4&gt;=$C39,DO$4&lt;=$D39,'Вводные'!$B$91="Да"),"■","")</x:f>
      </x:c>
      <x:c r="DP39" s="139" t="str">
        <x:f>IF(AND(DP$4&gt;=$C39,DP$4&lt;=$D39,'Вводные'!$B$91="Да"),"■","")</x:f>
      </x:c>
      <x:c r="DQ39" s="139" t="str">
        <x:f>IF(AND(DQ$4&gt;=$C39,DQ$4&lt;=$D39,'Вводные'!$B$91="Да"),"■","")</x:f>
      </x:c>
      <x:c r="DR39" s="139" t="str">
        <x:f>IF(AND(DR$4&gt;=$C39,DR$4&lt;=$D39,'Вводные'!$B$91="Да"),"■","")</x:f>
      </x:c>
      <x:c r="DS39" s="139" t="str">
        <x:f>IF(AND(DS$4&gt;=$C39,DS$4&lt;=$D39,'Вводные'!$B$91="Да"),"■","")</x:f>
      </x:c>
      <x:c r="DT39" s="139" t="str">
        <x:f>IF(AND(DT$4&gt;=$C39,DT$4&lt;=$D39,'Вводные'!$B$91="Да"),"■","")</x:f>
      </x:c>
    </x:row>
    <x:row r="40">
      <x:c r="A40" t="str">
        <x:f>'Вводные'!$C$91</x:f>
      </x:c>
      <x:c r="B40" t="str">
        <x:v>Строительство</x:v>
      </x:c>
      <x:c r="C40" s="92" t="n">
        <x:f>'CF_4'!B7</x:f>
      </x:c>
      <x:c r="D40" s="92" t="n">
        <x:f>EDATE(C40,'Вводные'!$F$91-1)</x:f>
      </x:c>
      <x:c r="E40" s="141" t="str">
        <x:f>IF(AND(E$4&gt;=$C40,E$4&lt;=$D40,'Вводные'!$B$91="Да"),"■","")</x:f>
      </x:c>
      <x:c r="F40" s="141" t="str">
        <x:f>IF(AND(F$4&gt;=$C40,F$4&lt;=$D40,'Вводные'!$B$91="Да"),"■","")</x:f>
      </x:c>
      <x:c r="G40" s="141" t="str">
        <x:f>IF(AND(G$4&gt;=$C40,G$4&lt;=$D40,'Вводные'!$B$91="Да"),"■","")</x:f>
      </x:c>
      <x:c r="H40" s="141" t="str">
        <x:f>IF(AND(H$4&gt;=$C40,H$4&lt;=$D40,'Вводные'!$B$91="Да"),"■","")</x:f>
      </x:c>
      <x:c r="I40" s="141" t="str">
        <x:f>IF(AND(I$4&gt;=$C40,I$4&lt;=$D40,'Вводные'!$B$91="Да"),"■","")</x:f>
      </x:c>
      <x:c r="J40" s="141" t="str">
        <x:f>IF(AND(J$4&gt;=$C40,J$4&lt;=$D40,'Вводные'!$B$91="Да"),"■","")</x:f>
      </x:c>
      <x:c r="K40" s="141" t="str">
        <x:f>IF(AND(K$4&gt;=$C40,K$4&lt;=$D40,'Вводные'!$B$91="Да"),"■","")</x:f>
      </x:c>
      <x:c r="L40" s="141" t="str">
        <x:f>IF(AND(L$4&gt;=$C40,L$4&lt;=$D40,'Вводные'!$B$91="Да"),"■","")</x:f>
      </x:c>
      <x:c r="M40" s="141" t="str">
        <x:f>IF(AND(M$4&gt;=$C40,M$4&lt;=$D40,'Вводные'!$B$91="Да"),"■","")</x:f>
      </x:c>
      <x:c r="N40" s="141" t="str">
        <x:f>IF(AND(N$4&gt;=$C40,N$4&lt;=$D40,'Вводные'!$B$91="Да"),"■","")</x:f>
      </x:c>
      <x:c r="O40" s="141" t="str">
        <x:f>IF(AND(O$4&gt;=$C40,O$4&lt;=$D40,'Вводные'!$B$91="Да"),"■","")</x:f>
      </x:c>
      <x:c r="P40" s="141" t="str">
        <x:f>IF(AND(P$4&gt;=$C40,P$4&lt;=$D40,'Вводные'!$B$91="Да"),"■","")</x:f>
      </x:c>
      <x:c r="Q40" s="141" t="str">
        <x:f>IF(AND(Q$4&gt;=$C40,Q$4&lt;=$D40,'Вводные'!$B$91="Да"),"■","")</x:f>
      </x:c>
      <x:c r="R40" s="141" t="str">
        <x:f>IF(AND(R$4&gt;=$C40,R$4&lt;=$D40,'Вводные'!$B$91="Да"),"■","")</x:f>
      </x:c>
      <x:c r="S40" s="141" t="str">
        <x:f>IF(AND(S$4&gt;=$C40,S$4&lt;=$D40,'Вводные'!$B$91="Да"),"■","")</x:f>
      </x:c>
      <x:c r="T40" s="141" t="str">
        <x:f>IF(AND(T$4&gt;=$C40,T$4&lt;=$D40,'Вводные'!$B$91="Да"),"■","")</x:f>
      </x:c>
      <x:c r="U40" s="141" t="str">
        <x:f>IF(AND(U$4&gt;=$C40,U$4&lt;=$D40,'Вводные'!$B$91="Да"),"■","")</x:f>
      </x:c>
      <x:c r="V40" s="141" t="str">
        <x:f>IF(AND(V$4&gt;=$C40,V$4&lt;=$D40,'Вводные'!$B$91="Да"),"■","")</x:f>
      </x:c>
      <x:c r="W40" s="141" t="str">
        <x:f>IF(AND(W$4&gt;=$C40,W$4&lt;=$D40,'Вводные'!$B$91="Да"),"■","")</x:f>
      </x:c>
      <x:c r="X40" s="141" t="str">
        <x:f>IF(AND(X$4&gt;=$C40,X$4&lt;=$D40,'Вводные'!$B$91="Да"),"■","")</x:f>
      </x:c>
      <x:c r="Y40" s="141" t="str">
        <x:f>IF(AND(Y$4&gt;=$C40,Y$4&lt;=$D40,'Вводные'!$B$91="Да"),"■","")</x:f>
      </x:c>
      <x:c r="Z40" s="141" t="str">
        <x:f>IF(AND(Z$4&gt;=$C40,Z$4&lt;=$D40,'Вводные'!$B$91="Да"),"■","")</x:f>
      </x:c>
      <x:c r="AA40" s="141" t="str">
        <x:f>IF(AND(AA$4&gt;=$C40,AA$4&lt;=$D40,'Вводные'!$B$91="Да"),"■","")</x:f>
      </x:c>
      <x:c r="AB40" s="141" t="str">
        <x:f>IF(AND(AB$4&gt;=$C40,AB$4&lt;=$D40,'Вводные'!$B$91="Да"),"■","")</x:f>
      </x:c>
      <x:c r="AC40" s="141" t="str">
        <x:f>IF(AND(AC$4&gt;=$C40,AC$4&lt;=$D40,'Вводные'!$B$91="Да"),"■","")</x:f>
      </x:c>
      <x:c r="AD40" s="141" t="str">
        <x:f>IF(AND(AD$4&gt;=$C40,AD$4&lt;=$D40,'Вводные'!$B$91="Да"),"■","")</x:f>
      </x:c>
      <x:c r="AE40" s="141" t="str">
        <x:f>IF(AND(AE$4&gt;=$C40,AE$4&lt;=$D40,'Вводные'!$B$91="Да"),"■","")</x:f>
      </x:c>
      <x:c r="AF40" s="141" t="str">
        <x:f>IF(AND(AF$4&gt;=$C40,AF$4&lt;=$D40,'Вводные'!$B$91="Да"),"■","")</x:f>
      </x:c>
      <x:c r="AG40" s="141" t="str">
        <x:f>IF(AND(AG$4&gt;=$C40,AG$4&lt;=$D40,'Вводные'!$B$91="Да"),"■","")</x:f>
      </x:c>
      <x:c r="AH40" s="141" t="str">
        <x:f>IF(AND(AH$4&gt;=$C40,AH$4&lt;=$D40,'Вводные'!$B$91="Да"),"■","")</x:f>
      </x:c>
      <x:c r="AI40" s="141" t="str">
        <x:f>IF(AND(AI$4&gt;=$C40,AI$4&lt;=$D40,'Вводные'!$B$91="Да"),"■","")</x:f>
      </x:c>
      <x:c r="AJ40" s="141" t="str">
        <x:f>IF(AND(AJ$4&gt;=$C40,AJ$4&lt;=$D40,'Вводные'!$B$91="Да"),"■","")</x:f>
      </x:c>
      <x:c r="AK40" s="141" t="str">
        <x:f>IF(AND(AK$4&gt;=$C40,AK$4&lt;=$D40,'Вводные'!$B$91="Да"),"■","")</x:f>
      </x:c>
      <x:c r="AL40" s="141" t="str">
        <x:f>IF(AND(AL$4&gt;=$C40,AL$4&lt;=$D40,'Вводные'!$B$91="Да"),"■","")</x:f>
      </x:c>
      <x:c r="AM40" s="141" t="str">
        <x:f>IF(AND(AM$4&gt;=$C40,AM$4&lt;=$D40,'Вводные'!$B$91="Да"),"■","")</x:f>
      </x:c>
      <x:c r="AN40" s="141" t="str">
        <x:f>IF(AND(AN$4&gt;=$C40,AN$4&lt;=$D40,'Вводные'!$B$91="Да"),"■","")</x:f>
      </x:c>
      <x:c r="AO40" s="141" t="str">
        <x:f>IF(AND(AO$4&gt;=$C40,AO$4&lt;=$D40,'Вводные'!$B$91="Да"),"■","")</x:f>
      </x:c>
      <x:c r="AP40" s="141" t="str">
        <x:f>IF(AND(AP$4&gt;=$C40,AP$4&lt;=$D40,'Вводные'!$B$91="Да"),"■","")</x:f>
      </x:c>
      <x:c r="AQ40" s="141" t="str">
        <x:f>IF(AND(AQ$4&gt;=$C40,AQ$4&lt;=$D40,'Вводные'!$B$91="Да"),"■","")</x:f>
      </x:c>
      <x:c r="AR40" s="141" t="str">
        <x:f>IF(AND(AR$4&gt;=$C40,AR$4&lt;=$D40,'Вводные'!$B$91="Да"),"■","")</x:f>
      </x:c>
      <x:c r="AS40" s="141" t="str">
        <x:f>IF(AND(AS$4&gt;=$C40,AS$4&lt;=$D40,'Вводные'!$B$91="Да"),"■","")</x:f>
      </x:c>
      <x:c r="AT40" s="141" t="str">
        <x:f>IF(AND(AT$4&gt;=$C40,AT$4&lt;=$D40,'Вводные'!$B$91="Да"),"■","")</x:f>
      </x:c>
      <x:c r="AU40" s="141" t="str">
        <x:f>IF(AND(AU$4&gt;=$C40,AU$4&lt;=$D40,'Вводные'!$B$91="Да"),"■","")</x:f>
      </x:c>
      <x:c r="AV40" s="141" t="str">
        <x:f>IF(AND(AV$4&gt;=$C40,AV$4&lt;=$D40,'Вводные'!$B$91="Да"),"■","")</x:f>
      </x:c>
      <x:c r="AW40" s="141" t="str">
        <x:f>IF(AND(AW$4&gt;=$C40,AW$4&lt;=$D40,'Вводные'!$B$91="Да"),"■","")</x:f>
      </x:c>
      <x:c r="AX40" s="141" t="str">
        <x:f>IF(AND(AX$4&gt;=$C40,AX$4&lt;=$D40,'Вводные'!$B$91="Да"),"■","")</x:f>
      </x:c>
      <x:c r="AY40" s="141" t="str">
        <x:f>IF(AND(AY$4&gt;=$C40,AY$4&lt;=$D40,'Вводные'!$B$91="Да"),"■","")</x:f>
      </x:c>
      <x:c r="AZ40" s="141" t="str">
        <x:f>IF(AND(AZ$4&gt;=$C40,AZ$4&lt;=$D40,'Вводные'!$B$91="Да"),"■","")</x:f>
      </x:c>
      <x:c r="BA40" s="141" t="str">
        <x:f>IF(AND(BA$4&gt;=$C40,BA$4&lt;=$D40,'Вводные'!$B$91="Да"),"■","")</x:f>
      </x:c>
      <x:c r="BB40" s="141" t="str">
        <x:f>IF(AND(BB$4&gt;=$C40,BB$4&lt;=$D40,'Вводные'!$B$91="Да"),"■","")</x:f>
      </x:c>
      <x:c r="BC40" s="141" t="str">
        <x:f>IF(AND(BC$4&gt;=$C40,BC$4&lt;=$D40,'Вводные'!$B$91="Да"),"■","")</x:f>
      </x:c>
      <x:c r="BD40" s="141" t="str">
        <x:f>IF(AND(BD$4&gt;=$C40,BD$4&lt;=$D40,'Вводные'!$B$91="Да"),"■","")</x:f>
      </x:c>
      <x:c r="BE40" s="141" t="str">
        <x:f>IF(AND(BE$4&gt;=$C40,BE$4&lt;=$D40,'Вводные'!$B$91="Да"),"■","")</x:f>
      </x:c>
      <x:c r="BF40" s="141" t="str">
        <x:f>IF(AND(BF$4&gt;=$C40,BF$4&lt;=$D40,'Вводные'!$B$91="Да"),"■","")</x:f>
      </x:c>
      <x:c r="BG40" s="141" t="str">
        <x:f>IF(AND(BG$4&gt;=$C40,BG$4&lt;=$D40,'Вводные'!$B$91="Да"),"■","")</x:f>
      </x:c>
      <x:c r="BH40" s="141" t="str">
        <x:f>IF(AND(BH$4&gt;=$C40,BH$4&lt;=$D40,'Вводные'!$B$91="Да"),"■","")</x:f>
      </x:c>
      <x:c r="BI40" s="141" t="str">
        <x:f>IF(AND(BI$4&gt;=$C40,BI$4&lt;=$D40,'Вводные'!$B$91="Да"),"■","")</x:f>
      </x:c>
      <x:c r="BJ40" s="141" t="str">
        <x:f>IF(AND(BJ$4&gt;=$C40,BJ$4&lt;=$D40,'Вводные'!$B$91="Да"),"■","")</x:f>
      </x:c>
      <x:c r="BK40" s="141" t="str">
        <x:f>IF(AND(BK$4&gt;=$C40,BK$4&lt;=$D40,'Вводные'!$B$91="Да"),"■","")</x:f>
      </x:c>
      <x:c r="BL40" s="141" t="str">
        <x:f>IF(AND(BL$4&gt;=$C40,BL$4&lt;=$D40,'Вводные'!$B$91="Да"),"■","")</x:f>
      </x:c>
      <x:c r="BM40" s="141" t="str">
        <x:f>IF(AND(BM$4&gt;=$C40,BM$4&lt;=$D40,'Вводные'!$B$91="Да"),"■","")</x:f>
      </x:c>
      <x:c r="BN40" s="141" t="str">
        <x:f>IF(AND(BN$4&gt;=$C40,BN$4&lt;=$D40,'Вводные'!$B$91="Да"),"■","")</x:f>
      </x:c>
      <x:c r="BO40" s="141" t="str">
        <x:f>IF(AND(BO$4&gt;=$C40,BO$4&lt;=$D40,'Вводные'!$B$91="Да"),"■","")</x:f>
      </x:c>
      <x:c r="BP40" s="141" t="str">
        <x:f>IF(AND(BP$4&gt;=$C40,BP$4&lt;=$D40,'Вводные'!$B$91="Да"),"■","")</x:f>
      </x:c>
      <x:c r="BQ40" s="141" t="str">
        <x:f>IF(AND(BQ$4&gt;=$C40,BQ$4&lt;=$D40,'Вводные'!$B$91="Да"),"■","")</x:f>
      </x:c>
      <x:c r="BR40" s="141" t="str">
        <x:f>IF(AND(BR$4&gt;=$C40,BR$4&lt;=$D40,'Вводные'!$B$91="Да"),"■","")</x:f>
      </x:c>
      <x:c r="BS40" s="141" t="str">
        <x:f>IF(AND(BS$4&gt;=$C40,BS$4&lt;=$D40,'Вводные'!$B$91="Да"),"■","")</x:f>
      </x:c>
      <x:c r="BT40" s="141" t="str">
        <x:f>IF(AND(BT$4&gt;=$C40,BT$4&lt;=$D40,'Вводные'!$B$91="Да"),"■","")</x:f>
      </x:c>
      <x:c r="BU40" s="141" t="str">
        <x:f>IF(AND(BU$4&gt;=$C40,BU$4&lt;=$D40,'Вводные'!$B$91="Да"),"■","")</x:f>
      </x:c>
      <x:c r="BV40" s="141" t="str">
        <x:f>IF(AND(BV$4&gt;=$C40,BV$4&lt;=$D40,'Вводные'!$B$91="Да"),"■","")</x:f>
      </x:c>
      <x:c r="BW40" s="141" t="str">
        <x:f>IF(AND(BW$4&gt;=$C40,BW$4&lt;=$D40,'Вводные'!$B$91="Да"),"■","")</x:f>
      </x:c>
      <x:c r="BX40" s="141" t="str">
        <x:f>IF(AND(BX$4&gt;=$C40,BX$4&lt;=$D40,'Вводные'!$B$91="Да"),"■","")</x:f>
      </x:c>
      <x:c r="BY40" s="141" t="str">
        <x:f>IF(AND(BY$4&gt;=$C40,BY$4&lt;=$D40,'Вводные'!$B$91="Да"),"■","")</x:f>
      </x:c>
      <x:c r="BZ40" s="141" t="str">
        <x:f>IF(AND(BZ$4&gt;=$C40,BZ$4&lt;=$D40,'Вводные'!$B$91="Да"),"■","")</x:f>
      </x:c>
      <x:c r="CA40" s="141" t="str">
        <x:f>IF(AND(CA$4&gt;=$C40,CA$4&lt;=$D40,'Вводные'!$B$91="Да"),"■","")</x:f>
      </x:c>
      <x:c r="CB40" s="141" t="str">
        <x:f>IF(AND(CB$4&gt;=$C40,CB$4&lt;=$D40,'Вводные'!$B$91="Да"),"■","")</x:f>
      </x:c>
      <x:c r="CC40" s="141" t="str">
        <x:f>IF(AND(CC$4&gt;=$C40,CC$4&lt;=$D40,'Вводные'!$B$91="Да"),"■","")</x:f>
      </x:c>
      <x:c r="CD40" s="141" t="str">
        <x:f>IF(AND(CD$4&gt;=$C40,CD$4&lt;=$D40,'Вводные'!$B$91="Да"),"■","")</x:f>
      </x:c>
      <x:c r="CE40" s="141" t="str">
        <x:f>IF(AND(CE$4&gt;=$C40,CE$4&lt;=$D40,'Вводные'!$B$91="Да"),"■","")</x:f>
      </x:c>
      <x:c r="CF40" s="141" t="str">
        <x:f>IF(AND(CF$4&gt;=$C40,CF$4&lt;=$D40,'Вводные'!$B$91="Да"),"■","")</x:f>
      </x:c>
      <x:c r="CG40" s="141" t="str">
        <x:f>IF(AND(CG$4&gt;=$C40,CG$4&lt;=$D40,'Вводные'!$B$91="Да"),"■","")</x:f>
      </x:c>
      <x:c r="CH40" s="141" t="str">
        <x:f>IF(AND(CH$4&gt;=$C40,CH$4&lt;=$D40,'Вводные'!$B$91="Да"),"■","")</x:f>
      </x:c>
      <x:c r="CI40" s="141" t="str">
        <x:f>IF(AND(CI$4&gt;=$C40,CI$4&lt;=$D40,'Вводные'!$B$91="Да"),"■","")</x:f>
      </x:c>
      <x:c r="CJ40" s="141" t="str">
        <x:f>IF(AND(CJ$4&gt;=$C40,CJ$4&lt;=$D40,'Вводные'!$B$91="Да"),"■","")</x:f>
      </x:c>
      <x:c r="CK40" s="141" t="str">
        <x:f>IF(AND(CK$4&gt;=$C40,CK$4&lt;=$D40,'Вводные'!$B$91="Да"),"■","")</x:f>
      </x:c>
      <x:c r="CL40" s="141" t="str">
        <x:f>IF(AND(CL$4&gt;=$C40,CL$4&lt;=$D40,'Вводные'!$B$91="Да"),"■","")</x:f>
      </x:c>
      <x:c r="CM40" s="141" t="str">
        <x:f>IF(AND(CM$4&gt;=$C40,CM$4&lt;=$D40,'Вводные'!$B$91="Да"),"■","")</x:f>
      </x:c>
      <x:c r="CN40" s="141" t="str">
        <x:f>IF(AND(CN$4&gt;=$C40,CN$4&lt;=$D40,'Вводные'!$B$91="Да"),"■","")</x:f>
      </x:c>
      <x:c r="CO40" s="141" t="str">
        <x:f>IF(AND(CO$4&gt;=$C40,CO$4&lt;=$D40,'Вводные'!$B$91="Да"),"■","")</x:f>
      </x:c>
      <x:c r="CP40" s="141" t="str">
        <x:f>IF(AND(CP$4&gt;=$C40,CP$4&lt;=$D40,'Вводные'!$B$91="Да"),"■","")</x:f>
      </x:c>
      <x:c r="CQ40" s="141" t="str">
        <x:f>IF(AND(CQ$4&gt;=$C40,CQ$4&lt;=$D40,'Вводные'!$B$91="Да"),"■","")</x:f>
      </x:c>
      <x:c r="CR40" s="141" t="str">
        <x:f>IF(AND(CR$4&gt;=$C40,CR$4&lt;=$D40,'Вводные'!$B$91="Да"),"■","")</x:f>
      </x:c>
      <x:c r="CS40" s="141" t="str">
        <x:f>IF(AND(CS$4&gt;=$C40,CS$4&lt;=$D40,'Вводные'!$B$91="Да"),"■","")</x:f>
      </x:c>
      <x:c r="CT40" s="141" t="str">
        <x:f>IF(AND(CT$4&gt;=$C40,CT$4&lt;=$D40,'Вводные'!$B$91="Да"),"■","")</x:f>
      </x:c>
      <x:c r="CU40" s="141" t="str">
        <x:f>IF(AND(CU$4&gt;=$C40,CU$4&lt;=$D40,'Вводные'!$B$91="Да"),"■","")</x:f>
      </x:c>
      <x:c r="CV40" s="141" t="str">
        <x:f>IF(AND(CV$4&gt;=$C40,CV$4&lt;=$D40,'Вводные'!$B$91="Да"),"■","")</x:f>
      </x:c>
      <x:c r="CW40" s="141" t="str">
        <x:f>IF(AND(CW$4&gt;=$C40,CW$4&lt;=$D40,'Вводные'!$B$91="Да"),"■","")</x:f>
      </x:c>
      <x:c r="CX40" s="141" t="str">
        <x:f>IF(AND(CX$4&gt;=$C40,CX$4&lt;=$D40,'Вводные'!$B$91="Да"),"■","")</x:f>
      </x:c>
      <x:c r="CY40" s="141" t="str">
        <x:f>IF(AND(CY$4&gt;=$C40,CY$4&lt;=$D40,'Вводные'!$B$91="Да"),"■","")</x:f>
      </x:c>
      <x:c r="CZ40" s="141" t="str">
        <x:f>IF(AND(CZ$4&gt;=$C40,CZ$4&lt;=$D40,'Вводные'!$B$91="Да"),"■","")</x:f>
      </x:c>
      <x:c r="DA40" s="141" t="str">
        <x:f>IF(AND(DA$4&gt;=$C40,DA$4&lt;=$D40,'Вводные'!$B$91="Да"),"■","")</x:f>
      </x:c>
      <x:c r="DB40" s="141" t="str">
        <x:f>IF(AND(DB$4&gt;=$C40,DB$4&lt;=$D40,'Вводные'!$B$91="Да"),"■","")</x:f>
      </x:c>
      <x:c r="DC40" s="141" t="str">
        <x:f>IF(AND(DC$4&gt;=$C40,DC$4&lt;=$D40,'Вводные'!$B$91="Да"),"■","")</x:f>
      </x:c>
      <x:c r="DD40" s="141" t="str">
        <x:f>IF(AND(DD$4&gt;=$C40,DD$4&lt;=$D40,'Вводные'!$B$91="Да"),"■","")</x:f>
      </x:c>
      <x:c r="DE40" s="141" t="str">
        <x:f>IF(AND(DE$4&gt;=$C40,DE$4&lt;=$D40,'Вводные'!$B$91="Да"),"■","")</x:f>
      </x:c>
      <x:c r="DF40" s="141" t="str">
        <x:f>IF(AND(DF$4&gt;=$C40,DF$4&lt;=$D40,'Вводные'!$B$91="Да"),"■","")</x:f>
      </x:c>
      <x:c r="DG40" s="141" t="str">
        <x:f>IF(AND(DG$4&gt;=$C40,DG$4&lt;=$D40,'Вводные'!$B$91="Да"),"■","")</x:f>
      </x:c>
      <x:c r="DH40" s="141" t="str">
        <x:f>IF(AND(DH$4&gt;=$C40,DH$4&lt;=$D40,'Вводные'!$B$91="Да"),"■","")</x:f>
      </x:c>
      <x:c r="DI40" s="141" t="str">
        <x:f>IF(AND(DI$4&gt;=$C40,DI$4&lt;=$D40,'Вводные'!$B$91="Да"),"■","")</x:f>
      </x:c>
      <x:c r="DJ40" s="141" t="str">
        <x:f>IF(AND(DJ$4&gt;=$C40,DJ$4&lt;=$D40,'Вводные'!$B$91="Да"),"■","")</x:f>
      </x:c>
      <x:c r="DK40" s="141" t="str">
        <x:f>IF(AND(DK$4&gt;=$C40,DK$4&lt;=$D40,'Вводные'!$B$91="Да"),"■","")</x:f>
      </x:c>
      <x:c r="DL40" s="141" t="str">
        <x:f>IF(AND(DL$4&gt;=$C40,DL$4&lt;=$D40,'Вводные'!$B$91="Да"),"■","")</x:f>
      </x:c>
      <x:c r="DM40" s="141" t="str">
        <x:f>IF(AND(DM$4&gt;=$C40,DM$4&lt;=$D40,'Вводные'!$B$91="Да"),"■","")</x:f>
      </x:c>
      <x:c r="DN40" s="141" t="str">
        <x:f>IF(AND(DN$4&gt;=$C40,DN$4&lt;=$D40,'Вводные'!$B$91="Да"),"■","")</x:f>
      </x:c>
      <x:c r="DO40" s="141" t="str">
        <x:f>IF(AND(DO$4&gt;=$C40,DO$4&lt;=$D40,'Вводные'!$B$91="Да"),"■","")</x:f>
      </x:c>
      <x:c r="DP40" s="141" t="str">
        <x:f>IF(AND(DP$4&gt;=$C40,DP$4&lt;=$D40,'Вводные'!$B$91="Да"),"■","")</x:f>
      </x:c>
      <x:c r="DQ40" s="141" t="str">
        <x:f>IF(AND(DQ$4&gt;=$C40,DQ$4&lt;=$D40,'Вводные'!$B$91="Да"),"■","")</x:f>
      </x:c>
      <x:c r="DR40" s="141" t="str">
        <x:f>IF(AND(DR$4&gt;=$C40,DR$4&lt;=$D40,'Вводные'!$B$91="Да"),"■","")</x:f>
      </x:c>
      <x:c r="DS40" s="141" t="str">
        <x:f>IF(AND(DS$4&gt;=$C40,DS$4&lt;=$D40,'Вводные'!$B$91="Да"),"■","")</x:f>
      </x:c>
      <x:c r="DT40" s="141" t="str">
        <x:f>IF(AND(DT$4&gt;=$C40,DT$4&lt;=$D40,'Вводные'!$B$91="Да"),"■","")</x:f>
      </x:c>
    </x:row>
    <x:row r="41">
      <x:c r="A41" t="str">
        <x:f>'Вводные'!$C$91</x:f>
      </x:c>
      <x:c r="B41" t="str">
        <x:v>РВЭ</x:v>
      </x:c>
      <x:c r="C41" s="92" t="n">
        <x:f>'CF_4'!B8</x:f>
      </x:c>
      <x:c r="D41" s="92" t="n">
        <x:f>C41</x:f>
      </x:c>
      <x:c r="E41" s="135" t="str">
        <x:f>IF(AND(E$4&gt;=$C41,E$4&lt;=$D41,'Вводные'!$B$91="Да"),"■","")</x:f>
      </x:c>
      <x:c r="F41" s="135" t="str">
        <x:f>IF(AND(F$4&gt;=$C41,F$4&lt;=$D41,'Вводные'!$B$91="Да"),"■","")</x:f>
      </x:c>
      <x:c r="G41" s="135" t="str">
        <x:f>IF(AND(G$4&gt;=$C41,G$4&lt;=$D41,'Вводные'!$B$91="Да"),"■","")</x:f>
      </x:c>
      <x:c r="H41" s="135" t="str">
        <x:f>IF(AND(H$4&gt;=$C41,H$4&lt;=$D41,'Вводные'!$B$91="Да"),"■","")</x:f>
      </x:c>
      <x:c r="I41" s="135" t="str">
        <x:f>IF(AND(I$4&gt;=$C41,I$4&lt;=$D41,'Вводные'!$B$91="Да"),"■","")</x:f>
      </x:c>
      <x:c r="J41" s="135" t="str">
        <x:f>IF(AND(J$4&gt;=$C41,J$4&lt;=$D41,'Вводные'!$B$91="Да"),"■","")</x:f>
      </x:c>
      <x:c r="K41" s="135" t="str">
        <x:f>IF(AND(K$4&gt;=$C41,K$4&lt;=$D41,'Вводные'!$B$91="Да"),"■","")</x:f>
      </x:c>
      <x:c r="L41" s="135" t="str">
        <x:f>IF(AND(L$4&gt;=$C41,L$4&lt;=$D41,'Вводные'!$B$91="Да"),"■","")</x:f>
      </x:c>
      <x:c r="M41" s="135" t="str">
        <x:f>IF(AND(M$4&gt;=$C41,M$4&lt;=$D41,'Вводные'!$B$91="Да"),"■","")</x:f>
      </x:c>
      <x:c r="N41" s="135" t="str">
        <x:f>IF(AND(N$4&gt;=$C41,N$4&lt;=$D41,'Вводные'!$B$91="Да"),"■","")</x:f>
      </x:c>
      <x:c r="O41" s="135" t="str">
        <x:f>IF(AND(O$4&gt;=$C41,O$4&lt;=$D41,'Вводные'!$B$91="Да"),"■","")</x:f>
      </x:c>
      <x:c r="P41" s="135" t="str">
        <x:f>IF(AND(P$4&gt;=$C41,P$4&lt;=$D41,'Вводные'!$B$91="Да"),"■","")</x:f>
      </x:c>
      <x:c r="Q41" s="135" t="str">
        <x:f>IF(AND(Q$4&gt;=$C41,Q$4&lt;=$D41,'Вводные'!$B$91="Да"),"■","")</x:f>
      </x:c>
      <x:c r="R41" s="135" t="str">
        <x:f>IF(AND(R$4&gt;=$C41,R$4&lt;=$D41,'Вводные'!$B$91="Да"),"■","")</x:f>
      </x:c>
      <x:c r="S41" s="135" t="str">
        <x:f>IF(AND(S$4&gt;=$C41,S$4&lt;=$D41,'Вводные'!$B$91="Да"),"■","")</x:f>
      </x:c>
      <x:c r="T41" s="135" t="str">
        <x:f>IF(AND(T$4&gt;=$C41,T$4&lt;=$D41,'Вводные'!$B$91="Да"),"■","")</x:f>
      </x:c>
      <x:c r="U41" s="135" t="str">
        <x:f>IF(AND(U$4&gt;=$C41,U$4&lt;=$D41,'Вводные'!$B$91="Да"),"■","")</x:f>
      </x:c>
      <x:c r="V41" s="135" t="str">
        <x:f>IF(AND(V$4&gt;=$C41,V$4&lt;=$D41,'Вводные'!$B$91="Да"),"■","")</x:f>
      </x:c>
      <x:c r="W41" s="135" t="str">
        <x:f>IF(AND(W$4&gt;=$C41,W$4&lt;=$D41,'Вводные'!$B$91="Да"),"■","")</x:f>
      </x:c>
      <x:c r="X41" s="135" t="str">
        <x:f>IF(AND(X$4&gt;=$C41,X$4&lt;=$D41,'Вводные'!$B$91="Да"),"■","")</x:f>
      </x:c>
      <x:c r="Y41" s="135" t="str">
        <x:f>IF(AND(Y$4&gt;=$C41,Y$4&lt;=$D41,'Вводные'!$B$91="Да"),"■","")</x:f>
      </x:c>
      <x:c r="Z41" s="135" t="str">
        <x:f>IF(AND(Z$4&gt;=$C41,Z$4&lt;=$D41,'Вводные'!$B$91="Да"),"■","")</x:f>
      </x:c>
      <x:c r="AA41" s="135" t="str">
        <x:f>IF(AND(AA$4&gt;=$C41,AA$4&lt;=$D41,'Вводные'!$B$91="Да"),"■","")</x:f>
      </x:c>
      <x:c r="AB41" s="135" t="str">
        <x:f>IF(AND(AB$4&gt;=$C41,AB$4&lt;=$D41,'Вводные'!$B$91="Да"),"■","")</x:f>
      </x:c>
      <x:c r="AC41" s="135" t="str">
        <x:f>IF(AND(AC$4&gt;=$C41,AC$4&lt;=$D41,'Вводные'!$B$91="Да"),"■","")</x:f>
      </x:c>
      <x:c r="AD41" s="135" t="str">
        <x:f>IF(AND(AD$4&gt;=$C41,AD$4&lt;=$D41,'Вводные'!$B$91="Да"),"■","")</x:f>
      </x:c>
      <x:c r="AE41" s="135" t="str">
        <x:f>IF(AND(AE$4&gt;=$C41,AE$4&lt;=$D41,'Вводные'!$B$91="Да"),"■","")</x:f>
      </x:c>
      <x:c r="AF41" s="135" t="str">
        <x:f>IF(AND(AF$4&gt;=$C41,AF$4&lt;=$D41,'Вводные'!$B$91="Да"),"■","")</x:f>
      </x:c>
      <x:c r="AG41" s="135" t="str">
        <x:f>IF(AND(AG$4&gt;=$C41,AG$4&lt;=$D41,'Вводные'!$B$91="Да"),"■","")</x:f>
      </x:c>
      <x:c r="AH41" s="135" t="str">
        <x:f>IF(AND(AH$4&gt;=$C41,AH$4&lt;=$D41,'Вводные'!$B$91="Да"),"■","")</x:f>
      </x:c>
      <x:c r="AI41" s="135" t="str">
        <x:f>IF(AND(AI$4&gt;=$C41,AI$4&lt;=$D41,'Вводные'!$B$91="Да"),"■","")</x:f>
      </x:c>
      <x:c r="AJ41" s="135" t="str">
        <x:f>IF(AND(AJ$4&gt;=$C41,AJ$4&lt;=$D41,'Вводные'!$B$91="Да"),"■","")</x:f>
      </x:c>
      <x:c r="AK41" s="135" t="str">
        <x:f>IF(AND(AK$4&gt;=$C41,AK$4&lt;=$D41,'Вводные'!$B$91="Да"),"■","")</x:f>
      </x:c>
      <x:c r="AL41" s="135" t="str">
        <x:f>IF(AND(AL$4&gt;=$C41,AL$4&lt;=$D41,'Вводные'!$B$91="Да"),"■","")</x:f>
      </x:c>
      <x:c r="AM41" s="135" t="str">
        <x:f>IF(AND(AM$4&gt;=$C41,AM$4&lt;=$D41,'Вводные'!$B$91="Да"),"■","")</x:f>
      </x:c>
      <x:c r="AN41" s="135" t="str">
        <x:f>IF(AND(AN$4&gt;=$C41,AN$4&lt;=$D41,'Вводные'!$B$91="Да"),"■","")</x:f>
      </x:c>
      <x:c r="AO41" s="135" t="str">
        <x:f>IF(AND(AO$4&gt;=$C41,AO$4&lt;=$D41,'Вводные'!$B$91="Да"),"■","")</x:f>
      </x:c>
      <x:c r="AP41" s="135" t="str">
        <x:f>IF(AND(AP$4&gt;=$C41,AP$4&lt;=$D41,'Вводные'!$B$91="Да"),"■","")</x:f>
      </x:c>
      <x:c r="AQ41" s="135" t="str">
        <x:f>IF(AND(AQ$4&gt;=$C41,AQ$4&lt;=$D41,'Вводные'!$B$91="Да"),"■","")</x:f>
      </x:c>
      <x:c r="AR41" s="135" t="str">
        <x:f>IF(AND(AR$4&gt;=$C41,AR$4&lt;=$D41,'Вводные'!$B$91="Да"),"■","")</x:f>
      </x:c>
      <x:c r="AS41" s="135" t="str">
        <x:f>IF(AND(AS$4&gt;=$C41,AS$4&lt;=$D41,'Вводные'!$B$91="Да"),"■","")</x:f>
      </x:c>
      <x:c r="AT41" s="135" t="str">
        <x:f>IF(AND(AT$4&gt;=$C41,AT$4&lt;=$D41,'Вводные'!$B$91="Да"),"■","")</x:f>
      </x:c>
      <x:c r="AU41" s="135" t="str">
        <x:f>IF(AND(AU$4&gt;=$C41,AU$4&lt;=$D41,'Вводные'!$B$91="Да"),"■","")</x:f>
      </x:c>
      <x:c r="AV41" s="135" t="str">
        <x:f>IF(AND(AV$4&gt;=$C41,AV$4&lt;=$D41,'Вводные'!$B$91="Да"),"■","")</x:f>
      </x:c>
      <x:c r="AW41" s="135" t="str">
        <x:f>IF(AND(AW$4&gt;=$C41,AW$4&lt;=$D41,'Вводные'!$B$91="Да"),"■","")</x:f>
      </x:c>
      <x:c r="AX41" s="135" t="str">
        <x:f>IF(AND(AX$4&gt;=$C41,AX$4&lt;=$D41,'Вводные'!$B$91="Да"),"■","")</x:f>
      </x:c>
      <x:c r="AY41" s="135" t="str">
        <x:f>IF(AND(AY$4&gt;=$C41,AY$4&lt;=$D41,'Вводные'!$B$91="Да"),"■","")</x:f>
      </x:c>
      <x:c r="AZ41" s="135" t="str">
        <x:f>IF(AND(AZ$4&gt;=$C41,AZ$4&lt;=$D41,'Вводные'!$B$91="Да"),"■","")</x:f>
      </x:c>
      <x:c r="BA41" s="135" t="str">
        <x:f>IF(AND(BA$4&gt;=$C41,BA$4&lt;=$D41,'Вводные'!$B$91="Да"),"■","")</x:f>
      </x:c>
      <x:c r="BB41" s="135" t="str">
        <x:f>IF(AND(BB$4&gt;=$C41,BB$4&lt;=$D41,'Вводные'!$B$91="Да"),"■","")</x:f>
      </x:c>
      <x:c r="BC41" s="135" t="str">
        <x:f>IF(AND(BC$4&gt;=$C41,BC$4&lt;=$D41,'Вводные'!$B$91="Да"),"■","")</x:f>
      </x:c>
      <x:c r="BD41" s="135" t="str">
        <x:f>IF(AND(BD$4&gt;=$C41,BD$4&lt;=$D41,'Вводные'!$B$91="Да"),"■","")</x:f>
      </x:c>
      <x:c r="BE41" s="135" t="str">
        <x:f>IF(AND(BE$4&gt;=$C41,BE$4&lt;=$D41,'Вводные'!$B$91="Да"),"■","")</x:f>
      </x:c>
      <x:c r="BF41" s="135" t="str">
        <x:f>IF(AND(BF$4&gt;=$C41,BF$4&lt;=$D41,'Вводные'!$B$91="Да"),"■","")</x:f>
      </x:c>
      <x:c r="BG41" s="135" t="str">
        <x:f>IF(AND(BG$4&gt;=$C41,BG$4&lt;=$D41,'Вводные'!$B$91="Да"),"■","")</x:f>
      </x:c>
      <x:c r="BH41" s="135" t="str">
        <x:f>IF(AND(BH$4&gt;=$C41,BH$4&lt;=$D41,'Вводные'!$B$91="Да"),"■","")</x:f>
      </x:c>
      <x:c r="BI41" s="135" t="str">
        <x:f>IF(AND(BI$4&gt;=$C41,BI$4&lt;=$D41,'Вводные'!$B$91="Да"),"■","")</x:f>
      </x:c>
      <x:c r="BJ41" s="135" t="str">
        <x:f>IF(AND(BJ$4&gt;=$C41,BJ$4&lt;=$D41,'Вводные'!$B$91="Да"),"■","")</x:f>
      </x:c>
      <x:c r="BK41" s="135" t="str">
        <x:f>IF(AND(BK$4&gt;=$C41,BK$4&lt;=$D41,'Вводные'!$B$91="Да"),"■","")</x:f>
      </x:c>
      <x:c r="BL41" s="135" t="str">
        <x:f>IF(AND(BL$4&gt;=$C41,BL$4&lt;=$D41,'Вводные'!$B$91="Да"),"■","")</x:f>
      </x:c>
      <x:c r="BM41" s="135" t="str">
        <x:f>IF(AND(BM$4&gt;=$C41,BM$4&lt;=$D41,'Вводные'!$B$91="Да"),"■","")</x:f>
      </x:c>
      <x:c r="BN41" s="135" t="str">
        <x:f>IF(AND(BN$4&gt;=$C41,BN$4&lt;=$D41,'Вводные'!$B$91="Да"),"■","")</x:f>
      </x:c>
      <x:c r="BO41" s="135" t="str">
        <x:f>IF(AND(BO$4&gt;=$C41,BO$4&lt;=$D41,'Вводные'!$B$91="Да"),"■","")</x:f>
      </x:c>
      <x:c r="BP41" s="135" t="str">
        <x:f>IF(AND(BP$4&gt;=$C41,BP$4&lt;=$D41,'Вводные'!$B$91="Да"),"■","")</x:f>
      </x:c>
      <x:c r="BQ41" s="135" t="str">
        <x:f>IF(AND(BQ$4&gt;=$C41,BQ$4&lt;=$D41,'Вводные'!$B$91="Да"),"■","")</x:f>
      </x:c>
      <x:c r="BR41" s="135" t="str">
        <x:f>IF(AND(BR$4&gt;=$C41,BR$4&lt;=$D41,'Вводные'!$B$91="Да"),"■","")</x:f>
      </x:c>
      <x:c r="BS41" s="135" t="str">
        <x:f>IF(AND(BS$4&gt;=$C41,BS$4&lt;=$D41,'Вводные'!$B$91="Да"),"■","")</x:f>
      </x:c>
      <x:c r="BT41" s="135" t="str">
        <x:f>IF(AND(BT$4&gt;=$C41,BT$4&lt;=$D41,'Вводные'!$B$91="Да"),"■","")</x:f>
      </x:c>
      <x:c r="BU41" s="135" t="str">
        <x:f>IF(AND(BU$4&gt;=$C41,BU$4&lt;=$D41,'Вводные'!$B$91="Да"),"■","")</x:f>
      </x:c>
      <x:c r="BV41" s="135" t="str">
        <x:f>IF(AND(BV$4&gt;=$C41,BV$4&lt;=$D41,'Вводные'!$B$91="Да"),"■","")</x:f>
      </x:c>
      <x:c r="BW41" s="135" t="str">
        <x:f>IF(AND(BW$4&gt;=$C41,BW$4&lt;=$D41,'Вводные'!$B$91="Да"),"■","")</x:f>
      </x:c>
      <x:c r="BX41" s="135" t="str">
        <x:f>IF(AND(BX$4&gt;=$C41,BX$4&lt;=$D41,'Вводные'!$B$91="Да"),"■","")</x:f>
      </x:c>
      <x:c r="BY41" s="135" t="str">
        <x:f>IF(AND(BY$4&gt;=$C41,BY$4&lt;=$D41,'Вводные'!$B$91="Да"),"■","")</x:f>
      </x:c>
      <x:c r="BZ41" s="135" t="str">
        <x:f>IF(AND(BZ$4&gt;=$C41,BZ$4&lt;=$D41,'Вводные'!$B$91="Да"),"■","")</x:f>
      </x:c>
      <x:c r="CA41" s="135" t="str">
        <x:f>IF(AND(CA$4&gt;=$C41,CA$4&lt;=$D41,'Вводные'!$B$91="Да"),"■","")</x:f>
      </x:c>
      <x:c r="CB41" s="135" t="str">
        <x:f>IF(AND(CB$4&gt;=$C41,CB$4&lt;=$D41,'Вводные'!$B$91="Да"),"■","")</x:f>
      </x:c>
      <x:c r="CC41" s="135" t="str">
        <x:f>IF(AND(CC$4&gt;=$C41,CC$4&lt;=$D41,'Вводные'!$B$91="Да"),"■","")</x:f>
      </x:c>
      <x:c r="CD41" s="135" t="str">
        <x:f>IF(AND(CD$4&gt;=$C41,CD$4&lt;=$D41,'Вводные'!$B$91="Да"),"■","")</x:f>
      </x:c>
      <x:c r="CE41" s="135" t="str">
        <x:f>IF(AND(CE$4&gt;=$C41,CE$4&lt;=$D41,'Вводные'!$B$91="Да"),"■","")</x:f>
      </x:c>
      <x:c r="CF41" s="135" t="str">
        <x:f>IF(AND(CF$4&gt;=$C41,CF$4&lt;=$D41,'Вводные'!$B$91="Да"),"■","")</x:f>
      </x:c>
      <x:c r="CG41" s="135" t="str">
        <x:f>IF(AND(CG$4&gt;=$C41,CG$4&lt;=$D41,'Вводные'!$B$91="Да"),"■","")</x:f>
      </x:c>
      <x:c r="CH41" s="135" t="str">
        <x:f>IF(AND(CH$4&gt;=$C41,CH$4&lt;=$D41,'Вводные'!$B$91="Да"),"■","")</x:f>
      </x:c>
      <x:c r="CI41" s="135" t="str">
        <x:f>IF(AND(CI$4&gt;=$C41,CI$4&lt;=$D41,'Вводные'!$B$91="Да"),"■","")</x:f>
      </x:c>
      <x:c r="CJ41" s="135" t="str">
        <x:f>IF(AND(CJ$4&gt;=$C41,CJ$4&lt;=$D41,'Вводные'!$B$91="Да"),"■","")</x:f>
      </x:c>
      <x:c r="CK41" s="135" t="str">
        <x:f>IF(AND(CK$4&gt;=$C41,CK$4&lt;=$D41,'Вводные'!$B$91="Да"),"■","")</x:f>
      </x:c>
      <x:c r="CL41" s="135" t="str">
        <x:f>IF(AND(CL$4&gt;=$C41,CL$4&lt;=$D41,'Вводные'!$B$91="Да"),"■","")</x:f>
      </x:c>
      <x:c r="CM41" s="135" t="str">
        <x:f>IF(AND(CM$4&gt;=$C41,CM$4&lt;=$D41,'Вводные'!$B$91="Да"),"■","")</x:f>
      </x:c>
      <x:c r="CN41" s="135" t="str">
        <x:f>IF(AND(CN$4&gt;=$C41,CN$4&lt;=$D41,'Вводные'!$B$91="Да"),"■","")</x:f>
      </x:c>
      <x:c r="CO41" s="135" t="str">
        <x:f>IF(AND(CO$4&gt;=$C41,CO$4&lt;=$D41,'Вводные'!$B$91="Да"),"■","")</x:f>
      </x:c>
      <x:c r="CP41" s="135" t="str">
        <x:f>IF(AND(CP$4&gt;=$C41,CP$4&lt;=$D41,'Вводные'!$B$91="Да"),"■","")</x:f>
      </x:c>
      <x:c r="CQ41" s="135" t="str">
        <x:f>IF(AND(CQ$4&gt;=$C41,CQ$4&lt;=$D41,'Вводные'!$B$91="Да"),"■","")</x:f>
      </x:c>
      <x:c r="CR41" s="135" t="str">
        <x:f>IF(AND(CR$4&gt;=$C41,CR$4&lt;=$D41,'Вводные'!$B$91="Да"),"■","")</x:f>
      </x:c>
      <x:c r="CS41" s="135" t="str">
        <x:f>IF(AND(CS$4&gt;=$C41,CS$4&lt;=$D41,'Вводные'!$B$91="Да"),"■","")</x:f>
      </x:c>
      <x:c r="CT41" s="135" t="str">
        <x:f>IF(AND(CT$4&gt;=$C41,CT$4&lt;=$D41,'Вводные'!$B$91="Да"),"■","")</x:f>
      </x:c>
      <x:c r="CU41" s="135" t="str">
        <x:f>IF(AND(CU$4&gt;=$C41,CU$4&lt;=$D41,'Вводные'!$B$91="Да"),"■","")</x:f>
      </x:c>
      <x:c r="CV41" s="135" t="str">
        <x:f>IF(AND(CV$4&gt;=$C41,CV$4&lt;=$D41,'Вводные'!$B$91="Да"),"■","")</x:f>
      </x:c>
      <x:c r="CW41" s="135" t="str">
        <x:f>IF(AND(CW$4&gt;=$C41,CW$4&lt;=$D41,'Вводные'!$B$91="Да"),"■","")</x:f>
      </x:c>
      <x:c r="CX41" s="135" t="str">
        <x:f>IF(AND(CX$4&gt;=$C41,CX$4&lt;=$D41,'Вводные'!$B$91="Да"),"■","")</x:f>
      </x:c>
      <x:c r="CY41" s="135" t="str">
        <x:f>IF(AND(CY$4&gt;=$C41,CY$4&lt;=$D41,'Вводные'!$B$91="Да"),"■","")</x:f>
      </x:c>
      <x:c r="CZ41" s="135" t="str">
        <x:f>IF(AND(CZ$4&gt;=$C41,CZ$4&lt;=$D41,'Вводные'!$B$91="Да"),"■","")</x:f>
      </x:c>
      <x:c r="DA41" s="135" t="str">
        <x:f>IF(AND(DA$4&gt;=$C41,DA$4&lt;=$D41,'Вводные'!$B$91="Да"),"■","")</x:f>
      </x:c>
      <x:c r="DB41" s="135" t="str">
        <x:f>IF(AND(DB$4&gt;=$C41,DB$4&lt;=$D41,'Вводные'!$B$91="Да"),"■","")</x:f>
      </x:c>
      <x:c r="DC41" s="135" t="str">
        <x:f>IF(AND(DC$4&gt;=$C41,DC$4&lt;=$D41,'Вводные'!$B$91="Да"),"■","")</x:f>
      </x:c>
      <x:c r="DD41" s="135" t="str">
        <x:f>IF(AND(DD$4&gt;=$C41,DD$4&lt;=$D41,'Вводные'!$B$91="Да"),"■","")</x:f>
      </x:c>
      <x:c r="DE41" s="135" t="str">
        <x:f>IF(AND(DE$4&gt;=$C41,DE$4&lt;=$D41,'Вводные'!$B$91="Да"),"■","")</x:f>
      </x:c>
      <x:c r="DF41" s="135" t="str">
        <x:f>IF(AND(DF$4&gt;=$C41,DF$4&lt;=$D41,'Вводные'!$B$91="Да"),"■","")</x:f>
      </x:c>
      <x:c r="DG41" s="135" t="str">
        <x:f>IF(AND(DG$4&gt;=$C41,DG$4&lt;=$D41,'Вводные'!$B$91="Да"),"■","")</x:f>
      </x:c>
      <x:c r="DH41" s="135" t="str">
        <x:f>IF(AND(DH$4&gt;=$C41,DH$4&lt;=$D41,'Вводные'!$B$91="Да"),"■","")</x:f>
      </x:c>
      <x:c r="DI41" s="135" t="str">
        <x:f>IF(AND(DI$4&gt;=$C41,DI$4&lt;=$D41,'Вводные'!$B$91="Да"),"■","")</x:f>
      </x:c>
      <x:c r="DJ41" s="135" t="str">
        <x:f>IF(AND(DJ$4&gt;=$C41,DJ$4&lt;=$D41,'Вводные'!$B$91="Да"),"■","")</x:f>
      </x:c>
      <x:c r="DK41" s="135" t="str">
        <x:f>IF(AND(DK$4&gt;=$C41,DK$4&lt;=$D41,'Вводные'!$B$91="Да"),"■","")</x:f>
      </x:c>
      <x:c r="DL41" s="135" t="str">
        <x:f>IF(AND(DL$4&gt;=$C41,DL$4&lt;=$D41,'Вводные'!$B$91="Да"),"■","")</x:f>
      </x:c>
      <x:c r="DM41" s="135" t="str">
        <x:f>IF(AND(DM$4&gt;=$C41,DM$4&lt;=$D41,'Вводные'!$B$91="Да"),"■","")</x:f>
      </x:c>
      <x:c r="DN41" s="135" t="str">
        <x:f>IF(AND(DN$4&gt;=$C41,DN$4&lt;=$D41,'Вводные'!$B$91="Да"),"■","")</x:f>
      </x:c>
      <x:c r="DO41" s="135" t="str">
        <x:f>IF(AND(DO$4&gt;=$C41,DO$4&lt;=$D41,'Вводные'!$B$91="Да"),"■","")</x:f>
      </x:c>
      <x:c r="DP41" s="135" t="str">
        <x:f>IF(AND(DP$4&gt;=$C41,DP$4&lt;=$D41,'Вводные'!$B$91="Да"),"■","")</x:f>
      </x:c>
      <x:c r="DQ41" s="135" t="str">
        <x:f>IF(AND(DQ$4&gt;=$C41,DQ$4&lt;=$D41,'Вводные'!$B$91="Да"),"■","")</x:f>
      </x:c>
      <x:c r="DR41" s="135" t="str">
        <x:f>IF(AND(DR$4&gt;=$C41,DR$4&lt;=$D41,'Вводные'!$B$91="Да"),"■","")</x:f>
      </x:c>
      <x:c r="DS41" s="135" t="str">
        <x:f>IF(AND(DS$4&gt;=$C41,DS$4&lt;=$D41,'Вводные'!$B$91="Да"),"■","")</x:f>
      </x:c>
      <x:c r="DT41" s="135" t="str">
        <x:f>IF(AND(DT$4&gt;=$C41,DT$4&lt;=$D41,'Вводные'!$B$91="Да"),"■","")</x:f>
      </x:c>
    </x:row>
    <x:row r="42">
      <x:c r="A42" t="str">
        <x:f>'Вводные'!$C$91</x:f>
      </x:c>
      <x:c r="B42" t="str">
        <x:v>Проектное финансирование</x:v>
      </x:c>
      <x:c r="C42" s="92" t="n">
        <x:f>'CF_4'!B7</x:f>
      </x:c>
      <x:c r="D42" s="92" t="n">
        <x:f>EDATE('Продажи'!B76,'Вводные'!$H$91-1)</x:f>
      </x:c>
      <x:c r="E42" s="137" t="str">
        <x:f>IF(AND(E$4&gt;=$C42,E$4&lt;=$D42,'Вводные'!$B$91="Да"),"■","")</x:f>
      </x:c>
      <x:c r="F42" s="137" t="str">
        <x:f>IF(AND(F$4&gt;=$C42,F$4&lt;=$D42,'Вводные'!$B$91="Да"),"■","")</x:f>
      </x:c>
      <x:c r="G42" s="137" t="str">
        <x:f>IF(AND(G$4&gt;=$C42,G$4&lt;=$D42,'Вводные'!$B$91="Да"),"■","")</x:f>
      </x:c>
      <x:c r="H42" s="137" t="str">
        <x:f>IF(AND(H$4&gt;=$C42,H$4&lt;=$D42,'Вводные'!$B$91="Да"),"■","")</x:f>
      </x:c>
      <x:c r="I42" s="137" t="str">
        <x:f>IF(AND(I$4&gt;=$C42,I$4&lt;=$D42,'Вводные'!$B$91="Да"),"■","")</x:f>
      </x:c>
      <x:c r="J42" s="137" t="str">
        <x:f>IF(AND(J$4&gt;=$C42,J$4&lt;=$D42,'Вводные'!$B$91="Да"),"■","")</x:f>
      </x:c>
      <x:c r="K42" s="137" t="str">
        <x:f>IF(AND(K$4&gt;=$C42,K$4&lt;=$D42,'Вводные'!$B$91="Да"),"■","")</x:f>
      </x:c>
      <x:c r="L42" s="137" t="str">
        <x:f>IF(AND(L$4&gt;=$C42,L$4&lt;=$D42,'Вводные'!$B$91="Да"),"■","")</x:f>
      </x:c>
      <x:c r="M42" s="137" t="str">
        <x:f>IF(AND(M$4&gt;=$C42,M$4&lt;=$D42,'Вводные'!$B$91="Да"),"■","")</x:f>
      </x:c>
      <x:c r="N42" s="137" t="str">
        <x:f>IF(AND(N$4&gt;=$C42,N$4&lt;=$D42,'Вводные'!$B$91="Да"),"■","")</x:f>
      </x:c>
      <x:c r="O42" s="137" t="str">
        <x:f>IF(AND(O$4&gt;=$C42,O$4&lt;=$D42,'Вводные'!$B$91="Да"),"■","")</x:f>
      </x:c>
      <x:c r="P42" s="137" t="str">
        <x:f>IF(AND(P$4&gt;=$C42,P$4&lt;=$D42,'Вводные'!$B$91="Да"),"■","")</x:f>
      </x:c>
      <x:c r="Q42" s="137" t="str">
        <x:f>IF(AND(Q$4&gt;=$C42,Q$4&lt;=$D42,'Вводные'!$B$91="Да"),"■","")</x:f>
      </x:c>
      <x:c r="R42" s="137" t="str">
        <x:f>IF(AND(R$4&gt;=$C42,R$4&lt;=$D42,'Вводные'!$B$91="Да"),"■","")</x:f>
      </x:c>
      <x:c r="S42" s="137" t="str">
        <x:f>IF(AND(S$4&gt;=$C42,S$4&lt;=$D42,'Вводные'!$B$91="Да"),"■","")</x:f>
      </x:c>
      <x:c r="T42" s="137" t="str">
        <x:f>IF(AND(T$4&gt;=$C42,T$4&lt;=$D42,'Вводные'!$B$91="Да"),"■","")</x:f>
      </x:c>
      <x:c r="U42" s="137" t="str">
        <x:f>IF(AND(U$4&gt;=$C42,U$4&lt;=$D42,'Вводные'!$B$91="Да"),"■","")</x:f>
      </x:c>
      <x:c r="V42" s="137" t="str">
        <x:f>IF(AND(V$4&gt;=$C42,V$4&lt;=$D42,'Вводные'!$B$91="Да"),"■","")</x:f>
      </x:c>
      <x:c r="W42" s="137" t="str">
        <x:f>IF(AND(W$4&gt;=$C42,W$4&lt;=$D42,'Вводные'!$B$91="Да"),"■","")</x:f>
      </x:c>
      <x:c r="X42" s="137" t="str">
        <x:f>IF(AND(X$4&gt;=$C42,X$4&lt;=$D42,'Вводные'!$B$91="Да"),"■","")</x:f>
      </x:c>
      <x:c r="Y42" s="137" t="str">
        <x:f>IF(AND(Y$4&gt;=$C42,Y$4&lt;=$D42,'Вводные'!$B$91="Да"),"■","")</x:f>
      </x:c>
      <x:c r="Z42" s="137" t="str">
        <x:f>IF(AND(Z$4&gt;=$C42,Z$4&lt;=$D42,'Вводные'!$B$91="Да"),"■","")</x:f>
      </x:c>
      <x:c r="AA42" s="137" t="str">
        <x:f>IF(AND(AA$4&gt;=$C42,AA$4&lt;=$D42,'Вводные'!$B$91="Да"),"■","")</x:f>
      </x:c>
      <x:c r="AB42" s="137" t="str">
        <x:f>IF(AND(AB$4&gt;=$C42,AB$4&lt;=$D42,'Вводные'!$B$91="Да"),"■","")</x:f>
      </x:c>
      <x:c r="AC42" s="137" t="str">
        <x:f>IF(AND(AC$4&gt;=$C42,AC$4&lt;=$D42,'Вводные'!$B$91="Да"),"■","")</x:f>
      </x:c>
      <x:c r="AD42" s="137" t="str">
        <x:f>IF(AND(AD$4&gt;=$C42,AD$4&lt;=$D42,'Вводные'!$B$91="Да"),"■","")</x:f>
      </x:c>
      <x:c r="AE42" s="137" t="str">
        <x:f>IF(AND(AE$4&gt;=$C42,AE$4&lt;=$D42,'Вводные'!$B$91="Да"),"■","")</x:f>
      </x:c>
      <x:c r="AF42" s="137" t="str">
        <x:f>IF(AND(AF$4&gt;=$C42,AF$4&lt;=$D42,'Вводные'!$B$91="Да"),"■","")</x:f>
      </x:c>
      <x:c r="AG42" s="137" t="str">
        <x:f>IF(AND(AG$4&gt;=$C42,AG$4&lt;=$D42,'Вводные'!$B$91="Да"),"■","")</x:f>
      </x:c>
      <x:c r="AH42" s="137" t="str">
        <x:f>IF(AND(AH$4&gt;=$C42,AH$4&lt;=$D42,'Вводные'!$B$91="Да"),"■","")</x:f>
      </x:c>
      <x:c r="AI42" s="137" t="str">
        <x:f>IF(AND(AI$4&gt;=$C42,AI$4&lt;=$D42,'Вводные'!$B$91="Да"),"■","")</x:f>
      </x:c>
      <x:c r="AJ42" s="137" t="str">
        <x:f>IF(AND(AJ$4&gt;=$C42,AJ$4&lt;=$D42,'Вводные'!$B$91="Да"),"■","")</x:f>
      </x:c>
      <x:c r="AK42" s="137" t="str">
        <x:f>IF(AND(AK$4&gt;=$C42,AK$4&lt;=$D42,'Вводные'!$B$91="Да"),"■","")</x:f>
      </x:c>
      <x:c r="AL42" s="137" t="str">
        <x:f>IF(AND(AL$4&gt;=$C42,AL$4&lt;=$D42,'Вводные'!$B$91="Да"),"■","")</x:f>
      </x:c>
      <x:c r="AM42" s="137" t="str">
        <x:f>IF(AND(AM$4&gt;=$C42,AM$4&lt;=$D42,'Вводные'!$B$91="Да"),"■","")</x:f>
      </x:c>
      <x:c r="AN42" s="137" t="str">
        <x:f>IF(AND(AN$4&gt;=$C42,AN$4&lt;=$D42,'Вводные'!$B$91="Да"),"■","")</x:f>
      </x:c>
      <x:c r="AO42" s="137" t="str">
        <x:f>IF(AND(AO$4&gt;=$C42,AO$4&lt;=$D42,'Вводные'!$B$91="Да"),"■","")</x:f>
      </x:c>
      <x:c r="AP42" s="137" t="str">
        <x:f>IF(AND(AP$4&gt;=$C42,AP$4&lt;=$D42,'Вводные'!$B$91="Да"),"■","")</x:f>
      </x:c>
      <x:c r="AQ42" s="137" t="str">
        <x:f>IF(AND(AQ$4&gt;=$C42,AQ$4&lt;=$D42,'Вводные'!$B$91="Да"),"■","")</x:f>
      </x:c>
      <x:c r="AR42" s="137" t="str">
        <x:f>IF(AND(AR$4&gt;=$C42,AR$4&lt;=$D42,'Вводные'!$B$91="Да"),"■","")</x:f>
      </x:c>
      <x:c r="AS42" s="137" t="str">
        <x:f>IF(AND(AS$4&gt;=$C42,AS$4&lt;=$D42,'Вводные'!$B$91="Да"),"■","")</x:f>
      </x:c>
      <x:c r="AT42" s="137" t="str">
        <x:f>IF(AND(AT$4&gt;=$C42,AT$4&lt;=$D42,'Вводные'!$B$91="Да"),"■","")</x:f>
      </x:c>
      <x:c r="AU42" s="137" t="str">
        <x:f>IF(AND(AU$4&gt;=$C42,AU$4&lt;=$D42,'Вводные'!$B$91="Да"),"■","")</x:f>
      </x:c>
      <x:c r="AV42" s="137" t="str">
        <x:f>IF(AND(AV$4&gt;=$C42,AV$4&lt;=$D42,'Вводные'!$B$91="Да"),"■","")</x:f>
      </x:c>
      <x:c r="AW42" s="137" t="str">
        <x:f>IF(AND(AW$4&gt;=$C42,AW$4&lt;=$D42,'Вводные'!$B$91="Да"),"■","")</x:f>
      </x:c>
      <x:c r="AX42" s="137" t="str">
        <x:f>IF(AND(AX$4&gt;=$C42,AX$4&lt;=$D42,'Вводные'!$B$91="Да"),"■","")</x:f>
      </x:c>
      <x:c r="AY42" s="137" t="str">
        <x:f>IF(AND(AY$4&gt;=$C42,AY$4&lt;=$D42,'Вводные'!$B$91="Да"),"■","")</x:f>
      </x:c>
      <x:c r="AZ42" s="137" t="str">
        <x:f>IF(AND(AZ$4&gt;=$C42,AZ$4&lt;=$D42,'Вводные'!$B$91="Да"),"■","")</x:f>
      </x:c>
      <x:c r="BA42" s="137" t="str">
        <x:f>IF(AND(BA$4&gt;=$C42,BA$4&lt;=$D42,'Вводные'!$B$91="Да"),"■","")</x:f>
      </x:c>
      <x:c r="BB42" s="137" t="str">
        <x:f>IF(AND(BB$4&gt;=$C42,BB$4&lt;=$D42,'Вводные'!$B$91="Да"),"■","")</x:f>
      </x:c>
      <x:c r="BC42" s="137" t="str">
        <x:f>IF(AND(BC$4&gt;=$C42,BC$4&lt;=$D42,'Вводные'!$B$91="Да"),"■","")</x:f>
      </x:c>
      <x:c r="BD42" s="137" t="str">
        <x:f>IF(AND(BD$4&gt;=$C42,BD$4&lt;=$D42,'Вводные'!$B$91="Да"),"■","")</x:f>
      </x:c>
      <x:c r="BE42" s="137" t="str">
        <x:f>IF(AND(BE$4&gt;=$C42,BE$4&lt;=$D42,'Вводные'!$B$91="Да"),"■","")</x:f>
      </x:c>
      <x:c r="BF42" s="137" t="str">
        <x:f>IF(AND(BF$4&gt;=$C42,BF$4&lt;=$D42,'Вводные'!$B$91="Да"),"■","")</x:f>
      </x:c>
      <x:c r="BG42" s="137" t="str">
        <x:f>IF(AND(BG$4&gt;=$C42,BG$4&lt;=$D42,'Вводные'!$B$91="Да"),"■","")</x:f>
      </x:c>
      <x:c r="BH42" s="137" t="str">
        <x:f>IF(AND(BH$4&gt;=$C42,BH$4&lt;=$D42,'Вводные'!$B$91="Да"),"■","")</x:f>
      </x:c>
      <x:c r="BI42" s="137" t="str">
        <x:f>IF(AND(BI$4&gt;=$C42,BI$4&lt;=$D42,'Вводные'!$B$91="Да"),"■","")</x:f>
      </x:c>
      <x:c r="BJ42" s="137" t="str">
        <x:f>IF(AND(BJ$4&gt;=$C42,BJ$4&lt;=$D42,'Вводные'!$B$91="Да"),"■","")</x:f>
      </x:c>
      <x:c r="BK42" s="137" t="str">
        <x:f>IF(AND(BK$4&gt;=$C42,BK$4&lt;=$D42,'Вводные'!$B$91="Да"),"■","")</x:f>
      </x:c>
      <x:c r="BL42" s="137" t="str">
        <x:f>IF(AND(BL$4&gt;=$C42,BL$4&lt;=$D42,'Вводные'!$B$91="Да"),"■","")</x:f>
      </x:c>
      <x:c r="BM42" s="137" t="str">
        <x:f>IF(AND(BM$4&gt;=$C42,BM$4&lt;=$D42,'Вводные'!$B$91="Да"),"■","")</x:f>
      </x:c>
      <x:c r="BN42" s="137" t="str">
        <x:f>IF(AND(BN$4&gt;=$C42,BN$4&lt;=$D42,'Вводные'!$B$91="Да"),"■","")</x:f>
      </x:c>
      <x:c r="BO42" s="137" t="str">
        <x:f>IF(AND(BO$4&gt;=$C42,BO$4&lt;=$D42,'Вводные'!$B$91="Да"),"■","")</x:f>
      </x:c>
      <x:c r="BP42" s="137" t="str">
        <x:f>IF(AND(BP$4&gt;=$C42,BP$4&lt;=$D42,'Вводные'!$B$91="Да"),"■","")</x:f>
      </x:c>
      <x:c r="BQ42" s="137" t="str">
        <x:f>IF(AND(BQ$4&gt;=$C42,BQ$4&lt;=$D42,'Вводные'!$B$91="Да"),"■","")</x:f>
      </x:c>
      <x:c r="BR42" s="137" t="str">
        <x:f>IF(AND(BR$4&gt;=$C42,BR$4&lt;=$D42,'Вводные'!$B$91="Да"),"■","")</x:f>
      </x:c>
      <x:c r="BS42" s="137" t="str">
        <x:f>IF(AND(BS$4&gt;=$C42,BS$4&lt;=$D42,'Вводные'!$B$91="Да"),"■","")</x:f>
      </x:c>
      <x:c r="BT42" s="137" t="str">
        <x:f>IF(AND(BT$4&gt;=$C42,BT$4&lt;=$D42,'Вводные'!$B$91="Да"),"■","")</x:f>
      </x:c>
      <x:c r="BU42" s="137" t="str">
        <x:f>IF(AND(BU$4&gt;=$C42,BU$4&lt;=$D42,'Вводные'!$B$91="Да"),"■","")</x:f>
      </x:c>
      <x:c r="BV42" s="137" t="str">
        <x:f>IF(AND(BV$4&gt;=$C42,BV$4&lt;=$D42,'Вводные'!$B$91="Да"),"■","")</x:f>
      </x:c>
      <x:c r="BW42" s="137" t="str">
        <x:f>IF(AND(BW$4&gt;=$C42,BW$4&lt;=$D42,'Вводные'!$B$91="Да"),"■","")</x:f>
      </x:c>
      <x:c r="BX42" s="137" t="str">
        <x:f>IF(AND(BX$4&gt;=$C42,BX$4&lt;=$D42,'Вводные'!$B$91="Да"),"■","")</x:f>
      </x:c>
      <x:c r="BY42" s="137" t="str">
        <x:f>IF(AND(BY$4&gt;=$C42,BY$4&lt;=$D42,'Вводные'!$B$91="Да"),"■","")</x:f>
      </x:c>
      <x:c r="BZ42" s="137" t="str">
        <x:f>IF(AND(BZ$4&gt;=$C42,BZ$4&lt;=$D42,'Вводные'!$B$91="Да"),"■","")</x:f>
      </x:c>
      <x:c r="CA42" s="137" t="str">
        <x:f>IF(AND(CA$4&gt;=$C42,CA$4&lt;=$D42,'Вводные'!$B$91="Да"),"■","")</x:f>
      </x:c>
      <x:c r="CB42" s="137" t="str">
        <x:f>IF(AND(CB$4&gt;=$C42,CB$4&lt;=$D42,'Вводные'!$B$91="Да"),"■","")</x:f>
      </x:c>
      <x:c r="CC42" s="137" t="str">
        <x:f>IF(AND(CC$4&gt;=$C42,CC$4&lt;=$D42,'Вводные'!$B$91="Да"),"■","")</x:f>
      </x:c>
      <x:c r="CD42" s="137" t="str">
        <x:f>IF(AND(CD$4&gt;=$C42,CD$4&lt;=$D42,'Вводные'!$B$91="Да"),"■","")</x:f>
      </x:c>
      <x:c r="CE42" s="137" t="str">
        <x:f>IF(AND(CE$4&gt;=$C42,CE$4&lt;=$D42,'Вводные'!$B$91="Да"),"■","")</x:f>
      </x:c>
      <x:c r="CF42" s="137" t="str">
        <x:f>IF(AND(CF$4&gt;=$C42,CF$4&lt;=$D42,'Вводные'!$B$91="Да"),"■","")</x:f>
      </x:c>
      <x:c r="CG42" s="137" t="str">
        <x:f>IF(AND(CG$4&gt;=$C42,CG$4&lt;=$D42,'Вводные'!$B$91="Да"),"■","")</x:f>
      </x:c>
      <x:c r="CH42" s="137" t="str">
        <x:f>IF(AND(CH$4&gt;=$C42,CH$4&lt;=$D42,'Вводные'!$B$91="Да"),"■","")</x:f>
      </x:c>
      <x:c r="CI42" s="137" t="str">
        <x:f>IF(AND(CI$4&gt;=$C42,CI$4&lt;=$D42,'Вводные'!$B$91="Да"),"■","")</x:f>
      </x:c>
      <x:c r="CJ42" s="137" t="str">
        <x:f>IF(AND(CJ$4&gt;=$C42,CJ$4&lt;=$D42,'Вводные'!$B$91="Да"),"■","")</x:f>
      </x:c>
      <x:c r="CK42" s="137" t="str">
        <x:f>IF(AND(CK$4&gt;=$C42,CK$4&lt;=$D42,'Вводные'!$B$91="Да"),"■","")</x:f>
      </x:c>
      <x:c r="CL42" s="137" t="str">
        <x:f>IF(AND(CL$4&gt;=$C42,CL$4&lt;=$D42,'Вводные'!$B$91="Да"),"■","")</x:f>
      </x:c>
      <x:c r="CM42" s="137" t="str">
        <x:f>IF(AND(CM$4&gt;=$C42,CM$4&lt;=$D42,'Вводные'!$B$91="Да"),"■","")</x:f>
      </x:c>
      <x:c r="CN42" s="137" t="str">
        <x:f>IF(AND(CN$4&gt;=$C42,CN$4&lt;=$D42,'Вводные'!$B$91="Да"),"■","")</x:f>
      </x:c>
      <x:c r="CO42" s="137" t="str">
        <x:f>IF(AND(CO$4&gt;=$C42,CO$4&lt;=$D42,'Вводные'!$B$91="Да"),"■","")</x:f>
      </x:c>
      <x:c r="CP42" s="137" t="str">
        <x:f>IF(AND(CP$4&gt;=$C42,CP$4&lt;=$D42,'Вводные'!$B$91="Да"),"■","")</x:f>
      </x:c>
      <x:c r="CQ42" s="137" t="str">
        <x:f>IF(AND(CQ$4&gt;=$C42,CQ$4&lt;=$D42,'Вводные'!$B$91="Да"),"■","")</x:f>
      </x:c>
      <x:c r="CR42" s="137" t="str">
        <x:f>IF(AND(CR$4&gt;=$C42,CR$4&lt;=$D42,'Вводные'!$B$91="Да"),"■","")</x:f>
      </x:c>
      <x:c r="CS42" s="137" t="str">
        <x:f>IF(AND(CS$4&gt;=$C42,CS$4&lt;=$D42,'Вводные'!$B$91="Да"),"■","")</x:f>
      </x:c>
      <x:c r="CT42" s="137" t="str">
        <x:f>IF(AND(CT$4&gt;=$C42,CT$4&lt;=$D42,'Вводные'!$B$91="Да"),"■","")</x:f>
      </x:c>
      <x:c r="CU42" s="137" t="str">
        <x:f>IF(AND(CU$4&gt;=$C42,CU$4&lt;=$D42,'Вводные'!$B$91="Да"),"■","")</x:f>
      </x:c>
      <x:c r="CV42" s="137" t="str">
        <x:f>IF(AND(CV$4&gt;=$C42,CV$4&lt;=$D42,'Вводные'!$B$91="Да"),"■","")</x:f>
      </x:c>
      <x:c r="CW42" s="137" t="str">
        <x:f>IF(AND(CW$4&gt;=$C42,CW$4&lt;=$D42,'Вводные'!$B$91="Да"),"■","")</x:f>
      </x:c>
      <x:c r="CX42" s="137" t="str">
        <x:f>IF(AND(CX$4&gt;=$C42,CX$4&lt;=$D42,'Вводные'!$B$91="Да"),"■","")</x:f>
      </x:c>
      <x:c r="CY42" s="137" t="str">
        <x:f>IF(AND(CY$4&gt;=$C42,CY$4&lt;=$D42,'Вводные'!$B$91="Да"),"■","")</x:f>
      </x:c>
      <x:c r="CZ42" s="137" t="str">
        <x:f>IF(AND(CZ$4&gt;=$C42,CZ$4&lt;=$D42,'Вводные'!$B$91="Да"),"■","")</x:f>
      </x:c>
      <x:c r="DA42" s="137" t="str">
        <x:f>IF(AND(DA$4&gt;=$C42,DA$4&lt;=$D42,'Вводные'!$B$91="Да"),"■","")</x:f>
      </x:c>
      <x:c r="DB42" s="137" t="str">
        <x:f>IF(AND(DB$4&gt;=$C42,DB$4&lt;=$D42,'Вводные'!$B$91="Да"),"■","")</x:f>
      </x:c>
      <x:c r="DC42" s="137" t="str">
        <x:f>IF(AND(DC$4&gt;=$C42,DC$4&lt;=$D42,'Вводные'!$B$91="Да"),"■","")</x:f>
      </x:c>
      <x:c r="DD42" s="137" t="str">
        <x:f>IF(AND(DD$4&gt;=$C42,DD$4&lt;=$D42,'Вводные'!$B$91="Да"),"■","")</x:f>
      </x:c>
      <x:c r="DE42" s="137" t="str">
        <x:f>IF(AND(DE$4&gt;=$C42,DE$4&lt;=$D42,'Вводные'!$B$91="Да"),"■","")</x:f>
      </x:c>
      <x:c r="DF42" s="137" t="str">
        <x:f>IF(AND(DF$4&gt;=$C42,DF$4&lt;=$D42,'Вводные'!$B$91="Да"),"■","")</x:f>
      </x:c>
      <x:c r="DG42" s="137" t="str">
        <x:f>IF(AND(DG$4&gt;=$C42,DG$4&lt;=$D42,'Вводные'!$B$91="Да"),"■","")</x:f>
      </x:c>
      <x:c r="DH42" s="137" t="str">
        <x:f>IF(AND(DH$4&gt;=$C42,DH$4&lt;=$D42,'Вводные'!$B$91="Да"),"■","")</x:f>
      </x:c>
      <x:c r="DI42" s="137" t="str">
        <x:f>IF(AND(DI$4&gt;=$C42,DI$4&lt;=$D42,'Вводные'!$B$91="Да"),"■","")</x:f>
      </x:c>
      <x:c r="DJ42" s="137" t="str">
        <x:f>IF(AND(DJ$4&gt;=$C42,DJ$4&lt;=$D42,'Вводные'!$B$91="Да"),"■","")</x:f>
      </x:c>
      <x:c r="DK42" s="137" t="str">
        <x:f>IF(AND(DK$4&gt;=$C42,DK$4&lt;=$D42,'Вводные'!$B$91="Да"),"■","")</x:f>
      </x:c>
      <x:c r="DL42" s="137" t="str">
        <x:f>IF(AND(DL$4&gt;=$C42,DL$4&lt;=$D42,'Вводные'!$B$91="Да"),"■","")</x:f>
      </x:c>
      <x:c r="DM42" s="137" t="str">
        <x:f>IF(AND(DM$4&gt;=$C42,DM$4&lt;=$D42,'Вводные'!$B$91="Да"),"■","")</x:f>
      </x:c>
      <x:c r="DN42" s="137" t="str">
        <x:f>IF(AND(DN$4&gt;=$C42,DN$4&lt;=$D42,'Вводные'!$B$91="Да"),"■","")</x:f>
      </x:c>
      <x:c r="DO42" s="137" t="str">
        <x:f>IF(AND(DO$4&gt;=$C42,DO$4&lt;=$D42,'Вводные'!$B$91="Да"),"■","")</x:f>
      </x:c>
      <x:c r="DP42" s="137" t="str">
        <x:f>IF(AND(DP$4&gt;=$C42,DP$4&lt;=$D42,'Вводные'!$B$91="Да"),"■","")</x:f>
      </x:c>
      <x:c r="DQ42" s="137" t="str">
        <x:f>IF(AND(DQ$4&gt;=$C42,DQ$4&lt;=$D42,'Вводные'!$B$91="Да"),"■","")</x:f>
      </x:c>
      <x:c r="DR42" s="137" t="str">
        <x:f>IF(AND(DR$4&gt;=$C42,DR$4&lt;=$D42,'Вводные'!$B$91="Да"),"■","")</x:f>
      </x:c>
      <x:c r="DS42" s="137" t="str">
        <x:f>IF(AND(DS$4&gt;=$C42,DS$4&lt;=$D42,'Вводные'!$B$91="Да"),"■","")</x:f>
      </x:c>
      <x:c r="DT42" s="137" t="str">
        <x:f>IF(AND(DT$4&gt;=$C42,DT$4&lt;=$D42,'Вводные'!$B$91="Да"),"■","")</x:f>
      </x:c>
    </x:row>
  </x:sheetData>
  <x:mergeCells>
    <x:mergeCell ref="A1:DT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СТАВКИ ФИНАНСИРОВАНИЯ · ПОМЕСЯЧНО</x:v>
      </x:c>
      <x:c r="B1" s="4" t="str">
        <x:v>СТАВКИ ФИНАНСИРОВАНИЯ · ПОМЕСЯЧНО</x:v>
      </x:c>
      <x:c r="C1" s="4" t="str">
        <x:v>СТАВКИ ФИНАНСИРОВАНИЯ · ПОМЕСЯЧНО</x:v>
      </x:c>
      <x:c r="D1" s="4" t="str">
        <x:v>СТАВКИ ФИНАНСИРОВАНИЯ · ПОМЕСЯЧНО</x:v>
      </x:c>
      <x:c r="E1" s="4" t="str">
        <x:v>СТАВКИ ФИНАНСИРОВАНИЯ · ПОМЕСЯЧНО</x:v>
      </x:c>
      <x:c r="F1" s="4" t="str">
        <x:v>СТАВКИ ФИНАНСИРОВАНИЯ · ПОМЕСЯЧНО</x:v>
      </x:c>
      <x:c r="G1" s="4" t="str">
        <x:v>СТАВКИ ФИНАНСИРОВАНИЯ · ПОМЕСЯЧНО</x:v>
      </x:c>
      <x:c r="H1" s="4" t="str">
        <x:v>СТАВКИ ФИНАНСИРОВАНИЯ · ПОМЕСЯЧНО</x:v>
      </x:c>
      <x:c r="I1" s="4" t="str">
        <x:v>СТАВКИ ФИНАНСИРОВАНИЯ · ПОМЕСЯЧНО</x:v>
      </x:c>
      <x:c r="J1" s="4" t="str">
        <x:v>СТАВКИ ФИНАНСИРОВАНИЯ · ПОМЕСЯЧНО</x:v>
      </x:c>
      <x:c r="K1" s="4" t="str">
        <x:v>СТАВКИ ФИНАНСИРОВАНИЯ · ПОМЕСЯЧНО</x:v>
      </x:c>
      <x:c r="L1" s="4" t="str">
        <x:v>СТАВКИ ФИНАНСИРОВАНИЯ · ПОМЕСЯЧНО</x:v>
      </x:c>
      <x:c r="M1" s="4" t="str">
        <x:v>СТАВКИ ФИНАНСИРОВАНИЯ · ПОМЕСЯЧНО</x:v>
      </x:c>
      <x:c r="N1" s="4" t="str">
        <x:v>СТАВКИ ФИНАНСИРОВАНИЯ · ПОМЕСЯЧНО</x:v>
      </x:c>
      <x:c r="O1" s="4" t="str">
        <x:v>СТАВКИ ФИНАНСИРОВАНИЯ · ПОМЕСЯЧНО</x:v>
      </x:c>
      <x:c r="P1" s="4" t="str">
        <x:v>СТАВКИ ФИНАНСИРОВАНИЯ · ПОМЕСЯЧНО</x:v>
      </x:c>
      <x:c r="Q1" s="4" t="str">
        <x:v>СТАВКИ ФИНАНСИРОВАНИЯ · ПОМЕСЯЧНО</x:v>
      </x:c>
      <x:c r="R1" s="4" t="str">
        <x:v>СТАВКИ ФИНАНСИРОВАНИЯ · ПОМЕСЯЧНО</x:v>
      </x:c>
      <x:c r="S1" s="4" t="str">
        <x:v>СТАВКИ ФИНАНСИРОВАНИЯ · ПОМЕСЯЧНО</x:v>
      </x:c>
      <x:c r="T1" s="4" t="str">
        <x:v>СТАВКИ ФИНАНСИРОВАНИЯ · ПОМЕСЯЧНО</x:v>
      </x:c>
      <x:c r="U1" s="4" t="str">
        <x:v>СТАВКИ ФИНАНСИРОВАНИЯ · ПОМЕСЯЧНО</x:v>
      </x:c>
      <x:c r="V1" s="4" t="str">
        <x:v>СТАВКИ ФИНАНСИРОВАНИЯ · ПОМЕСЯЧНО</x:v>
      </x:c>
      <x:c r="W1" s="4" t="str">
        <x:v>СТАВКИ ФИНАНСИРОВАНИЯ · ПОМЕСЯЧНО</x:v>
      </x:c>
      <x:c r="X1" s="4" t="str">
        <x:v>СТАВКИ ФИНАНСИРОВАНИЯ · ПОМЕСЯЧНО</x:v>
      </x:c>
      <x:c r="Y1" s="4" t="str">
        <x:v>СТАВКИ ФИНАНСИРОВАНИЯ · ПОМЕСЯЧНО</x:v>
      </x:c>
      <x:c r="Z1" s="4" t="str">
        <x:v>СТАВКИ ФИНАНСИРОВАНИЯ · ПОМЕСЯЧНО</x:v>
      </x:c>
      <x:c r="AA1" s="4" t="str">
        <x:v>СТАВКИ ФИНАНСИРОВАНИЯ · ПОМЕСЯЧНО</x:v>
      </x:c>
      <x:c r="AB1" s="4" t="str">
        <x:v>СТАВКИ ФИНАНСИРОВАНИЯ · ПОМЕСЯЧНО</x:v>
      </x:c>
      <x:c r="AC1" s="4" t="str">
        <x:v>СТАВКИ ФИНАНСИРОВАНИЯ · ПОМЕСЯЧНО</x:v>
      </x:c>
      <x:c r="AD1" s="4" t="str">
        <x:v>СТАВКИ ФИНАНСИРОВАНИЯ · ПОМЕСЯЧНО</x:v>
      </x:c>
      <x:c r="AE1" s="4" t="str">
        <x:v>СТАВКИ ФИНАНСИРОВАНИЯ · ПОМЕСЯЧНО</x:v>
      </x:c>
      <x:c r="AF1" s="4" t="str">
        <x:v>СТАВКИ ФИНАНСИРОВАНИЯ · ПОМЕСЯЧНО</x:v>
      </x:c>
      <x:c r="AG1" s="4" t="str">
        <x:v>СТАВКИ ФИНАНСИРОВАНИЯ · ПОМЕСЯЧНО</x:v>
      </x:c>
      <x:c r="AH1" s="4" t="str">
        <x:v>СТАВКИ ФИНАНСИРОВАНИЯ · ПОМЕСЯЧНО</x:v>
      </x:c>
      <x:c r="AI1" s="4" t="str">
        <x:v>СТАВКИ ФИНАНСИРОВАНИЯ · ПОМЕСЯЧНО</x:v>
      </x:c>
      <x:c r="AJ1" s="4" t="str">
        <x:v>СТАВКИ ФИНАНСИРОВАНИЯ · ПОМЕСЯЧНО</x:v>
      </x:c>
      <x:c r="AK1" s="4" t="str">
        <x:v>СТАВКИ ФИНАНСИРОВАНИЯ · ПОМЕСЯЧНО</x:v>
      </x:c>
      <x:c r="AL1" s="4" t="str">
        <x:v>СТАВКИ ФИНАНСИРОВАНИЯ · ПОМЕСЯЧНО</x:v>
      </x:c>
      <x:c r="AM1" s="4" t="str">
        <x:v>СТАВКИ ФИНАНСИРОВАНИЯ · ПОМЕСЯЧНО</x:v>
      </x:c>
      <x:c r="AN1" s="4" t="str">
        <x:v>СТАВКИ ФИНАНСИРОВАНИЯ · ПОМЕСЯЧНО</x:v>
      </x:c>
      <x:c r="AO1" s="4" t="str">
        <x:v>СТАВКИ ФИНАНСИРОВАНИЯ · ПОМЕСЯЧНО</x:v>
      </x:c>
      <x:c r="AP1" s="4" t="str">
        <x:v>СТАВКИ ФИНАНСИРОВАНИЯ · ПОМЕСЯЧНО</x:v>
      </x:c>
      <x:c r="AQ1" s="4" t="str">
        <x:v>СТАВКИ ФИНАНСИРОВАНИЯ · ПОМЕСЯЧНО</x:v>
      </x:c>
      <x:c r="AR1" s="4" t="str">
        <x:v>СТАВКИ ФИНАНСИРОВАНИЯ · ПОМЕСЯЧНО</x:v>
      </x:c>
      <x:c r="AS1" s="4" t="str">
        <x:v>СТАВКИ ФИНАНСИРОВАНИЯ · ПОМЕСЯЧНО</x:v>
      </x:c>
      <x:c r="AT1" s="4" t="str">
        <x:v>СТАВКИ ФИНАНСИРОВАНИЯ · ПОМЕСЯЧНО</x:v>
      </x:c>
      <x:c r="AU1" s="4" t="str">
        <x:v>СТАВКИ ФИНАНСИРОВАНИЯ · ПОМЕСЯЧНО</x:v>
      </x:c>
      <x:c r="AV1" s="4" t="str">
        <x:v>СТАВКИ ФИНАНСИРОВАНИЯ · ПОМЕСЯЧНО</x:v>
      </x:c>
      <x:c r="AW1" s="4" t="str">
        <x:v>СТАВКИ ФИНАНСИРОВАНИЯ · ПОМЕСЯЧНО</x:v>
      </x:c>
      <x:c r="AX1" s="4" t="str">
        <x:v>СТАВКИ ФИНАНСИРОВАНИЯ · ПОМЕСЯЧНО</x:v>
      </x:c>
      <x:c r="AY1" s="4" t="str">
        <x:v>СТАВКИ ФИНАНСИРОВАНИЯ · ПОМЕСЯЧНО</x:v>
      </x:c>
      <x:c r="AZ1" s="4" t="str">
        <x:v>СТАВКИ ФИНАНСИРОВАНИЯ · ПОМЕСЯЧНО</x:v>
      </x:c>
      <x:c r="BA1" s="4" t="str">
        <x:v>СТАВКИ ФИНАНСИРОВАНИЯ · ПОМЕСЯЧНО</x:v>
      </x:c>
      <x:c r="BB1" s="4" t="str">
        <x:v>СТАВКИ ФИНАНСИРОВАНИЯ · ПОМЕСЯЧНО</x:v>
      </x:c>
      <x:c r="BC1" s="4" t="str">
        <x:v>СТАВКИ ФИНАНСИРОВАНИЯ · ПОМЕСЯЧНО</x:v>
      </x:c>
      <x:c r="BD1" s="4" t="str">
        <x:v>СТАВКИ ФИНАНСИРОВАНИЯ · ПОМЕСЯЧНО</x:v>
      </x:c>
      <x:c r="BE1" s="4" t="str">
        <x:v>СТАВКИ ФИНАНСИРОВАНИЯ · ПОМЕСЯЧНО</x:v>
      </x:c>
      <x:c r="BF1" s="4" t="str">
        <x:v>СТАВКИ ФИНАНСИРОВАНИЯ · ПОМЕСЯЧНО</x:v>
      </x:c>
      <x:c r="BG1" s="4" t="str">
        <x:v>СТАВКИ ФИНАНСИРОВАНИЯ · ПОМЕСЯЧНО</x:v>
      </x:c>
      <x:c r="BH1" s="4" t="str">
        <x:v>СТАВКИ ФИНАНСИРОВАНИЯ · ПОМЕСЯЧНО</x:v>
      </x:c>
      <x:c r="BI1" s="4" t="str">
        <x:v>СТАВКИ ФИНАНСИРОВАНИЯ · ПОМЕСЯЧНО</x:v>
      </x:c>
      <x:c r="BJ1" s="4" t="str">
        <x:v>СТАВКИ ФИНАНСИРОВАНИЯ · ПОМЕСЯЧНО</x:v>
      </x:c>
      <x:c r="BK1" s="4" t="str">
        <x:v>СТАВКИ ФИНАНСИРОВАНИЯ · ПОМЕСЯЧНО</x:v>
      </x:c>
      <x:c r="BL1" s="4" t="str">
        <x:v>СТАВКИ ФИНАНСИРОВАНИЯ · ПОМЕСЯЧНО</x:v>
      </x:c>
      <x:c r="BM1" s="4" t="str">
        <x:v>СТАВКИ ФИНАНСИРОВАНИЯ · ПОМЕСЯЧНО</x:v>
      </x:c>
      <x:c r="BN1" s="4" t="str">
        <x:v>СТАВКИ ФИНАНСИРОВАНИЯ · ПОМЕСЯЧНО</x:v>
      </x:c>
      <x:c r="BO1" s="4" t="str">
        <x:v>СТАВКИ ФИНАНСИРОВАНИЯ · ПОМЕСЯЧНО</x:v>
      </x:c>
      <x:c r="BP1" s="4" t="str">
        <x:v>СТАВКИ ФИНАНСИРОВАНИЯ · ПОМЕСЯЧНО</x:v>
      </x:c>
      <x:c r="BQ1" s="4" t="str">
        <x:v>СТАВКИ ФИНАНСИРОВАНИЯ · ПОМЕСЯЧНО</x:v>
      </x:c>
      <x:c r="BR1" s="4" t="str">
        <x:v>СТАВКИ ФИНАНСИРОВАНИЯ · ПОМЕСЯЧНО</x:v>
      </x:c>
      <x:c r="BS1" s="4" t="str">
        <x:v>СТАВКИ ФИНАНСИРОВАНИЯ · ПОМЕСЯЧНО</x:v>
      </x:c>
      <x:c r="BT1" s="4" t="str">
        <x:v>СТАВКИ ФИНАНСИРОВАНИЯ · ПОМЕСЯЧНО</x:v>
      </x:c>
      <x:c r="BU1" s="4" t="str">
        <x:v>СТАВКИ ФИНАНСИРОВАНИЯ · ПОМЕСЯЧНО</x:v>
      </x:c>
      <x:c r="BV1" s="4" t="str">
        <x:v>СТАВКИ ФИНАНСИРОВАНИЯ · ПОМЕСЯЧНО</x:v>
      </x:c>
      <x:c r="BW1" s="4" t="str">
        <x:v>СТАВКИ ФИНАНСИРОВАНИЯ · ПОМЕСЯЧНО</x:v>
      </x:c>
      <x:c r="BX1" s="4" t="str">
        <x:v>СТАВКИ ФИНАНСИРОВАНИЯ · ПОМЕСЯЧНО</x:v>
      </x:c>
      <x:c r="BY1" s="4" t="str">
        <x:v>СТАВКИ ФИНАНСИРОВАНИЯ · ПОМЕСЯЧНО</x:v>
      </x:c>
      <x:c r="BZ1" s="4" t="str">
        <x:v>СТАВКИ ФИНАНСИРОВАНИЯ · ПОМЕСЯЧНО</x:v>
      </x:c>
      <x:c r="CA1" s="4" t="str">
        <x:v>СТАВКИ ФИНАНСИРОВАНИЯ · ПОМЕСЯЧНО</x:v>
      </x:c>
      <x:c r="CB1" s="4" t="str">
        <x:v>СТАВКИ ФИНАНСИРОВАНИЯ · ПОМЕСЯЧНО</x:v>
      </x:c>
      <x:c r="CC1" s="4" t="str">
        <x:v>СТАВКИ ФИНАНСИРОВАНИЯ · ПОМЕСЯЧНО</x:v>
      </x:c>
      <x:c r="CD1" s="4" t="str">
        <x:v>СТАВКИ ФИНАНСИРОВАНИЯ · ПОМЕСЯЧНО</x:v>
      </x:c>
      <x:c r="CE1" s="4" t="str">
        <x:v>СТАВКИ ФИНАНСИРОВАНИЯ · ПОМЕСЯЧНО</x:v>
      </x:c>
      <x:c r="CF1" s="4" t="str">
        <x:v>СТАВКИ ФИНАНСИРОВАНИЯ · ПОМЕСЯЧНО</x:v>
      </x:c>
      <x:c r="CG1" s="4" t="str">
        <x:v>СТАВКИ ФИНАНСИРОВАНИЯ · ПОМЕСЯЧНО</x:v>
      </x:c>
      <x:c r="CH1" s="4" t="str">
        <x:v>СТАВКИ ФИНАНСИРОВАНИЯ · ПОМЕСЯЧНО</x:v>
      </x:c>
      <x:c r="CI1" s="4" t="str">
        <x:v>СТАВКИ ФИНАНСИРОВАНИЯ · ПОМЕСЯЧНО</x:v>
      </x:c>
      <x:c r="CJ1" s="4" t="str">
        <x:v>СТАВКИ ФИНАНСИРОВАНИЯ · ПОМЕСЯЧНО</x:v>
      </x:c>
      <x:c r="CK1" s="4" t="str">
        <x:v>СТАВКИ ФИНАНСИРОВАНИЯ · ПОМЕСЯЧНО</x:v>
      </x:c>
      <x:c r="CL1" s="4" t="str">
        <x:v>СТАВКИ ФИНАНСИРОВАНИЯ · ПОМЕСЯЧНО</x:v>
      </x:c>
      <x:c r="CM1" s="4" t="str">
        <x:v>СТАВКИ ФИНАНСИРОВАНИЯ · ПОМЕСЯЧНО</x:v>
      </x:c>
      <x:c r="CN1" s="4" t="str">
        <x:v>СТАВКИ ФИНАНСИРОВАНИЯ · ПОМЕСЯЧНО</x:v>
      </x:c>
      <x:c r="CO1" s="4" t="str">
        <x:v>СТАВКИ ФИНАНСИРОВАНИЯ · ПОМЕСЯЧНО</x:v>
      </x:c>
      <x:c r="CP1" s="4" t="str">
        <x:v>СТАВКИ ФИНАНСИРОВАНИЯ · ПОМЕСЯЧНО</x:v>
      </x:c>
      <x:c r="CQ1" s="4" t="str">
        <x:v>СТАВКИ ФИНАНСИРОВАНИЯ · ПОМЕСЯЧНО</x:v>
      </x:c>
      <x:c r="CR1" s="4" t="str">
        <x:v>СТАВКИ ФИНАНСИРОВАНИЯ · ПОМЕСЯЧНО</x:v>
      </x:c>
      <x:c r="CS1" s="4" t="str">
        <x:v>СТАВКИ ФИНАНСИРОВАНИЯ · ПОМЕСЯЧНО</x:v>
      </x:c>
      <x:c r="CT1" s="4" t="str">
        <x:v>СТАВКИ ФИНАНСИРОВАНИЯ · ПОМЕСЯЧНО</x:v>
      </x:c>
      <x:c r="CU1" s="4" t="str">
        <x:v>СТАВКИ ФИНАНСИРОВАНИЯ · ПОМЕСЯЧНО</x:v>
      </x:c>
      <x:c r="CV1" s="4" t="str">
        <x:v>СТАВКИ ФИНАНСИРОВАНИЯ · ПОМЕСЯЧНО</x:v>
      </x:c>
      <x:c r="CW1" s="4" t="str">
        <x:v>СТАВКИ ФИНАНСИРОВАНИЯ · ПОМЕСЯЧНО</x:v>
      </x:c>
      <x:c r="CX1" s="4" t="str">
        <x:v>СТАВКИ ФИНАНСИРОВАНИЯ · ПОМЕСЯЧНО</x:v>
      </x:c>
      <x:c r="CY1" s="4" t="str">
        <x:v>СТАВКИ ФИНАНСИРОВАНИЯ · ПОМЕСЯЧНО</x:v>
      </x:c>
      <x:c r="CZ1" s="4" t="str">
        <x:v>СТАВКИ ФИНАНСИРОВАНИЯ · ПОМЕСЯЧНО</x:v>
      </x:c>
      <x:c r="DA1" s="4" t="str">
        <x:v>СТАВКИ ФИНАНСИРОВАНИЯ · ПОМЕСЯЧНО</x:v>
      </x:c>
      <x:c r="DB1" s="4" t="str">
        <x:v>СТАВКИ ФИНАНСИРОВАНИЯ · ПОМЕСЯЧНО</x:v>
      </x:c>
      <x:c r="DC1" s="4" t="str">
        <x:v>СТАВКИ ФИНАНСИРОВАНИЯ · ПОМЕСЯЧНО</x:v>
      </x:c>
      <x:c r="DD1" s="4" t="str">
        <x:v>СТАВКИ ФИНАНСИРОВАНИЯ · ПОМЕСЯЧНО</x:v>
      </x:c>
      <x:c r="DE1" s="4" t="str">
        <x:v>СТАВКИ ФИНАНСИРОВАНИЯ · ПОМЕСЯЧНО</x:v>
      </x:c>
      <x:c r="DF1" s="4" t="str">
        <x:v>СТАВКИ ФИНАНСИРОВАНИЯ · ПОМЕСЯЧНО</x:v>
      </x:c>
      <x:c r="DG1" s="4" t="str">
        <x:v>СТАВКИ ФИНАНСИРОВАНИЯ · ПОМЕСЯЧНО</x:v>
      </x:c>
      <x:c r="DH1" s="4" t="str">
        <x:v>СТАВКИ ФИНАНСИРОВАНИЯ · ПОМЕСЯЧНО</x:v>
      </x:c>
      <x:c r="DI1" s="4" t="str">
        <x:v>СТАВКИ ФИНАНСИРОВАНИЯ · ПОМЕСЯЧНО</x:v>
      </x:c>
      <x:c r="DJ1" s="4" t="str">
        <x:v>СТАВКИ ФИНАНСИРОВАНИЯ · ПОМЕСЯЧНО</x:v>
      </x:c>
      <x:c r="DK1" s="4" t="str">
        <x:v>СТАВКИ ФИНАНСИРОВАНИЯ · ПОМЕСЯЧНО</x:v>
      </x:c>
      <x:c r="DL1" s="4" t="str">
        <x:v>СТАВКИ ФИНАНСИРОВАНИЯ · ПОМЕСЯЧНО</x:v>
      </x:c>
      <x:c r="DM1" s="4" t="str">
        <x:v>СТАВКИ ФИНАНСИРОВАНИЯ · ПОМЕСЯЧНО</x:v>
      </x:c>
      <x:c r="DN1" s="4" t="str">
        <x:v>СТАВКИ ФИНАНСИРОВАНИЯ · ПОМЕСЯЧНО</x:v>
      </x:c>
      <x:c r="DO1" s="4" t="str">
        <x:v>СТАВКИ ФИНАНСИРОВАНИЯ · ПОМЕСЯЧНО</x:v>
      </x:c>
      <x:c r="DP1" s="4" t="str">
        <x:v>СТАВКИ ФИНАНСИРОВАНИЯ · ПОМЕСЯЧНО</x:v>
      </x:c>
      <x:c r="DQ1" s="4" t="str">
        <x:v>СТАВКИ ФИНАНСИРОВАНИЯ · ПОМЕСЯЧНО</x:v>
      </x:c>
      <x:c r="DR1" s="4" t="str">
        <x:v>СТАВКИ ФИНАНСИРОВАНИЯ · ПОМЕСЯЧНО</x:v>
      </x:c>
      <x:c r="DS1" s="4" t="str">
        <x:v>СТАВКИ ФИНАНСИРОВАНИЯ · ПОМЕСЯЧНО</x:v>
      </x:c>
    </x:row>
    <x:row r="3">
      <x:c r="A3" s="23" t="str">
        <x:v>Показатель</x:v>
      </x:c>
      <x:c r="B3" s="23" t="str">
        <x:v>Ед.</x:v>
      </x:c>
      <x:c r="C3" s="23" t="str">
        <x:v>Итого / справочно</x:v>
      </x:c>
      <x:c r="D3" s="96" t="n">
        <x:f>'Вводные'!$B$8</x:f>
      </x:c>
      <x:c r="E3" s="96" t="n">
        <x:f>EDATE(D3,1)</x:f>
      </x:c>
      <x:c r="F3" s="96" t="n">
        <x:f>EDATE(E3,1)</x:f>
      </x:c>
      <x:c r="G3" s="96" t="n">
        <x:f>EDATE(F3,1)</x:f>
      </x:c>
      <x:c r="H3" s="96" t="n">
        <x:f>EDATE(G3,1)</x:f>
      </x:c>
      <x:c r="I3" s="96" t="n">
        <x:f>EDATE(H3,1)</x:f>
      </x:c>
      <x:c r="J3" s="96" t="n">
        <x:f>EDATE(I3,1)</x:f>
      </x:c>
      <x:c r="K3" s="96" t="n">
        <x:f>EDATE(J3,1)</x:f>
      </x:c>
      <x:c r="L3" s="96" t="n">
        <x:f>EDATE(K3,1)</x:f>
      </x:c>
      <x:c r="M3" s="96" t="n">
        <x:f>EDATE(L3,1)</x:f>
      </x:c>
      <x:c r="N3" s="96" t="n">
        <x:f>EDATE(M3,1)</x:f>
      </x:c>
      <x:c r="O3" s="96" t="n">
        <x:f>EDATE(N3,1)</x:f>
      </x:c>
      <x:c r="P3" s="96" t="n">
        <x:f>EDATE(O3,1)</x:f>
      </x:c>
      <x:c r="Q3" s="96" t="n">
        <x:f>EDATE(P3,1)</x:f>
      </x:c>
      <x:c r="R3" s="96" t="n">
        <x:f>EDATE(Q3,1)</x:f>
      </x:c>
      <x:c r="S3" s="96" t="n">
        <x:f>EDATE(R3,1)</x:f>
      </x:c>
      <x:c r="T3" s="96" t="n">
        <x:f>EDATE(S3,1)</x:f>
      </x:c>
      <x:c r="U3" s="96" t="n">
        <x:f>EDATE(T3,1)</x:f>
      </x:c>
      <x:c r="V3" s="96" t="n">
        <x:f>EDATE(U3,1)</x:f>
      </x:c>
      <x:c r="W3" s="96" t="n">
        <x:f>EDATE(V3,1)</x:f>
      </x:c>
      <x:c r="X3" s="96" t="n">
        <x:f>EDATE(W3,1)</x:f>
      </x:c>
      <x:c r="Y3" s="96" t="n">
        <x:f>EDATE(X3,1)</x:f>
      </x:c>
      <x:c r="Z3" s="96" t="n">
        <x:f>EDATE(Y3,1)</x:f>
      </x:c>
      <x:c r="AA3" s="96" t="n">
        <x:f>EDATE(Z3,1)</x:f>
      </x:c>
      <x:c r="AB3" s="96" t="n">
        <x:f>EDATE(AA3,1)</x:f>
      </x:c>
      <x:c r="AC3" s="96" t="n">
        <x:f>EDATE(AB3,1)</x:f>
      </x:c>
      <x:c r="AD3" s="96" t="n">
        <x:f>EDATE(AC3,1)</x:f>
      </x:c>
      <x:c r="AE3" s="96" t="n">
        <x:f>EDATE(AD3,1)</x:f>
      </x:c>
      <x:c r="AF3" s="96" t="n">
        <x:f>EDATE(AE3,1)</x:f>
      </x:c>
      <x:c r="AG3" s="96" t="n">
        <x:f>EDATE(AF3,1)</x:f>
      </x:c>
      <x:c r="AH3" s="96" t="n">
        <x:f>EDATE(AG3,1)</x:f>
      </x:c>
      <x:c r="AI3" s="96" t="n">
        <x:f>EDATE(AH3,1)</x:f>
      </x:c>
      <x:c r="AJ3" s="96" t="n">
        <x:f>EDATE(AI3,1)</x:f>
      </x:c>
      <x:c r="AK3" s="96" t="n">
        <x:f>EDATE(AJ3,1)</x:f>
      </x:c>
      <x:c r="AL3" s="96" t="n">
        <x:f>EDATE(AK3,1)</x:f>
      </x:c>
      <x:c r="AM3" s="96" t="n">
        <x:f>EDATE(AL3,1)</x:f>
      </x:c>
      <x:c r="AN3" s="96" t="n">
        <x:f>EDATE(AM3,1)</x:f>
      </x:c>
      <x:c r="AO3" s="96" t="n">
        <x:f>EDATE(AN3,1)</x:f>
      </x:c>
      <x:c r="AP3" s="96" t="n">
        <x:f>EDATE(AO3,1)</x:f>
      </x:c>
      <x:c r="AQ3" s="96" t="n">
        <x:f>EDATE(AP3,1)</x:f>
      </x:c>
      <x:c r="AR3" s="96" t="n">
        <x:f>EDATE(AQ3,1)</x:f>
      </x:c>
      <x:c r="AS3" s="96" t="n">
        <x:f>EDATE(AR3,1)</x:f>
      </x:c>
      <x:c r="AT3" s="96" t="n">
        <x:f>EDATE(AS3,1)</x:f>
      </x:c>
      <x:c r="AU3" s="96" t="n">
        <x:f>EDATE(AT3,1)</x:f>
      </x:c>
      <x:c r="AV3" s="96" t="n">
        <x:f>EDATE(AU3,1)</x:f>
      </x:c>
      <x:c r="AW3" s="96" t="n">
        <x:f>EDATE(AV3,1)</x:f>
      </x:c>
      <x:c r="AX3" s="96" t="n">
        <x:f>EDATE(AW3,1)</x:f>
      </x:c>
      <x:c r="AY3" s="96" t="n">
        <x:f>EDATE(AX3,1)</x:f>
      </x:c>
      <x:c r="AZ3" s="96" t="n">
        <x:f>EDATE(AY3,1)</x:f>
      </x:c>
      <x:c r="BA3" s="96" t="n">
        <x:f>EDATE(AZ3,1)</x:f>
      </x:c>
      <x:c r="BB3" s="96" t="n">
        <x:f>EDATE(BA3,1)</x:f>
      </x:c>
      <x:c r="BC3" s="96" t="n">
        <x:f>EDATE(BB3,1)</x:f>
      </x:c>
      <x:c r="BD3" s="96" t="n">
        <x:f>EDATE(BC3,1)</x:f>
      </x:c>
      <x:c r="BE3" s="96" t="n">
        <x:f>EDATE(BD3,1)</x:f>
      </x:c>
      <x:c r="BF3" s="96" t="n">
        <x:f>EDATE(BE3,1)</x:f>
      </x:c>
      <x:c r="BG3" s="96" t="n">
        <x:f>EDATE(BF3,1)</x:f>
      </x:c>
      <x:c r="BH3" s="96" t="n">
        <x:f>EDATE(BG3,1)</x:f>
      </x:c>
      <x:c r="BI3" s="96" t="n">
        <x:f>EDATE(BH3,1)</x:f>
      </x:c>
      <x:c r="BJ3" s="96" t="n">
        <x:f>EDATE(BI3,1)</x:f>
      </x:c>
      <x:c r="BK3" s="96" t="n">
        <x:f>EDATE(BJ3,1)</x:f>
      </x:c>
      <x:c r="BL3" s="96" t="n">
        <x:f>EDATE(BK3,1)</x:f>
      </x:c>
      <x:c r="BM3" s="96" t="n">
        <x:f>EDATE(BL3,1)</x:f>
      </x:c>
      <x:c r="BN3" s="96" t="n">
        <x:f>EDATE(BM3,1)</x:f>
      </x:c>
      <x:c r="BO3" s="96" t="n">
        <x:f>EDATE(BN3,1)</x:f>
      </x:c>
      <x:c r="BP3" s="96" t="n">
        <x:f>EDATE(BO3,1)</x:f>
      </x:c>
      <x:c r="BQ3" s="96" t="n">
        <x:f>EDATE(BP3,1)</x:f>
      </x:c>
      <x:c r="BR3" s="96" t="n">
        <x:f>EDATE(BQ3,1)</x:f>
      </x:c>
      <x:c r="BS3" s="96" t="n">
        <x:f>EDATE(BR3,1)</x:f>
      </x:c>
      <x:c r="BT3" s="96" t="n">
        <x:f>EDATE(BS3,1)</x:f>
      </x:c>
      <x:c r="BU3" s="96" t="n">
        <x:f>EDATE(BT3,1)</x:f>
      </x:c>
      <x:c r="BV3" s="96" t="n">
        <x:f>EDATE(BU3,1)</x:f>
      </x:c>
      <x:c r="BW3" s="96" t="n">
        <x:f>EDATE(BV3,1)</x:f>
      </x:c>
      <x:c r="BX3" s="96" t="n">
        <x:f>EDATE(BW3,1)</x:f>
      </x:c>
      <x:c r="BY3" s="96" t="n">
        <x:f>EDATE(BX3,1)</x:f>
      </x:c>
      <x:c r="BZ3" s="96" t="n">
        <x:f>EDATE(BY3,1)</x:f>
      </x:c>
      <x:c r="CA3" s="96" t="n">
        <x:f>EDATE(BZ3,1)</x:f>
      </x:c>
      <x:c r="CB3" s="96" t="n">
        <x:f>EDATE(CA3,1)</x:f>
      </x:c>
      <x:c r="CC3" s="96" t="n">
        <x:f>EDATE(CB3,1)</x:f>
      </x:c>
      <x:c r="CD3" s="96" t="n">
        <x:f>EDATE(CC3,1)</x:f>
      </x:c>
      <x:c r="CE3" s="96" t="n">
        <x:f>EDATE(CD3,1)</x:f>
      </x:c>
      <x:c r="CF3" s="96" t="n">
        <x:f>EDATE(CE3,1)</x:f>
      </x:c>
      <x:c r="CG3" s="96" t="n">
        <x:f>EDATE(CF3,1)</x:f>
      </x:c>
      <x:c r="CH3" s="96" t="n">
        <x:f>EDATE(CG3,1)</x:f>
      </x:c>
      <x:c r="CI3" s="96" t="n">
        <x:f>EDATE(CH3,1)</x:f>
      </x:c>
      <x:c r="CJ3" s="96" t="n">
        <x:f>EDATE(CI3,1)</x:f>
      </x:c>
      <x:c r="CK3" s="96" t="n">
        <x:f>EDATE(CJ3,1)</x:f>
      </x:c>
      <x:c r="CL3" s="96" t="n">
        <x:f>EDATE(CK3,1)</x:f>
      </x:c>
      <x:c r="CM3" s="96" t="n">
        <x:f>EDATE(CL3,1)</x:f>
      </x:c>
      <x:c r="CN3" s="96" t="n">
        <x:f>EDATE(CM3,1)</x:f>
      </x:c>
      <x:c r="CO3" s="96" t="n">
        <x:f>EDATE(CN3,1)</x:f>
      </x:c>
      <x:c r="CP3" s="96" t="n">
        <x:f>EDATE(CO3,1)</x:f>
      </x:c>
      <x:c r="CQ3" s="96" t="n">
        <x:f>EDATE(CP3,1)</x:f>
      </x:c>
      <x:c r="CR3" s="96" t="n">
        <x:f>EDATE(CQ3,1)</x:f>
      </x:c>
      <x:c r="CS3" s="96" t="n">
        <x:f>EDATE(CR3,1)</x:f>
      </x:c>
      <x:c r="CT3" s="96" t="n">
        <x:f>EDATE(CS3,1)</x:f>
      </x:c>
      <x:c r="CU3" s="96" t="n">
        <x:f>EDATE(CT3,1)</x:f>
      </x:c>
      <x:c r="CV3" s="96" t="n">
        <x:f>EDATE(CU3,1)</x:f>
      </x:c>
      <x:c r="CW3" s="96" t="n">
        <x:f>EDATE(CV3,1)</x:f>
      </x:c>
      <x:c r="CX3" s="96" t="n">
        <x:f>EDATE(CW3,1)</x:f>
      </x:c>
      <x:c r="CY3" s="96" t="n">
        <x:f>EDATE(CX3,1)</x:f>
      </x:c>
      <x:c r="CZ3" s="96" t="n">
        <x:f>EDATE(CY3,1)</x:f>
      </x:c>
      <x:c r="DA3" s="96" t="n">
        <x:f>EDATE(CZ3,1)</x:f>
      </x:c>
      <x:c r="DB3" s="96" t="n">
        <x:f>EDATE(DA3,1)</x:f>
      </x:c>
      <x:c r="DC3" s="96" t="n">
        <x:f>EDATE(DB3,1)</x:f>
      </x:c>
      <x:c r="DD3" s="96" t="n">
        <x:f>EDATE(DC3,1)</x:f>
      </x:c>
      <x:c r="DE3" s="96" t="n">
        <x:f>EDATE(DD3,1)</x:f>
      </x:c>
      <x:c r="DF3" s="96" t="n">
        <x:f>EDATE(DE3,1)</x:f>
      </x:c>
      <x:c r="DG3" s="96" t="n">
        <x:f>EDATE(DF3,1)</x:f>
      </x:c>
      <x:c r="DH3" s="96" t="n">
        <x:f>EDATE(DG3,1)</x:f>
      </x:c>
      <x:c r="DI3" s="96" t="n">
        <x:f>EDATE(DH3,1)</x:f>
      </x:c>
      <x:c r="DJ3" s="96" t="n">
        <x:f>EDATE(DI3,1)</x:f>
      </x:c>
      <x:c r="DK3" s="96" t="n">
        <x:f>EDATE(DJ3,1)</x:f>
      </x:c>
      <x:c r="DL3" s="96" t="n">
        <x:f>EDATE(DK3,1)</x:f>
      </x:c>
      <x:c r="DM3" s="96" t="n">
        <x:f>EDATE(DL3,1)</x:f>
      </x:c>
      <x:c r="DN3" s="96" t="n">
        <x:f>EDATE(DM3,1)</x:f>
      </x:c>
      <x:c r="DO3" s="96" t="n">
        <x:f>EDATE(DN3,1)</x:f>
      </x:c>
      <x:c r="DP3" s="96" t="n">
        <x:f>EDATE(DO3,1)</x:f>
      </x:c>
      <x:c r="DQ3" s="96" t="n">
        <x:f>EDATE(DP3,1)</x:f>
      </x:c>
      <x:c r="DR3" s="96" t="n">
        <x:f>EDATE(DQ3,1)</x:f>
      </x:c>
      <x:c r="DS3" s="96" t="n">
        <x:f>EDATE(DR3,1)</x:f>
      </x:c>
    </x:row>
    <x:row r="4">
      <x:c r="A4" t="str">
        <x:v>Период</x:v>
      </x:c>
      <x:c r="B4" t="str">
        <x:v>№</x:v>
      </x:c>
      <x:c r="C4"/>
      <x:c r="D4" s="98" t="n">
        <x:v>1</x:v>
      </x:c>
      <x:c r="E4" s="98" t="n">
        <x:v>2</x:v>
      </x:c>
      <x:c r="F4" s="98" t="n">
        <x:v>3</x:v>
      </x:c>
      <x:c r="G4" s="98" t="n">
        <x:v>4</x:v>
      </x:c>
      <x:c r="H4" s="98" t="n">
        <x:v>5</x:v>
      </x:c>
      <x:c r="I4" s="98" t="n">
        <x:v>6</x:v>
      </x:c>
      <x:c r="J4" s="98" t="n">
        <x:v>7</x:v>
      </x:c>
      <x:c r="K4" s="98" t="n">
        <x:v>8</x:v>
      </x:c>
      <x:c r="L4" s="98" t="n">
        <x:v>9</x:v>
      </x:c>
      <x:c r="M4" s="98" t="n">
        <x:v>10</x:v>
      </x:c>
      <x:c r="N4" s="98" t="n">
        <x:v>11</x:v>
      </x:c>
      <x:c r="O4" s="98" t="n">
        <x:v>12</x:v>
      </x:c>
      <x:c r="P4" s="98" t="n">
        <x:v>13</x:v>
      </x:c>
      <x:c r="Q4" s="98" t="n">
        <x:v>14</x:v>
      </x:c>
      <x:c r="R4" s="98" t="n">
        <x:v>15</x:v>
      </x:c>
      <x:c r="S4" s="98" t="n">
        <x:v>16</x:v>
      </x:c>
      <x:c r="T4" s="98" t="n">
        <x:v>17</x:v>
      </x:c>
      <x:c r="U4" s="98" t="n">
        <x:v>18</x:v>
      </x:c>
      <x:c r="V4" s="98" t="n">
        <x:v>19</x:v>
      </x:c>
      <x:c r="W4" s="98" t="n">
        <x:v>20</x:v>
      </x:c>
      <x:c r="X4" s="98" t="n">
        <x:v>21</x:v>
      </x:c>
      <x:c r="Y4" s="98" t="n">
        <x:v>22</x:v>
      </x:c>
      <x:c r="Z4" s="98" t="n">
        <x:v>23</x:v>
      </x:c>
      <x:c r="AA4" s="98" t="n">
        <x:v>24</x:v>
      </x:c>
      <x:c r="AB4" s="98" t="n">
        <x:v>25</x:v>
      </x:c>
      <x:c r="AC4" s="98" t="n">
        <x:v>26</x:v>
      </x:c>
      <x:c r="AD4" s="98" t="n">
        <x:v>27</x:v>
      </x:c>
      <x:c r="AE4" s="98" t="n">
        <x:v>28</x:v>
      </x:c>
      <x:c r="AF4" s="98" t="n">
        <x:v>29</x:v>
      </x:c>
      <x:c r="AG4" s="98" t="n">
        <x:v>30</x:v>
      </x:c>
      <x:c r="AH4" s="98" t="n">
        <x:v>31</x:v>
      </x:c>
      <x:c r="AI4" s="98" t="n">
        <x:v>32</x:v>
      </x:c>
      <x:c r="AJ4" s="98" t="n">
        <x:v>33</x:v>
      </x:c>
      <x:c r="AK4" s="98" t="n">
        <x:v>34</x:v>
      </x:c>
      <x:c r="AL4" s="98" t="n">
        <x:v>35</x:v>
      </x:c>
      <x:c r="AM4" s="98" t="n">
        <x:v>36</x:v>
      </x:c>
      <x:c r="AN4" s="98" t="n">
        <x:v>37</x:v>
      </x:c>
      <x:c r="AO4" s="98" t="n">
        <x:v>38</x:v>
      </x:c>
      <x:c r="AP4" s="98" t="n">
        <x:v>39</x:v>
      </x:c>
      <x:c r="AQ4" s="98" t="n">
        <x:v>40</x:v>
      </x:c>
      <x:c r="AR4" s="98" t="n">
        <x:v>41</x:v>
      </x:c>
      <x:c r="AS4" s="98" t="n">
        <x:v>42</x:v>
      </x:c>
      <x:c r="AT4" s="98" t="n">
        <x:v>43</x:v>
      </x:c>
      <x:c r="AU4" s="98" t="n">
        <x:v>44</x:v>
      </x:c>
      <x:c r="AV4" s="98" t="n">
        <x:v>45</x:v>
      </x:c>
      <x:c r="AW4" s="98" t="n">
        <x:v>46</x:v>
      </x:c>
      <x:c r="AX4" s="98" t="n">
        <x:v>47</x:v>
      </x:c>
      <x:c r="AY4" s="98" t="n">
        <x:v>48</x:v>
      </x:c>
      <x:c r="AZ4" s="98" t="n">
        <x:v>49</x:v>
      </x:c>
      <x:c r="BA4" s="98" t="n">
        <x:v>50</x:v>
      </x:c>
      <x:c r="BB4" s="98" t="n">
        <x:v>51</x:v>
      </x:c>
      <x:c r="BC4" s="98" t="n">
        <x:v>52</x:v>
      </x:c>
      <x:c r="BD4" s="98" t="n">
        <x:v>53</x:v>
      </x:c>
      <x:c r="BE4" s="98" t="n">
        <x:v>54</x:v>
      </x:c>
      <x:c r="BF4" s="98" t="n">
        <x:v>55</x:v>
      </x:c>
      <x:c r="BG4" s="98" t="n">
        <x:v>56</x:v>
      </x:c>
      <x:c r="BH4" s="98" t="n">
        <x:v>57</x:v>
      </x:c>
      <x:c r="BI4" s="98" t="n">
        <x:v>58</x:v>
      </x:c>
      <x:c r="BJ4" s="98" t="n">
        <x:v>59</x:v>
      </x:c>
      <x:c r="BK4" s="98" t="n">
        <x:v>60</x:v>
      </x:c>
      <x:c r="BL4" s="98" t="n">
        <x:v>61</x:v>
      </x:c>
      <x:c r="BM4" s="98" t="n">
        <x:v>62</x:v>
      </x:c>
      <x:c r="BN4" s="98" t="n">
        <x:v>63</x:v>
      </x:c>
      <x:c r="BO4" s="98" t="n">
        <x:v>64</x:v>
      </x:c>
      <x:c r="BP4" s="98" t="n">
        <x:v>65</x:v>
      </x:c>
      <x:c r="BQ4" s="98" t="n">
        <x:v>66</x:v>
      </x:c>
      <x:c r="BR4" s="98" t="n">
        <x:v>67</x:v>
      </x:c>
      <x:c r="BS4" s="98" t="n">
        <x:v>68</x:v>
      </x:c>
      <x:c r="BT4" s="98" t="n">
        <x:v>69</x:v>
      </x:c>
      <x:c r="BU4" s="98" t="n">
        <x:v>70</x:v>
      </x:c>
      <x:c r="BV4" s="98" t="n">
        <x:v>71</x:v>
      </x:c>
      <x:c r="BW4" s="98" t="n">
        <x:v>72</x:v>
      </x:c>
      <x:c r="BX4" s="98" t="n">
        <x:v>73</x:v>
      </x:c>
      <x:c r="BY4" s="98" t="n">
        <x:v>74</x:v>
      </x:c>
      <x:c r="BZ4" s="98" t="n">
        <x:v>75</x:v>
      </x:c>
      <x:c r="CA4" s="98" t="n">
        <x:v>76</x:v>
      </x:c>
      <x:c r="CB4" s="98" t="n">
        <x:v>77</x:v>
      </x:c>
      <x:c r="CC4" s="98" t="n">
        <x:v>78</x:v>
      </x:c>
      <x:c r="CD4" s="98" t="n">
        <x:v>79</x:v>
      </x:c>
      <x:c r="CE4" s="98" t="n">
        <x:v>80</x:v>
      </x:c>
      <x:c r="CF4" s="98" t="n">
        <x:v>81</x:v>
      </x:c>
      <x:c r="CG4" s="98" t="n">
        <x:v>82</x:v>
      </x:c>
      <x:c r="CH4" s="98" t="n">
        <x:v>83</x:v>
      </x:c>
      <x:c r="CI4" s="98" t="n">
        <x:v>84</x:v>
      </x:c>
      <x:c r="CJ4" s="98" t="n">
        <x:v>85</x:v>
      </x:c>
      <x:c r="CK4" s="98" t="n">
        <x:v>86</x:v>
      </x:c>
      <x:c r="CL4" s="98" t="n">
        <x:v>87</x:v>
      </x:c>
      <x:c r="CM4" s="98" t="n">
        <x:v>88</x:v>
      </x:c>
      <x:c r="CN4" s="98" t="n">
        <x:v>89</x:v>
      </x:c>
      <x:c r="CO4" s="98" t="n">
        <x:v>90</x:v>
      </x:c>
      <x:c r="CP4" s="98" t="n">
        <x:v>91</x:v>
      </x:c>
      <x:c r="CQ4" s="98" t="n">
        <x:v>92</x:v>
      </x:c>
      <x:c r="CR4" s="98" t="n">
        <x:v>93</x:v>
      </x:c>
      <x:c r="CS4" s="98" t="n">
        <x:v>94</x:v>
      </x:c>
      <x:c r="CT4" s="98" t="n">
        <x:v>95</x:v>
      </x:c>
      <x:c r="CU4" s="98" t="n">
        <x:v>96</x:v>
      </x:c>
      <x:c r="CV4" s="98" t="n">
        <x:v>97</x:v>
      </x:c>
      <x:c r="CW4" s="98" t="n">
        <x:v>98</x:v>
      </x:c>
      <x:c r="CX4" s="98" t="n">
        <x:v>99</x:v>
      </x:c>
      <x:c r="CY4" s="98" t="n">
        <x:v>100</x:v>
      </x:c>
      <x:c r="CZ4" s="98" t="n">
        <x:v>101</x:v>
      </x:c>
      <x:c r="DA4" s="98" t="n">
        <x:v>102</x:v>
      </x:c>
      <x:c r="DB4" s="98" t="n">
        <x:v>103</x:v>
      </x:c>
      <x:c r="DC4" s="98" t="n">
        <x:v>104</x:v>
      </x:c>
      <x:c r="DD4" s="98" t="n">
        <x:v>105</x:v>
      </x:c>
      <x:c r="DE4" s="98" t="n">
        <x:v>106</x:v>
      </x:c>
      <x:c r="DF4" s="98" t="n">
        <x:v>107</x:v>
      </x:c>
      <x:c r="DG4" s="98" t="n">
        <x:v>108</x:v>
      </x:c>
      <x:c r="DH4" s="98" t="n">
        <x:v>109</x:v>
      </x:c>
      <x:c r="DI4" s="98" t="n">
        <x:v>110</x:v>
      </x:c>
      <x:c r="DJ4" s="98" t="n">
        <x:v>111</x:v>
      </x:c>
      <x:c r="DK4" s="98" t="n">
        <x:v>112</x:v>
      </x:c>
      <x:c r="DL4" s="98" t="n">
        <x:v>113</x:v>
      </x:c>
      <x:c r="DM4" s="98" t="n">
        <x:v>114</x:v>
      </x:c>
      <x:c r="DN4" s="98" t="n">
        <x:v>115</x:v>
      </x:c>
      <x:c r="DO4" s="98" t="n">
        <x:v>116</x:v>
      </x:c>
      <x:c r="DP4" s="98" t="n">
        <x:v>117</x:v>
      </x:c>
      <x:c r="DQ4" s="98" t="n">
        <x:v>118</x:v>
      </x:c>
      <x:c r="DR4" s="98" t="n">
        <x:v>119</x:v>
      </x:c>
      <x:c r="DS4" s="98" t="n">
        <x:v>120</x:v>
      </x:c>
    </x:row>
    <x:row r="5">
      <x:c r="A5" s="7" t="str">
        <x:v>Ключевая ставка</x:v>
      </x:c>
      <x:c r="B5" t="str">
        <x:v>% год</x:v>
      </x:c>
      <x:c r="C5"/>
      <x:c r="D5" s="100" t="n">
        <x:f>MAX(0,'Вводные'!$B$34,'Вводные'!$B$33-('Вводные'!$B$33-'Вводные'!$B$34)*MIN(1,(D$4-1)/MAX(1,'Вводные'!$B$35)))</x:f>
      </x:c>
      <x:c r="E5" s="100" t="n">
        <x:f>MAX(0,'Вводные'!$B$34,'Вводные'!$B$33-('Вводные'!$B$33-'Вводные'!$B$34)*MIN(1,(E$4-1)/MAX(1,'Вводные'!$B$35)))</x:f>
      </x:c>
      <x:c r="F5" s="100" t="n">
        <x:f>MAX(0,'Вводные'!$B$34,'Вводные'!$B$33-('Вводные'!$B$33-'Вводные'!$B$34)*MIN(1,(F$4-1)/MAX(1,'Вводные'!$B$35)))</x:f>
      </x:c>
      <x:c r="G5" s="100" t="n">
        <x:f>MAX(0,'Вводные'!$B$34,'Вводные'!$B$33-('Вводные'!$B$33-'Вводные'!$B$34)*MIN(1,(G$4-1)/MAX(1,'Вводные'!$B$35)))</x:f>
      </x:c>
      <x:c r="H5" s="100" t="n">
        <x:f>MAX(0,'Вводные'!$B$34,'Вводные'!$B$33-('Вводные'!$B$33-'Вводные'!$B$34)*MIN(1,(H$4-1)/MAX(1,'Вводные'!$B$35)))</x:f>
      </x:c>
      <x:c r="I5" s="100" t="n">
        <x:f>MAX(0,'Вводные'!$B$34,'Вводные'!$B$33-('Вводные'!$B$33-'Вводные'!$B$34)*MIN(1,(I$4-1)/MAX(1,'Вводные'!$B$35)))</x:f>
      </x:c>
      <x:c r="J5" s="100" t="n">
        <x:f>MAX(0,'Вводные'!$B$34,'Вводные'!$B$33-('Вводные'!$B$33-'Вводные'!$B$34)*MIN(1,(J$4-1)/MAX(1,'Вводные'!$B$35)))</x:f>
      </x:c>
      <x:c r="K5" s="100" t="n">
        <x:f>MAX(0,'Вводные'!$B$34,'Вводные'!$B$33-('Вводные'!$B$33-'Вводные'!$B$34)*MIN(1,(K$4-1)/MAX(1,'Вводные'!$B$35)))</x:f>
      </x:c>
      <x:c r="L5" s="100" t="n">
        <x:f>MAX(0,'Вводные'!$B$34,'Вводные'!$B$33-('Вводные'!$B$33-'Вводные'!$B$34)*MIN(1,(L$4-1)/MAX(1,'Вводные'!$B$35)))</x:f>
      </x:c>
      <x:c r="M5" s="100" t="n">
        <x:f>MAX(0,'Вводные'!$B$34,'Вводные'!$B$33-('Вводные'!$B$33-'Вводные'!$B$34)*MIN(1,(M$4-1)/MAX(1,'Вводные'!$B$35)))</x:f>
      </x:c>
      <x:c r="N5" s="100" t="n">
        <x:f>MAX(0,'Вводные'!$B$34,'Вводные'!$B$33-('Вводные'!$B$33-'Вводные'!$B$34)*MIN(1,(N$4-1)/MAX(1,'Вводные'!$B$35)))</x:f>
      </x:c>
      <x:c r="O5" s="100" t="n">
        <x:f>MAX(0,'Вводные'!$B$34,'Вводные'!$B$33-('Вводные'!$B$33-'Вводные'!$B$34)*MIN(1,(O$4-1)/MAX(1,'Вводные'!$B$35)))</x:f>
      </x:c>
      <x:c r="P5" s="100" t="n">
        <x:f>MAX(0,'Вводные'!$B$34,'Вводные'!$B$33-('Вводные'!$B$33-'Вводные'!$B$34)*MIN(1,(P$4-1)/MAX(1,'Вводные'!$B$35)))</x:f>
      </x:c>
      <x:c r="Q5" s="100" t="n">
        <x:f>MAX(0,'Вводные'!$B$34,'Вводные'!$B$33-('Вводные'!$B$33-'Вводные'!$B$34)*MIN(1,(Q$4-1)/MAX(1,'Вводные'!$B$35)))</x:f>
      </x:c>
      <x:c r="R5" s="100" t="n">
        <x:f>MAX(0,'Вводные'!$B$34,'Вводные'!$B$33-('Вводные'!$B$33-'Вводные'!$B$34)*MIN(1,(R$4-1)/MAX(1,'Вводные'!$B$35)))</x:f>
      </x:c>
      <x:c r="S5" s="100" t="n">
        <x:f>MAX(0,'Вводные'!$B$34,'Вводные'!$B$33-('Вводные'!$B$33-'Вводные'!$B$34)*MIN(1,(S$4-1)/MAX(1,'Вводные'!$B$35)))</x:f>
      </x:c>
      <x:c r="T5" s="100" t="n">
        <x:f>MAX(0,'Вводные'!$B$34,'Вводные'!$B$33-('Вводные'!$B$33-'Вводные'!$B$34)*MIN(1,(T$4-1)/MAX(1,'Вводные'!$B$35)))</x:f>
      </x:c>
      <x:c r="U5" s="100" t="n">
        <x:f>MAX(0,'Вводные'!$B$34,'Вводные'!$B$33-('Вводные'!$B$33-'Вводные'!$B$34)*MIN(1,(U$4-1)/MAX(1,'Вводные'!$B$35)))</x:f>
      </x:c>
      <x:c r="V5" s="100" t="n">
        <x:f>MAX(0,'Вводные'!$B$34,'Вводные'!$B$33-('Вводные'!$B$33-'Вводные'!$B$34)*MIN(1,(V$4-1)/MAX(1,'Вводные'!$B$35)))</x:f>
      </x:c>
      <x:c r="W5" s="100" t="n">
        <x:f>MAX(0,'Вводные'!$B$34,'Вводные'!$B$33-('Вводные'!$B$33-'Вводные'!$B$34)*MIN(1,(W$4-1)/MAX(1,'Вводные'!$B$35)))</x:f>
      </x:c>
      <x:c r="X5" s="100" t="n">
        <x:f>MAX(0,'Вводные'!$B$34,'Вводные'!$B$33-('Вводные'!$B$33-'Вводные'!$B$34)*MIN(1,(X$4-1)/MAX(1,'Вводные'!$B$35)))</x:f>
      </x:c>
      <x:c r="Y5" s="100" t="n">
        <x:f>MAX(0,'Вводные'!$B$34,'Вводные'!$B$33-('Вводные'!$B$33-'Вводные'!$B$34)*MIN(1,(Y$4-1)/MAX(1,'Вводные'!$B$35)))</x:f>
      </x:c>
      <x:c r="Z5" s="100" t="n">
        <x:f>MAX(0,'Вводные'!$B$34,'Вводные'!$B$33-('Вводные'!$B$33-'Вводные'!$B$34)*MIN(1,(Z$4-1)/MAX(1,'Вводные'!$B$35)))</x:f>
      </x:c>
      <x:c r="AA5" s="100" t="n">
        <x:f>MAX(0,'Вводные'!$B$34,'Вводные'!$B$33-('Вводные'!$B$33-'Вводные'!$B$34)*MIN(1,(AA$4-1)/MAX(1,'Вводные'!$B$35)))</x:f>
      </x:c>
      <x:c r="AB5" s="100" t="n">
        <x:f>MAX(0,'Вводные'!$B$34,'Вводные'!$B$33-('Вводные'!$B$33-'Вводные'!$B$34)*MIN(1,(AB$4-1)/MAX(1,'Вводные'!$B$35)))</x:f>
      </x:c>
      <x:c r="AC5" s="100" t="n">
        <x:f>MAX(0,'Вводные'!$B$34,'Вводные'!$B$33-('Вводные'!$B$33-'Вводные'!$B$34)*MIN(1,(AC$4-1)/MAX(1,'Вводные'!$B$35)))</x:f>
      </x:c>
      <x:c r="AD5" s="100" t="n">
        <x:f>MAX(0,'Вводные'!$B$34,'Вводные'!$B$33-('Вводные'!$B$33-'Вводные'!$B$34)*MIN(1,(AD$4-1)/MAX(1,'Вводные'!$B$35)))</x:f>
      </x:c>
      <x:c r="AE5" s="100" t="n">
        <x:f>MAX(0,'Вводные'!$B$34,'Вводные'!$B$33-('Вводные'!$B$33-'Вводные'!$B$34)*MIN(1,(AE$4-1)/MAX(1,'Вводные'!$B$35)))</x:f>
      </x:c>
      <x:c r="AF5" s="100" t="n">
        <x:f>MAX(0,'Вводные'!$B$34,'Вводные'!$B$33-('Вводные'!$B$33-'Вводные'!$B$34)*MIN(1,(AF$4-1)/MAX(1,'Вводные'!$B$35)))</x:f>
      </x:c>
      <x:c r="AG5" s="100" t="n">
        <x:f>MAX(0,'Вводные'!$B$34,'Вводные'!$B$33-('Вводные'!$B$33-'Вводные'!$B$34)*MIN(1,(AG$4-1)/MAX(1,'Вводные'!$B$35)))</x:f>
      </x:c>
      <x:c r="AH5" s="100" t="n">
        <x:f>MAX(0,'Вводные'!$B$34,'Вводные'!$B$33-('Вводные'!$B$33-'Вводные'!$B$34)*MIN(1,(AH$4-1)/MAX(1,'Вводные'!$B$35)))</x:f>
      </x:c>
      <x:c r="AI5" s="100" t="n">
        <x:f>MAX(0,'Вводные'!$B$34,'Вводные'!$B$33-('Вводные'!$B$33-'Вводные'!$B$34)*MIN(1,(AI$4-1)/MAX(1,'Вводные'!$B$35)))</x:f>
      </x:c>
      <x:c r="AJ5" s="100" t="n">
        <x:f>MAX(0,'Вводные'!$B$34,'Вводные'!$B$33-('Вводные'!$B$33-'Вводные'!$B$34)*MIN(1,(AJ$4-1)/MAX(1,'Вводные'!$B$35)))</x:f>
      </x:c>
      <x:c r="AK5" s="100" t="n">
        <x:f>MAX(0,'Вводные'!$B$34,'Вводные'!$B$33-('Вводные'!$B$33-'Вводные'!$B$34)*MIN(1,(AK$4-1)/MAX(1,'Вводные'!$B$35)))</x:f>
      </x:c>
      <x:c r="AL5" s="100" t="n">
        <x:f>MAX(0,'Вводные'!$B$34,'Вводные'!$B$33-('Вводные'!$B$33-'Вводные'!$B$34)*MIN(1,(AL$4-1)/MAX(1,'Вводные'!$B$35)))</x:f>
      </x:c>
      <x:c r="AM5" s="100" t="n">
        <x:f>MAX(0,'Вводные'!$B$34,'Вводные'!$B$33-('Вводные'!$B$33-'Вводные'!$B$34)*MIN(1,(AM$4-1)/MAX(1,'Вводные'!$B$35)))</x:f>
      </x:c>
      <x:c r="AN5" s="100" t="n">
        <x:f>MAX(0,'Вводные'!$B$34,'Вводные'!$B$33-('Вводные'!$B$33-'Вводные'!$B$34)*MIN(1,(AN$4-1)/MAX(1,'Вводные'!$B$35)))</x:f>
      </x:c>
      <x:c r="AO5" s="100" t="n">
        <x:f>MAX(0,'Вводные'!$B$34,'Вводные'!$B$33-('Вводные'!$B$33-'Вводные'!$B$34)*MIN(1,(AO$4-1)/MAX(1,'Вводные'!$B$35)))</x:f>
      </x:c>
      <x:c r="AP5" s="100" t="n">
        <x:f>MAX(0,'Вводные'!$B$34,'Вводные'!$B$33-('Вводные'!$B$33-'Вводные'!$B$34)*MIN(1,(AP$4-1)/MAX(1,'Вводные'!$B$35)))</x:f>
      </x:c>
      <x:c r="AQ5" s="100" t="n">
        <x:f>MAX(0,'Вводные'!$B$34,'Вводные'!$B$33-('Вводные'!$B$33-'Вводные'!$B$34)*MIN(1,(AQ$4-1)/MAX(1,'Вводные'!$B$35)))</x:f>
      </x:c>
      <x:c r="AR5" s="100" t="n">
        <x:f>MAX(0,'Вводные'!$B$34,'Вводные'!$B$33-('Вводные'!$B$33-'Вводные'!$B$34)*MIN(1,(AR$4-1)/MAX(1,'Вводные'!$B$35)))</x:f>
      </x:c>
      <x:c r="AS5" s="100" t="n">
        <x:f>MAX(0,'Вводные'!$B$34,'Вводные'!$B$33-('Вводные'!$B$33-'Вводные'!$B$34)*MIN(1,(AS$4-1)/MAX(1,'Вводные'!$B$35)))</x:f>
      </x:c>
      <x:c r="AT5" s="100" t="n">
        <x:f>MAX(0,'Вводные'!$B$34,'Вводные'!$B$33-('Вводные'!$B$33-'Вводные'!$B$34)*MIN(1,(AT$4-1)/MAX(1,'Вводные'!$B$35)))</x:f>
      </x:c>
      <x:c r="AU5" s="100" t="n">
        <x:f>MAX(0,'Вводные'!$B$34,'Вводные'!$B$33-('Вводные'!$B$33-'Вводные'!$B$34)*MIN(1,(AU$4-1)/MAX(1,'Вводные'!$B$35)))</x:f>
      </x:c>
      <x:c r="AV5" s="100" t="n">
        <x:f>MAX(0,'Вводные'!$B$34,'Вводные'!$B$33-('Вводные'!$B$33-'Вводные'!$B$34)*MIN(1,(AV$4-1)/MAX(1,'Вводные'!$B$35)))</x:f>
      </x:c>
      <x:c r="AW5" s="100" t="n">
        <x:f>MAX(0,'Вводные'!$B$34,'Вводные'!$B$33-('Вводные'!$B$33-'Вводные'!$B$34)*MIN(1,(AW$4-1)/MAX(1,'Вводные'!$B$35)))</x:f>
      </x:c>
      <x:c r="AX5" s="100" t="n">
        <x:f>MAX(0,'Вводные'!$B$34,'Вводные'!$B$33-('Вводные'!$B$33-'Вводные'!$B$34)*MIN(1,(AX$4-1)/MAX(1,'Вводные'!$B$35)))</x:f>
      </x:c>
      <x:c r="AY5" s="100" t="n">
        <x:f>MAX(0,'Вводные'!$B$34,'Вводные'!$B$33-('Вводные'!$B$33-'Вводные'!$B$34)*MIN(1,(AY$4-1)/MAX(1,'Вводные'!$B$35)))</x:f>
      </x:c>
      <x:c r="AZ5" s="100" t="n">
        <x:f>MAX(0,'Вводные'!$B$34,'Вводные'!$B$33-('Вводные'!$B$33-'Вводные'!$B$34)*MIN(1,(AZ$4-1)/MAX(1,'Вводные'!$B$35)))</x:f>
      </x:c>
      <x:c r="BA5" s="100" t="n">
        <x:f>MAX(0,'Вводные'!$B$34,'Вводные'!$B$33-('Вводные'!$B$33-'Вводные'!$B$34)*MIN(1,(BA$4-1)/MAX(1,'Вводные'!$B$35)))</x:f>
      </x:c>
      <x:c r="BB5" s="100" t="n">
        <x:f>MAX(0,'Вводные'!$B$34,'Вводные'!$B$33-('Вводные'!$B$33-'Вводные'!$B$34)*MIN(1,(BB$4-1)/MAX(1,'Вводные'!$B$35)))</x:f>
      </x:c>
      <x:c r="BC5" s="100" t="n">
        <x:f>MAX(0,'Вводные'!$B$34,'Вводные'!$B$33-('Вводные'!$B$33-'Вводные'!$B$34)*MIN(1,(BC$4-1)/MAX(1,'Вводные'!$B$35)))</x:f>
      </x:c>
      <x:c r="BD5" s="100" t="n">
        <x:f>MAX(0,'Вводные'!$B$34,'Вводные'!$B$33-('Вводные'!$B$33-'Вводные'!$B$34)*MIN(1,(BD$4-1)/MAX(1,'Вводные'!$B$35)))</x:f>
      </x:c>
      <x:c r="BE5" s="100" t="n">
        <x:f>MAX(0,'Вводные'!$B$34,'Вводные'!$B$33-('Вводные'!$B$33-'Вводные'!$B$34)*MIN(1,(BE$4-1)/MAX(1,'Вводные'!$B$35)))</x:f>
      </x:c>
      <x:c r="BF5" s="100" t="n">
        <x:f>MAX(0,'Вводные'!$B$34,'Вводные'!$B$33-('Вводные'!$B$33-'Вводные'!$B$34)*MIN(1,(BF$4-1)/MAX(1,'Вводные'!$B$35)))</x:f>
      </x:c>
      <x:c r="BG5" s="100" t="n">
        <x:f>MAX(0,'Вводные'!$B$34,'Вводные'!$B$33-('Вводные'!$B$33-'Вводные'!$B$34)*MIN(1,(BG$4-1)/MAX(1,'Вводные'!$B$35)))</x:f>
      </x:c>
      <x:c r="BH5" s="100" t="n">
        <x:f>MAX(0,'Вводные'!$B$34,'Вводные'!$B$33-('Вводные'!$B$33-'Вводные'!$B$34)*MIN(1,(BH$4-1)/MAX(1,'Вводные'!$B$35)))</x:f>
      </x:c>
      <x:c r="BI5" s="100" t="n">
        <x:f>MAX(0,'Вводные'!$B$34,'Вводные'!$B$33-('Вводные'!$B$33-'Вводные'!$B$34)*MIN(1,(BI$4-1)/MAX(1,'Вводные'!$B$35)))</x:f>
      </x:c>
      <x:c r="BJ5" s="100" t="n">
        <x:f>MAX(0,'Вводные'!$B$34,'Вводные'!$B$33-('Вводные'!$B$33-'Вводные'!$B$34)*MIN(1,(BJ$4-1)/MAX(1,'Вводные'!$B$35)))</x:f>
      </x:c>
      <x:c r="BK5" s="100" t="n">
        <x:f>MAX(0,'Вводные'!$B$34,'Вводные'!$B$33-('Вводные'!$B$33-'Вводные'!$B$34)*MIN(1,(BK$4-1)/MAX(1,'Вводные'!$B$35)))</x:f>
      </x:c>
      <x:c r="BL5" s="100" t="n">
        <x:f>MAX(0,'Вводные'!$B$34,'Вводные'!$B$33-('Вводные'!$B$33-'Вводные'!$B$34)*MIN(1,(BL$4-1)/MAX(1,'Вводные'!$B$35)))</x:f>
      </x:c>
      <x:c r="BM5" s="100" t="n">
        <x:f>MAX(0,'Вводные'!$B$34,'Вводные'!$B$33-('Вводные'!$B$33-'Вводные'!$B$34)*MIN(1,(BM$4-1)/MAX(1,'Вводные'!$B$35)))</x:f>
      </x:c>
      <x:c r="BN5" s="100" t="n">
        <x:f>MAX(0,'Вводные'!$B$34,'Вводные'!$B$33-('Вводные'!$B$33-'Вводные'!$B$34)*MIN(1,(BN$4-1)/MAX(1,'Вводные'!$B$35)))</x:f>
      </x:c>
      <x:c r="BO5" s="100" t="n">
        <x:f>MAX(0,'Вводные'!$B$34,'Вводные'!$B$33-('Вводные'!$B$33-'Вводные'!$B$34)*MIN(1,(BO$4-1)/MAX(1,'Вводные'!$B$35)))</x:f>
      </x:c>
      <x:c r="BP5" s="100" t="n">
        <x:f>MAX(0,'Вводные'!$B$34,'Вводные'!$B$33-('Вводные'!$B$33-'Вводные'!$B$34)*MIN(1,(BP$4-1)/MAX(1,'Вводные'!$B$35)))</x:f>
      </x:c>
      <x:c r="BQ5" s="100" t="n">
        <x:f>MAX(0,'Вводные'!$B$34,'Вводные'!$B$33-('Вводные'!$B$33-'Вводные'!$B$34)*MIN(1,(BQ$4-1)/MAX(1,'Вводные'!$B$35)))</x:f>
      </x:c>
      <x:c r="BR5" s="100" t="n">
        <x:f>MAX(0,'Вводные'!$B$34,'Вводные'!$B$33-('Вводные'!$B$33-'Вводные'!$B$34)*MIN(1,(BR$4-1)/MAX(1,'Вводные'!$B$35)))</x:f>
      </x:c>
      <x:c r="BS5" s="100" t="n">
        <x:f>MAX(0,'Вводные'!$B$34,'Вводные'!$B$33-('Вводные'!$B$33-'Вводные'!$B$34)*MIN(1,(BS$4-1)/MAX(1,'Вводные'!$B$35)))</x:f>
      </x:c>
      <x:c r="BT5" s="100" t="n">
        <x:f>MAX(0,'Вводные'!$B$34,'Вводные'!$B$33-('Вводные'!$B$33-'Вводные'!$B$34)*MIN(1,(BT$4-1)/MAX(1,'Вводные'!$B$35)))</x:f>
      </x:c>
      <x:c r="BU5" s="100" t="n">
        <x:f>MAX(0,'Вводные'!$B$34,'Вводные'!$B$33-('Вводные'!$B$33-'Вводные'!$B$34)*MIN(1,(BU$4-1)/MAX(1,'Вводные'!$B$35)))</x:f>
      </x:c>
      <x:c r="BV5" s="100" t="n">
        <x:f>MAX(0,'Вводные'!$B$34,'Вводные'!$B$33-('Вводные'!$B$33-'Вводные'!$B$34)*MIN(1,(BV$4-1)/MAX(1,'Вводные'!$B$35)))</x:f>
      </x:c>
      <x:c r="BW5" s="100" t="n">
        <x:f>MAX(0,'Вводные'!$B$34,'Вводные'!$B$33-('Вводные'!$B$33-'Вводные'!$B$34)*MIN(1,(BW$4-1)/MAX(1,'Вводные'!$B$35)))</x:f>
      </x:c>
      <x:c r="BX5" s="100" t="n">
        <x:f>MAX(0,'Вводные'!$B$34,'Вводные'!$B$33-('Вводные'!$B$33-'Вводные'!$B$34)*MIN(1,(BX$4-1)/MAX(1,'Вводные'!$B$35)))</x:f>
      </x:c>
      <x:c r="BY5" s="100" t="n">
        <x:f>MAX(0,'Вводные'!$B$34,'Вводные'!$B$33-('Вводные'!$B$33-'Вводные'!$B$34)*MIN(1,(BY$4-1)/MAX(1,'Вводные'!$B$35)))</x:f>
      </x:c>
      <x:c r="BZ5" s="100" t="n">
        <x:f>MAX(0,'Вводные'!$B$34,'Вводные'!$B$33-('Вводные'!$B$33-'Вводные'!$B$34)*MIN(1,(BZ$4-1)/MAX(1,'Вводные'!$B$35)))</x:f>
      </x:c>
      <x:c r="CA5" s="100" t="n">
        <x:f>MAX(0,'Вводные'!$B$34,'Вводные'!$B$33-('Вводные'!$B$33-'Вводные'!$B$34)*MIN(1,(CA$4-1)/MAX(1,'Вводные'!$B$35)))</x:f>
      </x:c>
      <x:c r="CB5" s="100" t="n">
        <x:f>MAX(0,'Вводные'!$B$34,'Вводные'!$B$33-('Вводные'!$B$33-'Вводные'!$B$34)*MIN(1,(CB$4-1)/MAX(1,'Вводные'!$B$35)))</x:f>
      </x:c>
      <x:c r="CC5" s="100" t="n">
        <x:f>MAX(0,'Вводные'!$B$34,'Вводные'!$B$33-('Вводные'!$B$33-'Вводные'!$B$34)*MIN(1,(CC$4-1)/MAX(1,'Вводные'!$B$35)))</x:f>
      </x:c>
      <x:c r="CD5" s="100" t="n">
        <x:f>MAX(0,'Вводные'!$B$34,'Вводные'!$B$33-('Вводные'!$B$33-'Вводные'!$B$34)*MIN(1,(CD$4-1)/MAX(1,'Вводные'!$B$35)))</x:f>
      </x:c>
      <x:c r="CE5" s="100" t="n">
        <x:f>MAX(0,'Вводные'!$B$34,'Вводные'!$B$33-('Вводные'!$B$33-'Вводные'!$B$34)*MIN(1,(CE$4-1)/MAX(1,'Вводные'!$B$35)))</x:f>
      </x:c>
      <x:c r="CF5" s="100" t="n">
        <x:f>MAX(0,'Вводные'!$B$34,'Вводные'!$B$33-('Вводные'!$B$33-'Вводные'!$B$34)*MIN(1,(CF$4-1)/MAX(1,'Вводные'!$B$35)))</x:f>
      </x:c>
      <x:c r="CG5" s="100" t="n">
        <x:f>MAX(0,'Вводные'!$B$34,'Вводные'!$B$33-('Вводные'!$B$33-'Вводные'!$B$34)*MIN(1,(CG$4-1)/MAX(1,'Вводные'!$B$35)))</x:f>
      </x:c>
      <x:c r="CH5" s="100" t="n">
        <x:f>MAX(0,'Вводные'!$B$34,'Вводные'!$B$33-('Вводные'!$B$33-'Вводные'!$B$34)*MIN(1,(CH$4-1)/MAX(1,'Вводные'!$B$35)))</x:f>
      </x:c>
      <x:c r="CI5" s="100" t="n">
        <x:f>MAX(0,'Вводные'!$B$34,'Вводные'!$B$33-('Вводные'!$B$33-'Вводные'!$B$34)*MIN(1,(CI$4-1)/MAX(1,'Вводные'!$B$35)))</x:f>
      </x:c>
      <x:c r="CJ5" s="100" t="n">
        <x:f>MAX(0,'Вводные'!$B$34,'Вводные'!$B$33-('Вводные'!$B$33-'Вводные'!$B$34)*MIN(1,(CJ$4-1)/MAX(1,'Вводные'!$B$35)))</x:f>
      </x:c>
      <x:c r="CK5" s="100" t="n">
        <x:f>MAX(0,'Вводные'!$B$34,'Вводные'!$B$33-('Вводные'!$B$33-'Вводные'!$B$34)*MIN(1,(CK$4-1)/MAX(1,'Вводные'!$B$35)))</x:f>
      </x:c>
      <x:c r="CL5" s="100" t="n">
        <x:f>MAX(0,'Вводные'!$B$34,'Вводные'!$B$33-('Вводные'!$B$33-'Вводные'!$B$34)*MIN(1,(CL$4-1)/MAX(1,'Вводные'!$B$35)))</x:f>
      </x:c>
      <x:c r="CM5" s="100" t="n">
        <x:f>MAX(0,'Вводные'!$B$34,'Вводные'!$B$33-('Вводные'!$B$33-'Вводные'!$B$34)*MIN(1,(CM$4-1)/MAX(1,'Вводные'!$B$35)))</x:f>
      </x:c>
      <x:c r="CN5" s="100" t="n">
        <x:f>MAX(0,'Вводные'!$B$34,'Вводные'!$B$33-('Вводные'!$B$33-'Вводные'!$B$34)*MIN(1,(CN$4-1)/MAX(1,'Вводные'!$B$35)))</x:f>
      </x:c>
      <x:c r="CO5" s="100" t="n">
        <x:f>MAX(0,'Вводные'!$B$34,'Вводные'!$B$33-('Вводные'!$B$33-'Вводные'!$B$34)*MIN(1,(CO$4-1)/MAX(1,'Вводные'!$B$35)))</x:f>
      </x:c>
      <x:c r="CP5" s="100" t="n">
        <x:f>MAX(0,'Вводные'!$B$34,'Вводные'!$B$33-('Вводные'!$B$33-'Вводные'!$B$34)*MIN(1,(CP$4-1)/MAX(1,'Вводные'!$B$35)))</x:f>
      </x:c>
      <x:c r="CQ5" s="100" t="n">
        <x:f>MAX(0,'Вводные'!$B$34,'Вводные'!$B$33-('Вводные'!$B$33-'Вводные'!$B$34)*MIN(1,(CQ$4-1)/MAX(1,'Вводные'!$B$35)))</x:f>
      </x:c>
      <x:c r="CR5" s="100" t="n">
        <x:f>MAX(0,'Вводные'!$B$34,'Вводные'!$B$33-('Вводные'!$B$33-'Вводные'!$B$34)*MIN(1,(CR$4-1)/MAX(1,'Вводные'!$B$35)))</x:f>
      </x:c>
      <x:c r="CS5" s="100" t="n">
        <x:f>MAX(0,'Вводные'!$B$34,'Вводные'!$B$33-('Вводные'!$B$33-'Вводные'!$B$34)*MIN(1,(CS$4-1)/MAX(1,'Вводные'!$B$35)))</x:f>
      </x:c>
      <x:c r="CT5" s="100" t="n">
        <x:f>MAX(0,'Вводные'!$B$34,'Вводные'!$B$33-('Вводные'!$B$33-'Вводные'!$B$34)*MIN(1,(CT$4-1)/MAX(1,'Вводные'!$B$35)))</x:f>
      </x:c>
      <x:c r="CU5" s="100" t="n">
        <x:f>MAX(0,'Вводные'!$B$34,'Вводные'!$B$33-('Вводные'!$B$33-'Вводные'!$B$34)*MIN(1,(CU$4-1)/MAX(1,'Вводные'!$B$35)))</x:f>
      </x:c>
      <x:c r="CV5" s="100" t="n">
        <x:f>MAX(0,'Вводные'!$B$34,'Вводные'!$B$33-('Вводные'!$B$33-'Вводные'!$B$34)*MIN(1,(CV$4-1)/MAX(1,'Вводные'!$B$35)))</x:f>
      </x:c>
      <x:c r="CW5" s="100" t="n">
        <x:f>MAX(0,'Вводные'!$B$34,'Вводные'!$B$33-('Вводные'!$B$33-'Вводные'!$B$34)*MIN(1,(CW$4-1)/MAX(1,'Вводные'!$B$35)))</x:f>
      </x:c>
      <x:c r="CX5" s="100" t="n">
        <x:f>MAX(0,'Вводные'!$B$34,'Вводные'!$B$33-('Вводные'!$B$33-'Вводные'!$B$34)*MIN(1,(CX$4-1)/MAX(1,'Вводные'!$B$35)))</x:f>
      </x:c>
      <x:c r="CY5" s="100" t="n">
        <x:f>MAX(0,'Вводные'!$B$34,'Вводные'!$B$33-('Вводные'!$B$33-'Вводные'!$B$34)*MIN(1,(CY$4-1)/MAX(1,'Вводные'!$B$35)))</x:f>
      </x:c>
      <x:c r="CZ5" s="100" t="n">
        <x:f>MAX(0,'Вводные'!$B$34,'Вводные'!$B$33-('Вводные'!$B$33-'Вводные'!$B$34)*MIN(1,(CZ$4-1)/MAX(1,'Вводные'!$B$35)))</x:f>
      </x:c>
      <x:c r="DA5" s="100" t="n">
        <x:f>MAX(0,'Вводные'!$B$34,'Вводные'!$B$33-('Вводные'!$B$33-'Вводные'!$B$34)*MIN(1,(DA$4-1)/MAX(1,'Вводные'!$B$35)))</x:f>
      </x:c>
      <x:c r="DB5" s="100" t="n">
        <x:f>MAX(0,'Вводные'!$B$34,'Вводные'!$B$33-('Вводные'!$B$33-'Вводные'!$B$34)*MIN(1,(DB$4-1)/MAX(1,'Вводные'!$B$35)))</x:f>
      </x:c>
      <x:c r="DC5" s="100" t="n">
        <x:f>MAX(0,'Вводные'!$B$34,'Вводные'!$B$33-('Вводные'!$B$33-'Вводные'!$B$34)*MIN(1,(DC$4-1)/MAX(1,'Вводные'!$B$35)))</x:f>
      </x:c>
      <x:c r="DD5" s="100" t="n">
        <x:f>MAX(0,'Вводные'!$B$34,'Вводные'!$B$33-('Вводные'!$B$33-'Вводные'!$B$34)*MIN(1,(DD$4-1)/MAX(1,'Вводные'!$B$35)))</x:f>
      </x:c>
      <x:c r="DE5" s="100" t="n">
        <x:f>MAX(0,'Вводные'!$B$34,'Вводные'!$B$33-('Вводные'!$B$33-'Вводные'!$B$34)*MIN(1,(DE$4-1)/MAX(1,'Вводные'!$B$35)))</x:f>
      </x:c>
      <x:c r="DF5" s="100" t="n">
        <x:f>MAX(0,'Вводные'!$B$34,'Вводные'!$B$33-('Вводные'!$B$33-'Вводные'!$B$34)*MIN(1,(DF$4-1)/MAX(1,'Вводные'!$B$35)))</x:f>
      </x:c>
      <x:c r="DG5" s="100" t="n">
        <x:f>MAX(0,'Вводные'!$B$34,'Вводные'!$B$33-('Вводные'!$B$33-'Вводные'!$B$34)*MIN(1,(DG$4-1)/MAX(1,'Вводные'!$B$35)))</x:f>
      </x:c>
      <x:c r="DH5" s="100" t="n">
        <x:f>MAX(0,'Вводные'!$B$34,'Вводные'!$B$33-('Вводные'!$B$33-'Вводные'!$B$34)*MIN(1,(DH$4-1)/MAX(1,'Вводные'!$B$35)))</x:f>
      </x:c>
      <x:c r="DI5" s="100" t="n">
        <x:f>MAX(0,'Вводные'!$B$34,'Вводные'!$B$33-('Вводные'!$B$33-'Вводные'!$B$34)*MIN(1,(DI$4-1)/MAX(1,'Вводные'!$B$35)))</x:f>
      </x:c>
      <x:c r="DJ5" s="100" t="n">
        <x:f>MAX(0,'Вводные'!$B$34,'Вводные'!$B$33-('Вводные'!$B$33-'Вводные'!$B$34)*MIN(1,(DJ$4-1)/MAX(1,'Вводные'!$B$35)))</x:f>
      </x:c>
      <x:c r="DK5" s="100" t="n">
        <x:f>MAX(0,'Вводные'!$B$34,'Вводные'!$B$33-('Вводные'!$B$33-'Вводные'!$B$34)*MIN(1,(DK$4-1)/MAX(1,'Вводные'!$B$35)))</x:f>
      </x:c>
      <x:c r="DL5" s="100" t="n">
        <x:f>MAX(0,'Вводные'!$B$34,'Вводные'!$B$33-('Вводные'!$B$33-'Вводные'!$B$34)*MIN(1,(DL$4-1)/MAX(1,'Вводные'!$B$35)))</x:f>
      </x:c>
      <x:c r="DM5" s="100" t="n">
        <x:f>MAX(0,'Вводные'!$B$34,'Вводные'!$B$33-('Вводные'!$B$33-'Вводные'!$B$34)*MIN(1,(DM$4-1)/MAX(1,'Вводные'!$B$35)))</x:f>
      </x:c>
      <x:c r="DN5" s="100" t="n">
        <x:f>MAX(0,'Вводные'!$B$34,'Вводные'!$B$33-('Вводные'!$B$33-'Вводные'!$B$34)*MIN(1,(DN$4-1)/MAX(1,'Вводные'!$B$35)))</x:f>
      </x:c>
      <x:c r="DO5" s="100" t="n">
        <x:f>MAX(0,'Вводные'!$B$34,'Вводные'!$B$33-('Вводные'!$B$33-'Вводные'!$B$34)*MIN(1,(DO$4-1)/MAX(1,'Вводные'!$B$35)))</x:f>
      </x:c>
      <x:c r="DP5" s="100" t="n">
        <x:f>MAX(0,'Вводные'!$B$34,'Вводные'!$B$33-('Вводные'!$B$33-'Вводные'!$B$34)*MIN(1,(DP$4-1)/MAX(1,'Вводные'!$B$35)))</x:f>
      </x:c>
      <x:c r="DQ5" s="100" t="n">
        <x:f>MAX(0,'Вводные'!$B$34,'Вводные'!$B$33-('Вводные'!$B$33-'Вводные'!$B$34)*MIN(1,(DQ$4-1)/MAX(1,'Вводные'!$B$35)))</x:f>
      </x:c>
      <x:c r="DR5" s="100" t="n">
        <x:f>MAX(0,'Вводные'!$B$34,'Вводные'!$B$33-('Вводные'!$B$33-'Вводные'!$B$34)*MIN(1,(DR$4-1)/MAX(1,'Вводные'!$B$35)))</x:f>
      </x:c>
      <x:c r="DS5" s="100" t="n">
        <x:f>MAX(0,'Вводные'!$B$34,'Вводные'!$B$33-('Вводные'!$B$33-'Вводные'!$B$34)*MIN(1,(DS$4-1)/MAX(1,'Вводные'!$B$35)))</x:f>
      </x:c>
    </x:row>
    <x:row r="6">
      <x:c r="A6" s="7" t="str">
        <x:v>Ставка БРИДЖ</x:v>
      </x:c>
      <x:c r="B6" t="str">
        <x:v>% год</x:v>
      </x:c>
      <x:c r="C6"/>
      <x:c r="D6" s="100" t="n">
        <x:f>D5+'Вводные'!$B$25</x:f>
      </x:c>
      <x:c r="E6" s="100" t="n">
        <x:f>E5+'Вводные'!$B$25</x:f>
      </x:c>
      <x:c r="F6" s="100" t="n">
        <x:f>F5+'Вводные'!$B$25</x:f>
      </x:c>
      <x:c r="G6" s="100" t="n">
        <x:f>G5+'Вводные'!$B$25</x:f>
      </x:c>
      <x:c r="H6" s="100" t="n">
        <x:f>H5+'Вводные'!$B$25</x:f>
      </x:c>
      <x:c r="I6" s="100" t="n">
        <x:f>I5+'Вводные'!$B$25</x:f>
      </x:c>
      <x:c r="J6" s="100" t="n">
        <x:f>J5+'Вводные'!$B$25</x:f>
      </x:c>
      <x:c r="K6" s="100" t="n">
        <x:f>K5+'Вводные'!$B$25</x:f>
      </x:c>
      <x:c r="L6" s="100" t="n">
        <x:f>L5+'Вводные'!$B$25</x:f>
      </x:c>
      <x:c r="M6" s="100" t="n">
        <x:f>M5+'Вводные'!$B$25</x:f>
      </x:c>
      <x:c r="N6" s="100" t="n">
        <x:f>N5+'Вводные'!$B$25</x:f>
      </x:c>
      <x:c r="O6" s="100" t="n">
        <x:f>O5+'Вводные'!$B$25</x:f>
      </x:c>
      <x:c r="P6" s="100" t="n">
        <x:f>P5+'Вводные'!$B$25</x:f>
      </x:c>
      <x:c r="Q6" s="100" t="n">
        <x:f>Q5+'Вводные'!$B$25</x:f>
      </x:c>
      <x:c r="R6" s="100" t="n">
        <x:f>R5+'Вводные'!$B$25</x:f>
      </x:c>
      <x:c r="S6" s="100" t="n">
        <x:f>S5+'Вводные'!$B$25</x:f>
      </x:c>
      <x:c r="T6" s="100" t="n">
        <x:f>T5+'Вводные'!$B$25</x:f>
      </x:c>
      <x:c r="U6" s="100" t="n">
        <x:f>U5+'Вводные'!$B$25</x:f>
      </x:c>
      <x:c r="V6" s="100" t="n">
        <x:f>V5+'Вводные'!$B$25</x:f>
      </x:c>
      <x:c r="W6" s="100" t="n">
        <x:f>W5+'Вводные'!$B$25</x:f>
      </x:c>
      <x:c r="X6" s="100" t="n">
        <x:f>X5+'Вводные'!$B$25</x:f>
      </x:c>
      <x:c r="Y6" s="100" t="n">
        <x:f>Y5+'Вводные'!$B$25</x:f>
      </x:c>
      <x:c r="Z6" s="100" t="n">
        <x:f>Z5+'Вводные'!$B$25</x:f>
      </x:c>
      <x:c r="AA6" s="100" t="n">
        <x:f>AA5+'Вводные'!$B$25</x:f>
      </x:c>
      <x:c r="AB6" s="100" t="n">
        <x:f>AB5+'Вводные'!$B$25</x:f>
      </x:c>
      <x:c r="AC6" s="100" t="n">
        <x:f>AC5+'Вводные'!$B$25</x:f>
      </x:c>
      <x:c r="AD6" s="100" t="n">
        <x:f>AD5+'Вводные'!$B$25</x:f>
      </x:c>
      <x:c r="AE6" s="100" t="n">
        <x:f>AE5+'Вводные'!$B$25</x:f>
      </x:c>
      <x:c r="AF6" s="100" t="n">
        <x:f>AF5+'Вводные'!$B$25</x:f>
      </x:c>
      <x:c r="AG6" s="100" t="n">
        <x:f>AG5+'Вводные'!$B$25</x:f>
      </x:c>
      <x:c r="AH6" s="100" t="n">
        <x:f>AH5+'Вводные'!$B$25</x:f>
      </x:c>
      <x:c r="AI6" s="100" t="n">
        <x:f>AI5+'Вводные'!$B$25</x:f>
      </x:c>
      <x:c r="AJ6" s="100" t="n">
        <x:f>AJ5+'Вводные'!$B$25</x:f>
      </x:c>
      <x:c r="AK6" s="100" t="n">
        <x:f>AK5+'Вводные'!$B$25</x:f>
      </x:c>
      <x:c r="AL6" s="100" t="n">
        <x:f>AL5+'Вводные'!$B$25</x:f>
      </x:c>
      <x:c r="AM6" s="100" t="n">
        <x:f>AM5+'Вводные'!$B$25</x:f>
      </x:c>
      <x:c r="AN6" s="100" t="n">
        <x:f>AN5+'Вводные'!$B$25</x:f>
      </x:c>
      <x:c r="AO6" s="100" t="n">
        <x:f>AO5+'Вводные'!$B$25</x:f>
      </x:c>
      <x:c r="AP6" s="100" t="n">
        <x:f>AP5+'Вводные'!$B$25</x:f>
      </x:c>
      <x:c r="AQ6" s="100" t="n">
        <x:f>AQ5+'Вводные'!$B$25</x:f>
      </x:c>
      <x:c r="AR6" s="100" t="n">
        <x:f>AR5+'Вводные'!$B$25</x:f>
      </x:c>
      <x:c r="AS6" s="100" t="n">
        <x:f>AS5+'Вводные'!$B$25</x:f>
      </x:c>
      <x:c r="AT6" s="100" t="n">
        <x:f>AT5+'Вводные'!$B$25</x:f>
      </x:c>
      <x:c r="AU6" s="100" t="n">
        <x:f>AU5+'Вводные'!$B$25</x:f>
      </x:c>
      <x:c r="AV6" s="100" t="n">
        <x:f>AV5+'Вводные'!$B$25</x:f>
      </x:c>
      <x:c r="AW6" s="100" t="n">
        <x:f>AW5+'Вводные'!$B$25</x:f>
      </x:c>
      <x:c r="AX6" s="100" t="n">
        <x:f>AX5+'Вводные'!$B$25</x:f>
      </x:c>
      <x:c r="AY6" s="100" t="n">
        <x:f>AY5+'Вводные'!$B$25</x:f>
      </x:c>
      <x:c r="AZ6" s="100" t="n">
        <x:f>AZ5+'Вводные'!$B$25</x:f>
      </x:c>
      <x:c r="BA6" s="100" t="n">
        <x:f>BA5+'Вводные'!$B$25</x:f>
      </x:c>
      <x:c r="BB6" s="100" t="n">
        <x:f>BB5+'Вводные'!$B$25</x:f>
      </x:c>
      <x:c r="BC6" s="100" t="n">
        <x:f>BC5+'Вводные'!$B$25</x:f>
      </x:c>
      <x:c r="BD6" s="100" t="n">
        <x:f>BD5+'Вводные'!$B$25</x:f>
      </x:c>
      <x:c r="BE6" s="100" t="n">
        <x:f>BE5+'Вводные'!$B$25</x:f>
      </x:c>
      <x:c r="BF6" s="100" t="n">
        <x:f>BF5+'Вводные'!$B$25</x:f>
      </x:c>
      <x:c r="BG6" s="100" t="n">
        <x:f>BG5+'Вводные'!$B$25</x:f>
      </x:c>
      <x:c r="BH6" s="100" t="n">
        <x:f>BH5+'Вводные'!$B$25</x:f>
      </x:c>
      <x:c r="BI6" s="100" t="n">
        <x:f>BI5+'Вводные'!$B$25</x:f>
      </x:c>
      <x:c r="BJ6" s="100" t="n">
        <x:f>BJ5+'Вводные'!$B$25</x:f>
      </x:c>
      <x:c r="BK6" s="100" t="n">
        <x:f>BK5+'Вводные'!$B$25</x:f>
      </x:c>
      <x:c r="BL6" s="100" t="n">
        <x:f>BL5+'Вводные'!$B$25</x:f>
      </x:c>
      <x:c r="BM6" s="100" t="n">
        <x:f>BM5+'Вводные'!$B$25</x:f>
      </x:c>
      <x:c r="BN6" s="100" t="n">
        <x:f>BN5+'Вводные'!$B$25</x:f>
      </x:c>
      <x:c r="BO6" s="100" t="n">
        <x:f>BO5+'Вводные'!$B$25</x:f>
      </x:c>
      <x:c r="BP6" s="100" t="n">
        <x:f>BP5+'Вводные'!$B$25</x:f>
      </x:c>
      <x:c r="BQ6" s="100" t="n">
        <x:f>BQ5+'Вводные'!$B$25</x:f>
      </x:c>
      <x:c r="BR6" s="100" t="n">
        <x:f>BR5+'Вводные'!$B$25</x:f>
      </x:c>
      <x:c r="BS6" s="100" t="n">
        <x:f>BS5+'Вводные'!$B$25</x:f>
      </x:c>
      <x:c r="BT6" s="100" t="n">
        <x:f>BT5+'Вводные'!$B$25</x:f>
      </x:c>
      <x:c r="BU6" s="100" t="n">
        <x:f>BU5+'Вводные'!$B$25</x:f>
      </x:c>
      <x:c r="BV6" s="100" t="n">
        <x:f>BV5+'Вводные'!$B$25</x:f>
      </x:c>
      <x:c r="BW6" s="100" t="n">
        <x:f>BW5+'Вводные'!$B$25</x:f>
      </x:c>
      <x:c r="BX6" s="100" t="n">
        <x:f>BX5+'Вводные'!$B$25</x:f>
      </x:c>
      <x:c r="BY6" s="100" t="n">
        <x:f>BY5+'Вводные'!$B$25</x:f>
      </x:c>
      <x:c r="BZ6" s="100" t="n">
        <x:f>BZ5+'Вводные'!$B$25</x:f>
      </x:c>
      <x:c r="CA6" s="100" t="n">
        <x:f>CA5+'Вводные'!$B$25</x:f>
      </x:c>
      <x:c r="CB6" s="100" t="n">
        <x:f>CB5+'Вводные'!$B$25</x:f>
      </x:c>
      <x:c r="CC6" s="100" t="n">
        <x:f>CC5+'Вводные'!$B$25</x:f>
      </x:c>
      <x:c r="CD6" s="100" t="n">
        <x:f>CD5+'Вводные'!$B$25</x:f>
      </x:c>
      <x:c r="CE6" s="100" t="n">
        <x:f>CE5+'Вводные'!$B$25</x:f>
      </x:c>
      <x:c r="CF6" s="100" t="n">
        <x:f>CF5+'Вводные'!$B$25</x:f>
      </x:c>
      <x:c r="CG6" s="100" t="n">
        <x:f>CG5+'Вводные'!$B$25</x:f>
      </x:c>
      <x:c r="CH6" s="100" t="n">
        <x:f>CH5+'Вводные'!$B$25</x:f>
      </x:c>
      <x:c r="CI6" s="100" t="n">
        <x:f>CI5+'Вводные'!$B$25</x:f>
      </x:c>
      <x:c r="CJ6" s="100" t="n">
        <x:f>CJ5+'Вводные'!$B$25</x:f>
      </x:c>
      <x:c r="CK6" s="100" t="n">
        <x:f>CK5+'Вводные'!$B$25</x:f>
      </x:c>
      <x:c r="CL6" s="100" t="n">
        <x:f>CL5+'Вводные'!$B$25</x:f>
      </x:c>
      <x:c r="CM6" s="100" t="n">
        <x:f>CM5+'Вводные'!$B$25</x:f>
      </x:c>
      <x:c r="CN6" s="100" t="n">
        <x:f>CN5+'Вводные'!$B$25</x:f>
      </x:c>
      <x:c r="CO6" s="100" t="n">
        <x:f>CO5+'Вводные'!$B$25</x:f>
      </x:c>
      <x:c r="CP6" s="100" t="n">
        <x:f>CP5+'Вводные'!$B$25</x:f>
      </x:c>
      <x:c r="CQ6" s="100" t="n">
        <x:f>CQ5+'Вводные'!$B$25</x:f>
      </x:c>
      <x:c r="CR6" s="100" t="n">
        <x:f>CR5+'Вводные'!$B$25</x:f>
      </x:c>
      <x:c r="CS6" s="100" t="n">
        <x:f>CS5+'Вводные'!$B$25</x:f>
      </x:c>
      <x:c r="CT6" s="100" t="n">
        <x:f>CT5+'Вводные'!$B$25</x:f>
      </x:c>
      <x:c r="CU6" s="100" t="n">
        <x:f>CU5+'Вводные'!$B$25</x:f>
      </x:c>
      <x:c r="CV6" s="100" t="n">
        <x:f>CV5+'Вводные'!$B$25</x:f>
      </x:c>
      <x:c r="CW6" s="100" t="n">
        <x:f>CW5+'Вводные'!$B$25</x:f>
      </x:c>
      <x:c r="CX6" s="100" t="n">
        <x:f>CX5+'Вводные'!$B$25</x:f>
      </x:c>
      <x:c r="CY6" s="100" t="n">
        <x:f>CY5+'Вводные'!$B$25</x:f>
      </x:c>
      <x:c r="CZ6" s="100" t="n">
        <x:f>CZ5+'Вводные'!$B$25</x:f>
      </x:c>
      <x:c r="DA6" s="100" t="n">
        <x:f>DA5+'Вводные'!$B$25</x:f>
      </x:c>
      <x:c r="DB6" s="100" t="n">
        <x:f>DB5+'Вводные'!$B$25</x:f>
      </x:c>
      <x:c r="DC6" s="100" t="n">
        <x:f>DC5+'Вводные'!$B$25</x:f>
      </x:c>
      <x:c r="DD6" s="100" t="n">
        <x:f>DD5+'Вводные'!$B$25</x:f>
      </x:c>
      <x:c r="DE6" s="100" t="n">
        <x:f>DE5+'Вводные'!$B$25</x:f>
      </x:c>
      <x:c r="DF6" s="100" t="n">
        <x:f>DF5+'Вводные'!$B$25</x:f>
      </x:c>
      <x:c r="DG6" s="100" t="n">
        <x:f>DG5+'Вводные'!$B$25</x:f>
      </x:c>
      <x:c r="DH6" s="100" t="n">
        <x:f>DH5+'Вводные'!$B$25</x:f>
      </x:c>
      <x:c r="DI6" s="100" t="n">
        <x:f>DI5+'Вводные'!$B$25</x:f>
      </x:c>
      <x:c r="DJ6" s="100" t="n">
        <x:f>DJ5+'Вводные'!$B$25</x:f>
      </x:c>
      <x:c r="DK6" s="100" t="n">
        <x:f>DK5+'Вводные'!$B$25</x:f>
      </x:c>
      <x:c r="DL6" s="100" t="n">
        <x:f>DL5+'Вводные'!$B$25</x:f>
      </x:c>
      <x:c r="DM6" s="100" t="n">
        <x:f>DM5+'Вводные'!$B$25</x:f>
      </x:c>
      <x:c r="DN6" s="100" t="n">
        <x:f>DN5+'Вводные'!$B$25</x:f>
      </x:c>
      <x:c r="DO6" s="100" t="n">
        <x:f>DO5+'Вводные'!$B$25</x:f>
      </x:c>
      <x:c r="DP6" s="100" t="n">
        <x:f>DP5+'Вводные'!$B$25</x:f>
      </x:c>
      <x:c r="DQ6" s="100" t="n">
        <x:f>DQ5+'Вводные'!$B$25</x:f>
      </x:c>
      <x:c r="DR6" s="100" t="n">
        <x:f>DR5+'Вводные'!$B$25</x:f>
      </x:c>
      <x:c r="DS6" s="100" t="n">
        <x:f>DS5+'Вводные'!$B$25</x:f>
      </x:c>
    </x:row>
    <x:row r="7">
      <x:c r="A7" s="7" t="str">
        <x:v>Базовая ставка ПФ</x:v>
      </x:c>
      <x:c r="B7" t="str">
        <x:v>% год</x:v>
      </x:c>
      <x:c r="C7"/>
      <x:c r="D7" s="100" t="n">
        <x:f>D5+'Вводные'!$B$27</x:f>
      </x:c>
      <x:c r="E7" s="100" t="n">
        <x:f>E5+'Вводные'!$B$27</x:f>
      </x:c>
      <x:c r="F7" s="100" t="n">
        <x:f>F5+'Вводные'!$B$27</x:f>
      </x:c>
      <x:c r="G7" s="100" t="n">
        <x:f>G5+'Вводные'!$B$27</x:f>
      </x:c>
      <x:c r="H7" s="100" t="n">
        <x:f>H5+'Вводные'!$B$27</x:f>
      </x:c>
      <x:c r="I7" s="100" t="n">
        <x:f>I5+'Вводные'!$B$27</x:f>
      </x:c>
      <x:c r="J7" s="100" t="n">
        <x:f>J5+'Вводные'!$B$27</x:f>
      </x:c>
      <x:c r="K7" s="100" t="n">
        <x:f>K5+'Вводные'!$B$27</x:f>
      </x:c>
      <x:c r="L7" s="100" t="n">
        <x:f>L5+'Вводные'!$B$27</x:f>
      </x:c>
      <x:c r="M7" s="100" t="n">
        <x:f>M5+'Вводные'!$B$27</x:f>
      </x:c>
      <x:c r="N7" s="100" t="n">
        <x:f>N5+'Вводные'!$B$27</x:f>
      </x:c>
      <x:c r="O7" s="100" t="n">
        <x:f>O5+'Вводные'!$B$27</x:f>
      </x:c>
      <x:c r="P7" s="100" t="n">
        <x:f>P5+'Вводные'!$B$27</x:f>
      </x:c>
      <x:c r="Q7" s="100" t="n">
        <x:f>Q5+'Вводные'!$B$27</x:f>
      </x:c>
      <x:c r="R7" s="100" t="n">
        <x:f>R5+'Вводные'!$B$27</x:f>
      </x:c>
      <x:c r="S7" s="100" t="n">
        <x:f>S5+'Вводные'!$B$27</x:f>
      </x:c>
      <x:c r="T7" s="100" t="n">
        <x:f>T5+'Вводные'!$B$27</x:f>
      </x:c>
      <x:c r="U7" s="100" t="n">
        <x:f>U5+'Вводные'!$B$27</x:f>
      </x:c>
      <x:c r="V7" s="100" t="n">
        <x:f>V5+'Вводные'!$B$27</x:f>
      </x:c>
      <x:c r="W7" s="100" t="n">
        <x:f>W5+'Вводные'!$B$27</x:f>
      </x:c>
      <x:c r="X7" s="100" t="n">
        <x:f>X5+'Вводные'!$B$27</x:f>
      </x:c>
      <x:c r="Y7" s="100" t="n">
        <x:f>Y5+'Вводные'!$B$27</x:f>
      </x:c>
      <x:c r="Z7" s="100" t="n">
        <x:f>Z5+'Вводные'!$B$27</x:f>
      </x:c>
      <x:c r="AA7" s="100" t="n">
        <x:f>AA5+'Вводные'!$B$27</x:f>
      </x:c>
      <x:c r="AB7" s="100" t="n">
        <x:f>AB5+'Вводные'!$B$27</x:f>
      </x:c>
      <x:c r="AC7" s="100" t="n">
        <x:f>AC5+'Вводные'!$B$27</x:f>
      </x:c>
      <x:c r="AD7" s="100" t="n">
        <x:f>AD5+'Вводные'!$B$27</x:f>
      </x:c>
      <x:c r="AE7" s="100" t="n">
        <x:f>AE5+'Вводные'!$B$27</x:f>
      </x:c>
      <x:c r="AF7" s="100" t="n">
        <x:f>AF5+'Вводные'!$B$27</x:f>
      </x:c>
      <x:c r="AG7" s="100" t="n">
        <x:f>AG5+'Вводные'!$B$27</x:f>
      </x:c>
      <x:c r="AH7" s="100" t="n">
        <x:f>AH5+'Вводные'!$B$27</x:f>
      </x:c>
      <x:c r="AI7" s="100" t="n">
        <x:f>AI5+'Вводные'!$B$27</x:f>
      </x:c>
      <x:c r="AJ7" s="100" t="n">
        <x:f>AJ5+'Вводные'!$B$27</x:f>
      </x:c>
      <x:c r="AK7" s="100" t="n">
        <x:f>AK5+'Вводные'!$B$27</x:f>
      </x:c>
      <x:c r="AL7" s="100" t="n">
        <x:f>AL5+'Вводные'!$B$27</x:f>
      </x:c>
      <x:c r="AM7" s="100" t="n">
        <x:f>AM5+'Вводные'!$B$27</x:f>
      </x:c>
      <x:c r="AN7" s="100" t="n">
        <x:f>AN5+'Вводные'!$B$27</x:f>
      </x:c>
      <x:c r="AO7" s="100" t="n">
        <x:f>AO5+'Вводные'!$B$27</x:f>
      </x:c>
      <x:c r="AP7" s="100" t="n">
        <x:f>AP5+'Вводные'!$B$27</x:f>
      </x:c>
      <x:c r="AQ7" s="100" t="n">
        <x:f>AQ5+'Вводные'!$B$27</x:f>
      </x:c>
      <x:c r="AR7" s="100" t="n">
        <x:f>AR5+'Вводные'!$B$27</x:f>
      </x:c>
      <x:c r="AS7" s="100" t="n">
        <x:f>AS5+'Вводные'!$B$27</x:f>
      </x:c>
      <x:c r="AT7" s="100" t="n">
        <x:f>AT5+'Вводные'!$B$27</x:f>
      </x:c>
      <x:c r="AU7" s="100" t="n">
        <x:f>AU5+'Вводные'!$B$27</x:f>
      </x:c>
      <x:c r="AV7" s="100" t="n">
        <x:f>AV5+'Вводные'!$B$27</x:f>
      </x:c>
      <x:c r="AW7" s="100" t="n">
        <x:f>AW5+'Вводные'!$B$27</x:f>
      </x:c>
      <x:c r="AX7" s="100" t="n">
        <x:f>AX5+'Вводные'!$B$27</x:f>
      </x:c>
      <x:c r="AY7" s="100" t="n">
        <x:f>AY5+'Вводные'!$B$27</x:f>
      </x:c>
      <x:c r="AZ7" s="100" t="n">
        <x:f>AZ5+'Вводные'!$B$27</x:f>
      </x:c>
      <x:c r="BA7" s="100" t="n">
        <x:f>BA5+'Вводные'!$B$27</x:f>
      </x:c>
      <x:c r="BB7" s="100" t="n">
        <x:f>BB5+'Вводные'!$B$27</x:f>
      </x:c>
      <x:c r="BC7" s="100" t="n">
        <x:f>BC5+'Вводные'!$B$27</x:f>
      </x:c>
      <x:c r="BD7" s="100" t="n">
        <x:f>BD5+'Вводные'!$B$27</x:f>
      </x:c>
      <x:c r="BE7" s="100" t="n">
        <x:f>BE5+'Вводные'!$B$27</x:f>
      </x:c>
      <x:c r="BF7" s="100" t="n">
        <x:f>BF5+'Вводные'!$B$27</x:f>
      </x:c>
      <x:c r="BG7" s="100" t="n">
        <x:f>BG5+'Вводные'!$B$27</x:f>
      </x:c>
      <x:c r="BH7" s="100" t="n">
        <x:f>BH5+'Вводные'!$B$27</x:f>
      </x:c>
      <x:c r="BI7" s="100" t="n">
        <x:f>BI5+'Вводные'!$B$27</x:f>
      </x:c>
      <x:c r="BJ7" s="100" t="n">
        <x:f>BJ5+'Вводные'!$B$27</x:f>
      </x:c>
      <x:c r="BK7" s="100" t="n">
        <x:f>BK5+'Вводные'!$B$27</x:f>
      </x:c>
      <x:c r="BL7" s="100" t="n">
        <x:f>BL5+'Вводные'!$B$27</x:f>
      </x:c>
      <x:c r="BM7" s="100" t="n">
        <x:f>BM5+'Вводные'!$B$27</x:f>
      </x:c>
      <x:c r="BN7" s="100" t="n">
        <x:f>BN5+'Вводные'!$B$27</x:f>
      </x:c>
      <x:c r="BO7" s="100" t="n">
        <x:f>BO5+'Вводные'!$B$27</x:f>
      </x:c>
      <x:c r="BP7" s="100" t="n">
        <x:f>BP5+'Вводные'!$B$27</x:f>
      </x:c>
      <x:c r="BQ7" s="100" t="n">
        <x:f>BQ5+'Вводные'!$B$27</x:f>
      </x:c>
      <x:c r="BR7" s="100" t="n">
        <x:f>BR5+'Вводные'!$B$27</x:f>
      </x:c>
      <x:c r="BS7" s="100" t="n">
        <x:f>BS5+'Вводные'!$B$27</x:f>
      </x:c>
      <x:c r="BT7" s="100" t="n">
        <x:f>BT5+'Вводные'!$B$27</x:f>
      </x:c>
      <x:c r="BU7" s="100" t="n">
        <x:f>BU5+'Вводные'!$B$27</x:f>
      </x:c>
      <x:c r="BV7" s="100" t="n">
        <x:f>BV5+'Вводные'!$B$27</x:f>
      </x:c>
      <x:c r="BW7" s="100" t="n">
        <x:f>BW5+'Вводные'!$B$27</x:f>
      </x:c>
      <x:c r="BX7" s="100" t="n">
        <x:f>BX5+'Вводные'!$B$27</x:f>
      </x:c>
      <x:c r="BY7" s="100" t="n">
        <x:f>BY5+'Вводные'!$B$27</x:f>
      </x:c>
      <x:c r="BZ7" s="100" t="n">
        <x:f>BZ5+'Вводные'!$B$27</x:f>
      </x:c>
      <x:c r="CA7" s="100" t="n">
        <x:f>CA5+'Вводные'!$B$27</x:f>
      </x:c>
      <x:c r="CB7" s="100" t="n">
        <x:f>CB5+'Вводные'!$B$27</x:f>
      </x:c>
      <x:c r="CC7" s="100" t="n">
        <x:f>CC5+'Вводные'!$B$27</x:f>
      </x:c>
      <x:c r="CD7" s="100" t="n">
        <x:f>CD5+'Вводные'!$B$27</x:f>
      </x:c>
      <x:c r="CE7" s="100" t="n">
        <x:f>CE5+'Вводные'!$B$27</x:f>
      </x:c>
      <x:c r="CF7" s="100" t="n">
        <x:f>CF5+'Вводные'!$B$27</x:f>
      </x:c>
      <x:c r="CG7" s="100" t="n">
        <x:f>CG5+'Вводные'!$B$27</x:f>
      </x:c>
      <x:c r="CH7" s="100" t="n">
        <x:f>CH5+'Вводные'!$B$27</x:f>
      </x:c>
      <x:c r="CI7" s="100" t="n">
        <x:f>CI5+'Вводные'!$B$27</x:f>
      </x:c>
      <x:c r="CJ7" s="100" t="n">
        <x:f>CJ5+'Вводные'!$B$27</x:f>
      </x:c>
      <x:c r="CK7" s="100" t="n">
        <x:f>CK5+'Вводные'!$B$27</x:f>
      </x:c>
      <x:c r="CL7" s="100" t="n">
        <x:f>CL5+'Вводные'!$B$27</x:f>
      </x:c>
      <x:c r="CM7" s="100" t="n">
        <x:f>CM5+'Вводные'!$B$27</x:f>
      </x:c>
      <x:c r="CN7" s="100" t="n">
        <x:f>CN5+'Вводные'!$B$27</x:f>
      </x:c>
      <x:c r="CO7" s="100" t="n">
        <x:f>CO5+'Вводные'!$B$27</x:f>
      </x:c>
      <x:c r="CP7" s="100" t="n">
        <x:f>CP5+'Вводные'!$B$27</x:f>
      </x:c>
      <x:c r="CQ7" s="100" t="n">
        <x:f>CQ5+'Вводные'!$B$27</x:f>
      </x:c>
      <x:c r="CR7" s="100" t="n">
        <x:f>CR5+'Вводные'!$B$27</x:f>
      </x:c>
      <x:c r="CS7" s="100" t="n">
        <x:f>CS5+'Вводные'!$B$27</x:f>
      </x:c>
      <x:c r="CT7" s="100" t="n">
        <x:f>CT5+'Вводные'!$B$27</x:f>
      </x:c>
      <x:c r="CU7" s="100" t="n">
        <x:f>CU5+'Вводные'!$B$27</x:f>
      </x:c>
      <x:c r="CV7" s="100" t="n">
        <x:f>CV5+'Вводные'!$B$27</x:f>
      </x:c>
      <x:c r="CW7" s="100" t="n">
        <x:f>CW5+'Вводные'!$B$27</x:f>
      </x:c>
      <x:c r="CX7" s="100" t="n">
        <x:f>CX5+'Вводные'!$B$27</x:f>
      </x:c>
      <x:c r="CY7" s="100" t="n">
        <x:f>CY5+'Вводные'!$B$27</x:f>
      </x:c>
      <x:c r="CZ7" s="100" t="n">
        <x:f>CZ5+'Вводные'!$B$27</x:f>
      </x:c>
      <x:c r="DA7" s="100" t="n">
        <x:f>DA5+'Вводные'!$B$27</x:f>
      </x:c>
      <x:c r="DB7" s="100" t="n">
        <x:f>DB5+'Вводные'!$B$27</x:f>
      </x:c>
      <x:c r="DC7" s="100" t="n">
        <x:f>DC5+'Вводные'!$B$27</x:f>
      </x:c>
      <x:c r="DD7" s="100" t="n">
        <x:f>DD5+'Вводные'!$B$27</x:f>
      </x:c>
      <x:c r="DE7" s="100" t="n">
        <x:f>DE5+'Вводные'!$B$27</x:f>
      </x:c>
      <x:c r="DF7" s="100" t="n">
        <x:f>DF5+'Вводные'!$B$27</x:f>
      </x:c>
      <x:c r="DG7" s="100" t="n">
        <x:f>DG5+'Вводные'!$B$27</x:f>
      </x:c>
      <x:c r="DH7" s="100" t="n">
        <x:f>DH5+'Вводные'!$B$27</x:f>
      </x:c>
      <x:c r="DI7" s="100" t="n">
        <x:f>DI5+'Вводные'!$B$27</x:f>
      </x:c>
      <x:c r="DJ7" s="100" t="n">
        <x:f>DJ5+'Вводные'!$B$27</x:f>
      </x:c>
      <x:c r="DK7" s="100" t="n">
        <x:f>DK5+'Вводные'!$B$27</x:f>
      </x:c>
      <x:c r="DL7" s="100" t="n">
        <x:f>DL5+'Вводные'!$B$27</x:f>
      </x:c>
      <x:c r="DM7" s="100" t="n">
        <x:f>DM5+'Вводные'!$B$27</x:f>
      </x:c>
      <x:c r="DN7" s="100" t="n">
        <x:f>DN5+'Вводные'!$B$27</x:f>
      </x:c>
      <x:c r="DO7" s="100" t="n">
        <x:f>DO5+'Вводные'!$B$27</x:f>
      </x:c>
      <x:c r="DP7" s="100" t="n">
        <x:f>DP5+'Вводные'!$B$27</x:f>
      </x:c>
      <x:c r="DQ7" s="100" t="n">
        <x:f>DQ5+'Вводные'!$B$27</x:f>
      </x:c>
      <x:c r="DR7" s="100" t="n">
        <x:f>DR5+'Вводные'!$B$27</x:f>
      </x:c>
      <x:c r="DS7" s="100" t="n">
        <x:f>DS5+'Вводные'!$B$27</x:f>
      </x:c>
    </x:row>
  </x:sheetData>
  <x:mergeCells>
    <x:mergeCell ref="A1:D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ПЛАН ПРОДАЖ · ОБЪЁМЫ, ЦЕНЫ И ВЫРУЧКА</x:v>
      </x:c>
      <x:c r="B1" s="4" t="str">
        <x:v>ПЛАН ПРОДАЖ · ОБЪЁМЫ, ЦЕНЫ И ВЫРУЧКА</x:v>
      </x:c>
      <x:c r="C1" s="4" t="str">
        <x:v>ПЛАН ПРОДАЖ · ОБЪЁМЫ, ЦЕНЫ И ВЫРУЧКА</x:v>
      </x:c>
      <x:c r="D1" s="4" t="str">
        <x:v>ПЛАН ПРОДАЖ · ОБЪЁМЫ, ЦЕНЫ И ВЫРУЧКА</x:v>
      </x:c>
      <x:c r="E1" s="4" t="str">
        <x:v>ПЛАН ПРОДАЖ · ОБЪЁМЫ, ЦЕНЫ И ВЫРУЧКА</x:v>
      </x:c>
      <x:c r="F1" s="4" t="str">
        <x:v>ПЛАН ПРОДАЖ · ОБЪЁМЫ, ЦЕНЫ И ВЫРУЧКА</x:v>
      </x:c>
      <x:c r="G1" s="4" t="str">
        <x:v>ПЛАН ПРОДАЖ · ОБЪЁМЫ, ЦЕНЫ И ВЫРУЧКА</x:v>
      </x:c>
      <x:c r="H1" s="4" t="str">
        <x:v>ПЛАН ПРОДАЖ · ОБЪЁМЫ, ЦЕНЫ И ВЫРУЧКА</x:v>
      </x:c>
      <x:c r="I1" s="4" t="str">
        <x:v>ПЛАН ПРОДАЖ · ОБЪЁМЫ, ЦЕНЫ И ВЫРУЧКА</x:v>
      </x:c>
      <x:c r="J1" s="4" t="str">
        <x:v>ПЛАН ПРОДАЖ · ОБЪЁМЫ, ЦЕНЫ И ВЫРУЧКА</x:v>
      </x:c>
      <x:c r="K1" s="4" t="str">
        <x:v>ПЛАН ПРОДАЖ · ОБЪЁМЫ, ЦЕНЫ И ВЫРУЧКА</x:v>
      </x:c>
      <x:c r="L1" s="4" t="str">
        <x:v>ПЛАН ПРОДАЖ · ОБЪЁМЫ, ЦЕНЫ И ВЫРУЧКА</x:v>
      </x:c>
      <x:c r="M1" s="4" t="str">
        <x:v>ПЛАН ПРОДАЖ · ОБЪЁМЫ, ЦЕНЫ И ВЫРУЧКА</x:v>
      </x:c>
      <x:c r="N1" s="4" t="str">
        <x:v>ПЛАН ПРОДАЖ · ОБЪЁМЫ, ЦЕНЫ И ВЫРУЧКА</x:v>
      </x:c>
      <x:c r="O1" s="4" t="str">
        <x:v>ПЛАН ПРОДАЖ · ОБЪЁМЫ, ЦЕНЫ И ВЫРУЧКА</x:v>
      </x:c>
      <x:c r="P1" s="4" t="str">
        <x:v>ПЛАН ПРОДАЖ · ОБЪЁМЫ, ЦЕНЫ И ВЫРУЧКА</x:v>
      </x:c>
      <x:c r="Q1" s="4" t="str">
        <x:v>ПЛАН ПРОДАЖ · ОБЪЁМЫ, ЦЕНЫ И ВЫРУЧКА</x:v>
      </x:c>
      <x:c r="R1" s="4" t="str">
        <x:v>ПЛАН ПРОДАЖ · ОБЪЁМЫ, ЦЕНЫ И ВЫРУЧКА</x:v>
      </x:c>
      <x:c r="S1" s="4" t="str">
        <x:v>ПЛАН ПРОДАЖ · ОБЪЁМЫ, ЦЕНЫ И ВЫРУЧКА</x:v>
      </x:c>
      <x:c r="T1" s="4" t="str">
        <x:v>ПЛАН ПРОДАЖ · ОБЪЁМЫ, ЦЕНЫ И ВЫРУЧКА</x:v>
      </x:c>
      <x:c r="U1" s="4" t="str">
        <x:v>ПЛАН ПРОДАЖ · ОБЪЁМЫ, ЦЕНЫ И ВЫРУЧКА</x:v>
      </x:c>
      <x:c r="V1" s="4" t="str">
        <x:v>ПЛАН ПРОДАЖ · ОБЪЁМЫ, ЦЕНЫ И ВЫРУЧКА</x:v>
      </x:c>
      <x:c r="W1" s="4" t="str">
        <x:v>ПЛАН ПРОДАЖ · ОБЪЁМЫ, ЦЕНЫ И ВЫРУЧКА</x:v>
      </x:c>
      <x:c r="X1" s="4" t="str">
        <x:v>ПЛАН ПРОДАЖ · ОБЪЁМЫ, ЦЕНЫ И ВЫРУЧКА</x:v>
      </x:c>
      <x:c r="Y1" s="4" t="str">
        <x:v>ПЛАН ПРОДАЖ · ОБЪЁМЫ, ЦЕНЫ И ВЫРУЧКА</x:v>
      </x:c>
      <x:c r="Z1" s="4" t="str">
        <x:v>ПЛАН ПРОДАЖ · ОБЪЁМЫ, ЦЕНЫ И ВЫРУЧКА</x:v>
      </x:c>
      <x:c r="AA1" s="4" t="str">
        <x:v>ПЛАН ПРОДАЖ · ОБЪЁМЫ, ЦЕНЫ И ВЫРУЧКА</x:v>
      </x:c>
      <x:c r="AB1" s="4" t="str">
        <x:v>ПЛАН ПРОДАЖ · ОБЪЁМЫ, ЦЕНЫ И ВЫРУЧКА</x:v>
      </x:c>
      <x:c r="AC1" s="4" t="str">
        <x:v>ПЛАН ПРОДАЖ · ОБЪЁМЫ, ЦЕНЫ И ВЫРУЧКА</x:v>
      </x:c>
      <x:c r="AD1" s="4" t="str">
        <x:v>ПЛАН ПРОДАЖ · ОБЪЁМЫ, ЦЕНЫ И ВЫРУЧКА</x:v>
      </x:c>
      <x:c r="AE1" s="4" t="str">
        <x:v>ПЛАН ПРОДАЖ · ОБЪЁМЫ, ЦЕНЫ И ВЫРУЧКА</x:v>
      </x:c>
      <x:c r="AF1" s="4" t="str">
        <x:v>ПЛАН ПРОДАЖ · ОБЪЁМЫ, ЦЕНЫ И ВЫРУЧКА</x:v>
      </x:c>
      <x:c r="AG1" s="4" t="str">
        <x:v>ПЛАН ПРОДАЖ · ОБЪЁМЫ, ЦЕНЫ И ВЫРУЧКА</x:v>
      </x:c>
      <x:c r="AH1" s="4" t="str">
        <x:v>ПЛАН ПРОДАЖ · ОБЪЁМЫ, ЦЕНЫ И ВЫРУЧКА</x:v>
      </x:c>
      <x:c r="AI1" s="4" t="str">
        <x:v>ПЛАН ПРОДАЖ · ОБЪЁМЫ, ЦЕНЫ И ВЫРУЧКА</x:v>
      </x:c>
      <x:c r="AJ1" s="4" t="str">
        <x:v>ПЛАН ПРОДАЖ · ОБЪЁМЫ, ЦЕНЫ И ВЫРУЧКА</x:v>
      </x:c>
      <x:c r="AK1" s="4" t="str">
        <x:v>ПЛАН ПРОДАЖ · ОБЪЁМЫ, ЦЕНЫ И ВЫРУЧКА</x:v>
      </x:c>
      <x:c r="AL1" s="4" t="str">
        <x:v>ПЛАН ПРОДАЖ · ОБЪЁМЫ, ЦЕНЫ И ВЫРУЧКА</x:v>
      </x:c>
      <x:c r="AM1" s="4" t="str">
        <x:v>ПЛАН ПРОДАЖ · ОБЪЁМЫ, ЦЕНЫ И ВЫРУЧКА</x:v>
      </x:c>
      <x:c r="AN1" s="4" t="str">
        <x:v>ПЛАН ПРОДАЖ · ОБЪЁМЫ, ЦЕНЫ И ВЫРУЧКА</x:v>
      </x:c>
      <x:c r="AO1" s="4" t="str">
        <x:v>ПЛАН ПРОДАЖ · ОБЪЁМЫ, ЦЕНЫ И ВЫРУЧКА</x:v>
      </x:c>
      <x:c r="AP1" s="4" t="str">
        <x:v>ПЛАН ПРОДАЖ · ОБЪЁМЫ, ЦЕНЫ И ВЫРУЧКА</x:v>
      </x:c>
      <x:c r="AQ1" s="4" t="str">
        <x:v>ПЛАН ПРОДАЖ · ОБЪЁМЫ, ЦЕНЫ И ВЫРУЧКА</x:v>
      </x:c>
      <x:c r="AR1" s="4" t="str">
        <x:v>ПЛАН ПРОДАЖ · ОБЪЁМЫ, ЦЕНЫ И ВЫРУЧКА</x:v>
      </x:c>
      <x:c r="AS1" s="4" t="str">
        <x:v>ПЛАН ПРОДАЖ · ОБЪЁМЫ, ЦЕНЫ И ВЫРУЧКА</x:v>
      </x:c>
      <x:c r="AT1" s="4" t="str">
        <x:v>ПЛАН ПРОДАЖ · ОБЪЁМЫ, ЦЕНЫ И ВЫРУЧКА</x:v>
      </x:c>
      <x:c r="AU1" s="4" t="str">
        <x:v>ПЛАН ПРОДАЖ · ОБЪЁМЫ, ЦЕНЫ И ВЫРУЧКА</x:v>
      </x:c>
      <x:c r="AV1" s="4" t="str">
        <x:v>ПЛАН ПРОДАЖ · ОБЪЁМЫ, ЦЕНЫ И ВЫРУЧКА</x:v>
      </x:c>
      <x:c r="AW1" s="4" t="str">
        <x:v>ПЛАН ПРОДАЖ · ОБЪЁМЫ, ЦЕНЫ И ВЫРУЧКА</x:v>
      </x:c>
      <x:c r="AX1" s="4" t="str">
        <x:v>ПЛАН ПРОДАЖ · ОБЪЁМЫ, ЦЕНЫ И ВЫРУЧКА</x:v>
      </x:c>
      <x:c r="AY1" s="4" t="str">
        <x:v>ПЛАН ПРОДАЖ · ОБЪЁМЫ, ЦЕНЫ И ВЫРУЧКА</x:v>
      </x:c>
      <x:c r="AZ1" s="4" t="str">
        <x:v>ПЛАН ПРОДАЖ · ОБЪЁМЫ, ЦЕНЫ И ВЫРУЧКА</x:v>
      </x:c>
      <x:c r="BA1" s="4" t="str">
        <x:v>ПЛАН ПРОДАЖ · ОБЪЁМЫ, ЦЕНЫ И ВЫРУЧКА</x:v>
      </x:c>
      <x:c r="BB1" s="4" t="str">
        <x:v>ПЛАН ПРОДАЖ · ОБЪЁМЫ, ЦЕНЫ И ВЫРУЧКА</x:v>
      </x:c>
      <x:c r="BC1" s="4" t="str">
        <x:v>ПЛАН ПРОДАЖ · ОБЪЁМЫ, ЦЕНЫ И ВЫРУЧКА</x:v>
      </x:c>
      <x:c r="BD1" s="4" t="str">
        <x:v>ПЛАН ПРОДАЖ · ОБЪЁМЫ, ЦЕНЫ И ВЫРУЧКА</x:v>
      </x:c>
      <x:c r="BE1" s="4" t="str">
        <x:v>ПЛАН ПРОДАЖ · ОБЪЁМЫ, ЦЕНЫ И ВЫРУЧКА</x:v>
      </x:c>
      <x:c r="BF1" s="4" t="str">
        <x:v>ПЛАН ПРОДАЖ · ОБЪЁМЫ, ЦЕНЫ И ВЫРУЧКА</x:v>
      </x:c>
      <x:c r="BG1" s="4" t="str">
        <x:v>ПЛАН ПРОДАЖ · ОБЪЁМЫ, ЦЕНЫ И ВЫРУЧКА</x:v>
      </x:c>
      <x:c r="BH1" s="4" t="str">
        <x:v>ПЛАН ПРОДАЖ · ОБЪЁМЫ, ЦЕНЫ И ВЫРУЧКА</x:v>
      </x:c>
      <x:c r="BI1" s="4" t="str">
        <x:v>ПЛАН ПРОДАЖ · ОБЪЁМЫ, ЦЕНЫ И ВЫРУЧКА</x:v>
      </x:c>
      <x:c r="BJ1" s="4" t="str">
        <x:v>ПЛАН ПРОДАЖ · ОБЪЁМЫ, ЦЕНЫ И ВЫРУЧКА</x:v>
      </x:c>
      <x:c r="BK1" s="4" t="str">
        <x:v>ПЛАН ПРОДАЖ · ОБЪЁМЫ, ЦЕНЫ И ВЫРУЧКА</x:v>
      </x:c>
      <x:c r="BL1" s="4" t="str">
        <x:v>ПЛАН ПРОДАЖ · ОБЪЁМЫ, ЦЕНЫ И ВЫРУЧКА</x:v>
      </x:c>
      <x:c r="BM1" s="4" t="str">
        <x:v>ПЛАН ПРОДАЖ · ОБЪЁМЫ, ЦЕНЫ И ВЫРУЧКА</x:v>
      </x:c>
      <x:c r="BN1" s="4" t="str">
        <x:v>ПЛАН ПРОДАЖ · ОБЪЁМЫ, ЦЕНЫ И ВЫРУЧКА</x:v>
      </x:c>
      <x:c r="BO1" s="4" t="str">
        <x:v>ПЛАН ПРОДАЖ · ОБЪЁМЫ, ЦЕНЫ И ВЫРУЧКА</x:v>
      </x:c>
      <x:c r="BP1" s="4" t="str">
        <x:v>ПЛАН ПРОДАЖ · ОБЪЁМЫ, ЦЕНЫ И ВЫРУЧКА</x:v>
      </x:c>
      <x:c r="BQ1" s="4" t="str">
        <x:v>ПЛАН ПРОДАЖ · ОБЪЁМЫ, ЦЕНЫ И ВЫРУЧКА</x:v>
      </x:c>
      <x:c r="BR1" s="4" t="str">
        <x:v>ПЛАН ПРОДАЖ · ОБЪЁМЫ, ЦЕНЫ И ВЫРУЧКА</x:v>
      </x:c>
      <x:c r="BS1" s="4" t="str">
        <x:v>ПЛАН ПРОДАЖ · ОБЪЁМЫ, ЦЕНЫ И ВЫРУЧКА</x:v>
      </x:c>
      <x:c r="BT1" s="4" t="str">
        <x:v>ПЛАН ПРОДАЖ · ОБЪЁМЫ, ЦЕНЫ И ВЫРУЧКА</x:v>
      </x:c>
      <x:c r="BU1" s="4" t="str">
        <x:v>ПЛАН ПРОДАЖ · ОБЪЁМЫ, ЦЕНЫ И ВЫРУЧКА</x:v>
      </x:c>
      <x:c r="BV1" s="4" t="str">
        <x:v>ПЛАН ПРОДАЖ · ОБЪЁМЫ, ЦЕНЫ И ВЫРУЧКА</x:v>
      </x:c>
      <x:c r="BW1" s="4" t="str">
        <x:v>ПЛАН ПРОДАЖ · ОБЪЁМЫ, ЦЕНЫ И ВЫРУЧКА</x:v>
      </x:c>
      <x:c r="BX1" s="4" t="str">
        <x:v>ПЛАН ПРОДАЖ · ОБЪЁМЫ, ЦЕНЫ И ВЫРУЧКА</x:v>
      </x:c>
      <x:c r="BY1" s="4" t="str">
        <x:v>ПЛАН ПРОДАЖ · ОБЪЁМЫ, ЦЕНЫ И ВЫРУЧКА</x:v>
      </x:c>
      <x:c r="BZ1" s="4" t="str">
        <x:v>ПЛАН ПРОДАЖ · ОБЪЁМЫ, ЦЕНЫ И ВЫРУЧКА</x:v>
      </x:c>
      <x:c r="CA1" s="4" t="str">
        <x:v>ПЛАН ПРОДАЖ · ОБЪЁМЫ, ЦЕНЫ И ВЫРУЧКА</x:v>
      </x:c>
      <x:c r="CB1" s="4" t="str">
        <x:v>ПЛАН ПРОДАЖ · ОБЪЁМЫ, ЦЕНЫ И ВЫРУЧКА</x:v>
      </x:c>
      <x:c r="CC1" s="4" t="str">
        <x:v>ПЛАН ПРОДАЖ · ОБЪЁМЫ, ЦЕНЫ И ВЫРУЧКА</x:v>
      </x:c>
      <x:c r="CD1" s="4" t="str">
        <x:v>ПЛАН ПРОДАЖ · ОБЪЁМЫ, ЦЕНЫ И ВЫРУЧКА</x:v>
      </x:c>
      <x:c r="CE1" s="4" t="str">
        <x:v>ПЛАН ПРОДАЖ · ОБЪЁМЫ, ЦЕНЫ И ВЫРУЧКА</x:v>
      </x:c>
      <x:c r="CF1" s="4" t="str">
        <x:v>ПЛАН ПРОДАЖ · ОБЪЁМЫ, ЦЕНЫ И ВЫРУЧКА</x:v>
      </x:c>
      <x:c r="CG1" s="4" t="str">
        <x:v>ПЛАН ПРОДАЖ · ОБЪЁМЫ, ЦЕНЫ И ВЫРУЧКА</x:v>
      </x:c>
      <x:c r="CH1" s="4" t="str">
        <x:v>ПЛАН ПРОДАЖ · ОБЪЁМЫ, ЦЕНЫ И ВЫРУЧКА</x:v>
      </x:c>
      <x:c r="CI1" s="4" t="str">
        <x:v>ПЛАН ПРОДАЖ · ОБЪЁМЫ, ЦЕНЫ И ВЫРУЧКА</x:v>
      </x:c>
      <x:c r="CJ1" s="4" t="str">
        <x:v>ПЛАН ПРОДАЖ · ОБЪЁМЫ, ЦЕНЫ И ВЫРУЧКА</x:v>
      </x:c>
      <x:c r="CK1" s="4" t="str">
        <x:v>ПЛАН ПРОДАЖ · ОБЪЁМЫ, ЦЕНЫ И ВЫРУЧКА</x:v>
      </x:c>
      <x:c r="CL1" s="4" t="str">
        <x:v>ПЛАН ПРОДАЖ · ОБЪЁМЫ, ЦЕНЫ И ВЫРУЧКА</x:v>
      </x:c>
      <x:c r="CM1" s="4" t="str">
        <x:v>ПЛАН ПРОДАЖ · ОБЪЁМЫ, ЦЕНЫ И ВЫРУЧКА</x:v>
      </x:c>
      <x:c r="CN1" s="4" t="str">
        <x:v>ПЛАН ПРОДАЖ · ОБЪЁМЫ, ЦЕНЫ И ВЫРУЧКА</x:v>
      </x:c>
      <x:c r="CO1" s="4" t="str">
        <x:v>ПЛАН ПРОДАЖ · ОБЪЁМЫ, ЦЕНЫ И ВЫРУЧКА</x:v>
      </x:c>
      <x:c r="CP1" s="4" t="str">
        <x:v>ПЛАН ПРОДАЖ · ОБЪЁМЫ, ЦЕНЫ И ВЫРУЧКА</x:v>
      </x:c>
      <x:c r="CQ1" s="4" t="str">
        <x:v>ПЛАН ПРОДАЖ · ОБЪЁМЫ, ЦЕНЫ И ВЫРУЧКА</x:v>
      </x:c>
      <x:c r="CR1" s="4" t="str">
        <x:v>ПЛАН ПРОДАЖ · ОБЪЁМЫ, ЦЕНЫ И ВЫРУЧКА</x:v>
      </x:c>
      <x:c r="CS1" s="4" t="str">
        <x:v>ПЛАН ПРОДАЖ · ОБЪЁМЫ, ЦЕНЫ И ВЫРУЧКА</x:v>
      </x:c>
      <x:c r="CT1" s="4" t="str">
        <x:v>ПЛАН ПРОДАЖ · ОБЪЁМЫ, ЦЕНЫ И ВЫРУЧКА</x:v>
      </x:c>
      <x:c r="CU1" s="4" t="str">
        <x:v>ПЛАН ПРОДАЖ · ОБЪЁМЫ, ЦЕНЫ И ВЫРУЧКА</x:v>
      </x:c>
      <x:c r="CV1" s="4" t="str">
        <x:v>ПЛАН ПРОДАЖ · ОБЪЁМЫ, ЦЕНЫ И ВЫРУЧКА</x:v>
      </x:c>
      <x:c r="CW1" s="4" t="str">
        <x:v>ПЛАН ПРОДАЖ · ОБЪЁМЫ, ЦЕНЫ И ВЫРУЧКА</x:v>
      </x:c>
      <x:c r="CX1" s="4" t="str">
        <x:v>ПЛАН ПРОДАЖ · ОБЪЁМЫ, ЦЕНЫ И ВЫРУЧКА</x:v>
      </x:c>
      <x:c r="CY1" s="4" t="str">
        <x:v>ПЛАН ПРОДАЖ · ОБЪЁМЫ, ЦЕНЫ И ВЫРУЧКА</x:v>
      </x:c>
      <x:c r="CZ1" s="4" t="str">
        <x:v>ПЛАН ПРОДАЖ · ОБЪЁМЫ, ЦЕНЫ И ВЫРУЧКА</x:v>
      </x:c>
      <x:c r="DA1" s="4" t="str">
        <x:v>ПЛАН ПРОДАЖ · ОБЪЁМЫ, ЦЕНЫ И ВЫРУЧКА</x:v>
      </x:c>
      <x:c r="DB1" s="4" t="str">
        <x:v>ПЛАН ПРОДАЖ · ОБЪЁМЫ, ЦЕНЫ И ВЫРУЧКА</x:v>
      </x:c>
      <x:c r="DC1" s="4" t="str">
        <x:v>ПЛАН ПРОДАЖ · ОБЪЁМЫ, ЦЕНЫ И ВЫРУЧКА</x:v>
      </x:c>
      <x:c r="DD1" s="4" t="str">
        <x:v>ПЛАН ПРОДАЖ · ОБЪЁМЫ, ЦЕНЫ И ВЫРУЧКА</x:v>
      </x:c>
      <x:c r="DE1" s="4" t="str">
        <x:v>ПЛАН ПРОДАЖ · ОБЪЁМЫ, ЦЕНЫ И ВЫРУЧКА</x:v>
      </x:c>
      <x:c r="DF1" s="4" t="str">
        <x:v>ПЛАН ПРОДАЖ · ОБЪЁМЫ, ЦЕНЫ И ВЫРУЧКА</x:v>
      </x:c>
      <x:c r="DG1" s="4" t="str">
        <x:v>ПЛАН ПРОДАЖ · ОБЪЁМЫ, ЦЕНЫ И ВЫРУЧКА</x:v>
      </x:c>
      <x:c r="DH1" s="4" t="str">
        <x:v>ПЛАН ПРОДАЖ · ОБЪЁМЫ, ЦЕНЫ И ВЫРУЧКА</x:v>
      </x:c>
      <x:c r="DI1" s="4" t="str">
        <x:v>ПЛАН ПРОДАЖ · ОБЪЁМЫ, ЦЕНЫ И ВЫРУЧКА</x:v>
      </x:c>
      <x:c r="DJ1" s="4" t="str">
        <x:v>ПЛАН ПРОДАЖ · ОБЪЁМЫ, ЦЕНЫ И ВЫРУЧКА</x:v>
      </x:c>
      <x:c r="DK1" s="4" t="str">
        <x:v>ПЛАН ПРОДАЖ · ОБЪЁМЫ, ЦЕНЫ И ВЫРУЧКА</x:v>
      </x:c>
      <x:c r="DL1" s="4" t="str">
        <x:v>ПЛАН ПРОДАЖ · ОБЪЁМЫ, ЦЕНЫ И ВЫРУЧКА</x:v>
      </x:c>
      <x:c r="DM1" s="4" t="str">
        <x:v>ПЛАН ПРОДАЖ · ОБЪЁМЫ, ЦЕНЫ И ВЫРУЧКА</x:v>
      </x:c>
      <x:c r="DN1" s="4" t="str">
        <x:v>ПЛАН ПРОДАЖ · ОБЪЁМЫ, ЦЕНЫ И ВЫРУЧКА</x:v>
      </x:c>
      <x:c r="DO1" s="4" t="str">
        <x:v>ПЛАН ПРОДАЖ · ОБЪЁМЫ, ЦЕНЫ И ВЫРУЧКА</x:v>
      </x:c>
      <x:c r="DP1" s="4" t="str">
        <x:v>ПЛАН ПРОДАЖ · ОБЪЁМЫ, ЦЕНЫ И ВЫРУЧКА</x:v>
      </x:c>
      <x:c r="DQ1" s="4" t="str">
        <x:v>ПЛАН ПРОДАЖ · ОБЪЁМЫ, ЦЕНЫ И ВЫРУЧКА</x:v>
      </x:c>
      <x:c r="DR1" s="4" t="str">
        <x:v>ПЛАН ПРОДАЖ · ОБЪЁМЫ, ЦЕНЫ И ВЫРУЧКА</x:v>
      </x:c>
      <x:c r="DS1" s="4" t="str">
        <x:v>ПЛАН ПРОДАЖ · ОБЪЁМЫ, ЦЕНЫ И ВЫРУЧКА</x:v>
      </x:c>
    </x:row>
    <x:row r="3">
      <x:c r="A3" s="23" t="str">
        <x:v>Показатель</x:v>
      </x:c>
      <x:c r="B3" s="23" t="str">
        <x:v>Итого / среднее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Старт продаж</x:v>
      </x:c>
      <x:c r="B7" s="106" t="n">
        <x:f>EDATE('Вводные'!$D$88,'Вводные'!$E$88+'Вводные'!$G$88+'Вводные'!$H$9)</x:f>
      </x:c>
      <x:c r="C7" t="str">
        <x:v>дата</x:v>
      </x:c>
    </x:row>
    <x:row r="8">
      <x:c r="A8" t="str">
        <x:v>РВЭ</x:v>
      </x:c>
      <x:c r="B8" s="106" t="n">
        <x:f>EDATE('Вводные'!$D$88,'Вводные'!$E$88+'Вводные'!$F$88+'Вводные'!$H$9)</x:f>
      </x:c>
      <x:c r="C8" t="str">
        <x:v>дата</x:v>
      </x:c>
    </x:row>
    <x:row r="9">
      <x:c r="A9" t="str">
        <x:v>Флаг продаж до РВЭ</x:v>
      </x:c>
      <x:c r="B9"/>
      <x:c r="C9" t="str">
        <x:v>0/1</x:v>
      </x:c>
      <x:c r="D9" t="n">
        <x:f>--AND(D$3&gt;=$B$7,D$3&lt;$B$8,D$3&lt;EDATE($B$7,MAX(1,'Вводные'!$H$88)),'Вводные'!$B$88="Да")</x:f>
      </x:c>
      <x:c r="E9" t="n">
        <x:f>--AND(E$3&gt;=$B$7,E$3&lt;$B$8,E$3&lt;EDATE($B$7,MAX(1,'Вводные'!$H$88)),'Вводные'!$B$88="Да")</x:f>
      </x:c>
      <x:c r="F9" t="n">
        <x:f>--AND(F$3&gt;=$B$7,F$3&lt;$B$8,F$3&lt;EDATE($B$7,MAX(1,'Вводные'!$H$88)),'Вводные'!$B$88="Да")</x:f>
      </x:c>
      <x:c r="G9" t="n">
        <x:f>--AND(G$3&gt;=$B$7,G$3&lt;$B$8,G$3&lt;EDATE($B$7,MAX(1,'Вводные'!$H$88)),'Вводные'!$B$88="Да")</x:f>
      </x:c>
      <x:c r="H9" t="n">
        <x:f>--AND(H$3&gt;=$B$7,H$3&lt;$B$8,H$3&lt;EDATE($B$7,MAX(1,'Вводные'!$H$88)),'Вводные'!$B$88="Да")</x:f>
      </x:c>
      <x:c r="I9" t="n">
        <x:f>--AND(I$3&gt;=$B$7,I$3&lt;$B$8,I$3&lt;EDATE($B$7,MAX(1,'Вводные'!$H$88)),'Вводные'!$B$88="Да")</x:f>
      </x:c>
      <x:c r="J9" t="n">
        <x:f>--AND(J$3&gt;=$B$7,J$3&lt;$B$8,J$3&lt;EDATE($B$7,MAX(1,'Вводные'!$H$88)),'Вводные'!$B$88="Да")</x:f>
      </x:c>
      <x:c r="K9" t="n">
        <x:f>--AND(K$3&gt;=$B$7,K$3&lt;$B$8,K$3&lt;EDATE($B$7,MAX(1,'Вводные'!$H$88)),'Вводные'!$B$88="Да")</x:f>
      </x:c>
      <x:c r="L9" t="n">
        <x:f>--AND(L$3&gt;=$B$7,L$3&lt;$B$8,L$3&lt;EDATE($B$7,MAX(1,'Вводные'!$H$88)),'Вводные'!$B$88="Да")</x:f>
      </x:c>
      <x:c r="M9" t="n">
        <x:f>--AND(M$3&gt;=$B$7,M$3&lt;$B$8,M$3&lt;EDATE($B$7,MAX(1,'Вводные'!$H$88)),'Вводные'!$B$88="Да")</x:f>
      </x:c>
      <x:c r="N9" t="n">
        <x:f>--AND(N$3&gt;=$B$7,N$3&lt;$B$8,N$3&lt;EDATE($B$7,MAX(1,'Вводные'!$H$88)),'Вводные'!$B$88="Да")</x:f>
      </x:c>
      <x:c r="O9" t="n">
        <x:f>--AND(O$3&gt;=$B$7,O$3&lt;$B$8,O$3&lt;EDATE($B$7,MAX(1,'Вводные'!$H$88)),'Вводные'!$B$88="Да")</x:f>
      </x:c>
      <x:c r="P9" t="n">
        <x:f>--AND(P$3&gt;=$B$7,P$3&lt;$B$8,P$3&lt;EDATE($B$7,MAX(1,'Вводные'!$H$88)),'Вводные'!$B$88="Да")</x:f>
      </x:c>
      <x:c r="Q9" t="n">
        <x:f>--AND(Q$3&gt;=$B$7,Q$3&lt;$B$8,Q$3&lt;EDATE($B$7,MAX(1,'Вводные'!$H$88)),'Вводные'!$B$88="Да")</x:f>
      </x:c>
      <x:c r="R9" t="n">
        <x:f>--AND(R$3&gt;=$B$7,R$3&lt;$B$8,R$3&lt;EDATE($B$7,MAX(1,'Вводные'!$H$88)),'Вводные'!$B$88="Да")</x:f>
      </x:c>
      <x:c r="S9" t="n">
        <x:f>--AND(S$3&gt;=$B$7,S$3&lt;$B$8,S$3&lt;EDATE($B$7,MAX(1,'Вводные'!$H$88)),'Вводные'!$B$88="Да")</x:f>
      </x:c>
      <x:c r="T9" t="n">
        <x:f>--AND(T$3&gt;=$B$7,T$3&lt;$B$8,T$3&lt;EDATE($B$7,MAX(1,'Вводные'!$H$88)),'Вводные'!$B$88="Да")</x:f>
      </x:c>
      <x:c r="U9" t="n">
        <x:f>--AND(U$3&gt;=$B$7,U$3&lt;$B$8,U$3&lt;EDATE($B$7,MAX(1,'Вводные'!$H$88)),'Вводные'!$B$88="Да")</x:f>
      </x:c>
      <x:c r="V9" t="n">
        <x:f>--AND(V$3&gt;=$B$7,V$3&lt;$B$8,V$3&lt;EDATE($B$7,MAX(1,'Вводные'!$H$88)),'Вводные'!$B$88="Да")</x:f>
      </x:c>
      <x:c r="W9" t="n">
        <x:f>--AND(W$3&gt;=$B$7,W$3&lt;$B$8,W$3&lt;EDATE($B$7,MAX(1,'Вводные'!$H$88)),'Вводные'!$B$88="Да")</x:f>
      </x:c>
      <x:c r="X9" t="n">
        <x:f>--AND(X$3&gt;=$B$7,X$3&lt;$B$8,X$3&lt;EDATE($B$7,MAX(1,'Вводные'!$H$88)),'Вводные'!$B$88="Да")</x:f>
      </x:c>
      <x:c r="Y9" t="n">
        <x:f>--AND(Y$3&gt;=$B$7,Y$3&lt;$B$8,Y$3&lt;EDATE($B$7,MAX(1,'Вводные'!$H$88)),'Вводные'!$B$88="Да")</x:f>
      </x:c>
      <x:c r="Z9" t="n">
        <x:f>--AND(Z$3&gt;=$B$7,Z$3&lt;$B$8,Z$3&lt;EDATE($B$7,MAX(1,'Вводные'!$H$88)),'Вводные'!$B$88="Да")</x:f>
      </x:c>
      <x:c r="AA9" t="n">
        <x:f>--AND(AA$3&gt;=$B$7,AA$3&lt;$B$8,AA$3&lt;EDATE($B$7,MAX(1,'Вводные'!$H$88)),'Вводные'!$B$88="Да")</x:f>
      </x:c>
      <x:c r="AB9" t="n">
        <x:f>--AND(AB$3&gt;=$B$7,AB$3&lt;$B$8,AB$3&lt;EDATE($B$7,MAX(1,'Вводные'!$H$88)),'Вводные'!$B$88="Да")</x:f>
      </x:c>
      <x:c r="AC9" t="n">
        <x:f>--AND(AC$3&gt;=$B$7,AC$3&lt;$B$8,AC$3&lt;EDATE($B$7,MAX(1,'Вводные'!$H$88)),'Вводные'!$B$88="Да")</x:f>
      </x:c>
      <x:c r="AD9" t="n">
        <x:f>--AND(AD$3&gt;=$B$7,AD$3&lt;$B$8,AD$3&lt;EDATE($B$7,MAX(1,'Вводные'!$H$88)),'Вводные'!$B$88="Да")</x:f>
      </x:c>
      <x:c r="AE9" t="n">
        <x:f>--AND(AE$3&gt;=$B$7,AE$3&lt;$B$8,AE$3&lt;EDATE($B$7,MAX(1,'Вводные'!$H$88)),'Вводные'!$B$88="Да")</x:f>
      </x:c>
      <x:c r="AF9" t="n">
        <x:f>--AND(AF$3&gt;=$B$7,AF$3&lt;$B$8,AF$3&lt;EDATE($B$7,MAX(1,'Вводные'!$H$88)),'Вводные'!$B$88="Да")</x:f>
      </x:c>
      <x:c r="AG9" t="n">
        <x:f>--AND(AG$3&gt;=$B$7,AG$3&lt;$B$8,AG$3&lt;EDATE($B$7,MAX(1,'Вводные'!$H$88)),'Вводные'!$B$88="Да")</x:f>
      </x:c>
      <x:c r="AH9" t="n">
        <x:f>--AND(AH$3&gt;=$B$7,AH$3&lt;$B$8,AH$3&lt;EDATE($B$7,MAX(1,'Вводные'!$H$88)),'Вводные'!$B$88="Да")</x:f>
      </x:c>
      <x:c r="AI9" t="n">
        <x:f>--AND(AI$3&gt;=$B$7,AI$3&lt;$B$8,AI$3&lt;EDATE($B$7,MAX(1,'Вводные'!$H$88)),'Вводные'!$B$88="Да")</x:f>
      </x:c>
      <x:c r="AJ9" t="n">
        <x:f>--AND(AJ$3&gt;=$B$7,AJ$3&lt;$B$8,AJ$3&lt;EDATE($B$7,MAX(1,'Вводные'!$H$88)),'Вводные'!$B$88="Да")</x:f>
      </x:c>
      <x:c r="AK9" t="n">
        <x:f>--AND(AK$3&gt;=$B$7,AK$3&lt;$B$8,AK$3&lt;EDATE($B$7,MAX(1,'Вводные'!$H$88)),'Вводные'!$B$88="Да")</x:f>
      </x:c>
      <x:c r="AL9" t="n">
        <x:f>--AND(AL$3&gt;=$B$7,AL$3&lt;$B$8,AL$3&lt;EDATE($B$7,MAX(1,'Вводные'!$H$88)),'Вводные'!$B$88="Да")</x:f>
      </x:c>
      <x:c r="AM9" t="n">
        <x:f>--AND(AM$3&gt;=$B$7,AM$3&lt;$B$8,AM$3&lt;EDATE($B$7,MAX(1,'Вводные'!$H$88)),'Вводные'!$B$88="Да")</x:f>
      </x:c>
      <x:c r="AN9" t="n">
        <x:f>--AND(AN$3&gt;=$B$7,AN$3&lt;$B$8,AN$3&lt;EDATE($B$7,MAX(1,'Вводные'!$H$88)),'Вводные'!$B$88="Да")</x:f>
      </x:c>
      <x:c r="AO9" t="n">
        <x:f>--AND(AO$3&gt;=$B$7,AO$3&lt;$B$8,AO$3&lt;EDATE($B$7,MAX(1,'Вводные'!$H$88)),'Вводные'!$B$88="Да")</x:f>
      </x:c>
      <x:c r="AP9" t="n">
        <x:f>--AND(AP$3&gt;=$B$7,AP$3&lt;$B$8,AP$3&lt;EDATE($B$7,MAX(1,'Вводные'!$H$88)),'Вводные'!$B$88="Да")</x:f>
      </x:c>
      <x:c r="AQ9" t="n">
        <x:f>--AND(AQ$3&gt;=$B$7,AQ$3&lt;$B$8,AQ$3&lt;EDATE($B$7,MAX(1,'Вводные'!$H$88)),'Вводные'!$B$88="Да")</x:f>
      </x:c>
      <x:c r="AR9" t="n">
        <x:f>--AND(AR$3&gt;=$B$7,AR$3&lt;$B$8,AR$3&lt;EDATE($B$7,MAX(1,'Вводные'!$H$88)),'Вводные'!$B$88="Да")</x:f>
      </x:c>
      <x:c r="AS9" t="n">
        <x:f>--AND(AS$3&gt;=$B$7,AS$3&lt;$B$8,AS$3&lt;EDATE($B$7,MAX(1,'Вводные'!$H$88)),'Вводные'!$B$88="Да")</x:f>
      </x:c>
      <x:c r="AT9" t="n">
        <x:f>--AND(AT$3&gt;=$B$7,AT$3&lt;$B$8,AT$3&lt;EDATE($B$7,MAX(1,'Вводные'!$H$88)),'Вводные'!$B$88="Да")</x:f>
      </x:c>
      <x:c r="AU9" t="n">
        <x:f>--AND(AU$3&gt;=$B$7,AU$3&lt;$B$8,AU$3&lt;EDATE($B$7,MAX(1,'Вводные'!$H$88)),'Вводные'!$B$88="Да")</x:f>
      </x:c>
      <x:c r="AV9" t="n">
        <x:f>--AND(AV$3&gt;=$B$7,AV$3&lt;$B$8,AV$3&lt;EDATE($B$7,MAX(1,'Вводные'!$H$88)),'Вводные'!$B$88="Да")</x:f>
      </x:c>
      <x:c r="AW9" t="n">
        <x:f>--AND(AW$3&gt;=$B$7,AW$3&lt;$B$8,AW$3&lt;EDATE($B$7,MAX(1,'Вводные'!$H$88)),'Вводные'!$B$88="Да")</x:f>
      </x:c>
      <x:c r="AX9" t="n">
        <x:f>--AND(AX$3&gt;=$B$7,AX$3&lt;$B$8,AX$3&lt;EDATE($B$7,MAX(1,'Вводные'!$H$88)),'Вводные'!$B$88="Да")</x:f>
      </x:c>
      <x:c r="AY9" t="n">
        <x:f>--AND(AY$3&gt;=$B$7,AY$3&lt;$B$8,AY$3&lt;EDATE($B$7,MAX(1,'Вводные'!$H$88)),'Вводные'!$B$88="Да")</x:f>
      </x:c>
      <x:c r="AZ9" t="n">
        <x:f>--AND(AZ$3&gt;=$B$7,AZ$3&lt;$B$8,AZ$3&lt;EDATE($B$7,MAX(1,'Вводные'!$H$88)),'Вводные'!$B$88="Да")</x:f>
      </x:c>
      <x:c r="BA9" t="n">
        <x:f>--AND(BA$3&gt;=$B$7,BA$3&lt;$B$8,BA$3&lt;EDATE($B$7,MAX(1,'Вводные'!$H$88)),'Вводные'!$B$88="Да")</x:f>
      </x:c>
      <x:c r="BB9" t="n">
        <x:f>--AND(BB$3&gt;=$B$7,BB$3&lt;$B$8,BB$3&lt;EDATE($B$7,MAX(1,'Вводные'!$H$88)),'Вводные'!$B$88="Да")</x:f>
      </x:c>
      <x:c r="BC9" t="n">
        <x:f>--AND(BC$3&gt;=$B$7,BC$3&lt;$B$8,BC$3&lt;EDATE($B$7,MAX(1,'Вводные'!$H$88)),'Вводные'!$B$88="Да")</x:f>
      </x:c>
      <x:c r="BD9" t="n">
        <x:f>--AND(BD$3&gt;=$B$7,BD$3&lt;$B$8,BD$3&lt;EDATE($B$7,MAX(1,'Вводные'!$H$88)),'Вводные'!$B$88="Да")</x:f>
      </x:c>
      <x:c r="BE9" t="n">
        <x:f>--AND(BE$3&gt;=$B$7,BE$3&lt;$B$8,BE$3&lt;EDATE($B$7,MAX(1,'Вводные'!$H$88)),'Вводные'!$B$88="Да")</x:f>
      </x:c>
      <x:c r="BF9" t="n">
        <x:f>--AND(BF$3&gt;=$B$7,BF$3&lt;$B$8,BF$3&lt;EDATE($B$7,MAX(1,'Вводные'!$H$88)),'Вводные'!$B$88="Да")</x:f>
      </x:c>
      <x:c r="BG9" t="n">
        <x:f>--AND(BG$3&gt;=$B$7,BG$3&lt;$B$8,BG$3&lt;EDATE($B$7,MAX(1,'Вводные'!$H$88)),'Вводные'!$B$88="Да")</x:f>
      </x:c>
      <x:c r="BH9" t="n">
        <x:f>--AND(BH$3&gt;=$B$7,BH$3&lt;$B$8,BH$3&lt;EDATE($B$7,MAX(1,'Вводные'!$H$88)),'Вводные'!$B$88="Да")</x:f>
      </x:c>
      <x:c r="BI9" t="n">
        <x:f>--AND(BI$3&gt;=$B$7,BI$3&lt;$B$8,BI$3&lt;EDATE($B$7,MAX(1,'Вводные'!$H$88)),'Вводные'!$B$88="Да")</x:f>
      </x:c>
      <x:c r="BJ9" t="n">
        <x:f>--AND(BJ$3&gt;=$B$7,BJ$3&lt;$B$8,BJ$3&lt;EDATE($B$7,MAX(1,'Вводные'!$H$88)),'Вводные'!$B$88="Да")</x:f>
      </x:c>
      <x:c r="BK9" t="n">
        <x:f>--AND(BK$3&gt;=$B$7,BK$3&lt;$B$8,BK$3&lt;EDATE($B$7,MAX(1,'Вводные'!$H$88)),'Вводные'!$B$88="Да")</x:f>
      </x:c>
      <x:c r="BL9" t="n">
        <x:f>--AND(BL$3&gt;=$B$7,BL$3&lt;$B$8,BL$3&lt;EDATE($B$7,MAX(1,'Вводные'!$H$88)),'Вводные'!$B$88="Да")</x:f>
      </x:c>
      <x:c r="BM9" t="n">
        <x:f>--AND(BM$3&gt;=$B$7,BM$3&lt;$B$8,BM$3&lt;EDATE($B$7,MAX(1,'Вводные'!$H$88)),'Вводные'!$B$88="Да")</x:f>
      </x:c>
      <x:c r="BN9" t="n">
        <x:f>--AND(BN$3&gt;=$B$7,BN$3&lt;$B$8,BN$3&lt;EDATE($B$7,MAX(1,'Вводные'!$H$88)),'Вводные'!$B$88="Да")</x:f>
      </x:c>
      <x:c r="BO9" t="n">
        <x:f>--AND(BO$3&gt;=$B$7,BO$3&lt;$B$8,BO$3&lt;EDATE($B$7,MAX(1,'Вводные'!$H$88)),'Вводные'!$B$88="Да")</x:f>
      </x:c>
      <x:c r="BP9" t="n">
        <x:f>--AND(BP$3&gt;=$B$7,BP$3&lt;$B$8,BP$3&lt;EDATE($B$7,MAX(1,'Вводные'!$H$88)),'Вводные'!$B$88="Да")</x:f>
      </x:c>
      <x:c r="BQ9" t="n">
        <x:f>--AND(BQ$3&gt;=$B$7,BQ$3&lt;$B$8,BQ$3&lt;EDATE($B$7,MAX(1,'Вводные'!$H$88)),'Вводные'!$B$88="Да")</x:f>
      </x:c>
      <x:c r="BR9" t="n">
        <x:f>--AND(BR$3&gt;=$B$7,BR$3&lt;$B$8,BR$3&lt;EDATE($B$7,MAX(1,'Вводные'!$H$88)),'Вводные'!$B$88="Да")</x:f>
      </x:c>
      <x:c r="BS9" t="n">
        <x:f>--AND(BS$3&gt;=$B$7,BS$3&lt;$B$8,BS$3&lt;EDATE($B$7,MAX(1,'Вводные'!$H$88)),'Вводные'!$B$88="Да")</x:f>
      </x:c>
      <x:c r="BT9" t="n">
        <x:f>--AND(BT$3&gt;=$B$7,BT$3&lt;$B$8,BT$3&lt;EDATE($B$7,MAX(1,'Вводные'!$H$88)),'Вводные'!$B$88="Да")</x:f>
      </x:c>
      <x:c r="BU9" t="n">
        <x:f>--AND(BU$3&gt;=$B$7,BU$3&lt;$B$8,BU$3&lt;EDATE($B$7,MAX(1,'Вводные'!$H$88)),'Вводные'!$B$88="Да")</x:f>
      </x:c>
      <x:c r="BV9" t="n">
        <x:f>--AND(BV$3&gt;=$B$7,BV$3&lt;$B$8,BV$3&lt;EDATE($B$7,MAX(1,'Вводные'!$H$88)),'Вводные'!$B$88="Да")</x:f>
      </x:c>
      <x:c r="BW9" t="n">
        <x:f>--AND(BW$3&gt;=$B$7,BW$3&lt;$B$8,BW$3&lt;EDATE($B$7,MAX(1,'Вводные'!$H$88)),'Вводные'!$B$88="Да")</x:f>
      </x:c>
      <x:c r="BX9" t="n">
        <x:f>--AND(BX$3&gt;=$B$7,BX$3&lt;$B$8,BX$3&lt;EDATE($B$7,MAX(1,'Вводные'!$H$88)),'Вводные'!$B$88="Да")</x:f>
      </x:c>
      <x:c r="BY9" t="n">
        <x:f>--AND(BY$3&gt;=$B$7,BY$3&lt;$B$8,BY$3&lt;EDATE($B$7,MAX(1,'Вводные'!$H$88)),'Вводные'!$B$88="Да")</x:f>
      </x:c>
      <x:c r="BZ9" t="n">
        <x:f>--AND(BZ$3&gt;=$B$7,BZ$3&lt;$B$8,BZ$3&lt;EDATE($B$7,MAX(1,'Вводные'!$H$88)),'Вводные'!$B$88="Да")</x:f>
      </x:c>
      <x:c r="CA9" t="n">
        <x:f>--AND(CA$3&gt;=$B$7,CA$3&lt;$B$8,CA$3&lt;EDATE($B$7,MAX(1,'Вводные'!$H$88)),'Вводные'!$B$88="Да")</x:f>
      </x:c>
      <x:c r="CB9" t="n">
        <x:f>--AND(CB$3&gt;=$B$7,CB$3&lt;$B$8,CB$3&lt;EDATE($B$7,MAX(1,'Вводные'!$H$88)),'Вводные'!$B$88="Да")</x:f>
      </x:c>
      <x:c r="CC9" t="n">
        <x:f>--AND(CC$3&gt;=$B$7,CC$3&lt;$B$8,CC$3&lt;EDATE($B$7,MAX(1,'Вводные'!$H$88)),'Вводные'!$B$88="Да")</x:f>
      </x:c>
      <x:c r="CD9" t="n">
        <x:f>--AND(CD$3&gt;=$B$7,CD$3&lt;$B$8,CD$3&lt;EDATE($B$7,MAX(1,'Вводные'!$H$88)),'Вводные'!$B$88="Да")</x:f>
      </x:c>
      <x:c r="CE9" t="n">
        <x:f>--AND(CE$3&gt;=$B$7,CE$3&lt;$B$8,CE$3&lt;EDATE($B$7,MAX(1,'Вводные'!$H$88)),'Вводные'!$B$88="Да")</x:f>
      </x:c>
      <x:c r="CF9" t="n">
        <x:f>--AND(CF$3&gt;=$B$7,CF$3&lt;$B$8,CF$3&lt;EDATE($B$7,MAX(1,'Вводные'!$H$88)),'Вводные'!$B$88="Да")</x:f>
      </x:c>
      <x:c r="CG9" t="n">
        <x:f>--AND(CG$3&gt;=$B$7,CG$3&lt;$B$8,CG$3&lt;EDATE($B$7,MAX(1,'Вводные'!$H$88)),'Вводные'!$B$88="Да")</x:f>
      </x:c>
      <x:c r="CH9" t="n">
        <x:f>--AND(CH$3&gt;=$B$7,CH$3&lt;$B$8,CH$3&lt;EDATE($B$7,MAX(1,'Вводные'!$H$88)),'Вводные'!$B$88="Да")</x:f>
      </x:c>
      <x:c r="CI9" t="n">
        <x:f>--AND(CI$3&gt;=$B$7,CI$3&lt;$B$8,CI$3&lt;EDATE($B$7,MAX(1,'Вводные'!$H$88)),'Вводные'!$B$88="Да")</x:f>
      </x:c>
      <x:c r="CJ9" t="n">
        <x:f>--AND(CJ$3&gt;=$B$7,CJ$3&lt;$B$8,CJ$3&lt;EDATE($B$7,MAX(1,'Вводные'!$H$88)),'Вводные'!$B$88="Да")</x:f>
      </x:c>
      <x:c r="CK9" t="n">
        <x:f>--AND(CK$3&gt;=$B$7,CK$3&lt;$B$8,CK$3&lt;EDATE($B$7,MAX(1,'Вводные'!$H$88)),'Вводные'!$B$88="Да")</x:f>
      </x:c>
      <x:c r="CL9" t="n">
        <x:f>--AND(CL$3&gt;=$B$7,CL$3&lt;$B$8,CL$3&lt;EDATE($B$7,MAX(1,'Вводные'!$H$88)),'Вводные'!$B$88="Да")</x:f>
      </x:c>
      <x:c r="CM9" t="n">
        <x:f>--AND(CM$3&gt;=$B$7,CM$3&lt;$B$8,CM$3&lt;EDATE($B$7,MAX(1,'Вводные'!$H$88)),'Вводные'!$B$88="Да")</x:f>
      </x:c>
      <x:c r="CN9" t="n">
        <x:f>--AND(CN$3&gt;=$B$7,CN$3&lt;$B$8,CN$3&lt;EDATE($B$7,MAX(1,'Вводные'!$H$88)),'Вводные'!$B$88="Да")</x:f>
      </x:c>
      <x:c r="CO9" t="n">
        <x:f>--AND(CO$3&gt;=$B$7,CO$3&lt;$B$8,CO$3&lt;EDATE($B$7,MAX(1,'Вводные'!$H$88)),'Вводные'!$B$88="Да")</x:f>
      </x:c>
      <x:c r="CP9" t="n">
        <x:f>--AND(CP$3&gt;=$B$7,CP$3&lt;$B$8,CP$3&lt;EDATE($B$7,MAX(1,'Вводные'!$H$88)),'Вводные'!$B$88="Да")</x:f>
      </x:c>
      <x:c r="CQ9" t="n">
        <x:f>--AND(CQ$3&gt;=$B$7,CQ$3&lt;$B$8,CQ$3&lt;EDATE($B$7,MAX(1,'Вводные'!$H$88)),'Вводные'!$B$88="Да")</x:f>
      </x:c>
      <x:c r="CR9" t="n">
        <x:f>--AND(CR$3&gt;=$B$7,CR$3&lt;$B$8,CR$3&lt;EDATE($B$7,MAX(1,'Вводные'!$H$88)),'Вводные'!$B$88="Да")</x:f>
      </x:c>
      <x:c r="CS9" t="n">
        <x:f>--AND(CS$3&gt;=$B$7,CS$3&lt;$B$8,CS$3&lt;EDATE($B$7,MAX(1,'Вводные'!$H$88)),'Вводные'!$B$88="Да")</x:f>
      </x:c>
      <x:c r="CT9" t="n">
        <x:f>--AND(CT$3&gt;=$B$7,CT$3&lt;$B$8,CT$3&lt;EDATE($B$7,MAX(1,'Вводные'!$H$88)),'Вводные'!$B$88="Да")</x:f>
      </x:c>
      <x:c r="CU9" t="n">
        <x:f>--AND(CU$3&gt;=$B$7,CU$3&lt;$B$8,CU$3&lt;EDATE($B$7,MAX(1,'Вводные'!$H$88)),'Вводные'!$B$88="Да")</x:f>
      </x:c>
      <x:c r="CV9" t="n">
        <x:f>--AND(CV$3&gt;=$B$7,CV$3&lt;$B$8,CV$3&lt;EDATE($B$7,MAX(1,'Вводные'!$H$88)),'Вводные'!$B$88="Да")</x:f>
      </x:c>
      <x:c r="CW9" t="n">
        <x:f>--AND(CW$3&gt;=$B$7,CW$3&lt;$B$8,CW$3&lt;EDATE($B$7,MAX(1,'Вводные'!$H$88)),'Вводные'!$B$88="Да")</x:f>
      </x:c>
      <x:c r="CX9" t="n">
        <x:f>--AND(CX$3&gt;=$B$7,CX$3&lt;$B$8,CX$3&lt;EDATE($B$7,MAX(1,'Вводные'!$H$88)),'Вводные'!$B$88="Да")</x:f>
      </x:c>
      <x:c r="CY9" t="n">
        <x:f>--AND(CY$3&gt;=$B$7,CY$3&lt;$B$8,CY$3&lt;EDATE($B$7,MAX(1,'Вводные'!$H$88)),'Вводные'!$B$88="Да")</x:f>
      </x:c>
      <x:c r="CZ9" t="n">
        <x:f>--AND(CZ$3&gt;=$B$7,CZ$3&lt;$B$8,CZ$3&lt;EDATE($B$7,MAX(1,'Вводные'!$H$88)),'Вводные'!$B$88="Да")</x:f>
      </x:c>
      <x:c r="DA9" t="n">
        <x:f>--AND(DA$3&gt;=$B$7,DA$3&lt;$B$8,DA$3&lt;EDATE($B$7,MAX(1,'Вводные'!$H$88)),'Вводные'!$B$88="Да")</x:f>
      </x:c>
      <x:c r="DB9" t="n">
        <x:f>--AND(DB$3&gt;=$B$7,DB$3&lt;$B$8,DB$3&lt;EDATE($B$7,MAX(1,'Вводные'!$H$88)),'Вводные'!$B$88="Да")</x:f>
      </x:c>
      <x:c r="DC9" t="n">
        <x:f>--AND(DC$3&gt;=$B$7,DC$3&lt;$B$8,DC$3&lt;EDATE($B$7,MAX(1,'Вводные'!$H$88)),'Вводные'!$B$88="Да")</x:f>
      </x:c>
      <x:c r="DD9" t="n">
        <x:f>--AND(DD$3&gt;=$B$7,DD$3&lt;$B$8,DD$3&lt;EDATE($B$7,MAX(1,'Вводные'!$H$88)),'Вводные'!$B$88="Да")</x:f>
      </x:c>
      <x:c r="DE9" t="n">
        <x:f>--AND(DE$3&gt;=$B$7,DE$3&lt;$B$8,DE$3&lt;EDATE($B$7,MAX(1,'Вводные'!$H$88)),'Вводные'!$B$88="Да")</x:f>
      </x:c>
      <x:c r="DF9" t="n">
        <x:f>--AND(DF$3&gt;=$B$7,DF$3&lt;$B$8,DF$3&lt;EDATE($B$7,MAX(1,'Вводные'!$H$88)),'Вводные'!$B$88="Да")</x:f>
      </x:c>
      <x:c r="DG9" t="n">
        <x:f>--AND(DG$3&gt;=$B$7,DG$3&lt;$B$8,DG$3&lt;EDATE($B$7,MAX(1,'Вводные'!$H$88)),'Вводные'!$B$88="Да")</x:f>
      </x:c>
      <x:c r="DH9" t="n">
        <x:f>--AND(DH$3&gt;=$B$7,DH$3&lt;$B$8,DH$3&lt;EDATE($B$7,MAX(1,'Вводные'!$H$88)),'Вводные'!$B$88="Да")</x:f>
      </x:c>
      <x:c r="DI9" t="n">
        <x:f>--AND(DI$3&gt;=$B$7,DI$3&lt;$B$8,DI$3&lt;EDATE($B$7,MAX(1,'Вводные'!$H$88)),'Вводные'!$B$88="Да")</x:f>
      </x:c>
      <x:c r="DJ9" t="n">
        <x:f>--AND(DJ$3&gt;=$B$7,DJ$3&lt;$B$8,DJ$3&lt;EDATE($B$7,MAX(1,'Вводные'!$H$88)),'Вводные'!$B$88="Да")</x:f>
      </x:c>
      <x:c r="DK9" t="n">
        <x:f>--AND(DK$3&gt;=$B$7,DK$3&lt;$B$8,DK$3&lt;EDATE($B$7,MAX(1,'Вводные'!$H$88)),'Вводные'!$B$88="Да")</x:f>
      </x:c>
      <x:c r="DL9" t="n">
        <x:f>--AND(DL$3&gt;=$B$7,DL$3&lt;$B$8,DL$3&lt;EDATE($B$7,MAX(1,'Вводные'!$H$88)),'Вводные'!$B$88="Да")</x:f>
      </x:c>
      <x:c r="DM9" t="n">
        <x:f>--AND(DM$3&gt;=$B$7,DM$3&lt;$B$8,DM$3&lt;EDATE($B$7,MAX(1,'Вводные'!$H$88)),'Вводные'!$B$88="Да")</x:f>
      </x:c>
      <x:c r="DN9" t="n">
        <x:f>--AND(DN$3&gt;=$B$7,DN$3&lt;$B$8,DN$3&lt;EDATE($B$7,MAX(1,'Вводные'!$H$88)),'Вводные'!$B$88="Да")</x:f>
      </x:c>
      <x:c r="DO9" t="n">
        <x:f>--AND(DO$3&gt;=$B$7,DO$3&lt;$B$8,DO$3&lt;EDATE($B$7,MAX(1,'Вводные'!$H$88)),'Вводные'!$B$88="Да")</x:f>
      </x:c>
      <x:c r="DP9" t="n">
        <x:f>--AND(DP$3&gt;=$B$7,DP$3&lt;$B$8,DP$3&lt;EDATE($B$7,MAX(1,'Вводные'!$H$88)),'Вводные'!$B$88="Да")</x:f>
      </x:c>
      <x:c r="DQ9" t="n">
        <x:f>--AND(DQ$3&gt;=$B$7,DQ$3&lt;$B$8,DQ$3&lt;EDATE($B$7,MAX(1,'Вводные'!$H$88)),'Вводные'!$B$88="Да")</x:f>
      </x:c>
      <x:c r="DR9" t="n">
        <x:f>--AND(DR$3&gt;=$B$7,DR$3&lt;$B$8,DR$3&lt;EDATE($B$7,MAX(1,'Вводные'!$H$88)),'Вводные'!$B$88="Да")</x:f>
      </x:c>
      <x:c r="DS9" t="n">
        <x:f>--AND(DS$3&gt;=$B$7,DS$3&lt;$B$8,DS$3&lt;EDATE($B$7,MAX(1,'Вводные'!$H$88)),'Вводные'!$B$88="Да")</x:f>
      </x:c>
    </x:row>
    <x:row r="10">
      <x:c r="A10" t="str">
        <x:v>Вес темпа продаж</x:v>
      </x:c>
      <x:c r="B10"/>
      <x:c r="C10" t="str">
        <x:v>вес</x:v>
      </x:c>
      <x:c r="D10" t="n">
        <x:f>IF(AND(D$3&gt;=$B$7,D$3&lt;EDATE($B$7,MAX(1,'Вводные'!$H$88)),'Вводные'!$B$88="Да"),(1+'Вводные'!$AD$88*'Вводные'!$H$7)^MAX(0,(12*(YEAR(D$3)-YEAR($B$7))+MONTH(D$3)-MONTH($B$7)))*(1+IF(MONTH(D$3)=1,'Вводные'!$B$67,IF(AND(MONTH(D$3)&gt;=5,MONTH(D$3)&lt;=8),'Вводные'!$B$70,0))),0)</x:f>
      </x:c>
      <x:c r="E10" t="n">
        <x:f>IF(AND(E$3&gt;=$B$7,E$3&lt;EDATE($B$7,MAX(1,'Вводные'!$H$88)),'Вводные'!$B$88="Да"),(1+'Вводные'!$AD$88*'Вводные'!$H$7)^MAX(0,(12*(YEAR(E$3)-YEAR($B$7))+MONTH(E$3)-MONTH($B$7)))*(1+IF(MONTH(E$3)=1,'Вводные'!$B$67,IF(AND(MONTH(E$3)&gt;=5,MONTH(E$3)&lt;=8),'Вводные'!$B$70,0))),0)</x:f>
      </x:c>
      <x:c r="F10" t="n">
        <x:f>IF(AND(F$3&gt;=$B$7,F$3&lt;EDATE($B$7,MAX(1,'Вводные'!$H$88)),'Вводные'!$B$88="Да"),(1+'Вводные'!$AD$88*'Вводные'!$H$7)^MAX(0,(12*(YEAR(F$3)-YEAR($B$7))+MONTH(F$3)-MONTH($B$7)))*(1+IF(MONTH(F$3)=1,'Вводные'!$B$67,IF(AND(MONTH(F$3)&gt;=5,MONTH(F$3)&lt;=8),'Вводные'!$B$70,0))),0)</x:f>
      </x:c>
      <x:c r="G10" t="n">
        <x:f>IF(AND(G$3&gt;=$B$7,G$3&lt;EDATE($B$7,MAX(1,'Вводные'!$H$88)),'Вводные'!$B$88="Да"),(1+'Вводные'!$AD$88*'Вводные'!$H$7)^MAX(0,(12*(YEAR(G$3)-YEAR($B$7))+MONTH(G$3)-MONTH($B$7)))*(1+IF(MONTH(G$3)=1,'Вводные'!$B$67,IF(AND(MONTH(G$3)&gt;=5,MONTH(G$3)&lt;=8),'Вводные'!$B$70,0))),0)</x:f>
      </x:c>
      <x:c r="H10" t="n">
        <x:f>IF(AND(H$3&gt;=$B$7,H$3&lt;EDATE($B$7,MAX(1,'Вводные'!$H$88)),'Вводные'!$B$88="Да"),(1+'Вводные'!$AD$88*'Вводные'!$H$7)^MAX(0,(12*(YEAR(H$3)-YEAR($B$7))+MONTH(H$3)-MONTH($B$7)))*(1+IF(MONTH(H$3)=1,'Вводные'!$B$67,IF(AND(MONTH(H$3)&gt;=5,MONTH(H$3)&lt;=8),'Вводные'!$B$70,0))),0)</x:f>
      </x:c>
      <x:c r="I10" t="n">
        <x:f>IF(AND(I$3&gt;=$B$7,I$3&lt;EDATE($B$7,MAX(1,'Вводные'!$H$88)),'Вводные'!$B$88="Да"),(1+'Вводные'!$AD$88*'Вводные'!$H$7)^MAX(0,(12*(YEAR(I$3)-YEAR($B$7))+MONTH(I$3)-MONTH($B$7)))*(1+IF(MONTH(I$3)=1,'Вводные'!$B$67,IF(AND(MONTH(I$3)&gt;=5,MONTH(I$3)&lt;=8),'Вводные'!$B$70,0))),0)</x:f>
      </x:c>
      <x:c r="J10" t="n">
        <x:f>IF(AND(J$3&gt;=$B$7,J$3&lt;EDATE($B$7,MAX(1,'Вводные'!$H$88)),'Вводные'!$B$88="Да"),(1+'Вводные'!$AD$88*'Вводные'!$H$7)^MAX(0,(12*(YEAR(J$3)-YEAR($B$7))+MONTH(J$3)-MONTH($B$7)))*(1+IF(MONTH(J$3)=1,'Вводные'!$B$67,IF(AND(MONTH(J$3)&gt;=5,MONTH(J$3)&lt;=8),'Вводные'!$B$70,0))),0)</x:f>
      </x:c>
      <x:c r="K10" t="n">
        <x:f>IF(AND(K$3&gt;=$B$7,K$3&lt;EDATE($B$7,MAX(1,'Вводные'!$H$88)),'Вводные'!$B$88="Да"),(1+'Вводные'!$AD$88*'Вводные'!$H$7)^MAX(0,(12*(YEAR(K$3)-YEAR($B$7))+MONTH(K$3)-MONTH($B$7)))*(1+IF(MONTH(K$3)=1,'Вводные'!$B$67,IF(AND(MONTH(K$3)&gt;=5,MONTH(K$3)&lt;=8),'Вводные'!$B$70,0))),0)</x:f>
      </x:c>
      <x:c r="L10" t="n">
        <x:f>IF(AND(L$3&gt;=$B$7,L$3&lt;EDATE($B$7,MAX(1,'Вводные'!$H$88)),'Вводные'!$B$88="Да"),(1+'Вводные'!$AD$88*'Вводные'!$H$7)^MAX(0,(12*(YEAR(L$3)-YEAR($B$7))+MONTH(L$3)-MONTH($B$7)))*(1+IF(MONTH(L$3)=1,'Вводные'!$B$67,IF(AND(MONTH(L$3)&gt;=5,MONTH(L$3)&lt;=8),'Вводные'!$B$70,0))),0)</x:f>
      </x:c>
      <x:c r="M10" t="n">
        <x:f>IF(AND(M$3&gt;=$B$7,M$3&lt;EDATE($B$7,MAX(1,'Вводные'!$H$88)),'Вводные'!$B$88="Да"),(1+'Вводные'!$AD$88*'Вводные'!$H$7)^MAX(0,(12*(YEAR(M$3)-YEAR($B$7))+MONTH(M$3)-MONTH($B$7)))*(1+IF(MONTH(M$3)=1,'Вводные'!$B$67,IF(AND(MONTH(M$3)&gt;=5,MONTH(M$3)&lt;=8),'Вводные'!$B$70,0))),0)</x:f>
      </x:c>
      <x:c r="N10" t="n">
        <x:f>IF(AND(N$3&gt;=$B$7,N$3&lt;EDATE($B$7,MAX(1,'Вводные'!$H$88)),'Вводные'!$B$88="Да"),(1+'Вводные'!$AD$88*'Вводные'!$H$7)^MAX(0,(12*(YEAR(N$3)-YEAR($B$7))+MONTH(N$3)-MONTH($B$7)))*(1+IF(MONTH(N$3)=1,'Вводные'!$B$67,IF(AND(MONTH(N$3)&gt;=5,MONTH(N$3)&lt;=8),'Вводные'!$B$70,0))),0)</x:f>
      </x:c>
      <x:c r="O10" t="n">
        <x:f>IF(AND(O$3&gt;=$B$7,O$3&lt;EDATE($B$7,MAX(1,'Вводные'!$H$88)),'Вводные'!$B$88="Да"),(1+'Вводные'!$AD$88*'Вводные'!$H$7)^MAX(0,(12*(YEAR(O$3)-YEAR($B$7))+MONTH(O$3)-MONTH($B$7)))*(1+IF(MONTH(O$3)=1,'Вводные'!$B$67,IF(AND(MONTH(O$3)&gt;=5,MONTH(O$3)&lt;=8),'Вводные'!$B$70,0))),0)</x:f>
      </x:c>
      <x:c r="P10" t="n">
        <x:f>IF(AND(P$3&gt;=$B$7,P$3&lt;EDATE($B$7,MAX(1,'Вводные'!$H$88)),'Вводные'!$B$88="Да"),(1+'Вводные'!$AD$88*'Вводные'!$H$7)^MAX(0,(12*(YEAR(P$3)-YEAR($B$7))+MONTH(P$3)-MONTH($B$7)))*(1+IF(MONTH(P$3)=1,'Вводные'!$B$67,IF(AND(MONTH(P$3)&gt;=5,MONTH(P$3)&lt;=8),'Вводные'!$B$70,0))),0)</x:f>
      </x:c>
      <x:c r="Q10" t="n">
        <x:f>IF(AND(Q$3&gt;=$B$7,Q$3&lt;EDATE($B$7,MAX(1,'Вводные'!$H$88)),'Вводные'!$B$88="Да"),(1+'Вводные'!$AD$88*'Вводные'!$H$7)^MAX(0,(12*(YEAR(Q$3)-YEAR($B$7))+MONTH(Q$3)-MONTH($B$7)))*(1+IF(MONTH(Q$3)=1,'Вводные'!$B$67,IF(AND(MONTH(Q$3)&gt;=5,MONTH(Q$3)&lt;=8),'Вводные'!$B$70,0))),0)</x:f>
      </x:c>
      <x:c r="R10" t="n">
        <x:f>IF(AND(R$3&gt;=$B$7,R$3&lt;EDATE($B$7,MAX(1,'Вводные'!$H$88)),'Вводные'!$B$88="Да"),(1+'Вводные'!$AD$88*'Вводные'!$H$7)^MAX(0,(12*(YEAR(R$3)-YEAR($B$7))+MONTH(R$3)-MONTH($B$7)))*(1+IF(MONTH(R$3)=1,'Вводные'!$B$67,IF(AND(MONTH(R$3)&gt;=5,MONTH(R$3)&lt;=8),'Вводные'!$B$70,0))),0)</x:f>
      </x:c>
      <x:c r="S10" t="n">
        <x:f>IF(AND(S$3&gt;=$B$7,S$3&lt;EDATE($B$7,MAX(1,'Вводные'!$H$88)),'Вводные'!$B$88="Да"),(1+'Вводные'!$AD$88*'Вводные'!$H$7)^MAX(0,(12*(YEAR(S$3)-YEAR($B$7))+MONTH(S$3)-MONTH($B$7)))*(1+IF(MONTH(S$3)=1,'Вводные'!$B$67,IF(AND(MONTH(S$3)&gt;=5,MONTH(S$3)&lt;=8),'Вводные'!$B$70,0))),0)</x:f>
      </x:c>
      <x:c r="T10" t="n">
        <x:f>IF(AND(T$3&gt;=$B$7,T$3&lt;EDATE($B$7,MAX(1,'Вводные'!$H$88)),'Вводные'!$B$88="Да"),(1+'Вводные'!$AD$88*'Вводные'!$H$7)^MAX(0,(12*(YEAR(T$3)-YEAR($B$7))+MONTH(T$3)-MONTH($B$7)))*(1+IF(MONTH(T$3)=1,'Вводные'!$B$67,IF(AND(MONTH(T$3)&gt;=5,MONTH(T$3)&lt;=8),'Вводные'!$B$70,0))),0)</x:f>
      </x:c>
      <x:c r="U10" t="n">
        <x:f>IF(AND(U$3&gt;=$B$7,U$3&lt;EDATE($B$7,MAX(1,'Вводные'!$H$88)),'Вводные'!$B$88="Да"),(1+'Вводные'!$AD$88*'Вводные'!$H$7)^MAX(0,(12*(YEAR(U$3)-YEAR($B$7))+MONTH(U$3)-MONTH($B$7)))*(1+IF(MONTH(U$3)=1,'Вводные'!$B$67,IF(AND(MONTH(U$3)&gt;=5,MONTH(U$3)&lt;=8),'Вводные'!$B$70,0))),0)</x:f>
      </x:c>
      <x:c r="V10" t="n">
        <x:f>IF(AND(V$3&gt;=$B$7,V$3&lt;EDATE($B$7,MAX(1,'Вводные'!$H$88)),'Вводные'!$B$88="Да"),(1+'Вводные'!$AD$88*'Вводные'!$H$7)^MAX(0,(12*(YEAR(V$3)-YEAR($B$7))+MONTH(V$3)-MONTH($B$7)))*(1+IF(MONTH(V$3)=1,'Вводные'!$B$67,IF(AND(MONTH(V$3)&gt;=5,MONTH(V$3)&lt;=8),'Вводные'!$B$70,0))),0)</x:f>
      </x:c>
      <x:c r="W10" t="n">
        <x:f>IF(AND(W$3&gt;=$B$7,W$3&lt;EDATE($B$7,MAX(1,'Вводные'!$H$88)),'Вводные'!$B$88="Да"),(1+'Вводные'!$AD$88*'Вводные'!$H$7)^MAX(0,(12*(YEAR(W$3)-YEAR($B$7))+MONTH(W$3)-MONTH($B$7)))*(1+IF(MONTH(W$3)=1,'Вводные'!$B$67,IF(AND(MONTH(W$3)&gt;=5,MONTH(W$3)&lt;=8),'Вводные'!$B$70,0))),0)</x:f>
      </x:c>
      <x:c r="X10" t="n">
        <x:f>IF(AND(X$3&gt;=$B$7,X$3&lt;EDATE($B$7,MAX(1,'Вводные'!$H$88)),'Вводные'!$B$88="Да"),(1+'Вводные'!$AD$88*'Вводные'!$H$7)^MAX(0,(12*(YEAR(X$3)-YEAR($B$7))+MONTH(X$3)-MONTH($B$7)))*(1+IF(MONTH(X$3)=1,'Вводные'!$B$67,IF(AND(MONTH(X$3)&gt;=5,MONTH(X$3)&lt;=8),'Вводные'!$B$70,0))),0)</x:f>
      </x:c>
      <x:c r="Y10" t="n">
        <x:f>IF(AND(Y$3&gt;=$B$7,Y$3&lt;EDATE($B$7,MAX(1,'Вводные'!$H$88)),'Вводные'!$B$88="Да"),(1+'Вводные'!$AD$88*'Вводные'!$H$7)^MAX(0,(12*(YEAR(Y$3)-YEAR($B$7))+MONTH(Y$3)-MONTH($B$7)))*(1+IF(MONTH(Y$3)=1,'Вводные'!$B$67,IF(AND(MONTH(Y$3)&gt;=5,MONTH(Y$3)&lt;=8),'Вводные'!$B$70,0))),0)</x:f>
      </x:c>
      <x:c r="Z10" t="n">
        <x:f>IF(AND(Z$3&gt;=$B$7,Z$3&lt;EDATE($B$7,MAX(1,'Вводные'!$H$88)),'Вводные'!$B$88="Да"),(1+'Вводные'!$AD$88*'Вводные'!$H$7)^MAX(0,(12*(YEAR(Z$3)-YEAR($B$7))+MONTH(Z$3)-MONTH($B$7)))*(1+IF(MONTH(Z$3)=1,'Вводные'!$B$67,IF(AND(MONTH(Z$3)&gt;=5,MONTH(Z$3)&lt;=8),'Вводные'!$B$70,0))),0)</x:f>
      </x:c>
      <x:c r="AA10" t="n">
        <x:f>IF(AND(AA$3&gt;=$B$7,AA$3&lt;EDATE($B$7,MAX(1,'Вводные'!$H$88)),'Вводные'!$B$88="Да"),(1+'Вводные'!$AD$88*'Вводные'!$H$7)^MAX(0,(12*(YEAR(AA$3)-YEAR($B$7))+MONTH(AA$3)-MONTH($B$7)))*(1+IF(MONTH(AA$3)=1,'Вводные'!$B$67,IF(AND(MONTH(AA$3)&gt;=5,MONTH(AA$3)&lt;=8),'Вводные'!$B$70,0))),0)</x:f>
      </x:c>
      <x:c r="AB10" t="n">
        <x:f>IF(AND(AB$3&gt;=$B$7,AB$3&lt;EDATE($B$7,MAX(1,'Вводные'!$H$88)),'Вводные'!$B$88="Да"),(1+'Вводные'!$AD$88*'Вводные'!$H$7)^MAX(0,(12*(YEAR(AB$3)-YEAR($B$7))+MONTH(AB$3)-MONTH($B$7)))*(1+IF(MONTH(AB$3)=1,'Вводные'!$B$67,IF(AND(MONTH(AB$3)&gt;=5,MONTH(AB$3)&lt;=8),'Вводные'!$B$70,0))),0)</x:f>
      </x:c>
      <x:c r="AC10" t="n">
        <x:f>IF(AND(AC$3&gt;=$B$7,AC$3&lt;EDATE($B$7,MAX(1,'Вводные'!$H$88)),'Вводные'!$B$88="Да"),(1+'Вводные'!$AD$88*'Вводные'!$H$7)^MAX(0,(12*(YEAR(AC$3)-YEAR($B$7))+MONTH(AC$3)-MONTH($B$7)))*(1+IF(MONTH(AC$3)=1,'Вводные'!$B$67,IF(AND(MONTH(AC$3)&gt;=5,MONTH(AC$3)&lt;=8),'Вводные'!$B$70,0))),0)</x:f>
      </x:c>
      <x:c r="AD10" t="n">
        <x:f>IF(AND(AD$3&gt;=$B$7,AD$3&lt;EDATE($B$7,MAX(1,'Вводные'!$H$88)),'Вводные'!$B$88="Да"),(1+'Вводные'!$AD$88*'Вводные'!$H$7)^MAX(0,(12*(YEAR(AD$3)-YEAR($B$7))+MONTH(AD$3)-MONTH($B$7)))*(1+IF(MONTH(AD$3)=1,'Вводные'!$B$67,IF(AND(MONTH(AD$3)&gt;=5,MONTH(AD$3)&lt;=8),'Вводные'!$B$70,0))),0)</x:f>
      </x:c>
      <x:c r="AE10" t="n">
        <x:f>IF(AND(AE$3&gt;=$B$7,AE$3&lt;EDATE($B$7,MAX(1,'Вводные'!$H$88)),'Вводные'!$B$88="Да"),(1+'Вводные'!$AD$88*'Вводные'!$H$7)^MAX(0,(12*(YEAR(AE$3)-YEAR($B$7))+MONTH(AE$3)-MONTH($B$7)))*(1+IF(MONTH(AE$3)=1,'Вводные'!$B$67,IF(AND(MONTH(AE$3)&gt;=5,MONTH(AE$3)&lt;=8),'Вводные'!$B$70,0))),0)</x:f>
      </x:c>
      <x:c r="AF10" t="n">
        <x:f>IF(AND(AF$3&gt;=$B$7,AF$3&lt;EDATE($B$7,MAX(1,'Вводные'!$H$88)),'Вводные'!$B$88="Да"),(1+'Вводные'!$AD$88*'Вводные'!$H$7)^MAX(0,(12*(YEAR(AF$3)-YEAR($B$7))+MONTH(AF$3)-MONTH($B$7)))*(1+IF(MONTH(AF$3)=1,'Вводные'!$B$67,IF(AND(MONTH(AF$3)&gt;=5,MONTH(AF$3)&lt;=8),'Вводные'!$B$70,0))),0)</x:f>
      </x:c>
      <x:c r="AG10" t="n">
        <x:f>IF(AND(AG$3&gt;=$B$7,AG$3&lt;EDATE($B$7,MAX(1,'Вводные'!$H$88)),'Вводные'!$B$88="Да"),(1+'Вводные'!$AD$88*'Вводные'!$H$7)^MAX(0,(12*(YEAR(AG$3)-YEAR($B$7))+MONTH(AG$3)-MONTH($B$7)))*(1+IF(MONTH(AG$3)=1,'Вводные'!$B$67,IF(AND(MONTH(AG$3)&gt;=5,MONTH(AG$3)&lt;=8),'Вводные'!$B$70,0))),0)</x:f>
      </x:c>
      <x:c r="AH10" t="n">
        <x:f>IF(AND(AH$3&gt;=$B$7,AH$3&lt;EDATE($B$7,MAX(1,'Вводные'!$H$88)),'Вводные'!$B$88="Да"),(1+'Вводные'!$AD$88*'Вводные'!$H$7)^MAX(0,(12*(YEAR(AH$3)-YEAR($B$7))+MONTH(AH$3)-MONTH($B$7)))*(1+IF(MONTH(AH$3)=1,'Вводные'!$B$67,IF(AND(MONTH(AH$3)&gt;=5,MONTH(AH$3)&lt;=8),'Вводные'!$B$70,0))),0)</x:f>
      </x:c>
      <x:c r="AI10" t="n">
        <x:f>IF(AND(AI$3&gt;=$B$7,AI$3&lt;EDATE($B$7,MAX(1,'Вводные'!$H$88)),'Вводные'!$B$88="Да"),(1+'Вводные'!$AD$88*'Вводные'!$H$7)^MAX(0,(12*(YEAR(AI$3)-YEAR($B$7))+MONTH(AI$3)-MONTH($B$7)))*(1+IF(MONTH(AI$3)=1,'Вводные'!$B$67,IF(AND(MONTH(AI$3)&gt;=5,MONTH(AI$3)&lt;=8),'Вводные'!$B$70,0))),0)</x:f>
      </x:c>
      <x:c r="AJ10" t="n">
        <x:f>IF(AND(AJ$3&gt;=$B$7,AJ$3&lt;EDATE($B$7,MAX(1,'Вводные'!$H$88)),'Вводные'!$B$88="Да"),(1+'Вводные'!$AD$88*'Вводные'!$H$7)^MAX(0,(12*(YEAR(AJ$3)-YEAR($B$7))+MONTH(AJ$3)-MONTH($B$7)))*(1+IF(MONTH(AJ$3)=1,'Вводные'!$B$67,IF(AND(MONTH(AJ$3)&gt;=5,MONTH(AJ$3)&lt;=8),'Вводные'!$B$70,0))),0)</x:f>
      </x:c>
      <x:c r="AK10" t="n">
        <x:f>IF(AND(AK$3&gt;=$B$7,AK$3&lt;EDATE($B$7,MAX(1,'Вводные'!$H$88)),'Вводные'!$B$88="Да"),(1+'Вводные'!$AD$88*'Вводные'!$H$7)^MAX(0,(12*(YEAR(AK$3)-YEAR($B$7))+MONTH(AK$3)-MONTH($B$7)))*(1+IF(MONTH(AK$3)=1,'Вводные'!$B$67,IF(AND(MONTH(AK$3)&gt;=5,MONTH(AK$3)&lt;=8),'Вводные'!$B$70,0))),0)</x:f>
      </x:c>
      <x:c r="AL10" t="n">
        <x:f>IF(AND(AL$3&gt;=$B$7,AL$3&lt;EDATE($B$7,MAX(1,'Вводные'!$H$88)),'Вводные'!$B$88="Да"),(1+'Вводные'!$AD$88*'Вводные'!$H$7)^MAX(0,(12*(YEAR(AL$3)-YEAR($B$7))+MONTH(AL$3)-MONTH($B$7)))*(1+IF(MONTH(AL$3)=1,'Вводные'!$B$67,IF(AND(MONTH(AL$3)&gt;=5,MONTH(AL$3)&lt;=8),'Вводные'!$B$70,0))),0)</x:f>
      </x:c>
      <x:c r="AM10" t="n">
        <x:f>IF(AND(AM$3&gt;=$B$7,AM$3&lt;EDATE($B$7,MAX(1,'Вводные'!$H$88)),'Вводные'!$B$88="Да"),(1+'Вводные'!$AD$88*'Вводные'!$H$7)^MAX(0,(12*(YEAR(AM$3)-YEAR($B$7))+MONTH(AM$3)-MONTH($B$7)))*(1+IF(MONTH(AM$3)=1,'Вводные'!$B$67,IF(AND(MONTH(AM$3)&gt;=5,MONTH(AM$3)&lt;=8),'Вводные'!$B$70,0))),0)</x:f>
      </x:c>
      <x:c r="AN10" t="n">
        <x:f>IF(AND(AN$3&gt;=$B$7,AN$3&lt;EDATE($B$7,MAX(1,'Вводные'!$H$88)),'Вводные'!$B$88="Да"),(1+'Вводные'!$AD$88*'Вводные'!$H$7)^MAX(0,(12*(YEAR(AN$3)-YEAR($B$7))+MONTH(AN$3)-MONTH($B$7)))*(1+IF(MONTH(AN$3)=1,'Вводные'!$B$67,IF(AND(MONTH(AN$3)&gt;=5,MONTH(AN$3)&lt;=8),'Вводные'!$B$70,0))),0)</x:f>
      </x:c>
      <x:c r="AO10" t="n">
        <x:f>IF(AND(AO$3&gt;=$B$7,AO$3&lt;EDATE($B$7,MAX(1,'Вводные'!$H$88)),'Вводные'!$B$88="Да"),(1+'Вводные'!$AD$88*'Вводные'!$H$7)^MAX(0,(12*(YEAR(AO$3)-YEAR($B$7))+MONTH(AO$3)-MONTH($B$7)))*(1+IF(MONTH(AO$3)=1,'Вводные'!$B$67,IF(AND(MONTH(AO$3)&gt;=5,MONTH(AO$3)&lt;=8),'Вводные'!$B$70,0))),0)</x:f>
      </x:c>
      <x:c r="AP10" t="n">
        <x:f>IF(AND(AP$3&gt;=$B$7,AP$3&lt;EDATE($B$7,MAX(1,'Вводные'!$H$88)),'Вводные'!$B$88="Да"),(1+'Вводные'!$AD$88*'Вводные'!$H$7)^MAX(0,(12*(YEAR(AP$3)-YEAR($B$7))+MONTH(AP$3)-MONTH($B$7)))*(1+IF(MONTH(AP$3)=1,'Вводные'!$B$67,IF(AND(MONTH(AP$3)&gt;=5,MONTH(AP$3)&lt;=8),'Вводные'!$B$70,0))),0)</x:f>
      </x:c>
      <x:c r="AQ10" t="n">
        <x:f>IF(AND(AQ$3&gt;=$B$7,AQ$3&lt;EDATE($B$7,MAX(1,'Вводные'!$H$88)),'Вводные'!$B$88="Да"),(1+'Вводные'!$AD$88*'Вводные'!$H$7)^MAX(0,(12*(YEAR(AQ$3)-YEAR($B$7))+MONTH(AQ$3)-MONTH($B$7)))*(1+IF(MONTH(AQ$3)=1,'Вводные'!$B$67,IF(AND(MONTH(AQ$3)&gt;=5,MONTH(AQ$3)&lt;=8),'Вводные'!$B$70,0))),0)</x:f>
      </x:c>
      <x:c r="AR10" t="n">
        <x:f>IF(AND(AR$3&gt;=$B$7,AR$3&lt;EDATE($B$7,MAX(1,'Вводные'!$H$88)),'Вводные'!$B$88="Да"),(1+'Вводные'!$AD$88*'Вводные'!$H$7)^MAX(0,(12*(YEAR(AR$3)-YEAR($B$7))+MONTH(AR$3)-MONTH($B$7)))*(1+IF(MONTH(AR$3)=1,'Вводные'!$B$67,IF(AND(MONTH(AR$3)&gt;=5,MONTH(AR$3)&lt;=8),'Вводные'!$B$70,0))),0)</x:f>
      </x:c>
      <x:c r="AS10" t="n">
        <x:f>IF(AND(AS$3&gt;=$B$7,AS$3&lt;EDATE($B$7,MAX(1,'Вводные'!$H$88)),'Вводные'!$B$88="Да"),(1+'Вводные'!$AD$88*'Вводные'!$H$7)^MAX(0,(12*(YEAR(AS$3)-YEAR($B$7))+MONTH(AS$3)-MONTH($B$7)))*(1+IF(MONTH(AS$3)=1,'Вводные'!$B$67,IF(AND(MONTH(AS$3)&gt;=5,MONTH(AS$3)&lt;=8),'Вводные'!$B$70,0))),0)</x:f>
      </x:c>
      <x:c r="AT10" t="n">
        <x:f>IF(AND(AT$3&gt;=$B$7,AT$3&lt;EDATE($B$7,MAX(1,'Вводные'!$H$88)),'Вводные'!$B$88="Да"),(1+'Вводные'!$AD$88*'Вводные'!$H$7)^MAX(0,(12*(YEAR(AT$3)-YEAR($B$7))+MONTH(AT$3)-MONTH($B$7)))*(1+IF(MONTH(AT$3)=1,'Вводные'!$B$67,IF(AND(MONTH(AT$3)&gt;=5,MONTH(AT$3)&lt;=8),'Вводные'!$B$70,0))),0)</x:f>
      </x:c>
      <x:c r="AU10" t="n">
        <x:f>IF(AND(AU$3&gt;=$B$7,AU$3&lt;EDATE($B$7,MAX(1,'Вводные'!$H$88)),'Вводные'!$B$88="Да"),(1+'Вводные'!$AD$88*'Вводные'!$H$7)^MAX(0,(12*(YEAR(AU$3)-YEAR($B$7))+MONTH(AU$3)-MONTH($B$7)))*(1+IF(MONTH(AU$3)=1,'Вводные'!$B$67,IF(AND(MONTH(AU$3)&gt;=5,MONTH(AU$3)&lt;=8),'Вводные'!$B$70,0))),0)</x:f>
      </x:c>
      <x:c r="AV10" t="n">
        <x:f>IF(AND(AV$3&gt;=$B$7,AV$3&lt;EDATE($B$7,MAX(1,'Вводные'!$H$88)),'Вводные'!$B$88="Да"),(1+'Вводные'!$AD$88*'Вводные'!$H$7)^MAX(0,(12*(YEAR(AV$3)-YEAR($B$7))+MONTH(AV$3)-MONTH($B$7)))*(1+IF(MONTH(AV$3)=1,'Вводные'!$B$67,IF(AND(MONTH(AV$3)&gt;=5,MONTH(AV$3)&lt;=8),'Вводные'!$B$70,0))),0)</x:f>
      </x:c>
      <x:c r="AW10" t="n">
        <x:f>IF(AND(AW$3&gt;=$B$7,AW$3&lt;EDATE($B$7,MAX(1,'Вводные'!$H$88)),'Вводные'!$B$88="Да"),(1+'Вводные'!$AD$88*'Вводные'!$H$7)^MAX(0,(12*(YEAR(AW$3)-YEAR($B$7))+MONTH(AW$3)-MONTH($B$7)))*(1+IF(MONTH(AW$3)=1,'Вводные'!$B$67,IF(AND(MONTH(AW$3)&gt;=5,MONTH(AW$3)&lt;=8),'Вводные'!$B$70,0))),0)</x:f>
      </x:c>
      <x:c r="AX10" t="n">
        <x:f>IF(AND(AX$3&gt;=$B$7,AX$3&lt;EDATE($B$7,MAX(1,'Вводные'!$H$88)),'Вводные'!$B$88="Да"),(1+'Вводные'!$AD$88*'Вводные'!$H$7)^MAX(0,(12*(YEAR(AX$3)-YEAR($B$7))+MONTH(AX$3)-MONTH($B$7)))*(1+IF(MONTH(AX$3)=1,'Вводные'!$B$67,IF(AND(MONTH(AX$3)&gt;=5,MONTH(AX$3)&lt;=8),'Вводные'!$B$70,0))),0)</x:f>
      </x:c>
      <x:c r="AY10" t="n">
        <x:f>IF(AND(AY$3&gt;=$B$7,AY$3&lt;EDATE($B$7,MAX(1,'Вводные'!$H$88)),'Вводные'!$B$88="Да"),(1+'Вводные'!$AD$88*'Вводные'!$H$7)^MAX(0,(12*(YEAR(AY$3)-YEAR($B$7))+MONTH(AY$3)-MONTH($B$7)))*(1+IF(MONTH(AY$3)=1,'Вводные'!$B$67,IF(AND(MONTH(AY$3)&gt;=5,MONTH(AY$3)&lt;=8),'Вводные'!$B$70,0))),0)</x:f>
      </x:c>
      <x:c r="AZ10" t="n">
        <x:f>IF(AND(AZ$3&gt;=$B$7,AZ$3&lt;EDATE($B$7,MAX(1,'Вводные'!$H$88)),'Вводные'!$B$88="Да"),(1+'Вводные'!$AD$88*'Вводные'!$H$7)^MAX(0,(12*(YEAR(AZ$3)-YEAR($B$7))+MONTH(AZ$3)-MONTH($B$7)))*(1+IF(MONTH(AZ$3)=1,'Вводные'!$B$67,IF(AND(MONTH(AZ$3)&gt;=5,MONTH(AZ$3)&lt;=8),'Вводные'!$B$70,0))),0)</x:f>
      </x:c>
      <x:c r="BA10" t="n">
        <x:f>IF(AND(BA$3&gt;=$B$7,BA$3&lt;EDATE($B$7,MAX(1,'Вводные'!$H$88)),'Вводные'!$B$88="Да"),(1+'Вводные'!$AD$88*'Вводные'!$H$7)^MAX(0,(12*(YEAR(BA$3)-YEAR($B$7))+MONTH(BA$3)-MONTH($B$7)))*(1+IF(MONTH(BA$3)=1,'Вводные'!$B$67,IF(AND(MONTH(BA$3)&gt;=5,MONTH(BA$3)&lt;=8),'Вводные'!$B$70,0))),0)</x:f>
      </x:c>
      <x:c r="BB10" t="n">
        <x:f>IF(AND(BB$3&gt;=$B$7,BB$3&lt;EDATE($B$7,MAX(1,'Вводные'!$H$88)),'Вводные'!$B$88="Да"),(1+'Вводные'!$AD$88*'Вводные'!$H$7)^MAX(0,(12*(YEAR(BB$3)-YEAR($B$7))+MONTH(BB$3)-MONTH($B$7)))*(1+IF(MONTH(BB$3)=1,'Вводные'!$B$67,IF(AND(MONTH(BB$3)&gt;=5,MONTH(BB$3)&lt;=8),'Вводные'!$B$70,0))),0)</x:f>
      </x:c>
      <x:c r="BC10" t="n">
        <x:f>IF(AND(BC$3&gt;=$B$7,BC$3&lt;EDATE($B$7,MAX(1,'Вводные'!$H$88)),'Вводные'!$B$88="Да"),(1+'Вводные'!$AD$88*'Вводные'!$H$7)^MAX(0,(12*(YEAR(BC$3)-YEAR($B$7))+MONTH(BC$3)-MONTH($B$7)))*(1+IF(MONTH(BC$3)=1,'Вводные'!$B$67,IF(AND(MONTH(BC$3)&gt;=5,MONTH(BC$3)&lt;=8),'Вводные'!$B$70,0))),0)</x:f>
      </x:c>
      <x:c r="BD10" t="n">
        <x:f>IF(AND(BD$3&gt;=$B$7,BD$3&lt;EDATE($B$7,MAX(1,'Вводные'!$H$88)),'Вводные'!$B$88="Да"),(1+'Вводные'!$AD$88*'Вводные'!$H$7)^MAX(0,(12*(YEAR(BD$3)-YEAR($B$7))+MONTH(BD$3)-MONTH($B$7)))*(1+IF(MONTH(BD$3)=1,'Вводные'!$B$67,IF(AND(MONTH(BD$3)&gt;=5,MONTH(BD$3)&lt;=8),'Вводные'!$B$70,0))),0)</x:f>
      </x:c>
      <x:c r="BE10" t="n">
        <x:f>IF(AND(BE$3&gt;=$B$7,BE$3&lt;EDATE($B$7,MAX(1,'Вводные'!$H$88)),'Вводные'!$B$88="Да"),(1+'Вводные'!$AD$88*'Вводные'!$H$7)^MAX(0,(12*(YEAR(BE$3)-YEAR($B$7))+MONTH(BE$3)-MONTH($B$7)))*(1+IF(MONTH(BE$3)=1,'Вводные'!$B$67,IF(AND(MONTH(BE$3)&gt;=5,MONTH(BE$3)&lt;=8),'Вводные'!$B$70,0))),0)</x:f>
      </x:c>
      <x:c r="BF10" t="n">
        <x:f>IF(AND(BF$3&gt;=$B$7,BF$3&lt;EDATE($B$7,MAX(1,'Вводные'!$H$88)),'Вводные'!$B$88="Да"),(1+'Вводные'!$AD$88*'Вводные'!$H$7)^MAX(0,(12*(YEAR(BF$3)-YEAR($B$7))+MONTH(BF$3)-MONTH($B$7)))*(1+IF(MONTH(BF$3)=1,'Вводные'!$B$67,IF(AND(MONTH(BF$3)&gt;=5,MONTH(BF$3)&lt;=8),'Вводные'!$B$70,0))),0)</x:f>
      </x:c>
      <x:c r="BG10" t="n">
        <x:f>IF(AND(BG$3&gt;=$B$7,BG$3&lt;EDATE($B$7,MAX(1,'Вводные'!$H$88)),'Вводные'!$B$88="Да"),(1+'Вводные'!$AD$88*'Вводные'!$H$7)^MAX(0,(12*(YEAR(BG$3)-YEAR($B$7))+MONTH(BG$3)-MONTH($B$7)))*(1+IF(MONTH(BG$3)=1,'Вводные'!$B$67,IF(AND(MONTH(BG$3)&gt;=5,MONTH(BG$3)&lt;=8),'Вводные'!$B$70,0))),0)</x:f>
      </x:c>
      <x:c r="BH10" t="n">
        <x:f>IF(AND(BH$3&gt;=$B$7,BH$3&lt;EDATE($B$7,MAX(1,'Вводные'!$H$88)),'Вводные'!$B$88="Да"),(1+'Вводные'!$AD$88*'Вводные'!$H$7)^MAX(0,(12*(YEAR(BH$3)-YEAR($B$7))+MONTH(BH$3)-MONTH($B$7)))*(1+IF(MONTH(BH$3)=1,'Вводные'!$B$67,IF(AND(MONTH(BH$3)&gt;=5,MONTH(BH$3)&lt;=8),'Вводные'!$B$70,0))),0)</x:f>
      </x:c>
      <x:c r="BI10" t="n">
        <x:f>IF(AND(BI$3&gt;=$B$7,BI$3&lt;EDATE($B$7,MAX(1,'Вводные'!$H$88)),'Вводные'!$B$88="Да"),(1+'Вводные'!$AD$88*'Вводные'!$H$7)^MAX(0,(12*(YEAR(BI$3)-YEAR($B$7))+MONTH(BI$3)-MONTH($B$7)))*(1+IF(MONTH(BI$3)=1,'Вводные'!$B$67,IF(AND(MONTH(BI$3)&gt;=5,MONTH(BI$3)&lt;=8),'Вводные'!$B$70,0))),0)</x:f>
      </x:c>
      <x:c r="BJ10" t="n">
        <x:f>IF(AND(BJ$3&gt;=$B$7,BJ$3&lt;EDATE($B$7,MAX(1,'Вводные'!$H$88)),'Вводные'!$B$88="Да"),(1+'Вводные'!$AD$88*'Вводные'!$H$7)^MAX(0,(12*(YEAR(BJ$3)-YEAR($B$7))+MONTH(BJ$3)-MONTH($B$7)))*(1+IF(MONTH(BJ$3)=1,'Вводные'!$B$67,IF(AND(MONTH(BJ$3)&gt;=5,MONTH(BJ$3)&lt;=8),'Вводные'!$B$70,0))),0)</x:f>
      </x:c>
      <x:c r="BK10" t="n">
        <x:f>IF(AND(BK$3&gt;=$B$7,BK$3&lt;EDATE($B$7,MAX(1,'Вводные'!$H$88)),'Вводные'!$B$88="Да"),(1+'Вводные'!$AD$88*'Вводные'!$H$7)^MAX(0,(12*(YEAR(BK$3)-YEAR($B$7))+MONTH(BK$3)-MONTH($B$7)))*(1+IF(MONTH(BK$3)=1,'Вводные'!$B$67,IF(AND(MONTH(BK$3)&gt;=5,MONTH(BK$3)&lt;=8),'Вводные'!$B$70,0))),0)</x:f>
      </x:c>
      <x:c r="BL10" t="n">
        <x:f>IF(AND(BL$3&gt;=$B$7,BL$3&lt;EDATE($B$7,MAX(1,'Вводные'!$H$88)),'Вводные'!$B$88="Да"),(1+'Вводные'!$AD$88*'Вводные'!$H$7)^MAX(0,(12*(YEAR(BL$3)-YEAR($B$7))+MONTH(BL$3)-MONTH($B$7)))*(1+IF(MONTH(BL$3)=1,'Вводные'!$B$67,IF(AND(MONTH(BL$3)&gt;=5,MONTH(BL$3)&lt;=8),'Вводные'!$B$70,0))),0)</x:f>
      </x:c>
      <x:c r="BM10" t="n">
        <x:f>IF(AND(BM$3&gt;=$B$7,BM$3&lt;EDATE($B$7,MAX(1,'Вводные'!$H$88)),'Вводные'!$B$88="Да"),(1+'Вводные'!$AD$88*'Вводные'!$H$7)^MAX(0,(12*(YEAR(BM$3)-YEAR($B$7))+MONTH(BM$3)-MONTH($B$7)))*(1+IF(MONTH(BM$3)=1,'Вводные'!$B$67,IF(AND(MONTH(BM$3)&gt;=5,MONTH(BM$3)&lt;=8),'Вводные'!$B$70,0))),0)</x:f>
      </x:c>
      <x:c r="BN10" t="n">
        <x:f>IF(AND(BN$3&gt;=$B$7,BN$3&lt;EDATE($B$7,MAX(1,'Вводные'!$H$88)),'Вводные'!$B$88="Да"),(1+'Вводные'!$AD$88*'Вводные'!$H$7)^MAX(0,(12*(YEAR(BN$3)-YEAR($B$7))+MONTH(BN$3)-MONTH($B$7)))*(1+IF(MONTH(BN$3)=1,'Вводные'!$B$67,IF(AND(MONTH(BN$3)&gt;=5,MONTH(BN$3)&lt;=8),'Вводные'!$B$70,0))),0)</x:f>
      </x:c>
      <x:c r="BO10" t="n">
        <x:f>IF(AND(BO$3&gt;=$B$7,BO$3&lt;EDATE($B$7,MAX(1,'Вводные'!$H$88)),'Вводные'!$B$88="Да"),(1+'Вводные'!$AD$88*'Вводные'!$H$7)^MAX(0,(12*(YEAR(BO$3)-YEAR($B$7))+MONTH(BO$3)-MONTH($B$7)))*(1+IF(MONTH(BO$3)=1,'Вводные'!$B$67,IF(AND(MONTH(BO$3)&gt;=5,MONTH(BO$3)&lt;=8),'Вводные'!$B$70,0))),0)</x:f>
      </x:c>
      <x:c r="BP10" t="n">
        <x:f>IF(AND(BP$3&gt;=$B$7,BP$3&lt;EDATE($B$7,MAX(1,'Вводные'!$H$88)),'Вводные'!$B$88="Да"),(1+'Вводные'!$AD$88*'Вводные'!$H$7)^MAX(0,(12*(YEAR(BP$3)-YEAR($B$7))+MONTH(BP$3)-MONTH($B$7)))*(1+IF(MONTH(BP$3)=1,'Вводные'!$B$67,IF(AND(MONTH(BP$3)&gt;=5,MONTH(BP$3)&lt;=8),'Вводные'!$B$70,0))),0)</x:f>
      </x:c>
      <x:c r="BQ10" t="n">
        <x:f>IF(AND(BQ$3&gt;=$B$7,BQ$3&lt;EDATE($B$7,MAX(1,'Вводные'!$H$88)),'Вводные'!$B$88="Да"),(1+'Вводные'!$AD$88*'Вводные'!$H$7)^MAX(0,(12*(YEAR(BQ$3)-YEAR($B$7))+MONTH(BQ$3)-MONTH($B$7)))*(1+IF(MONTH(BQ$3)=1,'Вводные'!$B$67,IF(AND(MONTH(BQ$3)&gt;=5,MONTH(BQ$3)&lt;=8),'Вводные'!$B$70,0))),0)</x:f>
      </x:c>
      <x:c r="BR10" t="n">
        <x:f>IF(AND(BR$3&gt;=$B$7,BR$3&lt;EDATE($B$7,MAX(1,'Вводные'!$H$88)),'Вводные'!$B$88="Да"),(1+'Вводные'!$AD$88*'Вводные'!$H$7)^MAX(0,(12*(YEAR(BR$3)-YEAR($B$7))+MONTH(BR$3)-MONTH($B$7)))*(1+IF(MONTH(BR$3)=1,'Вводные'!$B$67,IF(AND(MONTH(BR$3)&gt;=5,MONTH(BR$3)&lt;=8),'Вводные'!$B$70,0))),0)</x:f>
      </x:c>
      <x:c r="BS10" t="n">
        <x:f>IF(AND(BS$3&gt;=$B$7,BS$3&lt;EDATE($B$7,MAX(1,'Вводные'!$H$88)),'Вводные'!$B$88="Да"),(1+'Вводные'!$AD$88*'Вводные'!$H$7)^MAX(0,(12*(YEAR(BS$3)-YEAR($B$7))+MONTH(BS$3)-MONTH($B$7)))*(1+IF(MONTH(BS$3)=1,'Вводные'!$B$67,IF(AND(MONTH(BS$3)&gt;=5,MONTH(BS$3)&lt;=8),'Вводные'!$B$70,0))),0)</x:f>
      </x:c>
      <x:c r="BT10" t="n">
        <x:f>IF(AND(BT$3&gt;=$B$7,BT$3&lt;EDATE($B$7,MAX(1,'Вводные'!$H$88)),'Вводные'!$B$88="Да"),(1+'Вводные'!$AD$88*'Вводные'!$H$7)^MAX(0,(12*(YEAR(BT$3)-YEAR($B$7))+MONTH(BT$3)-MONTH($B$7)))*(1+IF(MONTH(BT$3)=1,'Вводные'!$B$67,IF(AND(MONTH(BT$3)&gt;=5,MONTH(BT$3)&lt;=8),'Вводные'!$B$70,0))),0)</x:f>
      </x:c>
      <x:c r="BU10" t="n">
        <x:f>IF(AND(BU$3&gt;=$B$7,BU$3&lt;EDATE($B$7,MAX(1,'Вводные'!$H$88)),'Вводные'!$B$88="Да"),(1+'Вводные'!$AD$88*'Вводные'!$H$7)^MAX(0,(12*(YEAR(BU$3)-YEAR($B$7))+MONTH(BU$3)-MONTH($B$7)))*(1+IF(MONTH(BU$3)=1,'Вводные'!$B$67,IF(AND(MONTH(BU$3)&gt;=5,MONTH(BU$3)&lt;=8),'Вводные'!$B$70,0))),0)</x:f>
      </x:c>
      <x:c r="BV10" t="n">
        <x:f>IF(AND(BV$3&gt;=$B$7,BV$3&lt;EDATE($B$7,MAX(1,'Вводные'!$H$88)),'Вводные'!$B$88="Да"),(1+'Вводные'!$AD$88*'Вводные'!$H$7)^MAX(0,(12*(YEAR(BV$3)-YEAR($B$7))+MONTH(BV$3)-MONTH($B$7)))*(1+IF(MONTH(BV$3)=1,'Вводные'!$B$67,IF(AND(MONTH(BV$3)&gt;=5,MONTH(BV$3)&lt;=8),'Вводные'!$B$70,0))),0)</x:f>
      </x:c>
      <x:c r="BW10" t="n">
        <x:f>IF(AND(BW$3&gt;=$B$7,BW$3&lt;EDATE($B$7,MAX(1,'Вводные'!$H$88)),'Вводные'!$B$88="Да"),(1+'Вводные'!$AD$88*'Вводные'!$H$7)^MAX(0,(12*(YEAR(BW$3)-YEAR($B$7))+MONTH(BW$3)-MONTH($B$7)))*(1+IF(MONTH(BW$3)=1,'Вводные'!$B$67,IF(AND(MONTH(BW$3)&gt;=5,MONTH(BW$3)&lt;=8),'Вводные'!$B$70,0))),0)</x:f>
      </x:c>
      <x:c r="BX10" t="n">
        <x:f>IF(AND(BX$3&gt;=$B$7,BX$3&lt;EDATE($B$7,MAX(1,'Вводные'!$H$88)),'Вводные'!$B$88="Да"),(1+'Вводные'!$AD$88*'Вводные'!$H$7)^MAX(0,(12*(YEAR(BX$3)-YEAR($B$7))+MONTH(BX$3)-MONTH($B$7)))*(1+IF(MONTH(BX$3)=1,'Вводные'!$B$67,IF(AND(MONTH(BX$3)&gt;=5,MONTH(BX$3)&lt;=8),'Вводные'!$B$70,0))),0)</x:f>
      </x:c>
      <x:c r="BY10" t="n">
        <x:f>IF(AND(BY$3&gt;=$B$7,BY$3&lt;EDATE($B$7,MAX(1,'Вводные'!$H$88)),'Вводные'!$B$88="Да"),(1+'Вводные'!$AD$88*'Вводные'!$H$7)^MAX(0,(12*(YEAR(BY$3)-YEAR($B$7))+MONTH(BY$3)-MONTH($B$7)))*(1+IF(MONTH(BY$3)=1,'Вводные'!$B$67,IF(AND(MONTH(BY$3)&gt;=5,MONTH(BY$3)&lt;=8),'Вводные'!$B$70,0))),0)</x:f>
      </x:c>
      <x:c r="BZ10" t="n">
        <x:f>IF(AND(BZ$3&gt;=$B$7,BZ$3&lt;EDATE($B$7,MAX(1,'Вводные'!$H$88)),'Вводные'!$B$88="Да"),(1+'Вводные'!$AD$88*'Вводные'!$H$7)^MAX(0,(12*(YEAR(BZ$3)-YEAR($B$7))+MONTH(BZ$3)-MONTH($B$7)))*(1+IF(MONTH(BZ$3)=1,'Вводные'!$B$67,IF(AND(MONTH(BZ$3)&gt;=5,MONTH(BZ$3)&lt;=8),'Вводные'!$B$70,0))),0)</x:f>
      </x:c>
      <x:c r="CA10" t="n">
        <x:f>IF(AND(CA$3&gt;=$B$7,CA$3&lt;EDATE($B$7,MAX(1,'Вводные'!$H$88)),'Вводные'!$B$88="Да"),(1+'Вводные'!$AD$88*'Вводные'!$H$7)^MAX(0,(12*(YEAR(CA$3)-YEAR($B$7))+MONTH(CA$3)-MONTH($B$7)))*(1+IF(MONTH(CA$3)=1,'Вводные'!$B$67,IF(AND(MONTH(CA$3)&gt;=5,MONTH(CA$3)&lt;=8),'Вводные'!$B$70,0))),0)</x:f>
      </x:c>
      <x:c r="CB10" t="n">
        <x:f>IF(AND(CB$3&gt;=$B$7,CB$3&lt;EDATE($B$7,MAX(1,'Вводные'!$H$88)),'Вводные'!$B$88="Да"),(1+'Вводные'!$AD$88*'Вводные'!$H$7)^MAX(0,(12*(YEAR(CB$3)-YEAR($B$7))+MONTH(CB$3)-MONTH($B$7)))*(1+IF(MONTH(CB$3)=1,'Вводные'!$B$67,IF(AND(MONTH(CB$3)&gt;=5,MONTH(CB$3)&lt;=8),'Вводные'!$B$70,0))),0)</x:f>
      </x:c>
      <x:c r="CC10" t="n">
        <x:f>IF(AND(CC$3&gt;=$B$7,CC$3&lt;EDATE($B$7,MAX(1,'Вводные'!$H$88)),'Вводные'!$B$88="Да"),(1+'Вводные'!$AD$88*'Вводные'!$H$7)^MAX(0,(12*(YEAR(CC$3)-YEAR($B$7))+MONTH(CC$3)-MONTH($B$7)))*(1+IF(MONTH(CC$3)=1,'Вводные'!$B$67,IF(AND(MONTH(CC$3)&gt;=5,MONTH(CC$3)&lt;=8),'Вводные'!$B$70,0))),0)</x:f>
      </x:c>
      <x:c r="CD10" t="n">
        <x:f>IF(AND(CD$3&gt;=$B$7,CD$3&lt;EDATE($B$7,MAX(1,'Вводные'!$H$88)),'Вводные'!$B$88="Да"),(1+'Вводные'!$AD$88*'Вводные'!$H$7)^MAX(0,(12*(YEAR(CD$3)-YEAR($B$7))+MONTH(CD$3)-MONTH($B$7)))*(1+IF(MONTH(CD$3)=1,'Вводные'!$B$67,IF(AND(MONTH(CD$3)&gt;=5,MONTH(CD$3)&lt;=8),'Вводные'!$B$70,0))),0)</x:f>
      </x:c>
      <x:c r="CE10" t="n">
        <x:f>IF(AND(CE$3&gt;=$B$7,CE$3&lt;EDATE($B$7,MAX(1,'Вводные'!$H$88)),'Вводные'!$B$88="Да"),(1+'Вводные'!$AD$88*'Вводные'!$H$7)^MAX(0,(12*(YEAR(CE$3)-YEAR($B$7))+MONTH(CE$3)-MONTH($B$7)))*(1+IF(MONTH(CE$3)=1,'Вводные'!$B$67,IF(AND(MONTH(CE$3)&gt;=5,MONTH(CE$3)&lt;=8),'Вводные'!$B$70,0))),0)</x:f>
      </x:c>
      <x:c r="CF10" t="n">
        <x:f>IF(AND(CF$3&gt;=$B$7,CF$3&lt;EDATE($B$7,MAX(1,'Вводные'!$H$88)),'Вводные'!$B$88="Да"),(1+'Вводные'!$AD$88*'Вводные'!$H$7)^MAX(0,(12*(YEAR(CF$3)-YEAR($B$7))+MONTH(CF$3)-MONTH($B$7)))*(1+IF(MONTH(CF$3)=1,'Вводные'!$B$67,IF(AND(MONTH(CF$3)&gt;=5,MONTH(CF$3)&lt;=8),'Вводные'!$B$70,0))),0)</x:f>
      </x:c>
      <x:c r="CG10" t="n">
        <x:f>IF(AND(CG$3&gt;=$B$7,CG$3&lt;EDATE($B$7,MAX(1,'Вводные'!$H$88)),'Вводные'!$B$88="Да"),(1+'Вводные'!$AD$88*'Вводные'!$H$7)^MAX(0,(12*(YEAR(CG$3)-YEAR($B$7))+MONTH(CG$3)-MONTH($B$7)))*(1+IF(MONTH(CG$3)=1,'Вводные'!$B$67,IF(AND(MONTH(CG$3)&gt;=5,MONTH(CG$3)&lt;=8),'Вводные'!$B$70,0))),0)</x:f>
      </x:c>
      <x:c r="CH10" t="n">
        <x:f>IF(AND(CH$3&gt;=$B$7,CH$3&lt;EDATE($B$7,MAX(1,'Вводные'!$H$88)),'Вводные'!$B$88="Да"),(1+'Вводные'!$AD$88*'Вводные'!$H$7)^MAX(0,(12*(YEAR(CH$3)-YEAR($B$7))+MONTH(CH$3)-MONTH($B$7)))*(1+IF(MONTH(CH$3)=1,'Вводные'!$B$67,IF(AND(MONTH(CH$3)&gt;=5,MONTH(CH$3)&lt;=8),'Вводные'!$B$70,0))),0)</x:f>
      </x:c>
      <x:c r="CI10" t="n">
        <x:f>IF(AND(CI$3&gt;=$B$7,CI$3&lt;EDATE($B$7,MAX(1,'Вводные'!$H$88)),'Вводные'!$B$88="Да"),(1+'Вводные'!$AD$88*'Вводные'!$H$7)^MAX(0,(12*(YEAR(CI$3)-YEAR($B$7))+MONTH(CI$3)-MONTH($B$7)))*(1+IF(MONTH(CI$3)=1,'Вводные'!$B$67,IF(AND(MONTH(CI$3)&gt;=5,MONTH(CI$3)&lt;=8),'Вводные'!$B$70,0))),0)</x:f>
      </x:c>
      <x:c r="CJ10" t="n">
        <x:f>IF(AND(CJ$3&gt;=$B$7,CJ$3&lt;EDATE($B$7,MAX(1,'Вводные'!$H$88)),'Вводные'!$B$88="Да"),(1+'Вводные'!$AD$88*'Вводные'!$H$7)^MAX(0,(12*(YEAR(CJ$3)-YEAR($B$7))+MONTH(CJ$3)-MONTH($B$7)))*(1+IF(MONTH(CJ$3)=1,'Вводные'!$B$67,IF(AND(MONTH(CJ$3)&gt;=5,MONTH(CJ$3)&lt;=8),'Вводные'!$B$70,0))),0)</x:f>
      </x:c>
      <x:c r="CK10" t="n">
        <x:f>IF(AND(CK$3&gt;=$B$7,CK$3&lt;EDATE($B$7,MAX(1,'Вводные'!$H$88)),'Вводные'!$B$88="Да"),(1+'Вводные'!$AD$88*'Вводные'!$H$7)^MAX(0,(12*(YEAR(CK$3)-YEAR($B$7))+MONTH(CK$3)-MONTH($B$7)))*(1+IF(MONTH(CK$3)=1,'Вводные'!$B$67,IF(AND(MONTH(CK$3)&gt;=5,MONTH(CK$3)&lt;=8),'Вводные'!$B$70,0))),0)</x:f>
      </x:c>
      <x:c r="CL10" t="n">
        <x:f>IF(AND(CL$3&gt;=$B$7,CL$3&lt;EDATE($B$7,MAX(1,'Вводные'!$H$88)),'Вводные'!$B$88="Да"),(1+'Вводные'!$AD$88*'Вводные'!$H$7)^MAX(0,(12*(YEAR(CL$3)-YEAR($B$7))+MONTH(CL$3)-MONTH($B$7)))*(1+IF(MONTH(CL$3)=1,'Вводные'!$B$67,IF(AND(MONTH(CL$3)&gt;=5,MONTH(CL$3)&lt;=8),'Вводные'!$B$70,0))),0)</x:f>
      </x:c>
      <x:c r="CM10" t="n">
        <x:f>IF(AND(CM$3&gt;=$B$7,CM$3&lt;EDATE($B$7,MAX(1,'Вводные'!$H$88)),'Вводные'!$B$88="Да"),(1+'Вводные'!$AD$88*'Вводные'!$H$7)^MAX(0,(12*(YEAR(CM$3)-YEAR($B$7))+MONTH(CM$3)-MONTH($B$7)))*(1+IF(MONTH(CM$3)=1,'Вводные'!$B$67,IF(AND(MONTH(CM$3)&gt;=5,MONTH(CM$3)&lt;=8),'Вводные'!$B$70,0))),0)</x:f>
      </x:c>
      <x:c r="CN10" t="n">
        <x:f>IF(AND(CN$3&gt;=$B$7,CN$3&lt;EDATE($B$7,MAX(1,'Вводные'!$H$88)),'Вводные'!$B$88="Да"),(1+'Вводные'!$AD$88*'Вводные'!$H$7)^MAX(0,(12*(YEAR(CN$3)-YEAR($B$7))+MONTH(CN$3)-MONTH($B$7)))*(1+IF(MONTH(CN$3)=1,'Вводные'!$B$67,IF(AND(MONTH(CN$3)&gt;=5,MONTH(CN$3)&lt;=8),'Вводные'!$B$70,0))),0)</x:f>
      </x:c>
      <x:c r="CO10" t="n">
        <x:f>IF(AND(CO$3&gt;=$B$7,CO$3&lt;EDATE($B$7,MAX(1,'Вводные'!$H$88)),'Вводные'!$B$88="Да"),(1+'Вводные'!$AD$88*'Вводные'!$H$7)^MAX(0,(12*(YEAR(CO$3)-YEAR($B$7))+MONTH(CO$3)-MONTH($B$7)))*(1+IF(MONTH(CO$3)=1,'Вводные'!$B$67,IF(AND(MONTH(CO$3)&gt;=5,MONTH(CO$3)&lt;=8),'Вводные'!$B$70,0))),0)</x:f>
      </x:c>
      <x:c r="CP10" t="n">
        <x:f>IF(AND(CP$3&gt;=$B$7,CP$3&lt;EDATE($B$7,MAX(1,'Вводные'!$H$88)),'Вводные'!$B$88="Да"),(1+'Вводные'!$AD$88*'Вводные'!$H$7)^MAX(0,(12*(YEAR(CP$3)-YEAR($B$7))+MONTH(CP$3)-MONTH($B$7)))*(1+IF(MONTH(CP$3)=1,'Вводные'!$B$67,IF(AND(MONTH(CP$3)&gt;=5,MONTH(CP$3)&lt;=8),'Вводные'!$B$70,0))),0)</x:f>
      </x:c>
      <x:c r="CQ10" t="n">
        <x:f>IF(AND(CQ$3&gt;=$B$7,CQ$3&lt;EDATE($B$7,MAX(1,'Вводные'!$H$88)),'Вводные'!$B$88="Да"),(1+'Вводные'!$AD$88*'Вводные'!$H$7)^MAX(0,(12*(YEAR(CQ$3)-YEAR($B$7))+MONTH(CQ$3)-MONTH($B$7)))*(1+IF(MONTH(CQ$3)=1,'Вводные'!$B$67,IF(AND(MONTH(CQ$3)&gt;=5,MONTH(CQ$3)&lt;=8),'Вводные'!$B$70,0))),0)</x:f>
      </x:c>
      <x:c r="CR10" t="n">
        <x:f>IF(AND(CR$3&gt;=$B$7,CR$3&lt;EDATE($B$7,MAX(1,'Вводные'!$H$88)),'Вводные'!$B$88="Да"),(1+'Вводные'!$AD$88*'Вводные'!$H$7)^MAX(0,(12*(YEAR(CR$3)-YEAR($B$7))+MONTH(CR$3)-MONTH($B$7)))*(1+IF(MONTH(CR$3)=1,'Вводные'!$B$67,IF(AND(MONTH(CR$3)&gt;=5,MONTH(CR$3)&lt;=8),'Вводные'!$B$70,0))),0)</x:f>
      </x:c>
      <x:c r="CS10" t="n">
        <x:f>IF(AND(CS$3&gt;=$B$7,CS$3&lt;EDATE($B$7,MAX(1,'Вводные'!$H$88)),'Вводные'!$B$88="Да"),(1+'Вводные'!$AD$88*'Вводные'!$H$7)^MAX(0,(12*(YEAR(CS$3)-YEAR($B$7))+MONTH(CS$3)-MONTH($B$7)))*(1+IF(MONTH(CS$3)=1,'Вводные'!$B$67,IF(AND(MONTH(CS$3)&gt;=5,MONTH(CS$3)&lt;=8),'Вводные'!$B$70,0))),0)</x:f>
      </x:c>
      <x:c r="CT10" t="n">
        <x:f>IF(AND(CT$3&gt;=$B$7,CT$3&lt;EDATE($B$7,MAX(1,'Вводные'!$H$88)),'Вводные'!$B$88="Да"),(1+'Вводные'!$AD$88*'Вводные'!$H$7)^MAX(0,(12*(YEAR(CT$3)-YEAR($B$7))+MONTH(CT$3)-MONTH($B$7)))*(1+IF(MONTH(CT$3)=1,'Вводные'!$B$67,IF(AND(MONTH(CT$3)&gt;=5,MONTH(CT$3)&lt;=8),'Вводные'!$B$70,0))),0)</x:f>
      </x:c>
      <x:c r="CU10" t="n">
        <x:f>IF(AND(CU$3&gt;=$B$7,CU$3&lt;EDATE($B$7,MAX(1,'Вводные'!$H$88)),'Вводные'!$B$88="Да"),(1+'Вводные'!$AD$88*'Вводные'!$H$7)^MAX(0,(12*(YEAR(CU$3)-YEAR($B$7))+MONTH(CU$3)-MONTH($B$7)))*(1+IF(MONTH(CU$3)=1,'Вводные'!$B$67,IF(AND(MONTH(CU$3)&gt;=5,MONTH(CU$3)&lt;=8),'Вводные'!$B$70,0))),0)</x:f>
      </x:c>
      <x:c r="CV10" t="n">
        <x:f>IF(AND(CV$3&gt;=$B$7,CV$3&lt;EDATE($B$7,MAX(1,'Вводные'!$H$88)),'Вводные'!$B$88="Да"),(1+'Вводные'!$AD$88*'Вводные'!$H$7)^MAX(0,(12*(YEAR(CV$3)-YEAR($B$7))+MONTH(CV$3)-MONTH($B$7)))*(1+IF(MONTH(CV$3)=1,'Вводные'!$B$67,IF(AND(MONTH(CV$3)&gt;=5,MONTH(CV$3)&lt;=8),'Вводные'!$B$70,0))),0)</x:f>
      </x:c>
      <x:c r="CW10" t="n">
        <x:f>IF(AND(CW$3&gt;=$B$7,CW$3&lt;EDATE($B$7,MAX(1,'Вводные'!$H$88)),'Вводные'!$B$88="Да"),(1+'Вводные'!$AD$88*'Вводные'!$H$7)^MAX(0,(12*(YEAR(CW$3)-YEAR($B$7))+MONTH(CW$3)-MONTH($B$7)))*(1+IF(MONTH(CW$3)=1,'Вводные'!$B$67,IF(AND(MONTH(CW$3)&gt;=5,MONTH(CW$3)&lt;=8),'Вводные'!$B$70,0))),0)</x:f>
      </x:c>
      <x:c r="CX10" t="n">
        <x:f>IF(AND(CX$3&gt;=$B$7,CX$3&lt;EDATE($B$7,MAX(1,'Вводные'!$H$88)),'Вводные'!$B$88="Да"),(1+'Вводные'!$AD$88*'Вводные'!$H$7)^MAX(0,(12*(YEAR(CX$3)-YEAR($B$7))+MONTH(CX$3)-MONTH($B$7)))*(1+IF(MONTH(CX$3)=1,'Вводные'!$B$67,IF(AND(MONTH(CX$3)&gt;=5,MONTH(CX$3)&lt;=8),'Вводные'!$B$70,0))),0)</x:f>
      </x:c>
      <x:c r="CY10" t="n">
        <x:f>IF(AND(CY$3&gt;=$B$7,CY$3&lt;EDATE($B$7,MAX(1,'Вводные'!$H$88)),'Вводные'!$B$88="Да"),(1+'Вводные'!$AD$88*'Вводные'!$H$7)^MAX(0,(12*(YEAR(CY$3)-YEAR($B$7))+MONTH(CY$3)-MONTH($B$7)))*(1+IF(MONTH(CY$3)=1,'Вводные'!$B$67,IF(AND(MONTH(CY$3)&gt;=5,MONTH(CY$3)&lt;=8),'Вводные'!$B$70,0))),0)</x:f>
      </x:c>
      <x:c r="CZ10" t="n">
        <x:f>IF(AND(CZ$3&gt;=$B$7,CZ$3&lt;EDATE($B$7,MAX(1,'Вводные'!$H$88)),'Вводные'!$B$88="Да"),(1+'Вводные'!$AD$88*'Вводные'!$H$7)^MAX(0,(12*(YEAR(CZ$3)-YEAR($B$7))+MONTH(CZ$3)-MONTH($B$7)))*(1+IF(MONTH(CZ$3)=1,'Вводные'!$B$67,IF(AND(MONTH(CZ$3)&gt;=5,MONTH(CZ$3)&lt;=8),'Вводные'!$B$70,0))),0)</x:f>
      </x:c>
      <x:c r="DA10" t="n">
        <x:f>IF(AND(DA$3&gt;=$B$7,DA$3&lt;EDATE($B$7,MAX(1,'Вводные'!$H$88)),'Вводные'!$B$88="Да"),(1+'Вводные'!$AD$88*'Вводные'!$H$7)^MAX(0,(12*(YEAR(DA$3)-YEAR($B$7))+MONTH(DA$3)-MONTH($B$7)))*(1+IF(MONTH(DA$3)=1,'Вводные'!$B$67,IF(AND(MONTH(DA$3)&gt;=5,MONTH(DA$3)&lt;=8),'Вводные'!$B$70,0))),0)</x:f>
      </x:c>
      <x:c r="DB10" t="n">
        <x:f>IF(AND(DB$3&gt;=$B$7,DB$3&lt;EDATE($B$7,MAX(1,'Вводные'!$H$88)),'Вводные'!$B$88="Да"),(1+'Вводные'!$AD$88*'Вводные'!$H$7)^MAX(0,(12*(YEAR(DB$3)-YEAR($B$7))+MONTH(DB$3)-MONTH($B$7)))*(1+IF(MONTH(DB$3)=1,'Вводные'!$B$67,IF(AND(MONTH(DB$3)&gt;=5,MONTH(DB$3)&lt;=8),'Вводные'!$B$70,0))),0)</x:f>
      </x:c>
      <x:c r="DC10" t="n">
        <x:f>IF(AND(DC$3&gt;=$B$7,DC$3&lt;EDATE($B$7,MAX(1,'Вводные'!$H$88)),'Вводные'!$B$88="Да"),(1+'Вводные'!$AD$88*'Вводные'!$H$7)^MAX(0,(12*(YEAR(DC$3)-YEAR($B$7))+MONTH(DC$3)-MONTH($B$7)))*(1+IF(MONTH(DC$3)=1,'Вводные'!$B$67,IF(AND(MONTH(DC$3)&gt;=5,MONTH(DC$3)&lt;=8),'Вводные'!$B$70,0))),0)</x:f>
      </x:c>
      <x:c r="DD10" t="n">
        <x:f>IF(AND(DD$3&gt;=$B$7,DD$3&lt;EDATE($B$7,MAX(1,'Вводные'!$H$88)),'Вводные'!$B$88="Да"),(1+'Вводные'!$AD$88*'Вводные'!$H$7)^MAX(0,(12*(YEAR(DD$3)-YEAR($B$7))+MONTH(DD$3)-MONTH($B$7)))*(1+IF(MONTH(DD$3)=1,'Вводные'!$B$67,IF(AND(MONTH(DD$3)&gt;=5,MONTH(DD$3)&lt;=8),'Вводные'!$B$70,0))),0)</x:f>
      </x:c>
      <x:c r="DE10" t="n">
        <x:f>IF(AND(DE$3&gt;=$B$7,DE$3&lt;EDATE($B$7,MAX(1,'Вводные'!$H$88)),'Вводные'!$B$88="Да"),(1+'Вводные'!$AD$88*'Вводные'!$H$7)^MAX(0,(12*(YEAR(DE$3)-YEAR($B$7))+MONTH(DE$3)-MONTH($B$7)))*(1+IF(MONTH(DE$3)=1,'Вводные'!$B$67,IF(AND(MONTH(DE$3)&gt;=5,MONTH(DE$3)&lt;=8),'Вводные'!$B$70,0))),0)</x:f>
      </x:c>
      <x:c r="DF10" t="n">
        <x:f>IF(AND(DF$3&gt;=$B$7,DF$3&lt;EDATE($B$7,MAX(1,'Вводные'!$H$88)),'Вводные'!$B$88="Да"),(1+'Вводные'!$AD$88*'Вводные'!$H$7)^MAX(0,(12*(YEAR(DF$3)-YEAR($B$7))+MONTH(DF$3)-MONTH($B$7)))*(1+IF(MONTH(DF$3)=1,'Вводные'!$B$67,IF(AND(MONTH(DF$3)&gt;=5,MONTH(DF$3)&lt;=8),'Вводные'!$B$70,0))),0)</x:f>
      </x:c>
      <x:c r="DG10" t="n">
        <x:f>IF(AND(DG$3&gt;=$B$7,DG$3&lt;EDATE($B$7,MAX(1,'Вводные'!$H$88)),'Вводные'!$B$88="Да"),(1+'Вводные'!$AD$88*'Вводные'!$H$7)^MAX(0,(12*(YEAR(DG$3)-YEAR($B$7))+MONTH(DG$3)-MONTH($B$7)))*(1+IF(MONTH(DG$3)=1,'Вводные'!$B$67,IF(AND(MONTH(DG$3)&gt;=5,MONTH(DG$3)&lt;=8),'Вводные'!$B$70,0))),0)</x:f>
      </x:c>
      <x:c r="DH10" t="n">
        <x:f>IF(AND(DH$3&gt;=$B$7,DH$3&lt;EDATE($B$7,MAX(1,'Вводные'!$H$88)),'Вводные'!$B$88="Да"),(1+'Вводные'!$AD$88*'Вводные'!$H$7)^MAX(0,(12*(YEAR(DH$3)-YEAR($B$7))+MONTH(DH$3)-MONTH($B$7)))*(1+IF(MONTH(DH$3)=1,'Вводные'!$B$67,IF(AND(MONTH(DH$3)&gt;=5,MONTH(DH$3)&lt;=8),'Вводные'!$B$70,0))),0)</x:f>
      </x:c>
      <x:c r="DI10" t="n">
        <x:f>IF(AND(DI$3&gt;=$B$7,DI$3&lt;EDATE($B$7,MAX(1,'Вводные'!$H$88)),'Вводные'!$B$88="Да"),(1+'Вводные'!$AD$88*'Вводные'!$H$7)^MAX(0,(12*(YEAR(DI$3)-YEAR($B$7))+MONTH(DI$3)-MONTH($B$7)))*(1+IF(MONTH(DI$3)=1,'Вводные'!$B$67,IF(AND(MONTH(DI$3)&gt;=5,MONTH(DI$3)&lt;=8),'Вводные'!$B$70,0))),0)</x:f>
      </x:c>
      <x:c r="DJ10" t="n">
        <x:f>IF(AND(DJ$3&gt;=$B$7,DJ$3&lt;EDATE($B$7,MAX(1,'Вводные'!$H$88)),'Вводные'!$B$88="Да"),(1+'Вводные'!$AD$88*'Вводные'!$H$7)^MAX(0,(12*(YEAR(DJ$3)-YEAR($B$7))+MONTH(DJ$3)-MONTH($B$7)))*(1+IF(MONTH(DJ$3)=1,'Вводные'!$B$67,IF(AND(MONTH(DJ$3)&gt;=5,MONTH(DJ$3)&lt;=8),'Вводные'!$B$70,0))),0)</x:f>
      </x:c>
      <x:c r="DK10" t="n">
        <x:f>IF(AND(DK$3&gt;=$B$7,DK$3&lt;EDATE($B$7,MAX(1,'Вводные'!$H$88)),'Вводные'!$B$88="Да"),(1+'Вводные'!$AD$88*'Вводные'!$H$7)^MAX(0,(12*(YEAR(DK$3)-YEAR($B$7))+MONTH(DK$3)-MONTH($B$7)))*(1+IF(MONTH(DK$3)=1,'Вводные'!$B$67,IF(AND(MONTH(DK$3)&gt;=5,MONTH(DK$3)&lt;=8),'Вводные'!$B$70,0))),0)</x:f>
      </x:c>
      <x:c r="DL10" t="n">
        <x:f>IF(AND(DL$3&gt;=$B$7,DL$3&lt;EDATE($B$7,MAX(1,'Вводные'!$H$88)),'Вводные'!$B$88="Да"),(1+'Вводные'!$AD$88*'Вводные'!$H$7)^MAX(0,(12*(YEAR(DL$3)-YEAR($B$7))+MONTH(DL$3)-MONTH($B$7)))*(1+IF(MONTH(DL$3)=1,'Вводные'!$B$67,IF(AND(MONTH(DL$3)&gt;=5,MONTH(DL$3)&lt;=8),'Вводные'!$B$70,0))),0)</x:f>
      </x:c>
      <x:c r="DM10" t="n">
        <x:f>IF(AND(DM$3&gt;=$B$7,DM$3&lt;EDATE($B$7,MAX(1,'Вводные'!$H$88)),'Вводные'!$B$88="Да"),(1+'Вводные'!$AD$88*'Вводные'!$H$7)^MAX(0,(12*(YEAR(DM$3)-YEAR($B$7))+MONTH(DM$3)-MONTH($B$7)))*(1+IF(MONTH(DM$3)=1,'Вводные'!$B$67,IF(AND(MONTH(DM$3)&gt;=5,MONTH(DM$3)&lt;=8),'Вводные'!$B$70,0))),0)</x:f>
      </x:c>
      <x:c r="DN10" t="n">
        <x:f>IF(AND(DN$3&gt;=$B$7,DN$3&lt;EDATE($B$7,MAX(1,'Вводные'!$H$88)),'Вводные'!$B$88="Да"),(1+'Вводные'!$AD$88*'Вводные'!$H$7)^MAX(0,(12*(YEAR(DN$3)-YEAR($B$7))+MONTH(DN$3)-MONTH($B$7)))*(1+IF(MONTH(DN$3)=1,'Вводные'!$B$67,IF(AND(MONTH(DN$3)&gt;=5,MONTH(DN$3)&lt;=8),'Вводные'!$B$70,0))),0)</x:f>
      </x:c>
      <x:c r="DO10" t="n">
        <x:f>IF(AND(DO$3&gt;=$B$7,DO$3&lt;EDATE($B$7,MAX(1,'Вводные'!$H$88)),'Вводные'!$B$88="Да"),(1+'Вводные'!$AD$88*'Вводные'!$H$7)^MAX(0,(12*(YEAR(DO$3)-YEAR($B$7))+MONTH(DO$3)-MONTH($B$7)))*(1+IF(MONTH(DO$3)=1,'Вводные'!$B$67,IF(AND(MONTH(DO$3)&gt;=5,MONTH(DO$3)&lt;=8),'Вводные'!$B$70,0))),0)</x:f>
      </x:c>
      <x:c r="DP10" t="n">
        <x:f>IF(AND(DP$3&gt;=$B$7,DP$3&lt;EDATE($B$7,MAX(1,'Вводные'!$H$88)),'Вводные'!$B$88="Да"),(1+'Вводные'!$AD$88*'Вводные'!$H$7)^MAX(0,(12*(YEAR(DP$3)-YEAR($B$7))+MONTH(DP$3)-MONTH($B$7)))*(1+IF(MONTH(DP$3)=1,'Вводные'!$B$67,IF(AND(MONTH(DP$3)&gt;=5,MONTH(DP$3)&lt;=8),'Вводные'!$B$70,0))),0)</x:f>
      </x:c>
      <x:c r="DQ10" t="n">
        <x:f>IF(AND(DQ$3&gt;=$B$7,DQ$3&lt;EDATE($B$7,MAX(1,'Вводные'!$H$88)),'Вводные'!$B$88="Да"),(1+'Вводные'!$AD$88*'Вводные'!$H$7)^MAX(0,(12*(YEAR(DQ$3)-YEAR($B$7))+MONTH(DQ$3)-MONTH($B$7)))*(1+IF(MONTH(DQ$3)=1,'Вводные'!$B$67,IF(AND(MONTH(DQ$3)&gt;=5,MONTH(DQ$3)&lt;=8),'Вводные'!$B$70,0))),0)</x:f>
      </x:c>
      <x:c r="DR10" t="n">
        <x:f>IF(AND(DR$3&gt;=$B$7,DR$3&lt;EDATE($B$7,MAX(1,'Вводные'!$H$88)),'Вводные'!$B$88="Да"),(1+'Вводные'!$AD$88*'Вводные'!$H$7)^MAX(0,(12*(YEAR(DR$3)-YEAR($B$7))+MONTH(DR$3)-MONTH($B$7)))*(1+IF(MONTH(DR$3)=1,'Вводные'!$B$67,IF(AND(MONTH(DR$3)&gt;=5,MONTH(DR$3)&lt;=8),'Вводные'!$B$70,0))),0)</x:f>
      </x:c>
      <x:c r="DS10" t="n">
        <x:f>IF(AND(DS$3&gt;=$B$7,DS$3&lt;EDATE($B$7,MAX(1,'Вводные'!$H$88)),'Вводные'!$B$88="Да"),(1+'Вводные'!$AD$88*'Вводные'!$H$7)^MAX(0,(12*(YEAR(DS$3)-YEAR($B$7))+MONTH(DS$3)-MONTH($B$7)))*(1+IF(MONTH(DS$3)=1,'Вводные'!$B$67,IF(AND(MONTH(DS$3)&gt;=5,MONTH(DS$3)&lt;=8),'Вводные'!$B$70,0))),0)</x:f>
      </x:c>
    </x:row>
    <x:row r="11">
      <x:c r="A11" t="str">
        <x:v>Нормированный вес до РВЭ</x:v>
      </x:c>
      <x:c r="B11" t="n">
        <x:f>SUM(D11:DS11)</x:f>
      </x:c>
      <x:c r="C11" t="str">
        <x:v>%</x:v>
      </x:c>
      <x:c r="D11" s="35" t="n">
        <x:f>IFERROR(D10*D9/SUMPRODUCT($D10:$DS10,$D9:$DS9),0)</x:f>
      </x:c>
      <x:c r="E11" s="35" t="n">
        <x:f>IFERROR(E10*E9/SUMPRODUCT($D10:$DS10,$D9:$DS9),0)</x:f>
      </x:c>
      <x:c r="F11" s="35" t="n">
        <x:f>IFERROR(F10*F9/SUMPRODUCT($D10:$DS10,$D9:$DS9),0)</x:f>
      </x:c>
      <x:c r="G11" s="35" t="n">
        <x:f>IFERROR(G10*G9/SUMPRODUCT($D10:$DS10,$D9:$DS9),0)</x:f>
      </x:c>
      <x:c r="H11" s="35" t="n">
        <x:f>IFERROR(H10*H9/SUMPRODUCT($D10:$DS10,$D9:$DS9),0)</x:f>
      </x:c>
      <x:c r="I11" s="35" t="n">
        <x:f>IFERROR(I10*I9/SUMPRODUCT($D10:$DS10,$D9:$DS9),0)</x:f>
      </x:c>
      <x:c r="J11" s="35" t="n">
        <x:f>IFERROR(J10*J9/SUMPRODUCT($D10:$DS10,$D9:$DS9),0)</x:f>
      </x:c>
      <x:c r="K11" s="35" t="n">
        <x:f>IFERROR(K10*K9/SUMPRODUCT($D10:$DS10,$D9:$DS9),0)</x:f>
      </x:c>
      <x:c r="L11" s="35" t="n">
        <x:f>IFERROR(L10*L9/SUMPRODUCT($D10:$DS10,$D9:$DS9),0)</x:f>
      </x:c>
      <x:c r="M11" s="35" t="n">
        <x:f>IFERROR(M10*M9/SUMPRODUCT($D10:$DS10,$D9:$DS9),0)</x:f>
      </x:c>
      <x:c r="N11" s="35" t="n">
        <x:f>IFERROR(N10*N9/SUMPRODUCT($D10:$DS10,$D9:$DS9),0)</x:f>
      </x:c>
      <x:c r="O11" s="35" t="n">
        <x:f>IFERROR(O10*O9/SUMPRODUCT($D10:$DS10,$D9:$DS9),0)</x:f>
      </x:c>
      <x:c r="P11" s="35" t="n">
        <x:f>IFERROR(P10*P9/SUMPRODUCT($D10:$DS10,$D9:$DS9),0)</x:f>
      </x:c>
      <x:c r="Q11" s="35" t="n">
        <x:f>IFERROR(Q10*Q9/SUMPRODUCT($D10:$DS10,$D9:$DS9),0)</x:f>
      </x:c>
      <x:c r="R11" s="35" t="n">
        <x:f>IFERROR(R10*R9/SUMPRODUCT($D10:$DS10,$D9:$DS9),0)</x:f>
      </x:c>
      <x:c r="S11" s="35" t="n">
        <x:f>IFERROR(S10*S9/SUMPRODUCT($D10:$DS10,$D9:$DS9),0)</x:f>
      </x:c>
      <x:c r="T11" s="35" t="n">
        <x:f>IFERROR(T10*T9/SUMPRODUCT($D10:$DS10,$D9:$DS9),0)</x:f>
      </x:c>
      <x:c r="U11" s="35" t="n">
        <x:f>IFERROR(U10*U9/SUMPRODUCT($D10:$DS10,$D9:$DS9),0)</x:f>
      </x:c>
      <x:c r="V11" s="35" t="n">
        <x:f>IFERROR(V10*V9/SUMPRODUCT($D10:$DS10,$D9:$DS9),0)</x:f>
      </x:c>
      <x:c r="W11" s="35" t="n">
        <x:f>IFERROR(W10*W9/SUMPRODUCT($D10:$DS10,$D9:$DS9),0)</x:f>
      </x:c>
      <x:c r="X11" s="35" t="n">
        <x:f>IFERROR(X10*X9/SUMPRODUCT($D10:$DS10,$D9:$DS9),0)</x:f>
      </x:c>
      <x:c r="Y11" s="35" t="n">
        <x:f>IFERROR(Y10*Y9/SUMPRODUCT($D10:$DS10,$D9:$DS9),0)</x:f>
      </x:c>
      <x:c r="Z11" s="35" t="n">
        <x:f>IFERROR(Z10*Z9/SUMPRODUCT($D10:$DS10,$D9:$DS9),0)</x:f>
      </x:c>
      <x:c r="AA11" s="35" t="n">
        <x:f>IFERROR(AA10*AA9/SUMPRODUCT($D10:$DS10,$D9:$DS9),0)</x:f>
      </x:c>
      <x:c r="AB11" s="35" t="n">
        <x:f>IFERROR(AB10*AB9/SUMPRODUCT($D10:$DS10,$D9:$DS9),0)</x:f>
      </x:c>
      <x:c r="AC11" s="35" t="n">
        <x:f>IFERROR(AC10*AC9/SUMPRODUCT($D10:$DS10,$D9:$DS9),0)</x:f>
      </x:c>
      <x:c r="AD11" s="35" t="n">
        <x:f>IFERROR(AD10*AD9/SUMPRODUCT($D10:$DS10,$D9:$DS9),0)</x:f>
      </x:c>
      <x:c r="AE11" s="35" t="n">
        <x:f>IFERROR(AE10*AE9/SUMPRODUCT($D10:$DS10,$D9:$DS9),0)</x:f>
      </x:c>
      <x:c r="AF11" s="35" t="n">
        <x:f>IFERROR(AF10*AF9/SUMPRODUCT($D10:$DS10,$D9:$DS9),0)</x:f>
      </x:c>
      <x:c r="AG11" s="35" t="n">
        <x:f>IFERROR(AG10*AG9/SUMPRODUCT($D10:$DS10,$D9:$DS9),0)</x:f>
      </x:c>
      <x:c r="AH11" s="35" t="n">
        <x:f>IFERROR(AH10*AH9/SUMPRODUCT($D10:$DS10,$D9:$DS9),0)</x:f>
      </x:c>
      <x:c r="AI11" s="35" t="n">
        <x:f>IFERROR(AI10*AI9/SUMPRODUCT($D10:$DS10,$D9:$DS9),0)</x:f>
      </x:c>
      <x:c r="AJ11" s="35" t="n">
        <x:f>IFERROR(AJ10*AJ9/SUMPRODUCT($D10:$DS10,$D9:$DS9),0)</x:f>
      </x:c>
      <x:c r="AK11" s="35" t="n">
        <x:f>IFERROR(AK10*AK9/SUMPRODUCT($D10:$DS10,$D9:$DS9),0)</x:f>
      </x:c>
      <x:c r="AL11" s="35" t="n">
        <x:f>IFERROR(AL10*AL9/SUMPRODUCT($D10:$DS10,$D9:$DS9),0)</x:f>
      </x:c>
      <x:c r="AM11" s="35" t="n">
        <x:f>IFERROR(AM10*AM9/SUMPRODUCT($D10:$DS10,$D9:$DS9),0)</x:f>
      </x:c>
      <x:c r="AN11" s="35" t="n">
        <x:f>IFERROR(AN10*AN9/SUMPRODUCT($D10:$DS10,$D9:$DS9),0)</x:f>
      </x:c>
      <x:c r="AO11" s="35" t="n">
        <x:f>IFERROR(AO10*AO9/SUMPRODUCT($D10:$DS10,$D9:$DS9),0)</x:f>
      </x:c>
      <x:c r="AP11" s="35" t="n">
        <x:f>IFERROR(AP10*AP9/SUMPRODUCT($D10:$DS10,$D9:$DS9),0)</x:f>
      </x:c>
      <x:c r="AQ11" s="35" t="n">
        <x:f>IFERROR(AQ10*AQ9/SUMPRODUCT($D10:$DS10,$D9:$DS9),0)</x:f>
      </x:c>
      <x:c r="AR11" s="35" t="n">
        <x:f>IFERROR(AR10*AR9/SUMPRODUCT($D10:$DS10,$D9:$DS9),0)</x:f>
      </x:c>
      <x:c r="AS11" s="35" t="n">
        <x:f>IFERROR(AS10*AS9/SUMPRODUCT($D10:$DS10,$D9:$DS9),0)</x:f>
      </x:c>
      <x:c r="AT11" s="35" t="n">
        <x:f>IFERROR(AT10*AT9/SUMPRODUCT($D10:$DS10,$D9:$DS9),0)</x:f>
      </x:c>
      <x:c r="AU11" s="35" t="n">
        <x:f>IFERROR(AU10*AU9/SUMPRODUCT($D10:$DS10,$D9:$DS9),0)</x:f>
      </x:c>
      <x:c r="AV11" s="35" t="n">
        <x:f>IFERROR(AV10*AV9/SUMPRODUCT($D10:$DS10,$D9:$DS9),0)</x:f>
      </x:c>
      <x:c r="AW11" s="35" t="n">
        <x:f>IFERROR(AW10*AW9/SUMPRODUCT($D10:$DS10,$D9:$DS9),0)</x:f>
      </x:c>
      <x:c r="AX11" s="35" t="n">
        <x:f>IFERROR(AX10*AX9/SUMPRODUCT($D10:$DS10,$D9:$DS9),0)</x:f>
      </x:c>
      <x:c r="AY11" s="35" t="n">
        <x:f>IFERROR(AY10*AY9/SUMPRODUCT($D10:$DS10,$D9:$DS9),0)</x:f>
      </x:c>
      <x:c r="AZ11" s="35" t="n">
        <x:f>IFERROR(AZ10*AZ9/SUMPRODUCT($D10:$DS10,$D9:$DS9),0)</x:f>
      </x:c>
      <x:c r="BA11" s="35" t="n">
        <x:f>IFERROR(BA10*BA9/SUMPRODUCT($D10:$DS10,$D9:$DS9),0)</x:f>
      </x:c>
      <x:c r="BB11" s="35" t="n">
        <x:f>IFERROR(BB10*BB9/SUMPRODUCT($D10:$DS10,$D9:$DS9),0)</x:f>
      </x:c>
      <x:c r="BC11" s="35" t="n">
        <x:f>IFERROR(BC10*BC9/SUMPRODUCT($D10:$DS10,$D9:$DS9),0)</x:f>
      </x:c>
      <x:c r="BD11" s="35" t="n">
        <x:f>IFERROR(BD10*BD9/SUMPRODUCT($D10:$DS10,$D9:$DS9),0)</x:f>
      </x:c>
      <x:c r="BE11" s="35" t="n">
        <x:f>IFERROR(BE10*BE9/SUMPRODUCT($D10:$DS10,$D9:$DS9),0)</x:f>
      </x:c>
      <x:c r="BF11" s="35" t="n">
        <x:f>IFERROR(BF10*BF9/SUMPRODUCT($D10:$DS10,$D9:$DS9),0)</x:f>
      </x:c>
      <x:c r="BG11" s="35" t="n">
        <x:f>IFERROR(BG10*BG9/SUMPRODUCT($D10:$DS10,$D9:$DS9),0)</x:f>
      </x:c>
      <x:c r="BH11" s="35" t="n">
        <x:f>IFERROR(BH10*BH9/SUMPRODUCT($D10:$DS10,$D9:$DS9),0)</x:f>
      </x:c>
      <x:c r="BI11" s="35" t="n">
        <x:f>IFERROR(BI10*BI9/SUMPRODUCT($D10:$DS10,$D9:$DS9),0)</x:f>
      </x:c>
      <x:c r="BJ11" s="35" t="n">
        <x:f>IFERROR(BJ10*BJ9/SUMPRODUCT($D10:$DS10,$D9:$DS9),0)</x:f>
      </x:c>
      <x:c r="BK11" s="35" t="n">
        <x:f>IFERROR(BK10*BK9/SUMPRODUCT($D10:$DS10,$D9:$DS9),0)</x:f>
      </x:c>
      <x:c r="BL11" s="35" t="n">
        <x:f>IFERROR(BL10*BL9/SUMPRODUCT($D10:$DS10,$D9:$DS9),0)</x:f>
      </x:c>
      <x:c r="BM11" s="35" t="n">
        <x:f>IFERROR(BM10*BM9/SUMPRODUCT($D10:$DS10,$D9:$DS9),0)</x:f>
      </x:c>
      <x:c r="BN11" s="35" t="n">
        <x:f>IFERROR(BN10*BN9/SUMPRODUCT($D10:$DS10,$D9:$DS9),0)</x:f>
      </x:c>
      <x:c r="BO11" s="35" t="n">
        <x:f>IFERROR(BO10*BO9/SUMPRODUCT($D10:$DS10,$D9:$DS9),0)</x:f>
      </x:c>
      <x:c r="BP11" s="35" t="n">
        <x:f>IFERROR(BP10*BP9/SUMPRODUCT($D10:$DS10,$D9:$DS9),0)</x:f>
      </x:c>
      <x:c r="BQ11" s="35" t="n">
        <x:f>IFERROR(BQ10*BQ9/SUMPRODUCT($D10:$DS10,$D9:$DS9),0)</x:f>
      </x:c>
      <x:c r="BR11" s="35" t="n">
        <x:f>IFERROR(BR10*BR9/SUMPRODUCT($D10:$DS10,$D9:$DS9),0)</x:f>
      </x:c>
      <x:c r="BS11" s="35" t="n">
        <x:f>IFERROR(BS10*BS9/SUMPRODUCT($D10:$DS10,$D9:$DS9),0)</x:f>
      </x:c>
      <x:c r="BT11" s="35" t="n">
        <x:f>IFERROR(BT10*BT9/SUMPRODUCT($D10:$DS10,$D9:$DS9),0)</x:f>
      </x:c>
      <x:c r="BU11" s="35" t="n">
        <x:f>IFERROR(BU10*BU9/SUMPRODUCT($D10:$DS10,$D9:$DS9),0)</x:f>
      </x:c>
      <x:c r="BV11" s="35" t="n">
        <x:f>IFERROR(BV10*BV9/SUMPRODUCT($D10:$DS10,$D9:$DS9),0)</x:f>
      </x:c>
      <x:c r="BW11" s="35" t="n">
        <x:f>IFERROR(BW10*BW9/SUMPRODUCT($D10:$DS10,$D9:$DS9),0)</x:f>
      </x:c>
      <x:c r="BX11" s="35" t="n">
        <x:f>IFERROR(BX10*BX9/SUMPRODUCT($D10:$DS10,$D9:$DS9),0)</x:f>
      </x:c>
      <x:c r="BY11" s="35" t="n">
        <x:f>IFERROR(BY10*BY9/SUMPRODUCT($D10:$DS10,$D9:$DS9),0)</x:f>
      </x:c>
      <x:c r="BZ11" s="35" t="n">
        <x:f>IFERROR(BZ10*BZ9/SUMPRODUCT($D10:$DS10,$D9:$DS9),0)</x:f>
      </x:c>
      <x:c r="CA11" s="35" t="n">
        <x:f>IFERROR(CA10*CA9/SUMPRODUCT($D10:$DS10,$D9:$DS9),0)</x:f>
      </x:c>
      <x:c r="CB11" s="35" t="n">
        <x:f>IFERROR(CB10*CB9/SUMPRODUCT($D10:$DS10,$D9:$DS9),0)</x:f>
      </x:c>
      <x:c r="CC11" s="35" t="n">
        <x:f>IFERROR(CC10*CC9/SUMPRODUCT($D10:$DS10,$D9:$DS9),0)</x:f>
      </x:c>
      <x:c r="CD11" s="35" t="n">
        <x:f>IFERROR(CD10*CD9/SUMPRODUCT($D10:$DS10,$D9:$DS9),0)</x:f>
      </x:c>
      <x:c r="CE11" s="35" t="n">
        <x:f>IFERROR(CE10*CE9/SUMPRODUCT($D10:$DS10,$D9:$DS9),0)</x:f>
      </x:c>
      <x:c r="CF11" s="35" t="n">
        <x:f>IFERROR(CF10*CF9/SUMPRODUCT($D10:$DS10,$D9:$DS9),0)</x:f>
      </x:c>
      <x:c r="CG11" s="35" t="n">
        <x:f>IFERROR(CG10*CG9/SUMPRODUCT($D10:$DS10,$D9:$DS9),0)</x:f>
      </x:c>
      <x:c r="CH11" s="35" t="n">
        <x:f>IFERROR(CH10*CH9/SUMPRODUCT($D10:$DS10,$D9:$DS9),0)</x:f>
      </x:c>
      <x:c r="CI11" s="35" t="n">
        <x:f>IFERROR(CI10*CI9/SUMPRODUCT($D10:$DS10,$D9:$DS9),0)</x:f>
      </x:c>
      <x:c r="CJ11" s="35" t="n">
        <x:f>IFERROR(CJ10*CJ9/SUMPRODUCT($D10:$DS10,$D9:$DS9),0)</x:f>
      </x:c>
      <x:c r="CK11" s="35" t="n">
        <x:f>IFERROR(CK10*CK9/SUMPRODUCT($D10:$DS10,$D9:$DS9),0)</x:f>
      </x:c>
      <x:c r="CL11" s="35" t="n">
        <x:f>IFERROR(CL10*CL9/SUMPRODUCT($D10:$DS10,$D9:$DS9),0)</x:f>
      </x:c>
      <x:c r="CM11" s="35" t="n">
        <x:f>IFERROR(CM10*CM9/SUMPRODUCT($D10:$DS10,$D9:$DS9),0)</x:f>
      </x:c>
      <x:c r="CN11" s="35" t="n">
        <x:f>IFERROR(CN10*CN9/SUMPRODUCT($D10:$DS10,$D9:$DS9),0)</x:f>
      </x:c>
      <x:c r="CO11" s="35" t="n">
        <x:f>IFERROR(CO10*CO9/SUMPRODUCT($D10:$DS10,$D9:$DS9),0)</x:f>
      </x:c>
      <x:c r="CP11" s="35" t="n">
        <x:f>IFERROR(CP10*CP9/SUMPRODUCT($D10:$DS10,$D9:$DS9),0)</x:f>
      </x:c>
      <x:c r="CQ11" s="35" t="n">
        <x:f>IFERROR(CQ10*CQ9/SUMPRODUCT($D10:$DS10,$D9:$DS9),0)</x:f>
      </x:c>
      <x:c r="CR11" s="35" t="n">
        <x:f>IFERROR(CR10*CR9/SUMPRODUCT($D10:$DS10,$D9:$DS9),0)</x:f>
      </x:c>
      <x:c r="CS11" s="35" t="n">
        <x:f>IFERROR(CS10*CS9/SUMPRODUCT($D10:$DS10,$D9:$DS9),0)</x:f>
      </x:c>
      <x:c r="CT11" s="35" t="n">
        <x:f>IFERROR(CT10*CT9/SUMPRODUCT($D10:$DS10,$D9:$DS9),0)</x:f>
      </x:c>
      <x:c r="CU11" s="35" t="n">
        <x:f>IFERROR(CU10*CU9/SUMPRODUCT($D10:$DS10,$D9:$DS9),0)</x:f>
      </x:c>
      <x:c r="CV11" s="35" t="n">
        <x:f>IFERROR(CV10*CV9/SUMPRODUCT($D10:$DS10,$D9:$DS9),0)</x:f>
      </x:c>
      <x:c r="CW11" s="35" t="n">
        <x:f>IFERROR(CW10*CW9/SUMPRODUCT($D10:$DS10,$D9:$DS9),0)</x:f>
      </x:c>
      <x:c r="CX11" s="35" t="n">
        <x:f>IFERROR(CX10*CX9/SUMPRODUCT($D10:$DS10,$D9:$DS9),0)</x:f>
      </x:c>
      <x:c r="CY11" s="35" t="n">
        <x:f>IFERROR(CY10*CY9/SUMPRODUCT($D10:$DS10,$D9:$DS9),0)</x:f>
      </x:c>
      <x:c r="CZ11" s="35" t="n">
        <x:f>IFERROR(CZ10*CZ9/SUMPRODUCT($D10:$DS10,$D9:$DS9),0)</x:f>
      </x:c>
      <x:c r="DA11" s="35" t="n">
        <x:f>IFERROR(DA10*DA9/SUMPRODUCT($D10:$DS10,$D9:$DS9),0)</x:f>
      </x:c>
      <x:c r="DB11" s="35" t="n">
        <x:f>IFERROR(DB10*DB9/SUMPRODUCT($D10:$DS10,$D9:$DS9),0)</x:f>
      </x:c>
      <x:c r="DC11" s="35" t="n">
        <x:f>IFERROR(DC10*DC9/SUMPRODUCT($D10:$DS10,$D9:$DS9),0)</x:f>
      </x:c>
      <x:c r="DD11" s="35" t="n">
        <x:f>IFERROR(DD10*DD9/SUMPRODUCT($D10:$DS10,$D9:$DS9),0)</x:f>
      </x:c>
      <x:c r="DE11" s="35" t="n">
        <x:f>IFERROR(DE10*DE9/SUMPRODUCT($D10:$DS10,$D9:$DS9),0)</x:f>
      </x:c>
      <x:c r="DF11" s="35" t="n">
        <x:f>IFERROR(DF10*DF9/SUMPRODUCT($D10:$DS10,$D9:$DS9),0)</x:f>
      </x:c>
      <x:c r="DG11" s="35" t="n">
        <x:f>IFERROR(DG10*DG9/SUMPRODUCT($D10:$DS10,$D9:$DS9),0)</x:f>
      </x:c>
      <x:c r="DH11" s="35" t="n">
        <x:f>IFERROR(DH10*DH9/SUMPRODUCT($D10:$DS10,$D9:$DS9),0)</x:f>
      </x:c>
      <x:c r="DI11" s="35" t="n">
        <x:f>IFERROR(DI10*DI9/SUMPRODUCT($D10:$DS10,$D9:$DS9),0)</x:f>
      </x:c>
      <x:c r="DJ11" s="35" t="n">
        <x:f>IFERROR(DJ10*DJ9/SUMPRODUCT($D10:$DS10,$D9:$DS9),0)</x:f>
      </x:c>
      <x:c r="DK11" s="35" t="n">
        <x:f>IFERROR(DK10*DK9/SUMPRODUCT($D10:$DS10,$D9:$DS9),0)</x:f>
      </x:c>
      <x:c r="DL11" s="35" t="n">
        <x:f>IFERROR(DL10*DL9/SUMPRODUCT($D10:$DS10,$D9:$DS9),0)</x:f>
      </x:c>
      <x:c r="DM11" s="35" t="n">
        <x:f>IFERROR(DM10*DM9/SUMPRODUCT($D10:$DS10,$D9:$DS9),0)</x:f>
      </x:c>
      <x:c r="DN11" s="35" t="n">
        <x:f>IFERROR(DN10*DN9/SUMPRODUCT($D10:$DS10,$D9:$DS9),0)</x:f>
      </x:c>
      <x:c r="DO11" s="35" t="n">
        <x:f>IFERROR(DO10*DO9/SUMPRODUCT($D10:$DS10,$D9:$DS9),0)</x:f>
      </x:c>
      <x:c r="DP11" s="35" t="n">
        <x:f>IFERROR(DP10*DP9/SUMPRODUCT($D10:$DS10,$D9:$DS9),0)</x:f>
      </x:c>
      <x:c r="DQ11" s="35" t="n">
        <x:f>IFERROR(DQ10*DQ9/SUMPRODUCT($D10:$DS10,$D9:$DS9),0)</x:f>
      </x:c>
      <x:c r="DR11" s="35" t="n">
        <x:f>IFERROR(DR10*DR9/SUMPRODUCT($D10:$DS10,$D9:$DS9),0)</x:f>
      </x:c>
      <x:c r="DS11" s="35" t="n">
        <x:f>IFERROR(DS10*DS9/SUMPRODUCT($D10:$DS10,$D9:$DS9),0)</x:f>
      </x:c>
    </x:row>
    <x:row r="12">
      <x:c r="A12" t="str">
        <x:v>Флаг продаж после РВЭ</x:v>
      </x:c>
      <x:c r="B12"/>
      <x:c r="C12" t="str">
        <x:v>0/1</x:v>
      </x:c>
      <x:c r="D12" s="35" t="n">
        <x:f>--AND(D$3&gt;=MAX($B$7,$B$8),D$3&lt;EDATE($B$7,MAX(1,'Вводные'!$H$88)),'Вводные'!$B$88="Да")</x:f>
      </x:c>
      <x:c r="E12" s="35" t="n">
        <x:f>--AND(E$3&gt;=MAX($B$7,$B$8),E$3&lt;EDATE($B$7,MAX(1,'Вводные'!$H$88)),'Вводные'!$B$88="Да")</x:f>
      </x:c>
      <x:c r="F12" s="35" t="n">
        <x:f>--AND(F$3&gt;=MAX($B$7,$B$8),F$3&lt;EDATE($B$7,MAX(1,'Вводные'!$H$88)),'Вводные'!$B$88="Да")</x:f>
      </x:c>
      <x:c r="G12" s="35" t="n">
        <x:f>--AND(G$3&gt;=MAX($B$7,$B$8),G$3&lt;EDATE($B$7,MAX(1,'Вводные'!$H$88)),'Вводные'!$B$88="Да")</x:f>
      </x:c>
      <x:c r="H12" s="35" t="n">
        <x:f>--AND(H$3&gt;=MAX($B$7,$B$8),H$3&lt;EDATE($B$7,MAX(1,'Вводные'!$H$88)),'Вводные'!$B$88="Да")</x:f>
      </x:c>
      <x:c r="I12" s="35" t="n">
        <x:f>--AND(I$3&gt;=MAX($B$7,$B$8),I$3&lt;EDATE($B$7,MAX(1,'Вводные'!$H$88)),'Вводные'!$B$88="Да")</x:f>
      </x:c>
      <x:c r="J12" s="35" t="n">
        <x:f>--AND(J$3&gt;=MAX($B$7,$B$8),J$3&lt;EDATE($B$7,MAX(1,'Вводные'!$H$88)),'Вводные'!$B$88="Да")</x:f>
      </x:c>
      <x:c r="K12" s="35" t="n">
        <x:f>--AND(K$3&gt;=MAX($B$7,$B$8),K$3&lt;EDATE($B$7,MAX(1,'Вводные'!$H$88)),'Вводные'!$B$88="Да")</x:f>
      </x:c>
      <x:c r="L12" s="35" t="n">
        <x:f>--AND(L$3&gt;=MAX($B$7,$B$8),L$3&lt;EDATE($B$7,MAX(1,'Вводные'!$H$88)),'Вводные'!$B$88="Да")</x:f>
      </x:c>
      <x:c r="M12" s="35" t="n">
        <x:f>--AND(M$3&gt;=MAX($B$7,$B$8),M$3&lt;EDATE($B$7,MAX(1,'Вводные'!$H$88)),'Вводные'!$B$88="Да")</x:f>
      </x:c>
      <x:c r="N12" s="35" t="n">
        <x:f>--AND(N$3&gt;=MAX($B$7,$B$8),N$3&lt;EDATE($B$7,MAX(1,'Вводные'!$H$88)),'Вводные'!$B$88="Да")</x:f>
      </x:c>
      <x:c r="O12" s="35" t="n">
        <x:f>--AND(O$3&gt;=MAX($B$7,$B$8),O$3&lt;EDATE($B$7,MAX(1,'Вводные'!$H$88)),'Вводные'!$B$88="Да")</x:f>
      </x:c>
      <x:c r="P12" s="35" t="n">
        <x:f>--AND(P$3&gt;=MAX($B$7,$B$8),P$3&lt;EDATE($B$7,MAX(1,'Вводные'!$H$88)),'Вводные'!$B$88="Да")</x:f>
      </x:c>
      <x:c r="Q12" s="35" t="n">
        <x:f>--AND(Q$3&gt;=MAX($B$7,$B$8),Q$3&lt;EDATE($B$7,MAX(1,'Вводные'!$H$88)),'Вводные'!$B$88="Да")</x:f>
      </x:c>
      <x:c r="R12" s="35" t="n">
        <x:f>--AND(R$3&gt;=MAX($B$7,$B$8),R$3&lt;EDATE($B$7,MAX(1,'Вводные'!$H$88)),'Вводные'!$B$88="Да")</x:f>
      </x:c>
      <x:c r="S12" s="35" t="n">
        <x:f>--AND(S$3&gt;=MAX($B$7,$B$8),S$3&lt;EDATE($B$7,MAX(1,'Вводные'!$H$88)),'Вводные'!$B$88="Да")</x:f>
      </x:c>
      <x:c r="T12" s="35" t="n">
        <x:f>--AND(T$3&gt;=MAX($B$7,$B$8),T$3&lt;EDATE($B$7,MAX(1,'Вводные'!$H$88)),'Вводные'!$B$88="Да")</x:f>
      </x:c>
      <x:c r="U12" s="35" t="n">
        <x:f>--AND(U$3&gt;=MAX($B$7,$B$8),U$3&lt;EDATE($B$7,MAX(1,'Вводные'!$H$88)),'Вводные'!$B$88="Да")</x:f>
      </x:c>
      <x:c r="V12" s="35" t="n">
        <x:f>--AND(V$3&gt;=MAX($B$7,$B$8),V$3&lt;EDATE($B$7,MAX(1,'Вводные'!$H$88)),'Вводные'!$B$88="Да")</x:f>
      </x:c>
      <x:c r="W12" s="35" t="n">
        <x:f>--AND(W$3&gt;=MAX($B$7,$B$8),W$3&lt;EDATE($B$7,MAX(1,'Вводные'!$H$88)),'Вводные'!$B$88="Да")</x:f>
      </x:c>
      <x:c r="X12" s="35" t="n">
        <x:f>--AND(X$3&gt;=MAX($B$7,$B$8),X$3&lt;EDATE($B$7,MAX(1,'Вводные'!$H$88)),'Вводные'!$B$88="Да")</x:f>
      </x:c>
      <x:c r="Y12" s="35" t="n">
        <x:f>--AND(Y$3&gt;=MAX($B$7,$B$8),Y$3&lt;EDATE($B$7,MAX(1,'Вводные'!$H$88)),'Вводные'!$B$88="Да")</x:f>
      </x:c>
      <x:c r="Z12" s="35" t="n">
        <x:f>--AND(Z$3&gt;=MAX($B$7,$B$8),Z$3&lt;EDATE($B$7,MAX(1,'Вводные'!$H$88)),'Вводные'!$B$88="Да")</x:f>
      </x:c>
      <x:c r="AA12" s="35" t="n">
        <x:f>--AND(AA$3&gt;=MAX($B$7,$B$8),AA$3&lt;EDATE($B$7,MAX(1,'Вводные'!$H$88)),'Вводные'!$B$88="Да")</x:f>
      </x:c>
      <x:c r="AB12" s="35" t="n">
        <x:f>--AND(AB$3&gt;=MAX($B$7,$B$8),AB$3&lt;EDATE($B$7,MAX(1,'Вводные'!$H$88)),'Вводные'!$B$88="Да")</x:f>
      </x:c>
      <x:c r="AC12" s="35" t="n">
        <x:f>--AND(AC$3&gt;=MAX($B$7,$B$8),AC$3&lt;EDATE($B$7,MAX(1,'Вводные'!$H$88)),'Вводные'!$B$88="Да")</x:f>
      </x:c>
      <x:c r="AD12" s="35" t="n">
        <x:f>--AND(AD$3&gt;=MAX($B$7,$B$8),AD$3&lt;EDATE($B$7,MAX(1,'Вводные'!$H$88)),'Вводные'!$B$88="Да")</x:f>
      </x:c>
      <x:c r="AE12" s="35" t="n">
        <x:f>--AND(AE$3&gt;=MAX($B$7,$B$8),AE$3&lt;EDATE($B$7,MAX(1,'Вводные'!$H$88)),'Вводные'!$B$88="Да")</x:f>
      </x:c>
      <x:c r="AF12" s="35" t="n">
        <x:f>--AND(AF$3&gt;=MAX($B$7,$B$8),AF$3&lt;EDATE($B$7,MAX(1,'Вводные'!$H$88)),'Вводные'!$B$88="Да")</x:f>
      </x:c>
      <x:c r="AG12" s="35" t="n">
        <x:f>--AND(AG$3&gt;=MAX($B$7,$B$8),AG$3&lt;EDATE($B$7,MAX(1,'Вводные'!$H$88)),'Вводные'!$B$88="Да")</x:f>
      </x:c>
      <x:c r="AH12" s="35" t="n">
        <x:f>--AND(AH$3&gt;=MAX($B$7,$B$8),AH$3&lt;EDATE($B$7,MAX(1,'Вводные'!$H$88)),'Вводные'!$B$88="Да")</x:f>
      </x:c>
      <x:c r="AI12" s="35" t="n">
        <x:f>--AND(AI$3&gt;=MAX($B$7,$B$8),AI$3&lt;EDATE($B$7,MAX(1,'Вводные'!$H$88)),'Вводные'!$B$88="Да")</x:f>
      </x:c>
      <x:c r="AJ12" s="35" t="n">
        <x:f>--AND(AJ$3&gt;=MAX($B$7,$B$8),AJ$3&lt;EDATE($B$7,MAX(1,'Вводные'!$H$88)),'Вводные'!$B$88="Да")</x:f>
      </x:c>
      <x:c r="AK12" s="35" t="n">
        <x:f>--AND(AK$3&gt;=MAX($B$7,$B$8),AK$3&lt;EDATE($B$7,MAX(1,'Вводные'!$H$88)),'Вводные'!$B$88="Да")</x:f>
      </x:c>
      <x:c r="AL12" s="35" t="n">
        <x:f>--AND(AL$3&gt;=MAX($B$7,$B$8),AL$3&lt;EDATE($B$7,MAX(1,'Вводные'!$H$88)),'Вводные'!$B$88="Да")</x:f>
      </x:c>
      <x:c r="AM12" s="35" t="n">
        <x:f>--AND(AM$3&gt;=MAX($B$7,$B$8),AM$3&lt;EDATE($B$7,MAX(1,'Вводные'!$H$88)),'Вводные'!$B$88="Да")</x:f>
      </x:c>
      <x:c r="AN12" s="35" t="n">
        <x:f>--AND(AN$3&gt;=MAX($B$7,$B$8),AN$3&lt;EDATE($B$7,MAX(1,'Вводные'!$H$88)),'Вводные'!$B$88="Да")</x:f>
      </x:c>
      <x:c r="AO12" s="35" t="n">
        <x:f>--AND(AO$3&gt;=MAX($B$7,$B$8),AO$3&lt;EDATE($B$7,MAX(1,'Вводные'!$H$88)),'Вводные'!$B$88="Да")</x:f>
      </x:c>
      <x:c r="AP12" s="35" t="n">
        <x:f>--AND(AP$3&gt;=MAX($B$7,$B$8),AP$3&lt;EDATE($B$7,MAX(1,'Вводные'!$H$88)),'Вводные'!$B$88="Да")</x:f>
      </x:c>
      <x:c r="AQ12" s="35" t="n">
        <x:f>--AND(AQ$3&gt;=MAX($B$7,$B$8),AQ$3&lt;EDATE($B$7,MAX(1,'Вводные'!$H$88)),'Вводные'!$B$88="Да")</x:f>
      </x:c>
      <x:c r="AR12" s="35" t="n">
        <x:f>--AND(AR$3&gt;=MAX($B$7,$B$8),AR$3&lt;EDATE($B$7,MAX(1,'Вводные'!$H$88)),'Вводные'!$B$88="Да")</x:f>
      </x:c>
      <x:c r="AS12" s="35" t="n">
        <x:f>--AND(AS$3&gt;=MAX($B$7,$B$8),AS$3&lt;EDATE($B$7,MAX(1,'Вводные'!$H$88)),'Вводные'!$B$88="Да")</x:f>
      </x:c>
      <x:c r="AT12" s="35" t="n">
        <x:f>--AND(AT$3&gt;=MAX($B$7,$B$8),AT$3&lt;EDATE($B$7,MAX(1,'Вводные'!$H$88)),'Вводные'!$B$88="Да")</x:f>
      </x:c>
      <x:c r="AU12" s="35" t="n">
        <x:f>--AND(AU$3&gt;=MAX($B$7,$B$8),AU$3&lt;EDATE($B$7,MAX(1,'Вводные'!$H$88)),'Вводные'!$B$88="Да")</x:f>
      </x:c>
      <x:c r="AV12" s="35" t="n">
        <x:f>--AND(AV$3&gt;=MAX($B$7,$B$8),AV$3&lt;EDATE($B$7,MAX(1,'Вводные'!$H$88)),'Вводные'!$B$88="Да")</x:f>
      </x:c>
      <x:c r="AW12" s="35" t="n">
        <x:f>--AND(AW$3&gt;=MAX($B$7,$B$8),AW$3&lt;EDATE($B$7,MAX(1,'Вводные'!$H$88)),'Вводные'!$B$88="Да")</x:f>
      </x:c>
      <x:c r="AX12" s="35" t="n">
        <x:f>--AND(AX$3&gt;=MAX($B$7,$B$8),AX$3&lt;EDATE($B$7,MAX(1,'Вводные'!$H$88)),'Вводные'!$B$88="Да")</x:f>
      </x:c>
      <x:c r="AY12" s="35" t="n">
        <x:f>--AND(AY$3&gt;=MAX($B$7,$B$8),AY$3&lt;EDATE($B$7,MAX(1,'Вводные'!$H$88)),'Вводные'!$B$88="Да")</x:f>
      </x:c>
      <x:c r="AZ12" s="35" t="n">
        <x:f>--AND(AZ$3&gt;=MAX($B$7,$B$8),AZ$3&lt;EDATE($B$7,MAX(1,'Вводные'!$H$88)),'Вводные'!$B$88="Да")</x:f>
      </x:c>
      <x:c r="BA12" s="35" t="n">
        <x:f>--AND(BA$3&gt;=MAX($B$7,$B$8),BA$3&lt;EDATE($B$7,MAX(1,'Вводные'!$H$88)),'Вводные'!$B$88="Да")</x:f>
      </x:c>
      <x:c r="BB12" s="35" t="n">
        <x:f>--AND(BB$3&gt;=MAX($B$7,$B$8),BB$3&lt;EDATE($B$7,MAX(1,'Вводные'!$H$88)),'Вводные'!$B$88="Да")</x:f>
      </x:c>
      <x:c r="BC12" s="35" t="n">
        <x:f>--AND(BC$3&gt;=MAX($B$7,$B$8),BC$3&lt;EDATE($B$7,MAX(1,'Вводные'!$H$88)),'Вводные'!$B$88="Да")</x:f>
      </x:c>
      <x:c r="BD12" s="35" t="n">
        <x:f>--AND(BD$3&gt;=MAX($B$7,$B$8),BD$3&lt;EDATE($B$7,MAX(1,'Вводные'!$H$88)),'Вводные'!$B$88="Да")</x:f>
      </x:c>
      <x:c r="BE12" s="35" t="n">
        <x:f>--AND(BE$3&gt;=MAX($B$7,$B$8),BE$3&lt;EDATE($B$7,MAX(1,'Вводные'!$H$88)),'Вводные'!$B$88="Да")</x:f>
      </x:c>
      <x:c r="BF12" s="35" t="n">
        <x:f>--AND(BF$3&gt;=MAX($B$7,$B$8),BF$3&lt;EDATE($B$7,MAX(1,'Вводные'!$H$88)),'Вводные'!$B$88="Да")</x:f>
      </x:c>
      <x:c r="BG12" s="35" t="n">
        <x:f>--AND(BG$3&gt;=MAX($B$7,$B$8),BG$3&lt;EDATE($B$7,MAX(1,'Вводные'!$H$88)),'Вводные'!$B$88="Да")</x:f>
      </x:c>
      <x:c r="BH12" s="35" t="n">
        <x:f>--AND(BH$3&gt;=MAX($B$7,$B$8),BH$3&lt;EDATE($B$7,MAX(1,'Вводные'!$H$88)),'Вводные'!$B$88="Да")</x:f>
      </x:c>
      <x:c r="BI12" s="35" t="n">
        <x:f>--AND(BI$3&gt;=MAX($B$7,$B$8),BI$3&lt;EDATE($B$7,MAX(1,'Вводные'!$H$88)),'Вводные'!$B$88="Да")</x:f>
      </x:c>
      <x:c r="BJ12" s="35" t="n">
        <x:f>--AND(BJ$3&gt;=MAX($B$7,$B$8),BJ$3&lt;EDATE($B$7,MAX(1,'Вводные'!$H$88)),'Вводные'!$B$88="Да")</x:f>
      </x:c>
      <x:c r="BK12" s="35" t="n">
        <x:f>--AND(BK$3&gt;=MAX($B$7,$B$8),BK$3&lt;EDATE($B$7,MAX(1,'Вводные'!$H$88)),'Вводные'!$B$88="Да")</x:f>
      </x:c>
      <x:c r="BL12" s="35" t="n">
        <x:f>--AND(BL$3&gt;=MAX($B$7,$B$8),BL$3&lt;EDATE($B$7,MAX(1,'Вводные'!$H$88)),'Вводные'!$B$88="Да")</x:f>
      </x:c>
      <x:c r="BM12" s="35" t="n">
        <x:f>--AND(BM$3&gt;=MAX($B$7,$B$8),BM$3&lt;EDATE($B$7,MAX(1,'Вводные'!$H$88)),'Вводные'!$B$88="Да")</x:f>
      </x:c>
      <x:c r="BN12" s="35" t="n">
        <x:f>--AND(BN$3&gt;=MAX($B$7,$B$8),BN$3&lt;EDATE($B$7,MAX(1,'Вводные'!$H$88)),'Вводные'!$B$88="Да")</x:f>
      </x:c>
      <x:c r="BO12" s="35" t="n">
        <x:f>--AND(BO$3&gt;=MAX($B$7,$B$8),BO$3&lt;EDATE($B$7,MAX(1,'Вводные'!$H$88)),'Вводные'!$B$88="Да")</x:f>
      </x:c>
      <x:c r="BP12" s="35" t="n">
        <x:f>--AND(BP$3&gt;=MAX($B$7,$B$8),BP$3&lt;EDATE($B$7,MAX(1,'Вводные'!$H$88)),'Вводные'!$B$88="Да")</x:f>
      </x:c>
      <x:c r="BQ12" s="35" t="n">
        <x:f>--AND(BQ$3&gt;=MAX($B$7,$B$8),BQ$3&lt;EDATE($B$7,MAX(1,'Вводные'!$H$88)),'Вводные'!$B$88="Да")</x:f>
      </x:c>
      <x:c r="BR12" s="35" t="n">
        <x:f>--AND(BR$3&gt;=MAX($B$7,$B$8),BR$3&lt;EDATE($B$7,MAX(1,'Вводные'!$H$88)),'Вводные'!$B$88="Да")</x:f>
      </x:c>
      <x:c r="BS12" s="35" t="n">
        <x:f>--AND(BS$3&gt;=MAX($B$7,$B$8),BS$3&lt;EDATE($B$7,MAX(1,'Вводные'!$H$88)),'Вводные'!$B$88="Да")</x:f>
      </x:c>
      <x:c r="BT12" s="35" t="n">
        <x:f>--AND(BT$3&gt;=MAX($B$7,$B$8),BT$3&lt;EDATE($B$7,MAX(1,'Вводные'!$H$88)),'Вводные'!$B$88="Да")</x:f>
      </x:c>
      <x:c r="BU12" s="35" t="n">
        <x:f>--AND(BU$3&gt;=MAX($B$7,$B$8),BU$3&lt;EDATE($B$7,MAX(1,'Вводные'!$H$88)),'Вводные'!$B$88="Да")</x:f>
      </x:c>
      <x:c r="BV12" s="35" t="n">
        <x:f>--AND(BV$3&gt;=MAX($B$7,$B$8),BV$3&lt;EDATE($B$7,MAX(1,'Вводные'!$H$88)),'Вводные'!$B$88="Да")</x:f>
      </x:c>
      <x:c r="BW12" s="35" t="n">
        <x:f>--AND(BW$3&gt;=MAX($B$7,$B$8),BW$3&lt;EDATE($B$7,MAX(1,'Вводные'!$H$88)),'Вводные'!$B$88="Да")</x:f>
      </x:c>
      <x:c r="BX12" s="35" t="n">
        <x:f>--AND(BX$3&gt;=MAX($B$7,$B$8),BX$3&lt;EDATE($B$7,MAX(1,'Вводные'!$H$88)),'Вводные'!$B$88="Да")</x:f>
      </x:c>
      <x:c r="BY12" s="35" t="n">
        <x:f>--AND(BY$3&gt;=MAX($B$7,$B$8),BY$3&lt;EDATE($B$7,MAX(1,'Вводные'!$H$88)),'Вводные'!$B$88="Да")</x:f>
      </x:c>
      <x:c r="BZ12" s="35" t="n">
        <x:f>--AND(BZ$3&gt;=MAX($B$7,$B$8),BZ$3&lt;EDATE($B$7,MAX(1,'Вводные'!$H$88)),'Вводные'!$B$88="Да")</x:f>
      </x:c>
      <x:c r="CA12" s="35" t="n">
        <x:f>--AND(CA$3&gt;=MAX($B$7,$B$8),CA$3&lt;EDATE($B$7,MAX(1,'Вводные'!$H$88)),'Вводные'!$B$88="Да")</x:f>
      </x:c>
      <x:c r="CB12" s="35" t="n">
        <x:f>--AND(CB$3&gt;=MAX($B$7,$B$8),CB$3&lt;EDATE($B$7,MAX(1,'Вводные'!$H$88)),'Вводные'!$B$88="Да")</x:f>
      </x:c>
      <x:c r="CC12" s="35" t="n">
        <x:f>--AND(CC$3&gt;=MAX($B$7,$B$8),CC$3&lt;EDATE($B$7,MAX(1,'Вводные'!$H$88)),'Вводные'!$B$88="Да")</x:f>
      </x:c>
      <x:c r="CD12" s="35" t="n">
        <x:f>--AND(CD$3&gt;=MAX($B$7,$B$8),CD$3&lt;EDATE($B$7,MAX(1,'Вводные'!$H$88)),'Вводные'!$B$88="Да")</x:f>
      </x:c>
      <x:c r="CE12" s="35" t="n">
        <x:f>--AND(CE$3&gt;=MAX($B$7,$B$8),CE$3&lt;EDATE($B$7,MAX(1,'Вводные'!$H$88)),'Вводные'!$B$88="Да")</x:f>
      </x:c>
      <x:c r="CF12" s="35" t="n">
        <x:f>--AND(CF$3&gt;=MAX($B$7,$B$8),CF$3&lt;EDATE($B$7,MAX(1,'Вводные'!$H$88)),'Вводные'!$B$88="Да")</x:f>
      </x:c>
      <x:c r="CG12" s="35" t="n">
        <x:f>--AND(CG$3&gt;=MAX($B$7,$B$8),CG$3&lt;EDATE($B$7,MAX(1,'Вводные'!$H$88)),'Вводные'!$B$88="Да")</x:f>
      </x:c>
      <x:c r="CH12" s="35" t="n">
        <x:f>--AND(CH$3&gt;=MAX($B$7,$B$8),CH$3&lt;EDATE($B$7,MAX(1,'Вводные'!$H$88)),'Вводные'!$B$88="Да")</x:f>
      </x:c>
      <x:c r="CI12" s="35" t="n">
        <x:f>--AND(CI$3&gt;=MAX($B$7,$B$8),CI$3&lt;EDATE($B$7,MAX(1,'Вводные'!$H$88)),'Вводные'!$B$88="Да")</x:f>
      </x:c>
      <x:c r="CJ12" s="35" t="n">
        <x:f>--AND(CJ$3&gt;=MAX($B$7,$B$8),CJ$3&lt;EDATE($B$7,MAX(1,'Вводные'!$H$88)),'Вводные'!$B$88="Да")</x:f>
      </x:c>
      <x:c r="CK12" s="35" t="n">
        <x:f>--AND(CK$3&gt;=MAX($B$7,$B$8),CK$3&lt;EDATE($B$7,MAX(1,'Вводные'!$H$88)),'Вводные'!$B$88="Да")</x:f>
      </x:c>
      <x:c r="CL12" s="35" t="n">
        <x:f>--AND(CL$3&gt;=MAX($B$7,$B$8),CL$3&lt;EDATE($B$7,MAX(1,'Вводные'!$H$88)),'Вводные'!$B$88="Да")</x:f>
      </x:c>
      <x:c r="CM12" s="35" t="n">
        <x:f>--AND(CM$3&gt;=MAX($B$7,$B$8),CM$3&lt;EDATE($B$7,MAX(1,'Вводные'!$H$88)),'Вводные'!$B$88="Да")</x:f>
      </x:c>
      <x:c r="CN12" s="35" t="n">
        <x:f>--AND(CN$3&gt;=MAX($B$7,$B$8),CN$3&lt;EDATE($B$7,MAX(1,'Вводные'!$H$88)),'Вводные'!$B$88="Да")</x:f>
      </x:c>
      <x:c r="CO12" s="35" t="n">
        <x:f>--AND(CO$3&gt;=MAX($B$7,$B$8),CO$3&lt;EDATE($B$7,MAX(1,'Вводные'!$H$88)),'Вводные'!$B$88="Да")</x:f>
      </x:c>
      <x:c r="CP12" s="35" t="n">
        <x:f>--AND(CP$3&gt;=MAX($B$7,$B$8),CP$3&lt;EDATE($B$7,MAX(1,'Вводные'!$H$88)),'Вводные'!$B$88="Да")</x:f>
      </x:c>
      <x:c r="CQ12" s="35" t="n">
        <x:f>--AND(CQ$3&gt;=MAX($B$7,$B$8),CQ$3&lt;EDATE($B$7,MAX(1,'Вводные'!$H$88)),'Вводные'!$B$88="Да")</x:f>
      </x:c>
      <x:c r="CR12" s="35" t="n">
        <x:f>--AND(CR$3&gt;=MAX($B$7,$B$8),CR$3&lt;EDATE($B$7,MAX(1,'Вводные'!$H$88)),'Вводные'!$B$88="Да")</x:f>
      </x:c>
      <x:c r="CS12" s="35" t="n">
        <x:f>--AND(CS$3&gt;=MAX($B$7,$B$8),CS$3&lt;EDATE($B$7,MAX(1,'Вводные'!$H$88)),'Вводные'!$B$88="Да")</x:f>
      </x:c>
      <x:c r="CT12" s="35" t="n">
        <x:f>--AND(CT$3&gt;=MAX($B$7,$B$8),CT$3&lt;EDATE($B$7,MAX(1,'Вводные'!$H$88)),'Вводные'!$B$88="Да")</x:f>
      </x:c>
      <x:c r="CU12" s="35" t="n">
        <x:f>--AND(CU$3&gt;=MAX($B$7,$B$8),CU$3&lt;EDATE($B$7,MAX(1,'Вводные'!$H$88)),'Вводные'!$B$88="Да")</x:f>
      </x:c>
      <x:c r="CV12" s="35" t="n">
        <x:f>--AND(CV$3&gt;=MAX($B$7,$B$8),CV$3&lt;EDATE($B$7,MAX(1,'Вводные'!$H$88)),'Вводные'!$B$88="Да")</x:f>
      </x:c>
      <x:c r="CW12" s="35" t="n">
        <x:f>--AND(CW$3&gt;=MAX($B$7,$B$8),CW$3&lt;EDATE($B$7,MAX(1,'Вводные'!$H$88)),'Вводные'!$B$88="Да")</x:f>
      </x:c>
      <x:c r="CX12" s="35" t="n">
        <x:f>--AND(CX$3&gt;=MAX($B$7,$B$8),CX$3&lt;EDATE($B$7,MAX(1,'Вводные'!$H$88)),'Вводные'!$B$88="Да")</x:f>
      </x:c>
      <x:c r="CY12" s="35" t="n">
        <x:f>--AND(CY$3&gt;=MAX($B$7,$B$8),CY$3&lt;EDATE($B$7,MAX(1,'Вводные'!$H$88)),'Вводные'!$B$88="Да")</x:f>
      </x:c>
      <x:c r="CZ12" s="35" t="n">
        <x:f>--AND(CZ$3&gt;=MAX($B$7,$B$8),CZ$3&lt;EDATE($B$7,MAX(1,'Вводные'!$H$88)),'Вводные'!$B$88="Да")</x:f>
      </x:c>
      <x:c r="DA12" s="35" t="n">
        <x:f>--AND(DA$3&gt;=MAX($B$7,$B$8),DA$3&lt;EDATE($B$7,MAX(1,'Вводные'!$H$88)),'Вводные'!$B$88="Да")</x:f>
      </x:c>
      <x:c r="DB12" s="35" t="n">
        <x:f>--AND(DB$3&gt;=MAX($B$7,$B$8),DB$3&lt;EDATE($B$7,MAX(1,'Вводные'!$H$88)),'Вводные'!$B$88="Да")</x:f>
      </x:c>
      <x:c r="DC12" s="35" t="n">
        <x:f>--AND(DC$3&gt;=MAX($B$7,$B$8),DC$3&lt;EDATE($B$7,MAX(1,'Вводные'!$H$88)),'Вводные'!$B$88="Да")</x:f>
      </x:c>
      <x:c r="DD12" s="35" t="n">
        <x:f>--AND(DD$3&gt;=MAX($B$7,$B$8),DD$3&lt;EDATE($B$7,MAX(1,'Вводные'!$H$88)),'Вводные'!$B$88="Да")</x:f>
      </x:c>
      <x:c r="DE12" s="35" t="n">
        <x:f>--AND(DE$3&gt;=MAX($B$7,$B$8),DE$3&lt;EDATE($B$7,MAX(1,'Вводные'!$H$88)),'Вводные'!$B$88="Да")</x:f>
      </x:c>
      <x:c r="DF12" s="35" t="n">
        <x:f>--AND(DF$3&gt;=MAX($B$7,$B$8),DF$3&lt;EDATE($B$7,MAX(1,'Вводные'!$H$88)),'Вводные'!$B$88="Да")</x:f>
      </x:c>
      <x:c r="DG12" s="35" t="n">
        <x:f>--AND(DG$3&gt;=MAX($B$7,$B$8),DG$3&lt;EDATE($B$7,MAX(1,'Вводные'!$H$88)),'Вводные'!$B$88="Да")</x:f>
      </x:c>
      <x:c r="DH12" s="35" t="n">
        <x:f>--AND(DH$3&gt;=MAX($B$7,$B$8),DH$3&lt;EDATE($B$7,MAX(1,'Вводные'!$H$88)),'Вводные'!$B$88="Да")</x:f>
      </x:c>
      <x:c r="DI12" s="35" t="n">
        <x:f>--AND(DI$3&gt;=MAX($B$7,$B$8),DI$3&lt;EDATE($B$7,MAX(1,'Вводные'!$H$88)),'Вводные'!$B$88="Да")</x:f>
      </x:c>
      <x:c r="DJ12" s="35" t="n">
        <x:f>--AND(DJ$3&gt;=MAX($B$7,$B$8),DJ$3&lt;EDATE($B$7,MAX(1,'Вводные'!$H$88)),'Вводные'!$B$88="Да")</x:f>
      </x:c>
      <x:c r="DK12" s="35" t="n">
        <x:f>--AND(DK$3&gt;=MAX($B$7,$B$8),DK$3&lt;EDATE($B$7,MAX(1,'Вводные'!$H$88)),'Вводные'!$B$88="Да")</x:f>
      </x:c>
      <x:c r="DL12" s="35" t="n">
        <x:f>--AND(DL$3&gt;=MAX($B$7,$B$8),DL$3&lt;EDATE($B$7,MAX(1,'Вводные'!$H$88)),'Вводные'!$B$88="Да")</x:f>
      </x:c>
      <x:c r="DM12" s="35" t="n">
        <x:f>--AND(DM$3&gt;=MAX($B$7,$B$8),DM$3&lt;EDATE($B$7,MAX(1,'Вводные'!$H$88)),'Вводные'!$B$88="Да")</x:f>
      </x:c>
      <x:c r="DN12" s="35" t="n">
        <x:f>--AND(DN$3&gt;=MAX($B$7,$B$8),DN$3&lt;EDATE($B$7,MAX(1,'Вводные'!$H$88)),'Вводные'!$B$88="Да")</x:f>
      </x:c>
      <x:c r="DO12" s="35" t="n">
        <x:f>--AND(DO$3&gt;=MAX($B$7,$B$8),DO$3&lt;EDATE($B$7,MAX(1,'Вводные'!$H$88)),'Вводные'!$B$88="Да")</x:f>
      </x:c>
      <x:c r="DP12" s="35" t="n">
        <x:f>--AND(DP$3&gt;=MAX($B$7,$B$8),DP$3&lt;EDATE($B$7,MAX(1,'Вводные'!$H$88)),'Вводные'!$B$88="Да")</x:f>
      </x:c>
      <x:c r="DQ12" s="35" t="n">
        <x:f>--AND(DQ$3&gt;=MAX($B$7,$B$8),DQ$3&lt;EDATE($B$7,MAX(1,'Вводные'!$H$88)),'Вводные'!$B$88="Да")</x:f>
      </x:c>
      <x:c r="DR12" s="35" t="n">
        <x:f>--AND(DR$3&gt;=MAX($B$7,$B$8),DR$3&lt;EDATE($B$7,MAX(1,'Вводные'!$H$88)),'Вводные'!$B$88="Да")</x:f>
      </x:c>
      <x:c r="DS12" s="35" t="n">
        <x:f>--AND(DS$3&gt;=MAX($B$7,$B$8),DS$3&lt;EDATE($B$7,MAX(1,'Вводные'!$H$88)),'Вводные'!$B$88="Да")</x:f>
      </x:c>
    </x:row>
    <x:row r="13">
      <x:c r="A13" t="str">
        <x:v>Нормированный вес после РВЭ</x:v>
      </x:c>
      <x:c r="B13" t="n">
        <x:f>SUM(D13:DS13)</x:f>
      </x:c>
      <x:c r="C13" t="str">
        <x:v>%</x:v>
      </x:c>
      <x:c r="D13" s="35" t="n">
        <x:f>IFERROR(D10*D12/SUMPRODUCT($D10:$DS10,$D12:$DS12),0)</x:f>
      </x:c>
      <x:c r="E13" s="35" t="n">
        <x:f>IFERROR(E10*E12/SUMPRODUCT($D10:$DS10,$D12:$DS12),0)</x:f>
      </x:c>
      <x:c r="F13" s="35" t="n">
        <x:f>IFERROR(F10*F12/SUMPRODUCT($D10:$DS10,$D12:$DS12),0)</x:f>
      </x:c>
      <x:c r="G13" s="35" t="n">
        <x:f>IFERROR(G10*G12/SUMPRODUCT($D10:$DS10,$D12:$DS12),0)</x:f>
      </x:c>
      <x:c r="H13" s="35" t="n">
        <x:f>IFERROR(H10*H12/SUMPRODUCT($D10:$DS10,$D12:$DS12),0)</x:f>
      </x:c>
      <x:c r="I13" s="35" t="n">
        <x:f>IFERROR(I10*I12/SUMPRODUCT($D10:$DS10,$D12:$DS12),0)</x:f>
      </x:c>
      <x:c r="J13" s="35" t="n">
        <x:f>IFERROR(J10*J12/SUMPRODUCT($D10:$DS10,$D12:$DS12),0)</x:f>
      </x:c>
      <x:c r="K13" s="35" t="n">
        <x:f>IFERROR(K10*K12/SUMPRODUCT($D10:$DS10,$D12:$DS12),0)</x:f>
      </x:c>
      <x:c r="L13" s="35" t="n">
        <x:f>IFERROR(L10*L12/SUMPRODUCT($D10:$DS10,$D12:$DS12),0)</x:f>
      </x:c>
      <x:c r="M13" s="35" t="n">
        <x:f>IFERROR(M10*M12/SUMPRODUCT($D10:$DS10,$D12:$DS12),0)</x:f>
      </x:c>
      <x:c r="N13" s="35" t="n">
        <x:f>IFERROR(N10*N12/SUMPRODUCT($D10:$DS10,$D12:$DS12),0)</x:f>
      </x:c>
      <x:c r="O13" s="35" t="n">
        <x:f>IFERROR(O10*O12/SUMPRODUCT($D10:$DS10,$D12:$DS12),0)</x:f>
      </x:c>
      <x:c r="P13" s="35" t="n">
        <x:f>IFERROR(P10*P12/SUMPRODUCT($D10:$DS10,$D12:$DS12),0)</x:f>
      </x:c>
      <x:c r="Q13" s="35" t="n">
        <x:f>IFERROR(Q10*Q12/SUMPRODUCT($D10:$DS10,$D12:$DS12),0)</x:f>
      </x:c>
      <x:c r="R13" s="35" t="n">
        <x:f>IFERROR(R10*R12/SUMPRODUCT($D10:$DS10,$D12:$DS12),0)</x:f>
      </x:c>
      <x:c r="S13" s="35" t="n">
        <x:f>IFERROR(S10*S12/SUMPRODUCT($D10:$DS10,$D12:$DS12),0)</x:f>
      </x:c>
      <x:c r="T13" s="35" t="n">
        <x:f>IFERROR(T10*T12/SUMPRODUCT($D10:$DS10,$D12:$DS12),0)</x:f>
      </x:c>
      <x:c r="U13" s="35" t="n">
        <x:f>IFERROR(U10*U12/SUMPRODUCT($D10:$DS10,$D12:$DS12),0)</x:f>
      </x:c>
      <x:c r="V13" s="35" t="n">
        <x:f>IFERROR(V10*V12/SUMPRODUCT($D10:$DS10,$D12:$DS12),0)</x:f>
      </x:c>
      <x:c r="W13" s="35" t="n">
        <x:f>IFERROR(W10*W12/SUMPRODUCT($D10:$DS10,$D12:$DS12),0)</x:f>
      </x:c>
      <x:c r="X13" s="35" t="n">
        <x:f>IFERROR(X10*X12/SUMPRODUCT($D10:$DS10,$D12:$DS12),0)</x:f>
      </x:c>
      <x:c r="Y13" s="35" t="n">
        <x:f>IFERROR(Y10*Y12/SUMPRODUCT($D10:$DS10,$D12:$DS12),0)</x:f>
      </x:c>
      <x:c r="Z13" s="35" t="n">
        <x:f>IFERROR(Z10*Z12/SUMPRODUCT($D10:$DS10,$D12:$DS12),0)</x:f>
      </x:c>
      <x:c r="AA13" s="35" t="n">
        <x:f>IFERROR(AA10*AA12/SUMPRODUCT($D10:$DS10,$D12:$DS12),0)</x:f>
      </x:c>
      <x:c r="AB13" s="35" t="n">
        <x:f>IFERROR(AB10*AB12/SUMPRODUCT($D10:$DS10,$D12:$DS12),0)</x:f>
      </x:c>
      <x:c r="AC13" s="35" t="n">
        <x:f>IFERROR(AC10*AC12/SUMPRODUCT($D10:$DS10,$D12:$DS12),0)</x:f>
      </x:c>
      <x:c r="AD13" s="35" t="n">
        <x:f>IFERROR(AD10*AD12/SUMPRODUCT($D10:$DS10,$D12:$DS12),0)</x:f>
      </x:c>
      <x:c r="AE13" s="35" t="n">
        <x:f>IFERROR(AE10*AE12/SUMPRODUCT($D10:$DS10,$D12:$DS12),0)</x:f>
      </x:c>
      <x:c r="AF13" s="35" t="n">
        <x:f>IFERROR(AF10*AF12/SUMPRODUCT($D10:$DS10,$D12:$DS12),0)</x:f>
      </x:c>
      <x:c r="AG13" s="35" t="n">
        <x:f>IFERROR(AG10*AG12/SUMPRODUCT($D10:$DS10,$D12:$DS12),0)</x:f>
      </x:c>
      <x:c r="AH13" s="35" t="n">
        <x:f>IFERROR(AH10*AH12/SUMPRODUCT($D10:$DS10,$D12:$DS12),0)</x:f>
      </x:c>
      <x:c r="AI13" s="35" t="n">
        <x:f>IFERROR(AI10*AI12/SUMPRODUCT($D10:$DS10,$D12:$DS12),0)</x:f>
      </x:c>
      <x:c r="AJ13" s="35" t="n">
        <x:f>IFERROR(AJ10*AJ12/SUMPRODUCT($D10:$DS10,$D12:$DS12),0)</x:f>
      </x:c>
      <x:c r="AK13" s="35" t="n">
        <x:f>IFERROR(AK10*AK12/SUMPRODUCT($D10:$DS10,$D12:$DS12),0)</x:f>
      </x:c>
      <x:c r="AL13" s="35" t="n">
        <x:f>IFERROR(AL10*AL12/SUMPRODUCT($D10:$DS10,$D12:$DS12),0)</x:f>
      </x:c>
      <x:c r="AM13" s="35" t="n">
        <x:f>IFERROR(AM10*AM12/SUMPRODUCT($D10:$DS10,$D12:$DS12),0)</x:f>
      </x:c>
      <x:c r="AN13" s="35" t="n">
        <x:f>IFERROR(AN10*AN12/SUMPRODUCT($D10:$DS10,$D12:$DS12),0)</x:f>
      </x:c>
      <x:c r="AO13" s="35" t="n">
        <x:f>IFERROR(AO10*AO12/SUMPRODUCT($D10:$DS10,$D12:$DS12),0)</x:f>
      </x:c>
      <x:c r="AP13" s="35" t="n">
        <x:f>IFERROR(AP10*AP12/SUMPRODUCT($D10:$DS10,$D12:$DS12),0)</x:f>
      </x:c>
      <x:c r="AQ13" s="35" t="n">
        <x:f>IFERROR(AQ10*AQ12/SUMPRODUCT($D10:$DS10,$D12:$DS12),0)</x:f>
      </x:c>
      <x:c r="AR13" s="35" t="n">
        <x:f>IFERROR(AR10*AR12/SUMPRODUCT($D10:$DS10,$D12:$DS12),0)</x:f>
      </x:c>
      <x:c r="AS13" s="35" t="n">
        <x:f>IFERROR(AS10*AS12/SUMPRODUCT($D10:$DS10,$D12:$DS12),0)</x:f>
      </x:c>
      <x:c r="AT13" s="35" t="n">
        <x:f>IFERROR(AT10*AT12/SUMPRODUCT($D10:$DS10,$D12:$DS12),0)</x:f>
      </x:c>
      <x:c r="AU13" s="35" t="n">
        <x:f>IFERROR(AU10*AU12/SUMPRODUCT($D10:$DS10,$D12:$DS12),0)</x:f>
      </x:c>
      <x:c r="AV13" s="35" t="n">
        <x:f>IFERROR(AV10*AV12/SUMPRODUCT($D10:$DS10,$D12:$DS12),0)</x:f>
      </x:c>
      <x:c r="AW13" s="35" t="n">
        <x:f>IFERROR(AW10*AW12/SUMPRODUCT($D10:$DS10,$D12:$DS12),0)</x:f>
      </x:c>
      <x:c r="AX13" s="35" t="n">
        <x:f>IFERROR(AX10*AX12/SUMPRODUCT($D10:$DS10,$D12:$DS12),0)</x:f>
      </x:c>
      <x:c r="AY13" s="35" t="n">
        <x:f>IFERROR(AY10*AY12/SUMPRODUCT($D10:$DS10,$D12:$DS12),0)</x:f>
      </x:c>
      <x:c r="AZ13" s="35" t="n">
        <x:f>IFERROR(AZ10*AZ12/SUMPRODUCT($D10:$DS10,$D12:$DS12),0)</x:f>
      </x:c>
      <x:c r="BA13" s="35" t="n">
        <x:f>IFERROR(BA10*BA12/SUMPRODUCT($D10:$DS10,$D12:$DS12),0)</x:f>
      </x:c>
      <x:c r="BB13" s="35" t="n">
        <x:f>IFERROR(BB10*BB12/SUMPRODUCT($D10:$DS10,$D12:$DS12),0)</x:f>
      </x:c>
      <x:c r="BC13" s="35" t="n">
        <x:f>IFERROR(BC10*BC12/SUMPRODUCT($D10:$DS10,$D12:$DS12),0)</x:f>
      </x:c>
      <x:c r="BD13" s="35" t="n">
        <x:f>IFERROR(BD10*BD12/SUMPRODUCT($D10:$DS10,$D12:$DS12),0)</x:f>
      </x:c>
      <x:c r="BE13" s="35" t="n">
        <x:f>IFERROR(BE10*BE12/SUMPRODUCT($D10:$DS10,$D12:$DS12),0)</x:f>
      </x:c>
      <x:c r="BF13" s="35" t="n">
        <x:f>IFERROR(BF10*BF12/SUMPRODUCT($D10:$DS10,$D12:$DS12),0)</x:f>
      </x:c>
      <x:c r="BG13" s="35" t="n">
        <x:f>IFERROR(BG10*BG12/SUMPRODUCT($D10:$DS10,$D12:$DS12),0)</x:f>
      </x:c>
      <x:c r="BH13" s="35" t="n">
        <x:f>IFERROR(BH10*BH12/SUMPRODUCT($D10:$DS10,$D12:$DS12),0)</x:f>
      </x:c>
      <x:c r="BI13" s="35" t="n">
        <x:f>IFERROR(BI10*BI12/SUMPRODUCT($D10:$DS10,$D12:$DS12),0)</x:f>
      </x:c>
      <x:c r="BJ13" s="35" t="n">
        <x:f>IFERROR(BJ10*BJ12/SUMPRODUCT($D10:$DS10,$D12:$DS12),0)</x:f>
      </x:c>
      <x:c r="BK13" s="35" t="n">
        <x:f>IFERROR(BK10*BK12/SUMPRODUCT($D10:$DS10,$D12:$DS12),0)</x:f>
      </x:c>
      <x:c r="BL13" s="35" t="n">
        <x:f>IFERROR(BL10*BL12/SUMPRODUCT($D10:$DS10,$D12:$DS12),0)</x:f>
      </x:c>
      <x:c r="BM13" s="35" t="n">
        <x:f>IFERROR(BM10*BM12/SUMPRODUCT($D10:$DS10,$D12:$DS12),0)</x:f>
      </x:c>
      <x:c r="BN13" s="35" t="n">
        <x:f>IFERROR(BN10*BN12/SUMPRODUCT($D10:$DS10,$D12:$DS12),0)</x:f>
      </x:c>
      <x:c r="BO13" s="35" t="n">
        <x:f>IFERROR(BO10*BO12/SUMPRODUCT($D10:$DS10,$D12:$DS12),0)</x:f>
      </x:c>
      <x:c r="BP13" s="35" t="n">
        <x:f>IFERROR(BP10*BP12/SUMPRODUCT($D10:$DS10,$D12:$DS12),0)</x:f>
      </x:c>
      <x:c r="BQ13" s="35" t="n">
        <x:f>IFERROR(BQ10*BQ12/SUMPRODUCT($D10:$DS10,$D12:$DS12),0)</x:f>
      </x:c>
      <x:c r="BR13" s="35" t="n">
        <x:f>IFERROR(BR10*BR12/SUMPRODUCT($D10:$DS10,$D12:$DS12),0)</x:f>
      </x:c>
      <x:c r="BS13" s="35" t="n">
        <x:f>IFERROR(BS10*BS12/SUMPRODUCT($D10:$DS10,$D12:$DS12),0)</x:f>
      </x:c>
      <x:c r="BT13" s="35" t="n">
        <x:f>IFERROR(BT10*BT12/SUMPRODUCT($D10:$DS10,$D12:$DS12),0)</x:f>
      </x:c>
      <x:c r="BU13" s="35" t="n">
        <x:f>IFERROR(BU10*BU12/SUMPRODUCT($D10:$DS10,$D12:$DS12),0)</x:f>
      </x:c>
      <x:c r="BV13" s="35" t="n">
        <x:f>IFERROR(BV10*BV12/SUMPRODUCT($D10:$DS10,$D12:$DS12),0)</x:f>
      </x:c>
      <x:c r="BW13" s="35" t="n">
        <x:f>IFERROR(BW10*BW12/SUMPRODUCT($D10:$DS10,$D12:$DS12),0)</x:f>
      </x:c>
      <x:c r="BX13" s="35" t="n">
        <x:f>IFERROR(BX10*BX12/SUMPRODUCT($D10:$DS10,$D12:$DS12),0)</x:f>
      </x:c>
      <x:c r="BY13" s="35" t="n">
        <x:f>IFERROR(BY10*BY12/SUMPRODUCT($D10:$DS10,$D12:$DS12),0)</x:f>
      </x:c>
      <x:c r="BZ13" s="35" t="n">
        <x:f>IFERROR(BZ10*BZ12/SUMPRODUCT($D10:$DS10,$D12:$DS12),0)</x:f>
      </x:c>
      <x:c r="CA13" s="35" t="n">
        <x:f>IFERROR(CA10*CA12/SUMPRODUCT($D10:$DS10,$D12:$DS12),0)</x:f>
      </x:c>
      <x:c r="CB13" s="35" t="n">
        <x:f>IFERROR(CB10*CB12/SUMPRODUCT($D10:$DS10,$D12:$DS12),0)</x:f>
      </x:c>
      <x:c r="CC13" s="35" t="n">
        <x:f>IFERROR(CC10*CC12/SUMPRODUCT($D10:$DS10,$D12:$DS12),0)</x:f>
      </x:c>
      <x:c r="CD13" s="35" t="n">
        <x:f>IFERROR(CD10*CD12/SUMPRODUCT($D10:$DS10,$D12:$DS12),0)</x:f>
      </x:c>
      <x:c r="CE13" s="35" t="n">
        <x:f>IFERROR(CE10*CE12/SUMPRODUCT($D10:$DS10,$D12:$DS12),0)</x:f>
      </x:c>
      <x:c r="CF13" s="35" t="n">
        <x:f>IFERROR(CF10*CF12/SUMPRODUCT($D10:$DS10,$D12:$DS12),0)</x:f>
      </x:c>
      <x:c r="CG13" s="35" t="n">
        <x:f>IFERROR(CG10*CG12/SUMPRODUCT($D10:$DS10,$D12:$DS12),0)</x:f>
      </x:c>
      <x:c r="CH13" s="35" t="n">
        <x:f>IFERROR(CH10*CH12/SUMPRODUCT($D10:$DS10,$D12:$DS12),0)</x:f>
      </x:c>
      <x:c r="CI13" s="35" t="n">
        <x:f>IFERROR(CI10*CI12/SUMPRODUCT($D10:$DS10,$D12:$DS12),0)</x:f>
      </x:c>
      <x:c r="CJ13" s="35" t="n">
        <x:f>IFERROR(CJ10*CJ12/SUMPRODUCT($D10:$DS10,$D12:$DS12),0)</x:f>
      </x:c>
      <x:c r="CK13" s="35" t="n">
        <x:f>IFERROR(CK10*CK12/SUMPRODUCT($D10:$DS10,$D12:$DS12),0)</x:f>
      </x:c>
      <x:c r="CL13" s="35" t="n">
        <x:f>IFERROR(CL10*CL12/SUMPRODUCT($D10:$DS10,$D12:$DS12),0)</x:f>
      </x:c>
      <x:c r="CM13" s="35" t="n">
        <x:f>IFERROR(CM10*CM12/SUMPRODUCT($D10:$DS10,$D12:$DS12),0)</x:f>
      </x:c>
      <x:c r="CN13" s="35" t="n">
        <x:f>IFERROR(CN10*CN12/SUMPRODUCT($D10:$DS10,$D12:$DS12),0)</x:f>
      </x:c>
      <x:c r="CO13" s="35" t="n">
        <x:f>IFERROR(CO10*CO12/SUMPRODUCT($D10:$DS10,$D12:$DS12),0)</x:f>
      </x:c>
      <x:c r="CP13" s="35" t="n">
        <x:f>IFERROR(CP10*CP12/SUMPRODUCT($D10:$DS10,$D12:$DS12),0)</x:f>
      </x:c>
      <x:c r="CQ13" s="35" t="n">
        <x:f>IFERROR(CQ10*CQ12/SUMPRODUCT($D10:$DS10,$D12:$DS12),0)</x:f>
      </x:c>
      <x:c r="CR13" s="35" t="n">
        <x:f>IFERROR(CR10*CR12/SUMPRODUCT($D10:$DS10,$D12:$DS12),0)</x:f>
      </x:c>
      <x:c r="CS13" s="35" t="n">
        <x:f>IFERROR(CS10*CS12/SUMPRODUCT($D10:$DS10,$D12:$DS12),0)</x:f>
      </x:c>
      <x:c r="CT13" s="35" t="n">
        <x:f>IFERROR(CT10*CT12/SUMPRODUCT($D10:$DS10,$D12:$DS12),0)</x:f>
      </x:c>
      <x:c r="CU13" s="35" t="n">
        <x:f>IFERROR(CU10*CU12/SUMPRODUCT($D10:$DS10,$D12:$DS12),0)</x:f>
      </x:c>
      <x:c r="CV13" s="35" t="n">
        <x:f>IFERROR(CV10*CV12/SUMPRODUCT($D10:$DS10,$D12:$DS12),0)</x:f>
      </x:c>
      <x:c r="CW13" s="35" t="n">
        <x:f>IFERROR(CW10*CW12/SUMPRODUCT($D10:$DS10,$D12:$DS12),0)</x:f>
      </x:c>
      <x:c r="CX13" s="35" t="n">
        <x:f>IFERROR(CX10*CX12/SUMPRODUCT($D10:$DS10,$D12:$DS12),0)</x:f>
      </x:c>
      <x:c r="CY13" s="35" t="n">
        <x:f>IFERROR(CY10*CY12/SUMPRODUCT($D10:$DS10,$D12:$DS12),0)</x:f>
      </x:c>
      <x:c r="CZ13" s="35" t="n">
        <x:f>IFERROR(CZ10*CZ12/SUMPRODUCT($D10:$DS10,$D12:$DS12),0)</x:f>
      </x:c>
      <x:c r="DA13" s="35" t="n">
        <x:f>IFERROR(DA10*DA12/SUMPRODUCT($D10:$DS10,$D12:$DS12),0)</x:f>
      </x:c>
      <x:c r="DB13" s="35" t="n">
        <x:f>IFERROR(DB10*DB12/SUMPRODUCT($D10:$DS10,$D12:$DS12),0)</x:f>
      </x:c>
      <x:c r="DC13" s="35" t="n">
        <x:f>IFERROR(DC10*DC12/SUMPRODUCT($D10:$DS10,$D12:$DS12),0)</x:f>
      </x:c>
      <x:c r="DD13" s="35" t="n">
        <x:f>IFERROR(DD10*DD12/SUMPRODUCT($D10:$DS10,$D12:$DS12),0)</x:f>
      </x:c>
      <x:c r="DE13" s="35" t="n">
        <x:f>IFERROR(DE10*DE12/SUMPRODUCT($D10:$DS10,$D12:$DS12),0)</x:f>
      </x:c>
      <x:c r="DF13" s="35" t="n">
        <x:f>IFERROR(DF10*DF12/SUMPRODUCT($D10:$DS10,$D12:$DS12),0)</x:f>
      </x:c>
      <x:c r="DG13" s="35" t="n">
        <x:f>IFERROR(DG10*DG12/SUMPRODUCT($D10:$DS10,$D12:$DS12),0)</x:f>
      </x:c>
      <x:c r="DH13" s="35" t="n">
        <x:f>IFERROR(DH10*DH12/SUMPRODUCT($D10:$DS10,$D12:$DS12),0)</x:f>
      </x:c>
      <x:c r="DI13" s="35" t="n">
        <x:f>IFERROR(DI10*DI12/SUMPRODUCT($D10:$DS10,$D12:$DS12),0)</x:f>
      </x:c>
      <x:c r="DJ13" s="35" t="n">
        <x:f>IFERROR(DJ10*DJ12/SUMPRODUCT($D10:$DS10,$D12:$DS12),0)</x:f>
      </x:c>
      <x:c r="DK13" s="35" t="n">
        <x:f>IFERROR(DK10*DK12/SUMPRODUCT($D10:$DS10,$D12:$DS12),0)</x:f>
      </x:c>
      <x:c r="DL13" s="35" t="n">
        <x:f>IFERROR(DL10*DL12/SUMPRODUCT($D10:$DS10,$D12:$DS12),0)</x:f>
      </x:c>
      <x:c r="DM13" s="35" t="n">
        <x:f>IFERROR(DM10*DM12/SUMPRODUCT($D10:$DS10,$D12:$DS12),0)</x:f>
      </x:c>
      <x:c r="DN13" s="35" t="n">
        <x:f>IFERROR(DN10*DN12/SUMPRODUCT($D10:$DS10,$D12:$DS12),0)</x:f>
      </x:c>
      <x:c r="DO13" s="35" t="n">
        <x:f>IFERROR(DO10*DO12/SUMPRODUCT($D10:$DS10,$D12:$DS12),0)</x:f>
      </x:c>
      <x:c r="DP13" s="35" t="n">
        <x:f>IFERROR(DP10*DP12/SUMPRODUCT($D10:$DS10,$D12:$DS12),0)</x:f>
      </x:c>
      <x:c r="DQ13" s="35" t="n">
        <x:f>IFERROR(DQ10*DQ12/SUMPRODUCT($D10:$DS10,$D12:$DS12),0)</x:f>
      </x:c>
      <x:c r="DR13" s="35" t="n">
        <x:f>IFERROR(DR10*DR12/SUMPRODUCT($D10:$DS10,$D12:$DS12),0)</x:f>
      </x:c>
      <x:c r="DS13" s="35" t="n">
        <x:f>IFERROR(DS10*DS12/SUMPRODUCT($D10:$DS10,$D12:$DS12),0)</x:f>
      </x:c>
    </x:row>
    <x:row r="14">
      <x:c r="A14" t="str">
        <x:v>Квартиры — объём</x:v>
      </x:c>
      <x:c r="B14" t="n">
        <x:f>SUM(D14:DS14)</x:f>
      </x:c>
      <x:c r="C14" t="str">
        <x:v>м²</x:v>
      </x:c>
      <x:c r="D14" s="107" t="n">
        <x:f>'Вводные'!$L$88*((IF(SUM($D9:$DS9)=0,0,IF(SUM($D12:$DS12)=0,1,'Вводные'!$B$63)))*D11+(1-(IF(SUM($D9:$DS9)=0,0,IF(SUM($D12:$DS12)=0,1,'Вводные'!$B$63))))*D13)</x:f>
      </x:c>
      <x:c r="E14" s="107" t="n">
        <x:f>'Вводные'!$L$88*((IF(SUM($D9:$DS9)=0,0,IF(SUM($D12:$DS12)=0,1,'Вводные'!$B$63)))*E11+(1-(IF(SUM($D9:$DS9)=0,0,IF(SUM($D12:$DS12)=0,1,'Вводные'!$B$63))))*E13)</x:f>
      </x:c>
      <x:c r="F14" s="107" t="n">
        <x:f>'Вводные'!$L$88*((IF(SUM($D9:$DS9)=0,0,IF(SUM($D12:$DS12)=0,1,'Вводные'!$B$63)))*F11+(1-(IF(SUM($D9:$DS9)=0,0,IF(SUM($D12:$DS12)=0,1,'Вводные'!$B$63))))*F13)</x:f>
      </x:c>
      <x:c r="G14" s="107" t="n">
        <x:f>'Вводные'!$L$88*((IF(SUM($D9:$DS9)=0,0,IF(SUM($D12:$DS12)=0,1,'Вводные'!$B$63)))*G11+(1-(IF(SUM($D9:$DS9)=0,0,IF(SUM($D12:$DS12)=0,1,'Вводные'!$B$63))))*G13)</x:f>
      </x:c>
      <x:c r="H14" s="107" t="n">
        <x:f>'Вводные'!$L$88*((IF(SUM($D9:$DS9)=0,0,IF(SUM($D12:$DS12)=0,1,'Вводные'!$B$63)))*H11+(1-(IF(SUM($D9:$DS9)=0,0,IF(SUM($D12:$DS12)=0,1,'Вводные'!$B$63))))*H13)</x:f>
      </x:c>
      <x:c r="I14" s="107" t="n">
        <x:f>'Вводные'!$L$88*((IF(SUM($D9:$DS9)=0,0,IF(SUM($D12:$DS12)=0,1,'Вводные'!$B$63)))*I11+(1-(IF(SUM($D9:$DS9)=0,0,IF(SUM($D12:$DS12)=0,1,'Вводные'!$B$63))))*I13)</x:f>
      </x:c>
      <x:c r="J14" s="107" t="n">
        <x:f>'Вводные'!$L$88*((IF(SUM($D9:$DS9)=0,0,IF(SUM($D12:$DS12)=0,1,'Вводные'!$B$63)))*J11+(1-(IF(SUM($D9:$DS9)=0,0,IF(SUM($D12:$DS12)=0,1,'Вводные'!$B$63))))*J13)</x:f>
      </x:c>
      <x:c r="K14" s="107" t="n">
        <x:f>'Вводные'!$L$88*((IF(SUM($D9:$DS9)=0,0,IF(SUM($D12:$DS12)=0,1,'Вводные'!$B$63)))*K11+(1-(IF(SUM($D9:$DS9)=0,0,IF(SUM($D12:$DS12)=0,1,'Вводные'!$B$63))))*K13)</x:f>
      </x:c>
      <x:c r="L14" s="107" t="n">
        <x:f>'Вводные'!$L$88*((IF(SUM($D9:$DS9)=0,0,IF(SUM($D12:$DS12)=0,1,'Вводные'!$B$63)))*L11+(1-(IF(SUM($D9:$DS9)=0,0,IF(SUM($D12:$DS12)=0,1,'Вводные'!$B$63))))*L13)</x:f>
      </x:c>
      <x:c r="M14" s="107" t="n">
        <x:f>'Вводные'!$L$88*((IF(SUM($D9:$DS9)=0,0,IF(SUM($D12:$DS12)=0,1,'Вводные'!$B$63)))*M11+(1-(IF(SUM($D9:$DS9)=0,0,IF(SUM($D12:$DS12)=0,1,'Вводные'!$B$63))))*M13)</x:f>
      </x:c>
      <x:c r="N14" s="107" t="n">
        <x:f>'Вводные'!$L$88*((IF(SUM($D9:$DS9)=0,0,IF(SUM($D12:$DS12)=0,1,'Вводные'!$B$63)))*N11+(1-(IF(SUM($D9:$DS9)=0,0,IF(SUM($D12:$DS12)=0,1,'Вводные'!$B$63))))*N13)</x:f>
      </x:c>
      <x:c r="O14" s="107" t="n">
        <x:f>'Вводные'!$L$88*((IF(SUM($D9:$DS9)=0,0,IF(SUM($D12:$DS12)=0,1,'Вводные'!$B$63)))*O11+(1-(IF(SUM($D9:$DS9)=0,0,IF(SUM($D12:$DS12)=0,1,'Вводные'!$B$63))))*O13)</x:f>
      </x:c>
      <x:c r="P14" s="107" t="n">
        <x:f>'Вводные'!$L$88*((IF(SUM($D9:$DS9)=0,0,IF(SUM($D12:$DS12)=0,1,'Вводные'!$B$63)))*P11+(1-(IF(SUM($D9:$DS9)=0,0,IF(SUM($D12:$DS12)=0,1,'Вводные'!$B$63))))*P13)</x:f>
      </x:c>
      <x:c r="Q14" s="107" t="n">
        <x:f>'Вводные'!$L$88*((IF(SUM($D9:$DS9)=0,0,IF(SUM($D12:$DS12)=0,1,'Вводные'!$B$63)))*Q11+(1-(IF(SUM($D9:$DS9)=0,0,IF(SUM($D12:$DS12)=0,1,'Вводные'!$B$63))))*Q13)</x:f>
      </x:c>
      <x:c r="R14" s="107" t="n">
        <x:f>'Вводные'!$L$88*((IF(SUM($D9:$DS9)=0,0,IF(SUM($D12:$DS12)=0,1,'Вводные'!$B$63)))*R11+(1-(IF(SUM($D9:$DS9)=0,0,IF(SUM($D12:$DS12)=0,1,'Вводные'!$B$63))))*R13)</x:f>
      </x:c>
      <x:c r="S14" s="107" t="n">
        <x:f>'Вводные'!$L$88*((IF(SUM($D9:$DS9)=0,0,IF(SUM($D12:$DS12)=0,1,'Вводные'!$B$63)))*S11+(1-(IF(SUM($D9:$DS9)=0,0,IF(SUM($D12:$DS12)=0,1,'Вводные'!$B$63))))*S13)</x:f>
      </x:c>
      <x:c r="T14" s="107" t="n">
        <x:f>'Вводные'!$L$88*((IF(SUM($D9:$DS9)=0,0,IF(SUM($D12:$DS12)=0,1,'Вводные'!$B$63)))*T11+(1-(IF(SUM($D9:$DS9)=0,0,IF(SUM($D12:$DS12)=0,1,'Вводные'!$B$63))))*T13)</x:f>
      </x:c>
      <x:c r="U14" s="107" t="n">
        <x:f>'Вводные'!$L$88*((IF(SUM($D9:$DS9)=0,0,IF(SUM($D12:$DS12)=0,1,'Вводные'!$B$63)))*U11+(1-(IF(SUM($D9:$DS9)=0,0,IF(SUM($D12:$DS12)=0,1,'Вводные'!$B$63))))*U13)</x:f>
      </x:c>
      <x:c r="V14" s="107" t="n">
        <x:f>'Вводные'!$L$88*((IF(SUM($D9:$DS9)=0,0,IF(SUM($D12:$DS12)=0,1,'Вводные'!$B$63)))*V11+(1-(IF(SUM($D9:$DS9)=0,0,IF(SUM($D12:$DS12)=0,1,'Вводные'!$B$63))))*V13)</x:f>
      </x:c>
      <x:c r="W14" s="107" t="n">
        <x:f>'Вводные'!$L$88*((IF(SUM($D9:$DS9)=0,0,IF(SUM($D12:$DS12)=0,1,'Вводные'!$B$63)))*W11+(1-(IF(SUM($D9:$DS9)=0,0,IF(SUM($D12:$DS12)=0,1,'Вводные'!$B$63))))*W13)</x:f>
      </x:c>
      <x:c r="X14" s="107" t="n">
        <x:f>'Вводные'!$L$88*((IF(SUM($D9:$DS9)=0,0,IF(SUM($D12:$DS12)=0,1,'Вводные'!$B$63)))*X11+(1-(IF(SUM($D9:$DS9)=0,0,IF(SUM($D12:$DS12)=0,1,'Вводные'!$B$63))))*X13)</x:f>
      </x:c>
      <x:c r="Y14" s="107" t="n">
        <x:f>'Вводные'!$L$88*((IF(SUM($D9:$DS9)=0,0,IF(SUM($D12:$DS12)=0,1,'Вводные'!$B$63)))*Y11+(1-(IF(SUM($D9:$DS9)=0,0,IF(SUM($D12:$DS12)=0,1,'Вводные'!$B$63))))*Y13)</x:f>
      </x:c>
      <x:c r="Z14" s="107" t="n">
        <x:f>'Вводные'!$L$88*((IF(SUM($D9:$DS9)=0,0,IF(SUM($D12:$DS12)=0,1,'Вводные'!$B$63)))*Z11+(1-(IF(SUM($D9:$DS9)=0,0,IF(SUM($D12:$DS12)=0,1,'Вводные'!$B$63))))*Z13)</x:f>
      </x:c>
      <x:c r="AA14" s="107" t="n">
        <x:f>'Вводные'!$L$88*((IF(SUM($D9:$DS9)=0,0,IF(SUM($D12:$DS12)=0,1,'Вводные'!$B$63)))*AA11+(1-(IF(SUM($D9:$DS9)=0,0,IF(SUM($D12:$DS12)=0,1,'Вводные'!$B$63))))*AA13)</x:f>
      </x:c>
      <x:c r="AB14" s="107" t="n">
        <x:f>'Вводные'!$L$88*((IF(SUM($D9:$DS9)=0,0,IF(SUM($D12:$DS12)=0,1,'Вводные'!$B$63)))*AB11+(1-(IF(SUM($D9:$DS9)=0,0,IF(SUM($D12:$DS12)=0,1,'Вводные'!$B$63))))*AB13)</x:f>
      </x:c>
      <x:c r="AC14" s="107" t="n">
        <x:f>'Вводные'!$L$88*((IF(SUM($D9:$DS9)=0,0,IF(SUM($D12:$DS12)=0,1,'Вводные'!$B$63)))*AC11+(1-(IF(SUM($D9:$DS9)=0,0,IF(SUM($D12:$DS12)=0,1,'Вводные'!$B$63))))*AC13)</x:f>
      </x:c>
      <x:c r="AD14" s="107" t="n">
        <x:f>'Вводные'!$L$88*((IF(SUM($D9:$DS9)=0,0,IF(SUM($D12:$DS12)=0,1,'Вводные'!$B$63)))*AD11+(1-(IF(SUM($D9:$DS9)=0,0,IF(SUM($D12:$DS12)=0,1,'Вводные'!$B$63))))*AD13)</x:f>
      </x:c>
      <x:c r="AE14" s="107" t="n">
        <x:f>'Вводные'!$L$88*((IF(SUM($D9:$DS9)=0,0,IF(SUM($D12:$DS12)=0,1,'Вводные'!$B$63)))*AE11+(1-(IF(SUM($D9:$DS9)=0,0,IF(SUM($D12:$DS12)=0,1,'Вводные'!$B$63))))*AE13)</x:f>
      </x:c>
      <x:c r="AF14" s="107" t="n">
        <x:f>'Вводные'!$L$88*((IF(SUM($D9:$DS9)=0,0,IF(SUM($D12:$DS12)=0,1,'Вводные'!$B$63)))*AF11+(1-(IF(SUM($D9:$DS9)=0,0,IF(SUM($D12:$DS12)=0,1,'Вводные'!$B$63))))*AF13)</x:f>
      </x:c>
      <x:c r="AG14" s="107" t="n">
        <x:f>'Вводные'!$L$88*((IF(SUM($D9:$DS9)=0,0,IF(SUM($D12:$DS12)=0,1,'Вводные'!$B$63)))*AG11+(1-(IF(SUM($D9:$DS9)=0,0,IF(SUM($D12:$DS12)=0,1,'Вводные'!$B$63))))*AG13)</x:f>
      </x:c>
      <x:c r="AH14" s="107" t="n">
        <x:f>'Вводные'!$L$88*((IF(SUM($D9:$DS9)=0,0,IF(SUM($D12:$DS12)=0,1,'Вводные'!$B$63)))*AH11+(1-(IF(SUM($D9:$DS9)=0,0,IF(SUM($D12:$DS12)=0,1,'Вводные'!$B$63))))*AH13)</x:f>
      </x:c>
      <x:c r="AI14" s="107" t="n">
        <x:f>'Вводные'!$L$88*((IF(SUM($D9:$DS9)=0,0,IF(SUM($D12:$DS12)=0,1,'Вводные'!$B$63)))*AI11+(1-(IF(SUM($D9:$DS9)=0,0,IF(SUM($D12:$DS12)=0,1,'Вводные'!$B$63))))*AI13)</x:f>
      </x:c>
      <x:c r="AJ14" s="107" t="n">
        <x:f>'Вводные'!$L$88*((IF(SUM($D9:$DS9)=0,0,IF(SUM($D12:$DS12)=0,1,'Вводные'!$B$63)))*AJ11+(1-(IF(SUM($D9:$DS9)=0,0,IF(SUM($D12:$DS12)=0,1,'Вводные'!$B$63))))*AJ13)</x:f>
      </x:c>
      <x:c r="AK14" s="107" t="n">
        <x:f>'Вводные'!$L$88*((IF(SUM($D9:$DS9)=0,0,IF(SUM($D12:$DS12)=0,1,'Вводные'!$B$63)))*AK11+(1-(IF(SUM($D9:$DS9)=0,0,IF(SUM($D12:$DS12)=0,1,'Вводные'!$B$63))))*AK13)</x:f>
      </x:c>
      <x:c r="AL14" s="107" t="n">
        <x:f>'Вводные'!$L$88*((IF(SUM($D9:$DS9)=0,0,IF(SUM($D12:$DS12)=0,1,'Вводные'!$B$63)))*AL11+(1-(IF(SUM($D9:$DS9)=0,0,IF(SUM($D12:$DS12)=0,1,'Вводные'!$B$63))))*AL13)</x:f>
      </x:c>
      <x:c r="AM14" s="107" t="n">
        <x:f>'Вводные'!$L$88*((IF(SUM($D9:$DS9)=0,0,IF(SUM($D12:$DS12)=0,1,'Вводные'!$B$63)))*AM11+(1-(IF(SUM($D9:$DS9)=0,0,IF(SUM($D12:$DS12)=0,1,'Вводные'!$B$63))))*AM13)</x:f>
      </x:c>
      <x:c r="AN14" s="107" t="n">
        <x:f>'Вводные'!$L$88*((IF(SUM($D9:$DS9)=0,0,IF(SUM($D12:$DS12)=0,1,'Вводные'!$B$63)))*AN11+(1-(IF(SUM($D9:$DS9)=0,0,IF(SUM($D12:$DS12)=0,1,'Вводные'!$B$63))))*AN13)</x:f>
      </x:c>
      <x:c r="AO14" s="107" t="n">
        <x:f>'Вводные'!$L$88*((IF(SUM($D9:$DS9)=0,0,IF(SUM($D12:$DS12)=0,1,'Вводные'!$B$63)))*AO11+(1-(IF(SUM($D9:$DS9)=0,0,IF(SUM($D12:$DS12)=0,1,'Вводные'!$B$63))))*AO13)</x:f>
      </x:c>
      <x:c r="AP14" s="107" t="n">
        <x:f>'Вводные'!$L$88*((IF(SUM($D9:$DS9)=0,0,IF(SUM($D12:$DS12)=0,1,'Вводные'!$B$63)))*AP11+(1-(IF(SUM($D9:$DS9)=0,0,IF(SUM($D12:$DS12)=0,1,'Вводные'!$B$63))))*AP13)</x:f>
      </x:c>
      <x:c r="AQ14" s="107" t="n">
        <x:f>'Вводные'!$L$88*((IF(SUM($D9:$DS9)=0,0,IF(SUM($D12:$DS12)=0,1,'Вводные'!$B$63)))*AQ11+(1-(IF(SUM($D9:$DS9)=0,0,IF(SUM($D12:$DS12)=0,1,'Вводные'!$B$63))))*AQ13)</x:f>
      </x:c>
      <x:c r="AR14" s="107" t="n">
        <x:f>'Вводные'!$L$88*((IF(SUM($D9:$DS9)=0,0,IF(SUM($D12:$DS12)=0,1,'Вводные'!$B$63)))*AR11+(1-(IF(SUM($D9:$DS9)=0,0,IF(SUM($D12:$DS12)=0,1,'Вводные'!$B$63))))*AR13)</x:f>
      </x:c>
      <x:c r="AS14" s="107" t="n">
        <x:f>'Вводные'!$L$88*((IF(SUM($D9:$DS9)=0,0,IF(SUM($D12:$DS12)=0,1,'Вводные'!$B$63)))*AS11+(1-(IF(SUM($D9:$DS9)=0,0,IF(SUM($D12:$DS12)=0,1,'Вводные'!$B$63))))*AS13)</x:f>
      </x:c>
      <x:c r="AT14" s="107" t="n">
        <x:f>'Вводные'!$L$88*((IF(SUM($D9:$DS9)=0,0,IF(SUM($D12:$DS12)=0,1,'Вводные'!$B$63)))*AT11+(1-(IF(SUM($D9:$DS9)=0,0,IF(SUM($D12:$DS12)=0,1,'Вводные'!$B$63))))*AT13)</x:f>
      </x:c>
      <x:c r="AU14" s="107" t="n">
        <x:f>'Вводные'!$L$88*((IF(SUM($D9:$DS9)=0,0,IF(SUM($D12:$DS12)=0,1,'Вводные'!$B$63)))*AU11+(1-(IF(SUM($D9:$DS9)=0,0,IF(SUM($D12:$DS12)=0,1,'Вводные'!$B$63))))*AU13)</x:f>
      </x:c>
      <x:c r="AV14" s="107" t="n">
        <x:f>'Вводные'!$L$88*((IF(SUM($D9:$DS9)=0,0,IF(SUM($D12:$DS12)=0,1,'Вводные'!$B$63)))*AV11+(1-(IF(SUM($D9:$DS9)=0,0,IF(SUM($D12:$DS12)=0,1,'Вводные'!$B$63))))*AV13)</x:f>
      </x:c>
      <x:c r="AW14" s="107" t="n">
        <x:f>'Вводные'!$L$88*((IF(SUM($D9:$DS9)=0,0,IF(SUM($D12:$DS12)=0,1,'Вводные'!$B$63)))*AW11+(1-(IF(SUM($D9:$DS9)=0,0,IF(SUM($D12:$DS12)=0,1,'Вводные'!$B$63))))*AW13)</x:f>
      </x:c>
      <x:c r="AX14" s="107" t="n">
        <x:f>'Вводные'!$L$88*((IF(SUM($D9:$DS9)=0,0,IF(SUM($D12:$DS12)=0,1,'Вводные'!$B$63)))*AX11+(1-(IF(SUM($D9:$DS9)=0,0,IF(SUM($D12:$DS12)=0,1,'Вводные'!$B$63))))*AX13)</x:f>
      </x:c>
      <x:c r="AY14" s="107" t="n">
        <x:f>'Вводные'!$L$88*((IF(SUM($D9:$DS9)=0,0,IF(SUM($D12:$DS12)=0,1,'Вводные'!$B$63)))*AY11+(1-(IF(SUM($D9:$DS9)=0,0,IF(SUM($D12:$DS12)=0,1,'Вводные'!$B$63))))*AY13)</x:f>
      </x:c>
      <x:c r="AZ14" s="107" t="n">
        <x:f>'Вводные'!$L$88*((IF(SUM($D9:$DS9)=0,0,IF(SUM($D12:$DS12)=0,1,'Вводные'!$B$63)))*AZ11+(1-(IF(SUM($D9:$DS9)=0,0,IF(SUM($D12:$DS12)=0,1,'Вводные'!$B$63))))*AZ13)</x:f>
      </x:c>
      <x:c r="BA14" s="107" t="n">
        <x:f>'Вводные'!$L$88*((IF(SUM($D9:$DS9)=0,0,IF(SUM($D12:$DS12)=0,1,'Вводные'!$B$63)))*BA11+(1-(IF(SUM($D9:$DS9)=0,0,IF(SUM($D12:$DS12)=0,1,'Вводные'!$B$63))))*BA13)</x:f>
      </x:c>
      <x:c r="BB14" s="107" t="n">
        <x:f>'Вводные'!$L$88*((IF(SUM($D9:$DS9)=0,0,IF(SUM($D12:$DS12)=0,1,'Вводные'!$B$63)))*BB11+(1-(IF(SUM($D9:$DS9)=0,0,IF(SUM($D12:$DS12)=0,1,'Вводные'!$B$63))))*BB13)</x:f>
      </x:c>
      <x:c r="BC14" s="107" t="n">
        <x:f>'Вводные'!$L$88*((IF(SUM($D9:$DS9)=0,0,IF(SUM($D12:$DS12)=0,1,'Вводные'!$B$63)))*BC11+(1-(IF(SUM($D9:$DS9)=0,0,IF(SUM($D12:$DS12)=0,1,'Вводные'!$B$63))))*BC13)</x:f>
      </x:c>
      <x:c r="BD14" s="107" t="n">
        <x:f>'Вводные'!$L$88*((IF(SUM($D9:$DS9)=0,0,IF(SUM($D12:$DS12)=0,1,'Вводные'!$B$63)))*BD11+(1-(IF(SUM($D9:$DS9)=0,0,IF(SUM($D12:$DS12)=0,1,'Вводные'!$B$63))))*BD13)</x:f>
      </x:c>
      <x:c r="BE14" s="107" t="n">
        <x:f>'Вводные'!$L$88*((IF(SUM($D9:$DS9)=0,0,IF(SUM($D12:$DS12)=0,1,'Вводные'!$B$63)))*BE11+(1-(IF(SUM($D9:$DS9)=0,0,IF(SUM($D12:$DS12)=0,1,'Вводные'!$B$63))))*BE13)</x:f>
      </x:c>
      <x:c r="BF14" s="107" t="n">
        <x:f>'Вводные'!$L$88*((IF(SUM($D9:$DS9)=0,0,IF(SUM($D12:$DS12)=0,1,'Вводные'!$B$63)))*BF11+(1-(IF(SUM($D9:$DS9)=0,0,IF(SUM($D12:$DS12)=0,1,'Вводные'!$B$63))))*BF13)</x:f>
      </x:c>
      <x:c r="BG14" s="107" t="n">
        <x:f>'Вводные'!$L$88*((IF(SUM($D9:$DS9)=0,0,IF(SUM($D12:$DS12)=0,1,'Вводные'!$B$63)))*BG11+(1-(IF(SUM($D9:$DS9)=0,0,IF(SUM($D12:$DS12)=0,1,'Вводные'!$B$63))))*BG13)</x:f>
      </x:c>
      <x:c r="BH14" s="107" t="n">
        <x:f>'Вводные'!$L$88*((IF(SUM($D9:$DS9)=0,0,IF(SUM($D12:$DS12)=0,1,'Вводные'!$B$63)))*BH11+(1-(IF(SUM($D9:$DS9)=0,0,IF(SUM($D12:$DS12)=0,1,'Вводные'!$B$63))))*BH13)</x:f>
      </x:c>
      <x:c r="BI14" s="107" t="n">
        <x:f>'Вводные'!$L$88*((IF(SUM($D9:$DS9)=0,0,IF(SUM($D12:$DS12)=0,1,'Вводные'!$B$63)))*BI11+(1-(IF(SUM($D9:$DS9)=0,0,IF(SUM($D12:$DS12)=0,1,'Вводные'!$B$63))))*BI13)</x:f>
      </x:c>
      <x:c r="BJ14" s="107" t="n">
        <x:f>'Вводные'!$L$88*((IF(SUM($D9:$DS9)=0,0,IF(SUM($D12:$DS12)=0,1,'Вводные'!$B$63)))*BJ11+(1-(IF(SUM($D9:$DS9)=0,0,IF(SUM($D12:$DS12)=0,1,'Вводные'!$B$63))))*BJ13)</x:f>
      </x:c>
      <x:c r="BK14" s="107" t="n">
        <x:f>'Вводные'!$L$88*((IF(SUM($D9:$DS9)=0,0,IF(SUM($D12:$DS12)=0,1,'Вводные'!$B$63)))*BK11+(1-(IF(SUM($D9:$DS9)=0,0,IF(SUM($D12:$DS12)=0,1,'Вводные'!$B$63))))*BK13)</x:f>
      </x:c>
      <x:c r="BL14" s="107" t="n">
        <x:f>'Вводные'!$L$88*((IF(SUM($D9:$DS9)=0,0,IF(SUM($D12:$DS12)=0,1,'Вводные'!$B$63)))*BL11+(1-(IF(SUM($D9:$DS9)=0,0,IF(SUM($D12:$DS12)=0,1,'Вводные'!$B$63))))*BL13)</x:f>
      </x:c>
      <x:c r="BM14" s="107" t="n">
        <x:f>'Вводные'!$L$88*((IF(SUM($D9:$DS9)=0,0,IF(SUM($D12:$DS12)=0,1,'Вводные'!$B$63)))*BM11+(1-(IF(SUM($D9:$DS9)=0,0,IF(SUM($D12:$DS12)=0,1,'Вводные'!$B$63))))*BM13)</x:f>
      </x:c>
      <x:c r="BN14" s="107" t="n">
        <x:f>'Вводные'!$L$88*((IF(SUM($D9:$DS9)=0,0,IF(SUM($D12:$DS12)=0,1,'Вводные'!$B$63)))*BN11+(1-(IF(SUM($D9:$DS9)=0,0,IF(SUM($D12:$DS12)=0,1,'Вводные'!$B$63))))*BN13)</x:f>
      </x:c>
      <x:c r="BO14" s="107" t="n">
        <x:f>'Вводные'!$L$88*((IF(SUM($D9:$DS9)=0,0,IF(SUM($D12:$DS12)=0,1,'Вводные'!$B$63)))*BO11+(1-(IF(SUM($D9:$DS9)=0,0,IF(SUM($D12:$DS12)=0,1,'Вводные'!$B$63))))*BO13)</x:f>
      </x:c>
      <x:c r="BP14" s="107" t="n">
        <x:f>'Вводные'!$L$88*((IF(SUM($D9:$DS9)=0,0,IF(SUM($D12:$DS12)=0,1,'Вводные'!$B$63)))*BP11+(1-(IF(SUM($D9:$DS9)=0,0,IF(SUM($D12:$DS12)=0,1,'Вводные'!$B$63))))*BP13)</x:f>
      </x:c>
      <x:c r="BQ14" s="107" t="n">
        <x:f>'Вводные'!$L$88*((IF(SUM($D9:$DS9)=0,0,IF(SUM($D12:$DS12)=0,1,'Вводные'!$B$63)))*BQ11+(1-(IF(SUM($D9:$DS9)=0,0,IF(SUM($D12:$DS12)=0,1,'Вводные'!$B$63))))*BQ13)</x:f>
      </x:c>
      <x:c r="BR14" s="107" t="n">
        <x:f>'Вводные'!$L$88*((IF(SUM($D9:$DS9)=0,0,IF(SUM($D12:$DS12)=0,1,'Вводные'!$B$63)))*BR11+(1-(IF(SUM($D9:$DS9)=0,0,IF(SUM($D12:$DS12)=0,1,'Вводные'!$B$63))))*BR13)</x:f>
      </x:c>
      <x:c r="BS14" s="107" t="n">
        <x:f>'Вводные'!$L$88*((IF(SUM($D9:$DS9)=0,0,IF(SUM($D12:$DS12)=0,1,'Вводные'!$B$63)))*BS11+(1-(IF(SUM($D9:$DS9)=0,0,IF(SUM($D12:$DS12)=0,1,'Вводные'!$B$63))))*BS13)</x:f>
      </x:c>
      <x:c r="BT14" s="107" t="n">
        <x:f>'Вводные'!$L$88*((IF(SUM($D9:$DS9)=0,0,IF(SUM($D12:$DS12)=0,1,'Вводные'!$B$63)))*BT11+(1-(IF(SUM($D9:$DS9)=0,0,IF(SUM($D12:$DS12)=0,1,'Вводные'!$B$63))))*BT13)</x:f>
      </x:c>
      <x:c r="BU14" s="107" t="n">
        <x:f>'Вводные'!$L$88*((IF(SUM($D9:$DS9)=0,0,IF(SUM($D12:$DS12)=0,1,'Вводные'!$B$63)))*BU11+(1-(IF(SUM($D9:$DS9)=0,0,IF(SUM($D12:$DS12)=0,1,'Вводные'!$B$63))))*BU13)</x:f>
      </x:c>
      <x:c r="BV14" s="107" t="n">
        <x:f>'Вводные'!$L$88*((IF(SUM($D9:$DS9)=0,0,IF(SUM($D12:$DS12)=0,1,'Вводные'!$B$63)))*BV11+(1-(IF(SUM($D9:$DS9)=0,0,IF(SUM($D12:$DS12)=0,1,'Вводные'!$B$63))))*BV13)</x:f>
      </x:c>
      <x:c r="BW14" s="107" t="n">
        <x:f>'Вводные'!$L$88*((IF(SUM($D9:$DS9)=0,0,IF(SUM($D12:$DS12)=0,1,'Вводные'!$B$63)))*BW11+(1-(IF(SUM($D9:$DS9)=0,0,IF(SUM($D12:$DS12)=0,1,'Вводные'!$B$63))))*BW13)</x:f>
      </x:c>
      <x:c r="BX14" s="107" t="n">
        <x:f>'Вводные'!$L$88*((IF(SUM($D9:$DS9)=0,0,IF(SUM($D12:$DS12)=0,1,'Вводные'!$B$63)))*BX11+(1-(IF(SUM($D9:$DS9)=0,0,IF(SUM($D12:$DS12)=0,1,'Вводные'!$B$63))))*BX13)</x:f>
      </x:c>
      <x:c r="BY14" s="107" t="n">
        <x:f>'Вводные'!$L$88*((IF(SUM($D9:$DS9)=0,0,IF(SUM($D12:$DS12)=0,1,'Вводные'!$B$63)))*BY11+(1-(IF(SUM($D9:$DS9)=0,0,IF(SUM($D12:$DS12)=0,1,'Вводные'!$B$63))))*BY13)</x:f>
      </x:c>
      <x:c r="BZ14" s="107" t="n">
        <x:f>'Вводные'!$L$88*((IF(SUM($D9:$DS9)=0,0,IF(SUM($D12:$DS12)=0,1,'Вводные'!$B$63)))*BZ11+(1-(IF(SUM($D9:$DS9)=0,0,IF(SUM($D12:$DS12)=0,1,'Вводные'!$B$63))))*BZ13)</x:f>
      </x:c>
      <x:c r="CA14" s="107" t="n">
        <x:f>'Вводные'!$L$88*((IF(SUM($D9:$DS9)=0,0,IF(SUM($D12:$DS12)=0,1,'Вводные'!$B$63)))*CA11+(1-(IF(SUM($D9:$DS9)=0,0,IF(SUM($D12:$DS12)=0,1,'Вводные'!$B$63))))*CA13)</x:f>
      </x:c>
      <x:c r="CB14" s="107" t="n">
        <x:f>'Вводные'!$L$88*((IF(SUM($D9:$DS9)=0,0,IF(SUM($D12:$DS12)=0,1,'Вводные'!$B$63)))*CB11+(1-(IF(SUM($D9:$DS9)=0,0,IF(SUM($D12:$DS12)=0,1,'Вводные'!$B$63))))*CB13)</x:f>
      </x:c>
      <x:c r="CC14" s="107" t="n">
        <x:f>'Вводные'!$L$88*((IF(SUM($D9:$DS9)=0,0,IF(SUM($D12:$DS12)=0,1,'Вводные'!$B$63)))*CC11+(1-(IF(SUM($D9:$DS9)=0,0,IF(SUM($D12:$DS12)=0,1,'Вводные'!$B$63))))*CC13)</x:f>
      </x:c>
      <x:c r="CD14" s="107" t="n">
        <x:f>'Вводные'!$L$88*((IF(SUM($D9:$DS9)=0,0,IF(SUM($D12:$DS12)=0,1,'Вводные'!$B$63)))*CD11+(1-(IF(SUM($D9:$DS9)=0,0,IF(SUM($D12:$DS12)=0,1,'Вводные'!$B$63))))*CD13)</x:f>
      </x:c>
      <x:c r="CE14" s="107" t="n">
        <x:f>'Вводные'!$L$88*((IF(SUM($D9:$DS9)=0,0,IF(SUM($D12:$DS12)=0,1,'Вводные'!$B$63)))*CE11+(1-(IF(SUM($D9:$DS9)=0,0,IF(SUM($D12:$DS12)=0,1,'Вводные'!$B$63))))*CE13)</x:f>
      </x:c>
      <x:c r="CF14" s="107" t="n">
        <x:f>'Вводные'!$L$88*((IF(SUM($D9:$DS9)=0,0,IF(SUM($D12:$DS12)=0,1,'Вводные'!$B$63)))*CF11+(1-(IF(SUM($D9:$DS9)=0,0,IF(SUM($D12:$DS12)=0,1,'Вводные'!$B$63))))*CF13)</x:f>
      </x:c>
      <x:c r="CG14" s="107" t="n">
        <x:f>'Вводные'!$L$88*((IF(SUM($D9:$DS9)=0,0,IF(SUM($D12:$DS12)=0,1,'Вводные'!$B$63)))*CG11+(1-(IF(SUM($D9:$DS9)=0,0,IF(SUM($D12:$DS12)=0,1,'Вводные'!$B$63))))*CG13)</x:f>
      </x:c>
      <x:c r="CH14" s="107" t="n">
        <x:f>'Вводные'!$L$88*((IF(SUM($D9:$DS9)=0,0,IF(SUM($D12:$DS12)=0,1,'Вводные'!$B$63)))*CH11+(1-(IF(SUM($D9:$DS9)=0,0,IF(SUM($D12:$DS12)=0,1,'Вводные'!$B$63))))*CH13)</x:f>
      </x:c>
      <x:c r="CI14" s="107" t="n">
        <x:f>'Вводные'!$L$88*((IF(SUM($D9:$DS9)=0,0,IF(SUM($D12:$DS12)=0,1,'Вводные'!$B$63)))*CI11+(1-(IF(SUM($D9:$DS9)=0,0,IF(SUM($D12:$DS12)=0,1,'Вводные'!$B$63))))*CI13)</x:f>
      </x:c>
      <x:c r="CJ14" s="107" t="n">
        <x:f>'Вводные'!$L$88*((IF(SUM($D9:$DS9)=0,0,IF(SUM($D12:$DS12)=0,1,'Вводные'!$B$63)))*CJ11+(1-(IF(SUM($D9:$DS9)=0,0,IF(SUM($D12:$DS12)=0,1,'Вводные'!$B$63))))*CJ13)</x:f>
      </x:c>
      <x:c r="CK14" s="107" t="n">
        <x:f>'Вводные'!$L$88*((IF(SUM($D9:$DS9)=0,0,IF(SUM($D12:$DS12)=0,1,'Вводные'!$B$63)))*CK11+(1-(IF(SUM($D9:$DS9)=0,0,IF(SUM($D12:$DS12)=0,1,'Вводные'!$B$63))))*CK13)</x:f>
      </x:c>
      <x:c r="CL14" s="107" t="n">
        <x:f>'Вводные'!$L$88*((IF(SUM($D9:$DS9)=0,0,IF(SUM($D12:$DS12)=0,1,'Вводные'!$B$63)))*CL11+(1-(IF(SUM($D9:$DS9)=0,0,IF(SUM($D12:$DS12)=0,1,'Вводные'!$B$63))))*CL13)</x:f>
      </x:c>
      <x:c r="CM14" s="107" t="n">
        <x:f>'Вводные'!$L$88*((IF(SUM($D9:$DS9)=0,0,IF(SUM($D12:$DS12)=0,1,'Вводные'!$B$63)))*CM11+(1-(IF(SUM($D9:$DS9)=0,0,IF(SUM($D12:$DS12)=0,1,'Вводные'!$B$63))))*CM13)</x:f>
      </x:c>
      <x:c r="CN14" s="107" t="n">
        <x:f>'Вводные'!$L$88*((IF(SUM($D9:$DS9)=0,0,IF(SUM($D12:$DS12)=0,1,'Вводные'!$B$63)))*CN11+(1-(IF(SUM($D9:$DS9)=0,0,IF(SUM($D12:$DS12)=0,1,'Вводные'!$B$63))))*CN13)</x:f>
      </x:c>
      <x:c r="CO14" s="107" t="n">
        <x:f>'Вводные'!$L$88*((IF(SUM($D9:$DS9)=0,0,IF(SUM($D12:$DS12)=0,1,'Вводные'!$B$63)))*CO11+(1-(IF(SUM($D9:$DS9)=0,0,IF(SUM($D12:$DS12)=0,1,'Вводные'!$B$63))))*CO13)</x:f>
      </x:c>
      <x:c r="CP14" s="107" t="n">
        <x:f>'Вводные'!$L$88*((IF(SUM($D9:$DS9)=0,0,IF(SUM($D12:$DS12)=0,1,'Вводные'!$B$63)))*CP11+(1-(IF(SUM($D9:$DS9)=0,0,IF(SUM($D12:$DS12)=0,1,'Вводные'!$B$63))))*CP13)</x:f>
      </x:c>
      <x:c r="CQ14" s="107" t="n">
        <x:f>'Вводные'!$L$88*((IF(SUM($D9:$DS9)=0,0,IF(SUM($D12:$DS12)=0,1,'Вводные'!$B$63)))*CQ11+(1-(IF(SUM($D9:$DS9)=0,0,IF(SUM($D12:$DS12)=0,1,'Вводные'!$B$63))))*CQ13)</x:f>
      </x:c>
      <x:c r="CR14" s="107" t="n">
        <x:f>'Вводные'!$L$88*((IF(SUM($D9:$DS9)=0,0,IF(SUM($D12:$DS12)=0,1,'Вводные'!$B$63)))*CR11+(1-(IF(SUM($D9:$DS9)=0,0,IF(SUM($D12:$DS12)=0,1,'Вводные'!$B$63))))*CR13)</x:f>
      </x:c>
      <x:c r="CS14" s="107" t="n">
        <x:f>'Вводные'!$L$88*((IF(SUM($D9:$DS9)=0,0,IF(SUM($D12:$DS12)=0,1,'Вводные'!$B$63)))*CS11+(1-(IF(SUM($D9:$DS9)=0,0,IF(SUM($D12:$DS12)=0,1,'Вводные'!$B$63))))*CS13)</x:f>
      </x:c>
      <x:c r="CT14" s="107" t="n">
        <x:f>'Вводные'!$L$88*((IF(SUM($D9:$DS9)=0,0,IF(SUM($D12:$DS12)=0,1,'Вводные'!$B$63)))*CT11+(1-(IF(SUM($D9:$DS9)=0,0,IF(SUM($D12:$DS12)=0,1,'Вводные'!$B$63))))*CT13)</x:f>
      </x:c>
      <x:c r="CU14" s="107" t="n">
        <x:f>'Вводные'!$L$88*((IF(SUM($D9:$DS9)=0,0,IF(SUM($D12:$DS12)=0,1,'Вводные'!$B$63)))*CU11+(1-(IF(SUM($D9:$DS9)=0,0,IF(SUM($D12:$DS12)=0,1,'Вводные'!$B$63))))*CU13)</x:f>
      </x:c>
      <x:c r="CV14" s="107" t="n">
        <x:f>'Вводные'!$L$88*((IF(SUM($D9:$DS9)=0,0,IF(SUM($D12:$DS12)=0,1,'Вводные'!$B$63)))*CV11+(1-(IF(SUM($D9:$DS9)=0,0,IF(SUM($D12:$DS12)=0,1,'Вводные'!$B$63))))*CV13)</x:f>
      </x:c>
      <x:c r="CW14" s="107" t="n">
        <x:f>'Вводные'!$L$88*((IF(SUM($D9:$DS9)=0,0,IF(SUM($D12:$DS12)=0,1,'Вводные'!$B$63)))*CW11+(1-(IF(SUM($D9:$DS9)=0,0,IF(SUM($D12:$DS12)=0,1,'Вводные'!$B$63))))*CW13)</x:f>
      </x:c>
      <x:c r="CX14" s="107" t="n">
        <x:f>'Вводные'!$L$88*((IF(SUM($D9:$DS9)=0,0,IF(SUM($D12:$DS12)=0,1,'Вводные'!$B$63)))*CX11+(1-(IF(SUM($D9:$DS9)=0,0,IF(SUM($D12:$DS12)=0,1,'Вводные'!$B$63))))*CX13)</x:f>
      </x:c>
      <x:c r="CY14" s="107" t="n">
        <x:f>'Вводные'!$L$88*((IF(SUM($D9:$DS9)=0,0,IF(SUM($D12:$DS12)=0,1,'Вводные'!$B$63)))*CY11+(1-(IF(SUM($D9:$DS9)=0,0,IF(SUM($D12:$DS12)=0,1,'Вводные'!$B$63))))*CY13)</x:f>
      </x:c>
      <x:c r="CZ14" s="107" t="n">
        <x:f>'Вводные'!$L$88*((IF(SUM($D9:$DS9)=0,0,IF(SUM($D12:$DS12)=0,1,'Вводные'!$B$63)))*CZ11+(1-(IF(SUM($D9:$DS9)=0,0,IF(SUM($D12:$DS12)=0,1,'Вводные'!$B$63))))*CZ13)</x:f>
      </x:c>
      <x:c r="DA14" s="107" t="n">
        <x:f>'Вводные'!$L$88*((IF(SUM($D9:$DS9)=0,0,IF(SUM($D12:$DS12)=0,1,'Вводные'!$B$63)))*DA11+(1-(IF(SUM($D9:$DS9)=0,0,IF(SUM($D12:$DS12)=0,1,'Вводные'!$B$63))))*DA13)</x:f>
      </x:c>
      <x:c r="DB14" s="107" t="n">
        <x:f>'Вводные'!$L$88*((IF(SUM($D9:$DS9)=0,0,IF(SUM($D12:$DS12)=0,1,'Вводные'!$B$63)))*DB11+(1-(IF(SUM($D9:$DS9)=0,0,IF(SUM($D12:$DS12)=0,1,'Вводные'!$B$63))))*DB13)</x:f>
      </x:c>
      <x:c r="DC14" s="107" t="n">
        <x:f>'Вводные'!$L$88*((IF(SUM($D9:$DS9)=0,0,IF(SUM($D12:$DS12)=0,1,'Вводные'!$B$63)))*DC11+(1-(IF(SUM($D9:$DS9)=0,0,IF(SUM($D12:$DS12)=0,1,'Вводные'!$B$63))))*DC13)</x:f>
      </x:c>
      <x:c r="DD14" s="107" t="n">
        <x:f>'Вводные'!$L$88*((IF(SUM($D9:$DS9)=0,0,IF(SUM($D12:$DS12)=0,1,'Вводные'!$B$63)))*DD11+(1-(IF(SUM($D9:$DS9)=0,0,IF(SUM($D12:$DS12)=0,1,'Вводные'!$B$63))))*DD13)</x:f>
      </x:c>
      <x:c r="DE14" s="107" t="n">
        <x:f>'Вводные'!$L$88*((IF(SUM($D9:$DS9)=0,0,IF(SUM($D12:$DS12)=0,1,'Вводные'!$B$63)))*DE11+(1-(IF(SUM($D9:$DS9)=0,0,IF(SUM($D12:$DS12)=0,1,'Вводные'!$B$63))))*DE13)</x:f>
      </x:c>
      <x:c r="DF14" s="107" t="n">
        <x:f>'Вводные'!$L$88*((IF(SUM($D9:$DS9)=0,0,IF(SUM($D12:$DS12)=0,1,'Вводные'!$B$63)))*DF11+(1-(IF(SUM($D9:$DS9)=0,0,IF(SUM($D12:$DS12)=0,1,'Вводные'!$B$63))))*DF13)</x:f>
      </x:c>
      <x:c r="DG14" s="107" t="n">
        <x:f>'Вводные'!$L$88*((IF(SUM($D9:$DS9)=0,0,IF(SUM($D12:$DS12)=0,1,'Вводные'!$B$63)))*DG11+(1-(IF(SUM($D9:$DS9)=0,0,IF(SUM($D12:$DS12)=0,1,'Вводные'!$B$63))))*DG13)</x:f>
      </x:c>
      <x:c r="DH14" s="107" t="n">
        <x:f>'Вводные'!$L$88*((IF(SUM($D9:$DS9)=0,0,IF(SUM($D12:$DS12)=0,1,'Вводные'!$B$63)))*DH11+(1-(IF(SUM($D9:$DS9)=0,0,IF(SUM($D12:$DS12)=0,1,'Вводные'!$B$63))))*DH13)</x:f>
      </x:c>
      <x:c r="DI14" s="107" t="n">
        <x:f>'Вводные'!$L$88*((IF(SUM($D9:$DS9)=0,0,IF(SUM($D12:$DS12)=0,1,'Вводные'!$B$63)))*DI11+(1-(IF(SUM($D9:$DS9)=0,0,IF(SUM($D12:$DS12)=0,1,'Вводные'!$B$63))))*DI13)</x:f>
      </x:c>
      <x:c r="DJ14" s="107" t="n">
        <x:f>'Вводные'!$L$88*((IF(SUM($D9:$DS9)=0,0,IF(SUM($D12:$DS12)=0,1,'Вводные'!$B$63)))*DJ11+(1-(IF(SUM($D9:$DS9)=0,0,IF(SUM($D12:$DS12)=0,1,'Вводные'!$B$63))))*DJ13)</x:f>
      </x:c>
      <x:c r="DK14" s="107" t="n">
        <x:f>'Вводные'!$L$88*((IF(SUM($D9:$DS9)=0,0,IF(SUM($D12:$DS12)=0,1,'Вводные'!$B$63)))*DK11+(1-(IF(SUM($D9:$DS9)=0,0,IF(SUM($D12:$DS12)=0,1,'Вводные'!$B$63))))*DK13)</x:f>
      </x:c>
      <x:c r="DL14" s="107" t="n">
        <x:f>'Вводные'!$L$88*((IF(SUM($D9:$DS9)=0,0,IF(SUM($D12:$DS12)=0,1,'Вводные'!$B$63)))*DL11+(1-(IF(SUM($D9:$DS9)=0,0,IF(SUM($D12:$DS12)=0,1,'Вводные'!$B$63))))*DL13)</x:f>
      </x:c>
      <x:c r="DM14" s="107" t="n">
        <x:f>'Вводные'!$L$88*((IF(SUM($D9:$DS9)=0,0,IF(SUM($D12:$DS12)=0,1,'Вводные'!$B$63)))*DM11+(1-(IF(SUM($D9:$DS9)=0,0,IF(SUM($D12:$DS12)=0,1,'Вводные'!$B$63))))*DM13)</x:f>
      </x:c>
      <x:c r="DN14" s="107" t="n">
        <x:f>'Вводные'!$L$88*((IF(SUM($D9:$DS9)=0,0,IF(SUM($D12:$DS12)=0,1,'Вводные'!$B$63)))*DN11+(1-(IF(SUM($D9:$DS9)=0,0,IF(SUM($D12:$DS12)=0,1,'Вводные'!$B$63))))*DN13)</x:f>
      </x:c>
      <x:c r="DO14" s="107" t="n">
        <x:f>'Вводные'!$L$88*((IF(SUM($D9:$DS9)=0,0,IF(SUM($D12:$DS12)=0,1,'Вводные'!$B$63)))*DO11+(1-(IF(SUM($D9:$DS9)=0,0,IF(SUM($D12:$DS12)=0,1,'Вводные'!$B$63))))*DO13)</x:f>
      </x:c>
      <x:c r="DP14" s="107" t="n">
        <x:f>'Вводные'!$L$88*((IF(SUM($D9:$DS9)=0,0,IF(SUM($D12:$DS12)=0,1,'Вводные'!$B$63)))*DP11+(1-(IF(SUM($D9:$DS9)=0,0,IF(SUM($D12:$DS12)=0,1,'Вводные'!$B$63))))*DP13)</x:f>
      </x:c>
      <x:c r="DQ14" s="107" t="n">
        <x:f>'Вводные'!$L$88*((IF(SUM($D9:$DS9)=0,0,IF(SUM($D12:$DS12)=0,1,'Вводные'!$B$63)))*DQ11+(1-(IF(SUM($D9:$DS9)=0,0,IF(SUM($D12:$DS12)=0,1,'Вводные'!$B$63))))*DQ13)</x:f>
      </x:c>
      <x:c r="DR14" s="107" t="n">
        <x:f>'Вводные'!$L$88*((IF(SUM($D9:$DS9)=0,0,IF(SUM($D12:$DS12)=0,1,'Вводные'!$B$63)))*DR11+(1-(IF(SUM($D9:$DS9)=0,0,IF(SUM($D12:$DS12)=0,1,'Вводные'!$B$63))))*DR13)</x:f>
      </x:c>
      <x:c r="DS14" s="107" t="n">
        <x:f>'Вводные'!$L$88*((IF(SUM($D9:$DS9)=0,0,IF(SUM($D12:$DS12)=0,1,'Вводные'!$B$63)))*DS11+(1-(IF(SUM($D9:$DS9)=0,0,IF(SUM($D12:$DS12)=0,1,'Вводные'!$B$63))))*DS13)</x:f>
      </x:c>
    </x:row>
    <x:row r="15">
      <x:c r="A15" t="str">
        <x:v>Квартиры — цена</x:v>
      </x:c>
      <x:c r="B15" t="n">
        <x:f>IFERROR(B16*1000/B14,0)</x:f>
      </x:c>
      <x:c r="C15" t="str">
        <x:v>тыс. ₽/м²</x:v>
      </x:c>
      <x:c r="D15" s="107" t="n">
        <x:f>IF(D14=0,0,'Вводные'!$B$59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5" s="107" t="n">
        <x:f>IF(E14=0,0,'Вводные'!$B$59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5" s="107" t="n">
        <x:f>IF(F14=0,0,'Вводные'!$B$59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5" s="107" t="n">
        <x:f>IF(G14=0,0,'Вводные'!$B$59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5" s="107" t="n">
        <x:f>IF(H14=0,0,'Вводные'!$B$59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5" s="107" t="n">
        <x:f>IF(I14=0,0,'Вводные'!$B$59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5" s="107" t="n">
        <x:f>IF(J14=0,0,'Вводные'!$B$59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5" s="107" t="n">
        <x:f>IF(K14=0,0,'Вводные'!$B$59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5" s="107" t="n">
        <x:f>IF(L14=0,0,'Вводные'!$B$59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5" s="107" t="n">
        <x:f>IF(M14=0,0,'Вводные'!$B$59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5" s="107" t="n">
        <x:f>IF(N14=0,0,'Вводные'!$B$59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5" s="107" t="n">
        <x:f>IF(O14=0,0,'Вводные'!$B$59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5" s="107" t="n">
        <x:f>IF(P14=0,0,'Вводные'!$B$59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5" s="107" t="n">
        <x:f>IF(Q14=0,0,'Вводные'!$B$59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5" s="107" t="n">
        <x:f>IF(R14=0,0,'Вводные'!$B$59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5" s="107" t="n">
        <x:f>IF(S14=0,0,'Вводные'!$B$59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5" s="107" t="n">
        <x:f>IF(T14=0,0,'Вводные'!$B$59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5" s="107" t="n">
        <x:f>IF(U14=0,0,'Вводные'!$B$59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5" s="107" t="n">
        <x:f>IF(V14=0,0,'Вводные'!$B$59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5" s="107" t="n">
        <x:f>IF(W14=0,0,'Вводные'!$B$59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5" s="107" t="n">
        <x:f>IF(X14=0,0,'Вводные'!$B$59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5" s="107" t="n">
        <x:f>IF(Y14=0,0,'Вводные'!$B$59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5" s="107" t="n">
        <x:f>IF(Z14=0,0,'Вводные'!$B$59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5" s="107" t="n">
        <x:f>IF(AA14=0,0,'Вводные'!$B$59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5" s="107" t="n">
        <x:f>IF(AB14=0,0,'Вводные'!$B$59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5" s="107" t="n">
        <x:f>IF(AC14=0,0,'Вводные'!$B$59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5" s="107" t="n">
        <x:f>IF(AD14=0,0,'Вводные'!$B$59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5" s="107" t="n">
        <x:f>IF(AE14=0,0,'Вводные'!$B$59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5" s="107" t="n">
        <x:f>IF(AF14=0,0,'Вводные'!$B$59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5" s="107" t="n">
        <x:f>IF(AG14=0,0,'Вводные'!$B$59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5" s="107" t="n">
        <x:f>IF(AH14=0,0,'Вводные'!$B$59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5" s="107" t="n">
        <x:f>IF(AI14=0,0,'Вводные'!$B$59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5" s="107" t="n">
        <x:f>IF(AJ14=0,0,'Вводные'!$B$59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5" s="107" t="n">
        <x:f>IF(AK14=0,0,'Вводные'!$B$59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5" s="107" t="n">
        <x:f>IF(AL14=0,0,'Вводные'!$B$59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5" s="107" t="n">
        <x:f>IF(AM14=0,0,'Вводные'!$B$59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5" s="107" t="n">
        <x:f>IF(AN14=0,0,'Вводные'!$B$59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5" s="107" t="n">
        <x:f>IF(AO14=0,0,'Вводные'!$B$59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5" s="107" t="n">
        <x:f>IF(AP14=0,0,'Вводные'!$B$59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5" s="107" t="n">
        <x:f>IF(AQ14=0,0,'Вводные'!$B$59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5" s="107" t="n">
        <x:f>IF(AR14=0,0,'Вводные'!$B$59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5" s="107" t="n">
        <x:f>IF(AS14=0,0,'Вводные'!$B$59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5" s="107" t="n">
        <x:f>IF(AT14=0,0,'Вводные'!$B$59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5" s="107" t="n">
        <x:f>IF(AU14=0,0,'Вводные'!$B$59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5" s="107" t="n">
        <x:f>IF(AV14=0,0,'Вводные'!$B$59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5" s="107" t="n">
        <x:f>IF(AW14=0,0,'Вводные'!$B$59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5" s="107" t="n">
        <x:f>IF(AX14=0,0,'Вводные'!$B$59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5" s="107" t="n">
        <x:f>IF(AY14=0,0,'Вводные'!$B$59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5" s="107" t="n">
        <x:f>IF(AZ14=0,0,'Вводные'!$B$59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5" s="107" t="n">
        <x:f>IF(BA14=0,0,'Вводные'!$B$59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5" s="107" t="n">
        <x:f>IF(BB14=0,0,'Вводные'!$B$59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5" s="107" t="n">
        <x:f>IF(BC14=0,0,'Вводные'!$B$59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5" s="107" t="n">
        <x:f>IF(BD14=0,0,'Вводные'!$B$59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5" s="107" t="n">
        <x:f>IF(BE14=0,0,'Вводные'!$B$59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5" s="107" t="n">
        <x:f>IF(BF14=0,0,'Вводные'!$B$59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5" s="107" t="n">
        <x:f>IF(BG14=0,0,'Вводные'!$B$59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5" s="107" t="n">
        <x:f>IF(BH14=0,0,'Вводные'!$B$59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5" s="107" t="n">
        <x:f>IF(BI14=0,0,'Вводные'!$B$59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5" s="107" t="n">
        <x:f>IF(BJ14=0,0,'Вводные'!$B$59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5" s="107" t="n">
        <x:f>IF(BK14=0,0,'Вводные'!$B$59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5" s="107" t="n">
        <x:f>IF(BL14=0,0,'Вводные'!$B$59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5" s="107" t="n">
        <x:f>IF(BM14=0,0,'Вводные'!$B$59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5" s="107" t="n">
        <x:f>IF(BN14=0,0,'Вводные'!$B$59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5" s="107" t="n">
        <x:f>IF(BO14=0,0,'Вводные'!$B$59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5" s="107" t="n">
        <x:f>IF(BP14=0,0,'Вводные'!$B$59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5" s="107" t="n">
        <x:f>IF(BQ14=0,0,'Вводные'!$B$59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5" s="107" t="n">
        <x:f>IF(BR14=0,0,'Вводные'!$B$59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5" s="107" t="n">
        <x:f>IF(BS14=0,0,'Вводные'!$B$59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5" s="107" t="n">
        <x:f>IF(BT14=0,0,'Вводные'!$B$59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5" s="107" t="n">
        <x:f>IF(BU14=0,0,'Вводные'!$B$59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5" s="107" t="n">
        <x:f>IF(BV14=0,0,'Вводные'!$B$59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5" s="107" t="n">
        <x:f>IF(BW14=0,0,'Вводные'!$B$59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5" s="107" t="n">
        <x:f>IF(BX14=0,0,'Вводные'!$B$59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5" s="107" t="n">
        <x:f>IF(BY14=0,0,'Вводные'!$B$59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5" s="107" t="n">
        <x:f>IF(BZ14=0,0,'Вводные'!$B$59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5" s="107" t="n">
        <x:f>IF(CA14=0,0,'Вводные'!$B$59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5" s="107" t="n">
        <x:f>IF(CB14=0,0,'Вводные'!$B$59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5" s="107" t="n">
        <x:f>IF(CC14=0,0,'Вводные'!$B$59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5" s="107" t="n">
        <x:f>IF(CD14=0,0,'Вводные'!$B$59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5" s="107" t="n">
        <x:f>IF(CE14=0,0,'Вводные'!$B$59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5" s="107" t="n">
        <x:f>IF(CF14=0,0,'Вводные'!$B$59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5" s="107" t="n">
        <x:f>IF(CG14=0,0,'Вводные'!$B$59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5" s="107" t="n">
        <x:f>IF(CH14=0,0,'Вводные'!$B$59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5" s="107" t="n">
        <x:f>IF(CI14=0,0,'Вводные'!$B$59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5" s="107" t="n">
        <x:f>IF(CJ14=0,0,'Вводные'!$B$59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5" s="107" t="n">
        <x:f>IF(CK14=0,0,'Вводные'!$B$59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5" s="107" t="n">
        <x:f>IF(CL14=0,0,'Вводные'!$B$59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5" s="107" t="n">
        <x:f>IF(CM14=0,0,'Вводные'!$B$59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5" s="107" t="n">
        <x:f>IF(CN14=0,0,'Вводные'!$B$59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5" s="107" t="n">
        <x:f>IF(CO14=0,0,'Вводные'!$B$59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5" s="107" t="n">
        <x:f>IF(CP14=0,0,'Вводные'!$B$59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5" s="107" t="n">
        <x:f>IF(CQ14=0,0,'Вводные'!$B$59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5" s="107" t="n">
        <x:f>IF(CR14=0,0,'Вводные'!$B$59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5" s="107" t="n">
        <x:f>IF(CS14=0,0,'Вводные'!$B$59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5" s="107" t="n">
        <x:f>IF(CT14=0,0,'Вводные'!$B$59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5" s="107" t="n">
        <x:f>IF(CU14=0,0,'Вводные'!$B$59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5" s="107" t="n">
        <x:f>IF(CV14=0,0,'Вводные'!$B$59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5" s="107" t="n">
        <x:f>IF(CW14=0,0,'Вводные'!$B$59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5" s="107" t="n">
        <x:f>IF(CX14=0,0,'Вводные'!$B$59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5" s="107" t="n">
        <x:f>IF(CY14=0,0,'Вводные'!$B$59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5" s="107" t="n">
        <x:f>IF(CZ14=0,0,'Вводные'!$B$59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5" s="107" t="n">
        <x:f>IF(DA14=0,0,'Вводные'!$B$59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5" s="107" t="n">
        <x:f>IF(DB14=0,0,'Вводные'!$B$59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5" s="107" t="n">
        <x:f>IF(DC14=0,0,'Вводные'!$B$59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5" s="107" t="n">
        <x:f>IF(DD14=0,0,'Вводные'!$B$59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5" s="107" t="n">
        <x:f>IF(DE14=0,0,'Вводные'!$B$59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5" s="107" t="n">
        <x:f>IF(DF14=0,0,'Вводные'!$B$59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5" s="107" t="n">
        <x:f>IF(DG14=0,0,'Вводные'!$B$59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5" s="107" t="n">
        <x:f>IF(DH14=0,0,'Вводные'!$B$59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5" s="107" t="n">
        <x:f>IF(DI14=0,0,'Вводные'!$B$59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5" s="107" t="n">
        <x:f>IF(DJ14=0,0,'Вводные'!$B$59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5" s="107" t="n">
        <x:f>IF(DK14=0,0,'Вводные'!$B$59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5" s="107" t="n">
        <x:f>IF(DL14=0,0,'Вводные'!$B$59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5" s="107" t="n">
        <x:f>IF(DM14=0,0,'Вводные'!$B$59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5" s="107" t="n">
        <x:f>IF(DN14=0,0,'Вводные'!$B$59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5" s="107" t="n">
        <x:f>IF(DO14=0,0,'Вводные'!$B$59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5" s="107" t="n">
        <x:f>IF(DP14=0,0,'Вводные'!$B$59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5" s="107" t="n">
        <x:f>IF(DQ14=0,0,'Вводные'!$B$59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5" s="107" t="n">
        <x:f>IF(DR14=0,0,'Вводные'!$B$59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5" s="107" t="n">
        <x:f>IF(DS14=0,0,'Вводные'!$B$59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6">
      <x:c r="A16" t="str">
        <x:v>Квартиры — выручка</x:v>
      </x:c>
      <x:c r="B16" t="n">
        <x:f>SUM(D16:DS16)</x:f>
      </x:c>
      <x:c r="C16" t="str">
        <x:v>млн ₽</x:v>
      </x:c>
      <x:c r="D16" s="107" t="n">
        <x:f>D14*D15/1000</x:f>
      </x:c>
      <x:c r="E16" s="107" t="n">
        <x:f>E14*E15/1000</x:f>
      </x:c>
      <x:c r="F16" s="107" t="n">
        <x:f>F14*F15/1000</x:f>
      </x:c>
      <x:c r="G16" s="107" t="n">
        <x:f>G14*G15/1000</x:f>
      </x:c>
      <x:c r="H16" s="107" t="n">
        <x:f>H14*H15/1000</x:f>
      </x:c>
      <x:c r="I16" s="107" t="n">
        <x:f>I14*I15/1000</x:f>
      </x:c>
      <x:c r="J16" s="107" t="n">
        <x:f>J14*J15/1000</x:f>
      </x:c>
      <x:c r="K16" s="107" t="n">
        <x:f>K14*K15/1000</x:f>
      </x:c>
      <x:c r="L16" s="107" t="n">
        <x:f>L14*L15/1000</x:f>
      </x:c>
      <x:c r="M16" s="107" t="n">
        <x:f>M14*M15/1000</x:f>
      </x:c>
      <x:c r="N16" s="107" t="n">
        <x:f>N14*N15/1000</x:f>
      </x:c>
      <x:c r="O16" s="107" t="n">
        <x:f>O14*O15/1000</x:f>
      </x:c>
      <x:c r="P16" s="107" t="n">
        <x:f>P14*P15/1000</x:f>
      </x:c>
      <x:c r="Q16" s="107" t="n">
        <x:f>Q14*Q15/1000</x:f>
      </x:c>
      <x:c r="R16" s="107" t="n">
        <x:f>R14*R15/1000</x:f>
      </x:c>
      <x:c r="S16" s="107" t="n">
        <x:f>S14*S15/1000</x:f>
      </x:c>
      <x:c r="T16" s="107" t="n">
        <x:f>T14*T15/1000</x:f>
      </x:c>
      <x:c r="U16" s="107" t="n">
        <x:f>U14*U15/1000</x:f>
      </x:c>
      <x:c r="V16" s="107" t="n">
        <x:f>V14*V15/1000</x:f>
      </x:c>
      <x:c r="W16" s="107" t="n">
        <x:f>W14*W15/1000</x:f>
      </x:c>
      <x:c r="X16" s="107" t="n">
        <x:f>X14*X15/1000</x:f>
      </x:c>
      <x:c r="Y16" s="107" t="n">
        <x:f>Y14*Y15/1000</x:f>
      </x:c>
      <x:c r="Z16" s="107" t="n">
        <x:f>Z14*Z15/1000</x:f>
      </x:c>
      <x:c r="AA16" s="107" t="n">
        <x:f>AA14*AA15/1000</x:f>
      </x:c>
      <x:c r="AB16" s="107" t="n">
        <x:f>AB14*AB15/1000</x:f>
      </x:c>
      <x:c r="AC16" s="107" t="n">
        <x:f>AC14*AC15/1000</x:f>
      </x:c>
      <x:c r="AD16" s="107" t="n">
        <x:f>AD14*AD15/1000</x:f>
      </x:c>
      <x:c r="AE16" s="107" t="n">
        <x:f>AE14*AE15/1000</x:f>
      </x:c>
      <x:c r="AF16" s="107" t="n">
        <x:f>AF14*AF15/1000</x:f>
      </x:c>
      <x:c r="AG16" s="107" t="n">
        <x:f>AG14*AG15/1000</x:f>
      </x:c>
      <x:c r="AH16" s="107" t="n">
        <x:f>AH14*AH15/1000</x:f>
      </x:c>
      <x:c r="AI16" s="107" t="n">
        <x:f>AI14*AI15/1000</x:f>
      </x:c>
      <x:c r="AJ16" s="107" t="n">
        <x:f>AJ14*AJ15/1000</x:f>
      </x:c>
      <x:c r="AK16" s="107" t="n">
        <x:f>AK14*AK15/1000</x:f>
      </x:c>
      <x:c r="AL16" s="107" t="n">
        <x:f>AL14*AL15/1000</x:f>
      </x:c>
      <x:c r="AM16" s="107" t="n">
        <x:f>AM14*AM15/1000</x:f>
      </x:c>
      <x:c r="AN16" s="107" t="n">
        <x:f>AN14*AN15/1000</x:f>
      </x:c>
      <x:c r="AO16" s="107" t="n">
        <x:f>AO14*AO15/1000</x:f>
      </x:c>
      <x:c r="AP16" s="107" t="n">
        <x:f>AP14*AP15/1000</x:f>
      </x:c>
      <x:c r="AQ16" s="107" t="n">
        <x:f>AQ14*AQ15/1000</x:f>
      </x:c>
      <x:c r="AR16" s="107" t="n">
        <x:f>AR14*AR15/1000</x:f>
      </x:c>
      <x:c r="AS16" s="107" t="n">
        <x:f>AS14*AS15/1000</x:f>
      </x:c>
      <x:c r="AT16" s="107" t="n">
        <x:f>AT14*AT15/1000</x:f>
      </x:c>
      <x:c r="AU16" s="107" t="n">
        <x:f>AU14*AU15/1000</x:f>
      </x:c>
      <x:c r="AV16" s="107" t="n">
        <x:f>AV14*AV15/1000</x:f>
      </x:c>
      <x:c r="AW16" s="107" t="n">
        <x:f>AW14*AW15/1000</x:f>
      </x:c>
      <x:c r="AX16" s="107" t="n">
        <x:f>AX14*AX15/1000</x:f>
      </x:c>
      <x:c r="AY16" s="107" t="n">
        <x:f>AY14*AY15/1000</x:f>
      </x:c>
      <x:c r="AZ16" s="107" t="n">
        <x:f>AZ14*AZ15/1000</x:f>
      </x:c>
      <x:c r="BA16" s="107" t="n">
        <x:f>BA14*BA15/1000</x:f>
      </x:c>
      <x:c r="BB16" s="107" t="n">
        <x:f>BB14*BB15/1000</x:f>
      </x:c>
      <x:c r="BC16" s="107" t="n">
        <x:f>BC14*BC15/1000</x:f>
      </x:c>
      <x:c r="BD16" s="107" t="n">
        <x:f>BD14*BD15/1000</x:f>
      </x:c>
      <x:c r="BE16" s="107" t="n">
        <x:f>BE14*BE15/1000</x:f>
      </x:c>
      <x:c r="BF16" s="107" t="n">
        <x:f>BF14*BF15/1000</x:f>
      </x:c>
      <x:c r="BG16" s="107" t="n">
        <x:f>BG14*BG15/1000</x:f>
      </x:c>
      <x:c r="BH16" s="107" t="n">
        <x:f>BH14*BH15/1000</x:f>
      </x:c>
      <x:c r="BI16" s="107" t="n">
        <x:f>BI14*BI15/1000</x:f>
      </x:c>
      <x:c r="BJ16" s="107" t="n">
        <x:f>BJ14*BJ15/1000</x:f>
      </x:c>
      <x:c r="BK16" s="107" t="n">
        <x:f>BK14*BK15/1000</x:f>
      </x:c>
      <x:c r="BL16" s="107" t="n">
        <x:f>BL14*BL15/1000</x:f>
      </x:c>
      <x:c r="BM16" s="107" t="n">
        <x:f>BM14*BM15/1000</x:f>
      </x:c>
      <x:c r="BN16" s="107" t="n">
        <x:f>BN14*BN15/1000</x:f>
      </x:c>
      <x:c r="BO16" s="107" t="n">
        <x:f>BO14*BO15/1000</x:f>
      </x:c>
      <x:c r="BP16" s="107" t="n">
        <x:f>BP14*BP15/1000</x:f>
      </x:c>
      <x:c r="BQ16" s="107" t="n">
        <x:f>BQ14*BQ15/1000</x:f>
      </x:c>
      <x:c r="BR16" s="107" t="n">
        <x:f>BR14*BR15/1000</x:f>
      </x:c>
      <x:c r="BS16" s="107" t="n">
        <x:f>BS14*BS15/1000</x:f>
      </x:c>
      <x:c r="BT16" s="107" t="n">
        <x:f>BT14*BT15/1000</x:f>
      </x:c>
      <x:c r="BU16" s="107" t="n">
        <x:f>BU14*BU15/1000</x:f>
      </x:c>
      <x:c r="BV16" s="107" t="n">
        <x:f>BV14*BV15/1000</x:f>
      </x:c>
      <x:c r="BW16" s="107" t="n">
        <x:f>BW14*BW15/1000</x:f>
      </x:c>
      <x:c r="BX16" s="107" t="n">
        <x:f>BX14*BX15/1000</x:f>
      </x:c>
      <x:c r="BY16" s="107" t="n">
        <x:f>BY14*BY15/1000</x:f>
      </x:c>
      <x:c r="BZ16" s="107" t="n">
        <x:f>BZ14*BZ15/1000</x:f>
      </x:c>
      <x:c r="CA16" s="107" t="n">
        <x:f>CA14*CA15/1000</x:f>
      </x:c>
      <x:c r="CB16" s="107" t="n">
        <x:f>CB14*CB15/1000</x:f>
      </x:c>
      <x:c r="CC16" s="107" t="n">
        <x:f>CC14*CC15/1000</x:f>
      </x:c>
      <x:c r="CD16" s="107" t="n">
        <x:f>CD14*CD15/1000</x:f>
      </x:c>
      <x:c r="CE16" s="107" t="n">
        <x:f>CE14*CE15/1000</x:f>
      </x:c>
      <x:c r="CF16" s="107" t="n">
        <x:f>CF14*CF15/1000</x:f>
      </x:c>
      <x:c r="CG16" s="107" t="n">
        <x:f>CG14*CG15/1000</x:f>
      </x:c>
      <x:c r="CH16" s="107" t="n">
        <x:f>CH14*CH15/1000</x:f>
      </x:c>
      <x:c r="CI16" s="107" t="n">
        <x:f>CI14*CI15/1000</x:f>
      </x:c>
      <x:c r="CJ16" s="107" t="n">
        <x:f>CJ14*CJ15/1000</x:f>
      </x:c>
      <x:c r="CK16" s="107" t="n">
        <x:f>CK14*CK15/1000</x:f>
      </x:c>
      <x:c r="CL16" s="107" t="n">
        <x:f>CL14*CL15/1000</x:f>
      </x:c>
      <x:c r="CM16" s="107" t="n">
        <x:f>CM14*CM15/1000</x:f>
      </x:c>
      <x:c r="CN16" s="107" t="n">
        <x:f>CN14*CN15/1000</x:f>
      </x:c>
      <x:c r="CO16" s="107" t="n">
        <x:f>CO14*CO15/1000</x:f>
      </x:c>
      <x:c r="CP16" s="107" t="n">
        <x:f>CP14*CP15/1000</x:f>
      </x:c>
      <x:c r="CQ16" s="107" t="n">
        <x:f>CQ14*CQ15/1000</x:f>
      </x:c>
      <x:c r="CR16" s="107" t="n">
        <x:f>CR14*CR15/1000</x:f>
      </x:c>
      <x:c r="CS16" s="107" t="n">
        <x:f>CS14*CS15/1000</x:f>
      </x:c>
      <x:c r="CT16" s="107" t="n">
        <x:f>CT14*CT15/1000</x:f>
      </x:c>
      <x:c r="CU16" s="107" t="n">
        <x:f>CU14*CU15/1000</x:f>
      </x:c>
      <x:c r="CV16" s="107" t="n">
        <x:f>CV14*CV15/1000</x:f>
      </x:c>
      <x:c r="CW16" s="107" t="n">
        <x:f>CW14*CW15/1000</x:f>
      </x:c>
      <x:c r="CX16" s="107" t="n">
        <x:f>CX14*CX15/1000</x:f>
      </x:c>
      <x:c r="CY16" s="107" t="n">
        <x:f>CY14*CY15/1000</x:f>
      </x:c>
      <x:c r="CZ16" s="107" t="n">
        <x:f>CZ14*CZ15/1000</x:f>
      </x:c>
      <x:c r="DA16" s="107" t="n">
        <x:f>DA14*DA15/1000</x:f>
      </x:c>
      <x:c r="DB16" s="107" t="n">
        <x:f>DB14*DB15/1000</x:f>
      </x:c>
      <x:c r="DC16" s="107" t="n">
        <x:f>DC14*DC15/1000</x:f>
      </x:c>
      <x:c r="DD16" s="107" t="n">
        <x:f>DD14*DD15/1000</x:f>
      </x:c>
      <x:c r="DE16" s="107" t="n">
        <x:f>DE14*DE15/1000</x:f>
      </x:c>
      <x:c r="DF16" s="107" t="n">
        <x:f>DF14*DF15/1000</x:f>
      </x:c>
      <x:c r="DG16" s="107" t="n">
        <x:f>DG14*DG15/1000</x:f>
      </x:c>
      <x:c r="DH16" s="107" t="n">
        <x:f>DH14*DH15/1000</x:f>
      </x:c>
      <x:c r="DI16" s="107" t="n">
        <x:f>DI14*DI15/1000</x:f>
      </x:c>
      <x:c r="DJ16" s="107" t="n">
        <x:f>DJ14*DJ15/1000</x:f>
      </x:c>
      <x:c r="DK16" s="107" t="n">
        <x:f>DK14*DK15/1000</x:f>
      </x:c>
      <x:c r="DL16" s="107" t="n">
        <x:f>DL14*DL15/1000</x:f>
      </x:c>
      <x:c r="DM16" s="107" t="n">
        <x:f>DM14*DM15/1000</x:f>
      </x:c>
      <x:c r="DN16" s="107" t="n">
        <x:f>DN14*DN15/1000</x:f>
      </x:c>
      <x:c r="DO16" s="107" t="n">
        <x:f>DO14*DO15/1000</x:f>
      </x:c>
      <x:c r="DP16" s="107" t="n">
        <x:f>DP14*DP15/1000</x:f>
      </x:c>
      <x:c r="DQ16" s="107" t="n">
        <x:f>DQ14*DQ15/1000</x:f>
      </x:c>
      <x:c r="DR16" s="107" t="n">
        <x:f>DR14*DR15/1000</x:f>
      </x:c>
      <x:c r="DS16" s="107" t="n">
        <x:f>DS14*DS15/1000</x:f>
      </x:c>
    </x:row>
    <x:row r="17">
      <x:c r="A17" t="str">
        <x:v>Коммерция — объём</x:v>
      </x:c>
      <x:c r="B17" t="n">
        <x:f>SUM(D17:DS17)</x:f>
      </x:c>
      <x:c r="C17" t="str">
        <x:v>м²</x:v>
      </x:c>
      <x:c r="D17" s="107" t="n">
        <x:f>'Вводные'!$M$88*((IF(SUM($D9:$DS9)=0,0,IF(SUM($D12:$DS12)=0,1,'Вводные'!$B$63)))*D11+(1-(IF(SUM($D9:$DS9)=0,0,IF(SUM($D12:$DS12)=0,1,'Вводные'!$B$63))))*D13)</x:f>
      </x:c>
      <x:c r="E17" s="107" t="n">
        <x:f>'Вводные'!$M$88*((IF(SUM($D9:$DS9)=0,0,IF(SUM($D12:$DS12)=0,1,'Вводные'!$B$63)))*E11+(1-(IF(SUM($D9:$DS9)=0,0,IF(SUM($D12:$DS12)=0,1,'Вводные'!$B$63))))*E13)</x:f>
      </x:c>
      <x:c r="F17" s="107" t="n">
        <x:f>'Вводные'!$M$88*((IF(SUM($D9:$DS9)=0,0,IF(SUM($D12:$DS12)=0,1,'Вводные'!$B$63)))*F11+(1-(IF(SUM($D9:$DS9)=0,0,IF(SUM($D12:$DS12)=0,1,'Вводные'!$B$63))))*F13)</x:f>
      </x:c>
      <x:c r="G17" s="107" t="n">
        <x:f>'Вводные'!$M$88*((IF(SUM($D9:$DS9)=0,0,IF(SUM($D12:$DS12)=0,1,'Вводные'!$B$63)))*G11+(1-(IF(SUM($D9:$DS9)=0,0,IF(SUM($D12:$DS12)=0,1,'Вводные'!$B$63))))*G13)</x:f>
      </x:c>
      <x:c r="H17" s="107" t="n">
        <x:f>'Вводные'!$M$88*((IF(SUM($D9:$DS9)=0,0,IF(SUM($D12:$DS12)=0,1,'Вводные'!$B$63)))*H11+(1-(IF(SUM($D9:$DS9)=0,0,IF(SUM($D12:$DS12)=0,1,'Вводные'!$B$63))))*H13)</x:f>
      </x:c>
      <x:c r="I17" s="107" t="n">
        <x:f>'Вводные'!$M$88*((IF(SUM($D9:$DS9)=0,0,IF(SUM($D12:$DS12)=0,1,'Вводные'!$B$63)))*I11+(1-(IF(SUM($D9:$DS9)=0,0,IF(SUM($D12:$DS12)=0,1,'Вводные'!$B$63))))*I13)</x:f>
      </x:c>
      <x:c r="J17" s="107" t="n">
        <x:f>'Вводные'!$M$88*((IF(SUM($D9:$DS9)=0,0,IF(SUM($D12:$DS12)=0,1,'Вводные'!$B$63)))*J11+(1-(IF(SUM($D9:$DS9)=0,0,IF(SUM($D12:$DS12)=0,1,'Вводные'!$B$63))))*J13)</x:f>
      </x:c>
      <x:c r="K17" s="107" t="n">
        <x:f>'Вводные'!$M$88*((IF(SUM($D9:$DS9)=0,0,IF(SUM($D12:$DS12)=0,1,'Вводные'!$B$63)))*K11+(1-(IF(SUM($D9:$DS9)=0,0,IF(SUM($D12:$DS12)=0,1,'Вводные'!$B$63))))*K13)</x:f>
      </x:c>
      <x:c r="L17" s="107" t="n">
        <x:f>'Вводные'!$M$88*((IF(SUM($D9:$DS9)=0,0,IF(SUM($D12:$DS12)=0,1,'Вводные'!$B$63)))*L11+(1-(IF(SUM($D9:$DS9)=0,0,IF(SUM($D12:$DS12)=0,1,'Вводные'!$B$63))))*L13)</x:f>
      </x:c>
      <x:c r="M17" s="107" t="n">
        <x:f>'Вводные'!$M$88*((IF(SUM($D9:$DS9)=0,0,IF(SUM($D12:$DS12)=0,1,'Вводные'!$B$63)))*M11+(1-(IF(SUM($D9:$DS9)=0,0,IF(SUM($D12:$DS12)=0,1,'Вводные'!$B$63))))*M13)</x:f>
      </x:c>
      <x:c r="N17" s="107" t="n">
        <x:f>'Вводные'!$M$88*((IF(SUM($D9:$DS9)=0,0,IF(SUM($D12:$DS12)=0,1,'Вводные'!$B$63)))*N11+(1-(IF(SUM($D9:$DS9)=0,0,IF(SUM($D12:$DS12)=0,1,'Вводные'!$B$63))))*N13)</x:f>
      </x:c>
      <x:c r="O17" s="107" t="n">
        <x:f>'Вводные'!$M$88*((IF(SUM($D9:$DS9)=0,0,IF(SUM($D12:$DS12)=0,1,'Вводные'!$B$63)))*O11+(1-(IF(SUM($D9:$DS9)=0,0,IF(SUM($D12:$DS12)=0,1,'Вводные'!$B$63))))*O13)</x:f>
      </x:c>
      <x:c r="P17" s="107" t="n">
        <x:f>'Вводные'!$M$88*((IF(SUM($D9:$DS9)=0,0,IF(SUM($D12:$DS12)=0,1,'Вводные'!$B$63)))*P11+(1-(IF(SUM($D9:$DS9)=0,0,IF(SUM($D12:$DS12)=0,1,'Вводные'!$B$63))))*P13)</x:f>
      </x:c>
      <x:c r="Q17" s="107" t="n">
        <x:f>'Вводные'!$M$88*((IF(SUM($D9:$DS9)=0,0,IF(SUM($D12:$DS12)=0,1,'Вводные'!$B$63)))*Q11+(1-(IF(SUM($D9:$DS9)=0,0,IF(SUM($D12:$DS12)=0,1,'Вводные'!$B$63))))*Q13)</x:f>
      </x:c>
      <x:c r="R17" s="107" t="n">
        <x:f>'Вводные'!$M$88*((IF(SUM($D9:$DS9)=0,0,IF(SUM($D12:$DS12)=0,1,'Вводные'!$B$63)))*R11+(1-(IF(SUM($D9:$DS9)=0,0,IF(SUM($D12:$DS12)=0,1,'Вводные'!$B$63))))*R13)</x:f>
      </x:c>
      <x:c r="S17" s="107" t="n">
        <x:f>'Вводные'!$M$88*((IF(SUM($D9:$DS9)=0,0,IF(SUM($D12:$DS12)=0,1,'Вводные'!$B$63)))*S11+(1-(IF(SUM($D9:$DS9)=0,0,IF(SUM($D12:$DS12)=0,1,'Вводные'!$B$63))))*S13)</x:f>
      </x:c>
      <x:c r="T17" s="107" t="n">
        <x:f>'Вводные'!$M$88*((IF(SUM($D9:$DS9)=0,0,IF(SUM($D12:$DS12)=0,1,'Вводные'!$B$63)))*T11+(1-(IF(SUM($D9:$DS9)=0,0,IF(SUM($D12:$DS12)=0,1,'Вводные'!$B$63))))*T13)</x:f>
      </x:c>
      <x:c r="U17" s="107" t="n">
        <x:f>'Вводные'!$M$88*((IF(SUM($D9:$DS9)=0,0,IF(SUM($D12:$DS12)=0,1,'Вводные'!$B$63)))*U11+(1-(IF(SUM($D9:$DS9)=0,0,IF(SUM($D12:$DS12)=0,1,'Вводные'!$B$63))))*U13)</x:f>
      </x:c>
      <x:c r="V17" s="107" t="n">
        <x:f>'Вводные'!$M$88*((IF(SUM($D9:$DS9)=0,0,IF(SUM($D12:$DS12)=0,1,'Вводные'!$B$63)))*V11+(1-(IF(SUM($D9:$DS9)=0,0,IF(SUM($D12:$DS12)=0,1,'Вводные'!$B$63))))*V13)</x:f>
      </x:c>
      <x:c r="W17" s="107" t="n">
        <x:f>'Вводные'!$M$88*((IF(SUM($D9:$DS9)=0,0,IF(SUM($D12:$DS12)=0,1,'Вводные'!$B$63)))*W11+(1-(IF(SUM($D9:$DS9)=0,0,IF(SUM($D12:$DS12)=0,1,'Вводные'!$B$63))))*W13)</x:f>
      </x:c>
      <x:c r="X17" s="107" t="n">
        <x:f>'Вводные'!$M$88*((IF(SUM($D9:$DS9)=0,0,IF(SUM($D12:$DS12)=0,1,'Вводные'!$B$63)))*X11+(1-(IF(SUM($D9:$DS9)=0,0,IF(SUM($D12:$DS12)=0,1,'Вводные'!$B$63))))*X13)</x:f>
      </x:c>
      <x:c r="Y17" s="107" t="n">
        <x:f>'Вводные'!$M$88*((IF(SUM($D9:$DS9)=0,0,IF(SUM($D12:$DS12)=0,1,'Вводные'!$B$63)))*Y11+(1-(IF(SUM($D9:$DS9)=0,0,IF(SUM($D12:$DS12)=0,1,'Вводные'!$B$63))))*Y13)</x:f>
      </x:c>
      <x:c r="Z17" s="107" t="n">
        <x:f>'Вводные'!$M$88*((IF(SUM($D9:$DS9)=0,0,IF(SUM($D12:$DS12)=0,1,'Вводные'!$B$63)))*Z11+(1-(IF(SUM($D9:$DS9)=0,0,IF(SUM($D12:$DS12)=0,1,'Вводные'!$B$63))))*Z13)</x:f>
      </x:c>
      <x:c r="AA17" s="107" t="n">
        <x:f>'Вводные'!$M$88*((IF(SUM($D9:$DS9)=0,0,IF(SUM($D12:$DS12)=0,1,'Вводные'!$B$63)))*AA11+(1-(IF(SUM($D9:$DS9)=0,0,IF(SUM($D12:$DS12)=0,1,'Вводные'!$B$63))))*AA13)</x:f>
      </x:c>
      <x:c r="AB17" s="107" t="n">
        <x:f>'Вводные'!$M$88*((IF(SUM($D9:$DS9)=0,0,IF(SUM($D12:$DS12)=0,1,'Вводные'!$B$63)))*AB11+(1-(IF(SUM($D9:$DS9)=0,0,IF(SUM($D12:$DS12)=0,1,'Вводные'!$B$63))))*AB13)</x:f>
      </x:c>
      <x:c r="AC17" s="107" t="n">
        <x:f>'Вводные'!$M$88*((IF(SUM($D9:$DS9)=0,0,IF(SUM($D12:$DS12)=0,1,'Вводные'!$B$63)))*AC11+(1-(IF(SUM($D9:$DS9)=0,0,IF(SUM($D12:$DS12)=0,1,'Вводные'!$B$63))))*AC13)</x:f>
      </x:c>
      <x:c r="AD17" s="107" t="n">
        <x:f>'Вводные'!$M$88*((IF(SUM($D9:$DS9)=0,0,IF(SUM($D12:$DS12)=0,1,'Вводные'!$B$63)))*AD11+(1-(IF(SUM($D9:$DS9)=0,0,IF(SUM($D12:$DS12)=0,1,'Вводные'!$B$63))))*AD13)</x:f>
      </x:c>
      <x:c r="AE17" s="107" t="n">
        <x:f>'Вводные'!$M$88*((IF(SUM($D9:$DS9)=0,0,IF(SUM($D12:$DS12)=0,1,'Вводные'!$B$63)))*AE11+(1-(IF(SUM($D9:$DS9)=0,0,IF(SUM($D12:$DS12)=0,1,'Вводные'!$B$63))))*AE13)</x:f>
      </x:c>
      <x:c r="AF17" s="107" t="n">
        <x:f>'Вводные'!$M$88*((IF(SUM($D9:$DS9)=0,0,IF(SUM($D12:$DS12)=0,1,'Вводные'!$B$63)))*AF11+(1-(IF(SUM($D9:$DS9)=0,0,IF(SUM($D12:$DS12)=0,1,'Вводные'!$B$63))))*AF13)</x:f>
      </x:c>
      <x:c r="AG17" s="107" t="n">
        <x:f>'Вводные'!$M$88*((IF(SUM($D9:$DS9)=0,0,IF(SUM($D12:$DS12)=0,1,'Вводные'!$B$63)))*AG11+(1-(IF(SUM($D9:$DS9)=0,0,IF(SUM($D12:$DS12)=0,1,'Вводные'!$B$63))))*AG13)</x:f>
      </x:c>
      <x:c r="AH17" s="107" t="n">
        <x:f>'Вводные'!$M$88*((IF(SUM($D9:$DS9)=0,0,IF(SUM($D12:$DS12)=0,1,'Вводные'!$B$63)))*AH11+(1-(IF(SUM($D9:$DS9)=0,0,IF(SUM($D12:$DS12)=0,1,'Вводные'!$B$63))))*AH13)</x:f>
      </x:c>
      <x:c r="AI17" s="107" t="n">
        <x:f>'Вводные'!$M$88*((IF(SUM($D9:$DS9)=0,0,IF(SUM($D12:$DS12)=0,1,'Вводные'!$B$63)))*AI11+(1-(IF(SUM($D9:$DS9)=0,0,IF(SUM($D12:$DS12)=0,1,'Вводные'!$B$63))))*AI13)</x:f>
      </x:c>
      <x:c r="AJ17" s="107" t="n">
        <x:f>'Вводные'!$M$88*((IF(SUM($D9:$DS9)=0,0,IF(SUM($D12:$DS12)=0,1,'Вводные'!$B$63)))*AJ11+(1-(IF(SUM($D9:$DS9)=0,0,IF(SUM($D12:$DS12)=0,1,'Вводные'!$B$63))))*AJ13)</x:f>
      </x:c>
      <x:c r="AK17" s="107" t="n">
        <x:f>'Вводные'!$M$88*((IF(SUM($D9:$DS9)=0,0,IF(SUM($D12:$DS12)=0,1,'Вводные'!$B$63)))*AK11+(1-(IF(SUM($D9:$DS9)=0,0,IF(SUM($D12:$DS12)=0,1,'Вводные'!$B$63))))*AK13)</x:f>
      </x:c>
      <x:c r="AL17" s="107" t="n">
        <x:f>'Вводные'!$M$88*((IF(SUM($D9:$DS9)=0,0,IF(SUM($D12:$DS12)=0,1,'Вводные'!$B$63)))*AL11+(1-(IF(SUM($D9:$DS9)=0,0,IF(SUM($D12:$DS12)=0,1,'Вводные'!$B$63))))*AL13)</x:f>
      </x:c>
      <x:c r="AM17" s="107" t="n">
        <x:f>'Вводные'!$M$88*((IF(SUM($D9:$DS9)=0,0,IF(SUM($D12:$DS12)=0,1,'Вводные'!$B$63)))*AM11+(1-(IF(SUM($D9:$DS9)=0,0,IF(SUM($D12:$DS12)=0,1,'Вводные'!$B$63))))*AM13)</x:f>
      </x:c>
      <x:c r="AN17" s="107" t="n">
        <x:f>'Вводные'!$M$88*((IF(SUM($D9:$DS9)=0,0,IF(SUM($D12:$DS12)=0,1,'Вводные'!$B$63)))*AN11+(1-(IF(SUM($D9:$DS9)=0,0,IF(SUM($D12:$DS12)=0,1,'Вводные'!$B$63))))*AN13)</x:f>
      </x:c>
      <x:c r="AO17" s="107" t="n">
        <x:f>'Вводные'!$M$88*((IF(SUM($D9:$DS9)=0,0,IF(SUM($D12:$DS12)=0,1,'Вводные'!$B$63)))*AO11+(1-(IF(SUM($D9:$DS9)=0,0,IF(SUM($D12:$DS12)=0,1,'Вводные'!$B$63))))*AO13)</x:f>
      </x:c>
      <x:c r="AP17" s="107" t="n">
        <x:f>'Вводные'!$M$88*((IF(SUM($D9:$DS9)=0,0,IF(SUM($D12:$DS12)=0,1,'Вводные'!$B$63)))*AP11+(1-(IF(SUM($D9:$DS9)=0,0,IF(SUM($D12:$DS12)=0,1,'Вводные'!$B$63))))*AP13)</x:f>
      </x:c>
      <x:c r="AQ17" s="107" t="n">
        <x:f>'Вводные'!$M$88*((IF(SUM($D9:$DS9)=0,0,IF(SUM($D12:$DS12)=0,1,'Вводные'!$B$63)))*AQ11+(1-(IF(SUM($D9:$DS9)=0,0,IF(SUM($D12:$DS12)=0,1,'Вводные'!$B$63))))*AQ13)</x:f>
      </x:c>
      <x:c r="AR17" s="107" t="n">
        <x:f>'Вводные'!$M$88*((IF(SUM($D9:$DS9)=0,0,IF(SUM($D12:$DS12)=0,1,'Вводные'!$B$63)))*AR11+(1-(IF(SUM($D9:$DS9)=0,0,IF(SUM($D12:$DS12)=0,1,'Вводные'!$B$63))))*AR13)</x:f>
      </x:c>
      <x:c r="AS17" s="107" t="n">
        <x:f>'Вводные'!$M$88*((IF(SUM($D9:$DS9)=0,0,IF(SUM($D12:$DS12)=0,1,'Вводные'!$B$63)))*AS11+(1-(IF(SUM($D9:$DS9)=0,0,IF(SUM($D12:$DS12)=0,1,'Вводные'!$B$63))))*AS13)</x:f>
      </x:c>
      <x:c r="AT17" s="107" t="n">
        <x:f>'Вводные'!$M$88*((IF(SUM($D9:$DS9)=0,0,IF(SUM($D12:$DS12)=0,1,'Вводные'!$B$63)))*AT11+(1-(IF(SUM($D9:$DS9)=0,0,IF(SUM($D12:$DS12)=0,1,'Вводные'!$B$63))))*AT13)</x:f>
      </x:c>
      <x:c r="AU17" s="107" t="n">
        <x:f>'Вводные'!$M$88*((IF(SUM($D9:$DS9)=0,0,IF(SUM($D12:$DS12)=0,1,'Вводные'!$B$63)))*AU11+(1-(IF(SUM($D9:$DS9)=0,0,IF(SUM($D12:$DS12)=0,1,'Вводные'!$B$63))))*AU13)</x:f>
      </x:c>
      <x:c r="AV17" s="107" t="n">
        <x:f>'Вводные'!$M$88*((IF(SUM($D9:$DS9)=0,0,IF(SUM($D12:$DS12)=0,1,'Вводные'!$B$63)))*AV11+(1-(IF(SUM($D9:$DS9)=0,0,IF(SUM($D12:$DS12)=0,1,'Вводные'!$B$63))))*AV13)</x:f>
      </x:c>
      <x:c r="AW17" s="107" t="n">
        <x:f>'Вводные'!$M$88*((IF(SUM($D9:$DS9)=0,0,IF(SUM($D12:$DS12)=0,1,'Вводные'!$B$63)))*AW11+(1-(IF(SUM($D9:$DS9)=0,0,IF(SUM($D12:$DS12)=0,1,'Вводные'!$B$63))))*AW13)</x:f>
      </x:c>
      <x:c r="AX17" s="107" t="n">
        <x:f>'Вводные'!$M$88*((IF(SUM($D9:$DS9)=0,0,IF(SUM($D12:$DS12)=0,1,'Вводные'!$B$63)))*AX11+(1-(IF(SUM($D9:$DS9)=0,0,IF(SUM($D12:$DS12)=0,1,'Вводные'!$B$63))))*AX13)</x:f>
      </x:c>
      <x:c r="AY17" s="107" t="n">
        <x:f>'Вводные'!$M$88*((IF(SUM($D9:$DS9)=0,0,IF(SUM($D12:$DS12)=0,1,'Вводные'!$B$63)))*AY11+(1-(IF(SUM($D9:$DS9)=0,0,IF(SUM($D12:$DS12)=0,1,'Вводные'!$B$63))))*AY13)</x:f>
      </x:c>
      <x:c r="AZ17" s="107" t="n">
        <x:f>'Вводные'!$M$88*((IF(SUM($D9:$DS9)=0,0,IF(SUM($D12:$DS12)=0,1,'Вводные'!$B$63)))*AZ11+(1-(IF(SUM($D9:$DS9)=0,0,IF(SUM($D12:$DS12)=0,1,'Вводные'!$B$63))))*AZ13)</x:f>
      </x:c>
      <x:c r="BA17" s="107" t="n">
        <x:f>'Вводные'!$M$88*((IF(SUM($D9:$DS9)=0,0,IF(SUM($D12:$DS12)=0,1,'Вводные'!$B$63)))*BA11+(1-(IF(SUM($D9:$DS9)=0,0,IF(SUM($D12:$DS12)=0,1,'Вводные'!$B$63))))*BA13)</x:f>
      </x:c>
      <x:c r="BB17" s="107" t="n">
        <x:f>'Вводные'!$M$88*((IF(SUM($D9:$DS9)=0,0,IF(SUM($D12:$DS12)=0,1,'Вводные'!$B$63)))*BB11+(1-(IF(SUM($D9:$DS9)=0,0,IF(SUM($D12:$DS12)=0,1,'Вводные'!$B$63))))*BB13)</x:f>
      </x:c>
      <x:c r="BC17" s="107" t="n">
        <x:f>'Вводные'!$M$88*((IF(SUM($D9:$DS9)=0,0,IF(SUM($D12:$DS12)=0,1,'Вводные'!$B$63)))*BC11+(1-(IF(SUM($D9:$DS9)=0,0,IF(SUM($D12:$DS12)=0,1,'Вводные'!$B$63))))*BC13)</x:f>
      </x:c>
      <x:c r="BD17" s="107" t="n">
        <x:f>'Вводные'!$M$88*((IF(SUM($D9:$DS9)=0,0,IF(SUM($D12:$DS12)=0,1,'Вводные'!$B$63)))*BD11+(1-(IF(SUM($D9:$DS9)=0,0,IF(SUM($D12:$DS12)=0,1,'Вводные'!$B$63))))*BD13)</x:f>
      </x:c>
      <x:c r="BE17" s="107" t="n">
        <x:f>'Вводные'!$M$88*((IF(SUM($D9:$DS9)=0,0,IF(SUM($D12:$DS12)=0,1,'Вводные'!$B$63)))*BE11+(1-(IF(SUM($D9:$DS9)=0,0,IF(SUM($D12:$DS12)=0,1,'Вводные'!$B$63))))*BE13)</x:f>
      </x:c>
      <x:c r="BF17" s="107" t="n">
        <x:f>'Вводные'!$M$88*((IF(SUM($D9:$DS9)=0,0,IF(SUM($D12:$DS12)=0,1,'Вводные'!$B$63)))*BF11+(1-(IF(SUM($D9:$DS9)=0,0,IF(SUM($D12:$DS12)=0,1,'Вводные'!$B$63))))*BF13)</x:f>
      </x:c>
      <x:c r="BG17" s="107" t="n">
        <x:f>'Вводные'!$M$88*((IF(SUM($D9:$DS9)=0,0,IF(SUM($D12:$DS12)=0,1,'Вводные'!$B$63)))*BG11+(1-(IF(SUM($D9:$DS9)=0,0,IF(SUM($D12:$DS12)=0,1,'Вводные'!$B$63))))*BG13)</x:f>
      </x:c>
      <x:c r="BH17" s="107" t="n">
        <x:f>'Вводные'!$M$88*((IF(SUM($D9:$DS9)=0,0,IF(SUM($D12:$DS12)=0,1,'Вводные'!$B$63)))*BH11+(1-(IF(SUM($D9:$DS9)=0,0,IF(SUM($D12:$DS12)=0,1,'Вводные'!$B$63))))*BH13)</x:f>
      </x:c>
      <x:c r="BI17" s="107" t="n">
        <x:f>'Вводные'!$M$88*((IF(SUM($D9:$DS9)=0,0,IF(SUM($D12:$DS12)=0,1,'Вводные'!$B$63)))*BI11+(1-(IF(SUM($D9:$DS9)=0,0,IF(SUM($D12:$DS12)=0,1,'Вводные'!$B$63))))*BI13)</x:f>
      </x:c>
      <x:c r="BJ17" s="107" t="n">
        <x:f>'Вводные'!$M$88*((IF(SUM($D9:$DS9)=0,0,IF(SUM($D12:$DS12)=0,1,'Вводные'!$B$63)))*BJ11+(1-(IF(SUM($D9:$DS9)=0,0,IF(SUM($D12:$DS12)=0,1,'Вводные'!$B$63))))*BJ13)</x:f>
      </x:c>
      <x:c r="BK17" s="107" t="n">
        <x:f>'Вводные'!$M$88*((IF(SUM($D9:$DS9)=0,0,IF(SUM($D12:$DS12)=0,1,'Вводные'!$B$63)))*BK11+(1-(IF(SUM($D9:$DS9)=0,0,IF(SUM($D12:$DS12)=0,1,'Вводные'!$B$63))))*BK13)</x:f>
      </x:c>
      <x:c r="BL17" s="107" t="n">
        <x:f>'Вводные'!$M$88*((IF(SUM($D9:$DS9)=0,0,IF(SUM($D12:$DS12)=0,1,'Вводные'!$B$63)))*BL11+(1-(IF(SUM($D9:$DS9)=0,0,IF(SUM($D12:$DS12)=0,1,'Вводные'!$B$63))))*BL13)</x:f>
      </x:c>
      <x:c r="BM17" s="107" t="n">
        <x:f>'Вводные'!$M$88*((IF(SUM($D9:$DS9)=0,0,IF(SUM($D12:$DS12)=0,1,'Вводные'!$B$63)))*BM11+(1-(IF(SUM($D9:$DS9)=0,0,IF(SUM($D12:$DS12)=0,1,'Вводные'!$B$63))))*BM13)</x:f>
      </x:c>
      <x:c r="BN17" s="107" t="n">
        <x:f>'Вводные'!$M$88*((IF(SUM($D9:$DS9)=0,0,IF(SUM($D12:$DS12)=0,1,'Вводные'!$B$63)))*BN11+(1-(IF(SUM($D9:$DS9)=0,0,IF(SUM($D12:$DS12)=0,1,'Вводные'!$B$63))))*BN13)</x:f>
      </x:c>
      <x:c r="BO17" s="107" t="n">
        <x:f>'Вводные'!$M$88*((IF(SUM($D9:$DS9)=0,0,IF(SUM($D12:$DS12)=0,1,'Вводные'!$B$63)))*BO11+(1-(IF(SUM($D9:$DS9)=0,0,IF(SUM($D12:$DS12)=0,1,'Вводные'!$B$63))))*BO13)</x:f>
      </x:c>
      <x:c r="BP17" s="107" t="n">
        <x:f>'Вводные'!$M$88*((IF(SUM($D9:$DS9)=0,0,IF(SUM($D12:$DS12)=0,1,'Вводные'!$B$63)))*BP11+(1-(IF(SUM($D9:$DS9)=0,0,IF(SUM($D12:$DS12)=0,1,'Вводные'!$B$63))))*BP13)</x:f>
      </x:c>
      <x:c r="BQ17" s="107" t="n">
        <x:f>'Вводные'!$M$88*((IF(SUM($D9:$DS9)=0,0,IF(SUM($D12:$DS12)=0,1,'Вводные'!$B$63)))*BQ11+(1-(IF(SUM($D9:$DS9)=0,0,IF(SUM($D12:$DS12)=0,1,'Вводные'!$B$63))))*BQ13)</x:f>
      </x:c>
      <x:c r="BR17" s="107" t="n">
        <x:f>'Вводные'!$M$88*((IF(SUM($D9:$DS9)=0,0,IF(SUM($D12:$DS12)=0,1,'Вводные'!$B$63)))*BR11+(1-(IF(SUM($D9:$DS9)=0,0,IF(SUM($D12:$DS12)=0,1,'Вводные'!$B$63))))*BR13)</x:f>
      </x:c>
      <x:c r="BS17" s="107" t="n">
        <x:f>'Вводные'!$M$88*((IF(SUM($D9:$DS9)=0,0,IF(SUM($D12:$DS12)=0,1,'Вводные'!$B$63)))*BS11+(1-(IF(SUM($D9:$DS9)=0,0,IF(SUM($D12:$DS12)=0,1,'Вводные'!$B$63))))*BS13)</x:f>
      </x:c>
      <x:c r="BT17" s="107" t="n">
        <x:f>'Вводные'!$M$88*((IF(SUM($D9:$DS9)=0,0,IF(SUM($D12:$DS12)=0,1,'Вводные'!$B$63)))*BT11+(1-(IF(SUM($D9:$DS9)=0,0,IF(SUM($D12:$DS12)=0,1,'Вводные'!$B$63))))*BT13)</x:f>
      </x:c>
      <x:c r="BU17" s="107" t="n">
        <x:f>'Вводные'!$M$88*((IF(SUM($D9:$DS9)=0,0,IF(SUM($D12:$DS12)=0,1,'Вводные'!$B$63)))*BU11+(1-(IF(SUM($D9:$DS9)=0,0,IF(SUM($D12:$DS12)=0,1,'Вводные'!$B$63))))*BU13)</x:f>
      </x:c>
      <x:c r="BV17" s="107" t="n">
        <x:f>'Вводные'!$M$88*((IF(SUM($D9:$DS9)=0,0,IF(SUM($D12:$DS12)=0,1,'Вводные'!$B$63)))*BV11+(1-(IF(SUM($D9:$DS9)=0,0,IF(SUM($D12:$DS12)=0,1,'Вводные'!$B$63))))*BV13)</x:f>
      </x:c>
      <x:c r="BW17" s="107" t="n">
        <x:f>'Вводные'!$M$88*((IF(SUM($D9:$DS9)=0,0,IF(SUM($D12:$DS12)=0,1,'Вводные'!$B$63)))*BW11+(1-(IF(SUM($D9:$DS9)=0,0,IF(SUM($D12:$DS12)=0,1,'Вводные'!$B$63))))*BW13)</x:f>
      </x:c>
      <x:c r="BX17" s="107" t="n">
        <x:f>'Вводные'!$M$88*((IF(SUM($D9:$DS9)=0,0,IF(SUM($D12:$DS12)=0,1,'Вводные'!$B$63)))*BX11+(1-(IF(SUM($D9:$DS9)=0,0,IF(SUM($D12:$DS12)=0,1,'Вводные'!$B$63))))*BX13)</x:f>
      </x:c>
      <x:c r="BY17" s="107" t="n">
        <x:f>'Вводные'!$M$88*((IF(SUM($D9:$DS9)=0,0,IF(SUM($D12:$DS12)=0,1,'Вводные'!$B$63)))*BY11+(1-(IF(SUM($D9:$DS9)=0,0,IF(SUM($D12:$DS12)=0,1,'Вводные'!$B$63))))*BY13)</x:f>
      </x:c>
      <x:c r="BZ17" s="107" t="n">
        <x:f>'Вводные'!$M$88*((IF(SUM($D9:$DS9)=0,0,IF(SUM($D12:$DS12)=0,1,'Вводные'!$B$63)))*BZ11+(1-(IF(SUM($D9:$DS9)=0,0,IF(SUM($D12:$DS12)=0,1,'Вводные'!$B$63))))*BZ13)</x:f>
      </x:c>
      <x:c r="CA17" s="107" t="n">
        <x:f>'Вводные'!$M$88*((IF(SUM($D9:$DS9)=0,0,IF(SUM($D12:$DS12)=0,1,'Вводные'!$B$63)))*CA11+(1-(IF(SUM($D9:$DS9)=0,0,IF(SUM($D12:$DS12)=0,1,'Вводные'!$B$63))))*CA13)</x:f>
      </x:c>
      <x:c r="CB17" s="107" t="n">
        <x:f>'Вводные'!$M$88*((IF(SUM($D9:$DS9)=0,0,IF(SUM($D12:$DS12)=0,1,'Вводные'!$B$63)))*CB11+(1-(IF(SUM($D9:$DS9)=0,0,IF(SUM($D12:$DS12)=0,1,'Вводные'!$B$63))))*CB13)</x:f>
      </x:c>
      <x:c r="CC17" s="107" t="n">
        <x:f>'Вводные'!$M$88*((IF(SUM($D9:$DS9)=0,0,IF(SUM($D12:$DS12)=0,1,'Вводные'!$B$63)))*CC11+(1-(IF(SUM($D9:$DS9)=0,0,IF(SUM($D12:$DS12)=0,1,'Вводные'!$B$63))))*CC13)</x:f>
      </x:c>
      <x:c r="CD17" s="107" t="n">
        <x:f>'Вводные'!$M$88*((IF(SUM($D9:$DS9)=0,0,IF(SUM($D12:$DS12)=0,1,'Вводные'!$B$63)))*CD11+(1-(IF(SUM($D9:$DS9)=0,0,IF(SUM($D12:$DS12)=0,1,'Вводные'!$B$63))))*CD13)</x:f>
      </x:c>
      <x:c r="CE17" s="107" t="n">
        <x:f>'Вводные'!$M$88*((IF(SUM($D9:$DS9)=0,0,IF(SUM($D12:$DS12)=0,1,'Вводные'!$B$63)))*CE11+(1-(IF(SUM($D9:$DS9)=0,0,IF(SUM($D12:$DS12)=0,1,'Вводные'!$B$63))))*CE13)</x:f>
      </x:c>
      <x:c r="CF17" s="107" t="n">
        <x:f>'Вводные'!$M$88*((IF(SUM($D9:$DS9)=0,0,IF(SUM($D12:$DS12)=0,1,'Вводные'!$B$63)))*CF11+(1-(IF(SUM($D9:$DS9)=0,0,IF(SUM($D12:$DS12)=0,1,'Вводные'!$B$63))))*CF13)</x:f>
      </x:c>
      <x:c r="CG17" s="107" t="n">
        <x:f>'Вводные'!$M$88*((IF(SUM($D9:$DS9)=0,0,IF(SUM($D12:$DS12)=0,1,'Вводные'!$B$63)))*CG11+(1-(IF(SUM($D9:$DS9)=0,0,IF(SUM($D12:$DS12)=0,1,'Вводные'!$B$63))))*CG13)</x:f>
      </x:c>
      <x:c r="CH17" s="107" t="n">
        <x:f>'Вводные'!$M$88*((IF(SUM($D9:$DS9)=0,0,IF(SUM($D12:$DS12)=0,1,'Вводные'!$B$63)))*CH11+(1-(IF(SUM($D9:$DS9)=0,0,IF(SUM($D12:$DS12)=0,1,'Вводные'!$B$63))))*CH13)</x:f>
      </x:c>
      <x:c r="CI17" s="107" t="n">
        <x:f>'Вводные'!$M$88*((IF(SUM($D9:$DS9)=0,0,IF(SUM($D12:$DS12)=0,1,'Вводные'!$B$63)))*CI11+(1-(IF(SUM($D9:$DS9)=0,0,IF(SUM($D12:$DS12)=0,1,'Вводные'!$B$63))))*CI13)</x:f>
      </x:c>
      <x:c r="CJ17" s="107" t="n">
        <x:f>'Вводные'!$M$88*((IF(SUM($D9:$DS9)=0,0,IF(SUM($D12:$DS12)=0,1,'Вводные'!$B$63)))*CJ11+(1-(IF(SUM($D9:$DS9)=0,0,IF(SUM($D12:$DS12)=0,1,'Вводные'!$B$63))))*CJ13)</x:f>
      </x:c>
      <x:c r="CK17" s="107" t="n">
        <x:f>'Вводные'!$M$88*((IF(SUM($D9:$DS9)=0,0,IF(SUM($D12:$DS12)=0,1,'Вводные'!$B$63)))*CK11+(1-(IF(SUM($D9:$DS9)=0,0,IF(SUM($D12:$DS12)=0,1,'Вводные'!$B$63))))*CK13)</x:f>
      </x:c>
      <x:c r="CL17" s="107" t="n">
        <x:f>'Вводные'!$M$88*((IF(SUM($D9:$DS9)=0,0,IF(SUM($D12:$DS12)=0,1,'Вводные'!$B$63)))*CL11+(1-(IF(SUM($D9:$DS9)=0,0,IF(SUM($D12:$DS12)=0,1,'Вводные'!$B$63))))*CL13)</x:f>
      </x:c>
      <x:c r="CM17" s="107" t="n">
        <x:f>'Вводные'!$M$88*((IF(SUM($D9:$DS9)=0,0,IF(SUM($D12:$DS12)=0,1,'Вводные'!$B$63)))*CM11+(1-(IF(SUM($D9:$DS9)=0,0,IF(SUM($D12:$DS12)=0,1,'Вводные'!$B$63))))*CM13)</x:f>
      </x:c>
      <x:c r="CN17" s="107" t="n">
        <x:f>'Вводные'!$M$88*((IF(SUM($D9:$DS9)=0,0,IF(SUM($D12:$DS12)=0,1,'Вводные'!$B$63)))*CN11+(1-(IF(SUM($D9:$DS9)=0,0,IF(SUM($D12:$DS12)=0,1,'Вводные'!$B$63))))*CN13)</x:f>
      </x:c>
      <x:c r="CO17" s="107" t="n">
        <x:f>'Вводные'!$M$88*((IF(SUM($D9:$DS9)=0,0,IF(SUM($D12:$DS12)=0,1,'Вводные'!$B$63)))*CO11+(1-(IF(SUM($D9:$DS9)=0,0,IF(SUM($D12:$DS12)=0,1,'Вводные'!$B$63))))*CO13)</x:f>
      </x:c>
      <x:c r="CP17" s="107" t="n">
        <x:f>'Вводные'!$M$88*((IF(SUM($D9:$DS9)=0,0,IF(SUM($D12:$DS12)=0,1,'Вводные'!$B$63)))*CP11+(1-(IF(SUM($D9:$DS9)=0,0,IF(SUM($D12:$DS12)=0,1,'Вводные'!$B$63))))*CP13)</x:f>
      </x:c>
      <x:c r="CQ17" s="107" t="n">
        <x:f>'Вводные'!$M$88*((IF(SUM($D9:$DS9)=0,0,IF(SUM($D12:$DS12)=0,1,'Вводные'!$B$63)))*CQ11+(1-(IF(SUM($D9:$DS9)=0,0,IF(SUM($D12:$DS12)=0,1,'Вводные'!$B$63))))*CQ13)</x:f>
      </x:c>
      <x:c r="CR17" s="107" t="n">
        <x:f>'Вводные'!$M$88*((IF(SUM($D9:$DS9)=0,0,IF(SUM($D12:$DS12)=0,1,'Вводные'!$B$63)))*CR11+(1-(IF(SUM($D9:$DS9)=0,0,IF(SUM($D12:$DS12)=0,1,'Вводные'!$B$63))))*CR13)</x:f>
      </x:c>
      <x:c r="CS17" s="107" t="n">
        <x:f>'Вводные'!$M$88*((IF(SUM($D9:$DS9)=0,0,IF(SUM($D12:$DS12)=0,1,'Вводные'!$B$63)))*CS11+(1-(IF(SUM($D9:$DS9)=0,0,IF(SUM($D12:$DS12)=0,1,'Вводные'!$B$63))))*CS13)</x:f>
      </x:c>
      <x:c r="CT17" s="107" t="n">
        <x:f>'Вводные'!$M$88*((IF(SUM($D9:$DS9)=0,0,IF(SUM($D12:$DS12)=0,1,'Вводные'!$B$63)))*CT11+(1-(IF(SUM($D9:$DS9)=0,0,IF(SUM($D12:$DS12)=0,1,'Вводные'!$B$63))))*CT13)</x:f>
      </x:c>
      <x:c r="CU17" s="107" t="n">
        <x:f>'Вводные'!$M$88*((IF(SUM($D9:$DS9)=0,0,IF(SUM($D12:$DS12)=0,1,'Вводные'!$B$63)))*CU11+(1-(IF(SUM($D9:$DS9)=0,0,IF(SUM($D12:$DS12)=0,1,'Вводные'!$B$63))))*CU13)</x:f>
      </x:c>
      <x:c r="CV17" s="107" t="n">
        <x:f>'Вводные'!$M$88*((IF(SUM($D9:$DS9)=0,0,IF(SUM($D12:$DS12)=0,1,'Вводные'!$B$63)))*CV11+(1-(IF(SUM($D9:$DS9)=0,0,IF(SUM($D12:$DS12)=0,1,'Вводные'!$B$63))))*CV13)</x:f>
      </x:c>
      <x:c r="CW17" s="107" t="n">
        <x:f>'Вводные'!$M$88*((IF(SUM($D9:$DS9)=0,0,IF(SUM($D12:$DS12)=0,1,'Вводные'!$B$63)))*CW11+(1-(IF(SUM($D9:$DS9)=0,0,IF(SUM($D12:$DS12)=0,1,'Вводные'!$B$63))))*CW13)</x:f>
      </x:c>
      <x:c r="CX17" s="107" t="n">
        <x:f>'Вводные'!$M$88*((IF(SUM($D9:$DS9)=0,0,IF(SUM($D12:$DS12)=0,1,'Вводные'!$B$63)))*CX11+(1-(IF(SUM($D9:$DS9)=0,0,IF(SUM($D12:$DS12)=0,1,'Вводные'!$B$63))))*CX13)</x:f>
      </x:c>
      <x:c r="CY17" s="107" t="n">
        <x:f>'Вводные'!$M$88*((IF(SUM($D9:$DS9)=0,0,IF(SUM($D12:$DS12)=0,1,'Вводные'!$B$63)))*CY11+(1-(IF(SUM($D9:$DS9)=0,0,IF(SUM($D12:$DS12)=0,1,'Вводные'!$B$63))))*CY13)</x:f>
      </x:c>
      <x:c r="CZ17" s="107" t="n">
        <x:f>'Вводные'!$M$88*((IF(SUM($D9:$DS9)=0,0,IF(SUM($D12:$DS12)=0,1,'Вводные'!$B$63)))*CZ11+(1-(IF(SUM($D9:$DS9)=0,0,IF(SUM($D12:$DS12)=0,1,'Вводные'!$B$63))))*CZ13)</x:f>
      </x:c>
      <x:c r="DA17" s="107" t="n">
        <x:f>'Вводные'!$M$88*((IF(SUM($D9:$DS9)=0,0,IF(SUM($D12:$DS12)=0,1,'Вводные'!$B$63)))*DA11+(1-(IF(SUM($D9:$DS9)=0,0,IF(SUM($D12:$DS12)=0,1,'Вводные'!$B$63))))*DA13)</x:f>
      </x:c>
      <x:c r="DB17" s="107" t="n">
        <x:f>'Вводные'!$M$88*((IF(SUM($D9:$DS9)=0,0,IF(SUM($D12:$DS12)=0,1,'Вводные'!$B$63)))*DB11+(1-(IF(SUM($D9:$DS9)=0,0,IF(SUM($D12:$DS12)=0,1,'Вводные'!$B$63))))*DB13)</x:f>
      </x:c>
      <x:c r="DC17" s="107" t="n">
        <x:f>'Вводные'!$M$88*((IF(SUM($D9:$DS9)=0,0,IF(SUM($D12:$DS12)=0,1,'Вводные'!$B$63)))*DC11+(1-(IF(SUM($D9:$DS9)=0,0,IF(SUM($D12:$DS12)=0,1,'Вводные'!$B$63))))*DC13)</x:f>
      </x:c>
      <x:c r="DD17" s="107" t="n">
        <x:f>'Вводные'!$M$88*((IF(SUM($D9:$DS9)=0,0,IF(SUM($D12:$DS12)=0,1,'Вводные'!$B$63)))*DD11+(1-(IF(SUM($D9:$DS9)=0,0,IF(SUM($D12:$DS12)=0,1,'Вводные'!$B$63))))*DD13)</x:f>
      </x:c>
      <x:c r="DE17" s="107" t="n">
        <x:f>'Вводные'!$M$88*((IF(SUM($D9:$DS9)=0,0,IF(SUM($D12:$DS12)=0,1,'Вводные'!$B$63)))*DE11+(1-(IF(SUM($D9:$DS9)=0,0,IF(SUM($D12:$DS12)=0,1,'Вводные'!$B$63))))*DE13)</x:f>
      </x:c>
      <x:c r="DF17" s="107" t="n">
        <x:f>'Вводные'!$M$88*((IF(SUM($D9:$DS9)=0,0,IF(SUM($D12:$DS12)=0,1,'Вводные'!$B$63)))*DF11+(1-(IF(SUM($D9:$DS9)=0,0,IF(SUM($D12:$DS12)=0,1,'Вводные'!$B$63))))*DF13)</x:f>
      </x:c>
      <x:c r="DG17" s="107" t="n">
        <x:f>'Вводные'!$M$88*((IF(SUM($D9:$DS9)=0,0,IF(SUM($D12:$DS12)=0,1,'Вводные'!$B$63)))*DG11+(1-(IF(SUM($D9:$DS9)=0,0,IF(SUM($D12:$DS12)=0,1,'Вводные'!$B$63))))*DG13)</x:f>
      </x:c>
      <x:c r="DH17" s="107" t="n">
        <x:f>'Вводные'!$M$88*((IF(SUM($D9:$DS9)=0,0,IF(SUM($D12:$DS12)=0,1,'Вводные'!$B$63)))*DH11+(1-(IF(SUM($D9:$DS9)=0,0,IF(SUM($D12:$DS12)=0,1,'Вводные'!$B$63))))*DH13)</x:f>
      </x:c>
      <x:c r="DI17" s="107" t="n">
        <x:f>'Вводные'!$M$88*((IF(SUM($D9:$DS9)=0,0,IF(SUM($D12:$DS12)=0,1,'Вводные'!$B$63)))*DI11+(1-(IF(SUM($D9:$DS9)=0,0,IF(SUM($D12:$DS12)=0,1,'Вводные'!$B$63))))*DI13)</x:f>
      </x:c>
      <x:c r="DJ17" s="107" t="n">
        <x:f>'Вводные'!$M$88*((IF(SUM($D9:$DS9)=0,0,IF(SUM($D12:$DS12)=0,1,'Вводные'!$B$63)))*DJ11+(1-(IF(SUM($D9:$DS9)=0,0,IF(SUM($D12:$DS12)=0,1,'Вводные'!$B$63))))*DJ13)</x:f>
      </x:c>
      <x:c r="DK17" s="107" t="n">
        <x:f>'Вводные'!$M$88*((IF(SUM($D9:$DS9)=0,0,IF(SUM($D12:$DS12)=0,1,'Вводные'!$B$63)))*DK11+(1-(IF(SUM($D9:$DS9)=0,0,IF(SUM($D12:$DS12)=0,1,'Вводные'!$B$63))))*DK13)</x:f>
      </x:c>
      <x:c r="DL17" s="107" t="n">
        <x:f>'Вводные'!$M$88*((IF(SUM($D9:$DS9)=0,0,IF(SUM($D12:$DS12)=0,1,'Вводные'!$B$63)))*DL11+(1-(IF(SUM($D9:$DS9)=0,0,IF(SUM($D12:$DS12)=0,1,'Вводные'!$B$63))))*DL13)</x:f>
      </x:c>
      <x:c r="DM17" s="107" t="n">
        <x:f>'Вводные'!$M$88*((IF(SUM($D9:$DS9)=0,0,IF(SUM($D12:$DS12)=0,1,'Вводные'!$B$63)))*DM11+(1-(IF(SUM($D9:$DS9)=0,0,IF(SUM($D12:$DS12)=0,1,'Вводные'!$B$63))))*DM13)</x:f>
      </x:c>
      <x:c r="DN17" s="107" t="n">
        <x:f>'Вводные'!$M$88*((IF(SUM($D9:$DS9)=0,0,IF(SUM($D12:$DS12)=0,1,'Вводные'!$B$63)))*DN11+(1-(IF(SUM($D9:$DS9)=0,0,IF(SUM($D12:$DS12)=0,1,'Вводные'!$B$63))))*DN13)</x:f>
      </x:c>
      <x:c r="DO17" s="107" t="n">
        <x:f>'Вводные'!$M$88*((IF(SUM($D9:$DS9)=0,0,IF(SUM($D12:$DS12)=0,1,'Вводные'!$B$63)))*DO11+(1-(IF(SUM($D9:$DS9)=0,0,IF(SUM($D12:$DS12)=0,1,'Вводные'!$B$63))))*DO13)</x:f>
      </x:c>
      <x:c r="DP17" s="107" t="n">
        <x:f>'Вводные'!$M$88*((IF(SUM($D9:$DS9)=0,0,IF(SUM($D12:$DS12)=0,1,'Вводные'!$B$63)))*DP11+(1-(IF(SUM($D9:$DS9)=0,0,IF(SUM($D12:$DS12)=0,1,'Вводные'!$B$63))))*DP13)</x:f>
      </x:c>
      <x:c r="DQ17" s="107" t="n">
        <x:f>'Вводные'!$M$88*((IF(SUM($D9:$DS9)=0,0,IF(SUM($D12:$DS12)=0,1,'Вводные'!$B$63)))*DQ11+(1-(IF(SUM($D9:$DS9)=0,0,IF(SUM($D12:$DS12)=0,1,'Вводные'!$B$63))))*DQ13)</x:f>
      </x:c>
      <x:c r="DR17" s="107" t="n">
        <x:f>'Вводные'!$M$88*((IF(SUM($D9:$DS9)=0,0,IF(SUM($D12:$DS12)=0,1,'Вводные'!$B$63)))*DR11+(1-(IF(SUM($D9:$DS9)=0,0,IF(SUM($D12:$DS12)=0,1,'Вводные'!$B$63))))*DR13)</x:f>
      </x:c>
      <x:c r="DS17" s="107" t="n">
        <x:f>'Вводные'!$M$88*((IF(SUM($D9:$DS9)=0,0,IF(SUM($D12:$DS12)=0,1,'Вводные'!$B$63)))*DS11+(1-(IF(SUM($D9:$DS9)=0,0,IF(SUM($D12:$DS12)=0,1,'Вводные'!$B$63))))*DS13)</x:f>
      </x:c>
    </x:row>
    <x:row r="18">
      <x:c r="A18" t="str">
        <x:v>Коммерция — цена</x:v>
      </x:c>
      <x:c r="B18" t="n">
        <x:f>IFERROR(B19*1000/B17,0)</x:f>
      </x:c>
      <x:c r="C18" t="str">
        <x:v>тыс. ₽/м²</x:v>
      </x:c>
      <x:c r="D18" s="107" t="n">
        <x:f>IF(D17=0,0,'Вводные'!$B$60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8" s="107" t="n">
        <x:f>IF(E17=0,0,'Вводные'!$B$60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8" s="107" t="n">
        <x:f>IF(F17=0,0,'Вводные'!$B$60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8" s="107" t="n">
        <x:f>IF(G17=0,0,'Вводные'!$B$60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8" s="107" t="n">
        <x:f>IF(H17=0,0,'Вводные'!$B$60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8" s="107" t="n">
        <x:f>IF(I17=0,0,'Вводные'!$B$60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8" s="107" t="n">
        <x:f>IF(J17=0,0,'Вводные'!$B$60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8" s="107" t="n">
        <x:f>IF(K17=0,0,'Вводные'!$B$60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8" s="107" t="n">
        <x:f>IF(L17=0,0,'Вводные'!$B$60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8" s="107" t="n">
        <x:f>IF(M17=0,0,'Вводные'!$B$60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8" s="107" t="n">
        <x:f>IF(N17=0,0,'Вводные'!$B$60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8" s="107" t="n">
        <x:f>IF(O17=0,0,'Вводные'!$B$60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8" s="107" t="n">
        <x:f>IF(P17=0,0,'Вводные'!$B$60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8" s="107" t="n">
        <x:f>IF(Q17=0,0,'Вводные'!$B$60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8" s="107" t="n">
        <x:f>IF(R17=0,0,'Вводные'!$B$60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8" s="107" t="n">
        <x:f>IF(S17=0,0,'Вводные'!$B$60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8" s="107" t="n">
        <x:f>IF(T17=0,0,'Вводные'!$B$60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8" s="107" t="n">
        <x:f>IF(U17=0,0,'Вводные'!$B$60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8" s="107" t="n">
        <x:f>IF(V17=0,0,'Вводные'!$B$60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8" s="107" t="n">
        <x:f>IF(W17=0,0,'Вводные'!$B$60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8" s="107" t="n">
        <x:f>IF(X17=0,0,'Вводные'!$B$60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8" s="107" t="n">
        <x:f>IF(Y17=0,0,'Вводные'!$B$60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8" s="107" t="n">
        <x:f>IF(Z17=0,0,'Вводные'!$B$60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8" s="107" t="n">
        <x:f>IF(AA17=0,0,'Вводные'!$B$60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8" s="107" t="n">
        <x:f>IF(AB17=0,0,'Вводные'!$B$60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8" s="107" t="n">
        <x:f>IF(AC17=0,0,'Вводные'!$B$60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8" s="107" t="n">
        <x:f>IF(AD17=0,0,'Вводные'!$B$60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8" s="107" t="n">
        <x:f>IF(AE17=0,0,'Вводные'!$B$60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8" s="107" t="n">
        <x:f>IF(AF17=0,0,'Вводные'!$B$60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8" s="107" t="n">
        <x:f>IF(AG17=0,0,'Вводные'!$B$60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8" s="107" t="n">
        <x:f>IF(AH17=0,0,'Вводные'!$B$60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8" s="107" t="n">
        <x:f>IF(AI17=0,0,'Вводные'!$B$60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8" s="107" t="n">
        <x:f>IF(AJ17=0,0,'Вводные'!$B$60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8" s="107" t="n">
        <x:f>IF(AK17=0,0,'Вводные'!$B$60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8" s="107" t="n">
        <x:f>IF(AL17=0,0,'Вводные'!$B$60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8" s="107" t="n">
        <x:f>IF(AM17=0,0,'Вводные'!$B$60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8" s="107" t="n">
        <x:f>IF(AN17=0,0,'Вводные'!$B$60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8" s="107" t="n">
        <x:f>IF(AO17=0,0,'Вводные'!$B$60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8" s="107" t="n">
        <x:f>IF(AP17=0,0,'Вводные'!$B$60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8" s="107" t="n">
        <x:f>IF(AQ17=0,0,'Вводные'!$B$60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8" s="107" t="n">
        <x:f>IF(AR17=0,0,'Вводные'!$B$60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8" s="107" t="n">
        <x:f>IF(AS17=0,0,'Вводные'!$B$60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8" s="107" t="n">
        <x:f>IF(AT17=0,0,'Вводные'!$B$60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8" s="107" t="n">
        <x:f>IF(AU17=0,0,'Вводные'!$B$60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8" s="107" t="n">
        <x:f>IF(AV17=0,0,'Вводные'!$B$60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8" s="107" t="n">
        <x:f>IF(AW17=0,0,'Вводные'!$B$60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8" s="107" t="n">
        <x:f>IF(AX17=0,0,'Вводные'!$B$60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8" s="107" t="n">
        <x:f>IF(AY17=0,0,'Вводные'!$B$60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8" s="107" t="n">
        <x:f>IF(AZ17=0,0,'Вводные'!$B$60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8" s="107" t="n">
        <x:f>IF(BA17=0,0,'Вводные'!$B$60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8" s="107" t="n">
        <x:f>IF(BB17=0,0,'Вводные'!$B$60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8" s="107" t="n">
        <x:f>IF(BC17=0,0,'Вводные'!$B$60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8" s="107" t="n">
        <x:f>IF(BD17=0,0,'Вводные'!$B$60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8" s="107" t="n">
        <x:f>IF(BE17=0,0,'Вводные'!$B$60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8" s="107" t="n">
        <x:f>IF(BF17=0,0,'Вводные'!$B$60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8" s="107" t="n">
        <x:f>IF(BG17=0,0,'Вводные'!$B$60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8" s="107" t="n">
        <x:f>IF(BH17=0,0,'Вводные'!$B$60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8" s="107" t="n">
        <x:f>IF(BI17=0,0,'Вводные'!$B$60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8" s="107" t="n">
        <x:f>IF(BJ17=0,0,'Вводные'!$B$60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8" s="107" t="n">
        <x:f>IF(BK17=0,0,'Вводные'!$B$60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8" s="107" t="n">
        <x:f>IF(BL17=0,0,'Вводные'!$B$60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8" s="107" t="n">
        <x:f>IF(BM17=0,0,'Вводные'!$B$60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8" s="107" t="n">
        <x:f>IF(BN17=0,0,'Вводные'!$B$60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8" s="107" t="n">
        <x:f>IF(BO17=0,0,'Вводные'!$B$60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8" s="107" t="n">
        <x:f>IF(BP17=0,0,'Вводные'!$B$60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8" s="107" t="n">
        <x:f>IF(BQ17=0,0,'Вводные'!$B$60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8" s="107" t="n">
        <x:f>IF(BR17=0,0,'Вводные'!$B$60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8" s="107" t="n">
        <x:f>IF(BS17=0,0,'Вводные'!$B$60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8" s="107" t="n">
        <x:f>IF(BT17=0,0,'Вводные'!$B$60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8" s="107" t="n">
        <x:f>IF(BU17=0,0,'Вводные'!$B$60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8" s="107" t="n">
        <x:f>IF(BV17=0,0,'Вводные'!$B$60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8" s="107" t="n">
        <x:f>IF(BW17=0,0,'Вводные'!$B$60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8" s="107" t="n">
        <x:f>IF(BX17=0,0,'Вводные'!$B$60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8" s="107" t="n">
        <x:f>IF(BY17=0,0,'Вводные'!$B$60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8" s="107" t="n">
        <x:f>IF(BZ17=0,0,'Вводные'!$B$60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8" s="107" t="n">
        <x:f>IF(CA17=0,0,'Вводные'!$B$60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8" s="107" t="n">
        <x:f>IF(CB17=0,0,'Вводные'!$B$60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8" s="107" t="n">
        <x:f>IF(CC17=0,0,'Вводные'!$B$60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8" s="107" t="n">
        <x:f>IF(CD17=0,0,'Вводные'!$B$60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8" s="107" t="n">
        <x:f>IF(CE17=0,0,'Вводные'!$B$60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8" s="107" t="n">
        <x:f>IF(CF17=0,0,'Вводные'!$B$60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8" s="107" t="n">
        <x:f>IF(CG17=0,0,'Вводные'!$B$60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8" s="107" t="n">
        <x:f>IF(CH17=0,0,'Вводные'!$B$60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8" s="107" t="n">
        <x:f>IF(CI17=0,0,'Вводные'!$B$60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8" s="107" t="n">
        <x:f>IF(CJ17=0,0,'Вводные'!$B$60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8" s="107" t="n">
        <x:f>IF(CK17=0,0,'Вводные'!$B$60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8" s="107" t="n">
        <x:f>IF(CL17=0,0,'Вводные'!$B$60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8" s="107" t="n">
        <x:f>IF(CM17=0,0,'Вводные'!$B$60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8" s="107" t="n">
        <x:f>IF(CN17=0,0,'Вводные'!$B$60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8" s="107" t="n">
        <x:f>IF(CO17=0,0,'Вводные'!$B$60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8" s="107" t="n">
        <x:f>IF(CP17=0,0,'Вводные'!$B$60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8" s="107" t="n">
        <x:f>IF(CQ17=0,0,'Вводные'!$B$60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8" s="107" t="n">
        <x:f>IF(CR17=0,0,'Вводные'!$B$60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8" s="107" t="n">
        <x:f>IF(CS17=0,0,'Вводные'!$B$60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8" s="107" t="n">
        <x:f>IF(CT17=0,0,'Вводные'!$B$60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8" s="107" t="n">
        <x:f>IF(CU17=0,0,'Вводные'!$B$60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8" s="107" t="n">
        <x:f>IF(CV17=0,0,'Вводные'!$B$60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8" s="107" t="n">
        <x:f>IF(CW17=0,0,'Вводные'!$B$60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8" s="107" t="n">
        <x:f>IF(CX17=0,0,'Вводные'!$B$60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8" s="107" t="n">
        <x:f>IF(CY17=0,0,'Вводные'!$B$60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8" s="107" t="n">
        <x:f>IF(CZ17=0,0,'Вводные'!$B$60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8" s="107" t="n">
        <x:f>IF(DA17=0,0,'Вводные'!$B$60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8" s="107" t="n">
        <x:f>IF(DB17=0,0,'Вводные'!$B$60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8" s="107" t="n">
        <x:f>IF(DC17=0,0,'Вводные'!$B$60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8" s="107" t="n">
        <x:f>IF(DD17=0,0,'Вводные'!$B$60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8" s="107" t="n">
        <x:f>IF(DE17=0,0,'Вводные'!$B$60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8" s="107" t="n">
        <x:f>IF(DF17=0,0,'Вводные'!$B$60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8" s="107" t="n">
        <x:f>IF(DG17=0,0,'Вводные'!$B$60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8" s="107" t="n">
        <x:f>IF(DH17=0,0,'Вводные'!$B$60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8" s="107" t="n">
        <x:f>IF(DI17=0,0,'Вводные'!$B$60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8" s="107" t="n">
        <x:f>IF(DJ17=0,0,'Вводные'!$B$60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8" s="107" t="n">
        <x:f>IF(DK17=0,0,'Вводные'!$B$60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8" s="107" t="n">
        <x:f>IF(DL17=0,0,'Вводные'!$B$60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8" s="107" t="n">
        <x:f>IF(DM17=0,0,'Вводные'!$B$60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8" s="107" t="n">
        <x:f>IF(DN17=0,0,'Вводные'!$B$60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8" s="107" t="n">
        <x:f>IF(DO17=0,0,'Вводные'!$B$60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8" s="107" t="n">
        <x:f>IF(DP17=0,0,'Вводные'!$B$60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8" s="107" t="n">
        <x:f>IF(DQ17=0,0,'Вводные'!$B$60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8" s="107" t="n">
        <x:f>IF(DR17=0,0,'Вводные'!$B$60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8" s="107" t="n">
        <x:f>IF(DS17=0,0,'Вводные'!$B$60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9">
      <x:c r="A19" t="str">
        <x:v>Коммерция — выручка</x:v>
      </x:c>
      <x:c r="B19" t="n">
        <x:f>SUM(D19:DS19)</x:f>
      </x:c>
      <x:c r="C19" t="str">
        <x:v>млн ₽</x:v>
      </x:c>
      <x:c r="D19" s="107" t="n">
        <x:f>D17*D18/1000</x:f>
      </x:c>
      <x:c r="E19" s="107" t="n">
        <x:f>E17*E18/1000</x:f>
      </x:c>
      <x:c r="F19" s="107" t="n">
        <x:f>F17*F18/1000</x:f>
      </x:c>
      <x:c r="G19" s="107" t="n">
        <x:f>G17*G18/1000</x:f>
      </x:c>
      <x:c r="H19" s="107" t="n">
        <x:f>H17*H18/1000</x:f>
      </x:c>
      <x:c r="I19" s="107" t="n">
        <x:f>I17*I18/1000</x:f>
      </x:c>
      <x:c r="J19" s="107" t="n">
        <x:f>J17*J18/1000</x:f>
      </x:c>
      <x:c r="K19" s="107" t="n">
        <x:f>K17*K18/1000</x:f>
      </x:c>
      <x:c r="L19" s="107" t="n">
        <x:f>L17*L18/1000</x:f>
      </x:c>
      <x:c r="M19" s="107" t="n">
        <x:f>M17*M18/1000</x:f>
      </x:c>
      <x:c r="N19" s="107" t="n">
        <x:f>N17*N18/1000</x:f>
      </x:c>
      <x:c r="O19" s="107" t="n">
        <x:f>O17*O18/1000</x:f>
      </x:c>
      <x:c r="P19" s="107" t="n">
        <x:f>P17*P18/1000</x:f>
      </x:c>
      <x:c r="Q19" s="107" t="n">
        <x:f>Q17*Q18/1000</x:f>
      </x:c>
      <x:c r="R19" s="107" t="n">
        <x:f>R17*R18/1000</x:f>
      </x:c>
      <x:c r="S19" s="107" t="n">
        <x:f>S17*S18/1000</x:f>
      </x:c>
      <x:c r="T19" s="107" t="n">
        <x:f>T17*T18/1000</x:f>
      </x:c>
      <x:c r="U19" s="107" t="n">
        <x:f>U17*U18/1000</x:f>
      </x:c>
      <x:c r="V19" s="107" t="n">
        <x:f>V17*V18/1000</x:f>
      </x:c>
      <x:c r="W19" s="107" t="n">
        <x:f>W17*W18/1000</x:f>
      </x:c>
      <x:c r="X19" s="107" t="n">
        <x:f>X17*X18/1000</x:f>
      </x:c>
      <x:c r="Y19" s="107" t="n">
        <x:f>Y17*Y18/1000</x:f>
      </x:c>
      <x:c r="Z19" s="107" t="n">
        <x:f>Z17*Z18/1000</x:f>
      </x:c>
      <x:c r="AA19" s="107" t="n">
        <x:f>AA17*AA18/1000</x:f>
      </x:c>
      <x:c r="AB19" s="107" t="n">
        <x:f>AB17*AB18/1000</x:f>
      </x:c>
      <x:c r="AC19" s="107" t="n">
        <x:f>AC17*AC18/1000</x:f>
      </x:c>
      <x:c r="AD19" s="107" t="n">
        <x:f>AD17*AD18/1000</x:f>
      </x:c>
      <x:c r="AE19" s="107" t="n">
        <x:f>AE17*AE18/1000</x:f>
      </x:c>
      <x:c r="AF19" s="107" t="n">
        <x:f>AF17*AF18/1000</x:f>
      </x:c>
      <x:c r="AG19" s="107" t="n">
        <x:f>AG17*AG18/1000</x:f>
      </x:c>
      <x:c r="AH19" s="107" t="n">
        <x:f>AH17*AH18/1000</x:f>
      </x:c>
      <x:c r="AI19" s="107" t="n">
        <x:f>AI17*AI18/1000</x:f>
      </x:c>
      <x:c r="AJ19" s="107" t="n">
        <x:f>AJ17*AJ18/1000</x:f>
      </x:c>
      <x:c r="AK19" s="107" t="n">
        <x:f>AK17*AK18/1000</x:f>
      </x:c>
      <x:c r="AL19" s="107" t="n">
        <x:f>AL17*AL18/1000</x:f>
      </x:c>
      <x:c r="AM19" s="107" t="n">
        <x:f>AM17*AM18/1000</x:f>
      </x:c>
      <x:c r="AN19" s="107" t="n">
        <x:f>AN17*AN18/1000</x:f>
      </x:c>
      <x:c r="AO19" s="107" t="n">
        <x:f>AO17*AO18/1000</x:f>
      </x:c>
      <x:c r="AP19" s="107" t="n">
        <x:f>AP17*AP18/1000</x:f>
      </x:c>
      <x:c r="AQ19" s="107" t="n">
        <x:f>AQ17*AQ18/1000</x:f>
      </x:c>
      <x:c r="AR19" s="107" t="n">
        <x:f>AR17*AR18/1000</x:f>
      </x:c>
      <x:c r="AS19" s="107" t="n">
        <x:f>AS17*AS18/1000</x:f>
      </x:c>
      <x:c r="AT19" s="107" t="n">
        <x:f>AT17*AT18/1000</x:f>
      </x:c>
      <x:c r="AU19" s="107" t="n">
        <x:f>AU17*AU18/1000</x:f>
      </x:c>
      <x:c r="AV19" s="107" t="n">
        <x:f>AV17*AV18/1000</x:f>
      </x:c>
      <x:c r="AW19" s="107" t="n">
        <x:f>AW17*AW18/1000</x:f>
      </x:c>
      <x:c r="AX19" s="107" t="n">
        <x:f>AX17*AX18/1000</x:f>
      </x:c>
      <x:c r="AY19" s="107" t="n">
        <x:f>AY17*AY18/1000</x:f>
      </x:c>
      <x:c r="AZ19" s="107" t="n">
        <x:f>AZ17*AZ18/1000</x:f>
      </x:c>
      <x:c r="BA19" s="107" t="n">
        <x:f>BA17*BA18/1000</x:f>
      </x:c>
      <x:c r="BB19" s="107" t="n">
        <x:f>BB17*BB18/1000</x:f>
      </x:c>
      <x:c r="BC19" s="107" t="n">
        <x:f>BC17*BC18/1000</x:f>
      </x:c>
      <x:c r="BD19" s="107" t="n">
        <x:f>BD17*BD18/1000</x:f>
      </x:c>
      <x:c r="BE19" s="107" t="n">
        <x:f>BE17*BE18/1000</x:f>
      </x:c>
      <x:c r="BF19" s="107" t="n">
        <x:f>BF17*BF18/1000</x:f>
      </x:c>
      <x:c r="BG19" s="107" t="n">
        <x:f>BG17*BG18/1000</x:f>
      </x:c>
      <x:c r="BH19" s="107" t="n">
        <x:f>BH17*BH18/1000</x:f>
      </x:c>
      <x:c r="BI19" s="107" t="n">
        <x:f>BI17*BI18/1000</x:f>
      </x:c>
      <x:c r="BJ19" s="107" t="n">
        <x:f>BJ17*BJ18/1000</x:f>
      </x:c>
      <x:c r="BK19" s="107" t="n">
        <x:f>BK17*BK18/1000</x:f>
      </x:c>
      <x:c r="BL19" s="107" t="n">
        <x:f>BL17*BL18/1000</x:f>
      </x:c>
      <x:c r="BM19" s="107" t="n">
        <x:f>BM17*BM18/1000</x:f>
      </x:c>
      <x:c r="BN19" s="107" t="n">
        <x:f>BN17*BN18/1000</x:f>
      </x:c>
      <x:c r="BO19" s="107" t="n">
        <x:f>BO17*BO18/1000</x:f>
      </x:c>
      <x:c r="BP19" s="107" t="n">
        <x:f>BP17*BP18/1000</x:f>
      </x:c>
      <x:c r="BQ19" s="107" t="n">
        <x:f>BQ17*BQ18/1000</x:f>
      </x:c>
      <x:c r="BR19" s="107" t="n">
        <x:f>BR17*BR18/1000</x:f>
      </x:c>
      <x:c r="BS19" s="107" t="n">
        <x:f>BS17*BS18/1000</x:f>
      </x:c>
      <x:c r="BT19" s="107" t="n">
        <x:f>BT17*BT18/1000</x:f>
      </x:c>
      <x:c r="BU19" s="107" t="n">
        <x:f>BU17*BU18/1000</x:f>
      </x:c>
      <x:c r="BV19" s="107" t="n">
        <x:f>BV17*BV18/1000</x:f>
      </x:c>
      <x:c r="BW19" s="107" t="n">
        <x:f>BW17*BW18/1000</x:f>
      </x:c>
      <x:c r="BX19" s="107" t="n">
        <x:f>BX17*BX18/1000</x:f>
      </x:c>
      <x:c r="BY19" s="107" t="n">
        <x:f>BY17*BY18/1000</x:f>
      </x:c>
      <x:c r="BZ19" s="107" t="n">
        <x:f>BZ17*BZ18/1000</x:f>
      </x:c>
      <x:c r="CA19" s="107" t="n">
        <x:f>CA17*CA18/1000</x:f>
      </x:c>
      <x:c r="CB19" s="107" t="n">
        <x:f>CB17*CB18/1000</x:f>
      </x:c>
      <x:c r="CC19" s="107" t="n">
        <x:f>CC17*CC18/1000</x:f>
      </x:c>
      <x:c r="CD19" s="107" t="n">
        <x:f>CD17*CD18/1000</x:f>
      </x:c>
      <x:c r="CE19" s="107" t="n">
        <x:f>CE17*CE18/1000</x:f>
      </x:c>
      <x:c r="CF19" s="107" t="n">
        <x:f>CF17*CF18/1000</x:f>
      </x:c>
      <x:c r="CG19" s="107" t="n">
        <x:f>CG17*CG18/1000</x:f>
      </x:c>
      <x:c r="CH19" s="107" t="n">
        <x:f>CH17*CH18/1000</x:f>
      </x:c>
      <x:c r="CI19" s="107" t="n">
        <x:f>CI17*CI18/1000</x:f>
      </x:c>
      <x:c r="CJ19" s="107" t="n">
        <x:f>CJ17*CJ18/1000</x:f>
      </x:c>
      <x:c r="CK19" s="107" t="n">
        <x:f>CK17*CK18/1000</x:f>
      </x:c>
      <x:c r="CL19" s="107" t="n">
        <x:f>CL17*CL18/1000</x:f>
      </x:c>
      <x:c r="CM19" s="107" t="n">
        <x:f>CM17*CM18/1000</x:f>
      </x:c>
      <x:c r="CN19" s="107" t="n">
        <x:f>CN17*CN18/1000</x:f>
      </x:c>
      <x:c r="CO19" s="107" t="n">
        <x:f>CO17*CO18/1000</x:f>
      </x:c>
      <x:c r="CP19" s="107" t="n">
        <x:f>CP17*CP18/1000</x:f>
      </x:c>
      <x:c r="CQ19" s="107" t="n">
        <x:f>CQ17*CQ18/1000</x:f>
      </x:c>
      <x:c r="CR19" s="107" t="n">
        <x:f>CR17*CR18/1000</x:f>
      </x:c>
      <x:c r="CS19" s="107" t="n">
        <x:f>CS17*CS18/1000</x:f>
      </x:c>
      <x:c r="CT19" s="107" t="n">
        <x:f>CT17*CT18/1000</x:f>
      </x:c>
      <x:c r="CU19" s="107" t="n">
        <x:f>CU17*CU18/1000</x:f>
      </x:c>
      <x:c r="CV19" s="107" t="n">
        <x:f>CV17*CV18/1000</x:f>
      </x:c>
      <x:c r="CW19" s="107" t="n">
        <x:f>CW17*CW18/1000</x:f>
      </x:c>
      <x:c r="CX19" s="107" t="n">
        <x:f>CX17*CX18/1000</x:f>
      </x:c>
      <x:c r="CY19" s="107" t="n">
        <x:f>CY17*CY18/1000</x:f>
      </x:c>
      <x:c r="CZ19" s="107" t="n">
        <x:f>CZ17*CZ18/1000</x:f>
      </x:c>
      <x:c r="DA19" s="107" t="n">
        <x:f>DA17*DA18/1000</x:f>
      </x:c>
      <x:c r="DB19" s="107" t="n">
        <x:f>DB17*DB18/1000</x:f>
      </x:c>
      <x:c r="DC19" s="107" t="n">
        <x:f>DC17*DC18/1000</x:f>
      </x:c>
      <x:c r="DD19" s="107" t="n">
        <x:f>DD17*DD18/1000</x:f>
      </x:c>
      <x:c r="DE19" s="107" t="n">
        <x:f>DE17*DE18/1000</x:f>
      </x:c>
      <x:c r="DF19" s="107" t="n">
        <x:f>DF17*DF18/1000</x:f>
      </x:c>
      <x:c r="DG19" s="107" t="n">
        <x:f>DG17*DG18/1000</x:f>
      </x:c>
      <x:c r="DH19" s="107" t="n">
        <x:f>DH17*DH18/1000</x:f>
      </x:c>
      <x:c r="DI19" s="107" t="n">
        <x:f>DI17*DI18/1000</x:f>
      </x:c>
      <x:c r="DJ19" s="107" t="n">
        <x:f>DJ17*DJ18/1000</x:f>
      </x:c>
      <x:c r="DK19" s="107" t="n">
        <x:f>DK17*DK18/1000</x:f>
      </x:c>
      <x:c r="DL19" s="107" t="n">
        <x:f>DL17*DL18/1000</x:f>
      </x:c>
      <x:c r="DM19" s="107" t="n">
        <x:f>DM17*DM18/1000</x:f>
      </x:c>
      <x:c r="DN19" s="107" t="n">
        <x:f>DN17*DN18/1000</x:f>
      </x:c>
      <x:c r="DO19" s="107" t="n">
        <x:f>DO17*DO18/1000</x:f>
      </x:c>
      <x:c r="DP19" s="107" t="n">
        <x:f>DP17*DP18/1000</x:f>
      </x:c>
      <x:c r="DQ19" s="107" t="n">
        <x:f>DQ17*DQ18/1000</x:f>
      </x:c>
      <x:c r="DR19" s="107" t="n">
        <x:f>DR17*DR18/1000</x:f>
      </x:c>
      <x:c r="DS19" s="107" t="n">
        <x:f>DS17*DS18/1000</x:f>
      </x:c>
    </x:row>
    <x:row r="20">
      <x:c r="A20" t="str">
        <x:v>Паркинг — объём</x:v>
      </x:c>
      <x:c r="B20" t="n">
        <x:f>SUM(D20:DS20)</x:f>
      </x:c>
      <x:c r="C20" t="str">
        <x:v>шт.</x:v>
      </x:c>
      <x:c r="D20" s="107" t="n">
        <x:f>'Вводные'!$N$88*((IF(SUM($D9:$DS9)=0,0,IF(SUM($D12:$DS12)=0,1,'Вводные'!$B$63)))*D11+(1-(IF(SUM($D9:$DS9)=0,0,IF(SUM($D12:$DS12)=0,1,'Вводные'!$B$63))))*D13)</x:f>
      </x:c>
      <x:c r="E20" s="107" t="n">
        <x:f>'Вводные'!$N$88*((IF(SUM($D9:$DS9)=0,0,IF(SUM($D12:$DS12)=0,1,'Вводные'!$B$63)))*E11+(1-(IF(SUM($D9:$DS9)=0,0,IF(SUM($D12:$DS12)=0,1,'Вводные'!$B$63))))*E13)</x:f>
      </x:c>
      <x:c r="F20" s="107" t="n">
        <x:f>'Вводные'!$N$88*((IF(SUM($D9:$DS9)=0,0,IF(SUM($D12:$DS12)=0,1,'Вводные'!$B$63)))*F11+(1-(IF(SUM($D9:$DS9)=0,0,IF(SUM($D12:$DS12)=0,1,'Вводные'!$B$63))))*F13)</x:f>
      </x:c>
      <x:c r="G20" s="107" t="n">
        <x:f>'Вводные'!$N$88*((IF(SUM($D9:$DS9)=0,0,IF(SUM($D12:$DS12)=0,1,'Вводные'!$B$63)))*G11+(1-(IF(SUM($D9:$DS9)=0,0,IF(SUM($D12:$DS12)=0,1,'Вводные'!$B$63))))*G13)</x:f>
      </x:c>
      <x:c r="H20" s="107" t="n">
        <x:f>'Вводные'!$N$88*((IF(SUM($D9:$DS9)=0,0,IF(SUM($D12:$DS12)=0,1,'Вводные'!$B$63)))*H11+(1-(IF(SUM($D9:$DS9)=0,0,IF(SUM($D12:$DS12)=0,1,'Вводные'!$B$63))))*H13)</x:f>
      </x:c>
      <x:c r="I20" s="107" t="n">
        <x:f>'Вводные'!$N$88*((IF(SUM($D9:$DS9)=0,0,IF(SUM($D12:$DS12)=0,1,'Вводные'!$B$63)))*I11+(1-(IF(SUM($D9:$DS9)=0,0,IF(SUM($D12:$DS12)=0,1,'Вводные'!$B$63))))*I13)</x:f>
      </x:c>
      <x:c r="J20" s="107" t="n">
        <x:f>'Вводные'!$N$88*((IF(SUM($D9:$DS9)=0,0,IF(SUM($D12:$DS12)=0,1,'Вводные'!$B$63)))*J11+(1-(IF(SUM($D9:$DS9)=0,0,IF(SUM($D12:$DS12)=0,1,'Вводные'!$B$63))))*J13)</x:f>
      </x:c>
      <x:c r="K20" s="107" t="n">
        <x:f>'Вводные'!$N$88*((IF(SUM($D9:$DS9)=0,0,IF(SUM($D12:$DS12)=0,1,'Вводные'!$B$63)))*K11+(1-(IF(SUM($D9:$DS9)=0,0,IF(SUM($D12:$DS12)=0,1,'Вводные'!$B$63))))*K13)</x:f>
      </x:c>
      <x:c r="L20" s="107" t="n">
        <x:f>'Вводные'!$N$88*((IF(SUM($D9:$DS9)=0,0,IF(SUM($D12:$DS12)=0,1,'Вводные'!$B$63)))*L11+(1-(IF(SUM($D9:$DS9)=0,0,IF(SUM($D12:$DS12)=0,1,'Вводные'!$B$63))))*L13)</x:f>
      </x:c>
      <x:c r="M20" s="107" t="n">
        <x:f>'Вводные'!$N$88*((IF(SUM($D9:$DS9)=0,0,IF(SUM($D12:$DS12)=0,1,'Вводные'!$B$63)))*M11+(1-(IF(SUM($D9:$DS9)=0,0,IF(SUM($D12:$DS12)=0,1,'Вводные'!$B$63))))*M13)</x:f>
      </x:c>
      <x:c r="N20" s="107" t="n">
        <x:f>'Вводные'!$N$88*((IF(SUM($D9:$DS9)=0,0,IF(SUM($D12:$DS12)=0,1,'Вводные'!$B$63)))*N11+(1-(IF(SUM($D9:$DS9)=0,0,IF(SUM($D12:$DS12)=0,1,'Вводные'!$B$63))))*N13)</x:f>
      </x:c>
      <x:c r="O20" s="107" t="n">
        <x:f>'Вводные'!$N$88*((IF(SUM($D9:$DS9)=0,0,IF(SUM($D12:$DS12)=0,1,'Вводные'!$B$63)))*O11+(1-(IF(SUM($D9:$DS9)=0,0,IF(SUM($D12:$DS12)=0,1,'Вводные'!$B$63))))*O13)</x:f>
      </x:c>
      <x:c r="P20" s="107" t="n">
        <x:f>'Вводные'!$N$88*((IF(SUM($D9:$DS9)=0,0,IF(SUM($D12:$DS12)=0,1,'Вводные'!$B$63)))*P11+(1-(IF(SUM($D9:$DS9)=0,0,IF(SUM($D12:$DS12)=0,1,'Вводные'!$B$63))))*P13)</x:f>
      </x:c>
      <x:c r="Q20" s="107" t="n">
        <x:f>'Вводные'!$N$88*((IF(SUM($D9:$DS9)=0,0,IF(SUM($D12:$DS12)=0,1,'Вводные'!$B$63)))*Q11+(1-(IF(SUM($D9:$DS9)=0,0,IF(SUM($D12:$DS12)=0,1,'Вводные'!$B$63))))*Q13)</x:f>
      </x:c>
      <x:c r="R20" s="107" t="n">
        <x:f>'Вводные'!$N$88*((IF(SUM($D9:$DS9)=0,0,IF(SUM($D12:$DS12)=0,1,'Вводные'!$B$63)))*R11+(1-(IF(SUM($D9:$DS9)=0,0,IF(SUM($D12:$DS12)=0,1,'Вводные'!$B$63))))*R13)</x:f>
      </x:c>
      <x:c r="S20" s="107" t="n">
        <x:f>'Вводные'!$N$88*((IF(SUM($D9:$DS9)=0,0,IF(SUM($D12:$DS12)=0,1,'Вводные'!$B$63)))*S11+(1-(IF(SUM($D9:$DS9)=0,0,IF(SUM($D12:$DS12)=0,1,'Вводные'!$B$63))))*S13)</x:f>
      </x:c>
      <x:c r="T20" s="107" t="n">
        <x:f>'Вводные'!$N$88*((IF(SUM($D9:$DS9)=0,0,IF(SUM($D12:$DS12)=0,1,'Вводные'!$B$63)))*T11+(1-(IF(SUM($D9:$DS9)=0,0,IF(SUM($D12:$DS12)=0,1,'Вводные'!$B$63))))*T13)</x:f>
      </x:c>
      <x:c r="U20" s="107" t="n">
        <x:f>'Вводные'!$N$88*((IF(SUM($D9:$DS9)=0,0,IF(SUM($D12:$DS12)=0,1,'Вводные'!$B$63)))*U11+(1-(IF(SUM($D9:$DS9)=0,0,IF(SUM($D12:$DS12)=0,1,'Вводные'!$B$63))))*U13)</x:f>
      </x:c>
      <x:c r="V20" s="107" t="n">
        <x:f>'Вводные'!$N$88*((IF(SUM($D9:$DS9)=0,0,IF(SUM($D12:$DS12)=0,1,'Вводные'!$B$63)))*V11+(1-(IF(SUM($D9:$DS9)=0,0,IF(SUM($D12:$DS12)=0,1,'Вводные'!$B$63))))*V13)</x:f>
      </x:c>
      <x:c r="W20" s="107" t="n">
        <x:f>'Вводные'!$N$88*((IF(SUM($D9:$DS9)=0,0,IF(SUM($D12:$DS12)=0,1,'Вводные'!$B$63)))*W11+(1-(IF(SUM($D9:$DS9)=0,0,IF(SUM($D12:$DS12)=0,1,'Вводные'!$B$63))))*W13)</x:f>
      </x:c>
      <x:c r="X20" s="107" t="n">
        <x:f>'Вводные'!$N$88*((IF(SUM($D9:$DS9)=0,0,IF(SUM($D12:$DS12)=0,1,'Вводные'!$B$63)))*X11+(1-(IF(SUM($D9:$DS9)=0,0,IF(SUM($D12:$DS12)=0,1,'Вводные'!$B$63))))*X13)</x:f>
      </x:c>
      <x:c r="Y20" s="107" t="n">
        <x:f>'Вводные'!$N$88*((IF(SUM($D9:$DS9)=0,0,IF(SUM($D12:$DS12)=0,1,'Вводные'!$B$63)))*Y11+(1-(IF(SUM($D9:$DS9)=0,0,IF(SUM($D12:$DS12)=0,1,'Вводные'!$B$63))))*Y13)</x:f>
      </x:c>
      <x:c r="Z20" s="107" t="n">
        <x:f>'Вводные'!$N$88*((IF(SUM($D9:$DS9)=0,0,IF(SUM($D12:$DS12)=0,1,'Вводные'!$B$63)))*Z11+(1-(IF(SUM($D9:$DS9)=0,0,IF(SUM($D12:$DS12)=0,1,'Вводные'!$B$63))))*Z13)</x:f>
      </x:c>
      <x:c r="AA20" s="107" t="n">
        <x:f>'Вводные'!$N$88*((IF(SUM($D9:$DS9)=0,0,IF(SUM($D12:$DS12)=0,1,'Вводные'!$B$63)))*AA11+(1-(IF(SUM($D9:$DS9)=0,0,IF(SUM($D12:$DS12)=0,1,'Вводные'!$B$63))))*AA13)</x:f>
      </x:c>
      <x:c r="AB20" s="107" t="n">
        <x:f>'Вводные'!$N$88*((IF(SUM($D9:$DS9)=0,0,IF(SUM($D12:$DS12)=0,1,'Вводные'!$B$63)))*AB11+(1-(IF(SUM($D9:$DS9)=0,0,IF(SUM($D12:$DS12)=0,1,'Вводные'!$B$63))))*AB13)</x:f>
      </x:c>
      <x:c r="AC20" s="107" t="n">
        <x:f>'Вводные'!$N$88*((IF(SUM($D9:$DS9)=0,0,IF(SUM($D12:$DS12)=0,1,'Вводные'!$B$63)))*AC11+(1-(IF(SUM($D9:$DS9)=0,0,IF(SUM($D12:$DS12)=0,1,'Вводные'!$B$63))))*AC13)</x:f>
      </x:c>
      <x:c r="AD20" s="107" t="n">
        <x:f>'Вводные'!$N$88*((IF(SUM($D9:$DS9)=0,0,IF(SUM($D12:$DS12)=0,1,'Вводные'!$B$63)))*AD11+(1-(IF(SUM($D9:$DS9)=0,0,IF(SUM($D12:$DS12)=0,1,'Вводные'!$B$63))))*AD13)</x:f>
      </x:c>
      <x:c r="AE20" s="107" t="n">
        <x:f>'Вводные'!$N$88*((IF(SUM($D9:$DS9)=0,0,IF(SUM($D12:$DS12)=0,1,'Вводные'!$B$63)))*AE11+(1-(IF(SUM($D9:$DS9)=0,0,IF(SUM($D12:$DS12)=0,1,'Вводные'!$B$63))))*AE13)</x:f>
      </x:c>
      <x:c r="AF20" s="107" t="n">
        <x:f>'Вводные'!$N$88*((IF(SUM($D9:$DS9)=0,0,IF(SUM($D12:$DS12)=0,1,'Вводные'!$B$63)))*AF11+(1-(IF(SUM($D9:$DS9)=0,0,IF(SUM($D12:$DS12)=0,1,'Вводные'!$B$63))))*AF13)</x:f>
      </x:c>
      <x:c r="AG20" s="107" t="n">
        <x:f>'Вводные'!$N$88*((IF(SUM($D9:$DS9)=0,0,IF(SUM($D12:$DS12)=0,1,'Вводные'!$B$63)))*AG11+(1-(IF(SUM($D9:$DS9)=0,0,IF(SUM($D12:$DS12)=0,1,'Вводные'!$B$63))))*AG13)</x:f>
      </x:c>
      <x:c r="AH20" s="107" t="n">
        <x:f>'Вводные'!$N$88*((IF(SUM($D9:$DS9)=0,0,IF(SUM($D12:$DS12)=0,1,'Вводные'!$B$63)))*AH11+(1-(IF(SUM($D9:$DS9)=0,0,IF(SUM($D12:$DS12)=0,1,'Вводные'!$B$63))))*AH13)</x:f>
      </x:c>
      <x:c r="AI20" s="107" t="n">
        <x:f>'Вводные'!$N$88*((IF(SUM($D9:$DS9)=0,0,IF(SUM($D12:$DS12)=0,1,'Вводные'!$B$63)))*AI11+(1-(IF(SUM($D9:$DS9)=0,0,IF(SUM($D12:$DS12)=0,1,'Вводные'!$B$63))))*AI13)</x:f>
      </x:c>
      <x:c r="AJ20" s="107" t="n">
        <x:f>'Вводные'!$N$88*((IF(SUM($D9:$DS9)=0,0,IF(SUM($D12:$DS12)=0,1,'Вводные'!$B$63)))*AJ11+(1-(IF(SUM($D9:$DS9)=0,0,IF(SUM($D12:$DS12)=0,1,'Вводные'!$B$63))))*AJ13)</x:f>
      </x:c>
      <x:c r="AK20" s="107" t="n">
        <x:f>'Вводные'!$N$88*((IF(SUM($D9:$DS9)=0,0,IF(SUM($D12:$DS12)=0,1,'Вводные'!$B$63)))*AK11+(1-(IF(SUM($D9:$DS9)=0,0,IF(SUM($D12:$DS12)=0,1,'Вводные'!$B$63))))*AK13)</x:f>
      </x:c>
      <x:c r="AL20" s="107" t="n">
        <x:f>'Вводные'!$N$88*((IF(SUM($D9:$DS9)=0,0,IF(SUM($D12:$DS12)=0,1,'Вводные'!$B$63)))*AL11+(1-(IF(SUM($D9:$DS9)=0,0,IF(SUM($D12:$DS12)=0,1,'Вводные'!$B$63))))*AL13)</x:f>
      </x:c>
      <x:c r="AM20" s="107" t="n">
        <x:f>'Вводные'!$N$88*((IF(SUM($D9:$DS9)=0,0,IF(SUM($D12:$DS12)=0,1,'Вводные'!$B$63)))*AM11+(1-(IF(SUM($D9:$DS9)=0,0,IF(SUM($D12:$DS12)=0,1,'Вводные'!$B$63))))*AM13)</x:f>
      </x:c>
      <x:c r="AN20" s="107" t="n">
        <x:f>'Вводные'!$N$88*((IF(SUM($D9:$DS9)=0,0,IF(SUM($D12:$DS12)=0,1,'Вводные'!$B$63)))*AN11+(1-(IF(SUM($D9:$DS9)=0,0,IF(SUM($D12:$DS12)=0,1,'Вводные'!$B$63))))*AN13)</x:f>
      </x:c>
      <x:c r="AO20" s="107" t="n">
        <x:f>'Вводные'!$N$88*((IF(SUM($D9:$DS9)=0,0,IF(SUM($D12:$DS12)=0,1,'Вводные'!$B$63)))*AO11+(1-(IF(SUM($D9:$DS9)=0,0,IF(SUM($D12:$DS12)=0,1,'Вводные'!$B$63))))*AO13)</x:f>
      </x:c>
      <x:c r="AP20" s="107" t="n">
        <x:f>'Вводные'!$N$88*((IF(SUM($D9:$DS9)=0,0,IF(SUM($D12:$DS12)=0,1,'Вводные'!$B$63)))*AP11+(1-(IF(SUM($D9:$DS9)=0,0,IF(SUM($D12:$DS12)=0,1,'Вводные'!$B$63))))*AP13)</x:f>
      </x:c>
      <x:c r="AQ20" s="107" t="n">
        <x:f>'Вводные'!$N$88*((IF(SUM($D9:$DS9)=0,0,IF(SUM($D12:$DS12)=0,1,'Вводные'!$B$63)))*AQ11+(1-(IF(SUM($D9:$DS9)=0,0,IF(SUM($D12:$DS12)=0,1,'Вводные'!$B$63))))*AQ13)</x:f>
      </x:c>
      <x:c r="AR20" s="107" t="n">
        <x:f>'Вводные'!$N$88*((IF(SUM($D9:$DS9)=0,0,IF(SUM($D12:$DS12)=0,1,'Вводные'!$B$63)))*AR11+(1-(IF(SUM($D9:$DS9)=0,0,IF(SUM($D12:$DS12)=0,1,'Вводные'!$B$63))))*AR13)</x:f>
      </x:c>
      <x:c r="AS20" s="107" t="n">
        <x:f>'Вводные'!$N$88*((IF(SUM($D9:$DS9)=0,0,IF(SUM($D12:$DS12)=0,1,'Вводные'!$B$63)))*AS11+(1-(IF(SUM($D9:$DS9)=0,0,IF(SUM($D12:$DS12)=0,1,'Вводные'!$B$63))))*AS13)</x:f>
      </x:c>
      <x:c r="AT20" s="107" t="n">
        <x:f>'Вводные'!$N$88*((IF(SUM($D9:$DS9)=0,0,IF(SUM($D12:$DS12)=0,1,'Вводные'!$B$63)))*AT11+(1-(IF(SUM($D9:$DS9)=0,0,IF(SUM($D12:$DS12)=0,1,'Вводные'!$B$63))))*AT13)</x:f>
      </x:c>
      <x:c r="AU20" s="107" t="n">
        <x:f>'Вводные'!$N$88*((IF(SUM($D9:$DS9)=0,0,IF(SUM($D12:$DS12)=0,1,'Вводные'!$B$63)))*AU11+(1-(IF(SUM($D9:$DS9)=0,0,IF(SUM($D12:$DS12)=0,1,'Вводные'!$B$63))))*AU13)</x:f>
      </x:c>
      <x:c r="AV20" s="107" t="n">
        <x:f>'Вводные'!$N$88*((IF(SUM($D9:$DS9)=0,0,IF(SUM($D12:$DS12)=0,1,'Вводные'!$B$63)))*AV11+(1-(IF(SUM($D9:$DS9)=0,0,IF(SUM($D12:$DS12)=0,1,'Вводные'!$B$63))))*AV13)</x:f>
      </x:c>
      <x:c r="AW20" s="107" t="n">
        <x:f>'Вводные'!$N$88*((IF(SUM($D9:$DS9)=0,0,IF(SUM($D12:$DS12)=0,1,'Вводные'!$B$63)))*AW11+(1-(IF(SUM($D9:$DS9)=0,0,IF(SUM($D12:$DS12)=0,1,'Вводные'!$B$63))))*AW13)</x:f>
      </x:c>
      <x:c r="AX20" s="107" t="n">
        <x:f>'Вводные'!$N$88*((IF(SUM($D9:$DS9)=0,0,IF(SUM($D12:$DS12)=0,1,'Вводные'!$B$63)))*AX11+(1-(IF(SUM($D9:$DS9)=0,0,IF(SUM($D12:$DS12)=0,1,'Вводные'!$B$63))))*AX13)</x:f>
      </x:c>
      <x:c r="AY20" s="107" t="n">
        <x:f>'Вводные'!$N$88*((IF(SUM($D9:$DS9)=0,0,IF(SUM($D12:$DS12)=0,1,'Вводные'!$B$63)))*AY11+(1-(IF(SUM($D9:$DS9)=0,0,IF(SUM($D12:$DS12)=0,1,'Вводные'!$B$63))))*AY13)</x:f>
      </x:c>
      <x:c r="AZ20" s="107" t="n">
        <x:f>'Вводные'!$N$88*((IF(SUM($D9:$DS9)=0,0,IF(SUM($D12:$DS12)=0,1,'Вводные'!$B$63)))*AZ11+(1-(IF(SUM($D9:$DS9)=0,0,IF(SUM($D12:$DS12)=0,1,'Вводные'!$B$63))))*AZ13)</x:f>
      </x:c>
      <x:c r="BA20" s="107" t="n">
        <x:f>'Вводные'!$N$88*((IF(SUM($D9:$DS9)=0,0,IF(SUM($D12:$DS12)=0,1,'Вводные'!$B$63)))*BA11+(1-(IF(SUM($D9:$DS9)=0,0,IF(SUM($D12:$DS12)=0,1,'Вводные'!$B$63))))*BA13)</x:f>
      </x:c>
      <x:c r="BB20" s="107" t="n">
        <x:f>'Вводные'!$N$88*((IF(SUM($D9:$DS9)=0,0,IF(SUM($D12:$DS12)=0,1,'Вводные'!$B$63)))*BB11+(1-(IF(SUM($D9:$DS9)=0,0,IF(SUM($D12:$DS12)=0,1,'Вводные'!$B$63))))*BB13)</x:f>
      </x:c>
      <x:c r="BC20" s="107" t="n">
        <x:f>'Вводные'!$N$88*((IF(SUM($D9:$DS9)=0,0,IF(SUM($D12:$DS12)=0,1,'Вводные'!$B$63)))*BC11+(1-(IF(SUM($D9:$DS9)=0,0,IF(SUM($D12:$DS12)=0,1,'Вводные'!$B$63))))*BC13)</x:f>
      </x:c>
      <x:c r="BD20" s="107" t="n">
        <x:f>'Вводные'!$N$88*((IF(SUM($D9:$DS9)=0,0,IF(SUM($D12:$DS12)=0,1,'Вводные'!$B$63)))*BD11+(1-(IF(SUM($D9:$DS9)=0,0,IF(SUM($D12:$DS12)=0,1,'Вводные'!$B$63))))*BD13)</x:f>
      </x:c>
      <x:c r="BE20" s="107" t="n">
        <x:f>'Вводные'!$N$88*((IF(SUM($D9:$DS9)=0,0,IF(SUM($D12:$DS12)=0,1,'Вводные'!$B$63)))*BE11+(1-(IF(SUM($D9:$DS9)=0,0,IF(SUM($D12:$DS12)=0,1,'Вводные'!$B$63))))*BE13)</x:f>
      </x:c>
      <x:c r="BF20" s="107" t="n">
        <x:f>'Вводные'!$N$88*((IF(SUM($D9:$DS9)=0,0,IF(SUM($D12:$DS12)=0,1,'Вводные'!$B$63)))*BF11+(1-(IF(SUM($D9:$DS9)=0,0,IF(SUM($D12:$DS12)=0,1,'Вводные'!$B$63))))*BF13)</x:f>
      </x:c>
      <x:c r="BG20" s="107" t="n">
        <x:f>'Вводные'!$N$88*((IF(SUM($D9:$DS9)=0,0,IF(SUM($D12:$DS12)=0,1,'Вводные'!$B$63)))*BG11+(1-(IF(SUM($D9:$DS9)=0,0,IF(SUM($D12:$DS12)=0,1,'Вводные'!$B$63))))*BG13)</x:f>
      </x:c>
      <x:c r="BH20" s="107" t="n">
        <x:f>'Вводные'!$N$88*((IF(SUM($D9:$DS9)=0,0,IF(SUM($D12:$DS12)=0,1,'Вводные'!$B$63)))*BH11+(1-(IF(SUM($D9:$DS9)=0,0,IF(SUM($D12:$DS12)=0,1,'Вводные'!$B$63))))*BH13)</x:f>
      </x:c>
      <x:c r="BI20" s="107" t="n">
        <x:f>'Вводные'!$N$88*((IF(SUM($D9:$DS9)=0,0,IF(SUM($D12:$DS12)=0,1,'Вводные'!$B$63)))*BI11+(1-(IF(SUM($D9:$DS9)=0,0,IF(SUM($D12:$DS12)=0,1,'Вводные'!$B$63))))*BI13)</x:f>
      </x:c>
      <x:c r="BJ20" s="107" t="n">
        <x:f>'Вводные'!$N$88*((IF(SUM($D9:$DS9)=0,0,IF(SUM($D12:$DS12)=0,1,'Вводные'!$B$63)))*BJ11+(1-(IF(SUM($D9:$DS9)=0,0,IF(SUM($D12:$DS12)=0,1,'Вводные'!$B$63))))*BJ13)</x:f>
      </x:c>
      <x:c r="BK20" s="107" t="n">
        <x:f>'Вводные'!$N$88*((IF(SUM($D9:$DS9)=0,0,IF(SUM($D12:$DS12)=0,1,'Вводные'!$B$63)))*BK11+(1-(IF(SUM($D9:$DS9)=0,0,IF(SUM($D12:$DS12)=0,1,'Вводные'!$B$63))))*BK13)</x:f>
      </x:c>
      <x:c r="BL20" s="107" t="n">
        <x:f>'Вводные'!$N$88*((IF(SUM($D9:$DS9)=0,0,IF(SUM($D12:$DS12)=0,1,'Вводные'!$B$63)))*BL11+(1-(IF(SUM($D9:$DS9)=0,0,IF(SUM($D12:$DS12)=0,1,'Вводные'!$B$63))))*BL13)</x:f>
      </x:c>
      <x:c r="BM20" s="107" t="n">
        <x:f>'Вводные'!$N$88*((IF(SUM($D9:$DS9)=0,0,IF(SUM($D12:$DS12)=0,1,'Вводные'!$B$63)))*BM11+(1-(IF(SUM($D9:$DS9)=0,0,IF(SUM($D12:$DS12)=0,1,'Вводные'!$B$63))))*BM13)</x:f>
      </x:c>
      <x:c r="BN20" s="107" t="n">
        <x:f>'Вводные'!$N$88*((IF(SUM($D9:$DS9)=0,0,IF(SUM($D12:$DS12)=0,1,'Вводные'!$B$63)))*BN11+(1-(IF(SUM($D9:$DS9)=0,0,IF(SUM($D12:$DS12)=0,1,'Вводные'!$B$63))))*BN13)</x:f>
      </x:c>
      <x:c r="BO20" s="107" t="n">
        <x:f>'Вводные'!$N$88*((IF(SUM($D9:$DS9)=0,0,IF(SUM($D12:$DS12)=0,1,'Вводные'!$B$63)))*BO11+(1-(IF(SUM($D9:$DS9)=0,0,IF(SUM($D12:$DS12)=0,1,'Вводные'!$B$63))))*BO13)</x:f>
      </x:c>
      <x:c r="BP20" s="107" t="n">
        <x:f>'Вводные'!$N$88*((IF(SUM($D9:$DS9)=0,0,IF(SUM($D12:$DS12)=0,1,'Вводные'!$B$63)))*BP11+(1-(IF(SUM($D9:$DS9)=0,0,IF(SUM($D12:$DS12)=0,1,'Вводные'!$B$63))))*BP13)</x:f>
      </x:c>
      <x:c r="BQ20" s="107" t="n">
        <x:f>'Вводные'!$N$88*((IF(SUM($D9:$DS9)=0,0,IF(SUM($D12:$DS12)=0,1,'Вводные'!$B$63)))*BQ11+(1-(IF(SUM($D9:$DS9)=0,0,IF(SUM($D12:$DS12)=0,1,'Вводные'!$B$63))))*BQ13)</x:f>
      </x:c>
      <x:c r="BR20" s="107" t="n">
        <x:f>'Вводные'!$N$88*((IF(SUM($D9:$DS9)=0,0,IF(SUM($D12:$DS12)=0,1,'Вводные'!$B$63)))*BR11+(1-(IF(SUM($D9:$DS9)=0,0,IF(SUM($D12:$DS12)=0,1,'Вводные'!$B$63))))*BR13)</x:f>
      </x:c>
      <x:c r="BS20" s="107" t="n">
        <x:f>'Вводные'!$N$88*((IF(SUM($D9:$DS9)=0,0,IF(SUM($D12:$DS12)=0,1,'Вводные'!$B$63)))*BS11+(1-(IF(SUM($D9:$DS9)=0,0,IF(SUM($D12:$DS12)=0,1,'Вводные'!$B$63))))*BS13)</x:f>
      </x:c>
      <x:c r="BT20" s="107" t="n">
        <x:f>'Вводные'!$N$88*((IF(SUM($D9:$DS9)=0,0,IF(SUM($D12:$DS12)=0,1,'Вводные'!$B$63)))*BT11+(1-(IF(SUM($D9:$DS9)=0,0,IF(SUM($D12:$DS12)=0,1,'Вводные'!$B$63))))*BT13)</x:f>
      </x:c>
      <x:c r="BU20" s="107" t="n">
        <x:f>'Вводные'!$N$88*((IF(SUM($D9:$DS9)=0,0,IF(SUM($D12:$DS12)=0,1,'Вводные'!$B$63)))*BU11+(1-(IF(SUM($D9:$DS9)=0,0,IF(SUM($D12:$DS12)=0,1,'Вводные'!$B$63))))*BU13)</x:f>
      </x:c>
      <x:c r="BV20" s="107" t="n">
        <x:f>'Вводные'!$N$88*((IF(SUM($D9:$DS9)=0,0,IF(SUM($D12:$DS12)=0,1,'Вводные'!$B$63)))*BV11+(1-(IF(SUM($D9:$DS9)=0,0,IF(SUM($D12:$DS12)=0,1,'Вводные'!$B$63))))*BV13)</x:f>
      </x:c>
      <x:c r="BW20" s="107" t="n">
        <x:f>'Вводные'!$N$88*((IF(SUM($D9:$DS9)=0,0,IF(SUM($D12:$DS12)=0,1,'Вводные'!$B$63)))*BW11+(1-(IF(SUM($D9:$DS9)=0,0,IF(SUM($D12:$DS12)=0,1,'Вводные'!$B$63))))*BW13)</x:f>
      </x:c>
      <x:c r="BX20" s="107" t="n">
        <x:f>'Вводные'!$N$88*((IF(SUM($D9:$DS9)=0,0,IF(SUM($D12:$DS12)=0,1,'Вводные'!$B$63)))*BX11+(1-(IF(SUM($D9:$DS9)=0,0,IF(SUM($D12:$DS12)=0,1,'Вводные'!$B$63))))*BX13)</x:f>
      </x:c>
      <x:c r="BY20" s="107" t="n">
        <x:f>'Вводные'!$N$88*((IF(SUM($D9:$DS9)=0,0,IF(SUM($D12:$DS12)=0,1,'Вводные'!$B$63)))*BY11+(1-(IF(SUM($D9:$DS9)=0,0,IF(SUM($D12:$DS12)=0,1,'Вводные'!$B$63))))*BY13)</x:f>
      </x:c>
      <x:c r="BZ20" s="107" t="n">
        <x:f>'Вводные'!$N$88*((IF(SUM($D9:$DS9)=0,0,IF(SUM($D12:$DS12)=0,1,'Вводные'!$B$63)))*BZ11+(1-(IF(SUM($D9:$DS9)=0,0,IF(SUM($D12:$DS12)=0,1,'Вводные'!$B$63))))*BZ13)</x:f>
      </x:c>
      <x:c r="CA20" s="107" t="n">
        <x:f>'Вводные'!$N$88*((IF(SUM($D9:$DS9)=0,0,IF(SUM($D12:$DS12)=0,1,'Вводные'!$B$63)))*CA11+(1-(IF(SUM($D9:$DS9)=0,0,IF(SUM($D12:$DS12)=0,1,'Вводные'!$B$63))))*CA13)</x:f>
      </x:c>
      <x:c r="CB20" s="107" t="n">
        <x:f>'Вводные'!$N$88*((IF(SUM($D9:$DS9)=0,0,IF(SUM($D12:$DS12)=0,1,'Вводные'!$B$63)))*CB11+(1-(IF(SUM($D9:$DS9)=0,0,IF(SUM($D12:$DS12)=0,1,'Вводные'!$B$63))))*CB13)</x:f>
      </x:c>
      <x:c r="CC20" s="107" t="n">
        <x:f>'Вводные'!$N$88*((IF(SUM($D9:$DS9)=0,0,IF(SUM($D12:$DS12)=0,1,'Вводные'!$B$63)))*CC11+(1-(IF(SUM($D9:$DS9)=0,0,IF(SUM($D12:$DS12)=0,1,'Вводные'!$B$63))))*CC13)</x:f>
      </x:c>
      <x:c r="CD20" s="107" t="n">
        <x:f>'Вводные'!$N$88*((IF(SUM($D9:$DS9)=0,0,IF(SUM($D12:$DS12)=0,1,'Вводные'!$B$63)))*CD11+(1-(IF(SUM($D9:$DS9)=0,0,IF(SUM($D12:$DS12)=0,1,'Вводные'!$B$63))))*CD13)</x:f>
      </x:c>
      <x:c r="CE20" s="107" t="n">
        <x:f>'Вводные'!$N$88*((IF(SUM($D9:$DS9)=0,0,IF(SUM($D12:$DS12)=0,1,'Вводные'!$B$63)))*CE11+(1-(IF(SUM($D9:$DS9)=0,0,IF(SUM($D12:$DS12)=0,1,'Вводные'!$B$63))))*CE13)</x:f>
      </x:c>
      <x:c r="CF20" s="107" t="n">
        <x:f>'Вводные'!$N$88*((IF(SUM($D9:$DS9)=0,0,IF(SUM($D12:$DS12)=0,1,'Вводные'!$B$63)))*CF11+(1-(IF(SUM($D9:$DS9)=0,0,IF(SUM($D12:$DS12)=0,1,'Вводные'!$B$63))))*CF13)</x:f>
      </x:c>
      <x:c r="CG20" s="107" t="n">
        <x:f>'Вводные'!$N$88*((IF(SUM($D9:$DS9)=0,0,IF(SUM($D12:$DS12)=0,1,'Вводные'!$B$63)))*CG11+(1-(IF(SUM($D9:$DS9)=0,0,IF(SUM($D12:$DS12)=0,1,'Вводные'!$B$63))))*CG13)</x:f>
      </x:c>
      <x:c r="CH20" s="107" t="n">
        <x:f>'Вводные'!$N$88*((IF(SUM($D9:$DS9)=0,0,IF(SUM($D12:$DS12)=0,1,'Вводные'!$B$63)))*CH11+(1-(IF(SUM($D9:$DS9)=0,0,IF(SUM($D12:$DS12)=0,1,'Вводные'!$B$63))))*CH13)</x:f>
      </x:c>
      <x:c r="CI20" s="107" t="n">
        <x:f>'Вводные'!$N$88*((IF(SUM($D9:$DS9)=0,0,IF(SUM($D12:$DS12)=0,1,'Вводные'!$B$63)))*CI11+(1-(IF(SUM($D9:$DS9)=0,0,IF(SUM($D12:$DS12)=0,1,'Вводные'!$B$63))))*CI13)</x:f>
      </x:c>
      <x:c r="CJ20" s="107" t="n">
        <x:f>'Вводные'!$N$88*((IF(SUM($D9:$DS9)=0,0,IF(SUM($D12:$DS12)=0,1,'Вводные'!$B$63)))*CJ11+(1-(IF(SUM($D9:$DS9)=0,0,IF(SUM($D12:$DS12)=0,1,'Вводные'!$B$63))))*CJ13)</x:f>
      </x:c>
      <x:c r="CK20" s="107" t="n">
        <x:f>'Вводные'!$N$88*((IF(SUM($D9:$DS9)=0,0,IF(SUM($D12:$DS12)=0,1,'Вводные'!$B$63)))*CK11+(1-(IF(SUM($D9:$DS9)=0,0,IF(SUM($D12:$DS12)=0,1,'Вводные'!$B$63))))*CK13)</x:f>
      </x:c>
      <x:c r="CL20" s="107" t="n">
        <x:f>'Вводные'!$N$88*((IF(SUM($D9:$DS9)=0,0,IF(SUM($D12:$DS12)=0,1,'Вводные'!$B$63)))*CL11+(1-(IF(SUM($D9:$DS9)=0,0,IF(SUM($D12:$DS12)=0,1,'Вводные'!$B$63))))*CL13)</x:f>
      </x:c>
      <x:c r="CM20" s="107" t="n">
        <x:f>'Вводные'!$N$88*((IF(SUM($D9:$DS9)=0,0,IF(SUM($D12:$DS12)=0,1,'Вводные'!$B$63)))*CM11+(1-(IF(SUM($D9:$DS9)=0,0,IF(SUM($D12:$DS12)=0,1,'Вводные'!$B$63))))*CM13)</x:f>
      </x:c>
      <x:c r="CN20" s="107" t="n">
        <x:f>'Вводные'!$N$88*((IF(SUM($D9:$DS9)=0,0,IF(SUM($D12:$DS12)=0,1,'Вводные'!$B$63)))*CN11+(1-(IF(SUM($D9:$DS9)=0,0,IF(SUM($D12:$DS12)=0,1,'Вводные'!$B$63))))*CN13)</x:f>
      </x:c>
      <x:c r="CO20" s="107" t="n">
        <x:f>'Вводные'!$N$88*((IF(SUM($D9:$DS9)=0,0,IF(SUM($D12:$DS12)=0,1,'Вводные'!$B$63)))*CO11+(1-(IF(SUM($D9:$DS9)=0,0,IF(SUM($D12:$DS12)=0,1,'Вводные'!$B$63))))*CO13)</x:f>
      </x:c>
      <x:c r="CP20" s="107" t="n">
        <x:f>'Вводные'!$N$88*((IF(SUM($D9:$DS9)=0,0,IF(SUM($D12:$DS12)=0,1,'Вводные'!$B$63)))*CP11+(1-(IF(SUM($D9:$DS9)=0,0,IF(SUM($D12:$DS12)=0,1,'Вводные'!$B$63))))*CP13)</x:f>
      </x:c>
      <x:c r="CQ20" s="107" t="n">
        <x:f>'Вводные'!$N$88*((IF(SUM($D9:$DS9)=0,0,IF(SUM($D12:$DS12)=0,1,'Вводные'!$B$63)))*CQ11+(1-(IF(SUM($D9:$DS9)=0,0,IF(SUM($D12:$DS12)=0,1,'Вводные'!$B$63))))*CQ13)</x:f>
      </x:c>
      <x:c r="CR20" s="107" t="n">
        <x:f>'Вводные'!$N$88*((IF(SUM($D9:$DS9)=0,0,IF(SUM($D12:$DS12)=0,1,'Вводные'!$B$63)))*CR11+(1-(IF(SUM($D9:$DS9)=0,0,IF(SUM($D12:$DS12)=0,1,'Вводные'!$B$63))))*CR13)</x:f>
      </x:c>
      <x:c r="CS20" s="107" t="n">
        <x:f>'Вводные'!$N$88*((IF(SUM($D9:$DS9)=0,0,IF(SUM($D12:$DS12)=0,1,'Вводные'!$B$63)))*CS11+(1-(IF(SUM($D9:$DS9)=0,0,IF(SUM($D12:$DS12)=0,1,'Вводные'!$B$63))))*CS13)</x:f>
      </x:c>
      <x:c r="CT20" s="107" t="n">
        <x:f>'Вводные'!$N$88*((IF(SUM($D9:$DS9)=0,0,IF(SUM($D12:$DS12)=0,1,'Вводные'!$B$63)))*CT11+(1-(IF(SUM($D9:$DS9)=0,0,IF(SUM($D12:$DS12)=0,1,'Вводные'!$B$63))))*CT13)</x:f>
      </x:c>
      <x:c r="CU20" s="107" t="n">
        <x:f>'Вводные'!$N$88*((IF(SUM($D9:$DS9)=0,0,IF(SUM($D12:$DS12)=0,1,'Вводные'!$B$63)))*CU11+(1-(IF(SUM($D9:$DS9)=0,0,IF(SUM($D12:$DS12)=0,1,'Вводные'!$B$63))))*CU13)</x:f>
      </x:c>
      <x:c r="CV20" s="107" t="n">
        <x:f>'Вводные'!$N$88*((IF(SUM($D9:$DS9)=0,0,IF(SUM($D12:$DS12)=0,1,'Вводные'!$B$63)))*CV11+(1-(IF(SUM($D9:$DS9)=0,0,IF(SUM($D12:$DS12)=0,1,'Вводные'!$B$63))))*CV13)</x:f>
      </x:c>
      <x:c r="CW20" s="107" t="n">
        <x:f>'Вводные'!$N$88*((IF(SUM($D9:$DS9)=0,0,IF(SUM($D12:$DS12)=0,1,'Вводные'!$B$63)))*CW11+(1-(IF(SUM($D9:$DS9)=0,0,IF(SUM($D12:$DS12)=0,1,'Вводные'!$B$63))))*CW13)</x:f>
      </x:c>
      <x:c r="CX20" s="107" t="n">
        <x:f>'Вводные'!$N$88*((IF(SUM($D9:$DS9)=0,0,IF(SUM($D12:$DS12)=0,1,'Вводные'!$B$63)))*CX11+(1-(IF(SUM($D9:$DS9)=0,0,IF(SUM($D12:$DS12)=0,1,'Вводные'!$B$63))))*CX13)</x:f>
      </x:c>
      <x:c r="CY20" s="107" t="n">
        <x:f>'Вводные'!$N$88*((IF(SUM($D9:$DS9)=0,0,IF(SUM($D12:$DS12)=0,1,'Вводные'!$B$63)))*CY11+(1-(IF(SUM($D9:$DS9)=0,0,IF(SUM($D12:$DS12)=0,1,'Вводные'!$B$63))))*CY13)</x:f>
      </x:c>
      <x:c r="CZ20" s="107" t="n">
        <x:f>'Вводные'!$N$88*((IF(SUM($D9:$DS9)=0,0,IF(SUM($D12:$DS12)=0,1,'Вводные'!$B$63)))*CZ11+(1-(IF(SUM($D9:$DS9)=0,0,IF(SUM($D12:$DS12)=0,1,'Вводные'!$B$63))))*CZ13)</x:f>
      </x:c>
      <x:c r="DA20" s="107" t="n">
        <x:f>'Вводные'!$N$88*((IF(SUM($D9:$DS9)=0,0,IF(SUM($D12:$DS12)=0,1,'Вводные'!$B$63)))*DA11+(1-(IF(SUM($D9:$DS9)=0,0,IF(SUM($D12:$DS12)=0,1,'Вводные'!$B$63))))*DA13)</x:f>
      </x:c>
      <x:c r="DB20" s="107" t="n">
        <x:f>'Вводные'!$N$88*((IF(SUM($D9:$DS9)=0,0,IF(SUM($D12:$DS12)=0,1,'Вводные'!$B$63)))*DB11+(1-(IF(SUM($D9:$DS9)=0,0,IF(SUM($D12:$DS12)=0,1,'Вводные'!$B$63))))*DB13)</x:f>
      </x:c>
      <x:c r="DC20" s="107" t="n">
        <x:f>'Вводные'!$N$88*((IF(SUM($D9:$DS9)=0,0,IF(SUM($D12:$DS12)=0,1,'Вводные'!$B$63)))*DC11+(1-(IF(SUM($D9:$DS9)=0,0,IF(SUM($D12:$DS12)=0,1,'Вводные'!$B$63))))*DC13)</x:f>
      </x:c>
      <x:c r="DD20" s="107" t="n">
        <x:f>'Вводные'!$N$88*((IF(SUM($D9:$DS9)=0,0,IF(SUM($D12:$DS12)=0,1,'Вводные'!$B$63)))*DD11+(1-(IF(SUM($D9:$DS9)=0,0,IF(SUM($D12:$DS12)=0,1,'Вводные'!$B$63))))*DD13)</x:f>
      </x:c>
      <x:c r="DE20" s="107" t="n">
        <x:f>'Вводные'!$N$88*((IF(SUM($D9:$DS9)=0,0,IF(SUM($D12:$DS12)=0,1,'Вводные'!$B$63)))*DE11+(1-(IF(SUM($D9:$DS9)=0,0,IF(SUM($D12:$DS12)=0,1,'Вводные'!$B$63))))*DE13)</x:f>
      </x:c>
      <x:c r="DF20" s="107" t="n">
        <x:f>'Вводные'!$N$88*((IF(SUM($D9:$DS9)=0,0,IF(SUM($D12:$DS12)=0,1,'Вводные'!$B$63)))*DF11+(1-(IF(SUM($D9:$DS9)=0,0,IF(SUM($D12:$DS12)=0,1,'Вводные'!$B$63))))*DF13)</x:f>
      </x:c>
      <x:c r="DG20" s="107" t="n">
        <x:f>'Вводные'!$N$88*((IF(SUM($D9:$DS9)=0,0,IF(SUM($D12:$DS12)=0,1,'Вводные'!$B$63)))*DG11+(1-(IF(SUM($D9:$DS9)=0,0,IF(SUM($D12:$DS12)=0,1,'Вводные'!$B$63))))*DG13)</x:f>
      </x:c>
      <x:c r="DH20" s="107" t="n">
        <x:f>'Вводные'!$N$88*((IF(SUM($D9:$DS9)=0,0,IF(SUM($D12:$DS12)=0,1,'Вводные'!$B$63)))*DH11+(1-(IF(SUM($D9:$DS9)=0,0,IF(SUM($D12:$DS12)=0,1,'Вводные'!$B$63))))*DH13)</x:f>
      </x:c>
      <x:c r="DI20" s="107" t="n">
        <x:f>'Вводные'!$N$88*((IF(SUM($D9:$DS9)=0,0,IF(SUM($D12:$DS12)=0,1,'Вводные'!$B$63)))*DI11+(1-(IF(SUM($D9:$DS9)=0,0,IF(SUM($D12:$DS12)=0,1,'Вводные'!$B$63))))*DI13)</x:f>
      </x:c>
      <x:c r="DJ20" s="107" t="n">
        <x:f>'Вводные'!$N$88*((IF(SUM($D9:$DS9)=0,0,IF(SUM($D12:$DS12)=0,1,'Вводные'!$B$63)))*DJ11+(1-(IF(SUM($D9:$DS9)=0,0,IF(SUM($D12:$DS12)=0,1,'Вводные'!$B$63))))*DJ13)</x:f>
      </x:c>
      <x:c r="DK20" s="107" t="n">
        <x:f>'Вводные'!$N$88*((IF(SUM($D9:$DS9)=0,0,IF(SUM($D12:$DS12)=0,1,'Вводные'!$B$63)))*DK11+(1-(IF(SUM($D9:$DS9)=0,0,IF(SUM($D12:$DS12)=0,1,'Вводные'!$B$63))))*DK13)</x:f>
      </x:c>
      <x:c r="DL20" s="107" t="n">
        <x:f>'Вводные'!$N$88*((IF(SUM($D9:$DS9)=0,0,IF(SUM($D12:$DS12)=0,1,'Вводные'!$B$63)))*DL11+(1-(IF(SUM($D9:$DS9)=0,0,IF(SUM($D12:$DS12)=0,1,'Вводные'!$B$63))))*DL13)</x:f>
      </x:c>
      <x:c r="DM20" s="107" t="n">
        <x:f>'Вводные'!$N$88*((IF(SUM($D9:$DS9)=0,0,IF(SUM($D12:$DS12)=0,1,'Вводные'!$B$63)))*DM11+(1-(IF(SUM($D9:$DS9)=0,0,IF(SUM($D12:$DS12)=0,1,'Вводные'!$B$63))))*DM13)</x:f>
      </x:c>
      <x:c r="DN20" s="107" t="n">
        <x:f>'Вводные'!$N$88*((IF(SUM($D9:$DS9)=0,0,IF(SUM($D12:$DS12)=0,1,'Вводные'!$B$63)))*DN11+(1-(IF(SUM($D9:$DS9)=0,0,IF(SUM($D12:$DS12)=0,1,'Вводные'!$B$63))))*DN13)</x:f>
      </x:c>
      <x:c r="DO20" s="107" t="n">
        <x:f>'Вводные'!$N$88*((IF(SUM($D9:$DS9)=0,0,IF(SUM($D12:$DS12)=0,1,'Вводные'!$B$63)))*DO11+(1-(IF(SUM($D9:$DS9)=0,0,IF(SUM($D12:$DS12)=0,1,'Вводные'!$B$63))))*DO13)</x:f>
      </x:c>
      <x:c r="DP20" s="107" t="n">
        <x:f>'Вводные'!$N$88*((IF(SUM($D9:$DS9)=0,0,IF(SUM($D12:$DS12)=0,1,'Вводные'!$B$63)))*DP11+(1-(IF(SUM($D9:$DS9)=0,0,IF(SUM($D12:$DS12)=0,1,'Вводные'!$B$63))))*DP13)</x:f>
      </x:c>
      <x:c r="DQ20" s="107" t="n">
        <x:f>'Вводные'!$N$88*((IF(SUM($D9:$DS9)=0,0,IF(SUM($D12:$DS12)=0,1,'Вводные'!$B$63)))*DQ11+(1-(IF(SUM($D9:$DS9)=0,0,IF(SUM($D12:$DS12)=0,1,'Вводные'!$B$63))))*DQ13)</x:f>
      </x:c>
      <x:c r="DR20" s="107" t="n">
        <x:f>'Вводные'!$N$88*((IF(SUM($D9:$DS9)=0,0,IF(SUM($D12:$DS12)=0,1,'Вводные'!$B$63)))*DR11+(1-(IF(SUM($D9:$DS9)=0,0,IF(SUM($D12:$DS12)=0,1,'Вводные'!$B$63))))*DR13)</x:f>
      </x:c>
      <x:c r="DS20" s="107" t="n">
        <x:f>'Вводные'!$N$88*((IF(SUM($D9:$DS9)=0,0,IF(SUM($D12:$DS12)=0,1,'Вводные'!$B$63)))*DS11+(1-(IF(SUM($D9:$DS9)=0,0,IF(SUM($D12:$DS12)=0,1,'Вводные'!$B$63))))*DS13)</x:f>
      </x:c>
    </x:row>
    <x:row r="21">
      <x:c r="A21" t="str">
        <x:v>Паркинг — цена</x:v>
      </x:c>
      <x:c r="B21" t="n">
        <x:f>IFERROR(B22*1000/B20,0)</x:f>
      </x:c>
      <x:c r="C21" t="str">
        <x:v>тыс. ₽/шт.</x:v>
      </x:c>
      <x:c r="D21" s="107" t="n">
        <x:f>IF(D20=0,0,'Вводные'!$B$61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1" s="107" t="n">
        <x:f>IF(E20=0,0,'Вводные'!$B$61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1" s="107" t="n">
        <x:f>IF(F20=0,0,'Вводные'!$B$61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1" s="107" t="n">
        <x:f>IF(G20=0,0,'Вводные'!$B$61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1" s="107" t="n">
        <x:f>IF(H20=0,0,'Вводные'!$B$61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1" s="107" t="n">
        <x:f>IF(I20=0,0,'Вводные'!$B$61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1" s="107" t="n">
        <x:f>IF(J20=0,0,'Вводные'!$B$61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1" s="107" t="n">
        <x:f>IF(K20=0,0,'Вводные'!$B$61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1" s="107" t="n">
        <x:f>IF(L20=0,0,'Вводные'!$B$61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1" s="107" t="n">
        <x:f>IF(M20=0,0,'Вводные'!$B$61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1" s="107" t="n">
        <x:f>IF(N20=0,0,'Вводные'!$B$61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1" s="107" t="n">
        <x:f>IF(O20=0,0,'Вводные'!$B$61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1" s="107" t="n">
        <x:f>IF(P20=0,0,'Вводные'!$B$61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1" s="107" t="n">
        <x:f>IF(Q20=0,0,'Вводные'!$B$61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1" s="107" t="n">
        <x:f>IF(R20=0,0,'Вводные'!$B$61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1" s="107" t="n">
        <x:f>IF(S20=0,0,'Вводные'!$B$61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1" s="107" t="n">
        <x:f>IF(T20=0,0,'Вводные'!$B$61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1" s="107" t="n">
        <x:f>IF(U20=0,0,'Вводные'!$B$61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1" s="107" t="n">
        <x:f>IF(V20=0,0,'Вводные'!$B$61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1" s="107" t="n">
        <x:f>IF(W20=0,0,'Вводные'!$B$61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1" s="107" t="n">
        <x:f>IF(X20=0,0,'Вводные'!$B$61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1" s="107" t="n">
        <x:f>IF(Y20=0,0,'Вводные'!$B$61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1" s="107" t="n">
        <x:f>IF(Z20=0,0,'Вводные'!$B$61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1" s="107" t="n">
        <x:f>IF(AA20=0,0,'Вводные'!$B$61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1" s="107" t="n">
        <x:f>IF(AB20=0,0,'Вводные'!$B$61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1" s="107" t="n">
        <x:f>IF(AC20=0,0,'Вводные'!$B$61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1" s="107" t="n">
        <x:f>IF(AD20=0,0,'Вводные'!$B$61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1" s="107" t="n">
        <x:f>IF(AE20=0,0,'Вводные'!$B$61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1" s="107" t="n">
        <x:f>IF(AF20=0,0,'Вводные'!$B$61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1" s="107" t="n">
        <x:f>IF(AG20=0,0,'Вводные'!$B$61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1" s="107" t="n">
        <x:f>IF(AH20=0,0,'Вводные'!$B$61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1" s="107" t="n">
        <x:f>IF(AI20=0,0,'Вводные'!$B$61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1" s="107" t="n">
        <x:f>IF(AJ20=0,0,'Вводные'!$B$61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1" s="107" t="n">
        <x:f>IF(AK20=0,0,'Вводные'!$B$61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1" s="107" t="n">
        <x:f>IF(AL20=0,0,'Вводные'!$B$61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1" s="107" t="n">
        <x:f>IF(AM20=0,0,'Вводные'!$B$61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1" s="107" t="n">
        <x:f>IF(AN20=0,0,'Вводные'!$B$61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1" s="107" t="n">
        <x:f>IF(AO20=0,0,'Вводные'!$B$61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1" s="107" t="n">
        <x:f>IF(AP20=0,0,'Вводные'!$B$61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1" s="107" t="n">
        <x:f>IF(AQ20=0,0,'Вводные'!$B$61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1" s="107" t="n">
        <x:f>IF(AR20=0,0,'Вводные'!$B$61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1" s="107" t="n">
        <x:f>IF(AS20=0,0,'Вводные'!$B$61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1" s="107" t="n">
        <x:f>IF(AT20=0,0,'Вводные'!$B$61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1" s="107" t="n">
        <x:f>IF(AU20=0,0,'Вводные'!$B$61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1" s="107" t="n">
        <x:f>IF(AV20=0,0,'Вводные'!$B$61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1" s="107" t="n">
        <x:f>IF(AW20=0,0,'Вводные'!$B$61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1" s="107" t="n">
        <x:f>IF(AX20=0,0,'Вводные'!$B$61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1" s="107" t="n">
        <x:f>IF(AY20=0,0,'Вводные'!$B$61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1" s="107" t="n">
        <x:f>IF(AZ20=0,0,'Вводные'!$B$61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1" s="107" t="n">
        <x:f>IF(BA20=0,0,'Вводные'!$B$61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1" s="107" t="n">
        <x:f>IF(BB20=0,0,'Вводные'!$B$61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1" s="107" t="n">
        <x:f>IF(BC20=0,0,'Вводные'!$B$61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1" s="107" t="n">
        <x:f>IF(BD20=0,0,'Вводные'!$B$61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1" s="107" t="n">
        <x:f>IF(BE20=0,0,'Вводные'!$B$61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1" s="107" t="n">
        <x:f>IF(BF20=0,0,'Вводные'!$B$61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1" s="107" t="n">
        <x:f>IF(BG20=0,0,'Вводные'!$B$61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1" s="107" t="n">
        <x:f>IF(BH20=0,0,'Вводные'!$B$61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1" s="107" t="n">
        <x:f>IF(BI20=0,0,'Вводные'!$B$61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1" s="107" t="n">
        <x:f>IF(BJ20=0,0,'Вводные'!$B$61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1" s="107" t="n">
        <x:f>IF(BK20=0,0,'Вводные'!$B$61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1" s="107" t="n">
        <x:f>IF(BL20=0,0,'Вводные'!$B$61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1" s="107" t="n">
        <x:f>IF(BM20=0,0,'Вводные'!$B$61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1" s="107" t="n">
        <x:f>IF(BN20=0,0,'Вводные'!$B$61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1" s="107" t="n">
        <x:f>IF(BO20=0,0,'Вводные'!$B$61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1" s="107" t="n">
        <x:f>IF(BP20=0,0,'Вводные'!$B$61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1" s="107" t="n">
        <x:f>IF(BQ20=0,0,'Вводные'!$B$61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1" s="107" t="n">
        <x:f>IF(BR20=0,0,'Вводные'!$B$61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1" s="107" t="n">
        <x:f>IF(BS20=0,0,'Вводные'!$B$61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1" s="107" t="n">
        <x:f>IF(BT20=0,0,'Вводные'!$B$61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1" s="107" t="n">
        <x:f>IF(BU20=0,0,'Вводные'!$B$61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1" s="107" t="n">
        <x:f>IF(BV20=0,0,'Вводные'!$B$61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1" s="107" t="n">
        <x:f>IF(BW20=0,0,'Вводные'!$B$61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1" s="107" t="n">
        <x:f>IF(BX20=0,0,'Вводные'!$B$61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1" s="107" t="n">
        <x:f>IF(BY20=0,0,'Вводные'!$B$61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1" s="107" t="n">
        <x:f>IF(BZ20=0,0,'Вводные'!$B$61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1" s="107" t="n">
        <x:f>IF(CA20=0,0,'Вводные'!$B$61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1" s="107" t="n">
        <x:f>IF(CB20=0,0,'Вводные'!$B$61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1" s="107" t="n">
        <x:f>IF(CC20=0,0,'Вводные'!$B$61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1" s="107" t="n">
        <x:f>IF(CD20=0,0,'Вводные'!$B$61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1" s="107" t="n">
        <x:f>IF(CE20=0,0,'Вводные'!$B$61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1" s="107" t="n">
        <x:f>IF(CF20=0,0,'Вводные'!$B$61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1" s="107" t="n">
        <x:f>IF(CG20=0,0,'Вводные'!$B$61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1" s="107" t="n">
        <x:f>IF(CH20=0,0,'Вводные'!$B$61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1" s="107" t="n">
        <x:f>IF(CI20=0,0,'Вводные'!$B$61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1" s="107" t="n">
        <x:f>IF(CJ20=0,0,'Вводные'!$B$61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1" s="107" t="n">
        <x:f>IF(CK20=0,0,'Вводные'!$B$61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1" s="107" t="n">
        <x:f>IF(CL20=0,0,'Вводные'!$B$61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1" s="107" t="n">
        <x:f>IF(CM20=0,0,'Вводные'!$B$61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1" s="107" t="n">
        <x:f>IF(CN20=0,0,'Вводные'!$B$61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1" s="107" t="n">
        <x:f>IF(CO20=0,0,'Вводные'!$B$61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1" s="107" t="n">
        <x:f>IF(CP20=0,0,'Вводные'!$B$61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1" s="107" t="n">
        <x:f>IF(CQ20=0,0,'Вводные'!$B$61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1" s="107" t="n">
        <x:f>IF(CR20=0,0,'Вводные'!$B$61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1" s="107" t="n">
        <x:f>IF(CS20=0,0,'Вводные'!$B$61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1" s="107" t="n">
        <x:f>IF(CT20=0,0,'Вводные'!$B$61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1" s="107" t="n">
        <x:f>IF(CU20=0,0,'Вводные'!$B$61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1" s="107" t="n">
        <x:f>IF(CV20=0,0,'Вводные'!$B$61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1" s="107" t="n">
        <x:f>IF(CW20=0,0,'Вводные'!$B$61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1" s="107" t="n">
        <x:f>IF(CX20=0,0,'Вводные'!$B$61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1" s="107" t="n">
        <x:f>IF(CY20=0,0,'Вводные'!$B$61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1" s="107" t="n">
        <x:f>IF(CZ20=0,0,'Вводные'!$B$61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1" s="107" t="n">
        <x:f>IF(DA20=0,0,'Вводные'!$B$61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1" s="107" t="n">
        <x:f>IF(DB20=0,0,'Вводные'!$B$61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1" s="107" t="n">
        <x:f>IF(DC20=0,0,'Вводные'!$B$61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1" s="107" t="n">
        <x:f>IF(DD20=0,0,'Вводные'!$B$61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1" s="107" t="n">
        <x:f>IF(DE20=0,0,'Вводные'!$B$61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1" s="107" t="n">
        <x:f>IF(DF20=0,0,'Вводные'!$B$61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1" s="107" t="n">
        <x:f>IF(DG20=0,0,'Вводные'!$B$61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1" s="107" t="n">
        <x:f>IF(DH20=0,0,'Вводные'!$B$61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1" s="107" t="n">
        <x:f>IF(DI20=0,0,'Вводные'!$B$61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1" s="107" t="n">
        <x:f>IF(DJ20=0,0,'Вводные'!$B$61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1" s="107" t="n">
        <x:f>IF(DK20=0,0,'Вводные'!$B$61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1" s="107" t="n">
        <x:f>IF(DL20=0,0,'Вводные'!$B$61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1" s="107" t="n">
        <x:f>IF(DM20=0,0,'Вводные'!$B$61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1" s="107" t="n">
        <x:f>IF(DN20=0,0,'Вводные'!$B$61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1" s="107" t="n">
        <x:f>IF(DO20=0,0,'Вводные'!$B$61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1" s="107" t="n">
        <x:f>IF(DP20=0,0,'Вводные'!$B$61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1" s="107" t="n">
        <x:f>IF(DQ20=0,0,'Вводные'!$B$61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1" s="107" t="n">
        <x:f>IF(DR20=0,0,'Вводные'!$B$61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1" s="107" t="n">
        <x:f>IF(DS20=0,0,'Вводные'!$B$61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2">
      <x:c r="A22" t="str">
        <x:v>Паркинг — выручка</x:v>
      </x:c>
      <x:c r="B22" t="n">
        <x:f>SUM(D22:DS22)</x:f>
      </x:c>
      <x:c r="C22" t="str">
        <x:v>млн ₽</x:v>
      </x:c>
      <x:c r="D22" s="107" t="n">
        <x:f>D20*D21/1000</x:f>
      </x:c>
      <x:c r="E22" s="107" t="n">
        <x:f>E20*E21/1000</x:f>
      </x:c>
      <x:c r="F22" s="107" t="n">
        <x:f>F20*F21/1000</x:f>
      </x:c>
      <x:c r="G22" s="107" t="n">
        <x:f>G20*G21/1000</x:f>
      </x:c>
      <x:c r="H22" s="107" t="n">
        <x:f>H20*H21/1000</x:f>
      </x:c>
      <x:c r="I22" s="107" t="n">
        <x:f>I20*I21/1000</x:f>
      </x:c>
      <x:c r="J22" s="107" t="n">
        <x:f>J20*J21/1000</x:f>
      </x:c>
      <x:c r="K22" s="107" t="n">
        <x:f>K20*K21/1000</x:f>
      </x:c>
      <x:c r="L22" s="107" t="n">
        <x:f>L20*L21/1000</x:f>
      </x:c>
      <x:c r="M22" s="107" t="n">
        <x:f>M20*M21/1000</x:f>
      </x:c>
      <x:c r="N22" s="107" t="n">
        <x:f>N20*N21/1000</x:f>
      </x:c>
      <x:c r="O22" s="107" t="n">
        <x:f>O20*O21/1000</x:f>
      </x:c>
      <x:c r="P22" s="107" t="n">
        <x:f>P20*P21/1000</x:f>
      </x:c>
      <x:c r="Q22" s="107" t="n">
        <x:f>Q20*Q21/1000</x:f>
      </x:c>
      <x:c r="R22" s="107" t="n">
        <x:f>R20*R21/1000</x:f>
      </x:c>
      <x:c r="S22" s="107" t="n">
        <x:f>S20*S21/1000</x:f>
      </x:c>
      <x:c r="T22" s="107" t="n">
        <x:f>T20*T21/1000</x:f>
      </x:c>
      <x:c r="U22" s="107" t="n">
        <x:f>U20*U21/1000</x:f>
      </x:c>
      <x:c r="V22" s="107" t="n">
        <x:f>V20*V21/1000</x:f>
      </x:c>
      <x:c r="W22" s="107" t="n">
        <x:f>W20*W21/1000</x:f>
      </x:c>
      <x:c r="X22" s="107" t="n">
        <x:f>X20*X21/1000</x:f>
      </x:c>
      <x:c r="Y22" s="107" t="n">
        <x:f>Y20*Y21/1000</x:f>
      </x:c>
      <x:c r="Z22" s="107" t="n">
        <x:f>Z20*Z21/1000</x:f>
      </x:c>
      <x:c r="AA22" s="107" t="n">
        <x:f>AA20*AA21/1000</x:f>
      </x:c>
      <x:c r="AB22" s="107" t="n">
        <x:f>AB20*AB21/1000</x:f>
      </x:c>
      <x:c r="AC22" s="107" t="n">
        <x:f>AC20*AC21/1000</x:f>
      </x:c>
      <x:c r="AD22" s="107" t="n">
        <x:f>AD20*AD21/1000</x:f>
      </x:c>
      <x:c r="AE22" s="107" t="n">
        <x:f>AE20*AE21/1000</x:f>
      </x:c>
      <x:c r="AF22" s="107" t="n">
        <x:f>AF20*AF21/1000</x:f>
      </x:c>
      <x:c r="AG22" s="107" t="n">
        <x:f>AG20*AG21/1000</x:f>
      </x:c>
      <x:c r="AH22" s="107" t="n">
        <x:f>AH20*AH21/1000</x:f>
      </x:c>
      <x:c r="AI22" s="107" t="n">
        <x:f>AI20*AI21/1000</x:f>
      </x:c>
      <x:c r="AJ22" s="107" t="n">
        <x:f>AJ20*AJ21/1000</x:f>
      </x:c>
      <x:c r="AK22" s="107" t="n">
        <x:f>AK20*AK21/1000</x:f>
      </x:c>
      <x:c r="AL22" s="107" t="n">
        <x:f>AL20*AL21/1000</x:f>
      </x:c>
      <x:c r="AM22" s="107" t="n">
        <x:f>AM20*AM21/1000</x:f>
      </x:c>
      <x:c r="AN22" s="107" t="n">
        <x:f>AN20*AN21/1000</x:f>
      </x:c>
      <x:c r="AO22" s="107" t="n">
        <x:f>AO20*AO21/1000</x:f>
      </x:c>
      <x:c r="AP22" s="107" t="n">
        <x:f>AP20*AP21/1000</x:f>
      </x:c>
      <x:c r="AQ22" s="107" t="n">
        <x:f>AQ20*AQ21/1000</x:f>
      </x:c>
      <x:c r="AR22" s="107" t="n">
        <x:f>AR20*AR21/1000</x:f>
      </x:c>
      <x:c r="AS22" s="107" t="n">
        <x:f>AS20*AS21/1000</x:f>
      </x:c>
      <x:c r="AT22" s="107" t="n">
        <x:f>AT20*AT21/1000</x:f>
      </x:c>
      <x:c r="AU22" s="107" t="n">
        <x:f>AU20*AU21/1000</x:f>
      </x:c>
      <x:c r="AV22" s="107" t="n">
        <x:f>AV20*AV21/1000</x:f>
      </x:c>
      <x:c r="AW22" s="107" t="n">
        <x:f>AW20*AW21/1000</x:f>
      </x:c>
      <x:c r="AX22" s="107" t="n">
        <x:f>AX20*AX21/1000</x:f>
      </x:c>
      <x:c r="AY22" s="107" t="n">
        <x:f>AY20*AY21/1000</x:f>
      </x:c>
      <x:c r="AZ22" s="107" t="n">
        <x:f>AZ20*AZ21/1000</x:f>
      </x:c>
      <x:c r="BA22" s="107" t="n">
        <x:f>BA20*BA21/1000</x:f>
      </x:c>
      <x:c r="BB22" s="107" t="n">
        <x:f>BB20*BB21/1000</x:f>
      </x:c>
      <x:c r="BC22" s="107" t="n">
        <x:f>BC20*BC21/1000</x:f>
      </x:c>
      <x:c r="BD22" s="107" t="n">
        <x:f>BD20*BD21/1000</x:f>
      </x:c>
      <x:c r="BE22" s="107" t="n">
        <x:f>BE20*BE21/1000</x:f>
      </x:c>
      <x:c r="BF22" s="107" t="n">
        <x:f>BF20*BF21/1000</x:f>
      </x:c>
      <x:c r="BG22" s="107" t="n">
        <x:f>BG20*BG21/1000</x:f>
      </x:c>
      <x:c r="BH22" s="107" t="n">
        <x:f>BH20*BH21/1000</x:f>
      </x:c>
      <x:c r="BI22" s="107" t="n">
        <x:f>BI20*BI21/1000</x:f>
      </x:c>
      <x:c r="BJ22" s="107" t="n">
        <x:f>BJ20*BJ21/1000</x:f>
      </x:c>
      <x:c r="BK22" s="107" t="n">
        <x:f>BK20*BK21/1000</x:f>
      </x:c>
      <x:c r="BL22" s="107" t="n">
        <x:f>BL20*BL21/1000</x:f>
      </x:c>
      <x:c r="BM22" s="107" t="n">
        <x:f>BM20*BM21/1000</x:f>
      </x:c>
      <x:c r="BN22" s="107" t="n">
        <x:f>BN20*BN21/1000</x:f>
      </x:c>
      <x:c r="BO22" s="107" t="n">
        <x:f>BO20*BO21/1000</x:f>
      </x:c>
      <x:c r="BP22" s="107" t="n">
        <x:f>BP20*BP21/1000</x:f>
      </x:c>
      <x:c r="BQ22" s="107" t="n">
        <x:f>BQ20*BQ21/1000</x:f>
      </x:c>
      <x:c r="BR22" s="107" t="n">
        <x:f>BR20*BR21/1000</x:f>
      </x:c>
      <x:c r="BS22" s="107" t="n">
        <x:f>BS20*BS21/1000</x:f>
      </x:c>
      <x:c r="BT22" s="107" t="n">
        <x:f>BT20*BT21/1000</x:f>
      </x:c>
      <x:c r="BU22" s="107" t="n">
        <x:f>BU20*BU21/1000</x:f>
      </x:c>
      <x:c r="BV22" s="107" t="n">
        <x:f>BV20*BV21/1000</x:f>
      </x:c>
      <x:c r="BW22" s="107" t="n">
        <x:f>BW20*BW21/1000</x:f>
      </x:c>
      <x:c r="BX22" s="107" t="n">
        <x:f>BX20*BX21/1000</x:f>
      </x:c>
      <x:c r="BY22" s="107" t="n">
        <x:f>BY20*BY21/1000</x:f>
      </x:c>
      <x:c r="BZ22" s="107" t="n">
        <x:f>BZ20*BZ21/1000</x:f>
      </x:c>
      <x:c r="CA22" s="107" t="n">
        <x:f>CA20*CA21/1000</x:f>
      </x:c>
      <x:c r="CB22" s="107" t="n">
        <x:f>CB20*CB21/1000</x:f>
      </x:c>
      <x:c r="CC22" s="107" t="n">
        <x:f>CC20*CC21/1000</x:f>
      </x:c>
      <x:c r="CD22" s="107" t="n">
        <x:f>CD20*CD21/1000</x:f>
      </x:c>
      <x:c r="CE22" s="107" t="n">
        <x:f>CE20*CE21/1000</x:f>
      </x:c>
      <x:c r="CF22" s="107" t="n">
        <x:f>CF20*CF21/1000</x:f>
      </x:c>
      <x:c r="CG22" s="107" t="n">
        <x:f>CG20*CG21/1000</x:f>
      </x:c>
      <x:c r="CH22" s="107" t="n">
        <x:f>CH20*CH21/1000</x:f>
      </x:c>
      <x:c r="CI22" s="107" t="n">
        <x:f>CI20*CI21/1000</x:f>
      </x:c>
      <x:c r="CJ22" s="107" t="n">
        <x:f>CJ20*CJ21/1000</x:f>
      </x:c>
      <x:c r="CK22" s="107" t="n">
        <x:f>CK20*CK21/1000</x:f>
      </x:c>
      <x:c r="CL22" s="107" t="n">
        <x:f>CL20*CL21/1000</x:f>
      </x:c>
      <x:c r="CM22" s="107" t="n">
        <x:f>CM20*CM21/1000</x:f>
      </x:c>
      <x:c r="CN22" s="107" t="n">
        <x:f>CN20*CN21/1000</x:f>
      </x:c>
      <x:c r="CO22" s="107" t="n">
        <x:f>CO20*CO21/1000</x:f>
      </x:c>
      <x:c r="CP22" s="107" t="n">
        <x:f>CP20*CP21/1000</x:f>
      </x:c>
      <x:c r="CQ22" s="107" t="n">
        <x:f>CQ20*CQ21/1000</x:f>
      </x:c>
      <x:c r="CR22" s="107" t="n">
        <x:f>CR20*CR21/1000</x:f>
      </x:c>
      <x:c r="CS22" s="107" t="n">
        <x:f>CS20*CS21/1000</x:f>
      </x:c>
      <x:c r="CT22" s="107" t="n">
        <x:f>CT20*CT21/1000</x:f>
      </x:c>
      <x:c r="CU22" s="107" t="n">
        <x:f>CU20*CU21/1000</x:f>
      </x:c>
      <x:c r="CV22" s="107" t="n">
        <x:f>CV20*CV21/1000</x:f>
      </x:c>
      <x:c r="CW22" s="107" t="n">
        <x:f>CW20*CW21/1000</x:f>
      </x:c>
      <x:c r="CX22" s="107" t="n">
        <x:f>CX20*CX21/1000</x:f>
      </x:c>
      <x:c r="CY22" s="107" t="n">
        <x:f>CY20*CY21/1000</x:f>
      </x:c>
      <x:c r="CZ22" s="107" t="n">
        <x:f>CZ20*CZ21/1000</x:f>
      </x:c>
      <x:c r="DA22" s="107" t="n">
        <x:f>DA20*DA21/1000</x:f>
      </x:c>
      <x:c r="DB22" s="107" t="n">
        <x:f>DB20*DB21/1000</x:f>
      </x:c>
      <x:c r="DC22" s="107" t="n">
        <x:f>DC20*DC21/1000</x:f>
      </x:c>
      <x:c r="DD22" s="107" t="n">
        <x:f>DD20*DD21/1000</x:f>
      </x:c>
      <x:c r="DE22" s="107" t="n">
        <x:f>DE20*DE21/1000</x:f>
      </x:c>
      <x:c r="DF22" s="107" t="n">
        <x:f>DF20*DF21/1000</x:f>
      </x:c>
      <x:c r="DG22" s="107" t="n">
        <x:f>DG20*DG21/1000</x:f>
      </x:c>
      <x:c r="DH22" s="107" t="n">
        <x:f>DH20*DH21/1000</x:f>
      </x:c>
      <x:c r="DI22" s="107" t="n">
        <x:f>DI20*DI21/1000</x:f>
      </x:c>
      <x:c r="DJ22" s="107" t="n">
        <x:f>DJ20*DJ21/1000</x:f>
      </x:c>
      <x:c r="DK22" s="107" t="n">
        <x:f>DK20*DK21/1000</x:f>
      </x:c>
      <x:c r="DL22" s="107" t="n">
        <x:f>DL20*DL21/1000</x:f>
      </x:c>
      <x:c r="DM22" s="107" t="n">
        <x:f>DM20*DM21/1000</x:f>
      </x:c>
      <x:c r="DN22" s="107" t="n">
        <x:f>DN20*DN21/1000</x:f>
      </x:c>
      <x:c r="DO22" s="107" t="n">
        <x:f>DO20*DO21/1000</x:f>
      </x:c>
      <x:c r="DP22" s="107" t="n">
        <x:f>DP20*DP21/1000</x:f>
      </x:c>
      <x:c r="DQ22" s="107" t="n">
        <x:f>DQ20*DQ21/1000</x:f>
      </x:c>
      <x:c r="DR22" s="107" t="n">
        <x:f>DR20*DR21/1000</x:f>
      </x:c>
      <x:c r="DS22" s="107" t="n">
        <x:f>DS20*DS21/1000</x:f>
      </x:c>
    </x:row>
    <x:row r="23">
      <x:c r="A23" t="str">
        <x:v>Кладовые — объём</x:v>
      </x:c>
      <x:c r="B23" t="n">
        <x:f>SUM(D23:DS23)</x:f>
      </x:c>
      <x:c r="C23" t="str">
        <x:v>шт.</x:v>
      </x:c>
      <x:c r="D23" s="107" t="n">
        <x:f>'Вводные'!$O$88*((IF(SUM($D9:$DS9)=0,0,IF(SUM($D12:$DS12)=0,1,'Вводные'!$B$63)))*D11+(1-(IF(SUM($D9:$DS9)=0,0,IF(SUM($D12:$DS12)=0,1,'Вводные'!$B$63))))*D13)</x:f>
      </x:c>
      <x:c r="E23" s="107" t="n">
        <x:f>'Вводные'!$O$88*((IF(SUM($D9:$DS9)=0,0,IF(SUM($D12:$DS12)=0,1,'Вводные'!$B$63)))*E11+(1-(IF(SUM($D9:$DS9)=0,0,IF(SUM($D12:$DS12)=0,1,'Вводные'!$B$63))))*E13)</x:f>
      </x:c>
      <x:c r="F23" s="107" t="n">
        <x:f>'Вводные'!$O$88*((IF(SUM($D9:$DS9)=0,0,IF(SUM($D12:$DS12)=0,1,'Вводные'!$B$63)))*F11+(1-(IF(SUM($D9:$DS9)=0,0,IF(SUM($D12:$DS12)=0,1,'Вводные'!$B$63))))*F13)</x:f>
      </x:c>
      <x:c r="G23" s="107" t="n">
        <x:f>'Вводные'!$O$88*((IF(SUM($D9:$DS9)=0,0,IF(SUM($D12:$DS12)=0,1,'Вводные'!$B$63)))*G11+(1-(IF(SUM($D9:$DS9)=0,0,IF(SUM($D12:$DS12)=0,1,'Вводные'!$B$63))))*G13)</x:f>
      </x:c>
      <x:c r="H23" s="107" t="n">
        <x:f>'Вводные'!$O$88*((IF(SUM($D9:$DS9)=0,0,IF(SUM($D12:$DS12)=0,1,'Вводные'!$B$63)))*H11+(1-(IF(SUM($D9:$DS9)=0,0,IF(SUM($D12:$DS12)=0,1,'Вводные'!$B$63))))*H13)</x:f>
      </x:c>
      <x:c r="I23" s="107" t="n">
        <x:f>'Вводные'!$O$88*((IF(SUM($D9:$DS9)=0,0,IF(SUM($D12:$DS12)=0,1,'Вводные'!$B$63)))*I11+(1-(IF(SUM($D9:$DS9)=0,0,IF(SUM($D12:$DS12)=0,1,'Вводные'!$B$63))))*I13)</x:f>
      </x:c>
      <x:c r="J23" s="107" t="n">
        <x:f>'Вводные'!$O$88*((IF(SUM($D9:$DS9)=0,0,IF(SUM($D12:$DS12)=0,1,'Вводные'!$B$63)))*J11+(1-(IF(SUM($D9:$DS9)=0,0,IF(SUM($D12:$DS12)=0,1,'Вводные'!$B$63))))*J13)</x:f>
      </x:c>
      <x:c r="K23" s="107" t="n">
        <x:f>'Вводные'!$O$88*((IF(SUM($D9:$DS9)=0,0,IF(SUM($D12:$DS12)=0,1,'Вводные'!$B$63)))*K11+(1-(IF(SUM($D9:$DS9)=0,0,IF(SUM($D12:$DS12)=0,1,'Вводные'!$B$63))))*K13)</x:f>
      </x:c>
      <x:c r="L23" s="107" t="n">
        <x:f>'Вводные'!$O$88*((IF(SUM($D9:$DS9)=0,0,IF(SUM($D12:$DS12)=0,1,'Вводные'!$B$63)))*L11+(1-(IF(SUM($D9:$DS9)=0,0,IF(SUM($D12:$DS12)=0,1,'Вводные'!$B$63))))*L13)</x:f>
      </x:c>
      <x:c r="M23" s="107" t="n">
        <x:f>'Вводные'!$O$88*((IF(SUM($D9:$DS9)=0,0,IF(SUM($D12:$DS12)=0,1,'Вводные'!$B$63)))*M11+(1-(IF(SUM($D9:$DS9)=0,0,IF(SUM($D12:$DS12)=0,1,'Вводные'!$B$63))))*M13)</x:f>
      </x:c>
      <x:c r="N23" s="107" t="n">
        <x:f>'Вводные'!$O$88*((IF(SUM($D9:$DS9)=0,0,IF(SUM($D12:$DS12)=0,1,'Вводные'!$B$63)))*N11+(1-(IF(SUM($D9:$DS9)=0,0,IF(SUM($D12:$DS12)=0,1,'Вводные'!$B$63))))*N13)</x:f>
      </x:c>
      <x:c r="O23" s="107" t="n">
        <x:f>'Вводные'!$O$88*((IF(SUM($D9:$DS9)=0,0,IF(SUM($D12:$DS12)=0,1,'Вводные'!$B$63)))*O11+(1-(IF(SUM($D9:$DS9)=0,0,IF(SUM($D12:$DS12)=0,1,'Вводные'!$B$63))))*O13)</x:f>
      </x:c>
      <x:c r="P23" s="107" t="n">
        <x:f>'Вводные'!$O$88*((IF(SUM($D9:$DS9)=0,0,IF(SUM($D12:$DS12)=0,1,'Вводные'!$B$63)))*P11+(1-(IF(SUM($D9:$DS9)=0,0,IF(SUM($D12:$DS12)=0,1,'Вводные'!$B$63))))*P13)</x:f>
      </x:c>
      <x:c r="Q23" s="107" t="n">
        <x:f>'Вводные'!$O$88*((IF(SUM($D9:$DS9)=0,0,IF(SUM($D12:$DS12)=0,1,'Вводные'!$B$63)))*Q11+(1-(IF(SUM($D9:$DS9)=0,0,IF(SUM($D12:$DS12)=0,1,'Вводные'!$B$63))))*Q13)</x:f>
      </x:c>
      <x:c r="R23" s="107" t="n">
        <x:f>'Вводные'!$O$88*((IF(SUM($D9:$DS9)=0,0,IF(SUM($D12:$DS12)=0,1,'Вводные'!$B$63)))*R11+(1-(IF(SUM($D9:$DS9)=0,0,IF(SUM($D12:$DS12)=0,1,'Вводные'!$B$63))))*R13)</x:f>
      </x:c>
      <x:c r="S23" s="107" t="n">
        <x:f>'Вводные'!$O$88*((IF(SUM($D9:$DS9)=0,0,IF(SUM($D12:$DS12)=0,1,'Вводные'!$B$63)))*S11+(1-(IF(SUM($D9:$DS9)=0,0,IF(SUM($D12:$DS12)=0,1,'Вводные'!$B$63))))*S13)</x:f>
      </x:c>
      <x:c r="T23" s="107" t="n">
        <x:f>'Вводные'!$O$88*((IF(SUM($D9:$DS9)=0,0,IF(SUM($D12:$DS12)=0,1,'Вводные'!$B$63)))*T11+(1-(IF(SUM($D9:$DS9)=0,0,IF(SUM($D12:$DS12)=0,1,'Вводные'!$B$63))))*T13)</x:f>
      </x:c>
      <x:c r="U23" s="107" t="n">
        <x:f>'Вводные'!$O$88*((IF(SUM($D9:$DS9)=0,0,IF(SUM($D12:$DS12)=0,1,'Вводные'!$B$63)))*U11+(1-(IF(SUM($D9:$DS9)=0,0,IF(SUM($D12:$DS12)=0,1,'Вводные'!$B$63))))*U13)</x:f>
      </x:c>
      <x:c r="V23" s="107" t="n">
        <x:f>'Вводные'!$O$88*((IF(SUM($D9:$DS9)=0,0,IF(SUM($D12:$DS12)=0,1,'Вводные'!$B$63)))*V11+(1-(IF(SUM($D9:$DS9)=0,0,IF(SUM($D12:$DS12)=0,1,'Вводные'!$B$63))))*V13)</x:f>
      </x:c>
      <x:c r="W23" s="107" t="n">
        <x:f>'Вводные'!$O$88*((IF(SUM($D9:$DS9)=0,0,IF(SUM($D12:$DS12)=0,1,'Вводные'!$B$63)))*W11+(1-(IF(SUM($D9:$DS9)=0,0,IF(SUM($D12:$DS12)=0,1,'Вводные'!$B$63))))*W13)</x:f>
      </x:c>
      <x:c r="X23" s="107" t="n">
        <x:f>'Вводные'!$O$88*((IF(SUM($D9:$DS9)=0,0,IF(SUM($D12:$DS12)=0,1,'Вводные'!$B$63)))*X11+(1-(IF(SUM($D9:$DS9)=0,0,IF(SUM($D12:$DS12)=0,1,'Вводные'!$B$63))))*X13)</x:f>
      </x:c>
      <x:c r="Y23" s="107" t="n">
        <x:f>'Вводные'!$O$88*((IF(SUM($D9:$DS9)=0,0,IF(SUM($D12:$DS12)=0,1,'Вводные'!$B$63)))*Y11+(1-(IF(SUM($D9:$DS9)=0,0,IF(SUM($D12:$DS12)=0,1,'Вводные'!$B$63))))*Y13)</x:f>
      </x:c>
      <x:c r="Z23" s="107" t="n">
        <x:f>'Вводные'!$O$88*((IF(SUM($D9:$DS9)=0,0,IF(SUM($D12:$DS12)=0,1,'Вводные'!$B$63)))*Z11+(1-(IF(SUM($D9:$DS9)=0,0,IF(SUM($D12:$DS12)=0,1,'Вводные'!$B$63))))*Z13)</x:f>
      </x:c>
      <x:c r="AA23" s="107" t="n">
        <x:f>'Вводные'!$O$88*((IF(SUM($D9:$DS9)=0,0,IF(SUM($D12:$DS12)=0,1,'Вводные'!$B$63)))*AA11+(1-(IF(SUM($D9:$DS9)=0,0,IF(SUM($D12:$DS12)=0,1,'Вводные'!$B$63))))*AA13)</x:f>
      </x:c>
      <x:c r="AB23" s="107" t="n">
        <x:f>'Вводные'!$O$88*((IF(SUM($D9:$DS9)=0,0,IF(SUM($D12:$DS12)=0,1,'Вводные'!$B$63)))*AB11+(1-(IF(SUM($D9:$DS9)=0,0,IF(SUM($D12:$DS12)=0,1,'Вводные'!$B$63))))*AB13)</x:f>
      </x:c>
      <x:c r="AC23" s="107" t="n">
        <x:f>'Вводные'!$O$88*((IF(SUM($D9:$DS9)=0,0,IF(SUM($D12:$DS12)=0,1,'Вводные'!$B$63)))*AC11+(1-(IF(SUM($D9:$DS9)=0,0,IF(SUM($D12:$DS12)=0,1,'Вводные'!$B$63))))*AC13)</x:f>
      </x:c>
      <x:c r="AD23" s="107" t="n">
        <x:f>'Вводные'!$O$88*((IF(SUM($D9:$DS9)=0,0,IF(SUM($D12:$DS12)=0,1,'Вводные'!$B$63)))*AD11+(1-(IF(SUM($D9:$DS9)=0,0,IF(SUM($D12:$DS12)=0,1,'Вводные'!$B$63))))*AD13)</x:f>
      </x:c>
      <x:c r="AE23" s="107" t="n">
        <x:f>'Вводные'!$O$88*((IF(SUM($D9:$DS9)=0,0,IF(SUM($D12:$DS12)=0,1,'Вводные'!$B$63)))*AE11+(1-(IF(SUM($D9:$DS9)=0,0,IF(SUM($D12:$DS12)=0,1,'Вводные'!$B$63))))*AE13)</x:f>
      </x:c>
      <x:c r="AF23" s="107" t="n">
        <x:f>'Вводные'!$O$88*((IF(SUM($D9:$DS9)=0,0,IF(SUM($D12:$DS12)=0,1,'Вводные'!$B$63)))*AF11+(1-(IF(SUM($D9:$DS9)=0,0,IF(SUM($D12:$DS12)=0,1,'Вводные'!$B$63))))*AF13)</x:f>
      </x:c>
      <x:c r="AG23" s="107" t="n">
        <x:f>'Вводные'!$O$88*((IF(SUM($D9:$DS9)=0,0,IF(SUM($D12:$DS12)=0,1,'Вводные'!$B$63)))*AG11+(1-(IF(SUM($D9:$DS9)=0,0,IF(SUM($D12:$DS12)=0,1,'Вводные'!$B$63))))*AG13)</x:f>
      </x:c>
      <x:c r="AH23" s="107" t="n">
        <x:f>'Вводные'!$O$88*((IF(SUM($D9:$DS9)=0,0,IF(SUM($D12:$DS12)=0,1,'Вводные'!$B$63)))*AH11+(1-(IF(SUM($D9:$DS9)=0,0,IF(SUM($D12:$DS12)=0,1,'Вводные'!$B$63))))*AH13)</x:f>
      </x:c>
      <x:c r="AI23" s="107" t="n">
        <x:f>'Вводные'!$O$88*((IF(SUM($D9:$DS9)=0,0,IF(SUM($D12:$DS12)=0,1,'Вводные'!$B$63)))*AI11+(1-(IF(SUM($D9:$DS9)=0,0,IF(SUM($D12:$DS12)=0,1,'Вводные'!$B$63))))*AI13)</x:f>
      </x:c>
      <x:c r="AJ23" s="107" t="n">
        <x:f>'Вводные'!$O$88*((IF(SUM($D9:$DS9)=0,0,IF(SUM($D12:$DS12)=0,1,'Вводные'!$B$63)))*AJ11+(1-(IF(SUM($D9:$DS9)=0,0,IF(SUM($D12:$DS12)=0,1,'Вводные'!$B$63))))*AJ13)</x:f>
      </x:c>
      <x:c r="AK23" s="107" t="n">
        <x:f>'Вводные'!$O$88*((IF(SUM($D9:$DS9)=0,0,IF(SUM($D12:$DS12)=0,1,'Вводные'!$B$63)))*AK11+(1-(IF(SUM($D9:$DS9)=0,0,IF(SUM($D12:$DS12)=0,1,'Вводные'!$B$63))))*AK13)</x:f>
      </x:c>
      <x:c r="AL23" s="107" t="n">
        <x:f>'Вводные'!$O$88*((IF(SUM($D9:$DS9)=0,0,IF(SUM($D12:$DS12)=0,1,'Вводные'!$B$63)))*AL11+(1-(IF(SUM($D9:$DS9)=0,0,IF(SUM($D12:$DS12)=0,1,'Вводные'!$B$63))))*AL13)</x:f>
      </x:c>
      <x:c r="AM23" s="107" t="n">
        <x:f>'Вводные'!$O$88*((IF(SUM($D9:$DS9)=0,0,IF(SUM($D12:$DS12)=0,1,'Вводные'!$B$63)))*AM11+(1-(IF(SUM($D9:$DS9)=0,0,IF(SUM($D12:$DS12)=0,1,'Вводные'!$B$63))))*AM13)</x:f>
      </x:c>
      <x:c r="AN23" s="107" t="n">
        <x:f>'Вводные'!$O$88*((IF(SUM($D9:$DS9)=0,0,IF(SUM($D12:$DS12)=0,1,'Вводные'!$B$63)))*AN11+(1-(IF(SUM($D9:$DS9)=0,0,IF(SUM($D12:$DS12)=0,1,'Вводные'!$B$63))))*AN13)</x:f>
      </x:c>
      <x:c r="AO23" s="107" t="n">
        <x:f>'Вводные'!$O$88*((IF(SUM($D9:$DS9)=0,0,IF(SUM($D12:$DS12)=0,1,'Вводные'!$B$63)))*AO11+(1-(IF(SUM($D9:$DS9)=0,0,IF(SUM($D12:$DS12)=0,1,'Вводные'!$B$63))))*AO13)</x:f>
      </x:c>
      <x:c r="AP23" s="107" t="n">
        <x:f>'Вводные'!$O$88*((IF(SUM($D9:$DS9)=0,0,IF(SUM($D12:$DS12)=0,1,'Вводные'!$B$63)))*AP11+(1-(IF(SUM($D9:$DS9)=0,0,IF(SUM($D12:$DS12)=0,1,'Вводные'!$B$63))))*AP13)</x:f>
      </x:c>
      <x:c r="AQ23" s="107" t="n">
        <x:f>'Вводные'!$O$88*((IF(SUM($D9:$DS9)=0,0,IF(SUM($D12:$DS12)=0,1,'Вводные'!$B$63)))*AQ11+(1-(IF(SUM($D9:$DS9)=0,0,IF(SUM($D12:$DS12)=0,1,'Вводные'!$B$63))))*AQ13)</x:f>
      </x:c>
      <x:c r="AR23" s="107" t="n">
        <x:f>'Вводные'!$O$88*((IF(SUM($D9:$DS9)=0,0,IF(SUM($D12:$DS12)=0,1,'Вводные'!$B$63)))*AR11+(1-(IF(SUM($D9:$DS9)=0,0,IF(SUM($D12:$DS12)=0,1,'Вводные'!$B$63))))*AR13)</x:f>
      </x:c>
      <x:c r="AS23" s="107" t="n">
        <x:f>'Вводные'!$O$88*((IF(SUM($D9:$DS9)=0,0,IF(SUM($D12:$DS12)=0,1,'Вводные'!$B$63)))*AS11+(1-(IF(SUM($D9:$DS9)=0,0,IF(SUM($D12:$DS12)=0,1,'Вводные'!$B$63))))*AS13)</x:f>
      </x:c>
      <x:c r="AT23" s="107" t="n">
        <x:f>'Вводные'!$O$88*((IF(SUM($D9:$DS9)=0,0,IF(SUM($D12:$DS12)=0,1,'Вводные'!$B$63)))*AT11+(1-(IF(SUM($D9:$DS9)=0,0,IF(SUM($D12:$DS12)=0,1,'Вводные'!$B$63))))*AT13)</x:f>
      </x:c>
      <x:c r="AU23" s="107" t="n">
        <x:f>'Вводные'!$O$88*((IF(SUM($D9:$DS9)=0,0,IF(SUM($D12:$DS12)=0,1,'Вводные'!$B$63)))*AU11+(1-(IF(SUM($D9:$DS9)=0,0,IF(SUM($D12:$DS12)=0,1,'Вводные'!$B$63))))*AU13)</x:f>
      </x:c>
      <x:c r="AV23" s="107" t="n">
        <x:f>'Вводные'!$O$88*((IF(SUM($D9:$DS9)=0,0,IF(SUM($D12:$DS12)=0,1,'Вводные'!$B$63)))*AV11+(1-(IF(SUM($D9:$DS9)=0,0,IF(SUM($D12:$DS12)=0,1,'Вводные'!$B$63))))*AV13)</x:f>
      </x:c>
      <x:c r="AW23" s="107" t="n">
        <x:f>'Вводные'!$O$88*((IF(SUM($D9:$DS9)=0,0,IF(SUM($D12:$DS12)=0,1,'Вводные'!$B$63)))*AW11+(1-(IF(SUM($D9:$DS9)=0,0,IF(SUM($D12:$DS12)=0,1,'Вводные'!$B$63))))*AW13)</x:f>
      </x:c>
      <x:c r="AX23" s="107" t="n">
        <x:f>'Вводные'!$O$88*((IF(SUM($D9:$DS9)=0,0,IF(SUM($D12:$DS12)=0,1,'Вводные'!$B$63)))*AX11+(1-(IF(SUM($D9:$DS9)=0,0,IF(SUM($D12:$DS12)=0,1,'Вводные'!$B$63))))*AX13)</x:f>
      </x:c>
      <x:c r="AY23" s="107" t="n">
        <x:f>'Вводные'!$O$88*((IF(SUM($D9:$DS9)=0,0,IF(SUM($D12:$DS12)=0,1,'Вводные'!$B$63)))*AY11+(1-(IF(SUM($D9:$DS9)=0,0,IF(SUM($D12:$DS12)=0,1,'Вводные'!$B$63))))*AY13)</x:f>
      </x:c>
      <x:c r="AZ23" s="107" t="n">
        <x:f>'Вводные'!$O$88*((IF(SUM($D9:$DS9)=0,0,IF(SUM($D12:$DS12)=0,1,'Вводные'!$B$63)))*AZ11+(1-(IF(SUM($D9:$DS9)=0,0,IF(SUM($D12:$DS12)=0,1,'Вводные'!$B$63))))*AZ13)</x:f>
      </x:c>
      <x:c r="BA23" s="107" t="n">
        <x:f>'Вводные'!$O$88*((IF(SUM($D9:$DS9)=0,0,IF(SUM($D12:$DS12)=0,1,'Вводные'!$B$63)))*BA11+(1-(IF(SUM($D9:$DS9)=0,0,IF(SUM($D12:$DS12)=0,1,'Вводные'!$B$63))))*BA13)</x:f>
      </x:c>
      <x:c r="BB23" s="107" t="n">
        <x:f>'Вводные'!$O$88*((IF(SUM($D9:$DS9)=0,0,IF(SUM($D12:$DS12)=0,1,'Вводные'!$B$63)))*BB11+(1-(IF(SUM($D9:$DS9)=0,0,IF(SUM($D12:$DS12)=0,1,'Вводные'!$B$63))))*BB13)</x:f>
      </x:c>
      <x:c r="BC23" s="107" t="n">
        <x:f>'Вводные'!$O$88*((IF(SUM($D9:$DS9)=0,0,IF(SUM($D12:$DS12)=0,1,'Вводные'!$B$63)))*BC11+(1-(IF(SUM($D9:$DS9)=0,0,IF(SUM($D12:$DS12)=0,1,'Вводные'!$B$63))))*BC13)</x:f>
      </x:c>
      <x:c r="BD23" s="107" t="n">
        <x:f>'Вводные'!$O$88*((IF(SUM($D9:$DS9)=0,0,IF(SUM($D12:$DS12)=0,1,'Вводные'!$B$63)))*BD11+(1-(IF(SUM($D9:$DS9)=0,0,IF(SUM($D12:$DS12)=0,1,'Вводные'!$B$63))))*BD13)</x:f>
      </x:c>
      <x:c r="BE23" s="107" t="n">
        <x:f>'Вводные'!$O$88*((IF(SUM($D9:$DS9)=0,0,IF(SUM($D12:$DS12)=0,1,'Вводные'!$B$63)))*BE11+(1-(IF(SUM($D9:$DS9)=0,0,IF(SUM($D12:$DS12)=0,1,'Вводные'!$B$63))))*BE13)</x:f>
      </x:c>
      <x:c r="BF23" s="107" t="n">
        <x:f>'Вводные'!$O$88*((IF(SUM($D9:$DS9)=0,0,IF(SUM($D12:$DS12)=0,1,'Вводные'!$B$63)))*BF11+(1-(IF(SUM($D9:$DS9)=0,0,IF(SUM($D12:$DS12)=0,1,'Вводные'!$B$63))))*BF13)</x:f>
      </x:c>
      <x:c r="BG23" s="107" t="n">
        <x:f>'Вводные'!$O$88*((IF(SUM($D9:$DS9)=0,0,IF(SUM($D12:$DS12)=0,1,'Вводные'!$B$63)))*BG11+(1-(IF(SUM($D9:$DS9)=0,0,IF(SUM($D12:$DS12)=0,1,'Вводные'!$B$63))))*BG13)</x:f>
      </x:c>
      <x:c r="BH23" s="107" t="n">
        <x:f>'Вводные'!$O$88*((IF(SUM($D9:$DS9)=0,0,IF(SUM($D12:$DS12)=0,1,'Вводные'!$B$63)))*BH11+(1-(IF(SUM($D9:$DS9)=0,0,IF(SUM($D12:$DS12)=0,1,'Вводные'!$B$63))))*BH13)</x:f>
      </x:c>
      <x:c r="BI23" s="107" t="n">
        <x:f>'Вводные'!$O$88*((IF(SUM($D9:$DS9)=0,0,IF(SUM($D12:$DS12)=0,1,'Вводные'!$B$63)))*BI11+(1-(IF(SUM($D9:$DS9)=0,0,IF(SUM($D12:$DS12)=0,1,'Вводные'!$B$63))))*BI13)</x:f>
      </x:c>
      <x:c r="BJ23" s="107" t="n">
        <x:f>'Вводные'!$O$88*((IF(SUM($D9:$DS9)=0,0,IF(SUM($D12:$DS12)=0,1,'Вводные'!$B$63)))*BJ11+(1-(IF(SUM($D9:$DS9)=0,0,IF(SUM($D12:$DS12)=0,1,'Вводные'!$B$63))))*BJ13)</x:f>
      </x:c>
      <x:c r="BK23" s="107" t="n">
        <x:f>'Вводные'!$O$88*((IF(SUM($D9:$DS9)=0,0,IF(SUM($D12:$DS12)=0,1,'Вводные'!$B$63)))*BK11+(1-(IF(SUM($D9:$DS9)=0,0,IF(SUM($D12:$DS12)=0,1,'Вводные'!$B$63))))*BK13)</x:f>
      </x:c>
      <x:c r="BL23" s="107" t="n">
        <x:f>'Вводные'!$O$88*((IF(SUM($D9:$DS9)=0,0,IF(SUM($D12:$DS12)=0,1,'Вводные'!$B$63)))*BL11+(1-(IF(SUM($D9:$DS9)=0,0,IF(SUM($D12:$DS12)=0,1,'Вводные'!$B$63))))*BL13)</x:f>
      </x:c>
      <x:c r="BM23" s="107" t="n">
        <x:f>'Вводные'!$O$88*((IF(SUM($D9:$DS9)=0,0,IF(SUM($D12:$DS12)=0,1,'Вводные'!$B$63)))*BM11+(1-(IF(SUM($D9:$DS9)=0,0,IF(SUM($D12:$DS12)=0,1,'Вводные'!$B$63))))*BM13)</x:f>
      </x:c>
      <x:c r="BN23" s="107" t="n">
        <x:f>'Вводные'!$O$88*((IF(SUM($D9:$DS9)=0,0,IF(SUM($D12:$DS12)=0,1,'Вводные'!$B$63)))*BN11+(1-(IF(SUM($D9:$DS9)=0,0,IF(SUM($D12:$DS12)=0,1,'Вводные'!$B$63))))*BN13)</x:f>
      </x:c>
      <x:c r="BO23" s="107" t="n">
        <x:f>'Вводные'!$O$88*((IF(SUM($D9:$DS9)=0,0,IF(SUM($D12:$DS12)=0,1,'Вводные'!$B$63)))*BO11+(1-(IF(SUM($D9:$DS9)=0,0,IF(SUM($D12:$DS12)=0,1,'Вводные'!$B$63))))*BO13)</x:f>
      </x:c>
      <x:c r="BP23" s="107" t="n">
        <x:f>'Вводные'!$O$88*((IF(SUM($D9:$DS9)=0,0,IF(SUM($D12:$DS12)=0,1,'Вводные'!$B$63)))*BP11+(1-(IF(SUM($D9:$DS9)=0,0,IF(SUM($D12:$DS12)=0,1,'Вводные'!$B$63))))*BP13)</x:f>
      </x:c>
      <x:c r="BQ23" s="107" t="n">
        <x:f>'Вводные'!$O$88*((IF(SUM($D9:$DS9)=0,0,IF(SUM($D12:$DS12)=0,1,'Вводные'!$B$63)))*BQ11+(1-(IF(SUM($D9:$DS9)=0,0,IF(SUM($D12:$DS12)=0,1,'Вводные'!$B$63))))*BQ13)</x:f>
      </x:c>
      <x:c r="BR23" s="107" t="n">
        <x:f>'Вводные'!$O$88*((IF(SUM($D9:$DS9)=0,0,IF(SUM($D12:$DS12)=0,1,'Вводные'!$B$63)))*BR11+(1-(IF(SUM($D9:$DS9)=0,0,IF(SUM($D12:$DS12)=0,1,'Вводные'!$B$63))))*BR13)</x:f>
      </x:c>
      <x:c r="BS23" s="107" t="n">
        <x:f>'Вводные'!$O$88*((IF(SUM($D9:$DS9)=0,0,IF(SUM($D12:$DS12)=0,1,'Вводные'!$B$63)))*BS11+(1-(IF(SUM($D9:$DS9)=0,0,IF(SUM($D12:$DS12)=0,1,'Вводные'!$B$63))))*BS13)</x:f>
      </x:c>
      <x:c r="BT23" s="107" t="n">
        <x:f>'Вводные'!$O$88*((IF(SUM($D9:$DS9)=0,0,IF(SUM($D12:$DS12)=0,1,'Вводные'!$B$63)))*BT11+(1-(IF(SUM($D9:$DS9)=0,0,IF(SUM($D12:$DS12)=0,1,'Вводные'!$B$63))))*BT13)</x:f>
      </x:c>
      <x:c r="BU23" s="107" t="n">
        <x:f>'Вводные'!$O$88*((IF(SUM($D9:$DS9)=0,0,IF(SUM($D12:$DS12)=0,1,'Вводные'!$B$63)))*BU11+(1-(IF(SUM($D9:$DS9)=0,0,IF(SUM($D12:$DS12)=0,1,'Вводные'!$B$63))))*BU13)</x:f>
      </x:c>
      <x:c r="BV23" s="107" t="n">
        <x:f>'Вводные'!$O$88*((IF(SUM($D9:$DS9)=0,0,IF(SUM($D12:$DS12)=0,1,'Вводные'!$B$63)))*BV11+(1-(IF(SUM($D9:$DS9)=0,0,IF(SUM($D12:$DS12)=0,1,'Вводные'!$B$63))))*BV13)</x:f>
      </x:c>
      <x:c r="BW23" s="107" t="n">
        <x:f>'Вводные'!$O$88*((IF(SUM($D9:$DS9)=0,0,IF(SUM($D12:$DS12)=0,1,'Вводные'!$B$63)))*BW11+(1-(IF(SUM($D9:$DS9)=0,0,IF(SUM($D12:$DS12)=0,1,'Вводные'!$B$63))))*BW13)</x:f>
      </x:c>
      <x:c r="BX23" s="107" t="n">
        <x:f>'Вводные'!$O$88*((IF(SUM($D9:$DS9)=0,0,IF(SUM($D12:$DS12)=0,1,'Вводные'!$B$63)))*BX11+(1-(IF(SUM($D9:$DS9)=0,0,IF(SUM($D12:$DS12)=0,1,'Вводные'!$B$63))))*BX13)</x:f>
      </x:c>
      <x:c r="BY23" s="107" t="n">
        <x:f>'Вводные'!$O$88*((IF(SUM($D9:$DS9)=0,0,IF(SUM($D12:$DS12)=0,1,'Вводные'!$B$63)))*BY11+(1-(IF(SUM($D9:$DS9)=0,0,IF(SUM($D12:$DS12)=0,1,'Вводные'!$B$63))))*BY13)</x:f>
      </x:c>
      <x:c r="BZ23" s="107" t="n">
        <x:f>'Вводные'!$O$88*((IF(SUM($D9:$DS9)=0,0,IF(SUM($D12:$DS12)=0,1,'Вводные'!$B$63)))*BZ11+(1-(IF(SUM($D9:$DS9)=0,0,IF(SUM($D12:$DS12)=0,1,'Вводные'!$B$63))))*BZ13)</x:f>
      </x:c>
      <x:c r="CA23" s="107" t="n">
        <x:f>'Вводные'!$O$88*((IF(SUM($D9:$DS9)=0,0,IF(SUM($D12:$DS12)=0,1,'Вводные'!$B$63)))*CA11+(1-(IF(SUM($D9:$DS9)=0,0,IF(SUM($D12:$DS12)=0,1,'Вводные'!$B$63))))*CA13)</x:f>
      </x:c>
      <x:c r="CB23" s="107" t="n">
        <x:f>'Вводные'!$O$88*((IF(SUM($D9:$DS9)=0,0,IF(SUM($D12:$DS12)=0,1,'Вводные'!$B$63)))*CB11+(1-(IF(SUM($D9:$DS9)=0,0,IF(SUM($D12:$DS12)=0,1,'Вводные'!$B$63))))*CB13)</x:f>
      </x:c>
      <x:c r="CC23" s="107" t="n">
        <x:f>'Вводные'!$O$88*((IF(SUM($D9:$DS9)=0,0,IF(SUM($D12:$DS12)=0,1,'Вводные'!$B$63)))*CC11+(1-(IF(SUM($D9:$DS9)=0,0,IF(SUM($D12:$DS12)=0,1,'Вводные'!$B$63))))*CC13)</x:f>
      </x:c>
      <x:c r="CD23" s="107" t="n">
        <x:f>'Вводные'!$O$88*((IF(SUM($D9:$DS9)=0,0,IF(SUM($D12:$DS12)=0,1,'Вводные'!$B$63)))*CD11+(1-(IF(SUM($D9:$DS9)=0,0,IF(SUM($D12:$DS12)=0,1,'Вводные'!$B$63))))*CD13)</x:f>
      </x:c>
      <x:c r="CE23" s="107" t="n">
        <x:f>'Вводные'!$O$88*((IF(SUM($D9:$DS9)=0,0,IF(SUM($D12:$DS12)=0,1,'Вводные'!$B$63)))*CE11+(1-(IF(SUM($D9:$DS9)=0,0,IF(SUM($D12:$DS12)=0,1,'Вводные'!$B$63))))*CE13)</x:f>
      </x:c>
      <x:c r="CF23" s="107" t="n">
        <x:f>'Вводные'!$O$88*((IF(SUM($D9:$DS9)=0,0,IF(SUM($D12:$DS12)=0,1,'Вводные'!$B$63)))*CF11+(1-(IF(SUM($D9:$DS9)=0,0,IF(SUM($D12:$DS12)=0,1,'Вводные'!$B$63))))*CF13)</x:f>
      </x:c>
      <x:c r="CG23" s="107" t="n">
        <x:f>'Вводные'!$O$88*((IF(SUM($D9:$DS9)=0,0,IF(SUM($D12:$DS12)=0,1,'Вводные'!$B$63)))*CG11+(1-(IF(SUM($D9:$DS9)=0,0,IF(SUM($D12:$DS12)=0,1,'Вводные'!$B$63))))*CG13)</x:f>
      </x:c>
      <x:c r="CH23" s="107" t="n">
        <x:f>'Вводные'!$O$88*((IF(SUM($D9:$DS9)=0,0,IF(SUM($D12:$DS12)=0,1,'Вводные'!$B$63)))*CH11+(1-(IF(SUM($D9:$DS9)=0,0,IF(SUM($D12:$DS12)=0,1,'Вводные'!$B$63))))*CH13)</x:f>
      </x:c>
      <x:c r="CI23" s="107" t="n">
        <x:f>'Вводные'!$O$88*((IF(SUM($D9:$DS9)=0,0,IF(SUM($D12:$DS12)=0,1,'Вводные'!$B$63)))*CI11+(1-(IF(SUM($D9:$DS9)=0,0,IF(SUM($D12:$DS12)=0,1,'Вводные'!$B$63))))*CI13)</x:f>
      </x:c>
      <x:c r="CJ23" s="107" t="n">
        <x:f>'Вводные'!$O$88*((IF(SUM($D9:$DS9)=0,0,IF(SUM($D12:$DS12)=0,1,'Вводные'!$B$63)))*CJ11+(1-(IF(SUM($D9:$DS9)=0,0,IF(SUM($D12:$DS12)=0,1,'Вводные'!$B$63))))*CJ13)</x:f>
      </x:c>
      <x:c r="CK23" s="107" t="n">
        <x:f>'Вводные'!$O$88*((IF(SUM($D9:$DS9)=0,0,IF(SUM($D12:$DS12)=0,1,'Вводные'!$B$63)))*CK11+(1-(IF(SUM($D9:$DS9)=0,0,IF(SUM($D12:$DS12)=0,1,'Вводные'!$B$63))))*CK13)</x:f>
      </x:c>
      <x:c r="CL23" s="107" t="n">
        <x:f>'Вводные'!$O$88*((IF(SUM($D9:$DS9)=0,0,IF(SUM($D12:$DS12)=0,1,'Вводные'!$B$63)))*CL11+(1-(IF(SUM($D9:$DS9)=0,0,IF(SUM($D12:$DS12)=0,1,'Вводные'!$B$63))))*CL13)</x:f>
      </x:c>
      <x:c r="CM23" s="107" t="n">
        <x:f>'Вводные'!$O$88*((IF(SUM($D9:$DS9)=0,0,IF(SUM($D12:$DS12)=0,1,'Вводные'!$B$63)))*CM11+(1-(IF(SUM($D9:$DS9)=0,0,IF(SUM($D12:$DS12)=0,1,'Вводные'!$B$63))))*CM13)</x:f>
      </x:c>
      <x:c r="CN23" s="107" t="n">
        <x:f>'Вводные'!$O$88*((IF(SUM($D9:$DS9)=0,0,IF(SUM($D12:$DS12)=0,1,'Вводные'!$B$63)))*CN11+(1-(IF(SUM($D9:$DS9)=0,0,IF(SUM($D12:$DS12)=0,1,'Вводные'!$B$63))))*CN13)</x:f>
      </x:c>
      <x:c r="CO23" s="107" t="n">
        <x:f>'Вводные'!$O$88*((IF(SUM($D9:$DS9)=0,0,IF(SUM($D12:$DS12)=0,1,'Вводные'!$B$63)))*CO11+(1-(IF(SUM($D9:$DS9)=0,0,IF(SUM($D12:$DS12)=0,1,'Вводные'!$B$63))))*CO13)</x:f>
      </x:c>
      <x:c r="CP23" s="107" t="n">
        <x:f>'Вводные'!$O$88*((IF(SUM($D9:$DS9)=0,0,IF(SUM($D12:$DS12)=0,1,'Вводные'!$B$63)))*CP11+(1-(IF(SUM($D9:$DS9)=0,0,IF(SUM($D12:$DS12)=0,1,'Вводные'!$B$63))))*CP13)</x:f>
      </x:c>
      <x:c r="CQ23" s="107" t="n">
        <x:f>'Вводные'!$O$88*((IF(SUM($D9:$DS9)=0,0,IF(SUM($D12:$DS12)=0,1,'Вводные'!$B$63)))*CQ11+(1-(IF(SUM($D9:$DS9)=0,0,IF(SUM($D12:$DS12)=0,1,'Вводные'!$B$63))))*CQ13)</x:f>
      </x:c>
      <x:c r="CR23" s="107" t="n">
        <x:f>'Вводные'!$O$88*((IF(SUM($D9:$DS9)=0,0,IF(SUM($D12:$DS12)=0,1,'Вводные'!$B$63)))*CR11+(1-(IF(SUM($D9:$DS9)=0,0,IF(SUM($D12:$DS12)=0,1,'Вводные'!$B$63))))*CR13)</x:f>
      </x:c>
      <x:c r="CS23" s="107" t="n">
        <x:f>'Вводные'!$O$88*((IF(SUM($D9:$DS9)=0,0,IF(SUM($D12:$DS12)=0,1,'Вводные'!$B$63)))*CS11+(1-(IF(SUM($D9:$DS9)=0,0,IF(SUM($D12:$DS12)=0,1,'Вводные'!$B$63))))*CS13)</x:f>
      </x:c>
      <x:c r="CT23" s="107" t="n">
        <x:f>'Вводные'!$O$88*((IF(SUM($D9:$DS9)=0,0,IF(SUM($D12:$DS12)=0,1,'Вводные'!$B$63)))*CT11+(1-(IF(SUM($D9:$DS9)=0,0,IF(SUM($D12:$DS12)=0,1,'Вводные'!$B$63))))*CT13)</x:f>
      </x:c>
      <x:c r="CU23" s="107" t="n">
        <x:f>'Вводные'!$O$88*((IF(SUM($D9:$DS9)=0,0,IF(SUM($D12:$DS12)=0,1,'Вводные'!$B$63)))*CU11+(1-(IF(SUM($D9:$DS9)=0,0,IF(SUM($D12:$DS12)=0,1,'Вводные'!$B$63))))*CU13)</x:f>
      </x:c>
      <x:c r="CV23" s="107" t="n">
        <x:f>'Вводные'!$O$88*((IF(SUM($D9:$DS9)=0,0,IF(SUM($D12:$DS12)=0,1,'Вводные'!$B$63)))*CV11+(1-(IF(SUM($D9:$DS9)=0,0,IF(SUM($D12:$DS12)=0,1,'Вводные'!$B$63))))*CV13)</x:f>
      </x:c>
      <x:c r="CW23" s="107" t="n">
        <x:f>'Вводные'!$O$88*((IF(SUM($D9:$DS9)=0,0,IF(SUM($D12:$DS12)=0,1,'Вводные'!$B$63)))*CW11+(1-(IF(SUM($D9:$DS9)=0,0,IF(SUM($D12:$DS12)=0,1,'Вводные'!$B$63))))*CW13)</x:f>
      </x:c>
      <x:c r="CX23" s="107" t="n">
        <x:f>'Вводные'!$O$88*((IF(SUM($D9:$DS9)=0,0,IF(SUM($D12:$DS12)=0,1,'Вводные'!$B$63)))*CX11+(1-(IF(SUM($D9:$DS9)=0,0,IF(SUM($D12:$DS12)=0,1,'Вводные'!$B$63))))*CX13)</x:f>
      </x:c>
      <x:c r="CY23" s="107" t="n">
        <x:f>'Вводные'!$O$88*((IF(SUM($D9:$DS9)=0,0,IF(SUM($D12:$DS12)=0,1,'Вводные'!$B$63)))*CY11+(1-(IF(SUM($D9:$DS9)=0,0,IF(SUM($D12:$DS12)=0,1,'Вводные'!$B$63))))*CY13)</x:f>
      </x:c>
      <x:c r="CZ23" s="107" t="n">
        <x:f>'Вводные'!$O$88*((IF(SUM($D9:$DS9)=0,0,IF(SUM($D12:$DS12)=0,1,'Вводные'!$B$63)))*CZ11+(1-(IF(SUM($D9:$DS9)=0,0,IF(SUM($D12:$DS12)=0,1,'Вводные'!$B$63))))*CZ13)</x:f>
      </x:c>
      <x:c r="DA23" s="107" t="n">
        <x:f>'Вводные'!$O$88*((IF(SUM($D9:$DS9)=0,0,IF(SUM($D12:$DS12)=0,1,'Вводные'!$B$63)))*DA11+(1-(IF(SUM($D9:$DS9)=0,0,IF(SUM($D12:$DS12)=0,1,'Вводные'!$B$63))))*DA13)</x:f>
      </x:c>
      <x:c r="DB23" s="107" t="n">
        <x:f>'Вводные'!$O$88*((IF(SUM($D9:$DS9)=0,0,IF(SUM($D12:$DS12)=0,1,'Вводные'!$B$63)))*DB11+(1-(IF(SUM($D9:$DS9)=0,0,IF(SUM($D12:$DS12)=0,1,'Вводные'!$B$63))))*DB13)</x:f>
      </x:c>
      <x:c r="DC23" s="107" t="n">
        <x:f>'Вводные'!$O$88*((IF(SUM($D9:$DS9)=0,0,IF(SUM($D12:$DS12)=0,1,'Вводные'!$B$63)))*DC11+(1-(IF(SUM($D9:$DS9)=0,0,IF(SUM($D12:$DS12)=0,1,'Вводные'!$B$63))))*DC13)</x:f>
      </x:c>
      <x:c r="DD23" s="107" t="n">
        <x:f>'Вводные'!$O$88*((IF(SUM($D9:$DS9)=0,0,IF(SUM($D12:$DS12)=0,1,'Вводные'!$B$63)))*DD11+(1-(IF(SUM($D9:$DS9)=0,0,IF(SUM($D12:$DS12)=0,1,'Вводные'!$B$63))))*DD13)</x:f>
      </x:c>
      <x:c r="DE23" s="107" t="n">
        <x:f>'Вводные'!$O$88*((IF(SUM($D9:$DS9)=0,0,IF(SUM($D12:$DS12)=0,1,'Вводные'!$B$63)))*DE11+(1-(IF(SUM($D9:$DS9)=0,0,IF(SUM($D12:$DS12)=0,1,'Вводные'!$B$63))))*DE13)</x:f>
      </x:c>
      <x:c r="DF23" s="107" t="n">
        <x:f>'Вводные'!$O$88*((IF(SUM($D9:$DS9)=0,0,IF(SUM($D12:$DS12)=0,1,'Вводные'!$B$63)))*DF11+(1-(IF(SUM($D9:$DS9)=0,0,IF(SUM($D12:$DS12)=0,1,'Вводные'!$B$63))))*DF13)</x:f>
      </x:c>
      <x:c r="DG23" s="107" t="n">
        <x:f>'Вводные'!$O$88*((IF(SUM($D9:$DS9)=0,0,IF(SUM($D12:$DS12)=0,1,'Вводные'!$B$63)))*DG11+(1-(IF(SUM($D9:$DS9)=0,0,IF(SUM($D12:$DS12)=0,1,'Вводные'!$B$63))))*DG13)</x:f>
      </x:c>
      <x:c r="DH23" s="107" t="n">
        <x:f>'Вводные'!$O$88*((IF(SUM($D9:$DS9)=0,0,IF(SUM($D12:$DS12)=0,1,'Вводные'!$B$63)))*DH11+(1-(IF(SUM($D9:$DS9)=0,0,IF(SUM($D12:$DS12)=0,1,'Вводные'!$B$63))))*DH13)</x:f>
      </x:c>
      <x:c r="DI23" s="107" t="n">
        <x:f>'Вводные'!$O$88*((IF(SUM($D9:$DS9)=0,0,IF(SUM($D12:$DS12)=0,1,'Вводные'!$B$63)))*DI11+(1-(IF(SUM($D9:$DS9)=0,0,IF(SUM($D12:$DS12)=0,1,'Вводные'!$B$63))))*DI13)</x:f>
      </x:c>
      <x:c r="DJ23" s="107" t="n">
        <x:f>'Вводные'!$O$88*((IF(SUM($D9:$DS9)=0,0,IF(SUM($D12:$DS12)=0,1,'Вводные'!$B$63)))*DJ11+(1-(IF(SUM($D9:$DS9)=0,0,IF(SUM($D12:$DS12)=0,1,'Вводные'!$B$63))))*DJ13)</x:f>
      </x:c>
      <x:c r="DK23" s="107" t="n">
        <x:f>'Вводные'!$O$88*((IF(SUM($D9:$DS9)=0,0,IF(SUM($D12:$DS12)=0,1,'Вводные'!$B$63)))*DK11+(1-(IF(SUM($D9:$DS9)=0,0,IF(SUM($D12:$DS12)=0,1,'Вводные'!$B$63))))*DK13)</x:f>
      </x:c>
      <x:c r="DL23" s="107" t="n">
        <x:f>'Вводные'!$O$88*((IF(SUM($D9:$DS9)=0,0,IF(SUM($D12:$DS12)=0,1,'Вводные'!$B$63)))*DL11+(1-(IF(SUM($D9:$DS9)=0,0,IF(SUM($D12:$DS12)=0,1,'Вводные'!$B$63))))*DL13)</x:f>
      </x:c>
      <x:c r="DM23" s="107" t="n">
        <x:f>'Вводные'!$O$88*((IF(SUM($D9:$DS9)=0,0,IF(SUM($D12:$DS12)=0,1,'Вводные'!$B$63)))*DM11+(1-(IF(SUM($D9:$DS9)=0,0,IF(SUM($D12:$DS12)=0,1,'Вводные'!$B$63))))*DM13)</x:f>
      </x:c>
      <x:c r="DN23" s="107" t="n">
        <x:f>'Вводные'!$O$88*((IF(SUM($D9:$DS9)=0,0,IF(SUM($D12:$DS12)=0,1,'Вводные'!$B$63)))*DN11+(1-(IF(SUM($D9:$DS9)=0,0,IF(SUM($D12:$DS12)=0,1,'Вводные'!$B$63))))*DN13)</x:f>
      </x:c>
      <x:c r="DO23" s="107" t="n">
        <x:f>'Вводные'!$O$88*((IF(SUM($D9:$DS9)=0,0,IF(SUM($D12:$DS12)=0,1,'Вводные'!$B$63)))*DO11+(1-(IF(SUM($D9:$DS9)=0,0,IF(SUM($D12:$DS12)=0,1,'Вводные'!$B$63))))*DO13)</x:f>
      </x:c>
      <x:c r="DP23" s="107" t="n">
        <x:f>'Вводные'!$O$88*((IF(SUM($D9:$DS9)=0,0,IF(SUM($D12:$DS12)=0,1,'Вводные'!$B$63)))*DP11+(1-(IF(SUM($D9:$DS9)=0,0,IF(SUM($D12:$DS12)=0,1,'Вводные'!$B$63))))*DP13)</x:f>
      </x:c>
      <x:c r="DQ23" s="107" t="n">
        <x:f>'Вводные'!$O$88*((IF(SUM($D9:$DS9)=0,0,IF(SUM($D12:$DS12)=0,1,'Вводные'!$B$63)))*DQ11+(1-(IF(SUM($D9:$DS9)=0,0,IF(SUM($D12:$DS12)=0,1,'Вводные'!$B$63))))*DQ13)</x:f>
      </x:c>
      <x:c r="DR23" s="107" t="n">
        <x:f>'Вводные'!$O$88*((IF(SUM($D9:$DS9)=0,0,IF(SUM($D12:$DS12)=0,1,'Вводные'!$B$63)))*DR11+(1-(IF(SUM($D9:$DS9)=0,0,IF(SUM($D12:$DS12)=0,1,'Вводные'!$B$63))))*DR13)</x:f>
      </x:c>
      <x:c r="DS23" s="107" t="n">
        <x:f>'Вводные'!$O$88*((IF(SUM($D9:$DS9)=0,0,IF(SUM($D12:$DS12)=0,1,'Вводные'!$B$63)))*DS11+(1-(IF(SUM($D9:$DS9)=0,0,IF(SUM($D12:$DS12)=0,1,'Вводные'!$B$63))))*DS13)</x:f>
      </x:c>
    </x:row>
    <x:row r="24">
      <x:c r="A24" t="str">
        <x:v>Кладовые — цена</x:v>
      </x:c>
      <x:c r="B24" t="n">
        <x:f>IFERROR(B25*1000/B23,0)</x:f>
      </x:c>
      <x:c r="C24" t="str">
        <x:v>тыс. ₽/шт.</x:v>
      </x:c>
      <x:c r="D24" s="107" t="n">
        <x:f>IF(D23=0,0,'Вводные'!$B$62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4" s="107" t="n">
        <x:f>IF(E23=0,0,'Вводные'!$B$62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4" s="107" t="n">
        <x:f>IF(F23=0,0,'Вводные'!$B$62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4" s="107" t="n">
        <x:f>IF(G23=0,0,'Вводные'!$B$62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4" s="107" t="n">
        <x:f>IF(H23=0,0,'Вводные'!$B$62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4" s="107" t="n">
        <x:f>IF(I23=0,0,'Вводные'!$B$62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4" s="107" t="n">
        <x:f>IF(J23=0,0,'Вводные'!$B$62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4" s="107" t="n">
        <x:f>IF(K23=0,0,'Вводные'!$B$62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4" s="107" t="n">
        <x:f>IF(L23=0,0,'Вводные'!$B$62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4" s="107" t="n">
        <x:f>IF(M23=0,0,'Вводные'!$B$62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4" s="107" t="n">
        <x:f>IF(N23=0,0,'Вводные'!$B$62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4" s="107" t="n">
        <x:f>IF(O23=0,0,'Вводные'!$B$62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4" s="107" t="n">
        <x:f>IF(P23=0,0,'Вводные'!$B$62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4" s="107" t="n">
        <x:f>IF(Q23=0,0,'Вводные'!$B$62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4" s="107" t="n">
        <x:f>IF(R23=0,0,'Вводные'!$B$62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4" s="107" t="n">
        <x:f>IF(S23=0,0,'Вводные'!$B$62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4" s="107" t="n">
        <x:f>IF(T23=0,0,'Вводные'!$B$62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4" s="107" t="n">
        <x:f>IF(U23=0,0,'Вводные'!$B$62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4" s="107" t="n">
        <x:f>IF(V23=0,0,'Вводные'!$B$62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4" s="107" t="n">
        <x:f>IF(W23=0,0,'Вводные'!$B$62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4" s="107" t="n">
        <x:f>IF(X23=0,0,'Вводные'!$B$62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4" s="107" t="n">
        <x:f>IF(Y23=0,0,'Вводные'!$B$62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4" s="107" t="n">
        <x:f>IF(Z23=0,0,'Вводные'!$B$62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4" s="107" t="n">
        <x:f>IF(AA23=0,0,'Вводные'!$B$62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4" s="107" t="n">
        <x:f>IF(AB23=0,0,'Вводные'!$B$62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4" s="107" t="n">
        <x:f>IF(AC23=0,0,'Вводные'!$B$62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4" s="107" t="n">
        <x:f>IF(AD23=0,0,'Вводные'!$B$62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4" s="107" t="n">
        <x:f>IF(AE23=0,0,'Вводные'!$B$62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4" s="107" t="n">
        <x:f>IF(AF23=0,0,'Вводные'!$B$62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4" s="107" t="n">
        <x:f>IF(AG23=0,0,'Вводные'!$B$62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4" s="107" t="n">
        <x:f>IF(AH23=0,0,'Вводные'!$B$62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4" s="107" t="n">
        <x:f>IF(AI23=0,0,'Вводные'!$B$62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4" s="107" t="n">
        <x:f>IF(AJ23=0,0,'Вводные'!$B$62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4" s="107" t="n">
        <x:f>IF(AK23=0,0,'Вводные'!$B$62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4" s="107" t="n">
        <x:f>IF(AL23=0,0,'Вводные'!$B$62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4" s="107" t="n">
        <x:f>IF(AM23=0,0,'Вводные'!$B$62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4" s="107" t="n">
        <x:f>IF(AN23=0,0,'Вводные'!$B$62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4" s="107" t="n">
        <x:f>IF(AO23=0,0,'Вводные'!$B$62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4" s="107" t="n">
        <x:f>IF(AP23=0,0,'Вводные'!$B$62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4" s="107" t="n">
        <x:f>IF(AQ23=0,0,'Вводные'!$B$62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4" s="107" t="n">
        <x:f>IF(AR23=0,0,'Вводные'!$B$62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4" s="107" t="n">
        <x:f>IF(AS23=0,0,'Вводные'!$B$62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4" s="107" t="n">
        <x:f>IF(AT23=0,0,'Вводные'!$B$62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4" s="107" t="n">
        <x:f>IF(AU23=0,0,'Вводные'!$B$62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4" s="107" t="n">
        <x:f>IF(AV23=0,0,'Вводные'!$B$62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4" s="107" t="n">
        <x:f>IF(AW23=0,0,'Вводные'!$B$62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4" s="107" t="n">
        <x:f>IF(AX23=0,0,'Вводные'!$B$62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4" s="107" t="n">
        <x:f>IF(AY23=0,0,'Вводные'!$B$62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4" s="107" t="n">
        <x:f>IF(AZ23=0,0,'Вводные'!$B$62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4" s="107" t="n">
        <x:f>IF(BA23=0,0,'Вводные'!$B$62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4" s="107" t="n">
        <x:f>IF(BB23=0,0,'Вводные'!$B$62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4" s="107" t="n">
        <x:f>IF(BC23=0,0,'Вводные'!$B$62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4" s="107" t="n">
        <x:f>IF(BD23=0,0,'Вводные'!$B$62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4" s="107" t="n">
        <x:f>IF(BE23=0,0,'Вводные'!$B$62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4" s="107" t="n">
        <x:f>IF(BF23=0,0,'Вводные'!$B$62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4" s="107" t="n">
        <x:f>IF(BG23=0,0,'Вводные'!$B$62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4" s="107" t="n">
        <x:f>IF(BH23=0,0,'Вводные'!$B$62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4" s="107" t="n">
        <x:f>IF(BI23=0,0,'Вводные'!$B$62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4" s="107" t="n">
        <x:f>IF(BJ23=0,0,'Вводные'!$B$62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4" s="107" t="n">
        <x:f>IF(BK23=0,0,'Вводные'!$B$62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4" s="107" t="n">
        <x:f>IF(BL23=0,0,'Вводные'!$B$62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4" s="107" t="n">
        <x:f>IF(BM23=0,0,'Вводные'!$B$62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4" s="107" t="n">
        <x:f>IF(BN23=0,0,'Вводные'!$B$62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4" s="107" t="n">
        <x:f>IF(BO23=0,0,'Вводные'!$B$62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4" s="107" t="n">
        <x:f>IF(BP23=0,0,'Вводные'!$B$62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4" s="107" t="n">
        <x:f>IF(BQ23=0,0,'Вводные'!$B$62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4" s="107" t="n">
        <x:f>IF(BR23=0,0,'Вводные'!$B$62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4" s="107" t="n">
        <x:f>IF(BS23=0,0,'Вводные'!$B$62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4" s="107" t="n">
        <x:f>IF(BT23=0,0,'Вводные'!$B$62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4" s="107" t="n">
        <x:f>IF(BU23=0,0,'Вводные'!$B$62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4" s="107" t="n">
        <x:f>IF(BV23=0,0,'Вводные'!$B$62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4" s="107" t="n">
        <x:f>IF(BW23=0,0,'Вводные'!$B$62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4" s="107" t="n">
        <x:f>IF(BX23=0,0,'Вводные'!$B$62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4" s="107" t="n">
        <x:f>IF(BY23=0,0,'Вводные'!$B$62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4" s="107" t="n">
        <x:f>IF(BZ23=0,0,'Вводные'!$B$62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4" s="107" t="n">
        <x:f>IF(CA23=0,0,'Вводные'!$B$62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4" s="107" t="n">
        <x:f>IF(CB23=0,0,'Вводные'!$B$62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4" s="107" t="n">
        <x:f>IF(CC23=0,0,'Вводные'!$B$62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4" s="107" t="n">
        <x:f>IF(CD23=0,0,'Вводные'!$B$62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4" s="107" t="n">
        <x:f>IF(CE23=0,0,'Вводные'!$B$62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4" s="107" t="n">
        <x:f>IF(CF23=0,0,'Вводные'!$B$62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4" s="107" t="n">
        <x:f>IF(CG23=0,0,'Вводные'!$B$62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4" s="107" t="n">
        <x:f>IF(CH23=0,0,'Вводные'!$B$62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4" s="107" t="n">
        <x:f>IF(CI23=0,0,'Вводные'!$B$62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4" s="107" t="n">
        <x:f>IF(CJ23=0,0,'Вводные'!$B$62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4" s="107" t="n">
        <x:f>IF(CK23=0,0,'Вводные'!$B$62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4" s="107" t="n">
        <x:f>IF(CL23=0,0,'Вводные'!$B$62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4" s="107" t="n">
        <x:f>IF(CM23=0,0,'Вводные'!$B$62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4" s="107" t="n">
        <x:f>IF(CN23=0,0,'Вводные'!$B$62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4" s="107" t="n">
        <x:f>IF(CO23=0,0,'Вводные'!$B$62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4" s="107" t="n">
        <x:f>IF(CP23=0,0,'Вводные'!$B$62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4" s="107" t="n">
        <x:f>IF(CQ23=0,0,'Вводные'!$B$62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4" s="107" t="n">
        <x:f>IF(CR23=0,0,'Вводные'!$B$62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4" s="107" t="n">
        <x:f>IF(CS23=0,0,'Вводные'!$B$62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4" s="107" t="n">
        <x:f>IF(CT23=0,0,'Вводные'!$B$62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4" s="107" t="n">
        <x:f>IF(CU23=0,0,'Вводные'!$B$62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4" s="107" t="n">
        <x:f>IF(CV23=0,0,'Вводные'!$B$62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4" s="107" t="n">
        <x:f>IF(CW23=0,0,'Вводные'!$B$62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4" s="107" t="n">
        <x:f>IF(CX23=0,0,'Вводные'!$B$62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4" s="107" t="n">
        <x:f>IF(CY23=0,0,'Вводные'!$B$62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4" s="107" t="n">
        <x:f>IF(CZ23=0,0,'Вводные'!$B$62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4" s="107" t="n">
        <x:f>IF(DA23=0,0,'Вводные'!$B$62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4" s="107" t="n">
        <x:f>IF(DB23=0,0,'Вводные'!$B$62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4" s="107" t="n">
        <x:f>IF(DC23=0,0,'Вводные'!$B$62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4" s="107" t="n">
        <x:f>IF(DD23=0,0,'Вводные'!$B$62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4" s="107" t="n">
        <x:f>IF(DE23=0,0,'Вводные'!$B$62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4" s="107" t="n">
        <x:f>IF(DF23=0,0,'Вводные'!$B$62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4" s="107" t="n">
        <x:f>IF(DG23=0,0,'Вводные'!$B$62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4" s="107" t="n">
        <x:f>IF(DH23=0,0,'Вводные'!$B$62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4" s="107" t="n">
        <x:f>IF(DI23=0,0,'Вводные'!$B$62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4" s="107" t="n">
        <x:f>IF(DJ23=0,0,'Вводные'!$B$62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4" s="107" t="n">
        <x:f>IF(DK23=0,0,'Вводные'!$B$62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4" s="107" t="n">
        <x:f>IF(DL23=0,0,'Вводные'!$B$62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4" s="107" t="n">
        <x:f>IF(DM23=0,0,'Вводные'!$B$62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4" s="107" t="n">
        <x:f>IF(DN23=0,0,'Вводные'!$B$62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4" s="107" t="n">
        <x:f>IF(DO23=0,0,'Вводные'!$B$62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4" s="107" t="n">
        <x:f>IF(DP23=0,0,'Вводные'!$B$62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4" s="107" t="n">
        <x:f>IF(DQ23=0,0,'Вводные'!$B$62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4" s="107" t="n">
        <x:f>IF(DR23=0,0,'Вводные'!$B$62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4" s="107" t="n">
        <x:f>IF(DS23=0,0,'Вводные'!$B$62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5">
      <x:c r="A25" t="str">
        <x:v>Кладовые — выручка</x:v>
      </x:c>
      <x:c r="B25" t="n">
        <x:f>SUM(D25:DS25)</x:f>
      </x:c>
      <x:c r="C25" t="str">
        <x:v>млн ₽</x:v>
      </x:c>
      <x:c r="D25" s="107" t="n">
        <x:f>D23*D24/1000</x:f>
      </x:c>
      <x:c r="E25" s="107" t="n">
        <x:f>E23*E24/1000</x:f>
      </x:c>
      <x:c r="F25" s="107" t="n">
        <x:f>F23*F24/1000</x:f>
      </x:c>
      <x:c r="G25" s="107" t="n">
        <x:f>G23*G24/1000</x:f>
      </x:c>
      <x:c r="H25" s="107" t="n">
        <x:f>H23*H24/1000</x:f>
      </x:c>
      <x:c r="I25" s="107" t="n">
        <x:f>I23*I24/1000</x:f>
      </x:c>
      <x:c r="J25" s="107" t="n">
        <x:f>J23*J24/1000</x:f>
      </x:c>
      <x:c r="K25" s="107" t="n">
        <x:f>K23*K24/1000</x:f>
      </x:c>
      <x:c r="L25" s="107" t="n">
        <x:f>L23*L24/1000</x:f>
      </x:c>
      <x:c r="M25" s="107" t="n">
        <x:f>M23*M24/1000</x:f>
      </x:c>
      <x:c r="N25" s="107" t="n">
        <x:f>N23*N24/1000</x:f>
      </x:c>
      <x:c r="O25" s="107" t="n">
        <x:f>O23*O24/1000</x:f>
      </x:c>
      <x:c r="P25" s="107" t="n">
        <x:f>P23*P24/1000</x:f>
      </x:c>
      <x:c r="Q25" s="107" t="n">
        <x:f>Q23*Q24/1000</x:f>
      </x:c>
      <x:c r="R25" s="107" t="n">
        <x:f>R23*R24/1000</x:f>
      </x:c>
      <x:c r="S25" s="107" t="n">
        <x:f>S23*S24/1000</x:f>
      </x:c>
      <x:c r="T25" s="107" t="n">
        <x:f>T23*T24/1000</x:f>
      </x:c>
      <x:c r="U25" s="107" t="n">
        <x:f>U23*U24/1000</x:f>
      </x:c>
      <x:c r="V25" s="107" t="n">
        <x:f>V23*V24/1000</x:f>
      </x:c>
      <x:c r="W25" s="107" t="n">
        <x:f>W23*W24/1000</x:f>
      </x:c>
      <x:c r="X25" s="107" t="n">
        <x:f>X23*X24/1000</x:f>
      </x:c>
      <x:c r="Y25" s="107" t="n">
        <x:f>Y23*Y24/1000</x:f>
      </x:c>
      <x:c r="Z25" s="107" t="n">
        <x:f>Z23*Z24/1000</x:f>
      </x:c>
      <x:c r="AA25" s="107" t="n">
        <x:f>AA23*AA24/1000</x:f>
      </x:c>
      <x:c r="AB25" s="107" t="n">
        <x:f>AB23*AB24/1000</x:f>
      </x:c>
      <x:c r="AC25" s="107" t="n">
        <x:f>AC23*AC24/1000</x:f>
      </x:c>
      <x:c r="AD25" s="107" t="n">
        <x:f>AD23*AD24/1000</x:f>
      </x:c>
      <x:c r="AE25" s="107" t="n">
        <x:f>AE23*AE24/1000</x:f>
      </x:c>
      <x:c r="AF25" s="107" t="n">
        <x:f>AF23*AF24/1000</x:f>
      </x:c>
      <x:c r="AG25" s="107" t="n">
        <x:f>AG23*AG24/1000</x:f>
      </x:c>
      <x:c r="AH25" s="107" t="n">
        <x:f>AH23*AH24/1000</x:f>
      </x:c>
      <x:c r="AI25" s="107" t="n">
        <x:f>AI23*AI24/1000</x:f>
      </x:c>
      <x:c r="AJ25" s="107" t="n">
        <x:f>AJ23*AJ24/1000</x:f>
      </x:c>
      <x:c r="AK25" s="107" t="n">
        <x:f>AK23*AK24/1000</x:f>
      </x:c>
      <x:c r="AL25" s="107" t="n">
        <x:f>AL23*AL24/1000</x:f>
      </x:c>
      <x:c r="AM25" s="107" t="n">
        <x:f>AM23*AM24/1000</x:f>
      </x:c>
      <x:c r="AN25" s="107" t="n">
        <x:f>AN23*AN24/1000</x:f>
      </x:c>
      <x:c r="AO25" s="107" t="n">
        <x:f>AO23*AO24/1000</x:f>
      </x:c>
      <x:c r="AP25" s="107" t="n">
        <x:f>AP23*AP24/1000</x:f>
      </x:c>
      <x:c r="AQ25" s="107" t="n">
        <x:f>AQ23*AQ24/1000</x:f>
      </x:c>
      <x:c r="AR25" s="107" t="n">
        <x:f>AR23*AR24/1000</x:f>
      </x:c>
      <x:c r="AS25" s="107" t="n">
        <x:f>AS23*AS24/1000</x:f>
      </x:c>
      <x:c r="AT25" s="107" t="n">
        <x:f>AT23*AT24/1000</x:f>
      </x:c>
      <x:c r="AU25" s="107" t="n">
        <x:f>AU23*AU24/1000</x:f>
      </x:c>
      <x:c r="AV25" s="107" t="n">
        <x:f>AV23*AV24/1000</x:f>
      </x:c>
      <x:c r="AW25" s="107" t="n">
        <x:f>AW23*AW24/1000</x:f>
      </x:c>
      <x:c r="AX25" s="107" t="n">
        <x:f>AX23*AX24/1000</x:f>
      </x:c>
      <x:c r="AY25" s="107" t="n">
        <x:f>AY23*AY24/1000</x:f>
      </x:c>
      <x:c r="AZ25" s="107" t="n">
        <x:f>AZ23*AZ24/1000</x:f>
      </x:c>
      <x:c r="BA25" s="107" t="n">
        <x:f>BA23*BA24/1000</x:f>
      </x:c>
      <x:c r="BB25" s="107" t="n">
        <x:f>BB23*BB24/1000</x:f>
      </x:c>
      <x:c r="BC25" s="107" t="n">
        <x:f>BC23*BC24/1000</x:f>
      </x:c>
      <x:c r="BD25" s="107" t="n">
        <x:f>BD23*BD24/1000</x:f>
      </x:c>
      <x:c r="BE25" s="107" t="n">
        <x:f>BE23*BE24/1000</x:f>
      </x:c>
      <x:c r="BF25" s="107" t="n">
        <x:f>BF23*BF24/1000</x:f>
      </x:c>
      <x:c r="BG25" s="107" t="n">
        <x:f>BG23*BG24/1000</x:f>
      </x:c>
      <x:c r="BH25" s="107" t="n">
        <x:f>BH23*BH24/1000</x:f>
      </x:c>
      <x:c r="BI25" s="107" t="n">
        <x:f>BI23*BI24/1000</x:f>
      </x:c>
      <x:c r="BJ25" s="107" t="n">
        <x:f>BJ23*BJ24/1000</x:f>
      </x:c>
      <x:c r="BK25" s="107" t="n">
        <x:f>BK23*BK24/1000</x:f>
      </x:c>
      <x:c r="BL25" s="107" t="n">
        <x:f>BL23*BL24/1000</x:f>
      </x:c>
      <x:c r="BM25" s="107" t="n">
        <x:f>BM23*BM24/1000</x:f>
      </x:c>
      <x:c r="BN25" s="107" t="n">
        <x:f>BN23*BN24/1000</x:f>
      </x:c>
      <x:c r="BO25" s="107" t="n">
        <x:f>BO23*BO24/1000</x:f>
      </x:c>
      <x:c r="BP25" s="107" t="n">
        <x:f>BP23*BP24/1000</x:f>
      </x:c>
      <x:c r="BQ25" s="107" t="n">
        <x:f>BQ23*BQ24/1000</x:f>
      </x:c>
      <x:c r="BR25" s="107" t="n">
        <x:f>BR23*BR24/1000</x:f>
      </x:c>
      <x:c r="BS25" s="107" t="n">
        <x:f>BS23*BS24/1000</x:f>
      </x:c>
      <x:c r="BT25" s="107" t="n">
        <x:f>BT23*BT24/1000</x:f>
      </x:c>
      <x:c r="BU25" s="107" t="n">
        <x:f>BU23*BU24/1000</x:f>
      </x:c>
      <x:c r="BV25" s="107" t="n">
        <x:f>BV23*BV24/1000</x:f>
      </x:c>
      <x:c r="BW25" s="107" t="n">
        <x:f>BW23*BW24/1000</x:f>
      </x:c>
      <x:c r="BX25" s="107" t="n">
        <x:f>BX23*BX24/1000</x:f>
      </x:c>
      <x:c r="BY25" s="107" t="n">
        <x:f>BY23*BY24/1000</x:f>
      </x:c>
      <x:c r="BZ25" s="107" t="n">
        <x:f>BZ23*BZ24/1000</x:f>
      </x:c>
      <x:c r="CA25" s="107" t="n">
        <x:f>CA23*CA24/1000</x:f>
      </x:c>
      <x:c r="CB25" s="107" t="n">
        <x:f>CB23*CB24/1000</x:f>
      </x:c>
      <x:c r="CC25" s="107" t="n">
        <x:f>CC23*CC24/1000</x:f>
      </x:c>
      <x:c r="CD25" s="107" t="n">
        <x:f>CD23*CD24/1000</x:f>
      </x:c>
      <x:c r="CE25" s="107" t="n">
        <x:f>CE23*CE24/1000</x:f>
      </x:c>
      <x:c r="CF25" s="107" t="n">
        <x:f>CF23*CF24/1000</x:f>
      </x:c>
      <x:c r="CG25" s="107" t="n">
        <x:f>CG23*CG24/1000</x:f>
      </x:c>
      <x:c r="CH25" s="107" t="n">
        <x:f>CH23*CH24/1000</x:f>
      </x:c>
      <x:c r="CI25" s="107" t="n">
        <x:f>CI23*CI24/1000</x:f>
      </x:c>
      <x:c r="CJ25" s="107" t="n">
        <x:f>CJ23*CJ24/1000</x:f>
      </x:c>
      <x:c r="CK25" s="107" t="n">
        <x:f>CK23*CK24/1000</x:f>
      </x:c>
      <x:c r="CL25" s="107" t="n">
        <x:f>CL23*CL24/1000</x:f>
      </x:c>
      <x:c r="CM25" s="107" t="n">
        <x:f>CM23*CM24/1000</x:f>
      </x:c>
      <x:c r="CN25" s="107" t="n">
        <x:f>CN23*CN24/1000</x:f>
      </x:c>
      <x:c r="CO25" s="107" t="n">
        <x:f>CO23*CO24/1000</x:f>
      </x:c>
      <x:c r="CP25" s="107" t="n">
        <x:f>CP23*CP24/1000</x:f>
      </x:c>
      <x:c r="CQ25" s="107" t="n">
        <x:f>CQ23*CQ24/1000</x:f>
      </x:c>
      <x:c r="CR25" s="107" t="n">
        <x:f>CR23*CR24/1000</x:f>
      </x:c>
      <x:c r="CS25" s="107" t="n">
        <x:f>CS23*CS24/1000</x:f>
      </x:c>
      <x:c r="CT25" s="107" t="n">
        <x:f>CT23*CT24/1000</x:f>
      </x:c>
      <x:c r="CU25" s="107" t="n">
        <x:f>CU23*CU24/1000</x:f>
      </x:c>
      <x:c r="CV25" s="107" t="n">
        <x:f>CV23*CV24/1000</x:f>
      </x:c>
      <x:c r="CW25" s="107" t="n">
        <x:f>CW23*CW24/1000</x:f>
      </x:c>
      <x:c r="CX25" s="107" t="n">
        <x:f>CX23*CX24/1000</x:f>
      </x:c>
      <x:c r="CY25" s="107" t="n">
        <x:f>CY23*CY24/1000</x:f>
      </x:c>
      <x:c r="CZ25" s="107" t="n">
        <x:f>CZ23*CZ24/1000</x:f>
      </x:c>
      <x:c r="DA25" s="107" t="n">
        <x:f>DA23*DA24/1000</x:f>
      </x:c>
      <x:c r="DB25" s="107" t="n">
        <x:f>DB23*DB24/1000</x:f>
      </x:c>
      <x:c r="DC25" s="107" t="n">
        <x:f>DC23*DC24/1000</x:f>
      </x:c>
      <x:c r="DD25" s="107" t="n">
        <x:f>DD23*DD24/1000</x:f>
      </x:c>
      <x:c r="DE25" s="107" t="n">
        <x:f>DE23*DE24/1000</x:f>
      </x:c>
      <x:c r="DF25" s="107" t="n">
        <x:f>DF23*DF24/1000</x:f>
      </x:c>
      <x:c r="DG25" s="107" t="n">
        <x:f>DG23*DG24/1000</x:f>
      </x:c>
      <x:c r="DH25" s="107" t="n">
        <x:f>DH23*DH24/1000</x:f>
      </x:c>
      <x:c r="DI25" s="107" t="n">
        <x:f>DI23*DI24/1000</x:f>
      </x:c>
      <x:c r="DJ25" s="107" t="n">
        <x:f>DJ23*DJ24/1000</x:f>
      </x:c>
      <x:c r="DK25" s="107" t="n">
        <x:f>DK23*DK24/1000</x:f>
      </x:c>
      <x:c r="DL25" s="107" t="n">
        <x:f>DL23*DL24/1000</x:f>
      </x:c>
      <x:c r="DM25" s="107" t="n">
        <x:f>DM23*DM24/1000</x:f>
      </x:c>
      <x:c r="DN25" s="107" t="n">
        <x:f>DN23*DN24/1000</x:f>
      </x:c>
      <x:c r="DO25" s="107" t="n">
        <x:f>DO23*DO24/1000</x:f>
      </x:c>
      <x:c r="DP25" s="107" t="n">
        <x:f>DP23*DP24/1000</x:f>
      </x:c>
      <x:c r="DQ25" s="107" t="n">
        <x:f>DQ23*DQ24/1000</x:f>
      </x:c>
      <x:c r="DR25" s="107" t="n">
        <x:f>DR23*DR24/1000</x:f>
      </x:c>
      <x:c r="DS25" s="107" t="n">
        <x:f>DS23*DS24/1000</x:f>
      </x:c>
    </x:row>
    <x:row r="26">
      <x:c r="A26" s="113" t="str">
        <x:v>ВЫРУЧКА ОЧЕРЕДИ</x:v>
      </x:c>
      <x:c r="B26" s="113" t="n">
        <x:f>SUM(D26:DS26)</x:f>
      </x:c>
      <x:c r="C26" s="113" t="str">
        <x:v>млн ₽</x:v>
      </x:c>
      <x:c r="D26" s="113" t="n">
        <x:f>SUM(D16,D19,D22,D25)</x:f>
      </x:c>
      <x:c r="E26" s="113" t="n">
        <x:f>SUM(E16,E19,E22,E25)</x:f>
      </x:c>
      <x:c r="F26" s="113" t="n">
        <x:f>SUM(F16,F19,F22,F25)</x:f>
      </x:c>
      <x:c r="G26" s="113" t="n">
        <x:f>SUM(G16,G19,G22,G25)</x:f>
      </x:c>
      <x:c r="H26" s="113" t="n">
        <x:f>SUM(H16,H19,H22,H25)</x:f>
      </x:c>
      <x:c r="I26" s="113" t="n">
        <x:f>SUM(I16,I19,I22,I25)</x:f>
      </x:c>
      <x:c r="J26" s="113" t="n">
        <x:f>SUM(J16,J19,J22,J25)</x:f>
      </x:c>
      <x:c r="K26" s="113" t="n">
        <x:f>SUM(K16,K19,K22,K25)</x:f>
      </x:c>
      <x:c r="L26" s="113" t="n">
        <x:f>SUM(L16,L19,L22,L25)</x:f>
      </x:c>
      <x:c r="M26" s="113" t="n">
        <x:f>SUM(M16,M19,M22,M25)</x:f>
      </x:c>
      <x:c r="N26" s="113" t="n">
        <x:f>SUM(N16,N19,N22,N25)</x:f>
      </x:c>
      <x:c r="O26" s="113" t="n">
        <x:f>SUM(O16,O19,O22,O25)</x:f>
      </x:c>
      <x:c r="P26" s="113" t="n">
        <x:f>SUM(P16,P19,P22,P25)</x:f>
      </x:c>
      <x:c r="Q26" s="113" t="n">
        <x:f>SUM(Q16,Q19,Q22,Q25)</x:f>
      </x:c>
      <x:c r="R26" s="113" t="n">
        <x:f>SUM(R16,R19,R22,R25)</x:f>
      </x:c>
      <x:c r="S26" s="113" t="n">
        <x:f>SUM(S16,S19,S22,S25)</x:f>
      </x:c>
      <x:c r="T26" s="113" t="n">
        <x:f>SUM(T16,T19,T22,T25)</x:f>
      </x:c>
      <x:c r="U26" s="113" t="n">
        <x:f>SUM(U16,U19,U22,U25)</x:f>
      </x:c>
      <x:c r="V26" s="113" t="n">
        <x:f>SUM(V16,V19,V22,V25)</x:f>
      </x:c>
      <x:c r="W26" s="113" t="n">
        <x:f>SUM(W16,W19,W22,W25)</x:f>
      </x:c>
      <x:c r="X26" s="113" t="n">
        <x:f>SUM(X16,X19,X22,X25)</x:f>
      </x:c>
      <x:c r="Y26" s="113" t="n">
        <x:f>SUM(Y16,Y19,Y22,Y25)</x:f>
      </x:c>
      <x:c r="Z26" s="113" t="n">
        <x:f>SUM(Z16,Z19,Z22,Z25)</x:f>
      </x:c>
      <x:c r="AA26" s="113" t="n">
        <x:f>SUM(AA16,AA19,AA22,AA25)</x:f>
      </x:c>
      <x:c r="AB26" s="113" t="n">
        <x:f>SUM(AB16,AB19,AB22,AB25)</x:f>
      </x:c>
      <x:c r="AC26" s="113" t="n">
        <x:f>SUM(AC16,AC19,AC22,AC25)</x:f>
      </x:c>
      <x:c r="AD26" s="113" t="n">
        <x:f>SUM(AD16,AD19,AD22,AD25)</x:f>
      </x:c>
      <x:c r="AE26" s="113" t="n">
        <x:f>SUM(AE16,AE19,AE22,AE25)</x:f>
      </x:c>
      <x:c r="AF26" s="113" t="n">
        <x:f>SUM(AF16,AF19,AF22,AF25)</x:f>
      </x:c>
      <x:c r="AG26" s="113" t="n">
        <x:f>SUM(AG16,AG19,AG22,AG25)</x:f>
      </x:c>
      <x:c r="AH26" s="113" t="n">
        <x:f>SUM(AH16,AH19,AH22,AH25)</x:f>
      </x:c>
      <x:c r="AI26" s="113" t="n">
        <x:f>SUM(AI16,AI19,AI22,AI25)</x:f>
      </x:c>
      <x:c r="AJ26" s="113" t="n">
        <x:f>SUM(AJ16,AJ19,AJ22,AJ25)</x:f>
      </x:c>
      <x:c r="AK26" s="113" t="n">
        <x:f>SUM(AK16,AK19,AK22,AK25)</x:f>
      </x:c>
      <x:c r="AL26" s="113" t="n">
        <x:f>SUM(AL16,AL19,AL22,AL25)</x:f>
      </x:c>
      <x:c r="AM26" s="113" t="n">
        <x:f>SUM(AM16,AM19,AM22,AM25)</x:f>
      </x:c>
      <x:c r="AN26" s="113" t="n">
        <x:f>SUM(AN16,AN19,AN22,AN25)</x:f>
      </x:c>
      <x:c r="AO26" s="113" t="n">
        <x:f>SUM(AO16,AO19,AO22,AO25)</x:f>
      </x:c>
      <x:c r="AP26" s="113" t="n">
        <x:f>SUM(AP16,AP19,AP22,AP25)</x:f>
      </x:c>
      <x:c r="AQ26" s="113" t="n">
        <x:f>SUM(AQ16,AQ19,AQ22,AQ25)</x:f>
      </x:c>
      <x:c r="AR26" s="113" t="n">
        <x:f>SUM(AR16,AR19,AR22,AR25)</x:f>
      </x:c>
      <x:c r="AS26" s="113" t="n">
        <x:f>SUM(AS16,AS19,AS22,AS25)</x:f>
      </x:c>
      <x:c r="AT26" s="113" t="n">
        <x:f>SUM(AT16,AT19,AT22,AT25)</x:f>
      </x:c>
      <x:c r="AU26" s="113" t="n">
        <x:f>SUM(AU16,AU19,AU22,AU25)</x:f>
      </x:c>
      <x:c r="AV26" s="113" t="n">
        <x:f>SUM(AV16,AV19,AV22,AV25)</x:f>
      </x:c>
      <x:c r="AW26" s="113" t="n">
        <x:f>SUM(AW16,AW19,AW22,AW25)</x:f>
      </x:c>
      <x:c r="AX26" s="113" t="n">
        <x:f>SUM(AX16,AX19,AX22,AX25)</x:f>
      </x:c>
      <x:c r="AY26" s="113" t="n">
        <x:f>SUM(AY16,AY19,AY22,AY25)</x:f>
      </x:c>
      <x:c r="AZ26" s="113" t="n">
        <x:f>SUM(AZ16,AZ19,AZ22,AZ25)</x:f>
      </x:c>
      <x:c r="BA26" s="113" t="n">
        <x:f>SUM(BA16,BA19,BA22,BA25)</x:f>
      </x:c>
      <x:c r="BB26" s="113" t="n">
        <x:f>SUM(BB16,BB19,BB22,BB25)</x:f>
      </x:c>
      <x:c r="BC26" s="113" t="n">
        <x:f>SUM(BC16,BC19,BC22,BC25)</x:f>
      </x:c>
      <x:c r="BD26" s="113" t="n">
        <x:f>SUM(BD16,BD19,BD22,BD25)</x:f>
      </x:c>
      <x:c r="BE26" s="113" t="n">
        <x:f>SUM(BE16,BE19,BE22,BE25)</x:f>
      </x:c>
      <x:c r="BF26" s="113" t="n">
        <x:f>SUM(BF16,BF19,BF22,BF25)</x:f>
      </x:c>
      <x:c r="BG26" s="113" t="n">
        <x:f>SUM(BG16,BG19,BG22,BG25)</x:f>
      </x:c>
      <x:c r="BH26" s="113" t="n">
        <x:f>SUM(BH16,BH19,BH22,BH25)</x:f>
      </x:c>
      <x:c r="BI26" s="113" t="n">
        <x:f>SUM(BI16,BI19,BI22,BI25)</x:f>
      </x:c>
      <x:c r="BJ26" s="113" t="n">
        <x:f>SUM(BJ16,BJ19,BJ22,BJ25)</x:f>
      </x:c>
      <x:c r="BK26" s="113" t="n">
        <x:f>SUM(BK16,BK19,BK22,BK25)</x:f>
      </x:c>
      <x:c r="BL26" s="113" t="n">
        <x:f>SUM(BL16,BL19,BL22,BL25)</x:f>
      </x:c>
      <x:c r="BM26" s="113" t="n">
        <x:f>SUM(BM16,BM19,BM22,BM25)</x:f>
      </x:c>
      <x:c r="BN26" s="113" t="n">
        <x:f>SUM(BN16,BN19,BN22,BN25)</x:f>
      </x:c>
      <x:c r="BO26" s="113" t="n">
        <x:f>SUM(BO16,BO19,BO22,BO25)</x:f>
      </x:c>
      <x:c r="BP26" s="113" t="n">
        <x:f>SUM(BP16,BP19,BP22,BP25)</x:f>
      </x:c>
      <x:c r="BQ26" s="113" t="n">
        <x:f>SUM(BQ16,BQ19,BQ22,BQ25)</x:f>
      </x:c>
      <x:c r="BR26" s="113" t="n">
        <x:f>SUM(BR16,BR19,BR22,BR25)</x:f>
      </x:c>
      <x:c r="BS26" s="113" t="n">
        <x:f>SUM(BS16,BS19,BS22,BS25)</x:f>
      </x:c>
      <x:c r="BT26" s="113" t="n">
        <x:f>SUM(BT16,BT19,BT22,BT25)</x:f>
      </x:c>
      <x:c r="BU26" s="113" t="n">
        <x:f>SUM(BU16,BU19,BU22,BU25)</x:f>
      </x:c>
      <x:c r="BV26" s="113" t="n">
        <x:f>SUM(BV16,BV19,BV22,BV25)</x:f>
      </x:c>
      <x:c r="BW26" s="113" t="n">
        <x:f>SUM(BW16,BW19,BW22,BW25)</x:f>
      </x:c>
      <x:c r="BX26" s="113" t="n">
        <x:f>SUM(BX16,BX19,BX22,BX25)</x:f>
      </x:c>
      <x:c r="BY26" s="113" t="n">
        <x:f>SUM(BY16,BY19,BY22,BY25)</x:f>
      </x:c>
      <x:c r="BZ26" s="113" t="n">
        <x:f>SUM(BZ16,BZ19,BZ22,BZ25)</x:f>
      </x:c>
      <x:c r="CA26" s="113" t="n">
        <x:f>SUM(CA16,CA19,CA22,CA25)</x:f>
      </x:c>
      <x:c r="CB26" s="113" t="n">
        <x:f>SUM(CB16,CB19,CB22,CB25)</x:f>
      </x:c>
      <x:c r="CC26" s="113" t="n">
        <x:f>SUM(CC16,CC19,CC22,CC25)</x:f>
      </x:c>
      <x:c r="CD26" s="113" t="n">
        <x:f>SUM(CD16,CD19,CD22,CD25)</x:f>
      </x:c>
      <x:c r="CE26" s="113" t="n">
        <x:f>SUM(CE16,CE19,CE22,CE25)</x:f>
      </x:c>
      <x:c r="CF26" s="113" t="n">
        <x:f>SUM(CF16,CF19,CF22,CF25)</x:f>
      </x:c>
      <x:c r="CG26" s="113" t="n">
        <x:f>SUM(CG16,CG19,CG22,CG25)</x:f>
      </x:c>
      <x:c r="CH26" s="113" t="n">
        <x:f>SUM(CH16,CH19,CH22,CH25)</x:f>
      </x:c>
      <x:c r="CI26" s="113" t="n">
        <x:f>SUM(CI16,CI19,CI22,CI25)</x:f>
      </x:c>
      <x:c r="CJ26" s="113" t="n">
        <x:f>SUM(CJ16,CJ19,CJ22,CJ25)</x:f>
      </x:c>
      <x:c r="CK26" s="113" t="n">
        <x:f>SUM(CK16,CK19,CK22,CK25)</x:f>
      </x:c>
      <x:c r="CL26" s="113" t="n">
        <x:f>SUM(CL16,CL19,CL22,CL25)</x:f>
      </x:c>
      <x:c r="CM26" s="113" t="n">
        <x:f>SUM(CM16,CM19,CM22,CM25)</x:f>
      </x:c>
      <x:c r="CN26" s="113" t="n">
        <x:f>SUM(CN16,CN19,CN22,CN25)</x:f>
      </x:c>
      <x:c r="CO26" s="113" t="n">
        <x:f>SUM(CO16,CO19,CO22,CO25)</x:f>
      </x:c>
      <x:c r="CP26" s="113" t="n">
        <x:f>SUM(CP16,CP19,CP22,CP25)</x:f>
      </x:c>
      <x:c r="CQ26" s="113" t="n">
        <x:f>SUM(CQ16,CQ19,CQ22,CQ25)</x:f>
      </x:c>
      <x:c r="CR26" s="113" t="n">
        <x:f>SUM(CR16,CR19,CR22,CR25)</x:f>
      </x:c>
      <x:c r="CS26" s="113" t="n">
        <x:f>SUM(CS16,CS19,CS22,CS25)</x:f>
      </x:c>
      <x:c r="CT26" s="113" t="n">
        <x:f>SUM(CT16,CT19,CT22,CT25)</x:f>
      </x:c>
      <x:c r="CU26" s="113" t="n">
        <x:f>SUM(CU16,CU19,CU22,CU25)</x:f>
      </x:c>
      <x:c r="CV26" s="113" t="n">
        <x:f>SUM(CV16,CV19,CV22,CV25)</x:f>
      </x:c>
      <x:c r="CW26" s="113" t="n">
        <x:f>SUM(CW16,CW19,CW22,CW25)</x:f>
      </x:c>
      <x:c r="CX26" s="113" t="n">
        <x:f>SUM(CX16,CX19,CX22,CX25)</x:f>
      </x:c>
      <x:c r="CY26" s="113" t="n">
        <x:f>SUM(CY16,CY19,CY22,CY25)</x:f>
      </x:c>
      <x:c r="CZ26" s="113" t="n">
        <x:f>SUM(CZ16,CZ19,CZ22,CZ25)</x:f>
      </x:c>
      <x:c r="DA26" s="113" t="n">
        <x:f>SUM(DA16,DA19,DA22,DA25)</x:f>
      </x:c>
      <x:c r="DB26" s="113" t="n">
        <x:f>SUM(DB16,DB19,DB22,DB25)</x:f>
      </x:c>
      <x:c r="DC26" s="113" t="n">
        <x:f>SUM(DC16,DC19,DC22,DC25)</x:f>
      </x:c>
      <x:c r="DD26" s="113" t="n">
        <x:f>SUM(DD16,DD19,DD22,DD25)</x:f>
      </x:c>
      <x:c r="DE26" s="113" t="n">
        <x:f>SUM(DE16,DE19,DE22,DE25)</x:f>
      </x:c>
      <x:c r="DF26" s="113" t="n">
        <x:f>SUM(DF16,DF19,DF22,DF25)</x:f>
      </x:c>
      <x:c r="DG26" s="113" t="n">
        <x:f>SUM(DG16,DG19,DG22,DG25)</x:f>
      </x:c>
      <x:c r="DH26" s="113" t="n">
        <x:f>SUM(DH16,DH19,DH22,DH25)</x:f>
      </x:c>
      <x:c r="DI26" s="113" t="n">
        <x:f>SUM(DI16,DI19,DI22,DI25)</x:f>
      </x:c>
      <x:c r="DJ26" s="113" t="n">
        <x:f>SUM(DJ16,DJ19,DJ22,DJ25)</x:f>
      </x:c>
      <x:c r="DK26" s="113" t="n">
        <x:f>SUM(DK16,DK19,DK22,DK25)</x:f>
      </x:c>
      <x:c r="DL26" s="113" t="n">
        <x:f>SUM(DL16,DL19,DL22,DL25)</x:f>
      </x:c>
      <x:c r="DM26" s="113" t="n">
        <x:f>SUM(DM16,DM19,DM22,DM25)</x:f>
      </x:c>
      <x:c r="DN26" s="113" t="n">
        <x:f>SUM(DN16,DN19,DN22,DN25)</x:f>
      </x:c>
      <x:c r="DO26" s="113" t="n">
        <x:f>SUM(DO16,DO19,DO22,DO25)</x:f>
      </x:c>
      <x:c r="DP26" s="113" t="n">
        <x:f>SUM(DP16,DP19,DP22,DP25)</x:f>
      </x:c>
      <x:c r="DQ26" s="113" t="n">
        <x:f>SUM(DQ16,DQ19,DQ22,DQ25)</x:f>
      </x:c>
      <x:c r="DR26" s="113" t="n">
        <x:f>SUM(DR16,DR19,DR22,DR25)</x:f>
      </x:c>
      <x:c r="DS26" s="113" t="n">
        <x:f>SUM(DS16,DS19,DS22,DS25)</x:f>
      </x:c>
    </x:row>
    <x:row r="29" ht="21" customHeight="1">
      <x:c r="A29" s="52" t="str">
        <x:v>ОЧЕРЕДЬ 2</x:v>
      </x:c>
      <x:c r="B29" s="53" t="str">
        <x:v>ОЧЕРЕДЬ 2</x:v>
      </x:c>
      <x:c r="C29" s="53" t="str">
        <x:v>ОЧЕРЕДЬ 2</x:v>
      </x:c>
      <x:c r="D29" s="53" t="str">
        <x:v>ОЧЕРЕДЬ 2</x:v>
      </x:c>
      <x:c r="E29" s="53" t="str">
        <x:v>ОЧЕРЕДЬ 2</x:v>
      </x:c>
      <x:c r="F29" s="53" t="str">
        <x:v>ОЧЕРЕДЬ 2</x:v>
      </x:c>
      <x:c r="G29" s="53" t="str">
        <x:v>ОЧЕРЕДЬ 2</x:v>
      </x:c>
      <x:c r="H29" s="53" t="str">
        <x:v>ОЧЕРЕДЬ 2</x:v>
      </x:c>
      <x:c r="I29" s="53" t="str">
        <x:v>ОЧЕРЕДЬ 2</x:v>
      </x:c>
      <x:c r="J29" s="53" t="str">
        <x:v>ОЧЕРЕДЬ 2</x:v>
      </x:c>
      <x:c r="K29" s="53" t="str">
        <x:v>ОЧЕРЕДЬ 2</x:v>
      </x:c>
      <x:c r="L29" s="53" t="str">
        <x:v>ОЧЕРЕДЬ 2</x:v>
      </x:c>
      <x:c r="M29" s="53" t="str">
        <x:v>ОЧЕРЕДЬ 2</x:v>
      </x:c>
      <x:c r="N29" s="53" t="str">
        <x:v>ОЧЕРЕДЬ 2</x:v>
      </x:c>
      <x:c r="O29" s="53" t="str">
        <x:v>ОЧЕРЕДЬ 2</x:v>
      </x:c>
      <x:c r="P29" s="53" t="str">
        <x:v>ОЧЕРЕДЬ 2</x:v>
      </x:c>
      <x:c r="Q29" s="53" t="str">
        <x:v>ОЧЕРЕДЬ 2</x:v>
      </x:c>
      <x:c r="R29" s="53" t="str">
        <x:v>ОЧЕРЕДЬ 2</x:v>
      </x:c>
      <x:c r="S29" s="53" t="str">
        <x:v>ОЧЕРЕДЬ 2</x:v>
      </x:c>
      <x:c r="T29" s="53" t="str">
        <x:v>ОЧЕРЕДЬ 2</x:v>
      </x:c>
      <x:c r="U29" s="53" t="str">
        <x:v>ОЧЕРЕДЬ 2</x:v>
      </x:c>
      <x:c r="V29" s="53" t="str">
        <x:v>ОЧЕРЕДЬ 2</x:v>
      </x:c>
      <x:c r="W29" s="53" t="str">
        <x:v>ОЧЕРЕДЬ 2</x:v>
      </x:c>
      <x:c r="X29" s="53" t="str">
        <x:v>ОЧЕРЕДЬ 2</x:v>
      </x:c>
      <x:c r="Y29" s="53" t="str">
        <x:v>ОЧЕРЕДЬ 2</x:v>
      </x:c>
      <x:c r="Z29" s="53" t="str">
        <x:v>ОЧЕРЕДЬ 2</x:v>
      </x:c>
      <x:c r="AA29" s="53" t="str">
        <x:v>ОЧЕРЕДЬ 2</x:v>
      </x:c>
      <x:c r="AB29" s="53" t="str">
        <x:v>ОЧЕРЕДЬ 2</x:v>
      </x:c>
      <x:c r="AC29" s="53" t="str">
        <x:v>ОЧЕРЕДЬ 2</x:v>
      </x:c>
      <x:c r="AD29" s="53" t="str">
        <x:v>ОЧЕРЕДЬ 2</x:v>
      </x:c>
      <x:c r="AE29" s="53" t="str">
        <x:v>ОЧЕРЕДЬ 2</x:v>
      </x:c>
      <x:c r="AF29" s="53" t="str">
        <x:v>ОЧЕРЕДЬ 2</x:v>
      </x:c>
      <x:c r="AG29" s="53" t="str">
        <x:v>ОЧЕРЕДЬ 2</x:v>
      </x:c>
      <x:c r="AH29" s="53" t="str">
        <x:v>ОЧЕРЕДЬ 2</x:v>
      </x:c>
      <x:c r="AI29" s="53" t="str">
        <x:v>ОЧЕРЕДЬ 2</x:v>
      </x:c>
      <x:c r="AJ29" s="53" t="str">
        <x:v>ОЧЕРЕДЬ 2</x:v>
      </x:c>
      <x:c r="AK29" s="53" t="str">
        <x:v>ОЧЕРЕДЬ 2</x:v>
      </x:c>
      <x:c r="AL29" s="53" t="str">
        <x:v>ОЧЕРЕДЬ 2</x:v>
      </x:c>
      <x:c r="AM29" s="53" t="str">
        <x:v>ОЧЕРЕДЬ 2</x:v>
      </x:c>
      <x:c r="AN29" s="53" t="str">
        <x:v>ОЧЕРЕДЬ 2</x:v>
      </x:c>
      <x:c r="AO29" s="53" t="str">
        <x:v>ОЧЕРЕДЬ 2</x:v>
      </x:c>
      <x:c r="AP29" s="53" t="str">
        <x:v>ОЧЕРЕДЬ 2</x:v>
      </x:c>
      <x:c r="AQ29" s="53" t="str">
        <x:v>ОЧЕРЕДЬ 2</x:v>
      </x:c>
      <x:c r="AR29" s="53" t="str">
        <x:v>ОЧЕРЕДЬ 2</x:v>
      </x:c>
      <x:c r="AS29" s="53" t="str">
        <x:v>ОЧЕРЕДЬ 2</x:v>
      </x:c>
      <x:c r="AT29" s="53" t="str">
        <x:v>ОЧЕРЕДЬ 2</x:v>
      </x:c>
      <x:c r="AU29" s="53" t="str">
        <x:v>ОЧЕРЕДЬ 2</x:v>
      </x:c>
      <x:c r="AV29" s="53" t="str">
        <x:v>ОЧЕРЕДЬ 2</x:v>
      </x:c>
      <x:c r="AW29" s="53" t="str">
        <x:v>ОЧЕРЕДЬ 2</x:v>
      </x:c>
      <x:c r="AX29" s="53" t="str">
        <x:v>ОЧЕРЕДЬ 2</x:v>
      </x:c>
      <x:c r="AY29" s="53" t="str">
        <x:v>ОЧЕРЕДЬ 2</x:v>
      </x:c>
      <x:c r="AZ29" s="53" t="str">
        <x:v>ОЧЕРЕДЬ 2</x:v>
      </x:c>
      <x:c r="BA29" s="53" t="str">
        <x:v>ОЧЕРЕДЬ 2</x:v>
      </x:c>
      <x:c r="BB29" s="53" t="str">
        <x:v>ОЧЕРЕДЬ 2</x:v>
      </x:c>
      <x:c r="BC29" s="53" t="str">
        <x:v>ОЧЕРЕДЬ 2</x:v>
      </x:c>
      <x:c r="BD29" s="53" t="str">
        <x:v>ОЧЕРЕДЬ 2</x:v>
      </x:c>
      <x:c r="BE29" s="53" t="str">
        <x:v>ОЧЕРЕДЬ 2</x:v>
      </x:c>
      <x:c r="BF29" s="53" t="str">
        <x:v>ОЧЕРЕДЬ 2</x:v>
      </x:c>
      <x:c r="BG29" s="53" t="str">
        <x:v>ОЧЕРЕДЬ 2</x:v>
      </x:c>
      <x:c r="BH29" s="53" t="str">
        <x:v>ОЧЕРЕДЬ 2</x:v>
      </x:c>
      <x:c r="BI29" s="53" t="str">
        <x:v>ОЧЕРЕДЬ 2</x:v>
      </x:c>
      <x:c r="BJ29" s="53" t="str">
        <x:v>ОЧЕРЕДЬ 2</x:v>
      </x:c>
      <x:c r="BK29" s="53" t="str">
        <x:v>ОЧЕРЕДЬ 2</x:v>
      </x:c>
      <x:c r="BL29" s="53" t="str">
        <x:v>ОЧЕРЕДЬ 2</x:v>
      </x:c>
      <x:c r="BM29" s="53" t="str">
        <x:v>ОЧЕРЕДЬ 2</x:v>
      </x:c>
      <x:c r="BN29" s="53" t="str">
        <x:v>ОЧЕРЕДЬ 2</x:v>
      </x:c>
      <x:c r="BO29" s="53" t="str">
        <x:v>ОЧЕРЕДЬ 2</x:v>
      </x:c>
      <x:c r="BP29" s="53" t="str">
        <x:v>ОЧЕРЕДЬ 2</x:v>
      </x:c>
      <x:c r="BQ29" s="53" t="str">
        <x:v>ОЧЕРЕДЬ 2</x:v>
      </x:c>
      <x:c r="BR29" s="53" t="str">
        <x:v>ОЧЕРЕДЬ 2</x:v>
      </x:c>
      <x:c r="BS29" s="53" t="str">
        <x:v>ОЧЕРЕДЬ 2</x:v>
      </x:c>
      <x:c r="BT29" s="53" t="str">
        <x:v>ОЧЕРЕДЬ 2</x:v>
      </x:c>
      <x:c r="BU29" s="53" t="str">
        <x:v>ОЧЕРЕДЬ 2</x:v>
      </x:c>
      <x:c r="BV29" s="53" t="str">
        <x:v>ОЧЕРЕДЬ 2</x:v>
      </x:c>
      <x:c r="BW29" s="53" t="str">
        <x:v>ОЧЕРЕДЬ 2</x:v>
      </x:c>
      <x:c r="BX29" s="53" t="str">
        <x:v>ОЧЕРЕДЬ 2</x:v>
      </x:c>
      <x:c r="BY29" s="53" t="str">
        <x:v>ОЧЕРЕДЬ 2</x:v>
      </x:c>
      <x:c r="BZ29" s="53" t="str">
        <x:v>ОЧЕРЕДЬ 2</x:v>
      </x:c>
      <x:c r="CA29" s="53" t="str">
        <x:v>ОЧЕРЕДЬ 2</x:v>
      </x:c>
      <x:c r="CB29" s="53" t="str">
        <x:v>ОЧЕРЕДЬ 2</x:v>
      </x:c>
      <x:c r="CC29" s="53" t="str">
        <x:v>ОЧЕРЕДЬ 2</x:v>
      </x:c>
      <x:c r="CD29" s="53" t="str">
        <x:v>ОЧЕРЕДЬ 2</x:v>
      </x:c>
      <x:c r="CE29" s="53" t="str">
        <x:v>ОЧЕРЕДЬ 2</x:v>
      </x:c>
      <x:c r="CF29" s="53" t="str">
        <x:v>ОЧЕРЕДЬ 2</x:v>
      </x:c>
      <x:c r="CG29" s="53" t="str">
        <x:v>ОЧЕРЕДЬ 2</x:v>
      </x:c>
      <x:c r="CH29" s="53" t="str">
        <x:v>ОЧЕРЕДЬ 2</x:v>
      </x:c>
      <x:c r="CI29" s="53" t="str">
        <x:v>ОЧЕРЕДЬ 2</x:v>
      </x:c>
      <x:c r="CJ29" s="53" t="str">
        <x:v>ОЧЕРЕДЬ 2</x:v>
      </x:c>
      <x:c r="CK29" s="53" t="str">
        <x:v>ОЧЕРЕДЬ 2</x:v>
      </x:c>
      <x:c r="CL29" s="53" t="str">
        <x:v>ОЧЕРЕДЬ 2</x:v>
      </x:c>
      <x:c r="CM29" s="53" t="str">
        <x:v>ОЧЕРЕДЬ 2</x:v>
      </x:c>
      <x:c r="CN29" s="53" t="str">
        <x:v>ОЧЕРЕДЬ 2</x:v>
      </x:c>
      <x:c r="CO29" s="53" t="str">
        <x:v>ОЧЕРЕДЬ 2</x:v>
      </x:c>
      <x:c r="CP29" s="53" t="str">
        <x:v>ОЧЕРЕДЬ 2</x:v>
      </x:c>
      <x:c r="CQ29" s="53" t="str">
        <x:v>ОЧЕРЕДЬ 2</x:v>
      </x:c>
      <x:c r="CR29" s="53" t="str">
        <x:v>ОЧЕРЕДЬ 2</x:v>
      </x:c>
      <x:c r="CS29" s="53" t="str">
        <x:v>ОЧЕРЕДЬ 2</x:v>
      </x:c>
      <x:c r="CT29" s="53" t="str">
        <x:v>ОЧЕРЕДЬ 2</x:v>
      </x:c>
      <x:c r="CU29" s="53" t="str">
        <x:v>ОЧЕРЕДЬ 2</x:v>
      </x:c>
      <x:c r="CV29" s="53" t="str">
        <x:v>ОЧЕРЕДЬ 2</x:v>
      </x:c>
      <x:c r="CW29" s="53" t="str">
        <x:v>ОЧЕРЕДЬ 2</x:v>
      </x:c>
      <x:c r="CX29" s="53" t="str">
        <x:v>ОЧЕРЕДЬ 2</x:v>
      </x:c>
      <x:c r="CY29" s="53" t="str">
        <x:v>ОЧЕРЕДЬ 2</x:v>
      </x:c>
      <x:c r="CZ29" s="53" t="str">
        <x:v>ОЧЕРЕДЬ 2</x:v>
      </x:c>
      <x:c r="DA29" s="53" t="str">
        <x:v>ОЧЕРЕДЬ 2</x:v>
      </x:c>
      <x:c r="DB29" s="53" t="str">
        <x:v>ОЧЕРЕДЬ 2</x:v>
      </x:c>
      <x:c r="DC29" s="53" t="str">
        <x:v>ОЧЕРЕДЬ 2</x:v>
      </x:c>
      <x:c r="DD29" s="53" t="str">
        <x:v>ОЧЕРЕДЬ 2</x:v>
      </x:c>
      <x:c r="DE29" s="53" t="str">
        <x:v>ОЧЕРЕДЬ 2</x:v>
      </x:c>
      <x:c r="DF29" s="53" t="str">
        <x:v>ОЧЕРЕДЬ 2</x:v>
      </x:c>
      <x:c r="DG29" s="53" t="str">
        <x:v>ОЧЕРЕДЬ 2</x:v>
      </x:c>
      <x:c r="DH29" s="53" t="str">
        <x:v>ОЧЕРЕДЬ 2</x:v>
      </x:c>
      <x:c r="DI29" s="53" t="str">
        <x:v>ОЧЕРЕДЬ 2</x:v>
      </x:c>
      <x:c r="DJ29" s="53" t="str">
        <x:v>ОЧЕРЕДЬ 2</x:v>
      </x:c>
      <x:c r="DK29" s="53" t="str">
        <x:v>ОЧЕРЕДЬ 2</x:v>
      </x:c>
      <x:c r="DL29" s="53" t="str">
        <x:v>ОЧЕРЕДЬ 2</x:v>
      </x:c>
      <x:c r="DM29" s="53" t="str">
        <x:v>ОЧЕРЕДЬ 2</x:v>
      </x:c>
      <x:c r="DN29" s="53" t="str">
        <x:v>ОЧЕРЕДЬ 2</x:v>
      </x:c>
      <x:c r="DO29" s="53" t="str">
        <x:v>ОЧЕРЕДЬ 2</x:v>
      </x:c>
      <x:c r="DP29" s="53" t="str">
        <x:v>ОЧЕРЕДЬ 2</x:v>
      </x:c>
      <x:c r="DQ29" s="53" t="str">
        <x:v>ОЧЕРЕДЬ 2</x:v>
      </x:c>
      <x:c r="DR29" s="53" t="str">
        <x:v>ОЧЕРЕДЬ 2</x:v>
      </x:c>
      <x:c r="DS29" s="54" t="str">
        <x:v>ОЧЕРЕДЬ 2</x:v>
      </x:c>
    </x:row>
    <x:row r="30">
      <x:c r="A30" t="str">
        <x:v>Старт продаж</x:v>
      </x:c>
      <x:c r="B30" s="106" t="n">
        <x:f>EDATE('Вводные'!$D$89,'Вводные'!$E$89+'Вводные'!$G$89+'Вводные'!$H$9)</x:f>
      </x:c>
      <x:c r="C30" t="str">
        <x:v>дата</x:v>
      </x:c>
    </x:row>
    <x:row r="31">
      <x:c r="A31" t="str">
        <x:v>РВЭ</x:v>
      </x:c>
      <x:c r="B31" s="106" t="n">
        <x:f>EDATE('Вводные'!$D$89,'Вводные'!$E$89+'Вводные'!$F$89+'Вводные'!$H$9)</x:f>
      </x:c>
      <x:c r="C31" t="str">
        <x:v>дата</x:v>
      </x:c>
    </x:row>
    <x:row r="32">
      <x:c r="A32" t="str">
        <x:v>Флаг продаж до РВЭ</x:v>
      </x:c>
      <x:c r="B32"/>
      <x:c r="C32" t="str">
        <x:v>0/1</x:v>
      </x:c>
      <x:c r="D32" t="n">
        <x:f>--AND(D$3&gt;=$B$30,D$3&lt;$B$31,D$3&lt;EDATE($B$30,MAX(1,'Вводные'!$H$89)),'Вводные'!$B$89="Да")</x:f>
      </x:c>
      <x:c r="E32" t="n">
        <x:f>--AND(E$3&gt;=$B$30,E$3&lt;$B$31,E$3&lt;EDATE($B$30,MAX(1,'Вводные'!$H$89)),'Вводные'!$B$89="Да")</x:f>
      </x:c>
      <x:c r="F32" t="n">
        <x:f>--AND(F$3&gt;=$B$30,F$3&lt;$B$31,F$3&lt;EDATE($B$30,MAX(1,'Вводные'!$H$89)),'Вводные'!$B$89="Да")</x:f>
      </x:c>
      <x:c r="G32" t="n">
        <x:f>--AND(G$3&gt;=$B$30,G$3&lt;$B$31,G$3&lt;EDATE($B$30,MAX(1,'Вводные'!$H$89)),'Вводные'!$B$89="Да")</x:f>
      </x:c>
      <x:c r="H32" t="n">
        <x:f>--AND(H$3&gt;=$B$30,H$3&lt;$B$31,H$3&lt;EDATE($B$30,MAX(1,'Вводные'!$H$89)),'Вводные'!$B$89="Да")</x:f>
      </x:c>
      <x:c r="I32" t="n">
        <x:f>--AND(I$3&gt;=$B$30,I$3&lt;$B$31,I$3&lt;EDATE($B$30,MAX(1,'Вводные'!$H$89)),'Вводные'!$B$89="Да")</x:f>
      </x:c>
      <x:c r="J32" t="n">
        <x:f>--AND(J$3&gt;=$B$30,J$3&lt;$B$31,J$3&lt;EDATE($B$30,MAX(1,'Вводные'!$H$89)),'Вводные'!$B$89="Да")</x:f>
      </x:c>
      <x:c r="K32" t="n">
        <x:f>--AND(K$3&gt;=$B$30,K$3&lt;$B$31,K$3&lt;EDATE($B$30,MAX(1,'Вводные'!$H$89)),'Вводные'!$B$89="Да")</x:f>
      </x:c>
      <x:c r="L32" t="n">
        <x:f>--AND(L$3&gt;=$B$30,L$3&lt;$B$31,L$3&lt;EDATE($B$30,MAX(1,'Вводные'!$H$89)),'Вводные'!$B$89="Да")</x:f>
      </x:c>
      <x:c r="M32" t="n">
        <x:f>--AND(M$3&gt;=$B$30,M$3&lt;$B$31,M$3&lt;EDATE($B$30,MAX(1,'Вводные'!$H$89)),'Вводные'!$B$89="Да")</x:f>
      </x:c>
      <x:c r="N32" t="n">
        <x:f>--AND(N$3&gt;=$B$30,N$3&lt;$B$31,N$3&lt;EDATE($B$30,MAX(1,'Вводные'!$H$89)),'Вводные'!$B$89="Да")</x:f>
      </x:c>
      <x:c r="O32" t="n">
        <x:f>--AND(O$3&gt;=$B$30,O$3&lt;$B$31,O$3&lt;EDATE($B$30,MAX(1,'Вводные'!$H$89)),'Вводные'!$B$89="Да")</x:f>
      </x:c>
      <x:c r="P32" t="n">
        <x:f>--AND(P$3&gt;=$B$30,P$3&lt;$B$31,P$3&lt;EDATE($B$30,MAX(1,'Вводные'!$H$89)),'Вводные'!$B$89="Да")</x:f>
      </x:c>
      <x:c r="Q32" t="n">
        <x:f>--AND(Q$3&gt;=$B$30,Q$3&lt;$B$31,Q$3&lt;EDATE($B$30,MAX(1,'Вводные'!$H$89)),'Вводные'!$B$89="Да")</x:f>
      </x:c>
      <x:c r="R32" t="n">
        <x:f>--AND(R$3&gt;=$B$30,R$3&lt;$B$31,R$3&lt;EDATE($B$30,MAX(1,'Вводные'!$H$89)),'Вводные'!$B$89="Да")</x:f>
      </x:c>
      <x:c r="S32" t="n">
        <x:f>--AND(S$3&gt;=$B$30,S$3&lt;$B$31,S$3&lt;EDATE($B$30,MAX(1,'Вводные'!$H$89)),'Вводные'!$B$89="Да")</x:f>
      </x:c>
      <x:c r="T32" t="n">
        <x:f>--AND(T$3&gt;=$B$30,T$3&lt;$B$31,T$3&lt;EDATE($B$30,MAX(1,'Вводные'!$H$89)),'Вводные'!$B$89="Да")</x:f>
      </x:c>
      <x:c r="U32" t="n">
        <x:f>--AND(U$3&gt;=$B$30,U$3&lt;$B$31,U$3&lt;EDATE($B$30,MAX(1,'Вводные'!$H$89)),'Вводные'!$B$89="Да")</x:f>
      </x:c>
      <x:c r="V32" t="n">
        <x:f>--AND(V$3&gt;=$B$30,V$3&lt;$B$31,V$3&lt;EDATE($B$30,MAX(1,'Вводные'!$H$89)),'Вводные'!$B$89="Да")</x:f>
      </x:c>
      <x:c r="W32" t="n">
        <x:f>--AND(W$3&gt;=$B$30,W$3&lt;$B$31,W$3&lt;EDATE($B$30,MAX(1,'Вводные'!$H$89)),'Вводные'!$B$89="Да")</x:f>
      </x:c>
      <x:c r="X32" t="n">
        <x:f>--AND(X$3&gt;=$B$30,X$3&lt;$B$31,X$3&lt;EDATE($B$30,MAX(1,'Вводные'!$H$89)),'Вводные'!$B$89="Да")</x:f>
      </x:c>
      <x:c r="Y32" t="n">
        <x:f>--AND(Y$3&gt;=$B$30,Y$3&lt;$B$31,Y$3&lt;EDATE($B$30,MAX(1,'Вводные'!$H$89)),'Вводные'!$B$89="Да")</x:f>
      </x:c>
      <x:c r="Z32" t="n">
        <x:f>--AND(Z$3&gt;=$B$30,Z$3&lt;$B$31,Z$3&lt;EDATE($B$30,MAX(1,'Вводные'!$H$89)),'Вводные'!$B$89="Да")</x:f>
      </x:c>
      <x:c r="AA32" t="n">
        <x:f>--AND(AA$3&gt;=$B$30,AA$3&lt;$B$31,AA$3&lt;EDATE($B$30,MAX(1,'Вводные'!$H$89)),'Вводные'!$B$89="Да")</x:f>
      </x:c>
      <x:c r="AB32" t="n">
        <x:f>--AND(AB$3&gt;=$B$30,AB$3&lt;$B$31,AB$3&lt;EDATE($B$30,MAX(1,'Вводные'!$H$89)),'Вводные'!$B$89="Да")</x:f>
      </x:c>
      <x:c r="AC32" t="n">
        <x:f>--AND(AC$3&gt;=$B$30,AC$3&lt;$B$31,AC$3&lt;EDATE($B$30,MAX(1,'Вводные'!$H$89)),'Вводные'!$B$89="Да")</x:f>
      </x:c>
      <x:c r="AD32" t="n">
        <x:f>--AND(AD$3&gt;=$B$30,AD$3&lt;$B$31,AD$3&lt;EDATE($B$30,MAX(1,'Вводные'!$H$89)),'Вводные'!$B$89="Да")</x:f>
      </x:c>
      <x:c r="AE32" t="n">
        <x:f>--AND(AE$3&gt;=$B$30,AE$3&lt;$B$31,AE$3&lt;EDATE($B$30,MAX(1,'Вводные'!$H$89)),'Вводные'!$B$89="Да")</x:f>
      </x:c>
      <x:c r="AF32" t="n">
        <x:f>--AND(AF$3&gt;=$B$30,AF$3&lt;$B$31,AF$3&lt;EDATE($B$30,MAX(1,'Вводные'!$H$89)),'Вводные'!$B$89="Да")</x:f>
      </x:c>
      <x:c r="AG32" t="n">
        <x:f>--AND(AG$3&gt;=$B$30,AG$3&lt;$B$31,AG$3&lt;EDATE($B$30,MAX(1,'Вводные'!$H$89)),'Вводные'!$B$89="Да")</x:f>
      </x:c>
      <x:c r="AH32" t="n">
        <x:f>--AND(AH$3&gt;=$B$30,AH$3&lt;$B$31,AH$3&lt;EDATE($B$30,MAX(1,'Вводные'!$H$89)),'Вводные'!$B$89="Да")</x:f>
      </x:c>
      <x:c r="AI32" t="n">
        <x:f>--AND(AI$3&gt;=$B$30,AI$3&lt;$B$31,AI$3&lt;EDATE($B$30,MAX(1,'Вводные'!$H$89)),'Вводные'!$B$89="Да")</x:f>
      </x:c>
      <x:c r="AJ32" t="n">
        <x:f>--AND(AJ$3&gt;=$B$30,AJ$3&lt;$B$31,AJ$3&lt;EDATE($B$30,MAX(1,'Вводные'!$H$89)),'Вводные'!$B$89="Да")</x:f>
      </x:c>
      <x:c r="AK32" t="n">
        <x:f>--AND(AK$3&gt;=$B$30,AK$3&lt;$B$31,AK$3&lt;EDATE($B$30,MAX(1,'Вводные'!$H$89)),'Вводные'!$B$89="Да")</x:f>
      </x:c>
      <x:c r="AL32" t="n">
        <x:f>--AND(AL$3&gt;=$B$30,AL$3&lt;$B$31,AL$3&lt;EDATE($B$30,MAX(1,'Вводные'!$H$89)),'Вводные'!$B$89="Да")</x:f>
      </x:c>
      <x:c r="AM32" t="n">
        <x:f>--AND(AM$3&gt;=$B$30,AM$3&lt;$B$31,AM$3&lt;EDATE($B$30,MAX(1,'Вводные'!$H$89)),'Вводные'!$B$89="Да")</x:f>
      </x:c>
      <x:c r="AN32" t="n">
        <x:f>--AND(AN$3&gt;=$B$30,AN$3&lt;$B$31,AN$3&lt;EDATE($B$30,MAX(1,'Вводные'!$H$89)),'Вводные'!$B$89="Да")</x:f>
      </x:c>
      <x:c r="AO32" t="n">
        <x:f>--AND(AO$3&gt;=$B$30,AO$3&lt;$B$31,AO$3&lt;EDATE($B$30,MAX(1,'Вводные'!$H$89)),'Вводные'!$B$89="Да")</x:f>
      </x:c>
      <x:c r="AP32" t="n">
        <x:f>--AND(AP$3&gt;=$B$30,AP$3&lt;$B$31,AP$3&lt;EDATE($B$30,MAX(1,'Вводные'!$H$89)),'Вводные'!$B$89="Да")</x:f>
      </x:c>
      <x:c r="AQ32" t="n">
        <x:f>--AND(AQ$3&gt;=$B$30,AQ$3&lt;$B$31,AQ$3&lt;EDATE($B$30,MAX(1,'Вводные'!$H$89)),'Вводные'!$B$89="Да")</x:f>
      </x:c>
      <x:c r="AR32" t="n">
        <x:f>--AND(AR$3&gt;=$B$30,AR$3&lt;$B$31,AR$3&lt;EDATE($B$30,MAX(1,'Вводные'!$H$89)),'Вводные'!$B$89="Да")</x:f>
      </x:c>
      <x:c r="AS32" t="n">
        <x:f>--AND(AS$3&gt;=$B$30,AS$3&lt;$B$31,AS$3&lt;EDATE($B$30,MAX(1,'Вводные'!$H$89)),'Вводные'!$B$89="Да")</x:f>
      </x:c>
      <x:c r="AT32" t="n">
        <x:f>--AND(AT$3&gt;=$B$30,AT$3&lt;$B$31,AT$3&lt;EDATE($B$30,MAX(1,'Вводные'!$H$89)),'Вводные'!$B$89="Да")</x:f>
      </x:c>
      <x:c r="AU32" t="n">
        <x:f>--AND(AU$3&gt;=$B$30,AU$3&lt;$B$31,AU$3&lt;EDATE($B$30,MAX(1,'Вводные'!$H$89)),'Вводные'!$B$89="Да")</x:f>
      </x:c>
      <x:c r="AV32" t="n">
        <x:f>--AND(AV$3&gt;=$B$30,AV$3&lt;$B$31,AV$3&lt;EDATE($B$30,MAX(1,'Вводные'!$H$89)),'Вводные'!$B$89="Да")</x:f>
      </x:c>
      <x:c r="AW32" t="n">
        <x:f>--AND(AW$3&gt;=$B$30,AW$3&lt;$B$31,AW$3&lt;EDATE($B$30,MAX(1,'Вводные'!$H$89)),'Вводные'!$B$89="Да")</x:f>
      </x:c>
      <x:c r="AX32" t="n">
        <x:f>--AND(AX$3&gt;=$B$30,AX$3&lt;$B$31,AX$3&lt;EDATE($B$30,MAX(1,'Вводные'!$H$89)),'Вводные'!$B$89="Да")</x:f>
      </x:c>
      <x:c r="AY32" t="n">
        <x:f>--AND(AY$3&gt;=$B$30,AY$3&lt;$B$31,AY$3&lt;EDATE($B$30,MAX(1,'Вводные'!$H$89)),'Вводные'!$B$89="Да")</x:f>
      </x:c>
      <x:c r="AZ32" t="n">
        <x:f>--AND(AZ$3&gt;=$B$30,AZ$3&lt;$B$31,AZ$3&lt;EDATE($B$30,MAX(1,'Вводные'!$H$89)),'Вводные'!$B$89="Да")</x:f>
      </x:c>
      <x:c r="BA32" t="n">
        <x:f>--AND(BA$3&gt;=$B$30,BA$3&lt;$B$31,BA$3&lt;EDATE($B$30,MAX(1,'Вводные'!$H$89)),'Вводные'!$B$89="Да")</x:f>
      </x:c>
      <x:c r="BB32" t="n">
        <x:f>--AND(BB$3&gt;=$B$30,BB$3&lt;$B$31,BB$3&lt;EDATE($B$30,MAX(1,'Вводные'!$H$89)),'Вводные'!$B$89="Да")</x:f>
      </x:c>
      <x:c r="BC32" t="n">
        <x:f>--AND(BC$3&gt;=$B$30,BC$3&lt;$B$31,BC$3&lt;EDATE($B$30,MAX(1,'Вводные'!$H$89)),'Вводные'!$B$89="Да")</x:f>
      </x:c>
      <x:c r="BD32" t="n">
        <x:f>--AND(BD$3&gt;=$B$30,BD$3&lt;$B$31,BD$3&lt;EDATE($B$30,MAX(1,'Вводные'!$H$89)),'Вводные'!$B$89="Да")</x:f>
      </x:c>
      <x:c r="BE32" t="n">
        <x:f>--AND(BE$3&gt;=$B$30,BE$3&lt;$B$31,BE$3&lt;EDATE($B$30,MAX(1,'Вводные'!$H$89)),'Вводные'!$B$89="Да")</x:f>
      </x:c>
      <x:c r="BF32" t="n">
        <x:f>--AND(BF$3&gt;=$B$30,BF$3&lt;$B$31,BF$3&lt;EDATE($B$30,MAX(1,'Вводные'!$H$89)),'Вводные'!$B$89="Да")</x:f>
      </x:c>
      <x:c r="BG32" t="n">
        <x:f>--AND(BG$3&gt;=$B$30,BG$3&lt;$B$31,BG$3&lt;EDATE($B$30,MAX(1,'Вводные'!$H$89)),'Вводные'!$B$89="Да")</x:f>
      </x:c>
      <x:c r="BH32" t="n">
        <x:f>--AND(BH$3&gt;=$B$30,BH$3&lt;$B$31,BH$3&lt;EDATE($B$30,MAX(1,'Вводные'!$H$89)),'Вводные'!$B$89="Да")</x:f>
      </x:c>
      <x:c r="BI32" t="n">
        <x:f>--AND(BI$3&gt;=$B$30,BI$3&lt;$B$31,BI$3&lt;EDATE($B$30,MAX(1,'Вводные'!$H$89)),'Вводные'!$B$89="Да")</x:f>
      </x:c>
      <x:c r="BJ32" t="n">
        <x:f>--AND(BJ$3&gt;=$B$30,BJ$3&lt;$B$31,BJ$3&lt;EDATE($B$30,MAX(1,'Вводные'!$H$89)),'Вводные'!$B$89="Да")</x:f>
      </x:c>
      <x:c r="BK32" t="n">
        <x:f>--AND(BK$3&gt;=$B$30,BK$3&lt;$B$31,BK$3&lt;EDATE($B$30,MAX(1,'Вводные'!$H$89)),'Вводные'!$B$89="Да")</x:f>
      </x:c>
      <x:c r="BL32" t="n">
        <x:f>--AND(BL$3&gt;=$B$30,BL$3&lt;$B$31,BL$3&lt;EDATE($B$30,MAX(1,'Вводные'!$H$89)),'Вводные'!$B$89="Да")</x:f>
      </x:c>
      <x:c r="BM32" t="n">
        <x:f>--AND(BM$3&gt;=$B$30,BM$3&lt;$B$31,BM$3&lt;EDATE($B$30,MAX(1,'Вводные'!$H$89)),'Вводные'!$B$89="Да")</x:f>
      </x:c>
      <x:c r="BN32" t="n">
        <x:f>--AND(BN$3&gt;=$B$30,BN$3&lt;$B$31,BN$3&lt;EDATE($B$30,MAX(1,'Вводные'!$H$89)),'Вводные'!$B$89="Да")</x:f>
      </x:c>
      <x:c r="BO32" t="n">
        <x:f>--AND(BO$3&gt;=$B$30,BO$3&lt;$B$31,BO$3&lt;EDATE($B$30,MAX(1,'Вводные'!$H$89)),'Вводные'!$B$89="Да")</x:f>
      </x:c>
      <x:c r="BP32" t="n">
        <x:f>--AND(BP$3&gt;=$B$30,BP$3&lt;$B$31,BP$3&lt;EDATE($B$30,MAX(1,'Вводные'!$H$89)),'Вводные'!$B$89="Да")</x:f>
      </x:c>
      <x:c r="BQ32" t="n">
        <x:f>--AND(BQ$3&gt;=$B$30,BQ$3&lt;$B$31,BQ$3&lt;EDATE($B$30,MAX(1,'Вводные'!$H$89)),'Вводные'!$B$89="Да")</x:f>
      </x:c>
      <x:c r="BR32" t="n">
        <x:f>--AND(BR$3&gt;=$B$30,BR$3&lt;$B$31,BR$3&lt;EDATE($B$30,MAX(1,'Вводные'!$H$89)),'Вводные'!$B$89="Да")</x:f>
      </x:c>
      <x:c r="BS32" t="n">
        <x:f>--AND(BS$3&gt;=$B$30,BS$3&lt;$B$31,BS$3&lt;EDATE($B$30,MAX(1,'Вводные'!$H$89)),'Вводные'!$B$89="Да")</x:f>
      </x:c>
      <x:c r="BT32" t="n">
        <x:f>--AND(BT$3&gt;=$B$30,BT$3&lt;$B$31,BT$3&lt;EDATE($B$30,MAX(1,'Вводные'!$H$89)),'Вводные'!$B$89="Да")</x:f>
      </x:c>
      <x:c r="BU32" t="n">
        <x:f>--AND(BU$3&gt;=$B$30,BU$3&lt;$B$31,BU$3&lt;EDATE($B$30,MAX(1,'Вводные'!$H$89)),'Вводные'!$B$89="Да")</x:f>
      </x:c>
      <x:c r="BV32" t="n">
        <x:f>--AND(BV$3&gt;=$B$30,BV$3&lt;$B$31,BV$3&lt;EDATE($B$30,MAX(1,'Вводные'!$H$89)),'Вводные'!$B$89="Да")</x:f>
      </x:c>
      <x:c r="BW32" t="n">
        <x:f>--AND(BW$3&gt;=$B$30,BW$3&lt;$B$31,BW$3&lt;EDATE($B$30,MAX(1,'Вводные'!$H$89)),'Вводные'!$B$89="Да")</x:f>
      </x:c>
      <x:c r="BX32" t="n">
        <x:f>--AND(BX$3&gt;=$B$30,BX$3&lt;$B$31,BX$3&lt;EDATE($B$30,MAX(1,'Вводные'!$H$89)),'Вводные'!$B$89="Да")</x:f>
      </x:c>
      <x:c r="BY32" t="n">
        <x:f>--AND(BY$3&gt;=$B$30,BY$3&lt;$B$31,BY$3&lt;EDATE($B$30,MAX(1,'Вводные'!$H$89)),'Вводные'!$B$89="Да")</x:f>
      </x:c>
      <x:c r="BZ32" t="n">
        <x:f>--AND(BZ$3&gt;=$B$30,BZ$3&lt;$B$31,BZ$3&lt;EDATE($B$30,MAX(1,'Вводные'!$H$89)),'Вводные'!$B$89="Да")</x:f>
      </x:c>
      <x:c r="CA32" t="n">
        <x:f>--AND(CA$3&gt;=$B$30,CA$3&lt;$B$31,CA$3&lt;EDATE($B$30,MAX(1,'Вводные'!$H$89)),'Вводные'!$B$89="Да")</x:f>
      </x:c>
      <x:c r="CB32" t="n">
        <x:f>--AND(CB$3&gt;=$B$30,CB$3&lt;$B$31,CB$3&lt;EDATE($B$30,MAX(1,'Вводные'!$H$89)),'Вводные'!$B$89="Да")</x:f>
      </x:c>
      <x:c r="CC32" t="n">
        <x:f>--AND(CC$3&gt;=$B$30,CC$3&lt;$B$31,CC$3&lt;EDATE($B$30,MAX(1,'Вводные'!$H$89)),'Вводные'!$B$89="Да")</x:f>
      </x:c>
      <x:c r="CD32" t="n">
        <x:f>--AND(CD$3&gt;=$B$30,CD$3&lt;$B$31,CD$3&lt;EDATE($B$30,MAX(1,'Вводные'!$H$89)),'Вводные'!$B$89="Да")</x:f>
      </x:c>
      <x:c r="CE32" t="n">
        <x:f>--AND(CE$3&gt;=$B$30,CE$3&lt;$B$31,CE$3&lt;EDATE($B$30,MAX(1,'Вводные'!$H$89)),'Вводные'!$B$89="Да")</x:f>
      </x:c>
      <x:c r="CF32" t="n">
        <x:f>--AND(CF$3&gt;=$B$30,CF$3&lt;$B$31,CF$3&lt;EDATE($B$30,MAX(1,'Вводные'!$H$89)),'Вводные'!$B$89="Да")</x:f>
      </x:c>
      <x:c r="CG32" t="n">
        <x:f>--AND(CG$3&gt;=$B$30,CG$3&lt;$B$31,CG$3&lt;EDATE($B$30,MAX(1,'Вводные'!$H$89)),'Вводные'!$B$89="Да")</x:f>
      </x:c>
      <x:c r="CH32" t="n">
        <x:f>--AND(CH$3&gt;=$B$30,CH$3&lt;$B$31,CH$3&lt;EDATE($B$30,MAX(1,'Вводные'!$H$89)),'Вводные'!$B$89="Да")</x:f>
      </x:c>
      <x:c r="CI32" t="n">
        <x:f>--AND(CI$3&gt;=$B$30,CI$3&lt;$B$31,CI$3&lt;EDATE($B$30,MAX(1,'Вводные'!$H$89)),'Вводные'!$B$89="Да")</x:f>
      </x:c>
      <x:c r="CJ32" t="n">
        <x:f>--AND(CJ$3&gt;=$B$30,CJ$3&lt;$B$31,CJ$3&lt;EDATE($B$30,MAX(1,'Вводные'!$H$89)),'Вводные'!$B$89="Да")</x:f>
      </x:c>
      <x:c r="CK32" t="n">
        <x:f>--AND(CK$3&gt;=$B$30,CK$3&lt;$B$31,CK$3&lt;EDATE($B$30,MAX(1,'Вводные'!$H$89)),'Вводные'!$B$89="Да")</x:f>
      </x:c>
      <x:c r="CL32" t="n">
        <x:f>--AND(CL$3&gt;=$B$30,CL$3&lt;$B$31,CL$3&lt;EDATE($B$30,MAX(1,'Вводные'!$H$89)),'Вводные'!$B$89="Да")</x:f>
      </x:c>
      <x:c r="CM32" t="n">
        <x:f>--AND(CM$3&gt;=$B$30,CM$3&lt;$B$31,CM$3&lt;EDATE($B$30,MAX(1,'Вводные'!$H$89)),'Вводные'!$B$89="Да")</x:f>
      </x:c>
      <x:c r="CN32" t="n">
        <x:f>--AND(CN$3&gt;=$B$30,CN$3&lt;$B$31,CN$3&lt;EDATE($B$30,MAX(1,'Вводные'!$H$89)),'Вводные'!$B$89="Да")</x:f>
      </x:c>
      <x:c r="CO32" t="n">
        <x:f>--AND(CO$3&gt;=$B$30,CO$3&lt;$B$31,CO$3&lt;EDATE($B$30,MAX(1,'Вводные'!$H$89)),'Вводные'!$B$89="Да")</x:f>
      </x:c>
      <x:c r="CP32" t="n">
        <x:f>--AND(CP$3&gt;=$B$30,CP$3&lt;$B$31,CP$3&lt;EDATE($B$30,MAX(1,'Вводные'!$H$89)),'Вводные'!$B$89="Да")</x:f>
      </x:c>
      <x:c r="CQ32" t="n">
        <x:f>--AND(CQ$3&gt;=$B$30,CQ$3&lt;$B$31,CQ$3&lt;EDATE($B$30,MAX(1,'Вводные'!$H$89)),'Вводные'!$B$89="Да")</x:f>
      </x:c>
      <x:c r="CR32" t="n">
        <x:f>--AND(CR$3&gt;=$B$30,CR$3&lt;$B$31,CR$3&lt;EDATE($B$30,MAX(1,'Вводные'!$H$89)),'Вводные'!$B$89="Да")</x:f>
      </x:c>
      <x:c r="CS32" t="n">
        <x:f>--AND(CS$3&gt;=$B$30,CS$3&lt;$B$31,CS$3&lt;EDATE($B$30,MAX(1,'Вводные'!$H$89)),'Вводные'!$B$89="Да")</x:f>
      </x:c>
      <x:c r="CT32" t="n">
        <x:f>--AND(CT$3&gt;=$B$30,CT$3&lt;$B$31,CT$3&lt;EDATE($B$30,MAX(1,'Вводные'!$H$89)),'Вводные'!$B$89="Да")</x:f>
      </x:c>
      <x:c r="CU32" t="n">
        <x:f>--AND(CU$3&gt;=$B$30,CU$3&lt;$B$31,CU$3&lt;EDATE($B$30,MAX(1,'Вводные'!$H$89)),'Вводные'!$B$89="Да")</x:f>
      </x:c>
      <x:c r="CV32" t="n">
        <x:f>--AND(CV$3&gt;=$B$30,CV$3&lt;$B$31,CV$3&lt;EDATE($B$30,MAX(1,'Вводные'!$H$89)),'Вводные'!$B$89="Да")</x:f>
      </x:c>
      <x:c r="CW32" t="n">
        <x:f>--AND(CW$3&gt;=$B$30,CW$3&lt;$B$31,CW$3&lt;EDATE($B$30,MAX(1,'Вводные'!$H$89)),'Вводные'!$B$89="Да")</x:f>
      </x:c>
      <x:c r="CX32" t="n">
        <x:f>--AND(CX$3&gt;=$B$30,CX$3&lt;$B$31,CX$3&lt;EDATE($B$30,MAX(1,'Вводные'!$H$89)),'Вводные'!$B$89="Да")</x:f>
      </x:c>
      <x:c r="CY32" t="n">
        <x:f>--AND(CY$3&gt;=$B$30,CY$3&lt;$B$31,CY$3&lt;EDATE($B$30,MAX(1,'Вводные'!$H$89)),'Вводные'!$B$89="Да")</x:f>
      </x:c>
      <x:c r="CZ32" t="n">
        <x:f>--AND(CZ$3&gt;=$B$30,CZ$3&lt;$B$31,CZ$3&lt;EDATE($B$30,MAX(1,'Вводные'!$H$89)),'Вводные'!$B$89="Да")</x:f>
      </x:c>
      <x:c r="DA32" t="n">
        <x:f>--AND(DA$3&gt;=$B$30,DA$3&lt;$B$31,DA$3&lt;EDATE($B$30,MAX(1,'Вводные'!$H$89)),'Вводные'!$B$89="Да")</x:f>
      </x:c>
      <x:c r="DB32" t="n">
        <x:f>--AND(DB$3&gt;=$B$30,DB$3&lt;$B$31,DB$3&lt;EDATE($B$30,MAX(1,'Вводные'!$H$89)),'Вводные'!$B$89="Да")</x:f>
      </x:c>
      <x:c r="DC32" t="n">
        <x:f>--AND(DC$3&gt;=$B$30,DC$3&lt;$B$31,DC$3&lt;EDATE($B$30,MAX(1,'Вводные'!$H$89)),'Вводные'!$B$89="Да")</x:f>
      </x:c>
      <x:c r="DD32" t="n">
        <x:f>--AND(DD$3&gt;=$B$30,DD$3&lt;$B$31,DD$3&lt;EDATE($B$30,MAX(1,'Вводные'!$H$89)),'Вводные'!$B$89="Да")</x:f>
      </x:c>
      <x:c r="DE32" t="n">
        <x:f>--AND(DE$3&gt;=$B$30,DE$3&lt;$B$31,DE$3&lt;EDATE($B$30,MAX(1,'Вводные'!$H$89)),'Вводные'!$B$89="Да")</x:f>
      </x:c>
      <x:c r="DF32" t="n">
        <x:f>--AND(DF$3&gt;=$B$30,DF$3&lt;$B$31,DF$3&lt;EDATE($B$30,MAX(1,'Вводные'!$H$89)),'Вводные'!$B$89="Да")</x:f>
      </x:c>
      <x:c r="DG32" t="n">
        <x:f>--AND(DG$3&gt;=$B$30,DG$3&lt;$B$31,DG$3&lt;EDATE($B$30,MAX(1,'Вводные'!$H$89)),'Вводные'!$B$89="Да")</x:f>
      </x:c>
      <x:c r="DH32" t="n">
        <x:f>--AND(DH$3&gt;=$B$30,DH$3&lt;$B$31,DH$3&lt;EDATE($B$30,MAX(1,'Вводные'!$H$89)),'Вводные'!$B$89="Да")</x:f>
      </x:c>
      <x:c r="DI32" t="n">
        <x:f>--AND(DI$3&gt;=$B$30,DI$3&lt;$B$31,DI$3&lt;EDATE($B$30,MAX(1,'Вводные'!$H$89)),'Вводные'!$B$89="Да")</x:f>
      </x:c>
      <x:c r="DJ32" t="n">
        <x:f>--AND(DJ$3&gt;=$B$30,DJ$3&lt;$B$31,DJ$3&lt;EDATE($B$30,MAX(1,'Вводные'!$H$89)),'Вводные'!$B$89="Да")</x:f>
      </x:c>
      <x:c r="DK32" t="n">
        <x:f>--AND(DK$3&gt;=$B$30,DK$3&lt;$B$31,DK$3&lt;EDATE($B$30,MAX(1,'Вводные'!$H$89)),'Вводные'!$B$89="Да")</x:f>
      </x:c>
      <x:c r="DL32" t="n">
        <x:f>--AND(DL$3&gt;=$B$30,DL$3&lt;$B$31,DL$3&lt;EDATE($B$30,MAX(1,'Вводные'!$H$89)),'Вводные'!$B$89="Да")</x:f>
      </x:c>
      <x:c r="DM32" t="n">
        <x:f>--AND(DM$3&gt;=$B$30,DM$3&lt;$B$31,DM$3&lt;EDATE($B$30,MAX(1,'Вводные'!$H$89)),'Вводные'!$B$89="Да")</x:f>
      </x:c>
      <x:c r="DN32" t="n">
        <x:f>--AND(DN$3&gt;=$B$30,DN$3&lt;$B$31,DN$3&lt;EDATE($B$30,MAX(1,'Вводные'!$H$89)),'Вводные'!$B$89="Да")</x:f>
      </x:c>
      <x:c r="DO32" t="n">
        <x:f>--AND(DO$3&gt;=$B$30,DO$3&lt;$B$31,DO$3&lt;EDATE($B$30,MAX(1,'Вводные'!$H$89)),'Вводные'!$B$89="Да")</x:f>
      </x:c>
      <x:c r="DP32" t="n">
        <x:f>--AND(DP$3&gt;=$B$30,DP$3&lt;$B$31,DP$3&lt;EDATE($B$30,MAX(1,'Вводные'!$H$89)),'Вводные'!$B$89="Да")</x:f>
      </x:c>
      <x:c r="DQ32" t="n">
        <x:f>--AND(DQ$3&gt;=$B$30,DQ$3&lt;$B$31,DQ$3&lt;EDATE($B$30,MAX(1,'Вводные'!$H$89)),'Вводные'!$B$89="Да")</x:f>
      </x:c>
      <x:c r="DR32" t="n">
        <x:f>--AND(DR$3&gt;=$B$30,DR$3&lt;$B$31,DR$3&lt;EDATE($B$30,MAX(1,'Вводные'!$H$89)),'Вводные'!$B$89="Да")</x:f>
      </x:c>
      <x:c r="DS32" t="n">
        <x:f>--AND(DS$3&gt;=$B$30,DS$3&lt;$B$31,DS$3&lt;EDATE($B$30,MAX(1,'Вводные'!$H$89)),'Вводные'!$B$89="Да")</x:f>
      </x:c>
    </x:row>
    <x:row r="33">
      <x:c r="A33" t="str">
        <x:v>Вес темпа продаж</x:v>
      </x:c>
      <x:c r="B33"/>
      <x:c r="C33" t="str">
        <x:v>вес</x:v>
      </x:c>
      <x:c r="D33" t="n">
        <x:f>IF(AND(D$3&gt;=$B$30,D$3&lt;EDATE($B$30,MAX(1,'Вводные'!$H$89)),'Вводные'!$B$89="Да"),(1+'Вводные'!$AD$89*'Вводные'!$H$7)^MAX(0,(12*(YEAR(D$3)-YEAR($B$30))+MONTH(D$3)-MONTH($B$30)))*(1+IF(MONTH(D$3)=1,'Вводные'!$B$67,IF(AND(MONTH(D$3)&gt;=5,MONTH(D$3)&lt;=8),'Вводные'!$B$70,0))),0)</x:f>
      </x:c>
      <x:c r="E33" t="n">
        <x:f>IF(AND(E$3&gt;=$B$30,E$3&lt;EDATE($B$30,MAX(1,'Вводные'!$H$89)),'Вводные'!$B$89="Да"),(1+'Вводные'!$AD$89*'Вводные'!$H$7)^MAX(0,(12*(YEAR(E$3)-YEAR($B$30))+MONTH(E$3)-MONTH($B$30)))*(1+IF(MONTH(E$3)=1,'Вводные'!$B$67,IF(AND(MONTH(E$3)&gt;=5,MONTH(E$3)&lt;=8),'Вводные'!$B$70,0))),0)</x:f>
      </x:c>
      <x:c r="F33" t="n">
        <x:f>IF(AND(F$3&gt;=$B$30,F$3&lt;EDATE($B$30,MAX(1,'Вводные'!$H$89)),'Вводные'!$B$89="Да"),(1+'Вводные'!$AD$89*'Вводные'!$H$7)^MAX(0,(12*(YEAR(F$3)-YEAR($B$30))+MONTH(F$3)-MONTH($B$30)))*(1+IF(MONTH(F$3)=1,'Вводные'!$B$67,IF(AND(MONTH(F$3)&gt;=5,MONTH(F$3)&lt;=8),'Вводные'!$B$70,0))),0)</x:f>
      </x:c>
      <x:c r="G33" t="n">
        <x:f>IF(AND(G$3&gt;=$B$30,G$3&lt;EDATE($B$30,MAX(1,'Вводные'!$H$89)),'Вводные'!$B$89="Да"),(1+'Вводные'!$AD$89*'Вводные'!$H$7)^MAX(0,(12*(YEAR(G$3)-YEAR($B$30))+MONTH(G$3)-MONTH($B$30)))*(1+IF(MONTH(G$3)=1,'Вводные'!$B$67,IF(AND(MONTH(G$3)&gt;=5,MONTH(G$3)&lt;=8),'Вводные'!$B$70,0))),0)</x:f>
      </x:c>
      <x:c r="H33" t="n">
        <x:f>IF(AND(H$3&gt;=$B$30,H$3&lt;EDATE($B$30,MAX(1,'Вводные'!$H$89)),'Вводные'!$B$89="Да"),(1+'Вводные'!$AD$89*'Вводные'!$H$7)^MAX(0,(12*(YEAR(H$3)-YEAR($B$30))+MONTH(H$3)-MONTH($B$30)))*(1+IF(MONTH(H$3)=1,'Вводные'!$B$67,IF(AND(MONTH(H$3)&gt;=5,MONTH(H$3)&lt;=8),'Вводные'!$B$70,0))),0)</x:f>
      </x:c>
      <x:c r="I33" t="n">
        <x:f>IF(AND(I$3&gt;=$B$30,I$3&lt;EDATE($B$30,MAX(1,'Вводные'!$H$89)),'Вводные'!$B$89="Да"),(1+'Вводные'!$AD$89*'Вводные'!$H$7)^MAX(0,(12*(YEAR(I$3)-YEAR($B$30))+MONTH(I$3)-MONTH($B$30)))*(1+IF(MONTH(I$3)=1,'Вводные'!$B$67,IF(AND(MONTH(I$3)&gt;=5,MONTH(I$3)&lt;=8),'Вводные'!$B$70,0))),0)</x:f>
      </x:c>
      <x:c r="J33" t="n">
        <x:f>IF(AND(J$3&gt;=$B$30,J$3&lt;EDATE($B$30,MAX(1,'Вводные'!$H$89)),'Вводные'!$B$89="Да"),(1+'Вводные'!$AD$89*'Вводные'!$H$7)^MAX(0,(12*(YEAR(J$3)-YEAR($B$30))+MONTH(J$3)-MONTH($B$30)))*(1+IF(MONTH(J$3)=1,'Вводные'!$B$67,IF(AND(MONTH(J$3)&gt;=5,MONTH(J$3)&lt;=8),'Вводные'!$B$70,0))),0)</x:f>
      </x:c>
      <x:c r="K33" t="n">
        <x:f>IF(AND(K$3&gt;=$B$30,K$3&lt;EDATE($B$30,MAX(1,'Вводные'!$H$89)),'Вводные'!$B$89="Да"),(1+'Вводные'!$AD$89*'Вводные'!$H$7)^MAX(0,(12*(YEAR(K$3)-YEAR($B$30))+MONTH(K$3)-MONTH($B$30)))*(1+IF(MONTH(K$3)=1,'Вводные'!$B$67,IF(AND(MONTH(K$3)&gt;=5,MONTH(K$3)&lt;=8),'Вводные'!$B$70,0))),0)</x:f>
      </x:c>
      <x:c r="L33" t="n">
        <x:f>IF(AND(L$3&gt;=$B$30,L$3&lt;EDATE($B$30,MAX(1,'Вводные'!$H$89)),'Вводные'!$B$89="Да"),(1+'Вводные'!$AD$89*'Вводные'!$H$7)^MAX(0,(12*(YEAR(L$3)-YEAR($B$30))+MONTH(L$3)-MONTH($B$30)))*(1+IF(MONTH(L$3)=1,'Вводные'!$B$67,IF(AND(MONTH(L$3)&gt;=5,MONTH(L$3)&lt;=8),'Вводные'!$B$70,0))),0)</x:f>
      </x:c>
      <x:c r="M33" t="n">
        <x:f>IF(AND(M$3&gt;=$B$30,M$3&lt;EDATE($B$30,MAX(1,'Вводные'!$H$89)),'Вводные'!$B$89="Да"),(1+'Вводные'!$AD$89*'Вводные'!$H$7)^MAX(0,(12*(YEAR(M$3)-YEAR($B$30))+MONTH(M$3)-MONTH($B$30)))*(1+IF(MONTH(M$3)=1,'Вводные'!$B$67,IF(AND(MONTH(M$3)&gt;=5,MONTH(M$3)&lt;=8),'Вводные'!$B$70,0))),0)</x:f>
      </x:c>
      <x:c r="N33" t="n">
        <x:f>IF(AND(N$3&gt;=$B$30,N$3&lt;EDATE($B$30,MAX(1,'Вводные'!$H$89)),'Вводные'!$B$89="Да"),(1+'Вводные'!$AD$89*'Вводные'!$H$7)^MAX(0,(12*(YEAR(N$3)-YEAR($B$30))+MONTH(N$3)-MONTH($B$30)))*(1+IF(MONTH(N$3)=1,'Вводные'!$B$67,IF(AND(MONTH(N$3)&gt;=5,MONTH(N$3)&lt;=8),'Вводные'!$B$70,0))),0)</x:f>
      </x:c>
      <x:c r="O33" t="n">
        <x:f>IF(AND(O$3&gt;=$B$30,O$3&lt;EDATE($B$30,MAX(1,'Вводные'!$H$89)),'Вводные'!$B$89="Да"),(1+'Вводные'!$AD$89*'Вводные'!$H$7)^MAX(0,(12*(YEAR(O$3)-YEAR($B$30))+MONTH(O$3)-MONTH($B$30)))*(1+IF(MONTH(O$3)=1,'Вводные'!$B$67,IF(AND(MONTH(O$3)&gt;=5,MONTH(O$3)&lt;=8),'Вводные'!$B$70,0))),0)</x:f>
      </x:c>
      <x:c r="P33" t="n">
        <x:f>IF(AND(P$3&gt;=$B$30,P$3&lt;EDATE($B$30,MAX(1,'Вводные'!$H$89)),'Вводные'!$B$89="Да"),(1+'Вводные'!$AD$89*'Вводные'!$H$7)^MAX(0,(12*(YEAR(P$3)-YEAR($B$30))+MONTH(P$3)-MONTH($B$30)))*(1+IF(MONTH(P$3)=1,'Вводные'!$B$67,IF(AND(MONTH(P$3)&gt;=5,MONTH(P$3)&lt;=8),'Вводные'!$B$70,0))),0)</x:f>
      </x:c>
      <x:c r="Q33" t="n">
        <x:f>IF(AND(Q$3&gt;=$B$30,Q$3&lt;EDATE($B$30,MAX(1,'Вводные'!$H$89)),'Вводные'!$B$89="Да"),(1+'Вводные'!$AD$89*'Вводные'!$H$7)^MAX(0,(12*(YEAR(Q$3)-YEAR($B$30))+MONTH(Q$3)-MONTH($B$30)))*(1+IF(MONTH(Q$3)=1,'Вводные'!$B$67,IF(AND(MONTH(Q$3)&gt;=5,MONTH(Q$3)&lt;=8),'Вводные'!$B$70,0))),0)</x:f>
      </x:c>
      <x:c r="R33" t="n">
        <x:f>IF(AND(R$3&gt;=$B$30,R$3&lt;EDATE($B$30,MAX(1,'Вводные'!$H$89)),'Вводные'!$B$89="Да"),(1+'Вводные'!$AD$89*'Вводные'!$H$7)^MAX(0,(12*(YEAR(R$3)-YEAR($B$30))+MONTH(R$3)-MONTH($B$30)))*(1+IF(MONTH(R$3)=1,'Вводные'!$B$67,IF(AND(MONTH(R$3)&gt;=5,MONTH(R$3)&lt;=8),'Вводные'!$B$70,0))),0)</x:f>
      </x:c>
      <x:c r="S33" t="n">
        <x:f>IF(AND(S$3&gt;=$B$30,S$3&lt;EDATE($B$30,MAX(1,'Вводные'!$H$89)),'Вводные'!$B$89="Да"),(1+'Вводные'!$AD$89*'Вводные'!$H$7)^MAX(0,(12*(YEAR(S$3)-YEAR($B$30))+MONTH(S$3)-MONTH($B$30)))*(1+IF(MONTH(S$3)=1,'Вводные'!$B$67,IF(AND(MONTH(S$3)&gt;=5,MONTH(S$3)&lt;=8),'Вводные'!$B$70,0))),0)</x:f>
      </x:c>
      <x:c r="T33" t="n">
        <x:f>IF(AND(T$3&gt;=$B$30,T$3&lt;EDATE($B$30,MAX(1,'Вводные'!$H$89)),'Вводные'!$B$89="Да"),(1+'Вводные'!$AD$89*'Вводные'!$H$7)^MAX(0,(12*(YEAR(T$3)-YEAR($B$30))+MONTH(T$3)-MONTH($B$30)))*(1+IF(MONTH(T$3)=1,'Вводные'!$B$67,IF(AND(MONTH(T$3)&gt;=5,MONTH(T$3)&lt;=8),'Вводные'!$B$70,0))),0)</x:f>
      </x:c>
      <x:c r="U33" t="n">
        <x:f>IF(AND(U$3&gt;=$B$30,U$3&lt;EDATE($B$30,MAX(1,'Вводные'!$H$89)),'Вводные'!$B$89="Да"),(1+'Вводные'!$AD$89*'Вводные'!$H$7)^MAX(0,(12*(YEAR(U$3)-YEAR($B$30))+MONTH(U$3)-MONTH($B$30)))*(1+IF(MONTH(U$3)=1,'Вводные'!$B$67,IF(AND(MONTH(U$3)&gt;=5,MONTH(U$3)&lt;=8),'Вводные'!$B$70,0))),0)</x:f>
      </x:c>
      <x:c r="V33" t="n">
        <x:f>IF(AND(V$3&gt;=$B$30,V$3&lt;EDATE($B$30,MAX(1,'Вводные'!$H$89)),'Вводные'!$B$89="Да"),(1+'Вводные'!$AD$89*'Вводные'!$H$7)^MAX(0,(12*(YEAR(V$3)-YEAR($B$30))+MONTH(V$3)-MONTH($B$30)))*(1+IF(MONTH(V$3)=1,'Вводные'!$B$67,IF(AND(MONTH(V$3)&gt;=5,MONTH(V$3)&lt;=8),'Вводные'!$B$70,0))),0)</x:f>
      </x:c>
      <x:c r="W33" t="n">
        <x:f>IF(AND(W$3&gt;=$B$30,W$3&lt;EDATE($B$30,MAX(1,'Вводные'!$H$89)),'Вводные'!$B$89="Да"),(1+'Вводные'!$AD$89*'Вводные'!$H$7)^MAX(0,(12*(YEAR(W$3)-YEAR($B$30))+MONTH(W$3)-MONTH($B$30)))*(1+IF(MONTH(W$3)=1,'Вводные'!$B$67,IF(AND(MONTH(W$3)&gt;=5,MONTH(W$3)&lt;=8),'Вводные'!$B$70,0))),0)</x:f>
      </x:c>
      <x:c r="X33" t="n">
        <x:f>IF(AND(X$3&gt;=$B$30,X$3&lt;EDATE($B$30,MAX(1,'Вводные'!$H$89)),'Вводные'!$B$89="Да"),(1+'Вводные'!$AD$89*'Вводные'!$H$7)^MAX(0,(12*(YEAR(X$3)-YEAR($B$30))+MONTH(X$3)-MONTH($B$30)))*(1+IF(MONTH(X$3)=1,'Вводные'!$B$67,IF(AND(MONTH(X$3)&gt;=5,MONTH(X$3)&lt;=8),'Вводные'!$B$70,0))),0)</x:f>
      </x:c>
      <x:c r="Y33" t="n">
        <x:f>IF(AND(Y$3&gt;=$B$30,Y$3&lt;EDATE($B$30,MAX(1,'Вводные'!$H$89)),'Вводные'!$B$89="Да"),(1+'Вводные'!$AD$89*'Вводные'!$H$7)^MAX(0,(12*(YEAR(Y$3)-YEAR($B$30))+MONTH(Y$3)-MONTH($B$30)))*(1+IF(MONTH(Y$3)=1,'Вводные'!$B$67,IF(AND(MONTH(Y$3)&gt;=5,MONTH(Y$3)&lt;=8),'Вводные'!$B$70,0))),0)</x:f>
      </x:c>
      <x:c r="Z33" t="n">
        <x:f>IF(AND(Z$3&gt;=$B$30,Z$3&lt;EDATE($B$30,MAX(1,'Вводные'!$H$89)),'Вводные'!$B$89="Да"),(1+'Вводные'!$AD$89*'Вводные'!$H$7)^MAX(0,(12*(YEAR(Z$3)-YEAR($B$30))+MONTH(Z$3)-MONTH($B$30)))*(1+IF(MONTH(Z$3)=1,'Вводные'!$B$67,IF(AND(MONTH(Z$3)&gt;=5,MONTH(Z$3)&lt;=8),'Вводные'!$B$70,0))),0)</x:f>
      </x:c>
      <x:c r="AA33" t="n">
        <x:f>IF(AND(AA$3&gt;=$B$30,AA$3&lt;EDATE($B$30,MAX(1,'Вводные'!$H$89)),'Вводные'!$B$89="Да"),(1+'Вводные'!$AD$89*'Вводные'!$H$7)^MAX(0,(12*(YEAR(AA$3)-YEAR($B$30))+MONTH(AA$3)-MONTH($B$30)))*(1+IF(MONTH(AA$3)=1,'Вводные'!$B$67,IF(AND(MONTH(AA$3)&gt;=5,MONTH(AA$3)&lt;=8),'Вводные'!$B$70,0))),0)</x:f>
      </x:c>
      <x:c r="AB33" t="n">
        <x:f>IF(AND(AB$3&gt;=$B$30,AB$3&lt;EDATE($B$30,MAX(1,'Вводные'!$H$89)),'Вводные'!$B$89="Да"),(1+'Вводные'!$AD$89*'Вводные'!$H$7)^MAX(0,(12*(YEAR(AB$3)-YEAR($B$30))+MONTH(AB$3)-MONTH($B$30)))*(1+IF(MONTH(AB$3)=1,'Вводные'!$B$67,IF(AND(MONTH(AB$3)&gt;=5,MONTH(AB$3)&lt;=8),'Вводные'!$B$70,0))),0)</x:f>
      </x:c>
      <x:c r="AC33" t="n">
        <x:f>IF(AND(AC$3&gt;=$B$30,AC$3&lt;EDATE($B$30,MAX(1,'Вводные'!$H$89)),'Вводные'!$B$89="Да"),(1+'Вводные'!$AD$89*'Вводные'!$H$7)^MAX(0,(12*(YEAR(AC$3)-YEAR($B$30))+MONTH(AC$3)-MONTH($B$30)))*(1+IF(MONTH(AC$3)=1,'Вводные'!$B$67,IF(AND(MONTH(AC$3)&gt;=5,MONTH(AC$3)&lt;=8),'Вводные'!$B$70,0))),0)</x:f>
      </x:c>
      <x:c r="AD33" t="n">
        <x:f>IF(AND(AD$3&gt;=$B$30,AD$3&lt;EDATE($B$30,MAX(1,'Вводные'!$H$89)),'Вводные'!$B$89="Да"),(1+'Вводные'!$AD$89*'Вводные'!$H$7)^MAX(0,(12*(YEAR(AD$3)-YEAR($B$30))+MONTH(AD$3)-MONTH($B$30)))*(1+IF(MONTH(AD$3)=1,'Вводные'!$B$67,IF(AND(MONTH(AD$3)&gt;=5,MONTH(AD$3)&lt;=8),'Вводные'!$B$70,0))),0)</x:f>
      </x:c>
      <x:c r="AE33" t="n">
        <x:f>IF(AND(AE$3&gt;=$B$30,AE$3&lt;EDATE($B$30,MAX(1,'Вводные'!$H$89)),'Вводные'!$B$89="Да"),(1+'Вводные'!$AD$89*'Вводные'!$H$7)^MAX(0,(12*(YEAR(AE$3)-YEAR($B$30))+MONTH(AE$3)-MONTH($B$30)))*(1+IF(MONTH(AE$3)=1,'Вводные'!$B$67,IF(AND(MONTH(AE$3)&gt;=5,MONTH(AE$3)&lt;=8),'Вводные'!$B$70,0))),0)</x:f>
      </x:c>
      <x:c r="AF33" t="n">
        <x:f>IF(AND(AF$3&gt;=$B$30,AF$3&lt;EDATE($B$30,MAX(1,'Вводные'!$H$89)),'Вводные'!$B$89="Да"),(1+'Вводные'!$AD$89*'Вводные'!$H$7)^MAX(0,(12*(YEAR(AF$3)-YEAR($B$30))+MONTH(AF$3)-MONTH($B$30)))*(1+IF(MONTH(AF$3)=1,'Вводные'!$B$67,IF(AND(MONTH(AF$3)&gt;=5,MONTH(AF$3)&lt;=8),'Вводные'!$B$70,0))),0)</x:f>
      </x:c>
      <x:c r="AG33" t="n">
        <x:f>IF(AND(AG$3&gt;=$B$30,AG$3&lt;EDATE($B$30,MAX(1,'Вводные'!$H$89)),'Вводные'!$B$89="Да"),(1+'Вводные'!$AD$89*'Вводные'!$H$7)^MAX(0,(12*(YEAR(AG$3)-YEAR($B$30))+MONTH(AG$3)-MONTH($B$30)))*(1+IF(MONTH(AG$3)=1,'Вводные'!$B$67,IF(AND(MONTH(AG$3)&gt;=5,MONTH(AG$3)&lt;=8),'Вводные'!$B$70,0))),0)</x:f>
      </x:c>
      <x:c r="AH33" t="n">
        <x:f>IF(AND(AH$3&gt;=$B$30,AH$3&lt;EDATE($B$30,MAX(1,'Вводные'!$H$89)),'Вводные'!$B$89="Да"),(1+'Вводные'!$AD$89*'Вводные'!$H$7)^MAX(0,(12*(YEAR(AH$3)-YEAR($B$30))+MONTH(AH$3)-MONTH($B$30)))*(1+IF(MONTH(AH$3)=1,'Вводные'!$B$67,IF(AND(MONTH(AH$3)&gt;=5,MONTH(AH$3)&lt;=8),'Вводные'!$B$70,0))),0)</x:f>
      </x:c>
      <x:c r="AI33" t="n">
        <x:f>IF(AND(AI$3&gt;=$B$30,AI$3&lt;EDATE($B$30,MAX(1,'Вводные'!$H$89)),'Вводные'!$B$89="Да"),(1+'Вводные'!$AD$89*'Вводные'!$H$7)^MAX(0,(12*(YEAR(AI$3)-YEAR($B$30))+MONTH(AI$3)-MONTH($B$30)))*(1+IF(MONTH(AI$3)=1,'Вводные'!$B$67,IF(AND(MONTH(AI$3)&gt;=5,MONTH(AI$3)&lt;=8),'Вводные'!$B$70,0))),0)</x:f>
      </x:c>
      <x:c r="AJ33" t="n">
        <x:f>IF(AND(AJ$3&gt;=$B$30,AJ$3&lt;EDATE($B$30,MAX(1,'Вводные'!$H$89)),'Вводные'!$B$89="Да"),(1+'Вводные'!$AD$89*'Вводные'!$H$7)^MAX(0,(12*(YEAR(AJ$3)-YEAR($B$30))+MONTH(AJ$3)-MONTH($B$30)))*(1+IF(MONTH(AJ$3)=1,'Вводные'!$B$67,IF(AND(MONTH(AJ$3)&gt;=5,MONTH(AJ$3)&lt;=8),'Вводные'!$B$70,0))),0)</x:f>
      </x:c>
      <x:c r="AK33" t="n">
        <x:f>IF(AND(AK$3&gt;=$B$30,AK$3&lt;EDATE($B$30,MAX(1,'Вводные'!$H$89)),'Вводные'!$B$89="Да"),(1+'Вводные'!$AD$89*'Вводные'!$H$7)^MAX(0,(12*(YEAR(AK$3)-YEAR($B$30))+MONTH(AK$3)-MONTH($B$30)))*(1+IF(MONTH(AK$3)=1,'Вводные'!$B$67,IF(AND(MONTH(AK$3)&gt;=5,MONTH(AK$3)&lt;=8),'Вводные'!$B$70,0))),0)</x:f>
      </x:c>
      <x:c r="AL33" t="n">
        <x:f>IF(AND(AL$3&gt;=$B$30,AL$3&lt;EDATE($B$30,MAX(1,'Вводные'!$H$89)),'Вводные'!$B$89="Да"),(1+'Вводные'!$AD$89*'Вводные'!$H$7)^MAX(0,(12*(YEAR(AL$3)-YEAR($B$30))+MONTH(AL$3)-MONTH($B$30)))*(1+IF(MONTH(AL$3)=1,'Вводные'!$B$67,IF(AND(MONTH(AL$3)&gt;=5,MONTH(AL$3)&lt;=8),'Вводные'!$B$70,0))),0)</x:f>
      </x:c>
      <x:c r="AM33" t="n">
        <x:f>IF(AND(AM$3&gt;=$B$30,AM$3&lt;EDATE($B$30,MAX(1,'Вводные'!$H$89)),'Вводные'!$B$89="Да"),(1+'Вводные'!$AD$89*'Вводные'!$H$7)^MAX(0,(12*(YEAR(AM$3)-YEAR($B$30))+MONTH(AM$3)-MONTH($B$30)))*(1+IF(MONTH(AM$3)=1,'Вводные'!$B$67,IF(AND(MONTH(AM$3)&gt;=5,MONTH(AM$3)&lt;=8),'Вводные'!$B$70,0))),0)</x:f>
      </x:c>
      <x:c r="AN33" t="n">
        <x:f>IF(AND(AN$3&gt;=$B$30,AN$3&lt;EDATE($B$30,MAX(1,'Вводные'!$H$89)),'Вводные'!$B$89="Да"),(1+'Вводные'!$AD$89*'Вводные'!$H$7)^MAX(0,(12*(YEAR(AN$3)-YEAR($B$30))+MONTH(AN$3)-MONTH($B$30)))*(1+IF(MONTH(AN$3)=1,'Вводные'!$B$67,IF(AND(MONTH(AN$3)&gt;=5,MONTH(AN$3)&lt;=8),'Вводные'!$B$70,0))),0)</x:f>
      </x:c>
      <x:c r="AO33" t="n">
        <x:f>IF(AND(AO$3&gt;=$B$30,AO$3&lt;EDATE($B$30,MAX(1,'Вводные'!$H$89)),'Вводные'!$B$89="Да"),(1+'Вводные'!$AD$89*'Вводные'!$H$7)^MAX(0,(12*(YEAR(AO$3)-YEAR($B$30))+MONTH(AO$3)-MONTH($B$30)))*(1+IF(MONTH(AO$3)=1,'Вводные'!$B$67,IF(AND(MONTH(AO$3)&gt;=5,MONTH(AO$3)&lt;=8),'Вводные'!$B$70,0))),0)</x:f>
      </x:c>
      <x:c r="AP33" t="n">
        <x:f>IF(AND(AP$3&gt;=$B$30,AP$3&lt;EDATE($B$30,MAX(1,'Вводные'!$H$89)),'Вводные'!$B$89="Да"),(1+'Вводные'!$AD$89*'Вводные'!$H$7)^MAX(0,(12*(YEAR(AP$3)-YEAR($B$30))+MONTH(AP$3)-MONTH($B$30)))*(1+IF(MONTH(AP$3)=1,'Вводные'!$B$67,IF(AND(MONTH(AP$3)&gt;=5,MONTH(AP$3)&lt;=8),'Вводные'!$B$70,0))),0)</x:f>
      </x:c>
      <x:c r="AQ33" t="n">
        <x:f>IF(AND(AQ$3&gt;=$B$30,AQ$3&lt;EDATE($B$30,MAX(1,'Вводные'!$H$89)),'Вводные'!$B$89="Да"),(1+'Вводные'!$AD$89*'Вводные'!$H$7)^MAX(0,(12*(YEAR(AQ$3)-YEAR($B$30))+MONTH(AQ$3)-MONTH($B$30)))*(1+IF(MONTH(AQ$3)=1,'Вводные'!$B$67,IF(AND(MONTH(AQ$3)&gt;=5,MONTH(AQ$3)&lt;=8),'Вводные'!$B$70,0))),0)</x:f>
      </x:c>
      <x:c r="AR33" t="n">
        <x:f>IF(AND(AR$3&gt;=$B$30,AR$3&lt;EDATE($B$30,MAX(1,'Вводные'!$H$89)),'Вводные'!$B$89="Да"),(1+'Вводные'!$AD$89*'Вводные'!$H$7)^MAX(0,(12*(YEAR(AR$3)-YEAR($B$30))+MONTH(AR$3)-MONTH($B$30)))*(1+IF(MONTH(AR$3)=1,'Вводные'!$B$67,IF(AND(MONTH(AR$3)&gt;=5,MONTH(AR$3)&lt;=8),'Вводные'!$B$70,0))),0)</x:f>
      </x:c>
      <x:c r="AS33" t="n">
        <x:f>IF(AND(AS$3&gt;=$B$30,AS$3&lt;EDATE($B$30,MAX(1,'Вводные'!$H$89)),'Вводные'!$B$89="Да"),(1+'Вводные'!$AD$89*'Вводные'!$H$7)^MAX(0,(12*(YEAR(AS$3)-YEAR($B$30))+MONTH(AS$3)-MONTH($B$30)))*(1+IF(MONTH(AS$3)=1,'Вводные'!$B$67,IF(AND(MONTH(AS$3)&gt;=5,MONTH(AS$3)&lt;=8),'Вводные'!$B$70,0))),0)</x:f>
      </x:c>
      <x:c r="AT33" t="n">
        <x:f>IF(AND(AT$3&gt;=$B$30,AT$3&lt;EDATE($B$30,MAX(1,'Вводные'!$H$89)),'Вводные'!$B$89="Да"),(1+'Вводные'!$AD$89*'Вводные'!$H$7)^MAX(0,(12*(YEAR(AT$3)-YEAR($B$30))+MONTH(AT$3)-MONTH($B$30)))*(1+IF(MONTH(AT$3)=1,'Вводные'!$B$67,IF(AND(MONTH(AT$3)&gt;=5,MONTH(AT$3)&lt;=8),'Вводные'!$B$70,0))),0)</x:f>
      </x:c>
      <x:c r="AU33" t="n">
        <x:f>IF(AND(AU$3&gt;=$B$30,AU$3&lt;EDATE($B$30,MAX(1,'Вводные'!$H$89)),'Вводные'!$B$89="Да"),(1+'Вводные'!$AD$89*'Вводные'!$H$7)^MAX(0,(12*(YEAR(AU$3)-YEAR($B$30))+MONTH(AU$3)-MONTH($B$30)))*(1+IF(MONTH(AU$3)=1,'Вводные'!$B$67,IF(AND(MONTH(AU$3)&gt;=5,MONTH(AU$3)&lt;=8),'Вводные'!$B$70,0))),0)</x:f>
      </x:c>
      <x:c r="AV33" t="n">
        <x:f>IF(AND(AV$3&gt;=$B$30,AV$3&lt;EDATE($B$30,MAX(1,'Вводные'!$H$89)),'Вводные'!$B$89="Да"),(1+'Вводные'!$AD$89*'Вводные'!$H$7)^MAX(0,(12*(YEAR(AV$3)-YEAR($B$30))+MONTH(AV$3)-MONTH($B$30)))*(1+IF(MONTH(AV$3)=1,'Вводные'!$B$67,IF(AND(MONTH(AV$3)&gt;=5,MONTH(AV$3)&lt;=8),'Вводные'!$B$70,0))),0)</x:f>
      </x:c>
      <x:c r="AW33" t="n">
        <x:f>IF(AND(AW$3&gt;=$B$30,AW$3&lt;EDATE($B$30,MAX(1,'Вводные'!$H$89)),'Вводные'!$B$89="Да"),(1+'Вводные'!$AD$89*'Вводные'!$H$7)^MAX(0,(12*(YEAR(AW$3)-YEAR($B$30))+MONTH(AW$3)-MONTH($B$30)))*(1+IF(MONTH(AW$3)=1,'Вводные'!$B$67,IF(AND(MONTH(AW$3)&gt;=5,MONTH(AW$3)&lt;=8),'Вводные'!$B$70,0))),0)</x:f>
      </x:c>
      <x:c r="AX33" t="n">
        <x:f>IF(AND(AX$3&gt;=$B$30,AX$3&lt;EDATE($B$30,MAX(1,'Вводные'!$H$89)),'Вводные'!$B$89="Да"),(1+'Вводные'!$AD$89*'Вводные'!$H$7)^MAX(0,(12*(YEAR(AX$3)-YEAR($B$30))+MONTH(AX$3)-MONTH($B$30)))*(1+IF(MONTH(AX$3)=1,'Вводные'!$B$67,IF(AND(MONTH(AX$3)&gt;=5,MONTH(AX$3)&lt;=8),'Вводные'!$B$70,0))),0)</x:f>
      </x:c>
      <x:c r="AY33" t="n">
        <x:f>IF(AND(AY$3&gt;=$B$30,AY$3&lt;EDATE($B$30,MAX(1,'Вводные'!$H$89)),'Вводные'!$B$89="Да"),(1+'Вводные'!$AD$89*'Вводные'!$H$7)^MAX(0,(12*(YEAR(AY$3)-YEAR($B$30))+MONTH(AY$3)-MONTH($B$30)))*(1+IF(MONTH(AY$3)=1,'Вводные'!$B$67,IF(AND(MONTH(AY$3)&gt;=5,MONTH(AY$3)&lt;=8),'Вводные'!$B$70,0))),0)</x:f>
      </x:c>
      <x:c r="AZ33" t="n">
        <x:f>IF(AND(AZ$3&gt;=$B$30,AZ$3&lt;EDATE($B$30,MAX(1,'Вводные'!$H$89)),'Вводные'!$B$89="Да"),(1+'Вводные'!$AD$89*'Вводные'!$H$7)^MAX(0,(12*(YEAR(AZ$3)-YEAR($B$30))+MONTH(AZ$3)-MONTH($B$30)))*(1+IF(MONTH(AZ$3)=1,'Вводные'!$B$67,IF(AND(MONTH(AZ$3)&gt;=5,MONTH(AZ$3)&lt;=8),'Вводные'!$B$70,0))),0)</x:f>
      </x:c>
      <x:c r="BA33" t="n">
        <x:f>IF(AND(BA$3&gt;=$B$30,BA$3&lt;EDATE($B$30,MAX(1,'Вводные'!$H$89)),'Вводные'!$B$89="Да"),(1+'Вводные'!$AD$89*'Вводные'!$H$7)^MAX(0,(12*(YEAR(BA$3)-YEAR($B$30))+MONTH(BA$3)-MONTH($B$30)))*(1+IF(MONTH(BA$3)=1,'Вводные'!$B$67,IF(AND(MONTH(BA$3)&gt;=5,MONTH(BA$3)&lt;=8),'Вводные'!$B$70,0))),0)</x:f>
      </x:c>
      <x:c r="BB33" t="n">
        <x:f>IF(AND(BB$3&gt;=$B$30,BB$3&lt;EDATE($B$30,MAX(1,'Вводные'!$H$89)),'Вводные'!$B$89="Да"),(1+'Вводные'!$AD$89*'Вводные'!$H$7)^MAX(0,(12*(YEAR(BB$3)-YEAR($B$30))+MONTH(BB$3)-MONTH($B$30)))*(1+IF(MONTH(BB$3)=1,'Вводные'!$B$67,IF(AND(MONTH(BB$3)&gt;=5,MONTH(BB$3)&lt;=8),'Вводные'!$B$70,0))),0)</x:f>
      </x:c>
      <x:c r="BC33" t="n">
        <x:f>IF(AND(BC$3&gt;=$B$30,BC$3&lt;EDATE($B$30,MAX(1,'Вводные'!$H$89)),'Вводные'!$B$89="Да"),(1+'Вводные'!$AD$89*'Вводные'!$H$7)^MAX(0,(12*(YEAR(BC$3)-YEAR($B$30))+MONTH(BC$3)-MONTH($B$30)))*(1+IF(MONTH(BC$3)=1,'Вводные'!$B$67,IF(AND(MONTH(BC$3)&gt;=5,MONTH(BC$3)&lt;=8),'Вводные'!$B$70,0))),0)</x:f>
      </x:c>
      <x:c r="BD33" t="n">
        <x:f>IF(AND(BD$3&gt;=$B$30,BD$3&lt;EDATE($B$30,MAX(1,'Вводные'!$H$89)),'Вводные'!$B$89="Да"),(1+'Вводные'!$AD$89*'Вводные'!$H$7)^MAX(0,(12*(YEAR(BD$3)-YEAR($B$30))+MONTH(BD$3)-MONTH($B$30)))*(1+IF(MONTH(BD$3)=1,'Вводные'!$B$67,IF(AND(MONTH(BD$3)&gt;=5,MONTH(BD$3)&lt;=8),'Вводные'!$B$70,0))),0)</x:f>
      </x:c>
      <x:c r="BE33" t="n">
        <x:f>IF(AND(BE$3&gt;=$B$30,BE$3&lt;EDATE($B$30,MAX(1,'Вводные'!$H$89)),'Вводные'!$B$89="Да"),(1+'Вводные'!$AD$89*'Вводные'!$H$7)^MAX(0,(12*(YEAR(BE$3)-YEAR($B$30))+MONTH(BE$3)-MONTH($B$30)))*(1+IF(MONTH(BE$3)=1,'Вводные'!$B$67,IF(AND(MONTH(BE$3)&gt;=5,MONTH(BE$3)&lt;=8),'Вводные'!$B$70,0))),0)</x:f>
      </x:c>
      <x:c r="BF33" t="n">
        <x:f>IF(AND(BF$3&gt;=$B$30,BF$3&lt;EDATE($B$30,MAX(1,'Вводные'!$H$89)),'Вводные'!$B$89="Да"),(1+'Вводные'!$AD$89*'Вводные'!$H$7)^MAX(0,(12*(YEAR(BF$3)-YEAR($B$30))+MONTH(BF$3)-MONTH($B$30)))*(1+IF(MONTH(BF$3)=1,'Вводные'!$B$67,IF(AND(MONTH(BF$3)&gt;=5,MONTH(BF$3)&lt;=8),'Вводные'!$B$70,0))),0)</x:f>
      </x:c>
      <x:c r="BG33" t="n">
        <x:f>IF(AND(BG$3&gt;=$B$30,BG$3&lt;EDATE($B$30,MAX(1,'Вводные'!$H$89)),'Вводные'!$B$89="Да"),(1+'Вводные'!$AD$89*'Вводные'!$H$7)^MAX(0,(12*(YEAR(BG$3)-YEAR($B$30))+MONTH(BG$3)-MONTH($B$30)))*(1+IF(MONTH(BG$3)=1,'Вводные'!$B$67,IF(AND(MONTH(BG$3)&gt;=5,MONTH(BG$3)&lt;=8),'Вводные'!$B$70,0))),0)</x:f>
      </x:c>
      <x:c r="BH33" t="n">
        <x:f>IF(AND(BH$3&gt;=$B$30,BH$3&lt;EDATE($B$30,MAX(1,'Вводные'!$H$89)),'Вводные'!$B$89="Да"),(1+'Вводные'!$AD$89*'Вводные'!$H$7)^MAX(0,(12*(YEAR(BH$3)-YEAR($B$30))+MONTH(BH$3)-MONTH($B$30)))*(1+IF(MONTH(BH$3)=1,'Вводные'!$B$67,IF(AND(MONTH(BH$3)&gt;=5,MONTH(BH$3)&lt;=8),'Вводные'!$B$70,0))),0)</x:f>
      </x:c>
      <x:c r="BI33" t="n">
        <x:f>IF(AND(BI$3&gt;=$B$30,BI$3&lt;EDATE($B$30,MAX(1,'Вводные'!$H$89)),'Вводные'!$B$89="Да"),(1+'Вводные'!$AD$89*'Вводные'!$H$7)^MAX(0,(12*(YEAR(BI$3)-YEAR($B$30))+MONTH(BI$3)-MONTH($B$30)))*(1+IF(MONTH(BI$3)=1,'Вводные'!$B$67,IF(AND(MONTH(BI$3)&gt;=5,MONTH(BI$3)&lt;=8),'Вводные'!$B$70,0))),0)</x:f>
      </x:c>
      <x:c r="BJ33" t="n">
        <x:f>IF(AND(BJ$3&gt;=$B$30,BJ$3&lt;EDATE($B$30,MAX(1,'Вводные'!$H$89)),'Вводные'!$B$89="Да"),(1+'Вводные'!$AD$89*'Вводные'!$H$7)^MAX(0,(12*(YEAR(BJ$3)-YEAR($B$30))+MONTH(BJ$3)-MONTH($B$30)))*(1+IF(MONTH(BJ$3)=1,'Вводные'!$B$67,IF(AND(MONTH(BJ$3)&gt;=5,MONTH(BJ$3)&lt;=8),'Вводные'!$B$70,0))),0)</x:f>
      </x:c>
      <x:c r="BK33" t="n">
        <x:f>IF(AND(BK$3&gt;=$B$30,BK$3&lt;EDATE($B$30,MAX(1,'Вводные'!$H$89)),'Вводные'!$B$89="Да"),(1+'Вводные'!$AD$89*'Вводные'!$H$7)^MAX(0,(12*(YEAR(BK$3)-YEAR($B$30))+MONTH(BK$3)-MONTH($B$30)))*(1+IF(MONTH(BK$3)=1,'Вводные'!$B$67,IF(AND(MONTH(BK$3)&gt;=5,MONTH(BK$3)&lt;=8),'Вводные'!$B$70,0))),0)</x:f>
      </x:c>
      <x:c r="BL33" t="n">
        <x:f>IF(AND(BL$3&gt;=$B$30,BL$3&lt;EDATE($B$30,MAX(1,'Вводные'!$H$89)),'Вводные'!$B$89="Да"),(1+'Вводные'!$AD$89*'Вводные'!$H$7)^MAX(0,(12*(YEAR(BL$3)-YEAR($B$30))+MONTH(BL$3)-MONTH($B$30)))*(1+IF(MONTH(BL$3)=1,'Вводные'!$B$67,IF(AND(MONTH(BL$3)&gt;=5,MONTH(BL$3)&lt;=8),'Вводные'!$B$70,0))),0)</x:f>
      </x:c>
      <x:c r="BM33" t="n">
        <x:f>IF(AND(BM$3&gt;=$B$30,BM$3&lt;EDATE($B$30,MAX(1,'Вводные'!$H$89)),'Вводные'!$B$89="Да"),(1+'Вводные'!$AD$89*'Вводные'!$H$7)^MAX(0,(12*(YEAR(BM$3)-YEAR($B$30))+MONTH(BM$3)-MONTH($B$30)))*(1+IF(MONTH(BM$3)=1,'Вводные'!$B$67,IF(AND(MONTH(BM$3)&gt;=5,MONTH(BM$3)&lt;=8),'Вводные'!$B$70,0))),0)</x:f>
      </x:c>
      <x:c r="BN33" t="n">
        <x:f>IF(AND(BN$3&gt;=$B$30,BN$3&lt;EDATE($B$30,MAX(1,'Вводные'!$H$89)),'Вводные'!$B$89="Да"),(1+'Вводные'!$AD$89*'Вводные'!$H$7)^MAX(0,(12*(YEAR(BN$3)-YEAR($B$30))+MONTH(BN$3)-MONTH($B$30)))*(1+IF(MONTH(BN$3)=1,'Вводные'!$B$67,IF(AND(MONTH(BN$3)&gt;=5,MONTH(BN$3)&lt;=8),'Вводные'!$B$70,0))),0)</x:f>
      </x:c>
      <x:c r="BO33" t="n">
        <x:f>IF(AND(BO$3&gt;=$B$30,BO$3&lt;EDATE($B$30,MAX(1,'Вводные'!$H$89)),'Вводные'!$B$89="Да"),(1+'Вводные'!$AD$89*'Вводные'!$H$7)^MAX(0,(12*(YEAR(BO$3)-YEAR($B$30))+MONTH(BO$3)-MONTH($B$30)))*(1+IF(MONTH(BO$3)=1,'Вводные'!$B$67,IF(AND(MONTH(BO$3)&gt;=5,MONTH(BO$3)&lt;=8),'Вводные'!$B$70,0))),0)</x:f>
      </x:c>
      <x:c r="BP33" t="n">
        <x:f>IF(AND(BP$3&gt;=$B$30,BP$3&lt;EDATE($B$30,MAX(1,'Вводные'!$H$89)),'Вводные'!$B$89="Да"),(1+'Вводные'!$AD$89*'Вводные'!$H$7)^MAX(0,(12*(YEAR(BP$3)-YEAR($B$30))+MONTH(BP$3)-MONTH($B$30)))*(1+IF(MONTH(BP$3)=1,'Вводные'!$B$67,IF(AND(MONTH(BP$3)&gt;=5,MONTH(BP$3)&lt;=8),'Вводные'!$B$70,0))),0)</x:f>
      </x:c>
      <x:c r="BQ33" t="n">
        <x:f>IF(AND(BQ$3&gt;=$B$30,BQ$3&lt;EDATE($B$30,MAX(1,'Вводные'!$H$89)),'Вводные'!$B$89="Да"),(1+'Вводные'!$AD$89*'Вводные'!$H$7)^MAX(0,(12*(YEAR(BQ$3)-YEAR($B$30))+MONTH(BQ$3)-MONTH($B$30)))*(1+IF(MONTH(BQ$3)=1,'Вводные'!$B$67,IF(AND(MONTH(BQ$3)&gt;=5,MONTH(BQ$3)&lt;=8),'Вводные'!$B$70,0))),0)</x:f>
      </x:c>
      <x:c r="BR33" t="n">
        <x:f>IF(AND(BR$3&gt;=$B$30,BR$3&lt;EDATE($B$30,MAX(1,'Вводные'!$H$89)),'Вводные'!$B$89="Да"),(1+'Вводные'!$AD$89*'Вводные'!$H$7)^MAX(0,(12*(YEAR(BR$3)-YEAR($B$30))+MONTH(BR$3)-MONTH($B$30)))*(1+IF(MONTH(BR$3)=1,'Вводные'!$B$67,IF(AND(MONTH(BR$3)&gt;=5,MONTH(BR$3)&lt;=8),'Вводные'!$B$70,0))),0)</x:f>
      </x:c>
      <x:c r="BS33" t="n">
        <x:f>IF(AND(BS$3&gt;=$B$30,BS$3&lt;EDATE($B$30,MAX(1,'Вводные'!$H$89)),'Вводные'!$B$89="Да"),(1+'Вводные'!$AD$89*'Вводные'!$H$7)^MAX(0,(12*(YEAR(BS$3)-YEAR($B$30))+MONTH(BS$3)-MONTH($B$30)))*(1+IF(MONTH(BS$3)=1,'Вводные'!$B$67,IF(AND(MONTH(BS$3)&gt;=5,MONTH(BS$3)&lt;=8),'Вводные'!$B$70,0))),0)</x:f>
      </x:c>
      <x:c r="BT33" t="n">
        <x:f>IF(AND(BT$3&gt;=$B$30,BT$3&lt;EDATE($B$30,MAX(1,'Вводные'!$H$89)),'Вводные'!$B$89="Да"),(1+'Вводные'!$AD$89*'Вводные'!$H$7)^MAX(0,(12*(YEAR(BT$3)-YEAR($B$30))+MONTH(BT$3)-MONTH($B$30)))*(1+IF(MONTH(BT$3)=1,'Вводные'!$B$67,IF(AND(MONTH(BT$3)&gt;=5,MONTH(BT$3)&lt;=8),'Вводные'!$B$70,0))),0)</x:f>
      </x:c>
      <x:c r="BU33" t="n">
        <x:f>IF(AND(BU$3&gt;=$B$30,BU$3&lt;EDATE($B$30,MAX(1,'Вводные'!$H$89)),'Вводные'!$B$89="Да"),(1+'Вводные'!$AD$89*'Вводные'!$H$7)^MAX(0,(12*(YEAR(BU$3)-YEAR($B$30))+MONTH(BU$3)-MONTH($B$30)))*(1+IF(MONTH(BU$3)=1,'Вводные'!$B$67,IF(AND(MONTH(BU$3)&gt;=5,MONTH(BU$3)&lt;=8),'Вводные'!$B$70,0))),0)</x:f>
      </x:c>
      <x:c r="BV33" t="n">
        <x:f>IF(AND(BV$3&gt;=$B$30,BV$3&lt;EDATE($B$30,MAX(1,'Вводные'!$H$89)),'Вводные'!$B$89="Да"),(1+'Вводные'!$AD$89*'Вводные'!$H$7)^MAX(0,(12*(YEAR(BV$3)-YEAR($B$30))+MONTH(BV$3)-MONTH($B$30)))*(1+IF(MONTH(BV$3)=1,'Вводные'!$B$67,IF(AND(MONTH(BV$3)&gt;=5,MONTH(BV$3)&lt;=8),'Вводные'!$B$70,0))),0)</x:f>
      </x:c>
      <x:c r="BW33" t="n">
        <x:f>IF(AND(BW$3&gt;=$B$30,BW$3&lt;EDATE($B$30,MAX(1,'Вводные'!$H$89)),'Вводные'!$B$89="Да"),(1+'Вводные'!$AD$89*'Вводные'!$H$7)^MAX(0,(12*(YEAR(BW$3)-YEAR($B$30))+MONTH(BW$3)-MONTH($B$30)))*(1+IF(MONTH(BW$3)=1,'Вводные'!$B$67,IF(AND(MONTH(BW$3)&gt;=5,MONTH(BW$3)&lt;=8),'Вводные'!$B$70,0))),0)</x:f>
      </x:c>
      <x:c r="BX33" t="n">
        <x:f>IF(AND(BX$3&gt;=$B$30,BX$3&lt;EDATE($B$30,MAX(1,'Вводные'!$H$89)),'Вводные'!$B$89="Да"),(1+'Вводные'!$AD$89*'Вводные'!$H$7)^MAX(0,(12*(YEAR(BX$3)-YEAR($B$30))+MONTH(BX$3)-MONTH($B$30)))*(1+IF(MONTH(BX$3)=1,'Вводные'!$B$67,IF(AND(MONTH(BX$3)&gt;=5,MONTH(BX$3)&lt;=8),'Вводные'!$B$70,0))),0)</x:f>
      </x:c>
      <x:c r="BY33" t="n">
        <x:f>IF(AND(BY$3&gt;=$B$30,BY$3&lt;EDATE($B$30,MAX(1,'Вводные'!$H$89)),'Вводные'!$B$89="Да"),(1+'Вводные'!$AD$89*'Вводные'!$H$7)^MAX(0,(12*(YEAR(BY$3)-YEAR($B$30))+MONTH(BY$3)-MONTH($B$30)))*(1+IF(MONTH(BY$3)=1,'Вводные'!$B$67,IF(AND(MONTH(BY$3)&gt;=5,MONTH(BY$3)&lt;=8),'Вводные'!$B$70,0))),0)</x:f>
      </x:c>
      <x:c r="BZ33" t="n">
        <x:f>IF(AND(BZ$3&gt;=$B$30,BZ$3&lt;EDATE($B$30,MAX(1,'Вводные'!$H$89)),'Вводные'!$B$89="Да"),(1+'Вводные'!$AD$89*'Вводные'!$H$7)^MAX(0,(12*(YEAR(BZ$3)-YEAR($B$30))+MONTH(BZ$3)-MONTH($B$30)))*(1+IF(MONTH(BZ$3)=1,'Вводные'!$B$67,IF(AND(MONTH(BZ$3)&gt;=5,MONTH(BZ$3)&lt;=8),'Вводные'!$B$70,0))),0)</x:f>
      </x:c>
      <x:c r="CA33" t="n">
        <x:f>IF(AND(CA$3&gt;=$B$30,CA$3&lt;EDATE($B$30,MAX(1,'Вводные'!$H$89)),'Вводные'!$B$89="Да"),(1+'Вводные'!$AD$89*'Вводные'!$H$7)^MAX(0,(12*(YEAR(CA$3)-YEAR($B$30))+MONTH(CA$3)-MONTH($B$30)))*(1+IF(MONTH(CA$3)=1,'Вводные'!$B$67,IF(AND(MONTH(CA$3)&gt;=5,MONTH(CA$3)&lt;=8),'Вводные'!$B$70,0))),0)</x:f>
      </x:c>
      <x:c r="CB33" t="n">
        <x:f>IF(AND(CB$3&gt;=$B$30,CB$3&lt;EDATE($B$30,MAX(1,'Вводные'!$H$89)),'Вводные'!$B$89="Да"),(1+'Вводные'!$AD$89*'Вводные'!$H$7)^MAX(0,(12*(YEAR(CB$3)-YEAR($B$30))+MONTH(CB$3)-MONTH($B$30)))*(1+IF(MONTH(CB$3)=1,'Вводные'!$B$67,IF(AND(MONTH(CB$3)&gt;=5,MONTH(CB$3)&lt;=8),'Вводные'!$B$70,0))),0)</x:f>
      </x:c>
      <x:c r="CC33" t="n">
        <x:f>IF(AND(CC$3&gt;=$B$30,CC$3&lt;EDATE($B$30,MAX(1,'Вводные'!$H$89)),'Вводные'!$B$89="Да"),(1+'Вводные'!$AD$89*'Вводные'!$H$7)^MAX(0,(12*(YEAR(CC$3)-YEAR($B$30))+MONTH(CC$3)-MONTH($B$30)))*(1+IF(MONTH(CC$3)=1,'Вводные'!$B$67,IF(AND(MONTH(CC$3)&gt;=5,MONTH(CC$3)&lt;=8),'Вводные'!$B$70,0))),0)</x:f>
      </x:c>
      <x:c r="CD33" t="n">
        <x:f>IF(AND(CD$3&gt;=$B$30,CD$3&lt;EDATE($B$30,MAX(1,'Вводные'!$H$89)),'Вводные'!$B$89="Да"),(1+'Вводные'!$AD$89*'Вводные'!$H$7)^MAX(0,(12*(YEAR(CD$3)-YEAR($B$30))+MONTH(CD$3)-MONTH($B$30)))*(1+IF(MONTH(CD$3)=1,'Вводные'!$B$67,IF(AND(MONTH(CD$3)&gt;=5,MONTH(CD$3)&lt;=8),'Вводные'!$B$70,0))),0)</x:f>
      </x:c>
      <x:c r="CE33" t="n">
        <x:f>IF(AND(CE$3&gt;=$B$30,CE$3&lt;EDATE($B$30,MAX(1,'Вводные'!$H$89)),'Вводные'!$B$89="Да"),(1+'Вводные'!$AD$89*'Вводные'!$H$7)^MAX(0,(12*(YEAR(CE$3)-YEAR($B$30))+MONTH(CE$3)-MONTH($B$30)))*(1+IF(MONTH(CE$3)=1,'Вводные'!$B$67,IF(AND(MONTH(CE$3)&gt;=5,MONTH(CE$3)&lt;=8),'Вводные'!$B$70,0))),0)</x:f>
      </x:c>
      <x:c r="CF33" t="n">
        <x:f>IF(AND(CF$3&gt;=$B$30,CF$3&lt;EDATE($B$30,MAX(1,'Вводные'!$H$89)),'Вводные'!$B$89="Да"),(1+'Вводные'!$AD$89*'Вводные'!$H$7)^MAX(0,(12*(YEAR(CF$3)-YEAR($B$30))+MONTH(CF$3)-MONTH($B$30)))*(1+IF(MONTH(CF$3)=1,'Вводные'!$B$67,IF(AND(MONTH(CF$3)&gt;=5,MONTH(CF$3)&lt;=8),'Вводные'!$B$70,0))),0)</x:f>
      </x:c>
      <x:c r="CG33" t="n">
        <x:f>IF(AND(CG$3&gt;=$B$30,CG$3&lt;EDATE($B$30,MAX(1,'Вводные'!$H$89)),'Вводные'!$B$89="Да"),(1+'Вводные'!$AD$89*'Вводные'!$H$7)^MAX(0,(12*(YEAR(CG$3)-YEAR($B$30))+MONTH(CG$3)-MONTH($B$30)))*(1+IF(MONTH(CG$3)=1,'Вводные'!$B$67,IF(AND(MONTH(CG$3)&gt;=5,MONTH(CG$3)&lt;=8),'Вводные'!$B$70,0))),0)</x:f>
      </x:c>
      <x:c r="CH33" t="n">
        <x:f>IF(AND(CH$3&gt;=$B$30,CH$3&lt;EDATE($B$30,MAX(1,'Вводные'!$H$89)),'Вводные'!$B$89="Да"),(1+'Вводные'!$AD$89*'Вводные'!$H$7)^MAX(0,(12*(YEAR(CH$3)-YEAR($B$30))+MONTH(CH$3)-MONTH($B$30)))*(1+IF(MONTH(CH$3)=1,'Вводные'!$B$67,IF(AND(MONTH(CH$3)&gt;=5,MONTH(CH$3)&lt;=8),'Вводные'!$B$70,0))),0)</x:f>
      </x:c>
      <x:c r="CI33" t="n">
        <x:f>IF(AND(CI$3&gt;=$B$30,CI$3&lt;EDATE($B$30,MAX(1,'Вводные'!$H$89)),'Вводные'!$B$89="Да"),(1+'Вводные'!$AD$89*'Вводные'!$H$7)^MAX(0,(12*(YEAR(CI$3)-YEAR($B$30))+MONTH(CI$3)-MONTH($B$30)))*(1+IF(MONTH(CI$3)=1,'Вводные'!$B$67,IF(AND(MONTH(CI$3)&gt;=5,MONTH(CI$3)&lt;=8),'Вводные'!$B$70,0))),0)</x:f>
      </x:c>
      <x:c r="CJ33" t="n">
        <x:f>IF(AND(CJ$3&gt;=$B$30,CJ$3&lt;EDATE($B$30,MAX(1,'Вводные'!$H$89)),'Вводные'!$B$89="Да"),(1+'Вводные'!$AD$89*'Вводные'!$H$7)^MAX(0,(12*(YEAR(CJ$3)-YEAR($B$30))+MONTH(CJ$3)-MONTH($B$30)))*(1+IF(MONTH(CJ$3)=1,'Вводные'!$B$67,IF(AND(MONTH(CJ$3)&gt;=5,MONTH(CJ$3)&lt;=8),'Вводные'!$B$70,0))),0)</x:f>
      </x:c>
      <x:c r="CK33" t="n">
        <x:f>IF(AND(CK$3&gt;=$B$30,CK$3&lt;EDATE($B$30,MAX(1,'Вводные'!$H$89)),'Вводные'!$B$89="Да"),(1+'Вводные'!$AD$89*'Вводные'!$H$7)^MAX(0,(12*(YEAR(CK$3)-YEAR($B$30))+MONTH(CK$3)-MONTH($B$30)))*(1+IF(MONTH(CK$3)=1,'Вводные'!$B$67,IF(AND(MONTH(CK$3)&gt;=5,MONTH(CK$3)&lt;=8),'Вводные'!$B$70,0))),0)</x:f>
      </x:c>
      <x:c r="CL33" t="n">
        <x:f>IF(AND(CL$3&gt;=$B$30,CL$3&lt;EDATE($B$30,MAX(1,'Вводные'!$H$89)),'Вводные'!$B$89="Да"),(1+'Вводные'!$AD$89*'Вводные'!$H$7)^MAX(0,(12*(YEAR(CL$3)-YEAR($B$30))+MONTH(CL$3)-MONTH($B$30)))*(1+IF(MONTH(CL$3)=1,'Вводные'!$B$67,IF(AND(MONTH(CL$3)&gt;=5,MONTH(CL$3)&lt;=8),'Вводные'!$B$70,0))),0)</x:f>
      </x:c>
      <x:c r="CM33" t="n">
        <x:f>IF(AND(CM$3&gt;=$B$30,CM$3&lt;EDATE($B$30,MAX(1,'Вводные'!$H$89)),'Вводные'!$B$89="Да"),(1+'Вводные'!$AD$89*'Вводные'!$H$7)^MAX(0,(12*(YEAR(CM$3)-YEAR($B$30))+MONTH(CM$3)-MONTH($B$30)))*(1+IF(MONTH(CM$3)=1,'Вводные'!$B$67,IF(AND(MONTH(CM$3)&gt;=5,MONTH(CM$3)&lt;=8),'Вводные'!$B$70,0))),0)</x:f>
      </x:c>
      <x:c r="CN33" t="n">
        <x:f>IF(AND(CN$3&gt;=$B$30,CN$3&lt;EDATE($B$30,MAX(1,'Вводные'!$H$89)),'Вводные'!$B$89="Да"),(1+'Вводные'!$AD$89*'Вводные'!$H$7)^MAX(0,(12*(YEAR(CN$3)-YEAR($B$30))+MONTH(CN$3)-MONTH($B$30)))*(1+IF(MONTH(CN$3)=1,'Вводные'!$B$67,IF(AND(MONTH(CN$3)&gt;=5,MONTH(CN$3)&lt;=8),'Вводные'!$B$70,0))),0)</x:f>
      </x:c>
      <x:c r="CO33" t="n">
        <x:f>IF(AND(CO$3&gt;=$B$30,CO$3&lt;EDATE($B$30,MAX(1,'Вводные'!$H$89)),'Вводные'!$B$89="Да"),(1+'Вводные'!$AD$89*'Вводные'!$H$7)^MAX(0,(12*(YEAR(CO$3)-YEAR($B$30))+MONTH(CO$3)-MONTH($B$30)))*(1+IF(MONTH(CO$3)=1,'Вводные'!$B$67,IF(AND(MONTH(CO$3)&gt;=5,MONTH(CO$3)&lt;=8),'Вводные'!$B$70,0))),0)</x:f>
      </x:c>
      <x:c r="CP33" t="n">
        <x:f>IF(AND(CP$3&gt;=$B$30,CP$3&lt;EDATE($B$30,MAX(1,'Вводные'!$H$89)),'Вводные'!$B$89="Да"),(1+'Вводные'!$AD$89*'Вводные'!$H$7)^MAX(0,(12*(YEAR(CP$3)-YEAR($B$30))+MONTH(CP$3)-MONTH($B$30)))*(1+IF(MONTH(CP$3)=1,'Вводные'!$B$67,IF(AND(MONTH(CP$3)&gt;=5,MONTH(CP$3)&lt;=8),'Вводные'!$B$70,0))),0)</x:f>
      </x:c>
      <x:c r="CQ33" t="n">
        <x:f>IF(AND(CQ$3&gt;=$B$30,CQ$3&lt;EDATE($B$30,MAX(1,'Вводные'!$H$89)),'Вводные'!$B$89="Да"),(1+'Вводные'!$AD$89*'Вводные'!$H$7)^MAX(0,(12*(YEAR(CQ$3)-YEAR($B$30))+MONTH(CQ$3)-MONTH($B$30)))*(1+IF(MONTH(CQ$3)=1,'Вводные'!$B$67,IF(AND(MONTH(CQ$3)&gt;=5,MONTH(CQ$3)&lt;=8),'Вводные'!$B$70,0))),0)</x:f>
      </x:c>
      <x:c r="CR33" t="n">
        <x:f>IF(AND(CR$3&gt;=$B$30,CR$3&lt;EDATE($B$30,MAX(1,'Вводные'!$H$89)),'Вводные'!$B$89="Да"),(1+'Вводные'!$AD$89*'Вводные'!$H$7)^MAX(0,(12*(YEAR(CR$3)-YEAR($B$30))+MONTH(CR$3)-MONTH($B$30)))*(1+IF(MONTH(CR$3)=1,'Вводные'!$B$67,IF(AND(MONTH(CR$3)&gt;=5,MONTH(CR$3)&lt;=8),'Вводные'!$B$70,0))),0)</x:f>
      </x:c>
      <x:c r="CS33" t="n">
        <x:f>IF(AND(CS$3&gt;=$B$30,CS$3&lt;EDATE($B$30,MAX(1,'Вводные'!$H$89)),'Вводные'!$B$89="Да"),(1+'Вводные'!$AD$89*'Вводные'!$H$7)^MAX(0,(12*(YEAR(CS$3)-YEAR($B$30))+MONTH(CS$3)-MONTH($B$30)))*(1+IF(MONTH(CS$3)=1,'Вводные'!$B$67,IF(AND(MONTH(CS$3)&gt;=5,MONTH(CS$3)&lt;=8),'Вводные'!$B$70,0))),0)</x:f>
      </x:c>
      <x:c r="CT33" t="n">
        <x:f>IF(AND(CT$3&gt;=$B$30,CT$3&lt;EDATE($B$30,MAX(1,'Вводные'!$H$89)),'Вводные'!$B$89="Да"),(1+'Вводные'!$AD$89*'Вводные'!$H$7)^MAX(0,(12*(YEAR(CT$3)-YEAR($B$30))+MONTH(CT$3)-MONTH($B$30)))*(1+IF(MONTH(CT$3)=1,'Вводные'!$B$67,IF(AND(MONTH(CT$3)&gt;=5,MONTH(CT$3)&lt;=8),'Вводные'!$B$70,0))),0)</x:f>
      </x:c>
      <x:c r="CU33" t="n">
        <x:f>IF(AND(CU$3&gt;=$B$30,CU$3&lt;EDATE($B$30,MAX(1,'Вводные'!$H$89)),'Вводные'!$B$89="Да"),(1+'Вводные'!$AD$89*'Вводные'!$H$7)^MAX(0,(12*(YEAR(CU$3)-YEAR($B$30))+MONTH(CU$3)-MONTH($B$30)))*(1+IF(MONTH(CU$3)=1,'Вводные'!$B$67,IF(AND(MONTH(CU$3)&gt;=5,MONTH(CU$3)&lt;=8),'Вводные'!$B$70,0))),0)</x:f>
      </x:c>
      <x:c r="CV33" t="n">
        <x:f>IF(AND(CV$3&gt;=$B$30,CV$3&lt;EDATE($B$30,MAX(1,'Вводные'!$H$89)),'Вводные'!$B$89="Да"),(1+'Вводные'!$AD$89*'Вводные'!$H$7)^MAX(0,(12*(YEAR(CV$3)-YEAR($B$30))+MONTH(CV$3)-MONTH($B$30)))*(1+IF(MONTH(CV$3)=1,'Вводные'!$B$67,IF(AND(MONTH(CV$3)&gt;=5,MONTH(CV$3)&lt;=8),'Вводные'!$B$70,0))),0)</x:f>
      </x:c>
      <x:c r="CW33" t="n">
        <x:f>IF(AND(CW$3&gt;=$B$30,CW$3&lt;EDATE($B$30,MAX(1,'Вводные'!$H$89)),'Вводные'!$B$89="Да"),(1+'Вводные'!$AD$89*'Вводные'!$H$7)^MAX(0,(12*(YEAR(CW$3)-YEAR($B$30))+MONTH(CW$3)-MONTH($B$30)))*(1+IF(MONTH(CW$3)=1,'Вводные'!$B$67,IF(AND(MONTH(CW$3)&gt;=5,MONTH(CW$3)&lt;=8),'Вводные'!$B$70,0))),0)</x:f>
      </x:c>
      <x:c r="CX33" t="n">
        <x:f>IF(AND(CX$3&gt;=$B$30,CX$3&lt;EDATE($B$30,MAX(1,'Вводные'!$H$89)),'Вводные'!$B$89="Да"),(1+'Вводные'!$AD$89*'Вводные'!$H$7)^MAX(0,(12*(YEAR(CX$3)-YEAR($B$30))+MONTH(CX$3)-MONTH($B$30)))*(1+IF(MONTH(CX$3)=1,'Вводные'!$B$67,IF(AND(MONTH(CX$3)&gt;=5,MONTH(CX$3)&lt;=8),'Вводные'!$B$70,0))),0)</x:f>
      </x:c>
      <x:c r="CY33" t="n">
        <x:f>IF(AND(CY$3&gt;=$B$30,CY$3&lt;EDATE($B$30,MAX(1,'Вводные'!$H$89)),'Вводные'!$B$89="Да"),(1+'Вводные'!$AD$89*'Вводные'!$H$7)^MAX(0,(12*(YEAR(CY$3)-YEAR($B$30))+MONTH(CY$3)-MONTH($B$30)))*(1+IF(MONTH(CY$3)=1,'Вводные'!$B$67,IF(AND(MONTH(CY$3)&gt;=5,MONTH(CY$3)&lt;=8),'Вводные'!$B$70,0))),0)</x:f>
      </x:c>
      <x:c r="CZ33" t="n">
        <x:f>IF(AND(CZ$3&gt;=$B$30,CZ$3&lt;EDATE($B$30,MAX(1,'Вводные'!$H$89)),'Вводные'!$B$89="Да"),(1+'Вводные'!$AD$89*'Вводные'!$H$7)^MAX(0,(12*(YEAR(CZ$3)-YEAR($B$30))+MONTH(CZ$3)-MONTH($B$30)))*(1+IF(MONTH(CZ$3)=1,'Вводные'!$B$67,IF(AND(MONTH(CZ$3)&gt;=5,MONTH(CZ$3)&lt;=8),'Вводные'!$B$70,0))),0)</x:f>
      </x:c>
      <x:c r="DA33" t="n">
        <x:f>IF(AND(DA$3&gt;=$B$30,DA$3&lt;EDATE($B$30,MAX(1,'Вводные'!$H$89)),'Вводные'!$B$89="Да"),(1+'Вводные'!$AD$89*'Вводные'!$H$7)^MAX(0,(12*(YEAR(DA$3)-YEAR($B$30))+MONTH(DA$3)-MONTH($B$30)))*(1+IF(MONTH(DA$3)=1,'Вводные'!$B$67,IF(AND(MONTH(DA$3)&gt;=5,MONTH(DA$3)&lt;=8),'Вводные'!$B$70,0))),0)</x:f>
      </x:c>
      <x:c r="DB33" t="n">
        <x:f>IF(AND(DB$3&gt;=$B$30,DB$3&lt;EDATE($B$30,MAX(1,'Вводные'!$H$89)),'Вводные'!$B$89="Да"),(1+'Вводные'!$AD$89*'Вводные'!$H$7)^MAX(0,(12*(YEAR(DB$3)-YEAR($B$30))+MONTH(DB$3)-MONTH($B$30)))*(1+IF(MONTH(DB$3)=1,'Вводные'!$B$67,IF(AND(MONTH(DB$3)&gt;=5,MONTH(DB$3)&lt;=8),'Вводные'!$B$70,0))),0)</x:f>
      </x:c>
      <x:c r="DC33" t="n">
        <x:f>IF(AND(DC$3&gt;=$B$30,DC$3&lt;EDATE($B$30,MAX(1,'Вводные'!$H$89)),'Вводные'!$B$89="Да"),(1+'Вводные'!$AD$89*'Вводные'!$H$7)^MAX(0,(12*(YEAR(DC$3)-YEAR($B$30))+MONTH(DC$3)-MONTH($B$30)))*(1+IF(MONTH(DC$3)=1,'Вводные'!$B$67,IF(AND(MONTH(DC$3)&gt;=5,MONTH(DC$3)&lt;=8),'Вводные'!$B$70,0))),0)</x:f>
      </x:c>
      <x:c r="DD33" t="n">
        <x:f>IF(AND(DD$3&gt;=$B$30,DD$3&lt;EDATE($B$30,MAX(1,'Вводные'!$H$89)),'Вводные'!$B$89="Да"),(1+'Вводные'!$AD$89*'Вводные'!$H$7)^MAX(0,(12*(YEAR(DD$3)-YEAR($B$30))+MONTH(DD$3)-MONTH($B$30)))*(1+IF(MONTH(DD$3)=1,'Вводные'!$B$67,IF(AND(MONTH(DD$3)&gt;=5,MONTH(DD$3)&lt;=8),'Вводные'!$B$70,0))),0)</x:f>
      </x:c>
      <x:c r="DE33" t="n">
        <x:f>IF(AND(DE$3&gt;=$B$30,DE$3&lt;EDATE($B$30,MAX(1,'Вводные'!$H$89)),'Вводные'!$B$89="Да"),(1+'Вводные'!$AD$89*'Вводные'!$H$7)^MAX(0,(12*(YEAR(DE$3)-YEAR($B$30))+MONTH(DE$3)-MONTH($B$30)))*(1+IF(MONTH(DE$3)=1,'Вводные'!$B$67,IF(AND(MONTH(DE$3)&gt;=5,MONTH(DE$3)&lt;=8),'Вводные'!$B$70,0))),0)</x:f>
      </x:c>
      <x:c r="DF33" t="n">
        <x:f>IF(AND(DF$3&gt;=$B$30,DF$3&lt;EDATE($B$30,MAX(1,'Вводные'!$H$89)),'Вводные'!$B$89="Да"),(1+'Вводные'!$AD$89*'Вводные'!$H$7)^MAX(0,(12*(YEAR(DF$3)-YEAR($B$30))+MONTH(DF$3)-MONTH($B$30)))*(1+IF(MONTH(DF$3)=1,'Вводные'!$B$67,IF(AND(MONTH(DF$3)&gt;=5,MONTH(DF$3)&lt;=8),'Вводные'!$B$70,0))),0)</x:f>
      </x:c>
      <x:c r="DG33" t="n">
        <x:f>IF(AND(DG$3&gt;=$B$30,DG$3&lt;EDATE($B$30,MAX(1,'Вводные'!$H$89)),'Вводные'!$B$89="Да"),(1+'Вводные'!$AD$89*'Вводные'!$H$7)^MAX(0,(12*(YEAR(DG$3)-YEAR($B$30))+MONTH(DG$3)-MONTH($B$30)))*(1+IF(MONTH(DG$3)=1,'Вводные'!$B$67,IF(AND(MONTH(DG$3)&gt;=5,MONTH(DG$3)&lt;=8),'Вводные'!$B$70,0))),0)</x:f>
      </x:c>
      <x:c r="DH33" t="n">
        <x:f>IF(AND(DH$3&gt;=$B$30,DH$3&lt;EDATE($B$30,MAX(1,'Вводные'!$H$89)),'Вводные'!$B$89="Да"),(1+'Вводные'!$AD$89*'Вводные'!$H$7)^MAX(0,(12*(YEAR(DH$3)-YEAR($B$30))+MONTH(DH$3)-MONTH($B$30)))*(1+IF(MONTH(DH$3)=1,'Вводные'!$B$67,IF(AND(MONTH(DH$3)&gt;=5,MONTH(DH$3)&lt;=8),'Вводные'!$B$70,0))),0)</x:f>
      </x:c>
      <x:c r="DI33" t="n">
        <x:f>IF(AND(DI$3&gt;=$B$30,DI$3&lt;EDATE($B$30,MAX(1,'Вводные'!$H$89)),'Вводные'!$B$89="Да"),(1+'Вводные'!$AD$89*'Вводные'!$H$7)^MAX(0,(12*(YEAR(DI$3)-YEAR($B$30))+MONTH(DI$3)-MONTH($B$30)))*(1+IF(MONTH(DI$3)=1,'Вводные'!$B$67,IF(AND(MONTH(DI$3)&gt;=5,MONTH(DI$3)&lt;=8),'Вводные'!$B$70,0))),0)</x:f>
      </x:c>
      <x:c r="DJ33" t="n">
        <x:f>IF(AND(DJ$3&gt;=$B$30,DJ$3&lt;EDATE($B$30,MAX(1,'Вводные'!$H$89)),'Вводные'!$B$89="Да"),(1+'Вводные'!$AD$89*'Вводные'!$H$7)^MAX(0,(12*(YEAR(DJ$3)-YEAR($B$30))+MONTH(DJ$3)-MONTH($B$30)))*(1+IF(MONTH(DJ$3)=1,'Вводные'!$B$67,IF(AND(MONTH(DJ$3)&gt;=5,MONTH(DJ$3)&lt;=8),'Вводные'!$B$70,0))),0)</x:f>
      </x:c>
      <x:c r="DK33" t="n">
        <x:f>IF(AND(DK$3&gt;=$B$30,DK$3&lt;EDATE($B$30,MAX(1,'Вводные'!$H$89)),'Вводные'!$B$89="Да"),(1+'Вводные'!$AD$89*'Вводные'!$H$7)^MAX(0,(12*(YEAR(DK$3)-YEAR($B$30))+MONTH(DK$3)-MONTH($B$30)))*(1+IF(MONTH(DK$3)=1,'Вводные'!$B$67,IF(AND(MONTH(DK$3)&gt;=5,MONTH(DK$3)&lt;=8),'Вводные'!$B$70,0))),0)</x:f>
      </x:c>
      <x:c r="DL33" t="n">
        <x:f>IF(AND(DL$3&gt;=$B$30,DL$3&lt;EDATE($B$30,MAX(1,'Вводные'!$H$89)),'Вводные'!$B$89="Да"),(1+'Вводные'!$AD$89*'Вводные'!$H$7)^MAX(0,(12*(YEAR(DL$3)-YEAR($B$30))+MONTH(DL$3)-MONTH($B$30)))*(1+IF(MONTH(DL$3)=1,'Вводные'!$B$67,IF(AND(MONTH(DL$3)&gt;=5,MONTH(DL$3)&lt;=8),'Вводные'!$B$70,0))),0)</x:f>
      </x:c>
      <x:c r="DM33" t="n">
        <x:f>IF(AND(DM$3&gt;=$B$30,DM$3&lt;EDATE($B$30,MAX(1,'Вводные'!$H$89)),'Вводные'!$B$89="Да"),(1+'Вводные'!$AD$89*'Вводные'!$H$7)^MAX(0,(12*(YEAR(DM$3)-YEAR($B$30))+MONTH(DM$3)-MONTH($B$30)))*(1+IF(MONTH(DM$3)=1,'Вводные'!$B$67,IF(AND(MONTH(DM$3)&gt;=5,MONTH(DM$3)&lt;=8),'Вводные'!$B$70,0))),0)</x:f>
      </x:c>
      <x:c r="DN33" t="n">
        <x:f>IF(AND(DN$3&gt;=$B$30,DN$3&lt;EDATE($B$30,MAX(1,'Вводные'!$H$89)),'Вводные'!$B$89="Да"),(1+'Вводные'!$AD$89*'Вводные'!$H$7)^MAX(0,(12*(YEAR(DN$3)-YEAR($B$30))+MONTH(DN$3)-MONTH($B$30)))*(1+IF(MONTH(DN$3)=1,'Вводные'!$B$67,IF(AND(MONTH(DN$3)&gt;=5,MONTH(DN$3)&lt;=8),'Вводные'!$B$70,0))),0)</x:f>
      </x:c>
      <x:c r="DO33" t="n">
        <x:f>IF(AND(DO$3&gt;=$B$30,DO$3&lt;EDATE($B$30,MAX(1,'Вводные'!$H$89)),'Вводные'!$B$89="Да"),(1+'Вводные'!$AD$89*'Вводные'!$H$7)^MAX(0,(12*(YEAR(DO$3)-YEAR($B$30))+MONTH(DO$3)-MONTH($B$30)))*(1+IF(MONTH(DO$3)=1,'Вводные'!$B$67,IF(AND(MONTH(DO$3)&gt;=5,MONTH(DO$3)&lt;=8),'Вводные'!$B$70,0))),0)</x:f>
      </x:c>
      <x:c r="DP33" t="n">
        <x:f>IF(AND(DP$3&gt;=$B$30,DP$3&lt;EDATE($B$30,MAX(1,'Вводные'!$H$89)),'Вводные'!$B$89="Да"),(1+'Вводные'!$AD$89*'Вводные'!$H$7)^MAX(0,(12*(YEAR(DP$3)-YEAR($B$30))+MONTH(DP$3)-MONTH($B$30)))*(1+IF(MONTH(DP$3)=1,'Вводные'!$B$67,IF(AND(MONTH(DP$3)&gt;=5,MONTH(DP$3)&lt;=8),'Вводные'!$B$70,0))),0)</x:f>
      </x:c>
      <x:c r="DQ33" t="n">
        <x:f>IF(AND(DQ$3&gt;=$B$30,DQ$3&lt;EDATE($B$30,MAX(1,'Вводные'!$H$89)),'Вводные'!$B$89="Да"),(1+'Вводные'!$AD$89*'Вводные'!$H$7)^MAX(0,(12*(YEAR(DQ$3)-YEAR($B$30))+MONTH(DQ$3)-MONTH($B$30)))*(1+IF(MONTH(DQ$3)=1,'Вводные'!$B$67,IF(AND(MONTH(DQ$3)&gt;=5,MONTH(DQ$3)&lt;=8),'Вводные'!$B$70,0))),0)</x:f>
      </x:c>
      <x:c r="DR33" t="n">
        <x:f>IF(AND(DR$3&gt;=$B$30,DR$3&lt;EDATE($B$30,MAX(1,'Вводные'!$H$89)),'Вводные'!$B$89="Да"),(1+'Вводные'!$AD$89*'Вводные'!$H$7)^MAX(0,(12*(YEAR(DR$3)-YEAR($B$30))+MONTH(DR$3)-MONTH($B$30)))*(1+IF(MONTH(DR$3)=1,'Вводные'!$B$67,IF(AND(MONTH(DR$3)&gt;=5,MONTH(DR$3)&lt;=8),'Вводные'!$B$70,0))),0)</x:f>
      </x:c>
      <x:c r="DS33" t="n">
        <x:f>IF(AND(DS$3&gt;=$B$30,DS$3&lt;EDATE($B$30,MAX(1,'Вводные'!$H$89)),'Вводные'!$B$89="Да"),(1+'Вводные'!$AD$89*'Вводные'!$H$7)^MAX(0,(12*(YEAR(DS$3)-YEAR($B$30))+MONTH(DS$3)-MONTH($B$30)))*(1+IF(MONTH(DS$3)=1,'Вводные'!$B$67,IF(AND(MONTH(DS$3)&gt;=5,MONTH(DS$3)&lt;=8),'Вводные'!$B$70,0))),0)</x:f>
      </x:c>
    </x:row>
    <x:row r="34">
      <x:c r="A34" t="str">
        <x:v>Нормированный вес до РВЭ</x:v>
      </x:c>
      <x:c r="B34" t="n">
        <x:f>SUM(D34:DS34)</x:f>
      </x:c>
      <x:c r="C34" t="str">
        <x:v>%</x:v>
      </x:c>
      <x:c r="D34" s="35" t="n">
        <x:f>IFERROR(D33*D32/SUMPRODUCT($D33:$DS33,$D32:$DS32),0)</x:f>
      </x:c>
      <x:c r="E34" s="35" t="n">
        <x:f>IFERROR(E33*E32/SUMPRODUCT($D33:$DS33,$D32:$DS32),0)</x:f>
      </x:c>
      <x:c r="F34" s="35" t="n">
        <x:f>IFERROR(F33*F32/SUMPRODUCT($D33:$DS33,$D32:$DS32),0)</x:f>
      </x:c>
      <x:c r="G34" s="35" t="n">
        <x:f>IFERROR(G33*G32/SUMPRODUCT($D33:$DS33,$D32:$DS32),0)</x:f>
      </x:c>
      <x:c r="H34" s="35" t="n">
        <x:f>IFERROR(H33*H32/SUMPRODUCT($D33:$DS33,$D32:$DS32),0)</x:f>
      </x:c>
      <x:c r="I34" s="35" t="n">
        <x:f>IFERROR(I33*I32/SUMPRODUCT($D33:$DS33,$D32:$DS32),0)</x:f>
      </x:c>
      <x:c r="J34" s="35" t="n">
        <x:f>IFERROR(J33*J32/SUMPRODUCT($D33:$DS33,$D32:$DS32),0)</x:f>
      </x:c>
      <x:c r="K34" s="35" t="n">
        <x:f>IFERROR(K33*K32/SUMPRODUCT($D33:$DS33,$D32:$DS32),0)</x:f>
      </x:c>
      <x:c r="L34" s="35" t="n">
        <x:f>IFERROR(L33*L32/SUMPRODUCT($D33:$DS33,$D32:$DS32),0)</x:f>
      </x:c>
      <x:c r="M34" s="35" t="n">
        <x:f>IFERROR(M33*M32/SUMPRODUCT($D33:$DS33,$D32:$DS32),0)</x:f>
      </x:c>
      <x:c r="N34" s="35" t="n">
        <x:f>IFERROR(N33*N32/SUMPRODUCT($D33:$DS33,$D32:$DS32),0)</x:f>
      </x:c>
      <x:c r="O34" s="35" t="n">
        <x:f>IFERROR(O33*O32/SUMPRODUCT($D33:$DS33,$D32:$DS32),0)</x:f>
      </x:c>
      <x:c r="P34" s="35" t="n">
        <x:f>IFERROR(P33*P32/SUMPRODUCT($D33:$DS33,$D32:$DS32),0)</x:f>
      </x:c>
      <x:c r="Q34" s="35" t="n">
        <x:f>IFERROR(Q33*Q32/SUMPRODUCT($D33:$DS33,$D32:$DS32),0)</x:f>
      </x:c>
      <x:c r="R34" s="35" t="n">
        <x:f>IFERROR(R33*R32/SUMPRODUCT($D33:$DS33,$D32:$DS32),0)</x:f>
      </x:c>
      <x:c r="S34" s="35" t="n">
        <x:f>IFERROR(S33*S32/SUMPRODUCT($D33:$DS33,$D32:$DS32),0)</x:f>
      </x:c>
      <x:c r="T34" s="35" t="n">
        <x:f>IFERROR(T33*T32/SUMPRODUCT($D33:$DS33,$D32:$DS32),0)</x:f>
      </x:c>
      <x:c r="U34" s="35" t="n">
        <x:f>IFERROR(U33*U32/SUMPRODUCT($D33:$DS33,$D32:$DS32),0)</x:f>
      </x:c>
      <x:c r="V34" s="35" t="n">
        <x:f>IFERROR(V33*V32/SUMPRODUCT($D33:$DS33,$D32:$DS32),0)</x:f>
      </x:c>
      <x:c r="W34" s="35" t="n">
        <x:f>IFERROR(W33*W32/SUMPRODUCT($D33:$DS33,$D32:$DS32),0)</x:f>
      </x:c>
      <x:c r="X34" s="35" t="n">
        <x:f>IFERROR(X33*X32/SUMPRODUCT($D33:$DS33,$D32:$DS32),0)</x:f>
      </x:c>
      <x:c r="Y34" s="35" t="n">
        <x:f>IFERROR(Y33*Y32/SUMPRODUCT($D33:$DS33,$D32:$DS32),0)</x:f>
      </x:c>
      <x:c r="Z34" s="35" t="n">
        <x:f>IFERROR(Z33*Z32/SUMPRODUCT($D33:$DS33,$D32:$DS32),0)</x:f>
      </x:c>
      <x:c r="AA34" s="35" t="n">
        <x:f>IFERROR(AA33*AA32/SUMPRODUCT($D33:$DS33,$D32:$DS32),0)</x:f>
      </x:c>
      <x:c r="AB34" s="35" t="n">
        <x:f>IFERROR(AB33*AB32/SUMPRODUCT($D33:$DS33,$D32:$DS32),0)</x:f>
      </x:c>
      <x:c r="AC34" s="35" t="n">
        <x:f>IFERROR(AC33*AC32/SUMPRODUCT($D33:$DS33,$D32:$DS32),0)</x:f>
      </x:c>
      <x:c r="AD34" s="35" t="n">
        <x:f>IFERROR(AD33*AD32/SUMPRODUCT($D33:$DS33,$D32:$DS32),0)</x:f>
      </x:c>
      <x:c r="AE34" s="35" t="n">
        <x:f>IFERROR(AE33*AE32/SUMPRODUCT($D33:$DS33,$D32:$DS32),0)</x:f>
      </x:c>
      <x:c r="AF34" s="35" t="n">
        <x:f>IFERROR(AF33*AF32/SUMPRODUCT($D33:$DS33,$D32:$DS32),0)</x:f>
      </x:c>
      <x:c r="AG34" s="35" t="n">
        <x:f>IFERROR(AG33*AG32/SUMPRODUCT($D33:$DS33,$D32:$DS32),0)</x:f>
      </x:c>
      <x:c r="AH34" s="35" t="n">
        <x:f>IFERROR(AH33*AH32/SUMPRODUCT($D33:$DS33,$D32:$DS32),0)</x:f>
      </x:c>
      <x:c r="AI34" s="35" t="n">
        <x:f>IFERROR(AI33*AI32/SUMPRODUCT($D33:$DS33,$D32:$DS32),0)</x:f>
      </x:c>
      <x:c r="AJ34" s="35" t="n">
        <x:f>IFERROR(AJ33*AJ32/SUMPRODUCT($D33:$DS33,$D32:$DS32),0)</x:f>
      </x:c>
      <x:c r="AK34" s="35" t="n">
        <x:f>IFERROR(AK33*AK32/SUMPRODUCT($D33:$DS33,$D32:$DS32),0)</x:f>
      </x:c>
      <x:c r="AL34" s="35" t="n">
        <x:f>IFERROR(AL33*AL32/SUMPRODUCT($D33:$DS33,$D32:$DS32),0)</x:f>
      </x:c>
      <x:c r="AM34" s="35" t="n">
        <x:f>IFERROR(AM33*AM32/SUMPRODUCT($D33:$DS33,$D32:$DS32),0)</x:f>
      </x:c>
      <x:c r="AN34" s="35" t="n">
        <x:f>IFERROR(AN33*AN32/SUMPRODUCT($D33:$DS33,$D32:$DS32),0)</x:f>
      </x:c>
      <x:c r="AO34" s="35" t="n">
        <x:f>IFERROR(AO33*AO32/SUMPRODUCT($D33:$DS33,$D32:$DS32),0)</x:f>
      </x:c>
      <x:c r="AP34" s="35" t="n">
        <x:f>IFERROR(AP33*AP32/SUMPRODUCT($D33:$DS33,$D32:$DS32),0)</x:f>
      </x:c>
      <x:c r="AQ34" s="35" t="n">
        <x:f>IFERROR(AQ33*AQ32/SUMPRODUCT($D33:$DS33,$D32:$DS32),0)</x:f>
      </x:c>
      <x:c r="AR34" s="35" t="n">
        <x:f>IFERROR(AR33*AR32/SUMPRODUCT($D33:$DS33,$D32:$DS32),0)</x:f>
      </x:c>
      <x:c r="AS34" s="35" t="n">
        <x:f>IFERROR(AS33*AS32/SUMPRODUCT($D33:$DS33,$D32:$DS32),0)</x:f>
      </x:c>
      <x:c r="AT34" s="35" t="n">
        <x:f>IFERROR(AT33*AT32/SUMPRODUCT($D33:$DS33,$D32:$DS32),0)</x:f>
      </x:c>
      <x:c r="AU34" s="35" t="n">
        <x:f>IFERROR(AU33*AU32/SUMPRODUCT($D33:$DS33,$D32:$DS32),0)</x:f>
      </x:c>
      <x:c r="AV34" s="35" t="n">
        <x:f>IFERROR(AV33*AV32/SUMPRODUCT($D33:$DS33,$D32:$DS32),0)</x:f>
      </x:c>
      <x:c r="AW34" s="35" t="n">
        <x:f>IFERROR(AW33*AW32/SUMPRODUCT($D33:$DS33,$D32:$DS32),0)</x:f>
      </x:c>
      <x:c r="AX34" s="35" t="n">
        <x:f>IFERROR(AX33*AX32/SUMPRODUCT($D33:$DS33,$D32:$DS32),0)</x:f>
      </x:c>
      <x:c r="AY34" s="35" t="n">
        <x:f>IFERROR(AY33*AY32/SUMPRODUCT($D33:$DS33,$D32:$DS32),0)</x:f>
      </x:c>
      <x:c r="AZ34" s="35" t="n">
        <x:f>IFERROR(AZ33*AZ32/SUMPRODUCT($D33:$DS33,$D32:$DS32),0)</x:f>
      </x:c>
      <x:c r="BA34" s="35" t="n">
        <x:f>IFERROR(BA33*BA32/SUMPRODUCT($D33:$DS33,$D32:$DS32),0)</x:f>
      </x:c>
      <x:c r="BB34" s="35" t="n">
        <x:f>IFERROR(BB33*BB32/SUMPRODUCT($D33:$DS33,$D32:$DS32),0)</x:f>
      </x:c>
      <x:c r="BC34" s="35" t="n">
        <x:f>IFERROR(BC33*BC32/SUMPRODUCT($D33:$DS33,$D32:$DS32),0)</x:f>
      </x:c>
      <x:c r="BD34" s="35" t="n">
        <x:f>IFERROR(BD33*BD32/SUMPRODUCT($D33:$DS33,$D32:$DS32),0)</x:f>
      </x:c>
      <x:c r="BE34" s="35" t="n">
        <x:f>IFERROR(BE33*BE32/SUMPRODUCT($D33:$DS33,$D32:$DS32),0)</x:f>
      </x:c>
      <x:c r="BF34" s="35" t="n">
        <x:f>IFERROR(BF33*BF32/SUMPRODUCT($D33:$DS33,$D32:$DS32),0)</x:f>
      </x:c>
      <x:c r="BG34" s="35" t="n">
        <x:f>IFERROR(BG33*BG32/SUMPRODUCT($D33:$DS33,$D32:$DS32),0)</x:f>
      </x:c>
      <x:c r="BH34" s="35" t="n">
        <x:f>IFERROR(BH33*BH32/SUMPRODUCT($D33:$DS33,$D32:$DS32),0)</x:f>
      </x:c>
      <x:c r="BI34" s="35" t="n">
        <x:f>IFERROR(BI33*BI32/SUMPRODUCT($D33:$DS33,$D32:$DS32),0)</x:f>
      </x:c>
      <x:c r="BJ34" s="35" t="n">
        <x:f>IFERROR(BJ33*BJ32/SUMPRODUCT($D33:$DS33,$D32:$DS32),0)</x:f>
      </x:c>
      <x:c r="BK34" s="35" t="n">
        <x:f>IFERROR(BK33*BK32/SUMPRODUCT($D33:$DS33,$D32:$DS32),0)</x:f>
      </x:c>
      <x:c r="BL34" s="35" t="n">
        <x:f>IFERROR(BL33*BL32/SUMPRODUCT($D33:$DS33,$D32:$DS32),0)</x:f>
      </x:c>
      <x:c r="BM34" s="35" t="n">
        <x:f>IFERROR(BM33*BM32/SUMPRODUCT($D33:$DS33,$D32:$DS32),0)</x:f>
      </x:c>
      <x:c r="BN34" s="35" t="n">
        <x:f>IFERROR(BN33*BN32/SUMPRODUCT($D33:$DS33,$D32:$DS32),0)</x:f>
      </x:c>
      <x:c r="BO34" s="35" t="n">
        <x:f>IFERROR(BO33*BO32/SUMPRODUCT($D33:$DS33,$D32:$DS32),0)</x:f>
      </x:c>
      <x:c r="BP34" s="35" t="n">
        <x:f>IFERROR(BP33*BP32/SUMPRODUCT($D33:$DS33,$D32:$DS32),0)</x:f>
      </x:c>
      <x:c r="BQ34" s="35" t="n">
        <x:f>IFERROR(BQ33*BQ32/SUMPRODUCT($D33:$DS33,$D32:$DS32),0)</x:f>
      </x:c>
      <x:c r="BR34" s="35" t="n">
        <x:f>IFERROR(BR33*BR32/SUMPRODUCT($D33:$DS33,$D32:$DS32),0)</x:f>
      </x:c>
      <x:c r="BS34" s="35" t="n">
        <x:f>IFERROR(BS33*BS32/SUMPRODUCT($D33:$DS33,$D32:$DS32),0)</x:f>
      </x:c>
      <x:c r="BT34" s="35" t="n">
        <x:f>IFERROR(BT33*BT32/SUMPRODUCT($D33:$DS33,$D32:$DS32),0)</x:f>
      </x:c>
      <x:c r="BU34" s="35" t="n">
        <x:f>IFERROR(BU33*BU32/SUMPRODUCT($D33:$DS33,$D32:$DS32),0)</x:f>
      </x:c>
      <x:c r="BV34" s="35" t="n">
        <x:f>IFERROR(BV33*BV32/SUMPRODUCT($D33:$DS33,$D32:$DS32),0)</x:f>
      </x:c>
      <x:c r="BW34" s="35" t="n">
        <x:f>IFERROR(BW33*BW32/SUMPRODUCT($D33:$DS33,$D32:$DS32),0)</x:f>
      </x:c>
      <x:c r="BX34" s="35" t="n">
        <x:f>IFERROR(BX33*BX32/SUMPRODUCT($D33:$DS33,$D32:$DS32),0)</x:f>
      </x:c>
      <x:c r="BY34" s="35" t="n">
        <x:f>IFERROR(BY33*BY32/SUMPRODUCT($D33:$DS33,$D32:$DS32),0)</x:f>
      </x:c>
      <x:c r="BZ34" s="35" t="n">
        <x:f>IFERROR(BZ33*BZ32/SUMPRODUCT($D33:$DS33,$D32:$DS32),0)</x:f>
      </x:c>
      <x:c r="CA34" s="35" t="n">
        <x:f>IFERROR(CA33*CA32/SUMPRODUCT($D33:$DS33,$D32:$DS32),0)</x:f>
      </x:c>
      <x:c r="CB34" s="35" t="n">
        <x:f>IFERROR(CB33*CB32/SUMPRODUCT($D33:$DS33,$D32:$DS32),0)</x:f>
      </x:c>
      <x:c r="CC34" s="35" t="n">
        <x:f>IFERROR(CC33*CC32/SUMPRODUCT($D33:$DS33,$D32:$DS32),0)</x:f>
      </x:c>
      <x:c r="CD34" s="35" t="n">
        <x:f>IFERROR(CD33*CD32/SUMPRODUCT($D33:$DS33,$D32:$DS32),0)</x:f>
      </x:c>
      <x:c r="CE34" s="35" t="n">
        <x:f>IFERROR(CE33*CE32/SUMPRODUCT($D33:$DS33,$D32:$DS32),0)</x:f>
      </x:c>
      <x:c r="CF34" s="35" t="n">
        <x:f>IFERROR(CF33*CF32/SUMPRODUCT($D33:$DS33,$D32:$DS32),0)</x:f>
      </x:c>
      <x:c r="CG34" s="35" t="n">
        <x:f>IFERROR(CG33*CG32/SUMPRODUCT($D33:$DS33,$D32:$DS32),0)</x:f>
      </x:c>
      <x:c r="CH34" s="35" t="n">
        <x:f>IFERROR(CH33*CH32/SUMPRODUCT($D33:$DS33,$D32:$DS32),0)</x:f>
      </x:c>
      <x:c r="CI34" s="35" t="n">
        <x:f>IFERROR(CI33*CI32/SUMPRODUCT($D33:$DS33,$D32:$DS32),0)</x:f>
      </x:c>
      <x:c r="CJ34" s="35" t="n">
        <x:f>IFERROR(CJ33*CJ32/SUMPRODUCT($D33:$DS33,$D32:$DS32),0)</x:f>
      </x:c>
      <x:c r="CK34" s="35" t="n">
        <x:f>IFERROR(CK33*CK32/SUMPRODUCT($D33:$DS33,$D32:$DS32),0)</x:f>
      </x:c>
      <x:c r="CL34" s="35" t="n">
        <x:f>IFERROR(CL33*CL32/SUMPRODUCT($D33:$DS33,$D32:$DS32),0)</x:f>
      </x:c>
      <x:c r="CM34" s="35" t="n">
        <x:f>IFERROR(CM33*CM32/SUMPRODUCT($D33:$DS33,$D32:$DS32),0)</x:f>
      </x:c>
      <x:c r="CN34" s="35" t="n">
        <x:f>IFERROR(CN33*CN32/SUMPRODUCT($D33:$DS33,$D32:$DS32),0)</x:f>
      </x:c>
      <x:c r="CO34" s="35" t="n">
        <x:f>IFERROR(CO33*CO32/SUMPRODUCT($D33:$DS33,$D32:$DS32),0)</x:f>
      </x:c>
      <x:c r="CP34" s="35" t="n">
        <x:f>IFERROR(CP33*CP32/SUMPRODUCT($D33:$DS33,$D32:$DS32),0)</x:f>
      </x:c>
      <x:c r="CQ34" s="35" t="n">
        <x:f>IFERROR(CQ33*CQ32/SUMPRODUCT($D33:$DS33,$D32:$DS32),0)</x:f>
      </x:c>
      <x:c r="CR34" s="35" t="n">
        <x:f>IFERROR(CR33*CR32/SUMPRODUCT($D33:$DS33,$D32:$DS32),0)</x:f>
      </x:c>
      <x:c r="CS34" s="35" t="n">
        <x:f>IFERROR(CS33*CS32/SUMPRODUCT($D33:$DS33,$D32:$DS32),0)</x:f>
      </x:c>
      <x:c r="CT34" s="35" t="n">
        <x:f>IFERROR(CT33*CT32/SUMPRODUCT($D33:$DS33,$D32:$DS32),0)</x:f>
      </x:c>
      <x:c r="CU34" s="35" t="n">
        <x:f>IFERROR(CU33*CU32/SUMPRODUCT($D33:$DS33,$D32:$DS32),0)</x:f>
      </x:c>
      <x:c r="CV34" s="35" t="n">
        <x:f>IFERROR(CV33*CV32/SUMPRODUCT($D33:$DS33,$D32:$DS32),0)</x:f>
      </x:c>
      <x:c r="CW34" s="35" t="n">
        <x:f>IFERROR(CW33*CW32/SUMPRODUCT($D33:$DS33,$D32:$DS32),0)</x:f>
      </x:c>
      <x:c r="CX34" s="35" t="n">
        <x:f>IFERROR(CX33*CX32/SUMPRODUCT($D33:$DS33,$D32:$DS32),0)</x:f>
      </x:c>
      <x:c r="CY34" s="35" t="n">
        <x:f>IFERROR(CY33*CY32/SUMPRODUCT($D33:$DS33,$D32:$DS32),0)</x:f>
      </x:c>
      <x:c r="CZ34" s="35" t="n">
        <x:f>IFERROR(CZ33*CZ32/SUMPRODUCT($D33:$DS33,$D32:$DS32),0)</x:f>
      </x:c>
      <x:c r="DA34" s="35" t="n">
        <x:f>IFERROR(DA33*DA32/SUMPRODUCT($D33:$DS33,$D32:$DS32),0)</x:f>
      </x:c>
      <x:c r="DB34" s="35" t="n">
        <x:f>IFERROR(DB33*DB32/SUMPRODUCT($D33:$DS33,$D32:$DS32),0)</x:f>
      </x:c>
      <x:c r="DC34" s="35" t="n">
        <x:f>IFERROR(DC33*DC32/SUMPRODUCT($D33:$DS33,$D32:$DS32),0)</x:f>
      </x:c>
      <x:c r="DD34" s="35" t="n">
        <x:f>IFERROR(DD33*DD32/SUMPRODUCT($D33:$DS33,$D32:$DS32),0)</x:f>
      </x:c>
      <x:c r="DE34" s="35" t="n">
        <x:f>IFERROR(DE33*DE32/SUMPRODUCT($D33:$DS33,$D32:$DS32),0)</x:f>
      </x:c>
      <x:c r="DF34" s="35" t="n">
        <x:f>IFERROR(DF33*DF32/SUMPRODUCT($D33:$DS33,$D32:$DS32),0)</x:f>
      </x:c>
      <x:c r="DG34" s="35" t="n">
        <x:f>IFERROR(DG33*DG32/SUMPRODUCT($D33:$DS33,$D32:$DS32),0)</x:f>
      </x:c>
      <x:c r="DH34" s="35" t="n">
        <x:f>IFERROR(DH33*DH32/SUMPRODUCT($D33:$DS33,$D32:$DS32),0)</x:f>
      </x:c>
      <x:c r="DI34" s="35" t="n">
        <x:f>IFERROR(DI33*DI32/SUMPRODUCT($D33:$DS33,$D32:$DS32),0)</x:f>
      </x:c>
      <x:c r="DJ34" s="35" t="n">
        <x:f>IFERROR(DJ33*DJ32/SUMPRODUCT($D33:$DS33,$D32:$DS32),0)</x:f>
      </x:c>
      <x:c r="DK34" s="35" t="n">
        <x:f>IFERROR(DK33*DK32/SUMPRODUCT($D33:$DS33,$D32:$DS32),0)</x:f>
      </x:c>
      <x:c r="DL34" s="35" t="n">
        <x:f>IFERROR(DL33*DL32/SUMPRODUCT($D33:$DS33,$D32:$DS32),0)</x:f>
      </x:c>
      <x:c r="DM34" s="35" t="n">
        <x:f>IFERROR(DM33*DM32/SUMPRODUCT($D33:$DS33,$D32:$DS32),0)</x:f>
      </x:c>
      <x:c r="DN34" s="35" t="n">
        <x:f>IFERROR(DN33*DN32/SUMPRODUCT($D33:$DS33,$D32:$DS32),0)</x:f>
      </x:c>
      <x:c r="DO34" s="35" t="n">
        <x:f>IFERROR(DO33*DO32/SUMPRODUCT($D33:$DS33,$D32:$DS32),0)</x:f>
      </x:c>
      <x:c r="DP34" s="35" t="n">
        <x:f>IFERROR(DP33*DP32/SUMPRODUCT($D33:$DS33,$D32:$DS32),0)</x:f>
      </x:c>
      <x:c r="DQ34" s="35" t="n">
        <x:f>IFERROR(DQ33*DQ32/SUMPRODUCT($D33:$DS33,$D32:$DS32),0)</x:f>
      </x:c>
      <x:c r="DR34" s="35" t="n">
        <x:f>IFERROR(DR33*DR32/SUMPRODUCT($D33:$DS33,$D32:$DS32),0)</x:f>
      </x:c>
      <x:c r="DS34" s="35" t="n">
        <x:f>IFERROR(DS33*DS32/SUMPRODUCT($D33:$DS33,$D32:$DS32),0)</x:f>
      </x:c>
    </x:row>
    <x:row r="35">
      <x:c r="A35" t="str">
        <x:v>Флаг продаж после РВЭ</x:v>
      </x:c>
      <x:c r="B35"/>
      <x:c r="C35" t="str">
        <x:v>0/1</x:v>
      </x:c>
      <x:c r="D35" s="35" t="n">
        <x:f>--AND(D$3&gt;=MAX($B$30,$B$31),D$3&lt;EDATE($B$30,MAX(1,'Вводные'!$H$89)),'Вводные'!$B$89="Да")</x:f>
      </x:c>
      <x:c r="E35" s="35" t="n">
        <x:f>--AND(E$3&gt;=MAX($B$30,$B$31),E$3&lt;EDATE($B$30,MAX(1,'Вводные'!$H$89)),'Вводные'!$B$89="Да")</x:f>
      </x:c>
      <x:c r="F35" s="35" t="n">
        <x:f>--AND(F$3&gt;=MAX($B$30,$B$31),F$3&lt;EDATE($B$30,MAX(1,'Вводные'!$H$89)),'Вводные'!$B$89="Да")</x:f>
      </x:c>
      <x:c r="G35" s="35" t="n">
        <x:f>--AND(G$3&gt;=MAX($B$30,$B$31),G$3&lt;EDATE($B$30,MAX(1,'Вводные'!$H$89)),'Вводные'!$B$89="Да")</x:f>
      </x:c>
      <x:c r="H35" s="35" t="n">
        <x:f>--AND(H$3&gt;=MAX($B$30,$B$31),H$3&lt;EDATE($B$30,MAX(1,'Вводные'!$H$89)),'Вводные'!$B$89="Да")</x:f>
      </x:c>
      <x:c r="I35" s="35" t="n">
        <x:f>--AND(I$3&gt;=MAX($B$30,$B$31),I$3&lt;EDATE($B$30,MAX(1,'Вводные'!$H$89)),'Вводные'!$B$89="Да")</x:f>
      </x:c>
      <x:c r="J35" s="35" t="n">
        <x:f>--AND(J$3&gt;=MAX($B$30,$B$31),J$3&lt;EDATE($B$30,MAX(1,'Вводные'!$H$89)),'Вводные'!$B$89="Да")</x:f>
      </x:c>
      <x:c r="K35" s="35" t="n">
        <x:f>--AND(K$3&gt;=MAX($B$30,$B$31),K$3&lt;EDATE($B$30,MAX(1,'Вводные'!$H$89)),'Вводные'!$B$89="Да")</x:f>
      </x:c>
      <x:c r="L35" s="35" t="n">
        <x:f>--AND(L$3&gt;=MAX($B$30,$B$31),L$3&lt;EDATE($B$30,MAX(1,'Вводные'!$H$89)),'Вводные'!$B$89="Да")</x:f>
      </x:c>
      <x:c r="M35" s="35" t="n">
        <x:f>--AND(M$3&gt;=MAX($B$30,$B$31),M$3&lt;EDATE($B$30,MAX(1,'Вводные'!$H$89)),'Вводные'!$B$89="Да")</x:f>
      </x:c>
      <x:c r="N35" s="35" t="n">
        <x:f>--AND(N$3&gt;=MAX($B$30,$B$31),N$3&lt;EDATE($B$30,MAX(1,'Вводные'!$H$89)),'Вводные'!$B$89="Да")</x:f>
      </x:c>
      <x:c r="O35" s="35" t="n">
        <x:f>--AND(O$3&gt;=MAX($B$30,$B$31),O$3&lt;EDATE($B$30,MAX(1,'Вводные'!$H$89)),'Вводные'!$B$89="Да")</x:f>
      </x:c>
      <x:c r="P35" s="35" t="n">
        <x:f>--AND(P$3&gt;=MAX($B$30,$B$31),P$3&lt;EDATE($B$30,MAX(1,'Вводные'!$H$89)),'Вводные'!$B$89="Да")</x:f>
      </x:c>
      <x:c r="Q35" s="35" t="n">
        <x:f>--AND(Q$3&gt;=MAX($B$30,$B$31),Q$3&lt;EDATE($B$30,MAX(1,'Вводные'!$H$89)),'Вводные'!$B$89="Да")</x:f>
      </x:c>
      <x:c r="R35" s="35" t="n">
        <x:f>--AND(R$3&gt;=MAX($B$30,$B$31),R$3&lt;EDATE($B$30,MAX(1,'Вводные'!$H$89)),'Вводные'!$B$89="Да")</x:f>
      </x:c>
      <x:c r="S35" s="35" t="n">
        <x:f>--AND(S$3&gt;=MAX($B$30,$B$31),S$3&lt;EDATE($B$30,MAX(1,'Вводные'!$H$89)),'Вводные'!$B$89="Да")</x:f>
      </x:c>
      <x:c r="T35" s="35" t="n">
        <x:f>--AND(T$3&gt;=MAX($B$30,$B$31),T$3&lt;EDATE($B$30,MAX(1,'Вводные'!$H$89)),'Вводные'!$B$89="Да")</x:f>
      </x:c>
      <x:c r="U35" s="35" t="n">
        <x:f>--AND(U$3&gt;=MAX($B$30,$B$31),U$3&lt;EDATE($B$30,MAX(1,'Вводные'!$H$89)),'Вводные'!$B$89="Да")</x:f>
      </x:c>
      <x:c r="V35" s="35" t="n">
        <x:f>--AND(V$3&gt;=MAX($B$30,$B$31),V$3&lt;EDATE($B$30,MAX(1,'Вводные'!$H$89)),'Вводные'!$B$89="Да")</x:f>
      </x:c>
      <x:c r="W35" s="35" t="n">
        <x:f>--AND(W$3&gt;=MAX($B$30,$B$31),W$3&lt;EDATE($B$30,MAX(1,'Вводные'!$H$89)),'Вводные'!$B$89="Да")</x:f>
      </x:c>
      <x:c r="X35" s="35" t="n">
        <x:f>--AND(X$3&gt;=MAX($B$30,$B$31),X$3&lt;EDATE($B$30,MAX(1,'Вводные'!$H$89)),'Вводные'!$B$89="Да")</x:f>
      </x:c>
      <x:c r="Y35" s="35" t="n">
        <x:f>--AND(Y$3&gt;=MAX($B$30,$B$31),Y$3&lt;EDATE($B$30,MAX(1,'Вводные'!$H$89)),'Вводные'!$B$89="Да")</x:f>
      </x:c>
      <x:c r="Z35" s="35" t="n">
        <x:f>--AND(Z$3&gt;=MAX($B$30,$B$31),Z$3&lt;EDATE($B$30,MAX(1,'Вводные'!$H$89)),'Вводные'!$B$89="Да")</x:f>
      </x:c>
      <x:c r="AA35" s="35" t="n">
        <x:f>--AND(AA$3&gt;=MAX($B$30,$B$31),AA$3&lt;EDATE($B$30,MAX(1,'Вводные'!$H$89)),'Вводные'!$B$89="Да")</x:f>
      </x:c>
      <x:c r="AB35" s="35" t="n">
        <x:f>--AND(AB$3&gt;=MAX($B$30,$B$31),AB$3&lt;EDATE($B$30,MAX(1,'Вводные'!$H$89)),'Вводные'!$B$89="Да")</x:f>
      </x:c>
      <x:c r="AC35" s="35" t="n">
        <x:f>--AND(AC$3&gt;=MAX($B$30,$B$31),AC$3&lt;EDATE($B$30,MAX(1,'Вводные'!$H$89)),'Вводные'!$B$89="Да")</x:f>
      </x:c>
      <x:c r="AD35" s="35" t="n">
        <x:f>--AND(AD$3&gt;=MAX($B$30,$B$31),AD$3&lt;EDATE($B$30,MAX(1,'Вводные'!$H$89)),'Вводные'!$B$89="Да")</x:f>
      </x:c>
      <x:c r="AE35" s="35" t="n">
        <x:f>--AND(AE$3&gt;=MAX($B$30,$B$31),AE$3&lt;EDATE($B$30,MAX(1,'Вводные'!$H$89)),'Вводные'!$B$89="Да")</x:f>
      </x:c>
      <x:c r="AF35" s="35" t="n">
        <x:f>--AND(AF$3&gt;=MAX($B$30,$B$31),AF$3&lt;EDATE($B$30,MAX(1,'Вводные'!$H$89)),'Вводные'!$B$89="Да")</x:f>
      </x:c>
      <x:c r="AG35" s="35" t="n">
        <x:f>--AND(AG$3&gt;=MAX($B$30,$B$31),AG$3&lt;EDATE($B$30,MAX(1,'Вводные'!$H$89)),'Вводные'!$B$89="Да")</x:f>
      </x:c>
      <x:c r="AH35" s="35" t="n">
        <x:f>--AND(AH$3&gt;=MAX($B$30,$B$31),AH$3&lt;EDATE($B$30,MAX(1,'Вводные'!$H$89)),'Вводные'!$B$89="Да")</x:f>
      </x:c>
      <x:c r="AI35" s="35" t="n">
        <x:f>--AND(AI$3&gt;=MAX($B$30,$B$31),AI$3&lt;EDATE($B$30,MAX(1,'Вводные'!$H$89)),'Вводные'!$B$89="Да")</x:f>
      </x:c>
      <x:c r="AJ35" s="35" t="n">
        <x:f>--AND(AJ$3&gt;=MAX($B$30,$B$31),AJ$3&lt;EDATE($B$30,MAX(1,'Вводные'!$H$89)),'Вводные'!$B$89="Да")</x:f>
      </x:c>
      <x:c r="AK35" s="35" t="n">
        <x:f>--AND(AK$3&gt;=MAX($B$30,$B$31),AK$3&lt;EDATE($B$30,MAX(1,'Вводные'!$H$89)),'Вводные'!$B$89="Да")</x:f>
      </x:c>
      <x:c r="AL35" s="35" t="n">
        <x:f>--AND(AL$3&gt;=MAX($B$30,$B$31),AL$3&lt;EDATE($B$30,MAX(1,'Вводные'!$H$89)),'Вводные'!$B$89="Да")</x:f>
      </x:c>
      <x:c r="AM35" s="35" t="n">
        <x:f>--AND(AM$3&gt;=MAX($B$30,$B$31),AM$3&lt;EDATE($B$30,MAX(1,'Вводные'!$H$89)),'Вводные'!$B$89="Да")</x:f>
      </x:c>
      <x:c r="AN35" s="35" t="n">
        <x:f>--AND(AN$3&gt;=MAX($B$30,$B$31),AN$3&lt;EDATE($B$30,MAX(1,'Вводные'!$H$89)),'Вводные'!$B$89="Да")</x:f>
      </x:c>
      <x:c r="AO35" s="35" t="n">
        <x:f>--AND(AO$3&gt;=MAX($B$30,$B$31),AO$3&lt;EDATE($B$30,MAX(1,'Вводные'!$H$89)),'Вводные'!$B$89="Да")</x:f>
      </x:c>
      <x:c r="AP35" s="35" t="n">
        <x:f>--AND(AP$3&gt;=MAX($B$30,$B$31),AP$3&lt;EDATE($B$30,MAX(1,'Вводные'!$H$89)),'Вводные'!$B$89="Да")</x:f>
      </x:c>
      <x:c r="AQ35" s="35" t="n">
        <x:f>--AND(AQ$3&gt;=MAX($B$30,$B$31),AQ$3&lt;EDATE($B$30,MAX(1,'Вводные'!$H$89)),'Вводные'!$B$89="Да")</x:f>
      </x:c>
      <x:c r="AR35" s="35" t="n">
        <x:f>--AND(AR$3&gt;=MAX($B$30,$B$31),AR$3&lt;EDATE($B$30,MAX(1,'Вводные'!$H$89)),'Вводные'!$B$89="Да")</x:f>
      </x:c>
      <x:c r="AS35" s="35" t="n">
        <x:f>--AND(AS$3&gt;=MAX($B$30,$B$31),AS$3&lt;EDATE($B$30,MAX(1,'Вводные'!$H$89)),'Вводные'!$B$89="Да")</x:f>
      </x:c>
      <x:c r="AT35" s="35" t="n">
        <x:f>--AND(AT$3&gt;=MAX($B$30,$B$31),AT$3&lt;EDATE($B$30,MAX(1,'Вводные'!$H$89)),'Вводные'!$B$89="Да")</x:f>
      </x:c>
      <x:c r="AU35" s="35" t="n">
        <x:f>--AND(AU$3&gt;=MAX($B$30,$B$31),AU$3&lt;EDATE($B$30,MAX(1,'Вводные'!$H$89)),'Вводные'!$B$89="Да")</x:f>
      </x:c>
      <x:c r="AV35" s="35" t="n">
        <x:f>--AND(AV$3&gt;=MAX($B$30,$B$31),AV$3&lt;EDATE($B$30,MAX(1,'Вводные'!$H$89)),'Вводные'!$B$89="Да")</x:f>
      </x:c>
      <x:c r="AW35" s="35" t="n">
        <x:f>--AND(AW$3&gt;=MAX($B$30,$B$31),AW$3&lt;EDATE($B$30,MAX(1,'Вводные'!$H$89)),'Вводные'!$B$89="Да")</x:f>
      </x:c>
      <x:c r="AX35" s="35" t="n">
        <x:f>--AND(AX$3&gt;=MAX($B$30,$B$31),AX$3&lt;EDATE($B$30,MAX(1,'Вводные'!$H$89)),'Вводные'!$B$89="Да")</x:f>
      </x:c>
      <x:c r="AY35" s="35" t="n">
        <x:f>--AND(AY$3&gt;=MAX($B$30,$B$31),AY$3&lt;EDATE($B$30,MAX(1,'Вводные'!$H$89)),'Вводные'!$B$89="Да")</x:f>
      </x:c>
      <x:c r="AZ35" s="35" t="n">
        <x:f>--AND(AZ$3&gt;=MAX($B$30,$B$31),AZ$3&lt;EDATE($B$30,MAX(1,'Вводные'!$H$89)),'Вводные'!$B$89="Да")</x:f>
      </x:c>
      <x:c r="BA35" s="35" t="n">
        <x:f>--AND(BA$3&gt;=MAX($B$30,$B$31),BA$3&lt;EDATE($B$30,MAX(1,'Вводные'!$H$89)),'Вводные'!$B$89="Да")</x:f>
      </x:c>
      <x:c r="BB35" s="35" t="n">
        <x:f>--AND(BB$3&gt;=MAX($B$30,$B$31),BB$3&lt;EDATE($B$30,MAX(1,'Вводные'!$H$89)),'Вводные'!$B$89="Да")</x:f>
      </x:c>
      <x:c r="BC35" s="35" t="n">
        <x:f>--AND(BC$3&gt;=MAX($B$30,$B$31),BC$3&lt;EDATE($B$30,MAX(1,'Вводные'!$H$89)),'Вводные'!$B$89="Да")</x:f>
      </x:c>
      <x:c r="BD35" s="35" t="n">
        <x:f>--AND(BD$3&gt;=MAX($B$30,$B$31),BD$3&lt;EDATE($B$30,MAX(1,'Вводные'!$H$89)),'Вводные'!$B$89="Да")</x:f>
      </x:c>
      <x:c r="BE35" s="35" t="n">
        <x:f>--AND(BE$3&gt;=MAX($B$30,$B$31),BE$3&lt;EDATE($B$30,MAX(1,'Вводные'!$H$89)),'Вводные'!$B$89="Да")</x:f>
      </x:c>
      <x:c r="BF35" s="35" t="n">
        <x:f>--AND(BF$3&gt;=MAX($B$30,$B$31),BF$3&lt;EDATE($B$30,MAX(1,'Вводные'!$H$89)),'Вводные'!$B$89="Да")</x:f>
      </x:c>
      <x:c r="BG35" s="35" t="n">
        <x:f>--AND(BG$3&gt;=MAX($B$30,$B$31),BG$3&lt;EDATE($B$30,MAX(1,'Вводные'!$H$89)),'Вводные'!$B$89="Да")</x:f>
      </x:c>
      <x:c r="BH35" s="35" t="n">
        <x:f>--AND(BH$3&gt;=MAX($B$30,$B$31),BH$3&lt;EDATE($B$30,MAX(1,'Вводные'!$H$89)),'Вводные'!$B$89="Да")</x:f>
      </x:c>
      <x:c r="BI35" s="35" t="n">
        <x:f>--AND(BI$3&gt;=MAX($B$30,$B$31),BI$3&lt;EDATE($B$30,MAX(1,'Вводные'!$H$89)),'Вводные'!$B$89="Да")</x:f>
      </x:c>
      <x:c r="BJ35" s="35" t="n">
        <x:f>--AND(BJ$3&gt;=MAX($B$30,$B$31),BJ$3&lt;EDATE($B$30,MAX(1,'Вводные'!$H$89)),'Вводные'!$B$89="Да")</x:f>
      </x:c>
      <x:c r="BK35" s="35" t="n">
        <x:f>--AND(BK$3&gt;=MAX($B$30,$B$31),BK$3&lt;EDATE($B$30,MAX(1,'Вводные'!$H$89)),'Вводные'!$B$89="Да")</x:f>
      </x:c>
      <x:c r="BL35" s="35" t="n">
        <x:f>--AND(BL$3&gt;=MAX($B$30,$B$31),BL$3&lt;EDATE($B$30,MAX(1,'Вводные'!$H$89)),'Вводные'!$B$89="Да")</x:f>
      </x:c>
      <x:c r="BM35" s="35" t="n">
        <x:f>--AND(BM$3&gt;=MAX($B$30,$B$31),BM$3&lt;EDATE($B$30,MAX(1,'Вводные'!$H$89)),'Вводные'!$B$89="Да")</x:f>
      </x:c>
      <x:c r="BN35" s="35" t="n">
        <x:f>--AND(BN$3&gt;=MAX($B$30,$B$31),BN$3&lt;EDATE($B$30,MAX(1,'Вводные'!$H$89)),'Вводные'!$B$89="Да")</x:f>
      </x:c>
      <x:c r="BO35" s="35" t="n">
        <x:f>--AND(BO$3&gt;=MAX($B$30,$B$31),BO$3&lt;EDATE($B$30,MAX(1,'Вводные'!$H$89)),'Вводные'!$B$89="Да")</x:f>
      </x:c>
      <x:c r="BP35" s="35" t="n">
        <x:f>--AND(BP$3&gt;=MAX($B$30,$B$31),BP$3&lt;EDATE($B$30,MAX(1,'Вводные'!$H$89)),'Вводные'!$B$89="Да")</x:f>
      </x:c>
      <x:c r="BQ35" s="35" t="n">
        <x:f>--AND(BQ$3&gt;=MAX($B$30,$B$31),BQ$3&lt;EDATE($B$30,MAX(1,'Вводные'!$H$89)),'Вводные'!$B$89="Да")</x:f>
      </x:c>
      <x:c r="BR35" s="35" t="n">
        <x:f>--AND(BR$3&gt;=MAX($B$30,$B$31),BR$3&lt;EDATE($B$30,MAX(1,'Вводные'!$H$89)),'Вводные'!$B$89="Да")</x:f>
      </x:c>
      <x:c r="BS35" s="35" t="n">
        <x:f>--AND(BS$3&gt;=MAX($B$30,$B$31),BS$3&lt;EDATE($B$30,MAX(1,'Вводные'!$H$89)),'Вводные'!$B$89="Да")</x:f>
      </x:c>
      <x:c r="BT35" s="35" t="n">
        <x:f>--AND(BT$3&gt;=MAX($B$30,$B$31),BT$3&lt;EDATE($B$30,MAX(1,'Вводные'!$H$89)),'Вводные'!$B$89="Да")</x:f>
      </x:c>
      <x:c r="BU35" s="35" t="n">
        <x:f>--AND(BU$3&gt;=MAX($B$30,$B$31),BU$3&lt;EDATE($B$30,MAX(1,'Вводные'!$H$89)),'Вводные'!$B$89="Да")</x:f>
      </x:c>
      <x:c r="BV35" s="35" t="n">
        <x:f>--AND(BV$3&gt;=MAX($B$30,$B$31),BV$3&lt;EDATE($B$30,MAX(1,'Вводные'!$H$89)),'Вводные'!$B$89="Да")</x:f>
      </x:c>
      <x:c r="BW35" s="35" t="n">
        <x:f>--AND(BW$3&gt;=MAX($B$30,$B$31),BW$3&lt;EDATE($B$30,MAX(1,'Вводные'!$H$89)),'Вводные'!$B$89="Да")</x:f>
      </x:c>
      <x:c r="BX35" s="35" t="n">
        <x:f>--AND(BX$3&gt;=MAX($B$30,$B$31),BX$3&lt;EDATE($B$30,MAX(1,'Вводные'!$H$89)),'Вводные'!$B$89="Да")</x:f>
      </x:c>
      <x:c r="BY35" s="35" t="n">
        <x:f>--AND(BY$3&gt;=MAX($B$30,$B$31),BY$3&lt;EDATE($B$30,MAX(1,'Вводные'!$H$89)),'Вводные'!$B$89="Да")</x:f>
      </x:c>
      <x:c r="BZ35" s="35" t="n">
        <x:f>--AND(BZ$3&gt;=MAX($B$30,$B$31),BZ$3&lt;EDATE($B$30,MAX(1,'Вводные'!$H$89)),'Вводные'!$B$89="Да")</x:f>
      </x:c>
      <x:c r="CA35" s="35" t="n">
        <x:f>--AND(CA$3&gt;=MAX($B$30,$B$31),CA$3&lt;EDATE($B$30,MAX(1,'Вводные'!$H$89)),'Вводные'!$B$89="Да")</x:f>
      </x:c>
      <x:c r="CB35" s="35" t="n">
        <x:f>--AND(CB$3&gt;=MAX($B$30,$B$31),CB$3&lt;EDATE($B$30,MAX(1,'Вводные'!$H$89)),'Вводные'!$B$89="Да")</x:f>
      </x:c>
      <x:c r="CC35" s="35" t="n">
        <x:f>--AND(CC$3&gt;=MAX($B$30,$B$31),CC$3&lt;EDATE($B$30,MAX(1,'Вводные'!$H$89)),'Вводные'!$B$89="Да")</x:f>
      </x:c>
      <x:c r="CD35" s="35" t="n">
        <x:f>--AND(CD$3&gt;=MAX($B$30,$B$31),CD$3&lt;EDATE($B$30,MAX(1,'Вводные'!$H$89)),'Вводные'!$B$89="Да")</x:f>
      </x:c>
      <x:c r="CE35" s="35" t="n">
        <x:f>--AND(CE$3&gt;=MAX($B$30,$B$31),CE$3&lt;EDATE($B$30,MAX(1,'Вводные'!$H$89)),'Вводные'!$B$89="Да")</x:f>
      </x:c>
      <x:c r="CF35" s="35" t="n">
        <x:f>--AND(CF$3&gt;=MAX($B$30,$B$31),CF$3&lt;EDATE($B$30,MAX(1,'Вводные'!$H$89)),'Вводные'!$B$89="Да")</x:f>
      </x:c>
      <x:c r="CG35" s="35" t="n">
        <x:f>--AND(CG$3&gt;=MAX($B$30,$B$31),CG$3&lt;EDATE($B$30,MAX(1,'Вводные'!$H$89)),'Вводные'!$B$89="Да")</x:f>
      </x:c>
      <x:c r="CH35" s="35" t="n">
        <x:f>--AND(CH$3&gt;=MAX($B$30,$B$31),CH$3&lt;EDATE($B$30,MAX(1,'Вводные'!$H$89)),'Вводные'!$B$89="Да")</x:f>
      </x:c>
      <x:c r="CI35" s="35" t="n">
        <x:f>--AND(CI$3&gt;=MAX($B$30,$B$31),CI$3&lt;EDATE($B$30,MAX(1,'Вводные'!$H$89)),'Вводные'!$B$89="Да")</x:f>
      </x:c>
      <x:c r="CJ35" s="35" t="n">
        <x:f>--AND(CJ$3&gt;=MAX($B$30,$B$31),CJ$3&lt;EDATE($B$30,MAX(1,'Вводные'!$H$89)),'Вводные'!$B$89="Да")</x:f>
      </x:c>
      <x:c r="CK35" s="35" t="n">
        <x:f>--AND(CK$3&gt;=MAX($B$30,$B$31),CK$3&lt;EDATE($B$30,MAX(1,'Вводные'!$H$89)),'Вводные'!$B$89="Да")</x:f>
      </x:c>
      <x:c r="CL35" s="35" t="n">
        <x:f>--AND(CL$3&gt;=MAX($B$30,$B$31),CL$3&lt;EDATE($B$30,MAX(1,'Вводные'!$H$89)),'Вводные'!$B$89="Да")</x:f>
      </x:c>
      <x:c r="CM35" s="35" t="n">
        <x:f>--AND(CM$3&gt;=MAX($B$30,$B$31),CM$3&lt;EDATE($B$30,MAX(1,'Вводные'!$H$89)),'Вводные'!$B$89="Да")</x:f>
      </x:c>
      <x:c r="CN35" s="35" t="n">
        <x:f>--AND(CN$3&gt;=MAX($B$30,$B$31),CN$3&lt;EDATE($B$30,MAX(1,'Вводные'!$H$89)),'Вводные'!$B$89="Да")</x:f>
      </x:c>
      <x:c r="CO35" s="35" t="n">
        <x:f>--AND(CO$3&gt;=MAX($B$30,$B$31),CO$3&lt;EDATE($B$30,MAX(1,'Вводные'!$H$89)),'Вводные'!$B$89="Да")</x:f>
      </x:c>
      <x:c r="CP35" s="35" t="n">
        <x:f>--AND(CP$3&gt;=MAX($B$30,$B$31),CP$3&lt;EDATE($B$30,MAX(1,'Вводные'!$H$89)),'Вводные'!$B$89="Да")</x:f>
      </x:c>
      <x:c r="CQ35" s="35" t="n">
        <x:f>--AND(CQ$3&gt;=MAX($B$30,$B$31),CQ$3&lt;EDATE($B$30,MAX(1,'Вводные'!$H$89)),'Вводные'!$B$89="Да")</x:f>
      </x:c>
      <x:c r="CR35" s="35" t="n">
        <x:f>--AND(CR$3&gt;=MAX($B$30,$B$31),CR$3&lt;EDATE($B$30,MAX(1,'Вводные'!$H$89)),'Вводные'!$B$89="Да")</x:f>
      </x:c>
      <x:c r="CS35" s="35" t="n">
        <x:f>--AND(CS$3&gt;=MAX($B$30,$B$31),CS$3&lt;EDATE($B$30,MAX(1,'Вводные'!$H$89)),'Вводные'!$B$89="Да")</x:f>
      </x:c>
      <x:c r="CT35" s="35" t="n">
        <x:f>--AND(CT$3&gt;=MAX($B$30,$B$31),CT$3&lt;EDATE($B$30,MAX(1,'Вводные'!$H$89)),'Вводные'!$B$89="Да")</x:f>
      </x:c>
      <x:c r="CU35" s="35" t="n">
        <x:f>--AND(CU$3&gt;=MAX($B$30,$B$31),CU$3&lt;EDATE($B$30,MAX(1,'Вводные'!$H$89)),'Вводные'!$B$89="Да")</x:f>
      </x:c>
      <x:c r="CV35" s="35" t="n">
        <x:f>--AND(CV$3&gt;=MAX($B$30,$B$31),CV$3&lt;EDATE($B$30,MAX(1,'Вводные'!$H$89)),'Вводные'!$B$89="Да")</x:f>
      </x:c>
      <x:c r="CW35" s="35" t="n">
        <x:f>--AND(CW$3&gt;=MAX($B$30,$B$31),CW$3&lt;EDATE($B$30,MAX(1,'Вводные'!$H$89)),'Вводные'!$B$89="Да")</x:f>
      </x:c>
      <x:c r="CX35" s="35" t="n">
        <x:f>--AND(CX$3&gt;=MAX($B$30,$B$31),CX$3&lt;EDATE($B$30,MAX(1,'Вводные'!$H$89)),'Вводные'!$B$89="Да")</x:f>
      </x:c>
      <x:c r="CY35" s="35" t="n">
        <x:f>--AND(CY$3&gt;=MAX($B$30,$B$31),CY$3&lt;EDATE($B$30,MAX(1,'Вводные'!$H$89)),'Вводные'!$B$89="Да")</x:f>
      </x:c>
      <x:c r="CZ35" s="35" t="n">
        <x:f>--AND(CZ$3&gt;=MAX($B$30,$B$31),CZ$3&lt;EDATE($B$30,MAX(1,'Вводные'!$H$89)),'Вводные'!$B$89="Да")</x:f>
      </x:c>
      <x:c r="DA35" s="35" t="n">
        <x:f>--AND(DA$3&gt;=MAX($B$30,$B$31),DA$3&lt;EDATE($B$30,MAX(1,'Вводные'!$H$89)),'Вводные'!$B$89="Да")</x:f>
      </x:c>
      <x:c r="DB35" s="35" t="n">
        <x:f>--AND(DB$3&gt;=MAX($B$30,$B$31),DB$3&lt;EDATE($B$30,MAX(1,'Вводные'!$H$89)),'Вводные'!$B$89="Да")</x:f>
      </x:c>
      <x:c r="DC35" s="35" t="n">
        <x:f>--AND(DC$3&gt;=MAX($B$30,$B$31),DC$3&lt;EDATE($B$30,MAX(1,'Вводные'!$H$89)),'Вводные'!$B$89="Да")</x:f>
      </x:c>
      <x:c r="DD35" s="35" t="n">
        <x:f>--AND(DD$3&gt;=MAX($B$30,$B$31),DD$3&lt;EDATE($B$30,MAX(1,'Вводные'!$H$89)),'Вводные'!$B$89="Да")</x:f>
      </x:c>
      <x:c r="DE35" s="35" t="n">
        <x:f>--AND(DE$3&gt;=MAX($B$30,$B$31),DE$3&lt;EDATE($B$30,MAX(1,'Вводные'!$H$89)),'Вводные'!$B$89="Да")</x:f>
      </x:c>
      <x:c r="DF35" s="35" t="n">
        <x:f>--AND(DF$3&gt;=MAX($B$30,$B$31),DF$3&lt;EDATE($B$30,MAX(1,'Вводные'!$H$89)),'Вводные'!$B$89="Да")</x:f>
      </x:c>
      <x:c r="DG35" s="35" t="n">
        <x:f>--AND(DG$3&gt;=MAX($B$30,$B$31),DG$3&lt;EDATE($B$30,MAX(1,'Вводные'!$H$89)),'Вводные'!$B$89="Да")</x:f>
      </x:c>
      <x:c r="DH35" s="35" t="n">
        <x:f>--AND(DH$3&gt;=MAX($B$30,$B$31),DH$3&lt;EDATE($B$30,MAX(1,'Вводные'!$H$89)),'Вводные'!$B$89="Да")</x:f>
      </x:c>
      <x:c r="DI35" s="35" t="n">
        <x:f>--AND(DI$3&gt;=MAX($B$30,$B$31),DI$3&lt;EDATE($B$30,MAX(1,'Вводные'!$H$89)),'Вводные'!$B$89="Да")</x:f>
      </x:c>
      <x:c r="DJ35" s="35" t="n">
        <x:f>--AND(DJ$3&gt;=MAX($B$30,$B$31),DJ$3&lt;EDATE($B$30,MAX(1,'Вводные'!$H$89)),'Вводные'!$B$89="Да")</x:f>
      </x:c>
      <x:c r="DK35" s="35" t="n">
        <x:f>--AND(DK$3&gt;=MAX($B$30,$B$31),DK$3&lt;EDATE($B$30,MAX(1,'Вводные'!$H$89)),'Вводные'!$B$89="Да")</x:f>
      </x:c>
      <x:c r="DL35" s="35" t="n">
        <x:f>--AND(DL$3&gt;=MAX($B$30,$B$31),DL$3&lt;EDATE($B$30,MAX(1,'Вводные'!$H$89)),'Вводные'!$B$89="Да")</x:f>
      </x:c>
      <x:c r="DM35" s="35" t="n">
        <x:f>--AND(DM$3&gt;=MAX($B$30,$B$31),DM$3&lt;EDATE($B$30,MAX(1,'Вводные'!$H$89)),'Вводные'!$B$89="Да")</x:f>
      </x:c>
      <x:c r="DN35" s="35" t="n">
        <x:f>--AND(DN$3&gt;=MAX($B$30,$B$31),DN$3&lt;EDATE($B$30,MAX(1,'Вводные'!$H$89)),'Вводные'!$B$89="Да")</x:f>
      </x:c>
      <x:c r="DO35" s="35" t="n">
        <x:f>--AND(DO$3&gt;=MAX($B$30,$B$31),DO$3&lt;EDATE($B$30,MAX(1,'Вводные'!$H$89)),'Вводные'!$B$89="Да")</x:f>
      </x:c>
      <x:c r="DP35" s="35" t="n">
        <x:f>--AND(DP$3&gt;=MAX($B$30,$B$31),DP$3&lt;EDATE($B$30,MAX(1,'Вводные'!$H$89)),'Вводные'!$B$89="Да")</x:f>
      </x:c>
      <x:c r="DQ35" s="35" t="n">
        <x:f>--AND(DQ$3&gt;=MAX($B$30,$B$31),DQ$3&lt;EDATE($B$30,MAX(1,'Вводные'!$H$89)),'Вводные'!$B$89="Да")</x:f>
      </x:c>
      <x:c r="DR35" s="35" t="n">
        <x:f>--AND(DR$3&gt;=MAX($B$30,$B$31),DR$3&lt;EDATE($B$30,MAX(1,'Вводные'!$H$89)),'Вводные'!$B$89="Да")</x:f>
      </x:c>
      <x:c r="DS35" s="35" t="n">
        <x:f>--AND(DS$3&gt;=MAX($B$30,$B$31),DS$3&lt;EDATE($B$30,MAX(1,'Вводные'!$H$89)),'Вводные'!$B$89="Да")</x:f>
      </x:c>
    </x:row>
    <x:row r="36">
      <x:c r="A36" t="str">
        <x:v>Нормированный вес после РВЭ</x:v>
      </x:c>
      <x:c r="B36" t="n">
        <x:f>SUM(D36:DS36)</x:f>
      </x:c>
      <x:c r="C36" t="str">
        <x:v>%</x:v>
      </x:c>
      <x:c r="D36" s="35" t="n">
        <x:f>IFERROR(D33*D35/SUMPRODUCT($D33:$DS33,$D35:$DS35),0)</x:f>
      </x:c>
      <x:c r="E36" s="35" t="n">
        <x:f>IFERROR(E33*E35/SUMPRODUCT($D33:$DS33,$D35:$DS35),0)</x:f>
      </x:c>
      <x:c r="F36" s="35" t="n">
        <x:f>IFERROR(F33*F35/SUMPRODUCT($D33:$DS33,$D35:$DS35),0)</x:f>
      </x:c>
      <x:c r="G36" s="35" t="n">
        <x:f>IFERROR(G33*G35/SUMPRODUCT($D33:$DS33,$D35:$DS35),0)</x:f>
      </x:c>
      <x:c r="H36" s="35" t="n">
        <x:f>IFERROR(H33*H35/SUMPRODUCT($D33:$DS33,$D35:$DS35),0)</x:f>
      </x:c>
      <x:c r="I36" s="35" t="n">
        <x:f>IFERROR(I33*I35/SUMPRODUCT($D33:$DS33,$D35:$DS35),0)</x:f>
      </x:c>
      <x:c r="J36" s="35" t="n">
        <x:f>IFERROR(J33*J35/SUMPRODUCT($D33:$DS33,$D35:$DS35),0)</x:f>
      </x:c>
      <x:c r="K36" s="35" t="n">
        <x:f>IFERROR(K33*K35/SUMPRODUCT($D33:$DS33,$D35:$DS35),0)</x:f>
      </x:c>
      <x:c r="L36" s="35" t="n">
        <x:f>IFERROR(L33*L35/SUMPRODUCT($D33:$DS33,$D35:$DS35),0)</x:f>
      </x:c>
      <x:c r="M36" s="35" t="n">
        <x:f>IFERROR(M33*M35/SUMPRODUCT($D33:$DS33,$D35:$DS35),0)</x:f>
      </x:c>
      <x:c r="N36" s="35" t="n">
        <x:f>IFERROR(N33*N35/SUMPRODUCT($D33:$DS33,$D35:$DS35),0)</x:f>
      </x:c>
      <x:c r="O36" s="35" t="n">
        <x:f>IFERROR(O33*O35/SUMPRODUCT($D33:$DS33,$D35:$DS35),0)</x:f>
      </x:c>
      <x:c r="P36" s="35" t="n">
        <x:f>IFERROR(P33*P35/SUMPRODUCT($D33:$DS33,$D35:$DS35),0)</x:f>
      </x:c>
      <x:c r="Q36" s="35" t="n">
        <x:f>IFERROR(Q33*Q35/SUMPRODUCT($D33:$DS33,$D35:$DS35),0)</x:f>
      </x:c>
      <x:c r="R36" s="35" t="n">
        <x:f>IFERROR(R33*R35/SUMPRODUCT($D33:$DS33,$D35:$DS35),0)</x:f>
      </x:c>
      <x:c r="S36" s="35" t="n">
        <x:f>IFERROR(S33*S35/SUMPRODUCT($D33:$DS33,$D35:$DS35),0)</x:f>
      </x:c>
      <x:c r="T36" s="35" t="n">
        <x:f>IFERROR(T33*T35/SUMPRODUCT($D33:$DS33,$D35:$DS35),0)</x:f>
      </x:c>
      <x:c r="U36" s="35" t="n">
        <x:f>IFERROR(U33*U35/SUMPRODUCT($D33:$DS33,$D35:$DS35),0)</x:f>
      </x:c>
      <x:c r="V36" s="35" t="n">
        <x:f>IFERROR(V33*V35/SUMPRODUCT($D33:$DS33,$D35:$DS35),0)</x:f>
      </x:c>
      <x:c r="W36" s="35" t="n">
        <x:f>IFERROR(W33*W35/SUMPRODUCT($D33:$DS33,$D35:$DS35),0)</x:f>
      </x:c>
      <x:c r="X36" s="35" t="n">
        <x:f>IFERROR(X33*X35/SUMPRODUCT($D33:$DS33,$D35:$DS35),0)</x:f>
      </x:c>
      <x:c r="Y36" s="35" t="n">
        <x:f>IFERROR(Y33*Y35/SUMPRODUCT($D33:$DS33,$D35:$DS35),0)</x:f>
      </x:c>
      <x:c r="Z36" s="35" t="n">
        <x:f>IFERROR(Z33*Z35/SUMPRODUCT($D33:$DS33,$D35:$DS35),0)</x:f>
      </x:c>
      <x:c r="AA36" s="35" t="n">
        <x:f>IFERROR(AA33*AA35/SUMPRODUCT($D33:$DS33,$D35:$DS35),0)</x:f>
      </x:c>
      <x:c r="AB36" s="35" t="n">
        <x:f>IFERROR(AB33*AB35/SUMPRODUCT($D33:$DS33,$D35:$DS35),0)</x:f>
      </x:c>
      <x:c r="AC36" s="35" t="n">
        <x:f>IFERROR(AC33*AC35/SUMPRODUCT($D33:$DS33,$D35:$DS35),0)</x:f>
      </x:c>
      <x:c r="AD36" s="35" t="n">
        <x:f>IFERROR(AD33*AD35/SUMPRODUCT($D33:$DS33,$D35:$DS35),0)</x:f>
      </x:c>
      <x:c r="AE36" s="35" t="n">
        <x:f>IFERROR(AE33*AE35/SUMPRODUCT($D33:$DS33,$D35:$DS35),0)</x:f>
      </x:c>
      <x:c r="AF36" s="35" t="n">
        <x:f>IFERROR(AF33*AF35/SUMPRODUCT($D33:$DS33,$D35:$DS35),0)</x:f>
      </x:c>
      <x:c r="AG36" s="35" t="n">
        <x:f>IFERROR(AG33*AG35/SUMPRODUCT($D33:$DS33,$D35:$DS35),0)</x:f>
      </x:c>
      <x:c r="AH36" s="35" t="n">
        <x:f>IFERROR(AH33*AH35/SUMPRODUCT($D33:$DS33,$D35:$DS35),0)</x:f>
      </x:c>
      <x:c r="AI36" s="35" t="n">
        <x:f>IFERROR(AI33*AI35/SUMPRODUCT($D33:$DS33,$D35:$DS35),0)</x:f>
      </x:c>
      <x:c r="AJ36" s="35" t="n">
        <x:f>IFERROR(AJ33*AJ35/SUMPRODUCT($D33:$DS33,$D35:$DS35),0)</x:f>
      </x:c>
      <x:c r="AK36" s="35" t="n">
        <x:f>IFERROR(AK33*AK35/SUMPRODUCT($D33:$DS33,$D35:$DS35),0)</x:f>
      </x:c>
      <x:c r="AL36" s="35" t="n">
        <x:f>IFERROR(AL33*AL35/SUMPRODUCT($D33:$DS33,$D35:$DS35),0)</x:f>
      </x:c>
      <x:c r="AM36" s="35" t="n">
        <x:f>IFERROR(AM33*AM35/SUMPRODUCT($D33:$DS33,$D35:$DS35),0)</x:f>
      </x:c>
      <x:c r="AN36" s="35" t="n">
        <x:f>IFERROR(AN33*AN35/SUMPRODUCT($D33:$DS33,$D35:$DS35),0)</x:f>
      </x:c>
      <x:c r="AO36" s="35" t="n">
        <x:f>IFERROR(AO33*AO35/SUMPRODUCT($D33:$DS33,$D35:$DS35),0)</x:f>
      </x:c>
      <x:c r="AP36" s="35" t="n">
        <x:f>IFERROR(AP33*AP35/SUMPRODUCT($D33:$DS33,$D35:$DS35),0)</x:f>
      </x:c>
      <x:c r="AQ36" s="35" t="n">
        <x:f>IFERROR(AQ33*AQ35/SUMPRODUCT($D33:$DS33,$D35:$DS35),0)</x:f>
      </x:c>
      <x:c r="AR36" s="35" t="n">
        <x:f>IFERROR(AR33*AR35/SUMPRODUCT($D33:$DS33,$D35:$DS35),0)</x:f>
      </x:c>
      <x:c r="AS36" s="35" t="n">
        <x:f>IFERROR(AS33*AS35/SUMPRODUCT($D33:$DS33,$D35:$DS35),0)</x:f>
      </x:c>
      <x:c r="AT36" s="35" t="n">
        <x:f>IFERROR(AT33*AT35/SUMPRODUCT($D33:$DS33,$D35:$DS35),0)</x:f>
      </x:c>
      <x:c r="AU36" s="35" t="n">
        <x:f>IFERROR(AU33*AU35/SUMPRODUCT($D33:$DS33,$D35:$DS35),0)</x:f>
      </x:c>
      <x:c r="AV36" s="35" t="n">
        <x:f>IFERROR(AV33*AV35/SUMPRODUCT($D33:$DS33,$D35:$DS35),0)</x:f>
      </x:c>
      <x:c r="AW36" s="35" t="n">
        <x:f>IFERROR(AW33*AW35/SUMPRODUCT($D33:$DS33,$D35:$DS35),0)</x:f>
      </x:c>
      <x:c r="AX36" s="35" t="n">
        <x:f>IFERROR(AX33*AX35/SUMPRODUCT($D33:$DS33,$D35:$DS35),0)</x:f>
      </x:c>
      <x:c r="AY36" s="35" t="n">
        <x:f>IFERROR(AY33*AY35/SUMPRODUCT($D33:$DS33,$D35:$DS35),0)</x:f>
      </x:c>
      <x:c r="AZ36" s="35" t="n">
        <x:f>IFERROR(AZ33*AZ35/SUMPRODUCT($D33:$DS33,$D35:$DS35),0)</x:f>
      </x:c>
      <x:c r="BA36" s="35" t="n">
        <x:f>IFERROR(BA33*BA35/SUMPRODUCT($D33:$DS33,$D35:$DS35),0)</x:f>
      </x:c>
      <x:c r="BB36" s="35" t="n">
        <x:f>IFERROR(BB33*BB35/SUMPRODUCT($D33:$DS33,$D35:$DS35),0)</x:f>
      </x:c>
      <x:c r="BC36" s="35" t="n">
        <x:f>IFERROR(BC33*BC35/SUMPRODUCT($D33:$DS33,$D35:$DS35),0)</x:f>
      </x:c>
      <x:c r="BD36" s="35" t="n">
        <x:f>IFERROR(BD33*BD35/SUMPRODUCT($D33:$DS33,$D35:$DS35),0)</x:f>
      </x:c>
      <x:c r="BE36" s="35" t="n">
        <x:f>IFERROR(BE33*BE35/SUMPRODUCT($D33:$DS33,$D35:$DS35),0)</x:f>
      </x:c>
      <x:c r="BF36" s="35" t="n">
        <x:f>IFERROR(BF33*BF35/SUMPRODUCT($D33:$DS33,$D35:$DS35),0)</x:f>
      </x:c>
      <x:c r="BG36" s="35" t="n">
        <x:f>IFERROR(BG33*BG35/SUMPRODUCT($D33:$DS33,$D35:$DS35),0)</x:f>
      </x:c>
      <x:c r="BH36" s="35" t="n">
        <x:f>IFERROR(BH33*BH35/SUMPRODUCT($D33:$DS33,$D35:$DS35),0)</x:f>
      </x:c>
      <x:c r="BI36" s="35" t="n">
        <x:f>IFERROR(BI33*BI35/SUMPRODUCT($D33:$DS33,$D35:$DS35),0)</x:f>
      </x:c>
      <x:c r="BJ36" s="35" t="n">
        <x:f>IFERROR(BJ33*BJ35/SUMPRODUCT($D33:$DS33,$D35:$DS35),0)</x:f>
      </x:c>
      <x:c r="BK36" s="35" t="n">
        <x:f>IFERROR(BK33*BK35/SUMPRODUCT($D33:$DS33,$D35:$DS35),0)</x:f>
      </x:c>
      <x:c r="BL36" s="35" t="n">
        <x:f>IFERROR(BL33*BL35/SUMPRODUCT($D33:$DS33,$D35:$DS35),0)</x:f>
      </x:c>
      <x:c r="BM36" s="35" t="n">
        <x:f>IFERROR(BM33*BM35/SUMPRODUCT($D33:$DS33,$D35:$DS35),0)</x:f>
      </x:c>
      <x:c r="BN36" s="35" t="n">
        <x:f>IFERROR(BN33*BN35/SUMPRODUCT($D33:$DS33,$D35:$DS35),0)</x:f>
      </x:c>
      <x:c r="BO36" s="35" t="n">
        <x:f>IFERROR(BO33*BO35/SUMPRODUCT($D33:$DS33,$D35:$DS35),0)</x:f>
      </x:c>
      <x:c r="BP36" s="35" t="n">
        <x:f>IFERROR(BP33*BP35/SUMPRODUCT($D33:$DS33,$D35:$DS35),0)</x:f>
      </x:c>
      <x:c r="BQ36" s="35" t="n">
        <x:f>IFERROR(BQ33*BQ35/SUMPRODUCT($D33:$DS33,$D35:$DS35),0)</x:f>
      </x:c>
      <x:c r="BR36" s="35" t="n">
        <x:f>IFERROR(BR33*BR35/SUMPRODUCT($D33:$DS33,$D35:$DS35),0)</x:f>
      </x:c>
      <x:c r="BS36" s="35" t="n">
        <x:f>IFERROR(BS33*BS35/SUMPRODUCT($D33:$DS33,$D35:$DS35),0)</x:f>
      </x:c>
      <x:c r="BT36" s="35" t="n">
        <x:f>IFERROR(BT33*BT35/SUMPRODUCT($D33:$DS33,$D35:$DS35),0)</x:f>
      </x:c>
      <x:c r="BU36" s="35" t="n">
        <x:f>IFERROR(BU33*BU35/SUMPRODUCT($D33:$DS33,$D35:$DS35),0)</x:f>
      </x:c>
      <x:c r="BV36" s="35" t="n">
        <x:f>IFERROR(BV33*BV35/SUMPRODUCT($D33:$DS33,$D35:$DS35),0)</x:f>
      </x:c>
      <x:c r="BW36" s="35" t="n">
        <x:f>IFERROR(BW33*BW35/SUMPRODUCT($D33:$DS33,$D35:$DS35),0)</x:f>
      </x:c>
      <x:c r="BX36" s="35" t="n">
        <x:f>IFERROR(BX33*BX35/SUMPRODUCT($D33:$DS33,$D35:$DS35),0)</x:f>
      </x:c>
      <x:c r="BY36" s="35" t="n">
        <x:f>IFERROR(BY33*BY35/SUMPRODUCT($D33:$DS33,$D35:$DS35),0)</x:f>
      </x:c>
      <x:c r="BZ36" s="35" t="n">
        <x:f>IFERROR(BZ33*BZ35/SUMPRODUCT($D33:$DS33,$D35:$DS35),0)</x:f>
      </x:c>
      <x:c r="CA36" s="35" t="n">
        <x:f>IFERROR(CA33*CA35/SUMPRODUCT($D33:$DS33,$D35:$DS35),0)</x:f>
      </x:c>
      <x:c r="CB36" s="35" t="n">
        <x:f>IFERROR(CB33*CB35/SUMPRODUCT($D33:$DS33,$D35:$DS35),0)</x:f>
      </x:c>
      <x:c r="CC36" s="35" t="n">
        <x:f>IFERROR(CC33*CC35/SUMPRODUCT($D33:$DS33,$D35:$DS35),0)</x:f>
      </x:c>
      <x:c r="CD36" s="35" t="n">
        <x:f>IFERROR(CD33*CD35/SUMPRODUCT($D33:$DS33,$D35:$DS35),0)</x:f>
      </x:c>
      <x:c r="CE36" s="35" t="n">
        <x:f>IFERROR(CE33*CE35/SUMPRODUCT($D33:$DS33,$D35:$DS35),0)</x:f>
      </x:c>
      <x:c r="CF36" s="35" t="n">
        <x:f>IFERROR(CF33*CF35/SUMPRODUCT($D33:$DS33,$D35:$DS35),0)</x:f>
      </x:c>
      <x:c r="CG36" s="35" t="n">
        <x:f>IFERROR(CG33*CG35/SUMPRODUCT($D33:$DS33,$D35:$DS35),0)</x:f>
      </x:c>
      <x:c r="CH36" s="35" t="n">
        <x:f>IFERROR(CH33*CH35/SUMPRODUCT($D33:$DS33,$D35:$DS35),0)</x:f>
      </x:c>
      <x:c r="CI36" s="35" t="n">
        <x:f>IFERROR(CI33*CI35/SUMPRODUCT($D33:$DS33,$D35:$DS35),0)</x:f>
      </x:c>
      <x:c r="CJ36" s="35" t="n">
        <x:f>IFERROR(CJ33*CJ35/SUMPRODUCT($D33:$DS33,$D35:$DS35),0)</x:f>
      </x:c>
      <x:c r="CK36" s="35" t="n">
        <x:f>IFERROR(CK33*CK35/SUMPRODUCT($D33:$DS33,$D35:$DS35),0)</x:f>
      </x:c>
      <x:c r="CL36" s="35" t="n">
        <x:f>IFERROR(CL33*CL35/SUMPRODUCT($D33:$DS33,$D35:$DS35),0)</x:f>
      </x:c>
      <x:c r="CM36" s="35" t="n">
        <x:f>IFERROR(CM33*CM35/SUMPRODUCT($D33:$DS33,$D35:$DS35),0)</x:f>
      </x:c>
      <x:c r="CN36" s="35" t="n">
        <x:f>IFERROR(CN33*CN35/SUMPRODUCT($D33:$DS33,$D35:$DS35),0)</x:f>
      </x:c>
      <x:c r="CO36" s="35" t="n">
        <x:f>IFERROR(CO33*CO35/SUMPRODUCT($D33:$DS33,$D35:$DS35),0)</x:f>
      </x:c>
      <x:c r="CP36" s="35" t="n">
        <x:f>IFERROR(CP33*CP35/SUMPRODUCT($D33:$DS33,$D35:$DS35),0)</x:f>
      </x:c>
      <x:c r="CQ36" s="35" t="n">
        <x:f>IFERROR(CQ33*CQ35/SUMPRODUCT($D33:$DS33,$D35:$DS35),0)</x:f>
      </x:c>
      <x:c r="CR36" s="35" t="n">
        <x:f>IFERROR(CR33*CR35/SUMPRODUCT($D33:$DS33,$D35:$DS35),0)</x:f>
      </x:c>
      <x:c r="CS36" s="35" t="n">
        <x:f>IFERROR(CS33*CS35/SUMPRODUCT($D33:$DS33,$D35:$DS35),0)</x:f>
      </x:c>
      <x:c r="CT36" s="35" t="n">
        <x:f>IFERROR(CT33*CT35/SUMPRODUCT($D33:$DS33,$D35:$DS35),0)</x:f>
      </x:c>
      <x:c r="CU36" s="35" t="n">
        <x:f>IFERROR(CU33*CU35/SUMPRODUCT($D33:$DS33,$D35:$DS35),0)</x:f>
      </x:c>
      <x:c r="CV36" s="35" t="n">
        <x:f>IFERROR(CV33*CV35/SUMPRODUCT($D33:$DS33,$D35:$DS35),0)</x:f>
      </x:c>
      <x:c r="CW36" s="35" t="n">
        <x:f>IFERROR(CW33*CW35/SUMPRODUCT($D33:$DS33,$D35:$DS35),0)</x:f>
      </x:c>
      <x:c r="CX36" s="35" t="n">
        <x:f>IFERROR(CX33*CX35/SUMPRODUCT($D33:$DS33,$D35:$DS35),0)</x:f>
      </x:c>
      <x:c r="CY36" s="35" t="n">
        <x:f>IFERROR(CY33*CY35/SUMPRODUCT($D33:$DS33,$D35:$DS35),0)</x:f>
      </x:c>
      <x:c r="CZ36" s="35" t="n">
        <x:f>IFERROR(CZ33*CZ35/SUMPRODUCT($D33:$DS33,$D35:$DS35),0)</x:f>
      </x:c>
      <x:c r="DA36" s="35" t="n">
        <x:f>IFERROR(DA33*DA35/SUMPRODUCT($D33:$DS33,$D35:$DS35),0)</x:f>
      </x:c>
      <x:c r="DB36" s="35" t="n">
        <x:f>IFERROR(DB33*DB35/SUMPRODUCT($D33:$DS33,$D35:$DS35),0)</x:f>
      </x:c>
      <x:c r="DC36" s="35" t="n">
        <x:f>IFERROR(DC33*DC35/SUMPRODUCT($D33:$DS33,$D35:$DS35),0)</x:f>
      </x:c>
      <x:c r="DD36" s="35" t="n">
        <x:f>IFERROR(DD33*DD35/SUMPRODUCT($D33:$DS33,$D35:$DS35),0)</x:f>
      </x:c>
      <x:c r="DE36" s="35" t="n">
        <x:f>IFERROR(DE33*DE35/SUMPRODUCT($D33:$DS33,$D35:$DS35),0)</x:f>
      </x:c>
      <x:c r="DF36" s="35" t="n">
        <x:f>IFERROR(DF33*DF35/SUMPRODUCT($D33:$DS33,$D35:$DS35),0)</x:f>
      </x:c>
      <x:c r="DG36" s="35" t="n">
        <x:f>IFERROR(DG33*DG35/SUMPRODUCT($D33:$DS33,$D35:$DS35),0)</x:f>
      </x:c>
      <x:c r="DH36" s="35" t="n">
        <x:f>IFERROR(DH33*DH35/SUMPRODUCT($D33:$DS33,$D35:$DS35),0)</x:f>
      </x:c>
      <x:c r="DI36" s="35" t="n">
        <x:f>IFERROR(DI33*DI35/SUMPRODUCT($D33:$DS33,$D35:$DS35),0)</x:f>
      </x:c>
      <x:c r="DJ36" s="35" t="n">
        <x:f>IFERROR(DJ33*DJ35/SUMPRODUCT($D33:$DS33,$D35:$DS35),0)</x:f>
      </x:c>
      <x:c r="DK36" s="35" t="n">
        <x:f>IFERROR(DK33*DK35/SUMPRODUCT($D33:$DS33,$D35:$DS35),0)</x:f>
      </x:c>
      <x:c r="DL36" s="35" t="n">
        <x:f>IFERROR(DL33*DL35/SUMPRODUCT($D33:$DS33,$D35:$DS35),0)</x:f>
      </x:c>
      <x:c r="DM36" s="35" t="n">
        <x:f>IFERROR(DM33*DM35/SUMPRODUCT($D33:$DS33,$D35:$DS35),0)</x:f>
      </x:c>
      <x:c r="DN36" s="35" t="n">
        <x:f>IFERROR(DN33*DN35/SUMPRODUCT($D33:$DS33,$D35:$DS35),0)</x:f>
      </x:c>
      <x:c r="DO36" s="35" t="n">
        <x:f>IFERROR(DO33*DO35/SUMPRODUCT($D33:$DS33,$D35:$DS35),0)</x:f>
      </x:c>
      <x:c r="DP36" s="35" t="n">
        <x:f>IFERROR(DP33*DP35/SUMPRODUCT($D33:$DS33,$D35:$DS35),0)</x:f>
      </x:c>
      <x:c r="DQ36" s="35" t="n">
        <x:f>IFERROR(DQ33*DQ35/SUMPRODUCT($D33:$DS33,$D35:$DS35),0)</x:f>
      </x:c>
      <x:c r="DR36" s="35" t="n">
        <x:f>IFERROR(DR33*DR35/SUMPRODUCT($D33:$DS33,$D35:$DS35),0)</x:f>
      </x:c>
      <x:c r="DS36" s="35" t="n">
        <x:f>IFERROR(DS33*DS35/SUMPRODUCT($D33:$DS33,$D35:$DS35),0)</x:f>
      </x:c>
    </x:row>
    <x:row r="37">
      <x:c r="A37" t="str">
        <x:v>Квартиры — объём</x:v>
      </x:c>
      <x:c r="B37" t="n">
        <x:f>SUM(D37:DS37)</x:f>
      </x:c>
      <x:c r="C37" t="str">
        <x:v>м²</x:v>
      </x:c>
      <x:c r="D37" s="107" t="n">
        <x:f>'Вводные'!$L$89*((IF(SUM($D32:$DS32)=0,0,IF(SUM($D35:$DS35)=0,1,'Вводные'!$B$63)))*D34+(1-(IF(SUM($D32:$DS32)=0,0,IF(SUM($D35:$DS35)=0,1,'Вводные'!$B$63))))*D36)</x:f>
      </x:c>
      <x:c r="E37" s="107" t="n">
        <x:f>'Вводные'!$L$89*((IF(SUM($D32:$DS32)=0,0,IF(SUM($D35:$DS35)=0,1,'Вводные'!$B$63)))*E34+(1-(IF(SUM($D32:$DS32)=0,0,IF(SUM($D35:$DS35)=0,1,'Вводные'!$B$63))))*E36)</x:f>
      </x:c>
      <x:c r="F37" s="107" t="n">
        <x:f>'Вводные'!$L$89*((IF(SUM($D32:$DS32)=0,0,IF(SUM($D35:$DS35)=0,1,'Вводные'!$B$63)))*F34+(1-(IF(SUM($D32:$DS32)=0,0,IF(SUM($D35:$DS35)=0,1,'Вводные'!$B$63))))*F36)</x:f>
      </x:c>
      <x:c r="G37" s="107" t="n">
        <x:f>'Вводные'!$L$89*((IF(SUM($D32:$DS32)=0,0,IF(SUM($D35:$DS35)=0,1,'Вводные'!$B$63)))*G34+(1-(IF(SUM($D32:$DS32)=0,0,IF(SUM($D35:$DS35)=0,1,'Вводные'!$B$63))))*G36)</x:f>
      </x:c>
      <x:c r="H37" s="107" t="n">
        <x:f>'Вводные'!$L$89*((IF(SUM($D32:$DS32)=0,0,IF(SUM($D35:$DS35)=0,1,'Вводные'!$B$63)))*H34+(1-(IF(SUM($D32:$DS32)=0,0,IF(SUM($D35:$DS35)=0,1,'Вводные'!$B$63))))*H36)</x:f>
      </x:c>
      <x:c r="I37" s="107" t="n">
        <x:f>'Вводные'!$L$89*((IF(SUM($D32:$DS32)=0,0,IF(SUM($D35:$DS35)=0,1,'Вводные'!$B$63)))*I34+(1-(IF(SUM($D32:$DS32)=0,0,IF(SUM($D35:$DS35)=0,1,'Вводные'!$B$63))))*I36)</x:f>
      </x:c>
      <x:c r="J37" s="107" t="n">
        <x:f>'Вводные'!$L$89*((IF(SUM($D32:$DS32)=0,0,IF(SUM($D35:$DS35)=0,1,'Вводные'!$B$63)))*J34+(1-(IF(SUM($D32:$DS32)=0,0,IF(SUM($D35:$DS35)=0,1,'Вводные'!$B$63))))*J36)</x:f>
      </x:c>
      <x:c r="K37" s="107" t="n">
        <x:f>'Вводные'!$L$89*((IF(SUM($D32:$DS32)=0,0,IF(SUM($D35:$DS35)=0,1,'Вводные'!$B$63)))*K34+(1-(IF(SUM($D32:$DS32)=0,0,IF(SUM($D35:$DS35)=0,1,'Вводные'!$B$63))))*K36)</x:f>
      </x:c>
      <x:c r="L37" s="107" t="n">
        <x:f>'Вводные'!$L$89*((IF(SUM($D32:$DS32)=0,0,IF(SUM($D35:$DS35)=0,1,'Вводные'!$B$63)))*L34+(1-(IF(SUM($D32:$DS32)=0,0,IF(SUM($D35:$DS35)=0,1,'Вводные'!$B$63))))*L36)</x:f>
      </x:c>
      <x:c r="M37" s="107" t="n">
        <x:f>'Вводные'!$L$89*((IF(SUM($D32:$DS32)=0,0,IF(SUM($D35:$DS35)=0,1,'Вводные'!$B$63)))*M34+(1-(IF(SUM($D32:$DS32)=0,0,IF(SUM($D35:$DS35)=0,1,'Вводные'!$B$63))))*M36)</x:f>
      </x:c>
      <x:c r="N37" s="107" t="n">
        <x:f>'Вводные'!$L$89*((IF(SUM($D32:$DS32)=0,0,IF(SUM($D35:$DS35)=0,1,'Вводные'!$B$63)))*N34+(1-(IF(SUM($D32:$DS32)=0,0,IF(SUM($D35:$DS35)=0,1,'Вводные'!$B$63))))*N36)</x:f>
      </x:c>
      <x:c r="O37" s="107" t="n">
        <x:f>'Вводные'!$L$89*((IF(SUM($D32:$DS32)=0,0,IF(SUM($D35:$DS35)=0,1,'Вводные'!$B$63)))*O34+(1-(IF(SUM($D32:$DS32)=0,0,IF(SUM($D35:$DS35)=0,1,'Вводные'!$B$63))))*O36)</x:f>
      </x:c>
      <x:c r="P37" s="107" t="n">
        <x:f>'Вводные'!$L$89*((IF(SUM($D32:$DS32)=0,0,IF(SUM($D35:$DS35)=0,1,'Вводные'!$B$63)))*P34+(1-(IF(SUM($D32:$DS32)=0,0,IF(SUM($D35:$DS35)=0,1,'Вводные'!$B$63))))*P36)</x:f>
      </x:c>
      <x:c r="Q37" s="107" t="n">
        <x:f>'Вводные'!$L$89*((IF(SUM($D32:$DS32)=0,0,IF(SUM($D35:$DS35)=0,1,'Вводные'!$B$63)))*Q34+(1-(IF(SUM($D32:$DS32)=0,0,IF(SUM($D35:$DS35)=0,1,'Вводные'!$B$63))))*Q36)</x:f>
      </x:c>
      <x:c r="R37" s="107" t="n">
        <x:f>'Вводные'!$L$89*((IF(SUM($D32:$DS32)=0,0,IF(SUM($D35:$DS35)=0,1,'Вводные'!$B$63)))*R34+(1-(IF(SUM($D32:$DS32)=0,0,IF(SUM($D35:$DS35)=0,1,'Вводные'!$B$63))))*R36)</x:f>
      </x:c>
      <x:c r="S37" s="107" t="n">
        <x:f>'Вводные'!$L$89*((IF(SUM($D32:$DS32)=0,0,IF(SUM($D35:$DS35)=0,1,'Вводные'!$B$63)))*S34+(1-(IF(SUM($D32:$DS32)=0,0,IF(SUM($D35:$DS35)=0,1,'Вводные'!$B$63))))*S36)</x:f>
      </x:c>
      <x:c r="T37" s="107" t="n">
        <x:f>'Вводные'!$L$89*((IF(SUM($D32:$DS32)=0,0,IF(SUM($D35:$DS35)=0,1,'Вводные'!$B$63)))*T34+(1-(IF(SUM($D32:$DS32)=0,0,IF(SUM($D35:$DS35)=0,1,'Вводные'!$B$63))))*T36)</x:f>
      </x:c>
      <x:c r="U37" s="107" t="n">
        <x:f>'Вводные'!$L$89*((IF(SUM($D32:$DS32)=0,0,IF(SUM($D35:$DS35)=0,1,'Вводные'!$B$63)))*U34+(1-(IF(SUM($D32:$DS32)=0,0,IF(SUM($D35:$DS35)=0,1,'Вводные'!$B$63))))*U36)</x:f>
      </x:c>
      <x:c r="V37" s="107" t="n">
        <x:f>'Вводные'!$L$89*((IF(SUM($D32:$DS32)=0,0,IF(SUM($D35:$DS35)=0,1,'Вводные'!$B$63)))*V34+(1-(IF(SUM($D32:$DS32)=0,0,IF(SUM($D35:$DS35)=0,1,'Вводные'!$B$63))))*V36)</x:f>
      </x:c>
      <x:c r="W37" s="107" t="n">
        <x:f>'Вводные'!$L$89*((IF(SUM($D32:$DS32)=0,0,IF(SUM($D35:$DS35)=0,1,'Вводные'!$B$63)))*W34+(1-(IF(SUM($D32:$DS32)=0,0,IF(SUM($D35:$DS35)=0,1,'Вводные'!$B$63))))*W36)</x:f>
      </x:c>
      <x:c r="X37" s="107" t="n">
        <x:f>'Вводные'!$L$89*((IF(SUM($D32:$DS32)=0,0,IF(SUM($D35:$DS35)=0,1,'Вводные'!$B$63)))*X34+(1-(IF(SUM($D32:$DS32)=0,0,IF(SUM($D35:$DS35)=0,1,'Вводные'!$B$63))))*X36)</x:f>
      </x:c>
      <x:c r="Y37" s="107" t="n">
        <x:f>'Вводные'!$L$89*((IF(SUM($D32:$DS32)=0,0,IF(SUM($D35:$DS35)=0,1,'Вводные'!$B$63)))*Y34+(1-(IF(SUM($D32:$DS32)=0,0,IF(SUM($D35:$DS35)=0,1,'Вводные'!$B$63))))*Y36)</x:f>
      </x:c>
      <x:c r="Z37" s="107" t="n">
        <x:f>'Вводные'!$L$89*((IF(SUM($D32:$DS32)=0,0,IF(SUM($D35:$DS35)=0,1,'Вводные'!$B$63)))*Z34+(1-(IF(SUM($D32:$DS32)=0,0,IF(SUM($D35:$DS35)=0,1,'Вводные'!$B$63))))*Z36)</x:f>
      </x:c>
      <x:c r="AA37" s="107" t="n">
        <x:f>'Вводные'!$L$89*((IF(SUM($D32:$DS32)=0,0,IF(SUM($D35:$DS35)=0,1,'Вводные'!$B$63)))*AA34+(1-(IF(SUM($D32:$DS32)=0,0,IF(SUM($D35:$DS35)=0,1,'Вводные'!$B$63))))*AA36)</x:f>
      </x:c>
      <x:c r="AB37" s="107" t="n">
        <x:f>'Вводные'!$L$89*((IF(SUM($D32:$DS32)=0,0,IF(SUM($D35:$DS35)=0,1,'Вводные'!$B$63)))*AB34+(1-(IF(SUM($D32:$DS32)=0,0,IF(SUM($D35:$DS35)=0,1,'Вводные'!$B$63))))*AB36)</x:f>
      </x:c>
      <x:c r="AC37" s="107" t="n">
        <x:f>'Вводные'!$L$89*((IF(SUM($D32:$DS32)=0,0,IF(SUM($D35:$DS35)=0,1,'Вводные'!$B$63)))*AC34+(1-(IF(SUM($D32:$DS32)=0,0,IF(SUM($D35:$DS35)=0,1,'Вводные'!$B$63))))*AC36)</x:f>
      </x:c>
      <x:c r="AD37" s="107" t="n">
        <x:f>'Вводные'!$L$89*((IF(SUM($D32:$DS32)=0,0,IF(SUM($D35:$DS35)=0,1,'Вводные'!$B$63)))*AD34+(1-(IF(SUM($D32:$DS32)=0,0,IF(SUM($D35:$DS35)=0,1,'Вводные'!$B$63))))*AD36)</x:f>
      </x:c>
      <x:c r="AE37" s="107" t="n">
        <x:f>'Вводные'!$L$89*((IF(SUM($D32:$DS32)=0,0,IF(SUM($D35:$DS35)=0,1,'Вводные'!$B$63)))*AE34+(1-(IF(SUM($D32:$DS32)=0,0,IF(SUM($D35:$DS35)=0,1,'Вводные'!$B$63))))*AE36)</x:f>
      </x:c>
      <x:c r="AF37" s="107" t="n">
        <x:f>'Вводные'!$L$89*((IF(SUM($D32:$DS32)=0,0,IF(SUM($D35:$DS35)=0,1,'Вводные'!$B$63)))*AF34+(1-(IF(SUM($D32:$DS32)=0,0,IF(SUM($D35:$DS35)=0,1,'Вводные'!$B$63))))*AF36)</x:f>
      </x:c>
      <x:c r="AG37" s="107" t="n">
        <x:f>'Вводные'!$L$89*((IF(SUM($D32:$DS32)=0,0,IF(SUM($D35:$DS35)=0,1,'Вводные'!$B$63)))*AG34+(1-(IF(SUM($D32:$DS32)=0,0,IF(SUM($D35:$DS35)=0,1,'Вводные'!$B$63))))*AG36)</x:f>
      </x:c>
      <x:c r="AH37" s="107" t="n">
        <x:f>'Вводные'!$L$89*((IF(SUM($D32:$DS32)=0,0,IF(SUM($D35:$DS35)=0,1,'Вводные'!$B$63)))*AH34+(1-(IF(SUM($D32:$DS32)=0,0,IF(SUM($D35:$DS35)=0,1,'Вводные'!$B$63))))*AH36)</x:f>
      </x:c>
      <x:c r="AI37" s="107" t="n">
        <x:f>'Вводные'!$L$89*((IF(SUM($D32:$DS32)=0,0,IF(SUM($D35:$DS35)=0,1,'Вводные'!$B$63)))*AI34+(1-(IF(SUM($D32:$DS32)=0,0,IF(SUM($D35:$DS35)=0,1,'Вводные'!$B$63))))*AI36)</x:f>
      </x:c>
      <x:c r="AJ37" s="107" t="n">
        <x:f>'Вводные'!$L$89*((IF(SUM($D32:$DS32)=0,0,IF(SUM($D35:$DS35)=0,1,'Вводные'!$B$63)))*AJ34+(1-(IF(SUM($D32:$DS32)=0,0,IF(SUM($D35:$DS35)=0,1,'Вводные'!$B$63))))*AJ36)</x:f>
      </x:c>
      <x:c r="AK37" s="107" t="n">
        <x:f>'Вводные'!$L$89*((IF(SUM($D32:$DS32)=0,0,IF(SUM($D35:$DS35)=0,1,'Вводные'!$B$63)))*AK34+(1-(IF(SUM($D32:$DS32)=0,0,IF(SUM($D35:$DS35)=0,1,'Вводные'!$B$63))))*AK36)</x:f>
      </x:c>
      <x:c r="AL37" s="107" t="n">
        <x:f>'Вводные'!$L$89*((IF(SUM($D32:$DS32)=0,0,IF(SUM($D35:$DS35)=0,1,'Вводные'!$B$63)))*AL34+(1-(IF(SUM($D32:$DS32)=0,0,IF(SUM($D35:$DS35)=0,1,'Вводные'!$B$63))))*AL36)</x:f>
      </x:c>
      <x:c r="AM37" s="107" t="n">
        <x:f>'Вводные'!$L$89*((IF(SUM($D32:$DS32)=0,0,IF(SUM($D35:$DS35)=0,1,'Вводные'!$B$63)))*AM34+(1-(IF(SUM($D32:$DS32)=0,0,IF(SUM($D35:$DS35)=0,1,'Вводные'!$B$63))))*AM36)</x:f>
      </x:c>
      <x:c r="AN37" s="107" t="n">
        <x:f>'Вводные'!$L$89*((IF(SUM($D32:$DS32)=0,0,IF(SUM($D35:$DS35)=0,1,'Вводные'!$B$63)))*AN34+(1-(IF(SUM($D32:$DS32)=0,0,IF(SUM($D35:$DS35)=0,1,'Вводные'!$B$63))))*AN36)</x:f>
      </x:c>
      <x:c r="AO37" s="107" t="n">
        <x:f>'Вводные'!$L$89*((IF(SUM($D32:$DS32)=0,0,IF(SUM($D35:$DS35)=0,1,'Вводные'!$B$63)))*AO34+(1-(IF(SUM($D32:$DS32)=0,0,IF(SUM($D35:$DS35)=0,1,'Вводные'!$B$63))))*AO36)</x:f>
      </x:c>
      <x:c r="AP37" s="107" t="n">
        <x:f>'Вводные'!$L$89*((IF(SUM($D32:$DS32)=0,0,IF(SUM($D35:$DS35)=0,1,'Вводные'!$B$63)))*AP34+(1-(IF(SUM($D32:$DS32)=0,0,IF(SUM($D35:$DS35)=0,1,'Вводные'!$B$63))))*AP36)</x:f>
      </x:c>
      <x:c r="AQ37" s="107" t="n">
        <x:f>'Вводные'!$L$89*((IF(SUM($D32:$DS32)=0,0,IF(SUM($D35:$DS35)=0,1,'Вводные'!$B$63)))*AQ34+(1-(IF(SUM($D32:$DS32)=0,0,IF(SUM($D35:$DS35)=0,1,'Вводные'!$B$63))))*AQ36)</x:f>
      </x:c>
      <x:c r="AR37" s="107" t="n">
        <x:f>'Вводные'!$L$89*((IF(SUM($D32:$DS32)=0,0,IF(SUM($D35:$DS35)=0,1,'Вводные'!$B$63)))*AR34+(1-(IF(SUM($D32:$DS32)=0,0,IF(SUM($D35:$DS35)=0,1,'Вводные'!$B$63))))*AR36)</x:f>
      </x:c>
      <x:c r="AS37" s="107" t="n">
        <x:f>'Вводные'!$L$89*((IF(SUM($D32:$DS32)=0,0,IF(SUM($D35:$DS35)=0,1,'Вводные'!$B$63)))*AS34+(1-(IF(SUM($D32:$DS32)=0,0,IF(SUM($D35:$DS35)=0,1,'Вводные'!$B$63))))*AS36)</x:f>
      </x:c>
      <x:c r="AT37" s="107" t="n">
        <x:f>'Вводные'!$L$89*((IF(SUM($D32:$DS32)=0,0,IF(SUM($D35:$DS35)=0,1,'Вводные'!$B$63)))*AT34+(1-(IF(SUM($D32:$DS32)=0,0,IF(SUM($D35:$DS35)=0,1,'Вводные'!$B$63))))*AT36)</x:f>
      </x:c>
      <x:c r="AU37" s="107" t="n">
        <x:f>'Вводные'!$L$89*((IF(SUM($D32:$DS32)=0,0,IF(SUM($D35:$DS35)=0,1,'Вводные'!$B$63)))*AU34+(1-(IF(SUM($D32:$DS32)=0,0,IF(SUM($D35:$DS35)=0,1,'Вводные'!$B$63))))*AU36)</x:f>
      </x:c>
      <x:c r="AV37" s="107" t="n">
        <x:f>'Вводные'!$L$89*((IF(SUM($D32:$DS32)=0,0,IF(SUM($D35:$DS35)=0,1,'Вводные'!$B$63)))*AV34+(1-(IF(SUM($D32:$DS32)=0,0,IF(SUM($D35:$DS35)=0,1,'Вводные'!$B$63))))*AV36)</x:f>
      </x:c>
      <x:c r="AW37" s="107" t="n">
        <x:f>'Вводные'!$L$89*((IF(SUM($D32:$DS32)=0,0,IF(SUM($D35:$DS35)=0,1,'Вводные'!$B$63)))*AW34+(1-(IF(SUM($D32:$DS32)=0,0,IF(SUM($D35:$DS35)=0,1,'Вводные'!$B$63))))*AW36)</x:f>
      </x:c>
      <x:c r="AX37" s="107" t="n">
        <x:f>'Вводные'!$L$89*((IF(SUM($D32:$DS32)=0,0,IF(SUM($D35:$DS35)=0,1,'Вводные'!$B$63)))*AX34+(1-(IF(SUM($D32:$DS32)=0,0,IF(SUM($D35:$DS35)=0,1,'Вводные'!$B$63))))*AX36)</x:f>
      </x:c>
      <x:c r="AY37" s="107" t="n">
        <x:f>'Вводные'!$L$89*((IF(SUM($D32:$DS32)=0,0,IF(SUM($D35:$DS35)=0,1,'Вводные'!$B$63)))*AY34+(1-(IF(SUM($D32:$DS32)=0,0,IF(SUM($D35:$DS35)=0,1,'Вводные'!$B$63))))*AY36)</x:f>
      </x:c>
      <x:c r="AZ37" s="107" t="n">
        <x:f>'Вводные'!$L$89*((IF(SUM($D32:$DS32)=0,0,IF(SUM($D35:$DS35)=0,1,'Вводные'!$B$63)))*AZ34+(1-(IF(SUM($D32:$DS32)=0,0,IF(SUM($D35:$DS35)=0,1,'Вводные'!$B$63))))*AZ36)</x:f>
      </x:c>
      <x:c r="BA37" s="107" t="n">
        <x:f>'Вводные'!$L$89*((IF(SUM($D32:$DS32)=0,0,IF(SUM($D35:$DS35)=0,1,'Вводные'!$B$63)))*BA34+(1-(IF(SUM($D32:$DS32)=0,0,IF(SUM($D35:$DS35)=0,1,'Вводные'!$B$63))))*BA36)</x:f>
      </x:c>
      <x:c r="BB37" s="107" t="n">
        <x:f>'Вводные'!$L$89*((IF(SUM($D32:$DS32)=0,0,IF(SUM($D35:$DS35)=0,1,'Вводные'!$B$63)))*BB34+(1-(IF(SUM($D32:$DS32)=0,0,IF(SUM($D35:$DS35)=0,1,'Вводные'!$B$63))))*BB36)</x:f>
      </x:c>
      <x:c r="BC37" s="107" t="n">
        <x:f>'Вводные'!$L$89*((IF(SUM($D32:$DS32)=0,0,IF(SUM($D35:$DS35)=0,1,'Вводные'!$B$63)))*BC34+(1-(IF(SUM($D32:$DS32)=0,0,IF(SUM($D35:$DS35)=0,1,'Вводные'!$B$63))))*BC36)</x:f>
      </x:c>
      <x:c r="BD37" s="107" t="n">
        <x:f>'Вводные'!$L$89*((IF(SUM($D32:$DS32)=0,0,IF(SUM($D35:$DS35)=0,1,'Вводные'!$B$63)))*BD34+(1-(IF(SUM($D32:$DS32)=0,0,IF(SUM($D35:$DS35)=0,1,'Вводные'!$B$63))))*BD36)</x:f>
      </x:c>
      <x:c r="BE37" s="107" t="n">
        <x:f>'Вводные'!$L$89*((IF(SUM($D32:$DS32)=0,0,IF(SUM($D35:$DS35)=0,1,'Вводные'!$B$63)))*BE34+(1-(IF(SUM($D32:$DS32)=0,0,IF(SUM($D35:$DS35)=0,1,'Вводные'!$B$63))))*BE36)</x:f>
      </x:c>
      <x:c r="BF37" s="107" t="n">
        <x:f>'Вводные'!$L$89*((IF(SUM($D32:$DS32)=0,0,IF(SUM($D35:$DS35)=0,1,'Вводные'!$B$63)))*BF34+(1-(IF(SUM($D32:$DS32)=0,0,IF(SUM($D35:$DS35)=0,1,'Вводные'!$B$63))))*BF36)</x:f>
      </x:c>
      <x:c r="BG37" s="107" t="n">
        <x:f>'Вводные'!$L$89*((IF(SUM($D32:$DS32)=0,0,IF(SUM($D35:$DS35)=0,1,'Вводные'!$B$63)))*BG34+(1-(IF(SUM($D32:$DS32)=0,0,IF(SUM($D35:$DS35)=0,1,'Вводные'!$B$63))))*BG36)</x:f>
      </x:c>
      <x:c r="BH37" s="107" t="n">
        <x:f>'Вводные'!$L$89*((IF(SUM($D32:$DS32)=0,0,IF(SUM($D35:$DS35)=0,1,'Вводные'!$B$63)))*BH34+(1-(IF(SUM($D32:$DS32)=0,0,IF(SUM($D35:$DS35)=0,1,'Вводные'!$B$63))))*BH36)</x:f>
      </x:c>
      <x:c r="BI37" s="107" t="n">
        <x:f>'Вводные'!$L$89*((IF(SUM($D32:$DS32)=0,0,IF(SUM($D35:$DS35)=0,1,'Вводные'!$B$63)))*BI34+(1-(IF(SUM($D32:$DS32)=0,0,IF(SUM($D35:$DS35)=0,1,'Вводные'!$B$63))))*BI36)</x:f>
      </x:c>
      <x:c r="BJ37" s="107" t="n">
        <x:f>'Вводные'!$L$89*((IF(SUM($D32:$DS32)=0,0,IF(SUM($D35:$DS35)=0,1,'Вводные'!$B$63)))*BJ34+(1-(IF(SUM($D32:$DS32)=0,0,IF(SUM($D35:$DS35)=0,1,'Вводные'!$B$63))))*BJ36)</x:f>
      </x:c>
      <x:c r="BK37" s="107" t="n">
        <x:f>'Вводные'!$L$89*((IF(SUM($D32:$DS32)=0,0,IF(SUM($D35:$DS35)=0,1,'Вводные'!$B$63)))*BK34+(1-(IF(SUM($D32:$DS32)=0,0,IF(SUM($D35:$DS35)=0,1,'Вводные'!$B$63))))*BK36)</x:f>
      </x:c>
      <x:c r="BL37" s="107" t="n">
        <x:f>'Вводные'!$L$89*((IF(SUM($D32:$DS32)=0,0,IF(SUM($D35:$DS35)=0,1,'Вводные'!$B$63)))*BL34+(1-(IF(SUM($D32:$DS32)=0,0,IF(SUM($D35:$DS35)=0,1,'Вводные'!$B$63))))*BL36)</x:f>
      </x:c>
      <x:c r="BM37" s="107" t="n">
        <x:f>'Вводные'!$L$89*((IF(SUM($D32:$DS32)=0,0,IF(SUM($D35:$DS35)=0,1,'Вводные'!$B$63)))*BM34+(1-(IF(SUM($D32:$DS32)=0,0,IF(SUM($D35:$DS35)=0,1,'Вводные'!$B$63))))*BM36)</x:f>
      </x:c>
      <x:c r="BN37" s="107" t="n">
        <x:f>'Вводные'!$L$89*((IF(SUM($D32:$DS32)=0,0,IF(SUM($D35:$DS35)=0,1,'Вводные'!$B$63)))*BN34+(1-(IF(SUM($D32:$DS32)=0,0,IF(SUM($D35:$DS35)=0,1,'Вводные'!$B$63))))*BN36)</x:f>
      </x:c>
      <x:c r="BO37" s="107" t="n">
        <x:f>'Вводные'!$L$89*((IF(SUM($D32:$DS32)=0,0,IF(SUM($D35:$DS35)=0,1,'Вводные'!$B$63)))*BO34+(1-(IF(SUM($D32:$DS32)=0,0,IF(SUM($D35:$DS35)=0,1,'Вводные'!$B$63))))*BO36)</x:f>
      </x:c>
      <x:c r="BP37" s="107" t="n">
        <x:f>'Вводные'!$L$89*((IF(SUM($D32:$DS32)=0,0,IF(SUM($D35:$DS35)=0,1,'Вводные'!$B$63)))*BP34+(1-(IF(SUM($D32:$DS32)=0,0,IF(SUM($D35:$DS35)=0,1,'Вводные'!$B$63))))*BP36)</x:f>
      </x:c>
      <x:c r="BQ37" s="107" t="n">
        <x:f>'Вводные'!$L$89*((IF(SUM($D32:$DS32)=0,0,IF(SUM($D35:$DS35)=0,1,'Вводные'!$B$63)))*BQ34+(1-(IF(SUM($D32:$DS32)=0,0,IF(SUM($D35:$DS35)=0,1,'Вводные'!$B$63))))*BQ36)</x:f>
      </x:c>
      <x:c r="BR37" s="107" t="n">
        <x:f>'Вводные'!$L$89*((IF(SUM($D32:$DS32)=0,0,IF(SUM($D35:$DS35)=0,1,'Вводные'!$B$63)))*BR34+(1-(IF(SUM($D32:$DS32)=0,0,IF(SUM($D35:$DS35)=0,1,'Вводные'!$B$63))))*BR36)</x:f>
      </x:c>
      <x:c r="BS37" s="107" t="n">
        <x:f>'Вводные'!$L$89*((IF(SUM($D32:$DS32)=0,0,IF(SUM($D35:$DS35)=0,1,'Вводные'!$B$63)))*BS34+(1-(IF(SUM($D32:$DS32)=0,0,IF(SUM($D35:$DS35)=0,1,'Вводные'!$B$63))))*BS36)</x:f>
      </x:c>
      <x:c r="BT37" s="107" t="n">
        <x:f>'Вводные'!$L$89*((IF(SUM($D32:$DS32)=0,0,IF(SUM($D35:$DS35)=0,1,'Вводные'!$B$63)))*BT34+(1-(IF(SUM($D32:$DS32)=0,0,IF(SUM($D35:$DS35)=0,1,'Вводные'!$B$63))))*BT36)</x:f>
      </x:c>
      <x:c r="BU37" s="107" t="n">
        <x:f>'Вводные'!$L$89*((IF(SUM($D32:$DS32)=0,0,IF(SUM($D35:$DS35)=0,1,'Вводные'!$B$63)))*BU34+(1-(IF(SUM($D32:$DS32)=0,0,IF(SUM($D35:$DS35)=0,1,'Вводные'!$B$63))))*BU36)</x:f>
      </x:c>
      <x:c r="BV37" s="107" t="n">
        <x:f>'Вводные'!$L$89*((IF(SUM($D32:$DS32)=0,0,IF(SUM($D35:$DS35)=0,1,'Вводные'!$B$63)))*BV34+(1-(IF(SUM($D32:$DS32)=0,0,IF(SUM($D35:$DS35)=0,1,'Вводные'!$B$63))))*BV36)</x:f>
      </x:c>
      <x:c r="BW37" s="107" t="n">
        <x:f>'Вводные'!$L$89*((IF(SUM($D32:$DS32)=0,0,IF(SUM($D35:$DS35)=0,1,'Вводные'!$B$63)))*BW34+(1-(IF(SUM($D32:$DS32)=0,0,IF(SUM($D35:$DS35)=0,1,'Вводные'!$B$63))))*BW36)</x:f>
      </x:c>
      <x:c r="BX37" s="107" t="n">
        <x:f>'Вводные'!$L$89*((IF(SUM($D32:$DS32)=0,0,IF(SUM($D35:$DS35)=0,1,'Вводные'!$B$63)))*BX34+(1-(IF(SUM($D32:$DS32)=0,0,IF(SUM($D35:$DS35)=0,1,'Вводные'!$B$63))))*BX36)</x:f>
      </x:c>
      <x:c r="BY37" s="107" t="n">
        <x:f>'Вводные'!$L$89*((IF(SUM($D32:$DS32)=0,0,IF(SUM($D35:$DS35)=0,1,'Вводные'!$B$63)))*BY34+(1-(IF(SUM($D32:$DS32)=0,0,IF(SUM($D35:$DS35)=0,1,'Вводные'!$B$63))))*BY36)</x:f>
      </x:c>
      <x:c r="BZ37" s="107" t="n">
        <x:f>'Вводные'!$L$89*((IF(SUM($D32:$DS32)=0,0,IF(SUM($D35:$DS35)=0,1,'Вводные'!$B$63)))*BZ34+(1-(IF(SUM($D32:$DS32)=0,0,IF(SUM($D35:$DS35)=0,1,'Вводные'!$B$63))))*BZ36)</x:f>
      </x:c>
      <x:c r="CA37" s="107" t="n">
        <x:f>'Вводные'!$L$89*((IF(SUM($D32:$DS32)=0,0,IF(SUM($D35:$DS35)=0,1,'Вводные'!$B$63)))*CA34+(1-(IF(SUM($D32:$DS32)=0,0,IF(SUM($D35:$DS35)=0,1,'Вводные'!$B$63))))*CA36)</x:f>
      </x:c>
      <x:c r="CB37" s="107" t="n">
        <x:f>'Вводные'!$L$89*((IF(SUM($D32:$DS32)=0,0,IF(SUM($D35:$DS35)=0,1,'Вводные'!$B$63)))*CB34+(1-(IF(SUM($D32:$DS32)=0,0,IF(SUM($D35:$DS35)=0,1,'Вводные'!$B$63))))*CB36)</x:f>
      </x:c>
      <x:c r="CC37" s="107" t="n">
        <x:f>'Вводные'!$L$89*((IF(SUM($D32:$DS32)=0,0,IF(SUM($D35:$DS35)=0,1,'Вводные'!$B$63)))*CC34+(1-(IF(SUM($D32:$DS32)=0,0,IF(SUM($D35:$DS35)=0,1,'Вводные'!$B$63))))*CC36)</x:f>
      </x:c>
      <x:c r="CD37" s="107" t="n">
        <x:f>'Вводные'!$L$89*((IF(SUM($D32:$DS32)=0,0,IF(SUM($D35:$DS35)=0,1,'Вводные'!$B$63)))*CD34+(1-(IF(SUM($D32:$DS32)=0,0,IF(SUM($D35:$DS35)=0,1,'Вводные'!$B$63))))*CD36)</x:f>
      </x:c>
      <x:c r="CE37" s="107" t="n">
        <x:f>'Вводные'!$L$89*((IF(SUM($D32:$DS32)=0,0,IF(SUM($D35:$DS35)=0,1,'Вводные'!$B$63)))*CE34+(1-(IF(SUM($D32:$DS32)=0,0,IF(SUM($D35:$DS35)=0,1,'Вводные'!$B$63))))*CE36)</x:f>
      </x:c>
      <x:c r="CF37" s="107" t="n">
        <x:f>'Вводные'!$L$89*((IF(SUM($D32:$DS32)=0,0,IF(SUM($D35:$DS35)=0,1,'Вводные'!$B$63)))*CF34+(1-(IF(SUM($D32:$DS32)=0,0,IF(SUM($D35:$DS35)=0,1,'Вводные'!$B$63))))*CF36)</x:f>
      </x:c>
      <x:c r="CG37" s="107" t="n">
        <x:f>'Вводные'!$L$89*((IF(SUM($D32:$DS32)=0,0,IF(SUM($D35:$DS35)=0,1,'Вводные'!$B$63)))*CG34+(1-(IF(SUM($D32:$DS32)=0,0,IF(SUM($D35:$DS35)=0,1,'Вводные'!$B$63))))*CG36)</x:f>
      </x:c>
      <x:c r="CH37" s="107" t="n">
        <x:f>'Вводные'!$L$89*((IF(SUM($D32:$DS32)=0,0,IF(SUM($D35:$DS35)=0,1,'Вводные'!$B$63)))*CH34+(1-(IF(SUM($D32:$DS32)=0,0,IF(SUM($D35:$DS35)=0,1,'Вводные'!$B$63))))*CH36)</x:f>
      </x:c>
      <x:c r="CI37" s="107" t="n">
        <x:f>'Вводные'!$L$89*((IF(SUM($D32:$DS32)=0,0,IF(SUM($D35:$DS35)=0,1,'Вводные'!$B$63)))*CI34+(1-(IF(SUM($D32:$DS32)=0,0,IF(SUM($D35:$DS35)=0,1,'Вводные'!$B$63))))*CI36)</x:f>
      </x:c>
      <x:c r="CJ37" s="107" t="n">
        <x:f>'Вводные'!$L$89*((IF(SUM($D32:$DS32)=0,0,IF(SUM($D35:$DS35)=0,1,'Вводные'!$B$63)))*CJ34+(1-(IF(SUM($D32:$DS32)=0,0,IF(SUM($D35:$DS35)=0,1,'Вводные'!$B$63))))*CJ36)</x:f>
      </x:c>
      <x:c r="CK37" s="107" t="n">
        <x:f>'Вводные'!$L$89*((IF(SUM($D32:$DS32)=0,0,IF(SUM($D35:$DS35)=0,1,'Вводные'!$B$63)))*CK34+(1-(IF(SUM($D32:$DS32)=0,0,IF(SUM($D35:$DS35)=0,1,'Вводные'!$B$63))))*CK36)</x:f>
      </x:c>
      <x:c r="CL37" s="107" t="n">
        <x:f>'Вводные'!$L$89*((IF(SUM($D32:$DS32)=0,0,IF(SUM($D35:$DS35)=0,1,'Вводные'!$B$63)))*CL34+(1-(IF(SUM($D32:$DS32)=0,0,IF(SUM($D35:$DS35)=0,1,'Вводные'!$B$63))))*CL36)</x:f>
      </x:c>
      <x:c r="CM37" s="107" t="n">
        <x:f>'Вводные'!$L$89*((IF(SUM($D32:$DS32)=0,0,IF(SUM($D35:$DS35)=0,1,'Вводные'!$B$63)))*CM34+(1-(IF(SUM($D32:$DS32)=0,0,IF(SUM($D35:$DS35)=0,1,'Вводные'!$B$63))))*CM36)</x:f>
      </x:c>
      <x:c r="CN37" s="107" t="n">
        <x:f>'Вводные'!$L$89*((IF(SUM($D32:$DS32)=0,0,IF(SUM($D35:$DS35)=0,1,'Вводные'!$B$63)))*CN34+(1-(IF(SUM($D32:$DS32)=0,0,IF(SUM($D35:$DS35)=0,1,'Вводные'!$B$63))))*CN36)</x:f>
      </x:c>
      <x:c r="CO37" s="107" t="n">
        <x:f>'Вводные'!$L$89*((IF(SUM($D32:$DS32)=0,0,IF(SUM($D35:$DS35)=0,1,'Вводные'!$B$63)))*CO34+(1-(IF(SUM($D32:$DS32)=0,0,IF(SUM($D35:$DS35)=0,1,'Вводные'!$B$63))))*CO36)</x:f>
      </x:c>
      <x:c r="CP37" s="107" t="n">
        <x:f>'Вводные'!$L$89*((IF(SUM($D32:$DS32)=0,0,IF(SUM($D35:$DS35)=0,1,'Вводные'!$B$63)))*CP34+(1-(IF(SUM($D32:$DS32)=0,0,IF(SUM($D35:$DS35)=0,1,'Вводные'!$B$63))))*CP36)</x:f>
      </x:c>
      <x:c r="CQ37" s="107" t="n">
        <x:f>'Вводные'!$L$89*((IF(SUM($D32:$DS32)=0,0,IF(SUM($D35:$DS35)=0,1,'Вводные'!$B$63)))*CQ34+(1-(IF(SUM($D32:$DS32)=0,0,IF(SUM($D35:$DS35)=0,1,'Вводные'!$B$63))))*CQ36)</x:f>
      </x:c>
      <x:c r="CR37" s="107" t="n">
        <x:f>'Вводные'!$L$89*((IF(SUM($D32:$DS32)=0,0,IF(SUM($D35:$DS35)=0,1,'Вводные'!$B$63)))*CR34+(1-(IF(SUM($D32:$DS32)=0,0,IF(SUM($D35:$DS35)=0,1,'Вводные'!$B$63))))*CR36)</x:f>
      </x:c>
      <x:c r="CS37" s="107" t="n">
        <x:f>'Вводные'!$L$89*((IF(SUM($D32:$DS32)=0,0,IF(SUM($D35:$DS35)=0,1,'Вводные'!$B$63)))*CS34+(1-(IF(SUM($D32:$DS32)=0,0,IF(SUM($D35:$DS35)=0,1,'Вводные'!$B$63))))*CS36)</x:f>
      </x:c>
      <x:c r="CT37" s="107" t="n">
        <x:f>'Вводные'!$L$89*((IF(SUM($D32:$DS32)=0,0,IF(SUM($D35:$DS35)=0,1,'Вводные'!$B$63)))*CT34+(1-(IF(SUM($D32:$DS32)=0,0,IF(SUM($D35:$DS35)=0,1,'Вводные'!$B$63))))*CT36)</x:f>
      </x:c>
      <x:c r="CU37" s="107" t="n">
        <x:f>'Вводные'!$L$89*((IF(SUM($D32:$DS32)=0,0,IF(SUM($D35:$DS35)=0,1,'Вводные'!$B$63)))*CU34+(1-(IF(SUM($D32:$DS32)=0,0,IF(SUM($D35:$DS35)=0,1,'Вводные'!$B$63))))*CU36)</x:f>
      </x:c>
      <x:c r="CV37" s="107" t="n">
        <x:f>'Вводные'!$L$89*((IF(SUM($D32:$DS32)=0,0,IF(SUM($D35:$DS35)=0,1,'Вводные'!$B$63)))*CV34+(1-(IF(SUM($D32:$DS32)=0,0,IF(SUM($D35:$DS35)=0,1,'Вводные'!$B$63))))*CV36)</x:f>
      </x:c>
      <x:c r="CW37" s="107" t="n">
        <x:f>'Вводные'!$L$89*((IF(SUM($D32:$DS32)=0,0,IF(SUM($D35:$DS35)=0,1,'Вводные'!$B$63)))*CW34+(1-(IF(SUM($D32:$DS32)=0,0,IF(SUM($D35:$DS35)=0,1,'Вводные'!$B$63))))*CW36)</x:f>
      </x:c>
      <x:c r="CX37" s="107" t="n">
        <x:f>'Вводные'!$L$89*((IF(SUM($D32:$DS32)=0,0,IF(SUM($D35:$DS35)=0,1,'Вводные'!$B$63)))*CX34+(1-(IF(SUM($D32:$DS32)=0,0,IF(SUM($D35:$DS35)=0,1,'Вводные'!$B$63))))*CX36)</x:f>
      </x:c>
      <x:c r="CY37" s="107" t="n">
        <x:f>'Вводные'!$L$89*((IF(SUM($D32:$DS32)=0,0,IF(SUM($D35:$DS35)=0,1,'Вводные'!$B$63)))*CY34+(1-(IF(SUM($D32:$DS32)=0,0,IF(SUM($D35:$DS35)=0,1,'Вводные'!$B$63))))*CY36)</x:f>
      </x:c>
      <x:c r="CZ37" s="107" t="n">
        <x:f>'Вводные'!$L$89*((IF(SUM($D32:$DS32)=0,0,IF(SUM($D35:$DS35)=0,1,'Вводные'!$B$63)))*CZ34+(1-(IF(SUM($D32:$DS32)=0,0,IF(SUM($D35:$DS35)=0,1,'Вводные'!$B$63))))*CZ36)</x:f>
      </x:c>
      <x:c r="DA37" s="107" t="n">
        <x:f>'Вводные'!$L$89*((IF(SUM($D32:$DS32)=0,0,IF(SUM($D35:$DS35)=0,1,'Вводные'!$B$63)))*DA34+(1-(IF(SUM($D32:$DS32)=0,0,IF(SUM($D35:$DS35)=0,1,'Вводные'!$B$63))))*DA36)</x:f>
      </x:c>
      <x:c r="DB37" s="107" t="n">
        <x:f>'Вводные'!$L$89*((IF(SUM($D32:$DS32)=0,0,IF(SUM($D35:$DS35)=0,1,'Вводные'!$B$63)))*DB34+(1-(IF(SUM($D32:$DS32)=0,0,IF(SUM($D35:$DS35)=0,1,'Вводные'!$B$63))))*DB36)</x:f>
      </x:c>
      <x:c r="DC37" s="107" t="n">
        <x:f>'Вводные'!$L$89*((IF(SUM($D32:$DS32)=0,0,IF(SUM($D35:$DS35)=0,1,'Вводные'!$B$63)))*DC34+(1-(IF(SUM($D32:$DS32)=0,0,IF(SUM($D35:$DS35)=0,1,'Вводные'!$B$63))))*DC36)</x:f>
      </x:c>
      <x:c r="DD37" s="107" t="n">
        <x:f>'Вводные'!$L$89*((IF(SUM($D32:$DS32)=0,0,IF(SUM($D35:$DS35)=0,1,'Вводные'!$B$63)))*DD34+(1-(IF(SUM($D32:$DS32)=0,0,IF(SUM($D35:$DS35)=0,1,'Вводные'!$B$63))))*DD36)</x:f>
      </x:c>
      <x:c r="DE37" s="107" t="n">
        <x:f>'Вводные'!$L$89*((IF(SUM($D32:$DS32)=0,0,IF(SUM($D35:$DS35)=0,1,'Вводные'!$B$63)))*DE34+(1-(IF(SUM($D32:$DS32)=0,0,IF(SUM($D35:$DS35)=0,1,'Вводные'!$B$63))))*DE36)</x:f>
      </x:c>
      <x:c r="DF37" s="107" t="n">
        <x:f>'Вводные'!$L$89*((IF(SUM($D32:$DS32)=0,0,IF(SUM($D35:$DS35)=0,1,'Вводные'!$B$63)))*DF34+(1-(IF(SUM($D32:$DS32)=0,0,IF(SUM($D35:$DS35)=0,1,'Вводные'!$B$63))))*DF36)</x:f>
      </x:c>
      <x:c r="DG37" s="107" t="n">
        <x:f>'Вводные'!$L$89*((IF(SUM($D32:$DS32)=0,0,IF(SUM($D35:$DS35)=0,1,'Вводные'!$B$63)))*DG34+(1-(IF(SUM($D32:$DS32)=0,0,IF(SUM($D35:$DS35)=0,1,'Вводные'!$B$63))))*DG36)</x:f>
      </x:c>
      <x:c r="DH37" s="107" t="n">
        <x:f>'Вводные'!$L$89*((IF(SUM($D32:$DS32)=0,0,IF(SUM($D35:$DS35)=0,1,'Вводные'!$B$63)))*DH34+(1-(IF(SUM($D32:$DS32)=0,0,IF(SUM($D35:$DS35)=0,1,'Вводные'!$B$63))))*DH36)</x:f>
      </x:c>
      <x:c r="DI37" s="107" t="n">
        <x:f>'Вводные'!$L$89*((IF(SUM($D32:$DS32)=0,0,IF(SUM($D35:$DS35)=0,1,'Вводные'!$B$63)))*DI34+(1-(IF(SUM($D32:$DS32)=0,0,IF(SUM($D35:$DS35)=0,1,'Вводные'!$B$63))))*DI36)</x:f>
      </x:c>
      <x:c r="DJ37" s="107" t="n">
        <x:f>'Вводные'!$L$89*((IF(SUM($D32:$DS32)=0,0,IF(SUM($D35:$DS35)=0,1,'Вводные'!$B$63)))*DJ34+(1-(IF(SUM($D32:$DS32)=0,0,IF(SUM($D35:$DS35)=0,1,'Вводные'!$B$63))))*DJ36)</x:f>
      </x:c>
      <x:c r="DK37" s="107" t="n">
        <x:f>'Вводные'!$L$89*((IF(SUM($D32:$DS32)=0,0,IF(SUM($D35:$DS35)=0,1,'Вводные'!$B$63)))*DK34+(1-(IF(SUM($D32:$DS32)=0,0,IF(SUM($D35:$DS35)=0,1,'Вводные'!$B$63))))*DK36)</x:f>
      </x:c>
      <x:c r="DL37" s="107" t="n">
        <x:f>'Вводные'!$L$89*((IF(SUM($D32:$DS32)=0,0,IF(SUM($D35:$DS35)=0,1,'Вводные'!$B$63)))*DL34+(1-(IF(SUM($D32:$DS32)=0,0,IF(SUM($D35:$DS35)=0,1,'Вводные'!$B$63))))*DL36)</x:f>
      </x:c>
      <x:c r="DM37" s="107" t="n">
        <x:f>'Вводные'!$L$89*((IF(SUM($D32:$DS32)=0,0,IF(SUM($D35:$DS35)=0,1,'Вводные'!$B$63)))*DM34+(1-(IF(SUM($D32:$DS32)=0,0,IF(SUM($D35:$DS35)=0,1,'Вводные'!$B$63))))*DM36)</x:f>
      </x:c>
      <x:c r="DN37" s="107" t="n">
        <x:f>'Вводные'!$L$89*((IF(SUM($D32:$DS32)=0,0,IF(SUM($D35:$DS35)=0,1,'Вводные'!$B$63)))*DN34+(1-(IF(SUM($D32:$DS32)=0,0,IF(SUM($D35:$DS35)=0,1,'Вводные'!$B$63))))*DN36)</x:f>
      </x:c>
      <x:c r="DO37" s="107" t="n">
        <x:f>'Вводные'!$L$89*((IF(SUM($D32:$DS32)=0,0,IF(SUM($D35:$DS35)=0,1,'Вводные'!$B$63)))*DO34+(1-(IF(SUM($D32:$DS32)=0,0,IF(SUM($D35:$DS35)=0,1,'Вводные'!$B$63))))*DO36)</x:f>
      </x:c>
      <x:c r="DP37" s="107" t="n">
        <x:f>'Вводные'!$L$89*((IF(SUM($D32:$DS32)=0,0,IF(SUM($D35:$DS35)=0,1,'Вводные'!$B$63)))*DP34+(1-(IF(SUM($D32:$DS32)=0,0,IF(SUM($D35:$DS35)=0,1,'Вводные'!$B$63))))*DP36)</x:f>
      </x:c>
      <x:c r="DQ37" s="107" t="n">
        <x:f>'Вводные'!$L$89*((IF(SUM($D32:$DS32)=0,0,IF(SUM($D35:$DS35)=0,1,'Вводные'!$B$63)))*DQ34+(1-(IF(SUM($D32:$DS32)=0,0,IF(SUM($D35:$DS35)=0,1,'Вводные'!$B$63))))*DQ36)</x:f>
      </x:c>
      <x:c r="DR37" s="107" t="n">
        <x:f>'Вводные'!$L$89*((IF(SUM($D32:$DS32)=0,0,IF(SUM($D35:$DS35)=0,1,'Вводные'!$B$63)))*DR34+(1-(IF(SUM($D32:$DS32)=0,0,IF(SUM($D35:$DS35)=0,1,'Вводные'!$B$63))))*DR36)</x:f>
      </x:c>
      <x:c r="DS37" s="107" t="n">
        <x:f>'Вводные'!$L$89*((IF(SUM($D32:$DS32)=0,0,IF(SUM($D35:$DS35)=0,1,'Вводные'!$B$63)))*DS34+(1-(IF(SUM($D32:$DS32)=0,0,IF(SUM($D35:$DS35)=0,1,'Вводные'!$B$63))))*DS36)</x:f>
      </x:c>
    </x:row>
    <x:row r="38">
      <x:c r="A38" t="str">
        <x:v>Квартиры — цена</x:v>
      </x:c>
      <x:c r="B38" t="n">
        <x:f>IFERROR(B39*1000/B37,0)</x:f>
      </x:c>
      <x:c r="C38" t="str">
        <x:v>тыс. ₽/м²</x:v>
      </x:c>
      <x:c r="D38" s="107" t="n">
        <x:f>IF(D37=0,0,'Вводные'!$B$59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38" s="107" t="n">
        <x:f>IF(E37=0,0,'Вводные'!$B$59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38" s="107" t="n">
        <x:f>IF(F37=0,0,'Вводные'!$B$59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38" s="107" t="n">
        <x:f>IF(G37=0,0,'Вводные'!$B$59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38" s="107" t="n">
        <x:f>IF(H37=0,0,'Вводные'!$B$59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38" s="107" t="n">
        <x:f>IF(I37=0,0,'Вводные'!$B$59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38" s="107" t="n">
        <x:f>IF(J37=0,0,'Вводные'!$B$59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38" s="107" t="n">
        <x:f>IF(K37=0,0,'Вводные'!$B$59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38" s="107" t="n">
        <x:f>IF(L37=0,0,'Вводные'!$B$59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38" s="107" t="n">
        <x:f>IF(M37=0,0,'Вводные'!$B$59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38" s="107" t="n">
        <x:f>IF(N37=0,0,'Вводные'!$B$59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38" s="107" t="n">
        <x:f>IF(O37=0,0,'Вводные'!$B$59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38" s="107" t="n">
        <x:f>IF(P37=0,0,'Вводные'!$B$59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38" s="107" t="n">
        <x:f>IF(Q37=0,0,'Вводные'!$B$59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38" s="107" t="n">
        <x:f>IF(R37=0,0,'Вводные'!$B$59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38" s="107" t="n">
        <x:f>IF(S37=0,0,'Вводные'!$B$59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38" s="107" t="n">
        <x:f>IF(T37=0,0,'Вводные'!$B$59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38" s="107" t="n">
        <x:f>IF(U37=0,0,'Вводные'!$B$59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38" s="107" t="n">
        <x:f>IF(V37=0,0,'Вводные'!$B$59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38" s="107" t="n">
        <x:f>IF(W37=0,0,'Вводные'!$B$59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38" s="107" t="n">
        <x:f>IF(X37=0,0,'Вводные'!$B$59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38" s="107" t="n">
        <x:f>IF(Y37=0,0,'Вводные'!$B$59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38" s="107" t="n">
        <x:f>IF(Z37=0,0,'Вводные'!$B$59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38" s="107" t="n">
        <x:f>IF(AA37=0,0,'Вводные'!$B$59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38" s="107" t="n">
        <x:f>IF(AB37=0,0,'Вводные'!$B$59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38" s="107" t="n">
        <x:f>IF(AC37=0,0,'Вводные'!$B$59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38" s="107" t="n">
        <x:f>IF(AD37=0,0,'Вводные'!$B$59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38" s="107" t="n">
        <x:f>IF(AE37=0,0,'Вводные'!$B$59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38" s="107" t="n">
        <x:f>IF(AF37=0,0,'Вводные'!$B$59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38" s="107" t="n">
        <x:f>IF(AG37=0,0,'Вводные'!$B$59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38" s="107" t="n">
        <x:f>IF(AH37=0,0,'Вводные'!$B$59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38" s="107" t="n">
        <x:f>IF(AI37=0,0,'Вводные'!$B$59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38" s="107" t="n">
        <x:f>IF(AJ37=0,0,'Вводные'!$B$59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38" s="107" t="n">
        <x:f>IF(AK37=0,0,'Вводные'!$B$59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38" s="107" t="n">
        <x:f>IF(AL37=0,0,'Вводные'!$B$59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38" s="107" t="n">
        <x:f>IF(AM37=0,0,'Вводные'!$B$59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38" s="107" t="n">
        <x:f>IF(AN37=0,0,'Вводные'!$B$59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38" s="107" t="n">
        <x:f>IF(AO37=0,0,'Вводные'!$B$59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38" s="107" t="n">
        <x:f>IF(AP37=0,0,'Вводные'!$B$59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38" s="107" t="n">
        <x:f>IF(AQ37=0,0,'Вводные'!$B$59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38" s="107" t="n">
        <x:f>IF(AR37=0,0,'Вводные'!$B$59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38" s="107" t="n">
        <x:f>IF(AS37=0,0,'Вводные'!$B$59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38" s="107" t="n">
        <x:f>IF(AT37=0,0,'Вводные'!$B$59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38" s="107" t="n">
        <x:f>IF(AU37=0,0,'Вводные'!$B$59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38" s="107" t="n">
        <x:f>IF(AV37=0,0,'Вводные'!$B$59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38" s="107" t="n">
        <x:f>IF(AW37=0,0,'Вводные'!$B$59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38" s="107" t="n">
        <x:f>IF(AX37=0,0,'Вводные'!$B$59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38" s="107" t="n">
        <x:f>IF(AY37=0,0,'Вводные'!$B$59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38" s="107" t="n">
        <x:f>IF(AZ37=0,0,'Вводные'!$B$59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38" s="107" t="n">
        <x:f>IF(BA37=0,0,'Вводные'!$B$59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38" s="107" t="n">
        <x:f>IF(BB37=0,0,'Вводные'!$B$59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38" s="107" t="n">
        <x:f>IF(BC37=0,0,'Вводные'!$B$59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38" s="107" t="n">
        <x:f>IF(BD37=0,0,'Вводные'!$B$59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38" s="107" t="n">
        <x:f>IF(BE37=0,0,'Вводные'!$B$59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38" s="107" t="n">
        <x:f>IF(BF37=0,0,'Вводные'!$B$59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38" s="107" t="n">
        <x:f>IF(BG37=0,0,'Вводные'!$B$59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38" s="107" t="n">
        <x:f>IF(BH37=0,0,'Вводные'!$B$59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38" s="107" t="n">
        <x:f>IF(BI37=0,0,'Вводные'!$B$59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38" s="107" t="n">
        <x:f>IF(BJ37=0,0,'Вводные'!$B$59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38" s="107" t="n">
        <x:f>IF(BK37=0,0,'Вводные'!$B$59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38" s="107" t="n">
        <x:f>IF(BL37=0,0,'Вводные'!$B$59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38" s="107" t="n">
        <x:f>IF(BM37=0,0,'Вводные'!$B$59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38" s="107" t="n">
        <x:f>IF(BN37=0,0,'Вводные'!$B$59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38" s="107" t="n">
        <x:f>IF(BO37=0,0,'Вводные'!$B$59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38" s="107" t="n">
        <x:f>IF(BP37=0,0,'Вводные'!$B$59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38" s="107" t="n">
        <x:f>IF(BQ37=0,0,'Вводные'!$B$59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38" s="107" t="n">
        <x:f>IF(BR37=0,0,'Вводные'!$B$59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38" s="107" t="n">
        <x:f>IF(BS37=0,0,'Вводные'!$B$59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38" s="107" t="n">
        <x:f>IF(BT37=0,0,'Вводные'!$B$59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38" s="107" t="n">
        <x:f>IF(BU37=0,0,'Вводные'!$B$59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38" s="107" t="n">
        <x:f>IF(BV37=0,0,'Вводные'!$B$59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38" s="107" t="n">
        <x:f>IF(BW37=0,0,'Вводные'!$B$59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38" s="107" t="n">
        <x:f>IF(BX37=0,0,'Вводные'!$B$59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38" s="107" t="n">
        <x:f>IF(BY37=0,0,'Вводные'!$B$59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38" s="107" t="n">
        <x:f>IF(BZ37=0,0,'Вводные'!$B$59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38" s="107" t="n">
        <x:f>IF(CA37=0,0,'Вводные'!$B$59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38" s="107" t="n">
        <x:f>IF(CB37=0,0,'Вводные'!$B$59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38" s="107" t="n">
        <x:f>IF(CC37=0,0,'Вводные'!$B$59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38" s="107" t="n">
        <x:f>IF(CD37=0,0,'Вводные'!$B$59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38" s="107" t="n">
        <x:f>IF(CE37=0,0,'Вводные'!$B$59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38" s="107" t="n">
        <x:f>IF(CF37=0,0,'Вводные'!$B$59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38" s="107" t="n">
        <x:f>IF(CG37=0,0,'Вводные'!$B$59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38" s="107" t="n">
        <x:f>IF(CH37=0,0,'Вводные'!$B$59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38" s="107" t="n">
        <x:f>IF(CI37=0,0,'Вводные'!$B$59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38" s="107" t="n">
        <x:f>IF(CJ37=0,0,'Вводные'!$B$59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38" s="107" t="n">
        <x:f>IF(CK37=0,0,'Вводные'!$B$59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38" s="107" t="n">
        <x:f>IF(CL37=0,0,'Вводные'!$B$59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38" s="107" t="n">
        <x:f>IF(CM37=0,0,'Вводные'!$B$59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38" s="107" t="n">
        <x:f>IF(CN37=0,0,'Вводные'!$B$59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38" s="107" t="n">
        <x:f>IF(CO37=0,0,'Вводные'!$B$59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38" s="107" t="n">
        <x:f>IF(CP37=0,0,'Вводные'!$B$59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38" s="107" t="n">
        <x:f>IF(CQ37=0,0,'Вводные'!$B$59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38" s="107" t="n">
        <x:f>IF(CR37=0,0,'Вводные'!$B$59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38" s="107" t="n">
        <x:f>IF(CS37=0,0,'Вводные'!$B$59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38" s="107" t="n">
        <x:f>IF(CT37=0,0,'Вводные'!$B$59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38" s="107" t="n">
        <x:f>IF(CU37=0,0,'Вводные'!$B$59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38" s="107" t="n">
        <x:f>IF(CV37=0,0,'Вводные'!$B$59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38" s="107" t="n">
        <x:f>IF(CW37=0,0,'Вводные'!$B$59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38" s="107" t="n">
        <x:f>IF(CX37=0,0,'Вводные'!$B$59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38" s="107" t="n">
        <x:f>IF(CY37=0,0,'Вводные'!$B$59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38" s="107" t="n">
        <x:f>IF(CZ37=0,0,'Вводные'!$B$59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38" s="107" t="n">
        <x:f>IF(DA37=0,0,'Вводные'!$B$59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38" s="107" t="n">
        <x:f>IF(DB37=0,0,'Вводные'!$B$59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38" s="107" t="n">
        <x:f>IF(DC37=0,0,'Вводные'!$B$59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38" s="107" t="n">
        <x:f>IF(DD37=0,0,'Вводные'!$B$59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38" s="107" t="n">
        <x:f>IF(DE37=0,0,'Вводные'!$B$59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38" s="107" t="n">
        <x:f>IF(DF37=0,0,'Вводные'!$B$59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38" s="107" t="n">
        <x:f>IF(DG37=0,0,'Вводные'!$B$59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38" s="107" t="n">
        <x:f>IF(DH37=0,0,'Вводные'!$B$59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38" s="107" t="n">
        <x:f>IF(DI37=0,0,'Вводные'!$B$59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38" s="107" t="n">
        <x:f>IF(DJ37=0,0,'Вводные'!$B$59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38" s="107" t="n">
        <x:f>IF(DK37=0,0,'Вводные'!$B$59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38" s="107" t="n">
        <x:f>IF(DL37=0,0,'Вводные'!$B$59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38" s="107" t="n">
        <x:f>IF(DM37=0,0,'Вводные'!$B$59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38" s="107" t="n">
        <x:f>IF(DN37=0,0,'Вводные'!$B$59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38" s="107" t="n">
        <x:f>IF(DO37=0,0,'Вводные'!$B$59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38" s="107" t="n">
        <x:f>IF(DP37=0,0,'Вводные'!$B$59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38" s="107" t="n">
        <x:f>IF(DQ37=0,0,'Вводные'!$B$59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38" s="107" t="n">
        <x:f>IF(DR37=0,0,'Вводные'!$B$59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38" s="107" t="n">
        <x:f>IF(DS37=0,0,'Вводные'!$B$59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39">
      <x:c r="A39" t="str">
        <x:v>Квартиры — выручка</x:v>
      </x:c>
      <x:c r="B39" t="n">
        <x:f>SUM(D39:DS39)</x:f>
      </x:c>
      <x:c r="C39" t="str">
        <x:v>млн ₽</x:v>
      </x:c>
      <x:c r="D39" s="107" t="n">
        <x:f>D37*D38/1000</x:f>
      </x:c>
      <x:c r="E39" s="107" t="n">
        <x:f>E37*E38/1000</x:f>
      </x:c>
      <x:c r="F39" s="107" t="n">
        <x:f>F37*F38/1000</x:f>
      </x:c>
      <x:c r="G39" s="107" t="n">
        <x:f>G37*G38/1000</x:f>
      </x:c>
      <x:c r="H39" s="107" t="n">
        <x:f>H37*H38/1000</x:f>
      </x:c>
      <x:c r="I39" s="107" t="n">
        <x:f>I37*I38/1000</x:f>
      </x:c>
      <x:c r="J39" s="107" t="n">
        <x:f>J37*J38/1000</x:f>
      </x:c>
      <x:c r="K39" s="107" t="n">
        <x:f>K37*K38/1000</x:f>
      </x:c>
      <x:c r="L39" s="107" t="n">
        <x:f>L37*L38/1000</x:f>
      </x:c>
      <x:c r="M39" s="107" t="n">
        <x:f>M37*M38/1000</x:f>
      </x:c>
      <x:c r="N39" s="107" t="n">
        <x:f>N37*N38/1000</x:f>
      </x:c>
      <x:c r="O39" s="107" t="n">
        <x:f>O37*O38/1000</x:f>
      </x:c>
      <x:c r="P39" s="107" t="n">
        <x:f>P37*P38/1000</x:f>
      </x:c>
      <x:c r="Q39" s="107" t="n">
        <x:f>Q37*Q38/1000</x:f>
      </x:c>
      <x:c r="R39" s="107" t="n">
        <x:f>R37*R38/1000</x:f>
      </x:c>
      <x:c r="S39" s="107" t="n">
        <x:f>S37*S38/1000</x:f>
      </x:c>
      <x:c r="T39" s="107" t="n">
        <x:f>T37*T38/1000</x:f>
      </x:c>
      <x:c r="U39" s="107" t="n">
        <x:f>U37*U38/1000</x:f>
      </x:c>
      <x:c r="V39" s="107" t="n">
        <x:f>V37*V38/1000</x:f>
      </x:c>
      <x:c r="W39" s="107" t="n">
        <x:f>W37*W38/1000</x:f>
      </x:c>
      <x:c r="X39" s="107" t="n">
        <x:f>X37*X38/1000</x:f>
      </x:c>
      <x:c r="Y39" s="107" t="n">
        <x:f>Y37*Y38/1000</x:f>
      </x:c>
      <x:c r="Z39" s="107" t="n">
        <x:f>Z37*Z38/1000</x:f>
      </x:c>
      <x:c r="AA39" s="107" t="n">
        <x:f>AA37*AA38/1000</x:f>
      </x:c>
      <x:c r="AB39" s="107" t="n">
        <x:f>AB37*AB38/1000</x:f>
      </x:c>
      <x:c r="AC39" s="107" t="n">
        <x:f>AC37*AC38/1000</x:f>
      </x:c>
      <x:c r="AD39" s="107" t="n">
        <x:f>AD37*AD38/1000</x:f>
      </x:c>
      <x:c r="AE39" s="107" t="n">
        <x:f>AE37*AE38/1000</x:f>
      </x:c>
      <x:c r="AF39" s="107" t="n">
        <x:f>AF37*AF38/1000</x:f>
      </x:c>
      <x:c r="AG39" s="107" t="n">
        <x:f>AG37*AG38/1000</x:f>
      </x:c>
      <x:c r="AH39" s="107" t="n">
        <x:f>AH37*AH38/1000</x:f>
      </x:c>
      <x:c r="AI39" s="107" t="n">
        <x:f>AI37*AI38/1000</x:f>
      </x:c>
      <x:c r="AJ39" s="107" t="n">
        <x:f>AJ37*AJ38/1000</x:f>
      </x:c>
      <x:c r="AK39" s="107" t="n">
        <x:f>AK37*AK38/1000</x:f>
      </x:c>
      <x:c r="AL39" s="107" t="n">
        <x:f>AL37*AL38/1000</x:f>
      </x:c>
      <x:c r="AM39" s="107" t="n">
        <x:f>AM37*AM38/1000</x:f>
      </x:c>
      <x:c r="AN39" s="107" t="n">
        <x:f>AN37*AN38/1000</x:f>
      </x:c>
      <x:c r="AO39" s="107" t="n">
        <x:f>AO37*AO38/1000</x:f>
      </x:c>
      <x:c r="AP39" s="107" t="n">
        <x:f>AP37*AP38/1000</x:f>
      </x:c>
      <x:c r="AQ39" s="107" t="n">
        <x:f>AQ37*AQ38/1000</x:f>
      </x:c>
      <x:c r="AR39" s="107" t="n">
        <x:f>AR37*AR38/1000</x:f>
      </x:c>
      <x:c r="AS39" s="107" t="n">
        <x:f>AS37*AS38/1000</x:f>
      </x:c>
      <x:c r="AT39" s="107" t="n">
        <x:f>AT37*AT38/1000</x:f>
      </x:c>
      <x:c r="AU39" s="107" t="n">
        <x:f>AU37*AU38/1000</x:f>
      </x:c>
      <x:c r="AV39" s="107" t="n">
        <x:f>AV37*AV38/1000</x:f>
      </x:c>
      <x:c r="AW39" s="107" t="n">
        <x:f>AW37*AW38/1000</x:f>
      </x:c>
      <x:c r="AX39" s="107" t="n">
        <x:f>AX37*AX38/1000</x:f>
      </x:c>
      <x:c r="AY39" s="107" t="n">
        <x:f>AY37*AY38/1000</x:f>
      </x:c>
      <x:c r="AZ39" s="107" t="n">
        <x:f>AZ37*AZ38/1000</x:f>
      </x:c>
      <x:c r="BA39" s="107" t="n">
        <x:f>BA37*BA38/1000</x:f>
      </x:c>
      <x:c r="BB39" s="107" t="n">
        <x:f>BB37*BB38/1000</x:f>
      </x:c>
      <x:c r="BC39" s="107" t="n">
        <x:f>BC37*BC38/1000</x:f>
      </x:c>
      <x:c r="BD39" s="107" t="n">
        <x:f>BD37*BD38/1000</x:f>
      </x:c>
      <x:c r="BE39" s="107" t="n">
        <x:f>BE37*BE38/1000</x:f>
      </x:c>
      <x:c r="BF39" s="107" t="n">
        <x:f>BF37*BF38/1000</x:f>
      </x:c>
      <x:c r="BG39" s="107" t="n">
        <x:f>BG37*BG38/1000</x:f>
      </x:c>
      <x:c r="BH39" s="107" t="n">
        <x:f>BH37*BH38/1000</x:f>
      </x:c>
      <x:c r="BI39" s="107" t="n">
        <x:f>BI37*BI38/1000</x:f>
      </x:c>
      <x:c r="BJ39" s="107" t="n">
        <x:f>BJ37*BJ38/1000</x:f>
      </x:c>
      <x:c r="BK39" s="107" t="n">
        <x:f>BK37*BK38/1000</x:f>
      </x:c>
      <x:c r="BL39" s="107" t="n">
        <x:f>BL37*BL38/1000</x:f>
      </x:c>
      <x:c r="BM39" s="107" t="n">
        <x:f>BM37*BM38/1000</x:f>
      </x:c>
      <x:c r="BN39" s="107" t="n">
        <x:f>BN37*BN38/1000</x:f>
      </x:c>
      <x:c r="BO39" s="107" t="n">
        <x:f>BO37*BO38/1000</x:f>
      </x:c>
      <x:c r="BP39" s="107" t="n">
        <x:f>BP37*BP38/1000</x:f>
      </x:c>
      <x:c r="BQ39" s="107" t="n">
        <x:f>BQ37*BQ38/1000</x:f>
      </x:c>
      <x:c r="BR39" s="107" t="n">
        <x:f>BR37*BR38/1000</x:f>
      </x:c>
      <x:c r="BS39" s="107" t="n">
        <x:f>BS37*BS38/1000</x:f>
      </x:c>
      <x:c r="BT39" s="107" t="n">
        <x:f>BT37*BT38/1000</x:f>
      </x:c>
      <x:c r="BU39" s="107" t="n">
        <x:f>BU37*BU38/1000</x:f>
      </x:c>
      <x:c r="BV39" s="107" t="n">
        <x:f>BV37*BV38/1000</x:f>
      </x:c>
      <x:c r="BW39" s="107" t="n">
        <x:f>BW37*BW38/1000</x:f>
      </x:c>
      <x:c r="BX39" s="107" t="n">
        <x:f>BX37*BX38/1000</x:f>
      </x:c>
      <x:c r="BY39" s="107" t="n">
        <x:f>BY37*BY38/1000</x:f>
      </x:c>
      <x:c r="BZ39" s="107" t="n">
        <x:f>BZ37*BZ38/1000</x:f>
      </x:c>
      <x:c r="CA39" s="107" t="n">
        <x:f>CA37*CA38/1000</x:f>
      </x:c>
      <x:c r="CB39" s="107" t="n">
        <x:f>CB37*CB38/1000</x:f>
      </x:c>
      <x:c r="CC39" s="107" t="n">
        <x:f>CC37*CC38/1000</x:f>
      </x:c>
      <x:c r="CD39" s="107" t="n">
        <x:f>CD37*CD38/1000</x:f>
      </x:c>
      <x:c r="CE39" s="107" t="n">
        <x:f>CE37*CE38/1000</x:f>
      </x:c>
      <x:c r="CF39" s="107" t="n">
        <x:f>CF37*CF38/1000</x:f>
      </x:c>
      <x:c r="CG39" s="107" t="n">
        <x:f>CG37*CG38/1000</x:f>
      </x:c>
      <x:c r="CH39" s="107" t="n">
        <x:f>CH37*CH38/1000</x:f>
      </x:c>
      <x:c r="CI39" s="107" t="n">
        <x:f>CI37*CI38/1000</x:f>
      </x:c>
      <x:c r="CJ39" s="107" t="n">
        <x:f>CJ37*CJ38/1000</x:f>
      </x:c>
      <x:c r="CK39" s="107" t="n">
        <x:f>CK37*CK38/1000</x:f>
      </x:c>
      <x:c r="CL39" s="107" t="n">
        <x:f>CL37*CL38/1000</x:f>
      </x:c>
      <x:c r="CM39" s="107" t="n">
        <x:f>CM37*CM38/1000</x:f>
      </x:c>
      <x:c r="CN39" s="107" t="n">
        <x:f>CN37*CN38/1000</x:f>
      </x:c>
      <x:c r="CO39" s="107" t="n">
        <x:f>CO37*CO38/1000</x:f>
      </x:c>
      <x:c r="CP39" s="107" t="n">
        <x:f>CP37*CP38/1000</x:f>
      </x:c>
      <x:c r="CQ39" s="107" t="n">
        <x:f>CQ37*CQ38/1000</x:f>
      </x:c>
      <x:c r="CR39" s="107" t="n">
        <x:f>CR37*CR38/1000</x:f>
      </x:c>
      <x:c r="CS39" s="107" t="n">
        <x:f>CS37*CS38/1000</x:f>
      </x:c>
      <x:c r="CT39" s="107" t="n">
        <x:f>CT37*CT38/1000</x:f>
      </x:c>
      <x:c r="CU39" s="107" t="n">
        <x:f>CU37*CU38/1000</x:f>
      </x:c>
      <x:c r="CV39" s="107" t="n">
        <x:f>CV37*CV38/1000</x:f>
      </x:c>
      <x:c r="CW39" s="107" t="n">
        <x:f>CW37*CW38/1000</x:f>
      </x:c>
      <x:c r="CX39" s="107" t="n">
        <x:f>CX37*CX38/1000</x:f>
      </x:c>
      <x:c r="CY39" s="107" t="n">
        <x:f>CY37*CY38/1000</x:f>
      </x:c>
      <x:c r="CZ39" s="107" t="n">
        <x:f>CZ37*CZ38/1000</x:f>
      </x:c>
      <x:c r="DA39" s="107" t="n">
        <x:f>DA37*DA38/1000</x:f>
      </x:c>
      <x:c r="DB39" s="107" t="n">
        <x:f>DB37*DB38/1000</x:f>
      </x:c>
      <x:c r="DC39" s="107" t="n">
        <x:f>DC37*DC38/1000</x:f>
      </x:c>
      <x:c r="DD39" s="107" t="n">
        <x:f>DD37*DD38/1000</x:f>
      </x:c>
      <x:c r="DE39" s="107" t="n">
        <x:f>DE37*DE38/1000</x:f>
      </x:c>
      <x:c r="DF39" s="107" t="n">
        <x:f>DF37*DF38/1000</x:f>
      </x:c>
      <x:c r="DG39" s="107" t="n">
        <x:f>DG37*DG38/1000</x:f>
      </x:c>
      <x:c r="DH39" s="107" t="n">
        <x:f>DH37*DH38/1000</x:f>
      </x:c>
      <x:c r="DI39" s="107" t="n">
        <x:f>DI37*DI38/1000</x:f>
      </x:c>
      <x:c r="DJ39" s="107" t="n">
        <x:f>DJ37*DJ38/1000</x:f>
      </x:c>
      <x:c r="DK39" s="107" t="n">
        <x:f>DK37*DK38/1000</x:f>
      </x:c>
      <x:c r="DL39" s="107" t="n">
        <x:f>DL37*DL38/1000</x:f>
      </x:c>
      <x:c r="DM39" s="107" t="n">
        <x:f>DM37*DM38/1000</x:f>
      </x:c>
      <x:c r="DN39" s="107" t="n">
        <x:f>DN37*DN38/1000</x:f>
      </x:c>
      <x:c r="DO39" s="107" t="n">
        <x:f>DO37*DO38/1000</x:f>
      </x:c>
      <x:c r="DP39" s="107" t="n">
        <x:f>DP37*DP38/1000</x:f>
      </x:c>
      <x:c r="DQ39" s="107" t="n">
        <x:f>DQ37*DQ38/1000</x:f>
      </x:c>
      <x:c r="DR39" s="107" t="n">
        <x:f>DR37*DR38/1000</x:f>
      </x:c>
      <x:c r="DS39" s="107" t="n">
        <x:f>DS37*DS38/1000</x:f>
      </x:c>
    </x:row>
    <x:row r="40">
      <x:c r="A40" t="str">
        <x:v>Коммерция — объём</x:v>
      </x:c>
      <x:c r="B40" t="n">
        <x:f>SUM(D40:DS40)</x:f>
      </x:c>
      <x:c r="C40" t="str">
        <x:v>м²</x:v>
      </x:c>
      <x:c r="D40" s="107" t="n">
        <x:f>'Вводные'!$M$89*((IF(SUM($D32:$DS32)=0,0,IF(SUM($D35:$DS35)=0,1,'Вводные'!$B$63)))*D34+(1-(IF(SUM($D32:$DS32)=0,0,IF(SUM($D35:$DS35)=0,1,'Вводные'!$B$63))))*D36)</x:f>
      </x:c>
      <x:c r="E40" s="107" t="n">
        <x:f>'Вводные'!$M$89*((IF(SUM($D32:$DS32)=0,0,IF(SUM($D35:$DS35)=0,1,'Вводные'!$B$63)))*E34+(1-(IF(SUM($D32:$DS32)=0,0,IF(SUM($D35:$DS35)=0,1,'Вводные'!$B$63))))*E36)</x:f>
      </x:c>
      <x:c r="F40" s="107" t="n">
        <x:f>'Вводные'!$M$89*((IF(SUM($D32:$DS32)=0,0,IF(SUM($D35:$DS35)=0,1,'Вводные'!$B$63)))*F34+(1-(IF(SUM($D32:$DS32)=0,0,IF(SUM($D35:$DS35)=0,1,'Вводные'!$B$63))))*F36)</x:f>
      </x:c>
      <x:c r="G40" s="107" t="n">
        <x:f>'Вводные'!$M$89*((IF(SUM($D32:$DS32)=0,0,IF(SUM($D35:$DS35)=0,1,'Вводные'!$B$63)))*G34+(1-(IF(SUM($D32:$DS32)=0,0,IF(SUM($D35:$DS35)=0,1,'Вводные'!$B$63))))*G36)</x:f>
      </x:c>
      <x:c r="H40" s="107" t="n">
        <x:f>'Вводные'!$M$89*((IF(SUM($D32:$DS32)=0,0,IF(SUM($D35:$DS35)=0,1,'Вводные'!$B$63)))*H34+(1-(IF(SUM($D32:$DS32)=0,0,IF(SUM($D35:$DS35)=0,1,'Вводные'!$B$63))))*H36)</x:f>
      </x:c>
      <x:c r="I40" s="107" t="n">
        <x:f>'Вводные'!$M$89*((IF(SUM($D32:$DS32)=0,0,IF(SUM($D35:$DS35)=0,1,'Вводные'!$B$63)))*I34+(1-(IF(SUM($D32:$DS32)=0,0,IF(SUM($D35:$DS35)=0,1,'Вводные'!$B$63))))*I36)</x:f>
      </x:c>
      <x:c r="J40" s="107" t="n">
        <x:f>'Вводные'!$M$89*((IF(SUM($D32:$DS32)=0,0,IF(SUM($D35:$DS35)=0,1,'Вводные'!$B$63)))*J34+(1-(IF(SUM($D32:$DS32)=0,0,IF(SUM($D35:$DS35)=0,1,'Вводные'!$B$63))))*J36)</x:f>
      </x:c>
      <x:c r="K40" s="107" t="n">
        <x:f>'Вводные'!$M$89*((IF(SUM($D32:$DS32)=0,0,IF(SUM($D35:$DS35)=0,1,'Вводные'!$B$63)))*K34+(1-(IF(SUM($D32:$DS32)=0,0,IF(SUM($D35:$DS35)=0,1,'Вводные'!$B$63))))*K36)</x:f>
      </x:c>
      <x:c r="L40" s="107" t="n">
        <x:f>'Вводные'!$M$89*((IF(SUM($D32:$DS32)=0,0,IF(SUM($D35:$DS35)=0,1,'Вводные'!$B$63)))*L34+(1-(IF(SUM($D32:$DS32)=0,0,IF(SUM($D35:$DS35)=0,1,'Вводные'!$B$63))))*L36)</x:f>
      </x:c>
      <x:c r="M40" s="107" t="n">
        <x:f>'Вводные'!$M$89*((IF(SUM($D32:$DS32)=0,0,IF(SUM($D35:$DS35)=0,1,'Вводные'!$B$63)))*M34+(1-(IF(SUM($D32:$DS32)=0,0,IF(SUM($D35:$DS35)=0,1,'Вводные'!$B$63))))*M36)</x:f>
      </x:c>
      <x:c r="N40" s="107" t="n">
        <x:f>'Вводные'!$M$89*((IF(SUM($D32:$DS32)=0,0,IF(SUM($D35:$DS35)=0,1,'Вводные'!$B$63)))*N34+(1-(IF(SUM($D32:$DS32)=0,0,IF(SUM($D35:$DS35)=0,1,'Вводные'!$B$63))))*N36)</x:f>
      </x:c>
      <x:c r="O40" s="107" t="n">
        <x:f>'Вводные'!$M$89*((IF(SUM($D32:$DS32)=0,0,IF(SUM($D35:$DS35)=0,1,'Вводные'!$B$63)))*O34+(1-(IF(SUM($D32:$DS32)=0,0,IF(SUM($D35:$DS35)=0,1,'Вводные'!$B$63))))*O36)</x:f>
      </x:c>
      <x:c r="P40" s="107" t="n">
        <x:f>'Вводные'!$M$89*((IF(SUM($D32:$DS32)=0,0,IF(SUM($D35:$DS35)=0,1,'Вводные'!$B$63)))*P34+(1-(IF(SUM($D32:$DS32)=0,0,IF(SUM($D35:$DS35)=0,1,'Вводные'!$B$63))))*P36)</x:f>
      </x:c>
      <x:c r="Q40" s="107" t="n">
        <x:f>'Вводные'!$M$89*((IF(SUM($D32:$DS32)=0,0,IF(SUM($D35:$DS35)=0,1,'Вводные'!$B$63)))*Q34+(1-(IF(SUM($D32:$DS32)=0,0,IF(SUM($D35:$DS35)=0,1,'Вводные'!$B$63))))*Q36)</x:f>
      </x:c>
      <x:c r="R40" s="107" t="n">
        <x:f>'Вводные'!$M$89*((IF(SUM($D32:$DS32)=0,0,IF(SUM($D35:$DS35)=0,1,'Вводные'!$B$63)))*R34+(1-(IF(SUM($D32:$DS32)=0,0,IF(SUM($D35:$DS35)=0,1,'Вводные'!$B$63))))*R36)</x:f>
      </x:c>
      <x:c r="S40" s="107" t="n">
        <x:f>'Вводные'!$M$89*((IF(SUM($D32:$DS32)=0,0,IF(SUM($D35:$DS35)=0,1,'Вводные'!$B$63)))*S34+(1-(IF(SUM($D32:$DS32)=0,0,IF(SUM($D35:$DS35)=0,1,'Вводные'!$B$63))))*S36)</x:f>
      </x:c>
      <x:c r="T40" s="107" t="n">
        <x:f>'Вводные'!$M$89*((IF(SUM($D32:$DS32)=0,0,IF(SUM($D35:$DS35)=0,1,'Вводные'!$B$63)))*T34+(1-(IF(SUM($D32:$DS32)=0,0,IF(SUM($D35:$DS35)=0,1,'Вводные'!$B$63))))*T36)</x:f>
      </x:c>
      <x:c r="U40" s="107" t="n">
        <x:f>'Вводные'!$M$89*((IF(SUM($D32:$DS32)=0,0,IF(SUM($D35:$DS35)=0,1,'Вводные'!$B$63)))*U34+(1-(IF(SUM($D32:$DS32)=0,0,IF(SUM($D35:$DS35)=0,1,'Вводные'!$B$63))))*U36)</x:f>
      </x:c>
      <x:c r="V40" s="107" t="n">
        <x:f>'Вводные'!$M$89*((IF(SUM($D32:$DS32)=0,0,IF(SUM($D35:$DS35)=0,1,'Вводные'!$B$63)))*V34+(1-(IF(SUM($D32:$DS32)=0,0,IF(SUM($D35:$DS35)=0,1,'Вводные'!$B$63))))*V36)</x:f>
      </x:c>
      <x:c r="W40" s="107" t="n">
        <x:f>'Вводные'!$M$89*((IF(SUM($D32:$DS32)=0,0,IF(SUM($D35:$DS35)=0,1,'Вводные'!$B$63)))*W34+(1-(IF(SUM($D32:$DS32)=0,0,IF(SUM($D35:$DS35)=0,1,'Вводные'!$B$63))))*W36)</x:f>
      </x:c>
      <x:c r="X40" s="107" t="n">
        <x:f>'Вводные'!$M$89*((IF(SUM($D32:$DS32)=0,0,IF(SUM($D35:$DS35)=0,1,'Вводные'!$B$63)))*X34+(1-(IF(SUM($D32:$DS32)=0,0,IF(SUM($D35:$DS35)=0,1,'Вводные'!$B$63))))*X36)</x:f>
      </x:c>
      <x:c r="Y40" s="107" t="n">
        <x:f>'Вводные'!$M$89*((IF(SUM($D32:$DS32)=0,0,IF(SUM($D35:$DS35)=0,1,'Вводные'!$B$63)))*Y34+(1-(IF(SUM($D32:$DS32)=0,0,IF(SUM($D35:$DS35)=0,1,'Вводные'!$B$63))))*Y36)</x:f>
      </x:c>
      <x:c r="Z40" s="107" t="n">
        <x:f>'Вводные'!$M$89*((IF(SUM($D32:$DS32)=0,0,IF(SUM($D35:$DS35)=0,1,'Вводные'!$B$63)))*Z34+(1-(IF(SUM($D32:$DS32)=0,0,IF(SUM($D35:$DS35)=0,1,'Вводные'!$B$63))))*Z36)</x:f>
      </x:c>
      <x:c r="AA40" s="107" t="n">
        <x:f>'Вводные'!$M$89*((IF(SUM($D32:$DS32)=0,0,IF(SUM($D35:$DS35)=0,1,'Вводные'!$B$63)))*AA34+(1-(IF(SUM($D32:$DS32)=0,0,IF(SUM($D35:$DS35)=0,1,'Вводные'!$B$63))))*AA36)</x:f>
      </x:c>
      <x:c r="AB40" s="107" t="n">
        <x:f>'Вводные'!$M$89*((IF(SUM($D32:$DS32)=0,0,IF(SUM($D35:$DS35)=0,1,'Вводные'!$B$63)))*AB34+(1-(IF(SUM($D32:$DS32)=0,0,IF(SUM($D35:$DS35)=0,1,'Вводные'!$B$63))))*AB36)</x:f>
      </x:c>
      <x:c r="AC40" s="107" t="n">
        <x:f>'Вводные'!$M$89*((IF(SUM($D32:$DS32)=0,0,IF(SUM($D35:$DS35)=0,1,'Вводные'!$B$63)))*AC34+(1-(IF(SUM($D32:$DS32)=0,0,IF(SUM($D35:$DS35)=0,1,'Вводные'!$B$63))))*AC36)</x:f>
      </x:c>
      <x:c r="AD40" s="107" t="n">
        <x:f>'Вводные'!$M$89*((IF(SUM($D32:$DS32)=0,0,IF(SUM($D35:$DS35)=0,1,'Вводные'!$B$63)))*AD34+(1-(IF(SUM($D32:$DS32)=0,0,IF(SUM($D35:$DS35)=0,1,'Вводные'!$B$63))))*AD36)</x:f>
      </x:c>
      <x:c r="AE40" s="107" t="n">
        <x:f>'Вводные'!$M$89*((IF(SUM($D32:$DS32)=0,0,IF(SUM($D35:$DS35)=0,1,'Вводные'!$B$63)))*AE34+(1-(IF(SUM($D32:$DS32)=0,0,IF(SUM($D35:$DS35)=0,1,'Вводные'!$B$63))))*AE36)</x:f>
      </x:c>
      <x:c r="AF40" s="107" t="n">
        <x:f>'Вводные'!$M$89*((IF(SUM($D32:$DS32)=0,0,IF(SUM($D35:$DS35)=0,1,'Вводные'!$B$63)))*AF34+(1-(IF(SUM($D32:$DS32)=0,0,IF(SUM($D35:$DS35)=0,1,'Вводные'!$B$63))))*AF36)</x:f>
      </x:c>
      <x:c r="AG40" s="107" t="n">
        <x:f>'Вводные'!$M$89*((IF(SUM($D32:$DS32)=0,0,IF(SUM($D35:$DS35)=0,1,'Вводные'!$B$63)))*AG34+(1-(IF(SUM($D32:$DS32)=0,0,IF(SUM($D35:$DS35)=0,1,'Вводные'!$B$63))))*AG36)</x:f>
      </x:c>
      <x:c r="AH40" s="107" t="n">
        <x:f>'Вводные'!$M$89*((IF(SUM($D32:$DS32)=0,0,IF(SUM($D35:$DS35)=0,1,'Вводные'!$B$63)))*AH34+(1-(IF(SUM($D32:$DS32)=0,0,IF(SUM($D35:$DS35)=0,1,'Вводные'!$B$63))))*AH36)</x:f>
      </x:c>
      <x:c r="AI40" s="107" t="n">
        <x:f>'Вводные'!$M$89*((IF(SUM($D32:$DS32)=0,0,IF(SUM($D35:$DS35)=0,1,'Вводные'!$B$63)))*AI34+(1-(IF(SUM($D32:$DS32)=0,0,IF(SUM($D35:$DS35)=0,1,'Вводные'!$B$63))))*AI36)</x:f>
      </x:c>
      <x:c r="AJ40" s="107" t="n">
        <x:f>'Вводные'!$M$89*((IF(SUM($D32:$DS32)=0,0,IF(SUM($D35:$DS35)=0,1,'Вводные'!$B$63)))*AJ34+(1-(IF(SUM($D32:$DS32)=0,0,IF(SUM($D35:$DS35)=0,1,'Вводные'!$B$63))))*AJ36)</x:f>
      </x:c>
      <x:c r="AK40" s="107" t="n">
        <x:f>'Вводные'!$M$89*((IF(SUM($D32:$DS32)=0,0,IF(SUM($D35:$DS35)=0,1,'Вводные'!$B$63)))*AK34+(1-(IF(SUM($D32:$DS32)=0,0,IF(SUM($D35:$DS35)=0,1,'Вводные'!$B$63))))*AK36)</x:f>
      </x:c>
      <x:c r="AL40" s="107" t="n">
        <x:f>'Вводные'!$M$89*((IF(SUM($D32:$DS32)=0,0,IF(SUM($D35:$DS35)=0,1,'Вводные'!$B$63)))*AL34+(1-(IF(SUM($D32:$DS32)=0,0,IF(SUM($D35:$DS35)=0,1,'Вводные'!$B$63))))*AL36)</x:f>
      </x:c>
      <x:c r="AM40" s="107" t="n">
        <x:f>'Вводные'!$M$89*((IF(SUM($D32:$DS32)=0,0,IF(SUM($D35:$DS35)=0,1,'Вводные'!$B$63)))*AM34+(1-(IF(SUM($D32:$DS32)=0,0,IF(SUM($D35:$DS35)=0,1,'Вводные'!$B$63))))*AM36)</x:f>
      </x:c>
      <x:c r="AN40" s="107" t="n">
        <x:f>'Вводные'!$M$89*((IF(SUM($D32:$DS32)=0,0,IF(SUM($D35:$DS35)=0,1,'Вводные'!$B$63)))*AN34+(1-(IF(SUM($D32:$DS32)=0,0,IF(SUM($D35:$DS35)=0,1,'Вводные'!$B$63))))*AN36)</x:f>
      </x:c>
      <x:c r="AO40" s="107" t="n">
        <x:f>'Вводные'!$M$89*((IF(SUM($D32:$DS32)=0,0,IF(SUM($D35:$DS35)=0,1,'Вводные'!$B$63)))*AO34+(1-(IF(SUM($D32:$DS32)=0,0,IF(SUM($D35:$DS35)=0,1,'Вводные'!$B$63))))*AO36)</x:f>
      </x:c>
      <x:c r="AP40" s="107" t="n">
        <x:f>'Вводные'!$M$89*((IF(SUM($D32:$DS32)=0,0,IF(SUM($D35:$DS35)=0,1,'Вводные'!$B$63)))*AP34+(1-(IF(SUM($D32:$DS32)=0,0,IF(SUM($D35:$DS35)=0,1,'Вводные'!$B$63))))*AP36)</x:f>
      </x:c>
      <x:c r="AQ40" s="107" t="n">
        <x:f>'Вводные'!$M$89*((IF(SUM($D32:$DS32)=0,0,IF(SUM($D35:$DS35)=0,1,'Вводные'!$B$63)))*AQ34+(1-(IF(SUM($D32:$DS32)=0,0,IF(SUM($D35:$DS35)=0,1,'Вводные'!$B$63))))*AQ36)</x:f>
      </x:c>
      <x:c r="AR40" s="107" t="n">
        <x:f>'Вводные'!$M$89*((IF(SUM($D32:$DS32)=0,0,IF(SUM($D35:$DS35)=0,1,'Вводные'!$B$63)))*AR34+(1-(IF(SUM($D32:$DS32)=0,0,IF(SUM($D35:$DS35)=0,1,'Вводные'!$B$63))))*AR36)</x:f>
      </x:c>
      <x:c r="AS40" s="107" t="n">
        <x:f>'Вводные'!$M$89*((IF(SUM($D32:$DS32)=0,0,IF(SUM($D35:$DS35)=0,1,'Вводные'!$B$63)))*AS34+(1-(IF(SUM($D32:$DS32)=0,0,IF(SUM($D35:$DS35)=0,1,'Вводные'!$B$63))))*AS36)</x:f>
      </x:c>
      <x:c r="AT40" s="107" t="n">
        <x:f>'Вводные'!$M$89*((IF(SUM($D32:$DS32)=0,0,IF(SUM($D35:$DS35)=0,1,'Вводные'!$B$63)))*AT34+(1-(IF(SUM($D32:$DS32)=0,0,IF(SUM($D35:$DS35)=0,1,'Вводные'!$B$63))))*AT36)</x:f>
      </x:c>
      <x:c r="AU40" s="107" t="n">
        <x:f>'Вводные'!$M$89*((IF(SUM($D32:$DS32)=0,0,IF(SUM($D35:$DS35)=0,1,'Вводные'!$B$63)))*AU34+(1-(IF(SUM($D32:$DS32)=0,0,IF(SUM($D35:$DS35)=0,1,'Вводные'!$B$63))))*AU36)</x:f>
      </x:c>
      <x:c r="AV40" s="107" t="n">
        <x:f>'Вводные'!$M$89*((IF(SUM($D32:$DS32)=0,0,IF(SUM($D35:$DS35)=0,1,'Вводные'!$B$63)))*AV34+(1-(IF(SUM($D32:$DS32)=0,0,IF(SUM($D35:$DS35)=0,1,'Вводные'!$B$63))))*AV36)</x:f>
      </x:c>
      <x:c r="AW40" s="107" t="n">
        <x:f>'Вводные'!$M$89*((IF(SUM($D32:$DS32)=0,0,IF(SUM($D35:$DS35)=0,1,'Вводные'!$B$63)))*AW34+(1-(IF(SUM($D32:$DS32)=0,0,IF(SUM($D35:$DS35)=0,1,'Вводные'!$B$63))))*AW36)</x:f>
      </x:c>
      <x:c r="AX40" s="107" t="n">
        <x:f>'Вводные'!$M$89*((IF(SUM($D32:$DS32)=0,0,IF(SUM($D35:$DS35)=0,1,'Вводные'!$B$63)))*AX34+(1-(IF(SUM($D32:$DS32)=0,0,IF(SUM($D35:$DS35)=0,1,'Вводные'!$B$63))))*AX36)</x:f>
      </x:c>
      <x:c r="AY40" s="107" t="n">
        <x:f>'Вводные'!$M$89*((IF(SUM($D32:$DS32)=0,0,IF(SUM($D35:$DS35)=0,1,'Вводные'!$B$63)))*AY34+(1-(IF(SUM($D32:$DS32)=0,0,IF(SUM($D35:$DS35)=0,1,'Вводные'!$B$63))))*AY36)</x:f>
      </x:c>
      <x:c r="AZ40" s="107" t="n">
        <x:f>'Вводные'!$M$89*((IF(SUM($D32:$DS32)=0,0,IF(SUM($D35:$DS35)=0,1,'Вводные'!$B$63)))*AZ34+(1-(IF(SUM($D32:$DS32)=0,0,IF(SUM($D35:$DS35)=0,1,'Вводные'!$B$63))))*AZ36)</x:f>
      </x:c>
      <x:c r="BA40" s="107" t="n">
        <x:f>'Вводные'!$M$89*((IF(SUM($D32:$DS32)=0,0,IF(SUM($D35:$DS35)=0,1,'Вводные'!$B$63)))*BA34+(1-(IF(SUM($D32:$DS32)=0,0,IF(SUM($D35:$DS35)=0,1,'Вводные'!$B$63))))*BA36)</x:f>
      </x:c>
      <x:c r="BB40" s="107" t="n">
        <x:f>'Вводные'!$M$89*((IF(SUM($D32:$DS32)=0,0,IF(SUM($D35:$DS35)=0,1,'Вводные'!$B$63)))*BB34+(1-(IF(SUM($D32:$DS32)=0,0,IF(SUM($D35:$DS35)=0,1,'Вводные'!$B$63))))*BB36)</x:f>
      </x:c>
      <x:c r="BC40" s="107" t="n">
        <x:f>'Вводные'!$M$89*((IF(SUM($D32:$DS32)=0,0,IF(SUM($D35:$DS35)=0,1,'Вводные'!$B$63)))*BC34+(1-(IF(SUM($D32:$DS32)=0,0,IF(SUM($D35:$DS35)=0,1,'Вводные'!$B$63))))*BC36)</x:f>
      </x:c>
      <x:c r="BD40" s="107" t="n">
        <x:f>'Вводные'!$M$89*((IF(SUM($D32:$DS32)=0,0,IF(SUM($D35:$DS35)=0,1,'Вводные'!$B$63)))*BD34+(1-(IF(SUM($D32:$DS32)=0,0,IF(SUM($D35:$DS35)=0,1,'Вводные'!$B$63))))*BD36)</x:f>
      </x:c>
      <x:c r="BE40" s="107" t="n">
        <x:f>'Вводные'!$M$89*((IF(SUM($D32:$DS32)=0,0,IF(SUM($D35:$DS35)=0,1,'Вводные'!$B$63)))*BE34+(1-(IF(SUM($D32:$DS32)=0,0,IF(SUM($D35:$DS35)=0,1,'Вводные'!$B$63))))*BE36)</x:f>
      </x:c>
      <x:c r="BF40" s="107" t="n">
        <x:f>'Вводные'!$M$89*((IF(SUM($D32:$DS32)=0,0,IF(SUM($D35:$DS35)=0,1,'Вводные'!$B$63)))*BF34+(1-(IF(SUM($D32:$DS32)=0,0,IF(SUM($D35:$DS35)=0,1,'Вводные'!$B$63))))*BF36)</x:f>
      </x:c>
      <x:c r="BG40" s="107" t="n">
        <x:f>'Вводные'!$M$89*((IF(SUM($D32:$DS32)=0,0,IF(SUM($D35:$DS35)=0,1,'Вводные'!$B$63)))*BG34+(1-(IF(SUM($D32:$DS32)=0,0,IF(SUM($D35:$DS35)=0,1,'Вводные'!$B$63))))*BG36)</x:f>
      </x:c>
      <x:c r="BH40" s="107" t="n">
        <x:f>'Вводные'!$M$89*((IF(SUM($D32:$DS32)=0,0,IF(SUM($D35:$DS35)=0,1,'Вводные'!$B$63)))*BH34+(1-(IF(SUM($D32:$DS32)=0,0,IF(SUM($D35:$DS35)=0,1,'Вводные'!$B$63))))*BH36)</x:f>
      </x:c>
      <x:c r="BI40" s="107" t="n">
        <x:f>'Вводные'!$M$89*((IF(SUM($D32:$DS32)=0,0,IF(SUM($D35:$DS35)=0,1,'Вводные'!$B$63)))*BI34+(1-(IF(SUM($D32:$DS32)=0,0,IF(SUM($D35:$DS35)=0,1,'Вводные'!$B$63))))*BI36)</x:f>
      </x:c>
      <x:c r="BJ40" s="107" t="n">
        <x:f>'Вводные'!$M$89*((IF(SUM($D32:$DS32)=0,0,IF(SUM($D35:$DS35)=0,1,'Вводные'!$B$63)))*BJ34+(1-(IF(SUM($D32:$DS32)=0,0,IF(SUM($D35:$DS35)=0,1,'Вводные'!$B$63))))*BJ36)</x:f>
      </x:c>
      <x:c r="BK40" s="107" t="n">
        <x:f>'Вводные'!$M$89*((IF(SUM($D32:$DS32)=0,0,IF(SUM($D35:$DS35)=0,1,'Вводные'!$B$63)))*BK34+(1-(IF(SUM($D32:$DS32)=0,0,IF(SUM($D35:$DS35)=0,1,'Вводные'!$B$63))))*BK36)</x:f>
      </x:c>
      <x:c r="BL40" s="107" t="n">
        <x:f>'Вводные'!$M$89*((IF(SUM($D32:$DS32)=0,0,IF(SUM($D35:$DS35)=0,1,'Вводные'!$B$63)))*BL34+(1-(IF(SUM($D32:$DS32)=0,0,IF(SUM($D35:$DS35)=0,1,'Вводные'!$B$63))))*BL36)</x:f>
      </x:c>
      <x:c r="BM40" s="107" t="n">
        <x:f>'Вводные'!$M$89*((IF(SUM($D32:$DS32)=0,0,IF(SUM($D35:$DS35)=0,1,'Вводные'!$B$63)))*BM34+(1-(IF(SUM($D32:$DS32)=0,0,IF(SUM($D35:$DS35)=0,1,'Вводные'!$B$63))))*BM36)</x:f>
      </x:c>
      <x:c r="BN40" s="107" t="n">
        <x:f>'Вводные'!$M$89*((IF(SUM($D32:$DS32)=0,0,IF(SUM($D35:$DS35)=0,1,'Вводные'!$B$63)))*BN34+(1-(IF(SUM($D32:$DS32)=0,0,IF(SUM($D35:$DS35)=0,1,'Вводные'!$B$63))))*BN36)</x:f>
      </x:c>
      <x:c r="BO40" s="107" t="n">
        <x:f>'Вводные'!$M$89*((IF(SUM($D32:$DS32)=0,0,IF(SUM($D35:$DS35)=0,1,'Вводные'!$B$63)))*BO34+(1-(IF(SUM($D32:$DS32)=0,0,IF(SUM($D35:$DS35)=0,1,'Вводные'!$B$63))))*BO36)</x:f>
      </x:c>
      <x:c r="BP40" s="107" t="n">
        <x:f>'Вводные'!$M$89*((IF(SUM($D32:$DS32)=0,0,IF(SUM($D35:$DS35)=0,1,'Вводные'!$B$63)))*BP34+(1-(IF(SUM($D32:$DS32)=0,0,IF(SUM($D35:$DS35)=0,1,'Вводные'!$B$63))))*BP36)</x:f>
      </x:c>
      <x:c r="BQ40" s="107" t="n">
        <x:f>'Вводные'!$M$89*((IF(SUM($D32:$DS32)=0,0,IF(SUM($D35:$DS35)=0,1,'Вводные'!$B$63)))*BQ34+(1-(IF(SUM($D32:$DS32)=0,0,IF(SUM($D35:$DS35)=0,1,'Вводные'!$B$63))))*BQ36)</x:f>
      </x:c>
      <x:c r="BR40" s="107" t="n">
        <x:f>'Вводные'!$M$89*((IF(SUM($D32:$DS32)=0,0,IF(SUM($D35:$DS35)=0,1,'Вводные'!$B$63)))*BR34+(1-(IF(SUM($D32:$DS32)=0,0,IF(SUM($D35:$DS35)=0,1,'Вводные'!$B$63))))*BR36)</x:f>
      </x:c>
      <x:c r="BS40" s="107" t="n">
        <x:f>'Вводные'!$M$89*((IF(SUM($D32:$DS32)=0,0,IF(SUM($D35:$DS35)=0,1,'Вводные'!$B$63)))*BS34+(1-(IF(SUM($D32:$DS32)=0,0,IF(SUM($D35:$DS35)=0,1,'Вводные'!$B$63))))*BS36)</x:f>
      </x:c>
      <x:c r="BT40" s="107" t="n">
        <x:f>'Вводные'!$M$89*((IF(SUM($D32:$DS32)=0,0,IF(SUM($D35:$DS35)=0,1,'Вводные'!$B$63)))*BT34+(1-(IF(SUM($D32:$DS32)=0,0,IF(SUM($D35:$DS35)=0,1,'Вводные'!$B$63))))*BT36)</x:f>
      </x:c>
      <x:c r="BU40" s="107" t="n">
        <x:f>'Вводные'!$M$89*((IF(SUM($D32:$DS32)=0,0,IF(SUM($D35:$DS35)=0,1,'Вводные'!$B$63)))*BU34+(1-(IF(SUM($D32:$DS32)=0,0,IF(SUM($D35:$DS35)=0,1,'Вводные'!$B$63))))*BU36)</x:f>
      </x:c>
      <x:c r="BV40" s="107" t="n">
        <x:f>'Вводные'!$M$89*((IF(SUM($D32:$DS32)=0,0,IF(SUM($D35:$DS35)=0,1,'Вводные'!$B$63)))*BV34+(1-(IF(SUM($D32:$DS32)=0,0,IF(SUM($D35:$DS35)=0,1,'Вводные'!$B$63))))*BV36)</x:f>
      </x:c>
      <x:c r="BW40" s="107" t="n">
        <x:f>'Вводные'!$M$89*((IF(SUM($D32:$DS32)=0,0,IF(SUM($D35:$DS35)=0,1,'Вводные'!$B$63)))*BW34+(1-(IF(SUM($D32:$DS32)=0,0,IF(SUM($D35:$DS35)=0,1,'Вводные'!$B$63))))*BW36)</x:f>
      </x:c>
      <x:c r="BX40" s="107" t="n">
        <x:f>'Вводные'!$M$89*((IF(SUM($D32:$DS32)=0,0,IF(SUM($D35:$DS35)=0,1,'Вводные'!$B$63)))*BX34+(1-(IF(SUM($D32:$DS32)=0,0,IF(SUM($D35:$DS35)=0,1,'Вводные'!$B$63))))*BX36)</x:f>
      </x:c>
      <x:c r="BY40" s="107" t="n">
        <x:f>'Вводные'!$M$89*((IF(SUM($D32:$DS32)=0,0,IF(SUM($D35:$DS35)=0,1,'Вводные'!$B$63)))*BY34+(1-(IF(SUM($D32:$DS32)=0,0,IF(SUM($D35:$DS35)=0,1,'Вводные'!$B$63))))*BY36)</x:f>
      </x:c>
      <x:c r="BZ40" s="107" t="n">
        <x:f>'Вводные'!$M$89*((IF(SUM($D32:$DS32)=0,0,IF(SUM($D35:$DS35)=0,1,'Вводные'!$B$63)))*BZ34+(1-(IF(SUM($D32:$DS32)=0,0,IF(SUM($D35:$DS35)=0,1,'Вводные'!$B$63))))*BZ36)</x:f>
      </x:c>
      <x:c r="CA40" s="107" t="n">
        <x:f>'Вводные'!$M$89*((IF(SUM($D32:$DS32)=0,0,IF(SUM($D35:$DS35)=0,1,'Вводные'!$B$63)))*CA34+(1-(IF(SUM($D32:$DS32)=0,0,IF(SUM($D35:$DS35)=0,1,'Вводные'!$B$63))))*CA36)</x:f>
      </x:c>
      <x:c r="CB40" s="107" t="n">
        <x:f>'Вводные'!$M$89*((IF(SUM($D32:$DS32)=0,0,IF(SUM($D35:$DS35)=0,1,'Вводные'!$B$63)))*CB34+(1-(IF(SUM($D32:$DS32)=0,0,IF(SUM($D35:$DS35)=0,1,'Вводные'!$B$63))))*CB36)</x:f>
      </x:c>
      <x:c r="CC40" s="107" t="n">
        <x:f>'Вводные'!$M$89*((IF(SUM($D32:$DS32)=0,0,IF(SUM($D35:$DS35)=0,1,'Вводные'!$B$63)))*CC34+(1-(IF(SUM($D32:$DS32)=0,0,IF(SUM($D35:$DS35)=0,1,'Вводные'!$B$63))))*CC36)</x:f>
      </x:c>
      <x:c r="CD40" s="107" t="n">
        <x:f>'Вводные'!$M$89*((IF(SUM($D32:$DS32)=0,0,IF(SUM($D35:$DS35)=0,1,'Вводные'!$B$63)))*CD34+(1-(IF(SUM($D32:$DS32)=0,0,IF(SUM($D35:$DS35)=0,1,'Вводные'!$B$63))))*CD36)</x:f>
      </x:c>
      <x:c r="CE40" s="107" t="n">
        <x:f>'Вводные'!$M$89*((IF(SUM($D32:$DS32)=0,0,IF(SUM($D35:$DS35)=0,1,'Вводные'!$B$63)))*CE34+(1-(IF(SUM($D32:$DS32)=0,0,IF(SUM($D35:$DS35)=0,1,'Вводные'!$B$63))))*CE36)</x:f>
      </x:c>
      <x:c r="CF40" s="107" t="n">
        <x:f>'Вводные'!$M$89*((IF(SUM($D32:$DS32)=0,0,IF(SUM($D35:$DS35)=0,1,'Вводные'!$B$63)))*CF34+(1-(IF(SUM($D32:$DS32)=0,0,IF(SUM($D35:$DS35)=0,1,'Вводные'!$B$63))))*CF36)</x:f>
      </x:c>
      <x:c r="CG40" s="107" t="n">
        <x:f>'Вводные'!$M$89*((IF(SUM($D32:$DS32)=0,0,IF(SUM($D35:$DS35)=0,1,'Вводные'!$B$63)))*CG34+(1-(IF(SUM($D32:$DS32)=0,0,IF(SUM($D35:$DS35)=0,1,'Вводные'!$B$63))))*CG36)</x:f>
      </x:c>
      <x:c r="CH40" s="107" t="n">
        <x:f>'Вводные'!$M$89*((IF(SUM($D32:$DS32)=0,0,IF(SUM($D35:$DS35)=0,1,'Вводные'!$B$63)))*CH34+(1-(IF(SUM($D32:$DS32)=0,0,IF(SUM($D35:$DS35)=0,1,'Вводные'!$B$63))))*CH36)</x:f>
      </x:c>
      <x:c r="CI40" s="107" t="n">
        <x:f>'Вводные'!$M$89*((IF(SUM($D32:$DS32)=0,0,IF(SUM($D35:$DS35)=0,1,'Вводные'!$B$63)))*CI34+(1-(IF(SUM($D32:$DS32)=0,0,IF(SUM($D35:$DS35)=0,1,'Вводные'!$B$63))))*CI36)</x:f>
      </x:c>
      <x:c r="CJ40" s="107" t="n">
        <x:f>'Вводные'!$M$89*((IF(SUM($D32:$DS32)=0,0,IF(SUM($D35:$DS35)=0,1,'Вводные'!$B$63)))*CJ34+(1-(IF(SUM($D32:$DS32)=0,0,IF(SUM($D35:$DS35)=0,1,'Вводные'!$B$63))))*CJ36)</x:f>
      </x:c>
      <x:c r="CK40" s="107" t="n">
        <x:f>'Вводные'!$M$89*((IF(SUM($D32:$DS32)=0,0,IF(SUM($D35:$DS35)=0,1,'Вводные'!$B$63)))*CK34+(1-(IF(SUM($D32:$DS32)=0,0,IF(SUM($D35:$DS35)=0,1,'Вводные'!$B$63))))*CK36)</x:f>
      </x:c>
      <x:c r="CL40" s="107" t="n">
        <x:f>'Вводные'!$M$89*((IF(SUM($D32:$DS32)=0,0,IF(SUM($D35:$DS35)=0,1,'Вводные'!$B$63)))*CL34+(1-(IF(SUM($D32:$DS32)=0,0,IF(SUM($D35:$DS35)=0,1,'Вводные'!$B$63))))*CL36)</x:f>
      </x:c>
      <x:c r="CM40" s="107" t="n">
        <x:f>'Вводные'!$M$89*((IF(SUM($D32:$DS32)=0,0,IF(SUM($D35:$DS35)=0,1,'Вводные'!$B$63)))*CM34+(1-(IF(SUM($D32:$DS32)=0,0,IF(SUM($D35:$DS35)=0,1,'Вводные'!$B$63))))*CM36)</x:f>
      </x:c>
      <x:c r="CN40" s="107" t="n">
        <x:f>'Вводные'!$M$89*((IF(SUM($D32:$DS32)=0,0,IF(SUM($D35:$DS35)=0,1,'Вводные'!$B$63)))*CN34+(1-(IF(SUM($D32:$DS32)=0,0,IF(SUM($D35:$DS35)=0,1,'Вводные'!$B$63))))*CN36)</x:f>
      </x:c>
      <x:c r="CO40" s="107" t="n">
        <x:f>'Вводные'!$M$89*((IF(SUM($D32:$DS32)=0,0,IF(SUM($D35:$DS35)=0,1,'Вводные'!$B$63)))*CO34+(1-(IF(SUM($D32:$DS32)=0,0,IF(SUM($D35:$DS35)=0,1,'Вводные'!$B$63))))*CO36)</x:f>
      </x:c>
      <x:c r="CP40" s="107" t="n">
        <x:f>'Вводные'!$M$89*((IF(SUM($D32:$DS32)=0,0,IF(SUM($D35:$DS35)=0,1,'Вводные'!$B$63)))*CP34+(1-(IF(SUM($D32:$DS32)=0,0,IF(SUM($D35:$DS35)=0,1,'Вводные'!$B$63))))*CP36)</x:f>
      </x:c>
      <x:c r="CQ40" s="107" t="n">
        <x:f>'Вводные'!$M$89*((IF(SUM($D32:$DS32)=0,0,IF(SUM($D35:$DS35)=0,1,'Вводные'!$B$63)))*CQ34+(1-(IF(SUM($D32:$DS32)=0,0,IF(SUM($D35:$DS35)=0,1,'Вводные'!$B$63))))*CQ36)</x:f>
      </x:c>
      <x:c r="CR40" s="107" t="n">
        <x:f>'Вводные'!$M$89*((IF(SUM($D32:$DS32)=0,0,IF(SUM($D35:$DS35)=0,1,'Вводные'!$B$63)))*CR34+(1-(IF(SUM($D32:$DS32)=0,0,IF(SUM($D35:$DS35)=0,1,'Вводные'!$B$63))))*CR36)</x:f>
      </x:c>
      <x:c r="CS40" s="107" t="n">
        <x:f>'Вводные'!$M$89*((IF(SUM($D32:$DS32)=0,0,IF(SUM($D35:$DS35)=0,1,'Вводные'!$B$63)))*CS34+(1-(IF(SUM($D32:$DS32)=0,0,IF(SUM($D35:$DS35)=0,1,'Вводные'!$B$63))))*CS36)</x:f>
      </x:c>
      <x:c r="CT40" s="107" t="n">
        <x:f>'Вводные'!$M$89*((IF(SUM($D32:$DS32)=0,0,IF(SUM($D35:$DS35)=0,1,'Вводные'!$B$63)))*CT34+(1-(IF(SUM($D32:$DS32)=0,0,IF(SUM($D35:$DS35)=0,1,'Вводные'!$B$63))))*CT36)</x:f>
      </x:c>
      <x:c r="CU40" s="107" t="n">
        <x:f>'Вводные'!$M$89*((IF(SUM($D32:$DS32)=0,0,IF(SUM($D35:$DS35)=0,1,'Вводные'!$B$63)))*CU34+(1-(IF(SUM($D32:$DS32)=0,0,IF(SUM($D35:$DS35)=0,1,'Вводные'!$B$63))))*CU36)</x:f>
      </x:c>
      <x:c r="CV40" s="107" t="n">
        <x:f>'Вводные'!$M$89*((IF(SUM($D32:$DS32)=0,0,IF(SUM($D35:$DS35)=0,1,'Вводные'!$B$63)))*CV34+(1-(IF(SUM($D32:$DS32)=0,0,IF(SUM($D35:$DS35)=0,1,'Вводные'!$B$63))))*CV36)</x:f>
      </x:c>
      <x:c r="CW40" s="107" t="n">
        <x:f>'Вводные'!$M$89*((IF(SUM($D32:$DS32)=0,0,IF(SUM($D35:$DS35)=0,1,'Вводные'!$B$63)))*CW34+(1-(IF(SUM($D32:$DS32)=0,0,IF(SUM($D35:$DS35)=0,1,'Вводные'!$B$63))))*CW36)</x:f>
      </x:c>
      <x:c r="CX40" s="107" t="n">
        <x:f>'Вводные'!$M$89*((IF(SUM($D32:$DS32)=0,0,IF(SUM($D35:$DS35)=0,1,'Вводные'!$B$63)))*CX34+(1-(IF(SUM($D32:$DS32)=0,0,IF(SUM($D35:$DS35)=0,1,'Вводные'!$B$63))))*CX36)</x:f>
      </x:c>
      <x:c r="CY40" s="107" t="n">
        <x:f>'Вводные'!$M$89*((IF(SUM($D32:$DS32)=0,0,IF(SUM($D35:$DS35)=0,1,'Вводные'!$B$63)))*CY34+(1-(IF(SUM($D32:$DS32)=0,0,IF(SUM($D35:$DS35)=0,1,'Вводные'!$B$63))))*CY36)</x:f>
      </x:c>
      <x:c r="CZ40" s="107" t="n">
        <x:f>'Вводные'!$M$89*((IF(SUM($D32:$DS32)=0,0,IF(SUM($D35:$DS35)=0,1,'Вводные'!$B$63)))*CZ34+(1-(IF(SUM($D32:$DS32)=0,0,IF(SUM($D35:$DS35)=0,1,'Вводные'!$B$63))))*CZ36)</x:f>
      </x:c>
      <x:c r="DA40" s="107" t="n">
        <x:f>'Вводные'!$M$89*((IF(SUM($D32:$DS32)=0,0,IF(SUM($D35:$DS35)=0,1,'Вводные'!$B$63)))*DA34+(1-(IF(SUM($D32:$DS32)=0,0,IF(SUM($D35:$DS35)=0,1,'Вводные'!$B$63))))*DA36)</x:f>
      </x:c>
      <x:c r="DB40" s="107" t="n">
        <x:f>'Вводные'!$M$89*((IF(SUM($D32:$DS32)=0,0,IF(SUM($D35:$DS35)=0,1,'Вводные'!$B$63)))*DB34+(1-(IF(SUM($D32:$DS32)=0,0,IF(SUM($D35:$DS35)=0,1,'Вводные'!$B$63))))*DB36)</x:f>
      </x:c>
      <x:c r="DC40" s="107" t="n">
        <x:f>'Вводные'!$M$89*((IF(SUM($D32:$DS32)=0,0,IF(SUM($D35:$DS35)=0,1,'Вводные'!$B$63)))*DC34+(1-(IF(SUM($D32:$DS32)=0,0,IF(SUM($D35:$DS35)=0,1,'Вводные'!$B$63))))*DC36)</x:f>
      </x:c>
      <x:c r="DD40" s="107" t="n">
        <x:f>'Вводные'!$M$89*((IF(SUM($D32:$DS32)=0,0,IF(SUM($D35:$DS35)=0,1,'Вводные'!$B$63)))*DD34+(1-(IF(SUM($D32:$DS32)=0,0,IF(SUM($D35:$DS35)=0,1,'Вводные'!$B$63))))*DD36)</x:f>
      </x:c>
      <x:c r="DE40" s="107" t="n">
        <x:f>'Вводные'!$M$89*((IF(SUM($D32:$DS32)=0,0,IF(SUM($D35:$DS35)=0,1,'Вводные'!$B$63)))*DE34+(1-(IF(SUM($D32:$DS32)=0,0,IF(SUM($D35:$DS35)=0,1,'Вводные'!$B$63))))*DE36)</x:f>
      </x:c>
      <x:c r="DF40" s="107" t="n">
        <x:f>'Вводные'!$M$89*((IF(SUM($D32:$DS32)=0,0,IF(SUM($D35:$DS35)=0,1,'Вводные'!$B$63)))*DF34+(1-(IF(SUM($D32:$DS32)=0,0,IF(SUM($D35:$DS35)=0,1,'Вводные'!$B$63))))*DF36)</x:f>
      </x:c>
      <x:c r="DG40" s="107" t="n">
        <x:f>'Вводные'!$M$89*((IF(SUM($D32:$DS32)=0,0,IF(SUM($D35:$DS35)=0,1,'Вводные'!$B$63)))*DG34+(1-(IF(SUM($D32:$DS32)=0,0,IF(SUM($D35:$DS35)=0,1,'Вводные'!$B$63))))*DG36)</x:f>
      </x:c>
      <x:c r="DH40" s="107" t="n">
        <x:f>'Вводные'!$M$89*((IF(SUM($D32:$DS32)=0,0,IF(SUM($D35:$DS35)=0,1,'Вводные'!$B$63)))*DH34+(1-(IF(SUM($D32:$DS32)=0,0,IF(SUM($D35:$DS35)=0,1,'Вводные'!$B$63))))*DH36)</x:f>
      </x:c>
      <x:c r="DI40" s="107" t="n">
        <x:f>'Вводные'!$M$89*((IF(SUM($D32:$DS32)=0,0,IF(SUM($D35:$DS35)=0,1,'Вводные'!$B$63)))*DI34+(1-(IF(SUM($D32:$DS32)=0,0,IF(SUM($D35:$DS35)=0,1,'Вводные'!$B$63))))*DI36)</x:f>
      </x:c>
      <x:c r="DJ40" s="107" t="n">
        <x:f>'Вводные'!$M$89*((IF(SUM($D32:$DS32)=0,0,IF(SUM($D35:$DS35)=0,1,'Вводные'!$B$63)))*DJ34+(1-(IF(SUM($D32:$DS32)=0,0,IF(SUM($D35:$DS35)=0,1,'Вводные'!$B$63))))*DJ36)</x:f>
      </x:c>
      <x:c r="DK40" s="107" t="n">
        <x:f>'Вводные'!$M$89*((IF(SUM($D32:$DS32)=0,0,IF(SUM($D35:$DS35)=0,1,'Вводные'!$B$63)))*DK34+(1-(IF(SUM($D32:$DS32)=0,0,IF(SUM($D35:$DS35)=0,1,'Вводные'!$B$63))))*DK36)</x:f>
      </x:c>
      <x:c r="DL40" s="107" t="n">
        <x:f>'Вводные'!$M$89*((IF(SUM($D32:$DS32)=0,0,IF(SUM($D35:$DS35)=0,1,'Вводные'!$B$63)))*DL34+(1-(IF(SUM($D32:$DS32)=0,0,IF(SUM($D35:$DS35)=0,1,'Вводные'!$B$63))))*DL36)</x:f>
      </x:c>
      <x:c r="DM40" s="107" t="n">
        <x:f>'Вводные'!$M$89*((IF(SUM($D32:$DS32)=0,0,IF(SUM($D35:$DS35)=0,1,'Вводные'!$B$63)))*DM34+(1-(IF(SUM($D32:$DS32)=0,0,IF(SUM($D35:$DS35)=0,1,'Вводные'!$B$63))))*DM36)</x:f>
      </x:c>
      <x:c r="DN40" s="107" t="n">
        <x:f>'Вводные'!$M$89*((IF(SUM($D32:$DS32)=0,0,IF(SUM($D35:$DS35)=0,1,'Вводные'!$B$63)))*DN34+(1-(IF(SUM($D32:$DS32)=0,0,IF(SUM($D35:$DS35)=0,1,'Вводные'!$B$63))))*DN36)</x:f>
      </x:c>
      <x:c r="DO40" s="107" t="n">
        <x:f>'Вводные'!$M$89*((IF(SUM($D32:$DS32)=0,0,IF(SUM($D35:$DS35)=0,1,'Вводные'!$B$63)))*DO34+(1-(IF(SUM($D32:$DS32)=0,0,IF(SUM($D35:$DS35)=0,1,'Вводные'!$B$63))))*DO36)</x:f>
      </x:c>
      <x:c r="DP40" s="107" t="n">
        <x:f>'Вводные'!$M$89*((IF(SUM($D32:$DS32)=0,0,IF(SUM($D35:$DS35)=0,1,'Вводные'!$B$63)))*DP34+(1-(IF(SUM($D32:$DS32)=0,0,IF(SUM($D35:$DS35)=0,1,'Вводные'!$B$63))))*DP36)</x:f>
      </x:c>
      <x:c r="DQ40" s="107" t="n">
        <x:f>'Вводные'!$M$89*((IF(SUM($D32:$DS32)=0,0,IF(SUM($D35:$DS35)=0,1,'Вводные'!$B$63)))*DQ34+(1-(IF(SUM($D32:$DS32)=0,0,IF(SUM($D35:$DS35)=0,1,'Вводные'!$B$63))))*DQ36)</x:f>
      </x:c>
      <x:c r="DR40" s="107" t="n">
        <x:f>'Вводные'!$M$89*((IF(SUM($D32:$DS32)=0,0,IF(SUM($D35:$DS35)=0,1,'Вводные'!$B$63)))*DR34+(1-(IF(SUM($D32:$DS32)=0,0,IF(SUM($D35:$DS35)=0,1,'Вводные'!$B$63))))*DR36)</x:f>
      </x:c>
      <x:c r="DS40" s="107" t="n">
        <x:f>'Вводные'!$M$89*((IF(SUM($D32:$DS32)=0,0,IF(SUM($D35:$DS35)=0,1,'Вводные'!$B$63)))*DS34+(1-(IF(SUM($D32:$DS32)=0,0,IF(SUM($D35:$DS35)=0,1,'Вводные'!$B$63))))*DS36)</x:f>
      </x:c>
    </x:row>
    <x:row r="41">
      <x:c r="A41" t="str">
        <x:v>Коммерция — цена</x:v>
      </x:c>
      <x:c r="B41" t="n">
        <x:f>IFERROR(B42*1000/B40,0)</x:f>
      </x:c>
      <x:c r="C41" t="str">
        <x:v>тыс. ₽/м²</x:v>
      </x:c>
      <x:c r="D41" s="107" t="n">
        <x:f>IF(D40=0,0,'Вводные'!$B$60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1" s="107" t="n">
        <x:f>IF(E40=0,0,'Вводные'!$B$60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1" s="107" t="n">
        <x:f>IF(F40=0,0,'Вводные'!$B$60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1" s="107" t="n">
        <x:f>IF(G40=0,0,'Вводные'!$B$60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1" s="107" t="n">
        <x:f>IF(H40=0,0,'Вводные'!$B$60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1" s="107" t="n">
        <x:f>IF(I40=0,0,'Вводные'!$B$60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1" s="107" t="n">
        <x:f>IF(J40=0,0,'Вводные'!$B$60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1" s="107" t="n">
        <x:f>IF(K40=0,0,'Вводные'!$B$60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1" s="107" t="n">
        <x:f>IF(L40=0,0,'Вводные'!$B$60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1" s="107" t="n">
        <x:f>IF(M40=0,0,'Вводные'!$B$60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1" s="107" t="n">
        <x:f>IF(N40=0,0,'Вводные'!$B$60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1" s="107" t="n">
        <x:f>IF(O40=0,0,'Вводные'!$B$60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1" s="107" t="n">
        <x:f>IF(P40=0,0,'Вводные'!$B$60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1" s="107" t="n">
        <x:f>IF(Q40=0,0,'Вводные'!$B$60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1" s="107" t="n">
        <x:f>IF(R40=0,0,'Вводные'!$B$60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1" s="107" t="n">
        <x:f>IF(S40=0,0,'Вводные'!$B$60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1" s="107" t="n">
        <x:f>IF(T40=0,0,'Вводные'!$B$60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1" s="107" t="n">
        <x:f>IF(U40=0,0,'Вводные'!$B$60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1" s="107" t="n">
        <x:f>IF(V40=0,0,'Вводные'!$B$60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1" s="107" t="n">
        <x:f>IF(W40=0,0,'Вводные'!$B$60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1" s="107" t="n">
        <x:f>IF(X40=0,0,'Вводные'!$B$60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1" s="107" t="n">
        <x:f>IF(Y40=0,0,'Вводные'!$B$60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1" s="107" t="n">
        <x:f>IF(Z40=0,0,'Вводные'!$B$60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1" s="107" t="n">
        <x:f>IF(AA40=0,0,'Вводные'!$B$60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1" s="107" t="n">
        <x:f>IF(AB40=0,0,'Вводные'!$B$60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1" s="107" t="n">
        <x:f>IF(AC40=0,0,'Вводные'!$B$60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1" s="107" t="n">
        <x:f>IF(AD40=0,0,'Вводные'!$B$60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1" s="107" t="n">
        <x:f>IF(AE40=0,0,'Вводные'!$B$60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1" s="107" t="n">
        <x:f>IF(AF40=0,0,'Вводные'!$B$60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1" s="107" t="n">
        <x:f>IF(AG40=0,0,'Вводные'!$B$60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1" s="107" t="n">
        <x:f>IF(AH40=0,0,'Вводные'!$B$60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1" s="107" t="n">
        <x:f>IF(AI40=0,0,'Вводные'!$B$60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1" s="107" t="n">
        <x:f>IF(AJ40=0,0,'Вводные'!$B$60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1" s="107" t="n">
        <x:f>IF(AK40=0,0,'Вводные'!$B$60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1" s="107" t="n">
        <x:f>IF(AL40=0,0,'Вводные'!$B$60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1" s="107" t="n">
        <x:f>IF(AM40=0,0,'Вводные'!$B$60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1" s="107" t="n">
        <x:f>IF(AN40=0,0,'Вводные'!$B$60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1" s="107" t="n">
        <x:f>IF(AO40=0,0,'Вводные'!$B$60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1" s="107" t="n">
        <x:f>IF(AP40=0,0,'Вводные'!$B$60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1" s="107" t="n">
        <x:f>IF(AQ40=0,0,'Вводные'!$B$60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1" s="107" t="n">
        <x:f>IF(AR40=0,0,'Вводные'!$B$60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1" s="107" t="n">
        <x:f>IF(AS40=0,0,'Вводные'!$B$60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1" s="107" t="n">
        <x:f>IF(AT40=0,0,'Вводные'!$B$60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1" s="107" t="n">
        <x:f>IF(AU40=0,0,'Вводные'!$B$60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1" s="107" t="n">
        <x:f>IF(AV40=0,0,'Вводные'!$B$60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1" s="107" t="n">
        <x:f>IF(AW40=0,0,'Вводные'!$B$60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1" s="107" t="n">
        <x:f>IF(AX40=0,0,'Вводные'!$B$60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1" s="107" t="n">
        <x:f>IF(AY40=0,0,'Вводные'!$B$60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1" s="107" t="n">
        <x:f>IF(AZ40=0,0,'Вводные'!$B$60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1" s="107" t="n">
        <x:f>IF(BA40=0,0,'Вводные'!$B$60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1" s="107" t="n">
        <x:f>IF(BB40=0,0,'Вводные'!$B$60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1" s="107" t="n">
        <x:f>IF(BC40=0,0,'Вводные'!$B$60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1" s="107" t="n">
        <x:f>IF(BD40=0,0,'Вводные'!$B$60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1" s="107" t="n">
        <x:f>IF(BE40=0,0,'Вводные'!$B$60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1" s="107" t="n">
        <x:f>IF(BF40=0,0,'Вводные'!$B$60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1" s="107" t="n">
        <x:f>IF(BG40=0,0,'Вводные'!$B$60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1" s="107" t="n">
        <x:f>IF(BH40=0,0,'Вводные'!$B$60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1" s="107" t="n">
        <x:f>IF(BI40=0,0,'Вводные'!$B$60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1" s="107" t="n">
        <x:f>IF(BJ40=0,0,'Вводные'!$B$60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1" s="107" t="n">
        <x:f>IF(BK40=0,0,'Вводные'!$B$60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1" s="107" t="n">
        <x:f>IF(BL40=0,0,'Вводные'!$B$60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1" s="107" t="n">
        <x:f>IF(BM40=0,0,'Вводные'!$B$60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1" s="107" t="n">
        <x:f>IF(BN40=0,0,'Вводные'!$B$60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1" s="107" t="n">
        <x:f>IF(BO40=0,0,'Вводные'!$B$60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1" s="107" t="n">
        <x:f>IF(BP40=0,0,'Вводные'!$B$60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1" s="107" t="n">
        <x:f>IF(BQ40=0,0,'Вводные'!$B$60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1" s="107" t="n">
        <x:f>IF(BR40=0,0,'Вводные'!$B$60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1" s="107" t="n">
        <x:f>IF(BS40=0,0,'Вводные'!$B$60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1" s="107" t="n">
        <x:f>IF(BT40=0,0,'Вводные'!$B$60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1" s="107" t="n">
        <x:f>IF(BU40=0,0,'Вводные'!$B$60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1" s="107" t="n">
        <x:f>IF(BV40=0,0,'Вводные'!$B$60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1" s="107" t="n">
        <x:f>IF(BW40=0,0,'Вводные'!$B$60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1" s="107" t="n">
        <x:f>IF(BX40=0,0,'Вводные'!$B$60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1" s="107" t="n">
        <x:f>IF(BY40=0,0,'Вводные'!$B$60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1" s="107" t="n">
        <x:f>IF(BZ40=0,0,'Вводные'!$B$60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1" s="107" t="n">
        <x:f>IF(CA40=0,0,'Вводные'!$B$60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1" s="107" t="n">
        <x:f>IF(CB40=0,0,'Вводные'!$B$60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1" s="107" t="n">
        <x:f>IF(CC40=0,0,'Вводные'!$B$60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1" s="107" t="n">
        <x:f>IF(CD40=0,0,'Вводные'!$B$60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1" s="107" t="n">
        <x:f>IF(CE40=0,0,'Вводные'!$B$60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1" s="107" t="n">
        <x:f>IF(CF40=0,0,'Вводные'!$B$60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1" s="107" t="n">
        <x:f>IF(CG40=0,0,'Вводные'!$B$60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1" s="107" t="n">
        <x:f>IF(CH40=0,0,'Вводные'!$B$60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1" s="107" t="n">
        <x:f>IF(CI40=0,0,'Вводные'!$B$60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1" s="107" t="n">
        <x:f>IF(CJ40=0,0,'Вводные'!$B$60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1" s="107" t="n">
        <x:f>IF(CK40=0,0,'Вводные'!$B$60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1" s="107" t="n">
        <x:f>IF(CL40=0,0,'Вводные'!$B$60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1" s="107" t="n">
        <x:f>IF(CM40=0,0,'Вводные'!$B$60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1" s="107" t="n">
        <x:f>IF(CN40=0,0,'Вводные'!$B$60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1" s="107" t="n">
        <x:f>IF(CO40=0,0,'Вводные'!$B$60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1" s="107" t="n">
        <x:f>IF(CP40=0,0,'Вводные'!$B$60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1" s="107" t="n">
        <x:f>IF(CQ40=0,0,'Вводные'!$B$60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1" s="107" t="n">
        <x:f>IF(CR40=0,0,'Вводные'!$B$60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1" s="107" t="n">
        <x:f>IF(CS40=0,0,'Вводные'!$B$60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1" s="107" t="n">
        <x:f>IF(CT40=0,0,'Вводные'!$B$60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1" s="107" t="n">
        <x:f>IF(CU40=0,0,'Вводные'!$B$60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1" s="107" t="n">
        <x:f>IF(CV40=0,0,'Вводные'!$B$60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1" s="107" t="n">
        <x:f>IF(CW40=0,0,'Вводные'!$B$60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1" s="107" t="n">
        <x:f>IF(CX40=0,0,'Вводные'!$B$60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1" s="107" t="n">
        <x:f>IF(CY40=0,0,'Вводные'!$B$60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1" s="107" t="n">
        <x:f>IF(CZ40=0,0,'Вводные'!$B$60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1" s="107" t="n">
        <x:f>IF(DA40=0,0,'Вводные'!$B$60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1" s="107" t="n">
        <x:f>IF(DB40=0,0,'Вводные'!$B$60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1" s="107" t="n">
        <x:f>IF(DC40=0,0,'Вводные'!$B$60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1" s="107" t="n">
        <x:f>IF(DD40=0,0,'Вводные'!$B$60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1" s="107" t="n">
        <x:f>IF(DE40=0,0,'Вводные'!$B$60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1" s="107" t="n">
        <x:f>IF(DF40=0,0,'Вводные'!$B$60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1" s="107" t="n">
        <x:f>IF(DG40=0,0,'Вводные'!$B$60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1" s="107" t="n">
        <x:f>IF(DH40=0,0,'Вводные'!$B$60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1" s="107" t="n">
        <x:f>IF(DI40=0,0,'Вводные'!$B$60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1" s="107" t="n">
        <x:f>IF(DJ40=0,0,'Вводные'!$B$60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1" s="107" t="n">
        <x:f>IF(DK40=0,0,'Вводные'!$B$60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1" s="107" t="n">
        <x:f>IF(DL40=0,0,'Вводные'!$B$60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1" s="107" t="n">
        <x:f>IF(DM40=0,0,'Вводные'!$B$60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1" s="107" t="n">
        <x:f>IF(DN40=0,0,'Вводные'!$B$60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1" s="107" t="n">
        <x:f>IF(DO40=0,0,'Вводные'!$B$60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1" s="107" t="n">
        <x:f>IF(DP40=0,0,'Вводные'!$B$60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1" s="107" t="n">
        <x:f>IF(DQ40=0,0,'Вводные'!$B$60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1" s="107" t="n">
        <x:f>IF(DR40=0,0,'Вводные'!$B$60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1" s="107" t="n">
        <x:f>IF(DS40=0,0,'Вводные'!$B$60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2">
      <x:c r="A42" t="str">
        <x:v>Коммерция — выручка</x:v>
      </x:c>
      <x:c r="B42" t="n">
        <x:f>SUM(D42:DS42)</x:f>
      </x:c>
      <x:c r="C42" t="str">
        <x:v>млн ₽</x:v>
      </x:c>
      <x:c r="D42" s="107" t="n">
        <x:f>D40*D41/1000</x:f>
      </x:c>
      <x:c r="E42" s="107" t="n">
        <x:f>E40*E41/1000</x:f>
      </x:c>
      <x:c r="F42" s="107" t="n">
        <x:f>F40*F41/1000</x:f>
      </x:c>
      <x:c r="G42" s="107" t="n">
        <x:f>G40*G41/1000</x:f>
      </x:c>
      <x:c r="H42" s="107" t="n">
        <x:f>H40*H41/1000</x:f>
      </x:c>
      <x:c r="I42" s="107" t="n">
        <x:f>I40*I41/1000</x:f>
      </x:c>
      <x:c r="J42" s="107" t="n">
        <x:f>J40*J41/1000</x:f>
      </x:c>
      <x:c r="K42" s="107" t="n">
        <x:f>K40*K41/1000</x:f>
      </x:c>
      <x:c r="L42" s="107" t="n">
        <x:f>L40*L41/1000</x:f>
      </x:c>
      <x:c r="M42" s="107" t="n">
        <x:f>M40*M41/1000</x:f>
      </x:c>
      <x:c r="N42" s="107" t="n">
        <x:f>N40*N41/1000</x:f>
      </x:c>
      <x:c r="O42" s="107" t="n">
        <x:f>O40*O41/1000</x:f>
      </x:c>
      <x:c r="P42" s="107" t="n">
        <x:f>P40*P41/1000</x:f>
      </x:c>
      <x:c r="Q42" s="107" t="n">
        <x:f>Q40*Q41/1000</x:f>
      </x:c>
      <x:c r="R42" s="107" t="n">
        <x:f>R40*R41/1000</x:f>
      </x:c>
      <x:c r="S42" s="107" t="n">
        <x:f>S40*S41/1000</x:f>
      </x:c>
      <x:c r="T42" s="107" t="n">
        <x:f>T40*T41/1000</x:f>
      </x:c>
      <x:c r="U42" s="107" t="n">
        <x:f>U40*U41/1000</x:f>
      </x:c>
      <x:c r="V42" s="107" t="n">
        <x:f>V40*V41/1000</x:f>
      </x:c>
      <x:c r="W42" s="107" t="n">
        <x:f>W40*W41/1000</x:f>
      </x:c>
      <x:c r="X42" s="107" t="n">
        <x:f>X40*X41/1000</x:f>
      </x:c>
      <x:c r="Y42" s="107" t="n">
        <x:f>Y40*Y41/1000</x:f>
      </x:c>
      <x:c r="Z42" s="107" t="n">
        <x:f>Z40*Z41/1000</x:f>
      </x:c>
      <x:c r="AA42" s="107" t="n">
        <x:f>AA40*AA41/1000</x:f>
      </x:c>
      <x:c r="AB42" s="107" t="n">
        <x:f>AB40*AB41/1000</x:f>
      </x:c>
      <x:c r="AC42" s="107" t="n">
        <x:f>AC40*AC41/1000</x:f>
      </x:c>
      <x:c r="AD42" s="107" t="n">
        <x:f>AD40*AD41/1000</x:f>
      </x:c>
      <x:c r="AE42" s="107" t="n">
        <x:f>AE40*AE41/1000</x:f>
      </x:c>
      <x:c r="AF42" s="107" t="n">
        <x:f>AF40*AF41/1000</x:f>
      </x:c>
      <x:c r="AG42" s="107" t="n">
        <x:f>AG40*AG41/1000</x:f>
      </x:c>
      <x:c r="AH42" s="107" t="n">
        <x:f>AH40*AH41/1000</x:f>
      </x:c>
      <x:c r="AI42" s="107" t="n">
        <x:f>AI40*AI41/1000</x:f>
      </x:c>
      <x:c r="AJ42" s="107" t="n">
        <x:f>AJ40*AJ41/1000</x:f>
      </x:c>
      <x:c r="AK42" s="107" t="n">
        <x:f>AK40*AK41/1000</x:f>
      </x:c>
      <x:c r="AL42" s="107" t="n">
        <x:f>AL40*AL41/1000</x:f>
      </x:c>
      <x:c r="AM42" s="107" t="n">
        <x:f>AM40*AM41/1000</x:f>
      </x:c>
      <x:c r="AN42" s="107" t="n">
        <x:f>AN40*AN41/1000</x:f>
      </x:c>
      <x:c r="AO42" s="107" t="n">
        <x:f>AO40*AO41/1000</x:f>
      </x:c>
      <x:c r="AP42" s="107" t="n">
        <x:f>AP40*AP41/1000</x:f>
      </x:c>
      <x:c r="AQ42" s="107" t="n">
        <x:f>AQ40*AQ41/1000</x:f>
      </x:c>
      <x:c r="AR42" s="107" t="n">
        <x:f>AR40*AR41/1000</x:f>
      </x:c>
      <x:c r="AS42" s="107" t="n">
        <x:f>AS40*AS41/1000</x:f>
      </x:c>
      <x:c r="AT42" s="107" t="n">
        <x:f>AT40*AT41/1000</x:f>
      </x:c>
      <x:c r="AU42" s="107" t="n">
        <x:f>AU40*AU41/1000</x:f>
      </x:c>
      <x:c r="AV42" s="107" t="n">
        <x:f>AV40*AV41/1000</x:f>
      </x:c>
      <x:c r="AW42" s="107" t="n">
        <x:f>AW40*AW41/1000</x:f>
      </x:c>
      <x:c r="AX42" s="107" t="n">
        <x:f>AX40*AX41/1000</x:f>
      </x:c>
      <x:c r="AY42" s="107" t="n">
        <x:f>AY40*AY41/1000</x:f>
      </x:c>
      <x:c r="AZ42" s="107" t="n">
        <x:f>AZ40*AZ41/1000</x:f>
      </x:c>
      <x:c r="BA42" s="107" t="n">
        <x:f>BA40*BA41/1000</x:f>
      </x:c>
      <x:c r="BB42" s="107" t="n">
        <x:f>BB40*BB41/1000</x:f>
      </x:c>
      <x:c r="BC42" s="107" t="n">
        <x:f>BC40*BC41/1000</x:f>
      </x:c>
      <x:c r="BD42" s="107" t="n">
        <x:f>BD40*BD41/1000</x:f>
      </x:c>
      <x:c r="BE42" s="107" t="n">
        <x:f>BE40*BE41/1000</x:f>
      </x:c>
      <x:c r="BF42" s="107" t="n">
        <x:f>BF40*BF41/1000</x:f>
      </x:c>
      <x:c r="BG42" s="107" t="n">
        <x:f>BG40*BG41/1000</x:f>
      </x:c>
      <x:c r="BH42" s="107" t="n">
        <x:f>BH40*BH41/1000</x:f>
      </x:c>
      <x:c r="BI42" s="107" t="n">
        <x:f>BI40*BI41/1000</x:f>
      </x:c>
      <x:c r="BJ42" s="107" t="n">
        <x:f>BJ40*BJ41/1000</x:f>
      </x:c>
      <x:c r="BK42" s="107" t="n">
        <x:f>BK40*BK41/1000</x:f>
      </x:c>
      <x:c r="BL42" s="107" t="n">
        <x:f>BL40*BL41/1000</x:f>
      </x:c>
      <x:c r="BM42" s="107" t="n">
        <x:f>BM40*BM41/1000</x:f>
      </x:c>
      <x:c r="BN42" s="107" t="n">
        <x:f>BN40*BN41/1000</x:f>
      </x:c>
      <x:c r="BO42" s="107" t="n">
        <x:f>BO40*BO41/1000</x:f>
      </x:c>
      <x:c r="BP42" s="107" t="n">
        <x:f>BP40*BP41/1000</x:f>
      </x:c>
      <x:c r="BQ42" s="107" t="n">
        <x:f>BQ40*BQ41/1000</x:f>
      </x:c>
      <x:c r="BR42" s="107" t="n">
        <x:f>BR40*BR41/1000</x:f>
      </x:c>
      <x:c r="BS42" s="107" t="n">
        <x:f>BS40*BS41/1000</x:f>
      </x:c>
      <x:c r="BT42" s="107" t="n">
        <x:f>BT40*BT41/1000</x:f>
      </x:c>
      <x:c r="BU42" s="107" t="n">
        <x:f>BU40*BU41/1000</x:f>
      </x:c>
      <x:c r="BV42" s="107" t="n">
        <x:f>BV40*BV41/1000</x:f>
      </x:c>
      <x:c r="BW42" s="107" t="n">
        <x:f>BW40*BW41/1000</x:f>
      </x:c>
      <x:c r="BX42" s="107" t="n">
        <x:f>BX40*BX41/1000</x:f>
      </x:c>
      <x:c r="BY42" s="107" t="n">
        <x:f>BY40*BY41/1000</x:f>
      </x:c>
      <x:c r="BZ42" s="107" t="n">
        <x:f>BZ40*BZ41/1000</x:f>
      </x:c>
      <x:c r="CA42" s="107" t="n">
        <x:f>CA40*CA41/1000</x:f>
      </x:c>
      <x:c r="CB42" s="107" t="n">
        <x:f>CB40*CB41/1000</x:f>
      </x:c>
      <x:c r="CC42" s="107" t="n">
        <x:f>CC40*CC41/1000</x:f>
      </x:c>
      <x:c r="CD42" s="107" t="n">
        <x:f>CD40*CD41/1000</x:f>
      </x:c>
      <x:c r="CE42" s="107" t="n">
        <x:f>CE40*CE41/1000</x:f>
      </x:c>
      <x:c r="CF42" s="107" t="n">
        <x:f>CF40*CF41/1000</x:f>
      </x:c>
      <x:c r="CG42" s="107" t="n">
        <x:f>CG40*CG41/1000</x:f>
      </x:c>
      <x:c r="CH42" s="107" t="n">
        <x:f>CH40*CH41/1000</x:f>
      </x:c>
      <x:c r="CI42" s="107" t="n">
        <x:f>CI40*CI41/1000</x:f>
      </x:c>
      <x:c r="CJ42" s="107" t="n">
        <x:f>CJ40*CJ41/1000</x:f>
      </x:c>
      <x:c r="CK42" s="107" t="n">
        <x:f>CK40*CK41/1000</x:f>
      </x:c>
      <x:c r="CL42" s="107" t="n">
        <x:f>CL40*CL41/1000</x:f>
      </x:c>
      <x:c r="CM42" s="107" t="n">
        <x:f>CM40*CM41/1000</x:f>
      </x:c>
      <x:c r="CN42" s="107" t="n">
        <x:f>CN40*CN41/1000</x:f>
      </x:c>
      <x:c r="CO42" s="107" t="n">
        <x:f>CO40*CO41/1000</x:f>
      </x:c>
      <x:c r="CP42" s="107" t="n">
        <x:f>CP40*CP41/1000</x:f>
      </x:c>
      <x:c r="CQ42" s="107" t="n">
        <x:f>CQ40*CQ41/1000</x:f>
      </x:c>
      <x:c r="CR42" s="107" t="n">
        <x:f>CR40*CR41/1000</x:f>
      </x:c>
      <x:c r="CS42" s="107" t="n">
        <x:f>CS40*CS41/1000</x:f>
      </x:c>
      <x:c r="CT42" s="107" t="n">
        <x:f>CT40*CT41/1000</x:f>
      </x:c>
      <x:c r="CU42" s="107" t="n">
        <x:f>CU40*CU41/1000</x:f>
      </x:c>
      <x:c r="CV42" s="107" t="n">
        <x:f>CV40*CV41/1000</x:f>
      </x:c>
      <x:c r="CW42" s="107" t="n">
        <x:f>CW40*CW41/1000</x:f>
      </x:c>
      <x:c r="CX42" s="107" t="n">
        <x:f>CX40*CX41/1000</x:f>
      </x:c>
      <x:c r="CY42" s="107" t="n">
        <x:f>CY40*CY41/1000</x:f>
      </x:c>
      <x:c r="CZ42" s="107" t="n">
        <x:f>CZ40*CZ41/1000</x:f>
      </x:c>
      <x:c r="DA42" s="107" t="n">
        <x:f>DA40*DA41/1000</x:f>
      </x:c>
      <x:c r="DB42" s="107" t="n">
        <x:f>DB40*DB41/1000</x:f>
      </x:c>
      <x:c r="DC42" s="107" t="n">
        <x:f>DC40*DC41/1000</x:f>
      </x:c>
      <x:c r="DD42" s="107" t="n">
        <x:f>DD40*DD41/1000</x:f>
      </x:c>
      <x:c r="DE42" s="107" t="n">
        <x:f>DE40*DE41/1000</x:f>
      </x:c>
      <x:c r="DF42" s="107" t="n">
        <x:f>DF40*DF41/1000</x:f>
      </x:c>
      <x:c r="DG42" s="107" t="n">
        <x:f>DG40*DG41/1000</x:f>
      </x:c>
      <x:c r="DH42" s="107" t="n">
        <x:f>DH40*DH41/1000</x:f>
      </x:c>
      <x:c r="DI42" s="107" t="n">
        <x:f>DI40*DI41/1000</x:f>
      </x:c>
      <x:c r="DJ42" s="107" t="n">
        <x:f>DJ40*DJ41/1000</x:f>
      </x:c>
      <x:c r="DK42" s="107" t="n">
        <x:f>DK40*DK41/1000</x:f>
      </x:c>
      <x:c r="DL42" s="107" t="n">
        <x:f>DL40*DL41/1000</x:f>
      </x:c>
      <x:c r="DM42" s="107" t="n">
        <x:f>DM40*DM41/1000</x:f>
      </x:c>
      <x:c r="DN42" s="107" t="n">
        <x:f>DN40*DN41/1000</x:f>
      </x:c>
      <x:c r="DO42" s="107" t="n">
        <x:f>DO40*DO41/1000</x:f>
      </x:c>
      <x:c r="DP42" s="107" t="n">
        <x:f>DP40*DP41/1000</x:f>
      </x:c>
      <x:c r="DQ42" s="107" t="n">
        <x:f>DQ40*DQ41/1000</x:f>
      </x:c>
      <x:c r="DR42" s="107" t="n">
        <x:f>DR40*DR41/1000</x:f>
      </x:c>
      <x:c r="DS42" s="107" t="n">
        <x:f>DS40*DS41/1000</x:f>
      </x:c>
    </x:row>
    <x:row r="43">
      <x:c r="A43" t="str">
        <x:v>Паркинг — объём</x:v>
      </x:c>
      <x:c r="B43" t="n">
        <x:f>SUM(D43:DS43)</x:f>
      </x:c>
      <x:c r="C43" t="str">
        <x:v>шт.</x:v>
      </x:c>
      <x:c r="D43" s="107" t="n">
        <x:f>'Вводные'!$N$89*((IF(SUM($D32:$DS32)=0,0,IF(SUM($D35:$DS35)=0,1,'Вводные'!$B$63)))*D34+(1-(IF(SUM($D32:$DS32)=0,0,IF(SUM($D35:$DS35)=0,1,'Вводные'!$B$63))))*D36)</x:f>
      </x:c>
      <x:c r="E43" s="107" t="n">
        <x:f>'Вводные'!$N$89*((IF(SUM($D32:$DS32)=0,0,IF(SUM($D35:$DS35)=0,1,'Вводные'!$B$63)))*E34+(1-(IF(SUM($D32:$DS32)=0,0,IF(SUM($D35:$DS35)=0,1,'Вводные'!$B$63))))*E36)</x:f>
      </x:c>
      <x:c r="F43" s="107" t="n">
        <x:f>'Вводные'!$N$89*((IF(SUM($D32:$DS32)=0,0,IF(SUM($D35:$DS35)=0,1,'Вводные'!$B$63)))*F34+(1-(IF(SUM($D32:$DS32)=0,0,IF(SUM($D35:$DS35)=0,1,'Вводные'!$B$63))))*F36)</x:f>
      </x:c>
      <x:c r="G43" s="107" t="n">
        <x:f>'Вводные'!$N$89*((IF(SUM($D32:$DS32)=0,0,IF(SUM($D35:$DS35)=0,1,'Вводные'!$B$63)))*G34+(1-(IF(SUM($D32:$DS32)=0,0,IF(SUM($D35:$DS35)=0,1,'Вводные'!$B$63))))*G36)</x:f>
      </x:c>
      <x:c r="H43" s="107" t="n">
        <x:f>'Вводные'!$N$89*((IF(SUM($D32:$DS32)=0,0,IF(SUM($D35:$DS35)=0,1,'Вводные'!$B$63)))*H34+(1-(IF(SUM($D32:$DS32)=0,0,IF(SUM($D35:$DS35)=0,1,'Вводные'!$B$63))))*H36)</x:f>
      </x:c>
      <x:c r="I43" s="107" t="n">
        <x:f>'Вводные'!$N$89*((IF(SUM($D32:$DS32)=0,0,IF(SUM($D35:$DS35)=0,1,'Вводные'!$B$63)))*I34+(1-(IF(SUM($D32:$DS32)=0,0,IF(SUM($D35:$DS35)=0,1,'Вводные'!$B$63))))*I36)</x:f>
      </x:c>
      <x:c r="J43" s="107" t="n">
        <x:f>'Вводные'!$N$89*((IF(SUM($D32:$DS32)=0,0,IF(SUM($D35:$DS35)=0,1,'Вводные'!$B$63)))*J34+(1-(IF(SUM($D32:$DS32)=0,0,IF(SUM($D35:$DS35)=0,1,'Вводные'!$B$63))))*J36)</x:f>
      </x:c>
      <x:c r="K43" s="107" t="n">
        <x:f>'Вводные'!$N$89*((IF(SUM($D32:$DS32)=0,0,IF(SUM($D35:$DS35)=0,1,'Вводные'!$B$63)))*K34+(1-(IF(SUM($D32:$DS32)=0,0,IF(SUM($D35:$DS35)=0,1,'Вводные'!$B$63))))*K36)</x:f>
      </x:c>
      <x:c r="L43" s="107" t="n">
        <x:f>'Вводные'!$N$89*((IF(SUM($D32:$DS32)=0,0,IF(SUM($D35:$DS35)=0,1,'Вводные'!$B$63)))*L34+(1-(IF(SUM($D32:$DS32)=0,0,IF(SUM($D35:$DS35)=0,1,'Вводные'!$B$63))))*L36)</x:f>
      </x:c>
      <x:c r="M43" s="107" t="n">
        <x:f>'Вводные'!$N$89*((IF(SUM($D32:$DS32)=0,0,IF(SUM($D35:$DS35)=0,1,'Вводные'!$B$63)))*M34+(1-(IF(SUM($D32:$DS32)=0,0,IF(SUM($D35:$DS35)=0,1,'Вводные'!$B$63))))*M36)</x:f>
      </x:c>
      <x:c r="N43" s="107" t="n">
        <x:f>'Вводные'!$N$89*((IF(SUM($D32:$DS32)=0,0,IF(SUM($D35:$DS35)=0,1,'Вводные'!$B$63)))*N34+(1-(IF(SUM($D32:$DS32)=0,0,IF(SUM($D35:$DS35)=0,1,'Вводные'!$B$63))))*N36)</x:f>
      </x:c>
      <x:c r="O43" s="107" t="n">
        <x:f>'Вводные'!$N$89*((IF(SUM($D32:$DS32)=0,0,IF(SUM($D35:$DS35)=0,1,'Вводные'!$B$63)))*O34+(1-(IF(SUM($D32:$DS32)=0,0,IF(SUM($D35:$DS35)=0,1,'Вводные'!$B$63))))*O36)</x:f>
      </x:c>
      <x:c r="P43" s="107" t="n">
        <x:f>'Вводные'!$N$89*((IF(SUM($D32:$DS32)=0,0,IF(SUM($D35:$DS35)=0,1,'Вводные'!$B$63)))*P34+(1-(IF(SUM($D32:$DS32)=0,0,IF(SUM($D35:$DS35)=0,1,'Вводные'!$B$63))))*P36)</x:f>
      </x:c>
      <x:c r="Q43" s="107" t="n">
        <x:f>'Вводные'!$N$89*((IF(SUM($D32:$DS32)=0,0,IF(SUM($D35:$DS35)=0,1,'Вводные'!$B$63)))*Q34+(1-(IF(SUM($D32:$DS32)=0,0,IF(SUM($D35:$DS35)=0,1,'Вводные'!$B$63))))*Q36)</x:f>
      </x:c>
      <x:c r="R43" s="107" t="n">
        <x:f>'Вводные'!$N$89*((IF(SUM($D32:$DS32)=0,0,IF(SUM($D35:$DS35)=0,1,'Вводные'!$B$63)))*R34+(1-(IF(SUM($D32:$DS32)=0,0,IF(SUM($D35:$DS35)=0,1,'Вводные'!$B$63))))*R36)</x:f>
      </x:c>
      <x:c r="S43" s="107" t="n">
        <x:f>'Вводные'!$N$89*((IF(SUM($D32:$DS32)=0,0,IF(SUM($D35:$DS35)=0,1,'Вводные'!$B$63)))*S34+(1-(IF(SUM($D32:$DS32)=0,0,IF(SUM($D35:$DS35)=0,1,'Вводные'!$B$63))))*S36)</x:f>
      </x:c>
      <x:c r="T43" s="107" t="n">
        <x:f>'Вводные'!$N$89*((IF(SUM($D32:$DS32)=0,0,IF(SUM($D35:$DS35)=0,1,'Вводные'!$B$63)))*T34+(1-(IF(SUM($D32:$DS32)=0,0,IF(SUM($D35:$DS35)=0,1,'Вводные'!$B$63))))*T36)</x:f>
      </x:c>
      <x:c r="U43" s="107" t="n">
        <x:f>'Вводные'!$N$89*((IF(SUM($D32:$DS32)=0,0,IF(SUM($D35:$DS35)=0,1,'Вводные'!$B$63)))*U34+(1-(IF(SUM($D32:$DS32)=0,0,IF(SUM($D35:$DS35)=0,1,'Вводные'!$B$63))))*U36)</x:f>
      </x:c>
      <x:c r="V43" s="107" t="n">
        <x:f>'Вводные'!$N$89*((IF(SUM($D32:$DS32)=0,0,IF(SUM($D35:$DS35)=0,1,'Вводные'!$B$63)))*V34+(1-(IF(SUM($D32:$DS32)=0,0,IF(SUM($D35:$DS35)=0,1,'Вводные'!$B$63))))*V36)</x:f>
      </x:c>
      <x:c r="W43" s="107" t="n">
        <x:f>'Вводные'!$N$89*((IF(SUM($D32:$DS32)=0,0,IF(SUM($D35:$DS35)=0,1,'Вводные'!$B$63)))*W34+(1-(IF(SUM($D32:$DS32)=0,0,IF(SUM($D35:$DS35)=0,1,'Вводные'!$B$63))))*W36)</x:f>
      </x:c>
      <x:c r="X43" s="107" t="n">
        <x:f>'Вводные'!$N$89*((IF(SUM($D32:$DS32)=0,0,IF(SUM($D35:$DS35)=0,1,'Вводные'!$B$63)))*X34+(1-(IF(SUM($D32:$DS32)=0,0,IF(SUM($D35:$DS35)=0,1,'Вводные'!$B$63))))*X36)</x:f>
      </x:c>
      <x:c r="Y43" s="107" t="n">
        <x:f>'Вводные'!$N$89*((IF(SUM($D32:$DS32)=0,0,IF(SUM($D35:$DS35)=0,1,'Вводные'!$B$63)))*Y34+(1-(IF(SUM($D32:$DS32)=0,0,IF(SUM($D35:$DS35)=0,1,'Вводные'!$B$63))))*Y36)</x:f>
      </x:c>
      <x:c r="Z43" s="107" t="n">
        <x:f>'Вводные'!$N$89*((IF(SUM($D32:$DS32)=0,0,IF(SUM($D35:$DS35)=0,1,'Вводные'!$B$63)))*Z34+(1-(IF(SUM($D32:$DS32)=0,0,IF(SUM($D35:$DS35)=0,1,'Вводные'!$B$63))))*Z36)</x:f>
      </x:c>
      <x:c r="AA43" s="107" t="n">
        <x:f>'Вводные'!$N$89*((IF(SUM($D32:$DS32)=0,0,IF(SUM($D35:$DS35)=0,1,'Вводные'!$B$63)))*AA34+(1-(IF(SUM($D32:$DS32)=0,0,IF(SUM($D35:$DS35)=0,1,'Вводные'!$B$63))))*AA36)</x:f>
      </x:c>
      <x:c r="AB43" s="107" t="n">
        <x:f>'Вводные'!$N$89*((IF(SUM($D32:$DS32)=0,0,IF(SUM($D35:$DS35)=0,1,'Вводные'!$B$63)))*AB34+(1-(IF(SUM($D32:$DS32)=0,0,IF(SUM($D35:$DS35)=0,1,'Вводные'!$B$63))))*AB36)</x:f>
      </x:c>
      <x:c r="AC43" s="107" t="n">
        <x:f>'Вводные'!$N$89*((IF(SUM($D32:$DS32)=0,0,IF(SUM($D35:$DS35)=0,1,'Вводные'!$B$63)))*AC34+(1-(IF(SUM($D32:$DS32)=0,0,IF(SUM($D35:$DS35)=0,1,'Вводные'!$B$63))))*AC36)</x:f>
      </x:c>
      <x:c r="AD43" s="107" t="n">
        <x:f>'Вводные'!$N$89*((IF(SUM($D32:$DS32)=0,0,IF(SUM($D35:$DS35)=0,1,'Вводные'!$B$63)))*AD34+(1-(IF(SUM($D32:$DS32)=0,0,IF(SUM($D35:$DS35)=0,1,'Вводные'!$B$63))))*AD36)</x:f>
      </x:c>
      <x:c r="AE43" s="107" t="n">
        <x:f>'Вводные'!$N$89*((IF(SUM($D32:$DS32)=0,0,IF(SUM($D35:$DS35)=0,1,'Вводные'!$B$63)))*AE34+(1-(IF(SUM($D32:$DS32)=0,0,IF(SUM($D35:$DS35)=0,1,'Вводные'!$B$63))))*AE36)</x:f>
      </x:c>
      <x:c r="AF43" s="107" t="n">
        <x:f>'Вводные'!$N$89*((IF(SUM($D32:$DS32)=0,0,IF(SUM($D35:$DS35)=0,1,'Вводные'!$B$63)))*AF34+(1-(IF(SUM($D32:$DS32)=0,0,IF(SUM($D35:$DS35)=0,1,'Вводные'!$B$63))))*AF36)</x:f>
      </x:c>
      <x:c r="AG43" s="107" t="n">
        <x:f>'Вводные'!$N$89*((IF(SUM($D32:$DS32)=0,0,IF(SUM($D35:$DS35)=0,1,'Вводные'!$B$63)))*AG34+(1-(IF(SUM($D32:$DS32)=0,0,IF(SUM($D35:$DS35)=0,1,'Вводные'!$B$63))))*AG36)</x:f>
      </x:c>
      <x:c r="AH43" s="107" t="n">
        <x:f>'Вводные'!$N$89*((IF(SUM($D32:$DS32)=0,0,IF(SUM($D35:$DS35)=0,1,'Вводные'!$B$63)))*AH34+(1-(IF(SUM($D32:$DS32)=0,0,IF(SUM($D35:$DS35)=0,1,'Вводные'!$B$63))))*AH36)</x:f>
      </x:c>
      <x:c r="AI43" s="107" t="n">
        <x:f>'Вводные'!$N$89*((IF(SUM($D32:$DS32)=0,0,IF(SUM($D35:$DS35)=0,1,'Вводные'!$B$63)))*AI34+(1-(IF(SUM($D32:$DS32)=0,0,IF(SUM($D35:$DS35)=0,1,'Вводные'!$B$63))))*AI36)</x:f>
      </x:c>
      <x:c r="AJ43" s="107" t="n">
        <x:f>'Вводные'!$N$89*((IF(SUM($D32:$DS32)=0,0,IF(SUM($D35:$DS35)=0,1,'Вводные'!$B$63)))*AJ34+(1-(IF(SUM($D32:$DS32)=0,0,IF(SUM($D35:$DS35)=0,1,'Вводные'!$B$63))))*AJ36)</x:f>
      </x:c>
      <x:c r="AK43" s="107" t="n">
        <x:f>'Вводные'!$N$89*((IF(SUM($D32:$DS32)=0,0,IF(SUM($D35:$DS35)=0,1,'Вводные'!$B$63)))*AK34+(1-(IF(SUM($D32:$DS32)=0,0,IF(SUM($D35:$DS35)=0,1,'Вводные'!$B$63))))*AK36)</x:f>
      </x:c>
      <x:c r="AL43" s="107" t="n">
        <x:f>'Вводные'!$N$89*((IF(SUM($D32:$DS32)=0,0,IF(SUM($D35:$DS35)=0,1,'Вводные'!$B$63)))*AL34+(1-(IF(SUM($D32:$DS32)=0,0,IF(SUM($D35:$DS35)=0,1,'Вводные'!$B$63))))*AL36)</x:f>
      </x:c>
      <x:c r="AM43" s="107" t="n">
        <x:f>'Вводные'!$N$89*((IF(SUM($D32:$DS32)=0,0,IF(SUM($D35:$DS35)=0,1,'Вводные'!$B$63)))*AM34+(1-(IF(SUM($D32:$DS32)=0,0,IF(SUM($D35:$DS35)=0,1,'Вводные'!$B$63))))*AM36)</x:f>
      </x:c>
      <x:c r="AN43" s="107" t="n">
        <x:f>'Вводные'!$N$89*((IF(SUM($D32:$DS32)=0,0,IF(SUM($D35:$DS35)=0,1,'Вводные'!$B$63)))*AN34+(1-(IF(SUM($D32:$DS32)=0,0,IF(SUM($D35:$DS35)=0,1,'Вводные'!$B$63))))*AN36)</x:f>
      </x:c>
      <x:c r="AO43" s="107" t="n">
        <x:f>'Вводные'!$N$89*((IF(SUM($D32:$DS32)=0,0,IF(SUM($D35:$DS35)=0,1,'Вводные'!$B$63)))*AO34+(1-(IF(SUM($D32:$DS32)=0,0,IF(SUM($D35:$DS35)=0,1,'Вводные'!$B$63))))*AO36)</x:f>
      </x:c>
      <x:c r="AP43" s="107" t="n">
        <x:f>'Вводные'!$N$89*((IF(SUM($D32:$DS32)=0,0,IF(SUM($D35:$DS35)=0,1,'Вводные'!$B$63)))*AP34+(1-(IF(SUM($D32:$DS32)=0,0,IF(SUM($D35:$DS35)=0,1,'Вводные'!$B$63))))*AP36)</x:f>
      </x:c>
      <x:c r="AQ43" s="107" t="n">
        <x:f>'Вводные'!$N$89*((IF(SUM($D32:$DS32)=0,0,IF(SUM($D35:$DS35)=0,1,'Вводные'!$B$63)))*AQ34+(1-(IF(SUM($D32:$DS32)=0,0,IF(SUM($D35:$DS35)=0,1,'Вводные'!$B$63))))*AQ36)</x:f>
      </x:c>
      <x:c r="AR43" s="107" t="n">
        <x:f>'Вводные'!$N$89*((IF(SUM($D32:$DS32)=0,0,IF(SUM($D35:$DS35)=0,1,'Вводные'!$B$63)))*AR34+(1-(IF(SUM($D32:$DS32)=0,0,IF(SUM($D35:$DS35)=0,1,'Вводные'!$B$63))))*AR36)</x:f>
      </x:c>
      <x:c r="AS43" s="107" t="n">
        <x:f>'Вводные'!$N$89*((IF(SUM($D32:$DS32)=0,0,IF(SUM($D35:$DS35)=0,1,'Вводные'!$B$63)))*AS34+(1-(IF(SUM($D32:$DS32)=0,0,IF(SUM($D35:$DS35)=0,1,'Вводные'!$B$63))))*AS36)</x:f>
      </x:c>
      <x:c r="AT43" s="107" t="n">
        <x:f>'Вводные'!$N$89*((IF(SUM($D32:$DS32)=0,0,IF(SUM($D35:$DS35)=0,1,'Вводные'!$B$63)))*AT34+(1-(IF(SUM($D32:$DS32)=0,0,IF(SUM($D35:$DS35)=0,1,'Вводные'!$B$63))))*AT36)</x:f>
      </x:c>
      <x:c r="AU43" s="107" t="n">
        <x:f>'Вводные'!$N$89*((IF(SUM($D32:$DS32)=0,0,IF(SUM($D35:$DS35)=0,1,'Вводные'!$B$63)))*AU34+(1-(IF(SUM($D32:$DS32)=0,0,IF(SUM($D35:$DS35)=0,1,'Вводные'!$B$63))))*AU36)</x:f>
      </x:c>
      <x:c r="AV43" s="107" t="n">
        <x:f>'Вводные'!$N$89*((IF(SUM($D32:$DS32)=0,0,IF(SUM($D35:$DS35)=0,1,'Вводные'!$B$63)))*AV34+(1-(IF(SUM($D32:$DS32)=0,0,IF(SUM($D35:$DS35)=0,1,'Вводные'!$B$63))))*AV36)</x:f>
      </x:c>
      <x:c r="AW43" s="107" t="n">
        <x:f>'Вводные'!$N$89*((IF(SUM($D32:$DS32)=0,0,IF(SUM($D35:$DS35)=0,1,'Вводные'!$B$63)))*AW34+(1-(IF(SUM($D32:$DS32)=0,0,IF(SUM($D35:$DS35)=0,1,'Вводные'!$B$63))))*AW36)</x:f>
      </x:c>
      <x:c r="AX43" s="107" t="n">
        <x:f>'Вводные'!$N$89*((IF(SUM($D32:$DS32)=0,0,IF(SUM($D35:$DS35)=0,1,'Вводные'!$B$63)))*AX34+(1-(IF(SUM($D32:$DS32)=0,0,IF(SUM($D35:$DS35)=0,1,'Вводные'!$B$63))))*AX36)</x:f>
      </x:c>
      <x:c r="AY43" s="107" t="n">
        <x:f>'Вводные'!$N$89*((IF(SUM($D32:$DS32)=0,0,IF(SUM($D35:$DS35)=0,1,'Вводные'!$B$63)))*AY34+(1-(IF(SUM($D32:$DS32)=0,0,IF(SUM($D35:$DS35)=0,1,'Вводные'!$B$63))))*AY36)</x:f>
      </x:c>
      <x:c r="AZ43" s="107" t="n">
        <x:f>'Вводные'!$N$89*((IF(SUM($D32:$DS32)=0,0,IF(SUM($D35:$DS35)=0,1,'Вводные'!$B$63)))*AZ34+(1-(IF(SUM($D32:$DS32)=0,0,IF(SUM($D35:$DS35)=0,1,'Вводные'!$B$63))))*AZ36)</x:f>
      </x:c>
      <x:c r="BA43" s="107" t="n">
        <x:f>'Вводные'!$N$89*((IF(SUM($D32:$DS32)=0,0,IF(SUM($D35:$DS35)=0,1,'Вводные'!$B$63)))*BA34+(1-(IF(SUM($D32:$DS32)=0,0,IF(SUM($D35:$DS35)=0,1,'Вводные'!$B$63))))*BA36)</x:f>
      </x:c>
      <x:c r="BB43" s="107" t="n">
        <x:f>'Вводные'!$N$89*((IF(SUM($D32:$DS32)=0,0,IF(SUM($D35:$DS35)=0,1,'Вводные'!$B$63)))*BB34+(1-(IF(SUM($D32:$DS32)=0,0,IF(SUM($D35:$DS35)=0,1,'Вводные'!$B$63))))*BB36)</x:f>
      </x:c>
      <x:c r="BC43" s="107" t="n">
        <x:f>'Вводные'!$N$89*((IF(SUM($D32:$DS32)=0,0,IF(SUM($D35:$DS35)=0,1,'Вводные'!$B$63)))*BC34+(1-(IF(SUM($D32:$DS32)=0,0,IF(SUM($D35:$DS35)=0,1,'Вводные'!$B$63))))*BC36)</x:f>
      </x:c>
      <x:c r="BD43" s="107" t="n">
        <x:f>'Вводные'!$N$89*((IF(SUM($D32:$DS32)=0,0,IF(SUM($D35:$DS35)=0,1,'Вводные'!$B$63)))*BD34+(1-(IF(SUM($D32:$DS32)=0,0,IF(SUM($D35:$DS35)=0,1,'Вводные'!$B$63))))*BD36)</x:f>
      </x:c>
      <x:c r="BE43" s="107" t="n">
        <x:f>'Вводные'!$N$89*((IF(SUM($D32:$DS32)=0,0,IF(SUM($D35:$DS35)=0,1,'Вводные'!$B$63)))*BE34+(1-(IF(SUM($D32:$DS32)=0,0,IF(SUM($D35:$DS35)=0,1,'Вводные'!$B$63))))*BE36)</x:f>
      </x:c>
      <x:c r="BF43" s="107" t="n">
        <x:f>'Вводные'!$N$89*((IF(SUM($D32:$DS32)=0,0,IF(SUM($D35:$DS35)=0,1,'Вводные'!$B$63)))*BF34+(1-(IF(SUM($D32:$DS32)=0,0,IF(SUM($D35:$DS35)=0,1,'Вводные'!$B$63))))*BF36)</x:f>
      </x:c>
      <x:c r="BG43" s="107" t="n">
        <x:f>'Вводные'!$N$89*((IF(SUM($D32:$DS32)=0,0,IF(SUM($D35:$DS35)=0,1,'Вводные'!$B$63)))*BG34+(1-(IF(SUM($D32:$DS32)=0,0,IF(SUM($D35:$DS35)=0,1,'Вводные'!$B$63))))*BG36)</x:f>
      </x:c>
      <x:c r="BH43" s="107" t="n">
        <x:f>'Вводные'!$N$89*((IF(SUM($D32:$DS32)=0,0,IF(SUM($D35:$DS35)=0,1,'Вводные'!$B$63)))*BH34+(1-(IF(SUM($D32:$DS32)=0,0,IF(SUM($D35:$DS35)=0,1,'Вводные'!$B$63))))*BH36)</x:f>
      </x:c>
      <x:c r="BI43" s="107" t="n">
        <x:f>'Вводные'!$N$89*((IF(SUM($D32:$DS32)=0,0,IF(SUM($D35:$DS35)=0,1,'Вводные'!$B$63)))*BI34+(1-(IF(SUM($D32:$DS32)=0,0,IF(SUM($D35:$DS35)=0,1,'Вводные'!$B$63))))*BI36)</x:f>
      </x:c>
      <x:c r="BJ43" s="107" t="n">
        <x:f>'Вводные'!$N$89*((IF(SUM($D32:$DS32)=0,0,IF(SUM($D35:$DS35)=0,1,'Вводные'!$B$63)))*BJ34+(1-(IF(SUM($D32:$DS32)=0,0,IF(SUM($D35:$DS35)=0,1,'Вводные'!$B$63))))*BJ36)</x:f>
      </x:c>
      <x:c r="BK43" s="107" t="n">
        <x:f>'Вводные'!$N$89*((IF(SUM($D32:$DS32)=0,0,IF(SUM($D35:$DS35)=0,1,'Вводные'!$B$63)))*BK34+(1-(IF(SUM($D32:$DS32)=0,0,IF(SUM($D35:$DS35)=0,1,'Вводные'!$B$63))))*BK36)</x:f>
      </x:c>
      <x:c r="BL43" s="107" t="n">
        <x:f>'Вводные'!$N$89*((IF(SUM($D32:$DS32)=0,0,IF(SUM($D35:$DS35)=0,1,'Вводные'!$B$63)))*BL34+(1-(IF(SUM($D32:$DS32)=0,0,IF(SUM($D35:$DS35)=0,1,'Вводные'!$B$63))))*BL36)</x:f>
      </x:c>
      <x:c r="BM43" s="107" t="n">
        <x:f>'Вводные'!$N$89*((IF(SUM($D32:$DS32)=0,0,IF(SUM($D35:$DS35)=0,1,'Вводные'!$B$63)))*BM34+(1-(IF(SUM($D32:$DS32)=0,0,IF(SUM($D35:$DS35)=0,1,'Вводные'!$B$63))))*BM36)</x:f>
      </x:c>
      <x:c r="BN43" s="107" t="n">
        <x:f>'Вводные'!$N$89*((IF(SUM($D32:$DS32)=0,0,IF(SUM($D35:$DS35)=0,1,'Вводные'!$B$63)))*BN34+(1-(IF(SUM($D32:$DS32)=0,0,IF(SUM($D35:$DS35)=0,1,'Вводные'!$B$63))))*BN36)</x:f>
      </x:c>
      <x:c r="BO43" s="107" t="n">
        <x:f>'Вводные'!$N$89*((IF(SUM($D32:$DS32)=0,0,IF(SUM($D35:$DS35)=0,1,'Вводные'!$B$63)))*BO34+(1-(IF(SUM($D32:$DS32)=0,0,IF(SUM($D35:$DS35)=0,1,'Вводные'!$B$63))))*BO36)</x:f>
      </x:c>
      <x:c r="BP43" s="107" t="n">
        <x:f>'Вводные'!$N$89*((IF(SUM($D32:$DS32)=0,0,IF(SUM($D35:$DS35)=0,1,'Вводные'!$B$63)))*BP34+(1-(IF(SUM($D32:$DS32)=0,0,IF(SUM($D35:$DS35)=0,1,'Вводные'!$B$63))))*BP36)</x:f>
      </x:c>
      <x:c r="BQ43" s="107" t="n">
        <x:f>'Вводные'!$N$89*((IF(SUM($D32:$DS32)=0,0,IF(SUM($D35:$DS35)=0,1,'Вводные'!$B$63)))*BQ34+(1-(IF(SUM($D32:$DS32)=0,0,IF(SUM($D35:$DS35)=0,1,'Вводные'!$B$63))))*BQ36)</x:f>
      </x:c>
      <x:c r="BR43" s="107" t="n">
        <x:f>'Вводные'!$N$89*((IF(SUM($D32:$DS32)=0,0,IF(SUM($D35:$DS35)=0,1,'Вводные'!$B$63)))*BR34+(1-(IF(SUM($D32:$DS32)=0,0,IF(SUM($D35:$DS35)=0,1,'Вводные'!$B$63))))*BR36)</x:f>
      </x:c>
      <x:c r="BS43" s="107" t="n">
        <x:f>'Вводные'!$N$89*((IF(SUM($D32:$DS32)=0,0,IF(SUM($D35:$DS35)=0,1,'Вводные'!$B$63)))*BS34+(1-(IF(SUM($D32:$DS32)=0,0,IF(SUM($D35:$DS35)=0,1,'Вводные'!$B$63))))*BS36)</x:f>
      </x:c>
      <x:c r="BT43" s="107" t="n">
        <x:f>'Вводные'!$N$89*((IF(SUM($D32:$DS32)=0,0,IF(SUM($D35:$DS35)=0,1,'Вводные'!$B$63)))*BT34+(1-(IF(SUM($D32:$DS32)=0,0,IF(SUM($D35:$DS35)=0,1,'Вводные'!$B$63))))*BT36)</x:f>
      </x:c>
      <x:c r="BU43" s="107" t="n">
        <x:f>'Вводные'!$N$89*((IF(SUM($D32:$DS32)=0,0,IF(SUM($D35:$DS35)=0,1,'Вводные'!$B$63)))*BU34+(1-(IF(SUM($D32:$DS32)=0,0,IF(SUM($D35:$DS35)=0,1,'Вводные'!$B$63))))*BU36)</x:f>
      </x:c>
      <x:c r="BV43" s="107" t="n">
        <x:f>'Вводные'!$N$89*((IF(SUM($D32:$DS32)=0,0,IF(SUM($D35:$DS35)=0,1,'Вводные'!$B$63)))*BV34+(1-(IF(SUM($D32:$DS32)=0,0,IF(SUM($D35:$DS35)=0,1,'Вводные'!$B$63))))*BV36)</x:f>
      </x:c>
      <x:c r="BW43" s="107" t="n">
        <x:f>'Вводные'!$N$89*((IF(SUM($D32:$DS32)=0,0,IF(SUM($D35:$DS35)=0,1,'Вводные'!$B$63)))*BW34+(1-(IF(SUM($D32:$DS32)=0,0,IF(SUM($D35:$DS35)=0,1,'Вводные'!$B$63))))*BW36)</x:f>
      </x:c>
      <x:c r="BX43" s="107" t="n">
        <x:f>'Вводные'!$N$89*((IF(SUM($D32:$DS32)=0,0,IF(SUM($D35:$DS35)=0,1,'Вводные'!$B$63)))*BX34+(1-(IF(SUM($D32:$DS32)=0,0,IF(SUM($D35:$DS35)=0,1,'Вводные'!$B$63))))*BX36)</x:f>
      </x:c>
      <x:c r="BY43" s="107" t="n">
        <x:f>'Вводные'!$N$89*((IF(SUM($D32:$DS32)=0,0,IF(SUM($D35:$DS35)=0,1,'Вводные'!$B$63)))*BY34+(1-(IF(SUM($D32:$DS32)=0,0,IF(SUM($D35:$DS35)=0,1,'Вводные'!$B$63))))*BY36)</x:f>
      </x:c>
      <x:c r="BZ43" s="107" t="n">
        <x:f>'Вводные'!$N$89*((IF(SUM($D32:$DS32)=0,0,IF(SUM($D35:$DS35)=0,1,'Вводные'!$B$63)))*BZ34+(1-(IF(SUM($D32:$DS32)=0,0,IF(SUM($D35:$DS35)=0,1,'Вводные'!$B$63))))*BZ36)</x:f>
      </x:c>
      <x:c r="CA43" s="107" t="n">
        <x:f>'Вводные'!$N$89*((IF(SUM($D32:$DS32)=0,0,IF(SUM($D35:$DS35)=0,1,'Вводные'!$B$63)))*CA34+(1-(IF(SUM($D32:$DS32)=0,0,IF(SUM($D35:$DS35)=0,1,'Вводные'!$B$63))))*CA36)</x:f>
      </x:c>
      <x:c r="CB43" s="107" t="n">
        <x:f>'Вводные'!$N$89*((IF(SUM($D32:$DS32)=0,0,IF(SUM($D35:$DS35)=0,1,'Вводные'!$B$63)))*CB34+(1-(IF(SUM($D32:$DS32)=0,0,IF(SUM($D35:$DS35)=0,1,'Вводные'!$B$63))))*CB36)</x:f>
      </x:c>
      <x:c r="CC43" s="107" t="n">
        <x:f>'Вводные'!$N$89*((IF(SUM($D32:$DS32)=0,0,IF(SUM($D35:$DS35)=0,1,'Вводные'!$B$63)))*CC34+(1-(IF(SUM($D32:$DS32)=0,0,IF(SUM($D35:$DS35)=0,1,'Вводные'!$B$63))))*CC36)</x:f>
      </x:c>
      <x:c r="CD43" s="107" t="n">
        <x:f>'Вводные'!$N$89*((IF(SUM($D32:$DS32)=0,0,IF(SUM($D35:$DS35)=0,1,'Вводные'!$B$63)))*CD34+(1-(IF(SUM($D32:$DS32)=0,0,IF(SUM($D35:$DS35)=0,1,'Вводные'!$B$63))))*CD36)</x:f>
      </x:c>
      <x:c r="CE43" s="107" t="n">
        <x:f>'Вводные'!$N$89*((IF(SUM($D32:$DS32)=0,0,IF(SUM($D35:$DS35)=0,1,'Вводные'!$B$63)))*CE34+(1-(IF(SUM($D32:$DS32)=0,0,IF(SUM($D35:$DS35)=0,1,'Вводные'!$B$63))))*CE36)</x:f>
      </x:c>
      <x:c r="CF43" s="107" t="n">
        <x:f>'Вводные'!$N$89*((IF(SUM($D32:$DS32)=0,0,IF(SUM($D35:$DS35)=0,1,'Вводные'!$B$63)))*CF34+(1-(IF(SUM($D32:$DS32)=0,0,IF(SUM($D35:$DS35)=0,1,'Вводные'!$B$63))))*CF36)</x:f>
      </x:c>
      <x:c r="CG43" s="107" t="n">
        <x:f>'Вводные'!$N$89*((IF(SUM($D32:$DS32)=0,0,IF(SUM($D35:$DS35)=0,1,'Вводные'!$B$63)))*CG34+(1-(IF(SUM($D32:$DS32)=0,0,IF(SUM($D35:$DS35)=0,1,'Вводные'!$B$63))))*CG36)</x:f>
      </x:c>
      <x:c r="CH43" s="107" t="n">
        <x:f>'Вводные'!$N$89*((IF(SUM($D32:$DS32)=0,0,IF(SUM($D35:$DS35)=0,1,'Вводные'!$B$63)))*CH34+(1-(IF(SUM($D32:$DS32)=0,0,IF(SUM($D35:$DS35)=0,1,'Вводные'!$B$63))))*CH36)</x:f>
      </x:c>
      <x:c r="CI43" s="107" t="n">
        <x:f>'Вводные'!$N$89*((IF(SUM($D32:$DS32)=0,0,IF(SUM($D35:$DS35)=0,1,'Вводные'!$B$63)))*CI34+(1-(IF(SUM($D32:$DS32)=0,0,IF(SUM($D35:$DS35)=0,1,'Вводные'!$B$63))))*CI36)</x:f>
      </x:c>
      <x:c r="CJ43" s="107" t="n">
        <x:f>'Вводные'!$N$89*((IF(SUM($D32:$DS32)=0,0,IF(SUM($D35:$DS35)=0,1,'Вводные'!$B$63)))*CJ34+(1-(IF(SUM($D32:$DS32)=0,0,IF(SUM($D35:$DS35)=0,1,'Вводные'!$B$63))))*CJ36)</x:f>
      </x:c>
      <x:c r="CK43" s="107" t="n">
        <x:f>'Вводные'!$N$89*((IF(SUM($D32:$DS32)=0,0,IF(SUM($D35:$DS35)=0,1,'Вводные'!$B$63)))*CK34+(1-(IF(SUM($D32:$DS32)=0,0,IF(SUM($D35:$DS35)=0,1,'Вводные'!$B$63))))*CK36)</x:f>
      </x:c>
      <x:c r="CL43" s="107" t="n">
        <x:f>'Вводные'!$N$89*((IF(SUM($D32:$DS32)=0,0,IF(SUM($D35:$DS35)=0,1,'Вводные'!$B$63)))*CL34+(1-(IF(SUM($D32:$DS32)=0,0,IF(SUM($D35:$DS35)=0,1,'Вводные'!$B$63))))*CL36)</x:f>
      </x:c>
      <x:c r="CM43" s="107" t="n">
        <x:f>'Вводные'!$N$89*((IF(SUM($D32:$DS32)=0,0,IF(SUM($D35:$DS35)=0,1,'Вводные'!$B$63)))*CM34+(1-(IF(SUM($D32:$DS32)=0,0,IF(SUM($D35:$DS35)=0,1,'Вводные'!$B$63))))*CM36)</x:f>
      </x:c>
      <x:c r="CN43" s="107" t="n">
        <x:f>'Вводные'!$N$89*((IF(SUM($D32:$DS32)=0,0,IF(SUM($D35:$DS35)=0,1,'Вводные'!$B$63)))*CN34+(1-(IF(SUM($D32:$DS32)=0,0,IF(SUM($D35:$DS35)=0,1,'Вводные'!$B$63))))*CN36)</x:f>
      </x:c>
      <x:c r="CO43" s="107" t="n">
        <x:f>'Вводные'!$N$89*((IF(SUM($D32:$DS32)=0,0,IF(SUM($D35:$DS35)=0,1,'Вводные'!$B$63)))*CO34+(1-(IF(SUM($D32:$DS32)=0,0,IF(SUM($D35:$DS35)=0,1,'Вводные'!$B$63))))*CO36)</x:f>
      </x:c>
      <x:c r="CP43" s="107" t="n">
        <x:f>'Вводные'!$N$89*((IF(SUM($D32:$DS32)=0,0,IF(SUM($D35:$DS35)=0,1,'Вводные'!$B$63)))*CP34+(1-(IF(SUM($D32:$DS32)=0,0,IF(SUM($D35:$DS35)=0,1,'Вводные'!$B$63))))*CP36)</x:f>
      </x:c>
      <x:c r="CQ43" s="107" t="n">
        <x:f>'Вводные'!$N$89*((IF(SUM($D32:$DS32)=0,0,IF(SUM($D35:$DS35)=0,1,'Вводные'!$B$63)))*CQ34+(1-(IF(SUM($D32:$DS32)=0,0,IF(SUM($D35:$DS35)=0,1,'Вводные'!$B$63))))*CQ36)</x:f>
      </x:c>
      <x:c r="CR43" s="107" t="n">
        <x:f>'Вводные'!$N$89*((IF(SUM($D32:$DS32)=0,0,IF(SUM($D35:$DS35)=0,1,'Вводные'!$B$63)))*CR34+(1-(IF(SUM($D32:$DS32)=0,0,IF(SUM($D35:$DS35)=0,1,'Вводные'!$B$63))))*CR36)</x:f>
      </x:c>
      <x:c r="CS43" s="107" t="n">
        <x:f>'Вводные'!$N$89*((IF(SUM($D32:$DS32)=0,0,IF(SUM($D35:$DS35)=0,1,'Вводные'!$B$63)))*CS34+(1-(IF(SUM($D32:$DS32)=0,0,IF(SUM($D35:$DS35)=0,1,'Вводные'!$B$63))))*CS36)</x:f>
      </x:c>
      <x:c r="CT43" s="107" t="n">
        <x:f>'Вводные'!$N$89*((IF(SUM($D32:$DS32)=0,0,IF(SUM($D35:$DS35)=0,1,'Вводные'!$B$63)))*CT34+(1-(IF(SUM($D32:$DS32)=0,0,IF(SUM($D35:$DS35)=0,1,'Вводные'!$B$63))))*CT36)</x:f>
      </x:c>
      <x:c r="CU43" s="107" t="n">
        <x:f>'Вводные'!$N$89*((IF(SUM($D32:$DS32)=0,0,IF(SUM($D35:$DS35)=0,1,'Вводные'!$B$63)))*CU34+(1-(IF(SUM($D32:$DS32)=0,0,IF(SUM($D35:$DS35)=0,1,'Вводные'!$B$63))))*CU36)</x:f>
      </x:c>
      <x:c r="CV43" s="107" t="n">
        <x:f>'Вводные'!$N$89*((IF(SUM($D32:$DS32)=0,0,IF(SUM($D35:$DS35)=0,1,'Вводные'!$B$63)))*CV34+(1-(IF(SUM($D32:$DS32)=0,0,IF(SUM($D35:$DS35)=0,1,'Вводные'!$B$63))))*CV36)</x:f>
      </x:c>
      <x:c r="CW43" s="107" t="n">
        <x:f>'Вводные'!$N$89*((IF(SUM($D32:$DS32)=0,0,IF(SUM($D35:$DS35)=0,1,'Вводные'!$B$63)))*CW34+(1-(IF(SUM($D32:$DS32)=0,0,IF(SUM($D35:$DS35)=0,1,'Вводные'!$B$63))))*CW36)</x:f>
      </x:c>
      <x:c r="CX43" s="107" t="n">
        <x:f>'Вводные'!$N$89*((IF(SUM($D32:$DS32)=0,0,IF(SUM($D35:$DS35)=0,1,'Вводные'!$B$63)))*CX34+(1-(IF(SUM($D32:$DS32)=0,0,IF(SUM($D35:$DS35)=0,1,'Вводные'!$B$63))))*CX36)</x:f>
      </x:c>
      <x:c r="CY43" s="107" t="n">
        <x:f>'Вводные'!$N$89*((IF(SUM($D32:$DS32)=0,0,IF(SUM($D35:$DS35)=0,1,'Вводные'!$B$63)))*CY34+(1-(IF(SUM($D32:$DS32)=0,0,IF(SUM($D35:$DS35)=0,1,'Вводные'!$B$63))))*CY36)</x:f>
      </x:c>
      <x:c r="CZ43" s="107" t="n">
        <x:f>'Вводные'!$N$89*((IF(SUM($D32:$DS32)=0,0,IF(SUM($D35:$DS35)=0,1,'Вводные'!$B$63)))*CZ34+(1-(IF(SUM($D32:$DS32)=0,0,IF(SUM($D35:$DS35)=0,1,'Вводные'!$B$63))))*CZ36)</x:f>
      </x:c>
      <x:c r="DA43" s="107" t="n">
        <x:f>'Вводные'!$N$89*((IF(SUM($D32:$DS32)=0,0,IF(SUM($D35:$DS35)=0,1,'Вводные'!$B$63)))*DA34+(1-(IF(SUM($D32:$DS32)=0,0,IF(SUM($D35:$DS35)=0,1,'Вводные'!$B$63))))*DA36)</x:f>
      </x:c>
      <x:c r="DB43" s="107" t="n">
        <x:f>'Вводные'!$N$89*((IF(SUM($D32:$DS32)=0,0,IF(SUM($D35:$DS35)=0,1,'Вводные'!$B$63)))*DB34+(1-(IF(SUM($D32:$DS32)=0,0,IF(SUM($D35:$DS35)=0,1,'Вводные'!$B$63))))*DB36)</x:f>
      </x:c>
      <x:c r="DC43" s="107" t="n">
        <x:f>'Вводные'!$N$89*((IF(SUM($D32:$DS32)=0,0,IF(SUM($D35:$DS35)=0,1,'Вводные'!$B$63)))*DC34+(1-(IF(SUM($D32:$DS32)=0,0,IF(SUM($D35:$DS35)=0,1,'Вводные'!$B$63))))*DC36)</x:f>
      </x:c>
      <x:c r="DD43" s="107" t="n">
        <x:f>'Вводные'!$N$89*((IF(SUM($D32:$DS32)=0,0,IF(SUM($D35:$DS35)=0,1,'Вводные'!$B$63)))*DD34+(1-(IF(SUM($D32:$DS32)=0,0,IF(SUM($D35:$DS35)=0,1,'Вводные'!$B$63))))*DD36)</x:f>
      </x:c>
      <x:c r="DE43" s="107" t="n">
        <x:f>'Вводные'!$N$89*((IF(SUM($D32:$DS32)=0,0,IF(SUM($D35:$DS35)=0,1,'Вводные'!$B$63)))*DE34+(1-(IF(SUM($D32:$DS32)=0,0,IF(SUM($D35:$DS35)=0,1,'Вводные'!$B$63))))*DE36)</x:f>
      </x:c>
      <x:c r="DF43" s="107" t="n">
        <x:f>'Вводные'!$N$89*((IF(SUM($D32:$DS32)=0,0,IF(SUM($D35:$DS35)=0,1,'Вводные'!$B$63)))*DF34+(1-(IF(SUM($D32:$DS32)=0,0,IF(SUM($D35:$DS35)=0,1,'Вводные'!$B$63))))*DF36)</x:f>
      </x:c>
      <x:c r="DG43" s="107" t="n">
        <x:f>'Вводные'!$N$89*((IF(SUM($D32:$DS32)=0,0,IF(SUM($D35:$DS35)=0,1,'Вводные'!$B$63)))*DG34+(1-(IF(SUM($D32:$DS32)=0,0,IF(SUM($D35:$DS35)=0,1,'Вводные'!$B$63))))*DG36)</x:f>
      </x:c>
      <x:c r="DH43" s="107" t="n">
        <x:f>'Вводные'!$N$89*((IF(SUM($D32:$DS32)=0,0,IF(SUM($D35:$DS35)=0,1,'Вводные'!$B$63)))*DH34+(1-(IF(SUM($D32:$DS32)=0,0,IF(SUM($D35:$DS35)=0,1,'Вводные'!$B$63))))*DH36)</x:f>
      </x:c>
      <x:c r="DI43" s="107" t="n">
        <x:f>'Вводные'!$N$89*((IF(SUM($D32:$DS32)=0,0,IF(SUM($D35:$DS35)=0,1,'Вводные'!$B$63)))*DI34+(1-(IF(SUM($D32:$DS32)=0,0,IF(SUM($D35:$DS35)=0,1,'Вводные'!$B$63))))*DI36)</x:f>
      </x:c>
      <x:c r="DJ43" s="107" t="n">
        <x:f>'Вводные'!$N$89*((IF(SUM($D32:$DS32)=0,0,IF(SUM($D35:$DS35)=0,1,'Вводные'!$B$63)))*DJ34+(1-(IF(SUM($D32:$DS32)=0,0,IF(SUM($D35:$DS35)=0,1,'Вводные'!$B$63))))*DJ36)</x:f>
      </x:c>
      <x:c r="DK43" s="107" t="n">
        <x:f>'Вводные'!$N$89*((IF(SUM($D32:$DS32)=0,0,IF(SUM($D35:$DS35)=0,1,'Вводные'!$B$63)))*DK34+(1-(IF(SUM($D32:$DS32)=0,0,IF(SUM($D35:$DS35)=0,1,'Вводные'!$B$63))))*DK36)</x:f>
      </x:c>
      <x:c r="DL43" s="107" t="n">
        <x:f>'Вводные'!$N$89*((IF(SUM($D32:$DS32)=0,0,IF(SUM($D35:$DS35)=0,1,'Вводные'!$B$63)))*DL34+(1-(IF(SUM($D32:$DS32)=0,0,IF(SUM($D35:$DS35)=0,1,'Вводные'!$B$63))))*DL36)</x:f>
      </x:c>
      <x:c r="DM43" s="107" t="n">
        <x:f>'Вводные'!$N$89*((IF(SUM($D32:$DS32)=0,0,IF(SUM($D35:$DS35)=0,1,'Вводные'!$B$63)))*DM34+(1-(IF(SUM($D32:$DS32)=0,0,IF(SUM($D35:$DS35)=0,1,'Вводные'!$B$63))))*DM36)</x:f>
      </x:c>
      <x:c r="DN43" s="107" t="n">
        <x:f>'Вводные'!$N$89*((IF(SUM($D32:$DS32)=0,0,IF(SUM($D35:$DS35)=0,1,'Вводные'!$B$63)))*DN34+(1-(IF(SUM($D32:$DS32)=0,0,IF(SUM($D35:$DS35)=0,1,'Вводные'!$B$63))))*DN36)</x:f>
      </x:c>
      <x:c r="DO43" s="107" t="n">
        <x:f>'Вводные'!$N$89*((IF(SUM($D32:$DS32)=0,0,IF(SUM($D35:$DS35)=0,1,'Вводные'!$B$63)))*DO34+(1-(IF(SUM($D32:$DS32)=0,0,IF(SUM($D35:$DS35)=0,1,'Вводные'!$B$63))))*DO36)</x:f>
      </x:c>
      <x:c r="DP43" s="107" t="n">
        <x:f>'Вводные'!$N$89*((IF(SUM($D32:$DS32)=0,0,IF(SUM($D35:$DS35)=0,1,'Вводные'!$B$63)))*DP34+(1-(IF(SUM($D32:$DS32)=0,0,IF(SUM($D35:$DS35)=0,1,'Вводные'!$B$63))))*DP36)</x:f>
      </x:c>
      <x:c r="DQ43" s="107" t="n">
        <x:f>'Вводные'!$N$89*((IF(SUM($D32:$DS32)=0,0,IF(SUM($D35:$DS35)=0,1,'Вводные'!$B$63)))*DQ34+(1-(IF(SUM($D32:$DS32)=0,0,IF(SUM($D35:$DS35)=0,1,'Вводные'!$B$63))))*DQ36)</x:f>
      </x:c>
      <x:c r="DR43" s="107" t="n">
        <x:f>'Вводные'!$N$89*((IF(SUM($D32:$DS32)=0,0,IF(SUM($D35:$DS35)=0,1,'Вводные'!$B$63)))*DR34+(1-(IF(SUM($D32:$DS32)=0,0,IF(SUM($D35:$DS35)=0,1,'Вводные'!$B$63))))*DR36)</x:f>
      </x:c>
      <x:c r="DS43" s="107" t="n">
        <x:f>'Вводные'!$N$89*((IF(SUM($D32:$DS32)=0,0,IF(SUM($D35:$DS35)=0,1,'Вводные'!$B$63)))*DS34+(1-(IF(SUM($D32:$DS32)=0,0,IF(SUM($D35:$DS35)=0,1,'Вводные'!$B$63))))*DS36)</x:f>
      </x:c>
    </x:row>
    <x:row r="44">
      <x:c r="A44" t="str">
        <x:v>Паркинг — цена</x:v>
      </x:c>
      <x:c r="B44" t="n">
        <x:f>IFERROR(B45*1000/B43,0)</x:f>
      </x:c>
      <x:c r="C44" t="str">
        <x:v>тыс. ₽/шт.</x:v>
      </x:c>
      <x:c r="D44" s="107" t="n">
        <x:f>IF(D43=0,0,'Вводные'!$B$61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4" s="107" t="n">
        <x:f>IF(E43=0,0,'Вводные'!$B$61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4" s="107" t="n">
        <x:f>IF(F43=0,0,'Вводные'!$B$61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4" s="107" t="n">
        <x:f>IF(G43=0,0,'Вводные'!$B$61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4" s="107" t="n">
        <x:f>IF(H43=0,0,'Вводные'!$B$61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4" s="107" t="n">
        <x:f>IF(I43=0,0,'Вводные'!$B$61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4" s="107" t="n">
        <x:f>IF(J43=0,0,'Вводные'!$B$61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4" s="107" t="n">
        <x:f>IF(K43=0,0,'Вводные'!$B$61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4" s="107" t="n">
        <x:f>IF(L43=0,0,'Вводные'!$B$61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4" s="107" t="n">
        <x:f>IF(M43=0,0,'Вводные'!$B$61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4" s="107" t="n">
        <x:f>IF(N43=0,0,'Вводные'!$B$61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4" s="107" t="n">
        <x:f>IF(O43=0,0,'Вводные'!$B$61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4" s="107" t="n">
        <x:f>IF(P43=0,0,'Вводные'!$B$61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4" s="107" t="n">
        <x:f>IF(Q43=0,0,'Вводные'!$B$61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4" s="107" t="n">
        <x:f>IF(R43=0,0,'Вводные'!$B$61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4" s="107" t="n">
        <x:f>IF(S43=0,0,'Вводные'!$B$61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4" s="107" t="n">
        <x:f>IF(T43=0,0,'Вводные'!$B$61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4" s="107" t="n">
        <x:f>IF(U43=0,0,'Вводные'!$B$61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4" s="107" t="n">
        <x:f>IF(V43=0,0,'Вводные'!$B$61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4" s="107" t="n">
        <x:f>IF(W43=0,0,'Вводные'!$B$61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4" s="107" t="n">
        <x:f>IF(X43=0,0,'Вводные'!$B$61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4" s="107" t="n">
        <x:f>IF(Y43=0,0,'Вводные'!$B$61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4" s="107" t="n">
        <x:f>IF(Z43=0,0,'Вводные'!$B$61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4" s="107" t="n">
        <x:f>IF(AA43=0,0,'Вводные'!$B$61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4" s="107" t="n">
        <x:f>IF(AB43=0,0,'Вводные'!$B$61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4" s="107" t="n">
        <x:f>IF(AC43=0,0,'Вводные'!$B$61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4" s="107" t="n">
        <x:f>IF(AD43=0,0,'Вводные'!$B$61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4" s="107" t="n">
        <x:f>IF(AE43=0,0,'Вводные'!$B$61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4" s="107" t="n">
        <x:f>IF(AF43=0,0,'Вводные'!$B$61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4" s="107" t="n">
        <x:f>IF(AG43=0,0,'Вводные'!$B$61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4" s="107" t="n">
        <x:f>IF(AH43=0,0,'Вводные'!$B$61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4" s="107" t="n">
        <x:f>IF(AI43=0,0,'Вводные'!$B$61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4" s="107" t="n">
        <x:f>IF(AJ43=0,0,'Вводные'!$B$61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4" s="107" t="n">
        <x:f>IF(AK43=0,0,'Вводные'!$B$61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4" s="107" t="n">
        <x:f>IF(AL43=0,0,'Вводные'!$B$61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4" s="107" t="n">
        <x:f>IF(AM43=0,0,'Вводные'!$B$61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4" s="107" t="n">
        <x:f>IF(AN43=0,0,'Вводные'!$B$61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4" s="107" t="n">
        <x:f>IF(AO43=0,0,'Вводные'!$B$61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4" s="107" t="n">
        <x:f>IF(AP43=0,0,'Вводные'!$B$61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4" s="107" t="n">
        <x:f>IF(AQ43=0,0,'Вводные'!$B$61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4" s="107" t="n">
        <x:f>IF(AR43=0,0,'Вводные'!$B$61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4" s="107" t="n">
        <x:f>IF(AS43=0,0,'Вводные'!$B$61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4" s="107" t="n">
        <x:f>IF(AT43=0,0,'Вводные'!$B$61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4" s="107" t="n">
        <x:f>IF(AU43=0,0,'Вводные'!$B$61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4" s="107" t="n">
        <x:f>IF(AV43=0,0,'Вводные'!$B$61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4" s="107" t="n">
        <x:f>IF(AW43=0,0,'Вводные'!$B$61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4" s="107" t="n">
        <x:f>IF(AX43=0,0,'Вводные'!$B$61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4" s="107" t="n">
        <x:f>IF(AY43=0,0,'Вводные'!$B$61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4" s="107" t="n">
        <x:f>IF(AZ43=0,0,'Вводные'!$B$61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4" s="107" t="n">
        <x:f>IF(BA43=0,0,'Вводные'!$B$61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4" s="107" t="n">
        <x:f>IF(BB43=0,0,'Вводные'!$B$61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4" s="107" t="n">
        <x:f>IF(BC43=0,0,'Вводные'!$B$61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4" s="107" t="n">
        <x:f>IF(BD43=0,0,'Вводные'!$B$61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4" s="107" t="n">
        <x:f>IF(BE43=0,0,'Вводные'!$B$61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4" s="107" t="n">
        <x:f>IF(BF43=0,0,'Вводные'!$B$61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4" s="107" t="n">
        <x:f>IF(BG43=0,0,'Вводные'!$B$61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4" s="107" t="n">
        <x:f>IF(BH43=0,0,'Вводные'!$B$61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4" s="107" t="n">
        <x:f>IF(BI43=0,0,'Вводные'!$B$61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4" s="107" t="n">
        <x:f>IF(BJ43=0,0,'Вводные'!$B$61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4" s="107" t="n">
        <x:f>IF(BK43=0,0,'Вводные'!$B$61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4" s="107" t="n">
        <x:f>IF(BL43=0,0,'Вводные'!$B$61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4" s="107" t="n">
        <x:f>IF(BM43=0,0,'Вводные'!$B$61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4" s="107" t="n">
        <x:f>IF(BN43=0,0,'Вводные'!$B$61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4" s="107" t="n">
        <x:f>IF(BO43=0,0,'Вводные'!$B$61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4" s="107" t="n">
        <x:f>IF(BP43=0,0,'Вводные'!$B$61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4" s="107" t="n">
        <x:f>IF(BQ43=0,0,'Вводные'!$B$61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4" s="107" t="n">
        <x:f>IF(BR43=0,0,'Вводные'!$B$61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4" s="107" t="n">
        <x:f>IF(BS43=0,0,'Вводные'!$B$61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4" s="107" t="n">
        <x:f>IF(BT43=0,0,'Вводные'!$B$61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4" s="107" t="n">
        <x:f>IF(BU43=0,0,'Вводные'!$B$61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4" s="107" t="n">
        <x:f>IF(BV43=0,0,'Вводные'!$B$61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4" s="107" t="n">
        <x:f>IF(BW43=0,0,'Вводные'!$B$61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4" s="107" t="n">
        <x:f>IF(BX43=0,0,'Вводные'!$B$61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4" s="107" t="n">
        <x:f>IF(BY43=0,0,'Вводные'!$B$61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4" s="107" t="n">
        <x:f>IF(BZ43=0,0,'Вводные'!$B$61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4" s="107" t="n">
        <x:f>IF(CA43=0,0,'Вводные'!$B$61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4" s="107" t="n">
        <x:f>IF(CB43=0,0,'Вводные'!$B$61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4" s="107" t="n">
        <x:f>IF(CC43=0,0,'Вводные'!$B$61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4" s="107" t="n">
        <x:f>IF(CD43=0,0,'Вводные'!$B$61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4" s="107" t="n">
        <x:f>IF(CE43=0,0,'Вводные'!$B$61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4" s="107" t="n">
        <x:f>IF(CF43=0,0,'Вводные'!$B$61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4" s="107" t="n">
        <x:f>IF(CG43=0,0,'Вводные'!$B$61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4" s="107" t="n">
        <x:f>IF(CH43=0,0,'Вводные'!$B$61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4" s="107" t="n">
        <x:f>IF(CI43=0,0,'Вводные'!$B$61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4" s="107" t="n">
        <x:f>IF(CJ43=0,0,'Вводные'!$B$61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4" s="107" t="n">
        <x:f>IF(CK43=0,0,'Вводные'!$B$61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4" s="107" t="n">
        <x:f>IF(CL43=0,0,'Вводные'!$B$61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4" s="107" t="n">
        <x:f>IF(CM43=0,0,'Вводные'!$B$61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4" s="107" t="n">
        <x:f>IF(CN43=0,0,'Вводные'!$B$61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4" s="107" t="n">
        <x:f>IF(CO43=0,0,'Вводные'!$B$61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4" s="107" t="n">
        <x:f>IF(CP43=0,0,'Вводные'!$B$61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4" s="107" t="n">
        <x:f>IF(CQ43=0,0,'Вводные'!$B$61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4" s="107" t="n">
        <x:f>IF(CR43=0,0,'Вводные'!$B$61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4" s="107" t="n">
        <x:f>IF(CS43=0,0,'Вводные'!$B$61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4" s="107" t="n">
        <x:f>IF(CT43=0,0,'Вводные'!$B$61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4" s="107" t="n">
        <x:f>IF(CU43=0,0,'Вводные'!$B$61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4" s="107" t="n">
        <x:f>IF(CV43=0,0,'Вводные'!$B$61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4" s="107" t="n">
        <x:f>IF(CW43=0,0,'Вводные'!$B$61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4" s="107" t="n">
        <x:f>IF(CX43=0,0,'Вводные'!$B$61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4" s="107" t="n">
        <x:f>IF(CY43=0,0,'Вводные'!$B$61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4" s="107" t="n">
        <x:f>IF(CZ43=0,0,'Вводные'!$B$61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4" s="107" t="n">
        <x:f>IF(DA43=0,0,'Вводные'!$B$61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4" s="107" t="n">
        <x:f>IF(DB43=0,0,'Вводные'!$B$61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4" s="107" t="n">
        <x:f>IF(DC43=0,0,'Вводные'!$B$61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4" s="107" t="n">
        <x:f>IF(DD43=0,0,'Вводные'!$B$61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4" s="107" t="n">
        <x:f>IF(DE43=0,0,'Вводные'!$B$61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4" s="107" t="n">
        <x:f>IF(DF43=0,0,'Вводные'!$B$61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4" s="107" t="n">
        <x:f>IF(DG43=0,0,'Вводные'!$B$61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4" s="107" t="n">
        <x:f>IF(DH43=0,0,'Вводные'!$B$61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4" s="107" t="n">
        <x:f>IF(DI43=0,0,'Вводные'!$B$61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4" s="107" t="n">
        <x:f>IF(DJ43=0,0,'Вводные'!$B$61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4" s="107" t="n">
        <x:f>IF(DK43=0,0,'Вводные'!$B$61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4" s="107" t="n">
        <x:f>IF(DL43=0,0,'Вводные'!$B$61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4" s="107" t="n">
        <x:f>IF(DM43=0,0,'Вводные'!$B$61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4" s="107" t="n">
        <x:f>IF(DN43=0,0,'Вводные'!$B$61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4" s="107" t="n">
        <x:f>IF(DO43=0,0,'Вводные'!$B$61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4" s="107" t="n">
        <x:f>IF(DP43=0,0,'Вводные'!$B$61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4" s="107" t="n">
        <x:f>IF(DQ43=0,0,'Вводные'!$B$61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4" s="107" t="n">
        <x:f>IF(DR43=0,0,'Вводные'!$B$61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4" s="107" t="n">
        <x:f>IF(DS43=0,0,'Вводные'!$B$61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5">
      <x:c r="A45" t="str">
        <x:v>Паркинг — выручка</x:v>
      </x:c>
      <x:c r="B45" t="n">
        <x:f>SUM(D45:DS45)</x:f>
      </x:c>
      <x:c r="C45" t="str">
        <x:v>млн ₽</x:v>
      </x:c>
      <x:c r="D45" s="107" t="n">
        <x:f>D43*D44/1000</x:f>
      </x:c>
      <x:c r="E45" s="107" t="n">
        <x:f>E43*E44/1000</x:f>
      </x:c>
      <x:c r="F45" s="107" t="n">
        <x:f>F43*F44/1000</x:f>
      </x:c>
      <x:c r="G45" s="107" t="n">
        <x:f>G43*G44/1000</x:f>
      </x:c>
      <x:c r="H45" s="107" t="n">
        <x:f>H43*H44/1000</x:f>
      </x:c>
      <x:c r="I45" s="107" t="n">
        <x:f>I43*I44/1000</x:f>
      </x:c>
      <x:c r="J45" s="107" t="n">
        <x:f>J43*J44/1000</x:f>
      </x:c>
      <x:c r="K45" s="107" t="n">
        <x:f>K43*K44/1000</x:f>
      </x:c>
      <x:c r="L45" s="107" t="n">
        <x:f>L43*L44/1000</x:f>
      </x:c>
      <x:c r="M45" s="107" t="n">
        <x:f>M43*M44/1000</x:f>
      </x:c>
      <x:c r="N45" s="107" t="n">
        <x:f>N43*N44/1000</x:f>
      </x:c>
      <x:c r="O45" s="107" t="n">
        <x:f>O43*O44/1000</x:f>
      </x:c>
      <x:c r="P45" s="107" t="n">
        <x:f>P43*P44/1000</x:f>
      </x:c>
      <x:c r="Q45" s="107" t="n">
        <x:f>Q43*Q44/1000</x:f>
      </x:c>
      <x:c r="R45" s="107" t="n">
        <x:f>R43*R44/1000</x:f>
      </x:c>
      <x:c r="S45" s="107" t="n">
        <x:f>S43*S44/1000</x:f>
      </x:c>
      <x:c r="T45" s="107" t="n">
        <x:f>T43*T44/1000</x:f>
      </x:c>
      <x:c r="U45" s="107" t="n">
        <x:f>U43*U44/1000</x:f>
      </x:c>
      <x:c r="V45" s="107" t="n">
        <x:f>V43*V44/1000</x:f>
      </x:c>
      <x:c r="W45" s="107" t="n">
        <x:f>W43*W44/1000</x:f>
      </x:c>
      <x:c r="X45" s="107" t="n">
        <x:f>X43*X44/1000</x:f>
      </x:c>
      <x:c r="Y45" s="107" t="n">
        <x:f>Y43*Y44/1000</x:f>
      </x:c>
      <x:c r="Z45" s="107" t="n">
        <x:f>Z43*Z44/1000</x:f>
      </x:c>
      <x:c r="AA45" s="107" t="n">
        <x:f>AA43*AA44/1000</x:f>
      </x:c>
      <x:c r="AB45" s="107" t="n">
        <x:f>AB43*AB44/1000</x:f>
      </x:c>
      <x:c r="AC45" s="107" t="n">
        <x:f>AC43*AC44/1000</x:f>
      </x:c>
      <x:c r="AD45" s="107" t="n">
        <x:f>AD43*AD44/1000</x:f>
      </x:c>
      <x:c r="AE45" s="107" t="n">
        <x:f>AE43*AE44/1000</x:f>
      </x:c>
      <x:c r="AF45" s="107" t="n">
        <x:f>AF43*AF44/1000</x:f>
      </x:c>
      <x:c r="AG45" s="107" t="n">
        <x:f>AG43*AG44/1000</x:f>
      </x:c>
      <x:c r="AH45" s="107" t="n">
        <x:f>AH43*AH44/1000</x:f>
      </x:c>
      <x:c r="AI45" s="107" t="n">
        <x:f>AI43*AI44/1000</x:f>
      </x:c>
      <x:c r="AJ45" s="107" t="n">
        <x:f>AJ43*AJ44/1000</x:f>
      </x:c>
      <x:c r="AK45" s="107" t="n">
        <x:f>AK43*AK44/1000</x:f>
      </x:c>
      <x:c r="AL45" s="107" t="n">
        <x:f>AL43*AL44/1000</x:f>
      </x:c>
      <x:c r="AM45" s="107" t="n">
        <x:f>AM43*AM44/1000</x:f>
      </x:c>
      <x:c r="AN45" s="107" t="n">
        <x:f>AN43*AN44/1000</x:f>
      </x:c>
      <x:c r="AO45" s="107" t="n">
        <x:f>AO43*AO44/1000</x:f>
      </x:c>
      <x:c r="AP45" s="107" t="n">
        <x:f>AP43*AP44/1000</x:f>
      </x:c>
      <x:c r="AQ45" s="107" t="n">
        <x:f>AQ43*AQ44/1000</x:f>
      </x:c>
      <x:c r="AR45" s="107" t="n">
        <x:f>AR43*AR44/1000</x:f>
      </x:c>
      <x:c r="AS45" s="107" t="n">
        <x:f>AS43*AS44/1000</x:f>
      </x:c>
      <x:c r="AT45" s="107" t="n">
        <x:f>AT43*AT44/1000</x:f>
      </x:c>
      <x:c r="AU45" s="107" t="n">
        <x:f>AU43*AU44/1000</x:f>
      </x:c>
      <x:c r="AV45" s="107" t="n">
        <x:f>AV43*AV44/1000</x:f>
      </x:c>
      <x:c r="AW45" s="107" t="n">
        <x:f>AW43*AW44/1000</x:f>
      </x:c>
      <x:c r="AX45" s="107" t="n">
        <x:f>AX43*AX44/1000</x:f>
      </x:c>
      <x:c r="AY45" s="107" t="n">
        <x:f>AY43*AY44/1000</x:f>
      </x:c>
      <x:c r="AZ45" s="107" t="n">
        <x:f>AZ43*AZ44/1000</x:f>
      </x:c>
      <x:c r="BA45" s="107" t="n">
        <x:f>BA43*BA44/1000</x:f>
      </x:c>
      <x:c r="BB45" s="107" t="n">
        <x:f>BB43*BB44/1000</x:f>
      </x:c>
      <x:c r="BC45" s="107" t="n">
        <x:f>BC43*BC44/1000</x:f>
      </x:c>
      <x:c r="BD45" s="107" t="n">
        <x:f>BD43*BD44/1000</x:f>
      </x:c>
      <x:c r="BE45" s="107" t="n">
        <x:f>BE43*BE44/1000</x:f>
      </x:c>
      <x:c r="BF45" s="107" t="n">
        <x:f>BF43*BF44/1000</x:f>
      </x:c>
      <x:c r="BG45" s="107" t="n">
        <x:f>BG43*BG44/1000</x:f>
      </x:c>
      <x:c r="BH45" s="107" t="n">
        <x:f>BH43*BH44/1000</x:f>
      </x:c>
      <x:c r="BI45" s="107" t="n">
        <x:f>BI43*BI44/1000</x:f>
      </x:c>
      <x:c r="BJ45" s="107" t="n">
        <x:f>BJ43*BJ44/1000</x:f>
      </x:c>
      <x:c r="BK45" s="107" t="n">
        <x:f>BK43*BK44/1000</x:f>
      </x:c>
      <x:c r="BL45" s="107" t="n">
        <x:f>BL43*BL44/1000</x:f>
      </x:c>
      <x:c r="BM45" s="107" t="n">
        <x:f>BM43*BM44/1000</x:f>
      </x:c>
      <x:c r="BN45" s="107" t="n">
        <x:f>BN43*BN44/1000</x:f>
      </x:c>
      <x:c r="BO45" s="107" t="n">
        <x:f>BO43*BO44/1000</x:f>
      </x:c>
      <x:c r="BP45" s="107" t="n">
        <x:f>BP43*BP44/1000</x:f>
      </x:c>
      <x:c r="BQ45" s="107" t="n">
        <x:f>BQ43*BQ44/1000</x:f>
      </x:c>
      <x:c r="BR45" s="107" t="n">
        <x:f>BR43*BR44/1000</x:f>
      </x:c>
      <x:c r="BS45" s="107" t="n">
        <x:f>BS43*BS44/1000</x:f>
      </x:c>
      <x:c r="BT45" s="107" t="n">
        <x:f>BT43*BT44/1000</x:f>
      </x:c>
      <x:c r="BU45" s="107" t="n">
        <x:f>BU43*BU44/1000</x:f>
      </x:c>
      <x:c r="BV45" s="107" t="n">
        <x:f>BV43*BV44/1000</x:f>
      </x:c>
      <x:c r="BW45" s="107" t="n">
        <x:f>BW43*BW44/1000</x:f>
      </x:c>
      <x:c r="BX45" s="107" t="n">
        <x:f>BX43*BX44/1000</x:f>
      </x:c>
      <x:c r="BY45" s="107" t="n">
        <x:f>BY43*BY44/1000</x:f>
      </x:c>
      <x:c r="BZ45" s="107" t="n">
        <x:f>BZ43*BZ44/1000</x:f>
      </x:c>
      <x:c r="CA45" s="107" t="n">
        <x:f>CA43*CA44/1000</x:f>
      </x:c>
      <x:c r="CB45" s="107" t="n">
        <x:f>CB43*CB44/1000</x:f>
      </x:c>
      <x:c r="CC45" s="107" t="n">
        <x:f>CC43*CC44/1000</x:f>
      </x:c>
      <x:c r="CD45" s="107" t="n">
        <x:f>CD43*CD44/1000</x:f>
      </x:c>
      <x:c r="CE45" s="107" t="n">
        <x:f>CE43*CE44/1000</x:f>
      </x:c>
      <x:c r="CF45" s="107" t="n">
        <x:f>CF43*CF44/1000</x:f>
      </x:c>
      <x:c r="CG45" s="107" t="n">
        <x:f>CG43*CG44/1000</x:f>
      </x:c>
      <x:c r="CH45" s="107" t="n">
        <x:f>CH43*CH44/1000</x:f>
      </x:c>
      <x:c r="CI45" s="107" t="n">
        <x:f>CI43*CI44/1000</x:f>
      </x:c>
      <x:c r="CJ45" s="107" t="n">
        <x:f>CJ43*CJ44/1000</x:f>
      </x:c>
      <x:c r="CK45" s="107" t="n">
        <x:f>CK43*CK44/1000</x:f>
      </x:c>
      <x:c r="CL45" s="107" t="n">
        <x:f>CL43*CL44/1000</x:f>
      </x:c>
      <x:c r="CM45" s="107" t="n">
        <x:f>CM43*CM44/1000</x:f>
      </x:c>
      <x:c r="CN45" s="107" t="n">
        <x:f>CN43*CN44/1000</x:f>
      </x:c>
      <x:c r="CO45" s="107" t="n">
        <x:f>CO43*CO44/1000</x:f>
      </x:c>
      <x:c r="CP45" s="107" t="n">
        <x:f>CP43*CP44/1000</x:f>
      </x:c>
      <x:c r="CQ45" s="107" t="n">
        <x:f>CQ43*CQ44/1000</x:f>
      </x:c>
      <x:c r="CR45" s="107" t="n">
        <x:f>CR43*CR44/1000</x:f>
      </x:c>
      <x:c r="CS45" s="107" t="n">
        <x:f>CS43*CS44/1000</x:f>
      </x:c>
      <x:c r="CT45" s="107" t="n">
        <x:f>CT43*CT44/1000</x:f>
      </x:c>
      <x:c r="CU45" s="107" t="n">
        <x:f>CU43*CU44/1000</x:f>
      </x:c>
      <x:c r="CV45" s="107" t="n">
        <x:f>CV43*CV44/1000</x:f>
      </x:c>
      <x:c r="CW45" s="107" t="n">
        <x:f>CW43*CW44/1000</x:f>
      </x:c>
      <x:c r="CX45" s="107" t="n">
        <x:f>CX43*CX44/1000</x:f>
      </x:c>
      <x:c r="CY45" s="107" t="n">
        <x:f>CY43*CY44/1000</x:f>
      </x:c>
      <x:c r="CZ45" s="107" t="n">
        <x:f>CZ43*CZ44/1000</x:f>
      </x:c>
      <x:c r="DA45" s="107" t="n">
        <x:f>DA43*DA44/1000</x:f>
      </x:c>
      <x:c r="DB45" s="107" t="n">
        <x:f>DB43*DB44/1000</x:f>
      </x:c>
      <x:c r="DC45" s="107" t="n">
        <x:f>DC43*DC44/1000</x:f>
      </x:c>
      <x:c r="DD45" s="107" t="n">
        <x:f>DD43*DD44/1000</x:f>
      </x:c>
      <x:c r="DE45" s="107" t="n">
        <x:f>DE43*DE44/1000</x:f>
      </x:c>
      <x:c r="DF45" s="107" t="n">
        <x:f>DF43*DF44/1000</x:f>
      </x:c>
      <x:c r="DG45" s="107" t="n">
        <x:f>DG43*DG44/1000</x:f>
      </x:c>
      <x:c r="DH45" s="107" t="n">
        <x:f>DH43*DH44/1000</x:f>
      </x:c>
      <x:c r="DI45" s="107" t="n">
        <x:f>DI43*DI44/1000</x:f>
      </x:c>
      <x:c r="DJ45" s="107" t="n">
        <x:f>DJ43*DJ44/1000</x:f>
      </x:c>
      <x:c r="DK45" s="107" t="n">
        <x:f>DK43*DK44/1000</x:f>
      </x:c>
      <x:c r="DL45" s="107" t="n">
        <x:f>DL43*DL44/1000</x:f>
      </x:c>
      <x:c r="DM45" s="107" t="n">
        <x:f>DM43*DM44/1000</x:f>
      </x:c>
      <x:c r="DN45" s="107" t="n">
        <x:f>DN43*DN44/1000</x:f>
      </x:c>
      <x:c r="DO45" s="107" t="n">
        <x:f>DO43*DO44/1000</x:f>
      </x:c>
      <x:c r="DP45" s="107" t="n">
        <x:f>DP43*DP44/1000</x:f>
      </x:c>
      <x:c r="DQ45" s="107" t="n">
        <x:f>DQ43*DQ44/1000</x:f>
      </x:c>
      <x:c r="DR45" s="107" t="n">
        <x:f>DR43*DR44/1000</x:f>
      </x:c>
      <x:c r="DS45" s="107" t="n">
        <x:f>DS43*DS44/1000</x:f>
      </x:c>
    </x:row>
    <x:row r="46">
      <x:c r="A46" t="str">
        <x:v>Кладовые — объём</x:v>
      </x:c>
      <x:c r="B46" t="n">
        <x:f>SUM(D46:DS46)</x:f>
      </x:c>
      <x:c r="C46" t="str">
        <x:v>шт.</x:v>
      </x:c>
      <x:c r="D46" s="107" t="n">
        <x:f>'Вводные'!$O$89*((IF(SUM($D32:$DS32)=0,0,IF(SUM($D35:$DS35)=0,1,'Вводные'!$B$63)))*D34+(1-(IF(SUM($D32:$DS32)=0,0,IF(SUM($D35:$DS35)=0,1,'Вводные'!$B$63))))*D36)</x:f>
      </x:c>
      <x:c r="E46" s="107" t="n">
        <x:f>'Вводные'!$O$89*((IF(SUM($D32:$DS32)=0,0,IF(SUM($D35:$DS35)=0,1,'Вводные'!$B$63)))*E34+(1-(IF(SUM($D32:$DS32)=0,0,IF(SUM($D35:$DS35)=0,1,'Вводные'!$B$63))))*E36)</x:f>
      </x:c>
      <x:c r="F46" s="107" t="n">
        <x:f>'Вводные'!$O$89*((IF(SUM($D32:$DS32)=0,0,IF(SUM($D35:$DS35)=0,1,'Вводные'!$B$63)))*F34+(1-(IF(SUM($D32:$DS32)=0,0,IF(SUM($D35:$DS35)=0,1,'Вводные'!$B$63))))*F36)</x:f>
      </x:c>
      <x:c r="G46" s="107" t="n">
        <x:f>'Вводные'!$O$89*((IF(SUM($D32:$DS32)=0,0,IF(SUM($D35:$DS35)=0,1,'Вводные'!$B$63)))*G34+(1-(IF(SUM($D32:$DS32)=0,0,IF(SUM($D35:$DS35)=0,1,'Вводные'!$B$63))))*G36)</x:f>
      </x:c>
      <x:c r="H46" s="107" t="n">
        <x:f>'Вводные'!$O$89*((IF(SUM($D32:$DS32)=0,0,IF(SUM($D35:$DS35)=0,1,'Вводные'!$B$63)))*H34+(1-(IF(SUM($D32:$DS32)=0,0,IF(SUM($D35:$DS35)=0,1,'Вводные'!$B$63))))*H36)</x:f>
      </x:c>
      <x:c r="I46" s="107" t="n">
        <x:f>'Вводные'!$O$89*((IF(SUM($D32:$DS32)=0,0,IF(SUM($D35:$DS35)=0,1,'Вводные'!$B$63)))*I34+(1-(IF(SUM($D32:$DS32)=0,0,IF(SUM($D35:$DS35)=0,1,'Вводные'!$B$63))))*I36)</x:f>
      </x:c>
      <x:c r="J46" s="107" t="n">
        <x:f>'Вводные'!$O$89*((IF(SUM($D32:$DS32)=0,0,IF(SUM($D35:$DS35)=0,1,'Вводные'!$B$63)))*J34+(1-(IF(SUM($D32:$DS32)=0,0,IF(SUM($D35:$DS35)=0,1,'Вводные'!$B$63))))*J36)</x:f>
      </x:c>
      <x:c r="K46" s="107" t="n">
        <x:f>'Вводные'!$O$89*((IF(SUM($D32:$DS32)=0,0,IF(SUM($D35:$DS35)=0,1,'Вводные'!$B$63)))*K34+(1-(IF(SUM($D32:$DS32)=0,0,IF(SUM($D35:$DS35)=0,1,'Вводные'!$B$63))))*K36)</x:f>
      </x:c>
      <x:c r="L46" s="107" t="n">
        <x:f>'Вводные'!$O$89*((IF(SUM($D32:$DS32)=0,0,IF(SUM($D35:$DS35)=0,1,'Вводные'!$B$63)))*L34+(1-(IF(SUM($D32:$DS32)=0,0,IF(SUM($D35:$DS35)=0,1,'Вводные'!$B$63))))*L36)</x:f>
      </x:c>
      <x:c r="M46" s="107" t="n">
        <x:f>'Вводные'!$O$89*((IF(SUM($D32:$DS32)=0,0,IF(SUM($D35:$DS35)=0,1,'Вводные'!$B$63)))*M34+(1-(IF(SUM($D32:$DS32)=0,0,IF(SUM($D35:$DS35)=0,1,'Вводные'!$B$63))))*M36)</x:f>
      </x:c>
      <x:c r="N46" s="107" t="n">
        <x:f>'Вводные'!$O$89*((IF(SUM($D32:$DS32)=0,0,IF(SUM($D35:$DS35)=0,1,'Вводные'!$B$63)))*N34+(1-(IF(SUM($D32:$DS32)=0,0,IF(SUM($D35:$DS35)=0,1,'Вводные'!$B$63))))*N36)</x:f>
      </x:c>
      <x:c r="O46" s="107" t="n">
        <x:f>'Вводные'!$O$89*((IF(SUM($D32:$DS32)=0,0,IF(SUM($D35:$DS35)=0,1,'Вводные'!$B$63)))*O34+(1-(IF(SUM($D32:$DS32)=0,0,IF(SUM($D35:$DS35)=0,1,'Вводные'!$B$63))))*O36)</x:f>
      </x:c>
      <x:c r="P46" s="107" t="n">
        <x:f>'Вводные'!$O$89*((IF(SUM($D32:$DS32)=0,0,IF(SUM($D35:$DS35)=0,1,'Вводные'!$B$63)))*P34+(1-(IF(SUM($D32:$DS32)=0,0,IF(SUM($D35:$DS35)=0,1,'Вводные'!$B$63))))*P36)</x:f>
      </x:c>
      <x:c r="Q46" s="107" t="n">
        <x:f>'Вводные'!$O$89*((IF(SUM($D32:$DS32)=0,0,IF(SUM($D35:$DS35)=0,1,'Вводные'!$B$63)))*Q34+(1-(IF(SUM($D32:$DS32)=0,0,IF(SUM($D35:$DS35)=0,1,'Вводные'!$B$63))))*Q36)</x:f>
      </x:c>
      <x:c r="R46" s="107" t="n">
        <x:f>'Вводные'!$O$89*((IF(SUM($D32:$DS32)=0,0,IF(SUM($D35:$DS35)=0,1,'Вводные'!$B$63)))*R34+(1-(IF(SUM($D32:$DS32)=0,0,IF(SUM($D35:$DS35)=0,1,'Вводные'!$B$63))))*R36)</x:f>
      </x:c>
      <x:c r="S46" s="107" t="n">
        <x:f>'Вводные'!$O$89*((IF(SUM($D32:$DS32)=0,0,IF(SUM($D35:$DS35)=0,1,'Вводные'!$B$63)))*S34+(1-(IF(SUM($D32:$DS32)=0,0,IF(SUM($D35:$DS35)=0,1,'Вводные'!$B$63))))*S36)</x:f>
      </x:c>
      <x:c r="T46" s="107" t="n">
        <x:f>'Вводные'!$O$89*((IF(SUM($D32:$DS32)=0,0,IF(SUM($D35:$DS35)=0,1,'Вводные'!$B$63)))*T34+(1-(IF(SUM($D32:$DS32)=0,0,IF(SUM($D35:$DS35)=0,1,'Вводные'!$B$63))))*T36)</x:f>
      </x:c>
      <x:c r="U46" s="107" t="n">
        <x:f>'Вводные'!$O$89*((IF(SUM($D32:$DS32)=0,0,IF(SUM($D35:$DS35)=0,1,'Вводные'!$B$63)))*U34+(1-(IF(SUM($D32:$DS32)=0,0,IF(SUM($D35:$DS35)=0,1,'Вводные'!$B$63))))*U36)</x:f>
      </x:c>
      <x:c r="V46" s="107" t="n">
        <x:f>'Вводные'!$O$89*((IF(SUM($D32:$DS32)=0,0,IF(SUM($D35:$DS35)=0,1,'Вводные'!$B$63)))*V34+(1-(IF(SUM($D32:$DS32)=0,0,IF(SUM($D35:$DS35)=0,1,'Вводные'!$B$63))))*V36)</x:f>
      </x:c>
      <x:c r="W46" s="107" t="n">
        <x:f>'Вводные'!$O$89*((IF(SUM($D32:$DS32)=0,0,IF(SUM($D35:$DS35)=0,1,'Вводные'!$B$63)))*W34+(1-(IF(SUM($D32:$DS32)=0,0,IF(SUM($D35:$DS35)=0,1,'Вводные'!$B$63))))*W36)</x:f>
      </x:c>
      <x:c r="X46" s="107" t="n">
        <x:f>'Вводные'!$O$89*((IF(SUM($D32:$DS32)=0,0,IF(SUM($D35:$DS35)=0,1,'Вводные'!$B$63)))*X34+(1-(IF(SUM($D32:$DS32)=0,0,IF(SUM($D35:$DS35)=0,1,'Вводные'!$B$63))))*X36)</x:f>
      </x:c>
      <x:c r="Y46" s="107" t="n">
        <x:f>'Вводные'!$O$89*((IF(SUM($D32:$DS32)=0,0,IF(SUM($D35:$DS35)=0,1,'Вводные'!$B$63)))*Y34+(1-(IF(SUM($D32:$DS32)=0,0,IF(SUM($D35:$DS35)=0,1,'Вводные'!$B$63))))*Y36)</x:f>
      </x:c>
      <x:c r="Z46" s="107" t="n">
        <x:f>'Вводные'!$O$89*((IF(SUM($D32:$DS32)=0,0,IF(SUM($D35:$DS35)=0,1,'Вводные'!$B$63)))*Z34+(1-(IF(SUM($D32:$DS32)=0,0,IF(SUM($D35:$DS35)=0,1,'Вводные'!$B$63))))*Z36)</x:f>
      </x:c>
      <x:c r="AA46" s="107" t="n">
        <x:f>'Вводные'!$O$89*((IF(SUM($D32:$DS32)=0,0,IF(SUM($D35:$DS35)=0,1,'Вводные'!$B$63)))*AA34+(1-(IF(SUM($D32:$DS32)=0,0,IF(SUM($D35:$DS35)=0,1,'Вводные'!$B$63))))*AA36)</x:f>
      </x:c>
      <x:c r="AB46" s="107" t="n">
        <x:f>'Вводные'!$O$89*((IF(SUM($D32:$DS32)=0,0,IF(SUM($D35:$DS35)=0,1,'Вводные'!$B$63)))*AB34+(1-(IF(SUM($D32:$DS32)=0,0,IF(SUM($D35:$DS35)=0,1,'Вводные'!$B$63))))*AB36)</x:f>
      </x:c>
      <x:c r="AC46" s="107" t="n">
        <x:f>'Вводные'!$O$89*((IF(SUM($D32:$DS32)=0,0,IF(SUM($D35:$DS35)=0,1,'Вводные'!$B$63)))*AC34+(1-(IF(SUM($D32:$DS32)=0,0,IF(SUM($D35:$DS35)=0,1,'Вводные'!$B$63))))*AC36)</x:f>
      </x:c>
      <x:c r="AD46" s="107" t="n">
        <x:f>'Вводные'!$O$89*((IF(SUM($D32:$DS32)=0,0,IF(SUM($D35:$DS35)=0,1,'Вводные'!$B$63)))*AD34+(1-(IF(SUM($D32:$DS32)=0,0,IF(SUM($D35:$DS35)=0,1,'Вводные'!$B$63))))*AD36)</x:f>
      </x:c>
      <x:c r="AE46" s="107" t="n">
        <x:f>'Вводные'!$O$89*((IF(SUM($D32:$DS32)=0,0,IF(SUM($D35:$DS35)=0,1,'Вводные'!$B$63)))*AE34+(1-(IF(SUM($D32:$DS32)=0,0,IF(SUM($D35:$DS35)=0,1,'Вводные'!$B$63))))*AE36)</x:f>
      </x:c>
      <x:c r="AF46" s="107" t="n">
        <x:f>'Вводные'!$O$89*((IF(SUM($D32:$DS32)=0,0,IF(SUM($D35:$DS35)=0,1,'Вводные'!$B$63)))*AF34+(1-(IF(SUM($D32:$DS32)=0,0,IF(SUM($D35:$DS35)=0,1,'Вводные'!$B$63))))*AF36)</x:f>
      </x:c>
      <x:c r="AG46" s="107" t="n">
        <x:f>'Вводные'!$O$89*((IF(SUM($D32:$DS32)=0,0,IF(SUM($D35:$DS35)=0,1,'Вводные'!$B$63)))*AG34+(1-(IF(SUM($D32:$DS32)=0,0,IF(SUM($D35:$DS35)=0,1,'Вводные'!$B$63))))*AG36)</x:f>
      </x:c>
      <x:c r="AH46" s="107" t="n">
        <x:f>'Вводные'!$O$89*((IF(SUM($D32:$DS32)=0,0,IF(SUM($D35:$DS35)=0,1,'Вводные'!$B$63)))*AH34+(1-(IF(SUM($D32:$DS32)=0,0,IF(SUM($D35:$DS35)=0,1,'Вводные'!$B$63))))*AH36)</x:f>
      </x:c>
      <x:c r="AI46" s="107" t="n">
        <x:f>'Вводные'!$O$89*((IF(SUM($D32:$DS32)=0,0,IF(SUM($D35:$DS35)=0,1,'Вводные'!$B$63)))*AI34+(1-(IF(SUM($D32:$DS32)=0,0,IF(SUM($D35:$DS35)=0,1,'Вводные'!$B$63))))*AI36)</x:f>
      </x:c>
      <x:c r="AJ46" s="107" t="n">
        <x:f>'Вводные'!$O$89*((IF(SUM($D32:$DS32)=0,0,IF(SUM($D35:$DS35)=0,1,'Вводные'!$B$63)))*AJ34+(1-(IF(SUM($D32:$DS32)=0,0,IF(SUM($D35:$DS35)=0,1,'Вводные'!$B$63))))*AJ36)</x:f>
      </x:c>
      <x:c r="AK46" s="107" t="n">
        <x:f>'Вводные'!$O$89*((IF(SUM($D32:$DS32)=0,0,IF(SUM($D35:$DS35)=0,1,'Вводные'!$B$63)))*AK34+(1-(IF(SUM($D32:$DS32)=0,0,IF(SUM($D35:$DS35)=0,1,'Вводные'!$B$63))))*AK36)</x:f>
      </x:c>
      <x:c r="AL46" s="107" t="n">
        <x:f>'Вводные'!$O$89*((IF(SUM($D32:$DS32)=0,0,IF(SUM($D35:$DS35)=0,1,'Вводные'!$B$63)))*AL34+(1-(IF(SUM($D32:$DS32)=0,0,IF(SUM($D35:$DS35)=0,1,'Вводные'!$B$63))))*AL36)</x:f>
      </x:c>
      <x:c r="AM46" s="107" t="n">
        <x:f>'Вводные'!$O$89*((IF(SUM($D32:$DS32)=0,0,IF(SUM($D35:$DS35)=0,1,'Вводные'!$B$63)))*AM34+(1-(IF(SUM($D32:$DS32)=0,0,IF(SUM($D35:$DS35)=0,1,'Вводные'!$B$63))))*AM36)</x:f>
      </x:c>
      <x:c r="AN46" s="107" t="n">
        <x:f>'Вводные'!$O$89*((IF(SUM($D32:$DS32)=0,0,IF(SUM($D35:$DS35)=0,1,'Вводные'!$B$63)))*AN34+(1-(IF(SUM($D32:$DS32)=0,0,IF(SUM($D35:$DS35)=0,1,'Вводные'!$B$63))))*AN36)</x:f>
      </x:c>
      <x:c r="AO46" s="107" t="n">
        <x:f>'Вводные'!$O$89*((IF(SUM($D32:$DS32)=0,0,IF(SUM($D35:$DS35)=0,1,'Вводные'!$B$63)))*AO34+(1-(IF(SUM($D32:$DS32)=0,0,IF(SUM($D35:$DS35)=0,1,'Вводные'!$B$63))))*AO36)</x:f>
      </x:c>
      <x:c r="AP46" s="107" t="n">
        <x:f>'Вводные'!$O$89*((IF(SUM($D32:$DS32)=0,0,IF(SUM($D35:$DS35)=0,1,'Вводные'!$B$63)))*AP34+(1-(IF(SUM($D32:$DS32)=0,0,IF(SUM($D35:$DS35)=0,1,'Вводные'!$B$63))))*AP36)</x:f>
      </x:c>
      <x:c r="AQ46" s="107" t="n">
        <x:f>'Вводные'!$O$89*((IF(SUM($D32:$DS32)=0,0,IF(SUM($D35:$DS35)=0,1,'Вводные'!$B$63)))*AQ34+(1-(IF(SUM($D32:$DS32)=0,0,IF(SUM($D35:$DS35)=0,1,'Вводные'!$B$63))))*AQ36)</x:f>
      </x:c>
      <x:c r="AR46" s="107" t="n">
        <x:f>'Вводные'!$O$89*((IF(SUM($D32:$DS32)=0,0,IF(SUM($D35:$DS35)=0,1,'Вводные'!$B$63)))*AR34+(1-(IF(SUM($D32:$DS32)=0,0,IF(SUM($D35:$DS35)=0,1,'Вводные'!$B$63))))*AR36)</x:f>
      </x:c>
      <x:c r="AS46" s="107" t="n">
        <x:f>'Вводные'!$O$89*((IF(SUM($D32:$DS32)=0,0,IF(SUM($D35:$DS35)=0,1,'Вводные'!$B$63)))*AS34+(1-(IF(SUM($D32:$DS32)=0,0,IF(SUM($D35:$DS35)=0,1,'Вводные'!$B$63))))*AS36)</x:f>
      </x:c>
      <x:c r="AT46" s="107" t="n">
        <x:f>'Вводные'!$O$89*((IF(SUM($D32:$DS32)=0,0,IF(SUM($D35:$DS35)=0,1,'Вводные'!$B$63)))*AT34+(1-(IF(SUM($D32:$DS32)=0,0,IF(SUM($D35:$DS35)=0,1,'Вводные'!$B$63))))*AT36)</x:f>
      </x:c>
      <x:c r="AU46" s="107" t="n">
        <x:f>'Вводные'!$O$89*((IF(SUM($D32:$DS32)=0,0,IF(SUM($D35:$DS35)=0,1,'Вводные'!$B$63)))*AU34+(1-(IF(SUM($D32:$DS32)=0,0,IF(SUM($D35:$DS35)=0,1,'Вводные'!$B$63))))*AU36)</x:f>
      </x:c>
      <x:c r="AV46" s="107" t="n">
        <x:f>'Вводные'!$O$89*((IF(SUM($D32:$DS32)=0,0,IF(SUM($D35:$DS35)=0,1,'Вводные'!$B$63)))*AV34+(1-(IF(SUM($D32:$DS32)=0,0,IF(SUM($D35:$DS35)=0,1,'Вводные'!$B$63))))*AV36)</x:f>
      </x:c>
      <x:c r="AW46" s="107" t="n">
        <x:f>'Вводные'!$O$89*((IF(SUM($D32:$DS32)=0,0,IF(SUM($D35:$DS35)=0,1,'Вводные'!$B$63)))*AW34+(1-(IF(SUM($D32:$DS32)=0,0,IF(SUM($D35:$DS35)=0,1,'Вводные'!$B$63))))*AW36)</x:f>
      </x:c>
      <x:c r="AX46" s="107" t="n">
        <x:f>'Вводные'!$O$89*((IF(SUM($D32:$DS32)=0,0,IF(SUM($D35:$DS35)=0,1,'Вводные'!$B$63)))*AX34+(1-(IF(SUM($D32:$DS32)=0,0,IF(SUM($D35:$DS35)=0,1,'Вводные'!$B$63))))*AX36)</x:f>
      </x:c>
      <x:c r="AY46" s="107" t="n">
        <x:f>'Вводные'!$O$89*((IF(SUM($D32:$DS32)=0,0,IF(SUM($D35:$DS35)=0,1,'Вводные'!$B$63)))*AY34+(1-(IF(SUM($D32:$DS32)=0,0,IF(SUM($D35:$DS35)=0,1,'Вводные'!$B$63))))*AY36)</x:f>
      </x:c>
      <x:c r="AZ46" s="107" t="n">
        <x:f>'Вводные'!$O$89*((IF(SUM($D32:$DS32)=0,0,IF(SUM($D35:$DS35)=0,1,'Вводные'!$B$63)))*AZ34+(1-(IF(SUM($D32:$DS32)=0,0,IF(SUM($D35:$DS35)=0,1,'Вводные'!$B$63))))*AZ36)</x:f>
      </x:c>
      <x:c r="BA46" s="107" t="n">
        <x:f>'Вводные'!$O$89*((IF(SUM($D32:$DS32)=0,0,IF(SUM($D35:$DS35)=0,1,'Вводные'!$B$63)))*BA34+(1-(IF(SUM($D32:$DS32)=0,0,IF(SUM($D35:$DS35)=0,1,'Вводные'!$B$63))))*BA36)</x:f>
      </x:c>
      <x:c r="BB46" s="107" t="n">
        <x:f>'Вводные'!$O$89*((IF(SUM($D32:$DS32)=0,0,IF(SUM($D35:$DS35)=0,1,'Вводные'!$B$63)))*BB34+(1-(IF(SUM($D32:$DS32)=0,0,IF(SUM($D35:$DS35)=0,1,'Вводные'!$B$63))))*BB36)</x:f>
      </x:c>
      <x:c r="BC46" s="107" t="n">
        <x:f>'Вводные'!$O$89*((IF(SUM($D32:$DS32)=0,0,IF(SUM($D35:$DS35)=0,1,'Вводные'!$B$63)))*BC34+(1-(IF(SUM($D32:$DS32)=0,0,IF(SUM($D35:$DS35)=0,1,'Вводные'!$B$63))))*BC36)</x:f>
      </x:c>
      <x:c r="BD46" s="107" t="n">
        <x:f>'Вводные'!$O$89*((IF(SUM($D32:$DS32)=0,0,IF(SUM($D35:$DS35)=0,1,'Вводные'!$B$63)))*BD34+(1-(IF(SUM($D32:$DS32)=0,0,IF(SUM($D35:$DS35)=0,1,'Вводные'!$B$63))))*BD36)</x:f>
      </x:c>
      <x:c r="BE46" s="107" t="n">
        <x:f>'Вводные'!$O$89*((IF(SUM($D32:$DS32)=0,0,IF(SUM($D35:$DS35)=0,1,'Вводные'!$B$63)))*BE34+(1-(IF(SUM($D32:$DS32)=0,0,IF(SUM($D35:$DS35)=0,1,'Вводные'!$B$63))))*BE36)</x:f>
      </x:c>
      <x:c r="BF46" s="107" t="n">
        <x:f>'Вводные'!$O$89*((IF(SUM($D32:$DS32)=0,0,IF(SUM($D35:$DS35)=0,1,'Вводные'!$B$63)))*BF34+(1-(IF(SUM($D32:$DS32)=0,0,IF(SUM($D35:$DS35)=0,1,'Вводные'!$B$63))))*BF36)</x:f>
      </x:c>
      <x:c r="BG46" s="107" t="n">
        <x:f>'Вводные'!$O$89*((IF(SUM($D32:$DS32)=0,0,IF(SUM($D35:$DS35)=0,1,'Вводные'!$B$63)))*BG34+(1-(IF(SUM($D32:$DS32)=0,0,IF(SUM($D35:$DS35)=0,1,'Вводные'!$B$63))))*BG36)</x:f>
      </x:c>
      <x:c r="BH46" s="107" t="n">
        <x:f>'Вводные'!$O$89*((IF(SUM($D32:$DS32)=0,0,IF(SUM($D35:$DS35)=0,1,'Вводные'!$B$63)))*BH34+(1-(IF(SUM($D32:$DS32)=0,0,IF(SUM($D35:$DS35)=0,1,'Вводные'!$B$63))))*BH36)</x:f>
      </x:c>
      <x:c r="BI46" s="107" t="n">
        <x:f>'Вводные'!$O$89*((IF(SUM($D32:$DS32)=0,0,IF(SUM($D35:$DS35)=0,1,'Вводные'!$B$63)))*BI34+(1-(IF(SUM($D32:$DS32)=0,0,IF(SUM($D35:$DS35)=0,1,'Вводные'!$B$63))))*BI36)</x:f>
      </x:c>
      <x:c r="BJ46" s="107" t="n">
        <x:f>'Вводные'!$O$89*((IF(SUM($D32:$DS32)=0,0,IF(SUM($D35:$DS35)=0,1,'Вводные'!$B$63)))*BJ34+(1-(IF(SUM($D32:$DS32)=0,0,IF(SUM($D35:$DS35)=0,1,'Вводные'!$B$63))))*BJ36)</x:f>
      </x:c>
      <x:c r="BK46" s="107" t="n">
        <x:f>'Вводные'!$O$89*((IF(SUM($D32:$DS32)=0,0,IF(SUM($D35:$DS35)=0,1,'Вводные'!$B$63)))*BK34+(1-(IF(SUM($D32:$DS32)=0,0,IF(SUM($D35:$DS35)=0,1,'Вводные'!$B$63))))*BK36)</x:f>
      </x:c>
      <x:c r="BL46" s="107" t="n">
        <x:f>'Вводные'!$O$89*((IF(SUM($D32:$DS32)=0,0,IF(SUM($D35:$DS35)=0,1,'Вводные'!$B$63)))*BL34+(1-(IF(SUM($D32:$DS32)=0,0,IF(SUM($D35:$DS35)=0,1,'Вводные'!$B$63))))*BL36)</x:f>
      </x:c>
      <x:c r="BM46" s="107" t="n">
        <x:f>'Вводные'!$O$89*((IF(SUM($D32:$DS32)=0,0,IF(SUM($D35:$DS35)=0,1,'Вводные'!$B$63)))*BM34+(1-(IF(SUM($D32:$DS32)=0,0,IF(SUM($D35:$DS35)=0,1,'Вводные'!$B$63))))*BM36)</x:f>
      </x:c>
      <x:c r="BN46" s="107" t="n">
        <x:f>'Вводные'!$O$89*((IF(SUM($D32:$DS32)=0,0,IF(SUM($D35:$DS35)=0,1,'Вводные'!$B$63)))*BN34+(1-(IF(SUM($D32:$DS32)=0,0,IF(SUM($D35:$DS35)=0,1,'Вводные'!$B$63))))*BN36)</x:f>
      </x:c>
      <x:c r="BO46" s="107" t="n">
        <x:f>'Вводные'!$O$89*((IF(SUM($D32:$DS32)=0,0,IF(SUM($D35:$DS35)=0,1,'Вводные'!$B$63)))*BO34+(1-(IF(SUM($D32:$DS32)=0,0,IF(SUM($D35:$DS35)=0,1,'Вводные'!$B$63))))*BO36)</x:f>
      </x:c>
      <x:c r="BP46" s="107" t="n">
        <x:f>'Вводные'!$O$89*((IF(SUM($D32:$DS32)=0,0,IF(SUM($D35:$DS35)=0,1,'Вводные'!$B$63)))*BP34+(1-(IF(SUM($D32:$DS32)=0,0,IF(SUM($D35:$DS35)=0,1,'Вводные'!$B$63))))*BP36)</x:f>
      </x:c>
      <x:c r="BQ46" s="107" t="n">
        <x:f>'Вводные'!$O$89*((IF(SUM($D32:$DS32)=0,0,IF(SUM($D35:$DS35)=0,1,'Вводные'!$B$63)))*BQ34+(1-(IF(SUM($D32:$DS32)=0,0,IF(SUM($D35:$DS35)=0,1,'Вводные'!$B$63))))*BQ36)</x:f>
      </x:c>
      <x:c r="BR46" s="107" t="n">
        <x:f>'Вводные'!$O$89*((IF(SUM($D32:$DS32)=0,0,IF(SUM($D35:$DS35)=0,1,'Вводные'!$B$63)))*BR34+(1-(IF(SUM($D32:$DS32)=0,0,IF(SUM($D35:$DS35)=0,1,'Вводные'!$B$63))))*BR36)</x:f>
      </x:c>
      <x:c r="BS46" s="107" t="n">
        <x:f>'Вводные'!$O$89*((IF(SUM($D32:$DS32)=0,0,IF(SUM($D35:$DS35)=0,1,'Вводные'!$B$63)))*BS34+(1-(IF(SUM($D32:$DS32)=0,0,IF(SUM($D35:$DS35)=0,1,'Вводные'!$B$63))))*BS36)</x:f>
      </x:c>
      <x:c r="BT46" s="107" t="n">
        <x:f>'Вводные'!$O$89*((IF(SUM($D32:$DS32)=0,0,IF(SUM($D35:$DS35)=0,1,'Вводные'!$B$63)))*BT34+(1-(IF(SUM($D32:$DS32)=0,0,IF(SUM($D35:$DS35)=0,1,'Вводные'!$B$63))))*BT36)</x:f>
      </x:c>
      <x:c r="BU46" s="107" t="n">
        <x:f>'Вводные'!$O$89*((IF(SUM($D32:$DS32)=0,0,IF(SUM($D35:$DS35)=0,1,'Вводные'!$B$63)))*BU34+(1-(IF(SUM($D32:$DS32)=0,0,IF(SUM($D35:$DS35)=0,1,'Вводные'!$B$63))))*BU36)</x:f>
      </x:c>
      <x:c r="BV46" s="107" t="n">
        <x:f>'Вводные'!$O$89*((IF(SUM($D32:$DS32)=0,0,IF(SUM($D35:$DS35)=0,1,'Вводные'!$B$63)))*BV34+(1-(IF(SUM($D32:$DS32)=0,0,IF(SUM($D35:$DS35)=0,1,'Вводные'!$B$63))))*BV36)</x:f>
      </x:c>
      <x:c r="BW46" s="107" t="n">
        <x:f>'Вводные'!$O$89*((IF(SUM($D32:$DS32)=0,0,IF(SUM($D35:$DS35)=0,1,'Вводные'!$B$63)))*BW34+(1-(IF(SUM($D32:$DS32)=0,0,IF(SUM($D35:$DS35)=0,1,'Вводные'!$B$63))))*BW36)</x:f>
      </x:c>
      <x:c r="BX46" s="107" t="n">
        <x:f>'Вводные'!$O$89*((IF(SUM($D32:$DS32)=0,0,IF(SUM($D35:$DS35)=0,1,'Вводные'!$B$63)))*BX34+(1-(IF(SUM($D32:$DS32)=0,0,IF(SUM($D35:$DS35)=0,1,'Вводные'!$B$63))))*BX36)</x:f>
      </x:c>
      <x:c r="BY46" s="107" t="n">
        <x:f>'Вводные'!$O$89*((IF(SUM($D32:$DS32)=0,0,IF(SUM($D35:$DS35)=0,1,'Вводные'!$B$63)))*BY34+(1-(IF(SUM($D32:$DS32)=0,0,IF(SUM($D35:$DS35)=0,1,'Вводные'!$B$63))))*BY36)</x:f>
      </x:c>
      <x:c r="BZ46" s="107" t="n">
        <x:f>'Вводные'!$O$89*((IF(SUM($D32:$DS32)=0,0,IF(SUM($D35:$DS35)=0,1,'Вводные'!$B$63)))*BZ34+(1-(IF(SUM($D32:$DS32)=0,0,IF(SUM($D35:$DS35)=0,1,'Вводные'!$B$63))))*BZ36)</x:f>
      </x:c>
      <x:c r="CA46" s="107" t="n">
        <x:f>'Вводные'!$O$89*((IF(SUM($D32:$DS32)=0,0,IF(SUM($D35:$DS35)=0,1,'Вводные'!$B$63)))*CA34+(1-(IF(SUM($D32:$DS32)=0,0,IF(SUM($D35:$DS35)=0,1,'Вводные'!$B$63))))*CA36)</x:f>
      </x:c>
      <x:c r="CB46" s="107" t="n">
        <x:f>'Вводные'!$O$89*((IF(SUM($D32:$DS32)=0,0,IF(SUM($D35:$DS35)=0,1,'Вводные'!$B$63)))*CB34+(1-(IF(SUM($D32:$DS32)=0,0,IF(SUM($D35:$DS35)=0,1,'Вводные'!$B$63))))*CB36)</x:f>
      </x:c>
      <x:c r="CC46" s="107" t="n">
        <x:f>'Вводные'!$O$89*((IF(SUM($D32:$DS32)=0,0,IF(SUM($D35:$DS35)=0,1,'Вводные'!$B$63)))*CC34+(1-(IF(SUM($D32:$DS32)=0,0,IF(SUM($D35:$DS35)=0,1,'Вводные'!$B$63))))*CC36)</x:f>
      </x:c>
      <x:c r="CD46" s="107" t="n">
        <x:f>'Вводные'!$O$89*((IF(SUM($D32:$DS32)=0,0,IF(SUM($D35:$DS35)=0,1,'Вводные'!$B$63)))*CD34+(1-(IF(SUM($D32:$DS32)=0,0,IF(SUM($D35:$DS35)=0,1,'Вводные'!$B$63))))*CD36)</x:f>
      </x:c>
      <x:c r="CE46" s="107" t="n">
        <x:f>'Вводные'!$O$89*((IF(SUM($D32:$DS32)=0,0,IF(SUM($D35:$DS35)=0,1,'Вводные'!$B$63)))*CE34+(1-(IF(SUM($D32:$DS32)=0,0,IF(SUM($D35:$DS35)=0,1,'Вводные'!$B$63))))*CE36)</x:f>
      </x:c>
      <x:c r="CF46" s="107" t="n">
        <x:f>'Вводные'!$O$89*((IF(SUM($D32:$DS32)=0,0,IF(SUM($D35:$DS35)=0,1,'Вводные'!$B$63)))*CF34+(1-(IF(SUM($D32:$DS32)=0,0,IF(SUM($D35:$DS35)=0,1,'Вводные'!$B$63))))*CF36)</x:f>
      </x:c>
      <x:c r="CG46" s="107" t="n">
        <x:f>'Вводные'!$O$89*((IF(SUM($D32:$DS32)=0,0,IF(SUM($D35:$DS35)=0,1,'Вводные'!$B$63)))*CG34+(1-(IF(SUM($D32:$DS32)=0,0,IF(SUM($D35:$DS35)=0,1,'Вводные'!$B$63))))*CG36)</x:f>
      </x:c>
      <x:c r="CH46" s="107" t="n">
        <x:f>'Вводные'!$O$89*((IF(SUM($D32:$DS32)=0,0,IF(SUM($D35:$DS35)=0,1,'Вводные'!$B$63)))*CH34+(1-(IF(SUM($D32:$DS32)=0,0,IF(SUM($D35:$DS35)=0,1,'Вводные'!$B$63))))*CH36)</x:f>
      </x:c>
      <x:c r="CI46" s="107" t="n">
        <x:f>'Вводные'!$O$89*((IF(SUM($D32:$DS32)=0,0,IF(SUM($D35:$DS35)=0,1,'Вводные'!$B$63)))*CI34+(1-(IF(SUM($D32:$DS32)=0,0,IF(SUM($D35:$DS35)=0,1,'Вводные'!$B$63))))*CI36)</x:f>
      </x:c>
      <x:c r="CJ46" s="107" t="n">
        <x:f>'Вводные'!$O$89*((IF(SUM($D32:$DS32)=0,0,IF(SUM($D35:$DS35)=0,1,'Вводные'!$B$63)))*CJ34+(1-(IF(SUM($D32:$DS32)=0,0,IF(SUM($D35:$DS35)=0,1,'Вводные'!$B$63))))*CJ36)</x:f>
      </x:c>
      <x:c r="CK46" s="107" t="n">
        <x:f>'Вводные'!$O$89*((IF(SUM($D32:$DS32)=0,0,IF(SUM($D35:$DS35)=0,1,'Вводные'!$B$63)))*CK34+(1-(IF(SUM($D32:$DS32)=0,0,IF(SUM($D35:$DS35)=0,1,'Вводные'!$B$63))))*CK36)</x:f>
      </x:c>
      <x:c r="CL46" s="107" t="n">
        <x:f>'Вводные'!$O$89*((IF(SUM($D32:$DS32)=0,0,IF(SUM($D35:$DS35)=0,1,'Вводные'!$B$63)))*CL34+(1-(IF(SUM($D32:$DS32)=0,0,IF(SUM($D35:$DS35)=0,1,'Вводные'!$B$63))))*CL36)</x:f>
      </x:c>
      <x:c r="CM46" s="107" t="n">
        <x:f>'Вводные'!$O$89*((IF(SUM($D32:$DS32)=0,0,IF(SUM($D35:$DS35)=0,1,'Вводные'!$B$63)))*CM34+(1-(IF(SUM($D32:$DS32)=0,0,IF(SUM($D35:$DS35)=0,1,'Вводные'!$B$63))))*CM36)</x:f>
      </x:c>
      <x:c r="CN46" s="107" t="n">
        <x:f>'Вводные'!$O$89*((IF(SUM($D32:$DS32)=0,0,IF(SUM($D35:$DS35)=0,1,'Вводные'!$B$63)))*CN34+(1-(IF(SUM($D32:$DS32)=0,0,IF(SUM($D35:$DS35)=0,1,'Вводные'!$B$63))))*CN36)</x:f>
      </x:c>
      <x:c r="CO46" s="107" t="n">
        <x:f>'Вводные'!$O$89*((IF(SUM($D32:$DS32)=0,0,IF(SUM($D35:$DS35)=0,1,'Вводные'!$B$63)))*CO34+(1-(IF(SUM($D32:$DS32)=0,0,IF(SUM($D35:$DS35)=0,1,'Вводные'!$B$63))))*CO36)</x:f>
      </x:c>
      <x:c r="CP46" s="107" t="n">
        <x:f>'Вводные'!$O$89*((IF(SUM($D32:$DS32)=0,0,IF(SUM($D35:$DS35)=0,1,'Вводные'!$B$63)))*CP34+(1-(IF(SUM($D32:$DS32)=0,0,IF(SUM($D35:$DS35)=0,1,'Вводные'!$B$63))))*CP36)</x:f>
      </x:c>
      <x:c r="CQ46" s="107" t="n">
        <x:f>'Вводные'!$O$89*((IF(SUM($D32:$DS32)=0,0,IF(SUM($D35:$DS35)=0,1,'Вводные'!$B$63)))*CQ34+(1-(IF(SUM($D32:$DS32)=0,0,IF(SUM($D35:$DS35)=0,1,'Вводные'!$B$63))))*CQ36)</x:f>
      </x:c>
      <x:c r="CR46" s="107" t="n">
        <x:f>'Вводные'!$O$89*((IF(SUM($D32:$DS32)=0,0,IF(SUM($D35:$DS35)=0,1,'Вводные'!$B$63)))*CR34+(1-(IF(SUM($D32:$DS32)=0,0,IF(SUM($D35:$DS35)=0,1,'Вводные'!$B$63))))*CR36)</x:f>
      </x:c>
      <x:c r="CS46" s="107" t="n">
        <x:f>'Вводные'!$O$89*((IF(SUM($D32:$DS32)=0,0,IF(SUM($D35:$DS35)=0,1,'Вводные'!$B$63)))*CS34+(1-(IF(SUM($D32:$DS32)=0,0,IF(SUM($D35:$DS35)=0,1,'Вводные'!$B$63))))*CS36)</x:f>
      </x:c>
      <x:c r="CT46" s="107" t="n">
        <x:f>'Вводные'!$O$89*((IF(SUM($D32:$DS32)=0,0,IF(SUM($D35:$DS35)=0,1,'Вводные'!$B$63)))*CT34+(1-(IF(SUM($D32:$DS32)=0,0,IF(SUM($D35:$DS35)=0,1,'Вводные'!$B$63))))*CT36)</x:f>
      </x:c>
      <x:c r="CU46" s="107" t="n">
        <x:f>'Вводные'!$O$89*((IF(SUM($D32:$DS32)=0,0,IF(SUM($D35:$DS35)=0,1,'Вводные'!$B$63)))*CU34+(1-(IF(SUM($D32:$DS32)=0,0,IF(SUM($D35:$DS35)=0,1,'Вводные'!$B$63))))*CU36)</x:f>
      </x:c>
      <x:c r="CV46" s="107" t="n">
        <x:f>'Вводные'!$O$89*((IF(SUM($D32:$DS32)=0,0,IF(SUM($D35:$DS35)=0,1,'Вводные'!$B$63)))*CV34+(1-(IF(SUM($D32:$DS32)=0,0,IF(SUM($D35:$DS35)=0,1,'Вводные'!$B$63))))*CV36)</x:f>
      </x:c>
      <x:c r="CW46" s="107" t="n">
        <x:f>'Вводные'!$O$89*((IF(SUM($D32:$DS32)=0,0,IF(SUM($D35:$DS35)=0,1,'Вводные'!$B$63)))*CW34+(1-(IF(SUM($D32:$DS32)=0,0,IF(SUM($D35:$DS35)=0,1,'Вводные'!$B$63))))*CW36)</x:f>
      </x:c>
      <x:c r="CX46" s="107" t="n">
        <x:f>'Вводные'!$O$89*((IF(SUM($D32:$DS32)=0,0,IF(SUM($D35:$DS35)=0,1,'Вводные'!$B$63)))*CX34+(1-(IF(SUM($D32:$DS32)=0,0,IF(SUM($D35:$DS35)=0,1,'Вводные'!$B$63))))*CX36)</x:f>
      </x:c>
      <x:c r="CY46" s="107" t="n">
        <x:f>'Вводные'!$O$89*((IF(SUM($D32:$DS32)=0,0,IF(SUM($D35:$DS35)=0,1,'Вводные'!$B$63)))*CY34+(1-(IF(SUM($D32:$DS32)=0,0,IF(SUM($D35:$DS35)=0,1,'Вводные'!$B$63))))*CY36)</x:f>
      </x:c>
      <x:c r="CZ46" s="107" t="n">
        <x:f>'Вводные'!$O$89*((IF(SUM($D32:$DS32)=0,0,IF(SUM($D35:$DS35)=0,1,'Вводные'!$B$63)))*CZ34+(1-(IF(SUM($D32:$DS32)=0,0,IF(SUM($D35:$DS35)=0,1,'Вводные'!$B$63))))*CZ36)</x:f>
      </x:c>
      <x:c r="DA46" s="107" t="n">
        <x:f>'Вводные'!$O$89*((IF(SUM($D32:$DS32)=0,0,IF(SUM($D35:$DS35)=0,1,'Вводные'!$B$63)))*DA34+(1-(IF(SUM($D32:$DS32)=0,0,IF(SUM($D35:$DS35)=0,1,'Вводные'!$B$63))))*DA36)</x:f>
      </x:c>
      <x:c r="DB46" s="107" t="n">
        <x:f>'Вводные'!$O$89*((IF(SUM($D32:$DS32)=0,0,IF(SUM($D35:$DS35)=0,1,'Вводные'!$B$63)))*DB34+(1-(IF(SUM($D32:$DS32)=0,0,IF(SUM($D35:$DS35)=0,1,'Вводные'!$B$63))))*DB36)</x:f>
      </x:c>
      <x:c r="DC46" s="107" t="n">
        <x:f>'Вводные'!$O$89*((IF(SUM($D32:$DS32)=0,0,IF(SUM($D35:$DS35)=0,1,'Вводные'!$B$63)))*DC34+(1-(IF(SUM($D32:$DS32)=0,0,IF(SUM($D35:$DS35)=0,1,'Вводные'!$B$63))))*DC36)</x:f>
      </x:c>
      <x:c r="DD46" s="107" t="n">
        <x:f>'Вводные'!$O$89*((IF(SUM($D32:$DS32)=0,0,IF(SUM($D35:$DS35)=0,1,'Вводные'!$B$63)))*DD34+(1-(IF(SUM($D32:$DS32)=0,0,IF(SUM($D35:$DS35)=0,1,'Вводные'!$B$63))))*DD36)</x:f>
      </x:c>
      <x:c r="DE46" s="107" t="n">
        <x:f>'Вводные'!$O$89*((IF(SUM($D32:$DS32)=0,0,IF(SUM($D35:$DS35)=0,1,'Вводные'!$B$63)))*DE34+(1-(IF(SUM($D32:$DS32)=0,0,IF(SUM($D35:$DS35)=0,1,'Вводные'!$B$63))))*DE36)</x:f>
      </x:c>
      <x:c r="DF46" s="107" t="n">
        <x:f>'Вводные'!$O$89*((IF(SUM($D32:$DS32)=0,0,IF(SUM($D35:$DS35)=0,1,'Вводные'!$B$63)))*DF34+(1-(IF(SUM($D32:$DS32)=0,0,IF(SUM($D35:$DS35)=0,1,'Вводные'!$B$63))))*DF36)</x:f>
      </x:c>
      <x:c r="DG46" s="107" t="n">
        <x:f>'Вводные'!$O$89*((IF(SUM($D32:$DS32)=0,0,IF(SUM($D35:$DS35)=0,1,'Вводные'!$B$63)))*DG34+(1-(IF(SUM($D32:$DS32)=0,0,IF(SUM($D35:$DS35)=0,1,'Вводные'!$B$63))))*DG36)</x:f>
      </x:c>
      <x:c r="DH46" s="107" t="n">
        <x:f>'Вводные'!$O$89*((IF(SUM($D32:$DS32)=0,0,IF(SUM($D35:$DS35)=0,1,'Вводные'!$B$63)))*DH34+(1-(IF(SUM($D32:$DS32)=0,0,IF(SUM($D35:$DS35)=0,1,'Вводные'!$B$63))))*DH36)</x:f>
      </x:c>
      <x:c r="DI46" s="107" t="n">
        <x:f>'Вводные'!$O$89*((IF(SUM($D32:$DS32)=0,0,IF(SUM($D35:$DS35)=0,1,'Вводные'!$B$63)))*DI34+(1-(IF(SUM($D32:$DS32)=0,0,IF(SUM($D35:$DS35)=0,1,'Вводные'!$B$63))))*DI36)</x:f>
      </x:c>
      <x:c r="DJ46" s="107" t="n">
        <x:f>'Вводные'!$O$89*((IF(SUM($D32:$DS32)=0,0,IF(SUM($D35:$DS35)=0,1,'Вводные'!$B$63)))*DJ34+(1-(IF(SUM($D32:$DS32)=0,0,IF(SUM($D35:$DS35)=0,1,'Вводные'!$B$63))))*DJ36)</x:f>
      </x:c>
      <x:c r="DK46" s="107" t="n">
        <x:f>'Вводные'!$O$89*((IF(SUM($D32:$DS32)=0,0,IF(SUM($D35:$DS35)=0,1,'Вводные'!$B$63)))*DK34+(1-(IF(SUM($D32:$DS32)=0,0,IF(SUM($D35:$DS35)=0,1,'Вводные'!$B$63))))*DK36)</x:f>
      </x:c>
      <x:c r="DL46" s="107" t="n">
        <x:f>'Вводные'!$O$89*((IF(SUM($D32:$DS32)=0,0,IF(SUM($D35:$DS35)=0,1,'Вводные'!$B$63)))*DL34+(1-(IF(SUM($D32:$DS32)=0,0,IF(SUM($D35:$DS35)=0,1,'Вводные'!$B$63))))*DL36)</x:f>
      </x:c>
      <x:c r="DM46" s="107" t="n">
        <x:f>'Вводные'!$O$89*((IF(SUM($D32:$DS32)=0,0,IF(SUM($D35:$DS35)=0,1,'Вводные'!$B$63)))*DM34+(1-(IF(SUM($D32:$DS32)=0,0,IF(SUM($D35:$DS35)=0,1,'Вводные'!$B$63))))*DM36)</x:f>
      </x:c>
      <x:c r="DN46" s="107" t="n">
        <x:f>'Вводные'!$O$89*((IF(SUM($D32:$DS32)=0,0,IF(SUM($D35:$DS35)=0,1,'Вводные'!$B$63)))*DN34+(1-(IF(SUM($D32:$DS32)=0,0,IF(SUM($D35:$DS35)=0,1,'Вводные'!$B$63))))*DN36)</x:f>
      </x:c>
      <x:c r="DO46" s="107" t="n">
        <x:f>'Вводные'!$O$89*((IF(SUM($D32:$DS32)=0,0,IF(SUM($D35:$DS35)=0,1,'Вводные'!$B$63)))*DO34+(1-(IF(SUM($D32:$DS32)=0,0,IF(SUM($D35:$DS35)=0,1,'Вводные'!$B$63))))*DO36)</x:f>
      </x:c>
      <x:c r="DP46" s="107" t="n">
        <x:f>'Вводные'!$O$89*((IF(SUM($D32:$DS32)=0,0,IF(SUM($D35:$DS35)=0,1,'Вводные'!$B$63)))*DP34+(1-(IF(SUM($D32:$DS32)=0,0,IF(SUM($D35:$DS35)=0,1,'Вводные'!$B$63))))*DP36)</x:f>
      </x:c>
      <x:c r="DQ46" s="107" t="n">
        <x:f>'Вводные'!$O$89*((IF(SUM($D32:$DS32)=0,0,IF(SUM($D35:$DS35)=0,1,'Вводные'!$B$63)))*DQ34+(1-(IF(SUM($D32:$DS32)=0,0,IF(SUM($D35:$DS35)=0,1,'Вводные'!$B$63))))*DQ36)</x:f>
      </x:c>
      <x:c r="DR46" s="107" t="n">
        <x:f>'Вводные'!$O$89*((IF(SUM($D32:$DS32)=0,0,IF(SUM($D35:$DS35)=0,1,'Вводные'!$B$63)))*DR34+(1-(IF(SUM($D32:$DS32)=0,0,IF(SUM($D35:$DS35)=0,1,'Вводные'!$B$63))))*DR36)</x:f>
      </x:c>
      <x:c r="DS46" s="107" t="n">
        <x:f>'Вводные'!$O$89*((IF(SUM($D32:$DS32)=0,0,IF(SUM($D35:$DS35)=0,1,'Вводные'!$B$63)))*DS34+(1-(IF(SUM($D32:$DS32)=0,0,IF(SUM($D35:$DS35)=0,1,'Вводные'!$B$63))))*DS36)</x:f>
      </x:c>
    </x:row>
    <x:row r="47">
      <x:c r="A47" t="str">
        <x:v>Кладовые — цена</x:v>
      </x:c>
      <x:c r="B47" t="n">
        <x:f>IFERROR(B48*1000/B46,0)</x:f>
      </x:c>
      <x:c r="C47" t="str">
        <x:v>тыс. ₽/шт.</x:v>
      </x:c>
      <x:c r="D47" s="107" t="n">
        <x:f>IF(D46=0,0,'Вводные'!$B$62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7" s="107" t="n">
        <x:f>IF(E46=0,0,'Вводные'!$B$62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7" s="107" t="n">
        <x:f>IF(F46=0,0,'Вводные'!$B$62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7" s="107" t="n">
        <x:f>IF(G46=0,0,'Вводные'!$B$62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7" s="107" t="n">
        <x:f>IF(H46=0,0,'Вводные'!$B$62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7" s="107" t="n">
        <x:f>IF(I46=0,0,'Вводные'!$B$62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7" s="107" t="n">
        <x:f>IF(J46=0,0,'Вводные'!$B$62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7" s="107" t="n">
        <x:f>IF(K46=0,0,'Вводные'!$B$62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7" s="107" t="n">
        <x:f>IF(L46=0,0,'Вводные'!$B$62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7" s="107" t="n">
        <x:f>IF(M46=0,0,'Вводные'!$B$62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7" s="107" t="n">
        <x:f>IF(N46=0,0,'Вводные'!$B$62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7" s="107" t="n">
        <x:f>IF(O46=0,0,'Вводные'!$B$62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7" s="107" t="n">
        <x:f>IF(P46=0,0,'Вводные'!$B$62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7" s="107" t="n">
        <x:f>IF(Q46=0,0,'Вводные'!$B$62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7" s="107" t="n">
        <x:f>IF(R46=0,0,'Вводные'!$B$62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7" s="107" t="n">
        <x:f>IF(S46=0,0,'Вводные'!$B$62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7" s="107" t="n">
        <x:f>IF(T46=0,0,'Вводные'!$B$62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7" s="107" t="n">
        <x:f>IF(U46=0,0,'Вводные'!$B$62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7" s="107" t="n">
        <x:f>IF(V46=0,0,'Вводные'!$B$62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7" s="107" t="n">
        <x:f>IF(W46=0,0,'Вводные'!$B$62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7" s="107" t="n">
        <x:f>IF(X46=0,0,'Вводные'!$B$62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7" s="107" t="n">
        <x:f>IF(Y46=0,0,'Вводные'!$B$62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7" s="107" t="n">
        <x:f>IF(Z46=0,0,'Вводные'!$B$62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7" s="107" t="n">
        <x:f>IF(AA46=0,0,'Вводные'!$B$62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7" s="107" t="n">
        <x:f>IF(AB46=0,0,'Вводные'!$B$62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7" s="107" t="n">
        <x:f>IF(AC46=0,0,'Вводные'!$B$62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7" s="107" t="n">
        <x:f>IF(AD46=0,0,'Вводные'!$B$62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7" s="107" t="n">
        <x:f>IF(AE46=0,0,'Вводные'!$B$62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7" s="107" t="n">
        <x:f>IF(AF46=0,0,'Вводные'!$B$62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7" s="107" t="n">
        <x:f>IF(AG46=0,0,'Вводные'!$B$62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7" s="107" t="n">
        <x:f>IF(AH46=0,0,'Вводные'!$B$62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7" s="107" t="n">
        <x:f>IF(AI46=0,0,'Вводные'!$B$62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7" s="107" t="n">
        <x:f>IF(AJ46=0,0,'Вводные'!$B$62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7" s="107" t="n">
        <x:f>IF(AK46=0,0,'Вводные'!$B$62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7" s="107" t="n">
        <x:f>IF(AL46=0,0,'Вводные'!$B$62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7" s="107" t="n">
        <x:f>IF(AM46=0,0,'Вводные'!$B$62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7" s="107" t="n">
        <x:f>IF(AN46=0,0,'Вводные'!$B$62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7" s="107" t="n">
        <x:f>IF(AO46=0,0,'Вводные'!$B$62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7" s="107" t="n">
        <x:f>IF(AP46=0,0,'Вводные'!$B$62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7" s="107" t="n">
        <x:f>IF(AQ46=0,0,'Вводные'!$B$62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7" s="107" t="n">
        <x:f>IF(AR46=0,0,'Вводные'!$B$62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7" s="107" t="n">
        <x:f>IF(AS46=0,0,'Вводные'!$B$62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7" s="107" t="n">
        <x:f>IF(AT46=0,0,'Вводные'!$B$62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7" s="107" t="n">
        <x:f>IF(AU46=0,0,'Вводные'!$B$62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7" s="107" t="n">
        <x:f>IF(AV46=0,0,'Вводные'!$B$62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7" s="107" t="n">
        <x:f>IF(AW46=0,0,'Вводные'!$B$62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7" s="107" t="n">
        <x:f>IF(AX46=0,0,'Вводные'!$B$62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7" s="107" t="n">
        <x:f>IF(AY46=0,0,'Вводные'!$B$62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7" s="107" t="n">
        <x:f>IF(AZ46=0,0,'Вводные'!$B$62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7" s="107" t="n">
        <x:f>IF(BA46=0,0,'Вводные'!$B$62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7" s="107" t="n">
        <x:f>IF(BB46=0,0,'Вводные'!$B$62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7" s="107" t="n">
        <x:f>IF(BC46=0,0,'Вводные'!$B$62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7" s="107" t="n">
        <x:f>IF(BD46=0,0,'Вводные'!$B$62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7" s="107" t="n">
        <x:f>IF(BE46=0,0,'Вводные'!$B$62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7" s="107" t="n">
        <x:f>IF(BF46=0,0,'Вводные'!$B$62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7" s="107" t="n">
        <x:f>IF(BG46=0,0,'Вводные'!$B$62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7" s="107" t="n">
        <x:f>IF(BH46=0,0,'Вводные'!$B$62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7" s="107" t="n">
        <x:f>IF(BI46=0,0,'Вводные'!$B$62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7" s="107" t="n">
        <x:f>IF(BJ46=0,0,'Вводные'!$B$62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7" s="107" t="n">
        <x:f>IF(BK46=0,0,'Вводные'!$B$62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7" s="107" t="n">
        <x:f>IF(BL46=0,0,'Вводные'!$B$62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7" s="107" t="n">
        <x:f>IF(BM46=0,0,'Вводные'!$B$62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7" s="107" t="n">
        <x:f>IF(BN46=0,0,'Вводные'!$B$62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7" s="107" t="n">
        <x:f>IF(BO46=0,0,'Вводные'!$B$62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7" s="107" t="n">
        <x:f>IF(BP46=0,0,'Вводные'!$B$62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7" s="107" t="n">
        <x:f>IF(BQ46=0,0,'Вводные'!$B$62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7" s="107" t="n">
        <x:f>IF(BR46=0,0,'Вводные'!$B$62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7" s="107" t="n">
        <x:f>IF(BS46=0,0,'Вводные'!$B$62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7" s="107" t="n">
        <x:f>IF(BT46=0,0,'Вводные'!$B$62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7" s="107" t="n">
        <x:f>IF(BU46=0,0,'Вводные'!$B$62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7" s="107" t="n">
        <x:f>IF(BV46=0,0,'Вводные'!$B$62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7" s="107" t="n">
        <x:f>IF(BW46=0,0,'Вводные'!$B$62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7" s="107" t="n">
        <x:f>IF(BX46=0,0,'Вводные'!$B$62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7" s="107" t="n">
        <x:f>IF(BY46=0,0,'Вводные'!$B$62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7" s="107" t="n">
        <x:f>IF(BZ46=0,0,'Вводные'!$B$62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7" s="107" t="n">
        <x:f>IF(CA46=0,0,'Вводные'!$B$62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7" s="107" t="n">
        <x:f>IF(CB46=0,0,'Вводные'!$B$62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7" s="107" t="n">
        <x:f>IF(CC46=0,0,'Вводные'!$B$62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7" s="107" t="n">
        <x:f>IF(CD46=0,0,'Вводные'!$B$62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7" s="107" t="n">
        <x:f>IF(CE46=0,0,'Вводные'!$B$62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7" s="107" t="n">
        <x:f>IF(CF46=0,0,'Вводные'!$B$62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7" s="107" t="n">
        <x:f>IF(CG46=0,0,'Вводные'!$B$62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7" s="107" t="n">
        <x:f>IF(CH46=0,0,'Вводные'!$B$62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7" s="107" t="n">
        <x:f>IF(CI46=0,0,'Вводные'!$B$62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7" s="107" t="n">
        <x:f>IF(CJ46=0,0,'Вводные'!$B$62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7" s="107" t="n">
        <x:f>IF(CK46=0,0,'Вводные'!$B$62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7" s="107" t="n">
        <x:f>IF(CL46=0,0,'Вводные'!$B$62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7" s="107" t="n">
        <x:f>IF(CM46=0,0,'Вводные'!$B$62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7" s="107" t="n">
        <x:f>IF(CN46=0,0,'Вводные'!$B$62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7" s="107" t="n">
        <x:f>IF(CO46=0,0,'Вводные'!$B$62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7" s="107" t="n">
        <x:f>IF(CP46=0,0,'Вводные'!$B$62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7" s="107" t="n">
        <x:f>IF(CQ46=0,0,'Вводные'!$B$62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7" s="107" t="n">
        <x:f>IF(CR46=0,0,'Вводные'!$B$62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7" s="107" t="n">
        <x:f>IF(CS46=0,0,'Вводные'!$B$62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7" s="107" t="n">
        <x:f>IF(CT46=0,0,'Вводные'!$B$62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7" s="107" t="n">
        <x:f>IF(CU46=0,0,'Вводные'!$B$62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7" s="107" t="n">
        <x:f>IF(CV46=0,0,'Вводные'!$B$62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7" s="107" t="n">
        <x:f>IF(CW46=0,0,'Вводные'!$B$62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7" s="107" t="n">
        <x:f>IF(CX46=0,0,'Вводные'!$B$62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7" s="107" t="n">
        <x:f>IF(CY46=0,0,'Вводные'!$B$62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7" s="107" t="n">
        <x:f>IF(CZ46=0,0,'Вводные'!$B$62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7" s="107" t="n">
        <x:f>IF(DA46=0,0,'Вводные'!$B$62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7" s="107" t="n">
        <x:f>IF(DB46=0,0,'Вводные'!$B$62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7" s="107" t="n">
        <x:f>IF(DC46=0,0,'Вводные'!$B$62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7" s="107" t="n">
        <x:f>IF(DD46=0,0,'Вводные'!$B$62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7" s="107" t="n">
        <x:f>IF(DE46=0,0,'Вводные'!$B$62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7" s="107" t="n">
        <x:f>IF(DF46=0,0,'Вводные'!$B$62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7" s="107" t="n">
        <x:f>IF(DG46=0,0,'Вводные'!$B$62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7" s="107" t="n">
        <x:f>IF(DH46=0,0,'Вводные'!$B$62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7" s="107" t="n">
        <x:f>IF(DI46=0,0,'Вводные'!$B$62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7" s="107" t="n">
        <x:f>IF(DJ46=0,0,'Вводные'!$B$62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7" s="107" t="n">
        <x:f>IF(DK46=0,0,'Вводные'!$B$62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7" s="107" t="n">
        <x:f>IF(DL46=0,0,'Вводные'!$B$62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7" s="107" t="n">
        <x:f>IF(DM46=0,0,'Вводные'!$B$62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7" s="107" t="n">
        <x:f>IF(DN46=0,0,'Вводные'!$B$62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7" s="107" t="n">
        <x:f>IF(DO46=0,0,'Вводные'!$B$62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7" s="107" t="n">
        <x:f>IF(DP46=0,0,'Вводные'!$B$62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7" s="107" t="n">
        <x:f>IF(DQ46=0,0,'Вводные'!$B$62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7" s="107" t="n">
        <x:f>IF(DR46=0,0,'Вводные'!$B$62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7" s="107" t="n">
        <x:f>IF(DS46=0,0,'Вводные'!$B$62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8">
      <x:c r="A48" t="str">
        <x:v>Кладовые — выручка</x:v>
      </x:c>
      <x:c r="B48" t="n">
        <x:f>SUM(D48:DS48)</x:f>
      </x:c>
      <x:c r="C48" t="str">
        <x:v>млн ₽</x:v>
      </x:c>
      <x:c r="D48" s="107" t="n">
        <x:f>D46*D47/1000</x:f>
      </x:c>
      <x:c r="E48" s="107" t="n">
        <x:f>E46*E47/1000</x:f>
      </x:c>
      <x:c r="F48" s="107" t="n">
        <x:f>F46*F47/1000</x:f>
      </x:c>
      <x:c r="G48" s="107" t="n">
        <x:f>G46*G47/1000</x:f>
      </x:c>
      <x:c r="H48" s="107" t="n">
        <x:f>H46*H47/1000</x:f>
      </x:c>
      <x:c r="I48" s="107" t="n">
        <x:f>I46*I47/1000</x:f>
      </x:c>
      <x:c r="J48" s="107" t="n">
        <x:f>J46*J47/1000</x:f>
      </x:c>
      <x:c r="K48" s="107" t="n">
        <x:f>K46*K47/1000</x:f>
      </x:c>
      <x:c r="L48" s="107" t="n">
        <x:f>L46*L47/1000</x:f>
      </x:c>
      <x:c r="M48" s="107" t="n">
        <x:f>M46*M47/1000</x:f>
      </x:c>
      <x:c r="N48" s="107" t="n">
        <x:f>N46*N47/1000</x:f>
      </x:c>
      <x:c r="O48" s="107" t="n">
        <x:f>O46*O47/1000</x:f>
      </x:c>
      <x:c r="P48" s="107" t="n">
        <x:f>P46*P47/1000</x:f>
      </x:c>
      <x:c r="Q48" s="107" t="n">
        <x:f>Q46*Q47/1000</x:f>
      </x:c>
      <x:c r="R48" s="107" t="n">
        <x:f>R46*R47/1000</x:f>
      </x:c>
      <x:c r="S48" s="107" t="n">
        <x:f>S46*S47/1000</x:f>
      </x:c>
      <x:c r="T48" s="107" t="n">
        <x:f>T46*T47/1000</x:f>
      </x:c>
      <x:c r="U48" s="107" t="n">
        <x:f>U46*U47/1000</x:f>
      </x:c>
      <x:c r="V48" s="107" t="n">
        <x:f>V46*V47/1000</x:f>
      </x:c>
      <x:c r="W48" s="107" t="n">
        <x:f>W46*W47/1000</x:f>
      </x:c>
      <x:c r="X48" s="107" t="n">
        <x:f>X46*X47/1000</x:f>
      </x:c>
      <x:c r="Y48" s="107" t="n">
        <x:f>Y46*Y47/1000</x:f>
      </x:c>
      <x:c r="Z48" s="107" t="n">
        <x:f>Z46*Z47/1000</x:f>
      </x:c>
      <x:c r="AA48" s="107" t="n">
        <x:f>AA46*AA47/1000</x:f>
      </x:c>
      <x:c r="AB48" s="107" t="n">
        <x:f>AB46*AB47/1000</x:f>
      </x:c>
      <x:c r="AC48" s="107" t="n">
        <x:f>AC46*AC47/1000</x:f>
      </x:c>
      <x:c r="AD48" s="107" t="n">
        <x:f>AD46*AD47/1000</x:f>
      </x:c>
      <x:c r="AE48" s="107" t="n">
        <x:f>AE46*AE47/1000</x:f>
      </x:c>
      <x:c r="AF48" s="107" t="n">
        <x:f>AF46*AF47/1000</x:f>
      </x:c>
      <x:c r="AG48" s="107" t="n">
        <x:f>AG46*AG47/1000</x:f>
      </x:c>
      <x:c r="AH48" s="107" t="n">
        <x:f>AH46*AH47/1000</x:f>
      </x:c>
      <x:c r="AI48" s="107" t="n">
        <x:f>AI46*AI47/1000</x:f>
      </x:c>
      <x:c r="AJ48" s="107" t="n">
        <x:f>AJ46*AJ47/1000</x:f>
      </x:c>
      <x:c r="AK48" s="107" t="n">
        <x:f>AK46*AK47/1000</x:f>
      </x:c>
      <x:c r="AL48" s="107" t="n">
        <x:f>AL46*AL47/1000</x:f>
      </x:c>
      <x:c r="AM48" s="107" t="n">
        <x:f>AM46*AM47/1000</x:f>
      </x:c>
      <x:c r="AN48" s="107" t="n">
        <x:f>AN46*AN47/1000</x:f>
      </x:c>
      <x:c r="AO48" s="107" t="n">
        <x:f>AO46*AO47/1000</x:f>
      </x:c>
      <x:c r="AP48" s="107" t="n">
        <x:f>AP46*AP47/1000</x:f>
      </x:c>
      <x:c r="AQ48" s="107" t="n">
        <x:f>AQ46*AQ47/1000</x:f>
      </x:c>
      <x:c r="AR48" s="107" t="n">
        <x:f>AR46*AR47/1000</x:f>
      </x:c>
      <x:c r="AS48" s="107" t="n">
        <x:f>AS46*AS47/1000</x:f>
      </x:c>
      <x:c r="AT48" s="107" t="n">
        <x:f>AT46*AT47/1000</x:f>
      </x:c>
      <x:c r="AU48" s="107" t="n">
        <x:f>AU46*AU47/1000</x:f>
      </x:c>
      <x:c r="AV48" s="107" t="n">
        <x:f>AV46*AV47/1000</x:f>
      </x:c>
      <x:c r="AW48" s="107" t="n">
        <x:f>AW46*AW47/1000</x:f>
      </x:c>
      <x:c r="AX48" s="107" t="n">
        <x:f>AX46*AX47/1000</x:f>
      </x:c>
      <x:c r="AY48" s="107" t="n">
        <x:f>AY46*AY47/1000</x:f>
      </x:c>
      <x:c r="AZ48" s="107" t="n">
        <x:f>AZ46*AZ47/1000</x:f>
      </x:c>
      <x:c r="BA48" s="107" t="n">
        <x:f>BA46*BA47/1000</x:f>
      </x:c>
      <x:c r="BB48" s="107" t="n">
        <x:f>BB46*BB47/1000</x:f>
      </x:c>
      <x:c r="BC48" s="107" t="n">
        <x:f>BC46*BC47/1000</x:f>
      </x:c>
      <x:c r="BD48" s="107" t="n">
        <x:f>BD46*BD47/1000</x:f>
      </x:c>
      <x:c r="BE48" s="107" t="n">
        <x:f>BE46*BE47/1000</x:f>
      </x:c>
      <x:c r="BF48" s="107" t="n">
        <x:f>BF46*BF47/1000</x:f>
      </x:c>
      <x:c r="BG48" s="107" t="n">
        <x:f>BG46*BG47/1000</x:f>
      </x:c>
      <x:c r="BH48" s="107" t="n">
        <x:f>BH46*BH47/1000</x:f>
      </x:c>
      <x:c r="BI48" s="107" t="n">
        <x:f>BI46*BI47/1000</x:f>
      </x:c>
      <x:c r="BJ48" s="107" t="n">
        <x:f>BJ46*BJ47/1000</x:f>
      </x:c>
      <x:c r="BK48" s="107" t="n">
        <x:f>BK46*BK47/1000</x:f>
      </x:c>
      <x:c r="BL48" s="107" t="n">
        <x:f>BL46*BL47/1000</x:f>
      </x:c>
      <x:c r="BM48" s="107" t="n">
        <x:f>BM46*BM47/1000</x:f>
      </x:c>
      <x:c r="BN48" s="107" t="n">
        <x:f>BN46*BN47/1000</x:f>
      </x:c>
      <x:c r="BO48" s="107" t="n">
        <x:f>BO46*BO47/1000</x:f>
      </x:c>
      <x:c r="BP48" s="107" t="n">
        <x:f>BP46*BP47/1000</x:f>
      </x:c>
      <x:c r="BQ48" s="107" t="n">
        <x:f>BQ46*BQ47/1000</x:f>
      </x:c>
      <x:c r="BR48" s="107" t="n">
        <x:f>BR46*BR47/1000</x:f>
      </x:c>
      <x:c r="BS48" s="107" t="n">
        <x:f>BS46*BS47/1000</x:f>
      </x:c>
      <x:c r="BT48" s="107" t="n">
        <x:f>BT46*BT47/1000</x:f>
      </x:c>
      <x:c r="BU48" s="107" t="n">
        <x:f>BU46*BU47/1000</x:f>
      </x:c>
      <x:c r="BV48" s="107" t="n">
        <x:f>BV46*BV47/1000</x:f>
      </x:c>
      <x:c r="BW48" s="107" t="n">
        <x:f>BW46*BW47/1000</x:f>
      </x:c>
      <x:c r="BX48" s="107" t="n">
        <x:f>BX46*BX47/1000</x:f>
      </x:c>
      <x:c r="BY48" s="107" t="n">
        <x:f>BY46*BY47/1000</x:f>
      </x:c>
      <x:c r="BZ48" s="107" t="n">
        <x:f>BZ46*BZ47/1000</x:f>
      </x:c>
      <x:c r="CA48" s="107" t="n">
        <x:f>CA46*CA47/1000</x:f>
      </x:c>
      <x:c r="CB48" s="107" t="n">
        <x:f>CB46*CB47/1000</x:f>
      </x:c>
      <x:c r="CC48" s="107" t="n">
        <x:f>CC46*CC47/1000</x:f>
      </x:c>
      <x:c r="CD48" s="107" t="n">
        <x:f>CD46*CD47/1000</x:f>
      </x:c>
      <x:c r="CE48" s="107" t="n">
        <x:f>CE46*CE47/1000</x:f>
      </x:c>
      <x:c r="CF48" s="107" t="n">
        <x:f>CF46*CF47/1000</x:f>
      </x:c>
      <x:c r="CG48" s="107" t="n">
        <x:f>CG46*CG47/1000</x:f>
      </x:c>
      <x:c r="CH48" s="107" t="n">
        <x:f>CH46*CH47/1000</x:f>
      </x:c>
      <x:c r="CI48" s="107" t="n">
        <x:f>CI46*CI47/1000</x:f>
      </x:c>
      <x:c r="CJ48" s="107" t="n">
        <x:f>CJ46*CJ47/1000</x:f>
      </x:c>
      <x:c r="CK48" s="107" t="n">
        <x:f>CK46*CK47/1000</x:f>
      </x:c>
      <x:c r="CL48" s="107" t="n">
        <x:f>CL46*CL47/1000</x:f>
      </x:c>
      <x:c r="CM48" s="107" t="n">
        <x:f>CM46*CM47/1000</x:f>
      </x:c>
      <x:c r="CN48" s="107" t="n">
        <x:f>CN46*CN47/1000</x:f>
      </x:c>
      <x:c r="CO48" s="107" t="n">
        <x:f>CO46*CO47/1000</x:f>
      </x:c>
      <x:c r="CP48" s="107" t="n">
        <x:f>CP46*CP47/1000</x:f>
      </x:c>
      <x:c r="CQ48" s="107" t="n">
        <x:f>CQ46*CQ47/1000</x:f>
      </x:c>
      <x:c r="CR48" s="107" t="n">
        <x:f>CR46*CR47/1000</x:f>
      </x:c>
      <x:c r="CS48" s="107" t="n">
        <x:f>CS46*CS47/1000</x:f>
      </x:c>
      <x:c r="CT48" s="107" t="n">
        <x:f>CT46*CT47/1000</x:f>
      </x:c>
      <x:c r="CU48" s="107" t="n">
        <x:f>CU46*CU47/1000</x:f>
      </x:c>
      <x:c r="CV48" s="107" t="n">
        <x:f>CV46*CV47/1000</x:f>
      </x:c>
      <x:c r="CW48" s="107" t="n">
        <x:f>CW46*CW47/1000</x:f>
      </x:c>
      <x:c r="CX48" s="107" t="n">
        <x:f>CX46*CX47/1000</x:f>
      </x:c>
      <x:c r="CY48" s="107" t="n">
        <x:f>CY46*CY47/1000</x:f>
      </x:c>
      <x:c r="CZ48" s="107" t="n">
        <x:f>CZ46*CZ47/1000</x:f>
      </x:c>
      <x:c r="DA48" s="107" t="n">
        <x:f>DA46*DA47/1000</x:f>
      </x:c>
      <x:c r="DB48" s="107" t="n">
        <x:f>DB46*DB47/1000</x:f>
      </x:c>
      <x:c r="DC48" s="107" t="n">
        <x:f>DC46*DC47/1000</x:f>
      </x:c>
      <x:c r="DD48" s="107" t="n">
        <x:f>DD46*DD47/1000</x:f>
      </x:c>
      <x:c r="DE48" s="107" t="n">
        <x:f>DE46*DE47/1000</x:f>
      </x:c>
      <x:c r="DF48" s="107" t="n">
        <x:f>DF46*DF47/1000</x:f>
      </x:c>
      <x:c r="DG48" s="107" t="n">
        <x:f>DG46*DG47/1000</x:f>
      </x:c>
      <x:c r="DH48" s="107" t="n">
        <x:f>DH46*DH47/1000</x:f>
      </x:c>
      <x:c r="DI48" s="107" t="n">
        <x:f>DI46*DI47/1000</x:f>
      </x:c>
      <x:c r="DJ48" s="107" t="n">
        <x:f>DJ46*DJ47/1000</x:f>
      </x:c>
      <x:c r="DK48" s="107" t="n">
        <x:f>DK46*DK47/1000</x:f>
      </x:c>
      <x:c r="DL48" s="107" t="n">
        <x:f>DL46*DL47/1000</x:f>
      </x:c>
      <x:c r="DM48" s="107" t="n">
        <x:f>DM46*DM47/1000</x:f>
      </x:c>
      <x:c r="DN48" s="107" t="n">
        <x:f>DN46*DN47/1000</x:f>
      </x:c>
      <x:c r="DO48" s="107" t="n">
        <x:f>DO46*DO47/1000</x:f>
      </x:c>
      <x:c r="DP48" s="107" t="n">
        <x:f>DP46*DP47/1000</x:f>
      </x:c>
      <x:c r="DQ48" s="107" t="n">
        <x:f>DQ46*DQ47/1000</x:f>
      </x:c>
      <x:c r="DR48" s="107" t="n">
        <x:f>DR46*DR47/1000</x:f>
      </x:c>
      <x:c r="DS48" s="107" t="n">
        <x:f>DS46*DS47/1000</x:f>
      </x:c>
    </x:row>
    <x:row r="49">
      <x:c r="A49" s="113" t="str">
        <x:v>ВЫРУЧКА ОЧЕРЕДИ</x:v>
      </x:c>
      <x:c r="B49" s="113" t="n">
        <x:f>SUM(D49:DS49)</x:f>
      </x:c>
      <x:c r="C49" s="113" t="str">
        <x:v>млн ₽</x:v>
      </x:c>
      <x:c r="D49" s="113" t="n">
        <x:f>SUM(D39,D42,D45,D48)</x:f>
      </x:c>
      <x:c r="E49" s="113" t="n">
        <x:f>SUM(E39,E42,E45,E48)</x:f>
      </x:c>
      <x:c r="F49" s="113" t="n">
        <x:f>SUM(F39,F42,F45,F48)</x:f>
      </x:c>
      <x:c r="G49" s="113" t="n">
        <x:f>SUM(G39,G42,G45,G48)</x:f>
      </x:c>
      <x:c r="H49" s="113" t="n">
        <x:f>SUM(H39,H42,H45,H48)</x:f>
      </x:c>
      <x:c r="I49" s="113" t="n">
        <x:f>SUM(I39,I42,I45,I48)</x:f>
      </x:c>
      <x:c r="J49" s="113" t="n">
        <x:f>SUM(J39,J42,J45,J48)</x:f>
      </x:c>
      <x:c r="K49" s="113" t="n">
        <x:f>SUM(K39,K42,K45,K48)</x:f>
      </x:c>
      <x:c r="L49" s="113" t="n">
        <x:f>SUM(L39,L42,L45,L48)</x:f>
      </x:c>
      <x:c r="M49" s="113" t="n">
        <x:f>SUM(M39,M42,M45,M48)</x:f>
      </x:c>
      <x:c r="N49" s="113" t="n">
        <x:f>SUM(N39,N42,N45,N48)</x:f>
      </x:c>
      <x:c r="O49" s="113" t="n">
        <x:f>SUM(O39,O42,O45,O48)</x:f>
      </x:c>
      <x:c r="P49" s="113" t="n">
        <x:f>SUM(P39,P42,P45,P48)</x:f>
      </x:c>
      <x:c r="Q49" s="113" t="n">
        <x:f>SUM(Q39,Q42,Q45,Q48)</x:f>
      </x:c>
      <x:c r="R49" s="113" t="n">
        <x:f>SUM(R39,R42,R45,R48)</x:f>
      </x:c>
      <x:c r="S49" s="113" t="n">
        <x:f>SUM(S39,S42,S45,S48)</x:f>
      </x:c>
      <x:c r="T49" s="113" t="n">
        <x:f>SUM(T39,T42,T45,T48)</x:f>
      </x:c>
      <x:c r="U49" s="113" t="n">
        <x:f>SUM(U39,U42,U45,U48)</x:f>
      </x:c>
      <x:c r="V49" s="113" t="n">
        <x:f>SUM(V39,V42,V45,V48)</x:f>
      </x:c>
      <x:c r="W49" s="113" t="n">
        <x:f>SUM(W39,W42,W45,W48)</x:f>
      </x:c>
      <x:c r="X49" s="113" t="n">
        <x:f>SUM(X39,X42,X45,X48)</x:f>
      </x:c>
      <x:c r="Y49" s="113" t="n">
        <x:f>SUM(Y39,Y42,Y45,Y48)</x:f>
      </x:c>
      <x:c r="Z49" s="113" t="n">
        <x:f>SUM(Z39,Z42,Z45,Z48)</x:f>
      </x:c>
      <x:c r="AA49" s="113" t="n">
        <x:f>SUM(AA39,AA42,AA45,AA48)</x:f>
      </x:c>
      <x:c r="AB49" s="113" t="n">
        <x:f>SUM(AB39,AB42,AB45,AB48)</x:f>
      </x:c>
      <x:c r="AC49" s="113" t="n">
        <x:f>SUM(AC39,AC42,AC45,AC48)</x:f>
      </x:c>
      <x:c r="AD49" s="113" t="n">
        <x:f>SUM(AD39,AD42,AD45,AD48)</x:f>
      </x:c>
      <x:c r="AE49" s="113" t="n">
        <x:f>SUM(AE39,AE42,AE45,AE48)</x:f>
      </x:c>
      <x:c r="AF49" s="113" t="n">
        <x:f>SUM(AF39,AF42,AF45,AF48)</x:f>
      </x:c>
      <x:c r="AG49" s="113" t="n">
        <x:f>SUM(AG39,AG42,AG45,AG48)</x:f>
      </x:c>
      <x:c r="AH49" s="113" t="n">
        <x:f>SUM(AH39,AH42,AH45,AH48)</x:f>
      </x:c>
      <x:c r="AI49" s="113" t="n">
        <x:f>SUM(AI39,AI42,AI45,AI48)</x:f>
      </x:c>
      <x:c r="AJ49" s="113" t="n">
        <x:f>SUM(AJ39,AJ42,AJ45,AJ48)</x:f>
      </x:c>
      <x:c r="AK49" s="113" t="n">
        <x:f>SUM(AK39,AK42,AK45,AK48)</x:f>
      </x:c>
      <x:c r="AL49" s="113" t="n">
        <x:f>SUM(AL39,AL42,AL45,AL48)</x:f>
      </x:c>
      <x:c r="AM49" s="113" t="n">
        <x:f>SUM(AM39,AM42,AM45,AM48)</x:f>
      </x:c>
      <x:c r="AN49" s="113" t="n">
        <x:f>SUM(AN39,AN42,AN45,AN48)</x:f>
      </x:c>
      <x:c r="AO49" s="113" t="n">
        <x:f>SUM(AO39,AO42,AO45,AO48)</x:f>
      </x:c>
      <x:c r="AP49" s="113" t="n">
        <x:f>SUM(AP39,AP42,AP45,AP48)</x:f>
      </x:c>
      <x:c r="AQ49" s="113" t="n">
        <x:f>SUM(AQ39,AQ42,AQ45,AQ48)</x:f>
      </x:c>
      <x:c r="AR49" s="113" t="n">
        <x:f>SUM(AR39,AR42,AR45,AR48)</x:f>
      </x:c>
      <x:c r="AS49" s="113" t="n">
        <x:f>SUM(AS39,AS42,AS45,AS48)</x:f>
      </x:c>
      <x:c r="AT49" s="113" t="n">
        <x:f>SUM(AT39,AT42,AT45,AT48)</x:f>
      </x:c>
      <x:c r="AU49" s="113" t="n">
        <x:f>SUM(AU39,AU42,AU45,AU48)</x:f>
      </x:c>
      <x:c r="AV49" s="113" t="n">
        <x:f>SUM(AV39,AV42,AV45,AV48)</x:f>
      </x:c>
      <x:c r="AW49" s="113" t="n">
        <x:f>SUM(AW39,AW42,AW45,AW48)</x:f>
      </x:c>
      <x:c r="AX49" s="113" t="n">
        <x:f>SUM(AX39,AX42,AX45,AX48)</x:f>
      </x:c>
      <x:c r="AY49" s="113" t="n">
        <x:f>SUM(AY39,AY42,AY45,AY48)</x:f>
      </x:c>
      <x:c r="AZ49" s="113" t="n">
        <x:f>SUM(AZ39,AZ42,AZ45,AZ48)</x:f>
      </x:c>
      <x:c r="BA49" s="113" t="n">
        <x:f>SUM(BA39,BA42,BA45,BA48)</x:f>
      </x:c>
      <x:c r="BB49" s="113" t="n">
        <x:f>SUM(BB39,BB42,BB45,BB48)</x:f>
      </x:c>
      <x:c r="BC49" s="113" t="n">
        <x:f>SUM(BC39,BC42,BC45,BC48)</x:f>
      </x:c>
      <x:c r="BD49" s="113" t="n">
        <x:f>SUM(BD39,BD42,BD45,BD48)</x:f>
      </x:c>
      <x:c r="BE49" s="113" t="n">
        <x:f>SUM(BE39,BE42,BE45,BE48)</x:f>
      </x:c>
      <x:c r="BF49" s="113" t="n">
        <x:f>SUM(BF39,BF42,BF45,BF48)</x:f>
      </x:c>
      <x:c r="BG49" s="113" t="n">
        <x:f>SUM(BG39,BG42,BG45,BG48)</x:f>
      </x:c>
      <x:c r="BH49" s="113" t="n">
        <x:f>SUM(BH39,BH42,BH45,BH48)</x:f>
      </x:c>
      <x:c r="BI49" s="113" t="n">
        <x:f>SUM(BI39,BI42,BI45,BI48)</x:f>
      </x:c>
      <x:c r="BJ49" s="113" t="n">
        <x:f>SUM(BJ39,BJ42,BJ45,BJ48)</x:f>
      </x:c>
      <x:c r="BK49" s="113" t="n">
        <x:f>SUM(BK39,BK42,BK45,BK48)</x:f>
      </x:c>
      <x:c r="BL49" s="113" t="n">
        <x:f>SUM(BL39,BL42,BL45,BL48)</x:f>
      </x:c>
      <x:c r="BM49" s="113" t="n">
        <x:f>SUM(BM39,BM42,BM45,BM48)</x:f>
      </x:c>
      <x:c r="BN49" s="113" t="n">
        <x:f>SUM(BN39,BN42,BN45,BN48)</x:f>
      </x:c>
      <x:c r="BO49" s="113" t="n">
        <x:f>SUM(BO39,BO42,BO45,BO48)</x:f>
      </x:c>
      <x:c r="BP49" s="113" t="n">
        <x:f>SUM(BP39,BP42,BP45,BP48)</x:f>
      </x:c>
      <x:c r="BQ49" s="113" t="n">
        <x:f>SUM(BQ39,BQ42,BQ45,BQ48)</x:f>
      </x:c>
      <x:c r="BR49" s="113" t="n">
        <x:f>SUM(BR39,BR42,BR45,BR48)</x:f>
      </x:c>
      <x:c r="BS49" s="113" t="n">
        <x:f>SUM(BS39,BS42,BS45,BS48)</x:f>
      </x:c>
      <x:c r="BT49" s="113" t="n">
        <x:f>SUM(BT39,BT42,BT45,BT48)</x:f>
      </x:c>
      <x:c r="BU49" s="113" t="n">
        <x:f>SUM(BU39,BU42,BU45,BU48)</x:f>
      </x:c>
      <x:c r="BV49" s="113" t="n">
        <x:f>SUM(BV39,BV42,BV45,BV48)</x:f>
      </x:c>
      <x:c r="BW49" s="113" t="n">
        <x:f>SUM(BW39,BW42,BW45,BW48)</x:f>
      </x:c>
      <x:c r="BX49" s="113" t="n">
        <x:f>SUM(BX39,BX42,BX45,BX48)</x:f>
      </x:c>
      <x:c r="BY49" s="113" t="n">
        <x:f>SUM(BY39,BY42,BY45,BY48)</x:f>
      </x:c>
      <x:c r="BZ49" s="113" t="n">
        <x:f>SUM(BZ39,BZ42,BZ45,BZ48)</x:f>
      </x:c>
      <x:c r="CA49" s="113" t="n">
        <x:f>SUM(CA39,CA42,CA45,CA48)</x:f>
      </x:c>
      <x:c r="CB49" s="113" t="n">
        <x:f>SUM(CB39,CB42,CB45,CB48)</x:f>
      </x:c>
      <x:c r="CC49" s="113" t="n">
        <x:f>SUM(CC39,CC42,CC45,CC48)</x:f>
      </x:c>
      <x:c r="CD49" s="113" t="n">
        <x:f>SUM(CD39,CD42,CD45,CD48)</x:f>
      </x:c>
      <x:c r="CE49" s="113" t="n">
        <x:f>SUM(CE39,CE42,CE45,CE48)</x:f>
      </x:c>
      <x:c r="CF49" s="113" t="n">
        <x:f>SUM(CF39,CF42,CF45,CF48)</x:f>
      </x:c>
      <x:c r="CG49" s="113" t="n">
        <x:f>SUM(CG39,CG42,CG45,CG48)</x:f>
      </x:c>
      <x:c r="CH49" s="113" t="n">
        <x:f>SUM(CH39,CH42,CH45,CH48)</x:f>
      </x:c>
      <x:c r="CI49" s="113" t="n">
        <x:f>SUM(CI39,CI42,CI45,CI48)</x:f>
      </x:c>
      <x:c r="CJ49" s="113" t="n">
        <x:f>SUM(CJ39,CJ42,CJ45,CJ48)</x:f>
      </x:c>
      <x:c r="CK49" s="113" t="n">
        <x:f>SUM(CK39,CK42,CK45,CK48)</x:f>
      </x:c>
      <x:c r="CL49" s="113" t="n">
        <x:f>SUM(CL39,CL42,CL45,CL48)</x:f>
      </x:c>
      <x:c r="CM49" s="113" t="n">
        <x:f>SUM(CM39,CM42,CM45,CM48)</x:f>
      </x:c>
      <x:c r="CN49" s="113" t="n">
        <x:f>SUM(CN39,CN42,CN45,CN48)</x:f>
      </x:c>
      <x:c r="CO49" s="113" t="n">
        <x:f>SUM(CO39,CO42,CO45,CO48)</x:f>
      </x:c>
      <x:c r="CP49" s="113" t="n">
        <x:f>SUM(CP39,CP42,CP45,CP48)</x:f>
      </x:c>
      <x:c r="CQ49" s="113" t="n">
        <x:f>SUM(CQ39,CQ42,CQ45,CQ48)</x:f>
      </x:c>
      <x:c r="CR49" s="113" t="n">
        <x:f>SUM(CR39,CR42,CR45,CR48)</x:f>
      </x:c>
      <x:c r="CS49" s="113" t="n">
        <x:f>SUM(CS39,CS42,CS45,CS48)</x:f>
      </x:c>
      <x:c r="CT49" s="113" t="n">
        <x:f>SUM(CT39,CT42,CT45,CT48)</x:f>
      </x:c>
      <x:c r="CU49" s="113" t="n">
        <x:f>SUM(CU39,CU42,CU45,CU48)</x:f>
      </x:c>
      <x:c r="CV49" s="113" t="n">
        <x:f>SUM(CV39,CV42,CV45,CV48)</x:f>
      </x:c>
      <x:c r="CW49" s="113" t="n">
        <x:f>SUM(CW39,CW42,CW45,CW48)</x:f>
      </x:c>
      <x:c r="CX49" s="113" t="n">
        <x:f>SUM(CX39,CX42,CX45,CX48)</x:f>
      </x:c>
      <x:c r="CY49" s="113" t="n">
        <x:f>SUM(CY39,CY42,CY45,CY48)</x:f>
      </x:c>
      <x:c r="CZ49" s="113" t="n">
        <x:f>SUM(CZ39,CZ42,CZ45,CZ48)</x:f>
      </x:c>
      <x:c r="DA49" s="113" t="n">
        <x:f>SUM(DA39,DA42,DA45,DA48)</x:f>
      </x:c>
      <x:c r="DB49" s="113" t="n">
        <x:f>SUM(DB39,DB42,DB45,DB48)</x:f>
      </x:c>
      <x:c r="DC49" s="113" t="n">
        <x:f>SUM(DC39,DC42,DC45,DC48)</x:f>
      </x:c>
      <x:c r="DD49" s="113" t="n">
        <x:f>SUM(DD39,DD42,DD45,DD48)</x:f>
      </x:c>
      <x:c r="DE49" s="113" t="n">
        <x:f>SUM(DE39,DE42,DE45,DE48)</x:f>
      </x:c>
      <x:c r="DF49" s="113" t="n">
        <x:f>SUM(DF39,DF42,DF45,DF48)</x:f>
      </x:c>
      <x:c r="DG49" s="113" t="n">
        <x:f>SUM(DG39,DG42,DG45,DG48)</x:f>
      </x:c>
      <x:c r="DH49" s="113" t="n">
        <x:f>SUM(DH39,DH42,DH45,DH48)</x:f>
      </x:c>
      <x:c r="DI49" s="113" t="n">
        <x:f>SUM(DI39,DI42,DI45,DI48)</x:f>
      </x:c>
      <x:c r="DJ49" s="113" t="n">
        <x:f>SUM(DJ39,DJ42,DJ45,DJ48)</x:f>
      </x:c>
      <x:c r="DK49" s="113" t="n">
        <x:f>SUM(DK39,DK42,DK45,DK48)</x:f>
      </x:c>
      <x:c r="DL49" s="113" t="n">
        <x:f>SUM(DL39,DL42,DL45,DL48)</x:f>
      </x:c>
      <x:c r="DM49" s="113" t="n">
        <x:f>SUM(DM39,DM42,DM45,DM48)</x:f>
      </x:c>
      <x:c r="DN49" s="113" t="n">
        <x:f>SUM(DN39,DN42,DN45,DN48)</x:f>
      </x:c>
      <x:c r="DO49" s="113" t="n">
        <x:f>SUM(DO39,DO42,DO45,DO48)</x:f>
      </x:c>
      <x:c r="DP49" s="113" t="n">
        <x:f>SUM(DP39,DP42,DP45,DP48)</x:f>
      </x:c>
      <x:c r="DQ49" s="113" t="n">
        <x:f>SUM(DQ39,DQ42,DQ45,DQ48)</x:f>
      </x:c>
      <x:c r="DR49" s="113" t="n">
        <x:f>SUM(DR39,DR42,DR45,DR48)</x:f>
      </x:c>
      <x:c r="DS49" s="113" t="n">
        <x:f>SUM(DS39,DS42,DS45,DS48)</x:f>
      </x:c>
    </x:row>
    <x:row r="52" ht="21" customHeight="1">
      <x:c r="A52" s="52" t="str">
        <x:v>ОЧЕРЕДЬ 3</x:v>
      </x:c>
      <x:c r="B52" s="53" t="str">
        <x:v>ОЧЕРЕДЬ 3</x:v>
      </x:c>
      <x:c r="C52" s="53" t="str">
        <x:v>ОЧЕРЕДЬ 3</x:v>
      </x:c>
      <x:c r="D52" s="53" t="str">
        <x:v>ОЧЕРЕДЬ 3</x:v>
      </x:c>
      <x:c r="E52" s="53" t="str">
        <x:v>ОЧЕРЕДЬ 3</x:v>
      </x:c>
      <x:c r="F52" s="53" t="str">
        <x:v>ОЧЕРЕДЬ 3</x:v>
      </x:c>
      <x:c r="G52" s="53" t="str">
        <x:v>ОЧЕРЕДЬ 3</x:v>
      </x:c>
      <x:c r="H52" s="53" t="str">
        <x:v>ОЧЕРЕДЬ 3</x:v>
      </x:c>
      <x:c r="I52" s="53" t="str">
        <x:v>ОЧЕРЕДЬ 3</x:v>
      </x:c>
      <x:c r="J52" s="53" t="str">
        <x:v>ОЧЕРЕДЬ 3</x:v>
      </x:c>
      <x:c r="K52" s="53" t="str">
        <x:v>ОЧЕРЕДЬ 3</x:v>
      </x:c>
      <x:c r="L52" s="53" t="str">
        <x:v>ОЧЕРЕДЬ 3</x:v>
      </x:c>
      <x:c r="M52" s="53" t="str">
        <x:v>ОЧЕРЕДЬ 3</x:v>
      </x:c>
      <x:c r="N52" s="53" t="str">
        <x:v>ОЧЕРЕДЬ 3</x:v>
      </x:c>
      <x:c r="O52" s="53" t="str">
        <x:v>ОЧЕРЕДЬ 3</x:v>
      </x:c>
      <x:c r="P52" s="53" t="str">
        <x:v>ОЧЕРЕДЬ 3</x:v>
      </x:c>
      <x:c r="Q52" s="53" t="str">
        <x:v>ОЧЕРЕДЬ 3</x:v>
      </x:c>
      <x:c r="R52" s="53" t="str">
        <x:v>ОЧЕРЕДЬ 3</x:v>
      </x:c>
      <x:c r="S52" s="53" t="str">
        <x:v>ОЧЕРЕДЬ 3</x:v>
      </x:c>
      <x:c r="T52" s="53" t="str">
        <x:v>ОЧЕРЕДЬ 3</x:v>
      </x:c>
      <x:c r="U52" s="53" t="str">
        <x:v>ОЧЕРЕДЬ 3</x:v>
      </x:c>
      <x:c r="V52" s="53" t="str">
        <x:v>ОЧЕРЕДЬ 3</x:v>
      </x:c>
      <x:c r="W52" s="53" t="str">
        <x:v>ОЧЕРЕДЬ 3</x:v>
      </x:c>
      <x:c r="X52" s="53" t="str">
        <x:v>ОЧЕРЕДЬ 3</x:v>
      </x:c>
      <x:c r="Y52" s="53" t="str">
        <x:v>ОЧЕРЕДЬ 3</x:v>
      </x:c>
      <x:c r="Z52" s="53" t="str">
        <x:v>ОЧЕРЕДЬ 3</x:v>
      </x:c>
      <x:c r="AA52" s="53" t="str">
        <x:v>ОЧЕРЕДЬ 3</x:v>
      </x:c>
      <x:c r="AB52" s="53" t="str">
        <x:v>ОЧЕРЕДЬ 3</x:v>
      </x:c>
      <x:c r="AC52" s="53" t="str">
        <x:v>ОЧЕРЕДЬ 3</x:v>
      </x:c>
      <x:c r="AD52" s="53" t="str">
        <x:v>ОЧЕРЕДЬ 3</x:v>
      </x:c>
      <x:c r="AE52" s="53" t="str">
        <x:v>ОЧЕРЕДЬ 3</x:v>
      </x:c>
      <x:c r="AF52" s="53" t="str">
        <x:v>ОЧЕРЕДЬ 3</x:v>
      </x:c>
      <x:c r="AG52" s="53" t="str">
        <x:v>ОЧЕРЕДЬ 3</x:v>
      </x:c>
      <x:c r="AH52" s="53" t="str">
        <x:v>ОЧЕРЕДЬ 3</x:v>
      </x:c>
      <x:c r="AI52" s="53" t="str">
        <x:v>ОЧЕРЕДЬ 3</x:v>
      </x:c>
      <x:c r="AJ52" s="53" t="str">
        <x:v>ОЧЕРЕДЬ 3</x:v>
      </x:c>
      <x:c r="AK52" s="53" t="str">
        <x:v>ОЧЕРЕДЬ 3</x:v>
      </x:c>
      <x:c r="AL52" s="53" t="str">
        <x:v>ОЧЕРЕДЬ 3</x:v>
      </x:c>
      <x:c r="AM52" s="53" t="str">
        <x:v>ОЧЕРЕДЬ 3</x:v>
      </x:c>
      <x:c r="AN52" s="53" t="str">
        <x:v>ОЧЕРЕДЬ 3</x:v>
      </x:c>
      <x:c r="AO52" s="53" t="str">
        <x:v>ОЧЕРЕДЬ 3</x:v>
      </x:c>
      <x:c r="AP52" s="53" t="str">
        <x:v>ОЧЕРЕДЬ 3</x:v>
      </x:c>
      <x:c r="AQ52" s="53" t="str">
        <x:v>ОЧЕРЕДЬ 3</x:v>
      </x:c>
      <x:c r="AR52" s="53" t="str">
        <x:v>ОЧЕРЕДЬ 3</x:v>
      </x:c>
      <x:c r="AS52" s="53" t="str">
        <x:v>ОЧЕРЕДЬ 3</x:v>
      </x:c>
      <x:c r="AT52" s="53" t="str">
        <x:v>ОЧЕРЕДЬ 3</x:v>
      </x:c>
      <x:c r="AU52" s="53" t="str">
        <x:v>ОЧЕРЕДЬ 3</x:v>
      </x:c>
      <x:c r="AV52" s="53" t="str">
        <x:v>ОЧЕРЕДЬ 3</x:v>
      </x:c>
      <x:c r="AW52" s="53" t="str">
        <x:v>ОЧЕРЕДЬ 3</x:v>
      </x:c>
      <x:c r="AX52" s="53" t="str">
        <x:v>ОЧЕРЕДЬ 3</x:v>
      </x:c>
      <x:c r="AY52" s="53" t="str">
        <x:v>ОЧЕРЕДЬ 3</x:v>
      </x:c>
      <x:c r="AZ52" s="53" t="str">
        <x:v>ОЧЕРЕДЬ 3</x:v>
      </x:c>
      <x:c r="BA52" s="53" t="str">
        <x:v>ОЧЕРЕДЬ 3</x:v>
      </x:c>
      <x:c r="BB52" s="53" t="str">
        <x:v>ОЧЕРЕДЬ 3</x:v>
      </x:c>
      <x:c r="BC52" s="53" t="str">
        <x:v>ОЧЕРЕДЬ 3</x:v>
      </x:c>
      <x:c r="BD52" s="53" t="str">
        <x:v>ОЧЕРЕДЬ 3</x:v>
      </x:c>
      <x:c r="BE52" s="53" t="str">
        <x:v>ОЧЕРЕДЬ 3</x:v>
      </x:c>
      <x:c r="BF52" s="53" t="str">
        <x:v>ОЧЕРЕДЬ 3</x:v>
      </x:c>
      <x:c r="BG52" s="53" t="str">
        <x:v>ОЧЕРЕДЬ 3</x:v>
      </x:c>
      <x:c r="BH52" s="53" t="str">
        <x:v>ОЧЕРЕДЬ 3</x:v>
      </x:c>
      <x:c r="BI52" s="53" t="str">
        <x:v>ОЧЕРЕДЬ 3</x:v>
      </x:c>
      <x:c r="BJ52" s="53" t="str">
        <x:v>ОЧЕРЕДЬ 3</x:v>
      </x:c>
      <x:c r="BK52" s="53" t="str">
        <x:v>ОЧЕРЕДЬ 3</x:v>
      </x:c>
      <x:c r="BL52" s="53" t="str">
        <x:v>ОЧЕРЕДЬ 3</x:v>
      </x:c>
      <x:c r="BM52" s="53" t="str">
        <x:v>ОЧЕРЕДЬ 3</x:v>
      </x:c>
      <x:c r="BN52" s="53" t="str">
        <x:v>ОЧЕРЕДЬ 3</x:v>
      </x:c>
      <x:c r="BO52" s="53" t="str">
        <x:v>ОЧЕРЕДЬ 3</x:v>
      </x:c>
      <x:c r="BP52" s="53" t="str">
        <x:v>ОЧЕРЕДЬ 3</x:v>
      </x:c>
      <x:c r="BQ52" s="53" t="str">
        <x:v>ОЧЕРЕДЬ 3</x:v>
      </x:c>
      <x:c r="BR52" s="53" t="str">
        <x:v>ОЧЕРЕДЬ 3</x:v>
      </x:c>
      <x:c r="BS52" s="53" t="str">
        <x:v>ОЧЕРЕДЬ 3</x:v>
      </x:c>
      <x:c r="BT52" s="53" t="str">
        <x:v>ОЧЕРЕДЬ 3</x:v>
      </x:c>
      <x:c r="BU52" s="53" t="str">
        <x:v>ОЧЕРЕДЬ 3</x:v>
      </x:c>
      <x:c r="BV52" s="53" t="str">
        <x:v>ОЧЕРЕДЬ 3</x:v>
      </x:c>
      <x:c r="BW52" s="53" t="str">
        <x:v>ОЧЕРЕДЬ 3</x:v>
      </x:c>
      <x:c r="BX52" s="53" t="str">
        <x:v>ОЧЕРЕДЬ 3</x:v>
      </x:c>
      <x:c r="BY52" s="53" t="str">
        <x:v>ОЧЕРЕДЬ 3</x:v>
      </x:c>
      <x:c r="BZ52" s="53" t="str">
        <x:v>ОЧЕРЕДЬ 3</x:v>
      </x:c>
      <x:c r="CA52" s="53" t="str">
        <x:v>ОЧЕРЕДЬ 3</x:v>
      </x:c>
      <x:c r="CB52" s="53" t="str">
        <x:v>ОЧЕРЕДЬ 3</x:v>
      </x:c>
      <x:c r="CC52" s="53" t="str">
        <x:v>ОЧЕРЕДЬ 3</x:v>
      </x:c>
      <x:c r="CD52" s="53" t="str">
        <x:v>ОЧЕРЕДЬ 3</x:v>
      </x:c>
      <x:c r="CE52" s="53" t="str">
        <x:v>ОЧЕРЕДЬ 3</x:v>
      </x:c>
      <x:c r="CF52" s="53" t="str">
        <x:v>ОЧЕРЕДЬ 3</x:v>
      </x:c>
      <x:c r="CG52" s="53" t="str">
        <x:v>ОЧЕРЕДЬ 3</x:v>
      </x:c>
      <x:c r="CH52" s="53" t="str">
        <x:v>ОЧЕРЕДЬ 3</x:v>
      </x:c>
      <x:c r="CI52" s="53" t="str">
        <x:v>ОЧЕРЕДЬ 3</x:v>
      </x:c>
      <x:c r="CJ52" s="53" t="str">
        <x:v>ОЧЕРЕДЬ 3</x:v>
      </x:c>
      <x:c r="CK52" s="53" t="str">
        <x:v>ОЧЕРЕДЬ 3</x:v>
      </x:c>
      <x:c r="CL52" s="53" t="str">
        <x:v>ОЧЕРЕДЬ 3</x:v>
      </x:c>
      <x:c r="CM52" s="53" t="str">
        <x:v>ОЧЕРЕДЬ 3</x:v>
      </x:c>
      <x:c r="CN52" s="53" t="str">
        <x:v>ОЧЕРЕДЬ 3</x:v>
      </x:c>
      <x:c r="CO52" s="53" t="str">
        <x:v>ОЧЕРЕДЬ 3</x:v>
      </x:c>
      <x:c r="CP52" s="53" t="str">
        <x:v>ОЧЕРЕДЬ 3</x:v>
      </x:c>
      <x:c r="CQ52" s="53" t="str">
        <x:v>ОЧЕРЕДЬ 3</x:v>
      </x:c>
      <x:c r="CR52" s="53" t="str">
        <x:v>ОЧЕРЕДЬ 3</x:v>
      </x:c>
      <x:c r="CS52" s="53" t="str">
        <x:v>ОЧЕРЕДЬ 3</x:v>
      </x:c>
      <x:c r="CT52" s="53" t="str">
        <x:v>ОЧЕРЕДЬ 3</x:v>
      </x:c>
      <x:c r="CU52" s="53" t="str">
        <x:v>ОЧЕРЕДЬ 3</x:v>
      </x:c>
      <x:c r="CV52" s="53" t="str">
        <x:v>ОЧЕРЕДЬ 3</x:v>
      </x:c>
      <x:c r="CW52" s="53" t="str">
        <x:v>ОЧЕРЕДЬ 3</x:v>
      </x:c>
      <x:c r="CX52" s="53" t="str">
        <x:v>ОЧЕРЕДЬ 3</x:v>
      </x:c>
      <x:c r="CY52" s="53" t="str">
        <x:v>ОЧЕРЕДЬ 3</x:v>
      </x:c>
      <x:c r="CZ52" s="53" t="str">
        <x:v>ОЧЕРЕДЬ 3</x:v>
      </x:c>
      <x:c r="DA52" s="53" t="str">
        <x:v>ОЧЕРЕДЬ 3</x:v>
      </x:c>
      <x:c r="DB52" s="53" t="str">
        <x:v>ОЧЕРЕДЬ 3</x:v>
      </x:c>
      <x:c r="DC52" s="53" t="str">
        <x:v>ОЧЕРЕДЬ 3</x:v>
      </x:c>
      <x:c r="DD52" s="53" t="str">
        <x:v>ОЧЕРЕДЬ 3</x:v>
      </x:c>
      <x:c r="DE52" s="53" t="str">
        <x:v>ОЧЕРЕДЬ 3</x:v>
      </x:c>
      <x:c r="DF52" s="53" t="str">
        <x:v>ОЧЕРЕДЬ 3</x:v>
      </x:c>
      <x:c r="DG52" s="53" t="str">
        <x:v>ОЧЕРЕДЬ 3</x:v>
      </x:c>
      <x:c r="DH52" s="53" t="str">
        <x:v>ОЧЕРЕДЬ 3</x:v>
      </x:c>
      <x:c r="DI52" s="53" t="str">
        <x:v>ОЧЕРЕДЬ 3</x:v>
      </x:c>
      <x:c r="DJ52" s="53" t="str">
        <x:v>ОЧЕРЕДЬ 3</x:v>
      </x:c>
      <x:c r="DK52" s="53" t="str">
        <x:v>ОЧЕРЕДЬ 3</x:v>
      </x:c>
      <x:c r="DL52" s="53" t="str">
        <x:v>ОЧЕРЕДЬ 3</x:v>
      </x:c>
      <x:c r="DM52" s="53" t="str">
        <x:v>ОЧЕРЕДЬ 3</x:v>
      </x:c>
      <x:c r="DN52" s="53" t="str">
        <x:v>ОЧЕРЕДЬ 3</x:v>
      </x:c>
      <x:c r="DO52" s="53" t="str">
        <x:v>ОЧЕРЕДЬ 3</x:v>
      </x:c>
      <x:c r="DP52" s="53" t="str">
        <x:v>ОЧЕРЕДЬ 3</x:v>
      </x:c>
      <x:c r="DQ52" s="53" t="str">
        <x:v>ОЧЕРЕДЬ 3</x:v>
      </x:c>
      <x:c r="DR52" s="53" t="str">
        <x:v>ОЧЕРЕДЬ 3</x:v>
      </x:c>
      <x:c r="DS52" s="54" t="str">
        <x:v>ОЧЕРЕДЬ 3</x:v>
      </x:c>
    </x:row>
    <x:row r="53">
      <x:c r="A53" t="str">
        <x:v>Старт продаж</x:v>
      </x:c>
      <x:c r="B53" s="106" t="n">
        <x:f>EDATE('Вводные'!$D$90,'Вводные'!$E$90+'Вводные'!$G$90+'Вводные'!$H$9)</x:f>
      </x:c>
      <x:c r="C53" t="str">
        <x:v>дата</x:v>
      </x:c>
    </x:row>
    <x:row r="54">
      <x:c r="A54" t="str">
        <x:v>РВЭ</x:v>
      </x:c>
      <x:c r="B54" s="106" t="n">
        <x:f>EDATE('Вводные'!$D$90,'Вводные'!$E$90+'Вводные'!$F$90+'Вводные'!$H$9)</x:f>
      </x:c>
      <x:c r="C54" t="str">
        <x:v>дата</x:v>
      </x:c>
    </x:row>
    <x:row r="55">
      <x:c r="A55" t="str">
        <x:v>Флаг продаж до РВЭ</x:v>
      </x:c>
      <x:c r="B55"/>
      <x:c r="C55" t="str">
        <x:v>0/1</x:v>
      </x:c>
      <x:c r="D55" t="n">
        <x:f>--AND(D$3&gt;=$B$53,D$3&lt;$B$54,D$3&lt;EDATE($B$53,MAX(1,'Вводные'!$H$90)),'Вводные'!$B$90="Да")</x:f>
      </x:c>
      <x:c r="E55" t="n">
        <x:f>--AND(E$3&gt;=$B$53,E$3&lt;$B$54,E$3&lt;EDATE($B$53,MAX(1,'Вводные'!$H$90)),'Вводные'!$B$90="Да")</x:f>
      </x:c>
      <x:c r="F55" t="n">
        <x:f>--AND(F$3&gt;=$B$53,F$3&lt;$B$54,F$3&lt;EDATE($B$53,MAX(1,'Вводные'!$H$90)),'Вводные'!$B$90="Да")</x:f>
      </x:c>
      <x:c r="G55" t="n">
        <x:f>--AND(G$3&gt;=$B$53,G$3&lt;$B$54,G$3&lt;EDATE($B$53,MAX(1,'Вводные'!$H$90)),'Вводные'!$B$90="Да")</x:f>
      </x:c>
      <x:c r="H55" t="n">
        <x:f>--AND(H$3&gt;=$B$53,H$3&lt;$B$54,H$3&lt;EDATE($B$53,MAX(1,'Вводные'!$H$90)),'Вводные'!$B$90="Да")</x:f>
      </x:c>
      <x:c r="I55" t="n">
        <x:f>--AND(I$3&gt;=$B$53,I$3&lt;$B$54,I$3&lt;EDATE($B$53,MAX(1,'Вводные'!$H$90)),'Вводные'!$B$90="Да")</x:f>
      </x:c>
      <x:c r="J55" t="n">
        <x:f>--AND(J$3&gt;=$B$53,J$3&lt;$B$54,J$3&lt;EDATE($B$53,MAX(1,'Вводные'!$H$90)),'Вводные'!$B$90="Да")</x:f>
      </x:c>
      <x:c r="K55" t="n">
        <x:f>--AND(K$3&gt;=$B$53,K$3&lt;$B$54,K$3&lt;EDATE($B$53,MAX(1,'Вводные'!$H$90)),'Вводные'!$B$90="Да")</x:f>
      </x:c>
      <x:c r="L55" t="n">
        <x:f>--AND(L$3&gt;=$B$53,L$3&lt;$B$54,L$3&lt;EDATE($B$53,MAX(1,'Вводные'!$H$90)),'Вводные'!$B$90="Да")</x:f>
      </x:c>
      <x:c r="M55" t="n">
        <x:f>--AND(M$3&gt;=$B$53,M$3&lt;$B$54,M$3&lt;EDATE($B$53,MAX(1,'Вводные'!$H$90)),'Вводные'!$B$90="Да")</x:f>
      </x:c>
      <x:c r="N55" t="n">
        <x:f>--AND(N$3&gt;=$B$53,N$3&lt;$B$54,N$3&lt;EDATE($B$53,MAX(1,'Вводные'!$H$90)),'Вводные'!$B$90="Да")</x:f>
      </x:c>
      <x:c r="O55" t="n">
        <x:f>--AND(O$3&gt;=$B$53,O$3&lt;$B$54,O$3&lt;EDATE($B$53,MAX(1,'Вводные'!$H$90)),'Вводные'!$B$90="Да")</x:f>
      </x:c>
      <x:c r="P55" t="n">
        <x:f>--AND(P$3&gt;=$B$53,P$3&lt;$B$54,P$3&lt;EDATE($B$53,MAX(1,'Вводные'!$H$90)),'Вводные'!$B$90="Да")</x:f>
      </x:c>
      <x:c r="Q55" t="n">
        <x:f>--AND(Q$3&gt;=$B$53,Q$3&lt;$B$54,Q$3&lt;EDATE($B$53,MAX(1,'Вводные'!$H$90)),'Вводные'!$B$90="Да")</x:f>
      </x:c>
      <x:c r="R55" t="n">
        <x:f>--AND(R$3&gt;=$B$53,R$3&lt;$B$54,R$3&lt;EDATE($B$53,MAX(1,'Вводные'!$H$90)),'Вводные'!$B$90="Да")</x:f>
      </x:c>
      <x:c r="S55" t="n">
        <x:f>--AND(S$3&gt;=$B$53,S$3&lt;$B$54,S$3&lt;EDATE($B$53,MAX(1,'Вводные'!$H$90)),'Вводные'!$B$90="Да")</x:f>
      </x:c>
      <x:c r="T55" t="n">
        <x:f>--AND(T$3&gt;=$B$53,T$3&lt;$B$54,T$3&lt;EDATE($B$53,MAX(1,'Вводные'!$H$90)),'Вводные'!$B$90="Да")</x:f>
      </x:c>
      <x:c r="U55" t="n">
        <x:f>--AND(U$3&gt;=$B$53,U$3&lt;$B$54,U$3&lt;EDATE($B$53,MAX(1,'Вводные'!$H$90)),'Вводные'!$B$90="Да")</x:f>
      </x:c>
      <x:c r="V55" t="n">
        <x:f>--AND(V$3&gt;=$B$53,V$3&lt;$B$54,V$3&lt;EDATE($B$53,MAX(1,'Вводные'!$H$90)),'Вводные'!$B$90="Да")</x:f>
      </x:c>
      <x:c r="W55" t="n">
        <x:f>--AND(W$3&gt;=$B$53,W$3&lt;$B$54,W$3&lt;EDATE($B$53,MAX(1,'Вводные'!$H$90)),'Вводные'!$B$90="Да")</x:f>
      </x:c>
      <x:c r="X55" t="n">
        <x:f>--AND(X$3&gt;=$B$53,X$3&lt;$B$54,X$3&lt;EDATE($B$53,MAX(1,'Вводные'!$H$90)),'Вводные'!$B$90="Да")</x:f>
      </x:c>
      <x:c r="Y55" t="n">
        <x:f>--AND(Y$3&gt;=$B$53,Y$3&lt;$B$54,Y$3&lt;EDATE($B$53,MAX(1,'Вводные'!$H$90)),'Вводные'!$B$90="Да")</x:f>
      </x:c>
      <x:c r="Z55" t="n">
        <x:f>--AND(Z$3&gt;=$B$53,Z$3&lt;$B$54,Z$3&lt;EDATE($B$53,MAX(1,'Вводные'!$H$90)),'Вводные'!$B$90="Да")</x:f>
      </x:c>
      <x:c r="AA55" t="n">
        <x:f>--AND(AA$3&gt;=$B$53,AA$3&lt;$B$54,AA$3&lt;EDATE($B$53,MAX(1,'Вводные'!$H$90)),'Вводные'!$B$90="Да")</x:f>
      </x:c>
      <x:c r="AB55" t="n">
        <x:f>--AND(AB$3&gt;=$B$53,AB$3&lt;$B$54,AB$3&lt;EDATE($B$53,MAX(1,'Вводные'!$H$90)),'Вводные'!$B$90="Да")</x:f>
      </x:c>
      <x:c r="AC55" t="n">
        <x:f>--AND(AC$3&gt;=$B$53,AC$3&lt;$B$54,AC$3&lt;EDATE($B$53,MAX(1,'Вводные'!$H$90)),'Вводные'!$B$90="Да")</x:f>
      </x:c>
      <x:c r="AD55" t="n">
        <x:f>--AND(AD$3&gt;=$B$53,AD$3&lt;$B$54,AD$3&lt;EDATE($B$53,MAX(1,'Вводные'!$H$90)),'Вводные'!$B$90="Да")</x:f>
      </x:c>
      <x:c r="AE55" t="n">
        <x:f>--AND(AE$3&gt;=$B$53,AE$3&lt;$B$54,AE$3&lt;EDATE($B$53,MAX(1,'Вводные'!$H$90)),'Вводные'!$B$90="Да")</x:f>
      </x:c>
      <x:c r="AF55" t="n">
        <x:f>--AND(AF$3&gt;=$B$53,AF$3&lt;$B$54,AF$3&lt;EDATE($B$53,MAX(1,'Вводные'!$H$90)),'Вводные'!$B$90="Да")</x:f>
      </x:c>
      <x:c r="AG55" t="n">
        <x:f>--AND(AG$3&gt;=$B$53,AG$3&lt;$B$54,AG$3&lt;EDATE($B$53,MAX(1,'Вводные'!$H$90)),'Вводные'!$B$90="Да")</x:f>
      </x:c>
      <x:c r="AH55" t="n">
        <x:f>--AND(AH$3&gt;=$B$53,AH$3&lt;$B$54,AH$3&lt;EDATE($B$53,MAX(1,'Вводные'!$H$90)),'Вводные'!$B$90="Да")</x:f>
      </x:c>
      <x:c r="AI55" t="n">
        <x:f>--AND(AI$3&gt;=$B$53,AI$3&lt;$B$54,AI$3&lt;EDATE($B$53,MAX(1,'Вводные'!$H$90)),'Вводные'!$B$90="Да")</x:f>
      </x:c>
      <x:c r="AJ55" t="n">
        <x:f>--AND(AJ$3&gt;=$B$53,AJ$3&lt;$B$54,AJ$3&lt;EDATE($B$53,MAX(1,'Вводные'!$H$90)),'Вводные'!$B$90="Да")</x:f>
      </x:c>
      <x:c r="AK55" t="n">
        <x:f>--AND(AK$3&gt;=$B$53,AK$3&lt;$B$54,AK$3&lt;EDATE($B$53,MAX(1,'Вводные'!$H$90)),'Вводные'!$B$90="Да")</x:f>
      </x:c>
      <x:c r="AL55" t="n">
        <x:f>--AND(AL$3&gt;=$B$53,AL$3&lt;$B$54,AL$3&lt;EDATE($B$53,MAX(1,'Вводные'!$H$90)),'Вводные'!$B$90="Да")</x:f>
      </x:c>
      <x:c r="AM55" t="n">
        <x:f>--AND(AM$3&gt;=$B$53,AM$3&lt;$B$54,AM$3&lt;EDATE($B$53,MAX(1,'Вводные'!$H$90)),'Вводные'!$B$90="Да")</x:f>
      </x:c>
      <x:c r="AN55" t="n">
        <x:f>--AND(AN$3&gt;=$B$53,AN$3&lt;$B$54,AN$3&lt;EDATE($B$53,MAX(1,'Вводные'!$H$90)),'Вводные'!$B$90="Да")</x:f>
      </x:c>
      <x:c r="AO55" t="n">
        <x:f>--AND(AO$3&gt;=$B$53,AO$3&lt;$B$54,AO$3&lt;EDATE($B$53,MAX(1,'Вводные'!$H$90)),'Вводные'!$B$90="Да")</x:f>
      </x:c>
      <x:c r="AP55" t="n">
        <x:f>--AND(AP$3&gt;=$B$53,AP$3&lt;$B$54,AP$3&lt;EDATE($B$53,MAX(1,'Вводные'!$H$90)),'Вводные'!$B$90="Да")</x:f>
      </x:c>
      <x:c r="AQ55" t="n">
        <x:f>--AND(AQ$3&gt;=$B$53,AQ$3&lt;$B$54,AQ$3&lt;EDATE($B$53,MAX(1,'Вводные'!$H$90)),'Вводные'!$B$90="Да")</x:f>
      </x:c>
      <x:c r="AR55" t="n">
        <x:f>--AND(AR$3&gt;=$B$53,AR$3&lt;$B$54,AR$3&lt;EDATE($B$53,MAX(1,'Вводные'!$H$90)),'Вводные'!$B$90="Да")</x:f>
      </x:c>
      <x:c r="AS55" t="n">
        <x:f>--AND(AS$3&gt;=$B$53,AS$3&lt;$B$54,AS$3&lt;EDATE($B$53,MAX(1,'Вводные'!$H$90)),'Вводные'!$B$90="Да")</x:f>
      </x:c>
      <x:c r="AT55" t="n">
        <x:f>--AND(AT$3&gt;=$B$53,AT$3&lt;$B$54,AT$3&lt;EDATE($B$53,MAX(1,'Вводные'!$H$90)),'Вводные'!$B$90="Да")</x:f>
      </x:c>
      <x:c r="AU55" t="n">
        <x:f>--AND(AU$3&gt;=$B$53,AU$3&lt;$B$54,AU$3&lt;EDATE($B$53,MAX(1,'Вводные'!$H$90)),'Вводные'!$B$90="Да")</x:f>
      </x:c>
      <x:c r="AV55" t="n">
        <x:f>--AND(AV$3&gt;=$B$53,AV$3&lt;$B$54,AV$3&lt;EDATE($B$53,MAX(1,'Вводные'!$H$90)),'Вводные'!$B$90="Да")</x:f>
      </x:c>
      <x:c r="AW55" t="n">
        <x:f>--AND(AW$3&gt;=$B$53,AW$3&lt;$B$54,AW$3&lt;EDATE($B$53,MAX(1,'Вводные'!$H$90)),'Вводные'!$B$90="Да")</x:f>
      </x:c>
      <x:c r="AX55" t="n">
        <x:f>--AND(AX$3&gt;=$B$53,AX$3&lt;$B$54,AX$3&lt;EDATE($B$53,MAX(1,'Вводные'!$H$90)),'Вводные'!$B$90="Да")</x:f>
      </x:c>
      <x:c r="AY55" t="n">
        <x:f>--AND(AY$3&gt;=$B$53,AY$3&lt;$B$54,AY$3&lt;EDATE($B$53,MAX(1,'Вводные'!$H$90)),'Вводные'!$B$90="Да")</x:f>
      </x:c>
      <x:c r="AZ55" t="n">
        <x:f>--AND(AZ$3&gt;=$B$53,AZ$3&lt;$B$54,AZ$3&lt;EDATE($B$53,MAX(1,'Вводные'!$H$90)),'Вводные'!$B$90="Да")</x:f>
      </x:c>
      <x:c r="BA55" t="n">
        <x:f>--AND(BA$3&gt;=$B$53,BA$3&lt;$B$54,BA$3&lt;EDATE($B$53,MAX(1,'Вводные'!$H$90)),'Вводные'!$B$90="Да")</x:f>
      </x:c>
      <x:c r="BB55" t="n">
        <x:f>--AND(BB$3&gt;=$B$53,BB$3&lt;$B$54,BB$3&lt;EDATE($B$53,MAX(1,'Вводные'!$H$90)),'Вводные'!$B$90="Да")</x:f>
      </x:c>
      <x:c r="BC55" t="n">
        <x:f>--AND(BC$3&gt;=$B$53,BC$3&lt;$B$54,BC$3&lt;EDATE($B$53,MAX(1,'Вводные'!$H$90)),'Вводные'!$B$90="Да")</x:f>
      </x:c>
      <x:c r="BD55" t="n">
        <x:f>--AND(BD$3&gt;=$B$53,BD$3&lt;$B$54,BD$3&lt;EDATE($B$53,MAX(1,'Вводные'!$H$90)),'Вводные'!$B$90="Да")</x:f>
      </x:c>
      <x:c r="BE55" t="n">
        <x:f>--AND(BE$3&gt;=$B$53,BE$3&lt;$B$54,BE$3&lt;EDATE($B$53,MAX(1,'Вводные'!$H$90)),'Вводные'!$B$90="Да")</x:f>
      </x:c>
      <x:c r="BF55" t="n">
        <x:f>--AND(BF$3&gt;=$B$53,BF$3&lt;$B$54,BF$3&lt;EDATE($B$53,MAX(1,'Вводные'!$H$90)),'Вводные'!$B$90="Да")</x:f>
      </x:c>
      <x:c r="BG55" t="n">
        <x:f>--AND(BG$3&gt;=$B$53,BG$3&lt;$B$54,BG$3&lt;EDATE($B$53,MAX(1,'Вводные'!$H$90)),'Вводные'!$B$90="Да")</x:f>
      </x:c>
      <x:c r="BH55" t="n">
        <x:f>--AND(BH$3&gt;=$B$53,BH$3&lt;$B$54,BH$3&lt;EDATE($B$53,MAX(1,'Вводные'!$H$90)),'Вводные'!$B$90="Да")</x:f>
      </x:c>
      <x:c r="BI55" t="n">
        <x:f>--AND(BI$3&gt;=$B$53,BI$3&lt;$B$54,BI$3&lt;EDATE($B$53,MAX(1,'Вводные'!$H$90)),'Вводные'!$B$90="Да")</x:f>
      </x:c>
      <x:c r="BJ55" t="n">
        <x:f>--AND(BJ$3&gt;=$B$53,BJ$3&lt;$B$54,BJ$3&lt;EDATE($B$53,MAX(1,'Вводные'!$H$90)),'Вводные'!$B$90="Да")</x:f>
      </x:c>
      <x:c r="BK55" t="n">
        <x:f>--AND(BK$3&gt;=$B$53,BK$3&lt;$B$54,BK$3&lt;EDATE($B$53,MAX(1,'Вводные'!$H$90)),'Вводные'!$B$90="Да")</x:f>
      </x:c>
      <x:c r="BL55" t="n">
        <x:f>--AND(BL$3&gt;=$B$53,BL$3&lt;$B$54,BL$3&lt;EDATE($B$53,MAX(1,'Вводные'!$H$90)),'Вводные'!$B$90="Да")</x:f>
      </x:c>
      <x:c r="BM55" t="n">
        <x:f>--AND(BM$3&gt;=$B$53,BM$3&lt;$B$54,BM$3&lt;EDATE($B$53,MAX(1,'Вводные'!$H$90)),'Вводные'!$B$90="Да")</x:f>
      </x:c>
      <x:c r="BN55" t="n">
        <x:f>--AND(BN$3&gt;=$B$53,BN$3&lt;$B$54,BN$3&lt;EDATE($B$53,MAX(1,'Вводные'!$H$90)),'Вводные'!$B$90="Да")</x:f>
      </x:c>
      <x:c r="BO55" t="n">
        <x:f>--AND(BO$3&gt;=$B$53,BO$3&lt;$B$54,BO$3&lt;EDATE($B$53,MAX(1,'Вводные'!$H$90)),'Вводные'!$B$90="Да")</x:f>
      </x:c>
      <x:c r="BP55" t="n">
        <x:f>--AND(BP$3&gt;=$B$53,BP$3&lt;$B$54,BP$3&lt;EDATE($B$53,MAX(1,'Вводные'!$H$90)),'Вводные'!$B$90="Да")</x:f>
      </x:c>
      <x:c r="BQ55" t="n">
        <x:f>--AND(BQ$3&gt;=$B$53,BQ$3&lt;$B$54,BQ$3&lt;EDATE($B$53,MAX(1,'Вводные'!$H$90)),'Вводные'!$B$90="Да")</x:f>
      </x:c>
      <x:c r="BR55" t="n">
        <x:f>--AND(BR$3&gt;=$B$53,BR$3&lt;$B$54,BR$3&lt;EDATE($B$53,MAX(1,'Вводные'!$H$90)),'Вводные'!$B$90="Да")</x:f>
      </x:c>
      <x:c r="BS55" t="n">
        <x:f>--AND(BS$3&gt;=$B$53,BS$3&lt;$B$54,BS$3&lt;EDATE($B$53,MAX(1,'Вводные'!$H$90)),'Вводные'!$B$90="Да")</x:f>
      </x:c>
      <x:c r="BT55" t="n">
        <x:f>--AND(BT$3&gt;=$B$53,BT$3&lt;$B$54,BT$3&lt;EDATE($B$53,MAX(1,'Вводные'!$H$90)),'Вводные'!$B$90="Да")</x:f>
      </x:c>
      <x:c r="BU55" t="n">
        <x:f>--AND(BU$3&gt;=$B$53,BU$3&lt;$B$54,BU$3&lt;EDATE($B$53,MAX(1,'Вводные'!$H$90)),'Вводные'!$B$90="Да")</x:f>
      </x:c>
      <x:c r="BV55" t="n">
        <x:f>--AND(BV$3&gt;=$B$53,BV$3&lt;$B$54,BV$3&lt;EDATE($B$53,MAX(1,'Вводные'!$H$90)),'Вводные'!$B$90="Да")</x:f>
      </x:c>
      <x:c r="BW55" t="n">
        <x:f>--AND(BW$3&gt;=$B$53,BW$3&lt;$B$54,BW$3&lt;EDATE($B$53,MAX(1,'Вводные'!$H$90)),'Вводные'!$B$90="Да")</x:f>
      </x:c>
      <x:c r="BX55" t="n">
        <x:f>--AND(BX$3&gt;=$B$53,BX$3&lt;$B$54,BX$3&lt;EDATE($B$53,MAX(1,'Вводные'!$H$90)),'Вводные'!$B$90="Да")</x:f>
      </x:c>
      <x:c r="BY55" t="n">
        <x:f>--AND(BY$3&gt;=$B$53,BY$3&lt;$B$54,BY$3&lt;EDATE($B$53,MAX(1,'Вводные'!$H$90)),'Вводные'!$B$90="Да")</x:f>
      </x:c>
      <x:c r="BZ55" t="n">
        <x:f>--AND(BZ$3&gt;=$B$53,BZ$3&lt;$B$54,BZ$3&lt;EDATE($B$53,MAX(1,'Вводные'!$H$90)),'Вводные'!$B$90="Да")</x:f>
      </x:c>
      <x:c r="CA55" t="n">
        <x:f>--AND(CA$3&gt;=$B$53,CA$3&lt;$B$54,CA$3&lt;EDATE($B$53,MAX(1,'Вводные'!$H$90)),'Вводные'!$B$90="Да")</x:f>
      </x:c>
      <x:c r="CB55" t="n">
        <x:f>--AND(CB$3&gt;=$B$53,CB$3&lt;$B$54,CB$3&lt;EDATE($B$53,MAX(1,'Вводные'!$H$90)),'Вводные'!$B$90="Да")</x:f>
      </x:c>
      <x:c r="CC55" t="n">
        <x:f>--AND(CC$3&gt;=$B$53,CC$3&lt;$B$54,CC$3&lt;EDATE($B$53,MAX(1,'Вводные'!$H$90)),'Вводные'!$B$90="Да")</x:f>
      </x:c>
      <x:c r="CD55" t="n">
        <x:f>--AND(CD$3&gt;=$B$53,CD$3&lt;$B$54,CD$3&lt;EDATE($B$53,MAX(1,'Вводные'!$H$90)),'Вводные'!$B$90="Да")</x:f>
      </x:c>
      <x:c r="CE55" t="n">
        <x:f>--AND(CE$3&gt;=$B$53,CE$3&lt;$B$54,CE$3&lt;EDATE($B$53,MAX(1,'Вводные'!$H$90)),'Вводные'!$B$90="Да")</x:f>
      </x:c>
      <x:c r="CF55" t="n">
        <x:f>--AND(CF$3&gt;=$B$53,CF$3&lt;$B$54,CF$3&lt;EDATE($B$53,MAX(1,'Вводные'!$H$90)),'Вводные'!$B$90="Да")</x:f>
      </x:c>
      <x:c r="CG55" t="n">
        <x:f>--AND(CG$3&gt;=$B$53,CG$3&lt;$B$54,CG$3&lt;EDATE($B$53,MAX(1,'Вводные'!$H$90)),'Вводные'!$B$90="Да")</x:f>
      </x:c>
      <x:c r="CH55" t="n">
        <x:f>--AND(CH$3&gt;=$B$53,CH$3&lt;$B$54,CH$3&lt;EDATE($B$53,MAX(1,'Вводные'!$H$90)),'Вводные'!$B$90="Да")</x:f>
      </x:c>
      <x:c r="CI55" t="n">
        <x:f>--AND(CI$3&gt;=$B$53,CI$3&lt;$B$54,CI$3&lt;EDATE($B$53,MAX(1,'Вводные'!$H$90)),'Вводные'!$B$90="Да")</x:f>
      </x:c>
      <x:c r="CJ55" t="n">
        <x:f>--AND(CJ$3&gt;=$B$53,CJ$3&lt;$B$54,CJ$3&lt;EDATE($B$53,MAX(1,'Вводные'!$H$90)),'Вводные'!$B$90="Да")</x:f>
      </x:c>
      <x:c r="CK55" t="n">
        <x:f>--AND(CK$3&gt;=$B$53,CK$3&lt;$B$54,CK$3&lt;EDATE($B$53,MAX(1,'Вводные'!$H$90)),'Вводные'!$B$90="Да")</x:f>
      </x:c>
      <x:c r="CL55" t="n">
        <x:f>--AND(CL$3&gt;=$B$53,CL$3&lt;$B$54,CL$3&lt;EDATE($B$53,MAX(1,'Вводные'!$H$90)),'Вводные'!$B$90="Да")</x:f>
      </x:c>
      <x:c r="CM55" t="n">
        <x:f>--AND(CM$3&gt;=$B$53,CM$3&lt;$B$54,CM$3&lt;EDATE($B$53,MAX(1,'Вводные'!$H$90)),'Вводные'!$B$90="Да")</x:f>
      </x:c>
      <x:c r="CN55" t="n">
        <x:f>--AND(CN$3&gt;=$B$53,CN$3&lt;$B$54,CN$3&lt;EDATE($B$53,MAX(1,'Вводные'!$H$90)),'Вводные'!$B$90="Да")</x:f>
      </x:c>
      <x:c r="CO55" t="n">
        <x:f>--AND(CO$3&gt;=$B$53,CO$3&lt;$B$54,CO$3&lt;EDATE($B$53,MAX(1,'Вводные'!$H$90)),'Вводные'!$B$90="Да")</x:f>
      </x:c>
      <x:c r="CP55" t="n">
        <x:f>--AND(CP$3&gt;=$B$53,CP$3&lt;$B$54,CP$3&lt;EDATE($B$53,MAX(1,'Вводные'!$H$90)),'Вводные'!$B$90="Да")</x:f>
      </x:c>
      <x:c r="CQ55" t="n">
        <x:f>--AND(CQ$3&gt;=$B$53,CQ$3&lt;$B$54,CQ$3&lt;EDATE($B$53,MAX(1,'Вводные'!$H$90)),'Вводные'!$B$90="Да")</x:f>
      </x:c>
      <x:c r="CR55" t="n">
        <x:f>--AND(CR$3&gt;=$B$53,CR$3&lt;$B$54,CR$3&lt;EDATE($B$53,MAX(1,'Вводные'!$H$90)),'Вводные'!$B$90="Да")</x:f>
      </x:c>
      <x:c r="CS55" t="n">
        <x:f>--AND(CS$3&gt;=$B$53,CS$3&lt;$B$54,CS$3&lt;EDATE($B$53,MAX(1,'Вводные'!$H$90)),'Вводные'!$B$90="Да")</x:f>
      </x:c>
      <x:c r="CT55" t="n">
        <x:f>--AND(CT$3&gt;=$B$53,CT$3&lt;$B$54,CT$3&lt;EDATE($B$53,MAX(1,'Вводные'!$H$90)),'Вводные'!$B$90="Да")</x:f>
      </x:c>
      <x:c r="CU55" t="n">
        <x:f>--AND(CU$3&gt;=$B$53,CU$3&lt;$B$54,CU$3&lt;EDATE($B$53,MAX(1,'Вводные'!$H$90)),'Вводные'!$B$90="Да")</x:f>
      </x:c>
      <x:c r="CV55" t="n">
        <x:f>--AND(CV$3&gt;=$B$53,CV$3&lt;$B$54,CV$3&lt;EDATE($B$53,MAX(1,'Вводные'!$H$90)),'Вводные'!$B$90="Да")</x:f>
      </x:c>
      <x:c r="CW55" t="n">
        <x:f>--AND(CW$3&gt;=$B$53,CW$3&lt;$B$54,CW$3&lt;EDATE($B$53,MAX(1,'Вводные'!$H$90)),'Вводные'!$B$90="Да")</x:f>
      </x:c>
      <x:c r="CX55" t="n">
        <x:f>--AND(CX$3&gt;=$B$53,CX$3&lt;$B$54,CX$3&lt;EDATE($B$53,MAX(1,'Вводные'!$H$90)),'Вводные'!$B$90="Да")</x:f>
      </x:c>
      <x:c r="CY55" t="n">
        <x:f>--AND(CY$3&gt;=$B$53,CY$3&lt;$B$54,CY$3&lt;EDATE($B$53,MAX(1,'Вводные'!$H$90)),'Вводные'!$B$90="Да")</x:f>
      </x:c>
      <x:c r="CZ55" t="n">
        <x:f>--AND(CZ$3&gt;=$B$53,CZ$3&lt;$B$54,CZ$3&lt;EDATE($B$53,MAX(1,'Вводные'!$H$90)),'Вводные'!$B$90="Да")</x:f>
      </x:c>
      <x:c r="DA55" t="n">
        <x:f>--AND(DA$3&gt;=$B$53,DA$3&lt;$B$54,DA$3&lt;EDATE($B$53,MAX(1,'Вводные'!$H$90)),'Вводные'!$B$90="Да")</x:f>
      </x:c>
      <x:c r="DB55" t="n">
        <x:f>--AND(DB$3&gt;=$B$53,DB$3&lt;$B$54,DB$3&lt;EDATE($B$53,MAX(1,'Вводные'!$H$90)),'Вводные'!$B$90="Да")</x:f>
      </x:c>
      <x:c r="DC55" t="n">
        <x:f>--AND(DC$3&gt;=$B$53,DC$3&lt;$B$54,DC$3&lt;EDATE($B$53,MAX(1,'Вводные'!$H$90)),'Вводные'!$B$90="Да")</x:f>
      </x:c>
      <x:c r="DD55" t="n">
        <x:f>--AND(DD$3&gt;=$B$53,DD$3&lt;$B$54,DD$3&lt;EDATE($B$53,MAX(1,'Вводные'!$H$90)),'Вводные'!$B$90="Да")</x:f>
      </x:c>
      <x:c r="DE55" t="n">
        <x:f>--AND(DE$3&gt;=$B$53,DE$3&lt;$B$54,DE$3&lt;EDATE($B$53,MAX(1,'Вводные'!$H$90)),'Вводные'!$B$90="Да")</x:f>
      </x:c>
      <x:c r="DF55" t="n">
        <x:f>--AND(DF$3&gt;=$B$53,DF$3&lt;$B$54,DF$3&lt;EDATE($B$53,MAX(1,'Вводные'!$H$90)),'Вводные'!$B$90="Да")</x:f>
      </x:c>
      <x:c r="DG55" t="n">
        <x:f>--AND(DG$3&gt;=$B$53,DG$3&lt;$B$54,DG$3&lt;EDATE($B$53,MAX(1,'Вводные'!$H$90)),'Вводные'!$B$90="Да")</x:f>
      </x:c>
      <x:c r="DH55" t="n">
        <x:f>--AND(DH$3&gt;=$B$53,DH$3&lt;$B$54,DH$3&lt;EDATE($B$53,MAX(1,'Вводные'!$H$90)),'Вводные'!$B$90="Да")</x:f>
      </x:c>
      <x:c r="DI55" t="n">
        <x:f>--AND(DI$3&gt;=$B$53,DI$3&lt;$B$54,DI$3&lt;EDATE($B$53,MAX(1,'Вводные'!$H$90)),'Вводные'!$B$90="Да")</x:f>
      </x:c>
      <x:c r="DJ55" t="n">
        <x:f>--AND(DJ$3&gt;=$B$53,DJ$3&lt;$B$54,DJ$3&lt;EDATE($B$53,MAX(1,'Вводные'!$H$90)),'Вводные'!$B$90="Да")</x:f>
      </x:c>
      <x:c r="DK55" t="n">
        <x:f>--AND(DK$3&gt;=$B$53,DK$3&lt;$B$54,DK$3&lt;EDATE($B$53,MAX(1,'Вводные'!$H$90)),'Вводные'!$B$90="Да")</x:f>
      </x:c>
      <x:c r="DL55" t="n">
        <x:f>--AND(DL$3&gt;=$B$53,DL$3&lt;$B$54,DL$3&lt;EDATE($B$53,MAX(1,'Вводные'!$H$90)),'Вводные'!$B$90="Да")</x:f>
      </x:c>
      <x:c r="DM55" t="n">
        <x:f>--AND(DM$3&gt;=$B$53,DM$3&lt;$B$54,DM$3&lt;EDATE($B$53,MAX(1,'Вводные'!$H$90)),'Вводные'!$B$90="Да")</x:f>
      </x:c>
      <x:c r="DN55" t="n">
        <x:f>--AND(DN$3&gt;=$B$53,DN$3&lt;$B$54,DN$3&lt;EDATE($B$53,MAX(1,'Вводные'!$H$90)),'Вводные'!$B$90="Да")</x:f>
      </x:c>
      <x:c r="DO55" t="n">
        <x:f>--AND(DO$3&gt;=$B$53,DO$3&lt;$B$54,DO$3&lt;EDATE($B$53,MAX(1,'Вводные'!$H$90)),'Вводные'!$B$90="Да")</x:f>
      </x:c>
      <x:c r="DP55" t="n">
        <x:f>--AND(DP$3&gt;=$B$53,DP$3&lt;$B$54,DP$3&lt;EDATE($B$53,MAX(1,'Вводные'!$H$90)),'Вводные'!$B$90="Да")</x:f>
      </x:c>
      <x:c r="DQ55" t="n">
        <x:f>--AND(DQ$3&gt;=$B$53,DQ$3&lt;$B$54,DQ$3&lt;EDATE($B$53,MAX(1,'Вводные'!$H$90)),'Вводные'!$B$90="Да")</x:f>
      </x:c>
      <x:c r="DR55" t="n">
        <x:f>--AND(DR$3&gt;=$B$53,DR$3&lt;$B$54,DR$3&lt;EDATE($B$53,MAX(1,'Вводные'!$H$90)),'Вводные'!$B$90="Да")</x:f>
      </x:c>
      <x:c r="DS55" t="n">
        <x:f>--AND(DS$3&gt;=$B$53,DS$3&lt;$B$54,DS$3&lt;EDATE($B$53,MAX(1,'Вводные'!$H$90)),'Вводные'!$B$90="Да")</x:f>
      </x:c>
    </x:row>
    <x:row r="56">
      <x:c r="A56" t="str">
        <x:v>Вес темпа продаж</x:v>
      </x:c>
      <x:c r="B56"/>
      <x:c r="C56" t="str">
        <x:v>вес</x:v>
      </x:c>
      <x:c r="D56" t="n">
        <x:f>IF(AND(D$3&gt;=$B$53,D$3&lt;EDATE($B$53,MAX(1,'Вводные'!$H$90)),'Вводные'!$B$90="Да"),(1+'Вводные'!$AD$90*'Вводные'!$H$7)^MAX(0,(12*(YEAR(D$3)-YEAR($B$53))+MONTH(D$3)-MONTH($B$53)))*(1+IF(MONTH(D$3)=1,'Вводные'!$B$67,IF(AND(MONTH(D$3)&gt;=5,MONTH(D$3)&lt;=8),'Вводные'!$B$70,0))),0)</x:f>
      </x:c>
      <x:c r="E56" t="n">
        <x:f>IF(AND(E$3&gt;=$B$53,E$3&lt;EDATE($B$53,MAX(1,'Вводные'!$H$90)),'Вводные'!$B$90="Да"),(1+'Вводные'!$AD$90*'Вводные'!$H$7)^MAX(0,(12*(YEAR(E$3)-YEAR($B$53))+MONTH(E$3)-MONTH($B$53)))*(1+IF(MONTH(E$3)=1,'Вводные'!$B$67,IF(AND(MONTH(E$3)&gt;=5,MONTH(E$3)&lt;=8),'Вводные'!$B$70,0))),0)</x:f>
      </x:c>
      <x:c r="F56" t="n">
        <x:f>IF(AND(F$3&gt;=$B$53,F$3&lt;EDATE($B$53,MAX(1,'Вводные'!$H$90)),'Вводные'!$B$90="Да"),(1+'Вводные'!$AD$90*'Вводные'!$H$7)^MAX(0,(12*(YEAR(F$3)-YEAR($B$53))+MONTH(F$3)-MONTH($B$53)))*(1+IF(MONTH(F$3)=1,'Вводные'!$B$67,IF(AND(MONTH(F$3)&gt;=5,MONTH(F$3)&lt;=8),'Вводные'!$B$70,0))),0)</x:f>
      </x:c>
      <x:c r="G56" t="n">
        <x:f>IF(AND(G$3&gt;=$B$53,G$3&lt;EDATE($B$53,MAX(1,'Вводные'!$H$90)),'Вводные'!$B$90="Да"),(1+'Вводные'!$AD$90*'Вводные'!$H$7)^MAX(0,(12*(YEAR(G$3)-YEAR($B$53))+MONTH(G$3)-MONTH($B$53)))*(1+IF(MONTH(G$3)=1,'Вводные'!$B$67,IF(AND(MONTH(G$3)&gt;=5,MONTH(G$3)&lt;=8),'Вводные'!$B$70,0))),0)</x:f>
      </x:c>
      <x:c r="H56" t="n">
        <x:f>IF(AND(H$3&gt;=$B$53,H$3&lt;EDATE($B$53,MAX(1,'Вводные'!$H$90)),'Вводные'!$B$90="Да"),(1+'Вводные'!$AD$90*'Вводные'!$H$7)^MAX(0,(12*(YEAR(H$3)-YEAR($B$53))+MONTH(H$3)-MONTH($B$53)))*(1+IF(MONTH(H$3)=1,'Вводные'!$B$67,IF(AND(MONTH(H$3)&gt;=5,MONTH(H$3)&lt;=8),'Вводные'!$B$70,0))),0)</x:f>
      </x:c>
      <x:c r="I56" t="n">
        <x:f>IF(AND(I$3&gt;=$B$53,I$3&lt;EDATE($B$53,MAX(1,'Вводные'!$H$90)),'Вводные'!$B$90="Да"),(1+'Вводные'!$AD$90*'Вводные'!$H$7)^MAX(0,(12*(YEAR(I$3)-YEAR($B$53))+MONTH(I$3)-MONTH($B$53)))*(1+IF(MONTH(I$3)=1,'Вводные'!$B$67,IF(AND(MONTH(I$3)&gt;=5,MONTH(I$3)&lt;=8),'Вводные'!$B$70,0))),0)</x:f>
      </x:c>
      <x:c r="J56" t="n">
        <x:f>IF(AND(J$3&gt;=$B$53,J$3&lt;EDATE($B$53,MAX(1,'Вводные'!$H$90)),'Вводные'!$B$90="Да"),(1+'Вводные'!$AD$90*'Вводные'!$H$7)^MAX(0,(12*(YEAR(J$3)-YEAR($B$53))+MONTH(J$3)-MONTH($B$53)))*(1+IF(MONTH(J$3)=1,'Вводные'!$B$67,IF(AND(MONTH(J$3)&gt;=5,MONTH(J$3)&lt;=8),'Вводные'!$B$70,0))),0)</x:f>
      </x:c>
      <x:c r="K56" t="n">
        <x:f>IF(AND(K$3&gt;=$B$53,K$3&lt;EDATE($B$53,MAX(1,'Вводные'!$H$90)),'Вводные'!$B$90="Да"),(1+'Вводные'!$AD$90*'Вводные'!$H$7)^MAX(0,(12*(YEAR(K$3)-YEAR($B$53))+MONTH(K$3)-MONTH($B$53)))*(1+IF(MONTH(K$3)=1,'Вводные'!$B$67,IF(AND(MONTH(K$3)&gt;=5,MONTH(K$3)&lt;=8),'Вводные'!$B$70,0))),0)</x:f>
      </x:c>
      <x:c r="L56" t="n">
        <x:f>IF(AND(L$3&gt;=$B$53,L$3&lt;EDATE($B$53,MAX(1,'Вводные'!$H$90)),'Вводные'!$B$90="Да"),(1+'Вводные'!$AD$90*'Вводные'!$H$7)^MAX(0,(12*(YEAR(L$3)-YEAR($B$53))+MONTH(L$3)-MONTH($B$53)))*(1+IF(MONTH(L$3)=1,'Вводные'!$B$67,IF(AND(MONTH(L$3)&gt;=5,MONTH(L$3)&lt;=8),'Вводные'!$B$70,0))),0)</x:f>
      </x:c>
      <x:c r="M56" t="n">
        <x:f>IF(AND(M$3&gt;=$B$53,M$3&lt;EDATE($B$53,MAX(1,'Вводные'!$H$90)),'Вводные'!$B$90="Да"),(1+'Вводные'!$AD$90*'Вводные'!$H$7)^MAX(0,(12*(YEAR(M$3)-YEAR($B$53))+MONTH(M$3)-MONTH($B$53)))*(1+IF(MONTH(M$3)=1,'Вводные'!$B$67,IF(AND(MONTH(M$3)&gt;=5,MONTH(M$3)&lt;=8),'Вводные'!$B$70,0))),0)</x:f>
      </x:c>
      <x:c r="N56" t="n">
        <x:f>IF(AND(N$3&gt;=$B$53,N$3&lt;EDATE($B$53,MAX(1,'Вводные'!$H$90)),'Вводные'!$B$90="Да"),(1+'Вводные'!$AD$90*'Вводные'!$H$7)^MAX(0,(12*(YEAR(N$3)-YEAR($B$53))+MONTH(N$3)-MONTH($B$53)))*(1+IF(MONTH(N$3)=1,'Вводные'!$B$67,IF(AND(MONTH(N$3)&gt;=5,MONTH(N$3)&lt;=8),'Вводные'!$B$70,0))),0)</x:f>
      </x:c>
      <x:c r="O56" t="n">
        <x:f>IF(AND(O$3&gt;=$B$53,O$3&lt;EDATE($B$53,MAX(1,'Вводные'!$H$90)),'Вводные'!$B$90="Да"),(1+'Вводные'!$AD$90*'Вводные'!$H$7)^MAX(0,(12*(YEAR(O$3)-YEAR($B$53))+MONTH(O$3)-MONTH($B$53)))*(1+IF(MONTH(O$3)=1,'Вводные'!$B$67,IF(AND(MONTH(O$3)&gt;=5,MONTH(O$3)&lt;=8),'Вводные'!$B$70,0))),0)</x:f>
      </x:c>
      <x:c r="P56" t="n">
        <x:f>IF(AND(P$3&gt;=$B$53,P$3&lt;EDATE($B$53,MAX(1,'Вводные'!$H$90)),'Вводные'!$B$90="Да"),(1+'Вводные'!$AD$90*'Вводные'!$H$7)^MAX(0,(12*(YEAR(P$3)-YEAR($B$53))+MONTH(P$3)-MONTH($B$53)))*(1+IF(MONTH(P$3)=1,'Вводные'!$B$67,IF(AND(MONTH(P$3)&gt;=5,MONTH(P$3)&lt;=8),'Вводные'!$B$70,0))),0)</x:f>
      </x:c>
      <x:c r="Q56" t="n">
        <x:f>IF(AND(Q$3&gt;=$B$53,Q$3&lt;EDATE($B$53,MAX(1,'Вводные'!$H$90)),'Вводные'!$B$90="Да"),(1+'Вводные'!$AD$90*'Вводные'!$H$7)^MAX(0,(12*(YEAR(Q$3)-YEAR($B$53))+MONTH(Q$3)-MONTH($B$53)))*(1+IF(MONTH(Q$3)=1,'Вводные'!$B$67,IF(AND(MONTH(Q$3)&gt;=5,MONTH(Q$3)&lt;=8),'Вводные'!$B$70,0))),0)</x:f>
      </x:c>
      <x:c r="R56" t="n">
        <x:f>IF(AND(R$3&gt;=$B$53,R$3&lt;EDATE($B$53,MAX(1,'Вводные'!$H$90)),'Вводные'!$B$90="Да"),(1+'Вводные'!$AD$90*'Вводные'!$H$7)^MAX(0,(12*(YEAR(R$3)-YEAR($B$53))+MONTH(R$3)-MONTH($B$53)))*(1+IF(MONTH(R$3)=1,'Вводные'!$B$67,IF(AND(MONTH(R$3)&gt;=5,MONTH(R$3)&lt;=8),'Вводные'!$B$70,0))),0)</x:f>
      </x:c>
      <x:c r="S56" t="n">
        <x:f>IF(AND(S$3&gt;=$B$53,S$3&lt;EDATE($B$53,MAX(1,'Вводные'!$H$90)),'Вводные'!$B$90="Да"),(1+'Вводные'!$AD$90*'Вводные'!$H$7)^MAX(0,(12*(YEAR(S$3)-YEAR($B$53))+MONTH(S$3)-MONTH($B$53)))*(1+IF(MONTH(S$3)=1,'Вводные'!$B$67,IF(AND(MONTH(S$3)&gt;=5,MONTH(S$3)&lt;=8),'Вводные'!$B$70,0))),0)</x:f>
      </x:c>
      <x:c r="T56" t="n">
        <x:f>IF(AND(T$3&gt;=$B$53,T$3&lt;EDATE($B$53,MAX(1,'Вводные'!$H$90)),'Вводные'!$B$90="Да"),(1+'Вводные'!$AD$90*'Вводные'!$H$7)^MAX(0,(12*(YEAR(T$3)-YEAR($B$53))+MONTH(T$3)-MONTH($B$53)))*(1+IF(MONTH(T$3)=1,'Вводные'!$B$67,IF(AND(MONTH(T$3)&gt;=5,MONTH(T$3)&lt;=8),'Вводные'!$B$70,0))),0)</x:f>
      </x:c>
      <x:c r="U56" t="n">
        <x:f>IF(AND(U$3&gt;=$B$53,U$3&lt;EDATE($B$53,MAX(1,'Вводные'!$H$90)),'Вводные'!$B$90="Да"),(1+'Вводные'!$AD$90*'Вводные'!$H$7)^MAX(0,(12*(YEAR(U$3)-YEAR($B$53))+MONTH(U$3)-MONTH($B$53)))*(1+IF(MONTH(U$3)=1,'Вводные'!$B$67,IF(AND(MONTH(U$3)&gt;=5,MONTH(U$3)&lt;=8),'Вводные'!$B$70,0))),0)</x:f>
      </x:c>
      <x:c r="V56" t="n">
        <x:f>IF(AND(V$3&gt;=$B$53,V$3&lt;EDATE($B$53,MAX(1,'Вводные'!$H$90)),'Вводные'!$B$90="Да"),(1+'Вводные'!$AD$90*'Вводные'!$H$7)^MAX(0,(12*(YEAR(V$3)-YEAR($B$53))+MONTH(V$3)-MONTH($B$53)))*(1+IF(MONTH(V$3)=1,'Вводные'!$B$67,IF(AND(MONTH(V$3)&gt;=5,MONTH(V$3)&lt;=8),'Вводные'!$B$70,0))),0)</x:f>
      </x:c>
      <x:c r="W56" t="n">
        <x:f>IF(AND(W$3&gt;=$B$53,W$3&lt;EDATE($B$53,MAX(1,'Вводные'!$H$90)),'Вводные'!$B$90="Да"),(1+'Вводные'!$AD$90*'Вводные'!$H$7)^MAX(0,(12*(YEAR(W$3)-YEAR($B$53))+MONTH(W$3)-MONTH($B$53)))*(1+IF(MONTH(W$3)=1,'Вводные'!$B$67,IF(AND(MONTH(W$3)&gt;=5,MONTH(W$3)&lt;=8),'Вводные'!$B$70,0))),0)</x:f>
      </x:c>
      <x:c r="X56" t="n">
        <x:f>IF(AND(X$3&gt;=$B$53,X$3&lt;EDATE($B$53,MAX(1,'Вводные'!$H$90)),'Вводные'!$B$90="Да"),(1+'Вводные'!$AD$90*'Вводные'!$H$7)^MAX(0,(12*(YEAR(X$3)-YEAR($B$53))+MONTH(X$3)-MONTH($B$53)))*(1+IF(MONTH(X$3)=1,'Вводные'!$B$67,IF(AND(MONTH(X$3)&gt;=5,MONTH(X$3)&lt;=8),'Вводные'!$B$70,0))),0)</x:f>
      </x:c>
      <x:c r="Y56" t="n">
        <x:f>IF(AND(Y$3&gt;=$B$53,Y$3&lt;EDATE($B$53,MAX(1,'Вводные'!$H$90)),'Вводные'!$B$90="Да"),(1+'Вводные'!$AD$90*'Вводные'!$H$7)^MAX(0,(12*(YEAR(Y$3)-YEAR($B$53))+MONTH(Y$3)-MONTH($B$53)))*(1+IF(MONTH(Y$3)=1,'Вводные'!$B$67,IF(AND(MONTH(Y$3)&gt;=5,MONTH(Y$3)&lt;=8),'Вводные'!$B$70,0))),0)</x:f>
      </x:c>
      <x:c r="Z56" t="n">
        <x:f>IF(AND(Z$3&gt;=$B$53,Z$3&lt;EDATE($B$53,MAX(1,'Вводные'!$H$90)),'Вводные'!$B$90="Да"),(1+'Вводные'!$AD$90*'Вводные'!$H$7)^MAX(0,(12*(YEAR(Z$3)-YEAR($B$53))+MONTH(Z$3)-MONTH($B$53)))*(1+IF(MONTH(Z$3)=1,'Вводные'!$B$67,IF(AND(MONTH(Z$3)&gt;=5,MONTH(Z$3)&lt;=8),'Вводные'!$B$70,0))),0)</x:f>
      </x:c>
      <x:c r="AA56" t="n">
        <x:f>IF(AND(AA$3&gt;=$B$53,AA$3&lt;EDATE($B$53,MAX(1,'Вводные'!$H$90)),'Вводные'!$B$90="Да"),(1+'Вводные'!$AD$90*'Вводные'!$H$7)^MAX(0,(12*(YEAR(AA$3)-YEAR($B$53))+MONTH(AA$3)-MONTH($B$53)))*(1+IF(MONTH(AA$3)=1,'Вводные'!$B$67,IF(AND(MONTH(AA$3)&gt;=5,MONTH(AA$3)&lt;=8),'Вводные'!$B$70,0))),0)</x:f>
      </x:c>
      <x:c r="AB56" t="n">
        <x:f>IF(AND(AB$3&gt;=$B$53,AB$3&lt;EDATE($B$53,MAX(1,'Вводные'!$H$90)),'Вводные'!$B$90="Да"),(1+'Вводные'!$AD$90*'Вводные'!$H$7)^MAX(0,(12*(YEAR(AB$3)-YEAR($B$53))+MONTH(AB$3)-MONTH($B$53)))*(1+IF(MONTH(AB$3)=1,'Вводные'!$B$67,IF(AND(MONTH(AB$3)&gt;=5,MONTH(AB$3)&lt;=8),'Вводные'!$B$70,0))),0)</x:f>
      </x:c>
      <x:c r="AC56" t="n">
        <x:f>IF(AND(AC$3&gt;=$B$53,AC$3&lt;EDATE($B$53,MAX(1,'Вводные'!$H$90)),'Вводные'!$B$90="Да"),(1+'Вводные'!$AD$90*'Вводные'!$H$7)^MAX(0,(12*(YEAR(AC$3)-YEAR($B$53))+MONTH(AC$3)-MONTH($B$53)))*(1+IF(MONTH(AC$3)=1,'Вводные'!$B$67,IF(AND(MONTH(AC$3)&gt;=5,MONTH(AC$3)&lt;=8),'Вводные'!$B$70,0))),0)</x:f>
      </x:c>
      <x:c r="AD56" t="n">
        <x:f>IF(AND(AD$3&gt;=$B$53,AD$3&lt;EDATE($B$53,MAX(1,'Вводные'!$H$90)),'Вводные'!$B$90="Да"),(1+'Вводные'!$AD$90*'Вводные'!$H$7)^MAX(0,(12*(YEAR(AD$3)-YEAR($B$53))+MONTH(AD$3)-MONTH($B$53)))*(1+IF(MONTH(AD$3)=1,'Вводные'!$B$67,IF(AND(MONTH(AD$3)&gt;=5,MONTH(AD$3)&lt;=8),'Вводные'!$B$70,0))),0)</x:f>
      </x:c>
      <x:c r="AE56" t="n">
        <x:f>IF(AND(AE$3&gt;=$B$53,AE$3&lt;EDATE($B$53,MAX(1,'Вводные'!$H$90)),'Вводные'!$B$90="Да"),(1+'Вводные'!$AD$90*'Вводные'!$H$7)^MAX(0,(12*(YEAR(AE$3)-YEAR($B$53))+MONTH(AE$3)-MONTH($B$53)))*(1+IF(MONTH(AE$3)=1,'Вводные'!$B$67,IF(AND(MONTH(AE$3)&gt;=5,MONTH(AE$3)&lt;=8),'Вводные'!$B$70,0))),0)</x:f>
      </x:c>
      <x:c r="AF56" t="n">
        <x:f>IF(AND(AF$3&gt;=$B$53,AF$3&lt;EDATE($B$53,MAX(1,'Вводные'!$H$90)),'Вводные'!$B$90="Да"),(1+'Вводные'!$AD$90*'Вводные'!$H$7)^MAX(0,(12*(YEAR(AF$3)-YEAR($B$53))+MONTH(AF$3)-MONTH($B$53)))*(1+IF(MONTH(AF$3)=1,'Вводные'!$B$67,IF(AND(MONTH(AF$3)&gt;=5,MONTH(AF$3)&lt;=8),'Вводные'!$B$70,0))),0)</x:f>
      </x:c>
      <x:c r="AG56" t="n">
        <x:f>IF(AND(AG$3&gt;=$B$53,AG$3&lt;EDATE($B$53,MAX(1,'Вводные'!$H$90)),'Вводные'!$B$90="Да"),(1+'Вводные'!$AD$90*'Вводные'!$H$7)^MAX(0,(12*(YEAR(AG$3)-YEAR($B$53))+MONTH(AG$3)-MONTH($B$53)))*(1+IF(MONTH(AG$3)=1,'Вводные'!$B$67,IF(AND(MONTH(AG$3)&gt;=5,MONTH(AG$3)&lt;=8),'Вводные'!$B$70,0))),0)</x:f>
      </x:c>
      <x:c r="AH56" t="n">
        <x:f>IF(AND(AH$3&gt;=$B$53,AH$3&lt;EDATE($B$53,MAX(1,'Вводные'!$H$90)),'Вводные'!$B$90="Да"),(1+'Вводные'!$AD$90*'Вводные'!$H$7)^MAX(0,(12*(YEAR(AH$3)-YEAR($B$53))+MONTH(AH$3)-MONTH($B$53)))*(1+IF(MONTH(AH$3)=1,'Вводные'!$B$67,IF(AND(MONTH(AH$3)&gt;=5,MONTH(AH$3)&lt;=8),'Вводные'!$B$70,0))),0)</x:f>
      </x:c>
      <x:c r="AI56" t="n">
        <x:f>IF(AND(AI$3&gt;=$B$53,AI$3&lt;EDATE($B$53,MAX(1,'Вводные'!$H$90)),'Вводные'!$B$90="Да"),(1+'Вводные'!$AD$90*'Вводные'!$H$7)^MAX(0,(12*(YEAR(AI$3)-YEAR($B$53))+MONTH(AI$3)-MONTH($B$53)))*(1+IF(MONTH(AI$3)=1,'Вводные'!$B$67,IF(AND(MONTH(AI$3)&gt;=5,MONTH(AI$3)&lt;=8),'Вводные'!$B$70,0))),0)</x:f>
      </x:c>
      <x:c r="AJ56" t="n">
        <x:f>IF(AND(AJ$3&gt;=$B$53,AJ$3&lt;EDATE($B$53,MAX(1,'Вводные'!$H$90)),'Вводные'!$B$90="Да"),(1+'Вводные'!$AD$90*'Вводные'!$H$7)^MAX(0,(12*(YEAR(AJ$3)-YEAR($B$53))+MONTH(AJ$3)-MONTH($B$53)))*(1+IF(MONTH(AJ$3)=1,'Вводные'!$B$67,IF(AND(MONTH(AJ$3)&gt;=5,MONTH(AJ$3)&lt;=8),'Вводные'!$B$70,0))),0)</x:f>
      </x:c>
      <x:c r="AK56" t="n">
        <x:f>IF(AND(AK$3&gt;=$B$53,AK$3&lt;EDATE($B$53,MAX(1,'Вводные'!$H$90)),'Вводные'!$B$90="Да"),(1+'Вводные'!$AD$90*'Вводные'!$H$7)^MAX(0,(12*(YEAR(AK$3)-YEAR($B$53))+MONTH(AK$3)-MONTH($B$53)))*(1+IF(MONTH(AK$3)=1,'Вводные'!$B$67,IF(AND(MONTH(AK$3)&gt;=5,MONTH(AK$3)&lt;=8),'Вводные'!$B$70,0))),0)</x:f>
      </x:c>
      <x:c r="AL56" t="n">
        <x:f>IF(AND(AL$3&gt;=$B$53,AL$3&lt;EDATE($B$53,MAX(1,'Вводные'!$H$90)),'Вводные'!$B$90="Да"),(1+'Вводные'!$AD$90*'Вводные'!$H$7)^MAX(0,(12*(YEAR(AL$3)-YEAR($B$53))+MONTH(AL$3)-MONTH($B$53)))*(1+IF(MONTH(AL$3)=1,'Вводные'!$B$67,IF(AND(MONTH(AL$3)&gt;=5,MONTH(AL$3)&lt;=8),'Вводные'!$B$70,0))),0)</x:f>
      </x:c>
      <x:c r="AM56" t="n">
        <x:f>IF(AND(AM$3&gt;=$B$53,AM$3&lt;EDATE($B$53,MAX(1,'Вводные'!$H$90)),'Вводные'!$B$90="Да"),(1+'Вводные'!$AD$90*'Вводные'!$H$7)^MAX(0,(12*(YEAR(AM$3)-YEAR($B$53))+MONTH(AM$3)-MONTH($B$53)))*(1+IF(MONTH(AM$3)=1,'Вводные'!$B$67,IF(AND(MONTH(AM$3)&gt;=5,MONTH(AM$3)&lt;=8),'Вводные'!$B$70,0))),0)</x:f>
      </x:c>
      <x:c r="AN56" t="n">
        <x:f>IF(AND(AN$3&gt;=$B$53,AN$3&lt;EDATE($B$53,MAX(1,'Вводные'!$H$90)),'Вводные'!$B$90="Да"),(1+'Вводные'!$AD$90*'Вводные'!$H$7)^MAX(0,(12*(YEAR(AN$3)-YEAR($B$53))+MONTH(AN$3)-MONTH($B$53)))*(1+IF(MONTH(AN$3)=1,'Вводные'!$B$67,IF(AND(MONTH(AN$3)&gt;=5,MONTH(AN$3)&lt;=8),'Вводные'!$B$70,0))),0)</x:f>
      </x:c>
      <x:c r="AO56" t="n">
        <x:f>IF(AND(AO$3&gt;=$B$53,AO$3&lt;EDATE($B$53,MAX(1,'Вводные'!$H$90)),'Вводные'!$B$90="Да"),(1+'Вводные'!$AD$90*'Вводные'!$H$7)^MAX(0,(12*(YEAR(AO$3)-YEAR($B$53))+MONTH(AO$3)-MONTH($B$53)))*(1+IF(MONTH(AO$3)=1,'Вводные'!$B$67,IF(AND(MONTH(AO$3)&gt;=5,MONTH(AO$3)&lt;=8),'Вводные'!$B$70,0))),0)</x:f>
      </x:c>
      <x:c r="AP56" t="n">
        <x:f>IF(AND(AP$3&gt;=$B$53,AP$3&lt;EDATE($B$53,MAX(1,'Вводные'!$H$90)),'Вводные'!$B$90="Да"),(1+'Вводные'!$AD$90*'Вводные'!$H$7)^MAX(0,(12*(YEAR(AP$3)-YEAR($B$53))+MONTH(AP$3)-MONTH($B$53)))*(1+IF(MONTH(AP$3)=1,'Вводные'!$B$67,IF(AND(MONTH(AP$3)&gt;=5,MONTH(AP$3)&lt;=8),'Вводные'!$B$70,0))),0)</x:f>
      </x:c>
      <x:c r="AQ56" t="n">
        <x:f>IF(AND(AQ$3&gt;=$B$53,AQ$3&lt;EDATE($B$53,MAX(1,'Вводные'!$H$90)),'Вводные'!$B$90="Да"),(1+'Вводные'!$AD$90*'Вводные'!$H$7)^MAX(0,(12*(YEAR(AQ$3)-YEAR($B$53))+MONTH(AQ$3)-MONTH($B$53)))*(1+IF(MONTH(AQ$3)=1,'Вводные'!$B$67,IF(AND(MONTH(AQ$3)&gt;=5,MONTH(AQ$3)&lt;=8),'Вводные'!$B$70,0))),0)</x:f>
      </x:c>
      <x:c r="AR56" t="n">
        <x:f>IF(AND(AR$3&gt;=$B$53,AR$3&lt;EDATE($B$53,MAX(1,'Вводные'!$H$90)),'Вводные'!$B$90="Да"),(1+'Вводные'!$AD$90*'Вводные'!$H$7)^MAX(0,(12*(YEAR(AR$3)-YEAR($B$53))+MONTH(AR$3)-MONTH($B$53)))*(1+IF(MONTH(AR$3)=1,'Вводные'!$B$67,IF(AND(MONTH(AR$3)&gt;=5,MONTH(AR$3)&lt;=8),'Вводные'!$B$70,0))),0)</x:f>
      </x:c>
      <x:c r="AS56" t="n">
        <x:f>IF(AND(AS$3&gt;=$B$53,AS$3&lt;EDATE($B$53,MAX(1,'Вводные'!$H$90)),'Вводные'!$B$90="Да"),(1+'Вводные'!$AD$90*'Вводные'!$H$7)^MAX(0,(12*(YEAR(AS$3)-YEAR($B$53))+MONTH(AS$3)-MONTH($B$53)))*(1+IF(MONTH(AS$3)=1,'Вводные'!$B$67,IF(AND(MONTH(AS$3)&gt;=5,MONTH(AS$3)&lt;=8),'Вводные'!$B$70,0))),0)</x:f>
      </x:c>
      <x:c r="AT56" t="n">
        <x:f>IF(AND(AT$3&gt;=$B$53,AT$3&lt;EDATE($B$53,MAX(1,'Вводные'!$H$90)),'Вводные'!$B$90="Да"),(1+'Вводные'!$AD$90*'Вводные'!$H$7)^MAX(0,(12*(YEAR(AT$3)-YEAR($B$53))+MONTH(AT$3)-MONTH($B$53)))*(1+IF(MONTH(AT$3)=1,'Вводные'!$B$67,IF(AND(MONTH(AT$3)&gt;=5,MONTH(AT$3)&lt;=8),'Вводные'!$B$70,0))),0)</x:f>
      </x:c>
      <x:c r="AU56" t="n">
        <x:f>IF(AND(AU$3&gt;=$B$53,AU$3&lt;EDATE($B$53,MAX(1,'Вводные'!$H$90)),'Вводные'!$B$90="Да"),(1+'Вводные'!$AD$90*'Вводные'!$H$7)^MAX(0,(12*(YEAR(AU$3)-YEAR($B$53))+MONTH(AU$3)-MONTH($B$53)))*(1+IF(MONTH(AU$3)=1,'Вводные'!$B$67,IF(AND(MONTH(AU$3)&gt;=5,MONTH(AU$3)&lt;=8),'Вводные'!$B$70,0))),0)</x:f>
      </x:c>
      <x:c r="AV56" t="n">
        <x:f>IF(AND(AV$3&gt;=$B$53,AV$3&lt;EDATE($B$53,MAX(1,'Вводные'!$H$90)),'Вводные'!$B$90="Да"),(1+'Вводные'!$AD$90*'Вводные'!$H$7)^MAX(0,(12*(YEAR(AV$3)-YEAR($B$53))+MONTH(AV$3)-MONTH($B$53)))*(1+IF(MONTH(AV$3)=1,'Вводные'!$B$67,IF(AND(MONTH(AV$3)&gt;=5,MONTH(AV$3)&lt;=8),'Вводные'!$B$70,0))),0)</x:f>
      </x:c>
      <x:c r="AW56" t="n">
        <x:f>IF(AND(AW$3&gt;=$B$53,AW$3&lt;EDATE($B$53,MAX(1,'Вводные'!$H$90)),'Вводные'!$B$90="Да"),(1+'Вводные'!$AD$90*'Вводные'!$H$7)^MAX(0,(12*(YEAR(AW$3)-YEAR($B$53))+MONTH(AW$3)-MONTH($B$53)))*(1+IF(MONTH(AW$3)=1,'Вводные'!$B$67,IF(AND(MONTH(AW$3)&gt;=5,MONTH(AW$3)&lt;=8),'Вводные'!$B$70,0))),0)</x:f>
      </x:c>
      <x:c r="AX56" t="n">
        <x:f>IF(AND(AX$3&gt;=$B$53,AX$3&lt;EDATE($B$53,MAX(1,'Вводные'!$H$90)),'Вводные'!$B$90="Да"),(1+'Вводные'!$AD$90*'Вводные'!$H$7)^MAX(0,(12*(YEAR(AX$3)-YEAR($B$53))+MONTH(AX$3)-MONTH($B$53)))*(1+IF(MONTH(AX$3)=1,'Вводные'!$B$67,IF(AND(MONTH(AX$3)&gt;=5,MONTH(AX$3)&lt;=8),'Вводные'!$B$70,0))),0)</x:f>
      </x:c>
      <x:c r="AY56" t="n">
        <x:f>IF(AND(AY$3&gt;=$B$53,AY$3&lt;EDATE($B$53,MAX(1,'Вводные'!$H$90)),'Вводные'!$B$90="Да"),(1+'Вводные'!$AD$90*'Вводные'!$H$7)^MAX(0,(12*(YEAR(AY$3)-YEAR($B$53))+MONTH(AY$3)-MONTH($B$53)))*(1+IF(MONTH(AY$3)=1,'Вводные'!$B$67,IF(AND(MONTH(AY$3)&gt;=5,MONTH(AY$3)&lt;=8),'Вводные'!$B$70,0))),0)</x:f>
      </x:c>
      <x:c r="AZ56" t="n">
        <x:f>IF(AND(AZ$3&gt;=$B$53,AZ$3&lt;EDATE($B$53,MAX(1,'Вводные'!$H$90)),'Вводные'!$B$90="Да"),(1+'Вводные'!$AD$90*'Вводные'!$H$7)^MAX(0,(12*(YEAR(AZ$3)-YEAR($B$53))+MONTH(AZ$3)-MONTH($B$53)))*(1+IF(MONTH(AZ$3)=1,'Вводные'!$B$67,IF(AND(MONTH(AZ$3)&gt;=5,MONTH(AZ$3)&lt;=8),'Вводные'!$B$70,0))),0)</x:f>
      </x:c>
      <x:c r="BA56" t="n">
        <x:f>IF(AND(BA$3&gt;=$B$53,BA$3&lt;EDATE($B$53,MAX(1,'Вводные'!$H$90)),'Вводные'!$B$90="Да"),(1+'Вводные'!$AD$90*'Вводные'!$H$7)^MAX(0,(12*(YEAR(BA$3)-YEAR($B$53))+MONTH(BA$3)-MONTH($B$53)))*(1+IF(MONTH(BA$3)=1,'Вводные'!$B$67,IF(AND(MONTH(BA$3)&gt;=5,MONTH(BA$3)&lt;=8),'Вводные'!$B$70,0))),0)</x:f>
      </x:c>
      <x:c r="BB56" t="n">
        <x:f>IF(AND(BB$3&gt;=$B$53,BB$3&lt;EDATE($B$53,MAX(1,'Вводные'!$H$90)),'Вводные'!$B$90="Да"),(1+'Вводные'!$AD$90*'Вводные'!$H$7)^MAX(0,(12*(YEAR(BB$3)-YEAR($B$53))+MONTH(BB$3)-MONTH($B$53)))*(1+IF(MONTH(BB$3)=1,'Вводные'!$B$67,IF(AND(MONTH(BB$3)&gt;=5,MONTH(BB$3)&lt;=8),'Вводные'!$B$70,0))),0)</x:f>
      </x:c>
      <x:c r="BC56" t="n">
        <x:f>IF(AND(BC$3&gt;=$B$53,BC$3&lt;EDATE($B$53,MAX(1,'Вводные'!$H$90)),'Вводные'!$B$90="Да"),(1+'Вводные'!$AD$90*'Вводные'!$H$7)^MAX(0,(12*(YEAR(BC$3)-YEAR($B$53))+MONTH(BC$3)-MONTH($B$53)))*(1+IF(MONTH(BC$3)=1,'Вводные'!$B$67,IF(AND(MONTH(BC$3)&gt;=5,MONTH(BC$3)&lt;=8),'Вводные'!$B$70,0))),0)</x:f>
      </x:c>
      <x:c r="BD56" t="n">
        <x:f>IF(AND(BD$3&gt;=$B$53,BD$3&lt;EDATE($B$53,MAX(1,'Вводные'!$H$90)),'Вводные'!$B$90="Да"),(1+'Вводные'!$AD$90*'Вводные'!$H$7)^MAX(0,(12*(YEAR(BD$3)-YEAR($B$53))+MONTH(BD$3)-MONTH($B$53)))*(1+IF(MONTH(BD$3)=1,'Вводные'!$B$67,IF(AND(MONTH(BD$3)&gt;=5,MONTH(BD$3)&lt;=8),'Вводные'!$B$70,0))),0)</x:f>
      </x:c>
      <x:c r="BE56" t="n">
        <x:f>IF(AND(BE$3&gt;=$B$53,BE$3&lt;EDATE($B$53,MAX(1,'Вводные'!$H$90)),'Вводные'!$B$90="Да"),(1+'Вводные'!$AD$90*'Вводные'!$H$7)^MAX(0,(12*(YEAR(BE$3)-YEAR($B$53))+MONTH(BE$3)-MONTH($B$53)))*(1+IF(MONTH(BE$3)=1,'Вводные'!$B$67,IF(AND(MONTH(BE$3)&gt;=5,MONTH(BE$3)&lt;=8),'Вводные'!$B$70,0))),0)</x:f>
      </x:c>
      <x:c r="BF56" t="n">
        <x:f>IF(AND(BF$3&gt;=$B$53,BF$3&lt;EDATE($B$53,MAX(1,'Вводные'!$H$90)),'Вводные'!$B$90="Да"),(1+'Вводные'!$AD$90*'Вводные'!$H$7)^MAX(0,(12*(YEAR(BF$3)-YEAR($B$53))+MONTH(BF$3)-MONTH($B$53)))*(1+IF(MONTH(BF$3)=1,'Вводные'!$B$67,IF(AND(MONTH(BF$3)&gt;=5,MONTH(BF$3)&lt;=8),'Вводные'!$B$70,0))),0)</x:f>
      </x:c>
      <x:c r="BG56" t="n">
        <x:f>IF(AND(BG$3&gt;=$B$53,BG$3&lt;EDATE($B$53,MAX(1,'Вводные'!$H$90)),'Вводные'!$B$90="Да"),(1+'Вводные'!$AD$90*'Вводные'!$H$7)^MAX(0,(12*(YEAR(BG$3)-YEAR($B$53))+MONTH(BG$3)-MONTH($B$53)))*(1+IF(MONTH(BG$3)=1,'Вводные'!$B$67,IF(AND(MONTH(BG$3)&gt;=5,MONTH(BG$3)&lt;=8),'Вводные'!$B$70,0))),0)</x:f>
      </x:c>
      <x:c r="BH56" t="n">
        <x:f>IF(AND(BH$3&gt;=$B$53,BH$3&lt;EDATE($B$53,MAX(1,'Вводные'!$H$90)),'Вводные'!$B$90="Да"),(1+'Вводные'!$AD$90*'Вводные'!$H$7)^MAX(0,(12*(YEAR(BH$3)-YEAR($B$53))+MONTH(BH$3)-MONTH($B$53)))*(1+IF(MONTH(BH$3)=1,'Вводные'!$B$67,IF(AND(MONTH(BH$3)&gt;=5,MONTH(BH$3)&lt;=8),'Вводные'!$B$70,0))),0)</x:f>
      </x:c>
      <x:c r="BI56" t="n">
        <x:f>IF(AND(BI$3&gt;=$B$53,BI$3&lt;EDATE($B$53,MAX(1,'Вводные'!$H$90)),'Вводные'!$B$90="Да"),(1+'Вводные'!$AD$90*'Вводные'!$H$7)^MAX(0,(12*(YEAR(BI$3)-YEAR($B$53))+MONTH(BI$3)-MONTH($B$53)))*(1+IF(MONTH(BI$3)=1,'Вводные'!$B$67,IF(AND(MONTH(BI$3)&gt;=5,MONTH(BI$3)&lt;=8),'Вводные'!$B$70,0))),0)</x:f>
      </x:c>
      <x:c r="BJ56" t="n">
        <x:f>IF(AND(BJ$3&gt;=$B$53,BJ$3&lt;EDATE($B$53,MAX(1,'Вводные'!$H$90)),'Вводные'!$B$90="Да"),(1+'Вводные'!$AD$90*'Вводные'!$H$7)^MAX(0,(12*(YEAR(BJ$3)-YEAR($B$53))+MONTH(BJ$3)-MONTH($B$53)))*(1+IF(MONTH(BJ$3)=1,'Вводные'!$B$67,IF(AND(MONTH(BJ$3)&gt;=5,MONTH(BJ$3)&lt;=8),'Вводные'!$B$70,0))),0)</x:f>
      </x:c>
      <x:c r="BK56" t="n">
        <x:f>IF(AND(BK$3&gt;=$B$53,BK$3&lt;EDATE($B$53,MAX(1,'Вводные'!$H$90)),'Вводные'!$B$90="Да"),(1+'Вводные'!$AD$90*'Вводные'!$H$7)^MAX(0,(12*(YEAR(BK$3)-YEAR($B$53))+MONTH(BK$3)-MONTH($B$53)))*(1+IF(MONTH(BK$3)=1,'Вводные'!$B$67,IF(AND(MONTH(BK$3)&gt;=5,MONTH(BK$3)&lt;=8),'Вводные'!$B$70,0))),0)</x:f>
      </x:c>
      <x:c r="BL56" t="n">
        <x:f>IF(AND(BL$3&gt;=$B$53,BL$3&lt;EDATE($B$53,MAX(1,'Вводные'!$H$90)),'Вводные'!$B$90="Да"),(1+'Вводные'!$AD$90*'Вводные'!$H$7)^MAX(0,(12*(YEAR(BL$3)-YEAR($B$53))+MONTH(BL$3)-MONTH($B$53)))*(1+IF(MONTH(BL$3)=1,'Вводные'!$B$67,IF(AND(MONTH(BL$3)&gt;=5,MONTH(BL$3)&lt;=8),'Вводные'!$B$70,0))),0)</x:f>
      </x:c>
      <x:c r="BM56" t="n">
        <x:f>IF(AND(BM$3&gt;=$B$53,BM$3&lt;EDATE($B$53,MAX(1,'Вводные'!$H$90)),'Вводные'!$B$90="Да"),(1+'Вводные'!$AD$90*'Вводные'!$H$7)^MAX(0,(12*(YEAR(BM$3)-YEAR($B$53))+MONTH(BM$3)-MONTH($B$53)))*(1+IF(MONTH(BM$3)=1,'Вводные'!$B$67,IF(AND(MONTH(BM$3)&gt;=5,MONTH(BM$3)&lt;=8),'Вводные'!$B$70,0))),0)</x:f>
      </x:c>
      <x:c r="BN56" t="n">
        <x:f>IF(AND(BN$3&gt;=$B$53,BN$3&lt;EDATE($B$53,MAX(1,'Вводные'!$H$90)),'Вводные'!$B$90="Да"),(1+'Вводные'!$AD$90*'Вводные'!$H$7)^MAX(0,(12*(YEAR(BN$3)-YEAR($B$53))+MONTH(BN$3)-MONTH($B$53)))*(1+IF(MONTH(BN$3)=1,'Вводные'!$B$67,IF(AND(MONTH(BN$3)&gt;=5,MONTH(BN$3)&lt;=8),'Вводные'!$B$70,0))),0)</x:f>
      </x:c>
      <x:c r="BO56" t="n">
        <x:f>IF(AND(BO$3&gt;=$B$53,BO$3&lt;EDATE($B$53,MAX(1,'Вводные'!$H$90)),'Вводные'!$B$90="Да"),(1+'Вводные'!$AD$90*'Вводные'!$H$7)^MAX(0,(12*(YEAR(BO$3)-YEAR($B$53))+MONTH(BO$3)-MONTH($B$53)))*(1+IF(MONTH(BO$3)=1,'Вводные'!$B$67,IF(AND(MONTH(BO$3)&gt;=5,MONTH(BO$3)&lt;=8),'Вводные'!$B$70,0))),0)</x:f>
      </x:c>
      <x:c r="BP56" t="n">
        <x:f>IF(AND(BP$3&gt;=$B$53,BP$3&lt;EDATE($B$53,MAX(1,'Вводные'!$H$90)),'Вводные'!$B$90="Да"),(1+'Вводные'!$AD$90*'Вводные'!$H$7)^MAX(0,(12*(YEAR(BP$3)-YEAR($B$53))+MONTH(BP$3)-MONTH($B$53)))*(1+IF(MONTH(BP$3)=1,'Вводные'!$B$67,IF(AND(MONTH(BP$3)&gt;=5,MONTH(BP$3)&lt;=8),'Вводные'!$B$70,0))),0)</x:f>
      </x:c>
      <x:c r="BQ56" t="n">
        <x:f>IF(AND(BQ$3&gt;=$B$53,BQ$3&lt;EDATE($B$53,MAX(1,'Вводные'!$H$90)),'Вводные'!$B$90="Да"),(1+'Вводные'!$AD$90*'Вводные'!$H$7)^MAX(0,(12*(YEAR(BQ$3)-YEAR($B$53))+MONTH(BQ$3)-MONTH($B$53)))*(1+IF(MONTH(BQ$3)=1,'Вводные'!$B$67,IF(AND(MONTH(BQ$3)&gt;=5,MONTH(BQ$3)&lt;=8),'Вводные'!$B$70,0))),0)</x:f>
      </x:c>
      <x:c r="BR56" t="n">
        <x:f>IF(AND(BR$3&gt;=$B$53,BR$3&lt;EDATE($B$53,MAX(1,'Вводные'!$H$90)),'Вводные'!$B$90="Да"),(1+'Вводные'!$AD$90*'Вводные'!$H$7)^MAX(0,(12*(YEAR(BR$3)-YEAR($B$53))+MONTH(BR$3)-MONTH($B$53)))*(1+IF(MONTH(BR$3)=1,'Вводные'!$B$67,IF(AND(MONTH(BR$3)&gt;=5,MONTH(BR$3)&lt;=8),'Вводные'!$B$70,0))),0)</x:f>
      </x:c>
      <x:c r="BS56" t="n">
        <x:f>IF(AND(BS$3&gt;=$B$53,BS$3&lt;EDATE($B$53,MAX(1,'Вводные'!$H$90)),'Вводные'!$B$90="Да"),(1+'Вводные'!$AD$90*'Вводные'!$H$7)^MAX(0,(12*(YEAR(BS$3)-YEAR($B$53))+MONTH(BS$3)-MONTH($B$53)))*(1+IF(MONTH(BS$3)=1,'Вводные'!$B$67,IF(AND(MONTH(BS$3)&gt;=5,MONTH(BS$3)&lt;=8),'Вводные'!$B$70,0))),0)</x:f>
      </x:c>
      <x:c r="BT56" t="n">
        <x:f>IF(AND(BT$3&gt;=$B$53,BT$3&lt;EDATE($B$53,MAX(1,'Вводные'!$H$90)),'Вводные'!$B$90="Да"),(1+'Вводные'!$AD$90*'Вводные'!$H$7)^MAX(0,(12*(YEAR(BT$3)-YEAR($B$53))+MONTH(BT$3)-MONTH($B$53)))*(1+IF(MONTH(BT$3)=1,'Вводные'!$B$67,IF(AND(MONTH(BT$3)&gt;=5,MONTH(BT$3)&lt;=8),'Вводные'!$B$70,0))),0)</x:f>
      </x:c>
      <x:c r="BU56" t="n">
        <x:f>IF(AND(BU$3&gt;=$B$53,BU$3&lt;EDATE($B$53,MAX(1,'Вводные'!$H$90)),'Вводные'!$B$90="Да"),(1+'Вводные'!$AD$90*'Вводные'!$H$7)^MAX(0,(12*(YEAR(BU$3)-YEAR($B$53))+MONTH(BU$3)-MONTH($B$53)))*(1+IF(MONTH(BU$3)=1,'Вводные'!$B$67,IF(AND(MONTH(BU$3)&gt;=5,MONTH(BU$3)&lt;=8),'Вводные'!$B$70,0))),0)</x:f>
      </x:c>
      <x:c r="BV56" t="n">
        <x:f>IF(AND(BV$3&gt;=$B$53,BV$3&lt;EDATE($B$53,MAX(1,'Вводные'!$H$90)),'Вводные'!$B$90="Да"),(1+'Вводные'!$AD$90*'Вводные'!$H$7)^MAX(0,(12*(YEAR(BV$3)-YEAR($B$53))+MONTH(BV$3)-MONTH($B$53)))*(1+IF(MONTH(BV$3)=1,'Вводные'!$B$67,IF(AND(MONTH(BV$3)&gt;=5,MONTH(BV$3)&lt;=8),'Вводные'!$B$70,0))),0)</x:f>
      </x:c>
      <x:c r="BW56" t="n">
        <x:f>IF(AND(BW$3&gt;=$B$53,BW$3&lt;EDATE($B$53,MAX(1,'Вводные'!$H$90)),'Вводные'!$B$90="Да"),(1+'Вводные'!$AD$90*'Вводные'!$H$7)^MAX(0,(12*(YEAR(BW$3)-YEAR($B$53))+MONTH(BW$3)-MONTH($B$53)))*(1+IF(MONTH(BW$3)=1,'Вводные'!$B$67,IF(AND(MONTH(BW$3)&gt;=5,MONTH(BW$3)&lt;=8),'Вводные'!$B$70,0))),0)</x:f>
      </x:c>
      <x:c r="BX56" t="n">
        <x:f>IF(AND(BX$3&gt;=$B$53,BX$3&lt;EDATE($B$53,MAX(1,'Вводные'!$H$90)),'Вводные'!$B$90="Да"),(1+'Вводные'!$AD$90*'Вводные'!$H$7)^MAX(0,(12*(YEAR(BX$3)-YEAR($B$53))+MONTH(BX$3)-MONTH($B$53)))*(1+IF(MONTH(BX$3)=1,'Вводные'!$B$67,IF(AND(MONTH(BX$3)&gt;=5,MONTH(BX$3)&lt;=8),'Вводные'!$B$70,0))),0)</x:f>
      </x:c>
      <x:c r="BY56" t="n">
        <x:f>IF(AND(BY$3&gt;=$B$53,BY$3&lt;EDATE($B$53,MAX(1,'Вводные'!$H$90)),'Вводные'!$B$90="Да"),(1+'Вводные'!$AD$90*'Вводные'!$H$7)^MAX(0,(12*(YEAR(BY$3)-YEAR($B$53))+MONTH(BY$3)-MONTH($B$53)))*(1+IF(MONTH(BY$3)=1,'Вводные'!$B$67,IF(AND(MONTH(BY$3)&gt;=5,MONTH(BY$3)&lt;=8),'Вводные'!$B$70,0))),0)</x:f>
      </x:c>
      <x:c r="BZ56" t="n">
        <x:f>IF(AND(BZ$3&gt;=$B$53,BZ$3&lt;EDATE($B$53,MAX(1,'Вводные'!$H$90)),'Вводные'!$B$90="Да"),(1+'Вводные'!$AD$90*'Вводные'!$H$7)^MAX(0,(12*(YEAR(BZ$3)-YEAR($B$53))+MONTH(BZ$3)-MONTH($B$53)))*(1+IF(MONTH(BZ$3)=1,'Вводные'!$B$67,IF(AND(MONTH(BZ$3)&gt;=5,MONTH(BZ$3)&lt;=8),'Вводные'!$B$70,0))),0)</x:f>
      </x:c>
      <x:c r="CA56" t="n">
        <x:f>IF(AND(CA$3&gt;=$B$53,CA$3&lt;EDATE($B$53,MAX(1,'Вводные'!$H$90)),'Вводные'!$B$90="Да"),(1+'Вводные'!$AD$90*'Вводные'!$H$7)^MAX(0,(12*(YEAR(CA$3)-YEAR($B$53))+MONTH(CA$3)-MONTH($B$53)))*(1+IF(MONTH(CA$3)=1,'Вводные'!$B$67,IF(AND(MONTH(CA$3)&gt;=5,MONTH(CA$3)&lt;=8),'Вводные'!$B$70,0))),0)</x:f>
      </x:c>
      <x:c r="CB56" t="n">
        <x:f>IF(AND(CB$3&gt;=$B$53,CB$3&lt;EDATE($B$53,MAX(1,'Вводные'!$H$90)),'Вводные'!$B$90="Да"),(1+'Вводные'!$AD$90*'Вводные'!$H$7)^MAX(0,(12*(YEAR(CB$3)-YEAR($B$53))+MONTH(CB$3)-MONTH($B$53)))*(1+IF(MONTH(CB$3)=1,'Вводные'!$B$67,IF(AND(MONTH(CB$3)&gt;=5,MONTH(CB$3)&lt;=8),'Вводные'!$B$70,0))),0)</x:f>
      </x:c>
      <x:c r="CC56" t="n">
        <x:f>IF(AND(CC$3&gt;=$B$53,CC$3&lt;EDATE($B$53,MAX(1,'Вводные'!$H$90)),'Вводные'!$B$90="Да"),(1+'Вводные'!$AD$90*'Вводные'!$H$7)^MAX(0,(12*(YEAR(CC$3)-YEAR($B$53))+MONTH(CC$3)-MONTH($B$53)))*(1+IF(MONTH(CC$3)=1,'Вводные'!$B$67,IF(AND(MONTH(CC$3)&gt;=5,MONTH(CC$3)&lt;=8),'Вводные'!$B$70,0))),0)</x:f>
      </x:c>
      <x:c r="CD56" t="n">
        <x:f>IF(AND(CD$3&gt;=$B$53,CD$3&lt;EDATE($B$53,MAX(1,'Вводные'!$H$90)),'Вводные'!$B$90="Да"),(1+'Вводные'!$AD$90*'Вводные'!$H$7)^MAX(0,(12*(YEAR(CD$3)-YEAR($B$53))+MONTH(CD$3)-MONTH($B$53)))*(1+IF(MONTH(CD$3)=1,'Вводные'!$B$67,IF(AND(MONTH(CD$3)&gt;=5,MONTH(CD$3)&lt;=8),'Вводные'!$B$70,0))),0)</x:f>
      </x:c>
      <x:c r="CE56" t="n">
        <x:f>IF(AND(CE$3&gt;=$B$53,CE$3&lt;EDATE($B$53,MAX(1,'Вводные'!$H$90)),'Вводные'!$B$90="Да"),(1+'Вводные'!$AD$90*'Вводные'!$H$7)^MAX(0,(12*(YEAR(CE$3)-YEAR($B$53))+MONTH(CE$3)-MONTH($B$53)))*(1+IF(MONTH(CE$3)=1,'Вводные'!$B$67,IF(AND(MONTH(CE$3)&gt;=5,MONTH(CE$3)&lt;=8),'Вводные'!$B$70,0))),0)</x:f>
      </x:c>
      <x:c r="CF56" t="n">
        <x:f>IF(AND(CF$3&gt;=$B$53,CF$3&lt;EDATE($B$53,MAX(1,'Вводные'!$H$90)),'Вводные'!$B$90="Да"),(1+'Вводные'!$AD$90*'Вводные'!$H$7)^MAX(0,(12*(YEAR(CF$3)-YEAR($B$53))+MONTH(CF$3)-MONTH($B$53)))*(1+IF(MONTH(CF$3)=1,'Вводные'!$B$67,IF(AND(MONTH(CF$3)&gt;=5,MONTH(CF$3)&lt;=8),'Вводные'!$B$70,0))),0)</x:f>
      </x:c>
      <x:c r="CG56" t="n">
        <x:f>IF(AND(CG$3&gt;=$B$53,CG$3&lt;EDATE($B$53,MAX(1,'Вводные'!$H$90)),'Вводные'!$B$90="Да"),(1+'Вводные'!$AD$90*'Вводные'!$H$7)^MAX(0,(12*(YEAR(CG$3)-YEAR($B$53))+MONTH(CG$3)-MONTH($B$53)))*(1+IF(MONTH(CG$3)=1,'Вводные'!$B$67,IF(AND(MONTH(CG$3)&gt;=5,MONTH(CG$3)&lt;=8),'Вводные'!$B$70,0))),0)</x:f>
      </x:c>
      <x:c r="CH56" t="n">
        <x:f>IF(AND(CH$3&gt;=$B$53,CH$3&lt;EDATE($B$53,MAX(1,'Вводные'!$H$90)),'Вводные'!$B$90="Да"),(1+'Вводные'!$AD$90*'Вводные'!$H$7)^MAX(0,(12*(YEAR(CH$3)-YEAR($B$53))+MONTH(CH$3)-MONTH($B$53)))*(1+IF(MONTH(CH$3)=1,'Вводные'!$B$67,IF(AND(MONTH(CH$3)&gt;=5,MONTH(CH$3)&lt;=8),'Вводные'!$B$70,0))),0)</x:f>
      </x:c>
      <x:c r="CI56" t="n">
        <x:f>IF(AND(CI$3&gt;=$B$53,CI$3&lt;EDATE($B$53,MAX(1,'Вводные'!$H$90)),'Вводные'!$B$90="Да"),(1+'Вводные'!$AD$90*'Вводные'!$H$7)^MAX(0,(12*(YEAR(CI$3)-YEAR($B$53))+MONTH(CI$3)-MONTH($B$53)))*(1+IF(MONTH(CI$3)=1,'Вводные'!$B$67,IF(AND(MONTH(CI$3)&gt;=5,MONTH(CI$3)&lt;=8),'Вводные'!$B$70,0))),0)</x:f>
      </x:c>
      <x:c r="CJ56" t="n">
        <x:f>IF(AND(CJ$3&gt;=$B$53,CJ$3&lt;EDATE($B$53,MAX(1,'Вводные'!$H$90)),'Вводные'!$B$90="Да"),(1+'Вводные'!$AD$90*'Вводные'!$H$7)^MAX(0,(12*(YEAR(CJ$3)-YEAR($B$53))+MONTH(CJ$3)-MONTH($B$53)))*(1+IF(MONTH(CJ$3)=1,'Вводные'!$B$67,IF(AND(MONTH(CJ$3)&gt;=5,MONTH(CJ$3)&lt;=8),'Вводные'!$B$70,0))),0)</x:f>
      </x:c>
      <x:c r="CK56" t="n">
        <x:f>IF(AND(CK$3&gt;=$B$53,CK$3&lt;EDATE($B$53,MAX(1,'Вводные'!$H$90)),'Вводные'!$B$90="Да"),(1+'Вводные'!$AD$90*'Вводные'!$H$7)^MAX(0,(12*(YEAR(CK$3)-YEAR($B$53))+MONTH(CK$3)-MONTH($B$53)))*(1+IF(MONTH(CK$3)=1,'Вводные'!$B$67,IF(AND(MONTH(CK$3)&gt;=5,MONTH(CK$3)&lt;=8),'Вводные'!$B$70,0))),0)</x:f>
      </x:c>
      <x:c r="CL56" t="n">
        <x:f>IF(AND(CL$3&gt;=$B$53,CL$3&lt;EDATE($B$53,MAX(1,'Вводные'!$H$90)),'Вводные'!$B$90="Да"),(1+'Вводные'!$AD$90*'Вводные'!$H$7)^MAX(0,(12*(YEAR(CL$3)-YEAR($B$53))+MONTH(CL$3)-MONTH($B$53)))*(1+IF(MONTH(CL$3)=1,'Вводные'!$B$67,IF(AND(MONTH(CL$3)&gt;=5,MONTH(CL$3)&lt;=8),'Вводные'!$B$70,0))),0)</x:f>
      </x:c>
      <x:c r="CM56" t="n">
        <x:f>IF(AND(CM$3&gt;=$B$53,CM$3&lt;EDATE($B$53,MAX(1,'Вводные'!$H$90)),'Вводные'!$B$90="Да"),(1+'Вводные'!$AD$90*'Вводные'!$H$7)^MAX(0,(12*(YEAR(CM$3)-YEAR($B$53))+MONTH(CM$3)-MONTH($B$53)))*(1+IF(MONTH(CM$3)=1,'Вводные'!$B$67,IF(AND(MONTH(CM$3)&gt;=5,MONTH(CM$3)&lt;=8),'Вводные'!$B$70,0))),0)</x:f>
      </x:c>
      <x:c r="CN56" t="n">
        <x:f>IF(AND(CN$3&gt;=$B$53,CN$3&lt;EDATE($B$53,MAX(1,'Вводные'!$H$90)),'Вводные'!$B$90="Да"),(1+'Вводные'!$AD$90*'Вводные'!$H$7)^MAX(0,(12*(YEAR(CN$3)-YEAR($B$53))+MONTH(CN$3)-MONTH($B$53)))*(1+IF(MONTH(CN$3)=1,'Вводные'!$B$67,IF(AND(MONTH(CN$3)&gt;=5,MONTH(CN$3)&lt;=8),'Вводные'!$B$70,0))),0)</x:f>
      </x:c>
      <x:c r="CO56" t="n">
        <x:f>IF(AND(CO$3&gt;=$B$53,CO$3&lt;EDATE($B$53,MAX(1,'Вводные'!$H$90)),'Вводные'!$B$90="Да"),(1+'Вводные'!$AD$90*'Вводные'!$H$7)^MAX(0,(12*(YEAR(CO$3)-YEAR($B$53))+MONTH(CO$3)-MONTH($B$53)))*(1+IF(MONTH(CO$3)=1,'Вводные'!$B$67,IF(AND(MONTH(CO$3)&gt;=5,MONTH(CO$3)&lt;=8),'Вводные'!$B$70,0))),0)</x:f>
      </x:c>
      <x:c r="CP56" t="n">
        <x:f>IF(AND(CP$3&gt;=$B$53,CP$3&lt;EDATE($B$53,MAX(1,'Вводные'!$H$90)),'Вводные'!$B$90="Да"),(1+'Вводные'!$AD$90*'Вводные'!$H$7)^MAX(0,(12*(YEAR(CP$3)-YEAR($B$53))+MONTH(CP$3)-MONTH($B$53)))*(1+IF(MONTH(CP$3)=1,'Вводные'!$B$67,IF(AND(MONTH(CP$3)&gt;=5,MONTH(CP$3)&lt;=8),'Вводные'!$B$70,0))),0)</x:f>
      </x:c>
      <x:c r="CQ56" t="n">
        <x:f>IF(AND(CQ$3&gt;=$B$53,CQ$3&lt;EDATE($B$53,MAX(1,'Вводные'!$H$90)),'Вводные'!$B$90="Да"),(1+'Вводные'!$AD$90*'Вводные'!$H$7)^MAX(0,(12*(YEAR(CQ$3)-YEAR($B$53))+MONTH(CQ$3)-MONTH($B$53)))*(1+IF(MONTH(CQ$3)=1,'Вводные'!$B$67,IF(AND(MONTH(CQ$3)&gt;=5,MONTH(CQ$3)&lt;=8),'Вводные'!$B$70,0))),0)</x:f>
      </x:c>
      <x:c r="CR56" t="n">
        <x:f>IF(AND(CR$3&gt;=$B$53,CR$3&lt;EDATE($B$53,MAX(1,'Вводные'!$H$90)),'Вводные'!$B$90="Да"),(1+'Вводные'!$AD$90*'Вводные'!$H$7)^MAX(0,(12*(YEAR(CR$3)-YEAR($B$53))+MONTH(CR$3)-MONTH($B$53)))*(1+IF(MONTH(CR$3)=1,'Вводные'!$B$67,IF(AND(MONTH(CR$3)&gt;=5,MONTH(CR$3)&lt;=8),'Вводные'!$B$70,0))),0)</x:f>
      </x:c>
      <x:c r="CS56" t="n">
        <x:f>IF(AND(CS$3&gt;=$B$53,CS$3&lt;EDATE($B$53,MAX(1,'Вводные'!$H$90)),'Вводные'!$B$90="Да"),(1+'Вводные'!$AD$90*'Вводные'!$H$7)^MAX(0,(12*(YEAR(CS$3)-YEAR($B$53))+MONTH(CS$3)-MONTH($B$53)))*(1+IF(MONTH(CS$3)=1,'Вводные'!$B$67,IF(AND(MONTH(CS$3)&gt;=5,MONTH(CS$3)&lt;=8),'Вводные'!$B$70,0))),0)</x:f>
      </x:c>
      <x:c r="CT56" t="n">
        <x:f>IF(AND(CT$3&gt;=$B$53,CT$3&lt;EDATE($B$53,MAX(1,'Вводные'!$H$90)),'Вводные'!$B$90="Да"),(1+'Вводные'!$AD$90*'Вводные'!$H$7)^MAX(0,(12*(YEAR(CT$3)-YEAR($B$53))+MONTH(CT$3)-MONTH($B$53)))*(1+IF(MONTH(CT$3)=1,'Вводные'!$B$67,IF(AND(MONTH(CT$3)&gt;=5,MONTH(CT$3)&lt;=8),'Вводные'!$B$70,0))),0)</x:f>
      </x:c>
      <x:c r="CU56" t="n">
        <x:f>IF(AND(CU$3&gt;=$B$53,CU$3&lt;EDATE($B$53,MAX(1,'Вводные'!$H$90)),'Вводные'!$B$90="Да"),(1+'Вводные'!$AD$90*'Вводные'!$H$7)^MAX(0,(12*(YEAR(CU$3)-YEAR($B$53))+MONTH(CU$3)-MONTH($B$53)))*(1+IF(MONTH(CU$3)=1,'Вводные'!$B$67,IF(AND(MONTH(CU$3)&gt;=5,MONTH(CU$3)&lt;=8),'Вводные'!$B$70,0))),0)</x:f>
      </x:c>
      <x:c r="CV56" t="n">
        <x:f>IF(AND(CV$3&gt;=$B$53,CV$3&lt;EDATE($B$53,MAX(1,'Вводные'!$H$90)),'Вводные'!$B$90="Да"),(1+'Вводные'!$AD$90*'Вводные'!$H$7)^MAX(0,(12*(YEAR(CV$3)-YEAR($B$53))+MONTH(CV$3)-MONTH($B$53)))*(1+IF(MONTH(CV$3)=1,'Вводные'!$B$67,IF(AND(MONTH(CV$3)&gt;=5,MONTH(CV$3)&lt;=8),'Вводные'!$B$70,0))),0)</x:f>
      </x:c>
      <x:c r="CW56" t="n">
        <x:f>IF(AND(CW$3&gt;=$B$53,CW$3&lt;EDATE($B$53,MAX(1,'Вводные'!$H$90)),'Вводные'!$B$90="Да"),(1+'Вводные'!$AD$90*'Вводные'!$H$7)^MAX(0,(12*(YEAR(CW$3)-YEAR($B$53))+MONTH(CW$3)-MONTH($B$53)))*(1+IF(MONTH(CW$3)=1,'Вводные'!$B$67,IF(AND(MONTH(CW$3)&gt;=5,MONTH(CW$3)&lt;=8),'Вводные'!$B$70,0))),0)</x:f>
      </x:c>
      <x:c r="CX56" t="n">
        <x:f>IF(AND(CX$3&gt;=$B$53,CX$3&lt;EDATE($B$53,MAX(1,'Вводные'!$H$90)),'Вводные'!$B$90="Да"),(1+'Вводные'!$AD$90*'Вводные'!$H$7)^MAX(0,(12*(YEAR(CX$3)-YEAR($B$53))+MONTH(CX$3)-MONTH($B$53)))*(1+IF(MONTH(CX$3)=1,'Вводные'!$B$67,IF(AND(MONTH(CX$3)&gt;=5,MONTH(CX$3)&lt;=8),'Вводные'!$B$70,0))),0)</x:f>
      </x:c>
      <x:c r="CY56" t="n">
        <x:f>IF(AND(CY$3&gt;=$B$53,CY$3&lt;EDATE($B$53,MAX(1,'Вводные'!$H$90)),'Вводные'!$B$90="Да"),(1+'Вводные'!$AD$90*'Вводные'!$H$7)^MAX(0,(12*(YEAR(CY$3)-YEAR($B$53))+MONTH(CY$3)-MONTH($B$53)))*(1+IF(MONTH(CY$3)=1,'Вводные'!$B$67,IF(AND(MONTH(CY$3)&gt;=5,MONTH(CY$3)&lt;=8),'Вводные'!$B$70,0))),0)</x:f>
      </x:c>
      <x:c r="CZ56" t="n">
        <x:f>IF(AND(CZ$3&gt;=$B$53,CZ$3&lt;EDATE($B$53,MAX(1,'Вводные'!$H$90)),'Вводные'!$B$90="Да"),(1+'Вводные'!$AD$90*'Вводные'!$H$7)^MAX(0,(12*(YEAR(CZ$3)-YEAR($B$53))+MONTH(CZ$3)-MONTH($B$53)))*(1+IF(MONTH(CZ$3)=1,'Вводные'!$B$67,IF(AND(MONTH(CZ$3)&gt;=5,MONTH(CZ$3)&lt;=8),'Вводные'!$B$70,0))),0)</x:f>
      </x:c>
      <x:c r="DA56" t="n">
        <x:f>IF(AND(DA$3&gt;=$B$53,DA$3&lt;EDATE($B$53,MAX(1,'Вводные'!$H$90)),'Вводные'!$B$90="Да"),(1+'Вводные'!$AD$90*'Вводные'!$H$7)^MAX(0,(12*(YEAR(DA$3)-YEAR($B$53))+MONTH(DA$3)-MONTH($B$53)))*(1+IF(MONTH(DA$3)=1,'Вводные'!$B$67,IF(AND(MONTH(DA$3)&gt;=5,MONTH(DA$3)&lt;=8),'Вводные'!$B$70,0))),0)</x:f>
      </x:c>
      <x:c r="DB56" t="n">
        <x:f>IF(AND(DB$3&gt;=$B$53,DB$3&lt;EDATE($B$53,MAX(1,'Вводные'!$H$90)),'Вводные'!$B$90="Да"),(1+'Вводные'!$AD$90*'Вводные'!$H$7)^MAX(0,(12*(YEAR(DB$3)-YEAR($B$53))+MONTH(DB$3)-MONTH($B$53)))*(1+IF(MONTH(DB$3)=1,'Вводные'!$B$67,IF(AND(MONTH(DB$3)&gt;=5,MONTH(DB$3)&lt;=8),'Вводные'!$B$70,0))),0)</x:f>
      </x:c>
      <x:c r="DC56" t="n">
        <x:f>IF(AND(DC$3&gt;=$B$53,DC$3&lt;EDATE($B$53,MAX(1,'Вводные'!$H$90)),'Вводные'!$B$90="Да"),(1+'Вводные'!$AD$90*'Вводные'!$H$7)^MAX(0,(12*(YEAR(DC$3)-YEAR($B$53))+MONTH(DC$3)-MONTH($B$53)))*(1+IF(MONTH(DC$3)=1,'Вводные'!$B$67,IF(AND(MONTH(DC$3)&gt;=5,MONTH(DC$3)&lt;=8),'Вводные'!$B$70,0))),0)</x:f>
      </x:c>
      <x:c r="DD56" t="n">
        <x:f>IF(AND(DD$3&gt;=$B$53,DD$3&lt;EDATE($B$53,MAX(1,'Вводные'!$H$90)),'Вводные'!$B$90="Да"),(1+'Вводные'!$AD$90*'Вводные'!$H$7)^MAX(0,(12*(YEAR(DD$3)-YEAR($B$53))+MONTH(DD$3)-MONTH($B$53)))*(1+IF(MONTH(DD$3)=1,'Вводные'!$B$67,IF(AND(MONTH(DD$3)&gt;=5,MONTH(DD$3)&lt;=8),'Вводные'!$B$70,0))),0)</x:f>
      </x:c>
      <x:c r="DE56" t="n">
        <x:f>IF(AND(DE$3&gt;=$B$53,DE$3&lt;EDATE($B$53,MAX(1,'Вводные'!$H$90)),'Вводные'!$B$90="Да"),(1+'Вводные'!$AD$90*'Вводные'!$H$7)^MAX(0,(12*(YEAR(DE$3)-YEAR($B$53))+MONTH(DE$3)-MONTH($B$53)))*(1+IF(MONTH(DE$3)=1,'Вводные'!$B$67,IF(AND(MONTH(DE$3)&gt;=5,MONTH(DE$3)&lt;=8),'Вводные'!$B$70,0))),0)</x:f>
      </x:c>
      <x:c r="DF56" t="n">
        <x:f>IF(AND(DF$3&gt;=$B$53,DF$3&lt;EDATE($B$53,MAX(1,'Вводные'!$H$90)),'Вводные'!$B$90="Да"),(1+'Вводные'!$AD$90*'Вводные'!$H$7)^MAX(0,(12*(YEAR(DF$3)-YEAR($B$53))+MONTH(DF$3)-MONTH($B$53)))*(1+IF(MONTH(DF$3)=1,'Вводные'!$B$67,IF(AND(MONTH(DF$3)&gt;=5,MONTH(DF$3)&lt;=8),'Вводные'!$B$70,0))),0)</x:f>
      </x:c>
      <x:c r="DG56" t="n">
        <x:f>IF(AND(DG$3&gt;=$B$53,DG$3&lt;EDATE($B$53,MAX(1,'Вводные'!$H$90)),'Вводные'!$B$90="Да"),(1+'Вводные'!$AD$90*'Вводные'!$H$7)^MAX(0,(12*(YEAR(DG$3)-YEAR($B$53))+MONTH(DG$3)-MONTH($B$53)))*(1+IF(MONTH(DG$3)=1,'Вводные'!$B$67,IF(AND(MONTH(DG$3)&gt;=5,MONTH(DG$3)&lt;=8),'Вводные'!$B$70,0))),0)</x:f>
      </x:c>
      <x:c r="DH56" t="n">
        <x:f>IF(AND(DH$3&gt;=$B$53,DH$3&lt;EDATE($B$53,MAX(1,'Вводные'!$H$90)),'Вводные'!$B$90="Да"),(1+'Вводные'!$AD$90*'Вводные'!$H$7)^MAX(0,(12*(YEAR(DH$3)-YEAR($B$53))+MONTH(DH$3)-MONTH($B$53)))*(1+IF(MONTH(DH$3)=1,'Вводные'!$B$67,IF(AND(MONTH(DH$3)&gt;=5,MONTH(DH$3)&lt;=8),'Вводные'!$B$70,0))),0)</x:f>
      </x:c>
      <x:c r="DI56" t="n">
        <x:f>IF(AND(DI$3&gt;=$B$53,DI$3&lt;EDATE($B$53,MAX(1,'Вводные'!$H$90)),'Вводные'!$B$90="Да"),(1+'Вводные'!$AD$90*'Вводные'!$H$7)^MAX(0,(12*(YEAR(DI$3)-YEAR($B$53))+MONTH(DI$3)-MONTH($B$53)))*(1+IF(MONTH(DI$3)=1,'Вводные'!$B$67,IF(AND(MONTH(DI$3)&gt;=5,MONTH(DI$3)&lt;=8),'Вводные'!$B$70,0))),0)</x:f>
      </x:c>
      <x:c r="DJ56" t="n">
        <x:f>IF(AND(DJ$3&gt;=$B$53,DJ$3&lt;EDATE($B$53,MAX(1,'Вводные'!$H$90)),'Вводные'!$B$90="Да"),(1+'Вводные'!$AD$90*'Вводные'!$H$7)^MAX(0,(12*(YEAR(DJ$3)-YEAR($B$53))+MONTH(DJ$3)-MONTH($B$53)))*(1+IF(MONTH(DJ$3)=1,'Вводные'!$B$67,IF(AND(MONTH(DJ$3)&gt;=5,MONTH(DJ$3)&lt;=8),'Вводные'!$B$70,0))),0)</x:f>
      </x:c>
      <x:c r="DK56" t="n">
        <x:f>IF(AND(DK$3&gt;=$B$53,DK$3&lt;EDATE($B$53,MAX(1,'Вводные'!$H$90)),'Вводные'!$B$90="Да"),(1+'Вводные'!$AD$90*'Вводные'!$H$7)^MAX(0,(12*(YEAR(DK$3)-YEAR($B$53))+MONTH(DK$3)-MONTH($B$53)))*(1+IF(MONTH(DK$3)=1,'Вводные'!$B$67,IF(AND(MONTH(DK$3)&gt;=5,MONTH(DK$3)&lt;=8),'Вводные'!$B$70,0))),0)</x:f>
      </x:c>
      <x:c r="DL56" t="n">
        <x:f>IF(AND(DL$3&gt;=$B$53,DL$3&lt;EDATE($B$53,MAX(1,'Вводные'!$H$90)),'Вводные'!$B$90="Да"),(1+'Вводные'!$AD$90*'Вводные'!$H$7)^MAX(0,(12*(YEAR(DL$3)-YEAR($B$53))+MONTH(DL$3)-MONTH($B$53)))*(1+IF(MONTH(DL$3)=1,'Вводные'!$B$67,IF(AND(MONTH(DL$3)&gt;=5,MONTH(DL$3)&lt;=8),'Вводные'!$B$70,0))),0)</x:f>
      </x:c>
      <x:c r="DM56" t="n">
        <x:f>IF(AND(DM$3&gt;=$B$53,DM$3&lt;EDATE($B$53,MAX(1,'Вводные'!$H$90)),'Вводные'!$B$90="Да"),(1+'Вводные'!$AD$90*'Вводные'!$H$7)^MAX(0,(12*(YEAR(DM$3)-YEAR($B$53))+MONTH(DM$3)-MONTH($B$53)))*(1+IF(MONTH(DM$3)=1,'Вводные'!$B$67,IF(AND(MONTH(DM$3)&gt;=5,MONTH(DM$3)&lt;=8),'Вводные'!$B$70,0))),0)</x:f>
      </x:c>
      <x:c r="DN56" t="n">
        <x:f>IF(AND(DN$3&gt;=$B$53,DN$3&lt;EDATE($B$53,MAX(1,'Вводные'!$H$90)),'Вводные'!$B$90="Да"),(1+'Вводные'!$AD$90*'Вводные'!$H$7)^MAX(0,(12*(YEAR(DN$3)-YEAR($B$53))+MONTH(DN$3)-MONTH($B$53)))*(1+IF(MONTH(DN$3)=1,'Вводные'!$B$67,IF(AND(MONTH(DN$3)&gt;=5,MONTH(DN$3)&lt;=8),'Вводные'!$B$70,0))),0)</x:f>
      </x:c>
      <x:c r="DO56" t="n">
        <x:f>IF(AND(DO$3&gt;=$B$53,DO$3&lt;EDATE($B$53,MAX(1,'Вводные'!$H$90)),'Вводные'!$B$90="Да"),(1+'Вводные'!$AD$90*'Вводные'!$H$7)^MAX(0,(12*(YEAR(DO$3)-YEAR($B$53))+MONTH(DO$3)-MONTH($B$53)))*(1+IF(MONTH(DO$3)=1,'Вводные'!$B$67,IF(AND(MONTH(DO$3)&gt;=5,MONTH(DO$3)&lt;=8),'Вводные'!$B$70,0))),0)</x:f>
      </x:c>
      <x:c r="DP56" t="n">
        <x:f>IF(AND(DP$3&gt;=$B$53,DP$3&lt;EDATE($B$53,MAX(1,'Вводные'!$H$90)),'Вводные'!$B$90="Да"),(1+'Вводные'!$AD$90*'Вводные'!$H$7)^MAX(0,(12*(YEAR(DP$3)-YEAR($B$53))+MONTH(DP$3)-MONTH($B$53)))*(1+IF(MONTH(DP$3)=1,'Вводные'!$B$67,IF(AND(MONTH(DP$3)&gt;=5,MONTH(DP$3)&lt;=8),'Вводные'!$B$70,0))),0)</x:f>
      </x:c>
      <x:c r="DQ56" t="n">
        <x:f>IF(AND(DQ$3&gt;=$B$53,DQ$3&lt;EDATE($B$53,MAX(1,'Вводные'!$H$90)),'Вводные'!$B$90="Да"),(1+'Вводные'!$AD$90*'Вводные'!$H$7)^MAX(0,(12*(YEAR(DQ$3)-YEAR($B$53))+MONTH(DQ$3)-MONTH($B$53)))*(1+IF(MONTH(DQ$3)=1,'Вводные'!$B$67,IF(AND(MONTH(DQ$3)&gt;=5,MONTH(DQ$3)&lt;=8),'Вводные'!$B$70,0))),0)</x:f>
      </x:c>
      <x:c r="DR56" t="n">
        <x:f>IF(AND(DR$3&gt;=$B$53,DR$3&lt;EDATE($B$53,MAX(1,'Вводные'!$H$90)),'Вводные'!$B$90="Да"),(1+'Вводные'!$AD$90*'Вводные'!$H$7)^MAX(0,(12*(YEAR(DR$3)-YEAR($B$53))+MONTH(DR$3)-MONTH($B$53)))*(1+IF(MONTH(DR$3)=1,'Вводные'!$B$67,IF(AND(MONTH(DR$3)&gt;=5,MONTH(DR$3)&lt;=8),'Вводные'!$B$70,0))),0)</x:f>
      </x:c>
      <x:c r="DS56" t="n">
        <x:f>IF(AND(DS$3&gt;=$B$53,DS$3&lt;EDATE($B$53,MAX(1,'Вводные'!$H$90)),'Вводные'!$B$90="Да"),(1+'Вводные'!$AD$90*'Вводные'!$H$7)^MAX(0,(12*(YEAR(DS$3)-YEAR($B$53))+MONTH(DS$3)-MONTH($B$53)))*(1+IF(MONTH(DS$3)=1,'Вводные'!$B$67,IF(AND(MONTH(DS$3)&gt;=5,MONTH(DS$3)&lt;=8),'Вводные'!$B$70,0))),0)</x:f>
      </x:c>
    </x:row>
    <x:row r="57">
      <x:c r="A57" t="str">
        <x:v>Нормированный вес до РВЭ</x:v>
      </x:c>
      <x:c r="B57" t="n">
        <x:f>SUM(D57:DS57)</x:f>
      </x:c>
      <x:c r="C57" t="str">
        <x:v>%</x:v>
      </x:c>
      <x:c r="D57" s="35" t="n">
        <x:f>IFERROR(D56*D55/SUMPRODUCT($D56:$DS56,$D55:$DS55),0)</x:f>
      </x:c>
      <x:c r="E57" s="35" t="n">
        <x:f>IFERROR(E56*E55/SUMPRODUCT($D56:$DS56,$D55:$DS55),0)</x:f>
      </x:c>
      <x:c r="F57" s="35" t="n">
        <x:f>IFERROR(F56*F55/SUMPRODUCT($D56:$DS56,$D55:$DS55),0)</x:f>
      </x:c>
      <x:c r="G57" s="35" t="n">
        <x:f>IFERROR(G56*G55/SUMPRODUCT($D56:$DS56,$D55:$DS55),0)</x:f>
      </x:c>
      <x:c r="H57" s="35" t="n">
        <x:f>IFERROR(H56*H55/SUMPRODUCT($D56:$DS56,$D55:$DS55),0)</x:f>
      </x:c>
      <x:c r="I57" s="35" t="n">
        <x:f>IFERROR(I56*I55/SUMPRODUCT($D56:$DS56,$D55:$DS55),0)</x:f>
      </x:c>
      <x:c r="J57" s="35" t="n">
        <x:f>IFERROR(J56*J55/SUMPRODUCT($D56:$DS56,$D55:$DS55),0)</x:f>
      </x:c>
      <x:c r="K57" s="35" t="n">
        <x:f>IFERROR(K56*K55/SUMPRODUCT($D56:$DS56,$D55:$DS55),0)</x:f>
      </x:c>
      <x:c r="L57" s="35" t="n">
        <x:f>IFERROR(L56*L55/SUMPRODUCT($D56:$DS56,$D55:$DS55),0)</x:f>
      </x:c>
      <x:c r="M57" s="35" t="n">
        <x:f>IFERROR(M56*M55/SUMPRODUCT($D56:$DS56,$D55:$DS55),0)</x:f>
      </x:c>
      <x:c r="N57" s="35" t="n">
        <x:f>IFERROR(N56*N55/SUMPRODUCT($D56:$DS56,$D55:$DS55),0)</x:f>
      </x:c>
      <x:c r="O57" s="35" t="n">
        <x:f>IFERROR(O56*O55/SUMPRODUCT($D56:$DS56,$D55:$DS55),0)</x:f>
      </x:c>
      <x:c r="P57" s="35" t="n">
        <x:f>IFERROR(P56*P55/SUMPRODUCT($D56:$DS56,$D55:$DS55),0)</x:f>
      </x:c>
      <x:c r="Q57" s="35" t="n">
        <x:f>IFERROR(Q56*Q55/SUMPRODUCT($D56:$DS56,$D55:$DS55),0)</x:f>
      </x:c>
      <x:c r="R57" s="35" t="n">
        <x:f>IFERROR(R56*R55/SUMPRODUCT($D56:$DS56,$D55:$DS55),0)</x:f>
      </x:c>
      <x:c r="S57" s="35" t="n">
        <x:f>IFERROR(S56*S55/SUMPRODUCT($D56:$DS56,$D55:$DS55),0)</x:f>
      </x:c>
      <x:c r="T57" s="35" t="n">
        <x:f>IFERROR(T56*T55/SUMPRODUCT($D56:$DS56,$D55:$DS55),0)</x:f>
      </x:c>
      <x:c r="U57" s="35" t="n">
        <x:f>IFERROR(U56*U55/SUMPRODUCT($D56:$DS56,$D55:$DS55),0)</x:f>
      </x:c>
      <x:c r="V57" s="35" t="n">
        <x:f>IFERROR(V56*V55/SUMPRODUCT($D56:$DS56,$D55:$DS55),0)</x:f>
      </x:c>
      <x:c r="W57" s="35" t="n">
        <x:f>IFERROR(W56*W55/SUMPRODUCT($D56:$DS56,$D55:$DS55),0)</x:f>
      </x:c>
      <x:c r="X57" s="35" t="n">
        <x:f>IFERROR(X56*X55/SUMPRODUCT($D56:$DS56,$D55:$DS55),0)</x:f>
      </x:c>
      <x:c r="Y57" s="35" t="n">
        <x:f>IFERROR(Y56*Y55/SUMPRODUCT($D56:$DS56,$D55:$DS55),0)</x:f>
      </x:c>
      <x:c r="Z57" s="35" t="n">
        <x:f>IFERROR(Z56*Z55/SUMPRODUCT($D56:$DS56,$D55:$DS55),0)</x:f>
      </x:c>
      <x:c r="AA57" s="35" t="n">
        <x:f>IFERROR(AA56*AA55/SUMPRODUCT($D56:$DS56,$D55:$DS55),0)</x:f>
      </x:c>
      <x:c r="AB57" s="35" t="n">
        <x:f>IFERROR(AB56*AB55/SUMPRODUCT($D56:$DS56,$D55:$DS55),0)</x:f>
      </x:c>
      <x:c r="AC57" s="35" t="n">
        <x:f>IFERROR(AC56*AC55/SUMPRODUCT($D56:$DS56,$D55:$DS55),0)</x:f>
      </x:c>
      <x:c r="AD57" s="35" t="n">
        <x:f>IFERROR(AD56*AD55/SUMPRODUCT($D56:$DS56,$D55:$DS55),0)</x:f>
      </x:c>
      <x:c r="AE57" s="35" t="n">
        <x:f>IFERROR(AE56*AE55/SUMPRODUCT($D56:$DS56,$D55:$DS55),0)</x:f>
      </x:c>
      <x:c r="AF57" s="35" t="n">
        <x:f>IFERROR(AF56*AF55/SUMPRODUCT($D56:$DS56,$D55:$DS55),0)</x:f>
      </x:c>
      <x:c r="AG57" s="35" t="n">
        <x:f>IFERROR(AG56*AG55/SUMPRODUCT($D56:$DS56,$D55:$DS55),0)</x:f>
      </x:c>
      <x:c r="AH57" s="35" t="n">
        <x:f>IFERROR(AH56*AH55/SUMPRODUCT($D56:$DS56,$D55:$DS55),0)</x:f>
      </x:c>
      <x:c r="AI57" s="35" t="n">
        <x:f>IFERROR(AI56*AI55/SUMPRODUCT($D56:$DS56,$D55:$DS55),0)</x:f>
      </x:c>
      <x:c r="AJ57" s="35" t="n">
        <x:f>IFERROR(AJ56*AJ55/SUMPRODUCT($D56:$DS56,$D55:$DS55),0)</x:f>
      </x:c>
      <x:c r="AK57" s="35" t="n">
        <x:f>IFERROR(AK56*AK55/SUMPRODUCT($D56:$DS56,$D55:$DS55),0)</x:f>
      </x:c>
      <x:c r="AL57" s="35" t="n">
        <x:f>IFERROR(AL56*AL55/SUMPRODUCT($D56:$DS56,$D55:$DS55),0)</x:f>
      </x:c>
      <x:c r="AM57" s="35" t="n">
        <x:f>IFERROR(AM56*AM55/SUMPRODUCT($D56:$DS56,$D55:$DS55),0)</x:f>
      </x:c>
      <x:c r="AN57" s="35" t="n">
        <x:f>IFERROR(AN56*AN55/SUMPRODUCT($D56:$DS56,$D55:$DS55),0)</x:f>
      </x:c>
      <x:c r="AO57" s="35" t="n">
        <x:f>IFERROR(AO56*AO55/SUMPRODUCT($D56:$DS56,$D55:$DS55),0)</x:f>
      </x:c>
      <x:c r="AP57" s="35" t="n">
        <x:f>IFERROR(AP56*AP55/SUMPRODUCT($D56:$DS56,$D55:$DS55),0)</x:f>
      </x:c>
      <x:c r="AQ57" s="35" t="n">
        <x:f>IFERROR(AQ56*AQ55/SUMPRODUCT($D56:$DS56,$D55:$DS55),0)</x:f>
      </x:c>
      <x:c r="AR57" s="35" t="n">
        <x:f>IFERROR(AR56*AR55/SUMPRODUCT($D56:$DS56,$D55:$DS55),0)</x:f>
      </x:c>
      <x:c r="AS57" s="35" t="n">
        <x:f>IFERROR(AS56*AS55/SUMPRODUCT($D56:$DS56,$D55:$DS55),0)</x:f>
      </x:c>
      <x:c r="AT57" s="35" t="n">
        <x:f>IFERROR(AT56*AT55/SUMPRODUCT($D56:$DS56,$D55:$DS55),0)</x:f>
      </x:c>
      <x:c r="AU57" s="35" t="n">
        <x:f>IFERROR(AU56*AU55/SUMPRODUCT($D56:$DS56,$D55:$DS55),0)</x:f>
      </x:c>
      <x:c r="AV57" s="35" t="n">
        <x:f>IFERROR(AV56*AV55/SUMPRODUCT($D56:$DS56,$D55:$DS55),0)</x:f>
      </x:c>
      <x:c r="AW57" s="35" t="n">
        <x:f>IFERROR(AW56*AW55/SUMPRODUCT($D56:$DS56,$D55:$DS55),0)</x:f>
      </x:c>
      <x:c r="AX57" s="35" t="n">
        <x:f>IFERROR(AX56*AX55/SUMPRODUCT($D56:$DS56,$D55:$DS55),0)</x:f>
      </x:c>
      <x:c r="AY57" s="35" t="n">
        <x:f>IFERROR(AY56*AY55/SUMPRODUCT($D56:$DS56,$D55:$DS55),0)</x:f>
      </x:c>
      <x:c r="AZ57" s="35" t="n">
        <x:f>IFERROR(AZ56*AZ55/SUMPRODUCT($D56:$DS56,$D55:$DS55),0)</x:f>
      </x:c>
      <x:c r="BA57" s="35" t="n">
        <x:f>IFERROR(BA56*BA55/SUMPRODUCT($D56:$DS56,$D55:$DS55),0)</x:f>
      </x:c>
      <x:c r="BB57" s="35" t="n">
        <x:f>IFERROR(BB56*BB55/SUMPRODUCT($D56:$DS56,$D55:$DS55),0)</x:f>
      </x:c>
      <x:c r="BC57" s="35" t="n">
        <x:f>IFERROR(BC56*BC55/SUMPRODUCT($D56:$DS56,$D55:$DS55),0)</x:f>
      </x:c>
      <x:c r="BD57" s="35" t="n">
        <x:f>IFERROR(BD56*BD55/SUMPRODUCT($D56:$DS56,$D55:$DS55),0)</x:f>
      </x:c>
      <x:c r="BE57" s="35" t="n">
        <x:f>IFERROR(BE56*BE55/SUMPRODUCT($D56:$DS56,$D55:$DS55),0)</x:f>
      </x:c>
      <x:c r="BF57" s="35" t="n">
        <x:f>IFERROR(BF56*BF55/SUMPRODUCT($D56:$DS56,$D55:$DS55),0)</x:f>
      </x:c>
      <x:c r="BG57" s="35" t="n">
        <x:f>IFERROR(BG56*BG55/SUMPRODUCT($D56:$DS56,$D55:$DS55),0)</x:f>
      </x:c>
      <x:c r="BH57" s="35" t="n">
        <x:f>IFERROR(BH56*BH55/SUMPRODUCT($D56:$DS56,$D55:$DS55),0)</x:f>
      </x:c>
      <x:c r="BI57" s="35" t="n">
        <x:f>IFERROR(BI56*BI55/SUMPRODUCT($D56:$DS56,$D55:$DS55),0)</x:f>
      </x:c>
      <x:c r="BJ57" s="35" t="n">
        <x:f>IFERROR(BJ56*BJ55/SUMPRODUCT($D56:$DS56,$D55:$DS55),0)</x:f>
      </x:c>
      <x:c r="BK57" s="35" t="n">
        <x:f>IFERROR(BK56*BK55/SUMPRODUCT($D56:$DS56,$D55:$DS55),0)</x:f>
      </x:c>
      <x:c r="BL57" s="35" t="n">
        <x:f>IFERROR(BL56*BL55/SUMPRODUCT($D56:$DS56,$D55:$DS55),0)</x:f>
      </x:c>
      <x:c r="BM57" s="35" t="n">
        <x:f>IFERROR(BM56*BM55/SUMPRODUCT($D56:$DS56,$D55:$DS55),0)</x:f>
      </x:c>
      <x:c r="BN57" s="35" t="n">
        <x:f>IFERROR(BN56*BN55/SUMPRODUCT($D56:$DS56,$D55:$DS55),0)</x:f>
      </x:c>
      <x:c r="BO57" s="35" t="n">
        <x:f>IFERROR(BO56*BO55/SUMPRODUCT($D56:$DS56,$D55:$DS55),0)</x:f>
      </x:c>
      <x:c r="BP57" s="35" t="n">
        <x:f>IFERROR(BP56*BP55/SUMPRODUCT($D56:$DS56,$D55:$DS55),0)</x:f>
      </x:c>
      <x:c r="BQ57" s="35" t="n">
        <x:f>IFERROR(BQ56*BQ55/SUMPRODUCT($D56:$DS56,$D55:$DS55),0)</x:f>
      </x:c>
      <x:c r="BR57" s="35" t="n">
        <x:f>IFERROR(BR56*BR55/SUMPRODUCT($D56:$DS56,$D55:$DS55),0)</x:f>
      </x:c>
      <x:c r="BS57" s="35" t="n">
        <x:f>IFERROR(BS56*BS55/SUMPRODUCT($D56:$DS56,$D55:$DS55),0)</x:f>
      </x:c>
      <x:c r="BT57" s="35" t="n">
        <x:f>IFERROR(BT56*BT55/SUMPRODUCT($D56:$DS56,$D55:$DS55),0)</x:f>
      </x:c>
      <x:c r="BU57" s="35" t="n">
        <x:f>IFERROR(BU56*BU55/SUMPRODUCT($D56:$DS56,$D55:$DS55),0)</x:f>
      </x:c>
      <x:c r="BV57" s="35" t="n">
        <x:f>IFERROR(BV56*BV55/SUMPRODUCT($D56:$DS56,$D55:$DS55),0)</x:f>
      </x:c>
      <x:c r="BW57" s="35" t="n">
        <x:f>IFERROR(BW56*BW55/SUMPRODUCT($D56:$DS56,$D55:$DS55),0)</x:f>
      </x:c>
      <x:c r="BX57" s="35" t="n">
        <x:f>IFERROR(BX56*BX55/SUMPRODUCT($D56:$DS56,$D55:$DS55),0)</x:f>
      </x:c>
      <x:c r="BY57" s="35" t="n">
        <x:f>IFERROR(BY56*BY55/SUMPRODUCT($D56:$DS56,$D55:$DS55),0)</x:f>
      </x:c>
      <x:c r="BZ57" s="35" t="n">
        <x:f>IFERROR(BZ56*BZ55/SUMPRODUCT($D56:$DS56,$D55:$DS55),0)</x:f>
      </x:c>
      <x:c r="CA57" s="35" t="n">
        <x:f>IFERROR(CA56*CA55/SUMPRODUCT($D56:$DS56,$D55:$DS55),0)</x:f>
      </x:c>
      <x:c r="CB57" s="35" t="n">
        <x:f>IFERROR(CB56*CB55/SUMPRODUCT($D56:$DS56,$D55:$DS55),0)</x:f>
      </x:c>
      <x:c r="CC57" s="35" t="n">
        <x:f>IFERROR(CC56*CC55/SUMPRODUCT($D56:$DS56,$D55:$DS55),0)</x:f>
      </x:c>
      <x:c r="CD57" s="35" t="n">
        <x:f>IFERROR(CD56*CD55/SUMPRODUCT($D56:$DS56,$D55:$DS55),0)</x:f>
      </x:c>
      <x:c r="CE57" s="35" t="n">
        <x:f>IFERROR(CE56*CE55/SUMPRODUCT($D56:$DS56,$D55:$DS55),0)</x:f>
      </x:c>
      <x:c r="CF57" s="35" t="n">
        <x:f>IFERROR(CF56*CF55/SUMPRODUCT($D56:$DS56,$D55:$DS55),0)</x:f>
      </x:c>
      <x:c r="CG57" s="35" t="n">
        <x:f>IFERROR(CG56*CG55/SUMPRODUCT($D56:$DS56,$D55:$DS55),0)</x:f>
      </x:c>
      <x:c r="CH57" s="35" t="n">
        <x:f>IFERROR(CH56*CH55/SUMPRODUCT($D56:$DS56,$D55:$DS55),0)</x:f>
      </x:c>
      <x:c r="CI57" s="35" t="n">
        <x:f>IFERROR(CI56*CI55/SUMPRODUCT($D56:$DS56,$D55:$DS55),0)</x:f>
      </x:c>
      <x:c r="CJ57" s="35" t="n">
        <x:f>IFERROR(CJ56*CJ55/SUMPRODUCT($D56:$DS56,$D55:$DS55),0)</x:f>
      </x:c>
      <x:c r="CK57" s="35" t="n">
        <x:f>IFERROR(CK56*CK55/SUMPRODUCT($D56:$DS56,$D55:$DS55),0)</x:f>
      </x:c>
      <x:c r="CL57" s="35" t="n">
        <x:f>IFERROR(CL56*CL55/SUMPRODUCT($D56:$DS56,$D55:$DS55),0)</x:f>
      </x:c>
      <x:c r="CM57" s="35" t="n">
        <x:f>IFERROR(CM56*CM55/SUMPRODUCT($D56:$DS56,$D55:$DS55),0)</x:f>
      </x:c>
      <x:c r="CN57" s="35" t="n">
        <x:f>IFERROR(CN56*CN55/SUMPRODUCT($D56:$DS56,$D55:$DS55),0)</x:f>
      </x:c>
      <x:c r="CO57" s="35" t="n">
        <x:f>IFERROR(CO56*CO55/SUMPRODUCT($D56:$DS56,$D55:$DS55),0)</x:f>
      </x:c>
      <x:c r="CP57" s="35" t="n">
        <x:f>IFERROR(CP56*CP55/SUMPRODUCT($D56:$DS56,$D55:$DS55),0)</x:f>
      </x:c>
      <x:c r="CQ57" s="35" t="n">
        <x:f>IFERROR(CQ56*CQ55/SUMPRODUCT($D56:$DS56,$D55:$DS55),0)</x:f>
      </x:c>
      <x:c r="CR57" s="35" t="n">
        <x:f>IFERROR(CR56*CR55/SUMPRODUCT($D56:$DS56,$D55:$DS55),0)</x:f>
      </x:c>
      <x:c r="CS57" s="35" t="n">
        <x:f>IFERROR(CS56*CS55/SUMPRODUCT($D56:$DS56,$D55:$DS55),0)</x:f>
      </x:c>
      <x:c r="CT57" s="35" t="n">
        <x:f>IFERROR(CT56*CT55/SUMPRODUCT($D56:$DS56,$D55:$DS55),0)</x:f>
      </x:c>
      <x:c r="CU57" s="35" t="n">
        <x:f>IFERROR(CU56*CU55/SUMPRODUCT($D56:$DS56,$D55:$DS55),0)</x:f>
      </x:c>
      <x:c r="CV57" s="35" t="n">
        <x:f>IFERROR(CV56*CV55/SUMPRODUCT($D56:$DS56,$D55:$DS55),0)</x:f>
      </x:c>
      <x:c r="CW57" s="35" t="n">
        <x:f>IFERROR(CW56*CW55/SUMPRODUCT($D56:$DS56,$D55:$DS55),0)</x:f>
      </x:c>
      <x:c r="CX57" s="35" t="n">
        <x:f>IFERROR(CX56*CX55/SUMPRODUCT($D56:$DS56,$D55:$DS55),0)</x:f>
      </x:c>
      <x:c r="CY57" s="35" t="n">
        <x:f>IFERROR(CY56*CY55/SUMPRODUCT($D56:$DS56,$D55:$DS55),0)</x:f>
      </x:c>
      <x:c r="CZ57" s="35" t="n">
        <x:f>IFERROR(CZ56*CZ55/SUMPRODUCT($D56:$DS56,$D55:$DS55),0)</x:f>
      </x:c>
      <x:c r="DA57" s="35" t="n">
        <x:f>IFERROR(DA56*DA55/SUMPRODUCT($D56:$DS56,$D55:$DS55),0)</x:f>
      </x:c>
      <x:c r="DB57" s="35" t="n">
        <x:f>IFERROR(DB56*DB55/SUMPRODUCT($D56:$DS56,$D55:$DS55),0)</x:f>
      </x:c>
      <x:c r="DC57" s="35" t="n">
        <x:f>IFERROR(DC56*DC55/SUMPRODUCT($D56:$DS56,$D55:$DS55),0)</x:f>
      </x:c>
      <x:c r="DD57" s="35" t="n">
        <x:f>IFERROR(DD56*DD55/SUMPRODUCT($D56:$DS56,$D55:$DS55),0)</x:f>
      </x:c>
      <x:c r="DE57" s="35" t="n">
        <x:f>IFERROR(DE56*DE55/SUMPRODUCT($D56:$DS56,$D55:$DS55),0)</x:f>
      </x:c>
      <x:c r="DF57" s="35" t="n">
        <x:f>IFERROR(DF56*DF55/SUMPRODUCT($D56:$DS56,$D55:$DS55),0)</x:f>
      </x:c>
      <x:c r="DG57" s="35" t="n">
        <x:f>IFERROR(DG56*DG55/SUMPRODUCT($D56:$DS56,$D55:$DS55),0)</x:f>
      </x:c>
      <x:c r="DH57" s="35" t="n">
        <x:f>IFERROR(DH56*DH55/SUMPRODUCT($D56:$DS56,$D55:$DS55),0)</x:f>
      </x:c>
      <x:c r="DI57" s="35" t="n">
        <x:f>IFERROR(DI56*DI55/SUMPRODUCT($D56:$DS56,$D55:$DS55),0)</x:f>
      </x:c>
      <x:c r="DJ57" s="35" t="n">
        <x:f>IFERROR(DJ56*DJ55/SUMPRODUCT($D56:$DS56,$D55:$DS55),0)</x:f>
      </x:c>
      <x:c r="DK57" s="35" t="n">
        <x:f>IFERROR(DK56*DK55/SUMPRODUCT($D56:$DS56,$D55:$DS55),0)</x:f>
      </x:c>
      <x:c r="DL57" s="35" t="n">
        <x:f>IFERROR(DL56*DL55/SUMPRODUCT($D56:$DS56,$D55:$DS55),0)</x:f>
      </x:c>
      <x:c r="DM57" s="35" t="n">
        <x:f>IFERROR(DM56*DM55/SUMPRODUCT($D56:$DS56,$D55:$DS55),0)</x:f>
      </x:c>
      <x:c r="DN57" s="35" t="n">
        <x:f>IFERROR(DN56*DN55/SUMPRODUCT($D56:$DS56,$D55:$DS55),0)</x:f>
      </x:c>
      <x:c r="DO57" s="35" t="n">
        <x:f>IFERROR(DO56*DO55/SUMPRODUCT($D56:$DS56,$D55:$DS55),0)</x:f>
      </x:c>
      <x:c r="DP57" s="35" t="n">
        <x:f>IFERROR(DP56*DP55/SUMPRODUCT($D56:$DS56,$D55:$DS55),0)</x:f>
      </x:c>
      <x:c r="DQ57" s="35" t="n">
        <x:f>IFERROR(DQ56*DQ55/SUMPRODUCT($D56:$DS56,$D55:$DS55),0)</x:f>
      </x:c>
      <x:c r="DR57" s="35" t="n">
        <x:f>IFERROR(DR56*DR55/SUMPRODUCT($D56:$DS56,$D55:$DS55),0)</x:f>
      </x:c>
      <x:c r="DS57" s="35" t="n">
        <x:f>IFERROR(DS56*DS55/SUMPRODUCT($D56:$DS56,$D55:$DS55),0)</x:f>
      </x:c>
    </x:row>
    <x:row r="58">
      <x:c r="A58" t="str">
        <x:v>Флаг продаж после РВЭ</x:v>
      </x:c>
      <x:c r="B58"/>
      <x:c r="C58" t="str">
        <x:v>0/1</x:v>
      </x:c>
      <x:c r="D58" s="35" t="n">
        <x:f>--AND(D$3&gt;=MAX($B$53,$B$54),D$3&lt;EDATE($B$53,MAX(1,'Вводные'!$H$90)),'Вводные'!$B$90="Да")</x:f>
      </x:c>
      <x:c r="E58" s="35" t="n">
        <x:f>--AND(E$3&gt;=MAX($B$53,$B$54),E$3&lt;EDATE($B$53,MAX(1,'Вводные'!$H$90)),'Вводные'!$B$90="Да")</x:f>
      </x:c>
      <x:c r="F58" s="35" t="n">
        <x:f>--AND(F$3&gt;=MAX($B$53,$B$54),F$3&lt;EDATE($B$53,MAX(1,'Вводные'!$H$90)),'Вводные'!$B$90="Да")</x:f>
      </x:c>
      <x:c r="G58" s="35" t="n">
        <x:f>--AND(G$3&gt;=MAX($B$53,$B$54),G$3&lt;EDATE($B$53,MAX(1,'Вводные'!$H$90)),'Вводные'!$B$90="Да")</x:f>
      </x:c>
      <x:c r="H58" s="35" t="n">
        <x:f>--AND(H$3&gt;=MAX($B$53,$B$54),H$3&lt;EDATE($B$53,MAX(1,'Вводные'!$H$90)),'Вводные'!$B$90="Да")</x:f>
      </x:c>
      <x:c r="I58" s="35" t="n">
        <x:f>--AND(I$3&gt;=MAX($B$53,$B$54),I$3&lt;EDATE($B$53,MAX(1,'Вводные'!$H$90)),'Вводные'!$B$90="Да")</x:f>
      </x:c>
      <x:c r="J58" s="35" t="n">
        <x:f>--AND(J$3&gt;=MAX($B$53,$B$54),J$3&lt;EDATE($B$53,MAX(1,'Вводные'!$H$90)),'Вводные'!$B$90="Да")</x:f>
      </x:c>
      <x:c r="K58" s="35" t="n">
        <x:f>--AND(K$3&gt;=MAX($B$53,$B$54),K$3&lt;EDATE($B$53,MAX(1,'Вводные'!$H$90)),'Вводные'!$B$90="Да")</x:f>
      </x:c>
      <x:c r="L58" s="35" t="n">
        <x:f>--AND(L$3&gt;=MAX($B$53,$B$54),L$3&lt;EDATE($B$53,MAX(1,'Вводные'!$H$90)),'Вводные'!$B$90="Да")</x:f>
      </x:c>
      <x:c r="M58" s="35" t="n">
        <x:f>--AND(M$3&gt;=MAX($B$53,$B$54),M$3&lt;EDATE($B$53,MAX(1,'Вводные'!$H$90)),'Вводные'!$B$90="Да")</x:f>
      </x:c>
      <x:c r="N58" s="35" t="n">
        <x:f>--AND(N$3&gt;=MAX($B$53,$B$54),N$3&lt;EDATE($B$53,MAX(1,'Вводные'!$H$90)),'Вводные'!$B$90="Да")</x:f>
      </x:c>
      <x:c r="O58" s="35" t="n">
        <x:f>--AND(O$3&gt;=MAX($B$53,$B$54),O$3&lt;EDATE($B$53,MAX(1,'Вводные'!$H$90)),'Вводные'!$B$90="Да")</x:f>
      </x:c>
      <x:c r="P58" s="35" t="n">
        <x:f>--AND(P$3&gt;=MAX($B$53,$B$54),P$3&lt;EDATE($B$53,MAX(1,'Вводные'!$H$90)),'Вводные'!$B$90="Да")</x:f>
      </x:c>
      <x:c r="Q58" s="35" t="n">
        <x:f>--AND(Q$3&gt;=MAX($B$53,$B$54),Q$3&lt;EDATE($B$53,MAX(1,'Вводные'!$H$90)),'Вводные'!$B$90="Да")</x:f>
      </x:c>
      <x:c r="R58" s="35" t="n">
        <x:f>--AND(R$3&gt;=MAX($B$53,$B$54),R$3&lt;EDATE($B$53,MAX(1,'Вводные'!$H$90)),'Вводные'!$B$90="Да")</x:f>
      </x:c>
      <x:c r="S58" s="35" t="n">
        <x:f>--AND(S$3&gt;=MAX($B$53,$B$54),S$3&lt;EDATE($B$53,MAX(1,'Вводные'!$H$90)),'Вводные'!$B$90="Да")</x:f>
      </x:c>
      <x:c r="T58" s="35" t="n">
        <x:f>--AND(T$3&gt;=MAX($B$53,$B$54),T$3&lt;EDATE($B$53,MAX(1,'Вводные'!$H$90)),'Вводные'!$B$90="Да")</x:f>
      </x:c>
      <x:c r="U58" s="35" t="n">
        <x:f>--AND(U$3&gt;=MAX($B$53,$B$54),U$3&lt;EDATE($B$53,MAX(1,'Вводные'!$H$90)),'Вводные'!$B$90="Да")</x:f>
      </x:c>
      <x:c r="V58" s="35" t="n">
        <x:f>--AND(V$3&gt;=MAX($B$53,$B$54),V$3&lt;EDATE($B$53,MAX(1,'Вводные'!$H$90)),'Вводные'!$B$90="Да")</x:f>
      </x:c>
      <x:c r="W58" s="35" t="n">
        <x:f>--AND(W$3&gt;=MAX($B$53,$B$54),W$3&lt;EDATE($B$53,MAX(1,'Вводные'!$H$90)),'Вводные'!$B$90="Да")</x:f>
      </x:c>
      <x:c r="X58" s="35" t="n">
        <x:f>--AND(X$3&gt;=MAX($B$53,$B$54),X$3&lt;EDATE($B$53,MAX(1,'Вводные'!$H$90)),'Вводные'!$B$90="Да")</x:f>
      </x:c>
      <x:c r="Y58" s="35" t="n">
        <x:f>--AND(Y$3&gt;=MAX($B$53,$B$54),Y$3&lt;EDATE($B$53,MAX(1,'Вводные'!$H$90)),'Вводные'!$B$90="Да")</x:f>
      </x:c>
      <x:c r="Z58" s="35" t="n">
        <x:f>--AND(Z$3&gt;=MAX($B$53,$B$54),Z$3&lt;EDATE($B$53,MAX(1,'Вводные'!$H$90)),'Вводные'!$B$90="Да")</x:f>
      </x:c>
      <x:c r="AA58" s="35" t="n">
        <x:f>--AND(AA$3&gt;=MAX($B$53,$B$54),AA$3&lt;EDATE($B$53,MAX(1,'Вводные'!$H$90)),'Вводные'!$B$90="Да")</x:f>
      </x:c>
      <x:c r="AB58" s="35" t="n">
        <x:f>--AND(AB$3&gt;=MAX($B$53,$B$54),AB$3&lt;EDATE($B$53,MAX(1,'Вводные'!$H$90)),'Вводные'!$B$90="Да")</x:f>
      </x:c>
      <x:c r="AC58" s="35" t="n">
        <x:f>--AND(AC$3&gt;=MAX($B$53,$B$54),AC$3&lt;EDATE($B$53,MAX(1,'Вводные'!$H$90)),'Вводные'!$B$90="Да")</x:f>
      </x:c>
      <x:c r="AD58" s="35" t="n">
        <x:f>--AND(AD$3&gt;=MAX($B$53,$B$54),AD$3&lt;EDATE($B$53,MAX(1,'Вводные'!$H$90)),'Вводные'!$B$90="Да")</x:f>
      </x:c>
      <x:c r="AE58" s="35" t="n">
        <x:f>--AND(AE$3&gt;=MAX($B$53,$B$54),AE$3&lt;EDATE($B$53,MAX(1,'Вводные'!$H$90)),'Вводные'!$B$90="Да")</x:f>
      </x:c>
      <x:c r="AF58" s="35" t="n">
        <x:f>--AND(AF$3&gt;=MAX($B$53,$B$54),AF$3&lt;EDATE($B$53,MAX(1,'Вводные'!$H$90)),'Вводные'!$B$90="Да")</x:f>
      </x:c>
      <x:c r="AG58" s="35" t="n">
        <x:f>--AND(AG$3&gt;=MAX($B$53,$B$54),AG$3&lt;EDATE($B$53,MAX(1,'Вводные'!$H$90)),'Вводные'!$B$90="Да")</x:f>
      </x:c>
      <x:c r="AH58" s="35" t="n">
        <x:f>--AND(AH$3&gt;=MAX($B$53,$B$54),AH$3&lt;EDATE($B$53,MAX(1,'Вводные'!$H$90)),'Вводные'!$B$90="Да")</x:f>
      </x:c>
      <x:c r="AI58" s="35" t="n">
        <x:f>--AND(AI$3&gt;=MAX($B$53,$B$54),AI$3&lt;EDATE($B$53,MAX(1,'Вводные'!$H$90)),'Вводные'!$B$90="Да")</x:f>
      </x:c>
      <x:c r="AJ58" s="35" t="n">
        <x:f>--AND(AJ$3&gt;=MAX($B$53,$B$54),AJ$3&lt;EDATE($B$53,MAX(1,'Вводные'!$H$90)),'Вводные'!$B$90="Да")</x:f>
      </x:c>
      <x:c r="AK58" s="35" t="n">
        <x:f>--AND(AK$3&gt;=MAX($B$53,$B$54),AK$3&lt;EDATE($B$53,MAX(1,'Вводные'!$H$90)),'Вводные'!$B$90="Да")</x:f>
      </x:c>
      <x:c r="AL58" s="35" t="n">
        <x:f>--AND(AL$3&gt;=MAX($B$53,$B$54),AL$3&lt;EDATE($B$53,MAX(1,'Вводные'!$H$90)),'Вводные'!$B$90="Да")</x:f>
      </x:c>
      <x:c r="AM58" s="35" t="n">
        <x:f>--AND(AM$3&gt;=MAX($B$53,$B$54),AM$3&lt;EDATE($B$53,MAX(1,'Вводные'!$H$90)),'Вводные'!$B$90="Да")</x:f>
      </x:c>
      <x:c r="AN58" s="35" t="n">
        <x:f>--AND(AN$3&gt;=MAX($B$53,$B$54),AN$3&lt;EDATE($B$53,MAX(1,'Вводные'!$H$90)),'Вводные'!$B$90="Да")</x:f>
      </x:c>
      <x:c r="AO58" s="35" t="n">
        <x:f>--AND(AO$3&gt;=MAX($B$53,$B$54),AO$3&lt;EDATE($B$53,MAX(1,'Вводные'!$H$90)),'Вводные'!$B$90="Да")</x:f>
      </x:c>
      <x:c r="AP58" s="35" t="n">
        <x:f>--AND(AP$3&gt;=MAX($B$53,$B$54),AP$3&lt;EDATE($B$53,MAX(1,'Вводные'!$H$90)),'Вводные'!$B$90="Да")</x:f>
      </x:c>
      <x:c r="AQ58" s="35" t="n">
        <x:f>--AND(AQ$3&gt;=MAX($B$53,$B$54),AQ$3&lt;EDATE($B$53,MAX(1,'Вводные'!$H$90)),'Вводные'!$B$90="Да")</x:f>
      </x:c>
      <x:c r="AR58" s="35" t="n">
        <x:f>--AND(AR$3&gt;=MAX($B$53,$B$54),AR$3&lt;EDATE($B$53,MAX(1,'Вводные'!$H$90)),'Вводные'!$B$90="Да")</x:f>
      </x:c>
      <x:c r="AS58" s="35" t="n">
        <x:f>--AND(AS$3&gt;=MAX($B$53,$B$54),AS$3&lt;EDATE($B$53,MAX(1,'Вводные'!$H$90)),'Вводные'!$B$90="Да")</x:f>
      </x:c>
      <x:c r="AT58" s="35" t="n">
        <x:f>--AND(AT$3&gt;=MAX($B$53,$B$54),AT$3&lt;EDATE($B$53,MAX(1,'Вводные'!$H$90)),'Вводные'!$B$90="Да")</x:f>
      </x:c>
      <x:c r="AU58" s="35" t="n">
        <x:f>--AND(AU$3&gt;=MAX($B$53,$B$54),AU$3&lt;EDATE($B$53,MAX(1,'Вводные'!$H$90)),'Вводные'!$B$90="Да")</x:f>
      </x:c>
      <x:c r="AV58" s="35" t="n">
        <x:f>--AND(AV$3&gt;=MAX($B$53,$B$54),AV$3&lt;EDATE($B$53,MAX(1,'Вводные'!$H$90)),'Вводные'!$B$90="Да")</x:f>
      </x:c>
      <x:c r="AW58" s="35" t="n">
        <x:f>--AND(AW$3&gt;=MAX($B$53,$B$54),AW$3&lt;EDATE($B$53,MAX(1,'Вводные'!$H$90)),'Вводные'!$B$90="Да")</x:f>
      </x:c>
      <x:c r="AX58" s="35" t="n">
        <x:f>--AND(AX$3&gt;=MAX($B$53,$B$54),AX$3&lt;EDATE($B$53,MAX(1,'Вводные'!$H$90)),'Вводные'!$B$90="Да")</x:f>
      </x:c>
      <x:c r="AY58" s="35" t="n">
        <x:f>--AND(AY$3&gt;=MAX($B$53,$B$54),AY$3&lt;EDATE($B$53,MAX(1,'Вводные'!$H$90)),'Вводные'!$B$90="Да")</x:f>
      </x:c>
      <x:c r="AZ58" s="35" t="n">
        <x:f>--AND(AZ$3&gt;=MAX($B$53,$B$54),AZ$3&lt;EDATE($B$53,MAX(1,'Вводные'!$H$90)),'Вводные'!$B$90="Да")</x:f>
      </x:c>
      <x:c r="BA58" s="35" t="n">
        <x:f>--AND(BA$3&gt;=MAX($B$53,$B$54),BA$3&lt;EDATE($B$53,MAX(1,'Вводные'!$H$90)),'Вводные'!$B$90="Да")</x:f>
      </x:c>
      <x:c r="BB58" s="35" t="n">
        <x:f>--AND(BB$3&gt;=MAX($B$53,$B$54),BB$3&lt;EDATE($B$53,MAX(1,'Вводные'!$H$90)),'Вводные'!$B$90="Да")</x:f>
      </x:c>
      <x:c r="BC58" s="35" t="n">
        <x:f>--AND(BC$3&gt;=MAX($B$53,$B$54),BC$3&lt;EDATE($B$53,MAX(1,'Вводные'!$H$90)),'Вводные'!$B$90="Да")</x:f>
      </x:c>
      <x:c r="BD58" s="35" t="n">
        <x:f>--AND(BD$3&gt;=MAX($B$53,$B$54),BD$3&lt;EDATE($B$53,MAX(1,'Вводные'!$H$90)),'Вводные'!$B$90="Да")</x:f>
      </x:c>
      <x:c r="BE58" s="35" t="n">
        <x:f>--AND(BE$3&gt;=MAX($B$53,$B$54),BE$3&lt;EDATE($B$53,MAX(1,'Вводные'!$H$90)),'Вводные'!$B$90="Да")</x:f>
      </x:c>
      <x:c r="BF58" s="35" t="n">
        <x:f>--AND(BF$3&gt;=MAX($B$53,$B$54),BF$3&lt;EDATE($B$53,MAX(1,'Вводные'!$H$90)),'Вводные'!$B$90="Да")</x:f>
      </x:c>
      <x:c r="BG58" s="35" t="n">
        <x:f>--AND(BG$3&gt;=MAX($B$53,$B$54),BG$3&lt;EDATE($B$53,MAX(1,'Вводные'!$H$90)),'Вводные'!$B$90="Да")</x:f>
      </x:c>
      <x:c r="BH58" s="35" t="n">
        <x:f>--AND(BH$3&gt;=MAX($B$53,$B$54),BH$3&lt;EDATE($B$53,MAX(1,'Вводные'!$H$90)),'Вводные'!$B$90="Да")</x:f>
      </x:c>
      <x:c r="BI58" s="35" t="n">
        <x:f>--AND(BI$3&gt;=MAX($B$53,$B$54),BI$3&lt;EDATE($B$53,MAX(1,'Вводные'!$H$90)),'Вводные'!$B$90="Да")</x:f>
      </x:c>
      <x:c r="BJ58" s="35" t="n">
        <x:f>--AND(BJ$3&gt;=MAX($B$53,$B$54),BJ$3&lt;EDATE($B$53,MAX(1,'Вводные'!$H$90)),'Вводные'!$B$90="Да")</x:f>
      </x:c>
      <x:c r="BK58" s="35" t="n">
        <x:f>--AND(BK$3&gt;=MAX($B$53,$B$54),BK$3&lt;EDATE($B$53,MAX(1,'Вводные'!$H$90)),'Вводные'!$B$90="Да")</x:f>
      </x:c>
      <x:c r="BL58" s="35" t="n">
        <x:f>--AND(BL$3&gt;=MAX($B$53,$B$54),BL$3&lt;EDATE($B$53,MAX(1,'Вводные'!$H$90)),'Вводные'!$B$90="Да")</x:f>
      </x:c>
      <x:c r="BM58" s="35" t="n">
        <x:f>--AND(BM$3&gt;=MAX($B$53,$B$54),BM$3&lt;EDATE($B$53,MAX(1,'Вводные'!$H$90)),'Вводные'!$B$90="Да")</x:f>
      </x:c>
      <x:c r="BN58" s="35" t="n">
        <x:f>--AND(BN$3&gt;=MAX($B$53,$B$54),BN$3&lt;EDATE($B$53,MAX(1,'Вводные'!$H$90)),'Вводные'!$B$90="Да")</x:f>
      </x:c>
      <x:c r="BO58" s="35" t="n">
        <x:f>--AND(BO$3&gt;=MAX($B$53,$B$54),BO$3&lt;EDATE($B$53,MAX(1,'Вводные'!$H$90)),'Вводные'!$B$90="Да")</x:f>
      </x:c>
      <x:c r="BP58" s="35" t="n">
        <x:f>--AND(BP$3&gt;=MAX($B$53,$B$54),BP$3&lt;EDATE($B$53,MAX(1,'Вводные'!$H$90)),'Вводные'!$B$90="Да")</x:f>
      </x:c>
      <x:c r="BQ58" s="35" t="n">
        <x:f>--AND(BQ$3&gt;=MAX($B$53,$B$54),BQ$3&lt;EDATE($B$53,MAX(1,'Вводные'!$H$90)),'Вводные'!$B$90="Да")</x:f>
      </x:c>
      <x:c r="BR58" s="35" t="n">
        <x:f>--AND(BR$3&gt;=MAX($B$53,$B$54),BR$3&lt;EDATE($B$53,MAX(1,'Вводные'!$H$90)),'Вводные'!$B$90="Да")</x:f>
      </x:c>
      <x:c r="BS58" s="35" t="n">
        <x:f>--AND(BS$3&gt;=MAX($B$53,$B$54),BS$3&lt;EDATE($B$53,MAX(1,'Вводные'!$H$90)),'Вводные'!$B$90="Да")</x:f>
      </x:c>
      <x:c r="BT58" s="35" t="n">
        <x:f>--AND(BT$3&gt;=MAX($B$53,$B$54),BT$3&lt;EDATE($B$53,MAX(1,'Вводные'!$H$90)),'Вводные'!$B$90="Да")</x:f>
      </x:c>
      <x:c r="BU58" s="35" t="n">
        <x:f>--AND(BU$3&gt;=MAX($B$53,$B$54),BU$3&lt;EDATE($B$53,MAX(1,'Вводные'!$H$90)),'Вводные'!$B$90="Да")</x:f>
      </x:c>
      <x:c r="BV58" s="35" t="n">
        <x:f>--AND(BV$3&gt;=MAX($B$53,$B$54),BV$3&lt;EDATE($B$53,MAX(1,'Вводные'!$H$90)),'Вводные'!$B$90="Да")</x:f>
      </x:c>
      <x:c r="BW58" s="35" t="n">
        <x:f>--AND(BW$3&gt;=MAX($B$53,$B$54),BW$3&lt;EDATE($B$53,MAX(1,'Вводные'!$H$90)),'Вводные'!$B$90="Да")</x:f>
      </x:c>
      <x:c r="BX58" s="35" t="n">
        <x:f>--AND(BX$3&gt;=MAX($B$53,$B$54),BX$3&lt;EDATE($B$53,MAX(1,'Вводные'!$H$90)),'Вводные'!$B$90="Да")</x:f>
      </x:c>
      <x:c r="BY58" s="35" t="n">
        <x:f>--AND(BY$3&gt;=MAX($B$53,$B$54),BY$3&lt;EDATE($B$53,MAX(1,'Вводные'!$H$90)),'Вводные'!$B$90="Да")</x:f>
      </x:c>
      <x:c r="BZ58" s="35" t="n">
        <x:f>--AND(BZ$3&gt;=MAX($B$53,$B$54),BZ$3&lt;EDATE($B$53,MAX(1,'Вводные'!$H$90)),'Вводные'!$B$90="Да")</x:f>
      </x:c>
      <x:c r="CA58" s="35" t="n">
        <x:f>--AND(CA$3&gt;=MAX($B$53,$B$54),CA$3&lt;EDATE($B$53,MAX(1,'Вводные'!$H$90)),'Вводные'!$B$90="Да")</x:f>
      </x:c>
      <x:c r="CB58" s="35" t="n">
        <x:f>--AND(CB$3&gt;=MAX($B$53,$B$54),CB$3&lt;EDATE($B$53,MAX(1,'Вводные'!$H$90)),'Вводные'!$B$90="Да")</x:f>
      </x:c>
      <x:c r="CC58" s="35" t="n">
        <x:f>--AND(CC$3&gt;=MAX($B$53,$B$54),CC$3&lt;EDATE($B$53,MAX(1,'Вводные'!$H$90)),'Вводные'!$B$90="Да")</x:f>
      </x:c>
      <x:c r="CD58" s="35" t="n">
        <x:f>--AND(CD$3&gt;=MAX($B$53,$B$54),CD$3&lt;EDATE($B$53,MAX(1,'Вводные'!$H$90)),'Вводные'!$B$90="Да")</x:f>
      </x:c>
      <x:c r="CE58" s="35" t="n">
        <x:f>--AND(CE$3&gt;=MAX($B$53,$B$54),CE$3&lt;EDATE($B$53,MAX(1,'Вводные'!$H$90)),'Вводные'!$B$90="Да")</x:f>
      </x:c>
      <x:c r="CF58" s="35" t="n">
        <x:f>--AND(CF$3&gt;=MAX($B$53,$B$54),CF$3&lt;EDATE($B$53,MAX(1,'Вводные'!$H$90)),'Вводные'!$B$90="Да")</x:f>
      </x:c>
      <x:c r="CG58" s="35" t="n">
        <x:f>--AND(CG$3&gt;=MAX($B$53,$B$54),CG$3&lt;EDATE($B$53,MAX(1,'Вводные'!$H$90)),'Вводные'!$B$90="Да")</x:f>
      </x:c>
      <x:c r="CH58" s="35" t="n">
        <x:f>--AND(CH$3&gt;=MAX($B$53,$B$54),CH$3&lt;EDATE($B$53,MAX(1,'Вводные'!$H$90)),'Вводные'!$B$90="Да")</x:f>
      </x:c>
      <x:c r="CI58" s="35" t="n">
        <x:f>--AND(CI$3&gt;=MAX($B$53,$B$54),CI$3&lt;EDATE($B$53,MAX(1,'Вводные'!$H$90)),'Вводные'!$B$90="Да")</x:f>
      </x:c>
      <x:c r="CJ58" s="35" t="n">
        <x:f>--AND(CJ$3&gt;=MAX($B$53,$B$54),CJ$3&lt;EDATE($B$53,MAX(1,'Вводные'!$H$90)),'Вводные'!$B$90="Да")</x:f>
      </x:c>
      <x:c r="CK58" s="35" t="n">
        <x:f>--AND(CK$3&gt;=MAX($B$53,$B$54),CK$3&lt;EDATE($B$53,MAX(1,'Вводные'!$H$90)),'Вводные'!$B$90="Да")</x:f>
      </x:c>
      <x:c r="CL58" s="35" t="n">
        <x:f>--AND(CL$3&gt;=MAX($B$53,$B$54),CL$3&lt;EDATE($B$53,MAX(1,'Вводные'!$H$90)),'Вводные'!$B$90="Да")</x:f>
      </x:c>
      <x:c r="CM58" s="35" t="n">
        <x:f>--AND(CM$3&gt;=MAX($B$53,$B$54),CM$3&lt;EDATE($B$53,MAX(1,'Вводные'!$H$90)),'Вводные'!$B$90="Да")</x:f>
      </x:c>
      <x:c r="CN58" s="35" t="n">
        <x:f>--AND(CN$3&gt;=MAX($B$53,$B$54),CN$3&lt;EDATE($B$53,MAX(1,'Вводные'!$H$90)),'Вводные'!$B$90="Да")</x:f>
      </x:c>
      <x:c r="CO58" s="35" t="n">
        <x:f>--AND(CO$3&gt;=MAX($B$53,$B$54),CO$3&lt;EDATE($B$53,MAX(1,'Вводные'!$H$90)),'Вводные'!$B$90="Да")</x:f>
      </x:c>
      <x:c r="CP58" s="35" t="n">
        <x:f>--AND(CP$3&gt;=MAX($B$53,$B$54),CP$3&lt;EDATE($B$53,MAX(1,'Вводные'!$H$90)),'Вводные'!$B$90="Да")</x:f>
      </x:c>
      <x:c r="CQ58" s="35" t="n">
        <x:f>--AND(CQ$3&gt;=MAX($B$53,$B$54),CQ$3&lt;EDATE($B$53,MAX(1,'Вводные'!$H$90)),'Вводные'!$B$90="Да")</x:f>
      </x:c>
      <x:c r="CR58" s="35" t="n">
        <x:f>--AND(CR$3&gt;=MAX($B$53,$B$54),CR$3&lt;EDATE($B$53,MAX(1,'Вводные'!$H$90)),'Вводные'!$B$90="Да")</x:f>
      </x:c>
      <x:c r="CS58" s="35" t="n">
        <x:f>--AND(CS$3&gt;=MAX($B$53,$B$54),CS$3&lt;EDATE($B$53,MAX(1,'Вводные'!$H$90)),'Вводные'!$B$90="Да")</x:f>
      </x:c>
      <x:c r="CT58" s="35" t="n">
        <x:f>--AND(CT$3&gt;=MAX($B$53,$B$54),CT$3&lt;EDATE($B$53,MAX(1,'Вводные'!$H$90)),'Вводные'!$B$90="Да")</x:f>
      </x:c>
      <x:c r="CU58" s="35" t="n">
        <x:f>--AND(CU$3&gt;=MAX($B$53,$B$54),CU$3&lt;EDATE($B$53,MAX(1,'Вводные'!$H$90)),'Вводные'!$B$90="Да")</x:f>
      </x:c>
      <x:c r="CV58" s="35" t="n">
        <x:f>--AND(CV$3&gt;=MAX($B$53,$B$54),CV$3&lt;EDATE($B$53,MAX(1,'Вводные'!$H$90)),'Вводные'!$B$90="Да")</x:f>
      </x:c>
      <x:c r="CW58" s="35" t="n">
        <x:f>--AND(CW$3&gt;=MAX($B$53,$B$54),CW$3&lt;EDATE($B$53,MAX(1,'Вводные'!$H$90)),'Вводные'!$B$90="Да")</x:f>
      </x:c>
      <x:c r="CX58" s="35" t="n">
        <x:f>--AND(CX$3&gt;=MAX($B$53,$B$54),CX$3&lt;EDATE($B$53,MAX(1,'Вводные'!$H$90)),'Вводные'!$B$90="Да")</x:f>
      </x:c>
      <x:c r="CY58" s="35" t="n">
        <x:f>--AND(CY$3&gt;=MAX($B$53,$B$54),CY$3&lt;EDATE($B$53,MAX(1,'Вводные'!$H$90)),'Вводные'!$B$90="Да")</x:f>
      </x:c>
      <x:c r="CZ58" s="35" t="n">
        <x:f>--AND(CZ$3&gt;=MAX($B$53,$B$54),CZ$3&lt;EDATE($B$53,MAX(1,'Вводные'!$H$90)),'Вводные'!$B$90="Да")</x:f>
      </x:c>
      <x:c r="DA58" s="35" t="n">
        <x:f>--AND(DA$3&gt;=MAX($B$53,$B$54),DA$3&lt;EDATE($B$53,MAX(1,'Вводные'!$H$90)),'Вводные'!$B$90="Да")</x:f>
      </x:c>
      <x:c r="DB58" s="35" t="n">
        <x:f>--AND(DB$3&gt;=MAX($B$53,$B$54),DB$3&lt;EDATE($B$53,MAX(1,'Вводные'!$H$90)),'Вводные'!$B$90="Да")</x:f>
      </x:c>
      <x:c r="DC58" s="35" t="n">
        <x:f>--AND(DC$3&gt;=MAX($B$53,$B$54),DC$3&lt;EDATE($B$53,MAX(1,'Вводные'!$H$90)),'Вводные'!$B$90="Да")</x:f>
      </x:c>
      <x:c r="DD58" s="35" t="n">
        <x:f>--AND(DD$3&gt;=MAX($B$53,$B$54),DD$3&lt;EDATE($B$53,MAX(1,'Вводные'!$H$90)),'Вводные'!$B$90="Да")</x:f>
      </x:c>
      <x:c r="DE58" s="35" t="n">
        <x:f>--AND(DE$3&gt;=MAX($B$53,$B$54),DE$3&lt;EDATE($B$53,MAX(1,'Вводные'!$H$90)),'Вводные'!$B$90="Да")</x:f>
      </x:c>
      <x:c r="DF58" s="35" t="n">
        <x:f>--AND(DF$3&gt;=MAX($B$53,$B$54),DF$3&lt;EDATE($B$53,MAX(1,'Вводные'!$H$90)),'Вводные'!$B$90="Да")</x:f>
      </x:c>
      <x:c r="DG58" s="35" t="n">
        <x:f>--AND(DG$3&gt;=MAX($B$53,$B$54),DG$3&lt;EDATE($B$53,MAX(1,'Вводные'!$H$90)),'Вводные'!$B$90="Да")</x:f>
      </x:c>
      <x:c r="DH58" s="35" t="n">
        <x:f>--AND(DH$3&gt;=MAX($B$53,$B$54),DH$3&lt;EDATE($B$53,MAX(1,'Вводные'!$H$90)),'Вводные'!$B$90="Да")</x:f>
      </x:c>
      <x:c r="DI58" s="35" t="n">
        <x:f>--AND(DI$3&gt;=MAX($B$53,$B$54),DI$3&lt;EDATE($B$53,MAX(1,'Вводные'!$H$90)),'Вводные'!$B$90="Да")</x:f>
      </x:c>
      <x:c r="DJ58" s="35" t="n">
        <x:f>--AND(DJ$3&gt;=MAX($B$53,$B$54),DJ$3&lt;EDATE($B$53,MAX(1,'Вводные'!$H$90)),'Вводные'!$B$90="Да")</x:f>
      </x:c>
      <x:c r="DK58" s="35" t="n">
        <x:f>--AND(DK$3&gt;=MAX($B$53,$B$54),DK$3&lt;EDATE($B$53,MAX(1,'Вводные'!$H$90)),'Вводные'!$B$90="Да")</x:f>
      </x:c>
      <x:c r="DL58" s="35" t="n">
        <x:f>--AND(DL$3&gt;=MAX($B$53,$B$54),DL$3&lt;EDATE($B$53,MAX(1,'Вводные'!$H$90)),'Вводные'!$B$90="Да")</x:f>
      </x:c>
      <x:c r="DM58" s="35" t="n">
        <x:f>--AND(DM$3&gt;=MAX($B$53,$B$54),DM$3&lt;EDATE($B$53,MAX(1,'Вводные'!$H$90)),'Вводные'!$B$90="Да")</x:f>
      </x:c>
      <x:c r="DN58" s="35" t="n">
        <x:f>--AND(DN$3&gt;=MAX($B$53,$B$54),DN$3&lt;EDATE($B$53,MAX(1,'Вводные'!$H$90)),'Вводные'!$B$90="Да")</x:f>
      </x:c>
      <x:c r="DO58" s="35" t="n">
        <x:f>--AND(DO$3&gt;=MAX($B$53,$B$54),DO$3&lt;EDATE($B$53,MAX(1,'Вводные'!$H$90)),'Вводные'!$B$90="Да")</x:f>
      </x:c>
      <x:c r="DP58" s="35" t="n">
        <x:f>--AND(DP$3&gt;=MAX($B$53,$B$54),DP$3&lt;EDATE($B$53,MAX(1,'Вводные'!$H$90)),'Вводные'!$B$90="Да")</x:f>
      </x:c>
      <x:c r="DQ58" s="35" t="n">
        <x:f>--AND(DQ$3&gt;=MAX($B$53,$B$54),DQ$3&lt;EDATE($B$53,MAX(1,'Вводные'!$H$90)),'Вводные'!$B$90="Да")</x:f>
      </x:c>
      <x:c r="DR58" s="35" t="n">
        <x:f>--AND(DR$3&gt;=MAX($B$53,$B$54),DR$3&lt;EDATE($B$53,MAX(1,'Вводные'!$H$90)),'Вводные'!$B$90="Да")</x:f>
      </x:c>
      <x:c r="DS58" s="35" t="n">
        <x:f>--AND(DS$3&gt;=MAX($B$53,$B$54),DS$3&lt;EDATE($B$53,MAX(1,'Вводные'!$H$90)),'Вводные'!$B$90="Да")</x:f>
      </x:c>
    </x:row>
    <x:row r="59">
      <x:c r="A59" t="str">
        <x:v>Нормированный вес после РВЭ</x:v>
      </x:c>
      <x:c r="B59" t="n">
        <x:f>SUM(D59:DS59)</x:f>
      </x:c>
      <x:c r="C59" t="str">
        <x:v>%</x:v>
      </x:c>
      <x:c r="D59" s="35" t="n">
        <x:f>IFERROR(D56*D58/SUMPRODUCT($D56:$DS56,$D58:$DS58),0)</x:f>
      </x:c>
      <x:c r="E59" s="35" t="n">
        <x:f>IFERROR(E56*E58/SUMPRODUCT($D56:$DS56,$D58:$DS58),0)</x:f>
      </x:c>
      <x:c r="F59" s="35" t="n">
        <x:f>IFERROR(F56*F58/SUMPRODUCT($D56:$DS56,$D58:$DS58),0)</x:f>
      </x:c>
      <x:c r="G59" s="35" t="n">
        <x:f>IFERROR(G56*G58/SUMPRODUCT($D56:$DS56,$D58:$DS58),0)</x:f>
      </x:c>
      <x:c r="H59" s="35" t="n">
        <x:f>IFERROR(H56*H58/SUMPRODUCT($D56:$DS56,$D58:$DS58),0)</x:f>
      </x:c>
      <x:c r="I59" s="35" t="n">
        <x:f>IFERROR(I56*I58/SUMPRODUCT($D56:$DS56,$D58:$DS58),0)</x:f>
      </x:c>
      <x:c r="J59" s="35" t="n">
        <x:f>IFERROR(J56*J58/SUMPRODUCT($D56:$DS56,$D58:$DS58),0)</x:f>
      </x:c>
      <x:c r="K59" s="35" t="n">
        <x:f>IFERROR(K56*K58/SUMPRODUCT($D56:$DS56,$D58:$DS58),0)</x:f>
      </x:c>
      <x:c r="L59" s="35" t="n">
        <x:f>IFERROR(L56*L58/SUMPRODUCT($D56:$DS56,$D58:$DS58),0)</x:f>
      </x:c>
      <x:c r="M59" s="35" t="n">
        <x:f>IFERROR(M56*M58/SUMPRODUCT($D56:$DS56,$D58:$DS58),0)</x:f>
      </x:c>
      <x:c r="N59" s="35" t="n">
        <x:f>IFERROR(N56*N58/SUMPRODUCT($D56:$DS56,$D58:$DS58),0)</x:f>
      </x:c>
      <x:c r="O59" s="35" t="n">
        <x:f>IFERROR(O56*O58/SUMPRODUCT($D56:$DS56,$D58:$DS58),0)</x:f>
      </x:c>
      <x:c r="P59" s="35" t="n">
        <x:f>IFERROR(P56*P58/SUMPRODUCT($D56:$DS56,$D58:$DS58),0)</x:f>
      </x:c>
      <x:c r="Q59" s="35" t="n">
        <x:f>IFERROR(Q56*Q58/SUMPRODUCT($D56:$DS56,$D58:$DS58),0)</x:f>
      </x:c>
      <x:c r="R59" s="35" t="n">
        <x:f>IFERROR(R56*R58/SUMPRODUCT($D56:$DS56,$D58:$DS58),0)</x:f>
      </x:c>
      <x:c r="S59" s="35" t="n">
        <x:f>IFERROR(S56*S58/SUMPRODUCT($D56:$DS56,$D58:$DS58),0)</x:f>
      </x:c>
      <x:c r="T59" s="35" t="n">
        <x:f>IFERROR(T56*T58/SUMPRODUCT($D56:$DS56,$D58:$DS58),0)</x:f>
      </x:c>
      <x:c r="U59" s="35" t="n">
        <x:f>IFERROR(U56*U58/SUMPRODUCT($D56:$DS56,$D58:$DS58),0)</x:f>
      </x:c>
      <x:c r="V59" s="35" t="n">
        <x:f>IFERROR(V56*V58/SUMPRODUCT($D56:$DS56,$D58:$DS58),0)</x:f>
      </x:c>
      <x:c r="W59" s="35" t="n">
        <x:f>IFERROR(W56*W58/SUMPRODUCT($D56:$DS56,$D58:$DS58),0)</x:f>
      </x:c>
      <x:c r="X59" s="35" t="n">
        <x:f>IFERROR(X56*X58/SUMPRODUCT($D56:$DS56,$D58:$DS58),0)</x:f>
      </x:c>
      <x:c r="Y59" s="35" t="n">
        <x:f>IFERROR(Y56*Y58/SUMPRODUCT($D56:$DS56,$D58:$DS58),0)</x:f>
      </x:c>
      <x:c r="Z59" s="35" t="n">
        <x:f>IFERROR(Z56*Z58/SUMPRODUCT($D56:$DS56,$D58:$DS58),0)</x:f>
      </x:c>
      <x:c r="AA59" s="35" t="n">
        <x:f>IFERROR(AA56*AA58/SUMPRODUCT($D56:$DS56,$D58:$DS58),0)</x:f>
      </x:c>
      <x:c r="AB59" s="35" t="n">
        <x:f>IFERROR(AB56*AB58/SUMPRODUCT($D56:$DS56,$D58:$DS58),0)</x:f>
      </x:c>
      <x:c r="AC59" s="35" t="n">
        <x:f>IFERROR(AC56*AC58/SUMPRODUCT($D56:$DS56,$D58:$DS58),0)</x:f>
      </x:c>
      <x:c r="AD59" s="35" t="n">
        <x:f>IFERROR(AD56*AD58/SUMPRODUCT($D56:$DS56,$D58:$DS58),0)</x:f>
      </x:c>
      <x:c r="AE59" s="35" t="n">
        <x:f>IFERROR(AE56*AE58/SUMPRODUCT($D56:$DS56,$D58:$DS58),0)</x:f>
      </x:c>
      <x:c r="AF59" s="35" t="n">
        <x:f>IFERROR(AF56*AF58/SUMPRODUCT($D56:$DS56,$D58:$DS58),0)</x:f>
      </x:c>
      <x:c r="AG59" s="35" t="n">
        <x:f>IFERROR(AG56*AG58/SUMPRODUCT($D56:$DS56,$D58:$DS58),0)</x:f>
      </x:c>
      <x:c r="AH59" s="35" t="n">
        <x:f>IFERROR(AH56*AH58/SUMPRODUCT($D56:$DS56,$D58:$DS58),0)</x:f>
      </x:c>
      <x:c r="AI59" s="35" t="n">
        <x:f>IFERROR(AI56*AI58/SUMPRODUCT($D56:$DS56,$D58:$DS58),0)</x:f>
      </x:c>
      <x:c r="AJ59" s="35" t="n">
        <x:f>IFERROR(AJ56*AJ58/SUMPRODUCT($D56:$DS56,$D58:$DS58),0)</x:f>
      </x:c>
      <x:c r="AK59" s="35" t="n">
        <x:f>IFERROR(AK56*AK58/SUMPRODUCT($D56:$DS56,$D58:$DS58),0)</x:f>
      </x:c>
      <x:c r="AL59" s="35" t="n">
        <x:f>IFERROR(AL56*AL58/SUMPRODUCT($D56:$DS56,$D58:$DS58),0)</x:f>
      </x:c>
      <x:c r="AM59" s="35" t="n">
        <x:f>IFERROR(AM56*AM58/SUMPRODUCT($D56:$DS56,$D58:$DS58),0)</x:f>
      </x:c>
      <x:c r="AN59" s="35" t="n">
        <x:f>IFERROR(AN56*AN58/SUMPRODUCT($D56:$DS56,$D58:$DS58),0)</x:f>
      </x:c>
      <x:c r="AO59" s="35" t="n">
        <x:f>IFERROR(AO56*AO58/SUMPRODUCT($D56:$DS56,$D58:$DS58),0)</x:f>
      </x:c>
      <x:c r="AP59" s="35" t="n">
        <x:f>IFERROR(AP56*AP58/SUMPRODUCT($D56:$DS56,$D58:$DS58),0)</x:f>
      </x:c>
      <x:c r="AQ59" s="35" t="n">
        <x:f>IFERROR(AQ56*AQ58/SUMPRODUCT($D56:$DS56,$D58:$DS58),0)</x:f>
      </x:c>
      <x:c r="AR59" s="35" t="n">
        <x:f>IFERROR(AR56*AR58/SUMPRODUCT($D56:$DS56,$D58:$DS58),0)</x:f>
      </x:c>
      <x:c r="AS59" s="35" t="n">
        <x:f>IFERROR(AS56*AS58/SUMPRODUCT($D56:$DS56,$D58:$DS58),0)</x:f>
      </x:c>
      <x:c r="AT59" s="35" t="n">
        <x:f>IFERROR(AT56*AT58/SUMPRODUCT($D56:$DS56,$D58:$DS58),0)</x:f>
      </x:c>
      <x:c r="AU59" s="35" t="n">
        <x:f>IFERROR(AU56*AU58/SUMPRODUCT($D56:$DS56,$D58:$DS58),0)</x:f>
      </x:c>
      <x:c r="AV59" s="35" t="n">
        <x:f>IFERROR(AV56*AV58/SUMPRODUCT($D56:$DS56,$D58:$DS58),0)</x:f>
      </x:c>
      <x:c r="AW59" s="35" t="n">
        <x:f>IFERROR(AW56*AW58/SUMPRODUCT($D56:$DS56,$D58:$DS58),0)</x:f>
      </x:c>
      <x:c r="AX59" s="35" t="n">
        <x:f>IFERROR(AX56*AX58/SUMPRODUCT($D56:$DS56,$D58:$DS58),0)</x:f>
      </x:c>
      <x:c r="AY59" s="35" t="n">
        <x:f>IFERROR(AY56*AY58/SUMPRODUCT($D56:$DS56,$D58:$DS58),0)</x:f>
      </x:c>
      <x:c r="AZ59" s="35" t="n">
        <x:f>IFERROR(AZ56*AZ58/SUMPRODUCT($D56:$DS56,$D58:$DS58),0)</x:f>
      </x:c>
      <x:c r="BA59" s="35" t="n">
        <x:f>IFERROR(BA56*BA58/SUMPRODUCT($D56:$DS56,$D58:$DS58),0)</x:f>
      </x:c>
      <x:c r="BB59" s="35" t="n">
        <x:f>IFERROR(BB56*BB58/SUMPRODUCT($D56:$DS56,$D58:$DS58),0)</x:f>
      </x:c>
      <x:c r="BC59" s="35" t="n">
        <x:f>IFERROR(BC56*BC58/SUMPRODUCT($D56:$DS56,$D58:$DS58),0)</x:f>
      </x:c>
      <x:c r="BD59" s="35" t="n">
        <x:f>IFERROR(BD56*BD58/SUMPRODUCT($D56:$DS56,$D58:$DS58),0)</x:f>
      </x:c>
      <x:c r="BE59" s="35" t="n">
        <x:f>IFERROR(BE56*BE58/SUMPRODUCT($D56:$DS56,$D58:$DS58),0)</x:f>
      </x:c>
      <x:c r="BF59" s="35" t="n">
        <x:f>IFERROR(BF56*BF58/SUMPRODUCT($D56:$DS56,$D58:$DS58),0)</x:f>
      </x:c>
      <x:c r="BG59" s="35" t="n">
        <x:f>IFERROR(BG56*BG58/SUMPRODUCT($D56:$DS56,$D58:$DS58),0)</x:f>
      </x:c>
      <x:c r="BH59" s="35" t="n">
        <x:f>IFERROR(BH56*BH58/SUMPRODUCT($D56:$DS56,$D58:$DS58),0)</x:f>
      </x:c>
      <x:c r="BI59" s="35" t="n">
        <x:f>IFERROR(BI56*BI58/SUMPRODUCT($D56:$DS56,$D58:$DS58),0)</x:f>
      </x:c>
      <x:c r="BJ59" s="35" t="n">
        <x:f>IFERROR(BJ56*BJ58/SUMPRODUCT($D56:$DS56,$D58:$DS58),0)</x:f>
      </x:c>
      <x:c r="BK59" s="35" t="n">
        <x:f>IFERROR(BK56*BK58/SUMPRODUCT($D56:$DS56,$D58:$DS58),0)</x:f>
      </x:c>
      <x:c r="BL59" s="35" t="n">
        <x:f>IFERROR(BL56*BL58/SUMPRODUCT($D56:$DS56,$D58:$DS58),0)</x:f>
      </x:c>
      <x:c r="BM59" s="35" t="n">
        <x:f>IFERROR(BM56*BM58/SUMPRODUCT($D56:$DS56,$D58:$DS58),0)</x:f>
      </x:c>
      <x:c r="BN59" s="35" t="n">
        <x:f>IFERROR(BN56*BN58/SUMPRODUCT($D56:$DS56,$D58:$DS58),0)</x:f>
      </x:c>
      <x:c r="BO59" s="35" t="n">
        <x:f>IFERROR(BO56*BO58/SUMPRODUCT($D56:$DS56,$D58:$DS58),0)</x:f>
      </x:c>
      <x:c r="BP59" s="35" t="n">
        <x:f>IFERROR(BP56*BP58/SUMPRODUCT($D56:$DS56,$D58:$DS58),0)</x:f>
      </x:c>
      <x:c r="BQ59" s="35" t="n">
        <x:f>IFERROR(BQ56*BQ58/SUMPRODUCT($D56:$DS56,$D58:$DS58),0)</x:f>
      </x:c>
      <x:c r="BR59" s="35" t="n">
        <x:f>IFERROR(BR56*BR58/SUMPRODUCT($D56:$DS56,$D58:$DS58),0)</x:f>
      </x:c>
      <x:c r="BS59" s="35" t="n">
        <x:f>IFERROR(BS56*BS58/SUMPRODUCT($D56:$DS56,$D58:$DS58),0)</x:f>
      </x:c>
      <x:c r="BT59" s="35" t="n">
        <x:f>IFERROR(BT56*BT58/SUMPRODUCT($D56:$DS56,$D58:$DS58),0)</x:f>
      </x:c>
      <x:c r="BU59" s="35" t="n">
        <x:f>IFERROR(BU56*BU58/SUMPRODUCT($D56:$DS56,$D58:$DS58),0)</x:f>
      </x:c>
      <x:c r="BV59" s="35" t="n">
        <x:f>IFERROR(BV56*BV58/SUMPRODUCT($D56:$DS56,$D58:$DS58),0)</x:f>
      </x:c>
      <x:c r="BW59" s="35" t="n">
        <x:f>IFERROR(BW56*BW58/SUMPRODUCT($D56:$DS56,$D58:$DS58),0)</x:f>
      </x:c>
      <x:c r="BX59" s="35" t="n">
        <x:f>IFERROR(BX56*BX58/SUMPRODUCT($D56:$DS56,$D58:$DS58),0)</x:f>
      </x:c>
      <x:c r="BY59" s="35" t="n">
        <x:f>IFERROR(BY56*BY58/SUMPRODUCT($D56:$DS56,$D58:$DS58),0)</x:f>
      </x:c>
      <x:c r="BZ59" s="35" t="n">
        <x:f>IFERROR(BZ56*BZ58/SUMPRODUCT($D56:$DS56,$D58:$DS58),0)</x:f>
      </x:c>
      <x:c r="CA59" s="35" t="n">
        <x:f>IFERROR(CA56*CA58/SUMPRODUCT($D56:$DS56,$D58:$DS58),0)</x:f>
      </x:c>
      <x:c r="CB59" s="35" t="n">
        <x:f>IFERROR(CB56*CB58/SUMPRODUCT($D56:$DS56,$D58:$DS58),0)</x:f>
      </x:c>
      <x:c r="CC59" s="35" t="n">
        <x:f>IFERROR(CC56*CC58/SUMPRODUCT($D56:$DS56,$D58:$DS58),0)</x:f>
      </x:c>
      <x:c r="CD59" s="35" t="n">
        <x:f>IFERROR(CD56*CD58/SUMPRODUCT($D56:$DS56,$D58:$DS58),0)</x:f>
      </x:c>
      <x:c r="CE59" s="35" t="n">
        <x:f>IFERROR(CE56*CE58/SUMPRODUCT($D56:$DS56,$D58:$DS58),0)</x:f>
      </x:c>
      <x:c r="CF59" s="35" t="n">
        <x:f>IFERROR(CF56*CF58/SUMPRODUCT($D56:$DS56,$D58:$DS58),0)</x:f>
      </x:c>
      <x:c r="CG59" s="35" t="n">
        <x:f>IFERROR(CG56*CG58/SUMPRODUCT($D56:$DS56,$D58:$DS58),0)</x:f>
      </x:c>
      <x:c r="CH59" s="35" t="n">
        <x:f>IFERROR(CH56*CH58/SUMPRODUCT($D56:$DS56,$D58:$DS58),0)</x:f>
      </x:c>
      <x:c r="CI59" s="35" t="n">
        <x:f>IFERROR(CI56*CI58/SUMPRODUCT($D56:$DS56,$D58:$DS58),0)</x:f>
      </x:c>
      <x:c r="CJ59" s="35" t="n">
        <x:f>IFERROR(CJ56*CJ58/SUMPRODUCT($D56:$DS56,$D58:$DS58),0)</x:f>
      </x:c>
      <x:c r="CK59" s="35" t="n">
        <x:f>IFERROR(CK56*CK58/SUMPRODUCT($D56:$DS56,$D58:$DS58),0)</x:f>
      </x:c>
      <x:c r="CL59" s="35" t="n">
        <x:f>IFERROR(CL56*CL58/SUMPRODUCT($D56:$DS56,$D58:$DS58),0)</x:f>
      </x:c>
      <x:c r="CM59" s="35" t="n">
        <x:f>IFERROR(CM56*CM58/SUMPRODUCT($D56:$DS56,$D58:$DS58),0)</x:f>
      </x:c>
      <x:c r="CN59" s="35" t="n">
        <x:f>IFERROR(CN56*CN58/SUMPRODUCT($D56:$DS56,$D58:$DS58),0)</x:f>
      </x:c>
      <x:c r="CO59" s="35" t="n">
        <x:f>IFERROR(CO56*CO58/SUMPRODUCT($D56:$DS56,$D58:$DS58),0)</x:f>
      </x:c>
      <x:c r="CP59" s="35" t="n">
        <x:f>IFERROR(CP56*CP58/SUMPRODUCT($D56:$DS56,$D58:$DS58),0)</x:f>
      </x:c>
      <x:c r="CQ59" s="35" t="n">
        <x:f>IFERROR(CQ56*CQ58/SUMPRODUCT($D56:$DS56,$D58:$DS58),0)</x:f>
      </x:c>
      <x:c r="CR59" s="35" t="n">
        <x:f>IFERROR(CR56*CR58/SUMPRODUCT($D56:$DS56,$D58:$DS58),0)</x:f>
      </x:c>
      <x:c r="CS59" s="35" t="n">
        <x:f>IFERROR(CS56*CS58/SUMPRODUCT($D56:$DS56,$D58:$DS58),0)</x:f>
      </x:c>
      <x:c r="CT59" s="35" t="n">
        <x:f>IFERROR(CT56*CT58/SUMPRODUCT($D56:$DS56,$D58:$DS58),0)</x:f>
      </x:c>
      <x:c r="CU59" s="35" t="n">
        <x:f>IFERROR(CU56*CU58/SUMPRODUCT($D56:$DS56,$D58:$DS58),0)</x:f>
      </x:c>
      <x:c r="CV59" s="35" t="n">
        <x:f>IFERROR(CV56*CV58/SUMPRODUCT($D56:$DS56,$D58:$DS58),0)</x:f>
      </x:c>
      <x:c r="CW59" s="35" t="n">
        <x:f>IFERROR(CW56*CW58/SUMPRODUCT($D56:$DS56,$D58:$DS58),0)</x:f>
      </x:c>
      <x:c r="CX59" s="35" t="n">
        <x:f>IFERROR(CX56*CX58/SUMPRODUCT($D56:$DS56,$D58:$DS58),0)</x:f>
      </x:c>
      <x:c r="CY59" s="35" t="n">
        <x:f>IFERROR(CY56*CY58/SUMPRODUCT($D56:$DS56,$D58:$DS58),0)</x:f>
      </x:c>
      <x:c r="CZ59" s="35" t="n">
        <x:f>IFERROR(CZ56*CZ58/SUMPRODUCT($D56:$DS56,$D58:$DS58),0)</x:f>
      </x:c>
      <x:c r="DA59" s="35" t="n">
        <x:f>IFERROR(DA56*DA58/SUMPRODUCT($D56:$DS56,$D58:$DS58),0)</x:f>
      </x:c>
      <x:c r="DB59" s="35" t="n">
        <x:f>IFERROR(DB56*DB58/SUMPRODUCT($D56:$DS56,$D58:$DS58),0)</x:f>
      </x:c>
      <x:c r="DC59" s="35" t="n">
        <x:f>IFERROR(DC56*DC58/SUMPRODUCT($D56:$DS56,$D58:$DS58),0)</x:f>
      </x:c>
      <x:c r="DD59" s="35" t="n">
        <x:f>IFERROR(DD56*DD58/SUMPRODUCT($D56:$DS56,$D58:$DS58),0)</x:f>
      </x:c>
      <x:c r="DE59" s="35" t="n">
        <x:f>IFERROR(DE56*DE58/SUMPRODUCT($D56:$DS56,$D58:$DS58),0)</x:f>
      </x:c>
      <x:c r="DF59" s="35" t="n">
        <x:f>IFERROR(DF56*DF58/SUMPRODUCT($D56:$DS56,$D58:$DS58),0)</x:f>
      </x:c>
      <x:c r="DG59" s="35" t="n">
        <x:f>IFERROR(DG56*DG58/SUMPRODUCT($D56:$DS56,$D58:$DS58),0)</x:f>
      </x:c>
      <x:c r="DH59" s="35" t="n">
        <x:f>IFERROR(DH56*DH58/SUMPRODUCT($D56:$DS56,$D58:$DS58),0)</x:f>
      </x:c>
      <x:c r="DI59" s="35" t="n">
        <x:f>IFERROR(DI56*DI58/SUMPRODUCT($D56:$DS56,$D58:$DS58),0)</x:f>
      </x:c>
      <x:c r="DJ59" s="35" t="n">
        <x:f>IFERROR(DJ56*DJ58/SUMPRODUCT($D56:$DS56,$D58:$DS58),0)</x:f>
      </x:c>
      <x:c r="DK59" s="35" t="n">
        <x:f>IFERROR(DK56*DK58/SUMPRODUCT($D56:$DS56,$D58:$DS58),0)</x:f>
      </x:c>
      <x:c r="DL59" s="35" t="n">
        <x:f>IFERROR(DL56*DL58/SUMPRODUCT($D56:$DS56,$D58:$DS58),0)</x:f>
      </x:c>
      <x:c r="DM59" s="35" t="n">
        <x:f>IFERROR(DM56*DM58/SUMPRODUCT($D56:$DS56,$D58:$DS58),0)</x:f>
      </x:c>
      <x:c r="DN59" s="35" t="n">
        <x:f>IFERROR(DN56*DN58/SUMPRODUCT($D56:$DS56,$D58:$DS58),0)</x:f>
      </x:c>
      <x:c r="DO59" s="35" t="n">
        <x:f>IFERROR(DO56*DO58/SUMPRODUCT($D56:$DS56,$D58:$DS58),0)</x:f>
      </x:c>
      <x:c r="DP59" s="35" t="n">
        <x:f>IFERROR(DP56*DP58/SUMPRODUCT($D56:$DS56,$D58:$DS58),0)</x:f>
      </x:c>
      <x:c r="DQ59" s="35" t="n">
        <x:f>IFERROR(DQ56*DQ58/SUMPRODUCT($D56:$DS56,$D58:$DS58),0)</x:f>
      </x:c>
      <x:c r="DR59" s="35" t="n">
        <x:f>IFERROR(DR56*DR58/SUMPRODUCT($D56:$DS56,$D58:$DS58),0)</x:f>
      </x:c>
      <x:c r="DS59" s="35" t="n">
        <x:f>IFERROR(DS56*DS58/SUMPRODUCT($D56:$DS56,$D58:$DS58),0)</x:f>
      </x:c>
    </x:row>
    <x:row r="60">
      <x:c r="A60" t="str">
        <x:v>Квартиры — объём</x:v>
      </x:c>
      <x:c r="B60" t="n">
        <x:f>SUM(D60:DS60)</x:f>
      </x:c>
      <x:c r="C60" t="str">
        <x:v>м²</x:v>
      </x:c>
      <x:c r="D60" s="107" t="n">
        <x:f>'Вводные'!$L$90*((IF(SUM($D55:$DS55)=0,0,IF(SUM($D58:$DS58)=0,1,'Вводные'!$B$63)))*D57+(1-(IF(SUM($D55:$DS55)=0,0,IF(SUM($D58:$DS58)=0,1,'Вводные'!$B$63))))*D59)</x:f>
      </x:c>
      <x:c r="E60" s="107" t="n">
        <x:f>'Вводные'!$L$90*((IF(SUM($D55:$DS55)=0,0,IF(SUM($D58:$DS58)=0,1,'Вводные'!$B$63)))*E57+(1-(IF(SUM($D55:$DS55)=0,0,IF(SUM($D58:$DS58)=0,1,'Вводные'!$B$63))))*E59)</x:f>
      </x:c>
      <x:c r="F60" s="107" t="n">
        <x:f>'Вводные'!$L$90*((IF(SUM($D55:$DS55)=0,0,IF(SUM($D58:$DS58)=0,1,'Вводные'!$B$63)))*F57+(1-(IF(SUM($D55:$DS55)=0,0,IF(SUM($D58:$DS58)=0,1,'Вводные'!$B$63))))*F59)</x:f>
      </x:c>
      <x:c r="G60" s="107" t="n">
        <x:f>'Вводные'!$L$90*((IF(SUM($D55:$DS55)=0,0,IF(SUM($D58:$DS58)=0,1,'Вводные'!$B$63)))*G57+(1-(IF(SUM($D55:$DS55)=0,0,IF(SUM($D58:$DS58)=0,1,'Вводные'!$B$63))))*G59)</x:f>
      </x:c>
      <x:c r="H60" s="107" t="n">
        <x:f>'Вводные'!$L$90*((IF(SUM($D55:$DS55)=0,0,IF(SUM($D58:$DS58)=0,1,'Вводные'!$B$63)))*H57+(1-(IF(SUM($D55:$DS55)=0,0,IF(SUM($D58:$DS58)=0,1,'Вводные'!$B$63))))*H59)</x:f>
      </x:c>
      <x:c r="I60" s="107" t="n">
        <x:f>'Вводные'!$L$90*((IF(SUM($D55:$DS55)=0,0,IF(SUM($D58:$DS58)=0,1,'Вводные'!$B$63)))*I57+(1-(IF(SUM($D55:$DS55)=0,0,IF(SUM($D58:$DS58)=0,1,'Вводные'!$B$63))))*I59)</x:f>
      </x:c>
      <x:c r="J60" s="107" t="n">
        <x:f>'Вводные'!$L$90*((IF(SUM($D55:$DS55)=0,0,IF(SUM($D58:$DS58)=0,1,'Вводные'!$B$63)))*J57+(1-(IF(SUM($D55:$DS55)=0,0,IF(SUM($D58:$DS58)=0,1,'Вводные'!$B$63))))*J59)</x:f>
      </x:c>
      <x:c r="K60" s="107" t="n">
        <x:f>'Вводные'!$L$90*((IF(SUM($D55:$DS55)=0,0,IF(SUM($D58:$DS58)=0,1,'Вводные'!$B$63)))*K57+(1-(IF(SUM($D55:$DS55)=0,0,IF(SUM($D58:$DS58)=0,1,'Вводные'!$B$63))))*K59)</x:f>
      </x:c>
      <x:c r="L60" s="107" t="n">
        <x:f>'Вводные'!$L$90*((IF(SUM($D55:$DS55)=0,0,IF(SUM($D58:$DS58)=0,1,'Вводные'!$B$63)))*L57+(1-(IF(SUM($D55:$DS55)=0,0,IF(SUM($D58:$DS58)=0,1,'Вводные'!$B$63))))*L59)</x:f>
      </x:c>
      <x:c r="M60" s="107" t="n">
        <x:f>'Вводные'!$L$90*((IF(SUM($D55:$DS55)=0,0,IF(SUM($D58:$DS58)=0,1,'Вводные'!$B$63)))*M57+(1-(IF(SUM($D55:$DS55)=0,0,IF(SUM($D58:$DS58)=0,1,'Вводные'!$B$63))))*M59)</x:f>
      </x:c>
      <x:c r="N60" s="107" t="n">
        <x:f>'Вводные'!$L$90*((IF(SUM($D55:$DS55)=0,0,IF(SUM($D58:$DS58)=0,1,'Вводные'!$B$63)))*N57+(1-(IF(SUM($D55:$DS55)=0,0,IF(SUM($D58:$DS58)=0,1,'Вводные'!$B$63))))*N59)</x:f>
      </x:c>
      <x:c r="O60" s="107" t="n">
        <x:f>'Вводные'!$L$90*((IF(SUM($D55:$DS55)=0,0,IF(SUM($D58:$DS58)=0,1,'Вводные'!$B$63)))*O57+(1-(IF(SUM($D55:$DS55)=0,0,IF(SUM($D58:$DS58)=0,1,'Вводные'!$B$63))))*O59)</x:f>
      </x:c>
      <x:c r="P60" s="107" t="n">
        <x:f>'Вводные'!$L$90*((IF(SUM($D55:$DS55)=0,0,IF(SUM($D58:$DS58)=0,1,'Вводные'!$B$63)))*P57+(1-(IF(SUM($D55:$DS55)=0,0,IF(SUM($D58:$DS58)=0,1,'Вводные'!$B$63))))*P59)</x:f>
      </x:c>
      <x:c r="Q60" s="107" t="n">
        <x:f>'Вводные'!$L$90*((IF(SUM($D55:$DS55)=0,0,IF(SUM($D58:$DS58)=0,1,'Вводные'!$B$63)))*Q57+(1-(IF(SUM($D55:$DS55)=0,0,IF(SUM($D58:$DS58)=0,1,'Вводные'!$B$63))))*Q59)</x:f>
      </x:c>
      <x:c r="R60" s="107" t="n">
        <x:f>'Вводные'!$L$90*((IF(SUM($D55:$DS55)=0,0,IF(SUM($D58:$DS58)=0,1,'Вводные'!$B$63)))*R57+(1-(IF(SUM($D55:$DS55)=0,0,IF(SUM($D58:$DS58)=0,1,'Вводные'!$B$63))))*R59)</x:f>
      </x:c>
      <x:c r="S60" s="107" t="n">
        <x:f>'Вводные'!$L$90*((IF(SUM($D55:$DS55)=0,0,IF(SUM($D58:$DS58)=0,1,'Вводные'!$B$63)))*S57+(1-(IF(SUM($D55:$DS55)=0,0,IF(SUM($D58:$DS58)=0,1,'Вводные'!$B$63))))*S59)</x:f>
      </x:c>
      <x:c r="T60" s="107" t="n">
        <x:f>'Вводные'!$L$90*((IF(SUM($D55:$DS55)=0,0,IF(SUM($D58:$DS58)=0,1,'Вводные'!$B$63)))*T57+(1-(IF(SUM($D55:$DS55)=0,0,IF(SUM($D58:$DS58)=0,1,'Вводные'!$B$63))))*T59)</x:f>
      </x:c>
      <x:c r="U60" s="107" t="n">
        <x:f>'Вводные'!$L$90*((IF(SUM($D55:$DS55)=0,0,IF(SUM($D58:$DS58)=0,1,'Вводные'!$B$63)))*U57+(1-(IF(SUM($D55:$DS55)=0,0,IF(SUM($D58:$DS58)=0,1,'Вводные'!$B$63))))*U59)</x:f>
      </x:c>
      <x:c r="V60" s="107" t="n">
        <x:f>'Вводные'!$L$90*((IF(SUM($D55:$DS55)=0,0,IF(SUM($D58:$DS58)=0,1,'Вводные'!$B$63)))*V57+(1-(IF(SUM($D55:$DS55)=0,0,IF(SUM($D58:$DS58)=0,1,'Вводные'!$B$63))))*V59)</x:f>
      </x:c>
      <x:c r="W60" s="107" t="n">
        <x:f>'Вводные'!$L$90*((IF(SUM($D55:$DS55)=0,0,IF(SUM($D58:$DS58)=0,1,'Вводные'!$B$63)))*W57+(1-(IF(SUM($D55:$DS55)=0,0,IF(SUM($D58:$DS58)=0,1,'Вводные'!$B$63))))*W59)</x:f>
      </x:c>
      <x:c r="X60" s="107" t="n">
        <x:f>'Вводные'!$L$90*((IF(SUM($D55:$DS55)=0,0,IF(SUM($D58:$DS58)=0,1,'Вводные'!$B$63)))*X57+(1-(IF(SUM($D55:$DS55)=0,0,IF(SUM($D58:$DS58)=0,1,'Вводные'!$B$63))))*X59)</x:f>
      </x:c>
      <x:c r="Y60" s="107" t="n">
        <x:f>'Вводные'!$L$90*((IF(SUM($D55:$DS55)=0,0,IF(SUM($D58:$DS58)=0,1,'Вводные'!$B$63)))*Y57+(1-(IF(SUM($D55:$DS55)=0,0,IF(SUM($D58:$DS58)=0,1,'Вводные'!$B$63))))*Y59)</x:f>
      </x:c>
      <x:c r="Z60" s="107" t="n">
        <x:f>'Вводные'!$L$90*((IF(SUM($D55:$DS55)=0,0,IF(SUM($D58:$DS58)=0,1,'Вводные'!$B$63)))*Z57+(1-(IF(SUM($D55:$DS55)=0,0,IF(SUM($D58:$DS58)=0,1,'Вводные'!$B$63))))*Z59)</x:f>
      </x:c>
      <x:c r="AA60" s="107" t="n">
        <x:f>'Вводные'!$L$90*((IF(SUM($D55:$DS55)=0,0,IF(SUM($D58:$DS58)=0,1,'Вводные'!$B$63)))*AA57+(1-(IF(SUM($D55:$DS55)=0,0,IF(SUM($D58:$DS58)=0,1,'Вводные'!$B$63))))*AA59)</x:f>
      </x:c>
      <x:c r="AB60" s="107" t="n">
        <x:f>'Вводные'!$L$90*((IF(SUM($D55:$DS55)=0,0,IF(SUM($D58:$DS58)=0,1,'Вводные'!$B$63)))*AB57+(1-(IF(SUM($D55:$DS55)=0,0,IF(SUM($D58:$DS58)=0,1,'Вводные'!$B$63))))*AB59)</x:f>
      </x:c>
      <x:c r="AC60" s="107" t="n">
        <x:f>'Вводные'!$L$90*((IF(SUM($D55:$DS55)=0,0,IF(SUM($D58:$DS58)=0,1,'Вводные'!$B$63)))*AC57+(1-(IF(SUM($D55:$DS55)=0,0,IF(SUM($D58:$DS58)=0,1,'Вводные'!$B$63))))*AC59)</x:f>
      </x:c>
      <x:c r="AD60" s="107" t="n">
        <x:f>'Вводные'!$L$90*((IF(SUM($D55:$DS55)=0,0,IF(SUM($D58:$DS58)=0,1,'Вводные'!$B$63)))*AD57+(1-(IF(SUM($D55:$DS55)=0,0,IF(SUM($D58:$DS58)=0,1,'Вводные'!$B$63))))*AD59)</x:f>
      </x:c>
      <x:c r="AE60" s="107" t="n">
        <x:f>'Вводные'!$L$90*((IF(SUM($D55:$DS55)=0,0,IF(SUM($D58:$DS58)=0,1,'Вводные'!$B$63)))*AE57+(1-(IF(SUM($D55:$DS55)=0,0,IF(SUM($D58:$DS58)=0,1,'Вводные'!$B$63))))*AE59)</x:f>
      </x:c>
      <x:c r="AF60" s="107" t="n">
        <x:f>'Вводные'!$L$90*((IF(SUM($D55:$DS55)=0,0,IF(SUM($D58:$DS58)=0,1,'Вводные'!$B$63)))*AF57+(1-(IF(SUM($D55:$DS55)=0,0,IF(SUM($D58:$DS58)=0,1,'Вводные'!$B$63))))*AF59)</x:f>
      </x:c>
      <x:c r="AG60" s="107" t="n">
        <x:f>'Вводные'!$L$90*((IF(SUM($D55:$DS55)=0,0,IF(SUM($D58:$DS58)=0,1,'Вводные'!$B$63)))*AG57+(1-(IF(SUM($D55:$DS55)=0,0,IF(SUM($D58:$DS58)=0,1,'Вводные'!$B$63))))*AG59)</x:f>
      </x:c>
      <x:c r="AH60" s="107" t="n">
        <x:f>'Вводные'!$L$90*((IF(SUM($D55:$DS55)=0,0,IF(SUM($D58:$DS58)=0,1,'Вводные'!$B$63)))*AH57+(1-(IF(SUM($D55:$DS55)=0,0,IF(SUM($D58:$DS58)=0,1,'Вводные'!$B$63))))*AH59)</x:f>
      </x:c>
      <x:c r="AI60" s="107" t="n">
        <x:f>'Вводные'!$L$90*((IF(SUM($D55:$DS55)=0,0,IF(SUM($D58:$DS58)=0,1,'Вводные'!$B$63)))*AI57+(1-(IF(SUM($D55:$DS55)=0,0,IF(SUM($D58:$DS58)=0,1,'Вводные'!$B$63))))*AI59)</x:f>
      </x:c>
      <x:c r="AJ60" s="107" t="n">
        <x:f>'Вводные'!$L$90*((IF(SUM($D55:$DS55)=0,0,IF(SUM($D58:$DS58)=0,1,'Вводные'!$B$63)))*AJ57+(1-(IF(SUM($D55:$DS55)=0,0,IF(SUM($D58:$DS58)=0,1,'Вводные'!$B$63))))*AJ59)</x:f>
      </x:c>
      <x:c r="AK60" s="107" t="n">
        <x:f>'Вводные'!$L$90*((IF(SUM($D55:$DS55)=0,0,IF(SUM($D58:$DS58)=0,1,'Вводные'!$B$63)))*AK57+(1-(IF(SUM($D55:$DS55)=0,0,IF(SUM($D58:$DS58)=0,1,'Вводные'!$B$63))))*AK59)</x:f>
      </x:c>
      <x:c r="AL60" s="107" t="n">
        <x:f>'Вводные'!$L$90*((IF(SUM($D55:$DS55)=0,0,IF(SUM($D58:$DS58)=0,1,'Вводные'!$B$63)))*AL57+(1-(IF(SUM($D55:$DS55)=0,0,IF(SUM($D58:$DS58)=0,1,'Вводные'!$B$63))))*AL59)</x:f>
      </x:c>
      <x:c r="AM60" s="107" t="n">
        <x:f>'Вводные'!$L$90*((IF(SUM($D55:$DS55)=0,0,IF(SUM($D58:$DS58)=0,1,'Вводные'!$B$63)))*AM57+(1-(IF(SUM($D55:$DS55)=0,0,IF(SUM($D58:$DS58)=0,1,'Вводные'!$B$63))))*AM59)</x:f>
      </x:c>
      <x:c r="AN60" s="107" t="n">
        <x:f>'Вводные'!$L$90*((IF(SUM($D55:$DS55)=0,0,IF(SUM($D58:$DS58)=0,1,'Вводные'!$B$63)))*AN57+(1-(IF(SUM($D55:$DS55)=0,0,IF(SUM($D58:$DS58)=0,1,'Вводные'!$B$63))))*AN59)</x:f>
      </x:c>
      <x:c r="AO60" s="107" t="n">
        <x:f>'Вводные'!$L$90*((IF(SUM($D55:$DS55)=0,0,IF(SUM($D58:$DS58)=0,1,'Вводные'!$B$63)))*AO57+(1-(IF(SUM($D55:$DS55)=0,0,IF(SUM($D58:$DS58)=0,1,'Вводные'!$B$63))))*AO59)</x:f>
      </x:c>
      <x:c r="AP60" s="107" t="n">
        <x:f>'Вводные'!$L$90*((IF(SUM($D55:$DS55)=0,0,IF(SUM($D58:$DS58)=0,1,'Вводные'!$B$63)))*AP57+(1-(IF(SUM($D55:$DS55)=0,0,IF(SUM($D58:$DS58)=0,1,'Вводные'!$B$63))))*AP59)</x:f>
      </x:c>
      <x:c r="AQ60" s="107" t="n">
        <x:f>'Вводные'!$L$90*((IF(SUM($D55:$DS55)=0,0,IF(SUM($D58:$DS58)=0,1,'Вводные'!$B$63)))*AQ57+(1-(IF(SUM($D55:$DS55)=0,0,IF(SUM($D58:$DS58)=0,1,'Вводные'!$B$63))))*AQ59)</x:f>
      </x:c>
      <x:c r="AR60" s="107" t="n">
        <x:f>'Вводные'!$L$90*((IF(SUM($D55:$DS55)=0,0,IF(SUM($D58:$DS58)=0,1,'Вводные'!$B$63)))*AR57+(1-(IF(SUM($D55:$DS55)=0,0,IF(SUM($D58:$DS58)=0,1,'Вводные'!$B$63))))*AR59)</x:f>
      </x:c>
      <x:c r="AS60" s="107" t="n">
        <x:f>'Вводные'!$L$90*((IF(SUM($D55:$DS55)=0,0,IF(SUM($D58:$DS58)=0,1,'Вводные'!$B$63)))*AS57+(1-(IF(SUM($D55:$DS55)=0,0,IF(SUM($D58:$DS58)=0,1,'Вводные'!$B$63))))*AS59)</x:f>
      </x:c>
      <x:c r="AT60" s="107" t="n">
        <x:f>'Вводные'!$L$90*((IF(SUM($D55:$DS55)=0,0,IF(SUM($D58:$DS58)=0,1,'Вводные'!$B$63)))*AT57+(1-(IF(SUM($D55:$DS55)=0,0,IF(SUM($D58:$DS58)=0,1,'Вводные'!$B$63))))*AT59)</x:f>
      </x:c>
      <x:c r="AU60" s="107" t="n">
        <x:f>'Вводные'!$L$90*((IF(SUM($D55:$DS55)=0,0,IF(SUM($D58:$DS58)=0,1,'Вводные'!$B$63)))*AU57+(1-(IF(SUM($D55:$DS55)=0,0,IF(SUM($D58:$DS58)=0,1,'Вводные'!$B$63))))*AU59)</x:f>
      </x:c>
      <x:c r="AV60" s="107" t="n">
        <x:f>'Вводные'!$L$90*((IF(SUM($D55:$DS55)=0,0,IF(SUM($D58:$DS58)=0,1,'Вводные'!$B$63)))*AV57+(1-(IF(SUM($D55:$DS55)=0,0,IF(SUM($D58:$DS58)=0,1,'Вводные'!$B$63))))*AV59)</x:f>
      </x:c>
      <x:c r="AW60" s="107" t="n">
        <x:f>'Вводные'!$L$90*((IF(SUM($D55:$DS55)=0,0,IF(SUM($D58:$DS58)=0,1,'Вводные'!$B$63)))*AW57+(1-(IF(SUM($D55:$DS55)=0,0,IF(SUM($D58:$DS58)=0,1,'Вводные'!$B$63))))*AW59)</x:f>
      </x:c>
      <x:c r="AX60" s="107" t="n">
        <x:f>'Вводные'!$L$90*((IF(SUM($D55:$DS55)=0,0,IF(SUM($D58:$DS58)=0,1,'Вводные'!$B$63)))*AX57+(1-(IF(SUM($D55:$DS55)=0,0,IF(SUM($D58:$DS58)=0,1,'Вводные'!$B$63))))*AX59)</x:f>
      </x:c>
      <x:c r="AY60" s="107" t="n">
        <x:f>'Вводные'!$L$90*((IF(SUM($D55:$DS55)=0,0,IF(SUM($D58:$DS58)=0,1,'Вводные'!$B$63)))*AY57+(1-(IF(SUM($D55:$DS55)=0,0,IF(SUM($D58:$DS58)=0,1,'Вводные'!$B$63))))*AY59)</x:f>
      </x:c>
      <x:c r="AZ60" s="107" t="n">
        <x:f>'Вводные'!$L$90*((IF(SUM($D55:$DS55)=0,0,IF(SUM($D58:$DS58)=0,1,'Вводные'!$B$63)))*AZ57+(1-(IF(SUM($D55:$DS55)=0,0,IF(SUM($D58:$DS58)=0,1,'Вводные'!$B$63))))*AZ59)</x:f>
      </x:c>
      <x:c r="BA60" s="107" t="n">
        <x:f>'Вводные'!$L$90*((IF(SUM($D55:$DS55)=0,0,IF(SUM($D58:$DS58)=0,1,'Вводные'!$B$63)))*BA57+(1-(IF(SUM($D55:$DS55)=0,0,IF(SUM($D58:$DS58)=0,1,'Вводные'!$B$63))))*BA59)</x:f>
      </x:c>
      <x:c r="BB60" s="107" t="n">
        <x:f>'Вводные'!$L$90*((IF(SUM($D55:$DS55)=0,0,IF(SUM($D58:$DS58)=0,1,'Вводные'!$B$63)))*BB57+(1-(IF(SUM($D55:$DS55)=0,0,IF(SUM($D58:$DS58)=0,1,'Вводные'!$B$63))))*BB59)</x:f>
      </x:c>
      <x:c r="BC60" s="107" t="n">
        <x:f>'Вводные'!$L$90*((IF(SUM($D55:$DS55)=0,0,IF(SUM($D58:$DS58)=0,1,'Вводные'!$B$63)))*BC57+(1-(IF(SUM($D55:$DS55)=0,0,IF(SUM($D58:$DS58)=0,1,'Вводные'!$B$63))))*BC59)</x:f>
      </x:c>
      <x:c r="BD60" s="107" t="n">
        <x:f>'Вводные'!$L$90*((IF(SUM($D55:$DS55)=0,0,IF(SUM($D58:$DS58)=0,1,'Вводные'!$B$63)))*BD57+(1-(IF(SUM($D55:$DS55)=0,0,IF(SUM($D58:$DS58)=0,1,'Вводные'!$B$63))))*BD59)</x:f>
      </x:c>
      <x:c r="BE60" s="107" t="n">
        <x:f>'Вводные'!$L$90*((IF(SUM($D55:$DS55)=0,0,IF(SUM($D58:$DS58)=0,1,'Вводные'!$B$63)))*BE57+(1-(IF(SUM($D55:$DS55)=0,0,IF(SUM($D58:$DS58)=0,1,'Вводные'!$B$63))))*BE59)</x:f>
      </x:c>
      <x:c r="BF60" s="107" t="n">
        <x:f>'Вводные'!$L$90*((IF(SUM($D55:$DS55)=0,0,IF(SUM($D58:$DS58)=0,1,'Вводные'!$B$63)))*BF57+(1-(IF(SUM($D55:$DS55)=0,0,IF(SUM($D58:$DS58)=0,1,'Вводные'!$B$63))))*BF59)</x:f>
      </x:c>
      <x:c r="BG60" s="107" t="n">
        <x:f>'Вводные'!$L$90*((IF(SUM($D55:$DS55)=0,0,IF(SUM($D58:$DS58)=0,1,'Вводные'!$B$63)))*BG57+(1-(IF(SUM($D55:$DS55)=0,0,IF(SUM($D58:$DS58)=0,1,'Вводные'!$B$63))))*BG59)</x:f>
      </x:c>
      <x:c r="BH60" s="107" t="n">
        <x:f>'Вводные'!$L$90*((IF(SUM($D55:$DS55)=0,0,IF(SUM($D58:$DS58)=0,1,'Вводные'!$B$63)))*BH57+(1-(IF(SUM($D55:$DS55)=0,0,IF(SUM($D58:$DS58)=0,1,'Вводные'!$B$63))))*BH59)</x:f>
      </x:c>
      <x:c r="BI60" s="107" t="n">
        <x:f>'Вводные'!$L$90*((IF(SUM($D55:$DS55)=0,0,IF(SUM($D58:$DS58)=0,1,'Вводные'!$B$63)))*BI57+(1-(IF(SUM($D55:$DS55)=0,0,IF(SUM($D58:$DS58)=0,1,'Вводные'!$B$63))))*BI59)</x:f>
      </x:c>
      <x:c r="BJ60" s="107" t="n">
        <x:f>'Вводные'!$L$90*((IF(SUM($D55:$DS55)=0,0,IF(SUM($D58:$DS58)=0,1,'Вводные'!$B$63)))*BJ57+(1-(IF(SUM($D55:$DS55)=0,0,IF(SUM($D58:$DS58)=0,1,'Вводные'!$B$63))))*BJ59)</x:f>
      </x:c>
      <x:c r="BK60" s="107" t="n">
        <x:f>'Вводные'!$L$90*((IF(SUM($D55:$DS55)=0,0,IF(SUM($D58:$DS58)=0,1,'Вводные'!$B$63)))*BK57+(1-(IF(SUM($D55:$DS55)=0,0,IF(SUM($D58:$DS58)=0,1,'Вводные'!$B$63))))*BK59)</x:f>
      </x:c>
      <x:c r="BL60" s="107" t="n">
        <x:f>'Вводные'!$L$90*((IF(SUM($D55:$DS55)=0,0,IF(SUM($D58:$DS58)=0,1,'Вводные'!$B$63)))*BL57+(1-(IF(SUM($D55:$DS55)=0,0,IF(SUM($D58:$DS58)=0,1,'Вводные'!$B$63))))*BL59)</x:f>
      </x:c>
      <x:c r="BM60" s="107" t="n">
        <x:f>'Вводные'!$L$90*((IF(SUM($D55:$DS55)=0,0,IF(SUM($D58:$DS58)=0,1,'Вводные'!$B$63)))*BM57+(1-(IF(SUM($D55:$DS55)=0,0,IF(SUM($D58:$DS58)=0,1,'Вводные'!$B$63))))*BM59)</x:f>
      </x:c>
      <x:c r="BN60" s="107" t="n">
        <x:f>'Вводные'!$L$90*((IF(SUM($D55:$DS55)=0,0,IF(SUM($D58:$DS58)=0,1,'Вводные'!$B$63)))*BN57+(1-(IF(SUM($D55:$DS55)=0,0,IF(SUM($D58:$DS58)=0,1,'Вводные'!$B$63))))*BN59)</x:f>
      </x:c>
      <x:c r="BO60" s="107" t="n">
        <x:f>'Вводные'!$L$90*((IF(SUM($D55:$DS55)=0,0,IF(SUM($D58:$DS58)=0,1,'Вводные'!$B$63)))*BO57+(1-(IF(SUM($D55:$DS55)=0,0,IF(SUM($D58:$DS58)=0,1,'Вводные'!$B$63))))*BO59)</x:f>
      </x:c>
      <x:c r="BP60" s="107" t="n">
        <x:f>'Вводные'!$L$90*((IF(SUM($D55:$DS55)=0,0,IF(SUM($D58:$DS58)=0,1,'Вводные'!$B$63)))*BP57+(1-(IF(SUM($D55:$DS55)=0,0,IF(SUM($D58:$DS58)=0,1,'Вводные'!$B$63))))*BP59)</x:f>
      </x:c>
      <x:c r="BQ60" s="107" t="n">
        <x:f>'Вводные'!$L$90*((IF(SUM($D55:$DS55)=0,0,IF(SUM($D58:$DS58)=0,1,'Вводные'!$B$63)))*BQ57+(1-(IF(SUM($D55:$DS55)=0,0,IF(SUM($D58:$DS58)=0,1,'Вводные'!$B$63))))*BQ59)</x:f>
      </x:c>
      <x:c r="BR60" s="107" t="n">
        <x:f>'Вводные'!$L$90*((IF(SUM($D55:$DS55)=0,0,IF(SUM($D58:$DS58)=0,1,'Вводные'!$B$63)))*BR57+(1-(IF(SUM($D55:$DS55)=0,0,IF(SUM($D58:$DS58)=0,1,'Вводные'!$B$63))))*BR59)</x:f>
      </x:c>
      <x:c r="BS60" s="107" t="n">
        <x:f>'Вводные'!$L$90*((IF(SUM($D55:$DS55)=0,0,IF(SUM($D58:$DS58)=0,1,'Вводные'!$B$63)))*BS57+(1-(IF(SUM($D55:$DS55)=0,0,IF(SUM($D58:$DS58)=0,1,'Вводные'!$B$63))))*BS59)</x:f>
      </x:c>
      <x:c r="BT60" s="107" t="n">
        <x:f>'Вводные'!$L$90*((IF(SUM($D55:$DS55)=0,0,IF(SUM($D58:$DS58)=0,1,'Вводные'!$B$63)))*BT57+(1-(IF(SUM($D55:$DS55)=0,0,IF(SUM($D58:$DS58)=0,1,'Вводные'!$B$63))))*BT59)</x:f>
      </x:c>
      <x:c r="BU60" s="107" t="n">
        <x:f>'Вводные'!$L$90*((IF(SUM($D55:$DS55)=0,0,IF(SUM($D58:$DS58)=0,1,'Вводные'!$B$63)))*BU57+(1-(IF(SUM($D55:$DS55)=0,0,IF(SUM($D58:$DS58)=0,1,'Вводные'!$B$63))))*BU59)</x:f>
      </x:c>
      <x:c r="BV60" s="107" t="n">
        <x:f>'Вводные'!$L$90*((IF(SUM($D55:$DS55)=0,0,IF(SUM($D58:$DS58)=0,1,'Вводные'!$B$63)))*BV57+(1-(IF(SUM($D55:$DS55)=0,0,IF(SUM($D58:$DS58)=0,1,'Вводные'!$B$63))))*BV59)</x:f>
      </x:c>
      <x:c r="BW60" s="107" t="n">
        <x:f>'Вводные'!$L$90*((IF(SUM($D55:$DS55)=0,0,IF(SUM($D58:$DS58)=0,1,'Вводные'!$B$63)))*BW57+(1-(IF(SUM($D55:$DS55)=0,0,IF(SUM($D58:$DS58)=0,1,'Вводные'!$B$63))))*BW59)</x:f>
      </x:c>
      <x:c r="BX60" s="107" t="n">
        <x:f>'Вводные'!$L$90*((IF(SUM($D55:$DS55)=0,0,IF(SUM($D58:$DS58)=0,1,'Вводные'!$B$63)))*BX57+(1-(IF(SUM($D55:$DS55)=0,0,IF(SUM($D58:$DS58)=0,1,'Вводные'!$B$63))))*BX59)</x:f>
      </x:c>
      <x:c r="BY60" s="107" t="n">
        <x:f>'Вводные'!$L$90*((IF(SUM($D55:$DS55)=0,0,IF(SUM($D58:$DS58)=0,1,'Вводные'!$B$63)))*BY57+(1-(IF(SUM($D55:$DS55)=0,0,IF(SUM($D58:$DS58)=0,1,'Вводные'!$B$63))))*BY59)</x:f>
      </x:c>
      <x:c r="BZ60" s="107" t="n">
        <x:f>'Вводные'!$L$90*((IF(SUM($D55:$DS55)=0,0,IF(SUM($D58:$DS58)=0,1,'Вводные'!$B$63)))*BZ57+(1-(IF(SUM($D55:$DS55)=0,0,IF(SUM($D58:$DS58)=0,1,'Вводные'!$B$63))))*BZ59)</x:f>
      </x:c>
      <x:c r="CA60" s="107" t="n">
        <x:f>'Вводные'!$L$90*((IF(SUM($D55:$DS55)=0,0,IF(SUM($D58:$DS58)=0,1,'Вводные'!$B$63)))*CA57+(1-(IF(SUM($D55:$DS55)=0,0,IF(SUM($D58:$DS58)=0,1,'Вводные'!$B$63))))*CA59)</x:f>
      </x:c>
      <x:c r="CB60" s="107" t="n">
        <x:f>'Вводные'!$L$90*((IF(SUM($D55:$DS55)=0,0,IF(SUM($D58:$DS58)=0,1,'Вводные'!$B$63)))*CB57+(1-(IF(SUM($D55:$DS55)=0,0,IF(SUM($D58:$DS58)=0,1,'Вводные'!$B$63))))*CB59)</x:f>
      </x:c>
      <x:c r="CC60" s="107" t="n">
        <x:f>'Вводные'!$L$90*((IF(SUM($D55:$DS55)=0,0,IF(SUM($D58:$DS58)=0,1,'Вводные'!$B$63)))*CC57+(1-(IF(SUM($D55:$DS55)=0,0,IF(SUM($D58:$DS58)=0,1,'Вводные'!$B$63))))*CC59)</x:f>
      </x:c>
      <x:c r="CD60" s="107" t="n">
        <x:f>'Вводные'!$L$90*((IF(SUM($D55:$DS55)=0,0,IF(SUM($D58:$DS58)=0,1,'Вводные'!$B$63)))*CD57+(1-(IF(SUM($D55:$DS55)=0,0,IF(SUM($D58:$DS58)=0,1,'Вводные'!$B$63))))*CD59)</x:f>
      </x:c>
      <x:c r="CE60" s="107" t="n">
        <x:f>'Вводные'!$L$90*((IF(SUM($D55:$DS55)=0,0,IF(SUM($D58:$DS58)=0,1,'Вводные'!$B$63)))*CE57+(1-(IF(SUM($D55:$DS55)=0,0,IF(SUM($D58:$DS58)=0,1,'Вводные'!$B$63))))*CE59)</x:f>
      </x:c>
      <x:c r="CF60" s="107" t="n">
        <x:f>'Вводные'!$L$90*((IF(SUM($D55:$DS55)=0,0,IF(SUM($D58:$DS58)=0,1,'Вводные'!$B$63)))*CF57+(1-(IF(SUM($D55:$DS55)=0,0,IF(SUM($D58:$DS58)=0,1,'Вводные'!$B$63))))*CF59)</x:f>
      </x:c>
      <x:c r="CG60" s="107" t="n">
        <x:f>'Вводные'!$L$90*((IF(SUM($D55:$DS55)=0,0,IF(SUM($D58:$DS58)=0,1,'Вводные'!$B$63)))*CG57+(1-(IF(SUM($D55:$DS55)=0,0,IF(SUM($D58:$DS58)=0,1,'Вводные'!$B$63))))*CG59)</x:f>
      </x:c>
      <x:c r="CH60" s="107" t="n">
        <x:f>'Вводные'!$L$90*((IF(SUM($D55:$DS55)=0,0,IF(SUM($D58:$DS58)=0,1,'Вводные'!$B$63)))*CH57+(1-(IF(SUM($D55:$DS55)=0,0,IF(SUM($D58:$DS58)=0,1,'Вводные'!$B$63))))*CH59)</x:f>
      </x:c>
      <x:c r="CI60" s="107" t="n">
        <x:f>'Вводные'!$L$90*((IF(SUM($D55:$DS55)=0,0,IF(SUM($D58:$DS58)=0,1,'Вводные'!$B$63)))*CI57+(1-(IF(SUM($D55:$DS55)=0,0,IF(SUM($D58:$DS58)=0,1,'Вводные'!$B$63))))*CI59)</x:f>
      </x:c>
      <x:c r="CJ60" s="107" t="n">
        <x:f>'Вводные'!$L$90*((IF(SUM($D55:$DS55)=0,0,IF(SUM($D58:$DS58)=0,1,'Вводные'!$B$63)))*CJ57+(1-(IF(SUM($D55:$DS55)=0,0,IF(SUM($D58:$DS58)=0,1,'Вводные'!$B$63))))*CJ59)</x:f>
      </x:c>
      <x:c r="CK60" s="107" t="n">
        <x:f>'Вводные'!$L$90*((IF(SUM($D55:$DS55)=0,0,IF(SUM($D58:$DS58)=0,1,'Вводные'!$B$63)))*CK57+(1-(IF(SUM($D55:$DS55)=0,0,IF(SUM($D58:$DS58)=0,1,'Вводные'!$B$63))))*CK59)</x:f>
      </x:c>
      <x:c r="CL60" s="107" t="n">
        <x:f>'Вводные'!$L$90*((IF(SUM($D55:$DS55)=0,0,IF(SUM($D58:$DS58)=0,1,'Вводные'!$B$63)))*CL57+(1-(IF(SUM($D55:$DS55)=0,0,IF(SUM($D58:$DS58)=0,1,'Вводные'!$B$63))))*CL59)</x:f>
      </x:c>
      <x:c r="CM60" s="107" t="n">
        <x:f>'Вводные'!$L$90*((IF(SUM($D55:$DS55)=0,0,IF(SUM($D58:$DS58)=0,1,'Вводные'!$B$63)))*CM57+(1-(IF(SUM($D55:$DS55)=0,0,IF(SUM($D58:$DS58)=0,1,'Вводные'!$B$63))))*CM59)</x:f>
      </x:c>
      <x:c r="CN60" s="107" t="n">
        <x:f>'Вводные'!$L$90*((IF(SUM($D55:$DS55)=0,0,IF(SUM($D58:$DS58)=0,1,'Вводные'!$B$63)))*CN57+(1-(IF(SUM($D55:$DS55)=0,0,IF(SUM($D58:$DS58)=0,1,'Вводные'!$B$63))))*CN59)</x:f>
      </x:c>
      <x:c r="CO60" s="107" t="n">
        <x:f>'Вводные'!$L$90*((IF(SUM($D55:$DS55)=0,0,IF(SUM($D58:$DS58)=0,1,'Вводные'!$B$63)))*CO57+(1-(IF(SUM($D55:$DS55)=0,0,IF(SUM($D58:$DS58)=0,1,'Вводные'!$B$63))))*CO59)</x:f>
      </x:c>
      <x:c r="CP60" s="107" t="n">
        <x:f>'Вводные'!$L$90*((IF(SUM($D55:$DS55)=0,0,IF(SUM($D58:$DS58)=0,1,'Вводные'!$B$63)))*CP57+(1-(IF(SUM($D55:$DS55)=0,0,IF(SUM($D58:$DS58)=0,1,'Вводные'!$B$63))))*CP59)</x:f>
      </x:c>
      <x:c r="CQ60" s="107" t="n">
        <x:f>'Вводные'!$L$90*((IF(SUM($D55:$DS55)=0,0,IF(SUM($D58:$DS58)=0,1,'Вводные'!$B$63)))*CQ57+(1-(IF(SUM($D55:$DS55)=0,0,IF(SUM($D58:$DS58)=0,1,'Вводные'!$B$63))))*CQ59)</x:f>
      </x:c>
      <x:c r="CR60" s="107" t="n">
        <x:f>'Вводные'!$L$90*((IF(SUM($D55:$DS55)=0,0,IF(SUM($D58:$DS58)=0,1,'Вводные'!$B$63)))*CR57+(1-(IF(SUM($D55:$DS55)=0,0,IF(SUM($D58:$DS58)=0,1,'Вводные'!$B$63))))*CR59)</x:f>
      </x:c>
      <x:c r="CS60" s="107" t="n">
        <x:f>'Вводные'!$L$90*((IF(SUM($D55:$DS55)=0,0,IF(SUM($D58:$DS58)=0,1,'Вводные'!$B$63)))*CS57+(1-(IF(SUM($D55:$DS55)=0,0,IF(SUM($D58:$DS58)=0,1,'Вводные'!$B$63))))*CS59)</x:f>
      </x:c>
      <x:c r="CT60" s="107" t="n">
        <x:f>'Вводные'!$L$90*((IF(SUM($D55:$DS55)=0,0,IF(SUM($D58:$DS58)=0,1,'Вводные'!$B$63)))*CT57+(1-(IF(SUM($D55:$DS55)=0,0,IF(SUM($D58:$DS58)=0,1,'Вводные'!$B$63))))*CT59)</x:f>
      </x:c>
      <x:c r="CU60" s="107" t="n">
        <x:f>'Вводные'!$L$90*((IF(SUM($D55:$DS55)=0,0,IF(SUM($D58:$DS58)=0,1,'Вводные'!$B$63)))*CU57+(1-(IF(SUM($D55:$DS55)=0,0,IF(SUM($D58:$DS58)=0,1,'Вводные'!$B$63))))*CU59)</x:f>
      </x:c>
      <x:c r="CV60" s="107" t="n">
        <x:f>'Вводные'!$L$90*((IF(SUM($D55:$DS55)=0,0,IF(SUM($D58:$DS58)=0,1,'Вводные'!$B$63)))*CV57+(1-(IF(SUM($D55:$DS55)=0,0,IF(SUM($D58:$DS58)=0,1,'Вводные'!$B$63))))*CV59)</x:f>
      </x:c>
      <x:c r="CW60" s="107" t="n">
        <x:f>'Вводные'!$L$90*((IF(SUM($D55:$DS55)=0,0,IF(SUM($D58:$DS58)=0,1,'Вводные'!$B$63)))*CW57+(1-(IF(SUM($D55:$DS55)=0,0,IF(SUM($D58:$DS58)=0,1,'Вводные'!$B$63))))*CW59)</x:f>
      </x:c>
      <x:c r="CX60" s="107" t="n">
        <x:f>'Вводные'!$L$90*((IF(SUM($D55:$DS55)=0,0,IF(SUM($D58:$DS58)=0,1,'Вводные'!$B$63)))*CX57+(1-(IF(SUM($D55:$DS55)=0,0,IF(SUM($D58:$DS58)=0,1,'Вводные'!$B$63))))*CX59)</x:f>
      </x:c>
      <x:c r="CY60" s="107" t="n">
        <x:f>'Вводные'!$L$90*((IF(SUM($D55:$DS55)=0,0,IF(SUM($D58:$DS58)=0,1,'Вводные'!$B$63)))*CY57+(1-(IF(SUM($D55:$DS55)=0,0,IF(SUM($D58:$DS58)=0,1,'Вводные'!$B$63))))*CY59)</x:f>
      </x:c>
      <x:c r="CZ60" s="107" t="n">
        <x:f>'Вводные'!$L$90*((IF(SUM($D55:$DS55)=0,0,IF(SUM($D58:$DS58)=0,1,'Вводные'!$B$63)))*CZ57+(1-(IF(SUM($D55:$DS55)=0,0,IF(SUM($D58:$DS58)=0,1,'Вводные'!$B$63))))*CZ59)</x:f>
      </x:c>
      <x:c r="DA60" s="107" t="n">
        <x:f>'Вводные'!$L$90*((IF(SUM($D55:$DS55)=0,0,IF(SUM($D58:$DS58)=0,1,'Вводные'!$B$63)))*DA57+(1-(IF(SUM($D55:$DS55)=0,0,IF(SUM($D58:$DS58)=0,1,'Вводные'!$B$63))))*DA59)</x:f>
      </x:c>
      <x:c r="DB60" s="107" t="n">
        <x:f>'Вводные'!$L$90*((IF(SUM($D55:$DS55)=0,0,IF(SUM($D58:$DS58)=0,1,'Вводные'!$B$63)))*DB57+(1-(IF(SUM($D55:$DS55)=0,0,IF(SUM($D58:$DS58)=0,1,'Вводные'!$B$63))))*DB59)</x:f>
      </x:c>
      <x:c r="DC60" s="107" t="n">
        <x:f>'Вводные'!$L$90*((IF(SUM($D55:$DS55)=0,0,IF(SUM($D58:$DS58)=0,1,'Вводные'!$B$63)))*DC57+(1-(IF(SUM($D55:$DS55)=0,0,IF(SUM($D58:$DS58)=0,1,'Вводные'!$B$63))))*DC59)</x:f>
      </x:c>
      <x:c r="DD60" s="107" t="n">
        <x:f>'Вводные'!$L$90*((IF(SUM($D55:$DS55)=0,0,IF(SUM($D58:$DS58)=0,1,'Вводные'!$B$63)))*DD57+(1-(IF(SUM($D55:$DS55)=0,0,IF(SUM($D58:$DS58)=0,1,'Вводные'!$B$63))))*DD59)</x:f>
      </x:c>
      <x:c r="DE60" s="107" t="n">
        <x:f>'Вводные'!$L$90*((IF(SUM($D55:$DS55)=0,0,IF(SUM($D58:$DS58)=0,1,'Вводные'!$B$63)))*DE57+(1-(IF(SUM($D55:$DS55)=0,0,IF(SUM($D58:$DS58)=0,1,'Вводные'!$B$63))))*DE59)</x:f>
      </x:c>
      <x:c r="DF60" s="107" t="n">
        <x:f>'Вводные'!$L$90*((IF(SUM($D55:$DS55)=0,0,IF(SUM($D58:$DS58)=0,1,'Вводные'!$B$63)))*DF57+(1-(IF(SUM($D55:$DS55)=0,0,IF(SUM($D58:$DS58)=0,1,'Вводные'!$B$63))))*DF59)</x:f>
      </x:c>
      <x:c r="DG60" s="107" t="n">
        <x:f>'Вводные'!$L$90*((IF(SUM($D55:$DS55)=0,0,IF(SUM($D58:$DS58)=0,1,'Вводные'!$B$63)))*DG57+(1-(IF(SUM($D55:$DS55)=0,0,IF(SUM($D58:$DS58)=0,1,'Вводные'!$B$63))))*DG59)</x:f>
      </x:c>
      <x:c r="DH60" s="107" t="n">
        <x:f>'Вводные'!$L$90*((IF(SUM($D55:$DS55)=0,0,IF(SUM($D58:$DS58)=0,1,'Вводные'!$B$63)))*DH57+(1-(IF(SUM($D55:$DS55)=0,0,IF(SUM($D58:$DS58)=0,1,'Вводные'!$B$63))))*DH59)</x:f>
      </x:c>
      <x:c r="DI60" s="107" t="n">
        <x:f>'Вводные'!$L$90*((IF(SUM($D55:$DS55)=0,0,IF(SUM($D58:$DS58)=0,1,'Вводные'!$B$63)))*DI57+(1-(IF(SUM($D55:$DS55)=0,0,IF(SUM($D58:$DS58)=0,1,'Вводные'!$B$63))))*DI59)</x:f>
      </x:c>
      <x:c r="DJ60" s="107" t="n">
        <x:f>'Вводные'!$L$90*((IF(SUM($D55:$DS55)=0,0,IF(SUM($D58:$DS58)=0,1,'Вводные'!$B$63)))*DJ57+(1-(IF(SUM($D55:$DS55)=0,0,IF(SUM($D58:$DS58)=0,1,'Вводные'!$B$63))))*DJ59)</x:f>
      </x:c>
      <x:c r="DK60" s="107" t="n">
        <x:f>'Вводные'!$L$90*((IF(SUM($D55:$DS55)=0,0,IF(SUM($D58:$DS58)=0,1,'Вводные'!$B$63)))*DK57+(1-(IF(SUM($D55:$DS55)=0,0,IF(SUM($D58:$DS58)=0,1,'Вводные'!$B$63))))*DK59)</x:f>
      </x:c>
      <x:c r="DL60" s="107" t="n">
        <x:f>'Вводные'!$L$90*((IF(SUM($D55:$DS55)=0,0,IF(SUM($D58:$DS58)=0,1,'Вводные'!$B$63)))*DL57+(1-(IF(SUM($D55:$DS55)=0,0,IF(SUM($D58:$DS58)=0,1,'Вводные'!$B$63))))*DL59)</x:f>
      </x:c>
      <x:c r="DM60" s="107" t="n">
        <x:f>'Вводные'!$L$90*((IF(SUM($D55:$DS55)=0,0,IF(SUM($D58:$DS58)=0,1,'Вводные'!$B$63)))*DM57+(1-(IF(SUM($D55:$DS55)=0,0,IF(SUM($D58:$DS58)=0,1,'Вводные'!$B$63))))*DM59)</x:f>
      </x:c>
      <x:c r="DN60" s="107" t="n">
        <x:f>'Вводные'!$L$90*((IF(SUM($D55:$DS55)=0,0,IF(SUM($D58:$DS58)=0,1,'Вводные'!$B$63)))*DN57+(1-(IF(SUM($D55:$DS55)=0,0,IF(SUM($D58:$DS58)=0,1,'Вводные'!$B$63))))*DN59)</x:f>
      </x:c>
      <x:c r="DO60" s="107" t="n">
        <x:f>'Вводные'!$L$90*((IF(SUM($D55:$DS55)=0,0,IF(SUM($D58:$DS58)=0,1,'Вводные'!$B$63)))*DO57+(1-(IF(SUM($D55:$DS55)=0,0,IF(SUM($D58:$DS58)=0,1,'Вводные'!$B$63))))*DO59)</x:f>
      </x:c>
      <x:c r="DP60" s="107" t="n">
        <x:f>'Вводные'!$L$90*((IF(SUM($D55:$DS55)=0,0,IF(SUM($D58:$DS58)=0,1,'Вводные'!$B$63)))*DP57+(1-(IF(SUM($D55:$DS55)=0,0,IF(SUM($D58:$DS58)=0,1,'Вводные'!$B$63))))*DP59)</x:f>
      </x:c>
      <x:c r="DQ60" s="107" t="n">
        <x:f>'Вводные'!$L$90*((IF(SUM($D55:$DS55)=0,0,IF(SUM($D58:$DS58)=0,1,'Вводные'!$B$63)))*DQ57+(1-(IF(SUM($D55:$DS55)=0,0,IF(SUM($D58:$DS58)=0,1,'Вводные'!$B$63))))*DQ59)</x:f>
      </x:c>
      <x:c r="DR60" s="107" t="n">
        <x:f>'Вводные'!$L$90*((IF(SUM($D55:$DS55)=0,0,IF(SUM($D58:$DS58)=0,1,'Вводные'!$B$63)))*DR57+(1-(IF(SUM($D55:$DS55)=0,0,IF(SUM($D58:$DS58)=0,1,'Вводные'!$B$63))))*DR59)</x:f>
      </x:c>
      <x:c r="DS60" s="107" t="n">
        <x:f>'Вводные'!$L$90*((IF(SUM($D55:$DS55)=0,0,IF(SUM($D58:$DS58)=0,1,'Вводные'!$B$63)))*DS57+(1-(IF(SUM($D55:$DS55)=0,0,IF(SUM($D58:$DS58)=0,1,'Вводные'!$B$63))))*DS59)</x:f>
      </x:c>
    </x:row>
    <x:row r="61">
      <x:c r="A61" t="str">
        <x:v>Квартиры — цена</x:v>
      </x:c>
      <x:c r="B61" t="n">
        <x:f>IFERROR(B62*1000/B60,0)</x:f>
      </x:c>
      <x:c r="C61" t="str">
        <x:v>тыс. ₽/м²</x:v>
      </x:c>
      <x:c r="D61" s="107" t="n">
        <x:f>IF(D60=0,0,'Вводные'!$B$59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1" s="107" t="n">
        <x:f>IF(E60=0,0,'Вводные'!$B$59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1" s="107" t="n">
        <x:f>IF(F60=0,0,'Вводные'!$B$59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1" s="107" t="n">
        <x:f>IF(G60=0,0,'Вводные'!$B$59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1" s="107" t="n">
        <x:f>IF(H60=0,0,'Вводные'!$B$59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1" s="107" t="n">
        <x:f>IF(I60=0,0,'Вводные'!$B$59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1" s="107" t="n">
        <x:f>IF(J60=0,0,'Вводные'!$B$59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1" s="107" t="n">
        <x:f>IF(K60=0,0,'Вводные'!$B$59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1" s="107" t="n">
        <x:f>IF(L60=0,0,'Вводные'!$B$59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1" s="107" t="n">
        <x:f>IF(M60=0,0,'Вводные'!$B$59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1" s="107" t="n">
        <x:f>IF(N60=0,0,'Вводные'!$B$59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1" s="107" t="n">
        <x:f>IF(O60=0,0,'Вводные'!$B$59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1" s="107" t="n">
        <x:f>IF(P60=0,0,'Вводные'!$B$59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1" s="107" t="n">
        <x:f>IF(Q60=0,0,'Вводные'!$B$59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1" s="107" t="n">
        <x:f>IF(R60=0,0,'Вводные'!$B$59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1" s="107" t="n">
        <x:f>IF(S60=0,0,'Вводные'!$B$59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1" s="107" t="n">
        <x:f>IF(T60=0,0,'Вводные'!$B$59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1" s="107" t="n">
        <x:f>IF(U60=0,0,'Вводные'!$B$59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1" s="107" t="n">
        <x:f>IF(V60=0,0,'Вводные'!$B$59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1" s="107" t="n">
        <x:f>IF(W60=0,0,'Вводные'!$B$59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1" s="107" t="n">
        <x:f>IF(X60=0,0,'Вводные'!$B$59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1" s="107" t="n">
        <x:f>IF(Y60=0,0,'Вводные'!$B$59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1" s="107" t="n">
        <x:f>IF(Z60=0,0,'Вводные'!$B$59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1" s="107" t="n">
        <x:f>IF(AA60=0,0,'Вводные'!$B$59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1" s="107" t="n">
        <x:f>IF(AB60=0,0,'Вводные'!$B$59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1" s="107" t="n">
        <x:f>IF(AC60=0,0,'Вводные'!$B$59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1" s="107" t="n">
        <x:f>IF(AD60=0,0,'Вводные'!$B$59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1" s="107" t="n">
        <x:f>IF(AE60=0,0,'Вводные'!$B$59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1" s="107" t="n">
        <x:f>IF(AF60=0,0,'Вводные'!$B$59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1" s="107" t="n">
        <x:f>IF(AG60=0,0,'Вводные'!$B$59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1" s="107" t="n">
        <x:f>IF(AH60=0,0,'Вводные'!$B$59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1" s="107" t="n">
        <x:f>IF(AI60=0,0,'Вводные'!$B$59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1" s="107" t="n">
        <x:f>IF(AJ60=0,0,'Вводные'!$B$59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1" s="107" t="n">
        <x:f>IF(AK60=0,0,'Вводные'!$B$59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1" s="107" t="n">
        <x:f>IF(AL60=0,0,'Вводные'!$B$59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1" s="107" t="n">
        <x:f>IF(AM60=0,0,'Вводные'!$B$59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1" s="107" t="n">
        <x:f>IF(AN60=0,0,'Вводные'!$B$59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1" s="107" t="n">
        <x:f>IF(AO60=0,0,'Вводные'!$B$59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1" s="107" t="n">
        <x:f>IF(AP60=0,0,'Вводные'!$B$59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1" s="107" t="n">
        <x:f>IF(AQ60=0,0,'Вводные'!$B$59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1" s="107" t="n">
        <x:f>IF(AR60=0,0,'Вводные'!$B$59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1" s="107" t="n">
        <x:f>IF(AS60=0,0,'Вводные'!$B$59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1" s="107" t="n">
        <x:f>IF(AT60=0,0,'Вводные'!$B$59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1" s="107" t="n">
        <x:f>IF(AU60=0,0,'Вводные'!$B$59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1" s="107" t="n">
        <x:f>IF(AV60=0,0,'Вводные'!$B$59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1" s="107" t="n">
        <x:f>IF(AW60=0,0,'Вводные'!$B$59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1" s="107" t="n">
        <x:f>IF(AX60=0,0,'Вводные'!$B$59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1" s="107" t="n">
        <x:f>IF(AY60=0,0,'Вводные'!$B$59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1" s="107" t="n">
        <x:f>IF(AZ60=0,0,'Вводные'!$B$59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1" s="107" t="n">
        <x:f>IF(BA60=0,0,'Вводные'!$B$59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1" s="107" t="n">
        <x:f>IF(BB60=0,0,'Вводные'!$B$59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1" s="107" t="n">
        <x:f>IF(BC60=0,0,'Вводные'!$B$59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1" s="107" t="n">
        <x:f>IF(BD60=0,0,'Вводные'!$B$59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1" s="107" t="n">
        <x:f>IF(BE60=0,0,'Вводные'!$B$59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1" s="107" t="n">
        <x:f>IF(BF60=0,0,'Вводные'!$B$59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1" s="107" t="n">
        <x:f>IF(BG60=0,0,'Вводные'!$B$59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1" s="107" t="n">
        <x:f>IF(BH60=0,0,'Вводные'!$B$59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1" s="107" t="n">
        <x:f>IF(BI60=0,0,'Вводные'!$B$59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1" s="107" t="n">
        <x:f>IF(BJ60=0,0,'Вводные'!$B$59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1" s="107" t="n">
        <x:f>IF(BK60=0,0,'Вводные'!$B$59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1" s="107" t="n">
        <x:f>IF(BL60=0,0,'Вводные'!$B$59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1" s="107" t="n">
        <x:f>IF(BM60=0,0,'Вводные'!$B$59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1" s="107" t="n">
        <x:f>IF(BN60=0,0,'Вводные'!$B$59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1" s="107" t="n">
        <x:f>IF(BO60=0,0,'Вводные'!$B$59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1" s="107" t="n">
        <x:f>IF(BP60=0,0,'Вводные'!$B$59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1" s="107" t="n">
        <x:f>IF(BQ60=0,0,'Вводные'!$B$59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1" s="107" t="n">
        <x:f>IF(BR60=0,0,'Вводные'!$B$59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1" s="107" t="n">
        <x:f>IF(BS60=0,0,'Вводные'!$B$59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1" s="107" t="n">
        <x:f>IF(BT60=0,0,'Вводные'!$B$59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1" s="107" t="n">
        <x:f>IF(BU60=0,0,'Вводные'!$B$59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1" s="107" t="n">
        <x:f>IF(BV60=0,0,'Вводные'!$B$59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1" s="107" t="n">
        <x:f>IF(BW60=0,0,'Вводные'!$B$59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1" s="107" t="n">
        <x:f>IF(BX60=0,0,'Вводные'!$B$59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1" s="107" t="n">
        <x:f>IF(BY60=0,0,'Вводные'!$B$59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1" s="107" t="n">
        <x:f>IF(BZ60=0,0,'Вводные'!$B$59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1" s="107" t="n">
        <x:f>IF(CA60=0,0,'Вводные'!$B$59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1" s="107" t="n">
        <x:f>IF(CB60=0,0,'Вводные'!$B$59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1" s="107" t="n">
        <x:f>IF(CC60=0,0,'Вводные'!$B$59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1" s="107" t="n">
        <x:f>IF(CD60=0,0,'Вводные'!$B$59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1" s="107" t="n">
        <x:f>IF(CE60=0,0,'Вводные'!$B$59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1" s="107" t="n">
        <x:f>IF(CF60=0,0,'Вводные'!$B$59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1" s="107" t="n">
        <x:f>IF(CG60=0,0,'Вводные'!$B$59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1" s="107" t="n">
        <x:f>IF(CH60=0,0,'Вводные'!$B$59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1" s="107" t="n">
        <x:f>IF(CI60=0,0,'Вводные'!$B$59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1" s="107" t="n">
        <x:f>IF(CJ60=0,0,'Вводные'!$B$59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1" s="107" t="n">
        <x:f>IF(CK60=0,0,'Вводные'!$B$59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1" s="107" t="n">
        <x:f>IF(CL60=0,0,'Вводные'!$B$59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1" s="107" t="n">
        <x:f>IF(CM60=0,0,'Вводные'!$B$59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1" s="107" t="n">
        <x:f>IF(CN60=0,0,'Вводные'!$B$59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1" s="107" t="n">
        <x:f>IF(CO60=0,0,'Вводные'!$B$59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1" s="107" t="n">
        <x:f>IF(CP60=0,0,'Вводные'!$B$59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1" s="107" t="n">
        <x:f>IF(CQ60=0,0,'Вводные'!$B$59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1" s="107" t="n">
        <x:f>IF(CR60=0,0,'Вводные'!$B$59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1" s="107" t="n">
        <x:f>IF(CS60=0,0,'Вводные'!$B$59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1" s="107" t="n">
        <x:f>IF(CT60=0,0,'Вводные'!$B$59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1" s="107" t="n">
        <x:f>IF(CU60=0,0,'Вводные'!$B$59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1" s="107" t="n">
        <x:f>IF(CV60=0,0,'Вводные'!$B$59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1" s="107" t="n">
        <x:f>IF(CW60=0,0,'Вводные'!$B$59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1" s="107" t="n">
        <x:f>IF(CX60=0,0,'Вводные'!$B$59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1" s="107" t="n">
        <x:f>IF(CY60=0,0,'Вводные'!$B$59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1" s="107" t="n">
        <x:f>IF(CZ60=0,0,'Вводные'!$B$59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1" s="107" t="n">
        <x:f>IF(DA60=0,0,'Вводные'!$B$59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1" s="107" t="n">
        <x:f>IF(DB60=0,0,'Вводные'!$B$59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1" s="107" t="n">
        <x:f>IF(DC60=0,0,'Вводные'!$B$59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1" s="107" t="n">
        <x:f>IF(DD60=0,0,'Вводные'!$B$59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1" s="107" t="n">
        <x:f>IF(DE60=0,0,'Вводные'!$B$59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1" s="107" t="n">
        <x:f>IF(DF60=0,0,'Вводные'!$B$59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1" s="107" t="n">
        <x:f>IF(DG60=0,0,'Вводные'!$B$59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1" s="107" t="n">
        <x:f>IF(DH60=0,0,'Вводные'!$B$59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1" s="107" t="n">
        <x:f>IF(DI60=0,0,'Вводные'!$B$59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1" s="107" t="n">
        <x:f>IF(DJ60=0,0,'Вводные'!$B$59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1" s="107" t="n">
        <x:f>IF(DK60=0,0,'Вводные'!$B$59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1" s="107" t="n">
        <x:f>IF(DL60=0,0,'Вводные'!$B$59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1" s="107" t="n">
        <x:f>IF(DM60=0,0,'Вводные'!$B$59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1" s="107" t="n">
        <x:f>IF(DN60=0,0,'Вводные'!$B$59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1" s="107" t="n">
        <x:f>IF(DO60=0,0,'Вводные'!$B$59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1" s="107" t="n">
        <x:f>IF(DP60=0,0,'Вводные'!$B$59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1" s="107" t="n">
        <x:f>IF(DQ60=0,0,'Вводные'!$B$59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1" s="107" t="n">
        <x:f>IF(DR60=0,0,'Вводные'!$B$59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1" s="107" t="n">
        <x:f>IF(DS60=0,0,'Вводные'!$B$59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2">
      <x:c r="A62" t="str">
        <x:v>Квартиры — выручка</x:v>
      </x:c>
      <x:c r="B62" t="n">
        <x:f>SUM(D62:DS62)</x:f>
      </x:c>
      <x:c r="C62" t="str">
        <x:v>млн ₽</x:v>
      </x:c>
      <x:c r="D62" s="107" t="n">
        <x:f>D60*D61/1000</x:f>
      </x:c>
      <x:c r="E62" s="107" t="n">
        <x:f>E60*E61/1000</x:f>
      </x:c>
      <x:c r="F62" s="107" t="n">
        <x:f>F60*F61/1000</x:f>
      </x:c>
      <x:c r="G62" s="107" t="n">
        <x:f>G60*G61/1000</x:f>
      </x:c>
      <x:c r="H62" s="107" t="n">
        <x:f>H60*H61/1000</x:f>
      </x:c>
      <x:c r="I62" s="107" t="n">
        <x:f>I60*I61/1000</x:f>
      </x:c>
      <x:c r="J62" s="107" t="n">
        <x:f>J60*J61/1000</x:f>
      </x:c>
      <x:c r="K62" s="107" t="n">
        <x:f>K60*K61/1000</x:f>
      </x:c>
      <x:c r="L62" s="107" t="n">
        <x:f>L60*L61/1000</x:f>
      </x:c>
      <x:c r="M62" s="107" t="n">
        <x:f>M60*M61/1000</x:f>
      </x:c>
      <x:c r="N62" s="107" t="n">
        <x:f>N60*N61/1000</x:f>
      </x:c>
      <x:c r="O62" s="107" t="n">
        <x:f>O60*O61/1000</x:f>
      </x:c>
      <x:c r="P62" s="107" t="n">
        <x:f>P60*P61/1000</x:f>
      </x:c>
      <x:c r="Q62" s="107" t="n">
        <x:f>Q60*Q61/1000</x:f>
      </x:c>
      <x:c r="R62" s="107" t="n">
        <x:f>R60*R61/1000</x:f>
      </x:c>
      <x:c r="S62" s="107" t="n">
        <x:f>S60*S61/1000</x:f>
      </x:c>
      <x:c r="T62" s="107" t="n">
        <x:f>T60*T61/1000</x:f>
      </x:c>
      <x:c r="U62" s="107" t="n">
        <x:f>U60*U61/1000</x:f>
      </x:c>
      <x:c r="V62" s="107" t="n">
        <x:f>V60*V61/1000</x:f>
      </x:c>
      <x:c r="W62" s="107" t="n">
        <x:f>W60*W61/1000</x:f>
      </x:c>
      <x:c r="X62" s="107" t="n">
        <x:f>X60*X61/1000</x:f>
      </x:c>
      <x:c r="Y62" s="107" t="n">
        <x:f>Y60*Y61/1000</x:f>
      </x:c>
      <x:c r="Z62" s="107" t="n">
        <x:f>Z60*Z61/1000</x:f>
      </x:c>
      <x:c r="AA62" s="107" t="n">
        <x:f>AA60*AA61/1000</x:f>
      </x:c>
      <x:c r="AB62" s="107" t="n">
        <x:f>AB60*AB61/1000</x:f>
      </x:c>
      <x:c r="AC62" s="107" t="n">
        <x:f>AC60*AC61/1000</x:f>
      </x:c>
      <x:c r="AD62" s="107" t="n">
        <x:f>AD60*AD61/1000</x:f>
      </x:c>
      <x:c r="AE62" s="107" t="n">
        <x:f>AE60*AE61/1000</x:f>
      </x:c>
      <x:c r="AF62" s="107" t="n">
        <x:f>AF60*AF61/1000</x:f>
      </x:c>
      <x:c r="AG62" s="107" t="n">
        <x:f>AG60*AG61/1000</x:f>
      </x:c>
      <x:c r="AH62" s="107" t="n">
        <x:f>AH60*AH61/1000</x:f>
      </x:c>
      <x:c r="AI62" s="107" t="n">
        <x:f>AI60*AI61/1000</x:f>
      </x:c>
      <x:c r="AJ62" s="107" t="n">
        <x:f>AJ60*AJ61/1000</x:f>
      </x:c>
      <x:c r="AK62" s="107" t="n">
        <x:f>AK60*AK61/1000</x:f>
      </x:c>
      <x:c r="AL62" s="107" t="n">
        <x:f>AL60*AL61/1000</x:f>
      </x:c>
      <x:c r="AM62" s="107" t="n">
        <x:f>AM60*AM61/1000</x:f>
      </x:c>
      <x:c r="AN62" s="107" t="n">
        <x:f>AN60*AN61/1000</x:f>
      </x:c>
      <x:c r="AO62" s="107" t="n">
        <x:f>AO60*AO61/1000</x:f>
      </x:c>
      <x:c r="AP62" s="107" t="n">
        <x:f>AP60*AP61/1000</x:f>
      </x:c>
      <x:c r="AQ62" s="107" t="n">
        <x:f>AQ60*AQ61/1000</x:f>
      </x:c>
      <x:c r="AR62" s="107" t="n">
        <x:f>AR60*AR61/1000</x:f>
      </x:c>
      <x:c r="AS62" s="107" t="n">
        <x:f>AS60*AS61/1000</x:f>
      </x:c>
      <x:c r="AT62" s="107" t="n">
        <x:f>AT60*AT61/1000</x:f>
      </x:c>
      <x:c r="AU62" s="107" t="n">
        <x:f>AU60*AU61/1000</x:f>
      </x:c>
      <x:c r="AV62" s="107" t="n">
        <x:f>AV60*AV61/1000</x:f>
      </x:c>
      <x:c r="AW62" s="107" t="n">
        <x:f>AW60*AW61/1000</x:f>
      </x:c>
      <x:c r="AX62" s="107" t="n">
        <x:f>AX60*AX61/1000</x:f>
      </x:c>
      <x:c r="AY62" s="107" t="n">
        <x:f>AY60*AY61/1000</x:f>
      </x:c>
      <x:c r="AZ62" s="107" t="n">
        <x:f>AZ60*AZ61/1000</x:f>
      </x:c>
      <x:c r="BA62" s="107" t="n">
        <x:f>BA60*BA61/1000</x:f>
      </x:c>
      <x:c r="BB62" s="107" t="n">
        <x:f>BB60*BB61/1000</x:f>
      </x:c>
      <x:c r="BC62" s="107" t="n">
        <x:f>BC60*BC61/1000</x:f>
      </x:c>
      <x:c r="BD62" s="107" t="n">
        <x:f>BD60*BD61/1000</x:f>
      </x:c>
      <x:c r="BE62" s="107" t="n">
        <x:f>BE60*BE61/1000</x:f>
      </x:c>
      <x:c r="BF62" s="107" t="n">
        <x:f>BF60*BF61/1000</x:f>
      </x:c>
      <x:c r="BG62" s="107" t="n">
        <x:f>BG60*BG61/1000</x:f>
      </x:c>
      <x:c r="BH62" s="107" t="n">
        <x:f>BH60*BH61/1000</x:f>
      </x:c>
      <x:c r="BI62" s="107" t="n">
        <x:f>BI60*BI61/1000</x:f>
      </x:c>
      <x:c r="BJ62" s="107" t="n">
        <x:f>BJ60*BJ61/1000</x:f>
      </x:c>
      <x:c r="BK62" s="107" t="n">
        <x:f>BK60*BK61/1000</x:f>
      </x:c>
      <x:c r="BL62" s="107" t="n">
        <x:f>BL60*BL61/1000</x:f>
      </x:c>
      <x:c r="BM62" s="107" t="n">
        <x:f>BM60*BM61/1000</x:f>
      </x:c>
      <x:c r="BN62" s="107" t="n">
        <x:f>BN60*BN61/1000</x:f>
      </x:c>
      <x:c r="BO62" s="107" t="n">
        <x:f>BO60*BO61/1000</x:f>
      </x:c>
      <x:c r="BP62" s="107" t="n">
        <x:f>BP60*BP61/1000</x:f>
      </x:c>
      <x:c r="BQ62" s="107" t="n">
        <x:f>BQ60*BQ61/1000</x:f>
      </x:c>
      <x:c r="BR62" s="107" t="n">
        <x:f>BR60*BR61/1000</x:f>
      </x:c>
      <x:c r="BS62" s="107" t="n">
        <x:f>BS60*BS61/1000</x:f>
      </x:c>
      <x:c r="BT62" s="107" t="n">
        <x:f>BT60*BT61/1000</x:f>
      </x:c>
      <x:c r="BU62" s="107" t="n">
        <x:f>BU60*BU61/1000</x:f>
      </x:c>
      <x:c r="BV62" s="107" t="n">
        <x:f>BV60*BV61/1000</x:f>
      </x:c>
      <x:c r="BW62" s="107" t="n">
        <x:f>BW60*BW61/1000</x:f>
      </x:c>
      <x:c r="BX62" s="107" t="n">
        <x:f>BX60*BX61/1000</x:f>
      </x:c>
      <x:c r="BY62" s="107" t="n">
        <x:f>BY60*BY61/1000</x:f>
      </x:c>
      <x:c r="BZ62" s="107" t="n">
        <x:f>BZ60*BZ61/1000</x:f>
      </x:c>
      <x:c r="CA62" s="107" t="n">
        <x:f>CA60*CA61/1000</x:f>
      </x:c>
      <x:c r="CB62" s="107" t="n">
        <x:f>CB60*CB61/1000</x:f>
      </x:c>
      <x:c r="CC62" s="107" t="n">
        <x:f>CC60*CC61/1000</x:f>
      </x:c>
      <x:c r="CD62" s="107" t="n">
        <x:f>CD60*CD61/1000</x:f>
      </x:c>
      <x:c r="CE62" s="107" t="n">
        <x:f>CE60*CE61/1000</x:f>
      </x:c>
      <x:c r="CF62" s="107" t="n">
        <x:f>CF60*CF61/1000</x:f>
      </x:c>
      <x:c r="CG62" s="107" t="n">
        <x:f>CG60*CG61/1000</x:f>
      </x:c>
      <x:c r="CH62" s="107" t="n">
        <x:f>CH60*CH61/1000</x:f>
      </x:c>
      <x:c r="CI62" s="107" t="n">
        <x:f>CI60*CI61/1000</x:f>
      </x:c>
      <x:c r="CJ62" s="107" t="n">
        <x:f>CJ60*CJ61/1000</x:f>
      </x:c>
      <x:c r="CK62" s="107" t="n">
        <x:f>CK60*CK61/1000</x:f>
      </x:c>
      <x:c r="CL62" s="107" t="n">
        <x:f>CL60*CL61/1000</x:f>
      </x:c>
      <x:c r="CM62" s="107" t="n">
        <x:f>CM60*CM61/1000</x:f>
      </x:c>
      <x:c r="CN62" s="107" t="n">
        <x:f>CN60*CN61/1000</x:f>
      </x:c>
      <x:c r="CO62" s="107" t="n">
        <x:f>CO60*CO61/1000</x:f>
      </x:c>
      <x:c r="CP62" s="107" t="n">
        <x:f>CP60*CP61/1000</x:f>
      </x:c>
      <x:c r="CQ62" s="107" t="n">
        <x:f>CQ60*CQ61/1000</x:f>
      </x:c>
      <x:c r="CR62" s="107" t="n">
        <x:f>CR60*CR61/1000</x:f>
      </x:c>
      <x:c r="CS62" s="107" t="n">
        <x:f>CS60*CS61/1000</x:f>
      </x:c>
      <x:c r="CT62" s="107" t="n">
        <x:f>CT60*CT61/1000</x:f>
      </x:c>
      <x:c r="CU62" s="107" t="n">
        <x:f>CU60*CU61/1000</x:f>
      </x:c>
      <x:c r="CV62" s="107" t="n">
        <x:f>CV60*CV61/1000</x:f>
      </x:c>
      <x:c r="CW62" s="107" t="n">
        <x:f>CW60*CW61/1000</x:f>
      </x:c>
      <x:c r="CX62" s="107" t="n">
        <x:f>CX60*CX61/1000</x:f>
      </x:c>
      <x:c r="CY62" s="107" t="n">
        <x:f>CY60*CY61/1000</x:f>
      </x:c>
      <x:c r="CZ62" s="107" t="n">
        <x:f>CZ60*CZ61/1000</x:f>
      </x:c>
      <x:c r="DA62" s="107" t="n">
        <x:f>DA60*DA61/1000</x:f>
      </x:c>
      <x:c r="DB62" s="107" t="n">
        <x:f>DB60*DB61/1000</x:f>
      </x:c>
      <x:c r="DC62" s="107" t="n">
        <x:f>DC60*DC61/1000</x:f>
      </x:c>
      <x:c r="DD62" s="107" t="n">
        <x:f>DD60*DD61/1000</x:f>
      </x:c>
      <x:c r="DE62" s="107" t="n">
        <x:f>DE60*DE61/1000</x:f>
      </x:c>
      <x:c r="DF62" s="107" t="n">
        <x:f>DF60*DF61/1000</x:f>
      </x:c>
      <x:c r="DG62" s="107" t="n">
        <x:f>DG60*DG61/1000</x:f>
      </x:c>
      <x:c r="DH62" s="107" t="n">
        <x:f>DH60*DH61/1000</x:f>
      </x:c>
      <x:c r="DI62" s="107" t="n">
        <x:f>DI60*DI61/1000</x:f>
      </x:c>
      <x:c r="DJ62" s="107" t="n">
        <x:f>DJ60*DJ61/1000</x:f>
      </x:c>
      <x:c r="DK62" s="107" t="n">
        <x:f>DK60*DK61/1000</x:f>
      </x:c>
      <x:c r="DL62" s="107" t="n">
        <x:f>DL60*DL61/1000</x:f>
      </x:c>
      <x:c r="DM62" s="107" t="n">
        <x:f>DM60*DM61/1000</x:f>
      </x:c>
      <x:c r="DN62" s="107" t="n">
        <x:f>DN60*DN61/1000</x:f>
      </x:c>
      <x:c r="DO62" s="107" t="n">
        <x:f>DO60*DO61/1000</x:f>
      </x:c>
      <x:c r="DP62" s="107" t="n">
        <x:f>DP60*DP61/1000</x:f>
      </x:c>
      <x:c r="DQ62" s="107" t="n">
        <x:f>DQ60*DQ61/1000</x:f>
      </x:c>
      <x:c r="DR62" s="107" t="n">
        <x:f>DR60*DR61/1000</x:f>
      </x:c>
      <x:c r="DS62" s="107" t="n">
        <x:f>DS60*DS61/1000</x:f>
      </x:c>
    </x:row>
    <x:row r="63">
      <x:c r="A63" t="str">
        <x:v>Коммерция — объём</x:v>
      </x:c>
      <x:c r="B63" t="n">
        <x:f>SUM(D63:DS63)</x:f>
      </x:c>
      <x:c r="C63" t="str">
        <x:v>м²</x:v>
      </x:c>
      <x:c r="D63" s="107" t="n">
        <x:f>'Вводные'!$M$90*((IF(SUM($D55:$DS55)=0,0,IF(SUM($D58:$DS58)=0,1,'Вводные'!$B$63)))*D57+(1-(IF(SUM($D55:$DS55)=0,0,IF(SUM($D58:$DS58)=0,1,'Вводные'!$B$63))))*D59)</x:f>
      </x:c>
      <x:c r="E63" s="107" t="n">
        <x:f>'Вводные'!$M$90*((IF(SUM($D55:$DS55)=0,0,IF(SUM($D58:$DS58)=0,1,'Вводные'!$B$63)))*E57+(1-(IF(SUM($D55:$DS55)=0,0,IF(SUM($D58:$DS58)=0,1,'Вводные'!$B$63))))*E59)</x:f>
      </x:c>
      <x:c r="F63" s="107" t="n">
        <x:f>'Вводные'!$M$90*((IF(SUM($D55:$DS55)=0,0,IF(SUM($D58:$DS58)=0,1,'Вводные'!$B$63)))*F57+(1-(IF(SUM($D55:$DS55)=0,0,IF(SUM($D58:$DS58)=0,1,'Вводные'!$B$63))))*F59)</x:f>
      </x:c>
      <x:c r="G63" s="107" t="n">
        <x:f>'Вводные'!$M$90*((IF(SUM($D55:$DS55)=0,0,IF(SUM($D58:$DS58)=0,1,'Вводные'!$B$63)))*G57+(1-(IF(SUM($D55:$DS55)=0,0,IF(SUM($D58:$DS58)=0,1,'Вводные'!$B$63))))*G59)</x:f>
      </x:c>
      <x:c r="H63" s="107" t="n">
        <x:f>'Вводные'!$M$90*((IF(SUM($D55:$DS55)=0,0,IF(SUM($D58:$DS58)=0,1,'Вводные'!$B$63)))*H57+(1-(IF(SUM($D55:$DS55)=0,0,IF(SUM($D58:$DS58)=0,1,'Вводные'!$B$63))))*H59)</x:f>
      </x:c>
      <x:c r="I63" s="107" t="n">
        <x:f>'Вводные'!$M$90*((IF(SUM($D55:$DS55)=0,0,IF(SUM($D58:$DS58)=0,1,'Вводные'!$B$63)))*I57+(1-(IF(SUM($D55:$DS55)=0,0,IF(SUM($D58:$DS58)=0,1,'Вводные'!$B$63))))*I59)</x:f>
      </x:c>
      <x:c r="J63" s="107" t="n">
        <x:f>'Вводные'!$M$90*((IF(SUM($D55:$DS55)=0,0,IF(SUM($D58:$DS58)=0,1,'Вводные'!$B$63)))*J57+(1-(IF(SUM($D55:$DS55)=0,0,IF(SUM($D58:$DS58)=0,1,'Вводные'!$B$63))))*J59)</x:f>
      </x:c>
      <x:c r="K63" s="107" t="n">
        <x:f>'Вводные'!$M$90*((IF(SUM($D55:$DS55)=0,0,IF(SUM($D58:$DS58)=0,1,'Вводные'!$B$63)))*K57+(1-(IF(SUM($D55:$DS55)=0,0,IF(SUM($D58:$DS58)=0,1,'Вводные'!$B$63))))*K59)</x:f>
      </x:c>
      <x:c r="L63" s="107" t="n">
        <x:f>'Вводные'!$M$90*((IF(SUM($D55:$DS55)=0,0,IF(SUM($D58:$DS58)=0,1,'Вводные'!$B$63)))*L57+(1-(IF(SUM($D55:$DS55)=0,0,IF(SUM($D58:$DS58)=0,1,'Вводные'!$B$63))))*L59)</x:f>
      </x:c>
      <x:c r="M63" s="107" t="n">
        <x:f>'Вводные'!$M$90*((IF(SUM($D55:$DS55)=0,0,IF(SUM($D58:$DS58)=0,1,'Вводные'!$B$63)))*M57+(1-(IF(SUM($D55:$DS55)=0,0,IF(SUM($D58:$DS58)=0,1,'Вводные'!$B$63))))*M59)</x:f>
      </x:c>
      <x:c r="N63" s="107" t="n">
        <x:f>'Вводные'!$M$90*((IF(SUM($D55:$DS55)=0,0,IF(SUM($D58:$DS58)=0,1,'Вводные'!$B$63)))*N57+(1-(IF(SUM($D55:$DS55)=0,0,IF(SUM($D58:$DS58)=0,1,'Вводные'!$B$63))))*N59)</x:f>
      </x:c>
      <x:c r="O63" s="107" t="n">
        <x:f>'Вводные'!$M$90*((IF(SUM($D55:$DS55)=0,0,IF(SUM($D58:$DS58)=0,1,'Вводные'!$B$63)))*O57+(1-(IF(SUM($D55:$DS55)=0,0,IF(SUM($D58:$DS58)=0,1,'Вводные'!$B$63))))*O59)</x:f>
      </x:c>
      <x:c r="P63" s="107" t="n">
        <x:f>'Вводные'!$M$90*((IF(SUM($D55:$DS55)=0,0,IF(SUM($D58:$DS58)=0,1,'Вводные'!$B$63)))*P57+(1-(IF(SUM($D55:$DS55)=0,0,IF(SUM($D58:$DS58)=0,1,'Вводные'!$B$63))))*P59)</x:f>
      </x:c>
      <x:c r="Q63" s="107" t="n">
        <x:f>'Вводные'!$M$90*((IF(SUM($D55:$DS55)=0,0,IF(SUM($D58:$DS58)=0,1,'Вводные'!$B$63)))*Q57+(1-(IF(SUM($D55:$DS55)=0,0,IF(SUM($D58:$DS58)=0,1,'Вводные'!$B$63))))*Q59)</x:f>
      </x:c>
      <x:c r="R63" s="107" t="n">
        <x:f>'Вводные'!$M$90*((IF(SUM($D55:$DS55)=0,0,IF(SUM($D58:$DS58)=0,1,'Вводные'!$B$63)))*R57+(1-(IF(SUM($D55:$DS55)=0,0,IF(SUM($D58:$DS58)=0,1,'Вводные'!$B$63))))*R59)</x:f>
      </x:c>
      <x:c r="S63" s="107" t="n">
        <x:f>'Вводные'!$M$90*((IF(SUM($D55:$DS55)=0,0,IF(SUM($D58:$DS58)=0,1,'Вводные'!$B$63)))*S57+(1-(IF(SUM($D55:$DS55)=0,0,IF(SUM($D58:$DS58)=0,1,'Вводные'!$B$63))))*S59)</x:f>
      </x:c>
      <x:c r="T63" s="107" t="n">
        <x:f>'Вводные'!$M$90*((IF(SUM($D55:$DS55)=0,0,IF(SUM($D58:$DS58)=0,1,'Вводные'!$B$63)))*T57+(1-(IF(SUM($D55:$DS55)=0,0,IF(SUM($D58:$DS58)=0,1,'Вводные'!$B$63))))*T59)</x:f>
      </x:c>
      <x:c r="U63" s="107" t="n">
        <x:f>'Вводные'!$M$90*((IF(SUM($D55:$DS55)=0,0,IF(SUM($D58:$DS58)=0,1,'Вводные'!$B$63)))*U57+(1-(IF(SUM($D55:$DS55)=0,0,IF(SUM($D58:$DS58)=0,1,'Вводные'!$B$63))))*U59)</x:f>
      </x:c>
      <x:c r="V63" s="107" t="n">
        <x:f>'Вводные'!$M$90*((IF(SUM($D55:$DS55)=0,0,IF(SUM($D58:$DS58)=0,1,'Вводные'!$B$63)))*V57+(1-(IF(SUM($D55:$DS55)=0,0,IF(SUM($D58:$DS58)=0,1,'Вводные'!$B$63))))*V59)</x:f>
      </x:c>
      <x:c r="W63" s="107" t="n">
        <x:f>'Вводные'!$M$90*((IF(SUM($D55:$DS55)=0,0,IF(SUM($D58:$DS58)=0,1,'Вводные'!$B$63)))*W57+(1-(IF(SUM($D55:$DS55)=0,0,IF(SUM($D58:$DS58)=0,1,'Вводные'!$B$63))))*W59)</x:f>
      </x:c>
      <x:c r="X63" s="107" t="n">
        <x:f>'Вводные'!$M$90*((IF(SUM($D55:$DS55)=0,0,IF(SUM($D58:$DS58)=0,1,'Вводные'!$B$63)))*X57+(1-(IF(SUM($D55:$DS55)=0,0,IF(SUM($D58:$DS58)=0,1,'Вводные'!$B$63))))*X59)</x:f>
      </x:c>
      <x:c r="Y63" s="107" t="n">
        <x:f>'Вводные'!$M$90*((IF(SUM($D55:$DS55)=0,0,IF(SUM($D58:$DS58)=0,1,'Вводные'!$B$63)))*Y57+(1-(IF(SUM($D55:$DS55)=0,0,IF(SUM($D58:$DS58)=0,1,'Вводные'!$B$63))))*Y59)</x:f>
      </x:c>
      <x:c r="Z63" s="107" t="n">
        <x:f>'Вводные'!$M$90*((IF(SUM($D55:$DS55)=0,0,IF(SUM($D58:$DS58)=0,1,'Вводные'!$B$63)))*Z57+(1-(IF(SUM($D55:$DS55)=0,0,IF(SUM($D58:$DS58)=0,1,'Вводные'!$B$63))))*Z59)</x:f>
      </x:c>
      <x:c r="AA63" s="107" t="n">
        <x:f>'Вводные'!$M$90*((IF(SUM($D55:$DS55)=0,0,IF(SUM($D58:$DS58)=0,1,'Вводные'!$B$63)))*AA57+(1-(IF(SUM($D55:$DS55)=0,0,IF(SUM($D58:$DS58)=0,1,'Вводные'!$B$63))))*AA59)</x:f>
      </x:c>
      <x:c r="AB63" s="107" t="n">
        <x:f>'Вводные'!$M$90*((IF(SUM($D55:$DS55)=0,0,IF(SUM($D58:$DS58)=0,1,'Вводные'!$B$63)))*AB57+(1-(IF(SUM($D55:$DS55)=0,0,IF(SUM($D58:$DS58)=0,1,'Вводные'!$B$63))))*AB59)</x:f>
      </x:c>
      <x:c r="AC63" s="107" t="n">
        <x:f>'Вводные'!$M$90*((IF(SUM($D55:$DS55)=0,0,IF(SUM($D58:$DS58)=0,1,'Вводные'!$B$63)))*AC57+(1-(IF(SUM($D55:$DS55)=0,0,IF(SUM($D58:$DS58)=0,1,'Вводные'!$B$63))))*AC59)</x:f>
      </x:c>
      <x:c r="AD63" s="107" t="n">
        <x:f>'Вводные'!$M$90*((IF(SUM($D55:$DS55)=0,0,IF(SUM($D58:$DS58)=0,1,'Вводные'!$B$63)))*AD57+(1-(IF(SUM($D55:$DS55)=0,0,IF(SUM($D58:$DS58)=0,1,'Вводные'!$B$63))))*AD59)</x:f>
      </x:c>
      <x:c r="AE63" s="107" t="n">
        <x:f>'Вводные'!$M$90*((IF(SUM($D55:$DS55)=0,0,IF(SUM($D58:$DS58)=0,1,'Вводные'!$B$63)))*AE57+(1-(IF(SUM($D55:$DS55)=0,0,IF(SUM($D58:$DS58)=0,1,'Вводные'!$B$63))))*AE59)</x:f>
      </x:c>
      <x:c r="AF63" s="107" t="n">
        <x:f>'Вводные'!$M$90*((IF(SUM($D55:$DS55)=0,0,IF(SUM($D58:$DS58)=0,1,'Вводные'!$B$63)))*AF57+(1-(IF(SUM($D55:$DS55)=0,0,IF(SUM($D58:$DS58)=0,1,'Вводные'!$B$63))))*AF59)</x:f>
      </x:c>
      <x:c r="AG63" s="107" t="n">
        <x:f>'Вводные'!$M$90*((IF(SUM($D55:$DS55)=0,0,IF(SUM($D58:$DS58)=0,1,'Вводные'!$B$63)))*AG57+(1-(IF(SUM($D55:$DS55)=0,0,IF(SUM($D58:$DS58)=0,1,'Вводные'!$B$63))))*AG59)</x:f>
      </x:c>
      <x:c r="AH63" s="107" t="n">
        <x:f>'Вводные'!$M$90*((IF(SUM($D55:$DS55)=0,0,IF(SUM($D58:$DS58)=0,1,'Вводные'!$B$63)))*AH57+(1-(IF(SUM($D55:$DS55)=0,0,IF(SUM($D58:$DS58)=0,1,'Вводные'!$B$63))))*AH59)</x:f>
      </x:c>
      <x:c r="AI63" s="107" t="n">
        <x:f>'Вводные'!$M$90*((IF(SUM($D55:$DS55)=0,0,IF(SUM($D58:$DS58)=0,1,'Вводные'!$B$63)))*AI57+(1-(IF(SUM($D55:$DS55)=0,0,IF(SUM($D58:$DS58)=0,1,'Вводные'!$B$63))))*AI59)</x:f>
      </x:c>
      <x:c r="AJ63" s="107" t="n">
        <x:f>'Вводные'!$M$90*((IF(SUM($D55:$DS55)=0,0,IF(SUM($D58:$DS58)=0,1,'Вводные'!$B$63)))*AJ57+(1-(IF(SUM($D55:$DS55)=0,0,IF(SUM($D58:$DS58)=0,1,'Вводные'!$B$63))))*AJ59)</x:f>
      </x:c>
      <x:c r="AK63" s="107" t="n">
        <x:f>'Вводные'!$M$90*((IF(SUM($D55:$DS55)=0,0,IF(SUM($D58:$DS58)=0,1,'Вводные'!$B$63)))*AK57+(1-(IF(SUM($D55:$DS55)=0,0,IF(SUM($D58:$DS58)=0,1,'Вводные'!$B$63))))*AK59)</x:f>
      </x:c>
      <x:c r="AL63" s="107" t="n">
        <x:f>'Вводные'!$M$90*((IF(SUM($D55:$DS55)=0,0,IF(SUM($D58:$DS58)=0,1,'Вводные'!$B$63)))*AL57+(1-(IF(SUM($D55:$DS55)=0,0,IF(SUM($D58:$DS58)=0,1,'Вводные'!$B$63))))*AL59)</x:f>
      </x:c>
      <x:c r="AM63" s="107" t="n">
        <x:f>'Вводные'!$M$90*((IF(SUM($D55:$DS55)=0,0,IF(SUM($D58:$DS58)=0,1,'Вводные'!$B$63)))*AM57+(1-(IF(SUM($D55:$DS55)=0,0,IF(SUM($D58:$DS58)=0,1,'Вводные'!$B$63))))*AM59)</x:f>
      </x:c>
      <x:c r="AN63" s="107" t="n">
        <x:f>'Вводные'!$M$90*((IF(SUM($D55:$DS55)=0,0,IF(SUM($D58:$DS58)=0,1,'Вводные'!$B$63)))*AN57+(1-(IF(SUM($D55:$DS55)=0,0,IF(SUM($D58:$DS58)=0,1,'Вводные'!$B$63))))*AN59)</x:f>
      </x:c>
      <x:c r="AO63" s="107" t="n">
        <x:f>'Вводные'!$M$90*((IF(SUM($D55:$DS55)=0,0,IF(SUM($D58:$DS58)=0,1,'Вводные'!$B$63)))*AO57+(1-(IF(SUM($D55:$DS55)=0,0,IF(SUM($D58:$DS58)=0,1,'Вводные'!$B$63))))*AO59)</x:f>
      </x:c>
      <x:c r="AP63" s="107" t="n">
        <x:f>'Вводные'!$M$90*((IF(SUM($D55:$DS55)=0,0,IF(SUM($D58:$DS58)=0,1,'Вводные'!$B$63)))*AP57+(1-(IF(SUM($D55:$DS55)=0,0,IF(SUM($D58:$DS58)=0,1,'Вводные'!$B$63))))*AP59)</x:f>
      </x:c>
      <x:c r="AQ63" s="107" t="n">
        <x:f>'Вводные'!$M$90*((IF(SUM($D55:$DS55)=0,0,IF(SUM($D58:$DS58)=0,1,'Вводные'!$B$63)))*AQ57+(1-(IF(SUM($D55:$DS55)=0,0,IF(SUM($D58:$DS58)=0,1,'Вводные'!$B$63))))*AQ59)</x:f>
      </x:c>
      <x:c r="AR63" s="107" t="n">
        <x:f>'Вводные'!$M$90*((IF(SUM($D55:$DS55)=0,0,IF(SUM($D58:$DS58)=0,1,'Вводные'!$B$63)))*AR57+(1-(IF(SUM($D55:$DS55)=0,0,IF(SUM($D58:$DS58)=0,1,'Вводные'!$B$63))))*AR59)</x:f>
      </x:c>
      <x:c r="AS63" s="107" t="n">
        <x:f>'Вводные'!$M$90*((IF(SUM($D55:$DS55)=0,0,IF(SUM($D58:$DS58)=0,1,'Вводные'!$B$63)))*AS57+(1-(IF(SUM($D55:$DS55)=0,0,IF(SUM($D58:$DS58)=0,1,'Вводные'!$B$63))))*AS59)</x:f>
      </x:c>
      <x:c r="AT63" s="107" t="n">
        <x:f>'Вводные'!$M$90*((IF(SUM($D55:$DS55)=0,0,IF(SUM($D58:$DS58)=0,1,'Вводные'!$B$63)))*AT57+(1-(IF(SUM($D55:$DS55)=0,0,IF(SUM($D58:$DS58)=0,1,'Вводные'!$B$63))))*AT59)</x:f>
      </x:c>
      <x:c r="AU63" s="107" t="n">
        <x:f>'Вводные'!$M$90*((IF(SUM($D55:$DS55)=0,0,IF(SUM($D58:$DS58)=0,1,'Вводные'!$B$63)))*AU57+(1-(IF(SUM($D55:$DS55)=0,0,IF(SUM($D58:$DS58)=0,1,'Вводные'!$B$63))))*AU59)</x:f>
      </x:c>
      <x:c r="AV63" s="107" t="n">
        <x:f>'Вводные'!$M$90*((IF(SUM($D55:$DS55)=0,0,IF(SUM($D58:$DS58)=0,1,'Вводные'!$B$63)))*AV57+(1-(IF(SUM($D55:$DS55)=0,0,IF(SUM($D58:$DS58)=0,1,'Вводные'!$B$63))))*AV59)</x:f>
      </x:c>
      <x:c r="AW63" s="107" t="n">
        <x:f>'Вводные'!$M$90*((IF(SUM($D55:$DS55)=0,0,IF(SUM($D58:$DS58)=0,1,'Вводные'!$B$63)))*AW57+(1-(IF(SUM($D55:$DS55)=0,0,IF(SUM($D58:$DS58)=0,1,'Вводные'!$B$63))))*AW59)</x:f>
      </x:c>
      <x:c r="AX63" s="107" t="n">
        <x:f>'Вводные'!$M$90*((IF(SUM($D55:$DS55)=0,0,IF(SUM($D58:$DS58)=0,1,'Вводные'!$B$63)))*AX57+(1-(IF(SUM($D55:$DS55)=0,0,IF(SUM($D58:$DS58)=0,1,'Вводные'!$B$63))))*AX59)</x:f>
      </x:c>
      <x:c r="AY63" s="107" t="n">
        <x:f>'Вводные'!$M$90*((IF(SUM($D55:$DS55)=0,0,IF(SUM($D58:$DS58)=0,1,'Вводные'!$B$63)))*AY57+(1-(IF(SUM($D55:$DS55)=0,0,IF(SUM($D58:$DS58)=0,1,'Вводные'!$B$63))))*AY59)</x:f>
      </x:c>
      <x:c r="AZ63" s="107" t="n">
        <x:f>'Вводные'!$M$90*((IF(SUM($D55:$DS55)=0,0,IF(SUM($D58:$DS58)=0,1,'Вводные'!$B$63)))*AZ57+(1-(IF(SUM($D55:$DS55)=0,0,IF(SUM($D58:$DS58)=0,1,'Вводные'!$B$63))))*AZ59)</x:f>
      </x:c>
      <x:c r="BA63" s="107" t="n">
        <x:f>'Вводные'!$M$90*((IF(SUM($D55:$DS55)=0,0,IF(SUM($D58:$DS58)=0,1,'Вводные'!$B$63)))*BA57+(1-(IF(SUM($D55:$DS55)=0,0,IF(SUM($D58:$DS58)=0,1,'Вводные'!$B$63))))*BA59)</x:f>
      </x:c>
      <x:c r="BB63" s="107" t="n">
        <x:f>'Вводные'!$M$90*((IF(SUM($D55:$DS55)=0,0,IF(SUM($D58:$DS58)=0,1,'Вводные'!$B$63)))*BB57+(1-(IF(SUM($D55:$DS55)=0,0,IF(SUM($D58:$DS58)=0,1,'Вводные'!$B$63))))*BB59)</x:f>
      </x:c>
      <x:c r="BC63" s="107" t="n">
        <x:f>'Вводные'!$M$90*((IF(SUM($D55:$DS55)=0,0,IF(SUM($D58:$DS58)=0,1,'Вводные'!$B$63)))*BC57+(1-(IF(SUM($D55:$DS55)=0,0,IF(SUM($D58:$DS58)=0,1,'Вводные'!$B$63))))*BC59)</x:f>
      </x:c>
      <x:c r="BD63" s="107" t="n">
        <x:f>'Вводные'!$M$90*((IF(SUM($D55:$DS55)=0,0,IF(SUM($D58:$DS58)=0,1,'Вводные'!$B$63)))*BD57+(1-(IF(SUM($D55:$DS55)=0,0,IF(SUM($D58:$DS58)=0,1,'Вводные'!$B$63))))*BD59)</x:f>
      </x:c>
      <x:c r="BE63" s="107" t="n">
        <x:f>'Вводные'!$M$90*((IF(SUM($D55:$DS55)=0,0,IF(SUM($D58:$DS58)=0,1,'Вводные'!$B$63)))*BE57+(1-(IF(SUM($D55:$DS55)=0,0,IF(SUM($D58:$DS58)=0,1,'Вводные'!$B$63))))*BE59)</x:f>
      </x:c>
      <x:c r="BF63" s="107" t="n">
        <x:f>'Вводные'!$M$90*((IF(SUM($D55:$DS55)=0,0,IF(SUM($D58:$DS58)=0,1,'Вводные'!$B$63)))*BF57+(1-(IF(SUM($D55:$DS55)=0,0,IF(SUM($D58:$DS58)=0,1,'Вводные'!$B$63))))*BF59)</x:f>
      </x:c>
      <x:c r="BG63" s="107" t="n">
        <x:f>'Вводные'!$M$90*((IF(SUM($D55:$DS55)=0,0,IF(SUM($D58:$DS58)=0,1,'Вводные'!$B$63)))*BG57+(1-(IF(SUM($D55:$DS55)=0,0,IF(SUM($D58:$DS58)=0,1,'Вводные'!$B$63))))*BG59)</x:f>
      </x:c>
      <x:c r="BH63" s="107" t="n">
        <x:f>'Вводные'!$M$90*((IF(SUM($D55:$DS55)=0,0,IF(SUM($D58:$DS58)=0,1,'Вводные'!$B$63)))*BH57+(1-(IF(SUM($D55:$DS55)=0,0,IF(SUM($D58:$DS58)=0,1,'Вводные'!$B$63))))*BH59)</x:f>
      </x:c>
      <x:c r="BI63" s="107" t="n">
        <x:f>'Вводные'!$M$90*((IF(SUM($D55:$DS55)=0,0,IF(SUM($D58:$DS58)=0,1,'Вводные'!$B$63)))*BI57+(1-(IF(SUM($D55:$DS55)=0,0,IF(SUM($D58:$DS58)=0,1,'Вводные'!$B$63))))*BI59)</x:f>
      </x:c>
      <x:c r="BJ63" s="107" t="n">
        <x:f>'Вводные'!$M$90*((IF(SUM($D55:$DS55)=0,0,IF(SUM($D58:$DS58)=0,1,'Вводные'!$B$63)))*BJ57+(1-(IF(SUM($D55:$DS55)=0,0,IF(SUM($D58:$DS58)=0,1,'Вводные'!$B$63))))*BJ59)</x:f>
      </x:c>
      <x:c r="BK63" s="107" t="n">
        <x:f>'Вводные'!$M$90*((IF(SUM($D55:$DS55)=0,0,IF(SUM($D58:$DS58)=0,1,'Вводные'!$B$63)))*BK57+(1-(IF(SUM($D55:$DS55)=0,0,IF(SUM($D58:$DS58)=0,1,'Вводные'!$B$63))))*BK59)</x:f>
      </x:c>
      <x:c r="BL63" s="107" t="n">
        <x:f>'Вводные'!$M$90*((IF(SUM($D55:$DS55)=0,0,IF(SUM($D58:$DS58)=0,1,'Вводные'!$B$63)))*BL57+(1-(IF(SUM($D55:$DS55)=0,0,IF(SUM($D58:$DS58)=0,1,'Вводные'!$B$63))))*BL59)</x:f>
      </x:c>
      <x:c r="BM63" s="107" t="n">
        <x:f>'Вводные'!$M$90*((IF(SUM($D55:$DS55)=0,0,IF(SUM($D58:$DS58)=0,1,'Вводные'!$B$63)))*BM57+(1-(IF(SUM($D55:$DS55)=0,0,IF(SUM($D58:$DS58)=0,1,'Вводные'!$B$63))))*BM59)</x:f>
      </x:c>
      <x:c r="BN63" s="107" t="n">
        <x:f>'Вводные'!$M$90*((IF(SUM($D55:$DS55)=0,0,IF(SUM($D58:$DS58)=0,1,'Вводные'!$B$63)))*BN57+(1-(IF(SUM($D55:$DS55)=0,0,IF(SUM($D58:$DS58)=0,1,'Вводные'!$B$63))))*BN59)</x:f>
      </x:c>
      <x:c r="BO63" s="107" t="n">
        <x:f>'Вводные'!$M$90*((IF(SUM($D55:$DS55)=0,0,IF(SUM($D58:$DS58)=0,1,'Вводные'!$B$63)))*BO57+(1-(IF(SUM($D55:$DS55)=0,0,IF(SUM($D58:$DS58)=0,1,'Вводные'!$B$63))))*BO59)</x:f>
      </x:c>
      <x:c r="BP63" s="107" t="n">
        <x:f>'Вводные'!$M$90*((IF(SUM($D55:$DS55)=0,0,IF(SUM($D58:$DS58)=0,1,'Вводные'!$B$63)))*BP57+(1-(IF(SUM($D55:$DS55)=0,0,IF(SUM($D58:$DS58)=0,1,'Вводные'!$B$63))))*BP59)</x:f>
      </x:c>
      <x:c r="BQ63" s="107" t="n">
        <x:f>'Вводные'!$M$90*((IF(SUM($D55:$DS55)=0,0,IF(SUM($D58:$DS58)=0,1,'Вводные'!$B$63)))*BQ57+(1-(IF(SUM($D55:$DS55)=0,0,IF(SUM($D58:$DS58)=0,1,'Вводные'!$B$63))))*BQ59)</x:f>
      </x:c>
      <x:c r="BR63" s="107" t="n">
        <x:f>'Вводные'!$M$90*((IF(SUM($D55:$DS55)=0,0,IF(SUM($D58:$DS58)=0,1,'Вводные'!$B$63)))*BR57+(1-(IF(SUM($D55:$DS55)=0,0,IF(SUM($D58:$DS58)=0,1,'Вводные'!$B$63))))*BR59)</x:f>
      </x:c>
      <x:c r="BS63" s="107" t="n">
        <x:f>'Вводные'!$M$90*((IF(SUM($D55:$DS55)=0,0,IF(SUM($D58:$DS58)=0,1,'Вводные'!$B$63)))*BS57+(1-(IF(SUM($D55:$DS55)=0,0,IF(SUM($D58:$DS58)=0,1,'Вводные'!$B$63))))*BS59)</x:f>
      </x:c>
      <x:c r="BT63" s="107" t="n">
        <x:f>'Вводные'!$M$90*((IF(SUM($D55:$DS55)=0,0,IF(SUM($D58:$DS58)=0,1,'Вводные'!$B$63)))*BT57+(1-(IF(SUM($D55:$DS55)=0,0,IF(SUM($D58:$DS58)=0,1,'Вводные'!$B$63))))*BT59)</x:f>
      </x:c>
      <x:c r="BU63" s="107" t="n">
        <x:f>'Вводные'!$M$90*((IF(SUM($D55:$DS55)=0,0,IF(SUM($D58:$DS58)=0,1,'Вводные'!$B$63)))*BU57+(1-(IF(SUM($D55:$DS55)=0,0,IF(SUM($D58:$DS58)=0,1,'Вводные'!$B$63))))*BU59)</x:f>
      </x:c>
      <x:c r="BV63" s="107" t="n">
        <x:f>'Вводные'!$M$90*((IF(SUM($D55:$DS55)=0,0,IF(SUM($D58:$DS58)=0,1,'Вводные'!$B$63)))*BV57+(1-(IF(SUM($D55:$DS55)=0,0,IF(SUM($D58:$DS58)=0,1,'Вводные'!$B$63))))*BV59)</x:f>
      </x:c>
      <x:c r="BW63" s="107" t="n">
        <x:f>'Вводные'!$M$90*((IF(SUM($D55:$DS55)=0,0,IF(SUM($D58:$DS58)=0,1,'Вводные'!$B$63)))*BW57+(1-(IF(SUM($D55:$DS55)=0,0,IF(SUM($D58:$DS58)=0,1,'Вводные'!$B$63))))*BW59)</x:f>
      </x:c>
      <x:c r="BX63" s="107" t="n">
        <x:f>'Вводные'!$M$90*((IF(SUM($D55:$DS55)=0,0,IF(SUM($D58:$DS58)=0,1,'Вводные'!$B$63)))*BX57+(1-(IF(SUM($D55:$DS55)=0,0,IF(SUM($D58:$DS58)=0,1,'Вводные'!$B$63))))*BX59)</x:f>
      </x:c>
      <x:c r="BY63" s="107" t="n">
        <x:f>'Вводные'!$M$90*((IF(SUM($D55:$DS55)=0,0,IF(SUM($D58:$DS58)=0,1,'Вводные'!$B$63)))*BY57+(1-(IF(SUM($D55:$DS55)=0,0,IF(SUM($D58:$DS58)=0,1,'Вводные'!$B$63))))*BY59)</x:f>
      </x:c>
      <x:c r="BZ63" s="107" t="n">
        <x:f>'Вводные'!$M$90*((IF(SUM($D55:$DS55)=0,0,IF(SUM($D58:$DS58)=0,1,'Вводные'!$B$63)))*BZ57+(1-(IF(SUM($D55:$DS55)=0,0,IF(SUM($D58:$DS58)=0,1,'Вводные'!$B$63))))*BZ59)</x:f>
      </x:c>
      <x:c r="CA63" s="107" t="n">
        <x:f>'Вводные'!$M$90*((IF(SUM($D55:$DS55)=0,0,IF(SUM($D58:$DS58)=0,1,'Вводные'!$B$63)))*CA57+(1-(IF(SUM($D55:$DS55)=0,0,IF(SUM($D58:$DS58)=0,1,'Вводные'!$B$63))))*CA59)</x:f>
      </x:c>
      <x:c r="CB63" s="107" t="n">
        <x:f>'Вводные'!$M$90*((IF(SUM($D55:$DS55)=0,0,IF(SUM($D58:$DS58)=0,1,'Вводные'!$B$63)))*CB57+(1-(IF(SUM($D55:$DS55)=0,0,IF(SUM($D58:$DS58)=0,1,'Вводные'!$B$63))))*CB59)</x:f>
      </x:c>
      <x:c r="CC63" s="107" t="n">
        <x:f>'Вводные'!$M$90*((IF(SUM($D55:$DS55)=0,0,IF(SUM($D58:$DS58)=0,1,'Вводные'!$B$63)))*CC57+(1-(IF(SUM($D55:$DS55)=0,0,IF(SUM($D58:$DS58)=0,1,'Вводные'!$B$63))))*CC59)</x:f>
      </x:c>
      <x:c r="CD63" s="107" t="n">
        <x:f>'Вводные'!$M$90*((IF(SUM($D55:$DS55)=0,0,IF(SUM($D58:$DS58)=0,1,'Вводные'!$B$63)))*CD57+(1-(IF(SUM($D55:$DS55)=0,0,IF(SUM($D58:$DS58)=0,1,'Вводные'!$B$63))))*CD59)</x:f>
      </x:c>
      <x:c r="CE63" s="107" t="n">
        <x:f>'Вводные'!$M$90*((IF(SUM($D55:$DS55)=0,0,IF(SUM($D58:$DS58)=0,1,'Вводные'!$B$63)))*CE57+(1-(IF(SUM($D55:$DS55)=0,0,IF(SUM($D58:$DS58)=0,1,'Вводные'!$B$63))))*CE59)</x:f>
      </x:c>
      <x:c r="CF63" s="107" t="n">
        <x:f>'Вводные'!$M$90*((IF(SUM($D55:$DS55)=0,0,IF(SUM($D58:$DS58)=0,1,'Вводные'!$B$63)))*CF57+(1-(IF(SUM($D55:$DS55)=0,0,IF(SUM($D58:$DS58)=0,1,'Вводные'!$B$63))))*CF59)</x:f>
      </x:c>
      <x:c r="CG63" s="107" t="n">
        <x:f>'Вводные'!$M$90*((IF(SUM($D55:$DS55)=0,0,IF(SUM($D58:$DS58)=0,1,'Вводные'!$B$63)))*CG57+(1-(IF(SUM($D55:$DS55)=0,0,IF(SUM($D58:$DS58)=0,1,'Вводные'!$B$63))))*CG59)</x:f>
      </x:c>
      <x:c r="CH63" s="107" t="n">
        <x:f>'Вводные'!$M$90*((IF(SUM($D55:$DS55)=0,0,IF(SUM($D58:$DS58)=0,1,'Вводные'!$B$63)))*CH57+(1-(IF(SUM($D55:$DS55)=0,0,IF(SUM($D58:$DS58)=0,1,'Вводные'!$B$63))))*CH59)</x:f>
      </x:c>
      <x:c r="CI63" s="107" t="n">
        <x:f>'Вводные'!$M$90*((IF(SUM($D55:$DS55)=0,0,IF(SUM($D58:$DS58)=0,1,'Вводные'!$B$63)))*CI57+(1-(IF(SUM($D55:$DS55)=0,0,IF(SUM($D58:$DS58)=0,1,'Вводные'!$B$63))))*CI59)</x:f>
      </x:c>
      <x:c r="CJ63" s="107" t="n">
        <x:f>'Вводные'!$M$90*((IF(SUM($D55:$DS55)=0,0,IF(SUM($D58:$DS58)=0,1,'Вводные'!$B$63)))*CJ57+(1-(IF(SUM($D55:$DS55)=0,0,IF(SUM($D58:$DS58)=0,1,'Вводные'!$B$63))))*CJ59)</x:f>
      </x:c>
      <x:c r="CK63" s="107" t="n">
        <x:f>'Вводные'!$M$90*((IF(SUM($D55:$DS55)=0,0,IF(SUM($D58:$DS58)=0,1,'Вводные'!$B$63)))*CK57+(1-(IF(SUM($D55:$DS55)=0,0,IF(SUM($D58:$DS58)=0,1,'Вводные'!$B$63))))*CK59)</x:f>
      </x:c>
      <x:c r="CL63" s="107" t="n">
        <x:f>'Вводные'!$M$90*((IF(SUM($D55:$DS55)=0,0,IF(SUM($D58:$DS58)=0,1,'Вводные'!$B$63)))*CL57+(1-(IF(SUM($D55:$DS55)=0,0,IF(SUM($D58:$DS58)=0,1,'Вводные'!$B$63))))*CL59)</x:f>
      </x:c>
      <x:c r="CM63" s="107" t="n">
        <x:f>'Вводные'!$M$90*((IF(SUM($D55:$DS55)=0,0,IF(SUM($D58:$DS58)=0,1,'Вводные'!$B$63)))*CM57+(1-(IF(SUM($D55:$DS55)=0,0,IF(SUM($D58:$DS58)=0,1,'Вводные'!$B$63))))*CM59)</x:f>
      </x:c>
      <x:c r="CN63" s="107" t="n">
        <x:f>'Вводные'!$M$90*((IF(SUM($D55:$DS55)=0,0,IF(SUM($D58:$DS58)=0,1,'Вводные'!$B$63)))*CN57+(1-(IF(SUM($D55:$DS55)=0,0,IF(SUM($D58:$DS58)=0,1,'Вводные'!$B$63))))*CN59)</x:f>
      </x:c>
      <x:c r="CO63" s="107" t="n">
        <x:f>'Вводные'!$M$90*((IF(SUM($D55:$DS55)=0,0,IF(SUM($D58:$DS58)=0,1,'Вводные'!$B$63)))*CO57+(1-(IF(SUM($D55:$DS55)=0,0,IF(SUM($D58:$DS58)=0,1,'Вводные'!$B$63))))*CO59)</x:f>
      </x:c>
      <x:c r="CP63" s="107" t="n">
        <x:f>'Вводные'!$M$90*((IF(SUM($D55:$DS55)=0,0,IF(SUM($D58:$DS58)=0,1,'Вводные'!$B$63)))*CP57+(1-(IF(SUM($D55:$DS55)=0,0,IF(SUM($D58:$DS58)=0,1,'Вводные'!$B$63))))*CP59)</x:f>
      </x:c>
      <x:c r="CQ63" s="107" t="n">
        <x:f>'Вводные'!$M$90*((IF(SUM($D55:$DS55)=0,0,IF(SUM($D58:$DS58)=0,1,'Вводные'!$B$63)))*CQ57+(1-(IF(SUM($D55:$DS55)=0,0,IF(SUM($D58:$DS58)=0,1,'Вводные'!$B$63))))*CQ59)</x:f>
      </x:c>
      <x:c r="CR63" s="107" t="n">
        <x:f>'Вводные'!$M$90*((IF(SUM($D55:$DS55)=0,0,IF(SUM($D58:$DS58)=0,1,'Вводные'!$B$63)))*CR57+(1-(IF(SUM($D55:$DS55)=0,0,IF(SUM($D58:$DS58)=0,1,'Вводные'!$B$63))))*CR59)</x:f>
      </x:c>
      <x:c r="CS63" s="107" t="n">
        <x:f>'Вводные'!$M$90*((IF(SUM($D55:$DS55)=0,0,IF(SUM($D58:$DS58)=0,1,'Вводные'!$B$63)))*CS57+(1-(IF(SUM($D55:$DS55)=0,0,IF(SUM($D58:$DS58)=0,1,'Вводные'!$B$63))))*CS59)</x:f>
      </x:c>
      <x:c r="CT63" s="107" t="n">
        <x:f>'Вводные'!$M$90*((IF(SUM($D55:$DS55)=0,0,IF(SUM($D58:$DS58)=0,1,'Вводные'!$B$63)))*CT57+(1-(IF(SUM($D55:$DS55)=0,0,IF(SUM($D58:$DS58)=0,1,'Вводные'!$B$63))))*CT59)</x:f>
      </x:c>
      <x:c r="CU63" s="107" t="n">
        <x:f>'Вводные'!$M$90*((IF(SUM($D55:$DS55)=0,0,IF(SUM($D58:$DS58)=0,1,'Вводные'!$B$63)))*CU57+(1-(IF(SUM($D55:$DS55)=0,0,IF(SUM($D58:$DS58)=0,1,'Вводные'!$B$63))))*CU59)</x:f>
      </x:c>
      <x:c r="CV63" s="107" t="n">
        <x:f>'Вводные'!$M$90*((IF(SUM($D55:$DS55)=0,0,IF(SUM($D58:$DS58)=0,1,'Вводные'!$B$63)))*CV57+(1-(IF(SUM($D55:$DS55)=0,0,IF(SUM($D58:$DS58)=0,1,'Вводные'!$B$63))))*CV59)</x:f>
      </x:c>
      <x:c r="CW63" s="107" t="n">
        <x:f>'Вводные'!$M$90*((IF(SUM($D55:$DS55)=0,0,IF(SUM($D58:$DS58)=0,1,'Вводные'!$B$63)))*CW57+(1-(IF(SUM($D55:$DS55)=0,0,IF(SUM($D58:$DS58)=0,1,'Вводные'!$B$63))))*CW59)</x:f>
      </x:c>
      <x:c r="CX63" s="107" t="n">
        <x:f>'Вводные'!$M$90*((IF(SUM($D55:$DS55)=0,0,IF(SUM($D58:$DS58)=0,1,'Вводные'!$B$63)))*CX57+(1-(IF(SUM($D55:$DS55)=0,0,IF(SUM($D58:$DS58)=0,1,'Вводные'!$B$63))))*CX59)</x:f>
      </x:c>
      <x:c r="CY63" s="107" t="n">
        <x:f>'Вводные'!$M$90*((IF(SUM($D55:$DS55)=0,0,IF(SUM($D58:$DS58)=0,1,'Вводные'!$B$63)))*CY57+(1-(IF(SUM($D55:$DS55)=0,0,IF(SUM($D58:$DS58)=0,1,'Вводные'!$B$63))))*CY59)</x:f>
      </x:c>
      <x:c r="CZ63" s="107" t="n">
        <x:f>'Вводные'!$M$90*((IF(SUM($D55:$DS55)=0,0,IF(SUM($D58:$DS58)=0,1,'Вводные'!$B$63)))*CZ57+(1-(IF(SUM($D55:$DS55)=0,0,IF(SUM($D58:$DS58)=0,1,'Вводные'!$B$63))))*CZ59)</x:f>
      </x:c>
      <x:c r="DA63" s="107" t="n">
        <x:f>'Вводные'!$M$90*((IF(SUM($D55:$DS55)=0,0,IF(SUM($D58:$DS58)=0,1,'Вводные'!$B$63)))*DA57+(1-(IF(SUM($D55:$DS55)=0,0,IF(SUM($D58:$DS58)=0,1,'Вводные'!$B$63))))*DA59)</x:f>
      </x:c>
      <x:c r="DB63" s="107" t="n">
        <x:f>'Вводные'!$M$90*((IF(SUM($D55:$DS55)=0,0,IF(SUM($D58:$DS58)=0,1,'Вводные'!$B$63)))*DB57+(1-(IF(SUM($D55:$DS55)=0,0,IF(SUM($D58:$DS58)=0,1,'Вводные'!$B$63))))*DB59)</x:f>
      </x:c>
      <x:c r="DC63" s="107" t="n">
        <x:f>'Вводные'!$M$90*((IF(SUM($D55:$DS55)=0,0,IF(SUM($D58:$DS58)=0,1,'Вводные'!$B$63)))*DC57+(1-(IF(SUM($D55:$DS55)=0,0,IF(SUM($D58:$DS58)=0,1,'Вводные'!$B$63))))*DC59)</x:f>
      </x:c>
      <x:c r="DD63" s="107" t="n">
        <x:f>'Вводные'!$M$90*((IF(SUM($D55:$DS55)=0,0,IF(SUM($D58:$DS58)=0,1,'Вводные'!$B$63)))*DD57+(1-(IF(SUM($D55:$DS55)=0,0,IF(SUM($D58:$DS58)=0,1,'Вводные'!$B$63))))*DD59)</x:f>
      </x:c>
      <x:c r="DE63" s="107" t="n">
        <x:f>'Вводные'!$M$90*((IF(SUM($D55:$DS55)=0,0,IF(SUM($D58:$DS58)=0,1,'Вводные'!$B$63)))*DE57+(1-(IF(SUM($D55:$DS55)=0,0,IF(SUM($D58:$DS58)=0,1,'Вводные'!$B$63))))*DE59)</x:f>
      </x:c>
      <x:c r="DF63" s="107" t="n">
        <x:f>'Вводные'!$M$90*((IF(SUM($D55:$DS55)=0,0,IF(SUM($D58:$DS58)=0,1,'Вводные'!$B$63)))*DF57+(1-(IF(SUM($D55:$DS55)=0,0,IF(SUM($D58:$DS58)=0,1,'Вводные'!$B$63))))*DF59)</x:f>
      </x:c>
      <x:c r="DG63" s="107" t="n">
        <x:f>'Вводные'!$M$90*((IF(SUM($D55:$DS55)=0,0,IF(SUM($D58:$DS58)=0,1,'Вводные'!$B$63)))*DG57+(1-(IF(SUM($D55:$DS55)=0,0,IF(SUM($D58:$DS58)=0,1,'Вводные'!$B$63))))*DG59)</x:f>
      </x:c>
      <x:c r="DH63" s="107" t="n">
        <x:f>'Вводные'!$M$90*((IF(SUM($D55:$DS55)=0,0,IF(SUM($D58:$DS58)=0,1,'Вводные'!$B$63)))*DH57+(1-(IF(SUM($D55:$DS55)=0,0,IF(SUM($D58:$DS58)=0,1,'Вводные'!$B$63))))*DH59)</x:f>
      </x:c>
      <x:c r="DI63" s="107" t="n">
        <x:f>'Вводные'!$M$90*((IF(SUM($D55:$DS55)=0,0,IF(SUM($D58:$DS58)=0,1,'Вводные'!$B$63)))*DI57+(1-(IF(SUM($D55:$DS55)=0,0,IF(SUM($D58:$DS58)=0,1,'Вводные'!$B$63))))*DI59)</x:f>
      </x:c>
      <x:c r="DJ63" s="107" t="n">
        <x:f>'Вводные'!$M$90*((IF(SUM($D55:$DS55)=0,0,IF(SUM($D58:$DS58)=0,1,'Вводные'!$B$63)))*DJ57+(1-(IF(SUM($D55:$DS55)=0,0,IF(SUM($D58:$DS58)=0,1,'Вводные'!$B$63))))*DJ59)</x:f>
      </x:c>
      <x:c r="DK63" s="107" t="n">
        <x:f>'Вводные'!$M$90*((IF(SUM($D55:$DS55)=0,0,IF(SUM($D58:$DS58)=0,1,'Вводные'!$B$63)))*DK57+(1-(IF(SUM($D55:$DS55)=0,0,IF(SUM($D58:$DS58)=0,1,'Вводные'!$B$63))))*DK59)</x:f>
      </x:c>
      <x:c r="DL63" s="107" t="n">
        <x:f>'Вводные'!$M$90*((IF(SUM($D55:$DS55)=0,0,IF(SUM($D58:$DS58)=0,1,'Вводные'!$B$63)))*DL57+(1-(IF(SUM($D55:$DS55)=0,0,IF(SUM($D58:$DS58)=0,1,'Вводные'!$B$63))))*DL59)</x:f>
      </x:c>
      <x:c r="DM63" s="107" t="n">
        <x:f>'Вводные'!$M$90*((IF(SUM($D55:$DS55)=0,0,IF(SUM($D58:$DS58)=0,1,'Вводные'!$B$63)))*DM57+(1-(IF(SUM($D55:$DS55)=0,0,IF(SUM($D58:$DS58)=0,1,'Вводные'!$B$63))))*DM59)</x:f>
      </x:c>
      <x:c r="DN63" s="107" t="n">
        <x:f>'Вводные'!$M$90*((IF(SUM($D55:$DS55)=0,0,IF(SUM($D58:$DS58)=0,1,'Вводные'!$B$63)))*DN57+(1-(IF(SUM($D55:$DS55)=0,0,IF(SUM($D58:$DS58)=0,1,'Вводные'!$B$63))))*DN59)</x:f>
      </x:c>
      <x:c r="DO63" s="107" t="n">
        <x:f>'Вводные'!$M$90*((IF(SUM($D55:$DS55)=0,0,IF(SUM($D58:$DS58)=0,1,'Вводные'!$B$63)))*DO57+(1-(IF(SUM($D55:$DS55)=0,0,IF(SUM($D58:$DS58)=0,1,'Вводные'!$B$63))))*DO59)</x:f>
      </x:c>
      <x:c r="DP63" s="107" t="n">
        <x:f>'Вводные'!$M$90*((IF(SUM($D55:$DS55)=0,0,IF(SUM($D58:$DS58)=0,1,'Вводные'!$B$63)))*DP57+(1-(IF(SUM($D55:$DS55)=0,0,IF(SUM($D58:$DS58)=0,1,'Вводные'!$B$63))))*DP59)</x:f>
      </x:c>
      <x:c r="DQ63" s="107" t="n">
        <x:f>'Вводные'!$M$90*((IF(SUM($D55:$DS55)=0,0,IF(SUM($D58:$DS58)=0,1,'Вводные'!$B$63)))*DQ57+(1-(IF(SUM($D55:$DS55)=0,0,IF(SUM($D58:$DS58)=0,1,'Вводные'!$B$63))))*DQ59)</x:f>
      </x:c>
      <x:c r="DR63" s="107" t="n">
        <x:f>'Вводные'!$M$90*((IF(SUM($D55:$DS55)=0,0,IF(SUM($D58:$DS58)=0,1,'Вводные'!$B$63)))*DR57+(1-(IF(SUM($D55:$DS55)=0,0,IF(SUM($D58:$DS58)=0,1,'Вводные'!$B$63))))*DR59)</x:f>
      </x:c>
      <x:c r="DS63" s="107" t="n">
        <x:f>'Вводные'!$M$90*((IF(SUM($D55:$DS55)=0,0,IF(SUM($D58:$DS58)=0,1,'Вводные'!$B$63)))*DS57+(1-(IF(SUM($D55:$DS55)=0,0,IF(SUM($D58:$DS58)=0,1,'Вводные'!$B$63))))*DS59)</x:f>
      </x:c>
    </x:row>
    <x:row r="64">
      <x:c r="A64" t="str">
        <x:v>Коммерция — цена</x:v>
      </x:c>
      <x:c r="B64" t="n">
        <x:f>IFERROR(B65*1000/B63,0)</x:f>
      </x:c>
      <x:c r="C64" t="str">
        <x:v>тыс. ₽/м²</x:v>
      </x:c>
      <x:c r="D64" s="107" t="n">
        <x:f>IF(D63=0,0,'Вводные'!$B$60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4" s="107" t="n">
        <x:f>IF(E63=0,0,'Вводные'!$B$60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4" s="107" t="n">
        <x:f>IF(F63=0,0,'Вводные'!$B$60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4" s="107" t="n">
        <x:f>IF(G63=0,0,'Вводные'!$B$60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4" s="107" t="n">
        <x:f>IF(H63=0,0,'Вводные'!$B$60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4" s="107" t="n">
        <x:f>IF(I63=0,0,'Вводные'!$B$60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4" s="107" t="n">
        <x:f>IF(J63=0,0,'Вводные'!$B$60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4" s="107" t="n">
        <x:f>IF(K63=0,0,'Вводные'!$B$60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4" s="107" t="n">
        <x:f>IF(L63=0,0,'Вводные'!$B$60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4" s="107" t="n">
        <x:f>IF(M63=0,0,'Вводные'!$B$60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4" s="107" t="n">
        <x:f>IF(N63=0,0,'Вводные'!$B$60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4" s="107" t="n">
        <x:f>IF(O63=0,0,'Вводные'!$B$60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4" s="107" t="n">
        <x:f>IF(P63=0,0,'Вводные'!$B$60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4" s="107" t="n">
        <x:f>IF(Q63=0,0,'Вводные'!$B$60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4" s="107" t="n">
        <x:f>IF(R63=0,0,'Вводные'!$B$60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4" s="107" t="n">
        <x:f>IF(S63=0,0,'Вводные'!$B$60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4" s="107" t="n">
        <x:f>IF(T63=0,0,'Вводные'!$B$60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4" s="107" t="n">
        <x:f>IF(U63=0,0,'Вводные'!$B$60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4" s="107" t="n">
        <x:f>IF(V63=0,0,'Вводные'!$B$60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4" s="107" t="n">
        <x:f>IF(W63=0,0,'Вводные'!$B$60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4" s="107" t="n">
        <x:f>IF(X63=0,0,'Вводные'!$B$60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4" s="107" t="n">
        <x:f>IF(Y63=0,0,'Вводные'!$B$60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4" s="107" t="n">
        <x:f>IF(Z63=0,0,'Вводные'!$B$60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4" s="107" t="n">
        <x:f>IF(AA63=0,0,'Вводные'!$B$60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4" s="107" t="n">
        <x:f>IF(AB63=0,0,'Вводные'!$B$60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4" s="107" t="n">
        <x:f>IF(AC63=0,0,'Вводные'!$B$60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4" s="107" t="n">
        <x:f>IF(AD63=0,0,'Вводные'!$B$60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4" s="107" t="n">
        <x:f>IF(AE63=0,0,'Вводные'!$B$60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4" s="107" t="n">
        <x:f>IF(AF63=0,0,'Вводные'!$B$60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4" s="107" t="n">
        <x:f>IF(AG63=0,0,'Вводные'!$B$60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4" s="107" t="n">
        <x:f>IF(AH63=0,0,'Вводные'!$B$60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4" s="107" t="n">
        <x:f>IF(AI63=0,0,'Вводные'!$B$60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4" s="107" t="n">
        <x:f>IF(AJ63=0,0,'Вводные'!$B$60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4" s="107" t="n">
        <x:f>IF(AK63=0,0,'Вводные'!$B$60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4" s="107" t="n">
        <x:f>IF(AL63=0,0,'Вводные'!$B$60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4" s="107" t="n">
        <x:f>IF(AM63=0,0,'Вводные'!$B$60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4" s="107" t="n">
        <x:f>IF(AN63=0,0,'Вводные'!$B$60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4" s="107" t="n">
        <x:f>IF(AO63=0,0,'Вводные'!$B$60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4" s="107" t="n">
        <x:f>IF(AP63=0,0,'Вводные'!$B$60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4" s="107" t="n">
        <x:f>IF(AQ63=0,0,'Вводные'!$B$60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4" s="107" t="n">
        <x:f>IF(AR63=0,0,'Вводные'!$B$60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4" s="107" t="n">
        <x:f>IF(AS63=0,0,'Вводные'!$B$60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4" s="107" t="n">
        <x:f>IF(AT63=0,0,'Вводные'!$B$60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4" s="107" t="n">
        <x:f>IF(AU63=0,0,'Вводные'!$B$60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4" s="107" t="n">
        <x:f>IF(AV63=0,0,'Вводные'!$B$60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4" s="107" t="n">
        <x:f>IF(AW63=0,0,'Вводные'!$B$60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4" s="107" t="n">
        <x:f>IF(AX63=0,0,'Вводные'!$B$60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4" s="107" t="n">
        <x:f>IF(AY63=0,0,'Вводные'!$B$60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4" s="107" t="n">
        <x:f>IF(AZ63=0,0,'Вводные'!$B$60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4" s="107" t="n">
        <x:f>IF(BA63=0,0,'Вводные'!$B$60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4" s="107" t="n">
        <x:f>IF(BB63=0,0,'Вводные'!$B$60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4" s="107" t="n">
        <x:f>IF(BC63=0,0,'Вводные'!$B$60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4" s="107" t="n">
        <x:f>IF(BD63=0,0,'Вводные'!$B$60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4" s="107" t="n">
        <x:f>IF(BE63=0,0,'Вводные'!$B$60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4" s="107" t="n">
        <x:f>IF(BF63=0,0,'Вводные'!$B$60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4" s="107" t="n">
        <x:f>IF(BG63=0,0,'Вводные'!$B$60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4" s="107" t="n">
        <x:f>IF(BH63=0,0,'Вводные'!$B$60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4" s="107" t="n">
        <x:f>IF(BI63=0,0,'Вводные'!$B$60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4" s="107" t="n">
        <x:f>IF(BJ63=0,0,'Вводные'!$B$60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4" s="107" t="n">
        <x:f>IF(BK63=0,0,'Вводные'!$B$60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4" s="107" t="n">
        <x:f>IF(BL63=0,0,'Вводные'!$B$60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4" s="107" t="n">
        <x:f>IF(BM63=0,0,'Вводные'!$B$60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4" s="107" t="n">
        <x:f>IF(BN63=0,0,'Вводные'!$B$60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4" s="107" t="n">
        <x:f>IF(BO63=0,0,'Вводные'!$B$60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4" s="107" t="n">
        <x:f>IF(BP63=0,0,'Вводные'!$B$60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4" s="107" t="n">
        <x:f>IF(BQ63=0,0,'Вводные'!$B$60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4" s="107" t="n">
        <x:f>IF(BR63=0,0,'Вводные'!$B$60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4" s="107" t="n">
        <x:f>IF(BS63=0,0,'Вводные'!$B$60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4" s="107" t="n">
        <x:f>IF(BT63=0,0,'Вводные'!$B$60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4" s="107" t="n">
        <x:f>IF(BU63=0,0,'Вводные'!$B$60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4" s="107" t="n">
        <x:f>IF(BV63=0,0,'Вводные'!$B$60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4" s="107" t="n">
        <x:f>IF(BW63=0,0,'Вводные'!$B$60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4" s="107" t="n">
        <x:f>IF(BX63=0,0,'Вводные'!$B$60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4" s="107" t="n">
        <x:f>IF(BY63=0,0,'Вводные'!$B$60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4" s="107" t="n">
        <x:f>IF(BZ63=0,0,'Вводные'!$B$60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4" s="107" t="n">
        <x:f>IF(CA63=0,0,'Вводные'!$B$60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4" s="107" t="n">
        <x:f>IF(CB63=0,0,'Вводные'!$B$60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4" s="107" t="n">
        <x:f>IF(CC63=0,0,'Вводные'!$B$60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4" s="107" t="n">
        <x:f>IF(CD63=0,0,'Вводные'!$B$60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4" s="107" t="n">
        <x:f>IF(CE63=0,0,'Вводные'!$B$60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4" s="107" t="n">
        <x:f>IF(CF63=0,0,'Вводные'!$B$60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4" s="107" t="n">
        <x:f>IF(CG63=0,0,'Вводные'!$B$60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4" s="107" t="n">
        <x:f>IF(CH63=0,0,'Вводные'!$B$60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4" s="107" t="n">
        <x:f>IF(CI63=0,0,'Вводные'!$B$60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4" s="107" t="n">
        <x:f>IF(CJ63=0,0,'Вводные'!$B$60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4" s="107" t="n">
        <x:f>IF(CK63=0,0,'Вводные'!$B$60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4" s="107" t="n">
        <x:f>IF(CL63=0,0,'Вводные'!$B$60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4" s="107" t="n">
        <x:f>IF(CM63=0,0,'Вводные'!$B$60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4" s="107" t="n">
        <x:f>IF(CN63=0,0,'Вводные'!$B$60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4" s="107" t="n">
        <x:f>IF(CO63=0,0,'Вводные'!$B$60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4" s="107" t="n">
        <x:f>IF(CP63=0,0,'Вводные'!$B$60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4" s="107" t="n">
        <x:f>IF(CQ63=0,0,'Вводные'!$B$60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4" s="107" t="n">
        <x:f>IF(CR63=0,0,'Вводные'!$B$60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4" s="107" t="n">
        <x:f>IF(CS63=0,0,'Вводные'!$B$60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4" s="107" t="n">
        <x:f>IF(CT63=0,0,'Вводные'!$B$60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4" s="107" t="n">
        <x:f>IF(CU63=0,0,'Вводные'!$B$60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4" s="107" t="n">
        <x:f>IF(CV63=0,0,'Вводные'!$B$60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4" s="107" t="n">
        <x:f>IF(CW63=0,0,'Вводные'!$B$60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4" s="107" t="n">
        <x:f>IF(CX63=0,0,'Вводные'!$B$60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4" s="107" t="n">
        <x:f>IF(CY63=0,0,'Вводные'!$B$60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4" s="107" t="n">
        <x:f>IF(CZ63=0,0,'Вводные'!$B$60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4" s="107" t="n">
        <x:f>IF(DA63=0,0,'Вводные'!$B$60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4" s="107" t="n">
        <x:f>IF(DB63=0,0,'Вводные'!$B$60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4" s="107" t="n">
        <x:f>IF(DC63=0,0,'Вводные'!$B$60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4" s="107" t="n">
        <x:f>IF(DD63=0,0,'Вводные'!$B$60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4" s="107" t="n">
        <x:f>IF(DE63=0,0,'Вводные'!$B$60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4" s="107" t="n">
        <x:f>IF(DF63=0,0,'Вводные'!$B$60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4" s="107" t="n">
        <x:f>IF(DG63=0,0,'Вводные'!$B$60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4" s="107" t="n">
        <x:f>IF(DH63=0,0,'Вводные'!$B$60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4" s="107" t="n">
        <x:f>IF(DI63=0,0,'Вводные'!$B$60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4" s="107" t="n">
        <x:f>IF(DJ63=0,0,'Вводные'!$B$60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4" s="107" t="n">
        <x:f>IF(DK63=0,0,'Вводные'!$B$60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4" s="107" t="n">
        <x:f>IF(DL63=0,0,'Вводные'!$B$60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4" s="107" t="n">
        <x:f>IF(DM63=0,0,'Вводные'!$B$60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4" s="107" t="n">
        <x:f>IF(DN63=0,0,'Вводные'!$B$60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4" s="107" t="n">
        <x:f>IF(DO63=0,0,'Вводные'!$B$60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4" s="107" t="n">
        <x:f>IF(DP63=0,0,'Вводные'!$B$60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4" s="107" t="n">
        <x:f>IF(DQ63=0,0,'Вводные'!$B$60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4" s="107" t="n">
        <x:f>IF(DR63=0,0,'Вводные'!$B$60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4" s="107" t="n">
        <x:f>IF(DS63=0,0,'Вводные'!$B$60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5">
      <x:c r="A65" t="str">
        <x:v>Коммерция — выручка</x:v>
      </x:c>
      <x:c r="B65" t="n">
        <x:f>SUM(D65:DS65)</x:f>
      </x:c>
      <x:c r="C65" t="str">
        <x:v>млн ₽</x:v>
      </x:c>
      <x:c r="D65" s="107" t="n">
        <x:f>D63*D64/1000</x:f>
      </x:c>
      <x:c r="E65" s="107" t="n">
        <x:f>E63*E64/1000</x:f>
      </x:c>
      <x:c r="F65" s="107" t="n">
        <x:f>F63*F64/1000</x:f>
      </x:c>
      <x:c r="G65" s="107" t="n">
        <x:f>G63*G64/1000</x:f>
      </x:c>
      <x:c r="H65" s="107" t="n">
        <x:f>H63*H64/1000</x:f>
      </x:c>
      <x:c r="I65" s="107" t="n">
        <x:f>I63*I64/1000</x:f>
      </x:c>
      <x:c r="J65" s="107" t="n">
        <x:f>J63*J64/1000</x:f>
      </x:c>
      <x:c r="K65" s="107" t="n">
        <x:f>K63*K64/1000</x:f>
      </x:c>
      <x:c r="L65" s="107" t="n">
        <x:f>L63*L64/1000</x:f>
      </x:c>
      <x:c r="M65" s="107" t="n">
        <x:f>M63*M64/1000</x:f>
      </x:c>
      <x:c r="N65" s="107" t="n">
        <x:f>N63*N64/1000</x:f>
      </x:c>
      <x:c r="O65" s="107" t="n">
        <x:f>O63*O64/1000</x:f>
      </x:c>
      <x:c r="P65" s="107" t="n">
        <x:f>P63*P64/1000</x:f>
      </x:c>
      <x:c r="Q65" s="107" t="n">
        <x:f>Q63*Q64/1000</x:f>
      </x:c>
      <x:c r="R65" s="107" t="n">
        <x:f>R63*R64/1000</x:f>
      </x:c>
      <x:c r="S65" s="107" t="n">
        <x:f>S63*S64/1000</x:f>
      </x:c>
      <x:c r="T65" s="107" t="n">
        <x:f>T63*T64/1000</x:f>
      </x:c>
      <x:c r="U65" s="107" t="n">
        <x:f>U63*U64/1000</x:f>
      </x:c>
      <x:c r="V65" s="107" t="n">
        <x:f>V63*V64/1000</x:f>
      </x:c>
      <x:c r="W65" s="107" t="n">
        <x:f>W63*W64/1000</x:f>
      </x:c>
      <x:c r="X65" s="107" t="n">
        <x:f>X63*X64/1000</x:f>
      </x:c>
      <x:c r="Y65" s="107" t="n">
        <x:f>Y63*Y64/1000</x:f>
      </x:c>
      <x:c r="Z65" s="107" t="n">
        <x:f>Z63*Z64/1000</x:f>
      </x:c>
      <x:c r="AA65" s="107" t="n">
        <x:f>AA63*AA64/1000</x:f>
      </x:c>
      <x:c r="AB65" s="107" t="n">
        <x:f>AB63*AB64/1000</x:f>
      </x:c>
      <x:c r="AC65" s="107" t="n">
        <x:f>AC63*AC64/1000</x:f>
      </x:c>
      <x:c r="AD65" s="107" t="n">
        <x:f>AD63*AD64/1000</x:f>
      </x:c>
      <x:c r="AE65" s="107" t="n">
        <x:f>AE63*AE64/1000</x:f>
      </x:c>
      <x:c r="AF65" s="107" t="n">
        <x:f>AF63*AF64/1000</x:f>
      </x:c>
      <x:c r="AG65" s="107" t="n">
        <x:f>AG63*AG64/1000</x:f>
      </x:c>
      <x:c r="AH65" s="107" t="n">
        <x:f>AH63*AH64/1000</x:f>
      </x:c>
      <x:c r="AI65" s="107" t="n">
        <x:f>AI63*AI64/1000</x:f>
      </x:c>
      <x:c r="AJ65" s="107" t="n">
        <x:f>AJ63*AJ64/1000</x:f>
      </x:c>
      <x:c r="AK65" s="107" t="n">
        <x:f>AK63*AK64/1000</x:f>
      </x:c>
      <x:c r="AL65" s="107" t="n">
        <x:f>AL63*AL64/1000</x:f>
      </x:c>
      <x:c r="AM65" s="107" t="n">
        <x:f>AM63*AM64/1000</x:f>
      </x:c>
      <x:c r="AN65" s="107" t="n">
        <x:f>AN63*AN64/1000</x:f>
      </x:c>
      <x:c r="AO65" s="107" t="n">
        <x:f>AO63*AO64/1000</x:f>
      </x:c>
      <x:c r="AP65" s="107" t="n">
        <x:f>AP63*AP64/1000</x:f>
      </x:c>
      <x:c r="AQ65" s="107" t="n">
        <x:f>AQ63*AQ64/1000</x:f>
      </x:c>
      <x:c r="AR65" s="107" t="n">
        <x:f>AR63*AR64/1000</x:f>
      </x:c>
      <x:c r="AS65" s="107" t="n">
        <x:f>AS63*AS64/1000</x:f>
      </x:c>
      <x:c r="AT65" s="107" t="n">
        <x:f>AT63*AT64/1000</x:f>
      </x:c>
      <x:c r="AU65" s="107" t="n">
        <x:f>AU63*AU64/1000</x:f>
      </x:c>
      <x:c r="AV65" s="107" t="n">
        <x:f>AV63*AV64/1000</x:f>
      </x:c>
      <x:c r="AW65" s="107" t="n">
        <x:f>AW63*AW64/1000</x:f>
      </x:c>
      <x:c r="AX65" s="107" t="n">
        <x:f>AX63*AX64/1000</x:f>
      </x:c>
      <x:c r="AY65" s="107" t="n">
        <x:f>AY63*AY64/1000</x:f>
      </x:c>
      <x:c r="AZ65" s="107" t="n">
        <x:f>AZ63*AZ64/1000</x:f>
      </x:c>
      <x:c r="BA65" s="107" t="n">
        <x:f>BA63*BA64/1000</x:f>
      </x:c>
      <x:c r="BB65" s="107" t="n">
        <x:f>BB63*BB64/1000</x:f>
      </x:c>
      <x:c r="BC65" s="107" t="n">
        <x:f>BC63*BC64/1000</x:f>
      </x:c>
      <x:c r="BD65" s="107" t="n">
        <x:f>BD63*BD64/1000</x:f>
      </x:c>
      <x:c r="BE65" s="107" t="n">
        <x:f>BE63*BE64/1000</x:f>
      </x:c>
      <x:c r="BF65" s="107" t="n">
        <x:f>BF63*BF64/1000</x:f>
      </x:c>
      <x:c r="BG65" s="107" t="n">
        <x:f>BG63*BG64/1000</x:f>
      </x:c>
      <x:c r="BH65" s="107" t="n">
        <x:f>BH63*BH64/1000</x:f>
      </x:c>
      <x:c r="BI65" s="107" t="n">
        <x:f>BI63*BI64/1000</x:f>
      </x:c>
      <x:c r="BJ65" s="107" t="n">
        <x:f>BJ63*BJ64/1000</x:f>
      </x:c>
      <x:c r="BK65" s="107" t="n">
        <x:f>BK63*BK64/1000</x:f>
      </x:c>
      <x:c r="BL65" s="107" t="n">
        <x:f>BL63*BL64/1000</x:f>
      </x:c>
      <x:c r="BM65" s="107" t="n">
        <x:f>BM63*BM64/1000</x:f>
      </x:c>
      <x:c r="BN65" s="107" t="n">
        <x:f>BN63*BN64/1000</x:f>
      </x:c>
      <x:c r="BO65" s="107" t="n">
        <x:f>BO63*BO64/1000</x:f>
      </x:c>
      <x:c r="BP65" s="107" t="n">
        <x:f>BP63*BP64/1000</x:f>
      </x:c>
      <x:c r="BQ65" s="107" t="n">
        <x:f>BQ63*BQ64/1000</x:f>
      </x:c>
      <x:c r="BR65" s="107" t="n">
        <x:f>BR63*BR64/1000</x:f>
      </x:c>
      <x:c r="BS65" s="107" t="n">
        <x:f>BS63*BS64/1000</x:f>
      </x:c>
      <x:c r="BT65" s="107" t="n">
        <x:f>BT63*BT64/1000</x:f>
      </x:c>
      <x:c r="BU65" s="107" t="n">
        <x:f>BU63*BU64/1000</x:f>
      </x:c>
      <x:c r="BV65" s="107" t="n">
        <x:f>BV63*BV64/1000</x:f>
      </x:c>
      <x:c r="BW65" s="107" t="n">
        <x:f>BW63*BW64/1000</x:f>
      </x:c>
      <x:c r="BX65" s="107" t="n">
        <x:f>BX63*BX64/1000</x:f>
      </x:c>
      <x:c r="BY65" s="107" t="n">
        <x:f>BY63*BY64/1000</x:f>
      </x:c>
      <x:c r="BZ65" s="107" t="n">
        <x:f>BZ63*BZ64/1000</x:f>
      </x:c>
      <x:c r="CA65" s="107" t="n">
        <x:f>CA63*CA64/1000</x:f>
      </x:c>
      <x:c r="CB65" s="107" t="n">
        <x:f>CB63*CB64/1000</x:f>
      </x:c>
      <x:c r="CC65" s="107" t="n">
        <x:f>CC63*CC64/1000</x:f>
      </x:c>
      <x:c r="CD65" s="107" t="n">
        <x:f>CD63*CD64/1000</x:f>
      </x:c>
      <x:c r="CE65" s="107" t="n">
        <x:f>CE63*CE64/1000</x:f>
      </x:c>
      <x:c r="CF65" s="107" t="n">
        <x:f>CF63*CF64/1000</x:f>
      </x:c>
      <x:c r="CG65" s="107" t="n">
        <x:f>CG63*CG64/1000</x:f>
      </x:c>
      <x:c r="CH65" s="107" t="n">
        <x:f>CH63*CH64/1000</x:f>
      </x:c>
      <x:c r="CI65" s="107" t="n">
        <x:f>CI63*CI64/1000</x:f>
      </x:c>
      <x:c r="CJ65" s="107" t="n">
        <x:f>CJ63*CJ64/1000</x:f>
      </x:c>
      <x:c r="CK65" s="107" t="n">
        <x:f>CK63*CK64/1000</x:f>
      </x:c>
      <x:c r="CL65" s="107" t="n">
        <x:f>CL63*CL64/1000</x:f>
      </x:c>
      <x:c r="CM65" s="107" t="n">
        <x:f>CM63*CM64/1000</x:f>
      </x:c>
      <x:c r="CN65" s="107" t="n">
        <x:f>CN63*CN64/1000</x:f>
      </x:c>
      <x:c r="CO65" s="107" t="n">
        <x:f>CO63*CO64/1000</x:f>
      </x:c>
      <x:c r="CP65" s="107" t="n">
        <x:f>CP63*CP64/1000</x:f>
      </x:c>
      <x:c r="CQ65" s="107" t="n">
        <x:f>CQ63*CQ64/1000</x:f>
      </x:c>
      <x:c r="CR65" s="107" t="n">
        <x:f>CR63*CR64/1000</x:f>
      </x:c>
      <x:c r="CS65" s="107" t="n">
        <x:f>CS63*CS64/1000</x:f>
      </x:c>
      <x:c r="CT65" s="107" t="n">
        <x:f>CT63*CT64/1000</x:f>
      </x:c>
      <x:c r="CU65" s="107" t="n">
        <x:f>CU63*CU64/1000</x:f>
      </x:c>
      <x:c r="CV65" s="107" t="n">
        <x:f>CV63*CV64/1000</x:f>
      </x:c>
      <x:c r="CW65" s="107" t="n">
        <x:f>CW63*CW64/1000</x:f>
      </x:c>
      <x:c r="CX65" s="107" t="n">
        <x:f>CX63*CX64/1000</x:f>
      </x:c>
      <x:c r="CY65" s="107" t="n">
        <x:f>CY63*CY64/1000</x:f>
      </x:c>
      <x:c r="CZ65" s="107" t="n">
        <x:f>CZ63*CZ64/1000</x:f>
      </x:c>
      <x:c r="DA65" s="107" t="n">
        <x:f>DA63*DA64/1000</x:f>
      </x:c>
      <x:c r="DB65" s="107" t="n">
        <x:f>DB63*DB64/1000</x:f>
      </x:c>
      <x:c r="DC65" s="107" t="n">
        <x:f>DC63*DC64/1000</x:f>
      </x:c>
      <x:c r="DD65" s="107" t="n">
        <x:f>DD63*DD64/1000</x:f>
      </x:c>
      <x:c r="DE65" s="107" t="n">
        <x:f>DE63*DE64/1000</x:f>
      </x:c>
      <x:c r="DF65" s="107" t="n">
        <x:f>DF63*DF64/1000</x:f>
      </x:c>
      <x:c r="DG65" s="107" t="n">
        <x:f>DG63*DG64/1000</x:f>
      </x:c>
      <x:c r="DH65" s="107" t="n">
        <x:f>DH63*DH64/1000</x:f>
      </x:c>
      <x:c r="DI65" s="107" t="n">
        <x:f>DI63*DI64/1000</x:f>
      </x:c>
      <x:c r="DJ65" s="107" t="n">
        <x:f>DJ63*DJ64/1000</x:f>
      </x:c>
      <x:c r="DK65" s="107" t="n">
        <x:f>DK63*DK64/1000</x:f>
      </x:c>
      <x:c r="DL65" s="107" t="n">
        <x:f>DL63*DL64/1000</x:f>
      </x:c>
      <x:c r="DM65" s="107" t="n">
        <x:f>DM63*DM64/1000</x:f>
      </x:c>
      <x:c r="DN65" s="107" t="n">
        <x:f>DN63*DN64/1000</x:f>
      </x:c>
      <x:c r="DO65" s="107" t="n">
        <x:f>DO63*DO64/1000</x:f>
      </x:c>
      <x:c r="DP65" s="107" t="n">
        <x:f>DP63*DP64/1000</x:f>
      </x:c>
      <x:c r="DQ65" s="107" t="n">
        <x:f>DQ63*DQ64/1000</x:f>
      </x:c>
      <x:c r="DR65" s="107" t="n">
        <x:f>DR63*DR64/1000</x:f>
      </x:c>
      <x:c r="DS65" s="107" t="n">
        <x:f>DS63*DS64/1000</x:f>
      </x:c>
    </x:row>
    <x:row r="66">
      <x:c r="A66" t="str">
        <x:v>Паркинг — объём</x:v>
      </x:c>
      <x:c r="B66" t="n">
        <x:f>SUM(D66:DS66)</x:f>
      </x:c>
      <x:c r="C66" t="str">
        <x:v>шт.</x:v>
      </x:c>
      <x:c r="D66" s="107" t="n">
        <x:f>'Вводные'!$N$90*((IF(SUM($D55:$DS55)=0,0,IF(SUM($D58:$DS58)=0,1,'Вводные'!$B$63)))*D57+(1-(IF(SUM($D55:$DS55)=0,0,IF(SUM($D58:$DS58)=0,1,'Вводные'!$B$63))))*D59)</x:f>
      </x:c>
      <x:c r="E66" s="107" t="n">
        <x:f>'Вводные'!$N$90*((IF(SUM($D55:$DS55)=0,0,IF(SUM($D58:$DS58)=0,1,'Вводные'!$B$63)))*E57+(1-(IF(SUM($D55:$DS55)=0,0,IF(SUM($D58:$DS58)=0,1,'Вводные'!$B$63))))*E59)</x:f>
      </x:c>
      <x:c r="F66" s="107" t="n">
        <x:f>'Вводные'!$N$90*((IF(SUM($D55:$DS55)=0,0,IF(SUM($D58:$DS58)=0,1,'Вводные'!$B$63)))*F57+(1-(IF(SUM($D55:$DS55)=0,0,IF(SUM($D58:$DS58)=0,1,'Вводные'!$B$63))))*F59)</x:f>
      </x:c>
      <x:c r="G66" s="107" t="n">
        <x:f>'Вводные'!$N$90*((IF(SUM($D55:$DS55)=0,0,IF(SUM($D58:$DS58)=0,1,'Вводные'!$B$63)))*G57+(1-(IF(SUM($D55:$DS55)=0,0,IF(SUM($D58:$DS58)=0,1,'Вводные'!$B$63))))*G59)</x:f>
      </x:c>
      <x:c r="H66" s="107" t="n">
        <x:f>'Вводные'!$N$90*((IF(SUM($D55:$DS55)=0,0,IF(SUM($D58:$DS58)=0,1,'Вводные'!$B$63)))*H57+(1-(IF(SUM($D55:$DS55)=0,0,IF(SUM($D58:$DS58)=0,1,'Вводные'!$B$63))))*H59)</x:f>
      </x:c>
      <x:c r="I66" s="107" t="n">
        <x:f>'Вводные'!$N$90*((IF(SUM($D55:$DS55)=0,0,IF(SUM($D58:$DS58)=0,1,'Вводные'!$B$63)))*I57+(1-(IF(SUM($D55:$DS55)=0,0,IF(SUM($D58:$DS58)=0,1,'Вводные'!$B$63))))*I59)</x:f>
      </x:c>
      <x:c r="J66" s="107" t="n">
        <x:f>'Вводные'!$N$90*((IF(SUM($D55:$DS55)=0,0,IF(SUM($D58:$DS58)=0,1,'Вводные'!$B$63)))*J57+(1-(IF(SUM($D55:$DS55)=0,0,IF(SUM($D58:$DS58)=0,1,'Вводные'!$B$63))))*J59)</x:f>
      </x:c>
      <x:c r="K66" s="107" t="n">
        <x:f>'Вводные'!$N$90*((IF(SUM($D55:$DS55)=0,0,IF(SUM($D58:$DS58)=0,1,'Вводные'!$B$63)))*K57+(1-(IF(SUM($D55:$DS55)=0,0,IF(SUM($D58:$DS58)=0,1,'Вводные'!$B$63))))*K59)</x:f>
      </x:c>
      <x:c r="L66" s="107" t="n">
        <x:f>'Вводные'!$N$90*((IF(SUM($D55:$DS55)=0,0,IF(SUM($D58:$DS58)=0,1,'Вводные'!$B$63)))*L57+(1-(IF(SUM($D55:$DS55)=0,0,IF(SUM($D58:$DS58)=0,1,'Вводные'!$B$63))))*L59)</x:f>
      </x:c>
      <x:c r="M66" s="107" t="n">
        <x:f>'Вводные'!$N$90*((IF(SUM($D55:$DS55)=0,0,IF(SUM($D58:$DS58)=0,1,'Вводные'!$B$63)))*M57+(1-(IF(SUM($D55:$DS55)=0,0,IF(SUM($D58:$DS58)=0,1,'Вводные'!$B$63))))*M59)</x:f>
      </x:c>
      <x:c r="N66" s="107" t="n">
        <x:f>'Вводные'!$N$90*((IF(SUM($D55:$DS55)=0,0,IF(SUM($D58:$DS58)=0,1,'Вводные'!$B$63)))*N57+(1-(IF(SUM($D55:$DS55)=0,0,IF(SUM($D58:$DS58)=0,1,'Вводные'!$B$63))))*N59)</x:f>
      </x:c>
      <x:c r="O66" s="107" t="n">
        <x:f>'Вводные'!$N$90*((IF(SUM($D55:$DS55)=0,0,IF(SUM($D58:$DS58)=0,1,'Вводные'!$B$63)))*O57+(1-(IF(SUM($D55:$DS55)=0,0,IF(SUM($D58:$DS58)=0,1,'Вводные'!$B$63))))*O59)</x:f>
      </x:c>
      <x:c r="P66" s="107" t="n">
        <x:f>'Вводные'!$N$90*((IF(SUM($D55:$DS55)=0,0,IF(SUM($D58:$DS58)=0,1,'Вводные'!$B$63)))*P57+(1-(IF(SUM($D55:$DS55)=0,0,IF(SUM($D58:$DS58)=0,1,'Вводные'!$B$63))))*P59)</x:f>
      </x:c>
      <x:c r="Q66" s="107" t="n">
        <x:f>'Вводные'!$N$90*((IF(SUM($D55:$DS55)=0,0,IF(SUM($D58:$DS58)=0,1,'Вводные'!$B$63)))*Q57+(1-(IF(SUM($D55:$DS55)=0,0,IF(SUM($D58:$DS58)=0,1,'Вводные'!$B$63))))*Q59)</x:f>
      </x:c>
      <x:c r="R66" s="107" t="n">
        <x:f>'Вводные'!$N$90*((IF(SUM($D55:$DS55)=0,0,IF(SUM($D58:$DS58)=0,1,'Вводные'!$B$63)))*R57+(1-(IF(SUM($D55:$DS55)=0,0,IF(SUM($D58:$DS58)=0,1,'Вводные'!$B$63))))*R59)</x:f>
      </x:c>
      <x:c r="S66" s="107" t="n">
        <x:f>'Вводные'!$N$90*((IF(SUM($D55:$DS55)=0,0,IF(SUM($D58:$DS58)=0,1,'Вводные'!$B$63)))*S57+(1-(IF(SUM($D55:$DS55)=0,0,IF(SUM($D58:$DS58)=0,1,'Вводные'!$B$63))))*S59)</x:f>
      </x:c>
      <x:c r="T66" s="107" t="n">
        <x:f>'Вводные'!$N$90*((IF(SUM($D55:$DS55)=0,0,IF(SUM($D58:$DS58)=0,1,'Вводные'!$B$63)))*T57+(1-(IF(SUM($D55:$DS55)=0,0,IF(SUM($D58:$DS58)=0,1,'Вводные'!$B$63))))*T59)</x:f>
      </x:c>
      <x:c r="U66" s="107" t="n">
        <x:f>'Вводные'!$N$90*((IF(SUM($D55:$DS55)=0,0,IF(SUM($D58:$DS58)=0,1,'Вводные'!$B$63)))*U57+(1-(IF(SUM($D55:$DS55)=0,0,IF(SUM($D58:$DS58)=0,1,'Вводные'!$B$63))))*U59)</x:f>
      </x:c>
      <x:c r="V66" s="107" t="n">
        <x:f>'Вводные'!$N$90*((IF(SUM($D55:$DS55)=0,0,IF(SUM($D58:$DS58)=0,1,'Вводные'!$B$63)))*V57+(1-(IF(SUM($D55:$DS55)=0,0,IF(SUM($D58:$DS58)=0,1,'Вводные'!$B$63))))*V59)</x:f>
      </x:c>
      <x:c r="W66" s="107" t="n">
        <x:f>'Вводные'!$N$90*((IF(SUM($D55:$DS55)=0,0,IF(SUM($D58:$DS58)=0,1,'Вводные'!$B$63)))*W57+(1-(IF(SUM($D55:$DS55)=0,0,IF(SUM($D58:$DS58)=0,1,'Вводные'!$B$63))))*W59)</x:f>
      </x:c>
      <x:c r="X66" s="107" t="n">
        <x:f>'Вводные'!$N$90*((IF(SUM($D55:$DS55)=0,0,IF(SUM($D58:$DS58)=0,1,'Вводные'!$B$63)))*X57+(1-(IF(SUM($D55:$DS55)=0,0,IF(SUM($D58:$DS58)=0,1,'Вводные'!$B$63))))*X59)</x:f>
      </x:c>
      <x:c r="Y66" s="107" t="n">
        <x:f>'Вводные'!$N$90*((IF(SUM($D55:$DS55)=0,0,IF(SUM($D58:$DS58)=0,1,'Вводные'!$B$63)))*Y57+(1-(IF(SUM($D55:$DS55)=0,0,IF(SUM($D58:$DS58)=0,1,'Вводные'!$B$63))))*Y59)</x:f>
      </x:c>
      <x:c r="Z66" s="107" t="n">
        <x:f>'Вводные'!$N$90*((IF(SUM($D55:$DS55)=0,0,IF(SUM($D58:$DS58)=0,1,'Вводные'!$B$63)))*Z57+(1-(IF(SUM($D55:$DS55)=0,0,IF(SUM($D58:$DS58)=0,1,'Вводные'!$B$63))))*Z59)</x:f>
      </x:c>
      <x:c r="AA66" s="107" t="n">
        <x:f>'Вводные'!$N$90*((IF(SUM($D55:$DS55)=0,0,IF(SUM($D58:$DS58)=0,1,'Вводные'!$B$63)))*AA57+(1-(IF(SUM($D55:$DS55)=0,0,IF(SUM($D58:$DS58)=0,1,'Вводные'!$B$63))))*AA59)</x:f>
      </x:c>
      <x:c r="AB66" s="107" t="n">
        <x:f>'Вводные'!$N$90*((IF(SUM($D55:$DS55)=0,0,IF(SUM($D58:$DS58)=0,1,'Вводные'!$B$63)))*AB57+(1-(IF(SUM($D55:$DS55)=0,0,IF(SUM($D58:$DS58)=0,1,'Вводные'!$B$63))))*AB59)</x:f>
      </x:c>
      <x:c r="AC66" s="107" t="n">
        <x:f>'Вводные'!$N$90*((IF(SUM($D55:$DS55)=0,0,IF(SUM($D58:$DS58)=0,1,'Вводные'!$B$63)))*AC57+(1-(IF(SUM($D55:$DS55)=0,0,IF(SUM($D58:$DS58)=0,1,'Вводные'!$B$63))))*AC59)</x:f>
      </x:c>
      <x:c r="AD66" s="107" t="n">
        <x:f>'Вводные'!$N$90*((IF(SUM($D55:$DS55)=0,0,IF(SUM($D58:$DS58)=0,1,'Вводные'!$B$63)))*AD57+(1-(IF(SUM($D55:$DS55)=0,0,IF(SUM($D58:$DS58)=0,1,'Вводные'!$B$63))))*AD59)</x:f>
      </x:c>
      <x:c r="AE66" s="107" t="n">
        <x:f>'Вводные'!$N$90*((IF(SUM($D55:$DS55)=0,0,IF(SUM($D58:$DS58)=0,1,'Вводные'!$B$63)))*AE57+(1-(IF(SUM($D55:$DS55)=0,0,IF(SUM($D58:$DS58)=0,1,'Вводные'!$B$63))))*AE59)</x:f>
      </x:c>
      <x:c r="AF66" s="107" t="n">
        <x:f>'Вводные'!$N$90*((IF(SUM($D55:$DS55)=0,0,IF(SUM($D58:$DS58)=0,1,'Вводные'!$B$63)))*AF57+(1-(IF(SUM($D55:$DS55)=0,0,IF(SUM($D58:$DS58)=0,1,'Вводные'!$B$63))))*AF59)</x:f>
      </x:c>
      <x:c r="AG66" s="107" t="n">
        <x:f>'Вводные'!$N$90*((IF(SUM($D55:$DS55)=0,0,IF(SUM($D58:$DS58)=0,1,'Вводные'!$B$63)))*AG57+(1-(IF(SUM($D55:$DS55)=0,0,IF(SUM($D58:$DS58)=0,1,'Вводные'!$B$63))))*AG59)</x:f>
      </x:c>
      <x:c r="AH66" s="107" t="n">
        <x:f>'Вводные'!$N$90*((IF(SUM($D55:$DS55)=0,0,IF(SUM($D58:$DS58)=0,1,'Вводные'!$B$63)))*AH57+(1-(IF(SUM($D55:$DS55)=0,0,IF(SUM($D58:$DS58)=0,1,'Вводные'!$B$63))))*AH59)</x:f>
      </x:c>
      <x:c r="AI66" s="107" t="n">
        <x:f>'Вводные'!$N$90*((IF(SUM($D55:$DS55)=0,0,IF(SUM($D58:$DS58)=0,1,'Вводные'!$B$63)))*AI57+(1-(IF(SUM($D55:$DS55)=0,0,IF(SUM($D58:$DS58)=0,1,'Вводные'!$B$63))))*AI59)</x:f>
      </x:c>
      <x:c r="AJ66" s="107" t="n">
        <x:f>'Вводные'!$N$90*((IF(SUM($D55:$DS55)=0,0,IF(SUM($D58:$DS58)=0,1,'Вводные'!$B$63)))*AJ57+(1-(IF(SUM($D55:$DS55)=0,0,IF(SUM($D58:$DS58)=0,1,'Вводные'!$B$63))))*AJ59)</x:f>
      </x:c>
      <x:c r="AK66" s="107" t="n">
        <x:f>'Вводные'!$N$90*((IF(SUM($D55:$DS55)=0,0,IF(SUM($D58:$DS58)=0,1,'Вводные'!$B$63)))*AK57+(1-(IF(SUM($D55:$DS55)=0,0,IF(SUM($D58:$DS58)=0,1,'Вводные'!$B$63))))*AK59)</x:f>
      </x:c>
      <x:c r="AL66" s="107" t="n">
        <x:f>'Вводные'!$N$90*((IF(SUM($D55:$DS55)=0,0,IF(SUM($D58:$DS58)=0,1,'Вводные'!$B$63)))*AL57+(1-(IF(SUM($D55:$DS55)=0,0,IF(SUM($D58:$DS58)=0,1,'Вводные'!$B$63))))*AL59)</x:f>
      </x:c>
      <x:c r="AM66" s="107" t="n">
        <x:f>'Вводные'!$N$90*((IF(SUM($D55:$DS55)=0,0,IF(SUM($D58:$DS58)=0,1,'Вводные'!$B$63)))*AM57+(1-(IF(SUM($D55:$DS55)=0,0,IF(SUM($D58:$DS58)=0,1,'Вводные'!$B$63))))*AM59)</x:f>
      </x:c>
      <x:c r="AN66" s="107" t="n">
        <x:f>'Вводные'!$N$90*((IF(SUM($D55:$DS55)=0,0,IF(SUM($D58:$DS58)=0,1,'Вводные'!$B$63)))*AN57+(1-(IF(SUM($D55:$DS55)=0,0,IF(SUM($D58:$DS58)=0,1,'Вводные'!$B$63))))*AN59)</x:f>
      </x:c>
      <x:c r="AO66" s="107" t="n">
        <x:f>'Вводные'!$N$90*((IF(SUM($D55:$DS55)=0,0,IF(SUM($D58:$DS58)=0,1,'Вводные'!$B$63)))*AO57+(1-(IF(SUM($D55:$DS55)=0,0,IF(SUM($D58:$DS58)=0,1,'Вводные'!$B$63))))*AO59)</x:f>
      </x:c>
      <x:c r="AP66" s="107" t="n">
        <x:f>'Вводные'!$N$90*((IF(SUM($D55:$DS55)=0,0,IF(SUM($D58:$DS58)=0,1,'Вводные'!$B$63)))*AP57+(1-(IF(SUM($D55:$DS55)=0,0,IF(SUM($D58:$DS58)=0,1,'Вводные'!$B$63))))*AP59)</x:f>
      </x:c>
      <x:c r="AQ66" s="107" t="n">
        <x:f>'Вводные'!$N$90*((IF(SUM($D55:$DS55)=0,0,IF(SUM($D58:$DS58)=0,1,'Вводные'!$B$63)))*AQ57+(1-(IF(SUM($D55:$DS55)=0,0,IF(SUM($D58:$DS58)=0,1,'Вводные'!$B$63))))*AQ59)</x:f>
      </x:c>
      <x:c r="AR66" s="107" t="n">
        <x:f>'Вводные'!$N$90*((IF(SUM($D55:$DS55)=0,0,IF(SUM($D58:$DS58)=0,1,'Вводные'!$B$63)))*AR57+(1-(IF(SUM($D55:$DS55)=0,0,IF(SUM($D58:$DS58)=0,1,'Вводные'!$B$63))))*AR59)</x:f>
      </x:c>
      <x:c r="AS66" s="107" t="n">
        <x:f>'Вводные'!$N$90*((IF(SUM($D55:$DS55)=0,0,IF(SUM($D58:$DS58)=0,1,'Вводные'!$B$63)))*AS57+(1-(IF(SUM($D55:$DS55)=0,0,IF(SUM($D58:$DS58)=0,1,'Вводные'!$B$63))))*AS59)</x:f>
      </x:c>
      <x:c r="AT66" s="107" t="n">
        <x:f>'Вводные'!$N$90*((IF(SUM($D55:$DS55)=0,0,IF(SUM($D58:$DS58)=0,1,'Вводные'!$B$63)))*AT57+(1-(IF(SUM($D55:$DS55)=0,0,IF(SUM($D58:$DS58)=0,1,'Вводные'!$B$63))))*AT59)</x:f>
      </x:c>
      <x:c r="AU66" s="107" t="n">
        <x:f>'Вводные'!$N$90*((IF(SUM($D55:$DS55)=0,0,IF(SUM($D58:$DS58)=0,1,'Вводные'!$B$63)))*AU57+(1-(IF(SUM($D55:$DS55)=0,0,IF(SUM($D58:$DS58)=0,1,'Вводные'!$B$63))))*AU59)</x:f>
      </x:c>
      <x:c r="AV66" s="107" t="n">
        <x:f>'Вводные'!$N$90*((IF(SUM($D55:$DS55)=0,0,IF(SUM($D58:$DS58)=0,1,'Вводные'!$B$63)))*AV57+(1-(IF(SUM($D55:$DS55)=0,0,IF(SUM($D58:$DS58)=0,1,'Вводные'!$B$63))))*AV59)</x:f>
      </x:c>
      <x:c r="AW66" s="107" t="n">
        <x:f>'Вводные'!$N$90*((IF(SUM($D55:$DS55)=0,0,IF(SUM($D58:$DS58)=0,1,'Вводные'!$B$63)))*AW57+(1-(IF(SUM($D55:$DS55)=0,0,IF(SUM($D58:$DS58)=0,1,'Вводные'!$B$63))))*AW59)</x:f>
      </x:c>
      <x:c r="AX66" s="107" t="n">
        <x:f>'Вводные'!$N$90*((IF(SUM($D55:$DS55)=0,0,IF(SUM($D58:$DS58)=0,1,'Вводные'!$B$63)))*AX57+(1-(IF(SUM($D55:$DS55)=0,0,IF(SUM($D58:$DS58)=0,1,'Вводные'!$B$63))))*AX59)</x:f>
      </x:c>
      <x:c r="AY66" s="107" t="n">
        <x:f>'Вводные'!$N$90*((IF(SUM($D55:$DS55)=0,0,IF(SUM($D58:$DS58)=0,1,'Вводные'!$B$63)))*AY57+(1-(IF(SUM($D55:$DS55)=0,0,IF(SUM($D58:$DS58)=0,1,'Вводные'!$B$63))))*AY59)</x:f>
      </x:c>
      <x:c r="AZ66" s="107" t="n">
        <x:f>'Вводные'!$N$90*((IF(SUM($D55:$DS55)=0,0,IF(SUM($D58:$DS58)=0,1,'Вводные'!$B$63)))*AZ57+(1-(IF(SUM($D55:$DS55)=0,0,IF(SUM($D58:$DS58)=0,1,'Вводные'!$B$63))))*AZ59)</x:f>
      </x:c>
      <x:c r="BA66" s="107" t="n">
        <x:f>'Вводные'!$N$90*((IF(SUM($D55:$DS55)=0,0,IF(SUM($D58:$DS58)=0,1,'Вводные'!$B$63)))*BA57+(1-(IF(SUM($D55:$DS55)=0,0,IF(SUM($D58:$DS58)=0,1,'Вводные'!$B$63))))*BA59)</x:f>
      </x:c>
      <x:c r="BB66" s="107" t="n">
        <x:f>'Вводные'!$N$90*((IF(SUM($D55:$DS55)=0,0,IF(SUM($D58:$DS58)=0,1,'Вводные'!$B$63)))*BB57+(1-(IF(SUM($D55:$DS55)=0,0,IF(SUM($D58:$DS58)=0,1,'Вводные'!$B$63))))*BB59)</x:f>
      </x:c>
      <x:c r="BC66" s="107" t="n">
        <x:f>'Вводные'!$N$90*((IF(SUM($D55:$DS55)=0,0,IF(SUM($D58:$DS58)=0,1,'Вводные'!$B$63)))*BC57+(1-(IF(SUM($D55:$DS55)=0,0,IF(SUM($D58:$DS58)=0,1,'Вводные'!$B$63))))*BC59)</x:f>
      </x:c>
      <x:c r="BD66" s="107" t="n">
        <x:f>'Вводные'!$N$90*((IF(SUM($D55:$DS55)=0,0,IF(SUM($D58:$DS58)=0,1,'Вводные'!$B$63)))*BD57+(1-(IF(SUM($D55:$DS55)=0,0,IF(SUM($D58:$DS58)=0,1,'Вводные'!$B$63))))*BD59)</x:f>
      </x:c>
      <x:c r="BE66" s="107" t="n">
        <x:f>'Вводные'!$N$90*((IF(SUM($D55:$DS55)=0,0,IF(SUM($D58:$DS58)=0,1,'Вводные'!$B$63)))*BE57+(1-(IF(SUM($D55:$DS55)=0,0,IF(SUM($D58:$DS58)=0,1,'Вводные'!$B$63))))*BE59)</x:f>
      </x:c>
      <x:c r="BF66" s="107" t="n">
        <x:f>'Вводные'!$N$90*((IF(SUM($D55:$DS55)=0,0,IF(SUM($D58:$DS58)=0,1,'Вводные'!$B$63)))*BF57+(1-(IF(SUM($D55:$DS55)=0,0,IF(SUM($D58:$DS58)=0,1,'Вводные'!$B$63))))*BF59)</x:f>
      </x:c>
      <x:c r="BG66" s="107" t="n">
        <x:f>'Вводные'!$N$90*((IF(SUM($D55:$DS55)=0,0,IF(SUM($D58:$DS58)=0,1,'Вводные'!$B$63)))*BG57+(1-(IF(SUM($D55:$DS55)=0,0,IF(SUM($D58:$DS58)=0,1,'Вводные'!$B$63))))*BG59)</x:f>
      </x:c>
      <x:c r="BH66" s="107" t="n">
        <x:f>'Вводные'!$N$90*((IF(SUM($D55:$DS55)=0,0,IF(SUM($D58:$DS58)=0,1,'Вводные'!$B$63)))*BH57+(1-(IF(SUM($D55:$DS55)=0,0,IF(SUM($D58:$DS58)=0,1,'Вводные'!$B$63))))*BH59)</x:f>
      </x:c>
      <x:c r="BI66" s="107" t="n">
        <x:f>'Вводные'!$N$90*((IF(SUM($D55:$DS55)=0,0,IF(SUM($D58:$DS58)=0,1,'Вводные'!$B$63)))*BI57+(1-(IF(SUM($D55:$DS55)=0,0,IF(SUM($D58:$DS58)=0,1,'Вводные'!$B$63))))*BI59)</x:f>
      </x:c>
      <x:c r="BJ66" s="107" t="n">
        <x:f>'Вводные'!$N$90*((IF(SUM($D55:$DS55)=0,0,IF(SUM($D58:$DS58)=0,1,'Вводные'!$B$63)))*BJ57+(1-(IF(SUM($D55:$DS55)=0,0,IF(SUM($D58:$DS58)=0,1,'Вводные'!$B$63))))*BJ59)</x:f>
      </x:c>
      <x:c r="BK66" s="107" t="n">
        <x:f>'Вводные'!$N$90*((IF(SUM($D55:$DS55)=0,0,IF(SUM($D58:$DS58)=0,1,'Вводные'!$B$63)))*BK57+(1-(IF(SUM($D55:$DS55)=0,0,IF(SUM($D58:$DS58)=0,1,'Вводные'!$B$63))))*BK59)</x:f>
      </x:c>
      <x:c r="BL66" s="107" t="n">
        <x:f>'Вводные'!$N$90*((IF(SUM($D55:$DS55)=0,0,IF(SUM($D58:$DS58)=0,1,'Вводные'!$B$63)))*BL57+(1-(IF(SUM($D55:$DS55)=0,0,IF(SUM($D58:$DS58)=0,1,'Вводные'!$B$63))))*BL59)</x:f>
      </x:c>
      <x:c r="BM66" s="107" t="n">
        <x:f>'Вводные'!$N$90*((IF(SUM($D55:$DS55)=0,0,IF(SUM($D58:$DS58)=0,1,'Вводные'!$B$63)))*BM57+(1-(IF(SUM($D55:$DS55)=0,0,IF(SUM($D58:$DS58)=0,1,'Вводные'!$B$63))))*BM59)</x:f>
      </x:c>
      <x:c r="BN66" s="107" t="n">
        <x:f>'Вводные'!$N$90*((IF(SUM($D55:$DS55)=0,0,IF(SUM($D58:$DS58)=0,1,'Вводные'!$B$63)))*BN57+(1-(IF(SUM($D55:$DS55)=0,0,IF(SUM($D58:$DS58)=0,1,'Вводные'!$B$63))))*BN59)</x:f>
      </x:c>
      <x:c r="BO66" s="107" t="n">
        <x:f>'Вводные'!$N$90*((IF(SUM($D55:$DS55)=0,0,IF(SUM($D58:$DS58)=0,1,'Вводные'!$B$63)))*BO57+(1-(IF(SUM($D55:$DS55)=0,0,IF(SUM($D58:$DS58)=0,1,'Вводные'!$B$63))))*BO59)</x:f>
      </x:c>
      <x:c r="BP66" s="107" t="n">
        <x:f>'Вводные'!$N$90*((IF(SUM($D55:$DS55)=0,0,IF(SUM($D58:$DS58)=0,1,'Вводные'!$B$63)))*BP57+(1-(IF(SUM($D55:$DS55)=0,0,IF(SUM($D58:$DS58)=0,1,'Вводные'!$B$63))))*BP59)</x:f>
      </x:c>
      <x:c r="BQ66" s="107" t="n">
        <x:f>'Вводные'!$N$90*((IF(SUM($D55:$DS55)=0,0,IF(SUM($D58:$DS58)=0,1,'Вводные'!$B$63)))*BQ57+(1-(IF(SUM($D55:$DS55)=0,0,IF(SUM($D58:$DS58)=0,1,'Вводные'!$B$63))))*BQ59)</x:f>
      </x:c>
      <x:c r="BR66" s="107" t="n">
        <x:f>'Вводные'!$N$90*((IF(SUM($D55:$DS55)=0,0,IF(SUM($D58:$DS58)=0,1,'Вводные'!$B$63)))*BR57+(1-(IF(SUM($D55:$DS55)=0,0,IF(SUM($D58:$DS58)=0,1,'Вводные'!$B$63))))*BR59)</x:f>
      </x:c>
      <x:c r="BS66" s="107" t="n">
        <x:f>'Вводные'!$N$90*((IF(SUM($D55:$DS55)=0,0,IF(SUM($D58:$DS58)=0,1,'Вводные'!$B$63)))*BS57+(1-(IF(SUM($D55:$DS55)=0,0,IF(SUM($D58:$DS58)=0,1,'Вводные'!$B$63))))*BS59)</x:f>
      </x:c>
      <x:c r="BT66" s="107" t="n">
        <x:f>'Вводные'!$N$90*((IF(SUM($D55:$DS55)=0,0,IF(SUM($D58:$DS58)=0,1,'Вводные'!$B$63)))*BT57+(1-(IF(SUM($D55:$DS55)=0,0,IF(SUM($D58:$DS58)=0,1,'Вводные'!$B$63))))*BT59)</x:f>
      </x:c>
      <x:c r="BU66" s="107" t="n">
        <x:f>'Вводные'!$N$90*((IF(SUM($D55:$DS55)=0,0,IF(SUM($D58:$DS58)=0,1,'Вводные'!$B$63)))*BU57+(1-(IF(SUM($D55:$DS55)=0,0,IF(SUM($D58:$DS58)=0,1,'Вводные'!$B$63))))*BU59)</x:f>
      </x:c>
      <x:c r="BV66" s="107" t="n">
        <x:f>'Вводные'!$N$90*((IF(SUM($D55:$DS55)=0,0,IF(SUM($D58:$DS58)=0,1,'Вводные'!$B$63)))*BV57+(1-(IF(SUM($D55:$DS55)=0,0,IF(SUM($D58:$DS58)=0,1,'Вводные'!$B$63))))*BV59)</x:f>
      </x:c>
      <x:c r="BW66" s="107" t="n">
        <x:f>'Вводные'!$N$90*((IF(SUM($D55:$DS55)=0,0,IF(SUM($D58:$DS58)=0,1,'Вводные'!$B$63)))*BW57+(1-(IF(SUM($D55:$DS55)=0,0,IF(SUM($D58:$DS58)=0,1,'Вводные'!$B$63))))*BW59)</x:f>
      </x:c>
      <x:c r="BX66" s="107" t="n">
        <x:f>'Вводные'!$N$90*((IF(SUM($D55:$DS55)=0,0,IF(SUM($D58:$DS58)=0,1,'Вводные'!$B$63)))*BX57+(1-(IF(SUM($D55:$DS55)=0,0,IF(SUM($D58:$DS58)=0,1,'Вводные'!$B$63))))*BX59)</x:f>
      </x:c>
      <x:c r="BY66" s="107" t="n">
        <x:f>'Вводные'!$N$90*((IF(SUM($D55:$DS55)=0,0,IF(SUM($D58:$DS58)=0,1,'Вводные'!$B$63)))*BY57+(1-(IF(SUM($D55:$DS55)=0,0,IF(SUM($D58:$DS58)=0,1,'Вводные'!$B$63))))*BY59)</x:f>
      </x:c>
      <x:c r="BZ66" s="107" t="n">
        <x:f>'Вводные'!$N$90*((IF(SUM($D55:$DS55)=0,0,IF(SUM($D58:$DS58)=0,1,'Вводные'!$B$63)))*BZ57+(1-(IF(SUM($D55:$DS55)=0,0,IF(SUM($D58:$DS58)=0,1,'Вводные'!$B$63))))*BZ59)</x:f>
      </x:c>
      <x:c r="CA66" s="107" t="n">
        <x:f>'Вводные'!$N$90*((IF(SUM($D55:$DS55)=0,0,IF(SUM($D58:$DS58)=0,1,'Вводные'!$B$63)))*CA57+(1-(IF(SUM($D55:$DS55)=0,0,IF(SUM($D58:$DS58)=0,1,'Вводные'!$B$63))))*CA59)</x:f>
      </x:c>
      <x:c r="CB66" s="107" t="n">
        <x:f>'Вводные'!$N$90*((IF(SUM($D55:$DS55)=0,0,IF(SUM($D58:$DS58)=0,1,'Вводные'!$B$63)))*CB57+(1-(IF(SUM($D55:$DS55)=0,0,IF(SUM($D58:$DS58)=0,1,'Вводные'!$B$63))))*CB59)</x:f>
      </x:c>
      <x:c r="CC66" s="107" t="n">
        <x:f>'Вводные'!$N$90*((IF(SUM($D55:$DS55)=0,0,IF(SUM($D58:$DS58)=0,1,'Вводные'!$B$63)))*CC57+(1-(IF(SUM($D55:$DS55)=0,0,IF(SUM($D58:$DS58)=0,1,'Вводные'!$B$63))))*CC59)</x:f>
      </x:c>
      <x:c r="CD66" s="107" t="n">
        <x:f>'Вводные'!$N$90*((IF(SUM($D55:$DS55)=0,0,IF(SUM($D58:$DS58)=0,1,'Вводные'!$B$63)))*CD57+(1-(IF(SUM($D55:$DS55)=0,0,IF(SUM($D58:$DS58)=0,1,'Вводные'!$B$63))))*CD59)</x:f>
      </x:c>
      <x:c r="CE66" s="107" t="n">
        <x:f>'Вводные'!$N$90*((IF(SUM($D55:$DS55)=0,0,IF(SUM($D58:$DS58)=0,1,'Вводные'!$B$63)))*CE57+(1-(IF(SUM($D55:$DS55)=0,0,IF(SUM($D58:$DS58)=0,1,'Вводные'!$B$63))))*CE59)</x:f>
      </x:c>
      <x:c r="CF66" s="107" t="n">
        <x:f>'Вводные'!$N$90*((IF(SUM($D55:$DS55)=0,0,IF(SUM($D58:$DS58)=0,1,'Вводные'!$B$63)))*CF57+(1-(IF(SUM($D55:$DS55)=0,0,IF(SUM($D58:$DS58)=0,1,'Вводные'!$B$63))))*CF59)</x:f>
      </x:c>
      <x:c r="CG66" s="107" t="n">
        <x:f>'Вводные'!$N$90*((IF(SUM($D55:$DS55)=0,0,IF(SUM($D58:$DS58)=0,1,'Вводные'!$B$63)))*CG57+(1-(IF(SUM($D55:$DS55)=0,0,IF(SUM($D58:$DS58)=0,1,'Вводные'!$B$63))))*CG59)</x:f>
      </x:c>
      <x:c r="CH66" s="107" t="n">
        <x:f>'Вводные'!$N$90*((IF(SUM($D55:$DS55)=0,0,IF(SUM($D58:$DS58)=0,1,'Вводные'!$B$63)))*CH57+(1-(IF(SUM($D55:$DS55)=0,0,IF(SUM($D58:$DS58)=0,1,'Вводные'!$B$63))))*CH59)</x:f>
      </x:c>
      <x:c r="CI66" s="107" t="n">
        <x:f>'Вводные'!$N$90*((IF(SUM($D55:$DS55)=0,0,IF(SUM($D58:$DS58)=0,1,'Вводные'!$B$63)))*CI57+(1-(IF(SUM($D55:$DS55)=0,0,IF(SUM($D58:$DS58)=0,1,'Вводные'!$B$63))))*CI59)</x:f>
      </x:c>
      <x:c r="CJ66" s="107" t="n">
        <x:f>'Вводные'!$N$90*((IF(SUM($D55:$DS55)=0,0,IF(SUM($D58:$DS58)=0,1,'Вводные'!$B$63)))*CJ57+(1-(IF(SUM($D55:$DS55)=0,0,IF(SUM($D58:$DS58)=0,1,'Вводные'!$B$63))))*CJ59)</x:f>
      </x:c>
      <x:c r="CK66" s="107" t="n">
        <x:f>'Вводные'!$N$90*((IF(SUM($D55:$DS55)=0,0,IF(SUM($D58:$DS58)=0,1,'Вводные'!$B$63)))*CK57+(1-(IF(SUM($D55:$DS55)=0,0,IF(SUM($D58:$DS58)=0,1,'Вводные'!$B$63))))*CK59)</x:f>
      </x:c>
      <x:c r="CL66" s="107" t="n">
        <x:f>'Вводные'!$N$90*((IF(SUM($D55:$DS55)=0,0,IF(SUM($D58:$DS58)=0,1,'Вводные'!$B$63)))*CL57+(1-(IF(SUM($D55:$DS55)=0,0,IF(SUM($D58:$DS58)=0,1,'Вводные'!$B$63))))*CL59)</x:f>
      </x:c>
      <x:c r="CM66" s="107" t="n">
        <x:f>'Вводные'!$N$90*((IF(SUM($D55:$DS55)=0,0,IF(SUM($D58:$DS58)=0,1,'Вводные'!$B$63)))*CM57+(1-(IF(SUM($D55:$DS55)=0,0,IF(SUM($D58:$DS58)=0,1,'Вводные'!$B$63))))*CM59)</x:f>
      </x:c>
      <x:c r="CN66" s="107" t="n">
        <x:f>'Вводные'!$N$90*((IF(SUM($D55:$DS55)=0,0,IF(SUM($D58:$DS58)=0,1,'Вводные'!$B$63)))*CN57+(1-(IF(SUM($D55:$DS55)=0,0,IF(SUM($D58:$DS58)=0,1,'Вводные'!$B$63))))*CN59)</x:f>
      </x:c>
      <x:c r="CO66" s="107" t="n">
        <x:f>'Вводные'!$N$90*((IF(SUM($D55:$DS55)=0,0,IF(SUM($D58:$DS58)=0,1,'Вводные'!$B$63)))*CO57+(1-(IF(SUM($D55:$DS55)=0,0,IF(SUM($D58:$DS58)=0,1,'Вводные'!$B$63))))*CO59)</x:f>
      </x:c>
      <x:c r="CP66" s="107" t="n">
        <x:f>'Вводные'!$N$90*((IF(SUM($D55:$DS55)=0,0,IF(SUM($D58:$DS58)=0,1,'Вводные'!$B$63)))*CP57+(1-(IF(SUM($D55:$DS55)=0,0,IF(SUM($D58:$DS58)=0,1,'Вводные'!$B$63))))*CP59)</x:f>
      </x:c>
      <x:c r="CQ66" s="107" t="n">
        <x:f>'Вводные'!$N$90*((IF(SUM($D55:$DS55)=0,0,IF(SUM($D58:$DS58)=0,1,'Вводные'!$B$63)))*CQ57+(1-(IF(SUM($D55:$DS55)=0,0,IF(SUM($D58:$DS58)=0,1,'Вводные'!$B$63))))*CQ59)</x:f>
      </x:c>
      <x:c r="CR66" s="107" t="n">
        <x:f>'Вводные'!$N$90*((IF(SUM($D55:$DS55)=0,0,IF(SUM($D58:$DS58)=0,1,'Вводные'!$B$63)))*CR57+(1-(IF(SUM($D55:$DS55)=0,0,IF(SUM($D58:$DS58)=0,1,'Вводные'!$B$63))))*CR59)</x:f>
      </x:c>
      <x:c r="CS66" s="107" t="n">
        <x:f>'Вводные'!$N$90*((IF(SUM($D55:$DS55)=0,0,IF(SUM($D58:$DS58)=0,1,'Вводные'!$B$63)))*CS57+(1-(IF(SUM($D55:$DS55)=0,0,IF(SUM($D58:$DS58)=0,1,'Вводные'!$B$63))))*CS59)</x:f>
      </x:c>
      <x:c r="CT66" s="107" t="n">
        <x:f>'Вводные'!$N$90*((IF(SUM($D55:$DS55)=0,0,IF(SUM($D58:$DS58)=0,1,'Вводные'!$B$63)))*CT57+(1-(IF(SUM($D55:$DS55)=0,0,IF(SUM($D58:$DS58)=0,1,'Вводные'!$B$63))))*CT59)</x:f>
      </x:c>
      <x:c r="CU66" s="107" t="n">
        <x:f>'Вводные'!$N$90*((IF(SUM($D55:$DS55)=0,0,IF(SUM($D58:$DS58)=0,1,'Вводные'!$B$63)))*CU57+(1-(IF(SUM($D55:$DS55)=0,0,IF(SUM($D58:$DS58)=0,1,'Вводные'!$B$63))))*CU59)</x:f>
      </x:c>
      <x:c r="CV66" s="107" t="n">
        <x:f>'Вводные'!$N$90*((IF(SUM($D55:$DS55)=0,0,IF(SUM($D58:$DS58)=0,1,'Вводные'!$B$63)))*CV57+(1-(IF(SUM($D55:$DS55)=0,0,IF(SUM($D58:$DS58)=0,1,'Вводные'!$B$63))))*CV59)</x:f>
      </x:c>
      <x:c r="CW66" s="107" t="n">
        <x:f>'Вводные'!$N$90*((IF(SUM($D55:$DS55)=0,0,IF(SUM($D58:$DS58)=0,1,'Вводные'!$B$63)))*CW57+(1-(IF(SUM($D55:$DS55)=0,0,IF(SUM($D58:$DS58)=0,1,'Вводные'!$B$63))))*CW59)</x:f>
      </x:c>
      <x:c r="CX66" s="107" t="n">
        <x:f>'Вводные'!$N$90*((IF(SUM($D55:$DS55)=0,0,IF(SUM($D58:$DS58)=0,1,'Вводные'!$B$63)))*CX57+(1-(IF(SUM($D55:$DS55)=0,0,IF(SUM($D58:$DS58)=0,1,'Вводные'!$B$63))))*CX59)</x:f>
      </x:c>
      <x:c r="CY66" s="107" t="n">
        <x:f>'Вводные'!$N$90*((IF(SUM($D55:$DS55)=0,0,IF(SUM($D58:$DS58)=0,1,'Вводные'!$B$63)))*CY57+(1-(IF(SUM($D55:$DS55)=0,0,IF(SUM($D58:$DS58)=0,1,'Вводные'!$B$63))))*CY59)</x:f>
      </x:c>
      <x:c r="CZ66" s="107" t="n">
        <x:f>'Вводные'!$N$90*((IF(SUM($D55:$DS55)=0,0,IF(SUM($D58:$DS58)=0,1,'Вводные'!$B$63)))*CZ57+(1-(IF(SUM($D55:$DS55)=0,0,IF(SUM($D58:$DS58)=0,1,'Вводные'!$B$63))))*CZ59)</x:f>
      </x:c>
      <x:c r="DA66" s="107" t="n">
        <x:f>'Вводные'!$N$90*((IF(SUM($D55:$DS55)=0,0,IF(SUM($D58:$DS58)=0,1,'Вводные'!$B$63)))*DA57+(1-(IF(SUM($D55:$DS55)=0,0,IF(SUM($D58:$DS58)=0,1,'Вводные'!$B$63))))*DA59)</x:f>
      </x:c>
      <x:c r="DB66" s="107" t="n">
        <x:f>'Вводные'!$N$90*((IF(SUM($D55:$DS55)=0,0,IF(SUM($D58:$DS58)=0,1,'Вводные'!$B$63)))*DB57+(1-(IF(SUM($D55:$DS55)=0,0,IF(SUM($D58:$DS58)=0,1,'Вводные'!$B$63))))*DB59)</x:f>
      </x:c>
      <x:c r="DC66" s="107" t="n">
        <x:f>'Вводные'!$N$90*((IF(SUM($D55:$DS55)=0,0,IF(SUM($D58:$DS58)=0,1,'Вводные'!$B$63)))*DC57+(1-(IF(SUM($D55:$DS55)=0,0,IF(SUM($D58:$DS58)=0,1,'Вводные'!$B$63))))*DC59)</x:f>
      </x:c>
      <x:c r="DD66" s="107" t="n">
        <x:f>'Вводные'!$N$90*((IF(SUM($D55:$DS55)=0,0,IF(SUM($D58:$DS58)=0,1,'Вводные'!$B$63)))*DD57+(1-(IF(SUM($D55:$DS55)=0,0,IF(SUM($D58:$DS58)=0,1,'Вводные'!$B$63))))*DD59)</x:f>
      </x:c>
      <x:c r="DE66" s="107" t="n">
        <x:f>'Вводные'!$N$90*((IF(SUM($D55:$DS55)=0,0,IF(SUM($D58:$DS58)=0,1,'Вводные'!$B$63)))*DE57+(1-(IF(SUM($D55:$DS55)=0,0,IF(SUM($D58:$DS58)=0,1,'Вводные'!$B$63))))*DE59)</x:f>
      </x:c>
      <x:c r="DF66" s="107" t="n">
        <x:f>'Вводные'!$N$90*((IF(SUM($D55:$DS55)=0,0,IF(SUM($D58:$DS58)=0,1,'Вводные'!$B$63)))*DF57+(1-(IF(SUM($D55:$DS55)=0,0,IF(SUM($D58:$DS58)=0,1,'Вводные'!$B$63))))*DF59)</x:f>
      </x:c>
      <x:c r="DG66" s="107" t="n">
        <x:f>'Вводные'!$N$90*((IF(SUM($D55:$DS55)=0,0,IF(SUM($D58:$DS58)=0,1,'Вводные'!$B$63)))*DG57+(1-(IF(SUM($D55:$DS55)=0,0,IF(SUM($D58:$DS58)=0,1,'Вводные'!$B$63))))*DG59)</x:f>
      </x:c>
      <x:c r="DH66" s="107" t="n">
        <x:f>'Вводные'!$N$90*((IF(SUM($D55:$DS55)=0,0,IF(SUM($D58:$DS58)=0,1,'Вводные'!$B$63)))*DH57+(1-(IF(SUM($D55:$DS55)=0,0,IF(SUM($D58:$DS58)=0,1,'Вводные'!$B$63))))*DH59)</x:f>
      </x:c>
      <x:c r="DI66" s="107" t="n">
        <x:f>'Вводные'!$N$90*((IF(SUM($D55:$DS55)=0,0,IF(SUM($D58:$DS58)=0,1,'Вводные'!$B$63)))*DI57+(1-(IF(SUM($D55:$DS55)=0,0,IF(SUM($D58:$DS58)=0,1,'Вводные'!$B$63))))*DI59)</x:f>
      </x:c>
      <x:c r="DJ66" s="107" t="n">
        <x:f>'Вводные'!$N$90*((IF(SUM($D55:$DS55)=0,0,IF(SUM($D58:$DS58)=0,1,'Вводные'!$B$63)))*DJ57+(1-(IF(SUM($D55:$DS55)=0,0,IF(SUM($D58:$DS58)=0,1,'Вводные'!$B$63))))*DJ59)</x:f>
      </x:c>
      <x:c r="DK66" s="107" t="n">
        <x:f>'Вводные'!$N$90*((IF(SUM($D55:$DS55)=0,0,IF(SUM($D58:$DS58)=0,1,'Вводные'!$B$63)))*DK57+(1-(IF(SUM($D55:$DS55)=0,0,IF(SUM($D58:$DS58)=0,1,'Вводные'!$B$63))))*DK59)</x:f>
      </x:c>
      <x:c r="DL66" s="107" t="n">
        <x:f>'Вводные'!$N$90*((IF(SUM($D55:$DS55)=0,0,IF(SUM($D58:$DS58)=0,1,'Вводные'!$B$63)))*DL57+(1-(IF(SUM($D55:$DS55)=0,0,IF(SUM($D58:$DS58)=0,1,'Вводные'!$B$63))))*DL59)</x:f>
      </x:c>
      <x:c r="DM66" s="107" t="n">
        <x:f>'Вводные'!$N$90*((IF(SUM($D55:$DS55)=0,0,IF(SUM($D58:$DS58)=0,1,'Вводные'!$B$63)))*DM57+(1-(IF(SUM($D55:$DS55)=0,0,IF(SUM($D58:$DS58)=0,1,'Вводные'!$B$63))))*DM59)</x:f>
      </x:c>
      <x:c r="DN66" s="107" t="n">
        <x:f>'Вводные'!$N$90*((IF(SUM($D55:$DS55)=0,0,IF(SUM($D58:$DS58)=0,1,'Вводные'!$B$63)))*DN57+(1-(IF(SUM($D55:$DS55)=0,0,IF(SUM($D58:$DS58)=0,1,'Вводные'!$B$63))))*DN59)</x:f>
      </x:c>
      <x:c r="DO66" s="107" t="n">
        <x:f>'Вводные'!$N$90*((IF(SUM($D55:$DS55)=0,0,IF(SUM($D58:$DS58)=0,1,'Вводные'!$B$63)))*DO57+(1-(IF(SUM($D55:$DS55)=0,0,IF(SUM($D58:$DS58)=0,1,'Вводные'!$B$63))))*DO59)</x:f>
      </x:c>
      <x:c r="DP66" s="107" t="n">
        <x:f>'Вводные'!$N$90*((IF(SUM($D55:$DS55)=0,0,IF(SUM($D58:$DS58)=0,1,'Вводные'!$B$63)))*DP57+(1-(IF(SUM($D55:$DS55)=0,0,IF(SUM($D58:$DS58)=0,1,'Вводные'!$B$63))))*DP59)</x:f>
      </x:c>
      <x:c r="DQ66" s="107" t="n">
        <x:f>'Вводные'!$N$90*((IF(SUM($D55:$DS55)=0,0,IF(SUM($D58:$DS58)=0,1,'Вводные'!$B$63)))*DQ57+(1-(IF(SUM($D55:$DS55)=0,0,IF(SUM($D58:$DS58)=0,1,'Вводные'!$B$63))))*DQ59)</x:f>
      </x:c>
      <x:c r="DR66" s="107" t="n">
        <x:f>'Вводные'!$N$90*((IF(SUM($D55:$DS55)=0,0,IF(SUM($D58:$DS58)=0,1,'Вводные'!$B$63)))*DR57+(1-(IF(SUM($D55:$DS55)=0,0,IF(SUM($D58:$DS58)=0,1,'Вводные'!$B$63))))*DR59)</x:f>
      </x:c>
      <x:c r="DS66" s="107" t="n">
        <x:f>'Вводные'!$N$90*((IF(SUM($D55:$DS55)=0,0,IF(SUM($D58:$DS58)=0,1,'Вводные'!$B$63)))*DS57+(1-(IF(SUM($D55:$DS55)=0,0,IF(SUM($D58:$DS58)=0,1,'Вводные'!$B$63))))*DS59)</x:f>
      </x:c>
    </x:row>
    <x:row r="67">
      <x:c r="A67" t="str">
        <x:v>Паркинг — цена</x:v>
      </x:c>
      <x:c r="B67" t="n">
        <x:f>IFERROR(B68*1000/B66,0)</x:f>
      </x:c>
      <x:c r="C67" t="str">
        <x:v>тыс. ₽/шт.</x:v>
      </x:c>
      <x:c r="D67" s="107" t="n">
        <x:f>IF(D66=0,0,'Вводные'!$B$61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7" s="107" t="n">
        <x:f>IF(E66=0,0,'Вводные'!$B$61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7" s="107" t="n">
        <x:f>IF(F66=0,0,'Вводные'!$B$61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7" s="107" t="n">
        <x:f>IF(G66=0,0,'Вводные'!$B$61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7" s="107" t="n">
        <x:f>IF(H66=0,0,'Вводные'!$B$61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7" s="107" t="n">
        <x:f>IF(I66=0,0,'Вводные'!$B$61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7" s="107" t="n">
        <x:f>IF(J66=0,0,'Вводные'!$B$61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7" s="107" t="n">
        <x:f>IF(K66=0,0,'Вводные'!$B$61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7" s="107" t="n">
        <x:f>IF(L66=0,0,'Вводные'!$B$61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7" s="107" t="n">
        <x:f>IF(M66=0,0,'Вводные'!$B$61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7" s="107" t="n">
        <x:f>IF(N66=0,0,'Вводные'!$B$61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7" s="107" t="n">
        <x:f>IF(O66=0,0,'Вводные'!$B$61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7" s="107" t="n">
        <x:f>IF(P66=0,0,'Вводные'!$B$61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7" s="107" t="n">
        <x:f>IF(Q66=0,0,'Вводные'!$B$61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7" s="107" t="n">
        <x:f>IF(R66=0,0,'Вводные'!$B$61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7" s="107" t="n">
        <x:f>IF(S66=0,0,'Вводные'!$B$61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7" s="107" t="n">
        <x:f>IF(T66=0,0,'Вводные'!$B$61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7" s="107" t="n">
        <x:f>IF(U66=0,0,'Вводные'!$B$61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7" s="107" t="n">
        <x:f>IF(V66=0,0,'Вводные'!$B$61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7" s="107" t="n">
        <x:f>IF(W66=0,0,'Вводные'!$B$61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7" s="107" t="n">
        <x:f>IF(X66=0,0,'Вводные'!$B$61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7" s="107" t="n">
        <x:f>IF(Y66=0,0,'Вводные'!$B$61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7" s="107" t="n">
        <x:f>IF(Z66=0,0,'Вводные'!$B$61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7" s="107" t="n">
        <x:f>IF(AA66=0,0,'Вводные'!$B$61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7" s="107" t="n">
        <x:f>IF(AB66=0,0,'Вводные'!$B$61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7" s="107" t="n">
        <x:f>IF(AC66=0,0,'Вводные'!$B$61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7" s="107" t="n">
        <x:f>IF(AD66=0,0,'Вводные'!$B$61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7" s="107" t="n">
        <x:f>IF(AE66=0,0,'Вводные'!$B$61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7" s="107" t="n">
        <x:f>IF(AF66=0,0,'Вводные'!$B$61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7" s="107" t="n">
        <x:f>IF(AG66=0,0,'Вводные'!$B$61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7" s="107" t="n">
        <x:f>IF(AH66=0,0,'Вводные'!$B$61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7" s="107" t="n">
        <x:f>IF(AI66=0,0,'Вводные'!$B$61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7" s="107" t="n">
        <x:f>IF(AJ66=0,0,'Вводные'!$B$61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7" s="107" t="n">
        <x:f>IF(AK66=0,0,'Вводные'!$B$61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7" s="107" t="n">
        <x:f>IF(AL66=0,0,'Вводные'!$B$61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7" s="107" t="n">
        <x:f>IF(AM66=0,0,'Вводные'!$B$61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7" s="107" t="n">
        <x:f>IF(AN66=0,0,'Вводные'!$B$61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7" s="107" t="n">
        <x:f>IF(AO66=0,0,'Вводные'!$B$61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7" s="107" t="n">
        <x:f>IF(AP66=0,0,'Вводные'!$B$61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7" s="107" t="n">
        <x:f>IF(AQ66=0,0,'Вводные'!$B$61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7" s="107" t="n">
        <x:f>IF(AR66=0,0,'Вводные'!$B$61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7" s="107" t="n">
        <x:f>IF(AS66=0,0,'Вводные'!$B$61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7" s="107" t="n">
        <x:f>IF(AT66=0,0,'Вводные'!$B$61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7" s="107" t="n">
        <x:f>IF(AU66=0,0,'Вводные'!$B$61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7" s="107" t="n">
        <x:f>IF(AV66=0,0,'Вводные'!$B$61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7" s="107" t="n">
        <x:f>IF(AW66=0,0,'Вводные'!$B$61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7" s="107" t="n">
        <x:f>IF(AX66=0,0,'Вводные'!$B$61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7" s="107" t="n">
        <x:f>IF(AY66=0,0,'Вводные'!$B$61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7" s="107" t="n">
        <x:f>IF(AZ66=0,0,'Вводные'!$B$61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7" s="107" t="n">
        <x:f>IF(BA66=0,0,'Вводные'!$B$61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7" s="107" t="n">
        <x:f>IF(BB66=0,0,'Вводные'!$B$61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7" s="107" t="n">
        <x:f>IF(BC66=0,0,'Вводные'!$B$61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7" s="107" t="n">
        <x:f>IF(BD66=0,0,'Вводные'!$B$61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7" s="107" t="n">
        <x:f>IF(BE66=0,0,'Вводные'!$B$61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7" s="107" t="n">
        <x:f>IF(BF66=0,0,'Вводные'!$B$61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7" s="107" t="n">
        <x:f>IF(BG66=0,0,'Вводные'!$B$61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7" s="107" t="n">
        <x:f>IF(BH66=0,0,'Вводные'!$B$61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7" s="107" t="n">
        <x:f>IF(BI66=0,0,'Вводные'!$B$61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7" s="107" t="n">
        <x:f>IF(BJ66=0,0,'Вводные'!$B$61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7" s="107" t="n">
        <x:f>IF(BK66=0,0,'Вводные'!$B$61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7" s="107" t="n">
        <x:f>IF(BL66=0,0,'Вводные'!$B$61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7" s="107" t="n">
        <x:f>IF(BM66=0,0,'Вводные'!$B$61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7" s="107" t="n">
        <x:f>IF(BN66=0,0,'Вводные'!$B$61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7" s="107" t="n">
        <x:f>IF(BO66=0,0,'Вводные'!$B$61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7" s="107" t="n">
        <x:f>IF(BP66=0,0,'Вводные'!$B$61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7" s="107" t="n">
        <x:f>IF(BQ66=0,0,'Вводные'!$B$61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7" s="107" t="n">
        <x:f>IF(BR66=0,0,'Вводные'!$B$61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7" s="107" t="n">
        <x:f>IF(BS66=0,0,'Вводные'!$B$61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7" s="107" t="n">
        <x:f>IF(BT66=0,0,'Вводные'!$B$61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7" s="107" t="n">
        <x:f>IF(BU66=0,0,'Вводные'!$B$61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7" s="107" t="n">
        <x:f>IF(BV66=0,0,'Вводные'!$B$61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7" s="107" t="n">
        <x:f>IF(BW66=0,0,'Вводные'!$B$61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7" s="107" t="n">
        <x:f>IF(BX66=0,0,'Вводные'!$B$61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7" s="107" t="n">
        <x:f>IF(BY66=0,0,'Вводные'!$B$61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7" s="107" t="n">
        <x:f>IF(BZ66=0,0,'Вводные'!$B$61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7" s="107" t="n">
        <x:f>IF(CA66=0,0,'Вводные'!$B$61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7" s="107" t="n">
        <x:f>IF(CB66=0,0,'Вводные'!$B$61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7" s="107" t="n">
        <x:f>IF(CC66=0,0,'Вводные'!$B$61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7" s="107" t="n">
        <x:f>IF(CD66=0,0,'Вводные'!$B$61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7" s="107" t="n">
        <x:f>IF(CE66=0,0,'Вводные'!$B$61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7" s="107" t="n">
        <x:f>IF(CF66=0,0,'Вводные'!$B$61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7" s="107" t="n">
        <x:f>IF(CG66=0,0,'Вводные'!$B$61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7" s="107" t="n">
        <x:f>IF(CH66=0,0,'Вводные'!$B$61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7" s="107" t="n">
        <x:f>IF(CI66=0,0,'Вводные'!$B$61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7" s="107" t="n">
        <x:f>IF(CJ66=0,0,'Вводные'!$B$61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7" s="107" t="n">
        <x:f>IF(CK66=0,0,'Вводные'!$B$61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7" s="107" t="n">
        <x:f>IF(CL66=0,0,'Вводные'!$B$61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7" s="107" t="n">
        <x:f>IF(CM66=0,0,'Вводные'!$B$61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7" s="107" t="n">
        <x:f>IF(CN66=0,0,'Вводные'!$B$61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7" s="107" t="n">
        <x:f>IF(CO66=0,0,'Вводные'!$B$61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7" s="107" t="n">
        <x:f>IF(CP66=0,0,'Вводные'!$B$61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7" s="107" t="n">
        <x:f>IF(CQ66=0,0,'Вводные'!$B$61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7" s="107" t="n">
        <x:f>IF(CR66=0,0,'Вводные'!$B$61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7" s="107" t="n">
        <x:f>IF(CS66=0,0,'Вводные'!$B$61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7" s="107" t="n">
        <x:f>IF(CT66=0,0,'Вводные'!$B$61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7" s="107" t="n">
        <x:f>IF(CU66=0,0,'Вводные'!$B$61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7" s="107" t="n">
        <x:f>IF(CV66=0,0,'Вводные'!$B$61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7" s="107" t="n">
        <x:f>IF(CW66=0,0,'Вводные'!$B$61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7" s="107" t="n">
        <x:f>IF(CX66=0,0,'Вводные'!$B$61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7" s="107" t="n">
        <x:f>IF(CY66=0,0,'Вводные'!$B$61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7" s="107" t="n">
        <x:f>IF(CZ66=0,0,'Вводные'!$B$61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7" s="107" t="n">
        <x:f>IF(DA66=0,0,'Вводные'!$B$61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7" s="107" t="n">
        <x:f>IF(DB66=0,0,'Вводные'!$B$61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7" s="107" t="n">
        <x:f>IF(DC66=0,0,'Вводные'!$B$61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7" s="107" t="n">
        <x:f>IF(DD66=0,0,'Вводные'!$B$61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7" s="107" t="n">
        <x:f>IF(DE66=0,0,'Вводные'!$B$61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7" s="107" t="n">
        <x:f>IF(DF66=0,0,'Вводные'!$B$61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7" s="107" t="n">
        <x:f>IF(DG66=0,0,'Вводные'!$B$61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7" s="107" t="n">
        <x:f>IF(DH66=0,0,'Вводные'!$B$61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7" s="107" t="n">
        <x:f>IF(DI66=0,0,'Вводные'!$B$61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7" s="107" t="n">
        <x:f>IF(DJ66=0,0,'Вводные'!$B$61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7" s="107" t="n">
        <x:f>IF(DK66=0,0,'Вводные'!$B$61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7" s="107" t="n">
        <x:f>IF(DL66=0,0,'Вводные'!$B$61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7" s="107" t="n">
        <x:f>IF(DM66=0,0,'Вводные'!$B$61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7" s="107" t="n">
        <x:f>IF(DN66=0,0,'Вводные'!$B$61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7" s="107" t="n">
        <x:f>IF(DO66=0,0,'Вводные'!$B$61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7" s="107" t="n">
        <x:f>IF(DP66=0,0,'Вводные'!$B$61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7" s="107" t="n">
        <x:f>IF(DQ66=0,0,'Вводные'!$B$61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7" s="107" t="n">
        <x:f>IF(DR66=0,0,'Вводные'!$B$61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7" s="107" t="n">
        <x:f>IF(DS66=0,0,'Вводные'!$B$61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8">
      <x:c r="A68" t="str">
        <x:v>Паркинг — выручка</x:v>
      </x:c>
      <x:c r="B68" t="n">
        <x:f>SUM(D68:DS68)</x:f>
      </x:c>
      <x:c r="C68" t="str">
        <x:v>млн ₽</x:v>
      </x:c>
      <x:c r="D68" s="107" t="n">
        <x:f>D66*D67/1000</x:f>
      </x:c>
      <x:c r="E68" s="107" t="n">
        <x:f>E66*E67/1000</x:f>
      </x:c>
      <x:c r="F68" s="107" t="n">
        <x:f>F66*F67/1000</x:f>
      </x:c>
      <x:c r="G68" s="107" t="n">
        <x:f>G66*G67/1000</x:f>
      </x:c>
      <x:c r="H68" s="107" t="n">
        <x:f>H66*H67/1000</x:f>
      </x:c>
      <x:c r="I68" s="107" t="n">
        <x:f>I66*I67/1000</x:f>
      </x:c>
      <x:c r="J68" s="107" t="n">
        <x:f>J66*J67/1000</x:f>
      </x:c>
      <x:c r="K68" s="107" t="n">
        <x:f>K66*K67/1000</x:f>
      </x:c>
      <x:c r="L68" s="107" t="n">
        <x:f>L66*L67/1000</x:f>
      </x:c>
      <x:c r="M68" s="107" t="n">
        <x:f>M66*M67/1000</x:f>
      </x:c>
      <x:c r="N68" s="107" t="n">
        <x:f>N66*N67/1000</x:f>
      </x:c>
      <x:c r="O68" s="107" t="n">
        <x:f>O66*O67/1000</x:f>
      </x:c>
      <x:c r="P68" s="107" t="n">
        <x:f>P66*P67/1000</x:f>
      </x:c>
      <x:c r="Q68" s="107" t="n">
        <x:f>Q66*Q67/1000</x:f>
      </x:c>
      <x:c r="R68" s="107" t="n">
        <x:f>R66*R67/1000</x:f>
      </x:c>
      <x:c r="S68" s="107" t="n">
        <x:f>S66*S67/1000</x:f>
      </x:c>
      <x:c r="T68" s="107" t="n">
        <x:f>T66*T67/1000</x:f>
      </x:c>
      <x:c r="U68" s="107" t="n">
        <x:f>U66*U67/1000</x:f>
      </x:c>
      <x:c r="V68" s="107" t="n">
        <x:f>V66*V67/1000</x:f>
      </x:c>
      <x:c r="W68" s="107" t="n">
        <x:f>W66*W67/1000</x:f>
      </x:c>
      <x:c r="X68" s="107" t="n">
        <x:f>X66*X67/1000</x:f>
      </x:c>
      <x:c r="Y68" s="107" t="n">
        <x:f>Y66*Y67/1000</x:f>
      </x:c>
      <x:c r="Z68" s="107" t="n">
        <x:f>Z66*Z67/1000</x:f>
      </x:c>
      <x:c r="AA68" s="107" t="n">
        <x:f>AA66*AA67/1000</x:f>
      </x:c>
      <x:c r="AB68" s="107" t="n">
        <x:f>AB66*AB67/1000</x:f>
      </x:c>
      <x:c r="AC68" s="107" t="n">
        <x:f>AC66*AC67/1000</x:f>
      </x:c>
      <x:c r="AD68" s="107" t="n">
        <x:f>AD66*AD67/1000</x:f>
      </x:c>
      <x:c r="AE68" s="107" t="n">
        <x:f>AE66*AE67/1000</x:f>
      </x:c>
      <x:c r="AF68" s="107" t="n">
        <x:f>AF66*AF67/1000</x:f>
      </x:c>
      <x:c r="AG68" s="107" t="n">
        <x:f>AG66*AG67/1000</x:f>
      </x:c>
      <x:c r="AH68" s="107" t="n">
        <x:f>AH66*AH67/1000</x:f>
      </x:c>
      <x:c r="AI68" s="107" t="n">
        <x:f>AI66*AI67/1000</x:f>
      </x:c>
      <x:c r="AJ68" s="107" t="n">
        <x:f>AJ66*AJ67/1000</x:f>
      </x:c>
      <x:c r="AK68" s="107" t="n">
        <x:f>AK66*AK67/1000</x:f>
      </x:c>
      <x:c r="AL68" s="107" t="n">
        <x:f>AL66*AL67/1000</x:f>
      </x:c>
      <x:c r="AM68" s="107" t="n">
        <x:f>AM66*AM67/1000</x:f>
      </x:c>
      <x:c r="AN68" s="107" t="n">
        <x:f>AN66*AN67/1000</x:f>
      </x:c>
      <x:c r="AO68" s="107" t="n">
        <x:f>AO66*AO67/1000</x:f>
      </x:c>
      <x:c r="AP68" s="107" t="n">
        <x:f>AP66*AP67/1000</x:f>
      </x:c>
      <x:c r="AQ68" s="107" t="n">
        <x:f>AQ66*AQ67/1000</x:f>
      </x:c>
      <x:c r="AR68" s="107" t="n">
        <x:f>AR66*AR67/1000</x:f>
      </x:c>
      <x:c r="AS68" s="107" t="n">
        <x:f>AS66*AS67/1000</x:f>
      </x:c>
      <x:c r="AT68" s="107" t="n">
        <x:f>AT66*AT67/1000</x:f>
      </x:c>
      <x:c r="AU68" s="107" t="n">
        <x:f>AU66*AU67/1000</x:f>
      </x:c>
      <x:c r="AV68" s="107" t="n">
        <x:f>AV66*AV67/1000</x:f>
      </x:c>
      <x:c r="AW68" s="107" t="n">
        <x:f>AW66*AW67/1000</x:f>
      </x:c>
      <x:c r="AX68" s="107" t="n">
        <x:f>AX66*AX67/1000</x:f>
      </x:c>
      <x:c r="AY68" s="107" t="n">
        <x:f>AY66*AY67/1000</x:f>
      </x:c>
      <x:c r="AZ68" s="107" t="n">
        <x:f>AZ66*AZ67/1000</x:f>
      </x:c>
      <x:c r="BA68" s="107" t="n">
        <x:f>BA66*BA67/1000</x:f>
      </x:c>
      <x:c r="BB68" s="107" t="n">
        <x:f>BB66*BB67/1000</x:f>
      </x:c>
      <x:c r="BC68" s="107" t="n">
        <x:f>BC66*BC67/1000</x:f>
      </x:c>
      <x:c r="BD68" s="107" t="n">
        <x:f>BD66*BD67/1000</x:f>
      </x:c>
      <x:c r="BE68" s="107" t="n">
        <x:f>BE66*BE67/1000</x:f>
      </x:c>
      <x:c r="BF68" s="107" t="n">
        <x:f>BF66*BF67/1000</x:f>
      </x:c>
      <x:c r="BG68" s="107" t="n">
        <x:f>BG66*BG67/1000</x:f>
      </x:c>
      <x:c r="BH68" s="107" t="n">
        <x:f>BH66*BH67/1000</x:f>
      </x:c>
      <x:c r="BI68" s="107" t="n">
        <x:f>BI66*BI67/1000</x:f>
      </x:c>
      <x:c r="BJ68" s="107" t="n">
        <x:f>BJ66*BJ67/1000</x:f>
      </x:c>
      <x:c r="BK68" s="107" t="n">
        <x:f>BK66*BK67/1000</x:f>
      </x:c>
      <x:c r="BL68" s="107" t="n">
        <x:f>BL66*BL67/1000</x:f>
      </x:c>
      <x:c r="BM68" s="107" t="n">
        <x:f>BM66*BM67/1000</x:f>
      </x:c>
      <x:c r="BN68" s="107" t="n">
        <x:f>BN66*BN67/1000</x:f>
      </x:c>
      <x:c r="BO68" s="107" t="n">
        <x:f>BO66*BO67/1000</x:f>
      </x:c>
      <x:c r="BP68" s="107" t="n">
        <x:f>BP66*BP67/1000</x:f>
      </x:c>
      <x:c r="BQ68" s="107" t="n">
        <x:f>BQ66*BQ67/1000</x:f>
      </x:c>
      <x:c r="BR68" s="107" t="n">
        <x:f>BR66*BR67/1000</x:f>
      </x:c>
      <x:c r="BS68" s="107" t="n">
        <x:f>BS66*BS67/1000</x:f>
      </x:c>
      <x:c r="BT68" s="107" t="n">
        <x:f>BT66*BT67/1000</x:f>
      </x:c>
      <x:c r="BU68" s="107" t="n">
        <x:f>BU66*BU67/1000</x:f>
      </x:c>
      <x:c r="BV68" s="107" t="n">
        <x:f>BV66*BV67/1000</x:f>
      </x:c>
      <x:c r="BW68" s="107" t="n">
        <x:f>BW66*BW67/1000</x:f>
      </x:c>
      <x:c r="BX68" s="107" t="n">
        <x:f>BX66*BX67/1000</x:f>
      </x:c>
      <x:c r="BY68" s="107" t="n">
        <x:f>BY66*BY67/1000</x:f>
      </x:c>
      <x:c r="BZ68" s="107" t="n">
        <x:f>BZ66*BZ67/1000</x:f>
      </x:c>
      <x:c r="CA68" s="107" t="n">
        <x:f>CA66*CA67/1000</x:f>
      </x:c>
      <x:c r="CB68" s="107" t="n">
        <x:f>CB66*CB67/1000</x:f>
      </x:c>
      <x:c r="CC68" s="107" t="n">
        <x:f>CC66*CC67/1000</x:f>
      </x:c>
      <x:c r="CD68" s="107" t="n">
        <x:f>CD66*CD67/1000</x:f>
      </x:c>
      <x:c r="CE68" s="107" t="n">
        <x:f>CE66*CE67/1000</x:f>
      </x:c>
      <x:c r="CF68" s="107" t="n">
        <x:f>CF66*CF67/1000</x:f>
      </x:c>
      <x:c r="CG68" s="107" t="n">
        <x:f>CG66*CG67/1000</x:f>
      </x:c>
      <x:c r="CH68" s="107" t="n">
        <x:f>CH66*CH67/1000</x:f>
      </x:c>
      <x:c r="CI68" s="107" t="n">
        <x:f>CI66*CI67/1000</x:f>
      </x:c>
      <x:c r="CJ68" s="107" t="n">
        <x:f>CJ66*CJ67/1000</x:f>
      </x:c>
      <x:c r="CK68" s="107" t="n">
        <x:f>CK66*CK67/1000</x:f>
      </x:c>
      <x:c r="CL68" s="107" t="n">
        <x:f>CL66*CL67/1000</x:f>
      </x:c>
      <x:c r="CM68" s="107" t="n">
        <x:f>CM66*CM67/1000</x:f>
      </x:c>
      <x:c r="CN68" s="107" t="n">
        <x:f>CN66*CN67/1000</x:f>
      </x:c>
      <x:c r="CO68" s="107" t="n">
        <x:f>CO66*CO67/1000</x:f>
      </x:c>
      <x:c r="CP68" s="107" t="n">
        <x:f>CP66*CP67/1000</x:f>
      </x:c>
      <x:c r="CQ68" s="107" t="n">
        <x:f>CQ66*CQ67/1000</x:f>
      </x:c>
      <x:c r="CR68" s="107" t="n">
        <x:f>CR66*CR67/1000</x:f>
      </x:c>
      <x:c r="CS68" s="107" t="n">
        <x:f>CS66*CS67/1000</x:f>
      </x:c>
      <x:c r="CT68" s="107" t="n">
        <x:f>CT66*CT67/1000</x:f>
      </x:c>
      <x:c r="CU68" s="107" t="n">
        <x:f>CU66*CU67/1000</x:f>
      </x:c>
      <x:c r="CV68" s="107" t="n">
        <x:f>CV66*CV67/1000</x:f>
      </x:c>
      <x:c r="CW68" s="107" t="n">
        <x:f>CW66*CW67/1000</x:f>
      </x:c>
      <x:c r="CX68" s="107" t="n">
        <x:f>CX66*CX67/1000</x:f>
      </x:c>
      <x:c r="CY68" s="107" t="n">
        <x:f>CY66*CY67/1000</x:f>
      </x:c>
      <x:c r="CZ68" s="107" t="n">
        <x:f>CZ66*CZ67/1000</x:f>
      </x:c>
      <x:c r="DA68" s="107" t="n">
        <x:f>DA66*DA67/1000</x:f>
      </x:c>
      <x:c r="DB68" s="107" t="n">
        <x:f>DB66*DB67/1000</x:f>
      </x:c>
      <x:c r="DC68" s="107" t="n">
        <x:f>DC66*DC67/1000</x:f>
      </x:c>
      <x:c r="DD68" s="107" t="n">
        <x:f>DD66*DD67/1000</x:f>
      </x:c>
      <x:c r="DE68" s="107" t="n">
        <x:f>DE66*DE67/1000</x:f>
      </x:c>
      <x:c r="DF68" s="107" t="n">
        <x:f>DF66*DF67/1000</x:f>
      </x:c>
      <x:c r="DG68" s="107" t="n">
        <x:f>DG66*DG67/1000</x:f>
      </x:c>
      <x:c r="DH68" s="107" t="n">
        <x:f>DH66*DH67/1000</x:f>
      </x:c>
      <x:c r="DI68" s="107" t="n">
        <x:f>DI66*DI67/1000</x:f>
      </x:c>
      <x:c r="DJ68" s="107" t="n">
        <x:f>DJ66*DJ67/1000</x:f>
      </x:c>
      <x:c r="DK68" s="107" t="n">
        <x:f>DK66*DK67/1000</x:f>
      </x:c>
      <x:c r="DL68" s="107" t="n">
        <x:f>DL66*DL67/1000</x:f>
      </x:c>
      <x:c r="DM68" s="107" t="n">
        <x:f>DM66*DM67/1000</x:f>
      </x:c>
      <x:c r="DN68" s="107" t="n">
        <x:f>DN66*DN67/1000</x:f>
      </x:c>
      <x:c r="DO68" s="107" t="n">
        <x:f>DO66*DO67/1000</x:f>
      </x:c>
      <x:c r="DP68" s="107" t="n">
        <x:f>DP66*DP67/1000</x:f>
      </x:c>
      <x:c r="DQ68" s="107" t="n">
        <x:f>DQ66*DQ67/1000</x:f>
      </x:c>
      <x:c r="DR68" s="107" t="n">
        <x:f>DR66*DR67/1000</x:f>
      </x:c>
      <x:c r="DS68" s="107" t="n">
        <x:f>DS66*DS67/1000</x:f>
      </x:c>
    </x:row>
    <x:row r="69">
      <x:c r="A69" t="str">
        <x:v>Кладовые — объём</x:v>
      </x:c>
      <x:c r="B69" t="n">
        <x:f>SUM(D69:DS69)</x:f>
      </x:c>
      <x:c r="C69" t="str">
        <x:v>шт.</x:v>
      </x:c>
      <x:c r="D69" s="107" t="n">
        <x:f>'Вводные'!$O$90*((IF(SUM($D55:$DS55)=0,0,IF(SUM($D58:$DS58)=0,1,'Вводные'!$B$63)))*D57+(1-(IF(SUM($D55:$DS55)=0,0,IF(SUM($D58:$DS58)=0,1,'Вводные'!$B$63))))*D59)</x:f>
      </x:c>
      <x:c r="E69" s="107" t="n">
        <x:f>'Вводные'!$O$90*((IF(SUM($D55:$DS55)=0,0,IF(SUM($D58:$DS58)=0,1,'Вводные'!$B$63)))*E57+(1-(IF(SUM($D55:$DS55)=0,0,IF(SUM($D58:$DS58)=0,1,'Вводные'!$B$63))))*E59)</x:f>
      </x:c>
      <x:c r="F69" s="107" t="n">
        <x:f>'Вводные'!$O$90*((IF(SUM($D55:$DS55)=0,0,IF(SUM($D58:$DS58)=0,1,'Вводные'!$B$63)))*F57+(1-(IF(SUM($D55:$DS55)=0,0,IF(SUM($D58:$DS58)=0,1,'Вводные'!$B$63))))*F59)</x:f>
      </x:c>
      <x:c r="G69" s="107" t="n">
        <x:f>'Вводные'!$O$90*((IF(SUM($D55:$DS55)=0,0,IF(SUM($D58:$DS58)=0,1,'Вводные'!$B$63)))*G57+(1-(IF(SUM($D55:$DS55)=0,0,IF(SUM($D58:$DS58)=0,1,'Вводные'!$B$63))))*G59)</x:f>
      </x:c>
      <x:c r="H69" s="107" t="n">
        <x:f>'Вводные'!$O$90*((IF(SUM($D55:$DS55)=0,0,IF(SUM($D58:$DS58)=0,1,'Вводные'!$B$63)))*H57+(1-(IF(SUM($D55:$DS55)=0,0,IF(SUM($D58:$DS58)=0,1,'Вводные'!$B$63))))*H59)</x:f>
      </x:c>
      <x:c r="I69" s="107" t="n">
        <x:f>'Вводные'!$O$90*((IF(SUM($D55:$DS55)=0,0,IF(SUM($D58:$DS58)=0,1,'Вводные'!$B$63)))*I57+(1-(IF(SUM($D55:$DS55)=0,0,IF(SUM($D58:$DS58)=0,1,'Вводные'!$B$63))))*I59)</x:f>
      </x:c>
      <x:c r="J69" s="107" t="n">
        <x:f>'Вводные'!$O$90*((IF(SUM($D55:$DS55)=0,0,IF(SUM($D58:$DS58)=0,1,'Вводные'!$B$63)))*J57+(1-(IF(SUM($D55:$DS55)=0,0,IF(SUM($D58:$DS58)=0,1,'Вводные'!$B$63))))*J59)</x:f>
      </x:c>
      <x:c r="K69" s="107" t="n">
        <x:f>'Вводные'!$O$90*((IF(SUM($D55:$DS55)=0,0,IF(SUM($D58:$DS58)=0,1,'Вводные'!$B$63)))*K57+(1-(IF(SUM($D55:$DS55)=0,0,IF(SUM($D58:$DS58)=0,1,'Вводные'!$B$63))))*K59)</x:f>
      </x:c>
      <x:c r="L69" s="107" t="n">
        <x:f>'Вводные'!$O$90*((IF(SUM($D55:$DS55)=0,0,IF(SUM($D58:$DS58)=0,1,'Вводные'!$B$63)))*L57+(1-(IF(SUM($D55:$DS55)=0,0,IF(SUM($D58:$DS58)=0,1,'Вводные'!$B$63))))*L59)</x:f>
      </x:c>
      <x:c r="M69" s="107" t="n">
        <x:f>'Вводные'!$O$90*((IF(SUM($D55:$DS55)=0,0,IF(SUM($D58:$DS58)=0,1,'Вводные'!$B$63)))*M57+(1-(IF(SUM($D55:$DS55)=0,0,IF(SUM($D58:$DS58)=0,1,'Вводные'!$B$63))))*M59)</x:f>
      </x:c>
      <x:c r="N69" s="107" t="n">
        <x:f>'Вводные'!$O$90*((IF(SUM($D55:$DS55)=0,0,IF(SUM($D58:$DS58)=0,1,'Вводные'!$B$63)))*N57+(1-(IF(SUM($D55:$DS55)=0,0,IF(SUM($D58:$DS58)=0,1,'Вводные'!$B$63))))*N59)</x:f>
      </x:c>
      <x:c r="O69" s="107" t="n">
        <x:f>'Вводные'!$O$90*((IF(SUM($D55:$DS55)=0,0,IF(SUM($D58:$DS58)=0,1,'Вводные'!$B$63)))*O57+(1-(IF(SUM($D55:$DS55)=0,0,IF(SUM($D58:$DS58)=0,1,'Вводные'!$B$63))))*O59)</x:f>
      </x:c>
      <x:c r="P69" s="107" t="n">
        <x:f>'Вводные'!$O$90*((IF(SUM($D55:$DS55)=0,0,IF(SUM($D58:$DS58)=0,1,'Вводные'!$B$63)))*P57+(1-(IF(SUM($D55:$DS55)=0,0,IF(SUM($D58:$DS58)=0,1,'Вводные'!$B$63))))*P59)</x:f>
      </x:c>
      <x:c r="Q69" s="107" t="n">
        <x:f>'Вводные'!$O$90*((IF(SUM($D55:$DS55)=0,0,IF(SUM($D58:$DS58)=0,1,'Вводные'!$B$63)))*Q57+(1-(IF(SUM($D55:$DS55)=0,0,IF(SUM($D58:$DS58)=0,1,'Вводные'!$B$63))))*Q59)</x:f>
      </x:c>
      <x:c r="R69" s="107" t="n">
        <x:f>'Вводные'!$O$90*((IF(SUM($D55:$DS55)=0,0,IF(SUM($D58:$DS58)=0,1,'Вводные'!$B$63)))*R57+(1-(IF(SUM($D55:$DS55)=0,0,IF(SUM($D58:$DS58)=0,1,'Вводные'!$B$63))))*R59)</x:f>
      </x:c>
      <x:c r="S69" s="107" t="n">
        <x:f>'Вводные'!$O$90*((IF(SUM($D55:$DS55)=0,0,IF(SUM($D58:$DS58)=0,1,'Вводные'!$B$63)))*S57+(1-(IF(SUM($D55:$DS55)=0,0,IF(SUM($D58:$DS58)=0,1,'Вводные'!$B$63))))*S59)</x:f>
      </x:c>
      <x:c r="T69" s="107" t="n">
        <x:f>'Вводные'!$O$90*((IF(SUM($D55:$DS55)=0,0,IF(SUM($D58:$DS58)=0,1,'Вводные'!$B$63)))*T57+(1-(IF(SUM($D55:$DS55)=0,0,IF(SUM($D58:$DS58)=0,1,'Вводные'!$B$63))))*T59)</x:f>
      </x:c>
      <x:c r="U69" s="107" t="n">
        <x:f>'Вводные'!$O$90*((IF(SUM($D55:$DS55)=0,0,IF(SUM($D58:$DS58)=0,1,'Вводные'!$B$63)))*U57+(1-(IF(SUM($D55:$DS55)=0,0,IF(SUM($D58:$DS58)=0,1,'Вводные'!$B$63))))*U59)</x:f>
      </x:c>
      <x:c r="V69" s="107" t="n">
        <x:f>'Вводные'!$O$90*((IF(SUM($D55:$DS55)=0,0,IF(SUM($D58:$DS58)=0,1,'Вводные'!$B$63)))*V57+(1-(IF(SUM($D55:$DS55)=0,0,IF(SUM($D58:$DS58)=0,1,'Вводные'!$B$63))))*V59)</x:f>
      </x:c>
      <x:c r="W69" s="107" t="n">
        <x:f>'Вводные'!$O$90*((IF(SUM($D55:$DS55)=0,0,IF(SUM($D58:$DS58)=0,1,'Вводные'!$B$63)))*W57+(1-(IF(SUM($D55:$DS55)=0,0,IF(SUM($D58:$DS58)=0,1,'Вводные'!$B$63))))*W59)</x:f>
      </x:c>
      <x:c r="X69" s="107" t="n">
        <x:f>'Вводные'!$O$90*((IF(SUM($D55:$DS55)=0,0,IF(SUM($D58:$DS58)=0,1,'Вводные'!$B$63)))*X57+(1-(IF(SUM($D55:$DS55)=0,0,IF(SUM($D58:$DS58)=0,1,'Вводные'!$B$63))))*X59)</x:f>
      </x:c>
      <x:c r="Y69" s="107" t="n">
        <x:f>'Вводные'!$O$90*((IF(SUM($D55:$DS55)=0,0,IF(SUM($D58:$DS58)=0,1,'Вводные'!$B$63)))*Y57+(1-(IF(SUM($D55:$DS55)=0,0,IF(SUM($D58:$DS58)=0,1,'Вводные'!$B$63))))*Y59)</x:f>
      </x:c>
      <x:c r="Z69" s="107" t="n">
        <x:f>'Вводные'!$O$90*((IF(SUM($D55:$DS55)=0,0,IF(SUM($D58:$DS58)=0,1,'Вводные'!$B$63)))*Z57+(1-(IF(SUM($D55:$DS55)=0,0,IF(SUM($D58:$DS58)=0,1,'Вводные'!$B$63))))*Z59)</x:f>
      </x:c>
      <x:c r="AA69" s="107" t="n">
        <x:f>'Вводные'!$O$90*((IF(SUM($D55:$DS55)=0,0,IF(SUM($D58:$DS58)=0,1,'Вводные'!$B$63)))*AA57+(1-(IF(SUM($D55:$DS55)=0,0,IF(SUM($D58:$DS58)=0,1,'Вводные'!$B$63))))*AA59)</x:f>
      </x:c>
      <x:c r="AB69" s="107" t="n">
        <x:f>'Вводные'!$O$90*((IF(SUM($D55:$DS55)=0,0,IF(SUM($D58:$DS58)=0,1,'Вводные'!$B$63)))*AB57+(1-(IF(SUM($D55:$DS55)=0,0,IF(SUM($D58:$DS58)=0,1,'Вводные'!$B$63))))*AB59)</x:f>
      </x:c>
      <x:c r="AC69" s="107" t="n">
        <x:f>'Вводные'!$O$90*((IF(SUM($D55:$DS55)=0,0,IF(SUM($D58:$DS58)=0,1,'Вводные'!$B$63)))*AC57+(1-(IF(SUM($D55:$DS55)=0,0,IF(SUM($D58:$DS58)=0,1,'Вводные'!$B$63))))*AC59)</x:f>
      </x:c>
      <x:c r="AD69" s="107" t="n">
        <x:f>'Вводные'!$O$90*((IF(SUM($D55:$DS55)=0,0,IF(SUM($D58:$DS58)=0,1,'Вводные'!$B$63)))*AD57+(1-(IF(SUM($D55:$DS55)=0,0,IF(SUM($D58:$DS58)=0,1,'Вводные'!$B$63))))*AD59)</x:f>
      </x:c>
      <x:c r="AE69" s="107" t="n">
        <x:f>'Вводные'!$O$90*((IF(SUM($D55:$DS55)=0,0,IF(SUM($D58:$DS58)=0,1,'Вводные'!$B$63)))*AE57+(1-(IF(SUM($D55:$DS55)=0,0,IF(SUM($D58:$DS58)=0,1,'Вводные'!$B$63))))*AE59)</x:f>
      </x:c>
      <x:c r="AF69" s="107" t="n">
        <x:f>'Вводные'!$O$90*((IF(SUM($D55:$DS55)=0,0,IF(SUM($D58:$DS58)=0,1,'Вводные'!$B$63)))*AF57+(1-(IF(SUM($D55:$DS55)=0,0,IF(SUM($D58:$DS58)=0,1,'Вводные'!$B$63))))*AF59)</x:f>
      </x:c>
      <x:c r="AG69" s="107" t="n">
        <x:f>'Вводные'!$O$90*((IF(SUM($D55:$DS55)=0,0,IF(SUM($D58:$DS58)=0,1,'Вводные'!$B$63)))*AG57+(1-(IF(SUM($D55:$DS55)=0,0,IF(SUM($D58:$DS58)=0,1,'Вводные'!$B$63))))*AG59)</x:f>
      </x:c>
      <x:c r="AH69" s="107" t="n">
        <x:f>'Вводные'!$O$90*((IF(SUM($D55:$DS55)=0,0,IF(SUM($D58:$DS58)=0,1,'Вводные'!$B$63)))*AH57+(1-(IF(SUM($D55:$DS55)=0,0,IF(SUM($D58:$DS58)=0,1,'Вводные'!$B$63))))*AH59)</x:f>
      </x:c>
      <x:c r="AI69" s="107" t="n">
        <x:f>'Вводные'!$O$90*((IF(SUM($D55:$DS55)=0,0,IF(SUM($D58:$DS58)=0,1,'Вводные'!$B$63)))*AI57+(1-(IF(SUM($D55:$DS55)=0,0,IF(SUM($D58:$DS58)=0,1,'Вводные'!$B$63))))*AI59)</x:f>
      </x:c>
      <x:c r="AJ69" s="107" t="n">
        <x:f>'Вводные'!$O$90*((IF(SUM($D55:$DS55)=0,0,IF(SUM($D58:$DS58)=0,1,'Вводные'!$B$63)))*AJ57+(1-(IF(SUM($D55:$DS55)=0,0,IF(SUM($D58:$DS58)=0,1,'Вводные'!$B$63))))*AJ59)</x:f>
      </x:c>
      <x:c r="AK69" s="107" t="n">
        <x:f>'Вводные'!$O$90*((IF(SUM($D55:$DS55)=0,0,IF(SUM($D58:$DS58)=0,1,'Вводные'!$B$63)))*AK57+(1-(IF(SUM($D55:$DS55)=0,0,IF(SUM($D58:$DS58)=0,1,'Вводные'!$B$63))))*AK59)</x:f>
      </x:c>
      <x:c r="AL69" s="107" t="n">
        <x:f>'Вводные'!$O$90*((IF(SUM($D55:$DS55)=0,0,IF(SUM($D58:$DS58)=0,1,'Вводные'!$B$63)))*AL57+(1-(IF(SUM($D55:$DS55)=0,0,IF(SUM($D58:$DS58)=0,1,'Вводные'!$B$63))))*AL59)</x:f>
      </x:c>
      <x:c r="AM69" s="107" t="n">
        <x:f>'Вводные'!$O$90*((IF(SUM($D55:$DS55)=0,0,IF(SUM($D58:$DS58)=0,1,'Вводные'!$B$63)))*AM57+(1-(IF(SUM($D55:$DS55)=0,0,IF(SUM($D58:$DS58)=0,1,'Вводные'!$B$63))))*AM59)</x:f>
      </x:c>
      <x:c r="AN69" s="107" t="n">
        <x:f>'Вводные'!$O$90*((IF(SUM($D55:$DS55)=0,0,IF(SUM($D58:$DS58)=0,1,'Вводные'!$B$63)))*AN57+(1-(IF(SUM($D55:$DS55)=0,0,IF(SUM($D58:$DS58)=0,1,'Вводные'!$B$63))))*AN59)</x:f>
      </x:c>
      <x:c r="AO69" s="107" t="n">
        <x:f>'Вводные'!$O$90*((IF(SUM($D55:$DS55)=0,0,IF(SUM($D58:$DS58)=0,1,'Вводные'!$B$63)))*AO57+(1-(IF(SUM($D55:$DS55)=0,0,IF(SUM($D58:$DS58)=0,1,'Вводные'!$B$63))))*AO59)</x:f>
      </x:c>
      <x:c r="AP69" s="107" t="n">
        <x:f>'Вводные'!$O$90*((IF(SUM($D55:$DS55)=0,0,IF(SUM($D58:$DS58)=0,1,'Вводные'!$B$63)))*AP57+(1-(IF(SUM($D55:$DS55)=0,0,IF(SUM($D58:$DS58)=0,1,'Вводные'!$B$63))))*AP59)</x:f>
      </x:c>
      <x:c r="AQ69" s="107" t="n">
        <x:f>'Вводные'!$O$90*((IF(SUM($D55:$DS55)=0,0,IF(SUM($D58:$DS58)=0,1,'Вводные'!$B$63)))*AQ57+(1-(IF(SUM($D55:$DS55)=0,0,IF(SUM($D58:$DS58)=0,1,'Вводные'!$B$63))))*AQ59)</x:f>
      </x:c>
      <x:c r="AR69" s="107" t="n">
        <x:f>'Вводные'!$O$90*((IF(SUM($D55:$DS55)=0,0,IF(SUM($D58:$DS58)=0,1,'Вводные'!$B$63)))*AR57+(1-(IF(SUM($D55:$DS55)=0,0,IF(SUM($D58:$DS58)=0,1,'Вводные'!$B$63))))*AR59)</x:f>
      </x:c>
      <x:c r="AS69" s="107" t="n">
        <x:f>'Вводные'!$O$90*((IF(SUM($D55:$DS55)=0,0,IF(SUM($D58:$DS58)=0,1,'Вводные'!$B$63)))*AS57+(1-(IF(SUM($D55:$DS55)=0,0,IF(SUM($D58:$DS58)=0,1,'Вводные'!$B$63))))*AS59)</x:f>
      </x:c>
      <x:c r="AT69" s="107" t="n">
        <x:f>'Вводные'!$O$90*((IF(SUM($D55:$DS55)=0,0,IF(SUM($D58:$DS58)=0,1,'Вводные'!$B$63)))*AT57+(1-(IF(SUM($D55:$DS55)=0,0,IF(SUM($D58:$DS58)=0,1,'Вводные'!$B$63))))*AT59)</x:f>
      </x:c>
      <x:c r="AU69" s="107" t="n">
        <x:f>'Вводные'!$O$90*((IF(SUM($D55:$DS55)=0,0,IF(SUM($D58:$DS58)=0,1,'Вводные'!$B$63)))*AU57+(1-(IF(SUM($D55:$DS55)=0,0,IF(SUM($D58:$DS58)=0,1,'Вводные'!$B$63))))*AU59)</x:f>
      </x:c>
      <x:c r="AV69" s="107" t="n">
        <x:f>'Вводные'!$O$90*((IF(SUM($D55:$DS55)=0,0,IF(SUM($D58:$DS58)=0,1,'Вводные'!$B$63)))*AV57+(1-(IF(SUM($D55:$DS55)=0,0,IF(SUM($D58:$DS58)=0,1,'Вводные'!$B$63))))*AV59)</x:f>
      </x:c>
      <x:c r="AW69" s="107" t="n">
        <x:f>'Вводные'!$O$90*((IF(SUM($D55:$DS55)=0,0,IF(SUM($D58:$DS58)=0,1,'Вводные'!$B$63)))*AW57+(1-(IF(SUM($D55:$DS55)=0,0,IF(SUM($D58:$DS58)=0,1,'Вводные'!$B$63))))*AW59)</x:f>
      </x:c>
      <x:c r="AX69" s="107" t="n">
        <x:f>'Вводные'!$O$90*((IF(SUM($D55:$DS55)=0,0,IF(SUM($D58:$DS58)=0,1,'Вводные'!$B$63)))*AX57+(1-(IF(SUM($D55:$DS55)=0,0,IF(SUM($D58:$DS58)=0,1,'Вводные'!$B$63))))*AX59)</x:f>
      </x:c>
      <x:c r="AY69" s="107" t="n">
        <x:f>'Вводные'!$O$90*((IF(SUM($D55:$DS55)=0,0,IF(SUM($D58:$DS58)=0,1,'Вводные'!$B$63)))*AY57+(1-(IF(SUM($D55:$DS55)=0,0,IF(SUM($D58:$DS58)=0,1,'Вводные'!$B$63))))*AY59)</x:f>
      </x:c>
      <x:c r="AZ69" s="107" t="n">
        <x:f>'Вводные'!$O$90*((IF(SUM($D55:$DS55)=0,0,IF(SUM($D58:$DS58)=0,1,'Вводные'!$B$63)))*AZ57+(1-(IF(SUM($D55:$DS55)=0,0,IF(SUM($D58:$DS58)=0,1,'Вводные'!$B$63))))*AZ59)</x:f>
      </x:c>
      <x:c r="BA69" s="107" t="n">
        <x:f>'Вводные'!$O$90*((IF(SUM($D55:$DS55)=0,0,IF(SUM($D58:$DS58)=0,1,'Вводные'!$B$63)))*BA57+(1-(IF(SUM($D55:$DS55)=0,0,IF(SUM($D58:$DS58)=0,1,'Вводные'!$B$63))))*BA59)</x:f>
      </x:c>
      <x:c r="BB69" s="107" t="n">
        <x:f>'Вводные'!$O$90*((IF(SUM($D55:$DS55)=0,0,IF(SUM($D58:$DS58)=0,1,'Вводные'!$B$63)))*BB57+(1-(IF(SUM($D55:$DS55)=0,0,IF(SUM($D58:$DS58)=0,1,'Вводные'!$B$63))))*BB59)</x:f>
      </x:c>
      <x:c r="BC69" s="107" t="n">
        <x:f>'Вводные'!$O$90*((IF(SUM($D55:$DS55)=0,0,IF(SUM($D58:$DS58)=0,1,'Вводные'!$B$63)))*BC57+(1-(IF(SUM($D55:$DS55)=0,0,IF(SUM($D58:$DS58)=0,1,'Вводные'!$B$63))))*BC59)</x:f>
      </x:c>
      <x:c r="BD69" s="107" t="n">
        <x:f>'Вводные'!$O$90*((IF(SUM($D55:$DS55)=0,0,IF(SUM($D58:$DS58)=0,1,'Вводные'!$B$63)))*BD57+(1-(IF(SUM($D55:$DS55)=0,0,IF(SUM($D58:$DS58)=0,1,'Вводные'!$B$63))))*BD59)</x:f>
      </x:c>
      <x:c r="BE69" s="107" t="n">
        <x:f>'Вводные'!$O$90*((IF(SUM($D55:$DS55)=0,0,IF(SUM($D58:$DS58)=0,1,'Вводные'!$B$63)))*BE57+(1-(IF(SUM($D55:$DS55)=0,0,IF(SUM($D58:$DS58)=0,1,'Вводные'!$B$63))))*BE59)</x:f>
      </x:c>
      <x:c r="BF69" s="107" t="n">
        <x:f>'Вводные'!$O$90*((IF(SUM($D55:$DS55)=0,0,IF(SUM($D58:$DS58)=0,1,'Вводные'!$B$63)))*BF57+(1-(IF(SUM($D55:$DS55)=0,0,IF(SUM($D58:$DS58)=0,1,'Вводные'!$B$63))))*BF59)</x:f>
      </x:c>
      <x:c r="BG69" s="107" t="n">
        <x:f>'Вводные'!$O$90*((IF(SUM($D55:$DS55)=0,0,IF(SUM($D58:$DS58)=0,1,'Вводные'!$B$63)))*BG57+(1-(IF(SUM($D55:$DS55)=0,0,IF(SUM($D58:$DS58)=0,1,'Вводные'!$B$63))))*BG59)</x:f>
      </x:c>
      <x:c r="BH69" s="107" t="n">
        <x:f>'Вводные'!$O$90*((IF(SUM($D55:$DS55)=0,0,IF(SUM($D58:$DS58)=0,1,'Вводные'!$B$63)))*BH57+(1-(IF(SUM($D55:$DS55)=0,0,IF(SUM($D58:$DS58)=0,1,'Вводные'!$B$63))))*BH59)</x:f>
      </x:c>
      <x:c r="BI69" s="107" t="n">
        <x:f>'Вводные'!$O$90*((IF(SUM($D55:$DS55)=0,0,IF(SUM($D58:$DS58)=0,1,'Вводные'!$B$63)))*BI57+(1-(IF(SUM($D55:$DS55)=0,0,IF(SUM($D58:$DS58)=0,1,'Вводные'!$B$63))))*BI59)</x:f>
      </x:c>
      <x:c r="BJ69" s="107" t="n">
        <x:f>'Вводные'!$O$90*((IF(SUM($D55:$DS55)=0,0,IF(SUM($D58:$DS58)=0,1,'Вводные'!$B$63)))*BJ57+(1-(IF(SUM($D55:$DS55)=0,0,IF(SUM($D58:$DS58)=0,1,'Вводные'!$B$63))))*BJ59)</x:f>
      </x:c>
      <x:c r="BK69" s="107" t="n">
        <x:f>'Вводные'!$O$90*((IF(SUM($D55:$DS55)=0,0,IF(SUM($D58:$DS58)=0,1,'Вводные'!$B$63)))*BK57+(1-(IF(SUM($D55:$DS55)=0,0,IF(SUM($D58:$DS58)=0,1,'Вводные'!$B$63))))*BK59)</x:f>
      </x:c>
      <x:c r="BL69" s="107" t="n">
        <x:f>'Вводные'!$O$90*((IF(SUM($D55:$DS55)=0,0,IF(SUM($D58:$DS58)=0,1,'Вводные'!$B$63)))*BL57+(1-(IF(SUM($D55:$DS55)=0,0,IF(SUM($D58:$DS58)=0,1,'Вводные'!$B$63))))*BL59)</x:f>
      </x:c>
      <x:c r="BM69" s="107" t="n">
        <x:f>'Вводные'!$O$90*((IF(SUM($D55:$DS55)=0,0,IF(SUM($D58:$DS58)=0,1,'Вводные'!$B$63)))*BM57+(1-(IF(SUM($D55:$DS55)=0,0,IF(SUM($D58:$DS58)=0,1,'Вводные'!$B$63))))*BM59)</x:f>
      </x:c>
      <x:c r="BN69" s="107" t="n">
        <x:f>'Вводные'!$O$90*((IF(SUM($D55:$DS55)=0,0,IF(SUM($D58:$DS58)=0,1,'Вводные'!$B$63)))*BN57+(1-(IF(SUM($D55:$DS55)=0,0,IF(SUM($D58:$DS58)=0,1,'Вводные'!$B$63))))*BN59)</x:f>
      </x:c>
      <x:c r="BO69" s="107" t="n">
        <x:f>'Вводные'!$O$90*((IF(SUM($D55:$DS55)=0,0,IF(SUM($D58:$DS58)=0,1,'Вводные'!$B$63)))*BO57+(1-(IF(SUM($D55:$DS55)=0,0,IF(SUM($D58:$DS58)=0,1,'Вводные'!$B$63))))*BO59)</x:f>
      </x:c>
      <x:c r="BP69" s="107" t="n">
        <x:f>'Вводные'!$O$90*((IF(SUM($D55:$DS55)=0,0,IF(SUM($D58:$DS58)=0,1,'Вводные'!$B$63)))*BP57+(1-(IF(SUM($D55:$DS55)=0,0,IF(SUM($D58:$DS58)=0,1,'Вводные'!$B$63))))*BP59)</x:f>
      </x:c>
      <x:c r="BQ69" s="107" t="n">
        <x:f>'Вводные'!$O$90*((IF(SUM($D55:$DS55)=0,0,IF(SUM($D58:$DS58)=0,1,'Вводные'!$B$63)))*BQ57+(1-(IF(SUM($D55:$DS55)=0,0,IF(SUM($D58:$DS58)=0,1,'Вводные'!$B$63))))*BQ59)</x:f>
      </x:c>
      <x:c r="BR69" s="107" t="n">
        <x:f>'Вводные'!$O$90*((IF(SUM($D55:$DS55)=0,0,IF(SUM($D58:$DS58)=0,1,'Вводные'!$B$63)))*BR57+(1-(IF(SUM($D55:$DS55)=0,0,IF(SUM($D58:$DS58)=0,1,'Вводные'!$B$63))))*BR59)</x:f>
      </x:c>
      <x:c r="BS69" s="107" t="n">
        <x:f>'Вводные'!$O$90*((IF(SUM($D55:$DS55)=0,0,IF(SUM($D58:$DS58)=0,1,'Вводные'!$B$63)))*BS57+(1-(IF(SUM($D55:$DS55)=0,0,IF(SUM($D58:$DS58)=0,1,'Вводные'!$B$63))))*BS59)</x:f>
      </x:c>
      <x:c r="BT69" s="107" t="n">
        <x:f>'Вводные'!$O$90*((IF(SUM($D55:$DS55)=0,0,IF(SUM($D58:$DS58)=0,1,'Вводные'!$B$63)))*BT57+(1-(IF(SUM($D55:$DS55)=0,0,IF(SUM($D58:$DS58)=0,1,'Вводные'!$B$63))))*BT59)</x:f>
      </x:c>
      <x:c r="BU69" s="107" t="n">
        <x:f>'Вводные'!$O$90*((IF(SUM($D55:$DS55)=0,0,IF(SUM($D58:$DS58)=0,1,'Вводные'!$B$63)))*BU57+(1-(IF(SUM($D55:$DS55)=0,0,IF(SUM($D58:$DS58)=0,1,'Вводные'!$B$63))))*BU59)</x:f>
      </x:c>
      <x:c r="BV69" s="107" t="n">
        <x:f>'Вводные'!$O$90*((IF(SUM($D55:$DS55)=0,0,IF(SUM($D58:$DS58)=0,1,'Вводные'!$B$63)))*BV57+(1-(IF(SUM($D55:$DS55)=0,0,IF(SUM($D58:$DS58)=0,1,'Вводные'!$B$63))))*BV59)</x:f>
      </x:c>
      <x:c r="BW69" s="107" t="n">
        <x:f>'Вводные'!$O$90*((IF(SUM($D55:$DS55)=0,0,IF(SUM($D58:$DS58)=0,1,'Вводные'!$B$63)))*BW57+(1-(IF(SUM($D55:$DS55)=0,0,IF(SUM($D58:$DS58)=0,1,'Вводные'!$B$63))))*BW59)</x:f>
      </x:c>
      <x:c r="BX69" s="107" t="n">
        <x:f>'Вводные'!$O$90*((IF(SUM($D55:$DS55)=0,0,IF(SUM($D58:$DS58)=0,1,'Вводные'!$B$63)))*BX57+(1-(IF(SUM($D55:$DS55)=0,0,IF(SUM($D58:$DS58)=0,1,'Вводные'!$B$63))))*BX59)</x:f>
      </x:c>
      <x:c r="BY69" s="107" t="n">
        <x:f>'Вводные'!$O$90*((IF(SUM($D55:$DS55)=0,0,IF(SUM($D58:$DS58)=0,1,'Вводные'!$B$63)))*BY57+(1-(IF(SUM($D55:$DS55)=0,0,IF(SUM($D58:$DS58)=0,1,'Вводные'!$B$63))))*BY59)</x:f>
      </x:c>
      <x:c r="BZ69" s="107" t="n">
        <x:f>'Вводные'!$O$90*((IF(SUM($D55:$DS55)=0,0,IF(SUM($D58:$DS58)=0,1,'Вводные'!$B$63)))*BZ57+(1-(IF(SUM($D55:$DS55)=0,0,IF(SUM($D58:$DS58)=0,1,'Вводные'!$B$63))))*BZ59)</x:f>
      </x:c>
      <x:c r="CA69" s="107" t="n">
        <x:f>'Вводные'!$O$90*((IF(SUM($D55:$DS55)=0,0,IF(SUM($D58:$DS58)=0,1,'Вводные'!$B$63)))*CA57+(1-(IF(SUM($D55:$DS55)=0,0,IF(SUM($D58:$DS58)=0,1,'Вводные'!$B$63))))*CA59)</x:f>
      </x:c>
      <x:c r="CB69" s="107" t="n">
        <x:f>'Вводные'!$O$90*((IF(SUM($D55:$DS55)=0,0,IF(SUM($D58:$DS58)=0,1,'Вводные'!$B$63)))*CB57+(1-(IF(SUM($D55:$DS55)=0,0,IF(SUM($D58:$DS58)=0,1,'Вводные'!$B$63))))*CB59)</x:f>
      </x:c>
      <x:c r="CC69" s="107" t="n">
        <x:f>'Вводные'!$O$90*((IF(SUM($D55:$DS55)=0,0,IF(SUM($D58:$DS58)=0,1,'Вводные'!$B$63)))*CC57+(1-(IF(SUM($D55:$DS55)=0,0,IF(SUM($D58:$DS58)=0,1,'Вводные'!$B$63))))*CC59)</x:f>
      </x:c>
      <x:c r="CD69" s="107" t="n">
        <x:f>'Вводные'!$O$90*((IF(SUM($D55:$DS55)=0,0,IF(SUM($D58:$DS58)=0,1,'Вводные'!$B$63)))*CD57+(1-(IF(SUM($D55:$DS55)=0,0,IF(SUM($D58:$DS58)=0,1,'Вводные'!$B$63))))*CD59)</x:f>
      </x:c>
      <x:c r="CE69" s="107" t="n">
        <x:f>'Вводные'!$O$90*((IF(SUM($D55:$DS55)=0,0,IF(SUM($D58:$DS58)=0,1,'Вводные'!$B$63)))*CE57+(1-(IF(SUM($D55:$DS55)=0,0,IF(SUM($D58:$DS58)=0,1,'Вводные'!$B$63))))*CE59)</x:f>
      </x:c>
      <x:c r="CF69" s="107" t="n">
        <x:f>'Вводные'!$O$90*((IF(SUM($D55:$DS55)=0,0,IF(SUM($D58:$DS58)=0,1,'Вводные'!$B$63)))*CF57+(1-(IF(SUM($D55:$DS55)=0,0,IF(SUM($D58:$DS58)=0,1,'Вводные'!$B$63))))*CF59)</x:f>
      </x:c>
      <x:c r="CG69" s="107" t="n">
        <x:f>'Вводные'!$O$90*((IF(SUM($D55:$DS55)=0,0,IF(SUM($D58:$DS58)=0,1,'Вводные'!$B$63)))*CG57+(1-(IF(SUM($D55:$DS55)=0,0,IF(SUM($D58:$DS58)=0,1,'Вводные'!$B$63))))*CG59)</x:f>
      </x:c>
      <x:c r="CH69" s="107" t="n">
        <x:f>'Вводные'!$O$90*((IF(SUM($D55:$DS55)=0,0,IF(SUM($D58:$DS58)=0,1,'Вводные'!$B$63)))*CH57+(1-(IF(SUM($D55:$DS55)=0,0,IF(SUM($D58:$DS58)=0,1,'Вводные'!$B$63))))*CH59)</x:f>
      </x:c>
      <x:c r="CI69" s="107" t="n">
        <x:f>'Вводные'!$O$90*((IF(SUM($D55:$DS55)=0,0,IF(SUM($D58:$DS58)=0,1,'Вводные'!$B$63)))*CI57+(1-(IF(SUM($D55:$DS55)=0,0,IF(SUM($D58:$DS58)=0,1,'Вводные'!$B$63))))*CI59)</x:f>
      </x:c>
      <x:c r="CJ69" s="107" t="n">
        <x:f>'Вводные'!$O$90*((IF(SUM($D55:$DS55)=0,0,IF(SUM($D58:$DS58)=0,1,'Вводные'!$B$63)))*CJ57+(1-(IF(SUM($D55:$DS55)=0,0,IF(SUM($D58:$DS58)=0,1,'Вводные'!$B$63))))*CJ59)</x:f>
      </x:c>
      <x:c r="CK69" s="107" t="n">
        <x:f>'Вводные'!$O$90*((IF(SUM($D55:$DS55)=0,0,IF(SUM($D58:$DS58)=0,1,'Вводные'!$B$63)))*CK57+(1-(IF(SUM($D55:$DS55)=0,0,IF(SUM($D58:$DS58)=0,1,'Вводные'!$B$63))))*CK59)</x:f>
      </x:c>
      <x:c r="CL69" s="107" t="n">
        <x:f>'Вводные'!$O$90*((IF(SUM($D55:$DS55)=0,0,IF(SUM($D58:$DS58)=0,1,'Вводные'!$B$63)))*CL57+(1-(IF(SUM($D55:$DS55)=0,0,IF(SUM($D58:$DS58)=0,1,'Вводные'!$B$63))))*CL59)</x:f>
      </x:c>
      <x:c r="CM69" s="107" t="n">
        <x:f>'Вводные'!$O$90*((IF(SUM($D55:$DS55)=0,0,IF(SUM($D58:$DS58)=0,1,'Вводные'!$B$63)))*CM57+(1-(IF(SUM($D55:$DS55)=0,0,IF(SUM($D58:$DS58)=0,1,'Вводные'!$B$63))))*CM59)</x:f>
      </x:c>
      <x:c r="CN69" s="107" t="n">
        <x:f>'Вводные'!$O$90*((IF(SUM($D55:$DS55)=0,0,IF(SUM($D58:$DS58)=0,1,'Вводные'!$B$63)))*CN57+(1-(IF(SUM($D55:$DS55)=0,0,IF(SUM($D58:$DS58)=0,1,'Вводные'!$B$63))))*CN59)</x:f>
      </x:c>
      <x:c r="CO69" s="107" t="n">
        <x:f>'Вводные'!$O$90*((IF(SUM($D55:$DS55)=0,0,IF(SUM($D58:$DS58)=0,1,'Вводные'!$B$63)))*CO57+(1-(IF(SUM($D55:$DS55)=0,0,IF(SUM($D58:$DS58)=0,1,'Вводные'!$B$63))))*CO59)</x:f>
      </x:c>
      <x:c r="CP69" s="107" t="n">
        <x:f>'Вводные'!$O$90*((IF(SUM($D55:$DS55)=0,0,IF(SUM($D58:$DS58)=0,1,'Вводные'!$B$63)))*CP57+(1-(IF(SUM($D55:$DS55)=0,0,IF(SUM($D58:$DS58)=0,1,'Вводные'!$B$63))))*CP59)</x:f>
      </x:c>
      <x:c r="CQ69" s="107" t="n">
        <x:f>'Вводные'!$O$90*((IF(SUM($D55:$DS55)=0,0,IF(SUM($D58:$DS58)=0,1,'Вводные'!$B$63)))*CQ57+(1-(IF(SUM($D55:$DS55)=0,0,IF(SUM($D58:$DS58)=0,1,'Вводные'!$B$63))))*CQ59)</x:f>
      </x:c>
      <x:c r="CR69" s="107" t="n">
        <x:f>'Вводные'!$O$90*((IF(SUM($D55:$DS55)=0,0,IF(SUM($D58:$DS58)=0,1,'Вводные'!$B$63)))*CR57+(1-(IF(SUM($D55:$DS55)=0,0,IF(SUM($D58:$DS58)=0,1,'Вводные'!$B$63))))*CR59)</x:f>
      </x:c>
      <x:c r="CS69" s="107" t="n">
        <x:f>'Вводные'!$O$90*((IF(SUM($D55:$DS55)=0,0,IF(SUM($D58:$DS58)=0,1,'Вводные'!$B$63)))*CS57+(1-(IF(SUM($D55:$DS55)=0,0,IF(SUM($D58:$DS58)=0,1,'Вводные'!$B$63))))*CS59)</x:f>
      </x:c>
      <x:c r="CT69" s="107" t="n">
        <x:f>'Вводные'!$O$90*((IF(SUM($D55:$DS55)=0,0,IF(SUM($D58:$DS58)=0,1,'Вводные'!$B$63)))*CT57+(1-(IF(SUM($D55:$DS55)=0,0,IF(SUM($D58:$DS58)=0,1,'Вводные'!$B$63))))*CT59)</x:f>
      </x:c>
      <x:c r="CU69" s="107" t="n">
        <x:f>'Вводные'!$O$90*((IF(SUM($D55:$DS55)=0,0,IF(SUM($D58:$DS58)=0,1,'Вводные'!$B$63)))*CU57+(1-(IF(SUM($D55:$DS55)=0,0,IF(SUM($D58:$DS58)=0,1,'Вводные'!$B$63))))*CU59)</x:f>
      </x:c>
      <x:c r="CV69" s="107" t="n">
        <x:f>'Вводные'!$O$90*((IF(SUM($D55:$DS55)=0,0,IF(SUM($D58:$DS58)=0,1,'Вводные'!$B$63)))*CV57+(1-(IF(SUM($D55:$DS55)=0,0,IF(SUM($D58:$DS58)=0,1,'Вводные'!$B$63))))*CV59)</x:f>
      </x:c>
      <x:c r="CW69" s="107" t="n">
        <x:f>'Вводные'!$O$90*((IF(SUM($D55:$DS55)=0,0,IF(SUM($D58:$DS58)=0,1,'Вводные'!$B$63)))*CW57+(1-(IF(SUM($D55:$DS55)=0,0,IF(SUM($D58:$DS58)=0,1,'Вводные'!$B$63))))*CW59)</x:f>
      </x:c>
      <x:c r="CX69" s="107" t="n">
        <x:f>'Вводные'!$O$90*((IF(SUM($D55:$DS55)=0,0,IF(SUM($D58:$DS58)=0,1,'Вводные'!$B$63)))*CX57+(1-(IF(SUM($D55:$DS55)=0,0,IF(SUM($D58:$DS58)=0,1,'Вводные'!$B$63))))*CX59)</x:f>
      </x:c>
      <x:c r="CY69" s="107" t="n">
        <x:f>'Вводные'!$O$90*((IF(SUM($D55:$DS55)=0,0,IF(SUM($D58:$DS58)=0,1,'Вводные'!$B$63)))*CY57+(1-(IF(SUM($D55:$DS55)=0,0,IF(SUM($D58:$DS58)=0,1,'Вводные'!$B$63))))*CY59)</x:f>
      </x:c>
      <x:c r="CZ69" s="107" t="n">
        <x:f>'Вводные'!$O$90*((IF(SUM($D55:$DS55)=0,0,IF(SUM($D58:$DS58)=0,1,'Вводные'!$B$63)))*CZ57+(1-(IF(SUM($D55:$DS55)=0,0,IF(SUM($D58:$DS58)=0,1,'Вводные'!$B$63))))*CZ59)</x:f>
      </x:c>
      <x:c r="DA69" s="107" t="n">
        <x:f>'Вводные'!$O$90*((IF(SUM($D55:$DS55)=0,0,IF(SUM($D58:$DS58)=0,1,'Вводные'!$B$63)))*DA57+(1-(IF(SUM($D55:$DS55)=0,0,IF(SUM($D58:$DS58)=0,1,'Вводные'!$B$63))))*DA59)</x:f>
      </x:c>
      <x:c r="DB69" s="107" t="n">
        <x:f>'Вводные'!$O$90*((IF(SUM($D55:$DS55)=0,0,IF(SUM($D58:$DS58)=0,1,'Вводные'!$B$63)))*DB57+(1-(IF(SUM($D55:$DS55)=0,0,IF(SUM($D58:$DS58)=0,1,'Вводные'!$B$63))))*DB59)</x:f>
      </x:c>
      <x:c r="DC69" s="107" t="n">
        <x:f>'Вводные'!$O$90*((IF(SUM($D55:$DS55)=0,0,IF(SUM($D58:$DS58)=0,1,'Вводные'!$B$63)))*DC57+(1-(IF(SUM($D55:$DS55)=0,0,IF(SUM($D58:$DS58)=0,1,'Вводные'!$B$63))))*DC59)</x:f>
      </x:c>
      <x:c r="DD69" s="107" t="n">
        <x:f>'Вводные'!$O$90*((IF(SUM($D55:$DS55)=0,0,IF(SUM($D58:$DS58)=0,1,'Вводные'!$B$63)))*DD57+(1-(IF(SUM($D55:$DS55)=0,0,IF(SUM($D58:$DS58)=0,1,'Вводные'!$B$63))))*DD59)</x:f>
      </x:c>
      <x:c r="DE69" s="107" t="n">
        <x:f>'Вводные'!$O$90*((IF(SUM($D55:$DS55)=0,0,IF(SUM($D58:$DS58)=0,1,'Вводные'!$B$63)))*DE57+(1-(IF(SUM($D55:$DS55)=0,0,IF(SUM($D58:$DS58)=0,1,'Вводные'!$B$63))))*DE59)</x:f>
      </x:c>
      <x:c r="DF69" s="107" t="n">
        <x:f>'Вводные'!$O$90*((IF(SUM($D55:$DS55)=0,0,IF(SUM($D58:$DS58)=0,1,'Вводные'!$B$63)))*DF57+(1-(IF(SUM($D55:$DS55)=0,0,IF(SUM($D58:$DS58)=0,1,'Вводные'!$B$63))))*DF59)</x:f>
      </x:c>
      <x:c r="DG69" s="107" t="n">
        <x:f>'Вводные'!$O$90*((IF(SUM($D55:$DS55)=0,0,IF(SUM($D58:$DS58)=0,1,'Вводные'!$B$63)))*DG57+(1-(IF(SUM($D55:$DS55)=0,0,IF(SUM($D58:$DS58)=0,1,'Вводные'!$B$63))))*DG59)</x:f>
      </x:c>
      <x:c r="DH69" s="107" t="n">
        <x:f>'Вводные'!$O$90*((IF(SUM($D55:$DS55)=0,0,IF(SUM($D58:$DS58)=0,1,'Вводные'!$B$63)))*DH57+(1-(IF(SUM($D55:$DS55)=0,0,IF(SUM($D58:$DS58)=0,1,'Вводные'!$B$63))))*DH59)</x:f>
      </x:c>
      <x:c r="DI69" s="107" t="n">
        <x:f>'Вводные'!$O$90*((IF(SUM($D55:$DS55)=0,0,IF(SUM($D58:$DS58)=0,1,'Вводные'!$B$63)))*DI57+(1-(IF(SUM($D55:$DS55)=0,0,IF(SUM($D58:$DS58)=0,1,'Вводные'!$B$63))))*DI59)</x:f>
      </x:c>
      <x:c r="DJ69" s="107" t="n">
        <x:f>'Вводные'!$O$90*((IF(SUM($D55:$DS55)=0,0,IF(SUM($D58:$DS58)=0,1,'Вводные'!$B$63)))*DJ57+(1-(IF(SUM($D55:$DS55)=0,0,IF(SUM($D58:$DS58)=0,1,'Вводные'!$B$63))))*DJ59)</x:f>
      </x:c>
      <x:c r="DK69" s="107" t="n">
        <x:f>'Вводные'!$O$90*((IF(SUM($D55:$DS55)=0,0,IF(SUM($D58:$DS58)=0,1,'Вводные'!$B$63)))*DK57+(1-(IF(SUM($D55:$DS55)=0,0,IF(SUM($D58:$DS58)=0,1,'Вводные'!$B$63))))*DK59)</x:f>
      </x:c>
      <x:c r="DL69" s="107" t="n">
        <x:f>'Вводные'!$O$90*((IF(SUM($D55:$DS55)=0,0,IF(SUM($D58:$DS58)=0,1,'Вводные'!$B$63)))*DL57+(1-(IF(SUM($D55:$DS55)=0,0,IF(SUM($D58:$DS58)=0,1,'Вводные'!$B$63))))*DL59)</x:f>
      </x:c>
      <x:c r="DM69" s="107" t="n">
        <x:f>'Вводные'!$O$90*((IF(SUM($D55:$DS55)=0,0,IF(SUM($D58:$DS58)=0,1,'Вводные'!$B$63)))*DM57+(1-(IF(SUM($D55:$DS55)=0,0,IF(SUM($D58:$DS58)=0,1,'Вводные'!$B$63))))*DM59)</x:f>
      </x:c>
      <x:c r="DN69" s="107" t="n">
        <x:f>'Вводные'!$O$90*((IF(SUM($D55:$DS55)=0,0,IF(SUM($D58:$DS58)=0,1,'Вводные'!$B$63)))*DN57+(1-(IF(SUM($D55:$DS55)=0,0,IF(SUM($D58:$DS58)=0,1,'Вводные'!$B$63))))*DN59)</x:f>
      </x:c>
      <x:c r="DO69" s="107" t="n">
        <x:f>'Вводные'!$O$90*((IF(SUM($D55:$DS55)=0,0,IF(SUM($D58:$DS58)=0,1,'Вводные'!$B$63)))*DO57+(1-(IF(SUM($D55:$DS55)=0,0,IF(SUM($D58:$DS58)=0,1,'Вводные'!$B$63))))*DO59)</x:f>
      </x:c>
      <x:c r="DP69" s="107" t="n">
        <x:f>'Вводные'!$O$90*((IF(SUM($D55:$DS55)=0,0,IF(SUM($D58:$DS58)=0,1,'Вводные'!$B$63)))*DP57+(1-(IF(SUM($D55:$DS55)=0,0,IF(SUM($D58:$DS58)=0,1,'Вводные'!$B$63))))*DP59)</x:f>
      </x:c>
      <x:c r="DQ69" s="107" t="n">
        <x:f>'Вводные'!$O$90*((IF(SUM($D55:$DS55)=0,0,IF(SUM($D58:$DS58)=0,1,'Вводные'!$B$63)))*DQ57+(1-(IF(SUM($D55:$DS55)=0,0,IF(SUM($D58:$DS58)=0,1,'Вводные'!$B$63))))*DQ59)</x:f>
      </x:c>
      <x:c r="DR69" s="107" t="n">
        <x:f>'Вводные'!$O$90*((IF(SUM($D55:$DS55)=0,0,IF(SUM($D58:$DS58)=0,1,'Вводные'!$B$63)))*DR57+(1-(IF(SUM($D55:$DS55)=0,0,IF(SUM($D58:$DS58)=0,1,'Вводные'!$B$63))))*DR59)</x:f>
      </x:c>
      <x:c r="DS69" s="107" t="n">
        <x:f>'Вводные'!$O$90*((IF(SUM($D55:$DS55)=0,0,IF(SUM($D58:$DS58)=0,1,'Вводные'!$B$63)))*DS57+(1-(IF(SUM($D55:$DS55)=0,0,IF(SUM($D58:$DS58)=0,1,'Вводные'!$B$63))))*DS59)</x:f>
      </x:c>
    </x:row>
    <x:row r="70">
      <x:c r="A70" t="str">
        <x:v>Кладовые — цена</x:v>
      </x:c>
      <x:c r="B70" t="n">
        <x:f>IFERROR(B71*1000/B69,0)</x:f>
      </x:c>
      <x:c r="C70" t="str">
        <x:v>тыс. ₽/шт.</x:v>
      </x:c>
      <x:c r="D70" s="107" t="n">
        <x:f>IF(D69=0,0,'Вводные'!$B$62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70" s="107" t="n">
        <x:f>IF(E69=0,0,'Вводные'!$B$62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70" s="107" t="n">
        <x:f>IF(F69=0,0,'Вводные'!$B$62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70" s="107" t="n">
        <x:f>IF(G69=0,0,'Вводные'!$B$62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70" s="107" t="n">
        <x:f>IF(H69=0,0,'Вводные'!$B$62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70" s="107" t="n">
        <x:f>IF(I69=0,0,'Вводные'!$B$62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70" s="107" t="n">
        <x:f>IF(J69=0,0,'Вводные'!$B$62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70" s="107" t="n">
        <x:f>IF(K69=0,0,'Вводные'!$B$62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70" s="107" t="n">
        <x:f>IF(L69=0,0,'Вводные'!$B$62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70" s="107" t="n">
        <x:f>IF(M69=0,0,'Вводные'!$B$62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70" s="107" t="n">
        <x:f>IF(N69=0,0,'Вводные'!$B$62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70" s="107" t="n">
        <x:f>IF(O69=0,0,'Вводные'!$B$62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70" s="107" t="n">
        <x:f>IF(P69=0,0,'Вводные'!$B$62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70" s="107" t="n">
        <x:f>IF(Q69=0,0,'Вводные'!$B$62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70" s="107" t="n">
        <x:f>IF(R69=0,0,'Вводные'!$B$62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70" s="107" t="n">
        <x:f>IF(S69=0,0,'Вводные'!$B$62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70" s="107" t="n">
        <x:f>IF(T69=0,0,'Вводные'!$B$62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70" s="107" t="n">
        <x:f>IF(U69=0,0,'Вводные'!$B$62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70" s="107" t="n">
        <x:f>IF(V69=0,0,'Вводные'!$B$62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70" s="107" t="n">
        <x:f>IF(W69=0,0,'Вводные'!$B$62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70" s="107" t="n">
        <x:f>IF(X69=0,0,'Вводные'!$B$62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70" s="107" t="n">
        <x:f>IF(Y69=0,0,'Вводные'!$B$62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70" s="107" t="n">
        <x:f>IF(Z69=0,0,'Вводные'!$B$62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70" s="107" t="n">
        <x:f>IF(AA69=0,0,'Вводные'!$B$62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70" s="107" t="n">
        <x:f>IF(AB69=0,0,'Вводные'!$B$62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70" s="107" t="n">
        <x:f>IF(AC69=0,0,'Вводные'!$B$62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70" s="107" t="n">
        <x:f>IF(AD69=0,0,'Вводные'!$B$62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70" s="107" t="n">
        <x:f>IF(AE69=0,0,'Вводные'!$B$62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70" s="107" t="n">
        <x:f>IF(AF69=0,0,'Вводные'!$B$62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70" s="107" t="n">
        <x:f>IF(AG69=0,0,'Вводные'!$B$62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70" s="107" t="n">
        <x:f>IF(AH69=0,0,'Вводные'!$B$62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70" s="107" t="n">
        <x:f>IF(AI69=0,0,'Вводные'!$B$62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70" s="107" t="n">
        <x:f>IF(AJ69=0,0,'Вводные'!$B$62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70" s="107" t="n">
        <x:f>IF(AK69=0,0,'Вводные'!$B$62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70" s="107" t="n">
        <x:f>IF(AL69=0,0,'Вводные'!$B$62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70" s="107" t="n">
        <x:f>IF(AM69=0,0,'Вводные'!$B$62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70" s="107" t="n">
        <x:f>IF(AN69=0,0,'Вводные'!$B$62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70" s="107" t="n">
        <x:f>IF(AO69=0,0,'Вводные'!$B$62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70" s="107" t="n">
        <x:f>IF(AP69=0,0,'Вводные'!$B$62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70" s="107" t="n">
        <x:f>IF(AQ69=0,0,'Вводные'!$B$62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70" s="107" t="n">
        <x:f>IF(AR69=0,0,'Вводные'!$B$62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70" s="107" t="n">
        <x:f>IF(AS69=0,0,'Вводные'!$B$62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70" s="107" t="n">
        <x:f>IF(AT69=0,0,'Вводные'!$B$62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70" s="107" t="n">
        <x:f>IF(AU69=0,0,'Вводные'!$B$62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70" s="107" t="n">
        <x:f>IF(AV69=0,0,'Вводные'!$B$62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70" s="107" t="n">
        <x:f>IF(AW69=0,0,'Вводные'!$B$62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70" s="107" t="n">
        <x:f>IF(AX69=0,0,'Вводные'!$B$62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70" s="107" t="n">
        <x:f>IF(AY69=0,0,'Вводные'!$B$62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70" s="107" t="n">
        <x:f>IF(AZ69=0,0,'Вводные'!$B$62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70" s="107" t="n">
        <x:f>IF(BA69=0,0,'Вводные'!$B$62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70" s="107" t="n">
        <x:f>IF(BB69=0,0,'Вводные'!$B$62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70" s="107" t="n">
        <x:f>IF(BC69=0,0,'Вводные'!$B$62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70" s="107" t="n">
        <x:f>IF(BD69=0,0,'Вводные'!$B$62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70" s="107" t="n">
        <x:f>IF(BE69=0,0,'Вводные'!$B$62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70" s="107" t="n">
        <x:f>IF(BF69=0,0,'Вводные'!$B$62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70" s="107" t="n">
        <x:f>IF(BG69=0,0,'Вводные'!$B$62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70" s="107" t="n">
        <x:f>IF(BH69=0,0,'Вводные'!$B$62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70" s="107" t="n">
        <x:f>IF(BI69=0,0,'Вводные'!$B$62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70" s="107" t="n">
        <x:f>IF(BJ69=0,0,'Вводные'!$B$62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70" s="107" t="n">
        <x:f>IF(BK69=0,0,'Вводные'!$B$62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70" s="107" t="n">
        <x:f>IF(BL69=0,0,'Вводные'!$B$62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70" s="107" t="n">
        <x:f>IF(BM69=0,0,'Вводные'!$B$62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70" s="107" t="n">
        <x:f>IF(BN69=0,0,'Вводные'!$B$62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70" s="107" t="n">
        <x:f>IF(BO69=0,0,'Вводные'!$B$62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70" s="107" t="n">
        <x:f>IF(BP69=0,0,'Вводные'!$B$62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70" s="107" t="n">
        <x:f>IF(BQ69=0,0,'Вводные'!$B$62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70" s="107" t="n">
        <x:f>IF(BR69=0,0,'Вводные'!$B$62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70" s="107" t="n">
        <x:f>IF(BS69=0,0,'Вводные'!$B$62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70" s="107" t="n">
        <x:f>IF(BT69=0,0,'Вводные'!$B$62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70" s="107" t="n">
        <x:f>IF(BU69=0,0,'Вводные'!$B$62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70" s="107" t="n">
        <x:f>IF(BV69=0,0,'Вводные'!$B$62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70" s="107" t="n">
        <x:f>IF(BW69=0,0,'Вводные'!$B$62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70" s="107" t="n">
        <x:f>IF(BX69=0,0,'Вводные'!$B$62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70" s="107" t="n">
        <x:f>IF(BY69=0,0,'Вводные'!$B$62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70" s="107" t="n">
        <x:f>IF(BZ69=0,0,'Вводные'!$B$62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70" s="107" t="n">
        <x:f>IF(CA69=0,0,'Вводные'!$B$62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70" s="107" t="n">
        <x:f>IF(CB69=0,0,'Вводные'!$B$62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70" s="107" t="n">
        <x:f>IF(CC69=0,0,'Вводные'!$B$62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70" s="107" t="n">
        <x:f>IF(CD69=0,0,'Вводные'!$B$62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70" s="107" t="n">
        <x:f>IF(CE69=0,0,'Вводные'!$B$62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70" s="107" t="n">
        <x:f>IF(CF69=0,0,'Вводные'!$B$62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70" s="107" t="n">
        <x:f>IF(CG69=0,0,'Вводные'!$B$62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70" s="107" t="n">
        <x:f>IF(CH69=0,0,'Вводные'!$B$62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70" s="107" t="n">
        <x:f>IF(CI69=0,0,'Вводные'!$B$62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70" s="107" t="n">
        <x:f>IF(CJ69=0,0,'Вводные'!$B$62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70" s="107" t="n">
        <x:f>IF(CK69=0,0,'Вводные'!$B$62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70" s="107" t="n">
        <x:f>IF(CL69=0,0,'Вводные'!$B$62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70" s="107" t="n">
        <x:f>IF(CM69=0,0,'Вводные'!$B$62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70" s="107" t="n">
        <x:f>IF(CN69=0,0,'Вводные'!$B$62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70" s="107" t="n">
        <x:f>IF(CO69=0,0,'Вводные'!$B$62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70" s="107" t="n">
        <x:f>IF(CP69=0,0,'Вводные'!$B$62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70" s="107" t="n">
        <x:f>IF(CQ69=0,0,'Вводные'!$B$62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70" s="107" t="n">
        <x:f>IF(CR69=0,0,'Вводные'!$B$62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70" s="107" t="n">
        <x:f>IF(CS69=0,0,'Вводные'!$B$62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70" s="107" t="n">
        <x:f>IF(CT69=0,0,'Вводные'!$B$62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70" s="107" t="n">
        <x:f>IF(CU69=0,0,'Вводные'!$B$62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70" s="107" t="n">
        <x:f>IF(CV69=0,0,'Вводные'!$B$62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70" s="107" t="n">
        <x:f>IF(CW69=0,0,'Вводные'!$B$62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70" s="107" t="n">
        <x:f>IF(CX69=0,0,'Вводные'!$B$62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70" s="107" t="n">
        <x:f>IF(CY69=0,0,'Вводные'!$B$62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70" s="107" t="n">
        <x:f>IF(CZ69=0,0,'Вводные'!$B$62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70" s="107" t="n">
        <x:f>IF(DA69=0,0,'Вводные'!$B$62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70" s="107" t="n">
        <x:f>IF(DB69=0,0,'Вводные'!$B$62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70" s="107" t="n">
        <x:f>IF(DC69=0,0,'Вводные'!$B$62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70" s="107" t="n">
        <x:f>IF(DD69=0,0,'Вводные'!$B$62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70" s="107" t="n">
        <x:f>IF(DE69=0,0,'Вводные'!$B$62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70" s="107" t="n">
        <x:f>IF(DF69=0,0,'Вводные'!$B$62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70" s="107" t="n">
        <x:f>IF(DG69=0,0,'Вводные'!$B$62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70" s="107" t="n">
        <x:f>IF(DH69=0,0,'Вводные'!$B$62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70" s="107" t="n">
        <x:f>IF(DI69=0,0,'Вводные'!$B$62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70" s="107" t="n">
        <x:f>IF(DJ69=0,0,'Вводные'!$B$62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70" s="107" t="n">
        <x:f>IF(DK69=0,0,'Вводные'!$B$62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70" s="107" t="n">
        <x:f>IF(DL69=0,0,'Вводные'!$B$62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70" s="107" t="n">
        <x:f>IF(DM69=0,0,'Вводные'!$B$62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70" s="107" t="n">
        <x:f>IF(DN69=0,0,'Вводные'!$B$62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70" s="107" t="n">
        <x:f>IF(DO69=0,0,'Вводные'!$B$62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70" s="107" t="n">
        <x:f>IF(DP69=0,0,'Вводные'!$B$62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70" s="107" t="n">
        <x:f>IF(DQ69=0,0,'Вводные'!$B$62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70" s="107" t="n">
        <x:f>IF(DR69=0,0,'Вводные'!$B$62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70" s="107" t="n">
        <x:f>IF(DS69=0,0,'Вводные'!$B$62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71">
      <x:c r="A71" t="str">
        <x:v>Кладовые — выручка</x:v>
      </x:c>
      <x:c r="B71" t="n">
        <x:f>SUM(D71:DS71)</x:f>
      </x:c>
      <x:c r="C71" t="str">
        <x:v>млн ₽</x:v>
      </x:c>
      <x:c r="D71" s="107" t="n">
        <x:f>D69*D70/1000</x:f>
      </x:c>
      <x:c r="E71" s="107" t="n">
        <x:f>E69*E70/1000</x:f>
      </x:c>
      <x:c r="F71" s="107" t="n">
        <x:f>F69*F70/1000</x:f>
      </x:c>
      <x:c r="G71" s="107" t="n">
        <x:f>G69*G70/1000</x:f>
      </x:c>
      <x:c r="H71" s="107" t="n">
        <x:f>H69*H70/1000</x:f>
      </x:c>
      <x:c r="I71" s="107" t="n">
        <x:f>I69*I70/1000</x:f>
      </x:c>
      <x:c r="J71" s="107" t="n">
        <x:f>J69*J70/1000</x:f>
      </x:c>
      <x:c r="K71" s="107" t="n">
        <x:f>K69*K70/1000</x:f>
      </x:c>
      <x:c r="L71" s="107" t="n">
        <x:f>L69*L70/1000</x:f>
      </x:c>
      <x:c r="M71" s="107" t="n">
        <x:f>M69*M70/1000</x:f>
      </x:c>
      <x:c r="N71" s="107" t="n">
        <x:f>N69*N70/1000</x:f>
      </x:c>
      <x:c r="O71" s="107" t="n">
        <x:f>O69*O70/1000</x:f>
      </x:c>
      <x:c r="P71" s="107" t="n">
        <x:f>P69*P70/1000</x:f>
      </x:c>
      <x:c r="Q71" s="107" t="n">
        <x:f>Q69*Q70/1000</x:f>
      </x:c>
      <x:c r="R71" s="107" t="n">
        <x:f>R69*R70/1000</x:f>
      </x:c>
      <x:c r="S71" s="107" t="n">
        <x:f>S69*S70/1000</x:f>
      </x:c>
      <x:c r="T71" s="107" t="n">
        <x:f>T69*T70/1000</x:f>
      </x:c>
      <x:c r="U71" s="107" t="n">
        <x:f>U69*U70/1000</x:f>
      </x:c>
      <x:c r="V71" s="107" t="n">
        <x:f>V69*V70/1000</x:f>
      </x:c>
      <x:c r="W71" s="107" t="n">
        <x:f>W69*W70/1000</x:f>
      </x:c>
      <x:c r="X71" s="107" t="n">
        <x:f>X69*X70/1000</x:f>
      </x:c>
      <x:c r="Y71" s="107" t="n">
        <x:f>Y69*Y70/1000</x:f>
      </x:c>
      <x:c r="Z71" s="107" t="n">
        <x:f>Z69*Z70/1000</x:f>
      </x:c>
      <x:c r="AA71" s="107" t="n">
        <x:f>AA69*AA70/1000</x:f>
      </x:c>
      <x:c r="AB71" s="107" t="n">
        <x:f>AB69*AB70/1000</x:f>
      </x:c>
      <x:c r="AC71" s="107" t="n">
        <x:f>AC69*AC70/1000</x:f>
      </x:c>
      <x:c r="AD71" s="107" t="n">
        <x:f>AD69*AD70/1000</x:f>
      </x:c>
      <x:c r="AE71" s="107" t="n">
        <x:f>AE69*AE70/1000</x:f>
      </x:c>
      <x:c r="AF71" s="107" t="n">
        <x:f>AF69*AF70/1000</x:f>
      </x:c>
      <x:c r="AG71" s="107" t="n">
        <x:f>AG69*AG70/1000</x:f>
      </x:c>
      <x:c r="AH71" s="107" t="n">
        <x:f>AH69*AH70/1000</x:f>
      </x:c>
      <x:c r="AI71" s="107" t="n">
        <x:f>AI69*AI70/1000</x:f>
      </x:c>
      <x:c r="AJ71" s="107" t="n">
        <x:f>AJ69*AJ70/1000</x:f>
      </x:c>
      <x:c r="AK71" s="107" t="n">
        <x:f>AK69*AK70/1000</x:f>
      </x:c>
      <x:c r="AL71" s="107" t="n">
        <x:f>AL69*AL70/1000</x:f>
      </x:c>
      <x:c r="AM71" s="107" t="n">
        <x:f>AM69*AM70/1000</x:f>
      </x:c>
      <x:c r="AN71" s="107" t="n">
        <x:f>AN69*AN70/1000</x:f>
      </x:c>
      <x:c r="AO71" s="107" t="n">
        <x:f>AO69*AO70/1000</x:f>
      </x:c>
      <x:c r="AP71" s="107" t="n">
        <x:f>AP69*AP70/1000</x:f>
      </x:c>
      <x:c r="AQ71" s="107" t="n">
        <x:f>AQ69*AQ70/1000</x:f>
      </x:c>
      <x:c r="AR71" s="107" t="n">
        <x:f>AR69*AR70/1000</x:f>
      </x:c>
      <x:c r="AS71" s="107" t="n">
        <x:f>AS69*AS70/1000</x:f>
      </x:c>
      <x:c r="AT71" s="107" t="n">
        <x:f>AT69*AT70/1000</x:f>
      </x:c>
      <x:c r="AU71" s="107" t="n">
        <x:f>AU69*AU70/1000</x:f>
      </x:c>
      <x:c r="AV71" s="107" t="n">
        <x:f>AV69*AV70/1000</x:f>
      </x:c>
      <x:c r="AW71" s="107" t="n">
        <x:f>AW69*AW70/1000</x:f>
      </x:c>
      <x:c r="AX71" s="107" t="n">
        <x:f>AX69*AX70/1000</x:f>
      </x:c>
      <x:c r="AY71" s="107" t="n">
        <x:f>AY69*AY70/1000</x:f>
      </x:c>
      <x:c r="AZ71" s="107" t="n">
        <x:f>AZ69*AZ70/1000</x:f>
      </x:c>
      <x:c r="BA71" s="107" t="n">
        <x:f>BA69*BA70/1000</x:f>
      </x:c>
      <x:c r="BB71" s="107" t="n">
        <x:f>BB69*BB70/1000</x:f>
      </x:c>
      <x:c r="BC71" s="107" t="n">
        <x:f>BC69*BC70/1000</x:f>
      </x:c>
      <x:c r="BD71" s="107" t="n">
        <x:f>BD69*BD70/1000</x:f>
      </x:c>
      <x:c r="BE71" s="107" t="n">
        <x:f>BE69*BE70/1000</x:f>
      </x:c>
      <x:c r="BF71" s="107" t="n">
        <x:f>BF69*BF70/1000</x:f>
      </x:c>
      <x:c r="BG71" s="107" t="n">
        <x:f>BG69*BG70/1000</x:f>
      </x:c>
      <x:c r="BH71" s="107" t="n">
        <x:f>BH69*BH70/1000</x:f>
      </x:c>
      <x:c r="BI71" s="107" t="n">
        <x:f>BI69*BI70/1000</x:f>
      </x:c>
      <x:c r="BJ71" s="107" t="n">
        <x:f>BJ69*BJ70/1000</x:f>
      </x:c>
      <x:c r="BK71" s="107" t="n">
        <x:f>BK69*BK70/1000</x:f>
      </x:c>
      <x:c r="BL71" s="107" t="n">
        <x:f>BL69*BL70/1000</x:f>
      </x:c>
      <x:c r="BM71" s="107" t="n">
        <x:f>BM69*BM70/1000</x:f>
      </x:c>
      <x:c r="BN71" s="107" t="n">
        <x:f>BN69*BN70/1000</x:f>
      </x:c>
      <x:c r="BO71" s="107" t="n">
        <x:f>BO69*BO70/1000</x:f>
      </x:c>
      <x:c r="BP71" s="107" t="n">
        <x:f>BP69*BP70/1000</x:f>
      </x:c>
      <x:c r="BQ71" s="107" t="n">
        <x:f>BQ69*BQ70/1000</x:f>
      </x:c>
      <x:c r="BR71" s="107" t="n">
        <x:f>BR69*BR70/1000</x:f>
      </x:c>
      <x:c r="BS71" s="107" t="n">
        <x:f>BS69*BS70/1000</x:f>
      </x:c>
      <x:c r="BT71" s="107" t="n">
        <x:f>BT69*BT70/1000</x:f>
      </x:c>
      <x:c r="BU71" s="107" t="n">
        <x:f>BU69*BU70/1000</x:f>
      </x:c>
      <x:c r="BV71" s="107" t="n">
        <x:f>BV69*BV70/1000</x:f>
      </x:c>
      <x:c r="BW71" s="107" t="n">
        <x:f>BW69*BW70/1000</x:f>
      </x:c>
      <x:c r="BX71" s="107" t="n">
        <x:f>BX69*BX70/1000</x:f>
      </x:c>
      <x:c r="BY71" s="107" t="n">
        <x:f>BY69*BY70/1000</x:f>
      </x:c>
      <x:c r="BZ71" s="107" t="n">
        <x:f>BZ69*BZ70/1000</x:f>
      </x:c>
      <x:c r="CA71" s="107" t="n">
        <x:f>CA69*CA70/1000</x:f>
      </x:c>
      <x:c r="CB71" s="107" t="n">
        <x:f>CB69*CB70/1000</x:f>
      </x:c>
      <x:c r="CC71" s="107" t="n">
        <x:f>CC69*CC70/1000</x:f>
      </x:c>
      <x:c r="CD71" s="107" t="n">
        <x:f>CD69*CD70/1000</x:f>
      </x:c>
      <x:c r="CE71" s="107" t="n">
        <x:f>CE69*CE70/1000</x:f>
      </x:c>
      <x:c r="CF71" s="107" t="n">
        <x:f>CF69*CF70/1000</x:f>
      </x:c>
      <x:c r="CG71" s="107" t="n">
        <x:f>CG69*CG70/1000</x:f>
      </x:c>
      <x:c r="CH71" s="107" t="n">
        <x:f>CH69*CH70/1000</x:f>
      </x:c>
      <x:c r="CI71" s="107" t="n">
        <x:f>CI69*CI70/1000</x:f>
      </x:c>
      <x:c r="CJ71" s="107" t="n">
        <x:f>CJ69*CJ70/1000</x:f>
      </x:c>
      <x:c r="CK71" s="107" t="n">
        <x:f>CK69*CK70/1000</x:f>
      </x:c>
      <x:c r="CL71" s="107" t="n">
        <x:f>CL69*CL70/1000</x:f>
      </x:c>
      <x:c r="CM71" s="107" t="n">
        <x:f>CM69*CM70/1000</x:f>
      </x:c>
      <x:c r="CN71" s="107" t="n">
        <x:f>CN69*CN70/1000</x:f>
      </x:c>
      <x:c r="CO71" s="107" t="n">
        <x:f>CO69*CO70/1000</x:f>
      </x:c>
      <x:c r="CP71" s="107" t="n">
        <x:f>CP69*CP70/1000</x:f>
      </x:c>
      <x:c r="CQ71" s="107" t="n">
        <x:f>CQ69*CQ70/1000</x:f>
      </x:c>
      <x:c r="CR71" s="107" t="n">
        <x:f>CR69*CR70/1000</x:f>
      </x:c>
      <x:c r="CS71" s="107" t="n">
        <x:f>CS69*CS70/1000</x:f>
      </x:c>
      <x:c r="CT71" s="107" t="n">
        <x:f>CT69*CT70/1000</x:f>
      </x:c>
      <x:c r="CU71" s="107" t="n">
        <x:f>CU69*CU70/1000</x:f>
      </x:c>
      <x:c r="CV71" s="107" t="n">
        <x:f>CV69*CV70/1000</x:f>
      </x:c>
      <x:c r="CW71" s="107" t="n">
        <x:f>CW69*CW70/1000</x:f>
      </x:c>
      <x:c r="CX71" s="107" t="n">
        <x:f>CX69*CX70/1000</x:f>
      </x:c>
      <x:c r="CY71" s="107" t="n">
        <x:f>CY69*CY70/1000</x:f>
      </x:c>
      <x:c r="CZ71" s="107" t="n">
        <x:f>CZ69*CZ70/1000</x:f>
      </x:c>
      <x:c r="DA71" s="107" t="n">
        <x:f>DA69*DA70/1000</x:f>
      </x:c>
      <x:c r="DB71" s="107" t="n">
        <x:f>DB69*DB70/1000</x:f>
      </x:c>
      <x:c r="DC71" s="107" t="n">
        <x:f>DC69*DC70/1000</x:f>
      </x:c>
      <x:c r="DD71" s="107" t="n">
        <x:f>DD69*DD70/1000</x:f>
      </x:c>
      <x:c r="DE71" s="107" t="n">
        <x:f>DE69*DE70/1000</x:f>
      </x:c>
      <x:c r="DF71" s="107" t="n">
        <x:f>DF69*DF70/1000</x:f>
      </x:c>
      <x:c r="DG71" s="107" t="n">
        <x:f>DG69*DG70/1000</x:f>
      </x:c>
      <x:c r="DH71" s="107" t="n">
        <x:f>DH69*DH70/1000</x:f>
      </x:c>
      <x:c r="DI71" s="107" t="n">
        <x:f>DI69*DI70/1000</x:f>
      </x:c>
      <x:c r="DJ71" s="107" t="n">
        <x:f>DJ69*DJ70/1000</x:f>
      </x:c>
      <x:c r="DK71" s="107" t="n">
        <x:f>DK69*DK70/1000</x:f>
      </x:c>
      <x:c r="DL71" s="107" t="n">
        <x:f>DL69*DL70/1000</x:f>
      </x:c>
      <x:c r="DM71" s="107" t="n">
        <x:f>DM69*DM70/1000</x:f>
      </x:c>
      <x:c r="DN71" s="107" t="n">
        <x:f>DN69*DN70/1000</x:f>
      </x:c>
      <x:c r="DO71" s="107" t="n">
        <x:f>DO69*DO70/1000</x:f>
      </x:c>
      <x:c r="DP71" s="107" t="n">
        <x:f>DP69*DP70/1000</x:f>
      </x:c>
      <x:c r="DQ71" s="107" t="n">
        <x:f>DQ69*DQ70/1000</x:f>
      </x:c>
      <x:c r="DR71" s="107" t="n">
        <x:f>DR69*DR70/1000</x:f>
      </x:c>
      <x:c r="DS71" s="107" t="n">
        <x:f>DS69*DS70/1000</x:f>
      </x:c>
    </x:row>
    <x:row r="72">
      <x:c r="A72" s="113" t="str">
        <x:v>ВЫРУЧКА ОЧЕРЕДИ</x:v>
      </x:c>
      <x:c r="B72" s="113" t="n">
        <x:f>SUM(D72:DS72)</x:f>
      </x:c>
      <x:c r="C72" s="113" t="str">
        <x:v>млн ₽</x:v>
      </x:c>
      <x:c r="D72" s="113" t="n">
        <x:f>SUM(D62,D65,D68,D71)</x:f>
      </x:c>
      <x:c r="E72" s="113" t="n">
        <x:f>SUM(E62,E65,E68,E71)</x:f>
      </x:c>
      <x:c r="F72" s="113" t="n">
        <x:f>SUM(F62,F65,F68,F71)</x:f>
      </x:c>
      <x:c r="G72" s="113" t="n">
        <x:f>SUM(G62,G65,G68,G71)</x:f>
      </x:c>
      <x:c r="H72" s="113" t="n">
        <x:f>SUM(H62,H65,H68,H71)</x:f>
      </x:c>
      <x:c r="I72" s="113" t="n">
        <x:f>SUM(I62,I65,I68,I71)</x:f>
      </x:c>
      <x:c r="J72" s="113" t="n">
        <x:f>SUM(J62,J65,J68,J71)</x:f>
      </x:c>
      <x:c r="K72" s="113" t="n">
        <x:f>SUM(K62,K65,K68,K71)</x:f>
      </x:c>
      <x:c r="L72" s="113" t="n">
        <x:f>SUM(L62,L65,L68,L71)</x:f>
      </x:c>
      <x:c r="M72" s="113" t="n">
        <x:f>SUM(M62,M65,M68,M71)</x:f>
      </x:c>
      <x:c r="N72" s="113" t="n">
        <x:f>SUM(N62,N65,N68,N71)</x:f>
      </x:c>
      <x:c r="O72" s="113" t="n">
        <x:f>SUM(O62,O65,O68,O71)</x:f>
      </x:c>
      <x:c r="P72" s="113" t="n">
        <x:f>SUM(P62,P65,P68,P71)</x:f>
      </x:c>
      <x:c r="Q72" s="113" t="n">
        <x:f>SUM(Q62,Q65,Q68,Q71)</x:f>
      </x:c>
      <x:c r="R72" s="113" t="n">
        <x:f>SUM(R62,R65,R68,R71)</x:f>
      </x:c>
      <x:c r="S72" s="113" t="n">
        <x:f>SUM(S62,S65,S68,S71)</x:f>
      </x:c>
      <x:c r="T72" s="113" t="n">
        <x:f>SUM(T62,T65,T68,T71)</x:f>
      </x:c>
      <x:c r="U72" s="113" t="n">
        <x:f>SUM(U62,U65,U68,U71)</x:f>
      </x:c>
      <x:c r="V72" s="113" t="n">
        <x:f>SUM(V62,V65,V68,V71)</x:f>
      </x:c>
      <x:c r="W72" s="113" t="n">
        <x:f>SUM(W62,W65,W68,W71)</x:f>
      </x:c>
      <x:c r="X72" s="113" t="n">
        <x:f>SUM(X62,X65,X68,X71)</x:f>
      </x:c>
      <x:c r="Y72" s="113" t="n">
        <x:f>SUM(Y62,Y65,Y68,Y71)</x:f>
      </x:c>
      <x:c r="Z72" s="113" t="n">
        <x:f>SUM(Z62,Z65,Z68,Z71)</x:f>
      </x:c>
      <x:c r="AA72" s="113" t="n">
        <x:f>SUM(AA62,AA65,AA68,AA71)</x:f>
      </x:c>
      <x:c r="AB72" s="113" t="n">
        <x:f>SUM(AB62,AB65,AB68,AB71)</x:f>
      </x:c>
      <x:c r="AC72" s="113" t="n">
        <x:f>SUM(AC62,AC65,AC68,AC71)</x:f>
      </x:c>
      <x:c r="AD72" s="113" t="n">
        <x:f>SUM(AD62,AD65,AD68,AD71)</x:f>
      </x:c>
      <x:c r="AE72" s="113" t="n">
        <x:f>SUM(AE62,AE65,AE68,AE71)</x:f>
      </x:c>
      <x:c r="AF72" s="113" t="n">
        <x:f>SUM(AF62,AF65,AF68,AF71)</x:f>
      </x:c>
      <x:c r="AG72" s="113" t="n">
        <x:f>SUM(AG62,AG65,AG68,AG71)</x:f>
      </x:c>
      <x:c r="AH72" s="113" t="n">
        <x:f>SUM(AH62,AH65,AH68,AH71)</x:f>
      </x:c>
      <x:c r="AI72" s="113" t="n">
        <x:f>SUM(AI62,AI65,AI68,AI71)</x:f>
      </x:c>
      <x:c r="AJ72" s="113" t="n">
        <x:f>SUM(AJ62,AJ65,AJ68,AJ71)</x:f>
      </x:c>
      <x:c r="AK72" s="113" t="n">
        <x:f>SUM(AK62,AK65,AK68,AK71)</x:f>
      </x:c>
      <x:c r="AL72" s="113" t="n">
        <x:f>SUM(AL62,AL65,AL68,AL71)</x:f>
      </x:c>
      <x:c r="AM72" s="113" t="n">
        <x:f>SUM(AM62,AM65,AM68,AM71)</x:f>
      </x:c>
      <x:c r="AN72" s="113" t="n">
        <x:f>SUM(AN62,AN65,AN68,AN71)</x:f>
      </x:c>
      <x:c r="AO72" s="113" t="n">
        <x:f>SUM(AO62,AO65,AO68,AO71)</x:f>
      </x:c>
      <x:c r="AP72" s="113" t="n">
        <x:f>SUM(AP62,AP65,AP68,AP71)</x:f>
      </x:c>
      <x:c r="AQ72" s="113" t="n">
        <x:f>SUM(AQ62,AQ65,AQ68,AQ71)</x:f>
      </x:c>
      <x:c r="AR72" s="113" t="n">
        <x:f>SUM(AR62,AR65,AR68,AR71)</x:f>
      </x:c>
      <x:c r="AS72" s="113" t="n">
        <x:f>SUM(AS62,AS65,AS68,AS71)</x:f>
      </x:c>
      <x:c r="AT72" s="113" t="n">
        <x:f>SUM(AT62,AT65,AT68,AT71)</x:f>
      </x:c>
      <x:c r="AU72" s="113" t="n">
        <x:f>SUM(AU62,AU65,AU68,AU71)</x:f>
      </x:c>
      <x:c r="AV72" s="113" t="n">
        <x:f>SUM(AV62,AV65,AV68,AV71)</x:f>
      </x:c>
      <x:c r="AW72" s="113" t="n">
        <x:f>SUM(AW62,AW65,AW68,AW71)</x:f>
      </x:c>
      <x:c r="AX72" s="113" t="n">
        <x:f>SUM(AX62,AX65,AX68,AX71)</x:f>
      </x:c>
      <x:c r="AY72" s="113" t="n">
        <x:f>SUM(AY62,AY65,AY68,AY71)</x:f>
      </x:c>
      <x:c r="AZ72" s="113" t="n">
        <x:f>SUM(AZ62,AZ65,AZ68,AZ71)</x:f>
      </x:c>
      <x:c r="BA72" s="113" t="n">
        <x:f>SUM(BA62,BA65,BA68,BA71)</x:f>
      </x:c>
      <x:c r="BB72" s="113" t="n">
        <x:f>SUM(BB62,BB65,BB68,BB71)</x:f>
      </x:c>
      <x:c r="BC72" s="113" t="n">
        <x:f>SUM(BC62,BC65,BC68,BC71)</x:f>
      </x:c>
      <x:c r="BD72" s="113" t="n">
        <x:f>SUM(BD62,BD65,BD68,BD71)</x:f>
      </x:c>
      <x:c r="BE72" s="113" t="n">
        <x:f>SUM(BE62,BE65,BE68,BE71)</x:f>
      </x:c>
      <x:c r="BF72" s="113" t="n">
        <x:f>SUM(BF62,BF65,BF68,BF71)</x:f>
      </x:c>
      <x:c r="BG72" s="113" t="n">
        <x:f>SUM(BG62,BG65,BG68,BG71)</x:f>
      </x:c>
      <x:c r="BH72" s="113" t="n">
        <x:f>SUM(BH62,BH65,BH68,BH71)</x:f>
      </x:c>
      <x:c r="BI72" s="113" t="n">
        <x:f>SUM(BI62,BI65,BI68,BI71)</x:f>
      </x:c>
      <x:c r="BJ72" s="113" t="n">
        <x:f>SUM(BJ62,BJ65,BJ68,BJ71)</x:f>
      </x:c>
      <x:c r="BK72" s="113" t="n">
        <x:f>SUM(BK62,BK65,BK68,BK71)</x:f>
      </x:c>
      <x:c r="BL72" s="113" t="n">
        <x:f>SUM(BL62,BL65,BL68,BL71)</x:f>
      </x:c>
      <x:c r="BM72" s="113" t="n">
        <x:f>SUM(BM62,BM65,BM68,BM71)</x:f>
      </x:c>
      <x:c r="BN72" s="113" t="n">
        <x:f>SUM(BN62,BN65,BN68,BN71)</x:f>
      </x:c>
      <x:c r="BO72" s="113" t="n">
        <x:f>SUM(BO62,BO65,BO68,BO71)</x:f>
      </x:c>
      <x:c r="BP72" s="113" t="n">
        <x:f>SUM(BP62,BP65,BP68,BP71)</x:f>
      </x:c>
      <x:c r="BQ72" s="113" t="n">
        <x:f>SUM(BQ62,BQ65,BQ68,BQ71)</x:f>
      </x:c>
      <x:c r="BR72" s="113" t="n">
        <x:f>SUM(BR62,BR65,BR68,BR71)</x:f>
      </x:c>
      <x:c r="BS72" s="113" t="n">
        <x:f>SUM(BS62,BS65,BS68,BS71)</x:f>
      </x:c>
      <x:c r="BT72" s="113" t="n">
        <x:f>SUM(BT62,BT65,BT68,BT71)</x:f>
      </x:c>
      <x:c r="BU72" s="113" t="n">
        <x:f>SUM(BU62,BU65,BU68,BU71)</x:f>
      </x:c>
      <x:c r="BV72" s="113" t="n">
        <x:f>SUM(BV62,BV65,BV68,BV71)</x:f>
      </x:c>
      <x:c r="BW72" s="113" t="n">
        <x:f>SUM(BW62,BW65,BW68,BW71)</x:f>
      </x:c>
      <x:c r="BX72" s="113" t="n">
        <x:f>SUM(BX62,BX65,BX68,BX71)</x:f>
      </x:c>
      <x:c r="BY72" s="113" t="n">
        <x:f>SUM(BY62,BY65,BY68,BY71)</x:f>
      </x:c>
      <x:c r="BZ72" s="113" t="n">
        <x:f>SUM(BZ62,BZ65,BZ68,BZ71)</x:f>
      </x:c>
      <x:c r="CA72" s="113" t="n">
        <x:f>SUM(CA62,CA65,CA68,CA71)</x:f>
      </x:c>
      <x:c r="CB72" s="113" t="n">
        <x:f>SUM(CB62,CB65,CB68,CB71)</x:f>
      </x:c>
      <x:c r="CC72" s="113" t="n">
        <x:f>SUM(CC62,CC65,CC68,CC71)</x:f>
      </x:c>
      <x:c r="CD72" s="113" t="n">
        <x:f>SUM(CD62,CD65,CD68,CD71)</x:f>
      </x:c>
      <x:c r="CE72" s="113" t="n">
        <x:f>SUM(CE62,CE65,CE68,CE71)</x:f>
      </x:c>
      <x:c r="CF72" s="113" t="n">
        <x:f>SUM(CF62,CF65,CF68,CF71)</x:f>
      </x:c>
      <x:c r="CG72" s="113" t="n">
        <x:f>SUM(CG62,CG65,CG68,CG71)</x:f>
      </x:c>
      <x:c r="CH72" s="113" t="n">
        <x:f>SUM(CH62,CH65,CH68,CH71)</x:f>
      </x:c>
      <x:c r="CI72" s="113" t="n">
        <x:f>SUM(CI62,CI65,CI68,CI71)</x:f>
      </x:c>
      <x:c r="CJ72" s="113" t="n">
        <x:f>SUM(CJ62,CJ65,CJ68,CJ71)</x:f>
      </x:c>
      <x:c r="CK72" s="113" t="n">
        <x:f>SUM(CK62,CK65,CK68,CK71)</x:f>
      </x:c>
      <x:c r="CL72" s="113" t="n">
        <x:f>SUM(CL62,CL65,CL68,CL71)</x:f>
      </x:c>
      <x:c r="CM72" s="113" t="n">
        <x:f>SUM(CM62,CM65,CM68,CM71)</x:f>
      </x:c>
      <x:c r="CN72" s="113" t="n">
        <x:f>SUM(CN62,CN65,CN68,CN71)</x:f>
      </x:c>
      <x:c r="CO72" s="113" t="n">
        <x:f>SUM(CO62,CO65,CO68,CO71)</x:f>
      </x:c>
      <x:c r="CP72" s="113" t="n">
        <x:f>SUM(CP62,CP65,CP68,CP71)</x:f>
      </x:c>
      <x:c r="CQ72" s="113" t="n">
        <x:f>SUM(CQ62,CQ65,CQ68,CQ71)</x:f>
      </x:c>
      <x:c r="CR72" s="113" t="n">
        <x:f>SUM(CR62,CR65,CR68,CR71)</x:f>
      </x:c>
      <x:c r="CS72" s="113" t="n">
        <x:f>SUM(CS62,CS65,CS68,CS71)</x:f>
      </x:c>
      <x:c r="CT72" s="113" t="n">
        <x:f>SUM(CT62,CT65,CT68,CT71)</x:f>
      </x:c>
      <x:c r="CU72" s="113" t="n">
        <x:f>SUM(CU62,CU65,CU68,CU71)</x:f>
      </x:c>
      <x:c r="CV72" s="113" t="n">
        <x:f>SUM(CV62,CV65,CV68,CV71)</x:f>
      </x:c>
      <x:c r="CW72" s="113" t="n">
        <x:f>SUM(CW62,CW65,CW68,CW71)</x:f>
      </x:c>
      <x:c r="CX72" s="113" t="n">
        <x:f>SUM(CX62,CX65,CX68,CX71)</x:f>
      </x:c>
      <x:c r="CY72" s="113" t="n">
        <x:f>SUM(CY62,CY65,CY68,CY71)</x:f>
      </x:c>
      <x:c r="CZ72" s="113" t="n">
        <x:f>SUM(CZ62,CZ65,CZ68,CZ71)</x:f>
      </x:c>
      <x:c r="DA72" s="113" t="n">
        <x:f>SUM(DA62,DA65,DA68,DA71)</x:f>
      </x:c>
      <x:c r="DB72" s="113" t="n">
        <x:f>SUM(DB62,DB65,DB68,DB71)</x:f>
      </x:c>
      <x:c r="DC72" s="113" t="n">
        <x:f>SUM(DC62,DC65,DC68,DC71)</x:f>
      </x:c>
      <x:c r="DD72" s="113" t="n">
        <x:f>SUM(DD62,DD65,DD68,DD71)</x:f>
      </x:c>
      <x:c r="DE72" s="113" t="n">
        <x:f>SUM(DE62,DE65,DE68,DE71)</x:f>
      </x:c>
      <x:c r="DF72" s="113" t="n">
        <x:f>SUM(DF62,DF65,DF68,DF71)</x:f>
      </x:c>
      <x:c r="DG72" s="113" t="n">
        <x:f>SUM(DG62,DG65,DG68,DG71)</x:f>
      </x:c>
      <x:c r="DH72" s="113" t="n">
        <x:f>SUM(DH62,DH65,DH68,DH71)</x:f>
      </x:c>
      <x:c r="DI72" s="113" t="n">
        <x:f>SUM(DI62,DI65,DI68,DI71)</x:f>
      </x:c>
      <x:c r="DJ72" s="113" t="n">
        <x:f>SUM(DJ62,DJ65,DJ68,DJ71)</x:f>
      </x:c>
      <x:c r="DK72" s="113" t="n">
        <x:f>SUM(DK62,DK65,DK68,DK71)</x:f>
      </x:c>
      <x:c r="DL72" s="113" t="n">
        <x:f>SUM(DL62,DL65,DL68,DL71)</x:f>
      </x:c>
      <x:c r="DM72" s="113" t="n">
        <x:f>SUM(DM62,DM65,DM68,DM71)</x:f>
      </x:c>
      <x:c r="DN72" s="113" t="n">
        <x:f>SUM(DN62,DN65,DN68,DN71)</x:f>
      </x:c>
      <x:c r="DO72" s="113" t="n">
        <x:f>SUM(DO62,DO65,DO68,DO71)</x:f>
      </x:c>
      <x:c r="DP72" s="113" t="n">
        <x:f>SUM(DP62,DP65,DP68,DP71)</x:f>
      </x:c>
      <x:c r="DQ72" s="113" t="n">
        <x:f>SUM(DQ62,DQ65,DQ68,DQ71)</x:f>
      </x:c>
      <x:c r="DR72" s="113" t="n">
        <x:f>SUM(DR62,DR65,DR68,DR71)</x:f>
      </x:c>
      <x:c r="DS72" s="113" t="n">
        <x:f>SUM(DS62,DS65,DS68,DS71)</x:f>
      </x:c>
    </x:row>
    <x:row r="75" ht="21" customHeight="1">
      <x:c r="A75" s="52" t="str">
        <x:v>ОЧЕРЕДЬ 4</x:v>
      </x:c>
      <x:c r="B75" s="53" t="str">
        <x:v>ОЧЕРЕДЬ 4</x:v>
      </x:c>
      <x:c r="C75" s="53" t="str">
        <x:v>ОЧЕРЕДЬ 4</x:v>
      </x:c>
      <x:c r="D75" s="53" t="str">
        <x:v>ОЧЕРЕДЬ 4</x:v>
      </x:c>
      <x:c r="E75" s="53" t="str">
        <x:v>ОЧЕРЕДЬ 4</x:v>
      </x:c>
      <x:c r="F75" s="53" t="str">
        <x:v>ОЧЕРЕДЬ 4</x:v>
      </x:c>
      <x:c r="G75" s="53" t="str">
        <x:v>ОЧЕРЕДЬ 4</x:v>
      </x:c>
      <x:c r="H75" s="53" t="str">
        <x:v>ОЧЕРЕДЬ 4</x:v>
      </x:c>
      <x:c r="I75" s="53" t="str">
        <x:v>ОЧЕРЕДЬ 4</x:v>
      </x:c>
      <x:c r="J75" s="53" t="str">
        <x:v>ОЧЕРЕДЬ 4</x:v>
      </x:c>
      <x:c r="K75" s="53" t="str">
        <x:v>ОЧЕРЕДЬ 4</x:v>
      </x:c>
      <x:c r="L75" s="53" t="str">
        <x:v>ОЧЕРЕДЬ 4</x:v>
      </x:c>
      <x:c r="M75" s="53" t="str">
        <x:v>ОЧЕРЕДЬ 4</x:v>
      </x:c>
      <x:c r="N75" s="53" t="str">
        <x:v>ОЧЕРЕДЬ 4</x:v>
      </x:c>
      <x:c r="O75" s="53" t="str">
        <x:v>ОЧЕРЕДЬ 4</x:v>
      </x:c>
      <x:c r="P75" s="53" t="str">
        <x:v>ОЧЕРЕДЬ 4</x:v>
      </x:c>
      <x:c r="Q75" s="53" t="str">
        <x:v>ОЧЕРЕДЬ 4</x:v>
      </x:c>
      <x:c r="R75" s="53" t="str">
        <x:v>ОЧЕРЕДЬ 4</x:v>
      </x:c>
      <x:c r="S75" s="53" t="str">
        <x:v>ОЧЕРЕДЬ 4</x:v>
      </x:c>
      <x:c r="T75" s="53" t="str">
        <x:v>ОЧЕРЕДЬ 4</x:v>
      </x:c>
      <x:c r="U75" s="53" t="str">
        <x:v>ОЧЕРЕДЬ 4</x:v>
      </x:c>
      <x:c r="V75" s="53" t="str">
        <x:v>ОЧЕРЕДЬ 4</x:v>
      </x:c>
      <x:c r="W75" s="53" t="str">
        <x:v>ОЧЕРЕДЬ 4</x:v>
      </x:c>
      <x:c r="X75" s="53" t="str">
        <x:v>ОЧЕРЕДЬ 4</x:v>
      </x:c>
      <x:c r="Y75" s="53" t="str">
        <x:v>ОЧЕРЕДЬ 4</x:v>
      </x:c>
      <x:c r="Z75" s="53" t="str">
        <x:v>ОЧЕРЕДЬ 4</x:v>
      </x:c>
      <x:c r="AA75" s="53" t="str">
        <x:v>ОЧЕРЕДЬ 4</x:v>
      </x:c>
      <x:c r="AB75" s="53" t="str">
        <x:v>ОЧЕРЕДЬ 4</x:v>
      </x:c>
      <x:c r="AC75" s="53" t="str">
        <x:v>ОЧЕРЕДЬ 4</x:v>
      </x:c>
      <x:c r="AD75" s="53" t="str">
        <x:v>ОЧЕРЕДЬ 4</x:v>
      </x:c>
      <x:c r="AE75" s="53" t="str">
        <x:v>ОЧЕРЕДЬ 4</x:v>
      </x:c>
      <x:c r="AF75" s="53" t="str">
        <x:v>ОЧЕРЕДЬ 4</x:v>
      </x:c>
      <x:c r="AG75" s="53" t="str">
        <x:v>ОЧЕРЕДЬ 4</x:v>
      </x:c>
      <x:c r="AH75" s="53" t="str">
        <x:v>ОЧЕРЕДЬ 4</x:v>
      </x:c>
      <x:c r="AI75" s="53" t="str">
        <x:v>ОЧЕРЕДЬ 4</x:v>
      </x:c>
      <x:c r="AJ75" s="53" t="str">
        <x:v>ОЧЕРЕДЬ 4</x:v>
      </x:c>
      <x:c r="AK75" s="53" t="str">
        <x:v>ОЧЕРЕДЬ 4</x:v>
      </x:c>
      <x:c r="AL75" s="53" t="str">
        <x:v>ОЧЕРЕДЬ 4</x:v>
      </x:c>
      <x:c r="AM75" s="53" t="str">
        <x:v>ОЧЕРЕДЬ 4</x:v>
      </x:c>
      <x:c r="AN75" s="53" t="str">
        <x:v>ОЧЕРЕДЬ 4</x:v>
      </x:c>
      <x:c r="AO75" s="53" t="str">
        <x:v>ОЧЕРЕДЬ 4</x:v>
      </x:c>
      <x:c r="AP75" s="53" t="str">
        <x:v>ОЧЕРЕДЬ 4</x:v>
      </x:c>
      <x:c r="AQ75" s="53" t="str">
        <x:v>ОЧЕРЕДЬ 4</x:v>
      </x:c>
      <x:c r="AR75" s="53" t="str">
        <x:v>ОЧЕРЕДЬ 4</x:v>
      </x:c>
      <x:c r="AS75" s="53" t="str">
        <x:v>ОЧЕРЕДЬ 4</x:v>
      </x:c>
      <x:c r="AT75" s="53" t="str">
        <x:v>ОЧЕРЕДЬ 4</x:v>
      </x:c>
      <x:c r="AU75" s="53" t="str">
        <x:v>ОЧЕРЕДЬ 4</x:v>
      </x:c>
      <x:c r="AV75" s="53" t="str">
        <x:v>ОЧЕРЕДЬ 4</x:v>
      </x:c>
      <x:c r="AW75" s="53" t="str">
        <x:v>ОЧЕРЕДЬ 4</x:v>
      </x:c>
      <x:c r="AX75" s="53" t="str">
        <x:v>ОЧЕРЕДЬ 4</x:v>
      </x:c>
      <x:c r="AY75" s="53" t="str">
        <x:v>ОЧЕРЕДЬ 4</x:v>
      </x:c>
      <x:c r="AZ75" s="53" t="str">
        <x:v>ОЧЕРЕДЬ 4</x:v>
      </x:c>
      <x:c r="BA75" s="53" t="str">
        <x:v>ОЧЕРЕДЬ 4</x:v>
      </x:c>
      <x:c r="BB75" s="53" t="str">
        <x:v>ОЧЕРЕДЬ 4</x:v>
      </x:c>
      <x:c r="BC75" s="53" t="str">
        <x:v>ОЧЕРЕДЬ 4</x:v>
      </x:c>
      <x:c r="BD75" s="53" t="str">
        <x:v>ОЧЕРЕДЬ 4</x:v>
      </x:c>
      <x:c r="BE75" s="53" t="str">
        <x:v>ОЧЕРЕДЬ 4</x:v>
      </x:c>
      <x:c r="BF75" s="53" t="str">
        <x:v>ОЧЕРЕДЬ 4</x:v>
      </x:c>
      <x:c r="BG75" s="53" t="str">
        <x:v>ОЧЕРЕДЬ 4</x:v>
      </x:c>
      <x:c r="BH75" s="53" t="str">
        <x:v>ОЧЕРЕДЬ 4</x:v>
      </x:c>
      <x:c r="BI75" s="53" t="str">
        <x:v>ОЧЕРЕДЬ 4</x:v>
      </x:c>
      <x:c r="BJ75" s="53" t="str">
        <x:v>ОЧЕРЕДЬ 4</x:v>
      </x:c>
      <x:c r="BK75" s="53" t="str">
        <x:v>ОЧЕРЕДЬ 4</x:v>
      </x:c>
      <x:c r="BL75" s="53" t="str">
        <x:v>ОЧЕРЕДЬ 4</x:v>
      </x:c>
      <x:c r="BM75" s="53" t="str">
        <x:v>ОЧЕРЕДЬ 4</x:v>
      </x:c>
      <x:c r="BN75" s="53" t="str">
        <x:v>ОЧЕРЕДЬ 4</x:v>
      </x:c>
      <x:c r="BO75" s="53" t="str">
        <x:v>ОЧЕРЕДЬ 4</x:v>
      </x:c>
      <x:c r="BP75" s="53" t="str">
        <x:v>ОЧЕРЕДЬ 4</x:v>
      </x:c>
      <x:c r="BQ75" s="53" t="str">
        <x:v>ОЧЕРЕДЬ 4</x:v>
      </x:c>
      <x:c r="BR75" s="53" t="str">
        <x:v>ОЧЕРЕДЬ 4</x:v>
      </x:c>
      <x:c r="BS75" s="53" t="str">
        <x:v>ОЧЕРЕДЬ 4</x:v>
      </x:c>
      <x:c r="BT75" s="53" t="str">
        <x:v>ОЧЕРЕДЬ 4</x:v>
      </x:c>
      <x:c r="BU75" s="53" t="str">
        <x:v>ОЧЕРЕДЬ 4</x:v>
      </x:c>
      <x:c r="BV75" s="53" t="str">
        <x:v>ОЧЕРЕДЬ 4</x:v>
      </x:c>
      <x:c r="BW75" s="53" t="str">
        <x:v>ОЧЕРЕДЬ 4</x:v>
      </x:c>
      <x:c r="BX75" s="53" t="str">
        <x:v>ОЧЕРЕДЬ 4</x:v>
      </x:c>
      <x:c r="BY75" s="53" t="str">
        <x:v>ОЧЕРЕДЬ 4</x:v>
      </x:c>
      <x:c r="BZ75" s="53" t="str">
        <x:v>ОЧЕРЕДЬ 4</x:v>
      </x:c>
      <x:c r="CA75" s="53" t="str">
        <x:v>ОЧЕРЕДЬ 4</x:v>
      </x:c>
      <x:c r="CB75" s="53" t="str">
        <x:v>ОЧЕРЕДЬ 4</x:v>
      </x:c>
      <x:c r="CC75" s="53" t="str">
        <x:v>ОЧЕРЕДЬ 4</x:v>
      </x:c>
      <x:c r="CD75" s="53" t="str">
        <x:v>ОЧЕРЕДЬ 4</x:v>
      </x:c>
      <x:c r="CE75" s="53" t="str">
        <x:v>ОЧЕРЕДЬ 4</x:v>
      </x:c>
      <x:c r="CF75" s="53" t="str">
        <x:v>ОЧЕРЕДЬ 4</x:v>
      </x:c>
      <x:c r="CG75" s="53" t="str">
        <x:v>ОЧЕРЕДЬ 4</x:v>
      </x:c>
      <x:c r="CH75" s="53" t="str">
        <x:v>ОЧЕРЕДЬ 4</x:v>
      </x:c>
      <x:c r="CI75" s="53" t="str">
        <x:v>ОЧЕРЕДЬ 4</x:v>
      </x:c>
      <x:c r="CJ75" s="53" t="str">
        <x:v>ОЧЕРЕДЬ 4</x:v>
      </x:c>
      <x:c r="CK75" s="53" t="str">
        <x:v>ОЧЕРЕДЬ 4</x:v>
      </x:c>
      <x:c r="CL75" s="53" t="str">
        <x:v>ОЧЕРЕДЬ 4</x:v>
      </x:c>
      <x:c r="CM75" s="53" t="str">
        <x:v>ОЧЕРЕДЬ 4</x:v>
      </x:c>
      <x:c r="CN75" s="53" t="str">
        <x:v>ОЧЕРЕДЬ 4</x:v>
      </x:c>
      <x:c r="CO75" s="53" t="str">
        <x:v>ОЧЕРЕДЬ 4</x:v>
      </x:c>
      <x:c r="CP75" s="53" t="str">
        <x:v>ОЧЕРЕДЬ 4</x:v>
      </x:c>
      <x:c r="CQ75" s="53" t="str">
        <x:v>ОЧЕРЕДЬ 4</x:v>
      </x:c>
      <x:c r="CR75" s="53" t="str">
        <x:v>ОЧЕРЕДЬ 4</x:v>
      </x:c>
      <x:c r="CS75" s="53" t="str">
        <x:v>ОЧЕРЕДЬ 4</x:v>
      </x:c>
      <x:c r="CT75" s="53" t="str">
        <x:v>ОЧЕРЕДЬ 4</x:v>
      </x:c>
      <x:c r="CU75" s="53" t="str">
        <x:v>ОЧЕРЕДЬ 4</x:v>
      </x:c>
      <x:c r="CV75" s="53" t="str">
        <x:v>ОЧЕРЕДЬ 4</x:v>
      </x:c>
      <x:c r="CW75" s="53" t="str">
        <x:v>ОЧЕРЕДЬ 4</x:v>
      </x:c>
      <x:c r="CX75" s="53" t="str">
        <x:v>ОЧЕРЕДЬ 4</x:v>
      </x:c>
      <x:c r="CY75" s="53" t="str">
        <x:v>ОЧЕРЕДЬ 4</x:v>
      </x:c>
      <x:c r="CZ75" s="53" t="str">
        <x:v>ОЧЕРЕДЬ 4</x:v>
      </x:c>
      <x:c r="DA75" s="53" t="str">
        <x:v>ОЧЕРЕДЬ 4</x:v>
      </x:c>
      <x:c r="DB75" s="53" t="str">
        <x:v>ОЧЕРЕДЬ 4</x:v>
      </x:c>
      <x:c r="DC75" s="53" t="str">
        <x:v>ОЧЕРЕДЬ 4</x:v>
      </x:c>
      <x:c r="DD75" s="53" t="str">
        <x:v>ОЧЕРЕДЬ 4</x:v>
      </x:c>
      <x:c r="DE75" s="53" t="str">
        <x:v>ОЧЕРЕДЬ 4</x:v>
      </x:c>
      <x:c r="DF75" s="53" t="str">
        <x:v>ОЧЕРЕДЬ 4</x:v>
      </x:c>
      <x:c r="DG75" s="53" t="str">
        <x:v>ОЧЕРЕДЬ 4</x:v>
      </x:c>
      <x:c r="DH75" s="53" t="str">
        <x:v>ОЧЕРЕДЬ 4</x:v>
      </x:c>
      <x:c r="DI75" s="53" t="str">
        <x:v>ОЧЕРЕДЬ 4</x:v>
      </x:c>
      <x:c r="DJ75" s="53" t="str">
        <x:v>ОЧЕРЕДЬ 4</x:v>
      </x:c>
      <x:c r="DK75" s="53" t="str">
        <x:v>ОЧЕРЕДЬ 4</x:v>
      </x:c>
      <x:c r="DL75" s="53" t="str">
        <x:v>ОЧЕРЕДЬ 4</x:v>
      </x:c>
      <x:c r="DM75" s="53" t="str">
        <x:v>ОЧЕРЕДЬ 4</x:v>
      </x:c>
      <x:c r="DN75" s="53" t="str">
        <x:v>ОЧЕРЕДЬ 4</x:v>
      </x:c>
      <x:c r="DO75" s="53" t="str">
        <x:v>ОЧЕРЕДЬ 4</x:v>
      </x:c>
      <x:c r="DP75" s="53" t="str">
        <x:v>ОЧЕРЕДЬ 4</x:v>
      </x:c>
      <x:c r="DQ75" s="53" t="str">
        <x:v>ОЧЕРЕДЬ 4</x:v>
      </x:c>
      <x:c r="DR75" s="53" t="str">
        <x:v>ОЧЕРЕДЬ 4</x:v>
      </x:c>
      <x:c r="DS75" s="54" t="str">
        <x:v>ОЧЕРЕДЬ 4</x:v>
      </x:c>
    </x:row>
    <x:row r="76">
      <x:c r="A76" t="str">
        <x:v>Старт продаж</x:v>
      </x:c>
      <x:c r="B76" s="106" t="n">
        <x:f>EDATE('Вводные'!$D$91,'Вводные'!$E$91+'Вводные'!$G$91+'Вводные'!$H$9)</x:f>
      </x:c>
      <x:c r="C76" t="str">
        <x:v>дата</x:v>
      </x:c>
    </x:row>
    <x:row r="77">
      <x:c r="A77" t="str">
        <x:v>РВЭ</x:v>
      </x:c>
      <x:c r="B77" s="106" t="n">
        <x:f>EDATE('Вводные'!$D$91,'Вводные'!$E$91+'Вводные'!$F$91+'Вводные'!$H$9)</x:f>
      </x:c>
      <x:c r="C77" t="str">
        <x:v>дата</x:v>
      </x:c>
    </x:row>
    <x:row r="78">
      <x:c r="A78" t="str">
        <x:v>Флаг продаж до РВЭ</x:v>
      </x:c>
      <x:c r="B78"/>
      <x:c r="C78" t="str">
        <x:v>0/1</x:v>
      </x:c>
      <x:c r="D78" t="n">
        <x:f>--AND(D$3&gt;=$B$76,D$3&lt;$B$77,D$3&lt;EDATE($B$76,MAX(1,'Вводные'!$H$91)),'Вводные'!$B$91="Да")</x:f>
      </x:c>
      <x:c r="E78" t="n">
        <x:f>--AND(E$3&gt;=$B$76,E$3&lt;$B$77,E$3&lt;EDATE($B$76,MAX(1,'Вводные'!$H$91)),'Вводные'!$B$91="Да")</x:f>
      </x:c>
      <x:c r="F78" t="n">
        <x:f>--AND(F$3&gt;=$B$76,F$3&lt;$B$77,F$3&lt;EDATE($B$76,MAX(1,'Вводные'!$H$91)),'Вводные'!$B$91="Да")</x:f>
      </x:c>
      <x:c r="G78" t="n">
        <x:f>--AND(G$3&gt;=$B$76,G$3&lt;$B$77,G$3&lt;EDATE($B$76,MAX(1,'Вводные'!$H$91)),'Вводные'!$B$91="Да")</x:f>
      </x:c>
      <x:c r="H78" t="n">
        <x:f>--AND(H$3&gt;=$B$76,H$3&lt;$B$77,H$3&lt;EDATE($B$76,MAX(1,'Вводные'!$H$91)),'Вводные'!$B$91="Да")</x:f>
      </x:c>
      <x:c r="I78" t="n">
        <x:f>--AND(I$3&gt;=$B$76,I$3&lt;$B$77,I$3&lt;EDATE($B$76,MAX(1,'Вводные'!$H$91)),'Вводные'!$B$91="Да")</x:f>
      </x:c>
      <x:c r="J78" t="n">
        <x:f>--AND(J$3&gt;=$B$76,J$3&lt;$B$77,J$3&lt;EDATE($B$76,MAX(1,'Вводные'!$H$91)),'Вводные'!$B$91="Да")</x:f>
      </x:c>
      <x:c r="K78" t="n">
        <x:f>--AND(K$3&gt;=$B$76,K$3&lt;$B$77,K$3&lt;EDATE($B$76,MAX(1,'Вводные'!$H$91)),'Вводные'!$B$91="Да")</x:f>
      </x:c>
      <x:c r="L78" t="n">
        <x:f>--AND(L$3&gt;=$B$76,L$3&lt;$B$77,L$3&lt;EDATE($B$76,MAX(1,'Вводные'!$H$91)),'Вводные'!$B$91="Да")</x:f>
      </x:c>
      <x:c r="M78" t="n">
        <x:f>--AND(M$3&gt;=$B$76,M$3&lt;$B$77,M$3&lt;EDATE($B$76,MAX(1,'Вводные'!$H$91)),'Вводные'!$B$91="Да")</x:f>
      </x:c>
      <x:c r="N78" t="n">
        <x:f>--AND(N$3&gt;=$B$76,N$3&lt;$B$77,N$3&lt;EDATE($B$76,MAX(1,'Вводные'!$H$91)),'Вводные'!$B$91="Да")</x:f>
      </x:c>
      <x:c r="O78" t="n">
        <x:f>--AND(O$3&gt;=$B$76,O$3&lt;$B$77,O$3&lt;EDATE($B$76,MAX(1,'Вводные'!$H$91)),'Вводные'!$B$91="Да")</x:f>
      </x:c>
      <x:c r="P78" t="n">
        <x:f>--AND(P$3&gt;=$B$76,P$3&lt;$B$77,P$3&lt;EDATE($B$76,MAX(1,'Вводные'!$H$91)),'Вводные'!$B$91="Да")</x:f>
      </x:c>
      <x:c r="Q78" t="n">
        <x:f>--AND(Q$3&gt;=$B$76,Q$3&lt;$B$77,Q$3&lt;EDATE($B$76,MAX(1,'Вводные'!$H$91)),'Вводные'!$B$91="Да")</x:f>
      </x:c>
      <x:c r="R78" t="n">
        <x:f>--AND(R$3&gt;=$B$76,R$3&lt;$B$77,R$3&lt;EDATE($B$76,MAX(1,'Вводные'!$H$91)),'Вводные'!$B$91="Да")</x:f>
      </x:c>
      <x:c r="S78" t="n">
        <x:f>--AND(S$3&gt;=$B$76,S$3&lt;$B$77,S$3&lt;EDATE($B$76,MAX(1,'Вводные'!$H$91)),'Вводные'!$B$91="Да")</x:f>
      </x:c>
      <x:c r="T78" t="n">
        <x:f>--AND(T$3&gt;=$B$76,T$3&lt;$B$77,T$3&lt;EDATE($B$76,MAX(1,'Вводные'!$H$91)),'Вводные'!$B$91="Да")</x:f>
      </x:c>
      <x:c r="U78" t="n">
        <x:f>--AND(U$3&gt;=$B$76,U$3&lt;$B$77,U$3&lt;EDATE($B$76,MAX(1,'Вводные'!$H$91)),'Вводные'!$B$91="Да")</x:f>
      </x:c>
      <x:c r="V78" t="n">
        <x:f>--AND(V$3&gt;=$B$76,V$3&lt;$B$77,V$3&lt;EDATE($B$76,MAX(1,'Вводные'!$H$91)),'Вводные'!$B$91="Да")</x:f>
      </x:c>
      <x:c r="W78" t="n">
        <x:f>--AND(W$3&gt;=$B$76,W$3&lt;$B$77,W$3&lt;EDATE($B$76,MAX(1,'Вводные'!$H$91)),'Вводные'!$B$91="Да")</x:f>
      </x:c>
      <x:c r="X78" t="n">
        <x:f>--AND(X$3&gt;=$B$76,X$3&lt;$B$77,X$3&lt;EDATE($B$76,MAX(1,'Вводные'!$H$91)),'Вводные'!$B$91="Да")</x:f>
      </x:c>
      <x:c r="Y78" t="n">
        <x:f>--AND(Y$3&gt;=$B$76,Y$3&lt;$B$77,Y$3&lt;EDATE($B$76,MAX(1,'Вводные'!$H$91)),'Вводные'!$B$91="Да")</x:f>
      </x:c>
      <x:c r="Z78" t="n">
        <x:f>--AND(Z$3&gt;=$B$76,Z$3&lt;$B$77,Z$3&lt;EDATE($B$76,MAX(1,'Вводные'!$H$91)),'Вводные'!$B$91="Да")</x:f>
      </x:c>
      <x:c r="AA78" t="n">
        <x:f>--AND(AA$3&gt;=$B$76,AA$3&lt;$B$77,AA$3&lt;EDATE($B$76,MAX(1,'Вводные'!$H$91)),'Вводные'!$B$91="Да")</x:f>
      </x:c>
      <x:c r="AB78" t="n">
        <x:f>--AND(AB$3&gt;=$B$76,AB$3&lt;$B$77,AB$3&lt;EDATE($B$76,MAX(1,'Вводные'!$H$91)),'Вводные'!$B$91="Да")</x:f>
      </x:c>
      <x:c r="AC78" t="n">
        <x:f>--AND(AC$3&gt;=$B$76,AC$3&lt;$B$77,AC$3&lt;EDATE($B$76,MAX(1,'Вводные'!$H$91)),'Вводные'!$B$91="Да")</x:f>
      </x:c>
      <x:c r="AD78" t="n">
        <x:f>--AND(AD$3&gt;=$B$76,AD$3&lt;$B$77,AD$3&lt;EDATE($B$76,MAX(1,'Вводные'!$H$91)),'Вводные'!$B$91="Да")</x:f>
      </x:c>
      <x:c r="AE78" t="n">
        <x:f>--AND(AE$3&gt;=$B$76,AE$3&lt;$B$77,AE$3&lt;EDATE($B$76,MAX(1,'Вводные'!$H$91)),'Вводные'!$B$91="Да")</x:f>
      </x:c>
      <x:c r="AF78" t="n">
        <x:f>--AND(AF$3&gt;=$B$76,AF$3&lt;$B$77,AF$3&lt;EDATE($B$76,MAX(1,'Вводные'!$H$91)),'Вводные'!$B$91="Да")</x:f>
      </x:c>
      <x:c r="AG78" t="n">
        <x:f>--AND(AG$3&gt;=$B$76,AG$3&lt;$B$77,AG$3&lt;EDATE($B$76,MAX(1,'Вводные'!$H$91)),'Вводные'!$B$91="Да")</x:f>
      </x:c>
      <x:c r="AH78" t="n">
        <x:f>--AND(AH$3&gt;=$B$76,AH$3&lt;$B$77,AH$3&lt;EDATE($B$76,MAX(1,'Вводные'!$H$91)),'Вводные'!$B$91="Да")</x:f>
      </x:c>
      <x:c r="AI78" t="n">
        <x:f>--AND(AI$3&gt;=$B$76,AI$3&lt;$B$77,AI$3&lt;EDATE($B$76,MAX(1,'Вводные'!$H$91)),'Вводные'!$B$91="Да")</x:f>
      </x:c>
      <x:c r="AJ78" t="n">
        <x:f>--AND(AJ$3&gt;=$B$76,AJ$3&lt;$B$77,AJ$3&lt;EDATE($B$76,MAX(1,'Вводные'!$H$91)),'Вводные'!$B$91="Да")</x:f>
      </x:c>
      <x:c r="AK78" t="n">
        <x:f>--AND(AK$3&gt;=$B$76,AK$3&lt;$B$77,AK$3&lt;EDATE($B$76,MAX(1,'Вводные'!$H$91)),'Вводные'!$B$91="Да")</x:f>
      </x:c>
      <x:c r="AL78" t="n">
        <x:f>--AND(AL$3&gt;=$B$76,AL$3&lt;$B$77,AL$3&lt;EDATE($B$76,MAX(1,'Вводные'!$H$91)),'Вводные'!$B$91="Да")</x:f>
      </x:c>
      <x:c r="AM78" t="n">
        <x:f>--AND(AM$3&gt;=$B$76,AM$3&lt;$B$77,AM$3&lt;EDATE($B$76,MAX(1,'Вводные'!$H$91)),'Вводные'!$B$91="Да")</x:f>
      </x:c>
      <x:c r="AN78" t="n">
        <x:f>--AND(AN$3&gt;=$B$76,AN$3&lt;$B$77,AN$3&lt;EDATE($B$76,MAX(1,'Вводные'!$H$91)),'Вводные'!$B$91="Да")</x:f>
      </x:c>
      <x:c r="AO78" t="n">
        <x:f>--AND(AO$3&gt;=$B$76,AO$3&lt;$B$77,AO$3&lt;EDATE($B$76,MAX(1,'Вводные'!$H$91)),'Вводные'!$B$91="Да")</x:f>
      </x:c>
      <x:c r="AP78" t="n">
        <x:f>--AND(AP$3&gt;=$B$76,AP$3&lt;$B$77,AP$3&lt;EDATE($B$76,MAX(1,'Вводные'!$H$91)),'Вводные'!$B$91="Да")</x:f>
      </x:c>
      <x:c r="AQ78" t="n">
        <x:f>--AND(AQ$3&gt;=$B$76,AQ$3&lt;$B$77,AQ$3&lt;EDATE($B$76,MAX(1,'Вводные'!$H$91)),'Вводные'!$B$91="Да")</x:f>
      </x:c>
      <x:c r="AR78" t="n">
        <x:f>--AND(AR$3&gt;=$B$76,AR$3&lt;$B$77,AR$3&lt;EDATE($B$76,MAX(1,'Вводные'!$H$91)),'Вводные'!$B$91="Да")</x:f>
      </x:c>
      <x:c r="AS78" t="n">
        <x:f>--AND(AS$3&gt;=$B$76,AS$3&lt;$B$77,AS$3&lt;EDATE($B$76,MAX(1,'Вводные'!$H$91)),'Вводные'!$B$91="Да")</x:f>
      </x:c>
      <x:c r="AT78" t="n">
        <x:f>--AND(AT$3&gt;=$B$76,AT$3&lt;$B$77,AT$3&lt;EDATE($B$76,MAX(1,'Вводные'!$H$91)),'Вводные'!$B$91="Да")</x:f>
      </x:c>
      <x:c r="AU78" t="n">
        <x:f>--AND(AU$3&gt;=$B$76,AU$3&lt;$B$77,AU$3&lt;EDATE($B$76,MAX(1,'Вводные'!$H$91)),'Вводные'!$B$91="Да")</x:f>
      </x:c>
      <x:c r="AV78" t="n">
        <x:f>--AND(AV$3&gt;=$B$76,AV$3&lt;$B$77,AV$3&lt;EDATE($B$76,MAX(1,'Вводные'!$H$91)),'Вводные'!$B$91="Да")</x:f>
      </x:c>
      <x:c r="AW78" t="n">
        <x:f>--AND(AW$3&gt;=$B$76,AW$3&lt;$B$77,AW$3&lt;EDATE($B$76,MAX(1,'Вводные'!$H$91)),'Вводные'!$B$91="Да")</x:f>
      </x:c>
      <x:c r="AX78" t="n">
        <x:f>--AND(AX$3&gt;=$B$76,AX$3&lt;$B$77,AX$3&lt;EDATE($B$76,MAX(1,'Вводные'!$H$91)),'Вводные'!$B$91="Да")</x:f>
      </x:c>
      <x:c r="AY78" t="n">
        <x:f>--AND(AY$3&gt;=$B$76,AY$3&lt;$B$77,AY$3&lt;EDATE($B$76,MAX(1,'Вводные'!$H$91)),'Вводные'!$B$91="Да")</x:f>
      </x:c>
      <x:c r="AZ78" t="n">
        <x:f>--AND(AZ$3&gt;=$B$76,AZ$3&lt;$B$77,AZ$3&lt;EDATE($B$76,MAX(1,'Вводные'!$H$91)),'Вводные'!$B$91="Да")</x:f>
      </x:c>
      <x:c r="BA78" t="n">
        <x:f>--AND(BA$3&gt;=$B$76,BA$3&lt;$B$77,BA$3&lt;EDATE($B$76,MAX(1,'Вводные'!$H$91)),'Вводные'!$B$91="Да")</x:f>
      </x:c>
      <x:c r="BB78" t="n">
        <x:f>--AND(BB$3&gt;=$B$76,BB$3&lt;$B$77,BB$3&lt;EDATE($B$76,MAX(1,'Вводные'!$H$91)),'Вводные'!$B$91="Да")</x:f>
      </x:c>
      <x:c r="BC78" t="n">
        <x:f>--AND(BC$3&gt;=$B$76,BC$3&lt;$B$77,BC$3&lt;EDATE($B$76,MAX(1,'Вводные'!$H$91)),'Вводные'!$B$91="Да")</x:f>
      </x:c>
      <x:c r="BD78" t="n">
        <x:f>--AND(BD$3&gt;=$B$76,BD$3&lt;$B$77,BD$3&lt;EDATE($B$76,MAX(1,'Вводные'!$H$91)),'Вводные'!$B$91="Да")</x:f>
      </x:c>
      <x:c r="BE78" t="n">
        <x:f>--AND(BE$3&gt;=$B$76,BE$3&lt;$B$77,BE$3&lt;EDATE($B$76,MAX(1,'Вводные'!$H$91)),'Вводные'!$B$91="Да")</x:f>
      </x:c>
      <x:c r="BF78" t="n">
        <x:f>--AND(BF$3&gt;=$B$76,BF$3&lt;$B$77,BF$3&lt;EDATE($B$76,MAX(1,'Вводные'!$H$91)),'Вводные'!$B$91="Да")</x:f>
      </x:c>
      <x:c r="BG78" t="n">
        <x:f>--AND(BG$3&gt;=$B$76,BG$3&lt;$B$77,BG$3&lt;EDATE($B$76,MAX(1,'Вводные'!$H$91)),'Вводные'!$B$91="Да")</x:f>
      </x:c>
      <x:c r="BH78" t="n">
        <x:f>--AND(BH$3&gt;=$B$76,BH$3&lt;$B$77,BH$3&lt;EDATE($B$76,MAX(1,'Вводные'!$H$91)),'Вводные'!$B$91="Да")</x:f>
      </x:c>
      <x:c r="BI78" t="n">
        <x:f>--AND(BI$3&gt;=$B$76,BI$3&lt;$B$77,BI$3&lt;EDATE($B$76,MAX(1,'Вводные'!$H$91)),'Вводные'!$B$91="Да")</x:f>
      </x:c>
      <x:c r="BJ78" t="n">
        <x:f>--AND(BJ$3&gt;=$B$76,BJ$3&lt;$B$77,BJ$3&lt;EDATE($B$76,MAX(1,'Вводные'!$H$91)),'Вводные'!$B$91="Да")</x:f>
      </x:c>
      <x:c r="BK78" t="n">
        <x:f>--AND(BK$3&gt;=$B$76,BK$3&lt;$B$77,BK$3&lt;EDATE($B$76,MAX(1,'Вводные'!$H$91)),'Вводные'!$B$91="Да")</x:f>
      </x:c>
      <x:c r="BL78" t="n">
        <x:f>--AND(BL$3&gt;=$B$76,BL$3&lt;$B$77,BL$3&lt;EDATE($B$76,MAX(1,'Вводные'!$H$91)),'Вводные'!$B$91="Да")</x:f>
      </x:c>
      <x:c r="BM78" t="n">
        <x:f>--AND(BM$3&gt;=$B$76,BM$3&lt;$B$77,BM$3&lt;EDATE($B$76,MAX(1,'Вводные'!$H$91)),'Вводные'!$B$91="Да")</x:f>
      </x:c>
      <x:c r="BN78" t="n">
        <x:f>--AND(BN$3&gt;=$B$76,BN$3&lt;$B$77,BN$3&lt;EDATE($B$76,MAX(1,'Вводные'!$H$91)),'Вводные'!$B$91="Да")</x:f>
      </x:c>
      <x:c r="BO78" t="n">
        <x:f>--AND(BO$3&gt;=$B$76,BO$3&lt;$B$77,BO$3&lt;EDATE($B$76,MAX(1,'Вводные'!$H$91)),'Вводные'!$B$91="Да")</x:f>
      </x:c>
      <x:c r="BP78" t="n">
        <x:f>--AND(BP$3&gt;=$B$76,BP$3&lt;$B$77,BP$3&lt;EDATE($B$76,MAX(1,'Вводные'!$H$91)),'Вводные'!$B$91="Да")</x:f>
      </x:c>
      <x:c r="BQ78" t="n">
        <x:f>--AND(BQ$3&gt;=$B$76,BQ$3&lt;$B$77,BQ$3&lt;EDATE($B$76,MAX(1,'Вводные'!$H$91)),'Вводные'!$B$91="Да")</x:f>
      </x:c>
      <x:c r="BR78" t="n">
        <x:f>--AND(BR$3&gt;=$B$76,BR$3&lt;$B$77,BR$3&lt;EDATE($B$76,MAX(1,'Вводные'!$H$91)),'Вводные'!$B$91="Да")</x:f>
      </x:c>
      <x:c r="BS78" t="n">
        <x:f>--AND(BS$3&gt;=$B$76,BS$3&lt;$B$77,BS$3&lt;EDATE($B$76,MAX(1,'Вводные'!$H$91)),'Вводные'!$B$91="Да")</x:f>
      </x:c>
      <x:c r="BT78" t="n">
        <x:f>--AND(BT$3&gt;=$B$76,BT$3&lt;$B$77,BT$3&lt;EDATE($B$76,MAX(1,'Вводные'!$H$91)),'Вводные'!$B$91="Да")</x:f>
      </x:c>
      <x:c r="BU78" t="n">
        <x:f>--AND(BU$3&gt;=$B$76,BU$3&lt;$B$77,BU$3&lt;EDATE($B$76,MAX(1,'Вводные'!$H$91)),'Вводные'!$B$91="Да")</x:f>
      </x:c>
      <x:c r="BV78" t="n">
        <x:f>--AND(BV$3&gt;=$B$76,BV$3&lt;$B$77,BV$3&lt;EDATE($B$76,MAX(1,'Вводные'!$H$91)),'Вводные'!$B$91="Да")</x:f>
      </x:c>
      <x:c r="BW78" t="n">
        <x:f>--AND(BW$3&gt;=$B$76,BW$3&lt;$B$77,BW$3&lt;EDATE($B$76,MAX(1,'Вводные'!$H$91)),'Вводные'!$B$91="Да")</x:f>
      </x:c>
      <x:c r="BX78" t="n">
        <x:f>--AND(BX$3&gt;=$B$76,BX$3&lt;$B$77,BX$3&lt;EDATE($B$76,MAX(1,'Вводные'!$H$91)),'Вводные'!$B$91="Да")</x:f>
      </x:c>
      <x:c r="BY78" t="n">
        <x:f>--AND(BY$3&gt;=$B$76,BY$3&lt;$B$77,BY$3&lt;EDATE($B$76,MAX(1,'Вводные'!$H$91)),'Вводные'!$B$91="Да")</x:f>
      </x:c>
      <x:c r="BZ78" t="n">
        <x:f>--AND(BZ$3&gt;=$B$76,BZ$3&lt;$B$77,BZ$3&lt;EDATE($B$76,MAX(1,'Вводные'!$H$91)),'Вводные'!$B$91="Да")</x:f>
      </x:c>
      <x:c r="CA78" t="n">
        <x:f>--AND(CA$3&gt;=$B$76,CA$3&lt;$B$77,CA$3&lt;EDATE($B$76,MAX(1,'Вводные'!$H$91)),'Вводные'!$B$91="Да")</x:f>
      </x:c>
      <x:c r="CB78" t="n">
        <x:f>--AND(CB$3&gt;=$B$76,CB$3&lt;$B$77,CB$3&lt;EDATE($B$76,MAX(1,'Вводные'!$H$91)),'Вводные'!$B$91="Да")</x:f>
      </x:c>
      <x:c r="CC78" t="n">
        <x:f>--AND(CC$3&gt;=$B$76,CC$3&lt;$B$77,CC$3&lt;EDATE($B$76,MAX(1,'Вводные'!$H$91)),'Вводные'!$B$91="Да")</x:f>
      </x:c>
      <x:c r="CD78" t="n">
        <x:f>--AND(CD$3&gt;=$B$76,CD$3&lt;$B$77,CD$3&lt;EDATE($B$76,MAX(1,'Вводные'!$H$91)),'Вводные'!$B$91="Да")</x:f>
      </x:c>
      <x:c r="CE78" t="n">
        <x:f>--AND(CE$3&gt;=$B$76,CE$3&lt;$B$77,CE$3&lt;EDATE($B$76,MAX(1,'Вводные'!$H$91)),'Вводные'!$B$91="Да")</x:f>
      </x:c>
      <x:c r="CF78" t="n">
        <x:f>--AND(CF$3&gt;=$B$76,CF$3&lt;$B$77,CF$3&lt;EDATE($B$76,MAX(1,'Вводные'!$H$91)),'Вводные'!$B$91="Да")</x:f>
      </x:c>
      <x:c r="CG78" t="n">
        <x:f>--AND(CG$3&gt;=$B$76,CG$3&lt;$B$77,CG$3&lt;EDATE($B$76,MAX(1,'Вводные'!$H$91)),'Вводные'!$B$91="Да")</x:f>
      </x:c>
      <x:c r="CH78" t="n">
        <x:f>--AND(CH$3&gt;=$B$76,CH$3&lt;$B$77,CH$3&lt;EDATE($B$76,MAX(1,'Вводные'!$H$91)),'Вводные'!$B$91="Да")</x:f>
      </x:c>
      <x:c r="CI78" t="n">
        <x:f>--AND(CI$3&gt;=$B$76,CI$3&lt;$B$77,CI$3&lt;EDATE($B$76,MAX(1,'Вводные'!$H$91)),'Вводные'!$B$91="Да")</x:f>
      </x:c>
      <x:c r="CJ78" t="n">
        <x:f>--AND(CJ$3&gt;=$B$76,CJ$3&lt;$B$77,CJ$3&lt;EDATE($B$76,MAX(1,'Вводные'!$H$91)),'Вводные'!$B$91="Да")</x:f>
      </x:c>
      <x:c r="CK78" t="n">
        <x:f>--AND(CK$3&gt;=$B$76,CK$3&lt;$B$77,CK$3&lt;EDATE($B$76,MAX(1,'Вводные'!$H$91)),'Вводные'!$B$91="Да")</x:f>
      </x:c>
      <x:c r="CL78" t="n">
        <x:f>--AND(CL$3&gt;=$B$76,CL$3&lt;$B$77,CL$3&lt;EDATE($B$76,MAX(1,'Вводные'!$H$91)),'Вводные'!$B$91="Да")</x:f>
      </x:c>
      <x:c r="CM78" t="n">
        <x:f>--AND(CM$3&gt;=$B$76,CM$3&lt;$B$77,CM$3&lt;EDATE($B$76,MAX(1,'Вводные'!$H$91)),'Вводные'!$B$91="Да")</x:f>
      </x:c>
      <x:c r="CN78" t="n">
        <x:f>--AND(CN$3&gt;=$B$76,CN$3&lt;$B$77,CN$3&lt;EDATE($B$76,MAX(1,'Вводные'!$H$91)),'Вводные'!$B$91="Да")</x:f>
      </x:c>
      <x:c r="CO78" t="n">
        <x:f>--AND(CO$3&gt;=$B$76,CO$3&lt;$B$77,CO$3&lt;EDATE($B$76,MAX(1,'Вводные'!$H$91)),'Вводные'!$B$91="Да")</x:f>
      </x:c>
      <x:c r="CP78" t="n">
        <x:f>--AND(CP$3&gt;=$B$76,CP$3&lt;$B$77,CP$3&lt;EDATE($B$76,MAX(1,'Вводные'!$H$91)),'Вводные'!$B$91="Да")</x:f>
      </x:c>
      <x:c r="CQ78" t="n">
        <x:f>--AND(CQ$3&gt;=$B$76,CQ$3&lt;$B$77,CQ$3&lt;EDATE($B$76,MAX(1,'Вводные'!$H$91)),'Вводные'!$B$91="Да")</x:f>
      </x:c>
      <x:c r="CR78" t="n">
        <x:f>--AND(CR$3&gt;=$B$76,CR$3&lt;$B$77,CR$3&lt;EDATE($B$76,MAX(1,'Вводные'!$H$91)),'Вводные'!$B$91="Да")</x:f>
      </x:c>
      <x:c r="CS78" t="n">
        <x:f>--AND(CS$3&gt;=$B$76,CS$3&lt;$B$77,CS$3&lt;EDATE($B$76,MAX(1,'Вводные'!$H$91)),'Вводные'!$B$91="Да")</x:f>
      </x:c>
      <x:c r="CT78" t="n">
        <x:f>--AND(CT$3&gt;=$B$76,CT$3&lt;$B$77,CT$3&lt;EDATE($B$76,MAX(1,'Вводные'!$H$91)),'Вводные'!$B$91="Да")</x:f>
      </x:c>
      <x:c r="CU78" t="n">
        <x:f>--AND(CU$3&gt;=$B$76,CU$3&lt;$B$77,CU$3&lt;EDATE($B$76,MAX(1,'Вводные'!$H$91)),'Вводные'!$B$91="Да")</x:f>
      </x:c>
      <x:c r="CV78" t="n">
        <x:f>--AND(CV$3&gt;=$B$76,CV$3&lt;$B$77,CV$3&lt;EDATE($B$76,MAX(1,'Вводные'!$H$91)),'Вводные'!$B$91="Да")</x:f>
      </x:c>
      <x:c r="CW78" t="n">
        <x:f>--AND(CW$3&gt;=$B$76,CW$3&lt;$B$77,CW$3&lt;EDATE($B$76,MAX(1,'Вводные'!$H$91)),'Вводные'!$B$91="Да")</x:f>
      </x:c>
      <x:c r="CX78" t="n">
        <x:f>--AND(CX$3&gt;=$B$76,CX$3&lt;$B$77,CX$3&lt;EDATE($B$76,MAX(1,'Вводные'!$H$91)),'Вводные'!$B$91="Да")</x:f>
      </x:c>
      <x:c r="CY78" t="n">
        <x:f>--AND(CY$3&gt;=$B$76,CY$3&lt;$B$77,CY$3&lt;EDATE($B$76,MAX(1,'Вводные'!$H$91)),'Вводные'!$B$91="Да")</x:f>
      </x:c>
      <x:c r="CZ78" t="n">
        <x:f>--AND(CZ$3&gt;=$B$76,CZ$3&lt;$B$77,CZ$3&lt;EDATE($B$76,MAX(1,'Вводные'!$H$91)),'Вводные'!$B$91="Да")</x:f>
      </x:c>
      <x:c r="DA78" t="n">
        <x:f>--AND(DA$3&gt;=$B$76,DA$3&lt;$B$77,DA$3&lt;EDATE($B$76,MAX(1,'Вводные'!$H$91)),'Вводные'!$B$91="Да")</x:f>
      </x:c>
      <x:c r="DB78" t="n">
        <x:f>--AND(DB$3&gt;=$B$76,DB$3&lt;$B$77,DB$3&lt;EDATE($B$76,MAX(1,'Вводные'!$H$91)),'Вводные'!$B$91="Да")</x:f>
      </x:c>
      <x:c r="DC78" t="n">
        <x:f>--AND(DC$3&gt;=$B$76,DC$3&lt;$B$77,DC$3&lt;EDATE($B$76,MAX(1,'Вводные'!$H$91)),'Вводные'!$B$91="Да")</x:f>
      </x:c>
      <x:c r="DD78" t="n">
        <x:f>--AND(DD$3&gt;=$B$76,DD$3&lt;$B$77,DD$3&lt;EDATE($B$76,MAX(1,'Вводные'!$H$91)),'Вводные'!$B$91="Да")</x:f>
      </x:c>
      <x:c r="DE78" t="n">
        <x:f>--AND(DE$3&gt;=$B$76,DE$3&lt;$B$77,DE$3&lt;EDATE($B$76,MAX(1,'Вводные'!$H$91)),'Вводные'!$B$91="Да")</x:f>
      </x:c>
      <x:c r="DF78" t="n">
        <x:f>--AND(DF$3&gt;=$B$76,DF$3&lt;$B$77,DF$3&lt;EDATE($B$76,MAX(1,'Вводные'!$H$91)),'Вводные'!$B$91="Да")</x:f>
      </x:c>
      <x:c r="DG78" t="n">
        <x:f>--AND(DG$3&gt;=$B$76,DG$3&lt;$B$77,DG$3&lt;EDATE($B$76,MAX(1,'Вводные'!$H$91)),'Вводные'!$B$91="Да")</x:f>
      </x:c>
      <x:c r="DH78" t="n">
        <x:f>--AND(DH$3&gt;=$B$76,DH$3&lt;$B$77,DH$3&lt;EDATE($B$76,MAX(1,'Вводные'!$H$91)),'Вводные'!$B$91="Да")</x:f>
      </x:c>
      <x:c r="DI78" t="n">
        <x:f>--AND(DI$3&gt;=$B$76,DI$3&lt;$B$77,DI$3&lt;EDATE($B$76,MAX(1,'Вводные'!$H$91)),'Вводные'!$B$91="Да")</x:f>
      </x:c>
      <x:c r="DJ78" t="n">
        <x:f>--AND(DJ$3&gt;=$B$76,DJ$3&lt;$B$77,DJ$3&lt;EDATE($B$76,MAX(1,'Вводные'!$H$91)),'Вводные'!$B$91="Да")</x:f>
      </x:c>
      <x:c r="DK78" t="n">
        <x:f>--AND(DK$3&gt;=$B$76,DK$3&lt;$B$77,DK$3&lt;EDATE($B$76,MAX(1,'Вводные'!$H$91)),'Вводные'!$B$91="Да")</x:f>
      </x:c>
      <x:c r="DL78" t="n">
        <x:f>--AND(DL$3&gt;=$B$76,DL$3&lt;$B$77,DL$3&lt;EDATE($B$76,MAX(1,'Вводные'!$H$91)),'Вводные'!$B$91="Да")</x:f>
      </x:c>
      <x:c r="DM78" t="n">
        <x:f>--AND(DM$3&gt;=$B$76,DM$3&lt;$B$77,DM$3&lt;EDATE($B$76,MAX(1,'Вводные'!$H$91)),'Вводные'!$B$91="Да")</x:f>
      </x:c>
      <x:c r="DN78" t="n">
        <x:f>--AND(DN$3&gt;=$B$76,DN$3&lt;$B$77,DN$3&lt;EDATE($B$76,MAX(1,'Вводные'!$H$91)),'Вводные'!$B$91="Да")</x:f>
      </x:c>
      <x:c r="DO78" t="n">
        <x:f>--AND(DO$3&gt;=$B$76,DO$3&lt;$B$77,DO$3&lt;EDATE($B$76,MAX(1,'Вводные'!$H$91)),'Вводные'!$B$91="Да")</x:f>
      </x:c>
      <x:c r="DP78" t="n">
        <x:f>--AND(DP$3&gt;=$B$76,DP$3&lt;$B$77,DP$3&lt;EDATE($B$76,MAX(1,'Вводные'!$H$91)),'Вводные'!$B$91="Да")</x:f>
      </x:c>
      <x:c r="DQ78" t="n">
        <x:f>--AND(DQ$3&gt;=$B$76,DQ$3&lt;$B$77,DQ$3&lt;EDATE($B$76,MAX(1,'Вводные'!$H$91)),'Вводные'!$B$91="Да")</x:f>
      </x:c>
      <x:c r="DR78" t="n">
        <x:f>--AND(DR$3&gt;=$B$76,DR$3&lt;$B$77,DR$3&lt;EDATE($B$76,MAX(1,'Вводные'!$H$91)),'Вводные'!$B$91="Да")</x:f>
      </x:c>
      <x:c r="DS78" t="n">
        <x:f>--AND(DS$3&gt;=$B$76,DS$3&lt;$B$77,DS$3&lt;EDATE($B$76,MAX(1,'Вводные'!$H$91)),'Вводные'!$B$91="Да")</x:f>
      </x:c>
    </x:row>
    <x:row r="79">
      <x:c r="A79" t="str">
        <x:v>Вес темпа продаж</x:v>
      </x:c>
      <x:c r="B79"/>
      <x:c r="C79" t="str">
        <x:v>вес</x:v>
      </x:c>
      <x:c r="D79" t="n">
        <x:f>IF(AND(D$3&gt;=$B$76,D$3&lt;EDATE($B$76,MAX(1,'Вводные'!$H$91)),'Вводные'!$B$91="Да"),(1+'Вводные'!$AD$91*'Вводные'!$H$7)^MAX(0,(12*(YEAR(D$3)-YEAR($B$76))+MONTH(D$3)-MONTH($B$76)))*(1+IF(MONTH(D$3)=1,'Вводные'!$B$67,IF(AND(MONTH(D$3)&gt;=5,MONTH(D$3)&lt;=8),'Вводные'!$B$70,0))),0)</x:f>
      </x:c>
      <x:c r="E79" t="n">
        <x:f>IF(AND(E$3&gt;=$B$76,E$3&lt;EDATE($B$76,MAX(1,'Вводные'!$H$91)),'Вводные'!$B$91="Да"),(1+'Вводные'!$AD$91*'Вводные'!$H$7)^MAX(0,(12*(YEAR(E$3)-YEAR($B$76))+MONTH(E$3)-MONTH($B$76)))*(1+IF(MONTH(E$3)=1,'Вводные'!$B$67,IF(AND(MONTH(E$3)&gt;=5,MONTH(E$3)&lt;=8),'Вводные'!$B$70,0))),0)</x:f>
      </x:c>
      <x:c r="F79" t="n">
        <x:f>IF(AND(F$3&gt;=$B$76,F$3&lt;EDATE($B$76,MAX(1,'Вводные'!$H$91)),'Вводные'!$B$91="Да"),(1+'Вводные'!$AD$91*'Вводные'!$H$7)^MAX(0,(12*(YEAR(F$3)-YEAR($B$76))+MONTH(F$3)-MONTH($B$76)))*(1+IF(MONTH(F$3)=1,'Вводные'!$B$67,IF(AND(MONTH(F$3)&gt;=5,MONTH(F$3)&lt;=8),'Вводные'!$B$70,0))),0)</x:f>
      </x:c>
      <x:c r="G79" t="n">
        <x:f>IF(AND(G$3&gt;=$B$76,G$3&lt;EDATE($B$76,MAX(1,'Вводные'!$H$91)),'Вводные'!$B$91="Да"),(1+'Вводные'!$AD$91*'Вводные'!$H$7)^MAX(0,(12*(YEAR(G$3)-YEAR($B$76))+MONTH(G$3)-MONTH($B$76)))*(1+IF(MONTH(G$3)=1,'Вводные'!$B$67,IF(AND(MONTH(G$3)&gt;=5,MONTH(G$3)&lt;=8),'Вводные'!$B$70,0))),0)</x:f>
      </x:c>
      <x:c r="H79" t="n">
        <x:f>IF(AND(H$3&gt;=$B$76,H$3&lt;EDATE($B$76,MAX(1,'Вводные'!$H$91)),'Вводные'!$B$91="Да"),(1+'Вводные'!$AD$91*'Вводные'!$H$7)^MAX(0,(12*(YEAR(H$3)-YEAR($B$76))+MONTH(H$3)-MONTH($B$76)))*(1+IF(MONTH(H$3)=1,'Вводные'!$B$67,IF(AND(MONTH(H$3)&gt;=5,MONTH(H$3)&lt;=8),'Вводные'!$B$70,0))),0)</x:f>
      </x:c>
      <x:c r="I79" t="n">
        <x:f>IF(AND(I$3&gt;=$B$76,I$3&lt;EDATE($B$76,MAX(1,'Вводные'!$H$91)),'Вводные'!$B$91="Да"),(1+'Вводные'!$AD$91*'Вводные'!$H$7)^MAX(0,(12*(YEAR(I$3)-YEAR($B$76))+MONTH(I$3)-MONTH($B$76)))*(1+IF(MONTH(I$3)=1,'Вводные'!$B$67,IF(AND(MONTH(I$3)&gt;=5,MONTH(I$3)&lt;=8),'Вводные'!$B$70,0))),0)</x:f>
      </x:c>
      <x:c r="J79" t="n">
        <x:f>IF(AND(J$3&gt;=$B$76,J$3&lt;EDATE($B$76,MAX(1,'Вводные'!$H$91)),'Вводные'!$B$91="Да"),(1+'Вводные'!$AD$91*'Вводные'!$H$7)^MAX(0,(12*(YEAR(J$3)-YEAR($B$76))+MONTH(J$3)-MONTH($B$76)))*(1+IF(MONTH(J$3)=1,'Вводные'!$B$67,IF(AND(MONTH(J$3)&gt;=5,MONTH(J$3)&lt;=8),'Вводные'!$B$70,0))),0)</x:f>
      </x:c>
      <x:c r="K79" t="n">
        <x:f>IF(AND(K$3&gt;=$B$76,K$3&lt;EDATE($B$76,MAX(1,'Вводные'!$H$91)),'Вводные'!$B$91="Да"),(1+'Вводные'!$AD$91*'Вводные'!$H$7)^MAX(0,(12*(YEAR(K$3)-YEAR($B$76))+MONTH(K$3)-MONTH($B$76)))*(1+IF(MONTH(K$3)=1,'Вводные'!$B$67,IF(AND(MONTH(K$3)&gt;=5,MONTH(K$3)&lt;=8),'Вводные'!$B$70,0))),0)</x:f>
      </x:c>
      <x:c r="L79" t="n">
        <x:f>IF(AND(L$3&gt;=$B$76,L$3&lt;EDATE($B$76,MAX(1,'Вводные'!$H$91)),'Вводные'!$B$91="Да"),(1+'Вводные'!$AD$91*'Вводные'!$H$7)^MAX(0,(12*(YEAR(L$3)-YEAR($B$76))+MONTH(L$3)-MONTH($B$76)))*(1+IF(MONTH(L$3)=1,'Вводные'!$B$67,IF(AND(MONTH(L$3)&gt;=5,MONTH(L$3)&lt;=8),'Вводные'!$B$70,0))),0)</x:f>
      </x:c>
      <x:c r="M79" t="n">
        <x:f>IF(AND(M$3&gt;=$B$76,M$3&lt;EDATE($B$76,MAX(1,'Вводные'!$H$91)),'Вводные'!$B$91="Да"),(1+'Вводные'!$AD$91*'Вводные'!$H$7)^MAX(0,(12*(YEAR(M$3)-YEAR($B$76))+MONTH(M$3)-MONTH($B$76)))*(1+IF(MONTH(M$3)=1,'Вводные'!$B$67,IF(AND(MONTH(M$3)&gt;=5,MONTH(M$3)&lt;=8),'Вводные'!$B$70,0))),0)</x:f>
      </x:c>
      <x:c r="N79" t="n">
        <x:f>IF(AND(N$3&gt;=$B$76,N$3&lt;EDATE($B$76,MAX(1,'Вводные'!$H$91)),'Вводные'!$B$91="Да"),(1+'Вводные'!$AD$91*'Вводные'!$H$7)^MAX(0,(12*(YEAR(N$3)-YEAR($B$76))+MONTH(N$3)-MONTH($B$76)))*(1+IF(MONTH(N$3)=1,'Вводные'!$B$67,IF(AND(MONTH(N$3)&gt;=5,MONTH(N$3)&lt;=8),'Вводные'!$B$70,0))),0)</x:f>
      </x:c>
      <x:c r="O79" t="n">
        <x:f>IF(AND(O$3&gt;=$B$76,O$3&lt;EDATE($B$76,MAX(1,'Вводные'!$H$91)),'Вводные'!$B$91="Да"),(1+'Вводные'!$AD$91*'Вводные'!$H$7)^MAX(0,(12*(YEAR(O$3)-YEAR($B$76))+MONTH(O$3)-MONTH($B$76)))*(1+IF(MONTH(O$3)=1,'Вводные'!$B$67,IF(AND(MONTH(O$3)&gt;=5,MONTH(O$3)&lt;=8),'Вводные'!$B$70,0))),0)</x:f>
      </x:c>
      <x:c r="P79" t="n">
        <x:f>IF(AND(P$3&gt;=$B$76,P$3&lt;EDATE($B$76,MAX(1,'Вводные'!$H$91)),'Вводные'!$B$91="Да"),(1+'Вводные'!$AD$91*'Вводные'!$H$7)^MAX(0,(12*(YEAR(P$3)-YEAR($B$76))+MONTH(P$3)-MONTH($B$76)))*(1+IF(MONTH(P$3)=1,'Вводные'!$B$67,IF(AND(MONTH(P$3)&gt;=5,MONTH(P$3)&lt;=8),'Вводные'!$B$70,0))),0)</x:f>
      </x:c>
      <x:c r="Q79" t="n">
        <x:f>IF(AND(Q$3&gt;=$B$76,Q$3&lt;EDATE($B$76,MAX(1,'Вводные'!$H$91)),'Вводные'!$B$91="Да"),(1+'Вводные'!$AD$91*'Вводные'!$H$7)^MAX(0,(12*(YEAR(Q$3)-YEAR($B$76))+MONTH(Q$3)-MONTH($B$76)))*(1+IF(MONTH(Q$3)=1,'Вводные'!$B$67,IF(AND(MONTH(Q$3)&gt;=5,MONTH(Q$3)&lt;=8),'Вводные'!$B$70,0))),0)</x:f>
      </x:c>
      <x:c r="R79" t="n">
        <x:f>IF(AND(R$3&gt;=$B$76,R$3&lt;EDATE($B$76,MAX(1,'Вводные'!$H$91)),'Вводные'!$B$91="Да"),(1+'Вводные'!$AD$91*'Вводные'!$H$7)^MAX(0,(12*(YEAR(R$3)-YEAR($B$76))+MONTH(R$3)-MONTH($B$76)))*(1+IF(MONTH(R$3)=1,'Вводные'!$B$67,IF(AND(MONTH(R$3)&gt;=5,MONTH(R$3)&lt;=8),'Вводные'!$B$70,0))),0)</x:f>
      </x:c>
      <x:c r="S79" t="n">
        <x:f>IF(AND(S$3&gt;=$B$76,S$3&lt;EDATE($B$76,MAX(1,'Вводные'!$H$91)),'Вводные'!$B$91="Да"),(1+'Вводные'!$AD$91*'Вводные'!$H$7)^MAX(0,(12*(YEAR(S$3)-YEAR($B$76))+MONTH(S$3)-MONTH($B$76)))*(1+IF(MONTH(S$3)=1,'Вводные'!$B$67,IF(AND(MONTH(S$3)&gt;=5,MONTH(S$3)&lt;=8),'Вводные'!$B$70,0))),0)</x:f>
      </x:c>
      <x:c r="T79" t="n">
        <x:f>IF(AND(T$3&gt;=$B$76,T$3&lt;EDATE($B$76,MAX(1,'Вводные'!$H$91)),'Вводные'!$B$91="Да"),(1+'Вводные'!$AD$91*'Вводные'!$H$7)^MAX(0,(12*(YEAR(T$3)-YEAR($B$76))+MONTH(T$3)-MONTH($B$76)))*(1+IF(MONTH(T$3)=1,'Вводные'!$B$67,IF(AND(MONTH(T$3)&gt;=5,MONTH(T$3)&lt;=8),'Вводные'!$B$70,0))),0)</x:f>
      </x:c>
      <x:c r="U79" t="n">
        <x:f>IF(AND(U$3&gt;=$B$76,U$3&lt;EDATE($B$76,MAX(1,'Вводные'!$H$91)),'Вводные'!$B$91="Да"),(1+'Вводные'!$AD$91*'Вводные'!$H$7)^MAX(0,(12*(YEAR(U$3)-YEAR($B$76))+MONTH(U$3)-MONTH($B$76)))*(1+IF(MONTH(U$3)=1,'Вводные'!$B$67,IF(AND(MONTH(U$3)&gt;=5,MONTH(U$3)&lt;=8),'Вводные'!$B$70,0))),0)</x:f>
      </x:c>
      <x:c r="V79" t="n">
        <x:f>IF(AND(V$3&gt;=$B$76,V$3&lt;EDATE($B$76,MAX(1,'Вводные'!$H$91)),'Вводные'!$B$91="Да"),(1+'Вводные'!$AD$91*'Вводные'!$H$7)^MAX(0,(12*(YEAR(V$3)-YEAR($B$76))+MONTH(V$3)-MONTH($B$76)))*(1+IF(MONTH(V$3)=1,'Вводные'!$B$67,IF(AND(MONTH(V$3)&gt;=5,MONTH(V$3)&lt;=8),'Вводные'!$B$70,0))),0)</x:f>
      </x:c>
      <x:c r="W79" t="n">
        <x:f>IF(AND(W$3&gt;=$B$76,W$3&lt;EDATE($B$76,MAX(1,'Вводные'!$H$91)),'Вводные'!$B$91="Да"),(1+'Вводные'!$AD$91*'Вводные'!$H$7)^MAX(0,(12*(YEAR(W$3)-YEAR($B$76))+MONTH(W$3)-MONTH($B$76)))*(1+IF(MONTH(W$3)=1,'Вводные'!$B$67,IF(AND(MONTH(W$3)&gt;=5,MONTH(W$3)&lt;=8),'Вводные'!$B$70,0))),0)</x:f>
      </x:c>
      <x:c r="X79" t="n">
        <x:f>IF(AND(X$3&gt;=$B$76,X$3&lt;EDATE($B$76,MAX(1,'Вводные'!$H$91)),'Вводные'!$B$91="Да"),(1+'Вводные'!$AD$91*'Вводные'!$H$7)^MAX(0,(12*(YEAR(X$3)-YEAR($B$76))+MONTH(X$3)-MONTH($B$76)))*(1+IF(MONTH(X$3)=1,'Вводные'!$B$67,IF(AND(MONTH(X$3)&gt;=5,MONTH(X$3)&lt;=8),'Вводные'!$B$70,0))),0)</x:f>
      </x:c>
      <x:c r="Y79" t="n">
        <x:f>IF(AND(Y$3&gt;=$B$76,Y$3&lt;EDATE($B$76,MAX(1,'Вводные'!$H$91)),'Вводные'!$B$91="Да"),(1+'Вводные'!$AD$91*'Вводные'!$H$7)^MAX(0,(12*(YEAR(Y$3)-YEAR($B$76))+MONTH(Y$3)-MONTH($B$76)))*(1+IF(MONTH(Y$3)=1,'Вводные'!$B$67,IF(AND(MONTH(Y$3)&gt;=5,MONTH(Y$3)&lt;=8),'Вводные'!$B$70,0))),0)</x:f>
      </x:c>
      <x:c r="Z79" t="n">
        <x:f>IF(AND(Z$3&gt;=$B$76,Z$3&lt;EDATE($B$76,MAX(1,'Вводные'!$H$91)),'Вводные'!$B$91="Да"),(1+'Вводные'!$AD$91*'Вводные'!$H$7)^MAX(0,(12*(YEAR(Z$3)-YEAR($B$76))+MONTH(Z$3)-MONTH($B$76)))*(1+IF(MONTH(Z$3)=1,'Вводные'!$B$67,IF(AND(MONTH(Z$3)&gt;=5,MONTH(Z$3)&lt;=8),'Вводные'!$B$70,0))),0)</x:f>
      </x:c>
      <x:c r="AA79" t="n">
        <x:f>IF(AND(AA$3&gt;=$B$76,AA$3&lt;EDATE($B$76,MAX(1,'Вводные'!$H$91)),'Вводные'!$B$91="Да"),(1+'Вводные'!$AD$91*'Вводные'!$H$7)^MAX(0,(12*(YEAR(AA$3)-YEAR($B$76))+MONTH(AA$3)-MONTH($B$76)))*(1+IF(MONTH(AA$3)=1,'Вводные'!$B$67,IF(AND(MONTH(AA$3)&gt;=5,MONTH(AA$3)&lt;=8),'Вводные'!$B$70,0))),0)</x:f>
      </x:c>
      <x:c r="AB79" t="n">
        <x:f>IF(AND(AB$3&gt;=$B$76,AB$3&lt;EDATE($B$76,MAX(1,'Вводные'!$H$91)),'Вводные'!$B$91="Да"),(1+'Вводные'!$AD$91*'Вводные'!$H$7)^MAX(0,(12*(YEAR(AB$3)-YEAR($B$76))+MONTH(AB$3)-MONTH($B$76)))*(1+IF(MONTH(AB$3)=1,'Вводные'!$B$67,IF(AND(MONTH(AB$3)&gt;=5,MONTH(AB$3)&lt;=8),'Вводные'!$B$70,0))),0)</x:f>
      </x:c>
      <x:c r="AC79" t="n">
        <x:f>IF(AND(AC$3&gt;=$B$76,AC$3&lt;EDATE($B$76,MAX(1,'Вводные'!$H$91)),'Вводные'!$B$91="Да"),(1+'Вводные'!$AD$91*'Вводные'!$H$7)^MAX(0,(12*(YEAR(AC$3)-YEAR($B$76))+MONTH(AC$3)-MONTH($B$76)))*(1+IF(MONTH(AC$3)=1,'Вводные'!$B$67,IF(AND(MONTH(AC$3)&gt;=5,MONTH(AC$3)&lt;=8),'Вводные'!$B$70,0))),0)</x:f>
      </x:c>
      <x:c r="AD79" t="n">
        <x:f>IF(AND(AD$3&gt;=$B$76,AD$3&lt;EDATE($B$76,MAX(1,'Вводные'!$H$91)),'Вводные'!$B$91="Да"),(1+'Вводные'!$AD$91*'Вводные'!$H$7)^MAX(0,(12*(YEAR(AD$3)-YEAR($B$76))+MONTH(AD$3)-MONTH($B$76)))*(1+IF(MONTH(AD$3)=1,'Вводные'!$B$67,IF(AND(MONTH(AD$3)&gt;=5,MONTH(AD$3)&lt;=8),'Вводные'!$B$70,0))),0)</x:f>
      </x:c>
      <x:c r="AE79" t="n">
        <x:f>IF(AND(AE$3&gt;=$B$76,AE$3&lt;EDATE($B$76,MAX(1,'Вводные'!$H$91)),'Вводные'!$B$91="Да"),(1+'Вводные'!$AD$91*'Вводные'!$H$7)^MAX(0,(12*(YEAR(AE$3)-YEAR($B$76))+MONTH(AE$3)-MONTH($B$76)))*(1+IF(MONTH(AE$3)=1,'Вводные'!$B$67,IF(AND(MONTH(AE$3)&gt;=5,MONTH(AE$3)&lt;=8),'Вводные'!$B$70,0))),0)</x:f>
      </x:c>
      <x:c r="AF79" t="n">
        <x:f>IF(AND(AF$3&gt;=$B$76,AF$3&lt;EDATE($B$76,MAX(1,'Вводные'!$H$91)),'Вводные'!$B$91="Да"),(1+'Вводные'!$AD$91*'Вводные'!$H$7)^MAX(0,(12*(YEAR(AF$3)-YEAR($B$76))+MONTH(AF$3)-MONTH($B$76)))*(1+IF(MONTH(AF$3)=1,'Вводные'!$B$67,IF(AND(MONTH(AF$3)&gt;=5,MONTH(AF$3)&lt;=8),'Вводные'!$B$70,0))),0)</x:f>
      </x:c>
      <x:c r="AG79" t="n">
        <x:f>IF(AND(AG$3&gt;=$B$76,AG$3&lt;EDATE($B$76,MAX(1,'Вводные'!$H$91)),'Вводные'!$B$91="Да"),(1+'Вводные'!$AD$91*'Вводные'!$H$7)^MAX(0,(12*(YEAR(AG$3)-YEAR($B$76))+MONTH(AG$3)-MONTH($B$76)))*(1+IF(MONTH(AG$3)=1,'Вводные'!$B$67,IF(AND(MONTH(AG$3)&gt;=5,MONTH(AG$3)&lt;=8),'Вводные'!$B$70,0))),0)</x:f>
      </x:c>
      <x:c r="AH79" t="n">
        <x:f>IF(AND(AH$3&gt;=$B$76,AH$3&lt;EDATE($B$76,MAX(1,'Вводные'!$H$91)),'Вводные'!$B$91="Да"),(1+'Вводные'!$AD$91*'Вводные'!$H$7)^MAX(0,(12*(YEAR(AH$3)-YEAR($B$76))+MONTH(AH$3)-MONTH($B$76)))*(1+IF(MONTH(AH$3)=1,'Вводные'!$B$67,IF(AND(MONTH(AH$3)&gt;=5,MONTH(AH$3)&lt;=8),'Вводные'!$B$70,0))),0)</x:f>
      </x:c>
      <x:c r="AI79" t="n">
        <x:f>IF(AND(AI$3&gt;=$B$76,AI$3&lt;EDATE($B$76,MAX(1,'Вводные'!$H$91)),'Вводные'!$B$91="Да"),(1+'Вводные'!$AD$91*'Вводные'!$H$7)^MAX(0,(12*(YEAR(AI$3)-YEAR($B$76))+MONTH(AI$3)-MONTH($B$76)))*(1+IF(MONTH(AI$3)=1,'Вводные'!$B$67,IF(AND(MONTH(AI$3)&gt;=5,MONTH(AI$3)&lt;=8),'Вводные'!$B$70,0))),0)</x:f>
      </x:c>
      <x:c r="AJ79" t="n">
        <x:f>IF(AND(AJ$3&gt;=$B$76,AJ$3&lt;EDATE($B$76,MAX(1,'Вводные'!$H$91)),'Вводные'!$B$91="Да"),(1+'Вводные'!$AD$91*'Вводные'!$H$7)^MAX(0,(12*(YEAR(AJ$3)-YEAR($B$76))+MONTH(AJ$3)-MONTH($B$76)))*(1+IF(MONTH(AJ$3)=1,'Вводные'!$B$67,IF(AND(MONTH(AJ$3)&gt;=5,MONTH(AJ$3)&lt;=8),'Вводные'!$B$70,0))),0)</x:f>
      </x:c>
      <x:c r="AK79" t="n">
        <x:f>IF(AND(AK$3&gt;=$B$76,AK$3&lt;EDATE($B$76,MAX(1,'Вводные'!$H$91)),'Вводные'!$B$91="Да"),(1+'Вводные'!$AD$91*'Вводные'!$H$7)^MAX(0,(12*(YEAR(AK$3)-YEAR($B$76))+MONTH(AK$3)-MONTH($B$76)))*(1+IF(MONTH(AK$3)=1,'Вводные'!$B$67,IF(AND(MONTH(AK$3)&gt;=5,MONTH(AK$3)&lt;=8),'Вводные'!$B$70,0))),0)</x:f>
      </x:c>
      <x:c r="AL79" t="n">
        <x:f>IF(AND(AL$3&gt;=$B$76,AL$3&lt;EDATE($B$76,MAX(1,'Вводные'!$H$91)),'Вводные'!$B$91="Да"),(1+'Вводные'!$AD$91*'Вводные'!$H$7)^MAX(0,(12*(YEAR(AL$3)-YEAR($B$76))+MONTH(AL$3)-MONTH($B$76)))*(1+IF(MONTH(AL$3)=1,'Вводные'!$B$67,IF(AND(MONTH(AL$3)&gt;=5,MONTH(AL$3)&lt;=8),'Вводные'!$B$70,0))),0)</x:f>
      </x:c>
      <x:c r="AM79" t="n">
        <x:f>IF(AND(AM$3&gt;=$B$76,AM$3&lt;EDATE($B$76,MAX(1,'Вводные'!$H$91)),'Вводные'!$B$91="Да"),(1+'Вводные'!$AD$91*'Вводные'!$H$7)^MAX(0,(12*(YEAR(AM$3)-YEAR($B$76))+MONTH(AM$3)-MONTH($B$76)))*(1+IF(MONTH(AM$3)=1,'Вводные'!$B$67,IF(AND(MONTH(AM$3)&gt;=5,MONTH(AM$3)&lt;=8),'Вводные'!$B$70,0))),0)</x:f>
      </x:c>
      <x:c r="AN79" t="n">
        <x:f>IF(AND(AN$3&gt;=$B$76,AN$3&lt;EDATE($B$76,MAX(1,'Вводные'!$H$91)),'Вводные'!$B$91="Да"),(1+'Вводные'!$AD$91*'Вводные'!$H$7)^MAX(0,(12*(YEAR(AN$3)-YEAR($B$76))+MONTH(AN$3)-MONTH($B$76)))*(1+IF(MONTH(AN$3)=1,'Вводные'!$B$67,IF(AND(MONTH(AN$3)&gt;=5,MONTH(AN$3)&lt;=8),'Вводные'!$B$70,0))),0)</x:f>
      </x:c>
      <x:c r="AO79" t="n">
        <x:f>IF(AND(AO$3&gt;=$B$76,AO$3&lt;EDATE($B$76,MAX(1,'Вводные'!$H$91)),'Вводные'!$B$91="Да"),(1+'Вводные'!$AD$91*'Вводные'!$H$7)^MAX(0,(12*(YEAR(AO$3)-YEAR($B$76))+MONTH(AO$3)-MONTH($B$76)))*(1+IF(MONTH(AO$3)=1,'Вводные'!$B$67,IF(AND(MONTH(AO$3)&gt;=5,MONTH(AO$3)&lt;=8),'Вводные'!$B$70,0))),0)</x:f>
      </x:c>
      <x:c r="AP79" t="n">
        <x:f>IF(AND(AP$3&gt;=$B$76,AP$3&lt;EDATE($B$76,MAX(1,'Вводные'!$H$91)),'Вводные'!$B$91="Да"),(1+'Вводные'!$AD$91*'Вводные'!$H$7)^MAX(0,(12*(YEAR(AP$3)-YEAR($B$76))+MONTH(AP$3)-MONTH($B$76)))*(1+IF(MONTH(AP$3)=1,'Вводные'!$B$67,IF(AND(MONTH(AP$3)&gt;=5,MONTH(AP$3)&lt;=8),'Вводные'!$B$70,0))),0)</x:f>
      </x:c>
      <x:c r="AQ79" t="n">
        <x:f>IF(AND(AQ$3&gt;=$B$76,AQ$3&lt;EDATE($B$76,MAX(1,'Вводные'!$H$91)),'Вводные'!$B$91="Да"),(1+'Вводные'!$AD$91*'Вводные'!$H$7)^MAX(0,(12*(YEAR(AQ$3)-YEAR($B$76))+MONTH(AQ$3)-MONTH($B$76)))*(1+IF(MONTH(AQ$3)=1,'Вводные'!$B$67,IF(AND(MONTH(AQ$3)&gt;=5,MONTH(AQ$3)&lt;=8),'Вводные'!$B$70,0))),0)</x:f>
      </x:c>
      <x:c r="AR79" t="n">
        <x:f>IF(AND(AR$3&gt;=$B$76,AR$3&lt;EDATE($B$76,MAX(1,'Вводные'!$H$91)),'Вводные'!$B$91="Да"),(1+'Вводные'!$AD$91*'Вводные'!$H$7)^MAX(0,(12*(YEAR(AR$3)-YEAR($B$76))+MONTH(AR$3)-MONTH($B$76)))*(1+IF(MONTH(AR$3)=1,'Вводные'!$B$67,IF(AND(MONTH(AR$3)&gt;=5,MONTH(AR$3)&lt;=8),'Вводные'!$B$70,0))),0)</x:f>
      </x:c>
      <x:c r="AS79" t="n">
        <x:f>IF(AND(AS$3&gt;=$B$76,AS$3&lt;EDATE($B$76,MAX(1,'Вводные'!$H$91)),'Вводные'!$B$91="Да"),(1+'Вводные'!$AD$91*'Вводные'!$H$7)^MAX(0,(12*(YEAR(AS$3)-YEAR($B$76))+MONTH(AS$3)-MONTH($B$76)))*(1+IF(MONTH(AS$3)=1,'Вводные'!$B$67,IF(AND(MONTH(AS$3)&gt;=5,MONTH(AS$3)&lt;=8),'Вводные'!$B$70,0))),0)</x:f>
      </x:c>
      <x:c r="AT79" t="n">
        <x:f>IF(AND(AT$3&gt;=$B$76,AT$3&lt;EDATE($B$76,MAX(1,'Вводные'!$H$91)),'Вводные'!$B$91="Да"),(1+'Вводные'!$AD$91*'Вводные'!$H$7)^MAX(0,(12*(YEAR(AT$3)-YEAR($B$76))+MONTH(AT$3)-MONTH($B$76)))*(1+IF(MONTH(AT$3)=1,'Вводные'!$B$67,IF(AND(MONTH(AT$3)&gt;=5,MONTH(AT$3)&lt;=8),'Вводные'!$B$70,0))),0)</x:f>
      </x:c>
      <x:c r="AU79" t="n">
        <x:f>IF(AND(AU$3&gt;=$B$76,AU$3&lt;EDATE($B$76,MAX(1,'Вводные'!$H$91)),'Вводные'!$B$91="Да"),(1+'Вводные'!$AD$91*'Вводные'!$H$7)^MAX(0,(12*(YEAR(AU$3)-YEAR($B$76))+MONTH(AU$3)-MONTH($B$76)))*(1+IF(MONTH(AU$3)=1,'Вводные'!$B$67,IF(AND(MONTH(AU$3)&gt;=5,MONTH(AU$3)&lt;=8),'Вводные'!$B$70,0))),0)</x:f>
      </x:c>
      <x:c r="AV79" t="n">
        <x:f>IF(AND(AV$3&gt;=$B$76,AV$3&lt;EDATE($B$76,MAX(1,'Вводные'!$H$91)),'Вводные'!$B$91="Да"),(1+'Вводные'!$AD$91*'Вводные'!$H$7)^MAX(0,(12*(YEAR(AV$3)-YEAR($B$76))+MONTH(AV$3)-MONTH($B$76)))*(1+IF(MONTH(AV$3)=1,'Вводные'!$B$67,IF(AND(MONTH(AV$3)&gt;=5,MONTH(AV$3)&lt;=8),'Вводные'!$B$70,0))),0)</x:f>
      </x:c>
      <x:c r="AW79" t="n">
        <x:f>IF(AND(AW$3&gt;=$B$76,AW$3&lt;EDATE($B$76,MAX(1,'Вводные'!$H$91)),'Вводные'!$B$91="Да"),(1+'Вводные'!$AD$91*'Вводные'!$H$7)^MAX(0,(12*(YEAR(AW$3)-YEAR($B$76))+MONTH(AW$3)-MONTH($B$76)))*(1+IF(MONTH(AW$3)=1,'Вводные'!$B$67,IF(AND(MONTH(AW$3)&gt;=5,MONTH(AW$3)&lt;=8),'Вводные'!$B$70,0))),0)</x:f>
      </x:c>
      <x:c r="AX79" t="n">
        <x:f>IF(AND(AX$3&gt;=$B$76,AX$3&lt;EDATE($B$76,MAX(1,'Вводные'!$H$91)),'Вводные'!$B$91="Да"),(1+'Вводные'!$AD$91*'Вводные'!$H$7)^MAX(0,(12*(YEAR(AX$3)-YEAR($B$76))+MONTH(AX$3)-MONTH($B$76)))*(1+IF(MONTH(AX$3)=1,'Вводные'!$B$67,IF(AND(MONTH(AX$3)&gt;=5,MONTH(AX$3)&lt;=8),'Вводные'!$B$70,0))),0)</x:f>
      </x:c>
      <x:c r="AY79" t="n">
        <x:f>IF(AND(AY$3&gt;=$B$76,AY$3&lt;EDATE($B$76,MAX(1,'Вводные'!$H$91)),'Вводные'!$B$91="Да"),(1+'Вводные'!$AD$91*'Вводные'!$H$7)^MAX(0,(12*(YEAR(AY$3)-YEAR($B$76))+MONTH(AY$3)-MONTH($B$76)))*(1+IF(MONTH(AY$3)=1,'Вводные'!$B$67,IF(AND(MONTH(AY$3)&gt;=5,MONTH(AY$3)&lt;=8),'Вводные'!$B$70,0))),0)</x:f>
      </x:c>
      <x:c r="AZ79" t="n">
        <x:f>IF(AND(AZ$3&gt;=$B$76,AZ$3&lt;EDATE($B$76,MAX(1,'Вводные'!$H$91)),'Вводные'!$B$91="Да"),(1+'Вводные'!$AD$91*'Вводные'!$H$7)^MAX(0,(12*(YEAR(AZ$3)-YEAR($B$76))+MONTH(AZ$3)-MONTH($B$76)))*(1+IF(MONTH(AZ$3)=1,'Вводные'!$B$67,IF(AND(MONTH(AZ$3)&gt;=5,MONTH(AZ$3)&lt;=8),'Вводные'!$B$70,0))),0)</x:f>
      </x:c>
      <x:c r="BA79" t="n">
        <x:f>IF(AND(BA$3&gt;=$B$76,BA$3&lt;EDATE($B$76,MAX(1,'Вводные'!$H$91)),'Вводные'!$B$91="Да"),(1+'Вводные'!$AD$91*'Вводные'!$H$7)^MAX(0,(12*(YEAR(BA$3)-YEAR($B$76))+MONTH(BA$3)-MONTH($B$76)))*(1+IF(MONTH(BA$3)=1,'Вводные'!$B$67,IF(AND(MONTH(BA$3)&gt;=5,MONTH(BA$3)&lt;=8),'Вводные'!$B$70,0))),0)</x:f>
      </x:c>
      <x:c r="BB79" t="n">
        <x:f>IF(AND(BB$3&gt;=$B$76,BB$3&lt;EDATE($B$76,MAX(1,'Вводные'!$H$91)),'Вводные'!$B$91="Да"),(1+'Вводные'!$AD$91*'Вводные'!$H$7)^MAX(0,(12*(YEAR(BB$3)-YEAR($B$76))+MONTH(BB$3)-MONTH($B$76)))*(1+IF(MONTH(BB$3)=1,'Вводные'!$B$67,IF(AND(MONTH(BB$3)&gt;=5,MONTH(BB$3)&lt;=8),'Вводные'!$B$70,0))),0)</x:f>
      </x:c>
      <x:c r="BC79" t="n">
        <x:f>IF(AND(BC$3&gt;=$B$76,BC$3&lt;EDATE($B$76,MAX(1,'Вводные'!$H$91)),'Вводные'!$B$91="Да"),(1+'Вводные'!$AD$91*'Вводные'!$H$7)^MAX(0,(12*(YEAR(BC$3)-YEAR($B$76))+MONTH(BC$3)-MONTH($B$76)))*(1+IF(MONTH(BC$3)=1,'Вводные'!$B$67,IF(AND(MONTH(BC$3)&gt;=5,MONTH(BC$3)&lt;=8),'Вводные'!$B$70,0))),0)</x:f>
      </x:c>
      <x:c r="BD79" t="n">
        <x:f>IF(AND(BD$3&gt;=$B$76,BD$3&lt;EDATE($B$76,MAX(1,'Вводные'!$H$91)),'Вводные'!$B$91="Да"),(1+'Вводные'!$AD$91*'Вводные'!$H$7)^MAX(0,(12*(YEAR(BD$3)-YEAR($B$76))+MONTH(BD$3)-MONTH($B$76)))*(1+IF(MONTH(BD$3)=1,'Вводные'!$B$67,IF(AND(MONTH(BD$3)&gt;=5,MONTH(BD$3)&lt;=8),'Вводные'!$B$70,0))),0)</x:f>
      </x:c>
      <x:c r="BE79" t="n">
        <x:f>IF(AND(BE$3&gt;=$B$76,BE$3&lt;EDATE($B$76,MAX(1,'Вводные'!$H$91)),'Вводные'!$B$91="Да"),(1+'Вводные'!$AD$91*'Вводные'!$H$7)^MAX(0,(12*(YEAR(BE$3)-YEAR($B$76))+MONTH(BE$3)-MONTH($B$76)))*(1+IF(MONTH(BE$3)=1,'Вводные'!$B$67,IF(AND(MONTH(BE$3)&gt;=5,MONTH(BE$3)&lt;=8),'Вводные'!$B$70,0))),0)</x:f>
      </x:c>
      <x:c r="BF79" t="n">
        <x:f>IF(AND(BF$3&gt;=$B$76,BF$3&lt;EDATE($B$76,MAX(1,'Вводные'!$H$91)),'Вводные'!$B$91="Да"),(1+'Вводные'!$AD$91*'Вводные'!$H$7)^MAX(0,(12*(YEAR(BF$3)-YEAR($B$76))+MONTH(BF$3)-MONTH($B$76)))*(1+IF(MONTH(BF$3)=1,'Вводные'!$B$67,IF(AND(MONTH(BF$3)&gt;=5,MONTH(BF$3)&lt;=8),'Вводные'!$B$70,0))),0)</x:f>
      </x:c>
      <x:c r="BG79" t="n">
        <x:f>IF(AND(BG$3&gt;=$B$76,BG$3&lt;EDATE($B$76,MAX(1,'Вводные'!$H$91)),'Вводные'!$B$91="Да"),(1+'Вводные'!$AD$91*'Вводные'!$H$7)^MAX(0,(12*(YEAR(BG$3)-YEAR($B$76))+MONTH(BG$3)-MONTH($B$76)))*(1+IF(MONTH(BG$3)=1,'Вводные'!$B$67,IF(AND(MONTH(BG$3)&gt;=5,MONTH(BG$3)&lt;=8),'Вводные'!$B$70,0))),0)</x:f>
      </x:c>
      <x:c r="BH79" t="n">
        <x:f>IF(AND(BH$3&gt;=$B$76,BH$3&lt;EDATE($B$76,MAX(1,'Вводные'!$H$91)),'Вводные'!$B$91="Да"),(1+'Вводные'!$AD$91*'Вводные'!$H$7)^MAX(0,(12*(YEAR(BH$3)-YEAR($B$76))+MONTH(BH$3)-MONTH($B$76)))*(1+IF(MONTH(BH$3)=1,'Вводные'!$B$67,IF(AND(MONTH(BH$3)&gt;=5,MONTH(BH$3)&lt;=8),'Вводные'!$B$70,0))),0)</x:f>
      </x:c>
      <x:c r="BI79" t="n">
        <x:f>IF(AND(BI$3&gt;=$B$76,BI$3&lt;EDATE($B$76,MAX(1,'Вводные'!$H$91)),'Вводные'!$B$91="Да"),(1+'Вводные'!$AD$91*'Вводные'!$H$7)^MAX(0,(12*(YEAR(BI$3)-YEAR($B$76))+MONTH(BI$3)-MONTH($B$76)))*(1+IF(MONTH(BI$3)=1,'Вводные'!$B$67,IF(AND(MONTH(BI$3)&gt;=5,MONTH(BI$3)&lt;=8),'Вводные'!$B$70,0))),0)</x:f>
      </x:c>
      <x:c r="BJ79" t="n">
        <x:f>IF(AND(BJ$3&gt;=$B$76,BJ$3&lt;EDATE($B$76,MAX(1,'Вводные'!$H$91)),'Вводные'!$B$91="Да"),(1+'Вводные'!$AD$91*'Вводные'!$H$7)^MAX(0,(12*(YEAR(BJ$3)-YEAR($B$76))+MONTH(BJ$3)-MONTH($B$76)))*(1+IF(MONTH(BJ$3)=1,'Вводные'!$B$67,IF(AND(MONTH(BJ$3)&gt;=5,MONTH(BJ$3)&lt;=8),'Вводные'!$B$70,0))),0)</x:f>
      </x:c>
      <x:c r="BK79" t="n">
        <x:f>IF(AND(BK$3&gt;=$B$76,BK$3&lt;EDATE($B$76,MAX(1,'Вводные'!$H$91)),'Вводные'!$B$91="Да"),(1+'Вводные'!$AD$91*'Вводные'!$H$7)^MAX(0,(12*(YEAR(BK$3)-YEAR($B$76))+MONTH(BK$3)-MONTH($B$76)))*(1+IF(MONTH(BK$3)=1,'Вводные'!$B$67,IF(AND(MONTH(BK$3)&gt;=5,MONTH(BK$3)&lt;=8),'Вводные'!$B$70,0))),0)</x:f>
      </x:c>
      <x:c r="BL79" t="n">
        <x:f>IF(AND(BL$3&gt;=$B$76,BL$3&lt;EDATE($B$76,MAX(1,'Вводные'!$H$91)),'Вводные'!$B$91="Да"),(1+'Вводные'!$AD$91*'Вводные'!$H$7)^MAX(0,(12*(YEAR(BL$3)-YEAR($B$76))+MONTH(BL$3)-MONTH($B$76)))*(1+IF(MONTH(BL$3)=1,'Вводные'!$B$67,IF(AND(MONTH(BL$3)&gt;=5,MONTH(BL$3)&lt;=8),'Вводные'!$B$70,0))),0)</x:f>
      </x:c>
      <x:c r="BM79" t="n">
        <x:f>IF(AND(BM$3&gt;=$B$76,BM$3&lt;EDATE($B$76,MAX(1,'Вводные'!$H$91)),'Вводные'!$B$91="Да"),(1+'Вводные'!$AD$91*'Вводные'!$H$7)^MAX(0,(12*(YEAR(BM$3)-YEAR($B$76))+MONTH(BM$3)-MONTH($B$76)))*(1+IF(MONTH(BM$3)=1,'Вводные'!$B$67,IF(AND(MONTH(BM$3)&gt;=5,MONTH(BM$3)&lt;=8),'Вводные'!$B$70,0))),0)</x:f>
      </x:c>
      <x:c r="BN79" t="n">
        <x:f>IF(AND(BN$3&gt;=$B$76,BN$3&lt;EDATE($B$76,MAX(1,'Вводные'!$H$91)),'Вводные'!$B$91="Да"),(1+'Вводные'!$AD$91*'Вводные'!$H$7)^MAX(0,(12*(YEAR(BN$3)-YEAR($B$76))+MONTH(BN$3)-MONTH($B$76)))*(1+IF(MONTH(BN$3)=1,'Вводные'!$B$67,IF(AND(MONTH(BN$3)&gt;=5,MONTH(BN$3)&lt;=8),'Вводные'!$B$70,0))),0)</x:f>
      </x:c>
      <x:c r="BO79" t="n">
        <x:f>IF(AND(BO$3&gt;=$B$76,BO$3&lt;EDATE($B$76,MAX(1,'Вводные'!$H$91)),'Вводные'!$B$91="Да"),(1+'Вводные'!$AD$91*'Вводные'!$H$7)^MAX(0,(12*(YEAR(BO$3)-YEAR($B$76))+MONTH(BO$3)-MONTH($B$76)))*(1+IF(MONTH(BO$3)=1,'Вводные'!$B$67,IF(AND(MONTH(BO$3)&gt;=5,MONTH(BO$3)&lt;=8),'Вводные'!$B$70,0))),0)</x:f>
      </x:c>
      <x:c r="BP79" t="n">
        <x:f>IF(AND(BP$3&gt;=$B$76,BP$3&lt;EDATE($B$76,MAX(1,'Вводные'!$H$91)),'Вводные'!$B$91="Да"),(1+'Вводные'!$AD$91*'Вводные'!$H$7)^MAX(0,(12*(YEAR(BP$3)-YEAR($B$76))+MONTH(BP$3)-MONTH($B$76)))*(1+IF(MONTH(BP$3)=1,'Вводные'!$B$67,IF(AND(MONTH(BP$3)&gt;=5,MONTH(BP$3)&lt;=8),'Вводные'!$B$70,0))),0)</x:f>
      </x:c>
      <x:c r="BQ79" t="n">
        <x:f>IF(AND(BQ$3&gt;=$B$76,BQ$3&lt;EDATE($B$76,MAX(1,'Вводные'!$H$91)),'Вводные'!$B$91="Да"),(1+'Вводные'!$AD$91*'Вводные'!$H$7)^MAX(0,(12*(YEAR(BQ$3)-YEAR($B$76))+MONTH(BQ$3)-MONTH($B$76)))*(1+IF(MONTH(BQ$3)=1,'Вводные'!$B$67,IF(AND(MONTH(BQ$3)&gt;=5,MONTH(BQ$3)&lt;=8),'Вводные'!$B$70,0))),0)</x:f>
      </x:c>
      <x:c r="BR79" t="n">
        <x:f>IF(AND(BR$3&gt;=$B$76,BR$3&lt;EDATE($B$76,MAX(1,'Вводные'!$H$91)),'Вводные'!$B$91="Да"),(1+'Вводные'!$AD$91*'Вводные'!$H$7)^MAX(0,(12*(YEAR(BR$3)-YEAR($B$76))+MONTH(BR$3)-MONTH($B$76)))*(1+IF(MONTH(BR$3)=1,'Вводные'!$B$67,IF(AND(MONTH(BR$3)&gt;=5,MONTH(BR$3)&lt;=8),'Вводные'!$B$70,0))),0)</x:f>
      </x:c>
      <x:c r="BS79" t="n">
        <x:f>IF(AND(BS$3&gt;=$B$76,BS$3&lt;EDATE($B$76,MAX(1,'Вводные'!$H$91)),'Вводные'!$B$91="Да"),(1+'Вводные'!$AD$91*'Вводные'!$H$7)^MAX(0,(12*(YEAR(BS$3)-YEAR($B$76))+MONTH(BS$3)-MONTH($B$76)))*(1+IF(MONTH(BS$3)=1,'Вводные'!$B$67,IF(AND(MONTH(BS$3)&gt;=5,MONTH(BS$3)&lt;=8),'Вводные'!$B$70,0))),0)</x:f>
      </x:c>
      <x:c r="BT79" t="n">
        <x:f>IF(AND(BT$3&gt;=$B$76,BT$3&lt;EDATE($B$76,MAX(1,'Вводные'!$H$91)),'Вводные'!$B$91="Да"),(1+'Вводные'!$AD$91*'Вводные'!$H$7)^MAX(0,(12*(YEAR(BT$3)-YEAR($B$76))+MONTH(BT$3)-MONTH($B$76)))*(1+IF(MONTH(BT$3)=1,'Вводные'!$B$67,IF(AND(MONTH(BT$3)&gt;=5,MONTH(BT$3)&lt;=8),'Вводные'!$B$70,0))),0)</x:f>
      </x:c>
      <x:c r="BU79" t="n">
        <x:f>IF(AND(BU$3&gt;=$B$76,BU$3&lt;EDATE($B$76,MAX(1,'Вводные'!$H$91)),'Вводные'!$B$91="Да"),(1+'Вводные'!$AD$91*'Вводные'!$H$7)^MAX(0,(12*(YEAR(BU$3)-YEAR($B$76))+MONTH(BU$3)-MONTH($B$76)))*(1+IF(MONTH(BU$3)=1,'Вводные'!$B$67,IF(AND(MONTH(BU$3)&gt;=5,MONTH(BU$3)&lt;=8),'Вводные'!$B$70,0))),0)</x:f>
      </x:c>
      <x:c r="BV79" t="n">
        <x:f>IF(AND(BV$3&gt;=$B$76,BV$3&lt;EDATE($B$76,MAX(1,'Вводные'!$H$91)),'Вводные'!$B$91="Да"),(1+'Вводные'!$AD$91*'Вводные'!$H$7)^MAX(0,(12*(YEAR(BV$3)-YEAR($B$76))+MONTH(BV$3)-MONTH($B$76)))*(1+IF(MONTH(BV$3)=1,'Вводные'!$B$67,IF(AND(MONTH(BV$3)&gt;=5,MONTH(BV$3)&lt;=8),'Вводные'!$B$70,0))),0)</x:f>
      </x:c>
      <x:c r="BW79" t="n">
        <x:f>IF(AND(BW$3&gt;=$B$76,BW$3&lt;EDATE($B$76,MAX(1,'Вводные'!$H$91)),'Вводные'!$B$91="Да"),(1+'Вводные'!$AD$91*'Вводные'!$H$7)^MAX(0,(12*(YEAR(BW$3)-YEAR($B$76))+MONTH(BW$3)-MONTH($B$76)))*(1+IF(MONTH(BW$3)=1,'Вводные'!$B$67,IF(AND(MONTH(BW$3)&gt;=5,MONTH(BW$3)&lt;=8),'Вводные'!$B$70,0))),0)</x:f>
      </x:c>
      <x:c r="BX79" t="n">
        <x:f>IF(AND(BX$3&gt;=$B$76,BX$3&lt;EDATE($B$76,MAX(1,'Вводные'!$H$91)),'Вводные'!$B$91="Да"),(1+'Вводные'!$AD$91*'Вводные'!$H$7)^MAX(0,(12*(YEAR(BX$3)-YEAR($B$76))+MONTH(BX$3)-MONTH($B$76)))*(1+IF(MONTH(BX$3)=1,'Вводные'!$B$67,IF(AND(MONTH(BX$3)&gt;=5,MONTH(BX$3)&lt;=8),'Вводные'!$B$70,0))),0)</x:f>
      </x:c>
      <x:c r="BY79" t="n">
        <x:f>IF(AND(BY$3&gt;=$B$76,BY$3&lt;EDATE($B$76,MAX(1,'Вводные'!$H$91)),'Вводные'!$B$91="Да"),(1+'Вводные'!$AD$91*'Вводные'!$H$7)^MAX(0,(12*(YEAR(BY$3)-YEAR($B$76))+MONTH(BY$3)-MONTH($B$76)))*(1+IF(MONTH(BY$3)=1,'Вводные'!$B$67,IF(AND(MONTH(BY$3)&gt;=5,MONTH(BY$3)&lt;=8),'Вводные'!$B$70,0))),0)</x:f>
      </x:c>
      <x:c r="BZ79" t="n">
        <x:f>IF(AND(BZ$3&gt;=$B$76,BZ$3&lt;EDATE($B$76,MAX(1,'Вводные'!$H$91)),'Вводные'!$B$91="Да"),(1+'Вводные'!$AD$91*'Вводные'!$H$7)^MAX(0,(12*(YEAR(BZ$3)-YEAR($B$76))+MONTH(BZ$3)-MONTH($B$76)))*(1+IF(MONTH(BZ$3)=1,'Вводные'!$B$67,IF(AND(MONTH(BZ$3)&gt;=5,MONTH(BZ$3)&lt;=8),'Вводные'!$B$70,0))),0)</x:f>
      </x:c>
      <x:c r="CA79" t="n">
        <x:f>IF(AND(CA$3&gt;=$B$76,CA$3&lt;EDATE($B$76,MAX(1,'Вводные'!$H$91)),'Вводные'!$B$91="Да"),(1+'Вводные'!$AD$91*'Вводные'!$H$7)^MAX(0,(12*(YEAR(CA$3)-YEAR($B$76))+MONTH(CA$3)-MONTH($B$76)))*(1+IF(MONTH(CA$3)=1,'Вводные'!$B$67,IF(AND(MONTH(CA$3)&gt;=5,MONTH(CA$3)&lt;=8),'Вводные'!$B$70,0))),0)</x:f>
      </x:c>
      <x:c r="CB79" t="n">
        <x:f>IF(AND(CB$3&gt;=$B$76,CB$3&lt;EDATE($B$76,MAX(1,'Вводные'!$H$91)),'Вводные'!$B$91="Да"),(1+'Вводные'!$AD$91*'Вводные'!$H$7)^MAX(0,(12*(YEAR(CB$3)-YEAR($B$76))+MONTH(CB$3)-MONTH($B$76)))*(1+IF(MONTH(CB$3)=1,'Вводные'!$B$67,IF(AND(MONTH(CB$3)&gt;=5,MONTH(CB$3)&lt;=8),'Вводные'!$B$70,0))),0)</x:f>
      </x:c>
      <x:c r="CC79" t="n">
        <x:f>IF(AND(CC$3&gt;=$B$76,CC$3&lt;EDATE($B$76,MAX(1,'Вводные'!$H$91)),'Вводные'!$B$91="Да"),(1+'Вводные'!$AD$91*'Вводные'!$H$7)^MAX(0,(12*(YEAR(CC$3)-YEAR($B$76))+MONTH(CC$3)-MONTH($B$76)))*(1+IF(MONTH(CC$3)=1,'Вводные'!$B$67,IF(AND(MONTH(CC$3)&gt;=5,MONTH(CC$3)&lt;=8),'Вводные'!$B$70,0))),0)</x:f>
      </x:c>
      <x:c r="CD79" t="n">
        <x:f>IF(AND(CD$3&gt;=$B$76,CD$3&lt;EDATE($B$76,MAX(1,'Вводные'!$H$91)),'Вводные'!$B$91="Да"),(1+'Вводные'!$AD$91*'Вводные'!$H$7)^MAX(0,(12*(YEAR(CD$3)-YEAR($B$76))+MONTH(CD$3)-MONTH($B$76)))*(1+IF(MONTH(CD$3)=1,'Вводные'!$B$67,IF(AND(MONTH(CD$3)&gt;=5,MONTH(CD$3)&lt;=8),'Вводные'!$B$70,0))),0)</x:f>
      </x:c>
      <x:c r="CE79" t="n">
        <x:f>IF(AND(CE$3&gt;=$B$76,CE$3&lt;EDATE($B$76,MAX(1,'Вводные'!$H$91)),'Вводные'!$B$91="Да"),(1+'Вводные'!$AD$91*'Вводные'!$H$7)^MAX(0,(12*(YEAR(CE$3)-YEAR($B$76))+MONTH(CE$3)-MONTH($B$76)))*(1+IF(MONTH(CE$3)=1,'Вводные'!$B$67,IF(AND(MONTH(CE$3)&gt;=5,MONTH(CE$3)&lt;=8),'Вводные'!$B$70,0))),0)</x:f>
      </x:c>
      <x:c r="CF79" t="n">
        <x:f>IF(AND(CF$3&gt;=$B$76,CF$3&lt;EDATE($B$76,MAX(1,'Вводные'!$H$91)),'Вводные'!$B$91="Да"),(1+'Вводные'!$AD$91*'Вводные'!$H$7)^MAX(0,(12*(YEAR(CF$3)-YEAR($B$76))+MONTH(CF$3)-MONTH($B$76)))*(1+IF(MONTH(CF$3)=1,'Вводные'!$B$67,IF(AND(MONTH(CF$3)&gt;=5,MONTH(CF$3)&lt;=8),'Вводные'!$B$70,0))),0)</x:f>
      </x:c>
      <x:c r="CG79" t="n">
        <x:f>IF(AND(CG$3&gt;=$B$76,CG$3&lt;EDATE($B$76,MAX(1,'Вводные'!$H$91)),'Вводные'!$B$91="Да"),(1+'Вводные'!$AD$91*'Вводные'!$H$7)^MAX(0,(12*(YEAR(CG$3)-YEAR($B$76))+MONTH(CG$3)-MONTH($B$76)))*(1+IF(MONTH(CG$3)=1,'Вводные'!$B$67,IF(AND(MONTH(CG$3)&gt;=5,MONTH(CG$3)&lt;=8),'Вводные'!$B$70,0))),0)</x:f>
      </x:c>
      <x:c r="CH79" t="n">
        <x:f>IF(AND(CH$3&gt;=$B$76,CH$3&lt;EDATE($B$76,MAX(1,'Вводные'!$H$91)),'Вводные'!$B$91="Да"),(1+'Вводные'!$AD$91*'Вводные'!$H$7)^MAX(0,(12*(YEAR(CH$3)-YEAR($B$76))+MONTH(CH$3)-MONTH($B$76)))*(1+IF(MONTH(CH$3)=1,'Вводные'!$B$67,IF(AND(MONTH(CH$3)&gt;=5,MONTH(CH$3)&lt;=8),'Вводные'!$B$70,0))),0)</x:f>
      </x:c>
      <x:c r="CI79" t="n">
        <x:f>IF(AND(CI$3&gt;=$B$76,CI$3&lt;EDATE($B$76,MAX(1,'Вводные'!$H$91)),'Вводные'!$B$91="Да"),(1+'Вводные'!$AD$91*'Вводные'!$H$7)^MAX(0,(12*(YEAR(CI$3)-YEAR($B$76))+MONTH(CI$3)-MONTH($B$76)))*(1+IF(MONTH(CI$3)=1,'Вводные'!$B$67,IF(AND(MONTH(CI$3)&gt;=5,MONTH(CI$3)&lt;=8),'Вводные'!$B$70,0))),0)</x:f>
      </x:c>
      <x:c r="CJ79" t="n">
        <x:f>IF(AND(CJ$3&gt;=$B$76,CJ$3&lt;EDATE($B$76,MAX(1,'Вводные'!$H$91)),'Вводные'!$B$91="Да"),(1+'Вводные'!$AD$91*'Вводные'!$H$7)^MAX(0,(12*(YEAR(CJ$3)-YEAR($B$76))+MONTH(CJ$3)-MONTH($B$76)))*(1+IF(MONTH(CJ$3)=1,'Вводные'!$B$67,IF(AND(MONTH(CJ$3)&gt;=5,MONTH(CJ$3)&lt;=8),'Вводные'!$B$70,0))),0)</x:f>
      </x:c>
      <x:c r="CK79" t="n">
        <x:f>IF(AND(CK$3&gt;=$B$76,CK$3&lt;EDATE($B$76,MAX(1,'Вводные'!$H$91)),'Вводные'!$B$91="Да"),(1+'Вводные'!$AD$91*'Вводные'!$H$7)^MAX(0,(12*(YEAR(CK$3)-YEAR($B$76))+MONTH(CK$3)-MONTH($B$76)))*(1+IF(MONTH(CK$3)=1,'Вводные'!$B$67,IF(AND(MONTH(CK$3)&gt;=5,MONTH(CK$3)&lt;=8),'Вводные'!$B$70,0))),0)</x:f>
      </x:c>
      <x:c r="CL79" t="n">
        <x:f>IF(AND(CL$3&gt;=$B$76,CL$3&lt;EDATE($B$76,MAX(1,'Вводные'!$H$91)),'Вводные'!$B$91="Да"),(1+'Вводные'!$AD$91*'Вводные'!$H$7)^MAX(0,(12*(YEAR(CL$3)-YEAR($B$76))+MONTH(CL$3)-MONTH($B$76)))*(1+IF(MONTH(CL$3)=1,'Вводные'!$B$67,IF(AND(MONTH(CL$3)&gt;=5,MONTH(CL$3)&lt;=8),'Вводные'!$B$70,0))),0)</x:f>
      </x:c>
      <x:c r="CM79" t="n">
        <x:f>IF(AND(CM$3&gt;=$B$76,CM$3&lt;EDATE($B$76,MAX(1,'Вводные'!$H$91)),'Вводные'!$B$91="Да"),(1+'Вводные'!$AD$91*'Вводные'!$H$7)^MAX(0,(12*(YEAR(CM$3)-YEAR($B$76))+MONTH(CM$3)-MONTH($B$76)))*(1+IF(MONTH(CM$3)=1,'Вводные'!$B$67,IF(AND(MONTH(CM$3)&gt;=5,MONTH(CM$3)&lt;=8),'Вводные'!$B$70,0))),0)</x:f>
      </x:c>
      <x:c r="CN79" t="n">
        <x:f>IF(AND(CN$3&gt;=$B$76,CN$3&lt;EDATE($B$76,MAX(1,'Вводные'!$H$91)),'Вводные'!$B$91="Да"),(1+'Вводные'!$AD$91*'Вводные'!$H$7)^MAX(0,(12*(YEAR(CN$3)-YEAR($B$76))+MONTH(CN$3)-MONTH($B$76)))*(1+IF(MONTH(CN$3)=1,'Вводные'!$B$67,IF(AND(MONTH(CN$3)&gt;=5,MONTH(CN$3)&lt;=8),'Вводные'!$B$70,0))),0)</x:f>
      </x:c>
      <x:c r="CO79" t="n">
        <x:f>IF(AND(CO$3&gt;=$B$76,CO$3&lt;EDATE($B$76,MAX(1,'Вводные'!$H$91)),'Вводные'!$B$91="Да"),(1+'Вводные'!$AD$91*'Вводные'!$H$7)^MAX(0,(12*(YEAR(CO$3)-YEAR($B$76))+MONTH(CO$3)-MONTH($B$76)))*(1+IF(MONTH(CO$3)=1,'Вводные'!$B$67,IF(AND(MONTH(CO$3)&gt;=5,MONTH(CO$3)&lt;=8),'Вводные'!$B$70,0))),0)</x:f>
      </x:c>
      <x:c r="CP79" t="n">
        <x:f>IF(AND(CP$3&gt;=$B$76,CP$3&lt;EDATE($B$76,MAX(1,'Вводные'!$H$91)),'Вводные'!$B$91="Да"),(1+'Вводные'!$AD$91*'Вводные'!$H$7)^MAX(0,(12*(YEAR(CP$3)-YEAR($B$76))+MONTH(CP$3)-MONTH($B$76)))*(1+IF(MONTH(CP$3)=1,'Вводные'!$B$67,IF(AND(MONTH(CP$3)&gt;=5,MONTH(CP$3)&lt;=8),'Вводные'!$B$70,0))),0)</x:f>
      </x:c>
      <x:c r="CQ79" t="n">
        <x:f>IF(AND(CQ$3&gt;=$B$76,CQ$3&lt;EDATE($B$76,MAX(1,'Вводные'!$H$91)),'Вводные'!$B$91="Да"),(1+'Вводные'!$AD$91*'Вводные'!$H$7)^MAX(0,(12*(YEAR(CQ$3)-YEAR($B$76))+MONTH(CQ$3)-MONTH($B$76)))*(1+IF(MONTH(CQ$3)=1,'Вводные'!$B$67,IF(AND(MONTH(CQ$3)&gt;=5,MONTH(CQ$3)&lt;=8),'Вводные'!$B$70,0))),0)</x:f>
      </x:c>
      <x:c r="CR79" t="n">
        <x:f>IF(AND(CR$3&gt;=$B$76,CR$3&lt;EDATE($B$76,MAX(1,'Вводные'!$H$91)),'Вводные'!$B$91="Да"),(1+'Вводные'!$AD$91*'Вводные'!$H$7)^MAX(0,(12*(YEAR(CR$3)-YEAR($B$76))+MONTH(CR$3)-MONTH($B$76)))*(1+IF(MONTH(CR$3)=1,'Вводные'!$B$67,IF(AND(MONTH(CR$3)&gt;=5,MONTH(CR$3)&lt;=8),'Вводные'!$B$70,0))),0)</x:f>
      </x:c>
      <x:c r="CS79" t="n">
        <x:f>IF(AND(CS$3&gt;=$B$76,CS$3&lt;EDATE($B$76,MAX(1,'Вводные'!$H$91)),'Вводные'!$B$91="Да"),(1+'Вводные'!$AD$91*'Вводные'!$H$7)^MAX(0,(12*(YEAR(CS$3)-YEAR($B$76))+MONTH(CS$3)-MONTH($B$76)))*(1+IF(MONTH(CS$3)=1,'Вводные'!$B$67,IF(AND(MONTH(CS$3)&gt;=5,MONTH(CS$3)&lt;=8),'Вводные'!$B$70,0))),0)</x:f>
      </x:c>
      <x:c r="CT79" t="n">
        <x:f>IF(AND(CT$3&gt;=$B$76,CT$3&lt;EDATE($B$76,MAX(1,'Вводные'!$H$91)),'Вводные'!$B$91="Да"),(1+'Вводные'!$AD$91*'Вводные'!$H$7)^MAX(0,(12*(YEAR(CT$3)-YEAR($B$76))+MONTH(CT$3)-MONTH($B$76)))*(1+IF(MONTH(CT$3)=1,'Вводные'!$B$67,IF(AND(MONTH(CT$3)&gt;=5,MONTH(CT$3)&lt;=8),'Вводные'!$B$70,0))),0)</x:f>
      </x:c>
      <x:c r="CU79" t="n">
        <x:f>IF(AND(CU$3&gt;=$B$76,CU$3&lt;EDATE($B$76,MAX(1,'Вводные'!$H$91)),'Вводные'!$B$91="Да"),(1+'Вводные'!$AD$91*'Вводные'!$H$7)^MAX(0,(12*(YEAR(CU$3)-YEAR($B$76))+MONTH(CU$3)-MONTH($B$76)))*(1+IF(MONTH(CU$3)=1,'Вводные'!$B$67,IF(AND(MONTH(CU$3)&gt;=5,MONTH(CU$3)&lt;=8),'Вводные'!$B$70,0))),0)</x:f>
      </x:c>
      <x:c r="CV79" t="n">
        <x:f>IF(AND(CV$3&gt;=$B$76,CV$3&lt;EDATE($B$76,MAX(1,'Вводные'!$H$91)),'Вводные'!$B$91="Да"),(1+'Вводные'!$AD$91*'Вводные'!$H$7)^MAX(0,(12*(YEAR(CV$3)-YEAR($B$76))+MONTH(CV$3)-MONTH($B$76)))*(1+IF(MONTH(CV$3)=1,'Вводные'!$B$67,IF(AND(MONTH(CV$3)&gt;=5,MONTH(CV$3)&lt;=8),'Вводные'!$B$70,0))),0)</x:f>
      </x:c>
      <x:c r="CW79" t="n">
        <x:f>IF(AND(CW$3&gt;=$B$76,CW$3&lt;EDATE($B$76,MAX(1,'Вводные'!$H$91)),'Вводные'!$B$91="Да"),(1+'Вводные'!$AD$91*'Вводные'!$H$7)^MAX(0,(12*(YEAR(CW$3)-YEAR($B$76))+MONTH(CW$3)-MONTH($B$76)))*(1+IF(MONTH(CW$3)=1,'Вводные'!$B$67,IF(AND(MONTH(CW$3)&gt;=5,MONTH(CW$3)&lt;=8),'Вводные'!$B$70,0))),0)</x:f>
      </x:c>
      <x:c r="CX79" t="n">
        <x:f>IF(AND(CX$3&gt;=$B$76,CX$3&lt;EDATE($B$76,MAX(1,'Вводные'!$H$91)),'Вводные'!$B$91="Да"),(1+'Вводные'!$AD$91*'Вводные'!$H$7)^MAX(0,(12*(YEAR(CX$3)-YEAR($B$76))+MONTH(CX$3)-MONTH($B$76)))*(1+IF(MONTH(CX$3)=1,'Вводные'!$B$67,IF(AND(MONTH(CX$3)&gt;=5,MONTH(CX$3)&lt;=8),'Вводные'!$B$70,0))),0)</x:f>
      </x:c>
      <x:c r="CY79" t="n">
        <x:f>IF(AND(CY$3&gt;=$B$76,CY$3&lt;EDATE($B$76,MAX(1,'Вводные'!$H$91)),'Вводные'!$B$91="Да"),(1+'Вводные'!$AD$91*'Вводные'!$H$7)^MAX(0,(12*(YEAR(CY$3)-YEAR($B$76))+MONTH(CY$3)-MONTH($B$76)))*(1+IF(MONTH(CY$3)=1,'Вводные'!$B$67,IF(AND(MONTH(CY$3)&gt;=5,MONTH(CY$3)&lt;=8),'Вводные'!$B$70,0))),0)</x:f>
      </x:c>
      <x:c r="CZ79" t="n">
        <x:f>IF(AND(CZ$3&gt;=$B$76,CZ$3&lt;EDATE($B$76,MAX(1,'Вводные'!$H$91)),'Вводные'!$B$91="Да"),(1+'Вводные'!$AD$91*'Вводные'!$H$7)^MAX(0,(12*(YEAR(CZ$3)-YEAR($B$76))+MONTH(CZ$3)-MONTH($B$76)))*(1+IF(MONTH(CZ$3)=1,'Вводные'!$B$67,IF(AND(MONTH(CZ$3)&gt;=5,MONTH(CZ$3)&lt;=8),'Вводные'!$B$70,0))),0)</x:f>
      </x:c>
      <x:c r="DA79" t="n">
        <x:f>IF(AND(DA$3&gt;=$B$76,DA$3&lt;EDATE($B$76,MAX(1,'Вводные'!$H$91)),'Вводные'!$B$91="Да"),(1+'Вводные'!$AD$91*'Вводные'!$H$7)^MAX(0,(12*(YEAR(DA$3)-YEAR($B$76))+MONTH(DA$3)-MONTH($B$76)))*(1+IF(MONTH(DA$3)=1,'Вводные'!$B$67,IF(AND(MONTH(DA$3)&gt;=5,MONTH(DA$3)&lt;=8),'Вводные'!$B$70,0))),0)</x:f>
      </x:c>
      <x:c r="DB79" t="n">
        <x:f>IF(AND(DB$3&gt;=$B$76,DB$3&lt;EDATE($B$76,MAX(1,'Вводные'!$H$91)),'Вводные'!$B$91="Да"),(1+'Вводные'!$AD$91*'Вводные'!$H$7)^MAX(0,(12*(YEAR(DB$3)-YEAR($B$76))+MONTH(DB$3)-MONTH($B$76)))*(1+IF(MONTH(DB$3)=1,'Вводные'!$B$67,IF(AND(MONTH(DB$3)&gt;=5,MONTH(DB$3)&lt;=8),'Вводные'!$B$70,0))),0)</x:f>
      </x:c>
      <x:c r="DC79" t="n">
        <x:f>IF(AND(DC$3&gt;=$B$76,DC$3&lt;EDATE($B$76,MAX(1,'Вводные'!$H$91)),'Вводные'!$B$91="Да"),(1+'Вводные'!$AD$91*'Вводные'!$H$7)^MAX(0,(12*(YEAR(DC$3)-YEAR($B$76))+MONTH(DC$3)-MONTH($B$76)))*(1+IF(MONTH(DC$3)=1,'Вводные'!$B$67,IF(AND(MONTH(DC$3)&gt;=5,MONTH(DC$3)&lt;=8),'Вводные'!$B$70,0))),0)</x:f>
      </x:c>
      <x:c r="DD79" t="n">
        <x:f>IF(AND(DD$3&gt;=$B$76,DD$3&lt;EDATE($B$76,MAX(1,'Вводные'!$H$91)),'Вводные'!$B$91="Да"),(1+'Вводные'!$AD$91*'Вводные'!$H$7)^MAX(0,(12*(YEAR(DD$3)-YEAR($B$76))+MONTH(DD$3)-MONTH($B$76)))*(1+IF(MONTH(DD$3)=1,'Вводные'!$B$67,IF(AND(MONTH(DD$3)&gt;=5,MONTH(DD$3)&lt;=8),'Вводные'!$B$70,0))),0)</x:f>
      </x:c>
      <x:c r="DE79" t="n">
        <x:f>IF(AND(DE$3&gt;=$B$76,DE$3&lt;EDATE($B$76,MAX(1,'Вводные'!$H$91)),'Вводные'!$B$91="Да"),(1+'Вводные'!$AD$91*'Вводные'!$H$7)^MAX(0,(12*(YEAR(DE$3)-YEAR($B$76))+MONTH(DE$3)-MONTH($B$76)))*(1+IF(MONTH(DE$3)=1,'Вводные'!$B$67,IF(AND(MONTH(DE$3)&gt;=5,MONTH(DE$3)&lt;=8),'Вводные'!$B$70,0))),0)</x:f>
      </x:c>
      <x:c r="DF79" t="n">
        <x:f>IF(AND(DF$3&gt;=$B$76,DF$3&lt;EDATE($B$76,MAX(1,'Вводные'!$H$91)),'Вводные'!$B$91="Да"),(1+'Вводные'!$AD$91*'Вводные'!$H$7)^MAX(0,(12*(YEAR(DF$3)-YEAR($B$76))+MONTH(DF$3)-MONTH($B$76)))*(1+IF(MONTH(DF$3)=1,'Вводные'!$B$67,IF(AND(MONTH(DF$3)&gt;=5,MONTH(DF$3)&lt;=8),'Вводные'!$B$70,0))),0)</x:f>
      </x:c>
      <x:c r="DG79" t="n">
        <x:f>IF(AND(DG$3&gt;=$B$76,DG$3&lt;EDATE($B$76,MAX(1,'Вводные'!$H$91)),'Вводные'!$B$91="Да"),(1+'Вводные'!$AD$91*'Вводные'!$H$7)^MAX(0,(12*(YEAR(DG$3)-YEAR($B$76))+MONTH(DG$3)-MONTH($B$76)))*(1+IF(MONTH(DG$3)=1,'Вводные'!$B$67,IF(AND(MONTH(DG$3)&gt;=5,MONTH(DG$3)&lt;=8),'Вводные'!$B$70,0))),0)</x:f>
      </x:c>
      <x:c r="DH79" t="n">
        <x:f>IF(AND(DH$3&gt;=$B$76,DH$3&lt;EDATE($B$76,MAX(1,'Вводные'!$H$91)),'Вводные'!$B$91="Да"),(1+'Вводные'!$AD$91*'Вводные'!$H$7)^MAX(0,(12*(YEAR(DH$3)-YEAR($B$76))+MONTH(DH$3)-MONTH($B$76)))*(1+IF(MONTH(DH$3)=1,'Вводные'!$B$67,IF(AND(MONTH(DH$3)&gt;=5,MONTH(DH$3)&lt;=8),'Вводные'!$B$70,0))),0)</x:f>
      </x:c>
      <x:c r="DI79" t="n">
        <x:f>IF(AND(DI$3&gt;=$B$76,DI$3&lt;EDATE($B$76,MAX(1,'Вводные'!$H$91)),'Вводные'!$B$91="Да"),(1+'Вводные'!$AD$91*'Вводные'!$H$7)^MAX(0,(12*(YEAR(DI$3)-YEAR($B$76))+MONTH(DI$3)-MONTH($B$76)))*(1+IF(MONTH(DI$3)=1,'Вводные'!$B$67,IF(AND(MONTH(DI$3)&gt;=5,MONTH(DI$3)&lt;=8),'Вводные'!$B$70,0))),0)</x:f>
      </x:c>
      <x:c r="DJ79" t="n">
        <x:f>IF(AND(DJ$3&gt;=$B$76,DJ$3&lt;EDATE($B$76,MAX(1,'Вводные'!$H$91)),'Вводные'!$B$91="Да"),(1+'Вводные'!$AD$91*'Вводные'!$H$7)^MAX(0,(12*(YEAR(DJ$3)-YEAR($B$76))+MONTH(DJ$3)-MONTH($B$76)))*(1+IF(MONTH(DJ$3)=1,'Вводные'!$B$67,IF(AND(MONTH(DJ$3)&gt;=5,MONTH(DJ$3)&lt;=8),'Вводные'!$B$70,0))),0)</x:f>
      </x:c>
      <x:c r="DK79" t="n">
        <x:f>IF(AND(DK$3&gt;=$B$76,DK$3&lt;EDATE($B$76,MAX(1,'Вводные'!$H$91)),'Вводные'!$B$91="Да"),(1+'Вводные'!$AD$91*'Вводные'!$H$7)^MAX(0,(12*(YEAR(DK$3)-YEAR($B$76))+MONTH(DK$3)-MONTH($B$76)))*(1+IF(MONTH(DK$3)=1,'Вводные'!$B$67,IF(AND(MONTH(DK$3)&gt;=5,MONTH(DK$3)&lt;=8),'Вводные'!$B$70,0))),0)</x:f>
      </x:c>
      <x:c r="DL79" t="n">
        <x:f>IF(AND(DL$3&gt;=$B$76,DL$3&lt;EDATE($B$76,MAX(1,'Вводные'!$H$91)),'Вводные'!$B$91="Да"),(1+'Вводные'!$AD$91*'Вводные'!$H$7)^MAX(0,(12*(YEAR(DL$3)-YEAR($B$76))+MONTH(DL$3)-MONTH($B$76)))*(1+IF(MONTH(DL$3)=1,'Вводные'!$B$67,IF(AND(MONTH(DL$3)&gt;=5,MONTH(DL$3)&lt;=8),'Вводные'!$B$70,0))),0)</x:f>
      </x:c>
      <x:c r="DM79" t="n">
        <x:f>IF(AND(DM$3&gt;=$B$76,DM$3&lt;EDATE($B$76,MAX(1,'Вводные'!$H$91)),'Вводные'!$B$91="Да"),(1+'Вводные'!$AD$91*'Вводные'!$H$7)^MAX(0,(12*(YEAR(DM$3)-YEAR($B$76))+MONTH(DM$3)-MONTH($B$76)))*(1+IF(MONTH(DM$3)=1,'Вводные'!$B$67,IF(AND(MONTH(DM$3)&gt;=5,MONTH(DM$3)&lt;=8),'Вводные'!$B$70,0))),0)</x:f>
      </x:c>
      <x:c r="DN79" t="n">
        <x:f>IF(AND(DN$3&gt;=$B$76,DN$3&lt;EDATE($B$76,MAX(1,'Вводные'!$H$91)),'Вводные'!$B$91="Да"),(1+'Вводные'!$AD$91*'Вводные'!$H$7)^MAX(0,(12*(YEAR(DN$3)-YEAR($B$76))+MONTH(DN$3)-MONTH($B$76)))*(1+IF(MONTH(DN$3)=1,'Вводные'!$B$67,IF(AND(MONTH(DN$3)&gt;=5,MONTH(DN$3)&lt;=8),'Вводные'!$B$70,0))),0)</x:f>
      </x:c>
      <x:c r="DO79" t="n">
        <x:f>IF(AND(DO$3&gt;=$B$76,DO$3&lt;EDATE($B$76,MAX(1,'Вводные'!$H$91)),'Вводные'!$B$91="Да"),(1+'Вводные'!$AD$91*'Вводные'!$H$7)^MAX(0,(12*(YEAR(DO$3)-YEAR($B$76))+MONTH(DO$3)-MONTH($B$76)))*(1+IF(MONTH(DO$3)=1,'Вводные'!$B$67,IF(AND(MONTH(DO$3)&gt;=5,MONTH(DO$3)&lt;=8),'Вводные'!$B$70,0))),0)</x:f>
      </x:c>
      <x:c r="DP79" t="n">
        <x:f>IF(AND(DP$3&gt;=$B$76,DP$3&lt;EDATE($B$76,MAX(1,'Вводные'!$H$91)),'Вводные'!$B$91="Да"),(1+'Вводные'!$AD$91*'Вводные'!$H$7)^MAX(0,(12*(YEAR(DP$3)-YEAR($B$76))+MONTH(DP$3)-MONTH($B$76)))*(1+IF(MONTH(DP$3)=1,'Вводные'!$B$67,IF(AND(MONTH(DP$3)&gt;=5,MONTH(DP$3)&lt;=8),'Вводные'!$B$70,0))),0)</x:f>
      </x:c>
      <x:c r="DQ79" t="n">
        <x:f>IF(AND(DQ$3&gt;=$B$76,DQ$3&lt;EDATE($B$76,MAX(1,'Вводные'!$H$91)),'Вводные'!$B$91="Да"),(1+'Вводные'!$AD$91*'Вводные'!$H$7)^MAX(0,(12*(YEAR(DQ$3)-YEAR($B$76))+MONTH(DQ$3)-MONTH($B$76)))*(1+IF(MONTH(DQ$3)=1,'Вводные'!$B$67,IF(AND(MONTH(DQ$3)&gt;=5,MONTH(DQ$3)&lt;=8),'Вводные'!$B$70,0))),0)</x:f>
      </x:c>
      <x:c r="DR79" t="n">
        <x:f>IF(AND(DR$3&gt;=$B$76,DR$3&lt;EDATE($B$76,MAX(1,'Вводные'!$H$91)),'Вводные'!$B$91="Да"),(1+'Вводные'!$AD$91*'Вводные'!$H$7)^MAX(0,(12*(YEAR(DR$3)-YEAR($B$76))+MONTH(DR$3)-MONTH($B$76)))*(1+IF(MONTH(DR$3)=1,'Вводные'!$B$67,IF(AND(MONTH(DR$3)&gt;=5,MONTH(DR$3)&lt;=8),'Вводные'!$B$70,0))),0)</x:f>
      </x:c>
      <x:c r="DS79" t="n">
        <x:f>IF(AND(DS$3&gt;=$B$76,DS$3&lt;EDATE($B$76,MAX(1,'Вводные'!$H$91)),'Вводные'!$B$91="Да"),(1+'Вводные'!$AD$91*'Вводные'!$H$7)^MAX(0,(12*(YEAR(DS$3)-YEAR($B$76))+MONTH(DS$3)-MONTH($B$76)))*(1+IF(MONTH(DS$3)=1,'Вводные'!$B$67,IF(AND(MONTH(DS$3)&gt;=5,MONTH(DS$3)&lt;=8),'Вводные'!$B$70,0))),0)</x:f>
      </x:c>
    </x:row>
    <x:row r="80">
      <x:c r="A80" t="str">
        <x:v>Нормированный вес до РВЭ</x:v>
      </x:c>
      <x:c r="B80" t="n">
        <x:f>SUM(D80:DS80)</x:f>
      </x:c>
      <x:c r="C80" t="str">
        <x:v>%</x:v>
      </x:c>
      <x:c r="D80" s="35" t="n">
        <x:f>IFERROR(D79*D78/SUMPRODUCT($D79:$DS79,$D78:$DS78),0)</x:f>
      </x:c>
      <x:c r="E80" s="35" t="n">
        <x:f>IFERROR(E79*E78/SUMPRODUCT($D79:$DS79,$D78:$DS78),0)</x:f>
      </x:c>
      <x:c r="F80" s="35" t="n">
        <x:f>IFERROR(F79*F78/SUMPRODUCT($D79:$DS79,$D78:$DS78),0)</x:f>
      </x:c>
      <x:c r="G80" s="35" t="n">
        <x:f>IFERROR(G79*G78/SUMPRODUCT($D79:$DS79,$D78:$DS78),0)</x:f>
      </x:c>
      <x:c r="H80" s="35" t="n">
        <x:f>IFERROR(H79*H78/SUMPRODUCT($D79:$DS79,$D78:$DS78),0)</x:f>
      </x:c>
      <x:c r="I80" s="35" t="n">
        <x:f>IFERROR(I79*I78/SUMPRODUCT($D79:$DS79,$D78:$DS78),0)</x:f>
      </x:c>
      <x:c r="J80" s="35" t="n">
        <x:f>IFERROR(J79*J78/SUMPRODUCT($D79:$DS79,$D78:$DS78),0)</x:f>
      </x:c>
      <x:c r="K80" s="35" t="n">
        <x:f>IFERROR(K79*K78/SUMPRODUCT($D79:$DS79,$D78:$DS78),0)</x:f>
      </x:c>
      <x:c r="L80" s="35" t="n">
        <x:f>IFERROR(L79*L78/SUMPRODUCT($D79:$DS79,$D78:$DS78),0)</x:f>
      </x:c>
      <x:c r="M80" s="35" t="n">
        <x:f>IFERROR(M79*M78/SUMPRODUCT($D79:$DS79,$D78:$DS78),0)</x:f>
      </x:c>
      <x:c r="N80" s="35" t="n">
        <x:f>IFERROR(N79*N78/SUMPRODUCT($D79:$DS79,$D78:$DS78),0)</x:f>
      </x:c>
      <x:c r="O80" s="35" t="n">
        <x:f>IFERROR(O79*O78/SUMPRODUCT($D79:$DS79,$D78:$DS78),0)</x:f>
      </x:c>
      <x:c r="P80" s="35" t="n">
        <x:f>IFERROR(P79*P78/SUMPRODUCT($D79:$DS79,$D78:$DS78),0)</x:f>
      </x:c>
      <x:c r="Q80" s="35" t="n">
        <x:f>IFERROR(Q79*Q78/SUMPRODUCT($D79:$DS79,$D78:$DS78),0)</x:f>
      </x:c>
      <x:c r="R80" s="35" t="n">
        <x:f>IFERROR(R79*R78/SUMPRODUCT($D79:$DS79,$D78:$DS78),0)</x:f>
      </x:c>
      <x:c r="S80" s="35" t="n">
        <x:f>IFERROR(S79*S78/SUMPRODUCT($D79:$DS79,$D78:$DS78),0)</x:f>
      </x:c>
      <x:c r="T80" s="35" t="n">
        <x:f>IFERROR(T79*T78/SUMPRODUCT($D79:$DS79,$D78:$DS78),0)</x:f>
      </x:c>
      <x:c r="U80" s="35" t="n">
        <x:f>IFERROR(U79*U78/SUMPRODUCT($D79:$DS79,$D78:$DS78),0)</x:f>
      </x:c>
      <x:c r="V80" s="35" t="n">
        <x:f>IFERROR(V79*V78/SUMPRODUCT($D79:$DS79,$D78:$DS78),0)</x:f>
      </x:c>
      <x:c r="W80" s="35" t="n">
        <x:f>IFERROR(W79*W78/SUMPRODUCT($D79:$DS79,$D78:$DS78),0)</x:f>
      </x:c>
      <x:c r="X80" s="35" t="n">
        <x:f>IFERROR(X79*X78/SUMPRODUCT($D79:$DS79,$D78:$DS78),0)</x:f>
      </x:c>
      <x:c r="Y80" s="35" t="n">
        <x:f>IFERROR(Y79*Y78/SUMPRODUCT($D79:$DS79,$D78:$DS78),0)</x:f>
      </x:c>
      <x:c r="Z80" s="35" t="n">
        <x:f>IFERROR(Z79*Z78/SUMPRODUCT($D79:$DS79,$D78:$DS78),0)</x:f>
      </x:c>
      <x:c r="AA80" s="35" t="n">
        <x:f>IFERROR(AA79*AA78/SUMPRODUCT($D79:$DS79,$D78:$DS78),0)</x:f>
      </x:c>
      <x:c r="AB80" s="35" t="n">
        <x:f>IFERROR(AB79*AB78/SUMPRODUCT($D79:$DS79,$D78:$DS78),0)</x:f>
      </x:c>
      <x:c r="AC80" s="35" t="n">
        <x:f>IFERROR(AC79*AC78/SUMPRODUCT($D79:$DS79,$D78:$DS78),0)</x:f>
      </x:c>
      <x:c r="AD80" s="35" t="n">
        <x:f>IFERROR(AD79*AD78/SUMPRODUCT($D79:$DS79,$D78:$DS78),0)</x:f>
      </x:c>
      <x:c r="AE80" s="35" t="n">
        <x:f>IFERROR(AE79*AE78/SUMPRODUCT($D79:$DS79,$D78:$DS78),0)</x:f>
      </x:c>
      <x:c r="AF80" s="35" t="n">
        <x:f>IFERROR(AF79*AF78/SUMPRODUCT($D79:$DS79,$D78:$DS78),0)</x:f>
      </x:c>
      <x:c r="AG80" s="35" t="n">
        <x:f>IFERROR(AG79*AG78/SUMPRODUCT($D79:$DS79,$D78:$DS78),0)</x:f>
      </x:c>
      <x:c r="AH80" s="35" t="n">
        <x:f>IFERROR(AH79*AH78/SUMPRODUCT($D79:$DS79,$D78:$DS78),0)</x:f>
      </x:c>
      <x:c r="AI80" s="35" t="n">
        <x:f>IFERROR(AI79*AI78/SUMPRODUCT($D79:$DS79,$D78:$DS78),0)</x:f>
      </x:c>
      <x:c r="AJ80" s="35" t="n">
        <x:f>IFERROR(AJ79*AJ78/SUMPRODUCT($D79:$DS79,$D78:$DS78),0)</x:f>
      </x:c>
      <x:c r="AK80" s="35" t="n">
        <x:f>IFERROR(AK79*AK78/SUMPRODUCT($D79:$DS79,$D78:$DS78),0)</x:f>
      </x:c>
      <x:c r="AL80" s="35" t="n">
        <x:f>IFERROR(AL79*AL78/SUMPRODUCT($D79:$DS79,$D78:$DS78),0)</x:f>
      </x:c>
      <x:c r="AM80" s="35" t="n">
        <x:f>IFERROR(AM79*AM78/SUMPRODUCT($D79:$DS79,$D78:$DS78),0)</x:f>
      </x:c>
      <x:c r="AN80" s="35" t="n">
        <x:f>IFERROR(AN79*AN78/SUMPRODUCT($D79:$DS79,$D78:$DS78),0)</x:f>
      </x:c>
      <x:c r="AO80" s="35" t="n">
        <x:f>IFERROR(AO79*AO78/SUMPRODUCT($D79:$DS79,$D78:$DS78),0)</x:f>
      </x:c>
      <x:c r="AP80" s="35" t="n">
        <x:f>IFERROR(AP79*AP78/SUMPRODUCT($D79:$DS79,$D78:$DS78),0)</x:f>
      </x:c>
      <x:c r="AQ80" s="35" t="n">
        <x:f>IFERROR(AQ79*AQ78/SUMPRODUCT($D79:$DS79,$D78:$DS78),0)</x:f>
      </x:c>
      <x:c r="AR80" s="35" t="n">
        <x:f>IFERROR(AR79*AR78/SUMPRODUCT($D79:$DS79,$D78:$DS78),0)</x:f>
      </x:c>
      <x:c r="AS80" s="35" t="n">
        <x:f>IFERROR(AS79*AS78/SUMPRODUCT($D79:$DS79,$D78:$DS78),0)</x:f>
      </x:c>
      <x:c r="AT80" s="35" t="n">
        <x:f>IFERROR(AT79*AT78/SUMPRODUCT($D79:$DS79,$D78:$DS78),0)</x:f>
      </x:c>
      <x:c r="AU80" s="35" t="n">
        <x:f>IFERROR(AU79*AU78/SUMPRODUCT($D79:$DS79,$D78:$DS78),0)</x:f>
      </x:c>
      <x:c r="AV80" s="35" t="n">
        <x:f>IFERROR(AV79*AV78/SUMPRODUCT($D79:$DS79,$D78:$DS78),0)</x:f>
      </x:c>
      <x:c r="AW80" s="35" t="n">
        <x:f>IFERROR(AW79*AW78/SUMPRODUCT($D79:$DS79,$D78:$DS78),0)</x:f>
      </x:c>
      <x:c r="AX80" s="35" t="n">
        <x:f>IFERROR(AX79*AX78/SUMPRODUCT($D79:$DS79,$D78:$DS78),0)</x:f>
      </x:c>
      <x:c r="AY80" s="35" t="n">
        <x:f>IFERROR(AY79*AY78/SUMPRODUCT($D79:$DS79,$D78:$DS78),0)</x:f>
      </x:c>
      <x:c r="AZ80" s="35" t="n">
        <x:f>IFERROR(AZ79*AZ78/SUMPRODUCT($D79:$DS79,$D78:$DS78),0)</x:f>
      </x:c>
      <x:c r="BA80" s="35" t="n">
        <x:f>IFERROR(BA79*BA78/SUMPRODUCT($D79:$DS79,$D78:$DS78),0)</x:f>
      </x:c>
      <x:c r="BB80" s="35" t="n">
        <x:f>IFERROR(BB79*BB78/SUMPRODUCT($D79:$DS79,$D78:$DS78),0)</x:f>
      </x:c>
      <x:c r="BC80" s="35" t="n">
        <x:f>IFERROR(BC79*BC78/SUMPRODUCT($D79:$DS79,$D78:$DS78),0)</x:f>
      </x:c>
      <x:c r="BD80" s="35" t="n">
        <x:f>IFERROR(BD79*BD78/SUMPRODUCT($D79:$DS79,$D78:$DS78),0)</x:f>
      </x:c>
      <x:c r="BE80" s="35" t="n">
        <x:f>IFERROR(BE79*BE78/SUMPRODUCT($D79:$DS79,$D78:$DS78),0)</x:f>
      </x:c>
      <x:c r="BF80" s="35" t="n">
        <x:f>IFERROR(BF79*BF78/SUMPRODUCT($D79:$DS79,$D78:$DS78),0)</x:f>
      </x:c>
      <x:c r="BG80" s="35" t="n">
        <x:f>IFERROR(BG79*BG78/SUMPRODUCT($D79:$DS79,$D78:$DS78),0)</x:f>
      </x:c>
      <x:c r="BH80" s="35" t="n">
        <x:f>IFERROR(BH79*BH78/SUMPRODUCT($D79:$DS79,$D78:$DS78),0)</x:f>
      </x:c>
      <x:c r="BI80" s="35" t="n">
        <x:f>IFERROR(BI79*BI78/SUMPRODUCT($D79:$DS79,$D78:$DS78),0)</x:f>
      </x:c>
      <x:c r="BJ80" s="35" t="n">
        <x:f>IFERROR(BJ79*BJ78/SUMPRODUCT($D79:$DS79,$D78:$DS78),0)</x:f>
      </x:c>
      <x:c r="BK80" s="35" t="n">
        <x:f>IFERROR(BK79*BK78/SUMPRODUCT($D79:$DS79,$D78:$DS78),0)</x:f>
      </x:c>
      <x:c r="BL80" s="35" t="n">
        <x:f>IFERROR(BL79*BL78/SUMPRODUCT($D79:$DS79,$D78:$DS78),0)</x:f>
      </x:c>
      <x:c r="BM80" s="35" t="n">
        <x:f>IFERROR(BM79*BM78/SUMPRODUCT($D79:$DS79,$D78:$DS78),0)</x:f>
      </x:c>
      <x:c r="BN80" s="35" t="n">
        <x:f>IFERROR(BN79*BN78/SUMPRODUCT($D79:$DS79,$D78:$DS78),0)</x:f>
      </x:c>
      <x:c r="BO80" s="35" t="n">
        <x:f>IFERROR(BO79*BO78/SUMPRODUCT($D79:$DS79,$D78:$DS78),0)</x:f>
      </x:c>
      <x:c r="BP80" s="35" t="n">
        <x:f>IFERROR(BP79*BP78/SUMPRODUCT($D79:$DS79,$D78:$DS78),0)</x:f>
      </x:c>
      <x:c r="BQ80" s="35" t="n">
        <x:f>IFERROR(BQ79*BQ78/SUMPRODUCT($D79:$DS79,$D78:$DS78),0)</x:f>
      </x:c>
      <x:c r="BR80" s="35" t="n">
        <x:f>IFERROR(BR79*BR78/SUMPRODUCT($D79:$DS79,$D78:$DS78),0)</x:f>
      </x:c>
      <x:c r="BS80" s="35" t="n">
        <x:f>IFERROR(BS79*BS78/SUMPRODUCT($D79:$DS79,$D78:$DS78),0)</x:f>
      </x:c>
      <x:c r="BT80" s="35" t="n">
        <x:f>IFERROR(BT79*BT78/SUMPRODUCT($D79:$DS79,$D78:$DS78),0)</x:f>
      </x:c>
      <x:c r="BU80" s="35" t="n">
        <x:f>IFERROR(BU79*BU78/SUMPRODUCT($D79:$DS79,$D78:$DS78),0)</x:f>
      </x:c>
      <x:c r="BV80" s="35" t="n">
        <x:f>IFERROR(BV79*BV78/SUMPRODUCT($D79:$DS79,$D78:$DS78),0)</x:f>
      </x:c>
      <x:c r="BW80" s="35" t="n">
        <x:f>IFERROR(BW79*BW78/SUMPRODUCT($D79:$DS79,$D78:$DS78),0)</x:f>
      </x:c>
      <x:c r="BX80" s="35" t="n">
        <x:f>IFERROR(BX79*BX78/SUMPRODUCT($D79:$DS79,$D78:$DS78),0)</x:f>
      </x:c>
      <x:c r="BY80" s="35" t="n">
        <x:f>IFERROR(BY79*BY78/SUMPRODUCT($D79:$DS79,$D78:$DS78),0)</x:f>
      </x:c>
      <x:c r="BZ80" s="35" t="n">
        <x:f>IFERROR(BZ79*BZ78/SUMPRODUCT($D79:$DS79,$D78:$DS78),0)</x:f>
      </x:c>
      <x:c r="CA80" s="35" t="n">
        <x:f>IFERROR(CA79*CA78/SUMPRODUCT($D79:$DS79,$D78:$DS78),0)</x:f>
      </x:c>
      <x:c r="CB80" s="35" t="n">
        <x:f>IFERROR(CB79*CB78/SUMPRODUCT($D79:$DS79,$D78:$DS78),0)</x:f>
      </x:c>
      <x:c r="CC80" s="35" t="n">
        <x:f>IFERROR(CC79*CC78/SUMPRODUCT($D79:$DS79,$D78:$DS78),0)</x:f>
      </x:c>
      <x:c r="CD80" s="35" t="n">
        <x:f>IFERROR(CD79*CD78/SUMPRODUCT($D79:$DS79,$D78:$DS78),0)</x:f>
      </x:c>
      <x:c r="CE80" s="35" t="n">
        <x:f>IFERROR(CE79*CE78/SUMPRODUCT($D79:$DS79,$D78:$DS78),0)</x:f>
      </x:c>
      <x:c r="CF80" s="35" t="n">
        <x:f>IFERROR(CF79*CF78/SUMPRODUCT($D79:$DS79,$D78:$DS78),0)</x:f>
      </x:c>
      <x:c r="CG80" s="35" t="n">
        <x:f>IFERROR(CG79*CG78/SUMPRODUCT($D79:$DS79,$D78:$DS78),0)</x:f>
      </x:c>
      <x:c r="CH80" s="35" t="n">
        <x:f>IFERROR(CH79*CH78/SUMPRODUCT($D79:$DS79,$D78:$DS78),0)</x:f>
      </x:c>
      <x:c r="CI80" s="35" t="n">
        <x:f>IFERROR(CI79*CI78/SUMPRODUCT($D79:$DS79,$D78:$DS78),0)</x:f>
      </x:c>
      <x:c r="CJ80" s="35" t="n">
        <x:f>IFERROR(CJ79*CJ78/SUMPRODUCT($D79:$DS79,$D78:$DS78),0)</x:f>
      </x:c>
      <x:c r="CK80" s="35" t="n">
        <x:f>IFERROR(CK79*CK78/SUMPRODUCT($D79:$DS79,$D78:$DS78),0)</x:f>
      </x:c>
      <x:c r="CL80" s="35" t="n">
        <x:f>IFERROR(CL79*CL78/SUMPRODUCT($D79:$DS79,$D78:$DS78),0)</x:f>
      </x:c>
      <x:c r="CM80" s="35" t="n">
        <x:f>IFERROR(CM79*CM78/SUMPRODUCT($D79:$DS79,$D78:$DS78),0)</x:f>
      </x:c>
      <x:c r="CN80" s="35" t="n">
        <x:f>IFERROR(CN79*CN78/SUMPRODUCT($D79:$DS79,$D78:$DS78),0)</x:f>
      </x:c>
      <x:c r="CO80" s="35" t="n">
        <x:f>IFERROR(CO79*CO78/SUMPRODUCT($D79:$DS79,$D78:$DS78),0)</x:f>
      </x:c>
      <x:c r="CP80" s="35" t="n">
        <x:f>IFERROR(CP79*CP78/SUMPRODUCT($D79:$DS79,$D78:$DS78),0)</x:f>
      </x:c>
      <x:c r="CQ80" s="35" t="n">
        <x:f>IFERROR(CQ79*CQ78/SUMPRODUCT($D79:$DS79,$D78:$DS78),0)</x:f>
      </x:c>
      <x:c r="CR80" s="35" t="n">
        <x:f>IFERROR(CR79*CR78/SUMPRODUCT($D79:$DS79,$D78:$DS78),0)</x:f>
      </x:c>
      <x:c r="CS80" s="35" t="n">
        <x:f>IFERROR(CS79*CS78/SUMPRODUCT($D79:$DS79,$D78:$DS78),0)</x:f>
      </x:c>
      <x:c r="CT80" s="35" t="n">
        <x:f>IFERROR(CT79*CT78/SUMPRODUCT($D79:$DS79,$D78:$DS78),0)</x:f>
      </x:c>
      <x:c r="CU80" s="35" t="n">
        <x:f>IFERROR(CU79*CU78/SUMPRODUCT($D79:$DS79,$D78:$DS78),0)</x:f>
      </x:c>
      <x:c r="CV80" s="35" t="n">
        <x:f>IFERROR(CV79*CV78/SUMPRODUCT($D79:$DS79,$D78:$DS78),0)</x:f>
      </x:c>
      <x:c r="CW80" s="35" t="n">
        <x:f>IFERROR(CW79*CW78/SUMPRODUCT($D79:$DS79,$D78:$DS78),0)</x:f>
      </x:c>
      <x:c r="CX80" s="35" t="n">
        <x:f>IFERROR(CX79*CX78/SUMPRODUCT($D79:$DS79,$D78:$DS78),0)</x:f>
      </x:c>
      <x:c r="CY80" s="35" t="n">
        <x:f>IFERROR(CY79*CY78/SUMPRODUCT($D79:$DS79,$D78:$DS78),0)</x:f>
      </x:c>
      <x:c r="CZ80" s="35" t="n">
        <x:f>IFERROR(CZ79*CZ78/SUMPRODUCT($D79:$DS79,$D78:$DS78),0)</x:f>
      </x:c>
      <x:c r="DA80" s="35" t="n">
        <x:f>IFERROR(DA79*DA78/SUMPRODUCT($D79:$DS79,$D78:$DS78),0)</x:f>
      </x:c>
      <x:c r="DB80" s="35" t="n">
        <x:f>IFERROR(DB79*DB78/SUMPRODUCT($D79:$DS79,$D78:$DS78),0)</x:f>
      </x:c>
      <x:c r="DC80" s="35" t="n">
        <x:f>IFERROR(DC79*DC78/SUMPRODUCT($D79:$DS79,$D78:$DS78),0)</x:f>
      </x:c>
      <x:c r="DD80" s="35" t="n">
        <x:f>IFERROR(DD79*DD78/SUMPRODUCT($D79:$DS79,$D78:$DS78),0)</x:f>
      </x:c>
      <x:c r="DE80" s="35" t="n">
        <x:f>IFERROR(DE79*DE78/SUMPRODUCT($D79:$DS79,$D78:$DS78),0)</x:f>
      </x:c>
      <x:c r="DF80" s="35" t="n">
        <x:f>IFERROR(DF79*DF78/SUMPRODUCT($D79:$DS79,$D78:$DS78),0)</x:f>
      </x:c>
      <x:c r="DG80" s="35" t="n">
        <x:f>IFERROR(DG79*DG78/SUMPRODUCT($D79:$DS79,$D78:$DS78),0)</x:f>
      </x:c>
      <x:c r="DH80" s="35" t="n">
        <x:f>IFERROR(DH79*DH78/SUMPRODUCT($D79:$DS79,$D78:$DS78),0)</x:f>
      </x:c>
      <x:c r="DI80" s="35" t="n">
        <x:f>IFERROR(DI79*DI78/SUMPRODUCT($D79:$DS79,$D78:$DS78),0)</x:f>
      </x:c>
      <x:c r="DJ80" s="35" t="n">
        <x:f>IFERROR(DJ79*DJ78/SUMPRODUCT($D79:$DS79,$D78:$DS78),0)</x:f>
      </x:c>
      <x:c r="DK80" s="35" t="n">
        <x:f>IFERROR(DK79*DK78/SUMPRODUCT($D79:$DS79,$D78:$DS78),0)</x:f>
      </x:c>
      <x:c r="DL80" s="35" t="n">
        <x:f>IFERROR(DL79*DL78/SUMPRODUCT($D79:$DS79,$D78:$DS78),0)</x:f>
      </x:c>
      <x:c r="DM80" s="35" t="n">
        <x:f>IFERROR(DM79*DM78/SUMPRODUCT($D79:$DS79,$D78:$DS78),0)</x:f>
      </x:c>
      <x:c r="DN80" s="35" t="n">
        <x:f>IFERROR(DN79*DN78/SUMPRODUCT($D79:$DS79,$D78:$DS78),0)</x:f>
      </x:c>
      <x:c r="DO80" s="35" t="n">
        <x:f>IFERROR(DO79*DO78/SUMPRODUCT($D79:$DS79,$D78:$DS78),0)</x:f>
      </x:c>
      <x:c r="DP80" s="35" t="n">
        <x:f>IFERROR(DP79*DP78/SUMPRODUCT($D79:$DS79,$D78:$DS78),0)</x:f>
      </x:c>
      <x:c r="DQ80" s="35" t="n">
        <x:f>IFERROR(DQ79*DQ78/SUMPRODUCT($D79:$DS79,$D78:$DS78),0)</x:f>
      </x:c>
      <x:c r="DR80" s="35" t="n">
        <x:f>IFERROR(DR79*DR78/SUMPRODUCT($D79:$DS79,$D78:$DS78),0)</x:f>
      </x:c>
      <x:c r="DS80" s="35" t="n">
        <x:f>IFERROR(DS79*DS78/SUMPRODUCT($D79:$DS79,$D78:$DS78),0)</x:f>
      </x:c>
    </x:row>
    <x:row r="81">
      <x:c r="A81" t="str">
        <x:v>Флаг продаж после РВЭ</x:v>
      </x:c>
      <x:c r="B81"/>
      <x:c r="C81" t="str">
        <x:v>0/1</x:v>
      </x:c>
      <x:c r="D81" s="35" t="n">
        <x:f>--AND(D$3&gt;=MAX($B$76,$B$77),D$3&lt;EDATE($B$76,MAX(1,'Вводные'!$H$91)),'Вводные'!$B$91="Да")</x:f>
      </x:c>
      <x:c r="E81" s="35" t="n">
        <x:f>--AND(E$3&gt;=MAX($B$76,$B$77),E$3&lt;EDATE($B$76,MAX(1,'Вводные'!$H$91)),'Вводные'!$B$91="Да")</x:f>
      </x:c>
      <x:c r="F81" s="35" t="n">
        <x:f>--AND(F$3&gt;=MAX($B$76,$B$77),F$3&lt;EDATE($B$76,MAX(1,'Вводные'!$H$91)),'Вводные'!$B$91="Да")</x:f>
      </x:c>
      <x:c r="G81" s="35" t="n">
        <x:f>--AND(G$3&gt;=MAX($B$76,$B$77),G$3&lt;EDATE($B$76,MAX(1,'Вводные'!$H$91)),'Вводные'!$B$91="Да")</x:f>
      </x:c>
      <x:c r="H81" s="35" t="n">
        <x:f>--AND(H$3&gt;=MAX($B$76,$B$77),H$3&lt;EDATE($B$76,MAX(1,'Вводные'!$H$91)),'Вводные'!$B$91="Да")</x:f>
      </x:c>
      <x:c r="I81" s="35" t="n">
        <x:f>--AND(I$3&gt;=MAX($B$76,$B$77),I$3&lt;EDATE($B$76,MAX(1,'Вводные'!$H$91)),'Вводные'!$B$91="Да")</x:f>
      </x:c>
      <x:c r="J81" s="35" t="n">
        <x:f>--AND(J$3&gt;=MAX($B$76,$B$77),J$3&lt;EDATE($B$76,MAX(1,'Вводные'!$H$91)),'Вводные'!$B$91="Да")</x:f>
      </x:c>
      <x:c r="K81" s="35" t="n">
        <x:f>--AND(K$3&gt;=MAX($B$76,$B$77),K$3&lt;EDATE($B$76,MAX(1,'Вводные'!$H$91)),'Вводные'!$B$91="Да")</x:f>
      </x:c>
      <x:c r="L81" s="35" t="n">
        <x:f>--AND(L$3&gt;=MAX($B$76,$B$77),L$3&lt;EDATE($B$76,MAX(1,'Вводные'!$H$91)),'Вводные'!$B$91="Да")</x:f>
      </x:c>
      <x:c r="M81" s="35" t="n">
        <x:f>--AND(M$3&gt;=MAX($B$76,$B$77),M$3&lt;EDATE($B$76,MAX(1,'Вводные'!$H$91)),'Вводные'!$B$91="Да")</x:f>
      </x:c>
      <x:c r="N81" s="35" t="n">
        <x:f>--AND(N$3&gt;=MAX($B$76,$B$77),N$3&lt;EDATE($B$76,MAX(1,'Вводные'!$H$91)),'Вводные'!$B$91="Да")</x:f>
      </x:c>
      <x:c r="O81" s="35" t="n">
        <x:f>--AND(O$3&gt;=MAX($B$76,$B$77),O$3&lt;EDATE($B$76,MAX(1,'Вводные'!$H$91)),'Вводные'!$B$91="Да")</x:f>
      </x:c>
      <x:c r="P81" s="35" t="n">
        <x:f>--AND(P$3&gt;=MAX($B$76,$B$77),P$3&lt;EDATE($B$76,MAX(1,'Вводные'!$H$91)),'Вводные'!$B$91="Да")</x:f>
      </x:c>
      <x:c r="Q81" s="35" t="n">
        <x:f>--AND(Q$3&gt;=MAX($B$76,$B$77),Q$3&lt;EDATE($B$76,MAX(1,'Вводные'!$H$91)),'Вводные'!$B$91="Да")</x:f>
      </x:c>
      <x:c r="R81" s="35" t="n">
        <x:f>--AND(R$3&gt;=MAX($B$76,$B$77),R$3&lt;EDATE($B$76,MAX(1,'Вводные'!$H$91)),'Вводные'!$B$91="Да")</x:f>
      </x:c>
      <x:c r="S81" s="35" t="n">
        <x:f>--AND(S$3&gt;=MAX($B$76,$B$77),S$3&lt;EDATE($B$76,MAX(1,'Вводные'!$H$91)),'Вводные'!$B$91="Да")</x:f>
      </x:c>
      <x:c r="T81" s="35" t="n">
        <x:f>--AND(T$3&gt;=MAX($B$76,$B$77),T$3&lt;EDATE($B$76,MAX(1,'Вводные'!$H$91)),'Вводные'!$B$91="Да")</x:f>
      </x:c>
      <x:c r="U81" s="35" t="n">
        <x:f>--AND(U$3&gt;=MAX($B$76,$B$77),U$3&lt;EDATE($B$76,MAX(1,'Вводные'!$H$91)),'Вводные'!$B$91="Да")</x:f>
      </x:c>
      <x:c r="V81" s="35" t="n">
        <x:f>--AND(V$3&gt;=MAX($B$76,$B$77),V$3&lt;EDATE($B$76,MAX(1,'Вводные'!$H$91)),'Вводные'!$B$91="Да")</x:f>
      </x:c>
      <x:c r="W81" s="35" t="n">
        <x:f>--AND(W$3&gt;=MAX($B$76,$B$77),W$3&lt;EDATE($B$76,MAX(1,'Вводные'!$H$91)),'Вводные'!$B$91="Да")</x:f>
      </x:c>
      <x:c r="X81" s="35" t="n">
        <x:f>--AND(X$3&gt;=MAX($B$76,$B$77),X$3&lt;EDATE($B$76,MAX(1,'Вводные'!$H$91)),'Вводные'!$B$91="Да")</x:f>
      </x:c>
      <x:c r="Y81" s="35" t="n">
        <x:f>--AND(Y$3&gt;=MAX($B$76,$B$77),Y$3&lt;EDATE($B$76,MAX(1,'Вводные'!$H$91)),'Вводные'!$B$91="Да")</x:f>
      </x:c>
      <x:c r="Z81" s="35" t="n">
        <x:f>--AND(Z$3&gt;=MAX($B$76,$B$77),Z$3&lt;EDATE($B$76,MAX(1,'Вводные'!$H$91)),'Вводные'!$B$91="Да")</x:f>
      </x:c>
      <x:c r="AA81" s="35" t="n">
        <x:f>--AND(AA$3&gt;=MAX($B$76,$B$77),AA$3&lt;EDATE($B$76,MAX(1,'Вводные'!$H$91)),'Вводные'!$B$91="Да")</x:f>
      </x:c>
      <x:c r="AB81" s="35" t="n">
        <x:f>--AND(AB$3&gt;=MAX($B$76,$B$77),AB$3&lt;EDATE($B$76,MAX(1,'Вводные'!$H$91)),'Вводные'!$B$91="Да")</x:f>
      </x:c>
      <x:c r="AC81" s="35" t="n">
        <x:f>--AND(AC$3&gt;=MAX($B$76,$B$77),AC$3&lt;EDATE($B$76,MAX(1,'Вводные'!$H$91)),'Вводные'!$B$91="Да")</x:f>
      </x:c>
      <x:c r="AD81" s="35" t="n">
        <x:f>--AND(AD$3&gt;=MAX($B$76,$B$77),AD$3&lt;EDATE($B$76,MAX(1,'Вводные'!$H$91)),'Вводные'!$B$91="Да")</x:f>
      </x:c>
      <x:c r="AE81" s="35" t="n">
        <x:f>--AND(AE$3&gt;=MAX($B$76,$B$77),AE$3&lt;EDATE($B$76,MAX(1,'Вводные'!$H$91)),'Вводные'!$B$91="Да")</x:f>
      </x:c>
      <x:c r="AF81" s="35" t="n">
        <x:f>--AND(AF$3&gt;=MAX($B$76,$B$77),AF$3&lt;EDATE($B$76,MAX(1,'Вводные'!$H$91)),'Вводные'!$B$91="Да")</x:f>
      </x:c>
      <x:c r="AG81" s="35" t="n">
        <x:f>--AND(AG$3&gt;=MAX($B$76,$B$77),AG$3&lt;EDATE($B$76,MAX(1,'Вводные'!$H$91)),'Вводные'!$B$91="Да")</x:f>
      </x:c>
      <x:c r="AH81" s="35" t="n">
        <x:f>--AND(AH$3&gt;=MAX($B$76,$B$77),AH$3&lt;EDATE($B$76,MAX(1,'Вводные'!$H$91)),'Вводные'!$B$91="Да")</x:f>
      </x:c>
      <x:c r="AI81" s="35" t="n">
        <x:f>--AND(AI$3&gt;=MAX($B$76,$B$77),AI$3&lt;EDATE($B$76,MAX(1,'Вводные'!$H$91)),'Вводные'!$B$91="Да")</x:f>
      </x:c>
      <x:c r="AJ81" s="35" t="n">
        <x:f>--AND(AJ$3&gt;=MAX($B$76,$B$77),AJ$3&lt;EDATE($B$76,MAX(1,'Вводные'!$H$91)),'Вводные'!$B$91="Да")</x:f>
      </x:c>
      <x:c r="AK81" s="35" t="n">
        <x:f>--AND(AK$3&gt;=MAX($B$76,$B$77),AK$3&lt;EDATE($B$76,MAX(1,'Вводные'!$H$91)),'Вводные'!$B$91="Да")</x:f>
      </x:c>
      <x:c r="AL81" s="35" t="n">
        <x:f>--AND(AL$3&gt;=MAX($B$76,$B$77),AL$3&lt;EDATE($B$76,MAX(1,'Вводные'!$H$91)),'Вводные'!$B$91="Да")</x:f>
      </x:c>
      <x:c r="AM81" s="35" t="n">
        <x:f>--AND(AM$3&gt;=MAX($B$76,$B$77),AM$3&lt;EDATE($B$76,MAX(1,'Вводные'!$H$91)),'Вводные'!$B$91="Да")</x:f>
      </x:c>
      <x:c r="AN81" s="35" t="n">
        <x:f>--AND(AN$3&gt;=MAX($B$76,$B$77),AN$3&lt;EDATE($B$76,MAX(1,'Вводные'!$H$91)),'Вводные'!$B$91="Да")</x:f>
      </x:c>
      <x:c r="AO81" s="35" t="n">
        <x:f>--AND(AO$3&gt;=MAX($B$76,$B$77),AO$3&lt;EDATE($B$76,MAX(1,'Вводные'!$H$91)),'Вводные'!$B$91="Да")</x:f>
      </x:c>
      <x:c r="AP81" s="35" t="n">
        <x:f>--AND(AP$3&gt;=MAX($B$76,$B$77),AP$3&lt;EDATE($B$76,MAX(1,'Вводные'!$H$91)),'Вводные'!$B$91="Да")</x:f>
      </x:c>
      <x:c r="AQ81" s="35" t="n">
        <x:f>--AND(AQ$3&gt;=MAX($B$76,$B$77),AQ$3&lt;EDATE($B$76,MAX(1,'Вводные'!$H$91)),'Вводные'!$B$91="Да")</x:f>
      </x:c>
      <x:c r="AR81" s="35" t="n">
        <x:f>--AND(AR$3&gt;=MAX($B$76,$B$77),AR$3&lt;EDATE($B$76,MAX(1,'Вводные'!$H$91)),'Вводные'!$B$91="Да")</x:f>
      </x:c>
      <x:c r="AS81" s="35" t="n">
        <x:f>--AND(AS$3&gt;=MAX($B$76,$B$77),AS$3&lt;EDATE($B$76,MAX(1,'Вводные'!$H$91)),'Вводные'!$B$91="Да")</x:f>
      </x:c>
      <x:c r="AT81" s="35" t="n">
        <x:f>--AND(AT$3&gt;=MAX($B$76,$B$77),AT$3&lt;EDATE($B$76,MAX(1,'Вводные'!$H$91)),'Вводные'!$B$91="Да")</x:f>
      </x:c>
      <x:c r="AU81" s="35" t="n">
        <x:f>--AND(AU$3&gt;=MAX($B$76,$B$77),AU$3&lt;EDATE($B$76,MAX(1,'Вводные'!$H$91)),'Вводные'!$B$91="Да")</x:f>
      </x:c>
      <x:c r="AV81" s="35" t="n">
        <x:f>--AND(AV$3&gt;=MAX($B$76,$B$77),AV$3&lt;EDATE($B$76,MAX(1,'Вводные'!$H$91)),'Вводные'!$B$91="Да")</x:f>
      </x:c>
      <x:c r="AW81" s="35" t="n">
        <x:f>--AND(AW$3&gt;=MAX($B$76,$B$77),AW$3&lt;EDATE($B$76,MAX(1,'Вводные'!$H$91)),'Вводные'!$B$91="Да")</x:f>
      </x:c>
      <x:c r="AX81" s="35" t="n">
        <x:f>--AND(AX$3&gt;=MAX($B$76,$B$77),AX$3&lt;EDATE($B$76,MAX(1,'Вводные'!$H$91)),'Вводные'!$B$91="Да")</x:f>
      </x:c>
      <x:c r="AY81" s="35" t="n">
        <x:f>--AND(AY$3&gt;=MAX($B$76,$B$77),AY$3&lt;EDATE($B$76,MAX(1,'Вводные'!$H$91)),'Вводные'!$B$91="Да")</x:f>
      </x:c>
      <x:c r="AZ81" s="35" t="n">
        <x:f>--AND(AZ$3&gt;=MAX($B$76,$B$77),AZ$3&lt;EDATE($B$76,MAX(1,'Вводные'!$H$91)),'Вводные'!$B$91="Да")</x:f>
      </x:c>
      <x:c r="BA81" s="35" t="n">
        <x:f>--AND(BA$3&gt;=MAX($B$76,$B$77),BA$3&lt;EDATE($B$76,MAX(1,'Вводные'!$H$91)),'Вводные'!$B$91="Да")</x:f>
      </x:c>
      <x:c r="BB81" s="35" t="n">
        <x:f>--AND(BB$3&gt;=MAX($B$76,$B$77),BB$3&lt;EDATE($B$76,MAX(1,'Вводные'!$H$91)),'Вводные'!$B$91="Да")</x:f>
      </x:c>
      <x:c r="BC81" s="35" t="n">
        <x:f>--AND(BC$3&gt;=MAX($B$76,$B$77),BC$3&lt;EDATE($B$76,MAX(1,'Вводные'!$H$91)),'Вводные'!$B$91="Да")</x:f>
      </x:c>
      <x:c r="BD81" s="35" t="n">
        <x:f>--AND(BD$3&gt;=MAX($B$76,$B$77),BD$3&lt;EDATE($B$76,MAX(1,'Вводные'!$H$91)),'Вводные'!$B$91="Да")</x:f>
      </x:c>
      <x:c r="BE81" s="35" t="n">
        <x:f>--AND(BE$3&gt;=MAX($B$76,$B$77),BE$3&lt;EDATE($B$76,MAX(1,'Вводные'!$H$91)),'Вводные'!$B$91="Да")</x:f>
      </x:c>
      <x:c r="BF81" s="35" t="n">
        <x:f>--AND(BF$3&gt;=MAX($B$76,$B$77),BF$3&lt;EDATE($B$76,MAX(1,'Вводные'!$H$91)),'Вводные'!$B$91="Да")</x:f>
      </x:c>
      <x:c r="BG81" s="35" t="n">
        <x:f>--AND(BG$3&gt;=MAX($B$76,$B$77),BG$3&lt;EDATE($B$76,MAX(1,'Вводные'!$H$91)),'Вводные'!$B$91="Да")</x:f>
      </x:c>
      <x:c r="BH81" s="35" t="n">
        <x:f>--AND(BH$3&gt;=MAX($B$76,$B$77),BH$3&lt;EDATE($B$76,MAX(1,'Вводные'!$H$91)),'Вводные'!$B$91="Да")</x:f>
      </x:c>
      <x:c r="BI81" s="35" t="n">
        <x:f>--AND(BI$3&gt;=MAX($B$76,$B$77),BI$3&lt;EDATE($B$76,MAX(1,'Вводные'!$H$91)),'Вводные'!$B$91="Да")</x:f>
      </x:c>
      <x:c r="BJ81" s="35" t="n">
        <x:f>--AND(BJ$3&gt;=MAX($B$76,$B$77),BJ$3&lt;EDATE($B$76,MAX(1,'Вводные'!$H$91)),'Вводные'!$B$91="Да")</x:f>
      </x:c>
      <x:c r="BK81" s="35" t="n">
        <x:f>--AND(BK$3&gt;=MAX($B$76,$B$77),BK$3&lt;EDATE($B$76,MAX(1,'Вводные'!$H$91)),'Вводные'!$B$91="Да")</x:f>
      </x:c>
      <x:c r="BL81" s="35" t="n">
        <x:f>--AND(BL$3&gt;=MAX($B$76,$B$77),BL$3&lt;EDATE($B$76,MAX(1,'Вводные'!$H$91)),'Вводные'!$B$91="Да")</x:f>
      </x:c>
      <x:c r="BM81" s="35" t="n">
        <x:f>--AND(BM$3&gt;=MAX($B$76,$B$77),BM$3&lt;EDATE($B$76,MAX(1,'Вводные'!$H$91)),'Вводные'!$B$91="Да")</x:f>
      </x:c>
      <x:c r="BN81" s="35" t="n">
        <x:f>--AND(BN$3&gt;=MAX($B$76,$B$77),BN$3&lt;EDATE($B$76,MAX(1,'Вводные'!$H$91)),'Вводные'!$B$91="Да")</x:f>
      </x:c>
      <x:c r="BO81" s="35" t="n">
        <x:f>--AND(BO$3&gt;=MAX($B$76,$B$77),BO$3&lt;EDATE($B$76,MAX(1,'Вводные'!$H$91)),'Вводные'!$B$91="Да")</x:f>
      </x:c>
      <x:c r="BP81" s="35" t="n">
        <x:f>--AND(BP$3&gt;=MAX($B$76,$B$77),BP$3&lt;EDATE($B$76,MAX(1,'Вводные'!$H$91)),'Вводные'!$B$91="Да")</x:f>
      </x:c>
      <x:c r="BQ81" s="35" t="n">
        <x:f>--AND(BQ$3&gt;=MAX($B$76,$B$77),BQ$3&lt;EDATE($B$76,MAX(1,'Вводные'!$H$91)),'Вводные'!$B$91="Да")</x:f>
      </x:c>
      <x:c r="BR81" s="35" t="n">
        <x:f>--AND(BR$3&gt;=MAX($B$76,$B$77),BR$3&lt;EDATE($B$76,MAX(1,'Вводные'!$H$91)),'Вводные'!$B$91="Да")</x:f>
      </x:c>
      <x:c r="BS81" s="35" t="n">
        <x:f>--AND(BS$3&gt;=MAX($B$76,$B$77),BS$3&lt;EDATE($B$76,MAX(1,'Вводные'!$H$91)),'Вводные'!$B$91="Да")</x:f>
      </x:c>
      <x:c r="BT81" s="35" t="n">
        <x:f>--AND(BT$3&gt;=MAX($B$76,$B$77),BT$3&lt;EDATE($B$76,MAX(1,'Вводные'!$H$91)),'Вводные'!$B$91="Да")</x:f>
      </x:c>
      <x:c r="BU81" s="35" t="n">
        <x:f>--AND(BU$3&gt;=MAX($B$76,$B$77),BU$3&lt;EDATE($B$76,MAX(1,'Вводные'!$H$91)),'Вводные'!$B$91="Да")</x:f>
      </x:c>
      <x:c r="BV81" s="35" t="n">
        <x:f>--AND(BV$3&gt;=MAX($B$76,$B$77),BV$3&lt;EDATE($B$76,MAX(1,'Вводные'!$H$91)),'Вводные'!$B$91="Да")</x:f>
      </x:c>
      <x:c r="BW81" s="35" t="n">
        <x:f>--AND(BW$3&gt;=MAX($B$76,$B$77),BW$3&lt;EDATE($B$76,MAX(1,'Вводные'!$H$91)),'Вводные'!$B$91="Да")</x:f>
      </x:c>
      <x:c r="BX81" s="35" t="n">
        <x:f>--AND(BX$3&gt;=MAX($B$76,$B$77),BX$3&lt;EDATE($B$76,MAX(1,'Вводные'!$H$91)),'Вводные'!$B$91="Да")</x:f>
      </x:c>
      <x:c r="BY81" s="35" t="n">
        <x:f>--AND(BY$3&gt;=MAX($B$76,$B$77),BY$3&lt;EDATE($B$76,MAX(1,'Вводные'!$H$91)),'Вводные'!$B$91="Да")</x:f>
      </x:c>
      <x:c r="BZ81" s="35" t="n">
        <x:f>--AND(BZ$3&gt;=MAX($B$76,$B$77),BZ$3&lt;EDATE($B$76,MAX(1,'Вводные'!$H$91)),'Вводные'!$B$91="Да")</x:f>
      </x:c>
      <x:c r="CA81" s="35" t="n">
        <x:f>--AND(CA$3&gt;=MAX($B$76,$B$77),CA$3&lt;EDATE($B$76,MAX(1,'Вводные'!$H$91)),'Вводные'!$B$91="Да")</x:f>
      </x:c>
      <x:c r="CB81" s="35" t="n">
        <x:f>--AND(CB$3&gt;=MAX($B$76,$B$77),CB$3&lt;EDATE($B$76,MAX(1,'Вводные'!$H$91)),'Вводные'!$B$91="Да")</x:f>
      </x:c>
      <x:c r="CC81" s="35" t="n">
        <x:f>--AND(CC$3&gt;=MAX($B$76,$B$77),CC$3&lt;EDATE($B$76,MAX(1,'Вводные'!$H$91)),'Вводные'!$B$91="Да")</x:f>
      </x:c>
      <x:c r="CD81" s="35" t="n">
        <x:f>--AND(CD$3&gt;=MAX($B$76,$B$77),CD$3&lt;EDATE($B$76,MAX(1,'Вводные'!$H$91)),'Вводные'!$B$91="Да")</x:f>
      </x:c>
      <x:c r="CE81" s="35" t="n">
        <x:f>--AND(CE$3&gt;=MAX($B$76,$B$77),CE$3&lt;EDATE($B$76,MAX(1,'Вводные'!$H$91)),'Вводные'!$B$91="Да")</x:f>
      </x:c>
      <x:c r="CF81" s="35" t="n">
        <x:f>--AND(CF$3&gt;=MAX($B$76,$B$77),CF$3&lt;EDATE($B$76,MAX(1,'Вводные'!$H$91)),'Вводные'!$B$91="Да")</x:f>
      </x:c>
      <x:c r="CG81" s="35" t="n">
        <x:f>--AND(CG$3&gt;=MAX($B$76,$B$77),CG$3&lt;EDATE($B$76,MAX(1,'Вводные'!$H$91)),'Вводные'!$B$91="Да")</x:f>
      </x:c>
      <x:c r="CH81" s="35" t="n">
        <x:f>--AND(CH$3&gt;=MAX($B$76,$B$77),CH$3&lt;EDATE($B$76,MAX(1,'Вводные'!$H$91)),'Вводные'!$B$91="Да")</x:f>
      </x:c>
      <x:c r="CI81" s="35" t="n">
        <x:f>--AND(CI$3&gt;=MAX($B$76,$B$77),CI$3&lt;EDATE($B$76,MAX(1,'Вводные'!$H$91)),'Вводные'!$B$91="Да")</x:f>
      </x:c>
      <x:c r="CJ81" s="35" t="n">
        <x:f>--AND(CJ$3&gt;=MAX($B$76,$B$77),CJ$3&lt;EDATE($B$76,MAX(1,'Вводные'!$H$91)),'Вводные'!$B$91="Да")</x:f>
      </x:c>
      <x:c r="CK81" s="35" t="n">
        <x:f>--AND(CK$3&gt;=MAX($B$76,$B$77),CK$3&lt;EDATE($B$76,MAX(1,'Вводные'!$H$91)),'Вводные'!$B$91="Да")</x:f>
      </x:c>
      <x:c r="CL81" s="35" t="n">
        <x:f>--AND(CL$3&gt;=MAX($B$76,$B$77),CL$3&lt;EDATE($B$76,MAX(1,'Вводные'!$H$91)),'Вводные'!$B$91="Да")</x:f>
      </x:c>
      <x:c r="CM81" s="35" t="n">
        <x:f>--AND(CM$3&gt;=MAX($B$76,$B$77),CM$3&lt;EDATE($B$76,MAX(1,'Вводные'!$H$91)),'Вводные'!$B$91="Да")</x:f>
      </x:c>
      <x:c r="CN81" s="35" t="n">
        <x:f>--AND(CN$3&gt;=MAX($B$76,$B$77),CN$3&lt;EDATE($B$76,MAX(1,'Вводные'!$H$91)),'Вводные'!$B$91="Да")</x:f>
      </x:c>
      <x:c r="CO81" s="35" t="n">
        <x:f>--AND(CO$3&gt;=MAX($B$76,$B$77),CO$3&lt;EDATE($B$76,MAX(1,'Вводные'!$H$91)),'Вводные'!$B$91="Да")</x:f>
      </x:c>
      <x:c r="CP81" s="35" t="n">
        <x:f>--AND(CP$3&gt;=MAX($B$76,$B$77),CP$3&lt;EDATE($B$76,MAX(1,'Вводные'!$H$91)),'Вводные'!$B$91="Да")</x:f>
      </x:c>
      <x:c r="CQ81" s="35" t="n">
        <x:f>--AND(CQ$3&gt;=MAX($B$76,$B$77),CQ$3&lt;EDATE($B$76,MAX(1,'Вводные'!$H$91)),'Вводные'!$B$91="Да")</x:f>
      </x:c>
      <x:c r="CR81" s="35" t="n">
        <x:f>--AND(CR$3&gt;=MAX($B$76,$B$77),CR$3&lt;EDATE($B$76,MAX(1,'Вводные'!$H$91)),'Вводные'!$B$91="Да")</x:f>
      </x:c>
      <x:c r="CS81" s="35" t="n">
        <x:f>--AND(CS$3&gt;=MAX($B$76,$B$77),CS$3&lt;EDATE($B$76,MAX(1,'Вводные'!$H$91)),'Вводные'!$B$91="Да")</x:f>
      </x:c>
      <x:c r="CT81" s="35" t="n">
        <x:f>--AND(CT$3&gt;=MAX($B$76,$B$77),CT$3&lt;EDATE($B$76,MAX(1,'Вводные'!$H$91)),'Вводные'!$B$91="Да")</x:f>
      </x:c>
      <x:c r="CU81" s="35" t="n">
        <x:f>--AND(CU$3&gt;=MAX($B$76,$B$77),CU$3&lt;EDATE($B$76,MAX(1,'Вводные'!$H$91)),'Вводные'!$B$91="Да")</x:f>
      </x:c>
      <x:c r="CV81" s="35" t="n">
        <x:f>--AND(CV$3&gt;=MAX($B$76,$B$77),CV$3&lt;EDATE($B$76,MAX(1,'Вводные'!$H$91)),'Вводные'!$B$91="Да")</x:f>
      </x:c>
      <x:c r="CW81" s="35" t="n">
        <x:f>--AND(CW$3&gt;=MAX($B$76,$B$77),CW$3&lt;EDATE($B$76,MAX(1,'Вводные'!$H$91)),'Вводные'!$B$91="Да")</x:f>
      </x:c>
      <x:c r="CX81" s="35" t="n">
        <x:f>--AND(CX$3&gt;=MAX($B$76,$B$77),CX$3&lt;EDATE($B$76,MAX(1,'Вводные'!$H$91)),'Вводные'!$B$91="Да")</x:f>
      </x:c>
      <x:c r="CY81" s="35" t="n">
        <x:f>--AND(CY$3&gt;=MAX($B$76,$B$77),CY$3&lt;EDATE($B$76,MAX(1,'Вводные'!$H$91)),'Вводные'!$B$91="Да")</x:f>
      </x:c>
      <x:c r="CZ81" s="35" t="n">
        <x:f>--AND(CZ$3&gt;=MAX($B$76,$B$77),CZ$3&lt;EDATE($B$76,MAX(1,'Вводные'!$H$91)),'Вводные'!$B$91="Да")</x:f>
      </x:c>
      <x:c r="DA81" s="35" t="n">
        <x:f>--AND(DA$3&gt;=MAX($B$76,$B$77),DA$3&lt;EDATE($B$76,MAX(1,'Вводные'!$H$91)),'Вводные'!$B$91="Да")</x:f>
      </x:c>
      <x:c r="DB81" s="35" t="n">
        <x:f>--AND(DB$3&gt;=MAX($B$76,$B$77),DB$3&lt;EDATE($B$76,MAX(1,'Вводные'!$H$91)),'Вводные'!$B$91="Да")</x:f>
      </x:c>
      <x:c r="DC81" s="35" t="n">
        <x:f>--AND(DC$3&gt;=MAX($B$76,$B$77),DC$3&lt;EDATE($B$76,MAX(1,'Вводные'!$H$91)),'Вводные'!$B$91="Да")</x:f>
      </x:c>
      <x:c r="DD81" s="35" t="n">
        <x:f>--AND(DD$3&gt;=MAX($B$76,$B$77),DD$3&lt;EDATE($B$76,MAX(1,'Вводные'!$H$91)),'Вводные'!$B$91="Да")</x:f>
      </x:c>
      <x:c r="DE81" s="35" t="n">
        <x:f>--AND(DE$3&gt;=MAX($B$76,$B$77),DE$3&lt;EDATE($B$76,MAX(1,'Вводные'!$H$91)),'Вводные'!$B$91="Да")</x:f>
      </x:c>
      <x:c r="DF81" s="35" t="n">
        <x:f>--AND(DF$3&gt;=MAX($B$76,$B$77),DF$3&lt;EDATE($B$76,MAX(1,'Вводные'!$H$91)),'Вводные'!$B$91="Да")</x:f>
      </x:c>
      <x:c r="DG81" s="35" t="n">
        <x:f>--AND(DG$3&gt;=MAX($B$76,$B$77),DG$3&lt;EDATE($B$76,MAX(1,'Вводные'!$H$91)),'Вводные'!$B$91="Да")</x:f>
      </x:c>
      <x:c r="DH81" s="35" t="n">
        <x:f>--AND(DH$3&gt;=MAX($B$76,$B$77),DH$3&lt;EDATE($B$76,MAX(1,'Вводные'!$H$91)),'Вводные'!$B$91="Да")</x:f>
      </x:c>
      <x:c r="DI81" s="35" t="n">
        <x:f>--AND(DI$3&gt;=MAX($B$76,$B$77),DI$3&lt;EDATE($B$76,MAX(1,'Вводные'!$H$91)),'Вводные'!$B$91="Да")</x:f>
      </x:c>
      <x:c r="DJ81" s="35" t="n">
        <x:f>--AND(DJ$3&gt;=MAX($B$76,$B$77),DJ$3&lt;EDATE($B$76,MAX(1,'Вводные'!$H$91)),'Вводные'!$B$91="Да")</x:f>
      </x:c>
      <x:c r="DK81" s="35" t="n">
        <x:f>--AND(DK$3&gt;=MAX($B$76,$B$77),DK$3&lt;EDATE($B$76,MAX(1,'Вводные'!$H$91)),'Вводные'!$B$91="Да")</x:f>
      </x:c>
      <x:c r="DL81" s="35" t="n">
        <x:f>--AND(DL$3&gt;=MAX($B$76,$B$77),DL$3&lt;EDATE($B$76,MAX(1,'Вводные'!$H$91)),'Вводные'!$B$91="Да")</x:f>
      </x:c>
      <x:c r="DM81" s="35" t="n">
        <x:f>--AND(DM$3&gt;=MAX($B$76,$B$77),DM$3&lt;EDATE($B$76,MAX(1,'Вводные'!$H$91)),'Вводные'!$B$91="Да")</x:f>
      </x:c>
      <x:c r="DN81" s="35" t="n">
        <x:f>--AND(DN$3&gt;=MAX($B$76,$B$77),DN$3&lt;EDATE($B$76,MAX(1,'Вводные'!$H$91)),'Вводные'!$B$91="Да")</x:f>
      </x:c>
      <x:c r="DO81" s="35" t="n">
        <x:f>--AND(DO$3&gt;=MAX($B$76,$B$77),DO$3&lt;EDATE($B$76,MAX(1,'Вводные'!$H$91)),'Вводные'!$B$91="Да")</x:f>
      </x:c>
      <x:c r="DP81" s="35" t="n">
        <x:f>--AND(DP$3&gt;=MAX($B$76,$B$77),DP$3&lt;EDATE($B$76,MAX(1,'Вводные'!$H$91)),'Вводные'!$B$91="Да")</x:f>
      </x:c>
      <x:c r="DQ81" s="35" t="n">
        <x:f>--AND(DQ$3&gt;=MAX($B$76,$B$77),DQ$3&lt;EDATE($B$76,MAX(1,'Вводные'!$H$91)),'Вводные'!$B$91="Да")</x:f>
      </x:c>
      <x:c r="DR81" s="35" t="n">
        <x:f>--AND(DR$3&gt;=MAX($B$76,$B$77),DR$3&lt;EDATE($B$76,MAX(1,'Вводные'!$H$91)),'Вводные'!$B$91="Да")</x:f>
      </x:c>
      <x:c r="DS81" s="35" t="n">
        <x:f>--AND(DS$3&gt;=MAX($B$76,$B$77),DS$3&lt;EDATE($B$76,MAX(1,'Вводные'!$H$91)),'Вводные'!$B$91="Да")</x:f>
      </x:c>
    </x:row>
    <x:row r="82">
      <x:c r="A82" t="str">
        <x:v>Нормированный вес после РВЭ</x:v>
      </x:c>
      <x:c r="B82" t="n">
        <x:f>SUM(D82:DS82)</x:f>
      </x:c>
      <x:c r="C82" t="str">
        <x:v>%</x:v>
      </x:c>
      <x:c r="D82" s="35" t="n">
        <x:f>IFERROR(D79*D81/SUMPRODUCT($D79:$DS79,$D81:$DS81),0)</x:f>
      </x:c>
      <x:c r="E82" s="35" t="n">
        <x:f>IFERROR(E79*E81/SUMPRODUCT($D79:$DS79,$D81:$DS81),0)</x:f>
      </x:c>
      <x:c r="F82" s="35" t="n">
        <x:f>IFERROR(F79*F81/SUMPRODUCT($D79:$DS79,$D81:$DS81),0)</x:f>
      </x:c>
      <x:c r="G82" s="35" t="n">
        <x:f>IFERROR(G79*G81/SUMPRODUCT($D79:$DS79,$D81:$DS81),0)</x:f>
      </x:c>
      <x:c r="H82" s="35" t="n">
        <x:f>IFERROR(H79*H81/SUMPRODUCT($D79:$DS79,$D81:$DS81),0)</x:f>
      </x:c>
      <x:c r="I82" s="35" t="n">
        <x:f>IFERROR(I79*I81/SUMPRODUCT($D79:$DS79,$D81:$DS81),0)</x:f>
      </x:c>
      <x:c r="J82" s="35" t="n">
        <x:f>IFERROR(J79*J81/SUMPRODUCT($D79:$DS79,$D81:$DS81),0)</x:f>
      </x:c>
      <x:c r="K82" s="35" t="n">
        <x:f>IFERROR(K79*K81/SUMPRODUCT($D79:$DS79,$D81:$DS81),0)</x:f>
      </x:c>
      <x:c r="L82" s="35" t="n">
        <x:f>IFERROR(L79*L81/SUMPRODUCT($D79:$DS79,$D81:$DS81),0)</x:f>
      </x:c>
      <x:c r="M82" s="35" t="n">
        <x:f>IFERROR(M79*M81/SUMPRODUCT($D79:$DS79,$D81:$DS81),0)</x:f>
      </x:c>
      <x:c r="N82" s="35" t="n">
        <x:f>IFERROR(N79*N81/SUMPRODUCT($D79:$DS79,$D81:$DS81),0)</x:f>
      </x:c>
      <x:c r="O82" s="35" t="n">
        <x:f>IFERROR(O79*O81/SUMPRODUCT($D79:$DS79,$D81:$DS81),0)</x:f>
      </x:c>
      <x:c r="P82" s="35" t="n">
        <x:f>IFERROR(P79*P81/SUMPRODUCT($D79:$DS79,$D81:$DS81),0)</x:f>
      </x:c>
      <x:c r="Q82" s="35" t="n">
        <x:f>IFERROR(Q79*Q81/SUMPRODUCT($D79:$DS79,$D81:$DS81),0)</x:f>
      </x:c>
      <x:c r="R82" s="35" t="n">
        <x:f>IFERROR(R79*R81/SUMPRODUCT($D79:$DS79,$D81:$DS81),0)</x:f>
      </x:c>
      <x:c r="S82" s="35" t="n">
        <x:f>IFERROR(S79*S81/SUMPRODUCT($D79:$DS79,$D81:$DS81),0)</x:f>
      </x:c>
      <x:c r="T82" s="35" t="n">
        <x:f>IFERROR(T79*T81/SUMPRODUCT($D79:$DS79,$D81:$DS81),0)</x:f>
      </x:c>
      <x:c r="U82" s="35" t="n">
        <x:f>IFERROR(U79*U81/SUMPRODUCT($D79:$DS79,$D81:$DS81),0)</x:f>
      </x:c>
      <x:c r="V82" s="35" t="n">
        <x:f>IFERROR(V79*V81/SUMPRODUCT($D79:$DS79,$D81:$DS81),0)</x:f>
      </x:c>
      <x:c r="W82" s="35" t="n">
        <x:f>IFERROR(W79*W81/SUMPRODUCT($D79:$DS79,$D81:$DS81),0)</x:f>
      </x:c>
      <x:c r="X82" s="35" t="n">
        <x:f>IFERROR(X79*X81/SUMPRODUCT($D79:$DS79,$D81:$DS81),0)</x:f>
      </x:c>
      <x:c r="Y82" s="35" t="n">
        <x:f>IFERROR(Y79*Y81/SUMPRODUCT($D79:$DS79,$D81:$DS81),0)</x:f>
      </x:c>
      <x:c r="Z82" s="35" t="n">
        <x:f>IFERROR(Z79*Z81/SUMPRODUCT($D79:$DS79,$D81:$DS81),0)</x:f>
      </x:c>
      <x:c r="AA82" s="35" t="n">
        <x:f>IFERROR(AA79*AA81/SUMPRODUCT($D79:$DS79,$D81:$DS81),0)</x:f>
      </x:c>
      <x:c r="AB82" s="35" t="n">
        <x:f>IFERROR(AB79*AB81/SUMPRODUCT($D79:$DS79,$D81:$DS81),0)</x:f>
      </x:c>
      <x:c r="AC82" s="35" t="n">
        <x:f>IFERROR(AC79*AC81/SUMPRODUCT($D79:$DS79,$D81:$DS81),0)</x:f>
      </x:c>
      <x:c r="AD82" s="35" t="n">
        <x:f>IFERROR(AD79*AD81/SUMPRODUCT($D79:$DS79,$D81:$DS81),0)</x:f>
      </x:c>
      <x:c r="AE82" s="35" t="n">
        <x:f>IFERROR(AE79*AE81/SUMPRODUCT($D79:$DS79,$D81:$DS81),0)</x:f>
      </x:c>
      <x:c r="AF82" s="35" t="n">
        <x:f>IFERROR(AF79*AF81/SUMPRODUCT($D79:$DS79,$D81:$DS81),0)</x:f>
      </x:c>
      <x:c r="AG82" s="35" t="n">
        <x:f>IFERROR(AG79*AG81/SUMPRODUCT($D79:$DS79,$D81:$DS81),0)</x:f>
      </x:c>
      <x:c r="AH82" s="35" t="n">
        <x:f>IFERROR(AH79*AH81/SUMPRODUCT($D79:$DS79,$D81:$DS81),0)</x:f>
      </x:c>
      <x:c r="AI82" s="35" t="n">
        <x:f>IFERROR(AI79*AI81/SUMPRODUCT($D79:$DS79,$D81:$DS81),0)</x:f>
      </x:c>
      <x:c r="AJ82" s="35" t="n">
        <x:f>IFERROR(AJ79*AJ81/SUMPRODUCT($D79:$DS79,$D81:$DS81),0)</x:f>
      </x:c>
      <x:c r="AK82" s="35" t="n">
        <x:f>IFERROR(AK79*AK81/SUMPRODUCT($D79:$DS79,$D81:$DS81),0)</x:f>
      </x:c>
      <x:c r="AL82" s="35" t="n">
        <x:f>IFERROR(AL79*AL81/SUMPRODUCT($D79:$DS79,$D81:$DS81),0)</x:f>
      </x:c>
      <x:c r="AM82" s="35" t="n">
        <x:f>IFERROR(AM79*AM81/SUMPRODUCT($D79:$DS79,$D81:$DS81),0)</x:f>
      </x:c>
      <x:c r="AN82" s="35" t="n">
        <x:f>IFERROR(AN79*AN81/SUMPRODUCT($D79:$DS79,$D81:$DS81),0)</x:f>
      </x:c>
      <x:c r="AO82" s="35" t="n">
        <x:f>IFERROR(AO79*AO81/SUMPRODUCT($D79:$DS79,$D81:$DS81),0)</x:f>
      </x:c>
      <x:c r="AP82" s="35" t="n">
        <x:f>IFERROR(AP79*AP81/SUMPRODUCT($D79:$DS79,$D81:$DS81),0)</x:f>
      </x:c>
      <x:c r="AQ82" s="35" t="n">
        <x:f>IFERROR(AQ79*AQ81/SUMPRODUCT($D79:$DS79,$D81:$DS81),0)</x:f>
      </x:c>
      <x:c r="AR82" s="35" t="n">
        <x:f>IFERROR(AR79*AR81/SUMPRODUCT($D79:$DS79,$D81:$DS81),0)</x:f>
      </x:c>
      <x:c r="AS82" s="35" t="n">
        <x:f>IFERROR(AS79*AS81/SUMPRODUCT($D79:$DS79,$D81:$DS81),0)</x:f>
      </x:c>
      <x:c r="AT82" s="35" t="n">
        <x:f>IFERROR(AT79*AT81/SUMPRODUCT($D79:$DS79,$D81:$DS81),0)</x:f>
      </x:c>
      <x:c r="AU82" s="35" t="n">
        <x:f>IFERROR(AU79*AU81/SUMPRODUCT($D79:$DS79,$D81:$DS81),0)</x:f>
      </x:c>
      <x:c r="AV82" s="35" t="n">
        <x:f>IFERROR(AV79*AV81/SUMPRODUCT($D79:$DS79,$D81:$DS81),0)</x:f>
      </x:c>
      <x:c r="AW82" s="35" t="n">
        <x:f>IFERROR(AW79*AW81/SUMPRODUCT($D79:$DS79,$D81:$DS81),0)</x:f>
      </x:c>
      <x:c r="AX82" s="35" t="n">
        <x:f>IFERROR(AX79*AX81/SUMPRODUCT($D79:$DS79,$D81:$DS81),0)</x:f>
      </x:c>
      <x:c r="AY82" s="35" t="n">
        <x:f>IFERROR(AY79*AY81/SUMPRODUCT($D79:$DS79,$D81:$DS81),0)</x:f>
      </x:c>
      <x:c r="AZ82" s="35" t="n">
        <x:f>IFERROR(AZ79*AZ81/SUMPRODUCT($D79:$DS79,$D81:$DS81),0)</x:f>
      </x:c>
      <x:c r="BA82" s="35" t="n">
        <x:f>IFERROR(BA79*BA81/SUMPRODUCT($D79:$DS79,$D81:$DS81),0)</x:f>
      </x:c>
      <x:c r="BB82" s="35" t="n">
        <x:f>IFERROR(BB79*BB81/SUMPRODUCT($D79:$DS79,$D81:$DS81),0)</x:f>
      </x:c>
      <x:c r="BC82" s="35" t="n">
        <x:f>IFERROR(BC79*BC81/SUMPRODUCT($D79:$DS79,$D81:$DS81),0)</x:f>
      </x:c>
      <x:c r="BD82" s="35" t="n">
        <x:f>IFERROR(BD79*BD81/SUMPRODUCT($D79:$DS79,$D81:$DS81),0)</x:f>
      </x:c>
      <x:c r="BE82" s="35" t="n">
        <x:f>IFERROR(BE79*BE81/SUMPRODUCT($D79:$DS79,$D81:$DS81),0)</x:f>
      </x:c>
      <x:c r="BF82" s="35" t="n">
        <x:f>IFERROR(BF79*BF81/SUMPRODUCT($D79:$DS79,$D81:$DS81),0)</x:f>
      </x:c>
      <x:c r="BG82" s="35" t="n">
        <x:f>IFERROR(BG79*BG81/SUMPRODUCT($D79:$DS79,$D81:$DS81),0)</x:f>
      </x:c>
      <x:c r="BH82" s="35" t="n">
        <x:f>IFERROR(BH79*BH81/SUMPRODUCT($D79:$DS79,$D81:$DS81),0)</x:f>
      </x:c>
      <x:c r="BI82" s="35" t="n">
        <x:f>IFERROR(BI79*BI81/SUMPRODUCT($D79:$DS79,$D81:$DS81),0)</x:f>
      </x:c>
      <x:c r="BJ82" s="35" t="n">
        <x:f>IFERROR(BJ79*BJ81/SUMPRODUCT($D79:$DS79,$D81:$DS81),0)</x:f>
      </x:c>
      <x:c r="BK82" s="35" t="n">
        <x:f>IFERROR(BK79*BK81/SUMPRODUCT($D79:$DS79,$D81:$DS81),0)</x:f>
      </x:c>
      <x:c r="BL82" s="35" t="n">
        <x:f>IFERROR(BL79*BL81/SUMPRODUCT($D79:$DS79,$D81:$DS81),0)</x:f>
      </x:c>
      <x:c r="BM82" s="35" t="n">
        <x:f>IFERROR(BM79*BM81/SUMPRODUCT($D79:$DS79,$D81:$DS81),0)</x:f>
      </x:c>
      <x:c r="BN82" s="35" t="n">
        <x:f>IFERROR(BN79*BN81/SUMPRODUCT($D79:$DS79,$D81:$DS81),0)</x:f>
      </x:c>
      <x:c r="BO82" s="35" t="n">
        <x:f>IFERROR(BO79*BO81/SUMPRODUCT($D79:$DS79,$D81:$DS81),0)</x:f>
      </x:c>
      <x:c r="BP82" s="35" t="n">
        <x:f>IFERROR(BP79*BP81/SUMPRODUCT($D79:$DS79,$D81:$DS81),0)</x:f>
      </x:c>
      <x:c r="BQ82" s="35" t="n">
        <x:f>IFERROR(BQ79*BQ81/SUMPRODUCT($D79:$DS79,$D81:$DS81),0)</x:f>
      </x:c>
      <x:c r="BR82" s="35" t="n">
        <x:f>IFERROR(BR79*BR81/SUMPRODUCT($D79:$DS79,$D81:$DS81),0)</x:f>
      </x:c>
      <x:c r="BS82" s="35" t="n">
        <x:f>IFERROR(BS79*BS81/SUMPRODUCT($D79:$DS79,$D81:$DS81),0)</x:f>
      </x:c>
      <x:c r="BT82" s="35" t="n">
        <x:f>IFERROR(BT79*BT81/SUMPRODUCT($D79:$DS79,$D81:$DS81),0)</x:f>
      </x:c>
      <x:c r="BU82" s="35" t="n">
        <x:f>IFERROR(BU79*BU81/SUMPRODUCT($D79:$DS79,$D81:$DS81),0)</x:f>
      </x:c>
      <x:c r="BV82" s="35" t="n">
        <x:f>IFERROR(BV79*BV81/SUMPRODUCT($D79:$DS79,$D81:$DS81),0)</x:f>
      </x:c>
      <x:c r="BW82" s="35" t="n">
        <x:f>IFERROR(BW79*BW81/SUMPRODUCT($D79:$DS79,$D81:$DS81),0)</x:f>
      </x:c>
      <x:c r="BX82" s="35" t="n">
        <x:f>IFERROR(BX79*BX81/SUMPRODUCT($D79:$DS79,$D81:$DS81),0)</x:f>
      </x:c>
      <x:c r="BY82" s="35" t="n">
        <x:f>IFERROR(BY79*BY81/SUMPRODUCT($D79:$DS79,$D81:$DS81),0)</x:f>
      </x:c>
      <x:c r="BZ82" s="35" t="n">
        <x:f>IFERROR(BZ79*BZ81/SUMPRODUCT($D79:$DS79,$D81:$DS81),0)</x:f>
      </x:c>
      <x:c r="CA82" s="35" t="n">
        <x:f>IFERROR(CA79*CA81/SUMPRODUCT($D79:$DS79,$D81:$DS81),0)</x:f>
      </x:c>
      <x:c r="CB82" s="35" t="n">
        <x:f>IFERROR(CB79*CB81/SUMPRODUCT($D79:$DS79,$D81:$DS81),0)</x:f>
      </x:c>
      <x:c r="CC82" s="35" t="n">
        <x:f>IFERROR(CC79*CC81/SUMPRODUCT($D79:$DS79,$D81:$DS81),0)</x:f>
      </x:c>
      <x:c r="CD82" s="35" t="n">
        <x:f>IFERROR(CD79*CD81/SUMPRODUCT($D79:$DS79,$D81:$DS81),0)</x:f>
      </x:c>
      <x:c r="CE82" s="35" t="n">
        <x:f>IFERROR(CE79*CE81/SUMPRODUCT($D79:$DS79,$D81:$DS81),0)</x:f>
      </x:c>
      <x:c r="CF82" s="35" t="n">
        <x:f>IFERROR(CF79*CF81/SUMPRODUCT($D79:$DS79,$D81:$DS81),0)</x:f>
      </x:c>
      <x:c r="CG82" s="35" t="n">
        <x:f>IFERROR(CG79*CG81/SUMPRODUCT($D79:$DS79,$D81:$DS81),0)</x:f>
      </x:c>
      <x:c r="CH82" s="35" t="n">
        <x:f>IFERROR(CH79*CH81/SUMPRODUCT($D79:$DS79,$D81:$DS81),0)</x:f>
      </x:c>
      <x:c r="CI82" s="35" t="n">
        <x:f>IFERROR(CI79*CI81/SUMPRODUCT($D79:$DS79,$D81:$DS81),0)</x:f>
      </x:c>
      <x:c r="CJ82" s="35" t="n">
        <x:f>IFERROR(CJ79*CJ81/SUMPRODUCT($D79:$DS79,$D81:$DS81),0)</x:f>
      </x:c>
      <x:c r="CK82" s="35" t="n">
        <x:f>IFERROR(CK79*CK81/SUMPRODUCT($D79:$DS79,$D81:$DS81),0)</x:f>
      </x:c>
      <x:c r="CL82" s="35" t="n">
        <x:f>IFERROR(CL79*CL81/SUMPRODUCT($D79:$DS79,$D81:$DS81),0)</x:f>
      </x:c>
      <x:c r="CM82" s="35" t="n">
        <x:f>IFERROR(CM79*CM81/SUMPRODUCT($D79:$DS79,$D81:$DS81),0)</x:f>
      </x:c>
      <x:c r="CN82" s="35" t="n">
        <x:f>IFERROR(CN79*CN81/SUMPRODUCT($D79:$DS79,$D81:$DS81),0)</x:f>
      </x:c>
      <x:c r="CO82" s="35" t="n">
        <x:f>IFERROR(CO79*CO81/SUMPRODUCT($D79:$DS79,$D81:$DS81),0)</x:f>
      </x:c>
      <x:c r="CP82" s="35" t="n">
        <x:f>IFERROR(CP79*CP81/SUMPRODUCT($D79:$DS79,$D81:$DS81),0)</x:f>
      </x:c>
      <x:c r="CQ82" s="35" t="n">
        <x:f>IFERROR(CQ79*CQ81/SUMPRODUCT($D79:$DS79,$D81:$DS81),0)</x:f>
      </x:c>
      <x:c r="CR82" s="35" t="n">
        <x:f>IFERROR(CR79*CR81/SUMPRODUCT($D79:$DS79,$D81:$DS81),0)</x:f>
      </x:c>
      <x:c r="CS82" s="35" t="n">
        <x:f>IFERROR(CS79*CS81/SUMPRODUCT($D79:$DS79,$D81:$DS81),0)</x:f>
      </x:c>
      <x:c r="CT82" s="35" t="n">
        <x:f>IFERROR(CT79*CT81/SUMPRODUCT($D79:$DS79,$D81:$DS81),0)</x:f>
      </x:c>
      <x:c r="CU82" s="35" t="n">
        <x:f>IFERROR(CU79*CU81/SUMPRODUCT($D79:$DS79,$D81:$DS81),0)</x:f>
      </x:c>
      <x:c r="CV82" s="35" t="n">
        <x:f>IFERROR(CV79*CV81/SUMPRODUCT($D79:$DS79,$D81:$DS81),0)</x:f>
      </x:c>
      <x:c r="CW82" s="35" t="n">
        <x:f>IFERROR(CW79*CW81/SUMPRODUCT($D79:$DS79,$D81:$DS81),0)</x:f>
      </x:c>
      <x:c r="CX82" s="35" t="n">
        <x:f>IFERROR(CX79*CX81/SUMPRODUCT($D79:$DS79,$D81:$DS81),0)</x:f>
      </x:c>
      <x:c r="CY82" s="35" t="n">
        <x:f>IFERROR(CY79*CY81/SUMPRODUCT($D79:$DS79,$D81:$DS81),0)</x:f>
      </x:c>
      <x:c r="CZ82" s="35" t="n">
        <x:f>IFERROR(CZ79*CZ81/SUMPRODUCT($D79:$DS79,$D81:$DS81),0)</x:f>
      </x:c>
      <x:c r="DA82" s="35" t="n">
        <x:f>IFERROR(DA79*DA81/SUMPRODUCT($D79:$DS79,$D81:$DS81),0)</x:f>
      </x:c>
      <x:c r="DB82" s="35" t="n">
        <x:f>IFERROR(DB79*DB81/SUMPRODUCT($D79:$DS79,$D81:$DS81),0)</x:f>
      </x:c>
      <x:c r="DC82" s="35" t="n">
        <x:f>IFERROR(DC79*DC81/SUMPRODUCT($D79:$DS79,$D81:$DS81),0)</x:f>
      </x:c>
      <x:c r="DD82" s="35" t="n">
        <x:f>IFERROR(DD79*DD81/SUMPRODUCT($D79:$DS79,$D81:$DS81),0)</x:f>
      </x:c>
      <x:c r="DE82" s="35" t="n">
        <x:f>IFERROR(DE79*DE81/SUMPRODUCT($D79:$DS79,$D81:$DS81),0)</x:f>
      </x:c>
      <x:c r="DF82" s="35" t="n">
        <x:f>IFERROR(DF79*DF81/SUMPRODUCT($D79:$DS79,$D81:$DS81),0)</x:f>
      </x:c>
      <x:c r="DG82" s="35" t="n">
        <x:f>IFERROR(DG79*DG81/SUMPRODUCT($D79:$DS79,$D81:$DS81),0)</x:f>
      </x:c>
      <x:c r="DH82" s="35" t="n">
        <x:f>IFERROR(DH79*DH81/SUMPRODUCT($D79:$DS79,$D81:$DS81),0)</x:f>
      </x:c>
      <x:c r="DI82" s="35" t="n">
        <x:f>IFERROR(DI79*DI81/SUMPRODUCT($D79:$DS79,$D81:$DS81),0)</x:f>
      </x:c>
      <x:c r="DJ82" s="35" t="n">
        <x:f>IFERROR(DJ79*DJ81/SUMPRODUCT($D79:$DS79,$D81:$DS81),0)</x:f>
      </x:c>
      <x:c r="DK82" s="35" t="n">
        <x:f>IFERROR(DK79*DK81/SUMPRODUCT($D79:$DS79,$D81:$DS81),0)</x:f>
      </x:c>
      <x:c r="DL82" s="35" t="n">
        <x:f>IFERROR(DL79*DL81/SUMPRODUCT($D79:$DS79,$D81:$DS81),0)</x:f>
      </x:c>
      <x:c r="DM82" s="35" t="n">
        <x:f>IFERROR(DM79*DM81/SUMPRODUCT($D79:$DS79,$D81:$DS81),0)</x:f>
      </x:c>
      <x:c r="DN82" s="35" t="n">
        <x:f>IFERROR(DN79*DN81/SUMPRODUCT($D79:$DS79,$D81:$DS81),0)</x:f>
      </x:c>
      <x:c r="DO82" s="35" t="n">
        <x:f>IFERROR(DO79*DO81/SUMPRODUCT($D79:$DS79,$D81:$DS81),0)</x:f>
      </x:c>
      <x:c r="DP82" s="35" t="n">
        <x:f>IFERROR(DP79*DP81/SUMPRODUCT($D79:$DS79,$D81:$DS81),0)</x:f>
      </x:c>
      <x:c r="DQ82" s="35" t="n">
        <x:f>IFERROR(DQ79*DQ81/SUMPRODUCT($D79:$DS79,$D81:$DS81),0)</x:f>
      </x:c>
      <x:c r="DR82" s="35" t="n">
        <x:f>IFERROR(DR79*DR81/SUMPRODUCT($D79:$DS79,$D81:$DS81),0)</x:f>
      </x:c>
      <x:c r="DS82" s="35" t="n">
        <x:f>IFERROR(DS79*DS81/SUMPRODUCT($D79:$DS79,$D81:$DS81),0)</x:f>
      </x:c>
    </x:row>
    <x:row r="83">
      <x:c r="A83" t="str">
        <x:v>Квартиры — объём</x:v>
      </x:c>
      <x:c r="B83" t="n">
        <x:f>SUM(D83:DS83)</x:f>
      </x:c>
      <x:c r="C83" t="str">
        <x:v>м²</x:v>
      </x:c>
      <x:c r="D83" s="107" t="n">
        <x:f>'Вводные'!$L$91*((IF(SUM($D78:$DS78)=0,0,IF(SUM($D81:$DS81)=0,1,'Вводные'!$B$63)))*D80+(1-(IF(SUM($D78:$DS78)=0,0,IF(SUM($D81:$DS81)=0,1,'Вводные'!$B$63))))*D82)</x:f>
      </x:c>
      <x:c r="E83" s="107" t="n">
        <x:f>'Вводные'!$L$91*((IF(SUM($D78:$DS78)=0,0,IF(SUM($D81:$DS81)=0,1,'Вводные'!$B$63)))*E80+(1-(IF(SUM($D78:$DS78)=0,0,IF(SUM($D81:$DS81)=0,1,'Вводные'!$B$63))))*E82)</x:f>
      </x:c>
      <x:c r="F83" s="107" t="n">
        <x:f>'Вводные'!$L$91*((IF(SUM($D78:$DS78)=0,0,IF(SUM($D81:$DS81)=0,1,'Вводные'!$B$63)))*F80+(1-(IF(SUM($D78:$DS78)=0,0,IF(SUM($D81:$DS81)=0,1,'Вводные'!$B$63))))*F82)</x:f>
      </x:c>
      <x:c r="G83" s="107" t="n">
        <x:f>'Вводные'!$L$91*((IF(SUM($D78:$DS78)=0,0,IF(SUM($D81:$DS81)=0,1,'Вводные'!$B$63)))*G80+(1-(IF(SUM($D78:$DS78)=0,0,IF(SUM($D81:$DS81)=0,1,'Вводные'!$B$63))))*G82)</x:f>
      </x:c>
      <x:c r="H83" s="107" t="n">
        <x:f>'Вводные'!$L$91*((IF(SUM($D78:$DS78)=0,0,IF(SUM($D81:$DS81)=0,1,'Вводные'!$B$63)))*H80+(1-(IF(SUM($D78:$DS78)=0,0,IF(SUM($D81:$DS81)=0,1,'Вводные'!$B$63))))*H82)</x:f>
      </x:c>
      <x:c r="I83" s="107" t="n">
        <x:f>'Вводные'!$L$91*((IF(SUM($D78:$DS78)=0,0,IF(SUM($D81:$DS81)=0,1,'Вводные'!$B$63)))*I80+(1-(IF(SUM($D78:$DS78)=0,0,IF(SUM($D81:$DS81)=0,1,'Вводные'!$B$63))))*I82)</x:f>
      </x:c>
      <x:c r="J83" s="107" t="n">
        <x:f>'Вводные'!$L$91*((IF(SUM($D78:$DS78)=0,0,IF(SUM($D81:$DS81)=0,1,'Вводные'!$B$63)))*J80+(1-(IF(SUM($D78:$DS78)=0,0,IF(SUM($D81:$DS81)=0,1,'Вводные'!$B$63))))*J82)</x:f>
      </x:c>
      <x:c r="K83" s="107" t="n">
        <x:f>'Вводные'!$L$91*((IF(SUM($D78:$DS78)=0,0,IF(SUM($D81:$DS81)=0,1,'Вводные'!$B$63)))*K80+(1-(IF(SUM($D78:$DS78)=0,0,IF(SUM($D81:$DS81)=0,1,'Вводные'!$B$63))))*K82)</x:f>
      </x:c>
      <x:c r="L83" s="107" t="n">
        <x:f>'Вводные'!$L$91*((IF(SUM($D78:$DS78)=0,0,IF(SUM($D81:$DS81)=0,1,'Вводные'!$B$63)))*L80+(1-(IF(SUM($D78:$DS78)=0,0,IF(SUM($D81:$DS81)=0,1,'Вводные'!$B$63))))*L82)</x:f>
      </x:c>
      <x:c r="M83" s="107" t="n">
        <x:f>'Вводные'!$L$91*((IF(SUM($D78:$DS78)=0,0,IF(SUM($D81:$DS81)=0,1,'Вводные'!$B$63)))*M80+(1-(IF(SUM($D78:$DS78)=0,0,IF(SUM($D81:$DS81)=0,1,'Вводные'!$B$63))))*M82)</x:f>
      </x:c>
      <x:c r="N83" s="107" t="n">
        <x:f>'Вводные'!$L$91*((IF(SUM($D78:$DS78)=0,0,IF(SUM($D81:$DS81)=0,1,'Вводные'!$B$63)))*N80+(1-(IF(SUM($D78:$DS78)=0,0,IF(SUM($D81:$DS81)=0,1,'Вводные'!$B$63))))*N82)</x:f>
      </x:c>
      <x:c r="O83" s="107" t="n">
        <x:f>'Вводные'!$L$91*((IF(SUM($D78:$DS78)=0,0,IF(SUM($D81:$DS81)=0,1,'Вводные'!$B$63)))*O80+(1-(IF(SUM($D78:$DS78)=0,0,IF(SUM($D81:$DS81)=0,1,'Вводные'!$B$63))))*O82)</x:f>
      </x:c>
      <x:c r="P83" s="107" t="n">
        <x:f>'Вводные'!$L$91*((IF(SUM($D78:$DS78)=0,0,IF(SUM($D81:$DS81)=0,1,'Вводные'!$B$63)))*P80+(1-(IF(SUM($D78:$DS78)=0,0,IF(SUM($D81:$DS81)=0,1,'Вводные'!$B$63))))*P82)</x:f>
      </x:c>
      <x:c r="Q83" s="107" t="n">
        <x:f>'Вводные'!$L$91*((IF(SUM($D78:$DS78)=0,0,IF(SUM($D81:$DS81)=0,1,'Вводные'!$B$63)))*Q80+(1-(IF(SUM($D78:$DS78)=0,0,IF(SUM($D81:$DS81)=0,1,'Вводные'!$B$63))))*Q82)</x:f>
      </x:c>
      <x:c r="R83" s="107" t="n">
        <x:f>'Вводные'!$L$91*((IF(SUM($D78:$DS78)=0,0,IF(SUM($D81:$DS81)=0,1,'Вводные'!$B$63)))*R80+(1-(IF(SUM($D78:$DS78)=0,0,IF(SUM($D81:$DS81)=0,1,'Вводные'!$B$63))))*R82)</x:f>
      </x:c>
      <x:c r="S83" s="107" t="n">
        <x:f>'Вводные'!$L$91*((IF(SUM($D78:$DS78)=0,0,IF(SUM($D81:$DS81)=0,1,'Вводные'!$B$63)))*S80+(1-(IF(SUM($D78:$DS78)=0,0,IF(SUM($D81:$DS81)=0,1,'Вводные'!$B$63))))*S82)</x:f>
      </x:c>
      <x:c r="T83" s="107" t="n">
        <x:f>'Вводные'!$L$91*((IF(SUM($D78:$DS78)=0,0,IF(SUM($D81:$DS81)=0,1,'Вводные'!$B$63)))*T80+(1-(IF(SUM($D78:$DS78)=0,0,IF(SUM($D81:$DS81)=0,1,'Вводные'!$B$63))))*T82)</x:f>
      </x:c>
      <x:c r="U83" s="107" t="n">
        <x:f>'Вводные'!$L$91*((IF(SUM($D78:$DS78)=0,0,IF(SUM($D81:$DS81)=0,1,'Вводные'!$B$63)))*U80+(1-(IF(SUM($D78:$DS78)=0,0,IF(SUM($D81:$DS81)=0,1,'Вводные'!$B$63))))*U82)</x:f>
      </x:c>
      <x:c r="V83" s="107" t="n">
        <x:f>'Вводные'!$L$91*((IF(SUM($D78:$DS78)=0,0,IF(SUM($D81:$DS81)=0,1,'Вводные'!$B$63)))*V80+(1-(IF(SUM($D78:$DS78)=0,0,IF(SUM($D81:$DS81)=0,1,'Вводные'!$B$63))))*V82)</x:f>
      </x:c>
      <x:c r="W83" s="107" t="n">
        <x:f>'Вводные'!$L$91*((IF(SUM($D78:$DS78)=0,0,IF(SUM($D81:$DS81)=0,1,'Вводные'!$B$63)))*W80+(1-(IF(SUM($D78:$DS78)=0,0,IF(SUM($D81:$DS81)=0,1,'Вводные'!$B$63))))*W82)</x:f>
      </x:c>
      <x:c r="X83" s="107" t="n">
        <x:f>'Вводные'!$L$91*((IF(SUM($D78:$DS78)=0,0,IF(SUM($D81:$DS81)=0,1,'Вводные'!$B$63)))*X80+(1-(IF(SUM($D78:$DS78)=0,0,IF(SUM($D81:$DS81)=0,1,'Вводные'!$B$63))))*X82)</x:f>
      </x:c>
      <x:c r="Y83" s="107" t="n">
        <x:f>'Вводные'!$L$91*((IF(SUM($D78:$DS78)=0,0,IF(SUM($D81:$DS81)=0,1,'Вводные'!$B$63)))*Y80+(1-(IF(SUM($D78:$DS78)=0,0,IF(SUM($D81:$DS81)=0,1,'Вводные'!$B$63))))*Y82)</x:f>
      </x:c>
      <x:c r="Z83" s="107" t="n">
        <x:f>'Вводные'!$L$91*((IF(SUM($D78:$DS78)=0,0,IF(SUM($D81:$DS81)=0,1,'Вводные'!$B$63)))*Z80+(1-(IF(SUM($D78:$DS78)=0,0,IF(SUM($D81:$DS81)=0,1,'Вводные'!$B$63))))*Z82)</x:f>
      </x:c>
      <x:c r="AA83" s="107" t="n">
        <x:f>'Вводные'!$L$91*((IF(SUM($D78:$DS78)=0,0,IF(SUM($D81:$DS81)=0,1,'Вводные'!$B$63)))*AA80+(1-(IF(SUM($D78:$DS78)=0,0,IF(SUM($D81:$DS81)=0,1,'Вводные'!$B$63))))*AA82)</x:f>
      </x:c>
      <x:c r="AB83" s="107" t="n">
        <x:f>'Вводные'!$L$91*((IF(SUM($D78:$DS78)=0,0,IF(SUM($D81:$DS81)=0,1,'Вводные'!$B$63)))*AB80+(1-(IF(SUM($D78:$DS78)=0,0,IF(SUM($D81:$DS81)=0,1,'Вводные'!$B$63))))*AB82)</x:f>
      </x:c>
      <x:c r="AC83" s="107" t="n">
        <x:f>'Вводные'!$L$91*((IF(SUM($D78:$DS78)=0,0,IF(SUM($D81:$DS81)=0,1,'Вводные'!$B$63)))*AC80+(1-(IF(SUM($D78:$DS78)=0,0,IF(SUM($D81:$DS81)=0,1,'Вводные'!$B$63))))*AC82)</x:f>
      </x:c>
      <x:c r="AD83" s="107" t="n">
        <x:f>'Вводные'!$L$91*((IF(SUM($D78:$DS78)=0,0,IF(SUM($D81:$DS81)=0,1,'Вводные'!$B$63)))*AD80+(1-(IF(SUM($D78:$DS78)=0,0,IF(SUM($D81:$DS81)=0,1,'Вводные'!$B$63))))*AD82)</x:f>
      </x:c>
      <x:c r="AE83" s="107" t="n">
        <x:f>'Вводные'!$L$91*((IF(SUM($D78:$DS78)=0,0,IF(SUM($D81:$DS81)=0,1,'Вводные'!$B$63)))*AE80+(1-(IF(SUM($D78:$DS78)=0,0,IF(SUM($D81:$DS81)=0,1,'Вводные'!$B$63))))*AE82)</x:f>
      </x:c>
      <x:c r="AF83" s="107" t="n">
        <x:f>'Вводные'!$L$91*((IF(SUM($D78:$DS78)=0,0,IF(SUM($D81:$DS81)=0,1,'Вводные'!$B$63)))*AF80+(1-(IF(SUM($D78:$DS78)=0,0,IF(SUM($D81:$DS81)=0,1,'Вводные'!$B$63))))*AF82)</x:f>
      </x:c>
      <x:c r="AG83" s="107" t="n">
        <x:f>'Вводные'!$L$91*((IF(SUM($D78:$DS78)=0,0,IF(SUM($D81:$DS81)=0,1,'Вводные'!$B$63)))*AG80+(1-(IF(SUM($D78:$DS78)=0,0,IF(SUM($D81:$DS81)=0,1,'Вводные'!$B$63))))*AG82)</x:f>
      </x:c>
      <x:c r="AH83" s="107" t="n">
        <x:f>'Вводные'!$L$91*((IF(SUM($D78:$DS78)=0,0,IF(SUM($D81:$DS81)=0,1,'Вводные'!$B$63)))*AH80+(1-(IF(SUM($D78:$DS78)=0,0,IF(SUM($D81:$DS81)=0,1,'Вводные'!$B$63))))*AH82)</x:f>
      </x:c>
      <x:c r="AI83" s="107" t="n">
        <x:f>'Вводные'!$L$91*((IF(SUM($D78:$DS78)=0,0,IF(SUM($D81:$DS81)=0,1,'Вводные'!$B$63)))*AI80+(1-(IF(SUM($D78:$DS78)=0,0,IF(SUM($D81:$DS81)=0,1,'Вводные'!$B$63))))*AI82)</x:f>
      </x:c>
      <x:c r="AJ83" s="107" t="n">
        <x:f>'Вводные'!$L$91*((IF(SUM($D78:$DS78)=0,0,IF(SUM($D81:$DS81)=0,1,'Вводные'!$B$63)))*AJ80+(1-(IF(SUM($D78:$DS78)=0,0,IF(SUM($D81:$DS81)=0,1,'Вводные'!$B$63))))*AJ82)</x:f>
      </x:c>
      <x:c r="AK83" s="107" t="n">
        <x:f>'Вводные'!$L$91*((IF(SUM($D78:$DS78)=0,0,IF(SUM($D81:$DS81)=0,1,'Вводные'!$B$63)))*AK80+(1-(IF(SUM($D78:$DS78)=0,0,IF(SUM($D81:$DS81)=0,1,'Вводные'!$B$63))))*AK82)</x:f>
      </x:c>
      <x:c r="AL83" s="107" t="n">
        <x:f>'Вводные'!$L$91*((IF(SUM($D78:$DS78)=0,0,IF(SUM($D81:$DS81)=0,1,'Вводные'!$B$63)))*AL80+(1-(IF(SUM($D78:$DS78)=0,0,IF(SUM($D81:$DS81)=0,1,'Вводные'!$B$63))))*AL82)</x:f>
      </x:c>
      <x:c r="AM83" s="107" t="n">
        <x:f>'Вводные'!$L$91*((IF(SUM($D78:$DS78)=0,0,IF(SUM($D81:$DS81)=0,1,'Вводные'!$B$63)))*AM80+(1-(IF(SUM($D78:$DS78)=0,0,IF(SUM($D81:$DS81)=0,1,'Вводные'!$B$63))))*AM82)</x:f>
      </x:c>
      <x:c r="AN83" s="107" t="n">
        <x:f>'Вводные'!$L$91*((IF(SUM($D78:$DS78)=0,0,IF(SUM($D81:$DS81)=0,1,'Вводные'!$B$63)))*AN80+(1-(IF(SUM($D78:$DS78)=0,0,IF(SUM($D81:$DS81)=0,1,'Вводные'!$B$63))))*AN82)</x:f>
      </x:c>
      <x:c r="AO83" s="107" t="n">
        <x:f>'Вводные'!$L$91*((IF(SUM($D78:$DS78)=0,0,IF(SUM($D81:$DS81)=0,1,'Вводные'!$B$63)))*AO80+(1-(IF(SUM($D78:$DS78)=0,0,IF(SUM($D81:$DS81)=0,1,'Вводные'!$B$63))))*AO82)</x:f>
      </x:c>
      <x:c r="AP83" s="107" t="n">
        <x:f>'Вводные'!$L$91*((IF(SUM($D78:$DS78)=0,0,IF(SUM($D81:$DS81)=0,1,'Вводные'!$B$63)))*AP80+(1-(IF(SUM($D78:$DS78)=0,0,IF(SUM($D81:$DS81)=0,1,'Вводные'!$B$63))))*AP82)</x:f>
      </x:c>
      <x:c r="AQ83" s="107" t="n">
        <x:f>'Вводные'!$L$91*((IF(SUM($D78:$DS78)=0,0,IF(SUM($D81:$DS81)=0,1,'Вводные'!$B$63)))*AQ80+(1-(IF(SUM($D78:$DS78)=0,0,IF(SUM($D81:$DS81)=0,1,'Вводные'!$B$63))))*AQ82)</x:f>
      </x:c>
      <x:c r="AR83" s="107" t="n">
        <x:f>'Вводные'!$L$91*((IF(SUM($D78:$DS78)=0,0,IF(SUM($D81:$DS81)=0,1,'Вводные'!$B$63)))*AR80+(1-(IF(SUM($D78:$DS78)=0,0,IF(SUM($D81:$DS81)=0,1,'Вводные'!$B$63))))*AR82)</x:f>
      </x:c>
      <x:c r="AS83" s="107" t="n">
        <x:f>'Вводные'!$L$91*((IF(SUM($D78:$DS78)=0,0,IF(SUM($D81:$DS81)=0,1,'Вводные'!$B$63)))*AS80+(1-(IF(SUM($D78:$DS78)=0,0,IF(SUM($D81:$DS81)=0,1,'Вводные'!$B$63))))*AS82)</x:f>
      </x:c>
      <x:c r="AT83" s="107" t="n">
        <x:f>'Вводные'!$L$91*((IF(SUM($D78:$DS78)=0,0,IF(SUM($D81:$DS81)=0,1,'Вводные'!$B$63)))*AT80+(1-(IF(SUM($D78:$DS78)=0,0,IF(SUM($D81:$DS81)=0,1,'Вводные'!$B$63))))*AT82)</x:f>
      </x:c>
      <x:c r="AU83" s="107" t="n">
        <x:f>'Вводные'!$L$91*((IF(SUM($D78:$DS78)=0,0,IF(SUM($D81:$DS81)=0,1,'Вводные'!$B$63)))*AU80+(1-(IF(SUM($D78:$DS78)=0,0,IF(SUM($D81:$DS81)=0,1,'Вводные'!$B$63))))*AU82)</x:f>
      </x:c>
      <x:c r="AV83" s="107" t="n">
        <x:f>'Вводные'!$L$91*((IF(SUM($D78:$DS78)=0,0,IF(SUM($D81:$DS81)=0,1,'Вводные'!$B$63)))*AV80+(1-(IF(SUM($D78:$DS78)=0,0,IF(SUM($D81:$DS81)=0,1,'Вводные'!$B$63))))*AV82)</x:f>
      </x:c>
      <x:c r="AW83" s="107" t="n">
        <x:f>'Вводные'!$L$91*((IF(SUM($D78:$DS78)=0,0,IF(SUM($D81:$DS81)=0,1,'Вводные'!$B$63)))*AW80+(1-(IF(SUM($D78:$DS78)=0,0,IF(SUM($D81:$DS81)=0,1,'Вводные'!$B$63))))*AW82)</x:f>
      </x:c>
      <x:c r="AX83" s="107" t="n">
        <x:f>'Вводные'!$L$91*((IF(SUM($D78:$DS78)=0,0,IF(SUM($D81:$DS81)=0,1,'Вводные'!$B$63)))*AX80+(1-(IF(SUM($D78:$DS78)=0,0,IF(SUM($D81:$DS81)=0,1,'Вводные'!$B$63))))*AX82)</x:f>
      </x:c>
      <x:c r="AY83" s="107" t="n">
        <x:f>'Вводные'!$L$91*((IF(SUM($D78:$DS78)=0,0,IF(SUM($D81:$DS81)=0,1,'Вводные'!$B$63)))*AY80+(1-(IF(SUM($D78:$DS78)=0,0,IF(SUM($D81:$DS81)=0,1,'Вводные'!$B$63))))*AY82)</x:f>
      </x:c>
      <x:c r="AZ83" s="107" t="n">
        <x:f>'Вводные'!$L$91*((IF(SUM($D78:$DS78)=0,0,IF(SUM($D81:$DS81)=0,1,'Вводные'!$B$63)))*AZ80+(1-(IF(SUM($D78:$DS78)=0,0,IF(SUM($D81:$DS81)=0,1,'Вводные'!$B$63))))*AZ82)</x:f>
      </x:c>
      <x:c r="BA83" s="107" t="n">
        <x:f>'Вводные'!$L$91*((IF(SUM($D78:$DS78)=0,0,IF(SUM($D81:$DS81)=0,1,'Вводные'!$B$63)))*BA80+(1-(IF(SUM($D78:$DS78)=0,0,IF(SUM($D81:$DS81)=0,1,'Вводные'!$B$63))))*BA82)</x:f>
      </x:c>
      <x:c r="BB83" s="107" t="n">
        <x:f>'Вводные'!$L$91*((IF(SUM($D78:$DS78)=0,0,IF(SUM($D81:$DS81)=0,1,'Вводные'!$B$63)))*BB80+(1-(IF(SUM($D78:$DS78)=0,0,IF(SUM($D81:$DS81)=0,1,'Вводные'!$B$63))))*BB82)</x:f>
      </x:c>
      <x:c r="BC83" s="107" t="n">
        <x:f>'Вводные'!$L$91*((IF(SUM($D78:$DS78)=0,0,IF(SUM($D81:$DS81)=0,1,'Вводные'!$B$63)))*BC80+(1-(IF(SUM($D78:$DS78)=0,0,IF(SUM($D81:$DS81)=0,1,'Вводные'!$B$63))))*BC82)</x:f>
      </x:c>
      <x:c r="BD83" s="107" t="n">
        <x:f>'Вводные'!$L$91*((IF(SUM($D78:$DS78)=0,0,IF(SUM($D81:$DS81)=0,1,'Вводные'!$B$63)))*BD80+(1-(IF(SUM($D78:$DS78)=0,0,IF(SUM($D81:$DS81)=0,1,'Вводные'!$B$63))))*BD82)</x:f>
      </x:c>
      <x:c r="BE83" s="107" t="n">
        <x:f>'Вводные'!$L$91*((IF(SUM($D78:$DS78)=0,0,IF(SUM($D81:$DS81)=0,1,'Вводные'!$B$63)))*BE80+(1-(IF(SUM($D78:$DS78)=0,0,IF(SUM($D81:$DS81)=0,1,'Вводные'!$B$63))))*BE82)</x:f>
      </x:c>
      <x:c r="BF83" s="107" t="n">
        <x:f>'Вводные'!$L$91*((IF(SUM($D78:$DS78)=0,0,IF(SUM($D81:$DS81)=0,1,'Вводные'!$B$63)))*BF80+(1-(IF(SUM($D78:$DS78)=0,0,IF(SUM($D81:$DS81)=0,1,'Вводные'!$B$63))))*BF82)</x:f>
      </x:c>
      <x:c r="BG83" s="107" t="n">
        <x:f>'Вводные'!$L$91*((IF(SUM($D78:$DS78)=0,0,IF(SUM($D81:$DS81)=0,1,'Вводные'!$B$63)))*BG80+(1-(IF(SUM($D78:$DS78)=0,0,IF(SUM($D81:$DS81)=0,1,'Вводные'!$B$63))))*BG82)</x:f>
      </x:c>
      <x:c r="BH83" s="107" t="n">
        <x:f>'Вводные'!$L$91*((IF(SUM($D78:$DS78)=0,0,IF(SUM($D81:$DS81)=0,1,'Вводные'!$B$63)))*BH80+(1-(IF(SUM($D78:$DS78)=0,0,IF(SUM($D81:$DS81)=0,1,'Вводные'!$B$63))))*BH82)</x:f>
      </x:c>
      <x:c r="BI83" s="107" t="n">
        <x:f>'Вводные'!$L$91*((IF(SUM($D78:$DS78)=0,0,IF(SUM($D81:$DS81)=0,1,'Вводные'!$B$63)))*BI80+(1-(IF(SUM($D78:$DS78)=0,0,IF(SUM($D81:$DS81)=0,1,'Вводные'!$B$63))))*BI82)</x:f>
      </x:c>
      <x:c r="BJ83" s="107" t="n">
        <x:f>'Вводные'!$L$91*((IF(SUM($D78:$DS78)=0,0,IF(SUM($D81:$DS81)=0,1,'Вводные'!$B$63)))*BJ80+(1-(IF(SUM($D78:$DS78)=0,0,IF(SUM($D81:$DS81)=0,1,'Вводные'!$B$63))))*BJ82)</x:f>
      </x:c>
      <x:c r="BK83" s="107" t="n">
        <x:f>'Вводные'!$L$91*((IF(SUM($D78:$DS78)=0,0,IF(SUM($D81:$DS81)=0,1,'Вводные'!$B$63)))*BK80+(1-(IF(SUM($D78:$DS78)=0,0,IF(SUM($D81:$DS81)=0,1,'Вводные'!$B$63))))*BK82)</x:f>
      </x:c>
      <x:c r="BL83" s="107" t="n">
        <x:f>'Вводные'!$L$91*((IF(SUM($D78:$DS78)=0,0,IF(SUM($D81:$DS81)=0,1,'Вводные'!$B$63)))*BL80+(1-(IF(SUM($D78:$DS78)=0,0,IF(SUM($D81:$DS81)=0,1,'Вводные'!$B$63))))*BL82)</x:f>
      </x:c>
      <x:c r="BM83" s="107" t="n">
        <x:f>'Вводные'!$L$91*((IF(SUM($D78:$DS78)=0,0,IF(SUM($D81:$DS81)=0,1,'Вводные'!$B$63)))*BM80+(1-(IF(SUM($D78:$DS78)=0,0,IF(SUM($D81:$DS81)=0,1,'Вводные'!$B$63))))*BM82)</x:f>
      </x:c>
      <x:c r="BN83" s="107" t="n">
        <x:f>'Вводные'!$L$91*((IF(SUM($D78:$DS78)=0,0,IF(SUM($D81:$DS81)=0,1,'Вводные'!$B$63)))*BN80+(1-(IF(SUM($D78:$DS78)=0,0,IF(SUM($D81:$DS81)=0,1,'Вводные'!$B$63))))*BN82)</x:f>
      </x:c>
      <x:c r="BO83" s="107" t="n">
        <x:f>'Вводные'!$L$91*((IF(SUM($D78:$DS78)=0,0,IF(SUM($D81:$DS81)=0,1,'Вводные'!$B$63)))*BO80+(1-(IF(SUM($D78:$DS78)=0,0,IF(SUM($D81:$DS81)=0,1,'Вводные'!$B$63))))*BO82)</x:f>
      </x:c>
      <x:c r="BP83" s="107" t="n">
        <x:f>'Вводные'!$L$91*((IF(SUM($D78:$DS78)=0,0,IF(SUM($D81:$DS81)=0,1,'Вводные'!$B$63)))*BP80+(1-(IF(SUM($D78:$DS78)=0,0,IF(SUM($D81:$DS81)=0,1,'Вводные'!$B$63))))*BP82)</x:f>
      </x:c>
      <x:c r="BQ83" s="107" t="n">
        <x:f>'Вводные'!$L$91*((IF(SUM($D78:$DS78)=0,0,IF(SUM($D81:$DS81)=0,1,'Вводные'!$B$63)))*BQ80+(1-(IF(SUM($D78:$DS78)=0,0,IF(SUM($D81:$DS81)=0,1,'Вводные'!$B$63))))*BQ82)</x:f>
      </x:c>
      <x:c r="BR83" s="107" t="n">
        <x:f>'Вводные'!$L$91*((IF(SUM($D78:$DS78)=0,0,IF(SUM($D81:$DS81)=0,1,'Вводные'!$B$63)))*BR80+(1-(IF(SUM($D78:$DS78)=0,0,IF(SUM($D81:$DS81)=0,1,'Вводные'!$B$63))))*BR82)</x:f>
      </x:c>
      <x:c r="BS83" s="107" t="n">
        <x:f>'Вводные'!$L$91*((IF(SUM($D78:$DS78)=0,0,IF(SUM($D81:$DS81)=0,1,'Вводные'!$B$63)))*BS80+(1-(IF(SUM($D78:$DS78)=0,0,IF(SUM($D81:$DS81)=0,1,'Вводные'!$B$63))))*BS82)</x:f>
      </x:c>
      <x:c r="BT83" s="107" t="n">
        <x:f>'Вводные'!$L$91*((IF(SUM($D78:$DS78)=0,0,IF(SUM($D81:$DS81)=0,1,'Вводные'!$B$63)))*BT80+(1-(IF(SUM($D78:$DS78)=0,0,IF(SUM($D81:$DS81)=0,1,'Вводные'!$B$63))))*BT82)</x:f>
      </x:c>
      <x:c r="BU83" s="107" t="n">
        <x:f>'Вводные'!$L$91*((IF(SUM($D78:$DS78)=0,0,IF(SUM($D81:$DS81)=0,1,'Вводные'!$B$63)))*BU80+(1-(IF(SUM($D78:$DS78)=0,0,IF(SUM($D81:$DS81)=0,1,'Вводные'!$B$63))))*BU82)</x:f>
      </x:c>
      <x:c r="BV83" s="107" t="n">
        <x:f>'Вводные'!$L$91*((IF(SUM($D78:$DS78)=0,0,IF(SUM($D81:$DS81)=0,1,'Вводные'!$B$63)))*BV80+(1-(IF(SUM($D78:$DS78)=0,0,IF(SUM($D81:$DS81)=0,1,'Вводные'!$B$63))))*BV82)</x:f>
      </x:c>
      <x:c r="BW83" s="107" t="n">
        <x:f>'Вводные'!$L$91*((IF(SUM($D78:$DS78)=0,0,IF(SUM($D81:$DS81)=0,1,'Вводные'!$B$63)))*BW80+(1-(IF(SUM($D78:$DS78)=0,0,IF(SUM($D81:$DS81)=0,1,'Вводные'!$B$63))))*BW82)</x:f>
      </x:c>
      <x:c r="BX83" s="107" t="n">
        <x:f>'Вводные'!$L$91*((IF(SUM($D78:$DS78)=0,0,IF(SUM($D81:$DS81)=0,1,'Вводные'!$B$63)))*BX80+(1-(IF(SUM($D78:$DS78)=0,0,IF(SUM($D81:$DS81)=0,1,'Вводные'!$B$63))))*BX82)</x:f>
      </x:c>
      <x:c r="BY83" s="107" t="n">
        <x:f>'Вводные'!$L$91*((IF(SUM($D78:$DS78)=0,0,IF(SUM($D81:$DS81)=0,1,'Вводные'!$B$63)))*BY80+(1-(IF(SUM($D78:$DS78)=0,0,IF(SUM($D81:$DS81)=0,1,'Вводные'!$B$63))))*BY82)</x:f>
      </x:c>
      <x:c r="BZ83" s="107" t="n">
        <x:f>'Вводные'!$L$91*((IF(SUM($D78:$DS78)=0,0,IF(SUM($D81:$DS81)=0,1,'Вводные'!$B$63)))*BZ80+(1-(IF(SUM($D78:$DS78)=0,0,IF(SUM($D81:$DS81)=0,1,'Вводные'!$B$63))))*BZ82)</x:f>
      </x:c>
      <x:c r="CA83" s="107" t="n">
        <x:f>'Вводные'!$L$91*((IF(SUM($D78:$DS78)=0,0,IF(SUM($D81:$DS81)=0,1,'Вводные'!$B$63)))*CA80+(1-(IF(SUM($D78:$DS78)=0,0,IF(SUM($D81:$DS81)=0,1,'Вводные'!$B$63))))*CA82)</x:f>
      </x:c>
      <x:c r="CB83" s="107" t="n">
        <x:f>'Вводные'!$L$91*((IF(SUM($D78:$DS78)=0,0,IF(SUM($D81:$DS81)=0,1,'Вводные'!$B$63)))*CB80+(1-(IF(SUM($D78:$DS78)=0,0,IF(SUM($D81:$DS81)=0,1,'Вводные'!$B$63))))*CB82)</x:f>
      </x:c>
      <x:c r="CC83" s="107" t="n">
        <x:f>'Вводные'!$L$91*((IF(SUM($D78:$DS78)=0,0,IF(SUM($D81:$DS81)=0,1,'Вводные'!$B$63)))*CC80+(1-(IF(SUM($D78:$DS78)=0,0,IF(SUM($D81:$DS81)=0,1,'Вводные'!$B$63))))*CC82)</x:f>
      </x:c>
      <x:c r="CD83" s="107" t="n">
        <x:f>'Вводные'!$L$91*((IF(SUM($D78:$DS78)=0,0,IF(SUM($D81:$DS81)=0,1,'Вводные'!$B$63)))*CD80+(1-(IF(SUM($D78:$DS78)=0,0,IF(SUM($D81:$DS81)=0,1,'Вводные'!$B$63))))*CD82)</x:f>
      </x:c>
      <x:c r="CE83" s="107" t="n">
        <x:f>'Вводные'!$L$91*((IF(SUM($D78:$DS78)=0,0,IF(SUM($D81:$DS81)=0,1,'Вводные'!$B$63)))*CE80+(1-(IF(SUM($D78:$DS78)=0,0,IF(SUM($D81:$DS81)=0,1,'Вводные'!$B$63))))*CE82)</x:f>
      </x:c>
      <x:c r="CF83" s="107" t="n">
        <x:f>'Вводные'!$L$91*((IF(SUM($D78:$DS78)=0,0,IF(SUM($D81:$DS81)=0,1,'Вводные'!$B$63)))*CF80+(1-(IF(SUM($D78:$DS78)=0,0,IF(SUM($D81:$DS81)=0,1,'Вводные'!$B$63))))*CF82)</x:f>
      </x:c>
      <x:c r="CG83" s="107" t="n">
        <x:f>'Вводные'!$L$91*((IF(SUM($D78:$DS78)=0,0,IF(SUM($D81:$DS81)=0,1,'Вводные'!$B$63)))*CG80+(1-(IF(SUM($D78:$DS78)=0,0,IF(SUM($D81:$DS81)=0,1,'Вводные'!$B$63))))*CG82)</x:f>
      </x:c>
      <x:c r="CH83" s="107" t="n">
        <x:f>'Вводные'!$L$91*((IF(SUM($D78:$DS78)=0,0,IF(SUM($D81:$DS81)=0,1,'Вводные'!$B$63)))*CH80+(1-(IF(SUM($D78:$DS78)=0,0,IF(SUM($D81:$DS81)=0,1,'Вводные'!$B$63))))*CH82)</x:f>
      </x:c>
      <x:c r="CI83" s="107" t="n">
        <x:f>'Вводные'!$L$91*((IF(SUM($D78:$DS78)=0,0,IF(SUM($D81:$DS81)=0,1,'Вводные'!$B$63)))*CI80+(1-(IF(SUM($D78:$DS78)=0,0,IF(SUM($D81:$DS81)=0,1,'Вводные'!$B$63))))*CI82)</x:f>
      </x:c>
      <x:c r="CJ83" s="107" t="n">
        <x:f>'Вводные'!$L$91*((IF(SUM($D78:$DS78)=0,0,IF(SUM($D81:$DS81)=0,1,'Вводные'!$B$63)))*CJ80+(1-(IF(SUM($D78:$DS78)=0,0,IF(SUM($D81:$DS81)=0,1,'Вводные'!$B$63))))*CJ82)</x:f>
      </x:c>
      <x:c r="CK83" s="107" t="n">
        <x:f>'Вводные'!$L$91*((IF(SUM($D78:$DS78)=0,0,IF(SUM($D81:$DS81)=0,1,'Вводные'!$B$63)))*CK80+(1-(IF(SUM($D78:$DS78)=0,0,IF(SUM($D81:$DS81)=0,1,'Вводные'!$B$63))))*CK82)</x:f>
      </x:c>
      <x:c r="CL83" s="107" t="n">
        <x:f>'Вводные'!$L$91*((IF(SUM($D78:$DS78)=0,0,IF(SUM($D81:$DS81)=0,1,'Вводные'!$B$63)))*CL80+(1-(IF(SUM($D78:$DS78)=0,0,IF(SUM($D81:$DS81)=0,1,'Вводные'!$B$63))))*CL82)</x:f>
      </x:c>
      <x:c r="CM83" s="107" t="n">
        <x:f>'Вводные'!$L$91*((IF(SUM($D78:$DS78)=0,0,IF(SUM($D81:$DS81)=0,1,'Вводные'!$B$63)))*CM80+(1-(IF(SUM($D78:$DS78)=0,0,IF(SUM($D81:$DS81)=0,1,'Вводные'!$B$63))))*CM82)</x:f>
      </x:c>
      <x:c r="CN83" s="107" t="n">
        <x:f>'Вводные'!$L$91*((IF(SUM($D78:$DS78)=0,0,IF(SUM($D81:$DS81)=0,1,'Вводные'!$B$63)))*CN80+(1-(IF(SUM($D78:$DS78)=0,0,IF(SUM($D81:$DS81)=0,1,'Вводные'!$B$63))))*CN82)</x:f>
      </x:c>
      <x:c r="CO83" s="107" t="n">
        <x:f>'Вводные'!$L$91*((IF(SUM($D78:$DS78)=0,0,IF(SUM($D81:$DS81)=0,1,'Вводные'!$B$63)))*CO80+(1-(IF(SUM($D78:$DS78)=0,0,IF(SUM($D81:$DS81)=0,1,'Вводные'!$B$63))))*CO82)</x:f>
      </x:c>
      <x:c r="CP83" s="107" t="n">
        <x:f>'Вводные'!$L$91*((IF(SUM($D78:$DS78)=0,0,IF(SUM($D81:$DS81)=0,1,'Вводные'!$B$63)))*CP80+(1-(IF(SUM($D78:$DS78)=0,0,IF(SUM($D81:$DS81)=0,1,'Вводные'!$B$63))))*CP82)</x:f>
      </x:c>
      <x:c r="CQ83" s="107" t="n">
        <x:f>'Вводные'!$L$91*((IF(SUM($D78:$DS78)=0,0,IF(SUM($D81:$DS81)=0,1,'Вводные'!$B$63)))*CQ80+(1-(IF(SUM($D78:$DS78)=0,0,IF(SUM($D81:$DS81)=0,1,'Вводные'!$B$63))))*CQ82)</x:f>
      </x:c>
      <x:c r="CR83" s="107" t="n">
        <x:f>'Вводные'!$L$91*((IF(SUM($D78:$DS78)=0,0,IF(SUM($D81:$DS81)=0,1,'Вводные'!$B$63)))*CR80+(1-(IF(SUM($D78:$DS78)=0,0,IF(SUM($D81:$DS81)=0,1,'Вводные'!$B$63))))*CR82)</x:f>
      </x:c>
      <x:c r="CS83" s="107" t="n">
        <x:f>'Вводные'!$L$91*((IF(SUM($D78:$DS78)=0,0,IF(SUM($D81:$DS81)=0,1,'Вводные'!$B$63)))*CS80+(1-(IF(SUM($D78:$DS78)=0,0,IF(SUM($D81:$DS81)=0,1,'Вводные'!$B$63))))*CS82)</x:f>
      </x:c>
      <x:c r="CT83" s="107" t="n">
        <x:f>'Вводные'!$L$91*((IF(SUM($D78:$DS78)=0,0,IF(SUM($D81:$DS81)=0,1,'Вводные'!$B$63)))*CT80+(1-(IF(SUM($D78:$DS78)=0,0,IF(SUM($D81:$DS81)=0,1,'Вводные'!$B$63))))*CT82)</x:f>
      </x:c>
      <x:c r="CU83" s="107" t="n">
        <x:f>'Вводные'!$L$91*((IF(SUM($D78:$DS78)=0,0,IF(SUM($D81:$DS81)=0,1,'Вводные'!$B$63)))*CU80+(1-(IF(SUM($D78:$DS78)=0,0,IF(SUM($D81:$DS81)=0,1,'Вводные'!$B$63))))*CU82)</x:f>
      </x:c>
      <x:c r="CV83" s="107" t="n">
        <x:f>'Вводные'!$L$91*((IF(SUM($D78:$DS78)=0,0,IF(SUM($D81:$DS81)=0,1,'Вводные'!$B$63)))*CV80+(1-(IF(SUM($D78:$DS78)=0,0,IF(SUM($D81:$DS81)=0,1,'Вводные'!$B$63))))*CV82)</x:f>
      </x:c>
      <x:c r="CW83" s="107" t="n">
        <x:f>'Вводные'!$L$91*((IF(SUM($D78:$DS78)=0,0,IF(SUM($D81:$DS81)=0,1,'Вводные'!$B$63)))*CW80+(1-(IF(SUM($D78:$DS78)=0,0,IF(SUM($D81:$DS81)=0,1,'Вводные'!$B$63))))*CW82)</x:f>
      </x:c>
      <x:c r="CX83" s="107" t="n">
        <x:f>'Вводные'!$L$91*((IF(SUM($D78:$DS78)=0,0,IF(SUM($D81:$DS81)=0,1,'Вводные'!$B$63)))*CX80+(1-(IF(SUM($D78:$DS78)=0,0,IF(SUM($D81:$DS81)=0,1,'Вводные'!$B$63))))*CX82)</x:f>
      </x:c>
      <x:c r="CY83" s="107" t="n">
        <x:f>'Вводные'!$L$91*((IF(SUM($D78:$DS78)=0,0,IF(SUM($D81:$DS81)=0,1,'Вводные'!$B$63)))*CY80+(1-(IF(SUM($D78:$DS78)=0,0,IF(SUM($D81:$DS81)=0,1,'Вводные'!$B$63))))*CY82)</x:f>
      </x:c>
      <x:c r="CZ83" s="107" t="n">
        <x:f>'Вводные'!$L$91*((IF(SUM($D78:$DS78)=0,0,IF(SUM($D81:$DS81)=0,1,'Вводные'!$B$63)))*CZ80+(1-(IF(SUM($D78:$DS78)=0,0,IF(SUM($D81:$DS81)=0,1,'Вводные'!$B$63))))*CZ82)</x:f>
      </x:c>
      <x:c r="DA83" s="107" t="n">
        <x:f>'Вводные'!$L$91*((IF(SUM($D78:$DS78)=0,0,IF(SUM($D81:$DS81)=0,1,'Вводные'!$B$63)))*DA80+(1-(IF(SUM($D78:$DS78)=0,0,IF(SUM($D81:$DS81)=0,1,'Вводные'!$B$63))))*DA82)</x:f>
      </x:c>
      <x:c r="DB83" s="107" t="n">
        <x:f>'Вводные'!$L$91*((IF(SUM($D78:$DS78)=0,0,IF(SUM($D81:$DS81)=0,1,'Вводные'!$B$63)))*DB80+(1-(IF(SUM($D78:$DS78)=0,0,IF(SUM($D81:$DS81)=0,1,'Вводные'!$B$63))))*DB82)</x:f>
      </x:c>
      <x:c r="DC83" s="107" t="n">
        <x:f>'Вводные'!$L$91*((IF(SUM($D78:$DS78)=0,0,IF(SUM($D81:$DS81)=0,1,'Вводные'!$B$63)))*DC80+(1-(IF(SUM($D78:$DS78)=0,0,IF(SUM($D81:$DS81)=0,1,'Вводные'!$B$63))))*DC82)</x:f>
      </x:c>
      <x:c r="DD83" s="107" t="n">
        <x:f>'Вводные'!$L$91*((IF(SUM($D78:$DS78)=0,0,IF(SUM($D81:$DS81)=0,1,'Вводные'!$B$63)))*DD80+(1-(IF(SUM($D78:$DS78)=0,0,IF(SUM($D81:$DS81)=0,1,'Вводные'!$B$63))))*DD82)</x:f>
      </x:c>
      <x:c r="DE83" s="107" t="n">
        <x:f>'Вводные'!$L$91*((IF(SUM($D78:$DS78)=0,0,IF(SUM($D81:$DS81)=0,1,'Вводные'!$B$63)))*DE80+(1-(IF(SUM($D78:$DS78)=0,0,IF(SUM($D81:$DS81)=0,1,'Вводные'!$B$63))))*DE82)</x:f>
      </x:c>
      <x:c r="DF83" s="107" t="n">
        <x:f>'Вводные'!$L$91*((IF(SUM($D78:$DS78)=0,0,IF(SUM($D81:$DS81)=0,1,'Вводные'!$B$63)))*DF80+(1-(IF(SUM($D78:$DS78)=0,0,IF(SUM($D81:$DS81)=0,1,'Вводные'!$B$63))))*DF82)</x:f>
      </x:c>
      <x:c r="DG83" s="107" t="n">
        <x:f>'Вводные'!$L$91*((IF(SUM($D78:$DS78)=0,0,IF(SUM($D81:$DS81)=0,1,'Вводные'!$B$63)))*DG80+(1-(IF(SUM($D78:$DS78)=0,0,IF(SUM($D81:$DS81)=0,1,'Вводные'!$B$63))))*DG82)</x:f>
      </x:c>
      <x:c r="DH83" s="107" t="n">
        <x:f>'Вводные'!$L$91*((IF(SUM($D78:$DS78)=0,0,IF(SUM($D81:$DS81)=0,1,'Вводные'!$B$63)))*DH80+(1-(IF(SUM($D78:$DS78)=0,0,IF(SUM($D81:$DS81)=0,1,'Вводные'!$B$63))))*DH82)</x:f>
      </x:c>
      <x:c r="DI83" s="107" t="n">
        <x:f>'Вводные'!$L$91*((IF(SUM($D78:$DS78)=0,0,IF(SUM($D81:$DS81)=0,1,'Вводные'!$B$63)))*DI80+(1-(IF(SUM($D78:$DS78)=0,0,IF(SUM($D81:$DS81)=0,1,'Вводные'!$B$63))))*DI82)</x:f>
      </x:c>
      <x:c r="DJ83" s="107" t="n">
        <x:f>'Вводные'!$L$91*((IF(SUM($D78:$DS78)=0,0,IF(SUM($D81:$DS81)=0,1,'Вводные'!$B$63)))*DJ80+(1-(IF(SUM($D78:$DS78)=0,0,IF(SUM($D81:$DS81)=0,1,'Вводные'!$B$63))))*DJ82)</x:f>
      </x:c>
      <x:c r="DK83" s="107" t="n">
        <x:f>'Вводные'!$L$91*((IF(SUM($D78:$DS78)=0,0,IF(SUM($D81:$DS81)=0,1,'Вводные'!$B$63)))*DK80+(1-(IF(SUM($D78:$DS78)=0,0,IF(SUM($D81:$DS81)=0,1,'Вводные'!$B$63))))*DK82)</x:f>
      </x:c>
      <x:c r="DL83" s="107" t="n">
        <x:f>'Вводные'!$L$91*((IF(SUM($D78:$DS78)=0,0,IF(SUM($D81:$DS81)=0,1,'Вводные'!$B$63)))*DL80+(1-(IF(SUM($D78:$DS78)=0,0,IF(SUM($D81:$DS81)=0,1,'Вводные'!$B$63))))*DL82)</x:f>
      </x:c>
      <x:c r="DM83" s="107" t="n">
        <x:f>'Вводные'!$L$91*((IF(SUM($D78:$DS78)=0,0,IF(SUM($D81:$DS81)=0,1,'Вводные'!$B$63)))*DM80+(1-(IF(SUM($D78:$DS78)=0,0,IF(SUM($D81:$DS81)=0,1,'Вводные'!$B$63))))*DM82)</x:f>
      </x:c>
      <x:c r="DN83" s="107" t="n">
        <x:f>'Вводные'!$L$91*((IF(SUM($D78:$DS78)=0,0,IF(SUM($D81:$DS81)=0,1,'Вводные'!$B$63)))*DN80+(1-(IF(SUM($D78:$DS78)=0,0,IF(SUM($D81:$DS81)=0,1,'Вводные'!$B$63))))*DN82)</x:f>
      </x:c>
      <x:c r="DO83" s="107" t="n">
        <x:f>'Вводные'!$L$91*((IF(SUM($D78:$DS78)=0,0,IF(SUM($D81:$DS81)=0,1,'Вводные'!$B$63)))*DO80+(1-(IF(SUM($D78:$DS78)=0,0,IF(SUM($D81:$DS81)=0,1,'Вводные'!$B$63))))*DO82)</x:f>
      </x:c>
      <x:c r="DP83" s="107" t="n">
        <x:f>'Вводные'!$L$91*((IF(SUM($D78:$DS78)=0,0,IF(SUM($D81:$DS81)=0,1,'Вводные'!$B$63)))*DP80+(1-(IF(SUM($D78:$DS78)=0,0,IF(SUM($D81:$DS81)=0,1,'Вводные'!$B$63))))*DP82)</x:f>
      </x:c>
      <x:c r="DQ83" s="107" t="n">
        <x:f>'Вводные'!$L$91*((IF(SUM($D78:$DS78)=0,0,IF(SUM($D81:$DS81)=0,1,'Вводные'!$B$63)))*DQ80+(1-(IF(SUM($D78:$DS78)=0,0,IF(SUM($D81:$DS81)=0,1,'Вводные'!$B$63))))*DQ82)</x:f>
      </x:c>
      <x:c r="DR83" s="107" t="n">
        <x:f>'Вводные'!$L$91*((IF(SUM($D78:$DS78)=0,0,IF(SUM($D81:$DS81)=0,1,'Вводные'!$B$63)))*DR80+(1-(IF(SUM($D78:$DS78)=0,0,IF(SUM($D81:$DS81)=0,1,'Вводные'!$B$63))))*DR82)</x:f>
      </x:c>
      <x:c r="DS83" s="107" t="n">
        <x:f>'Вводные'!$L$91*((IF(SUM($D78:$DS78)=0,0,IF(SUM($D81:$DS81)=0,1,'Вводные'!$B$63)))*DS80+(1-(IF(SUM($D78:$DS78)=0,0,IF(SUM($D81:$DS81)=0,1,'Вводные'!$B$63))))*DS82)</x:f>
      </x:c>
    </x:row>
    <x:row r="84">
      <x:c r="A84" t="str">
        <x:v>Квартиры — цена</x:v>
      </x:c>
      <x:c r="B84" t="n">
        <x:f>IFERROR(B85*1000/B83,0)</x:f>
      </x:c>
      <x:c r="C84" t="str">
        <x:v>тыс. ₽/м²</x:v>
      </x:c>
      <x:c r="D84" s="107" t="n">
        <x:f>IF(D83=0,0,'Вводные'!$B$59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4" s="107" t="n">
        <x:f>IF(E83=0,0,'Вводные'!$B$59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4" s="107" t="n">
        <x:f>IF(F83=0,0,'Вводные'!$B$59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4" s="107" t="n">
        <x:f>IF(G83=0,0,'Вводные'!$B$59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4" s="107" t="n">
        <x:f>IF(H83=0,0,'Вводные'!$B$59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4" s="107" t="n">
        <x:f>IF(I83=0,0,'Вводные'!$B$59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4" s="107" t="n">
        <x:f>IF(J83=0,0,'Вводные'!$B$59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4" s="107" t="n">
        <x:f>IF(K83=0,0,'Вводные'!$B$59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4" s="107" t="n">
        <x:f>IF(L83=0,0,'Вводные'!$B$59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4" s="107" t="n">
        <x:f>IF(M83=0,0,'Вводные'!$B$59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4" s="107" t="n">
        <x:f>IF(N83=0,0,'Вводные'!$B$59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4" s="107" t="n">
        <x:f>IF(O83=0,0,'Вводные'!$B$59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4" s="107" t="n">
        <x:f>IF(P83=0,0,'Вводные'!$B$59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4" s="107" t="n">
        <x:f>IF(Q83=0,0,'Вводные'!$B$59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4" s="107" t="n">
        <x:f>IF(R83=0,0,'Вводные'!$B$59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4" s="107" t="n">
        <x:f>IF(S83=0,0,'Вводные'!$B$59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4" s="107" t="n">
        <x:f>IF(T83=0,0,'Вводные'!$B$59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4" s="107" t="n">
        <x:f>IF(U83=0,0,'Вводные'!$B$59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4" s="107" t="n">
        <x:f>IF(V83=0,0,'Вводные'!$B$59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4" s="107" t="n">
        <x:f>IF(W83=0,0,'Вводные'!$B$59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4" s="107" t="n">
        <x:f>IF(X83=0,0,'Вводные'!$B$59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4" s="107" t="n">
        <x:f>IF(Y83=0,0,'Вводные'!$B$59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4" s="107" t="n">
        <x:f>IF(Z83=0,0,'Вводные'!$B$59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4" s="107" t="n">
        <x:f>IF(AA83=0,0,'Вводные'!$B$59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4" s="107" t="n">
        <x:f>IF(AB83=0,0,'Вводные'!$B$59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4" s="107" t="n">
        <x:f>IF(AC83=0,0,'Вводные'!$B$59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4" s="107" t="n">
        <x:f>IF(AD83=0,0,'Вводные'!$B$59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4" s="107" t="n">
        <x:f>IF(AE83=0,0,'Вводные'!$B$59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4" s="107" t="n">
        <x:f>IF(AF83=0,0,'Вводные'!$B$59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4" s="107" t="n">
        <x:f>IF(AG83=0,0,'Вводные'!$B$59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4" s="107" t="n">
        <x:f>IF(AH83=0,0,'Вводные'!$B$59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4" s="107" t="n">
        <x:f>IF(AI83=0,0,'Вводные'!$B$59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4" s="107" t="n">
        <x:f>IF(AJ83=0,0,'Вводные'!$B$59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4" s="107" t="n">
        <x:f>IF(AK83=0,0,'Вводные'!$B$59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4" s="107" t="n">
        <x:f>IF(AL83=0,0,'Вводные'!$B$59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4" s="107" t="n">
        <x:f>IF(AM83=0,0,'Вводные'!$B$59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4" s="107" t="n">
        <x:f>IF(AN83=0,0,'Вводные'!$B$59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4" s="107" t="n">
        <x:f>IF(AO83=0,0,'Вводные'!$B$59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4" s="107" t="n">
        <x:f>IF(AP83=0,0,'Вводные'!$B$59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4" s="107" t="n">
        <x:f>IF(AQ83=0,0,'Вводные'!$B$59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4" s="107" t="n">
        <x:f>IF(AR83=0,0,'Вводные'!$B$59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4" s="107" t="n">
        <x:f>IF(AS83=0,0,'Вводные'!$B$59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4" s="107" t="n">
        <x:f>IF(AT83=0,0,'Вводные'!$B$59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4" s="107" t="n">
        <x:f>IF(AU83=0,0,'Вводные'!$B$59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4" s="107" t="n">
        <x:f>IF(AV83=0,0,'Вводные'!$B$59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4" s="107" t="n">
        <x:f>IF(AW83=0,0,'Вводные'!$B$59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4" s="107" t="n">
        <x:f>IF(AX83=0,0,'Вводные'!$B$59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4" s="107" t="n">
        <x:f>IF(AY83=0,0,'Вводные'!$B$59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4" s="107" t="n">
        <x:f>IF(AZ83=0,0,'Вводные'!$B$59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4" s="107" t="n">
        <x:f>IF(BA83=0,0,'Вводные'!$B$59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4" s="107" t="n">
        <x:f>IF(BB83=0,0,'Вводные'!$B$59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4" s="107" t="n">
        <x:f>IF(BC83=0,0,'Вводные'!$B$59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4" s="107" t="n">
        <x:f>IF(BD83=0,0,'Вводные'!$B$59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4" s="107" t="n">
        <x:f>IF(BE83=0,0,'Вводные'!$B$59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4" s="107" t="n">
        <x:f>IF(BF83=0,0,'Вводные'!$B$59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4" s="107" t="n">
        <x:f>IF(BG83=0,0,'Вводные'!$B$59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4" s="107" t="n">
        <x:f>IF(BH83=0,0,'Вводные'!$B$59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4" s="107" t="n">
        <x:f>IF(BI83=0,0,'Вводные'!$B$59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4" s="107" t="n">
        <x:f>IF(BJ83=0,0,'Вводные'!$B$59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4" s="107" t="n">
        <x:f>IF(BK83=0,0,'Вводные'!$B$59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4" s="107" t="n">
        <x:f>IF(BL83=0,0,'Вводные'!$B$59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4" s="107" t="n">
        <x:f>IF(BM83=0,0,'Вводные'!$B$59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4" s="107" t="n">
        <x:f>IF(BN83=0,0,'Вводные'!$B$59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4" s="107" t="n">
        <x:f>IF(BO83=0,0,'Вводные'!$B$59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4" s="107" t="n">
        <x:f>IF(BP83=0,0,'Вводные'!$B$59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4" s="107" t="n">
        <x:f>IF(BQ83=0,0,'Вводные'!$B$59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4" s="107" t="n">
        <x:f>IF(BR83=0,0,'Вводные'!$B$59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4" s="107" t="n">
        <x:f>IF(BS83=0,0,'Вводные'!$B$59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4" s="107" t="n">
        <x:f>IF(BT83=0,0,'Вводные'!$B$59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4" s="107" t="n">
        <x:f>IF(BU83=0,0,'Вводные'!$B$59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4" s="107" t="n">
        <x:f>IF(BV83=0,0,'Вводные'!$B$59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4" s="107" t="n">
        <x:f>IF(BW83=0,0,'Вводные'!$B$59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4" s="107" t="n">
        <x:f>IF(BX83=0,0,'Вводные'!$B$59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4" s="107" t="n">
        <x:f>IF(BY83=0,0,'Вводные'!$B$59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4" s="107" t="n">
        <x:f>IF(BZ83=0,0,'Вводные'!$B$59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4" s="107" t="n">
        <x:f>IF(CA83=0,0,'Вводные'!$B$59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4" s="107" t="n">
        <x:f>IF(CB83=0,0,'Вводные'!$B$59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4" s="107" t="n">
        <x:f>IF(CC83=0,0,'Вводные'!$B$59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4" s="107" t="n">
        <x:f>IF(CD83=0,0,'Вводные'!$B$59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4" s="107" t="n">
        <x:f>IF(CE83=0,0,'Вводные'!$B$59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4" s="107" t="n">
        <x:f>IF(CF83=0,0,'Вводные'!$B$59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4" s="107" t="n">
        <x:f>IF(CG83=0,0,'Вводные'!$B$59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4" s="107" t="n">
        <x:f>IF(CH83=0,0,'Вводные'!$B$59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4" s="107" t="n">
        <x:f>IF(CI83=0,0,'Вводные'!$B$59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4" s="107" t="n">
        <x:f>IF(CJ83=0,0,'Вводные'!$B$59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4" s="107" t="n">
        <x:f>IF(CK83=0,0,'Вводные'!$B$59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4" s="107" t="n">
        <x:f>IF(CL83=0,0,'Вводные'!$B$59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4" s="107" t="n">
        <x:f>IF(CM83=0,0,'Вводные'!$B$59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4" s="107" t="n">
        <x:f>IF(CN83=0,0,'Вводные'!$B$59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4" s="107" t="n">
        <x:f>IF(CO83=0,0,'Вводные'!$B$59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4" s="107" t="n">
        <x:f>IF(CP83=0,0,'Вводные'!$B$59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4" s="107" t="n">
        <x:f>IF(CQ83=0,0,'Вводные'!$B$59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4" s="107" t="n">
        <x:f>IF(CR83=0,0,'Вводные'!$B$59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4" s="107" t="n">
        <x:f>IF(CS83=0,0,'Вводные'!$B$59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4" s="107" t="n">
        <x:f>IF(CT83=0,0,'Вводные'!$B$59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4" s="107" t="n">
        <x:f>IF(CU83=0,0,'Вводные'!$B$59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4" s="107" t="n">
        <x:f>IF(CV83=0,0,'Вводные'!$B$59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4" s="107" t="n">
        <x:f>IF(CW83=0,0,'Вводные'!$B$59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4" s="107" t="n">
        <x:f>IF(CX83=0,0,'Вводные'!$B$59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4" s="107" t="n">
        <x:f>IF(CY83=0,0,'Вводные'!$B$59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4" s="107" t="n">
        <x:f>IF(CZ83=0,0,'Вводные'!$B$59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4" s="107" t="n">
        <x:f>IF(DA83=0,0,'Вводные'!$B$59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4" s="107" t="n">
        <x:f>IF(DB83=0,0,'Вводные'!$B$59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4" s="107" t="n">
        <x:f>IF(DC83=0,0,'Вводные'!$B$59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4" s="107" t="n">
        <x:f>IF(DD83=0,0,'Вводные'!$B$59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4" s="107" t="n">
        <x:f>IF(DE83=0,0,'Вводные'!$B$59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4" s="107" t="n">
        <x:f>IF(DF83=0,0,'Вводные'!$B$59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4" s="107" t="n">
        <x:f>IF(DG83=0,0,'Вводные'!$B$59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4" s="107" t="n">
        <x:f>IF(DH83=0,0,'Вводные'!$B$59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4" s="107" t="n">
        <x:f>IF(DI83=0,0,'Вводные'!$B$59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4" s="107" t="n">
        <x:f>IF(DJ83=0,0,'Вводные'!$B$59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4" s="107" t="n">
        <x:f>IF(DK83=0,0,'Вводные'!$B$59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4" s="107" t="n">
        <x:f>IF(DL83=0,0,'Вводные'!$B$59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4" s="107" t="n">
        <x:f>IF(DM83=0,0,'Вводные'!$B$59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4" s="107" t="n">
        <x:f>IF(DN83=0,0,'Вводные'!$B$59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4" s="107" t="n">
        <x:f>IF(DO83=0,0,'Вводные'!$B$59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4" s="107" t="n">
        <x:f>IF(DP83=0,0,'Вводные'!$B$59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4" s="107" t="n">
        <x:f>IF(DQ83=0,0,'Вводные'!$B$59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4" s="107" t="n">
        <x:f>IF(DR83=0,0,'Вводные'!$B$59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4" s="107" t="n">
        <x:f>IF(DS83=0,0,'Вводные'!$B$59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5">
      <x:c r="A85" t="str">
        <x:v>Квартиры — выручка</x:v>
      </x:c>
      <x:c r="B85" t="n">
        <x:f>SUM(D85:DS85)</x:f>
      </x:c>
      <x:c r="C85" t="str">
        <x:v>млн ₽</x:v>
      </x:c>
      <x:c r="D85" s="107" t="n">
        <x:f>D83*D84/1000</x:f>
      </x:c>
      <x:c r="E85" s="107" t="n">
        <x:f>E83*E84/1000</x:f>
      </x:c>
      <x:c r="F85" s="107" t="n">
        <x:f>F83*F84/1000</x:f>
      </x:c>
      <x:c r="G85" s="107" t="n">
        <x:f>G83*G84/1000</x:f>
      </x:c>
      <x:c r="H85" s="107" t="n">
        <x:f>H83*H84/1000</x:f>
      </x:c>
      <x:c r="I85" s="107" t="n">
        <x:f>I83*I84/1000</x:f>
      </x:c>
      <x:c r="J85" s="107" t="n">
        <x:f>J83*J84/1000</x:f>
      </x:c>
      <x:c r="K85" s="107" t="n">
        <x:f>K83*K84/1000</x:f>
      </x:c>
      <x:c r="L85" s="107" t="n">
        <x:f>L83*L84/1000</x:f>
      </x:c>
      <x:c r="M85" s="107" t="n">
        <x:f>M83*M84/1000</x:f>
      </x:c>
      <x:c r="N85" s="107" t="n">
        <x:f>N83*N84/1000</x:f>
      </x:c>
      <x:c r="O85" s="107" t="n">
        <x:f>O83*O84/1000</x:f>
      </x:c>
      <x:c r="P85" s="107" t="n">
        <x:f>P83*P84/1000</x:f>
      </x:c>
      <x:c r="Q85" s="107" t="n">
        <x:f>Q83*Q84/1000</x:f>
      </x:c>
      <x:c r="R85" s="107" t="n">
        <x:f>R83*R84/1000</x:f>
      </x:c>
      <x:c r="S85" s="107" t="n">
        <x:f>S83*S84/1000</x:f>
      </x:c>
      <x:c r="T85" s="107" t="n">
        <x:f>T83*T84/1000</x:f>
      </x:c>
      <x:c r="U85" s="107" t="n">
        <x:f>U83*U84/1000</x:f>
      </x:c>
      <x:c r="V85" s="107" t="n">
        <x:f>V83*V84/1000</x:f>
      </x:c>
      <x:c r="W85" s="107" t="n">
        <x:f>W83*W84/1000</x:f>
      </x:c>
      <x:c r="X85" s="107" t="n">
        <x:f>X83*X84/1000</x:f>
      </x:c>
      <x:c r="Y85" s="107" t="n">
        <x:f>Y83*Y84/1000</x:f>
      </x:c>
      <x:c r="Z85" s="107" t="n">
        <x:f>Z83*Z84/1000</x:f>
      </x:c>
      <x:c r="AA85" s="107" t="n">
        <x:f>AA83*AA84/1000</x:f>
      </x:c>
      <x:c r="AB85" s="107" t="n">
        <x:f>AB83*AB84/1000</x:f>
      </x:c>
      <x:c r="AC85" s="107" t="n">
        <x:f>AC83*AC84/1000</x:f>
      </x:c>
      <x:c r="AD85" s="107" t="n">
        <x:f>AD83*AD84/1000</x:f>
      </x:c>
      <x:c r="AE85" s="107" t="n">
        <x:f>AE83*AE84/1000</x:f>
      </x:c>
      <x:c r="AF85" s="107" t="n">
        <x:f>AF83*AF84/1000</x:f>
      </x:c>
      <x:c r="AG85" s="107" t="n">
        <x:f>AG83*AG84/1000</x:f>
      </x:c>
      <x:c r="AH85" s="107" t="n">
        <x:f>AH83*AH84/1000</x:f>
      </x:c>
      <x:c r="AI85" s="107" t="n">
        <x:f>AI83*AI84/1000</x:f>
      </x:c>
      <x:c r="AJ85" s="107" t="n">
        <x:f>AJ83*AJ84/1000</x:f>
      </x:c>
      <x:c r="AK85" s="107" t="n">
        <x:f>AK83*AK84/1000</x:f>
      </x:c>
      <x:c r="AL85" s="107" t="n">
        <x:f>AL83*AL84/1000</x:f>
      </x:c>
      <x:c r="AM85" s="107" t="n">
        <x:f>AM83*AM84/1000</x:f>
      </x:c>
      <x:c r="AN85" s="107" t="n">
        <x:f>AN83*AN84/1000</x:f>
      </x:c>
      <x:c r="AO85" s="107" t="n">
        <x:f>AO83*AO84/1000</x:f>
      </x:c>
      <x:c r="AP85" s="107" t="n">
        <x:f>AP83*AP84/1000</x:f>
      </x:c>
      <x:c r="AQ85" s="107" t="n">
        <x:f>AQ83*AQ84/1000</x:f>
      </x:c>
      <x:c r="AR85" s="107" t="n">
        <x:f>AR83*AR84/1000</x:f>
      </x:c>
      <x:c r="AS85" s="107" t="n">
        <x:f>AS83*AS84/1000</x:f>
      </x:c>
      <x:c r="AT85" s="107" t="n">
        <x:f>AT83*AT84/1000</x:f>
      </x:c>
      <x:c r="AU85" s="107" t="n">
        <x:f>AU83*AU84/1000</x:f>
      </x:c>
      <x:c r="AV85" s="107" t="n">
        <x:f>AV83*AV84/1000</x:f>
      </x:c>
      <x:c r="AW85" s="107" t="n">
        <x:f>AW83*AW84/1000</x:f>
      </x:c>
      <x:c r="AX85" s="107" t="n">
        <x:f>AX83*AX84/1000</x:f>
      </x:c>
      <x:c r="AY85" s="107" t="n">
        <x:f>AY83*AY84/1000</x:f>
      </x:c>
      <x:c r="AZ85" s="107" t="n">
        <x:f>AZ83*AZ84/1000</x:f>
      </x:c>
      <x:c r="BA85" s="107" t="n">
        <x:f>BA83*BA84/1000</x:f>
      </x:c>
      <x:c r="BB85" s="107" t="n">
        <x:f>BB83*BB84/1000</x:f>
      </x:c>
      <x:c r="BC85" s="107" t="n">
        <x:f>BC83*BC84/1000</x:f>
      </x:c>
      <x:c r="BD85" s="107" t="n">
        <x:f>BD83*BD84/1000</x:f>
      </x:c>
      <x:c r="BE85" s="107" t="n">
        <x:f>BE83*BE84/1000</x:f>
      </x:c>
      <x:c r="BF85" s="107" t="n">
        <x:f>BF83*BF84/1000</x:f>
      </x:c>
      <x:c r="BG85" s="107" t="n">
        <x:f>BG83*BG84/1000</x:f>
      </x:c>
      <x:c r="BH85" s="107" t="n">
        <x:f>BH83*BH84/1000</x:f>
      </x:c>
      <x:c r="BI85" s="107" t="n">
        <x:f>BI83*BI84/1000</x:f>
      </x:c>
      <x:c r="BJ85" s="107" t="n">
        <x:f>BJ83*BJ84/1000</x:f>
      </x:c>
      <x:c r="BK85" s="107" t="n">
        <x:f>BK83*BK84/1000</x:f>
      </x:c>
      <x:c r="BL85" s="107" t="n">
        <x:f>BL83*BL84/1000</x:f>
      </x:c>
      <x:c r="BM85" s="107" t="n">
        <x:f>BM83*BM84/1000</x:f>
      </x:c>
      <x:c r="BN85" s="107" t="n">
        <x:f>BN83*BN84/1000</x:f>
      </x:c>
      <x:c r="BO85" s="107" t="n">
        <x:f>BO83*BO84/1000</x:f>
      </x:c>
      <x:c r="BP85" s="107" t="n">
        <x:f>BP83*BP84/1000</x:f>
      </x:c>
      <x:c r="BQ85" s="107" t="n">
        <x:f>BQ83*BQ84/1000</x:f>
      </x:c>
      <x:c r="BR85" s="107" t="n">
        <x:f>BR83*BR84/1000</x:f>
      </x:c>
      <x:c r="BS85" s="107" t="n">
        <x:f>BS83*BS84/1000</x:f>
      </x:c>
      <x:c r="BT85" s="107" t="n">
        <x:f>BT83*BT84/1000</x:f>
      </x:c>
      <x:c r="BU85" s="107" t="n">
        <x:f>BU83*BU84/1000</x:f>
      </x:c>
      <x:c r="BV85" s="107" t="n">
        <x:f>BV83*BV84/1000</x:f>
      </x:c>
      <x:c r="BW85" s="107" t="n">
        <x:f>BW83*BW84/1000</x:f>
      </x:c>
      <x:c r="BX85" s="107" t="n">
        <x:f>BX83*BX84/1000</x:f>
      </x:c>
      <x:c r="BY85" s="107" t="n">
        <x:f>BY83*BY84/1000</x:f>
      </x:c>
      <x:c r="BZ85" s="107" t="n">
        <x:f>BZ83*BZ84/1000</x:f>
      </x:c>
      <x:c r="CA85" s="107" t="n">
        <x:f>CA83*CA84/1000</x:f>
      </x:c>
      <x:c r="CB85" s="107" t="n">
        <x:f>CB83*CB84/1000</x:f>
      </x:c>
      <x:c r="CC85" s="107" t="n">
        <x:f>CC83*CC84/1000</x:f>
      </x:c>
      <x:c r="CD85" s="107" t="n">
        <x:f>CD83*CD84/1000</x:f>
      </x:c>
      <x:c r="CE85" s="107" t="n">
        <x:f>CE83*CE84/1000</x:f>
      </x:c>
      <x:c r="CF85" s="107" t="n">
        <x:f>CF83*CF84/1000</x:f>
      </x:c>
      <x:c r="CG85" s="107" t="n">
        <x:f>CG83*CG84/1000</x:f>
      </x:c>
      <x:c r="CH85" s="107" t="n">
        <x:f>CH83*CH84/1000</x:f>
      </x:c>
      <x:c r="CI85" s="107" t="n">
        <x:f>CI83*CI84/1000</x:f>
      </x:c>
      <x:c r="CJ85" s="107" t="n">
        <x:f>CJ83*CJ84/1000</x:f>
      </x:c>
      <x:c r="CK85" s="107" t="n">
        <x:f>CK83*CK84/1000</x:f>
      </x:c>
      <x:c r="CL85" s="107" t="n">
        <x:f>CL83*CL84/1000</x:f>
      </x:c>
      <x:c r="CM85" s="107" t="n">
        <x:f>CM83*CM84/1000</x:f>
      </x:c>
      <x:c r="CN85" s="107" t="n">
        <x:f>CN83*CN84/1000</x:f>
      </x:c>
      <x:c r="CO85" s="107" t="n">
        <x:f>CO83*CO84/1000</x:f>
      </x:c>
      <x:c r="CP85" s="107" t="n">
        <x:f>CP83*CP84/1000</x:f>
      </x:c>
      <x:c r="CQ85" s="107" t="n">
        <x:f>CQ83*CQ84/1000</x:f>
      </x:c>
      <x:c r="CR85" s="107" t="n">
        <x:f>CR83*CR84/1000</x:f>
      </x:c>
      <x:c r="CS85" s="107" t="n">
        <x:f>CS83*CS84/1000</x:f>
      </x:c>
      <x:c r="CT85" s="107" t="n">
        <x:f>CT83*CT84/1000</x:f>
      </x:c>
      <x:c r="CU85" s="107" t="n">
        <x:f>CU83*CU84/1000</x:f>
      </x:c>
      <x:c r="CV85" s="107" t="n">
        <x:f>CV83*CV84/1000</x:f>
      </x:c>
      <x:c r="CW85" s="107" t="n">
        <x:f>CW83*CW84/1000</x:f>
      </x:c>
      <x:c r="CX85" s="107" t="n">
        <x:f>CX83*CX84/1000</x:f>
      </x:c>
      <x:c r="CY85" s="107" t="n">
        <x:f>CY83*CY84/1000</x:f>
      </x:c>
      <x:c r="CZ85" s="107" t="n">
        <x:f>CZ83*CZ84/1000</x:f>
      </x:c>
      <x:c r="DA85" s="107" t="n">
        <x:f>DA83*DA84/1000</x:f>
      </x:c>
      <x:c r="DB85" s="107" t="n">
        <x:f>DB83*DB84/1000</x:f>
      </x:c>
      <x:c r="DC85" s="107" t="n">
        <x:f>DC83*DC84/1000</x:f>
      </x:c>
      <x:c r="DD85" s="107" t="n">
        <x:f>DD83*DD84/1000</x:f>
      </x:c>
      <x:c r="DE85" s="107" t="n">
        <x:f>DE83*DE84/1000</x:f>
      </x:c>
      <x:c r="DF85" s="107" t="n">
        <x:f>DF83*DF84/1000</x:f>
      </x:c>
      <x:c r="DG85" s="107" t="n">
        <x:f>DG83*DG84/1000</x:f>
      </x:c>
      <x:c r="DH85" s="107" t="n">
        <x:f>DH83*DH84/1000</x:f>
      </x:c>
      <x:c r="DI85" s="107" t="n">
        <x:f>DI83*DI84/1000</x:f>
      </x:c>
      <x:c r="DJ85" s="107" t="n">
        <x:f>DJ83*DJ84/1000</x:f>
      </x:c>
      <x:c r="DK85" s="107" t="n">
        <x:f>DK83*DK84/1000</x:f>
      </x:c>
      <x:c r="DL85" s="107" t="n">
        <x:f>DL83*DL84/1000</x:f>
      </x:c>
      <x:c r="DM85" s="107" t="n">
        <x:f>DM83*DM84/1000</x:f>
      </x:c>
      <x:c r="DN85" s="107" t="n">
        <x:f>DN83*DN84/1000</x:f>
      </x:c>
      <x:c r="DO85" s="107" t="n">
        <x:f>DO83*DO84/1000</x:f>
      </x:c>
      <x:c r="DP85" s="107" t="n">
        <x:f>DP83*DP84/1000</x:f>
      </x:c>
      <x:c r="DQ85" s="107" t="n">
        <x:f>DQ83*DQ84/1000</x:f>
      </x:c>
      <x:c r="DR85" s="107" t="n">
        <x:f>DR83*DR84/1000</x:f>
      </x:c>
      <x:c r="DS85" s="107" t="n">
        <x:f>DS83*DS84/1000</x:f>
      </x:c>
    </x:row>
    <x:row r="86">
      <x:c r="A86" t="str">
        <x:v>Коммерция — объём</x:v>
      </x:c>
      <x:c r="B86" t="n">
        <x:f>SUM(D86:DS86)</x:f>
      </x:c>
      <x:c r="C86" t="str">
        <x:v>м²</x:v>
      </x:c>
      <x:c r="D86" s="107" t="n">
        <x:f>'Вводные'!$M$91*((IF(SUM($D78:$DS78)=0,0,IF(SUM($D81:$DS81)=0,1,'Вводные'!$B$63)))*D80+(1-(IF(SUM($D78:$DS78)=0,0,IF(SUM($D81:$DS81)=0,1,'Вводные'!$B$63))))*D82)</x:f>
      </x:c>
      <x:c r="E86" s="107" t="n">
        <x:f>'Вводные'!$M$91*((IF(SUM($D78:$DS78)=0,0,IF(SUM($D81:$DS81)=0,1,'Вводные'!$B$63)))*E80+(1-(IF(SUM($D78:$DS78)=0,0,IF(SUM($D81:$DS81)=0,1,'Вводные'!$B$63))))*E82)</x:f>
      </x:c>
      <x:c r="F86" s="107" t="n">
        <x:f>'Вводные'!$M$91*((IF(SUM($D78:$DS78)=0,0,IF(SUM($D81:$DS81)=0,1,'Вводные'!$B$63)))*F80+(1-(IF(SUM($D78:$DS78)=0,0,IF(SUM($D81:$DS81)=0,1,'Вводные'!$B$63))))*F82)</x:f>
      </x:c>
      <x:c r="G86" s="107" t="n">
        <x:f>'Вводные'!$M$91*((IF(SUM($D78:$DS78)=0,0,IF(SUM($D81:$DS81)=0,1,'Вводные'!$B$63)))*G80+(1-(IF(SUM($D78:$DS78)=0,0,IF(SUM($D81:$DS81)=0,1,'Вводные'!$B$63))))*G82)</x:f>
      </x:c>
      <x:c r="H86" s="107" t="n">
        <x:f>'Вводные'!$M$91*((IF(SUM($D78:$DS78)=0,0,IF(SUM($D81:$DS81)=0,1,'Вводные'!$B$63)))*H80+(1-(IF(SUM($D78:$DS78)=0,0,IF(SUM($D81:$DS81)=0,1,'Вводные'!$B$63))))*H82)</x:f>
      </x:c>
      <x:c r="I86" s="107" t="n">
        <x:f>'Вводные'!$M$91*((IF(SUM($D78:$DS78)=0,0,IF(SUM($D81:$DS81)=0,1,'Вводные'!$B$63)))*I80+(1-(IF(SUM($D78:$DS78)=0,0,IF(SUM($D81:$DS81)=0,1,'Вводные'!$B$63))))*I82)</x:f>
      </x:c>
      <x:c r="J86" s="107" t="n">
        <x:f>'Вводные'!$M$91*((IF(SUM($D78:$DS78)=0,0,IF(SUM($D81:$DS81)=0,1,'Вводные'!$B$63)))*J80+(1-(IF(SUM($D78:$DS78)=0,0,IF(SUM($D81:$DS81)=0,1,'Вводные'!$B$63))))*J82)</x:f>
      </x:c>
      <x:c r="K86" s="107" t="n">
        <x:f>'Вводные'!$M$91*((IF(SUM($D78:$DS78)=0,0,IF(SUM($D81:$DS81)=0,1,'Вводные'!$B$63)))*K80+(1-(IF(SUM($D78:$DS78)=0,0,IF(SUM($D81:$DS81)=0,1,'Вводные'!$B$63))))*K82)</x:f>
      </x:c>
      <x:c r="L86" s="107" t="n">
        <x:f>'Вводные'!$M$91*((IF(SUM($D78:$DS78)=0,0,IF(SUM($D81:$DS81)=0,1,'Вводные'!$B$63)))*L80+(1-(IF(SUM($D78:$DS78)=0,0,IF(SUM($D81:$DS81)=0,1,'Вводные'!$B$63))))*L82)</x:f>
      </x:c>
      <x:c r="M86" s="107" t="n">
        <x:f>'Вводные'!$M$91*((IF(SUM($D78:$DS78)=0,0,IF(SUM($D81:$DS81)=0,1,'Вводные'!$B$63)))*M80+(1-(IF(SUM($D78:$DS78)=0,0,IF(SUM($D81:$DS81)=0,1,'Вводные'!$B$63))))*M82)</x:f>
      </x:c>
      <x:c r="N86" s="107" t="n">
        <x:f>'Вводные'!$M$91*((IF(SUM($D78:$DS78)=0,0,IF(SUM($D81:$DS81)=0,1,'Вводные'!$B$63)))*N80+(1-(IF(SUM($D78:$DS78)=0,0,IF(SUM($D81:$DS81)=0,1,'Вводные'!$B$63))))*N82)</x:f>
      </x:c>
      <x:c r="O86" s="107" t="n">
        <x:f>'Вводные'!$M$91*((IF(SUM($D78:$DS78)=0,0,IF(SUM($D81:$DS81)=0,1,'Вводные'!$B$63)))*O80+(1-(IF(SUM($D78:$DS78)=0,0,IF(SUM($D81:$DS81)=0,1,'Вводные'!$B$63))))*O82)</x:f>
      </x:c>
      <x:c r="P86" s="107" t="n">
        <x:f>'Вводные'!$M$91*((IF(SUM($D78:$DS78)=0,0,IF(SUM($D81:$DS81)=0,1,'Вводные'!$B$63)))*P80+(1-(IF(SUM($D78:$DS78)=0,0,IF(SUM($D81:$DS81)=0,1,'Вводные'!$B$63))))*P82)</x:f>
      </x:c>
      <x:c r="Q86" s="107" t="n">
        <x:f>'Вводные'!$M$91*((IF(SUM($D78:$DS78)=0,0,IF(SUM($D81:$DS81)=0,1,'Вводные'!$B$63)))*Q80+(1-(IF(SUM($D78:$DS78)=0,0,IF(SUM($D81:$DS81)=0,1,'Вводные'!$B$63))))*Q82)</x:f>
      </x:c>
      <x:c r="R86" s="107" t="n">
        <x:f>'Вводные'!$M$91*((IF(SUM($D78:$DS78)=0,0,IF(SUM($D81:$DS81)=0,1,'Вводные'!$B$63)))*R80+(1-(IF(SUM($D78:$DS78)=0,0,IF(SUM($D81:$DS81)=0,1,'Вводные'!$B$63))))*R82)</x:f>
      </x:c>
      <x:c r="S86" s="107" t="n">
        <x:f>'Вводные'!$M$91*((IF(SUM($D78:$DS78)=0,0,IF(SUM($D81:$DS81)=0,1,'Вводные'!$B$63)))*S80+(1-(IF(SUM($D78:$DS78)=0,0,IF(SUM($D81:$DS81)=0,1,'Вводные'!$B$63))))*S82)</x:f>
      </x:c>
      <x:c r="T86" s="107" t="n">
        <x:f>'Вводные'!$M$91*((IF(SUM($D78:$DS78)=0,0,IF(SUM($D81:$DS81)=0,1,'Вводные'!$B$63)))*T80+(1-(IF(SUM($D78:$DS78)=0,0,IF(SUM($D81:$DS81)=0,1,'Вводные'!$B$63))))*T82)</x:f>
      </x:c>
      <x:c r="U86" s="107" t="n">
        <x:f>'Вводные'!$M$91*((IF(SUM($D78:$DS78)=0,0,IF(SUM($D81:$DS81)=0,1,'Вводные'!$B$63)))*U80+(1-(IF(SUM($D78:$DS78)=0,0,IF(SUM($D81:$DS81)=0,1,'Вводные'!$B$63))))*U82)</x:f>
      </x:c>
      <x:c r="V86" s="107" t="n">
        <x:f>'Вводные'!$M$91*((IF(SUM($D78:$DS78)=0,0,IF(SUM($D81:$DS81)=0,1,'Вводные'!$B$63)))*V80+(1-(IF(SUM($D78:$DS78)=0,0,IF(SUM($D81:$DS81)=0,1,'Вводные'!$B$63))))*V82)</x:f>
      </x:c>
      <x:c r="W86" s="107" t="n">
        <x:f>'Вводные'!$M$91*((IF(SUM($D78:$DS78)=0,0,IF(SUM($D81:$DS81)=0,1,'Вводные'!$B$63)))*W80+(1-(IF(SUM($D78:$DS78)=0,0,IF(SUM($D81:$DS81)=0,1,'Вводные'!$B$63))))*W82)</x:f>
      </x:c>
      <x:c r="X86" s="107" t="n">
        <x:f>'Вводные'!$M$91*((IF(SUM($D78:$DS78)=0,0,IF(SUM($D81:$DS81)=0,1,'Вводные'!$B$63)))*X80+(1-(IF(SUM($D78:$DS78)=0,0,IF(SUM($D81:$DS81)=0,1,'Вводные'!$B$63))))*X82)</x:f>
      </x:c>
      <x:c r="Y86" s="107" t="n">
        <x:f>'Вводные'!$M$91*((IF(SUM($D78:$DS78)=0,0,IF(SUM($D81:$DS81)=0,1,'Вводные'!$B$63)))*Y80+(1-(IF(SUM($D78:$DS78)=0,0,IF(SUM($D81:$DS81)=0,1,'Вводные'!$B$63))))*Y82)</x:f>
      </x:c>
      <x:c r="Z86" s="107" t="n">
        <x:f>'Вводные'!$M$91*((IF(SUM($D78:$DS78)=0,0,IF(SUM($D81:$DS81)=0,1,'Вводные'!$B$63)))*Z80+(1-(IF(SUM($D78:$DS78)=0,0,IF(SUM($D81:$DS81)=0,1,'Вводные'!$B$63))))*Z82)</x:f>
      </x:c>
      <x:c r="AA86" s="107" t="n">
        <x:f>'Вводные'!$M$91*((IF(SUM($D78:$DS78)=0,0,IF(SUM($D81:$DS81)=0,1,'Вводные'!$B$63)))*AA80+(1-(IF(SUM($D78:$DS78)=0,0,IF(SUM($D81:$DS81)=0,1,'Вводные'!$B$63))))*AA82)</x:f>
      </x:c>
      <x:c r="AB86" s="107" t="n">
        <x:f>'Вводные'!$M$91*((IF(SUM($D78:$DS78)=0,0,IF(SUM($D81:$DS81)=0,1,'Вводные'!$B$63)))*AB80+(1-(IF(SUM($D78:$DS78)=0,0,IF(SUM($D81:$DS81)=0,1,'Вводные'!$B$63))))*AB82)</x:f>
      </x:c>
      <x:c r="AC86" s="107" t="n">
        <x:f>'Вводные'!$M$91*((IF(SUM($D78:$DS78)=0,0,IF(SUM($D81:$DS81)=0,1,'Вводные'!$B$63)))*AC80+(1-(IF(SUM($D78:$DS78)=0,0,IF(SUM($D81:$DS81)=0,1,'Вводные'!$B$63))))*AC82)</x:f>
      </x:c>
      <x:c r="AD86" s="107" t="n">
        <x:f>'Вводные'!$M$91*((IF(SUM($D78:$DS78)=0,0,IF(SUM($D81:$DS81)=0,1,'Вводные'!$B$63)))*AD80+(1-(IF(SUM($D78:$DS78)=0,0,IF(SUM($D81:$DS81)=0,1,'Вводные'!$B$63))))*AD82)</x:f>
      </x:c>
      <x:c r="AE86" s="107" t="n">
        <x:f>'Вводные'!$M$91*((IF(SUM($D78:$DS78)=0,0,IF(SUM($D81:$DS81)=0,1,'Вводные'!$B$63)))*AE80+(1-(IF(SUM($D78:$DS78)=0,0,IF(SUM($D81:$DS81)=0,1,'Вводные'!$B$63))))*AE82)</x:f>
      </x:c>
      <x:c r="AF86" s="107" t="n">
        <x:f>'Вводные'!$M$91*((IF(SUM($D78:$DS78)=0,0,IF(SUM($D81:$DS81)=0,1,'Вводные'!$B$63)))*AF80+(1-(IF(SUM($D78:$DS78)=0,0,IF(SUM($D81:$DS81)=0,1,'Вводные'!$B$63))))*AF82)</x:f>
      </x:c>
      <x:c r="AG86" s="107" t="n">
        <x:f>'Вводные'!$M$91*((IF(SUM($D78:$DS78)=0,0,IF(SUM($D81:$DS81)=0,1,'Вводные'!$B$63)))*AG80+(1-(IF(SUM($D78:$DS78)=0,0,IF(SUM($D81:$DS81)=0,1,'Вводные'!$B$63))))*AG82)</x:f>
      </x:c>
      <x:c r="AH86" s="107" t="n">
        <x:f>'Вводные'!$M$91*((IF(SUM($D78:$DS78)=0,0,IF(SUM($D81:$DS81)=0,1,'Вводные'!$B$63)))*AH80+(1-(IF(SUM($D78:$DS78)=0,0,IF(SUM($D81:$DS81)=0,1,'Вводные'!$B$63))))*AH82)</x:f>
      </x:c>
      <x:c r="AI86" s="107" t="n">
        <x:f>'Вводные'!$M$91*((IF(SUM($D78:$DS78)=0,0,IF(SUM($D81:$DS81)=0,1,'Вводные'!$B$63)))*AI80+(1-(IF(SUM($D78:$DS78)=0,0,IF(SUM($D81:$DS81)=0,1,'Вводные'!$B$63))))*AI82)</x:f>
      </x:c>
      <x:c r="AJ86" s="107" t="n">
        <x:f>'Вводные'!$M$91*((IF(SUM($D78:$DS78)=0,0,IF(SUM($D81:$DS81)=0,1,'Вводные'!$B$63)))*AJ80+(1-(IF(SUM($D78:$DS78)=0,0,IF(SUM($D81:$DS81)=0,1,'Вводные'!$B$63))))*AJ82)</x:f>
      </x:c>
      <x:c r="AK86" s="107" t="n">
        <x:f>'Вводные'!$M$91*((IF(SUM($D78:$DS78)=0,0,IF(SUM($D81:$DS81)=0,1,'Вводные'!$B$63)))*AK80+(1-(IF(SUM($D78:$DS78)=0,0,IF(SUM($D81:$DS81)=0,1,'Вводные'!$B$63))))*AK82)</x:f>
      </x:c>
      <x:c r="AL86" s="107" t="n">
        <x:f>'Вводные'!$M$91*((IF(SUM($D78:$DS78)=0,0,IF(SUM($D81:$DS81)=0,1,'Вводные'!$B$63)))*AL80+(1-(IF(SUM($D78:$DS78)=0,0,IF(SUM($D81:$DS81)=0,1,'Вводные'!$B$63))))*AL82)</x:f>
      </x:c>
      <x:c r="AM86" s="107" t="n">
        <x:f>'Вводные'!$M$91*((IF(SUM($D78:$DS78)=0,0,IF(SUM($D81:$DS81)=0,1,'Вводные'!$B$63)))*AM80+(1-(IF(SUM($D78:$DS78)=0,0,IF(SUM($D81:$DS81)=0,1,'Вводные'!$B$63))))*AM82)</x:f>
      </x:c>
      <x:c r="AN86" s="107" t="n">
        <x:f>'Вводные'!$M$91*((IF(SUM($D78:$DS78)=0,0,IF(SUM($D81:$DS81)=0,1,'Вводные'!$B$63)))*AN80+(1-(IF(SUM($D78:$DS78)=0,0,IF(SUM($D81:$DS81)=0,1,'Вводные'!$B$63))))*AN82)</x:f>
      </x:c>
      <x:c r="AO86" s="107" t="n">
        <x:f>'Вводные'!$M$91*((IF(SUM($D78:$DS78)=0,0,IF(SUM($D81:$DS81)=0,1,'Вводные'!$B$63)))*AO80+(1-(IF(SUM($D78:$DS78)=0,0,IF(SUM($D81:$DS81)=0,1,'Вводные'!$B$63))))*AO82)</x:f>
      </x:c>
      <x:c r="AP86" s="107" t="n">
        <x:f>'Вводные'!$M$91*((IF(SUM($D78:$DS78)=0,0,IF(SUM($D81:$DS81)=0,1,'Вводные'!$B$63)))*AP80+(1-(IF(SUM($D78:$DS78)=0,0,IF(SUM($D81:$DS81)=0,1,'Вводные'!$B$63))))*AP82)</x:f>
      </x:c>
      <x:c r="AQ86" s="107" t="n">
        <x:f>'Вводные'!$M$91*((IF(SUM($D78:$DS78)=0,0,IF(SUM($D81:$DS81)=0,1,'Вводные'!$B$63)))*AQ80+(1-(IF(SUM($D78:$DS78)=0,0,IF(SUM($D81:$DS81)=0,1,'Вводные'!$B$63))))*AQ82)</x:f>
      </x:c>
      <x:c r="AR86" s="107" t="n">
        <x:f>'Вводные'!$M$91*((IF(SUM($D78:$DS78)=0,0,IF(SUM($D81:$DS81)=0,1,'Вводные'!$B$63)))*AR80+(1-(IF(SUM($D78:$DS78)=0,0,IF(SUM($D81:$DS81)=0,1,'Вводные'!$B$63))))*AR82)</x:f>
      </x:c>
      <x:c r="AS86" s="107" t="n">
        <x:f>'Вводные'!$M$91*((IF(SUM($D78:$DS78)=0,0,IF(SUM($D81:$DS81)=0,1,'Вводные'!$B$63)))*AS80+(1-(IF(SUM($D78:$DS78)=0,0,IF(SUM($D81:$DS81)=0,1,'Вводные'!$B$63))))*AS82)</x:f>
      </x:c>
      <x:c r="AT86" s="107" t="n">
        <x:f>'Вводные'!$M$91*((IF(SUM($D78:$DS78)=0,0,IF(SUM($D81:$DS81)=0,1,'Вводные'!$B$63)))*AT80+(1-(IF(SUM($D78:$DS78)=0,0,IF(SUM($D81:$DS81)=0,1,'Вводные'!$B$63))))*AT82)</x:f>
      </x:c>
      <x:c r="AU86" s="107" t="n">
        <x:f>'Вводные'!$M$91*((IF(SUM($D78:$DS78)=0,0,IF(SUM($D81:$DS81)=0,1,'Вводные'!$B$63)))*AU80+(1-(IF(SUM($D78:$DS78)=0,0,IF(SUM($D81:$DS81)=0,1,'Вводные'!$B$63))))*AU82)</x:f>
      </x:c>
      <x:c r="AV86" s="107" t="n">
        <x:f>'Вводные'!$M$91*((IF(SUM($D78:$DS78)=0,0,IF(SUM($D81:$DS81)=0,1,'Вводные'!$B$63)))*AV80+(1-(IF(SUM($D78:$DS78)=0,0,IF(SUM($D81:$DS81)=0,1,'Вводные'!$B$63))))*AV82)</x:f>
      </x:c>
      <x:c r="AW86" s="107" t="n">
        <x:f>'Вводные'!$M$91*((IF(SUM($D78:$DS78)=0,0,IF(SUM($D81:$DS81)=0,1,'Вводные'!$B$63)))*AW80+(1-(IF(SUM($D78:$DS78)=0,0,IF(SUM($D81:$DS81)=0,1,'Вводные'!$B$63))))*AW82)</x:f>
      </x:c>
      <x:c r="AX86" s="107" t="n">
        <x:f>'Вводные'!$M$91*((IF(SUM($D78:$DS78)=0,0,IF(SUM($D81:$DS81)=0,1,'Вводные'!$B$63)))*AX80+(1-(IF(SUM($D78:$DS78)=0,0,IF(SUM($D81:$DS81)=0,1,'Вводные'!$B$63))))*AX82)</x:f>
      </x:c>
      <x:c r="AY86" s="107" t="n">
        <x:f>'Вводные'!$M$91*((IF(SUM($D78:$DS78)=0,0,IF(SUM($D81:$DS81)=0,1,'Вводные'!$B$63)))*AY80+(1-(IF(SUM($D78:$DS78)=0,0,IF(SUM($D81:$DS81)=0,1,'Вводные'!$B$63))))*AY82)</x:f>
      </x:c>
      <x:c r="AZ86" s="107" t="n">
        <x:f>'Вводные'!$M$91*((IF(SUM($D78:$DS78)=0,0,IF(SUM($D81:$DS81)=0,1,'Вводные'!$B$63)))*AZ80+(1-(IF(SUM($D78:$DS78)=0,0,IF(SUM($D81:$DS81)=0,1,'Вводные'!$B$63))))*AZ82)</x:f>
      </x:c>
      <x:c r="BA86" s="107" t="n">
        <x:f>'Вводные'!$M$91*((IF(SUM($D78:$DS78)=0,0,IF(SUM($D81:$DS81)=0,1,'Вводные'!$B$63)))*BA80+(1-(IF(SUM($D78:$DS78)=0,0,IF(SUM($D81:$DS81)=0,1,'Вводные'!$B$63))))*BA82)</x:f>
      </x:c>
      <x:c r="BB86" s="107" t="n">
        <x:f>'Вводные'!$M$91*((IF(SUM($D78:$DS78)=0,0,IF(SUM($D81:$DS81)=0,1,'Вводные'!$B$63)))*BB80+(1-(IF(SUM($D78:$DS78)=0,0,IF(SUM($D81:$DS81)=0,1,'Вводные'!$B$63))))*BB82)</x:f>
      </x:c>
      <x:c r="BC86" s="107" t="n">
        <x:f>'Вводные'!$M$91*((IF(SUM($D78:$DS78)=0,0,IF(SUM($D81:$DS81)=0,1,'Вводные'!$B$63)))*BC80+(1-(IF(SUM($D78:$DS78)=0,0,IF(SUM($D81:$DS81)=0,1,'Вводные'!$B$63))))*BC82)</x:f>
      </x:c>
      <x:c r="BD86" s="107" t="n">
        <x:f>'Вводные'!$M$91*((IF(SUM($D78:$DS78)=0,0,IF(SUM($D81:$DS81)=0,1,'Вводные'!$B$63)))*BD80+(1-(IF(SUM($D78:$DS78)=0,0,IF(SUM($D81:$DS81)=0,1,'Вводные'!$B$63))))*BD82)</x:f>
      </x:c>
      <x:c r="BE86" s="107" t="n">
        <x:f>'Вводные'!$M$91*((IF(SUM($D78:$DS78)=0,0,IF(SUM($D81:$DS81)=0,1,'Вводные'!$B$63)))*BE80+(1-(IF(SUM($D78:$DS78)=0,0,IF(SUM($D81:$DS81)=0,1,'Вводные'!$B$63))))*BE82)</x:f>
      </x:c>
      <x:c r="BF86" s="107" t="n">
        <x:f>'Вводные'!$M$91*((IF(SUM($D78:$DS78)=0,0,IF(SUM($D81:$DS81)=0,1,'Вводные'!$B$63)))*BF80+(1-(IF(SUM($D78:$DS78)=0,0,IF(SUM($D81:$DS81)=0,1,'Вводные'!$B$63))))*BF82)</x:f>
      </x:c>
      <x:c r="BG86" s="107" t="n">
        <x:f>'Вводные'!$M$91*((IF(SUM($D78:$DS78)=0,0,IF(SUM($D81:$DS81)=0,1,'Вводные'!$B$63)))*BG80+(1-(IF(SUM($D78:$DS78)=0,0,IF(SUM($D81:$DS81)=0,1,'Вводные'!$B$63))))*BG82)</x:f>
      </x:c>
      <x:c r="BH86" s="107" t="n">
        <x:f>'Вводные'!$M$91*((IF(SUM($D78:$DS78)=0,0,IF(SUM($D81:$DS81)=0,1,'Вводные'!$B$63)))*BH80+(1-(IF(SUM($D78:$DS78)=0,0,IF(SUM($D81:$DS81)=0,1,'Вводные'!$B$63))))*BH82)</x:f>
      </x:c>
      <x:c r="BI86" s="107" t="n">
        <x:f>'Вводные'!$M$91*((IF(SUM($D78:$DS78)=0,0,IF(SUM($D81:$DS81)=0,1,'Вводные'!$B$63)))*BI80+(1-(IF(SUM($D78:$DS78)=0,0,IF(SUM($D81:$DS81)=0,1,'Вводные'!$B$63))))*BI82)</x:f>
      </x:c>
      <x:c r="BJ86" s="107" t="n">
        <x:f>'Вводные'!$M$91*((IF(SUM($D78:$DS78)=0,0,IF(SUM($D81:$DS81)=0,1,'Вводные'!$B$63)))*BJ80+(1-(IF(SUM($D78:$DS78)=0,0,IF(SUM($D81:$DS81)=0,1,'Вводные'!$B$63))))*BJ82)</x:f>
      </x:c>
      <x:c r="BK86" s="107" t="n">
        <x:f>'Вводные'!$M$91*((IF(SUM($D78:$DS78)=0,0,IF(SUM($D81:$DS81)=0,1,'Вводные'!$B$63)))*BK80+(1-(IF(SUM($D78:$DS78)=0,0,IF(SUM($D81:$DS81)=0,1,'Вводные'!$B$63))))*BK82)</x:f>
      </x:c>
      <x:c r="BL86" s="107" t="n">
        <x:f>'Вводные'!$M$91*((IF(SUM($D78:$DS78)=0,0,IF(SUM($D81:$DS81)=0,1,'Вводные'!$B$63)))*BL80+(1-(IF(SUM($D78:$DS78)=0,0,IF(SUM($D81:$DS81)=0,1,'Вводные'!$B$63))))*BL82)</x:f>
      </x:c>
      <x:c r="BM86" s="107" t="n">
        <x:f>'Вводные'!$M$91*((IF(SUM($D78:$DS78)=0,0,IF(SUM($D81:$DS81)=0,1,'Вводные'!$B$63)))*BM80+(1-(IF(SUM($D78:$DS78)=0,0,IF(SUM($D81:$DS81)=0,1,'Вводные'!$B$63))))*BM82)</x:f>
      </x:c>
      <x:c r="BN86" s="107" t="n">
        <x:f>'Вводные'!$M$91*((IF(SUM($D78:$DS78)=0,0,IF(SUM($D81:$DS81)=0,1,'Вводные'!$B$63)))*BN80+(1-(IF(SUM($D78:$DS78)=0,0,IF(SUM($D81:$DS81)=0,1,'Вводные'!$B$63))))*BN82)</x:f>
      </x:c>
      <x:c r="BO86" s="107" t="n">
        <x:f>'Вводные'!$M$91*((IF(SUM($D78:$DS78)=0,0,IF(SUM($D81:$DS81)=0,1,'Вводные'!$B$63)))*BO80+(1-(IF(SUM($D78:$DS78)=0,0,IF(SUM($D81:$DS81)=0,1,'Вводные'!$B$63))))*BO82)</x:f>
      </x:c>
      <x:c r="BP86" s="107" t="n">
        <x:f>'Вводные'!$M$91*((IF(SUM($D78:$DS78)=0,0,IF(SUM($D81:$DS81)=0,1,'Вводные'!$B$63)))*BP80+(1-(IF(SUM($D78:$DS78)=0,0,IF(SUM($D81:$DS81)=0,1,'Вводные'!$B$63))))*BP82)</x:f>
      </x:c>
      <x:c r="BQ86" s="107" t="n">
        <x:f>'Вводные'!$M$91*((IF(SUM($D78:$DS78)=0,0,IF(SUM($D81:$DS81)=0,1,'Вводные'!$B$63)))*BQ80+(1-(IF(SUM($D78:$DS78)=0,0,IF(SUM($D81:$DS81)=0,1,'Вводные'!$B$63))))*BQ82)</x:f>
      </x:c>
      <x:c r="BR86" s="107" t="n">
        <x:f>'Вводные'!$M$91*((IF(SUM($D78:$DS78)=0,0,IF(SUM($D81:$DS81)=0,1,'Вводные'!$B$63)))*BR80+(1-(IF(SUM($D78:$DS78)=0,0,IF(SUM($D81:$DS81)=0,1,'Вводные'!$B$63))))*BR82)</x:f>
      </x:c>
      <x:c r="BS86" s="107" t="n">
        <x:f>'Вводные'!$M$91*((IF(SUM($D78:$DS78)=0,0,IF(SUM($D81:$DS81)=0,1,'Вводные'!$B$63)))*BS80+(1-(IF(SUM($D78:$DS78)=0,0,IF(SUM($D81:$DS81)=0,1,'Вводные'!$B$63))))*BS82)</x:f>
      </x:c>
      <x:c r="BT86" s="107" t="n">
        <x:f>'Вводные'!$M$91*((IF(SUM($D78:$DS78)=0,0,IF(SUM($D81:$DS81)=0,1,'Вводные'!$B$63)))*BT80+(1-(IF(SUM($D78:$DS78)=0,0,IF(SUM($D81:$DS81)=0,1,'Вводные'!$B$63))))*BT82)</x:f>
      </x:c>
      <x:c r="BU86" s="107" t="n">
        <x:f>'Вводные'!$M$91*((IF(SUM($D78:$DS78)=0,0,IF(SUM($D81:$DS81)=0,1,'Вводные'!$B$63)))*BU80+(1-(IF(SUM($D78:$DS78)=0,0,IF(SUM($D81:$DS81)=0,1,'Вводные'!$B$63))))*BU82)</x:f>
      </x:c>
      <x:c r="BV86" s="107" t="n">
        <x:f>'Вводные'!$M$91*((IF(SUM($D78:$DS78)=0,0,IF(SUM($D81:$DS81)=0,1,'Вводные'!$B$63)))*BV80+(1-(IF(SUM($D78:$DS78)=0,0,IF(SUM($D81:$DS81)=0,1,'Вводные'!$B$63))))*BV82)</x:f>
      </x:c>
      <x:c r="BW86" s="107" t="n">
        <x:f>'Вводные'!$M$91*((IF(SUM($D78:$DS78)=0,0,IF(SUM($D81:$DS81)=0,1,'Вводные'!$B$63)))*BW80+(1-(IF(SUM($D78:$DS78)=0,0,IF(SUM($D81:$DS81)=0,1,'Вводные'!$B$63))))*BW82)</x:f>
      </x:c>
      <x:c r="BX86" s="107" t="n">
        <x:f>'Вводные'!$M$91*((IF(SUM($D78:$DS78)=0,0,IF(SUM($D81:$DS81)=0,1,'Вводные'!$B$63)))*BX80+(1-(IF(SUM($D78:$DS78)=0,0,IF(SUM($D81:$DS81)=0,1,'Вводные'!$B$63))))*BX82)</x:f>
      </x:c>
      <x:c r="BY86" s="107" t="n">
        <x:f>'Вводные'!$M$91*((IF(SUM($D78:$DS78)=0,0,IF(SUM($D81:$DS81)=0,1,'Вводные'!$B$63)))*BY80+(1-(IF(SUM($D78:$DS78)=0,0,IF(SUM($D81:$DS81)=0,1,'Вводные'!$B$63))))*BY82)</x:f>
      </x:c>
      <x:c r="BZ86" s="107" t="n">
        <x:f>'Вводные'!$M$91*((IF(SUM($D78:$DS78)=0,0,IF(SUM($D81:$DS81)=0,1,'Вводные'!$B$63)))*BZ80+(1-(IF(SUM($D78:$DS78)=0,0,IF(SUM($D81:$DS81)=0,1,'Вводные'!$B$63))))*BZ82)</x:f>
      </x:c>
      <x:c r="CA86" s="107" t="n">
        <x:f>'Вводные'!$M$91*((IF(SUM($D78:$DS78)=0,0,IF(SUM($D81:$DS81)=0,1,'Вводные'!$B$63)))*CA80+(1-(IF(SUM($D78:$DS78)=0,0,IF(SUM($D81:$DS81)=0,1,'Вводные'!$B$63))))*CA82)</x:f>
      </x:c>
      <x:c r="CB86" s="107" t="n">
        <x:f>'Вводные'!$M$91*((IF(SUM($D78:$DS78)=0,0,IF(SUM($D81:$DS81)=0,1,'Вводные'!$B$63)))*CB80+(1-(IF(SUM($D78:$DS78)=0,0,IF(SUM($D81:$DS81)=0,1,'Вводные'!$B$63))))*CB82)</x:f>
      </x:c>
      <x:c r="CC86" s="107" t="n">
        <x:f>'Вводные'!$M$91*((IF(SUM($D78:$DS78)=0,0,IF(SUM($D81:$DS81)=0,1,'Вводные'!$B$63)))*CC80+(1-(IF(SUM($D78:$DS78)=0,0,IF(SUM($D81:$DS81)=0,1,'Вводные'!$B$63))))*CC82)</x:f>
      </x:c>
      <x:c r="CD86" s="107" t="n">
        <x:f>'Вводные'!$M$91*((IF(SUM($D78:$DS78)=0,0,IF(SUM($D81:$DS81)=0,1,'Вводные'!$B$63)))*CD80+(1-(IF(SUM($D78:$DS78)=0,0,IF(SUM($D81:$DS81)=0,1,'Вводные'!$B$63))))*CD82)</x:f>
      </x:c>
      <x:c r="CE86" s="107" t="n">
        <x:f>'Вводные'!$M$91*((IF(SUM($D78:$DS78)=0,0,IF(SUM($D81:$DS81)=0,1,'Вводные'!$B$63)))*CE80+(1-(IF(SUM($D78:$DS78)=0,0,IF(SUM($D81:$DS81)=0,1,'Вводные'!$B$63))))*CE82)</x:f>
      </x:c>
      <x:c r="CF86" s="107" t="n">
        <x:f>'Вводные'!$M$91*((IF(SUM($D78:$DS78)=0,0,IF(SUM($D81:$DS81)=0,1,'Вводные'!$B$63)))*CF80+(1-(IF(SUM($D78:$DS78)=0,0,IF(SUM($D81:$DS81)=0,1,'Вводные'!$B$63))))*CF82)</x:f>
      </x:c>
      <x:c r="CG86" s="107" t="n">
        <x:f>'Вводные'!$M$91*((IF(SUM($D78:$DS78)=0,0,IF(SUM($D81:$DS81)=0,1,'Вводные'!$B$63)))*CG80+(1-(IF(SUM($D78:$DS78)=0,0,IF(SUM($D81:$DS81)=0,1,'Вводные'!$B$63))))*CG82)</x:f>
      </x:c>
      <x:c r="CH86" s="107" t="n">
        <x:f>'Вводные'!$M$91*((IF(SUM($D78:$DS78)=0,0,IF(SUM($D81:$DS81)=0,1,'Вводные'!$B$63)))*CH80+(1-(IF(SUM($D78:$DS78)=0,0,IF(SUM($D81:$DS81)=0,1,'Вводные'!$B$63))))*CH82)</x:f>
      </x:c>
      <x:c r="CI86" s="107" t="n">
        <x:f>'Вводные'!$M$91*((IF(SUM($D78:$DS78)=0,0,IF(SUM($D81:$DS81)=0,1,'Вводные'!$B$63)))*CI80+(1-(IF(SUM($D78:$DS78)=0,0,IF(SUM($D81:$DS81)=0,1,'Вводные'!$B$63))))*CI82)</x:f>
      </x:c>
      <x:c r="CJ86" s="107" t="n">
        <x:f>'Вводные'!$M$91*((IF(SUM($D78:$DS78)=0,0,IF(SUM($D81:$DS81)=0,1,'Вводные'!$B$63)))*CJ80+(1-(IF(SUM($D78:$DS78)=0,0,IF(SUM($D81:$DS81)=0,1,'Вводные'!$B$63))))*CJ82)</x:f>
      </x:c>
      <x:c r="CK86" s="107" t="n">
        <x:f>'Вводные'!$M$91*((IF(SUM($D78:$DS78)=0,0,IF(SUM($D81:$DS81)=0,1,'Вводные'!$B$63)))*CK80+(1-(IF(SUM($D78:$DS78)=0,0,IF(SUM($D81:$DS81)=0,1,'Вводные'!$B$63))))*CK82)</x:f>
      </x:c>
      <x:c r="CL86" s="107" t="n">
        <x:f>'Вводные'!$M$91*((IF(SUM($D78:$DS78)=0,0,IF(SUM($D81:$DS81)=0,1,'Вводные'!$B$63)))*CL80+(1-(IF(SUM($D78:$DS78)=0,0,IF(SUM($D81:$DS81)=0,1,'Вводные'!$B$63))))*CL82)</x:f>
      </x:c>
      <x:c r="CM86" s="107" t="n">
        <x:f>'Вводные'!$M$91*((IF(SUM($D78:$DS78)=0,0,IF(SUM($D81:$DS81)=0,1,'Вводные'!$B$63)))*CM80+(1-(IF(SUM($D78:$DS78)=0,0,IF(SUM($D81:$DS81)=0,1,'Вводные'!$B$63))))*CM82)</x:f>
      </x:c>
      <x:c r="CN86" s="107" t="n">
        <x:f>'Вводные'!$M$91*((IF(SUM($D78:$DS78)=0,0,IF(SUM($D81:$DS81)=0,1,'Вводные'!$B$63)))*CN80+(1-(IF(SUM($D78:$DS78)=0,0,IF(SUM($D81:$DS81)=0,1,'Вводные'!$B$63))))*CN82)</x:f>
      </x:c>
      <x:c r="CO86" s="107" t="n">
        <x:f>'Вводные'!$M$91*((IF(SUM($D78:$DS78)=0,0,IF(SUM($D81:$DS81)=0,1,'Вводные'!$B$63)))*CO80+(1-(IF(SUM($D78:$DS78)=0,0,IF(SUM($D81:$DS81)=0,1,'Вводные'!$B$63))))*CO82)</x:f>
      </x:c>
      <x:c r="CP86" s="107" t="n">
        <x:f>'Вводные'!$M$91*((IF(SUM($D78:$DS78)=0,0,IF(SUM($D81:$DS81)=0,1,'Вводные'!$B$63)))*CP80+(1-(IF(SUM($D78:$DS78)=0,0,IF(SUM($D81:$DS81)=0,1,'Вводные'!$B$63))))*CP82)</x:f>
      </x:c>
      <x:c r="CQ86" s="107" t="n">
        <x:f>'Вводные'!$M$91*((IF(SUM($D78:$DS78)=0,0,IF(SUM($D81:$DS81)=0,1,'Вводные'!$B$63)))*CQ80+(1-(IF(SUM($D78:$DS78)=0,0,IF(SUM($D81:$DS81)=0,1,'Вводные'!$B$63))))*CQ82)</x:f>
      </x:c>
      <x:c r="CR86" s="107" t="n">
        <x:f>'Вводные'!$M$91*((IF(SUM($D78:$DS78)=0,0,IF(SUM($D81:$DS81)=0,1,'Вводные'!$B$63)))*CR80+(1-(IF(SUM($D78:$DS78)=0,0,IF(SUM($D81:$DS81)=0,1,'Вводные'!$B$63))))*CR82)</x:f>
      </x:c>
      <x:c r="CS86" s="107" t="n">
        <x:f>'Вводные'!$M$91*((IF(SUM($D78:$DS78)=0,0,IF(SUM($D81:$DS81)=0,1,'Вводные'!$B$63)))*CS80+(1-(IF(SUM($D78:$DS78)=0,0,IF(SUM($D81:$DS81)=0,1,'Вводные'!$B$63))))*CS82)</x:f>
      </x:c>
      <x:c r="CT86" s="107" t="n">
        <x:f>'Вводные'!$M$91*((IF(SUM($D78:$DS78)=0,0,IF(SUM($D81:$DS81)=0,1,'Вводные'!$B$63)))*CT80+(1-(IF(SUM($D78:$DS78)=0,0,IF(SUM($D81:$DS81)=0,1,'Вводные'!$B$63))))*CT82)</x:f>
      </x:c>
      <x:c r="CU86" s="107" t="n">
        <x:f>'Вводные'!$M$91*((IF(SUM($D78:$DS78)=0,0,IF(SUM($D81:$DS81)=0,1,'Вводные'!$B$63)))*CU80+(1-(IF(SUM($D78:$DS78)=0,0,IF(SUM($D81:$DS81)=0,1,'Вводные'!$B$63))))*CU82)</x:f>
      </x:c>
      <x:c r="CV86" s="107" t="n">
        <x:f>'Вводные'!$M$91*((IF(SUM($D78:$DS78)=0,0,IF(SUM($D81:$DS81)=0,1,'Вводные'!$B$63)))*CV80+(1-(IF(SUM($D78:$DS78)=0,0,IF(SUM($D81:$DS81)=0,1,'Вводные'!$B$63))))*CV82)</x:f>
      </x:c>
      <x:c r="CW86" s="107" t="n">
        <x:f>'Вводные'!$M$91*((IF(SUM($D78:$DS78)=0,0,IF(SUM($D81:$DS81)=0,1,'Вводные'!$B$63)))*CW80+(1-(IF(SUM($D78:$DS78)=0,0,IF(SUM($D81:$DS81)=0,1,'Вводные'!$B$63))))*CW82)</x:f>
      </x:c>
      <x:c r="CX86" s="107" t="n">
        <x:f>'Вводные'!$M$91*((IF(SUM($D78:$DS78)=0,0,IF(SUM($D81:$DS81)=0,1,'Вводные'!$B$63)))*CX80+(1-(IF(SUM($D78:$DS78)=0,0,IF(SUM($D81:$DS81)=0,1,'Вводные'!$B$63))))*CX82)</x:f>
      </x:c>
      <x:c r="CY86" s="107" t="n">
        <x:f>'Вводные'!$M$91*((IF(SUM($D78:$DS78)=0,0,IF(SUM($D81:$DS81)=0,1,'Вводные'!$B$63)))*CY80+(1-(IF(SUM($D78:$DS78)=0,0,IF(SUM($D81:$DS81)=0,1,'Вводные'!$B$63))))*CY82)</x:f>
      </x:c>
      <x:c r="CZ86" s="107" t="n">
        <x:f>'Вводные'!$M$91*((IF(SUM($D78:$DS78)=0,0,IF(SUM($D81:$DS81)=0,1,'Вводные'!$B$63)))*CZ80+(1-(IF(SUM($D78:$DS78)=0,0,IF(SUM($D81:$DS81)=0,1,'Вводные'!$B$63))))*CZ82)</x:f>
      </x:c>
      <x:c r="DA86" s="107" t="n">
        <x:f>'Вводные'!$M$91*((IF(SUM($D78:$DS78)=0,0,IF(SUM($D81:$DS81)=0,1,'Вводные'!$B$63)))*DA80+(1-(IF(SUM($D78:$DS78)=0,0,IF(SUM($D81:$DS81)=0,1,'Вводные'!$B$63))))*DA82)</x:f>
      </x:c>
      <x:c r="DB86" s="107" t="n">
        <x:f>'Вводные'!$M$91*((IF(SUM($D78:$DS78)=0,0,IF(SUM($D81:$DS81)=0,1,'Вводные'!$B$63)))*DB80+(1-(IF(SUM($D78:$DS78)=0,0,IF(SUM($D81:$DS81)=0,1,'Вводные'!$B$63))))*DB82)</x:f>
      </x:c>
      <x:c r="DC86" s="107" t="n">
        <x:f>'Вводные'!$M$91*((IF(SUM($D78:$DS78)=0,0,IF(SUM($D81:$DS81)=0,1,'Вводные'!$B$63)))*DC80+(1-(IF(SUM($D78:$DS78)=0,0,IF(SUM($D81:$DS81)=0,1,'Вводные'!$B$63))))*DC82)</x:f>
      </x:c>
      <x:c r="DD86" s="107" t="n">
        <x:f>'Вводные'!$M$91*((IF(SUM($D78:$DS78)=0,0,IF(SUM($D81:$DS81)=0,1,'Вводные'!$B$63)))*DD80+(1-(IF(SUM($D78:$DS78)=0,0,IF(SUM($D81:$DS81)=0,1,'Вводные'!$B$63))))*DD82)</x:f>
      </x:c>
      <x:c r="DE86" s="107" t="n">
        <x:f>'Вводные'!$M$91*((IF(SUM($D78:$DS78)=0,0,IF(SUM($D81:$DS81)=0,1,'Вводные'!$B$63)))*DE80+(1-(IF(SUM($D78:$DS78)=0,0,IF(SUM($D81:$DS81)=0,1,'Вводные'!$B$63))))*DE82)</x:f>
      </x:c>
      <x:c r="DF86" s="107" t="n">
        <x:f>'Вводные'!$M$91*((IF(SUM($D78:$DS78)=0,0,IF(SUM($D81:$DS81)=0,1,'Вводные'!$B$63)))*DF80+(1-(IF(SUM($D78:$DS78)=0,0,IF(SUM($D81:$DS81)=0,1,'Вводные'!$B$63))))*DF82)</x:f>
      </x:c>
      <x:c r="DG86" s="107" t="n">
        <x:f>'Вводные'!$M$91*((IF(SUM($D78:$DS78)=0,0,IF(SUM($D81:$DS81)=0,1,'Вводные'!$B$63)))*DG80+(1-(IF(SUM($D78:$DS78)=0,0,IF(SUM($D81:$DS81)=0,1,'Вводные'!$B$63))))*DG82)</x:f>
      </x:c>
      <x:c r="DH86" s="107" t="n">
        <x:f>'Вводные'!$M$91*((IF(SUM($D78:$DS78)=0,0,IF(SUM($D81:$DS81)=0,1,'Вводные'!$B$63)))*DH80+(1-(IF(SUM($D78:$DS78)=0,0,IF(SUM($D81:$DS81)=0,1,'Вводные'!$B$63))))*DH82)</x:f>
      </x:c>
      <x:c r="DI86" s="107" t="n">
        <x:f>'Вводные'!$M$91*((IF(SUM($D78:$DS78)=0,0,IF(SUM($D81:$DS81)=0,1,'Вводные'!$B$63)))*DI80+(1-(IF(SUM($D78:$DS78)=0,0,IF(SUM($D81:$DS81)=0,1,'Вводные'!$B$63))))*DI82)</x:f>
      </x:c>
      <x:c r="DJ86" s="107" t="n">
        <x:f>'Вводные'!$M$91*((IF(SUM($D78:$DS78)=0,0,IF(SUM($D81:$DS81)=0,1,'Вводные'!$B$63)))*DJ80+(1-(IF(SUM($D78:$DS78)=0,0,IF(SUM($D81:$DS81)=0,1,'Вводные'!$B$63))))*DJ82)</x:f>
      </x:c>
      <x:c r="DK86" s="107" t="n">
        <x:f>'Вводные'!$M$91*((IF(SUM($D78:$DS78)=0,0,IF(SUM($D81:$DS81)=0,1,'Вводные'!$B$63)))*DK80+(1-(IF(SUM($D78:$DS78)=0,0,IF(SUM($D81:$DS81)=0,1,'Вводные'!$B$63))))*DK82)</x:f>
      </x:c>
      <x:c r="DL86" s="107" t="n">
        <x:f>'Вводные'!$M$91*((IF(SUM($D78:$DS78)=0,0,IF(SUM($D81:$DS81)=0,1,'Вводные'!$B$63)))*DL80+(1-(IF(SUM($D78:$DS78)=0,0,IF(SUM($D81:$DS81)=0,1,'Вводные'!$B$63))))*DL82)</x:f>
      </x:c>
      <x:c r="DM86" s="107" t="n">
        <x:f>'Вводные'!$M$91*((IF(SUM($D78:$DS78)=0,0,IF(SUM($D81:$DS81)=0,1,'Вводные'!$B$63)))*DM80+(1-(IF(SUM($D78:$DS78)=0,0,IF(SUM($D81:$DS81)=0,1,'Вводные'!$B$63))))*DM82)</x:f>
      </x:c>
      <x:c r="DN86" s="107" t="n">
        <x:f>'Вводные'!$M$91*((IF(SUM($D78:$DS78)=0,0,IF(SUM($D81:$DS81)=0,1,'Вводные'!$B$63)))*DN80+(1-(IF(SUM($D78:$DS78)=0,0,IF(SUM($D81:$DS81)=0,1,'Вводные'!$B$63))))*DN82)</x:f>
      </x:c>
      <x:c r="DO86" s="107" t="n">
        <x:f>'Вводные'!$M$91*((IF(SUM($D78:$DS78)=0,0,IF(SUM($D81:$DS81)=0,1,'Вводные'!$B$63)))*DO80+(1-(IF(SUM($D78:$DS78)=0,0,IF(SUM($D81:$DS81)=0,1,'Вводные'!$B$63))))*DO82)</x:f>
      </x:c>
      <x:c r="DP86" s="107" t="n">
        <x:f>'Вводные'!$M$91*((IF(SUM($D78:$DS78)=0,0,IF(SUM($D81:$DS81)=0,1,'Вводные'!$B$63)))*DP80+(1-(IF(SUM($D78:$DS78)=0,0,IF(SUM($D81:$DS81)=0,1,'Вводные'!$B$63))))*DP82)</x:f>
      </x:c>
      <x:c r="DQ86" s="107" t="n">
        <x:f>'Вводные'!$M$91*((IF(SUM($D78:$DS78)=0,0,IF(SUM($D81:$DS81)=0,1,'Вводные'!$B$63)))*DQ80+(1-(IF(SUM($D78:$DS78)=0,0,IF(SUM($D81:$DS81)=0,1,'Вводные'!$B$63))))*DQ82)</x:f>
      </x:c>
      <x:c r="DR86" s="107" t="n">
        <x:f>'Вводные'!$M$91*((IF(SUM($D78:$DS78)=0,0,IF(SUM($D81:$DS81)=0,1,'Вводные'!$B$63)))*DR80+(1-(IF(SUM($D78:$DS78)=0,0,IF(SUM($D81:$DS81)=0,1,'Вводные'!$B$63))))*DR82)</x:f>
      </x:c>
      <x:c r="DS86" s="107" t="n">
        <x:f>'Вводные'!$M$91*((IF(SUM($D78:$DS78)=0,0,IF(SUM($D81:$DS81)=0,1,'Вводные'!$B$63)))*DS80+(1-(IF(SUM($D78:$DS78)=0,0,IF(SUM($D81:$DS81)=0,1,'Вводные'!$B$63))))*DS82)</x:f>
      </x:c>
    </x:row>
    <x:row r="87">
      <x:c r="A87" t="str">
        <x:v>Коммерция — цена</x:v>
      </x:c>
      <x:c r="B87" t="n">
        <x:f>IFERROR(B88*1000/B86,0)</x:f>
      </x:c>
      <x:c r="C87" t="str">
        <x:v>тыс. ₽/м²</x:v>
      </x:c>
      <x:c r="D87" s="107" t="n">
        <x:f>IF(D86=0,0,'Вводные'!$B$60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7" s="107" t="n">
        <x:f>IF(E86=0,0,'Вводные'!$B$60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7" s="107" t="n">
        <x:f>IF(F86=0,0,'Вводные'!$B$60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7" s="107" t="n">
        <x:f>IF(G86=0,0,'Вводные'!$B$60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7" s="107" t="n">
        <x:f>IF(H86=0,0,'Вводные'!$B$60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7" s="107" t="n">
        <x:f>IF(I86=0,0,'Вводные'!$B$60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7" s="107" t="n">
        <x:f>IF(J86=0,0,'Вводные'!$B$60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7" s="107" t="n">
        <x:f>IF(K86=0,0,'Вводные'!$B$60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7" s="107" t="n">
        <x:f>IF(L86=0,0,'Вводные'!$B$60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7" s="107" t="n">
        <x:f>IF(M86=0,0,'Вводные'!$B$60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7" s="107" t="n">
        <x:f>IF(N86=0,0,'Вводные'!$B$60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7" s="107" t="n">
        <x:f>IF(O86=0,0,'Вводные'!$B$60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7" s="107" t="n">
        <x:f>IF(P86=0,0,'Вводные'!$B$60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7" s="107" t="n">
        <x:f>IF(Q86=0,0,'Вводные'!$B$60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7" s="107" t="n">
        <x:f>IF(R86=0,0,'Вводные'!$B$60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7" s="107" t="n">
        <x:f>IF(S86=0,0,'Вводные'!$B$60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7" s="107" t="n">
        <x:f>IF(T86=0,0,'Вводные'!$B$60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7" s="107" t="n">
        <x:f>IF(U86=0,0,'Вводные'!$B$60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7" s="107" t="n">
        <x:f>IF(V86=0,0,'Вводные'!$B$60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7" s="107" t="n">
        <x:f>IF(W86=0,0,'Вводные'!$B$60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7" s="107" t="n">
        <x:f>IF(X86=0,0,'Вводные'!$B$60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7" s="107" t="n">
        <x:f>IF(Y86=0,0,'Вводные'!$B$60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7" s="107" t="n">
        <x:f>IF(Z86=0,0,'Вводные'!$B$60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7" s="107" t="n">
        <x:f>IF(AA86=0,0,'Вводные'!$B$60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7" s="107" t="n">
        <x:f>IF(AB86=0,0,'Вводные'!$B$60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7" s="107" t="n">
        <x:f>IF(AC86=0,0,'Вводные'!$B$60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7" s="107" t="n">
        <x:f>IF(AD86=0,0,'Вводные'!$B$60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7" s="107" t="n">
        <x:f>IF(AE86=0,0,'Вводные'!$B$60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7" s="107" t="n">
        <x:f>IF(AF86=0,0,'Вводные'!$B$60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7" s="107" t="n">
        <x:f>IF(AG86=0,0,'Вводные'!$B$60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7" s="107" t="n">
        <x:f>IF(AH86=0,0,'Вводные'!$B$60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7" s="107" t="n">
        <x:f>IF(AI86=0,0,'Вводные'!$B$60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7" s="107" t="n">
        <x:f>IF(AJ86=0,0,'Вводные'!$B$60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7" s="107" t="n">
        <x:f>IF(AK86=0,0,'Вводные'!$B$60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7" s="107" t="n">
        <x:f>IF(AL86=0,0,'Вводные'!$B$60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7" s="107" t="n">
        <x:f>IF(AM86=0,0,'Вводные'!$B$60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7" s="107" t="n">
        <x:f>IF(AN86=0,0,'Вводные'!$B$60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7" s="107" t="n">
        <x:f>IF(AO86=0,0,'Вводные'!$B$60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7" s="107" t="n">
        <x:f>IF(AP86=0,0,'Вводные'!$B$60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7" s="107" t="n">
        <x:f>IF(AQ86=0,0,'Вводные'!$B$60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7" s="107" t="n">
        <x:f>IF(AR86=0,0,'Вводные'!$B$60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7" s="107" t="n">
        <x:f>IF(AS86=0,0,'Вводные'!$B$60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7" s="107" t="n">
        <x:f>IF(AT86=0,0,'Вводные'!$B$60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7" s="107" t="n">
        <x:f>IF(AU86=0,0,'Вводные'!$B$60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7" s="107" t="n">
        <x:f>IF(AV86=0,0,'Вводные'!$B$60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7" s="107" t="n">
        <x:f>IF(AW86=0,0,'Вводные'!$B$60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7" s="107" t="n">
        <x:f>IF(AX86=0,0,'Вводные'!$B$60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7" s="107" t="n">
        <x:f>IF(AY86=0,0,'Вводные'!$B$60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7" s="107" t="n">
        <x:f>IF(AZ86=0,0,'Вводные'!$B$60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7" s="107" t="n">
        <x:f>IF(BA86=0,0,'Вводные'!$B$60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7" s="107" t="n">
        <x:f>IF(BB86=0,0,'Вводные'!$B$60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7" s="107" t="n">
        <x:f>IF(BC86=0,0,'Вводные'!$B$60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7" s="107" t="n">
        <x:f>IF(BD86=0,0,'Вводные'!$B$60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7" s="107" t="n">
        <x:f>IF(BE86=0,0,'Вводные'!$B$60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7" s="107" t="n">
        <x:f>IF(BF86=0,0,'Вводные'!$B$60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7" s="107" t="n">
        <x:f>IF(BG86=0,0,'Вводные'!$B$60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7" s="107" t="n">
        <x:f>IF(BH86=0,0,'Вводные'!$B$60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7" s="107" t="n">
        <x:f>IF(BI86=0,0,'Вводные'!$B$60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7" s="107" t="n">
        <x:f>IF(BJ86=0,0,'Вводные'!$B$60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7" s="107" t="n">
        <x:f>IF(BK86=0,0,'Вводные'!$B$60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7" s="107" t="n">
        <x:f>IF(BL86=0,0,'Вводные'!$B$60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7" s="107" t="n">
        <x:f>IF(BM86=0,0,'Вводные'!$B$60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7" s="107" t="n">
        <x:f>IF(BN86=0,0,'Вводные'!$B$60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7" s="107" t="n">
        <x:f>IF(BO86=0,0,'Вводные'!$B$60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7" s="107" t="n">
        <x:f>IF(BP86=0,0,'Вводные'!$B$60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7" s="107" t="n">
        <x:f>IF(BQ86=0,0,'Вводные'!$B$60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7" s="107" t="n">
        <x:f>IF(BR86=0,0,'Вводные'!$B$60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7" s="107" t="n">
        <x:f>IF(BS86=0,0,'Вводные'!$B$60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7" s="107" t="n">
        <x:f>IF(BT86=0,0,'Вводные'!$B$60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7" s="107" t="n">
        <x:f>IF(BU86=0,0,'Вводные'!$B$60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7" s="107" t="n">
        <x:f>IF(BV86=0,0,'Вводные'!$B$60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7" s="107" t="n">
        <x:f>IF(BW86=0,0,'Вводные'!$B$60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7" s="107" t="n">
        <x:f>IF(BX86=0,0,'Вводные'!$B$60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7" s="107" t="n">
        <x:f>IF(BY86=0,0,'Вводные'!$B$60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7" s="107" t="n">
        <x:f>IF(BZ86=0,0,'Вводные'!$B$60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7" s="107" t="n">
        <x:f>IF(CA86=0,0,'Вводные'!$B$60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7" s="107" t="n">
        <x:f>IF(CB86=0,0,'Вводные'!$B$60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7" s="107" t="n">
        <x:f>IF(CC86=0,0,'Вводные'!$B$60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7" s="107" t="n">
        <x:f>IF(CD86=0,0,'Вводные'!$B$60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7" s="107" t="n">
        <x:f>IF(CE86=0,0,'Вводные'!$B$60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7" s="107" t="n">
        <x:f>IF(CF86=0,0,'Вводные'!$B$60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7" s="107" t="n">
        <x:f>IF(CG86=0,0,'Вводные'!$B$60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7" s="107" t="n">
        <x:f>IF(CH86=0,0,'Вводные'!$B$60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7" s="107" t="n">
        <x:f>IF(CI86=0,0,'Вводные'!$B$60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7" s="107" t="n">
        <x:f>IF(CJ86=0,0,'Вводные'!$B$60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7" s="107" t="n">
        <x:f>IF(CK86=0,0,'Вводные'!$B$60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7" s="107" t="n">
        <x:f>IF(CL86=0,0,'Вводные'!$B$60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7" s="107" t="n">
        <x:f>IF(CM86=0,0,'Вводные'!$B$60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7" s="107" t="n">
        <x:f>IF(CN86=0,0,'Вводные'!$B$60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7" s="107" t="n">
        <x:f>IF(CO86=0,0,'Вводные'!$B$60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7" s="107" t="n">
        <x:f>IF(CP86=0,0,'Вводные'!$B$60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7" s="107" t="n">
        <x:f>IF(CQ86=0,0,'Вводные'!$B$60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7" s="107" t="n">
        <x:f>IF(CR86=0,0,'Вводные'!$B$60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7" s="107" t="n">
        <x:f>IF(CS86=0,0,'Вводные'!$B$60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7" s="107" t="n">
        <x:f>IF(CT86=0,0,'Вводные'!$B$60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7" s="107" t="n">
        <x:f>IF(CU86=0,0,'Вводные'!$B$60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7" s="107" t="n">
        <x:f>IF(CV86=0,0,'Вводные'!$B$60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7" s="107" t="n">
        <x:f>IF(CW86=0,0,'Вводные'!$B$60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7" s="107" t="n">
        <x:f>IF(CX86=0,0,'Вводные'!$B$60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7" s="107" t="n">
        <x:f>IF(CY86=0,0,'Вводные'!$B$60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7" s="107" t="n">
        <x:f>IF(CZ86=0,0,'Вводные'!$B$60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7" s="107" t="n">
        <x:f>IF(DA86=0,0,'Вводные'!$B$60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7" s="107" t="n">
        <x:f>IF(DB86=0,0,'Вводные'!$B$60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7" s="107" t="n">
        <x:f>IF(DC86=0,0,'Вводные'!$B$60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7" s="107" t="n">
        <x:f>IF(DD86=0,0,'Вводные'!$B$60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7" s="107" t="n">
        <x:f>IF(DE86=0,0,'Вводные'!$B$60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7" s="107" t="n">
        <x:f>IF(DF86=0,0,'Вводные'!$B$60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7" s="107" t="n">
        <x:f>IF(DG86=0,0,'Вводные'!$B$60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7" s="107" t="n">
        <x:f>IF(DH86=0,0,'Вводные'!$B$60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7" s="107" t="n">
        <x:f>IF(DI86=0,0,'Вводные'!$B$60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7" s="107" t="n">
        <x:f>IF(DJ86=0,0,'Вводные'!$B$60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7" s="107" t="n">
        <x:f>IF(DK86=0,0,'Вводные'!$B$60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7" s="107" t="n">
        <x:f>IF(DL86=0,0,'Вводные'!$B$60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7" s="107" t="n">
        <x:f>IF(DM86=0,0,'Вводные'!$B$60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7" s="107" t="n">
        <x:f>IF(DN86=0,0,'Вводные'!$B$60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7" s="107" t="n">
        <x:f>IF(DO86=0,0,'Вводные'!$B$60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7" s="107" t="n">
        <x:f>IF(DP86=0,0,'Вводные'!$B$60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7" s="107" t="n">
        <x:f>IF(DQ86=0,0,'Вводные'!$B$60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7" s="107" t="n">
        <x:f>IF(DR86=0,0,'Вводные'!$B$60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7" s="107" t="n">
        <x:f>IF(DS86=0,0,'Вводные'!$B$60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8">
      <x:c r="A88" t="str">
        <x:v>Коммерция — выручка</x:v>
      </x:c>
      <x:c r="B88" t="n">
        <x:f>SUM(D88:DS88)</x:f>
      </x:c>
      <x:c r="C88" t="str">
        <x:v>млн ₽</x:v>
      </x:c>
      <x:c r="D88" s="107" t="n">
        <x:f>D86*D87/1000</x:f>
      </x:c>
      <x:c r="E88" s="107" t="n">
        <x:f>E86*E87/1000</x:f>
      </x:c>
      <x:c r="F88" s="107" t="n">
        <x:f>F86*F87/1000</x:f>
      </x:c>
      <x:c r="G88" s="107" t="n">
        <x:f>G86*G87/1000</x:f>
      </x:c>
      <x:c r="H88" s="107" t="n">
        <x:f>H86*H87/1000</x:f>
      </x:c>
      <x:c r="I88" s="107" t="n">
        <x:f>I86*I87/1000</x:f>
      </x:c>
      <x:c r="J88" s="107" t="n">
        <x:f>J86*J87/1000</x:f>
      </x:c>
      <x:c r="K88" s="107" t="n">
        <x:f>K86*K87/1000</x:f>
      </x:c>
      <x:c r="L88" s="107" t="n">
        <x:f>L86*L87/1000</x:f>
      </x:c>
      <x:c r="M88" s="107" t="n">
        <x:f>M86*M87/1000</x:f>
      </x:c>
      <x:c r="N88" s="107" t="n">
        <x:f>N86*N87/1000</x:f>
      </x:c>
      <x:c r="O88" s="107" t="n">
        <x:f>O86*O87/1000</x:f>
      </x:c>
      <x:c r="P88" s="107" t="n">
        <x:f>P86*P87/1000</x:f>
      </x:c>
      <x:c r="Q88" s="107" t="n">
        <x:f>Q86*Q87/1000</x:f>
      </x:c>
      <x:c r="R88" s="107" t="n">
        <x:f>R86*R87/1000</x:f>
      </x:c>
      <x:c r="S88" s="107" t="n">
        <x:f>S86*S87/1000</x:f>
      </x:c>
      <x:c r="T88" s="107" t="n">
        <x:f>T86*T87/1000</x:f>
      </x:c>
      <x:c r="U88" s="107" t="n">
        <x:f>U86*U87/1000</x:f>
      </x:c>
      <x:c r="V88" s="107" t="n">
        <x:f>V86*V87/1000</x:f>
      </x:c>
      <x:c r="W88" s="107" t="n">
        <x:f>W86*W87/1000</x:f>
      </x:c>
      <x:c r="X88" s="107" t="n">
        <x:f>X86*X87/1000</x:f>
      </x:c>
      <x:c r="Y88" s="107" t="n">
        <x:f>Y86*Y87/1000</x:f>
      </x:c>
      <x:c r="Z88" s="107" t="n">
        <x:f>Z86*Z87/1000</x:f>
      </x:c>
      <x:c r="AA88" s="107" t="n">
        <x:f>AA86*AA87/1000</x:f>
      </x:c>
      <x:c r="AB88" s="107" t="n">
        <x:f>AB86*AB87/1000</x:f>
      </x:c>
      <x:c r="AC88" s="107" t="n">
        <x:f>AC86*AC87/1000</x:f>
      </x:c>
      <x:c r="AD88" s="107" t="n">
        <x:f>AD86*AD87/1000</x:f>
      </x:c>
      <x:c r="AE88" s="107" t="n">
        <x:f>AE86*AE87/1000</x:f>
      </x:c>
      <x:c r="AF88" s="107" t="n">
        <x:f>AF86*AF87/1000</x:f>
      </x:c>
      <x:c r="AG88" s="107" t="n">
        <x:f>AG86*AG87/1000</x:f>
      </x:c>
      <x:c r="AH88" s="107" t="n">
        <x:f>AH86*AH87/1000</x:f>
      </x:c>
      <x:c r="AI88" s="107" t="n">
        <x:f>AI86*AI87/1000</x:f>
      </x:c>
      <x:c r="AJ88" s="107" t="n">
        <x:f>AJ86*AJ87/1000</x:f>
      </x:c>
      <x:c r="AK88" s="107" t="n">
        <x:f>AK86*AK87/1000</x:f>
      </x:c>
      <x:c r="AL88" s="107" t="n">
        <x:f>AL86*AL87/1000</x:f>
      </x:c>
      <x:c r="AM88" s="107" t="n">
        <x:f>AM86*AM87/1000</x:f>
      </x:c>
      <x:c r="AN88" s="107" t="n">
        <x:f>AN86*AN87/1000</x:f>
      </x:c>
      <x:c r="AO88" s="107" t="n">
        <x:f>AO86*AO87/1000</x:f>
      </x:c>
      <x:c r="AP88" s="107" t="n">
        <x:f>AP86*AP87/1000</x:f>
      </x:c>
      <x:c r="AQ88" s="107" t="n">
        <x:f>AQ86*AQ87/1000</x:f>
      </x:c>
      <x:c r="AR88" s="107" t="n">
        <x:f>AR86*AR87/1000</x:f>
      </x:c>
      <x:c r="AS88" s="107" t="n">
        <x:f>AS86*AS87/1000</x:f>
      </x:c>
      <x:c r="AT88" s="107" t="n">
        <x:f>AT86*AT87/1000</x:f>
      </x:c>
      <x:c r="AU88" s="107" t="n">
        <x:f>AU86*AU87/1000</x:f>
      </x:c>
      <x:c r="AV88" s="107" t="n">
        <x:f>AV86*AV87/1000</x:f>
      </x:c>
      <x:c r="AW88" s="107" t="n">
        <x:f>AW86*AW87/1000</x:f>
      </x:c>
      <x:c r="AX88" s="107" t="n">
        <x:f>AX86*AX87/1000</x:f>
      </x:c>
      <x:c r="AY88" s="107" t="n">
        <x:f>AY86*AY87/1000</x:f>
      </x:c>
      <x:c r="AZ88" s="107" t="n">
        <x:f>AZ86*AZ87/1000</x:f>
      </x:c>
      <x:c r="BA88" s="107" t="n">
        <x:f>BA86*BA87/1000</x:f>
      </x:c>
      <x:c r="BB88" s="107" t="n">
        <x:f>BB86*BB87/1000</x:f>
      </x:c>
      <x:c r="BC88" s="107" t="n">
        <x:f>BC86*BC87/1000</x:f>
      </x:c>
      <x:c r="BD88" s="107" t="n">
        <x:f>BD86*BD87/1000</x:f>
      </x:c>
      <x:c r="BE88" s="107" t="n">
        <x:f>BE86*BE87/1000</x:f>
      </x:c>
      <x:c r="BF88" s="107" t="n">
        <x:f>BF86*BF87/1000</x:f>
      </x:c>
      <x:c r="BG88" s="107" t="n">
        <x:f>BG86*BG87/1000</x:f>
      </x:c>
      <x:c r="BH88" s="107" t="n">
        <x:f>BH86*BH87/1000</x:f>
      </x:c>
      <x:c r="BI88" s="107" t="n">
        <x:f>BI86*BI87/1000</x:f>
      </x:c>
      <x:c r="BJ88" s="107" t="n">
        <x:f>BJ86*BJ87/1000</x:f>
      </x:c>
      <x:c r="BK88" s="107" t="n">
        <x:f>BK86*BK87/1000</x:f>
      </x:c>
      <x:c r="BL88" s="107" t="n">
        <x:f>BL86*BL87/1000</x:f>
      </x:c>
      <x:c r="BM88" s="107" t="n">
        <x:f>BM86*BM87/1000</x:f>
      </x:c>
      <x:c r="BN88" s="107" t="n">
        <x:f>BN86*BN87/1000</x:f>
      </x:c>
      <x:c r="BO88" s="107" t="n">
        <x:f>BO86*BO87/1000</x:f>
      </x:c>
      <x:c r="BP88" s="107" t="n">
        <x:f>BP86*BP87/1000</x:f>
      </x:c>
      <x:c r="BQ88" s="107" t="n">
        <x:f>BQ86*BQ87/1000</x:f>
      </x:c>
      <x:c r="BR88" s="107" t="n">
        <x:f>BR86*BR87/1000</x:f>
      </x:c>
      <x:c r="BS88" s="107" t="n">
        <x:f>BS86*BS87/1000</x:f>
      </x:c>
      <x:c r="BT88" s="107" t="n">
        <x:f>BT86*BT87/1000</x:f>
      </x:c>
      <x:c r="BU88" s="107" t="n">
        <x:f>BU86*BU87/1000</x:f>
      </x:c>
      <x:c r="BV88" s="107" t="n">
        <x:f>BV86*BV87/1000</x:f>
      </x:c>
      <x:c r="BW88" s="107" t="n">
        <x:f>BW86*BW87/1000</x:f>
      </x:c>
      <x:c r="BX88" s="107" t="n">
        <x:f>BX86*BX87/1000</x:f>
      </x:c>
      <x:c r="BY88" s="107" t="n">
        <x:f>BY86*BY87/1000</x:f>
      </x:c>
      <x:c r="BZ88" s="107" t="n">
        <x:f>BZ86*BZ87/1000</x:f>
      </x:c>
      <x:c r="CA88" s="107" t="n">
        <x:f>CA86*CA87/1000</x:f>
      </x:c>
      <x:c r="CB88" s="107" t="n">
        <x:f>CB86*CB87/1000</x:f>
      </x:c>
      <x:c r="CC88" s="107" t="n">
        <x:f>CC86*CC87/1000</x:f>
      </x:c>
      <x:c r="CD88" s="107" t="n">
        <x:f>CD86*CD87/1000</x:f>
      </x:c>
      <x:c r="CE88" s="107" t="n">
        <x:f>CE86*CE87/1000</x:f>
      </x:c>
      <x:c r="CF88" s="107" t="n">
        <x:f>CF86*CF87/1000</x:f>
      </x:c>
      <x:c r="CG88" s="107" t="n">
        <x:f>CG86*CG87/1000</x:f>
      </x:c>
      <x:c r="CH88" s="107" t="n">
        <x:f>CH86*CH87/1000</x:f>
      </x:c>
      <x:c r="CI88" s="107" t="n">
        <x:f>CI86*CI87/1000</x:f>
      </x:c>
      <x:c r="CJ88" s="107" t="n">
        <x:f>CJ86*CJ87/1000</x:f>
      </x:c>
      <x:c r="CK88" s="107" t="n">
        <x:f>CK86*CK87/1000</x:f>
      </x:c>
      <x:c r="CL88" s="107" t="n">
        <x:f>CL86*CL87/1000</x:f>
      </x:c>
      <x:c r="CM88" s="107" t="n">
        <x:f>CM86*CM87/1000</x:f>
      </x:c>
      <x:c r="CN88" s="107" t="n">
        <x:f>CN86*CN87/1000</x:f>
      </x:c>
      <x:c r="CO88" s="107" t="n">
        <x:f>CO86*CO87/1000</x:f>
      </x:c>
      <x:c r="CP88" s="107" t="n">
        <x:f>CP86*CP87/1000</x:f>
      </x:c>
      <x:c r="CQ88" s="107" t="n">
        <x:f>CQ86*CQ87/1000</x:f>
      </x:c>
      <x:c r="CR88" s="107" t="n">
        <x:f>CR86*CR87/1000</x:f>
      </x:c>
      <x:c r="CS88" s="107" t="n">
        <x:f>CS86*CS87/1000</x:f>
      </x:c>
      <x:c r="CT88" s="107" t="n">
        <x:f>CT86*CT87/1000</x:f>
      </x:c>
      <x:c r="CU88" s="107" t="n">
        <x:f>CU86*CU87/1000</x:f>
      </x:c>
      <x:c r="CV88" s="107" t="n">
        <x:f>CV86*CV87/1000</x:f>
      </x:c>
      <x:c r="CW88" s="107" t="n">
        <x:f>CW86*CW87/1000</x:f>
      </x:c>
      <x:c r="CX88" s="107" t="n">
        <x:f>CX86*CX87/1000</x:f>
      </x:c>
      <x:c r="CY88" s="107" t="n">
        <x:f>CY86*CY87/1000</x:f>
      </x:c>
      <x:c r="CZ88" s="107" t="n">
        <x:f>CZ86*CZ87/1000</x:f>
      </x:c>
      <x:c r="DA88" s="107" t="n">
        <x:f>DA86*DA87/1000</x:f>
      </x:c>
      <x:c r="DB88" s="107" t="n">
        <x:f>DB86*DB87/1000</x:f>
      </x:c>
      <x:c r="DC88" s="107" t="n">
        <x:f>DC86*DC87/1000</x:f>
      </x:c>
      <x:c r="DD88" s="107" t="n">
        <x:f>DD86*DD87/1000</x:f>
      </x:c>
      <x:c r="DE88" s="107" t="n">
        <x:f>DE86*DE87/1000</x:f>
      </x:c>
      <x:c r="DF88" s="107" t="n">
        <x:f>DF86*DF87/1000</x:f>
      </x:c>
      <x:c r="DG88" s="107" t="n">
        <x:f>DG86*DG87/1000</x:f>
      </x:c>
      <x:c r="DH88" s="107" t="n">
        <x:f>DH86*DH87/1000</x:f>
      </x:c>
      <x:c r="DI88" s="107" t="n">
        <x:f>DI86*DI87/1000</x:f>
      </x:c>
      <x:c r="DJ88" s="107" t="n">
        <x:f>DJ86*DJ87/1000</x:f>
      </x:c>
      <x:c r="DK88" s="107" t="n">
        <x:f>DK86*DK87/1000</x:f>
      </x:c>
      <x:c r="DL88" s="107" t="n">
        <x:f>DL86*DL87/1000</x:f>
      </x:c>
      <x:c r="DM88" s="107" t="n">
        <x:f>DM86*DM87/1000</x:f>
      </x:c>
      <x:c r="DN88" s="107" t="n">
        <x:f>DN86*DN87/1000</x:f>
      </x:c>
      <x:c r="DO88" s="107" t="n">
        <x:f>DO86*DO87/1000</x:f>
      </x:c>
      <x:c r="DP88" s="107" t="n">
        <x:f>DP86*DP87/1000</x:f>
      </x:c>
      <x:c r="DQ88" s="107" t="n">
        <x:f>DQ86*DQ87/1000</x:f>
      </x:c>
      <x:c r="DR88" s="107" t="n">
        <x:f>DR86*DR87/1000</x:f>
      </x:c>
      <x:c r="DS88" s="107" t="n">
        <x:f>DS86*DS87/1000</x:f>
      </x:c>
    </x:row>
    <x:row r="89">
      <x:c r="A89" t="str">
        <x:v>Паркинг — объём</x:v>
      </x:c>
      <x:c r="B89" t="n">
        <x:f>SUM(D89:DS89)</x:f>
      </x:c>
      <x:c r="C89" t="str">
        <x:v>шт.</x:v>
      </x:c>
      <x:c r="D89" s="107" t="n">
        <x:f>'Вводные'!$N$91*((IF(SUM($D78:$DS78)=0,0,IF(SUM($D81:$DS81)=0,1,'Вводные'!$B$63)))*D80+(1-(IF(SUM($D78:$DS78)=0,0,IF(SUM($D81:$DS81)=0,1,'Вводные'!$B$63))))*D82)</x:f>
      </x:c>
      <x:c r="E89" s="107" t="n">
        <x:f>'Вводные'!$N$91*((IF(SUM($D78:$DS78)=0,0,IF(SUM($D81:$DS81)=0,1,'Вводные'!$B$63)))*E80+(1-(IF(SUM($D78:$DS78)=0,0,IF(SUM($D81:$DS81)=0,1,'Вводные'!$B$63))))*E82)</x:f>
      </x:c>
      <x:c r="F89" s="107" t="n">
        <x:f>'Вводные'!$N$91*((IF(SUM($D78:$DS78)=0,0,IF(SUM($D81:$DS81)=0,1,'Вводные'!$B$63)))*F80+(1-(IF(SUM($D78:$DS78)=0,0,IF(SUM($D81:$DS81)=0,1,'Вводные'!$B$63))))*F82)</x:f>
      </x:c>
      <x:c r="G89" s="107" t="n">
        <x:f>'Вводные'!$N$91*((IF(SUM($D78:$DS78)=0,0,IF(SUM($D81:$DS81)=0,1,'Вводные'!$B$63)))*G80+(1-(IF(SUM($D78:$DS78)=0,0,IF(SUM($D81:$DS81)=0,1,'Вводные'!$B$63))))*G82)</x:f>
      </x:c>
      <x:c r="H89" s="107" t="n">
        <x:f>'Вводные'!$N$91*((IF(SUM($D78:$DS78)=0,0,IF(SUM($D81:$DS81)=0,1,'Вводные'!$B$63)))*H80+(1-(IF(SUM($D78:$DS78)=0,0,IF(SUM($D81:$DS81)=0,1,'Вводные'!$B$63))))*H82)</x:f>
      </x:c>
      <x:c r="I89" s="107" t="n">
        <x:f>'Вводные'!$N$91*((IF(SUM($D78:$DS78)=0,0,IF(SUM($D81:$DS81)=0,1,'Вводные'!$B$63)))*I80+(1-(IF(SUM($D78:$DS78)=0,0,IF(SUM($D81:$DS81)=0,1,'Вводные'!$B$63))))*I82)</x:f>
      </x:c>
      <x:c r="J89" s="107" t="n">
        <x:f>'Вводные'!$N$91*((IF(SUM($D78:$DS78)=0,0,IF(SUM($D81:$DS81)=0,1,'Вводные'!$B$63)))*J80+(1-(IF(SUM($D78:$DS78)=0,0,IF(SUM($D81:$DS81)=0,1,'Вводные'!$B$63))))*J82)</x:f>
      </x:c>
      <x:c r="K89" s="107" t="n">
        <x:f>'Вводные'!$N$91*((IF(SUM($D78:$DS78)=0,0,IF(SUM($D81:$DS81)=0,1,'Вводные'!$B$63)))*K80+(1-(IF(SUM($D78:$DS78)=0,0,IF(SUM($D81:$DS81)=0,1,'Вводные'!$B$63))))*K82)</x:f>
      </x:c>
      <x:c r="L89" s="107" t="n">
        <x:f>'Вводные'!$N$91*((IF(SUM($D78:$DS78)=0,0,IF(SUM($D81:$DS81)=0,1,'Вводные'!$B$63)))*L80+(1-(IF(SUM($D78:$DS78)=0,0,IF(SUM($D81:$DS81)=0,1,'Вводные'!$B$63))))*L82)</x:f>
      </x:c>
      <x:c r="M89" s="107" t="n">
        <x:f>'Вводные'!$N$91*((IF(SUM($D78:$DS78)=0,0,IF(SUM($D81:$DS81)=0,1,'Вводные'!$B$63)))*M80+(1-(IF(SUM($D78:$DS78)=0,0,IF(SUM($D81:$DS81)=0,1,'Вводные'!$B$63))))*M82)</x:f>
      </x:c>
      <x:c r="N89" s="107" t="n">
        <x:f>'Вводные'!$N$91*((IF(SUM($D78:$DS78)=0,0,IF(SUM($D81:$DS81)=0,1,'Вводные'!$B$63)))*N80+(1-(IF(SUM($D78:$DS78)=0,0,IF(SUM($D81:$DS81)=0,1,'Вводные'!$B$63))))*N82)</x:f>
      </x:c>
      <x:c r="O89" s="107" t="n">
        <x:f>'Вводные'!$N$91*((IF(SUM($D78:$DS78)=0,0,IF(SUM($D81:$DS81)=0,1,'Вводные'!$B$63)))*O80+(1-(IF(SUM($D78:$DS78)=0,0,IF(SUM($D81:$DS81)=0,1,'Вводные'!$B$63))))*O82)</x:f>
      </x:c>
      <x:c r="P89" s="107" t="n">
        <x:f>'Вводные'!$N$91*((IF(SUM($D78:$DS78)=0,0,IF(SUM($D81:$DS81)=0,1,'Вводные'!$B$63)))*P80+(1-(IF(SUM($D78:$DS78)=0,0,IF(SUM($D81:$DS81)=0,1,'Вводные'!$B$63))))*P82)</x:f>
      </x:c>
      <x:c r="Q89" s="107" t="n">
        <x:f>'Вводные'!$N$91*((IF(SUM($D78:$DS78)=0,0,IF(SUM($D81:$DS81)=0,1,'Вводные'!$B$63)))*Q80+(1-(IF(SUM($D78:$DS78)=0,0,IF(SUM($D81:$DS81)=0,1,'Вводные'!$B$63))))*Q82)</x:f>
      </x:c>
      <x:c r="R89" s="107" t="n">
        <x:f>'Вводные'!$N$91*((IF(SUM($D78:$DS78)=0,0,IF(SUM($D81:$DS81)=0,1,'Вводные'!$B$63)))*R80+(1-(IF(SUM($D78:$DS78)=0,0,IF(SUM($D81:$DS81)=0,1,'Вводные'!$B$63))))*R82)</x:f>
      </x:c>
      <x:c r="S89" s="107" t="n">
        <x:f>'Вводные'!$N$91*((IF(SUM($D78:$DS78)=0,0,IF(SUM($D81:$DS81)=0,1,'Вводные'!$B$63)))*S80+(1-(IF(SUM($D78:$DS78)=0,0,IF(SUM($D81:$DS81)=0,1,'Вводные'!$B$63))))*S82)</x:f>
      </x:c>
      <x:c r="T89" s="107" t="n">
        <x:f>'Вводные'!$N$91*((IF(SUM($D78:$DS78)=0,0,IF(SUM($D81:$DS81)=0,1,'Вводные'!$B$63)))*T80+(1-(IF(SUM($D78:$DS78)=0,0,IF(SUM($D81:$DS81)=0,1,'Вводные'!$B$63))))*T82)</x:f>
      </x:c>
      <x:c r="U89" s="107" t="n">
        <x:f>'Вводные'!$N$91*((IF(SUM($D78:$DS78)=0,0,IF(SUM($D81:$DS81)=0,1,'Вводные'!$B$63)))*U80+(1-(IF(SUM($D78:$DS78)=0,0,IF(SUM($D81:$DS81)=0,1,'Вводные'!$B$63))))*U82)</x:f>
      </x:c>
      <x:c r="V89" s="107" t="n">
        <x:f>'Вводные'!$N$91*((IF(SUM($D78:$DS78)=0,0,IF(SUM($D81:$DS81)=0,1,'Вводные'!$B$63)))*V80+(1-(IF(SUM($D78:$DS78)=0,0,IF(SUM($D81:$DS81)=0,1,'Вводные'!$B$63))))*V82)</x:f>
      </x:c>
      <x:c r="W89" s="107" t="n">
        <x:f>'Вводные'!$N$91*((IF(SUM($D78:$DS78)=0,0,IF(SUM($D81:$DS81)=0,1,'Вводные'!$B$63)))*W80+(1-(IF(SUM($D78:$DS78)=0,0,IF(SUM($D81:$DS81)=0,1,'Вводные'!$B$63))))*W82)</x:f>
      </x:c>
      <x:c r="X89" s="107" t="n">
        <x:f>'Вводные'!$N$91*((IF(SUM($D78:$DS78)=0,0,IF(SUM($D81:$DS81)=0,1,'Вводные'!$B$63)))*X80+(1-(IF(SUM($D78:$DS78)=0,0,IF(SUM($D81:$DS81)=0,1,'Вводные'!$B$63))))*X82)</x:f>
      </x:c>
      <x:c r="Y89" s="107" t="n">
        <x:f>'Вводные'!$N$91*((IF(SUM($D78:$DS78)=0,0,IF(SUM($D81:$DS81)=0,1,'Вводные'!$B$63)))*Y80+(1-(IF(SUM($D78:$DS78)=0,0,IF(SUM($D81:$DS81)=0,1,'Вводные'!$B$63))))*Y82)</x:f>
      </x:c>
      <x:c r="Z89" s="107" t="n">
        <x:f>'Вводные'!$N$91*((IF(SUM($D78:$DS78)=0,0,IF(SUM($D81:$DS81)=0,1,'Вводные'!$B$63)))*Z80+(1-(IF(SUM($D78:$DS78)=0,0,IF(SUM($D81:$DS81)=0,1,'Вводные'!$B$63))))*Z82)</x:f>
      </x:c>
      <x:c r="AA89" s="107" t="n">
        <x:f>'Вводные'!$N$91*((IF(SUM($D78:$DS78)=0,0,IF(SUM($D81:$DS81)=0,1,'Вводные'!$B$63)))*AA80+(1-(IF(SUM($D78:$DS78)=0,0,IF(SUM($D81:$DS81)=0,1,'Вводные'!$B$63))))*AA82)</x:f>
      </x:c>
      <x:c r="AB89" s="107" t="n">
        <x:f>'Вводные'!$N$91*((IF(SUM($D78:$DS78)=0,0,IF(SUM($D81:$DS81)=0,1,'Вводные'!$B$63)))*AB80+(1-(IF(SUM($D78:$DS78)=0,0,IF(SUM($D81:$DS81)=0,1,'Вводные'!$B$63))))*AB82)</x:f>
      </x:c>
      <x:c r="AC89" s="107" t="n">
        <x:f>'Вводные'!$N$91*((IF(SUM($D78:$DS78)=0,0,IF(SUM($D81:$DS81)=0,1,'Вводные'!$B$63)))*AC80+(1-(IF(SUM($D78:$DS78)=0,0,IF(SUM($D81:$DS81)=0,1,'Вводные'!$B$63))))*AC82)</x:f>
      </x:c>
      <x:c r="AD89" s="107" t="n">
        <x:f>'Вводные'!$N$91*((IF(SUM($D78:$DS78)=0,0,IF(SUM($D81:$DS81)=0,1,'Вводные'!$B$63)))*AD80+(1-(IF(SUM($D78:$DS78)=0,0,IF(SUM($D81:$DS81)=0,1,'Вводные'!$B$63))))*AD82)</x:f>
      </x:c>
      <x:c r="AE89" s="107" t="n">
        <x:f>'Вводные'!$N$91*((IF(SUM($D78:$DS78)=0,0,IF(SUM($D81:$DS81)=0,1,'Вводные'!$B$63)))*AE80+(1-(IF(SUM($D78:$DS78)=0,0,IF(SUM($D81:$DS81)=0,1,'Вводные'!$B$63))))*AE82)</x:f>
      </x:c>
      <x:c r="AF89" s="107" t="n">
        <x:f>'Вводные'!$N$91*((IF(SUM($D78:$DS78)=0,0,IF(SUM($D81:$DS81)=0,1,'Вводные'!$B$63)))*AF80+(1-(IF(SUM($D78:$DS78)=0,0,IF(SUM($D81:$DS81)=0,1,'Вводные'!$B$63))))*AF82)</x:f>
      </x:c>
      <x:c r="AG89" s="107" t="n">
        <x:f>'Вводные'!$N$91*((IF(SUM($D78:$DS78)=0,0,IF(SUM($D81:$DS81)=0,1,'Вводные'!$B$63)))*AG80+(1-(IF(SUM($D78:$DS78)=0,0,IF(SUM($D81:$DS81)=0,1,'Вводные'!$B$63))))*AG82)</x:f>
      </x:c>
      <x:c r="AH89" s="107" t="n">
        <x:f>'Вводные'!$N$91*((IF(SUM($D78:$DS78)=0,0,IF(SUM($D81:$DS81)=0,1,'Вводные'!$B$63)))*AH80+(1-(IF(SUM($D78:$DS78)=0,0,IF(SUM($D81:$DS81)=0,1,'Вводные'!$B$63))))*AH82)</x:f>
      </x:c>
      <x:c r="AI89" s="107" t="n">
        <x:f>'Вводные'!$N$91*((IF(SUM($D78:$DS78)=0,0,IF(SUM($D81:$DS81)=0,1,'Вводные'!$B$63)))*AI80+(1-(IF(SUM($D78:$DS78)=0,0,IF(SUM($D81:$DS81)=0,1,'Вводные'!$B$63))))*AI82)</x:f>
      </x:c>
      <x:c r="AJ89" s="107" t="n">
        <x:f>'Вводные'!$N$91*((IF(SUM($D78:$DS78)=0,0,IF(SUM($D81:$DS81)=0,1,'Вводные'!$B$63)))*AJ80+(1-(IF(SUM($D78:$DS78)=0,0,IF(SUM($D81:$DS81)=0,1,'Вводные'!$B$63))))*AJ82)</x:f>
      </x:c>
      <x:c r="AK89" s="107" t="n">
        <x:f>'Вводные'!$N$91*((IF(SUM($D78:$DS78)=0,0,IF(SUM($D81:$DS81)=0,1,'Вводные'!$B$63)))*AK80+(1-(IF(SUM($D78:$DS78)=0,0,IF(SUM($D81:$DS81)=0,1,'Вводные'!$B$63))))*AK82)</x:f>
      </x:c>
      <x:c r="AL89" s="107" t="n">
        <x:f>'Вводные'!$N$91*((IF(SUM($D78:$DS78)=0,0,IF(SUM($D81:$DS81)=0,1,'Вводные'!$B$63)))*AL80+(1-(IF(SUM($D78:$DS78)=0,0,IF(SUM($D81:$DS81)=0,1,'Вводные'!$B$63))))*AL82)</x:f>
      </x:c>
      <x:c r="AM89" s="107" t="n">
        <x:f>'Вводные'!$N$91*((IF(SUM($D78:$DS78)=0,0,IF(SUM($D81:$DS81)=0,1,'Вводные'!$B$63)))*AM80+(1-(IF(SUM($D78:$DS78)=0,0,IF(SUM($D81:$DS81)=0,1,'Вводные'!$B$63))))*AM82)</x:f>
      </x:c>
      <x:c r="AN89" s="107" t="n">
        <x:f>'Вводные'!$N$91*((IF(SUM($D78:$DS78)=0,0,IF(SUM($D81:$DS81)=0,1,'Вводные'!$B$63)))*AN80+(1-(IF(SUM($D78:$DS78)=0,0,IF(SUM($D81:$DS81)=0,1,'Вводные'!$B$63))))*AN82)</x:f>
      </x:c>
      <x:c r="AO89" s="107" t="n">
        <x:f>'Вводные'!$N$91*((IF(SUM($D78:$DS78)=0,0,IF(SUM($D81:$DS81)=0,1,'Вводные'!$B$63)))*AO80+(1-(IF(SUM($D78:$DS78)=0,0,IF(SUM($D81:$DS81)=0,1,'Вводные'!$B$63))))*AO82)</x:f>
      </x:c>
      <x:c r="AP89" s="107" t="n">
        <x:f>'Вводные'!$N$91*((IF(SUM($D78:$DS78)=0,0,IF(SUM($D81:$DS81)=0,1,'Вводные'!$B$63)))*AP80+(1-(IF(SUM($D78:$DS78)=0,0,IF(SUM($D81:$DS81)=0,1,'Вводные'!$B$63))))*AP82)</x:f>
      </x:c>
      <x:c r="AQ89" s="107" t="n">
        <x:f>'Вводные'!$N$91*((IF(SUM($D78:$DS78)=0,0,IF(SUM($D81:$DS81)=0,1,'Вводные'!$B$63)))*AQ80+(1-(IF(SUM($D78:$DS78)=0,0,IF(SUM($D81:$DS81)=0,1,'Вводные'!$B$63))))*AQ82)</x:f>
      </x:c>
      <x:c r="AR89" s="107" t="n">
        <x:f>'Вводные'!$N$91*((IF(SUM($D78:$DS78)=0,0,IF(SUM($D81:$DS81)=0,1,'Вводные'!$B$63)))*AR80+(1-(IF(SUM($D78:$DS78)=0,0,IF(SUM($D81:$DS81)=0,1,'Вводные'!$B$63))))*AR82)</x:f>
      </x:c>
      <x:c r="AS89" s="107" t="n">
        <x:f>'Вводные'!$N$91*((IF(SUM($D78:$DS78)=0,0,IF(SUM($D81:$DS81)=0,1,'Вводные'!$B$63)))*AS80+(1-(IF(SUM($D78:$DS78)=0,0,IF(SUM($D81:$DS81)=0,1,'Вводные'!$B$63))))*AS82)</x:f>
      </x:c>
      <x:c r="AT89" s="107" t="n">
        <x:f>'Вводные'!$N$91*((IF(SUM($D78:$DS78)=0,0,IF(SUM($D81:$DS81)=0,1,'Вводные'!$B$63)))*AT80+(1-(IF(SUM($D78:$DS78)=0,0,IF(SUM($D81:$DS81)=0,1,'Вводные'!$B$63))))*AT82)</x:f>
      </x:c>
      <x:c r="AU89" s="107" t="n">
        <x:f>'Вводные'!$N$91*((IF(SUM($D78:$DS78)=0,0,IF(SUM($D81:$DS81)=0,1,'Вводные'!$B$63)))*AU80+(1-(IF(SUM($D78:$DS78)=0,0,IF(SUM($D81:$DS81)=0,1,'Вводные'!$B$63))))*AU82)</x:f>
      </x:c>
      <x:c r="AV89" s="107" t="n">
        <x:f>'Вводные'!$N$91*((IF(SUM($D78:$DS78)=0,0,IF(SUM($D81:$DS81)=0,1,'Вводные'!$B$63)))*AV80+(1-(IF(SUM($D78:$DS78)=0,0,IF(SUM($D81:$DS81)=0,1,'Вводные'!$B$63))))*AV82)</x:f>
      </x:c>
      <x:c r="AW89" s="107" t="n">
        <x:f>'Вводные'!$N$91*((IF(SUM($D78:$DS78)=0,0,IF(SUM($D81:$DS81)=0,1,'Вводные'!$B$63)))*AW80+(1-(IF(SUM($D78:$DS78)=0,0,IF(SUM($D81:$DS81)=0,1,'Вводные'!$B$63))))*AW82)</x:f>
      </x:c>
      <x:c r="AX89" s="107" t="n">
        <x:f>'Вводные'!$N$91*((IF(SUM($D78:$DS78)=0,0,IF(SUM($D81:$DS81)=0,1,'Вводные'!$B$63)))*AX80+(1-(IF(SUM($D78:$DS78)=0,0,IF(SUM($D81:$DS81)=0,1,'Вводные'!$B$63))))*AX82)</x:f>
      </x:c>
      <x:c r="AY89" s="107" t="n">
        <x:f>'Вводные'!$N$91*((IF(SUM($D78:$DS78)=0,0,IF(SUM($D81:$DS81)=0,1,'Вводные'!$B$63)))*AY80+(1-(IF(SUM($D78:$DS78)=0,0,IF(SUM($D81:$DS81)=0,1,'Вводные'!$B$63))))*AY82)</x:f>
      </x:c>
      <x:c r="AZ89" s="107" t="n">
        <x:f>'Вводные'!$N$91*((IF(SUM($D78:$DS78)=0,0,IF(SUM($D81:$DS81)=0,1,'Вводные'!$B$63)))*AZ80+(1-(IF(SUM($D78:$DS78)=0,0,IF(SUM($D81:$DS81)=0,1,'Вводные'!$B$63))))*AZ82)</x:f>
      </x:c>
      <x:c r="BA89" s="107" t="n">
        <x:f>'Вводные'!$N$91*((IF(SUM($D78:$DS78)=0,0,IF(SUM($D81:$DS81)=0,1,'Вводные'!$B$63)))*BA80+(1-(IF(SUM($D78:$DS78)=0,0,IF(SUM($D81:$DS81)=0,1,'Вводные'!$B$63))))*BA82)</x:f>
      </x:c>
      <x:c r="BB89" s="107" t="n">
        <x:f>'Вводные'!$N$91*((IF(SUM($D78:$DS78)=0,0,IF(SUM($D81:$DS81)=0,1,'Вводные'!$B$63)))*BB80+(1-(IF(SUM($D78:$DS78)=0,0,IF(SUM($D81:$DS81)=0,1,'Вводные'!$B$63))))*BB82)</x:f>
      </x:c>
      <x:c r="BC89" s="107" t="n">
        <x:f>'Вводные'!$N$91*((IF(SUM($D78:$DS78)=0,0,IF(SUM($D81:$DS81)=0,1,'Вводные'!$B$63)))*BC80+(1-(IF(SUM($D78:$DS78)=0,0,IF(SUM($D81:$DS81)=0,1,'Вводные'!$B$63))))*BC82)</x:f>
      </x:c>
      <x:c r="BD89" s="107" t="n">
        <x:f>'Вводные'!$N$91*((IF(SUM($D78:$DS78)=0,0,IF(SUM($D81:$DS81)=0,1,'Вводные'!$B$63)))*BD80+(1-(IF(SUM($D78:$DS78)=0,0,IF(SUM($D81:$DS81)=0,1,'Вводные'!$B$63))))*BD82)</x:f>
      </x:c>
      <x:c r="BE89" s="107" t="n">
        <x:f>'Вводные'!$N$91*((IF(SUM($D78:$DS78)=0,0,IF(SUM($D81:$DS81)=0,1,'Вводные'!$B$63)))*BE80+(1-(IF(SUM($D78:$DS78)=0,0,IF(SUM($D81:$DS81)=0,1,'Вводные'!$B$63))))*BE82)</x:f>
      </x:c>
      <x:c r="BF89" s="107" t="n">
        <x:f>'Вводные'!$N$91*((IF(SUM($D78:$DS78)=0,0,IF(SUM($D81:$DS81)=0,1,'Вводные'!$B$63)))*BF80+(1-(IF(SUM($D78:$DS78)=0,0,IF(SUM($D81:$DS81)=0,1,'Вводные'!$B$63))))*BF82)</x:f>
      </x:c>
      <x:c r="BG89" s="107" t="n">
        <x:f>'Вводные'!$N$91*((IF(SUM($D78:$DS78)=0,0,IF(SUM($D81:$DS81)=0,1,'Вводные'!$B$63)))*BG80+(1-(IF(SUM($D78:$DS78)=0,0,IF(SUM($D81:$DS81)=0,1,'Вводные'!$B$63))))*BG82)</x:f>
      </x:c>
      <x:c r="BH89" s="107" t="n">
        <x:f>'Вводные'!$N$91*((IF(SUM($D78:$DS78)=0,0,IF(SUM($D81:$DS81)=0,1,'Вводные'!$B$63)))*BH80+(1-(IF(SUM($D78:$DS78)=0,0,IF(SUM($D81:$DS81)=0,1,'Вводные'!$B$63))))*BH82)</x:f>
      </x:c>
      <x:c r="BI89" s="107" t="n">
        <x:f>'Вводные'!$N$91*((IF(SUM($D78:$DS78)=0,0,IF(SUM($D81:$DS81)=0,1,'Вводные'!$B$63)))*BI80+(1-(IF(SUM($D78:$DS78)=0,0,IF(SUM($D81:$DS81)=0,1,'Вводные'!$B$63))))*BI82)</x:f>
      </x:c>
      <x:c r="BJ89" s="107" t="n">
        <x:f>'Вводные'!$N$91*((IF(SUM($D78:$DS78)=0,0,IF(SUM($D81:$DS81)=0,1,'Вводные'!$B$63)))*BJ80+(1-(IF(SUM($D78:$DS78)=0,0,IF(SUM($D81:$DS81)=0,1,'Вводные'!$B$63))))*BJ82)</x:f>
      </x:c>
      <x:c r="BK89" s="107" t="n">
        <x:f>'Вводные'!$N$91*((IF(SUM($D78:$DS78)=0,0,IF(SUM($D81:$DS81)=0,1,'Вводные'!$B$63)))*BK80+(1-(IF(SUM($D78:$DS78)=0,0,IF(SUM($D81:$DS81)=0,1,'Вводные'!$B$63))))*BK82)</x:f>
      </x:c>
      <x:c r="BL89" s="107" t="n">
        <x:f>'Вводные'!$N$91*((IF(SUM($D78:$DS78)=0,0,IF(SUM($D81:$DS81)=0,1,'Вводные'!$B$63)))*BL80+(1-(IF(SUM($D78:$DS78)=0,0,IF(SUM($D81:$DS81)=0,1,'Вводные'!$B$63))))*BL82)</x:f>
      </x:c>
      <x:c r="BM89" s="107" t="n">
        <x:f>'Вводные'!$N$91*((IF(SUM($D78:$DS78)=0,0,IF(SUM($D81:$DS81)=0,1,'Вводные'!$B$63)))*BM80+(1-(IF(SUM($D78:$DS78)=0,0,IF(SUM($D81:$DS81)=0,1,'Вводные'!$B$63))))*BM82)</x:f>
      </x:c>
      <x:c r="BN89" s="107" t="n">
        <x:f>'Вводные'!$N$91*((IF(SUM($D78:$DS78)=0,0,IF(SUM($D81:$DS81)=0,1,'Вводные'!$B$63)))*BN80+(1-(IF(SUM($D78:$DS78)=0,0,IF(SUM($D81:$DS81)=0,1,'Вводные'!$B$63))))*BN82)</x:f>
      </x:c>
      <x:c r="BO89" s="107" t="n">
        <x:f>'Вводные'!$N$91*((IF(SUM($D78:$DS78)=0,0,IF(SUM($D81:$DS81)=0,1,'Вводные'!$B$63)))*BO80+(1-(IF(SUM($D78:$DS78)=0,0,IF(SUM($D81:$DS81)=0,1,'Вводные'!$B$63))))*BO82)</x:f>
      </x:c>
      <x:c r="BP89" s="107" t="n">
        <x:f>'Вводные'!$N$91*((IF(SUM($D78:$DS78)=0,0,IF(SUM($D81:$DS81)=0,1,'Вводные'!$B$63)))*BP80+(1-(IF(SUM($D78:$DS78)=0,0,IF(SUM($D81:$DS81)=0,1,'Вводные'!$B$63))))*BP82)</x:f>
      </x:c>
      <x:c r="BQ89" s="107" t="n">
        <x:f>'Вводные'!$N$91*((IF(SUM($D78:$DS78)=0,0,IF(SUM($D81:$DS81)=0,1,'Вводные'!$B$63)))*BQ80+(1-(IF(SUM($D78:$DS78)=0,0,IF(SUM($D81:$DS81)=0,1,'Вводные'!$B$63))))*BQ82)</x:f>
      </x:c>
      <x:c r="BR89" s="107" t="n">
        <x:f>'Вводные'!$N$91*((IF(SUM($D78:$DS78)=0,0,IF(SUM($D81:$DS81)=0,1,'Вводные'!$B$63)))*BR80+(1-(IF(SUM($D78:$DS78)=0,0,IF(SUM($D81:$DS81)=0,1,'Вводные'!$B$63))))*BR82)</x:f>
      </x:c>
      <x:c r="BS89" s="107" t="n">
        <x:f>'Вводные'!$N$91*((IF(SUM($D78:$DS78)=0,0,IF(SUM($D81:$DS81)=0,1,'Вводные'!$B$63)))*BS80+(1-(IF(SUM($D78:$DS78)=0,0,IF(SUM($D81:$DS81)=0,1,'Вводные'!$B$63))))*BS82)</x:f>
      </x:c>
      <x:c r="BT89" s="107" t="n">
        <x:f>'Вводные'!$N$91*((IF(SUM($D78:$DS78)=0,0,IF(SUM($D81:$DS81)=0,1,'Вводные'!$B$63)))*BT80+(1-(IF(SUM($D78:$DS78)=0,0,IF(SUM($D81:$DS81)=0,1,'Вводные'!$B$63))))*BT82)</x:f>
      </x:c>
      <x:c r="BU89" s="107" t="n">
        <x:f>'Вводные'!$N$91*((IF(SUM($D78:$DS78)=0,0,IF(SUM($D81:$DS81)=0,1,'Вводные'!$B$63)))*BU80+(1-(IF(SUM($D78:$DS78)=0,0,IF(SUM($D81:$DS81)=0,1,'Вводные'!$B$63))))*BU82)</x:f>
      </x:c>
      <x:c r="BV89" s="107" t="n">
        <x:f>'Вводные'!$N$91*((IF(SUM($D78:$DS78)=0,0,IF(SUM($D81:$DS81)=0,1,'Вводные'!$B$63)))*BV80+(1-(IF(SUM($D78:$DS78)=0,0,IF(SUM($D81:$DS81)=0,1,'Вводные'!$B$63))))*BV82)</x:f>
      </x:c>
      <x:c r="BW89" s="107" t="n">
        <x:f>'Вводные'!$N$91*((IF(SUM($D78:$DS78)=0,0,IF(SUM($D81:$DS81)=0,1,'Вводные'!$B$63)))*BW80+(1-(IF(SUM($D78:$DS78)=0,0,IF(SUM($D81:$DS81)=0,1,'Вводные'!$B$63))))*BW82)</x:f>
      </x:c>
      <x:c r="BX89" s="107" t="n">
        <x:f>'Вводные'!$N$91*((IF(SUM($D78:$DS78)=0,0,IF(SUM($D81:$DS81)=0,1,'Вводные'!$B$63)))*BX80+(1-(IF(SUM($D78:$DS78)=0,0,IF(SUM($D81:$DS81)=0,1,'Вводные'!$B$63))))*BX82)</x:f>
      </x:c>
      <x:c r="BY89" s="107" t="n">
        <x:f>'Вводные'!$N$91*((IF(SUM($D78:$DS78)=0,0,IF(SUM($D81:$DS81)=0,1,'Вводные'!$B$63)))*BY80+(1-(IF(SUM($D78:$DS78)=0,0,IF(SUM($D81:$DS81)=0,1,'Вводные'!$B$63))))*BY82)</x:f>
      </x:c>
      <x:c r="BZ89" s="107" t="n">
        <x:f>'Вводные'!$N$91*((IF(SUM($D78:$DS78)=0,0,IF(SUM($D81:$DS81)=0,1,'Вводные'!$B$63)))*BZ80+(1-(IF(SUM($D78:$DS78)=0,0,IF(SUM($D81:$DS81)=0,1,'Вводные'!$B$63))))*BZ82)</x:f>
      </x:c>
      <x:c r="CA89" s="107" t="n">
        <x:f>'Вводные'!$N$91*((IF(SUM($D78:$DS78)=0,0,IF(SUM($D81:$DS81)=0,1,'Вводные'!$B$63)))*CA80+(1-(IF(SUM($D78:$DS78)=0,0,IF(SUM($D81:$DS81)=0,1,'Вводные'!$B$63))))*CA82)</x:f>
      </x:c>
      <x:c r="CB89" s="107" t="n">
        <x:f>'Вводные'!$N$91*((IF(SUM($D78:$DS78)=0,0,IF(SUM($D81:$DS81)=0,1,'Вводные'!$B$63)))*CB80+(1-(IF(SUM($D78:$DS78)=0,0,IF(SUM($D81:$DS81)=0,1,'Вводные'!$B$63))))*CB82)</x:f>
      </x:c>
      <x:c r="CC89" s="107" t="n">
        <x:f>'Вводные'!$N$91*((IF(SUM($D78:$DS78)=0,0,IF(SUM($D81:$DS81)=0,1,'Вводные'!$B$63)))*CC80+(1-(IF(SUM($D78:$DS78)=0,0,IF(SUM($D81:$DS81)=0,1,'Вводные'!$B$63))))*CC82)</x:f>
      </x:c>
      <x:c r="CD89" s="107" t="n">
        <x:f>'Вводные'!$N$91*((IF(SUM($D78:$DS78)=0,0,IF(SUM($D81:$DS81)=0,1,'Вводные'!$B$63)))*CD80+(1-(IF(SUM($D78:$DS78)=0,0,IF(SUM($D81:$DS81)=0,1,'Вводные'!$B$63))))*CD82)</x:f>
      </x:c>
      <x:c r="CE89" s="107" t="n">
        <x:f>'Вводные'!$N$91*((IF(SUM($D78:$DS78)=0,0,IF(SUM($D81:$DS81)=0,1,'Вводные'!$B$63)))*CE80+(1-(IF(SUM($D78:$DS78)=0,0,IF(SUM($D81:$DS81)=0,1,'Вводные'!$B$63))))*CE82)</x:f>
      </x:c>
      <x:c r="CF89" s="107" t="n">
        <x:f>'Вводные'!$N$91*((IF(SUM($D78:$DS78)=0,0,IF(SUM($D81:$DS81)=0,1,'Вводные'!$B$63)))*CF80+(1-(IF(SUM($D78:$DS78)=0,0,IF(SUM($D81:$DS81)=0,1,'Вводные'!$B$63))))*CF82)</x:f>
      </x:c>
      <x:c r="CG89" s="107" t="n">
        <x:f>'Вводные'!$N$91*((IF(SUM($D78:$DS78)=0,0,IF(SUM($D81:$DS81)=0,1,'Вводные'!$B$63)))*CG80+(1-(IF(SUM($D78:$DS78)=0,0,IF(SUM($D81:$DS81)=0,1,'Вводные'!$B$63))))*CG82)</x:f>
      </x:c>
      <x:c r="CH89" s="107" t="n">
        <x:f>'Вводные'!$N$91*((IF(SUM($D78:$DS78)=0,0,IF(SUM($D81:$DS81)=0,1,'Вводные'!$B$63)))*CH80+(1-(IF(SUM($D78:$DS78)=0,0,IF(SUM($D81:$DS81)=0,1,'Вводные'!$B$63))))*CH82)</x:f>
      </x:c>
      <x:c r="CI89" s="107" t="n">
        <x:f>'Вводные'!$N$91*((IF(SUM($D78:$DS78)=0,0,IF(SUM($D81:$DS81)=0,1,'Вводные'!$B$63)))*CI80+(1-(IF(SUM($D78:$DS78)=0,0,IF(SUM($D81:$DS81)=0,1,'Вводные'!$B$63))))*CI82)</x:f>
      </x:c>
      <x:c r="CJ89" s="107" t="n">
        <x:f>'Вводные'!$N$91*((IF(SUM($D78:$DS78)=0,0,IF(SUM($D81:$DS81)=0,1,'Вводные'!$B$63)))*CJ80+(1-(IF(SUM($D78:$DS78)=0,0,IF(SUM($D81:$DS81)=0,1,'Вводные'!$B$63))))*CJ82)</x:f>
      </x:c>
      <x:c r="CK89" s="107" t="n">
        <x:f>'Вводные'!$N$91*((IF(SUM($D78:$DS78)=0,0,IF(SUM($D81:$DS81)=0,1,'Вводные'!$B$63)))*CK80+(1-(IF(SUM($D78:$DS78)=0,0,IF(SUM($D81:$DS81)=0,1,'Вводные'!$B$63))))*CK82)</x:f>
      </x:c>
      <x:c r="CL89" s="107" t="n">
        <x:f>'Вводные'!$N$91*((IF(SUM($D78:$DS78)=0,0,IF(SUM($D81:$DS81)=0,1,'Вводные'!$B$63)))*CL80+(1-(IF(SUM($D78:$DS78)=0,0,IF(SUM($D81:$DS81)=0,1,'Вводные'!$B$63))))*CL82)</x:f>
      </x:c>
      <x:c r="CM89" s="107" t="n">
        <x:f>'Вводные'!$N$91*((IF(SUM($D78:$DS78)=0,0,IF(SUM($D81:$DS81)=0,1,'Вводные'!$B$63)))*CM80+(1-(IF(SUM($D78:$DS78)=0,0,IF(SUM($D81:$DS81)=0,1,'Вводные'!$B$63))))*CM82)</x:f>
      </x:c>
      <x:c r="CN89" s="107" t="n">
        <x:f>'Вводные'!$N$91*((IF(SUM($D78:$DS78)=0,0,IF(SUM($D81:$DS81)=0,1,'Вводные'!$B$63)))*CN80+(1-(IF(SUM($D78:$DS78)=0,0,IF(SUM($D81:$DS81)=0,1,'Вводные'!$B$63))))*CN82)</x:f>
      </x:c>
      <x:c r="CO89" s="107" t="n">
        <x:f>'Вводные'!$N$91*((IF(SUM($D78:$DS78)=0,0,IF(SUM($D81:$DS81)=0,1,'Вводные'!$B$63)))*CO80+(1-(IF(SUM($D78:$DS78)=0,0,IF(SUM($D81:$DS81)=0,1,'Вводные'!$B$63))))*CO82)</x:f>
      </x:c>
      <x:c r="CP89" s="107" t="n">
        <x:f>'Вводные'!$N$91*((IF(SUM($D78:$DS78)=0,0,IF(SUM($D81:$DS81)=0,1,'Вводные'!$B$63)))*CP80+(1-(IF(SUM($D78:$DS78)=0,0,IF(SUM($D81:$DS81)=0,1,'Вводные'!$B$63))))*CP82)</x:f>
      </x:c>
      <x:c r="CQ89" s="107" t="n">
        <x:f>'Вводные'!$N$91*((IF(SUM($D78:$DS78)=0,0,IF(SUM($D81:$DS81)=0,1,'Вводные'!$B$63)))*CQ80+(1-(IF(SUM($D78:$DS78)=0,0,IF(SUM($D81:$DS81)=0,1,'Вводные'!$B$63))))*CQ82)</x:f>
      </x:c>
      <x:c r="CR89" s="107" t="n">
        <x:f>'Вводные'!$N$91*((IF(SUM($D78:$DS78)=0,0,IF(SUM($D81:$DS81)=0,1,'Вводные'!$B$63)))*CR80+(1-(IF(SUM($D78:$DS78)=0,0,IF(SUM($D81:$DS81)=0,1,'Вводные'!$B$63))))*CR82)</x:f>
      </x:c>
      <x:c r="CS89" s="107" t="n">
        <x:f>'Вводные'!$N$91*((IF(SUM($D78:$DS78)=0,0,IF(SUM($D81:$DS81)=0,1,'Вводные'!$B$63)))*CS80+(1-(IF(SUM($D78:$DS78)=0,0,IF(SUM($D81:$DS81)=0,1,'Вводные'!$B$63))))*CS82)</x:f>
      </x:c>
      <x:c r="CT89" s="107" t="n">
        <x:f>'Вводные'!$N$91*((IF(SUM($D78:$DS78)=0,0,IF(SUM($D81:$DS81)=0,1,'Вводные'!$B$63)))*CT80+(1-(IF(SUM($D78:$DS78)=0,0,IF(SUM($D81:$DS81)=0,1,'Вводные'!$B$63))))*CT82)</x:f>
      </x:c>
      <x:c r="CU89" s="107" t="n">
        <x:f>'Вводные'!$N$91*((IF(SUM($D78:$DS78)=0,0,IF(SUM($D81:$DS81)=0,1,'Вводные'!$B$63)))*CU80+(1-(IF(SUM($D78:$DS78)=0,0,IF(SUM($D81:$DS81)=0,1,'Вводные'!$B$63))))*CU82)</x:f>
      </x:c>
      <x:c r="CV89" s="107" t="n">
        <x:f>'Вводные'!$N$91*((IF(SUM($D78:$DS78)=0,0,IF(SUM($D81:$DS81)=0,1,'Вводные'!$B$63)))*CV80+(1-(IF(SUM($D78:$DS78)=0,0,IF(SUM($D81:$DS81)=0,1,'Вводные'!$B$63))))*CV82)</x:f>
      </x:c>
      <x:c r="CW89" s="107" t="n">
        <x:f>'Вводные'!$N$91*((IF(SUM($D78:$DS78)=0,0,IF(SUM($D81:$DS81)=0,1,'Вводные'!$B$63)))*CW80+(1-(IF(SUM($D78:$DS78)=0,0,IF(SUM($D81:$DS81)=0,1,'Вводные'!$B$63))))*CW82)</x:f>
      </x:c>
      <x:c r="CX89" s="107" t="n">
        <x:f>'Вводные'!$N$91*((IF(SUM($D78:$DS78)=0,0,IF(SUM($D81:$DS81)=0,1,'Вводные'!$B$63)))*CX80+(1-(IF(SUM($D78:$DS78)=0,0,IF(SUM($D81:$DS81)=0,1,'Вводные'!$B$63))))*CX82)</x:f>
      </x:c>
      <x:c r="CY89" s="107" t="n">
        <x:f>'Вводные'!$N$91*((IF(SUM($D78:$DS78)=0,0,IF(SUM($D81:$DS81)=0,1,'Вводные'!$B$63)))*CY80+(1-(IF(SUM($D78:$DS78)=0,0,IF(SUM($D81:$DS81)=0,1,'Вводные'!$B$63))))*CY82)</x:f>
      </x:c>
      <x:c r="CZ89" s="107" t="n">
        <x:f>'Вводные'!$N$91*((IF(SUM($D78:$DS78)=0,0,IF(SUM($D81:$DS81)=0,1,'Вводные'!$B$63)))*CZ80+(1-(IF(SUM($D78:$DS78)=0,0,IF(SUM($D81:$DS81)=0,1,'Вводные'!$B$63))))*CZ82)</x:f>
      </x:c>
      <x:c r="DA89" s="107" t="n">
        <x:f>'Вводные'!$N$91*((IF(SUM($D78:$DS78)=0,0,IF(SUM($D81:$DS81)=0,1,'Вводные'!$B$63)))*DA80+(1-(IF(SUM($D78:$DS78)=0,0,IF(SUM($D81:$DS81)=0,1,'Вводные'!$B$63))))*DA82)</x:f>
      </x:c>
      <x:c r="DB89" s="107" t="n">
        <x:f>'Вводные'!$N$91*((IF(SUM($D78:$DS78)=0,0,IF(SUM($D81:$DS81)=0,1,'Вводные'!$B$63)))*DB80+(1-(IF(SUM($D78:$DS78)=0,0,IF(SUM($D81:$DS81)=0,1,'Вводные'!$B$63))))*DB82)</x:f>
      </x:c>
      <x:c r="DC89" s="107" t="n">
        <x:f>'Вводные'!$N$91*((IF(SUM($D78:$DS78)=0,0,IF(SUM($D81:$DS81)=0,1,'Вводные'!$B$63)))*DC80+(1-(IF(SUM($D78:$DS78)=0,0,IF(SUM($D81:$DS81)=0,1,'Вводные'!$B$63))))*DC82)</x:f>
      </x:c>
      <x:c r="DD89" s="107" t="n">
        <x:f>'Вводные'!$N$91*((IF(SUM($D78:$DS78)=0,0,IF(SUM($D81:$DS81)=0,1,'Вводные'!$B$63)))*DD80+(1-(IF(SUM($D78:$DS78)=0,0,IF(SUM($D81:$DS81)=0,1,'Вводные'!$B$63))))*DD82)</x:f>
      </x:c>
      <x:c r="DE89" s="107" t="n">
        <x:f>'Вводные'!$N$91*((IF(SUM($D78:$DS78)=0,0,IF(SUM($D81:$DS81)=0,1,'Вводные'!$B$63)))*DE80+(1-(IF(SUM($D78:$DS78)=0,0,IF(SUM($D81:$DS81)=0,1,'Вводные'!$B$63))))*DE82)</x:f>
      </x:c>
      <x:c r="DF89" s="107" t="n">
        <x:f>'Вводные'!$N$91*((IF(SUM($D78:$DS78)=0,0,IF(SUM($D81:$DS81)=0,1,'Вводные'!$B$63)))*DF80+(1-(IF(SUM($D78:$DS78)=0,0,IF(SUM($D81:$DS81)=0,1,'Вводные'!$B$63))))*DF82)</x:f>
      </x:c>
      <x:c r="DG89" s="107" t="n">
        <x:f>'Вводные'!$N$91*((IF(SUM($D78:$DS78)=0,0,IF(SUM($D81:$DS81)=0,1,'Вводные'!$B$63)))*DG80+(1-(IF(SUM($D78:$DS78)=0,0,IF(SUM($D81:$DS81)=0,1,'Вводные'!$B$63))))*DG82)</x:f>
      </x:c>
      <x:c r="DH89" s="107" t="n">
        <x:f>'Вводные'!$N$91*((IF(SUM($D78:$DS78)=0,0,IF(SUM($D81:$DS81)=0,1,'Вводные'!$B$63)))*DH80+(1-(IF(SUM($D78:$DS78)=0,0,IF(SUM($D81:$DS81)=0,1,'Вводные'!$B$63))))*DH82)</x:f>
      </x:c>
      <x:c r="DI89" s="107" t="n">
        <x:f>'Вводные'!$N$91*((IF(SUM($D78:$DS78)=0,0,IF(SUM($D81:$DS81)=0,1,'Вводные'!$B$63)))*DI80+(1-(IF(SUM($D78:$DS78)=0,0,IF(SUM($D81:$DS81)=0,1,'Вводные'!$B$63))))*DI82)</x:f>
      </x:c>
      <x:c r="DJ89" s="107" t="n">
        <x:f>'Вводные'!$N$91*((IF(SUM($D78:$DS78)=0,0,IF(SUM($D81:$DS81)=0,1,'Вводные'!$B$63)))*DJ80+(1-(IF(SUM($D78:$DS78)=0,0,IF(SUM($D81:$DS81)=0,1,'Вводные'!$B$63))))*DJ82)</x:f>
      </x:c>
      <x:c r="DK89" s="107" t="n">
        <x:f>'Вводные'!$N$91*((IF(SUM($D78:$DS78)=0,0,IF(SUM($D81:$DS81)=0,1,'Вводные'!$B$63)))*DK80+(1-(IF(SUM($D78:$DS78)=0,0,IF(SUM($D81:$DS81)=0,1,'Вводные'!$B$63))))*DK82)</x:f>
      </x:c>
      <x:c r="DL89" s="107" t="n">
        <x:f>'Вводные'!$N$91*((IF(SUM($D78:$DS78)=0,0,IF(SUM($D81:$DS81)=0,1,'Вводные'!$B$63)))*DL80+(1-(IF(SUM($D78:$DS78)=0,0,IF(SUM($D81:$DS81)=0,1,'Вводные'!$B$63))))*DL82)</x:f>
      </x:c>
      <x:c r="DM89" s="107" t="n">
        <x:f>'Вводные'!$N$91*((IF(SUM($D78:$DS78)=0,0,IF(SUM($D81:$DS81)=0,1,'Вводные'!$B$63)))*DM80+(1-(IF(SUM($D78:$DS78)=0,0,IF(SUM($D81:$DS81)=0,1,'Вводные'!$B$63))))*DM82)</x:f>
      </x:c>
      <x:c r="DN89" s="107" t="n">
        <x:f>'Вводные'!$N$91*((IF(SUM($D78:$DS78)=0,0,IF(SUM($D81:$DS81)=0,1,'Вводные'!$B$63)))*DN80+(1-(IF(SUM($D78:$DS78)=0,0,IF(SUM($D81:$DS81)=0,1,'Вводные'!$B$63))))*DN82)</x:f>
      </x:c>
      <x:c r="DO89" s="107" t="n">
        <x:f>'Вводные'!$N$91*((IF(SUM($D78:$DS78)=0,0,IF(SUM($D81:$DS81)=0,1,'Вводные'!$B$63)))*DO80+(1-(IF(SUM($D78:$DS78)=0,0,IF(SUM($D81:$DS81)=0,1,'Вводные'!$B$63))))*DO82)</x:f>
      </x:c>
      <x:c r="DP89" s="107" t="n">
        <x:f>'Вводные'!$N$91*((IF(SUM($D78:$DS78)=0,0,IF(SUM($D81:$DS81)=0,1,'Вводные'!$B$63)))*DP80+(1-(IF(SUM($D78:$DS78)=0,0,IF(SUM($D81:$DS81)=0,1,'Вводные'!$B$63))))*DP82)</x:f>
      </x:c>
      <x:c r="DQ89" s="107" t="n">
        <x:f>'Вводные'!$N$91*((IF(SUM($D78:$DS78)=0,0,IF(SUM($D81:$DS81)=0,1,'Вводные'!$B$63)))*DQ80+(1-(IF(SUM($D78:$DS78)=0,0,IF(SUM($D81:$DS81)=0,1,'Вводные'!$B$63))))*DQ82)</x:f>
      </x:c>
      <x:c r="DR89" s="107" t="n">
        <x:f>'Вводные'!$N$91*((IF(SUM($D78:$DS78)=0,0,IF(SUM($D81:$DS81)=0,1,'Вводные'!$B$63)))*DR80+(1-(IF(SUM($D78:$DS78)=0,0,IF(SUM($D81:$DS81)=0,1,'Вводные'!$B$63))))*DR82)</x:f>
      </x:c>
      <x:c r="DS89" s="107" t="n">
        <x:f>'Вводные'!$N$91*((IF(SUM($D78:$DS78)=0,0,IF(SUM($D81:$DS81)=0,1,'Вводные'!$B$63)))*DS80+(1-(IF(SUM($D78:$DS78)=0,0,IF(SUM($D81:$DS81)=0,1,'Вводные'!$B$63))))*DS82)</x:f>
      </x:c>
    </x:row>
    <x:row r="90">
      <x:c r="A90" t="str">
        <x:v>Паркинг — цена</x:v>
      </x:c>
      <x:c r="B90" t="n">
        <x:f>IFERROR(B91*1000/B89,0)</x:f>
      </x:c>
      <x:c r="C90" t="str">
        <x:v>тыс. ₽/шт.</x:v>
      </x:c>
      <x:c r="D90" s="107" t="n">
        <x:f>IF(D89=0,0,'Вводные'!$B$61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0" s="107" t="n">
        <x:f>IF(E89=0,0,'Вводные'!$B$61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0" s="107" t="n">
        <x:f>IF(F89=0,0,'Вводные'!$B$61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0" s="107" t="n">
        <x:f>IF(G89=0,0,'Вводные'!$B$61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0" s="107" t="n">
        <x:f>IF(H89=0,0,'Вводные'!$B$61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0" s="107" t="n">
        <x:f>IF(I89=0,0,'Вводные'!$B$61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0" s="107" t="n">
        <x:f>IF(J89=0,0,'Вводные'!$B$61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0" s="107" t="n">
        <x:f>IF(K89=0,0,'Вводные'!$B$61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0" s="107" t="n">
        <x:f>IF(L89=0,0,'Вводные'!$B$61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0" s="107" t="n">
        <x:f>IF(M89=0,0,'Вводные'!$B$61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0" s="107" t="n">
        <x:f>IF(N89=0,0,'Вводные'!$B$61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0" s="107" t="n">
        <x:f>IF(O89=0,0,'Вводные'!$B$61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0" s="107" t="n">
        <x:f>IF(P89=0,0,'Вводные'!$B$61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0" s="107" t="n">
        <x:f>IF(Q89=0,0,'Вводные'!$B$61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0" s="107" t="n">
        <x:f>IF(R89=0,0,'Вводные'!$B$61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0" s="107" t="n">
        <x:f>IF(S89=0,0,'Вводные'!$B$61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0" s="107" t="n">
        <x:f>IF(T89=0,0,'Вводные'!$B$61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0" s="107" t="n">
        <x:f>IF(U89=0,0,'Вводные'!$B$61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0" s="107" t="n">
        <x:f>IF(V89=0,0,'Вводные'!$B$61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0" s="107" t="n">
        <x:f>IF(W89=0,0,'Вводные'!$B$61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0" s="107" t="n">
        <x:f>IF(X89=0,0,'Вводные'!$B$61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0" s="107" t="n">
        <x:f>IF(Y89=0,0,'Вводные'!$B$61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0" s="107" t="n">
        <x:f>IF(Z89=0,0,'Вводные'!$B$61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0" s="107" t="n">
        <x:f>IF(AA89=0,0,'Вводные'!$B$61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0" s="107" t="n">
        <x:f>IF(AB89=0,0,'Вводные'!$B$61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0" s="107" t="n">
        <x:f>IF(AC89=0,0,'Вводные'!$B$61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0" s="107" t="n">
        <x:f>IF(AD89=0,0,'Вводные'!$B$61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0" s="107" t="n">
        <x:f>IF(AE89=0,0,'Вводные'!$B$61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0" s="107" t="n">
        <x:f>IF(AF89=0,0,'Вводные'!$B$61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0" s="107" t="n">
        <x:f>IF(AG89=0,0,'Вводные'!$B$61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0" s="107" t="n">
        <x:f>IF(AH89=0,0,'Вводные'!$B$61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0" s="107" t="n">
        <x:f>IF(AI89=0,0,'Вводные'!$B$61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0" s="107" t="n">
        <x:f>IF(AJ89=0,0,'Вводные'!$B$61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0" s="107" t="n">
        <x:f>IF(AK89=0,0,'Вводные'!$B$61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0" s="107" t="n">
        <x:f>IF(AL89=0,0,'Вводные'!$B$61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0" s="107" t="n">
        <x:f>IF(AM89=0,0,'Вводные'!$B$61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0" s="107" t="n">
        <x:f>IF(AN89=0,0,'Вводные'!$B$61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0" s="107" t="n">
        <x:f>IF(AO89=0,0,'Вводные'!$B$61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0" s="107" t="n">
        <x:f>IF(AP89=0,0,'Вводные'!$B$61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0" s="107" t="n">
        <x:f>IF(AQ89=0,0,'Вводные'!$B$61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0" s="107" t="n">
        <x:f>IF(AR89=0,0,'Вводные'!$B$61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0" s="107" t="n">
        <x:f>IF(AS89=0,0,'Вводные'!$B$61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0" s="107" t="n">
        <x:f>IF(AT89=0,0,'Вводные'!$B$61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0" s="107" t="n">
        <x:f>IF(AU89=0,0,'Вводные'!$B$61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0" s="107" t="n">
        <x:f>IF(AV89=0,0,'Вводные'!$B$61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0" s="107" t="n">
        <x:f>IF(AW89=0,0,'Вводные'!$B$61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0" s="107" t="n">
        <x:f>IF(AX89=0,0,'Вводные'!$B$61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0" s="107" t="n">
        <x:f>IF(AY89=0,0,'Вводные'!$B$61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0" s="107" t="n">
        <x:f>IF(AZ89=0,0,'Вводные'!$B$61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0" s="107" t="n">
        <x:f>IF(BA89=0,0,'Вводные'!$B$61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0" s="107" t="n">
        <x:f>IF(BB89=0,0,'Вводные'!$B$61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0" s="107" t="n">
        <x:f>IF(BC89=0,0,'Вводные'!$B$61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0" s="107" t="n">
        <x:f>IF(BD89=0,0,'Вводные'!$B$61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0" s="107" t="n">
        <x:f>IF(BE89=0,0,'Вводные'!$B$61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0" s="107" t="n">
        <x:f>IF(BF89=0,0,'Вводные'!$B$61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0" s="107" t="n">
        <x:f>IF(BG89=0,0,'Вводные'!$B$61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0" s="107" t="n">
        <x:f>IF(BH89=0,0,'Вводные'!$B$61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0" s="107" t="n">
        <x:f>IF(BI89=0,0,'Вводные'!$B$61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0" s="107" t="n">
        <x:f>IF(BJ89=0,0,'Вводные'!$B$61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0" s="107" t="n">
        <x:f>IF(BK89=0,0,'Вводные'!$B$61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0" s="107" t="n">
        <x:f>IF(BL89=0,0,'Вводные'!$B$61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0" s="107" t="n">
        <x:f>IF(BM89=0,0,'Вводные'!$B$61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0" s="107" t="n">
        <x:f>IF(BN89=0,0,'Вводные'!$B$61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0" s="107" t="n">
        <x:f>IF(BO89=0,0,'Вводные'!$B$61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0" s="107" t="n">
        <x:f>IF(BP89=0,0,'Вводные'!$B$61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0" s="107" t="n">
        <x:f>IF(BQ89=0,0,'Вводные'!$B$61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0" s="107" t="n">
        <x:f>IF(BR89=0,0,'Вводные'!$B$61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0" s="107" t="n">
        <x:f>IF(BS89=0,0,'Вводные'!$B$61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0" s="107" t="n">
        <x:f>IF(BT89=0,0,'Вводные'!$B$61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0" s="107" t="n">
        <x:f>IF(BU89=0,0,'Вводные'!$B$61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0" s="107" t="n">
        <x:f>IF(BV89=0,0,'Вводные'!$B$61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0" s="107" t="n">
        <x:f>IF(BW89=0,0,'Вводные'!$B$61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0" s="107" t="n">
        <x:f>IF(BX89=0,0,'Вводные'!$B$61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0" s="107" t="n">
        <x:f>IF(BY89=0,0,'Вводные'!$B$61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0" s="107" t="n">
        <x:f>IF(BZ89=0,0,'Вводные'!$B$61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0" s="107" t="n">
        <x:f>IF(CA89=0,0,'Вводные'!$B$61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0" s="107" t="n">
        <x:f>IF(CB89=0,0,'Вводные'!$B$61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0" s="107" t="n">
        <x:f>IF(CC89=0,0,'Вводные'!$B$61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0" s="107" t="n">
        <x:f>IF(CD89=0,0,'Вводные'!$B$61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0" s="107" t="n">
        <x:f>IF(CE89=0,0,'Вводные'!$B$61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0" s="107" t="n">
        <x:f>IF(CF89=0,0,'Вводные'!$B$61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0" s="107" t="n">
        <x:f>IF(CG89=0,0,'Вводные'!$B$61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0" s="107" t="n">
        <x:f>IF(CH89=0,0,'Вводные'!$B$61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0" s="107" t="n">
        <x:f>IF(CI89=0,0,'Вводные'!$B$61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0" s="107" t="n">
        <x:f>IF(CJ89=0,0,'Вводные'!$B$61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0" s="107" t="n">
        <x:f>IF(CK89=0,0,'Вводные'!$B$61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0" s="107" t="n">
        <x:f>IF(CL89=0,0,'Вводные'!$B$61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0" s="107" t="n">
        <x:f>IF(CM89=0,0,'Вводные'!$B$61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0" s="107" t="n">
        <x:f>IF(CN89=0,0,'Вводные'!$B$61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0" s="107" t="n">
        <x:f>IF(CO89=0,0,'Вводные'!$B$61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0" s="107" t="n">
        <x:f>IF(CP89=0,0,'Вводные'!$B$61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0" s="107" t="n">
        <x:f>IF(CQ89=0,0,'Вводные'!$B$61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0" s="107" t="n">
        <x:f>IF(CR89=0,0,'Вводные'!$B$61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0" s="107" t="n">
        <x:f>IF(CS89=0,0,'Вводные'!$B$61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0" s="107" t="n">
        <x:f>IF(CT89=0,0,'Вводные'!$B$61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0" s="107" t="n">
        <x:f>IF(CU89=0,0,'Вводные'!$B$61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0" s="107" t="n">
        <x:f>IF(CV89=0,0,'Вводные'!$B$61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0" s="107" t="n">
        <x:f>IF(CW89=0,0,'Вводные'!$B$61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0" s="107" t="n">
        <x:f>IF(CX89=0,0,'Вводные'!$B$61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0" s="107" t="n">
        <x:f>IF(CY89=0,0,'Вводные'!$B$61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0" s="107" t="n">
        <x:f>IF(CZ89=0,0,'Вводные'!$B$61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0" s="107" t="n">
        <x:f>IF(DA89=0,0,'Вводные'!$B$61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0" s="107" t="n">
        <x:f>IF(DB89=0,0,'Вводные'!$B$61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0" s="107" t="n">
        <x:f>IF(DC89=0,0,'Вводные'!$B$61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0" s="107" t="n">
        <x:f>IF(DD89=0,0,'Вводные'!$B$61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0" s="107" t="n">
        <x:f>IF(DE89=0,0,'Вводные'!$B$61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0" s="107" t="n">
        <x:f>IF(DF89=0,0,'Вводные'!$B$61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0" s="107" t="n">
        <x:f>IF(DG89=0,0,'Вводные'!$B$61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0" s="107" t="n">
        <x:f>IF(DH89=0,0,'Вводные'!$B$61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0" s="107" t="n">
        <x:f>IF(DI89=0,0,'Вводные'!$B$61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0" s="107" t="n">
        <x:f>IF(DJ89=0,0,'Вводные'!$B$61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0" s="107" t="n">
        <x:f>IF(DK89=0,0,'Вводные'!$B$61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0" s="107" t="n">
        <x:f>IF(DL89=0,0,'Вводные'!$B$61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0" s="107" t="n">
        <x:f>IF(DM89=0,0,'Вводные'!$B$61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0" s="107" t="n">
        <x:f>IF(DN89=0,0,'Вводные'!$B$61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0" s="107" t="n">
        <x:f>IF(DO89=0,0,'Вводные'!$B$61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0" s="107" t="n">
        <x:f>IF(DP89=0,0,'Вводные'!$B$61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0" s="107" t="n">
        <x:f>IF(DQ89=0,0,'Вводные'!$B$61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0" s="107" t="n">
        <x:f>IF(DR89=0,0,'Вводные'!$B$61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0" s="107" t="n">
        <x:f>IF(DS89=0,0,'Вводные'!$B$61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1">
      <x:c r="A91" t="str">
        <x:v>Паркинг — выручка</x:v>
      </x:c>
      <x:c r="B91" t="n">
        <x:f>SUM(D91:DS91)</x:f>
      </x:c>
      <x:c r="C91" t="str">
        <x:v>млн ₽</x:v>
      </x:c>
      <x:c r="D91" s="107" t="n">
        <x:f>D89*D90/1000</x:f>
      </x:c>
      <x:c r="E91" s="107" t="n">
        <x:f>E89*E90/1000</x:f>
      </x:c>
      <x:c r="F91" s="107" t="n">
        <x:f>F89*F90/1000</x:f>
      </x:c>
      <x:c r="G91" s="107" t="n">
        <x:f>G89*G90/1000</x:f>
      </x:c>
      <x:c r="H91" s="107" t="n">
        <x:f>H89*H90/1000</x:f>
      </x:c>
      <x:c r="I91" s="107" t="n">
        <x:f>I89*I90/1000</x:f>
      </x:c>
      <x:c r="J91" s="107" t="n">
        <x:f>J89*J90/1000</x:f>
      </x:c>
      <x:c r="K91" s="107" t="n">
        <x:f>K89*K90/1000</x:f>
      </x:c>
      <x:c r="L91" s="107" t="n">
        <x:f>L89*L90/1000</x:f>
      </x:c>
      <x:c r="M91" s="107" t="n">
        <x:f>M89*M90/1000</x:f>
      </x:c>
      <x:c r="N91" s="107" t="n">
        <x:f>N89*N90/1000</x:f>
      </x:c>
      <x:c r="O91" s="107" t="n">
        <x:f>O89*O90/1000</x:f>
      </x:c>
      <x:c r="P91" s="107" t="n">
        <x:f>P89*P90/1000</x:f>
      </x:c>
      <x:c r="Q91" s="107" t="n">
        <x:f>Q89*Q90/1000</x:f>
      </x:c>
      <x:c r="R91" s="107" t="n">
        <x:f>R89*R90/1000</x:f>
      </x:c>
      <x:c r="S91" s="107" t="n">
        <x:f>S89*S90/1000</x:f>
      </x:c>
      <x:c r="T91" s="107" t="n">
        <x:f>T89*T90/1000</x:f>
      </x:c>
      <x:c r="U91" s="107" t="n">
        <x:f>U89*U90/1000</x:f>
      </x:c>
      <x:c r="V91" s="107" t="n">
        <x:f>V89*V90/1000</x:f>
      </x:c>
      <x:c r="W91" s="107" t="n">
        <x:f>W89*W90/1000</x:f>
      </x:c>
      <x:c r="X91" s="107" t="n">
        <x:f>X89*X90/1000</x:f>
      </x:c>
      <x:c r="Y91" s="107" t="n">
        <x:f>Y89*Y90/1000</x:f>
      </x:c>
      <x:c r="Z91" s="107" t="n">
        <x:f>Z89*Z90/1000</x:f>
      </x:c>
      <x:c r="AA91" s="107" t="n">
        <x:f>AA89*AA90/1000</x:f>
      </x:c>
      <x:c r="AB91" s="107" t="n">
        <x:f>AB89*AB90/1000</x:f>
      </x:c>
      <x:c r="AC91" s="107" t="n">
        <x:f>AC89*AC90/1000</x:f>
      </x:c>
      <x:c r="AD91" s="107" t="n">
        <x:f>AD89*AD90/1000</x:f>
      </x:c>
      <x:c r="AE91" s="107" t="n">
        <x:f>AE89*AE90/1000</x:f>
      </x:c>
      <x:c r="AF91" s="107" t="n">
        <x:f>AF89*AF90/1000</x:f>
      </x:c>
      <x:c r="AG91" s="107" t="n">
        <x:f>AG89*AG90/1000</x:f>
      </x:c>
      <x:c r="AH91" s="107" t="n">
        <x:f>AH89*AH90/1000</x:f>
      </x:c>
      <x:c r="AI91" s="107" t="n">
        <x:f>AI89*AI90/1000</x:f>
      </x:c>
      <x:c r="AJ91" s="107" t="n">
        <x:f>AJ89*AJ90/1000</x:f>
      </x:c>
      <x:c r="AK91" s="107" t="n">
        <x:f>AK89*AK90/1000</x:f>
      </x:c>
      <x:c r="AL91" s="107" t="n">
        <x:f>AL89*AL90/1000</x:f>
      </x:c>
      <x:c r="AM91" s="107" t="n">
        <x:f>AM89*AM90/1000</x:f>
      </x:c>
      <x:c r="AN91" s="107" t="n">
        <x:f>AN89*AN90/1000</x:f>
      </x:c>
      <x:c r="AO91" s="107" t="n">
        <x:f>AO89*AO90/1000</x:f>
      </x:c>
      <x:c r="AP91" s="107" t="n">
        <x:f>AP89*AP90/1000</x:f>
      </x:c>
      <x:c r="AQ91" s="107" t="n">
        <x:f>AQ89*AQ90/1000</x:f>
      </x:c>
      <x:c r="AR91" s="107" t="n">
        <x:f>AR89*AR90/1000</x:f>
      </x:c>
      <x:c r="AS91" s="107" t="n">
        <x:f>AS89*AS90/1000</x:f>
      </x:c>
      <x:c r="AT91" s="107" t="n">
        <x:f>AT89*AT90/1000</x:f>
      </x:c>
      <x:c r="AU91" s="107" t="n">
        <x:f>AU89*AU90/1000</x:f>
      </x:c>
      <x:c r="AV91" s="107" t="n">
        <x:f>AV89*AV90/1000</x:f>
      </x:c>
      <x:c r="AW91" s="107" t="n">
        <x:f>AW89*AW90/1000</x:f>
      </x:c>
      <x:c r="AX91" s="107" t="n">
        <x:f>AX89*AX90/1000</x:f>
      </x:c>
      <x:c r="AY91" s="107" t="n">
        <x:f>AY89*AY90/1000</x:f>
      </x:c>
      <x:c r="AZ91" s="107" t="n">
        <x:f>AZ89*AZ90/1000</x:f>
      </x:c>
      <x:c r="BA91" s="107" t="n">
        <x:f>BA89*BA90/1000</x:f>
      </x:c>
      <x:c r="BB91" s="107" t="n">
        <x:f>BB89*BB90/1000</x:f>
      </x:c>
      <x:c r="BC91" s="107" t="n">
        <x:f>BC89*BC90/1000</x:f>
      </x:c>
      <x:c r="BD91" s="107" t="n">
        <x:f>BD89*BD90/1000</x:f>
      </x:c>
      <x:c r="BE91" s="107" t="n">
        <x:f>BE89*BE90/1000</x:f>
      </x:c>
      <x:c r="BF91" s="107" t="n">
        <x:f>BF89*BF90/1000</x:f>
      </x:c>
      <x:c r="BG91" s="107" t="n">
        <x:f>BG89*BG90/1000</x:f>
      </x:c>
      <x:c r="BH91" s="107" t="n">
        <x:f>BH89*BH90/1000</x:f>
      </x:c>
      <x:c r="BI91" s="107" t="n">
        <x:f>BI89*BI90/1000</x:f>
      </x:c>
      <x:c r="BJ91" s="107" t="n">
        <x:f>BJ89*BJ90/1000</x:f>
      </x:c>
      <x:c r="BK91" s="107" t="n">
        <x:f>BK89*BK90/1000</x:f>
      </x:c>
      <x:c r="BL91" s="107" t="n">
        <x:f>BL89*BL90/1000</x:f>
      </x:c>
      <x:c r="BM91" s="107" t="n">
        <x:f>BM89*BM90/1000</x:f>
      </x:c>
      <x:c r="BN91" s="107" t="n">
        <x:f>BN89*BN90/1000</x:f>
      </x:c>
      <x:c r="BO91" s="107" t="n">
        <x:f>BO89*BO90/1000</x:f>
      </x:c>
      <x:c r="BP91" s="107" t="n">
        <x:f>BP89*BP90/1000</x:f>
      </x:c>
      <x:c r="BQ91" s="107" t="n">
        <x:f>BQ89*BQ90/1000</x:f>
      </x:c>
      <x:c r="BR91" s="107" t="n">
        <x:f>BR89*BR90/1000</x:f>
      </x:c>
      <x:c r="BS91" s="107" t="n">
        <x:f>BS89*BS90/1000</x:f>
      </x:c>
      <x:c r="BT91" s="107" t="n">
        <x:f>BT89*BT90/1000</x:f>
      </x:c>
      <x:c r="BU91" s="107" t="n">
        <x:f>BU89*BU90/1000</x:f>
      </x:c>
      <x:c r="BV91" s="107" t="n">
        <x:f>BV89*BV90/1000</x:f>
      </x:c>
      <x:c r="BW91" s="107" t="n">
        <x:f>BW89*BW90/1000</x:f>
      </x:c>
      <x:c r="BX91" s="107" t="n">
        <x:f>BX89*BX90/1000</x:f>
      </x:c>
      <x:c r="BY91" s="107" t="n">
        <x:f>BY89*BY90/1000</x:f>
      </x:c>
      <x:c r="BZ91" s="107" t="n">
        <x:f>BZ89*BZ90/1000</x:f>
      </x:c>
      <x:c r="CA91" s="107" t="n">
        <x:f>CA89*CA90/1000</x:f>
      </x:c>
      <x:c r="CB91" s="107" t="n">
        <x:f>CB89*CB90/1000</x:f>
      </x:c>
      <x:c r="CC91" s="107" t="n">
        <x:f>CC89*CC90/1000</x:f>
      </x:c>
      <x:c r="CD91" s="107" t="n">
        <x:f>CD89*CD90/1000</x:f>
      </x:c>
      <x:c r="CE91" s="107" t="n">
        <x:f>CE89*CE90/1000</x:f>
      </x:c>
      <x:c r="CF91" s="107" t="n">
        <x:f>CF89*CF90/1000</x:f>
      </x:c>
      <x:c r="CG91" s="107" t="n">
        <x:f>CG89*CG90/1000</x:f>
      </x:c>
      <x:c r="CH91" s="107" t="n">
        <x:f>CH89*CH90/1000</x:f>
      </x:c>
      <x:c r="CI91" s="107" t="n">
        <x:f>CI89*CI90/1000</x:f>
      </x:c>
      <x:c r="CJ91" s="107" t="n">
        <x:f>CJ89*CJ90/1000</x:f>
      </x:c>
      <x:c r="CK91" s="107" t="n">
        <x:f>CK89*CK90/1000</x:f>
      </x:c>
      <x:c r="CL91" s="107" t="n">
        <x:f>CL89*CL90/1000</x:f>
      </x:c>
      <x:c r="CM91" s="107" t="n">
        <x:f>CM89*CM90/1000</x:f>
      </x:c>
      <x:c r="CN91" s="107" t="n">
        <x:f>CN89*CN90/1000</x:f>
      </x:c>
      <x:c r="CO91" s="107" t="n">
        <x:f>CO89*CO90/1000</x:f>
      </x:c>
      <x:c r="CP91" s="107" t="n">
        <x:f>CP89*CP90/1000</x:f>
      </x:c>
      <x:c r="CQ91" s="107" t="n">
        <x:f>CQ89*CQ90/1000</x:f>
      </x:c>
      <x:c r="CR91" s="107" t="n">
        <x:f>CR89*CR90/1000</x:f>
      </x:c>
      <x:c r="CS91" s="107" t="n">
        <x:f>CS89*CS90/1000</x:f>
      </x:c>
      <x:c r="CT91" s="107" t="n">
        <x:f>CT89*CT90/1000</x:f>
      </x:c>
      <x:c r="CU91" s="107" t="n">
        <x:f>CU89*CU90/1000</x:f>
      </x:c>
      <x:c r="CV91" s="107" t="n">
        <x:f>CV89*CV90/1000</x:f>
      </x:c>
      <x:c r="CW91" s="107" t="n">
        <x:f>CW89*CW90/1000</x:f>
      </x:c>
      <x:c r="CX91" s="107" t="n">
        <x:f>CX89*CX90/1000</x:f>
      </x:c>
      <x:c r="CY91" s="107" t="n">
        <x:f>CY89*CY90/1000</x:f>
      </x:c>
      <x:c r="CZ91" s="107" t="n">
        <x:f>CZ89*CZ90/1000</x:f>
      </x:c>
      <x:c r="DA91" s="107" t="n">
        <x:f>DA89*DA90/1000</x:f>
      </x:c>
      <x:c r="DB91" s="107" t="n">
        <x:f>DB89*DB90/1000</x:f>
      </x:c>
      <x:c r="DC91" s="107" t="n">
        <x:f>DC89*DC90/1000</x:f>
      </x:c>
      <x:c r="DD91" s="107" t="n">
        <x:f>DD89*DD90/1000</x:f>
      </x:c>
      <x:c r="DE91" s="107" t="n">
        <x:f>DE89*DE90/1000</x:f>
      </x:c>
      <x:c r="DF91" s="107" t="n">
        <x:f>DF89*DF90/1000</x:f>
      </x:c>
      <x:c r="DG91" s="107" t="n">
        <x:f>DG89*DG90/1000</x:f>
      </x:c>
      <x:c r="DH91" s="107" t="n">
        <x:f>DH89*DH90/1000</x:f>
      </x:c>
      <x:c r="DI91" s="107" t="n">
        <x:f>DI89*DI90/1000</x:f>
      </x:c>
      <x:c r="DJ91" s="107" t="n">
        <x:f>DJ89*DJ90/1000</x:f>
      </x:c>
      <x:c r="DK91" s="107" t="n">
        <x:f>DK89*DK90/1000</x:f>
      </x:c>
      <x:c r="DL91" s="107" t="n">
        <x:f>DL89*DL90/1000</x:f>
      </x:c>
      <x:c r="DM91" s="107" t="n">
        <x:f>DM89*DM90/1000</x:f>
      </x:c>
      <x:c r="DN91" s="107" t="n">
        <x:f>DN89*DN90/1000</x:f>
      </x:c>
      <x:c r="DO91" s="107" t="n">
        <x:f>DO89*DO90/1000</x:f>
      </x:c>
      <x:c r="DP91" s="107" t="n">
        <x:f>DP89*DP90/1000</x:f>
      </x:c>
      <x:c r="DQ91" s="107" t="n">
        <x:f>DQ89*DQ90/1000</x:f>
      </x:c>
      <x:c r="DR91" s="107" t="n">
        <x:f>DR89*DR90/1000</x:f>
      </x:c>
      <x:c r="DS91" s="107" t="n">
        <x:f>DS89*DS90/1000</x:f>
      </x:c>
    </x:row>
    <x:row r="92">
      <x:c r="A92" t="str">
        <x:v>Кладовые — объём</x:v>
      </x:c>
      <x:c r="B92" t="n">
        <x:f>SUM(D92:DS92)</x:f>
      </x:c>
      <x:c r="C92" t="str">
        <x:v>шт.</x:v>
      </x:c>
      <x:c r="D92" s="107" t="n">
        <x:f>'Вводные'!$O$91*((IF(SUM($D78:$DS78)=0,0,IF(SUM($D81:$DS81)=0,1,'Вводные'!$B$63)))*D80+(1-(IF(SUM($D78:$DS78)=0,0,IF(SUM($D81:$DS81)=0,1,'Вводные'!$B$63))))*D82)</x:f>
      </x:c>
      <x:c r="E92" s="107" t="n">
        <x:f>'Вводные'!$O$91*((IF(SUM($D78:$DS78)=0,0,IF(SUM($D81:$DS81)=0,1,'Вводные'!$B$63)))*E80+(1-(IF(SUM($D78:$DS78)=0,0,IF(SUM($D81:$DS81)=0,1,'Вводные'!$B$63))))*E82)</x:f>
      </x:c>
      <x:c r="F92" s="107" t="n">
        <x:f>'Вводные'!$O$91*((IF(SUM($D78:$DS78)=0,0,IF(SUM($D81:$DS81)=0,1,'Вводные'!$B$63)))*F80+(1-(IF(SUM($D78:$DS78)=0,0,IF(SUM($D81:$DS81)=0,1,'Вводные'!$B$63))))*F82)</x:f>
      </x:c>
      <x:c r="G92" s="107" t="n">
        <x:f>'Вводные'!$O$91*((IF(SUM($D78:$DS78)=0,0,IF(SUM($D81:$DS81)=0,1,'Вводные'!$B$63)))*G80+(1-(IF(SUM($D78:$DS78)=0,0,IF(SUM($D81:$DS81)=0,1,'Вводные'!$B$63))))*G82)</x:f>
      </x:c>
      <x:c r="H92" s="107" t="n">
        <x:f>'Вводные'!$O$91*((IF(SUM($D78:$DS78)=0,0,IF(SUM($D81:$DS81)=0,1,'Вводные'!$B$63)))*H80+(1-(IF(SUM($D78:$DS78)=0,0,IF(SUM($D81:$DS81)=0,1,'Вводные'!$B$63))))*H82)</x:f>
      </x:c>
      <x:c r="I92" s="107" t="n">
        <x:f>'Вводные'!$O$91*((IF(SUM($D78:$DS78)=0,0,IF(SUM($D81:$DS81)=0,1,'Вводные'!$B$63)))*I80+(1-(IF(SUM($D78:$DS78)=0,0,IF(SUM($D81:$DS81)=0,1,'Вводные'!$B$63))))*I82)</x:f>
      </x:c>
      <x:c r="J92" s="107" t="n">
        <x:f>'Вводные'!$O$91*((IF(SUM($D78:$DS78)=0,0,IF(SUM($D81:$DS81)=0,1,'Вводные'!$B$63)))*J80+(1-(IF(SUM($D78:$DS78)=0,0,IF(SUM($D81:$DS81)=0,1,'Вводные'!$B$63))))*J82)</x:f>
      </x:c>
      <x:c r="K92" s="107" t="n">
        <x:f>'Вводные'!$O$91*((IF(SUM($D78:$DS78)=0,0,IF(SUM($D81:$DS81)=0,1,'Вводные'!$B$63)))*K80+(1-(IF(SUM($D78:$DS78)=0,0,IF(SUM($D81:$DS81)=0,1,'Вводные'!$B$63))))*K82)</x:f>
      </x:c>
      <x:c r="L92" s="107" t="n">
        <x:f>'Вводные'!$O$91*((IF(SUM($D78:$DS78)=0,0,IF(SUM($D81:$DS81)=0,1,'Вводные'!$B$63)))*L80+(1-(IF(SUM($D78:$DS78)=0,0,IF(SUM($D81:$DS81)=0,1,'Вводные'!$B$63))))*L82)</x:f>
      </x:c>
      <x:c r="M92" s="107" t="n">
        <x:f>'Вводные'!$O$91*((IF(SUM($D78:$DS78)=0,0,IF(SUM($D81:$DS81)=0,1,'Вводные'!$B$63)))*M80+(1-(IF(SUM($D78:$DS78)=0,0,IF(SUM($D81:$DS81)=0,1,'Вводные'!$B$63))))*M82)</x:f>
      </x:c>
      <x:c r="N92" s="107" t="n">
        <x:f>'Вводные'!$O$91*((IF(SUM($D78:$DS78)=0,0,IF(SUM($D81:$DS81)=0,1,'Вводные'!$B$63)))*N80+(1-(IF(SUM($D78:$DS78)=0,0,IF(SUM($D81:$DS81)=0,1,'Вводные'!$B$63))))*N82)</x:f>
      </x:c>
      <x:c r="O92" s="107" t="n">
        <x:f>'Вводные'!$O$91*((IF(SUM($D78:$DS78)=0,0,IF(SUM($D81:$DS81)=0,1,'Вводные'!$B$63)))*O80+(1-(IF(SUM($D78:$DS78)=0,0,IF(SUM($D81:$DS81)=0,1,'Вводные'!$B$63))))*O82)</x:f>
      </x:c>
      <x:c r="P92" s="107" t="n">
        <x:f>'Вводные'!$O$91*((IF(SUM($D78:$DS78)=0,0,IF(SUM($D81:$DS81)=0,1,'Вводные'!$B$63)))*P80+(1-(IF(SUM($D78:$DS78)=0,0,IF(SUM($D81:$DS81)=0,1,'Вводные'!$B$63))))*P82)</x:f>
      </x:c>
      <x:c r="Q92" s="107" t="n">
        <x:f>'Вводные'!$O$91*((IF(SUM($D78:$DS78)=0,0,IF(SUM($D81:$DS81)=0,1,'Вводные'!$B$63)))*Q80+(1-(IF(SUM($D78:$DS78)=0,0,IF(SUM($D81:$DS81)=0,1,'Вводные'!$B$63))))*Q82)</x:f>
      </x:c>
      <x:c r="R92" s="107" t="n">
        <x:f>'Вводные'!$O$91*((IF(SUM($D78:$DS78)=0,0,IF(SUM($D81:$DS81)=0,1,'Вводные'!$B$63)))*R80+(1-(IF(SUM($D78:$DS78)=0,0,IF(SUM($D81:$DS81)=0,1,'Вводные'!$B$63))))*R82)</x:f>
      </x:c>
      <x:c r="S92" s="107" t="n">
        <x:f>'Вводные'!$O$91*((IF(SUM($D78:$DS78)=0,0,IF(SUM($D81:$DS81)=0,1,'Вводные'!$B$63)))*S80+(1-(IF(SUM($D78:$DS78)=0,0,IF(SUM($D81:$DS81)=0,1,'Вводные'!$B$63))))*S82)</x:f>
      </x:c>
      <x:c r="T92" s="107" t="n">
        <x:f>'Вводные'!$O$91*((IF(SUM($D78:$DS78)=0,0,IF(SUM($D81:$DS81)=0,1,'Вводные'!$B$63)))*T80+(1-(IF(SUM($D78:$DS78)=0,0,IF(SUM($D81:$DS81)=0,1,'Вводные'!$B$63))))*T82)</x:f>
      </x:c>
      <x:c r="U92" s="107" t="n">
        <x:f>'Вводные'!$O$91*((IF(SUM($D78:$DS78)=0,0,IF(SUM($D81:$DS81)=0,1,'Вводные'!$B$63)))*U80+(1-(IF(SUM($D78:$DS78)=0,0,IF(SUM($D81:$DS81)=0,1,'Вводные'!$B$63))))*U82)</x:f>
      </x:c>
      <x:c r="V92" s="107" t="n">
        <x:f>'Вводные'!$O$91*((IF(SUM($D78:$DS78)=0,0,IF(SUM($D81:$DS81)=0,1,'Вводные'!$B$63)))*V80+(1-(IF(SUM($D78:$DS78)=0,0,IF(SUM($D81:$DS81)=0,1,'Вводные'!$B$63))))*V82)</x:f>
      </x:c>
      <x:c r="W92" s="107" t="n">
        <x:f>'Вводные'!$O$91*((IF(SUM($D78:$DS78)=0,0,IF(SUM($D81:$DS81)=0,1,'Вводные'!$B$63)))*W80+(1-(IF(SUM($D78:$DS78)=0,0,IF(SUM($D81:$DS81)=0,1,'Вводные'!$B$63))))*W82)</x:f>
      </x:c>
      <x:c r="X92" s="107" t="n">
        <x:f>'Вводные'!$O$91*((IF(SUM($D78:$DS78)=0,0,IF(SUM($D81:$DS81)=0,1,'Вводные'!$B$63)))*X80+(1-(IF(SUM($D78:$DS78)=0,0,IF(SUM($D81:$DS81)=0,1,'Вводные'!$B$63))))*X82)</x:f>
      </x:c>
      <x:c r="Y92" s="107" t="n">
        <x:f>'Вводные'!$O$91*((IF(SUM($D78:$DS78)=0,0,IF(SUM($D81:$DS81)=0,1,'Вводные'!$B$63)))*Y80+(1-(IF(SUM($D78:$DS78)=0,0,IF(SUM($D81:$DS81)=0,1,'Вводные'!$B$63))))*Y82)</x:f>
      </x:c>
      <x:c r="Z92" s="107" t="n">
        <x:f>'Вводные'!$O$91*((IF(SUM($D78:$DS78)=0,0,IF(SUM($D81:$DS81)=0,1,'Вводные'!$B$63)))*Z80+(1-(IF(SUM($D78:$DS78)=0,0,IF(SUM($D81:$DS81)=0,1,'Вводные'!$B$63))))*Z82)</x:f>
      </x:c>
      <x:c r="AA92" s="107" t="n">
        <x:f>'Вводные'!$O$91*((IF(SUM($D78:$DS78)=0,0,IF(SUM($D81:$DS81)=0,1,'Вводные'!$B$63)))*AA80+(1-(IF(SUM($D78:$DS78)=0,0,IF(SUM($D81:$DS81)=0,1,'Вводные'!$B$63))))*AA82)</x:f>
      </x:c>
      <x:c r="AB92" s="107" t="n">
        <x:f>'Вводные'!$O$91*((IF(SUM($D78:$DS78)=0,0,IF(SUM($D81:$DS81)=0,1,'Вводные'!$B$63)))*AB80+(1-(IF(SUM($D78:$DS78)=0,0,IF(SUM($D81:$DS81)=0,1,'Вводные'!$B$63))))*AB82)</x:f>
      </x:c>
      <x:c r="AC92" s="107" t="n">
        <x:f>'Вводные'!$O$91*((IF(SUM($D78:$DS78)=0,0,IF(SUM($D81:$DS81)=0,1,'Вводные'!$B$63)))*AC80+(1-(IF(SUM($D78:$DS78)=0,0,IF(SUM($D81:$DS81)=0,1,'Вводные'!$B$63))))*AC82)</x:f>
      </x:c>
      <x:c r="AD92" s="107" t="n">
        <x:f>'Вводные'!$O$91*((IF(SUM($D78:$DS78)=0,0,IF(SUM($D81:$DS81)=0,1,'Вводные'!$B$63)))*AD80+(1-(IF(SUM($D78:$DS78)=0,0,IF(SUM($D81:$DS81)=0,1,'Вводные'!$B$63))))*AD82)</x:f>
      </x:c>
      <x:c r="AE92" s="107" t="n">
        <x:f>'Вводные'!$O$91*((IF(SUM($D78:$DS78)=0,0,IF(SUM($D81:$DS81)=0,1,'Вводные'!$B$63)))*AE80+(1-(IF(SUM($D78:$DS78)=0,0,IF(SUM($D81:$DS81)=0,1,'Вводные'!$B$63))))*AE82)</x:f>
      </x:c>
      <x:c r="AF92" s="107" t="n">
        <x:f>'Вводные'!$O$91*((IF(SUM($D78:$DS78)=0,0,IF(SUM($D81:$DS81)=0,1,'Вводные'!$B$63)))*AF80+(1-(IF(SUM($D78:$DS78)=0,0,IF(SUM($D81:$DS81)=0,1,'Вводные'!$B$63))))*AF82)</x:f>
      </x:c>
      <x:c r="AG92" s="107" t="n">
        <x:f>'Вводные'!$O$91*((IF(SUM($D78:$DS78)=0,0,IF(SUM($D81:$DS81)=0,1,'Вводные'!$B$63)))*AG80+(1-(IF(SUM($D78:$DS78)=0,0,IF(SUM($D81:$DS81)=0,1,'Вводные'!$B$63))))*AG82)</x:f>
      </x:c>
      <x:c r="AH92" s="107" t="n">
        <x:f>'Вводные'!$O$91*((IF(SUM($D78:$DS78)=0,0,IF(SUM($D81:$DS81)=0,1,'Вводные'!$B$63)))*AH80+(1-(IF(SUM($D78:$DS78)=0,0,IF(SUM($D81:$DS81)=0,1,'Вводные'!$B$63))))*AH82)</x:f>
      </x:c>
      <x:c r="AI92" s="107" t="n">
        <x:f>'Вводные'!$O$91*((IF(SUM($D78:$DS78)=0,0,IF(SUM($D81:$DS81)=0,1,'Вводные'!$B$63)))*AI80+(1-(IF(SUM($D78:$DS78)=0,0,IF(SUM($D81:$DS81)=0,1,'Вводные'!$B$63))))*AI82)</x:f>
      </x:c>
      <x:c r="AJ92" s="107" t="n">
        <x:f>'Вводные'!$O$91*((IF(SUM($D78:$DS78)=0,0,IF(SUM($D81:$DS81)=0,1,'Вводные'!$B$63)))*AJ80+(1-(IF(SUM($D78:$DS78)=0,0,IF(SUM($D81:$DS81)=0,1,'Вводные'!$B$63))))*AJ82)</x:f>
      </x:c>
      <x:c r="AK92" s="107" t="n">
        <x:f>'Вводные'!$O$91*((IF(SUM($D78:$DS78)=0,0,IF(SUM($D81:$DS81)=0,1,'Вводные'!$B$63)))*AK80+(1-(IF(SUM($D78:$DS78)=0,0,IF(SUM($D81:$DS81)=0,1,'Вводные'!$B$63))))*AK82)</x:f>
      </x:c>
      <x:c r="AL92" s="107" t="n">
        <x:f>'Вводные'!$O$91*((IF(SUM($D78:$DS78)=0,0,IF(SUM($D81:$DS81)=0,1,'Вводные'!$B$63)))*AL80+(1-(IF(SUM($D78:$DS78)=0,0,IF(SUM($D81:$DS81)=0,1,'Вводные'!$B$63))))*AL82)</x:f>
      </x:c>
      <x:c r="AM92" s="107" t="n">
        <x:f>'Вводные'!$O$91*((IF(SUM($D78:$DS78)=0,0,IF(SUM($D81:$DS81)=0,1,'Вводные'!$B$63)))*AM80+(1-(IF(SUM($D78:$DS78)=0,0,IF(SUM($D81:$DS81)=0,1,'Вводные'!$B$63))))*AM82)</x:f>
      </x:c>
      <x:c r="AN92" s="107" t="n">
        <x:f>'Вводные'!$O$91*((IF(SUM($D78:$DS78)=0,0,IF(SUM($D81:$DS81)=0,1,'Вводные'!$B$63)))*AN80+(1-(IF(SUM($D78:$DS78)=0,0,IF(SUM($D81:$DS81)=0,1,'Вводные'!$B$63))))*AN82)</x:f>
      </x:c>
      <x:c r="AO92" s="107" t="n">
        <x:f>'Вводные'!$O$91*((IF(SUM($D78:$DS78)=0,0,IF(SUM($D81:$DS81)=0,1,'Вводные'!$B$63)))*AO80+(1-(IF(SUM($D78:$DS78)=0,0,IF(SUM($D81:$DS81)=0,1,'Вводные'!$B$63))))*AO82)</x:f>
      </x:c>
      <x:c r="AP92" s="107" t="n">
        <x:f>'Вводные'!$O$91*((IF(SUM($D78:$DS78)=0,0,IF(SUM($D81:$DS81)=0,1,'Вводные'!$B$63)))*AP80+(1-(IF(SUM($D78:$DS78)=0,0,IF(SUM($D81:$DS81)=0,1,'Вводные'!$B$63))))*AP82)</x:f>
      </x:c>
      <x:c r="AQ92" s="107" t="n">
        <x:f>'Вводные'!$O$91*((IF(SUM($D78:$DS78)=0,0,IF(SUM($D81:$DS81)=0,1,'Вводные'!$B$63)))*AQ80+(1-(IF(SUM($D78:$DS78)=0,0,IF(SUM($D81:$DS81)=0,1,'Вводные'!$B$63))))*AQ82)</x:f>
      </x:c>
      <x:c r="AR92" s="107" t="n">
        <x:f>'Вводные'!$O$91*((IF(SUM($D78:$DS78)=0,0,IF(SUM($D81:$DS81)=0,1,'Вводные'!$B$63)))*AR80+(1-(IF(SUM($D78:$DS78)=0,0,IF(SUM($D81:$DS81)=0,1,'Вводные'!$B$63))))*AR82)</x:f>
      </x:c>
      <x:c r="AS92" s="107" t="n">
        <x:f>'Вводные'!$O$91*((IF(SUM($D78:$DS78)=0,0,IF(SUM($D81:$DS81)=0,1,'Вводные'!$B$63)))*AS80+(1-(IF(SUM($D78:$DS78)=0,0,IF(SUM($D81:$DS81)=0,1,'Вводные'!$B$63))))*AS82)</x:f>
      </x:c>
      <x:c r="AT92" s="107" t="n">
        <x:f>'Вводные'!$O$91*((IF(SUM($D78:$DS78)=0,0,IF(SUM($D81:$DS81)=0,1,'Вводные'!$B$63)))*AT80+(1-(IF(SUM($D78:$DS78)=0,0,IF(SUM($D81:$DS81)=0,1,'Вводные'!$B$63))))*AT82)</x:f>
      </x:c>
      <x:c r="AU92" s="107" t="n">
        <x:f>'Вводные'!$O$91*((IF(SUM($D78:$DS78)=0,0,IF(SUM($D81:$DS81)=0,1,'Вводные'!$B$63)))*AU80+(1-(IF(SUM($D78:$DS78)=0,0,IF(SUM($D81:$DS81)=0,1,'Вводные'!$B$63))))*AU82)</x:f>
      </x:c>
      <x:c r="AV92" s="107" t="n">
        <x:f>'Вводные'!$O$91*((IF(SUM($D78:$DS78)=0,0,IF(SUM($D81:$DS81)=0,1,'Вводные'!$B$63)))*AV80+(1-(IF(SUM($D78:$DS78)=0,0,IF(SUM($D81:$DS81)=0,1,'Вводные'!$B$63))))*AV82)</x:f>
      </x:c>
      <x:c r="AW92" s="107" t="n">
        <x:f>'Вводные'!$O$91*((IF(SUM($D78:$DS78)=0,0,IF(SUM($D81:$DS81)=0,1,'Вводные'!$B$63)))*AW80+(1-(IF(SUM($D78:$DS78)=0,0,IF(SUM($D81:$DS81)=0,1,'Вводные'!$B$63))))*AW82)</x:f>
      </x:c>
      <x:c r="AX92" s="107" t="n">
        <x:f>'Вводные'!$O$91*((IF(SUM($D78:$DS78)=0,0,IF(SUM($D81:$DS81)=0,1,'Вводные'!$B$63)))*AX80+(1-(IF(SUM($D78:$DS78)=0,0,IF(SUM($D81:$DS81)=0,1,'Вводные'!$B$63))))*AX82)</x:f>
      </x:c>
      <x:c r="AY92" s="107" t="n">
        <x:f>'Вводные'!$O$91*((IF(SUM($D78:$DS78)=0,0,IF(SUM($D81:$DS81)=0,1,'Вводные'!$B$63)))*AY80+(1-(IF(SUM($D78:$DS78)=0,0,IF(SUM($D81:$DS81)=0,1,'Вводные'!$B$63))))*AY82)</x:f>
      </x:c>
      <x:c r="AZ92" s="107" t="n">
        <x:f>'Вводные'!$O$91*((IF(SUM($D78:$DS78)=0,0,IF(SUM($D81:$DS81)=0,1,'Вводные'!$B$63)))*AZ80+(1-(IF(SUM($D78:$DS78)=0,0,IF(SUM($D81:$DS81)=0,1,'Вводные'!$B$63))))*AZ82)</x:f>
      </x:c>
      <x:c r="BA92" s="107" t="n">
        <x:f>'Вводные'!$O$91*((IF(SUM($D78:$DS78)=0,0,IF(SUM($D81:$DS81)=0,1,'Вводные'!$B$63)))*BA80+(1-(IF(SUM($D78:$DS78)=0,0,IF(SUM($D81:$DS81)=0,1,'Вводные'!$B$63))))*BA82)</x:f>
      </x:c>
      <x:c r="BB92" s="107" t="n">
        <x:f>'Вводные'!$O$91*((IF(SUM($D78:$DS78)=0,0,IF(SUM($D81:$DS81)=0,1,'Вводные'!$B$63)))*BB80+(1-(IF(SUM($D78:$DS78)=0,0,IF(SUM($D81:$DS81)=0,1,'Вводные'!$B$63))))*BB82)</x:f>
      </x:c>
      <x:c r="BC92" s="107" t="n">
        <x:f>'Вводные'!$O$91*((IF(SUM($D78:$DS78)=0,0,IF(SUM($D81:$DS81)=0,1,'Вводные'!$B$63)))*BC80+(1-(IF(SUM($D78:$DS78)=0,0,IF(SUM($D81:$DS81)=0,1,'Вводные'!$B$63))))*BC82)</x:f>
      </x:c>
      <x:c r="BD92" s="107" t="n">
        <x:f>'Вводные'!$O$91*((IF(SUM($D78:$DS78)=0,0,IF(SUM($D81:$DS81)=0,1,'Вводные'!$B$63)))*BD80+(1-(IF(SUM($D78:$DS78)=0,0,IF(SUM($D81:$DS81)=0,1,'Вводные'!$B$63))))*BD82)</x:f>
      </x:c>
      <x:c r="BE92" s="107" t="n">
        <x:f>'Вводные'!$O$91*((IF(SUM($D78:$DS78)=0,0,IF(SUM($D81:$DS81)=0,1,'Вводные'!$B$63)))*BE80+(1-(IF(SUM($D78:$DS78)=0,0,IF(SUM($D81:$DS81)=0,1,'Вводные'!$B$63))))*BE82)</x:f>
      </x:c>
      <x:c r="BF92" s="107" t="n">
        <x:f>'Вводные'!$O$91*((IF(SUM($D78:$DS78)=0,0,IF(SUM($D81:$DS81)=0,1,'Вводные'!$B$63)))*BF80+(1-(IF(SUM($D78:$DS78)=0,0,IF(SUM($D81:$DS81)=0,1,'Вводные'!$B$63))))*BF82)</x:f>
      </x:c>
      <x:c r="BG92" s="107" t="n">
        <x:f>'Вводные'!$O$91*((IF(SUM($D78:$DS78)=0,0,IF(SUM($D81:$DS81)=0,1,'Вводные'!$B$63)))*BG80+(1-(IF(SUM($D78:$DS78)=0,0,IF(SUM($D81:$DS81)=0,1,'Вводные'!$B$63))))*BG82)</x:f>
      </x:c>
      <x:c r="BH92" s="107" t="n">
        <x:f>'Вводные'!$O$91*((IF(SUM($D78:$DS78)=0,0,IF(SUM($D81:$DS81)=0,1,'Вводные'!$B$63)))*BH80+(1-(IF(SUM($D78:$DS78)=0,0,IF(SUM($D81:$DS81)=0,1,'Вводные'!$B$63))))*BH82)</x:f>
      </x:c>
      <x:c r="BI92" s="107" t="n">
        <x:f>'Вводные'!$O$91*((IF(SUM($D78:$DS78)=0,0,IF(SUM($D81:$DS81)=0,1,'Вводные'!$B$63)))*BI80+(1-(IF(SUM($D78:$DS78)=0,0,IF(SUM($D81:$DS81)=0,1,'Вводные'!$B$63))))*BI82)</x:f>
      </x:c>
      <x:c r="BJ92" s="107" t="n">
        <x:f>'Вводные'!$O$91*((IF(SUM($D78:$DS78)=0,0,IF(SUM($D81:$DS81)=0,1,'Вводные'!$B$63)))*BJ80+(1-(IF(SUM($D78:$DS78)=0,0,IF(SUM($D81:$DS81)=0,1,'Вводные'!$B$63))))*BJ82)</x:f>
      </x:c>
      <x:c r="BK92" s="107" t="n">
        <x:f>'Вводные'!$O$91*((IF(SUM($D78:$DS78)=0,0,IF(SUM($D81:$DS81)=0,1,'Вводные'!$B$63)))*BK80+(1-(IF(SUM($D78:$DS78)=0,0,IF(SUM($D81:$DS81)=0,1,'Вводные'!$B$63))))*BK82)</x:f>
      </x:c>
      <x:c r="BL92" s="107" t="n">
        <x:f>'Вводные'!$O$91*((IF(SUM($D78:$DS78)=0,0,IF(SUM($D81:$DS81)=0,1,'Вводные'!$B$63)))*BL80+(1-(IF(SUM($D78:$DS78)=0,0,IF(SUM($D81:$DS81)=0,1,'Вводные'!$B$63))))*BL82)</x:f>
      </x:c>
      <x:c r="BM92" s="107" t="n">
        <x:f>'Вводные'!$O$91*((IF(SUM($D78:$DS78)=0,0,IF(SUM($D81:$DS81)=0,1,'Вводные'!$B$63)))*BM80+(1-(IF(SUM($D78:$DS78)=0,0,IF(SUM($D81:$DS81)=0,1,'Вводные'!$B$63))))*BM82)</x:f>
      </x:c>
      <x:c r="BN92" s="107" t="n">
        <x:f>'Вводные'!$O$91*((IF(SUM($D78:$DS78)=0,0,IF(SUM($D81:$DS81)=0,1,'Вводные'!$B$63)))*BN80+(1-(IF(SUM($D78:$DS78)=0,0,IF(SUM($D81:$DS81)=0,1,'Вводные'!$B$63))))*BN82)</x:f>
      </x:c>
      <x:c r="BO92" s="107" t="n">
        <x:f>'Вводные'!$O$91*((IF(SUM($D78:$DS78)=0,0,IF(SUM($D81:$DS81)=0,1,'Вводные'!$B$63)))*BO80+(1-(IF(SUM($D78:$DS78)=0,0,IF(SUM($D81:$DS81)=0,1,'Вводные'!$B$63))))*BO82)</x:f>
      </x:c>
      <x:c r="BP92" s="107" t="n">
        <x:f>'Вводные'!$O$91*((IF(SUM($D78:$DS78)=0,0,IF(SUM($D81:$DS81)=0,1,'Вводные'!$B$63)))*BP80+(1-(IF(SUM($D78:$DS78)=0,0,IF(SUM($D81:$DS81)=0,1,'Вводные'!$B$63))))*BP82)</x:f>
      </x:c>
      <x:c r="BQ92" s="107" t="n">
        <x:f>'Вводные'!$O$91*((IF(SUM($D78:$DS78)=0,0,IF(SUM($D81:$DS81)=0,1,'Вводные'!$B$63)))*BQ80+(1-(IF(SUM($D78:$DS78)=0,0,IF(SUM($D81:$DS81)=0,1,'Вводные'!$B$63))))*BQ82)</x:f>
      </x:c>
      <x:c r="BR92" s="107" t="n">
        <x:f>'Вводные'!$O$91*((IF(SUM($D78:$DS78)=0,0,IF(SUM($D81:$DS81)=0,1,'Вводные'!$B$63)))*BR80+(1-(IF(SUM($D78:$DS78)=0,0,IF(SUM($D81:$DS81)=0,1,'Вводные'!$B$63))))*BR82)</x:f>
      </x:c>
      <x:c r="BS92" s="107" t="n">
        <x:f>'Вводные'!$O$91*((IF(SUM($D78:$DS78)=0,0,IF(SUM($D81:$DS81)=0,1,'Вводные'!$B$63)))*BS80+(1-(IF(SUM($D78:$DS78)=0,0,IF(SUM($D81:$DS81)=0,1,'Вводные'!$B$63))))*BS82)</x:f>
      </x:c>
      <x:c r="BT92" s="107" t="n">
        <x:f>'Вводные'!$O$91*((IF(SUM($D78:$DS78)=0,0,IF(SUM($D81:$DS81)=0,1,'Вводные'!$B$63)))*BT80+(1-(IF(SUM($D78:$DS78)=0,0,IF(SUM($D81:$DS81)=0,1,'Вводные'!$B$63))))*BT82)</x:f>
      </x:c>
      <x:c r="BU92" s="107" t="n">
        <x:f>'Вводные'!$O$91*((IF(SUM($D78:$DS78)=0,0,IF(SUM($D81:$DS81)=0,1,'Вводные'!$B$63)))*BU80+(1-(IF(SUM($D78:$DS78)=0,0,IF(SUM($D81:$DS81)=0,1,'Вводные'!$B$63))))*BU82)</x:f>
      </x:c>
      <x:c r="BV92" s="107" t="n">
        <x:f>'Вводные'!$O$91*((IF(SUM($D78:$DS78)=0,0,IF(SUM($D81:$DS81)=0,1,'Вводные'!$B$63)))*BV80+(1-(IF(SUM($D78:$DS78)=0,0,IF(SUM($D81:$DS81)=0,1,'Вводные'!$B$63))))*BV82)</x:f>
      </x:c>
      <x:c r="BW92" s="107" t="n">
        <x:f>'Вводные'!$O$91*((IF(SUM($D78:$DS78)=0,0,IF(SUM($D81:$DS81)=0,1,'Вводные'!$B$63)))*BW80+(1-(IF(SUM($D78:$DS78)=0,0,IF(SUM($D81:$DS81)=0,1,'Вводные'!$B$63))))*BW82)</x:f>
      </x:c>
      <x:c r="BX92" s="107" t="n">
        <x:f>'Вводные'!$O$91*((IF(SUM($D78:$DS78)=0,0,IF(SUM($D81:$DS81)=0,1,'Вводные'!$B$63)))*BX80+(1-(IF(SUM($D78:$DS78)=0,0,IF(SUM($D81:$DS81)=0,1,'Вводные'!$B$63))))*BX82)</x:f>
      </x:c>
      <x:c r="BY92" s="107" t="n">
        <x:f>'Вводные'!$O$91*((IF(SUM($D78:$DS78)=0,0,IF(SUM($D81:$DS81)=0,1,'Вводные'!$B$63)))*BY80+(1-(IF(SUM($D78:$DS78)=0,0,IF(SUM($D81:$DS81)=0,1,'Вводные'!$B$63))))*BY82)</x:f>
      </x:c>
      <x:c r="BZ92" s="107" t="n">
        <x:f>'Вводные'!$O$91*((IF(SUM($D78:$DS78)=0,0,IF(SUM($D81:$DS81)=0,1,'Вводные'!$B$63)))*BZ80+(1-(IF(SUM($D78:$DS78)=0,0,IF(SUM($D81:$DS81)=0,1,'Вводные'!$B$63))))*BZ82)</x:f>
      </x:c>
      <x:c r="CA92" s="107" t="n">
        <x:f>'Вводные'!$O$91*((IF(SUM($D78:$DS78)=0,0,IF(SUM($D81:$DS81)=0,1,'Вводные'!$B$63)))*CA80+(1-(IF(SUM($D78:$DS78)=0,0,IF(SUM($D81:$DS81)=0,1,'Вводные'!$B$63))))*CA82)</x:f>
      </x:c>
      <x:c r="CB92" s="107" t="n">
        <x:f>'Вводные'!$O$91*((IF(SUM($D78:$DS78)=0,0,IF(SUM($D81:$DS81)=0,1,'Вводные'!$B$63)))*CB80+(1-(IF(SUM($D78:$DS78)=0,0,IF(SUM($D81:$DS81)=0,1,'Вводные'!$B$63))))*CB82)</x:f>
      </x:c>
      <x:c r="CC92" s="107" t="n">
        <x:f>'Вводные'!$O$91*((IF(SUM($D78:$DS78)=0,0,IF(SUM($D81:$DS81)=0,1,'Вводные'!$B$63)))*CC80+(1-(IF(SUM($D78:$DS78)=0,0,IF(SUM($D81:$DS81)=0,1,'Вводные'!$B$63))))*CC82)</x:f>
      </x:c>
      <x:c r="CD92" s="107" t="n">
        <x:f>'Вводные'!$O$91*((IF(SUM($D78:$DS78)=0,0,IF(SUM($D81:$DS81)=0,1,'Вводные'!$B$63)))*CD80+(1-(IF(SUM($D78:$DS78)=0,0,IF(SUM($D81:$DS81)=0,1,'Вводные'!$B$63))))*CD82)</x:f>
      </x:c>
      <x:c r="CE92" s="107" t="n">
        <x:f>'Вводные'!$O$91*((IF(SUM($D78:$DS78)=0,0,IF(SUM($D81:$DS81)=0,1,'Вводные'!$B$63)))*CE80+(1-(IF(SUM($D78:$DS78)=0,0,IF(SUM($D81:$DS81)=0,1,'Вводные'!$B$63))))*CE82)</x:f>
      </x:c>
      <x:c r="CF92" s="107" t="n">
        <x:f>'Вводные'!$O$91*((IF(SUM($D78:$DS78)=0,0,IF(SUM($D81:$DS81)=0,1,'Вводные'!$B$63)))*CF80+(1-(IF(SUM($D78:$DS78)=0,0,IF(SUM($D81:$DS81)=0,1,'Вводные'!$B$63))))*CF82)</x:f>
      </x:c>
      <x:c r="CG92" s="107" t="n">
        <x:f>'Вводные'!$O$91*((IF(SUM($D78:$DS78)=0,0,IF(SUM($D81:$DS81)=0,1,'Вводные'!$B$63)))*CG80+(1-(IF(SUM($D78:$DS78)=0,0,IF(SUM($D81:$DS81)=0,1,'Вводные'!$B$63))))*CG82)</x:f>
      </x:c>
      <x:c r="CH92" s="107" t="n">
        <x:f>'Вводные'!$O$91*((IF(SUM($D78:$DS78)=0,0,IF(SUM($D81:$DS81)=0,1,'Вводные'!$B$63)))*CH80+(1-(IF(SUM($D78:$DS78)=0,0,IF(SUM($D81:$DS81)=0,1,'Вводные'!$B$63))))*CH82)</x:f>
      </x:c>
      <x:c r="CI92" s="107" t="n">
        <x:f>'Вводные'!$O$91*((IF(SUM($D78:$DS78)=0,0,IF(SUM($D81:$DS81)=0,1,'Вводные'!$B$63)))*CI80+(1-(IF(SUM($D78:$DS78)=0,0,IF(SUM($D81:$DS81)=0,1,'Вводные'!$B$63))))*CI82)</x:f>
      </x:c>
      <x:c r="CJ92" s="107" t="n">
        <x:f>'Вводные'!$O$91*((IF(SUM($D78:$DS78)=0,0,IF(SUM($D81:$DS81)=0,1,'Вводные'!$B$63)))*CJ80+(1-(IF(SUM($D78:$DS78)=0,0,IF(SUM($D81:$DS81)=0,1,'Вводные'!$B$63))))*CJ82)</x:f>
      </x:c>
      <x:c r="CK92" s="107" t="n">
        <x:f>'Вводные'!$O$91*((IF(SUM($D78:$DS78)=0,0,IF(SUM($D81:$DS81)=0,1,'Вводные'!$B$63)))*CK80+(1-(IF(SUM($D78:$DS78)=0,0,IF(SUM($D81:$DS81)=0,1,'Вводные'!$B$63))))*CK82)</x:f>
      </x:c>
      <x:c r="CL92" s="107" t="n">
        <x:f>'Вводные'!$O$91*((IF(SUM($D78:$DS78)=0,0,IF(SUM($D81:$DS81)=0,1,'Вводные'!$B$63)))*CL80+(1-(IF(SUM($D78:$DS78)=0,0,IF(SUM($D81:$DS81)=0,1,'Вводные'!$B$63))))*CL82)</x:f>
      </x:c>
      <x:c r="CM92" s="107" t="n">
        <x:f>'Вводные'!$O$91*((IF(SUM($D78:$DS78)=0,0,IF(SUM($D81:$DS81)=0,1,'Вводные'!$B$63)))*CM80+(1-(IF(SUM($D78:$DS78)=0,0,IF(SUM($D81:$DS81)=0,1,'Вводные'!$B$63))))*CM82)</x:f>
      </x:c>
      <x:c r="CN92" s="107" t="n">
        <x:f>'Вводные'!$O$91*((IF(SUM($D78:$DS78)=0,0,IF(SUM($D81:$DS81)=0,1,'Вводные'!$B$63)))*CN80+(1-(IF(SUM($D78:$DS78)=0,0,IF(SUM($D81:$DS81)=0,1,'Вводные'!$B$63))))*CN82)</x:f>
      </x:c>
      <x:c r="CO92" s="107" t="n">
        <x:f>'Вводные'!$O$91*((IF(SUM($D78:$DS78)=0,0,IF(SUM($D81:$DS81)=0,1,'Вводные'!$B$63)))*CO80+(1-(IF(SUM($D78:$DS78)=0,0,IF(SUM($D81:$DS81)=0,1,'Вводные'!$B$63))))*CO82)</x:f>
      </x:c>
      <x:c r="CP92" s="107" t="n">
        <x:f>'Вводные'!$O$91*((IF(SUM($D78:$DS78)=0,0,IF(SUM($D81:$DS81)=0,1,'Вводные'!$B$63)))*CP80+(1-(IF(SUM($D78:$DS78)=0,0,IF(SUM($D81:$DS81)=0,1,'Вводные'!$B$63))))*CP82)</x:f>
      </x:c>
      <x:c r="CQ92" s="107" t="n">
        <x:f>'Вводные'!$O$91*((IF(SUM($D78:$DS78)=0,0,IF(SUM($D81:$DS81)=0,1,'Вводные'!$B$63)))*CQ80+(1-(IF(SUM($D78:$DS78)=0,0,IF(SUM($D81:$DS81)=0,1,'Вводные'!$B$63))))*CQ82)</x:f>
      </x:c>
      <x:c r="CR92" s="107" t="n">
        <x:f>'Вводные'!$O$91*((IF(SUM($D78:$DS78)=0,0,IF(SUM($D81:$DS81)=0,1,'Вводные'!$B$63)))*CR80+(1-(IF(SUM($D78:$DS78)=0,0,IF(SUM($D81:$DS81)=0,1,'Вводные'!$B$63))))*CR82)</x:f>
      </x:c>
      <x:c r="CS92" s="107" t="n">
        <x:f>'Вводные'!$O$91*((IF(SUM($D78:$DS78)=0,0,IF(SUM($D81:$DS81)=0,1,'Вводные'!$B$63)))*CS80+(1-(IF(SUM($D78:$DS78)=0,0,IF(SUM($D81:$DS81)=0,1,'Вводные'!$B$63))))*CS82)</x:f>
      </x:c>
      <x:c r="CT92" s="107" t="n">
        <x:f>'Вводные'!$O$91*((IF(SUM($D78:$DS78)=0,0,IF(SUM($D81:$DS81)=0,1,'Вводные'!$B$63)))*CT80+(1-(IF(SUM($D78:$DS78)=0,0,IF(SUM($D81:$DS81)=0,1,'Вводные'!$B$63))))*CT82)</x:f>
      </x:c>
      <x:c r="CU92" s="107" t="n">
        <x:f>'Вводные'!$O$91*((IF(SUM($D78:$DS78)=0,0,IF(SUM($D81:$DS81)=0,1,'Вводные'!$B$63)))*CU80+(1-(IF(SUM($D78:$DS78)=0,0,IF(SUM($D81:$DS81)=0,1,'Вводные'!$B$63))))*CU82)</x:f>
      </x:c>
      <x:c r="CV92" s="107" t="n">
        <x:f>'Вводные'!$O$91*((IF(SUM($D78:$DS78)=0,0,IF(SUM($D81:$DS81)=0,1,'Вводные'!$B$63)))*CV80+(1-(IF(SUM($D78:$DS78)=0,0,IF(SUM($D81:$DS81)=0,1,'Вводные'!$B$63))))*CV82)</x:f>
      </x:c>
      <x:c r="CW92" s="107" t="n">
        <x:f>'Вводные'!$O$91*((IF(SUM($D78:$DS78)=0,0,IF(SUM($D81:$DS81)=0,1,'Вводные'!$B$63)))*CW80+(1-(IF(SUM($D78:$DS78)=0,0,IF(SUM($D81:$DS81)=0,1,'Вводные'!$B$63))))*CW82)</x:f>
      </x:c>
      <x:c r="CX92" s="107" t="n">
        <x:f>'Вводные'!$O$91*((IF(SUM($D78:$DS78)=0,0,IF(SUM($D81:$DS81)=0,1,'Вводные'!$B$63)))*CX80+(1-(IF(SUM($D78:$DS78)=0,0,IF(SUM($D81:$DS81)=0,1,'Вводные'!$B$63))))*CX82)</x:f>
      </x:c>
      <x:c r="CY92" s="107" t="n">
        <x:f>'Вводные'!$O$91*((IF(SUM($D78:$DS78)=0,0,IF(SUM($D81:$DS81)=0,1,'Вводные'!$B$63)))*CY80+(1-(IF(SUM($D78:$DS78)=0,0,IF(SUM($D81:$DS81)=0,1,'Вводные'!$B$63))))*CY82)</x:f>
      </x:c>
      <x:c r="CZ92" s="107" t="n">
        <x:f>'Вводные'!$O$91*((IF(SUM($D78:$DS78)=0,0,IF(SUM($D81:$DS81)=0,1,'Вводные'!$B$63)))*CZ80+(1-(IF(SUM($D78:$DS78)=0,0,IF(SUM($D81:$DS81)=0,1,'Вводные'!$B$63))))*CZ82)</x:f>
      </x:c>
      <x:c r="DA92" s="107" t="n">
        <x:f>'Вводные'!$O$91*((IF(SUM($D78:$DS78)=0,0,IF(SUM($D81:$DS81)=0,1,'Вводные'!$B$63)))*DA80+(1-(IF(SUM($D78:$DS78)=0,0,IF(SUM($D81:$DS81)=0,1,'Вводные'!$B$63))))*DA82)</x:f>
      </x:c>
      <x:c r="DB92" s="107" t="n">
        <x:f>'Вводные'!$O$91*((IF(SUM($D78:$DS78)=0,0,IF(SUM($D81:$DS81)=0,1,'Вводные'!$B$63)))*DB80+(1-(IF(SUM($D78:$DS78)=0,0,IF(SUM($D81:$DS81)=0,1,'Вводные'!$B$63))))*DB82)</x:f>
      </x:c>
      <x:c r="DC92" s="107" t="n">
        <x:f>'Вводные'!$O$91*((IF(SUM($D78:$DS78)=0,0,IF(SUM($D81:$DS81)=0,1,'Вводные'!$B$63)))*DC80+(1-(IF(SUM($D78:$DS78)=0,0,IF(SUM($D81:$DS81)=0,1,'Вводные'!$B$63))))*DC82)</x:f>
      </x:c>
      <x:c r="DD92" s="107" t="n">
        <x:f>'Вводные'!$O$91*((IF(SUM($D78:$DS78)=0,0,IF(SUM($D81:$DS81)=0,1,'Вводные'!$B$63)))*DD80+(1-(IF(SUM($D78:$DS78)=0,0,IF(SUM($D81:$DS81)=0,1,'Вводные'!$B$63))))*DD82)</x:f>
      </x:c>
      <x:c r="DE92" s="107" t="n">
        <x:f>'Вводные'!$O$91*((IF(SUM($D78:$DS78)=0,0,IF(SUM($D81:$DS81)=0,1,'Вводные'!$B$63)))*DE80+(1-(IF(SUM($D78:$DS78)=0,0,IF(SUM($D81:$DS81)=0,1,'Вводные'!$B$63))))*DE82)</x:f>
      </x:c>
      <x:c r="DF92" s="107" t="n">
        <x:f>'Вводные'!$O$91*((IF(SUM($D78:$DS78)=0,0,IF(SUM($D81:$DS81)=0,1,'Вводные'!$B$63)))*DF80+(1-(IF(SUM($D78:$DS78)=0,0,IF(SUM($D81:$DS81)=0,1,'Вводные'!$B$63))))*DF82)</x:f>
      </x:c>
      <x:c r="DG92" s="107" t="n">
        <x:f>'Вводные'!$O$91*((IF(SUM($D78:$DS78)=0,0,IF(SUM($D81:$DS81)=0,1,'Вводные'!$B$63)))*DG80+(1-(IF(SUM($D78:$DS78)=0,0,IF(SUM($D81:$DS81)=0,1,'Вводные'!$B$63))))*DG82)</x:f>
      </x:c>
      <x:c r="DH92" s="107" t="n">
        <x:f>'Вводные'!$O$91*((IF(SUM($D78:$DS78)=0,0,IF(SUM($D81:$DS81)=0,1,'Вводные'!$B$63)))*DH80+(1-(IF(SUM($D78:$DS78)=0,0,IF(SUM($D81:$DS81)=0,1,'Вводные'!$B$63))))*DH82)</x:f>
      </x:c>
      <x:c r="DI92" s="107" t="n">
        <x:f>'Вводные'!$O$91*((IF(SUM($D78:$DS78)=0,0,IF(SUM($D81:$DS81)=0,1,'Вводные'!$B$63)))*DI80+(1-(IF(SUM($D78:$DS78)=0,0,IF(SUM($D81:$DS81)=0,1,'Вводные'!$B$63))))*DI82)</x:f>
      </x:c>
      <x:c r="DJ92" s="107" t="n">
        <x:f>'Вводные'!$O$91*((IF(SUM($D78:$DS78)=0,0,IF(SUM($D81:$DS81)=0,1,'Вводные'!$B$63)))*DJ80+(1-(IF(SUM($D78:$DS78)=0,0,IF(SUM($D81:$DS81)=0,1,'Вводные'!$B$63))))*DJ82)</x:f>
      </x:c>
      <x:c r="DK92" s="107" t="n">
        <x:f>'Вводные'!$O$91*((IF(SUM($D78:$DS78)=0,0,IF(SUM($D81:$DS81)=0,1,'Вводные'!$B$63)))*DK80+(1-(IF(SUM($D78:$DS78)=0,0,IF(SUM($D81:$DS81)=0,1,'Вводные'!$B$63))))*DK82)</x:f>
      </x:c>
      <x:c r="DL92" s="107" t="n">
        <x:f>'Вводные'!$O$91*((IF(SUM($D78:$DS78)=0,0,IF(SUM($D81:$DS81)=0,1,'Вводные'!$B$63)))*DL80+(1-(IF(SUM($D78:$DS78)=0,0,IF(SUM($D81:$DS81)=0,1,'Вводные'!$B$63))))*DL82)</x:f>
      </x:c>
      <x:c r="DM92" s="107" t="n">
        <x:f>'Вводные'!$O$91*((IF(SUM($D78:$DS78)=0,0,IF(SUM($D81:$DS81)=0,1,'Вводные'!$B$63)))*DM80+(1-(IF(SUM($D78:$DS78)=0,0,IF(SUM($D81:$DS81)=0,1,'Вводные'!$B$63))))*DM82)</x:f>
      </x:c>
      <x:c r="DN92" s="107" t="n">
        <x:f>'Вводные'!$O$91*((IF(SUM($D78:$DS78)=0,0,IF(SUM($D81:$DS81)=0,1,'Вводные'!$B$63)))*DN80+(1-(IF(SUM($D78:$DS78)=0,0,IF(SUM($D81:$DS81)=0,1,'Вводные'!$B$63))))*DN82)</x:f>
      </x:c>
      <x:c r="DO92" s="107" t="n">
        <x:f>'Вводные'!$O$91*((IF(SUM($D78:$DS78)=0,0,IF(SUM($D81:$DS81)=0,1,'Вводные'!$B$63)))*DO80+(1-(IF(SUM($D78:$DS78)=0,0,IF(SUM($D81:$DS81)=0,1,'Вводные'!$B$63))))*DO82)</x:f>
      </x:c>
      <x:c r="DP92" s="107" t="n">
        <x:f>'Вводные'!$O$91*((IF(SUM($D78:$DS78)=0,0,IF(SUM($D81:$DS81)=0,1,'Вводные'!$B$63)))*DP80+(1-(IF(SUM($D78:$DS78)=0,0,IF(SUM($D81:$DS81)=0,1,'Вводные'!$B$63))))*DP82)</x:f>
      </x:c>
      <x:c r="DQ92" s="107" t="n">
        <x:f>'Вводные'!$O$91*((IF(SUM($D78:$DS78)=0,0,IF(SUM($D81:$DS81)=0,1,'Вводные'!$B$63)))*DQ80+(1-(IF(SUM($D78:$DS78)=0,0,IF(SUM($D81:$DS81)=0,1,'Вводные'!$B$63))))*DQ82)</x:f>
      </x:c>
      <x:c r="DR92" s="107" t="n">
        <x:f>'Вводные'!$O$91*((IF(SUM($D78:$DS78)=0,0,IF(SUM($D81:$DS81)=0,1,'Вводные'!$B$63)))*DR80+(1-(IF(SUM($D78:$DS78)=0,0,IF(SUM($D81:$DS81)=0,1,'Вводные'!$B$63))))*DR82)</x:f>
      </x:c>
      <x:c r="DS92" s="107" t="n">
        <x:f>'Вводные'!$O$91*((IF(SUM($D78:$DS78)=0,0,IF(SUM($D81:$DS81)=0,1,'Вводные'!$B$63)))*DS80+(1-(IF(SUM($D78:$DS78)=0,0,IF(SUM($D81:$DS81)=0,1,'Вводные'!$B$63))))*DS82)</x:f>
      </x:c>
    </x:row>
    <x:row r="93">
      <x:c r="A93" t="str">
        <x:v>Кладовые — цена</x:v>
      </x:c>
      <x:c r="B93" t="n">
        <x:f>IFERROR(B94*1000/B92,0)</x:f>
      </x:c>
      <x:c r="C93" t="str">
        <x:v>тыс. ₽/шт.</x:v>
      </x:c>
      <x:c r="D93" s="107" t="n">
        <x:f>IF(D92=0,0,'Вводные'!$B$62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3" s="107" t="n">
        <x:f>IF(E92=0,0,'Вводные'!$B$62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3" s="107" t="n">
        <x:f>IF(F92=0,0,'Вводные'!$B$62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3" s="107" t="n">
        <x:f>IF(G92=0,0,'Вводные'!$B$62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3" s="107" t="n">
        <x:f>IF(H92=0,0,'Вводные'!$B$62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3" s="107" t="n">
        <x:f>IF(I92=0,0,'Вводные'!$B$62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3" s="107" t="n">
        <x:f>IF(J92=0,0,'Вводные'!$B$62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3" s="107" t="n">
        <x:f>IF(K92=0,0,'Вводные'!$B$62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3" s="107" t="n">
        <x:f>IF(L92=0,0,'Вводные'!$B$62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3" s="107" t="n">
        <x:f>IF(M92=0,0,'Вводные'!$B$62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3" s="107" t="n">
        <x:f>IF(N92=0,0,'Вводные'!$B$62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3" s="107" t="n">
        <x:f>IF(O92=0,0,'Вводные'!$B$62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3" s="107" t="n">
        <x:f>IF(P92=0,0,'Вводные'!$B$62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3" s="107" t="n">
        <x:f>IF(Q92=0,0,'Вводные'!$B$62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3" s="107" t="n">
        <x:f>IF(R92=0,0,'Вводные'!$B$62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3" s="107" t="n">
        <x:f>IF(S92=0,0,'Вводные'!$B$62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3" s="107" t="n">
        <x:f>IF(T92=0,0,'Вводные'!$B$62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3" s="107" t="n">
        <x:f>IF(U92=0,0,'Вводные'!$B$62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3" s="107" t="n">
        <x:f>IF(V92=0,0,'Вводные'!$B$62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3" s="107" t="n">
        <x:f>IF(W92=0,0,'Вводные'!$B$62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3" s="107" t="n">
        <x:f>IF(X92=0,0,'Вводные'!$B$62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3" s="107" t="n">
        <x:f>IF(Y92=0,0,'Вводные'!$B$62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3" s="107" t="n">
        <x:f>IF(Z92=0,0,'Вводные'!$B$62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3" s="107" t="n">
        <x:f>IF(AA92=0,0,'Вводные'!$B$62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3" s="107" t="n">
        <x:f>IF(AB92=0,0,'Вводные'!$B$62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3" s="107" t="n">
        <x:f>IF(AC92=0,0,'Вводные'!$B$62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3" s="107" t="n">
        <x:f>IF(AD92=0,0,'Вводные'!$B$62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3" s="107" t="n">
        <x:f>IF(AE92=0,0,'Вводные'!$B$62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3" s="107" t="n">
        <x:f>IF(AF92=0,0,'Вводные'!$B$62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3" s="107" t="n">
        <x:f>IF(AG92=0,0,'Вводные'!$B$62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3" s="107" t="n">
        <x:f>IF(AH92=0,0,'Вводные'!$B$62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3" s="107" t="n">
        <x:f>IF(AI92=0,0,'Вводные'!$B$62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3" s="107" t="n">
        <x:f>IF(AJ92=0,0,'Вводные'!$B$62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3" s="107" t="n">
        <x:f>IF(AK92=0,0,'Вводные'!$B$62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3" s="107" t="n">
        <x:f>IF(AL92=0,0,'Вводные'!$B$62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3" s="107" t="n">
        <x:f>IF(AM92=0,0,'Вводные'!$B$62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3" s="107" t="n">
        <x:f>IF(AN92=0,0,'Вводные'!$B$62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3" s="107" t="n">
        <x:f>IF(AO92=0,0,'Вводные'!$B$62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3" s="107" t="n">
        <x:f>IF(AP92=0,0,'Вводные'!$B$62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3" s="107" t="n">
        <x:f>IF(AQ92=0,0,'Вводные'!$B$62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3" s="107" t="n">
        <x:f>IF(AR92=0,0,'Вводные'!$B$62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3" s="107" t="n">
        <x:f>IF(AS92=0,0,'Вводные'!$B$62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3" s="107" t="n">
        <x:f>IF(AT92=0,0,'Вводные'!$B$62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3" s="107" t="n">
        <x:f>IF(AU92=0,0,'Вводные'!$B$62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3" s="107" t="n">
        <x:f>IF(AV92=0,0,'Вводные'!$B$62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3" s="107" t="n">
        <x:f>IF(AW92=0,0,'Вводные'!$B$62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3" s="107" t="n">
        <x:f>IF(AX92=0,0,'Вводные'!$B$62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3" s="107" t="n">
        <x:f>IF(AY92=0,0,'Вводные'!$B$62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3" s="107" t="n">
        <x:f>IF(AZ92=0,0,'Вводные'!$B$62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3" s="107" t="n">
        <x:f>IF(BA92=0,0,'Вводные'!$B$62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3" s="107" t="n">
        <x:f>IF(BB92=0,0,'Вводные'!$B$62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3" s="107" t="n">
        <x:f>IF(BC92=0,0,'Вводные'!$B$62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3" s="107" t="n">
        <x:f>IF(BD92=0,0,'Вводные'!$B$62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3" s="107" t="n">
        <x:f>IF(BE92=0,0,'Вводные'!$B$62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3" s="107" t="n">
        <x:f>IF(BF92=0,0,'Вводные'!$B$62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3" s="107" t="n">
        <x:f>IF(BG92=0,0,'Вводные'!$B$62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3" s="107" t="n">
        <x:f>IF(BH92=0,0,'Вводные'!$B$62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3" s="107" t="n">
        <x:f>IF(BI92=0,0,'Вводные'!$B$62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3" s="107" t="n">
        <x:f>IF(BJ92=0,0,'Вводные'!$B$62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3" s="107" t="n">
        <x:f>IF(BK92=0,0,'Вводные'!$B$62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3" s="107" t="n">
        <x:f>IF(BL92=0,0,'Вводные'!$B$62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3" s="107" t="n">
        <x:f>IF(BM92=0,0,'Вводные'!$B$62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3" s="107" t="n">
        <x:f>IF(BN92=0,0,'Вводные'!$B$62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3" s="107" t="n">
        <x:f>IF(BO92=0,0,'Вводные'!$B$62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3" s="107" t="n">
        <x:f>IF(BP92=0,0,'Вводные'!$B$62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3" s="107" t="n">
        <x:f>IF(BQ92=0,0,'Вводные'!$B$62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3" s="107" t="n">
        <x:f>IF(BR92=0,0,'Вводные'!$B$62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3" s="107" t="n">
        <x:f>IF(BS92=0,0,'Вводные'!$B$62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3" s="107" t="n">
        <x:f>IF(BT92=0,0,'Вводные'!$B$62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3" s="107" t="n">
        <x:f>IF(BU92=0,0,'Вводные'!$B$62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3" s="107" t="n">
        <x:f>IF(BV92=0,0,'Вводные'!$B$62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3" s="107" t="n">
        <x:f>IF(BW92=0,0,'Вводные'!$B$62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3" s="107" t="n">
        <x:f>IF(BX92=0,0,'Вводные'!$B$62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3" s="107" t="n">
        <x:f>IF(BY92=0,0,'Вводные'!$B$62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3" s="107" t="n">
        <x:f>IF(BZ92=0,0,'Вводные'!$B$62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3" s="107" t="n">
        <x:f>IF(CA92=0,0,'Вводные'!$B$62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3" s="107" t="n">
        <x:f>IF(CB92=0,0,'Вводные'!$B$62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3" s="107" t="n">
        <x:f>IF(CC92=0,0,'Вводные'!$B$62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3" s="107" t="n">
        <x:f>IF(CD92=0,0,'Вводные'!$B$62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3" s="107" t="n">
        <x:f>IF(CE92=0,0,'Вводные'!$B$62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3" s="107" t="n">
        <x:f>IF(CF92=0,0,'Вводные'!$B$62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3" s="107" t="n">
        <x:f>IF(CG92=0,0,'Вводные'!$B$62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3" s="107" t="n">
        <x:f>IF(CH92=0,0,'Вводные'!$B$62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3" s="107" t="n">
        <x:f>IF(CI92=0,0,'Вводные'!$B$62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3" s="107" t="n">
        <x:f>IF(CJ92=0,0,'Вводные'!$B$62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3" s="107" t="n">
        <x:f>IF(CK92=0,0,'Вводные'!$B$62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3" s="107" t="n">
        <x:f>IF(CL92=0,0,'Вводные'!$B$62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3" s="107" t="n">
        <x:f>IF(CM92=0,0,'Вводные'!$B$62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3" s="107" t="n">
        <x:f>IF(CN92=0,0,'Вводные'!$B$62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3" s="107" t="n">
        <x:f>IF(CO92=0,0,'Вводные'!$B$62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3" s="107" t="n">
        <x:f>IF(CP92=0,0,'Вводные'!$B$62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3" s="107" t="n">
        <x:f>IF(CQ92=0,0,'Вводные'!$B$62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3" s="107" t="n">
        <x:f>IF(CR92=0,0,'Вводные'!$B$62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3" s="107" t="n">
        <x:f>IF(CS92=0,0,'Вводные'!$B$62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3" s="107" t="n">
        <x:f>IF(CT92=0,0,'Вводные'!$B$62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3" s="107" t="n">
        <x:f>IF(CU92=0,0,'Вводные'!$B$62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3" s="107" t="n">
        <x:f>IF(CV92=0,0,'Вводные'!$B$62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3" s="107" t="n">
        <x:f>IF(CW92=0,0,'Вводные'!$B$62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3" s="107" t="n">
        <x:f>IF(CX92=0,0,'Вводные'!$B$62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3" s="107" t="n">
        <x:f>IF(CY92=0,0,'Вводные'!$B$62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3" s="107" t="n">
        <x:f>IF(CZ92=0,0,'Вводные'!$B$62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3" s="107" t="n">
        <x:f>IF(DA92=0,0,'Вводные'!$B$62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3" s="107" t="n">
        <x:f>IF(DB92=0,0,'Вводные'!$B$62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3" s="107" t="n">
        <x:f>IF(DC92=0,0,'Вводные'!$B$62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3" s="107" t="n">
        <x:f>IF(DD92=0,0,'Вводные'!$B$62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3" s="107" t="n">
        <x:f>IF(DE92=0,0,'Вводные'!$B$62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3" s="107" t="n">
        <x:f>IF(DF92=0,0,'Вводные'!$B$62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3" s="107" t="n">
        <x:f>IF(DG92=0,0,'Вводные'!$B$62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3" s="107" t="n">
        <x:f>IF(DH92=0,0,'Вводные'!$B$62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3" s="107" t="n">
        <x:f>IF(DI92=0,0,'Вводные'!$B$62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3" s="107" t="n">
        <x:f>IF(DJ92=0,0,'Вводные'!$B$62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3" s="107" t="n">
        <x:f>IF(DK92=0,0,'Вводные'!$B$62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3" s="107" t="n">
        <x:f>IF(DL92=0,0,'Вводные'!$B$62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3" s="107" t="n">
        <x:f>IF(DM92=0,0,'Вводные'!$B$62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3" s="107" t="n">
        <x:f>IF(DN92=0,0,'Вводные'!$B$62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3" s="107" t="n">
        <x:f>IF(DO92=0,0,'Вводные'!$B$62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3" s="107" t="n">
        <x:f>IF(DP92=0,0,'Вводные'!$B$62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3" s="107" t="n">
        <x:f>IF(DQ92=0,0,'Вводные'!$B$62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3" s="107" t="n">
        <x:f>IF(DR92=0,0,'Вводные'!$B$62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3" s="107" t="n">
        <x:f>IF(DS92=0,0,'Вводные'!$B$62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4">
      <x:c r="A94" t="str">
        <x:v>Кладовые — выручка</x:v>
      </x:c>
      <x:c r="B94" t="n">
        <x:f>SUM(D94:DS94)</x:f>
      </x:c>
      <x:c r="C94" t="str">
        <x:v>млн ₽</x:v>
      </x:c>
      <x:c r="D94" s="107" t="n">
        <x:f>D92*D93/1000</x:f>
      </x:c>
      <x:c r="E94" s="107" t="n">
        <x:f>E92*E93/1000</x:f>
      </x:c>
      <x:c r="F94" s="107" t="n">
        <x:f>F92*F93/1000</x:f>
      </x:c>
      <x:c r="G94" s="107" t="n">
        <x:f>G92*G93/1000</x:f>
      </x:c>
      <x:c r="H94" s="107" t="n">
        <x:f>H92*H93/1000</x:f>
      </x:c>
      <x:c r="I94" s="107" t="n">
        <x:f>I92*I93/1000</x:f>
      </x:c>
      <x:c r="J94" s="107" t="n">
        <x:f>J92*J93/1000</x:f>
      </x:c>
      <x:c r="K94" s="107" t="n">
        <x:f>K92*K93/1000</x:f>
      </x:c>
      <x:c r="L94" s="107" t="n">
        <x:f>L92*L93/1000</x:f>
      </x:c>
      <x:c r="M94" s="107" t="n">
        <x:f>M92*M93/1000</x:f>
      </x:c>
      <x:c r="N94" s="107" t="n">
        <x:f>N92*N93/1000</x:f>
      </x:c>
      <x:c r="O94" s="107" t="n">
        <x:f>O92*O93/1000</x:f>
      </x:c>
      <x:c r="P94" s="107" t="n">
        <x:f>P92*P93/1000</x:f>
      </x:c>
      <x:c r="Q94" s="107" t="n">
        <x:f>Q92*Q93/1000</x:f>
      </x:c>
      <x:c r="R94" s="107" t="n">
        <x:f>R92*R93/1000</x:f>
      </x:c>
      <x:c r="S94" s="107" t="n">
        <x:f>S92*S93/1000</x:f>
      </x:c>
      <x:c r="T94" s="107" t="n">
        <x:f>T92*T93/1000</x:f>
      </x:c>
      <x:c r="U94" s="107" t="n">
        <x:f>U92*U93/1000</x:f>
      </x:c>
      <x:c r="V94" s="107" t="n">
        <x:f>V92*V93/1000</x:f>
      </x:c>
      <x:c r="W94" s="107" t="n">
        <x:f>W92*W93/1000</x:f>
      </x:c>
      <x:c r="X94" s="107" t="n">
        <x:f>X92*X93/1000</x:f>
      </x:c>
      <x:c r="Y94" s="107" t="n">
        <x:f>Y92*Y93/1000</x:f>
      </x:c>
      <x:c r="Z94" s="107" t="n">
        <x:f>Z92*Z93/1000</x:f>
      </x:c>
      <x:c r="AA94" s="107" t="n">
        <x:f>AA92*AA93/1000</x:f>
      </x:c>
      <x:c r="AB94" s="107" t="n">
        <x:f>AB92*AB93/1000</x:f>
      </x:c>
      <x:c r="AC94" s="107" t="n">
        <x:f>AC92*AC93/1000</x:f>
      </x:c>
      <x:c r="AD94" s="107" t="n">
        <x:f>AD92*AD93/1000</x:f>
      </x:c>
      <x:c r="AE94" s="107" t="n">
        <x:f>AE92*AE93/1000</x:f>
      </x:c>
      <x:c r="AF94" s="107" t="n">
        <x:f>AF92*AF93/1000</x:f>
      </x:c>
      <x:c r="AG94" s="107" t="n">
        <x:f>AG92*AG93/1000</x:f>
      </x:c>
      <x:c r="AH94" s="107" t="n">
        <x:f>AH92*AH93/1000</x:f>
      </x:c>
      <x:c r="AI94" s="107" t="n">
        <x:f>AI92*AI93/1000</x:f>
      </x:c>
      <x:c r="AJ94" s="107" t="n">
        <x:f>AJ92*AJ93/1000</x:f>
      </x:c>
      <x:c r="AK94" s="107" t="n">
        <x:f>AK92*AK93/1000</x:f>
      </x:c>
      <x:c r="AL94" s="107" t="n">
        <x:f>AL92*AL93/1000</x:f>
      </x:c>
      <x:c r="AM94" s="107" t="n">
        <x:f>AM92*AM93/1000</x:f>
      </x:c>
      <x:c r="AN94" s="107" t="n">
        <x:f>AN92*AN93/1000</x:f>
      </x:c>
      <x:c r="AO94" s="107" t="n">
        <x:f>AO92*AO93/1000</x:f>
      </x:c>
      <x:c r="AP94" s="107" t="n">
        <x:f>AP92*AP93/1000</x:f>
      </x:c>
      <x:c r="AQ94" s="107" t="n">
        <x:f>AQ92*AQ93/1000</x:f>
      </x:c>
      <x:c r="AR94" s="107" t="n">
        <x:f>AR92*AR93/1000</x:f>
      </x:c>
      <x:c r="AS94" s="107" t="n">
        <x:f>AS92*AS93/1000</x:f>
      </x:c>
      <x:c r="AT94" s="107" t="n">
        <x:f>AT92*AT93/1000</x:f>
      </x:c>
      <x:c r="AU94" s="107" t="n">
        <x:f>AU92*AU93/1000</x:f>
      </x:c>
      <x:c r="AV94" s="107" t="n">
        <x:f>AV92*AV93/1000</x:f>
      </x:c>
      <x:c r="AW94" s="107" t="n">
        <x:f>AW92*AW93/1000</x:f>
      </x:c>
      <x:c r="AX94" s="107" t="n">
        <x:f>AX92*AX93/1000</x:f>
      </x:c>
      <x:c r="AY94" s="107" t="n">
        <x:f>AY92*AY93/1000</x:f>
      </x:c>
      <x:c r="AZ94" s="107" t="n">
        <x:f>AZ92*AZ93/1000</x:f>
      </x:c>
      <x:c r="BA94" s="107" t="n">
        <x:f>BA92*BA93/1000</x:f>
      </x:c>
      <x:c r="BB94" s="107" t="n">
        <x:f>BB92*BB93/1000</x:f>
      </x:c>
      <x:c r="BC94" s="107" t="n">
        <x:f>BC92*BC93/1000</x:f>
      </x:c>
      <x:c r="BD94" s="107" t="n">
        <x:f>BD92*BD93/1000</x:f>
      </x:c>
      <x:c r="BE94" s="107" t="n">
        <x:f>BE92*BE93/1000</x:f>
      </x:c>
      <x:c r="BF94" s="107" t="n">
        <x:f>BF92*BF93/1000</x:f>
      </x:c>
      <x:c r="BG94" s="107" t="n">
        <x:f>BG92*BG93/1000</x:f>
      </x:c>
      <x:c r="BH94" s="107" t="n">
        <x:f>BH92*BH93/1000</x:f>
      </x:c>
      <x:c r="BI94" s="107" t="n">
        <x:f>BI92*BI93/1000</x:f>
      </x:c>
      <x:c r="BJ94" s="107" t="n">
        <x:f>BJ92*BJ93/1000</x:f>
      </x:c>
      <x:c r="BK94" s="107" t="n">
        <x:f>BK92*BK93/1000</x:f>
      </x:c>
      <x:c r="BL94" s="107" t="n">
        <x:f>BL92*BL93/1000</x:f>
      </x:c>
      <x:c r="BM94" s="107" t="n">
        <x:f>BM92*BM93/1000</x:f>
      </x:c>
      <x:c r="BN94" s="107" t="n">
        <x:f>BN92*BN93/1000</x:f>
      </x:c>
      <x:c r="BO94" s="107" t="n">
        <x:f>BO92*BO93/1000</x:f>
      </x:c>
      <x:c r="BP94" s="107" t="n">
        <x:f>BP92*BP93/1000</x:f>
      </x:c>
      <x:c r="BQ94" s="107" t="n">
        <x:f>BQ92*BQ93/1000</x:f>
      </x:c>
      <x:c r="BR94" s="107" t="n">
        <x:f>BR92*BR93/1000</x:f>
      </x:c>
      <x:c r="BS94" s="107" t="n">
        <x:f>BS92*BS93/1000</x:f>
      </x:c>
      <x:c r="BT94" s="107" t="n">
        <x:f>BT92*BT93/1000</x:f>
      </x:c>
      <x:c r="BU94" s="107" t="n">
        <x:f>BU92*BU93/1000</x:f>
      </x:c>
      <x:c r="BV94" s="107" t="n">
        <x:f>BV92*BV93/1000</x:f>
      </x:c>
      <x:c r="BW94" s="107" t="n">
        <x:f>BW92*BW93/1000</x:f>
      </x:c>
      <x:c r="BX94" s="107" t="n">
        <x:f>BX92*BX93/1000</x:f>
      </x:c>
      <x:c r="BY94" s="107" t="n">
        <x:f>BY92*BY93/1000</x:f>
      </x:c>
      <x:c r="BZ94" s="107" t="n">
        <x:f>BZ92*BZ93/1000</x:f>
      </x:c>
      <x:c r="CA94" s="107" t="n">
        <x:f>CA92*CA93/1000</x:f>
      </x:c>
      <x:c r="CB94" s="107" t="n">
        <x:f>CB92*CB93/1000</x:f>
      </x:c>
      <x:c r="CC94" s="107" t="n">
        <x:f>CC92*CC93/1000</x:f>
      </x:c>
      <x:c r="CD94" s="107" t="n">
        <x:f>CD92*CD93/1000</x:f>
      </x:c>
      <x:c r="CE94" s="107" t="n">
        <x:f>CE92*CE93/1000</x:f>
      </x:c>
      <x:c r="CF94" s="107" t="n">
        <x:f>CF92*CF93/1000</x:f>
      </x:c>
      <x:c r="CG94" s="107" t="n">
        <x:f>CG92*CG93/1000</x:f>
      </x:c>
      <x:c r="CH94" s="107" t="n">
        <x:f>CH92*CH93/1000</x:f>
      </x:c>
      <x:c r="CI94" s="107" t="n">
        <x:f>CI92*CI93/1000</x:f>
      </x:c>
      <x:c r="CJ94" s="107" t="n">
        <x:f>CJ92*CJ93/1000</x:f>
      </x:c>
      <x:c r="CK94" s="107" t="n">
        <x:f>CK92*CK93/1000</x:f>
      </x:c>
      <x:c r="CL94" s="107" t="n">
        <x:f>CL92*CL93/1000</x:f>
      </x:c>
      <x:c r="CM94" s="107" t="n">
        <x:f>CM92*CM93/1000</x:f>
      </x:c>
      <x:c r="CN94" s="107" t="n">
        <x:f>CN92*CN93/1000</x:f>
      </x:c>
      <x:c r="CO94" s="107" t="n">
        <x:f>CO92*CO93/1000</x:f>
      </x:c>
      <x:c r="CP94" s="107" t="n">
        <x:f>CP92*CP93/1000</x:f>
      </x:c>
      <x:c r="CQ94" s="107" t="n">
        <x:f>CQ92*CQ93/1000</x:f>
      </x:c>
      <x:c r="CR94" s="107" t="n">
        <x:f>CR92*CR93/1000</x:f>
      </x:c>
      <x:c r="CS94" s="107" t="n">
        <x:f>CS92*CS93/1000</x:f>
      </x:c>
      <x:c r="CT94" s="107" t="n">
        <x:f>CT92*CT93/1000</x:f>
      </x:c>
      <x:c r="CU94" s="107" t="n">
        <x:f>CU92*CU93/1000</x:f>
      </x:c>
      <x:c r="CV94" s="107" t="n">
        <x:f>CV92*CV93/1000</x:f>
      </x:c>
      <x:c r="CW94" s="107" t="n">
        <x:f>CW92*CW93/1000</x:f>
      </x:c>
      <x:c r="CX94" s="107" t="n">
        <x:f>CX92*CX93/1000</x:f>
      </x:c>
      <x:c r="CY94" s="107" t="n">
        <x:f>CY92*CY93/1000</x:f>
      </x:c>
      <x:c r="CZ94" s="107" t="n">
        <x:f>CZ92*CZ93/1000</x:f>
      </x:c>
      <x:c r="DA94" s="107" t="n">
        <x:f>DA92*DA93/1000</x:f>
      </x:c>
      <x:c r="DB94" s="107" t="n">
        <x:f>DB92*DB93/1000</x:f>
      </x:c>
      <x:c r="DC94" s="107" t="n">
        <x:f>DC92*DC93/1000</x:f>
      </x:c>
      <x:c r="DD94" s="107" t="n">
        <x:f>DD92*DD93/1000</x:f>
      </x:c>
      <x:c r="DE94" s="107" t="n">
        <x:f>DE92*DE93/1000</x:f>
      </x:c>
      <x:c r="DF94" s="107" t="n">
        <x:f>DF92*DF93/1000</x:f>
      </x:c>
      <x:c r="DG94" s="107" t="n">
        <x:f>DG92*DG93/1000</x:f>
      </x:c>
      <x:c r="DH94" s="107" t="n">
        <x:f>DH92*DH93/1000</x:f>
      </x:c>
      <x:c r="DI94" s="107" t="n">
        <x:f>DI92*DI93/1000</x:f>
      </x:c>
      <x:c r="DJ94" s="107" t="n">
        <x:f>DJ92*DJ93/1000</x:f>
      </x:c>
      <x:c r="DK94" s="107" t="n">
        <x:f>DK92*DK93/1000</x:f>
      </x:c>
      <x:c r="DL94" s="107" t="n">
        <x:f>DL92*DL93/1000</x:f>
      </x:c>
      <x:c r="DM94" s="107" t="n">
        <x:f>DM92*DM93/1000</x:f>
      </x:c>
      <x:c r="DN94" s="107" t="n">
        <x:f>DN92*DN93/1000</x:f>
      </x:c>
      <x:c r="DO94" s="107" t="n">
        <x:f>DO92*DO93/1000</x:f>
      </x:c>
      <x:c r="DP94" s="107" t="n">
        <x:f>DP92*DP93/1000</x:f>
      </x:c>
      <x:c r="DQ94" s="107" t="n">
        <x:f>DQ92*DQ93/1000</x:f>
      </x:c>
      <x:c r="DR94" s="107" t="n">
        <x:f>DR92*DR93/1000</x:f>
      </x:c>
      <x:c r="DS94" s="107" t="n">
        <x:f>DS92*DS93/1000</x:f>
      </x:c>
    </x:row>
    <x:row r="95">
      <x:c r="A95" s="113" t="str">
        <x:v>ВЫРУЧКА ОЧЕРЕДИ</x:v>
      </x:c>
      <x:c r="B95" s="113" t="n">
        <x:f>SUM(D95:DS95)</x:f>
      </x:c>
      <x:c r="C95" s="113" t="str">
        <x:v>млн ₽</x:v>
      </x:c>
      <x:c r="D95" s="113" t="n">
        <x:f>SUM(D85,D88,D91,D94)</x:f>
      </x:c>
      <x:c r="E95" s="113" t="n">
        <x:f>SUM(E85,E88,E91,E94)</x:f>
      </x:c>
      <x:c r="F95" s="113" t="n">
        <x:f>SUM(F85,F88,F91,F94)</x:f>
      </x:c>
      <x:c r="G95" s="113" t="n">
        <x:f>SUM(G85,G88,G91,G94)</x:f>
      </x:c>
      <x:c r="H95" s="113" t="n">
        <x:f>SUM(H85,H88,H91,H94)</x:f>
      </x:c>
      <x:c r="I95" s="113" t="n">
        <x:f>SUM(I85,I88,I91,I94)</x:f>
      </x:c>
      <x:c r="J95" s="113" t="n">
        <x:f>SUM(J85,J88,J91,J94)</x:f>
      </x:c>
      <x:c r="K95" s="113" t="n">
        <x:f>SUM(K85,K88,K91,K94)</x:f>
      </x:c>
      <x:c r="L95" s="113" t="n">
        <x:f>SUM(L85,L88,L91,L94)</x:f>
      </x:c>
      <x:c r="M95" s="113" t="n">
        <x:f>SUM(M85,M88,M91,M94)</x:f>
      </x:c>
      <x:c r="N95" s="113" t="n">
        <x:f>SUM(N85,N88,N91,N94)</x:f>
      </x:c>
      <x:c r="O95" s="113" t="n">
        <x:f>SUM(O85,O88,O91,O94)</x:f>
      </x:c>
      <x:c r="P95" s="113" t="n">
        <x:f>SUM(P85,P88,P91,P94)</x:f>
      </x:c>
      <x:c r="Q95" s="113" t="n">
        <x:f>SUM(Q85,Q88,Q91,Q94)</x:f>
      </x:c>
      <x:c r="R95" s="113" t="n">
        <x:f>SUM(R85,R88,R91,R94)</x:f>
      </x:c>
      <x:c r="S95" s="113" t="n">
        <x:f>SUM(S85,S88,S91,S94)</x:f>
      </x:c>
      <x:c r="T95" s="113" t="n">
        <x:f>SUM(T85,T88,T91,T94)</x:f>
      </x:c>
      <x:c r="U95" s="113" t="n">
        <x:f>SUM(U85,U88,U91,U94)</x:f>
      </x:c>
      <x:c r="V95" s="113" t="n">
        <x:f>SUM(V85,V88,V91,V94)</x:f>
      </x:c>
      <x:c r="W95" s="113" t="n">
        <x:f>SUM(W85,W88,W91,W94)</x:f>
      </x:c>
      <x:c r="X95" s="113" t="n">
        <x:f>SUM(X85,X88,X91,X94)</x:f>
      </x:c>
      <x:c r="Y95" s="113" t="n">
        <x:f>SUM(Y85,Y88,Y91,Y94)</x:f>
      </x:c>
      <x:c r="Z95" s="113" t="n">
        <x:f>SUM(Z85,Z88,Z91,Z94)</x:f>
      </x:c>
      <x:c r="AA95" s="113" t="n">
        <x:f>SUM(AA85,AA88,AA91,AA94)</x:f>
      </x:c>
      <x:c r="AB95" s="113" t="n">
        <x:f>SUM(AB85,AB88,AB91,AB94)</x:f>
      </x:c>
      <x:c r="AC95" s="113" t="n">
        <x:f>SUM(AC85,AC88,AC91,AC94)</x:f>
      </x:c>
      <x:c r="AD95" s="113" t="n">
        <x:f>SUM(AD85,AD88,AD91,AD94)</x:f>
      </x:c>
      <x:c r="AE95" s="113" t="n">
        <x:f>SUM(AE85,AE88,AE91,AE94)</x:f>
      </x:c>
      <x:c r="AF95" s="113" t="n">
        <x:f>SUM(AF85,AF88,AF91,AF94)</x:f>
      </x:c>
      <x:c r="AG95" s="113" t="n">
        <x:f>SUM(AG85,AG88,AG91,AG94)</x:f>
      </x:c>
      <x:c r="AH95" s="113" t="n">
        <x:f>SUM(AH85,AH88,AH91,AH94)</x:f>
      </x:c>
      <x:c r="AI95" s="113" t="n">
        <x:f>SUM(AI85,AI88,AI91,AI94)</x:f>
      </x:c>
      <x:c r="AJ95" s="113" t="n">
        <x:f>SUM(AJ85,AJ88,AJ91,AJ94)</x:f>
      </x:c>
      <x:c r="AK95" s="113" t="n">
        <x:f>SUM(AK85,AK88,AK91,AK94)</x:f>
      </x:c>
      <x:c r="AL95" s="113" t="n">
        <x:f>SUM(AL85,AL88,AL91,AL94)</x:f>
      </x:c>
      <x:c r="AM95" s="113" t="n">
        <x:f>SUM(AM85,AM88,AM91,AM94)</x:f>
      </x:c>
      <x:c r="AN95" s="113" t="n">
        <x:f>SUM(AN85,AN88,AN91,AN94)</x:f>
      </x:c>
      <x:c r="AO95" s="113" t="n">
        <x:f>SUM(AO85,AO88,AO91,AO94)</x:f>
      </x:c>
      <x:c r="AP95" s="113" t="n">
        <x:f>SUM(AP85,AP88,AP91,AP94)</x:f>
      </x:c>
      <x:c r="AQ95" s="113" t="n">
        <x:f>SUM(AQ85,AQ88,AQ91,AQ94)</x:f>
      </x:c>
      <x:c r="AR95" s="113" t="n">
        <x:f>SUM(AR85,AR88,AR91,AR94)</x:f>
      </x:c>
      <x:c r="AS95" s="113" t="n">
        <x:f>SUM(AS85,AS88,AS91,AS94)</x:f>
      </x:c>
      <x:c r="AT95" s="113" t="n">
        <x:f>SUM(AT85,AT88,AT91,AT94)</x:f>
      </x:c>
      <x:c r="AU95" s="113" t="n">
        <x:f>SUM(AU85,AU88,AU91,AU94)</x:f>
      </x:c>
      <x:c r="AV95" s="113" t="n">
        <x:f>SUM(AV85,AV88,AV91,AV94)</x:f>
      </x:c>
      <x:c r="AW95" s="113" t="n">
        <x:f>SUM(AW85,AW88,AW91,AW94)</x:f>
      </x:c>
      <x:c r="AX95" s="113" t="n">
        <x:f>SUM(AX85,AX88,AX91,AX94)</x:f>
      </x:c>
      <x:c r="AY95" s="113" t="n">
        <x:f>SUM(AY85,AY88,AY91,AY94)</x:f>
      </x:c>
      <x:c r="AZ95" s="113" t="n">
        <x:f>SUM(AZ85,AZ88,AZ91,AZ94)</x:f>
      </x:c>
      <x:c r="BA95" s="113" t="n">
        <x:f>SUM(BA85,BA88,BA91,BA94)</x:f>
      </x:c>
      <x:c r="BB95" s="113" t="n">
        <x:f>SUM(BB85,BB88,BB91,BB94)</x:f>
      </x:c>
      <x:c r="BC95" s="113" t="n">
        <x:f>SUM(BC85,BC88,BC91,BC94)</x:f>
      </x:c>
      <x:c r="BD95" s="113" t="n">
        <x:f>SUM(BD85,BD88,BD91,BD94)</x:f>
      </x:c>
      <x:c r="BE95" s="113" t="n">
        <x:f>SUM(BE85,BE88,BE91,BE94)</x:f>
      </x:c>
      <x:c r="BF95" s="113" t="n">
        <x:f>SUM(BF85,BF88,BF91,BF94)</x:f>
      </x:c>
      <x:c r="BG95" s="113" t="n">
        <x:f>SUM(BG85,BG88,BG91,BG94)</x:f>
      </x:c>
      <x:c r="BH95" s="113" t="n">
        <x:f>SUM(BH85,BH88,BH91,BH94)</x:f>
      </x:c>
      <x:c r="BI95" s="113" t="n">
        <x:f>SUM(BI85,BI88,BI91,BI94)</x:f>
      </x:c>
      <x:c r="BJ95" s="113" t="n">
        <x:f>SUM(BJ85,BJ88,BJ91,BJ94)</x:f>
      </x:c>
      <x:c r="BK95" s="113" t="n">
        <x:f>SUM(BK85,BK88,BK91,BK94)</x:f>
      </x:c>
      <x:c r="BL95" s="113" t="n">
        <x:f>SUM(BL85,BL88,BL91,BL94)</x:f>
      </x:c>
      <x:c r="BM95" s="113" t="n">
        <x:f>SUM(BM85,BM88,BM91,BM94)</x:f>
      </x:c>
      <x:c r="BN95" s="113" t="n">
        <x:f>SUM(BN85,BN88,BN91,BN94)</x:f>
      </x:c>
      <x:c r="BO95" s="113" t="n">
        <x:f>SUM(BO85,BO88,BO91,BO94)</x:f>
      </x:c>
      <x:c r="BP95" s="113" t="n">
        <x:f>SUM(BP85,BP88,BP91,BP94)</x:f>
      </x:c>
      <x:c r="BQ95" s="113" t="n">
        <x:f>SUM(BQ85,BQ88,BQ91,BQ94)</x:f>
      </x:c>
      <x:c r="BR95" s="113" t="n">
        <x:f>SUM(BR85,BR88,BR91,BR94)</x:f>
      </x:c>
      <x:c r="BS95" s="113" t="n">
        <x:f>SUM(BS85,BS88,BS91,BS94)</x:f>
      </x:c>
      <x:c r="BT95" s="113" t="n">
        <x:f>SUM(BT85,BT88,BT91,BT94)</x:f>
      </x:c>
      <x:c r="BU95" s="113" t="n">
        <x:f>SUM(BU85,BU88,BU91,BU94)</x:f>
      </x:c>
      <x:c r="BV95" s="113" t="n">
        <x:f>SUM(BV85,BV88,BV91,BV94)</x:f>
      </x:c>
      <x:c r="BW95" s="113" t="n">
        <x:f>SUM(BW85,BW88,BW91,BW94)</x:f>
      </x:c>
      <x:c r="BX95" s="113" t="n">
        <x:f>SUM(BX85,BX88,BX91,BX94)</x:f>
      </x:c>
      <x:c r="BY95" s="113" t="n">
        <x:f>SUM(BY85,BY88,BY91,BY94)</x:f>
      </x:c>
      <x:c r="BZ95" s="113" t="n">
        <x:f>SUM(BZ85,BZ88,BZ91,BZ94)</x:f>
      </x:c>
      <x:c r="CA95" s="113" t="n">
        <x:f>SUM(CA85,CA88,CA91,CA94)</x:f>
      </x:c>
      <x:c r="CB95" s="113" t="n">
        <x:f>SUM(CB85,CB88,CB91,CB94)</x:f>
      </x:c>
      <x:c r="CC95" s="113" t="n">
        <x:f>SUM(CC85,CC88,CC91,CC94)</x:f>
      </x:c>
      <x:c r="CD95" s="113" t="n">
        <x:f>SUM(CD85,CD88,CD91,CD94)</x:f>
      </x:c>
      <x:c r="CE95" s="113" t="n">
        <x:f>SUM(CE85,CE88,CE91,CE94)</x:f>
      </x:c>
      <x:c r="CF95" s="113" t="n">
        <x:f>SUM(CF85,CF88,CF91,CF94)</x:f>
      </x:c>
      <x:c r="CG95" s="113" t="n">
        <x:f>SUM(CG85,CG88,CG91,CG94)</x:f>
      </x:c>
      <x:c r="CH95" s="113" t="n">
        <x:f>SUM(CH85,CH88,CH91,CH94)</x:f>
      </x:c>
      <x:c r="CI95" s="113" t="n">
        <x:f>SUM(CI85,CI88,CI91,CI94)</x:f>
      </x:c>
      <x:c r="CJ95" s="113" t="n">
        <x:f>SUM(CJ85,CJ88,CJ91,CJ94)</x:f>
      </x:c>
      <x:c r="CK95" s="113" t="n">
        <x:f>SUM(CK85,CK88,CK91,CK94)</x:f>
      </x:c>
      <x:c r="CL95" s="113" t="n">
        <x:f>SUM(CL85,CL88,CL91,CL94)</x:f>
      </x:c>
      <x:c r="CM95" s="113" t="n">
        <x:f>SUM(CM85,CM88,CM91,CM94)</x:f>
      </x:c>
      <x:c r="CN95" s="113" t="n">
        <x:f>SUM(CN85,CN88,CN91,CN94)</x:f>
      </x:c>
      <x:c r="CO95" s="113" t="n">
        <x:f>SUM(CO85,CO88,CO91,CO94)</x:f>
      </x:c>
      <x:c r="CP95" s="113" t="n">
        <x:f>SUM(CP85,CP88,CP91,CP94)</x:f>
      </x:c>
      <x:c r="CQ95" s="113" t="n">
        <x:f>SUM(CQ85,CQ88,CQ91,CQ94)</x:f>
      </x:c>
      <x:c r="CR95" s="113" t="n">
        <x:f>SUM(CR85,CR88,CR91,CR94)</x:f>
      </x:c>
      <x:c r="CS95" s="113" t="n">
        <x:f>SUM(CS85,CS88,CS91,CS94)</x:f>
      </x:c>
      <x:c r="CT95" s="113" t="n">
        <x:f>SUM(CT85,CT88,CT91,CT94)</x:f>
      </x:c>
      <x:c r="CU95" s="113" t="n">
        <x:f>SUM(CU85,CU88,CU91,CU94)</x:f>
      </x:c>
      <x:c r="CV95" s="113" t="n">
        <x:f>SUM(CV85,CV88,CV91,CV94)</x:f>
      </x:c>
      <x:c r="CW95" s="113" t="n">
        <x:f>SUM(CW85,CW88,CW91,CW94)</x:f>
      </x:c>
      <x:c r="CX95" s="113" t="n">
        <x:f>SUM(CX85,CX88,CX91,CX94)</x:f>
      </x:c>
      <x:c r="CY95" s="113" t="n">
        <x:f>SUM(CY85,CY88,CY91,CY94)</x:f>
      </x:c>
      <x:c r="CZ95" s="113" t="n">
        <x:f>SUM(CZ85,CZ88,CZ91,CZ94)</x:f>
      </x:c>
      <x:c r="DA95" s="113" t="n">
        <x:f>SUM(DA85,DA88,DA91,DA94)</x:f>
      </x:c>
      <x:c r="DB95" s="113" t="n">
        <x:f>SUM(DB85,DB88,DB91,DB94)</x:f>
      </x:c>
      <x:c r="DC95" s="113" t="n">
        <x:f>SUM(DC85,DC88,DC91,DC94)</x:f>
      </x:c>
      <x:c r="DD95" s="113" t="n">
        <x:f>SUM(DD85,DD88,DD91,DD94)</x:f>
      </x:c>
      <x:c r="DE95" s="113" t="n">
        <x:f>SUM(DE85,DE88,DE91,DE94)</x:f>
      </x:c>
      <x:c r="DF95" s="113" t="n">
        <x:f>SUM(DF85,DF88,DF91,DF94)</x:f>
      </x:c>
      <x:c r="DG95" s="113" t="n">
        <x:f>SUM(DG85,DG88,DG91,DG94)</x:f>
      </x:c>
      <x:c r="DH95" s="113" t="n">
        <x:f>SUM(DH85,DH88,DH91,DH94)</x:f>
      </x:c>
      <x:c r="DI95" s="113" t="n">
        <x:f>SUM(DI85,DI88,DI91,DI94)</x:f>
      </x:c>
      <x:c r="DJ95" s="113" t="n">
        <x:f>SUM(DJ85,DJ88,DJ91,DJ94)</x:f>
      </x:c>
      <x:c r="DK95" s="113" t="n">
        <x:f>SUM(DK85,DK88,DK91,DK94)</x:f>
      </x:c>
      <x:c r="DL95" s="113" t="n">
        <x:f>SUM(DL85,DL88,DL91,DL94)</x:f>
      </x:c>
      <x:c r="DM95" s="113" t="n">
        <x:f>SUM(DM85,DM88,DM91,DM94)</x:f>
      </x:c>
      <x:c r="DN95" s="113" t="n">
        <x:f>SUM(DN85,DN88,DN91,DN94)</x:f>
      </x:c>
      <x:c r="DO95" s="113" t="n">
        <x:f>SUM(DO85,DO88,DO91,DO94)</x:f>
      </x:c>
      <x:c r="DP95" s="113" t="n">
        <x:f>SUM(DP85,DP88,DP91,DP94)</x:f>
      </x:c>
      <x:c r="DQ95" s="113" t="n">
        <x:f>SUM(DQ85,DQ88,DQ91,DQ94)</x:f>
      </x:c>
      <x:c r="DR95" s="113" t="n">
        <x:f>SUM(DR85,DR88,DR91,DR94)</x:f>
      </x:c>
      <x:c r="DS95" s="113" t="n">
        <x:f>SUM(DS85,DS88,DS91,DS94)</x:f>
      </x:c>
    </x:row>
  </x:sheetData>
  <x:mergeCells>
    <x:mergeCell ref="A1:DS1"/>
    <x:mergeCell ref="A6:DS6"/>
    <x:mergeCell ref="A29:DS29"/>
    <x:mergeCell ref="A52:DS52"/>
    <x:mergeCell ref="A75:DS7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ПЛАТА ЗА ИЗМЕНЕНИЕ ВРИ · ГРАФИК ОБЯЗАТЕЛЬСТВА</x:v>
      </x:c>
      <x:c r="B1" s="4" t="str">
        <x:v>ПЛАТА ЗА ИЗМЕНЕНИЕ ВРИ · ГРАФИК ОБЯЗАТЕЛЬСТВА</x:v>
      </x:c>
      <x:c r="C1" s="4" t="str">
        <x:v>ПЛАТА ЗА ИЗМЕНЕНИЕ ВРИ · ГРАФИК ОБЯЗАТЕЛЬСТВА</x:v>
      </x:c>
      <x:c r="D1" s="4" t="str">
        <x:v>ПЛАТА ЗА ИЗМЕНЕНИЕ ВРИ · ГРАФИК ОБЯЗАТЕЛЬСТВА</x:v>
      </x:c>
      <x:c r="E1" s="4" t="str">
        <x:v>ПЛАТА ЗА ИЗМЕНЕНИЕ ВРИ · ГРАФИК ОБЯЗАТЕЛЬСТВА</x:v>
      </x:c>
      <x:c r="F1" s="4" t="str">
        <x:v>ПЛАТА ЗА ИЗМЕНЕНИЕ ВРИ · ГРАФИК ОБЯЗАТЕЛЬСТВА</x:v>
      </x:c>
      <x:c r="G1" s="4" t="str">
        <x:v>ПЛАТА ЗА ИЗМЕНЕНИЕ ВРИ · ГРАФИК ОБЯЗАТЕЛЬСТВА</x:v>
      </x:c>
      <x:c r="H1" s="4" t="str">
        <x:v>ПЛАТА ЗА ИЗМЕНЕНИЕ ВРИ · ГРАФИК ОБЯЗАТЕЛЬСТВА</x:v>
      </x:c>
      <x:c r="I1" s="4" t="str">
        <x:v>ПЛАТА ЗА ИЗМЕНЕНИЕ ВРИ · ГРАФИК ОБЯЗАТЕЛЬСТВА</x:v>
      </x:c>
      <x:c r="J1" s="4" t="str">
        <x:v>ПЛАТА ЗА ИЗМЕНЕНИЕ ВРИ · ГРАФИК ОБЯЗАТЕЛЬСТВА</x:v>
      </x:c>
      <x:c r="K1" s="4" t="str">
        <x:v>ПЛАТА ЗА ИЗМЕНЕНИЕ ВРИ · ГРАФИК ОБЯЗАТЕЛЬСТВА</x:v>
      </x:c>
      <x:c r="L1" s="4" t="str">
        <x:v>ПЛАТА ЗА ИЗМЕНЕНИЕ ВРИ · ГРАФИК ОБЯЗАТЕЛЬСТВА</x:v>
      </x:c>
      <x:c r="M1" s="4" t="str">
        <x:v>ПЛАТА ЗА ИЗМЕНЕНИЕ ВРИ · ГРАФИК ОБЯЗАТЕЛЬСТВА</x:v>
      </x:c>
      <x:c r="N1" s="4" t="str">
        <x:v>ПЛАТА ЗА ИЗМЕНЕНИЕ ВРИ · ГРАФИК ОБЯЗАТЕЛЬСТВА</x:v>
      </x:c>
      <x:c r="O1" s="4" t="str">
        <x:v>ПЛАТА ЗА ИЗМЕНЕНИЕ ВРИ · ГРАФИК ОБЯЗАТЕЛЬСТВА</x:v>
      </x:c>
      <x:c r="P1" s="4" t="str">
        <x:v>ПЛАТА ЗА ИЗМЕНЕНИЕ ВРИ · ГРАФИК ОБЯЗАТЕЛЬСТВА</x:v>
      </x:c>
      <x:c r="Q1" s="4" t="str">
        <x:v>ПЛАТА ЗА ИЗМЕНЕНИЕ ВРИ · ГРАФИК ОБЯЗАТЕЛЬСТВА</x:v>
      </x:c>
      <x:c r="R1" s="4" t="str">
        <x:v>ПЛАТА ЗА ИЗМЕНЕНИЕ ВРИ · ГРАФИК ОБЯЗАТЕЛЬСТВА</x:v>
      </x:c>
      <x:c r="S1" s="4" t="str">
        <x:v>ПЛАТА ЗА ИЗМЕНЕНИЕ ВРИ · ГРАФИК ОБЯЗАТЕЛЬСТВА</x:v>
      </x:c>
      <x:c r="T1" s="4" t="str">
        <x:v>ПЛАТА ЗА ИЗМЕНЕНИЕ ВРИ · ГРАФИК ОБЯЗАТЕЛЬСТВА</x:v>
      </x:c>
      <x:c r="U1" s="4" t="str">
        <x:v>ПЛАТА ЗА ИЗМЕНЕНИЕ ВРИ · ГРАФИК ОБЯЗАТЕЛЬСТВА</x:v>
      </x:c>
      <x:c r="V1" s="4" t="str">
        <x:v>ПЛАТА ЗА ИЗМЕНЕНИЕ ВРИ · ГРАФИК ОБЯЗАТЕЛЬСТВА</x:v>
      </x:c>
      <x:c r="W1" s="4" t="str">
        <x:v>ПЛАТА ЗА ИЗМЕНЕНИЕ ВРИ · ГРАФИК ОБЯЗАТЕЛЬСТВА</x:v>
      </x:c>
      <x:c r="X1" s="4" t="str">
        <x:v>ПЛАТА ЗА ИЗМЕНЕНИЕ ВРИ · ГРАФИК ОБЯЗАТЕЛЬСТВА</x:v>
      </x:c>
      <x:c r="Y1" s="4" t="str">
        <x:v>ПЛАТА ЗА ИЗМЕНЕНИЕ ВРИ · ГРАФИК ОБЯЗАТЕЛЬСТВА</x:v>
      </x:c>
      <x:c r="Z1" s="4" t="str">
        <x:v>ПЛАТА ЗА ИЗМЕНЕНИЕ ВРИ · ГРАФИК ОБЯЗАТЕЛЬСТВА</x:v>
      </x:c>
      <x:c r="AA1" s="4" t="str">
        <x:v>ПЛАТА ЗА ИЗМЕНЕНИЕ ВРИ · ГРАФИК ОБЯЗАТЕЛЬСТВА</x:v>
      </x:c>
      <x:c r="AB1" s="4" t="str">
        <x:v>ПЛАТА ЗА ИЗМЕНЕНИЕ ВРИ · ГРАФИК ОБЯЗАТЕЛЬСТВА</x:v>
      </x:c>
      <x:c r="AC1" s="4" t="str">
        <x:v>ПЛАТА ЗА ИЗМЕНЕНИЕ ВРИ · ГРАФИК ОБЯЗАТЕЛЬСТВА</x:v>
      </x:c>
      <x:c r="AD1" s="4" t="str">
        <x:v>ПЛАТА ЗА ИЗМЕНЕНИЕ ВРИ · ГРАФИК ОБЯЗАТЕЛЬСТВА</x:v>
      </x:c>
      <x:c r="AE1" s="4" t="str">
        <x:v>ПЛАТА ЗА ИЗМЕНЕНИЕ ВРИ · ГРАФИК ОБЯЗАТЕЛЬСТВА</x:v>
      </x:c>
      <x:c r="AF1" s="4" t="str">
        <x:v>ПЛАТА ЗА ИЗМЕНЕНИЕ ВРИ · ГРАФИК ОБЯЗАТЕЛЬСТВА</x:v>
      </x:c>
      <x:c r="AG1" s="4" t="str">
        <x:v>ПЛАТА ЗА ИЗМЕНЕНИЕ ВРИ · ГРАФИК ОБЯЗАТЕЛЬСТВА</x:v>
      </x:c>
      <x:c r="AH1" s="4" t="str">
        <x:v>ПЛАТА ЗА ИЗМЕНЕНИЕ ВРИ · ГРАФИК ОБЯЗАТЕЛЬСТВА</x:v>
      </x:c>
      <x:c r="AI1" s="4" t="str">
        <x:v>ПЛАТА ЗА ИЗМЕНЕНИЕ ВРИ · ГРАФИК ОБЯЗАТЕЛЬСТВА</x:v>
      </x:c>
      <x:c r="AJ1" s="4" t="str">
        <x:v>ПЛАТА ЗА ИЗМЕНЕНИЕ ВРИ · ГРАФИК ОБЯЗАТЕЛЬСТВА</x:v>
      </x:c>
      <x:c r="AK1" s="4" t="str">
        <x:v>ПЛАТА ЗА ИЗМЕНЕНИЕ ВРИ · ГРАФИК ОБЯЗАТЕЛЬСТВА</x:v>
      </x:c>
      <x:c r="AL1" s="4" t="str">
        <x:v>ПЛАТА ЗА ИЗМЕНЕНИЕ ВРИ · ГРАФИК ОБЯЗАТЕЛЬСТВА</x:v>
      </x:c>
      <x:c r="AM1" s="4" t="str">
        <x:v>ПЛАТА ЗА ИЗМЕНЕНИЕ ВРИ · ГРАФИК ОБЯЗАТЕЛЬСТВА</x:v>
      </x:c>
      <x:c r="AN1" s="4" t="str">
        <x:v>ПЛАТА ЗА ИЗМЕНЕНИЕ ВРИ · ГРАФИК ОБЯЗАТЕЛЬСТВА</x:v>
      </x:c>
      <x:c r="AO1" s="4" t="str">
        <x:v>ПЛАТА ЗА ИЗМЕНЕНИЕ ВРИ · ГРАФИК ОБЯЗАТЕЛЬСТВА</x:v>
      </x:c>
      <x:c r="AP1" s="4" t="str">
        <x:v>ПЛАТА ЗА ИЗМЕНЕНИЕ ВРИ · ГРАФИК ОБЯЗАТЕЛЬСТВА</x:v>
      </x:c>
      <x:c r="AQ1" s="4" t="str">
        <x:v>ПЛАТА ЗА ИЗМЕНЕНИЕ ВРИ · ГРАФИК ОБЯЗАТЕЛЬСТВА</x:v>
      </x:c>
      <x:c r="AR1" s="4" t="str">
        <x:v>ПЛАТА ЗА ИЗМЕНЕНИЕ ВРИ · ГРАФИК ОБЯЗАТЕЛЬСТВА</x:v>
      </x:c>
      <x:c r="AS1" s="4" t="str">
        <x:v>ПЛАТА ЗА ИЗМЕНЕНИЕ ВРИ · ГРАФИК ОБЯЗАТЕЛЬСТВА</x:v>
      </x:c>
      <x:c r="AT1" s="4" t="str">
        <x:v>ПЛАТА ЗА ИЗМЕНЕНИЕ ВРИ · ГРАФИК ОБЯЗАТЕЛЬСТВА</x:v>
      </x:c>
      <x:c r="AU1" s="4" t="str">
        <x:v>ПЛАТА ЗА ИЗМЕНЕНИЕ ВРИ · ГРАФИК ОБЯЗАТЕЛЬСТВА</x:v>
      </x:c>
      <x:c r="AV1" s="4" t="str">
        <x:v>ПЛАТА ЗА ИЗМЕНЕНИЕ ВРИ · ГРАФИК ОБЯЗАТЕЛЬСТВА</x:v>
      </x:c>
      <x:c r="AW1" s="4" t="str">
        <x:v>ПЛАТА ЗА ИЗМЕНЕНИЕ ВРИ · ГРАФИК ОБЯЗАТЕЛЬСТВА</x:v>
      </x:c>
      <x:c r="AX1" s="4" t="str">
        <x:v>ПЛАТА ЗА ИЗМЕНЕНИЕ ВРИ · ГРАФИК ОБЯЗАТЕЛЬСТВА</x:v>
      </x:c>
      <x:c r="AY1" s="4" t="str">
        <x:v>ПЛАТА ЗА ИЗМЕНЕНИЕ ВРИ · ГРАФИК ОБЯЗАТЕЛЬСТВА</x:v>
      </x:c>
      <x:c r="AZ1" s="4" t="str">
        <x:v>ПЛАТА ЗА ИЗМЕНЕНИЕ ВРИ · ГРАФИК ОБЯЗАТЕЛЬСТВА</x:v>
      </x:c>
      <x:c r="BA1" s="4" t="str">
        <x:v>ПЛАТА ЗА ИЗМЕНЕНИЕ ВРИ · ГРАФИК ОБЯЗАТЕЛЬСТВА</x:v>
      </x:c>
      <x:c r="BB1" s="4" t="str">
        <x:v>ПЛАТА ЗА ИЗМЕНЕНИЕ ВРИ · ГРАФИК ОБЯЗАТЕЛЬСТВА</x:v>
      </x:c>
      <x:c r="BC1" s="4" t="str">
        <x:v>ПЛАТА ЗА ИЗМЕНЕНИЕ ВРИ · ГРАФИК ОБЯЗАТЕЛЬСТВА</x:v>
      </x:c>
      <x:c r="BD1" s="4" t="str">
        <x:v>ПЛАТА ЗА ИЗМЕНЕНИЕ ВРИ · ГРАФИК ОБЯЗАТЕЛЬСТВА</x:v>
      </x:c>
      <x:c r="BE1" s="4" t="str">
        <x:v>ПЛАТА ЗА ИЗМЕНЕНИЕ ВРИ · ГРАФИК ОБЯЗАТЕЛЬСТВА</x:v>
      </x:c>
      <x:c r="BF1" s="4" t="str">
        <x:v>ПЛАТА ЗА ИЗМЕНЕНИЕ ВРИ · ГРАФИК ОБЯЗАТЕЛЬСТВА</x:v>
      </x:c>
      <x:c r="BG1" s="4" t="str">
        <x:v>ПЛАТА ЗА ИЗМЕНЕНИЕ ВРИ · ГРАФИК ОБЯЗАТЕЛЬСТВА</x:v>
      </x:c>
      <x:c r="BH1" s="4" t="str">
        <x:v>ПЛАТА ЗА ИЗМЕНЕНИЕ ВРИ · ГРАФИК ОБЯЗАТЕЛЬСТВА</x:v>
      </x:c>
      <x:c r="BI1" s="4" t="str">
        <x:v>ПЛАТА ЗА ИЗМЕНЕНИЕ ВРИ · ГРАФИК ОБЯЗАТЕЛЬСТВА</x:v>
      </x:c>
      <x:c r="BJ1" s="4" t="str">
        <x:v>ПЛАТА ЗА ИЗМЕНЕНИЕ ВРИ · ГРАФИК ОБЯЗАТЕЛЬСТВА</x:v>
      </x:c>
      <x:c r="BK1" s="4" t="str">
        <x:v>ПЛАТА ЗА ИЗМЕНЕНИЕ ВРИ · ГРАФИК ОБЯЗАТЕЛЬСТВА</x:v>
      </x:c>
      <x:c r="BL1" s="4" t="str">
        <x:v>ПЛАТА ЗА ИЗМЕНЕНИЕ ВРИ · ГРАФИК ОБЯЗАТЕЛЬСТВА</x:v>
      </x:c>
      <x:c r="BM1" s="4" t="str">
        <x:v>ПЛАТА ЗА ИЗМЕНЕНИЕ ВРИ · ГРАФИК ОБЯЗАТЕЛЬСТВА</x:v>
      </x:c>
      <x:c r="BN1" s="4" t="str">
        <x:v>ПЛАТА ЗА ИЗМЕНЕНИЕ ВРИ · ГРАФИК ОБЯЗАТЕЛЬСТВА</x:v>
      </x:c>
      <x:c r="BO1" s="4" t="str">
        <x:v>ПЛАТА ЗА ИЗМЕНЕНИЕ ВРИ · ГРАФИК ОБЯЗАТЕЛЬСТВА</x:v>
      </x:c>
      <x:c r="BP1" s="4" t="str">
        <x:v>ПЛАТА ЗА ИЗМЕНЕНИЕ ВРИ · ГРАФИК ОБЯЗАТЕЛЬСТВА</x:v>
      </x:c>
      <x:c r="BQ1" s="4" t="str">
        <x:v>ПЛАТА ЗА ИЗМЕНЕНИЕ ВРИ · ГРАФИК ОБЯЗАТЕЛЬСТВА</x:v>
      </x:c>
      <x:c r="BR1" s="4" t="str">
        <x:v>ПЛАТА ЗА ИЗМЕНЕНИЕ ВРИ · ГРАФИК ОБЯЗАТЕЛЬСТВА</x:v>
      </x:c>
      <x:c r="BS1" s="4" t="str">
        <x:v>ПЛАТА ЗА ИЗМЕНЕНИЕ ВРИ · ГРАФИК ОБЯЗАТЕЛЬСТВА</x:v>
      </x:c>
      <x:c r="BT1" s="4" t="str">
        <x:v>ПЛАТА ЗА ИЗМЕНЕНИЕ ВРИ · ГРАФИК ОБЯЗАТЕЛЬСТВА</x:v>
      </x:c>
      <x:c r="BU1" s="4" t="str">
        <x:v>ПЛАТА ЗА ИЗМЕНЕНИЕ ВРИ · ГРАФИК ОБЯЗАТЕЛЬСТВА</x:v>
      </x:c>
      <x:c r="BV1" s="4" t="str">
        <x:v>ПЛАТА ЗА ИЗМЕНЕНИЕ ВРИ · ГРАФИК ОБЯЗАТЕЛЬСТВА</x:v>
      </x:c>
      <x:c r="BW1" s="4" t="str">
        <x:v>ПЛАТА ЗА ИЗМЕНЕНИЕ ВРИ · ГРАФИК ОБЯЗАТЕЛЬСТВА</x:v>
      </x:c>
      <x:c r="BX1" s="4" t="str">
        <x:v>ПЛАТА ЗА ИЗМЕНЕНИЕ ВРИ · ГРАФИК ОБЯЗАТЕЛЬСТВА</x:v>
      </x:c>
      <x:c r="BY1" s="4" t="str">
        <x:v>ПЛАТА ЗА ИЗМЕНЕНИЕ ВРИ · ГРАФИК ОБЯЗАТЕЛЬСТВА</x:v>
      </x:c>
      <x:c r="BZ1" s="4" t="str">
        <x:v>ПЛАТА ЗА ИЗМЕНЕНИЕ ВРИ · ГРАФИК ОБЯЗАТЕЛЬСТВА</x:v>
      </x:c>
      <x:c r="CA1" s="4" t="str">
        <x:v>ПЛАТА ЗА ИЗМЕНЕНИЕ ВРИ · ГРАФИК ОБЯЗАТЕЛЬСТВА</x:v>
      </x:c>
      <x:c r="CB1" s="4" t="str">
        <x:v>ПЛАТА ЗА ИЗМЕНЕНИЕ ВРИ · ГРАФИК ОБЯЗАТЕЛЬСТВА</x:v>
      </x:c>
      <x:c r="CC1" s="4" t="str">
        <x:v>ПЛАТА ЗА ИЗМЕНЕНИЕ ВРИ · ГРАФИК ОБЯЗАТЕЛЬСТВА</x:v>
      </x:c>
      <x:c r="CD1" s="4" t="str">
        <x:v>ПЛАТА ЗА ИЗМЕНЕНИЕ ВРИ · ГРАФИК ОБЯЗАТЕЛЬСТВА</x:v>
      </x:c>
      <x:c r="CE1" s="4" t="str">
        <x:v>ПЛАТА ЗА ИЗМЕНЕНИЕ ВРИ · ГРАФИК ОБЯЗАТЕЛЬСТВА</x:v>
      </x:c>
      <x:c r="CF1" s="4" t="str">
        <x:v>ПЛАТА ЗА ИЗМЕНЕНИЕ ВРИ · ГРАФИК ОБЯЗАТЕЛЬСТВА</x:v>
      </x:c>
      <x:c r="CG1" s="4" t="str">
        <x:v>ПЛАТА ЗА ИЗМЕНЕНИЕ ВРИ · ГРАФИК ОБЯЗАТЕЛЬСТВА</x:v>
      </x:c>
      <x:c r="CH1" s="4" t="str">
        <x:v>ПЛАТА ЗА ИЗМЕНЕНИЕ ВРИ · ГРАФИК ОБЯЗАТЕЛЬСТВА</x:v>
      </x:c>
      <x:c r="CI1" s="4" t="str">
        <x:v>ПЛАТА ЗА ИЗМЕНЕНИЕ ВРИ · ГРАФИК ОБЯЗАТЕЛЬСТВА</x:v>
      </x:c>
      <x:c r="CJ1" s="4" t="str">
        <x:v>ПЛАТА ЗА ИЗМЕНЕНИЕ ВРИ · ГРАФИК ОБЯЗАТЕЛЬСТВА</x:v>
      </x:c>
      <x:c r="CK1" s="4" t="str">
        <x:v>ПЛАТА ЗА ИЗМЕНЕНИЕ ВРИ · ГРАФИК ОБЯЗАТЕЛЬСТВА</x:v>
      </x:c>
      <x:c r="CL1" s="4" t="str">
        <x:v>ПЛАТА ЗА ИЗМЕНЕНИЕ ВРИ · ГРАФИК ОБЯЗАТЕЛЬСТВА</x:v>
      </x:c>
      <x:c r="CM1" s="4" t="str">
        <x:v>ПЛАТА ЗА ИЗМЕНЕНИЕ ВРИ · ГРАФИК ОБЯЗАТЕЛЬСТВА</x:v>
      </x:c>
      <x:c r="CN1" s="4" t="str">
        <x:v>ПЛАТА ЗА ИЗМЕНЕНИЕ ВРИ · ГРАФИК ОБЯЗАТЕЛЬСТВА</x:v>
      </x:c>
      <x:c r="CO1" s="4" t="str">
        <x:v>ПЛАТА ЗА ИЗМЕНЕНИЕ ВРИ · ГРАФИК ОБЯЗАТЕЛЬСТВА</x:v>
      </x:c>
      <x:c r="CP1" s="4" t="str">
        <x:v>ПЛАТА ЗА ИЗМЕНЕНИЕ ВРИ · ГРАФИК ОБЯЗАТЕЛЬСТВА</x:v>
      </x:c>
      <x:c r="CQ1" s="4" t="str">
        <x:v>ПЛАТА ЗА ИЗМЕНЕНИЕ ВРИ · ГРАФИК ОБЯЗАТЕЛЬСТВА</x:v>
      </x:c>
      <x:c r="CR1" s="4" t="str">
        <x:v>ПЛАТА ЗА ИЗМЕНЕНИЕ ВРИ · ГРАФИК ОБЯЗАТЕЛЬСТВА</x:v>
      </x:c>
      <x:c r="CS1" s="4" t="str">
        <x:v>ПЛАТА ЗА ИЗМЕНЕНИЕ ВРИ · ГРАФИК ОБЯЗАТЕЛЬСТВА</x:v>
      </x:c>
      <x:c r="CT1" s="4" t="str">
        <x:v>ПЛАТА ЗА ИЗМЕНЕНИЕ ВРИ · ГРАФИК ОБЯЗАТЕЛЬСТВА</x:v>
      </x:c>
      <x:c r="CU1" s="4" t="str">
        <x:v>ПЛАТА ЗА ИЗМЕНЕНИЕ ВРИ · ГРАФИК ОБЯЗАТЕЛЬСТВА</x:v>
      </x:c>
      <x:c r="CV1" s="4" t="str">
        <x:v>ПЛАТА ЗА ИЗМЕНЕНИЕ ВРИ · ГРАФИК ОБЯЗАТЕЛЬСТВА</x:v>
      </x:c>
      <x:c r="CW1" s="4" t="str">
        <x:v>ПЛАТА ЗА ИЗМЕНЕНИЕ ВРИ · ГРАФИК ОБЯЗАТЕЛЬСТВА</x:v>
      </x:c>
      <x:c r="CX1" s="4" t="str">
        <x:v>ПЛАТА ЗА ИЗМЕНЕНИЕ ВРИ · ГРАФИК ОБЯЗАТЕЛЬСТВА</x:v>
      </x:c>
      <x:c r="CY1" s="4" t="str">
        <x:v>ПЛАТА ЗА ИЗМЕНЕНИЕ ВРИ · ГРАФИК ОБЯЗАТЕЛЬСТВА</x:v>
      </x:c>
      <x:c r="CZ1" s="4" t="str">
        <x:v>ПЛАТА ЗА ИЗМЕНЕНИЕ ВРИ · ГРАФИК ОБЯЗАТЕЛЬСТВА</x:v>
      </x:c>
      <x:c r="DA1" s="4" t="str">
        <x:v>ПЛАТА ЗА ИЗМЕНЕНИЕ ВРИ · ГРАФИК ОБЯЗАТЕЛЬСТВА</x:v>
      </x:c>
      <x:c r="DB1" s="4" t="str">
        <x:v>ПЛАТА ЗА ИЗМЕНЕНИЕ ВРИ · ГРАФИК ОБЯЗАТЕЛЬСТВА</x:v>
      </x:c>
      <x:c r="DC1" s="4" t="str">
        <x:v>ПЛАТА ЗА ИЗМЕНЕНИЕ ВРИ · ГРАФИК ОБЯЗАТЕЛЬСТВА</x:v>
      </x:c>
      <x:c r="DD1" s="4" t="str">
        <x:v>ПЛАТА ЗА ИЗМЕНЕНИЕ ВРИ · ГРАФИК ОБЯЗАТЕЛЬСТВА</x:v>
      </x:c>
      <x:c r="DE1" s="4" t="str">
        <x:v>ПЛАТА ЗА ИЗМЕНЕНИЕ ВРИ · ГРАФИК ОБЯЗАТЕЛЬСТВА</x:v>
      </x:c>
      <x:c r="DF1" s="4" t="str">
        <x:v>ПЛАТА ЗА ИЗМЕНЕНИЕ ВРИ · ГРАФИК ОБЯЗАТЕЛЬСТВА</x:v>
      </x:c>
      <x:c r="DG1" s="4" t="str">
        <x:v>ПЛАТА ЗА ИЗМЕНЕНИЕ ВРИ · ГРАФИК ОБЯЗАТЕЛЬСТВА</x:v>
      </x:c>
      <x:c r="DH1" s="4" t="str">
        <x:v>ПЛАТА ЗА ИЗМЕНЕНИЕ ВРИ · ГРАФИК ОБЯЗАТЕЛЬСТВА</x:v>
      </x:c>
      <x:c r="DI1" s="4" t="str">
        <x:v>ПЛАТА ЗА ИЗМЕНЕНИЕ ВРИ · ГРАФИК ОБЯЗАТЕЛЬСТВА</x:v>
      </x:c>
      <x:c r="DJ1" s="4" t="str">
        <x:v>ПЛАТА ЗА ИЗМЕНЕНИЕ ВРИ · ГРАФИК ОБЯЗАТЕЛЬСТВА</x:v>
      </x:c>
      <x:c r="DK1" s="4" t="str">
        <x:v>ПЛАТА ЗА ИЗМЕНЕНИЕ ВРИ · ГРАФИК ОБЯЗАТЕЛЬСТВА</x:v>
      </x:c>
      <x:c r="DL1" s="4" t="str">
        <x:v>ПЛАТА ЗА ИЗМЕНЕНИЕ ВРИ · ГРАФИК ОБЯЗАТЕЛЬСТВА</x:v>
      </x:c>
      <x:c r="DM1" s="4" t="str">
        <x:v>ПЛАТА ЗА ИЗМЕНЕНИЕ ВРИ · ГРАФИК ОБЯЗАТЕЛЬСТВА</x:v>
      </x:c>
      <x:c r="DN1" s="4" t="str">
        <x:v>ПЛАТА ЗА ИЗМЕНЕНИЕ ВРИ · ГРАФИК ОБЯЗАТЕЛЬСТВА</x:v>
      </x:c>
      <x:c r="DO1" s="4" t="str">
        <x:v>ПЛАТА ЗА ИЗМЕНЕНИЕ ВРИ · ГРАФИК ОБЯЗАТЕЛЬСТВА</x:v>
      </x:c>
      <x:c r="DP1" s="4" t="str">
        <x:v>ПЛАТА ЗА ИЗМЕНЕНИЕ ВРИ · ГРАФИК ОБЯЗАТЕЛЬСТВА</x:v>
      </x:c>
      <x:c r="DQ1" s="4" t="str">
        <x:v>ПЛАТА ЗА ИЗМЕНЕНИЕ ВРИ · ГРАФИК ОБЯЗАТЕЛЬСТВА</x:v>
      </x:c>
      <x:c r="DR1" s="4" t="str">
        <x:v>ПЛАТА ЗА ИЗМЕНЕНИЕ ВРИ · ГРАФИК ОБЯЗАТЕЛЬСТВА</x:v>
      </x:c>
      <x:c r="DS1" s="4" t="str">
        <x:v>ПЛАТА ЗА ИЗМЕНЕНИЕ ВРИ · ГРАФИК ОБЯЗАТЕЛЬСТВА</x:v>
      </x:c>
    </x:row>
    <x:row r="3">
      <x:c r="A3" s="23" t="str">
        <x:v>Показатель</x:v>
      </x:c>
      <x:c r="B3" s="23" t="str">
        <x:v>Итого / дата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Дата возникновения обязательства</x:v>
      </x:c>
      <x:c r="B7" s="106" t="n">
        <x:f>EDATE('Вводные'!$D$88,'Вводные'!$E$88+'Вводные'!$H$9-'Вводные'!$B$76)</x:f>
      </x:c>
      <x:c r="C7" t="str">
        <x:v>дата</x:v>
      </x:c>
    </x:row>
    <x:row r="8">
      <x:c r="A8" t="str">
        <x:v>Дата открытия ПФ</x:v>
      </x:c>
      <x:c r="B8" s="106" t="n">
        <x:f>EDATE('Вводные'!$D$88,'Вводные'!$E$88+'Вводные'!$H$9)</x:f>
      </x:c>
      <x:c r="C8" t="str">
        <x:v>дата</x:v>
      </x:c>
    </x:row>
    <x:row r="9">
      <x:c r="A9" t="str">
        <x:v>Сумма обязательства после льготы</x:v>
      </x:c>
      <x:c r="B9" s="115" t="n">
        <x:f>IF(AND('Вводные'!$B$88="Да",'Вводные'!$B$74="Да"),MAX(0,'Вводные'!$B$16*'Вводные'!$Q$88-'Вводные'!$B$82*'Вводные'!$Q$88),0)</x:f>
      </x:c>
      <x:c r="C9" t="str">
        <x:v>млн ₽</x:v>
      </x:c>
    </x:row>
    <x:row r="10">
      <x:c r="A10" t="str">
        <x:v>Остаток на начало</x:v>
      </x:c>
      <x:c r="B10" s="107" t="n">
        <x:f>MAX(D10:DS10)</x:f>
      </x:c>
      <x:c r="C10" t="str">
        <x:v>млн ₽</x:v>
      </x:c>
      <x:c r="D10" s="117" t="n">
        <x:f>0</x:f>
      </x:c>
      <x:c r="E10" s="117" t="n">
        <x:f>D16</x:f>
      </x:c>
      <x:c r="F10" s="117" t="n">
        <x:f>E16</x:f>
      </x:c>
      <x:c r="G10" s="117" t="n">
        <x:f>F16</x:f>
      </x:c>
      <x:c r="H10" s="117" t="n">
        <x:f>G16</x:f>
      </x:c>
      <x:c r="I10" s="117" t="n">
        <x:f>H16</x:f>
      </x:c>
      <x:c r="J10" s="117" t="n">
        <x:f>I16</x:f>
      </x:c>
      <x:c r="K10" s="117" t="n">
        <x:f>J16</x:f>
      </x:c>
      <x:c r="L10" s="117" t="n">
        <x:f>K16</x:f>
      </x:c>
      <x:c r="M10" s="117" t="n">
        <x:f>L16</x:f>
      </x:c>
      <x:c r="N10" s="117" t="n">
        <x:f>M16</x:f>
      </x:c>
      <x:c r="O10" s="117" t="n">
        <x:f>N16</x:f>
      </x:c>
      <x:c r="P10" s="117" t="n">
        <x:f>O16</x:f>
      </x:c>
      <x:c r="Q10" s="117" t="n">
        <x:f>P16</x:f>
      </x:c>
      <x:c r="R10" s="117" t="n">
        <x:f>Q16</x:f>
      </x:c>
      <x:c r="S10" s="117" t="n">
        <x:f>R16</x:f>
      </x:c>
      <x:c r="T10" s="117" t="n">
        <x:f>S16</x:f>
      </x:c>
      <x:c r="U10" s="117" t="n">
        <x:f>T16</x:f>
      </x:c>
      <x:c r="V10" s="117" t="n">
        <x:f>U16</x:f>
      </x:c>
      <x:c r="W10" s="117" t="n">
        <x:f>V16</x:f>
      </x:c>
      <x:c r="X10" s="117" t="n">
        <x:f>W16</x:f>
      </x:c>
      <x:c r="Y10" s="117" t="n">
        <x:f>X16</x:f>
      </x:c>
      <x:c r="Z10" s="117" t="n">
        <x:f>Y16</x:f>
      </x:c>
      <x:c r="AA10" s="117" t="n">
        <x:f>Z16</x:f>
      </x:c>
      <x:c r="AB10" s="117" t="n">
        <x:f>AA16</x:f>
      </x:c>
      <x:c r="AC10" s="117" t="n">
        <x:f>AB16</x:f>
      </x:c>
      <x:c r="AD10" s="117" t="n">
        <x:f>AC16</x:f>
      </x:c>
      <x:c r="AE10" s="117" t="n">
        <x:f>AD16</x:f>
      </x:c>
      <x:c r="AF10" s="117" t="n">
        <x:f>AE16</x:f>
      </x:c>
      <x:c r="AG10" s="117" t="n">
        <x:f>AF16</x:f>
      </x:c>
      <x:c r="AH10" s="117" t="n">
        <x:f>AG16</x:f>
      </x:c>
      <x:c r="AI10" s="117" t="n">
        <x:f>AH16</x:f>
      </x:c>
      <x:c r="AJ10" s="117" t="n">
        <x:f>AI16</x:f>
      </x:c>
      <x:c r="AK10" s="117" t="n">
        <x:f>AJ16</x:f>
      </x:c>
      <x:c r="AL10" s="117" t="n">
        <x:f>AK16</x:f>
      </x:c>
      <x:c r="AM10" s="117" t="n">
        <x:f>AL16</x:f>
      </x:c>
      <x:c r="AN10" s="117" t="n">
        <x:f>AM16</x:f>
      </x:c>
      <x:c r="AO10" s="117" t="n">
        <x:f>AN16</x:f>
      </x:c>
      <x:c r="AP10" s="117" t="n">
        <x:f>AO16</x:f>
      </x:c>
      <x:c r="AQ10" s="117" t="n">
        <x:f>AP16</x:f>
      </x:c>
      <x:c r="AR10" s="117" t="n">
        <x:f>AQ16</x:f>
      </x:c>
      <x:c r="AS10" s="117" t="n">
        <x:f>AR16</x:f>
      </x:c>
      <x:c r="AT10" s="117" t="n">
        <x:f>AS16</x:f>
      </x:c>
      <x:c r="AU10" s="117" t="n">
        <x:f>AT16</x:f>
      </x:c>
      <x:c r="AV10" s="117" t="n">
        <x:f>AU16</x:f>
      </x:c>
      <x:c r="AW10" s="117" t="n">
        <x:f>AV16</x:f>
      </x:c>
      <x:c r="AX10" s="117" t="n">
        <x:f>AW16</x:f>
      </x:c>
      <x:c r="AY10" s="117" t="n">
        <x:f>AX16</x:f>
      </x:c>
      <x:c r="AZ10" s="117" t="n">
        <x:f>AY16</x:f>
      </x:c>
      <x:c r="BA10" s="117" t="n">
        <x:f>AZ16</x:f>
      </x:c>
      <x:c r="BB10" s="117" t="n">
        <x:f>BA16</x:f>
      </x:c>
      <x:c r="BC10" s="117" t="n">
        <x:f>BB16</x:f>
      </x:c>
      <x:c r="BD10" s="117" t="n">
        <x:f>BC16</x:f>
      </x:c>
      <x:c r="BE10" s="117" t="n">
        <x:f>BD16</x:f>
      </x:c>
      <x:c r="BF10" s="117" t="n">
        <x:f>BE16</x:f>
      </x:c>
      <x:c r="BG10" s="117" t="n">
        <x:f>BF16</x:f>
      </x:c>
      <x:c r="BH10" s="117" t="n">
        <x:f>BG16</x:f>
      </x:c>
      <x:c r="BI10" s="117" t="n">
        <x:f>BH16</x:f>
      </x:c>
      <x:c r="BJ10" s="117" t="n">
        <x:f>BI16</x:f>
      </x:c>
      <x:c r="BK10" s="117" t="n">
        <x:f>BJ16</x:f>
      </x:c>
      <x:c r="BL10" s="117" t="n">
        <x:f>BK16</x:f>
      </x:c>
      <x:c r="BM10" s="117" t="n">
        <x:f>BL16</x:f>
      </x:c>
      <x:c r="BN10" s="117" t="n">
        <x:f>BM16</x:f>
      </x:c>
      <x:c r="BO10" s="117" t="n">
        <x:f>BN16</x:f>
      </x:c>
      <x:c r="BP10" s="117" t="n">
        <x:f>BO16</x:f>
      </x:c>
      <x:c r="BQ10" s="117" t="n">
        <x:f>BP16</x:f>
      </x:c>
      <x:c r="BR10" s="117" t="n">
        <x:f>BQ16</x:f>
      </x:c>
      <x:c r="BS10" s="117" t="n">
        <x:f>BR16</x:f>
      </x:c>
      <x:c r="BT10" s="117" t="n">
        <x:f>BS16</x:f>
      </x:c>
      <x:c r="BU10" s="117" t="n">
        <x:f>BT16</x:f>
      </x:c>
      <x:c r="BV10" s="117" t="n">
        <x:f>BU16</x:f>
      </x:c>
      <x:c r="BW10" s="117" t="n">
        <x:f>BV16</x:f>
      </x:c>
      <x:c r="BX10" s="117" t="n">
        <x:f>BW16</x:f>
      </x:c>
      <x:c r="BY10" s="117" t="n">
        <x:f>BX16</x:f>
      </x:c>
      <x:c r="BZ10" s="117" t="n">
        <x:f>BY16</x:f>
      </x:c>
      <x:c r="CA10" s="117" t="n">
        <x:f>BZ16</x:f>
      </x:c>
      <x:c r="CB10" s="117" t="n">
        <x:f>CA16</x:f>
      </x:c>
      <x:c r="CC10" s="117" t="n">
        <x:f>CB16</x:f>
      </x:c>
      <x:c r="CD10" s="117" t="n">
        <x:f>CC16</x:f>
      </x:c>
      <x:c r="CE10" s="117" t="n">
        <x:f>CD16</x:f>
      </x:c>
      <x:c r="CF10" s="117" t="n">
        <x:f>CE16</x:f>
      </x:c>
      <x:c r="CG10" s="117" t="n">
        <x:f>CF16</x:f>
      </x:c>
      <x:c r="CH10" s="117" t="n">
        <x:f>CG16</x:f>
      </x:c>
      <x:c r="CI10" s="117" t="n">
        <x:f>CH16</x:f>
      </x:c>
      <x:c r="CJ10" s="117" t="n">
        <x:f>CI16</x:f>
      </x:c>
      <x:c r="CK10" s="117" t="n">
        <x:f>CJ16</x:f>
      </x:c>
      <x:c r="CL10" s="117" t="n">
        <x:f>CK16</x:f>
      </x:c>
      <x:c r="CM10" s="117" t="n">
        <x:f>CL16</x:f>
      </x:c>
      <x:c r="CN10" s="117" t="n">
        <x:f>CM16</x:f>
      </x:c>
      <x:c r="CO10" s="117" t="n">
        <x:f>CN16</x:f>
      </x:c>
      <x:c r="CP10" s="117" t="n">
        <x:f>CO16</x:f>
      </x:c>
      <x:c r="CQ10" s="117" t="n">
        <x:f>CP16</x:f>
      </x:c>
      <x:c r="CR10" s="117" t="n">
        <x:f>CQ16</x:f>
      </x:c>
      <x:c r="CS10" s="117" t="n">
        <x:f>CR16</x:f>
      </x:c>
      <x:c r="CT10" s="117" t="n">
        <x:f>CS16</x:f>
      </x:c>
      <x:c r="CU10" s="117" t="n">
        <x:f>CT16</x:f>
      </x:c>
      <x:c r="CV10" s="117" t="n">
        <x:f>CU16</x:f>
      </x:c>
      <x:c r="CW10" s="117" t="n">
        <x:f>CV16</x:f>
      </x:c>
      <x:c r="CX10" s="117" t="n">
        <x:f>CW16</x:f>
      </x:c>
      <x:c r="CY10" s="117" t="n">
        <x:f>CX16</x:f>
      </x:c>
      <x:c r="CZ10" s="117" t="n">
        <x:f>CY16</x:f>
      </x:c>
      <x:c r="DA10" s="117" t="n">
        <x:f>CZ16</x:f>
      </x:c>
      <x:c r="DB10" s="117" t="n">
        <x:f>DA16</x:f>
      </x:c>
      <x:c r="DC10" s="117" t="n">
        <x:f>DB16</x:f>
      </x:c>
      <x:c r="DD10" s="117" t="n">
        <x:f>DC16</x:f>
      </x:c>
      <x:c r="DE10" s="117" t="n">
        <x:f>DD16</x:f>
      </x:c>
      <x:c r="DF10" s="117" t="n">
        <x:f>DE16</x:f>
      </x:c>
      <x:c r="DG10" s="117" t="n">
        <x:f>DF16</x:f>
      </x:c>
      <x:c r="DH10" s="117" t="n">
        <x:f>DG16</x:f>
      </x:c>
      <x:c r="DI10" s="117" t="n">
        <x:f>DH16</x:f>
      </x:c>
      <x:c r="DJ10" s="117" t="n">
        <x:f>DI16</x:f>
      </x:c>
      <x:c r="DK10" s="117" t="n">
        <x:f>DJ16</x:f>
      </x:c>
      <x:c r="DL10" s="117" t="n">
        <x:f>DK16</x:f>
      </x:c>
      <x:c r="DM10" s="117" t="n">
        <x:f>DL16</x:f>
      </x:c>
      <x:c r="DN10" s="117" t="n">
        <x:f>DM16</x:f>
      </x:c>
      <x:c r="DO10" s="117" t="n">
        <x:f>DN16</x:f>
      </x:c>
      <x:c r="DP10" s="117" t="n">
        <x:f>DO16</x:f>
      </x:c>
      <x:c r="DQ10" s="117" t="n">
        <x:f>DP16</x:f>
      </x:c>
      <x:c r="DR10" s="117" t="n">
        <x:f>DQ16</x:f>
      </x:c>
      <x:c r="DS10" s="117" t="n">
        <x:f>DR16</x:f>
      </x:c>
    </x:row>
    <x:row r="11">
      <x:c r="A11" t="str">
        <x:v>Возникновение обязательства</x:v>
      </x:c>
      <x:c r="B11" s="107" t="n">
        <x:f>SUM(D11:DS11)</x:f>
      </x:c>
      <x:c r="C11" t="str">
        <x:v>млн ₽</x:v>
      </x:c>
      <x:c r="D11" s="117" t="n">
        <x:f>IF(AND(YEAR(D$3)=YEAR($B$7),MONTH(D$3)=MONTH($B$7)),$B$9,0)</x:f>
      </x:c>
      <x:c r="E11" s="117" t="n">
        <x:f>IF(AND(YEAR(E$3)=YEAR($B$7),MONTH(E$3)=MONTH($B$7)),$B$9,0)</x:f>
      </x:c>
      <x:c r="F11" s="117" t="n">
        <x:f>IF(AND(YEAR(F$3)=YEAR($B$7),MONTH(F$3)=MONTH($B$7)),$B$9,0)</x:f>
      </x:c>
      <x:c r="G11" s="117" t="n">
        <x:f>IF(AND(YEAR(G$3)=YEAR($B$7),MONTH(G$3)=MONTH($B$7)),$B$9,0)</x:f>
      </x:c>
      <x:c r="H11" s="117" t="n">
        <x:f>IF(AND(YEAR(H$3)=YEAR($B$7),MONTH(H$3)=MONTH($B$7)),$B$9,0)</x:f>
      </x:c>
      <x:c r="I11" s="117" t="n">
        <x:f>IF(AND(YEAR(I$3)=YEAR($B$7),MONTH(I$3)=MONTH($B$7)),$B$9,0)</x:f>
      </x:c>
      <x:c r="J11" s="117" t="n">
        <x:f>IF(AND(YEAR(J$3)=YEAR($B$7),MONTH(J$3)=MONTH($B$7)),$B$9,0)</x:f>
      </x:c>
      <x:c r="K11" s="117" t="n">
        <x:f>IF(AND(YEAR(K$3)=YEAR($B$7),MONTH(K$3)=MONTH($B$7)),$B$9,0)</x:f>
      </x:c>
      <x:c r="L11" s="117" t="n">
        <x:f>IF(AND(YEAR(L$3)=YEAR($B$7),MONTH(L$3)=MONTH($B$7)),$B$9,0)</x:f>
      </x:c>
      <x:c r="M11" s="117" t="n">
        <x:f>IF(AND(YEAR(M$3)=YEAR($B$7),MONTH(M$3)=MONTH($B$7)),$B$9,0)</x:f>
      </x:c>
      <x:c r="N11" s="117" t="n">
        <x:f>IF(AND(YEAR(N$3)=YEAR($B$7),MONTH(N$3)=MONTH($B$7)),$B$9,0)</x:f>
      </x:c>
      <x:c r="O11" s="117" t="n">
        <x:f>IF(AND(YEAR(O$3)=YEAR($B$7),MONTH(O$3)=MONTH($B$7)),$B$9,0)</x:f>
      </x:c>
      <x:c r="P11" s="117" t="n">
        <x:f>IF(AND(YEAR(P$3)=YEAR($B$7),MONTH(P$3)=MONTH($B$7)),$B$9,0)</x:f>
      </x:c>
      <x:c r="Q11" s="117" t="n">
        <x:f>IF(AND(YEAR(Q$3)=YEAR($B$7),MONTH(Q$3)=MONTH($B$7)),$B$9,0)</x:f>
      </x:c>
      <x:c r="R11" s="117" t="n">
        <x:f>IF(AND(YEAR(R$3)=YEAR($B$7),MONTH(R$3)=MONTH($B$7)),$B$9,0)</x:f>
      </x:c>
      <x:c r="S11" s="117" t="n">
        <x:f>IF(AND(YEAR(S$3)=YEAR($B$7),MONTH(S$3)=MONTH($B$7)),$B$9,0)</x:f>
      </x:c>
      <x:c r="T11" s="117" t="n">
        <x:f>IF(AND(YEAR(T$3)=YEAR($B$7),MONTH(T$3)=MONTH($B$7)),$B$9,0)</x:f>
      </x:c>
      <x:c r="U11" s="117" t="n">
        <x:f>IF(AND(YEAR(U$3)=YEAR($B$7),MONTH(U$3)=MONTH($B$7)),$B$9,0)</x:f>
      </x:c>
      <x:c r="V11" s="117" t="n">
        <x:f>IF(AND(YEAR(V$3)=YEAR($B$7),MONTH(V$3)=MONTH($B$7)),$B$9,0)</x:f>
      </x:c>
      <x:c r="W11" s="117" t="n">
        <x:f>IF(AND(YEAR(W$3)=YEAR($B$7),MONTH(W$3)=MONTH($B$7)),$B$9,0)</x:f>
      </x:c>
      <x:c r="X11" s="117" t="n">
        <x:f>IF(AND(YEAR(X$3)=YEAR($B$7),MONTH(X$3)=MONTH($B$7)),$B$9,0)</x:f>
      </x:c>
      <x:c r="Y11" s="117" t="n">
        <x:f>IF(AND(YEAR(Y$3)=YEAR($B$7),MONTH(Y$3)=MONTH($B$7)),$B$9,0)</x:f>
      </x:c>
      <x:c r="Z11" s="117" t="n">
        <x:f>IF(AND(YEAR(Z$3)=YEAR($B$7),MONTH(Z$3)=MONTH($B$7)),$B$9,0)</x:f>
      </x:c>
      <x:c r="AA11" s="117" t="n">
        <x:f>IF(AND(YEAR(AA$3)=YEAR($B$7),MONTH(AA$3)=MONTH($B$7)),$B$9,0)</x:f>
      </x:c>
      <x:c r="AB11" s="117" t="n">
        <x:f>IF(AND(YEAR(AB$3)=YEAR($B$7),MONTH(AB$3)=MONTH($B$7)),$B$9,0)</x:f>
      </x:c>
      <x:c r="AC11" s="117" t="n">
        <x:f>IF(AND(YEAR(AC$3)=YEAR($B$7),MONTH(AC$3)=MONTH($B$7)),$B$9,0)</x:f>
      </x:c>
      <x:c r="AD11" s="117" t="n">
        <x:f>IF(AND(YEAR(AD$3)=YEAR($B$7),MONTH(AD$3)=MONTH($B$7)),$B$9,0)</x:f>
      </x:c>
      <x:c r="AE11" s="117" t="n">
        <x:f>IF(AND(YEAR(AE$3)=YEAR($B$7),MONTH(AE$3)=MONTH($B$7)),$B$9,0)</x:f>
      </x:c>
      <x:c r="AF11" s="117" t="n">
        <x:f>IF(AND(YEAR(AF$3)=YEAR($B$7),MONTH(AF$3)=MONTH($B$7)),$B$9,0)</x:f>
      </x:c>
      <x:c r="AG11" s="117" t="n">
        <x:f>IF(AND(YEAR(AG$3)=YEAR($B$7),MONTH(AG$3)=MONTH($B$7)),$B$9,0)</x:f>
      </x:c>
      <x:c r="AH11" s="117" t="n">
        <x:f>IF(AND(YEAR(AH$3)=YEAR($B$7),MONTH(AH$3)=MONTH($B$7)),$B$9,0)</x:f>
      </x:c>
      <x:c r="AI11" s="117" t="n">
        <x:f>IF(AND(YEAR(AI$3)=YEAR($B$7),MONTH(AI$3)=MONTH($B$7)),$B$9,0)</x:f>
      </x:c>
      <x:c r="AJ11" s="117" t="n">
        <x:f>IF(AND(YEAR(AJ$3)=YEAR($B$7),MONTH(AJ$3)=MONTH($B$7)),$B$9,0)</x:f>
      </x:c>
      <x:c r="AK11" s="117" t="n">
        <x:f>IF(AND(YEAR(AK$3)=YEAR($B$7),MONTH(AK$3)=MONTH($B$7)),$B$9,0)</x:f>
      </x:c>
      <x:c r="AL11" s="117" t="n">
        <x:f>IF(AND(YEAR(AL$3)=YEAR($B$7),MONTH(AL$3)=MONTH($B$7)),$B$9,0)</x:f>
      </x:c>
      <x:c r="AM11" s="117" t="n">
        <x:f>IF(AND(YEAR(AM$3)=YEAR($B$7),MONTH(AM$3)=MONTH($B$7)),$B$9,0)</x:f>
      </x:c>
      <x:c r="AN11" s="117" t="n">
        <x:f>IF(AND(YEAR(AN$3)=YEAR($B$7),MONTH(AN$3)=MONTH($B$7)),$B$9,0)</x:f>
      </x:c>
      <x:c r="AO11" s="117" t="n">
        <x:f>IF(AND(YEAR(AO$3)=YEAR($B$7),MONTH(AO$3)=MONTH($B$7)),$B$9,0)</x:f>
      </x:c>
      <x:c r="AP11" s="117" t="n">
        <x:f>IF(AND(YEAR(AP$3)=YEAR($B$7),MONTH(AP$3)=MONTH($B$7)),$B$9,0)</x:f>
      </x:c>
      <x:c r="AQ11" s="117" t="n">
        <x:f>IF(AND(YEAR(AQ$3)=YEAR($B$7),MONTH(AQ$3)=MONTH($B$7)),$B$9,0)</x:f>
      </x:c>
      <x:c r="AR11" s="117" t="n">
        <x:f>IF(AND(YEAR(AR$3)=YEAR($B$7),MONTH(AR$3)=MONTH($B$7)),$B$9,0)</x:f>
      </x:c>
      <x:c r="AS11" s="117" t="n">
        <x:f>IF(AND(YEAR(AS$3)=YEAR($B$7),MONTH(AS$3)=MONTH($B$7)),$B$9,0)</x:f>
      </x:c>
      <x:c r="AT11" s="117" t="n">
        <x:f>IF(AND(YEAR(AT$3)=YEAR($B$7),MONTH(AT$3)=MONTH($B$7)),$B$9,0)</x:f>
      </x:c>
      <x:c r="AU11" s="117" t="n">
        <x:f>IF(AND(YEAR(AU$3)=YEAR($B$7),MONTH(AU$3)=MONTH($B$7)),$B$9,0)</x:f>
      </x:c>
      <x:c r="AV11" s="117" t="n">
        <x:f>IF(AND(YEAR(AV$3)=YEAR($B$7),MONTH(AV$3)=MONTH($B$7)),$B$9,0)</x:f>
      </x:c>
      <x:c r="AW11" s="117" t="n">
        <x:f>IF(AND(YEAR(AW$3)=YEAR($B$7),MONTH(AW$3)=MONTH($B$7)),$B$9,0)</x:f>
      </x:c>
      <x:c r="AX11" s="117" t="n">
        <x:f>IF(AND(YEAR(AX$3)=YEAR($B$7),MONTH(AX$3)=MONTH($B$7)),$B$9,0)</x:f>
      </x:c>
      <x:c r="AY11" s="117" t="n">
        <x:f>IF(AND(YEAR(AY$3)=YEAR($B$7),MONTH(AY$3)=MONTH($B$7)),$B$9,0)</x:f>
      </x:c>
      <x:c r="AZ11" s="117" t="n">
        <x:f>IF(AND(YEAR(AZ$3)=YEAR($B$7),MONTH(AZ$3)=MONTH($B$7)),$B$9,0)</x:f>
      </x:c>
      <x:c r="BA11" s="117" t="n">
        <x:f>IF(AND(YEAR(BA$3)=YEAR($B$7),MONTH(BA$3)=MONTH($B$7)),$B$9,0)</x:f>
      </x:c>
      <x:c r="BB11" s="117" t="n">
        <x:f>IF(AND(YEAR(BB$3)=YEAR($B$7),MONTH(BB$3)=MONTH($B$7)),$B$9,0)</x:f>
      </x:c>
      <x:c r="BC11" s="117" t="n">
        <x:f>IF(AND(YEAR(BC$3)=YEAR($B$7),MONTH(BC$3)=MONTH($B$7)),$B$9,0)</x:f>
      </x:c>
      <x:c r="BD11" s="117" t="n">
        <x:f>IF(AND(YEAR(BD$3)=YEAR($B$7),MONTH(BD$3)=MONTH($B$7)),$B$9,0)</x:f>
      </x:c>
      <x:c r="BE11" s="117" t="n">
        <x:f>IF(AND(YEAR(BE$3)=YEAR($B$7),MONTH(BE$3)=MONTH($B$7)),$B$9,0)</x:f>
      </x:c>
      <x:c r="BF11" s="117" t="n">
        <x:f>IF(AND(YEAR(BF$3)=YEAR($B$7),MONTH(BF$3)=MONTH($B$7)),$B$9,0)</x:f>
      </x:c>
      <x:c r="BG11" s="117" t="n">
        <x:f>IF(AND(YEAR(BG$3)=YEAR($B$7),MONTH(BG$3)=MONTH($B$7)),$B$9,0)</x:f>
      </x:c>
      <x:c r="BH11" s="117" t="n">
        <x:f>IF(AND(YEAR(BH$3)=YEAR($B$7),MONTH(BH$3)=MONTH($B$7)),$B$9,0)</x:f>
      </x:c>
      <x:c r="BI11" s="117" t="n">
        <x:f>IF(AND(YEAR(BI$3)=YEAR($B$7),MONTH(BI$3)=MONTH($B$7)),$B$9,0)</x:f>
      </x:c>
      <x:c r="BJ11" s="117" t="n">
        <x:f>IF(AND(YEAR(BJ$3)=YEAR($B$7),MONTH(BJ$3)=MONTH($B$7)),$B$9,0)</x:f>
      </x:c>
      <x:c r="BK11" s="117" t="n">
        <x:f>IF(AND(YEAR(BK$3)=YEAR($B$7),MONTH(BK$3)=MONTH($B$7)),$B$9,0)</x:f>
      </x:c>
      <x:c r="BL11" s="117" t="n">
        <x:f>IF(AND(YEAR(BL$3)=YEAR($B$7),MONTH(BL$3)=MONTH($B$7)),$B$9,0)</x:f>
      </x:c>
      <x:c r="BM11" s="117" t="n">
        <x:f>IF(AND(YEAR(BM$3)=YEAR($B$7),MONTH(BM$3)=MONTH($B$7)),$B$9,0)</x:f>
      </x:c>
      <x:c r="BN11" s="117" t="n">
        <x:f>IF(AND(YEAR(BN$3)=YEAR($B$7),MONTH(BN$3)=MONTH($B$7)),$B$9,0)</x:f>
      </x:c>
      <x:c r="BO11" s="117" t="n">
        <x:f>IF(AND(YEAR(BO$3)=YEAR($B$7),MONTH(BO$3)=MONTH($B$7)),$B$9,0)</x:f>
      </x:c>
      <x:c r="BP11" s="117" t="n">
        <x:f>IF(AND(YEAR(BP$3)=YEAR($B$7),MONTH(BP$3)=MONTH($B$7)),$B$9,0)</x:f>
      </x:c>
      <x:c r="BQ11" s="117" t="n">
        <x:f>IF(AND(YEAR(BQ$3)=YEAR($B$7),MONTH(BQ$3)=MONTH($B$7)),$B$9,0)</x:f>
      </x:c>
      <x:c r="BR11" s="117" t="n">
        <x:f>IF(AND(YEAR(BR$3)=YEAR($B$7),MONTH(BR$3)=MONTH($B$7)),$B$9,0)</x:f>
      </x:c>
      <x:c r="BS11" s="117" t="n">
        <x:f>IF(AND(YEAR(BS$3)=YEAR($B$7),MONTH(BS$3)=MONTH($B$7)),$B$9,0)</x:f>
      </x:c>
      <x:c r="BT11" s="117" t="n">
        <x:f>IF(AND(YEAR(BT$3)=YEAR($B$7),MONTH(BT$3)=MONTH($B$7)),$B$9,0)</x:f>
      </x:c>
      <x:c r="BU11" s="117" t="n">
        <x:f>IF(AND(YEAR(BU$3)=YEAR($B$7),MONTH(BU$3)=MONTH($B$7)),$B$9,0)</x:f>
      </x:c>
      <x:c r="BV11" s="117" t="n">
        <x:f>IF(AND(YEAR(BV$3)=YEAR($B$7),MONTH(BV$3)=MONTH($B$7)),$B$9,0)</x:f>
      </x:c>
      <x:c r="BW11" s="117" t="n">
        <x:f>IF(AND(YEAR(BW$3)=YEAR($B$7),MONTH(BW$3)=MONTH($B$7)),$B$9,0)</x:f>
      </x:c>
      <x:c r="BX11" s="117" t="n">
        <x:f>IF(AND(YEAR(BX$3)=YEAR($B$7),MONTH(BX$3)=MONTH($B$7)),$B$9,0)</x:f>
      </x:c>
      <x:c r="BY11" s="117" t="n">
        <x:f>IF(AND(YEAR(BY$3)=YEAR($B$7),MONTH(BY$3)=MONTH($B$7)),$B$9,0)</x:f>
      </x:c>
      <x:c r="BZ11" s="117" t="n">
        <x:f>IF(AND(YEAR(BZ$3)=YEAR($B$7),MONTH(BZ$3)=MONTH($B$7)),$B$9,0)</x:f>
      </x:c>
      <x:c r="CA11" s="117" t="n">
        <x:f>IF(AND(YEAR(CA$3)=YEAR($B$7),MONTH(CA$3)=MONTH($B$7)),$B$9,0)</x:f>
      </x:c>
      <x:c r="CB11" s="117" t="n">
        <x:f>IF(AND(YEAR(CB$3)=YEAR($B$7),MONTH(CB$3)=MONTH($B$7)),$B$9,0)</x:f>
      </x:c>
      <x:c r="CC11" s="117" t="n">
        <x:f>IF(AND(YEAR(CC$3)=YEAR($B$7),MONTH(CC$3)=MONTH($B$7)),$B$9,0)</x:f>
      </x:c>
      <x:c r="CD11" s="117" t="n">
        <x:f>IF(AND(YEAR(CD$3)=YEAR($B$7),MONTH(CD$3)=MONTH($B$7)),$B$9,0)</x:f>
      </x:c>
      <x:c r="CE11" s="117" t="n">
        <x:f>IF(AND(YEAR(CE$3)=YEAR($B$7),MONTH(CE$3)=MONTH($B$7)),$B$9,0)</x:f>
      </x:c>
      <x:c r="CF11" s="117" t="n">
        <x:f>IF(AND(YEAR(CF$3)=YEAR($B$7),MONTH(CF$3)=MONTH($B$7)),$B$9,0)</x:f>
      </x:c>
      <x:c r="CG11" s="117" t="n">
        <x:f>IF(AND(YEAR(CG$3)=YEAR($B$7),MONTH(CG$3)=MONTH($B$7)),$B$9,0)</x:f>
      </x:c>
      <x:c r="CH11" s="117" t="n">
        <x:f>IF(AND(YEAR(CH$3)=YEAR($B$7),MONTH(CH$3)=MONTH($B$7)),$B$9,0)</x:f>
      </x:c>
      <x:c r="CI11" s="117" t="n">
        <x:f>IF(AND(YEAR(CI$3)=YEAR($B$7),MONTH(CI$3)=MONTH($B$7)),$B$9,0)</x:f>
      </x:c>
      <x:c r="CJ11" s="117" t="n">
        <x:f>IF(AND(YEAR(CJ$3)=YEAR($B$7),MONTH(CJ$3)=MONTH($B$7)),$B$9,0)</x:f>
      </x:c>
      <x:c r="CK11" s="117" t="n">
        <x:f>IF(AND(YEAR(CK$3)=YEAR($B$7),MONTH(CK$3)=MONTH($B$7)),$B$9,0)</x:f>
      </x:c>
      <x:c r="CL11" s="117" t="n">
        <x:f>IF(AND(YEAR(CL$3)=YEAR($B$7),MONTH(CL$3)=MONTH($B$7)),$B$9,0)</x:f>
      </x:c>
      <x:c r="CM11" s="117" t="n">
        <x:f>IF(AND(YEAR(CM$3)=YEAR($B$7),MONTH(CM$3)=MONTH($B$7)),$B$9,0)</x:f>
      </x:c>
      <x:c r="CN11" s="117" t="n">
        <x:f>IF(AND(YEAR(CN$3)=YEAR($B$7),MONTH(CN$3)=MONTH($B$7)),$B$9,0)</x:f>
      </x:c>
      <x:c r="CO11" s="117" t="n">
        <x:f>IF(AND(YEAR(CO$3)=YEAR($B$7),MONTH(CO$3)=MONTH($B$7)),$B$9,0)</x:f>
      </x:c>
      <x:c r="CP11" s="117" t="n">
        <x:f>IF(AND(YEAR(CP$3)=YEAR($B$7),MONTH(CP$3)=MONTH($B$7)),$B$9,0)</x:f>
      </x:c>
      <x:c r="CQ11" s="117" t="n">
        <x:f>IF(AND(YEAR(CQ$3)=YEAR($B$7),MONTH(CQ$3)=MONTH($B$7)),$B$9,0)</x:f>
      </x:c>
      <x:c r="CR11" s="117" t="n">
        <x:f>IF(AND(YEAR(CR$3)=YEAR($B$7),MONTH(CR$3)=MONTH($B$7)),$B$9,0)</x:f>
      </x:c>
      <x:c r="CS11" s="117" t="n">
        <x:f>IF(AND(YEAR(CS$3)=YEAR($B$7),MONTH(CS$3)=MONTH($B$7)),$B$9,0)</x:f>
      </x:c>
      <x:c r="CT11" s="117" t="n">
        <x:f>IF(AND(YEAR(CT$3)=YEAR($B$7),MONTH(CT$3)=MONTH($B$7)),$B$9,0)</x:f>
      </x:c>
      <x:c r="CU11" s="117" t="n">
        <x:f>IF(AND(YEAR(CU$3)=YEAR($B$7),MONTH(CU$3)=MONTH($B$7)),$B$9,0)</x:f>
      </x:c>
      <x:c r="CV11" s="117" t="n">
        <x:f>IF(AND(YEAR(CV$3)=YEAR($B$7),MONTH(CV$3)=MONTH($B$7)),$B$9,0)</x:f>
      </x:c>
      <x:c r="CW11" s="117" t="n">
        <x:f>IF(AND(YEAR(CW$3)=YEAR($B$7),MONTH(CW$3)=MONTH($B$7)),$B$9,0)</x:f>
      </x:c>
      <x:c r="CX11" s="117" t="n">
        <x:f>IF(AND(YEAR(CX$3)=YEAR($B$7),MONTH(CX$3)=MONTH($B$7)),$B$9,0)</x:f>
      </x:c>
      <x:c r="CY11" s="117" t="n">
        <x:f>IF(AND(YEAR(CY$3)=YEAR($B$7),MONTH(CY$3)=MONTH($B$7)),$B$9,0)</x:f>
      </x:c>
      <x:c r="CZ11" s="117" t="n">
        <x:f>IF(AND(YEAR(CZ$3)=YEAR($B$7),MONTH(CZ$3)=MONTH($B$7)),$B$9,0)</x:f>
      </x:c>
      <x:c r="DA11" s="117" t="n">
        <x:f>IF(AND(YEAR(DA$3)=YEAR($B$7),MONTH(DA$3)=MONTH($B$7)),$B$9,0)</x:f>
      </x:c>
      <x:c r="DB11" s="117" t="n">
        <x:f>IF(AND(YEAR(DB$3)=YEAR($B$7),MONTH(DB$3)=MONTH($B$7)),$B$9,0)</x:f>
      </x:c>
      <x:c r="DC11" s="117" t="n">
        <x:f>IF(AND(YEAR(DC$3)=YEAR($B$7),MONTH(DC$3)=MONTH($B$7)),$B$9,0)</x:f>
      </x:c>
      <x:c r="DD11" s="117" t="n">
        <x:f>IF(AND(YEAR(DD$3)=YEAR($B$7),MONTH(DD$3)=MONTH($B$7)),$B$9,0)</x:f>
      </x:c>
      <x:c r="DE11" s="117" t="n">
        <x:f>IF(AND(YEAR(DE$3)=YEAR($B$7),MONTH(DE$3)=MONTH($B$7)),$B$9,0)</x:f>
      </x:c>
      <x:c r="DF11" s="117" t="n">
        <x:f>IF(AND(YEAR(DF$3)=YEAR($B$7),MONTH(DF$3)=MONTH($B$7)),$B$9,0)</x:f>
      </x:c>
      <x:c r="DG11" s="117" t="n">
        <x:f>IF(AND(YEAR(DG$3)=YEAR($B$7),MONTH(DG$3)=MONTH($B$7)),$B$9,0)</x:f>
      </x:c>
      <x:c r="DH11" s="117" t="n">
        <x:f>IF(AND(YEAR(DH$3)=YEAR($B$7),MONTH(DH$3)=MONTH($B$7)),$B$9,0)</x:f>
      </x:c>
      <x:c r="DI11" s="117" t="n">
        <x:f>IF(AND(YEAR(DI$3)=YEAR($B$7),MONTH(DI$3)=MONTH($B$7)),$B$9,0)</x:f>
      </x:c>
      <x:c r="DJ11" s="117" t="n">
        <x:f>IF(AND(YEAR(DJ$3)=YEAR($B$7),MONTH(DJ$3)=MONTH($B$7)),$B$9,0)</x:f>
      </x:c>
      <x:c r="DK11" s="117" t="n">
        <x:f>IF(AND(YEAR(DK$3)=YEAR($B$7),MONTH(DK$3)=MONTH($B$7)),$B$9,0)</x:f>
      </x:c>
      <x:c r="DL11" s="117" t="n">
        <x:f>IF(AND(YEAR(DL$3)=YEAR($B$7),MONTH(DL$3)=MONTH($B$7)),$B$9,0)</x:f>
      </x:c>
      <x:c r="DM11" s="117" t="n">
        <x:f>IF(AND(YEAR(DM$3)=YEAR($B$7),MONTH(DM$3)=MONTH($B$7)),$B$9,0)</x:f>
      </x:c>
      <x:c r="DN11" s="117" t="n">
        <x:f>IF(AND(YEAR(DN$3)=YEAR($B$7),MONTH(DN$3)=MONTH($B$7)),$B$9,0)</x:f>
      </x:c>
      <x:c r="DO11" s="117" t="n">
        <x:f>IF(AND(YEAR(DO$3)=YEAR($B$7),MONTH(DO$3)=MONTH($B$7)),$B$9,0)</x:f>
      </x:c>
      <x:c r="DP11" s="117" t="n">
        <x:f>IF(AND(YEAR(DP$3)=YEAR($B$7),MONTH(DP$3)=MONTH($B$7)),$B$9,0)</x:f>
      </x:c>
      <x:c r="DQ11" s="117" t="n">
        <x:f>IF(AND(YEAR(DQ$3)=YEAR($B$7),MONTH(DQ$3)=MONTH($B$7)),$B$9,0)</x:f>
      </x:c>
      <x:c r="DR11" s="117" t="n">
        <x:f>IF(AND(YEAR(DR$3)=YEAR($B$7),MONTH(DR$3)=MONTH($B$7)),$B$9,0)</x:f>
      </x:c>
      <x:c r="DS11" s="117" t="n">
        <x:f>IF(AND(YEAR(DS$3)=YEAR($B$7),MONTH(DS$3)=MONTH($B$7)),$B$9,0)</x:f>
      </x:c>
    </x:row>
    <x:row r="12">
      <x:c r="A12" t="str">
        <x:v>Погашение основного долга</x:v>
      </x:c>
      <x:c r="B12" s="107" t="n">
        <x:f>SUM(D12:DS12)</x:f>
      </x:c>
      <x:c r="C12" t="str">
        <x:v>млн ₽</x:v>
      </x:c>
      <x:c r="D12" s="117" t="n">
        <x:f>MIN(D10+D11,IF('Вводные'!$B$75="Единовременно",D11,IF(AND('Вводные'!$B$84="Да",YEAR(D$3)=YEAR($B$8),MONTH(D$3)=MONTH($B$8)),D10+D11,IF(AND((12*(YEAR(D$3)-YEAR($B$7))+MONTH(D$3)-MONTH($B$7))&gt;0,MOD((12*(YEAR(D$3)-YEAR($B$7))+MONTH(D$3)-MONTH($B$7)),'Вводные'!$B$78)=0,(12*(YEAR(D$3)-YEAR($B$7))+MONTH(D$3)-MONTH($B$7))&lt;='Вводные'!$B$77*12),$B$9/MAX(1,'Вводные'!$B$79),0))))</x:f>
      </x:c>
      <x:c r="E12" s="117" t="n">
        <x:f>MIN(E10+E11,IF('Вводные'!$B$75="Единовременно",E11,IF(AND('Вводные'!$B$84="Да",YEAR(E$3)=YEAR($B$8),MONTH(E$3)=MONTH($B$8)),E10+E11,IF(AND((12*(YEAR(E$3)-YEAR($B$7))+MONTH(E$3)-MONTH($B$7))&gt;0,MOD((12*(YEAR(E$3)-YEAR($B$7))+MONTH(E$3)-MONTH($B$7)),'Вводные'!$B$78)=0,(12*(YEAR(E$3)-YEAR($B$7))+MONTH(E$3)-MONTH($B$7))&lt;='Вводные'!$B$77*12),$B$9/MAX(1,'Вводные'!$B$79),0))))</x:f>
      </x:c>
      <x:c r="F12" s="117" t="n">
        <x:f>MIN(F10+F11,IF('Вводные'!$B$75="Единовременно",F11,IF(AND('Вводные'!$B$84="Да",YEAR(F$3)=YEAR($B$8),MONTH(F$3)=MONTH($B$8)),F10+F11,IF(AND((12*(YEAR(F$3)-YEAR($B$7))+MONTH(F$3)-MONTH($B$7))&gt;0,MOD((12*(YEAR(F$3)-YEAR($B$7))+MONTH(F$3)-MONTH($B$7)),'Вводные'!$B$78)=0,(12*(YEAR(F$3)-YEAR($B$7))+MONTH(F$3)-MONTH($B$7))&lt;='Вводные'!$B$77*12),$B$9/MAX(1,'Вводные'!$B$79),0))))</x:f>
      </x:c>
      <x:c r="G12" s="117" t="n">
        <x:f>MIN(G10+G11,IF('Вводные'!$B$75="Единовременно",G11,IF(AND('Вводные'!$B$84="Да",YEAR(G$3)=YEAR($B$8),MONTH(G$3)=MONTH($B$8)),G10+G11,IF(AND((12*(YEAR(G$3)-YEAR($B$7))+MONTH(G$3)-MONTH($B$7))&gt;0,MOD((12*(YEAR(G$3)-YEAR($B$7))+MONTH(G$3)-MONTH($B$7)),'Вводные'!$B$78)=0,(12*(YEAR(G$3)-YEAR($B$7))+MONTH(G$3)-MONTH($B$7))&lt;='Вводные'!$B$77*12),$B$9/MAX(1,'Вводные'!$B$79),0))))</x:f>
      </x:c>
      <x:c r="H12" s="117" t="n">
        <x:f>MIN(H10+H11,IF('Вводные'!$B$75="Единовременно",H11,IF(AND('Вводные'!$B$84="Да",YEAR(H$3)=YEAR($B$8),MONTH(H$3)=MONTH($B$8)),H10+H11,IF(AND((12*(YEAR(H$3)-YEAR($B$7))+MONTH(H$3)-MONTH($B$7))&gt;0,MOD((12*(YEAR(H$3)-YEAR($B$7))+MONTH(H$3)-MONTH($B$7)),'Вводные'!$B$78)=0,(12*(YEAR(H$3)-YEAR($B$7))+MONTH(H$3)-MONTH($B$7))&lt;='Вводные'!$B$77*12),$B$9/MAX(1,'Вводные'!$B$79),0))))</x:f>
      </x:c>
      <x:c r="I12" s="117" t="n">
        <x:f>MIN(I10+I11,IF('Вводные'!$B$75="Единовременно",I11,IF(AND('Вводные'!$B$84="Да",YEAR(I$3)=YEAR($B$8),MONTH(I$3)=MONTH($B$8)),I10+I11,IF(AND((12*(YEAR(I$3)-YEAR($B$7))+MONTH(I$3)-MONTH($B$7))&gt;0,MOD((12*(YEAR(I$3)-YEAR($B$7))+MONTH(I$3)-MONTH($B$7)),'Вводные'!$B$78)=0,(12*(YEAR(I$3)-YEAR($B$7))+MONTH(I$3)-MONTH($B$7))&lt;='Вводные'!$B$77*12),$B$9/MAX(1,'Вводные'!$B$79),0))))</x:f>
      </x:c>
      <x:c r="J12" s="117" t="n">
        <x:f>MIN(J10+J11,IF('Вводные'!$B$75="Единовременно",J11,IF(AND('Вводные'!$B$84="Да",YEAR(J$3)=YEAR($B$8),MONTH(J$3)=MONTH($B$8)),J10+J11,IF(AND((12*(YEAR(J$3)-YEAR($B$7))+MONTH(J$3)-MONTH($B$7))&gt;0,MOD((12*(YEAR(J$3)-YEAR($B$7))+MONTH(J$3)-MONTH($B$7)),'Вводные'!$B$78)=0,(12*(YEAR(J$3)-YEAR($B$7))+MONTH(J$3)-MONTH($B$7))&lt;='Вводные'!$B$77*12),$B$9/MAX(1,'Вводные'!$B$79),0))))</x:f>
      </x:c>
      <x:c r="K12" s="117" t="n">
        <x:f>MIN(K10+K11,IF('Вводные'!$B$75="Единовременно",K11,IF(AND('Вводные'!$B$84="Да",YEAR(K$3)=YEAR($B$8),MONTH(K$3)=MONTH($B$8)),K10+K11,IF(AND((12*(YEAR(K$3)-YEAR($B$7))+MONTH(K$3)-MONTH($B$7))&gt;0,MOD((12*(YEAR(K$3)-YEAR($B$7))+MONTH(K$3)-MONTH($B$7)),'Вводные'!$B$78)=0,(12*(YEAR(K$3)-YEAR($B$7))+MONTH(K$3)-MONTH($B$7))&lt;='Вводные'!$B$77*12),$B$9/MAX(1,'Вводные'!$B$79),0))))</x:f>
      </x:c>
      <x:c r="L12" s="117" t="n">
        <x:f>MIN(L10+L11,IF('Вводные'!$B$75="Единовременно",L11,IF(AND('Вводные'!$B$84="Да",YEAR(L$3)=YEAR($B$8),MONTH(L$3)=MONTH($B$8)),L10+L11,IF(AND((12*(YEAR(L$3)-YEAR($B$7))+MONTH(L$3)-MONTH($B$7))&gt;0,MOD((12*(YEAR(L$3)-YEAR($B$7))+MONTH(L$3)-MONTH($B$7)),'Вводные'!$B$78)=0,(12*(YEAR(L$3)-YEAR($B$7))+MONTH(L$3)-MONTH($B$7))&lt;='Вводные'!$B$77*12),$B$9/MAX(1,'Вводные'!$B$79),0))))</x:f>
      </x:c>
      <x:c r="M12" s="117" t="n">
        <x:f>MIN(M10+M11,IF('Вводные'!$B$75="Единовременно",M11,IF(AND('Вводные'!$B$84="Да",YEAR(M$3)=YEAR($B$8),MONTH(M$3)=MONTH($B$8)),M10+M11,IF(AND((12*(YEAR(M$3)-YEAR($B$7))+MONTH(M$3)-MONTH($B$7))&gt;0,MOD((12*(YEAR(M$3)-YEAR($B$7))+MONTH(M$3)-MONTH($B$7)),'Вводные'!$B$78)=0,(12*(YEAR(M$3)-YEAR($B$7))+MONTH(M$3)-MONTH($B$7))&lt;='Вводные'!$B$77*12),$B$9/MAX(1,'Вводные'!$B$79),0))))</x:f>
      </x:c>
      <x:c r="N12" s="117" t="n">
        <x:f>MIN(N10+N11,IF('Вводные'!$B$75="Единовременно",N11,IF(AND('Вводные'!$B$84="Да",YEAR(N$3)=YEAR($B$8),MONTH(N$3)=MONTH($B$8)),N10+N11,IF(AND((12*(YEAR(N$3)-YEAR($B$7))+MONTH(N$3)-MONTH($B$7))&gt;0,MOD((12*(YEAR(N$3)-YEAR($B$7))+MONTH(N$3)-MONTH($B$7)),'Вводные'!$B$78)=0,(12*(YEAR(N$3)-YEAR($B$7))+MONTH(N$3)-MONTH($B$7))&lt;='Вводные'!$B$77*12),$B$9/MAX(1,'Вводные'!$B$79),0))))</x:f>
      </x:c>
      <x:c r="O12" s="117" t="n">
        <x:f>MIN(O10+O11,IF('Вводные'!$B$75="Единовременно",O11,IF(AND('Вводные'!$B$84="Да",YEAR(O$3)=YEAR($B$8),MONTH(O$3)=MONTH($B$8)),O10+O11,IF(AND((12*(YEAR(O$3)-YEAR($B$7))+MONTH(O$3)-MONTH($B$7))&gt;0,MOD((12*(YEAR(O$3)-YEAR($B$7))+MONTH(O$3)-MONTH($B$7)),'Вводные'!$B$78)=0,(12*(YEAR(O$3)-YEAR($B$7))+MONTH(O$3)-MONTH($B$7))&lt;='Вводные'!$B$77*12),$B$9/MAX(1,'Вводные'!$B$79),0))))</x:f>
      </x:c>
      <x:c r="P12" s="117" t="n">
        <x:f>MIN(P10+P11,IF('Вводные'!$B$75="Единовременно",P11,IF(AND('Вводные'!$B$84="Да",YEAR(P$3)=YEAR($B$8),MONTH(P$3)=MONTH($B$8)),P10+P11,IF(AND((12*(YEAR(P$3)-YEAR($B$7))+MONTH(P$3)-MONTH($B$7))&gt;0,MOD((12*(YEAR(P$3)-YEAR($B$7))+MONTH(P$3)-MONTH($B$7)),'Вводные'!$B$78)=0,(12*(YEAR(P$3)-YEAR($B$7))+MONTH(P$3)-MONTH($B$7))&lt;='Вводные'!$B$77*12),$B$9/MAX(1,'Вводные'!$B$79),0))))</x:f>
      </x:c>
      <x:c r="Q12" s="117" t="n">
        <x:f>MIN(Q10+Q11,IF('Вводные'!$B$75="Единовременно",Q11,IF(AND('Вводные'!$B$84="Да",YEAR(Q$3)=YEAR($B$8),MONTH(Q$3)=MONTH($B$8)),Q10+Q11,IF(AND((12*(YEAR(Q$3)-YEAR($B$7))+MONTH(Q$3)-MONTH($B$7))&gt;0,MOD((12*(YEAR(Q$3)-YEAR($B$7))+MONTH(Q$3)-MONTH($B$7)),'Вводные'!$B$78)=0,(12*(YEAR(Q$3)-YEAR($B$7))+MONTH(Q$3)-MONTH($B$7))&lt;='Вводные'!$B$77*12),$B$9/MAX(1,'Вводные'!$B$79),0))))</x:f>
      </x:c>
      <x:c r="R12" s="117" t="n">
        <x:f>MIN(R10+R11,IF('Вводные'!$B$75="Единовременно",R11,IF(AND('Вводные'!$B$84="Да",YEAR(R$3)=YEAR($B$8),MONTH(R$3)=MONTH($B$8)),R10+R11,IF(AND((12*(YEAR(R$3)-YEAR($B$7))+MONTH(R$3)-MONTH($B$7))&gt;0,MOD((12*(YEAR(R$3)-YEAR($B$7))+MONTH(R$3)-MONTH($B$7)),'Вводные'!$B$78)=0,(12*(YEAR(R$3)-YEAR($B$7))+MONTH(R$3)-MONTH($B$7))&lt;='Вводные'!$B$77*12),$B$9/MAX(1,'Вводные'!$B$79),0))))</x:f>
      </x:c>
      <x:c r="S12" s="117" t="n">
        <x:f>MIN(S10+S11,IF('Вводные'!$B$75="Единовременно",S11,IF(AND('Вводные'!$B$84="Да",YEAR(S$3)=YEAR($B$8),MONTH(S$3)=MONTH($B$8)),S10+S11,IF(AND((12*(YEAR(S$3)-YEAR($B$7))+MONTH(S$3)-MONTH($B$7))&gt;0,MOD((12*(YEAR(S$3)-YEAR($B$7))+MONTH(S$3)-MONTH($B$7)),'Вводные'!$B$78)=0,(12*(YEAR(S$3)-YEAR($B$7))+MONTH(S$3)-MONTH($B$7))&lt;='Вводные'!$B$77*12),$B$9/MAX(1,'Вводные'!$B$79),0))))</x:f>
      </x:c>
      <x:c r="T12" s="117" t="n">
        <x:f>MIN(T10+T11,IF('Вводные'!$B$75="Единовременно",T11,IF(AND('Вводные'!$B$84="Да",YEAR(T$3)=YEAR($B$8),MONTH(T$3)=MONTH($B$8)),T10+T11,IF(AND((12*(YEAR(T$3)-YEAR($B$7))+MONTH(T$3)-MONTH($B$7))&gt;0,MOD((12*(YEAR(T$3)-YEAR($B$7))+MONTH(T$3)-MONTH($B$7)),'Вводные'!$B$78)=0,(12*(YEAR(T$3)-YEAR($B$7))+MONTH(T$3)-MONTH($B$7))&lt;='Вводные'!$B$77*12),$B$9/MAX(1,'Вводные'!$B$79),0))))</x:f>
      </x:c>
      <x:c r="U12" s="117" t="n">
        <x:f>MIN(U10+U11,IF('Вводные'!$B$75="Единовременно",U11,IF(AND('Вводные'!$B$84="Да",YEAR(U$3)=YEAR($B$8),MONTH(U$3)=MONTH($B$8)),U10+U11,IF(AND((12*(YEAR(U$3)-YEAR($B$7))+MONTH(U$3)-MONTH($B$7))&gt;0,MOD((12*(YEAR(U$3)-YEAR($B$7))+MONTH(U$3)-MONTH($B$7)),'Вводные'!$B$78)=0,(12*(YEAR(U$3)-YEAR($B$7))+MONTH(U$3)-MONTH($B$7))&lt;='Вводные'!$B$77*12),$B$9/MAX(1,'Вводные'!$B$79),0))))</x:f>
      </x:c>
      <x:c r="V12" s="117" t="n">
        <x:f>MIN(V10+V11,IF('Вводные'!$B$75="Единовременно",V11,IF(AND('Вводные'!$B$84="Да",YEAR(V$3)=YEAR($B$8),MONTH(V$3)=MONTH($B$8)),V10+V11,IF(AND((12*(YEAR(V$3)-YEAR($B$7))+MONTH(V$3)-MONTH($B$7))&gt;0,MOD((12*(YEAR(V$3)-YEAR($B$7))+MONTH(V$3)-MONTH($B$7)),'Вводные'!$B$78)=0,(12*(YEAR(V$3)-YEAR($B$7))+MONTH(V$3)-MONTH($B$7))&lt;='Вводные'!$B$77*12),$B$9/MAX(1,'Вводные'!$B$79),0))))</x:f>
      </x:c>
      <x:c r="W12" s="117" t="n">
        <x:f>MIN(W10+W11,IF('Вводные'!$B$75="Единовременно",W11,IF(AND('Вводные'!$B$84="Да",YEAR(W$3)=YEAR($B$8),MONTH(W$3)=MONTH($B$8)),W10+W11,IF(AND((12*(YEAR(W$3)-YEAR($B$7))+MONTH(W$3)-MONTH($B$7))&gt;0,MOD((12*(YEAR(W$3)-YEAR($B$7))+MONTH(W$3)-MONTH($B$7)),'Вводные'!$B$78)=0,(12*(YEAR(W$3)-YEAR($B$7))+MONTH(W$3)-MONTH($B$7))&lt;='Вводные'!$B$77*12),$B$9/MAX(1,'Вводные'!$B$79),0))))</x:f>
      </x:c>
      <x:c r="X12" s="117" t="n">
        <x:f>MIN(X10+X11,IF('Вводные'!$B$75="Единовременно",X11,IF(AND('Вводные'!$B$84="Да",YEAR(X$3)=YEAR($B$8),MONTH(X$3)=MONTH($B$8)),X10+X11,IF(AND((12*(YEAR(X$3)-YEAR($B$7))+MONTH(X$3)-MONTH($B$7))&gt;0,MOD((12*(YEAR(X$3)-YEAR($B$7))+MONTH(X$3)-MONTH($B$7)),'Вводные'!$B$78)=0,(12*(YEAR(X$3)-YEAR($B$7))+MONTH(X$3)-MONTH($B$7))&lt;='Вводные'!$B$77*12),$B$9/MAX(1,'Вводные'!$B$79),0))))</x:f>
      </x:c>
      <x:c r="Y12" s="117" t="n">
        <x:f>MIN(Y10+Y11,IF('Вводные'!$B$75="Единовременно",Y11,IF(AND('Вводные'!$B$84="Да",YEAR(Y$3)=YEAR($B$8),MONTH(Y$3)=MONTH($B$8)),Y10+Y11,IF(AND((12*(YEAR(Y$3)-YEAR($B$7))+MONTH(Y$3)-MONTH($B$7))&gt;0,MOD((12*(YEAR(Y$3)-YEAR($B$7))+MONTH(Y$3)-MONTH($B$7)),'Вводные'!$B$78)=0,(12*(YEAR(Y$3)-YEAR($B$7))+MONTH(Y$3)-MONTH($B$7))&lt;='Вводные'!$B$77*12),$B$9/MAX(1,'Вводные'!$B$79),0))))</x:f>
      </x:c>
      <x:c r="Z12" s="117" t="n">
        <x:f>MIN(Z10+Z11,IF('Вводные'!$B$75="Единовременно",Z11,IF(AND('Вводные'!$B$84="Да",YEAR(Z$3)=YEAR($B$8),MONTH(Z$3)=MONTH($B$8)),Z10+Z11,IF(AND((12*(YEAR(Z$3)-YEAR($B$7))+MONTH(Z$3)-MONTH($B$7))&gt;0,MOD((12*(YEAR(Z$3)-YEAR($B$7))+MONTH(Z$3)-MONTH($B$7)),'Вводные'!$B$78)=0,(12*(YEAR(Z$3)-YEAR($B$7))+MONTH(Z$3)-MONTH($B$7))&lt;='Вводные'!$B$77*12),$B$9/MAX(1,'Вводные'!$B$79),0))))</x:f>
      </x:c>
      <x:c r="AA12" s="117" t="n">
        <x:f>MIN(AA10+AA11,IF('Вводные'!$B$75="Единовременно",AA11,IF(AND('Вводные'!$B$84="Да",YEAR(AA$3)=YEAR($B$8),MONTH(AA$3)=MONTH($B$8)),AA10+AA11,IF(AND((12*(YEAR(AA$3)-YEAR($B$7))+MONTH(AA$3)-MONTH($B$7))&gt;0,MOD((12*(YEAR(AA$3)-YEAR($B$7))+MONTH(AA$3)-MONTH($B$7)),'Вводные'!$B$78)=0,(12*(YEAR(AA$3)-YEAR($B$7))+MONTH(AA$3)-MONTH($B$7))&lt;='Вводные'!$B$77*12),$B$9/MAX(1,'Вводные'!$B$79),0))))</x:f>
      </x:c>
      <x:c r="AB12" s="117" t="n">
        <x:f>MIN(AB10+AB11,IF('Вводные'!$B$75="Единовременно",AB11,IF(AND('Вводные'!$B$84="Да",YEAR(AB$3)=YEAR($B$8),MONTH(AB$3)=MONTH($B$8)),AB10+AB11,IF(AND((12*(YEAR(AB$3)-YEAR($B$7))+MONTH(AB$3)-MONTH($B$7))&gt;0,MOD((12*(YEAR(AB$3)-YEAR($B$7))+MONTH(AB$3)-MONTH($B$7)),'Вводные'!$B$78)=0,(12*(YEAR(AB$3)-YEAR($B$7))+MONTH(AB$3)-MONTH($B$7))&lt;='Вводные'!$B$77*12),$B$9/MAX(1,'Вводные'!$B$79),0))))</x:f>
      </x:c>
      <x:c r="AC12" s="117" t="n">
        <x:f>MIN(AC10+AC11,IF('Вводные'!$B$75="Единовременно",AC11,IF(AND('Вводные'!$B$84="Да",YEAR(AC$3)=YEAR($B$8),MONTH(AC$3)=MONTH($B$8)),AC10+AC11,IF(AND((12*(YEAR(AC$3)-YEAR($B$7))+MONTH(AC$3)-MONTH($B$7))&gt;0,MOD((12*(YEAR(AC$3)-YEAR($B$7))+MONTH(AC$3)-MONTH($B$7)),'Вводные'!$B$78)=0,(12*(YEAR(AC$3)-YEAR($B$7))+MONTH(AC$3)-MONTH($B$7))&lt;='Вводные'!$B$77*12),$B$9/MAX(1,'Вводные'!$B$79),0))))</x:f>
      </x:c>
      <x:c r="AD12" s="117" t="n">
        <x:f>MIN(AD10+AD11,IF('Вводные'!$B$75="Единовременно",AD11,IF(AND('Вводные'!$B$84="Да",YEAR(AD$3)=YEAR($B$8),MONTH(AD$3)=MONTH($B$8)),AD10+AD11,IF(AND((12*(YEAR(AD$3)-YEAR($B$7))+MONTH(AD$3)-MONTH($B$7))&gt;0,MOD((12*(YEAR(AD$3)-YEAR($B$7))+MONTH(AD$3)-MONTH($B$7)),'Вводные'!$B$78)=0,(12*(YEAR(AD$3)-YEAR($B$7))+MONTH(AD$3)-MONTH($B$7))&lt;='Вводные'!$B$77*12),$B$9/MAX(1,'Вводные'!$B$79),0))))</x:f>
      </x:c>
      <x:c r="AE12" s="117" t="n">
        <x:f>MIN(AE10+AE11,IF('Вводные'!$B$75="Единовременно",AE11,IF(AND('Вводные'!$B$84="Да",YEAR(AE$3)=YEAR($B$8),MONTH(AE$3)=MONTH($B$8)),AE10+AE11,IF(AND((12*(YEAR(AE$3)-YEAR($B$7))+MONTH(AE$3)-MONTH($B$7))&gt;0,MOD((12*(YEAR(AE$3)-YEAR($B$7))+MONTH(AE$3)-MONTH($B$7)),'Вводные'!$B$78)=0,(12*(YEAR(AE$3)-YEAR($B$7))+MONTH(AE$3)-MONTH($B$7))&lt;='Вводные'!$B$77*12),$B$9/MAX(1,'Вводные'!$B$79),0))))</x:f>
      </x:c>
      <x:c r="AF12" s="117" t="n">
        <x:f>MIN(AF10+AF11,IF('Вводные'!$B$75="Единовременно",AF11,IF(AND('Вводные'!$B$84="Да",YEAR(AF$3)=YEAR($B$8),MONTH(AF$3)=MONTH($B$8)),AF10+AF11,IF(AND((12*(YEAR(AF$3)-YEAR($B$7))+MONTH(AF$3)-MONTH($B$7))&gt;0,MOD((12*(YEAR(AF$3)-YEAR($B$7))+MONTH(AF$3)-MONTH($B$7)),'Вводные'!$B$78)=0,(12*(YEAR(AF$3)-YEAR($B$7))+MONTH(AF$3)-MONTH($B$7))&lt;='Вводные'!$B$77*12),$B$9/MAX(1,'Вводные'!$B$79),0))))</x:f>
      </x:c>
      <x:c r="AG12" s="117" t="n">
        <x:f>MIN(AG10+AG11,IF('Вводные'!$B$75="Единовременно",AG11,IF(AND('Вводные'!$B$84="Да",YEAR(AG$3)=YEAR($B$8),MONTH(AG$3)=MONTH($B$8)),AG10+AG11,IF(AND((12*(YEAR(AG$3)-YEAR($B$7))+MONTH(AG$3)-MONTH($B$7))&gt;0,MOD((12*(YEAR(AG$3)-YEAR($B$7))+MONTH(AG$3)-MONTH($B$7)),'Вводные'!$B$78)=0,(12*(YEAR(AG$3)-YEAR($B$7))+MONTH(AG$3)-MONTH($B$7))&lt;='Вводные'!$B$77*12),$B$9/MAX(1,'Вводные'!$B$79),0))))</x:f>
      </x:c>
      <x:c r="AH12" s="117" t="n">
        <x:f>MIN(AH10+AH11,IF('Вводные'!$B$75="Единовременно",AH11,IF(AND('Вводные'!$B$84="Да",YEAR(AH$3)=YEAR($B$8),MONTH(AH$3)=MONTH($B$8)),AH10+AH11,IF(AND((12*(YEAR(AH$3)-YEAR($B$7))+MONTH(AH$3)-MONTH($B$7))&gt;0,MOD((12*(YEAR(AH$3)-YEAR($B$7))+MONTH(AH$3)-MONTH($B$7)),'Вводные'!$B$78)=0,(12*(YEAR(AH$3)-YEAR($B$7))+MONTH(AH$3)-MONTH($B$7))&lt;='Вводные'!$B$77*12),$B$9/MAX(1,'Вводные'!$B$79),0))))</x:f>
      </x:c>
      <x:c r="AI12" s="117" t="n">
        <x:f>MIN(AI10+AI11,IF('Вводные'!$B$75="Единовременно",AI11,IF(AND('Вводные'!$B$84="Да",YEAR(AI$3)=YEAR($B$8),MONTH(AI$3)=MONTH($B$8)),AI10+AI11,IF(AND((12*(YEAR(AI$3)-YEAR($B$7))+MONTH(AI$3)-MONTH($B$7))&gt;0,MOD((12*(YEAR(AI$3)-YEAR($B$7))+MONTH(AI$3)-MONTH($B$7)),'Вводные'!$B$78)=0,(12*(YEAR(AI$3)-YEAR($B$7))+MONTH(AI$3)-MONTH($B$7))&lt;='Вводные'!$B$77*12),$B$9/MAX(1,'Вводные'!$B$79),0))))</x:f>
      </x:c>
      <x:c r="AJ12" s="117" t="n">
        <x:f>MIN(AJ10+AJ11,IF('Вводные'!$B$75="Единовременно",AJ11,IF(AND('Вводные'!$B$84="Да",YEAR(AJ$3)=YEAR($B$8),MONTH(AJ$3)=MONTH($B$8)),AJ10+AJ11,IF(AND((12*(YEAR(AJ$3)-YEAR($B$7))+MONTH(AJ$3)-MONTH($B$7))&gt;0,MOD((12*(YEAR(AJ$3)-YEAR($B$7))+MONTH(AJ$3)-MONTH($B$7)),'Вводные'!$B$78)=0,(12*(YEAR(AJ$3)-YEAR($B$7))+MONTH(AJ$3)-MONTH($B$7))&lt;='Вводные'!$B$77*12),$B$9/MAX(1,'Вводные'!$B$79),0))))</x:f>
      </x:c>
      <x:c r="AK12" s="117" t="n">
        <x:f>MIN(AK10+AK11,IF('Вводные'!$B$75="Единовременно",AK11,IF(AND('Вводные'!$B$84="Да",YEAR(AK$3)=YEAR($B$8),MONTH(AK$3)=MONTH($B$8)),AK10+AK11,IF(AND((12*(YEAR(AK$3)-YEAR($B$7))+MONTH(AK$3)-MONTH($B$7))&gt;0,MOD((12*(YEAR(AK$3)-YEAR($B$7))+MONTH(AK$3)-MONTH($B$7)),'Вводные'!$B$78)=0,(12*(YEAR(AK$3)-YEAR($B$7))+MONTH(AK$3)-MONTH($B$7))&lt;='Вводные'!$B$77*12),$B$9/MAX(1,'Вводные'!$B$79),0))))</x:f>
      </x:c>
      <x:c r="AL12" s="117" t="n">
        <x:f>MIN(AL10+AL11,IF('Вводные'!$B$75="Единовременно",AL11,IF(AND('Вводные'!$B$84="Да",YEAR(AL$3)=YEAR($B$8),MONTH(AL$3)=MONTH($B$8)),AL10+AL11,IF(AND((12*(YEAR(AL$3)-YEAR($B$7))+MONTH(AL$3)-MONTH($B$7))&gt;0,MOD((12*(YEAR(AL$3)-YEAR($B$7))+MONTH(AL$3)-MONTH($B$7)),'Вводные'!$B$78)=0,(12*(YEAR(AL$3)-YEAR($B$7))+MONTH(AL$3)-MONTH($B$7))&lt;='Вводные'!$B$77*12),$B$9/MAX(1,'Вводные'!$B$79),0))))</x:f>
      </x:c>
      <x:c r="AM12" s="117" t="n">
        <x:f>MIN(AM10+AM11,IF('Вводные'!$B$75="Единовременно",AM11,IF(AND('Вводные'!$B$84="Да",YEAR(AM$3)=YEAR($B$8),MONTH(AM$3)=MONTH($B$8)),AM10+AM11,IF(AND((12*(YEAR(AM$3)-YEAR($B$7))+MONTH(AM$3)-MONTH($B$7))&gt;0,MOD((12*(YEAR(AM$3)-YEAR($B$7))+MONTH(AM$3)-MONTH($B$7)),'Вводные'!$B$78)=0,(12*(YEAR(AM$3)-YEAR($B$7))+MONTH(AM$3)-MONTH($B$7))&lt;='Вводные'!$B$77*12),$B$9/MAX(1,'Вводные'!$B$79),0))))</x:f>
      </x:c>
      <x:c r="AN12" s="117" t="n">
        <x:f>MIN(AN10+AN11,IF('Вводные'!$B$75="Единовременно",AN11,IF(AND('Вводные'!$B$84="Да",YEAR(AN$3)=YEAR($B$8),MONTH(AN$3)=MONTH($B$8)),AN10+AN11,IF(AND((12*(YEAR(AN$3)-YEAR($B$7))+MONTH(AN$3)-MONTH($B$7))&gt;0,MOD((12*(YEAR(AN$3)-YEAR($B$7))+MONTH(AN$3)-MONTH($B$7)),'Вводные'!$B$78)=0,(12*(YEAR(AN$3)-YEAR($B$7))+MONTH(AN$3)-MONTH($B$7))&lt;='Вводные'!$B$77*12),$B$9/MAX(1,'Вводные'!$B$79),0))))</x:f>
      </x:c>
      <x:c r="AO12" s="117" t="n">
        <x:f>MIN(AO10+AO11,IF('Вводные'!$B$75="Единовременно",AO11,IF(AND('Вводные'!$B$84="Да",YEAR(AO$3)=YEAR($B$8),MONTH(AO$3)=MONTH($B$8)),AO10+AO11,IF(AND((12*(YEAR(AO$3)-YEAR($B$7))+MONTH(AO$3)-MONTH($B$7))&gt;0,MOD((12*(YEAR(AO$3)-YEAR($B$7))+MONTH(AO$3)-MONTH($B$7)),'Вводные'!$B$78)=0,(12*(YEAR(AO$3)-YEAR($B$7))+MONTH(AO$3)-MONTH($B$7))&lt;='Вводные'!$B$77*12),$B$9/MAX(1,'Вводные'!$B$79),0))))</x:f>
      </x:c>
      <x:c r="AP12" s="117" t="n">
        <x:f>MIN(AP10+AP11,IF('Вводные'!$B$75="Единовременно",AP11,IF(AND('Вводные'!$B$84="Да",YEAR(AP$3)=YEAR($B$8),MONTH(AP$3)=MONTH($B$8)),AP10+AP11,IF(AND((12*(YEAR(AP$3)-YEAR($B$7))+MONTH(AP$3)-MONTH($B$7))&gt;0,MOD((12*(YEAR(AP$3)-YEAR($B$7))+MONTH(AP$3)-MONTH($B$7)),'Вводные'!$B$78)=0,(12*(YEAR(AP$3)-YEAR($B$7))+MONTH(AP$3)-MONTH($B$7))&lt;='Вводные'!$B$77*12),$B$9/MAX(1,'Вводные'!$B$79),0))))</x:f>
      </x:c>
      <x:c r="AQ12" s="117" t="n">
        <x:f>MIN(AQ10+AQ11,IF('Вводные'!$B$75="Единовременно",AQ11,IF(AND('Вводные'!$B$84="Да",YEAR(AQ$3)=YEAR($B$8),MONTH(AQ$3)=MONTH($B$8)),AQ10+AQ11,IF(AND((12*(YEAR(AQ$3)-YEAR($B$7))+MONTH(AQ$3)-MONTH($B$7))&gt;0,MOD((12*(YEAR(AQ$3)-YEAR($B$7))+MONTH(AQ$3)-MONTH($B$7)),'Вводные'!$B$78)=0,(12*(YEAR(AQ$3)-YEAR($B$7))+MONTH(AQ$3)-MONTH($B$7))&lt;='Вводные'!$B$77*12),$B$9/MAX(1,'Вводные'!$B$79),0))))</x:f>
      </x:c>
      <x:c r="AR12" s="117" t="n">
        <x:f>MIN(AR10+AR11,IF('Вводные'!$B$75="Единовременно",AR11,IF(AND('Вводные'!$B$84="Да",YEAR(AR$3)=YEAR($B$8),MONTH(AR$3)=MONTH($B$8)),AR10+AR11,IF(AND((12*(YEAR(AR$3)-YEAR($B$7))+MONTH(AR$3)-MONTH($B$7))&gt;0,MOD((12*(YEAR(AR$3)-YEAR($B$7))+MONTH(AR$3)-MONTH($B$7)),'Вводные'!$B$78)=0,(12*(YEAR(AR$3)-YEAR($B$7))+MONTH(AR$3)-MONTH($B$7))&lt;='Вводные'!$B$77*12),$B$9/MAX(1,'Вводные'!$B$79),0))))</x:f>
      </x:c>
      <x:c r="AS12" s="117" t="n">
        <x:f>MIN(AS10+AS11,IF('Вводные'!$B$75="Единовременно",AS11,IF(AND('Вводные'!$B$84="Да",YEAR(AS$3)=YEAR($B$8),MONTH(AS$3)=MONTH($B$8)),AS10+AS11,IF(AND((12*(YEAR(AS$3)-YEAR($B$7))+MONTH(AS$3)-MONTH($B$7))&gt;0,MOD((12*(YEAR(AS$3)-YEAR($B$7))+MONTH(AS$3)-MONTH($B$7)),'Вводные'!$B$78)=0,(12*(YEAR(AS$3)-YEAR($B$7))+MONTH(AS$3)-MONTH($B$7))&lt;='Вводные'!$B$77*12),$B$9/MAX(1,'Вводные'!$B$79),0))))</x:f>
      </x:c>
      <x:c r="AT12" s="117" t="n">
        <x:f>MIN(AT10+AT11,IF('Вводные'!$B$75="Единовременно",AT11,IF(AND('Вводные'!$B$84="Да",YEAR(AT$3)=YEAR($B$8),MONTH(AT$3)=MONTH($B$8)),AT10+AT11,IF(AND((12*(YEAR(AT$3)-YEAR($B$7))+MONTH(AT$3)-MONTH($B$7))&gt;0,MOD((12*(YEAR(AT$3)-YEAR($B$7))+MONTH(AT$3)-MONTH($B$7)),'Вводные'!$B$78)=0,(12*(YEAR(AT$3)-YEAR($B$7))+MONTH(AT$3)-MONTH($B$7))&lt;='Вводные'!$B$77*12),$B$9/MAX(1,'Вводные'!$B$79),0))))</x:f>
      </x:c>
      <x:c r="AU12" s="117" t="n">
        <x:f>MIN(AU10+AU11,IF('Вводные'!$B$75="Единовременно",AU11,IF(AND('Вводные'!$B$84="Да",YEAR(AU$3)=YEAR($B$8),MONTH(AU$3)=MONTH($B$8)),AU10+AU11,IF(AND((12*(YEAR(AU$3)-YEAR($B$7))+MONTH(AU$3)-MONTH($B$7))&gt;0,MOD((12*(YEAR(AU$3)-YEAR($B$7))+MONTH(AU$3)-MONTH($B$7)),'Вводные'!$B$78)=0,(12*(YEAR(AU$3)-YEAR($B$7))+MONTH(AU$3)-MONTH($B$7))&lt;='Вводные'!$B$77*12),$B$9/MAX(1,'Вводные'!$B$79),0))))</x:f>
      </x:c>
      <x:c r="AV12" s="117" t="n">
        <x:f>MIN(AV10+AV11,IF('Вводные'!$B$75="Единовременно",AV11,IF(AND('Вводные'!$B$84="Да",YEAR(AV$3)=YEAR($B$8),MONTH(AV$3)=MONTH($B$8)),AV10+AV11,IF(AND((12*(YEAR(AV$3)-YEAR($B$7))+MONTH(AV$3)-MONTH($B$7))&gt;0,MOD((12*(YEAR(AV$3)-YEAR($B$7))+MONTH(AV$3)-MONTH($B$7)),'Вводные'!$B$78)=0,(12*(YEAR(AV$3)-YEAR($B$7))+MONTH(AV$3)-MONTH($B$7))&lt;='Вводные'!$B$77*12),$B$9/MAX(1,'Вводные'!$B$79),0))))</x:f>
      </x:c>
      <x:c r="AW12" s="117" t="n">
        <x:f>MIN(AW10+AW11,IF('Вводные'!$B$75="Единовременно",AW11,IF(AND('Вводные'!$B$84="Да",YEAR(AW$3)=YEAR($B$8),MONTH(AW$3)=MONTH($B$8)),AW10+AW11,IF(AND((12*(YEAR(AW$3)-YEAR($B$7))+MONTH(AW$3)-MONTH($B$7))&gt;0,MOD((12*(YEAR(AW$3)-YEAR($B$7))+MONTH(AW$3)-MONTH($B$7)),'Вводные'!$B$78)=0,(12*(YEAR(AW$3)-YEAR($B$7))+MONTH(AW$3)-MONTH($B$7))&lt;='Вводные'!$B$77*12),$B$9/MAX(1,'Вводные'!$B$79),0))))</x:f>
      </x:c>
      <x:c r="AX12" s="117" t="n">
        <x:f>MIN(AX10+AX11,IF('Вводные'!$B$75="Единовременно",AX11,IF(AND('Вводные'!$B$84="Да",YEAR(AX$3)=YEAR($B$8),MONTH(AX$3)=MONTH($B$8)),AX10+AX11,IF(AND((12*(YEAR(AX$3)-YEAR($B$7))+MONTH(AX$3)-MONTH($B$7))&gt;0,MOD((12*(YEAR(AX$3)-YEAR($B$7))+MONTH(AX$3)-MONTH($B$7)),'Вводные'!$B$78)=0,(12*(YEAR(AX$3)-YEAR($B$7))+MONTH(AX$3)-MONTH($B$7))&lt;='Вводные'!$B$77*12),$B$9/MAX(1,'Вводные'!$B$79),0))))</x:f>
      </x:c>
      <x:c r="AY12" s="117" t="n">
        <x:f>MIN(AY10+AY11,IF('Вводные'!$B$75="Единовременно",AY11,IF(AND('Вводные'!$B$84="Да",YEAR(AY$3)=YEAR($B$8),MONTH(AY$3)=MONTH($B$8)),AY10+AY11,IF(AND((12*(YEAR(AY$3)-YEAR($B$7))+MONTH(AY$3)-MONTH($B$7))&gt;0,MOD((12*(YEAR(AY$3)-YEAR($B$7))+MONTH(AY$3)-MONTH($B$7)),'Вводные'!$B$78)=0,(12*(YEAR(AY$3)-YEAR($B$7))+MONTH(AY$3)-MONTH($B$7))&lt;='Вводные'!$B$77*12),$B$9/MAX(1,'Вводные'!$B$79),0))))</x:f>
      </x:c>
      <x:c r="AZ12" s="117" t="n">
        <x:f>MIN(AZ10+AZ11,IF('Вводные'!$B$75="Единовременно",AZ11,IF(AND('Вводные'!$B$84="Да",YEAR(AZ$3)=YEAR($B$8),MONTH(AZ$3)=MONTH($B$8)),AZ10+AZ11,IF(AND((12*(YEAR(AZ$3)-YEAR($B$7))+MONTH(AZ$3)-MONTH($B$7))&gt;0,MOD((12*(YEAR(AZ$3)-YEAR($B$7))+MONTH(AZ$3)-MONTH($B$7)),'Вводные'!$B$78)=0,(12*(YEAR(AZ$3)-YEAR($B$7))+MONTH(AZ$3)-MONTH($B$7))&lt;='Вводные'!$B$77*12),$B$9/MAX(1,'Вводные'!$B$79),0))))</x:f>
      </x:c>
      <x:c r="BA12" s="117" t="n">
        <x:f>MIN(BA10+BA11,IF('Вводные'!$B$75="Единовременно",BA11,IF(AND('Вводные'!$B$84="Да",YEAR(BA$3)=YEAR($B$8),MONTH(BA$3)=MONTH($B$8)),BA10+BA11,IF(AND((12*(YEAR(BA$3)-YEAR($B$7))+MONTH(BA$3)-MONTH($B$7))&gt;0,MOD((12*(YEAR(BA$3)-YEAR($B$7))+MONTH(BA$3)-MONTH($B$7)),'Вводные'!$B$78)=0,(12*(YEAR(BA$3)-YEAR($B$7))+MONTH(BA$3)-MONTH($B$7))&lt;='Вводные'!$B$77*12),$B$9/MAX(1,'Вводные'!$B$79),0))))</x:f>
      </x:c>
      <x:c r="BB12" s="117" t="n">
        <x:f>MIN(BB10+BB11,IF('Вводные'!$B$75="Единовременно",BB11,IF(AND('Вводные'!$B$84="Да",YEAR(BB$3)=YEAR($B$8),MONTH(BB$3)=MONTH($B$8)),BB10+BB11,IF(AND((12*(YEAR(BB$3)-YEAR($B$7))+MONTH(BB$3)-MONTH($B$7))&gt;0,MOD((12*(YEAR(BB$3)-YEAR($B$7))+MONTH(BB$3)-MONTH($B$7)),'Вводные'!$B$78)=0,(12*(YEAR(BB$3)-YEAR($B$7))+MONTH(BB$3)-MONTH($B$7))&lt;='Вводные'!$B$77*12),$B$9/MAX(1,'Вводные'!$B$79),0))))</x:f>
      </x:c>
      <x:c r="BC12" s="117" t="n">
        <x:f>MIN(BC10+BC11,IF('Вводные'!$B$75="Единовременно",BC11,IF(AND('Вводные'!$B$84="Да",YEAR(BC$3)=YEAR($B$8),MONTH(BC$3)=MONTH($B$8)),BC10+BC11,IF(AND((12*(YEAR(BC$3)-YEAR($B$7))+MONTH(BC$3)-MONTH($B$7))&gt;0,MOD((12*(YEAR(BC$3)-YEAR($B$7))+MONTH(BC$3)-MONTH($B$7)),'Вводные'!$B$78)=0,(12*(YEAR(BC$3)-YEAR($B$7))+MONTH(BC$3)-MONTH($B$7))&lt;='Вводные'!$B$77*12),$B$9/MAX(1,'Вводные'!$B$79),0))))</x:f>
      </x:c>
      <x:c r="BD12" s="117" t="n">
        <x:f>MIN(BD10+BD11,IF('Вводные'!$B$75="Единовременно",BD11,IF(AND('Вводные'!$B$84="Да",YEAR(BD$3)=YEAR($B$8),MONTH(BD$3)=MONTH($B$8)),BD10+BD11,IF(AND((12*(YEAR(BD$3)-YEAR($B$7))+MONTH(BD$3)-MONTH($B$7))&gt;0,MOD((12*(YEAR(BD$3)-YEAR($B$7))+MONTH(BD$3)-MONTH($B$7)),'Вводные'!$B$78)=0,(12*(YEAR(BD$3)-YEAR($B$7))+MONTH(BD$3)-MONTH($B$7))&lt;='Вводные'!$B$77*12),$B$9/MAX(1,'Вводные'!$B$79),0))))</x:f>
      </x:c>
      <x:c r="BE12" s="117" t="n">
        <x:f>MIN(BE10+BE11,IF('Вводные'!$B$75="Единовременно",BE11,IF(AND('Вводные'!$B$84="Да",YEAR(BE$3)=YEAR($B$8),MONTH(BE$3)=MONTH($B$8)),BE10+BE11,IF(AND((12*(YEAR(BE$3)-YEAR($B$7))+MONTH(BE$3)-MONTH($B$7))&gt;0,MOD((12*(YEAR(BE$3)-YEAR($B$7))+MONTH(BE$3)-MONTH($B$7)),'Вводные'!$B$78)=0,(12*(YEAR(BE$3)-YEAR($B$7))+MONTH(BE$3)-MONTH($B$7))&lt;='Вводные'!$B$77*12),$B$9/MAX(1,'Вводные'!$B$79),0))))</x:f>
      </x:c>
      <x:c r="BF12" s="117" t="n">
        <x:f>MIN(BF10+BF11,IF('Вводные'!$B$75="Единовременно",BF11,IF(AND('Вводные'!$B$84="Да",YEAR(BF$3)=YEAR($B$8),MONTH(BF$3)=MONTH($B$8)),BF10+BF11,IF(AND((12*(YEAR(BF$3)-YEAR($B$7))+MONTH(BF$3)-MONTH($B$7))&gt;0,MOD((12*(YEAR(BF$3)-YEAR($B$7))+MONTH(BF$3)-MONTH($B$7)),'Вводные'!$B$78)=0,(12*(YEAR(BF$3)-YEAR($B$7))+MONTH(BF$3)-MONTH($B$7))&lt;='Вводные'!$B$77*12),$B$9/MAX(1,'Вводные'!$B$79),0))))</x:f>
      </x:c>
      <x:c r="BG12" s="117" t="n">
        <x:f>MIN(BG10+BG11,IF('Вводные'!$B$75="Единовременно",BG11,IF(AND('Вводные'!$B$84="Да",YEAR(BG$3)=YEAR($B$8),MONTH(BG$3)=MONTH($B$8)),BG10+BG11,IF(AND((12*(YEAR(BG$3)-YEAR($B$7))+MONTH(BG$3)-MONTH($B$7))&gt;0,MOD((12*(YEAR(BG$3)-YEAR($B$7))+MONTH(BG$3)-MONTH($B$7)),'Вводные'!$B$78)=0,(12*(YEAR(BG$3)-YEAR($B$7))+MONTH(BG$3)-MONTH($B$7))&lt;='Вводные'!$B$77*12),$B$9/MAX(1,'Вводные'!$B$79),0))))</x:f>
      </x:c>
      <x:c r="BH12" s="117" t="n">
        <x:f>MIN(BH10+BH11,IF('Вводные'!$B$75="Единовременно",BH11,IF(AND('Вводные'!$B$84="Да",YEAR(BH$3)=YEAR($B$8),MONTH(BH$3)=MONTH($B$8)),BH10+BH11,IF(AND((12*(YEAR(BH$3)-YEAR($B$7))+MONTH(BH$3)-MONTH($B$7))&gt;0,MOD((12*(YEAR(BH$3)-YEAR($B$7))+MONTH(BH$3)-MONTH($B$7)),'Вводные'!$B$78)=0,(12*(YEAR(BH$3)-YEAR($B$7))+MONTH(BH$3)-MONTH($B$7))&lt;='Вводные'!$B$77*12),$B$9/MAX(1,'Вводные'!$B$79),0))))</x:f>
      </x:c>
      <x:c r="BI12" s="117" t="n">
        <x:f>MIN(BI10+BI11,IF('Вводные'!$B$75="Единовременно",BI11,IF(AND('Вводные'!$B$84="Да",YEAR(BI$3)=YEAR($B$8),MONTH(BI$3)=MONTH($B$8)),BI10+BI11,IF(AND((12*(YEAR(BI$3)-YEAR($B$7))+MONTH(BI$3)-MONTH($B$7))&gt;0,MOD((12*(YEAR(BI$3)-YEAR($B$7))+MONTH(BI$3)-MONTH($B$7)),'Вводные'!$B$78)=0,(12*(YEAR(BI$3)-YEAR($B$7))+MONTH(BI$3)-MONTH($B$7))&lt;='Вводные'!$B$77*12),$B$9/MAX(1,'Вводные'!$B$79),0))))</x:f>
      </x:c>
      <x:c r="BJ12" s="117" t="n">
        <x:f>MIN(BJ10+BJ11,IF('Вводные'!$B$75="Единовременно",BJ11,IF(AND('Вводные'!$B$84="Да",YEAR(BJ$3)=YEAR($B$8),MONTH(BJ$3)=MONTH($B$8)),BJ10+BJ11,IF(AND((12*(YEAR(BJ$3)-YEAR($B$7))+MONTH(BJ$3)-MONTH($B$7))&gt;0,MOD((12*(YEAR(BJ$3)-YEAR($B$7))+MONTH(BJ$3)-MONTH($B$7)),'Вводные'!$B$78)=0,(12*(YEAR(BJ$3)-YEAR($B$7))+MONTH(BJ$3)-MONTH($B$7))&lt;='Вводные'!$B$77*12),$B$9/MAX(1,'Вводные'!$B$79),0))))</x:f>
      </x:c>
      <x:c r="BK12" s="117" t="n">
        <x:f>MIN(BK10+BK11,IF('Вводные'!$B$75="Единовременно",BK11,IF(AND('Вводные'!$B$84="Да",YEAR(BK$3)=YEAR($B$8),MONTH(BK$3)=MONTH($B$8)),BK10+BK11,IF(AND((12*(YEAR(BK$3)-YEAR($B$7))+MONTH(BK$3)-MONTH($B$7))&gt;0,MOD((12*(YEAR(BK$3)-YEAR($B$7))+MONTH(BK$3)-MONTH($B$7)),'Вводные'!$B$78)=0,(12*(YEAR(BK$3)-YEAR($B$7))+MONTH(BK$3)-MONTH($B$7))&lt;='Вводные'!$B$77*12),$B$9/MAX(1,'Вводные'!$B$79),0))))</x:f>
      </x:c>
      <x:c r="BL12" s="117" t="n">
        <x:f>MIN(BL10+BL11,IF('Вводные'!$B$75="Единовременно",BL11,IF(AND('Вводные'!$B$84="Да",YEAR(BL$3)=YEAR($B$8),MONTH(BL$3)=MONTH($B$8)),BL10+BL11,IF(AND((12*(YEAR(BL$3)-YEAR($B$7))+MONTH(BL$3)-MONTH($B$7))&gt;0,MOD((12*(YEAR(BL$3)-YEAR($B$7))+MONTH(BL$3)-MONTH($B$7)),'Вводные'!$B$78)=0,(12*(YEAR(BL$3)-YEAR($B$7))+MONTH(BL$3)-MONTH($B$7))&lt;='Вводные'!$B$77*12),$B$9/MAX(1,'Вводные'!$B$79),0))))</x:f>
      </x:c>
      <x:c r="BM12" s="117" t="n">
        <x:f>MIN(BM10+BM11,IF('Вводные'!$B$75="Единовременно",BM11,IF(AND('Вводные'!$B$84="Да",YEAR(BM$3)=YEAR($B$8),MONTH(BM$3)=MONTH($B$8)),BM10+BM11,IF(AND((12*(YEAR(BM$3)-YEAR($B$7))+MONTH(BM$3)-MONTH($B$7))&gt;0,MOD((12*(YEAR(BM$3)-YEAR($B$7))+MONTH(BM$3)-MONTH($B$7)),'Вводные'!$B$78)=0,(12*(YEAR(BM$3)-YEAR($B$7))+MONTH(BM$3)-MONTH($B$7))&lt;='Вводные'!$B$77*12),$B$9/MAX(1,'Вводные'!$B$79),0))))</x:f>
      </x:c>
      <x:c r="BN12" s="117" t="n">
        <x:f>MIN(BN10+BN11,IF('Вводные'!$B$75="Единовременно",BN11,IF(AND('Вводные'!$B$84="Да",YEAR(BN$3)=YEAR($B$8),MONTH(BN$3)=MONTH($B$8)),BN10+BN11,IF(AND((12*(YEAR(BN$3)-YEAR($B$7))+MONTH(BN$3)-MONTH($B$7))&gt;0,MOD((12*(YEAR(BN$3)-YEAR($B$7))+MONTH(BN$3)-MONTH($B$7)),'Вводные'!$B$78)=0,(12*(YEAR(BN$3)-YEAR($B$7))+MONTH(BN$3)-MONTH($B$7))&lt;='Вводные'!$B$77*12),$B$9/MAX(1,'Вводные'!$B$79),0))))</x:f>
      </x:c>
      <x:c r="BO12" s="117" t="n">
        <x:f>MIN(BO10+BO11,IF('Вводные'!$B$75="Единовременно",BO11,IF(AND('Вводные'!$B$84="Да",YEAR(BO$3)=YEAR($B$8),MONTH(BO$3)=MONTH($B$8)),BO10+BO11,IF(AND((12*(YEAR(BO$3)-YEAR($B$7))+MONTH(BO$3)-MONTH($B$7))&gt;0,MOD((12*(YEAR(BO$3)-YEAR($B$7))+MONTH(BO$3)-MONTH($B$7)),'Вводные'!$B$78)=0,(12*(YEAR(BO$3)-YEAR($B$7))+MONTH(BO$3)-MONTH($B$7))&lt;='Вводные'!$B$77*12),$B$9/MAX(1,'Вводные'!$B$79),0))))</x:f>
      </x:c>
      <x:c r="BP12" s="117" t="n">
        <x:f>MIN(BP10+BP11,IF('Вводные'!$B$75="Единовременно",BP11,IF(AND('Вводные'!$B$84="Да",YEAR(BP$3)=YEAR($B$8),MONTH(BP$3)=MONTH($B$8)),BP10+BP11,IF(AND((12*(YEAR(BP$3)-YEAR($B$7))+MONTH(BP$3)-MONTH($B$7))&gt;0,MOD((12*(YEAR(BP$3)-YEAR($B$7))+MONTH(BP$3)-MONTH($B$7)),'Вводные'!$B$78)=0,(12*(YEAR(BP$3)-YEAR($B$7))+MONTH(BP$3)-MONTH($B$7))&lt;='Вводные'!$B$77*12),$B$9/MAX(1,'Вводные'!$B$79),0))))</x:f>
      </x:c>
      <x:c r="BQ12" s="117" t="n">
        <x:f>MIN(BQ10+BQ11,IF('Вводные'!$B$75="Единовременно",BQ11,IF(AND('Вводные'!$B$84="Да",YEAR(BQ$3)=YEAR($B$8),MONTH(BQ$3)=MONTH($B$8)),BQ10+BQ11,IF(AND((12*(YEAR(BQ$3)-YEAR($B$7))+MONTH(BQ$3)-MONTH($B$7))&gt;0,MOD((12*(YEAR(BQ$3)-YEAR($B$7))+MONTH(BQ$3)-MONTH($B$7)),'Вводные'!$B$78)=0,(12*(YEAR(BQ$3)-YEAR($B$7))+MONTH(BQ$3)-MONTH($B$7))&lt;='Вводные'!$B$77*12),$B$9/MAX(1,'Вводные'!$B$79),0))))</x:f>
      </x:c>
      <x:c r="BR12" s="117" t="n">
        <x:f>MIN(BR10+BR11,IF('Вводные'!$B$75="Единовременно",BR11,IF(AND('Вводные'!$B$84="Да",YEAR(BR$3)=YEAR($B$8),MONTH(BR$3)=MONTH($B$8)),BR10+BR11,IF(AND((12*(YEAR(BR$3)-YEAR($B$7))+MONTH(BR$3)-MONTH($B$7))&gt;0,MOD((12*(YEAR(BR$3)-YEAR($B$7))+MONTH(BR$3)-MONTH($B$7)),'Вводные'!$B$78)=0,(12*(YEAR(BR$3)-YEAR($B$7))+MONTH(BR$3)-MONTH($B$7))&lt;='Вводные'!$B$77*12),$B$9/MAX(1,'Вводные'!$B$79),0))))</x:f>
      </x:c>
      <x:c r="BS12" s="117" t="n">
        <x:f>MIN(BS10+BS11,IF('Вводные'!$B$75="Единовременно",BS11,IF(AND('Вводные'!$B$84="Да",YEAR(BS$3)=YEAR($B$8),MONTH(BS$3)=MONTH($B$8)),BS10+BS11,IF(AND((12*(YEAR(BS$3)-YEAR($B$7))+MONTH(BS$3)-MONTH($B$7))&gt;0,MOD((12*(YEAR(BS$3)-YEAR($B$7))+MONTH(BS$3)-MONTH($B$7)),'Вводные'!$B$78)=0,(12*(YEAR(BS$3)-YEAR($B$7))+MONTH(BS$3)-MONTH($B$7))&lt;='Вводные'!$B$77*12),$B$9/MAX(1,'Вводные'!$B$79),0))))</x:f>
      </x:c>
      <x:c r="BT12" s="117" t="n">
        <x:f>MIN(BT10+BT11,IF('Вводные'!$B$75="Единовременно",BT11,IF(AND('Вводные'!$B$84="Да",YEAR(BT$3)=YEAR($B$8),MONTH(BT$3)=MONTH($B$8)),BT10+BT11,IF(AND((12*(YEAR(BT$3)-YEAR($B$7))+MONTH(BT$3)-MONTH($B$7))&gt;0,MOD((12*(YEAR(BT$3)-YEAR($B$7))+MONTH(BT$3)-MONTH($B$7)),'Вводные'!$B$78)=0,(12*(YEAR(BT$3)-YEAR($B$7))+MONTH(BT$3)-MONTH($B$7))&lt;='Вводные'!$B$77*12),$B$9/MAX(1,'Вводные'!$B$79),0))))</x:f>
      </x:c>
      <x:c r="BU12" s="117" t="n">
        <x:f>MIN(BU10+BU11,IF('Вводные'!$B$75="Единовременно",BU11,IF(AND('Вводные'!$B$84="Да",YEAR(BU$3)=YEAR($B$8),MONTH(BU$3)=MONTH($B$8)),BU10+BU11,IF(AND((12*(YEAR(BU$3)-YEAR($B$7))+MONTH(BU$3)-MONTH($B$7))&gt;0,MOD((12*(YEAR(BU$3)-YEAR($B$7))+MONTH(BU$3)-MONTH($B$7)),'Вводные'!$B$78)=0,(12*(YEAR(BU$3)-YEAR($B$7))+MONTH(BU$3)-MONTH($B$7))&lt;='Вводные'!$B$77*12),$B$9/MAX(1,'Вводные'!$B$79),0))))</x:f>
      </x:c>
      <x:c r="BV12" s="117" t="n">
        <x:f>MIN(BV10+BV11,IF('Вводные'!$B$75="Единовременно",BV11,IF(AND('Вводные'!$B$84="Да",YEAR(BV$3)=YEAR($B$8),MONTH(BV$3)=MONTH($B$8)),BV10+BV11,IF(AND((12*(YEAR(BV$3)-YEAR($B$7))+MONTH(BV$3)-MONTH($B$7))&gt;0,MOD((12*(YEAR(BV$3)-YEAR($B$7))+MONTH(BV$3)-MONTH($B$7)),'Вводные'!$B$78)=0,(12*(YEAR(BV$3)-YEAR($B$7))+MONTH(BV$3)-MONTH($B$7))&lt;='Вводные'!$B$77*12),$B$9/MAX(1,'Вводные'!$B$79),0))))</x:f>
      </x:c>
      <x:c r="BW12" s="117" t="n">
        <x:f>MIN(BW10+BW11,IF('Вводные'!$B$75="Единовременно",BW11,IF(AND('Вводные'!$B$84="Да",YEAR(BW$3)=YEAR($B$8),MONTH(BW$3)=MONTH($B$8)),BW10+BW11,IF(AND((12*(YEAR(BW$3)-YEAR($B$7))+MONTH(BW$3)-MONTH($B$7))&gt;0,MOD((12*(YEAR(BW$3)-YEAR($B$7))+MONTH(BW$3)-MONTH($B$7)),'Вводные'!$B$78)=0,(12*(YEAR(BW$3)-YEAR($B$7))+MONTH(BW$3)-MONTH($B$7))&lt;='Вводные'!$B$77*12),$B$9/MAX(1,'Вводные'!$B$79),0))))</x:f>
      </x:c>
      <x:c r="BX12" s="117" t="n">
        <x:f>MIN(BX10+BX11,IF('Вводные'!$B$75="Единовременно",BX11,IF(AND('Вводные'!$B$84="Да",YEAR(BX$3)=YEAR($B$8),MONTH(BX$3)=MONTH($B$8)),BX10+BX11,IF(AND((12*(YEAR(BX$3)-YEAR($B$7))+MONTH(BX$3)-MONTH($B$7))&gt;0,MOD((12*(YEAR(BX$3)-YEAR($B$7))+MONTH(BX$3)-MONTH($B$7)),'Вводные'!$B$78)=0,(12*(YEAR(BX$3)-YEAR($B$7))+MONTH(BX$3)-MONTH($B$7))&lt;='Вводные'!$B$77*12),$B$9/MAX(1,'Вводные'!$B$79),0))))</x:f>
      </x:c>
      <x:c r="BY12" s="117" t="n">
        <x:f>MIN(BY10+BY11,IF('Вводные'!$B$75="Единовременно",BY11,IF(AND('Вводные'!$B$84="Да",YEAR(BY$3)=YEAR($B$8),MONTH(BY$3)=MONTH($B$8)),BY10+BY11,IF(AND((12*(YEAR(BY$3)-YEAR($B$7))+MONTH(BY$3)-MONTH($B$7))&gt;0,MOD((12*(YEAR(BY$3)-YEAR($B$7))+MONTH(BY$3)-MONTH($B$7)),'Вводные'!$B$78)=0,(12*(YEAR(BY$3)-YEAR($B$7))+MONTH(BY$3)-MONTH($B$7))&lt;='Вводные'!$B$77*12),$B$9/MAX(1,'Вводные'!$B$79),0))))</x:f>
      </x:c>
      <x:c r="BZ12" s="117" t="n">
        <x:f>MIN(BZ10+BZ11,IF('Вводные'!$B$75="Единовременно",BZ11,IF(AND('Вводные'!$B$84="Да",YEAR(BZ$3)=YEAR($B$8),MONTH(BZ$3)=MONTH($B$8)),BZ10+BZ11,IF(AND((12*(YEAR(BZ$3)-YEAR($B$7))+MONTH(BZ$3)-MONTH($B$7))&gt;0,MOD((12*(YEAR(BZ$3)-YEAR($B$7))+MONTH(BZ$3)-MONTH($B$7)),'Вводные'!$B$78)=0,(12*(YEAR(BZ$3)-YEAR($B$7))+MONTH(BZ$3)-MONTH($B$7))&lt;='Вводные'!$B$77*12),$B$9/MAX(1,'Вводные'!$B$79),0))))</x:f>
      </x:c>
      <x:c r="CA12" s="117" t="n">
        <x:f>MIN(CA10+CA11,IF('Вводные'!$B$75="Единовременно",CA11,IF(AND('Вводные'!$B$84="Да",YEAR(CA$3)=YEAR($B$8),MONTH(CA$3)=MONTH($B$8)),CA10+CA11,IF(AND((12*(YEAR(CA$3)-YEAR($B$7))+MONTH(CA$3)-MONTH($B$7))&gt;0,MOD((12*(YEAR(CA$3)-YEAR($B$7))+MONTH(CA$3)-MONTH($B$7)),'Вводные'!$B$78)=0,(12*(YEAR(CA$3)-YEAR($B$7))+MONTH(CA$3)-MONTH($B$7))&lt;='Вводные'!$B$77*12),$B$9/MAX(1,'Вводные'!$B$79),0))))</x:f>
      </x:c>
      <x:c r="CB12" s="117" t="n">
        <x:f>MIN(CB10+CB11,IF('Вводные'!$B$75="Единовременно",CB11,IF(AND('Вводные'!$B$84="Да",YEAR(CB$3)=YEAR($B$8),MONTH(CB$3)=MONTH($B$8)),CB10+CB11,IF(AND((12*(YEAR(CB$3)-YEAR($B$7))+MONTH(CB$3)-MONTH($B$7))&gt;0,MOD((12*(YEAR(CB$3)-YEAR($B$7))+MONTH(CB$3)-MONTH($B$7)),'Вводные'!$B$78)=0,(12*(YEAR(CB$3)-YEAR($B$7))+MONTH(CB$3)-MONTH($B$7))&lt;='Вводные'!$B$77*12),$B$9/MAX(1,'Вводные'!$B$79),0))))</x:f>
      </x:c>
      <x:c r="CC12" s="117" t="n">
        <x:f>MIN(CC10+CC11,IF('Вводные'!$B$75="Единовременно",CC11,IF(AND('Вводные'!$B$84="Да",YEAR(CC$3)=YEAR($B$8),MONTH(CC$3)=MONTH($B$8)),CC10+CC11,IF(AND((12*(YEAR(CC$3)-YEAR($B$7))+MONTH(CC$3)-MONTH($B$7))&gt;0,MOD((12*(YEAR(CC$3)-YEAR($B$7))+MONTH(CC$3)-MONTH($B$7)),'Вводные'!$B$78)=0,(12*(YEAR(CC$3)-YEAR($B$7))+MONTH(CC$3)-MONTH($B$7))&lt;='Вводные'!$B$77*12),$B$9/MAX(1,'Вводные'!$B$79),0))))</x:f>
      </x:c>
      <x:c r="CD12" s="117" t="n">
        <x:f>MIN(CD10+CD11,IF('Вводные'!$B$75="Единовременно",CD11,IF(AND('Вводные'!$B$84="Да",YEAR(CD$3)=YEAR($B$8),MONTH(CD$3)=MONTH($B$8)),CD10+CD11,IF(AND((12*(YEAR(CD$3)-YEAR($B$7))+MONTH(CD$3)-MONTH($B$7))&gt;0,MOD((12*(YEAR(CD$3)-YEAR($B$7))+MONTH(CD$3)-MONTH($B$7)),'Вводные'!$B$78)=0,(12*(YEAR(CD$3)-YEAR($B$7))+MONTH(CD$3)-MONTH($B$7))&lt;='Вводные'!$B$77*12),$B$9/MAX(1,'Вводные'!$B$79),0))))</x:f>
      </x:c>
      <x:c r="CE12" s="117" t="n">
        <x:f>MIN(CE10+CE11,IF('Вводные'!$B$75="Единовременно",CE11,IF(AND('Вводные'!$B$84="Да",YEAR(CE$3)=YEAR($B$8),MONTH(CE$3)=MONTH($B$8)),CE10+CE11,IF(AND((12*(YEAR(CE$3)-YEAR($B$7))+MONTH(CE$3)-MONTH($B$7))&gt;0,MOD((12*(YEAR(CE$3)-YEAR($B$7))+MONTH(CE$3)-MONTH($B$7)),'Вводные'!$B$78)=0,(12*(YEAR(CE$3)-YEAR($B$7))+MONTH(CE$3)-MONTH($B$7))&lt;='Вводные'!$B$77*12),$B$9/MAX(1,'Вводные'!$B$79),0))))</x:f>
      </x:c>
      <x:c r="CF12" s="117" t="n">
        <x:f>MIN(CF10+CF11,IF('Вводные'!$B$75="Единовременно",CF11,IF(AND('Вводные'!$B$84="Да",YEAR(CF$3)=YEAR($B$8),MONTH(CF$3)=MONTH($B$8)),CF10+CF11,IF(AND((12*(YEAR(CF$3)-YEAR($B$7))+MONTH(CF$3)-MONTH($B$7))&gt;0,MOD((12*(YEAR(CF$3)-YEAR($B$7))+MONTH(CF$3)-MONTH($B$7)),'Вводные'!$B$78)=0,(12*(YEAR(CF$3)-YEAR($B$7))+MONTH(CF$3)-MONTH($B$7))&lt;='Вводные'!$B$77*12),$B$9/MAX(1,'Вводные'!$B$79),0))))</x:f>
      </x:c>
      <x:c r="CG12" s="117" t="n">
        <x:f>MIN(CG10+CG11,IF('Вводные'!$B$75="Единовременно",CG11,IF(AND('Вводные'!$B$84="Да",YEAR(CG$3)=YEAR($B$8),MONTH(CG$3)=MONTH($B$8)),CG10+CG11,IF(AND((12*(YEAR(CG$3)-YEAR($B$7))+MONTH(CG$3)-MONTH($B$7))&gt;0,MOD((12*(YEAR(CG$3)-YEAR($B$7))+MONTH(CG$3)-MONTH($B$7)),'Вводные'!$B$78)=0,(12*(YEAR(CG$3)-YEAR($B$7))+MONTH(CG$3)-MONTH($B$7))&lt;='Вводные'!$B$77*12),$B$9/MAX(1,'Вводные'!$B$79),0))))</x:f>
      </x:c>
      <x:c r="CH12" s="117" t="n">
        <x:f>MIN(CH10+CH11,IF('Вводные'!$B$75="Единовременно",CH11,IF(AND('Вводные'!$B$84="Да",YEAR(CH$3)=YEAR($B$8),MONTH(CH$3)=MONTH($B$8)),CH10+CH11,IF(AND((12*(YEAR(CH$3)-YEAR($B$7))+MONTH(CH$3)-MONTH($B$7))&gt;0,MOD((12*(YEAR(CH$3)-YEAR($B$7))+MONTH(CH$3)-MONTH($B$7)),'Вводные'!$B$78)=0,(12*(YEAR(CH$3)-YEAR($B$7))+MONTH(CH$3)-MONTH($B$7))&lt;='Вводные'!$B$77*12),$B$9/MAX(1,'Вводные'!$B$79),0))))</x:f>
      </x:c>
      <x:c r="CI12" s="117" t="n">
        <x:f>MIN(CI10+CI11,IF('Вводные'!$B$75="Единовременно",CI11,IF(AND('Вводные'!$B$84="Да",YEAR(CI$3)=YEAR($B$8),MONTH(CI$3)=MONTH($B$8)),CI10+CI11,IF(AND((12*(YEAR(CI$3)-YEAR($B$7))+MONTH(CI$3)-MONTH($B$7))&gt;0,MOD((12*(YEAR(CI$3)-YEAR($B$7))+MONTH(CI$3)-MONTH($B$7)),'Вводные'!$B$78)=0,(12*(YEAR(CI$3)-YEAR($B$7))+MONTH(CI$3)-MONTH($B$7))&lt;='Вводные'!$B$77*12),$B$9/MAX(1,'Вводные'!$B$79),0))))</x:f>
      </x:c>
      <x:c r="CJ12" s="117" t="n">
        <x:f>MIN(CJ10+CJ11,IF('Вводные'!$B$75="Единовременно",CJ11,IF(AND('Вводные'!$B$84="Да",YEAR(CJ$3)=YEAR($B$8),MONTH(CJ$3)=MONTH($B$8)),CJ10+CJ11,IF(AND((12*(YEAR(CJ$3)-YEAR($B$7))+MONTH(CJ$3)-MONTH($B$7))&gt;0,MOD((12*(YEAR(CJ$3)-YEAR($B$7))+MONTH(CJ$3)-MONTH($B$7)),'Вводные'!$B$78)=0,(12*(YEAR(CJ$3)-YEAR($B$7))+MONTH(CJ$3)-MONTH($B$7))&lt;='Вводные'!$B$77*12),$B$9/MAX(1,'Вводные'!$B$79),0))))</x:f>
      </x:c>
      <x:c r="CK12" s="117" t="n">
        <x:f>MIN(CK10+CK11,IF('Вводные'!$B$75="Единовременно",CK11,IF(AND('Вводные'!$B$84="Да",YEAR(CK$3)=YEAR($B$8),MONTH(CK$3)=MONTH($B$8)),CK10+CK11,IF(AND((12*(YEAR(CK$3)-YEAR($B$7))+MONTH(CK$3)-MONTH($B$7))&gt;0,MOD((12*(YEAR(CK$3)-YEAR($B$7))+MONTH(CK$3)-MONTH($B$7)),'Вводные'!$B$78)=0,(12*(YEAR(CK$3)-YEAR($B$7))+MONTH(CK$3)-MONTH($B$7))&lt;='Вводные'!$B$77*12),$B$9/MAX(1,'Вводные'!$B$79),0))))</x:f>
      </x:c>
      <x:c r="CL12" s="117" t="n">
        <x:f>MIN(CL10+CL11,IF('Вводные'!$B$75="Единовременно",CL11,IF(AND('Вводные'!$B$84="Да",YEAR(CL$3)=YEAR($B$8),MONTH(CL$3)=MONTH($B$8)),CL10+CL11,IF(AND((12*(YEAR(CL$3)-YEAR($B$7))+MONTH(CL$3)-MONTH($B$7))&gt;0,MOD((12*(YEAR(CL$3)-YEAR($B$7))+MONTH(CL$3)-MONTH($B$7)),'Вводные'!$B$78)=0,(12*(YEAR(CL$3)-YEAR($B$7))+MONTH(CL$3)-MONTH($B$7))&lt;='Вводные'!$B$77*12),$B$9/MAX(1,'Вводные'!$B$79),0))))</x:f>
      </x:c>
      <x:c r="CM12" s="117" t="n">
        <x:f>MIN(CM10+CM11,IF('Вводные'!$B$75="Единовременно",CM11,IF(AND('Вводные'!$B$84="Да",YEAR(CM$3)=YEAR($B$8),MONTH(CM$3)=MONTH($B$8)),CM10+CM11,IF(AND((12*(YEAR(CM$3)-YEAR($B$7))+MONTH(CM$3)-MONTH($B$7))&gt;0,MOD((12*(YEAR(CM$3)-YEAR($B$7))+MONTH(CM$3)-MONTH($B$7)),'Вводные'!$B$78)=0,(12*(YEAR(CM$3)-YEAR($B$7))+MONTH(CM$3)-MONTH($B$7))&lt;='Вводные'!$B$77*12),$B$9/MAX(1,'Вводные'!$B$79),0))))</x:f>
      </x:c>
      <x:c r="CN12" s="117" t="n">
        <x:f>MIN(CN10+CN11,IF('Вводные'!$B$75="Единовременно",CN11,IF(AND('Вводные'!$B$84="Да",YEAR(CN$3)=YEAR($B$8),MONTH(CN$3)=MONTH($B$8)),CN10+CN11,IF(AND((12*(YEAR(CN$3)-YEAR($B$7))+MONTH(CN$3)-MONTH($B$7))&gt;0,MOD((12*(YEAR(CN$3)-YEAR($B$7))+MONTH(CN$3)-MONTH($B$7)),'Вводные'!$B$78)=0,(12*(YEAR(CN$3)-YEAR($B$7))+MONTH(CN$3)-MONTH($B$7))&lt;='Вводные'!$B$77*12),$B$9/MAX(1,'Вводные'!$B$79),0))))</x:f>
      </x:c>
      <x:c r="CO12" s="117" t="n">
        <x:f>MIN(CO10+CO11,IF('Вводные'!$B$75="Единовременно",CO11,IF(AND('Вводные'!$B$84="Да",YEAR(CO$3)=YEAR($B$8),MONTH(CO$3)=MONTH($B$8)),CO10+CO11,IF(AND((12*(YEAR(CO$3)-YEAR($B$7))+MONTH(CO$3)-MONTH($B$7))&gt;0,MOD((12*(YEAR(CO$3)-YEAR($B$7))+MONTH(CO$3)-MONTH($B$7)),'Вводные'!$B$78)=0,(12*(YEAR(CO$3)-YEAR($B$7))+MONTH(CO$3)-MONTH($B$7))&lt;='Вводные'!$B$77*12),$B$9/MAX(1,'Вводные'!$B$79),0))))</x:f>
      </x:c>
      <x:c r="CP12" s="117" t="n">
        <x:f>MIN(CP10+CP11,IF('Вводные'!$B$75="Единовременно",CP11,IF(AND('Вводные'!$B$84="Да",YEAR(CP$3)=YEAR($B$8),MONTH(CP$3)=MONTH($B$8)),CP10+CP11,IF(AND((12*(YEAR(CP$3)-YEAR($B$7))+MONTH(CP$3)-MONTH($B$7))&gt;0,MOD((12*(YEAR(CP$3)-YEAR($B$7))+MONTH(CP$3)-MONTH($B$7)),'Вводные'!$B$78)=0,(12*(YEAR(CP$3)-YEAR($B$7))+MONTH(CP$3)-MONTH($B$7))&lt;='Вводные'!$B$77*12),$B$9/MAX(1,'Вводные'!$B$79),0))))</x:f>
      </x:c>
      <x:c r="CQ12" s="117" t="n">
        <x:f>MIN(CQ10+CQ11,IF('Вводные'!$B$75="Единовременно",CQ11,IF(AND('Вводные'!$B$84="Да",YEAR(CQ$3)=YEAR($B$8),MONTH(CQ$3)=MONTH($B$8)),CQ10+CQ11,IF(AND((12*(YEAR(CQ$3)-YEAR($B$7))+MONTH(CQ$3)-MONTH($B$7))&gt;0,MOD((12*(YEAR(CQ$3)-YEAR($B$7))+MONTH(CQ$3)-MONTH($B$7)),'Вводные'!$B$78)=0,(12*(YEAR(CQ$3)-YEAR($B$7))+MONTH(CQ$3)-MONTH($B$7))&lt;='Вводные'!$B$77*12),$B$9/MAX(1,'Вводные'!$B$79),0))))</x:f>
      </x:c>
      <x:c r="CR12" s="117" t="n">
        <x:f>MIN(CR10+CR11,IF('Вводные'!$B$75="Единовременно",CR11,IF(AND('Вводные'!$B$84="Да",YEAR(CR$3)=YEAR($B$8),MONTH(CR$3)=MONTH($B$8)),CR10+CR11,IF(AND((12*(YEAR(CR$3)-YEAR($B$7))+MONTH(CR$3)-MONTH($B$7))&gt;0,MOD((12*(YEAR(CR$3)-YEAR($B$7))+MONTH(CR$3)-MONTH($B$7)),'Вводные'!$B$78)=0,(12*(YEAR(CR$3)-YEAR($B$7))+MONTH(CR$3)-MONTH($B$7))&lt;='Вводные'!$B$77*12),$B$9/MAX(1,'Вводные'!$B$79),0))))</x:f>
      </x:c>
      <x:c r="CS12" s="117" t="n">
        <x:f>MIN(CS10+CS11,IF('Вводные'!$B$75="Единовременно",CS11,IF(AND('Вводные'!$B$84="Да",YEAR(CS$3)=YEAR($B$8),MONTH(CS$3)=MONTH($B$8)),CS10+CS11,IF(AND((12*(YEAR(CS$3)-YEAR($B$7))+MONTH(CS$3)-MONTH($B$7))&gt;0,MOD((12*(YEAR(CS$3)-YEAR($B$7))+MONTH(CS$3)-MONTH($B$7)),'Вводные'!$B$78)=0,(12*(YEAR(CS$3)-YEAR($B$7))+MONTH(CS$3)-MONTH($B$7))&lt;='Вводные'!$B$77*12),$B$9/MAX(1,'Вводные'!$B$79),0))))</x:f>
      </x:c>
      <x:c r="CT12" s="117" t="n">
        <x:f>MIN(CT10+CT11,IF('Вводные'!$B$75="Единовременно",CT11,IF(AND('Вводные'!$B$84="Да",YEAR(CT$3)=YEAR($B$8),MONTH(CT$3)=MONTH($B$8)),CT10+CT11,IF(AND((12*(YEAR(CT$3)-YEAR($B$7))+MONTH(CT$3)-MONTH($B$7))&gt;0,MOD((12*(YEAR(CT$3)-YEAR($B$7))+MONTH(CT$3)-MONTH($B$7)),'Вводные'!$B$78)=0,(12*(YEAR(CT$3)-YEAR($B$7))+MONTH(CT$3)-MONTH($B$7))&lt;='Вводные'!$B$77*12),$B$9/MAX(1,'Вводные'!$B$79),0))))</x:f>
      </x:c>
      <x:c r="CU12" s="117" t="n">
        <x:f>MIN(CU10+CU11,IF('Вводные'!$B$75="Единовременно",CU11,IF(AND('Вводные'!$B$84="Да",YEAR(CU$3)=YEAR($B$8),MONTH(CU$3)=MONTH($B$8)),CU10+CU11,IF(AND((12*(YEAR(CU$3)-YEAR($B$7))+MONTH(CU$3)-MONTH($B$7))&gt;0,MOD((12*(YEAR(CU$3)-YEAR($B$7))+MONTH(CU$3)-MONTH($B$7)),'Вводные'!$B$78)=0,(12*(YEAR(CU$3)-YEAR($B$7))+MONTH(CU$3)-MONTH($B$7))&lt;='Вводные'!$B$77*12),$B$9/MAX(1,'Вводные'!$B$79),0))))</x:f>
      </x:c>
      <x:c r="CV12" s="117" t="n">
        <x:f>MIN(CV10+CV11,IF('Вводные'!$B$75="Единовременно",CV11,IF(AND('Вводные'!$B$84="Да",YEAR(CV$3)=YEAR($B$8),MONTH(CV$3)=MONTH($B$8)),CV10+CV11,IF(AND((12*(YEAR(CV$3)-YEAR($B$7))+MONTH(CV$3)-MONTH($B$7))&gt;0,MOD((12*(YEAR(CV$3)-YEAR($B$7))+MONTH(CV$3)-MONTH($B$7)),'Вводные'!$B$78)=0,(12*(YEAR(CV$3)-YEAR($B$7))+MONTH(CV$3)-MONTH($B$7))&lt;='Вводные'!$B$77*12),$B$9/MAX(1,'Вводные'!$B$79),0))))</x:f>
      </x:c>
      <x:c r="CW12" s="117" t="n">
        <x:f>MIN(CW10+CW11,IF('Вводные'!$B$75="Единовременно",CW11,IF(AND('Вводные'!$B$84="Да",YEAR(CW$3)=YEAR($B$8),MONTH(CW$3)=MONTH($B$8)),CW10+CW11,IF(AND((12*(YEAR(CW$3)-YEAR($B$7))+MONTH(CW$3)-MONTH($B$7))&gt;0,MOD((12*(YEAR(CW$3)-YEAR($B$7))+MONTH(CW$3)-MONTH($B$7)),'Вводные'!$B$78)=0,(12*(YEAR(CW$3)-YEAR($B$7))+MONTH(CW$3)-MONTH($B$7))&lt;='Вводные'!$B$77*12),$B$9/MAX(1,'Вводные'!$B$79),0))))</x:f>
      </x:c>
      <x:c r="CX12" s="117" t="n">
        <x:f>MIN(CX10+CX11,IF('Вводные'!$B$75="Единовременно",CX11,IF(AND('Вводные'!$B$84="Да",YEAR(CX$3)=YEAR($B$8),MONTH(CX$3)=MONTH($B$8)),CX10+CX11,IF(AND((12*(YEAR(CX$3)-YEAR($B$7))+MONTH(CX$3)-MONTH($B$7))&gt;0,MOD((12*(YEAR(CX$3)-YEAR($B$7))+MONTH(CX$3)-MONTH($B$7)),'Вводные'!$B$78)=0,(12*(YEAR(CX$3)-YEAR($B$7))+MONTH(CX$3)-MONTH($B$7))&lt;='Вводные'!$B$77*12),$B$9/MAX(1,'Вводные'!$B$79),0))))</x:f>
      </x:c>
      <x:c r="CY12" s="117" t="n">
        <x:f>MIN(CY10+CY11,IF('Вводные'!$B$75="Единовременно",CY11,IF(AND('Вводные'!$B$84="Да",YEAR(CY$3)=YEAR($B$8),MONTH(CY$3)=MONTH($B$8)),CY10+CY11,IF(AND((12*(YEAR(CY$3)-YEAR($B$7))+MONTH(CY$3)-MONTH($B$7))&gt;0,MOD((12*(YEAR(CY$3)-YEAR($B$7))+MONTH(CY$3)-MONTH($B$7)),'Вводные'!$B$78)=0,(12*(YEAR(CY$3)-YEAR($B$7))+MONTH(CY$3)-MONTH($B$7))&lt;='Вводные'!$B$77*12),$B$9/MAX(1,'Вводные'!$B$79),0))))</x:f>
      </x:c>
      <x:c r="CZ12" s="117" t="n">
        <x:f>MIN(CZ10+CZ11,IF('Вводные'!$B$75="Единовременно",CZ11,IF(AND('Вводные'!$B$84="Да",YEAR(CZ$3)=YEAR($B$8),MONTH(CZ$3)=MONTH($B$8)),CZ10+CZ11,IF(AND((12*(YEAR(CZ$3)-YEAR($B$7))+MONTH(CZ$3)-MONTH($B$7))&gt;0,MOD((12*(YEAR(CZ$3)-YEAR($B$7))+MONTH(CZ$3)-MONTH($B$7)),'Вводные'!$B$78)=0,(12*(YEAR(CZ$3)-YEAR($B$7))+MONTH(CZ$3)-MONTH($B$7))&lt;='Вводные'!$B$77*12),$B$9/MAX(1,'Вводные'!$B$79),0))))</x:f>
      </x:c>
      <x:c r="DA12" s="117" t="n">
        <x:f>MIN(DA10+DA11,IF('Вводные'!$B$75="Единовременно",DA11,IF(AND('Вводные'!$B$84="Да",YEAR(DA$3)=YEAR($B$8),MONTH(DA$3)=MONTH($B$8)),DA10+DA11,IF(AND((12*(YEAR(DA$3)-YEAR($B$7))+MONTH(DA$3)-MONTH($B$7))&gt;0,MOD((12*(YEAR(DA$3)-YEAR($B$7))+MONTH(DA$3)-MONTH($B$7)),'Вводные'!$B$78)=0,(12*(YEAR(DA$3)-YEAR($B$7))+MONTH(DA$3)-MONTH($B$7))&lt;='Вводные'!$B$77*12),$B$9/MAX(1,'Вводные'!$B$79),0))))</x:f>
      </x:c>
      <x:c r="DB12" s="117" t="n">
        <x:f>MIN(DB10+DB11,IF('Вводные'!$B$75="Единовременно",DB11,IF(AND('Вводные'!$B$84="Да",YEAR(DB$3)=YEAR($B$8),MONTH(DB$3)=MONTH($B$8)),DB10+DB11,IF(AND((12*(YEAR(DB$3)-YEAR($B$7))+MONTH(DB$3)-MONTH($B$7))&gt;0,MOD((12*(YEAR(DB$3)-YEAR($B$7))+MONTH(DB$3)-MONTH($B$7)),'Вводные'!$B$78)=0,(12*(YEAR(DB$3)-YEAR($B$7))+MONTH(DB$3)-MONTH($B$7))&lt;='Вводные'!$B$77*12),$B$9/MAX(1,'Вводные'!$B$79),0))))</x:f>
      </x:c>
      <x:c r="DC12" s="117" t="n">
        <x:f>MIN(DC10+DC11,IF('Вводные'!$B$75="Единовременно",DC11,IF(AND('Вводные'!$B$84="Да",YEAR(DC$3)=YEAR($B$8),MONTH(DC$3)=MONTH($B$8)),DC10+DC11,IF(AND((12*(YEAR(DC$3)-YEAR($B$7))+MONTH(DC$3)-MONTH($B$7))&gt;0,MOD((12*(YEAR(DC$3)-YEAR($B$7))+MONTH(DC$3)-MONTH($B$7)),'Вводные'!$B$78)=0,(12*(YEAR(DC$3)-YEAR($B$7))+MONTH(DC$3)-MONTH($B$7))&lt;='Вводные'!$B$77*12),$B$9/MAX(1,'Вводные'!$B$79),0))))</x:f>
      </x:c>
      <x:c r="DD12" s="117" t="n">
        <x:f>MIN(DD10+DD11,IF('Вводные'!$B$75="Единовременно",DD11,IF(AND('Вводные'!$B$84="Да",YEAR(DD$3)=YEAR($B$8),MONTH(DD$3)=MONTH($B$8)),DD10+DD11,IF(AND((12*(YEAR(DD$3)-YEAR($B$7))+MONTH(DD$3)-MONTH($B$7))&gt;0,MOD((12*(YEAR(DD$3)-YEAR($B$7))+MONTH(DD$3)-MONTH($B$7)),'Вводные'!$B$78)=0,(12*(YEAR(DD$3)-YEAR($B$7))+MONTH(DD$3)-MONTH($B$7))&lt;='Вводные'!$B$77*12),$B$9/MAX(1,'Вводные'!$B$79),0))))</x:f>
      </x:c>
      <x:c r="DE12" s="117" t="n">
        <x:f>MIN(DE10+DE11,IF('Вводные'!$B$75="Единовременно",DE11,IF(AND('Вводные'!$B$84="Да",YEAR(DE$3)=YEAR($B$8),MONTH(DE$3)=MONTH($B$8)),DE10+DE11,IF(AND((12*(YEAR(DE$3)-YEAR($B$7))+MONTH(DE$3)-MONTH($B$7))&gt;0,MOD((12*(YEAR(DE$3)-YEAR($B$7))+MONTH(DE$3)-MONTH($B$7)),'Вводные'!$B$78)=0,(12*(YEAR(DE$3)-YEAR($B$7))+MONTH(DE$3)-MONTH($B$7))&lt;='Вводные'!$B$77*12),$B$9/MAX(1,'Вводные'!$B$79),0))))</x:f>
      </x:c>
      <x:c r="DF12" s="117" t="n">
        <x:f>MIN(DF10+DF11,IF('Вводные'!$B$75="Единовременно",DF11,IF(AND('Вводные'!$B$84="Да",YEAR(DF$3)=YEAR($B$8),MONTH(DF$3)=MONTH($B$8)),DF10+DF11,IF(AND((12*(YEAR(DF$3)-YEAR($B$7))+MONTH(DF$3)-MONTH($B$7))&gt;0,MOD((12*(YEAR(DF$3)-YEAR($B$7))+MONTH(DF$3)-MONTH($B$7)),'Вводные'!$B$78)=0,(12*(YEAR(DF$3)-YEAR($B$7))+MONTH(DF$3)-MONTH($B$7))&lt;='Вводные'!$B$77*12),$B$9/MAX(1,'Вводные'!$B$79),0))))</x:f>
      </x:c>
      <x:c r="DG12" s="117" t="n">
        <x:f>MIN(DG10+DG11,IF('Вводные'!$B$75="Единовременно",DG11,IF(AND('Вводные'!$B$84="Да",YEAR(DG$3)=YEAR($B$8),MONTH(DG$3)=MONTH($B$8)),DG10+DG11,IF(AND((12*(YEAR(DG$3)-YEAR($B$7))+MONTH(DG$3)-MONTH($B$7))&gt;0,MOD((12*(YEAR(DG$3)-YEAR($B$7))+MONTH(DG$3)-MONTH($B$7)),'Вводные'!$B$78)=0,(12*(YEAR(DG$3)-YEAR($B$7))+MONTH(DG$3)-MONTH($B$7))&lt;='Вводные'!$B$77*12),$B$9/MAX(1,'Вводные'!$B$79),0))))</x:f>
      </x:c>
      <x:c r="DH12" s="117" t="n">
        <x:f>MIN(DH10+DH11,IF('Вводные'!$B$75="Единовременно",DH11,IF(AND('Вводные'!$B$84="Да",YEAR(DH$3)=YEAR($B$8),MONTH(DH$3)=MONTH($B$8)),DH10+DH11,IF(AND((12*(YEAR(DH$3)-YEAR($B$7))+MONTH(DH$3)-MONTH($B$7))&gt;0,MOD((12*(YEAR(DH$3)-YEAR($B$7))+MONTH(DH$3)-MONTH($B$7)),'Вводные'!$B$78)=0,(12*(YEAR(DH$3)-YEAR($B$7))+MONTH(DH$3)-MONTH($B$7))&lt;='Вводные'!$B$77*12),$B$9/MAX(1,'Вводные'!$B$79),0))))</x:f>
      </x:c>
      <x:c r="DI12" s="117" t="n">
        <x:f>MIN(DI10+DI11,IF('Вводные'!$B$75="Единовременно",DI11,IF(AND('Вводные'!$B$84="Да",YEAR(DI$3)=YEAR($B$8),MONTH(DI$3)=MONTH($B$8)),DI10+DI11,IF(AND((12*(YEAR(DI$3)-YEAR($B$7))+MONTH(DI$3)-MONTH($B$7))&gt;0,MOD((12*(YEAR(DI$3)-YEAR($B$7))+MONTH(DI$3)-MONTH($B$7)),'Вводные'!$B$78)=0,(12*(YEAR(DI$3)-YEAR($B$7))+MONTH(DI$3)-MONTH($B$7))&lt;='Вводные'!$B$77*12),$B$9/MAX(1,'Вводные'!$B$79),0))))</x:f>
      </x:c>
      <x:c r="DJ12" s="117" t="n">
        <x:f>MIN(DJ10+DJ11,IF('Вводные'!$B$75="Единовременно",DJ11,IF(AND('Вводные'!$B$84="Да",YEAR(DJ$3)=YEAR($B$8),MONTH(DJ$3)=MONTH($B$8)),DJ10+DJ11,IF(AND((12*(YEAR(DJ$3)-YEAR($B$7))+MONTH(DJ$3)-MONTH($B$7))&gt;0,MOD((12*(YEAR(DJ$3)-YEAR($B$7))+MONTH(DJ$3)-MONTH($B$7)),'Вводные'!$B$78)=0,(12*(YEAR(DJ$3)-YEAR($B$7))+MONTH(DJ$3)-MONTH($B$7))&lt;='Вводные'!$B$77*12),$B$9/MAX(1,'Вводные'!$B$79),0))))</x:f>
      </x:c>
      <x:c r="DK12" s="117" t="n">
        <x:f>MIN(DK10+DK11,IF('Вводные'!$B$75="Единовременно",DK11,IF(AND('Вводные'!$B$84="Да",YEAR(DK$3)=YEAR($B$8),MONTH(DK$3)=MONTH($B$8)),DK10+DK11,IF(AND((12*(YEAR(DK$3)-YEAR($B$7))+MONTH(DK$3)-MONTH($B$7))&gt;0,MOD((12*(YEAR(DK$3)-YEAR($B$7))+MONTH(DK$3)-MONTH($B$7)),'Вводные'!$B$78)=0,(12*(YEAR(DK$3)-YEAR($B$7))+MONTH(DK$3)-MONTH($B$7))&lt;='Вводные'!$B$77*12),$B$9/MAX(1,'Вводные'!$B$79),0))))</x:f>
      </x:c>
      <x:c r="DL12" s="117" t="n">
        <x:f>MIN(DL10+DL11,IF('Вводные'!$B$75="Единовременно",DL11,IF(AND('Вводные'!$B$84="Да",YEAR(DL$3)=YEAR($B$8),MONTH(DL$3)=MONTH($B$8)),DL10+DL11,IF(AND((12*(YEAR(DL$3)-YEAR($B$7))+MONTH(DL$3)-MONTH($B$7))&gt;0,MOD((12*(YEAR(DL$3)-YEAR($B$7))+MONTH(DL$3)-MONTH($B$7)),'Вводные'!$B$78)=0,(12*(YEAR(DL$3)-YEAR($B$7))+MONTH(DL$3)-MONTH($B$7))&lt;='Вводные'!$B$77*12),$B$9/MAX(1,'Вводные'!$B$79),0))))</x:f>
      </x:c>
      <x:c r="DM12" s="117" t="n">
        <x:f>MIN(DM10+DM11,IF('Вводные'!$B$75="Единовременно",DM11,IF(AND('Вводные'!$B$84="Да",YEAR(DM$3)=YEAR($B$8),MONTH(DM$3)=MONTH($B$8)),DM10+DM11,IF(AND((12*(YEAR(DM$3)-YEAR($B$7))+MONTH(DM$3)-MONTH($B$7))&gt;0,MOD((12*(YEAR(DM$3)-YEAR($B$7))+MONTH(DM$3)-MONTH($B$7)),'Вводные'!$B$78)=0,(12*(YEAR(DM$3)-YEAR($B$7))+MONTH(DM$3)-MONTH($B$7))&lt;='Вводные'!$B$77*12),$B$9/MAX(1,'Вводные'!$B$79),0))))</x:f>
      </x:c>
      <x:c r="DN12" s="117" t="n">
        <x:f>MIN(DN10+DN11,IF('Вводные'!$B$75="Единовременно",DN11,IF(AND('Вводные'!$B$84="Да",YEAR(DN$3)=YEAR($B$8),MONTH(DN$3)=MONTH($B$8)),DN10+DN11,IF(AND((12*(YEAR(DN$3)-YEAR($B$7))+MONTH(DN$3)-MONTH($B$7))&gt;0,MOD((12*(YEAR(DN$3)-YEAR($B$7))+MONTH(DN$3)-MONTH($B$7)),'Вводные'!$B$78)=0,(12*(YEAR(DN$3)-YEAR($B$7))+MONTH(DN$3)-MONTH($B$7))&lt;='Вводные'!$B$77*12),$B$9/MAX(1,'Вводные'!$B$79),0))))</x:f>
      </x:c>
      <x:c r="DO12" s="117" t="n">
        <x:f>MIN(DO10+DO11,IF('Вводные'!$B$75="Единовременно",DO11,IF(AND('Вводные'!$B$84="Да",YEAR(DO$3)=YEAR($B$8),MONTH(DO$3)=MONTH($B$8)),DO10+DO11,IF(AND((12*(YEAR(DO$3)-YEAR($B$7))+MONTH(DO$3)-MONTH($B$7))&gt;0,MOD((12*(YEAR(DO$3)-YEAR($B$7))+MONTH(DO$3)-MONTH($B$7)),'Вводные'!$B$78)=0,(12*(YEAR(DO$3)-YEAR($B$7))+MONTH(DO$3)-MONTH($B$7))&lt;='Вводные'!$B$77*12),$B$9/MAX(1,'Вводные'!$B$79),0))))</x:f>
      </x:c>
      <x:c r="DP12" s="117" t="n">
        <x:f>MIN(DP10+DP11,IF('Вводные'!$B$75="Единовременно",DP11,IF(AND('Вводные'!$B$84="Да",YEAR(DP$3)=YEAR($B$8),MONTH(DP$3)=MONTH($B$8)),DP10+DP11,IF(AND((12*(YEAR(DP$3)-YEAR($B$7))+MONTH(DP$3)-MONTH($B$7))&gt;0,MOD((12*(YEAR(DP$3)-YEAR($B$7))+MONTH(DP$3)-MONTH($B$7)),'Вводные'!$B$78)=0,(12*(YEAR(DP$3)-YEAR($B$7))+MONTH(DP$3)-MONTH($B$7))&lt;='Вводные'!$B$77*12),$B$9/MAX(1,'Вводные'!$B$79),0))))</x:f>
      </x:c>
      <x:c r="DQ12" s="117" t="n">
        <x:f>MIN(DQ10+DQ11,IF('Вводные'!$B$75="Единовременно",DQ11,IF(AND('Вводные'!$B$84="Да",YEAR(DQ$3)=YEAR($B$8),MONTH(DQ$3)=MONTH($B$8)),DQ10+DQ11,IF(AND((12*(YEAR(DQ$3)-YEAR($B$7))+MONTH(DQ$3)-MONTH($B$7))&gt;0,MOD((12*(YEAR(DQ$3)-YEAR($B$7))+MONTH(DQ$3)-MONTH($B$7)),'Вводные'!$B$78)=0,(12*(YEAR(DQ$3)-YEAR($B$7))+MONTH(DQ$3)-MONTH($B$7))&lt;='Вводные'!$B$77*12),$B$9/MAX(1,'Вводные'!$B$79),0))))</x:f>
      </x:c>
      <x:c r="DR12" s="117" t="n">
        <x:f>MIN(DR10+DR11,IF('Вводные'!$B$75="Единовременно",DR11,IF(AND('Вводные'!$B$84="Да",YEAR(DR$3)=YEAR($B$8),MONTH(DR$3)=MONTH($B$8)),DR10+DR11,IF(AND((12*(YEAR(DR$3)-YEAR($B$7))+MONTH(DR$3)-MONTH($B$7))&gt;0,MOD((12*(YEAR(DR$3)-YEAR($B$7))+MONTH(DR$3)-MONTH($B$7)),'Вводные'!$B$78)=0,(12*(YEAR(DR$3)-YEAR($B$7))+MONTH(DR$3)-MONTH($B$7))&lt;='Вводные'!$B$77*12),$B$9/MAX(1,'Вводные'!$B$79),0))))</x:f>
      </x:c>
      <x:c r="DS12" s="117" t="n">
        <x:f>MIN(DS10+DS11,IF('Вводные'!$B$75="Единовременно",DS11,IF(AND('Вводные'!$B$84="Да",YEAR(DS$3)=YEAR($B$8),MONTH(DS$3)=MONTH($B$8)),DS10+DS11,IF(AND((12*(YEAR(DS$3)-YEAR($B$7))+MONTH(DS$3)-MONTH($B$7))&gt;0,MOD((12*(YEAR(DS$3)-YEAR($B$7))+MONTH(DS$3)-MONTH($B$7)),'Вводные'!$B$78)=0,(12*(YEAR(DS$3)-YEAR($B$7))+MONTH(DS$3)-MONTH($B$7))&lt;='Вводные'!$B$77*12),$B$9/MAX(1,'Вводные'!$B$79),0))))</x:f>
      </x:c>
    </x:row>
    <x:row r="13">
      <x:c r="A13" t="str">
        <x:v>Проценты по рассрочке</x:v>
      </x:c>
      <x:c r="B13" s="107" t="n">
        <x:f>SUM(D13:DS13)</x:f>
      </x:c>
      <x:c r="C13" t="str">
        <x:v>млн ₽</x:v>
      </x:c>
      <x:c r="D13" s="117" t="n">
        <x:f>IF(AND('Вводные'!$B$75&lt;&gt;"Единовременно",'Вводные'!$B$80="Да",D10&gt;0),IF(AND('Вводные'!$B$84="Да",YEAR(D$3)=YEAR($B$8),MONTH(D$3)=MONTH($B$8)),D10*D17/12,IF(AND((12*(YEAR(D$3)-YEAR($B$7))+MONTH(D$3)-MONTH($B$7))&gt;0,MOD((12*(YEAR(D$3)-YEAR($B$7))+MONTH(D$3)-MONTH($B$7)),'Вводные'!$B$78)=0,(12*(YEAR(D$3)-YEAR($B$7))+MONTH(D$3)-MONTH($B$7))&lt;='Вводные'!$B$77*12),D10*D17*'Вводные'!$B$78/12,0)),0)</x:f>
      </x:c>
      <x:c r="E13" s="117" t="n">
        <x:f>IF(AND('Вводные'!$B$75&lt;&gt;"Единовременно",'Вводные'!$B$80="Да",E10&gt;0),IF(AND('Вводные'!$B$84="Да",YEAR(E$3)=YEAR($B$8),MONTH(E$3)=MONTH($B$8)),E10*E17/12,IF(AND((12*(YEAR(E$3)-YEAR($B$7))+MONTH(E$3)-MONTH($B$7))&gt;0,MOD((12*(YEAR(E$3)-YEAR($B$7))+MONTH(E$3)-MONTH($B$7)),'Вводные'!$B$78)=0,(12*(YEAR(E$3)-YEAR($B$7))+MONTH(E$3)-MONTH($B$7))&lt;='Вводные'!$B$77*12),E10*E17*'Вводные'!$B$78/12,0)),0)</x:f>
      </x:c>
      <x:c r="F13" s="117" t="n">
        <x:f>IF(AND('Вводные'!$B$75&lt;&gt;"Единовременно",'Вводные'!$B$80="Да",F10&gt;0),IF(AND('Вводные'!$B$84="Да",YEAR(F$3)=YEAR($B$8),MONTH(F$3)=MONTH($B$8)),F10*F17/12,IF(AND((12*(YEAR(F$3)-YEAR($B$7))+MONTH(F$3)-MONTH($B$7))&gt;0,MOD((12*(YEAR(F$3)-YEAR($B$7))+MONTH(F$3)-MONTH($B$7)),'Вводные'!$B$78)=0,(12*(YEAR(F$3)-YEAR($B$7))+MONTH(F$3)-MONTH($B$7))&lt;='Вводные'!$B$77*12),F10*F17*'Вводные'!$B$78/12,0)),0)</x:f>
      </x:c>
      <x:c r="G13" s="117" t="n">
        <x:f>IF(AND('Вводные'!$B$75&lt;&gt;"Единовременно",'Вводные'!$B$80="Да",G10&gt;0),IF(AND('Вводные'!$B$84="Да",YEAR(G$3)=YEAR($B$8),MONTH(G$3)=MONTH($B$8)),G10*G17/12,IF(AND((12*(YEAR(G$3)-YEAR($B$7))+MONTH(G$3)-MONTH($B$7))&gt;0,MOD((12*(YEAR(G$3)-YEAR($B$7))+MONTH(G$3)-MONTH($B$7)),'Вводные'!$B$78)=0,(12*(YEAR(G$3)-YEAR($B$7))+MONTH(G$3)-MONTH($B$7))&lt;='Вводные'!$B$77*12),G10*G17*'Вводные'!$B$78/12,0)),0)</x:f>
      </x:c>
      <x:c r="H13" s="117" t="n">
        <x:f>IF(AND('Вводные'!$B$75&lt;&gt;"Единовременно",'Вводные'!$B$80="Да",H10&gt;0),IF(AND('Вводные'!$B$84="Да",YEAR(H$3)=YEAR($B$8),MONTH(H$3)=MONTH($B$8)),H10*H17/12,IF(AND((12*(YEAR(H$3)-YEAR($B$7))+MONTH(H$3)-MONTH($B$7))&gt;0,MOD((12*(YEAR(H$3)-YEAR($B$7))+MONTH(H$3)-MONTH($B$7)),'Вводные'!$B$78)=0,(12*(YEAR(H$3)-YEAR($B$7))+MONTH(H$3)-MONTH($B$7))&lt;='Вводные'!$B$77*12),H10*H17*'Вводные'!$B$78/12,0)),0)</x:f>
      </x:c>
      <x:c r="I13" s="117" t="n">
        <x:f>IF(AND('Вводные'!$B$75&lt;&gt;"Единовременно",'Вводные'!$B$80="Да",I10&gt;0),IF(AND('Вводные'!$B$84="Да",YEAR(I$3)=YEAR($B$8),MONTH(I$3)=MONTH($B$8)),I10*I17/12,IF(AND((12*(YEAR(I$3)-YEAR($B$7))+MONTH(I$3)-MONTH($B$7))&gt;0,MOD((12*(YEAR(I$3)-YEAR($B$7))+MONTH(I$3)-MONTH($B$7)),'Вводные'!$B$78)=0,(12*(YEAR(I$3)-YEAR($B$7))+MONTH(I$3)-MONTH($B$7))&lt;='Вводные'!$B$77*12),I10*I17*'Вводные'!$B$78/12,0)),0)</x:f>
      </x:c>
      <x:c r="J13" s="117" t="n">
        <x:f>IF(AND('Вводные'!$B$75&lt;&gt;"Единовременно",'Вводные'!$B$80="Да",J10&gt;0),IF(AND('Вводные'!$B$84="Да",YEAR(J$3)=YEAR($B$8),MONTH(J$3)=MONTH($B$8)),J10*J17/12,IF(AND((12*(YEAR(J$3)-YEAR($B$7))+MONTH(J$3)-MONTH($B$7))&gt;0,MOD((12*(YEAR(J$3)-YEAR($B$7))+MONTH(J$3)-MONTH($B$7)),'Вводные'!$B$78)=0,(12*(YEAR(J$3)-YEAR($B$7))+MONTH(J$3)-MONTH($B$7))&lt;='Вводные'!$B$77*12),J10*J17*'Вводные'!$B$78/12,0)),0)</x:f>
      </x:c>
      <x:c r="K13" s="117" t="n">
        <x:f>IF(AND('Вводные'!$B$75&lt;&gt;"Единовременно",'Вводные'!$B$80="Да",K10&gt;0),IF(AND('Вводные'!$B$84="Да",YEAR(K$3)=YEAR($B$8),MONTH(K$3)=MONTH($B$8)),K10*K17/12,IF(AND((12*(YEAR(K$3)-YEAR($B$7))+MONTH(K$3)-MONTH($B$7))&gt;0,MOD((12*(YEAR(K$3)-YEAR($B$7))+MONTH(K$3)-MONTH($B$7)),'Вводные'!$B$78)=0,(12*(YEAR(K$3)-YEAR($B$7))+MONTH(K$3)-MONTH($B$7))&lt;='Вводные'!$B$77*12),K10*K17*'Вводные'!$B$78/12,0)),0)</x:f>
      </x:c>
      <x:c r="L13" s="117" t="n">
        <x:f>IF(AND('Вводные'!$B$75&lt;&gt;"Единовременно",'Вводные'!$B$80="Да",L10&gt;0),IF(AND('Вводные'!$B$84="Да",YEAR(L$3)=YEAR($B$8),MONTH(L$3)=MONTH($B$8)),L10*L17/12,IF(AND((12*(YEAR(L$3)-YEAR($B$7))+MONTH(L$3)-MONTH($B$7))&gt;0,MOD((12*(YEAR(L$3)-YEAR($B$7))+MONTH(L$3)-MONTH($B$7)),'Вводные'!$B$78)=0,(12*(YEAR(L$3)-YEAR($B$7))+MONTH(L$3)-MONTH($B$7))&lt;='Вводные'!$B$77*12),L10*L17*'Вводные'!$B$78/12,0)),0)</x:f>
      </x:c>
      <x:c r="M13" s="117" t="n">
        <x:f>IF(AND('Вводные'!$B$75&lt;&gt;"Единовременно",'Вводные'!$B$80="Да",M10&gt;0),IF(AND('Вводные'!$B$84="Да",YEAR(M$3)=YEAR($B$8),MONTH(M$3)=MONTH($B$8)),M10*M17/12,IF(AND((12*(YEAR(M$3)-YEAR($B$7))+MONTH(M$3)-MONTH($B$7))&gt;0,MOD((12*(YEAR(M$3)-YEAR($B$7))+MONTH(M$3)-MONTH($B$7)),'Вводные'!$B$78)=0,(12*(YEAR(M$3)-YEAR($B$7))+MONTH(M$3)-MONTH($B$7))&lt;='Вводные'!$B$77*12),M10*M17*'Вводные'!$B$78/12,0)),0)</x:f>
      </x:c>
      <x:c r="N13" s="117" t="n">
        <x:f>IF(AND('Вводные'!$B$75&lt;&gt;"Единовременно",'Вводные'!$B$80="Да",N10&gt;0),IF(AND('Вводные'!$B$84="Да",YEAR(N$3)=YEAR($B$8),MONTH(N$3)=MONTH($B$8)),N10*N17/12,IF(AND((12*(YEAR(N$3)-YEAR($B$7))+MONTH(N$3)-MONTH($B$7))&gt;0,MOD((12*(YEAR(N$3)-YEAR($B$7))+MONTH(N$3)-MONTH($B$7)),'Вводные'!$B$78)=0,(12*(YEAR(N$3)-YEAR($B$7))+MONTH(N$3)-MONTH($B$7))&lt;='Вводные'!$B$77*12),N10*N17*'Вводные'!$B$78/12,0)),0)</x:f>
      </x:c>
      <x:c r="O13" s="117" t="n">
        <x:f>IF(AND('Вводные'!$B$75&lt;&gt;"Единовременно",'Вводные'!$B$80="Да",O10&gt;0),IF(AND('Вводные'!$B$84="Да",YEAR(O$3)=YEAR($B$8),MONTH(O$3)=MONTH($B$8)),O10*O17/12,IF(AND((12*(YEAR(O$3)-YEAR($B$7))+MONTH(O$3)-MONTH($B$7))&gt;0,MOD((12*(YEAR(O$3)-YEAR($B$7))+MONTH(O$3)-MONTH($B$7)),'Вводные'!$B$78)=0,(12*(YEAR(O$3)-YEAR($B$7))+MONTH(O$3)-MONTH($B$7))&lt;='Вводные'!$B$77*12),O10*O17*'Вводные'!$B$78/12,0)),0)</x:f>
      </x:c>
      <x:c r="P13" s="117" t="n">
        <x:f>IF(AND('Вводные'!$B$75&lt;&gt;"Единовременно",'Вводные'!$B$80="Да",P10&gt;0),IF(AND('Вводные'!$B$84="Да",YEAR(P$3)=YEAR($B$8),MONTH(P$3)=MONTH($B$8)),P10*P17/12,IF(AND((12*(YEAR(P$3)-YEAR($B$7))+MONTH(P$3)-MONTH($B$7))&gt;0,MOD((12*(YEAR(P$3)-YEAR($B$7))+MONTH(P$3)-MONTH($B$7)),'Вводные'!$B$78)=0,(12*(YEAR(P$3)-YEAR($B$7))+MONTH(P$3)-MONTH($B$7))&lt;='Вводные'!$B$77*12),P10*P17*'Вводные'!$B$78/12,0)),0)</x:f>
      </x:c>
      <x:c r="Q13" s="117" t="n">
        <x:f>IF(AND('Вводные'!$B$75&lt;&gt;"Единовременно",'Вводные'!$B$80="Да",Q10&gt;0),IF(AND('Вводные'!$B$84="Да",YEAR(Q$3)=YEAR($B$8),MONTH(Q$3)=MONTH($B$8)),Q10*Q17/12,IF(AND((12*(YEAR(Q$3)-YEAR($B$7))+MONTH(Q$3)-MONTH($B$7))&gt;0,MOD((12*(YEAR(Q$3)-YEAR($B$7))+MONTH(Q$3)-MONTH($B$7)),'Вводные'!$B$78)=0,(12*(YEAR(Q$3)-YEAR($B$7))+MONTH(Q$3)-MONTH($B$7))&lt;='Вводные'!$B$77*12),Q10*Q17*'Вводные'!$B$78/12,0)),0)</x:f>
      </x:c>
      <x:c r="R13" s="117" t="n">
        <x:f>IF(AND('Вводные'!$B$75&lt;&gt;"Единовременно",'Вводные'!$B$80="Да",R10&gt;0),IF(AND('Вводные'!$B$84="Да",YEAR(R$3)=YEAR($B$8),MONTH(R$3)=MONTH($B$8)),R10*R17/12,IF(AND((12*(YEAR(R$3)-YEAR($B$7))+MONTH(R$3)-MONTH($B$7))&gt;0,MOD((12*(YEAR(R$3)-YEAR($B$7))+MONTH(R$3)-MONTH($B$7)),'Вводные'!$B$78)=0,(12*(YEAR(R$3)-YEAR($B$7))+MONTH(R$3)-MONTH($B$7))&lt;='Вводные'!$B$77*12),R10*R17*'Вводные'!$B$78/12,0)),0)</x:f>
      </x:c>
      <x:c r="S13" s="117" t="n">
        <x:f>IF(AND('Вводные'!$B$75&lt;&gt;"Единовременно",'Вводные'!$B$80="Да",S10&gt;0),IF(AND('Вводные'!$B$84="Да",YEAR(S$3)=YEAR($B$8),MONTH(S$3)=MONTH($B$8)),S10*S17/12,IF(AND((12*(YEAR(S$3)-YEAR($B$7))+MONTH(S$3)-MONTH($B$7))&gt;0,MOD((12*(YEAR(S$3)-YEAR($B$7))+MONTH(S$3)-MONTH($B$7)),'Вводные'!$B$78)=0,(12*(YEAR(S$3)-YEAR($B$7))+MONTH(S$3)-MONTH($B$7))&lt;='Вводные'!$B$77*12),S10*S17*'Вводные'!$B$78/12,0)),0)</x:f>
      </x:c>
      <x:c r="T13" s="117" t="n">
        <x:f>IF(AND('Вводные'!$B$75&lt;&gt;"Единовременно",'Вводные'!$B$80="Да",T10&gt;0),IF(AND('Вводные'!$B$84="Да",YEAR(T$3)=YEAR($B$8),MONTH(T$3)=MONTH($B$8)),T10*T17/12,IF(AND((12*(YEAR(T$3)-YEAR($B$7))+MONTH(T$3)-MONTH($B$7))&gt;0,MOD((12*(YEAR(T$3)-YEAR($B$7))+MONTH(T$3)-MONTH($B$7)),'Вводные'!$B$78)=0,(12*(YEAR(T$3)-YEAR($B$7))+MONTH(T$3)-MONTH($B$7))&lt;='Вводные'!$B$77*12),T10*T17*'Вводные'!$B$78/12,0)),0)</x:f>
      </x:c>
      <x:c r="U13" s="117" t="n">
        <x:f>IF(AND('Вводные'!$B$75&lt;&gt;"Единовременно",'Вводные'!$B$80="Да",U10&gt;0),IF(AND('Вводные'!$B$84="Да",YEAR(U$3)=YEAR($B$8),MONTH(U$3)=MONTH($B$8)),U10*U17/12,IF(AND((12*(YEAR(U$3)-YEAR($B$7))+MONTH(U$3)-MONTH($B$7))&gt;0,MOD((12*(YEAR(U$3)-YEAR($B$7))+MONTH(U$3)-MONTH($B$7)),'Вводные'!$B$78)=0,(12*(YEAR(U$3)-YEAR($B$7))+MONTH(U$3)-MONTH($B$7))&lt;='Вводные'!$B$77*12),U10*U17*'Вводные'!$B$78/12,0)),0)</x:f>
      </x:c>
      <x:c r="V13" s="117" t="n">
        <x:f>IF(AND('Вводные'!$B$75&lt;&gt;"Единовременно",'Вводные'!$B$80="Да",V10&gt;0),IF(AND('Вводные'!$B$84="Да",YEAR(V$3)=YEAR($B$8),MONTH(V$3)=MONTH($B$8)),V10*V17/12,IF(AND((12*(YEAR(V$3)-YEAR($B$7))+MONTH(V$3)-MONTH($B$7))&gt;0,MOD((12*(YEAR(V$3)-YEAR($B$7))+MONTH(V$3)-MONTH($B$7)),'Вводные'!$B$78)=0,(12*(YEAR(V$3)-YEAR($B$7))+MONTH(V$3)-MONTH($B$7))&lt;='Вводные'!$B$77*12),V10*V17*'Вводные'!$B$78/12,0)),0)</x:f>
      </x:c>
      <x:c r="W13" s="117" t="n">
        <x:f>IF(AND('Вводные'!$B$75&lt;&gt;"Единовременно",'Вводные'!$B$80="Да",W10&gt;0),IF(AND('Вводные'!$B$84="Да",YEAR(W$3)=YEAR($B$8),MONTH(W$3)=MONTH($B$8)),W10*W17/12,IF(AND((12*(YEAR(W$3)-YEAR($B$7))+MONTH(W$3)-MONTH($B$7))&gt;0,MOD((12*(YEAR(W$3)-YEAR($B$7))+MONTH(W$3)-MONTH($B$7)),'Вводные'!$B$78)=0,(12*(YEAR(W$3)-YEAR($B$7))+MONTH(W$3)-MONTH($B$7))&lt;='Вводные'!$B$77*12),W10*W17*'Вводные'!$B$78/12,0)),0)</x:f>
      </x:c>
      <x:c r="X13" s="117" t="n">
        <x:f>IF(AND('Вводные'!$B$75&lt;&gt;"Единовременно",'Вводные'!$B$80="Да",X10&gt;0),IF(AND('Вводные'!$B$84="Да",YEAR(X$3)=YEAR($B$8),MONTH(X$3)=MONTH($B$8)),X10*X17/12,IF(AND((12*(YEAR(X$3)-YEAR($B$7))+MONTH(X$3)-MONTH($B$7))&gt;0,MOD((12*(YEAR(X$3)-YEAR($B$7))+MONTH(X$3)-MONTH($B$7)),'Вводные'!$B$78)=0,(12*(YEAR(X$3)-YEAR($B$7))+MONTH(X$3)-MONTH($B$7))&lt;='Вводные'!$B$77*12),X10*X17*'Вводные'!$B$78/12,0)),0)</x:f>
      </x:c>
      <x:c r="Y13" s="117" t="n">
        <x:f>IF(AND('Вводные'!$B$75&lt;&gt;"Единовременно",'Вводные'!$B$80="Да",Y10&gt;0),IF(AND('Вводные'!$B$84="Да",YEAR(Y$3)=YEAR($B$8),MONTH(Y$3)=MONTH($B$8)),Y10*Y17/12,IF(AND((12*(YEAR(Y$3)-YEAR($B$7))+MONTH(Y$3)-MONTH($B$7))&gt;0,MOD((12*(YEAR(Y$3)-YEAR($B$7))+MONTH(Y$3)-MONTH($B$7)),'Вводные'!$B$78)=0,(12*(YEAR(Y$3)-YEAR($B$7))+MONTH(Y$3)-MONTH($B$7))&lt;='Вводные'!$B$77*12),Y10*Y17*'Вводные'!$B$78/12,0)),0)</x:f>
      </x:c>
      <x:c r="Z13" s="117" t="n">
        <x:f>IF(AND('Вводные'!$B$75&lt;&gt;"Единовременно",'Вводные'!$B$80="Да",Z10&gt;0),IF(AND('Вводные'!$B$84="Да",YEAR(Z$3)=YEAR($B$8),MONTH(Z$3)=MONTH($B$8)),Z10*Z17/12,IF(AND((12*(YEAR(Z$3)-YEAR($B$7))+MONTH(Z$3)-MONTH($B$7))&gt;0,MOD((12*(YEAR(Z$3)-YEAR($B$7))+MONTH(Z$3)-MONTH($B$7)),'Вводные'!$B$78)=0,(12*(YEAR(Z$3)-YEAR($B$7))+MONTH(Z$3)-MONTH($B$7))&lt;='Вводные'!$B$77*12),Z10*Z17*'Вводные'!$B$78/12,0)),0)</x:f>
      </x:c>
      <x:c r="AA13" s="117" t="n">
        <x:f>IF(AND('Вводные'!$B$75&lt;&gt;"Единовременно",'Вводные'!$B$80="Да",AA10&gt;0),IF(AND('Вводные'!$B$84="Да",YEAR(AA$3)=YEAR($B$8),MONTH(AA$3)=MONTH($B$8)),AA10*AA17/12,IF(AND((12*(YEAR(AA$3)-YEAR($B$7))+MONTH(AA$3)-MONTH($B$7))&gt;0,MOD((12*(YEAR(AA$3)-YEAR($B$7))+MONTH(AA$3)-MONTH($B$7)),'Вводные'!$B$78)=0,(12*(YEAR(AA$3)-YEAR($B$7))+MONTH(AA$3)-MONTH($B$7))&lt;='Вводные'!$B$77*12),AA10*AA17*'Вводные'!$B$78/12,0)),0)</x:f>
      </x:c>
      <x:c r="AB13" s="117" t="n">
        <x:f>IF(AND('Вводные'!$B$75&lt;&gt;"Единовременно",'Вводные'!$B$80="Да",AB10&gt;0),IF(AND('Вводные'!$B$84="Да",YEAR(AB$3)=YEAR($B$8),MONTH(AB$3)=MONTH($B$8)),AB10*AB17/12,IF(AND((12*(YEAR(AB$3)-YEAR($B$7))+MONTH(AB$3)-MONTH($B$7))&gt;0,MOD((12*(YEAR(AB$3)-YEAR($B$7))+MONTH(AB$3)-MONTH($B$7)),'Вводные'!$B$78)=0,(12*(YEAR(AB$3)-YEAR($B$7))+MONTH(AB$3)-MONTH($B$7))&lt;='Вводные'!$B$77*12),AB10*AB17*'Вводные'!$B$78/12,0)),0)</x:f>
      </x:c>
      <x:c r="AC13" s="117" t="n">
        <x:f>IF(AND('Вводные'!$B$75&lt;&gt;"Единовременно",'Вводные'!$B$80="Да",AC10&gt;0),IF(AND('Вводные'!$B$84="Да",YEAR(AC$3)=YEAR($B$8),MONTH(AC$3)=MONTH($B$8)),AC10*AC17/12,IF(AND((12*(YEAR(AC$3)-YEAR($B$7))+MONTH(AC$3)-MONTH($B$7))&gt;0,MOD((12*(YEAR(AC$3)-YEAR($B$7))+MONTH(AC$3)-MONTH($B$7)),'Вводные'!$B$78)=0,(12*(YEAR(AC$3)-YEAR($B$7))+MONTH(AC$3)-MONTH($B$7))&lt;='Вводные'!$B$77*12),AC10*AC17*'Вводные'!$B$78/12,0)),0)</x:f>
      </x:c>
      <x:c r="AD13" s="117" t="n">
        <x:f>IF(AND('Вводные'!$B$75&lt;&gt;"Единовременно",'Вводные'!$B$80="Да",AD10&gt;0),IF(AND('Вводные'!$B$84="Да",YEAR(AD$3)=YEAR($B$8),MONTH(AD$3)=MONTH($B$8)),AD10*AD17/12,IF(AND((12*(YEAR(AD$3)-YEAR($B$7))+MONTH(AD$3)-MONTH($B$7))&gt;0,MOD((12*(YEAR(AD$3)-YEAR($B$7))+MONTH(AD$3)-MONTH($B$7)),'Вводные'!$B$78)=0,(12*(YEAR(AD$3)-YEAR($B$7))+MONTH(AD$3)-MONTH($B$7))&lt;='Вводные'!$B$77*12),AD10*AD17*'Вводные'!$B$78/12,0)),0)</x:f>
      </x:c>
      <x:c r="AE13" s="117" t="n">
        <x:f>IF(AND('Вводные'!$B$75&lt;&gt;"Единовременно",'Вводные'!$B$80="Да",AE10&gt;0),IF(AND('Вводные'!$B$84="Да",YEAR(AE$3)=YEAR($B$8),MONTH(AE$3)=MONTH($B$8)),AE10*AE17/12,IF(AND((12*(YEAR(AE$3)-YEAR($B$7))+MONTH(AE$3)-MONTH($B$7))&gt;0,MOD((12*(YEAR(AE$3)-YEAR($B$7))+MONTH(AE$3)-MONTH($B$7)),'Вводные'!$B$78)=0,(12*(YEAR(AE$3)-YEAR($B$7))+MONTH(AE$3)-MONTH($B$7))&lt;='Вводные'!$B$77*12),AE10*AE17*'Вводные'!$B$78/12,0)),0)</x:f>
      </x:c>
      <x:c r="AF13" s="117" t="n">
        <x:f>IF(AND('Вводные'!$B$75&lt;&gt;"Единовременно",'Вводные'!$B$80="Да",AF10&gt;0),IF(AND('Вводные'!$B$84="Да",YEAR(AF$3)=YEAR($B$8),MONTH(AF$3)=MONTH($B$8)),AF10*AF17/12,IF(AND((12*(YEAR(AF$3)-YEAR($B$7))+MONTH(AF$3)-MONTH($B$7))&gt;0,MOD((12*(YEAR(AF$3)-YEAR($B$7))+MONTH(AF$3)-MONTH($B$7)),'Вводные'!$B$78)=0,(12*(YEAR(AF$3)-YEAR($B$7))+MONTH(AF$3)-MONTH($B$7))&lt;='Вводные'!$B$77*12),AF10*AF17*'Вводные'!$B$78/12,0)),0)</x:f>
      </x:c>
      <x:c r="AG13" s="117" t="n">
        <x:f>IF(AND('Вводные'!$B$75&lt;&gt;"Единовременно",'Вводные'!$B$80="Да",AG10&gt;0),IF(AND('Вводные'!$B$84="Да",YEAR(AG$3)=YEAR($B$8),MONTH(AG$3)=MONTH($B$8)),AG10*AG17/12,IF(AND((12*(YEAR(AG$3)-YEAR($B$7))+MONTH(AG$3)-MONTH($B$7))&gt;0,MOD((12*(YEAR(AG$3)-YEAR($B$7))+MONTH(AG$3)-MONTH($B$7)),'Вводные'!$B$78)=0,(12*(YEAR(AG$3)-YEAR($B$7))+MONTH(AG$3)-MONTH($B$7))&lt;='Вводные'!$B$77*12),AG10*AG17*'Вводные'!$B$78/12,0)),0)</x:f>
      </x:c>
      <x:c r="AH13" s="117" t="n">
        <x:f>IF(AND('Вводные'!$B$75&lt;&gt;"Единовременно",'Вводные'!$B$80="Да",AH10&gt;0),IF(AND('Вводные'!$B$84="Да",YEAR(AH$3)=YEAR($B$8),MONTH(AH$3)=MONTH($B$8)),AH10*AH17/12,IF(AND((12*(YEAR(AH$3)-YEAR($B$7))+MONTH(AH$3)-MONTH($B$7))&gt;0,MOD((12*(YEAR(AH$3)-YEAR($B$7))+MONTH(AH$3)-MONTH($B$7)),'Вводные'!$B$78)=0,(12*(YEAR(AH$3)-YEAR($B$7))+MONTH(AH$3)-MONTH($B$7))&lt;='Вводные'!$B$77*12),AH10*AH17*'Вводные'!$B$78/12,0)),0)</x:f>
      </x:c>
      <x:c r="AI13" s="117" t="n">
        <x:f>IF(AND('Вводные'!$B$75&lt;&gt;"Единовременно",'Вводные'!$B$80="Да",AI10&gt;0),IF(AND('Вводные'!$B$84="Да",YEAR(AI$3)=YEAR($B$8),MONTH(AI$3)=MONTH($B$8)),AI10*AI17/12,IF(AND((12*(YEAR(AI$3)-YEAR($B$7))+MONTH(AI$3)-MONTH($B$7))&gt;0,MOD((12*(YEAR(AI$3)-YEAR($B$7))+MONTH(AI$3)-MONTH($B$7)),'Вводные'!$B$78)=0,(12*(YEAR(AI$3)-YEAR($B$7))+MONTH(AI$3)-MONTH($B$7))&lt;='Вводные'!$B$77*12),AI10*AI17*'Вводные'!$B$78/12,0)),0)</x:f>
      </x:c>
      <x:c r="AJ13" s="117" t="n">
        <x:f>IF(AND('Вводные'!$B$75&lt;&gt;"Единовременно",'Вводные'!$B$80="Да",AJ10&gt;0),IF(AND('Вводные'!$B$84="Да",YEAR(AJ$3)=YEAR($B$8),MONTH(AJ$3)=MONTH($B$8)),AJ10*AJ17/12,IF(AND((12*(YEAR(AJ$3)-YEAR($B$7))+MONTH(AJ$3)-MONTH($B$7))&gt;0,MOD((12*(YEAR(AJ$3)-YEAR($B$7))+MONTH(AJ$3)-MONTH($B$7)),'Вводные'!$B$78)=0,(12*(YEAR(AJ$3)-YEAR($B$7))+MONTH(AJ$3)-MONTH($B$7))&lt;='Вводные'!$B$77*12),AJ10*AJ17*'Вводные'!$B$78/12,0)),0)</x:f>
      </x:c>
      <x:c r="AK13" s="117" t="n">
        <x:f>IF(AND('Вводные'!$B$75&lt;&gt;"Единовременно",'Вводные'!$B$80="Да",AK10&gt;0),IF(AND('Вводные'!$B$84="Да",YEAR(AK$3)=YEAR($B$8),MONTH(AK$3)=MONTH($B$8)),AK10*AK17/12,IF(AND((12*(YEAR(AK$3)-YEAR($B$7))+MONTH(AK$3)-MONTH($B$7))&gt;0,MOD((12*(YEAR(AK$3)-YEAR($B$7))+MONTH(AK$3)-MONTH($B$7)),'Вводные'!$B$78)=0,(12*(YEAR(AK$3)-YEAR($B$7))+MONTH(AK$3)-MONTH($B$7))&lt;='Вводные'!$B$77*12),AK10*AK17*'Вводные'!$B$78/12,0)),0)</x:f>
      </x:c>
      <x:c r="AL13" s="117" t="n">
        <x:f>IF(AND('Вводные'!$B$75&lt;&gt;"Единовременно",'Вводные'!$B$80="Да",AL10&gt;0),IF(AND('Вводные'!$B$84="Да",YEAR(AL$3)=YEAR($B$8),MONTH(AL$3)=MONTH($B$8)),AL10*AL17/12,IF(AND((12*(YEAR(AL$3)-YEAR($B$7))+MONTH(AL$3)-MONTH($B$7))&gt;0,MOD((12*(YEAR(AL$3)-YEAR($B$7))+MONTH(AL$3)-MONTH($B$7)),'Вводные'!$B$78)=0,(12*(YEAR(AL$3)-YEAR($B$7))+MONTH(AL$3)-MONTH($B$7))&lt;='Вводные'!$B$77*12),AL10*AL17*'Вводные'!$B$78/12,0)),0)</x:f>
      </x:c>
      <x:c r="AM13" s="117" t="n">
        <x:f>IF(AND('Вводные'!$B$75&lt;&gt;"Единовременно",'Вводные'!$B$80="Да",AM10&gt;0),IF(AND('Вводные'!$B$84="Да",YEAR(AM$3)=YEAR($B$8),MONTH(AM$3)=MONTH($B$8)),AM10*AM17/12,IF(AND((12*(YEAR(AM$3)-YEAR($B$7))+MONTH(AM$3)-MONTH($B$7))&gt;0,MOD((12*(YEAR(AM$3)-YEAR($B$7))+MONTH(AM$3)-MONTH($B$7)),'Вводные'!$B$78)=0,(12*(YEAR(AM$3)-YEAR($B$7))+MONTH(AM$3)-MONTH($B$7))&lt;='Вводные'!$B$77*12),AM10*AM17*'Вводные'!$B$78/12,0)),0)</x:f>
      </x:c>
      <x:c r="AN13" s="117" t="n">
        <x:f>IF(AND('Вводные'!$B$75&lt;&gt;"Единовременно",'Вводные'!$B$80="Да",AN10&gt;0),IF(AND('Вводные'!$B$84="Да",YEAR(AN$3)=YEAR($B$8),MONTH(AN$3)=MONTH($B$8)),AN10*AN17/12,IF(AND((12*(YEAR(AN$3)-YEAR($B$7))+MONTH(AN$3)-MONTH($B$7))&gt;0,MOD((12*(YEAR(AN$3)-YEAR($B$7))+MONTH(AN$3)-MONTH($B$7)),'Вводные'!$B$78)=0,(12*(YEAR(AN$3)-YEAR($B$7))+MONTH(AN$3)-MONTH($B$7))&lt;='Вводные'!$B$77*12),AN10*AN17*'Вводные'!$B$78/12,0)),0)</x:f>
      </x:c>
      <x:c r="AO13" s="117" t="n">
        <x:f>IF(AND('Вводные'!$B$75&lt;&gt;"Единовременно",'Вводные'!$B$80="Да",AO10&gt;0),IF(AND('Вводные'!$B$84="Да",YEAR(AO$3)=YEAR($B$8),MONTH(AO$3)=MONTH($B$8)),AO10*AO17/12,IF(AND((12*(YEAR(AO$3)-YEAR($B$7))+MONTH(AO$3)-MONTH($B$7))&gt;0,MOD((12*(YEAR(AO$3)-YEAR($B$7))+MONTH(AO$3)-MONTH($B$7)),'Вводные'!$B$78)=0,(12*(YEAR(AO$3)-YEAR($B$7))+MONTH(AO$3)-MONTH($B$7))&lt;='Вводные'!$B$77*12),AO10*AO17*'Вводные'!$B$78/12,0)),0)</x:f>
      </x:c>
      <x:c r="AP13" s="117" t="n">
        <x:f>IF(AND('Вводные'!$B$75&lt;&gt;"Единовременно",'Вводные'!$B$80="Да",AP10&gt;0),IF(AND('Вводные'!$B$84="Да",YEAR(AP$3)=YEAR($B$8),MONTH(AP$3)=MONTH($B$8)),AP10*AP17/12,IF(AND((12*(YEAR(AP$3)-YEAR($B$7))+MONTH(AP$3)-MONTH($B$7))&gt;0,MOD((12*(YEAR(AP$3)-YEAR($B$7))+MONTH(AP$3)-MONTH($B$7)),'Вводные'!$B$78)=0,(12*(YEAR(AP$3)-YEAR($B$7))+MONTH(AP$3)-MONTH($B$7))&lt;='Вводные'!$B$77*12),AP10*AP17*'Вводные'!$B$78/12,0)),0)</x:f>
      </x:c>
      <x:c r="AQ13" s="117" t="n">
        <x:f>IF(AND('Вводные'!$B$75&lt;&gt;"Единовременно",'Вводные'!$B$80="Да",AQ10&gt;0),IF(AND('Вводные'!$B$84="Да",YEAR(AQ$3)=YEAR($B$8),MONTH(AQ$3)=MONTH($B$8)),AQ10*AQ17/12,IF(AND((12*(YEAR(AQ$3)-YEAR($B$7))+MONTH(AQ$3)-MONTH($B$7))&gt;0,MOD((12*(YEAR(AQ$3)-YEAR($B$7))+MONTH(AQ$3)-MONTH($B$7)),'Вводные'!$B$78)=0,(12*(YEAR(AQ$3)-YEAR($B$7))+MONTH(AQ$3)-MONTH($B$7))&lt;='Вводные'!$B$77*12),AQ10*AQ17*'Вводные'!$B$78/12,0)),0)</x:f>
      </x:c>
      <x:c r="AR13" s="117" t="n">
        <x:f>IF(AND('Вводные'!$B$75&lt;&gt;"Единовременно",'Вводные'!$B$80="Да",AR10&gt;0),IF(AND('Вводные'!$B$84="Да",YEAR(AR$3)=YEAR($B$8),MONTH(AR$3)=MONTH($B$8)),AR10*AR17/12,IF(AND((12*(YEAR(AR$3)-YEAR($B$7))+MONTH(AR$3)-MONTH($B$7))&gt;0,MOD((12*(YEAR(AR$3)-YEAR($B$7))+MONTH(AR$3)-MONTH($B$7)),'Вводные'!$B$78)=0,(12*(YEAR(AR$3)-YEAR($B$7))+MONTH(AR$3)-MONTH($B$7))&lt;='Вводные'!$B$77*12),AR10*AR17*'Вводные'!$B$78/12,0)),0)</x:f>
      </x:c>
      <x:c r="AS13" s="117" t="n">
        <x:f>IF(AND('Вводные'!$B$75&lt;&gt;"Единовременно",'Вводные'!$B$80="Да",AS10&gt;0),IF(AND('Вводные'!$B$84="Да",YEAR(AS$3)=YEAR($B$8),MONTH(AS$3)=MONTH($B$8)),AS10*AS17/12,IF(AND((12*(YEAR(AS$3)-YEAR($B$7))+MONTH(AS$3)-MONTH($B$7))&gt;0,MOD((12*(YEAR(AS$3)-YEAR($B$7))+MONTH(AS$3)-MONTH($B$7)),'Вводные'!$B$78)=0,(12*(YEAR(AS$3)-YEAR($B$7))+MONTH(AS$3)-MONTH($B$7))&lt;='Вводные'!$B$77*12),AS10*AS17*'Вводные'!$B$78/12,0)),0)</x:f>
      </x:c>
      <x:c r="AT13" s="117" t="n">
        <x:f>IF(AND('Вводные'!$B$75&lt;&gt;"Единовременно",'Вводные'!$B$80="Да",AT10&gt;0),IF(AND('Вводные'!$B$84="Да",YEAR(AT$3)=YEAR($B$8),MONTH(AT$3)=MONTH($B$8)),AT10*AT17/12,IF(AND((12*(YEAR(AT$3)-YEAR($B$7))+MONTH(AT$3)-MONTH($B$7))&gt;0,MOD((12*(YEAR(AT$3)-YEAR($B$7))+MONTH(AT$3)-MONTH($B$7)),'Вводные'!$B$78)=0,(12*(YEAR(AT$3)-YEAR($B$7))+MONTH(AT$3)-MONTH($B$7))&lt;='Вводные'!$B$77*12),AT10*AT17*'Вводные'!$B$78/12,0)),0)</x:f>
      </x:c>
      <x:c r="AU13" s="117" t="n">
        <x:f>IF(AND('Вводные'!$B$75&lt;&gt;"Единовременно",'Вводные'!$B$80="Да",AU10&gt;0),IF(AND('Вводные'!$B$84="Да",YEAR(AU$3)=YEAR($B$8),MONTH(AU$3)=MONTH($B$8)),AU10*AU17/12,IF(AND((12*(YEAR(AU$3)-YEAR($B$7))+MONTH(AU$3)-MONTH($B$7))&gt;0,MOD((12*(YEAR(AU$3)-YEAR($B$7))+MONTH(AU$3)-MONTH($B$7)),'Вводные'!$B$78)=0,(12*(YEAR(AU$3)-YEAR($B$7))+MONTH(AU$3)-MONTH($B$7))&lt;='Вводные'!$B$77*12),AU10*AU17*'Вводные'!$B$78/12,0)),0)</x:f>
      </x:c>
      <x:c r="AV13" s="117" t="n">
        <x:f>IF(AND('Вводные'!$B$75&lt;&gt;"Единовременно",'Вводные'!$B$80="Да",AV10&gt;0),IF(AND('Вводные'!$B$84="Да",YEAR(AV$3)=YEAR($B$8),MONTH(AV$3)=MONTH($B$8)),AV10*AV17/12,IF(AND((12*(YEAR(AV$3)-YEAR($B$7))+MONTH(AV$3)-MONTH($B$7))&gt;0,MOD((12*(YEAR(AV$3)-YEAR($B$7))+MONTH(AV$3)-MONTH($B$7)),'Вводные'!$B$78)=0,(12*(YEAR(AV$3)-YEAR($B$7))+MONTH(AV$3)-MONTH($B$7))&lt;='Вводные'!$B$77*12),AV10*AV17*'Вводные'!$B$78/12,0)),0)</x:f>
      </x:c>
      <x:c r="AW13" s="117" t="n">
        <x:f>IF(AND('Вводные'!$B$75&lt;&gt;"Единовременно",'Вводные'!$B$80="Да",AW10&gt;0),IF(AND('Вводные'!$B$84="Да",YEAR(AW$3)=YEAR($B$8),MONTH(AW$3)=MONTH($B$8)),AW10*AW17/12,IF(AND((12*(YEAR(AW$3)-YEAR($B$7))+MONTH(AW$3)-MONTH($B$7))&gt;0,MOD((12*(YEAR(AW$3)-YEAR($B$7))+MONTH(AW$3)-MONTH($B$7)),'Вводные'!$B$78)=0,(12*(YEAR(AW$3)-YEAR($B$7))+MONTH(AW$3)-MONTH($B$7))&lt;='Вводные'!$B$77*12),AW10*AW17*'Вводные'!$B$78/12,0)),0)</x:f>
      </x:c>
      <x:c r="AX13" s="117" t="n">
        <x:f>IF(AND('Вводные'!$B$75&lt;&gt;"Единовременно",'Вводные'!$B$80="Да",AX10&gt;0),IF(AND('Вводные'!$B$84="Да",YEAR(AX$3)=YEAR($B$8),MONTH(AX$3)=MONTH($B$8)),AX10*AX17/12,IF(AND((12*(YEAR(AX$3)-YEAR($B$7))+MONTH(AX$3)-MONTH($B$7))&gt;0,MOD((12*(YEAR(AX$3)-YEAR($B$7))+MONTH(AX$3)-MONTH($B$7)),'Вводные'!$B$78)=0,(12*(YEAR(AX$3)-YEAR($B$7))+MONTH(AX$3)-MONTH($B$7))&lt;='Вводные'!$B$77*12),AX10*AX17*'Вводные'!$B$78/12,0)),0)</x:f>
      </x:c>
      <x:c r="AY13" s="117" t="n">
        <x:f>IF(AND('Вводные'!$B$75&lt;&gt;"Единовременно",'Вводные'!$B$80="Да",AY10&gt;0),IF(AND('Вводные'!$B$84="Да",YEAR(AY$3)=YEAR($B$8),MONTH(AY$3)=MONTH($B$8)),AY10*AY17/12,IF(AND((12*(YEAR(AY$3)-YEAR($B$7))+MONTH(AY$3)-MONTH($B$7))&gt;0,MOD((12*(YEAR(AY$3)-YEAR($B$7))+MONTH(AY$3)-MONTH($B$7)),'Вводные'!$B$78)=0,(12*(YEAR(AY$3)-YEAR($B$7))+MONTH(AY$3)-MONTH($B$7))&lt;='Вводные'!$B$77*12),AY10*AY17*'Вводные'!$B$78/12,0)),0)</x:f>
      </x:c>
      <x:c r="AZ13" s="117" t="n">
        <x:f>IF(AND('Вводные'!$B$75&lt;&gt;"Единовременно",'Вводные'!$B$80="Да",AZ10&gt;0),IF(AND('Вводные'!$B$84="Да",YEAR(AZ$3)=YEAR($B$8),MONTH(AZ$3)=MONTH($B$8)),AZ10*AZ17/12,IF(AND((12*(YEAR(AZ$3)-YEAR($B$7))+MONTH(AZ$3)-MONTH($B$7))&gt;0,MOD((12*(YEAR(AZ$3)-YEAR($B$7))+MONTH(AZ$3)-MONTH($B$7)),'Вводные'!$B$78)=0,(12*(YEAR(AZ$3)-YEAR($B$7))+MONTH(AZ$3)-MONTH($B$7))&lt;='Вводные'!$B$77*12),AZ10*AZ17*'Вводные'!$B$78/12,0)),0)</x:f>
      </x:c>
      <x:c r="BA13" s="117" t="n">
        <x:f>IF(AND('Вводные'!$B$75&lt;&gt;"Единовременно",'Вводные'!$B$80="Да",BA10&gt;0),IF(AND('Вводные'!$B$84="Да",YEAR(BA$3)=YEAR($B$8),MONTH(BA$3)=MONTH($B$8)),BA10*BA17/12,IF(AND((12*(YEAR(BA$3)-YEAR($B$7))+MONTH(BA$3)-MONTH($B$7))&gt;0,MOD((12*(YEAR(BA$3)-YEAR($B$7))+MONTH(BA$3)-MONTH($B$7)),'Вводные'!$B$78)=0,(12*(YEAR(BA$3)-YEAR($B$7))+MONTH(BA$3)-MONTH($B$7))&lt;='Вводные'!$B$77*12),BA10*BA17*'Вводные'!$B$78/12,0)),0)</x:f>
      </x:c>
      <x:c r="BB13" s="117" t="n">
        <x:f>IF(AND('Вводные'!$B$75&lt;&gt;"Единовременно",'Вводные'!$B$80="Да",BB10&gt;0),IF(AND('Вводные'!$B$84="Да",YEAR(BB$3)=YEAR($B$8),MONTH(BB$3)=MONTH($B$8)),BB10*BB17/12,IF(AND((12*(YEAR(BB$3)-YEAR($B$7))+MONTH(BB$3)-MONTH($B$7))&gt;0,MOD((12*(YEAR(BB$3)-YEAR($B$7))+MONTH(BB$3)-MONTH($B$7)),'Вводные'!$B$78)=0,(12*(YEAR(BB$3)-YEAR($B$7))+MONTH(BB$3)-MONTH($B$7))&lt;='Вводные'!$B$77*12),BB10*BB17*'Вводные'!$B$78/12,0)),0)</x:f>
      </x:c>
      <x:c r="BC13" s="117" t="n">
        <x:f>IF(AND('Вводные'!$B$75&lt;&gt;"Единовременно",'Вводные'!$B$80="Да",BC10&gt;0),IF(AND('Вводные'!$B$84="Да",YEAR(BC$3)=YEAR($B$8),MONTH(BC$3)=MONTH($B$8)),BC10*BC17/12,IF(AND((12*(YEAR(BC$3)-YEAR($B$7))+MONTH(BC$3)-MONTH($B$7))&gt;0,MOD((12*(YEAR(BC$3)-YEAR($B$7))+MONTH(BC$3)-MONTH($B$7)),'Вводные'!$B$78)=0,(12*(YEAR(BC$3)-YEAR($B$7))+MONTH(BC$3)-MONTH($B$7))&lt;='Вводные'!$B$77*12),BC10*BC17*'Вводные'!$B$78/12,0)),0)</x:f>
      </x:c>
      <x:c r="BD13" s="117" t="n">
        <x:f>IF(AND('Вводные'!$B$75&lt;&gt;"Единовременно",'Вводные'!$B$80="Да",BD10&gt;0),IF(AND('Вводные'!$B$84="Да",YEAR(BD$3)=YEAR($B$8),MONTH(BD$3)=MONTH($B$8)),BD10*BD17/12,IF(AND((12*(YEAR(BD$3)-YEAR($B$7))+MONTH(BD$3)-MONTH($B$7))&gt;0,MOD((12*(YEAR(BD$3)-YEAR($B$7))+MONTH(BD$3)-MONTH($B$7)),'Вводные'!$B$78)=0,(12*(YEAR(BD$3)-YEAR($B$7))+MONTH(BD$3)-MONTH($B$7))&lt;='Вводные'!$B$77*12),BD10*BD17*'Вводные'!$B$78/12,0)),0)</x:f>
      </x:c>
      <x:c r="BE13" s="117" t="n">
        <x:f>IF(AND('Вводные'!$B$75&lt;&gt;"Единовременно",'Вводные'!$B$80="Да",BE10&gt;0),IF(AND('Вводные'!$B$84="Да",YEAR(BE$3)=YEAR($B$8),MONTH(BE$3)=MONTH($B$8)),BE10*BE17/12,IF(AND((12*(YEAR(BE$3)-YEAR($B$7))+MONTH(BE$3)-MONTH($B$7))&gt;0,MOD((12*(YEAR(BE$3)-YEAR($B$7))+MONTH(BE$3)-MONTH($B$7)),'Вводные'!$B$78)=0,(12*(YEAR(BE$3)-YEAR($B$7))+MONTH(BE$3)-MONTH($B$7))&lt;='Вводные'!$B$77*12),BE10*BE17*'Вводные'!$B$78/12,0)),0)</x:f>
      </x:c>
      <x:c r="BF13" s="117" t="n">
        <x:f>IF(AND('Вводные'!$B$75&lt;&gt;"Единовременно",'Вводные'!$B$80="Да",BF10&gt;0),IF(AND('Вводные'!$B$84="Да",YEAR(BF$3)=YEAR($B$8),MONTH(BF$3)=MONTH($B$8)),BF10*BF17/12,IF(AND((12*(YEAR(BF$3)-YEAR($B$7))+MONTH(BF$3)-MONTH($B$7))&gt;0,MOD((12*(YEAR(BF$3)-YEAR($B$7))+MONTH(BF$3)-MONTH($B$7)),'Вводные'!$B$78)=0,(12*(YEAR(BF$3)-YEAR($B$7))+MONTH(BF$3)-MONTH($B$7))&lt;='Вводные'!$B$77*12),BF10*BF17*'Вводные'!$B$78/12,0)),0)</x:f>
      </x:c>
      <x:c r="BG13" s="117" t="n">
        <x:f>IF(AND('Вводные'!$B$75&lt;&gt;"Единовременно",'Вводные'!$B$80="Да",BG10&gt;0),IF(AND('Вводные'!$B$84="Да",YEAR(BG$3)=YEAR($B$8),MONTH(BG$3)=MONTH($B$8)),BG10*BG17/12,IF(AND((12*(YEAR(BG$3)-YEAR($B$7))+MONTH(BG$3)-MONTH($B$7))&gt;0,MOD((12*(YEAR(BG$3)-YEAR($B$7))+MONTH(BG$3)-MONTH($B$7)),'Вводные'!$B$78)=0,(12*(YEAR(BG$3)-YEAR($B$7))+MONTH(BG$3)-MONTH($B$7))&lt;='Вводные'!$B$77*12),BG10*BG17*'Вводные'!$B$78/12,0)),0)</x:f>
      </x:c>
      <x:c r="BH13" s="117" t="n">
        <x:f>IF(AND('Вводные'!$B$75&lt;&gt;"Единовременно",'Вводные'!$B$80="Да",BH10&gt;0),IF(AND('Вводные'!$B$84="Да",YEAR(BH$3)=YEAR($B$8),MONTH(BH$3)=MONTH($B$8)),BH10*BH17/12,IF(AND((12*(YEAR(BH$3)-YEAR($B$7))+MONTH(BH$3)-MONTH($B$7))&gt;0,MOD((12*(YEAR(BH$3)-YEAR($B$7))+MONTH(BH$3)-MONTH($B$7)),'Вводные'!$B$78)=0,(12*(YEAR(BH$3)-YEAR($B$7))+MONTH(BH$3)-MONTH($B$7))&lt;='Вводные'!$B$77*12),BH10*BH17*'Вводные'!$B$78/12,0)),0)</x:f>
      </x:c>
      <x:c r="BI13" s="117" t="n">
        <x:f>IF(AND('Вводные'!$B$75&lt;&gt;"Единовременно",'Вводные'!$B$80="Да",BI10&gt;0),IF(AND('Вводные'!$B$84="Да",YEAR(BI$3)=YEAR($B$8),MONTH(BI$3)=MONTH($B$8)),BI10*BI17/12,IF(AND((12*(YEAR(BI$3)-YEAR($B$7))+MONTH(BI$3)-MONTH($B$7))&gt;0,MOD((12*(YEAR(BI$3)-YEAR($B$7))+MONTH(BI$3)-MONTH($B$7)),'Вводные'!$B$78)=0,(12*(YEAR(BI$3)-YEAR($B$7))+MONTH(BI$3)-MONTH($B$7))&lt;='Вводные'!$B$77*12),BI10*BI17*'Вводные'!$B$78/12,0)),0)</x:f>
      </x:c>
      <x:c r="BJ13" s="117" t="n">
        <x:f>IF(AND('Вводные'!$B$75&lt;&gt;"Единовременно",'Вводные'!$B$80="Да",BJ10&gt;0),IF(AND('Вводные'!$B$84="Да",YEAR(BJ$3)=YEAR($B$8),MONTH(BJ$3)=MONTH($B$8)),BJ10*BJ17/12,IF(AND((12*(YEAR(BJ$3)-YEAR($B$7))+MONTH(BJ$3)-MONTH($B$7))&gt;0,MOD((12*(YEAR(BJ$3)-YEAR($B$7))+MONTH(BJ$3)-MONTH($B$7)),'Вводные'!$B$78)=0,(12*(YEAR(BJ$3)-YEAR($B$7))+MONTH(BJ$3)-MONTH($B$7))&lt;='Вводные'!$B$77*12),BJ10*BJ17*'Вводные'!$B$78/12,0)),0)</x:f>
      </x:c>
      <x:c r="BK13" s="117" t="n">
        <x:f>IF(AND('Вводные'!$B$75&lt;&gt;"Единовременно",'Вводные'!$B$80="Да",BK10&gt;0),IF(AND('Вводные'!$B$84="Да",YEAR(BK$3)=YEAR($B$8),MONTH(BK$3)=MONTH($B$8)),BK10*BK17/12,IF(AND((12*(YEAR(BK$3)-YEAR($B$7))+MONTH(BK$3)-MONTH($B$7))&gt;0,MOD((12*(YEAR(BK$3)-YEAR($B$7))+MONTH(BK$3)-MONTH($B$7)),'Вводные'!$B$78)=0,(12*(YEAR(BK$3)-YEAR($B$7))+MONTH(BK$3)-MONTH($B$7))&lt;='Вводные'!$B$77*12),BK10*BK17*'Вводные'!$B$78/12,0)),0)</x:f>
      </x:c>
      <x:c r="BL13" s="117" t="n">
        <x:f>IF(AND('Вводные'!$B$75&lt;&gt;"Единовременно",'Вводные'!$B$80="Да",BL10&gt;0),IF(AND('Вводные'!$B$84="Да",YEAR(BL$3)=YEAR($B$8),MONTH(BL$3)=MONTH($B$8)),BL10*BL17/12,IF(AND((12*(YEAR(BL$3)-YEAR($B$7))+MONTH(BL$3)-MONTH($B$7))&gt;0,MOD((12*(YEAR(BL$3)-YEAR($B$7))+MONTH(BL$3)-MONTH($B$7)),'Вводные'!$B$78)=0,(12*(YEAR(BL$3)-YEAR($B$7))+MONTH(BL$3)-MONTH($B$7))&lt;='Вводные'!$B$77*12),BL10*BL17*'Вводные'!$B$78/12,0)),0)</x:f>
      </x:c>
      <x:c r="BM13" s="117" t="n">
        <x:f>IF(AND('Вводные'!$B$75&lt;&gt;"Единовременно",'Вводные'!$B$80="Да",BM10&gt;0),IF(AND('Вводные'!$B$84="Да",YEAR(BM$3)=YEAR($B$8),MONTH(BM$3)=MONTH($B$8)),BM10*BM17/12,IF(AND((12*(YEAR(BM$3)-YEAR($B$7))+MONTH(BM$3)-MONTH($B$7))&gt;0,MOD((12*(YEAR(BM$3)-YEAR($B$7))+MONTH(BM$3)-MONTH($B$7)),'Вводные'!$B$78)=0,(12*(YEAR(BM$3)-YEAR($B$7))+MONTH(BM$3)-MONTH($B$7))&lt;='Вводные'!$B$77*12),BM10*BM17*'Вводные'!$B$78/12,0)),0)</x:f>
      </x:c>
      <x:c r="BN13" s="117" t="n">
        <x:f>IF(AND('Вводные'!$B$75&lt;&gt;"Единовременно",'Вводные'!$B$80="Да",BN10&gt;0),IF(AND('Вводные'!$B$84="Да",YEAR(BN$3)=YEAR($B$8),MONTH(BN$3)=MONTH($B$8)),BN10*BN17/12,IF(AND((12*(YEAR(BN$3)-YEAR($B$7))+MONTH(BN$3)-MONTH($B$7))&gt;0,MOD((12*(YEAR(BN$3)-YEAR($B$7))+MONTH(BN$3)-MONTH($B$7)),'Вводные'!$B$78)=0,(12*(YEAR(BN$3)-YEAR($B$7))+MONTH(BN$3)-MONTH($B$7))&lt;='Вводные'!$B$77*12),BN10*BN17*'Вводные'!$B$78/12,0)),0)</x:f>
      </x:c>
      <x:c r="BO13" s="117" t="n">
        <x:f>IF(AND('Вводные'!$B$75&lt;&gt;"Единовременно",'Вводные'!$B$80="Да",BO10&gt;0),IF(AND('Вводные'!$B$84="Да",YEAR(BO$3)=YEAR($B$8),MONTH(BO$3)=MONTH($B$8)),BO10*BO17/12,IF(AND((12*(YEAR(BO$3)-YEAR($B$7))+MONTH(BO$3)-MONTH($B$7))&gt;0,MOD((12*(YEAR(BO$3)-YEAR($B$7))+MONTH(BO$3)-MONTH($B$7)),'Вводные'!$B$78)=0,(12*(YEAR(BO$3)-YEAR($B$7))+MONTH(BO$3)-MONTH($B$7))&lt;='Вводные'!$B$77*12),BO10*BO17*'Вводные'!$B$78/12,0)),0)</x:f>
      </x:c>
      <x:c r="BP13" s="117" t="n">
        <x:f>IF(AND('Вводные'!$B$75&lt;&gt;"Единовременно",'Вводные'!$B$80="Да",BP10&gt;0),IF(AND('Вводные'!$B$84="Да",YEAR(BP$3)=YEAR($B$8),MONTH(BP$3)=MONTH($B$8)),BP10*BP17/12,IF(AND((12*(YEAR(BP$3)-YEAR($B$7))+MONTH(BP$3)-MONTH($B$7))&gt;0,MOD((12*(YEAR(BP$3)-YEAR($B$7))+MONTH(BP$3)-MONTH($B$7)),'Вводные'!$B$78)=0,(12*(YEAR(BP$3)-YEAR($B$7))+MONTH(BP$3)-MONTH($B$7))&lt;='Вводные'!$B$77*12),BP10*BP17*'Вводные'!$B$78/12,0)),0)</x:f>
      </x:c>
      <x:c r="BQ13" s="117" t="n">
        <x:f>IF(AND('Вводные'!$B$75&lt;&gt;"Единовременно",'Вводные'!$B$80="Да",BQ10&gt;0),IF(AND('Вводные'!$B$84="Да",YEAR(BQ$3)=YEAR($B$8),MONTH(BQ$3)=MONTH($B$8)),BQ10*BQ17/12,IF(AND((12*(YEAR(BQ$3)-YEAR($B$7))+MONTH(BQ$3)-MONTH($B$7))&gt;0,MOD((12*(YEAR(BQ$3)-YEAR($B$7))+MONTH(BQ$3)-MONTH($B$7)),'Вводные'!$B$78)=0,(12*(YEAR(BQ$3)-YEAR($B$7))+MONTH(BQ$3)-MONTH($B$7))&lt;='Вводные'!$B$77*12),BQ10*BQ17*'Вводные'!$B$78/12,0)),0)</x:f>
      </x:c>
      <x:c r="BR13" s="117" t="n">
        <x:f>IF(AND('Вводные'!$B$75&lt;&gt;"Единовременно",'Вводные'!$B$80="Да",BR10&gt;0),IF(AND('Вводные'!$B$84="Да",YEAR(BR$3)=YEAR($B$8),MONTH(BR$3)=MONTH($B$8)),BR10*BR17/12,IF(AND((12*(YEAR(BR$3)-YEAR($B$7))+MONTH(BR$3)-MONTH($B$7))&gt;0,MOD((12*(YEAR(BR$3)-YEAR($B$7))+MONTH(BR$3)-MONTH($B$7)),'Вводные'!$B$78)=0,(12*(YEAR(BR$3)-YEAR($B$7))+MONTH(BR$3)-MONTH($B$7))&lt;='Вводные'!$B$77*12),BR10*BR17*'Вводные'!$B$78/12,0)),0)</x:f>
      </x:c>
      <x:c r="BS13" s="117" t="n">
        <x:f>IF(AND('Вводные'!$B$75&lt;&gt;"Единовременно",'Вводные'!$B$80="Да",BS10&gt;0),IF(AND('Вводные'!$B$84="Да",YEAR(BS$3)=YEAR($B$8),MONTH(BS$3)=MONTH($B$8)),BS10*BS17/12,IF(AND((12*(YEAR(BS$3)-YEAR($B$7))+MONTH(BS$3)-MONTH($B$7))&gt;0,MOD((12*(YEAR(BS$3)-YEAR($B$7))+MONTH(BS$3)-MONTH($B$7)),'Вводные'!$B$78)=0,(12*(YEAR(BS$3)-YEAR($B$7))+MONTH(BS$3)-MONTH($B$7))&lt;='Вводные'!$B$77*12),BS10*BS17*'Вводные'!$B$78/12,0)),0)</x:f>
      </x:c>
      <x:c r="BT13" s="117" t="n">
        <x:f>IF(AND('Вводные'!$B$75&lt;&gt;"Единовременно",'Вводные'!$B$80="Да",BT10&gt;0),IF(AND('Вводные'!$B$84="Да",YEAR(BT$3)=YEAR($B$8),MONTH(BT$3)=MONTH($B$8)),BT10*BT17/12,IF(AND((12*(YEAR(BT$3)-YEAR($B$7))+MONTH(BT$3)-MONTH($B$7))&gt;0,MOD((12*(YEAR(BT$3)-YEAR($B$7))+MONTH(BT$3)-MONTH($B$7)),'Вводные'!$B$78)=0,(12*(YEAR(BT$3)-YEAR($B$7))+MONTH(BT$3)-MONTH($B$7))&lt;='Вводные'!$B$77*12),BT10*BT17*'Вводные'!$B$78/12,0)),0)</x:f>
      </x:c>
      <x:c r="BU13" s="117" t="n">
        <x:f>IF(AND('Вводные'!$B$75&lt;&gt;"Единовременно",'Вводные'!$B$80="Да",BU10&gt;0),IF(AND('Вводные'!$B$84="Да",YEAR(BU$3)=YEAR($B$8),MONTH(BU$3)=MONTH($B$8)),BU10*BU17/12,IF(AND((12*(YEAR(BU$3)-YEAR($B$7))+MONTH(BU$3)-MONTH($B$7))&gt;0,MOD((12*(YEAR(BU$3)-YEAR($B$7))+MONTH(BU$3)-MONTH($B$7)),'Вводные'!$B$78)=0,(12*(YEAR(BU$3)-YEAR($B$7))+MONTH(BU$3)-MONTH($B$7))&lt;='Вводные'!$B$77*12),BU10*BU17*'Вводные'!$B$78/12,0)),0)</x:f>
      </x:c>
      <x:c r="BV13" s="117" t="n">
        <x:f>IF(AND('Вводные'!$B$75&lt;&gt;"Единовременно",'Вводные'!$B$80="Да",BV10&gt;0),IF(AND('Вводные'!$B$84="Да",YEAR(BV$3)=YEAR($B$8),MONTH(BV$3)=MONTH($B$8)),BV10*BV17/12,IF(AND((12*(YEAR(BV$3)-YEAR($B$7))+MONTH(BV$3)-MONTH($B$7))&gt;0,MOD((12*(YEAR(BV$3)-YEAR($B$7))+MONTH(BV$3)-MONTH($B$7)),'Вводные'!$B$78)=0,(12*(YEAR(BV$3)-YEAR($B$7))+MONTH(BV$3)-MONTH($B$7))&lt;='Вводные'!$B$77*12),BV10*BV17*'Вводные'!$B$78/12,0)),0)</x:f>
      </x:c>
      <x:c r="BW13" s="117" t="n">
        <x:f>IF(AND('Вводные'!$B$75&lt;&gt;"Единовременно",'Вводные'!$B$80="Да",BW10&gt;0),IF(AND('Вводные'!$B$84="Да",YEAR(BW$3)=YEAR($B$8),MONTH(BW$3)=MONTH($B$8)),BW10*BW17/12,IF(AND((12*(YEAR(BW$3)-YEAR($B$7))+MONTH(BW$3)-MONTH($B$7))&gt;0,MOD((12*(YEAR(BW$3)-YEAR($B$7))+MONTH(BW$3)-MONTH($B$7)),'Вводные'!$B$78)=0,(12*(YEAR(BW$3)-YEAR($B$7))+MONTH(BW$3)-MONTH($B$7))&lt;='Вводные'!$B$77*12),BW10*BW17*'Вводные'!$B$78/12,0)),0)</x:f>
      </x:c>
      <x:c r="BX13" s="117" t="n">
        <x:f>IF(AND('Вводные'!$B$75&lt;&gt;"Единовременно",'Вводные'!$B$80="Да",BX10&gt;0),IF(AND('Вводные'!$B$84="Да",YEAR(BX$3)=YEAR($B$8),MONTH(BX$3)=MONTH($B$8)),BX10*BX17/12,IF(AND((12*(YEAR(BX$3)-YEAR($B$7))+MONTH(BX$3)-MONTH($B$7))&gt;0,MOD((12*(YEAR(BX$3)-YEAR($B$7))+MONTH(BX$3)-MONTH($B$7)),'Вводные'!$B$78)=0,(12*(YEAR(BX$3)-YEAR($B$7))+MONTH(BX$3)-MONTH($B$7))&lt;='Вводные'!$B$77*12),BX10*BX17*'Вводные'!$B$78/12,0)),0)</x:f>
      </x:c>
      <x:c r="BY13" s="117" t="n">
        <x:f>IF(AND('Вводные'!$B$75&lt;&gt;"Единовременно",'Вводные'!$B$80="Да",BY10&gt;0),IF(AND('Вводные'!$B$84="Да",YEAR(BY$3)=YEAR($B$8),MONTH(BY$3)=MONTH($B$8)),BY10*BY17/12,IF(AND((12*(YEAR(BY$3)-YEAR($B$7))+MONTH(BY$3)-MONTH($B$7))&gt;0,MOD((12*(YEAR(BY$3)-YEAR($B$7))+MONTH(BY$3)-MONTH($B$7)),'Вводные'!$B$78)=0,(12*(YEAR(BY$3)-YEAR($B$7))+MONTH(BY$3)-MONTH($B$7))&lt;='Вводные'!$B$77*12),BY10*BY17*'Вводные'!$B$78/12,0)),0)</x:f>
      </x:c>
      <x:c r="BZ13" s="117" t="n">
        <x:f>IF(AND('Вводные'!$B$75&lt;&gt;"Единовременно",'Вводные'!$B$80="Да",BZ10&gt;0),IF(AND('Вводные'!$B$84="Да",YEAR(BZ$3)=YEAR($B$8),MONTH(BZ$3)=MONTH($B$8)),BZ10*BZ17/12,IF(AND((12*(YEAR(BZ$3)-YEAR($B$7))+MONTH(BZ$3)-MONTH($B$7))&gt;0,MOD((12*(YEAR(BZ$3)-YEAR($B$7))+MONTH(BZ$3)-MONTH($B$7)),'Вводные'!$B$78)=0,(12*(YEAR(BZ$3)-YEAR($B$7))+MONTH(BZ$3)-MONTH($B$7))&lt;='Вводные'!$B$77*12),BZ10*BZ17*'Вводные'!$B$78/12,0)),0)</x:f>
      </x:c>
      <x:c r="CA13" s="117" t="n">
        <x:f>IF(AND('Вводные'!$B$75&lt;&gt;"Единовременно",'Вводные'!$B$80="Да",CA10&gt;0),IF(AND('Вводные'!$B$84="Да",YEAR(CA$3)=YEAR($B$8),MONTH(CA$3)=MONTH($B$8)),CA10*CA17/12,IF(AND((12*(YEAR(CA$3)-YEAR($B$7))+MONTH(CA$3)-MONTH($B$7))&gt;0,MOD((12*(YEAR(CA$3)-YEAR($B$7))+MONTH(CA$3)-MONTH($B$7)),'Вводные'!$B$78)=0,(12*(YEAR(CA$3)-YEAR($B$7))+MONTH(CA$3)-MONTH($B$7))&lt;='Вводные'!$B$77*12),CA10*CA17*'Вводные'!$B$78/12,0)),0)</x:f>
      </x:c>
      <x:c r="CB13" s="117" t="n">
        <x:f>IF(AND('Вводные'!$B$75&lt;&gt;"Единовременно",'Вводные'!$B$80="Да",CB10&gt;0),IF(AND('Вводные'!$B$84="Да",YEAR(CB$3)=YEAR($B$8),MONTH(CB$3)=MONTH($B$8)),CB10*CB17/12,IF(AND((12*(YEAR(CB$3)-YEAR($B$7))+MONTH(CB$3)-MONTH($B$7))&gt;0,MOD((12*(YEAR(CB$3)-YEAR($B$7))+MONTH(CB$3)-MONTH($B$7)),'Вводные'!$B$78)=0,(12*(YEAR(CB$3)-YEAR($B$7))+MONTH(CB$3)-MONTH($B$7))&lt;='Вводные'!$B$77*12),CB10*CB17*'Вводные'!$B$78/12,0)),0)</x:f>
      </x:c>
      <x:c r="CC13" s="117" t="n">
        <x:f>IF(AND('Вводные'!$B$75&lt;&gt;"Единовременно",'Вводные'!$B$80="Да",CC10&gt;0),IF(AND('Вводные'!$B$84="Да",YEAR(CC$3)=YEAR($B$8),MONTH(CC$3)=MONTH($B$8)),CC10*CC17/12,IF(AND((12*(YEAR(CC$3)-YEAR($B$7))+MONTH(CC$3)-MONTH($B$7))&gt;0,MOD((12*(YEAR(CC$3)-YEAR($B$7))+MONTH(CC$3)-MONTH($B$7)),'Вводные'!$B$78)=0,(12*(YEAR(CC$3)-YEAR($B$7))+MONTH(CC$3)-MONTH($B$7))&lt;='Вводные'!$B$77*12),CC10*CC17*'Вводные'!$B$78/12,0)),0)</x:f>
      </x:c>
      <x:c r="CD13" s="117" t="n">
        <x:f>IF(AND('Вводные'!$B$75&lt;&gt;"Единовременно",'Вводные'!$B$80="Да",CD10&gt;0),IF(AND('Вводные'!$B$84="Да",YEAR(CD$3)=YEAR($B$8),MONTH(CD$3)=MONTH($B$8)),CD10*CD17/12,IF(AND((12*(YEAR(CD$3)-YEAR($B$7))+MONTH(CD$3)-MONTH($B$7))&gt;0,MOD((12*(YEAR(CD$3)-YEAR($B$7))+MONTH(CD$3)-MONTH($B$7)),'Вводные'!$B$78)=0,(12*(YEAR(CD$3)-YEAR($B$7))+MONTH(CD$3)-MONTH($B$7))&lt;='Вводные'!$B$77*12),CD10*CD17*'Вводные'!$B$78/12,0)),0)</x:f>
      </x:c>
      <x:c r="CE13" s="117" t="n">
        <x:f>IF(AND('Вводные'!$B$75&lt;&gt;"Единовременно",'Вводные'!$B$80="Да",CE10&gt;0),IF(AND('Вводные'!$B$84="Да",YEAR(CE$3)=YEAR($B$8),MONTH(CE$3)=MONTH($B$8)),CE10*CE17/12,IF(AND((12*(YEAR(CE$3)-YEAR($B$7))+MONTH(CE$3)-MONTH($B$7))&gt;0,MOD((12*(YEAR(CE$3)-YEAR($B$7))+MONTH(CE$3)-MONTH($B$7)),'Вводные'!$B$78)=0,(12*(YEAR(CE$3)-YEAR($B$7))+MONTH(CE$3)-MONTH($B$7))&lt;='Вводные'!$B$77*12),CE10*CE17*'Вводные'!$B$78/12,0)),0)</x:f>
      </x:c>
      <x:c r="CF13" s="117" t="n">
        <x:f>IF(AND('Вводные'!$B$75&lt;&gt;"Единовременно",'Вводные'!$B$80="Да",CF10&gt;0),IF(AND('Вводные'!$B$84="Да",YEAR(CF$3)=YEAR($B$8),MONTH(CF$3)=MONTH($B$8)),CF10*CF17/12,IF(AND((12*(YEAR(CF$3)-YEAR($B$7))+MONTH(CF$3)-MONTH($B$7))&gt;0,MOD((12*(YEAR(CF$3)-YEAR($B$7))+MONTH(CF$3)-MONTH($B$7)),'Вводные'!$B$78)=0,(12*(YEAR(CF$3)-YEAR($B$7))+MONTH(CF$3)-MONTH($B$7))&lt;='Вводные'!$B$77*12),CF10*CF17*'Вводные'!$B$78/12,0)),0)</x:f>
      </x:c>
      <x:c r="CG13" s="117" t="n">
        <x:f>IF(AND('Вводные'!$B$75&lt;&gt;"Единовременно",'Вводные'!$B$80="Да",CG10&gt;0),IF(AND('Вводные'!$B$84="Да",YEAR(CG$3)=YEAR($B$8),MONTH(CG$3)=MONTH($B$8)),CG10*CG17/12,IF(AND((12*(YEAR(CG$3)-YEAR($B$7))+MONTH(CG$3)-MONTH($B$7))&gt;0,MOD((12*(YEAR(CG$3)-YEAR($B$7))+MONTH(CG$3)-MONTH($B$7)),'Вводные'!$B$78)=0,(12*(YEAR(CG$3)-YEAR($B$7))+MONTH(CG$3)-MONTH($B$7))&lt;='Вводные'!$B$77*12),CG10*CG17*'Вводные'!$B$78/12,0)),0)</x:f>
      </x:c>
      <x:c r="CH13" s="117" t="n">
        <x:f>IF(AND('Вводные'!$B$75&lt;&gt;"Единовременно",'Вводные'!$B$80="Да",CH10&gt;0),IF(AND('Вводные'!$B$84="Да",YEAR(CH$3)=YEAR($B$8),MONTH(CH$3)=MONTH($B$8)),CH10*CH17/12,IF(AND((12*(YEAR(CH$3)-YEAR($B$7))+MONTH(CH$3)-MONTH($B$7))&gt;0,MOD((12*(YEAR(CH$3)-YEAR($B$7))+MONTH(CH$3)-MONTH($B$7)),'Вводные'!$B$78)=0,(12*(YEAR(CH$3)-YEAR($B$7))+MONTH(CH$3)-MONTH($B$7))&lt;='Вводные'!$B$77*12),CH10*CH17*'Вводные'!$B$78/12,0)),0)</x:f>
      </x:c>
      <x:c r="CI13" s="117" t="n">
        <x:f>IF(AND('Вводные'!$B$75&lt;&gt;"Единовременно",'Вводные'!$B$80="Да",CI10&gt;0),IF(AND('Вводные'!$B$84="Да",YEAR(CI$3)=YEAR($B$8),MONTH(CI$3)=MONTH($B$8)),CI10*CI17/12,IF(AND((12*(YEAR(CI$3)-YEAR($B$7))+MONTH(CI$3)-MONTH($B$7))&gt;0,MOD((12*(YEAR(CI$3)-YEAR($B$7))+MONTH(CI$3)-MONTH($B$7)),'Вводные'!$B$78)=0,(12*(YEAR(CI$3)-YEAR($B$7))+MONTH(CI$3)-MONTH($B$7))&lt;='Вводные'!$B$77*12),CI10*CI17*'Вводные'!$B$78/12,0)),0)</x:f>
      </x:c>
      <x:c r="CJ13" s="117" t="n">
        <x:f>IF(AND('Вводные'!$B$75&lt;&gt;"Единовременно",'Вводные'!$B$80="Да",CJ10&gt;0),IF(AND('Вводные'!$B$84="Да",YEAR(CJ$3)=YEAR($B$8),MONTH(CJ$3)=MONTH($B$8)),CJ10*CJ17/12,IF(AND((12*(YEAR(CJ$3)-YEAR($B$7))+MONTH(CJ$3)-MONTH($B$7))&gt;0,MOD((12*(YEAR(CJ$3)-YEAR($B$7))+MONTH(CJ$3)-MONTH($B$7)),'Вводные'!$B$78)=0,(12*(YEAR(CJ$3)-YEAR($B$7))+MONTH(CJ$3)-MONTH($B$7))&lt;='Вводные'!$B$77*12),CJ10*CJ17*'Вводные'!$B$78/12,0)),0)</x:f>
      </x:c>
      <x:c r="CK13" s="117" t="n">
        <x:f>IF(AND('Вводные'!$B$75&lt;&gt;"Единовременно",'Вводные'!$B$80="Да",CK10&gt;0),IF(AND('Вводные'!$B$84="Да",YEAR(CK$3)=YEAR($B$8),MONTH(CK$3)=MONTH($B$8)),CK10*CK17/12,IF(AND((12*(YEAR(CK$3)-YEAR($B$7))+MONTH(CK$3)-MONTH($B$7))&gt;0,MOD((12*(YEAR(CK$3)-YEAR($B$7))+MONTH(CK$3)-MONTH($B$7)),'Вводные'!$B$78)=0,(12*(YEAR(CK$3)-YEAR($B$7))+MONTH(CK$3)-MONTH($B$7))&lt;='Вводные'!$B$77*12),CK10*CK17*'Вводные'!$B$78/12,0)),0)</x:f>
      </x:c>
      <x:c r="CL13" s="117" t="n">
        <x:f>IF(AND('Вводные'!$B$75&lt;&gt;"Единовременно",'Вводные'!$B$80="Да",CL10&gt;0),IF(AND('Вводные'!$B$84="Да",YEAR(CL$3)=YEAR($B$8),MONTH(CL$3)=MONTH($B$8)),CL10*CL17/12,IF(AND((12*(YEAR(CL$3)-YEAR($B$7))+MONTH(CL$3)-MONTH($B$7))&gt;0,MOD((12*(YEAR(CL$3)-YEAR($B$7))+MONTH(CL$3)-MONTH($B$7)),'Вводные'!$B$78)=0,(12*(YEAR(CL$3)-YEAR($B$7))+MONTH(CL$3)-MONTH($B$7))&lt;='Вводные'!$B$77*12),CL10*CL17*'Вводные'!$B$78/12,0)),0)</x:f>
      </x:c>
      <x:c r="CM13" s="117" t="n">
        <x:f>IF(AND('Вводные'!$B$75&lt;&gt;"Единовременно",'Вводные'!$B$80="Да",CM10&gt;0),IF(AND('Вводные'!$B$84="Да",YEAR(CM$3)=YEAR($B$8),MONTH(CM$3)=MONTH($B$8)),CM10*CM17/12,IF(AND((12*(YEAR(CM$3)-YEAR($B$7))+MONTH(CM$3)-MONTH($B$7))&gt;0,MOD((12*(YEAR(CM$3)-YEAR($B$7))+MONTH(CM$3)-MONTH($B$7)),'Вводные'!$B$78)=0,(12*(YEAR(CM$3)-YEAR($B$7))+MONTH(CM$3)-MONTH($B$7))&lt;='Вводные'!$B$77*12),CM10*CM17*'Вводные'!$B$78/12,0)),0)</x:f>
      </x:c>
      <x:c r="CN13" s="117" t="n">
        <x:f>IF(AND('Вводные'!$B$75&lt;&gt;"Единовременно",'Вводные'!$B$80="Да",CN10&gt;0),IF(AND('Вводные'!$B$84="Да",YEAR(CN$3)=YEAR($B$8),MONTH(CN$3)=MONTH($B$8)),CN10*CN17/12,IF(AND((12*(YEAR(CN$3)-YEAR($B$7))+MONTH(CN$3)-MONTH($B$7))&gt;0,MOD((12*(YEAR(CN$3)-YEAR($B$7))+MONTH(CN$3)-MONTH($B$7)),'Вводные'!$B$78)=0,(12*(YEAR(CN$3)-YEAR($B$7))+MONTH(CN$3)-MONTH($B$7))&lt;='Вводные'!$B$77*12),CN10*CN17*'Вводные'!$B$78/12,0)),0)</x:f>
      </x:c>
      <x:c r="CO13" s="117" t="n">
        <x:f>IF(AND('Вводные'!$B$75&lt;&gt;"Единовременно",'Вводные'!$B$80="Да",CO10&gt;0),IF(AND('Вводные'!$B$84="Да",YEAR(CO$3)=YEAR($B$8),MONTH(CO$3)=MONTH($B$8)),CO10*CO17/12,IF(AND((12*(YEAR(CO$3)-YEAR($B$7))+MONTH(CO$3)-MONTH($B$7))&gt;0,MOD((12*(YEAR(CO$3)-YEAR($B$7))+MONTH(CO$3)-MONTH($B$7)),'Вводные'!$B$78)=0,(12*(YEAR(CO$3)-YEAR($B$7))+MONTH(CO$3)-MONTH($B$7))&lt;='Вводные'!$B$77*12),CO10*CO17*'Вводные'!$B$78/12,0)),0)</x:f>
      </x:c>
      <x:c r="CP13" s="117" t="n">
        <x:f>IF(AND('Вводные'!$B$75&lt;&gt;"Единовременно",'Вводные'!$B$80="Да",CP10&gt;0),IF(AND('Вводные'!$B$84="Да",YEAR(CP$3)=YEAR($B$8),MONTH(CP$3)=MONTH($B$8)),CP10*CP17/12,IF(AND((12*(YEAR(CP$3)-YEAR($B$7))+MONTH(CP$3)-MONTH($B$7))&gt;0,MOD((12*(YEAR(CP$3)-YEAR($B$7))+MONTH(CP$3)-MONTH($B$7)),'Вводные'!$B$78)=0,(12*(YEAR(CP$3)-YEAR($B$7))+MONTH(CP$3)-MONTH($B$7))&lt;='Вводные'!$B$77*12),CP10*CP17*'Вводные'!$B$78/12,0)),0)</x:f>
      </x:c>
      <x:c r="CQ13" s="117" t="n">
        <x:f>IF(AND('Вводные'!$B$75&lt;&gt;"Единовременно",'Вводные'!$B$80="Да",CQ10&gt;0),IF(AND('Вводные'!$B$84="Да",YEAR(CQ$3)=YEAR($B$8),MONTH(CQ$3)=MONTH($B$8)),CQ10*CQ17/12,IF(AND((12*(YEAR(CQ$3)-YEAR($B$7))+MONTH(CQ$3)-MONTH($B$7))&gt;0,MOD((12*(YEAR(CQ$3)-YEAR($B$7))+MONTH(CQ$3)-MONTH($B$7)),'Вводные'!$B$78)=0,(12*(YEAR(CQ$3)-YEAR($B$7))+MONTH(CQ$3)-MONTH($B$7))&lt;='Вводные'!$B$77*12),CQ10*CQ17*'Вводные'!$B$78/12,0)),0)</x:f>
      </x:c>
      <x:c r="CR13" s="117" t="n">
        <x:f>IF(AND('Вводные'!$B$75&lt;&gt;"Единовременно",'Вводные'!$B$80="Да",CR10&gt;0),IF(AND('Вводные'!$B$84="Да",YEAR(CR$3)=YEAR($B$8),MONTH(CR$3)=MONTH($B$8)),CR10*CR17/12,IF(AND((12*(YEAR(CR$3)-YEAR($B$7))+MONTH(CR$3)-MONTH($B$7))&gt;0,MOD((12*(YEAR(CR$3)-YEAR($B$7))+MONTH(CR$3)-MONTH($B$7)),'Вводные'!$B$78)=0,(12*(YEAR(CR$3)-YEAR($B$7))+MONTH(CR$3)-MONTH($B$7))&lt;='Вводные'!$B$77*12),CR10*CR17*'Вводные'!$B$78/12,0)),0)</x:f>
      </x:c>
      <x:c r="CS13" s="117" t="n">
        <x:f>IF(AND('Вводные'!$B$75&lt;&gt;"Единовременно",'Вводные'!$B$80="Да",CS10&gt;0),IF(AND('Вводные'!$B$84="Да",YEAR(CS$3)=YEAR($B$8),MONTH(CS$3)=MONTH($B$8)),CS10*CS17/12,IF(AND((12*(YEAR(CS$3)-YEAR($B$7))+MONTH(CS$3)-MONTH($B$7))&gt;0,MOD((12*(YEAR(CS$3)-YEAR($B$7))+MONTH(CS$3)-MONTH($B$7)),'Вводные'!$B$78)=0,(12*(YEAR(CS$3)-YEAR($B$7))+MONTH(CS$3)-MONTH($B$7))&lt;='Вводные'!$B$77*12),CS10*CS17*'Вводные'!$B$78/12,0)),0)</x:f>
      </x:c>
      <x:c r="CT13" s="117" t="n">
        <x:f>IF(AND('Вводные'!$B$75&lt;&gt;"Единовременно",'Вводные'!$B$80="Да",CT10&gt;0),IF(AND('Вводные'!$B$84="Да",YEAR(CT$3)=YEAR($B$8),MONTH(CT$3)=MONTH($B$8)),CT10*CT17/12,IF(AND((12*(YEAR(CT$3)-YEAR($B$7))+MONTH(CT$3)-MONTH($B$7))&gt;0,MOD((12*(YEAR(CT$3)-YEAR($B$7))+MONTH(CT$3)-MONTH($B$7)),'Вводные'!$B$78)=0,(12*(YEAR(CT$3)-YEAR($B$7))+MONTH(CT$3)-MONTH($B$7))&lt;='Вводные'!$B$77*12),CT10*CT17*'Вводные'!$B$78/12,0)),0)</x:f>
      </x:c>
      <x:c r="CU13" s="117" t="n">
        <x:f>IF(AND('Вводные'!$B$75&lt;&gt;"Единовременно",'Вводные'!$B$80="Да",CU10&gt;0),IF(AND('Вводные'!$B$84="Да",YEAR(CU$3)=YEAR($B$8),MONTH(CU$3)=MONTH($B$8)),CU10*CU17/12,IF(AND((12*(YEAR(CU$3)-YEAR($B$7))+MONTH(CU$3)-MONTH($B$7))&gt;0,MOD((12*(YEAR(CU$3)-YEAR($B$7))+MONTH(CU$3)-MONTH($B$7)),'Вводные'!$B$78)=0,(12*(YEAR(CU$3)-YEAR($B$7))+MONTH(CU$3)-MONTH($B$7))&lt;='Вводные'!$B$77*12),CU10*CU17*'Вводные'!$B$78/12,0)),0)</x:f>
      </x:c>
      <x:c r="CV13" s="117" t="n">
        <x:f>IF(AND('Вводные'!$B$75&lt;&gt;"Единовременно",'Вводные'!$B$80="Да",CV10&gt;0),IF(AND('Вводные'!$B$84="Да",YEAR(CV$3)=YEAR($B$8),MONTH(CV$3)=MONTH($B$8)),CV10*CV17/12,IF(AND((12*(YEAR(CV$3)-YEAR($B$7))+MONTH(CV$3)-MONTH($B$7))&gt;0,MOD((12*(YEAR(CV$3)-YEAR($B$7))+MONTH(CV$3)-MONTH($B$7)),'Вводные'!$B$78)=0,(12*(YEAR(CV$3)-YEAR($B$7))+MONTH(CV$3)-MONTH($B$7))&lt;='Вводные'!$B$77*12),CV10*CV17*'Вводные'!$B$78/12,0)),0)</x:f>
      </x:c>
      <x:c r="CW13" s="117" t="n">
        <x:f>IF(AND('Вводные'!$B$75&lt;&gt;"Единовременно",'Вводные'!$B$80="Да",CW10&gt;0),IF(AND('Вводные'!$B$84="Да",YEAR(CW$3)=YEAR($B$8),MONTH(CW$3)=MONTH($B$8)),CW10*CW17/12,IF(AND((12*(YEAR(CW$3)-YEAR($B$7))+MONTH(CW$3)-MONTH($B$7))&gt;0,MOD((12*(YEAR(CW$3)-YEAR($B$7))+MONTH(CW$3)-MONTH($B$7)),'Вводные'!$B$78)=0,(12*(YEAR(CW$3)-YEAR($B$7))+MONTH(CW$3)-MONTH($B$7))&lt;='Вводные'!$B$77*12),CW10*CW17*'Вводные'!$B$78/12,0)),0)</x:f>
      </x:c>
      <x:c r="CX13" s="117" t="n">
        <x:f>IF(AND('Вводные'!$B$75&lt;&gt;"Единовременно",'Вводные'!$B$80="Да",CX10&gt;0),IF(AND('Вводные'!$B$84="Да",YEAR(CX$3)=YEAR($B$8),MONTH(CX$3)=MONTH($B$8)),CX10*CX17/12,IF(AND((12*(YEAR(CX$3)-YEAR($B$7))+MONTH(CX$3)-MONTH($B$7))&gt;0,MOD((12*(YEAR(CX$3)-YEAR($B$7))+MONTH(CX$3)-MONTH($B$7)),'Вводные'!$B$78)=0,(12*(YEAR(CX$3)-YEAR($B$7))+MONTH(CX$3)-MONTH($B$7))&lt;='Вводные'!$B$77*12),CX10*CX17*'Вводные'!$B$78/12,0)),0)</x:f>
      </x:c>
      <x:c r="CY13" s="117" t="n">
        <x:f>IF(AND('Вводные'!$B$75&lt;&gt;"Единовременно",'Вводные'!$B$80="Да",CY10&gt;0),IF(AND('Вводные'!$B$84="Да",YEAR(CY$3)=YEAR($B$8),MONTH(CY$3)=MONTH($B$8)),CY10*CY17/12,IF(AND((12*(YEAR(CY$3)-YEAR($B$7))+MONTH(CY$3)-MONTH($B$7))&gt;0,MOD((12*(YEAR(CY$3)-YEAR($B$7))+MONTH(CY$3)-MONTH($B$7)),'Вводные'!$B$78)=0,(12*(YEAR(CY$3)-YEAR($B$7))+MONTH(CY$3)-MONTH($B$7))&lt;='Вводные'!$B$77*12),CY10*CY17*'Вводные'!$B$78/12,0)),0)</x:f>
      </x:c>
      <x:c r="CZ13" s="117" t="n">
        <x:f>IF(AND('Вводные'!$B$75&lt;&gt;"Единовременно",'Вводные'!$B$80="Да",CZ10&gt;0),IF(AND('Вводные'!$B$84="Да",YEAR(CZ$3)=YEAR($B$8),MONTH(CZ$3)=MONTH($B$8)),CZ10*CZ17/12,IF(AND((12*(YEAR(CZ$3)-YEAR($B$7))+MONTH(CZ$3)-MONTH($B$7))&gt;0,MOD((12*(YEAR(CZ$3)-YEAR($B$7))+MONTH(CZ$3)-MONTH($B$7)),'Вводные'!$B$78)=0,(12*(YEAR(CZ$3)-YEAR($B$7))+MONTH(CZ$3)-MONTH($B$7))&lt;='Вводные'!$B$77*12),CZ10*CZ17*'Вводные'!$B$78/12,0)),0)</x:f>
      </x:c>
      <x:c r="DA13" s="117" t="n">
        <x:f>IF(AND('Вводные'!$B$75&lt;&gt;"Единовременно",'Вводные'!$B$80="Да",DA10&gt;0),IF(AND('Вводные'!$B$84="Да",YEAR(DA$3)=YEAR($B$8),MONTH(DA$3)=MONTH($B$8)),DA10*DA17/12,IF(AND((12*(YEAR(DA$3)-YEAR($B$7))+MONTH(DA$3)-MONTH($B$7))&gt;0,MOD((12*(YEAR(DA$3)-YEAR($B$7))+MONTH(DA$3)-MONTH($B$7)),'Вводные'!$B$78)=0,(12*(YEAR(DA$3)-YEAR($B$7))+MONTH(DA$3)-MONTH($B$7))&lt;='Вводные'!$B$77*12),DA10*DA17*'Вводные'!$B$78/12,0)),0)</x:f>
      </x:c>
      <x:c r="DB13" s="117" t="n">
        <x:f>IF(AND('Вводные'!$B$75&lt;&gt;"Единовременно",'Вводные'!$B$80="Да",DB10&gt;0),IF(AND('Вводные'!$B$84="Да",YEAR(DB$3)=YEAR($B$8),MONTH(DB$3)=MONTH($B$8)),DB10*DB17/12,IF(AND((12*(YEAR(DB$3)-YEAR($B$7))+MONTH(DB$3)-MONTH($B$7))&gt;0,MOD((12*(YEAR(DB$3)-YEAR($B$7))+MONTH(DB$3)-MONTH($B$7)),'Вводные'!$B$78)=0,(12*(YEAR(DB$3)-YEAR($B$7))+MONTH(DB$3)-MONTH($B$7))&lt;='Вводные'!$B$77*12),DB10*DB17*'Вводные'!$B$78/12,0)),0)</x:f>
      </x:c>
      <x:c r="DC13" s="117" t="n">
        <x:f>IF(AND('Вводные'!$B$75&lt;&gt;"Единовременно",'Вводные'!$B$80="Да",DC10&gt;0),IF(AND('Вводные'!$B$84="Да",YEAR(DC$3)=YEAR($B$8),MONTH(DC$3)=MONTH($B$8)),DC10*DC17/12,IF(AND((12*(YEAR(DC$3)-YEAR($B$7))+MONTH(DC$3)-MONTH($B$7))&gt;0,MOD((12*(YEAR(DC$3)-YEAR($B$7))+MONTH(DC$3)-MONTH($B$7)),'Вводные'!$B$78)=0,(12*(YEAR(DC$3)-YEAR($B$7))+MONTH(DC$3)-MONTH($B$7))&lt;='Вводные'!$B$77*12),DC10*DC17*'Вводные'!$B$78/12,0)),0)</x:f>
      </x:c>
      <x:c r="DD13" s="117" t="n">
        <x:f>IF(AND('Вводные'!$B$75&lt;&gt;"Единовременно",'Вводные'!$B$80="Да",DD10&gt;0),IF(AND('Вводные'!$B$84="Да",YEAR(DD$3)=YEAR($B$8),MONTH(DD$3)=MONTH($B$8)),DD10*DD17/12,IF(AND((12*(YEAR(DD$3)-YEAR($B$7))+MONTH(DD$3)-MONTH($B$7))&gt;0,MOD((12*(YEAR(DD$3)-YEAR($B$7))+MONTH(DD$3)-MONTH($B$7)),'Вводные'!$B$78)=0,(12*(YEAR(DD$3)-YEAR($B$7))+MONTH(DD$3)-MONTH($B$7))&lt;='Вводные'!$B$77*12),DD10*DD17*'Вводные'!$B$78/12,0)),0)</x:f>
      </x:c>
      <x:c r="DE13" s="117" t="n">
        <x:f>IF(AND('Вводные'!$B$75&lt;&gt;"Единовременно",'Вводные'!$B$80="Да",DE10&gt;0),IF(AND('Вводные'!$B$84="Да",YEAR(DE$3)=YEAR($B$8),MONTH(DE$3)=MONTH($B$8)),DE10*DE17/12,IF(AND((12*(YEAR(DE$3)-YEAR($B$7))+MONTH(DE$3)-MONTH($B$7))&gt;0,MOD((12*(YEAR(DE$3)-YEAR($B$7))+MONTH(DE$3)-MONTH($B$7)),'Вводные'!$B$78)=0,(12*(YEAR(DE$3)-YEAR($B$7))+MONTH(DE$3)-MONTH($B$7))&lt;='Вводные'!$B$77*12),DE10*DE17*'Вводные'!$B$78/12,0)),0)</x:f>
      </x:c>
      <x:c r="DF13" s="117" t="n">
        <x:f>IF(AND('Вводные'!$B$75&lt;&gt;"Единовременно",'Вводные'!$B$80="Да",DF10&gt;0),IF(AND('Вводные'!$B$84="Да",YEAR(DF$3)=YEAR($B$8),MONTH(DF$3)=MONTH($B$8)),DF10*DF17/12,IF(AND((12*(YEAR(DF$3)-YEAR($B$7))+MONTH(DF$3)-MONTH($B$7))&gt;0,MOD((12*(YEAR(DF$3)-YEAR($B$7))+MONTH(DF$3)-MONTH($B$7)),'Вводные'!$B$78)=0,(12*(YEAR(DF$3)-YEAR($B$7))+MONTH(DF$3)-MONTH($B$7))&lt;='Вводные'!$B$77*12),DF10*DF17*'Вводные'!$B$78/12,0)),0)</x:f>
      </x:c>
      <x:c r="DG13" s="117" t="n">
        <x:f>IF(AND('Вводные'!$B$75&lt;&gt;"Единовременно",'Вводные'!$B$80="Да",DG10&gt;0),IF(AND('Вводные'!$B$84="Да",YEAR(DG$3)=YEAR($B$8),MONTH(DG$3)=MONTH($B$8)),DG10*DG17/12,IF(AND((12*(YEAR(DG$3)-YEAR($B$7))+MONTH(DG$3)-MONTH($B$7))&gt;0,MOD((12*(YEAR(DG$3)-YEAR($B$7))+MONTH(DG$3)-MONTH($B$7)),'Вводные'!$B$78)=0,(12*(YEAR(DG$3)-YEAR($B$7))+MONTH(DG$3)-MONTH($B$7))&lt;='Вводные'!$B$77*12),DG10*DG17*'Вводные'!$B$78/12,0)),0)</x:f>
      </x:c>
      <x:c r="DH13" s="117" t="n">
        <x:f>IF(AND('Вводные'!$B$75&lt;&gt;"Единовременно",'Вводные'!$B$80="Да",DH10&gt;0),IF(AND('Вводные'!$B$84="Да",YEAR(DH$3)=YEAR($B$8),MONTH(DH$3)=MONTH($B$8)),DH10*DH17/12,IF(AND((12*(YEAR(DH$3)-YEAR($B$7))+MONTH(DH$3)-MONTH($B$7))&gt;0,MOD((12*(YEAR(DH$3)-YEAR($B$7))+MONTH(DH$3)-MONTH($B$7)),'Вводные'!$B$78)=0,(12*(YEAR(DH$3)-YEAR($B$7))+MONTH(DH$3)-MONTH($B$7))&lt;='Вводные'!$B$77*12),DH10*DH17*'Вводные'!$B$78/12,0)),0)</x:f>
      </x:c>
      <x:c r="DI13" s="117" t="n">
        <x:f>IF(AND('Вводные'!$B$75&lt;&gt;"Единовременно",'Вводные'!$B$80="Да",DI10&gt;0),IF(AND('Вводные'!$B$84="Да",YEAR(DI$3)=YEAR($B$8),MONTH(DI$3)=MONTH($B$8)),DI10*DI17/12,IF(AND((12*(YEAR(DI$3)-YEAR($B$7))+MONTH(DI$3)-MONTH($B$7))&gt;0,MOD((12*(YEAR(DI$3)-YEAR($B$7))+MONTH(DI$3)-MONTH($B$7)),'Вводные'!$B$78)=0,(12*(YEAR(DI$3)-YEAR($B$7))+MONTH(DI$3)-MONTH($B$7))&lt;='Вводные'!$B$77*12),DI10*DI17*'Вводные'!$B$78/12,0)),0)</x:f>
      </x:c>
      <x:c r="DJ13" s="117" t="n">
        <x:f>IF(AND('Вводные'!$B$75&lt;&gt;"Единовременно",'Вводные'!$B$80="Да",DJ10&gt;0),IF(AND('Вводные'!$B$84="Да",YEAR(DJ$3)=YEAR($B$8),MONTH(DJ$3)=MONTH($B$8)),DJ10*DJ17/12,IF(AND((12*(YEAR(DJ$3)-YEAR($B$7))+MONTH(DJ$3)-MONTH($B$7))&gt;0,MOD((12*(YEAR(DJ$3)-YEAR($B$7))+MONTH(DJ$3)-MONTH($B$7)),'Вводные'!$B$78)=0,(12*(YEAR(DJ$3)-YEAR($B$7))+MONTH(DJ$3)-MONTH($B$7))&lt;='Вводные'!$B$77*12),DJ10*DJ17*'Вводные'!$B$78/12,0)),0)</x:f>
      </x:c>
      <x:c r="DK13" s="117" t="n">
        <x:f>IF(AND('Вводные'!$B$75&lt;&gt;"Единовременно",'Вводные'!$B$80="Да",DK10&gt;0),IF(AND('Вводные'!$B$84="Да",YEAR(DK$3)=YEAR($B$8),MONTH(DK$3)=MONTH($B$8)),DK10*DK17/12,IF(AND((12*(YEAR(DK$3)-YEAR($B$7))+MONTH(DK$3)-MONTH($B$7))&gt;0,MOD((12*(YEAR(DK$3)-YEAR($B$7))+MONTH(DK$3)-MONTH($B$7)),'Вводные'!$B$78)=0,(12*(YEAR(DK$3)-YEAR($B$7))+MONTH(DK$3)-MONTH($B$7))&lt;='Вводные'!$B$77*12),DK10*DK17*'Вводные'!$B$78/12,0)),0)</x:f>
      </x:c>
      <x:c r="DL13" s="117" t="n">
        <x:f>IF(AND('Вводные'!$B$75&lt;&gt;"Единовременно",'Вводные'!$B$80="Да",DL10&gt;0),IF(AND('Вводные'!$B$84="Да",YEAR(DL$3)=YEAR($B$8),MONTH(DL$3)=MONTH($B$8)),DL10*DL17/12,IF(AND((12*(YEAR(DL$3)-YEAR($B$7))+MONTH(DL$3)-MONTH($B$7))&gt;0,MOD((12*(YEAR(DL$3)-YEAR($B$7))+MONTH(DL$3)-MONTH($B$7)),'Вводные'!$B$78)=0,(12*(YEAR(DL$3)-YEAR($B$7))+MONTH(DL$3)-MONTH($B$7))&lt;='Вводные'!$B$77*12),DL10*DL17*'Вводные'!$B$78/12,0)),0)</x:f>
      </x:c>
      <x:c r="DM13" s="117" t="n">
        <x:f>IF(AND('Вводные'!$B$75&lt;&gt;"Единовременно",'Вводные'!$B$80="Да",DM10&gt;0),IF(AND('Вводные'!$B$84="Да",YEAR(DM$3)=YEAR($B$8),MONTH(DM$3)=MONTH($B$8)),DM10*DM17/12,IF(AND((12*(YEAR(DM$3)-YEAR($B$7))+MONTH(DM$3)-MONTH($B$7))&gt;0,MOD((12*(YEAR(DM$3)-YEAR($B$7))+MONTH(DM$3)-MONTH($B$7)),'Вводные'!$B$78)=0,(12*(YEAR(DM$3)-YEAR($B$7))+MONTH(DM$3)-MONTH($B$7))&lt;='Вводные'!$B$77*12),DM10*DM17*'Вводные'!$B$78/12,0)),0)</x:f>
      </x:c>
      <x:c r="DN13" s="117" t="n">
        <x:f>IF(AND('Вводные'!$B$75&lt;&gt;"Единовременно",'Вводные'!$B$80="Да",DN10&gt;0),IF(AND('Вводные'!$B$84="Да",YEAR(DN$3)=YEAR($B$8),MONTH(DN$3)=MONTH($B$8)),DN10*DN17/12,IF(AND((12*(YEAR(DN$3)-YEAR($B$7))+MONTH(DN$3)-MONTH($B$7))&gt;0,MOD((12*(YEAR(DN$3)-YEAR($B$7))+MONTH(DN$3)-MONTH($B$7)),'Вводные'!$B$78)=0,(12*(YEAR(DN$3)-YEAR($B$7))+MONTH(DN$3)-MONTH($B$7))&lt;='Вводные'!$B$77*12),DN10*DN17*'Вводные'!$B$78/12,0)),0)</x:f>
      </x:c>
      <x:c r="DO13" s="117" t="n">
        <x:f>IF(AND('Вводные'!$B$75&lt;&gt;"Единовременно",'Вводные'!$B$80="Да",DO10&gt;0),IF(AND('Вводные'!$B$84="Да",YEAR(DO$3)=YEAR($B$8),MONTH(DO$3)=MONTH($B$8)),DO10*DO17/12,IF(AND((12*(YEAR(DO$3)-YEAR($B$7))+MONTH(DO$3)-MONTH($B$7))&gt;0,MOD((12*(YEAR(DO$3)-YEAR($B$7))+MONTH(DO$3)-MONTH($B$7)),'Вводные'!$B$78)=0,(12*(YEAR(DO$3)-YEAR($B$7))+MONTH(DO$3)-MONTH($B$7))&lt;='Вводные'!$B$77*12),DO10*DO17*'Вводные'!$B$78/12,0)),0)</x:f>
      </x:c>
      <x:c r="DP13" s="117" t="n">
        <x:f>IF(AND('Вводные'!$B$75&lt;&gt;"Единовременно",'Вводные'!$B$80="Да",DP10&gt;0),IF(AND('Вводные'!$B$84="Да",YEAR(DP$3)=YEAR($B$8),MONTH(DP$3)=MONTH($B$8)),DP10*DP17/12,IF(AND((12*(YEAR(DP$3)-YEAR($B$7))+MONTH(DP$3)-MONTH($B$7))&gt;0,MOD((12*(YEAR(DP$3)-YEAR($B$7))+MONTH(DP$3)-MONTH($B$7)),'Вводные'!$B$78)=0,(12*(YEAR(DP$3)-YEAR($B$7))+MONTH(DP$3)-MONTH($B$7))&lt;='Вводные'!$B$77*12),DP10*DP17*'Вводные'!$B$78/12,0)),0)</x:f>
      </x:c>
      <x:c r="DQ13" s="117" t="n">
        <x:f>IF(AND('Вводные'!$B$75&lt;&gt;"Единовременно",'Вводные'!$B$80="Да",DQ10&gt;0),IF(AND('Вводные'!$B$84="Да",YEAR(DQ$3)=YEAR($B$8),MONTH(DQ$3)=MONTH($B$8)),DQ10*DQ17/12,IF(AND((12*(YEAR(DQ$3)-YEAR($B$7))+MONTH(DQ$3)-MONTH($B$7))&gt;0,MOD((12*(YEAR(DQ$3)-YEAR($B$7))+MONTH(DQ$3)-MONTH($B$7)),'Вводные'!$B$78)=0,(12*(YEAR(DQ$3)-YEAR($B$7))+MONTH(DQ$3)-MONTH($B$7))&lt;='Вводные'!$B$77*12),DQ10*DQ17*'Вводные'!$B$78/12,0)),0)</x:f>
      </x:c>
      <x:c r="DR13" s="117" t="n">
        <x:f>IF(AND('Вводные'!$B$75&lt;&gt;"Единовременно",'Вводные'!$B$80="Да",DR10&gt;0),IF(AND('Вводные'!$B$84="Да",YEAR(DR$3)=YEAR($B$8),MONTH(DR$3)=MONTH($B$8)),DR10*DR17/12,IF(AND((12*(YEAR(DR$3)-YEAR($B$7))+MONTH(DR$3)-MONTH($B$7))&gt;0,MOD((12*(YEAR(DR$3)-YEAR($B$7))+MONTH(DR$3)-MONTH($B$7)),'Вводные'!$B$78)=0,(12*(YEAR(DR$3)-YEAR($B$7))+MONTH(DR$3)-MONTH($B$7))&lt;='Вводные'!$B$77*12),DR10*DR17*'Вводные'!$B$78/12,0)),0)</x:f>
      </x:c>
      <x:c r="DS13" s="117" t="n">
        <x:f>IF(AND('Вводные'!$B$75&lt;&gt;"Единовременно",'Вводные'!$B$80="Да",DS10&gt;0),IF(AND('Вводные'!$B$84="Да",YEAR(DS$3)=YEAR($B$8),MONTH(DS$3)=MONTH($B$8)),DS10*DS17/12,IF(AND((12*(YEAR(DS$3)-YEAR($B$7))+MONTH(DS$3)-MONTH($B$7))&gt;0,MOD((12*(YEAR(DS$3)-YEAR($B$7))+MONTH(DS$3)-MONTH($B$7)),'Вводные'!$B$78)=0,(12*(YEAR(DS$3)-YEAR($B$7))+MONTH(DS$3)-MONTH($B$7))&lt;='Вводные'!$B$77*12),DS10*DS17*'Вводные'!$B$78/12,0)),0)</x:f>
      </x:c>
    </x:row>
    <x:row r="14">
      <x:c r="A14" t="str">
        <x:v>Расходы на обеспечение</x:v>
      </x:c>
      <x:c r="B14" s="107" t="n">
        <x:f>SUM(D14:DS14)</x:f>
      </x:c>
      <x:c r="C14" t="str">
        <x:v>млн ₽</x:v>
      </x:c>
      <x:c r="D14" s="117" t="n">
        <x:f>IF(D11&gt;0,'Вводные'!$B$83*'Вводные'!$Q$88,0)</x:f>
      </x:c>
      <x:c r="E14" s="117" t="n">
        <x:f>IF(E11&gt;0,'Вводные'!$B$83*'Вводные'!$Q$88,0)</x:f>
      </x:c>
      <x:c r="F14" s="117" t="n">
        <x:f>IF(F11&gt;0,'Вводные'!$B$83*'Вводные'!$Q$88,0)</x:f>
      </x:c>
      <x:c r="G14" s="117" t="n">
        <x:f>IF(G11&gt;0,'Вводные'!$B$83*'Вводные'!$Q$88,0)</x:f>
      </x:c>
      <x:c r="H14" s="117" t="n">
        <x:f>IF(H11&gt;0,'Вводные'!$B$83*'Вводные'!$Q$88,0)</x:f>
      </x:c>
      <x:c r="I14" s="117" t="n">
        <x:f>IF(I11&gt;0,'Вводные'!$B$83*'Вводные'!$Q$88,0)</x:f>
      </x:c>
      <x:c r="J14" s="117" t="n">
        <x:f>IF(J11&gt;0,'Вводные'!$B$83*'Вводные'!$Q$88,0)</x:f>
      </x:c>
      <x:c r="K14" s="117" t="n">
        <x:f>IF(K11&gt;0,'Вводные'!$B$83*'Вводные'!$Q$88,0)</x:f>
      </x:c>
      <x:c r="L14" s="117" t="n">
        <x:f>IF(L11&gt;0,'Вводные'!$B$83*'Вводные'!$Q$88,0)</x:f>
      </x:c>
      <x:c r="M14" s="117" t="n">
        <x:f>IF(M11&gt;0,'Вводные'!$B$83*'Вводные'!$Q$88,0)</x:f>
      </x:c>
      <x:c r="N14" s="117" t="n">
        <x:f>IF(N11&gt;0,'Вводные'!$B$83*'Вводные'!$Q$88,0)</x:f>
      </x:c>
      <x:c r="O14" s="117" t="n">
        <x:f>IF(O11&gt;0,'Вводные'!$B$83*'Вводные'!$Q$88,0)</x:f>
      </x:c>
      <x:c r="P14" s="117" t="n">
        <x:f>IF(P11&gt;0,'Вводные'!$B$83*'Вводные'!$Q$88,0)</x:f>
      </x:c>
      <x:c r="Q14" s="117" t="n">
        <x:f>IF(Q11&gt;0,'Вводные'!$B$83*'Вводные'!$Q$88,0)</x:f>
      </x:c>
      <x:c r="R14" s="117" t="n">
        <x:f>IF(R11&gt;0,'Вводные'!$B$83*'Вводные'!$Q$88,0)</x:f>
      </x:c>
      <x:c r="S14" s="117" t="n">
        <x:f>IF(S11&gt;0,'Вводные'!$B$83*'Вводные'!$Q$88,0)</x:f>
      </x:c>
      <x:c r="T14" s="117" t="n">
        <x:f>IF(T11&gt;0,'Вводные'!$B$83*'Вводные'!$Q$88,0)</x:f>
      </x:c>
      <x:c r="U14" s="117" t="n">
        <x:f>IF(U11&gt;0,'Вводные'!$B$83*'Вводные'!$Q$88,0)</x:f>
      </x:c>
      <x:c r="V14" s="117" t="n">
        <x:f>IF(V11&gt;0,'Вводные'!$B$83*'Вводные'!$Q$88,0)</x:f>
      </x:c>
      <x:c r="W14" s="117" t="n">
        <x:f>IF(W11&gt;0,'Вводные'!$B$83*'Вводные'!$Q$88,0)</x:f>
      </x:c>
      <x:c r="X14" s="117" t="n">
        <x:f>IF(X11&gt;0,'Вводные'!$B$83*'Вводные'!$Q$88,0)</x:f>
      </x:c>
      <x:c r="Y14" s="117" t="n">
        <x:f>IF(Y11&gt;0,'Вводные'!$B$83*'Вводные'!$Q$88,0)</x:f>
      </x:c>
      <x:c r="Z14" s="117" t="n">
        <x:f>IF(Z11&gt;0,'Вводные'!$B$83*'Вводные'!$Q$88,0)</x:f>
      </x:c>
      <x:c r="AA14" s="117" t="n">
        <x:f>IF(AA11&gt;0,'Вводные'!$B$83*'Вводные'!$Q$88,0)</x:f>
      </x:c>
      <x:c r="AB14" s="117" t="n">
        <x:f>IF(AB11&gt;0,'Вводные'!$B$83*'Вводные'!$Q$88,0)</x:f>
      </x:c>
      <x:c r="AC14" s="117" t="n">
        <x:f>IF(AC11&gt;0,'Вводные'!$B$83*'Вводные'!$Q$88,0)</x:f>
      </x:c>
      <x:c r="AD14" s="117" t="n">
        <x:f>IF(AD11&gt;0,'Вводные'!$B$83*'Вводные'!$Q$88,0)</x:f>
      </x:c>
      <x:c r="AE14" s="117" t="n">
        <x:f>IF(AE11&gt;0,'Вводные'!$B$83*'Вводные'!$Q$88,0)</x:f>
      </x:c>
      <x:c r="AF14" s="117" t="n">
        <x:f>IF(AF11&gt;0,'Вводные'!$B$83*'Вводные'!$Q$88,0)</x:f>
      </x:c>
      <x:c r="AG14" s="117" t="n">
        <x:f>IF(AG11&gt;0,'Вводные'!$B$83*'Вводные'!$Q$88,0)</x:f>
      </x:c>
      <x:c r="AH14" s="117" t="n">
        <x:f>IF(AH11&gt;0,'Вводные'!$B$83*'Вводные'!$Q$88,0)</x:f>
      </x:c>
      <x:c r="AI14" s="117" t="n">
        <x:f>IF(AI11&gt;0,'Вводные'!$B$83*'Вводные'!$Q$88,0)</x:f>
      </x:c>
      <x:c r="AJ14" s="117" t="n">
        <x:f>IF(AJ11&gt;0,'Вводные'!$B$83*'Вводные'!$Q$88,0)</x:f>
      </x:c>
      <x:c r="AK14" s="117" t="n">
        <x:f>IF(AK11&gt;0,'Вводные'!$B$83*'Вводные'!$Q$88,0)</x:f>
      </x:c>
      <x:c r="AL14" s="117" t="n">
        <x:f>IF(AL11&gt;0,'Вводные'!$B$83*'Вводные'!$Q$88,0)</x:f>
      </x:c>
      <x:c r="AM14" s="117" t="n">
        <x:f>IF(AM11&gt;0,'Вводные'!$B$83*'Вводные'!$Q$88,0)</x:f>
      </x:c>
      <x:c r="AN14" s="117" t="n">
        <x:f>IF(AN11&gt;0,'Вводные'!$B$83*'Вводные'!$Q$88,0)</x:f>
      </x:c>
      <x:c r="AO14" s="117" t="n">
        <x:f>IF(AO11&gt;0,'Вводные'!$B$83*'Вводные'!$Q$88,0)</x:f>
      </x:c>
      <x:c r="AP14" s="117" t="n">
        <x:f>IF(AP11&gt;0,'Вводные'!$B$83*'Вводные'!$Q$88,0)</x:f>
      </x:c>
      <x:c r="AQ14" s="117" t="n">
        <x:f>IF(AQ11&gt;0,'Вводные'!$B$83*'Вводные'!$Q$88,0)</x:f>
      </x:c>
      <x:c r="AR14" s="117" t="n">
        <x:f>IF(AR11&gt;0,'Вводные'!$B$83*'Вводные'!$Q$88,0)</x:f>
      </x:c>
      <x:c r="AS14" s="117" t="n">
        <x:f>IF(AS11&gt;0,'Вводные'!$B$83*'Вводные'!$Q$88,0)</x:f>
      </x:c>
      <x:c r="AT14" s="117" t="n">
        <x:f>IF(AT11&gt;0,'Вводные'!$B$83*'Вводные'!$Q$88,0)</x:f>
      </x:c>
      <x:c r="AU14" s="117" t="n">
        <x:f>IF(AU11&gt;0,'Вводные'!$B$83*'Вводные'!$Q$88,0)</x:f>
      </x:c>
      <x:c r="AV14" s="117" t="n">
        <x:f>IF(AV11&gt;0,'Вводные'!$B$83*'Вводные'!$Q$88,0)</x:f>
      </x:c>
      <x:c r="AW14" s="117" t="n">
        <x:f>IF(AW11&gt;0,'Вводные'!$B$83*'Вводные'!$Q$88,0)</x:f>
      </x:c>
      <x:c r="AX14" s="117" t="n">
        <x:f>IF(AX11&gt;0,'Вводные'!$B$83*'Вводные'!$Q$88,0)</x:f>
      </x:c>
      <x:c r="AY14" s="117" t="n">
        <x:f>IF(AY11&gt;0,'Вводные'!$B$83*'Вводные'!$Q$88,0)</x:f>
      </x:c>
      <x:c r="AZ14" s="117" t="n">
        <x:f>IF(AZ11&gt;0,'Вводные'!$B$83*'Вводные'!$Q$88,0)</x:f>
      </x:c>
      <x:c r="BA14" s="117" t="n">
        <x:f>IF(BA11&gt;0,'Вводные'!$B$83*'Вводные'!$Q$88,0)</x:f>
      </x:c>
      <x:c r="BB14" s="117" t="n">
        <x:f>IF(BB11&gt;0,'Вводные'!$B$83*'Вводные'!$Q$88,0)</x:f>
      </x:c>
      <x:c r="BC14" s="117" t="n">
        <x:f>IF(BC11&gt;0,'Вводные'!$B$83*'Вводные'!$Q$88,0)</x:f>
      </x:c>
      <x:c r="BD14" s="117" t="n">
        <x:f>IF(BD11&gt;0,'Вводные'!$B$83*'Вводные'!$Q$88,0)</x:f>
      </x:c>
      <x:c r="BE14" s="117" t="n">
        <x:f>IF(BE11&gt;0,'Вводные'!$B$83*'Вводные'!$Q$88,0)</x:f>
      </x:c>
      <x:c r="BF14" s="117" t="n">
        <x:f>IF(BF11&gt;0,'Вводные'!$B$83*'Вводные'!$Q$88,0)</x:f>
      </x:c>
      <x:c r="BG14" s="117" t="n">
        <x:f>IF(BG11&gt;0,'Вводные'!$B$83*'Вводные'!$Q$88,0)</x:f>
      </x:c>
      <x:c r="BH14" s="117" t="n">
        <x:f>IF(BH11&gt;0,'Вводные'!$B$83*'Вводные'!$Q$88,0)</x:f>
      </x:c>
      <x:c r="BI14" s="117" t="n">
        <x:f>IF(BI11&gt;0,'Вводные'!$B$83*'Вводные'!$Q$88,0)</x:f>
      </x:c>
      <x:c r="BJ14" s="117" t="n">
        <x:f>IF(BJ11&gt;0,'Вводные'!$B$83*'Вводные'!$Q$88,0)</x:f>
      </x:c>
      <x:c r="BK14" s="117" t="n">
        <x:f>IF(BK11&gt;0,'Вводные'!$B$83*'Вводные'!$Q$88,0)</x:f>
      </x:c>
      <x:c r="BL14" s="117" t="n">
        <x:f>IF(BL11&gt;0,'Вводные'!$B$83*'Вводные'!$Q$88,0)</x:f>
      </x:c>
      <x:c r="BM14" s="117" t="n">
        <x:f>IF(BM11&gt;0,'Вводные'!$B$83*'Вводные'!$Q$88,0)</x:f>
      </x:c>
      <x:c r="BN14" s="117" t="n">
        <x:f>IF(BN11&gt;0,'Вводные'!$B$83*'Вводные'!$Q$88,0)</x:f>
      </x:c>
      <x:c r="BO14" s="117" t="n">
        <x:f>IF(BO11&gt;0,'Вводные'!$B$83*'Вводные'!$Q$88,0)</x:f>
      </x:c>
      <x:c r="BP14" s="117" t="n">
        <x:f>IF(BP11&gt;0,'Вводные'!$B$83*'Вводные'!$Q$88,0)</x:f>
      </x:c>
      <x:c r="BQ14" s="117" t="n">
        <x:f>IF(BQ11&gt;0,'Вводные'!$B$83*'Вводные'!$Q$88,0)</x:f>
      </x:c>
      <x:c r="BR14" s="117" t="n">
        <x:f>IF(BR11&gt;0,'Вводные'!$B$83*'Вводные'!$Q$88,0)</x:f>
      </x:c>
      <x:c r="BS14" s="117" t="n">
        <x:f>IF(BS11&gt;0,'Вводные'!$B$83*'Вводные'!$Q$88,0)</x:f>
      </x:c>
      <x:c r="BT14" s="117" t="n">
        <x:f>IF(BT11&gt;0,'Вводные'!$B$83*'Вводные'!$Q$88,0)</x:f>
      </x:c>
      <x:c r="BU14" s="117" t="n">
        <x:f>IF(BU11&gt;0,'Вводные'!$B$83*'Вводные'!$Q$88,0)</x:f>
      </x:c>
      <x:c r="BV14" s="117" t="n">
        <x:f>IF(BV11&gt;0,'Вводные'!$B$83*'Вводные'!$Q$88,0)</x:f>
      </x:c>
      <x:c r="BW14" s="117" t="n">
        <x:f>IF(BW11&gt;0,'Вводные'!$B$83*'Вводные'!$Q$88,0)</x:f>
      </x:c>
      <x:c r="BX14" s="117" t="n">
        <x:f>IF(BX11&gt;0,'Вводные'!$B$83*'Вводные'!$Q$88,0)</x:f>
      </x:c>
      <x:c r="BY14" s="117" t="n">
        <x:f>IF(BY11&gt;0,'Вводные'!$B$83*'Вводные'!$Q$88,0)</x:f>
      </x:c>
      <x:c r="BZ14" s="117" t="n">
        <x:f>IF(BZ11&gt;0,'Вводные'!$B$83*'Вводные'!$Q$88,0)</x:f>
      </x:c>
      <x:c r="CA14" s="117" t="n">
        <x:f>IF(CA11&gt;0,'Вводные'!$B$83*'Вводные'!$Q$88,0)</x:f>
      </x:c>
      <x:c r="CB14" s="117" t="n">
        <x:f>IF(CB11&gt;0,'Вводные'!$B$83*'Вводные'!$Q$88,0)</x:f>
      </x:c>
      <x:c r="CC14" s="117" t="n">
        <x:f>IF(CC11&gt;0,'Вводные'!$B$83*'Вводные'!$Q$88,0)</x:f>
      </x:c>
      <x:c r="CD14" s="117" t="n">
        <x:f>IF(CD11&gt;0,'Вводные'!$B$83*'Вводные'!$Q$88,0)</x:f>
      </x:c>
      <x:c r="CE14" s="117" t="n">
        <x:f>IF(CE11&gt;0,'Вводные'!$B$83*'Вводные'!$Q$88,0)</x:f>
      </x:c>
      <x:c r="CF14" s="117" t="n">
        <x:f>IF(CF11&gt;0,'Вводные'!$B$83*'Вводные'!$Q$88,0)</x:f>
      </x:c>
      <x:c r="CG14" s="117" t="n">
        <x:f>IF(CG11&gt;0,'Вводные'!$B$83*'Вводные'!$Q$88,0)</x:f>
      </x:c>
      <x:c r="CH14" s="117" t="n">
        <x:f>IF(CH11&gt;0,'Вводные'!$B$83*'Вводные'!$Q$88,0)</x:f>
      </x:c>
      <x:c r="CI14" s="117" t="n">
        <x:f>IF(CI11&gt;0,'Вводные'!$B$83*'Вводные'!$Q$88,0)</x:f>
      </x:c>
      <x:c r="CJ14" s="117" t="n">
        <x:f>IF(CJ11&gt;0,'Вводные'!$B$83*'Вводные'!$Q$88,0)</x:f>
      </x:c>
      <x:c r="CK14" s="117" t="n">
        <x:f>IF(CK11&gt;0,'Вводные'!$B$83*'Вводные'!$Q$88,0)</x:f>
      </x:c>
      <x:c r="CL14" s="117" t="n">
        <x:f>IF(CL11&gt;0,'Вводные'!$B$83*'Вводные'!$Q$88,0)</x:f>
      </x:c>
      <x:c r="CM14" s="117" t="n">
        <x:f>IF(CM11&gt;0,'Вводные'!$B$83*'Вводные'!$Q$88,0)</x:f>
      </x:c>
      <x:c r="CN14" s="117" t="n">
        <x:f>IF(CN11&gt;0,'Вводные'!$B$83*'Вводные'!$Q$88,0)</x:f>
      </x:c>
      <x:c r="CO14" s="117" t="n">
        <x:f>IF(CO11&gt;0,'Вводные'!$B$83*'Вводные'!$Q$88,0)</x:f>
      </x:c>
      <x:c r="CP14" s="117" t="n">
        <x:f>IF(CP11&gt;0,'Вводные'!$B$83*'Вводные'!$Q$88,0)</x:f>
      </x:c>
      <x:c r="CQ14" s="117" t="n">
        <x:f>IF(CQ11&gt;0,'Вводные'!$B$83*'Вводные'!$Q$88,0)</x:f>
      </x:c>
      <x:c r="CR14" s="117" t="n">
        <x:f>IF(CR11&gt;0,'Вводные'!$B$83*'Вводные'!$Q$88,0)</x:f>
      </x:c>
      <x:c r="CS14" s="117" t="n">
        <x:f>IF(CS11&gt;0,'Вводные'!$B$83*'Вводные'!$Q$88,0)</x:f>
      </x:c>
      <x:c r="CT14" s="117" t="n">
        <x:f>IF(CT11&gt;0,'Вводные'!$B$83*'Вводные'!$Q$88,0)</x:f>
      </x:c>
      <x:c r="CU14" s="117" t="n">
        <x:f>IF(CU11&gt;0,'Вводные'!$B$83*'Вводные'!$Q$88,0)</x:f>
      </x:c>
      <x:c r="CV14" s="117" t="n">
        <x:f>IF(CV11&gt;0,'Вводные'!$B$83*'Вводные'!$Q$88,0)</x:f>
      </x:c>
      <x:c r="CW14" s="117" t="n">
        <x:f>IF(CW11&gt;0,'Вводные'!$B$83*'Вводные'!$Q$88,0)</x:f>
      </x:c>
      <x:c r="CX14" s="117" t="n">
        <x:f>IF(CX11&gt;0,'Вводные'!$B$83*'Вводные'!$Q$88,0)</x:f>
      </x:c>
      <x:c r="CY14" s="117" t="n">
        <x:f>IF(CY11&gt;0,'Вводные'!$B$83*'Вводные'!$Q$88,0)</x:f>
      </x:c>
      <x:c r="CZ14" s="117" t="n">
        <x:f>IF(CZ11&gt;0,'Вводные'!$B$83*'Вводные'!$Q$88,0)</x:f>
      </x:c>
      <x:c r="DA14" s="117" t="n">
        <x:f>IF(DA11&gt;0,'Вводные'!$B$83*'Вводные'!$Q$88,0)</x:f>
      </x:c>
      <x:c r="DB14" s="117" t="n">
        <x:f>IF(DB11&gt;0,'Вводные'!$B$83*'Вводные'!$Q$88,0)</x:f>
      </x:c>
      <x:c r="DC14" s="117" t="n">
        <x:f>IF(DC11&gt;0,'Вводные'!$B$83*'Вводные'!$Q$88,0)</x:f>
      </x:c>
      <x:c r="DD14" s="117" t="n">
        <x:f>IF(DD11&gt;0,'Вводные'!$B$83*'Вводные'!$Q$88,0)</x:f>
      </x:c>
      <x:c r="DE14" s="117" t="n">
        <x:f>IF(DE11&gt;0,'Вводные'!$B$83*'Вводные'!$Q$88,0)</x:f>
      </x:c>
      <x:c r="DF14" s="117" t="n">
        <x:f>IF(DF11&gt;0,'Вводные'!$B$83*'Вводные'!$Q$88,0)</x:f>
      </x:c>
      <x:c r="DG14" s="117" t="n">
        <x:f>IF(DG11&gt;0,'Вводные'!$B$83*'Вводные'!$Q$88,0)</x:f>
      </x:c>
      <x:c r="DH14" s="117" t="n">
        <x:f>IF(DH11&gt;0,'Вводные'!$B$83*'Вводные'!$Q$88,0)</x:f>
      </x:c>
      <x:c r="DI14" s="117" t="n">
        <x:f>IF(DI11&gt;0,'Вводные'!$B$83*'Вводные'!$Q$88,0)</x:f>
      </x:c>
      <x:c r="DJ14" s="117" t="n">
        <x:f>IF(DJ11&gt;0,'Вводные'!$B$83*'Вводные'!$Q$88,0)</x:f>
      </x:c>
      <x:c r="DK14" s="117" t="n">
        <x:f>IF(DK11&gt;0,'Вводные'!$B$83*'Вводные'!$Q$88,0)</x:f>
      </x:c>
      <x:c r="DL14" s="117" t="n">
        <x:f>IF(DL11&gt;0,'Вводные'!$B$83*'Вводные'!$Q$88,0)</x:f>
      </x:c>
      <x:c r="DM14" s="117" t="n">
        <x:f>IF(DM11&gt;0,'Вводные'!$B$83*'Вводные'!$Q$88,0)</x:f>
      </x:c>
      <x:c r="DN14" s="117" t="n">
        <x:f>IF(DN11&gt;0,'Вводные'!$B$83*'Вводные'!$Q$88,0)</x:f>
      </x:c>
      <x:c r="DO14" s="117" t="n">
        <x:f>IF(DO11&gt;0,'Вводные'!$B$83*'Вводные'!$Q$88,0)</x:f>
      </x:c>
      <x:c r="DP14" s="117" t="n">
        <x:f>IF(DP11&gt;0,'Вводные'!$B$83*'Вводные'!$Q$88,0)</x:f>
      </x:c>
      <x:c r="DQ14" s="117" t="n">
        <x:f>IF(DQ11&gt;0,'Вводные'!$B$83*'Вводные'!$Q$88,0)</x:f>
      </x:c>
      <x:c r="DR14" s="117" t="n">
        <x:f>IF(DR11&gt;0,'Вводные'!$B$83*'Вводные'!$Q$88,0)</x:f>
      </x:c>
      <x:c r="DS14" s="117" t="n">
        <x:f>IF(DS11&gt;0,'Вводные'!$B$83*'Вводные'!$Q$88,0)</x:f>
      </x:c>
    </x:row>
    <x:row r="15">
      <x:c r="A15" s="113" t="str">
        <x:v>ДЕНЕЖНЫЙ ПЛАТЁЖ ПО ВРИ</x:v>
      </x:c>
      <x:c r="B15" s="113" t="n">
        <x:f>SUM(D15:DS15)</x:f>
      </x:c>
      <x:c r="C15" s="113" t="str">
        <x:v>млн ₽</x:v>
      </x:c>
      <x:c r="D15" s="120" t="n">
        <x:f>SUM(D12:D14)</x:f>
      </x:c>
      <x:c r="E15" s="120" t="n">
        <x:f>SUM(E12:E14)</x:f>
      </x:c>
      <x:c r="F15" s="120" t="n">
        <x:f>SUM(F12:F14)</x:f>
      </x:c>
      <x:c r="G15" s="120" t="n">
        <x:f>SUM(G12:G14)</x:f>
      </x:c>
      <x:c r="H15" s="120" t="n">
        <x:f>SUM(H12:H14)</x:f>
      </x:c>
      <x:c r="I15" s="120" t="n">
        <x:f>SUM(I12:I14)</x:f>
      </x:c>
      <x:c r="J15" s="120" t="n">
        <x:f>SUM(J12:J14)</x:f>
      </x:c>
      <x:c r="K15" s="120" t="n">
        <x:f>SUM(K12:K14)</x:f>
      </x:c>
      <x:c r="L15" s="120" t="n">
        <x:f>SUM(L12:L14)</x:f>
      </x:c>
      <x:c r="M15" s="120" t="n">
        <x:f>SUM(M12:M14)</x:f>
      </x:c>
      <x:c r="N15" s="120" t="n">
        <x:f>SUM(N12:N14)</x:f>
      </x:c>
      <x:c r="O15" s="120" t="n">
        <x:f>SUM(O12:O14)</x:f>
      </x:c>
      <x:c r="P15" s="120" t="n">
        <x:f>SUM(P12:P14)</x:f>
      </x:c>
      <x:c r="Q15" s="120" t="n">
        <x:f>SUM(Q12:Q14)</x:f>
      </x:c>
      <x:c r="R15" s="120" t="n">
        <x:f>SUM(R12:R14)</x:f>
      </x:c>
      <x:c r="S15" s="120" t="n">
        <x:f>SUM(S12:S14)</x:f>
      </x:c>
      <x:c r="T15" s="120" t="n">
        <x:f>SUM(T12:T14)</x:f>
      </x:c>
      <x:c r="U15" s="120" t="n">
        <x:f>SUM(U12:U14)</x:f>
      </x:c>
      <x:c r="V15" s="120" t="n">
        <x:f>SUM(V12:V14)</x:f>
      </x:c>
      <x:c r="W15" s="120" t="n">
        <x:f>SUM(W12:W14)</x:f>
      </x:c>
      <x:c r="X15" s="120" t="n">
        <x:f>SUM(X12:X14)</x:f>
      </x:c>
      <x:c r="Y15" s="120" t="n">
        <x:f>SUM(Y12:Y14)</x:f>
      </x:c>
      <x:c r="Z15" s="120" t="n">
        <x:f>SUM(Z12:Z14)</x:f>
      </x:c>
      <x:c r="AA15" s="120" t="n">
        <x:f>SUM(AA12:AA14)</x:f>
      </x:c>
      <x:c r="AB15" s="120" t="n">
        <x:f>SUM(AB12:AB14)</x:f>
      </x:c>
      <x:c r="AC15" s="120" t="n">
        <x:f>SUM(AC12:AC14)</x:f>
      </x:c>
      <x:c r="AD15" s="120" t="n">
        <x:f>SUM(AD12:AD14)</x:f>
      </x:c>
      <x:c r="AE15" s="120" t="n">
        <x:f>SUM(AE12:AE14)</x:f>
      </x:c>
      <x:c r="AF15" s="120" t="n">
        <x:f>SUM(AF12:AF14)</x:f>
      </x:c>
      <x:c r="AG15" s="120" t="n">
        <x:f>SUM(AG12:AG14)</x:f>
      </x:c>
      <x:c r="AH15" s="120" t="n">
        <x:f>SUM(AH12:AH14)</x:f>
      </x:c>
      <x:c r="AI15" s="120" t="n">
        <x:f>SUM(AI12:AI14)</x:f>
      </x:c>
      <x:c r="AJ15" s="120" t="n">
        <x:f>SUM(AJ12:AJ14)</x:f>
      </x:c>
      <x:c r="AK15" s="120" t="n">
        <x:f>SUM(AK12:AK14)</x:f>
      </x:c>
      <x:c r="AL15" s="120" t="n">
        <x:f>SUM(AL12:AL14)</x:f>
      </x:c>
      <x:c r="AM15" s="120" t="n">
        <x:f>SUM(AM12:AM14)</x:f>
      </x:c>
      <x:c r="AN15" s="120" t="n">
        <x:f>SUM(AN12:AN14)</x:f>
      </x:c>
      <x:c r="AO15" s="120" t="n">
        <x:f>SUM(AO12:AO14)</x:f>
      </x:c>
      <x:c r="AP15" s="120" t="n">
        <x:f>SUM(AP12:AP14)</x:f>
      </x:c>
      <x:c r="AQ15" s="120" t="n">
        <x:f>SUM(AQ12:AQ14)</x:f>
      </x:c>
      <x:c r="AR15" s="120" t="n">
        <x:f>SUM(AR12:AR14)</x:f>
      </x:c>
      <x:c r="AS15" s="120" t="n">
        <x:f>SUM(AS12:AS14)</x:f>
      </x:c>
      <x:c r="AT15" s="120" t="n">
        <x:f>SUM(AT12:AT14)</x:f>
      </x:c>
      <x:c r="AU15" s="120" t="n">
        <x:f>SUM(AU12:AU14)</x:f>
      </x:c>
      <x:c r="AV15" s="120" t="n">
        <x:f>SUM(AV12:AV14)</x:f>
      </x:c>
      <x:c r="AW15" s="120" t="n">
        <x:f>SUM(AW12:AW14)</x:f>
      </x:c>
      <x:c r="AX15" s="120" t="n">
        <x:f>SUM(AX12:AX14)</x:f>
      </x:c>
      <x:c r="AY15" s="120" t="n">
        <x:f>SUM(AY12:AY14)</x:f>
      </x:c>
      <x:c r="AZ15" s="120" t="n">
        <x:f>SUM(AZ12:AZ14)</x:f>
      </x:c>
      <x:c r="BA15" s="120" t="n">
        <x:f>SUM(BA12:BA14)</x:f>
      </x:c>
      <x:c r="BB15" s="120" t="n">
        <x:f>SUM(BB12:BB14)</x:f>
      </x:c>
      <x:c r="BC15" s="120" t="n">
        <x:f>SUM(BC12:BC14)</x:f>
      </x:c>
      <x:c r="BD15" s="120" t="n">
        <x:f>SUM(BD12:BD14)</x:f>
      </x:c>
      <x:c r="BE15" s="120" t="n">
        <x:f>SUM(BE12:BE14)</x:f>
      </x:c>
      <x:c r="BF15" s="120" t="n">
        <x:f>SUM(BF12:BF14)</x:f>
      </x:c>
      <x:c r="BG15" s="120" t="n">
        <x:f>SUM(BG12:BG14)</x:f>
      </x:c>
      <x:c r="BH15" s="120" t="n">
        <x:f>SUM(BH12:BH14)</x:f>
      </x:c>
      <x:c r="BI15" s="120" t="n">
        <x:f>SUM(BI12:BI14)</x:f>
      </x:c>
      <x:c r="BJ15" s="120" t="n">
        <x:f>SUM(BJ12:BJ14)</x:f>
      </x:c>
      <x:c r="BK15" s="120" t="n">
        <x:f>SUM(BK12:BK14)</x:f>
      </x:c>
      <x:c r="BL15" s="120" t="n">
        <x:f>SUM(BL12:BL14)</x:f>
      </x:c>
      <x:c r="BM15" s="120" t="n">
        <x:f>SUM(BM12:BM14)</x:f>
      </x:c>
      <x:c r="BN15" s="120" t="n">
        <x:f>SUM(BN12:BN14)</x:f>
      </x:c>
      <x:c r="BO15" s="120" t="n">
        <x:f>SUM(BO12:BO14)</x:f>
      </x:c>
      <x:c r="BP15" s="120" t="n">
        <x:f>SUM(BP12:BP14)</x:f>
      </x:c>
      <x:c r="BQ15" s="120" t="n">
        <x:f>SUM(BQ12:BQ14)</x:f>
      </x:c>
      <x:c r="BR15" s="120" t="n">
        <x:f>SUM(BR12:BR14)</x:f>
      </x:c>
      <x:c r="BS15" s="120" t="n">
        <x:f>SUM(BS12:BS14)</x:f>
      </x:c>
      <x:c r="BT15" s="120" t="n">
        <x:f>SUM(BT12:BT14)</x:f>
      </x:c>
      <x:c r="BU15" s="120" t="n">
        <x:f>SUM(BU12:BU14)</x:f>
      </x:c>
      <x:c r="BV15" s="120" t="n">
        <x:f>SUM(BV12:BV14)</x:f>
      </x:c>
      <x:c r="BW15" s="120" t="n">
        <x:f>SUM(BW12:BW14)</x:f>
      </x:c>
      <x:c r="BX15" s="120" t="n">
        <x:f>SUM(BX12:BX14)</x:f>
      </x:c>
      <x:c r="BY15" s="120" t="n">
        <x:f>SUM(BY12:BY14)</x:f>
      </x:c>
      <x:c r="BZ15" s="120" t="n">
        <x:f>SUM(BZ12:BZ14)</x:f>
      </x:c>
      <x:c r="CA15" s="120" t="n">
        <x:f>SUM(CA12:CA14)</x:f>
      </x:c>
      <x:c r="CB15" s="120" t="n">
        <x:f>SUM(CB12:CB14)</x:f>
      </x:c>
      <x:c r="CC15" s="120" t="n">
        <x:f>SUM(CC12:CC14)</x:f>
      </x:c>
      <x:c r="CD15" s="120" t="n">
        <x:f>SUM(CD12:CD14)</x:f>
      </x:c>
      <x:c r="CE15" s="120" t="n">
        <x:f>SUM(CE12:CE14)</x:f>
      </x:c>
      <x:c r="CF15" s="120" t="n">
        <x:f>SUM(CF12:CF14)</x:f>
      </x:c>
      <x:c r="CG15" s="120" t="n">
        <x:f>SUM(CG12:CG14)</x:f>
      </x:c>
      <x:c r="CH15" s="120" t="n">
        <x:f>SUM(CH12:CH14)</x:f>
      </x:c>
      <x:c r="CI15" s="120" t="n">
        <x:f>SUM(CI12:CI14)</x:f>
      </x:c>
      <x:c r="CJ15" s="120" t="n">
        <x:f>SUM(CJ12:CJ14)</x:f>
      </x:c>
      <x:c r="CK15" s="120" t="n">
        <x:f>SUM(CK12:CK14)</x:f>
      </x:c>
      <x:c r="CL15" s="120" t="n">
        <x:f>SUM(CL12:CL14)</x:f>
      </x:c>
      <x:c r="CM15" s="120" t="n">
        <x:f>SUM(CM12:CM14)</x:f>
      </x:c>
      <x:c r="CN15" s="120" t="n">
        <x:f>SUM(CN12:CN14)</x:f>
      </x:c>
      <x:c r="CO15" s="120" t="n">
        <x:f>SUM(CO12:CO14)</x:f>
      </x:c>
      <x:c r="CP15" s="120" t="n">
        <x:f>SUM(CP12:CP14)</x:f>
      </x:c>
      <x:c r="CQ15" s="120" t="n">
        <x:f>SUM(CQ12:CQ14)</x:f>
      </x:c>
      <x:c r="CR15" s="120" t="n">
        <x:f>SUM(CR12:CR14)</x:f>
      </x:c>
      <x:c r="CS15" s="120" t="n">
        <x:f>SUM(CS12:CS14)</x:f>
      </x:c>
      <x:c r="CT15" s="120" t="n">
        <x:f>SUM(CT12:CT14)</x:f>
      </x:c>
      <x:c r="CU15" s="120" t="n">
        <x:f>SUM(CU12:CU14)</x:f>
      </x:c>
      <x:c r="CV15" s="120" t="n">
        <x:f>SUM(CV12:CV14)</x:f>
      </x:c>
      <x:c r="CW15" s="120" t="n">
        <x:f>SUM(CW12:CW14)</x:f>
      </x:c>
      <x:c r="CX15" s="120" t="n">
        <x:f>SUM(CX12:CX14)</x:f>
      </x:c>
      <x:c r="CY15" s="120" t="n">
        <x:f>SUM(CY12:CY14)</x:f>
      </x:c>
      <x:c r="CZ15" s="120" t="n">
        <x:f>SUM(CZ12:CZ14)</x:f>
      </x:c>
      <x:c r="DA15" s="120" t="n">
        <x:f>SUM(DA12:DA14)</x:f>
      </x:c>
      <x:c r="DB15" s="120" t="n">
        <x:f>SUM(DB12:DB14)</x:f>
      </x:c>
      <x:c r="DC15" s="120" t="n">
        <x:f>SUM(DC12:DC14)</x:f>
      </x:c>
      <x:c r="DD15" s="120" t="n">
        <x:f>SUM(DD12:DD14)</x:f>
      </x:c>
      <x:c r="DE15" s="120" t="n">
        <x:f>SUM(DE12:DE14)</x:f>
      </x:c>
      <x:c r="DF15" s="120" t="n">
        <x:f>SUM(DF12:DF14)</x:f>
      </x:c>
      <x:c r="DG15" s="120" t="n">
        <x:f>SUM(DG12:DG14)</x:f>
      </x:c>
      <x:c r="DH15" s="120" t="n">
        <x:f>SUM(DH12:DH14)</x:f>
      </x:c>
      <x:c r="DI15" s="120" t="n">
        <x:f>SUM(DI12:DI14)</x:f>
      </x:c>
      <x:c r="DJ15" s="120" t="n">
        <x:f>SUM(DJ12:DJ14)</x:f>
      </x:c>
      <x:c r="DK15" s="120" t="n">
        <x:f>SUM(DK12:DK14)</x:f>
      </x:c>
      <x:c r="DL15" s="120" t="n">
        <x:f>SUM(DL12:DL14)</x:f>
      </x:c>
      <x:c r="DM15" s="120" t="n">
        <x:f>SUM(DM12:DM14)</x:f>
      </x:c>
      <x:c r="DN15" s="120" t="n">
        <x:f>SUM(DN12:DN14)</x:f>
      </x:c>
      <x:c r="DO15" s="120" t="n">
        <x:f>SUM(DO12:DO14)</x:f>
      </x:c>
      <x:c r="DP15" s="120" t="n">
        <x:f>SUM(DP12:DP14)</x:f>
      </x:c>
      <x:c r="DQ15" s="120" t="n">
        <x:f>SUM(DQ12:DQ14)</x:f>
      </x:c>
      <x:c r="DR15" s="120" t="n">
        <x:f>SUM(DR12:DR14)</x:f>
      </x:c>
      <x:c r="DS15" s="120" t="n">
        <x:f>SUM(DS12:DS14)</x:f>
      </x:c>
    </x:row>
    <x:row r="16">
      <x:c r="A16" t="str">
        <x:v>Остаток на конец</x:v>
      </x:c>
      <x:c r="B16" s="107" t="n">
        <x:f>DS16</x:f>
      </x:c>
      <x:c r="C16" t="str">
        <x:v>млн ₽</x:v>
      </x:c>
      <x:c r="D16" s="117" t="n">
        <x:f>MAX(0,D10+D11-D12)</x:f>
      </x:c>
      <x:c r="E16" s="117" t="n">
        <x:f>MAX(0,E10+E11-E12)</x:f>
      </x:c>
      <x:c r="F16" s="117" t="n">
        <x:f>MAX(0,F10+F11-F12)</x:f>
      </x:c>
      <x:c r="G16" s="117" t="n">
        <x:f>MAX(0,G10+G11-G12)</x:f>
      </x:c>
      <x:c r="H16" s="117" t="n">
        <x:f>MAX(0,H10+H11-H12)</x:f>
      </x:c>
      <x:c r="I16" s="117" t="n">
        <x:f>MAX(0,I10+I11-I12)</x:f>
      </x:c>
      <x:c r="J16" s="117" t="n">
        <x:f>MAX(0,J10+J11-J12)</x:f>
      </x:c>
      <x:c r="K16" s="117" t="n">
        <x:f>MAX(0,K10+K11-K12)</x:f>
      </x:c>
      <x:c r="L16" s="117" t="n">
        <x:f>MAX(0,L10+L11-L12)</x:f>
      </x:c>
      <x:c r="M16" s="117" t="n">
        <x:f>MAX(0,M10+M11-M12)</x:f>
      </x:c>
      <x:c r="N16" s="117" t="n">
        <x:f>MAX(0,N10+N11-N12)</x:f>
      </x:c>
      <x:c r="O16" s="117" t="n">
        <x:f>MAX(0,O10+O11-O12)</x:f>
      </x:c>
      <x:c r="P16" s="117" t="n">
        <x:f>MAX(0,P10+P11-P12)</x:f>
      </x:c>
      <x:c r="Q16" s="117" t="n">
        <x:f>MAX(0,Q10+Q11-Q12)</x:f>
      </x:c>
      <x:c r="R16" s="117" t="n">
        <x:f>MAX(0,R10+R11-R12)</x:f>
      </x:c>
      <x:c r="S16" s="117" t="n">
        <x:f>MAX(0,S10+S11-S12)</x:f>
      </x:c>
      <x:c r="T16" s="117" t="n">
        <x:f>MAX(0,T10+T11-T12)</x:f>
      </x:c>
      <x:c r="U16" s="117" t="n">
        <x:f>MAX(0,U10+U11-U12)</x:f>
      </x:c>
      <x:c r="V16" s="117" t="n">
        <x:f>MAX(0,V10+V11-V12)</x:f>
      </x:c>
      <x:c r="W16" s="117" t="n">
        <x:f>MAX(0,W10+W11-W12)</x:f>
      </x:c>
      <x:c r="X16" s="117" t="n">
        <x:f>MAX(0,X10+X11-X12)</x:f>
      </x:c>
      <x:c r="Y16" s="117" t="n">
        <x:f>MAX(0,Y10+Y11-Y12)</x:f>
      </x:c>
      <x:c r="Z16" s="117" t="n">
        <x:f>MAX(0,Z10+Z11-Z12)</x:f>
      </x:c>
      <x:c r="AA16" s="117" t="n">
        <x:f>MAX(0,AA10+AA11-AA12)</x:f>
      </x:c>
      <x:c r="AB16" s="117" t="n">
        <x:f>MAX(0,AB10+AB11-AB12)</x:f>
      </x:c>
      <x:c r="AC16" s="117" t="n">
        <x:f>MAX(0,AC10+AC11-AC12)</x:f>
      </x:c>
      <x:c r="AD16" s="117" t="n">
        <x:f>MAX(0,AD10+AD11-AD12)</x:f>
      </x:c>
      <x:c r="AE16" s="117" t="n">
        <x:f>MAX(0,AE10+AE11-AE12)</x:f>
      </x:c>
      <x:c r="AF16" s="117" t="n">
        <x:f>MAX(0,AF10+AF11-AF12)</x:f>
      </x:c>
      <x:c r="AG16" s="117" t="n">
        <x:f>MAX(0,AG10+AG11-AG12)</x:f>
      </x:c>
      <x:c r="AH16" s="117" t="n">
        <x:f>MAX(0,AH10+AH11-AH12)</x:f>
      </x:c>
      <x:c r="AI16" s="117" t="n">
        <x:f>MAX(0,AI10+AI11-AI12)</x:f>
      </x:c>
      <x:c r="AJ16" s="117" t="n">
        <x:f>MAX(0,AJ10+AJ11-AJ12)</x:f>
      </x:c>
      <x:c r="AK16" s="117" t="n">
        <x:f>MAX(0,AK10+AK11-AK12)</x:f>
      </x:c>
      <x:c r="AL16" s="117" t="n">
        <x:f>MAX(0,AL10+AL11-AL12)</x:f>
      </x:c>
      <x:c r="AM16" s="117" t="n">
        <x:f>MAX(0,AM10+AM11-AM12)</x:f>
      </x:c>
      <x:c r="AN16" s="117" t="n">
        <x:f>MAX(0,AN10+AN11-AN12)</x:f>
      </x:c>
      <x:c r="AO16" s="117" t="n">
        <x:f>MAX(0,AO10+AO11-AO12)</x:f>
      </x:c>
      <x:c r="AP16" s="117" t="n">
        <x:f>MAX(0,AP10+AP11-AP12)</x:f>
      </x:c>
      <x:c r="AQ16" s="117" t="n">
        <x:f>MAX(0,AQ10+AQ11-AQ12)</x:f>
      </x:c>
      <x:c r="AR16" s="117" t="n">
        <x:f>MAX(0,AR10+AR11-AR12)</x:f>
      </x:c>
      <x:c r="AS16" s="117" t="n">
        <x:f>MAX(0,AS10+AS11-AS12)</x:f>
      </x:c>
      <x:c r="AT16" s="117" t="n">
        <x:f>MAX(0,AT10+AT11-AT12)</x:f>
      </x:c>
      <x:c r="AU16" s="117" t="n">
        <x:f>MAX(0,AU10+AU11-AU12)</x:f>
      </x:c>
      <x:c r="AV16" s="117" t="n">
        <x:f>MAX(0,AV10+AV11-AV12)</x:f>
      </x:c>
      <x:c r="AW16" s="117" t="n">
        <x:f>MAX(0,AW10+AW11-AW12)</x:f>
      </x:c>
      <x:c r="AX16" s="117" t="n">
        <x:f>MAX(0,AX10+AX11-AX12)</x:f>
      </x:c>
      <x:c r="AY16" s="117" t="n">
        <x:f>MAX(0,AY10+AY11-AY12)</x:f>
      </x:c>
      <x:c r="AZ16" s="117" t="n">
        <x:f>MAX(0,AZ10+AZ11-AZ12)</x:f>
      </x:c>
      <x:c r="BA16" s="117" t="n">
        <x:f>MAX(0,BA10+BA11-BA12)</x:f>
      </x:c>
      <x:c r="BB16" s="117" t="n">
        <x:f>MAX(0,BB10+BB11-BB12)</x:f>
      </x:c>
      <x:c r="BC16" s="117" t="n">
        <x:f>MAX(0,BC10+BC11-BC12)</x:f>
      </x:c>
      <x:c r="BD16" s="117" t="n">
        <x:f>MAX(0,BD10+BD11-BD12)</x:f>
      </x:c>
      <x:c r="BE16" s="117" t="n">
        <x:f>MAX(0,BE10+BE11-BE12)</x:f>
      </x:c>
      <x:c r="BF16" s="117" t="n">
        <x:f>MAX(0,BF10+BF11-BF12)</x:f>
      </x:c>
      <x:c r="BG16" s="117" t="n">
        <x:f>MAX(0,BG10+BG11-BG12)</x:f>
      </x:c>
      <x:c r="BH16" s="117" t="n">
        <x:f>MAX(0,BH10+BH11-BH12)</x:f>
      </x:c>
      <x:c r="BI16" s="117" t="n">
        <x:f>MAX(0,BI10+BI11-BI12)</x:f>
      </x:c>
      <x:c r="BJ16" s="117" t="n">
        <x:f>MAX(0,BJ10+BJ11-BJ12)</x:f>
      </x:c>
      <x:c r="BK16" s="117" t="n">
        <x:f>MAX(0,BK10+BK11-BK12)</x:f>
      </x:c>
      <x:c r="BL16" s="117" t="n">
        <x:f>MAX(0,BL10+BL11-BL12)</x:f>
      </x:c>
      <x:c r="BM16" s="117" t="n">
        <x:f>MAX(0,BM10+BM11-BM12)</x:f>
      </x:c>
      <x:c r="BN16" s="117" t="n">
        <x:f>MAX(0,BN10+BN11-BN12)</x:f>
      </x:c>
      <x:c r="BO16" s="117" t="n">
        <x:f>MAX(0,BO10+BO11-BO12)</x:f>
      </x:c>
      <x:c r="BP16" s="117" t="n">
        <x:f>MAX(0,BP10+BP11-BP12)</x:f>
      </x:c>
      <x:c r="BQ16" s="117" t="n">
        <x:f>MAX(0,BQ10+BQ11-BQ12)</x:f>
      </x:c>
      <x:c r="BR16" s="117" t="n">
        <x:f>MAX(0,BR10+BR11-BR12)</x:f>
      </x:c>
      <x:c r="BS16" s="117" t="n">
        <x:f>MAX(0,BS10+BS11-BS12)</x:f>
      </x:c>
      <x:c r="BT16" s="117" t="n">
        <x:f>MAX(0,BT10+BT11-BT12)</x:f>
      </x:c>
      <x:c r="BU16" s="117" t="n">
        <x:f>MAX(0,BU10+BU11-BU12)</x:f>
      </x:c>
      <x:c r="BV16" s="117" t="n">
        <x:f>MAX(0,BV10+BV11-BV12)</x:f>
      </x:c>
      <x:c r="BW16" s="117" t="n">
        <x:f>MAX(0,BW10+BW11-BW12)</x:f>
      </x:c>
      <x:c r="BX16" s="117" t="n">
        <x:f>MAX(0,BX10+BX11-BX12)</x:f>
      </x:c>
      <x:c r="BY16" s="117" t="n">
        <x:f>MAX(0,BY10+BY11-BY12)</x:f>
      </x:c>
      <x:c r="BZ16" s="117" t="n">
        <x:f>MAX(0,BZ10+BZ11-BZ12)</x:f>
      </x:c>
      <x:c r="CA16" s="117" t="n">
        <x:f>MAX(0,CA10+CA11-CA12)</x:f>
      </x:c>
      <x:c r="CB16" s="117" t="n">
        <x:f>MAX(0,CB10+CB11-CB12)</x:f>
      </x:c>
      <x:c r="CC16" s="117" t="n">
        <x:f>MAX(0,CC10+CC11-CC12)</x:f>
      </x:c>
      <x:c r="CD16" s="117" t="n">
        <x:f>MAX(0,CD10+CD11-CD12)</x:f>
      </x:c>
      <x:c r="CE16" s="117" t="n">
        <x:f>MAX(0,CE10+CE11-CE12)</x:f>
      </x:c>
      <x:c r="CF16" s="117" t="n">
        <x:f>MAX(0,CF10+CF11-CF12)</x:f>
      </x:c>
      <x:c r="CG16" s="117" t="n">
        <x:f>MAX(0,CG10+CG11-CG12)</x:f>
      </x:c>
      <x:c r="CH16" s="117" t="n">
        <x:f>MAX(0,CH10+CH11-CH12)</x:f>
      </x:c>
      <x:c r="CI16" s="117" t="n">
        <x:f>MAX(0,CI10+CI11-CI12)</x:f>
      </x:c>
      <x:c r="CJ16" s="117" t="n">
        <x:f>MAX(0,CJ10+CJ11-CJ12)</x:f>
      </x:c>
      <x:c r="CK16" s="117" t="n">
        <x:f>MAX(0,CK10+CK11-CK12)</x:f>
      </x:c>
      <x:c r="CL16" s="117" t="n">
        <x:f>MAX(0,CL10+CL11-CL12)</x:f>
      </x:c>
      <x:c r="CM16" s="117" t="n">
        <x:f>MAX(0,CM10+CM11-CM12)</x:f>
      </x:c>
      <x:c r="CN16" s="117" t="n">
        <x:f>MAX(0,CN10+CN11-CN12)</x:f>
      </x:c>
      <x:c r="CO16" s="117" t="n">
        <x:f>MAX(0,CO10+CO11-CO12)</x:f>
      </x:c>
      <x:c r="CP16" s="117" t="n">
        <x:f>MAX(0,CP10+CP11-CP12)</x:f>
      </x:c>
      <x:c r="CQ16" s="117" t="n">
        <x:f>MAX(0,CQ10+CQ11-CQ12)</x:f>
      </x:c>
      <x:c r="CR16" s="117" t="n">
        <x:f>MAX(0,CR10+CR11-CR12)</x:f>
      </x:c>
      <x:c r="CS16" s="117" t="n">
        <x:f>MAX(0,CS10+CS11-CS12)</x:f>
      </x:c>
      <x:c r="CT16" s="117" t="n">
        <x:f>MAX(0,CT10+CT11-CT12)</x:f>
      </x:c>
      <x:c r="CU16" s="117" t="n">
        <x:f>MAX(0,CU10+CU11-CU12)</x:f>
      </x:c>
      <x:c r="CV16" s="117" t="n">
        <x:f>MAX(0,CV10+CV11-CV12)</x:f>
      </x:c>
      <x:c r="CW16" s="117" t="n">
        <x:f>MAX(0,CW10+CW11-CW12)</x:f>
      </x:c>
      <x:c r="CX16" s="117" t="n">
        <x:f>MAX(0,CX10+CX11-CX12)</x:f>
      </x:c>
      <x:c r="CY16" s="117" t="n">
        <x:f>MAX(0,CY10+CY11-CY12)</x:f>
      </x:c>
      <x:c r="CZ16" s="117" t="n">
        <x:f>MAX(0,CZ10+CZ11-CZ12)</x:f>
      </x:c>
      <x:c r="DA16" s="117" t="n">
        <x:f>MAX(0,DA10+DA11-DA12)</x:f>
      </x:c>
      <x:c r="DB16" s="117" t="n">
        <x:f>MAX(0,DB10+DB11-DB12)</x:f>
      </x:c>
      <x:c r="DC16" s="117" t="n">
        <x:f>MAX(0,DC10+DC11-DC12)</x:f>
      </x:c>
      <x:c r="DD16" s="117" t="n">
        <x:f>MAX(0,DD10+DD11-DD12)</x:f>
      </x:c>
      <x:c r="DE16" s="117" t="n">
        <x:f>MAX(0,DE10+DE11-DE12)</x:f>
      </x:c>
      <x:c r="DF16" s="117" t="n">
        <x:f>MAX(0,DF10+DF11-DF12)</x:f>
      </x:c>
      <x:c r="DG16" s="117" t="n">
        <x:f>MAX(0,DG10+DG11-DG12)</x:f>
      </x:c>
      <x:c r="DH16" s="117" t="n">
        <x:f>MAX(0,DH10+DH11-DH12)</x:f>
      </x:c>
      <x:c r="DI16" s="117" t="n">
        <x:f>MAX(0,DI10+DI11-DI12)</x:f>
      </x:c>
      <x:c r="DJ16" s="117" t="n">
        <x:f>MAX(0,DJ10+DJ11-DJ12)</x:f>
      </x:c>
      <x:c r="DK16" s="117" t="n">
        <x:f>MAX(0,DK10+DK11-DK12)</x:f>
      </x:c>
      <x:c r="DL16" s="117" t="n">
        <x:f>MAX(0,DL10+DL11-DL12)</x:f>
      </x:c>
      <x:c r="DM16" s="117" t="n">
        <x:f>MAX(0,DM10+DM11-DM12)</x:f>
      </x:c>
      <x:c r="DN16" s="117" t="n">
        <x:f>MAX(0,DN10+DN11-DN12)</x:f>
      </x:c>
      <x:c r="DO16" s="117" t="n">
        <x:f>MAX(0,DO10+DO11-DO12)</x:f>
      </x:c>
      <x:c r="DP16" s="117" t="n">
        <x:f>MAX(0,DP10+DP11-DP12)</x:f>
      </x:c>
      <x:c r="DQ16" s="117" t="n">
        <x:f>MAX(0,DQ10+DQ11-DQ12)</x:f>
      </x:c>
      <x:c r="DR16" s="117" t="n">
        <x:f>MAX(0,DR10+DR11-DR12)</x:f>
      </x:c>
      <x:c r="DS16" s="117" t="n">
        <x:f>MAX(0,DS10+DS11-DS12)</x:f>
      </x:c>
    </x:row>
    <x:row r="17">
      <x:c r="A17" t="str">
        <x:v>Ставка по рассрочке</x:v>
      </x:c>
      <x:c r="B17" t="n">
        <x:f>IFERROR(SUMPRODUCT(D17:DS17,--(D10:DS10&gt;0))/COUNTIF(D10:DS10,"&gt;0"),0)</x:f>
      </x:c>
      <x:c r="C17" t="str">
        <x:v>% год</x:v>
      </x:c>
      <x:c r="D17" s="35" t="n">
        <x:f>'Ставки'!D$5+'Вводные'!$B$81</x:f>
      </x:c>
      <x:c r="E17" s="35" t="n">
        <x:f>'Ставки'!E$5+'Вводные'!$B$81</x:f>
      </x:c>
      <x:c r="F17" s="35" t="n">
        <x:f>'Ставки'!F$5+'Вводные'!$B$81</x:f>
      </x:c>
      <x:c r="G17" s="35" t="n">
        <x:f>'Ставки'!G$5+'Вводные'!$B$81</x:f>
      </x:c>
      <x:c r="H17" s="35" t="n">
        <x:f>'Ставки'!H$5+'Вводные'!$B$81</x:f>
      </x:c>
      <x:c r="I17" s="35" t="n">
        <x:f>'Ставки'!I$5+'Вводные'!$B$81</x:f>
      </x:c>
      <x:c r="J17" s="35" t="n">
        <x:f>'Ставки'!J$5+'Вводные'!$B$81</x:f>
      </x:c>
      <x:c r="K17" s="35" t="n">
        <x:f>'Ставки'!K$5+'Вводные'!$B$81</x:f>
      </x:c>
      <x:c r="L17" s="35" t="n">
        <x:f>'Ставки'!L$5+'Вводные'!$B$81</x:f>
      </x:c>
      <x:c r="M17" s="35" t="n">
        <x:f>'Ставки'!M$5+'Вводные'!$B$81</x:f>
      </x:c>
      <x:c r="N17" s="35" t="n">
        <x:f>'Ставки'!N$5+'Вводные'!$B$81</x:f>
      </x:c>
      <x:c r="O17" s="35" t="n">
        <x:f>'Ставки'!O$5+'Вводные'!$B$81</x:f>
      </x:c>
      <x:c r="P17" s="35" t="n">
        <x:f>'Ставки'!P$5+'Вводные'!$B$81</x:f>
      </x:c>
      <x:c r="Q17" s="35" t="n">
        <x:f>'Ставки'!Q$5+'Вводные'!$B$81</x:f>
      </x:c>
      <x:c r="R17" s="35" t="n">
        <x:f>'Ставки'!R$5+'Вводные'!$B$81</x:f>
      </x:c>
      <x:c r="S17" s="35" t="n">
        <x:f>'Ставки'!S$5+'Вводные'!$B$81</x:f>
      </x:c>
      <x:c r="T17" s="35" t="n">
        <x:f>'Ставки'!T$5+'Вводные'!$B$81</x:f>
      </x:c>
      <x:c r="U17" s="35" t="n">
        <x:f>'Ставки'!U$5+'Вводные'!$B$81</x:f>
      </x:c>
      <x:c r="V17" s="35" t="n">
        <x:f>'Ставки'!V$5+'Вводные'!$B$81</x:f>
      </x:c>
      <x:c r="W17" s="35" t="n">
        <x:f>'Ставки'!W$5+'Вводные'!$B$81</x:f>
      </x:c>
      <x:c r="X17" s="35" t="n">
        <x:f>'Ставки'!X$5+'Вводные'!$B$81</x:f>
      </x:c>
      <x:c r="Y17" s="35" t="n">
        <x:f>'Ставки'!Y$5+'Вводные'!$B$81</x:f>
      </x:c>
      <x:c r="Z17" s="35" t="n">
        <x:f>'Ставки'!Z$5+'Вводные'!$B$81</x:f>
      </x:c>
      <x:c r="AA17" s="35" t="n">
        <x:f>'Ставки'!AA$5+'Вводные'!$B$81</x:f>
      </x:c>
      <x:c r="AB17" s="35" t="n">
        <x:f>'Ставки'!AB$5+'Вводные'!$B$81</x:f>
      </x:c>
      <x:c r="AC17" s="35" t="n">
        <x:f>'Ставки'!AC$5+'Вводные'!$B$81</x:f>
      </x:c>
      <x:c r="AD17" s="35" t="n">
        <x:f>'Ставки'!AD$5+'Вводные'!$B$81</x:f>
      </x:c>
      <x:c r="AE17" s="35" t="n">
        <x:f>'Ставки'!AE$5+'Вводные'!$B$81</x:f>
      </x:c>
      <x:c r="AF17" s="35" t="n">
        <x:f>'Ставки'!AF$5+'Вводные'!$B$81</x:f>
      </x:c>
      <x:c r="AG17" s="35" t="n">
        <x:f>'Ставки'!AG$5+'Вводные'!$B$81</x:f>
      </x:c>
      <x:c r="AH17" s="35" t="n">
        <x:f>'Ставки'!AH$5+'Вводные'!$B$81</x:f>
      </x:c>
      <x:c r="AI17" s="35" t="n">
        <x:f>'Ставки'!AI$5+'Вводные'!$B$81</x:f>
      </x:c>
      <x:c r="AJ17" s="35" t="n">
        <x:f>'Ставки'!AJ$5+'Вводные'!$B$81</x:f>
      </x:c>
      <x:c r="AK17" s="35" t="n">
        <x:f>'Ставки'!AK$5+'Вводные'!$B$81</x:f>
      </x:c>
      <x:c r="AL17" s="35" t="n">
        <x:f>'Ставки'!AL$5+'Вводные'!$B$81</x:f>
      </x:c>
      <x:c r="AM17" s="35" t="n">
        <x:f>'Ставки'!AM$5+'Вводные'!$B$81</x:f>
      </x:c>
      <x:c r="AN17" s="35" t="n">
        <x:f>'Ставки'!AN$5+'Вводные'!$B$81</x:f>
      </x:c>
      <x:c r="AO17" s="35" t="n">
        <x:f>'Ставки'!AO$5+'Вводные'!$B$81</x:f>
      </x:c>
      <x:c r="AP17" s="35" t="n">
        <x:f>'Ставки'!AP$5+'Вводные'!$B$81</x:f>
      </x:c>
      <x:c r="AQ17" s="35" t="n">
        <x:f>'Ставки'!AQ$5+'Вводные'!$B$81</x:f>
      </x:c>
      <x:c r="AR17" s="35" t="n">
        <x:f>'Ставки'!AR$5+'Вводные'!$B$81</x:f>
      </x:c>
      <x:c r="AS17" s="35" t="n">
        <x:f>'Ставки'!AS$5+'Вводные'!$B$81</x:f>
      </x:c>
      <x:c r="AT17" s="35" t="n">
        <x:f>'Ставки'!AT$5+'Вводные'!$B$81</x:f>
      </x:c>
      <x:c r="AU17" s="35" t="n">
        <x:f>'Ставки'!AU$5+'Вводные'!$B$81</x:f>
      </x:c>
      <x:c r="AV17" s="35" t="n">
        <x:f>'Ставки'!AV$5+'Вводные'!$B$81</x:f>
      </x:c>
      <x:c r="AW17" s="35" t="n">
        <x:f>'Ставки'!AW$5+'Вводные'!$B$81</x:f>
      </x:c>
      <x:c r="AX17" s="35" t="n">
        <x:f>'Ставки'!AX$5+'Вводные'!$B$81</x:f>
      </x:c>
      <x:c r="AY17" s="35" t="n">
        <x:f>'Ставки'!AY$5+'Вводные'!$B$81</x:f>
      </x:c>
      <x:c r="AZ17" s="35" t="n">
        <x:f>'Ставки'!AZ$5+'Вводные'!$B$81</x:f>
      </x:c>
      <x:c r="BA17" s="35" t="n">
        <x:f>'Ставки'!BA$5+'Вводные'!$B$81</x:f>
      </x:c>
      <x:c r="BB17" s="35" t="n">
        <x:f>'Ставки'!BB$5+'Вводные'!$B$81</x:f>
      </x:c>
      <x:c r="BC17" s="35" t="n">
        <x:f>'Ставки'!BC$5+'Вводные'!$B$81</x:f>
      </x:c>
      <x:c r="BD17" s="35" t="n">
        <x:f>'Ставки'!BD$5+'Вводные'!$B$81</x:f>
      </x:c>
      <x:c r="BE17" s="35" t="n">
        <x:f>'Ставки'!BE$5+'Вводные'!$B$81</x:f>
      </x:c>
      <x:c r="BF17" s="35" t="n">
        <x:f>'Ставки'!BF$5+'Вводные'!$B$81</x:f>
      </x:c>
      <x:c r="BG17" s="35" t="n">
        <x:f>'Ставки'!BG$5+'Вводные'!$B$81</x:f>
      </x:c>
      <x:c r="BH17" s="35" t="n">
        <x:f>'Ставки'!BH$5+'Вводные'!$B$81</x:f>
      </x:c>
      <x:c r="BI17" s="35" t="n">
        <x:f>'Ставки'!BI$5+'Вводные'!$B$81</x:f>
      </x:c>
      <x:c r="BJ17" s="35" t="n">
        <x:f>'Ставки'!BJ$5+'Вводные'!$B$81</x:f>
      </x:c>
      <x:c r="BK17" s="35" t="n">
        <x:f>'Ставки'!BK$5+'Вводные'!$B$81</x:f>
      </x:c>
      <x:c r="BL17" s="35" t="n">
        <x:f>'Ставки'!BL$5+'Вводные'!$B$81</x:f>
      </x:c>
      <x:c r="BM17" s="35" t="n">
        <x:f>'Ставки'!BM$5+'Вводные'!$B$81</x:f>
      </x:c>
      <x:c r="BN17" s="35" t="n">
        <x:f>'Ставки'!BN$5+'Вводные'!$B$81</x:f>
      </x:c>
      <x:c r="BO17" s="35" t="n">
        <x:f>'Ставки'!BO$5+'Вводные'!$B$81</x:f>
      </x:c>
      <x:c r="BP17" s="35" t="n">
        <x:f>'Ставки'!BP$5+'Вводные'!$B$81</x:f>
      </x:c>
      <x:c r="BQ17" s="35" t="n">
        <x:f>'Ставки'!BQ$5+'Вводные'!$B$81</x:f>
      </x:c>
      <x:c r="BR17" s="35" t="n">
        <x:f>'Ставки'!BR$5+'Вводные'!$B$81</x:f>
      </x:c>
      <x:c r="BS17" s="35" t="n">
        <x:f>'Ставки'!BS$5+'Вводные'!$B$81</x:f>
      </x:c>
      <x:c r="BT17" s="35" t="n">
        <x:f>'Ставки'!BT$5+'Вводные'!$B$81</x:f>
      </x:c>
      <x:c r="BU17" s="35" t="n">
        <x:f>'Ставки'!BU$5+'Вводные'!$B$81</x:f>
      </x:c>
      <x:c r="BV17" s="35" t="n">
        <x:f>'Ставки'!BV$5+'Вводные'!$B$81</x:f>
      </x:c>
      <x:c r="BW17" s="35" t="n">
        <x:f>'Ставки'!BW$5+'Вводные'!$B$81</x:f>
      </x:c>
      <x:c r="BX17" s="35" t="n">
        <x:f>'Ставки'!BX$5+'Вводные'!$B$81</x:f>
      </x:c>
      <x:c r="BY17" s="35" t="n">
        <x:f>'Ставки'!BY$5+'Вводные'!$B$81</x:f>
      </x:c>
      <x:c r="BZ17" s="35" t="n">
        <x:f>'Ставки'!BZ$5+'Вводные'!$B$81</x:f>
      </x:c>
      <x:c r="CA17" s="35" t="n">
        <x:f>'Ставки'!CA$5+'Вводные'!$B$81</x:f>
      </x:c>
      <x:c r="CB17" s="35" t="n">
        <x:f>'Ставки'!CB$5+'Вводные'!$B$81</x:f>
      </x:c>
      <x:c r="CC17" s="35" t="n">
        <x:f>'Ставки'!CC$5+'Вводные'!$B$81</x:f>
      </x:c>
      <x:c r="CD17" s="35" t="n">
        <x:f>'Ставки'!CD$5+'Вводные'!$B$81</x:f>
      </x:c>
      <x:c r="CE17" s="35" t="n">
        <x:f>'Ставки'!CE$5+'Вводные'!$B$81</x:f>
      </x:c>
      <x:c r="CF17" s="35" t="n">
        <x:f>'Ставки'!CF$5+'Вводные'!$B$81</x:f>
      </x:c>
      <x:c r="CG17" s="35" t="n">
        <x:f>'Ставки'!CG$5+'Вводные'!$B$81</x:f>
      </x:c>
      <x:c r="CH17" s="35" t="n">
        <x:f>'Ставки'!CH$5+'Вводные'!$B$81</x:f>
      </x:c>
      <x:c r="CI17" s="35" t="n">
        <x:f>'Ставки'!CI$5+'Вводные'!$B$81</x:f>
      </x:c>
      <x:c r="CJ17" s="35" t="n">
        <x:f>'Ставки'!CJ$5+'Вводные'!$B$81</x:f>
      </x:c>
      <x:c r="CK17" s="35" t="n">
        <x:f>'Ставки'!CK$5+'Вводные'!$B$81</x:f>
      </x:c>
      <x:c r="CL17" s="35" t="n">
        <x:f>'Ставки'!CL$5+'Вводные'!$B$81</x:f>
      </x:c>
      <x:c r="CM17" s="35" t="n">
        <x:f>'Ставки'!CM$5+'Вводные'!$B$81</x:f>
      </x:c>
      <x:c r="CN17" s="35" t="n">
        <x:f>'Ставки'!CN$5+'Вводные'!$B$81</x:f>
      </x:c>
      <x:c r="CO17" s="35" t="n">
        <x:f>'Ставки'!CO$5+'Вводные'!$B$81</x:f>
      </x:c>
      <x:c r="CP17" s="35" t="n">
        <x:f>'Ставки'!CP$5+'Вводные'!$B$81</x:f>
      </x:c>
      <x:c r="CQ17" s="35" t="n">
        <x:f>'Ставки'!CQ$5+'Вводные'!$B$81</x:f>
      </x:c>
      <x:c r="CR17" s="35" t="n">
        <x:f>'Ставки'!CR$5+'Вводные'!$B$81</x:f>
      </x:c>
      <x:c r="CS17" s="35" t="n">
        <x:f>'Ставки'!CS$5+'Вводные'!$B$81</x:f>
      </x:c>
      <x:c r="CT17" s="35" t="n">
        <x:f>'Ставки'!CT$5+'Вводные'!$B$81</x:f>
      </x:c>
      <x:c r="CU17" s="35" t="n">
        <x:f>'Ставки'!CU$5+'Вводные'!$B$81</x:f>
      </x:c>
      <x:c r="CV17" s="35" t="n">
        <x:f>'Ставки'!CV$5+'Вводные'!$B$81</x:f>
      </x:c>
      <x:c r="CW17" s="35" t="n">
        <x:f>'Ставки'!CW$5+'Вводные'!$B$81</x:f>
      </x:c>
      <x:c r="CX17" s="35" t="n">
        <x:f>'Ставки'!CX$5+'Вводные'!$B$81</x:f>
      </x:c>
      <x:c r="CY17" s="35" t="n">
        <x:f>'Ставки'!CY$5+'Вводные'!$B$81</x:f>
      </x:c>
      <x:c r="CZ17" s="35" t="n">
        <x:f>'Ставки'!CZ$5+'Вводные'!$B$81</x:f>
      </x:c>
      <x:c r="DA17" s="35" t="n">
        <x:f>'Ставки'!DA$5+'Вводные'!$B$81</x:f>
      </x:c>
      <x:c r="DB17" s="35" t="n">
        <x:f>'Ставки'!DB$5+'Вводные'!$B$81</x:f>
      </x:c>
      <x:c r="DC17" s="35" t="n">
        <x:f>'Ставки'!DC$5+'Вводные'!$B$81</x:f>
      </x:c>
      <x:c r="DD17" s="35" t="n">
        <x:f>'Ставки'!DD$5+'Вводные'!$B$81</x:f>
      </x:c>
      <x:c r="DE17" s="35" t="n">
        <x:f>'Ставки'!DE$5+'Вводные'!$B$81</x:f>
      </x:c>
      <x:c r="DF17" s="35" t="n">
        <x:f>'Ставки'!DF$5+'Вводные'!$B$81</x:f>
      </x:c>
      <x:c r="DG17" s="35" t="n">
        <x:f>'Ставки'!DG$5+'Вводные'!$B$81</x:f>
      </x:c>
      <x:c r="DH17" s="35" t="n">
        <x:f>'Ставки'!DH$5+'Вводные'!$B$81</x:f>
      </x:c>
      <x:c r="DI17" s="35" t="n">
        <x:f>'Ставки'!DI$5+'Вводные'!$B$81</x:f>
      </x:c>
      <x:c r="DJ17" s="35" t="n">
        <x:f>'Ставки'!DJ$5+'Вводные'!$B$81</x:f>
      </x:c>
      <x:c r="DK17" s="35" t="n">
        <x:f>'Ставки'!DK$5+'Вводные'!$B$81</x:f>
      </x:c>
      <x:c r="DL17" s="35" t="n">
        <x:f>'Ставки'!DL$5+'Вводные'!$B$81</x:f>
      </x:c>
      <x:c r="DM17" s="35" t="n">
        <x:f>'Ставки'!DM$5+'Вводные'!$B$81</x:f>
      </x:c>
      <x:c r="DN17" s="35" t="n">
        <x:f>'Ставки'!DN$5+'Вводные'!$B$81</x:f>
      </x:c>
      <x:c r="DO17" s="35" t="n">
        <x:f>'Ставки'!DO$5+'Вводные'!$B$81</x:f>
      </x:c>
      <x:c r="DP17" s="35" t="n">
        <x:f>'Ставки'!DP$5+'Вводные'!$B$81</x:f>
      </x:c>
      <x:c r="DQ17" s="35" t="n">
        <x:f>'Ставки'!DQ$5+'Вводные'!$B$81</x:f>
      </x:c>
      <x:c r="DR17" s="35" t="n">
        <x:f>'Ставки'!DR$5+'Вводные'!$B$81</x:f>
      </x:c>
      <x:c r="DS17" s="35" t="n">
        <x:f>'Ставки'!DS$5+'Вводные'!$B$81</x:f>
      </x:c>
    </x:row>
    <x:row r="19" ht="21" customHeight="1">
      <x:c r="A19" s="52" t="str">
        <x:v>ОЧЕРЕДЬ 2</x:v>
      </x:c>
      <x:c r="B19" s="53" t="str">
        <x:v>ОЧЕРЕДЬ 2</x:v>
      </x:c>
      <x:c r="C19" s="53" t="str">
        <x:v>ОЧЕРЕДЬ 2</x:v>
      </x:c>
      <x:c r="D19" s="53" t="str">
        <x:v>ОЧЕРЕДЬ 2</x:v>
      </x:c>
      <x:c r="E19" s="53" t="str">
        <x:v>ОЧЕРЕДЬ 2</x:v>
      </x:c>
      <x:c r="F19" s="53" t="str">
        <x:v>ОЧЕРЕДЬ 2</x:v>
      </x:c>
      <x:c r="G19" s="53" t="str">
        <x:v>ОЧЕРЕДЬ 2</x:v>
      </x:c>
      <x:c r="H19" s="53" t="str">
        <x:v>ОЧЕРЕДЬ 2</x:v>
      </x:c>
      <x:c r="I19" s="53" t="str">
        <x:v>ОЧЕРЕДЬ 2</x:v>
      </x:c>
      <x:c r="J19" s="53" t="str">
        <x:v>ОЧЕРЕДЬ 2</x:v>
      </x:c>
      <x:c r="K19" s="53" t="str">
        <x:v>ОЧЕРЕДЬ 2</x:v>
      </x:c>
      <x:c r="L19" s="53" t="str">
        <x:v>ОЧЕРЕДЬ 2</x:v>
      </x:c>
      <x:c r="M19" s="53" t="str">
        <x:v>ОЧЕРЕДЬ 2</x:v>
      </x:c>
      <x:c r="N19" s="53" t="str">
        <x:v>ОЧЕРЕДЬ 2</x:v>
      </x:c>
      <x:c r="O19" s="53" t="str">
        <x:v>ОЧЕРЕДЬ 2</x:v>
      </x:c>
      <x:c r="P19" s="53" t="str">
        <x:v>ОЧЕРЕДЬ 2</x:v>
      </x:c>
      <x:c r="Q19" s="53" t="str">
        <x:v>ОЧЕРЕДЬ 2</x:v>
      </x:c>
      <x:c r="R19" s="53" t="str">
        <x:v>ОЧЕРЕДЬ 2</x:v>
      </x:c>
      <x:c r="S19" s="53" t="str">
        <x:v>ОЧЕРЕДЬ 2</x:v>
      </x:c>
      <x:c r="T19" s="53" t="str">
        <x:v>ОЧЕРЕДЬ 2</x:v>
      </x:c>
      <x:c r="U19" s="53" t="str">
        <x:v>ОЧЕРЕДЬ 2</x:v>
      </x:c>
      <x:c r="V19" s="53" t="str">
        <x:v>ОЧЕРЕДЬ 2</x:v>
      </x:c>
      <x:c r="W19" s="53" t="str">
        <x:v>ОЧЕРЕДЬ 2</x:v>
      </x:c>
      <x:c r="X19" s="53" t="str">
        <x:v>ОЧЕРЕДЬ 2</x:v>
      </x:c>
      <x:c r="Y19" s="53" t="str">
        <x:v>ОЧЕРЕДЬ 2</x:v>
      </x:c>
      <x:c r="Z19" s="53" t="str">
        <x:v>ОЧЕРЕДЬ 2</x:v>
      </x:c>
      <x:c r="AA19" s="53" t="str">
        <x:v>ОЧЕРЕДЬ 2</x:v>
      </x:c>
      <x:c r="AB19" s="53" t="str">
        <x:v>ОЧЕРЕДЬ 2</x:v>
      </x:c>
      <x:c r="AC19" s="53" t="str">
        <x:v>ОЧЕРЕДЬ 2</x:v>
      </x:c>
      <x:c r="AD19" s="53" t="str">
        <x:v>ОЧЕРЕДЬ 2</x:v>
      </x:c>
      <x:c r="AE19" s="53" t="str">
        <x:v>ОЧЕРЕДЬ 2</x:v>
      </x:c>
      <x:c r="AF19" s="53" t="str">
        <x:v>ОЧЕРЕДЬ 2</x:v>
      </x:c>
      <x:c r="AG19" s="53" t="str">
        <x:v>ОЧЕРЕДЬ 2</x:v>
      </x:c>
      <x:c r="AH19" s="53" t="str">
        <x:v>ОЧЕРЕДЬ 2</x:v>
      </x:c>
      <x:c r="AI19" s="53" t="str">
        <x:v>ОЧЕРЕДЬ 2</x:v>
      </x:c>
      <x:c r="AJ19" s="53" t="str">
        <x:v>ОЧЕРЕДЬ 2</x:v>
      </x:c>
      <x:c r="AK19" s="53" t="str">
        <x:v>ОЧЕРЕДЬ 2</x:v>
      </x:c>
      <x:c r="AL19" s="53" t="str">
        <x:v>ОЧЕРЕДЬ 2</x:v>
      </x:c>
      <x:c r="AM19" s="53" t="str">
        <x:v>ОЧЕРЕДЬ 2</x:v>
      </x:c>
      <x:c r="AN19" s="53" t="str">
        <x:v>ОЧЕРЕДЬ 2</x:v>
      </x:c>
      <x:c r="AO19" s="53" t="str">
        <x:v>ОЧЕРЕДЬ 2</x:v>
      </x:c>
      <x:c r="AP19" s="53" t="str">
        <x:v>ОЧЕРЕДЬ 2</x:v>
      </x:c>
      <x:c r="AQ19" s="53" t="str">
        <x:v>ОЧЕРЕДЬ 2</x:v>
      </x:c>
      <x:c r="AR19" s="53" t="str">
        <x:v>ОЧЕРЕДЬ 2</x:v>
      </x:c>
      <x:c r="AS19" s="53" t="str">
        <x:v>ОЧЕРЕДЬ 2</x:v>
      </x:c>
      <x:c r="AT19" s="53" t="str">
        <x:v>ОЧЕРЕДЬ 2</x:v>
      </x:c>
      <x:c r="AU19" s="53" t="str">
        <x:v>ОЧЕРЕДЬ 2</x:v>
      </x:c>
      <x:c r="AV19" s="53" t="str">
        <x:v>ОЧЕРЕДЬ 2</x:v>
      </x:c>
      <x:c r="AW19" s="53" t="str">
        <x:v>ОЧЕРЕДЬ 2</x:v>
      </x:c>
      <x:c r="AX19" s="53" t="str">
        <x:v>ОЧЕРЕДЬ 2</x:v>
      </x:c>
      <x:c r="AY19" s="53" t="str">
        <x:v>ОЧЕРЕДЬ 2</x:v>
      </x:c>
      <x:c r="AZ19" s="53" t="str">
        <x:v>ОЧЕРЕДЬ 2</x:v>
      </x:c>
      <x:c r="BA19" s="53" t="str">
        <x:v>ОЧЕРЕДЬ 2</x:v>
      </x:c>
      <x:c r="BB19" s="53" t="str">
        <x:v>ОЧЕРЕДЬ 2</x:v>
      </x:c>
      <x:c r="BC19" s="53" t="str">
        <x:v>ОЧЕРЕДЬ 2</x:v>
      </x:c>
      <x:c r="BD19" s="53" t="str">
        <x:v>ОЧЕРЕДЬ 2</x:v>
      </x:c>
      <x:c r="BE19" s="53" t="str">
        <x:v>ОЧЕРЕДЬ 2</x:v>
      </x:c>
      <x:c r="BF19" s="53" t="str">
        <x:v>ОЧЕРЕДЬ 2</x:v>
      </x:c>
      <x:c r="BG19" s="53" t="str">
        <x:v>ОЧЕРЕДЬ 2</x:v>
      </x:c>
      <x:c r="BH19" s="53" t="str">
        <x:v>ОЧЕРЕДЬ 2</x:v>
      </x:c>
      <x:c r="BI19" s="53" t="str">
        <x:v>ОЧЕРЕДЬ 2</x:v>
      </x:c>
      <x:c r="BJ19" s="53" t="str">
        <x:v>ОЧЕРЕДЬ 2</x:v>
      </x:c>
      <x:c r="BK19" s="53" t="str">
        <x:v>ОЧЕРЕДЬ 2</x:v>
      </x:c>
      <x:c r="BL19" s="53" t="str">
        <x:v>ОЧЕРЕДЬ 2</x:v>
      </x:c>
      <x:c r="BM19" s="53" t="str">
        <x:v>ОЧЕРЕДЬ 2</x:v>
      </x:c>
      <x:c r="BN19" s="53" t="str">
        <x:v>ОЧЕРЕДЬ 2</x:v>
      </x:c>
      <x:c r="BO19" s="53" t="str">
        <x:v>ОЧЕРЕДЬ 2</x:v>
      </x:c>
      <x:c r="BP19" s="53" t="str">
        <x:v>ОЧЕРЕДЬ 2</x:v>
      </x:c>
      <x:c r="BQ19" s="53" t="str">
        <x:v>ОЧЕРЕДЬ 2</x:v>
      </x:c>
      <x:c r="BR19" s="53" t="str">
        <x:v>ОЧЕРЕДЬ 2</x:v>
      </x:c>
      <x:c r="BS19" s="53" t="str">
        <x:v>ОЧЕРЕДЬ 2</x:v>
      </x:c>
      <x:c r="BT19" s="53" t="str">
        <x:v>ОЧЕРЕДЬ 2</x:v>
      </x:c>
      <x:c r="BU19" s="53" t="str">
        <x:v>ОЧЕРЕДЬ 2</x:v>
      </x:c>
      <x:c r="BV19" s="53" t="str">
        <x:v>ОЧЕРЕДЬ 2</x:v>
      </x:c>
      <x:c r="BW19" s="53" t="str">
        <x:v>ОЧЕРЕДЬ 2</x:v>
      </x:c>
      <x:c r="BX19" s="53" t="str">
        <x:v>ОЧЕРЕДЬ 2</x:v>
      </x:c>
      <x:c r="BY19" s="53" t="str">
        <x:v>ОЧЕРЕДЬ 2</x:v>
      </x:c>
      <x:c r="BZ19" s="53" t="str">
        <x:v>ОЧЕРЕДЬ 2</x:v>
      </x:c>
      <x:c r="CA19" s="53" t="str">
        <x:v>ОЧЕРЕДЬ 2</x:v>
      </x:c>
      <x:c r="CB19" s="53" t="str">
        <x:v>ОЧЕРЕДЬ 2</x:v>
      </x:c>
      <x:c r="CC19" s="53" t="str">
        <x:v>ОЧЕРЕДЬ 2</x:v>
      </x:c>
      <x:c r="CD19" s="53" t="str">
        <x:v>ОЧЕРЕДЬ 2</x:v>
      </x:c>
      <x:c r="CE19" s="53" t="str">
        <x:v>ОЧЕРЕДЬ 2</x:v>
      </x:c>
      <x:c r="CF19" s="53" t="str">
        <x:v>ОЧЕРЕДЬ 2</x:v>
      </x:c>
      <x:c r="CG19" s="53" t="str">
        <x:v>ОЧЕРЕДЬ 2</x:v>
      </x:c>
      <x:c r="CH19" s="53" t="str">
        <x:v>ОЧЕРЕДЬ 2</x:v>
      </x:c>
      <x:c r="CI19" s="53" t="str">
        <x:v>ОЧЕРЕДЬ 2</x:v>
      </x:c>
      <x:c r="CJ19" s="53" t="str">
        <x:v>ОЧЕРЕДЬ 2</x:v>
      </x:c>
      <x:c r="CK19" s="53" t="str">
        <x:v>ОЧЕРЕДЬ 2</x:v>
      </x:c>
      <x:c r="CL19" s="53" t="str">
        <x:v>ОЧЕРЕДЬ 2</x:v>
      </x:c>
      <x:c r="CM19" s="53" t="str">
        <x:v>ОЧЕРЕДЬ 2</x:v>
      </x:c>
      <x:c r="CN19" s="53" t="str">
        <x:v>ОЧЕРЕДЬ 2</x:v>
      </x:c>
      <x:c r="CO19" s="53" t="str">
        <x:v>ОЧЕРЕДЬ 2</x:v>
      </x:c>
      <x:c r="CP19" s="53" t="str">
        <x:v>ОЧЕРЕДЬ 2</x:v>
      </x:c>
      <x:c r="CQ19" s="53" t="str">
        <x:v>ОЧЕРЕДЬ 2</x:v>
      </x:c>
      <x:c r="CR19" s="53" t="str">
        <x:v>ОЧЕРЕДЬ 2</x:v>
      </x:c>
      <x:c r="CS19" s="53" t="str">
        <x:v>ОЧЕРЕДЬ 2</x:v>
      </x:c>
      <x:c r="CT19" s="53" t="str">
        <x:v>ОЧЕРЕДЬ 2</x:v>
      </x:c>
      <x:c r="CU19" s="53" t="str">
        <x:v>ОЧЕРЕДЬ 2</x:v>
      </x:c>
      <x:c r="CV19" s="53" t="str">
        <x:v>ОЧЕРЕДЬ 2</x:v>
      </x:c>
      <x:c r="CW19" s="53" t="str">
        <x:v>ОЧЕРЕДЬ 2</x:v>
      </x:c>
      <x:c r="CX19" s="53" t="str">
        <x:v>ОЧЕРЕДЬ 2</x:v>
      </x:c>
      <x:c r="CY19" s="53" t="str">
        <x:v>ОЧЕРЕДЬ 2</x:v>
      </x:c>
      <x:c r="CZ19" s="53" t="str">
        <x:v>ОЧЕРЕДЬ 2</x:v>
      </x:c>
      <x:c r="DA19" s="53" t="str">
        <x:v>ОЧЕРЕДЬ 2</x:v>
      </x:c>
      <x:c r="DB19" s="53" t="str">
        <x:v>ОЧЕРЕДЬ 2</x:v>
      </x:c>
      <x:c r="DC19" s="53" t="str">
        <x:v>ОЧЕРЕДЬ 2</x:v>
      </x:c>
      <x:c r="DD19" s="53" t="str">
        <x:v>ОЧЕРЕДЬ 2</x:v>
      </x:c>
      <x:c r="DE19" s="53" t="str">
        <x:v>ОЧЕРЕДЬ 2</x:v>
      </x:c>
      <x:c r="DF19" s="53" t="str">
        <x:v>ОЧЕРЕДЬ 2</x:v>
      </x:c>
      <x:c r="DG19" s="53" t="str">
        <x:v>ОЧЕРЕДЬ 2</x:v>
      </x:c>
      <x:c r="DH19" s="53" t="str">
        <x:v>ОЧЕРЕДЬ 2</x:v>
      </x:c>
      <x:c r="DI19" s="53" t="str">
        <x:v>ОЧЕРЕДЬ 2</x:v>
      </x:c>
      <x:c r="DJ19" s="53" t="str">
        <x:v>ОЧЕРЕДЬ 2</x:v>
      </x:c>
      <x:c r="DK19" s="53" t="str">
        <x:v>ОЧЕРЕДЬ 2</x:v>
      </x:c>
      <x:c r="DL19" s="53" t="str">
        <x:v>ОЧЕРЕДЬ 2</x:v>
      </x:c>
      <x:c r="DM19" s="53" t="str">
        <x:v>ОЧЕРЕДЬ 2</x:v>
      </x:c>
      <x:c r="DN19" s="53" t="str">
        <x:v>ОЧЕРЕДЬ 2</x:v>
      </x:c>
      <x:c r="DO19" s="53" t="str">
        <x:v>ОЧЕРЕДЬ 2</x:v>
      </x:c>
      <x:c r="DP19" s="53" t="str">
        <x:v>ОЧЕРЕДЬ 2</x:v>
      </x:c>
      <x:c r="DQ19" s="53" t="str">
        <x:v>ОЧЕРЕДЬ 2</x:v>
      </x:c>
      <x:c r="DR19" s="53" t="str">
        <x:v>ОЧЕРЕДЬ 2</x:v>
      </x:c>
      <x:c r="DS19" s="54" t="str">
        <x:v>ОЧЕРЕДЬ 2</x:v>
      </x:c>
    </x:row>
    <x:row r="20">
      <x:c r="A20" t="str">
        <x:v>Дата возникновения обязательства</x:v>
      </x:c>
      <x:c r="B20" s="106" t="n">
        <x:f>EDATE('Вводные'!$D$89,'Вводные'!$E$89+'Вводные'!$H$9-'Вводные'!$B$76)</x:f>
      </x:c>
      <x:c r="C20" t="str">
        <x:v>дата</x:v>
      </x:c>
    </x:row>
    <x:row r="21">
      <x:c r="A21" t="str">
        <x:v>Дата открытия ПФ</x:v>
      </x:c>
      <x:c r="B21" s="106" t="n">
        <x:f>EDATE('Вводные'!$D$89,'Вводные'!$E$89+'Вводные'!$H$9)</x:f>
      </x:c>
      <x:c r="C21" t="str">
        <x:v>дата</x:v>
      </x:c>
    </x:row>
    <x:row r="22">
      <x:c r="A22" t="str">
        <x:v>Сумма обязательства после льготы</x:v>
      </x:c>
      <x:c r="B22" s="115" t="n">
        <x:f>IF(AND('Вводные'!$B$89="Да",'Вводные'!$B$74="Да"),MAX(0,'Вводные'!$B$16*'Вводные'!$Q$89-'Вводные'!$B$82*'Вводные'!$Q$89),0)</x:f>
      </x:c>
      <x:c r="C22" t="str">
        <x:v>млн ₽</x:v>
      </x:c>
    </x:row>
    <x:row r="23">
      <x:c r="A23" t="str">
        <x:v>Остаток на начало</x:v>
      </x:c>
      <x:c r="B23" s="107" t="n">
        <x:f>MAX(D23:DS23)</x:f>
      </x:c>
      <x:c r="C23" t="str">
        <x:v>млн ₽</x:v>
      </x:c>
      <x:c r="D23" s="117" t="n">
        <x:f>0</x:f>
      </x:c>
      <x:c r="E23" s="117" t="n">
        <x:f>D29</x:f>
      </x:c>
      <x:c r="F23" s="117" t="n">
        <x:f>E29</x:f>
      </x:c>
      <x:c r="G23" s="117" t="n">
        <x:f>F29</x:f>
      </x:c>
      <x:c r="H23" s="117" t="n">
        <x:f>G29</x:f>
      </x:c>
      <x:c r="I23" s="117" t="n">
        <x:f>H29</x:f>
      </x:c>
      <x:c r="J23" s="117" t="n">
        <x:f>I29</x:f>
      </x:c>
      <x:c r="K23" s="117" t="n">
        <x:f>J29</x:f>
      </x:c>
      <x:c r="L23" s="117" t="n">
        <x:f>K29</x:f>
      </x:c>
      <x:c r="M23" s="117" t="n">
        <x:f>L29</x:f>
      </x:c>
      <x:c r="N23" s="117" t="n">
        <x:f>M29</x:f>
      </x:c>
      <x:c r="O23" s="117" t="n">
        <x:f>N29</x:f>
      </x:c>
      <x:c r="P23" s="117" t="n">
        <x:f>O29</x:f>
      </x:c>
      <x:c r="Q23" s="117" t="n">
        <x:f>P29</x:f>
      </x:c>
      <x:c r="R23" s="117" t="n">
        <x:f>Q29</x:f>
      </x:c>
      <x:c r="S23" s="117" t="n">
        <x:f>R29</x:f>
      </x:c>
      <x:c r="T23" s="117" t="n">
        <x:f>S29</x:f>
      </x:c>
      <x:c r="U23" s="117" t="n">
        <x:f>T29</x:f>
      </x:c>
      <x:c r="V23" s="117" t="n">
        <x:f>U29</x:f>
      </x:c>
      <x:c r="W23" s="117" t="n">
        <x:f>V29</x:f>
      </x:c>
      <x:c r="X23" s="117" t="n">
        <x:f>W29</x:f>
      </x:c>
      <x:c r="Y23" s="117" t="n">
        <x:f>X29</x:f>
      </x:c>
      <x:c r="Z23" s="117" t="n">
        <x:f>Y29</x:f>
      </x:c>
      <x:c r="AA23" s="117" t="n">
        <x:f>Z29</x:f>
      </x:c>
      <x:c r="AB23" s="117" t="n">
        <x:f>AA29</x:f>
      </x:c>
      <x:c r="AC23" s="117" t="n">
        <x:f>AB29</x:f>
      </x:c>
      <x:c r="AD23" s="117" t="n">
        <x:f>AC29</x:f>
      </x:c>
      <x:c r="AE23" s="117" t="n">
        <x:f>AD29</x:f>
      </x:c>
      <x:c r="AF23" s="117" t="n">
        <x:f>AE29</x:f>
      </x:c>
      <x:c r="AG23" s="117" t="n">
        <x:f>AF29</x:f>
      </x:c>
      <x:c r="AH23" s="117" t="n">
        <x:f>AG29</x:f>
      </x:c>
      <x:c r="AI23" s="117" t="n">
        <x:f>AH29</x:f>
      </x:c>
      <x:c r="AJ23" s="117" t="n">
        <x:f>AI29</x:f>
      </x:c>
      <x:c r="AK23" s="117" t="n">
        <x:f>AJ29</x:f>
      </x:c>
      <x:c r="AL23" s="117" t="n">
        <x:f>AK29</x:f>
      </x:c>
      <x:c r="AM23" s="117" t="n">
        <x:f>AL29</x:f>
      </x:c>
      <x:c r="AN23" s="117" t="n">
        <x:f>AM29</x:f>
      </x:c>
      <x:c r="AO23" s="117" t="n">
        <x:f>AN29</x:f>
      </x:c>
      <x:c r="AP23" s="117" t="n">
        <x:f>AO29</x:f>
      </x:c>
      <x:c r="AQ23" s="117" t="n">
        <x:f>AP29</x:f>
      </x:c>
      <x:c r="AR23" s="117" t="n">
        <x:f>AQ29</x:f>
      </x:c>
      <x:c r="AS23" s="117" t="n">
        <x:f>AR29</x:f>
      </x:c>
      <x:c r="AT23" s="117" t="n">
        <x:f>AS29</x:f>
      </x:c>
      <x:c r="AU23" s="117" t="n">
        <x:f>AT29</x:f>
      </x:c>
      <x:c r="AV23" s="117" t="n">
        <x:f>AU29</x:f>
      </x:c>
      <x:c r="AW23" s="117" t="n">
        <x:f>AV29</x:f>
      </x:c>
      <x:c r="AX23" s="117" t="n">
        <x:f>AW29</x:f>
      </x:c>
      <x:c r="AY23" s="117" t="n">
        <x:f>AX29</x:f>
      </x:c>
      <x:c r="AZ23" s="117" t="n">
        <x:f>AY29</x:f>
      </x:c>
      <x:c r="BA23" s="117" t="n">
        <x:f>AZ29</x:f>
      </x:c>
      <x:c r="BB23" s="117" t="n">
        <x:f>BA29</x:f>
      </x:c>
      <x:c r="BC23" s="117" t="n">
        <x:f>BB29</x:f>
      </x:c>
      <x:c r="BD23" s="117" t="n">
        <x:f>BC29</x:f>
      </x:c>
      <x:c r="BE23" s="117" t="n">
        <x:f>BD29</x:f>
      </x:c>
      <x:c r="BF23" s="117" t="n">
        <x:f>BE29</x:f>
      </x:c>
      <x:c r="BG23" s="117" t="n">
        <x:f>BF29</x:f>
      </x:c>
      <x:c r="BH23" s="117" t="n">
        <x:f>BG29</x:f>
      </x:c>
      <x:c r="BI23" s="117" t="n">
        <x:f>BH29</x:f>
      </x:c>
      <x:c r="BJ23" s="117" t="n">
        <x:f>BI29</x:f>
      </x:c>
      <x:c r="BK23" s="117" t="n">
        <x:f>BJ29</x:f>
      </x:c>
      <x:c r="BL23" s="117" t="n">
        <x:f>BK29</x:f>
      </x:c>
      <x:c r="BM23" s="117" t="n">
        <x:f>BL29</x:f>
      </x:c>
      <x:c r="BN23" s="117" t="n">
        <x:f>BM29</x:f>
      </x:c>
      <x:c r="BO23" s="117" t="n">
        <x:f>BN29</x:f>
      </x:c>
      <x:c r="BP23" s="117" t="n">
        <x:f>BO29</x:f>
      </x:c>
      <x:c r="BQ23" s="117" t="n">
        <x:f>BP29</x:f>
      </x:c>
      <x:c r="BR23" s="117" t="n">
        <x:f>BQ29</x:f>
      </x:c>
      <x:c r="BS23" s="117" t="n">
        <x:f>BR29</x:f>
      </x:c>
      <x:c r="BT23" s="117" t="n">
        <x:f>BS29</x:f>
      </x:c>
      <x:c r="BU23" s="117" t="n">
        <x:f>BT29</x:f>
      </x:c>
      <x:c r="BV23" s="117" t="n">
        <x:f>BU29</x:f>
      </x:c>
      <x:c r="BW23" s="117" t="n">
        <x:f>BV29</x:f>
      </x:c>
      <x:c r="BX23" s="117" t="n">
        <x:f>BW29</x:f>
      </x:c>
      <x:c r="BY23" s="117" t="n">
        <x:f>BX29</x:f>
      </x:c>
      <x:c r="BZ23" s="117" t="n">
        <x:f>BY29</x:f>
      </x:c>
      <x:c r="CA23" s="117" t="n">
        <x:f>BZ29</x:f>
      </x:c>
      <x:c r="CB23" s="117" t="n">
        <x:f>CA29</x:f>
      </x:c>
      <x:c r="CC23" s="117" t="n">
        <x:f>CB29</x:f>
      </x:c>
      <x:c r="CD23" s="117" t="n">
        <x:f>CC29</x:f>
      </x:c>
      <x:c r="CE23" s="117" t="n">
        <x:f>CD29</x:f>
      </x:c>
      <x:c r="CF23" s="117" t="n">
        <x:f>CE29</x:f>
      </x:c>
      <x:c r="CG23" s="117" t="n">
        <x:f>CF29</x:f>
      </x:c>
      <x:c r="CH23" s="117" t="n">
        <x:f>CG29</x:f>
      </x:c>
      <x:c r="CI23" s="117" t="n">
        <x:f>CH29</x:f>
      </x:c>
      <x:c r="CJ23" s="117" t="n">
        <x:f>CI29</x:f>
      </x:c>
      <x:c r="CK23" s="117" t="n">
        <x:f>CJ29</x:f>
      </x:c>
      <x:c r="CL23" s="117" t="n">
        <x:f>CK29</x:f>
      </x:c>
      <x:c r="CM23" s="117" t="n">
        <x:f>CL29</x:f>
      </x:c>
      <x:c r="CN23" s="117" t="n">
        <x:f>CM29</x:f>
      </x:c>
      <x:c r="CO23" s="117" t="n">
        <x:f>CN29</x:f>
      </x:c>
      <x:c r="CP23" s="117" t="n">
        <x:f>CO29</x:f>
      </x:c>
      <x:c r="CQ23" s="117" t="n">
        <x:f>CP29</x:f>
      </x:c>
      <x:c r="CR23" s="117" t="n">
        <x:f>CQ29</x:f>
      </x:c>
      <x:c r="CS23" s="117" t="n">
        <x:f>CR29</x:f>
      </x:c>
      <x:c r="CT23" s="117" t="n">
        <x:f>CS29</x:f>
      </x:c>
      <x:c r="CU23" s="117" t="n">
        <x:f>CT29</x:f>
      </x:c>
      <x:c r="CV23" s="117" t="n">
        <x:f>CU29</x:f>
      </x:c>
      <x:c r="CW23" s="117" t="n">
        <x:f>CV29</x:f>
      </x:c>
      <x:c r="CX23" s="117" t="n">
        <x:f>CW29</x:f>
      </x:c>
      <x:c r="CY23" s="117" t="n">
        <x:f>CX29</x:f>
      </x:c>
      <x:c r="CZ23" s="117" t="n">
        <x:f>CY29</x:f>
      </x:c>
      <x:c r="DA23" s="117" t="n">
        <x:f>CZ29</x:f>
      </x:c>
      <x:c r="DB23" s="117" t="n">
        <x:f>DA29</x:f>
      </x:c>
      <x:c r="DC23" s="117" t="n">
        <x:f>DB29</x:f>
      </x:c>
      <x:c r="DD23" s="117" t="n">
        <x:f>DC29</x:f>
      </x:c>
      <x:c r="DE23" s="117" t="n">
        <x:f>DD29</x:f>
      </x:c>
      <x:c r="DF23" s="117" t="n">
        <x:f>DE29</x:f>
      </x:c>
      <x:c r="DG23" s="117" t="n">
        <x:f>DF29</x:f>
      </x:c>
      <x:c r="DH23" s="117" t="n">
        <x:f>DG29</x:f>
      </x:c>
      <x:c r="DI23" s="117" t="n">
        <x:f>DH29</x:f>
      </x:c>
      <x:c r="DJ23" s="117" t="n">
        <x:f>DI29</x:f>
      </x:c>
      <x:c r="DK23" s="117" t="n">
        <x:f>DJ29</x:f>
      </x:c>
      <x:c r="DL23" s="117" t="n">
        <x:f>DK29</x:f>
      </x:c>
      <x:c r="DM23" s="117" t="n">
        <x:f>DL29</x:f>
      </x:c>
      <x:c r="DN23" s="117" t="n">
        <x:f>DM29</x:f>
      </x:c>
      <x:c r="DO23" s="117" t="n">
        <x:f>DN29</x:f>
      </x:c>
      <x:c r="DP23" s="117" t="n">
        <x:f>DO29</x:f>
      </x:c>
      <x:c r="DQ23" s="117" t="n">
        <x:f>DP29</x:f>
      </x:c>
      <x:c r="DR23" s="117" t="n">
        <x:f>DQ29</x:f>
      </x:c>
      <x:c r="DS23" s="117" t="n">
        <x:f>DR29</x:f>
      </x:c>
    </x:row>
    <x:row r="24">
      <x:c r="A24" t="str">
        <x:v>Возникновение обязательства</x:v>
      </x:c>
      <x:c r="B24" s="107" t="n">
        <x:f>SUM(D24:DS24)</x:f>
      </x:c>
      <x:c r="C24" t="str">
        <x:v>млн ₽</x:v>
      </x:c>
      <x:c r="D24" s="117" t="n">
        <x:f>IF(AND(YEAR(D$3)=YEAR($B$20),MONTH(D$3)=MONTH($B$20)),$B$22,0)</x:f>
      </x:c>
      <x:c r="E24" s="117" t="n">
        <x:f>IF(AND(YEAR(E$3)=YEAR($B$20),MONTH(E$3)=MONTH($B$20)),$B$22,0)</x:f>
      </x:c>
      <x:c r="F24" s="117" t="n">
        <x:f>IF(AND(YEAR(F$3)=YEAR($B$20),MONTH(F$3)=MONTH($B$20)),$B$22,0)</x:f>
      </x:c>
      <x:c r="G24" s="117" t="n">
        <x:f>IF(AND(YEAR(G$3)=YEAR($B$20),MONTH(G$3)=MONTH($B$20)),$B$22,0)</x:f>
      </x:c>
      <x:c r="H24" s="117" t="n">
        <x:f>IF(AND(YEAR(H$3)=YEAR($B$20),MONTH(H$3)=MONTH($B$20)),$B$22,0)</x:f>
      </x:c>
      <x:c r="I24" s="117" t="n">
        <x:f>IF(AND(YEAR(I$3)=YEAR($B$20),MONTH(I$3)=MONTH($B$20)),$B$22,0)</x:f>
      </x:c>
      <x:c r="J24" s="117" t="n">
        <x:f>IF(AND(YEAR(J$3)=YEAR($B$20),MONTH(J$3)=MONTH($B$20)),$B$22,0)</x:f>
      </x:c>
      <x:c r="K24" s="117" t="n">
        <x:f>IF(AND(YEAR(K$3)=YEAR($B$20),MONTH(K$3)=MONTH($B$20)),$B$22,0)</x:f>
      </x:c>
      <x:c r="L24" s="117" t="n">
        <x:f>IF(AND(YEAR(L$3)=YEAR($B$20),MONTH(L$3)=MONTH($B$20)),$B$22,0)</x:f>
      </x:c>
      <x:c r="M24" s="117" t="n">
        <x:f>IF(AND(YEAR(M$3)=YEAR($B$20),MONTH(M$3)=MONTH($B$20)),$B$22,0)</x:f>
      </x:c>
      <x:c r="N24" s="117" t="n">
        <x:f>IF(AND(YEAR(N$3)=YEAR($B$20),MONTH(N$3)=MONTH($B$20)),$B$22,0)</x:f>
      </x:c>
      <x:c r="O24" s="117" t="n">
        <x:f>IF(AND(YEAR(O$3)=YEAR($B$20),MONTH(O$3)=MONTH($B$20)),$B$22,0)</x:f>
      </x:c>
      <x:c r="P24" s="117" t="n">
        <x:f>IF(AND(YEAR(P$3)=YEAR($B$20),MONTH(P$3)=MONTH($B$20)),$B$22,0)</x:f>
      </x:c>
      <x:c r="Q24" s="117" t="n">
        <x:f>IF(AND(YEAR(Q$3)=YEAR($B$20),MONTH(Q$3)=MONTH($B$20)),$B$22,0)</x:f>
      </x:c>
      <x:c r="R24" s="117" t="n">
        <x:f>IF(AND(YEAR(R$3)=YEAR($B$20),MONTH(R$3)=MONTH($B$20)),$B$22,0)</x:f>
      </x:c>
      <x:c r="S24" s="117" t="n">
        <x:f>IF(AND(YEAR(S$3)=YEAR($B$20),MONTH(S$3)=MONTH($B$20)),$B$22,0)</x:f>
      </x:c>
      <x:c r="T24" s="117" t="n">
        <x:f>IF(AND(YEAR(T$3)=YEAR($B$20),MONTH(T$3)=MONTH($B$20)),$B$22,0)</x:f>
      </x:c>
      <x:c r="U24" s="117" t="n">
        <x:f>IF(AND(YEAR(U$3)=YEAR($B$20),MONTH(U$3)=MONTH($B$20)),$B$22,0)</x:f>
      </x:c>
      <x:c r="V24" s="117" t="n">
        <x:f>IF(AND(YEAR(V$3)=YEAR($B$20),MONTH(V$3)=MONTH($B$20)),$B$22,0)</x:f>
      </x:c>
      <x:c r="W24" s="117" t="n">
        <x:f>IF(AND(YEAR(W$3)=YEAR($B$20),MONTH(W$3)=MONTH($B$20)),$B$22,0)</x:f>
      </x:c>
      <x:c r="X24" s="117" t="n">
        <x:f>IF(AND(YEAR(X$3)=YEAR($B$20),MONTH(X$3)=MONTH($B$20)),$B$22,0)</x:f>
      </x:c>
      <x:c r="Y24" s="117" t="n">
        <x:f>IF(AND(YEAR(Y$3)=YEAR($B$20),MONTH(Y$3)=MONTH($B$20)),$B$22,0)</x:f>
      </x:c>
      <x:c r="Z24" s="117" t="n">
        <x:f>IF(AND(YEAR(Z$3)=YEAR($B$20),MONTH(Z$3)=MONTH($B$20)),$B$22,0)</x:f>
      </x:c>
      <x:c r="AA24" s="117" t="n">
        <x:f>IF(AND(YEAR(AA$3)=YEAR($B$20),MONTH(AA$3)=MONTH($B$20)),$B$22,0)</x:f>
      </x:c>
      <x:c r="AB24" s="117" t="n">
        <x:f>IF(AND(YEAR(AB$3)=YEAR($B$20),MONTH(AB$3)=MONTH($B$20)),$B$22,0)</x:f>
      </x:c>
      <x:c r="AC24" s="117" t="n">
        <x:f>IF(AND(YEAR(AC$3)=YEAR($B$20),MONTH(AC$3)=MONTH($B$20)),$B$22,0)</x:f>
      </x:c>
      <x:c r="AD24" s="117" t="n">
        <x:f>IF(AND(YEAR(AD$3)=YEAR($B$20),MONTH(AD$3)=MONTH($B$20)),$B$22,0)</x:f>
      </x:c>
      <x:c r="AE24" s="117" t="n">
        <x:f>IF(AND(YEAR(AE$3)=YEAR($B$20),MONTH(AE$3)=MONTH($B$20)),$B$22,0)</x:f>
      </x:c>
      <x:c r="AF24" s="117" t="n">
        <x:f>IF(AND(YEAR(AF$3)=YEAR($B$20),MONTH(AF$3)=MONTH($B$20)),$B$22,0)</x:f>
      </x:c>
      <x:c r="AG24" s="117" t="n">
        <x:f>IF(AND(YEAR(AG$3)=YEAR($B$20),MONTH(AG$3)=MONTH($B$20)),$B$22,0)</x:f>
      </x:c>
      <x:c r="AH24" s="117" t="n">
        <x:f>IF(AND(YEAR(AH$3)=YEAR($B$20),MONTH(AH$3)=MONTH($B$20)),$B$22,0)</x:f>
      </x:c>
      <x:c r="AI24" s="117" t="n">
        <x:f>IF(AND(YEAR(AI$3)=YEAR($B$20),MONTH(AI$3)=MONTH($B$20)),$B$22,0)</x:f>
      </x:c>
      <x:c r="AJ24" s="117" t="n">
        <x:f>IF(AND(YEAR(AJ$3)=YEAR($B$20),MONTH(AJ$3)=MONTH($B$20)),$B$22,0)</x:f>
      </x:c>
      <x:c r="AK24" s="117" t="n">
        <x:f>IF(AND(YEAR(AK$3)=YEAR($B$20),MONTH(AK$3)=MONTH($B$20)),$B$22,0)</x:f>
      </x:c>
      <x:c r="AL24" s="117" t="n">
        <x:f>IF(AND(YEAR(AL$3)=YEAR($B$20),MONTH(AL$3)=MONTH($B$20)),$B$22,0)</x:f>
      </x:c>
      <x:c r="AM24" s="117" t="n">
        <x:f>IF(AND(YEAR(AM$3)=YEAR($B$20),MONTH(AM$3)=MONTH($B$20)),$B$22,0)</x:f>
      </x:c>
      <x:c r="AN24" s="117" t="n">
        <x:f>IF(AND(YEAR(AN$3)=YEAR($B$20),MONTH(AN$3)=MONTH($B$20)),$B$22,0)</x:f>
      </x:c>
      <x:c r="AO24" s="117" t="n">
        <x:f>IF(AND(YEAR(AO$3)=YEAR($B$20),MONTH(AO$3)=MONTH($B$20)),$B$22,0)</x:f>
      </x:c>
      <x:c r="AP24" s="117" t="n">
        <x:f>IF(AND(YEAR(AP$3)=YEAR($B$20),MONTH(AP$3)=MONTH($B$20)),$B$22,0)</x:f>
      </x:c>
      <x:c r="AQ24" s="117" t="n">
        <x:f>IF(AND(YEAR(AQ$3)=YEAR($B$20),MONTH(AQ$3)=MONTH($B$20)),$B$22,0)</x:f>
      </x:c>
      <x:c r="AR24" s="117" t="n">
        <x:f>IF(AND(YEAR(AR$3)=YEAR($B$20),MONTH(AR$3)=MONTH($B$20)),$B$22,0)</x:f>
      </x:c>
      <x:c r="AS24" s="117" t="n">
        <x:f>IF(AND(YEAR(AS$3)=YEAR($B$20),MONTH(AS$3)=MONTH($B$20)),$B$22,0)</x:f>
      </x:c>
      <x:c r="AT24" s="117" t="n">
        <x:f>IF(AND(YEAR(AT$3)=YEAR($B$20),MONTH(AT$3)=MONTH($B$20)),$B$22,0)</x:f>
      </x:c>
      <x:c r="AU24" s="117" t="n">
        <x:f>IF(AND(YEAR(AU$3)=YEAR($B$20),MONTH(AU$3)=MONTH($B$20)),$B$22,0)</x:f>
      </x:c>
      <x:c r="AV24" s="117" t="n">
        <x:f>IF(AND(YEAR(AV$3)=YEAR($B$20),MONTH(AV$3)=MONTH($B$20)),$B$22,0)</x:f>
      </x:c>
      <x:c r="AW24" s="117" t="n">
        <x:f>IF(AND(YEAR(AW$3)=YEAR($B$20),MONTH(AW$3)=MONTH($B$20)),$B$22,0)</x:f>
      </x:c>
      <x:c r="AX24" s="117" t="n">
        <x:f>IF(AND(YEAR(AX$3)=YEAR($B$20),MONTH(AX$3)=MONTH($B$20)),$B$22,0)</x:f>
      </x:c>
      <x:c r="AY24" s="117" t="n">
        <x:f>IF(AND(YEAR(AY$3)=YEAR($B$20),MONTH(AY$3)=MONTH($B$20)),$B$22,0)</x:f>
      </x:c>
      <x:c r="AZ24" s="117" t="n">
        <x:f>IF(AND(YEAR(AZ$3)=YEAR($B$20),MONTH(AZ$3)=MONTH($B$20)),$B$22,0)</x:f>
      </x:c>
      <x:c r="BA24" s="117" t="n">
        <x:f>IF(AND(YEAR(BA$3)=YEAR($B$20),MONTH(BA$3)=MONTH($B$20)),$B$22,0)</x:f>
      </x:c>
      <x:c r="BB24" s="117" t="n">
        <x:f>IF(AND(YEAR(BB$3)=YEAR($B$20),MONTH(BB$3)=MONTH($B$20)),$B$22,0)</x:f>
      </x:c>
      <x:c r="BC24" s="117" t="n">
        <x:f>IF(AND(YEAR(BC$3)=YEAR($B$20),MONTH(BC$3)=MONTH($B$20)),$B$22,0)</x:f>
      </x:c>
      <x:c r="BD24" s="117" t="n">
        <x:f>IF(AND(YEAR(BD$3)=YEAR($B$20),MONTH(BD$3)=MONTH($B$20)),$B$22,0)</x:f>
      </x:c>
      <x:c r="BE24" s="117" t="n">
        <x:f>IF(AND(YEAR(BE$3)=YEAR($B$20),MONTH(BE$3)=MONTH($B$20)),$B$22,0)</x:f>
      </x:c>
      <x:c r="BF24" s="117" t="n">
        <x:f>IF(AND(YEAR(BF$3)=YEAR($B$20),MONTH(BF$3)=MONTH($B$20)),$B$22,0)</x:f>
      </x:c>
      <x:c r="BG24" s="117" t="n">
        <x:f>IF(AND(YEAR(BG$3)=YEAR($B$20),MONTH(BG$3)=MONTH($B$20)),$B$22,0)</x:f>
      </x:c>
      <x:c r="BH24" s="117" t="n">
        <x:f>IF(AND(YEAR(BH$3)=YEAR($B$20),MONTH(BH$3)=MONTH($B$20)),$B$22,0)</x:f>
      </x:c>
      <x:c r="BI24" s="117" t="n">
        <x:f>IF(AND(YEAR(BI$3)=YEAR($B$20),MONTH(BI$3)=MONTH($B$20)),$B$22,0)</x:f>
      </x:c>
      <x:c r="BJ24" s="117" t="n">
        <x:f>IF(AND(YEAR(BJ$3)=YEAR($B$20),MONTH(BJ$3)=MONTH($B$20)),$B$22,0)</x:f>
      </x:c>
      <x:c r="BK24" s="117" t="n">
        <x:f>IF(AND(YEAR(BK$3)=YEAR($B$20),MONTH(BK$3)=MONTH($B$20)),$B$22,0)</x:f>
      </x:c>
      <x:c r="BL24" s="117" t="n">
        <x:f>IF(AND(YEAR(BL$3)=YEAR($B$20),MONTH(BL$3)=MONTH($B$20)),$B$22,0)</x:f>
      </x:c>
      <x:c r="BM24" s="117" t="n">
        <x:f>IF(AND(YEAR(BM$3)=YEAR($B$20),MONTH(BM$3)=MONTH($B$20)),$B$22,0)</x:f>
      </x:c>
      <x:c r="BN24" s="117" t="n">
        <x:f>IF(AND(YEAR(BN$3)=YEAR($B$20),MONTH(BN$3)=MONTH($B$20)),$B$22,0)</x:f>
      </x:c>
      <x:c r="BO24" s="117" t="n">
        <x:f>IF(AND(YEAR(BO$3)=YEAR($B$20),MONTH(BO$3)=MONTH($B$20)),$B$22,0)</x:f>
      </x:c>
      <x:c r="BP24" s="117" t="n">
        <x:f>IF(AND(YEAR(BP$3)=YEAR($B$20),MONTH(BP$3)=MONTH($B$20)),$B$22,0)</x:f>
      </x:c>
      <x:c r="BQ24" s="117" t="n">
        <x:f>IF(AND(YEAR(BQ$3)=YEAR($B$20),MONTH(BQ$3)=MONTH($B$20)),$B$22,0)</x:f>
      </x:c>
      <x:c r="BR24" s="117" t="n">
        <x:f>IF(AND(YEAR(BR$3)=YEAR($B$20),MONTH(BR$3)=MONTH($B$20)),$B$22,0)</x:f>
      </x:c>
      <x:c r="BS24" s="117" t="n">
        <x:f>IF(AND(YEAR(BS$3)=YEAR($B$20),MONTH(BS$3)=MONTH($B$20)),$B$22,0)</x:f>
      </x:c>
      <x:c r="BT24" s="117" t="n">
        <x:f>IF(AND(YEAR(BT$3)=YEAR($B$20),MONTH(BT$3)=MONTH($B$20)),$B$22,0)</x:f>
      </x:c>
      <x:c r="BU24" s="117" t="n">
        <x:f>IF(AND(YEAR(BU$3)=YEAR($B$20),MONTH(BU$3)=MONTH($B$20)),$B$22,0)</x:f>
      </x:c>
      <x:c r="BV24" s="117" t="n">
        <x:f>IF(AND(YEAR(BV$3)=YEAR($B$20),MONTH(BV$3)=MONTH($B$20)),$B$22,0)</x:f>
      </x:c>
      <x:c r="BW24" s="117" t="n">
        <x:f>IF(AND(YEAR(BW$3)=YEAR($B$20),MONTH(BW$3)=MONTH($B$20)),$B$22,0)</x:f>
      </x:c>
      <x:c r="BX24" s="117" t="n">
        <x:f>IF(AND(YEAR(BX$3)=YEAR($B$20),MONTH(BX$3)=MONTH($B$20)),$B$22,0)</x:f>
      </x:c>
      <x:c r="BY24" s="117" t="n">
        <x:f>IF(AND(YEAR(BY$3)=YEAR($B$20),MONTH(BY$3)=MONTH($B$20)),$B$22,0)</x:f>
      </x:c>
      <x:c r="BZ24" s="117" t="n">
        <x:f>IF(AND(YEAR(BZ$3)=YEAR($B$20),MONTH(BZ$3)=MONTH($B$20)),$B$22,0)</x:f>
      </x:c>
      <x:c r="CA24" s="117" t="n">
        <x:f>IF(AND(YEAR(CA$3)=YEAR($B$20),MONTH(CA$3)=MONTH($B$20)),$B$22,0)</x:f>
      </x:c>
      <x:c r="CB24" s="117" t="n">
        <x:f>IF(AND(YEAR(CB$3)=YEAR($B$20),MONTH(CB$3)=MONTH($B$20)),$B$22,0)</x:f>
      </x:c>
      <x:c r="CC24" s="117" t="n">
        <x:f>IF(AND(YEAR(CC$3)=YEAR($B$20),MONTH(CC$3)=MONTH($B$20)),$B$22,0)</x:f>
      </x:c>
      <x:c r="CD24" s="117" t="n">
        <x:f>IF(AND(YEAR(CD$3)=YEAR($B$20),MONTH(CD$3)=MONTH($B$20)),$B$22,0)</x:f>
      </x:c>
      <x:c r="CE24" s="117" t="n">
        <x:f>IF(AND(YEAR(CE$3)=YEAR($B$20),MONTH(CE$3)=MONTH($B$20)),$B$22,0)</x:f>
      </x:c>
      <x:c r="CF24" s="117" t="n">
        <x:f>IF(AND(YEAR(CF$3)=YEAR($B$20),MONTH(CF$3)=MONTH($B$20)),$B$22,0)</x:f>
      </x:c>
      <x:c r="CG24" s="117" t="n">
        <x:f>IF(AND(YEAR(CG$3)=YEAR($B$20),MONTH(CG$3)=MONTH($B$20)),$B$22,0)</x:f>
      </x:c>
      <x:c r="CH24" s="117" t="n">
        <x:f>IF(AND(YEAR(CH$3)=YEAR($B$20),MONTH(CH$3)=MONTH($B$20)),$B$22,0)</x:f>
      </x:c>
      <x:c r="CI24" s="117" t="n">
        <x:f>IF(AND(YEAR(CI$3)=YEAR($B$20),MONTH(CI$3)=MONTH($B$20)),$B$22,0)</x:f>
      </x:c>
      <x:c r="CJ24" s="117" t="n">
        <x:f>IF(AND(YEAR(CJ$3)=YEAR($B$20),MONTH(CJ$3)=MONTH($B$20)),$B$22,0)</x:f>
      </x:c>
      <x:c r="CK24" s="117" t="n">
        <x:f>IF(AND(YEAR(CK$3)=YEAR($B$20),MONTH(CK$3)=MONTH($B$20)),$B$22,0)</x:f>
      </x:c>
      <x:c r="CL24" s="117" t="n">
        <x:f>IF(AND(YEAR(CL$3)=YEAR($B$20),MONTH(CL$3)=MONTH($B$20)),$B$22,0)</x:f>
      </x:c>
      <x:c r="CM24" s="117" t="n">
        <x:f>IF(AND(YEAR(CM$3)=YEAR($B$20),MONTH(CM$3)=MONTH($B$20)),$B$22,0)</x:f>
      </x:c>
      <x:c r="CN24" s="117" t="n">
        <x:f>IF(AND(YEAR(CN$3)=YEAR($B$20),MONTH(CN$3)=MONTH($B$20)),$B$22,0)</x:f>
      </x:c>
      <x:c r="CO24" s="117" t="n">
        <x:f>IF(AND(YEAR(CO$3)=YEAR($B$20),MONTH(CO$3)=MONTH($B$20)),$B$22,0)</x:f>
      </x:c>
      <x:c r="CP24" s="117" t="n">
        <x:f>IF(AND(YEAR(CP$3)=YEAR($B$20),MONTH(CP$3)=MONTH($B$20)),$B$22,0)</x:f>
      </x:c>
      <x:c r="CQ24" s="117" t="n">
        <x:f>IF(AND(YEAR(CQ$3)=YEAR($B$20),MONTH(CQ$3)=MONTH($B$20)),$B$22,0)</x:f>
      </x:c>
      <x:c r="CR24" s="117" t="n">
        <x:f>IF(AND(YEAR(CR$3)=YEAR($B$20),MONTH(CR$3)=MONTH($B$20)),$B$22,0)</x:f>
      </x:c>
      <x:c r="CS24" s="117" t="n">
        <x:f>IF(AND(YEAR(CS$3)=YEAR($B$20),MONTH(CS$3)=MONTH($B$20)),$B$22,0)</x:f>
      </x:c>
      <x:c r="CT24" s="117" t="n">
        <x:f>IF(AND(YEAR(CT$3)=YEAR($B$20),MONTH(CT$3)=MONTH($B$20)),$B$22,0)</x:f>
      </x:c>
      <x:c r="CU24" s="117" t="n">
        <x:f>IF(AND(YEAR(CU$3)=YEAR($B$20),MONTH(CU$3)=MONTH($B$20)),$B$22,0)</x:f>
      </x:c>
      <x:c r="CV24" s="117" t="n">
        <x:f>IF(AND(YEAR(CV$3)=YEAR($B$20),MONTH(CV$3)=MONTH($B$20)),$B$22,0)</x:f>
      </x:c>
      <x:c r="CW24" s="117" t="n">
        <x:f>IF(AND(YEAR(CW$3)=YEAR($B$20),MONTH(CW$3)=MONTH($B$20)),$B$22,0)</x:f>
      </x:c>
      <x:c r="CX24" s="117" t="n">
        <x:f>IF(AND(YEAR(CX$3)=YEAR($B$20),MONTH(CX$3)=MONTH($B$20)),$B$22,0)</x:f>
      </x:c>
      <x:c r="CY24" s="117" t="n">
        <x:f>IF(AND(YEAR(CY$3)=YEAR($B$20),MONTH(CY$3)=MONTH($B$20)),$B$22,0)</x:f>
      </x:c>
      <x:c r="CZ24" s="117" t="n">
        <x:f>IF(AND(YEAR(CZ$3)=YEAR($B$20),MONTH(CZ$3)=MONTH($B$20)),$B$22,0)</x:f>
      </x:c>
      <x:c r="DA24" s="117" t="n">
        <x:f>IF(AND(YEAR(DA$3)=YEAR($B$20),MONTH(DA$3)=MONTH($B$20)),$B$22,0)</x:f>
      </x:c>
      <x:c r="DB24" s="117" t="n">
        <x:f>IF(AND(YEAR(DB$3)=YEAR($B$20),MONTH(DB$3)=MONTH($B$20)),$B$22,0)</x:f>
      </x:c>
      <x:c r="DC24" s="117" t="n">
        <x:f>IF(AND(YEAR(DC$3)=YEAR($B$20),MONTH(DC$3)=MONTH($B$20)),$B$22,0)</x:f>
      </x:c>
      <x:c r="DD24" s="117" t="n">
        <x:f>IF(AND(YEAR(DD$3)=YEAR($B$20),MONTH(DD$3)=MONTH($B$20)),$B$22,0)</x:f>
      </x:c>
      <x:c r="DE24" s="117" t="n">
        <x:f>IF(AND(YEAR(DE$3)=YEAR($B$20),MONTH(DE$3)=MONTH($B$20)),$B$22,0)</x:f>
      </x:c>
      <x:c r="DF24" s="117" t="n">
        <x:f>IF(AND(YEAR(DF$3)=YEAR($B$20),MONTH(DF$3)=MONTH($B$20)),$B$22,0)</x:f>
      </x:c>
      <x:c r="DG24" s="117" t="n">
        <x:f>IF(AND(YEAR(DG$3)=YEAR($B$20),MONTH(DG$3)=MONTH($B$20)),$B$22,0)</x:f>
      </x:c>
      <x:c r="DH24" s="117" t="n">
        <x:f>IF(AND(YEAR(DH$3)=YEAR($B$20),MONTH(DH$3)=MONTH($B$20)),$B$22,0)</x:f>
      </x:c>
      <x:c r="DI24" s="117" t="n">
        <x:f>IF(AND(YEAR(DI$3)=YEAR($B$20),MONTH(DI$3)=MONTH($B$20)),$B$22,0)</x:f>
      </x:c>
      <x:c r="DJ24" s="117" t="n">
        <x:f>IF(AND(YEAR(DJ$3)=YEAR($B$20),MONTH(DJ$3)=MONTH($B$20)),$B$22,0)</x:f>
      </x:c>
      <x:c r="DK24" s="117" t="n">
        <x:f>IF(AND(YEAR(DK$3)=YEAR($B$20),MONTH(DK$3)=MONTH($B$20)),$B$22,0)</x:f>
      </x:c>
      <x:c r="DL24" s="117" t="n">
        <x:f>IF(AND(YEAR(DL$3)=YEAR($B$20),MONTH(DL$3)=MONTH($B$20)),$B$22,0)</x:f>
      </x:c>
      <x:c r="DM24" s="117" t="n">
        <x:f>IF(AND(YEAR(DM$3)=YEAR($B$20),MONTH(DM$3)=MONTH($B$20)),$B$22,0)</x:f>
      </x:c>
      <x:c r="DN24" s="117" t="n">
        <x:f>IF(AND(YEAR(DN$3)=YEAR($B$20),MONTH(DN$3)=MONTH($B$20)),$B$22,0)</x:f>
      </x:c>
      <x:c r="DO24" s="117" t="n">
        <x:f>IF(AND(YEAR(DO$3)=YEAR($B$20),MONTH(DO$3)=MONTH($B$20)),$B$22,0)</x:f>
      </x:c>
      <x:c r="DP24" s="117" t="n">
        <x:f>IF(AND(YEAR(DP$3)=YEAR($B$20),MONTH(DP$3)=MONTH($B$20)),$B$22,0)</x:f>
      </x:c>
      <x:c r="DQ24" s="117" t="n">
        <x:f>IF(AND(YEAR(DQ$3)=YEAR($B$20),MONTH(DQ$3)=MONTH($B$20)),$B$22,0)</x:f>
      </x:c>
      <x:c r="DR24" s="117" t="n">
        <x:f>IF(AND(YEAR(DR$3)=YEAR($B$20),MONTH(DR$3)=MONTH($B$20)),$B$22,0)</x:f>
      </x:c>
      <x:c r="DS24" s="117" t="n">
        <x:f>IF(AND(YEAR(DS$3)=YEAR($B$20),MONTH(DS$3)=MONTH($B$20)),$B$22,0)</x:f>
      </x:c>
    </x:row>
    <x:row r="25">
      <x:c r="A25" t="str">
        <x:v>Погашение основного долга</x:v>
      </x:c>
      <x:c r="B25" s="107" t="n">
        <x:f>SUM(D25:DS25)</x:f>
      </x:c>
      <x:c r="C25" t="str">
        <x:v>млн ₽</x:v>
      </x:c>
      <x:c r="D25" s="117" t="n">
        <x:f>MIN(D23+D24,IF('Вводные'!$B$75="Единовременно",D24,IF(AND('Вводные'!$B$84="Да",YEAR(D$3)=YEAR($B$21),MONTH(D$3)=MONTH($B$21)),D23+D24,IF(AND((12*(YEAR(D$3)-YEAR($B$20))+MONTH(D$3)-MONTH($B$20))&gt;0,MOD((12*(YEAR(D$3)-YEAR($B$20))+MONTH(D$3)-MONTH($B$20)),'Вводные'!$B$78)=0,(12*(YEAR(D$3)-YEAR($B$20))+MONTH(D$3)-MONTH($B$20))&lt;='Вводные'!$B$77*12),$B$22/MAX(1,'Вводные'!$B$79),0))))</x:f>
      </x:c>
      <x:c r="E25" s="117" t="n">
        <x:f>MIN(E23+E24,IF('Вводные'!$B$75="Единовременно",E24,IF(AND('Вводные'!$B$84="Да",YEAR(E$3)=YEAR($B$21),MONTH(E$3)=MONTH($B$21)),E23+E24,IF(AND((12*(YEAR(E$3)-YEAR($B$20))+MONTH(E$3)-MONTH($B$20))&gt;0,MOD((12*(YEAR(E$3)-YEAR($B$20))+MONTH(E$3)-MONTH($B$20)),'Вводные'!$B$78)=0,(12*(YEAR(E$3)-YEAR($B$20))+MONTH(E$3)-MONTH($B$20))&lt;='Вводные'!$B$77*12),$B$22/MAX(1,'Вводные'!$B$79),0))))</x:f>
      </x:c>
      <x:c r="F25" s="117" t="n">
        <x:f>MIN(F23+F24,IF('Вводные'!$B$75="Единовременно",F24,IF(AND('Вводные'!$B$84="Да",YEAR(F$3)=YEAR($B$21),MONTH(F$3)=MONTH($B$21)),F23+F24,IF(AND((12*(YEAR(F$3)-YEAR($B$20))+MONTH(F$3)-MONTH($B$20))&gt;0,MOD((12*(YEAR(F$3)-YEAR($B$20))+MONTH(F$3)-MONTH($B$20)),'Вводные'!$B$78)=0,(12*(YEAR(F$3)-YEAR($B$20))+MONTH(F$3)-MONTH($B$20))&lt;='Вводные'!$B$77*12),$B$22/MAX(1,'Вводные'!$B$79),0))))</x:f>
      </x:c>
      <x:c r="G25" s="117" t="n">
        <x:f>MIN(G23+G24,IF('Вводные'!$B$75="Единовременно",G24,IF(AND('Вводные'!$B$84="Да",YEAR(G$3)=YEAR($B$21),MONTH(G$3)=MONTH($B$21)),G23+G24,IF(AND((12*(YEAR(G$3)-YEAR($B$20))+MONTH(G$3)-MONTH($B$20))&gt;0,MOD((12*(YEAR(G$3)-YEAR($B$20))+MONTH(G$3)-MONTH($B$20)),'Вводные'!$B$78)=0,(12*(YEAR(G$3)-YEAR($B$20))+MONTH(G$3)-MONTH($B$20))&lt;='Вводные'!$B$77*12),$B$22/MAX(1,'Вводные'!$B$79),0))))</x:f>
      </x:c>
      <x:c r="H25" s="117" t="n">
        <x:f>MIN(H23+H24,IF('Вводные'!$B$75="Единовременно",H24,IF(AND('Вводные'!$B$84="Да",YEAR(H$3)=YEAR($B$21),MONTH(H$3)=MONTH($B$21)),H23+H24,IF(AND((12*(YEAR(H$3)-YEAR($B$20))+MONTH(H$3)-MONTH($B$20))&gt;0,MOD((12*(YEAR(H$3)-YEAR($B$20))+MONTH(H$3)-MONTH($B$20)),'Вводные'!$B$78)=0,(12*(YEAR(H$3)-YEAR($B$20))+MONTH(H$3)-MONTH($B$20))&lt;='Вводные'!$B$77*12),$B$22/MAX(1,'Вводные'!$B$79),0))))</x:f>
      </x:c>
      <x:c r="I25" s="117" t="n">
        <x:f>MIN(I23+I24,IF('Вводные'!$B$75="Единовременно",I24,IF(AND('Вводные'!$B$84="Да",YEAR(I$3)=YEAR($B$21),MONTH(I$3)=MONTH($B$21)),I23+I24,IF(AND((12*(YEAR(I$3)-YEAR($B$20))+MONTH(I$3)-MONTH($B$20))&gt;0,MOD((12*(YEAR(I$3)-YEAR($B$20))+MONTH(I$3)-MONTH($B$20)),'Вводные'!$B$78)=0,(12*(YEAR(I$3)-YEAR($B$20))+MONTH(I$3)-MONTH($B$20))&lt;='Вводные'!$B$77*12),$B$22/MAX(1,'Вводные'!$B$79),0))))</x:f>
      </x:c>
      <x:c r="J25" s="117" t="n">
        <x:f>MIN(J23+J24,IF('Вводные'!$B$75="Единовременно",J24,IF(AND('Вводные'!$B$84="Да",YEAR(J$3)=YEAR($B$21),MONTH(J$3)=MONTH($B$21)),J23+J24,IF(AND((12*(YEAR(J$3)-YEAR($B$20))+MONTH(J$3)-MONTH($B$20))&gt;0,MOD((12*(YEAR(J$3)-YEAR($B$20))+MONTH(J$3)-MONTH($B$20)),'Вводные'!$B$78)=0,(12*(YEAR(J$3)-YEAR($B$20))+MONTH(J$3)-MONTH($B$20))&lt;='Вводные'!$B$77*12),$B$22/MAX(1,'Вводные'!$B$79),0))))</x:f>
      </x:c>
      <x:c r="K25" s="117" t="n">
        <x:f>MIN(K23+K24,IF('Вводные'!$B$75="Единовременно",K24,IF(AND('Вводные'!$B$84="Да",YEAR(K$3)=YEAR($B$21),MONTH(K$3)=MONTH($B$21)),K23+K24,IF(AND((12*(YEAR(K$3)-YEAR($B$20))+MONTH(K$3)-MONTH($B$20))&gt;0,MOD((12*(YEAR(K$3)-YEAR($B$20))+MONTH(K$3)-MONTH($B$20)),'Вводные'!$B$78)=0,(12*(YEAR(K$3)-YEAR($B$20))+MONTH(K$3)-MONTH($B$20))&lt;='Вводные'!$B$77*12),$B$22/MAX(1,'Вводные'!$B$79),0))))</x:f>
      </x:c>
      <x:c r="L25" s="117" t="n">
        <x:f>MIN(L23+L24,IF('Вводные'!$B$75="Единовременно",L24,IF(AND('Вводные'!$B$84="Да",YEAR(L$3)=YEAR($B$21),MONTH(L$3)=MONTH($B$21)),L23+L24,IF(AND((12*(YEAR(L$3)-YEAR($B$20))+MONTH(L$3)-MONTH($B$20))&gt;0,MOD((12*(YEAR(L$3)-YEAR($B$20))+MONTH(L$3)-MONTH($B$20)),'Вводные'!$B$78)=0,(12*(YEAR(L$3)-YEAR($B$20))+MONTH(L$3)-MONTH($B$20))&lt;='Вводные'!$B$77*12),$B$22/MAX(1,'Вводные'!$B$79),0))))</x:f>
      </x:c>
      <x:c r="M25" s="117" t="n">
        <x:f>MIN(M23+M24,IF('Вводные'!$B$75="Единовременно",M24,IF(AND('Вводные'!$B$84="Да",YEAR(M$3)=YEAR($B$21),MONTH(M$3)=MONTH($B$21)),M23+M24,IF(AND((12*(YEAR(M$3)-YEAR($B$20))+MONTH(M$3)-MONTH($B$20))&gt;0,MOD((12*(YEAR(M$3)-YEAR($B$20))+MONTH(M$3)-MONTH($B$20)),'Вводные'!$B$78)=0,(12*(YEAR(M$3)-YEAR($B$20))+MONTH(M$3)-MONTH($B$20))&lt;='Вводные'!$B$77*12),$B$22/MAX(1,'Вводные'!$B$79),0))))</x:f>
      </x:c>
      <x:c r="N25" s="117" t="n">
        <x:f>MIN(N23+N24,IF('Вводные'!$B$75="Единовременно",N24,IF(AND('Вводные'!$B$84="Да",YEAR(N$3)=YEAR($B$21),MONTH(N$3)=MONTH($B$21)),N23+N24,IF(AND((12*(YEAR(N$3)-YEAR($B$20))+MONTH(N$3)-MONTH($B$20))&gt;0,MOD((12*(YEAR(N$3)-YEAR($B$20))+MONTH(N$3)-MONTH($B$20)),'Вводные'!$B$78)=0,(12*(YEAR(N$3)-YEAR($B$20))+MONTH(N$3)-MONTH($B$20))&lt;='Вводные'!$B$77*12),$B$22/MAX(1,'Вводные'!$B$79),0))))</x:f>
      </x:c>
      <x:c r="O25" s="117" t="n">
        <x:f>MIN(O23+O24,IF('Вводные'!$B$75="Единовременно",O24,IF(AND('Вводные'!$B$84="Да",YEAR(O$3)=YEAR($B$21),MONTH(O$3)=MONTH($B$21)),O23+O24,IF(AND((12*(YEAR(O$3)-YEAR($B$20))+MONTH(O$3)-MONTH($B$20))&gt;0,MOD((12*(YEAR(O$3)-YEAR($B$20))+MONTH(O$3)-MONTH($B$20)),'Вводные'!$B$78)=0,(12*(YEAR(O$3)-YEAR($B$20))+MONTH(O$3)-MONTH($B$20))&lt;='Вводные'!$B$77*12),$B$22/MAX(1,'Вводные'!$B$79),0))))</x:f>
      </x:c>
      <x:c r="P25" s="117" t="n">
        <x:f>MIN(P23+P24,IF('Вводные'!$B$75="Единовременно",P24,IF(AND('Вводные'!$B$84="Да",YEAR(P$3)=YEAR($B$21),MONTH(P$3)=MONTH($B$21)),P23+P24,IF(AND((12*(YEAR(P$3)-YEAR($B$20))+MONTH(P$3)-MONTH($B$20))&gt;0,MOD((12*(YEAR(P$3)-YEAR($B$20))+MONTH(P$3)-MONTH($B$20)),'Вводные'!$B$78)=0,(12*(YEAR(P$3)-YEAR($B$20))+MONTH(P$3)-MONTH($B$20))&lt;='Вводные'!$B$77*12),$B$22/MAX(1,'Вводные'!$B$79),0))))</x:f>
      </x:c>
      <x:c r="Q25" s="117" t="n">
        <x:f>MIN(Q23+Q24,IF('Вводные'!$B$75="Единовременно",Q24,IF(AND('Вводные'!$B$84="Да",YEAR(Q$3)=YEAR($B$21),MONTH(Q$3)=MONTH($B$21)),Q23+Q24,IF(AND((12*(YEAR(Q$3)-YEAR($B$20))+MONTH(Q$3)-MONTH($B$20))&gt;0,MOD((12*(YEAR(Q$3)-YEAR($B$20))+MONTH(Q$3)-MONTH($B$20)),'Вводные'!$B$78)=0,(12*(YEAR(Q$3)-YEAR($B$20))+MONTH(Q$3)-MONTH($B$20))&lt;='Вводные'!$B$77*12),$B$22/MAX(1,'Вводные'!$B$79),0))))</x:f>
      </x:c>
      <x:c r="R25" s="117" t="n">
        <x:f>MIN(R23+R24,IF('Вводные'!$B$75="Единовременно",R24,IF(AND('Вводные'!$B$84="Да",YEAR(R$3)=YEAR($B$21),MONTH(R$3)=MONTH($B$21)),R23+R24,IF(AND((12*(YEAR(R$3)-YEAR($B$20))+MONTH(R$3)-MONTH($B$20))&gt;0,MOD((12*(YEAR(R$3)-YEAR($B$20))+MONTH(R$3)-MONTH($B$20)),'Вводные'!$B$78)=0,(12*(YEAR(R$3)-YEAR($B$20))+MONTH(R$3)-MONTH($B$20))&lt;='Вводные'!$B$77*12),$B$22/MAX(1,'Вводные'!$B$79),0))))</x:f>
      </x:c>
      <x:c r="S25" s="117" t="n">
        <x:f>MIN(S23+S24,IF('Вводные'!$B$75="Единовременно",S24,IF(AND('Вводные'!$B$84="Да",YEAR(S$3)=YEAR($B$21),MONTH(S$3)=MONTH($B$21)),S23+S24,IF(AND((12*(YEAR(S$3)-YEAR($B$20))+MONTH(S$3)-MONTH($B$20))&gt;0,MOD((12*(YEAR(S$3)-YEAR($B$20))+MONTH(S$3)-MONTH($B$20)),'Вводные'!$B$78)=0,(12*(YEAR(S$3)-YEAR($B$20))+MONTH(S$3)-MONTH($B$20))&lt;='Вводные'!$B$77*12),$B$22/MAX(1,'Вводные'!$B$79),0))))</x:f>
      </x:c>
      <x:c r="T25" s="117" t="n">
        <x:f>MIN(T23+T24,IF('Вводные'!$B$75="Единовременно",T24,IF(AND('Вводные'!$B$84="Да",YEAR(T$3)=YEAR($B$21),MONTH(T$3)=MONTH($B$21)),T23+T24,IF(AND((12*(YEAR(T$3)-YEAR($B$20))+MONTH(T$3)-MONTH($B$20))&gt;0,MOD((12*(YEAR(T$3)-YEAR($B$20))+MONTH(T$3)-MONTH($B$20)),'Вводные'!$B$78)=0,(12*(YEAR(T$3)-YEAR($B$20))+MONTH(T$3)-MONTH($B$20))&lt;='Вводные'!$B$77*12),$B$22/MAX(1,'Вводные'!$B$79),0))))</x:f>
      </x:c>
      <x:c r="U25" s="117" t="n">
        <x:f>MIN(U23+U24,IF('Вводные'!$B$75="Единовременно",U24,IF(AND('Вводные'!$B$84="Да",YEAR(U$3)=YEAR($B$21),MONTH(U$3)=MONTH($B$21)),U23+U24,IF(AND((12*(YEAR(U$3)-YEAR($B$20))+MONTH(U$3)-MONTH($B$20))&gt;0,MOD((12*(YEAR(U$3)-YEAR($B$20))+MONTH(U$3)-MONTH($B$20)),'Вводные'!$B$78)=0,(12*(YEAR(U$3)-YEAR($B$20))+MONTH(U$3)-MONTH($B$20))&lt;='Вводные'!$B$77*12),$B$22/MAX(1,'Вводные'!$B$79),0))))</x:f>
      </x:c>
      <x:c r="V25" s="117" t="n">
        <x:f>MIN(V23+V24,IF('Вводные'!$B$75="Единовременно",V24,IF(AND('Вводные'!$B$84="Да",YEAR(V$3)=YEAR($B$21),MONTH(V$3)=MONTH($B$21)),V23+V24,IF(AND((12*(YEAR(V$3)-YEAR($B$20))+MONTH(V$3)-MONTH($B$20))&gt;0,MOD((12*(YEAR(V$3)-YEAR($B$20))+MONTH(V$3)-MONTH($B$20)),'Вводные'!$B$78)=0,(12*(YEAR(V$3)-YEAR($B$20))+MONTH(V$3)-MONTH($B$20))&lt;='Вводные'!$B$77*12),$B$22/MAX(1,'Вводные'!$B$79),0))))</x:f>
      </x:c>
      <x:c r="W25" s="117" t="n">
        <x:f>MIN(W23+W24,IF('Вводные'!$B$75="Единовременно",W24,IF(AND('Вводные'!$B$84="Да",YEAR(W$3)=YEAR($B$21),MONTH(W$3)=MONTH($B$21)),W23+W24,IF(AND((12*(YEAR(W$3)-YEAR($B$20))+MONTH(W$3)-MONTH($B$20))&gt;0,MOD((12*(YEAR(W$3)-YEAR($B$20))+MONTH(W$3)-MONTH($B$20)),'Вводные'!$B$78)=0,(12*(YEAR(W$3)-YEAR($B$20))+MONTH(W$3)-MONTH($B$20))&lt;='Вводные'!$B$77*12),$B$22/MAX(1,'Вводные'!$B$79),0))))</x:f>
      </x:c>
      <x:c r="X25" s="117" t="n">
        <x:f>MIN(X23+X24,IF('Вводные'!$B$75="Единовременно",X24,IF(AND('Вводные'!$B$84="Да",YEAR(X$3)=YEAR($B$21),MONTH(X$3)=MONTH($B$21)),X23+X24,IF(AND((12*(YEAR(X$3)-YEAR($B$20))+MONTH(X$3)-MONTH($B$20))&gt;0,MOD((12*(YEAR(X$3)-YEAR($B$20))+MONTH(X$3)-MONTH($B$20)),'Вводные'!$B$78)=0,(12*(YEAR(X$3)-YEAR($B$20))+MONTH(X$3)-MONTH($B$20))&lt;='Вводные'!$B$77*12),$B$22/MAX(1,'Вводные'!$B$79),0))))</x:f>
      </x:c>
      <x:c r="Y25" s="117" t="n">
        <x:f>MIN(Y23+Y24,IF('Вводные'!$B$75="Единовременно",Y24,IF(AND('Вводные'!$B$84="Да",YEAR(Y$3)=YEAR($B$21),MONTH(Y$3)=MONTH($B$21)),Y23+Y24,IF(AND((12*(YEAR(Y$3)-YEAR($B$20))+MONTH(Y$3)-MONTH($B$20))&gt;0,MOD((12*(YEAR(Y$3)-YEAR($B$20))+MONTH(Y$3)-MONTH($B$20)),'Вводные'!$B$78)=0,(12*(YEAR(Y$3)-YEAR($B$20))+MONTH(Y$3)-MONTH($B$20))&lt;='Вводные'!$B$77*12),$B$22/MAX(1,'Вводные'!$B$79),0))))</x:f>
      </x:c>
      <x:c r="Z25" s="117" t="n">
        <x:f>MIN(Z23+Z24,IF('Вводные'!$B$75="Единовременно",Z24,IF(AND('Вводные'!$B$84="Да",YEAR(Z$3)=YEAR($B$21),MONTH(Z$3)=MONTH($B$21)),Z23+Z24,IF(AND((12*(YEAR(Z$3)-YEAR($B$20))+MONTH(Z$3)-MONTH($B$20))&gt;0,MOD((12*(YEAR(Z$3)-YEAR($B$20))+MONTH(Z$3)-MONTH($B$20)),'Вводные'!$B$78)=0,(12*(YEAR(Z$3)-YEAR($B$20))+MONTH(Z$3)-MONTH($B$20))&lt;='Вводные'!$B$77*12),$B$22/MAX(1,'Вводные'!$B$79),0))))</x:f>
      </x:c>
      <x:c r="AA25" s="117" t="n">
        <x:f>MIN(AA23+AA24,IF('Вводные'!$B$75="Единовременно",AA24,IF(AND('Вводные'!$B$84="Да",YEAR(AA$3)=YEAR($B$21),MONTH(AA$3)=MONTH($B$21)),AA23+AA24,IF(AND((12*(YEAR(AA$3)-YEAR($B$20))+MONTH(AA$3)-MONTH($B$20))&gt;0,MOD((12*(YEAR(AA$3)-YEAR($B$20))+MONTH(AA$3)-MONTH($B$20)),'Вводные'!$B$78)=0,(12*(YEAR(AA$3)-YEAR($B$20))+MONTH(AA$3)-MONTH($B$20))&lt;='Вводные'!$B$77*12),$B$22/MAX(1,'Вводные'!$B$79),0))))</x:f>
      </x:c>
      <x:c r="AB25" s="117" t="n">
        <x:f>MIN(AB23+AB24,IF('Вводные'!$B$75="Единовременно",AB24,IF(AND('Вводные'!$B$84="Да",YEAR(AB$3)=YEAR($B$21),MONTH(AB$3)=MONTH($B$21)),AB23+AB24,IF(AND((12*(YEAR(AB$3)-YEAR($B$20))+MONTH(AB$3)-MONTH($B$20))&gt;0,MOD((12*(YEAR(AB$3)-YEAR($B$20))+MONTH(AB$3)-MONTH($B$20)),'Вводные'!$B$78)=0,(12*(YEAR(AB$3)-YEAR($B$20))+MONTH(AB$3)-MONTH($B$20))&lt;='Вводные'!$B$77*12),$B$22/MAX(1,'Вводные'!$B$79),0))))</x:f>
      </x:c>
      <x:c r="AC25" s="117" t="n">
        <x:f>MIN(AC23+AC24,IF('Вводные'!$B$75="Единовременно",AC24,IF(AND('Вводные'!$B$84="Да",YEAR(AC$3)=YEAR($B$21),MONTH(AC$3)=MONTH($B$21)),AC23+AC24,IF(AND((12*(YEAR(AC$3)-YEAR($B$20))+MONTH(AC$3)-MONTH($B$20))&gt;0,MOD((12*(YEAR(AC$3)-YEAR($B$20))+MONTH(AC$3)-MONTH($B$20)),'Вводные'!$B$78)=0,(12*(YEAR(AC$3)-YEAR($B$20))+MONTH(AC$3)-MONTH($B$20))&lt;='Вводные'!$B$77*12),$B$22/MAX(1,'Вводные'!$B$79),0))))</x:f>
      </x:c>
      <x:c r="AD25" s="117" t="n">
        <x:f>MIN(AD23+AD24,IF('Вводные'!$B$75="Единовременно",AD24,IF(AND('Вводные'!$B$84="Да",YEAR(AD$3)=YEAR($B$21),MONTH(AD$3)=MONTH($B$21)),AD23+AD24,IF(AND((12*(YEAR(AD$3)-YEAR($B$20))+MONTH(AD$3)-MONTH($B$20))&gt;0,MOD((12*(YEAR(AD$3)-YEAR($B$20))+MONTH(AD$3)-MONTH($B$20)),'Вводные'!$B$78)=0,(12*(YEAR(AD$3)-YEAR($B$20))+MONTH(AD$3)-MONTH($B$20))&lt;='Вводные'!$B$77*12),$B$22/MAX(1,'Вводные'!$B$79),0))))</x:f>
      </x:c>
      <x:c r="AE25" s="117" t="n">
        <x:f>MIN(AE23+AE24,IF('Вводные'!$B$75="Единовременно",AE24,IF(AND('Вводные'!$B$84="Да",YEAR(AE$3)=YEAR($B$21),MONTH(AE$3)=MONTH($B$21)),AE23+AE24,IF(AND((12*(YEAR(AE$3)-YEAR($B$20))+MONTH(AE$3)-MONTH($B$20))&gt;0,MOD((12*(YEAR(AE$3)-YEAR($B$20))+MONTH(AE$3)-MONTH($B$20)),'Вводные'!$B$78)=0,(12*(YEAR(AE$3)-YEAR($B$20))+MONTH(AE$3)-MONTH($B$20))&lt;='Вводные'!$B$77*12),$B$22/MAX(1,'Вводные'!$B$79),0))))</x:f>
      </x:c>
      <x:c r="AF25" s="117" t="n">
        <x:f>MIN(AF23+AF24,IF('Вводные'!$B$75="Единовременно",AF24,IF(AND('Вводные'!$B$84="Да",YEAR(AF$3)=YEAR($B$21),MONTH(AF$3)=MONTH($B$21)),AF23+AF24,IF(AND((12*(YEAR(AF$3)-YEAR($B$20))+MONTH(AF$3)-MONTH($B$20))&gt;0,MOD((12*(YEAR(AF$3)-YEAR($B$20))+MONTH(AF$3)-MONTH($B$20)),'Вводные'!$B$78)=0,(12*(YEAR(AF$3)-YEAR($B$20))+MONTH(AF$3)-MONTH($B$20))&lt;='Вводные'!$B$77*12),$B$22/MAX(1,'Вводные'!$B$79),0))))</x:f>
      </x:c>
      <x:c r="AG25" s="117" t="n">
        <x:f>MIN(AG23+AG24,IF('Вводные'!$B$75="Единовременно",AG24,IF(AND('Вводные'!$B$84="Да",YEAR(AG$3)=YEAR($B$21),MONTH(AG$3)=MONTH($B$21)),AG23+AG24,IF(AND((12*(YEAR(AG$3)-YEAR($B$20))+MONTH(AG$3)-MONTH($B$20))&gt;0,MOD((12*(YEAR(AG$3)-YEAR($B$20))+MONTH(AG$3)-MONTH($B$20)),'Вводные'!$B$78)=0,(12*(YEAR(AG$3)-YEAR($B$20))+MONTH(AG$3)-MONTH($B$20))&lt;='Вводные'!$B$77*12),$B$22/MAX(1,'Вводные'!$B$79),0))))</x:f>
      </x:c>
      <x:c r="AH25" s="117" t="n">
        <x:f>MIN(AH23+AH24,IF('Вводные'!$B$75="Единовременно",AH24,IF(AND('Вводные'!$B$84="Да",YEAR(AH$3)=YEAR($B$21),MONTH(AH$3)=MONTH($B$21)),AH23+AH24,IF(AND((12*(YEAR(AH$3)-YEAR($B$20))+MONTH(AH$3)-MONTH($B$20))&gt;0,MOD((12*(YEAR(AH$3)-YEAR($B$20))+MONTH(AH$3)-MONTH($B$20)),'Вводные'!$B$78)=0,(12*(YEAR(AH$3)-YEAR($B$20))+MONTH(AH$3)-MONTH($B$20))&lt;='Вводные'!$B$77*12),$B$22/MAX(1,'Вводные'!$B$79),0))))</x:f>
      </x:c>
      <x:c r="AI25" s="117" t="n">
        <x:f>MIN(AI23+AI24,IF('Вводные'!$B$75="Единовременно",AI24,IF(AND('Вводные'!$B$84="Да",YEAR(AI$3)=YEAR($B$21),MONTH(AI$3)=MONTH($B$21)),AI23+AI24,IF(AND((12*(YEAR(AI$3)-YEAR($B$20))+MONTH(AI$3)-MONTH($B$20))&gt;0,MOD((12*(YEAR(AI$3)-YEAR($B$20))+MONTH(AI$3)-MONTH($B$20)),'Вводные'!$B$78)=0,(12*(YEAR(AI$3)-YEAR($B$20))+MONTH(AI$3)-MONTH($B$20))&lt;='Вводные'!$B$77*12),$B$22/MAX(1,'Вводные'!$B$79),0))))</x:f>
      </x:c>
      <x:c r="AJ25" s="117" t="n">
        <x:f>MIN(AJ23+AJ24,IF('Вводные'!$B$75="Единовременно",AJ24,IF(AND('Вводные'!$B$84="Да",YEAR(AJ$3)=YEAR($B$21),MONTH(AJ$3)=MONTH($B$21)),AJ23+AJ24,IF(AND((12*(YEAR(AJ$3)-YEAR($B$20))+MONTH(AJ$3)-MONTH($B$20))&gt;0,MOD((12*(YEAR(AJ$3)-YEAR($B$20))+MONTH(AJ$3)-MONTH($B$20)),'Вводные'!$B$78)=0,(12*(YEAR(AJ$3)-YEAR($B$20))+MONTH(AJ$3)-MONTH($B$20))&lt;='Вводные'!$B$77*12),$B$22/MAX(1,'Вводные'!$B$79),0))))</x:f>
      </x:c>
      <x:c r="AK25" s="117" t="n">
        <x:f>MIN(AK23+AK24,IF('Вводные'!$B$75="Единовременно",AK24,IF(AND('Вводные'!$B$84="Да",YEAR(AK$3)=YEAR($B$21),MONTH(AK$3)=MONTH($B$21)),AK23+AK24,IF(AND((12*(YEAR(AK$3)-YEAR($B$20))+MONTH(AK$3)-MONTH($B$20))&gt;0,MOD((12*(YEAR(AK$3)-YEAR($B$20))+MONTH(AK$3)-MONTH($B$20)),'Вводные'!$B$78)=0,(12*(YEAR(AK$3)-YEAR($B$20))+MONTH(AK$3)-MONTH($B$20))&lt;='Вводные'!$B$77*12),$B$22/MAX(1,'Вводные'!$B$79),0))))</x:f>
      </x:c>
      <x:c r="AL25" s="117" t="n">
        <x:f>MIN(AL23+AL24,IF('Вводные'!$B$75="Единовременно",AL24,IF(AND('Вводные'!$B$84="Да",YEAR(AL$3)=YEAR($B$21),MONTH(AL$3)=MONTH($B$21)),AL23+AL24,IF(AND((12*(YEAR(AL$3)-YEAR($B$20))+MONTH(AL$3)-MONTH($B$20))&gt;0,MOD((12*(YEAR(AL$3)-YEAR($B$20))+MONTH(AL$3)-MONTH($B$20)),'Вводные'!$B$78)=0,(12*(YEAR(AL$3)-YEAR($B$20))+MONTH(AL$3)-MONTH($B$20))&lt;='Вводные'!$B$77*12),$B$22/MAX(1,'Вводные'!$B$79),0))))</x:f>
      </x:c>
      <x:c r="AM25" s="117" t="n">
        <x:f>MIN(AM23+AM24,IF('Вводные'!$B$75="Единовременно",AM24,IF(AND('Вводные'!$B$84="Да",YEAR(AM$3)=YEAR($B$21),MONTH(AM$3)=MONTH($B$21)),AM23+AM24,IF(AND((12*(YEAR(AM$3)-YEAR($B$20))+MONTH(AM$3)-MONTH($B$20))&gt;0,MOD((12*(YEAR(AM$3)-YEAR($B$20))+MONTH(AM$3)-MONTH($B$20)),'Вводные'!$B$78)=0,(12*(YEAR(AM$3)-YEAR($B$20))+MONTH(AM$3)-MONTH($B$20))&lt;='Вводные'!$B$77*12),$B$22/MAX(1,'Вводные'!$B$79),0))))</x:f>
      </x:c>
      <x:c r="AN25" s="117" t="n">
        <x:f>MIN(AN23+AN24,IF('Вводные'!$B$75="Единовременно",AN24,IF(AND('Вводные'!$B$84="Да",YEAR(AN$3)=YEAR($B$21),MONTH(AN$3)=MONTH($B$21)),AN23+AN24,IF(AND((12*(YEAR(AN$3)-YEAR($B$20))+MONTH(AN$3)-MONTH($B$20))&gt;0,MOD((12*(YEAR(AN$3)-YEAR($B$20))+MONTH(AN$3)-MONTH($B$20)),'Вводные'!$B$78)=0,(12*(YEAR(AN$3)-YEAR($B$20))+MONTH(AN$3)-MONTH($B$20))&lt;='Вводные'!$B$77*12),$B$22/MAX(1,'Вводные'!$B$79),0))))</x:f>
      </x:c>
      <x:c r="AO25" s="117" t="n">
        <x:f>MIN(AO23+AO24,IF('Вводные'!$B$75="Единовременно",AO24,IF(AND('Вводные'!$B$84="Да",YEAR(AO$3)=YEAR($B$21),MONTH(AO$3)=MONTH($B$21)),AO23+AO24,IF(AND((12*(YEAR(AO$3)-YEAR($B$20))+MONTH(AO$3)-MONTH($B$20))&gt;0,MOD((12*(YEAR(AO$3)-YEAR($B$20))+MONTH(AO$3)-MONTH($B$20)),'Вводные'!$B$78)=0,(12*(YEAR(AO$3)-YEAR($B$20))+MONTH(AO$3)-MONTH($B$20))&lt;='Вводные'!$B$77*12),$B$22/MAX(1,'Вводные'!$B$79),0))))</x:f>
      </x:c>
      <x:c r="AP25" s="117" t="n">
        <x:f>MIN(AP23+AP24,IF('Вводные'!$B$75="Единовременно",AP24,IF(AND('Вводные'!$B$84="Да",YEAR(AP$3)=YEAR($B$21),MONTH(AP$3)=MONTH($B$21)),AP23+AP24,IF(AND((12*(YEAR(AP$3)-YEAR($B$20))+MONTH(AP$3)-MONTH($B$20))&gt;0,MOD((12*(YEAR(AP$3)-YEAR($B$20))+MONTH(AP$3)-MONTH($B$20)),'Вводные'!$B$78)=0,(12*(YEAR(AP$3)-YEAR($B$20))+MONTH(AP$3)-MONTH($B$20))&lt;='Вводные'!$B$77*12),$B$22/MAX(1,'Вводные'!$B$79),0))))</x:f>
      </x:c>
      <x:c r="AQ25" s="117" t="n">
        <x:f>MIN(AQ23+AQ24,IF('Вводные'!$B$75="Единовременно",AQ24,IF(AND('Вводные'!$B$84="Да",YEAR(AQ$3)=YEAR($B$21),MONTH(AQ$3)=MONTH($B$21)),AQ23+AQ24,IF(AND((12*(YEAR(AQ$3)-YEAR($B$20))+MONTH(AQ$3)-MONTH($B$20))&gt;0,MOD((12*(YEAR(AQ$3)-YEAR($B$20))+MONTH(AQ$3)-MONTH($B$20)),'Вводные'!$B$78)=0,(12*(YEAR(AQ$3)-YEAR($B$20))+MONTH(AQ$3)-MONTH($B$20))&lt;='Вводные'!$B$77*12),$B$22/MAX(1,'Вводные'!$B$79),0))))</x:f>
      </x:c>
      <x:c r="AR25" s="117" t="n">
        <x:f>MIN(AR23+AR24,IF('Вводные'!$B$75="Единовременно",AR24,IF(AND('Вводные'!$B$84="Да",YEAR(AR$3)=YEAR($B$21),MONTH(AR$3)=MONTH($B$21)),AR23+AR24,IF(AND((12*(YEAR(AR$3)-YEAR($B$20))+MONTH(AR$3)-MONTH($B$20))&gt;0,MOD((12*(YEAR(AR$3)-YEAR($B$20))+MONTH(AR$3)-MONTH($B$20)),'Вводные'!$B$78)=0,(12*(YEAR(AR$3)-YEAR($B$20))+MONTH(AR$3)-MONTH($B$20))&lt;='Вводные'!$B$77*12),$B$22/MAX(1,'Вводные'!$B$79),0))))</x:f>
      </x:c>
      <x:c r="AS25" s="117" t="n">
        <x:f>MIN(AS23+AS24,IF('Вводные'!$B$75="Единовременно",AS24,IF(AND('Вводные'!$B$84="Да",YEAR(AS$3)=YEAR($B$21),MONTH(AS$3)=MONTH($B$21)),AS23+AS24,IF(AND((12*(YEAR(AS$3)-YEAR($B$20))+MONTH(AS$3)-MONTH($B$20))&gt;0,MOD((12*(YEAR(AS$3)-YEAR($B$20))+MONTH(AS$3)-MONTH($B$20)),'Вводные'!$B$78)=0,(12*(YEAR(AS$3)-YEAR($B$20))+MONTH(AS$3)-MONTH($B$20))&lt;='Вводные'!$B$77*12),$B$22/MAX(1,'Вводные'!$B$79),0))))</x:f>
      </x:c>
      <x:c r="AT25" s="117" t="n">
        <x:f>MIN(AT23+AT24,IF('Вводные'!$B$75="Единовременно",AT24,IF(AND('Вводные'!$B$84="Да",YEAR(AT$3)=YEAR($B$21),MONTH(AT$3)=MONTH($B$21)),AT23+AT24,IF(AND((12*(YEAR(AT$3)-YEAR($B$20))+MONTH(AT$3)-MONTH($B$20))&gt;0,MOD((12*(YEAR(AT$3)-YEAR($B$20))+MONTH(AT$3)-MONTH($B$20)),'Вводные'!$B$78)=0,(12*(YEAR(AT$3)-YEAR($B$20))+MONTH(AT$3)-MONTH($B$20))&lt;='Вводные'!$B$77*12),$B$22/MAX(1,'Вводные'!$B$79),0))))</x:f>
      </x:c>
      <x:c r="AU25" s="117" t="n">
        <x:f>MIN(AU23+AU24,IF('Вводные'!$B$75="Единовременно",AU24,IF(AND('Вводные'!$B$84="Да",YEAR(AU$3)=YEAR($B$21),MONTH(AU$3)=MONTH($B$21)),AU23+AU24,IF(AND((12*(YEAR(AU$3)-YEAR($B$20))+MONTH(AU$3)-MONTH($B$20))&gt;0,MOD((12*(YEAR(AU$3)-YEAR($B$20))+MONTH(AU$3)-MONTH($B$20)),'Вводные'!$B$78)=0,(12*(YEAR(AU$3)-YEAR($B$20))+MONTH(AU$3)-MONTH($B$20))&lt;='Вводные'!$B$77*12),$B$22/MAX(1,'Вводные'!$B$79),0))))</x:f>
      </x:c>
      <x:c r="AV25" s="117" t="n">
        <x:f>MIN(AV23+AV24,IF('Вводные'!$B$75="Единовременно",AV24,IF(AND('Вводные'!$B$84="Да",YEAR(AV$3)=YEAR($B$21),MONTH(AV$3)=MONTH($B$21)),AV23+AV24,IF(AND((12*(YEAR(AV$3)-YEAR($B$20))+MONTH(AV$3)-MONTH($B$20))&gt;0,MOD((12*(YEAR(AV$3)-YEAR($B$20))+MONTH(AV$3)-MONTH($B$20)),'Вводные'!$B$78)=0,(12*(YEAR(AV$3)-YEAR($B$20))+MONTH(AV$3)-MONTH($B$20))&lt;='Вводные'!$B$77*12),$B$22/MAX(1,'Вводные'!$B$79),0))))</x:f>
      </x:c>
      <x:c r="AW25" s="117" t="n">
        <x:f>MIN(AW23+AW24,IF('Вводные'!$B$75="Единовременно",AW24,IF(AND('Вводные'!$B$84="Да",YEAR(AW$3)=YEAR($B$21),MONTH(AW$3)=MONTH($B$21)),AW23+AW24,IF(AND((12*(YEAR(AW$3)-YEAR($B$20))+MONTH(AW$3)-MONTH($B$20))&gt;0,MOD((12*(YEAR(AW$3)-YEAR($B$20))+MONTH(AW$3)-MONTH($B$20)),'Вводные'!$B$78)=0,(12*(YEAR(AW$3)-YEAR($B$20))+MONTH(AW$3)-MONTH($B$20))&lt;='Вводные'!$B$77*12),$B$22/MAX(1,'Вводные'!$B$79),0))))</x:f>
      </x:c>
      <x:c r="AX25" s="117" t="n">
        <x:f>MIN(AX23+AX24,IF('Вводные'!$B$75="Единовременно",AX24,IF(AND('Вводные'!$B$84="Да",YEAR(AX$3)=YEAR($B$21),MONTH(AX$3)=MONTH($B$21)),AX23+AX24,IF(AND((12*(YEAR(AX$3)-YEAR($B$20))+MONTH(AX$3)-MONTH($B$20))&gt;0,MOD((12*(YEAR(AX$3)-YEAR($B$20))+MONTH(AX$3)-MONTH($B$20)),'Вводные'!$B$78)=0,(12*(YEAR(AX$3)-YEAR($B$20))+MONTH(AX$3)-MONTH($B$20))&lt;='Вводные'!$B$77*12),$B$22/MAX(1,'Вводные'!$B$79),0))))</x:f>
      </x:c>
      <x:c r="AY25" s="117" t="n">
        <x:f>MIN(AY23+AY24,IF('Вводные'!$B$75="Единовременно",AY24,IF(AND('Вводные'!$B$84="Да",YEAR(AY$3)=YEAR($B$21),MONTH(AY$3)=MONTH($B$21)),AY23+AY24,IF(AND((12*(YEAR(AY$3)-YEAR($B$20))+MONTH(AY$3)-MONTH($B$20))&gt;0,MOD((12*(YEAR(AY$3)-YEAR($B$20))+MONTH(AY$3)-MONTH($B$20)),'Вводные'!$B$78)=0,(12*(YEAR(AY$3)-YEAR($B$20))+MONTH(AY$3)-MONTH($B$20))&lt;='Вводные'!$B$77*12),$B$22/MAX(1,'Вводные'!$B$79),0))))</x:f>
      </x:c>
      <x:c r="AZ25" s="117" t="n">
        <x:f>MIN(AZ23+AZ24,IF('Вводные'!$B$75="Единовременно",AZ24,IF(AND('Вводные'!$B$84="Да",YEAR(AZ$3)=YEAR($B$21),MONTH(AZ$3)=MONTH($B$21)),AZ23+AZ24,IF(AND((12*(YEAR(AZ$3)-YEAR($B$20))+MONTH(AZ$3)-MONTH($B$20))&gt;0,MOD((12*(YEAR(AZ$3)-YEAR($B$20))+MONTH(AZ$3)-MONTH($B$20)),'Вводные'!$B$78)=0,(12*(YEAR(AZ$3)-YEAR($B$20))+MONTH(AZ$3)-MONTH($B$20))&lt;='Вводные'!$B$77*12),$B$22/MAX(1,'Вводные'!$B$79),0))))</x:f>
      </x:c>
      <x:c r="BA25" s="117" t="n">
        <x:f>MIN(BA23+BA24,IF('Вводные'!$B$75="Единовременно",BA24,IF(AND('Вводные'!$B$84="Да",YEAR(BA$3)=YEAR($B$21),MONTH(BA$3)=MONTH($B$21)),BA23+BA24,IF(AND((12*(YEAR(BA$3)-YEAR($B$20))+MONTH(BA$3)-MONTH($B$20))&gt;0,MOD((12*(YEAR(BA$3)-YEAR($B$20))+MONTH(BA$3)-MONTH($B$20)),'Вводные'!$B$78)=0,(12*(YEAR(BA$3)-YEAR($B$20))+MONTH(BA$3)-MONTH($B$20))&lt;='Вводные'!$B$77*12),$B$22/MAX(1,'Вводные'!$B$79),0))))</x:f>
      </x:c>
      <x:c r="BB25" s="117" t="n">
        <x:f>MIN(BB23+BB24,IF('Вводные'!$B$75="Единовременно",BB24,IF(AND('Вводные'!$B$84="Да",YEAR(BB$3)=YEAR($B$21),MONTH(BB$3)=MONTH($B$21)),BB23+BB24,IF(AND((12*(YEAR(BB$3)-YEAR($B$20))+MONTH(BB$3)-MONTH($B$20))&gt;0,MOD((12*(YEAR(BB$3)-YEAR($B$20))+MONTH(BB$3)-MONTH($B$20)),'Вводные'!$B$78)=0,(12*(YEAR(BB$3)-YEAR($B$20))+MONTH(BB$3)-MONTH($B$20))&lt;='Вводные'!$B$77*12),$B$22/MAX(1,'Вводные'!$B$79),0))))</x:f>
      </x:c>
      <x:c r="BC25" s="117" t="n">
        <x:f>MIN(BC23+BC24,IF('Вводные'!$B$75="Единовременно",BC24,IF(AND('Вводные'!$B$84="Да",YEAR(BC$3)=YEAR($B$21),MONTH(BC$3)=MONTH($B$21)),BC23+BC24,IF(AND((12*(YEAR(BC$3)-YEAR($B$20))+MONTH(BC$3)-MONTH($B$20))&gt;0,MOD((12*(YEAR(BC$3)-YEAR($B$20))+MONTH(BC$3)-MONTH($B$20)),'Вводные'!$B$78)=0,(12*(YEAR(BC$3)-YEAR($B$20))+MONTH(BC$3)-MONTH($B$20))&lt;='Вводные'!$B$77*12),$B$22/MAX(1,'Вводные'!$B$79),0))))</x:f>
      </x:c>
      <x:c r="BD25" s="117" t="n">
        <x:f>MIN(BD23+BD24,IF('Вводные'!$B$75="Единовременно",BD24,IF(AND('Вводные'!$B$84="Да",YEAR(BD$3)=YEAR($B$21),MONTH(BD$3)=MONTH($B$21)),BD23+BD24,IF(AND((12*(YEAR(BD$3)-YEAR($B$20))+MONTH(BD$3)-MONTH($B$20))&gt;0,MOD((12*(YEAR(BD$3)-YEAR($B$20))+MONTH(BD$3)-MONTH($B$20)),'Вводные'!$B$78)=0,(12*(YEAR(BD$3)-YEAR($B$20))+MONTH(BD$3)-MONTH($B$20))&lt;='Вводные'!$B$77*12),$B$22/MAX(1,'Вводные'!$B$79),0))))</x:f>
      </x:c>
      <x:c r="BE25" s="117" t="n">
        <x:f>MIN(BE23+BE24,IF('Вводные'!$B$75="Единовременно",BE24,IF(AND('Вводные'!$B$84="Да",YEAR(BE$3)=YEAR($B$21),MONTH(BE$3)=MONTH($B$21)),BE23+BE24,IF(AND((12*(YEAR(BE$3)-YEAR($B$20))+MONTH(BE$3)-MONTH($B$20))&gt;0,MOD((12*(YEAR(BE$3)-YEAR($B$20))+MONTH(BE$3)-MONTH($B$20)),'Вводные'!$B$78)=0,(12*(YEAR(BE$3)-YEAR($B$20))+MONTH(BE$3)-MONTH($B$20))&lt;='Вводные'!$B$77*12),$B$22/MAX(1,'Вводные'!$B$79),0))))</x:f>
      </x:c>
      <x:c r="BF25" s="117" t="n">
        <x:f>MIN(BF23+BF24,IF('Вводные'!$B$75="Единовременно",BF24,IF(AND('Вводные'!$B$84="Да",YEAR(BF$3)=YEAR($B$21),MONTH(BF$3)=MONTH($B$21)),BF23+BF24,IF(AND((12*(YEAR(BF$3)-YEAR($B$20))+MONTH(BF$3)-MONTH($B$20))&gt;0,MOD((12*(YEAR(BF$3)-YEAR($B$20))+MONTH(BF$3)-MONTH($B$20)),'Вводные'!$B$78)=0,(12*(YEAR(BF$3)-YEAR($B$20))+MONTH(BF$3)-MONTH($B$20))&lt;='Вводные'!$B$77*12),$B$22/MAX(1,'Вводные'!$B$79),0))))</x:f>
      </x:c>
      <x:c r="BG25" s="117" t="n">
        <x:f>MIN(BG23+BG24,IF('Вводные'!$B$75="Единовременно",BG24,IF(AND('Вводные'!$B$84="Да",YEAR(BG$3)=YEAR($B$21),MONTH(BG$3)=MONTH($B$21)),BG23+BG24,IF(AND((12*(YEAR(BG$3)-YEAR($B$20))+MONTH(BG$3)-MONTH($B$20))&gt;0,MOD((12*(YEAR(BG$3)-YEAR($B$20))+MONTH(BG$3)-MONTH($B$20)),'Вводные'!$B$78)=0,(12*(YEAR(BG$3)-YEAR($B$20))+MONTH(BG$3)-MONTH($B$20))&lt;='Вводные'!$B$77*12),$B$22/MAX(1,'Вводные'!$B$79),0))))</x:f>
      </x:c>
      <x:c r="BH25" s="117" t="n">
        <x:f>MIN(BH23+BH24,IF('Вводные'!$B$75="Единовременно",BH24,IF(AND('Вводные'!$B$84="Да",YEAR(BH$3)=YEAR($B$21),MONTH(BH$3)=MONTH($B$21)),BH23+BH24,IF(AND((12*(YEAR(BH$3)-YEAR($B$20))+MONTH(BH$3)-MONTH($B$20))&gt;0,MOD((12*(YEAR(BH$3)-YEAR($B$20))+MONTH(BH$3)-MONTH($B$20)),'Вводные'!$B$78)=0,(12*(YEAR(BH$3)-YEAR($B$20))+MONTH(BH$3)-MONTH($B$20))&lt;='Вводные'!$B$77*12),$B$22/MAX(1,'Вводные'!$B$79),0))))</x:f>
      </x:c>
      <x:c r="BI25" s="117" t="n">
        <x:f>MIN(BI23+BI24,IF('Вводные'!$B$75="Единовременно",BI24,IF(AND('Вводные'!$B$84="Да",YEAR(BI$3)=YEAR($B$21),MONTH(BI$3)=MONTH($B$21)),BI23+BI24,IF(AND((12*(YEAR(BI$3)-YEAR($B$20))+MONTH(BI$3)-MONTH($B$20))&gt;0,MOD((12*(YEAR(BI$3)-YEAR($B$20))+MONTH(BI$3)-MONTH($B$20)),'Вводные'!$B$78)=0,(12*(YEAR(BI$3)-YEAR($B$20))+MONTH(BI$3)-MONTH($B$20))&lt;='Вводные'!$B$77*12),$B$22/MAX(1,'Вводные'!$B$79),0))))</x:f>
      </x:c>
      <x:c r="BJ25" s="117" t="n">
        <x:f>MIN(BJ23+BJ24,IF('Вводные'!$B$75="Единовременно",BJ24,IF(AND('Вводные'!$B$84="Да",YEAR(BJ$3)=YEAR($B$21),MONTH(BJ$3)=MONTH($B$21)),BJ23+BJ24,IF(AND((12*(YEAR(BJ$3)-YEAR($B$20))+MONTH(BJ$3)-MONTH($B$20))&gt;0,MOD((12*(YEAR(BJ$3)-YEAR($B$20))+MONTH(BJ$3)-MONTH($B$20)),'Вводные'!$B$78)=0,(12*(YEAR(BJ$3)-YEAR($B$20))+MONTH(BJ$3)-MONTH($B$20))&lt;='Вводные'!$B$77*12),$B$22/MAX(1,'Вводные'!$B$79),0))))</x:f>
      </x:c>
      <x:c r="BK25" s="117" t="n">
        <x:f>MIN(BK23+BK24,IF('Вводные'!$B$75="Единовременно",BK24,IF(AND('Вводные'!$B$84="Да",YEAR(BK$3)=YEAR($B$21),MONTH(BK$3)=MONTH($B$21)),BK23+BK24,IF(AND((12*(YEAR(BK$3)-YEAR($B$20))+MONTH(BK$3)-MONTH($B$20))&gt;0,MOD((12*(YEAR(BK$3)-YEAR($B$20))+MONTH(BK$3)-MONTH($B$20)),'Вводные'!$B$78)=0,(12*(YEAR(BK$3)-YEAR($B$20))+MONTH(BK$3)-MONTH($B$20))&lt;='Вводные'!$B$77*12),$B$22/MAX(1,'Вводные'!$B$79),0))))</x:f>
      </x:c>
      <x:c r="BL25" s="117" t="n">
        <x:f>MIN(BL23+BL24,IF('Вводные'!$B$75="Единовременно",BL24,IF(AND('Вводные'!$B$84="Да",YEAR(BL$3)=YEAR($B$21),MONTH(BL$3)=MONTH($B$21)),BL23+BL24,IF(AND((12*(YEAR(BL$3)-YEAR($B$20))+MONTH(BL$3)-MONTH($B$20))&gt;0,MOD((12*(YEAR(BL$3)-YEAR($B$20))+MONTH(BL$3)-MONTH($B$20)),'Вводные'!$B$78)=0,(12*(YEAR(BL$3)-YEAR($B$20))+MONTH(BL$3)-MONTH($B$20))&lt;='Вводные'!$B$77*12),$B$22/MAX(1,'Вводные'!$B$79),0))))</x:f>
      </x:c>
      <x:c r="BM25" s="117" t="n">
        <x:f>MIN(BM23+BM24,IF('Вводные'!$B$75="Единовременно",BM24,IF(AND('Вводные'!$B$84="Да",YEAR(BM$3)=YEAR($B$21),MONTH(BM$3)=MONTH($B$21)),BM23+BM24,IF(AND((12*(YEAR(BM$3)-YEAR($B$20))+MONTH(BM$3)-MONTH($B$20))&gt;0,MOD((12*(YEAR(BM$3)-YEAR($B$20))+MONTH(BM$3)-MONTH($B$20)),'Вводные'!$B$78)=0,(12*(YEAR(BM$3)-YEAR($B$20))+MONTH(BM$3)-MONTH($B$20))&lt;='Вводные'!$B$77*12),$B$22/MAX(1,'Вводные'!$B$79),0))))</x:f>
      </x:c>
      <x:c r="BN25" s="117" t="n">
        <x:f>MIN(BN23+BN24,IF('Вводные'!$B$75="Единовременно",BN24,IF(AND('Вводные'!$B$84="Да",YEAR(BN$3)=YEAR($B$21),MONTH(BN$3)=MONTH($B$21)),BN23+BN24,IF(AND((12*(YEAR(BN$3)-YEAR($B$20))+MONTH(BN$3)-MONTH($B$20))&gt;0,MOD((12*(YEAR(BN$3)-YEAR($B$20))+MONTH(BN$3)-MONTH($B$20)),'Вводные'!$B$78)=0,(12*(YEAR(BN$3)-YEAR($B$20))+MONTH(BN$3)-MONTH($B$20))&lt;='Вводные'!$B$77*12),$B$22/MAX(1,'Вводные'!$B$79),0))))</x:f>
      </x:c>
      <x:c r="BO25" s="117" t="n">
        <x:f>MIN(BO23+BO24,IF('Вводные'!$B$75="Единовременно",BO24,IF(AND('Вводные'!$B$84="Да",YEAR(BO$3)=YEAR($B$21),MONTH(BO$3)=MONTH($B$21)),BO23+BO24,IF(AND((12*(YEAR(BO$3)-YEAR($B$20))+MONTH(BO$3)-MONTH($B$20))&gt;0,MOD((12*(YEAR(BO$3)-YEAR($B$20))+MONTH(BO$3)-MONTH($B$20)),'Вводные'!$B$78)=0,(12*(YEAR(BO$3)-YEAR($B$20))+MONTH(BO$3)-MONTH($B$20))&lt;='Вводные'!$B$77*12),$B$22/MAX(1,'Вводные'!$B$79),0))))</x:f>
      </x:c>
      <x:c r="BP25" s="117" t="n">
        <x:f>MIN(BP23+BP24,IF('Вводные'!$B$75="Единовременно",BP24,IF(AND('Вводные'!$B$84="Да",YEAR(BP$3)=YEAR($B$21),MONTH(BP$3)=MONTH($B$21)),BP23+BP24,IF(AND((12*(YEAR(BP$3)-YEAR($B$20))+MONTH(BP$3)-MONTH($B$20))&gt;0,MOD((12*(YEAR(BP$3)-YEAR($B$20))+MONTH(BP$3)-MONTH($B$20)),'Вводные'!$B$78)=0,(12*(YEAR(BP$3)-YEAR($B$20))+MONTH(BP$3)-MONTH($B$20))&lt;='Вводные'!$B$77*12),$B$22/MAX(1,'Вводные'!$B$79),0))))</x:f>
      </x:c>
      <x:c r="BQ25" s="117" t="n">
        <x:f>MIN(BQ23+BQ24,IF('Вводные'!$B$75="Единовременно",BQ24,IF(AND('Вводные'!$B$84="Да",YEAR(BQ$3)=YEAR($B$21),MONTH(BQ$3)=MONTH($B$21)),BQ23+BQ24,IF(AND((12*(YEAR(BQ$3)-YEAR($B$20))+MONTH(BQ$3)-MONTH($B$20))&gt;0,MOD((12*(YEAR(BQ$3)-YEAR($B$20))+MONTH(BQ$3)-MONTH($B$20)),'Вводные'!$B$78)=0,(12*(YEAR(BQ$3)-YEAR($B$20))+MONTH(BQ$3)-MONTH($B$20))&lt;='Вводные'!$B$77*12),$B$22/MAX(1,'Вводные'!$B$79),0))))</x:f>
      </x:c>
      <x:c r="BR25" s="117" t="n">
        <x:f>MIN(BR23+BR24,IF('Вводные'!$B$75="Единовременно",BR24,IF(AND('Вводные'!$B$84="Да",YEAR(BR$3)=YEAR($B$21),MONTH(BR$3)=MONTH($B$21)),BR23+BR24,IF(AND((12*(YEAR(BR$3)-YEAR($B$20))+MONTH(BR$3)-MONTH($B$20))&gt;0,MOD((12*(YEAR(BR$3)-YEAR($B$20))+MONTH(BR$3)-MONTH($B$20)),'Вводные'!$B$78)=0,(12*(YEAR(BR$3)-YEAR($B$20))+MONTH(BR$3)-MONTH($B$20))&lt;='Вводные'!$B$77*12),$B$22/MAX(1,'Вводные'!$B$79),0))))</x:f>
      </x:c>
      <x:c r="BS25" s="117" t="n">
        <x:f>MIN(BS23+BS24,IF('Вводные'!$B$75="Единовременно",BS24,IF(AND('Вводные'!$B$84="Да",YEAR(BS$3)=YEAR($B$21),MONTH(BS$3)=MONTH($B$21)),BS23+BS24,IF(AND((12*(YEAR(BS$3)-YEAR($B$20))+MONTH(BS$3)-MONTH($B$20))&gt;0,MOD((12*(YEAR(BS$3)-YEAR($B$20))+MONTH(BS$3)-MONTH($B$20)),'Вводные'!$B$78)=0,(12*(YEAR(BS$3)-YEAR($B$20))+MONTH(BS$3)-MONTH($B$20))&lt;='Вводные'!$B$77*12),$B$22/MAX(1,'Вводные'!$B$79),0))))</x:f>
      </x:c>
      <x:c r="BT25" s="117" t="n">
        <x:f>MIN(BT23+BT24,IF('Вводные'!$B$75="Единовременно",BT24,IF(AND('Вводные'!$B$84="Да",YEAR(BT$3)=YEAR($B$21),MONTH(BT$3)=MONTH($B$21)),BT23+BT24,IF(AND((12*(YEAR(BT$3)-YEAR($B$20))+MONTH(BT$3)-MONTH($B$20))&gt;0,MOD((12*(YEAR(BT$3)-YEAR($B$20))+MONTH(BT$3)-MONTH($B$20)),'Вводные'!$B$78)=0,(12*(YEAR(BT$3)-YEAR($B$20))+MONTH(BT$3)-MONTH($B$20))&lt;='Вводные'!$B$77*12),$B$22/MAX(1,'Вводные'!$B$79),0))))</x:f>
      </x:c>
      <x:c r="BU25" s="117" t="n">
        <x:f>MIN(BU23+BU24,IF('Вводные'!$B$75="Единовременно",BU24,IF(AND('Вводные'!$B$84="Да",YEAR(BU$3)=YEAR($B$21),MONTH(BU$3)=MONTH($B$21)),BU23+BU24,IF(AND((12*(YEAR(BU$3)-YEAR($B$20))+MONTH(BU$3)-MONTH($B$20))&gt;0,MOD((12*(YEAR(BU$3)-YEAR($B$20))+MONTH(BU$3)-MONTH($B$20)),'Вводные'!$B$78)=0,(12*(YEAR(BU$3)-YEAR($B$20))+MONTH(BU$3)-MONTH($B$20))&lt;='Вводные'!$B$77*12),$B$22/MAX(1,'Вводные'!$B$79),0))))</x:f>
      </x:c>
      <x:c r="BV25" s="117" t="n">
        <x:f>MIN(BV23+BV24,IF('Вводные'!$B$75="Единовременно",BV24,IF(AND('Вводные'!$B$84="Да",YEAR(BV$3)=YEAR($B$21),MONTH(BV$3)=MONTH($B$21)),BV23+BV24,IF(AND((12*(YEAR(BV$3)-YEAR($B$20))+MONTH(BV$3)-MONTH($B$20))&gt;0,MOD((12*(YEAR(BV$3)-YEAR($B$20))+MONTH(BV$3)-MONTH($B$20)),'Вводные'!$B$78)=0,(12*(YEAR(BV$3)-YEAR($B$20))+MONTH(BV$3)-MONTH($B$20))&lt;='Вводные'!$B$77*12),$B$22/MAX(1,'Вводные'!$B$79),0))))</x:f>
      </x:c>
      <x:c r="BW25" s="117" t="n">
        <x:f>MIN(BW23+BW24,IF('Вводные'!$B$75="Единовременно",BW24,IF(AND('Вводные'!$B$84="Да",YEAR(BW$3)=YEAR($B$21),MONTH(BW$3)=MONTH($B$21)),BW23+BW24,IF(AND((12*(YEAR(BW$3)-YEAR($B$20))+MONTH(BW$3)-MONTH($B$20))&gt;0,MOD((12*(YEAR(BW$3)-YEAR($B$20))+MONTH(BW$3)-MONTH($B$20)),'Вводные'!$B$78)=0,(12*(YEAR(BW$3)-YEAR($B$20))+MONTH(BW$3)-MONTH($B$20))&lt;='Вводные'!$B$77*12),$B$22/MAX(1,'Вводные'!$B$79),0))))</x:f>
      </x:c>
      <x:c r="BX25" s="117" t="n">
        <x:f>MIN(BX23+BX24,IF('Вводные'!$B$75="Единовременно",BX24,IF(AND('Вводные'!$B$84="Да",YEAR(BX$3)=YEAR($B$21),MONTH(BX$3)=MONTH($B$21)),BX23+BX24,IF(AND((12*(YEAR(BX$3)-YEAR($B$20))+MONTH(BX$3)-MONTH($B$20))&gt;0,MOD((12*(YEAR(BX$3)-YEAR($B$20))+MONTH(BX$3)-MONTH($B$20)),'Вводные'!$B$78)=0,(12*(YEAR(BX$3)-YEAR($B$20))+MONTH(BX$3)-MONTH($B$20))&lt;='Вводные'!$B$77*12),$B$22/MAX(1,'Вводные'!$B$79),0))))</x:f>
      </x:c>
      <x:c r="BY25" s="117" t="n">
        <x:f>MIN(BY23+BY24,IF('Вводные'!$B$75="Единовременно",BY24,IF(AND('Вводные'!$B$84="Да",YEAR(BY$3)=YEAR($B$21),MONTH(BY$3)=MONTH($B$21)),BY23+BY24,IF(AND((12*(YEAR(BY$3)-YEAR($B$20))+MONTH(BY$3)-MONTH($B$20))&gt;0,MOD((12*(YEAR(BY$3)-YEAR($B$20))+MONTH(BY$3)-MONTH($B$20)),'Вводные'!$B$78)=0,(12*(YEAR(BY$3)-YEAR($B$20))+MONTH(BY$3)-MONTH($B$20))&lt;='Вводные'!$B$77*12),$B$22/MAX(1,'Вводные'!$B$79),0))))</x:f>
      </x:c>
      <x:c r="BZ25" s="117" t="n">
        <x:f>MIN(BZ23+BZ24,IF('Вводные'!$B$75="Единовременно",BZ24,IF(AND('Вводные'!$B$84="Да",YEAR(BZ$3)=YEAR($B$21),MONTH(BZ$3)=MONTH($B$21)),BZ23+BZ24,IF(AND((12*(YEAR(BZ$3)-YEAR($B$20))+MONTH(BZ$3)-MONTH($B$20))&gt;0,MOD((12*(YEAR(BZ$3)-YEAR($B$20))+MONTH(BZ$3)-MONTH($B$20)),'Вводные'!$B$78)=0,(12*(YEAR(BZ$3)-YEAR($B$20))+MONTH(BZ$3)-MONTH($B$20))&lt;='Вводные'!$B$77*12),$B$22/MAX(1,'Вводные'!$B$79),0))))</x:f>
      </x:c>
      <x:c r="CA25" s="117" t="n">
        <x:f>MIN(CA23+CA24,IF('Вводные'!$B$75="Единовременно",CA24,IF(AND('Вводные'!$B$84="Да",YEAR(CA$3)=YEAR($B$21),MONTH(CA$3)=MONTH($B$21)),CA23+CA24,IF(AND((12*(YEAR(CA$3)-YEAR($B$20))+MONTH(CA$3)-MONTH($B$20))&gt;0,MOD((12*(YEAR(CA$3)-YEAR($B$20))+MONTH(CA$3)-MONTH($B$20)),'Вводные'!$B$78)=0,(12*(YEAR(CA$3)-YEAR($B$20))+MONTH(CA$3)-MONTH($B$20))&lt;='Вводные'!$B$77*12),$B$22/MAX(1,'Вводные'!$B$79),0))))</x:f>
      </x:c>
      <x:c r="CB25" s="117" t="n">
        <x:f>MIN(CB23+CB24,IF('Вводные'!$B$75="Единовременно",CB24,IF(AND('Вводные'!$B$84="Да",YEAR(CB$3)=YEAR($B$21),MONTH(CB$3)=MONTH($B$21)),CB23+CB24,IF(AND((12*(YEAR(CB$3)-YEAR($B$20))+MONTH(CB$3)-MONTH($B$20))&gt;0,MOD((12*(YEAR(CB$3)-YEAR($B$20))+MONTH(CB$3)-MONTH($B$20)),'Вводные'!$B$78)=0,(12*(YEAR(CB$3)-YEAR($B$20))+MONTH(CB$3)-MONTH($B$20))&lt;='Вводные'!$B$77*12),$B$22/MAX(1,'Вводные'!$B$79),0))))</x:f>
      </x:c>
      <x:c r="CC25" s="117" t="n">
        <x:f>MIN(CC23+CC24,IF('Вводные'!$B$75="Единовременно",CC24,IF(AND('Вводные'!$B$84="Да",YEAR(CC$3)=YEAR($B$21),MONTH(CC$3)=MONTH($B$21)),CC23+CC24,IF(AND((12*(YEAR(CC$3)-YEAR($B$20))+MONTH(CC$3)-MONTH($B$20))&gt;0,MOD((12*(YEAR(CC$3)-YEAR($B$20))+MONTH(CC$3)-MONTH($B$20)),'Вводные'!$B$78)=0,(12*(YEAR(CC$3)-YEAR($B$20))+MONTH(CC$3)-MONTH($B$20))&lt;='Вводные'!$B$77*12),$B$22/MAX(1,'Вводные'!$B$79),0))))</x:f>
      </x:c>
      <x:c r="CD25" s="117" t="n">
        <x:f>MIN(CD23+CD24,IF('Вводные'!$B$75="Единовременно",CD24,IF(AND('Вводные'!$B$84="Да",YEAR(CD$3)=YEAR($B$21),MONTH(CD$3)=MONTH($B$21)),CD23+CD24,IF(AND((12*(YEAR(CD$3)-YEAR($B$20))+MONTH(CD$3)-MONTH($B$20))&gt;0,MOD((12*(YEAR(CD$3)-YEAR($B$20))+MONTH(CD$3)-MONTH($B$20)),'Вводные'!$B$78)=0,(12*(YEAR(CD$3)-YEAR($B$20))+MONTH(CD$3)-MONTH($B$20))&lt;='Вводные'!$B$77*12),$B$22/MAX(1,'Вводные'!$B$79),0))))</x:f>
      </x:c>
      <x:c r="CE25" s="117" t="n">
        <x:f>MIN(CE23+CE24,IF('Вводные'!$B$75="Единовременно",CE24,IF(AND('Вводные'!$B$84="Да",YEAR(CE$3)=YEAR($B$21),MONTH(CE$3)=MONTH($B$21)),CE23+CE24,IF(AND((12*(YEAR(CE$3)-YEAR($B$20))+MONTH(CE$3)-MONTH($B$20))&gt;0,MOD((12*(YEAR(CE$3)-YEAR($B$20))+MONTH(CE$3)-MONTH($B$20)),'Вводные'!$B$78)=0,(12*(YEAR(CE$3)-YEAR($B$20))+MONTH(CE$3)-MONTH($B$20))&lt;='Вводные'!$B$77*12),$B$22/MAX(1,'Вводные'!$B$79),0))))</x:f>
      </x:c>
      <x:c r="CF25" s="117" t="n">
        <x:f>MIN(CF23+CF24,IF('Вводные'!$B$75="Единовременно",CF24,IF(AND('Вводные'!$B$84="Да",YEAR(CF$3)=YEAR($B$21),MONTH(CF$3)=MONTH($B$21)),CF23+CF24,IF(AND((12*(YEAR(CF$3)-YEAR($B$20))+MONTH(CF$3)-MONTH($B$20))&gt;0,MOD((12*(YEAR(CF$3)-YEAR($B$20))+MONTH(CF$3)-MONTH($B$20)),'Вводные'!$B$78)=0,(12*(YEAR(CF$3)-YEAR($B$20))+MONTH(CF$3)-MONTH($B$20))&lt;='Вводные'!$B$77*12),$B$22/MAX(1,'Вводные'!$B$79),0))))</x:f>
      </x:c>
      <x:c r="CG25" s="117" t="n">
        <x:f>MIN(CG23+CG24,IF('Вводные'!$B$75="Единовременно",CG24,IF(AND('Вводные'!$B$84="Да",YEAR(CG$3)=YEAR($B$21),MONTH(CG$3)=MONTH($B$21)),CG23+CG24,IF(AND((12*(YEAR(CG$3)-YEAR($B$20))+MONTH(CG$3)-MONTH($B$20))&gt;0,MOD((12*(YEAR(CG$3)-YEAR($B$20))+MONTH(CG$3)-MONTH($B$20)),'Вводные'!$B$78)=0,(12*(YEAR(CG$3)-YEAR($B$20))+MONTH(CG$3)-MONTH($B$20))&lt;='Вводные'!$B$77*12),$B$22/MAX(1,'Вводные'!$B$79),0))))</x:f>
      </x:c>
      <x:c r="CH25" s="117" t="n">
        <x:f>MIN(CH23+CH24,IF('Вводные'!$B$75="Единовременно",CH24,IF(AND('Вводные'!$B$84="Да",YEAR(CH$3)=YEAR($B$21),MONTH(CH$3)=MONTH($B$21)),CH23+CH24,IF(AND((12*(YEAR(CH$3)-YEAR($B$20))+MONTH(CH$3)-MONTH($B$20))&gt;0,MOD((12*(YEAR(CH$3)-YEAR($B$20))+MONTH(CH$3)-MONTH($B$20)),'Вводные'!$B$78)=0,(12*(YEAR(CH$3)-YEAR($B$20))+MONTH(CH$3)-MONTH($B$20))&lt;='Вводные'!$B$77*12),$B$22/MAX(1,'Вводные'!$B$79),0))))</x:f>
      </x:c>
      <x:c r="CI25" s="117" t="n">
        <x:f>MIN(CI23+CI24,IF('Вводные'!$B$75="Единовременно",CI24,IF(AND('Вводные'!$B$84="Да",YEAR(CI$3)=YEAR($B$21),MONTH(CI$3)=MONTH($B$21)),CI23+CI24,IF(AND((12*(YEAR(CI$3)-YEAR($B$20))+MONTH(CI$3)-MONTH($B$20))&gt;0,MOD((12*(YEAR(CI$3)-YEAR($B$20))+MONTH(CI$3)-MONTH($B$20)),'Вводные'!$B$78)=0,(12*(YEAR(CI$3)-YEAR($B$20))+MONTH(CI$3)-MONTH($B$20))&lt;='Вводные'!$B$77*12),$B$22/MAX(1,'Вводные'!$B$79),0))))</x:f>
      </x:c>
      <x:c r="CJ25" s="117" t="n">
        <x:f>MIN(CJ23+CJ24,IF('Вводные'!$B$75="Единовременно",CJ24,IF(AND('Вводные'!$B$84="Да",YEAR(CJ$3)=YEAR($B$21),MONTH(CJ$3)=MONTH($B$21)),CJ23+CJ24,IF(AND((12*(YEAR(CJ$3)-YEAR($B$20))+MONTH(CJ$3)-MONTH($B$20))&gt;0,MOD((12*(YEAR(CJ$3)-YEAR($B$20))+MONTH(CJ$3)-MONTH($B$20)),'Вводные'!$B$78)=0,(12*(YEAR(CJ$3)-YEAR($B$20))+MONTH(CJ$3)-MONTH($B$20))&lt;='Вводные'!$B$77*12),$B$22/MAX(1,'Вводные'!$B$79),0))))</x:f>
      </x:c>
      <x:c r="CK25" s="117" t="n">
        <x:f>MIN(CK23+CK24,IF('Вводные'!$B$75="Единовременно",CK24,IF(AND('Вводные'!$B$84="Да",YEAR(CK$3)=YEAR($B$21),MONTH(CK$3)=MONTH($B$21)),CK23+CK24,IF(AND((12*(YEAR(CK$3)-YEAR($B$20))+MONTH(CK$3)-MONTH($B$20))&gt;0,MOD((12*(YEAR(CK$3)-YEAR($B$20))+MONTH(CK$3)-MONTH($B$20)),'Вводные'!$B$78)=0,(12*(YEAR(CK$3)-YEAR($B$20))+MONTH(CK$3)-MONTH($B$20))&lt;='Вводные'!$B$77*12),$B$22/MAX(1,'Вводные'!$B$79),0))))</x:f>
      </x:c>
      <x:c r="CL25" s="117" t="n">
        <x:f>MIN(CL23+CL24,IF('Вводные'!$B$75="Единовременно",CL24,IF(AND('Вводные'!$B$84="Да",YEAR(CL$3)=YEAR($B$21),MONTH(CL$3)=MONTH($B$21)),CL23+CL24,IF(AND((12*(YEAR(CL$3)-YEAR($B$20))+MONTH(CL$3)-MONTH($B$20))&gt;0,MOD((12*(YEAR(CL$3)-YEAR($B$20))+MONTH(CL$3)-MONTH($B$20)),'Вводные'!$B$78)=0,(12*(YEAR(CL$3)-YEAR($B$20))+MONTH(CL$3)-MONTH($B$20))&lt;='Вводные'!$B$77*12),$B$22/MAX(1,'Вводные'!$B$79),0))))</x:f>
      </x:c>
      <x:c r="CM25" s="117" t="n">
        <x:f>MIN(CM23+CM24,IF('Вводные'!$B$75="Единовременно",CM24,IF(AND('Вводные'!$B$84="Да",YEAR(CM$3)=YEAR($B$21),MONTH(CM$3)=MONTH($B$21)),CM23+CM24,IF(AND((12*(YEAR(CM$3)-YEAR($B$20))+MONTH(CM$3)-MONTH($B$20))&gt;0,MOD((12*(YEAR(CM$3)-YEAR($B$20))+MONTH(CM$3)-MONTH($B$20)),'Вводные'!$B$78)=0,(12*(YEAR(CM$3)-YEAR($B$20))+MONTH(CM$3)-MONTH($B$20))&lt;='Вводные'!$B$77*12),$B$22/MAX(1,'Вводные'!$B$79),0))))</x:f>
      </x:c>
      <x:c r="CN25" s="117" t="n">
        <x:f>MIN(CN23+CN24,IF('Вводные'!$B$75="Единовременно",CN24,IF(AND('Вводные'!$B$84="Да",YEAR(CN$3)=YEAR($B$21),MONTH(CN$3)=MONTH($B$21)),CN23+CN24,IF(AND((12*(YEAR(CN$3)-YEAR($B$20))+MONTH(CN$3)-MONTH($B$20))&gt;0,MOD((12*(YEAR(CN$3)-YEAR($B$20))+MONTH(CN$3)-MONTH($B$20)),'Вводные'!$B$78)=0,(12*(YEAR(CN$3)-YEAR($B$20))+MONTH(CN$3)-MONTH($B$20))&lt;='Вводные'!$B$77*12),$B$22/MAX(1,'Вводные'!$B$79),0))))</x:f>
      </x:c>
      <x:c r="CO25" s="117" t="n">
        <x:f>MIN(CO23+CO24,IF('Вводные'!$B$75="Единовременно",CO24,IF(AND('Вводные'!$B$84="Да",YEAR(CO$3)=YEAR($B$21),MONTH(CO$3)=MONTH($B$21)),CO23+CO24,IF(AND((12*(YEAR(CO$3)-YEAR($B$20))+MONTH(CO$3)-MONTH($B$20))&gt;0,MOD((12*(YEAR(CO$3)-YEAR($B$20))+MONTH(CO$3)-MONTH($B$20)),'Вводные'!$B$78)=0,(12*(YEAR(CO$3)-YEAR($B$20))+MONTH(CO$3)-MONTH($B$20))&lt;='Вводные'!$B$77*12),$B$22/MAX(1,'Вводные'!$B$79),0))))</x:f>
      </x:c>
      <x:c r="CP25" s="117" t="n">
        <x:f>MIN(CP23+CP24,IF('Вводные'!$B$75="Единовременно",CP24,IF(AND('Вводные'!$B$84="Да",YEAR(CP$3)=YEAR($B$21),MONTH(CP$3)=MONTH($B$21)),CP23+CP24,IF(AND((12*(YEAR(CP$3)-YEAR($B$20))+MONTH(CP$3)-MONTH($B$20))&gt;0,MOD((12*(YEAR(CP$3)-YEAR($B$20))+MONTH(CP$3)-MONTH($B$20)),'Вводные'!$B$78)=0,(12*(YEAR(CP$3)-YEAR($B$20))+MONTH(CP$3)-MONTH($B$20))&lt;='Вводные'!$B$77*12),$B$22/MAX(1,'Вводные'!$B$79),0))))</x:f>
      </x:c>
      <x:c r="CQ25" s="117" t="n">
        <x:f>MIN(CQ23+CQ24,IF('Вводные'!$B$75="Единовременно",CQ24,IF(AND('Вводные'!$B$84="Да",YEAR(CQ$3)=YEAR($B$21),MONTH(CQ$3)=MONTH($B$21)),CQ23+CQ24,IF(AND((12*(YEAR(CQ$3)-YEAR($B$20))+MONTH(CQ$3)-MONTH($B$20))&gt;0,MOD((12*(YEAR(CQ$3)-YEAR($B$20))+MONTH(CQ$3)-MONTH($B$20)),'Вводные'!$B$78)=0,(12*(YEAR(CQ$3)-YEAR($B$20))+MONTH(CQ$3)-MONTH($B$20))&lt;='Вводные'!$B$77*12),$B$22/MAX(1,'Вводные'!$B$79),0))))</x:f>
      </x:c>
      <x:c r="CR25" s="117" t="n">
        <x:f>MIN(CR23+CR24,IF('Вводные'!$B$75="Единовременно",CR24,IF(AND('Вводные'!$B$84="Да",YEAR(CR$3)=YEAR($B$21),MONTH(CR$3)=MONTH($B$21)),CR23+CR24,IF(AND((12*(YEAR(CR$3)-YEAR($B$20))+MONTH(CR$3)-MONTH($B$20))&gt;0,MOD((12*(YEAR(CR$3)-YEAR($B$20))+MONTH(CR$3)-MONTH($B$20)),'Вводные'!$B$78)=0,(12*(YEAR(CR$3)-YEAR($B$20))+MONTH(CR$3)-MONTH($B$20))&lt;='Вводные'!$B$77*12),$B$22/MAX(1,'Вводные'!$B$79),0))))</x:f>
      </x:c>
      <x:c r="CS25" s="117" t="n">
        <x:f>MIN(CS23+CS24,IF('Вводные'!$B$75="Единовременно",CS24,IF(AND('Вводные'!$B$84="Да",YEAR(CS$3)=YEAR($B$21),MONTH(CS$3)=MONTH($B$21)),CS23+CS24,IF(AND((12*(YEAR(CS$3)-YEAR($B$20))+MONTH(CS$3)-MONTH($B$20))&gt;0,MOD((12*(YEAR(CS$3)-YEAR($B$20))+MONTH(CS$3)-MONTH($B$20)),'Вводные'!$B$78)=0,(12*(YEAR(CS$3)-YEAR($B$20))+MONTH(CS$3)-MONTH($B$20))&lt;='Вводные'!$B$77*12),$B$22/MAX(1,'Вводные'!$B$79),0))))</x:f>
      </x:c>
      <x:c r="CT25" s="117" t="n">
        <x:f>MIN(CT23+CT24,IF('Вводные'!$B$75="Единовременно",CT24,IF(AND('Вводные'!$B$84="Да",YEAR(CT$3)=YEAR($B$21),MONTH(CT$3)=MONTH($B$21)),CT23+CT24,IF(AND((12*(YEAR(CT$3)-YEAR($B$20))+MONTH(CT$3)-MONTH($B$20))&gt;0,MOD((12*(YEAR(CT$3)-YEAR($B$20))+MONTH(CT$3)-MONTH($B$20)),'Вводные'!$B$78)=0,(12*(YEAR(CT$3)-YEAR($B$20))+MONTH(CT$3)-MONTH($B$20))&lt;='Вводные'!$B$77*12),$B$22/MAX(1,'Вводные'!$B$79),0))))</x:f>
      </x:c>
      <x:c r="CU25" s="117" t="n">
        <x:f>MIN(CU23+CU24,IF('Вводные'!$B$75="Единовременно",CU24,IF(AND('Вводные'!$B$84="Да",YEAR(CU$3)=YEAR($B$21),MONTH(CU$3)=MONTH($B$21)),CU23+CU24,IF(AND((12*(YEAR(CU$3)-YEAR($B$20))+MONTH(CU$3)-MONTH($B$20))&gt;0,MOD((12*(YEAR(CU$3)-YEAR($B$20))+MONTH(CU$3)-MONTH($B$20)),'Вводные'!$B$78)=0,(12*(YEAR(CU$3)-YEAR($B$20))+MONTH(CU$3)-MONTH($B$20))&lt;='Вводные'!$B$77*12),$B$22/MAX(1,'Вводные'!$B$79),0))))</x:f>
      </x:c>
      <x:c r="CV25" s="117" t="n">
        <x:f>MIN(CV23+CV24,IF('Вводные'!$B$75="Единовременно",CV24,IF(AND('Вводные'!$B$84="Да",YEAR(CV$3)=YEAR($B$21),MONTH(CV$3)=MONTH($B$21)),CV23+CV24,IF(AND((12*(YEAR(CV$3)-YEAR($B$20))+MONTH(CV$3)-MONTH($B$20))&gt;0,MOD((12*(YEAR(CV$3)-YEAR($B$20))+MONTH(CV$3)-MONTH($B$20)),'Вводные'!$B$78)=0,(12*(YEAR(CV$3)-YEAR($B$20))+MONTH(CV$3)-MONTH($B$20))&lt;='Вводные'!$B$77*12),$B$22/MAX(1,'Вводные'!$B$79),0))))</x:f>
      </x:c>
      <x:c r="CW25" s="117" t="n">
        <x:f>MIN(CW23+CW24,IF('Вводные'!$B$75="Единовременно",CW24,IF(AND('Вводные'!$B$84="Да",YEAR(CW$3)=YEAR($B$21),MONTH(CW$3)=MONTH($B$21)),CW23+CW24,IF(AND((12*(YEAR(CW$3)-YEAR($B$20))+MONTH(CW$3)-MONTH($B$20))&gt;0,MOD((12*(YEAR(CW$3)-YEAR($B$20))+MONTH(CW$3)-MONTH($B$20)),'Вводные'!$B$78)=0,(12*(YEAR(CW$3)-YEAR($B$20))+MONTH(CW$3)-MONTH($B$20))&lt;='Вводные'!$B$77*12),$B$22/MAX(1,'Вводные'!$B$79),0))))</x:f>
      </x:c>
      <x:c r="CX25" s="117" t="n">
        <x:f>MIN(CX23+CX24,IF('Вводные'!$B$75="Единовременно",CX24,IF(AND('Вводные'!$B$84="Да",YEAR(CX$3)=YEAR($B$21),MONTH(CX$3)=MONTH($B$21)),CX23+CX24,IF(AND((12*(YEAR(CX$3)-YEAR($B$20))+MONTH(CX$3)-MONTH($B$20))&gt;0,MOD((12*(YEAR(CX$3)-YEAR($B$20))+MONTH(CX$3)-MONTH($B$20)),'Вводные'!$B$78)=0,(12*(YEAR(CX$3)-YEAR($B$20))+MONTH(CX$3)-MONTH($B$20))&lt;='Вводные'!$B$77*12),$B$22/MAX(1,'Вводные'!$B$79),0))))</x:f>
      </x:c>
      <x:c r="CY25" s="117" t="n">
        <x:f>MIN(CY23+CY24,IF('Вводные'!$B$75="Единовременно",CY24,IF(AND('Вводные'!$B$84="Да",YEAR(CY$3)=YEAR($B$21),MONTH(CY$3)=MONTH($B$21)),CY23+CY24,IF(AND((12*(YEAR(CY$3)-YEAR($B$20))+MONTH(CY$3)-MONTH($B$20))&gt;0,MOD((12*(YEAR(CY$3)-YEAR($B$20))+MONTH(CY$3)-MONTH($B$20)),'Вводные'!$B$78)=0,(12*(YEAR(CY$3)-YEAR($B$20))+MONTH(CY$3)-MONTH($B$20))&lt;='Вводные'!$B$77*12),$B$22/MAX(1,'Вводные'!$B$79),0))))</x:f>
      </x:c>
      <x:c r="CZ25" s="117" t="n">
        <x:f>MIN(CZ23+CZ24,IF('Вводные'!$B$75="Единовременно",CZ24,IF(AND('Вводные'!$B$84="Да",YEAR(CZ$3)=YEAR($B$21),MONTH(CZ$3)=MONTH($B$21)),CZ23+CZ24,IF(AND((12*(YEAR(CZ$3)-YEAR($B$20))+MONTH(CZ$3)-MONTH($B$20))&gt;0,MOD((12*(YEAR(CZ$3)-YEAR($B$20))+MONTH(CZ$3)-MONTH($B$20)),'Вводные'!$B$78)=0,(12*(YEAR(CZ$3)-YEAR($B$20))+MONTH(CZ$3)-MONTH($B$20))&lt;='Вводные'!$B$77*12),$B$22/MAX(1,'Вводные'!$B$79),0))))</x:f>
      </x:c>
      <x:c r="DA25" s="117" t="n">
        <x:f>MIN(DA23+DA24,IF('Вводные'!$B$75="Единовременно",DA24,IF(AND('Вводные'!$B$84="Да",YEAR(DA$3)=YEAR($B$21),MONTH(DA$3)=MONTH($B$21)),DA23+DA24,IF(AND((12*(YEAR(DA$3)-YEAR($B$20))+MONTH(DA$3)-MONTH($B$20))&gt;0,MOD((12*(YEAR(DA$3)-YEAR($B$20))+MONTH(DA$3)-MONTH($B$20)),'Вводные'!$B$78)=0,(12*(YEAR(DA$3)-YEAR($B$20))+MONTH(DA$3)-MONTH($B$20))&lt;='Вводные'!$B$77*12),$B$22/MAX(1,'Вводные'!$B$79),0))))</x:f>
      </x:c>
      <x:c r="DB25" s="117" t="n">
        <x:f>MIN(DB23+DB24,IF('Вводные'!$B$75="Единовременно",DB24,IF(AND('Вводные'!$B$84="Да",YEAR(DB$3)=YEAR($B$21),MONTH(DB$3)=MONTH($B$21)),DB23+DB24,IF(AND((12*(YEAR(DB$3)-YEAR($B$20))+MONTH(DB$3)-MONTH($B$20))&gt;0,MOD((12*(YEAR(DB$3)-YEAR($B$20))+MONTH(DB$3)-MONTH($B$20)),'Вводные'!$B$78)=0,(12*(YEAR(DB$3)-YEAR($B$20))+MONTH(DB$3)-MONTH($B$20))&lt;='Вводные'!$B$77*12),$B$22/MAX(1,'Вводные'!$B$79),0))))</x:f>
      </x:c>
      <x:c r="DC25" s="117" t="n">
        <x:f>MIN(DC23+DC24,IF('Вводные'!$B$75="Единовременно",DC24,IF(AND('Вводные'!$B$84="Да",YEAR(DC$3)=YEAR($B$21),MONTH(DC$3)=MONTH($B$21)),DC23+DC24,IF(AND((12*(YEAR(DC$3)-YEAR($B$20))+MONTH(DC$3)-MONTH($B$20))&gt;0,MOD((12*(YEAR(DC$3)-YEAR($B$20))+MONTH(DC$3)-MONTH($B$20)),'Вводные'!$B$78)=0,(12*(YEAR(DC$3)-YEAR($B$20))+MONTH(DC$3)-MONTH($B$20))&lt;='Вводные'!$B$77*12),$B$22/MAX(1,'Вводные'!$B$79),0))))</x:f>
      </x:c>
      <x:c r="DD25" s="117" t="n">
        <x:f>MIN(DD23+DD24,IF('Вводные'!$B$75="Единовременно",DD24,IF(AND('Вводные'!$B$84="Да",YEAR(DD$3)=YEAR($B$21),MONTH(DD$3)=MONTH($B$21)),DD23+DD24,IF(AND((12*(YEAR(DD$3)-YEAR($B$20))+MONTH(DD$3)-MONTH($B$20))&gt;0,MOD((12*(YEAR(DD$3)-YEAR($B$20))+MONTH(DD$3)-MONTH($B$20)),'Вводные'!$B$78)=0,(12*(YEAR(DD$3)-YEAR($B$20))+MONTH(DD$3)-MONTH($B$20))&lt;='Вводные'!$B$77*12),$B$22/MAX(1,'Вводные'!$B$79),0))))</x:f>
      </x:c>
      <x:c r="DE25" s="117" t="n">
        <x:f>MIN(DE23+DE24,IF('Вводные'!$B$75="Единовременно",DE24,IF(AND('Вводные'!$B$84="Да",YEAR(DE$3)=YEAR($B$21),MONTH(DE$3)=MONTH($B$21)),DE23+DE24,IF(AND((12*(YEAR(DE$3)-YEAR($B$20))+MONTH(DE$3)-MONTH($B$20))&gt;0,MOD((12*(YEAR(DE$3)-YEAR($B$20))+MONTH(DE$3)-MONTH($B$20)),'Вводные'!$B$78)=0,(12*(YEAR(DE$3)-YEAR($B$20))+MONTH(DE$3)-MONTH($B$20))&lt;='Вводные'!$B$77*12),$B$22/MAX(1,'Вводные'!$B$79),0))))</x:f>
      </x:c>
      <x:c r="DF25" s="117" t="n">
        <x:f>MIN(DF23+DF24,IF('Вводные'!$B$75="Единовременно",DF24,IF(AND('Вводные'!$B$84="Да",YEAR(DF$3)=YEAR($B$21),MONTH(DF$3)=MONTH($B$21)),DF23+DF24,IF(AND((12*(YEAR(DF$3)-YEAR($B$20))+MONTH(DF$3)-MONTH($B$20))&gt;0,MOD((12*(YEAR(DF$3)-YEAR($B$20))+MONTH(DF$3)-MONTH($B$20)),'Вводные'!$B$78)=0,(12*(YEAR(DF$3)-YEAR($B$20))+MONTH(DF$3)-MONTH($B$20))&lt;='Вводные'!$B$77*12),$B$22/MAX(1,'Вводные'!$B$79),0))))</x:f>
      </x:c>
      <x:c r="DG25" s="117" t="n">
        <x:f>MIN(DG23+DG24,IF('Вводные'!$B$75="Единовременно",DG24,IF(AND('Вводные'!$B$84="Да",YEAR(DG$3)=YEAR($B$21),MONTH(DG$3)=MONTH($B$21)),DG23+DG24,IF(AND((12*(YEAR(DG$3)-YEAR($B$20))+MONTH(DG$3)-MONTH($B$20))&gt;0,MOD((12*(YEAR(DG$3)-YEAR($B$20))+MONTH(DG$3)-MONTH($B$20)),'Вводные'!$B$78)=0,(12*(YEAR(DG$3)-YEAR($B$20))+MONTH(DG$3)-MONTH($B$20))&lt;='Вводные'!$B$77*12),$B$22/MAX(1,'Вводные'!$B$79),0))))</x:f>
      </x:c>
      <x:c r="DH25" s="117" t="n">
        <x:f>MIN(DH23+DH24,IF('Вводные'!$B$75="Единовременно",DH24,IF(AND('Вводные'!$B$84="Да",YEAR(DH$3)=YEAR($B$21),MONTH(DH$3)=MONTH($B$21)),DH23+DH24,IF(AND((12*(YEAR(DH$3)-YEAR($B$20))+MONTH(DH$3)-MONTH($B$20))&gt;0,MOD((12*(YEAR(DH$3)-YEAR($B$20))+MONTH(DH$3)-MONTH($B$20)),'Вводные'!$B$78)=0,(12*(YEAR(DH$3)-YEAR($B$20))+MONTH(DH$3)-MONTH($B$20))&lt;='Вводные'!$B$77*12),$B$22/MAX(1,'Вводные'!$B$79),0))))</x:f>
      </x:c>
      <x:c r="DI25" s="117" t="n">
        <x:f>MIN(DI23+DI24,IF('Вводные'!$B$75="Единовременно",DI24,IF(AND('Вводные'!$B$84="Да",YEAR(DI$3)=YEAR($B$21),MONTH(DI$3)=MONTH($B$21)),DI23+DI24,IF(AND((12*(YEAR(DI$3)-YEAR($B$20))+MONTH(DI$3)-MONTH($B$20))&gt;0,MOD((12*(YEAR(DI$3)-YEAR($B$20))+MONTH(DI$3)-MONTH($B$20)),'Вводные'!$B$78)=0,(12*(YEAR(DI$3)-YEAR($B$20))+MONTH(DI$3)-MONTH($B$20))&lt;='Вводные'!$B$77*12),$B$22/MAX(1,'Вводные'!$B$79),0))))</x:f>
      </x:c>
      <x:c r="DJ25" s="117" t="n">
        <x:f>MIN(DJ23+DJ24,IF('Вводные'!$B$75="Единовременно",DJ24,IF(AND('Вводные'!$B$84="Да",YEAR(DJ$3)=YEAR($B$21),MONTH(DJ$3)=MONTH($B$21)),DJ23+DJ24,IF(AND((12*(YEAR(DJ$3)-YEAR($B$20))+MONTH(DJ$3)-MONTH($B$20))&gt;0,MOD((12*(YEAR(DJ$3)-YEAR($B$20))+MONTH(DJ$3)-MONTH($B$20)),'Вводные'!$B$78)=0,(12*(YEAR(DJ$3)-YEAR($B$20))+MONTH(DJ$3)-MONTH($B$20))&lt;='Вводные'!$B$77*12),$B$22/MAX(1,'Вводные'!$B$79),0))))</x:f>
      </x:c>
      <x:c r="DK25" s="117" t="n">
        <x:f>MIN(DK23+DK24,IF('Вводные'!$B$75="Единовременно",DK24,IF(AND('Вводные'!$B$84="Да",YEAR(DK$3)=YEAR($B$21),MONTH(DK$3)=MONTH($B$21)),DK23+DK24,IF(AND((12*(YEAR(DK$3)-YEAR($B$20))+MONTH(DK$3)-MONTH($B$20))&gt;0,MOD((12*(YEAR(DK$3)-YEAR($B$20))+MONTH(DK$3)-MONTH($B$20)),'Вводные'!$B$78)=0,(12*(YEAR(DK$3)-YEAR($B$20))+MONTH(DK$3)-MONTH($B$20))&lt;='Вводные'!$B$77*12),$B$22/MAX(1,'Вводные'!$B$79),0))))</x:f>
      </x:c>
      <x:c r="DL25" s="117" t="n">
        <x:f>MIN(DL23+DL24,IF('Вводные'!$B$75="Единовременно",DL24,IF(AND('Вводные'!$B$84="Да",YEAR(DL$3)=YEAR($B$21),MONTH(DL$3)=MONTH($B$21)),DL23+DL24,IF(AND((12*(YEAR(DL$3)-YEAR($B$20))+MONTH(DL$3)-MONTH($B$20))&gt;0,MOD((12*(YEAR(DL$3)-YEAR($B$20))+MONTH(DL$3)-MONTH($B$20)),'Вводные'!$B$78)=0,(12*(YEAR(DL$3)-YEAR($B$20))+MONTH(DL$3)-MONTH($B$20))&lt;='Вводные'!$B$77*12),$B$22/MAX(1,'Вводные'!$B$79),0))))</x:f>
      </x:c>
      <x:c r="DM25" s="117" t="n">
        <x:f>MIN(DM23+DM24,IF('Вводные'!$B$75="Единовременно",DM24,IF(AND('Вводные'!$B$84="Да",YEAR(DM$3)=YEAR($B$21),MONTH(DM$3)=MONTH($B$21)),DM23+DM24,IF(AND((12*(YEAR(DM$3)-YEAR($B$20))+MONTH(DM$3)-MONTH($B$20))&gt;0,MOD((12*(YEAR(DM$3)-YEAR($B$20))+MONTH(DM$3)-MONTH($B$20)),'Вводные'!$B$78)=0,(12*(YEAR(DM$3)-YEAR($B$20))+MONTH(DM$3)-MONTH($B$20))&lt;='Вводные'!$B$77*12),$B$22/MAX(1,'Вводные'!$B$79),0))))</x:f>
      </x:c>
      <x:c r="DN25" s="117" t="n">
        <x:f>MIN(DN23+DN24,IF('Вводные'!$B$75="Единовременно",DN24,IF(AND('Вводные'!$B$84="Да",YEAR(DN$3)=YEAR($B$21),MONTH(DN$3)=MONTH($B$21)),DN23+DN24,IF(AND((12*(YEAR(DN$3)-YEAR($B$20))+MONTH(DN$3)-MONTH($B$20))&gt;0,MOD((12*(YEAR(DN$3)-YEAR($B$20))+MONTH(DN$3)-MONTH($B$20)),'Вводные'!$B$78)=0,(12*(YEAR(DN$3)-YEAR($B$20))+MONTH(DN$3)-MONTH($B$20))&lt;='Вводные'!$B$77*12),$B$22/MAX(1,'Вводные'!$B$79),0))))</x:f>
      </x:c>
      <x:c r="DO25" s="117" t="n">
        <x:f>MIN(DO23+DO24,IF('Вводные'!$B$75="Единовременно",DO24,IF(AND('Вводные'!$B$84="Да",YEAR(DO$3)=YEAR($B$21),MONTH(DO$3)=MONTH($B$21)),DO23+DO24,IF(AND((12*(YEAR(DO$3)-YEAR($B$20))+MONTH(DO$3)-MONTH($B$20))&gt;0,MOD((12*(YEAR(DO$3)-YEAR($B$20))+MONTH(DO$3)-MONTH($B$20)),'Вводные'!$B$78)=0,(12*(YEAR(DO$3)-YEAR($B$20))+MONTH(DO$3)-MONTH($B$20))&lt;='Вводные'!$B$77*12),$B$22/MAX(1,'Вводные'!$B$79),0))))</x:f>
      </x:c>
      <x:c r="DP25" s="117" t="n">
        <x:f>MIN(DP23+DP24,IF('Вводные'!$B$75="Единовременно",DP24,IF(AND('Вводные'!$B$84="Да",YEAR(DP$3)=YEAR($B$21),MONTH(DP$3)=MONTH($B$21)),DP23+DP24,IF(AND((12*(YEAR(DP$3)-YEAR($B$20))+MONTH(DP$3)-MONTH($B$20))&gt;0,MOD((12*(YEAR(DP$3)-YEAR($B$20))+MONTH(DP$3)-MONTH($B$20)),'Вводные'!$B$78)=0,(12*(YEAR(DP$3)-YEAR($B$20))+MONTH(DP$3)-MONTH($B$20))&lt;='Вводные'!$B$77*12),$B$22/MAX(1,'Вводные'!$B$79),0))))</x:f>
      </x:c>
      <x:c r="DQ25" s="117" t="n">
        <x:f>MIN(DQ23+DQ24,IF('Вводные'!$B$75="Единовременно",DQ24,IF(AND('Вводные'!$B$84="Да",YEAR(DQ$3)=YEAR($B$21),MONTH(DQ$3)=MONTH($B$21)),DQ23+DQ24,IF(AND((12*(YEAR(DQ$3)-YEAR($B$20))+MONTH(DQ$3)-MONTH($B$20))&gt;0,MOD((12*(YEAR(DQ$3)-YEAR($B$20))+MONTH(DQ$3)-MONTH($B$20)),'Вводные'!$B$78)=0,(12*(YEAR(DQ$3)-YEAR($B$20))+MONTH(DQ$3)-MONTH($B$20))&lt;='Вводные'!$B$77*12),$B$22/MAX(1,'Вводные'!$B$79),0))))</x:f>
      </x:c>
      <x:c r="DR25" s="117" t="n">
        <x:f>MIN(DR23+DR24,IF('Вводные'!$B$75="Единовременно",DR24,IF(AND('Вводные'!$B$84="Да",YEAR(DR$3)=YEAR($B$21),MONTH(DR$3)=MONTH($B$21)),DR23+DR24,IF(AND((12*(YEAR(DR$3)-YEAR($B$20))+MONTH(DR$3)-MONTH($B$20))&gt;0,MOD((12*(YEAR(DR$3)-YEAR($B$20))+MONTH(DR$3)-MONTH($B$20)),'Вводные'!$B$78)=0,(12*(YEAR(DR$3)-YEAR($B$20))+MONTH(DR$3)-MONTH($B$20))&lt;='Вводные'!$B$77*12),$B$22/MAX(1,'Вводные'!$B$79),0))))</x:f>
      </x:c>
      <x:c r="DS25" s="117" t="n">
        <x:f>MIN(DS23+DS24,IF('Вводные'!$B$75="Единовременно",DS24,IF(AND('Вводные'!$B$84="Да",YEAR(DS$3)=YEAR($B$21),MONTH(DS$3)=MONTH($B$21)),DS23+DS24,IF(AND((12*(YEAR(DS$3)-YEAR($B$20))+MONTH(DS$3)-MONTH($B$20))&gt;0,MOD((12*(YEAR(DS$3)-YEAR($B$20))+MONTH(DS$3)-MONTH($B$20)),'Вводные'!$B$78)=0,(12*(YEAR(DS$3)-YEAR($B$20))+MONTH(DS$3)-MONTH($B$20))&lt;='Вводные'!$B$77*12),$B$22/MAX(1,'Вводные'!$B$79),0))))</x:f>
      </x:c>
    </x:row>
    <x:row r="26">
      <x:c r="A26" t="str">
        <x:v>Проценты по рассрочке</x:v>
      </x:c>
      <x:c r="B26" s="107" t="n">
        <x:f>SUM(D26:DS26)</x:f>
      </x:c>
      <x:c r="C26" t="str">
        <x:v>млн ₽</x:v>
      </x:c>
      <x:c r="D26" s="117" t="n">
        <x:f>IF(AND('Вводные'!$B$75&lt;&gt;"Единовременно",'Вводные'!$B$80="Да",D23&gt;0),IF(AND('Вводные'!$B$84="Да",YEAR(D$3)=YEAR($B$21),MONTH(D$3)=MONTH($B$21)),D23*D30/12,IF(AND((12*(YEAR(D$3)-YEAR($B$20))+MONTH(D$3)-MONTH($B$20))&gt;0,MOD((12*(YEAR(D$3)-YEAR($B$20))+MONTH(D$3)-MONTH($B$20)),'Вводные'!$B$78)=0,(12*(YEAR(D$3)-YEAR($B$20))+MONTH(D$3)-MONTH($B$20))&lt;='Вводные'!$B$77*12),D23*D30*'Вводные'!$B$78/12,0)),0)</x:f>
      </x:c>
      <x:c r="E26" s="117" t="n">
        <x:f>IF(AND('Вводные'!$B$75&lt;&gt;"Единовременно",'Вводные'!$B$80="Да",E23&gt;0),IF(AND('Вводные'!$B$84="Да",YEAR(E$3)=YEAR($B$21),MONTH(E$3)=MONTH($B$21)),E23*E30/12,IF(AND((12*(YEAR(E$3)-YEAR($B$20))+MONTH(E$3)-MONTH($B$20))&gt;0,MOD((12*(YEAR(E$3)-YEAR($B$20))+MONTH(E$3)-MONTH($B$20)),'Вводные'!$B$78)=0,(12*(YEAR(E$3)-YEAR($B$20))+MONTH(E$3)-MONTH($B$20))&lt;='Вводные'!$B$77*12),E23*E30*'Вводные'!$B$78/12,0)),0)</x:f>
      </x:c>
      <x:c r="F26" s="117" t="n">
        <x:f>IF(AND('Вводные'!$B$75&lt;&gt;"Единовременно",'Вводные'!$B$80="Да",F23&gt;0),IF(AND('Вводные'!$B$84="Да",YEAR(F$3)=YEAR($B$21),MONTH(F$3)=MONTH($B$21)),F23*F30/12,IF(AND((12*(YEAR(F$3)-YEAR($B$20))+MONTH(F$3)-MONTH($B$20))&gt;0,MOD((12*(YEAR(F$3)-YEAR($B$20))+MONTH(F$3)-MONTH($B$20)),'Вводные'!$B$78)=0,(12*(YEAR(F$3)-YEAR($B$20))+MONTH(F$3)-MONTH($B$20))&lt;='Вводные'!$B$77*12),F23*F30*'Вводные'!$B$78/12,0)),0)</x:f>
      </x:c>
      <x:c r="G26" s="117" t="n">
        <x:f>IF(AND('Вводные'!$B$75&lt;&gt;"Единовременно",'Вводные'!$B$80="Да",G23&gt;0),IF(AND('Вводные'!$B$84="Да",YEAR(G$3)=YEAR($B$21),MONTH(G$3)=MONTH($B$21)),G23*G30/12,IF(AND((12*(YEAR(G$3)-YEAR($B$20))+MONTH(G$3)-MONTH($B$20))&gt;0,MOD((12*(YEAR(G$3)-YEAR($B$20))+MONTH(G$3)-MONTH($B$20)),'Вводные'!$B$78)=0,(12*(YEAR(G$3)-YEAR($B$20))+MONTH(G$3)-MONTH($B$20))&lt;='Вводные'!$B$77*12),G23*G30*'Вводные'!$B$78/12,0)),0)</x:f>
      </x:c>
      <x:c r="H26" s="117" t="n">
        <x:f>IF(AND('Вводные'!$B$75&lt;&gt;"Единовременно",'Вводные'!$B$80="Да",H23&gt;0),IF(AND('Вводные'!$B$84="Да",YEAR(H$3)=YEAR($B$21),MONTH(H$3)=MONTH($B$21)),H23*H30/12,IF(AND((12*(YEAR(H$3)-YEAR($B$20))+MONTH(H$3)-MONTH($B$20))&gt;0,MOD((12*(YEAR(H$3)-YEAR($B$20))+MONTH(H$3)-MONTH($B$20)),'Вводные'!$B$78)=0,(12*(YEAR(H$3)-YEAR($B$20))+MONTH(H$3)-MONTH($B$20))&lt;='Вводные'!$B$77*12),H23*H30*'Вводные'!$B$78/12,0)),0)</x:f>
      </x:c>
      <x:c r="I26" s="117" t="n">
        <x:f>IF(AND('Вводные'!$B$75&lt;&gt;"Единовременно",'Вводные'!$B$80="Да",I23&gt;0),IF(AND('Вводные'!$B$84="Да",YEAR(I$3)=YEAR($B$21),MONTH(I$3)=MONTH($B$21)),I23*I30/12,IF(AND((12*(YEAR(I$3)-YEAR($B$20))+MONTH(I$3)-MONTH($B$20))&gt;0,MOD((12*(YEAR(I$3)-YEAR($B$20))+MONTH(I$3)-MONTH($B$20)),'Вводные'!$B$78)=0,(12*(YEAR(I$3)-YEAR($B$20))+MONTH(I$3)-MONTH($B$20))&lt;='Вводные'!$B$77*12),I23*I30*'Вводные'!$B$78/12,0)),0)</x:f>
      </x:c>
      <x:c r="J26" s="117" t="n">
        <x:f>IF(AND('Вводные'!$B$75&lt;&gt;"Единовременно",'Вводные'!$B$80="Да",J23&gt;0),IF(AND('Вводные'!$B$84="Да",YEAR(J$3)=YEAR($B$21),MONTH(J$3)=MONTH($B$21)),J23*J30/12,IF(AND((12*(YEAR(J$3)-YEAR($B$20))+MONTH(J$3)-MONTH($B$20))&gt;0,MOD((12*(YEAR(J$3)-YEAR($B$20))+MONTH(J$3)-MONTH($B$20)),'Вводные'!$B$78)=0,(12*(YEAR(J$3)-YEAR($B$20))+MONTH(J$3)-MONTH($B$20))&lt;='Вводные'!$B$77*12),J23*J30*'Вводные'!$B$78/12,0)),0)</x:f>
      </x:c>
      <x:c r="K26" s="117" t="n">
        <x:f>IF(AND('Вводные'!$B$75&lt;&gt;"Единовременно",'Вводные'!$B$80="Да",K23&gt;0),IF(AND('Вводные'!$B$84="Да",YEAR(K$3)=YEAR($B$21),MONTH(K$3)=MONTH($B$21)),K23*K30/12,IF(AND((12*(YEAR(K$3)-YEAR($B$20))+MONTH(K$3)-MONTH($B$20))&gt;0,MOD((12*(YEAR(K$3)-YEAR($B$20))+MONTH(K$3)-MONTH($B$20)),'Вводные'!$B$78)=0,(12*(YEAR(K$3)-YEAR($B$20))+MONTH(K$3)-MONTH($B$20))&lt;='Вводные'!$B$77*12),K23*K30*'Вводные'!$B$78/12,0)),0)</x:f>
      </x:c>
      <x:c r="L26" s="117" t="n">
        <x:f>IF(AND('Вводные'!$B$75&lt;&gt;"Единовременно",'Вводные'!$B$80="Да",L23&gt;0),IF(AND('Вводные'!$B$84="Да",YEAR(L$3)=YEAR($B$21),MONTH(L$3)=MONTH($B$21)),L23*L30/12,IF(AND((12*(YEAR(L$3)-YEAR($B$20))+MONTH(L$3)-MONTH($B$20))&gt;0,MOD((12*(YEAR(L$3)-YEAR($B$20))+MONTH(L$3)-MONTH($B$20)),'Вводные'!$B$78)=0,(12*(YEAR(L$3)-YEAR($B$20))+MONTH(L$3)-MONTH($B$20))&lt;='Вводные'!$B$77*12),L23*L30*'Вводные'!$B$78/12,0)),0)</x:f>
      </x:c>
      <x:c r="M26" s="117" t="n">
        <x:f>IF(AND('Вводные'!$B$75&lt;&gt;"Единовременно",'Вводные'!$B$80="Да",M23&gt;0),IF(AND('Вводные'!$B$84="Да",YEAR(M$3)=YEAR($B$21),MONTH(M$3)=MONTH($B$21)),M23*M30/12,IF(AND((12*(YEAR(M$3)-YEAR($B$20))+MONTH(M$3)-MONTH($B$20))&gt;0,MOD((12*(YEAR(M$3)-YEAR($B$20))+MONTH(M$3)-MONTH($B$20)),'Вводные'!$B$78)=0,(12*(YEAR(M$3)-YEAR($B$20))+MONTH(M$3)-MONTH($B$20))&lt;='Вводные'!$B$77*12),M23*M30*'Вводные'!$B$78/12,0)),0)</x:f>
      </x:c>
      <x:c r="N26" s="117" t="n">
        <x:f>IF(AND('Вводные'!$B$75&lt;&gt;"Единовременно",'Вводные'!$B$80="Да",N23&gt;0),IF(AND('Вводные'!$B$84="Да",YEAR(N$3)=YEAR($B$21),MONTH(N$3)=MONTH($B$21)),N23*N30/12,IF(AND((12*(YEAR(N$3)-YEAR($B$20))+MONTH(N$3)-MONTH($B$20))&gt;0,MOD((12*(YEAR(N$3)-YEAR($B$20))+MONTH(N$3)-MONTH($B$20)),'Вводные'!$B$78)=0,(12*(YEAR(N$3)-YEAR($B$20))+MONTH(N$3)-MONTH($B$20))&lt;='Вводные'!$B$77*12),N23*N30*'Вводные'!$B$78/12,0)),0)</x:f>
      </x:c>
      <x:c r="O26" s="117" t="n">
        <x:f>IF(AND('Вводные'!$B$75&lt;&gt;"Единовременно",'Вводные'!$B$80="Да",O23&gt;0),IF(AND('Вводные'!$B$84="Да",YEAR(O$3)=YEAR($B$21),MONTH(O$3)=MONTH($B$21)),O23*O30/12,IF(AND((12*(YEAR(O$3)-YEAR($B$20))+MONTH(O$3)-MONTH($B$20))&gt;0,MOD((12*(YEAR(O$3)-YEAR($B$20))+MONTH(O$3)-MONTH($B$20)),'Вводные'!$B$78)=0,(12*(YEAR(O$3)-YEAR($B$20))+MONTH(O$3)-MONTH($B$20))&lt;='Вводные'!$B$77*12),O23*O30*'Вводные'!$B$78/12,0)),0)</x:f>
      </x:c>
      <x:c r="P26" s="117" t="n">
        <x:f>IF(AND('Вводные'!$B$75&lt;&gt;"Единовременно",'Вводные'!$B$80="Да",P23&gt;0),IF(AND('Вводные'!$B$84="Да",YEAR(P$3)=YEAR($B$21),MONTH(P$3)=MONTH($B$21)),P23*P30/12,IF(AND((12*(YEAR(P$3)-YEAR($B$20))+MONTH(P$3)-MONTH($B$20))&gt;0,MOD((12*(YEAR(P$3)-YEAR($B$20))+MONTH(P$3)-MONTH($B$20)),'Вводные'!$B$78)=0,(12*(YEAR(P$3)-YEAR($B$20))+MONTH(P$3)-MONTH($B$20))&lt;='Вводные'!$B$77*12),P23*P30*'Вводные'!$B$78/12,0)),0)</x:f>
      </x:c>
      <x:c r="Q26" s="117" t="n">
        <x:f>IF(AND('Вводные'!$B$75&lt;&gt;"Единовременно",'Вводные'!$B$80="Да",Q23&gt;0),IF(AND('Вводные'!$B$84="Да",YEAR(Q$3)=YEAR($B$21),MONTH(Q$3)=MONTH($B$21)),Q23*Q30/12,IF(AND((12*(YEAR(Q$3)-YEAR($B$20))+MONTH(Q$3)-MONTH($B$20))&gt;0,MOD((12*(YEAR(Q$3)-YEAR($B$20))+MONTH(Q$3)-MONTH($B$20)),'Вводные'!$B$78)=0,(12*(YEAR(Q$3)-YEAR($B$20))+MONTH(Q$3)-MONTH($B$20))&lt;='Вводные'!$B$77*12),Q23*Q30*'Вводные'!$B$78/12,0)),0)</x:f>
      </x:c>
      <x:c r="R26" s="117" t="n">
        <x:f>IF(AND('Вводные'!$B$75&lt;&gt;"Единовременно",'Вводные'!$B$80="Да",R23&gt;0),IF(AND('Вводные'!$B$84="Да",YEAR(R$3)=YEAR($B$21),MONTH(R$3)=MONTH($B$21)),R23*R30/12,IF(AND((12*(YEAR(R$3)-YEAR($B$20))+MONTH(R$3)-MONTH($B$20))&gt;0,MOD((12*(YEAR(R$3)-YEAR($B$20))+MONTH(R$3)-MONTH($B$20)),'Вводные'!$B$78)=0,(12*(YEAR(R$3)-YEAR($B$20))+MONTH(R$3)-MONTH($B$20))&lt;='Вводные'!$B$77*12),R23*R30*'Вводные'!$B$78/12,0)),0)</x:f>
      </x:c>
      <x:c r="S26" s="117" t="n">
        <x:f>IF(AND('Вводные'!$B$75&lt;&gt;"Единовременно",'Вводные'!$B$80="Да",S23&gt;0),IF(AND('Вводные'!$B$84="Да",YEAR(S$3)=YEAR($B$21),MONTH(S$3)=MONTH($B$21)),S23*S30/12,IF(AND((12*(YEAR(S$3)-YEAR($B$20))+MONTH(S$3)-MONTH($B$20))&gt;0,MOD((12*(YEAR(S$3)-YEAR($B$20))+MONTH(S$3)-MONTH($B$20)),'Вводные'!$B$78)=0,(12*(YEAR(S$3)-YEAR($B$20))+MONTH(S$3)-MONTH($B$20))&lt;='Вводные'!$B$77*12),S23*S30*'Вводные'!$B$78/12,0)),0)</x:f>
      </x:c>
      <x:c r="T26" s="117" t="n">
        <x:f>IF(AND('Вводные'!$B$75&lt;&gt;"Единовременно",'Вводные'!$B$80="Да",T23&gt;0),IF(AND('Вводные'!$B$84="Да",YEAR(T$3)=YEAR($B$21),MONTH(T$3)=MONTH($B$21)),T23*T30/12,IF(AND((12*(YEAR(T$3)-YEAR($B$20))+MONTH(T$3)-MONTH($B$20))&gt;0,MOD((12*(YEAR(T$3)-YEAR($B$20))+MONTH(T$3)-MONTH($B$20)),'Вводные'!$B$78)=0,(12*(YEAR(T$3)-YEAR($B$20))+MONTH(T$3)-MONTH($B$20))&lt;='Вводные'!$B$77*12),T23*T30*'Вводные'!$B$78/12,0)),0)</x:f>
      </x:c>
      <x:c r="U26" s="117" t="n">
        <x:f>IF(AND('Вводные'!$B$75&lt;&gt;"Единовременно",'Вводные'!$B$80="Да",U23&gt;0),IF(AND('Вводные'!$B$84="Да",YEAR(U$3)=YEAR($B$21),MONTH(U$3)=MONTH($B$21)),U23*U30/12,IF(AND((12*(YEAR(U$3)-YEAR($B$20))+MONTH(U$3)-MONTH($B$20))&gt;0,MOD((12*(YEAR(U$3)-YEAR($B$20))+MONTH(U$3)-MONTH($B$20)),'Вводные'!$B$78)=0,(12*(YEAR(U$3)-YEAR($B$20))+MONTH(U$3)-MONTH($B$20))&lt;='Вводные'!$B$77*12),U23*U30*'Вводные'!$B$78/12,0)),0)</x:f>
      </x:c>
      <x:c r="V26" s="117" t="n">
        <x:f>IF(AND('Вводные'!$B$75&lt;&gt;"Единовременно",'Вводные'!$B$80="Да",V23&gt;0),IF(AND('Вводные'!$B$84="Да",YEAR(V$3)=YEAR($B$21),MONTH(V$3)=MONTH($B$21)),V23*V30/12,IF(AND((12*(YEAR(V$3)-YEAR($B$20))+MONTH(V$3)-MONTH($B$20))&gt;0,MOD((12*(YEAR(V$3)-YEAR($B$20))+MONTH(V$3)-MONTH($B$20)),'Вводные'!$B$78)=0,(12*(YEAR(V$3)-YEAR($B$20))+MONTH(V$3)-MONTH($B$20))&lt;='Вводные'!$B$77*12),V23*V30*'Вводные'!$B$78/12,0)),0)</x:f>
      </x:c>
      <x:c r="W26" s="117" t="n">
        <x:f>IF(AND('Вводные'!$B$75&lt;&gt;"Единовременно",'Вводные'!$B$80="Да",W23&gt;0),IF(AND('Вводные'!$B$84="Да",YEAR(W$3)=YEAR($B$21),MONTH(W$3)=MONTH($B$21)),W23*W30/12,IF(AND((12*(YEAR(W$3)-YEAR($B$20))+MONTH(W$3)-MONTH($B$20))&gt;0,MOD((12*(YEAR(W$3)-YEAR($B$20))+MONTH(W$3)-MONTH($B$20)),'Вводные'!$B$78)=0,(12*(YEAR(W$3)-YEAR($B$20))+MONTH(W$3)-MONTH($B$20))&lt;='Вводные'!$B$77*12),W23*W30*'Вводные'!$B$78/12,0)),0)</x:f>
      </x:c>
      <x:c r="X26" s="117" t="n">
        <x:f>IF(AND('Вводные'!$B$75&lt;&gt;"Единовременно",'Вводные'!$B$80="Да",X23&gt;0),IF(AND('Вводные'!$B$84="Да",YEAR(X$3)=YEAR($B$21),MONTH(X$3)=MONTH($B$21)),X23*X30/12,IF(AND((12*(YEAR(X$3)-YEAR($B$20))+MONTH(X$3)-MONTH($B$20))&gt;0,MOD((12*(YEAR(X$3)-YEAR($B$20))+MONTH(X$3)-MONTH($B$20)),'Вводные'!$B$78)=0,(12*(YEAR(X$3)-YEAR($B$20))+MONTH(X$3)-MONTH($B$20))&lt;='Вводные'!$B$77*12),X23*X30*'Вводные'!$B$78/12,0)),0)</x:f>
      </x:c>
      <x:c r="Y26" s="117" t="n">
        <x:f>IF(AND('Вводные'!$B$75&lt;&gt;"Единовременно",'Вводные'!$B$80="Да",Y23&gt;0),IF(AND('Вводные'!$B$84="Да",YEAR(Y$3)=YEAR($B$21),MONTH(Y$3)=MONTH($B$21)),Y23*Y30/12,IF(AND((12*(YEAR(Y$3)-YEAR($B$20))+MONTH(Y$3)-MONTH($B$20))&gt;0,MOD((12*(YEAR(Y$3)-YEAR($B$20))+MONTH(Y$3)-MONTH($B$20)),'Вводные'!$B$78)=0,(12*(YEAR(Y$3)-YEAR($B$20))+MONTH(Y$3)-MONTH($B$20))&lt;='Вводные'!$B$77*12),Y23*Y30*'Вводные'!$B$78/12,0)),0)</x:f>
      </x:c>
      <x:c r="Z26" s="117" t="n">
        <x:f>IF(AND('Вводные'!$B$75&lt;&gt;"Единовременно",'Вводные'!$B$80="Да",Z23&gt;0),IF(AND('Вводные'!$B$84="Да",YEAR(Z$3)=YEAR($B$21),MONTH(Z$3)=MONTH($B$21)),Z23*Z30/12,IF(AND((12*(YEAR(Z$3)-YEAR($B$20))+MONTH(Z$3)-MONTH($B$20))&gt;0,MOD((12*(YEAR(Z$3)-YEAR($B$20))+MONTH(Z$3)-MONTH($B$20)),'Вводные'!$B$78)=0,(12*(YEAR(Z$3)-YEAR($B$20))+MONTH(Z$3)-MONTH($B$20))&lt;='Вводные'!$B$77*12),Z23*Z30*'Вводные'!$B$78/12,0)),0)</x:f>
      </x:c>
      <x:c r="AA26" s="117" t="n">
        <x:f>IF(AND('Вводные'!$B$75&lt;&gt;"Единовременно",'Вводные'!$B$80="Да",AA23&gt;0),IF(AND('Вводные'!$B$84="Да",YEAR(AA$3)=YEAR($B$21),MONTH(AA$3)=MONTH($B$21)),AA23*AA30/12,IF(AND((12*(YEAR(AA$3)-YEAR($B$20))+MONTH(AA$3)-MONTH($B$20))&gt;0,MOD((12*(YEAR(AA$3)-YEAR($B$20))+MONTH(AA$3)-MONTH($B$20)),'Вводные'!$B$78)=0,(12*(YEAR(AA$3)-YEAR($B$20))+MONTH(AA$3)-MONTH($B$20))&lt;='Вводные'!$B$77*12),AA23*AA30*'Вводные'!$B$78/12,0)),0)</x:f>
      </x:c>
      <x:c r="AB26" s="117" t="n">
        <x:f>IF(AND('Вводные'!$B$75&lt;&gt;"Единовременно",'Вводные'!$B$80="Да",AB23&gt;0),IF(AND('Вводные'!$B$84="Да",YEAR(AB$3)=YEAR($B$21),MONTH(AB$3)=MONTH($B$21)),AB23*AB30/12,IF(AND((12*(YEAR(AB$3)-YEAR($B$20))+MONTH(AB$3)-MONTH($B$20))&gt;0,MOD((12*(YEAR(AB$3)-YEAR($B$20))+MONTH(AB$3)-MONTH($B$20)),'Вводные'!$B$78)=0,(12*(YEAR(AB$3)-YEAR($B$20))+MONTH(AB$3)-MONTH($B$20))&lt;='Вводные'!$B$77*12),AB23*AB30*'Вводные'!$B$78/12,0)),0)</x:f>
      </x:c>
      <x:c r="AC26" s="117" t="n">
        <x:f>IF(AND('Вводные'!$B$75&lt;&gt;"Единовременно",'Вводные'!$B$80="Да",AC23&gt;0),IF(AND('Вводные'!$B$84="Да",YEAR(AC$3)=YEAR($B$21),MONTH(AC$3)=MONTH($B$21)),AC23*AC30/12,IF(AND((12*(YEAR(AC$3)-YEAR($B$20))+MONTH(AC$3)-MONTH($B$20))&gt;0,MOD((12*(YEAR(AC$3)-YEAR($B$20))+MONTH(AC$3)-MONTH($B$20)),'Вводные'!$B$78)=0,(12*(YEAR(AC$3)-YEAR($B$20))+MONTH(AC$3)-MONTH($B$20))&lt;='Вводные'!$B$77*12),AC23*AC30*'Вводные'!$B$78/12,0)),0)</x:f>
      </x:c>
      <x:c r="AD26" s="117" t="n">
        <x:f>IF(AND('Вводные'!$B$75&lt;&gt;"Единовременно",'Вводные'!$B$80="Да",AD23&gt;0),IF(AND('Вводные'!$B$84="Да",YEAR(AD$3)=YEAR($B$21),MONTH(AD$3)=MONTH($B$21)),AD23*AD30/12,IF(AND((12*(YEAR(AD$3)-YEAR($B$20))+MONTH(AD$3)-MONTH($B$20))&gt;0,MOD((12*(YEAR(AD$3)-YEAR($B$20))+MONTH(AD$3)-MONTH($B$20)),'Вводные'!$B$78)=0,(12*(YEAR(AD$3)-YEAR($B$20))+MONTH(AD$3)-MONTH($B$20))&lt;='Вводные'!$B$77*12),AD23*AD30*'Вводные'!$B$78/12,0)),0)</x:f>
      </x:c>
      <x:c r="AE26" s="117" t="n">
        <x:f>IF(AND('Вводные'!$B$75&lt;&gt;"Единовременно",'Вводные'!$B$80="Да",AE23&gt;0),IF(AND('Вводные'!$B$84="Да",YEAR(AE$3)=YEAR($B$21),MONTH(AE$3)=MONTH($B$21)),AE23*AE30/12,IF(AND((12*(YEAR(AE$3)-YEAR($B$20))+MONTH(AE$3)-MONTH($B$20))&gt;0,MOD((12*(YEAR(AE$3)-YEAR($B$20))+MONTH(AE$3)-MONTH($B$20)),'Вводные'!$B$78)=0,(12*(YEAR(AE$3)-YEAR($B$20))+MONTH(AE$3)-MONTH($B$20))&lt;='Вводные'!$B$77*12),AE23*AE30*'Вводные'!$B$78/12,0)),0)</x:f>
      </x:c>
      <x:c r="AF26" s="117" t="n">
        <x:f>IF(AND('Вводные'!$B$75&lt;&gt;"Единовременно",'Вводные'!$B$80="Да",AF23&gt;0),IF(AND('Вводные'!$B$84="Да",YEAR(AF$3)=YEAR($B$21),MONTH(AF$3)=MONTH($B$21)),AF23*AF30/12,IF(AND((12*(YEAR(AF$3)-YEAR($B$20))+MONTH(AF$3)-MONTH($B$20))&gt;0,MOD((12*(YEAR(AF$3)-YEAR($B$20))+MONTH(AF$3)-MONTH($B$20)),'Вводные'!$B$78)=0,(12*(YEAR(AF$3)-YEAR($B$20))+MONTH(AF$3)-MONTH($B$20))&lt;='Вводные'!$B$77*12),AF23*AF30*'Вводные'!$B$78/12,0)),0)</x:f>
      </x:c>
      <x:c r="AG26" s="117" t="n">
        <x:f>IF(AND('Вводные'!$B$75&lt;&gt;"Единовременно",'Вводные'!$B$80="Да",AG23&gt;0),IF(AND('Вводные'!$B$84="Да",YEAR(AG$3)=YEAR($B$21),MONTH(AG$3)=MONTH($B$21)),AG23*AG30/12,IF(AND((12*(YEAR(AG$3)-YEAR($B$20))+MONTH(AG$3)-MONTH($B$20))&gt;0,MOD((12*(YEAR(AG$3)-YEAR($B$20))+MONTH(AG$3)-MONTH($B$20)),'Вводные'!$B$78)=0,(12*(YEAR(AG$3)-YEAR($B$20))+MONTH(AG$3)-MONTH($B$20))&lt;='Вводные'!$B$77*12),AG23*AG30*'Вводные'!$B$78/12,0)),0)</x:f>
      </x:c>
      <x:c r="AH26" s="117" t="n">
        <x:f>IF(AND('Вводные'!$B$75&lt;&gt;"Единовременно",'Вводные'!$B$80="Да",AH23&gt;0),IF(AND('Вводные'!$B$84="Да",YEAR(AH$3)=YEAR($B$21),MONTH(AH$3)=MONTH($B$21)),AH23*AH30/12,IF(AND((12*(YEAR(AH$3)-YEAR($B$20))+MONTH(AH$3)-MONTH($B$20))&gt;0,MOD((12*(YEAR(AH$3)-YEAR($B$20))+MONTH(AH$3)-MONTH($B$20)),'Вводные'!$B$78)=0,(12*(YEAR(AH$3)-YEAR($B$20))+MONTH(AH$3)-MONTH($B$20))&lt;='Вводные'!$B$77*12),AH23*AH30*'Вводные'!$B$78/12,0)),0)</x:f>
      </x:c>
      <x:c r="AI26" s="117" t="n">
        <x:f>IF(AND('Вводные'!$B$75&lt;&gt;"Единовременно",'Вводные'!$B$80="Да",AI23&gt;0),IF(AND('Вводные'!$B$84="Да",YEAR(AI$3)=YEAR($B$21),MONTH(AI$3)=MONTH($B$21)),AI23*AI30/12,IF(AND((12*(YEAR(AI$3)-YEAR($B$20))+MONTH(AI$3)-MONTH($B$20))&gt;0,MOD((12*(YEAR(AI$3)-YEAR($B$20))+MONTH(AI$3)-MONTH($B$20)),'Вводные'!$B$78)=0,(12*(YEAR(AI$3)-YEAR($B$20))+MONTH(AI$3)-MONTH($B$20))&lt;='Вводные'!$B$77*12),AI23*AI30*'Вводные'!$B$78/12,0)),0)</x:f>
      </x:c>
      <x:c r="AJ26" s="117" t="n">
        <x:f>IF(AND('Вводные'!$B$75&lt;&gt;"Единовременно",'Вводные'!$B$80="Да",AJ23&gt;0),IF(AND('Вводные'!$B$84="Да",YEAR(AJ$3)=YEAR($B$21),MONTH(AJ$3)=MONTH($B$21)),AJ23*AJ30/12,IF(AND((12*(YEAR(AJ$3)-YEAR($B$20))+MONTH(AJ$3)-MONTH($B$20))&gt;0,MOD((12*(YEAR(AJ$3)-YEAR($B$20))+MONTH(AJ$3)-MONTH($B$20)),'Вводные'!$B$78)=0,(12*(YEAR(AJ$3)-YEAR($B$20))+MONTH(AJ$3)-MONTH($B$20))&lt;='Вводные'!$B$77*12),AJ23*AJ30*'Вводные'!$B$78/12,0)),0)</x:f>
      </x:c>
      <x:c r="AK26" s="117" t="n">
        <x:f>IF(AND('Вводные'!$B$75&lt;&gt;"Единовременно",'Вводные'!$B$80="Да",AK23&gt;0),IF(AND('Вводные'!$B$84="Да",YEAR(AK$3)=YEAR($B$21),MONTH(AK$3)=MONTH($B$21)),AK23*AK30/12,IF(AND((12*(YEAR(AK$3)-YEAR($B$20))+MONTH(AK$3)-MONTH($B$20))&gt;0,MOD((12*(YEAR(AK$3)-YEAR($B$20))+MONTH(AK$3)-MONTH($B$20)),'Вводные'!$B$78)=0,(12*(YEAR(AK$3)-YEAR($B$20))+MONTH(AK$3)-MONTH($B$20))&lt;='Вводные'!$B$77*12),AK23*AK30*'Вводные'!$B$78/12,0)),0)</x:f>
      </x:c>
      <x:c r="AL26" s="117" t="n">
        <x:f>IF(AND('Вводные'!$B$75&lt;&gt;"Единовременно",'Вводные'!$B$80="Да",AL23&gt;0),IF(AND('Вводные'!$B$84="Да",YEAR(AL$3)=YEAR($B$21),MONTH(AL$3)=MONTH($B$21)),AL23*AL30/12,IF(AND((12*(YEAR(AL$3)-YEAR($B$20))+MONTH(AL$3)-MONTH($B$20))&gt;0,MOD((12*(YEAR(AL$3)-YEAR($B$20))+MONTH(AL$3)-MONTH($B$20)),'Вводные'!$B$78)=0,(12*(YEAR(AL$3)-YEAR($B$20))+MONTH(AL$3)-MONTH($B$20))&lt;='Вводные'!$B$77*12),AL23*AL30*'Вводные'!$B$78/12,0)),0)</x:f>
      </x:c>
      <x:c r="AM26" s="117" t="n">
        <x:f>IF(AND('Вводные'!$B$75&lt;&gt;"Единовременно",'Вводные'!$B$80="Да",AM23&gt;0),IF(AND('Вводные'!$B$84="Да",YEAR(AM$3)=YEAR($B$21),MONTH(AM$3)=MONTH($B$21)),AM23*AM30/12,IF(AND((12*(YEAR(AM$3)-YEAR($B$20))+MONTH(AM$3)-MONTH($B$20))&gt;0,MOD((12*(YEAR(AM$3)-YEAR($B$20))+MONTH(AM$3)-MONTH($B$20)),'Вводные'!$B$78)=0,(12*(YEAR(AM$3)-YEAR($B$20))+MONTH(AM$3)-MONTH($B$20))&lt;='Вводные'!$B$77*12),AM23*AM30*'Вводные'!$B$78/12,0)),0)</x:f>
      </x:c>
      <x:c r="AN26" s="117" t="n">
        <x:f>IF(AND('Вводные'!$B$75&lt;&gt;"Единовременно",'Вводные'!$B$80="Да",AN23&gt;0),IF(AND('Вводные'!$B$84="Да",YEAR(AN$3)=YEAR($B$21),MONTH(AN$3)=MONTH($B$21)),AN23*AN30/12,IF(AND((12*(YEAR(AN$3)-YEAR($B$20))+MONTH(AN$3)-MONTH($B$20))&gt;0,MOD((12*(YEAR(AN$3)-YEAR($B$20))+MONTH(AN$3)-MONTH($B$20)),'Вводные'!$B$78)=0,(12*(YEAR(AN$3)-YEAR($B$20))+MONTH(AN$3)-MONTH($B$20))&lt;='Вводные'!$B$77*12),AN23*AN30*'Вводные'!$B$78/12,0)),0)</x:f>
      </x:c>
      <x:c r="AO26" s="117" t="n">
        <x:f>IF(AND('Вводные'!$B$75&lt;&gt;"Единовременно",'Вводные'!$B$80="Да",AO23&gt;0),IF(AND('Вводные'!$B$84="Да",YEAR(AO$3)=YEAR($B$21),MONTH(AO$3)=MONTH($B$21)),AO23*AO30/12,IF(AND((12*(YEAR(AO$3)-YEAR($B$20))+MONTH(AO$3)-MONTH($B$20))&gt;0,MOD((12*(YEAR(AO$3)-YEAR($B$20))+MONTH(AO$3)-MONTH($B$20)),'Вводные'!$B$78)=0,(12*(YEAR(AO$3)-YEAR($B$20))+MONTH(AO$3)-MONTH($B$20))&lt;='Вводные'!$B$77*12),AO23*AO30*'Вводные'!$B$78/12,0)),0)</x:f>
      </x:c>
      <x:c r="AP26" s="117" t="n">
        <x:f>IF(AND('Вводные'!$B$75&lt;&gt;"Единовременно",'Вводные'!$B$80="Да",AP23&gt;0),IF(AND('Вводные'!$B$84="Да",YEAR(AP$3)=YEAR($B$21),MONTH(AP$3)=MONTH($B$21)),AP23*AP30/12,IF(AND((12*(YEAR(AP$3)-YEAR($B$20))+MONTH(AP$3)-MONTH($B$20))&gt;0,MOD((12*(YEAR(AP$3)-YEAR($B$20))+MONTH(AP$3)-MONTH($B$20)),'Вводные'!$B$78)=0,(12*(YEAR(AP$3)-YEAR($B$20))+MONTH(AP$3)-MONTH($B$20))&lt;='Вводные'!$B$77*12),AP23*AP30*'Вводные'!$B$78/12,0)),0)</x:f>
      </x:c>
      <x:c r="AQ26" s="117" t="n">
        <x:f>IF(AND('Вводные'!$B$75&lt;&gt;"Единовременно",'Вводные'!$B$80="Да",AQ23&gt;0),IF(AND('Вводные'!$B$84="Да",YEAR(AQ$3)=YEAR($B$21),MONTH(AQ$3)=MONTH($B$21)),AQ23*AQ30/12,IF(AND((12*(YEAR(AQ$3)-YEAR($B$20))+MONTH(AQ$3)-MONTH($B$20))&gt;0,MOD((12*(YEAR(AQ$3)-YEAR($B$20))+MONTH(AQ$3)-MONTH($B$20)),'Вводные'!$B$78)=0,(12*(YEAR(AQ$3)-YEAR($B$20))+MONTH(AQ$3)-MONTH($B$20))&lt;='Вводные'!$B$77*12),AQ23*AQ30*'Вводные'!$B$78/12,0)),0)</x:f>
      </x:c>
      <x:c r="AR26" s="117" t="n">
        <x:f>IF(AND('Вводные'!$B$75&lt;&gt;"Единовременно",'Вводные'!$B$80="Да",AR23&gt;0),IF(AND('Вводные'!$B$84="Да",YEAR(AR$3)=YEAR($B$21),MONTH(AR$3)=MONTH($B$21)),AR23*AR30/12,IF(AND((12*(YEAR(AR$3)-YEAR($B$20))+MONTH(AR$3)-MONTH($B$20))&gt;0,MOD((12*(YEAR(AR$3)-YEAR($B$20))+MONTH(AR$3)-MONTH($B$20)),'Вводные'!$B$78)=0,(12*(YEAR(AR$3)-YEAR($B$20))+MONTH(AR$3)-MONTH($B$20))&lt;='Вводные'!$B$77*12),AR23*AR30*'Вводные'!$B$78/12,0)),0)</x:f>
      </x:c>
      <x:c r="AS26" s="117" t="n">
        <x:f>IF(AND('Вводные'!$B$75&lt;&gt;"Единовременно",'Вводные'!$B$80="Да",AS23&gt;0),IF(AND('Вводные'!$B$84="Да",YEAR(AS$3)=YEAR($B$21),MONTH(AS$3)=MONTH($B$21)),AS23*AS30/12,IF(AND((12*(YEAR(AS$3)-YEAR($B$20))+MONTH(AS$3)-MONTH($B$20))&gt;0,MOD((12*(YEAR(AS$3)-YEAR($B$20))+MONTH(AS$3)-MONTH($B$20)),'Вводные'!$B$78)=0,(12*(YEAR(AS$3)-YEAR($B$20))+MONTH(AS$3)-MONTH($B$20))&lt;='Вводные'!$B$77*12),AS23*AS30*'Вводные'!$B$78/12,0)),0)</x:f>
      </x:c>
      <x:c r="AT26" s="117" t="n">
        <x:f>IF(AND('Вводные'!$B$75&lt;&gt;"Единовременно",'Вводные'!$B$80="Да",AT23&gt;0),IF(AND('Вводные'!$B$84="Да",YEAR(AT$3)=YEAR($B$21),MONTH(AT$3)=MONTH($B$21)),AT23*AT30/12,IF(AND((12*(YEAR(AT$3)-YEAR($B$20))+MONTH(AT$3)-MONTH($B$20))&gt;0,MOD((12*(YEAR(AT$3)-YEAR($B$20))+MONTH(AT$3)-MONTH($B$20)),'Вводные'!$B$78)=0,(12*(YEAR(AT$3)-YEAR($B$20))+MONTH(AT$3)-MONTH($B$20))&lt;='Вводные'!$B$77*12),AT23*AT30*'Вводные'!$B$78/12,0)),0)</x:f>
      </x:c>
      <x:c r="AU26" s="117" t="n">
        <x:f>IF(AND('Вводные'!$B$75&lt;&gt;"Единовременно",'Вводные'!$B$80="Да",AU23&gt;0),IF(AND('Вводные'!$B$84="Да",YEAR(AU$3)=YEAR($B$21),MONTH(AU$3)=MONTH($B$21)),AU23*AU30/12,IF(AND((12*(YEAR(AU$3)-YEAR($B$20))+MONTH(AU$3)-MONTH($B$20))&gt;0,MOD((12*(YEAR(AU$3)-YEAR($B$20))+MONTH(AU$3)-MONTH($B$20)),'Вводные'!$B$78)=0,(12*(YEAR(AU$3)-YEAR($B$20))+MONTH(AU$3)-MONTH($B$20))&lt;='Вводные'!$B$77*12),AU23*AU30*'Вводные'!$B$78/12,0)),0)</x:f>
      </x:c>
      <x:c r="AV26" s="117" t="n">
        <x:f>IF(AND('Вводные'!$B$75&lt;&gt;"Единовременно",'Вводные'!$B$80="Да",AV23&gt;0),IF(AND('Вводные'!$B$84="Да",YEAR(AV$3)=YEAR($B$21),MONTH(AV$3)=MONTH($B$21)),AV23*AV30/12,IF(AND((12*(YEAR(AV$3)-YEAR($B$20))+MONTH(AV$3)-MONTH($B$20))&gt;0,MOD((12*(YEAR(AV$3)-YEAR($B$20))+MONTH(AV$3)-MONTH($B$20)),'Вводные'!$B$78)=0,(12*(YEAR(AV$3)-YEAR($B$20))+MONTH(AV$3)-MONTH($B$20))&lt;='Вводные'!$B$77*12),AV23*AV30*'Вводные'!$B$78/12,0)),0)</x:f>
      </x:c>
      <x:c r="AW26" s="117" t="n">
        <x:f>IF(AND('Вводные'!$B$75&lt;&gt;"Единовременно",'Вводные'!$B$80="Да",AW23&gt;0),IF(AND('Вводные'!$B$84="Да",YEAR(AW$3)=YEAR($B$21),MONTH(AW$3)=MONTH($B$21)),AW23*AW30/12,IF(AND((12*(YEAR(AW$3)-YEAR($B$20))+MONTH(AW$3)-MONTH($B$20))&gt;0,MOD((12*(YEAR(AW$3)-YEAR($B$20))+MONTH(AW$3)-MONTH($B$20)),'Вводные'!$B$78)=0,(12*(YEAR(AW$3)-YEAR($B$20))+MONTH(AW$3)-MONTH($B$20))&lt;='Вводные'!$B$77*12),AW23*AW30*'Вводные'!$B$78/12,0)),0)</x:f>
      </x:c>
      <x:c r="AX26" s="117" t="n">
        <x:f>IF(AND('Вводные'!$B$75&lt;&gt;"Единовременно",'Вводные'!$B$80="Да",AX23&gt;0),IF(AND('Вводные'!$B$84="Да",YEAR(AX$3)=YEAR($B$21),MONTH(AX$3)=MONTH($B$21)),AX23*AX30/12,IF(AND((12*(YEAR(AX$3)-YEAR($B$20))+MONTH(AX$3)-MONTH($B$20))&gt;0,MOD((12*(YEAR(AX$3)-YEAR($B$20))+MONTH(AX$3)-MONTH($B$20)),'Вводные'!$B$78)=0,(12*(YEAR(AX$3)-YEAR($B$20))+MONTH(AX$3)-MONTH($B$20))&lt;='Вводные'!$B$77*12),AX23*AX30*'Вводные'!$B$78/12,0)),0)</x:f>
      </x:c>
      <x:c r="AY26" s="117" t="n">
        <x:f>IF(AND('Вводные'!$B$75&lt;&gt;"Единовременно",'Вводные'!$B$80="Да",AY23&gt;0),IF(AND('Вводные'!$B$84="Да",YEAR(AY$3)=YEAR($B$21),MONTH(AY$3)=MONTH($B$21)),AY23*AY30/12,IF(AND((12*(YEAR(AY$3)-YEAR($B$20))+MONTH(AY$3)-MONTH($B$20))&gt;0,MOD((12*(YEAR(AY$3)-YEAR($B$20))+MONTH(AY$3)-MONTH($B$20)),'Вводные'!$B$78)=0,(12*(YEAR(AY$3)-YEAR($B$20))+MONTH(AY$3)-MONTH($B$20))&lt;='Вводные'!$B$77*12),AY23*AY30*'Вводные'!$B$78/12,0)),0)</x:f>
      </x:c>
      <x:c r="AZ26" s="117" t="n">
        <x:f>IF(AND('Вводные'!$B$75&lt;&gt;"Единовременно",'Вводные'!$B$80="Да",AZ23&gt;0),IF(AND('Вводные'!$B$84="Да",YEAR(AZ$3)=YEAR($B$21),MONTH(AZ$3)=MONTH($B$21)),AZ23*AZ30/12,IF(AND((12*(YEAR(AZ$3)-YEAR($B$20))+MONTH(AZ$3)-MONTH($B$20))&gt;0,MOD((12*(YEAR(AZ$3)-YEAR($B$20))+MONTH(AZ$3)-MONTH($B$20)),'Вводные'!$B$78)=0,(12*(YEAR(AZ$3)-YEAR($B$20))+MONTH(AZ$3)-MONTH($B$20))&lt;='Вводные'!$B$77*12),AZ23*AZ30*'Вводные'!$B$78/12,0)),0)</x:f>
      </x:c>
      <x:c r="BA26" s="117" t="n">
        <x:f>IF(AND('Вводные'!$B$75&lt;&gt;"Единовременно",'Вводные'!$B$80="Да",BA23&gt;0),IF(AND('Вводные'!$B$84="Да",YEAR(BA$3)=YEAR($B$21),MONTH(BA$3)=MONTH($B$21)),BA23*BA30/12,IF(AND((12*(YEAR(BA$3)-YEAR($B$20))+MONTH(BA$3)-MONTH($B$20))&gt;0,MOD((12*(YEAR(BA$3)-YEAR($B$20))+MONTH(BA$3)-MONTH($B$20)),'Вводные'!$B$78)=0,(12*(YEAR(BA$3)-YEAR($B$20))+MONTH(BA$3)-MONTH($B$20))&lt;='Вводные'!$B$77*12),BA23*BA30*'Вводные'!$B$78/12,0)),0)</x:f>
      </x:c>
      <x:c r="BB26" s="117" t="n">
        <x:f>IF(AND('Вводные'!$B$75&lt;&gt;"Единовременно",'Вводные'!$B$80="Да",BB23&gt;0),IF(AND('Вводные'!$B$84="Да",YEAR(BB$3)=YEAR($B$21),MONTH(BB$3)=MONTH($B$21)),BB23*BB30/12,IF(AND((12*(YEAR(BB$3)-YEAR($B$20))+MONTH(BB$3)-MONTH($B$20))&gt;0,MOD((12*(YEAR(BB$3)-YEAR($B$20))+MONTH(BB$3)-MONTH($B$20)),'Вводные'!$B$78)=0,(12*(YEAR(BB$3)-YEAR($B$20))+MONTH(BB$3)-MONTH($B$20))&lt;='Вводные'!$B$77*12),BB23*BB30*'Вводные'!$B$78/12,0)),0)</x:f>
      </x:c>
      <x:c r="BC26" s="117" t="n">
        <x:f>IF(AND('Вводные'!$B$75&lt;&gt;"Единовременно",'Вводные'!$B$80="Да",BC23&gt;0),IF(AND('Вводные'!$B$84="Да",YEAR(BC$3)=YEAR($B$21),MONTH(BC$3)=MONTH($B$21)),BC23*BC30/12,IF(AND((12*(YEAR(BC$3)-YEAR($B$20))+MONTH(BC$3)-MONTH($B$20))&gt;0,MOD((12*(YEAR(BC$3)-YEAR($B$20))+MONTH(BC$3)-MONTH($B$20)),'Вводные'!$B$78)=0,(12*(YEAR(BC$3)-YEAR($B$20))+MONTH(BC$3)-MONTH($B$20))&lt;='Вводные'!$B$77*12),BC23*BC30*'Вводные'!$B$78/12,0)),0)</x:f>
      </x:c>
      <x:c r="BD26" s="117" t="n">
        <x:f>IF(AND('Вводные'!$B$75&lt;&gt;"Единовременно",'Вводные'!$B$80="Да",BD23&gt;0),IF(AND('Вводные'!$B$84="Да",YEAR(BD$3)=YEAR($B$21),MONTH(BD$3)=MONTH($B$21)),BD23*BD30/12,IF(AND((12*(YEAR(BD$3)-YEAR($B$20))+MONTH(BD$3)-MONTH($B$20))&gt;0,MOD((12*(YEAR(BD$3)-YEAR($B$20))+MONTH(BD$3)-MONTH($B$20)),'Вводные'!$B$78)=0,(12*(YEAR(BD$3)-YEAR($B$20))+MONTH(BD$3)-MONTH($B$20))&lt;='Вводные'!$B$77*12),BD23*BD30*'Вводные'!$B$78/12,0)),0)</x:f>
      </x:c>
      <x:c r="BE26" s="117" t="n">
        <x:f>IF(AND('Вводные'!$B$75&lt;&gt;"Единовременно",'Вводные'!$B$80="Да",BE23&gt;0),IF(AND('Вводные'!$B$84="Да",YEAR(BE$3)=YEAR($B$21),MONTH(BE$3)=MONTH($B$21)),BE23*BE30/12,IF(AND((12*(YEAR(BE$3)-YEAR($B$20))+MONTH(BE$3)-MONTH($B$20))&gt;0,MOD((12*(YEAR(BE$3)-YEAR($B$20))+MONTH(BE$3)-MONTH($B$20)),'Вводные'!$B$78)=0,(12*(YEAR(BE$3)-YEAR($B$20))+MONTH(BE$3)-MONTH($B$20))&lt;='Вводные'!$B$77*12),BE23*BE30*'Вводные'!$B$78/12,0)),0)</x:f>
      </x:c>
      <x:c r="BF26" s="117" t="n">
        <x:f>IF(AND('Вводные'!$B$75&lt;&gt;"Единовременно",'Вводные'!$B$80="Да",BF23&gt;0),IF(AND('Вводные'!$B$84="Да",YEAR(BF$3)=YEAR($B$21),MONTH(BF$3)=MONTH($B$21)),BF23*BF30/12,IF(AND((12*(YEAR(BF$3)-YEAR($B$20))+MONTH(BF$3)-MONTH($B$20))&gt;0,MOD((12*(YEAR(BF$3)-YEAR($B$20))+MONTH(BF$3)-MONTH($B$20)),'Вводные'!$B$78)=0,(12*(YEAR(BF$3)-YEAR($B$20))+MONTH(BF$3)-MONTH($B$20))&lt;='Вводные'!$B$77*12),BF23*BF30*'Вводные'!$B$78/12,0)),0)</x:f>
      </x:c>
      <x:c r="BG26" s="117" t="n">
        <x:f>IF(AND('Вводные'!$B$75&lt;&gt;"Единовременно",'Вводные'!$B$80="Да",BG23&gt;0),IF(AND('Вводные'!$B$84="Да",YEAR(BG$3)=YEAR($B$21),MONTH(BG$3)=MONTH($B$21)),BG23*BG30/12,IF(AND((12*(YEAR(BG$3)-YEAR($B$20))+MONTH(BG$3)-MONTH($B$20))&gt;0,MOD((12*(YEAR(BG$3)-YEAR($B$20))+MONTH(BG$3)-MONTH($B$20)),'Вводные'!$B$78)=0,(12*(YEAR(BG$3)-YEAR($B$20))+MONTH(BG$3)-MONTH($B$20))&lt;='Вводные'!$B$77*12),BG23*BG30*'Вводные'!$B$78/12,0)),0)</x:f>
      </x:c>
      <x:c r="BH26" s="117" t="n">
        <x:f>IF(AND('Вводные'!$B$75&lt;&gt;"Единовременно",'Вводные'!$B$80="Да",BH23&gt;0),IF(AND('Вводные'!$B$84="Да",YEAR(BH$3)=YEAR($B$21),MONTH(BH$3)=MONTH($B$21)),BH23*BH30/12,IF(AND((12*(YEAR(BH$3)-YEAR($B$20))+MONTH(BH$3)-MONTH($B$20))&gt;0,MOD((12*(YEAR(BH$3)-YEAR($B$20))+MONTH(BH$3)-MONTH($B$20)),'Вводные'!$B$78)=0,(12*(YEAR(BH$3)-YEAR($B$20))+MONTH(BH$3)-MONTH($B$20))&lt;='Вводные'!$B$77*12),BH23*BH30*'Вводные'!$B$78/12,0)),0)</x:f>
      </x:c>
      <x:c r="BI26" s="117" t="n">
        <x:f>IF(AND('Вводные'!$B$75&lt;&gt;"Единовременно",'Вводные'!$B$80="Да",BI23&gt;0),IF(AND('Вводные'!$B$84="Да",YEAR(BI$3)=YEAR($B$21),MONTH(BI$3)=MONTH($B$21)),BI23*BI30/12,IF(AND((12*(YEAR(BI$3)-YEAR($B$20))+MONTH(BI$3)-MONTH($B$20))&gt;0,MOD((12*(YEAR(BI$3)-YEAR($B$20))+MONTH(BI$3)-MONTH($B$20)),'Вводные'!$B$78)=0,(12*(YEAR(BI$3)-YEAR($B$20))+MONTH(BI$3)-MONTH($B$20))&lt;='Вводные'!$B$77*12),BI23*BI30*'Вводные'!$B$78/12,0)),0)</x:f>
      </x:c>
      <x:c r="BJ26" s="117" t="n">
        <x:f>IF(AND('Вводные'!$B$75&lt;&gt;"Единовременно",'Вводные'!$B$80="Да",BJ23&gt;0),IF(AND('Вводные'!$B$84="Да",YEAR(BJ$3)=YEAR($B$21),MONTH(BJ$3)=MONTH($B$21)),BJ23*BJ30/12,IF(AND((12*(YEAR(BJ$3)-YEAR($B$20))+MONTH(BJ$3)-MONTH($B$20))&gt;0,MOD((12*(YEAR(BJ$3)-YEAR($B$20))+MONTH(BJ$3)-MONTH($B$20)),'Вводные'!$B$78)=0,(12*(YEAR(BJ$3)-YEAR($B$20))+MONTH(BJ$3)-MONTH($B$20))&lt;='Вводные'!$B$77*12),BJ23*BJ30*'Вводные'!$B$78/12,0)),0)</x:f>
      </x:c>
      <x:c r="BK26" s="117" t="n">
        <x:f>IF(AND('Вводные'!$B$75&lt;&gt;"Единовременно",'Вводные'!$B$80="Да",BK23&gt;0),IF(AND('Вводные'!$B$84="Да",YEAR(BK$3)=YEAR($B$21),MONTH(BK$3)=MONTH($B$21)),BK23*BK30/12,IF(AND((12*(YEAR(BK$3)-YEAR($B$20))+MONTH(BK$3)-MONTH($B$20))&gt;0,MOD((12*(YEAR(BK$3)-YEAR($B$20))+MONTH(BK$3)-MONTH($B$20)),'Вводные'!$B$78)=0,(12*(YEAR(BK$3)-YEAR($B$20))+MONTH(BK$3)-MONTH($B$20))&lt;='Вводные'!$B$77*12),BK23*BK30*'Вводные'!$B$78/12,0)),0)</x:f>
      </x:c>
      <x:c r="BL26" s="117" t="n">
        <x:f>IF(AND('Вводные'!$B$75&lt;&gt;"Единовременно",'Вводные'!$B$80="Да",BL23&gt;0),IF(AND('Вводные'!$B$84="Да",YEAR(BL$3)=YEAR($B$21),MONTH(BL$3)=MONTH($B$21)),BL23*BL30/12,IF(AND((12*(YEAR(BL$3)-YEAR($B$20))+MONTH(BL$3)-MONTH($B$20))&gt;0,MOD((12*(YEAR(BL$3)-YEAR($B$20))+MONTH(BL$3)-MONTH($B$20)),'Вводные'!$B$78)=0,(12*(YEAR(BL$3)-YEAR($B$20))+MONTH(BL$3)-MONTH($B$20))&lt;='Вводные'!$B$77*12),BL23*BL30*'Вводные'!$B$78/12,0)),0)</x:f>
      </x:c>
      <x:c r="BM26" s="117" t="n">
        <x:f>IF(AND('Вводные'!$B$75&lt;&gt;"Единовременно",'Вводные'!$B$80="Да",BM23&gt;0),IF(AND('Вводные'!$B$84="Да",YEAR(BM$3)=YEAR($B$21),MONTH(BM$3)=MONTH($B$21)),BM23*BM30/12,IF(AND((12*(YEAR(BM$3)-YEAR($B$20))+MONTH(BM$3)-MONTH($B$20))&gt;0,MOD((12*(YEAR(BM$3)-YEAR($B$20))+MONTH(BM$3)-MONTH($B$20)),'Вводные'!$B$78)=0,(12*(YEAR(BM$3)-YEAR($B$20))+MONTH(BM$3)-MONTH($B$20))&lt;='Вводные'!$B$77*12),BM23*BM30*'Вводные'!$B$78/12,0)),0)</x:f>
      </x:c>
      <x:c r="BN26" s="117" t="n">
        <x:f>IF(AND('Вводные'!$B$75&lt;&gt;"Единовременно",'Вводные'!$B$80="Да",BN23&gt;0),IF(AND('Вводные'!$B$84="Да",YEAR(BN$3)=YEAR($B$21),MONTH(BN$3)=MONTH($B$21)),BN23*BN30/12,IF(AND((12*(YEAR(BN$3)-YEAR($B$20))+MONTH(BN$3)-MONTH($B$20))&gt;0,MOD((12*(YEAR(BN$3)-YEAR($B$20))+MONTH(BN$3)-MONTH($B$20)),'Вводные'!$B$78)=0,(12*(YEAR(BN$3)-YEAR($B$20))+MONTH(BN$3)-MONTH($B$20))&lt;='Вводные'!$B$77*12),BN23*BN30*'Вводные'!$B$78/12,0)),0)</x:f>
      </x:c>
      <x:c r="BO26" s="117" t="n">
        <x:f>IF(AND('Вводные'!$B$75&lt;&gt;"Единовременно",'Вводные'!$B$80="Да",BO23&gt;0),IF(AND('Вводные'!$B$84="Да",YEAR(BO$3)=YEAR($B$21),MONTH(BO$3)=MONTH($B$21)),BO23*BO30/12,IF(AND((12*(YEAR(BO$3)-YEAR($B$20))+MONTH(BO$3)-MONTH($B$20))&gt;0,MOD((12*(YEAR(BO$3)-YEAR($B$20))+MONTH(BO$3)-MONTH($B$20)),'Вводные'!$B$78)=0,(12*(YEAR(BO$3)-YEAR($B$20))+MONTH(BO$3)-MONTH($B$20))&lt;='Вводные'!$B$77*12),BO23*BO30*'Вводные'!$B$78/12,0)),0)</x:f>
      </x:c>
      <x:c r="BP26" s="117" t="n">
        <x:f>IF(AND('Вводные'!$B$75&lt;&gt;"Единовременно",'Вводные'!$B$80="Да",BP23&gt;0),IF(AND('Вводные'!$B$84="Да",YEAR(BP$3)=YEAR($B$21),MONTH(BP$3)=MONTH($B$21)),BP23*BP30/12,IF(AND((12*(YEAR(BP$3)-YEAR($B$20))+MONTH(BP$3)-MONTH($B$20))&gt;0,MOD((12*(YEAR(BP$3)-YEAR($B$20))+MONTH(BP$3)-MONTH($B$20)),'Вводные'!$B$78)=0,(12*(YEAR(BP$3)-YEAR($B$20))+MONTH(BP$3)-MONTH($B$20))&lt;='Вводные'!$B$77*12),BP23*BP30*'Вводные'!$B$78/12,0)),0)</x:f>
      </x:c>
      <x:c r="BQ26" s="117" t="n">
        <x:f>IF(AND('Вводные'!$B$75&lt;&gt;"Единовременно",'Вводные'!$B$80="Да",BQ23&gt;0),IF(AND('Вводные'!$B$84="Да",YEAR(BQ$3)=YEAR($B$21),MONTH(BQ$3)=MONTH($B$21)),BQ23*BQ30/12,IF(AND((12*(YEAR(BQ$3)-YEAR($B$20))+MONTH(BQ$3)-MONTH($B$20))&gt;0,MOD((12*(YEAR(BQ$3)-YEAR($B$20))+MONTH(BQ$3)-MONTH($B$20)),'Вводные'!$B$78)=0,(12*(YEAR(BQ$3)-YEAR($B$20))+MONTH(BQ$3)-MONTH($B$20))&lt;='Вводные'!$B$77*12),BQ23*BQ30*'Вводные'!$B$78/12,0)),0)</x:f>
      </x:c>
      <x:c r="BR26" s="117" t="n">
        <x:f>IF(AND('Вводные'!$B$75&lt;&gt;"Единовременно",'Вводные'!$B$80="Да",BR23&gt;0),IF(AND('Вводные'!$B$84="Да",YEAR(BR$3)=YEAR($B$21),MONTH(BR$3)=MONTH($B$21)),BR23*BR30/12,IF(AND((12*(YEAR(BR$3)-YEAR($B$20))+MONTH(BR$3)-MONTH($B$20))&gt;0,MOD((12*(YEAR(BR$3)-YEAR($B$20))+MONTH(BR$3)-MONTH($B$20)),'Вводные'!$B$78)=0,(12*(YEAR(BR$3)-YEAR($B$20))+MONTH(BR$3)-MONTH($B$20))&lt;='Вводные'!$B$77*12),BR23*BR30*'Вводные'!$B$78/12,0)),0)</x:f>
      </x:c>
      <x:c r="BS26" s="117" t="n">
        <x:f>IF(AND('Вводные'!$B$75&lt;&gt;"Единовременно",'Вводные'!$B$80="Да",BS23&gt;0),IF(AND('Вводные'!$B$84="Да",YEAR(BS$3)=YEAR($B$21),MONTH(BS$3)=MONTH($B$21)),BS23*BS30/12,IF(AND((12*(YEAR(BS$3)-YEAR($B$20))+MONTH(BS$3)-MONTH($B$20))&gt;0,MOD((12*(YEAR(BS$3)-YEAR($B$20))+MONTH(BS$3)-MONTH($B$20)),'Вводные'!$B$78)=0,(12*(YEAR(BS$3)-YEAR($B$20))+MONTH(BS$3)-MONTH($B$20))&lt;='Вводные'!$B$77*12),BS23*BS30*'Вводные'!$B$78/12,0)),0)</x:f>
      </x:c>
      <x:c r="BT26" s="117" t="n">
        <x:f>IF(AND('Вводные'!$B$75&lt;&gt;"Единовременно",'Вводные'!$B$80="Да",BT23&gt;0),IF(AND('Вводные'!$B$84="Да",YEAR(BT$3)=YEAR($B$21),MONTH(BT$3)=MONTH($B$21)),BT23*BT30/12,IF(AND((12*(YEAR(BT$3)-YEAR($B$20))+MONTH(BT$3)-MONTH($B$20))&gt;0,MOD((12*(YEAR(BT$3)-YEAR($B$20))+MONTH(BT$3)-MONTH($B$20)),'Вводные'!$B$78)=0,(12*(YEAR(BT$3)-YEAR($B$20))+MONTH(BT$3)-MONTH($B$20))&lt;='Вводные'!$B$77*12),BT23*BT30*'Вводные'!$B$78/12,0)),0)</x:f>
      </x:c>
      <x:c r="BU26" s="117" t="n">
        <x:f>IF(AND('Вводные'!$B$75&lt;&gt;"Единовременно",'Вводные'!$B$80="Да",BU23&gt;0),IF(AND('Вводные'!$B$84="Да",YEAR(BU$3)=YEAR($B$21),MONTH(BU$3)=MONTH($B$21)),BU23*BU30/12,IF(AND((12*(YEAR(BU$3)-YEAR($B$20))+MONTH(BU$3)-MONTH($B$20))&gt;0,MOD((12*(YEAR(BU$3)-YEAR($B$20))+MONTH(BU$3)-MONTH($B$20)),'Вводные'!$B$78)=0,(12*(YEAR(BU$3)-YEAR($B$20))+MONTH(BU$3)-MONTH($B$20))&lt;='Вводные'!$B$77*12),BU23*BU30*'Вводные'!$B$78/12,0)),0)</x:f>
      </x:c>
      <x:c r="BV26" s="117" t="n">
        <x:f>IF(AND('Вводные'!$B$75&lt;&gt;"Единовременно",'Вводные'!$B$80="Да",BV23&gt;0),IF(AND('Вводные'!$B$84="Да",YEAR(BV$3)=YEAR($B$21),MONTH(BV$3)=MONTH($B$21)),BV23*BV30/12,IF(AND((12*(YEAR(BV$3)-YEAR($B$20))+MONTH(BV$3)-MONTH($B$20))&gt;0,MOD((12*(YEAR(BV$3)-YEAR($B$20))+MONTH(BV$3)-MONTH($B$20)),'Вводные'!$B$78)=0,(12*(YEAR(BV$3)-YEAR($B$20))+MONTH(BV$3)-MONTH($B$20))&lt;='Вводные'!$B$77*12),BV23*BV30*'Вводные'!$B$78/12,0)),0)</x:f>
      </x:c>
      <x:c r="BW26" s="117" t="n">
        <x:f>IF(AND('Вводные'!$B$75&lt;&gt;"Единовременно",'Вводные'!$B$80="Да",BW23&gt;0),IF(AND('Вводные'!$B$84="Да",YEAR(BW$3)=YEAR($B$21),MONTH(BW$3)=MONTH($B$21)),BW23*BW30/12,IF(AND((12*(YEAR(BW$3)-YEAR($B$20))+MONTH(BW$3)-MONTH($B$20))&gt;0,MOD((12*(YEAR(BW$3)-YEAR($B$20))+MONTH(BW$3)-MONTH($B$20)),'Вводные'!$B$78)=0,(12*(YEAR(BW$3)-YEAR($B$20))+MONTH(BW$3)-MONTH($B$20))&lt;='Вводные'!$B$77*12),BW23*BW30*'Вводные'!$B$78/12,0)),0)</x:f>
      </x:c>
      <x:c r="BX26" s="117" t="n">
        <x:f>IF(AND('Вводные'!$B$75&lt;&gt;"Единовременно",'Вводные'!$B$80="Да",BX23&gt;0),IF(AND('Вводные'!$B$84="Да",YEAR(BX$3)=YEAR($B$21),MONTH(BX$3)=MONTH($B$21)),BX23*BX30/12,IF(AND((12*(YEAR(BX$3)-YEAR($B$20))+MONTH(BX$3)-MONTH($B$20))&gt;0,MOD((12*(YEAR(BX$3)-YEAR($B$20))+MONTH(BX$3)-MONTH($B$20)),'Вводные'!$B$78)=0,(12*(YEAR(BX$3)-YEAR($B$20))+MONTH(BX$3)-MONTH($B$20))&lt;='Вводные'!$B$77*12),BX23*BX30*'Вводные'!$B$78/12,0)),0)</x:f>
      </x:c>
      <x:c r="BY26" s="117" t="n">
        <x:f>IF(AND('Вводные'!$B$75&lt;&gt;"Единовременно",'Вводные'!$B$80="Да",BY23&gt;0),IF(AND('Вводные'!$B$84="Да",YEAR(BY$3)=YEAR($B$21),MONTH(BY$3)=MONTH($B$21)),BY23*BY30/12,IF(AND((12*(YEAR(BY$3)-YEAR($B$20))+MONTH(BY$3)-MONTH($B$20))&gt;0,MOD((12*(YEAR(BY$3)-YEAR($B$20))+MONTH(BY$3)-MONTH($B$20)),'Вводные'!$B$78)=0,(12*(YEAR(BY$3)-YEAR($B$20))+MONTH(BY$3)-MONTH($B$20))&lt;='Вводные'!$B$77*12),BY23*BY30*'Вводные'!$B$78/12,0)),0)</x:f>
      </x:c>
      <x:c r="BZ26" s="117" t="n">
        <x:f>IF(AND('Вводные'!$B$75&lt;&gt;"Единовременно",'Вводные'!$B$80="Да",BZ23&gt;0),IF(AND('Вводные'!$B$84="Да",YEAR(BZ$3)=YEAR($B$21),MONTH(BZ$3)=MONTH($B$21)),BZ23*BZ30/12,IF(AND((12*(YEAR(BZ$3)-YEAR($B$20))+MONTH(BZ$3)-MONTH($B$20))&gt;0,MOD((12*(YEAR(BZ$3)-YEAR($B$20))+MONTH(BZ$3)-MONTH($B$20)),'Вводные'!$B$78)=0,(12*(YEAR(BZ$3)-YEAR($B$20))+MONTH(BZ$3)-MONTH($B$20))&lt;='Вводные'!$B$77*12),BZ23*BZ30*'Вводные'!$B$78/12,0)),0)</x:f>
      </x:c>
      <x:c r="CA26" s="117" t="n">
        <x:f>IF(AND('Вводные'!$B$75&lt;&gt;"Единовременно",'Вводные'!$B$80="Да",CA23&gt;0),IF(AND('Вводные'!$B$84="Да",YEAR(CA$3)=YEAR($B$21),MONTH(CA$3)=MONTH($B$21)),CA23*CA30/12,IF(AND((12*(YEAR(CA$3)-YEAR($B$20))+MONTH(CA$3)-MONTH($B$20))&gt;0,MOD((12*(YEAR(CA$3)-YEAR($B$20))+MONTH(CA$3)-MONTH($B$20)),'Вводные'!$B$78)=0,(12*(YEAR(CA$3)-YEAR($B$20))+MONTH(CA$3)-MONTH($B$20))&lt;='Вводные'!$B$77*12),CA23*CA30*'Вводные'!$B$78/12,0)),0)</x:f>
      </x:c>
      <x:c r="CB26" s="117" t="n">
        <x:f>IF(AND('Вводные'!$B$75&lt;&gt;"Единовременно",'Вводные'!$B$80="Да",CB23&gt;0),IF(AND('Вводные'!$B$84="Да",YEAR(CB$3)=YEAR($B$21),MONTH(CB$3)=MONTH($B$21)),CB23*CB30/12,IF(AND((12*(YEAR(CB$3)-YEAR($B$20))+MONTH(CB$3)-MONTH($B$20))&gt;0,MOD((12*(YEAR(CB$3)-YEAR($B$20))+MONTH(CB$3)-MONTH($B$20)),'Вводные'!$B$78)=0,(12*(YEAR(CB$3)-YEAR($B$20))+MONTH(CB$3)-MONTH($B$20))&lt;='Вводные'!$B$77*12),CB23*CB30*'Вводные'!$B$78/12,0)),0)</x:f>
      </x:c>
      <x:c r="CC26" s="117" t="n">
        <x:f>IF(AND('Вводные'!$B$75&lt;&gt;"Единовременно",'Вводные'!$B$80="Да",CC23&gt;0),IF(AND('Вводные'!$B$84="Да",YEAR(CC$3)=YEAR($B$21),MONTH(CC$3)=MONTH($B$21)),CC23*CC30/12,IF(AND((12*(YEAR(CC$3)-YEAR($B$20))+MONTH(CC$3)-MONTH($B$20))&gt;0,MOD((12*(YEAR(CC$3)-YEAR($B$20))+MONTH(CC$3)-MONTH($B$20)),'Вводные'!$B$78)=0,(12*(YEAR(CC$3)-YEAR($B$20))+MONTH(CC$3)-MONTH($B$20))&lt;='Вводные'!$B$77*12),CC23*CC30*'Вводные'!$B$78/12,0)),0)</x:f>
      </x:c>
      <x:c r="CD26" s="117" t="n">
        <x:f>IF(AND('Вводные'!$B$75&lt;&gt;"Единовременно",'Вводные'!$B$80="Да",CD23&gt;0),IF(AND('Вводные'!$B$84="Да",YEAR(CD$3)=YEAR($B$21),MONTH(CD$3)=MONTH($B$21)),CD23*CD30/12,IF(AND((12*(YEAR(CD$3)-YEAR($B$20))+MONTH(CD$3)-MONTH($B$20))&gt;0,MOD((12*(YEAR(CD$3)-YEAR($B$20))+MONTH(CD$3)-MONTH($B$20)),'Вводные'!$B$78)=0,(12*(YEAR(CD$3)-YEAR($B$20))+MONTH(CD$3)-MONTH($B$20))&lt;='Вводные'!$B$77*12),CD23*CD30*'Вводные'!$B$78/12,0)),0)</x:f>
      </x:c>
      <x:c r="CE26" s="117" t="n">
        <x:f>IF(AND('Вводные'!$B$75&lt;&gt;"Единовременно",'Вводные'!$B$80="Да",CE23&gt;0),IF(AND('Вводные'!$B$84="Да",YEAR(CE$3)=YEAR($B$21),MONTH(CE$3)=MONTH($B$21)),CE23*CE30/12,IF(AND((12*(YEAR(CE$3)-YEAR($B$20))+MONTH(CE$3)-MONTH($B$20))&gt;0,MOD((12*(YEAR(CE$3)-YEAR($B$20))+MONTH(CE$3)-MONTH($B$20)),'Вводные'!$B$78)=0,(12*(YEAR(CE$3)-YEAR($B$20))+MONTH(CE$3)-MONTH($B$20))&lt;='Вводные'!$B$77*12),CE23*CE30*'Вводные'!$B$78/12,0)),0)</x:f>
      </x:c>
      <x:c r="CF26" s="117" t="n">
        <x:f>IF(AND('Вводные'!$B$75&lt;&gt;"Единовременно",'Вводные'!$B$80="Да",CF23&gt;0),IF(AND('Вводные'!$B$84="Да",YEAR(CF$3)=YEAR($B$21),MONTH(CF$3)=MONTH($B$21)),CF23*CF30/12,IF(AND((12*(YEAR(CF$3)-YEAR($B$20))+MONTH(CF$3)-MONTH($B$20))&gt;0,MOD((12*(YEAR(CF$3)-YEAR($B$20))+MONTH(CF$3)-MONTH($B$20)),'Вводные'!$B$78)=0,(12*(YEAR(CF$3)-YEAR($B$20))+MONTH(CF$3)-MONTH($B$20))&lt;='Вводные'!$B$77*12),CF23*CF30*'Вводные'!$B$78/12,0)),0)</x:f>
      </x:c>
      <x:c r="CG26" s="117" t="n">
        <x:f>IF(AND('Вводные'!$B$75&lt;&gt;"Единовременно",'Вводные'!$B$80="Да",CG23&gt;0),IF(AND('Вводные'!$B$84="Да",YEAR(CG$3)=YEAR($B$21),MONTH(CG$3)=MONTH($B$21)),CG23*CG30/12,IF(AND((12*(YEAR(CG$3)-YEAR($B$20))+MONTH(CG$3)-MONTH($B$20))&gt;0,MOD((12*(YEAR(CG$3)-YEAR($B$20))+MONTH(CG$3)-MONTH($B$20)),'Вводные'!$B$78)=0,(12*(YEAR(CG$3)-YEAR($B$20))+MONTH(CG$3)-MONTH($B$20))&lt;='Вводные'!$B$77*12),CG23*CG30*'Вводные'!$B$78/12,0)),0)</x:f>
      </x:c>
      <x:c r="CH26" s="117" t="n">
        <x:f>IF(AND('Вводные'!$B$75&lt;&gt;"Единовременно",'Вводные'!$B$80="Да",CH23&gt;0),IF(AND('Вводные'!$B$84="Да",YEAR(CH$3)=YEAR($B$21),MONTH(CH$3)=MONTH($B$21)),CH23*CH30/12,IF(AND((12*(YEAR(CH$3)-YEAR($B$20))+MONTH(CH$3)-MONTH($B$20))&gt;0,MOD((12*(YEAR(CH$3)-YEAR($B$20))+MONTH(CH$3)-MONTH($B$20)),'Вводные'!$B$78)=0,(12*(YEAR(CH$3)-YEAR($B$20))+MONTH(CH$3)-MONTH($B$20))&lt;='Вводные'!$B$77*12),CH23*CH30*'Вводные'!$B$78/12,0)),0)</x:f>
      </x:c>
      <x:c r="CI26" s="117" t="n">
        <x:f>IF(AND('Вводные'!$B$75&lt;&gt;"Единовременно",'Вводные'!$B$80="Да",CI23&gt;0),IF(AND('Вводные'!$B$84="Да",YEAR(CI$3)=YEAR($B$21),MONTH(CI$3)=MONTH($B$21)),CI23*CI30/12,IF(AND((12*(YEAR(CI$3)-YEAR($B$20))+MONTH(CI$3)-MONTH($B$20))&gt;0,MOD((12*(YEAR(CI$3)-YEAR($B$20))+MONTH(CI$3)-MONTH($B$20)),'Вводные'!$B$78)=0,(12*(YEAR(CI$3)-YEAR($B$20))+MONTH(CI$3)-MONTH($B$20))&lt;='Вводные'!$B$77*12),CI23*CI30*'Вводные'!$B$78/12,0)),0)</x:f>
      </x:c>
      <x:c r="CJ26" s="117" t="n">
        <x:f>IF(AND('Вводные'!$B$75&lt;&gt;"Единовременно",'Вводные'!$B$80="Да",CJ23&gt;0),IF(AND('Вводные'!$B$84="Да",YEAR(CJ$3)=YEAR($B$21),MONTH(CJ$3)=MONTH($B$21)),CJ23*CJ30/12,IF(AND((12*(YEAR(CJ$3)-YEAR($B$20))+MONTH(CJ$3)-MONTH($B$20))&gt;0,MOD((12*(YEAR(CJ$3)-YEAR($B$20))+MONTH(CJ$3)-MONTH($B$20)),'Вводные'!$B$78)=0,(12*(YEAR(CJ$3)-YEAR($B$20))+MONTH(CJ$3)-MONTH($B$20))&lt;='Вводные'!$B$77*12),CJ23*CJ30*'Вводные'!$B$78/12,0)),0)</x:f>
      </x:c>
      <x:c r="CK26" s="117" t="n">
        <x:f>IF(AND('Вводные'!$B$75&lt;&gt;"Единовременно",'Вводные'!$B$80="Да",CK23&gt;0),IF(AND('Вводные'!$B$84="Да",YEAR(CK$3)=YEAR($B$21),MONTH(CK$3)=MONTH($B$21)),CK23*CK30/12,IF(AND((12*(YEAR(CK$3)-YEAR($B$20))+MONTH(CK$3)-MONTH($B$20))&gt;0,MOD((12*(YEAR(CK$3)-YEAR($B$20))+MONTH(CK$3)-MONTH($B$20)),'Вводные'!$B$78)=0,(12*(YEAR(CK$3)-YEAR($B$20))+MONTH(CK$3)-MONTH($B$20))&lt;='Вводные'!$B$77*12),CK23*CK30*'Вводные'!$B$78/12,0)),0)</x:f>
      </x:c>
      <x:c r="CL26" s="117" t="n">
        <x:f>IF(AND('Вводные'!$B$75&lt;&gt;"Единовременно",'Вводные'!$B$80="Да",CL23&gt;0),IF(AND('Вводные'!$B$84="Да",YEAR(CL$3)=YEAR($B$21),MONTH(CL$3)=MONTH($B$21)),CL23*CL30/12,IF(AND((12*(YEAR(CL$3)-YEAR($B$20))+MONTH(CL$3)-MONTH($B$20))&gt;0,MOD((12*(YEAR(CL$3)-YEAR($B$20))+MONTH(CL$3)-MONTH($B$20)),'Вводные'!$B$78)=0,(12*(YEAR(CL$3)-YEAR($B$20))+MONTH(CL$3)-MONTH($B$20))&lt;='Вводные'!$B$77*12),CL23*CL30*'Вводные'!$B$78/12,0)),0)</x:f>
      </x:c>
      <x:c r="CM26" s="117" t="n">
        <x:f>IF(AND('Вводные'!$B$75&lt;&gt;"Единовременно",'Вводные'!$B$80="Да",CM23&gt;0),IF(AND('Вводные'!$B$84="Да",YEAR(CM$3)=YEAR($B$21),MONTH(CM$3)=MONTH($B$21)),CM23*CM30/12,IF(AND((12*(YEAR(CM$3)-YEAR($B$20))+MONTH(CM$3)-MONTH($B$20))&gt;0,MOD((12*(YEAR(CM$3)-YEAR($B$20))+MONTH(CM$3)-MONTH($B$20)),'Вводные'!$B$78)=0,(12*(YEAR(CM$3)-YEAR($B$20))+MONTH(CM$3)-MONTH($B$20))&lt;='Вводные'!$B$77*12),CM23*CM30*'Вводные'!$B$78/12,0)),0)</x:f>
      </x:c>
      <x:c r="CN26" s="117" t="n">
        <x:f>IF(AND('Вводные'!$B$75&lt;&gt;"Единовременно",'Вводные'!$B$80="Да",CN23&gt;0),IF(AND('Вводные'!$B$84="Да",YEAR(CN$3)=YEAR($B$21),MONTH(CN$3)=MONTH($B$21)),CN23*CN30/12,IF(AND((12*(YEAR(CN$3)-YEAR($B$20))+MONTH(CN$3)-MONTH($B$20))&gt;0,MOD((12*(YEAR(CN$3)-YEAR($B$20))+MONTH(CN$3)-MONTH($B$20)),'Вводные'!$B$78)=0,(12*(YEAR(CN$3)-YEAR($B$20))+MONTH(CN$3)-MONTH($B$20))&lt;='Вводные'!$B$77*12),CN23*CN30*'Вводные'!$B$78/12,0)),0)</x:f>
      </x:c>
      <x:c r="CO26" s="117" t="n">
        <x:f>IF(AND('Вводные'!$B$75&lt;&gt;"Единовременно",'Вводные'!$B$80="Да",CO23&gt;0),IF(AND('Вводные'!$B$84="Да",YEAR(CO$3)=YEAR($B$21),MONTH(CO$3)=MONTH($B$21)),CO23*CO30/12,IF(AND((12*(YEAR(CO$3)-YEAR($B$20))+MONTH(CO$3)-MONTH($B$20))&gt;0,MOD((12*(YEAR(CO$3)-YEAR($B$20))+MONTH(CO$3)-MONTH($B$20)),'Вводные'!$B$78)=0,(12*(YEAR(CO$3)-YEAR($B$20))+MONTH(CO$3)-MONTH($B$20))&lt;='Вводные'!$B$77*12),CO23*CO30*'Вводные'!$B$78/12,0)),0)</x:f>
      </x:c>
      <x:c r="CP26" s="117" t="n">
        <x:f>IF(AND('Вводные'!$B$75&lt;&gt;"Единовременно",'Вводные'!$B$80="Да",CP23&gt;0),IF(AND('Вводные'!$B$84="Да",YEAR(CP$3)=YEAR($B$21),MONTH(CP$3)=MONTH($B$21)),CP23*CP30/12,IF(AND((12*(YEAR(CP$3)-YEAR($B$20))+MONTH(CP$3)-MONTH($B$20))&gt;0,MOD((12*(YEAR(CP$3)-YEAR($B$20))+MONTH(CP$3)-MONTH($B$20)),'Вводные'!$B$78)=0,(12*(YEAR(CP$3)-YEAR($B$20))+MONTH(CP$3)-MONTH($B$20))&lt;='Вводные'!$B$77*12),CP23*CP30*'Вводные'!$B$78/12,0)),0)</x:f>
      </x:c>
      <x:c r="CQ26" s="117" t="n">
        <x:f>IF(AND('Вводные'!$B$75&lt;&gt;"Единовременно",'Вводные'!$B$80="Да",CQ23&gt;0),IF(AND('Вводные'!$B$84="Да",YEAR(CQ$3)=YEAR($B$21),MONTH(CQ$3)=MONTH($B$21)),CQ23*CQ30/12,IF(AND((12*(YEAR(CQ$3)-YEAR($B$20))+MONTH(CQ$3)-MONTH($B$20))&gt;0,MOD((12*(YEAR(CQ$3)-YEAR($B$20))+MONTH(CQ$3)-MONTH($B$20)),'Вводные'!$B$78)=0,(12*(YEAR(CQ$3)-YEAR($B$20))+MONTH(CQ$3)-MONTH($B$20))&lt;='Вводные'!$B$77*12),CQ23*CQ30*'Вводные'!$B$78/12,0)),0)</x:f>
      </x:c>
      <x:c r="CR26" s="117" t="n">
        <x:f>IF(AND('Вводные'!$B$75&lt;&gt;"Единовременно",'Вводные'!$B$80="Да",CR23&gt;0),IF(AND('Вводные'!$B$84="Да",YEAR(CR$3)=YEAR($B$21),MONTH(CR$3)=MONTH($B$21)),CR23*CR30/12,IF(AND((12*(YEAR(CR$3)-YEAR($B$20))+MONTH(CR$3)-MONTH($B$20))&gt;0,MOD((12*(YEAR(CR$3)-YEAR($B$20))+MONTH(CR$3)-MONTH($B$20)),'Вводные'!$B$78)=0,(12*(YEAR(CR$3)-YEAR($B$20))+MONTH(CR$3)-MONTH($B$20))&lt;='Вводные'!$B$77*12),CR23*CR30*'Вводные'!$B$78/12,0)),0)</x:f>
      </x:c>
      <x:c r="CS26" s="117" t="n">
        <x:f>IF(AND('Вводные'!$B$75&lt;&gt;"Единовременно",'Вводные'!$B$80="Да",CS23&gt;0),IF(AND('Вводные'!$B$84="Да",YEAR(CS$3)=YEAR($B$21),MONTH(CS$3)=MONTH($B$21)),CS23*CS30/12,IF(AND((12*(YEAR(CS$3)-YEAR($B$20))+MONTH(CS$3)-MONTH($B$20))&gt;0,MOD((12*(YEAR(CS$3)-YEAR($B$20))+MONTH(CS$3)-MONTH($B$20)),'Вводные'!$B$78)=0,(12*(YEAR(CS$3)-YEAR($B$20))+MONTH(CS$3)-MONTH($B$20))&lt;='Вводные'!$B$77*12),CS23*CS30*'Вводные'!$B$78/12,0)),0)</x:f>
      </x:c>
      <x:c r="CT26" s="117" t="n">
        <x:f>IF(AND('Вводные'!$B$75&lt;&gt;"Единовременно",'Вводные'!$B$80="Да",CT23&gt;0),IF(AND('Вводные'!$B$84="Да",YEAR(CT$3)=YEAR($B$21),MONTH(CT$3)=MONTH($B$21)),CT23*CT30/12,IF(AND((12*(YEAR(CT$3)-YEAR($B$20))+MONTH(CT$3)-MONTH($B$20))&gt;0,MOD((12*(YEAR(CT$3)-YEAR($B$20))+MONTH(CT$3)-MONTH($B$20)),'Вводные'!$B$78)=0,(12*(YEAR(CT$3)-YEAR($B$20))+MONTH(CT$3)-MONTH($B$20))&lt;='Вводные'!$B$77*12),CT23*CT30*'Вводные'!$B$78/12,0)),0)</x:f>
      </x:c>
      <x:c r="CU26" s="117" t="n">
        <x:f>IF(AND('Вводные'!$B$75&lt;&gt;"Единовременно",'Вводные'!$B$80="Да",CU23&gt;0),IF(AND('Вводные'!$B$84="Да",YEAR(CU$3)=YEAR($B$21),MONTH(CU$3)=MONTH($B$21)),CU23*CU30/12,IF(AND((12*(YEAR(CU$3)-YEAR($B$20))+MONTH(CU$3)-MONTH($B$20))&gt;0,MOD((12*(YEAR(CU$3)-YEAR($B$20))+MONTH(CU$3)-MONTH($B$20)),'Вводные'!$B$78)=0,(12*(YEAR(CU$3)-YEAR($B$20))+MONTH(CU$3)-MONTH($B$20))&lt;='Вводные'!$B$77*12),CU23*CU30*'Вводные'!$B$78/12,0)),0)</x:f>
      </x:c>
      <x:c r="CV26" s="117" t="n">
        <x:f>IF(AND('Вводные'!$B$75&lt;&gt;"Единовременно",'Вводные'!$B$80="Да",CV23&gt;0),IF(AND('Вводные'!$B$84="Да",YEAR(CV$3)=YEAR($B$21),MONTH(CV$3)=MONTH($B$21)),CV23*CV30/12,IF(AND((12*(YEAR(CV$3)-YEAR($B$20))+MONTH(CV$3)-MONTH($B$20))&gt;0,MOD((12*(YEAR(CV$3)-YEAR($B$20))+MONTH(CV$3)-MONTH($B$20)),'Вводные'!$B$78)=0,(12*(YEAR(CV$3)-YEAR($B$20))+MONTH(CV$3)-MONTH($B$20))&lt;='Вводные'!$B$77*12),CV23*CV30*'Вводные'!$B$78/12,0)),0)</x:f>
      </x:c>
      <x:c r="CW26" s="117" t="n">
        <x:f>IF(AND('Вводные'!$B$75&lt;&gt;"Единовременно",'Вводные'!$B$80="Да",CW23&gt;0),IF(AND('Вводные'!$B$84="Да",YEAR(CW$3)=YEAR($B$21),MONTH(CW$3)=MONTH($B$21)),CW23*CW30/12,IF(AND((12*(YEAR(CW$3)-YEAR($B$20))+MONTH(CW$3)-MONTH($B$20))&gt;0,MOD((12*(YEAR(CW$3)-YEAR($B$20))+MONTH(CW$3)-MONTH($B$20)),'Вводные'!$B$78)=0,(12*(YEAR(CW$3)-YEAR($B$20))+MONTH(CW$3)-MONTH($B$20))&lt;='Вводные'!$B$77*12),CW23*CW30*'Вводные'!$B$78/12,0)),0)</x:f>
      </x:c>
      <x:c r="CX26" s="117" t="n">
        <x:f>IF(AND('Вводные'!$B$75&lt;&gt;"Единовременно",'Вводные'!$B$80="Да",CX23&gt;0),IF(AND('Вводные'!$B$84="Да",YEAR(CX$3)=YEAR($B$21),MONTH(CX$3)=MONTH($B$21)),CX23*CX30/12,IF(AND((12*(YEAR(CX$3)-YEAR($B$20))+MONTH(CX$3)-MONTH($B$20))&gt;0,MOD((12*(YEAR(CX$3)-YEAR($B$20))+MONTH(CX$3)-MONTH($B$20)),'Вводные'!$B$78)=0,(12*(YEAR(CX$3)-YEAR($B$20))+MONTH(CX$3)-MONTH($B$20))&lt;='Вводные'!$B$77*12),CX23*CX30*'Вводные'!$B$78/12,0)),0)</x:f>
      </x:c>
      <x:c r="CY26" s="117" t="n">
        <x:f>IF(AND('Вводные'!$B$75&lt;&gt;"Единовременно",'Вводные'!$B$80="Да",CY23&gt;0),IF(AND('Вводные'!$B$84="Да",YEAR(CY$3)=YEAR($B$21),MONTH(CY$3)=MONTH($B$21)),CY23*CY30/12,IF(AND((12*(YEAR(CY$3)-YEAR($B$20))+MONTH(CY$3)-MONTH($B$20))&gt;0,MOD((12*(YEAR(CY$3)-YEAR($B$20))+MONTH(CY$3)-MONTH($B$20)),'Вводные'!$B$78)=0,(12*(YEAR(CY$3)-YEAR($B$20))+MONTH(CY$3)-MONTH($B$20))&lt;='Вводные'!$B$77*12),CY23*CY30*'Вводные'!$B$78/12,0)),0)</x:f>
      </x:c>
      <x:c r="CZ26" s="117" t="n">
        <x:f>IF(AND('Вводные'!$B$75&lt;&gt;"Единовременно",'Вводные'!$B$80="Да",CZ23&gt;0),IF(AND('Вводные'!$B$84="Да",YEAR(CZ$3)=YEAR($B$21),MONTH(CZ$3)=MONTH($B$21)),CZ23*CZ30/12,IF(AND((12*(YEAR(CZ$3)-YEAR($B$20))+MONTH(CZ$3)-MONTH($B$20))&gt;0,MOD((12*(YEAR(CZ$3)-YEAR($B$20))+MONTH(CZ$3)-MONTH($B$20)),'Вводные'!$B$78)=0,(12*(YEAR(CZ$3)-YEAR($B$20))+MONTH(CZ$3)-MONTH($B$20))&lt;='Вводные'!$B$77*12),CZ23*CZ30*'Вводные'!$B$78/12,0)),0)</x:f>
      </x:c>
      <x:c r="DA26" s="117" t="n">
        <x:f>IF(AND('Вводные'!$B$75&lt;&gt;"Единовременно",'Вводные'!$B$80="Да",DA23&gt;0),IF(AND('Вводные'!$B$84="Да",YEAR(DA$3)=YEAR($B$21),MONTH(DA$3)=MONTH($B$21)),DA23*DA30/12,IF(AND((12*(YEAR(DA$3)-YEAR($B$20))+MONTH(DA$3)-MONTH($B$20))&gt;0,MOD((12*(YEAR(DA$3)-YEAR($B$20))+MONTH(DA$3)-MONTH($B$20)),'Вводные'!$B$78)=0,(12*(YEAR(DA$3)-YEAR($B$20))+MONTH(DA$3)-MONTH($B$20))&lt;='Вводные'!$B$77*12),DA23*DA30*'Вводные'!$B$78/12,0)),0)</x:f>
      </x:c>
      <x:c r="DB26" s="117" t="n">
        <x:f>IF(AND('Вводные'!$B$75&lt;&gt;"Единовременно",'Вводные'!$B$80="Да",DB23&gt;0),IF(AND('Вводные'!$B$84="Да",YEAR(DB$3)=YEAR($B$21),MONTH(DB$3)=MONTH($B$21)),DB23*DB30/12,IF(AND((12*(YEAR(DB$3)-YEAR($B$20))+MONTH(DB$3)-MONTH($B$20))&gt;0,MOD((12*(YEAR(DB$3)-YEAR($B$20))+MONTH(DB$3)-MONTH($B$20)),'Вводные'!$B$78)=0,(12*(YEAR(DB$3)-YEAR($B$20))+MONTH(DB$3)-MONTH($B$20))&lt;='Вводные'!$B$77*12),DB23*DB30*'Вводные'!$B$78/12,0)),0)</x:f>
      </x:c>
      <x:c r="DC26" s="117" t="n">
        <x:f>IF(AND('Вводные'!$B$75&lt;&gt;"Единовременно",'Вводные'!$B$80="Да",DC23&gt;0),IF(AND('Вводные'!$B$84="Да",YEAR(DC$3)=YEAR($B$21),MONTH(DC$3)=MONTH($B$21)),DC23*DC30/12,IF(AND((12*(YEAR(DC$3)-YEAR($B$20))+MONTH(DC$3)-MONTH($B$20))&gt;0,MOD((12*(YEAR(DC$3)-YEAR($B$20))+MONTH(DC$3)-MONTH($B$20)),'Вводные'!$B$78)=0,(12*(YEAR(DC$3)-YEAR($B$20))+MONTH(DC$3)-MONTH($B$20))&lt;='Вводные'!$B$77*12),DC23*DC30*'Вводные'!$B$78/12,0)),0)</x:f>
      </x:c>
      <x:c r="DD26" s="117" t="n">
        <x:f>IF(AND('Вводные'!$B$75&lt;&gt;"Единовременно",'Вводные'!$B$80="Да",DD23&gt;0),IF(AND('Вводные'!$B$84="Да",YEAR(DD$3)=YEAR($B$21),MONTH(DD$3)=MONTH($B$21)),DD23*DD30/12,IF(AND((12*(YEAR(DD$3)-YEAR($B$20))+MONTH(DD$3)-MONTH($B$20))&gt;0,MOD((12*(YEAR(DD$3)-YEAR($B$20))+MONTH(DD$3)-MONTH($B$20)),'Вводные'!$B$78)=0,(12*(YEAR(DD$3)-YEAR($B$20))+MONTH(DD$3)-MONTH($B$20))&lt;='Вводные'!$B$77*12),DD23*DD30*'Вводные'!$B$78/12,0)),0)</x:f>
      </x:c>
      <x:c r="DE26" s="117" t="n">
        <x:f>IF(AND('Вводные'!$B$75&lt;&gt;"Единовременно",'Вводные'!$B$80="Да",DE23&gt;0),IF(AND('Вводные'!$B$84="Да",YEAR(DE$3)=YEAR($B$21),MONTH(DE$3)=MONTH($B$21)),DE23*DE30/12,IF(AND((12*(YEAR(DE$3)-YEAR($B$20))+MONTH(DE$3)-MONTH($B$20))&gt;0,MOD((12*(YEAR(DE$3)-YEAR($B$20))+MONTH(DE$3)-MONTH($B$20)),'Вводные'!$B$78)=0,(12*(YEAR(DE$3)-YEAR($B$20))+MONTH(DE$3)-MONTH($B$20))&lt;='Вводные'!$B$77*12),DE23*DE30*'Вводные'!$B$78/12,0)),0)</x:f>
      </x:c>
      <x:c r="DF26" s="117" t="n">
        <x:f>IF(AND('Вводные'!$B$75&lt;&gt;"Единовременно",'Вводные'!$B$80="Да",DF23&gt;0),IF(AND('Вводные'!$B$84="Да",YEAR(DF$3)=YEAR($B$21),MONTH(DF$3)=MONTH($B$21)),DF23*DF30/12,IF(AND((12*(YEAR(DF$3)-YEAR($B$20))+MONTH(DF$3)-MONTH($B$20))&gt;0,MOD((12*(YEAR(DF$3)-YEAR($B$20))+MONTH(DF$3)-MONTH($B$20)),'Вводные'!$B$78)=0,(12*(YEAR(DF$3)-YEAR($B$20))+MONTH(DF$3)-MONTH($B$20))&lt;='Вводные'!$B$77*12),DF23*DF30*'Вводные'!$B$78/12,0)),0)</x:f>
      </x:c>
      <x:c r="DG26" s="117" t="n">
        <x:f>IF(AND('Вводные'!$B$75&lt;&gt;"Единовременно",'Вводные'!$B$80="Да",DG23&gt;0),IF(AND('Вводные'!$B$84="Да",YEAR(DG$3)=YEAR($B$21),MONTH(DG$3)=MONTH($B$21)),DG23*DG30/12,IF(AND((12*(YEAR(DG$3)-YEAR($B$20))+MONTH(DG$3)-MONTH($B$20))&gt;0,MOD((12*(YEAR(DG$3)-YEAR($B$20))+MONTH(DG$3)-MONTH($B$20)),'Вводные'!$B$78)=0,(12*(YEAR(DG$3)-YEAR($B$20))+MONTH(DG$3)-MONTH($B$20))&lt;='Вводные'!$B$77*12),DG23*DG30*'Вводные'!$B$78/12,0)),0)</x:f>
      </x:c>
      <x:c r="DH26" s="117" t="n">
        <x:f>IF(AND('Вводные'!$B$75&lt;&gt;"Единовременно",'Вводные'!$B$80="Да",DH23&gt;0),IF(AND('Вводные'!$B$84="Да",YEAR(DH$3)=YEAR($B$21),MONTH(DH$3)=MONTH($B$21)),DH23*DH30/12,IF(AND((12*(YEAR(DH$3)-YEAR($B$20))+MONTH(DH$3)-MONTH($B$20))&gt;0,MOD((12*(YEAR(DH$3)-YEAR($B$20))+MONTH(DH$3)-MONTH($B$20)),'Вводные'!$B$78)=0,(12*(YEAR(DH$3)-YEAR($B$20))+MONTH(DH$3)-MONTH($B$20))&lt;='Вводные'!$B$77*12),DH23*DH30*'Вводные'!$B$78/12,0)),0)</x:f>
      </x:c>
      <x:c r="DI26" s="117" t="n">
        <x:f>IF(AND('Вводные'!$B$75&lt;&gt;"Единовременно",'Вводные'!$B$80="Да",DI23&gt;0),IF(AND('Вводные'!$B$84="Да",YEAR(DI$3)=YEAR($B$21),MONTH(DI$3)=MONTH($B$21)),DI23*DI30/12,IF(AND((12*(YEAR(DI$3)-YEAR($B$20))+MONTH(DI$3)-MONTH($B$20))&gt;0,MOD((12*(YEAR(DI$3)-YEAR($B$20))+MONTH(DI$3)-MONTH($B$20)),'Вводные'!$B$78)=0,(12*(YEAR(DI$3)-YEAR($B$20))+MONTH(DI$3)-MONTH($B$20))&lt;='Вводные'!$B$77*12),DI23*DI30*'Вводные'!$B$78/12,0)),0)</x:f>
      </x:c>
      <x:c r="DJ26" s="117" t="n">
        <x:f>IF(AND('Вводные'!$B$75&lt;&gt;"Единовременно",'Вводные'!$B$80="Да",DJ23&gt;0),IF(AND('Вводные'!$B$84="Да",YEAR(DJ$3)=YEAR($B$21),MONTH(DJ$3)=MONTH($B$21)),DJ23*DJ30/12,IF(AND((12*(YEAR(DJ$3)-YEAR($B$20))+MONTH(DJ$3)-MONTH($B$20))&gt;0,MOD((12*(YEAR(DJ$3)-YEAR($B$20))+MONTH(DJ$3)-MONTH($B$20)),'Вводные'!$B$78)=0,(12*(YEAR(DJ$3)-YEAR($B$20))+MONTH(DJ$3)-MONTH($B$20))&lt;='Вводные'!$B$77*12),DJ23*DJ30*'Вводные'!$B$78/12,0)),0)</x:f>
      </x:c>
      <x:c r="DK26" s="117" t="n">
        <x:f>IF(AND('Вводные'!$B$75&lt;&gt;"Единовременно",'Вводные'!$B$80="Да",DK23&gt;0),IF(AND('Вводные'!$B$84="Да",YEAR(DK$3)=YEAR($B$21),MONTH(DK$3)=MONTH($B$21)),DK23*DK30/12,IF(AND((12*(YEAR(DK$3)-YEAR($B$20))+MONTH(DK$3)-MONTH($B$20))&gt;0,MOD((12*(YEAR(DK$3)-YEAR($B$20))+MONTH(DK$3)-MONTH($B$20)),'Вводные'!$B$78)=0,(12*(YEAR(DK$3)-YEAR($B$20))+MONTH(DK$3)-MONTH($B$20))&lt;='Вводные'!$B$77*12),DK23*DK30*'Вводные'!$B$78/12,0)),0)</x:f>
      </x:c>
      <x:c r="DL26" s="117" t="n">
        <x:f>IF(AND('Вводные'!$B$75&lt;&gt;"Единовременно",'Вводные'!$B$80="Да",DL23&gt;0),IF(AND('Вводные'!$B$84="Да",YEAR(DL$3)=YEAR($B$21),MONTH(DL$3)=MONTH($B$21)),DL23*DL30/12,IF(AND((12*(YEAR(DL$3)-YEAR($B$20))+MONTH(DL$3)-MONTH($B$20))&gt;0,MOD((12*(YEAR(DL$3)-YEAR($B$20))+MONTH(DL$3)-MONTH($B$20)),'Вводные'!$B$78)=0,(12*(YEAR(DL$3)-YEAR($B$20))+MONTH(DL$3)-MONTH($B$20))&lt;='Вводные'!$B$77*12),DL23*DL30*'Вводные'!$B$78/12,0)),0)</x:f>
      </x:c>
      <x:c r="DM26" s="117" t="n">
        <x:f>IF(AND('Вводные'!$B$75&lt;&gt;"Единовременно",'Вводные'!$B$80="Да",DM23&gt;0),IF(AND('Вводные'!$B$84="Да",YEAR(DM$3)=YEAR($B$21),MONTH(DM$3)=MONTH($B$21)),DM23*DM30/12,IF(AND((12*(YEAR(DM$3)-YEAR($B$20))+MONTH(DM$3)-MONTH($B$20))&gt;0,MOD((12*(YEAR(DM$3)-YEAR($B$20))+MONTH(DM$3)-MONTH($B$20)),'Вводные'!$B$78)=0,(12*(YEAR(DM$3)-YEAR($B$20))+MONTH(DM$3)-MONTH($B$20))&lt;='Вводные'!$B$77*12),DM23*DM30*'Вводные'!$B$78/12,0)),0)</x:f>
      </x:c>
      <x:c r="DN26" s="117" t="n">
        <x:f>IF(AND('Вводные'!$B$75&lt;&gt;"Единовременно",'Вводные'!$B$80="Да",DN23&gt;0),IF(AND('Вводные'!$B$84="Да",YEAR(DN$3)=YEAR($B$21),MONTH(DN$3)=MONTH($B$21)),DN23*DN30/12,IF(AND((12*(YEAR(DN$3)-YEAR($B$20))+MONTH(DN$3)-MONTH($B$20))&gt;0,MOD((12*(YEAR(DN$3)-YEAR($B$20))+MONTH(DN$3)-MONTH($B$20)),'Вводные'!$B$78)=0,(12*(YEAR(DN$3)-YEAR($B$20))+MONTH(DN$3)-MONTH($B$20))&lt;='Вводные'!$B$77*12),DN23*DN30*'Вводные'!$B$78/12,0)),0)</x:f>
      </x:c>
      <x:c r="DO26" s="117" t="n">
        <x:f>IF(AND('Вводные'!$B$75&lt;&gt;"Единовременно",'Вводные'!$B$80="Да",DO23&gt;0),IF(AND('Вводные'!$B$84="Да",YEAR(DO$3)=YEAR($B$21),MONTH(DO$3)=MONTH($B$21)),DO23*DO30/12,IF(AND((12*(YEAR(DO$3)-YEAR($B$20))+MONTH(DO$3)-MONTH($B$20))&gt;0,MOD((12*(YEAR(DO$3)-YEAR($B$20))+MONTH(DO$3)-MONTH($B$20)),'Вводные'!$B$78)=0,(12*(YEAR(DO$3)-YEAR($B$20))+MONTH(DO$3)-MONTH($B$20))&lt;='Вводные'!$B$77*12),DO23*DO30*'Вводные'!$B$78/12,0)),0)</x:f>
      </x:c>
      <x:c r="DP26" s="117" t="n">
        <x:f>IF(AND('Вводные'!$B$75&lt;&gt;"Единовременно",'Вводные'!$B$80="Да",DP23&gt;0),IF(AND('Вводные'!$B$84="Да",YEAR(DP$3)=YEAR($B$21),MONTH(DP$3)=MONTH($B$21)),DP23*DP30/12,IF(AND((12*(YEAR(DP$3)-YEAR($B$20))+MONTH(DP$3)-MONTH($B$20))&gt;0,MOD((12*(YEAR(DP$3)-YEAR($B$20))+MONTH(DP$3)-MONTH($B$20)),'Вводные'!$B$78)=0,(12*(YEAR(DP$3)-YEAR($B$20))+MONTH(DP$3)-MONTH($B$20))&lt;='Вводные'!$B$77*12),DP23*DP30*'Вводные'!$B$78/12,0)),0)</x:f>
      </x:c>
      <x:c r="DQ26" s="117" t="n">
        <x:f>IF(AND('Вводные'!$B$75&lt;&gt;"Единовременно",'Вводные'!$B$80="Да",DQ23&gt;0),IF(AND('Вводные'!$B$84="Да",YEAR(DQ$3)=YEAR($B$21),MONTH(DQ$3)=MONTH($B$21)),DQ23*DQ30/12,IF(AND((12*(YEAR(DQ$3)-YEAR($B$20))+MONTH(DQ$3)-MONTH($B$20))&gt;0,MOD((12*(YEAR(DQ$3)-YEAR($B$20))+MONTH(DQ$3)-MONTH($B$20)),'Вводные'!$B$78)=0,(12*(YEAR(DQ$3)-YEAR($B$20))+MONTH(DQ$3)-MONTH($B$20))&lt;='Вводные'!$B$77*12),DQ23*DQ30*'Вводные'!$B$78/12,0)),0)</x:f>
      </x:c>
      <x:c r="DR26" s="117" t="n">
        <x:f>IF(AND('Вводные'!$B$75&lt;&gt;"Единовременно",'Вводные'!$B$80="Да",DR23&gt;0),IF(AND('Вводные'!$B$84="Да",YEAR(DR$3)=YEAR($B$21),MONTH(DR$3)=MONTH($B$21)),DR23*DR30/12,IF(AND((12*(YEAR(DR$3)-YEAR($B$20))+MONTH(DR$3)-MONTH($B$20))&gt;0,MOD((12*(YEAR(DR$3)-YEAR($B$20))+MONTH(DR$3)-MONTH($B$20)),'Вводные'!$B$78)=0,(12*(YEAR(DR$3)-YEAR($B$20))+MONTH(DR$3)-MONTH($B$20))&lt;='Вводные'!$B$77*12),DR23*DR30*'Вводные'!$B$78/12,0)),0)</x:f>
      </x:c>
      <x:c r="DS26" s="117" t="n">
        <x:f>IF(AND('Вводные'!$B$75&lt;&gt;"Единовременно",'Вводные'!$B$80="Да",DS23&gt;0),IF(AND('Вводные'!$B$84="Да",YEAR(DS$3)=YEAR($B$21),MONTH(DS$3)=MONTH($B$21)),DS23*DS30/12,IF(AND((12*(YEAR(DS$3)-YEAR($B$20))+MONTH(DS$3)-MONTH($B$20))&gt;0,MOD((12*(YEAR(DS$3)-YEAR($B$20))+MONTH(DS$3)-MONTH($B$20)),'Вводные'!$B$78)=0,(12*(YEAR(DS$3)-YEAR($B$20))+MONTH(DS$3)-MONTH($B$20))&lt;='Вводные'!$B$77*12),DS23*DS30*'Вводные'!$B$78/12,0)),0)</x:f>
      </x:c>
    </x:row>
    <x:row r="27">
      <x:c r="A27" t="str">
        <x:v>Расходы на обеспечение</x:v>
      </x:c>
      <x:c r="B27" s="107" t="n">
        <x:f>SUM(D27:DS27)</x:f>
      </x:c>
      <x:c r="C27" t="str">
        <x:v>млн ₽</x:v>
      </x:c>
      <x:c r="D27" s="117" t="n">
        <x:f>IF(D24&gt;0,'Вводные'!$B$83*'Вводные'!$Q$89,0)</x:f>
      </x:c>
      <x:c r="E27" s="117" t="n">
        <x:f>IF(E24&gt;0,'Вводные'!$B$83*'Вводные'!$Q$89,0)</x:f>
      </x:c>
      <x:c r="F27" s="117" t="n">
        <x:f>IF(F24&gt;0,'Вводные'!$B$83*'Вводные'!$Q$89,0)</x:f>
      </x:c>
      <x:c r="G27" s="117" t="n">
        <x:f>IF(G24&gt;0,'Вводные'!$B$83*'Вводные'!$Q$89,0)</x:f>
      </x:c>
      <x:c r="H27" s="117" t="n">
        <x:f>IF(H24&gt;0,'Вводные'!$B$83*'Вводные'!$Q$89,0)</x:f>
      </x:c>
      <x:c r="I27" s="117" t="n">
        <x:f>IF(I24&gt;0,'Вводные'!$B$83*'Вводные'!$Q$89,0)</x:f>
      </x:c>
      <x:c r="J27" s="117" t="n">
        <x:f>IF(J24&gt;0,'Вводные'!$B$83*'Вводные'!$Q$89,0)</x:f>
      </x:c>
      <x:c r="K27" s="117" t="n">
        <x:f>IF(K24&gt;0,'Вводные'!$B$83*'Вводные'!$Q$89,0)</x:f>
      </x:c>
      <x:c r="L27" s="117" t="n">
        <x:f>IF(L24&gt;0,'Вводные'!$B$83*'Вводные'!$Q$89,0)</x:f>
      </x:c>
      <x:c r="M27" s="117" t="n">
        <x:f>IF(M24&gt;0,'Вводные'!$B$83*'Вводные'!$Q$89,0)</x:f>
      </x:c>
      <x:c r="N27" s="117" t="n">
        <x:f>IF(N24&gt;0,'Вводные'!$B$83*'Вводные'!$Q$89,0)</x:f>
      </x:c>
      <x:c r="O27" s="117" t="n">
        <x:f>IF(O24&gt;0,'Вводные'!$B$83*'Вводные'!$Q$89,0)</x:f>
      </x:c>
      <x:c r="P27" s="117" t="n">
        <x:f>IF(P24&gt;0,'Вводные'!$B$83*'Вводные'!$Q$89,0)</x:f>
      </x:c>
      <x:c r="Q27" s="117" t="n">
        <x:f>IF(Q24&gt;0,'Вводные'!$B$83*'Вводные'!$Q$89,0)</x:f>
      </x:c>
      <x:c r="R27" s="117" t="n">
        <x:f>IF(R24&gt;0,'Вводные'!$B$83*'Вводные'!$Q$89,0)</x:f>
      </x:c>
      <x:c r="S27" s="117" t="n">
        <x:f>IF(S24&gt;0,'Вводные'!$B$83*'Вводные'!$Q$89,0)</x:f>
      </x:c>
      <x:c r="T27" s="117" t="n">
        <x:f>IF(T24&gt;0,'Вводные'!$B$83*'Вводные'!$Q$89,0)</x:f>
      </x:c>
      <x:c r="U27" s="117" t="n">
        <x:f>IF(U24&gt;0,'Вводные'!$B$83*'Вводные'!$Q$89,0)</x:f>
      </x:c>
      <x:c r="V27" s="117" t="n">
        <x:f>IF(V24&gt;0,'Вводные'!$B$83*'Вводные'!$Q$89,0)</x:f>
      </x:c>
      <x:c r="W27" s="117" t="n">
        <x:f>IF(W24&gt;0,'Вводные'!$B$83*'Вводные'!$Q$89,0)</x:f>
      </x:c>
      <x:c r="X27" s="117" t="n">
        <x:f>IF(X24&gt;0,'Вводные'!$B$83*'Вводные'!$Q$89,0)</x:f>
      </x:c>
      <x:c r="Y27" s="117" t="n">
        <x:f>IF(Y24&gt;0,'Вводные'!$B$83*'Вводные'!$Q$89,0)</x:f>
      </x:c>
      <x:c r="Z27" s="117" t="n">
        <x:f>IF(Z24&gt;0,'Вводные'!$B$83*'Вводные'!$Q$89,0)</x:f>
      </x:c>
      <x:c r="AA27" s="117" t="n">
        <x:f>IF(AA24&gt;0,'Вводные'!$B$83*'Вводные'!$Q$89,0)</x:f>
      </x:c>
      <x:c r="AB27" s="117" t="n">
        <x:f>IF(AB24&gt;0,'Вводные'!$B$83*'Вводные'!$Q$89,0)</x:f>
      </x:c>
      <x:c r="AC27" s="117" t="n">
        <x:f>IF(AC24&gt;0,'Вводные'!$B$83*'Вводные'!$Q$89,0)</x:f>
      </x:c>
      <x:c r="AD27" s="117" t="n">
        <x:f>IF(AD24&gt;0,'Вводные'!$B$83*'Вводные'!$Q$89,0)</x:f>
      </x:c>
      <x:c r="AE27" s="117" t="n">
        <x:f>IF(AE24&gt;0,'Вводные'!$B$83*'Вводные'!$Q$89,0)</x:f>
      </x:c>
      <x:c r="AF27" s="117" t="n">
        <x:f>IF(AF24&gt;0,'Вводные'!$B$83*'Вводные'!$Q$89,0)</x:f>
      </x:c>
      <x:c r="AG27" s="117" t="n">
        <x:f>IF(AG24&gt;0,'Вводные'!$B$83*'Вводные'!$Q$89,0)</x:f>
      </x:c>
      <x:c r="AH27" s="117" t="n">
        <x:f>IF(AH24&gt;0,'Вводные'!$B$83*'Вводные'!$Q$89,0)</x:f>
      </x:c>
      <x:c r="AI27" s="117" t="n">
        <x:f>IF(AI24&gt;0,'Вводные'!$B$83*'Вводные'!$Q$89,0)</x:f>
      </x:c>
      <x:c r="AJ27" s="117" t="n">
        <x:f>IF(AJ24&gt;0,'Вводные'!$B$83*'Вводные'!$Q$89,0)</x:f>
      </x:c>
      <x:c r="AK27" s="117" t="n">
        <x:f>IF(AK24&gt;0,'Вводные'!$B$83*'Вводные'!$Q$89,0)</x:f>
      </x:c>
      <x:c r="AL27" s="117" t="n">
        <x:f>IF(AL24&gt;0,'Вводные'!$B$83*'Вводные'!$Q$89,0)</x:f>
      </x:c>
      <x:c r="AM27" s="117" t="n">
        <x:f>IF(AM24&gt;0,'Вводные'!$B$83*'Вводные'!$Q$89,0)</x:f>
      </x:c>
      <x:c r="AN27" s="117" t="n">
        <x:f>IF(AN24&gt;0,'Вводные'!$B$83*'Вводные'!$Q$89,0)</x:f>
      </x:c>
      <x:c r="AO27" s="117" t="n">
        <x:f>IF(AO24&gt;0,'Вводные'!$B$83*'Вводные'!$Q$89,0)</x:f>
      </x:c>
      <x:c r="AP27" s="117" t="n">
        <x:f>IF(AP24&gt;0,'Вводные'!$B$83*'Вводные'!$Q$89,0)</x:f>
      </x:c>
      <x:c r="AQ27" s="117" t="n">
        <x:f>IF(AQ24&gt;0,'Вводные'!$B$83*'Вводные'!$Q$89,0)</x:f>
      </x:c>
      <x:c r="AR27" s="117" t="n">
        <x:f>IF(AR24&gt;0,'Вводные'!$B$83*'Вводные'!$Q$89,0)</x:f>
      </x:c>
      <x:c r="AS27" s="117" t="n">
        <x:f>IF(AS24&gt;0,'Вводные'!$B$83*'Вводные'!$Q$89,0)</x:f>
      </x:c>
      <x:c r="AT27" s="117" t="n">
        <x:f>IF(AT24&gt;0,'Вводные'!$B$83*'Вводные'!$Q$89,0)</x:f>
      </x:c>
      <x:c r="AU27" s="117" t="n">
        <x:f>IF(AU24&gt;0,'Вводные'!$B$83*'Вводные'!$Q$89,0)</x:f>
      </x:c>
      <x:c r="AV27" s="117" t="n">
        <x:f>IF(AV24&gt;0,'Вводные'!$B$83*'Вводные'!$Q$89,0)</x:f>
      </x:c>
      <x:c r="AW27" s="117" t="n">
        <x:f>IF(AW24&gt;0,'Вводные'!$B$83*'Вводные'!$Q$89,0)</x:f>
      </x:c>
      <x:c r="AX27" s="117" t="n">
        <x:f>IF(AX24&gt;0,'Вводные'!$B$83*'Вводные'!$Q$89,0)</x:f>
      </x:c>
      <x:c r="AY27" s="117" t="n">
        <x:f>IF(AY24&gt;0,'Вводные'!$B$83*'Вводные'!$Q$89,0)</x:f>
      </x:c>
      <x:c r="AZ27" s="117" t="n">
        <x:f>IF(AZ24&gt;0,'Вводные'!$B$83*'Вводные'!$Q$89,0)</x:f>
      </x:c>
      <x:c r="BA27" s="117" t="n">
        <x:f>IF(BA24&gt;0,'Вводные'!$B$83*'Вводные'!$Q$89,0)</x:f>
      </x:c>
      <x:c r="BB27" s="117" t="n">
        <x:f>IF(BB24&gt;0,'Вводные'!$B$83*'Вводные'!$Q$89,0)</x:f>
      </x:c>
      <x:c r="BC27" s="117" t="n">
        <x:f>IF(BC24&gt;0,'Вводные'!$B$83*'Вводные'!$Q$89,0)</x:f>
      </x:c>
      <x:c r="BD27" s="117" t="n">
        <x:f>IF(BD24&gt;0,'Вводные'!$B$83*'Вводные'!$Q$89,0)</x:f>
      </x:c>
      <x:c r="BE27" s="117" t="n">
        <x:f>IF(BE24&gt;0,'Вводные'!$B$83*'Вводные'!$Q$89,0)</x:f>
      </x:c>
      <x:c r="BF27" s="117" t="n">
        <x:f>IF(BF24&gt;0,'Вводные'!$B$83*'Вводные'!$Q$89,0)</x:f>
      </x:c>
      <x:c r="BG27" s="117" t="n">
        <x:f>IF(BG24&gt;0,'Вводные'!$B$83*'Вводные'!$Q$89,0)</x:f>
      </x:c>
      <x:c r="BH27" s="117" t="n">
        <x:f>IF(BH24&gt;0,'Вводные'!$B$83*'Вводные'!$Q$89,0)</x:f>
      </x:c>
      <x:c r="BI27" s="117" t="n">
        <x:f>IF(BI24&gt;0,'Вводные'!$B$83*'Вводные'!$Q$89,0)</x:f>
      </x:c>
      <x:c r="BJ27" s="117" t="n">
        <x:f>IF(BJ24&gt;0,'Вводные'!$B$83*'Вводные'!$Q$89,0)</x:f>
      </x:c>
      <x:c r="BK27" s="117" t="n">
        <x:f>IF(BK24&gt;0,'Вводные'!$B$83*'Вводные'!$Q$89,0)</x:f>
      </x:c>
      <x:c r="BL27" s="117" t="n">
        <x:f>IF(BL24&gt;0,'Вводные'!$B$83*'Вводные'!$Q$89,0)</x:f>
      </x:c>
      <x:c r="BM27" s="117" t="n">
        <x:f>IF(BM24&gt;0,'Вводные'!$B$83*'Вводные'!$Q$89,0)</x:f>
      </x:c>
      <x:c r="BN27" s="117" t="n">
        <x:f>IF(BN24&gt;0,'Вводные'!$B$83*'Вводные'!$Q$89,0)</x:f>
      </x:c>
      <x:c r="BO27" s="117" t="n">
        <x:f>IF(BO24&gt;0,'Вводные'!$B$83*'Вводные'!$Q$89,0)</x:f>
      </x:c>
      <x:c r="BP27" s="117" t="n">
        <x:f>IF(BP24&gt;0,'Вводные'!$B$83*'Вводные'!$Q$89,0)</x:f>
      </x:c>
      <x:c r="BQ27" s="117" t="n">
        <x:f>IF(BQ24&gt;0,'Вводные'!$B$83*'Вводные'!$Q$89,0)</x:f>
      </x:c>
      <x:c r="BR27" s="117" t="n">
        <x:f>IF(BR24&gt;0,'Вводные'!$B$83*'Вводные'!$Q$89,0)</x:f>
      </x:c>
      <x:c r="BS27" s="117" t="n">
        <x:f>IF(BS24&gt;0,'Вводные'!$B$83*'Вводные'!$Q$89,0)</x:f>
      </x:c>
      <x:c r="BT27" s="117" t="n">
        <x:f>IF(BT24&gt;0,'Вводные'!$B$83*'Вводные'!$Q$89,0)</x:f>
      </x:c>
      <x:c r="BU27" s="117" t="n">
        <x:f>IF(BU24&gt;0,'Вводные'!$B$83*'Вводные'!$Q$89,0)</x:f>
      </x:c>
      <x:c r="BV27" s="117" t="n">
        <x:f>IF(BV24&gt;0,'Вводные'!$B$83*'Вводные'!$Q$89,0)</x:f>
      </x:c>
      <x:c r="BW27" s="117" t="n">
        <x:f>IF(BW24&gt;0,'Вводные'!$B$83*'Вводные'!$Q$89,0)</x:f>
      </x:c>
      <x:c r="BX27" s="117" t="n">
        <x:f>IF(BX24&gt;0,'Вводные'!$B$83*'Вводные'!$Q$89,0)</x:f>
      </x:c>
      <x:c r="BY27" s="117" t="n">
        <x:f>IF(BY24&gt;0,'Вводные'!$B$83*'Вводные'!$Q$89,0)</x:f>
      </x:c>
      <x:c r="BZ27" s="117" t="n">
        <x:f>IF(BZ24&gt;0,'Вводные'!$B$83*'Вводные'!$Q$89,0)</x:f>
      </x:c>
      <x:c r="CA27" s="117" t="n">
        <x:f>IF(CA24&gt;0,'Вводные'!$B$83*'Вводные'!$Q$89,0)</x:f>
      </x:c>
      <x:c r="CB27" s="117" t="n">
        <x:f>IF(CB24&gt;0,'Вводные'!$B$83*'Вводные'!$Q$89,0)</x:f>
      </x:c>
      <x:c r="CC27" s="117" t="n">
        <x:f>IF(CC24&gt;0,'Вводные'!$B$83*'Вводные'!$Q$89,0)</x:f>
      </x:c>
      <x:c r="CD27" s="117" t="n">
        <x:f>IF(CD24&gt;0,'Вводные'!$B$83*'Вводные'!$Q$89,0)</x:f>
      </x:c>
      <x:c r="CE27" s="117" t="n">
        <x:f>IF(CE24&gt;0,'Вводные'!$B$83*'Вводные'!$Q$89,0)</x:f>
      </x:c>
      <x:c r="CF27" s="117" t="n">
        <x:f>IF(CF24&gt;0,'Вводные'!$B$83*'Вводные'!$Q$89,0)</x:f>
      </x:c>
      <x:c r="CG27" s="117" t="n">
        <x:f>IF(CG24&gt;0,'Вводные'!$B$83*'Вводные'!$Q$89,0)</x:f>
      </x:c>
      <x:c r="CH27" s="117" t="n">
        <x:f>IF(CH24&gt;0,'Вводные'!$B$83*'Вводные'!$Q$89,0)</x:f>
      </x:c>
      <x:c r="CI27" s="117" t="n">
        <x:f>IF(CI24&gt;0,'Вводные'!$B$83*'Вводные'!$Q$89,0)</x:f>
      </x:c>
      <x:c r="CJ27" s="117" t="n">
        <x:f>IF(CJ24&gt;0,'Вводные'!$B$83*'Вводные'!$Q$89,0)</x:f>
      </x:c>
      <x:c r="CK27" s="117" t="n">
        <x:f>IF(CK24&gt;0,'Вводные'!$B$83*'Вводные'!$Q$89,0)</x:f>
      </x:c>
      <x:c r="CL27" s="117" t="n">
        <x:f>IF(CL24&gt;0,'Вводные'!$B$83*'Вводные'!$Q$89,0)</x:f>
      </x:c>
      <x:c r="CM27" s="117" t="n">
        <x:f>IF(CM24&gt;0,'Вводные'!$B$83*'Вводные'!$Q$89,0)</x:f>
      </x:c>
      <x:c r="CN27" s="117" t="n">
        <x:f>IF(CN24&gt;0,'Вводные'!$B$83*'Вводные'!$Q$89,0)</x:f>
      </x:c>
      <x:c r="CO27" s="117" t="n">
        <x:f>IF(CO24&gt;0,'Вводные'!$B$83*'Вводные'!$Q$89,0)</x:f>
      </x:c>
      <x:c r="CP27" s="117" t="n">
        <x:f>IF(CP24&gt;0,'Вводные'!$B$83*'Вводные'!$Q$89,0)</x:f>
      </x:c>
      <x:c r="CQ27" s="117" t="n">
        <x:f>IF(CQ24&gt;0,'Вводные'!$B$83*'Вводные'!$Q$89,0)</x:f>
      </x:c>
      <x:c r="CR27" s="117" t="n">
        <x:f>IF(CR24&gt;0,'Вводные'!$B$83*'Вводные'!$Q$89,0)</x:f>
      </x:c>
      <x:c r="CS27" s="117" t="n">
        <x:f>IF(CS24&gt;0,'Вводные'!$B$83*'Вводные'!$Q$89,0)</x:f>
      </x:c>
      <x:c r="CT27" s="117" t="n">
        <x:f>IF(CT24&gt;0,'Вводные'!$B$83*'Вводные'!$Q$89,0)</x:f>
      </x:c>
      <x:c r="CU27" s="117" t="n">
        <x:f>IF(CU24&gt;0,'Вводные'!$B$83*'Вводные'!$Q$89,0)</x:f>
      </x:c>
      <x:c r="CV27" s="117" t="n">
        <x:f>IF(CV24&gt;0,'Вводные'!$B$83*'Вводные'!$Q$89,0)</x:f>
      </x:c>
      <x:c r="CW27" s="117" t="n">
        <x:f>IF(CW24&gt;0,'Вводные'!$B$83*'Вводные'!$Q$89,0)</x:f>
      </x:c>
      <x:c r="CX27" s="117" t="n">
        <x:f>IF(CX24&gt;0,'Вводные'!$B$83*'Вводные'!$Q$89,0)</x:f>
      </x:c>
      <x:c r="CY27" s="117" t="n">
        <x:f>IF(CY24&gt;0,'Вводные'!$B$83*'Вводные'!$Q$89,0)</x:f>
      </x:c>
      <x:c r="CZ27" s="117" t="n">
        <x:f>IF(CZ24&gt;0,'Вводные'!$B$83*'Вводные'!$Q$89,0)</x:f>
      </x:c>
      <x:c r="DA27" s="117" t="n">
        <x:f>IF(DA24&gt;0,'Вводные'!$B$83*'Вводные'!$Q$89,0)</x:f>
      </x:c>
      <x:c r="DB27" s="117" t="n">
        <x:f>IF(DB24&gt;0,'Вводные'!$B$83*'Вводные'!$Q$89,0)</x:f>
      </x:c>
      <x:c r="DC27" s="117" t="n">
        <x:f>IF(DC24&gt;0,'Вводные'!$B$83*'Вводные'!$Q$89,0)</x:f>
      </x:c>
      <x:c r="DD27" s="117" t="n">
        <x:f>IF(DD24&gt;0,'Вводные'!$B$83*'Вводные'!$Q$89,0)</x:f>
      </x:c>
      <x:c r="DE27" s="117" t="n">
        <x:f>IF(DE24&gt;0,'Вводные'!$B$83*'Вводные'!$Q$89,0)</x:f>
      </x:c>
      <x:c r="DF27" s="117" t="n">
        <x:f>IF(DF24&gt;0,'Вводные'!$B$83*'Вводные'!$Q$89,0)</x:f>
      </x:c>
      <x:c r="DG27" s="117" t="n">
        <x:f>IF(DG24&gt;0,'Вводные'!$B$83*'Вводные'!$Q$89,0)</x:f>
      </x:c>
      <x:c r="DH27" s="117" t="n">
        <x:f>IF(DH24&gt;0,'Вводные'!$B$83*'Вводные'!$Q$89,0)</x:f>
      </x:c>
      <x:c r="DI27" s="117" t="n">
        <x:f>IF(DI24&gt;0,'Вводные'!$B$83*'Вводные'!$Q$89,0)</x:f>
      </x:c>
      <x:c r="DJ27" s="117" t="n">
        <x:f>IF(DJ24&gt;0,'Вводные'!$B$83*'Вводные'!$Q$89,0)</x:f>
      </x:c>
      <x:c r="DK27" s="117" t="n">
        <x:f>IF(DK24&gt;0,'Вводные'!$B$83*'Вводные'!$Q$89,0)</x:f>
      </x:c>
      <x:c r="DL27" s="117" t="n">
        <x:f>IF(DL24&gt;0,'Вводные'!$B$83*'Вводные'!$Q$89,0)</x:f>
      </x:c>
      <x:c r="DM27" s="117" t="n">
        <x:f>IF(DM24&gt;0,'Вводные'!$B$83*'Вводные'!$Q$89,0)</x:f>
      </x:c>
      <x:c r="DN27" s="117" t="n">
        <x:f>IF(DN24&gt;0,'Вводные'!$B$83*'Вводные'!$Q$89,0)</x:f>
      </x:c>
      <x:c r="DO27" s="117" t="n">
        <x:f>IF(DO24&gt;0,'Вводные'!$B$83*'Вводные'!$Q$89,0)</x:f>
      </x:c>
      <x:c r="DP27" s="117" t="n">
        <x:f>IF(DP24&gt;0,'Вводные'!$B$83*'Вводные'!$Q$89,0)</x:f>
      </x:c>
      <x:c r="DQ27" s="117" t="n">
        <x:f>IF(DQ24&gt;0,'Вводные'!$B$83*'Вводные'!$Q$89,0)</x:f>
      </x:c>
      <x:c r="DR27" s="117" t="n">
        <x:f>IF(DR24&gt;0,'Вводные'!$B$83*'Вводные'!$Q$89,0)</x:f>
      </x:c>
      <x:c r="DS27" s="117" t="n">
        <x:f>IF(DS24&gt;0,'Вводные'!$B$83*'Вводные'!$Q$89,0)</x:f>
      </x:c>
    </x:row>
    <x:row r="28">
      <x:c r="A28" s="113" t="str">
        <x:v>ДЕНЕЖНЫЙ ПЛАТЁЖ ПО ВРИ</x:v>
      </x:c>
      <x:c r="B28" s="113" t="n">
        <x:f>SUM(D28:DS28)</x:f>
      </x:c>
      <x:c r="C28" s="113" t="str">
        <x:v>млн ₽</x:v>
      </x:c>
      <x:c r="D28" s="120" t="n">
        <x:f>SUM(D25:D27)</x:f>
      </x:c>
      <x:c r="E28" s="120" t="n">
        <x:f>SUM(E25:E27)</x:f>
      </x:c>
      <x:c r="F28" s="120" t="n">
        <x:f>SUM(F25:F27)</x:f>
      </x:c>
      <x:c r="G28" s="120" t="n">
        <x:f>SUM(G25:G27)</x:f>
      </x:c>
      <x:c r="H28" s="120" t="n">
        <x:f>SUM(H25:H27)</x:f>
      </x:c>
      <x:c r="I28" s="120" t="n">
        <x:f>SUM(I25:I27)</x:f>
      </x:c>
      <x:c r="J28" s="120" t="n">
        <x:f>SUM(J25:J27)</x:f>
      </x:c>
      <x:c r="K28" s="120" t="n">
        <x:f>SUM(K25:K27)</x:f>
      </x:c>
      <x:c r="L28" s="120" t="n">
        <x:f>SUM(L25:L27)</x:f>
      </x:c>
      <x:c r="M28" s="120" t="n">
        <x:f>SUM(M25:M27)</x:f>
      </x:c>
      <x:c r="N28" s="120" t="n">
        <x:f>SUM(N25:N27)</x:f>
      </x:c>
      <x:c r="O28" s="120" t="n">
        <x:f>SUM(O25:O27)</x:f>
      </x:c>
      <x:c r="P28" s="120" t="n">
        <x:f>SUM(P25:P27)</x:f>
      </x:c>
      <x:c r="Q28" s="120" t="n">
        <x:f>SUM(Q25:Q27)</x:f>
      </x:c>
      <x:c r="R28" s="120" t="n">
        <x:f>SUM(R25:R27)</x:f>
      </x:c>
      <x:c r="S28" s="120" t="n">
        <x:f>SUM(S25:S27)</x:f>
      </x:c>
      <x:c r="T28" s="120" t="n">
        <x:f>SUM(T25:T27)</x:f>
      </x:c>
      <x:c r="U28" s="120" t="n">
        <x:f>SUM(U25:U27)</x:f>
      </x:c>
      <x:c r="V28" s="120" t="n">
        <x:f>SUM(V25:V27)</x:f>
      </x:c>
      <x:c r="W28" s="120" t="n">
        <x:f>SUM(W25:W27)</x:f>
      </x:c>
      <x:c r="X28" s="120" t="n">
        <x:f>SUM(X25:X27)</x:f>
      </x:c>
      <x:c r="Y28" s="120" t="n">
        <x:f>SUM(Y25:Y27)</x:f>
      </x:c>
      <x:c r="Z28" s="120" t="n">
        <x:f>SUM(Z25:Z27)</x:f>
      </x:c>
      <x:c r="AA28" s="120" t="n">
        <x:f>SUM(AA25:AA27)</x:f>
      </x:c>
      <x:c r="AB28" s="120" t="n">
        <x:f>SUM(AB25:AB27)</x:f>
      </x:c>
      <x:c r="AC28" s="120" t="n">
        <x:f>SUM(AC25:AC27)</x:f>
      </x:c>
      <x:c r="AD28" s="120" t="n">
        <x:f>SUM(AD25:AD27)</x:f>
      </x:c>
      <x:c r="AE28" s="120" t="n">
        <x:f>SUM(AE25:AE27)</x:f>
      </x:c>
      <x:c r="AF28" s="120" t="n">
        <x:f>SUM(AF25:AF27)</x:f>
      </x:c>
      <x:c r="AG28" s="120" t="n">
        <x:f>SUM(AG25:AG27)</x:f>
      </x:c>
      <x:c r="AH28" s="120" t="n">
        <x:f>SUM(AH25:AH27)</x:f>
      </x:c>
      <x:c r="AI28" s="120" t="n">
        <x:f>SUM(AI25:AI27)</x:f>
      </x:c>
      <x:c r="AJ28" s="120" t="n">
        <x:f>SUM(AJ25:AJ27)</x:f>
      </x:c>
      <x:c r="AK28" s="120" t="n">
        <x:f>SUM(AK25:AK27)</x:f>
      </x:c>
      <x:c r="AL28" s="120" t="n">
        <x:f>SUM(AL25:AL27)</x:f>
      </x:c>
      <x:c r="AM28" s="120" t="n">
        <x:f>SUM(AM25:AM27)</x:f>
      </x:c>
      <x:c r="AN28" s="120" t="n">
        <x:f>SUM(AN25:AN27)</x:f>
      </x:c>
      <x:c r="AO28" s="120" t="n">
        <x:f>SUM(AO25:AO27)</x:f>
      </x:c>
      <x:c r="AP28" s="120" t="n">
        <x:f>SUM(AP25:AP27)</x:f>
      </x:c>
      <x:c r="AQ28" s="120" t="n">
        <x:f>SUM(AQ25:AQ27)</x:f>
      </x:c>
      <x:c r="AR28" s="120" t="n">
        <x:f>SUM(AR25:AR27)</x:f>
      </x:c>
      <x:c r="AS28" s="120" t="n">
        <x:f>SUM(AS25:AS27)</x:f>
      </x:c>
      <x:c r="AT28" s="120" t="n">
        <x:f>SUM(AT25:AT27)</x:f>
      </x:c>
      <x:c r="AU28" s="120" t="n">
        <x:f>SUM(AU25:AU27)</x:f>
      </x:c>
      <x:c r="AV28" s="120" t="n">
        <x:f>SUM(AV25:AV27)</x:f>
      </x:c>
      <x:c r="AW28" s="120" t="n">
        <x:f>SUM(AW25:AW27)</x:f>
      </x:c>
      <x:c r="AX28" s="120" t="n">
        <x:f>SUM(AX25:AX27)</x:f>
      </x:c>
      <x:c r="AY28" s="120" t="n">
        <x:f>SUM(AY25:AY27)</x:f>
      </x:c>
      <x:c r="AZ28" s="120" t="n">
        <x:f>SUM(AZ25:AZ27)</x:f>
      </x:c>
      <x:c r="BA28" s="120" t="n">
        <x:f>SUM(BA25:BA27)</x:f>
      </x:c>
      <x:c r="BB28" s="120" t="n">
        <x:f>SUM(BB25:BB27)</x:f>
      </x:c>
      <x:c r="BC28" s="120" t="n">
        <x:f>SUM(BC25:BC27)</x:f>
      </x:c>
      <x:c r="BD28" s="120" t="n">
        <x:f>SUM(BD25:BD27)</x:f>
      </x:c>
      <x:c r="BE28" s="120" t="n">
        <x:f>SUM(BE25:BE27)</x:f>
      </x:c>
      <x:c r="BF28" s="120" t="n">
        <x:f>SUM(BF25:BF27)</x:f>
      </x:c>
      <x:c r="BG28" s="120" t="n">
        <x:f>SUM(BG25:BG27)</x:f>
      </x:c>
      <x:c r="BH28" s="120" t="n">
        <x:f>SUM(BH25:BH27)</x:f>
      </x:c>
      <x:c r="BI28" s="120" t="n">
        <x:f>SUM(BI25:BI27)</x:f>
      </x:c>
      <x:c r="BJ28" s="120" t="n">
        <x:f>SUM(BJ25:BJ27)</x:f>
      </x:c>
      <x:c r="BK28" s="120" t="n">
        <x:f>SUM(BK25:BK27)</x:f>
      </x:c>
      <x:c r="BL28" s="120" t="n">
        <x:f>SUM(BL25:BL27)</x:f>
      </x:c>
      <x:c r="BM28" s="120" t="n">
        <x:f>SUM(BM25:BM27)</x:f>
      </x:c>
      <x:c r="BN28" s="120" t="n">
        <x:f>SUM(BN25:BN27)</x:f>
      </x:c>
      <x:c r="BO28" s="120" t="n">
        <x:f>SUM(BO25:BO27)</x:f>
      </x:c>
      <x:c r="BP28" s="120" t="n">
        <x:f>SUM(BP25:BP27)</x:f>
      </x:c>
      <x:c r="BQ28" s="120" t="n">
        <x:f>SUM(BQ25:BQ27)</x:f>
      </x:c>
      <x:c r="BR28" s="120" t="n">
        <x:f>SUM(BR25:BR27)</x:f>
      </x:c>
      <x:c r="BS28" s="120" t="n">
        <x:f>SUM(BS25:BS27)</x:f>
      </x:c>
      <x:c r="BT28" s="120" t="n">
        <x:f>SUM(BT25:BT27)</x:f>
      </x:c>
      <x:c r="BU28" s="120" t="n">
        <x:f>SUM(BU25:BU27)</x:f>
      </x:c>
      <x:c r="BV28" s="120" t="n">
        <x:f>SUM(BV25:BV27)</x:f>
      </x:c>
      <x:c r="BW28" s="120" t="n">
        <x:f>SUM(BW25:BW27)</x:f>
      </x:c>
      <x:c r="BX28" s="120" t="n">
        <x:f>SUM(BX25:BX27)</x:f>
      </x:c>
      <x:c r="BY28" s="120" t="n">
        <x:f>SUM(BY25:BY27)</x:f>
      </x:c>
      <x:c r="BZ28" s="120" t="n">
        <x:f>SUM(BZ25:BZ27)</x:f>
      </x:c>
      <x:c r="CA28" s="120" t="n">
        <x:f>SUM(CA25:CA27)</x:f>
      </x:c>
      <x:c r="CB28" s="120" t="n">
        <x:f>SUM(CB25:CB27)</x:f>
      </x:c>
      <x:c r="CC28" s="120" t="n">
        <x:f>SUM(CC25:CC27)</x:f>
      </x:c>
      <x:c r="CD28" s="120" t="n">
        <x:f>SUM(CD25:CD27)</x:f>
      </x:c>
      <x:c r="CE28" s="120" t="n">
        <x:f>SUM(CE25:CE27)</x:f>
      </x:c>
      <x:c r="CF28" s="120" t="n">
        <x:f>SUM(CF25:CF27)</x:f>
      </x:c>
      <x:c r="CG28" s="120" t="n">
        <x:f>SUM(CG25:CG27)</x:f>
      </x:c>
      <x:c r="CH28" s="120" t="n">
        <x:f>SUM(CH25:CH27)</x:f>
      </x:c>
      <x:c r="CI28" s="120" t="n">
        <x:f>SUM(CI25:CI27)</x:f>
      </x:c>
      <x:c r="CJ28" s="120" t="n">
        <x:f>SUM(CJ25:CJ27)</x:f>
      </x:c>
      <x:c r="CK28" s="120" t="n">
        <x:f>SUM(CK25:CK27)</x:f>
      </x:c>
      <x:c r="CL28" s="120" t="n">
        <x:f>SUM(CL25:CL27)</x:f>
      </x:c>
      <x:c r="CM28" s="120" t="n">
        <x:f>SUM(CM25:CM27)</x:f>
      </x:c>
      <x:c r="CN28" s="120" t="n">
        <x:f>SUM(CN25:CN27)</x:f>
      </x:c>
      <x:c r="CO28" s="120" t="n">
        <x:f>SUM(CO25:CO27)</x:f>
      </x:c>
      <x:c r="CP28" s="120" t="n">
        <x:f>SUM(CP25:CP27)</x:f>
      </x:c>
      <x:c r="CQ28" s="120" t="n">
        <x:f>SUM(CQ25:CQ27)</x:f>
      </x:c>
      <x:c r="CR28" s="120" t="n">
        <x:f>SUM(CR25:CR27)</x:f>
      </x:c>
      <x:c r="CS28" s="120" t="n">
        <x:f>SUM(CS25:CS27)</x:f>
      </x:c>
      <x:c r="CT28" s="120" t="n">
        <x:f>SUM(CT25:CT27)</x:f>
      </x:c>
      <x:c r="CU28" s="120" t="n">
        <x:f>SUM(CU25:CU27)</x:f>
      </x:c>
      <x:c r="CV28" s="120" t="n">
        <x:f>SUM(CV25:CV27)</x:f>
      </x:c>
      <x:c r="CW28" s="120" t="n">
        <x:f>SUM(CW25:CW27)</x:f>
      </x:c>
      <x:c r="CX28" s="120" t="n">
        <x:f>SUM(CX25:CX27)</x:f>
      </x:c>
      <x:c r="CY28" s="120" t="n">
        <x:f>SUM(CY25:CY27)</x:f>
      </x:c>
      <x:c r="CZ28" s="120" t="n">
        <x:f>SUM(CZ25:CZ27)</x:f>
      </x:c>
      <x:c r="DA28" s="120" t="n">
        <x:f>SUM(DA25:DA27)</x:f>
      </x:c>
      <x:c r="DB28" s="120" t="n">
        <x:f>SUM(DB25:DB27)</x:f>
      </x:c>
      <x:c r="DC28" s="120" t="n">
        <x:f>SUM(DC25:DC27)</x:f>
      </x:c>
      <x:c r="DD28" s="120" t="n">
        <x:f>SUM(DD25:DD27)</x:f>
      </x:c>
      <x:c r="DE28" s="120" t="n">
        <x:f>SUM(DE25:DE27)</x:f>
      </x:c>
      <x:c r="DF28" s="120" t="n">
        <x:f>SUM(DF25:DF27)</x:f>
      </x:c>
      <x:c r="DG28" s="120" t="n">
        <x:f>SUM(DG25:DG27)</x:f>
      </x:c>
      <x:c r="DH28" s="120" t="n">
        <x:f>SUM(DH25:DH27)</x:f>
      </x:c>
      <x:c r="DI28" s="120" t="n">
        <x:f>SUM(DI25:DI27)</x:f>
      </x:c>
      <x:c r="DJ28" s="120" t="n">
        <x:f>SUM(DJ25:DJ27)</x:f>
      </x:c>
      <x:c r="DK28" s="120" t="n">
        <x:f>SUM(DK25:DK27)</x:f>
      </x:c>
      <x:c r="DL28" s="120" t="n">
        <x:f>SUM(DL25:DL27)</x:f>
      </x:c>
      <x:c r="DM28" s="120" t="n">
        <x:f>SUM(DM25:DM27)</x:f>
      </x:c>
      <x:c r="DN28" s="120" t="n">
        <x:f>SUM(DN25:DN27)</x:f>
      </x:c>
      <x:c r="DO28" s="120" t="n">
        <x:f>SUM(DO25:DO27)</x:f>
      </x:c>
      <x:c r="DP28" s="120" t="n">
        <x:f>SUM(DP25:DP27)</x:f>
      </x:c>
      <x:c r="DQ28" s="120" t="n">
        <x:f>SUM(DQ25:DQ27)</x:f>
      </x:c>
      <x:c r="DR28" s="120" t="n">
        <x:f>SUM(DR25:DR27)</x:f>
      </x:c>
      <x:c r="DS28" s="120" t="n">
        <x:f>SUM(DS25:DS27)</x:f>
      </x:c>
    </x:row>
    <x:row r="29">
      <x:c r="A29" t="str">
        <x:v>Остаток на конец</x:v>
      </x:c>
      <x:c r="B29" s="107" t="n">
        <x:f>DS29</x:f>
      </x:c>
      <x:c r="C29" t="str">
        <x:v>млн ₽</x:v>
      </x:c>
      <x:c r="D29" s="117" t="n">
        <x:f>MAX(0,D23+D24-D25)</x:f>
      </x:c>
      <x:c r="E29" s="117" t="n">
        <x:f>MAX(0,E23+E24-E25)</x:f>
      </x:c>
      <x:c r="F29" s="117" t="n">
        <x:f>MAX(0,F23+F24-F25)</x:f>
      </x:c>
      <x:c r="G29" s="117" t="n">
        <x:f>MAX(0,G23+G24-G25)</x:f>
      </x:c>
      <x:c r="H29" s="117" t="n">
        <x:f>MAX(0,H23+H24-H25)</x:f>
      </x:c>
      <x:c r="I29" s="117" t="n">
        <x:f>MAX(0,I23+I24-I25)</x:f>
      </x:c>
      <x:c r="J29" s="117" t="n">
        <x:f>MAX(0,J23+J24-J25)</x:f>
      </x:c>
      <x:c r="K29" s="117" t="n">
        <x:f>MAX(0,K23+K24-K25)</x:f>
      </x:c>
      <x:c r="L29" s="117" t="n">
        <x:f>MAX(0,L23+L24-L25)</x:f>
      </x:c>
      <x:c r="M29" s="117" t="n">
        <x:f>MAX(0,M23+M24-M25)</x:f>
      </x:c>
      <x:c r="N29" s="117" t="n">
        <x:f>MAX(0,N23+N24-N25)</x:f>
      </x:c>
      <x:c r="O29" s="117" t="n">
        <x:f>MAX(0,O23+O24-O25)</x:f>
      </x:c>
      <x:c r="P29" s="117" t="n">
        <x:f>MAX(0,P23+P24-P25)</x:f>
      </x:c>
      <x:c r="Q29" s="117" t="n">
        <x:f>MAX(0,Q23+Q24-Q25)</x:f>
      </x:c>
      <x:c r="R29" s="117" t="n">
        <x:f>MAX(0,R23+R24-R25)</x:f>
      </x:c>
      <x:c r="S29" s="117" t="n">
        <x:f>MAX(0,S23+S24-S25)</x:f>
      </x:c>
      <x:c r="T29" s="117" t="n">
        <x:f>MAX(0,T23+T24-T25)</x:f>
      </x:c>
      <x:c r="U29" s="117" t="n">
        <x:f>MAX(0,U23+U24-U25)</x:f>
      </x:c>
      <x:c r="V29" s="117" t="n">
        <x:f>MAX(0,V23+V24-V25)</x:f>
      </x:c>
      <x:c r="W29" s="117" t="n">
        <x:f>MAX(0,W23+W24-W25)</x:f>
      </x:c>
      <x:c r="X29" s="117" t="n">
        <x:f>MAX(0,X23+X24-X25)</x:f>
      </x:c>
      <x:c r="Y29" s="117" t="n">
        <x:f>MAX(0,Y23+Y24-Y25)</x:f>
      </x:c>
      <x:c r="Z29" s="117" t="n">
        <x:f>MAX(0,Z23+Z24-Z25)</x:f>
      </x:c>
      <x:c r="AA29" s="117" t="n">
        <x:f>MAX(0,AA23+AA24-AA25)</x:f>
      </x:c>
      <x:c r="AB29" s="117" t="n">
        <x:f>MAX(0,AB23+AB24-AB25)</x:f>
      </x:c>
      <x:c r="AC29" s="117" t="n">
        <x:f>MAX(0,AC23+AC24-AC25)</x:f>
      </x:c>
      <x:c r="AD29" s="117" t="n">
        <x:f>MAX(0,AD23+AD24-AD25)</x:f>
      </x:c>
      <x:c r="AE29" s="117" t="n">
        <x:f>MAX(0,AE23+AE24-AE25)</x:f>
      </x:c>
      <x:c r="AF29" s="117" t="n">
        <x:f>MAX(0,AF23+AF24-AF25)</x:f>
      </x:c>
      <x:c r="AG29" s="117" t="n">
        <x:f>MAX(0,AG23+AG24-AG25)</x:f>
      </x:c>
      <x:c r="AH29" s="117" t="n">
        <x:f>MAX(0,AH23+AH24-AH25)</x:f>
      </x:c>
      <x:c r="AI29" s="117" t="n">
        <x:f>MAX(0,AI23+AI24-AI25)</x:f>
      </x:c>
      <x:c r="AJ29" s="117" t="n">
        <x:f>MAX(0,AJ23+AJ24-AJ25)</x:f>
      </x:c>
      <x:c r="AK29" s="117" t="n">
        <x:f>MAX(0,AK23+AK24-AK25)</x:f>
      </x:c>
      <x:c r="AL29" s="117" t="n">
        <x:f>MAX(0,AL23+AL24-AL25)</x:f>
      </x:c>
      <x:c r="AM29" s="117" t="n">
        <x:f>MAX(0,AM23+AM24-AM25)</x:f>
      </x:c>
      <x:c r="AN29" s="117" t="n">
        <x:f>MAX(0,AN23+AN24-AN25)</x:f>
      </x:c>
      <x:c r="AO29" s="117" t="n">
        <x:f>MAX(0,AO23+AO24-AO25)</x:f>
      </x:c>
      <x:c r="AP29" s="117" t="n">
        <x:f>MAX(0,AP23+AP24-AP25)</x:f>
      </x:c>
      <x:c r="AQ29" s="117" t="n">
        <x:f>MAX(0,AQ23+AQ24-AQ25)</x:f>
      </x:c>
      <x:c r="AR29" s="117" t="n">
        <x:f>MAX(0,AR23+AR24-AR25)</x:f>
      </x:c>
      <x:c r="AS29" s="117" t="n">
        <x:f>MAX(0,AS23+AS24-AS25)</x:f>
      </x:c>
      <x:c r="AT29" s="117" t="n">
        <x:f>MAX(0,AT23+AT24-AT25)</x:f>
      </x:c>
      <x:c r="AU29" s="117" t="n">
        <x:f>MAX(0,AU23+AU24-AU25)</x:f>
      </x:c>
      <x:c r="AV29" s="117" t="n">
        <x:f>MAX(0,AV23+AV24-AV25)</x:f>
      </x:c>
      <x:c r="AW29" s="117" t="n">
        <x:f>MAX(0,AW23+AW24-AW25)</x:f>
      </x:c>
      <x:c r="AX29" s="117" t="n">
        <x:f>MAX(0,AX23+AX24-AX25)</x:f>
      </x:c>
      <x:c r="AY29" s="117" t="n">
        <x:f>MAX(0,AY23+AY24-AY25)</x:f>
      </x:c>
      <x:c r="AZ29" s="117" t="n">
        <x:f>MAX(0,AZ23+AZ24-AZ25)</x:f>
      </x:c>
      <x:c r="BA29" s="117" t="n">
        <x:f>MAX(0,BA23+BA24-BA25)</x:f>
      </x:c>
      <x:c r="BB29" s="117" t="n">
        <x:f>MAX(0,BB23+BB24-BB25)</x:f>
      </x:c>
      <x:c r="BC29" s="117" t="n">
        <x:f>MAX(0,BC23+BC24-BC25)</x:f>
      </x:c>
      <x:c r="BD29" s="117" t="n">
        <x:f>MAX(0,BD23+BD24-BD25)</x:f>
      </x:c>
      <x:c r="BE29" s="117" t="n">
        <x:f>MAX(0,BE23+BE24-BE25)</x:f>
      </x:c>
      <x:c r="BF29" s="117" t="n">
        <x:f>MAX(0,BF23+BF24-BF25)</x:f>
      </x:c>
      <x:c r="BG29" s="117" t="n">
        <x:f>MAX(0,BG23+BG24-BG25)</x:f>
      </x:c>
      <x:c r="BH29" s="117" t="n">
        <x:f>MAX(0,BH23+BH24-BH25)</x:f>
      </x:c>
      <x:c r="BI29" s="117" t="n">
        <x:f>MAX(0,BI23+BI24-BI25)</x:f>
      </x:c>
      <x:c r="BJ29" s="117" t="n">
        <x:f>MAX(0,BJ23+BJ24-BJ25)</x:f>
      </x:c>
      <x:c r="BK29" s="117" t="n">
        <x:f>MAX(0,BK23+BK24-BK25)</x:f>
      </x:c>
      <x:c r="BL29" s="117" t="n">
        <x:f>MAX(0,BL23+BL24-BL25)</x:f>
      </x:c>
      <x:c r="BM29" s="117" t="n">
        <x:f>MAX(0,BM23+BM24-BM25)</x:f>
      </x:c>
      <x:c r="BN29" s="117" t="n">
        <x:f>MAX(0,BN23+BN24-BN25)</x:f>
      </x:c>
      <x:c r="BO29" s="117" t="n">
        <x:f>MAX(0,BO23+BO24-BO25)</x:f>
      </x:c>
      <x:c r="BP29" s="117" t="n">
        <x:f>MAX(0,BP23+BP24-BP25)</x:f>
      </x:c>
      <x:c r="BQ29" s="117" t="n">
        <x:f>MAX(0,BQ23+BQ24-BQ25)</x:f>
      </x:c>
      <x:c r="BR29" s="117" t="n">
        <x:f>MAX(0,BR23+BR24-BR25)</x:f>
      </x:c>
      <x:c r="BS29" s="117" t="n">
        <x:f>MAX(0,BS23+BS24-BS25)</x:f>
      </x:c>
      <x:c r="BT29" s="117" t="n">
        <x:f>MAX(0,BT23+BT24-BT25)</x:f>
      </x:c>
      <x:c r="BU29" s="117" t="n">
        <x:f>MAX(0,BU23+BU24-BU25)</x:f>
      </x:c>
      <x:c r="BV29" s="117" t="n">
        <x:f>MAX(0,BV23+BV24-BV25)</x:f>
      </x:c>
      <x:c r="BW29" s="117" t="n">
        <x:f>MAX(0,BW23+BW24-BW25)</x:f>
      </x:c>
      <x:c r="BX29" s="117" t="n">
        <x:f>MAX(0,BX23+BX24-BX25)</x:f>
      </x:c>
      <x:c r="BY29" s="117" t="n">
        <x:f>MAX(0,BY23+BY24-BY25)</x:f>
      </x:c>
      <x:c r="BZ29" s="117" t="n">
        <x:f>MAX(0,BZ23+BZ24-BZ25)</x:f>
      </x:c>
      <x:c r="CA29" s="117" t="n">
        <x:f>MAX(0,CA23+CA24-CA25)</x:f>
      </x:c>
      <x:c r="CB29" s="117" t="n">
        <x:f>MAX(0,CB23+CB24-CB25)</x:f>
      </x:c>
      <x:c r="CC29" s="117" t="n">
        <x:f>MAX(0,CC23+CC24-CC25)</x:f>
      </x:c>
      <x:c r="CD29" s="117" t="n">
        <x:f>MAX(0,CD23+CD24-CD25)</x:f>
      </x:c>
      <x:c r="CE29" s="117" t="n">
        <x:f>MAX(0,CE23+CE24-CE25)</x:f>
      </x:c>
      <x:c r="CF29" s="117" t="n">
        <x:f>MAX(0,CF23+CF24-CF25)</x:f>
      </x:c>
      <x:c r="CG29" s="117" t="n">
        <x:f>MAX(0,CG23+CG24-CG25)</x:f>
      </x:c>
      <x:c r="CH29" s="117" t="n">
        <x:f>MAX(0,CH23+CH24-CH25)</x:f>
      </x:c>
      <x:c r="CI29" s="117" t="n">
        <x:f>MAX(0,CI23+CI24-CI25)</x:f>
      </x:c>
      <x:c r="CJ29" s="117" t="n">
        <x:f>MAX(0,CJ23+CJ24-CJ25)</x:f>
      </x:c>
      <x:c r="CK29" s="117" t="n">
        <x:f>MAX(0,CK23+CK24-CK25)</x:f>
      </x:c>
      <x:c r="CL29" s="117" t="n">
        <x:f>MAX(0,CL23+CL24-CL25)</x:f>
      </x:c>
      <x:c r="CM29" s="117" t="n">
        <x:f>MAX(0,CM23+CM24-CM25)</x:f>
      </x:c>
      <x:c r="CN29" s="117" t="n">
        <x:f>MAX(0,CN23+CN24-CN25)</x:f>
      </x:c>
      <x:c r="CO29" s="117" t="n">
        <x:f>MAX(0,CO23+CO24-CO25)</x:f>
      </x:c>
      <x:c r="CP29" s="117" t="n">
        <x:f>MAX(0,CP23+CP24-CP25)</x:f>
      </x:c>
      <x:c r="CQ29" s="117" t="n">
        <x:f>MAX(0,CQ23+CQ24-CQ25)</x:f>
      </x:c>
      <x:c r="CR29" s="117" t="n">
        <x:f>MAX(0,CR23+CR24-CR25)</x:f>
      </x:c>
      <x:c r="CS29" s="117" t="n">
        <x:f>MAX(0,CS23+CS24-CS25)</x:f>
      </x:c>
      <x:c r="CT29" s="117" t="n">
        <x:f>MAX(0,CT23+CT24-CT25)</x:f>
      </x:c>
      <x:c r="CU29" s="117" t="n">
        <x:f>MAX(0,CU23+CU24-CU25)</x:f>
      </x:c>
      <x:c r="CV29" s="117" t="n">
        <x:f>MAX(0,CV23+CV24-CV25)</x:f>
      </x:c>
      <x:c r="CW29" s="117" t="n">
        <x:f>MAX(0,CW23+CW24-CW25)</x:f>
      </x:c>
      <x:c r="CX29" s="117" t="n">
        <x:f>MAX(0,CX23+CX24-CX25)</x:f>
      </x:c>
      <x:c r="CY29" s="117" t="n">
        <x:f>MAX(0,CY23+CY24-CY25)</x:f>
      </x:c>
      <x:c r="CZ29" s="117" t="n">
        <x:f>MAX(0,CZ23+CZ24-CZ25)</x:f>
      </x:c>
      <x:c r="DA29" s="117" t="n">
        <x:f>MAX(0,DA23+DA24-DA25)</x:f>
      </x:c>
      <x:c r="DB29" s="117" t="n">
        <x:f>MAX(0,DB23+DB24-DB25)</x:f>
      </x:c>
      <x:c r="DC29" s="117" t="n">
        <x:f>MAX(0,DC23+DC24-DC25)</x:f>
      </x:c>
      <x:c r="DD29" s="117" t="n">
        <x:f>MAX(0,DD23+DD24-DD25)</x:f>
      </x:c>
      <x:c r="DE29" s="117" t="n">
        <x:f>MAX(0,DE23+DE24-DE25)</x:f>
      </x:c>
      <x:c r="DF29" s="117" t="n">
        <x:f>MAX(0,DF23+DF24-DF25)</x:f>
      </x:c>
      <x:c r="DG29" s="117" t="n">
        <x:f>MAX(0,DG23+DG24-DG25)</x:f>
      </x:c>
      <x:c r="DH29" s="117" t="n">
        <x:f>MAX(0,DH23+DH24-DH25)</x:f>
      </x:c>
      <x:c r="DI29" s="117" t="n">
        <x:f>MAX(0,DI23+DI24-DI25)</x:f>
      </x:c>
      <x:c r="DJ29" s="117" t="n">
        <x:f>MAX(0,DJ23+DJ24-DJ25)</x:f>
      </x:c>
      <x:c r="DK29" s="117" t="n">
        <x:f>MAX(0,DK23+DK24-DK25)</x:f>
      </x:c>
      <x:c r="DL29" s="117" t="n">
        <x:f>MAX(0,DL23+DL24-DL25)</x:f>
      </x:c>
      <x:c r="DM29" s="117" t="n">
        <x:f>MAX(0,DM23+DM24-DM25)</x:f>
      </x:c>
      <x:c r="DN29" s="117" t="n">
        <x:f>MAX(0,DN23+DN24-DN25)</x:f>
      </x:c>
      <x:c r="DO29" s="117" t="n">
        <x:f>MAX(0,DO23+DO24-DO25)</x:f>
      </x:c>
      <x:c r="DP29" s="117" t="n">
        <x:f>MAX(0,DP23+DP24-DP25)</x:f>
      </x:c>
      <x:c r="DQ29" s="117" t="n">
        <x:f>MAX(0,DQ23+DQ24-DQ25)</x:f>
      </x:c>
      <x:c r="DR29" s="117" t="n">
        <x:f>MAX(0,DR23+DR24-DR25)</x:f>
      </x:c>
      <x:c r="DS29" s="117" t="n">
        <x:f>MAX(0,DS23+DS24-DS25)</x:f>
      </x:c>
    </x:row>
    <x:row r="30">
      <x:c r="A30" t="str">
        <x:v>Ставка по рассрочке</x:v>
      </x:c>
      <x:c r="B30" t="n">
        <x:f>IFERROR(SUMPRODUCT(D30:DS30,--(D23:DS23&gt;0))/COUNTIF(D23:DS23,"&gt;0"),0)</x:f>
      </x:c>
      <x:c r="C30" t="str">
        <x:v>% год</x:v>
      </x:c>
      <x:c r="D30" s="35" t="n">
        <x:f>'Ставки'!D$5+'Вводные'!$B$81</x:f>
      </x:c>
      <x:c r="E30" s="35" t="n">
        <x:f>'Ставки'!E$5+'Вводные'!$B$81</x:f>
      </x:c>
      <x:c r="F30" s="35" t="n">
        <x:f>'Ставки'!F$5+'Вводные'!$B$81</x:f>
      </x:c>
      <x:c r="G30" s="35" t="n">
        <x:f>'Ставки'!G$5+'Вводные'!$B$81</x:f>
      </x:c>
      <x:c r="H30" s="35" t="n">
        <x:f>'Ставки'!H$5+'Вводные'!$B$81</x:f>
      </x:c>
      <x:c r="I30" s="35" t="n">
        <x:f>'Ставки'!I$5+'Вводные'!$B$81</x:f>
      </x:c>
      <x:c r="J30" s="35" t="n">
        <x:f>'Ставки'!J$5+'Вводные'!$B$81</x:f>
      </x:c>
      <x:c r="K30" s="35" t="n">
        <x:f>'Ставки'!K$5+'Вводные'!$B$81</x:f>
      </x:c>
      <x:c r="L30" s="35" t="n">
        <x:f>'Ставки'!L$5+'Вводные'!$B$81</x:f>
      </x:c>
      <x:c r="M30" s="35" t="n">
        <x:f>'Ставки'!M$5+'Вводные'!$B$81</x:f>
      </x:c>
      <x:c r="N30" s="35" t="n">
        <x:f>'Ставки'!N$5+'Вводные'!$B$81</x:f>
      </x:c>
      <x:c r="O30" s="35" t="n">
        <x:f>'Ставки'!O$5+'Вводные'!$B$81</x:f>
      </x:c>
      <x:c r="P30" s="35" t="n">
        <x:f>'Ставки'!P$5+'Вводные'!$B$81</x:f>
      </x:c>
      <x:c r="Q30" s="35" t="n">
        <x:f>'Ставки'!Q$5+'Вводные'!$B$81</x:f>
      </x:c>
      <x:c r="R30" s="35" t="n">
        <x:f>'Ставки'!R$5+'Вводные'!$B$81</x:f>
      </x:c>
      <x:c r="S30" s="35" t="n">
        <x:f>'Ставки'!S$5+'Вводные'!$B$81</x:f>
      </x:c>
      <x:c r="T30" s="35" t="n">
        <x:f>'Ставки'!T$5+'Вводные'!$B$81</x:f>
      </x:c>
      <x:c r="U30" s="35" t="n">
        <x:f>'Ставки'!U$5+'Вводные'!$B$81</x:f>
      </x:c>
      <x:c r="V30" s="35" t="n">
        <x:f>'Ставки'!V$5+'Вводные'!$B$81</x:f>
      </x:c>
      <x:c r="W30" s="35" t="n">
        <x:f>'Ставки'!W$5+'Вводные'!$B$81</x:f>
      </x:c>
      <x:c r="X30" s="35" t="n">
        <x:f>'Ставки'!X$5+'Вводные'!$B$81</x:f>
      </x:c>
      <x:c r="Y30" s="35" t="n">
        <x:f>'Ставки'!Y$5+'Вводные'!$B$81</x:f>
      </x:c>
      <x:c r="Z30" s="35" t="n">
        <x:f>'Ставки'!Z$5+'Вводные'!$B$81</x:f>
      </x:c>
      <x:c r="AA30" s="35" t="n">
        <x:f>'Ставки'!AA$5+'Вводные'!$B$81</x:f>
      </x:c>
      <x:c r="AB30" s="35" t="n">
        <x:f>'Ставки'!AB$5+'Вводные'!$B$81</x:f>
      </x:c>
      <x:c r="AC30" s="35" t="n">
        <x:f>'Ставки'!AC$5+'Вводные'!$B$81</x:f>
      </x:c>
      <x:c r="AD30" s="35" t="n">
        <x:f>'Ставки'!AD$5+'Вводные'!$B$81</x:f>
      </x:c>
      <x:c r="AE30" s="35" t="n">
        <x:f>'Ставки'!AE$5+'Вводные'!$B$81</x:f>
      </x:c>
      <x:c r="AF30" s="35" t="n">
        <x:f>'Ставки'!AF$5+'Вводные'!$B$81</x:f>
      </x:c>
      <x:c r="AG30" s="35" t="n">
        <x:f>'Ставки'!AG$5+'Вводные'!$B$81</x:f>
      </x:c>
      <x:c r="AH30" s="35" t="n">
        <x:f>'Ставки'!AH$5+'Вводные'!$B$81</x:f>
      </x:c>
      <x:c r="AI30" s="35" t="n">
        <x:f>'Ставки'!AI$5+'Вводные'!$B$81</x:f>
      </x:c>
      <x:c r="AJ30" s="35" t="n">
        <x:f>'Ставки'!AJ$5+'Вводные'!$B$81</x:f>
      </x:c>
      <x:c r="AK30" s="35" t="n">
        <x:f>'Ставки'!AK$5+'Вводные'!$B$81</x:f>
      </x:c>
      <x:c r="AL30" s="35" t="n">
        <x:f>'Ставки'!AL$5+'Вводные'!$B$81</x:f>
      </x:c>
      <x:c r="AM30" s="35" t="n">
        <x:f>'Ставки'!AM$5+'Вводные'!$B$81</x:f>
      </x:c>
      <x:c r="AN30" s="35" t="n">
        <x:f>'Ставки'!AN$5+'Вводные'!$B$81</x:f>
      </x:c>
      <x:c r="AO30" s="35" t="n">
        <x:f>'Ставки'!AO$5+'Вводные'!$B$81</x:f>
      </x:c>
      <x:c r="AP30" s="35" t="n">
        <x:f>'Ставки'!AP$5+'Вводные'!$B$81</x:f>
      </x:c>
      <x:c r="AQ30" s="35" t="n">
        <x:f>'Ставки'!AQ$5+'Вводные'!$B$81</x:f>
      </x:c>
      <x:c r="AR30" s="35" t="n">
        <x:f>'Ставки'!AR$5+'Вводные'!$B$81</x:f>
      </x:c>
      <x:c r="AS30" s="35" t="n">
        <x:f>'Ставки'!AS$5+'Вводные'!$B$81</x:f>
      </x:c>
      <x:c r="AT30" s="35" t="n">
        <x:f>'Ставки'!AT$5+'Вводные'!$B$81</x:f>
      </x:c>
      <x:c r="AU30" s="35" t="n">
        <x:f>'Ставки'!AU$5+'Вводные'!$B$81</x:f>
      </x:c>
      <x:c r="AV30" s="35" t="n">
        <x:f>'Ставки'!AV$5+'Вводные'!$B$81</x:f>
      </x:c>
      <x:c r="AW30" s="35" t="n">
        <x:f>'Ставки'!AW$5+'Вводные'!$B$81</x:f>
      </x:c>
      <x:c r="AX30" s="35" t="n">
        <x:f>'Ставки'!AX$5+'Вводные'!$B$81</x:f>
      </x:c>
      <x:c r="AY30" s="35" t="n">
        <x:f>'Ставки'!AY$5+'Вводные'!$B$81</x:f>
      </x:c>
      <x:c r="AZ30" s="35" t="n">
        <x:f>'Ставки'!AZ$5+'Вводные'!$B$81</x:f>
      </x:c>
      <x:c r="BA30" s="35" t="n">
        <x:f>'Ставки'!BA$5+'Вводные'!$B$81</x:f>
      </x:c>
      <x:c r="BB30" s="35" t="n">
        <x:f>'Ставки'!BB$5+'Вводные'!$B$81</x:f>
      </x:c>
      <x:c r="BC30" s="35" t="n">
        <x:f>'Ставки'!BC$5+'Вводные'!$B$81</x:f>
      </x:c>
      <x:c r="BD30" s="35" t="n">
        <x:f>'Ставки'!BD$5+'Вводные'!$B$81</x:f>
      </x:c>
      <x:c r="BE30" s="35" t="n">
        <x:f>'Ставки'!BE$5+'Вводные'!$B$81</x:f>
      </x:c>
      <x:c r="BF30" s="35" t="n">
        <x:f>'Ставки'!BF$5+'Вводные'!$B$81</x:f>
      </x:c>
      <x:c r="BG30" s="35" t="n">
        <x:f>'Ставки'!BG$5+'Вводные'!$B$81</x:f>
      </x:c>
      <x:c r="BH30" s="35" t="n">
        <x:f>'Ставки'!BH$5+'Вводные'!$B$81</x:f>
      </x:c>
      <x:c r="BI30" s="35" t="n">
        <x:f>'Ставки'!BI$5+'Вводные'!$B$81</x:f>
      </x:c>
      <x:c r="BJ30" s="35" t="n">
        <x:f>'Ставки'!BJ$5+'Вводные'!$B$81</x:f>
      </x:c>
      <x:c r="BK30" s="35" t="n">
        <x:f>'Ставки'!BK$5+'Вводные'!$B$81</x:f>
      </x:c>
      <x:c r="BL30" s="35" t="n">
        <x:f>'Ставки'!BL$5+'Вводные'!$B$81</x:f>
      </x:c>
      <x:c r="BM30" s="35" t="n">
        <x:f>'Ставки'!BM$5+'Вводные'!$B$81</x:f>
      </x:c>
      <x:c r="BN30" s="35" t="n">
        <x:f>'Ставки'!BN$5+'Вводные'!$B$81</x:f>
      </x:c>
      <x:c r="BO30" s="35" t="n">
        <x:f>'Ставки'!BO$5+'Вводные'!$B$81</x:f>
      </x:c>
      <x:c r="BP30" s="35" t="n">
        <x:f>'Ставки'!BP$5+'Вводные'!$B$81</x:f>
      </x:c>
      <x:c r="BQ30" s="35" t="n">
        <x:f>'Ставки'!BQ$5+'Вводные'!$B$81</x:f>
      </x:c>
      <x:c r="BR30" s="35" t="n">
        <x:f>'Ставки'!BR$5+'Вводные'!$B$81</x:f>
      </x:c>
      <x:c r="BS30" s="35" t="n">
        <x:f>'Ставки'!BS$5+'Вводные'!$B$81</x:f>
      </x:c>
      <x:c r="BT30" s="35" t="n">
        <x:f>'Ставки'!BT$5+'Вводные'!$B$81</x:f>
      </x:c>
      <x:c r="BU30" s="35" t="n">
        <x:f>'Ставки'!BU$5+'Вводные'!$B$81</x:f>
      </x:c>
      <x:c r="BV30" s="35" t="n">
        <x:f>'Ставки'!BV$5+'Вводные'!$B$81</x:f>
      </x:c>
      <x:c r="BW30" s="35" t="n">
        <x:f>'Ставки'!BW$5+'Вводные'!$B$81</x:f>
      </x:c>
      <x:c r="BX30" s="35" t="n">
        <x:f>'Ставки'!BX$5+'Вводные'!$B$81</x:f>
      </x:c>
      <x:c r="BY30" s="35" t="n">
        <x:f>'Ставки'!BY$5+'Вводные'!$B$81</x:f>
      </x:c>
      <x:c r="BZ30" s="35" t="n">
        <x:f>'Ставки'!BZ$5+'Вводные'!$B$81</x:f>
      </x:c>
      <x:c r="CA30" s="35" t="n">
        <x:f>'Ставки'!CA$5+'Вводные'!$B$81</x:f>
      </x:c>
      <x:c r="CB30" s="35" t="n">
        <x:f>'Ставки'!CB$5+'Вводные'!$B$81</x:f>
      </x:c>
      <x:c r="CC30" s="35" t="n">
        <x:f>'Ставки'!CC$5+'Вводные'!$B$81</x:f>
      </x:c>
      <x:c r="CD30" s="35" t="n">
        <x:f>'Ставки'!CD$5+'Вводные'!$B$81</x:f>
      </x:c>
      <x:c r="CE30" s="35" t="n">
        <x:f>'Ставки'!CE$5+'Вводные'!$B$81</x:f>
      </x:c>
      <x:c r="CF30" s="35" t="n">
        <x:f>'Ставки'!CF$5+'Вводные'!$B$81</x:f>
      </x:c>
      <x:c r="CG30" s="35" t="n">
        <x:f>'Ставки'!CG$5+'Вводные'!$B$81</x:f>
      </x:c>
      <x:c r="CH30" s="35" t="n">
        <x:f>'Ставки'!CH$5+'Вводные'!$B$81</x:f>
      </x:c>
      <x:c r="CI30" s="35" t="n">
        <x:f>'Ставки'!CI$5+'Вводные'!$B$81</x:f>
      </x:c>
      <x:c r="CJ30" s="35" t="n">
        <x:f>'Ставки'!CJ$5+'Вводные'!$B$81</x:f>
      </x:c>
      <x:c r="CK30" s="35" t="n">
        <x:f>'Ставки'!CK$5+'Вводные'!$B$81</x:f>
      </x:c>
      <x:c r="CL30" s="35" t="n">
        <x:f>'Ставки'!CL$5+'Вводные'!$B$81</x:f>
      </x:c>
      <x:c r="CM30" s="35" t="n">
        <x:f>'Ставки'!CM$5+'Вводные'!$B$81</x:f>
      </x:c>
      <x:c r="CN30" s="35" t="n">
        <x:f>'Ставки'!CN$5+'Вводные'!$B$81</x:f>
      </x:c>
      <x:c r="CO30" s="35" t="n">
        <x:f>'Ставки'!CO$5+'Вводные'!$B$81</x:f>
      </x:c>
      <x:c r="CP30" s="35" t="n">
        <x:f>'Ставки'!CP$5+'Вводные'!$B$81</x:f>
      </x:c>
      <x:c r="CQ30" s="35" t="n">
        <x:f>'Ставки'!CQ$5+'Вводные'!$B$81</x:f>
      </x:c>
      <x:c r="CR30" s="35" t="n">
        <x:f>'Ставки'!CR$5+'Вводные'!$B$81</x:f>
      </x:c>
      <x:c r="CS30" s="35" t="n">
        <x:f>'Ставки'!CS$5+'Вводные'!$B$81</x:f>
      </x:c>
      <x:c r="CT30" s="35" t="n">
        <x:f>'Ставки'!CT$5+'Вводные'!$B$81</x:f>
      </x:c>
      <x:c r="CU30" s="35" t="n">
        <x:f>'Ставки'!CU$5+'Вводные'!$B$81</x:f>
      </x:c>
      <x:c r="CV30" s="35" t="n">
        <x:f>'Ставки'!CV$5+'Вводные'!$B$81</x:f>
      </x:c>
      <x:c r="CW30" s="35" t="n">
        <x:f>'Ставки'!CW$5+'Вводные'!$B$81</x:f>
      </x:c>
      <x:c r="CX30" s="35" t="n">
        <x:f>'Ставки'!CX$5+'Вводные'!$B$81</x:f>
      </x:c>
      <x:c r="CY30" s="35" t="n">
        <x:f>'Ставки'!CY$5+'Вводные'!$B$81</x:f>
      </x:c>
      <x:c r="CZ30" s="35" t="n">
        <x:f>'Ставки'!CZ$5+'Вводные'!$B$81</x:f>
      </x:c>
      <x:c r="DA30" s="35" t="n">
        <x:f>'Ставки'!DA$5+'Вводные'!$B$81</x:f>
      </x:c>
      <x:c r="DB30" s="35" t="n">
        <x:f>'Ставки'!DB$5+'Вводные'!$B$81</x:f>
      </x:c>
      <x:c r="DC30" s="35" t="n">
        <x:f>'Ставки'!DC$5+'Вводные'!$B$81</x:f>
      </x:c>
      <x:c r="DD30" s="35" t="n">
        <x:f>'Ставки'!DD$5+'Вводные'!$B$81</x:f>
      </x:c>
      <x:c r="DE30" s="35" t="n">
        <x:f>'Ставки'!DE$5+'Вводные'!$B$81</x:f>
      </x:c>
      <x:c r="DF30" s="35" t="n">
        <x:f>'Ставки'!DF$5+'Вводные'!$B$81</x:f>
      </x:c>
      <x:c r="DG30" s="35" t="n">
        <x:f>'Ставки'!DG$5+'Вводные'!$B$81</x:f>
      </x:c>
      <x:c r="DH30" s="35" t="n">
        <x:f>'Ставки'!DH$5+'Вводные'!$B$81</x:f>
      </x:c>
      <x:c r="DI30" s="35" t="n">
        <x:f>'Ставки'!DI$5+'Вводные'!$B$81</x:f>
      </x:c>
      <x:c r="DJ30" s="35" t="n">
        <x:f>'Ставки'!DJ$5+'Вводные'!$B$81</x:f>
      </x:c>
      <x:c r="DK30" s="35" t="n">
        <x:f>'Ставки'!DK$5+'Вводные'!$B$81</x:f>
      </x:c>
      <x:c r="DL30" s="35" t="n">
        <x:f>'Ставки'!DL$5+'Вводные'!$B$81</x:f>
      </x:c>
      <x:c r="DM30" s="35" t="n">
        <x:f>'Ставки'!DM$5+'Вводные'!$B$81</x:f>
      </x:c>
      <x:c r="DN30" s="35" t="n">
        <x:f>'Ставки'!DN$5+'Вводные'!$B$81</x:f>
      </x:c>
      <x:c r="DO30" s="35" t="n">
        <x:f>'Ставки'!DO$5+'Вводные'!$B$81</x:f>
      </x:c>
      <x:c r="DP30" s="35" t="n">
        <x:f>'Ставки'!DP$5+'Вводные'!$B$81</x:f>
      </x:c>
      <x:c r="DQ30" s="35" t="n">
        <x:f>'Ставки'!DQ$5+'Вводные'!$B$81</x:f>
      </x:c>
      <x:c r="DR30" s="35" t="n">
        <x:f>'Ставки'!DR$5+'Вводные'!$B$81</x:f>
      </x:c>
      <x:c r="DS30" s="35" t="n">
        <x:f>'Ставки'!DS$5+'Вводные'!$B$81</x:f>
      </x:c>
    </x:row>
    <x:row r="32" ht="21" customHeight="1">
      <x:c r="A32" s="52" t="str">
        <x:v>ОЧЕРЕДЬ 3</x:v>
      </x:c>
      <x:c r="B32" s="53" t="str">
        <x:v>ОЧЕРЕДЬ 3</x:v>
      </x:c>
      <x:c r="C32" s="53" t="str">
        <x:v>ОЧЕРЕДЬ 3</x:v>
      </x:c>
      <x:c r="D32" s="53" t="str">
        <x:v>ОЧЕРЕДЬ 3</x:v>
      </x:c>
      <x:c r="E32" s="53" t="str">
        <x:v>ОЧЕРЕДЬ 3</x:v>
      </x:c>
      <x:c r="F32" s="53" t="str">
        <x:v>ОЧЕРЕДЬ 3</x:v>
      </x:c>
      <x:c r="G32" s="53" t="str">
        <x:v>ОЧЕРЕДЬ 3</x:v>
      </x:c>
      <x:c r="H32" s="53" t="str">
        <x:v>ОЧЕРЕДЬ 3</x:v>
      </x:c>
      <x:c r="I32" s="53" t="str">
        <x:v>ОЧЕРЕДЬ 3</x:v>
      </x:c>
      <x:c r="J32" s="53" t="str">
        <x:v>ОЧЕРЕДЬ 3</x:v>
      </x:c>
      <x:c r="K32" s="53" t="str">
        <x:v>ОЧЕРЕДЬ 3</x:v>
      </x:c>
      <x:c r="L32" s="53" t="str">
        <x:v>ОЧЕРЕДЬ 3</x:v>
      </x:c>
      <x:c r="M32" s="53" t="str">
        <x:v>ОЧЕРЕДЬ 3</x:v>
      </x:c>
      <x:c r="N32" s="53" t="str">
        <x:v>ОЧЕРЕДЬ 3</x:v>
      </x:c>
      <x:c r="O32" s="53" t="str">
        <x:v>ОЧЕРЕДЬ 3</x:v>
      </x:c>
      <x:c r="P32" s="53" t="str">
        <x:v>ОЧЕРЕДЬ 3</x:v>
      </x:c>
      <x:c r="Q32" s="53" t="str">
        <x:v>ОЧЕРЕДЬ 3</x:v>
      </x:c>
      <x:c r="R32" s="53" t="str">
        <x:v>ОЧЕРЕДЬ 3</x:v>
      </x:c>
      <x:c r="S32" s="53" t="str">
        <x:v>ОЧЕРЕДЬ 3</x:v>
      </x:c>
      <x:c r="T32" s="53" t="str">
        <x:v>ОЧЕРЕДЬ 3</x:v>
      </x:c>
      <x:c r="U32" s="53" t="str">
        <x:v>ОЧЕРЕДЬ 3</x:v>
      </x:c>
      <x:c r="V32" s="53" t="str">
        <x:v>ОЧЕРЕДЬ 3</x:v>
      </x:c>
      <x:c r="W32" s="53" t="str">
        <x:v>ОЧЕРЕДЬ 3</x:v>
      </x:c>
      <x:c r="X32" s="53" t="str">
        <x:v>ОЧЕРЕДЬ 3</x:v>
      </x:c>
      <x:c r="Y32" s="53" t="str">
        <x:v>ОЧЕРЕДЬ 3</x:v>
      </x:c>
      <x:c r="Z32" s="53" t="str">
        <x:v>ОЧЕРЕДЬ 3</x:v>
      </x:c>
      <x:c r="AA32" s="53" t="str">
        <x:v>ОЧЕРЕДЬ 3</x:v>
      </x:c>
      <x:c r="AB32" s="53" t="str">
        <x:v>ОЧЕРЕДЬ 3</x:v>
      </x:c>
      <x:c r="AC32" s="53" t="str">
        <x:v>ОЧЕРЕДЬ 3</x:v>
      </x:c>
      <x:c r="AD32" s="53" t="str">
        <x:v>ОЧЕРЕДЬ 3</x:v>
      </x:c>
      <x:c r="AE32" s="53" t="str">
        <x:v>ОЧЕРЕДЬ 3</x:v>
      </x:c>
      <x:c r="AF32" s="53" t="str">
        <x:v>ОЧЕРЕДЬ 3</x:v>
      </x:c>
      <x:c r="AG32" s="53" t="str">
        <x:v>ОЧЕРЕДЬ 3</x:v>
      </x:c>
      <x:c r="AH32" s="53" t="str">
        <x:v>ОЧЕРЕДЬ 3</x:v>
      </x:c>
      <x:c r="AI32" s="53" t="str">
        <x:v>ОЧЕРЕДЬ 3</x:v>
      </x:c>
      <x:c r="AJ32" s="53" t="str">
        <x:v>ОЧЕРЕДЬ 3</x:v>
      </x:c>
      <x:c r="AK32" s="53" t="str">
        <x:v>ОЧЕРЕДЬ 3</x:v>
      </x:c>
      <x:c r="AL32" s="53" t="str">
        <x:v>ОЧЕРЕДЬ 3</x:v>
      </x:c>
      <x:c r="AM32" s="53" t="str">
        <x:v>ОЧЕРЕДЬ 3</x:v>
      </x:c>
      <x:c r="AN32" s="53" t="str">
        <x:v>ОЧЕРЕДЬ 3</x:v>
      </x:c>
      <x:c r="AO32" s="53" t="str">
        <x:v>ОЧЕРЕДЬ 3</x:v>
      </x:c>
      <x:c r="AP32" s="53" t="str">
        <x:v>ОЧЕРЕДЬ 3</x:v>
      </x:c>
      <x:c r="AQ32" s="53" t="str">
        <x:v>ОЧЕРЕДЬ 3</x:v>
      </x:c>
      <x:c r="AR32" s="53" t="str">
        <x:v>ОЧЕРЕДЬ 3</x:v>
      </x:c>
      <x:c r="AS32" s="53" t="str">
        <x:v>ОЧЕРЕДЬ 3</x:v>
      </x:c>
      <x:c r="AT32" s="53" t="str">
        <x:v>ОЧЕРЕДЬ 3</x:v>
      </x:c>
      <x:c r="AU32" s="53" t="str">
        <x:v>ОЧЕРЕДЬ 3</x:v>
      </x:c>
      <x:c r="AV32" s="53" t="str">
        <x:v>ОЧЕРЕДЬ 3</x:v>
      </x:c>
      <x:c r="AW32" s="53" t="str">
        <x:v>ОЧЕРЕДЬ 3</x:v>
      </x:c>
      <x:c r="AX32" s="53" t="str">
        <x:v>ОЧЕРЕДЬ 3</x:v>
      </x:c>
      <x:c r="AY32" s="53" t="str">
        <x:v>ОЧЕРЕДЬ 3</x:v>
      </x:c>
      <x:c r="AZ32" s="53" t="str">
        <x:v>ОЧЕРЕДЬ 3</x:v>
      </x:c>
      <x:c r="BA32" s="53" t="str">
        <x:v>ОЧЕРЕДЬ 3</x:v>
      </x:c>
      <x:c r="BB32" s="53" t="str">
        <x:v>ОЧЕРЕДЬ 3</x:v>
      </x:c>
      <x:c r="BC32" s="53" t="str">
        <x:v>ОЧЕРЕДЬ 3</x:v>
      </x:c>
      <x:c r="BD32" s="53" t="str">
        <x:v>ОЧЕРЕДЬ 3</x:v>
      </x:c>
      <x:c r="BE32" s="53" t="str">
        <x:v>ОЧЕРЕДЬ 3</x:v>
      </x:c>
      <x:c r="BF32" s="53" t="str">
        <x:v>ОЧЕРЕДЬ 3</x:v>
      </x:c>
      <x:c r="BG32" s="53" t="str">
        <x:v>ОЧЕРЕДЬ 3</x:v>
      </x:c>
      <x:c r="BH32" s="53" t="str">
        <x:v>ОЧЕРЕДЬ 3</x:v>
      </x:c>
      <x:c r="BI32" s="53" t="str">
        <x:v>ОЧЕРЕДЬ 3</x:v>
      </x:c>
      <x:c r="BJ32" s="53" t="str">
        <x:v>ОЧЕРЕДЬ 3</x:v>
      </x:c>
      <x:c r="BK32" s="53" t="str">
        <x:v>ОЧЕРЕДЬ 3</x:v>
      </x:c>
      <x:c r="BL32" s="53" t="str">
        <x:v>ОЧЕРЕДЬ 3</x:v>
      </x:c>
      <x:c r="BM32" s="53" t="str">
        <x:v>ОЧЕРЕДЬ 3</x:v>
      </x:c>
      <x:c r="BN32" s="53" t="str">
        <x:v>ОЧЕРЕДЬ 3</x:v>
      </x:c>
      <x:c r="BO32" s="53" t="str">
        <x:v>ОЧЕРЕДЬ 3</x:v>
      </x:c>
      <x:c r="BP32" s="53" t="str">
        <x:v>ОЧЕРЕДЬ 3</x:v>
      </x:c>
      <x:c r="BQ32" s="53" t="str">
        <x:v>ОЧЕРЕДЬ 3</x:v>
      </x:c>
      <x:c r="BR32" s="53" t="str">
        <x:v>ОЧЕРЕДЬ 3</x:v>
      </x:c>
      <x:c r="BS32" s="53" t="str">
        <x:v>ОЧЕРЕДЬ 3</x:v>
      </x:c>
      <x:c r="BT32" s="53" t="str">
        <x:v>ОЧЕРЕДЬ 3</x:v>
      </x:c>
      <x:c r="BU32" s="53" t="str">
        <x:v>ОЧЕРЕДЬ 3</x:v>
      </x:c>
      <x:c r="BV32" s="53" t="str">
        <x:v>ОЧЕРЕДЬ 3</x:v>
      </x:c>
      <x:c r="BW32" s="53" t="str">
        <x:v>ОЧЕРЕДЬ 3</x:v>
      </x:c>
      <x:c r="BX32" s="53" t="str">
        <x:v>ОЧЕРЕДЬ 3</x:v>
      </x:c>
      <x:c r="BY32" s="53" t="str">
        <x:v>ОЧЕРЕДЬ 3</x:v>
      </x:c>
      <x:c r="BZ32" s="53" t="str">
        <x:v>ОЧЕРЕДЬ 3</x:v>
      </x:c>
      <x:c r="CA32" s="53" t="str">
        <x:v>ОЧЕРЕДЬ 3</x:v>
      </x:c>
      <x:c r="CB32" s="53" t="str">
        <x:v>ОЧЕРЕДЬ 3</x:v>
      </x:c>
      <x:c r="CC32" s="53" t="str">
        <x:v>ОЧЕРЕДЬ 3</x:v>
      </x:c>
      <x:c r="CD32" s="53" t="str">
        <x:v>ОЧЕРЕДЬ 3</x:v>
      </x:c>
      <x:c r="CE32" s="53" t="str">
        <x:v>ОЧЕРЕДЬ 3</x:v>
      </x:c>
      <x:c r="CF32" s="53" t="str">
        <x:v>ОЧЕРЕДЬ 3</x:v>
      </x:c>
      <x:c r="CG32" s="53" t="str">
        <x:v>ОЧЕРЕДЬ 3</x:v>
      </x:c>
      <x:c r="CH32" s="53" t="str">
        <x:v>ОЧЕРЕДЬ 3</x:v>
      </x:c>
      <x:c r="CI32" s="53" t="str">
        <x:v>ОЧЕРЕДЬ 3</x:v>
      </x:c>
      <x:c r="CJ32" s="53" t="str">
        <x:v>ОЧЕРЕДЬ 3</x:v>
      </x:c>
      <x:c r="CK32" s="53" t="str">
        <x:v>ОЧЕРЕДЬ 3</x:v>
      </x:c>
      <x:c r="CL32" s="53" t="str">
        <x:v>ОЧЕРЕДЬ 3</x:v>
      </x:c>
      <x:c r="CM32" s="53" t="str">
        <x:v>ОЧЕРЕДЬ 3</x:v>
      </x:c>
      <x:c r="CN32" s="53" t="str">
        <x:v>ОЧЕРЕДЬ 3</x:v>
      </x:c>
      <x:c r="CO32" s="53" t="str">
        <x:v>ОЧЕРЕДЬ 3</x:v>
      </x:c>
      <x:c r="CP32" s="53" t="str">
        <x:v>ОЧЕРЕДЬ 3</x:v>
      </x:c>
      <x:c r="CQ32" s="53" t="str">
        <x:v>ОЧЕРЕДЬ 3</x:v>
      </x:c>
      <x:c r="CR32" s="53" t="str">
        <x:v>ОЧЕРЕДЬ 3</x:v>
      </x:c>
      <x:c r="CS32" s="53" t="str">
        <x:v>ОЧЕРЕДЬ 3</x:v>
      </x:c>
      <x:c r="CT32" s="53" t="str">
        <x:v>ОЧЕРЕДЬ 3</x:v>
      </x:c>
      <x:c r="CU32" s="53" t="str">
        <x:v>ОЧЕРЕДЬ 3</x:v>
      </x:c>
      <x:c r="CV32" s="53" t="str">
        <x:v>ОЧЕРЕДЬ 3</x:v>
      </x:c>
      <x:c r="CW32" s="53" t="str">
        <x:v>ОЧЕРЕДЬ 3</x:v>
      </x:c>
      <x:c r="CX32" s="53" t="str">
        <x:v>ОЧЕРЕДЬ 3</x:v>
      </x:c>
      <x:c r="CY32" s="53" t="str">
        <x:v>ОЧЕРЕДЬ 3</x:v>
      </x:c>
      <x:c r="CZ32" s="53" t="str">
        <x:v>ОЧЕРЕДЬ 3</x:v>
      </x:c>
      <x:c r="DA32" s="53" t="str">
        <x:v>ОЧЕРЕДЬ 3</x:v>
      </x:c>
      <x:c r="DB32" s="53" t="str">
        <x:v>ОЧЕРЕДЬ 3</x:v>
      </x:c>
      <x:c r="DC32" s="53" t="str">
        <x:v>ОЧЕРЕДЬ 3</x:v>
      </x:c>
      <x:c r="DD32" s="53" t="str">
        <x:v>ОЧЕРЕДЬ 3</x:v>
      </x:c>
      <x:c r="DE32" s="53" t="str">
        <x:v>ОЧЕРЕДЬ 3</x:v>
      </x:c>
      <x:c r="DF32" s="53" t="str">
        <x:v>ОЧЕРЕДЬ 3</x:v>
      </x:c>
      <x:c r="DG32" s="53" t="str">
        <x:v>ОЧЕРЕДЬ 3</x:v>
      </x:c>
      <x:c r="DH32" s="53" t="str">
        <x:v>ОЧЕРЕДЬ 3</x:v>
      </x:c>
      <x:c r="DI32" s="53" t="str">
        <x:v>ОЧЕРЕДЬ 3</x:v>
      </x:c>
      <x:c r="DJ32" s="53" t="str">
        <x:v>ОЧЕРЕДЬ 3</x:v>
      </x:c>
      <x:c r="DK32" s="53" t="str">
        <x:v>ОЧЕРЕДЬ 3</x:v>
      </x:c>
      <x:c r="DL32" s="53" t="str">
        <x:v>ОЧЕРЕДЬ 3</x:v>
      </x:c>
      <x:c r="DM32" s="53" t="str">
        <x:v>ОЧЕРЕДЬ 3</x:v>
      </x:c>
      <x:c r="DN32" s="53" t="str">
        <x:v>ОЧЕРЕДЬ 3</x:v>
      </x:c>
      <x:c r="DO32" s="53" t="str">
        <x:v>ОЧЕРЕДЬ 3</x:v>
      </x:c>
      <x:c r="DP32" s="53" t="str">
        <x:v>ОЧЕРЕДЬ 3</x:v>
      </x:c>
      <x:c r="DQ32" s="53" t="str">
        <x:v>ОЧЕРЕДЬ 3</x:v>
      </x:c>
      <x:c r="DR32" s="53" t="str">
        <x:v>ОЧЕРЕДЬ 3</x:v>
      </x:c>
      <x:c r="DS32" s="54" t="str">
        <x:v>ОЧЕРЕДЬ 3</x:v>
      </x:c>
    </x:row>
    <x:row r="33">
      <x:c r="A33" t="str">
        <x:v>Дата возникновения обязательства</x:v>
      </x:c>
      <x:c r="B33" s="106" t="n">
        <x:f>EDATE('Вводные'!$D$90,'Вводные'!$E$90+'Вводные'!$H$9-'Вводные'!$B$76)</x:f>
      </x:c>
      <x:c r="C33" t="str">
        <x:v>дата</x:v>
      </x:c>
    </x:row>
    <x:row r="34">
      <x:c r="A34" t="str">
        <x:v>Дата открытия ПФ</x:v>
      </x:c>
      <x:c r="B34" s="106" t="n">
        <x:f>EDATE('Вводные'!$D$90,'Вводные'!$E$90+'Вводные'!$H$9)</x:f>
      </x:c>
      <x:c r="C34" t="str">
        <x:v>дата</x:v>
      </x:c>
    </x:row>
    <x:row r="35">
      <x:c r="A35" t="str">
        <x:v>Сумма обязательства после льготы</x:v>
      </x:c>
      <x:c r="B35" s="115" t="n">
        <x:f>IF(AND('Вводные'!$B$90="Да",'Вводные'!$B$74="Да"),MAX(0,'Вводные'!$B$16*'Вводные'!$Q$90-'Вводные'!$B$82*'Вводные'!$Q$90),0)</x:f>
      </x:c>
      <x:c r="C35" t="str">
        <x:v>млн ₽</x:v>
      </x:c>
    </x:row>
    <x:row r="36">
      <x:c r="A36" t="str">
        <x:v>Остаток на начало</x:v>
      </x:c>
      <x:c r="B36" s="107" t="n">
        <x:f>MAX(D36:DS36)</x:f>
      </x:c>
      <x:c r="C36" t="str">
        <x:v>млн ₽</x:v>
      </x:c>
      <x:c r="D36" s="117" t="n">
        <x:f>0</x:f>
      </x:c>
      <x:c r="E36" s="117" t="n">
        <x:f>D42</x:f>
      </x:c>
      <x:c r="F36" s="117" t="n">
        <x:f>E42</x:f>
      </x:c>
      <x:c r="G36" s="117" t="n">
        <x:f>F42</x:f>
      </x:c>
      <x:c r="H36" s="117" t="n">
        <x:f>G42</x:f>
      </x:c>
      <x:c r="I36" s="117" t="n">
        <x:f>H42</x:f>
      </x:c>
      <x:c r="J36" s="117" t="n">
        <x:f>I42</x:f>
      </x:c>
      <x:c r="K36" s="117" t="n">
        <x:f>J42</x:f>
      </x:c>
      <x:c r="L36" s="117" t="n">
        <x:f>K42</x:f>
      </x:c>
      <x:c r="M36" s="117" t="n">
        <x:f>L42</x:f>
      </x:c>
      <x:c r="N36" s="117" t="n">
        <x:f>M42</x:f>
      </x:c>
      <x:c r="O36" s="117" t="n">
        <x:f>N42</x:f>
      </x:c>
      <x:c r="P36" s="117" t="n">
        <x:f>O42</x:f>
      </x:c>
      <x:c r="Q36" s="117" t="n">
        <x:f>P42</x:f>
      </x:c>
      <x:c r="R36" s="117" t="n">
        <x:f>Q42</x:f>
      </x:c>
      <x:c r="S36" s="117" t="n">
        <x:f>R42</x:f>
      </x:c>
      <x:c r="T36" s="117" t="n">
        <x:f>S42</x:f>
      </x:c>
      <x:c r="U36" s="117" t="n">
        <x:f>T42</x:f>
      </x:c>
      <x:c r="V36" s="117" t="n">
        <x:f>U42</x:f>
      </x:c>
      <x:c r="W36" s="117" t="n">
        <x:f>V42</x:f>
      </x:c>
      <x:c r="X36" s="117" t="n">
        <x:f>W42</x:f>
      </x:c>
      <x:c r="Y36" s="117" t="n">
        <x:f>X42</x:f>
      </x:c>
      <x:c r="Z36" s="117" t="n">
        <x:f>Y42</x:f>
      </x:c>
      <x:c r="AA36" s="117" t="n">
        <x:f>Z42</x:f>
      </x:c>
      <x:c r="AB36" s="117" t="n">
        <x:f>AA42</x:f>
      </x:c>
      <x:c r="AC36" s="117" t="n">
        <x:f>AB42</x:f>
      </x:c>
      <x:c r="AD36" s="117" t="n">
        <x:f>AC42</x:f>
      </x:c>
      <x:c r="AE36" s="117" t="n">
        <x:f>AD42</x:f>
      </x:c>
      <x:c r="AF36" s="117" t="n">
        <x:f>AE42</x:f>
      </x:c>
      <x:c r="AG36" s="117" t="n">
        <x:f>AF42</x:f>
      </x:c>
      <x:c r="AH36" s="117" t="n">
        <x:f>AG42</x:f>
      </x:c>
      <x:c r="AI36" s="117" t="n">
        <x:f>AH42</x:f>
      </x:c>
      <x:c r="AJ36" s="117" t="n">
        <x:f>AI42</x:f>
      </x:c>
      <x:c r="AK36" s="117" t="n">
        <x:f>AJ42</x:f>
      </x:c>
      <x:c r="AL36" s="117" t="n">
        <x:f>AK42</x:f>
      </x:c>
      <x:c r="AM36" s="117" t="n">
        <x:f>AL42</x:f>
      </x:c>
      <x:c r="AN36" s="117" t="n">
        <x:f>AM42</x:f>
      </x:c>
      <x:c r="AO36" s="117" t="n">
        <x:f>AN42</x:f>
      </x:c>
      <x:c r="AP36" s="117" t="n">
        <x:f>AO42</x:f>
      </x:c>
      <x:c r="AQ36" s="117" t="n">
        <x:f>AP42</x:f>
      </x:c>
      <x:c r="AR36" s="117" t="n">
        <x:f>AQ42</x:f>
      </x:c>
      <x:c r="AS36" s="117" t="n">
        <x:f>AR42</x:f>
      </x:c>
      <x:c r="AT36" s="117" t="n">
        <x:f>AS42</x:f>
      </x:c>
      <x:c r="AU36" s="117" t="n">
        <x:f>AT42</x:f>
      </x:c>
      <x:c r="AV36" s="117" t="n">
        <x:f>AU42</x:f>
      </x:c>
      <x:c r="AW36" s="117" t="n">
        <x:f>AV42</x:f>
      </x:c>
      <x:c r="AX36" s="117" t="n">
        <x:f>AW42</x:f>
      </x:c>
      <x:c r="AY36" s="117" t="n">
        <x:f>AX42</x:f>
      </x:c>
      <x:c r="AZ36" s="117" t="n">
        <x:f>AY42</x:f>
      </x:c>
      <x:c r="BA36" s="117" t="n">
        <x:f>AZ42</x:f>
      </x:c>
      <x:c r="BB36" s="117" t="n">
        <x:f>BA42</x:f>
      </x:c>
      <x:c r="BC36" s="117" t="n">
        <x:f>BB42</x:f>
      </x:c>
      <x:c r="BD36" s="117" t="n">
        <x:f>BC42</x:f>
      </x:c>
      <x:c r="BE36" s="117" t="n">
        <x:f>BD42</x:f>
      </x:c>
      <x:c r="BF36" s="117" t="n">
        <x:f>BE42</x:f>
      </x:c>
      <x:c r="BG36" s="117" t="n">
        <x:f>BF42</x:f>
      </x:c>
      <x:c r="BH36" s="117" t="n">
        <x:f>BG42</x:f>
      </x:c>
      <x:c r="BI36" s="117" t="n">
        <x:f>BH42</x:f>
      </x:c>
      <x:c r="BJ36" s="117" t="n">
        <x:f>BI42</x:f>
      </x:c>
      <x:c r="BK36" s="117" t="n">
        <x:f>BJ42</x:f>
      </x:c>
      <x:c r="BL36" s="117" t="n">
        <x:f>BK42</x:f>
      </x:c>
      <x:c r="BM36" s="117" t="n">
        <x:f>BL42</x:f>
      </x:c>
      <x:c r="BN36" s="117" t="n">
        <x:f>BM42</x:f>
      </x:c>
      <x:c r="BO36" s="117" t="n">
        <x:f>BN42</x:f>
      </x:c>
      <x:c r="BP36" s="117" t="n">
        <x:f>BO42</x:f>
      </x:c>
      <x:c r="BQ36" s="117" t="n">
        <x:f>BP42</x:f>
      </x:c>
      <x:c r="BR36" s="117" t="n">
        <x:f>BQ42</x:f>
      </x:c>
      <x:c r="BS36" s="117" t="n">
        <x:f>BR42</x:f>
      </x:c>
      <x:c r="BT36" s="117" t="n">
        <x:f>BS42</x:f>
      </x:c>
      <x:c r="BU36" s="117" t="n">
        <x:f>BT42</x:f>
      </x:c>
      <x:c r="BV36" s="117" t="n">
        <x:f>BU42</x:f>
      </x:c>
      <x:c r="BW36" s="117" t="n">
        <x:f>BV42</x:f>
      </x:c>
      <x:c r="BX36" s="117" t="n">
        <x:f>BW42</x:f>
      </x:c>
      <x:c r="BY36" s="117" t="n">
        <x:f>BX42</x:f>
      </x:c>
      <x:c r="BZ36" s="117" t="n">
        <x:f>BY42</x:f>
      </x:c>
      <x:c r="CA36" s="117" t="n">
        <x:f>BZ42</x:f>
      </x:c>
      <x:c r="CB36" s="117" t="n">
        <x:f>CA42</x:f>
      </x:c>
      <x:c r="CC36" s="117" t="n">
        <x:f>CB42</x:f>
      </x:c>
      <x:c r="CD36" s="117" t="n">
        <x:f>CC42</x:f>
      </x:c>
      <x:c r="CE36" s="117" t="n">
        <x:f>CD42</x:f>
      </x:c>
      <x:c r="CF36" s="117" t="n">
        <x:f>CE42</x:f>
      </x:c>
      <x:c r="CG36" s="117" t="n">
        <x:f>CF42</x:f>
      </x:c>
      <x:c r="CH36" s="117" t="n">
        <x:f>CG42</x:f>
      </x:c>
      <x:c r="CI36" s="117" t="n">
        <x:f>CH42</x:f>
      </x:c>
      <x:c r="CJ36" s="117" t="n">
        <x:f>CI42</x:f>
      </x:c>
      <x:c r="CK36" s="117" t="n">
        <x:f>CJ42</x:f>
      </x:c>
      <x:c r="CL36" s="117" t="n">
        <x:f>CK42</x:f>
      </x:c>
      <x:c r="CM36" s="117" t="n">
        <x:f>CL42</x:f>
      </x:c>
      <x:c r="CN36" s="117" t="n">
        <x:f>CM42</x:f>
      </x:c>
      <x:c r="CO36" s="117" t="n">
        <x:f>CN42</x:f>
      </x:c>
      <x:c r="CP36" s="117" t="n">
        <x:f>CO42</x:f>
      </x:c>
      <x:c r="CQ36" s="117" t="n">
        <x:f>CP42</x:f>
      </x:c>
      <x:c r="CR36" s="117" t="n">
        <x:f>CQ42</x:f>
      </x:c>
      <x:c r="CS36" s="117" t="n">
        <x:f>CR42</x:f>
      </x:c>
      <x:c r="CT36" s="117" t="n">
        <x:f>CS42</x:f>
      </x:c>
      <x:c r="CU36" s="117" t="n">
        <x:f>CT42</x:f>
      </x:c>
      <x:c r="CV36" s="117" t="n">
        <x:f>CU42</x:f>
      </x:c>
      <x:c r="CW36" s="117" t="n">
        <x:f>CV42</x:f>
      </x:c>
      <x:c r="CX36" s="117" t="n">
        <x:f>CW42</x:f>
      </x:c>
      <x:c r="CY36" s="117" t="n">
        <x:f>CX42</x:f>
      </x:c>
      <x:c r="CZ36" s="117" t="n">
        <x:f>CY42</x:f>
      </x:c>
      <x:c r="DA36" s="117" t="n">
        <x:f>CZ42</x:f>
      </x:c>
      <x:c r="DB36" s="117" t="n">
        <x:f>DA42</x:f>
      </x:c>
      <x:c r="DC36" s="117" t="n">
        <x:f>DB42</x:f>
      </x:c>
      <x:c r="DD36" s="117" t="n">
        <x:f>DC42</x:f>
      </x:c>
      <x:c r="DE36" s="117" t="n">
        <x:f>DD42</x:f>
      </x:c>
      <x:c r="DF36" s="117" t="n">
        <x:f>DE42</x:f>
      </x:c>
      <x:c r="DG36" s="117" t="n">
        <x:f>DF42</x:f>
      </x:c>
      <x:c r="DH36" s="117" t="n">
        <x:f>DG42</x:f>
      </x:c>
      <x:c r="DI36" s="117" t="n">
        <x:f>DH42</x:f>
      </x:c>
      <x:c r="DJ36" s="117" t="n">
        <x:f>DI42</x:f>
      </x:c>
      <x:c r="DK36" s="117" t="n">
        <x:f>DJ42</x:f>
      </x:c>
      <x:c r="DL36" s="117" t="n">
        <x:f>DK42</x:f>
      </x:c>
      <x:c r="DM36" s="117" t="n">
        <x:f>DL42</x:f>
      </x:c>
      <x:c r="DN36" s="117" t="n">
        <x:f>DM42</x:f>
      </x:c>
      <x:c r="DO36" s="117" t="n">
        <x:f>DN42</x:f>
      </x:c>
      <x:c r="DP36" s="117" t="n">
        <x:f>DO42</x:f>
      </x:c>
      <x:c r="DQ36" s="117" t="n">
        <x:f>DP42</x:f>
      </x:c>
      <x:c r="DR36" s="117" t="n">
        <x:f>DQ42</x:f>
      </x:c>
      <x:c r="DS36" s="117" t="n">
        <x:f>DR42</x:f>
      </x:c>
    </x:row>
    <x:row r="37">
      <x:c r="A37" t="str">
        <x:v>Возникновение обязательства</x:v>
      </x:c>
      <x:c r="B37" s="107" t="n">
        <x:f>SUM(D37:DS37)</x:f>
      </x:c>
      <x:c r="C37" t="str">
        <x:v>млн ₽</x:v>
      </x:c>
      <x:c r="D37" s="117" t="n">
        <x:f>IF(AND(YEAR(D$3)=YEAR($B$33),MONTH(D$3)=MONTH($B$33)),$B$35,0)</x:f>
      </x:c>
      <x:c r="E37" s="117" t="n">
        <x:f>IF(AND(YEAR(E$3)=YEAR($B$33),MONTH(E$3)=MONTH($B$33)),$B$35,0)</x:f>
      </x:c>
      <x:c r="F37" s="117" t="n">
        <x:f>IF(AND(YEAR(F$3)=YEAR($B$33),MONTH(F$3)=MONTH($B$33)),$B$35,0)</x:f>
      </x:c>
      <x:c r="G37" s="117" t="n">
        <x:f>IF(AND(YEAR(G$3)=YEAR($B$33),MONTH(G$3)=MONTH($B$33)),$B$35,0)</x:f>
      </x:c>
      <x:c r="H37" s="117" t="n">
        <x:f>IF(AND(YEAR(H$3)=YEAR($B$33),MONTH(H$3)=MONTH($B$33)),$B$35,0)</x:f>
      </x:c>
      <x:c r="I37" s="117" t="n">
        <x:f>IF(AND(YEAR(I$3)=YEAR($B$33),MONTH(I$3)=MONTH($B$33)),$B$35,0)</x:f>
      </x:c>
      <x:c r="J37" s="117" t="n">
        <x:f>IF(AND(YEAR(J$3)=YEAR($B$33),MONTH(J$3)=MONTH($B$33)),$B$35,0)</x:f>
      </x:c>
      <x:c r="K37" s="117" t="n">
        <x:f>IF(AND(YEAR(K$3)=YEAR($B$33),MONTH(K$3)=MONTH($B$33)),$B$35,0)</x:f>
      </x:c>
      <x:c r="L37" s="117" t="n">
        <x:f>IF(AND(YEAR(L$3)=YEAR($B$33),MONTH(L$3)=MONTH($B$33)),$B$35,0)</x:f>
      </x:c>
      <x:c r="M37" s="117" t="n">
        <x:f>IF(AND(YEAR(M$3)=YEAR($B$33),MONTH(M$3)=MONTH($B$33)),$B$35,0)</x:f>
      </x:c>
      <x:c r="N37" s="117" t="n">
        <x:f>IF(AND(YEAR(N$3)=YEAR($B$33),MONTH(N$3)=MONTH($B$33)),$B$35,0)</x:f>
      </x:c>
      <x:c r="O37" s="117" t="n">
        <x:f>IF(AND(YEAR(O$3)=YEAR($B$33),MONTH(O$3)=MONTH($B$33)),$B$35,0)</x:f>
      </x:c>
      <x:c r="P37" s="117" t="n">
        <x:f>IF(AND(YEAR(P$3)=YEAR($B$33),MONTH(P$3)=MONTH($B$33)),$B$35,0)</x:f>
      </x:c>
      <x:c r="Q37" s="117" t="n">
        <x:f>IF(AND(YEAR(Q$3)=YEAR($B$33),MONTH(Q$3)=MONTH($B$33)),$B$35,0)</x:f>
      </x:c>
      <x:c r="R37" s="117" t="n">
        <x:f>IF(AND(YEAR(R$3)=YEAR($B$33),MONTH(R$3)=MONTH($B$33)),$B$35,0)</x:f>
      </x:c>
      <x:c r="S37" s="117" t="n">
        <x:f>IF(AND(YEAR(S$3)=YEAR($B$33),MONTH(S$3)=MONTH($B$33)),$B$35,0)</x:f>
      </x:c>
      <x:c r="T37" s="117" t="n">
        <x:f>IF(AND(YEAR(T$3)=YEAR($B$33),MONTH(T$3)=MONTH($B$33)),$B$35,0)</x:f>
      </x:c>
      <x:c r="U37" s="117" t="n">
        <x:f>IF(AND(YEAR(U$3)=YEAR($B$33),MONTH(U$3)=MONTH($B$33)),$B$35,0)</x:f>
      </x:c>
      <x:c r="V37" s="117" t="n">
        <x:f>IF(AND(YEAR(V$3)=YEAR($B$33),MONTH(V$3)=MONTH($B$33)),$B$35,0)</x:f>
      </x:c>
      <x:c r="W37" s="117" t="n">
        <x:f>IF(AND(YEAR(W$3)=YEAR($B$33),MONTH(W$3)=MONTH($B$33)),$B$35,0)</x:f>
      </x:c>
      <x:c r="X37" s="117" t="n">
        <x:f>IF(AND(YEAR(X$3)=YEAR($B$33),MONTH(X$3)=MONTH($B$33)),$B$35,0)</x:f>
      </x:c>
      <x:c r="Y37" s="117" t="n">
        <x:f>IF(AND(YEAR(Y$3)=YEAR($B$33),MONTH(Y$3)=MONTH($B$33)),$B$35,0)</x:f>
      </x:c>
      <x:c r="Z37" s="117" t="n">
        <x:f>IF(AND(YEAR(Z$3)=YEAR($B$33),MONTH(Z$3)=MONTH($B$33)),$B$35,0)</x:f>
      </x:c>
      <x:c r="AA37" s="117" t="n">
        <x:f>IF(AND(YEAR(AA$3)=YEAR($B$33),MONTH(AA$3)=MONTH($B$33)),$B$35,0)</x:f>
      </x:c>
      <x:c r="AB37" s="117" t="n">
        <x:f>IF(AND(YEAR(AB$3)=YEAR($B$33),MONTH(AB$3)=MONTH($B$33)),$B$35,0)</x:f>
      </x:c>
      <x:c r="AC37" s="117" t="n">
        <x:f>IF(AND(YEAR(AC$3)=YEAR($B$33),MONTH(AC$3)=MONTH($B$33)),$B$35,0)</x:f>
      </x:c>
      <x:c r="AD37" s="117" t="n">
        <x:f>IF(AND(YEAR(AD$3)=YEAR($B$33),MONTH(AD$3)=MONTH($B$33)),$B$35,0)</x:f>
      </x:c>
      <x:c r="AE37" s="117" t="n">
        <x:f>IF(AND(YEAR(AE$3)=YEAR($B$33),MONTH(AE$3)=MONTH($B$33)),$B$35,0)</x:f>
      </x:c>
      <x:c r="AF37" s="117" t="n">
        <x:f>IF(AND(YEAR(AF$3)=YEAR($B$33),MONTH(AF$3)=MONTH($B$33)),$B$35,0)</x:f>
      </x:c>
      <x:c r="AG37" s="117" t="n">
        <x:f>IF(AND(YEAR(AG$3)=YEAR($B$33),MONTH(AG$3)=MONTH($B$33)),$B$35,0)</x:f>
      </x:c>
      <x:c r="AH37" s="117" t="n">
        <x:f>IF(AND(YEAR(AH$3)=YEAR($B$33),MONTH(AH$3)=MONTH($B$33)),$B$35,0)</x:f>
      </x:c>
      <x:c r="AI37" s="117" t="n">
        <x:f>IF(AND(YEAR(AI$3)=YEAR($B$33),MONTH(AI$3)=MONTH($B$33)),$B$35,0)</x:f>
      </x:c>
      <x:c r="AJ37" s="117" t="n">
        <x:f>IF(AND(YEAR(AJ$3)=YEAR($B$33),MONTH(AJ$3)=MONTH($B$33)),$B$35,0)</x:f>
      </x:c>
      <x:c r="AK37" s="117" t="n">
        <x:f>IF(AND(YEAR(AK$3)=YEAR($B$33),MONTH(AK$3)=MONTH($B$33)),$B$35,0)</x:f>
      </x:c>
      <x:c r="AL37" s="117" t="n">
        <x:f>IF(AND(YEAR(AL$3)=YEAR($B$33),MONTH(AL$3)=MONTH($B$33)),$B$35,0)</x:f>
      </x:c>
      <x:c r="AM37" s="117" t="n">
        <x:f>IF(AND(YEAR(AM$3)=YEAR($B$33),MONTH(AM$3)=MONTH($B$33)),$B$35,0)</x:f>
      </x:c>
      <x:c r="AN37" s="117" t="n">
        <x:f>IF(AND(YEAR(AN$3)=YEAR($B$33),MONTH(AN$3)=MONTH($B$33)),$B$35,0)</x:f>
      </x:c>
      <x:c r="AO37" s="117" t="n">
        <x:f>IF(AND(YEAR(AO$3)=YEAR($B$33),MONTH(AO$3)=MONTH($B$33)),$B$35,0)</x:f>
      </x:c>
      <x:c r="AP37" s="117" t="n">
        <x:f>IF(AND(YEAR(AP$3)=YEAR($B$33),MONTH(AP$3)=MONTH($B$33)),$B$35,0)</x:f>
      </x:c>
      <x:c r="AQ37" s="117" t="n">
        <x:f>IF(AND(YEAR(AQ$3)=YEAR($B$33),MONTH(AQ$3)=MONTH($B$33)),$B$35,0)</x:f>
      </x:c>
      <x:c r="AR37" s="117" t="n">
        <x:f>IF(AND(YEAR(AR$3)=YEAR($B$33),MONTH(AR$3)=MONTH($B$33)),$B$35,0)</x:f>
      </x:c>
      <x:c r="AS37" s="117" t="n">
        <x:f>IF(AND(YEAR(AS$3)=YEAR($B$33),MONTH(AS$3)=MONTH($B$33)),$B$35,0)</x:f>
      </x:c>
      <x:c r="AT37" s="117" t="n">
        <x:f>IF(AND(YEAR(AT$3)=YEAR($B$33),MONTH(AT$3)=MONTH($B$33)),$B$35,0)</x:f>
      </x:c>
      <x:c r="AU37" s="117" t="n">
        <x:f>IF(AND(YEAR(AU$3)=YEAR($B$33),MONTH(AU$3)=MONTH($B$33)),$B$35,0)</x:f>
      </x:c>
      <x:c r="AV37" s="117" t="n">
        <x:f>IF(AND(YEAR(AV$3)=YEAR($B$33),MONTH(AV$3)=MONTH($B$33)),$B$35,0)</x:f>
      </x:c>
      <x:c r="AW37" s="117" t="n">
        <x:f>IF(AND(YEAR(AW$3)=YEAR($B$33),MONTH(AW$3)=MONTH($B$33)),$B$35,0)</x:f>
      </x:c>
      <x:c r="AX37" s="117" t="n">
        <x:f>IF(AND(YEAR(AX$3)=YEAR($B$33),MONTH(AX$3)=MONTH($B$33)),$B$35,0)</x:f>
      </x:c>
      <x:c r="AY37" s="117" t="n">
        <x:f>IF(AND(YEAR(AY$3)=YEAR($B$33),MONTH(AY$3)=MONTH($B$33)),$B$35,0)</x:f>
      </x:c>
      <x:c r="AZ37" s="117" t="n">
        <x:f>IF(AND(YEAR(AZ$3)=YEAR($B$33),MONTH(AZ$3)=MONTH($B$33)),$B$35,0)</x:f>
      </x:c>
      <x:c r="BA37" s="117" t="n">
        <x:f>IF(AND(YEAR(BA$3)=YEAR($B$33),MONTH(BA$3)=MONTH($B$33)),$B$35,0)</x:f>
      </x:c>
      <x:c r="BB37" s="117" t="n">
        <x:f>IF(AND(YEAR(BB$3)=YEAR($B$33),MONTH(BB$3)=MONTH($B$33)),$B$35,0)</x:f>
      </x:c>
      <x:c r="BC37" s="117" t="n">
        <x:f>IF(AND(YEAR(BC$3)=YEAR($B$33),MONTH(BC$3)=MONTH($B$33)),$B$35,0)</x:f>
      </x:c>
      <x:c r="BD37" s="117" t="n">
        <x:f>IF(AND(YEAR(BD$3)=YEAR($B$33),MONTH(BD$3)=MONTH($B$33)),$B$35,0)</x:f>
      </x:c>
      <x:c r="BE37" s="117" t="n">
        <x:f>IF(AND(YEAR(BE$3)=YEAR($B$33),MONTH(BE$3)=MONTH($B$33)),$B$35,0)</x:f>
      </x:c>
      <x:c r="BF37" s="117" t="n">
        <x:f>IF(AND(YEAR(BF$3)=YEAR($B$33),MONTH(BF$3)=MONTH($B$33)),$B$35,0)</x:f>
      </x:c>
      <x:c r="BG37" s="117" t="n">
        <x:f>IF(AND(YEAR(BG$3)=YEAR($B$33),MONTH(BG$3)=MONTH($B$33)),$B$35,0)</x:f>
      </x:c>
      <x:c r="BH37" s="117" t="n">
        <x:f>IF(AND(YEAR(BH$3)=YEAR($B$33),MONTH(BH$3)=MONTH($B$33)),$B$35,0)</x:f>
      </x:c>
      <x:c r="BI37" s="117" t="n">
        <x:f>IF(AND(YEAR(BI$3)=YEAR($B$33),MONTH(BI$3)=MONTH($B$33)),$B$35,0)</x:f>
      </x:c>
      <x:c r="BJ37" s="117" t="n">
        <x:f>IF(AND(YEAR(BJ$3)=YEAR($B$33),MONTH(BJ$3)=MONTH($B$33)),$B$35,0)</x:f>
      </x:c>
      <x:c r="BK37" s="117" t="n">
        <x:f>IF(AND(YEAR(BK$3)=YEAR($B$33),MONTH(BK$3)=MONTH($B$33)),$B$35,0)</x:f>
      </x:c>
      <x:c r="BL37" s="117" t="n">
        <x:f>IF(AND(YEAR(BL$3)=YEAR($B$33),MONTH(BL$3)=MONTH($B$33)),$B$35,0)</x:f>
      </x:c>
      <x:c r="BM37" s="117" t="n">
        <x:f>IF(AND(YEAR(BM$3)=YEAR($B$33),MONTH(BM$3)=MONTH($B$33)),$B$35,0)</x:f>
      </x:c>
      <x:c r="BN37" s="117" t="n">
        <x:f>IF(AND(YEAR(BN$3)=YEAR($B$33),MONTH(BN$3)=MONTH($B$33)),$B$35,0)</x:f>
      </x:c>
      <x:c r="BO37" s="117" t="n">
        <x:f>IF(AND(YEAR(BO$3)=YEAR($B$33),MONTH(BO$3)=MONTH($B$33)),$B$35,0)</x:f>
      </x:c>
      <x:c r="BP37" s="117" t="n">
        <x:f>IF(AND(YEAR(BP$3)=YEAR($B$33),MONTH(BP$3)=MONTH($B$33)),$B$35,0)</x:f>
      </x:c>
      <x:c r="BQ37" s="117" t="n">
        <x:f>IF(AND(YEAR(BQ$3)=YEAR($B$33),MONTH(BQ$3)=MONTH($B$33)),$B$35,0)</x:f>
      </x:c>
      <x:c r="BR37" s="117" t="n">
        <x:f>IF(AND(YEAR(BR$3)=YEAR($B$33),MONTH(BR$3)=MONTH($B$33)),$B$35,0)</x:f>
      </x:c>
      <x:c r="BS37" s="117" t="n">
        <x:f>IF(AND(YEAR(BS$3)=YEAR($B$33),MONTH(BS$3)=MONTH($B$33)),$B$35,0)</x:f>
      </x:c>
      <x:c r="BT37" s="117" t="n">
        <x:f>IF(AND(YEAR(BT$3)=YEAR($B$33),MONTH(BT$3)=MONTH($B$33)),$B$35,0)</x:f>
      </x:c>
      <x:c r="BU37" s="117" t="n">
        <x:f>IF(AND(YEAR(BU$3)=YEAR($B$33),MONTH(BU$3)=MONTH($B$33)),$B$35,0)</x:f>
      </x:c>
      <x:c r="BV37" s="117" t="n">
        <x:f>IF(AND(YEAR(BV$3)=YEAR($B$33),MONTH(BV$3)=MONTH($B$33)),$B$35,0)</x:f>
      </x:c>
      <x:c r="BW37" s="117" t="n">
        <x:f>IF(AND(YEAR(BW$3)=YEAR($B$33),MONTH(BW$3)=MONTH($B$33)),$B$35,0)</x:f>
      </x:c>
      <x:c r="BX37" s="117" t="n">
        <x:f>IF(AND(YEAR(BX$3)=YEAR($B$33),MONTH(BX$3)=MONTH($B$33)),$B$35,0)</x:f>
      </x:c>
      <x:c r="BY37" s="117" t="n">
        <x:f>IF(AND(YEAR(BY$3)=YEAR($B$33),MONTH(BY$3)=MONTH($B$33)),$B$35,0)</x:f>
      </x:c>
      <x:c r="BZ37" s="117" t="n">
        <x:f>IF(AND(YEAR(BZ$3)=YEAR($B$33),MONTH(BZ$3)=MONTH($B$33)),$B$35,0)</x:f>
      </x:c>
      <x:c r="CA37" s="117" t="n">
        <x:f>IF(AND(YEAR(CA$3)=YEAR($B$33),MONTH(CA$3)=MONTH($B$33)),$B$35,0)</x:f>
      </x:c>
      <x:c r="CB37" s="117" t="n">
        <x:f>IF(AND(YEAR(CB$3)=YEAR($B$33),MONTH(CB$3)=MONTH($B$33)),$B$35,0)</x:f>
      </x:c>
      <x:c r="CC37" s="117" t="n">
        <x:f>IF(AND(YEAR(CC$3)=YEAR($B$33),MONTH(CC$3)=MONTH($B$33)),$B$35,0)</x:f>
      </x:c>
      <x:c r="CD37" s="117" t="n">
        <x:f>IF(AND(YEAR(CD$3)=YEAR($B$33),MONTH(CD$3)=MONTH($B$33)),$B$35,0)</x:f>
      </x:c>
      <x:c r="CE37" s="117" t="n">
        <x:f>IF(AND(YEAR(CE$3)=YEAR($B$33),MONTH(CE$3)=MONTH($B$33)),$B$35,0)</x:f>
      </x:c>
      <x:c r="CF37" s="117" t="n">
        <x:f>IF(AND(YEAR(CF$3)=YEAR($B$33),MONTH(CF$3)=MONTH($B$33)),$B$35,0)</x:f>
      </x:c>
      <x:c r="CG37" s="117" t="n">
        <x:f>IF(AND(YEAR(CG$3)=YEAR($B$33),MONTH(CG$3)=MONTH($B$33)),$B$35,0)</x:f>
      </x:c>
      <x:c r="CH37" s="117" t="n">
        <x:f>IF(AND(YEAR(CH$3)=YEAR($B$33),MONTH(CH$3)=MONTH($B$33)),$B$35,0)</x:f>
      </x:c>
      <x:c r="CI37" s="117" t="n">
        <x:f>IF(AND(YEAR(CI$3)=YEAR($B$33),MONTH(CI$3)=MONTH($B$33)),$B$35,0)</x:f>
      </x:c>
      <x:c r="CJ37" s="117" t="n">
        <x:f>IF(AND(YEAR(CJ$3)=YEAR($B$33),MONTH(CJ$3)=MONTH($B$33)),$B$35,0)</x:f>
      </x:c>
      <x:c r="CK37" s="117" t="n">
        <x:f>IF(AND(YEAR(CK$3)=YEAR($B$33),MONTH(CK$3)=MONTH($B$33)),$B$35,0)</x:f>
      </x:c>
      <x:c r="CL37" s="117" t="n">
        <x:f>IF(AND(YEAR(CL$3)=YEAR($B$33),MONTH(CL$3)=MONTH($B$33)),$B$35,0)</x:f>
      </x:c>
      <x:c r="CM37" s="117" t="n">
        <x:f>IF(AND(YEAR(CM$3)=YEAR($B$33),MONTH(CM$3)=MONTH($B$33)),$B$35,0)</x:f>
      </x:c>
      <x:c r="CN37" s="117" t="n">
        <x:f>IF(AND(YEAR(CN$3)=YEAR($B$33),MONTH(CN$3)=MONTH($B$33)),$B$35,0)</x:f>
      </x:c>
      <x:c r="CO37" s="117" t="n">
        <x:f>IF(AND(YEAR(CO$3)=YEAR($B$33),MONTH(CO$3)=MONTH($B$33)),$B$35,0)</x:f>
      </x:c>
      <x:c r="CP37" s="117" t="n">
        <x:f>IF(AND(YEAR(CP$3)=YEAR($B$33),MONTH(CP$3)=MONTH($B$33)),$B$35,0)</x:f>
      </x:c>
      <x:c r="CQ37" s="117" t="n">
        <x:f>IF(AND(YEAR(CQ$3)=YEAR($B$33),MONTH(CQ$3)=MONTH($B$33)),$B$35,0)</x:f>
      </x:c>
      <x:c r="CR37" s="117" t="n">
        <x:f>IF(AND(YEAR(CR$3)=YEAR($B$33),MONTH(CR$3)=MONTH($B$33)),$B$35,0)</x:f>
      </x:c>
      <x:c r="CS37" s="117" t="n">
        <x:f>IF(AND(YEAR(CS$3)=YEAR($B$33),MONTH(CS$3)=MONTH($B$33)),$B$35,0)</x:f>
      </x:c>
      <x:c r="CT37" s="117" t="n">
        <x:f>IF(AND(YEAR(CT$3)=YEAR($B$33),MONTH(CT$3)=MONTH($B$33)),$B$35,0)</x:f>
      </x:c>
      <x:c r="CU37" s="117" t="n">
        <x:f>IF(AND(YEAR(CU$3)=YEAR($B$33),MONTH(CU$3)=MONTH($B$33)),$B$35,0)</x:f>
      </x:c>
      <x:c r="CV37" s="117" t="n">
        <x:f>IF(AND(YEAR(CV$3)=YEAR($B$33),MONTH(CV$3)=MONTH($B$33)),$B$35,0)</x:f>
      </x:c>
      <x:c r="CW37" s="117" t="n">
        <x:f>IF(AND(YEAR(CW$3)=YEAR($B$33),MONTH(CW$3)=MONTH($B$33)),$B$35,0)</x:f>
      </x:c>
      <x:c r="CX37" s="117" t="n">
        <x:f>IF(AND(YEAR(CX$3)=YEAR($B$33),MONTH(CX$3)=MONTH($B$33)),$B$35,0)</x:f>
      </x:c>
      <x:c r="CY37" s="117" t="n">
        <x:f>IF(AND(YEAR(CY$3)=YEAR($B$33),MONTH(CY$3)=MONTH($B$33)),$B$35,0)</x:f>
      </x:c>
      <x:c r="CZ37" s="117" t="n">
        <x:f>IF(AND(YEAR(CZ$3)=YEAR($B$33),MONTH(CZ$3)=MONTH($B$33)),$B$35,0)</x:f>
      </x:c>
      <x:c r="DA37" s="117" t="n">
        <x:f>IF(AND(YEAR(DA$3)=YEAR($B$33),MONTH(DA$3)=MONTH($B$33)),$B$35,0)</x:f>
      </x:c>
      <x:c r="DB37" s="117" t="n">
        <x:f>IF(AND(YEAR(DB$3)=YEAR($B$33),MONTH(DB$3)=MONTH($B$33)),$B$35,0)</x:f>
      </x:c>
      <x:c r="DC37" s="117" t="n">
        <x:f>IF(AND(YEAR(DC$3)=YEAR($B$33),MONTH(DC$3)=MONTH($B$33)),$B$35,0)</x:f>
      </x:c>
      <x:c r="DD37" s="117" t="n">
        <x:f>IF(AND(YEAR(DD$3)=YEAR($B$33),MONTH(DD$3)=MONTH($B$33)),$B$35,0)</x:f>
      </x:c>
      <x:c r="DE37" s="117" t="n">
        <x:f>IF(AND(YEAR(DE$3)=YEAR($B$33),MONTH(DE$3)=MONTH($B$33)),$B$35,0)</x:f>
      </x:c>
      <x:c r="DF37" s="117" t="n">
        <x:f>IF(AND(YEAR(DF$3)=YEAR($B$33),MONTH(DF$3)=MONTH($B$33)),$B$35,0)</x:f>
      </x:c>
      <x:c r="DG37" s="117" t="n">
        <x:f>IF(AND(YEAR(DG$3)=YEAR($B$33),MONTH(DG$3)=MONTH($B$33)),$B$35,0)</x:f>
      </x:c>
      <x:c r="DH37" s="117" t="n">
        <x:f>IF(AND(YEAR(DH$3)=YEAR($B$33),MONTH(DH$3)=MONTH($B$33)),$B$35,0)</x:f>
      </x:c>
      <x:c r="DI37" s="117" t="n">
        <x:f>IF(AND(YEAR(DI$3)=YEAR($B$33),MONTH(DI$3)=MONTH($B$33)),$B$35,0)</x:f>
      </x:c>
      <x:c r="DJ37" s="117" t="n">
        <x:f>IF(AND(YEAR(DJ$3)=YEAR($B$33),MONTH(DJ$3)=MONTH($B$33)),$B$35,0)</x:f>
      </x:c>
      <x:c r="DK37" s="117" t="n">
        <x:f>IF(AND(YEAR(DK$3)=YEAR($B$33),MONTH(DK$3)=MONTH($B$33)),$B$35,0)</x:f>
      </x:c>
      <x:c r="DL37" s="117" t="n">
        <x:f>IF(AND(YEAR(DL$3)=YEAR($B$33),MONTH(DL$3)=MONTH($B$33)),$B$35,0)</x:f>
      </x:c>
      <x:c r="DM37" s="117" t="n">
        <x:f>IF(AND(YEAR(DM$3)=YEAR($B$33),MONTH(DM$3)=MONTH($B$33)),$B$35,0)</x:f>
      </x:c>
      <x:c r="DN37" s="117" t="n">
        <x:f>IF(AND(YEAR(DN$3)=YEAR($B$33),MONTH(DN$3)=MONTH($B$33)),$B$35,0)</x:f>
      </x:c>
      <x:c r="DO37" s="117" t="n">
        <x:f>IF(AND(YEAR(DO$3)=YEAR($B$33),MONTH(DO$3)=MONTH($B$33)),$B$35,0)</x:f>
      </x:c>
      <x:c r="DP37" s="117" t="n">
        <x:f>IF(AND(YEAR(DP$3)=YEAR($B$33),MONTH(DP$3)=MONTH($B$33)),$B$35,0)</x:f>
      </x:c>
      <x:c r="DQ37" s="117" t="n">
        <x:f>IF(AND(YEAR(DQ$3)=YEAR($B$33),MONTH(DQ$3)=MONTH($B$33)),$B$35,0)</x:f>
      </x:c>
      <x:c r="DR37" s="117" t="n">
        <x:f>IF(AND(YEAR(DR$3)=YEAR($B$33),MONTH(DR$3)=MONTH($B$33)),$B$35,0)</x:f>
      </x:c>
      <x:c r="DS37" s="117" t="n">
        <x:f>IF(AND(YEAR(DS$3)=YEAR($B$33),MONTH(DS$3)=MONTH($B$33)),$B$35,0)</x:f>
      </x:c>
    </x:row>
    <x:row r="38">
      <x:c r="A38" t="str">
        <x:v>Погашение основного долга</x:v>
      </x:c>
      <x:c r="B38" s="107" t="n">
        <x:f>SUM(D38:DS38)</x:f>
      </x:c>
      <x:c r="C38" t="str">
        <x:v>млн ₽</x:v>
      </x:c>
      <x:c r="D38" s="117" t="n">
        <x:f>MIN(D36+D37,IF('Вводные'!$B$75="Единовременно",D37,IF(AND('Вводные'!$B$84="Да",YEAR(D$3)=YEAR($B$34),MONTH(D$3)=MONTH($B$34)),D36+D37,IF(AND((12*(YEAR(D$3)-YEAR($B$33))+MONTH(D$3)-MONTH($B$33))&gt;0,MOD((12*(YEAR(D$3)-YEAR($B$33))+MONTH(D$3)-MONTH($B$33)),'Вводные'!$B$78)=0,(12*(YEAR(D$3)-YEAR($B$33))+MONTH(D$3)-MONTH($B$33))&lt;='Вводные'!$B$77*12),$B$35/MAX(1,'Вводные'!$B$79),0))))</x:f>
      </x:c>
      <x:c r="E38" s="117" t="n">
        <x:f>MIN(E36+E37,IF('Вводные'!$B$75="Единовременно",E37,IF(AND('Вводные'!$B$84="Да",YEAR(E$3)=YEAR($B$34),MONTH(E$3)=MONTH($B$34)),E36+E37,IF(AND((12*(YEAR(E$3)-YEAR($B$33))+MONTH(E$3)-MONTH($B$33))&gt;0,MOD((12*(YEAR(E$3)-YEAR($B$33))+MONTH(E$3)-MONTH($B$33)),'Вводные'!$B$78)=0,(12*(YEAR(E$3)-YEAR($B$33))+MONTH(E$3)-MONTH($B$33))&lt;='Вводные'!$B$77*12),$B$35/MAX(1,'Вводные'!$B$79),0))))</x:f>
      </x:c>
      <x:c r="F38" s="117" t="n">
        <x:f>MIN(F36+F37,IF('Вводные'!$B$75="Единовременно",F37,IF(AND('Вводные'!$B$84="Да",YEAR(F$3)=YEAR($B$34),MONTH(F$3)=MONTH($B$34)),F36+F37,IF(AND((12*(YEAR(F$3)-YEAR($B$33))+MONTH(F$3)-MONTH($B$33))&gt;0,MOD((12*(YEAR(F$3)-YEAR($B$33))+MONTH(F$3)-MONTH($B$33)),'Вводные'!$B$78)=0,(12*(YEAR(F$3)-YEAR($B$33))+MONTH(F$3)-MONTH($B$33))&lt;='Вводные'!$B$77*12),$B$35/MAX(1,'Вводные'!$B$79),0))))</x:f>
      </x:c>
      <x:c r="G38" s="117" t="n">
        <x:f>MIN(G36+G37,IF('Вводные'!$B$75="Единовременно",G37,IF(AND('Вводные'!$B$84="Да",YEAR(G$3)=YEAR($B$34),MONTH(G$3)=MONTH($B$34)),G36+G37,IF(AND((12*(YEAR(G$3)-YEAR($B$33))+MONTH(G$3)-MONTH($B$33))&gt;0,MOD((12*(YEAR(G$3)-YEAR($B$33))+MONTH(G$3)-MONTH($B$33)),'Вводные'!$B$78)=0,(12*(YEAR(G$3)-YEAR($B$33))+MONTH(G$3)-MONTH($B$33))&lt;='Вводные'!$B$77*12),$B$35/MAX(1,'Вводные'!$B$79),0))))</x:f>
      </x:c>
      <x:c r="H38" s="117" t="n">
        <x:f>MIN(H36+H37,IF('Вводные'!$B$75="Единовременно",H37,IF(AND('Вводные'!$B$84="Да",YEAR(H$3)=YEAR($B$34),MONTH(H$3)=MONTH($B$34)),H36+H37,IF(AND((12*(YEAR(H$3)-YEAR($B$33))+MONTH(H$3)-MONTH($B$33))&gt;0,MOD((12*(YEAR(H$3)-YEAR($B$33))+MONTH(H$3)-MONTH($B$33)),'Вводные'!$B$78)=0,(12*(YEAR(H$3)-YEAR($B$33))+MONTH(H$3)-MONTH($B$33))&lt;='Вводные'!$B$77*12),$B$35/MAX(1,'Вводные'!$B$79),0))))</x:f>
      </x:c>
      <x:c r="I38" s="117" t="n">
        <x:f>MIN(I36+I37,IF('Вводные'!$B$75="Единовременно",I37,IF(AND('Вводные'!$B$84="Да",YEAR(I$3)=YEAR($B$34),MONTH(I$3)=MONTH($B$34)),I36+I37,IF(AND((12*(YEAR(I$3)-YEAR($B$33))+MONTH(I$3)-MONTH($B$33))&gt;0,MOD((12*(YEAR(I$3)-YEAR($B$33))+MONTH(I$3)-MONTH($B$33)),'Вводные'!$B$78)=0,(12*(YEAR(I$3)-YEAR($B$33))+MONTH(I$3)-MONTH($B$33))&lt;='Вводные'!$B$77*12),$B$35/MAX(1,'Вводные'!$B$79),0))))</x:f>
      </x:c>
      <x:c r="J38" s="117" t="n">
        <x:f>MIN(J36+J37,IF('Вводные'!$B$75="Единовременно",J37,IF(AND('Вводные'!$B$84="Да",YEAR(J$3)=YEAR($B$34),MONTH(J$3)=MONTH($B$34)),J36+J37,IF(AND((12*(YEAR(J$3)-YEAR($B$33))+MONTH(J$3)-MONTH($B$33))&gt;0,MOD((12*(YEAR(J$3)-YEAR($B$33))+MONTH(J$3)-MONTH($B$33)),'Вводные'!$B$78)=0,(12*(YEAR(J$3)-YEAR($B$33))+MONTH(J$3)-MONTH($B$33))&lt;='Вводные'!$B$77*12),$B$35/MAX(1,'Вводные'!$B$79),0))))</x:f>
      </x:c>
      <x:c r="K38" s="117" t="n">
        <x:f>MIN(K36+K37,IF('Вводные'!$B$75="Единовременно",K37,IF(AND('Вводные'!$B$84="Да",YEAR(K$3)=YEAR($B$34),MONTH(K$3)=MONTH($B$34)),K36+K37,IF(AND((12*(YEAR(K$3)-YEAR($B$33))+MONTH(K$3)-MONTH($B$33))&gt;0,MOD((12*(YEAR(K$3)-YEAR($B$33))+MONTH(K$3)-MONTH($B$33)),'Вводные'!$B$78)=0,(12*(YEAR(K$3)-YEAR($B$33))+MONTH(K$3)-MONTH($B$33))&lt;='Вводные'!$B$77*12),$B$35/MAX(1,'Вводные'!$B$79),0))))</x:f>
      </x:c>
      <x:c r="L38" s="117" t="n">
        <x:f>MIN(L36+L37,IF('Вводные'!$B$75="Единовременно",L37,IF(AND('Вводные'!$B$84="Да",YEAR(L$3)=YEAR($B$34),MONTH(L$3)=MONTH($B$34)),L36+L37,IF(AND((12*(YEAR(L$3)-YEAR($B$33))+MONTH(L$3)-MONTH($B$33))&gt;0,MOD((12*(YEAR(L$3)-YEAR($B$33))+MONTH(L$3)-MONTH($B$33)),'Вводные'!$B$78)=0,(12*(YEAR(L$3)-YEAR($B$33))+MONTH(L$3)-MONTH($B$33))&lt;='Вводные'!$B$77*12),$B$35/MAX(1,'Вводные'!$B$79),0))))</x:f>
      </x:c>
      <x:c r="M38" s="117" t="n">
        <x:f>MIN(M36+M37,IF('Вводные'!$B$75="Единовременно",M37,IF(AND('Вводные'!$B$84="Да",YEAR(M$3)=YEAR($B$34),MONTH(M$3)=MONTH($B$34)),M36+M37,IF(AND((12*(YEAR(M$3)-YEAR($B$33))+MONTH(M$3)-MONTH($B$33))&gt;0,MOD((12*(YEAR(M$3)-YEAR($B$33))+MONTH(M$3)-MONTH($B$33)),'Вводные'!$B$78)=0,(12*(YEAR(M$3)-YEAR($B$33))+MONTH(M$3)-MONTH($B$33))&lt;='Вводные'!$B$77*12),$B$35/MAX(1,'Вводные'!$B$79),0))))</x:f>
      </x:c>
      <x:c r="N38" s="117" t="n">
        <x:f>MIN(N36+N37,IF('Вводные'!$B$75="Единовременно",N37,IF(AND('Вводные'!$B$84="Да",YEAR(N$3)=YEAR($B$34),MONTH(N$3)=MONTH($B$34)),N36+N37,IF(AND((12*(YEAR(N$3)-YEAR($B$33))+MONTH(N$3)-MONTH($B$33))&gt;0,MOD((12*(YEAR(N$3)-YEAR($B$33))+MONTH(N$3)-MONTH($B$33)),'Вводные'!$B$78)=0,(12*(YEAR(N$3)-YEAR($B$33))+MONTH(N$3)-MONTH($B$33))&lt;='Вводные'!$B$77*12),$B$35/MAX(1,'Вводные'!$B$79),0))))</x:f>
      </x:c>
      <x:c r="O38" s="117" t="n">
        <x:f>MIN(O36+O37,IF('Вводные'!$B$75="Единовременно",O37,IF(AND('Вводные'!$B$84="Да",YEAR(O$3)=YEAR($B$34),MONTH(O$3)=MONTH($B$34)),O36+O37,IF(AND((12*(YEAR(O$3)-YEAR($B$33))+MONTH(O$3)-MONTH($B$33))&gt;0,MOD((12*(YEAR(O$3)-YEAR($B$33))+MONTH(O$3)-MONTH($B$33)),'Вводные'!$B$78)=0,(12*(YEAR(O$3)-YEAR($B$33))+MONTH(O$3)-MONTH($B$33))&lt;='Вводные'!$B$77*12),$B$35/MAX(1,'Вводные'!$B$79),0))))</x:f>
      </x:c>
      <x:c r="P38" s="117" t="n">
        <x:f>MIN(P36+P37,IF('Вводные'!$B$75="Единовременно",P37,IF(AND('Вводные'!$B$84="Да",YEAR(P$3)=YEAR($B$34),MONTH(P$3)=MONTH($B$34)),P36+P37,IF(AND((12*(YEAR(P$3)-YEAR($B$33))+MONTH(P$3)-MONTH($B$33))&gt;0,MOD((12*(YEAR(P$3)-YEAR($B$33))+MONTH(P$3)-MONTH($B$33)),'Вводные'!$B$78)=0,(12*(YEAR(P$3)-YEAR($B$33))+MONTH(P$3)-MONTH($B$33))&lt;='Вводные'!$B$77*12),$B$35/MAX(1,'Вводные'!$B$79),0))))</x:f>
      </x:c>
      <x:c r="Q38" s="117" t="n">
        <x:f>MIN(Q36+Q37,IF('Вводные'!$B$75="Единовременно",Q37,IF(AND('Вводные'!$B$84="Да",YEAR(Q$3)=YEAR($B$34),MONTH(Q$3)=MONTH($B$34)),Q36+Q37,IF(AND((12*(YEAR(Q$3)-YEAR($B$33))+MONTH(Q$3)-MONTH($B$33))&gt;0,MOD((12*(YEAR(Q$3)-YEAR($B$33))+MONTH(Q$3)-MONTH($B$33)),'Вводные'!$B$78)=0,(12*(YEAR(Q$3)-YEAR($B$33))+MONTH(Q$3)-MONTH($B$33))&lt;='Вводные'!$B$77*12),$B$35/MAX(1,'Вводные'!$B$79),0))))</x:f>
      </x:c>
      <x:c r="R38" s="117" t="n">
        <x:f>MIN(R36+R37,IF('Вводные'!$B$75="Единовременно",R37,IF(AND('Вводные'!$B$84="Да",YEAR(R$3)=YEAR($B$34),MONTH(R$3)=MONTH($B$34)),R36+R37,IF(AND((12*(YEAR(R$3)-YEAR($B$33))+MONTH(R$3)-MONTH($B$33))&gt;0,MOD((12*(YEAR(R$3)-YEAR($B$33))+MONTH(R$3)-MONTH($B$33)),'Вводные'!$B$78)=0,(12*(YEAR(R$3)-YEAR($B$33))+MONTH(R$3)-MONTH($B$33))&lt;='Вводные'!$B$77*12),$B$35/MAX(1,'Вводные'!$B$79),0))))</x:f>
      </x:c>
      <x:c r="S38" s="117" t="n">
        <x:f>MIN(S36+S37,IF('Вводные'!$B$75="Единовременно",S37,IF(AND('Вводные'!$B$84="Да",YEAR(S$3)=YEAR($B$34),MONTH(S$3)=MONTH($B$34)),S36+S37,IF(AND((12*(YEAR(S$3)-YEAR($B$33))+MONTH(S$3)-MONTH($B$33))&gt;0,MOD((12*(YEAR(S$3)-YEAR($B$33))+MONTH(S$3)-MONTH($B$33)),'Вводные'!$B$78)=0,(12*(YEAR(S$3)-YEAR($B$33))+MONTH(S$3)-MONTH($B$33))&lt;='Вводные'!$B$77*12),$B$35/MAX(1,'Вводные'!$B$79),0))))</x:f>
      </x:c>
      <x:c r="T38" s="117" t="n">
        <x:f>MIN(T36+T37,IF('Вводные'!$B$75="Единовременно",T37,IF(AND('Вводные'!$B$84="Да",YEAR(T$3)=YEAR($B$34),MONTH(T$3)=MONTH($B$34)),T36+T37,IF(AND((12*(YEAR(T$3)-YEAR($B$33))+MONTH(T$3)-MONTH($B$33))&gt;0,MOD((12*(YEAR(T$3)-YEAR($B$33))+MONTH(T$3)-MONTH($B$33)),'Вводные'!$B$78)=0,(12*(YEAR(T$3)-YEAR($B$33))+MONTH(T$3)-MONTH($B$33))&lt;='Вводные'!$B$77*12),$B$35/MAX(1,'Вводные'!$B$79),0))))</x:f>
      </x:c>
      <x:c r="U38" s="117" t="n">
        <x:f>MIN(U36+U37,IF('Вводные'!$B$75="Единовременно",U37,IF(AND('Вводные'!$B$84="Да",YEAR(U$3)=YEAR($B$34),MONTH(U$3)=MONTH($B$34)),U36+U37,IF(AND((12*(YEAR(U$3)-YEAR($B$33))+MONTH(U$3)-MONTH($B$33))&gt;0,MOD((12*(YEAR(U$3)-YEAR($B$33))+MONTH(U$3)-MONTH($B$33)),'Вводные'!$B$78)=0,(12*(YEAR(U$3)-YEAR($B$33))+MONTH(U$3)-MONTH($B$33))&lt;='Вводные'!$B$77*12),$B$35/MAX(1,'Вводные'!$B$79),0))))</x:f>
      </x:c>
      <x:c r="V38" s="117" t="n">
        <x:f>MIN(V36+V37,IF('Вводные'!$B$75="Единовременно",V37,IF(AND('Вводные'!$B$84="Да",YEAR(V$3)=YEAR($B$34),MONTH(V$3)=MONTH($B$34)),V36+V37,IF(AND((12*(YEAR(V$3)-YEAR($B$33))+MONTH(V$3)-MONTH($B$33))&gt;0,MOD((12*(YEAR(V$3)-YEAR($B$33))+MONTH(V$3)-MONTH($B$33)),'Вводные'!$B$78)=0,(12*(YEAR(V$3)-YEAR($B$33))+MONTH(V$3)-MONTH($B$33))&lt;='Вводные'!$B$77*12),$B$35/MAX(1,'Вводные'!$B$79),0))))</x:f>
      </x:c>
      <x:c r="W38" s="117" t="n">
        <x:f>MIN(W36+W37,IF('Вводные'!$B$75="Единовременно",W37,IF(AND('Вводные'!$B$84="Да",YEAR(W$3)=YEAR($B$34),MONTH(W$3)=MONTH($B$34)),W36+W37,IF(AND((12*(YEAR(W$3)-YEAR($B$33))+MONTH(W$3)-MONTH($B$33))&gt;0,MOD((12*(YEAR(W$3)-YEAR($B$33))+MONTH(W$3)-MONTH($B$33)),'Вводные'!$B$78)=0,(12*(YEAR(W$3)-YEAR($B$33))+MONTH(W$3)-MONTH($B$33))&lt;='Вводные'!$B$77*12),$B$35/MAX(1,'Вводные'!$B$79),0))))</x:f>
      </x:c>
      <x:c r="X38" s="117" t="n">
        <x:f>MIN(X36+X37,IF('Вводные'!$B$75="Единовременно",X37,IF(AND('Вводные'!$B$84="Да",YEAR(X$3)=YEAR($B$34),MONTH(X$3)=MONTH($B$34)),X36+X37,IF(AND((12*(YEAR(X$3)-YEAR($B$33))+MONTH(X$3)-MONTH($B$33))&gt;0,MOD((12*(YEAR(X$3)-YEAR($B$33))+MONTH(X$3)-MONTH($B$33)),'Вводные'!$B$78)=0,(12*(YEAR(X$3)-YEAR($B$33))+MONTH(X$3)-MONTH($B$33))&lt;='Вводные'!$B$77*12),$B$35/MAX(1,'Вводные'!$B$79),0))))</x:f>
      </x:c>
      <x:c r="Y38" s="117" t="n">
        <x:f>MIN(Y36+Y37,IF('Вводные'!$B$75="Единовременно",Y37,IF(AND('Вводные'!$B$84="Да",YEAR(Y$3)=YEAR($B$34),MONTH(Y$3)=MONTH($B$34)),Y36+Y37,IF(AND((12*(YEAR(Y$3)-YEAR($B$33))+MONTH(Y$3)-MONTH($B$33))&gt;0,MOD((12*(YEAR(Y$3)-YEAR($B$33))+MONTH(Y$3)-MONTH($B$33)),'Вводные'!$B$78)=0,(12*(YEAR(Y$3)-YEAR($B$33))+MONTH(Y$3)-MONTH($B$33))&lt;='Вводные'!$B$77*12),$B$35/MAX(1,'Вводные'!$B$79),0))))</x:f>
      </x:c>
      <x:c r="Z38" s="117" t="n">
        <x:f>MIN(Z36+Z37,IF('Вводные'!$B$75="Единовременно",Z37,IF(AND('Вводные'!$B$84="Да",YEAR(Z$3)=YEAR($B$34),MONTH(Z$3)=MONTH($B$34)),Z36+Z37,IF(AND((12*(YEAR(Z$3)-YEAR($B$33))+MONTH(Z$3)-MONTH($B$33))&gt;0,MOD((12*(YEAR(Z$3)-YEAR($B$33))+MONTH(Z$3)-MONTH($B$33)),'Вводные'!$B$78)=0,(12*(YEAR(Z$3)-YEAR($B$33))+MONTH(Z$3)-MONTH($B$33))&lt;='Вводные'!$B$77*12),$B$35/MAX(1,'Вводные'!$B$79),0))))</x:f>
      </x:c>
      <x:c r="AA38" s="117" t="n">
        <x:f>MIN(AA36+AA37,IF('Вводные'!$B$75="Единовременно",AA37,IF(AND('Вводные'!$B$84="Да",YEAR(AA$3)=YEAR($B$34),MONTH(AA$3)=MONTH($B$34)),AA36+AA37,IF(AND((12*(YEAR(AA$3)-YEAR($B$33))+MONTH(AA$3)-MONTH($B$33))&gt;0,MOD((12*(YEAR(AA$3)-YEAR($B$33))+MONTH(AA$3)-MONTH($B$33)),'Вводные'!$B$78)=0,(12*(YEAR(AA$3)-YEAR($B$33))+MONTH(AA$3)-MONTH($B$33))&lt;='Вводные'!$B$77*12),$B$35/MAX(1,'Вводные'!$B$79),0))))</x:f>
      </x:c>
      <x:c r="AB38" s="117" t="n">
        <x:f>MIN(AB36+AB37,IF('Вводные'!$B$75="Единовременно",AB37,IF(AND('Вводные'!$B$84="Да",YEAR(AB$3)=YEAR($B$34),MONTH(AB$3)=MONTH($B$34)),AB36+AB37,IF(AND((12*(YEAR(AB$3)-YEAR($B$33))+MONTH(AB$3)-MONTH($B$33))&gt;0,MOD((12*(YEAR(AB$3)-YEAR($B$33))+MONTH(AB$3)-MONTH($B$33)),'Вводные'!$B$78)=0,(12*(YEAR(AB$3)-YEAR($B$33))+MONTH(AB$3)-MONTH($B$33))&lt;='Вводные'!$B$77*12),$B$35/MAX(1,'Вводные'!$B$79),0))))</x:f>
      </x:c>
      <x:c r="AC38" s="117" t="n">
        <x:f>MIN(AC36+AC37,IF('Вводные'!$B$75="Единовременно",AC37,IF(AND('Вводные'!$B$84="Да",YEAR(AC$3)=YEAR($B$34),MONTH(AC$3)=MONTH($B$34)),AC36+AC37,IF(AND((12*(YEAR(AC$3)-YEAR($B$33))+MONTH(AC$3)-MONTH($B$33))&gt;0,MOD((12*(YEAR(AC$3)-YEAR($B$33))+MONTH(AC$3)-MONTH($B$33)),'Вводные'!$B$78)=0,(12*(YEAR(AC$3)-YEAR($B$33))+MONTH(AC$3)-MONTH($B$33))&lt;='Вводные'!$B$77*12),$B$35/MAX(1,'Вводные'!$B$79),0))))</x:f>
      </x:c>
      <x:c r="AD38" s="117" t="n">
        <x:f>MIN(AD36+AD37,IF('Вводные'!$B$75="Единовременно",AD37,IF(AND('Вводные'!$B$84="Да",YEAR(AD$3)=YEAR($B$34),MONTH(AD$3)=MONTH($B$34)),AD36+AD37,IF(AND((12*(YEAR(AD$3)-YEAR($B$33))+MONTH(AD$3)-MONTH($B$33))&gt;0,MOD((12*(YEAR(AD$3)-YEAR($B$33))+MONTH(AD$3)-MONTH($B$33)),'Вводные'!$B$78)=0,(12*(YEAR(AD$3)-YEAR($B$33))+MONTH(AD$3)-MONTH($B$33))&lt;='Вводные'!$B$77*12),$B$35/MAX(1,'Вводные'!$B$79),0))))</x:f>
      </x:c>
      <x:c r="AE38" s="117" t="n">
        <x:f>MIN(AE36+AE37,IF('Вводные'!$B$75="Единовременно",AE37,IF(AND('Вводные'!$B$84="Да",YEAR(AE$3)=YEAR($B$34),MONTH(AE$3)=MONTH($B$34)),AE36+AE37,IF(AND((12*(YEAR(AE$3)-YEAR($B$33))+MONTH(AE$3)-MONTH($B$33))&gt;0,MOD((12*(YEAR(AE$3)-YEAR($B$33))+MONTH(AE$3)-MONTH($B$33)),'Вводные'!$B$78)=0,(12*(YEAR(AE$3)-YEAR($B$33))+MONTH(AE$3)-MONTH($B$33))&lt;='Вводные'!$B$77*12),$B$35/MAX(1,'Вводные'!$B$79),0))))</x:f>
      </x:c>
      <x:c r="AF38" s="117" t="n">
        <x:f>MIN(AF36+AF37,IF('Вводные'!$B$75="Единовременно",AF37,IF(AND('Вводные'!$B$84="Да",YEAR(AF$3)=YEAR($B$34),MONTH(AF$3)=MONTH($B$34)),AF36+AF37,IF(AND((12*(YEAR(AF$3)-YEAR($B$33))+MONTH(AF$3)-MONTH($B$33))&gt;0,MOD((12*(YEAR(AF$3)-YEAR($B$33))+MONTH(AF$3)-MONTH($B$33)),'Вводные'!$B$78)=0,(12*(YEAR(AF$3)-YEAR($B$33))+MONTH(AF$3)-MONTH($B$33))&lt;='Вводные'!$B$77*12),$B$35/MAX(1,'Вводные'!$B$79),0))))</x:f>
      </x:c>
      <x:c r="AG38" s="117" t="n">
        <x:f>MIN(AG36+AG37,IF('Вводные'!$B$75="Единовременно",AG37,IF(AND('Вводные'!$B$84="Да",YEAR(AG$3)=YEAR($B$34),MONTH(AG$3)=MONTH($B$34)),AG36+AG37,IF(AND((12*(YEAR(AG$3)-YEAR($B$33))+MONTH(AG$3)-MONTH($B$33))&gt;0,MOD((12*(YEAR(AG$3)-YEAR($B$33))+MONTH(AG$3)-MONTH($B$33)),'Вводные'!$B$78)=0,(12*(YEAR(AG$3)-YEAR($B$33))+MONTH(AG$3)-MONTH($B$33))&lt;='Вводные'!$B$77*12),$B$35/MAX(1,'Вводные'!$B$79),0))))</x:f>
      </x:c>
      <x:c r="AH38" s="117" t="n">
        <x:f>MIN(AH36+AH37,IF('Вводные'!$B$75="Единовременно",AH37,IF(AND('Вводные'!$B$84="Да",YEAR(AH$3)=YEAR($B$34),MONTH(AH$3)=MONTH($B$34)),AH36+AH37,IF(AND((12*(YEAR(AH$3)-YEAR($B$33))+MONTH(AH$3)-MONTH($B$33))&gt;0,MOD((12*(YEAR(AH$3)-YEAR($B$33))+MONTH(AH$3)-MONTH($B$33)),'Вводные'!$B$78)=0,(12*(YEAR(AH$3)-YEAR($B$33))+MONTH(AH$3)-MONTH($B$33))&lt;='Вводные'!$B$77*12),$B$35/MAX(1,'Вводные'!$B$79),0))))</x:f>
      </x:c>
      <x:c r="AI38" s="117" t="n">
        <x:f>MIN(AI36+AI37,IF('Вводные'!$B$75="Единовременно",AI37,IF(AND('Вводные'!$B$84="Да",YEAR(AI$3)=YEAR($B$34),MONTH(AI$3)=MONTH($B$34)),AI36+AI37,IF(AND((12*(YEAR(AI$3)-YEAR($B$33))+MONTH(AI$3)-MONTH($B$33))&gt;0,MOD((12*(YEAR(AI$3)-YEAR($B$33))+MONTH(AI$3)-MONTH($B$33)),'Вводные'!$B$78)=0,(12*(YEAR(AI$3)-YEAR($B$33))+MONTH(AI$3)-MONTH($B$33))&lt;='Вводные'!$B$77*12),$B$35/MAX(1,'Вводные'!$B$79),0))))</x:f>
      </x:c>
      <x:c r="AJ38" s="117" t="n">
        <x:f>MIN(AJ36+AJ37,IF('Вводные'!$B$75="Единовременно",AJ37,IF(AND('Вводные'!$B$84="Да",YEAR(AJ$3)=YEAR($B$34),MONTH(AJ$3)=MONTH($B$34)),AJ36+AJ37,IF(AND((12*(YEAR(AJ$3)-YEAR($B$33))+MONTH(AJ$3)-MONTH($B$33))&gt;0,MOD((12*(YEAR(AJ$3)-YEAR($B$33))+MONTH(AJ$3)-MONTH($B$33)),'Вводные'!$B$78)=0,(12*(YEAR(AJ$3)-YEAR($B$33))+MONTH(AJ$3)-MONTH($B$33))&lt;='Вводные'!$B$77*12),$B$35/MAX(1,'Вводные'!$B$79),0))))</x:f>
      </x:c>
      <x:c r="AK38" s="117" t="n">
        <x:f>MIN(AK36+AK37,IF('Вводные'!$B$75="Единовременно",AK37,IF(AND('Вводные'!$B$84="Да",YEAR(AK$3)=YEAR($B$34),MONTH(AK$3)=MONTH($B$34)),AK36+AK37,IF(AND((12*(YEAR(AK$3)-YEAR($B$33))+MONTH(AK$3)-MONTH($B$33))&gt;0,MOD((12*(YEAR(AK$3)-YEAR($B$33))+MONTH(AK$3)-MONTH($B$33)),'Вводные'!$B$78)=0,(12*(YEAR(AK$3)-YEAR($B$33))+MONTH(AK$3)-MONTH($B$33))&lt;='Вводные'!$B$77*12),$B$35/MAX(1,'Вводные'!$B$79),0))))</x:f>
      </x:c>
      <x:c r="AL38" s="117" t="n">
        <x:f>MIN(AL36+AL37,IF('Вводные'!$B$75="Единовременно",AL37,IF(AND('Вводные'!$B$84="Да",YEAR(AL$3)=YEAR($B$34),MONTH(AL$3)=MONTH($B$34)),AL36+AL37,IF(AND((12*(YEAR(AL$3)-YEAR($B$33))+MONTH(AL$3)-MONTH($B$33))&gt;0,MOD((12*(YEAR(AL$3)-YEAR($B$33))+MONTH(AL$3)-MONTH($B$33)),'Вводные'!$B$78)=0,(12*(YEAR(AL$3)-YEAR($B$33))+MONTH(AL$3)-MONTH($B$33))&lt;='Вводные'!$B$77*12),$B$35/MAX(1,'Вводные'!$B$79),0))))</x:f>
      </x:c>
      <x:c r="AM38" s="117" t="n">
        <x:f>MIN(AM36+AM37,IF('Вводные'!$B$75="Единовременно",AM37,IF(AND('Вводные'!$B$84="Да",YEAR(AM$3)=YEAR($B$34),MONTH(AM$3)=MONTH($B$34)),AM36+AM37,IF(AND((12*(YEAR(AM$3)-YEAR($B$33))+MONTH(AM$3)-MONTH($B$33))&gt;0,MOD((12*(YEAR(AM$3)-YEAR($B$33))+MONTH(AM$3)-MONTH($B$33)),'Вводные'!$B$78)=0,(12*(YEAR(AM$3)-YEAR($B$33))+MONTH(AM$3)-MONTH($B$33))&lt;='Вводные'!$B$77*12),$B$35/MAX(1,'Вводные'!$B$79),0))))</x:f>
      </x:c>
      <x:c r="AN38" s="117" t="n">
        <x:f>MIN(AN36+AN37,IF('Вводные'!$B$75="Единовременно",AN37,IF(AND('Вводные'!$B$84="Да",YEAR(AN$3)=YEAR($B$34),MONTH(AN$3)=MONTH($B$34)),AN36+AN37,IF(AND((12*(YEAR(AN$3)-YEAR($B$33))+MONTH(AN$3)-MONTH($B$33))&gt;0,MOD((12*(YEAR(AN$3)-YEAR($B$33))+MONTH(AN$3)-MONTH($B$33)),'Вводные'!$B$78)=0,(12*(YEAR(AN$3)-YEAR($B$33))+MONTH(AN$3)-MONTH($B$33))&lt;='Вводные'!$B$77*12),$B$35/MAX(1,'Вводные'!$B$79),0))))</x:f>
      </x:c>
      <x:c r="AO38" s="117" t="n">
        <x:f>MIN(AO36+AO37,IF('Вводные'!$B$75="Единовременно",AO37,IF(AND('Вводные'!$B$84="Да",YEAR(AO$3)=YEAR($B$34),MONTH(AO$3)=MONTH($B$34)),AO36+AO37,IF(AND((12*(YEAR(AO$3)-YEAR($B$33))+MONTH(AO$3)-MONTH($B$33))&gt;0,MOD((12*(YEAR(AO$3)-YEAR($B$33))+MONTH(AO$3)-MONTH($B$33)),'Вводные'!$B$78)=0,(12*(YEAR(AO$3)-YEAR($B$33))+MONTH(AO$3)-MONTH($B$33))&lt;='Вводные'!$B$77*12),$B$35/MAX(1,'Вводные'!$B$79),0))))</x:f>
      </x:c>
      <x:c r="AP38" s="117" t="n">
        <x:f>MIN(AP36+AP37,IF('Вводные'!$B$75="Единовременно",AP37,IF(AND('Вводные'!$B$84="Да",YEAR(AP$3)=YEAR($B$34),MONTH(AP$3)=MONTH($B$34)),AP36+AP37,IF(AND((12*(YEAR(AP$3)-YEAR($B$33))+MONTH(AP$3)-MONTH($B$33))&gt;0,MOD((12*(YEAR(AP$3)-YEAR($B$33))+MONTH(AP$3)-MONTH($B$33)),'Вводные'!$B$78)=0,(12*(YEAR(AP$3)-YEAR($B$33))+MONTH(AP$3)-MONTH($B$33))&lt;='Вводные'!$B$77*12),$B$35/MAX(1,'Вводные'!$B$79),0))))</x:f>
      </x:c>
      <x:c r="AQ38" s="117" t="n">
        <x:f>MIN(AQ36+AQ37,IF('Вводные'!$B$75="Единовременно",AQ37,IF(AND('Вводные'!$B$84="Да",YEAR(AQ$3)=YEAR($B$34),MONTH(AQ$3)=MONTH($B$34)),AQ36+AQ37,IF(AND((12*(YEAR(AQ$3)-YEAR($B$33))+MONTH(AQ$3)-MONTH($B$33))&gt;0,MOD((12*(YEAR(AQ$3)-YEAR($B$33))+MONTH(AQ$3)-MONTH($B$33)),'Вводные'!$B$78)=0,(12*(YEAR(AQ$3)-YEAR($B$33))+MONTH(AQ$3)-MONTH($B$33))&lt;='Вводные'!$B$77*12),$B$35/MAX(1,'Вводные'!$B$79),0))))</x:f>
      </x:c>
      <x:c r="AR38" s="117" t="n">
        <x:f>MIN(AR36+AR37,IF('Вводные'!$B$75="Единовременно",AR37,IF(AND('Вводные'!$B$84="Да",YEAR(AR$3)=YEAR($B$34),MONTH(AR$3)=MONTH($B$34)),AR36+AR37,IF(AND((12*(YEAR(AR$3)-YEAR($B$33))+MONTH(AR$3)-MONTH($B$33))&gt;0,MOD((12*(YEAR(AR$3)-YEAR($B$33))+MONTH(AR$3)-MONTH($B$33)),'Вводные'!$B$78)=0,(12*(YEAR(AR$3)-YEAR($B$33))+MONTH(AR$3)-MONTH($B$33))&lt;='Вводные'!$B$77*12),$B$35/MAX(1,'Вводные'!$B$79),0))))</x:f>
      </x:c>
      <x:c r="AS38" s="117" t="n">
        <x:f>MIN(AS36+AS37,IF('Вводные'!$B$75="Единовременно",AS37,IF(AND('Вводные'!$B$84="Да",YEAR(AS$3)=YEAR($B$34),MONTH(AS$3)=MONTH($B$34)),AS36+AS37,IF(AND((12*(YEAR(AS$3)-YEAR($B$33))+MONTH(AS$3)-MONTH($B$33))&gt;0,MOD((12*(YEAR(AS$3)-YEAR($B$33))+MONTH(AS$3)-MONTH($B$33)),'Вводные'!$B$78)=0,(12*(YEAR(AS$3)-YEAR($B$33))+MONTH(AS$3)-MONTH($B$33))&lt;='Вводные'!$B$77*12),$B$35/MAX(1,'Вводные'!$B$79),0))))</x:f>
      </x:c>
      <x:c r="AT38" s="117" t="n">
        <x:f>MIN(AT36+AT37,IF('Вводные'!$B$75="Единовременно",AT37,IF(AND('Вводные'!$B$84="Да",YEAR(AT$3)=YEAR($B$34),MONTH(AT$3)=MONTH($B$34)),AT36+AT37,IF(AND((12*(YEAR(AT$3)-YEAR($B$33))+MONTH(AT$3)-MONTH($B$33))&gt;0,MOD((12*(YEAR(AT$3)-YEAR($B$33))+MONTH(AT$3)-MONTH($B$33)),'Вводные'!$B$78)=0,(12*(YEAR(AT$3)-YEAR($B$33))+MONTH(AT$3)-MONTH($B$33))&lt;='Вводные'!$B$77*12),$B$35/MAX(1,'Вводные'!$B$79),0))))</x:f>
      </x:c>
      <x:c r="AU38" s="117" t="n">
        <x:f>MIN(AU36+AU37,IF('Вводные'!$B$75="Единовременно",AU37,IF(AND('Вводные'!$B$84="Да",YEAR(AU$3)=YEAR($B$34),MONTH(AU$3)=MONTH($B$34)),AU36+AU37,IF(AND((12*(YEAR(AU$3)-YEAR($B$33))+MONTH(AU$3)-MONTH($B$33))&gt;0,MOD((12*(YEAR(AU$3)-YEAR($B$33))+MONTH(AU$3)-MONTH($B$33)),'Вводные'!$B$78)=0,(12*(YEAR(AU$3)-YEAR($B$33))+MONTH(AU$3)-MONTH($B$33))&lt;='Вводные'!$B$77*12),$B$35/MAX(1,'Вводные'!$B$79),0))))</x:f>
      </x:c>
      <x:c r="AV38" s="117" t="n">
        <x:f>MIN(AV36+AV37,IF('Вводные'!$B$75="Единовременно",AV37,IF(AND('Вводные'!$B$84="Да",YEAR(AV$3)=YEAR($B$34),MONTH(AV$3)=MONTH($B$34)),AV36+AV37,IF(AND((12*(YEAR(AV$3)-YEAR($B$33))+MONTH(AV$3)-MONTH($B$33))&gt;0,MOD((12*(YEAR(AV$3)-YEAR($B$33))+MONTH(AV$3)-MONTH($B$33)),'Вводные'!$B$78)=0,(12*(YEAR(AV$3)-YEAR($B$33))+MONTH(AV$3)-MONTH($B$33))&lt;='Вводные'!$B$77*12),$B$35/MAX(1,'Вводные'!$B$79),0))))</x:f>
      </x:c>
      <x:c r="AW38" s="117" t="n">
        <x:f>MIN(AW36+AW37,IF('Вводные'!$B$75="Единовременно",AW37,IF(AND('Вводные'!$B$84="Да",YEAR(AW$3)=YEAR($B$34),MONTH(AW$3)=MONTH($B$34)),AW36+AW37,IF(AND((12*(YEAR(AW$3)-YEAR($B$33))+MONTH(AW$3)-MONTH($B$33))&gt;0,MOD((12*(YEAR(AW$3)-YEAR($B$33))+MONTH(AW$3)-MONTH($B$33)),'Вводные'!$B$78)=0,(12*(YEAR(AW$3)-YEAR($B$33))+MONTH(AW$3)-MONTH($B$33))&lt;='Вводные'!$B$77*12),$B$35/MAX(1,'Вводные'!$B$79),0))))</x:f>
      </x:c>
      <x:c r="AX38" s="117" t="n">
        <x:f>MIN(AX36+AX37,IF('Вводные'!$B$75="Единовременно",AX37,IF(AND('Вводные'!$B$84="Да",YEAR(AX$3)=YEAR($B$34),MONTH(AX$3)=MONTH($B$34)),AX36+AX37,IF(AND((12*(YEAR(AX$3)-YEAR($B$33))+MONTH(AX$3)-MONTH($B$33))&gt;0,MOD((12*(YEAR(AX$3)-YEAR($B$33))+MONTH(AX$3)-MONTH($B$33)),'Вводные'!$B$78)=0,(12*(YEAR(AX$3)-YEAR($B$33))+MONTH(AX$3)-MONTH($B$33))&lt;='Вводные'!$B$77*12),$B$35/MAX(1,'Вводные'!$B$79),0))))</x:f>
      </x:c>
      <x:c r="AY38" s="117" t="n">
        <x:f>MIN(AY36+AY37,IF('Вводные'!$B$75="Единовременно",AY37,IF(AND('Вводные'!$B$84="Да",YEAR(AY$3)=YEAR($B$34),MONTH(AY$3)=MONTH($B$34)),AY36+AY37,IF(AND((12*(YEAR(AY$3)-YEAR($B$33))+MONTH(AY$3)-MONTH($B$33))&gt;0,MOD((12*(YEAR(AY$3)-YEAR($B$33))+MONTH(AY$3)-MONTH($B$33)),'Вводные'!$B$78)=0,(12*(YEAR(AY$3)-YEAR($B$33))+MONTH(AY$3)-MONTH($B$33))&lt;='Вводные'!$B$77*12),$B$35/MAX(1,'Вводные'!$B$79),0))))</x:f>
      </x:c>
      <x:c r="AZ38" s="117" t="n">
        <x:f>MIN(AZ36+AZ37,IF('Вводные'!$B$75="Единовременно",AZ37,IF(AND('Вводные'!$B$84="Да",YEAR(AZ$3)=YEAR($B$34),MONTH(AZ$3)=MONTH($B$34)),AZ36+AZ37,IF(AND((12*(YEAR(AZ$3)-YEAR($B$33))+MONTH(AZ$3)-MONTH($B$33))&gt;0,MOD((12*(YEAR(AZ$3)-YEAR($B$33))+MONTH(AZ$3)-MONTH($B$33)),'Вводные'!$B$78)=0,(12*(YEAR(AZ$3)-YEAR($B$33))+MONTH(AZ$3)-MONTH($B$33))&lt;='Вводные'!$B$77*12),$B$35/MAX(1,'Вводные'!$B$79),0))))</x:f>
      </x:c>
      <x:c r="BA38" s="117" t="n">
        <x:f>MIN(BA36+BA37,IF('Вводные'!$B$75="Единовременно",BA37,IF(AND('Вводные'!$B$84="Да",YEAR(BA$3)=YEAR($B$34),MONTH(BA$3)=MONTH($B$34)),BA36+BA37,IF(AND((12*(YEAR(BA$3)-YEAR($B$33))+MONTH(BA$3)-MONTH($B$33))&gt;0,MOD((12*(YEAR(BA$3)-YEAR($B$33))+MONTH(BA$3)-MONTH($B$33)),'Вводные'!$B$78)=0,(12*(YEAR(BA$3)-YEAR($B$33))+MONTH(BA$3)-MONTH($B$33))&lt;='Вводные'!$B$77*12),$B$35/MAX(1,'Вводные'!$B$79),0))))</x:f>
      </x:c>
      <x:c r="BB38" s="117" t="n">
        <x:f>MIN(BB36+BB37,IF('Вводные'!$B$75="Единовременно",BB37,IF(AND('Вводные'!$B$84="Да",YEAR(BB$3)=YEAR($B$34),MONTH(BB$3)=MONTH($B$34)),BB36+BB37,IF(AND((12*(YEAR(BB$3)-YEAR($B$33))+MONTH(BB$3)-MONTH($B$33))&gt;0,MOD((12*(YEAR(BB$3)-YEAR($B$33))+MONTH(BB$3)-MONTH($B$33)),'Вводные'!$B$78)=0,(12*(YEAR(BB$3)-YEAR($B$33))+MONTH(BB$3)-MONTH($B$33))&lt;='Вводные'!$B$77*12),$B$35/MAX(1,'Вводные'!$B$79),0))))</x:f>
      </x:c>
      <x:c r="BC38" s="117" t="n">
        <x:f>MIN(BC36+BC37,IF('Вводные'!$B$75="Единовременно",BC37,IF(AND('Вводные'!$B$84="Да",YEAR(BC$3)=YEAR($B$34),MONTH(BC$3)=MONTH($B$34)),BC36+BC37,IF(AND((12*(YEAR(BC$3)-YEAR($B$33))+MONTH(BC$3)-MONTH($B$33))&gt;0,MOD((12*(YEAR(BC$3)-YEAR($B$33))+MONTH(BC$3)-MONTH($B$33)),'Вводные'!$B$78)=0,(12*(YEAR(BC$3)-YEAR($B$33))+MONTH(BC$3)-MONTH($B$33))&lt;='Вводные'!$B$77*12),$B$35/MAX(1,'Вводные'!$B$79),0))))</x:f>
      </x:c>
      <x:c r="BD38" s="117" t="n">
        <x:f>MIN(BD36+BD37,IF('Вводные'!$B$75="Единовременно",BD37,IF(AND('Вводные'!$B$84="Да",YEAR(BD$3)=YEAR($B$34),MONTH(BD$3)=MONTH($B$34)),BD36+BD37,IF(AND((12*(YEAR(BD$3)-YEAR($B$33))+MONTH(BD$3)-MONTH($B$33))&gt;0,MOD((12*(YEAR(BD$3)-YEAR($B$33))+MONTH(BD$3)-MONTH($B$33)),'Вводные'!$B$78)=0,(12*(YEAR(BD$3)-YEAR($B$33))+MONTH(BD$3)-MONTH($B$33))&lt;='Вводные'!$B$77*12),$B$35/MAX(1,'Вводные'!$B$79),0))))</x:f>
      </x:c>
      <x:c r="BE38" s="117" t="n">
        <x:f>MIN(BE36+BE37,IF('Вводные'!$B$75="Единовременно",BE37,IF(AND('Вводные'!$B$84="Да",YEAR(BE$3)=YEAR($B$34),MONTH(BE$3)=MONTH($B$34)),BE36+BE37,IF(AND((12*(YEAR(BE$3)-YEAR($B$33))+MONTH(BE$3)-MONTH($B$33))&gt;0,MOD((12*(YEAR(BE$3)-YEAR($B$33))+MONTH(BE$3)-MONTH($B$33)),'Вводные'!$B$78)=0,(12*(YEAR(BE$3)-YEAR($B$33))+MONTH(BE$3)-MONTH($B$33))&lt;='Вводные'!$B$77*12),$B$35/MAX(1,'Вводные'!$B$79),0))))</x:f>
      </x:c>
      <x:c r="BF38" s="117" t="n">
        <x:f>MIN(BF36+BF37,IF('Вводные'!$B$75="Единовременно",BF37,IF(AND('Вводные'!$B$84="Да",YEAR(BF$3)=YEAR($B$34),MONTH(BF$3)=MONTH($B$34)),BF36+BF37,IF(AND((12*(YEAR(BF$3)-YEAR($B$33))+MONTH(BF$3)-MONTH($B$33))&gt;0,MOD((12*(YEAR(BF$3)-YEAR($B$33))+MONTH(BF$3)-MONTH($B$33)),'Вводные'!$B$78)=0,(12*(YEAR(BF$3)-YEAR($B$33))+MONTH(BF$3)-MONTH($B$33))&lt;='Вводные'!$B$77*12),$B$35/MAX(1,'Вводные'!$B$79),0))))</x:f>
      </x:c>
      <x:c r="BG38" s="117" t="n">
        <x:f>MIN(BG36+BG37,IF('Вводные'!$B$75="Единовременно",BG37,IF(AND('Вводные'!$B$84="Да",YEAR(BG$3)=YEAR($B$34),MONTH(BG$3)=MONTH($B$34)),BG36+BG37,IF(AND((12*(YEAR(BG$3)-YEAR($B$33))+MONTH(BG$3)-MONTH($B$33))&gt;0,MOD((12*(YEAR(BG$3)-YEAR($B$33))+MONTH(BG$3)-MONTH($B$33)),'Вводные'!$B$78)=0,(12*(YEAR(BG$3)-YEAR($B$33))+MONTH(BG$3)-MONTH($B$33))&lt;='Вводные'!$B$77*12),$B$35/MAX(1,'Вводные'!$B$79),0))))</x:f>
      </x:c>
      <x:c r="BH38" s="117" t="n">
        <x:f>MIN(BH36+BH37,IF('Вводные'!$B$75="Единовременно",BH37,IF(AND('Вводные'!$B$84="Да",YEAR(BH$3)=YEAR($B$34),MONTH(BH$3)=MONTH($B$34)),BH36+BH37,IF(AND((12*(YEAR(BH$3)-YEAR($B$33))+MONTH(BH$3)-MONTH($B$33))&gt;0,MOD((12*(YEAR(BH$3)-YEAR($B$33))+MONTH(BH$3)-MONTH($B$33)),'Вводные'!$B$78)=0,(12*(YEAR(BH$3)-YEAR($B$33))+MONTH(BH$3)-MONTH($B$33))&lt;='Вводные'!$B$77*12),$B$35/MAX(1,'Вводные'!$B$79),0))))</x:f>
      </x:c>
      <x:c r="BI38" s="117" t="n">
        <x:f>MIN(BI36+BI37,IF('Вводные'!$B$75="Единовременно",BI37,IF(AND('Вводные'!$B$84="Да",YEAR(BI$3)=YEAR($B$34),MONTH(BI$3)=MONTH($B$34)),BI36+BI37,IF(AND((12*(YEAR(BI$3)-YEAR($B$33))+MONTH(BI$3)-MONTH($B$33))&gt;0,MOD((12*(YEAR(BI$3)-YEAR($B$33))+MONTH(BI$3)-MONTH($B$33)),'Вводные'!$B$78)=0,(12*(YEAR(BI$3)-YEAR($B$33))+MONTH(BI$3)-MONTH($B$33))&lt;='Вводные'!$B$77*12),$B$35/MAX(1,'Вводные'!$B$79),0))))</x:f>
      </x:c>
      <x:c r="BJ38" s="117" t="n">
        <x:f>MIN(BJ36+BJ37,IF('Вводные'!$B$75="Единовременно",BJ37,IF(AND('Вводные'!$B$84="Да",YEAR(BJ$3)=YEAR($B$34),MONTH(BJ$3)=MONTH($B$34)),BJ36+BJ37,IF(AND((12*(YEAR(BJ$3)-YEAR($B$33))+MONTH(BJ$3)-MONTH($B$33))&gt;0,MOD((12*(YEAR(BJ$3)-YEAR($B$33))+MONTH(BJ$3)-MONTH($B$33)),'Вводные'!$B$78)=0,(12*(YEAR(BJ$3)-YEAR($B$33))+MONTH(BJ$3)-MONTH($B$33))&lt;='Вводные'!$B$77*12),$B$35/MAX(1,'Вводные'!$B$79),0))))</x:f>
      </x:c>
      <x:c r="BK38" s="117" t="n">
        <x:f>MIN(BK36+BK37,IF('Вводные'!$B$75="Единовременно",BK37,IF(AND('Вводные'!$B$84="Да",YEAR(BK$3)=YEAR($B$34),MONTH(BK$3)=MONTH($B$34)),BK36+BK37,IF(AND((12*(YEAR(BK$3)-YEAR($B$33))+MONTH(BK$3)-MONTH($B$33))&gt;0,MOD((12*(YEAR(BK$3)-YEAR($B$33))+MONTH(BK$3)-MONTH($B$33)),'Вводные'!$B$78)=0,(12*(YEAR(BK$3)-YEAR($B$33))+MONTH(BK$3)-MONTH($B$33))&lt;='Вводные'!$B$77*12),$B$35/MAX(1,'Вводные'!$B$79),0))))</x:f>
      </x:c>
      <x:c r="BL38" s="117" t="n">
        <x:f>MIN(BL36+BL37,IF('Вводные'!$B$75="Единовременно",BL37,IF(AND('Вводные'!$B$84="Да",YEAR(BL$3)=YEAR($B$34),MONTH(BL$3)=MONTH($B$34)),BL36+BL37,IF(AND((12*(YEAR(BL$3)-YEAR($B$33))+MONTH(BL$3)-MONTH($B$33))&gt;0,MOD((12*(YEAR(BL$3)-YEAR($B$33))+MONTH(BL$3)-MONTH($B$33)),'Вводные'!$B$78)=0,(12*(YEAR(BL$3)-YEAR($B$33))+MONTH(BL$3)-MONTH($B$33))&lt;='Вводные'!$B$77*12),$B$35/MAX(1,'Вводные'!$B$79),0))))</x:f>
      </x:c>
      <x:c r="BM38" s="117" t="n">
        <x:f>MIN(BM36+BM37,IF('Вводные'!$B$75="Единовременно",BM37,IF(AND('Вводные'!$B$84="Да",YEAR(BM$3)=YEAR($B$34),MONTH(BM$3)=MONTH($B$34)),BM36+BM37,IF(AND((12*(YEAR(BM$3)-YEAR($B$33))+MONTH(BM$3)-MONTH($B$33))&gt;0,MOD((12*(YEAR(BM$3)-YEAR($B$33))+MONTH(BM$3)-MONTH($B$33)),'Вводные'!$B$78)=0,(12*(YEAR(BM$3)-YEAR($B$33))+MONTH(BM$3)-MONTH($B$33))&lt;='Вводные'!$B$77*12),$B$35/MAX(1,'Вводные'!$B$79),0))))</x:f>
      </x:c>
      <x:c r="BN38" s="117" t="n">
        <x:f>MIN(BN36+BN37,IF('Вводные'!$B$75="Единовременно",BN37,IF(AND('Вводные'!$B$84="Да",YEAR(BN$3)=YEAR($B$34),MONTH(BN$3)=MONTH($B$34)),BN36+BN37,IF(AND((12*(YEAR(BN$3)-YEAR($B$33))+MONTH(BN$3)-MONTH($B$33))&gt;0,MOD((12*(YEAR(BN$3)-YEAR($B$33))+MONTH(BN$3)-MONTH($B$33)),'Вводные'!$B$78)=0,(12*(YEAR(BN$3)-YEAR($B$33))+MONTH(BN$3)-MONTH($B$33))&lt;='Вводные'!$B$77*12),$B$35/MAX(1,'Вводные'!$B$79),0))))</x:f>
      </x:c>
      <x:c r="BO38" s="117" t="n">
        <x:f>MIN(BO36+BO37,IF('Вводные'!$B$75="Единовременно",BO37,IF(AND('Вводные'!$B$84="Да",YEAR(BO$3)=YEAR($B$34),MONTH(BO$3)=MONTH($B$34)),BO36+BO37,IF(AND((12*(YEAR(BO$3)-YEAR($B$33))+MONTH(BO$3)-MONTH($B$33))&gt;0,MOD((12*(YEAR(BO$3)-YEAR($B$33))+MONTH(BO$3)-MONTH($B$33)),'Вводные'!$B$78)=0,(12*(YEAR(BO$3)-YEAR($B$33))+MONTH(BO$3)-MONTH($B$33))&lt;='Вводные'!$B$77*12),$B$35/MAX(1,'Вводные'!$B$79),0))))</x:f>
      </x:c>
      <x:c r="BP38" s="117" t="n">
        <x:f>MIN(BP36+BP37,IF('Вводные'!$B$75="Единовременно",BP37,IF(AND('Вводные'!$B$84="Да",YEAR(BP$3)=YEAR($B$34),MONTH(BP$3)=MONTH($B$34)),BP36+BP37,IF(AND((12*(YEAR(BP$3)-YEAR($B$33))+MONTH(BP$3)-MONTH($B$33))&gt;0,MOD((12*(YEAR(BP$3)-YEAR($B$33))+MONTH(BP$3)-MONTH($B$33)),'Вводные'!$B$78)=0,(12*(YEAR(BP$3)-YEAR($B$33))+MONTH(BP$3)-MONTH($B$33))&lt;='Вводные'!$B$77*12),$B$35/MAX(1,'Вводные'!$B$79),0))))</x:f>
      </x:c>
      <x:c r="BQ38" s="117" t="n">
        <x:f>MIN(BQ36+BQ37,IF('Вводные'!$B$75="Единовременно",BQ37,IF(AND('Вводные'!$B$84="Да",YEAR(BQ$3)=YEAR($B$34),MONTH(BQ$3)=MONTH($B$34)),BQ36+BQ37,IF(AND((12*(YEAR(BQ$3)-YEAR($B$33))+MONTH(BQ$3)-MONTH($B$33))&gt;0,MOD((12*(YEAR(BQ$3)-YEAR($B$33))+MONTH(BQ$3)-MONTH($B$33)),'Вводные'!$B$78)=0,(12*(YEAR(BQ$3)-YEAR($B$33))+MONTH(BQ$3)-MONTH($B$33))&lt;='Вводные'!$B$77*12),$B$35/MAX(1,'Вводные'!$B$79),0))))</x:f>
      </x:c>
      <x:c r="BR38" s="117" t="n">
        <x:f>MIN(BR36+BR37,IF('Вводные'!$B$75="Единовременно",BR37,IF(AND('Вводные'!$B$84="Да",YEAR(BR$3)=YEAR($B$34),MONTH(BR$3)=MONTH($B$34)),BR36+BR37,IF(AND((12*(YEAR(BR$3)-YEAR($B$33))+MONTH(BR$3)-MONTH($B$33))&gt;0,MOD((12*(YEAR(BR$3)-YEAR($B$33))+MONTH(BR$3)-MONTH($B$33)),'Вводные'!$B$78)=0,(12*(YEAR(BR$3)-YEAR($B$33))+MONTH(BR$3)-MONTH($B$33))&lt;='Вводные'!$B$77*12),$B$35/MAX(1,'Вводные'!$B$79),0))))</x:f>
      </x:c>
      <x:c r="BS38" s="117" t="n">
        <x:f>MIN(BS36+BS37,IF('Вводные'!$B$75="Единовременно",BS37,IF(AND('Вводные'!$B$84="Да",YEAR(BS$3)=YEAR($B$34),MONTH(BS$3)=MONTH($B$34)),BS36+BS37,IF(AND((12*(YEAR(BS$3)-YEAR($B$33))+MONTH(BS$3)-MONTH($B$33))&gt;0,MOD((12*(YEAR(BS$3)-YEAR($B$33))+MONTH(BS$3)-MONTH($B$33)),'Вводные'!$B$78)=0,(12*(YEAR(BS$3)-YEAR($B$33))+MONTH(BS$3)-MONTH($B$33))&lt;='Вводные'!$B$77*12),$B$35/MAX(1,'Вводные'!$B$79),0))))</x:f>
      </x:c>
      <x:c r="BT38" s="117" t="n">
        <x:f>MIN(BT36+BT37,IF('Вводные'!$B$75="Единовременно",BT37,IF(AND('Вводные'!$B$84="Да",YEAR(BT$3)=YEAR($B$34),MONTH(BT$3)=MONTH($B$34)),BT36+BT37,IF(AND((12*(YEAR(BT$3)-YEAR($B$33))+MONTH(BT$3)-MONTH($B$33))&gt;0,MOD((12*(YEAR(BT$3)-YEAR($B$33))+MONTH(BT$3)-MONTH($B$33)),'Вводные'!$B$78)=0,(12*(YEAR(BT$3)-YEAR($B$33))+MONTH(BT$3)-MONTH($B$33))&lt;='Вводные'!$B$77*12),$B$35/MAX(1,'Вводные'!$B$79),0))))</x:f>
      </x:c>
      <x:c r="BU38" s="117" t="n">
        <x:f>MIN(BU36+BU37,IF('Вводные'!$B$75="Единовременно",BU37,IF(AND('Вводные'!$B$84="Да",YEAR(BU$3)=YEAR($B$34),MONTH(BU$3)=MONTH($B$34)),BU36+BU37,IF(AND((12*(YEAR(BU$3)-YEAR($B$33))+MONTH(BU$3)-MONTH($B$33))&gt;0,MOD((12*(YEAR(BU$3)-YEAR($B$33))+MONTH(BU$3)-MONTH($B$33)),'Вводные'!$B$78)=0,(12*(YEAR(BU$3)-YEAR($B$33))+MONTH(BU$3)-MONTH($B$33))&lt;='Вводные'!$B$77*12),$B$35/MAX(1,'Вводные'!$B$79),0))))</x:f>
      </x:c>
      <x:c r="BV38" s="117" t="n">
        <x:f>MIN(BV36+BV37,IF('Вводные'!$B$75="Единовременно",BV37,IF(AND('Вводные'!$B$84="Да",YEAR(BV$3)=YEAR($B$34),MONTH(BV$3)=MONTH($B$34)),BV36+BV37,IF(AND((12*(YEAR(BV$3)-YEAR($B$33))+MONTH(BV$3)-MONTH($B$33))&gt;0,MOD((12*(YEAR(BV$3)-YEAR($B$33))+MONTH(BV$3)-MONTH($B$33)),'Вводные'!$B$78)=0,(12*(YEAR(BV$3)-YEAR($B$33))+MONTH(BV$3)-MONTH($B$33))&lt;='Вводные'!$B$77*12),$B$35/MAX(1,'Вводные'!$B$79),0))))</x:f>
      </x:c>
      <x:c r="BW38" s="117" t="n">
        <x:f>MIN(BW36+BW37,IF('Вводные'!$B$75="Единовременно",BW37,IF(AND('Вводные'!$B$84="Да",YEAR(BW$3)=YEAR($B$34),MONTH(BW$3)=MONTH($B$34)),BW36+BW37,IF(AND((12*(YEAR(BW$3)-YEAR($B$33))+MONTH(BW$3)-MONTH($B$33))&gt;0,MOD((12*(YEAR(BW$3)-YEAR($B$33))+MONTH(BW$3)-MONTH($B$33)),'Вводные'!$B$78)=0,(12*(YEAR(BW$3)-YEAR($B$33))+MONTH(BW$3)-MONTH($B$33))&lt;='Вводные'!$B$77*12),$B$35/MAX(1,'Вводные'!$B$79),0))))</x:f>
      </x:c>
      <x:c r="BX38" s="117" t="n">
        <x:f>MIN(BX36+BX37,IF('Вводные'!$B$75="Единовременно",BX37,IF(AND('Вводные'!$B$84="Да",YEAR(BX$3)=YEAR($B$34),MONTH(BX$3)=MONTH($B$34)),BX36+BX37,IF(AND((12*(YEAR(BX$3)-YEAR($B$33))+MONTH(BX$3)-MONTH($B$33))&gt;0,MOD((12*(YEAR(BX$3)-YEAR($B$33))+MONTH(BX$3)-MONTH($B$33)),'Вводные'!$B$78)=0,(12*(YEAR(BX$3)-YEAR($B$33))+MONTH(BX$3)-MONTH($B$33))&lt;='Вводные'!$B$77*12),$B$35/MAX(1,'Вводные'!$B$79),0))))</x:f>
      </x:c>
      <x:c r="BY38" s="117" t="n">
        <x:f>MIN(BY36+BY37,IF('Вводные'!$B$75="Единовременно",BY37,IF(AND('Вводные'!$B$84="Да",YEAR(BY$3)=YEAR($B$34),MONTH(BY$3)=MONTH($B$34)),BY36+BY37,IF(AND((12*(YEAR(BY$3)-YEAR($B$33))+MONTH(BY$3)-MONTH($B$33))&gt;0,MOD((12*(YEAR(BY$3)-YEAR($B$33))+MONTH(BY$3)-MONTH($B$33)),'Вводные'!$B$78)=0,(12*(YEAR(BY$3)-YEAR($B$33))+MONTH(BY$3)-MONTH($B$33))&lt;='Вводные'!$B$77*12),$B$35/MAX(1,'Вводные'!$B$79),0))))</x:f>
      </x:c>
      <x:c r="BZ38" s="117" t="n">
        <x:f>MIN(BZ36+BZ37,IF('Вводные'!$B$75="Единовременно",BZ37,IF(AND('Вводные'!$B$84="Да",YEAR(BZ$3)=YEAR($B$34),MONTH(BZ$3)=MONTH($B$34)),BZ36+BZ37,IF(AND((12*(YEAR(BZ$3)-YEAR($B$33))+MONTH(BZ$3)-MONTH($B$33))&gt;0,MOD((12*(YEAR(BZ$3)-YEAR($B$33))+MONTH(BZ$3)-MONTH($B$33)),'Вводные'!$B$78)=0,(12*(YEAR(BZ$3)-YEAR($B$33))+MONTH(BZ$3)-MONTH($B$33))&lt;='Вводные'!$B$77*12),$B$35/MAX(1,'Вводные'!$B$79),0))))</x:f>
      </x:c>
      <x:c r="CA38" s="117" t="n">
        <x:f>MIN(CA36+CA37,IF('Вводные'!$B$75="Единовременно",CA37,IF(AND('Вводные'!$B$84="Да",YEAR(CA$3)=YEAR($B$34),MONTH(CA$3)=MONTH($B$34)),CA36+CA37,IF(AND((12*(YEAR(CA$3)-YEAR($B$33))+MONTH(CA$3)-MONTH($B$33))&gt;0,MOD((12*(YEAR(CA$3)-YEAR($B$33))+MONTH(CA$3)-MONTH($B$33)),'Вводные'!$B$78)=0,(12*(YEAR(CA$3)-YEAR($B$33))+MONTH(CA$3)-MONTH($B$33))&lt;='Вводные'!$B$77*12),$B$35/MAX(1,'Вводные'!$B$79),0))))</x:f>
      </x:c>
      <x:c r="CB38" s="117" t="n">
        <x:f>MIN(CB36+CB37,IF('Вводные'!$B$75="Единовременно",CB37,IF(AND('Вводные'!$B$84="Да",YEAR(CB$3)=YEAR($B$34),MONTH(CB$3)=MONTH($B$34)),CB36+CB37,IF(AND((12*(YEAR(CB$3)-YEAR($B$33))+MONTH(CB$3)-MONTH($B$33))&gt;0,MOD((12*(YEAR(CB$3)-YEAR($B$33))+MONTH(CB$3)-MONTH($B$33)),'Вводные'!$B$78)=0,(12*(YEAR(CB$3)-YEAR($B$33))+MONTH(CB$3)-MONTH($B$33))&lt;='Вводные'!$B$77*12),$B$35/MAX(1,'Вводные'!$B$79),0))))</x:f>
      </x:c>
      <x:c r="CC38" s="117" t="n">
        <x:f>MIN(CC36+CC37,IF('Вводные'!$B$75="Единовременно",CC37,IF(AND('Вводные'!$B$84="Да",YEAR(CC$3)=YEAR($B$34),MONTH(CC$3)=MONTH($B$34)),CC36+CC37,IF(AND((12*(YEAR(CC$3)-YEAR($B$33))+MONTH(CC$3)-MONTH($B$33))&gt;0,MOD((12*(YEAR(CC$3)-YEAR($B$33))+MONTH(CC$3)-MONTH($B$33)),'Вводные'!$B$78)=0,(12*(YEAR(CC$3)-YEAR($B$33))+MONTH(CC$3)-MONTH($B$33))&lt;='Вводные'!$B$77*12),$B$35/MAX(1,'Вводные'!$B$79),0))))</x:f>
      </x:c>
      <x:c r="CD38" s="117" t="n">
        <x:f>MIN(CD36+CD37,IF('Вводные'!$B$75="Единовременно",CD37,IF(AND('Вводные'!$B$84="Да",YEAR(CD$3)=YEAR($B$34),MONTH(CD$3)=MONTH($B$34)),CD36+CD37,IF(AND((12*(YEAR(CD$3)-YEAR($B$33))+MONTH(CD$3)-MONTH($B$33))&gt;0,MOD((12*(YEAR(CD$3)-YEAR($B$33))+MONTH(CD$3)-MONTH($B$33)),'Вводные'!$B$78)=0,(12*(YEAR(CD$3)-YEAR($B$33))+MONTH(CD$3)-MONTH($B$33))&lt;='Вводные'!$B$77*12),$B$35/MAX(1,'Вводные'!$B$79),0))))</x:f>
      </x:c>
      <x:c r="CE38" s="117" t="n">
        <x:f>MIN(CE36+CE37,IF('Вводные'!$B$75="Единовременно",CE37,IF(AND('Вводные'!$B$84="Да",YEAR(CE$3)=YEAR($B$34),MONTH(CE$3)=MONTH($B$34)),CE36+CE37,IF(AND((12*(YEAR(CE$3)-YEAR($B$33))+MONTH(CE$3)-MONTH($B$33))&gt;0,MOD((12*(YEAR(CE$3)-YEAR($B$33))+MONTH(CE$3)-MONTH($B$33)),'Вводные'!$B$78)=0,(12*(YEAR(CE$3)-YEAR($B$33))+MONTH(CE$3)-MONTH($B$33))&lt;='Вводные'!$B$77*12),$B$35/MAX(1,'Вводные'!$B$79),0))))</x:f>
      </x:c>
      <x:c r="CF38" s="117" t="n">
        <x:f>MIN(CF36+CF37,IF('Вводные'!$B$75="Единовременно",CF37,IF(AND('Вводные'!$B$84="Да",YEAR(CF$3)=YEAR($B$34),MONTH(CF$3)=MONTH($B$34)),CF36+CF37,IF(AND((12*(YEAR(CF$3)-YEAR($B$33))+MONTH(CF$3)-MONTH($B$33))&gt;0,MOD((12*(YEAR(CF$3)-YEAR($B$33))+MONTH(CF$3)-MONTH($B$33)),'Вводные'!$B$78)=0,(12*(YEAR(CF$3)-YEAR($B$33))+MONTH(CF$3)-MONTH($B$33))&lt;='Вводные'!$B$77*12),$B$35/MAX(1,'Вводные'!$B$79),0))))</x:f>
      </x:c>
      <x:c r="CG38" s="117" t="n">
        <x:f>MIN(CG36+CG37,IF('Вводные'!$B$75="Единовременно",CG37,IF(AND('Вводные'!$B$84="Да",YEAR(CG$3)=YEAR($B$34),MONTH(CG$3)=MONTH($B$34)),CG36+CG37,IF(AND((12*(YEAR(CG$3)-YEAR($B$33))+MONTH(CG$3)-MONTH($B$33))&gt;0,MOD((12*(YEAR(CG$3)-YEAR($B$33))+MONTH(CG$3)-MONTH($B$33)),'Вводные'!$B$78)=0,(12*(YEAR(CG$3)-YEAR($B$33))+MONTH(CG$3)-MONTH($B$33))&lt;='Вводные'!$B$77*12),$B$35/MAX(1,'Вводные'!$B$79),0))))</x:f>
      </x:c>
      <x:c r="CH38" s="117" t="n">
        <x:f>MIN(CH36+CH37,IF('Вводные'!$B$75="Единовременно",CH37,IF(AND('Вводные'!$B$84="Да",YEAR(CH$3)=YEAR($B$34),MONTH(CH$3)=MONTH($B$34)),CH36+CH37,IF(AND((12*(YEAR(CH$3)-YEAR($B$33))+MONTH(CH$3)-MONTH($B$33))&gt;0,MOD((12*(YEAR(CH$3)-YEAR($B$33))+MONTH(CH$3)-MONTH($B$33)),'Вводные'!$B$78)=0,(12*(YEAR(CH$3)-YEAR($B$33))+MONTH(CH$3)-MONTH($B$33))&lt;='Вводные'!$B$77*12),$B$35/MAX(1,'Вводные'!$B$79),0))))</x:f>
      </x:c>
      <x:c r="CI38" s="117" t="n">
        <x:f>MIN(CI36+CI37,IF('Вводные'!$B$75="Единовременно",CI37,IF(AND('Вводные'!$B$84="Да",YEAR(CI$3)=YEAR($B$34),MONTH(CI$3)=MONTH($B$34)),CI36+CI37,IF(AND((12*(YEAR(CI$3)-YEAR($B$33))+MONTH(CI$3)-MONTH($B$33))&gt;0,MOD((12*(YEAR(CI$3)-YEAR($B$33))+MONTH(CI$3)-MONTH($B$33)),'Вводные'!$B$78)=0,(12*(YEAR(CI$3)-YEAR($B$33))+MONTH(CI$3)-MONTH($B$33))&lt;='Вводные'!$B$77*12),$B$35/MAX(1,'Вводные'!$B$79),0))))</x:f>
      </x:c>
      <x:c r="CJ38" s="117" t="n">
        <x:f>MIN(CJ36+CJ37,IF('Вводные'!$B$75="Единовременно",CJ37,IF(AND('Вводные'!$B$84="Да",YEAR(CJ$3)=YEAR($B$34),MONTH(CJ$3)=MONTH($B$34)),CJ36+CJ37,IF(AND((12*(YEAR(CJ$3)-YEAR($B$33))+MONTH(CJ$3)-MONTH($B$33))&gt;0,MOD((12*(YEAR(CJ$3)-YEAR($B$33))+MONTH(CJ$3)-MONTH($B$33)),'Вводные'!$B$78)=0,(12*(YEAR(CJ$3)-YEAR($B$33))+MONTH(CJ$3)-MONTH($B$33))&lt;='Вводные'!$B$77*12),$B$35/MAX(1,'Вводные'!$B$79),0))))</x:f>
      </x:c>
      <x:c r="CK38" s="117" t="n">
        <x:f>MIN(CK36+CK37,IF('Вводные'!$B$75="Единовременно",CK37,IF(AND('Вводные'!$B$84="Да",YEAR(CK$3)=YEAR($B$34),MONTH(CK$3)=MONTH($B$34)),CK36+CK37,IF(AND((12*(YEAR(CK$3)-YEAR($B$33))+MONTH(CK$3)-MONTH($B$33))&gt;0,MOD((12*(YEAR(CK$3)-YEAR($B$33))+MONTH(CK$3)-MONTH($B$33)),'Вводные'!$B$78)=0,(12*(YEAR(CK$3)-YEAR($B$33))+MONTH(CK$3)-MONTH($B$33))&lt;='Вводные'!$B$77*12),$B$35/MAX(1,'Вводные'!$B$79),0))))</x:f>
      </x:c>
      <x:c r="CL38" s="117" t="n">
        <x:f>MIN(CL36+CL37,IF('Вводные'!$B$75="Единовременно",CL37,IF(AND('Вводные'!$B$84="Да",YEAR(CL$3)=YEAR($B$34),MONTH(CL$3)=MONTH($B$34)),CL36+CL37,IF(AND((12*(YEAR(CL$3)-YEAR($B$33))+MONTH(CL$3)-MONTH($B$33))&gt;0,MOD((12*(YEAR(CL$3)-YEAR($B$33))+MONTH(CL$3)-MONTH($B$33)),'Вводные'!$B$78)=0,(12*(YEAR(CL$3)-YEAR($B$33))+MONTH(CL$3)-MONTH($B$33))&lt;='Вводные'!$B$77*12),$B$35/MAX(1,'Вводные'!$B$79),0))))</x:f>
      </x:c>
      <x:c r="CM38" s="117" t="n">
        <x:f>MIN(CM36+CM37,IF('Вводные'!$B$75="Единовременно",CM37,IF(AND('Вводные'!$B$84="Да",YEAR(CM$3)=YEAR($B$34),MONTH(CM$3)=MONTH($B$34)),CM36+CM37,IF(AND((12*(YEAR(CM$3)-YEAR($B$33))+MONTH(CM$3)-MONTH($B$33))&gt;0,MOD((12*(YEAR(CM$3)-YEAR($B$33))+MONTH(CM$3)-MONTH($B$33)),'Вводные'!$B$78)=0,(12*(YEAR(CM$3)-YEAR($B$33))+MONTH(CM$3)-MONTH($B$33))&lt;='Вводные'!$B$77*12),$B$35/MAX(1,'Вводные'!$B$79),0))))</x:f>
      </x:c>
      <x:c r="CN38" s="117" t="n">
        <x:f>MIN(CN36+CN37,IF('Вводные'!$B$75="Единовременно",CN37,IF(AND('Вводные'!$B$84="Да",YEAR(CN$3)=YEAR($B$34),MONTH(CN$3)=MONTH($B$34)),CN36+CN37,IF(AND((12*(YEAR(CN$3)-YEAR($B$33))+MONTH(CN$3)-MONTH($B$33))&gt;0,MOD((12*(YEAR(CN$3)-YEAR($B$33))+MONTH(CN$3)-MONTH($B$33)),'Вводные'!$B$78)=0,(12*(YEAR(CN$3)-YEAR($B$33))+MONTH(CN$3)-MONTH($B$33))&lt;='Вводные'!$B$77*12),$B$35/MAX(1,'Вводные'!$B$79),0))))</x:f>
      </x:c>
      <x:c r="CO38" s="117" t="n">
        <x:f>MIN(CO36+CO37,IF('Вводные'!$B$75="Единовременно",CO37,IF(AND('Вводные'!$B$84="Да",YEAR(CO$3)=YEAR($B$34),MONTH(CO$3)=MONTH($B$34)),CO36+CO37,IF(AND((12*(YEAR(CO$3)-YEAR($B$33))+MONTH(CO$3)-MONTH($B$33))&gt;0,MOD((12*(YEAR(CO$3)-YEAR($B$33))+MONTH(CO$3)-MONTH($B$33)),'Вводные'!$B$78)=0,(12*(YEAR(CO$3)-YEAR($B$33))+MONTH(CO$3)-MONTH($B$33))&lt;='Вводные'!$B$77*12),$B$35/MAX(1,'Вводные'!$B$79),0))))</x:f>
      </x:c>
      <x:c r="CP38" s="117" t="n">
        <x:f>MIN(CP36+CP37,IF('Вводные'!$B$75="Единовременно",CP37,IF(AND('Вводные'!$B$84="Да",YEAR(CP$3)=YEAR($B$34),MONTH(CP$3)=MONTH($B$34)),CP36+CP37,IF(AND((12*(YEAR(CP$3)-YEAR($B$33))+MONTH(CP$3)-MONTH($B$33))&gt;0,MOD((12*(YEAR(CP$3)-YEAR($B$33))+MONTH(CP$3)-MONTH($B$33)),'Вводные'!$B$78)=0,(12*(YEAR(CP$3)-YEAR($B$33))+MONTH(CP$3)-MONTH($B$33))&lt;='Вводные'!$B$77*12),$B$35/MAX(1,'Вводные'!$B$79),0))))</x:f>
      </x:c>
      <x:c r="CQ38" s="117" t="n">
        <x:f>MIN(CQ36+CQ37,IF('Вводные'!$B$75="Единовременно",CQ37,IF(AND('Вводные'!$B$84="Да",YEAR(CQ$3)=YEAR($B$34),MONTH(CQ$3)=MONTH($B$34)),CQ36+CQ37,IF(AND((12*(YEAR(CQ$3)-YEAR($B$33))+MONTH(CQ$3)-MONTH($B$33))&gt;0,MOD((12*(YEAR(CQ$3)-YEAR($B$33))+MONTH(CQ$3)-MONTH($B$33)),'Вводные'!$B$78)=0,(12*(YEAR(CQ$3)-YEAR($B$33))+MONTH(CQ$3)-MONTH($B$33))&lt;='Вводные'!$B$77*12),$B$35/MAX(1,'Вводные'!$B$79),0))))</x:f>
      </x:c>
      <x:c r="CR38" s="117" t="n">
        <x:f>MIN(CR36+CR37,IF('Вводные'!$B$75="Единовременно",CR37,IF(AND('Вводные'!$B$84="Да",YEAR(CR$3)=YEAR($B$34),MONTH(CR$3)=MONTH($B$34)),CR36+CR37,IF(AND((12*(YEAR(CR$3)-YEAR($B$33))+MONTH(CR$3)-MONTH($B$33))&gt;0,MOD((12*(YEAR(CR$3)-YEAR($B$33))+MONTH(CR$3)-MONTH($B$33)),'Вводные'!$B$78)=0,(12*(YEAR(CR$3)-YEAR($B$33))+MONTH(CR$3)-MONTH($B$33))&lt;='Вводные'!$B$77*12),$B$35/MAX(1,'Вводные'!$B$79),0))))</x:f>
      </x:c>
      <x:c r="CS38" s="117" t="n">
        <x:f>MIN(CS36+CS37,IF('Вводные'!$B$75="Единовременно",CS37,IF(AND('Вводные'!$B$84="Да",YEAR(CS$3)=YEAR($B$34),MONTH(CS$3)=MONTH($B$34)),CS36+CS37,IF(AND((12*(YEAR(CS$3)-YEAR($B$33))+MONTH(CS$3)-MONTH($B$33))&gt;0,MOD((12*(YEAR(CS$3)-YEAR($B$33))+MONTH(CS$3)-MONTH($B$33)),'Вводные'!$B$78)=0,(12*(YEAR(CS$3)-YEAR($B$33))+MONTH(CS$3)-MONTH($B$33))&lt;='Вводные'!$B$77*12),$B$35/MAX(1,'Вводные'!$B$79),0))))</x:f>
      </x:c>
      <x:c r="CT38" s="117" t="n">
        <x:f>MIN(CT36+CT37,IF('Вводные'!$B$75="Единовременно",CT37,IF(AND('Вводные'!$B$84="Да",YEAR(CT$3)=YEAR($B$34),MONTH(CT$3)=MONTH($B$34)),CT36+CT37,IF(AND((12*(YEAR(CT$3)-YEAR($B$33))+MONTH(CT$3)-MONTH($B$33))&gt;0,MOD((12*(YEAR(CT$3)-YEAR($B$33))+MONTH(CT$3)-MONTH($B$33)),'Вводные'!$B$78)=0,(12*(YEAR(CT$3)-YEAR($B$33))+MONTH(CT$3)-MONTH($B$33))&lt;='Вводные'!$B$77*12),$B$35/MAX(1,'Вводные'!$B$79),0))))</x:f>
      </x:c>
      <x:c r="CU38" s="117" t="n">
        <x:f>MIN(CU36+CU37,IF('Вводные'!$B$75="Единовременно",CU37,IF(AND('Вводные'!$B$84="Да",YEAR(CU$3)=YEAR($B$34),MONTH(CU$3)=MONTH($B$34)),CU36+CU37,IF(AND((12*(YEAR(CU$3)-YEAR($B$33))+MONTH(CU$3)-MONTH($B$33))&gt;0,MOD((12*(YEAR(CU$3)-YEAR($B$33))+MONTH(CU$3)-MONTH($B$33)),'Вводные'!$B$78)=0,(12*(YEAR(CU$3)-YEAR($B$33))+MONTH(CU$3)-MONTH($B$33))&lt;='Вводные'!$B$77*12),$B$35/MAX(1,'Вводные'!$B$79),0))))</x:f>
      </x:c>
      <x:c r="CV38" s="117" t="n">
        <x:f>MIN(CV36+CV37,IF('Вводные'!$B$75="Единовременно",CV37,IF(AND('Вводные'!$B$84="Да",YEAR(CV$3)=YEAR($B$34),MONTH(CV$3)=MONTH($B$34)),CV36+CV37,IF(AND((12*(YEAR(CV$3)-YEAR($B$33))+MONTH(CV$3)-MONTH($B$33))&gt;0,MOD((12*(YEAR(CV$3)-YEAR($B$33))+MONTH(CV$3)-MONTH($B$33)),'Вводные'!$B$78)=0,(12*(YEAR(CV$3)-YEAR($B$33))+MONTH(CV$3)-MONTH($B$33))&lt;='Вводные'!$B$77*12),$B$35/MAX(1,'Вводные'!$B$79),0))))</x:f>
      </x:c>
      <x:c r="CW38" s="117" t="n">
        <x:f>MIN(CW36+CW37,IF('Вводные'!$B$75="Единовременно",CW37,IF(AND('Вводные'!$B$84="Да",YEAR(CW$3)=YEAR($B$34),MONTH(CW$3)=MONTH($B$34)),CW36+CW37,IF(AND((12*(YEAR(CW$3)-YEAR($B$33))+MONTH(CW$3)-MONTH($B$33))&gt;0,MOD((12*(YEAR(CW$3)-YEAR($B$33))+MONTH(CW$3)-MONTH($B$33)),'Вводные'!$B$78)=0,(12*(YEAR(CW$3)-YEAR($B$33))+MONTH(CW$3)-MONTH($B$33))&lt;='Вводные'!$B$77*12),$B$35/MAX(1,'Вводные'!$B$79),0))))</x:f>
      </x:c>
      <x:c r="CX38" s="117" t="n">
        <x:f>MIN(CX36+CX37,IF('Вводные'!$B$75="Единовременно",CX37,IF(AND('Вводные'!$B$84="Да",YEAR(CX$3)=YEAR($B$34),MONTH(CX$3)=MONTH($B$34)),CX36+CX37,IF(AND((12*(YEAR(CX$3)-YEAR($B$33))+MONTH(CX$3)-MONTH($B$33))&gt;0,MOD((12*(YEAR(CX$3)-YEAR($B$33))+MONTH(CX$3)-MONTH($B$33)),'Вводные'!$B$78)=0,(12*(YEAR(CX$3)-YEAR($B$33))+MONTH(CX$3)-MONTH($B$33))&lt;='Вводные'!$B$77*12),$B$35/MAX(1,'Вводные'!$B$79),0))))</x:f>
      </x:c>
      <x:c r="CY38" s="117" t="n">
        <x:f>MIN(CY36+CY37,IF('Вводные'!$B$75="Единовременно",CY37,IF(AND('Вводные'!$B$84="Да",YEAR(CY$3)=YEAR($B$34),MONTH(CY$3)=MONTH($B$34)),CY36+CY37,IF(AND((12*(YEAR(CY$3)-YEAR($B$33))+MONTH(CY$3)-MONTH($B$33))&gt;0,MOD((12*(YEAR(CY$3)-YEAR($B$33))+MONTH(CY$3)-MONTH($B$33)),'Вводные'!$B$78)=0,(12*(YEAR(CY$3)-YEAR($B$33))+MONTH(CY$3)-MONTH($B$33))&lt;='Вводные'!$B$77*12),$B$35/MAX(1,'Вводные'!$B$79),0))))</x:f>
      </x:c>
      <x:c r="CZ38" s="117" t="n">
        <x:f>MIN(CZ36+CZ37,IF('Вводные'!$B$75="Единовременно",CZ37,IF(AND('Вводные'!$B$84="Да",YEAR(CZ$3)=YEAR($B$34),MONTH(CZ$3)=MONTH($B$34)),CZ36+CZ37,IF(AND((12*(YEAR(CZ$3)-YEAR($B$33))+MONTH(CZ$3)-MONTH($B$33))&gt;0,MOD((12*(YEAR(CZ$3)-YEAR($B$33))+MONTH(CZ$3)-MONTH($B$33)),'Вводные'!$B$78)=0,(12*(YEAR(CZ$3)-YEAR($B$33))+MONTH(CZ$3)-MONTH($B$33))&lt;='Вводные'!$B$77*12),$B$35/MAX(1,'Вводные'!$B$79),0))))</x:f>
      </x:c>
      <x:c r="DA38" s="117" t="n">
        <x:f>MIN(DA36+DA37,IF('Вводные'!$B$75="Единовременно",DA37,IF(AND('Вводные'!$B$84="Да",YEAR(DA$3)=YEAR($B$34),MONTH(DA$3)=MONTH($B$34)),DA36+DA37,IF(AND((12*(YEAR(DA$3)-YEAR($B$33))+MONTH(DA$3)-MONTH($B$33))&gt;0,MOD((12*(YEAR(DA$3)-YEAR($B$33))+MONTH(DA$3)-MONTH($B$33)),'Вводные'!$B$78)=0,(12*(YEAR(DA$3)-YEAR($B$33))+MONTH(DA$3)-MONTH($B$33))&lt;='Вводные'!$B$77*12),$B$35/MAX(1,'Вводные'!$B$79),0))))</x:f>
      </x:c>
      <x:c r="DB38" s="117" t="n">
        <x:f>MIN(DB36+DB37,IF('Вводные'!$B$75="Единовременно",DB37,IF(AND('Вводные'!$B$84="Да",YEAR(DB$3)=YEAR($B$34),MONTH(DB$3)=MONTH($B$34)),DB36+DB37,IF(AND((12*(YEAR(DB$3)-YEAR($B$33))+MONTH(DB$3)-MONTH($B$33))&gt;0,MOD((12*(YEAR(DB$3)-YEAR($B$33))+MONTH(DB$3)-MONTH($B$33)),'Вводные'!$B$78)=0,(12*(YEAR(DB$3)-YEAR($B$33))+MONTH(DB$3)-MONTH($B$33))&lt;='Вводные'!$B$77*12),$B$35/MAX(1,'Вводные'!$B$79),0))))</x:f>
      </x:c>
      <x:c r="DC38" s="117" t="n">
        <x:f>MIN(DC36+DC37,IF('Вводные'!$B$75="Единовременно",DC37,IF(AND('Вводные'!$B$84="Да",YEAR(DC$3)=YEAR($B$34),MONTH(DC$3)=MONTH($B$34)),DC36+DC37,IF(AND((12*(YEAR(DC$3)-YEAR($B$33))+MONTH(DC$3)-MONTH($B$33))&gt;0,MOD((12*(YEAR(DC$3)-YEAR($B$33))+MONTH(DC$3)-MONTH($B$33)),'Вводные'!$B$78)=0,(12*(YEAR(DC$3)-YEAR($B$33))+MONTH(DC$3)-MONTH($B$33))&lt;='Вводные'!$B$77*12),$B$35/MAX(1,'Вводные'!$B$79),0))))</x:f>
      </x:c>
      <x:c r="DD38" s="117" t="n">
        <x:f>MIN(DD36+DD37,IF('Вводные'!$B$75="Единовременно",DD37,IF(AND('Вводные'!$B$84="Да",YEAR(DD$3)=YEAR($B$34),MONTH(DD$3)=MONTH($B$34)),DD36+DD37,IF(AND((12*(YEAR(DD$3)-YEAR($B$33))+MONTH(DD$3)-MONTH($B$33))&gt;0,MOD((12*(YEAR(DD$3)-YEAR($B$33))+MONTH(DD$3)-MONTH($B$33)),'Вводные'!$B$78)=0,(12*(YEAR(DD$3)-YEAR($B$33))+MONTH(DD$3)-MONTH($B$33))&lt;='Вводные'!$B$77*12),$B$35/MAX(1,'Вводные'!$B$79),0))))</x:f>
      </x:c>
      <x:c r="DE38" s="117" t="n">
        <x:f>MIN(DE36+DE37,IF('Вводные'!$B$75="Единовременно",DE37,IF(AND('Вводные'!$B$84="Да",YEAR(DE$3)=YEAR($B$34),MONTH(DE$3)=MONTH($B$34)),DE36+DE37,IF(AND((12*(YEAR(DE$3)-YEAR($B$33))+MONTH(DE$3)-MONTH($B$33))&gt;0,MOD((12*(YEAR(DE$3)-YEAR($B$33))+MONTH(DE$3)-MONTH($B$33)),'Вводные'!$B$78)=0,(12*(YEAR(DE$3)-YEAR($B$33))+MONTH(DE$3)-MONTH($B$33))&lt;='Вводные'!$B$77*12),$B$35/MAX(1,'Вводные'!$B$79),0))))</x:f>
      </x:c>
      <x:c r="DF38" s="117" t="n">
        <x:f>MIN(DF36+DF37,IF('Вводные'!$B$75="Единовременно",DF37,IF(AND('Вводные'!$B$84="Да",YEAR(DF$3)=YEAR($B$34),MONTH(DF$3)=MONTH($B$34)),DF36+DF37,IF(AND((12*(YEAR(DF$3)-YEAR($B$33))+MONTH(DF$3)-MONTH($B$33))&gt;0,MOD((12*(YEAR(DF$3)-YEAR($B$33))+MONTH(DF$3)-MONTH($B$33)),'Вводные'!$B$78)=0,(12*(YEAR(DF$3)-YEAR($B$33))+MONTH(DF$3)-MONTH($B$33))&lt;='Вводные'!$B$77*12),$B$35/MAX(1,'Вводные'!$B$79),0))))</x:f>
      </x:c>
      <x:c r="DG38" s="117" t="n">
        <x:f>MIN(DG36+DG37,IF('Вводные'!$B$75="Единовременно",DG37,IF(AND('Вводные'!$B$84="Да",YEAR(DG$3)=YEAR($B$34),MONTH(DG$3)=MONTH($B$34)),DG36+DG37,IF(AND((12*(YEAR(DG$3)-YEAR($B$33))+MONTH(DG$3)-MONTH($B$33))&gt;0,MOD((12*(YEAR(DG$3)-YEAR($B$33))+MONTH(DG$3)-MONTH($B$33)),'Вводные'!$B$78)=0,(12*(YEAR(DG$3)-YEAR($B$33))+MONTH(DG$3)-MONTH($B$33))&lt;='Вводные'!$B$77*12),$B$35/MAX(1,'Вводные'!$B$79),0))))</x:f>
      </x:c>
      <x:c r="DH38" s="117" t="n">
        <x:f>MIN(DH36+DH37,IF('Вводные'!$B$75="Единовременно",DH37,IF(AND('Вводные'!$B$84="Да",YEAR(DH$3)=YEAR($B$34),MONTH(DH$3)=MONTH($B$34)),DH36+DH37,IF(AND((12*(YEAR(DH$3)-YEAR($B$33))+MONTH(DH$3)-MONTH($B$33))&gt;0,MOD((12*(YEAR(DH$3)-YEAR($B$33))+MONTH(DH$3)-MONTH($B$33)),'Вводные'!$B$78)=0,(12*(YEAR(DH$3)-YEAR($B$33))+MONTH(DH$3)-MONTH($B$33))&lt;='Вводные'!$B$77*12),$B$35/MAX(1,'Вводные'!$B$79),0))))</x:f>
      </x:c>
      <x:c r="DI38" s="117" t="n">
        <x:f>MIN(DI36+DI37,IF('Вводные'!$B$75="Единовременно",DI37,IF(AND('Вводные'!$B$84="Да",YEAR(DI$3)=YEAR($B$34),MONTH(DI$3)=MONTH($B$34)),DI36+DI37,IF(AND((12*(YEAR(DI$3)-YEAR($B$33))+MONTH(DI$3)-MONTH($B$33))&gt;0,MOD((12*(YEAR(DI$3)-YEAR($B$33))+MONTH(DI$3)-MONTH($B$33)),'Вводные'!$B$78)=0,(12*(YEAR(DI$3)-YEAR($B$33))+MONTH(DI$3)-MONTH($B$33))&lt;='Вводные'!$B$77*12),$B$35/MAX(1,'Вводные'!$B$79),0))))</x:f>
      </x:c>
      <x:c r="DJ38" s="117" t="n">
        <x:f>MIN(DJ36+DJ37,IF('Вводные'!$B$75="Единовременно",DJ37,IF(AND('Вводные'!$B$84="Да",YEAR(DJ$3)=YEAR($B$34),MONTH(DJ$3)=MONTH($B$34)),DJ36+DJ37,IF(AND((12*(YEAR(DJ$3)-YEAR($B$33))+MONTH(DJ$3)-MONTH($B$33))&gt;0,MOD((12*(YEAR(DJ$3)-YEAR($B$33))+MONTH(DJ$3)-MONTH($B$33)),'Вводные'!$B$78)=0,(12*(YEAR(DJ$3)-YEAR($B$33))+MONTH(DJ$3)-MONTH($B$33))&lt;='Вводные'!$B$77*12),$B$35/MAX(1,'Вводные'!$B$79),0))))</x:f>
      </x:c>
      <x:c r="DK38" s="117" t="n">
        <x:f>MIN(DK36+DK37,IF('Вводные'!$B$75="Единовременно",DK37,IF(AND('Вводные'!$B$84="Да",YEAR(DK$3)=YEAR($B$34),MONTH(DK$3)=MONTH($B$34)),DK36+DK37,IF(AND((12*(YEAR(DK$3)-YEAR($B$33))+MONTH(DK$3)-MONTH($B$33))&gt;0,MOD((12*(YEAR(DK$3)-YEAR($B$33))+MONTH(DK$3)-MONTH($B$33)),'Вводные'!$B$78)=0,(12*(YEAR(DK$3)-YEAR($B$33))+MONTH(DK$3)-MONTH($B$33))&lt;='Вводные'!$B$77*12),$B$35/MAX(1,'Вводные'!$B$79),0))))</x:f>
      </x:c>
      <x:c r="DL38" s="117" t="n">
        <x:f>MIN(DL36+DL37,IF('Вводные'!$B$75="Единовременно",DL37,IF(AND('Вводные'!$B$84="Да",YEAR(DL$3)=YEAR($B$34),MONTH(DL$3)=MONTH($B$34)),DL36+DL37,IF(AND((12*(YEAR(DL$3)-YEAR($B$33))+MONTH(DL$3)-MONTH($B$33))&gt;0,MOD((12*(YEAR(DL$3)-YEAR($B$33))+MONTH(DL$3)-MONTH($B$33)),'Вводные'!$B$78)=0,(12*(YEAR(DL$3)-YEAR($B$33))+MONTH(DL$3)-MONTH($B$33))&lt;='Вводные'!$B$77*12),$B$35/MAX(1,'Вводные'!$B$79),0))))</x:f>
      </x:c>
      <x:c r="DM38" s="117" t="n">
        <x:f>MIN(DM36+DM37,IF('Вводные'!$B$75="Единовременно",DM37,IF(AND('Вводные'!$B$84="Да",YEAR(DM$3)=YEAR($B$34),MONTH(DM$3)=MONTH($B$34)),DM36+DM37,IF(AND((12*(YEAR(DM$3)-YEAR($B$33))+MONTH(DM$3)-MONTH($B$33))&gt;0,MOD((12*(YEAR(DM$3)-YEAR($B$33))+MONTH(DM$3)-MONTH($B$33)),'Вводные'!$B$78)=0,(12*(YEAR(DM$3)-YEAR($B$33))+MONTH(DM$3)-MONTH($B$33))&lt;='Вводные'!$B$77*12),$B$35/MAX(1,'Вводные'!$B$79),0))))</x:f>
      </x:c>
      <x:c r="DN38" s="117" t="n">
        <x:f>MIN(DN36+DN37,IF('Вводные'!$B$75="Единовременно",DN37,IF(AND('Вводные'!$B$84="Да",YEAR(DN$3)=YEAR($B$34),MONTH(DN$3)=MONTH($B$34)),DN36+DN37,IF(AND((12*(YEAR(DN$3)-YEAR($B$33))+MONTH(DN$3)-MONTH($B$33))&gt;0,MOD((12*(YEAR(DN$3)-YEAR($B$33))+MONTH(DN$3)-MONTH($B$33)),'Вводные'!$B$78)=0,(12*(YEAR(DN$3)-YEAR($B$33))+MONTH(DN$3)-MONTH($B$33))&lt;='Вводные'!$B$77*12),$B$35/MAX(1,'Вводные'!$B$79),0))))</x:f>
      </x:c>
      <x:c r="DO38" s="117" t="n">
        <x:f>MIN(DO36+DO37,IF('Вводные'!$B$75="Единовременно",DO37,IF(AND('Вводные'!$B$84="Да",YEAR(DO$3)=YEAR($B$34),MONTH(DO$3)=MONTH($B$34)),DO36+DO37,IF(AND((12*(YEAR(DO$3)-YEAR($B$33))+MONTH(DO$3)-MONTH($B$33))&gt;0,MOD((12*(YEAR(DO$3)-YEAR($B$33))+MONTH(DO$3)-MONTH($B$33)),'Вводные'!$B$78)=0,(12*(YEAR(DO$3)-YEAR($B$33))+MONTH(DO$3)-MONTH($B$33))&lt;='Вводные'!$B$77*12),$B$35/MAX(1,'Вводные'!$B$79),0))))</x:f>
      </x:c>
      <x:c r="DP38" s="117" t="n">
        <x:f>MIN(DP36+DP37,IF('Вводные'!$B$75="Единовременно",DP37,IF(AND('Вводные'!$B$84="Да",YEAR(DP$3)=YEAR($B$34),MONTH(DP$3)=MONTH($B$34)),DP36+DP37,IF(AND((12*(YEAR(DP$3)-YEAR($B$33))+MONTH(DP$3)-MONTH($B$33))&gt;0,MOD((12*(YEAR(DP$3)-YEAR($B$33))+MONTH(DP$3)-MONTH($B$33)),'Вводные'!$B$78)=0,(12*(YEAR(DP$3)-YEAR($B$33))+MONTH(DP$3)-MONTH($B$33))&lt;='Вводные'!$B$77*12),$B$35/MAX(1,'Вводные'!$B$79),0))))</x:f>
      </x:c>
      <x:c r="DQ38" s="117" t="n">
        <x:f>MIN(DQ36+DQ37,IF('Вводные'!$B$75="Единовременно",DQ37,IF(AND('Вводные'!$B$84="Да",YEAR(DQ$3)=YEAR($B$34),MONTH(DQ$3)=MONTH($B$34)),DQ36+DQ37,IF(AND((12*(YEAR(DQ$3)-YEAR($B$33))+MONTH(DQ$3)-MONTH($B$33))&gt;0,MOD((12*(YEAR(DQ$3)-YEAR($B$33))+MONTH(DQ$3)-MONTH($B$33)),'Вводные'!$B$78)=0,(12*(YEAR(DQ$3)-YEAR($B$33))+MONTH(DQ$3)-MONTH($B$33))&lt;='Вводные'!$B$77*12),$B$35/MAX(1,'Вводные'!$B$79),0))))</x:f>
      </x:c>
      <x:c r="DR38" s="117" t="n">
        <x:f>MIN(DR36+DR37,IF('Вводные'!$B$75="Единовременно",DR37,IF(AND('Вводные'!$B$84="Да",YEAR(DR$3)=YEAR($B$34),MONTH(DR$3)=MONTH($B$34)),DR36+DR37,IF(AND((12*(YEAR(DR$3)-YEAR($B$33))+MONTH(DR$3)-MONTH($B$33))&gt;0,MOD((12*(YEAR(DR$3)-YEAR($B$33))+MONTH(DR$3)-MONTH($B$33)),'Вводные'!$B$78)=0,(12*(YEAR(DR$3)-YEAR($B$33))+MONTH(DR$3)-MONTH($B$33))&lt;='Вводные'!$B$77*12),$B$35/MAX(1,'Вводные'!$B$79),0))))</x:f>
      </x:c>
      <x:c r="DS38" s="117" t="n">
        <x:f>MIN(DS36+DS37,IF('Вводные'!$B$75="Единовременно",DS37,IF(AND('Вводные'!$B$84="Да",YEAR(DS$3)=YEAR($B$34),MONTH(DS$3)=MONTH($B$34)),DS36+DS37,IF(AND((12*(YEAR(DS$3)-YEAR($B$33))+MONTH(DS$3)-MONTH($B$33))&gt;0,MOD((12*(YEAR(DS$3)-YEAR($B$33))+MONTH(DS$3)-MONTH($B$33)),'Вводные'!$B$78)=0,(12*(YEAR(DS$3)-YEAR($B$33))+MONTH(DS$3)-MONTH($B$33))&lt;='Вводные'!$B$77*12),$B$35/MAX(1,'Вводные'!$B$79),0))))</x:f>
      </x:c>
    </x:row>
    <x:row r="39">
      <x:c r="A39" t="str">
        <x:v>Проценты по рассрочке</x:v>
      </x:c>
      <x:c r="B39" s="107" t="n">
        <x:f>SUM(D39:DS39)</x:f>
      </x:c>
      <x:c r="C39" t="str">
        <x:v>млн ₽</x:v>
      </x:c>
      <x:c r="D39" s="117" t="n">
        <x:f>IF(AND('Вводные'!$B$75&lt;&gt;"Единовременно",'Вводные'!$B$80="Да",D36&gt;0),IF(AND('Вводные'!$B$84="Да",YEAR(D$3)=YEAR($B$34),MONTH(D$3)=MONTH($B$34)),D36*D43/12,IF(AND((12*(YEAR(D$3)-YEAR($B$33))+MONTH(D$3)-MONTH($B$33))&gt;0,MOD((12*(YEAR(D$3)-YEAR($B$33))+MONTH(D$3)-MONTH($B$33)),'Вводные'!$B$78)=0,(12*(YEAR(D$3)-YEAR($B$33))+MONTH(D$3)-MONTH($B$33))&lt;='Вводные'!$B$77*12),D36*D43*'Вводные'!$B$78/12,0)),0)</x:f>
      </x:c>
      <x:c r="E39" s="117" t="n">
        <x:f>IF(AND('Вводные'!$B$75&lt;&gt;"Единовременно",'Вводные'!$B$80="Да",E36&gt;0),IF(AND('Вводные'!$B$84="Да",YEAR(E$3)=YEAR($B$34),MONTH(E$3)=MONTH($B$34)),E36*E43/12,IF(AND((12*(YEAR(E$3)-YEAR($B$33))+MONTH(E$3)-MONTH($B$33))&gt;0,MOD((12*(YEAR(E$3)-YEAR($B$33))+MONTH(E$3)-MONTH($B$33)),'Вводные'!$B$78)=0,(12*(YEAR(E$3)-YEAR($B$33))+MONTH(E$3)-MONTH($B$33))&lt;='Вводные'!$B$77*12),E36*E43*'Вводные'!$B$78/12,0)),0)</x:f>
      </x:c>
      <x:c r="F39" s="117" t="n">
        <x:f>IF(AND('Вводные'!$B$75&lt;&gt;"Единовременно",'Вводные'!$B$80="Да",F36&gt;0),IF(AND('Вводные'!$B$84="Да",YEAR(F$3)=YEAR($B$34),MONTH(F$3)=MONTH($B$34)),F36*F43/12,IF(AND((12*(YEAR(F$3)-YEAR($B$33))+MONTH(F$3)-MONTH($B$33))&gt;0,MOD((12*(YEAR(F$3)-YEAR($B$33))+MONTH(F$3)-MONTH($B$33)),'Вводные'!$B$78)=0,(12*(YEAR(F$3)-YEAR($B$33))+MONTH(F$3)-MONTH($B$33))&lt;='Вводные'!$B$77*12),F36*F43*'Вводные'!$B$78/12,0)),0)</x:f>
      </x:c>
      <x:c r="G39" s="117" t="n">
        <x:f>IF(AND('Вводные'!$B$75&lt;&gt;"Единовременно",'Вводные'!$B$80="Да",G36&gt;0),IF(AND('Вводные'!$B$84="Да",YEAR(G$3)=YEAR($B$34),MONTH(G$3)=MONTH($B$34)),G36*G43/12,IF(AND((12*(YEAR(G$3)-YEAR($B$33))+MONTH(G$3)-MONTH($B$33))&gt;0,MOD((12*(YEAR(G$3)-YEAR($B$33))+MONTH(G$3)-MONTH($B$33)),'Вводные'!$B$78)=0,(12*(YEAR(G$3)-YEAR($B$33))+MONTH(G$3)-MONTH($B$33))&lt;='Вводные'!$B$77*12),G36*G43*'Вводные'!$B$78/12,0)),0)</x:f>
      </x:c>
      <x:c r="H39" s="117" t="n">
        <x:f>IF(AND('Вводные'!$B$75&lt;&gt;"Единовременно",'Вводные'!$B$80="Да",H36&gt;0),IF(AND('Вводные'!$B$84="Да",YEAR(H$3)=YEAR($B$34),MONTH(H$3)=MONTH($B$34)),H36*H43/12,IF(AND((12*(YEAR(H$3)-YEAR($B$33))+MONTH(H$3)-MONTH($B$33))&gt;0,MOD((12*(YEAR(H$3)-YEAR($B$33))+MONTH(H$3)-MONTH($B$33)),'Вводные'!$B$78)=0,(12*(YEAR(H$3)-YEAR($B$33))+MONTH(H$3)-MONTH($B$33))&lt;='Вводные'!$B$77*12),H36*H43*'Вводные'!$B$78/12,0)),0)</x:f>
      </x:c>
      <x:c r="I39" s="117" t="n">
        <x:f>IF(AND('Вводные'!$B$75&lt;&gt;"Единовременно",'Вводные'!$B$80="Да",I36&gt;0),IF(AND('Вводные'!$B$84="Да",YEAR(I$3)=YEAR($B$34),MONTH(I$3)=MONTH($B$34)),I36*I43/12,IF(AND((12*(YEAR(I$3)-YEAR($B$33))+MONTH(I$3)-MONTH($B$33))&gt;0,MOD((12*(YEAR(I$3)-YEAR($B$33))+MONTH(I$3)-MONTH($B$33)),'Вводные'!$B$78)=0,(12*(YEAR(I$3)-YEAR($B$33))+MONTH(I$3)-MONTH($B$33))&lt;='Вводные'!$B$77*12),I36*I43*'Вводные'!$B$78/12,0)),0)</x:f>
      </x:c>
      <x:c r="J39" s="117" t="n">
        <x:f>IF(AND('Вводные'!$B$75&lt;&gt;"Единовременно",'Вводные'!$B$80="Да",J36&gt;0),IF(AND('Вводные'!$B$84="Да",YEAR(J$3)=YEAR($B$34),MONTH(J$3)=MONTH($B$34)),J36*J43/12,IF(AND((12*(YEAR(J$3)-YEAR($B$33))+MONTH(J$3)-MONTH($B$33))&gt;0,MOD((12*(YEAR(J$3)-YEAR($B$33))+MONTH(J$3)-MONTH($B$33)),'Вводные'!$B$78)=0,(12*(YEAR(J$3)-YEAR($B$33))+MONTH(J$3)-MONTH($B$33))&lt;='Вводные'!$B$77*12),J36*J43*'Вводные'!$B$78/12,0)),0)</x:f>
      </x:c>
      <x:c r="K39" s="117" t="n">
        <x:f>IF(AND('Вводные'!$B$75&lt;&gt;"Единовременно",'Вводные'!$B$80="Да",K36&gt;0),IF(AND('Вводные'!$B$84="Да",YEAR(K$3)=YEAR($B$34),MONTH(K$3)=MONTH($B$34)),K36*K43/12,IF(AND((12*(YEAR(K$3)-YEAR($B$33))+MONTH(K$3)-MONTH($B$33))&gt;0,MOD((12*(YEAR(K$3)-YEAR($B$33))+MONTH(K$3)-MONTH($B$33)),'Вводные'!$B$78)=0,(12*(YEAR(K$3)-YEAR($B$33))+MONTH(K$3)-MONTH($B$33))&lt;='Вводные'!$B$77*12),K36*K43*'Вводные'!$B$78/12,0)),0)</x:f>
      </x:c>
      <x:c r="L39" s="117" t="n">
        <x:f>IF(AND('Вводные'!$B$75&lt;&gt;"Единовременно",'Вводные'!$B$80="Да",L36&gt;0),IF(AND('Вводные'!$B$84="Да",YEAR(L$3)=YEAR($B$34),MONTH(L$3)=MONTH($B$34)),L36*L43/12,IF(AND((12*(YEAR(L$3)-YEAR($B$33))+MONTH(L$3)-MONTH($B$33))&gt;0,MOD((12*(YEAR(L$3)-YEAR($B$33))+MONTH(L$3)-MONTH($B$33)),'Вводные'!$B$78)=0,(12*(YEAR(L$3)-YEAR($B$33))+MONTH(L$3)-MONTH($B$33))&lt;='Вводные'!$B$77*12),L36*L43*'Вводные'!$B$78/12,0)),0)</x:f>
      </x:c>
      <x:c r="M39" s="117" t="n">
        <x:f>IF(AND('Вводные'!$B$75&lt;&gt;"Единовременно",'Вводные'!$B$80="Да",M36&gt;0),IF(AND('Вводные'!$B$84="Да",YEAR(M$3)=YEAR($B$34),MONTH(M$3)=MONTH($B$34)),M36*M43/12,IF(AND((12*(YEAR(M$3)-YEAR($B$33))+MONTH(M$3)-MONTH($B$33))&gt;0,MOD((12*(YEAR(M$3)-YEAR($B$33))+MONTH(M$3)-MONTH($B$33)),'Вводные'!$B$78)=0,(12*(YEAR(M$3)-YEAR($B$33))+MONTH(M$3)-MONTH($B$33))&lt;='Вводные'!$B$77*12),M36*M43*'Вводные'!$B$78/12,0)),0)</x:f>
      </x:c>
      <x:c r="N39" s="117" t="n">
        <x:f>IF(AND('Вводные'!$B$75&lt;&gt;"Единовременно",'Вводные'!$B$80="Да",N36&gt;0),IF(AND('Вводные'!$B$84="Да",YEAR(N$3)=YEAR($B$34),MONTH(N$3)=MONTH($B$34)),N36*N43/12,IF(AND((12*(YEAR(N$3)-YEAR($B$33))+MONTH(N$3)-MONTH($B$33))&gt;0,MOD((12*(YEAR(N$3)-YEAR($B$33))+MONTH(N$3)-MONTH($B$33)),'Вводные'!$B$78)=0,(12*(YEAR(N$3)-YEAR($B$33))+MONTH(N$3)-MONTH($B$33))&lt;='Вводные'!$B$77*12),N36*N43*'Вводные'!$B$78/12,0)),0)</x:f>
      </x:c>
      <x:c r="O39" s="117" t="n">
        <x:f>IF(AND('Вводные'!$B$75&lt;&gt;"Единовременно",'Вводные'!$B$80="Да",O36&gt;0),IF(AND('Вводные'!$B$84="Да",YEAR(O$3)=YEAR($B$34),MONTH(O$3)=MONTH($B$34)),O36*O43/12,IF(AND((12*(YEAR(O$3)-YEAR($B$33))+MONTH(O$3)-MONTH($B$33))&gt;0,MOD((12*(YEAR(O$3)-YEAR($B$33))+MONTH(O$3)-MONTH($B$33)),'Вводные'!$B$78)=0,(12*(YEAR(O$3)-YEAR($B$33))+MONTH(O$3)-MONTH($B$33))&lt;='Вводные'!$B$77*12),O36*O43*'Вводные'!$B$78/12,0)),0)</x:f>
      </x:c>
      <x:c r="P39" s="117" t="n">
        <x:f>IF(AND('Вводные'!$B$75&lt;&gt;"Единовременно",'Вводные'!$B$80="Да",P36&gt;0),IF(AND('Вводные'!$B$84="Да",YEAR(P$3)=YEAR($B$34),MONTH(P$3)=MONTH($B$34)),P36*P43/12,IF(AND((12*(YEAR(P$3)-YEAR($B$33))+MONTH(P$3)-MONTH($B$33))&gt;0,MOD((12*(YEAR(P$3)-YEAR($B$33))+MONTH(P$3)-MONTH($B$33)),'Вводные'!$B$78)=0,(12*(YEAR(P$3)-YEAR($B$33))+MONTH(P$3)-MONTH($B$33))&lt;='Вводные'!$B$77*12),P36*P43*'Вводные'!$B$78/12,0)),0)</x:f>
      </x:c>
      <x:c r="Q39" s="117" t="n">
        <x:f>IF(AND('Вводные'!$B$75&lt;&gt;"Единовременно",'Вводные'!$B$80="Да",Q36&gt;0),IF(AND('Вводные'!$B$84="Да",YEAR(Q$3)=YEAR($B$34),MONTH(Q$3)=MONTH($B$34)),Q36*Q43/12,IF(AND((12*(YEAR(Q$3)-YEAR($B$33))+MONTH(Q$3)-MONTH($B$33))&gt;0,MOD((12*(YEAR(Q$3)-YEAR($B$33))+MONTH(Q$3)-MONTH($B$33)),'Вводные'!$B$78)=0,(12*(YEAR(Q$3)-YEAR($B$33))+MONTH(Q$3)-MONTH($B$33))&lt;='Вводные'!$B$77*12),Q36*Q43*'Вводные'!$B$78/12,0)),0)</x:f>
      </x:c>
      <x:c r="R39" s="117" t="n">
        <x:f>IF(AND('Вводные'!$B$75&lt;&gt;"Единовременно",'Вводные'!$B$80="Да",R36&gt;0),IF(AND('Вводные'!$B$84="Да",YEAR(R$3)=YEAR($B$34),MONTH(R$3)=MONTH($B$34)),R36*R43/12,IF(AND((12*(YEAR(R$3)-YEAR($B$33))+MONTH(R$3)-MONTH($B$33))&gt;0,MOD((12*(YEAR(R$3)-YEAR($B$33))+MONTH(R$3)-MONTH($B$33)),'Вводные'!$B$78)=0,(12*(YEAR(R$3)-YEAR($B$33))+MONTH(R$3)-MONTH($B$33))&lt;='Вводные'!$B$77*12),R36*R43*'Вводные'!$B$78/12,0)),0)</x:f>
      </x:c>
      <x:c r="S39" s="117" t="n">
        <x:f>IF(AND('Вводные'!$B$75&lt;&gt;"Единовременно",'Вводные'!$B$80="Да",S36&gt;0),IF(AND('Вводные'!$B$84="Да",YEAR(S$3)=YEAR($B$34),MONTH(S$3)=MONTH($B$34)),S36*S43/12,IF(AND((12*(YEAR(S$3)-YEAR($B$33))+MONTH(S$3)-MONTH($B$33))&gt;0,MOD((12*(YEAR(S$3)-YEAR($B$33))+MONTH(S$3)-MONTH($B$33)),'Вводные'!$B$78)=0,(12*(YEAR(S$3)-YEAR($B$33))+MONTH(S$3)-MONTH($B$33))&lt;='Вводные'!$B$77*12),S36*S43*'Вводные'!$B$78/12,0)),0)</x:f>
      </x:c>
      <x:c r="T39" s="117" t="n">
        <x:f>IF(AND('Вводные'!$B$75&lt;&gt;"Единовременно",'Вводные'!$B$80="Да",T36&gt;0),IF(AND('Вводные'!$B$84="Да",YEAR(T$3)=YEAR($B$34),MONTH(T$3)=MONTH($B$34)),T36*T43/12,IF(AND((12*(YEAR(T$3)-YEAR($B$33))+MONTH(T$3)-MONTH($B$33))&gt;0,MOD((12*(YEAR(T$3)-YEAR($B$33))+MONTH(T$3)-MONTH($B$33)),'Вводные'!$B$78)=0,(12*(YEAR(T$3)-YEAR($B$33))+MONTH(T$3)-MONTH($B$33))&lt;='Вводные'!$B$77*12),T36*T43*'Вводные'!$B$78/12,0)),0)</x:f>
      </x:c>
      <x:c r="U39" s="117" t="n">
        <x:f>IF(AND('Вводные'!$B$75&lt;&gt;"Единовременно",'Вводные'!$B$80="Да",U36&gt;0),IF(AND('Вводные'!$B$84="Да",YEAR(U$3)=YEAR($B$34),MONTH(U$3)=MONTH($B$34)),U36*U43/12,IF(AND((12*(YEAR(U$3)-YEAR($B$33))+MONTH(U$3)-MONTH($B$33))&gt;0,MOD((12*(YEAR(U$3)-YEAR($B$33))+MONTH(U$3)-MONTH($B$33)),'Вводные'!$B$78)=0,(12*(YEAR(U$3)-YEAR($B$33))+MONTH(U$3)-MONTH($B$33))&lt;='Вводные'!$B$77*12),U36*U43*'Вводные'!$B$78/12,0)),0)</x:f>
      </x:c>
      <x:c r="V39" s="117" t="n">
        <x:f>IF(AND('Вводные'!$B$75&lt;&gt;"Единовременно",'Вводные'!$B$80="Да",V36&gt;0),IF(AND('Вводные'!$B$84="Да",YEAR(V$3)=YEAR($B$34),MONTH(V$3)=MONTH($B$34)),V36*V43/12,IF(AND((12*(YEAR(V$3)-YEAR($B$33))+MONTH(V$3)-MONTH($B$33))&gt;0,MOD((12*(YEAR(V$3)-YEAR($B$33))+MONTH(V$3)-MONTH($B$33)),'Вводные'!$B$78)=0,(12*(YEAR(V$3)-YEAR($B$33))+MONTH(V$3)-MONTH($B$33))&lt;='Вводные'!$B$77*12),V36*V43*'Вводные'!$B$78/12,0)),0)</x:f>
      </x:c>
      <x:c r="W39" s="117" t="n">
        <x:f>IF(AND('Вводные'!$B$75&lt;&gt;"Единовременно",'Вводные'!$B$80="Да",W36&gt;0),IF(AND('Вводные'!$B$84="Да",YEAR(W$3)=YEAR($B$34),MONTH(W$3)=MONTH($B$34)),W36*W43/12,IF(AND((12*(YEAR(W$3)-YEAR($B$33))+MONTH(W$3)-MONTH($B$33))&gt;0,MOD((12*(YEAR(W$3)-YEAR($B$33))+MONTH(W$3)-MONTH($B$33)),'Вводные'!$B$78)=0,(12*(YEAR(W$3)-YEAR($B$33))+MONTH(W$3)-MONTH($B$33))&lt;='Вводные'!$B$77*12),W36*W43*'Вводные'!$B$78/12,0)),0)</x:f>
      </x:c>
      <x:c r="X39" s="117" t="n">
        <x:f>IF(AND('Вводные'!$B$75&lt;&gt;"Единовременно",'Вводные'!$B$80="Да",X36&gt;0),IF(AND('Вводные'!$B$84="Да",YEAR(X$3)=YEAR($B$34),MONTH(X$3)=MONTH($B$34)),X36*X43/12,IF(AND((12*(YEAR(X$3)-YEAR($B$33))+MONTH(X$3)-MONTH($B$33))&gt;0,MOD((12*(YEAR(X$3)-YEAR($B$33))+MONTH(X$3)-MONTH($B$33)),'Вводные'!$B$78)=0,(12*(YEAR(X$3)-YEAR($B$33))+MONTH(X$3)-MONTH($B$33))&lt;='Вводные'!$B$77*12),X36*X43*'Вводные'!$B$78/12,0)),0)</x:f>
      </x:c>
      <x:c r="Y39" s="117" t="n">
        <x:f>IF(AND('Вводные'!$B$75&lt;&gt;"Единовременно",'Вводные'!$B$80="Да",Y36&gt;0),IF(AND('Вводные'!$B$84="Да",YEAR(Y$3)=YEAR($B$34),MONTH(Y$3)=MONTH($B$34)),Y36*Y43/12,IF(AND((12*(YEAR(Y$3)-YEAR($B$33))+MONTH(Y$3)-MONTH($B$33))&gt;0,MOD((12*(YEAR(Y$3)-YEAR($B$33))+MONTH(Y$3)-MONTH($B$33)),'Вводные'!$B$78)=0,(12*(YEAR(Y$3)-YEAR($B$33))+MONTH(Y$3)-MONTH($B$33))&lt;='Вводные'!$B$77*12),Y36*Y43*'Вводные'!$B$78/12,0)),0)</x:f>
      </x:c>
      <x:c r="Z39" s="117" t="n">
        <x:f>IF(AND('Вводные'!$B$75&lt;&gt;"Единовременно",'Вводные'!$B$80="Да",Z36&gt;0),IF(AND('Вводные'!$B$84="Да",YEAR(Z$3)=YEAR($B$34),MONTH(Z$3)=MONTH($B$34)),Z36*Z43/12,IF(AND((12*(YEAR(Z$3)-YEAR($B$33))+MONTH(Z$3)-MONTH($B$33))&gt;0,MOD((12*(YEAR(Z$3)-YEAR($B$33))+MONTH(Z$3)-MONTH($B$33)),'Вводные'!$B$78)=0,(12*(YEAR(Z$3)-YEAR($B$33))+MONTH(Z$3)-MONTH($B$33))&lt;='Вводные'!$B$77*12),Z36*Z43*'Вводные'!$B$78/12,0)),0)</x:f>
      </x:c>
      <x:c r="AA39" s="117" t="n">
        <x:f>IF(AND('Вводные'!$B$75&lt;&gt;"Единовременно",'Вводные'!$B$80="Да",AA36&gt;0),IF(AND('Вводные'!$B$84="Да",YEAR(AA$3)=YEAR($B$34),MONTH(AA$3)=MONTH($B$34)),AA36*AA43/12,IF(AND((12*(YEAR(AA$3)-YEAR($B$33))+MONTH(AA$3)-MONTH($B$33))&gt;0,MOD((12*(YEAR(AA$3)-YEAR($B$33))+MONTH(AA$3)-MONTH($B$33)),'Вводные'!$B$78)=0,(12*(YEAR(AA$3)-YEAR($B$33))+MONTH(AA$3)-MONTH($B$33))&lt;='Вводные'!$B$77*12),AA36*AA43*'Вводные'!$B$78/12,0)),0)</x:f>
      </x:c>
      <x:c r="AB39" s="117" t="n">
        <x:f>IF(AND('Вводные'!$B$75&lt;&gt;"Единовременно",'Вводные'!$B$80="Да",AB36&gt;0),IF(AND('Вводные'!$B$84="Да",YEAR(AB$3)=YEAR($B$34),MONTH(AB$3)=MONTH($B$34)),AB36*AB43/12,IF(AND((12*(YEAR(AB$3)-YEAR($B$33))+MONTH(AB$3)-MONTH($B$33))&gt;0,MOD((12*(YEAR(AB$3)-YEAR($B$33))+MONTH(AB$3)-MONTH($B$33)),'Вводные'!$B$78)=0,(12*(YEAR(AB$3)-YEAR($B$33))+MONTH(AB$3)-MONTH($B$33))&lt;='Вводные'!$B$77*12),AB36*AB43*'Вводные'!$B$78/12,0)),0)</x:f>
      </x:c>
      <x:c r="AC39" s="117" t="n">
        <x:f>IF(AND('Вводные'!$B$75&lt;&gt;"Единовременно",'Вводные'!$B$80="Да",AC36&gt;0),IF(AND('Вводные'!$B$84="Да",YEAR(AC$3)=YEAR($B$34),MONTH(AC$3)=MONTH($B$34)),AC36*AC43/12,IF(AND((12*(YEAR(AC$3)-YEAR($B$33))+MONTH(AC$3)-MONTH($B$33))&gt;0,MOD((12*(YEAR(AC$3)-YEAR($B$33))+MONTH(AC$3)-MONTH($B$33)),'Вводные'!$B$78)=0,(12*(YEAR(AC$3)-YEAR($B$33))+MONTH(AC$3)-MONTH($B$33))&lt;='Вводные'!$B$77*12),AC36*AC43*'Вводные'!$B$78/12,0)),0)</x:f>
      </x:c>
      <x:c r="AD39" s="117" t="n">
        <x:f>IF(AND('Вводные'!$B$75&lt;&gt;"Единовременно",'Вводные'!$B$80="Да",AD36&gt;0),IF(AND('Вводные'!$B$84="Да",YEAR(AD$3)=YEAR($B$34),MONTH(AD$3)=MONTH($B$34)),AD36*AD43/12,IF(AND((12*(YEAR(AD$3)-YEAR($B$33))+MONTH(AD$3)-MONTH($B$33))&gt;0,MOD((12*(YEAR(AD$3)-YEAR($B$33))+MONTH(AD$3)-MONTH($B$33)),'Вводные'!$B$78)=0,(12*(YEAR(AD$3)-YEAR($B$33))+MONTH(AD$3)-MONTH($B$33))&lt;='Вводные'!$B$77*12),AD36*AD43*'Вводные'!$B$78/12,0)),0)</x:f>
      </x:c>
      <x:c r="AE39" s="117" t="n">
        <x:f>IF(AND('Вводные'!$B$75&lt;&gt;"Единовременно",'Вводные'!$B$80="Да",AE36&gt;0),IF(AND('Вводные'!$B$84="Да",YEAR(AE$3)=YEAR($B$34),MONTH(AE$3)=MONTH($B$34)),AE36*AE43/12,IF(AND((12*(YEAR(AE$3)-YEAR($B$33))+MONTH(AE$3)-MONTH($B$33))&gt;0,MOD((12*(YEAR(AE$3)-YEAR($B$33))+MONTH(AE$3)-MONTH($B$33)),'Вводные'!$B$78)=0,(12*(YEAR(AE$3)-YEAR($B$33))+MONTH(AE$3)-MONTH($B$33))&lt;='Вводные'!$B$77*12),AE36*AE43*'Вводные'!$B$78/12,0)),0)</x:f>
      </x:c>
      <x:c r="AF39" s="117" t="n">
        <x:f>IF(AND('Вводные'!$B$75&lt;&gt;"Единовременно",'Вводные'!$B$80="Да",AF36&gt;0),IF(AND('Вводные'!$B$84="Да",YEAR(AF$3)=YEAR($B$34),MONTH(AF$3)=MONTH($B$34)),AF36*AF43/12,IF(AND((12*(YEAR(AF$3)-YEAR($B$33))+MONTH(AF$3)-MONTH($B$33))&gt;0,MOD((12*(YEAR(AF$3)-YEAR($B$33))+MONTH(AF$3)-MONTH($B$33)),'Вводные'!$B$78)=0,(12*(YEAR(AF$3)-YEAR($B$33))+MONTH(AF$3)-MONTH($B$33))&lt;='Вводные'!$B$77*12),AF36*AF43*'Вводные'!$B$78/12,0)),0)</x:f>
      </x:c>
      <x:c r="AG39" s="117" t="n">
        <x:f>IF(AND('Вводные'!$B$75&lt;&gt;"Единовременно",'Вводные'!$B$80="Да",AG36&gt;0),IF(AND('Вводные'!$B$84="Да",YEAR(AG$3)=YEAR($B$34),MONTH(AG$3)=MONTH($B$34)),AG36*AG43/12,IF(AND((12*(YEAR(AG$3)-YEAR($B$33))+MONTH(AG$3)-MONTH($B$33))&gt;0,MOD((12*(YEAR(AG$3)-YEAR($B$33))+MONTH(AG$3)-MONTH($B$33)),'Вводные'!$B$78)=0,(12*(YEAR(AG$3)-YEAR($B$33))+MONTH(AG$3)-MONTH($B$33))&lt;='Вводные'!$B$77*12),AG36*AG43*'Вводные'!$B$78/12,0)),0)</x:f>
      </x:c>
      <x:c r="AH39" s="117" t="n">
        <x:f>IF(AND('Вводные'!$B$75&lt;&gt;"Единовременно",'Вводные'!$B$80="Да",AH36&gt;0),IF(AND('Вводные'!$B$84="Да",YEAR(AH$3)=YEAR($B$34),MONTH(AH$3)=MONTH($B$34)),AH36*AH43/12,IF(AND((12*(YEAR(AH$3)-YEAR($B$33))+MONTH(AH$3)-MONTH($B$33))&gt;0,MOD((12*(YEAR(AH$3)-YEAR($B$33))+MONTH(AH$3)-MONTH($B$33)),'Вводные'!$B$78)=0,(12*(YEAR(AH$3)-YEAR($B$33))+MONTH(AH$3)-MONTH($B$33))&lt;='Вводные'!$B$77*12),AH36*AH43*'Вводные'!$B$78/12,0)),0)</x:f>
      </x:c>
      <x:c r="AI39" s="117" t="n">
        <x:f>IF(AND('Вводные'!$B$75&lt;&gt;"Единовременно",'Вводные'!$B$80="Да",AI36&gt;0),IF(AND('Вводные'!$B$84="Да",YEAR(AI$3)=YEAR($B$34),MONTH(AI$3)=MONTH($B$34)),AI36*AI43/12,IF(AND((12*(YEAR(AI$3)-YEAR($B$33))+MONTH(AI$3)-MONTH($B$33))&gt;0,MOD((12*(YEAR(AI$3)-YEAR($B$33))+MONTH(AI$3)-MONTH($B$33)),'Вводные'!$B$78)=0,(12*(YEAR(AI$3)-YEAR($B$33))+MONTH(AI$3)-MONTH($B$33))&lt;='Вводные'!$B$77*12),AI36*AI43*'Вводные'!$B$78/12,0)),0)</x:f>
      </x:c>
      <x:c r="AJ39" s="117" t="n">
        <x:f>IF(AND('Вводные'!$B$75&lt;&gt;"Единовременно",'Вводные'!$B$80="Да",AJ36&gt;0),IF(AND('Вводные'!$B$84="Да",YEAR(AJ$3)=YEAR($B$34),MONTH(AJ$3)=MONTH($B$34)),AJ36*AJ43/12,IF(AND((12*(YEAR(AJ$3)-YEAR($B$33))+MONTH(AJ$3)-MONTH($B$33))&gt;0,MOD((12*(YEAR(AJ$3)-YEAR($B$33))+MONTH(AJ$3)-MONTH($B$33)),'Вводные'!$B$78)=0,(12*(YEAR(AJ$3)-YEAR($B$33))+MONTH(AJ$3)-MONTH($B$33))&lt;='Вводные'!$B$77*12),AJ36*AJ43*'Вводные'!$B$78/12,0)),0)</x:f>
      </x:c>
      <x:c r="AK39" s="117" t="n">
        <x:f>IF(AND('Вводные'!$B$75&lt;&gt;"Единовременно",'Вводные'!$B$80="Да",AK36&gt;0),IF(AND('Вводные'!$B$84="Да",YEAR(AK$3)=YEAR($B$34),MONTH(AK$3)=MONTH($B$34)),AK36*AK43/12,IF(AND((12*(YEAR(AK$3)-YEAR($B$33))+MONTH(AK$3)-MONTH($B$33))&gt;0,MOD((12*(YEAR(AK$3)-YEAR($B$33))+MONTH(AK$3)-MONTH($B$33)),'Вводные'!$B$78)=0,(12*(YEAR(AK$3)-YEAR($B$33))+MONTH(AK$3)-MONTH($B$33))&lt;='Вводные'!$B$77*12),AK36*AK43*'Вводные'!$B$78/12,0)),0)</x:f>
      </x:c>
      <x:c r="AL39" s="117" t="n">
        <x:f>IF(AND('Вводные'!$B$75&lt;&gt;"Единовременно",'Вводные'!$B$80="Да",AL36&gt;0),IF(AND('Вводные'!$B$84="Да",YEAR(AL$3)=YEAR($B$34),MONTH(AL$3)=MONTH($B$34)),AL36*AL43/12,IF(AND((12*(YEAR(AL$3)-YEAR($B$33))+MONTH(AL$3)-MONTH($B$33))&gt;0,MOD((12*(YEAR(AL$3)-YEAR($B$33))+MONTH(AL$3)-MONTH($B$33)),'Вводные'!$B$78)=0,(12*(YEAR(AL$3)-YEAR($B$33))+MONTH(AL$3)-MONTH($B$33))&lt;='Вводные'!$B$77*12),AL36*AL43*'Вводные'!$B$78/12,0)),0)</x:f>
      </x:c>
      <x:c r="AM39" s="117" t="n">
        <x:f>IF(AND('Вводные'!$B$75&lt;&gt;"Единовременно",'Вводные'!$B$80="Да",AM36&gt;0),IF(AND('Вводные'!$B$84="Да",YEAR(AM$3)=YEAR($B$34),MONTH(AM$3)=MONTH($B$34)),AM36*AM43/12,IF(AND((12*(YEAR(AM$3)-YEAR($B$33))+MONTH(AM$3)-MONTH($B$33))&gt;0,MOD((12*(YEAR(AM$3)-YEAR($B$33))+MONTH(AM$3)-MONTH($B$33)),'Вводные'!$B$78)=0,(12*(YEAR(AM$3)-YEAR($B$33))+MONTH(AM$3)-MONTH($B$33))&lt;='Вводные'!$B$77*12),AM36*AM43*'Вводные'!$B$78/12,0)),0)</x:f>
      </x:c>
      <x:c r="AN39" s="117" t="n">
        <x:f>IF(AND('Вводные'!$B$75&lt;&gt;"Единовременно",'Вводные'!$B$80="Да",AN36&gt;0),IF(AND('Вводные'!$B$84="Да",YEAR(AN$3)=YEAR($B$34),MONTH(AN$3)=MONTH($B$34)),AN36*AN43/12,IF(AND((12*(YEAR(AN$3)-YEAR($B$33))+MONTH(AN$3)-MONTH($B$33))&gt;0,MOD((12*(YEAR(AN$3)-YEAR($B$33))+MONTH(AN$3)-MONTH($B$33)),'Вводные'!$B$78)=0,(12*(YEAR(AN$3)-YEAR($B$33))+MONTH(AN$3)-MONTH($B$33))&lt;='Вводные'!$B$77*12),AN36*AN43*'Вводные'!$B$78/12,0)),0)</x:f>
      </x:c>
      <x:c r="AO39" s="117" t="n">
        <x:f>IF(AND('Вводные'!$B$75&lt;&gt;"Единовременно",'Вводные'!$B$80="Да",AO36&gt;0),IF(AND('Вводные'!$B$84="Да",YEAR(AO$3)=YEAR($B$34),MONTH(AO$3)=MONTH($B$34)),AO36*AO43/12,IF(AND((12*(YEAR(AO$3)-YEAR($B$33))+MONTH(AO$3)-MONTH($B$33))&gt;0,MOD((12*(YEAR(AO$3)-YEAR($B$33))+MONTH(AO$3)-MONTH($B$33)),'Вводные'!$B$78)=0,(12*(YEAR(AO$3)-YEAR($B$33))+MONTH(AO$3)-MONTH($B$33))&lt;='Вводные'!$B$77*12),AO36*AO43*'Вводные'!$B$78/12,0)),0)</x:f>
      </x:c>
      <x:c r="AP39" s="117" t="n">
        <x:f>IF(AND('Вводные'!$B$75&lt;&gt;"Единовременно",'Вводные'!$B$80="Да",AP36&gt;0),IF(AND('Вводные'!$B$84="Да",YEAR(AP$3)=YEAR($B$34),MONTH(AP$3)=MONTH($B$34)),AP36*AP43/12,IF(AND((12*(YEAR(AP$3)-YEAR($B$33))+MONTH(AP$3)-MONTH($B$33))&gt;0,MOD((12*(YEAR(AP$3)-YEAR($B$33))+MONTH(AP$3)-MONTH($B$33)),'Вводные'!$B$78)=0,(12*(YEAR(AP$3)-YEAR($B$33))+MONTH(AP$3)-MONTH($B$33))&lt;='Вводные'!$B$77*12),AP36*AP43*'Вводные'!$B$78/12,0)),0)</x:f>
      </x:c>
      <x:c r="AQ39" s="117" t="n">
        <x:f>IF(AND('Вводные'!$B$75&lt;&gt;"Единовременно",'Вводные'!$B$80="Да",AQ36&gt;0),IF(AND('Вводные'!$B$84="Да",YEAR(AQ$3)=YEAR($B$34),MONTH(AQ$3)=MONTH($B$34)),AQ36*AQ43/12,IF(AND((12*(YEAR(AQ$3)-YEAR($B$33))+MONTH(AQ$3)-MONTH($B$33))&gt;0,MOD((12*(YEAR(AQ$3)-YEAR($B$33))+MONTH(AQ$3)-MONTH($B$33)),'Вводные'!$B$78)=0,(12*(YEAR(AQ$3)-YEAR($B$33))+MONTH(AQ$3)-MONTH($B$33))&lt;='Вводные'!$B$77*12),AQ36*AQ43*'Вводные'!$B$78/12,0)),0)</x:f>
      </x:c>
      <x:c r="AR39" s="117" t="n">
        <x:f>IF(AND('Вводные'!$B$75&lt;&gt;"Единовременно",'Вводные'!$B$80="Да",AR36&gt;0),IF(AND('Вводные'!$B$84="Да",YEAR(AR$3)=YEAR($B$34),MONTH(AR$3)=MONTH($B$34)),AR36*AR43/12,IF(AND((12*(YEAR(AR$3)-YEAR($B$33))+MONTH(AR$3)-MONTH($B$33))&gt;0,MOD((12*(YEAR(AR$3)-YEAR($B$33))+MONTH(AR$3)-MONTH($B$33)),'Вводные'!$B$78)=0,(12*(YEAR(AR$3)-YEAR($B$33))+MONTH(AR$3)-MONTH($B$33))&lt;='Вводные'!$B$77*12),AR36*AR43*'Вводные'!$B$78/12,0)),0)</x:f>
      </x:c>
      <x:c r="AS39" s="117" t="n">
        <x:f>IF(AND('Вводные'!$B$75&lt;&gt;"Единовременно",'Вводные'!$B$80="Да",AS36&gt;0),IF(AND('Вводные'!$B$84="Да",YEAR(AS$3)=YEAR($B$34),MONTH(AS$3)=MONTH($B$34)),AS36*AS43/12,IF(AND((12*(YEAR(AS$3)-YEAR($B$33))+MONTH(AS$3)-MONTH($B$33))&gt;0,MOD((12*(YEAR(AS$3)-YEAR($B$33))+MONTH(AS$3)-MONTH($B$33)),'Вводные'!$B$78)=0,(12*(YEAR(AS$3)-YEAR($B$33))+MONTH(AS$3)-MONTH($B$33))&lt;='Вводные'!$B$77*12),AS36*AS43*'Вводные'!$B$78/12,0)),0)</x:f>
      </x:c>
      <x:c r="AT39" s="117" t="n">
        <x:f>IF(AND('Вводные'!$B$75&lt;&gt;"Единовременно",'Вводные'!$B$80="Да",AT36&gt;0),IF(AND('Вводные'!$B$84="Да",YEAR(AT$3)=YEAR($B$34),MONTH(AT$3)=MONTH($B$34)),AT36*AT43/12,IF(AND((12*(YEAR(AT$3)-YEAR($B$33))+MONTH(AT$3)-MONTH($B$33))&gt;0,MOD((12*(YEAR(AT$3)-YEAR($B$33))+MONTH(AT$3)-MONTH($B$33)),'Вводные'!$B$78)=0,(12*(YEAR(AT$3)-YEAR($B$33))+MONTH(AT$3)-MONTH($B$33))&lt;='Вводные'!$B$77*12),AT36*AT43*'Вводные'!$B$78/12,0)),0)</x:f>
      </x:c>
      <x:c r="AU39" s="117" t="n">
        <x:f>IF(AND('Вводные'!$B$75&lt;&gt;"Единовременно",'Вводные'!$B$80="Да",AU36&gt;0),IF(AND('Вводные'!$B$84="Да",YEAR(AU$3)=YEAR($B$34),MONTH(AU$3)=MONTH($B$34)),AU36*AU43/12,IF(AND((12*(YEAR(AU$3)-YEAR($B$33))+MONTH(AU$3)-MONTH($B$33))&gt;0,MOD((12*(YEAR(AU$3)-YEAR($B$33))+MONTH(AU$3)-MONTH($B$33)),'Вводные'!$B$78)=0,(12*(YEAR(AU$3)-YEAR($B$33))+MONTH(AU$3)-MONTH($B$33))&lt;='Вводные'!$B$77*12),AU36*AU43*'Вводные'!$B$78/12,0)),0)</x:f>
      </x:c>
      <x:c r="AV39" s="117" t="n">
        <x:f>IF(AND('Вводные'!$B$75&lt;&gt;"Единовременно",'Вводные'!$B$80="Да",AV36&gt;0),IF(AND('Вводные'!$B$84="Да",YEAR(AV$3)=YEAR($B$34),MONTH(AV$3)=MONTH($B$34)),AV36*AV43/12,IF(AND((12*(YEAR(AV$3)-YEAR($B$33))+MONTH(AV$3)-MONTH($B$33))&gt;0,MOD((12*(YEAR(AV$3)-YEAR($B$33))+MONTH(AV$3)-MONTH($B$33)),'Вводные'!$B$78)=0,(12*(YEAR(AV$3)-YEAR($B$33))+MONTH(AV$3)-MONTH($B$33))&lt;='Вводные'!$B$77*12),AV36*AV43*'Вводные'!$B$78/12,0)),0)</x:f>
      </x:c>
      <x:c r="AW39" s="117" t="n">
        <x:f>IF(AND('Вводные'!$B$75&lt;&gt;"Единовременно",'Вводные'!$B$80="Да",AW36&gt;0),IF(AND('Вводные'!$B$84="Да",YEAR(AW$3)=YEAR($B$34),MONTH(AW$3)=MONTH($B$34)),AW36*AW43/12,IF(AND((12*(YEAR(AW$3)-YEAR($B$33))+MONTH(AW$3)-MONTH($B$33))&gt;0,MOD((12*(YEAR(AW$3)-YEAR($B$33))+MONTH(AW$3)-MONTH($B$33)),'Вводные'!$B$78)=0,(12*(YEAR(AW$3)-YEAR($B$33))+MONTH(AW$3)-MONTH($B$33))&lt;='Вводные'!$B$77*12),AW36*AW43*'Вводные'!$B$78/12,0)),0)</x:f>
      </x:c>
      <x:c r="AX39" s="117" t="n">
        <x:f>IF(AND('Вводные'!$B$75&lt;&gt;"Единовременно",'Вводные'!$B$80="Да",AX36&gt;0),IF(AND('Вводные'!$B$84="Да",YEAR(AX$3)=YEAR($B$34),MONTH(AX$3)=MONTH($B$34)),AX36*AX43/12,IF(AND((12*(YEAR(AX$3)-YEAR($B$33))+MONTH(AX$3)-MONTH($B$33))&gt;0,MOD((12*(YEAR(AX$3)-YEAR($B$33))+MONTH(AX$3)-MONTH($B$33)),'Вводные'!$B$78)=0,(12*(YEAR(AX$3)-YEAR($B$33))+MONTH(AX$3)-MONTH($B$33))&lt;='Вводные'!$B$77*12),AX36*AX43*'Вводные'!$B$78/12,0)),0)</x:f>
      </x:c>
      <x:c r="AY39" s="117" t="n">
        <x:f>IF(AND('Вводные'!$B$75&lt;&gt;"Единовременно",'Вводные'!$B$80="Да",AY36&gt;0),IF(AND('Вводные'!$B$84="Да",YEAR(AY$3)=YEAR($B$34),MONTH(AY$3)=MONTH($B$34)),AY36*AY43/12,IF(AND((12*(YEAR(AY$3)-YEAR($B$33))+MONTH(AY$3)-MONTH($B$33))&gt;0,MOD((12*(YEAR(AY$3)-YEAR($B$33))+MONTH(AY$3)-MONTH($B$33)),'Вводные'!$B$78)=0,(12*(YEAR(AY$3)-YEAR($B$33))+MONTH(AY$3)-MONTH($B$33))&lt;='Вводные'!$B$77*12),AY36*AY43*'Вводные'!$B$78/12,0)),0)</x:f>
      </x:c>
      <x:c r="AZ39" s="117" t="n">
        <x:f>IF(AND('Вводные'!$B$75&lt;&gt;"Единовременно",'Вводные'!$B$80="Да",AZ36&gt;0),IF(AND('Вводные'!$B$84="Да",YEAR(AZ$3)=YEAR($B$34),MONTH(AZ$3)=MONTH($B$34)),AZ36*AZ43/12,IF(AND((12*(YEAR(AZ$3)-YEAR($B$33))+MONTH(AZ$3)-MONTH($B$33))&gt;0,MOD((12*(YEAR(AZ$3)-YEAR($B$33))+MONTH(AZ$3)-MONTH($B$33)),'Вводные'!$B$78)=0,(12*(YEAR(AZ$3)-YEAR($B$33))+MONTH(AZ$3)-MONTH($B$33))&lt;='Вводные'!$B$77*12),AZ36*AZ43*'Вводные'!$B$78/12,0)),0)</x:f>
      </x:c>
      <x:c r="BA39" s="117" t="n">
        <x:f>IF(AND('Вводные'!$B$75&lt;&gt;"Единовременно",'Вводные'!$B$80="Да",BA36&gt;0),IF(AND('Вводные'!$B$84="Да",YEAR(BA$3)=YEAR($B$34),MONTH(BA$3)=MONTH($B$34)),BA36*BA43/12,IF(AND((12*(YEAR(BA$3)-YEAR($B$33))+MONTH(BA$3)-MONTH($B$33))&gt;0,MOD((12*(YEAR(BA$3)-YEAR($B$33))+MONTH(BA$3)-MONTH($B$33)),'Вводные'!$B$78)=0,(12*(YEAR(BA$3)-YEAR($B$33))+MONTH(BA$3)-MONTH($B$33))&lt;='Вводные'!$B$77*12),BA36*BA43*'Вводные'!$B$78/12,0)),0)</x:f>
      </x:c>
      <x:c r="BB39" s="117" t="n">
        <x:f>IF(AND('Вводные'!$B$75&lt;&gt;"Единовременно",'Вводные'!$B$80="Да",BB36&gt;0),IF(AND('Вводные'!$B$84="Да",YEAR(BB$3)=YEAR($B$34),MONTH(BB$3)=MONTH($B$34)),BB36*BB43/12,IF(AND((12*(YEAR(BB$3)-YEAR($B$33))+MONTH(BB$3)-MONTH($B$33))&gt;0,MOD((12*(YEAR(BB$3)-YEAR($B$33))+MONTH(BB$3)-MONTH($B$33)),'Вводные'!$B$78)=0,(12*(YEAR(BB$3)-YEAR($B$33))+MONTH(BB$3)-MONTH($B$33))&lt;='Вводные'!$B$77*12),BB36*BB43*'Вводные'!$B$78/12,0)),0)</x:f>
      </x:c>
      <x:c r="BC39" s="117" t="n">
        <x:f>IF(AND('Вводные'!$B$75&lt;&gt;"Единовременно",'Вводные'!$B$80="Да",BC36&gt;0),IF(AND('Вводные'!$B$84="Да",YEAR(BC$3)=YEAR($B$34),MONTH(BC$3)=MONTH($B$34)),BC36*BC43/12,IF(AND((12*(YEAR(BC$3)-YEAR($B$33))+MONTH(BC$3)-MONTH($B$33))&gt;0,MOD((12*(YEAR(BC$3)-YEAR($B$33))+MONTH(BC$3)-MONTH($B$33)),'Вводные'!$B$78)=0,(12*(YEAR(BC$3)-YEAR($B$33))+MONTH(BC$3)-MONTH($B$33))&lt;='Вводные'!$B$77*12),BC36*BC43*'Вводные'!$B$78/12,0)),0)</x:f>
      </x:c>
      <x:c r="BD39" s="117" t="n">
        <x:f>IF(AND('Вводные'!$B$75&lt;&gt;"Единовременно",'Вводные'!$B$80="Да",BD36&gt;0),IF(AND('Вводные'!$B$84="Да",YEAR(BD$3)=YEAR($B$34),MONTH(BD$3)=MONTH($B$34)),BD36*BD43/12,IF(AND((12*(YEAR(BD$3)-YEAR($B$33))+MONTH(BD$3)-MONTH($B$33))&gt;0,MOD((12*(YEAR(BD$3)-YEAR($B$33))+MONTH(BD$3)-MONTH($B$33)),'Вводные'!$B$78)=0,(12*(YEAR(BD$3)-YEAR($B$33))+MONTH(BD$3)-MONTH($B$33))&lt;='Вводные'!$B$77*12),BD36*BD43*'Вводные'!$B$78/12,0)),0)</x:f>
      </x:c>
      <x:c r="BE39" s="117" t="n">
        <x:f>IF(AND('Вводные'!$B$75&lt;&gt;"Единовременно",'Вводные'!$B$80="Да",BE36&gt;0),IF(AND('Вводные'!$B$84="Да",YEAR(BE$3)=YEAR($B$34),MONTH(BE$3)=MONTH($B$34)),BE36*BE43/12,IF(AND((12*(YEAR(BE$3)-YEAR($B$33))+MONTH(BE$3)-MONTH($B$33))&gt;0,MOD((12*(YEAR(BE$3)-YEAR($B$33))+MONTH(BE$3)-MONTH($B$33)),'Вводные'!$B$78)=0,(12*(YEAR(BE$3)-YEAR($B$33))+MONTH(BE$3)-MONTH($B$33))&lt;='Вводные'!$B$77*12),BE36*BE43*'Вводные'!$B$78/12,0)),0)</x:f>
      </x:c>
      <x:c r="BF39" s="117" t="n">
        <x:f>IF(AND('Вводные'!$B$75&lt;&gt;"Единовременно",'Вводные'!$B$80="Да",BF36&gt;0),IF(AND('Вводные'!$B$84="Да",YEAR(BF$3)=YEAR($B$34),MONTH(BF$3)=MONTH($B$34)),BF36*BF43/12,IF(AND((12*(YEAR(BF$3)-YEAR($B$33))+MONTH(BF$3)-MONTH($B$33))&gt;0,MOD((12*(YEAR(BF$3)-YEAR($B$33))+MONTH(BF$3)-MONTH($B$33)),'Вводные'!$B$78)=0,(12*(YEAR(BF$3)-YEAR($B$33))+MONTH(BF$3)-MONTH($B$33))&lt;='Вводные'!$B$77*12),BF36*BF43*'Вводные'!$B$78/12,0)),0)</x:f>
      </x:c>
      <x:c r="BG39" s="117" t="n">
        <x:f>IF(AND('Вводные'!$B$75&lt;&gt;"Единовременно",'Вводные'!$B$80="Да",BG36&gt;0),IF(AND('Вводные'!$B$84="Да",YEAR(BG$3)=YEAR($B$34),MONTH(BG$3)=MONTH($B$34)),BG36*BG43/12,IF(AND((12*(YEAR(BG$3)-YEAR($B$33))+MONTH(BG$3)-MONTH($B$33))&gt;0,MOD((12*(YEAR(BG$3)-YEAR($B$33))+MONTH(BG$3)-MONTH($B$33)),'Вводные'!$B$78)=0,(12*(YEAR(BG$3)-YEAR($B$33))+MONTH(BG$3)-MONTH($B$33))&lt;='Вводные'!$B$77*12),BG36*BG43*'Вводные'!$B$78/12,0)),0)</x:f>
      </x:c>
      <x:c r="BH39" s="117" t="n">
        <x:f>IF(AND('Вводные'!$B$75&lt;&gt;"Единовременно",'Вводные'!$B$80="Да",BH36&gt;0),IF(AND('Вводные'!$B$84="Да",YEAR(BH$3)=YEAR($B$34),MONTH(BH$3)=MONTH($B$34)),BH36*BH43/12,IF(AND((12*(YEAR(BH$3)-YEAR($B$33))+MONTH(BH$3)-MONTH($B$33))&gt;0,MOD((12*(YEAR(BH$3)-YEAR($B$33))+MONTH(BH$3)-MONTH($B$33)),'Вводные'!$B$78)=0,(12*(YEAR(BH$3)-YEAR($B$33))+MONTH(BH$3)-MONTH($B$33))&lt;='Вводные'!$B$77*12),BH36*BH43*'Вводные'!$B$78/12,0)),0)</x:f>
      </x:c>
      <x:c r="BI39" s="117" t="n">
        <x:f>IF(AND('Вводные'!$B$75&lt;&gt;"Единовременно",'Вводные'!$B$80="Да",BI36&gt;0),IF(AND('Вводные'!$B$84="Да",YEAR(BI$3)=YEAR($B$34),MONTH(BI$3)=MONTH($B$34)),BI36*BI43/12,IF(AND((12*(YEAR(BI$3)-YEAR($B$33))+MONTH(BI$3)-MONTH($B$33))&gt;0,MOD((12*(YEAR(BI$3)-YEAR($B$33))+MONTH(BI$3)-MONTH($B$33)),'Вводные'!$B$78)=0,(12*(YEAR(BI$3)-YEAR($B$33))+MONTH(BI$3)-MONTH($B$33))&lt;='Вводные'!$B$77*12),BI36*BI43*'Вводные'!$B$78/12,0)),0)</x:f>
      </x:c>
      <x:c r="BJ39" s="117" t="n">
        <x:f>IF(AND('Вводные'!$B$75&lt;&gt;"Единовременно",'Вводные'!$B$80="Да",BJ36&gt;0),IF(AND('Вводные'!$B$84="Да",YEAR(BJ$3)=YEAR($B$34),MONTH(BJ$3)=MONTH($B$34)),BJ36*BJ43/12,IF(AND((12*(YEAR(BJ$3)-YEAR($B$33))+MONTH(BJ$3)-MONTH($B$33))&gt;0,MOD((12*(YEAR(BJ$3)-YEAR($B$33))+MONTH(BJ$3)-MONTH($B$33)),'Вводные'!$B$78)=0,(12*(YEAR(BJ$3)-YEAR($B$33))+MONTH(BJ$3)-MONTH($B$33))&lt;='Вводные'!$B$77*12),BJ36*BJ43*'Вводные'!$B$78/12,0)),0)</x:f>
      </x:c>
      <x:c r="BK39" s="117" t="n">
        <x:f>IF(AND('Вводные'!$B$75&lt;&gt;"Единовременно",'Вводные'!$B$80="Да",BK36&gt;0),IF(AND('Вводные'!$B$84="Да",YEAR(BK$3)=YEAR($B$34),MONTH(BK$3)=MONTH($B$34)),BK36*BK43/12,IF(AND((12*(YEAR(BK$3)-YEAR($B$33))+MONTH(BK$3)-MONTH($B$33))&gt;0,MOD((12*(YEAR(BK$3)-YEAR($B$33))+MONTH(BK$3)-MONTH($B$33)),'Вводные'!$B$78)=0,(12*(YEAR(BK$3)-YEAR($B$33))+MONTH(BK$3)-MONTH($B$33))&lt;='Вводные'!$B$77*12),BK36*BK43*'Вводные'!$B$78/12,0)),0)</x:f>
      </x:c>
      <x:c r="BL39" s="117" t="n">
        <x:f>IF(AND('Вводные'!$B$75&lt;&gt;"Единовременно",'Вводные'!$B$80="Да",BL36&gt;0),IF(AND('Вводные'!$B$84="Да",YEAR(BL$3)=YEAR($B$34),MONTH(BL$3)=MONTH($B$34)),BL36*BL43/12,IF(AND((12*(YEAR(BL$3)-YEAR($B$33))+MONTH(BL$3)-MONTH($B$33))&gt;0,MOD((12*(YEAR(BL$3)-YEAR($B$33))+MONTH(BL$3)-MONTH($B$33)),'Вводные'!$B$78)=0,(12*(YEAR(BL$3)-YEAR($B$33))+MONTH(BL$3)-MONTH($B$33))&lt;='Вводные'!$B$77*12),BL36*BL43*'Вводные'!$B$78/12,0)),0)</x:f>
      </x:c>
      <x:c r="BM39" s="117" t="n">
        <x:f>IF(AND('Вводные'!$B$75&lt;&gt;"Единовременно",'Вводные'!$B$80="Да",BM36&gt;0),IF(AND('Вводные'!$B$84="Да",YEAR(BM$3)=YEAR($B$34),MONTH(BM$3)=MONTH($B$34)),BM36*BM43/12,IF(AND((12*(YEAR(BM$3)-YEAR($B$33))+MONTH(BM$3)-MONTH($B$33))&gt;0,MOD((12*(YEAR(BM$3)-YEAR($B$33))+MONTH(BM$3)-MONTH($B$33)),'Вводные'!$B$78)=0,(12*(YEAR(BM$3)-YEAR($B$33))+MONTH(BM$3)-MONTH($B$33))&lt;='Вводные'!$B$77*12),BM36*BM43*'Вводные'!$B$78/12,0)),0)</x:f>
      </x:c>
      <x:c r="BN39" s="117" t="n">
        <x:f>IF(AND('Вводные'!$B$75&lt;&gt;"Единовременно",'Вводные'!$B$80="Да",BN36&gt;0),IF(AND('Вводные'!$B$84="Да",YEAR(BN$3)=YEAR($B$34),MONTH(BN$3)=MONTH($B$34)),BN36*BN43/12,IF(AND((12*(YEAR(BN$3)-YEAR($B$33))+MONTH(BN$3)-MONTH($B$33))&gt;0,MOD((12*(YEAR(BN$3)-YEAR($B$33))+MONTH(BN$3)-MONTH($B$33)),'Вводные'!$B$78)=0,(12*(YEAR(BN$3)-YEAR($B$33))+MONTH(BN$3)-MONTH($B$33))&lt;='Вводные'!$B$77*12),BN36*BN43*'Вводные'!$B$78/12,0)),0)</x:f>
      </x:c>
      <x:c r="BO39" s="117" t="n">
        <x:f>IF(AND('Вводные'!$B$75&lt;&gt;"Единовременно",'Вводные'!$B$80="Да",BO36&gt;0),IF(AND('Вводные'!$B$84="Да",YEAR(BO$3)=YEAR($B$34),MONTH(BO$3)=MONTH($B$34)),BO36*BO43/12,IF(AND((12*(YEAR(BO$3)-YEAR($B$33))+MONTH(BO$3)-MONTH($B$33))&gt;0,MOD((12*(YEAR(BO$3)-YEAR($B$33))+MONTH(BO$3)-MONTH($B$33)),'Вводные'!$B$78)=0,(12*(YEAR(BO$3)-YEAR($B$33))+MONTH(BO$3)-MONTH($B$33))&lt;='Вводные'!$B$77*12),BO36*BO43*'Вводные'!$B$78/12,0)),0)</x:f>
      </x:c>
      <x:c r="BP39" s="117" t="n">
        <x:f>IF(AND('Вводные'!$B$75&lt;&gt;"Единовременно",'Вводные'!$B$80="Да",BP36&gt;0),IF(AND('Вводные'!$B$84="Да",YEAR(BP$3)=YEAR($B$34),MONTH(BP$3)=MONTH($B$34)),BP36*BP43/12,IF(AND((12*(YEAR(BP$3)-YEAR($B$33))+MONTH(BP$3)-MONTH($B$33))&gt;0,MOD((12*(YEAR(BP$3)-YEAR($B$33))+MONTH(BP$3)-MONTH($B$33)),'Вводные'!$B$78)=0,(12*(YEAR(BP$3)-YEAR($B$33))+MONTH(BP$3)-MONTH($B$33))&lt;='Вводные'!$B$77*12),BP36*BP43*'Вводные'!$B$78/12,0)),0)</x:f>
      </x:c>
      <x:c r="BQ39" s="117" t="n">
        <x:f>IF(AND('Вводные'!$B$75&lt;&gt;"Единовременно",'Вводные'!$B$80="Да",BQ36&gt;0),IF(AND('Вводные'!$B$84="Да",YEAR(BQ$3)=YEAR($B$34),MONTH(BQ$3)=MONTH($B$34)),BQ36*BQ43/12,IF(AND((12*(YEAR(BQ$3)-YEAR($B$33))+MONTH(BQ$3)-MONTH($B$33))&gt;0,MOD((12*(YEAR(BQ$3)-YEAR($B$33))+MONTH(BQ$3)-MONTH($B$33)),'Вводные'!$B$78)=0,(12*(YEAR(BQ$3)-YEAR($B$33))+MONTH(BQ$3)-MONTH($B$33))&lt;='Вводные'!$B$77*12),BQ36*BQ43*'Вводные'!$B$78/12,0)),0)</x:f>
      </x:c>
      <x:c r="BR39" s="117" t="n">
        <x:f>IF(AND('Вводные'!$B$75&lt;&gt;"Единовременно",'Вводные'!$B$80="Да",BR36&gt;0),IF(AND('Вводные'!$B$84="Да",YEAR(BR$3)=YEAR($B$34),MONTH(BR$3)=MONTH($B$34)),BR36*BR43/12,IF(AND((12*(YEAR(BR$3)-YEAR($B$33))+MONTH(BR$3)-MONTH($B$33))&gt;0,MOD((12*(YEAR(BR$3)-YEAR($B$33))+MONTH(BR$3)-MONTH($B$33)),'Вводные'!$B$78)=0,(12*(YEAR(BR$3)-YEAR($B$33))+MONTH(BR$3)-MONTH($B$33))&lt;='Вводные'!$B$77*12),BR36*BR43*'Вводные'!$B$78/12,0)),0)</x:f>
      </x:c>
      <x:c r="BS39" s="117" t="n">
        <x:f>IF(AND('Вводные'!$B$75&lt;&gt;"Единовременно",'Вводные'!$B$80="Да",BS36&gt;0),IF(AND('Вводные'!$B$84="Да",YEAR(BS$3)=YEAR($B$34),MONTH(BS$3)=MONTH($B$34)),BS36*BS43/12,IF(AND((12*(YEAR(BS$3)-YEAR($B$33))+MONTH(BS$3)-MONTH($B$33))&gt;0,MOD((12*(YEAR(BS$3)-YEAR($B$33))+MONTH(BS$3)-MONTH($B$33)),'Вводные'!$B$78)=0,(12*(YEAR(BS$3)-YEAR($B$33))+MONTH(BS$3)-MONTH($B$33))&lt;='Вводные'!$B$77*12),BS36*BS43*'Вводные'!$B$78/12,0)),0)</x:f>
      </x:c>
      <x:c r="BT39" s="117" t="n">
        <x:f>IF(AND('Вводные'!$B$75&lt;&gt;"Единовременно",'Вводные'!$B$80="Да",BT36&gt;0),IF(AND('Вводные'!$B$84="Да",YEAR(BT$3)=YEAR($B$34),MONTH(BT$3)=MONTH($B$34)),BT36*BT43/12,IF(AND((12*(YEAR(BT$3)-YEAR($B$33))+MONTH(BT$3)-MONTH($B$33))&gt;0,MOD((12*(YEAR(BT$3)-YEAR($B$33))+MONTH(BT$3)-MONTH($B$33)),'Вводные'!$B$78)=0,(12*(YEAR(BT$3)-YEAR($B$33))+MONTH(BT$3)-MONTH($B$33))&lt;='Вводные'!$B$77*12),BT36*BT43*'Вводные'!$B$78/12,0)),0)</x:f>
      </x:c>
      <x:c r="BU39" s="117" t="n">
        <x:f>IF(AND('Вводные'!$B$75&lt;&gt;"Единовременно",'Вводные'!$B$80="Да",BU36&gt;0),IF(AND('Вводные'!$B$84="Да",YEAR(BU$3)=YEAR($B$34),MONTH(BU$3)=MONTH($B$34)),BU36*BU43/12,IF(AND((12*(YEAR(BU$3)-YEAR($B$33))+MONTH(BU$3)-MONTH($B$33))&gt;0,MOD((12*(YEAR(BU$3)-YEAR($B$33))+MONTH(BU$3)-MONTH($B$33)),'Вводные'!$B$78)=0,(12*(YEAR(BU$3)-YEAR($B$33))+MONTH(BU$3)-MONTH($B$33))&lt;='Вводные'!$B$77*12),BU36*BU43*'Вводные'!$B$78/12,0)),0)</x:f>
      </x:c>
      <x:c r="BV39" s="117" t="n">
        <x:f>IF(AND('Вводные'!$B$75&lt;&gt;"Единовременно",'Вводные'!$B$80="Да",BV36&gt;0),IF(AND('Вводные'!$B$84="Да",YEAR(BV$3)=YEAR($B$34),MONTH(BV$3)=MONTH($B$34)),BV36*BV43/12,IF(AND((12*(YEAR(BV$3)-YEAR($B$33))+MONTH(BV$3)-MONTH($B$33))&gt;0,MOD((12*(YEAR(BV$3)-YEAR($B$33))+MONTH(BV$3)-MONTH($B$33)),'Вводные'!$B$78)=0,(12*(YEAR(BV$3)-YEAR($B$33))+MONTH(BV$3)-MONTH($B$33))&lt;='Вводные'!$B$77*12),BV36*BV43*'Вводные'!$B$78/12,0)),0)</x:f>
      </x:c>
      <x:c r="BW39" s="117" t="n">
        <x:f>IF(AND('Вводные'!$B$75&lt;&gt;"Единовременно",'Вводные'!$B$80="Да",BW36&gt;0),IF(AND('Вводные'!$B$84="Да",YEAR(BW$3)=YEAR($B$34),MONTH(BW$3)=MONTH($B$34)),BW36*BW43/12,IF(AND((12*(YEAR(BW$3)-YEAR($B$33))+MONTH(BW$3)-MONTH($B$33))&gt;0,MOD((12*(YEAR(BW$3)-YEAR($B$33))+MONTH(BW$3)-MONTH($B$33)),'Вводные'!$B$78)=0,(12*(YEAR(BW$3)-YEAR($B$33))+MONTH(BW$3)-MONTH($B$33))&lt;='Вводные'!$B$77*12),BW36*BW43*'Вводные'!$B$78/12,0)),0)</x:f>
      </x:c>
      <x:c r="BX39" s="117" t="n">
        <x:f>IF(AND('Вводные'!$B$75&lt;&gt;"Единовременно",'Вводные'!$B$80="Да",BX36&gt;0),IF(AND('Вводные'!$B$84="Да",YEAR(BX$3)=YEAR($B$34),MONTH(BX$3)=MONTH($B$34)),BX36*BX43/12,IF(AND((12*(YEAR(BX$3)-YEAR($B$33))+MONTH(BX$3)-MONTH($B$33))&gt;0,MOD((12*(YEAR(BX$3)-YEAR($B$33))+MONTH(BX$3)-MONTH($B$33)),'Вводные'!$B$78)=0,(12*(YEAR(BX$3)-YEAR($B$33))+MONTH(BX$3)-MONTH($B$33))&lt;='Вводные'!$B$77*12),BX36*BX43*'Вводные'!$B$78/12,0)),0)</x:f>
      </x:c>
      <x:c r="BY39" s="117" t="n">
        <x:f>IF(AND('Вводные'!$B$75&lt;&gt;"Единовременно",'Вводные'!$B$80="Да",BY36&gt;0),IF(AND('Вводные'!$B$84="Да",YEAR(BY$3)=YEAR($B$34),MONTH(BY$3)=MONTH($B$34)),BY36*BY43/12,IF(AND((12*(YEAR(BY$3)-YEAR($B$33))+MONTH(BY$3)-MONTH($B$33))&gt;0,MOD((12*(YEAR(BY$3)-YEAR($B$33))+MONTH(BY$3)-MONTH($B$33)),'Вводные'!$B$78)=0,(12*(YEAR(BY$3)-YEAR($B$33))+MONTH(BY$3)-MONTH($B$33))&lt;='Вводные'!$B$77*12),BY36*BY43*'Вводные'!$B$78/12,0)),0)</x:f>
      </x:c>
      <x:c r="BZ39" s="117" t="n">
        <x:f>IF(AND('Вводные'!$B$75&lt;&gt;"Единовременно",'Вводные'!$B$80="Да",BZ36&gt;0),IF(AND('Вводные'!$B$84="Да",YEAR(BZ$3)=YEAR($B$34),MONTH(BZ$3)=MONTH($B$34)),BZ36*BZ43/12,IF(AND((12*(YEAR(BZ$3)-YEAR($B$33))+MONTH(BZ$3)-MONTH($B$33))&gt;0,MOD((12*(YEAR(BZ$3)-YEAR($B$33))+MONTH(BZ$3)-MONTH($B$33)),'Вводные'!$B$78)=0,(12*(YEAR(BZ$3)-YEAR($B$33))+MONTH(BZ$3)-MONTH($B$33))&lt;='Вводные'!$B$77*12),BZ36*BZ43*'Вводные'!$B$78/12,0)),0)</x:f>
      </x:c>
      <x:c r="CA39" s="117" t="n">
        <x:f>IF(AND('Вводные'!$B$75&lt;&gt;"Единовременно",'Вводные'!$B$80="Да",CA36&gt;0),IF(AND('Вводные'!$B$84="Да",YEAR(CA$3)=YEAR($B$34),MONTH(CA$3)=MONTH($B$34)),CA36*CA43/12,IF(AND((12*(YEAR(CA$3)-YEAR($B$33))+MONTH(CA$3)-MONTH($B$33))&gt;0,MOD((12*(YEAR(CA$3)-YEAR($B$33))+MONTH(CA$3)-MONTH($B$33)),'Вводные'!$B$78)=0,(12*(YEAR(CA$3)-YEAR($B$33))+MONTH(CA$3)-MONTH($B$33))&lt;='Вводные'!$B$77*12),CA36*CA43*'Вводные'!$B$78/12,0)),0)</x:f>
      </x:c>
      <x:c r="CB39" s="117" t="n">
        <x:f>IF(AND('Вводные'!$B$75&lt;&gt;"Единовременно",'Вводные'!$B$80="Да",CB36&gt;0),IF(AND('Вводные'!$B$84="Да",YEAR(CB$3)=YEAR($B$34),MONTH(CB$3)=MONTH($B$34)),CB36*CB43/12,IF(AND((12*(YEAR(CB$3)-YEAR($B$33))+MONTH(CB$3)-MONTH($B$33))&gt;0,MOD((12*(YEAR(CB$3)-YEAR($B$33))+MONTH(CB$3)-MONTH($B$33)),'Вводные'!$B$78)=0,(12*(YEAR(CB$3)-YEAR($B$33))+MONTH(CB$3)-MONTH($B$33))&lt;='Вводные'!$B$77*12),CB36*CB43*'Вводные'!$B$78/12,0)),0)</x:f>
      </x:c>
      <x:c r="CC39" s="117" t="n">
        <x:f>IF(AND('Вводные'!$B$75&lt;&gt;"Единовременно",'Вводные'!$B$80="Да",CC36&gt;0),IF(AND('Вводные'!$B$84="Да",YEAR(CC$3)=YEAR($B$34),MONTH(CC$3)=MONTH($B$34)),CC36*CC43/12,IF(AND((12*(YEAR(CC$3)-YEAR($B$33))+MONTH(CC$3)-MONTH($B$33))&gt;0,MOD((12*(YEAR(CC$3)-YEAR($B$33))+MONTH(CC$3)-MONTH($B$33)),'Вводные'!$B$78)=0,(12*(YEAR(CC$3)-YEAR($B$33))+MONTH(CC$3)-MONTH($B$33))&lt;='Вводные'!$B$77*12),CC36*CC43*'Вводные'!$B$78/12,0)),0)</x:f>
      </x:c>
      <x:c r="CD39" s="117" t="n">
        <x:f>IF(AND('Вводные'!$B$75&lt;&gt;"Единовременно",'Вводные'!$B$80="Да",CD36&gt;0),IF(AND('Вводные'!$B$84="Да",YEAR(CD$3)=YEAR($B$34),MONTH(CD$3)=MONTH($B$34)),CD36*CD43/12,IF(AND((12*(YEAR(CD$3)-YEAR($B$33))+MONTH(CD$3)-MONTH($B$33))&gt;0,MOD((12*(YEAR(CD$3)-YEAR($B$33))+MONTH(CD$3)-MONTH($B$33)),'Вводные'!$B$78)=0,(12*(YEAR(CD$3)-YEAR($B$33))+MONTH(CD$3)-MONTH($B$33))&lt;='Вводные'!$B$77*12),CD36*CD43*'Вводные'!$B$78/12,0)),0)</x:f>
      </x:c>
      <x:c r="CE39" s="117" t="n">
        <x:f>IF(AND('Вводные'!$B$75&lt;&gt;"Единовременно",'Вводные'!$B$80="Да",CE36&gt;0),IF(AND('Вводные'!$B$84="Да",YEAR(CE$3)=YEAR($B$34),MONTH(CE$3)=MONTH($B$34)),CE36*CE43/12,IF(AND((12*(YEAR(CE$3)-YEAR($B$33))+MONTH(CE$3)-MONTH($B$33))&gt;0,MOD((12*(YEAR(CE$3)-YEAR($B$33))+MONTH(CE$3)-MONTH($B$33)),'Вводные'!$B$78)=0,(12*(YEAR(CE$3)-YEAR($B$33))+MONTH(CE$3)-MONTH($B$33))&lt;='Вводные'!$B$77*12),CE36*CE43*'Вводные'!$B$78/12,0)),0)</x:f>
      </x:c>
      <x:c r="CF39" s="117" t="n">
        <x:f>IF(AND('Вводные'!$B$75&lt;&gt;"Единовременно",'Вводные'!$B$80="Да",CF36&gt;0),IF(AND('Вводные'!$B$84="Да",YEAR(CF$3)=YEAR($B$34),MONTH(CF$3)=MONTH($B$34)),CF36*CF43/12,IF(AND((12*(YEAR(CF$3)-YEAR($B$33))+MONTH(CF$3)-MONTH($B$33))&gt;0,MOD((12*(YEAR(CF$3)-YEAR($B$33))+MONTH(CF$3)-MONTH($B$33)),'Вводные'!$B$78)=0,(12*(YEAR(CF$3)-YEAR($B$33))+MONTH(CF$3)-MONTH($B$33))&lt;='Вводные'!$B$77*12),CF36*CF43*'Вводные'!$B$78/12,0)),0)</x:f>
      </x:c>
      <x:c r="CG39" s="117" t="n">
        <x:f>IF(AND('Вводные'!$B$75&lt;&gt;"Единовременно",'Вводные'!$B$80="Да",CG36&gt;0),IF(AND('Вводные'!$B$84="Да",YEAR(CG$3)=YEAR($B$34),MONTH(CG$3)=MONTH($B$34)),CG36*CG43/12,IF(AND((12*(YEAR(CG$3)-YEAR($B$33))+MONTH(CG$3)-MONTH($B$33))&gt;0,MOD((12*(YEAR(CG$3)-YEAR($B$33))+MONTH(CG$3)-MONTH($B$33)),'Вводные'!$B$78)=0,(12*(YEAR(CG$3)-YEAR($B$33))+MONTH(CG$3)-MONTH($B$33))&lt;='Вводные'!$B$77*12),CG36*CG43*'Вводные'!$B$78/12,0)),0)</x:f>
      </x:c>
      <x:c r="CH39" s="117" t="n">
        <x:f>IF(AND('Вводные'!$B$75&lt;&gt;"Единовременно",'Вводные'!$B$80="Да",CH36&gt;0),IF(AND('Вводные'!$B$84="Да",YEAR(CH$3)=YEAR($B$34),MONTH(CH$3)=MONTH($B$34)),CH36*CH43/12,IF(AND((12*(YEAR(CH$3)-YEAR($B$33))+MONTH(CH$3)-MONTH($B$33))&gt;0,MOD((12*(YEAR(CH$3)-YEAR($B$33))+MONTH(CH$3)-MONTH($B$33)),'Вводные'!$B$78)=0,(12*(YEAR(CH$3)-YEAR($B$33))+MONTH(CH$3)-MONTH($B$33))&lt;='Вводные'!$B$77*12),CH36*CH43*'Вводные'!$B$78/12,0)),0)</x:f>
      </x:c>
      <x:c r="CI39" s="117" t="n">
        <x:f>IF(AND('Вводные'!$B$75&lt;&gt;"Единовременно",'Вводные'!$B$80="Да",CI36&gt;0),IF(AND('Вводные'!$B$84="Да",YEAR(CI$3)=YEAR($B$34),MONTH(CI$3)=MONTH($B$34)),CI36*CI43/12,IF(AND((12*(YEAR(CI$3)-YEAR($B$33))+MONTH(CI$3)-MONTH($B$33))&gt;0,MOD((12*(YEAR(CI$3)-YEAR($B$33))+MONTH(CI$3)-MONTH($B$33)),'Вводные'!$B$78)=0,(12*(YEAR(CI$3)-YEAR($B$33))+MONTH(CI$3)-MONTH($B$33))&lt;='Вводные'!$B$77*12),CI36*CI43*'Вводные'!$B$78/12,0)),0)</x:f>
      </x:c>
      <x:c r="CJ39" s="117" t="n">
        <x:f>IF(AND('Вводные'!$B$75&lt;&gt;"Единовременно",'Вводные'!$B$80="Да",CJ36&gt;0),IF(AND('Вводные'!$B$84="Да",YEAR(CJ$3)=YEAR($B$34),MONTH(CJ$3)=MONTH($B$34)),CJ36*CJ43/12,IF(AND((12*(YEAR(CJ$3)-YEAR($B$33))+MONTH(CJ$3)-MONTH($B$33))&gt;0,MOD((12*(YEAR(CJ$3)-YEAR($B$33))+MONTH(CJ$3)-MONTH($B$33)),'Вводные'!$B$78)=0,(12*(YEAR(CJ$3)-YEAR($B$33))+MONTH(CJ$3)-MONTH($B$33))&lt;='Вводные'!$B$77*12),CJ36*CJ43*'Вводные'!$B$78/12,0)),0)</x:f>
      </x:c>
      <x:c r="CK39" s="117" t="n">
        <x:f>IF(AND('Вводные'!$B$75&lt;&gt;"Единовременно",'Вводные'!$B$80="Да",CK36&gt;0),IF(AND('Вводные'!$B$84="Да",YEAR(CK$3)=YEAR($B$34),MONTH(CK$3)=MONTH($B$34)),CK36*CK43/12,IF(AND((12*(YEAR(CK$3)-YEAR($B$33))+MONTH(CK$3)-MONTH($B$33))&gt;0,MOD((12*(YEAR(CK$3)-YEAR($B$33))+MONTH(CK$3)-MONTH($B$33)),'Вводные'!$B$78)=0,(12*(YEAR(CK$3)-YEAR($B$33))+MONTH(CK$3)-MONTH($B$33))&lt;='Вводные'!$B$77*12),CK36*CK43*'Вводные'!$B$78/12,0)),0)</x:f>
      </x:c>
      <x:c r="CL39" s="117" t="n">
        <x:f>IF(AND('Вводные'!$B$75&lt;&gt;"Единовременно",'Вводные'!$B$80="Да",CL36&gt;0),IF(AND('Вводные'!$B$84="Да",YEAR(CL$3)=YEAR($B$34),MONTH(CL$3)=MONTH($B$34)),CL36*CL43/12,IF(AND((12*(YEAR(CL$3)-YEAR($B$33))+MONTH(CL$3)-MONTH($B$33))&gt;0,MOD((12*(YEAR(CL$3)-YEAR($B$33))+MONTH(CL$3)-MONTH($B$33)),'Вводные'!$B$78)=0,(12*(YEAR(CL$3)-YEAR($B$33))+MONTH(CL$3)-MONTH($B$33))&lt;='Вводные'!$B$77*12),CL36*CL43*'Вводные'!$B$78/12,0)),0)</x:f>
      </x:c>
      <x:c r="CM39" s="117" t="n">
        <x:f>IF(AND('Вводные'!$B$75&lt;&gt;"Единовременно",'Вводные'!$B$80="Да",CM36&gt;0),IF(AND('Вводные'!$B$84="Да",YEAR(CM$3)=YEAR($B$34),MONTH(CM$3)=MONTH($B$34)),CM36*CM43/12,IF(AND((12*(YEAR(CM$3)-YEAR($B$33))+MONTH(CM$3)-MONTH($B$33))&gt;0,MOD((12*(YEAR(CM$3)-YEAR($B$33))+MONTH(CM$3)-MONTH($B$33)),'Вводные'!$B$78)=0,(12*(YEAR(CM$3)-YEAR($B$33))+MONTH(CM$3)-MONTH($B$33))&lt;='Вводные'!$B$77*12),CM36*CM43*'Вводные'!$B$78/12,0)),0)</x:f>
      </x:c>
      <x:c r="CN39" s="117" t="n">
        <x:f>IF(AND('Вводные'!$B$75&lt;&gt;"Единовременно",'Вводные'!$B$80="Да",CN36&gt;0),IF(AND('Вводные'!$B$84="Да",YEAR(CN$3)=YEAR($B$34),MONTH(CN$3)=MONTH($B$34)),CN36*CN43/12,IF(AND((12*(YEAR(CN$3)-YEAR($B$33))+MONTH(CN$3)-MONTH($B$33))&gt;0,MOD((12*(YEAR(CN$3)-YEAR($B$33))+MONTH(CN$3)-MONTH($B$33)),'Вводные'!$B$78)=0,(12*(YEAR(CN$3)-YEAR($B$33))+MONTH(CN$3)-MONTH($B$33))&lt;='Вводные'!$B$77*12),CN36*CN43*'Вводные'!$B$78/12,0)),0)</x:f>
      </x:c>
      <x:c r="CO39" s="117" t="n">
        <x:f>IF(AND('Вводные'!$B$75&lt;&gt;"Единовременно",'Вводные'!$B$80="Да",CO36&gt;0),IF(AND('Вводные'!$B$84="Да",YEAR(CO$3)=YEAR($B$34),MONTH(CO$3)=MONTH($B$34)),CO36*CO43/12,IF(AND((12*(YEAR(CO$3)-YEAR($B$33))+MONTH(CO$3)-MONTH($B$33))&gt;0,MOD((12*(YEAR(CO$3)-YEAR($B$33))+MONTH(CO$3)-MONTH($B$33)),'Вводные'!$B$78)=0,(12*(YEAR(CO$3)-YEAR($B$33))+MONTH(CO$3)-MONTH($B$33))&lt;='Вводные'!$B$77*12),CO36*CO43*'Вводные'!$B$78/12,0)),0)</x:f>
      </x:c>
      <x:c r="CP39" s="117" t="n">
        <x:f>IF(AND('Вводные'!$B$75&lt;&gt;"Единовременно",'Вводные'!$B$80="Да",CP36&gt;0),IF(AND('Вводные'!$B$84="Да",YEAR(CP$3)=YEAR($B$34),MONTH(CP$3)=MONTH($B$34)),CP36*CP43/12,IF(AND((12*(YEAR(CP$3)-YEAR($B$33))+MONTH(CP$3)-MONTH($B$33))&gt;0,MOD((12*(YEAR(CP$3)-YEAR($B$33))+MONTH(CP$3)-MONTH($B$33)),'Вводные'!$B$78)=0,(12*(YEAR(CP$3)-YEAR($B$33))+MONTH(CP$3)-MONTH($B$33))&lt;='Вводные'!$B$77*12),CP36*CP43*'Вводные'!$B$78/12,0)),0)</x:f>
      </x:c>
      <x:c r="CQ39" s="117" t="n">
        <x:f>IF(AND('Вводные'!$B$75&lt;&gt;"Единовременно",'Вводные'!$B$80="Да",CQ36&gt;0),IF(AND('Вводные'!$B$84="Да",YEAR(CQ$3)=YEAR($B$34),MONTH(CQ$3)=MONTH($B$34)),CQ36*CQ43/12,IF(AND((12*(YEAR(CQ$3)-YEAR($B$33))+MONTH(CQ$3)-MONTH($B$33))&gt;0,MOD((12*(YEAR(CQ$3)-YEAR($B$33))+MONTH(CQ$3)-MONTH($B$33)),'Вводные'!$B$78)=0,(12*(YEAR(CQ$3)-YEAR($B$33))+MONTH(CQ$3)-MONTH($B$33))&lt;='Вводные'!$B$77*12),CQ36*CQ43*'Вводные'!$B$78/12,0)),0)</x:f>
      </x:c>
      <x:c r="CR39" s="117" t="n">
        <x:f>IF(AND('Вводные'!$B$75&lt;&gt;"Единовременно",'Вводные'!$B$80="Да",CR36&gt;0),IF(AND('Вводные'!$B$84="Да",YEAR(CR$3)=YEAR($B$34),MONTH(CR$3)=MONTH($B$34)),CR36*CR43/12,IF(AND((12*(YEAR(CR$3)-YEAR($B$33))+MONTH(CR$3)-MONTH($B$33))&gt;0,MOD((12*(YEAR(CR$3)-YEAR($B$33))+MONTH(CR$3)-MONTH($B$33)),'Вводные'!$B$78)=0,(12*(YEAR(CR$3)-YEAR($B$33))+MONTH(CR$3)-MONTH($B$33))&lt;='Вводные'!$B$77*12),CR36*CR43*'Вводные'!$B$78/12,0)),0)</x:f>
      </x:c>
      <x:c r="CS39" s="117" t="n">
        <x:f>IF(AND('Вводные'!$B$75&lt;&gt;"Единовременно",'Вводные'!$B$80="Да",CS36&gt;0),IF(AND('Вводные'!$B$84="Да",YEAR(CS$3)=YEAR($B$34),MONTH(CS$3)=MONTH($B$34)),CS36*CS43/12,IF(AND((12*(YEAR(CS$3)-YEAR($B$33))+MONTH(CS$3)-MONTH($B$33))&gt;0,MOD((12*(YEAR(CS$3)-YEAR($B$33))+MONTH(CS$3)-MONTH($B$33)),'Вводные'!$B$78)=0,(12*(YEAR(CS$3)-YEAR($B$33))+MONTH(CS$3)-MONTH($B$33))&lt;='Вводные'!$B$77*12),CS36*CS43*'Вводные'!$B$78/12,0)),0)</x:f>
      </x:c>
      <x:c r="CT39" s="117" t="n">
        <x:f>IF(AND('Вводные'!$B$75&lt;&gt;"Единовременно",'Вводные'!$B$80="Да",CT36&gt;0),IF(AND('Вводные'!$B$84="Да",YEAR(CT$3)=YEAR($B$34),MONTH(CT$3)=MONTH($B$34)),CT36*CT43/12,IF(AND((12*(YEAR(CT$3)-YEAR($B$33))+MONTH(CT$3)-MONTH($B$33))&gt;0,MOD((12*(YEAR(CT$3)-YEAR($B$33))+MONTH(CT$3)-MONTH($B$33)),'Вводные'!$B$78)=0,(12*(YEAR(CT$3)-YEAR($B$33))+MONTH(CT$3)-MONTH($B$33))&lt;='Вводные'!$B$77*12),CT36*CT43*'Вводные'!$B$78/12,0)),0)</x:f>
      </x:c>
      <x:c r="CU39" s="117" t="n">
        <x:f>IF(AND('Вводные'!$B$75&lt;&gt;"Единовременно",'Вводные'!$B$80="Да",CU36&gt;0),IF(AND('Вводные'!$B$84="Да",YEAR(CU$3)=YEAR($B$34),MONTH(CU$3)=MONTH($B$34)),CU36*CU43/12,IF(AND((12*(YEAR(CU$3)-YEAR($B$33))+MONTH(CU$3)-MONTH($B$33))&gt;0,MOD((12*(YEAR(CU$3)-YEAR($B$33))+MONTH(CU$3)-MONTH($B$33)),'Вводные'!$B$78)=0,(12*(YEAR(CU$3)-YEAR($B$33))+MONTH(CU$3)-MONTH($B$33))&lt;='Вводные'!$B$77*12),CU36*CU43*'Вводные'!$B$78/12,0)),0)</x:f>
      </x:c>
      <x:c r="CV39" s="117" t="n">
        <x:f>IF(AND('Вводные'!$B$75&lt;&gt;"Единовременно",'Вводные'!$B$80="Да",CV36&gt;0),IF(AND('Вводные'!$B$84="Да",YEAR(CV$3)=YEAR($B$34),MONTH(CV$3)=MONTH($B$34)),CV36*CV43/12,IF(AND((12*(YEAR(CV$3)-YEAR($B$33))+MONTH(CV$3)-MONTH($B$33))&gt;0,MOD((12*(YEAR(CV$3)-YEAR($B$33))+MONTH(CV$3)-MONTH($B$33)),'Вводные'!$B$78)=0,(12*(YEAR(CV$3)-YEAR($B$33))+MONTH(CV$3)-MONTH($B$33))&lt;='Вводные'!$B$77*12),CV36*CV43*'Вводные'!$B$78/12,0)),0)</x:f>
      </x:c>
      <x:c r="CW39" s="117" t="n">
        <x:f>IF(AND('Вводные'!$B$75&lt;&gt;"Единовременно",'Вводные'!$B$80="Да",CW36&gt;0),IF(AND('Вводные'!$B$84="Да",YEAR(CW$3)=YEAR($B$34),MONTH(CW$3)=MONTH($B$34)),CW36*CW43/12,IF(AND((12*(YEAR(CW$3)-YEAR($B$33))+MONTH(CW$3)-MONTH($B$33))&gt;0,MOD((12*(YEAR(CW$3)-YEAR($B$33))+MONTH(CW$3)-MONTH($B$33)),'Вводные'!$B$78)=0,(12*(YEAR(CW$3)-YEAR($B$33))+MONTH(CW$3)-MONTH($B$33))&lt;='Вводные'!$B$77*12),CW36*CW43*'Вводные'!$B$78/12,0)),0)</x:f>
      </x:c>
      <x:c r="CX39" s="117" t="n">
        <x:f>IF(AND('Вводные'!$B$75&lt;&gt;"Единовременно",'Вводные'!$B$80="Да",CX36&gt;0),IF(AND('Вводные'!$B$84="Да",YEAR(CX$3)=YEAR($B$34),MONTH(CX$3)=MONTH($B$34)),CX36*CX43/12,IF(AND((12*(YEAR(CX$3)-YEAR($B$33))+MONTH(CX$3)-MONTH($B$33))&gt;0,MOD((12*(YEAR(CX$3)-YEAR($B$33))+MONTH(CX$3)-MONTH($B$33)),'Вводные'!$B$78)=0,(12*(YEAR(CX$3)-YEAR($B$33))+MONTH(CX$3)-MONTH($B$33))&lt;='Вводные'!$B$77*12),CX36*CX43*'Вводные'!$B$78/12,0)),0)</x:f>
      </x:c>
      <x:c r="CY39" s="117" t="n">
        <x:f>IF(AND('Вводные'!$B$75&lt;&gt;"Единовременно",'Вводные'!$B$80="Да",CY36&gt;0),IF(AND('Вводные'!$B$84="Да",YEAR(CY$3)=YEAR($B$34),MONTH(CY$3)=MONTH($B$34)),CY36*CY43/12,IF(AND((12*(YEAR(CY$3)-YEAR($B$33))+MONTH(CY$3)-MONTH($B$33))&gt;0,MOD((12*(YEAR(CY$3)-YEAR($B$33))+MONTH(CY$3)-MONTH($B$33)),'Вводные'!$B$78)=0,(12*(YEAR(CY$3)-YEAR($B$33))+MONTH(CY$3)-MONTH($B$33))&lt;='Вводные'!$B$77*12),CY36*CY43*'Вводные'!$B$78/12,0)),0)</x:f>
      </x:c>
      <x:c r="CZ39" s="117" t="n">
        <x:f>IF(AND('Вводные'!$B$75&lt;&gt;"Единовременно",'Вводные'!$B$80="Да",CZ36&gt;0),IF(AND('Вводные'!$B$84="Да",YEAR(CZ$3)=YEAR($B$34),MONTH(CZ$3)=MONTH($B$34)),CZ36*CZ43/12,IF(AND((12*(YEAR(CZ$3)-YEAR($B$33))+MONTH(CZ$3)-MONTH($B$33))&gt;0,MOD((12*(YEAR(CZ$3)-YEAR($B$33))+MONTH(CZ$3)-MONTH($B$33)),'Вводные'!$B$78)=0,(12*(YEAR(CZ$3)-YEAR($B$33))+MONTH(CZ$3)-MONTH($B$33))&lt;='Вводные'!$B$77*12),CZ36*CZ43*'Вводные'!$B$78/12,0)),0)</x:f>
      </x:c>
      <x:c r="DA39" s="117" t="n">
        <x:f>IF(AND('Вводные'!$B$75&lt;&gt;"Единовременно",'Вводные'!$B$80="Да",DA36&gt;0),IF(AND('Вводные'!$B$84="Да",YEAR(DA$3)=YEAR($B$34),MONTH(DA$3)=MONTH($B$34)),DA36*DA43/12,IF(AND((12*(YEAR(DA$3)-YEAR($B$33))+MONTH(DA$3)-MONTH($B$33))&gt;0,MOD((12*(YEAR(DA$3)-YEAR($B$33))+MONTH(DA$3)-MONTH($B$33)),'Вводные'!$B$78)=0,(12*(YEAR(DA$3)-YEAR($B$33))+MONTH(DA$3)-MONTH($B$33))&lt;='Вводные'!$B$77*12),DA36*DA43*'Вводные'!$B$78/12,0)),0)</x:f>
      </x:c>
      <x:c r="DB39" s="117" t="n">
        <x:f>IF(AND('Вводные'!$B$75&lt;&gt;"Единовременно",'Вводные'!$B$80="Да",DB36&gt;0),IF(AND('Вводные'!$B$84="Да",YEAR(DB$3)=YEAR($B$34),MONTH(DB$3)=MONTH($B$34)),DB36*DB43/12,IF(AND((12*(YEAR(DB$3)-YEAR($B$33))+MONTH(DB$3)-MONTH($B$33))&gt;0,MOD((12*(YEAR(DB$3)-YEAR($B$33))+MONTH(DB$3)-MONTH($B$33)),'Вводные'!$B$78)=0,(12*(YEAR(DB$3)-YEAR($B$33))+MONTH(DB$3)-MONTH($B$33))&lt;='Вводные'!$B$77*12),DB36*DB43*'Вводные'!$B$78/12,0)),0)</x:f>
      </x:c>
      <x:c r="DC39" s="117" t="n">
        <x:f>IF(AND('Вводные'!$B$75&lt;&gt;"Единовременно",'Вводные'!$B$80="Да",DC36&gt;0),IF(AND('Вводные'!$B$84="Да",YEAR(DC$3)=YEAR($B$34),MONTH(DC$3)=MONTH($B$34)),DC36*DC43/12,IF(AND((12*(YEAR(DC$3)-YEAR($B$33))+MONTH(DC$3)-MONTH($B$33))&gt;0,MOD((12*(YEAR(DC$3)-YEAR($B$33))+MONTH(DC$3)-MONTH($B$33)),'Вводные'!$B$78)=0,(12*(YEAR(DC$3)-YEAR($B$33))+MONTH(DC$3)-MONTH($B$33))&lt;='Вводные'!$B$77*12),DC36*DC43*'Вводные'!$B$78/12,0)),0)</x:f>
      </x:c>
      <x:c r="DD39" s="117" t="n">
        <x:f>IF(AND('Вводные'!$B$75&lt;&gt;"Единовременно",'Вводные'!$B$80="Да",DD36&gt;0),IF(AND('Вводные'!$B$84="Да",YEAR(DD$3)=YEAR($B$34),MONTH(DD$3)=MONTH($B$34)),DD36*DD43/12,IF(AND((12*(YEAR(DD$3)-YEAR($B$33))+MONTH(DD$3)-MONTH($B$33))&gt;0,MOD((12*(YEAR(DD$3)-YEAR($B$33))+MONTH(DD$3)-MONTH($B$33)),'Вводные'!$B$78)=0,(12*(YEAR(DD$3)-YEAR($B$33))+MONTH(DD$3)-MONTH($B$33))&lt;='Вводные'!$B$77*12),DD36*DD43*'Вводные'!$B$78/12,0)),0)</x:f>
      </x:c>
      <x:c r="DE39" s="117" t="n">
        <x:f>IF(AND('Вводные'!$B$75&lt;&gt;"Единовременно",'Вводные'!$B$80="Да",DE36&gt;0),IF(AND('Вводные'!$B$84="Да",YEAR(DE$3)=YEAR($B$34),MONTH(DE$3)=MONTH($B$34)),DE36*DE43/12,IF(AND((12*(YEAR(DE$3)-YEAR($B$33))+MONTH(DE$3)-MONTH($B$33))&gt;0,MOD((12*(YEAR(DE$3)-YEAR($B$33))+MONTH(DE$3)-MONTH($B$33)),'Вводные'!$B$78)=0,(12*(YEAR(DE$3)-YEAR($B$33))+MONTH(DE$3)-MONTH($B$33))&lt;='Вводные'!$B$77*12),DE36*DE43*'Вводные'!$B$78/12,0)),0)</x:f>
      </x:c>
      <x:c r="DF39" s="117" t="n">
        <x:f>IF(AND('Вводные'!$B$75&lt;&gt;"Единовременно",'Вводные'!$B$80="Да",DF36&gt;0),IF(AND('Вводные'!$B$84="Да",YEAR(DF$3)=YEAR($B$34),MONTH(DF$3)=MONTH($B$34)),DF36*DF43/12,IF(AND((12*(YEAR(DF$3)-YEAR($B$33))+MONTH(DF$3)-MONTH($B$33))&gt;0,MOD((12*(YEAR(DF$3)-YEAR($B$33))+MONTH(DF$3)-MONTH($B$33)),'Вводные'!$B$78)=0,(12*(YEAR(DF$3)-YEAR($B$33))+MONTH(DF$3)-MONTH($B$33))&lt;='Вводные'!$B$77*12),DF36*DF43*'Вводные'!$B$78/12,0)),0)</x:f>
      </x:c>
      <x:c r="DG39" s="117" t="n">
        <x:f>IF(AND('Вводные'!$B$75&lt;&gt;"Единовременно",'Вводные'!$B$80="Да",DG36&gt;0),IF(AND('Вводные'!$B$84="Да",YEAR(DG$3)=YEAR($B$34),MONTH(DG$3)=MONTH($B$34)),DG36*DG43/12,IF(AND((12*(YEAR(DG$3)-YEAR($B$33))+MONTH(DG$3)-MONTH($B$33))&gt;0,MOD((12*(YEAR(DG$3)-YEAR($B$33))+MONTH(DG$3)-MONTH($B$33)),'Вводные'!$B$78)=0,(12*(YEAR(DG$3)-YEAR($B$33))+MONTH(DG$3)-MONTH($B$33))&lt;='Вводные'!$B$77*12),DG36*DG43*'Вводные'!$B$78/12,0)),0)</x:f>
      </x:c>
      <x:c r="DH39" s="117" t="n">
        <x:f>IF(AND('Вводные'!$B$75&lt;&gt;"Единовременно",'Вводные'!$B$80="Да",DH36&gt;0),IF(AND('Вводные'!$B$84="Да",YEAR(DH$3)=YEAR($B$34),MONTH(DH$3)=MONTH($B$34)),DH36*DH43/12,IF(AND((12*(YEAR(DH$3)-YEAR($B$33))+MONTH(DH$3)-MONTH($B$33))&gt;0,MOD((12*(YEAR(DH$3)-YEAR($B$33))+MONTH(DH$3)-MONTH($B$33)),'Вводные'!$B$78)=0,(12*(YEAR(DH$3)-YEAR($B$33))+MONTH(DH$3)-MONTH($B$33))&lt;='Вводные'!$B$77*12),DH36*DH43*'Вводные'!$B$78/12,0)),0)</x:f>
      </x:c>
      <x:c r="DI39" s="117" t="n">
        <x:f>IF(AND('Вводные'!$B$75&lt;&gt;"Единовременно",'Вводные'!$B$80="Да",DI36&gt;0),IF(AND('Вводные'!$B$84="Да",YEAR(DI$3)=YEAR($B$34),MONTH(DI$3)=MONTH($B$34)),DI36*DI43/12,IF(AND((12*(YEAR(DI$3)-YEAR($B$33))+MONTH(DI$3)-MONTH($B$33))&gt;0,MOD((12*(YEAR(DI$3)-YEAR($B$33))+MONTH(DI$3)-MONTH($B$33)),'Вводные'!$B$78)=0,(12*(YEAR(DI$3)-YEAR($B$33))+MONTH(DI$3)-MONTH($B$33))&lt;='Вводные'!$B$77*12),DI36*DI43*'Вводные'!$B$78/12,0)),0)</x:f>
      </x:c>
      <x:c r="DJ39" s="117" t="n">
        <x:f>IF(AND('Вводные'!$B$75&lt;&gt;"Единовременно",'Вводные'!$B$80="Да",DJ36&gt;0),IF(AND('Вводные'!$B$84="Да",YEAR(DJ$3)=YEAR($B$34),MONTH(DJ$3)=MONTH($B$34)),DJ36*DJ43/12,IF(AND((12*(YEAR(DJ$3)-YEAR($B$33))+MONTH(DJ$3)-MONTH($B$33))&gt;0,MOD((12*(YEAR(DJ$3)-YEAR($B$33))+MONTH(DJ$3)-MONTH($B$33)),'Вводные'!$B$78)=0,(12*(YEAR(DJ$3)-YEAR($B$33))+MONTH(DJ$3)-MONTH($B$33))&lt;='Вводные'!$B$77*12),DJ36*DJ43*'Вводные'!$B$78/12,0)),0)</x:f>
      </x:c>
      <x:c r="DK39" s="117" t="n">
        <x:f>IF(AND('Вводные'!$B$75&lt;&gt;"Единовременно",'Вводные'!$B$80="Да",DK36&gt;0),IF(AND('Вводные'!$B$84="Да",YEAR(DK$3)=YEAR($B$34),MONTH(DK$3)=MONTH($B$34)),DK36*DK43/12,IF(AND((12*(YEAR(DK$3)-YEAR($B$33))+MONTH(DK$3)-MONTH($B$33))&gt;0,MOD((12*(YEAR(DK$3)-YEAR($B$33))+MONTH(DK$3)-MONTH($B$33)),'Вводные'!$B$78)=0,(12*(YEAR(DK$3)-YEAR($B$33))+MONTH(DK$3)-MONTH($B$33))&lt;='Вводные'!$B$77*12),DK36*DK43*'Вводные'!$B$78/12,0)),0)</x:f>
      </x:c>
      <x:c r="DL39" s="117" t="n">
        <x:f>IF(AND('Вводные'!$B$75&lt;&gt;"Единовременно",'Вводные'!$B$80="Да",DL36&gt;0),IF(AND('Вводные'!$B$84="Да",YEAR(DL$3)=YEAR($B$34),MONTH(DL$3)=MONTH($B$34)),DL36*DL43/12,IF(AND((12*(YEAR(DL$3)-YEAR($B$33))+MONTH(DL$3)-MONTH($B$33))&gt;0,MOD((12*(YEAR(DL$3)-YEAR($B$33))+MONTH(DL$3)-MONTH($B$33)),'Вводные'!$B$78)=0,(12*(YEAR(DL$3)-YEAR($B$33))+MONTH(DL$3)-MONTH($B$33))&lt;='Вводные'!$B$77*12),DL36*DL43*'Вводные'!$B$78/12,0)),0)</x:f>
      </x:c>
      <x:c r="DM39" s="117" t="n">
        <x:f>IF(AND('Вводные'!$B$75&lt;&gt;"Единовременно",'Вводные'!$B$80="Да",DM36&gt;0),IF(AND('Вводные'!$B$84="Да",YEAR(DM$3)=YEAR($B$34),MONTH(DM$3)=MONTH($B$34)),DM36*DM43/12,IF(AND((12*(YEAR(DM$3)-YEAR($B$33))+MONTH(DM$3)-MONTH($B$33))&gt;0,MOD((12*(YEAR(DM$3)-YEAR($B$33))+MONTH(DM$3)-MONTH($B$33)),'Вводные'!$B$78)=0,(12*(YEAR(DM$3)-YEAR($B$33))+MONTH(DM$3)-MONTH($B$33))&lt;='Вводные'!$B$77*12),DM36*DM43*'Вводные'!$B$78/12,0)),0)</x:f>
      </x:c>
      <x:c r="DN39" s="117" t="n">
        <x:f>IF(AND('Вводные'!$B$75&lt;&gt;"Единовременно",'Вводные'!$B$80="Да",DN36&gt;0),IF(AND('Вводные'!$B$84="Да",YEAR(DN$3)=YEAR($B$34),MONTH(DN$3)=MONTH($B$34)),DN36*DN43/12,IF(AND((12*(YEAR(DN$3)-YEAR($B$33))+MONTH(DN$3)-MONTH($B$33))&gt;0,MOD((12*(YEAR(DN$3)-YEAR($B$33))+MONTH(DN$3)-MONTH($B$33)),'Вводные'!$B$78)=0,(12*(YEAR(DN$3)-YEAR($B$33))+MONTH(DN$3)-MONTH($B$33))&lt;='Вводные'!$B$77*12),DN36*DN43*'Вводные'!$B$78/12,0)),0)</x:f>
      </x:c>
      <x:c r="DO39" s="117" t="n">
        <x:f>IF(AND('Вводные'!$B$75&lt;&gt;"Единовременно",'Вводные'!$B$80="Да",DO36&gt;0),IF(AND('Вводные'!$B$84="Да",YEAR(DO$3)=YEAR($B$34),MONTH(DO$3)=MONTH($B$34)),DO36*DO43/12,IF(AND((12*(YEAR(DO$3)-YEAR($B$33))+MONTH(DO$3)-MONTH($B$33))&gt;0,MOD((12*(YEAR(DO$3)-YEAR($B$33))+MONTH(DO$3)-MONTH($B$33)),'Вводные'!$B$78)=0,(12*(YEAR(DO$3)-YEAR($B$33))+MONTH(DO$3)-MONTH($B$33))&lt;='Вводные'!$B$77*12),DO36*DO43*'Вводные'!$B$78/12,0)),0)</x:f>
      </x:c>
      <x:c r="DP39" s="117" t="n">
        <x:f>IF(AND('Вводные'!$B$75&lt;&gt;"Единовременно",'Вводные'!$B$80="Да",DP36&gt;0),IF(AND('Вводные'!$B$84="Да",YEAR(DP$3)=YEAR($B$34),MONTH(DP$3)=MONTH($B$34)),DP36*DP43/12,IF(AND((12*(YEAR(DP$3)-YEAR($B$33))+MONTH(DP$3)-MONTH($B$33))&gt;0,MOD((12*(YEAR(DP$3)-YEAR($B$33))+MONTH(DP$3)-MONTH($B$33)),'Вводные'!$B$78)=0,(12*(YEAR(DP$3)-YEAR($B$33))+MONTH(DP$3)-MONTH($B$33))&lt;='Вводные'!$B$77*12),DP36*DP43*'Вводные'!$B$78/12,0)),0)</x:f>
      </x:c>
      <x:c r="DQ39" s="117" t="n">
        <x:f>IF(AND('Вводные'!$B$75&lt;&gt;"Единовременно",'Вводные'!$B$80="Да",DQ36&gt;0),IF(AND('Вводные'!$B$84="Да",YEAR(DQ$3)=YEAR($B$34),MONTH(DQ$3)=MONTH($B$34)),DQ36*DQ43/12,IF(AND((12*(YEAR(DQ$3)-YEAR($B$33))+MONTH(DQ$3)-MONTH($B$33))&gt;0,MOD((12*(YEAR(DQ$3)-YEAR($B$33))+MONTH(DQ$3)-MONTH($B$33)),'Вводные'!$B$78)=0,(12*(YEAR(DQ$3)-YEAR($B$33))+MONTH(DQ$3)-MONTH($B$33))&lt;='Вводные'!$B$77*12),DQ36*DQ43*'Вводные'!$B$78/12,0)),0)</x:f>
      </x:c>
      <x:c r="DR39" s="117" t="n">
        <x:f>IF(AND('Вводные'!$B$75&lt;&gt;"Единовременно",'Вводные'!$B$80="Да",DR36&gt;0),IF(AND('Вводные'!$B$84="Да",YEAR(DR$3)=YEAR($B$34),MONTH(DR$3)=MONTH($B$34)),DR36*DR43/12,IF(AND((12*(YEAR(DR$3)-YEAR($B$33))+MONTH(DR$3)-MONTH($B$33))&gt;0,MOD((12*(YEAR(DR$3)-YEAR($B$33))+MONTH(DR$3)-MONTH($B$33)),'Вводные'!$B$78)=0,(12*(YEAR(DR$3)-YEAR($B$33))+MONTH(DR$3)-MONTH($B$33))&lt;='Вводные'!$B$77*12),DR36*DR43*'Вводные'!$B$78/12,0)),0)</x:f>
      </x:c>
      <x:c r="DS39" s="117" t="n">
        <x:f>IF(AND('Вводные'!$B$75&lt;&gt;"Единовременно",'Вводные'!$B$80="Да",DS36&gt;0),IF(AND('Вводные'!$B$84="Да",YEAR(DS$3)=YEAR($B$34),MONTH(DS$3)=MONTH($B$34)),DS36*DS43/12,IF(AND((12*(YEAR(DS$3)-YEAR($B$33))+MONTH(DS$3)-MONTH($B$33))&gt;0,MOD((12*(YEAR(DS$3)-YEAR($B$33))+MONTH(DS$3)-MONTH($B$33)),'Вводные'!$B$78)=0,(12*(YEAR(DS$3)-YEAR($B$33))+MONTH(DS$3)-MONTH($B$33))&lt;='Вводные'!$B$77*12),DS36*DS43*'Вводные'!$B$78/12,0)),0)</x:f>
      </x:c>
    </x:row>
    <x:row r="40">
      <x:c r="A40" t="str">
        <x:v>Расходы на обеспечение</x:v>
      </x:c>
      <x:c r="B40" s="107" t="n">
        <x:f>SUM(D40:DS40)</x:f>
      </x:c>
      <x:c r="C40" t="str">
        <x:v>млн ₽</x:v>
      </x:c>
      <x:c r="D40" s="117" t="n">
        <x:f>IF(D37&gt;0,'Вводные'!$B$83*'Вводные'!$Q$90,0)</x:f>
      </x:c>
      <x:c r="E40" s="117" t="n">
        <x:f>IF(E37&gt;0,'Вводные'!$B$83*'Вводные'!$Q$90,0)</x:f>
      </x:c>
      <x:c r="F40" s="117" t="n">
        <x:f>IF(F37&gt;0,'Вводные'!$B$83*'Вводные'!$Q$90,0)</x:f>
      </x:c>
      <x:c r="G40" s="117" t="n">
        <x:f>IF(G37&gt;0,'Вводные'!$B$83*'Вводные'!$Q$90,0)</x:f>
      </x:c>
      <x:c r="H40" s="117" t="n">
        <x:f>IF(H37&gt;0,'Вводные'!$B$83*'Вводные'!$Q$90,0)</x:f>
      </x:c>
      <x:c r="I40" s="117" t="n">
        <x:f>IF(I37&gt;0,'Вводные'!$B$83*'Вводные'!$Q$90,0)</x:f>
      </x:c>
      <x:c r="J40" s="117" t="n">
        <x:f>IF(J37&gt;0,'Вводные'!$B$83*'Вводные'!$Q$90,0)</x:f>
      </x:c>
      <x:c r="K40" s="117" t="n">
        <x:f>IF(K37&gt;0,'Вводные'!$B$83*'Вводные'!$Q$90,0)</x:f>
      </x:c>
      <x:c r="L40" s="117" t="n">
        <x:f>IF(L37&gt;0,'Вводные'!$B$83*'Вводные'!$Q$90,0)</x:f>
      </x:c>
      <x:c r="M40" s="117" t="n">
        <x:f>IF(M37&gt;0,'Вводные'!$B$83*'Вводные'!$Q$90,0)</x:f>
      </x:c>
      <x:c r="N40" s="117" t="n">
        <x:f>IF(N37&gt;0,'Вводные'!$B$83*'Вводные'!$Q$90,0)</x:f>
      </x:c>
      <x:c r="O40" s="117" t="n">
        <x:f>IF(O37&gt;0,'Вводные'!$B$83*'Вводные'!$Q$90,0)</x:f>
      </x:c>
      <x:c r="P40" s="117" t="n">
        <x:f>IF(P37&gt;0,'Вводные'!$B$83*'Вводные'!$Q$90,0)</x:f>
      </x:c>
      <x:c r="Q40" s="117" t="n">
        <x:f>IF(Q37&gt;0,'Вводные'!$B$83*'Вводные'!$Q$90,0)</x:f>
      </x:c>
      <x:c r="R40" s="117" t="n">
        <x:f>IF(R37&gt;0,'Вводные'!$B$83*'Вводные'!$Q$90,0)</x:f>
      </x:c>
      <x:c r="S40" s="117" t="n">
        <x:f>IF(S37&gt;0,'Вводные'!$B$83*'Вводные'!$Q$90,0)</x:f>
      </x:c>
      <x:c r="T40" s="117" t="n">
        <x:f>IF(T37&gt;0,'Вводные'!$B$83*'Вводные'!$Q$90,0)</x:f>
      </x:c>
      <x:c r="U40" s="117" t="n">
        <x:f>IF(U37&gt;0,'Вводные'!$B$83*'Вводные'!$Q$90,0)</x:f>
      </x:c>
      <x:c r="V40" s="117" t="n">
        <x:f>IF(V37&gt;0,'Вводные'!$B$83*'Вводные'!$Q$90,0)</x:f>
      </x:c>
      <x:c r="W40" s="117" t="n">
        <x:f>IF(W37&gt;0,'Вводные'!$B$83*'Вводные'!$Q$90,0)</x:f>
      </x:c>
      <x:c r="X40" s="117" t="n">
        <x:f>IF(X37&gt;0,'Вводные'!$B$83*'Вводные'!$Q$90,0)</x:f>
      </x:c>
      <x:c r="Y40" s="117" t="n">
        <x:f>IF(Y37&gt;0,'Вводные'!$B$83*'Вводные'!$Q$90,0)</x:f>
      </x:c>
      <x:c r="Z40" s="117" t="n">
        <x:f>IF(Z37&gt;0,'Вводные'!$B$83*'Вводные'!$Q$90,0)</x:f>
      </x:c>
      <x:c r="AA40" s="117" t="n">
        <x:f>IF(AA37&gt;0,'Вводные'!$B$83*'Вводные'!$Q$90,0)</x:f>
      </x:c>
      <x:c r="AB40" s="117" t="n">
        <x:f>IF(AB37&gt;0,'Вводные'!$B$83*'Вводные'!$Q$90,0)</x:f>
      </x:c>
      <x:c r="AC40" s="117" t="n">
        <x:f>IF(AC37&gt;0,'Вводные'!$B$83*'Вводные'!$Q$90,0)</x:f>
      </x:c>
      <x:c r="AD40" s="117" t="n">
        <x:f>IF(AD37&gt;0,'Вводные'!$B$83*'Вводные'!$Q$90,0)</x:f>
      </x:c>
      <x:c r="AE40" s="117" t="n">
        <x:f>IF(AE37&gt;0,'Вводные'!$B$83*'Вводные'!$Q$90,0)</x:f>
      </x:c>
      <x:c r="AF40" s="117" t="n">
        <x:f>IF(AF37&gt;0,'Вводные'!$B$83*'Вводные'!$Q$90,0)</x:f>
      </x:c>
      <x:c r="AG40" s="117" t="n">
        <x:f>IF(AG37&gt;0,'Вводные'!$B$83*'Вводные'!$Q$90,0)</x:f>
      </x:c>
      <x:c r="AH40" s="117" t="n">
        <x:f>IF(AH37&gt;0,'Вводные'!$B$83*'Вводные'!$Q$90,0)</x:f>
      </x:c>
      <x:c r="AI40" s="117" t="n">
        <x:f>IF(AI37&gt;0,'Вводные'!$B$83*'Вводные'!$Q$90,0)</x:f>
      </x:c>
      <x:c r="AJ40" s="117" t="n">
        <x:f>IF(AJ37&gt;0,'Вводные'!$B$83*'Вводные'!$Q$90,0)</x:f>
      </x:c>
      <x:c r="AK40" s="117" t="n">
        <x:f>IF(AK37&gt;0,'Вводные'!$B$83*'Вводные'!$Q$90,0)</x:f>
      </x:c>
      <x:c r="AL40" s="117" t="n">
        <x:f>IF(AL37&gt;0,'Вводные'!$B$83*'Вводные'!$Q$90,0)</x:f>
      </x:c>
      <x:c r="AM40" s="117" t="n">
        <x:f>IF(AM37&gt;0,'Вводные'!$B$83*'Вводные'!$Q$90,0)</x:f>
      </x:c>
      <x:c r="AN40" s="117" t="n">
        <x:f>IF(AN37&gt;0,'Вводные'!$B$83*'Вводные'!$Q$90,0)</x:f>
      </x:c>
      <x:c r="AO40" s="117" t="n">
        <x:f>IF(AO37&gt;0,'Вводные'!$B$83*'Вводные'!$Q$90,0)</x:f>
      </x:c>
      <x:c r="AP40" s="117" t="n">
        <x:f>IF(AP37&gt;0,'Вводные'!$B$83*'Вводные'!$Q$90,0)</x:f>
      </x:c>
      <x:c r="AQ40" s="117" t="n">
        <x:f>IF(AQ37&gt;0,'Вводные'!$B$83*'Вводные'!$Q$90,0)</x:f>
      </x:c>
      <x:c r="AR40" s="117" t="n">
        <x:f>IF(AR37&gt;0,'Вводные'!$B$83*'Вводные'!$Q$90,0)</x:f>
      </x:c>
      <x:c r="AS40" s="117" t="n">
        <x:f>IF(AS37&gt;0,'Вводные'!$B$83*'Вводные'!$Q$90,0)</x:f>
      </x:c>
      <x:c r="AT40" s="117" t="n">
        <x:f>IF(AT37&gt;0,'Вводные'!$B$83*'Вводные'!$Q$90,0)</x:f>
      </x:c>
      <x:c r="AU40" s="117" t="n">
        <x:f>IF(AU37&gt;0,'Вводные'!$B$83*'Вводные'!$Q$90,0)</x:f>
      </x:c>
      <x:c r="AV40" s="117" t="n">
        <x:f>IF(AV37&gt;0,'Вводные'!$B$83*'Вводные'!$Q$90,0)</x:f>
      </x:c>
      <x:c r="AW40" s="117" t="n">
        <x:f>IF(AW37&gt;0,'Вводные'!$B$83*'Вводные'!$Q$90,0)</x:f>
      </x:c>
      <x:c r="AX40" s="117" t="n">
        <x:f>IF(AX37&gt;0,'Вводные'!$B$83*'Вводные'!$Q$90,0)</x:f>
      </x:c>
      <x:c r="AY40" s="117" t="n">
        <x:f>IF(AY37&gt;0,'Вводные'!$B$83*'Вводные'!$Q$90,0)</x:f>
      </x:c>
      <x:c r="AZ40" s="117" t="n">
        <x:f>IF(AZ37&gt;0,'Вводные'!$B$83*'Вводные'!$Q$90,0)</x:f>
      </x:c>
      <x:c r="BA40" s="117" t="n">
        <x:f>IF(BA37&gt;0,'Вводные'!$B$83*'Вводные'!$Q$90,0)</x:f>
      </x:c>
      <x:c r="BB40" s="117" t="n">
        <x:f>IF(BB37&gt;0,'Вводные'!$B$83*'Вводные'!$Q$90,0)</x:f>
      </x:c>
      <x:c r="BC40" s="117" t="n">
        <x:f>IF(BC37&gt;0,'Вводные'!$B$83*'Вводные'!$Q$90,0)</x:f>
      </x:c>
      <x:c r="BD40" s="117" t="n">
        <x:f>IF(BD37&gt;0,'Вводные'!$B$83*'Вводные'!$Q$90,0)</x:f>
      </x:c>
      <x:c r="BE40" s="117" t="n">
        <x:f>IF(BE37&gt;0,'Вводные'!$B$83*'Вводные'!$Q$90,0)</x:f>
      </x:c>
      <x:c r="BF40" s="117" t="n">
        <x:f>IF(BF37&gt;0,'Вводные'!$B$83*'Вводные'!$Q$90,0)</x:f>
      </x:c>
      <x:c r="BG40" s="117" t="n">
        <x:f>IF(BG37&gt;0,'Вводные'!$B$83*'Вводные'!$Q$90,0)</x:f>
      </x:c>
      <x:c r="BH40" s="117" t="n">
        <x:f>IF(BH37&gt;0,'Вводные'!$B$83*'Вводные'!$Q$90,0)</x:f>
      </x:c>
      <x:c r="BI40" s="117" t="n">
        <x:f>IF(BI37&gt;0,'Вводные'!$B$83*'Вводные'!$Q$90,0)</x:f>
      </x:c>
      <x:c r="BJ40" s="117" t="n">
        <x:f>IF(BJ37&gt;0,'Вводные'!$B$83*'Вводные'!$Q$90,0)</x:f>
      </x:c>
      <x:c r="BK40" s="117" t="n">
        <x:f>IF(BK37&gt;0,'Вводные'!$B$83*'Вводные'!$Q$90,0)</x:f>
      </x:c>
      <x:c r="BL40" s="117" t="n">
        <x:f>IF(BL37&gt;0,'Вводные'!$B$83*'Вводные'!$Q$90,0)</x:f>
      </x:c>
      <x:c r="BM40" s="117" t="n">
        <x:f>IF(BM37&gt;0,'Вводные'!$B$83*'Вводные'!$Q$90,0)</x:f>
      </x:c>
      <x:c r="BN40" s="117" t="n">
        <x:f>IF(BN37&gt;0,'Вводные'!$B$83*'Вводные'!$Q$90,0)</x:f>
      </x:c>
      <x:c r="BO40" s="117" t="n">
        <x:f>IF(BO37&gt;0,'Вводные'!$B$83*'Вводные'!$Q$90,0)</x:f>
      </x:c>
      <x:c r="BP40" s="117" t="n">
        <x:f>IF(BP37&gt;0,'Вводные'!$B$83*'Вводные'!$Q$90,0)</x:f>
      </x:c>
      <x:c r="BQ40" s="117" t="n">
        <x:f>IF(BQ37&gt;0,'Вводные'!$B$83*'Вводные'!$Q$90,0)</x:f>
      </x:c>
      <x:c r="BR40" s="117" t="n">
        <x:f>IF(BR37&gt;0,'Вводные'!$B$83*'Вводные'!$Q$90,0)</x:f>
      </x:c>
      <x:c r="BS40" s="117" t="n">
        <x:f>IF(BS37&gt;0,'Вводные'!$B$83*'Вводные'!$Q$90,0)</x:f>
      </x:c>
      <x:c r="BT40" s="117" t="n">
        <x:f>IF(BT37&gt;0,'Вводные'!$B$83*'Вводные'!$Q$90,0)</x:f>
      </x:c>
      <x:c r="BU40" s="117" t="n">
        <x:f>IF(BU37&gt;0,'Вводные'!$B$83*'Вводные'!$Q$90,0)</x:f>
      </x:c>
      <x:c r="BV40" s="117" t="n">
        <x:f>IF(BV37&gt;0,'Вводные'!$B$83*'Вводные'!$Q$90,0)</x:f>
      </x:c>
      <x:c r="BW40" s="117" t="n">
        <x:f>IF(BW37&gt;0,'Вводные'!$B$83*'Вводные'!$Q$90,0)</x:f>
      </x:c>
      <x:c r="BX40" s="117" t="n">
        <x:f>IF(BX37&gt;0,'Вводные'!$B$83*'Вводные'!$Q$90,0)</x:f>
      </x:c>
      <x:c r="BY40" s="117" t="n">
        <x:f>IF(BY37&gt;0,'Вводные'!$B$83*'Вводные'!$Q$90,0)</x:f>
      </x:c>
      <x:c r="BZ40" s="117" t="n">
        <x:f>IF(BZ37&gt;0,'Вводные'!$B$83*'Вводные'!$Q$90,0)</x:f>
      </x:c>
      <x:c r="CA40" s="117" t="n">
        <x:f>IF(CA37&gt;0,'Вводные'!$B$83*'Вводные'!$Q$90,0)</x:f>
      </x:c>
      <x:c r="CB40" s="117" t="n">
        <x:f>IF(CB37&gt;0,'Вводные'!$B$83*'Вводные'!$Q$90,0)</x:f>
      </x:c>
      <x:c r="CC40" s="117" t="n">
        <x:f>IF(CC37&gt;0,'Вводные'!$B$83*'Вводные'!$Q$90,0)</x:f>
      </x:c>
      <x:c r="CD40" s="117" t="n">
        <x:f>IF(CD37&gt;0,'Вводные'!$B$83*'Вводные'!$Q$90,0)</x:f>
      </x:c>
      <x:c r="CE40" s="117" t="n">
        <x:f>IF(CE37&gt;0,'Вводные'!$B$83*'Вводные'!$Q$90,0)</x:f>
      </x:c>
      <x:c r="CF40" s="117" t="n">
        <x:f>IF(CF37&gt;0,'Вводные'!$B$83*'Вводные'!$Q$90,0)</x:f>
      </x:c>
      <x:c r="CG40" s="117" t="n">
        <x:f>IF(CG37&gt;0,'Вводные'!$B$83*'Вводные'!$Q$90,0)</x:f>
      </x:c>
      <x:c r="CH40" s="117" t="n">
        <x:f>IF(CH37&gt;0,'Вводные'!$B$83*'Вводные'!$Q$90,0)</x:f>
      </x:c>
      <x:c r="CI40" s="117" t="n">
        <x:f>IF(CI37&gt;0,'Вводные'!$B$83*'Вводные'!$Q$90,0)</x:f>
      </x:c>
      <x:c r="CJ40" s="117" t="n">
        <x:f>IF(CJ37&gt;0,'Вводные'!$B$83*'Вводные'!$Q$90,0)</x:f>
      </x:c>
      <x:c r="CK40" s="117" t="n">
        <x:f>IF(CK37&gt;0,'Вводные'!$B$83*'Вводные'!$Q$90,0)</x:f>
      </x:c>
      <x:c r="CL40" s="117" t="n">
        <x:f>IF(CL37&gt;0,'Вводные'!$B$83*'Вводные'!$Q$90,0)</x:f>
      </x:c>
      <x:c r="CM40" s="117" t="n">
        <x:f>IF(CM37&gt;0,'Вводные'!$B$83*'Вводные'!$Q$90,0)</x:f>
      </x:c>
      <x:c r="CN40" s="117" t="n">
        <x:f>IF(CN37&gt;0,'Вводные'!$B$83*'Вводные'!$Q$90,0)</x:f>
      </x:c>
      <x:c r="CO40" s="117" t="n">
        <x:f>IF(CO37&gt;0,'Вводные'!$B$83*'Вводные'!$Q$90,0)</x:f>
      </x:c>
      <x:c r="CP40" s="117" t="n">
        <x:f>IF(CP37&gt;0,'Вводные'!$B$83*'Вводные'!$Q$90,0)</x:f>
      </x:c>
      <x:c r="CQ40" s="117" t="n">
        <x:f>IF(CQ37&gt;0,'Вводные'!$B$83*'Вводные'!$Q$90,0)</x:f>
      </x:c>
      <x:c r="CR40" s="117" t="n">
        <x:f>IF(CR37&gt;0,'Вводные'!$B$83*'Вводные'!$Q$90,0)</x:f>
      </x:c>
      <x:c r="CS40" s="117" t="n">
        <x:f>IF(CS37&gt;0,'Вводные'!$B$83*'Вводные'!$Q$90,0)</x:f>
      </x:c>
      <x:c r="CT40" s="117" t="n">
        <x:f>IF(CT37&gt;0,'Вводные'!$B$83*'Вводные'!$Q$90,0)</x:f>
      </x:c>
      <x:c r="CU40" s="117" t="n">
        <x:f>IF(CU37&gt;0,'Вводные'!$B$83*'Вводные'!$Q$90,0)</x:f>
      </x:c>
      <x:c r="CV40" s="117" t="n">
        <x:f>IF(CV37&gt;0,'Вводные'!$B$83*'Вводные'!$Q$90,0)</x:f>
      </x:c>
      <x:c r="CW40" s="117" t="n">
        <x:f>IF(CW37&gt;0,'Вводные'!$B$83*'Вводные'!$Q$90,0)</x:f>
      </x:c>
      <x:c r="CX40" s="117" t="n">
        <x:f>IF(CX37&gt;0,'Вводные'!$B$83*'Вводные'!$Q$90,0)</x:f>
      </x:c>
      <x:c r="CY40" s="117" t="n">
        <x:f>IF(CY37&gt;0,'Вводные'!$B$83*'Вводные'!$Q$90,0)</x:f>
      </x:c>
      <x:c r="CZ40" s="117" t="n">
        <x:f>IF(CZ37&gt;0,'Вводные'!$B$83*'Вводные'!$Q$90,0)</x:f>
      </x:c>
      <x:c r="DA40" s="117" t="n">
        <x:f>IF(DA37&gt;0,'Вводные'!$B$83*'Вводные'!$Q$90,0)</x:f>
      </x:c>
      <x:c r="DB40" s="117" t="n">
        <x:f>IF(DB37&gt;0,'Вводные'!$B$83*'Вводные'!$Q$90,0)</x:f>
      </x:c>
      <x:c r="DC40" s="117" t="n">
        <x:f>IF(DC37&gt;0,'Вводные'!$B$83*'Вводные'!$Q$90,0)</x:f>
      </x:c>
      <x:c r="DD40" s="117" t="n">
        <x:f>IF(DD37&gt;0,'Вводные'!$B$83*'Вводные'!$Q$90,0)</x:f>
      </x:c>
      <x:c r="DE40" s="117" t="n">
        <x:f>IF(DE37&gt;0,'Вводные'!$B$83*'Вводные'!$Q$90,0)</x:f>
      </x:c>
      <x:c r="DF40" s="117" t="n">
        <x:f>IF(DF37&gt;0,'Вводные'!$B$83*'Вводные'!$Q$90,0)</x:f>
      </x:c>
      <x:c r="DG40" s="117" t="n">
        <x:f>IF(DG37&gt;0,'Вводные'!$B$83*'Вводные'!$Q$90,0)</x:f>
      </x:c>
      <x:c r="DH40" s="117" t="n">
        <x:f>IF(DH37&gt;0,'Вводные'!$B$83*'Вводные'!$Q$90,0)</x:f>
      </x:c>
      <x:c r="DI40" s="117" t="n">
        <x:f>IF(DI37&gt;0,'Вводные'!$B$83*'Вводные'!$Q$90,0)</x:f>
      </x:c>
      <x:c r="DJ40" s="117" t="n">
        <x:f>IF(DJ37&gt;0,'Вводные'!$B$83*'Вводные'!$Q$90,0)</x:f>
      </x:c>
      <x:c r="DK40" s="117" t="n">
        <x:f>IF(DK37&gt;0,'Вводные'!$B$83*'Вводные'!$Q$90,0)</x:f>
      </x:c>
      <x:c r="DL40" s="117" t="n">
        <x:f>IF(DL37&gt;0,'Вводные'!$B$83*'Вводные'!$Q$90,0)</x:f>
      </x:c>
      <x:c r="DM40" s="117" t="n">
        <x:f>IF(DM37&gt;0,'Вводные'!$B$83*'Вводные'!$Q$90,0)</x:f>
      </x:c>
      <x:c r="DN40" s="117" t="n">
        <x:f>IF(DN37&gt;0,'Вводные'!$B$83*'Вводные'!$Q$90,0)</x:f>
      </x:c>
      <x:c r="DO40" s="117" t="n">
        <x:f>IF(DO37&gt;0,'Вводные'!$B$83*'Вводные'!$Q$90,0)</x:f>
      </x:c>
      <x:c r="DP40" s="117" t="n">
        <x:f>IF(DP37&gt;0,'Вводные'!$B$83*'Вводные'!$Q$90,0)</x:f>
      </x:c>
      <x:c r="DQ40" s="117" t="n">
        <x:f>IF(DQ37&gt;0,'Вводные'!$B$83*'Вводные'!$Q$90,0)</x:f>
      </x:c>
      <x:c r="DR40" s="117" t="n">
        <x:f>IF(DR37&gt;0,'Вводные'!$B$83*'Вводные'!$Q$90,0)</x:f>
      </x:c>
      <x:c r="DS40" s="117" t="n">
        <x:f>IF(DS37&gt;0,'Вводные'!$B$83*'Вводные'!$Q$90,0)</x:f>
      </x:c>
    </x:row>
    <x:row r="41">
      <x:c r="A41" s="113" t="str">
        <x:v>ДЕНЕЖНЫЙ ПЛАТЁЖ ПО ВРИ</x:v>
      </x:c>
      <x:c r="B41" s="113" t="n">
        <x:f>SUM(D41:DS41)</x:f>
      </x:c>
      <x:c r="C41" s="113" t="str">
        <x:v>млн ₽</x:v>
      </x:c>
      <x:c r="D41" s="120" t="n">
        <x:f>SUM(D38:D40)</x:f>
      </x:c>
      <x:c r="E41" s="120" t="n">
        <x:f>SUM(E38:E40)</x:f>
      </x:c>
      <x:c r="F41" s="120" t="n">
        <x:f>SUM(F38:F40)</x:f>
      </x:c>
      <x:c r="G41" s="120" t="n">
        <x:f>SUM(G38:G40)</x:f>
      </x:c>
      <x:c r="H41" s="120" t="n">
        <x:f>SUM(H38:H40)</x:f>
      </x:c>
      <x:c r="I41" s="120" t="n">
        <x:f>SUM(I38:I40)</x:f>
      </x:c>
      <x:c r="J41" s="120" t="n">
        <x:f>SUM(J38:J40)</x:f>
      </x:c>
      <x:c r="K41" s="120" t="n">
        <x:f>SUM(K38:K40)</x:f>
      </x:c>
      <x:c r="L41" s="120" t="n">
        <x:f>SUM(L38:L40)</x:f>
      </x:c>
      <x:c r="M41" s="120" t="n">
        <x:f>SUM(M38:M40)</x:f>
      </x:c>
      <x:c r="N41" s="120" t="n">
        <x:f>SUM(N38:N40)</x:f>
      </x:c>
      <x:c r="O41" s="120" t="n">
        <x:f>SUM(O38:O40)</x:f>
      </x:c>
      <x:c r="P41" s="120" t="n">
        <x:f>SUM(P38:P40)</x:f>
      </x:c>
      <x:c r="Q41" s="120" t="n">
        <x:f>SUM(Q38:Q40)</x:f>
      </x:c>
      <x:c r="R41" s="120" t="n">
        <x:f>SUM(R38:R40)</x:f>
      </x:c>
      <x:c r="S41" s="120" t="n">
        <x:f>SUM(S38:S40)</x:f>
      </x:c>
      <x:c r="T41" s="120" t="n">
        <x:f>SUM(T38:T40)</x:f>
      </x:c>
      <x:c r="U41" s="120" t="n">
        <x:f>SUM(U38:U40)</x:f>
      </x:c>
      <x:c r="V41" s="120" t="n">
        <x:f>SUM(V38:V40)</x:f>
      </x:c>
      <x:c r="W41" s="120" t="n">
        <x:f>SUM(W38:W40)</x:f>
      </x:c>
      <x:c r="X41" s="120" t="n">
        <x:f>SUM(X38:X40)</x:f>
      </x:c>
      <x:c r="Y41" s="120" t="n">
        <x:f>SUM(Y38:Y40)</x:f>
      </x:c>
      <x:c r="Z41" s="120" t="n">
        <x:f>SUM(Z38:Z40)</x:f>
      </x:c>
      <x:c r="AA41" s="120" t="n">
        <x:f>SUM(AA38:AA40)</x:f>
      </x:c>
      <x:c r="AB41" s="120" t="n">
        <x:f>SUM(AB38:AB40)</x:f>
      </x:c>
      <x:c r="AC41" s="120" t="n">
        <x:f>SUM(AC38:AC40)</x:f>
      </x:c>
      <x:c r="AD41" s="120" t="n">
        <x:f>SUM(AD38:AD40)</x:f>
      </x:c>
      <x:c r="AE41" s="120" t="n">
        <x:f>SUM(AE38:AE40)</x:f>
      </x:c>
      <x:c r="AF41" s="120" t="n">
        <x:f>SUM(AF38:AF40)</x:f>
      </x:c>
      <x:c r="AG41" s="120" t="n">
        <x:f>SUM(AG38:AG40)</x:f>
      </x:c>
      <x:c r="AH41" s="120" t="n">
        <x:f>SUM(AH38:AH40)</x:f>
      </x:c>
      <x:c r="AI41" s="120" t="n">
        <x:f>SUM(AI38:AI40)</x:f>
      </x:c>
      <x:c r="AJ41" s="120" t="n">
        <x:f>SUM(AJ38:AJ40)</x:f>
      </x:c>
      <x:c r="AK41" s="120" t="n">
        <x:f>SUM(AK38:AK40)</x:f>
      </x:c>
      <x:c r="AL41" s="120" t="n">
        <x:f>SUM(AL38:AL40)</x:f>
      </x:c>
      <x:c r="AM41" s="120" t="n">
        <x:f>SUM(AM38:AM40)</x:f>
      </x:c>
      <x:c r="AN41" s="120" t="n">
        <x:f>SUM(AN38:AN40)</x:f>
      </x:c>
      <x:c r="AO41" s="120" t="n">
        <x:f>SUM(AO38:AO40)</x:f>
      </x:c>
      <x:c r="AP41" s="120" t="n">
        <x:f>SUM(AP38:AP40)</x:f>
      </x:c>
      <x:c r="AQ41" s="120" t="n">
        <x:f>SUM(AQ38:AQ40)</x:f>
      </x:c>
      <x:c r="AR41" s="120" t="n">
        <x:f>SUM(AR38:AR40)</x:f>
      </x:c>
      <x:c r="AS41" s="120" t="n">
        <x:f>SUM(AS38:AS40)</x:f>
      </x:c>
      <x:c r="AT41" s="120" t="n">
        <x:f>SUM(AT38:AT40)</x:f>
      </x:c>
      <x:c r="AU41" s="120" t="n">
        <x:f>SUM(AU38:AU40)</x:f>
      </x:c>
      <x:c r="AV41" s="120" t="n">
        <x:f>SUM(AV38:AV40)</x:f>
      </x:c>
      <x:c r="AW41" s="120" t="n">
        <x:f>SUM(AW38:AW40)</x:f>
      </x:c>
      <x:c r="AX41" s="120" t="n">
        <x:f>SUM(AX38:AX40)</x:f>
      </x:c>
      <x:c r="AY41" s="120" t="n">
        <x:f>SUM(AY38:AY40)</x:f>
      </x:c>
      <x:c r="AZ41" s="120" t="n">
        <x:f>SUM(AZ38:AZ40)</x:f>
      </x:c>
      <x:c r="BA41" s="120" t="n">
        <x:f>SUM(BA38:BA40)</x:f>
      </x:c>
      <x:c r="BB41" s="120" t="n">
        <x:f>SUM(BB38:BB40)</x:f>
      </x:c>
      <x:c r="BC41" s="120" t="n">
        <x:f>SUM(BC38:BC40)</x:f>
      </x:c>
      <x:c r="BD41" s="120" t="n">
        <x:f>SUM(BD38:BD40)</x:f>
      </x:c>
      <x:c r="BE41" s="120" t="n">
        <x:f>SUM(BE38:BE40)</x:f>
      </x:c>
      <x:c r="BF41" s="120" t="n">
        <x:f>SUM(BF38:BF40)</x:f>
      </x:c>
      <x:c r="BG41" s="120" t="n">
        <x:f>SUM(BG38:BG40)</x:f>
      </x:c>
      <x:c r="BH41" s="120" t="n">
        <x:f>SUM(BH38:BH40)</x:f>
      </x:c>
      <x:c r="BI41" s="120" t="n">
        <x:f>SUM(BI38:BI40)</x:f>
      </x:c>
      <x:c r="BJ41" s="120" t="n">
        <x:f>SUM(BJ38:BJ40)</x:f>
      </x:c>
      <x:c r="BK41" s="120" t="n">
        <x:f>SUM(BK38:BK40)</x:f>
      </x:c>
      <x:c r="BL41" s="120" t="n">
        <x:f>SUM(BL38:BL40)</x:f>
      </x:c>
      <x:c r="BM41" s="120" t="n">
        <x:f>SUM(BM38:BM40)</x:f>
      </x:c>
      <x:c r="BN41" s="120" t="n">
        <x:f>SUM(BN38:BN40)</x:f>
      </x:c>
      <x:c r="BO41" s="120" t="n">
        <x:f>SUM(BO38:BO40)</x:f>
      </x:c>
      <x:c r="BP41" s="120" t="n">
        <x:f>SUM(BP38:BP40)</x:f>
      </x:c>
      <x:c r="BQ41" s="120" t="n">
        <x:f>SUM(BQ38:BQ40)</x:f>
      </x:c>
      <x:c r="BR41" s="120" t="n">
        <x:f>SUM(BR38:BR40)</x:f>
      </x:c>
      <x:c r="BS41" s="120" t="n">
        <x:f>SUM(BS38:BS40)</x:f>
      </x:c>
      <x:c r="BT41" s="120" t="n">
        <x:f>SUM(BT38:BT40)</x:f>
      </x:c>
      <x:c r="BU41" s="120" t="n">
        <x:f>SUM(BU38:BU40)</x:f>
      </x:c>
      <x:c r="BV41" s="120" t="n">
        <x:f>SUM(BV38:BV40)</x:f>
      </x:c>
      <x:c r="BW41" s="120" t="n">
        <x:f>SUM(BW38:BW40)</x:f>
      </x:c>
      <x:c r="BX41" s="120" t="n">
        <x:f>SUM(BX38:BX40)</x:f>
      </x:c>
      <x:c r="BY41" s="120" t="n">
        <x:f>SUM(BY38:BY40)</x:f>
      </x:c>
      <x:c r="BZ41" s="120" t="n">
        <x:f>SUM(BZ38:BZ40)</x:f>
      </x:c>
      <x:c r="CA41" s="120" t="n">
        <x:f>SUM(CA38:CA40)</x:f>
      </x:c>
      <x:c r="CB41" s="120" t="n">
        <x:f>SUM(CB38:CB40)</x:f>
      </x:c>
      <x:c r="CC41" s="120" t="n">
        <x:f>SUM(CC38:CC40)</x:f>
      </x:c>
      <x:c r="CD41" s="120" t="n">
        <x:f>SUM(CD38:CD40)</x:f>
      </x:c>
      <x:c r="CE41" s="120" t="n">
        <x:f>SUM(CE38:CE40)</x:f>
      </x:c>
      <x:c r="CF41" s="120" t="n">
        <x:f>SUM(CF38:CF40)</x:f>
      </x:c>
      <x:c r="CG41" s="120" t="n">
        <x:f>SUM(CG38:CG40)</x:f>
      </x:c>
      <x:c r="CH41" s="120" t="n">
        <x:f>SUM(CH38:CH40)</x:f>
      </x:c>
      <x:c r="CI41" s="120" t="n">
        <x:f>SUM(CI38:CI40)</x:f>
      </x:c>
      <x:c r="CJ41" s="120" t="n">
        <x:f>SUM(CJ38:CJ40)</x:f>
      </x:c>
      <x:c r="CK41" s="120" t="n">
        <x:f>SUM(CK38:CK40)</x:f>
      </x:c>
      <x:c r="CL41" s="120" t="n">
        <x:f>SUM(CL38:CL40)</x:f>
      </x:c>
      <x:c r="CM41" s="120" t="n">
        <x:f>SUM(CM38:CM40)</x:f>
      </x:c>
      <x:c r="CN41" s="120" t="n">
        <x:f>SUM(CN38:CN40)</x:f>
      </x:c>
      <x:c r="CO41" s="120" t="n">
        <x:f>SUM(CO38:CO40)</x:f>
      </x:c>
      <x:c r="CP41" s="120" t="n">
        <x:f>SUM(CP38:CP40)</x:f>
      </x:c>
      <x:c r="CQ41" s="120" t="n">
        <x:f>SUM(CQ38:CQ40)</x:f>
      </x:c>
      <x:c r="CR41" s="120" t="n">
        <x:f>SUM(CR38:CR40)</x:f>
      </x:c>
      <x:c r="CS41" s="120" t="n">
        <x:f>SUM(CS38:CS40)</x:f>
      </x:c>
      <x:c r="CT41" s="120" t="n">
        <x:f>SUM(CT38:CT40)</x:f>
      </x:c>
      <x:c r="CU41" s="120" t="n">
        <x:f>SUM(CU38:CU40)</x:f>
      </x:c>
      <x:c r="CV41" s="120" t="n">
        <x:f>SUM(CV38:CV40)</x:f>
      </x:c>
      <x:c r="CW41" s="120" t="n">
        <x:f>SUM(CW38:CW40)</x:f>
      </x:c>
      <x:c r="CX41" s="120" t="n">
        <x:f>SUM(CX38:CX40)</x:f>
      </x:c>
      <x:c r="CY41" s="120" t="n">
        <x:f>SUM(CY38:CY40)</x:f>
      </x:c>
      <x:c r="CZ41" s="120" t="n">
        <x:f>SUM(CZ38:CZ40)</x:f>
      </x:c>
      <x:c r="DA41" s="120" t="n">
        <x:f>SUM(DA38:DA40)</x:f>
      </x:c>
      <x:c r="DB41" s="120" t="n">
        <x:f>SUM(DB38:DB40)</x:f>
      </x:c>
      <x:c r="DC41" s="120" t="n">
        <x:f>SUM(DC38:DC40)</x:f>
      </x:c>
      <x:c r="DD41" s="120" t="n">
        <x:f>SUM(DD38:DD40)</x:f>
      </x:c>
      <x:c r="DE41" s="120" t="n">
        <x:f>SUM(DE38:DE40)</x:f>
      </x:c>
      <x:c r="DF41" s="120" t="n">
        <x:f>SUM(DF38:DF40)</x:f>
      </x:c>
      <x:c r="DG41" s="120" t="n">
        <x:f>SUM(DG38:DG40)</x:f>
      </x:c>
      <x:c r="DH41" s="120" t="n">
        <x:f>SUM(DH38:DH40)</x:f>
      </x:c>
      <x:c r="DI41" s="120" t="n">
        <x:f>SUM(DI38:DI40)</x:f>
      </x:c>
      <x:c r="DJ41" s="120" t="n">
        <x:f>SUM(DJ38:DJ40)</x:f>
      </x:c>
      <x:c r="DK41" s="120" t="n">
        <x:f>SUM(DK38:DK40)</x:f>
      </x:c>
      <x:c r="DL41" s="120" t="n">
        <x:f>SUM(DL38:DL40)</x:f>
      </x:c>
      <x:c r="DM41" s="120" t="n">
        <x:f>SUM(DM38:DM40)</x:f>
      </x:c>
      <x:c r="DN41" s="120" t="n">
        <x:f>SUM(DN38:DN40)</x:f>
      </x:c>
      <x:c r="DO41" s="120" t="n">
        <x:f>SUM(DO38:DO40)</x:f>
      </x:c>
      <x:c r="DP41" s="120" t="n">
        <x:f>SUM(DP38:DP40)</x:f>
      </x:c>
      <x:c r="DQ41" s="120" t="n">
        <x:f>SUM(DQ38:DQ40)</x:f>
      </x:c>
      <x:c r="DR41" s="120" t="n">
        <x:f>SUM(DR38:DR40)</x:f>
      </x:c>
      <x:c r="DS41" s="120" t="n">
        <x:f>SUM(DS38:DS40)</x:f>
      </x:c>
    </x:row>
    <x:row r="42">
      <x:c r="A42" t="str">
        <x:v>Остаток на конец</x:v>
      </x:c>
      <x:c r="B42" s="107" t="n">
        <x:f>DS42</x:f>
      </x:c>
      <x:c r="C42" t="str">
        <x:v>млн ₽</x:v>
      </x:c>
      <x:c r="D42" s="117" t="n">
        <x:f>MAX(0,D36+D37-D38)</x:f>
      </x:c>
      <x:c r="E42" s="117" t="n">
        <x:f>MAX(0,E36+E37-E38)</x:f>
      </x:c>
      <x:c r="F42" s="117" t="n">
        <x:f>MAX(0,F36+F37-F38)</x:f>
      </x:c>
      <x:c r="G42" s="117" t="n">
        <x:f>MAX(0,G36+G37-G38)</x:f>
      </x:c>
      <x:c r="H42" s="117" t="n">
        <x:f>MAX(0,H36+H37-H38)</x:f>
      </x:c>
      <x:c r="I42" s="117" t="n">
        <x:f>MAX(0,I36+I37-I38)</x:f>
      </x:c>
      <x:c r="J42" s="117" t="n">
        <x:f>MAX(0,J36+J37-J38)</x:f>
      </x:c>
      <x:c r="K42" s="117" t="n">
        <x:f>MAX(0,K36+K37-K38)</x:f>
      </x:c>
      <x:c r="L42" s="117" t="n">
        <x:f>MAX(0,L36+L37-L38)</x:f>
      </x:c>
      <x:c r="M42" s="117" t="n">
        <x:f>MAX(0,M36+M37-M38)</x:f>
      </x:c>
      <x:c r="N42" s="117" t="n">
        <x:f>MAX(0,N36+N37-N38)</x:f>
      </x:c>
      <x:c r="O42" s="117" t="n">
        <x:f>MAX(0,O36+O37-O38)</x:f>
      </x:c>
      <x:c r="P42" s="117" t="n">
        <x:f>MAX(0,P36+P37-P38)</x:f>
      </x:c>
      <x:c r="Q42" s="117" t="n">
        <x:f>MAX(0,Q36+Q37-Q38)</x:f>
      </x:c>
      <x:c r="R42" s="117" t="n">
        <x:f>MAX(0,R36+R37-R38)</x:f>
      </x:c>
      <x:c r="S42" s="117" t="n">
        <x:f>MAX(0,S36+S37-S38)</x:f>
      </x:c>
      <x:c r="T42" s="117" t="n">
        <x:f>MAX(0,T36+T37-T38)</x:f>
      </x:c>
      <x:c r="U42" s="117" t="n">
        <x:f>MAX(0,U36+U37-U38)</x:f>
      </x:c>
      <x:c r="V42" s="117" t="n">
        <x:f>MAX(0,V36+V37-V38)</x:f>
      </x:c>
      <x:c r="W42" s="117" t="n">
        <x:f>MAX(0,W36+W37-W38)</x:f>
      </x:c>
      <x:c r="X42" s="117" t="n">
        <x:f>MAX(0,X36+X37-X38)</x:f>
      </x:c>
      <x:c r="Y42" s="117" t="n">
        <x:f>MAX(0,Y36+Y37-Y38)</x:f>
      </x:c>
      <x:c r="Z42" s="117" t="n">
        <x:f>MAX(0,Z36+Z37-Z38)</x:f>
      </x:c>
      <x:c r="AA42" s="117" t="n">
        <x:f>MAX(0,AA36+AA37-AA38)</x:f>
      </x:c>
      <x:c r="AB42" s="117" t="n">
        <x:f>MAX(0,AB36+AB37-AB38)</x:f>
      </x:c>
      <x:c r="AC42" s="117" t="n">
        <x:f>MAX(0,AC36+AC37-AC38)</x:f>
      </x:c>
      <x:c r="AD42" s="117" t="n">
        <x:f>MAX(0,AD36+AD37-AD38)</x:f>
      </x:c>
      <x:c r="AE42" s="117" t="n">
        <x:f>MAX(0,AE36+AE37-AE38)</x:f>
      </x:c>
      <x:c r="AF42" s="117" t="n">
        <x:f>MAX(0,AF36+AF37-AF38)</x:f>
      </x:c>
      <x:c r="AG42" s="117" t="n">
        <x:f>MAX(0,AG36+AG37-AG38)</x:f>
      </x:c>
      <x:c r="AH42" s="117" t="n">
        <x:f>MAX(0,AH36+AH37-AH38)</x:f>
      </x:c>
      <x:c r="AI42" s="117" t="n">
        <x:f>MAX(0,AI36+AI37-AI38)</x:f>
      </x:c>
      <x:c r="AJ42" s="117" t="n">
        <x:f>MAX(0,AJ36+AJ37-AJ38)</x:f>
      </x:c>
      <x:c r="AK42" s="117" t="n">
        <x:f>MAX(0,AK36+AK37-AK38)</x:f>
      </x:c>
      <x:c r="AL42" s="117" t="n">
        <x:f>MAX(0,AL36+AL37-AL38)</x:f>
      </x:c>
      <x:c r="AM42" s="117" t="n">
        <x:f>MAX(0,AM36+AM37-AM38)</x:f>
      </x:c>
      <x:c r="AN42" s="117" t="n">
        <x:f>MAX(0,AN36+AN37-AN38)</x:f>
      </x:c>
      <x:c r="AO42" s="117" t="n">
        <x:f>MAX(0,AO36+AO37-AO38)</x:f>
      </x:c>
      <x:c r="AP42" s="117" t="n">
        <x:f>MAX(0,AP36+AP37-AP38)</x:f>
      </x:c>
      <x:c r="AQ42" s="117" t="n">
        <x:f>MAX(0,AQ36+AQ37-AQ38)</x:f>
      </x:c>
      <x:c r="AR42" s="117" t="n">
        <x:f>MAX(0,AR36+AR37-AR38)</x:f>
      </x:c>
      <x:c r="AS42" s="117" t="n">
        <x:f>MAX(0,AS36+AS37-AS38)</x:f>
      </x:c>
      <x:c r="AT42" s="117" t="n">
        <x:f>MAX(0,AT36+AT37-AT38)</x:f>
      </x:c>
      <x:c r="AU42" s="117" t="n">
        <x:f>MAX(0,AU36+AU37-AU38)</x:f>
      </x:c>
      <x:c r="AV42" s="117" t="n">
        <x:f>MAX(0,AV36+AV37-AV38)</x:f>
      </x:c>
      <x:c r="AW42" s="117" t="n">
        <x:f>MAX(0,AW36+AW37-AW38)</x:f>
      </x:c>
      <x:c r="AX42" s="117" t="n">
        <x:f>MAX(0,AX36+AX37-AX38)</x:f>
      </x:c>
      <x:c r="AY42" s="117" t="n">
        <x:f>MAX(0,AY36+AY37-AY38)</x:f>
      </x:c>
      <x:c r="AZ42" s="117" t="n">
        <x:f>MAX(0,AZ36+AZ37-AZ38)</x:f>
      </x:c>
      <x:c r="BA42" s="117" t="n">
        <x:f>MAX(0,BA36+BA37-BA38)</x:f>
      </x:c>
      <x:c r="BB42" s="117" t="n">
        <x:f>MAX(0,BB36+BB37-BB38)</x:f>
      </x:c>
      <x:c r="BC42" s="117" t="n">
        <x:f>MAX(0,BC36+BC37-BC38)</x:f>
      </x:c>
      <x:c r="BD42" s="117" t="n">
        <x:f>MAX(0,BD36+BD37-BD38)</x:f>
      </x:c>
      <x:c r="BE42" s="117" t="n">
        <x:f>MAX(0,BE36+BE37-BE38)</x:f>
      </x:c>
      <x:c r="BF42" s="117" t="n">
        <x:f>MAX(0,BF36+BF37-BF38)</x:f>
      </x:c>
      <x:c r="BG42" s="117" t="n">
        <x:f>MAX(0,BG36+BG37-BG38)</x:f>
      </x:c>
      <x:c r="BH42" s="117" t="n">
        <x:f>MAX(0,BH36+BH37-BH38)</x:f>
      </x:c>
      <x:c r="BI42" s="117" t="n">
        <x:f>MAX(0,BI36+BI37-BI38)</x:f>
      </x:c>
      <x:c r="BJ42" s="117" t="n">
        <x:f>MAX(0,BJ36+BJ37-BJ38)</x:f>
      </x:c>
      <x:c r="BK42" s="117" t="n">
        <x:f>MAX(0,BK36+BK37-BK38)</x:f>
      </x:c>
      <x:c r="BL42" s="117" t="n">
        <x:f>MAX(0,BL36+BL37-BL38)</x:f>
      </x:c>
      <x:c r="BM42" s="117" t="n">
        <x:f>MAX(0,BM36+BM37-BM38)</x:f>
      </x:c>
      <x:c r="BN42" s="117" t="n">
        <x:f>MAX(0,BN36+BN37-BN38)</x:f>
      </x:c>
      <x:c r="BO42" s="117" t="n">
        <x:f>MAX(0,BO36+BO37-BO38)</x:f>
      </x:c>
      <x:c r="BP42" s="117" t="n">
        <x:f>MAX(0,BP36+BP37-BP38)</x:f>
      </x:c>
      <x:c r="BQ42" s="117" t="n">
        <x:f>MAX(0,BQ36+BQ37-BQ38)</x:f>
      </x:c>
      <x:c r="BR42" s="117" t="n">
        <x:f>MAX(0,BR36+BR37-BR38)</x:f>
      </x:c>
      <x:c r="BS42" s="117" t="n">
        <x:f>MAX(0,BS36+BS37-BS38)</x:f>
      </x:c>
      <x:c r="BT42" s="117" t="n">
        <x:f>MAX(0,BT36+BT37-BT38)</x:f>
      </x:c>
      <x:c r="BU42" s="117" t="n">
        <x:f>MAX(0,BU36+BU37-BU38)</x:f>
      </x:c>
      <x:c r="BV42" s="117" t="n">
        <x:f>MAX(0,BV36+BV37-BV38)</x:f>
      </x:c>
      <x:c r="BW42" s="117" t="n">
        <x:f>MAX(0,BW36+BW37-BW38)</x:f>
      </x:c>
      <x:c r="BX42" s="117" t="n">
        <x:f>MAX(0,BX36+BX37-BX38)</x:f>
      </x:c>
      <x:c r="BY42" s="117" t="n">
        <x:f>MAX(0,BY36+BY37-BY38)</x:f>
      </x:c>
      <x:c r="BZ42" s="117" t="n">
        <x:f>MAX(0,BZ36+BZ37-BZ38)</x:f>
      </x:c>
      <x:c r="CA42" s="117" t="n">
        <x:f>MAX(0,CA36+CA37-CA38)</x:f>
      </x:c>
      <x:c r="CB42" s="117" t="n">
        <x:f>MAX(0,CB36+CB37-CB38)</x:f>
      </x:c>
      <x:c r="CC42" s="117" t="n">
        <x:f>MAX(0,CC36+CC37-CC38)</x:f>
      </x:c>
      <x:c r="CD42" s="117" t="n">
        <x:f>MAX(0,CD36+CD37-CD38)</x:f>
      </x:c>
      <x:c r="CE42" s="117" t="n">
        <x:f>MAX(0,CE36+CE37-CE38)</x:f>
      </x:c>
      <x:c r="CF42" s="117" t="n">
        <x:f>MAX(0,CF36+CF37-CF38)</x:f>
      </x:c>
      <x:c r="CG42" s="117" t="n">
        <x:f>MAX(0,CG36+CG37-CG38)</x:f>
      </x:c>
      <x:c r="CH42" s="117" t="n">
        <x:f>MAX(0,CH36+CH37-CH38)</x:f>
      </x:c>
      <x:c r="CI42" s="117" t="n">
        <x:f>MAX(0,CI36+CI37-CI38)</x:f>
      </x:c>
      <x:c r="CJ42" s="117" t="n">
        <x:f>MAX(0,CJ36+CJ37-CJ38)</x:f>
      </x:c>
      <x:c r="CK42" s="117" t="n">
        <x:f>MAX(0,CK36+CK37-CK38)</x:f>
      </x:c>
      <x:c r="CL42" s="117" t="n">
        <x:f>MAX(0,CL36+CL37-CL38)</x:f>
      </x:c>
      <x:c r="CM42" s="117" t="n">
        <x:f>MAX(0,CM36+CM37-CM38)</x:f>
      </x:c>
      <x:c r="CN42" s="117" t="n">
        <x:f>MAX(0,CN36+CN37-CN38)</x:f>
      </x:c>
      <x:c r="CO42" s="117" t="n">
        <x:f>MAX(0,CO36+CO37-CO38)</x:f>
      </x:c>
      <x:c r="CP42" s="117" t="n">
        <x:f>MAX(0,CP36+CP37-CP38)</x:f>
      </x:c>
      <x:c r="CQ42" s="117" t="n">
        <x:f>MAX(0,CQ36+CQ37-CQ38)</x:f>
      </x:c>
      <x:c r="CR42" s="117" t="n">
        <x:f>MAX(0,CR36+CR37-CR38)</x:f>
      </x:c>
      <x:c r="CS42" s="117" t="n">
        <x:f>MAX(0,CS36+CS37-CS38)</x:f>
      </x:c>
      <x:c r="CT42" s="117" t="n">
        <x:f>MAX(0,CT36+CT37-CT38)</x:f>
      </x:c>
      <x:c r="CU42" s="117" t="n">
        <x:f>MAX(0,CU36+CU37-CU38)</x:f>
      </x:c>
      <x:c r="CV42" s="117" t="n">
        <x:f>MAX(0,CV36+CV37-CV38)</x:f>
      </x:c>
      <x:c r="CW42" s="117" t="n">
        <x:f>MAX(0,CW36+CW37-CW38)</x:f>
      </x:c>
      <x:c r="CX42" s="117" t="n">
        <x:f>MAX(0,CX36+CX37-CX38)</x:f>
      </x:c>
      <x:c r="CY42" s="117" t="n">
        <x:f>MAX(0,CY36+CY37-CY38)</x:f>
      </x:c>
      <x:c r="CZ42" s="117" t="n">
        <x:f>MAX(0,CZ36+CZ37-CZ38)</x:f>
      </x:c>
      <x:c r="DA42" s="117" t="n">
        <x:f>MAX(0,DA36+DA37-DA38)</x:f>
      </x:c>
      <x:c r="DB42" s="117" t="n">
        <x:f>MAX(0,DB36+DB37-DB38)</x:f>
      </x:c>
      <x:c r="DC42" s="117" t="n">
        <x:f>MAX(0,DC36+DC37-DC38)</x:f>
      </x:c>
      <x:c r="DD42" s="117" t="n">
        <x:f>MAX(0,DD36+DD37-DD38)</x:f>
      </x:c>
      <x:c r="DE42" s="117" t="n">
        <x:f>MAX(0,DE36+DE37-DE38)</x:f>
      </x:c>
      <x:c r="DF42" s="117" t="n">
        <x:f>MAX(0,DF36+DF37-DF38)</x:f>
      </x:c>
      <x:c r="DG42" s="117" t="n">
        <x:f>MAX(0,DG36+DG37-DG38)</x:f>
      </x:c>
      <x:c r="DH42" s="117" t="n">
        <x:f>MAX(0,DH36+DH37-DH38)</x:f>
      </x:c>
      <x:c r="DI42" s="117" t="n">
        <x:f>MAX(0,DI36+DI37-DI38)</x:f>
      </x:c>
      <x:c r="DJ42" s="117" t="n">
        <x:f>MAX(0,DJ36+DJ37-DJ38)</x:f>
      </x:c>
      <x:c r="DK42" s="117" t="n">
        <x:f>MAX(0,DK36+DK37-DK38)</x:f>
      </x:c>
      <x:c r="DL42" s="117" t="n">
        <x:f>MAX(0,DL36+DL37-DL38)</x:f>
      </x:c>
      <x:c r="DM42" s="117" t="n">
        <x:f>MAX(0,DM36+DM37-DM38)</x:f>
      </x:c>
      <x:c r="DN42" s="117" t="n">
        <x:f>MAX(0,DN36+DN37-DN38)</x:f>
      </x:c>
      <x:c r="DO42" s="117" t="n">
        <x:f>MAX(0,DO36+DO37-DO38)</x:f>
      </x:c>
      <x:c r="DP42" s="117" t="n">
        <x:f>MAX(0,DP36+DP37-DP38)</x:f>
      </x:c>
      <x:c r="DQ42" s="117" t="n">
        <x:f>MAX(0,DQ36+DQ37-DQ38)</x:f>
      </x:c>
      <x:c r="DR42" s="117" t="n">
        <x:f>MAX(0,DR36+DR37-DR38)</x:f>
      </x:c>
      <x:c r="DS42" s="117" t="n">
        <x:f>MAX(0,DS36+DS37-DS38)</x:f>
      </x:c>
    </x:row>
    <x:row r="43">
      <x:c r="A43" t="str">
        <x:v>Ставка по рассрочке</x:v>
      </x:c>
      <x:c r="B43" t="n">
        <x:f>IFERROR(SUMPRODUCT(D43:DS43,--(D36:DS36&gt;0))/COUNTIF(D36:DS36,"&gt;0"),0)</x:f>
      </x:c>
      <x:c r="C43" t="str">
        <x:v>% год</x:v>
      </x:c>
      <x:c r="D43" s="35" t="n">
        <x:f>'Ставки'!D$5+'Вводные'!$B$81</x:f>
      </x:c>
      <x:c r="E43" s="35" t="n">
        <x:f>'Ставки'!E$5+'Вводные'!$B$81</x:f>
      </x:c>
      <x:c r="F43" s="35" t="n">
        <x:f>'Ставки'!F$5+'Вводные'!$B$81</x:f>
      </x:c>
      <x:c r="G43" s="35" t="n">
        <x:f>'Ставки'!G$5+'Вводные'!$B$81</x:f>
      </x:c>
      <x:c r="H43" s="35" t="n">
        <x:f>'Ставки'!H$5+'Вводные'!$B$81</x:f>
      </x:c>
      <x:c r="I43" s="35" t="n">
        <x:f>'Ставки'!I$5+'Вводные'!$B$81</x:f>
      </x:c>
      <x:c r="J43" s="35" t="n">
        <x:f>'Ставки'!J$5+'Вводные'!$B$81</x:f>
      </x:c>
      <x:c r="K43" s="35" t="n">
        <x:f>'Ставки'!K$5+'Вводные'!$B$81</x:f>
      </x:c>
      <x:c r="L43" s="35" t="n">
        <x:f>'Ставки'!L$5+'Вводные'!$B$81</x:f>
      </x:c>
      <x:c r="M43" s="35" t="n">
        <x:f>'Ставки'!M$5+'Вводные'!$B$81</x:f>
      </x:c>
      <x:c r="N43" s="35" t="n">
        <x:f>'Ставки'!N$5+'Вводные'!$B$81</x:f>
      </x:c>
      <x:c r="O43" s="35" t="n">
        <x:f>'Ставки'!O$5+'Вводные'!$B$81</x:f>
      </x:c>
      <x:c r="P43" s="35" t="n">
        <x:f>'Ставки'!P$5+'Вводные'!$B$81</x:f>
      </x:c>
      <x:c r="Q43" s="35" t="n">
        <x:f>'Ставки'!Q$5+'Вводные'!$B$81</x:f>
      </x:c>
      <x:c r="R43" s="35" t="n">
        <x:f>'Ставки'!R$5+'Вводные'!$B$81</x:f>
      </x:c>
      <x:c r="S43" s="35" t="n">
        <x:f>'Ставки'!S$5+'Вводные'!$B$81</x:f>
      </x:c>
      <x:c r="T43" s="35" t="n">
        <x:f>'Ставки'!T$5+'Вводные'!$B$81</x:f>
      </x:c>
      <x:c r="U43" s="35" t="n">
        <x:f>'Ставки'!U$5+'Вводные'!$B$81</x:f>
      </x:c>
      <x:c r="V43" s="35" t="n">
        <x:f>'Ставки'!V$5+'Вводные'!$B$81</x:f>
      </x:c>
      <x:c r="W43" s="35" t="n">
        <x:f>'Ставки'!W$5+'Вводные'!$B$81</x:f>
      </x:c>
      <x:c r="X43" s="35" t="n">
        <x:f>'Ставки'!X$5+'Вводные'!$B$81</x:f>
      </x:c>
      <x:c r="Y43" s="35" t="n">
        <x:f>'Ставки'!Y$5+'Вводные'!$B$81</x:f>
      </x:c>
      <x:c r="Z43" s="35" t="n">
        <x:f>'Ставки'!Z$5+'Вводные'!$B$81</x:f>
      </x:c>
      <x:c r="AA43" s="35" t="n">
        <x:f>'Ставки'!AA$5+'Вводные'!$B$81</x:f>
      </x:c>
      <x:c r="AB43" s="35" t="n">
        <x:f>'Ставки'!AB$5+'Вводные'!$B$81</x:f>
      </x:c>
      <x:c r="AC43" s="35" t="n">
        <x:f>'Ставки'!AC$5+'Вводные'!$B$81</x:f>
      </x:c>
      <x:c r="AD43" s="35" t="n">
        <x:f>'Ставки'!AD$5+'Вводные'!$B$81</x:f>
      </x:c>
      <x:c r="AE43" s="35" t="n">
        <x:f>'Ставки'!AE$5+'Вводные'!$B$81</x:f>
      </x:c>
      <x:c r="AF43" s="35" t="n">
        <x:f>'Ставки'!AF$5+'Вводные'!$B$81</x:f>
      </x:c>
      <x:c r="AG43" s="35" t="n">
        <x:f>'Ставки'!AG$5+'Вводные'!$B$81</x:f>
      </x:c>
      <x:c r="AH43" s="35" t="n">
        <x:f>'Ставки'!AH$5+'Вводные'!$B$81</x:f>
      </x:c>
      <x:c r="AI43" s="35" t="n">
        <x:f>'Ставки'!AI$5+'Вводные'!$B$81</x:f>
      </x:c>
      <x:c r="AJ43" s="35" t="n">
        <x:f>'Ставки'!AJ$5+'Вводные'!$B$81</x:f>
      </x:c>
      <x:c r="AK43" s="35" t="n">
        <x:f>'Ставки'!AK$5+'Вводные'!$B$81</x:f>
      </x:c>
      <x:c r="AL43" s="35" t="n">
        <x:f>'Ставки'!AL$5+'Вводные'!$B$81</x:f>
      </x:c>
      <x:c r="AM43" s="35" t="n">
        <x:f>'Ставки'!AM$5+'Вводные'!$B$81</x:f>
      </x:c>
      <x:c r="AN43" s="35" t="n">
        <x:f>'Ставки'!AN$5+'Вводные'!$B$81</x:f>
      </x:c>
      <x:c r="AO43" s="35" t="n">
        <x:f>'Ставки'!AO$5+'Вводные'!$B$81</x:f>
      </x:c>
      <x:c r="AP43" s="35" t="n">
        <x:f>'Ставки'!AP$5+'Вводные'!$B$81</x:f>
      </x:c>
      <x:c r="AQ43" s="35" t="n">
        <x:f>'Ставки'!AQ$5+'Вводные'!$B$81</x:f>
      </x:c>
      <x:c r="AR43" s="35" t="n">
        <x:f>'Ставки'!AR$5+'Вводные'!$B$81</x:f>
      </x:c>
      <x:c r="AS43" s="35" t="n">
        <x:f>'Ставки'!AS$5+'Вводные'!$B$81</x:f>
      </x:c>
      <x:c r="AT43" s="35" t="n">
        <x:f>'Ставки'!AT$5+'Вводные'!$B$81</x:f>
      </x:c>
      <x:c r="AU43" s="35" t="n">
        <x:f>'Ставки'!AU$5+'Вводные'!$B$81</x:f>
      </x:c>
      <x:c r="AV43" s="35" t="n">
        <x:f>'Ставки'!AV$5+'Вводные'!$B$81</x:f>
      </x:c>
      <x:c r="AW43" s="35" t="n">
        <x:f>'Ставки'!AW$5+'Вводные'!$B$81</x:f>
      </x:c>
      <x:c r="AX43" s="35" t="n">
        <x:f>'Ставки'!AX$5+'Вводные'!$B$81</x:f>
      </x:c>
      <x:c r="AY43" s="35" t="n">
        <x:f>'Ставки'!AY$5+'Вводные'!$B$81</x:f>
      </x:c>
      <x:c r="AZ43" s="35" t="n">
        <x:f>'Ставки'!AZ$5+'Вводные'!$B$81</x:f>
      </x:c>
      <x:c r="BA43" s="35" t="n">
        <x:f>'Ставки'!BA$5+'Вводные'!$B$81</x:f>
      </x:c>
      <x:c r="BB43" s="35" t="n">
        <x:f>'Ставки'!BB$5+'Вводные'!$B$81</x:f>
      </x:c>
      <x:c r="BC43" s="35" t="n">
        <x:f>'Ставки'!BC$5+'Вводные'!$B$81</x:f>
      </x:c>
      <x:c r="BD43" s="35" t="n">
        <x:f>'Ставки'!BD$5+'Вводные'!$B$81</x:f>
      </x:c>
      <x:c r="BE43" s="35" t="n">
        <x:f>'Ставки'!BE$5+'Вводные'!$B$81</x:f>
      </x:c>
      <x:c r="BF43" s="35" t="n">
        <x:f>'Ставки'!BF$5+'Вводные'!$B$81</x:f>
      </x:c>
      <x:c r="BG43" s="35" t="n">
        <x:f>'Ставки'!BG$5+'Вводные'!$B$81</x:f>
      </x:c>
      <x:c r="BH43" s="35" t="n">
        <x:f>'Ставки'!BH$5+'Вводные'!$B$81</x:f>
      </x:c>
      <x:c r="BI43" s="35" t="n">
        <x:f>'Ставки'!BI$5+'Вводные'!$B$81</x:f>
      </x:c>
      <x:c r="BJ43" s="35" t="n">
        <x:f>'Ставки'!BJ$5+'Вводные'!$B$81</x:f>
      </x:c>
      <x:c r="BK43" s="35" t="n">
        <x:f>'Ставки'!BK$5+'Вводные'!$B$81</x:f>
      </x:c>
      <x:c r="BL43" s="35" t="n">
        <x:f>'Ставки'!BL$5+'Вводные'!$B$81</x:f>
      </x:c>
      <x:c r="BM43" s="35" t="n">
        <x:f>'Ставки'!BM$5+'Вводные'!$B$81</x:f>
      </x:c>
      <x:c r="BN43" s="35" t="n">
        <x:f>'Ставки'!BN$5+'Вводные'!$B$81</x:f>
      </x:c>
      <x:c r="BO43" s="35" t="n">
        <x:f>'Ставки'!BO$5+'Вводные'!$B$81</x:f>
      </x:c>
      <x:c r="BP43" s="35" t="n">
        <x:f>'Ставки'!BP$5+'Вводные'!$B$81</x:f>
      </x:c>
      <x:c r="BQ43" s="35" t="n">
        <x:f>'Ставки'!BQ$5+'Вводные'!$B$81</x:f>
      </x:c>
      <x:c r="BR43" s="35" t="n">
        <x:f>'Ставки'!BR$5+'Вводные'!$B$81</x:f>
      </x:c>
      <x:c r="BS43" s="35" t="n">
        <x:f>'Ставки'!BS$5+'Вводные'!$B$81</x:f>
      </x:c>
      <x:c r="BT43" s="35" t="n">
        <x:f>'Ставки'!BT$5+'Вводные'!$B$81</x:f>
      </x:c>
      <x:c r="BU43" s="35" t="n">
        <x:f>'Ставки'!BU$5+'Вводные'!$B$81</x:f>
      </x:c>
      <x:c r="BV43" s="35" t="n">
        <x:f>'Ставки'!BV$5+'Вводные'!$B$81</x:f>
      </x:c>
      <x:c r="BW43" s="35" t="n">
        <x:f>'Ставки'!BW$5+'Вводные'!$B$81</x:f>
      </x:c>
      <x:c r="BX43" s="35" t="n">
        <x:f>'Ставки'!BX$5+'Вводные'!$B$81</x:f>
      </x:c>
      <x:c r="BY43" s="35" t="n">
        <x:f>'Ставки'!BY$5+'Вводные'!$B$81</x:f>
      </x:c>
      <x:c r="BZ43" s="35" t="n">
        <x:f>'Ставки'!BZ$5+'Вводные'!$B$81</x:f>
      </x:c>
      <x:c r="CA43" s="35" t="n">
        <x:f>'Ставки'!CA$5+'Вводные'!$B$81</x:f>
      </x:c>
      <x:c r="CB43" s="35" t="n">
        <x:f>'Ставки'!CB$5+'Вводные'!$B$81</x:f>
      </x:c>
      <x:c r="CC43" s="35" t="n">
        <x:f>'Ставки'!CC$5+'Вводные'!$B$81</x:f>
      </x:c>
      <x:c r="CD43" s="35" t="n">
        <x:f>'Ставки'!CD$5+'Вводные'!$B$81</x:f>
      </x:c>
      <x:c r="CE43" s="35" t="n">
        <x:f>'Ставки'!CE$5+'Вводные'!$B$81</x:f>
      </x:c>
      <x:c r="CF43" s="35" t="n">
        <x:f>'Ставки'!CF$5+'Вводные'!$B$81</x:f>
      </x:c>
      <x:c r="CG43" s="35" t="n">
        <x:f>'Ставки'!CG$5+'Вводные'!$B$81</x:f>
      </x:c>
      <x:c r="CH43" s="35" t="n">
        <x:f>'Ставки'!CH$5+'Вводные'!$B$81</x:f>
      </x:c>
      <x:c r="CI43" s="35" t="n">
        <x:f>'Ставки'!CI$5+'Вводные'!$B$81</x:f>
      </x:c>
      <x:c r="CJ43" s="35" t="n">
        <x:f>'Ставки'!CJ$5+'Вводные'!$B$81</x:f>
      </x:c>
      <x:c r="CK43" s="35" t="n">
        <x:f>'Ставки'!CK$5+'Вводные'!$B$81</x:f>
      </x:c>
      <x:c r="CL43" s="35" t="n">
        <x:f>'Ставки'!CL$5+'Вводные'!$B$81</x:f>
      </x:c>
      <x:c r="CM43" s="35" t="n">
        <x:f>'Ставки'!CM$5+'Вводные'!$B$81</x:f>
      </x:c>
      <x:c r="CN43" s="35" t="n">
        <x:f>'Ставки'!CN$5+'Вводные'!$B$81</x:f>
      </x:c>
      <x:c r="CO43" s="35" t="n">
        <x:f>'Ставки'!CO$5+'Вводные'!$B$81</x:f>
      </x:c>
      <x:c r="CP43" s="35" t="n">
        <x:f>'Ставки'!CP$5+'Вводные'!$B$81</x:f>
      </x:c>
      <x:c r="CQ43" s="35" t="n">
        <x:f>'Ставки'!CQ$5+'Вводные'!$B$81</x:f>
      </x:c>
      <x:c r="CR43" s="35" t="n">
        <x:f>'Ставки'!CR$5+'Вводные'!$B$81</x:f>
      </x:c>
      <x:c r="CS43" s="35" t="n">
        <x:f>'Ставки'!CS$5+'Вводные'!$B$81</x:f>
      </x:c>
      <x:c r="CT43" s="35" t="n">
        <x:f>'Ставки'!CT$5+'Вводные'!$B$81</x:f>
      </x:c>
      <x:c r="CU43" s="35" t="n">
        <x:f>'Ставки'!CU$5+'Вводные'!$B$81</x:f>
      </x:c>
      <x:c r="CV43" s="35" t="n">
        <x:f>'Ставки'!CV$5+'Вводные'!$B$81</x:f>
      </x:c>
      <x:c r="CW43" s="35" t="n">
        <x:f>'Ставки'!CW$5+'Вводные'!$B$81</x:f>
      </x:c>
      <x:c r="CX43" s="35" t="n">
        <x:f>'Ставки'!CX$5+'Вводные'!$B$81</x:f>
      </x:c>
      <x:c r="CY43" s="35" t="n">
        <x:f>'Ставки'!CY$5+'Вводные'!$B$81</x:f>
      </x:c>
      <x:c r="CZ43" s="35" t="n">
        <x:f>'Ставки'!CZ$5+'Вводные'!$B$81</x:f>
      </x:c>
      <x:c r="DA43" s="35" t="n">
        <x:f>'Ставки'!DA$5+'Вводные'!$B$81</x:f>
      </x:c>
      <x:c r="DB43" s="35" t="n">
        <x:f>'Ставки'!DB$5+'Вводные'!$B$81</x:f>
      </x:c>
      <x:c r="DC43" s="35" t="n">
        <x:f>'Ставки'!DC$5+'Вводные'!$B$81</x:f>
      </x:c>
      <x:c r="DD43" s="35" t="n">
        <x:f>'Ставки'!DD$5+'Вводные'!$B$81</x:f>
      </x:c>
      <x:c r="DE43" s="35" t="n">
        <x:f>'Ставки'!DE$5+'Вводные'!$B$81</x:f>
      </x:c>
      <x:c r="DF43" s="35" t="n">
        <x:f>'Ставки'!DF$5+'Вводные'!$B$81</x:f>
      </x:c>
      <x:c r="DG43" s="35" t="n">
        <x:f>'Ставки'!DG$5+'Вводные'!$B$81</x:f>
      </x:c>
      <x:c r="DH43" s="35" t="n">
        <x:f>'Ставки'!DH$5+'Вводные'!$B$81</x:f>
      </x:c>
      <x:c r="DI43" s="35" t="n">
        <x:f>'Ставки'!DI$5+'Вводные'!$B$81</x:f>
      </x:c>
      <x:c r="DJ43" s="35" t="n">
        <x:f>'Ставки'!DJ$5+'Вводные'!$B$81</x:f>
      </x:c>
      <x:c r="DK43" s="35" t="n">
        <x:f>'Ставки'!DK$5+'Вводные'!$B$81</x:f>
      </x:c>
      <x:c r="DL43" s="35" t="n">
        <x:f>'Ставки'!DL$5+'Вводные'!$B$81</x:f>
      </x:c>
      <x:c r="DM43" s="35" t="n">
        <x:f>'Ставки'!DM$5+'Вводные'!$B$81</x:f>
      </x:c>
      <x:c r="DN43" s="35" t="n">
        <x:f>'Ставки'!DN$5+'Вводные'!$B$81</x:f>
      </x:c>
      <x:c r="DO43" s="35" t="n">
        <x:f>'Ставки'!DO$5+'Вводные'!$B$81</x:f>
      </x:c>
      <x:c r="DP43" s="35" t="n">
        <x:f>'Ставки'!DP$5+'Вводные'!$B$81</x:f>
      </x:c>
      <x:c r="DQ43" s="35" t="n">
        <x:f>'Ставки'!DQ$5+'Вводные'!$B$81</x:f>
      </x:c>
      <x:c r="DR43" s="35" t="n">
        <x:f>'Ставки'!DR$5+'Вводные'!$B$81</x:f>
      </x:c>
      <x:c r="DS43" s="35" t="n">
        <x:f>'Ставки'!DS$5+'Вводные'!$B$81</x:f>
      </x:c>
    </x:row>
    <x:row r="45" ht="21" customHeight="1">
      <x:c r="A45" s="52" t="str">
        <x:v>ОЧЕРЕДЬ 4</x:v>
      </x:c>
      <x:c r="B45" s="53" t="str">
        <x:v>ОЧЕРЕДЬ 4</x:v>
      </x:c>
      <x:c r="C45" s="53" t="str">
        <x:v>ОЧЕРЕДЬ 4</x:v>
      </x:c>
      <x:c r="D45" s="53" t="str">
        <x:v>ОЧЕРЕДЬ 4</x:v>
      </x:c>
      <x:c r="E45" s="53" t="str">
        <x:v>ОЧЕРЕДЬ 4</x:v>
      </x:c>
      <x:c r="F45" s="53" t="str">
        <x:v>ОЧЕРЕДЬ 4</x:v>
      </x:c>
      <x:c r="G45" s="53" t="str">
        <x:v>ОЧЕРЕДЬ 4</x:v>
      </x:c>
      <x:c r="H45" s="53" t="str">
        <x:v>ОЧЕРЕДЬ 4</x:v>
      </x:c>
      <x:c r="I45" s="53" t="str">
        <x:v>ОЧЕРЕДЬ 4</x:v>
      </x:c>
      <x:c r="J45" s="53" t="str">
        <x:v>ОЧЕРЕДЬ 4</x:v>
      </x:c>
      <x:c r="K45" s="53" t="str">
        <x:v>ОЧЕРЕДЬ 4</x:v>
      </x:c>
      <x:c r="L45" s="53" t="str">
        <x:v>ОЧЕРЕДЬ 4</x:v>
      </x:c>
      <x:c r="M45" s="53" t="str">
        <x:v>ОЧЕРЕДЬ 4</x:v>
      </x:c>
      <x:c r="N45" s="53" t="str">
        <x:v>ОЧЕРЕДЬ 4</x:v>
      </x:c>
      <x:c r="O45" s="53" t="str">
        <x:v>ОЧЕРЕДЬ 4</x:v>
      </x:c>
      <x:c r="P45" s="53" t="str">
        <x:v>ОЧЕРЕДЬ 4</x:v>
      </x:c>
      <x:c r="Q45" s="53" t="str">
        <x:v>ОЧЕРЕДЬ 4</x:v>
      </x:c>
      <x:c r="R45" s="53" t="str">
        <x:v>ОЧЕРЕДЬ 4</x:v>
      </x:c>
      <x:c r="S45" s="53" t="str">
        <x:v>ОЧЕРЕДЬ 4</x:v>
      </x:c>
      <x:c r="T45" s="53" t="str">
        <x:v>ОЧЕРЕДЬ 4</x:v>
      </x:c>
      <x:c r="U45" s="53" t="str">
        <x:v>ОЧЕРЕДЬ 4</x:v>
      </x:c>
      <x:c r="V45" s="53" t="str">
        <x:v>ОЧЕРЕДЬ 4</x:v>
      </x:c>
      <x:c r="W45" s="53" t="str">
        <x:v>ОЧЕРЕДЬ 4</x:v>
      </x:c>
      <x:c r="X45" s="53" t="str">
        <x:v>ОЧЕРЕДЬ 4</x:v>
      </x:c>
      <x:c r="Y45" s="53" t="str">
        <x:v>ОЧЕРЕДЬ 4</x:v>
      </x:c>
      <x:c r="Z45" s="53" t="str">
        <x:v>ОЧЕРЕДЬ 4</x:v>
      </x:c>
      <x:c r="AA45" s="53" t="str">
        <x:v>ОЧЕРЕДЬ 4</x:v>
      </x:c>
      <x:c r="AB45" s="53" t="str">
        <x:v>ОЧЕРЕДЬ 4</x:v>
      </x:c>
      <x:c r="AC45" s="53" t="str">
        <x:v>ОЧЕРЕДЬ 4</x:v>
      </x:c>
      <x:c r="AD45" s="53" t="str">
        <x:v>ОЧЕРЕДЬ 4</x:v>
      </x:c>
      <x:c r="AE45" s="53" t="str">
        <x:v>ОЧЕРЕДЬ 4</x:v>
      </x:c>
      <x:c r="AF45" s="53" t="str">
        <x:v>ОЧЕРЕДЬ 4</x:v>
      </x:c>
      <x:c r="AG45" s="53" t="str">
        <x:v>ОЧЕРЕДЬ 4</x:v>
      </x:c>
      <x:c r="AH45" s="53" t="str">
        <x:v>ОЧЕРЕДЬ 4</x:v>
      </x:c>
      <x:c r="AI45" s="53" t="str">
        <x:v>ОЧЕРЕДЬ 4</x:v>
      </x:c>
      <x:c r="AJ45" s="53" t="str">
        <x:v>ОЧЕРЕДЬ 4</x:v>
      </x:c>
      <x:c r="AK45" s="53" t="str">
        <x:v>ОЧЕРЕДЬ 4</x:v>
      </x:c>
      <x:c r="AL45" s="53" t="str">
        <x:v>ОЧЕРЕДЬ 4</x:v>
      </x:c>
      <x:c r="AM45" s="53" t="str">
        <x:v>ОЧЕРЕДЬ 4</x:v>
      </x:c>
      <x:c r="AN45" s="53" t="str">
        <x:v>ОЧЕРЕДЬ 4</x:v>
      </x:c>
      <x:c r="AO45" s="53" t="str">
        <x:v>ОЧЕРЕДЬ 4</x:v>
      </x:c>
      <x:c r="AP45" s="53" t="str">
        <x:v>ОЧЕРЕДЬ 4</x:v>
      </x:c>
      <x:c r="AQ45" s="53" t="str">
        <x:v>ОЧЕРЕДЬ 4</x:v>
      </x:c>
      <x:c r="AR45" s="53" t="str">
        <x:v>ОЧЕРЕДЬ 4</x:v>
      </x:c>
      <x:c r="AS45" s="53" t="str">
        <x:v>ОЧЕРЕДЬ 4</x:v>
      </x:c>
      <x:c r="AT45" s="53" t="str">
        <x:v>ОЧЕРЕДЬ 4</x:v>
      </x:c>
      <x:c r="AU45" s="53" t="str">
        <x:v>ОЧЕРЕДЬ 4</x:v>
      </x:c>
      <x:c r="AV45" s="53" t="str">
        <x:v>ОЧЕРЕДЬ 4</x:v>
      </x:c>
      <x:c r="AW45" s="53" t="str">
        <x:v>ОЧЕРЕДЬ 4</x:v>
      </x:c>
      <x:c r="AX45" s="53" t="str">
        <x:v>ОЧЕРЕДЬ 4</x:v>
      </x:c>
      <x:c r="AY45" s="53" t="str">
        <x:v>ОЧЕРЕДЬ 4</x:v>
      </x:c>
      <x:c r="AZ45" s="53" t="str">
        <x:v>ОЧЕРЕДЬ 4</x:v>
      </x:c>
      <x:c r="BA45" s="53" t="str">
        <x:v>ОЧЕРЕДЬ 4</x:v>
      </x:c>
      <x:c r="BB45" s="53" t="str">
        <x:v>ОЧЕРЕДЬ 4</x:v>
      </x:c>
      <x:c r="BC45" s="53" t="str">
        <x:v>ОЧЕРЕДЬ 4</x:v>
      </x:c>
      <x:c r="BD45" s="53" t="str">
        <x:v>ОЧЕРЕДЬ 4</x:v>
      </x:c>
      <x:c r="BE45" s="53" t="str">
        <x:v>ОЧЕРЕДЬ 4</x:v>
      </x:c>
      <x:c r="BF45" s="53" t="str">
        <x:v>ОЧЕРЕДЬ 4</x:v>
      </x:c>
      <x:c r="BG45" s="53" t="str">
        <x:v>ОЧЕРЕДЬ 4</x:v>
      </x:c>
      <x:c r="BH45" s="53" t="str">
        <x:v>ОЧЕРЕДЬ 4</x:v>
      </x:c>
      <x:c r="BI45" s="53" t="str">
        <x:v>ОЧЕРЕДЬ 4</x:v>
      </x:c>
      <x:c r="BJ45" s="53" t="str">
        <x:v>ОЧЕРЕДЬ 4</x:v>
      </x:c>
      <x:c r="BK45" s="53" t="str">
        <x:v>ОЧЕРЕДЬ 4</x:v>
      </x:c>
      <x:c r="BL45" s="53" t="str">
        <x:v>ОЧЕРЕДЬ 4</x:v>
      </x:c>
      <x:c r="BM45" s="53" t="str">
        <x:v>ОЧЕРЕДЬ 4</x:v>
      </x:c>
      <x:c r="BN45" s="53" t="str">
        <x:v>ОЧЕРЕДЬ 4</x:v>
      </x:c>
      <x:c r="BO45" s="53" t="str">
        <x:v>ОЧЕРЕДЬ 4</x:v>
      </x:c>
      <x:c r="BP45" s="53" t="str">
        <x:v>ОЧЕРЕДЬ 4</x:v>
      </x:c>
      <x:c r="BQ45" s="53" t="str">
        <x:v>ОЧЕРЕДЬ 4</x:v>
      </x:c>
      <x:c r="BR45" s="53" t="str">
        <x:v>ОЧЕРЕДЬ 4</x:v>
      </x:c>
      <x:c r="BS45" s="53" t="str">
        <x:v>ОЧЕРЕДЬ 4</x:v>
      </x:c>
      <x:c r="BT45" s="53" t="str">
        <x:v>ОЧЕРЕДЬ 4</x:v>
      </x:c>
      <x:c r="BU45" s="53" t="str">
        <x:v>ОЧЕРЕДЬ 4</x:v>
      </x:c>
      <x:c r="BV45" s="53" t="str">
        <x:v>ОЧЕРЕДЬ 4</x:v>
      </x:c>
      <x:c r="BW45" s="53" t="str">
        <x:v>ОЧЕРЕДЬ 4</x:v>
      </x:c>
      <x:c r="BX45" s="53" t="str">
        <x:v>ОЧЕРЕДЬ 4</x:v>
      </x:c>
      <x:c r="BY45" s="53" t="str">
        <x:v>ОЧЕРЕДЬ 4</x:v>
      </x:c>
      <x:c r="BZ45" s="53" t="str">
        <x:v>ОЧЕРЕДЬ 4</x:v>
      </x:c>
      <x:c r="CA45" s="53" t="str">
        <x:v>ОЧЕРЕДЬ 4</x:v>
      </x:c>
      <x:c r="CB45" s="53" t="str">
        <x:v>ОЧЕРЕДЬ 4</x:v>
      </x:c>
      <x:c r="CC45" s="53" t="str">
        <x:v>ОЧЕРЕДЬ 4</x:v>
      </x:c>
      <x:c r="CD45" s="53" t="str">
        <x:v>ОЧЕРЕДЬ 4</x:v>
      </x:c>
      <x:c r="CE45" s="53" t="str">
        <x:v>ОЧЕРЕДЬ 4</x:v>
      </x:c>
      <x:c r="CF45" s="53" t="str">
        <x:v>ОЧЕРЕДЬ 4</x:v>
      </x:c>
      <x:c r="CG45" s="53" t="str">
        <x:v>ОЧЕРЕДЬ 4</x:v>
      </x:c>
      <x:c r="CH45" s="53" t="str">
        <x:v>ОЧЕРЕДЬ 4</x:v>
      </x:c>
      <x:c r="CI45" s="53" t="str">
        <x:v>ОЧЕРЕДЬ 4</x:v>
      </x:c>
      <x:c r="CJ45" s="53" t="str">
        <x:v>ОЧЕРЕДЬ 4</x:v>
      </x:c>
      <x:c r="CK45" s="53" t="str">
        <x:v>ОЧЕРЕДЬ 4</x:v>
      </x:c>
      <x:c r="CL45" s="53" t="str">
        <x:v>ОЧЕРЕДЬ 4</x:v>
      </x:c>
      <x:c r="CM45" s="53" t="str">
        <x:v>ОЧЕРЕДЬ 4</x:v>
      </x:c>
      <x:c r="CN45" s="53" t="str">
        <x:v>ОЧЕРЕДЬ 4</x:v>
      </x:c>
      <x:c r="CO45" s="53" t="str">
        <x:v>ОЧЕРЕДЬ 4</x:v>
      </x:c>
      <x:c r="CP45" s="53" t="str">
        <x:v>ОЧЕРЕДЬ 4</x:v>
      </x:c>
      <x:c r="CQ45" s="53" t="str">
        <x:v>ОЧЕРЕДЬ 4</x:v>
      </x:c>
      <x:c r="CR45" s="53" t="str">
        <x:v>ОЧЕРЕДЬ 4</x:v>
      </x:c>
      <x:c r="CS45" s="53" t="str">
        <x:v>ОЧЕРЕДЬ 4</x:v>
      </x:c>
      <x:c r="CT45" s="53" t="str">
        <x:v>ОЧЕРЕДЬ 4</x:v>
      </x:c>
      <x:c r="CU45" s="53" t="str">
        <x:v>ОЧЕРЕДЬ 4</x:v>
      </x:c>
      <x:c r="CV45" s="53" t="str">
        <x:v>ОЧЕРЕДЬ 4</x:v>
      </x:c>
      <x:c r="CW45" s="53" t="str">
        <x:v>ОЧЕРЕДЬ 4</x:v>
      </x:c>
      <x:c r="CX45" s="53" t="str">
        <x:v>ОЧЕРЕДЬ 4</x:v>
      </x:c>
      <x:c r="CY45" s="53" t="str">
        <x:v>ОЧЕРЕДЬ 4</x:v>
      </x:c>
      <x:c r="CZ45" s="53" t="str">
        <x:v>ОЧЕРЕДЬ 4</x:v>
      </x:c>
      <x:c r="DA45" s="53" t="str">
        <x:v>ОЧЕРЕДЬ 4</x:v>
      </x:c>
      <x:c r="DB45" s="53" t="str">
        <x:v>ОЧЕРЕДЬ 4</x:v>
      </x:c>
      <x:c r="DC45" s="53" t="str">
        <x:v>ОЧЕРЕДЬ 4</x:v>
      </x:c>
      <x:c r="DD45" s="53" t="str">
        <x:v>ОЧЕРЕДЬ 4</x:v>
      </x:c>
      <x:c r="DE45" s="53" t="str">
        <x:v>ОЧЕРЕДЬ 4</x:v>
      </x:c>
      <x:c r="DF45" s="53" t="str">
        <x:v>ОЧЕРЕДЬ 4</x:v>
      </x:c>
      <x:c r="DG45" s="53" t="str">
        <x:v>ОЧЕРЕДЬ 4</x:v>
      </x:c>
      <x:c r="DH45" s="53" t="str">
        <x:v>ОЧЕРЕДЬ 4</x:v>
      </x:c>
      <x:c r="DI45" s="53" t="str">
        <x:v>ОЧЕРЕДЬ 4</x:v>
      </x:c>
      <x:c r="DJ45" s="53" t="str">
        <x:v>ОЧЕРЕДЬ 4</x:v>
      </x:c>
      <x:c r="DK45" s="53" t="str">
        <x:v>ОЧЕРЕДЬ 4</x:v>
      </x:c>
      <x:c r="DL45" s="53" t="str">
        <x:v>ОЧЕРЕДЬ 4</x:v>
      </x:c>
      <x:c r="DM45" s="53" t="str">
        <x:v>ОЧЕРЕДЬ 4</x:v>
      </x:c>
      <x:c r="DN45" s="53" t="str">
        <x:v>ОЧЕРЕДЬ 4</x:v>
      </x:c>
      <x:c r="DO45" s="53" t="str">
        <x:v>ОЧЕРЕДЬ 4</x:v>
      </x:c>
      <x:c r="DP45" s="53" t="str">
        <x:v>ОЧЕРЕДЬ 4</x:v>
      </x:c>
      <x:c r="DQ45" s="53" t="str">
        <x:v>ОЧЕРЕДЬ 4</x:v>
      </x:c>
      <x:c r="DR45" s="53" t="str">
        <x:v>ОЧЕРЕДЬ 4</x:v>
      </x:c>
      <x:c r="DS45" s="54" t="str">
        <x:v>ОЧЕРЕДЬ 4</x:v>
      </x:c>
    </x:row>
    <x:row r="46">
      <x:c r="A46" t="str">
        <x:v>Дата возникновения обязательства</x:v>
      </x:c>
      <x:c r="B46" s="106" t="n">
        <x:f>EDATE('Вводные'!$D$91,'Вводные'!$E$91+'Вводные'!$H$9-'Вводные'!$B$76)</x:f>
      </x:c>
      <x:c r="C46" t="str">
        <x:v>дата</x:v>
      </x:c>
    </x:row>
    <x:row r="47">
      <x:c r="A47" t="str">
        <x:v>Дата открытия ПФ</x:v>
      </x:c>
      <x:c r="B47" s="106" t="n">
        <x:f>EDATE('Вводные'!$D$91,'Вводные'!$E$91+'Вводные'!$H$9)</x:f>
      </x:c>
      <x:c r="C47" t="str">
        <x:v>дата</x:v>
      </x:c>
    </x:row>
    <x:row r="48">
      <x:c r="A48" t="str">
        <x:v>Сумма обязательства после льготы</x:v>
      </x:c>
      <x:c r="B48" s="115" t="n">
        <x:f>IF(AND('Вводные'!$B$91="Да",'Вводные'!$B$74="Да"),MAX(0,'Вводные'!$B$16*'Вводные'!$Q$91-'Вводные'!$B$82*'Вводные'!$Q$91),0)</x:f>
      </x:c>
      <x:c r="C48" t="str">
        <x:v>млн ₽</x:v>
      </x:c>
    </x:row>
    <x:row r="49">
      <x:c r="A49" t="str">
        <x:v>Остаток на начало</x:v>
      </x:c>
      <x:c r="B49" s="107" t="n">
        <x:f>MAX(D49:DS49)</x:f>
      </x:c>
      <x:c r="C49" t="str">
        <x:v>млн ₽</x:v>
      </x:c>
      <x:c r="D49" s="117" t="n">
        <x:f>0</x:f>
      </x:c>
      <x:c r="E49" s="117" t="n">
        <x:f>D55</x:f>
      </x:c>
      <x:c r="F49" s="117" t="n">
        <x:f>E55</x:f>
      </x:c>
      <x:c r="G49" s="117" t="n">
        <x:f>F55</x:f>
      </x:c>
      <x:c r="H49" s="117" t="n">
        <x:f>G55</x:f>
      </x:c>
      <x:c r="I49" s="117" t="n">
        <x:f>H55</x:f>
      </x:c>
      <x:c r="J49" s="117" t="n">
        <x:f>I55</x:f>
      </x:c>
      <x:c r="K49" s="117" t="n">
        <x:f>J55</x:f>
      </x:c>
      <x:c r="L49" s="117" t="n">
        <x:f>K55</x:f>
      </x:c>
      <x:c r="M49" s="117" t="n">
        <x:f>L55</x:f>
      </x:c>
      <x:c r="N49" s="117" t="n">
        <x:f>M55</x:f>
      </x:c>
      <x:c r="O49" s="117" t="n">
        <x:f>N55</x:f>
      </x:c>
      <x:c r="P49" s="117" t="n">
        <x:f>O55</x:f>
      </x:c>
      <x:c r="Q49" s="117" t="n">
        <x:f>P55</x:f>
      </x:c>
      <x:c r="R49" s="117" t="n">
        <x:f>Q55</x:f>
      </x:c>
      <x:c r="S49" s="117" t="n">
        <x:f>R55</x:f>
      </x:c>
      <x:c r="T49" s="117" t="n">
        <x:f>S55</x:f>
      </x:c>
      <x:c r="U49" s="117" t="n">
        <x:f>T55</x:f>
      </x:c>
      <x:c r="V49" s="117" t="n">
        <x:f>U55</x:f>
      </x:c>
      <x:c r="W49" s="117" t="n">
        <x:f>V55</x:f>
      </x:c>
      <x:c r="X49" s="117" t="n">
        <x:f>W55</x:f>
      </x:c>
      <x:c r="Y49" s="117" t="n">
        <x:f>X55</x:f>
      </x:c>
      <x:c r="Z49" s="117" t="n">
        <x:f>Y55</x:f>
      </x:c>
      <x:c r="AA49" s="117" t="n">
        <x:f>Z55</x:f>
      </x:c>
      <x:c r="AB49" s="117" t="n">
        <x:f>AA55</x:f>
      </x:c>
      <x:c r="AC49" s="117" t="n">
        <x:f>AB55</x:f>
      </x:c>
      <x:c r="AD49" s="117" t="n">
        <x:f>AC55</x:f>
      </x:c>
      <x:c r="AE49" s="117" t="n">
        <x:f>AD55</x:f>
      </x:c>
      <x:c r="AF49" s="117" t="n">
        <x:f>AE55</x:f>
      </x:c>
      <x:c r="AG49" s="117" t="n">
        <x:f>AF55</x:f>
      </x:c>
      <x:c r="AH49" s="117" t="n">
        <x:f>AG55</x:f>
      </x:c>
      <x:c r="AI49" s="117" t="n">
        <x:f>AH55</x:f>
      </x:c>
      <x:c r="AJ49" s="117" t="n">
        <x:f>AI55</x:f>
      </x:c>
      <x:c r="AK49" s="117" t="n">
        <x:f>AJ55</x:f>
      </x:c>
      <x:c r="AL49" s="117" t="n">
        <x:f>AK55</x:f>
      </x:c>
      <x:c r="AM49" s="117" t="n">
        <x:f>AL55</x:f>
      </x:c>
      <x:c r="AN49" s="117" t="n">
        <x:f>AM55</x:f>
      </x:c>
      <x:c r="AO49" s="117" t="n">
        <x:f>AN55</x:f>
      </x:c>
      <x:c r="AP49" s="117" t="n">
        <x:f>AO55</x:f>
      </x:c>
      <x:c r="AQ49" s="117" t="n">
        <x:f>AP55</x:f>
      </x:c>
      <x:c r="AR49" s="117" t="n">
        <x:f>AQ55</x:f>
      </x:c>
      <x:c r="AS49" s="117" t="n">
        <x:f>AR55</x:f>
      </x:c>
      <x:c r="AT49" s="117" t="n">
        <x:f>AS55</x:f>
      </x:c>
      <x:c r="AU49" s="117" t="n">
        <x:f>AT55</x:f>
      </x:c>
      <x:c r="AV49" s="117" t="n">
        <x:f>AU55</x:f>
      </x:c>
      <x:c r="AW49" s="117" t="n">
        <x:f>AV55</x:f>
      </x:c>
      <x:c r="AX49" s="117" t="n">
        <x:f>AW55</x:f>
      </x:c>
      <x:c r="AY49" s="117" t="n">
        <x:f>AX55</x:f>
      </x:c>
      <x:c r="AZ49" s="117" t="n">
        <x:f>AY55</x:f>
      </x:c>
      <x:c r="BA49" s="117" t="n">
        <x:f>AZ55</x:f>
      </x:c>
      <x:c r="BB49" s="117" t="n">
        <x:f>BA55</x:f>
      </x:c>
      <x:c r="BC49" s="117" t="n">
        <x:f>BB55</x:f>
      </x:c>
      <x:c r="BD49" s="117" t="n">
        <x:f>BC55</x:f>
      </x:c>
      <x:c r="BE49" s="117" t="n">
        <x:f>BD55</x:f>
      </x:c>
      <x:c r="BF49" s="117" t="n">
        <x:f>BE55</x:f>
      </x:c>
      <x:c r="BG49" s="117" t="n">
        <x:f>BF55</x:f>
      </x:c>
      <x:c r="BH49" s="117" t="n">
        <x:f>BG55</x:f>
      </x:c>
      <x:c r="BI49" s="117" t="n">
        <x:f>BH55</x:f>
      </x:c>
      <x:c r="BJ49" s="117" t="n">
        <x:f>BI55</x:f>
      </x:c>
      <x:c r="BK49" s="117" t="n">
        <x:f>BJ55</x:f>
      </x:c>
      <x:c r="BL49" s="117" t="n">
        <x:f>BK55</x:f>
      </x:c>
      <x:c r="BM49" s="117" t="n">
        <x:f>BL55</x:f>
      </x:c>
      <x:c r="BN49" s="117" t="n">
        <x:f>BM55</x:f>
      </x:c>
      <x:c r="BO49" s="117" t="n">
        <x:f>BN55</x:f>
      </x:c>
      <x:c r="BP49" s="117" t="n">
        <x:f>BO55</x:f>
      </x:c>
      <x:c r="BQ49" s="117" t="n">
        <x:f>BP55</x:f>
      </x:c>
      <x:c r="BR49" s="117" t="n">
        <x:f>BQ55</x:f>
      </x:c>
      <x:c r="BS49" s="117" t="n">
        <x:f>BR55</x:f>
      </x:c>
      <x:c r="BT49" s="117" t="n">
        <x:f>BS55</x:f>
      </x:c>
      <x:c r="BU49" s="117" t="n">
        <x:f>BT55</x:f>
      </x:c>
      <x:c r="BV49" s="117" t="n">
        <x:f>BU55</x:f>
      </x:c>
      <x:c r="BW49" s="117" t="n">
        <x:f>BV55</x:f>
      </x:c>
      <x:c r="BX49" s="117" t="n">
        <x:f>BW55</x:f>
      </x:c>
      <x:c r="BY49" s="117" t="n">
        <x:f>BX55</x:f>
      </x:c>
      <x:c r="BZ49" s="117" t="n">
        <x:f>BY55</x:f>
      </x:c>
      <x:c r="CA49" s="117" t="n">
        <x:f>BZ55</x:f>
      </x:c>
      <x:c r="CB49" s="117" t="n">
        <x:f>CA55</x:f>
      </x:c>
      <x:c r="CC49" s="117" t="n">
        <x:f>CB55</x:f>
      </x:c>
      <x:c r="CD49" s="117" t="n">
        <x:f>CC55</x:f>
      </x:c>
      <x:c r="CE49" s="117" t="n">
        <x:f>CD55</x:f>
      </x:c>
      <x:c r="CF49" s="117" t="n">
        <x:f>CE55</x:f>
      </x:c>
      <x:c r="CG49" s="117" t="n">
        <x:f>CF55</x:f>
      </x:c>
      <x:c r="CH49" s="117" t="n">
        <x:f>CG55</x:f>
      </x:c>
      <x:c r="CI49" s="117" t="n">
        <x:f>CH55</x:f>
      </x:c>
      <x:c r="CJ49" s="117" t="n">
        <x:f>CI55</x:f>
      </x:c>
      <x:c r="CK49" s="117" t="n">
        <x:f>CJ55</x:f>
      </x:c>
      <x:c r="CL49" s="117" t="n">
        <x:f>CK55</x:f>
      </x:c>
      <x:c r="CM49" s="117" t="n">
        <x:f>CL55</x:f>
      </x:c>
      <x:c r="CN49" s="117" t="n">
        <x:f>CM55</x:f>
      </x:c>
      <x:c r="CO49" s="117" t="n">
        <x:f>CN55</x:f>
      </x:c>
      <x:c r="CP49" s="117" t="n">
        <x:f>CO55</x:f>
      </x:c>
      <x:c r="CQ49" s="117" t="n">
        <x:f>CP55</x:f>
      </x:c>
      <x:c r="CR49" s="117" t="n">
        <x:f>CQ55</x:f>
      </x:c>
      <x:c r="CS49" s="117" t="n">
        <x:f>CR55</x:f>
      </x:c>
      <x:c r="CT49" s="117" t="n">
        <x:f>CS55</x:f>
      </x:c>
      <x:c r="CU49" s="117" t="n">
        <x:f>CT55</x:f>
      </x:c>
      <x:c r="CV49" s="117" t="n">
        <x:f>CU55</x:f>
      </x:c>
      <x:c r="CW49" s="117" t="n">
        <x:f>CV55</x:f>
      </x:c>
      <x:c r="CX49" s="117" t="n">
        <x:f>CW55</x:f>
      </x:c>
      <x:c r="CY49" s="117" t="n">
        <x:f>CX55</x:f>
      </x:c>
      <x:c r="CZ49" s="117" t="n">
        <x:f>CY55</x:f>
      </x:c>
      <x:c r="DA49" s="117" t="n">
        <x:f>CZ55</x:f>
      </x:c>
      <x:c r="DB49" s="117" t="n">
        <x:f>DA55</x:f>
      </x:c>
      <x:c r="DC49" s="117" t="n">
        <x:f>DB55</x:f>
      </x:c>
      <x:c r="DD49" s="117" t="n">
        <x:f>DC55</x:f>
      </x:c>
      <x:c r="DE49" s="117" t="n">
        <x:f>DD55</x:f>
      </x:c>
      <x:c r="DF49" s="117" t="n">
        <x:f>DE55</x:f>
      </x:c>
      <x:c r="DG49" s="117" t="n">
        <x:f>DF55</x:f>
      </x:c>
      <x:c r="DH49" s="117" t="n">
        <x:f>DG55</x:f>
      </x:c>
      <x:c r="DI49" s="117" t="n">
        <x:f>DH55</x:f>
      </x:c>
      <x:c r="DJ49" s="117" t="n">
        <x:f>DI55</x:f>
      </x:c>
      <x:c r="DK49" s="117" t="n">
        <x:f>DJ55</x:f>
      </x:c>
      <x:c r="DL49" s="117" t="n">
        <x:f>DK55</x:f>
      </x:c>
      <x:c r="DM49" s="117" t="n">
        <x:f>DL55</x:f>
      </x:c>
      <x:c r="DN49" s="117" t="n">
        <x:f>DM55</x:f>
      </x:c>
      <x:c r="DO49" s="117" t="n">
        <x:f>DN55</x:f>
      </x:c>
      <x:c r="DP49" s="117" t="n">
        <x:f>DO55</x:f>
      </x:c>
      <x:c r="DQ49" s="117" t="n">
        <x:f>DP55</x:f>
      </x:c>
      <x:c r="DR49" s="117" t="n">
        <x:f>DQ55</x:f>
      </x:c>
      <x:c r="DS49" s="117" t="n">
        <x:f>DR55</x:f>
      </x:c>
    </x:row>
    <x:row r="50">
      <x:c r="A50" t="str">
        <x:v>Возникновение обязательства</x:v>
      </x:c>
      <x:c r="B50" s="107" t="n">
        <x:f>SUM(D50:DS50)</x:f>
      </x:c>
      <x:c r="C50" t="str">
        <x:v>млн ₽</x:v>
      </x:c>
      <x:c r="D50" s="117" t="n">
        <x:f>IF(AND(YEAR(D$3)=YEAR($B$46),MONTH(D$3)=MONTH($B$46)),$B$48,0)</x:f>
      </x:c>
      <x:c r="E50" s="117" t="n">
        <x:f>IF(AND(YEAR(E$3)=YEAR($B$46),MONTH(E$3)=MONTH($B$46)),$B$48,0)</x:f>
      </x:c>
      <x:c r="F50" s="117" t="n">
        <x:f>IF(AND(YEAR(F$3)=YEAR($B$46),MONTH(F$3)=MONTH($B$46)),$B$48,0)</x:f>
      </x:c>
      <x:c r="G50" s="117" t="n">
        <x:f>IF(AND(YEAR(G$3)=YEAR($B$46),MONTH(G$3)=MONTH($B$46)),$B$48,0)</x:f>
      </x:c>
      <x:c r="H50" s="117" t="n">
        <x:f>IF(AND(YEAR(H$3)=YEAR($B$46),MONTH(H$3)=MONTH($B$46)),$B$48,0)</x:f>
      </x:c>
      <x:c r="I50" s="117" t="n">
        <x:f>IF(AND(YEAR(I$3)=YEAR($B$46),MONTH(I$3)=MONTH($B$46)),$B$48,0)</x:f>
      </x:c>
      <x:c r="J50" s="117" t="n">
        <x:f>IF(AND(YEAR(J$3)=YEAR($B$46),MONTH(J$3)=MONTH($B$46)),$B$48,0)</x:f>
      </x:c>
      <x:c r="K50" s="117" t="n">
        <x:f>IF(AND(YEAR(K$3)=YEAR($B$46),MONTH(K$3)=MONTH($B$46)),$B$48,0)</x:f>
      </x:c>
      <x:c r="L50" s="117" t="n">
        <x:f>IF(AND(YEAR(L$3)=YEAR($B$46),MONTH(L$3)=MONTH($B$46)),$B$48,0)</x:f>
      </x:c>
      <x:c r="M50" s="117" t="n">
        <x:f>IF(AND(YEAR(M$3)=YEAR($B$46),MONTH(M$3)=MONTH($B$46)),$B$48,0)</x:f>
      </x:c>
      <x:c r="N50" s="117" t="n">
        <x:f>IF(AND(YEAR(N$3)=YEAR($B$46),MONTH(N$3)=MONTH($B$46)),$B$48,0)</x:f>
      </x:c>
      <x:c r="O50" s="117" t="n">
        <x:f>IF(AND(YEAR(O$3)=YEAR($B$46),MONTH(O$3)=MONTH($B$46)),$B$48,0)</x:f>
      </x:c>
      <x:c r="P50" s="117" t="n">
        <x:f>IF(AND(YEAR(P$3)=YEAR($B$46),MONTH(P$3)=MONTH($B$46)),$B$48,0)</x:f>
      </x:c>
      <x:c r="Q50" s="117" t="n">
        <x:f>IF(AND(YEAR(Q$3)=YEAR($B$46),MONTH(Q$3)=MONTH($B$46)),$B$48,0)</x:f>
      </x:c>
      <x:c r="R50" s="117" t="n">
        <x:f>IF(AND(YEAR(R$3)=YEAR($B$46),MONTH(R$3)=MONTH($B$46)),$B$48,0)</x:f>
      </x:c>
      <x:c r="S50" s="117" t="n">
        <x:f>IF(AND(YEAR(S$3)=YEAR($B$46),MONTH(S$3)=MONTH($B$46)),$B$48,0)</x:f>
      </x:c>
      <x:c r="T50" s="117" t="n">
        <x:f>IF(AND(YEAR(T$3)=YEAR($B$46),MONTH(T$3)=MONTH($B$46)),$B$48,0)</x:f>
      </x:c>
      <x:c r="U50" s="117" t="n">
        <x:f>IF(AND(YEAR(U$3)=YEAR($B$46),MONTH(U$3)=MONTH($B$46)),$B$48,0)</x:f>
      </x:c>
      <x:c r="V50" s="117" t="n">
        <x:f>IF(AND(YEAR(V$3)=YEAR($B$46),MONTH(V$3)=MONTH($B$46)),$B$48,0)</x:f>
      </x:c>
      <x:c r="W50" s="117" t="n">
        <x:f>IF(AND(YEAR(W$3)=YEAR($B$46),MONTH(W$3)=MONTH($B$46)),$B$48,0)</x:f>
      </x:c>
      <x:c r="X50" s="117" t="n">
        <x:f>IF(AND(YEAR(X$3)=YEAR($B$46),MONTH(X$3)=MONTH($B$46)),$B$48,0)</x:f>
      </x:c>
      <x:c r="Y50" s="117" t="n">
        <x:f>IF(AND(YEAR(Y$3)=YEAR($B$46),MONTH(Y$3)=MONTH($B$46)),$B$48,0)</x:f>
      </x:c>
      <x:c r="Z50" s="117" t="n">
        <x:f>IF(AND(YEAR(Z$3)=YEAR($B$46),MONTH(Z$3)=MONTH($B$46)),$B$48,0)</x:f>
      </x:c>
      <x:c r="AA50" s="117" t="n">
        <x:f>IF(AND(YEAR(AA$3)=YEAR($B$46),MONTH(AA$3)=MONTH($B$46)),$B$48,0)</x:f>
      </x:c>
      <x:c r="AB50" s="117" t="n">
        <x:f>IF(AND(YEAR(AB$3)=YEAR($B$46),MONTH(AB$3)=MONTH($B$46)),$B$48,0)</x:f>
      </x:c>
      <x:c r="AC50" s="117" t="n">
        <x:f>IF(AND(YEAR(AC$3)=YEAR($B$46),MONTH(AC$3)=MONTH($B$46)),$B$48,0)</x:f>
      </x:c>
      <x:c r="AD50" s="117" t="n">
        <x:f>IF(AND(YEAR(AD$3)=YEAR($B$46),MONTH(AD$3)=MONTH($B$46)),$B$48,0)</x:f>
      </x:c>
      <x:c r="AE50" s="117" t="n">
        <x:f>IF(AND(YEAR(AE$3)=YEAR($B$46),MONTH(AE$3)=MONTH($B$46)),$B$48,0)</x:f>
      </x:c>
      <x:c r="AF50" s="117" t="n">
        <x:f>IF(AND(YEAR(AF$3)=YEAR($B$46),MONTH(AF$3)=MONTH($B$46)),$B$48,0)</x:f>
      </x:c>
      <x:c r="AG50" s="117" t="n">
        <x:f>IF(AND(YEAR(AG$3)=YEAR($B$46),MONTH(AG$3)=MONTH($B$46)),$B$48,0)</x:f>
      </x:c>
      <x:c r="AH50" s="117" t="n">
        <x:f>IF(AND(YEAR(AH$3)=YEAR($B$46),MONTH(AH$3)=MONTH($B$46)),$B$48,0)</x:f>
      </x:c>
      <x:c r="AI50" s="117" t="n">
        <x:f>IF(AND(YEAR(AI$3)=YEAR($B$46),MONTH(AI$3)=MONTH($B$46)),$B$48,0)</x:f>
      </x:c>
      <x:c r="AJ50" s="117" t="n">
        <x:f>IF(AND(YEAR(AJ$3)=YEAR($B$46),MONTH(AJ$3)=MONTH($B$46)),$B$48,0)</x:f>
      </x:c>
      <x:c r="AK50" s="117" t="n">
        <x:f>IF(AND(YEAR(AK$3)=YEAR($B$46),MONTH(AK$3)=MONTH($B$46)),$B$48,0)</x:f>
      </x:c>
      <x:c r="AL50" s="117" t="n">
        <x:f>IF(AND(YEAR(AL$3)=YEAR($B$46),MONTH(AL$3)=MONTH($B$46)),$B$48,0)</x:f>
      </x:c>
      <x:c r="AM50" s="117" t="n">
        <x:f>IF(AND(YEAR(AM$3)=YEAR($B$46),MONTH(AM$3)=MONTH($B$46)),$B$48,0)</x:f>
      </x:c>
      <x:c r="AN50" s="117" t="n">
        <x:f>IF(AND(YEAR(AN$3)=YEAR($B$46),MONTH(AN$3)=MONTH($B$46)),$B$48,0)</x:f>
      </x:c>
      <x:c r="AO50" s="117" t="n">
        <x:f>IF(AND(YEAR(AO$3)=YEAR($B$46),MONTH(AO$3)=MONTH($B$46)),$B$48,0)</x:f>
      </x:c>
      <x:c r="AP50" s="117" t="n">
        <x:f>IF(AND(YEAR(AP$3)=YEAR($B$46),MONTH(AP$3)=MONTH($B$46)),$B$48,0)</x:f>
      </x:c>
      <x:c r="AQ50" s="117" t="n">
        <x:f>IF(AND(YEAR(AQ$3)=YEAR($B$46),MONTH(AQ$3)=MONTH($B$46)),$B$48,0)</x:f>
      </x:c>
      <x:c r="AR50" s="117" t="n">
        <x:f>IF(AND(YEAR(AR$3)=YEAR($B$46),MONTH(AR$3)=MONTH($B$46)),$B$48,0)</x:f>
      </x:c>
      <x:c r="AS50" s="117" t="n">
        <x:f>IF(AND(YEAR(AS$3)=YEAR($B$46),MONTH(AS$3)=MONTH($B$46)),$B$48,0)</x:f>
      </x:c>
      <x:c r="AT50" s="117" t="n">
        <x:f>IF(AND(YEAR(AT$3)=YEAR($B$46),MONTH(AT$3)=MONTH($B$46)),$B$48,0)</x:f>
      </x:c>
      <x:c r="AU50" s="117" t="n">
        <x:f>IF(AND(YEAR(AU$3)=YEAR($B$46),MONTH(AU$3)=MONTH($B$46)),$B$48,0)</x:f>
      </x:c>
      <x:c r="AV50" s="117" t="n">
        <x:f>IF(AND(YEAR(AV$3)=YEAR($B$46),MONTH(AV$3)=MONTH($B$46)),$B$48,0)</x:f>
      </x:c>
      <x:c r="AW50" s="117" t="n">
        <x:f>IF(AND(YEAR(AW$3)=YEAR($B$46),MONTH(AW$3)=MONTH($B$46)),$B$48,0)</x:f>
      </x:c>
      <x:c r="AX50" s="117" t="n">
        <x:f>IF(AND(YEAR(AX$3)=YEAR($B$46),MONTH(AX$3)=MONTH($B$46)),$B$48,0)</x:f>
      </x:c>
      <x:c r="AY50" s="117" t="n">
        <x:f>IF(AND(YEAR(AY$3)=YEAR($B$46),MONTH(AY$3)=MONTH($B$46)),$B$48,0)</x:f>
      </x:c>
      <x:c r="AZ50" s="117" t="n">
        <x:f>IF(AND(YEAR(AZ$3)=YEAR($B$46),MONTH(AZ$3)=MONTH($B$46)),$B$48,0)</x:f>
      </x:c>
      <x:c r="BA50" s="117" t="n">
        <x:f>IF(AND(YEAR(BA$3)=YEAR($B$46),MONTH(BA$3)=MONTH($B$46)),$B$48,0)</x:f>
      </x:c>
      <x:c r="BB50" s="117" t="n">
        <x:f>IF(AND(YEAR(BB$3)=YEAR($B$46),MONTH(BB$3)=MONTH($B$46)),$B$48,0)</x:f>
      </x:c>
      <x:c r="BC50" s="117" t="n">
        <x:f>IF(AND(YEAR(BC$3)=YEAR($B$46),MONTH(BC$3)=MONTH($B$46)),$B$48,0)</x:f>
      </x:c>
      <x:c r="BD50" s="117" t="n">
        <x:f>IF(AND(YEAR(BD$3)=YEAR($B$46),MONTH(BD$3)=MONTH($B$46)),$B$48,0)</x:f>
      </x:c>
      <x:c r="BE50" s="117" t="n">
        <x:f>IF(AND(YEAR(BE$3)=YEAR($B$46),MONTH(BE$3)=MONTH($B$46)),$B$48,0)</x:f>
      </x:c>
      <x:c r="BF50" s="117" t="n">
        <x:f>IF(AND(YEAR(BF$3)=YEAR($B$46),MONTH(BF$3)=MONTH($B$46)),$B$48,0)</x:f>
      </x:c>
      <x:c r="BG50" s="117" t="n">
        <x:f>IF(AND(YEAR(BG$3)=YEAR($B$46),MONTH(BG$3)=MONTH($B$46)),$B$48,0)</x:f>
      </x:c>
      <x:c r="BH50" s="117" t="n">
        <x:f>IF(AND(YEAR(BH$3)=YEAR($B$46),MONTH(BH$3)=MONTH($B$46)),$B$48,0)</x:f>
      </x:c>
      <x:c r="BI50" s="117" t="n">
        <x:f>IF(AND(YEAR(BI$3)=YEAR($B$46),MONTH(BI$3)=MONTH($B$46)),$B$48,0)</x:f>
      </x:c>
      <x:c r="BJ50" s="117" t="n">
        <x:f>IF(AND(YEAR(BJ$3)=YEAR($B$46),MONTH(BJ$3)=MONTH($B$46)),$B$48,0)</x:f>
      </x:c>
      <x:c r="BK50" s="117" t="n">
        <x:f>IF(AND(YEAR(BK$3)=YEAR($B$46),MONTH(BK$3)=MONTH($B$46)),$B$48,0)</x:f>
      </x:c>
      <x:c r="BL50" s="117" t="n">
        <x:f>IF(AND(YEAR(BL$3)=YEAR($B$46),MONTH(BL$3)=MONTH($B$46)),$B$48,0)</x:f>
      </x:c>
      <x:c r="BM50" s="117" t="n">
        <x:f>IF(AND(YEAR(BM$3)=YEAR($B$46),MONTH(BM$3)=MONTH($B$46)),$B$48,0)</x:f>
      </x:c>
      <x:c r="BN50" s="117" t="n">
        <x:f>IF(AND(YEAR(BN$3)=YEAR($B$46),MONTH(BN$3)=MONTH($B$46)),$B$48,0)</x:f>
      </x:c>
      <x:c r="BO50" s="117" t="n">
        <x:f>IF(AND(YEAR(BO$3)=YEAR($B$46),MONTH(BO$3)=MONTH($B$46)),$B$48,0)</x:f>
      </x:c>
      <x:c r="BP50" s="117" t="n">
        <x:f>IF(AND(YEAR(BP$3)=YEAR($B$46),MONTH(BP$3)=MONTH($B$46)),$B$48,0)</x:f>
      </x:c>
      <x:c r="BQ50" s="117" t="n">
        <x:f>IF(AND(YEAR(BQ$3)=YEAR($B$46),MONTH(BQ$3)=MONTH($B$46)),$B$48,0)</x:f>
      </x:c>
      <x:c r="BR50" s="117" t="n">
        <x:f>IF(AND(YEAR(BR$3)=YEAR($B$46),MONTH(BR$3)=MONTH($B$46)),$B$48,0)</x:f>
      </x:c>
      <x:c r="BS50" s="117" t="n">
        <x:f>IF(AND(YEAR(BS$3)=YEAR($B$46),MONTH(BS$3)=MONTH($B$46)),$B$48,0)</x:f>
      </x:c>
      <x:c r="BT50" s="117" t="n">
        <x:f>IF(AND(YEAR(BT$3)=YEAR($B$46),MONTH(BT$3)=MONTH($B$46)),$B$48,0)</x:f>
      </x:c>
      <x:c r="BU50" s="117" t="n">
        <x:f>IF(AND(YEAR(BU$3)=YEAR($B$46),MONTH(BU$3)=MONTH($B$46)),$B$48,0)</x:f>
      </x:c>
      <x:c r="BV50" s="117" t="n">
        <x:f>IF(AND(YEAR(BV$3)=YEAR($B$46),MONTH(BV$3)=MONTH($B$46)),$B$48,0)</x:f>
      </x:c>
      <x:c r="BW50" s="117" t="n">
        <x:f>IF(AND(YEAR(BW$3)=YEAR($B$46),MONTH(BW$3)=MONTH($B$46)),$B$48,0)</x:f>
      </x:c>
      <x:c r="BX50" s="117" t="n">
        <x:f>IF(AND(YEAR(BX$3)=YEAR($B$46),MONTH(BX$3)=MONTH($B$46)),$B$48,0)</x:f>
      </x:c>
      <x:c r="BY50" s="117" t="n">
        <x:f>IF(AND(YEAR(BY$3)=YEAR($B$46),MONTH(BY$3)=MONTH($B$46)),$B$48,0)</x:f>
      </x:c>
      <x:c r="BZ50" s="117" t="n">
        <x:f>IF(AND(YEAR(BZ$3)=YEAR($B$46),MONTH(BZ$3)=MONTH($B$46)),$B$48,0)</x:f>
      </x:c>
      <x:c r="CA50" s="117" t="n">
        <x:f>IF(AND(YEAR(CA$3)=YEAR($B$46),MONTH(CA$3)=MONTH($B$46)),$B$48,0)</x:f>
      </x:c>
      <x:c r="CB50" s="117" t="n">
        <x:f>IF(AND(YEAR(CB$3)=YEAR($B$46),MONTH(CB$3)=MONTH($B$46)),$B$48,0)</x:f>
      </x:c>
      <x:c r="CC50" s="117" t="n">
        <x:f>IF(AND(YEAR(CC$3)=YEAR($B$46),MONTH(CC$3)=MONTH($B$46)),$B$48,0)</x:f>
      </x:c>
      <x:c r="CD50" s="117" t="n">
        <x:f>IF(AND(YEAR(CD$3)=YEAR($B$46),MONTH(CD$3)=MONTH($B$46)),$B$48,0)</x:f>
      </x:c>
      <x:c r="CE50" s="117" t="n">
        <x:f>IF(AND(YEAR(CE$3)=YEAR($B$46),MONTH(CE$3)=MONTH($B$46)),$B$48,0)</x:f>
      </x:c>
      <x:c r="CF50" s="117" t="n">
        <x:f>IF(AND(YEAR(CF$3)=YEAR($B$46),MONTH(CF$3)=MONTH($B$46)),$B$48,0)</x:f>
      </x:c>
      <x:c r="CG50" s="117" t="n">
        <x:f>IF(AND(YEAR(CG$3)=YEAR($B$46),MONTH(CG$3)=MONTH($B$46)),$B$48,0)</x:f>
      </x:c>
      <x:c r="CH50" s="117" t="n">
        <x:f>IF(AND(YEAR(CH$3)=YEAR($B$46),MONTH(CH$3)=MONTH($B$46)),$B$48,0)</x:f>
      </x:c>
      <x:c r="CI50" s="117" t="n">
        <x:f>IF(AND(YEAR(CI$3)=YEAR($B$46),MONTH(CI$3)=MONTH($B$46)),$B$48,0)</x:f>
      </x:c>
      <x:c r="CJ50" s="117" t="n">
        <x:f>IF(AND(YEAR(CJ$3)=YEAR($B$46),MONTH(CJ$3)=MONTH($B$46)),$B$48,0)</x:f>
      </x:c>
      <x:c r="CK50" s="117" t="n">
        <x:f>IF(AND(YEAR(CK$3)=YEAR($B$46),MONTH(CK$3)=MONTH($B$46)),$B$48,0)</x:f>
      </x:c>
      <x:c r="CL50" s="117" t="n">
        <x:f>IF(AND(YEAR(CL$3)=YEAR($B$46),MONTH(CL$3)=MONTH($B$46)),$B$48,0)</x:f>
      </x:c>
      <x:c r="CM50" s="117" t="n">
        <x:f>IF(AND(YEAR(CM$3)=YEAR($B$46),MONTH(CM$3)=MONTH($B$46)),$B$48,0)</x:f>
      </x:c>
      <x:c r="CN50" s="117" t="n">
        <x:f>IF(AND(YEAR(CN$3)=YEAR($B$46),MONTH(CN$3)=MONTH($B$46)),$B$48,0)</x:f>
      </x:c>
      <x:c r="CO50" s="117" t="n">
        <x:f>IF(AND(YEAR(CO$3)=YEAR($B$46),MONTH(CO$3)=MONTH($B$46)),$B$48,0)</x:f>
      </x:c>
      <x:c r="CP50" s="117" t="n">
        <x:f>IF(AND(YEAR(CP$3)=YEAR($B$46),MONTH(CP$3)=MONTH($B$46)),$B$48,0)</x:f>
      </x:c>
      <x:c r="CQ50" s="117" t="n">
        <x:f>IF(AND(YEAR(CQ$3)=YEAR($B$46),MONTH(CQ$3)=MONTH($B$46)),$B$48,0)</x:f>
      </x:c>
      <x:c r="CR50" s="117" t="n">
        <x:f>IF(AND(YEAR(CR$3)=YEAR($B$46),MONTH(CR$3)=MONTH($B$46)),$B$48,0)</x:f>
      </x:c>
      <x:c r="CS50" s="117" t="n">
        <x:f>IF(AND(YEAR(CS$3)=YEAR($B$46),MONTH(CS$3)=MONTH($B$46)),$B$48,0)</x:f>
      </x:c>
      <x:c r="CT50" s="117" t="n">
        <x:f>IF(AND(YEAR(CT$3)=YEAR($B$46),MONTH(CT$3)=MONTH($B$46)),$B$48,0)</x:f>
      </x:c>
      <x:c r="CU50" s="117" t="n">
        <x:f>IF(AND(YEAR(CU$3)=YEAR($B$46),MONTH(CU$3)=MONTH($B$46)),$B$48,0)</x:f>
      </x:c>
      <x:c r="CV50" s="117" t="n">
        <x:f>IF(AND(YEAR(CV$3)=YEAR($B$46),MONTH(CV$3)=MONTH($B$46)),$B$48,0)</x:f>
      </x:c>
      <x:c r="CW50" s="117" t="n">
        <x:f>IF(AND(YEAR(CW$3)=YEAR($B$46),MONTH(CW$3)=MONTH($B$46)),$B$48,0)</x:f>
      </x:c>
      <x:c r="CX50" s="117" t="n">
        <x:f>IF(AND(YEAR(CX$3)=YEAR($B$46),MONTH(CX$3)=MONTH($B$46)),$B$48,0)</x:f>
      </x:c>
      <x:c r="CY50" s="117" t="n">
        <x:f>IF(AND(YEAR(CY$3)=YEAR($B$46),MONTH(CY$3)=MONTH($B$46)),$B$48,0)</x:f>
      </x:c>
      <x:c r="CZ50" s="117" t="n">
        <x:f>IF(AND(YEAR(CZ$3)=YEAR($B$46),MONTH(CZ$3)=MONTH($B$46)),$B$48,0)</x:f>
      </x:c>
      <x:c r="DA50" s="117" t="n">
        <x:f>IF(AND(YEAR(DA$3)=YEAR($B$46),MONTH(DA$3)=MONTH($B$46)),$B$48,0)</x:f>
      </x:c>
      <x:c r="DB50" s="117" t="n">
        <x:f>IF(AND(YEAR(DB$3)=YEAR($B$46),MONTH(DB$3)=MONTH($B$46)),$B$48,0)</x:f>
      </x:c>
      <x:c r="DC50" s="117" t="n">
        <x:f>IF(AND(YEAR(DC$3)=YEAR($B$46),MONTH(DC$3)=MONTH($B$46)),$B$48,0)</x:f>
      </x:c>
      <x:c r="DD50" s="117" t="n">
        <x:f>IF(AND(YEAR(DD$3)=YEAR($B$46),MONTH(DD$3)=MONTH($B$46)),$B$48,0)</x:f>
      </x:c>
      <x:c r="DE50" s="117" t="n">
        <x:f>IF(AND(YEAR(DE$3)=YEAR($B$46),MONTH(DE$3)=MONTH($B$46)),$B$48,0)</x:f>
      </x:c>
      <x:c r="DF50" s="117" t="n">
        <x:f>IF(AND(YEAR(DF$3)=YEAR($B$46),MONTH(DF$3)=MONTH($B$46)),$B$48,0)</x:f>
      </x:c>
      <x:c r="DG50" s="117" t="n">
        <x:f>IF(AND(YEAR(DG$3)=YEAR($B$46),MONTH(DG$3)=MONTH($B$46)),$B$48,0)</x:f>
      </x:c>
      <x:c r="DH50" s="117" t="n">
        <x:f>IF(AND(YEAR(DH$3)=YEAR($B$46),MONTH(DH$3)=MONTH($B$46)),$B$48,0)</x:f>
      </x:c>
      <x:c r="DI50" s="117" t="n">
        <x:f>IF(AND(YEAR(DI$3)=YEAR($B$46),MONTH(DI$3)=MONTH($B$46)),$B$48,0)</x:f>
      </x:c>
      <x:c r="DJ50" s="117" t="n">
        <x:f>IF(AND(YEAR(DJ$3)=YEAR($B$46),MONTH(DJ$3)=MONTH($B$46)),$B$48,0)</x:f>
      </x:c>
      <x:c r="DK50" s="117" t="n">
        <x:f>IF(AND(YEAR(DK$3)=YEAR($B$46),MONTH(DK$3)=MONTH($B$46)),$B$48,0)</x:f>
      </x:c>
      <x:c r="DL50" s="117" t="n">
        <x:f>IF(AND(YEAR(DL$3)=YEAR($B$46),MONTH(DL$3)=MONTH($B$46)),$B$48,0)</x:f>
      </x:c>
      <x:c r="DM50" s="117" t="n">
        <x:f>IF(AND(YEAR(DM$3)=YEAR($B$46),MONTH(DM$3)=MONTH($B$46)),$B$48,0)</x:f>
      </x:c>
      <x:c r="DN50" s="117" t="n">
        <x:f>IF(AND(YEAR(DN$3)=YEAR($B$46),MONTH(DN$3)=MONTH($B$46)),$B$48,0)</x:f>
      </x:c>
      <x:c r="DO50" s="117" t="n">
        <x:f>IF(AND(YEAR(DO$3)=YEAR($B$46),MONTH(DO$3)=MONTH($B$46)),$B$48,0)</x:f>
      </x:c>
      <x:c r="DP50" s="117" t="n">
        <x:f>IF(AND(YEAR(DP$3)=YEAR($B$46),MONTH(DP$3)=MONTH($B$46)),$B$48,0)</x:f>
      </x:c>
      <x:c r="DQ50" s="117" t="n">
        <x:f>IF(AND(YEAR(DQ$3)=YEAR($B$46),MONTH(DQ$3)=MONTH($B$46)),$B$48,0)</x:f>
      </x:c>
      <x:c r="DR50" s="117" t="n">
        <x:f>IF(AND(YEAR(DR$3)=YEAR($B$46),MONTH(DR$3)=MONTH($B$46)),$B$48,0)</x:f>
      </x:c>
      <x:c r="DS50" s="117" t="n">
        <x:f>IF(AND(YEAR(DS$3)=YEAR($B$46),MONTH(DS$3)=MONTH($B$46)),$B$48,0)</x:f>
      </x:c>
    </x:row>
    <x:row r="51">
      <x:c r="A51" t="str">
        <x:v>Погашение основного долга</x:v>
      </x:c>
      <x:c r="B51" s="107" t="n">
        <x:f>SUM(D51:DS51)</x:f>
      </x:c>
      <x:c r="C51" t="str">
        <x:v>млн ₽</x:v>
      </x:c>
      <x:c r="D51" s="117" t="n">
        <x:f>MIN(D49+D50,IF('Вводные'!$B$75="Единовременно",D50,IF(AND('Вводные'!$B$84="Да",YEAR(D$3)=YEAR($B$47),MONTH(D$3)=MONTH($B$47)),D49+D50,IF(AND((12*(YEAR(D$3)-YEAR($B$46))+MONTH(D$3)-MONTH($B$46))&gt;0,MOD((12*(YEAR(D$3)-YEAR($B$46))+MONTH(D$3)-MONTH($B$46)),'Вводные'!$B$78)=0,(12*(YEAR(D$3)-YEAR($B$46))+MONTH(D$3)-MONTH($B$46))&lt;='Вводные'!$B$77*12),$B$48/MAX(1,'Вводные'!$B$79),0))))</x:f>
      </x:c>
      <x:c r="E51" s="117" t="n">
        <x:f>MIN(E49+E50,IF('Вводные'!$B$75="Единовременно",E50,IF(AND('Вводные'!$B$84="Да",YEAR(E$3)=YEAR($B$47),MONTH(E$3)=MONTH($B$47)),E49+E50,IF(AND((12*(YEAR(E$3)-YEAR($B$46))+MONTH(E$3)-MONTH($B$46))&gt;0,MOD((12*(YEAR(E$3)-YEAR($B$46))+MONTH(E$3)-MONTH($B$46)),'Вводные'!$B$78)=0,(12*(YEAR(E$3)-YEAR($B$46))+MONTH(E$3)-MONTH($B$46))&lt;='Вводные'!$B$77*12),$B$48/MAX(1,'Вводные'!$B$79),0))))</x:f>
      </x:c>
      <x:c r="F51" s="117" t="n">
        <x:f>MIN(F49+F50,IF('Вводные'!$B$75="Единовременно",F50,IF(AND('Вводные'!$B$84="Да",YEAR(F$3)=YEAR($B$47),MONTH(F$3)=MONTH($B$47)),F49+F50,IF(AND((12*(YEAR(F$3)-YEAR($B$46))+MONTH(F$3)-MONTH($B$46))&gt;0,MOD((12*(YEAR(F$3)-YEAR($B$46))+MONTH(F$3)-MONTH($B$46)),'Вводные'!$B$78)=0,(12*(YEAR(F$3)-YEAR($B$46))+MONTH(F$3)-MONTH($B$46))&lt;='Вводные'!$B$77*12),$B$48/MAX(1,'Вводные'!$B$79),0))))</x:f>
      </x:c>
      <x:c r="G51" s="117" t="n">
        <x:f>MIN(G49+G50,IF('Вводные'!$B$75="Единовременно",G50,IF(AND('Вводные'!$B$84="Да",YEAR(G$3)=YEAR($B$47),MONTH(G$3)=MONTH($B$47)),G49+G50,IF(AND((12*(YEAR(G$3)-YEAR($B$46))+MONTH(G$3)-MONTH($B$46))&gt;0,MOD((12*(YEAR(G$3)-YEAR($B$46))+MONTH(G$3)-MONTH($B$46)),'Вводные'!$B$78)=0,(12*(YEAR(G$3)-YEAR($B$46))+MONTH(G$3)-MONTH($B$46))&lt;='Вводные'!$B$77*12),$B$48/MAX(1,'Вводные'!$B$79),0))))</x:f>
      </x:c>
      <x:c r="H51" s="117" t="n">
        <x:f>MIN(H49+H50,IF('Вводные'!$B$75="Единовременно",H50,IF(AND('Вводные'!$B$84="Да",YEAR(H$3)=YEAR($B$47),MONTH(H$3)=MONTH($B$47)),H49+H50,IF(AND((12*(YEAR(H$3)-YEAR($B$46))+MONTH(H$3)-MONTH($B$46))&gt;0,MOD((12*(YEAR(H$3)-YEAR($B$46))+MONTH(H$3)-MONTH($B$46)),'Вводные'!$B$78)=0,(12*(YEAR(H$3)-YEAR($B$46))+MONTH(H$3)-MONTH($B$46))&lt;='Вводные'!$B$77*12),$B$48/MAX(1,'Вводные'!$B$79),0))))</x:f>
      </x:c>
      <x:c r="I51" s="117" t="n">
        <x:f>MIN(I49+I50,IF('Вводные'!$B$75="Единовременно",I50,IF(AND('Вводные'!$B$84="Да",YEAR(I$3)=YEAR($B$47),MONTH(I$3)=MONTH($B$47)),I49+I50,IF(AND((12*(YEAR(I$3)-YEAR($B$46))+MONTH(I$3)-MONTH($B$46))&gt;0,MOD((12*(YEAR(I$3)-YEAR($B$46))+MONTH(I$3)-MONTH($B$46)),'Вводные'!$B$78)=0,(12*(YEAR(I$3)-YEAR($B$46))+MONTH(I$3)-MONTH($B$46))&lt;='Вводные'!$B$77*12),$B$48/MAX(1,'Вводные'!$B$79),0))))</x:f>
      </x:c>
      <x:c r="J51" s="117" t="n">
        <x:f>MIN(J49+J50,IF('Вводные'!$B$75="Единовременно",J50,IF(AND('Вводные'!$B$84="Да",YEAR(J$3)=YEAR($B$47),MONTH(J$3)=MONTH($B$47)),J49+J50,IF(AND((12*(YEAR(J$3)-YEAR($B$46))+MONTH(J$3)-MONTH($B$46))&gt;0,MOD((12*(YEAR(J$3)-YEAR($B$46))+MONTH(J$3)-MONTH($B$46)),'Вводные'!$B$78)=0,(12*(YEAR(J$3)-YEAR($B$46))+MONTH(J$3)-MONTH($B$46))&lt;='Вводные'!$B$77*12),$B$48/MAX(1,'Вводные'!$B$79),0))))</x:f>
      </x:c>
      <x:c r="K51" s="117" t="n">
        <x:f>MIN(K49+K50,IF('Вводные'!$B$75="Единовременно",K50,IF(AND('Вводные'!$B$84="Да",YEAR(K$3)=YEAR($B$47),MONTH(K$3)=MONTH($B$47)),K49+K50,IF(AND((12*(YEAR(K$3)-YEAR($B$46))+MONTH(K$3)-MONTH($B$46))&gt;0,MOD((12*(YEAR(K$3)-YEAR($B$46))+MONTH(K$3)-MONTH($B$46)),'Вводные'!$B$78)=0,(12*(YEAR(K$3)-YEAR($B$46))+MONTH(K$3)-MONTH($B$46))&lt;='Вводные'!$B$77*12),$B$48/MAX(1,'Вводные'!$B$79),0))))</x:f>
      </x:c>
      <x:c r="L51" s="117" t="n">
        <x:f>MIN(L49+L50,IF('Вводные'!$B$75="Единовременно",L50,IF(AND('Вводные'!$B$84="Да",YEAR(L$3)=YEAR($B$47),MONTH(L$3)=MONTH($B$47)),L49+L50,IF(AND((12*(YEAR(L$3)-YEAR($B$46))+MONTH(L$3)-MONTH($B$46))&gt;0,MOD((12*(YEAR(L$3)-YEAR($B$46))+MONTH(L$3)-MONTH($B$46)),'Вводные'!$B$78)=0,(12*(YEAR(L$3)-YEAR($B$46))+MONTH(L$3)-MONTH($B$46))&lt;='Вводные'!$B$77*12),$B$48/MAX(1,'Вводные'!$B$79),0))))</x:f>
      </x:c>
      <x:c r="M51" s="117" t="n">
        <x:f>MIN(M49+M50,IF('Вводные'!$B$75="Единовременно",M50,IF(AND('Вводные'!$B$84="Да",YEAR(M$3)=YEAR($B$47),MONTH(M$3)=MONTH($B$47)),M49+M50,IF(AND((12*(YEAR(M$3)-YEAR($B$46))+MONTH(M$3)-MONTH($B$46))&gt;0,MOD((12*(YEAR(M$3)-YEAR($B$46))+MONTH(M$3)-MONTH($B$46)),'Вводные'!$B$78)=0,(12*(YEAR(M$3)-YEAR($B$46))+MONTH(M$3)-MONTH($B$46))&lt;='Вводные'!$B$77*12),$B$48/MAX(1,'Вводные'!$B$79),0))))</x:f>
      </x:c>
      <x:c r="N51" s="117" t="n">
        <x:f>MIN(N49+N50,IF('Вводные'!$B$75="Единовременно",N50,IF(AND('Вводные'!$B$84="Да",YEAR(N$3)=YEAR($B$47),MONTH(N$3)=MONTH($B$47)),N49+N50,IF(AND((12*(YEAR(N$3)-YEAR($B$46))+MONTH(N$3)-MONTH($B$46))&gt;0,MOD((12*(YEAR(N$3)-YEAR($B$46))+MONTH(N$3)-MONTH($B$46)),'Вводные'!$B$78)=0,(12*(YEAR(N$3)-YEAR($B$46))+MONTH(N$3)-MONTH($B$46))&lt;='Вводные'!$B$77*12),$B$48/MAX(1,'Вводные'!$B$79),0))))</x:f>
      </x:c>
      <x:c r="O51" s="117" t="n">
        <x:f>MIN(O49+O50,IF('Вводные'!$B$75="Единовременно",O50,IF(AND('Вводные'!$B$84="Да",YEAR(O$3)=YEAR($B$47),MONTH(O$3)=MONTH($B$47)),O49+O50,IF(AND((12*(YEAR(O$3)-YEAR($B$46))+MONTH(O$3)-MONTH($B$46))&gt;0,MOD((12*(YEAR(O$3)-YEAR($B$46))+MONTH(O$3)-MONTH($B$46)),'Вводные'!$B$78)=0,(12*(YEAR(O$3)-YEAR($B$46))+MONTH(O$3)-MONTH($B$46))&lt;='Вводные'!$B$77*12),$B$48/MAX(1,'Вводные'!$B$79),0))))</x:f>
      </x:c>
      <x:c r="P51" s="117" t="n">
        <x:f>MIN(P49+P50,IF('Вводные'!$B$75="Единовременно",P50,IF(AND('Вводные'!$B$84="Да",YEAR(P$3)=YEAR($B$47),MONTH(P$3)=MONTH($B$47)),P49+P50,IF(AND((12*(YEAR(P$3)-YEAR($B$46))+MONTH(P$3)-MONTH($B$46))&gt;0,MOD((12*(YEAR(P$3)-YEAR($B$46))+MONTH(P$3)-MONTH($B$46)),'Вводные'!$B$78)=0,(12*(YEAR(P$3)-YEAR($B$46))+MONTH(P$3)-MONTH($B$46))&lt;='Вводные'!$B$77*12),$B$48/MAX(1,'Вводные'!$B$79),0))))</x:f>
      </x:c>
      <x:c r="Q51" s="117" t="n">
        <x:f>MIN(Q49+Q50,IF('Вводные'!$B$75="Единовременно",Q50,IF(AND('Вводные'!$B$84="Да",YEAR(Q$3)=YEAR($B$47),MONTH(Q$3)=MONTH($B$47)),Q49+Q50,IF(AND((12*(YEAR(Q$3)-YEAR($B$46))+MONTH(Q$3)-MONTH($B$46))&gt;0,MOD((12*(YEAR(Q$3)-YEAR($B$46))+MONTH(Q$3)-MONTH($B$46)),'Вводные'!$B$78)=0,(12*(YEAR(Q$3)-YEAR($B$46))+MONTH(Q$3)-MONTH($B$46))&lt;='Вводные'!$B$77*12),$B$48/MAX(1,'Вводные'!$B$79),0))))</x:f>
      </x:c>
      <x:c r="R51" s="117" t="n">
        <x:f>MIN(R49+R50,IF('Вводные'!$B$75="Единовременно",R50,IF(AND('Вводные'!$B$84="Да",YEAR(R$3)=YEAR($B$47),MONTH(R$3)=MONTH($B$47)),R49+R50,IF(AND((12*(YEAR(R$3)-YEAR($B$46))+MONTH(R$3)-MONTH($B$46))&gt;0,MOD((12*(YEAR(R$3)-YEAR($B$46))+MONTH(R$3)-MONTH($B$46)),'Вводные'!$B$78)=0,(12*(YEAR(R$3)-YEAR($B$46))+MONTH(R$3)-MONTH($B$46))&lt;='Вводные'!$B$77*12),$B$48/MAX(1,'Вводные'!$B$79),0))))</x:f>
      </x:c>
      <x:c r="S51" s="117" t="n">
        <x:f>MIN(S49+S50,IF('Вводные'!$B$75="Единовременно",S50,IF(AND('Вводные'!$B$84="Да",YEAR(S$3)=YEAR($B$47),MONTH(S$3)=MONTH($B$47)),S49+S50,IF(AND((12*(YEAR(S$3)-YEAR($B$46))+MONTH(S$3)-MONTH($B$46))&gt;0,MOD((12*(YEAR(S$3)-YEAR($B$46))+MONTH(S$3)-MONTH($B$46)),'Вводные'!$B$78)=0,(12*(YEAR(S$3)-YEAR($B$46))+MONTH(S$3)-MONTH($B$46))&lt;='Вводные'!$B$77*12),$B$48/MAX(1,'Вводные'!$B$79),0))))</x:f>
      </x:c>
      <x:c r="T51" s="117" t="n">
        <x:f>MIN(T49+T50,IF('Вводные'!$B$75="Единовременно",T50,IF(AND('Вводные'!$B$84="Да",YEAR(T$3)=YEAR($B$47),MONTH(T$3)=MONTH($B$47)),T49+T50,IF(AND((12*(YEAR(T$3)-YEAR($B$46))+MONTH(T$3)-MONTH($B$46))&gt;0,MOD((12*(YEAR(T$3)-YEAR($B$46))+MONTH(T$3)-MONTH($B$46)),'Вводные'!$B$78)=0,(12*(YEAR(T$3)-YEAR($B$46))+MONTH(T$3)-MONTH($B$46))&lt;='Вводные'!$B$77*12),$B$48/MAX(1,'Вводные'!$B$79),0))))</x:f>
      </x:c>
      <x:c r="U51" s="117" t="n">
        <x:f>MIN(U49+U50,IF('Вводные'!$B$75="Единовременно",U50,IF(AND('Вводные'!$B$84="Да",YEAR(U$3)=YEAR($B$47),MONTH(U$3)=MONTH($B$47)),U49+U50,IF(AND((12*(YEAR(U$3)-YEAR($B$46))+MONTH(U$3)-MONTH($B$46))&gt;0,MOD((12*(YEAR(U$3)-YEAR($B$46))+MONTH(U$3)-MONTH($B$46)),'Вводные'!$B$78)=0,(12*(YEAR(U$3)-YEAR($B$46))+MONTH(U$3)-MONTH($B$46))&lt;='Вводные'!$B$77*12),$B$48/MAX(1,'Вводные'!$B$79),0))))</x:f>
      </x:c>
      <x:c r="V51" s="117" t="n">
        <x:f>MIN(V49+V50,IF('Вводные'!$B$75="Единовременно",V50,IF(AND('Вводные'!$B$84="Да",YEAR(V$3)=YEAR($B$47),MONTH(V$3)=MONTH($B$47)),V49+V50,IF(AND((12*(YEAR(V$3)-YEAR($B$46))+MONTH(V$3)-MONTH($B$46))&gt;0,MOD((12*(YEAR(V$3)-YEAR($B$46))+MONTH(V$3)-MONTH($B$46)),'Вводные'!$B$78)=0,(12*(YEAR(V$3)-YEAR($B$46))+MONTH(V$3)-MONTH($B$46))&lt;='Вводные'!$B$77*12),$B$48/MAX(1,'Вводные'!$B$79),0))))</x:f>
      </x:c>
      <x:c r="W51" s="117" t="n">
        <x:f>MIN(W49+W50,IF('Вводные'!$B$75="Единовременно",W50,IF(AND('Вводные'!$B$84="Да",YEAR(W$3)=YEAR($B$47),MONTH(W$3)=MONTH($B$47)),W49+W50,IF(AND((12*(YEAR(W$3)-YEAR($B$46))+MONTH(W$3)-MONTH($B$46))&gt;0,MOD((12*(YEAR(W$3)-YEAR($B$46))+MONTH(W$3)-MONTH($B$46)),'Вводные'!$B$78)=0,(12*(YEAR(W$3)-YEAR($B$46))+MONTH(W$3)-MONTH($B$46))&lt;='Вводные'!$B$77*12),$B$48/MAX(1,'Вводные'!$B$79),0))))</x:f>
      </x:c>
      <x:c r="X51" s="117" t="n">
        <x:f>MIN(X49+X50,IF('Вводные'!$B$75="Единовременно",X50,IF(AND('Вводные'!$B$84="Да",YEAR(X$3)=YEAR($B$47),MONTH(X$3)=MONTH($B$47)),X49+X50,IF(AND((12*(YEAR(X$3)-YEAR($B$46))+MONTH(X$3)-MONTH($B$46))&gt;0,MOD((12*(YEAR(X$3)-YEAR($B$46))+MONTH(X$3)-MONTH($B$46)),'Вводные'!$B$78)=0,(12*(YEAR(X$3)-YEAR($B$46))+MONTH(X$3)-MONTH($B$46))&lt;='Вводные'!$B$77*12),$B$48/MAX(1,'Вводные'!$B$79),0))))</x:f>
      </x:c>
      <x:c r="Y51" s="117" t="n">
        <x:f>MIN(Y49+Y50,IF('Вводные'!$B$75="Единовременно",Y50,IF(AND('Вводные'!$B$84="Да",YEAR(Y$3)=YEAR($B$47),MONTH(Y$3)=MONTH($B$47)),Y49+Y50,IF(AND((12*(YEAR(Y$3)-YEAR($B$46))+MONTH(Y$3)-MONTH($B$46))&gt;0,MOD((12*(YEAR(Y$3)-YEAR($B$46))+MONTH(Y$3)-MONTH($B$46)),'Вводные'!$B$78)=0,(12*(YEAR(Y$3)-YEAR($B$46))+MONTH(Y$3)-MONTH($B$46))&lt;='Вводные'!$B$77*12),$B$48/MAX(1,'Вводные'!$B$79),0))))</x:f>
      </x:c>
      <x:c r="Z51" s="117" t="n">
        <x:f>MIN(Z49+Z50,IF('Вводные'!$B$75="Единовременно",Z50,IF(AND('Вводные'!$B$84="Да",YEAR(Z$3)=YEAR($B$47),MONTH(Z$3)=MONTH($B$47)),Z49+Z50,IF(AND((12*(YEAR(Z$3)-YEAR($B$46))+MONTH(Z$3)-MONTH($B$46))&gt;0,MOD((12*(YEAR(Z$3)-YEAR($B$46))+MONTH(Z$3)-MONTH($B$46)),'Вводные'!$B$78)=0,(12*(YEAR(Z$3)-YEAR($B$46))+MONTH(Z$3)-MONTH($B$46))&lt;='Вводные'!$B$77*12),$B$48/MAX(1,'Вводные'!$B$79),0))))</x:f>
      </x:c>
      <x:c r="AA51" s="117" t="n">
        <x:f>MIN(AA49+AA50,IF('Вводные'!$B$75="Единовременно",AA50,IF(AND('Вводные'!$B$84="Да",YEAR(AA$3)=YEAR($B$47),MONTH(AA$3)=MONTH($B$47)),AA49+AA50,IF(AND((12*(YEAR(AA$3)-YEAR($B$46))+MONTH(AA$3)-MONTH($B$46))&gt;0,MOD((12*(YEAR(AA$3)-YEAR($B$46))+MONTH(AA$3)-MONTH($B$46)),'Вводные'!$B$78)=0,(12*(YEAR(AA$3)-YEAR($B$46))+MONTH(AA$3)-MONTH($B$46))&lt;='Вводные'!$B$77*12),$B$48/MAX(1,'Вводные'!$B$79),0))))</x:f>
      </x:c>
      <x:c r="AB51" s="117" t="n">
        <x:f>MIN(AB49+AB50,IF('Вводные'!$B$75="Единовременно",AB50,IF(AND('Вводные'!$B$84="Да",YEAR(AB$3)=YEAR($B$47),MONTH(AB$3)=MONTH($B$47)),AB49+AB50,IF(AND((12*(YEAR(AB$3)-YEAR($B$46))+MONTH(AB$3)-MONTH($B$46))&gt;0,MOD((12*(YEAR(AB$3)-YEAR($B$46))+MONTH(AB$3)-MONTH($B$46)),'Вводные'!$B$78)=0,(12*(YEAR(AB$3)-YEAR($B$46))+MONTH(AB$3)-MONTH($B$46))&lt;='Вводные'!$B$77*12),$B$48/MAX(1,'Вводные'!$B$79),0))))</x:f>
      </x:c>
      <x:c r="AC51" s="117" t="n">
        <x:f>MIN(AC49+AC50,IF('Вводные'!$B$75="Единовременно",AC50,IF(AND('Вводные'!$B$84="Да",YEAR(AC$3)=YEAR($B$47),MONTH(AC$3)=MONTH($B$47)),AC49+AC50,IF(AND((12*(YEAR(AC$3)-YEAR($B$46))+MONTH(AC$3)-MONTH($B$46))&gt;0,MOD((12*(YEAR(AC$3)-YEAR($B$46))+MONTH(AC$3)-MONTH($B$46)),'Вводные'!$B$78)=0,(12*(YEAR(AC$3)-YEAR($B$46))+MONTH(AC$3)-MONTH($B$46))&lt;='Вводные'!$B$77*12),$B$48/MAX(1,'Вводные'!$B$79),0))))</x:f>
      </x:c>
      <x:c r="AD51" s="117" t="n">
        <x:f>MIN(AD49+AD50,IF('Вводные'!$B$75="Единовременно",AD50,IF(AND('Вводные'!$B$84="Да",YEAR(AD$3)=YEAR($B$47),MONTH(AD$3)=MONTH($B$47)),AD49+AD50,IF(AND((12*(YEAR(AD$3)-YEAR($B$46))+MONTH(AD$3)-MONTH($B$46))&gt;0,MOD((12*(YEAR(AD$3)-YEAR($B$46))+MONTH(AD$3)-MONTH($B$46)),'Вводные'!$B$78)=0,(12*(YEAR(AD$3)-YEAR($B$46))+MONTH(AD$3)-MONTH($B$46))&lt;='Вводные'!$B$77*12),$B$48/MAX(1,'Вводные'!$B$79),0))))</x:f>
      </x:c>
      <x:c r="AE51" s="117" t="n">
        <x:f>MIN(AE49+AE50,IF('Вводные'!$B$75="Единовременно",AE50,IF(AND('Вводные'!$B$84="Да",YEAR(AE$3)=YEAR($B$47),MONTH(AE$3)=MONTH($B$47)),AE49+AE50,IF(AND((12*(YEAR(AE$3)-YEAR($B$46))+MONTH(AE$3)-MONTH($B$46))&gt;0,MOD((12*(YEAR(AE$3)-YEAR($B$46))+MONTH(AE$3)-MONTH($B$46)),'Вводные'!$B$78)=0,(12*(YEAR(AE$3)-YEAR($B$46))+MONTH(AE$3)-MONTH($B$46))&lt;='Вводные'!$B$77*12),$B$48/MAX(1,'Вводные'!$B$79),0))))</x:f>
      </x:c>
      <x:c r="AF51" s="117" t="n">
        <x:f>MIN(AF49+AF50,IF('Вводные'!$B$75="Единовременно",AF50,IF(AND('Вводные'!$B$84="Да",YEAR(AF$3)=YEAR($B$47),MONTH(AF$3)=MONTH($B$47)),AF49+AF50,IF(AND((12*(YEAR(AF$3)-YEAR($B$46))+MONTH(AF$3)-MONTH($B$46))&gt;0,MOD((12*(YEAR(AF$3)-YEAR($B$46))+MONTH(AF$3)-MONTH($B$46)),'Вводные'!$B$78)=0,(12*(YEAR(AF$3)-YEAR($B$46))+MONTH(AF$3)-MONTH($B$46))&lt;='Вводные'!$B$77*12),$B$48/MAX(1,'Вводные'!$B$79),0))))</x:f>
      </x:c>
      <x:c r="AG51" s="117" t="n">
        <x:f>MIN(AG49+AG50,IF('Вводные'!$B$75="Единовременно",AG50,IF(AND('Вводные'!$B$84="Да",YEAR(AG$3)=YEAR($B$47),MONTH(AG$3)=MONTH($B$47)),AG49+AG50,IF(AND((12*(YEAR(AG$3)-YEAR($B$46))+MONTH(AG$3)-MONTH($B$46))&gt;0,MOD((12*(YEAR(AG$3)-YEAR($B$46))+MONTH(AG$3)-MONTH($B$46)),'Вводные'!$B$78)=0,(12*(YEAR(AG$3)-YEAR($B$46))+MONTH(AG$3)-MONTH($B$46))&lt;='Вводные'!$B$77*12),$B$48/MAX(1,'Вводные'!$B$79),0))))</x:f>
      </x:c>
      <x:c r="AH51" s="117" t="n">
        <x:f>MIN(AH49+AH50,IF('Вводные'!$B$75="Единовременно",AH50,IF(AND('Вводные'!$B$84="Да",YEAR(AH$3)=YEAR($B$47),MONTH(AH$3)=MONTH($B$47)),AH49+AH50,IF(AND((12*(YEAR(AH$3)-YEAR($B$46))+MONTH(AH$3)-MONTH($B$46))&gt;0,MOD((12*(YEAR(AH$3)-YEAR($B$46))+MONTH(AH$3)-MONTH($B$46)),'Вводные'!$B$78)=0,(12*(YEAR(AH$3)-YEAR($B$46))+MONTH(AH$3)-MONTH($B$46))&lt;='Вводные'!$B$77*12),$B$48/MAX(1,'Вводные'!$B$79),0))))</x:f>
      </x:c>
      <x:c r="AI51" s="117" t="n">
        <x:f>MIN(AI49+AI50,IF('Вводные'!$B$75="Единовременно",AI50,IF(AND('Вводные'!$B$84="Да",YEAR(AI$3)=YEAR($B$47),MONTH(AI$3)=MONTH($B$47)),AI49+AI50,IF(AND((12*(YEAR(AI$3)-YEAR($B$46))+MONTH(AI$3)-MONTH($B$46))&gt;0,MOD((12*(YEAR(AI$3)-YEAR($B$46))+MONTH(AI$3)-MONTH($B$46)),'Вводные'!$B$78)=0,(12*(YEAR(AI$3)-YEAR($B$46))+MONTH(AI$3)-MONTH($B$46))&lt;='Вводные'!$B$77*12),$B$48/MAX(1,'Вводные'!$B$79),0))))</x:f>
      </x:c>
      <x:c r="AJ51" s="117" t="n">
        <x:f>MIN(AJ49+AJ50,IF('Вводные'!$B$75="Единовременно",AJ50,IF(AND('Вводные'!$B$84="Да",YEAR(AJ$3)=YEAR($B$47),MONTH(AJ$3)=MONTH($B$47)),AJ49+AJ50,IF(AND((12*(YEAR(AJ$3)-YEAR($B$46))+MONTH(AJ$3)-MONTH($B$46))&gt;0,MOD((12*(YEAR(AJ$3)-YEAR($B$46))+MONTH(AJ$3)-MONTH($B$46)),'Вводные'!$B$78)=0,(12*(YEAR(AJ$3)-YEAR($B$46))+MONTH(AJ$3)-MONTH($B$46))&lt;='Вводные'!$B$77*12),$B$48/MAX(1,'Вводные'!$B$79),0))))</x:f>
      </x:c>
      <x:c r="AK51" s="117" t="n">
        <x:f>MIN(AK49+AK50,IF('Вводные'!$B$75="Единовременно",AK50,IF(AND('Вводные'!$B$84="Да",YEAR(AK$3)=YEAR($B$47),MONTH(AK$3)=MONTH($B$47)),AK49+AK50,IF(AND((12*(YEAR(AK$3)-YEAR($B$46))+MONTH(AK$3)-MONTH($B$46))&gt;0,MOD((12*(YEAR(AK$3)-YEAR($B$46))+MONTH(AK$3)-MONTH($B$46)),'Вводные'!$B$78)=0,(12*(YEAR(AK$3)-YEAR($B$46))+MONTH(AK$3)-MONTH($B$46))&lt;='Вводные'!$B$77*12),$B$48/MAX(1,'Вводные'!$B$79),0))))</x:f>
      </x:c>
      <x:c r="AL51" s="117" t="n">
        <x:f>MIN(AL49+AL50,IF('Вводные'!$B$75="Единовременно",AL50,IF(AND('Вводные'!$B$84="Да",YEAR(AL$3)=YEAR($B$47),MONTH(AL$3)=MONTH($B$47)),AL49+AL50,IF(AND((12*(YEAR(AL$3)-YEAR($B$46))+MONTH(AL$3)-MONTH($B$46))&gt;0,MOD((12*(YEAR(AL$3)-YEAR($B$46))+MONTH(AL$3)-MONTH($B$46)),'Вводные'!$B$78)=0,(12*(YEAR(AL$3)-YEAR($B$46))+MONTH(AL$3)-MONTH($B$46))&lt;='Вводные'!$B$77*12),$B$48/MAX(1,'Вводные'!$B$79),0))))</x:f>
      </x:c>
      <x:c r="AM51" s="117" t="n">
        <x:f>MIN(AM49+AM50,IF('Вводные'!$B$75="Единовременно",AM50,IF(AND('Вводные'!$B$84="Да",YEAR(AM$3)=YEAR($B$47),MONTH(AM$3)=MONTH($B$47)),AM49+AM50,IF(AND((12*(YEAR(AM$3)-YEAR($B$46))+MONTH(AM$3)-MONTH($B$46))&gt;0,MOD((12*(YEAR(AM$3)-YEAR($B$46))+MONTH(AM$3)-MONTH($B$46)),'Вводные'!$B$78)=0,(12*(YEAR(AM$3)-YEAR($B$46))+MONTH(AM$3)-MONTH($B$46))&lt;='Вводные'!$B$77*12),$B$48/MAX(1,'Вводные'!$B$79),0))))</x:f>
      </x:c>
      <x:c r="AN51" s="117" t="n">
        <x:f>MIN(AN49+AN50,IF('Вводные'!$B$75="Единовременно",AN50,IF(AND('Вводные'!$B$84="Да",YEAR(AN$3)=YEAR($B$47),MONTH(AN$3)=MONTH($B$47)),AN49+AN50,IF(AND((12*(YEAR(AN$3)-YEAR($B$46))+MONTH(AN$3)-MONTH($B$46))&gt;0,MOD((12*(YEAR(AN$3)-YEAR($B$46))+MONTH(AN$3)-MONTH($B$46)),'Вводные'!$B$78)=0,(12*(YEAR(AN$3)-YEAR($B$46))+MONTH(AN$3)-MONTH($B$46))&lt;='Вводные'!$B$77*12),$B$48/MAX(1,'Вводные'!$B$79),0))))</x:f>
      </x:c>
      <x:c r="AO51" s="117" t="n">
        <x:f>MIN(AO49+AO50,IF('Вводные'!$B$75="Единовременно",AO50,IF(AND('Вводные'!$B$84="Да",YEAR(AO$3)=YEAR($B$47),MONTH(AO$3)=MONTH($B$47)),AO49+AO50,IF(AND((12*(YEAR(AO$3)-YEAR($B$46))+MONTH(AO$3)-MONTH($B$46))&gt;0,MOD((12*(YEAR(AO$3)-YEAR($B$46))+MONTH(AO$3)-MONTH($B$46)),'Вводные'!$B$78)=0,(12*(YEAR(AO$3)-YEAR($B$46))+MONTH(AO$3)-MONTH($B$46))&lt;='Вводные'!$B$77*12),$B$48/MAX(1,'Вводные'!$B$79),0))))</x:f>
      </x:c>
      <x:c r="AP51" s="117" t="n">
        <x:f>MIN(AP49+AP50,IF('Вводные'!$B$75="Единовременно",AP50,IF(AND('Вводные'!$B$84="Да",YEAR(AP$3)=YEAR($B$47),MONTH(AP$3)=MONTH($B$47)),AP49+AP50,IF(AND((12*(YEAR(AP$3)-YEAR($B$46))+MONTH(AP$3)-MONTH($B$46))&gt;0,MOD((12*(YEAR(AP$3)-YEAR($B$46))+MONTH(AP$3)-MONTH($B$46)),'Вводные'!$B$78)=0,(12*(YEAR(AP$3)-YEAR($B$46))+MONTH(AP$3)-MONTH($B$46))&lt;='Вводные'!$B$77*12),$B$48/MAX(1,'Вводные'!$B$79),0))))</x:f>
      </x:c>
      <x:c r="AQ51" s="117" t="n">
        <x:f>MIN(AQ49+AQ50,IF('Вводные'!$B$75="Единовременно",AQ50,IF(AND('Вводные'!$B$84="Да",YEAR(AQ$3)=YEAR($B$47),MONTH(AQ$3)=MONTH($B$47)),AQ49+AQ50,IF(AND((12*(YEAR(AQ$3)-YEAR($B$46))+MONTH(AQ$3)-MONTH($B$46))&gt;0,MOD((12*(YEAR(AQ$3)-YEAR($B$46))+MONTH(AQ$3)-MONTH($B$46)),'Вводные'!$B$78)=0,(12*(YEAR(AQ$3)-YEAR($B$46))+MONTH(AQ$3)-MONTH($B$46))&lt;='Вводные'!$B$77*12),$B$48/MAX(1,'Вводные'!$B$79),0))))</x:f>
      </x:c>
      <x:c r="AR51" s="117" t="n">
        <x:f>MIN(AR49+AR50,IF('Вводные'!$B$75="Единовременно",AR50,IF(AND('Вводные'!$B$84="Да",YEAR(AR$3)=YEAR($B$47),MONTH(AR$3)=MONTH($B$47)),AR49+AR50,IF(AND((12*(YEAR(AR$3)-YEAR($B$46))+MONTH(AR$3)-MONTH($B$46))&gt;0,MOD((12*(YEAR(AR$3)-YEAR($B$46))+MONTH(AR$3)-MONTH($B$46)),'Вводные'!$B$78)=0,(12*(YEAR(AR$3)-YEAR($B$46))+MONTH(AR$3)-MONTH($B$46))&lt;='Вводные'!$B$77*12),$B$48/MAX(1,'Вводные'!$B$79),0))))</x:f>
      </x:c>
      <x:c r="AS51" s="117" t="n">
        <x:f>MIN(AS49+AS50,IF('Вводные'!$B$75="Единовременно",AS50,IF(AND('Вводные'!$B$84="Да",YEAR(AS$3)=YEAR($B$47),MONTH(AS$3)=MONTH($B$47)),AS49+AS50,IF(AND((12*(YEAR(AS$3)-YEAR($B$46))+MONTH(AS$3)-MONTH($B$46))&gt;0,MOD((12*(YEAR(AS$3)-YEAR($B$46))+MONTH(AS$3)-MONTH($B$46)),'Вводные'!$B$78)=0,(12*(YEAR(AS$3)-YEAR($B$46))+MONTH(AS$3)-MONTH($B$46))&lt;='Вводные'!$B$77*12),$B$48/MAX(1,'Вводные'!$B$79),0))))</x:f>
      </x:c>
      <x:c r="AT51" s="117" t="n">
        <x:f>MIN(AT49+AT50,IF('Вводные'!$B$75="Единовременно",AT50,IF(AND('Вводные'!$B$84="Да",YEAR(AT$3)=YEAR($B$47),MONTH(AT$3)=MONTH($B$47)),AT49+AT50,IF(AND((12*(YEAR(AT$3)-YEAR($B$46))+MONTH(AT$3)-MONTH($B$46))&gt;0,MOD((12*(YEAR(AT$3)-YEAR($B$46))+MONTH(AT$3)-MONTH($B$46)),'Вводные'!$B$78)=0,(12*(YEAR(AT$3)-YEAR($B$46))+MONTH(AT$3)-MONTH($B$46))&lt;='Вводные'!$B$77*12),$B$48/MAX(1,'Вводные'!$B$79),0))))</x:f>
      </x:c>
      <x:c r="AU51" s="117" t="n">
        <x:f>MIN(AU49+AU50,IF('Вводные'!$B$75="Единовременно",AU50,IF(AND('Вводные'!$B$84="Да",YEAR(AU$3)=YEAR($B$47),MONTH(AU$3)=MONTH($B$47)),AU49+AU50,IF(AND((12*(YEAR(AU$3)-YEAR($B$46))+MONTH(AU$3)-MONTH($B$46))&gt;0,MOD((12*(YEAR(AU$3)-YEAR($B$46))+MONTH(AU$3)-MONTH($B$46)),'Вводные'!$B$78)=0,(12*(YEAR(AU$3)-YEAR($B$46))+MONTH(AU$3)-MONTH($B$46))&lt;='Вводные'!$B$77*12),$B$48/MAX(1,'Вводные'!$B$79),0))))</x:f>
      </x:c>
      <x:c r="AV51" s="117" t="n">
        <x:f>MIN(AV49+AV50,IF('Вводные'!$B$75="Единовременно",AV50,IF(AND('Вводные'!$B$84="Да",YEAR(AV$3)=YEAR($B$47),MONTH(AV$3)=MONTH($B$47)),AV49+AV50,IF(AND((12*(YEAR(AV$3)-YEAR($B$46))+MONTH(AV$3)-MONTH($B$46))&gt;0,MOD((12*(YEAR(AV$3)-YEAR($B$46))+MONTH(AV$3)-MONTH($B$46)),'Вводные'!$B$78)=0,(12*(YEAR(AV$3)-YEAR($B$46))+MONTH(AV$3)-MONTH($B$46))&lt;='Вводные'!$B$77*12),$B$48/MAX(1,'Вводные'!$B$79),0))))</x:f>
      </x:c>
      <x:c r="AW51" s="117" t="n">
        <x:f>MIN(AW49+AW50,IF('Вводные'!$B$75="Единовременно",AW50,IF(AND('Вводные'!$B$84="Да",YEAR(AW$3)=YEAR($B$47),MONTH(AW$3)=MONTH($B$47)),AW49+AW50,IF(AND((12*(YEAR(AW$3)-YEAR($B$46))+MONTH(AW$3)-MONTH($B$46))&gt;0,MOD((12*(YEAR(AW$3)-YEAR($B$46))+MONTH(AW$3)-MONTH($B$46)),'Вводные'!$B$78)=0,(12*(YEAR(AW$3)-YEAR($B$46))+MONTH(AW$3)-MONTH($B$46))&lt;='Вводные'!$B$77*12),$B$48/MAX(1,'Вводные'!$B$79),0))))</x:f>
      </x:c>
      <x:c r="AX51" s="117" t="n">
        <x:f>MIN(AX49+AX50,IF('Вводные'!$B$75="Единовременно",AX50,IF(AND('Вводные'!$B$84="Да",YEAR(AX$3)=YEAR($B$47),MONTH(AX$3)=MONTH($B$47)),AX49+AX50,IF(AND((12*(YEAR(AX$3)-YEAR($B$46))+MONTH(AX$3)-MONTH($B$46))&gt;0,MOD((12*(YEAR(AX$3)-YEAR($B$46))+MONTH(AX$3)-MONTH($B$46)),'Вводные'!$B$78)=0,(12*(YEAR(AX$3)-YEAR($B$46))+MONTH(AX$3)-MONTH($B$46))&lt;='Вводные'!$B$77*12),$B$48/MAX(1,'Вводные'!$B$79),0))))</x:f>
      </x:c>
      <x:c r="AY51" s="117" t="n">
        <x:f>MIN(AY49+AY50,IF('Вводные'!$B$75="Единовременно",AY50,IF(AND('Вводные'!$B$84="Да",YEAR(AY$3)=YEAR($B$47),MONTH(AY$3)=MONTH($B$47)),AY49+AY50,IF(AND((12*(YEAR(AY$3)-YEAR($B$46))+MONTH(AY$3)-MONTH($B$46))&gt;0,MOD((12*(YEAR(AY$3)-YEAR($B$46))+MONTH(AY$3)-MONTH($B$46)),'Вводные'!$B$78)=0,(12*(YEAR(AY$3)-YEAR($B$46))+MONTH(AY$3)-MONTH($B$46))&lt;='Вводные'!$B$77*12),$B$48/MAX(1,'Вводные'!$B$79),0))))</x:f>
      </x:c>
      <x:c r="AZ51" s="117" t="n">
        <x:f>MIN(AZ49+AZ50,IF('Вводные'!$B$75="Единовременно",AZ50,IF(AND('Вводные'!$B$84="Да",YEAR(AZ$3)=YEAR($B$47),MONTH(AZ$3)=MONTH($B$47)),AZ49+AZ50,IF(AND((12*(YEAR(AZ$3)-YEAR($B$46))+MONTH(AZ$3)-MONTH($B$46))&gt;0,MOD((12*(YEAR(AZ$3)-YEAR($B$46))+MONTH(AZ$3)-MONTH($B$46)),'Вводные'!$B$78)=0,(12*(YEAR(AZ$3)-YEAR($B$46))+MONTH(AZ$3)-MONTH($B$46))&lt;='Вводные'!$B$77*12),$B$48/MAX(1,'Вводные'!$B$79),0))))</x:f>
      </x:c>
      <x:c r="BA51" s="117" t="n">
        <x:f>MIN(BA49+BA50,IF('Вводные'!$B$75="Единовременно",BA50,IF(AND('Вводные'!$B$84="Да",YEAR(BA$3)=YEAR($B$47),MONTH(BA$3)=MONTH($B$47)),BA49+BA50,IF(AND((12*(YEAR(BA$3)-YEAR($B$46))+MONTH(BA$3)-MONTH($B$46))&gt;0,MOD((12*(YEAR(BA$3)-YEAR($B$46))+MONTH(BA$3)-MONTH($B$46)),'Вводные'!$B$78)=0,(12*(YEAR(BA$3)-YEAR($B$46))+MONTH(BA$3)-MONTH($B$46))&lt;='Вводные'!$B$77*12),$B$48/MAX(1,'Вводные'!$B$79),0))))</x:f>
      </x:c>
      <x:c r="BB51" s="117" t="n">
        <x:f>MIN(BB49+BB50,IF('Вводные'!$B$75="Единовременно",BB50,IF(AND('Вводные'!$B$84="Да",YEAR(BB$3)=YEAR($B$47),MONTH(BB$3)=MONTH($B$47)),BB49+BB50,IF(AND((12*(YEAR(BB$3)-YEAR($B$46))+MONTH(BB$3)-MONTH($B$46))&gt;0,MOD((12*(YEAR(BB$3)-YEAR($B$46))+MONTH(BB$3)-MONTH($B$46)),'Вводные'!$B$78)=0,(12*(YEAR(BB$3)-YEAR($B$46))+MONTH(BB$3)-MONTH($B$46))&lt;='Вводные'!$B$77*12),$B$48/MAX(1,'Вводные'!$B$79),0))))</x:f>
      </x:c>
      <x:c r="BC51" s="117" t="n">
        <x:f>MIN(BC49+BC50,IF('Вводные'!$B$75="Единовременно",BC50,IF(AND('Вводные'!$B$84="Да",YEAR(BC$3)=YEAR($B$47),MONTH(BC$3)=MONTH($B$47)),BC49+BC50,IF(AND((12*(YEAR(BC$3)-YEAR($B$46))+MONTH(BC$3)-MONTH($B$46))&gt;0,MOD((12*(YEAR(BC$3)-YEAR($B$46))+MONTH(BC$3)-MONTH($B$46)),'Вводные'!$B$78)=0,(12*(YEAR(BC$3)-YEAR($B$46))+MONTH(BC$3)-MONTH($B$46))&lt;='Вводные'!$B$77*12),$B$48/MAX(1,'Вводные'!$B$79),0))))</x:f>
      </x:c>
      <x:c r="BD51" s="117" t="n">
        <x:f>MIN(BD49+BD50,IF('Вводные'!$B$75="Единовременно",BD50,IF(AND('Вводные'!$B$84="Да",YEAR(BD$3)=YEAR($B$47),MONTH(BD$3)=MONTH($B$47)),BD49+BD50,IF(AND((12*(YEAR(BD$3)-YEAR($B$46))+MONTH(BD$3)-MONTH($B$46))&gt;0,MOD((12*(YEAR(BD$3)-YEAR($B$46))+MONTH(BD$3)-MONTH($B$46)),'Вводные'!$B$78)=0,(12*(YEAR(BD$3)-YEAR($B$46))+MONTH(BD$3)-MONTH($B$46))&lt;='Вводные'!$B$77*12),$B$48/MAX(1,'Вводные'!$B$79),0))))</x:f>
      </x:c>
      <x:c r="BE51" s="117" t="n">
        <x:f>MIN(BE49+BE50,IF('Вводные'!$B$75="Единовременно",BE50,IF(AND('Вводные'!$B$84="Да",YEAR(BE$3)=YEAR($B$47),MONTH(BE$3)=MONTH($B$47)),BE49+BE50,IF(AND((12*(YEAR(BE$3)-YEAR($B$46))+MONTH(BE$3)-MONTH($B$46))&gt;0,MOD((12*(YEAR(BE$3)-YEAR($B$46))+MONTH(BE$3)-MONTH($B$46)),'Вводные'!$B$78)=0,(12*(YEAR(BE$3)-YEAR($B$46))+MONTH(BE$3)-MONTH($B$46))&lt;='Вводные'!$B$77*12),$B$48/MAX(1,'Вводные'!$B$79),0))))</x:f>
      </x:c>
      <x:c r="BF51" s="117" t="n">
        <x:f>MIN(BF49+BF50,IF('Вводные'!$B$75="Единовременно",BF50,IF(AND('Вводные'!$B$84="Да",YEAR(BF$3)=YEAR($B$47),MONTH(BF$3)=MONTH($B$47)),BF49+BF50,IF(AND((12*(YEAR(BF$3)-YEAR($B$46))+MONTH(BF$3)-MONTH($B$46))&gt;0,MOD((12*(YEAR(BF$3)-YEAR($B$46))+MONTH(BF$3)-MONTH($B$46)),'Вводные'!$B$78)=0,(12*(YEAR(BF$3)-YEAR($B$46))+MONTH(BF$3)-MONTH($B$46))&lt;='Вводные'!$B$77*12),$B$48/MAX(1,'Вводные'!$B$79),0))))</x:f>
      </x:c>
      <x:c r="BG51" s="117" t="n">
        <x:f>MIN(BG49+BG50,IF('Вводные'!$B$75="Единовременно",BG50,IF(AND('Вводные'!$B$84="Да",YEAR(BG$3)=YEAR($B$47),MONTH(BG$3)=MONTH($B$47)),BG49+BG50,IF(AND((12*(YEAR(BG$3)-YEAR($B$46))+MONTH(BG$3)-MONTH($B$46))&gt;0,MOD((12*(YEAR(BG$3)-YEAR($B$46))+MONTH(BG$3)-MONTH($B$46)),'Вводные'!$B$78)=0,(12*(YEAR(BG$3)-YEAR($B$46))+MONTH(BG$3)-MONTH($B$46))&lt;='Вводные'!$B$77*12),$B$48/MAX(1,'Вводные'!$B$79),0))))</x:f>
      </x:c>
      <x:c r="BH51" s="117" t="n">
        <x:f>MIN(BH49+BH50,IF('Вводные'!$B$75="Единовременно",BH50,IF(AND('Вводные'!$B$84="Да",YEAR(BH$3)=YEAR($B$47),MONTH(BH$3)=MONTH($B$47)),BH49+BH50,IF(AND((12*(YEAR(BH$3)-YEAR($B$46))+MONTH(BH$3)-MONTH($B$46))&gt;0,MOD((12*(YEAR(BH$3)-YEAR($B$46))+MONTH(BH$3)-MONTH($B$46)),'Вводные'!$B$78)=0,(12*(YEAR(BH$3)-YEAR($B$46))+MONTH(BH$3)-MONTH($B$46))&lt;='Вводные'!$B$77*12),$B$48/MAX(1,'Вводные'!$B$79),0))))</x:f>
      </x:c>
      <x:c r="BI51" s="117" t="n">
        <x:f>MIN(BI49+BI50,IF('Вводные'!$B$75="Единовременно",BI50,IF(AND('Вводные'!$B$84="Да",YEAR(BI$3)=YEAR($B$47),MONTH(BI$3)=MONTH($B$47)),BI49+BI50,IF(AND((12*(YEAR(BI$3)-YEAR($B$46))+MONTH(BI$3)-MONTH($B$46))&gt;0,MOD((12*(YEAR(BI$3)-YEAR($B$46))+MONTH(BI$3)-MONTH($B$46)),'Вводные'!$B$78)=0,(12*(YEAR(BI$3)-YEAR($B$46))+MONTH(BI$3)-MONTH($B$46))&lt;='Вводные'!$B$77*12),$B$48/MAX(1,'Вводные'!$B$79),0))))</x:f>
      </x:c>
      <x:c r="BJ51" s="117" t="n">
        <x:f>MIN(BJ49+BJ50,IF('Вводные'!$B$75="Единовременно",BJ50,IF(AND('Вводные'!$B$84="Да",YEAR(BJ$3)=YEAR($B$47),MONTH(BJ$3)=MONTH($B$47)),BJ49+BJ50,IF(AND((12*(YEAR(BJ$3)-YEAR($B$46))+MONTH(BJ$3)-MONTH($B$46))&gt;0,MOD((12*(YEAR(BJ$3)-YEAR($B$46))+MONTH(BJ$3)-MONTH($B$46)),'Вводные'!$B$78)=0,(12*(YEAR(BJ$3)-YEAR($B$46))+MONTH(BJ$3)-MONTH($B$46))&lt;='Вводные'!$B$77*12),$B$48/MAX(1,'Вводные'!$B$79),0))))</x:f>
      </x:c>
      <x:c r="BK51" s="117" t="n">
        <x:f>MIN(BK49+BK50,IF('Вводные'!$B$75="Единовременно",BK50,IF(AND('Вводные'!$B$84="Да",YEAR(BK$3)=YEAR($B$47),MONTH(BK$3)=MONTH($B$47)),BK49+BK50,IF(AND((12*(YEAR(BK$3)-YEAR($B$46))+MONTH(BK$3)-MONTH($B$46))&gt;0,MOD((12*(YEAR(BK$3)-YEAR($B$46))+MONTH(BK$3)-MONTH($B$46)),'Вводные'!$B$78)=0,(12*(YEAR(BK$3)-YEAR($B$46))+MONTH(BK$3)-MONTH($B$46))&lt;='Вводные'!$B$77*12),$B$48/MAX(1,'Вводные'!$B$79),0))))</x:f>
      </x:c>
      <x:c r="BL51" s="117" t="n">
        <x:f>MIN(BL49+BL50,IF('Вводные'!$B$75="Единовременно",BL50,IF(AND('Вводные'!$B$84="Да",YEAR(BL$3)=YEAR($B$47),MONTH(BL$3)=MONTH($B$47)),BL49+BL50,IF(AND((12*(YEAR(BL$3)-YEAR($B$46))+MONTH(BL$3)-MONTH($B$46))&gt;0,MOD((12*(YEAR(BL$3)-YEAR($B$46))+MONTH(BL$3)-MONTH($B$46)),'Вводные'!$B$78)=0,(12*(YEAR(BL$3)-YEAR($B$46))+MONTH(BL$3)-MONTH($B$46))&lt;='Вводные'!$B$77*12),$B$48/MAX(1,'Вводные'!$B$79),0))))</x:f>
      </x:c>
      <x:c r="BM51" s="117" t="n">
        <x:f>MIN(BM49+BM50,IF('Вводные'!$B$75="Единовременно",BM50,IF(AND('Вводные'!$B$84="Да",YEAR(BM$3)=YEAR($B$47),MONTH(BM$3)=MONTH($B$47)),BM49+BM50,IF(AND((12*(YEAR(BM$3)-YEAR($B$46))+MONTH(BM$3)-MONTH($B$46))&gt;0,MOD((12*(YEAR(BM$3)-YEAR($B$46))+MONTH(BM$3)-MONTH($B$46)),'Вводные'!$B$78)=0,(12*(YEAR(BM$3)-YEAR($B$46))+MONTH(BM$3)-MONTH($B$46))&lt;='Вводные'!$B$77*12),$B$48/MAX(1,'Вводные'!$B$79),0))))</x:f>
      </x:c>
      <x:c r="BN51" s="117" t="n">
        <x:f>MIN(BN49+BN50,IF('Вводные'!$B$75="Единовременно",BN50,IF(AND('Вводные'!$B$84="Да",YEAR(BN$3)=YEAR($B$47),MONTH(BN$3)=MONTH($B$47)),BN49+BN50,IF(AND((12*(YEAR(BN$3)-YEAR($B$46))+MONTH(BN$3)-MONTH($B$46))&gt;0,MOD((12*(YEAR(BN$3)-YEAR($B$46))+MONTH(BN$3)-MONTH($B$46)),'Вводные'!$B$78)=0,(12*(YEAR(BN$3)-YEAR($B$46))+MONTH(BN$3)-MONTH($B$46))&lt;='Вводные'!$B$77*12),$B$48/MAX(1,'Вводные'!$B$79),0))))</x:f>
      </x:c>
      <x:c r="BO51" s="117" t="n">
        <x:f>MIN(BO49+BO50,IF('Вводные'!$B$75="Единовременно",BO50,IF(AND('Вводные'!$B$84="Да",YEAR(BO$3)=YEAR($B$47),MONTH(BO$3)=MONTH($B$47)),BO49+BO50,IF(AND((12*(YEAR(BO$3)-YEAR($B$46))+MONTH(BO$3)-MONTH($B$46))&gt;0,MOD((12*(YEAR(BO$3)-YEAR($B$46))+MONTH(BO$3)-MONTH($B$46)),'Вводные'!$B$78)=0,(12*(YEAR(BO$3)-YEAR($B$46))+MONTH(BO$3)-MONTH($B$46))&lt;='Вводные'!$B$77*12),$B$48/MAX(1,'Вводные'!$B$79),0))))</x:f>
      </x:c>
      <x:c r="BP51" s="117" t="n">
        <x:f>MIN(BP49+BP50,IF('Вводные'!$B$75="Единовременно",BP50,IF(AND('Вводные'!$B$84="Да",YEAR(BP$3)=YEAR($B$47),MONTH(BP$3)=MONTH($B$47)),BP49+BP50,IF(AND((12*(YEAR(BP$3)-YEAR($B$46))+MONTH(BP$3)-MONTH($B$46))&gt;0,MOD((12*(YEAR(BP$3)-YEAR($B$46))+MONTH(BP$3)-MONTH($B$46)),'Вводные'!$B$78)=0,(12*(YEAR(BP$3)-YEAR($B$46))+MONTH(BP$3)-MONTH($B$46))&lt;='Вводные'!$B$77*12),$B$48/MAX(1,'Вводные'!$B$79),0))))</x:f>
      </x:c>
      <x:c r="BQ51" s="117" t="n">
        <x:f>MIN(BQ49+BQ50,IF('Вводные'!$B$75="Единовременно",BQ50,IF(AND('Вводные'!$B$84="Да",YEAR(BQ$3)=YEAR($B$47),MONTH(BQ$3)=MONTH($B$47)),BQ49+BQ50,IF(AND((12*(YEAR(BQ$3)-YEAR($B$46))+MONTH(BQ$3)-MONTH($B$46))&gt;0,MOD((12*(YEAR(BQ$3)-YEAR($B$46))+MONTH(BQ$3)-MONTH($B$46)),'Вводные'!$B$78)=0,(12*(YEAR(BQ$3)-YEAR($B$46))+MONTH(BQ$3)-MONTH($B$46))&lt;='Вводные'!$B$77*12),$B$48/MAX(1,'Вводные'!$B$79),0))))</x:f>
      </x:c>
      <x:c r="BR51" s="117" t="n">
        <x:f>MIN(BR49+BR50,IF('Вводные'!$B$75="Единовременно",BR50,IF(AND('Вводные'!$B$84="Да",YEAR(BR$3)=YEAR($B$47),MONTH(BR$3)=MONTH($B$47)),BR49+BR50,IF(AND((12*(YEAR(BR$3)-YEAR($B$46))+MONTH(BR$3)-MONTH($B$46))&gt;0,MOD((12*(YEAR(BR$3)-YEAR($B$46))+MONTH(BR$3)-MONTH($B$46)),'Вводные'!$B$78)=0,(12*(YEAR(BR$3)-YEAR($B$46))+MONTH(BR$3)-MONTH($B$46))&lt;='Вводные'!$B$77*12),$B$48/MAX(1,'Вводные'!$B$79),0))))</x:f>
      </x:c>
      <x:c r="BS51" s="117" t="n">
        <x:f>MIN(BS49+BS50,IF('Вводные'!$B$75="Единовременно",BS50,IF(AND('Вводные'!$B$84="Да",YEAR(BS$3)=YEAR($B$47),MONTH(BS$3)=MONTH($B$47)),BS49+BS50,IF(AND((12*(YEAR(BS$3)-YEAR($B$46))+MONTH(BS$3)-MONTH($B$46))&gt;0,MOD((12*(YEAR(BS$3)-YEAR($B$46))+MONTH(BS$3)-MONTH($B$46)),'Вводные'!$B$78)=0,(12*(YEAR(BS$3)-YEAR($B$46))+MONTH(BS$3)-MONTH($B$46))&lt;='Вводные'!$B$77*12),$B$48/MAX(1,'Вводные'!$B$79),0))))</x:f>
      </x:c>
      <x:c r="BT51" s="117" t="n">
        <x:f>MIN(BT49+BT50,IF('Вводные'!$B$75="Единовременно",BT50,IF(AND('Вводные'!$B$84="Да",YEAR(BT$3)=YEAR($B$47),MONTH(BT$3)=MONTH($B$47)),BT49+BT50,IF(AND((12*(YEAR(BT$3)-YEAR($B$46))+MONTH(BT$3)-MONTH($B$46))&gt;0,MOD((12*(YEAR(BT$3)-YEAR($B$46))+MONTH(BT$3)-MONTH($B$46)),'Вводные'!$B$78)=0,(12*(YEAR(BT$3)-YEAR($B$46))+MONTH(BT$3)-MONTH($B$46))&lt;='Вводные'!$B$77*12),$B$48/MAX(1,'Вводные'!$B$79),0))))</x:f>
      </x:c>
      <x:c r="BU51" s="117" t="n">
        <x:f>MIN(BU49+BU50,IF('Вводные'!$B$75="Единовременно",BU50,IF(AND('Вводные'!$B$84="Да",YEAR(BU$3)=YEAR($B$47),MONTH(BU$3)=MONTH($B$47)),BU49+BU50,IF(AND((12*(YEAR(BU$3)-YEAR($B$46))+MONTH(BU$3)-MONTH($B$46))&gt;0,MOD((12*(YEAR(BU$3)-YEAR($B$46))+MONTH(BU$3)-MONTH($B$46)),'Вводные'!$B$78)=0,(12*(YEAR(BU$3)-YEAR($B$46))+MONTH(BU$3)-MONTH($B$46))&lt;='Вводные'!$B$77*12),$B$48/MAX(1,'Вводные'!$B$79),0))))</x:f>
      </x:c>
      <x:c r="BV51" s="117" t="n">
        <x:f>MIN(BV49+BV50,IF('Вводные'!$B$75="Единовременно",BV50,IF(AND('Вводные'!$B$84="Да",YEAR(BV$3)=YEAR($B$47),MONTH(BV$3)=MONTH($B$47)),BV49+BV50,IF(AND((12*(YEAR(BV$3)-YEAR($B$46))+MONTH(BV$3)-MONTH($B$46))&gt;0,MOD((12*(YEAR(BV$3)-YEAR($B$46))+MONTH(BV$3)-MONTH($B$46)),'Вводные'!$B$78)=0,(12*(YEAR(BV$3)-YEAR($B$46))+MONTH(BV$3)-MONTH($B$46))&lt;='Вводные'!$B$77*12),$B$48/MAX(1,'Вводные'!$B$79),0))))</x:f>
      </x:c>
      <x:c r="BW51" s="117" t="n">
        <x:f>MIN(BW49+BW50,IF('Вводные'!$B$75="Единовременно",BW50,IF(AND('Вводные'!$B$84="Да",YEAR(BW$3)=YEAR($B$47),MONTH(BW$3)=MONTH($B$47)),BW49+BW50,IF(AND((12*(YEAR(BW$3)-YEAR($B$46))+MONTH(BW$3)-MONTH($B$46))&gt;0,MOD((12*(YEAR(BW$3)-YEAR($B$46))+MONTH(BW$3)-MONTH($B$46)),'Вводные'!$B$78)=0,(12*(YEAR(BW$3)-YEAR($B$46))+MONTH(BW$3)-MONTH($B$46))&lt;='Вводные'!$B$77*12),$B$48/MAX(1,'Вводные'!$B$79),0))))</x:f>
      </x:c>
      <x:c r="BX51" s="117" t="n">
        <x:f>MIN(BX49+BX50,IF('Вводные'!$B$75="Единовременно",BX50,IF(AND('Вводные'!$B$84="Да",YEAR(BX$3)=YEAR($B$47),MONTH(BX$3)=MONTH($B$47)),BX49+BX50,IF(AND((12*(YEAR(BX$3)-YEAR($B$46))+MONTH(BX$3)-MONTH($B$46))&gt;0,MOD((12*(YEAR(BX$3)-YEAR($B$46))+MONTH(BX$3)-MONTH($B$46)),'Вводные'!$B$78)=0,(12*(YEAR(BX$3)-YEAR($B$46))+MONTH(BX$3)-MONTH($B$46))&lt;='Вводные'!$B$77*12),$B$48/MAX(1,'Вводные'!$B$79),0))))</x:f>
      </x:c>
      <x:c r="BY51" s="117" t="n">
        <x:f>MIN(BY49+BY50,IF('Вводные'!$B$75="Единовременно",BY50,IF(AND('Вводные'!$B$84="Да",YEAR(BY$3)=YEAR($B$47),MONTH(BY$3)=MONTH($B$47)),BY49+BY50,IF(AND((12*(YEAR(BY$3)-YEAR($B$46))+MONTH(BY$3)-MONTH($B$46))&gt;0,MOD((12*(YEAR(BY$3)-YEAR($B$46))+MONTH(BY$3)-MONTH($B$46)),'Вводные'!$B$78)=0,(12*(YEAR(BY$3)-YEAR($B$46))+MONTH(BY$3)-MONTH($B$46))&lt;='Вводные'!$B$77*12),$B$48/MAX(1,'Вводные'!$B$79),0))))</x:f>
      </x:c>
      <x:c r="BZ51" s="117" t="n">
        <x:f>MIN(BZ49+BZ50,IF('Вводные'!$B$75="Единовременно",BZ50,IF(AND('Вводные'!$B$84="Да",YEAR(BZ$3)=YEAR($B$47),MONTH(BZ$3)=MONTH($B$47)),BZ49+BZ50,IF(AND((12*(YEAR(BZ$3)-YEAR($B$46))+MONTH(BZ$3)-MONTH($B$46))&gt;0,MOD((12*(YEAR(BZ$3)-YEAR($B$46))+MONTH(BZ$3)-MONTH($B$46)),'Вводные'!$B$78)=0,(12*(YEAR(BZ$3)-YEAR($B$46))+MONTH(BZ$3)-MONTH($B$46))&lt;='Вводные'!$B$77*12),$B$48/MAX(1,'Вводные'!$B$79),0))))</x:f>
      </x:c>
      <x:c r="CA51" s="117" t="n">
        <x:f>MIN(CA49+CA50,IF('Вводные'!$B$75="Единовременно",CA50,IF(AND('Вводные'!$B$84="Да",YEAR(CA$3)=YEAR($B$47),MONTH(CA$3)=MONTH($B$47)),CA49+CA50,IF(AND((12*(YEAR(CA$3)-YEAR($B$46))+MONTH(CA$3)-MONTH($B$46))&gt;0,MOD((12*(YEAR(CA$3)-YEAR($B$46))+MONTH(CA$3)-MONTH($B$46)),'Вводные'!$B$78)=0,(12*(YEAR(CA$3)-YEAR($B$46))+MONTH(CA$3)-MONTH($B$46))&lt;='Вводные'!$B$77*12),$B$48/MAX(1,'Вводные'!$B$79),0))))</x:f>
      </x:c>
      <x:c r="CB51" s="117" t="n">
        <x:f>MIN(CB49+CB50,IF('Вводные'!$B$75="Единовременно",CB50,IF(AND('Вводные'!$B$84="Да",YEAR(CB$3)=YEAR($B$47),MONTH(CB$3)=MONTH($B$47)),CB49+CB50,IF(AND((12*(YEAR(CB$3)-YEAR($B$46))+MONTH(CB$3)-MONTH($B$46))&gt;0,MOD((12*(YEAR(CB$3)-YEAR($B$46))+MONTH(CB$3)-MONTH($B$46)),'Вводные'!$B$78)=0,(12*(YEAR(CB$3)-YEAR($B$46))+MONTH(CB$3)-MONTH($B$46))&lt;='Вводные'!$B$77*12),$B$48/MAX(1,'Вводные'!$B$79),0))))</x:f>
      </x:c>
      <x:c r="CC51" s="117" t="n">
        <x:f>MIN(CC49+CC50,IF('Вводные'!$B$75="Единовременно",CC50,IF(AND('Вводные'!$B$84="Да",YEAR(CC$3)=YEAR($B$47),MONTH(CC$3)=MONTH($B$47)),CC49+CC50,IF(AND((12*(YEAR(CC$3)-YEAR($B$46))+MONTH(CC$3)-MONTH($B$46))&gt;0,MOD((12*(YEAR(CC$3)-YEAR($B$46))+MONTH(CC$3)-MONTH($B$46)),'Вводные'!$B$78)=0,(12*(YEAR(CC$3)-YEAR($B$46))+MONTH(CC$3)-MONTH($B$46))&lt;='Вводные'!$B$77*12),$B$48/MAX(1,'Вводные'!$B$79),0))))</x:f>
      </x:c>
      <x:c r="CD51" s="117" t="n">
        <x:f>MIN(CD49+CD50,IF('Вводные'!$B$75="Единовременно",CD50,IF(AND('Вводные'!$B$84="Да",YEAR(CD$3)=YEAR($B$47),MONTH(CD$3)=MONTH($B$47)),CD49+CD50,IF(AND((12*(YEAR(CD$3)-YEAR($B$46))+MONTH(CD$3)-MONTH($B$46))&gt;0,MOD((12*(YEAR(CD$3)-YEAR($B$46))+MONTH(CD$3)-MONTH($B$46)),'Вводные'!$B$78)=0,(12*(YEAR(CD$3)-YEAR($B$46))+MONTH(CD$3)-MONTH($B$46))&lt;='Вводные'!$B$77*12),$B$48/MAX(1,'Вводные'!$B$79),0))))</x:f>
      </x:c>
      <x:c r="CE51" s="117" t="n">
        <x:f>MIN(CE49+CE50,IF('Вводные'!$B$75="Единовременно",CE50,IF(AND('Вводные'!$B$84="Да",YEAR(CE$3)=YEAR($B$47),MONTH(CE$3)=MONTH($B$47)),CE49+CE50,IF(AND((12*(YEAR(CE$3)-YEAR($B$46))+MONTH(CE$3)-MONTH($B$46))&gt;0,MOD((12*(YEAR(CE$3)-YEAR($B$46))+MONTH(CE$3)-MONTH($B$46)),'Вводные'!$B$78)=0,(12*(YEAR(CE$3)-YEAR($B$46))+MONTH(CE$3)-MONTH($B$46))&lt;='Вводные'!$B$77*12),$B$48/MAX(1,'Вводные'!$B$79),0))))</x:f>
      </x:c>
      <x:c r="CF51" s="117" t="n">
        <x:f>MIN(CF49+CF50,IF('Вводные'!$B$75="Единовременно",CF50,IF(AND('Вводные'!$B$84="Да",YEAR(CF$3)=YEAR($B$47),MONTH(CF$3)=MONTH($B$47)),CF49+CF50,IF(AND((12*(YEAR(CF$3)-YEAR($B$46))+MONTH(CF$3)-MONTH($B$46))&gt;0,MOD((12*(YEAR(CF$3)-YEAR($B$46))+MONTH(CF$3)-MONTH($B$46)),'Вводные'!$B$78)=0,(12*(YEAR(CF$3)-YEAR($B$46))+MONTH(CF$3)-MONTH($B$46))&lt;='Вводные'!$B$77*12),$B$48/MAX(1,'Вводные'!$B$79),0))))</x:f>
      </x:c>
      <x:c r="CG51" s="117" t="n">
        <x:f>MIN(CG49+CG50,IF('Вводные'!$B$75="Единовременно",CG50,IF(AND('Вводные'!$B$84="Да",YEAR(CG$3)=YEAR($B$47),MONTH(CG$3)=MONTH($B$47)),CG49+CG50,IF(AND((12*(YEAR(CG$3)-YEAR($B$46))+MONTH(CG$3)-MONTH($B$46))&gt;0,MOD((12*(YEAR(CG$3)-YEAR($B$46))+MONTH(CG$3)-MONTH($B$46)),'Вводные'!$B$78)=0,(12*(YEAR(CG$3)-YEAR($B$46))+MONTH(CG$3)-MONTH($B$46))&lt;='Вводные'!$B$77*12),$B$48/MAX(1,'Вводные'!$B$79),0))))</x:f>
      </x:c>
      <x:c r="CH51" s="117" t="n">
        <x:f>MIN(CH49+CH50,IF('Вводные'!$B$75="Единовременно",CH50,IF(AND('Вводные'!$B$84="Да",YEAR(CH$3)=YEAR($B$47),MONTH(CH$3)=MONTH($B$47)),CH49+CH50,IF(AND((12*(YEAR(CH$3)-YEAR($B$46))+MONTH(CH$3)-MONTH($B$46))&gt;0,MOD((12*(YEAR(CH$3)-YEAR($B$46))+MONTH(CH$3)-MONTH($B$46)),'Вводные'!$B$78)=0,(12*(YEAR(CH$3)-YEAR($B$46))+MONTH(CH$3)-MONTH($B$46))&lt;='Вводные'!$B$77*12),$B$48/MAX(1,'Вводные'!$B$79),0))))</x:f>
      </x:c>
      <x:c r="CI51" s="117" t="n">
        <x:f>MIN(CI49+CI50,IF('Вводные'!$B$75="Единовременно",CI50,IF(AND('Вводные'!$B$84="Да",YEAR(CI$3)=YEAR($B$47),MONTH(CI$3)=MONTH($B$47)),CI49+CI50,IF(AND((12*(YEAR(CI$3)-YEAR($B$46))+MONTH(CI$3)-MONTH($B$46))&gt;0,MOD((12*(YEAR(CI$3)-YEAR($B$46))+MONTH(CI$3)-MONTH($B$46)),'Вводные'!$B$78)=0,(12*(YEAR(CI$3)-YEAR($B$46))+MONTH(CI$3)-MONTH($B$46))&lt;='Вводные'!$B$77*12),$B$48/MAX(1,'Вводные'!$B$79),0))))</x:f>
      </x:c>
      <x:c r="CJ51" s="117" t="n">
        <x:f>MIN(CJ49+CJ50,IF('Вводные'!$B$75="Единовременно",CJ50,IF(AND('Вводные'!$B$84="Да",YEAR(CJ$3)=YEAR($B$47),MONTH(CJ$3)=MONTH($B$47)),CJ49+CJ50,IF(AND((12*(YEAR(CJ$3)-YEAR($B$46))+MONTH(CJ$3)-MONTH($B$46))&gt;0,MOD((12*(YEAR(CJ$3)-YEAR($B$46))+MONTH(CJ$3)-MONTH($B$46)),'Вводные'!$B$78)=0,(12*(YEAR(CJ$3)-YEAR($B$46))+MONTH(CJ$3)-MONTH($B$46))&lt;='Вводные'!$B$77*12),$B$48/MAX(1,'Вводные'!$B$79),0))))</x:f>
      </x:c>
      <x:c r="CK51" s="117" t="n">
        <x:f>MIN(CK49+CK50,IF('Вводные'!$B$75="Единовременно",CK50,IF(AND('Вводные'!$B$84="Да",YEAR(CK$3)=YEAR($B$47),MONTH(CK$3)=MONTH($B$47)),CK49+CK50,IF(AND((12*(YEAR(CK$3)-YEAR($B$46))+MONTH(CK$3)-MONTH($B$46))&gt;0,MOD((12*(YEAR(CK$3)-YEAR($B$46))+MONTH(CK$3)-MONTH($B$46)),'Вводные'!$B$78)=0,(12*(YEAR(CK$3)-YEAR($B$46))+MONTH(CK$3)-MONTH($B$46))&lt;='Вводные'!$B$77*12),$B$48/MAX(1,'Вводные'!$B$79),0))))</x:f>
      </x:c>
      <x:c r="CL51" s="117" t="n">
        <x:f>MIN(CL49+CL50,IF('Вводные'!$B$75="Единовременно",CL50,IF(AND('Вводные'!$B$84="Да",YEAR(CL$3)=YEAR($B$47),MONTH(CL$3)=MONTH($B$47)),CL49+CL50,IF(AND((12*(YEAR(CL$3)-YEAR($B$46))+MONTH(CL$3)-MONTH($B$46))&gt;0,MOD((12*(YEAR(CL$3)-YEAR($B$46))+MONTH(CL$3)-MONTH($B$46)),'Вводные'!$B$78)=0,(12*(YEAR(CL$3)-YEAR($B$46))+MONTH(CL$3)-MONTH($B$46))&lt;='Вводные'!$B$77*12),$B$48/MAX(1,'Вводные'!$B$79),0))))</x:f>
      </x:c>
      <x:c r="CM51" s="117" t="n">
        <x:f>MIN(CM49+CM50,IF('Вводные'!$B$75="Единовременно",CM50,IF(AND('Вводные'!$B$84="Да",YEAR(CM$3)=YEAR($B$47),MONTH(CM$3)=MONTH($B$47)),CM49+CM50,IF(AND((12*(YEAR(CM$3)-YEAR($B$46))+MONTH(CM$3)-MONTH($B$46))&gt;0,MOD((12*(YEAR(CM$3)-YEAR($B$46))+MONTH(CM$3)-MONTH($B$46)),'Вводные'!$B$78)=0,(12*(YEAR(CM$3)-YEAR($B$46))+MONTH(CM$3)-MONTH($B$46))&lt;='Вводные'!$B$77*12),$B$48/MAX(1,'Вводные'!$B$79),0))))</x:f>
      </x:c>
      <x:c r="CN51" s="117" t="n">
        <x:f>MIN(CN49+CN50,IF('Вводные'!$B$75="Единовременно",CN50,IF(AND('Вводные'!$B$84="Да",YEAR(CN$3)=YEAR($B$47),MONTH(CN$3)=MONTH($B$47)),CN49+CN50,IF(AND((12*(YEAR(CN$3)-YEAR($B$46))+MONTH(CN$3)-MONTH($B$46))&gt;0,MOD((12*(YEAR(CN$3)-YEAR($B$46))+MONTH(CN$3)-MONTH($B$46)),'Вводные'!$B$78)=0,(12*(YEAR(CN$3)-YEAR($B$46))+MONTH(CN$3)-MONTH($B$46))&lt;='Вводные'!$B$77*12),$B$48/MAX(1,'Вводные'!$B$79),0))))</x:f>
      </x:c>
      <x:c r="CO51" s="117" t="n">
        <x:f>MIN(CO49+CO50,IF('Вводные'!$B$75="Единовременно",CO50,IF(AND('Вводные'!$B$84="Да",YEAR(CO$3)=YEAR($B$47),MONTH(CO$3)=MONTH($B$47)),CO49+CO50,IF(AND((12*(YEAR(CO$3)-YEAR($B$46))+MONTH(CO$3)-MONTH($B$46))&gt;0,MOD((12*(YEAR(CO$3)-YEAR($B$46))+MONTH(CO$3)-MONTH($B$46)),'Вводные'!$B$78)=0,(12*(YEAR(CO$3)-YEAR($B$46))+MONTH(CO$3)-MONTH($B$46))&lt;='Вводные'!$B$77*12),$B$48/MAX(1,'Вводные'!$B$79),0))))</x:f>
      </x:c>
      <x:c r="CP51" s="117" t="n">
        <x:f>MIN(CP49+CP50,IF('Вводные'!$B$75="Единовременно",CP50,IF(AND('Вводные'!$B$84="Да",YEAR(CP$3)=YEAR($B$47),MONTH(CP$3)=MONTH($B$47)),CP49+CP50,IF(AND((12*(YEAR(CP$3)-YEAR($B$46))+MONTH(CP$3)-MONTH($B$46))&gt;0,MOD((12*(YEAR(CP$3)-YEAR($B$46))+MONTH(CP$3)-MONTH($B$46)),'Вводные'!$B$78)=0,(12*(YEAR(CP$3)-YEAR($B$46))+MONTH(CP$3)-MONTH($B$46))&lt;='Вводные'!$B$77*12),$B$48/MAX(1,'Вводные'!$B$79),0))))</x:f>
      </x:c>
      <x:c r="CQ51" s="117" t="n">
        <x:f>MIN(CQ49+CQ50,IF('Вводные'!$B$75="Единовременно",CQ50,IF(AND('Вводные'!$B$84="Да",YEAR(CQ$3)=YEAR($B$47),MONTH(CQ$3)=MONTH($B$47)),CQ49+CQ50,IF(AND((12*(YEAR(CQ$3)-YEAR($B$46))+MONTH(CQ$3)-MONTH($B$46))&gt;0,MOD((12*(YEAR(CQ$3)-YEAR($B$46))+MONTH(CQ$3)-MONTH($B$46)),'Вводные'!$B$78)=0,(12*(YEAR(CQ$3)-YEAR($B$46))+MONTH(CQ$3)-MONTH($B$46))&lt;='Вводные'!$B$77*12),$B$48/MAX(1,'Вводные'!$B$79),0))))</x:f>
      </x:c>
      <x:c r="CR51" s="117" t="n">
        <x:f>MIN(CR49+CR50,IF('Вводные'!$B$75="Единовременно",CR50,IF(AND('Вводные'!$B$84="Да",YEAR(CR$3)=YEAR($B$47),MONTH(CR$3)=MONTH($B$47)),CR49+CR50,IF(AND((12*(YEAR(CR$3)-YEAR($B$46))+MONTH(CR$3)-MONTH($B$46))&gt;0,MOD((12*(YEAR(CR$3)-YEAR($B$46))+MONTH(CR$3)-MONTH($B$46)),'Вводные'!$B$78)=0,(12*(YEAR(CR$3)-YEAR($B$46))+MONTH(CR$3)-MONTH($B$46))&lt;='Вводные'!$B$77*12),$B$48/MAX(1,'Вводные'!$B$79),0))))</x:f>
      </x:c>
      <x:c r="CS51" s="117" t="n">
        <x:f>MIN(CS49+CS50,IF('Вводные'!$B$75="Единовременно",CS50,IF(AND('Вводные'!$B$84="Да",YEAR(CS$3)=YEAR($B$47),MONTH(CS$3)=MONTH($B$47)),CS49+CS50,IF(AND((12*(YEAR(CS$3)-YEAR($B$46))+MONTH(CS$3)-MONTH($B$46))&gt;0,MOD((12*(YEAR(CS$3)-YEAR($B$46))+MONTH(CS$3)-MONTH($B$46)),'Вводные'!$B$78)=0,(12*(YEAR(CS$3)-YEAR($B$46))+MONTH(CS$3)-MONTH($B$46))&lt;='Вводные'!$B$77*12),$B$48/MAX(1,'Вводные'!$B$79),0))))</x:f>
      </x:c>
      <x:c r="CT51" s="117" t="n">
        <x:f>MIN(CT49+CT50,IF('Вводные'!$B$75="Единовременно",CT50,IF(AND('Вводные'!$B$84="Да",YEAR(CT$3)=YEAR($B$47),MONTH(CT$3)=MONTH($B$47)),CT49+CT50,IF(AND((12*(YEAR(CT$3)-YEAR($B$46))+MONTH(CT$3)-MONTH($B$46))&gt;0,MOD((12*(YEAR(CT$3)-YEAR($B$46))+MONTH(CT$3)-MONTH($B$46)),'Вводные'!$B$78)=0,(12*(YEAR(CT$3)-YEAR($B$46))+MONTH(CT$3)-MONTH($B$46))&lt;='Вводные'!$B$77*12),$B$48/MAX(1,'Вводные'!$B$79),0))))</x:f>
      </x:c>
      <x:c r="CU51" s="117" t="n">
        <x:f>MIN(CU49+CU50,IF('Вводные'!$B$75="Единовременно",CU50,IF(AND('Вводные'!$B$84="Да",YEAR(CU$3)=YEAR($B$47),MONTH(CU$3)=MONTH($B$47)),CU49+CU50,IF(AND((12*(YEAR(CU$3)-YEAR($B$46))+MONTH(CU$3)-MONTH($B$46))&gt;0,MOD((12*(YEAR(CU$3)-YEAR($B$46))+MONTH(CU$3)-MONTH($B$46)),'Вводные'!$B$78)=0,(12*(YEAR(CU$3)-YEAR($B$46))+MONTH(CU$3)-MONTH($B$46))&lt;='Вводные'!$B$77*12),$B$48/MAX(1,'Вводные'!$B$79),0))))</x:f>
      </x:c>
      <x:c r="CV51" s="117" t="n">
        <x:f>MIN(CV49+CV50,IF('Вводные'!$B$75="Единовременно",CV50,IF(AND('Вводные'!$B$84="Да",YEAR(CV$3)=YEAR($B$47),MONTH(CV$3)=MONTH($B$47)),CV49+CV50,IF(AND((12*(YEAR(CV$3)-YEAR($B$46))+MONTH(CV$3)-MONTH($B$46))&gt;0,MOD((12*(YEAR(CV$3)-YEAR($B$46))+MONTH(CV$3)-MONTH($B$46)),'Вводные'!$B$78)=0,(12*(YEAR(CV$3)-YEAR($B$46))+MONTH(CV$3)-MONTH($B$46))&lt;='Вводные'!$B$77*12),$B$48/MAX(1,'Вводные'!$B$79),0))))</x:f>
      </x:c>
      <x:c r="CW51" s="117" t="n">
        <x:f>MIN(CW49+CW50,IF('Вводные'!$B$75="Единовременно",CW50,IF(AND('Вводные'!$B$84="Да",YEAR(CW$3)=YEAR($B$47),MONTH(CW$3)=MONTH($B$47)),CW49+CW50,IF(AND((12*(YEAR(CW$3)-YEAR($B$46))+MONTH(CW$3)-MONTH($B$46))&gt;0,MOD((12*(YEAR(CW$3)-YEAR($B$46))+MONTH(CW$3)-MONTH($B$46)),'Вводные'!$B$78)=0,(12*(YEAR(CW$3)-YEAR($B$46))+MONTH(CW$3)-MONTH($B$46))&lt;='Вводные'!$B$77*12),$B$48/MAX(1,'Вводные'!$B$79),0))))</x:f>
      </x:c>
      <x:c r="CX51" s="117" t="n">
        <x:f>MIN(CX49+CX50,IF('Вводные'!$B$75="Единовременно",CX50,IF(AND('Вводные'!$B$84="Да",YEAR(CX$3)=YEAR($B$47),MONTH(CX$3)=MONTH($B$47)),CX49+CX50,IF(AND((12*(YEAR(CX$3)-YEAR($B$46))+MONTH(CX$3)-MONTH($B$46))&gt;0,MOD((12*(YEAR(CX$3)-YEAR($B$46))+MONTH(CX$3)-MONTH($B$46)),'Вводные'!$B$78)=0,(12*(YEAR(CX$3)-YEAR($B$46))+MONTH(CX$3)-MONTH($B$46))&lt;='Вводные'!$B$77*12),$B$48/MAX(1,'Вводные'!$B$79),0))))</x:f>
      </x:c>
      <x:c r="CY51" s="117" t="n">
        <x:f>MIN(CY49+CY50,IF('Вводные'!$B$75="Единовременно",CY50,IF(AND('Вводные'!$B$84="Да",YEAR(CY$3)=YEAR($B$47),MONTH(CY$3)=MONTH($B$47)),CY49+CY50,IF(AND((12*(YEAR(CY$3)-YEAR($B$46))+MONTH(CY$3)-MONTH($B$46))&gt;0,MOD((12*(YEAR(CY$3)-YEAR($B$46))+MONTH(CY$3)-MONTH($B$46)),'Вводные'!$B$78)=0,(12*(YEAR(CY$3)-YEAR($B$46))+MONTH(CY$3)-MONTH($B$46))&lt;='Вводные'!$B$77*12),$B$48/MAX(1,'Вводные'!$B$79),0))))</x:f>
      </x:c>
      <x:c r="CZ51" s="117" t="n">
        <x:f>MIN(CZ49+CZ50,IF('Вводные'!$B$75="Единовременно",CZ50,IF(AND('Вводные'!$B$84="Да",YEAR(CZ$3)=YEAR($B$47),MONTH(CZ$3)=MONTH($B$47)),CZ49+CZ50,IF(AND((12*(YEAR(CZ$3)-YEAR($B$46))+MONTH(CZ$3)-MONTH($B$46))&gt;0,MOD((12*(YEAR(CZ$3)-YEAR($B$46))+MONTH(CZ$3)-MONTH($B$46)),'Вводные'!$B$78)=0,(12*(YEAR(CZ$3)-YEAR($B$46))+MONTH(CZ$3)-MONTH($B$46))&lt;='Вводные'!$B$77*12),$B$48/MAX(1,'Вводные'!$B$79),0))))</x:f>
      </x:c>
      <x:c r="DA51" s="117" t="n">
        <x:f>MIN(DA49+DA50,IF('Вводные'!$B$75="Единовременно",DA50,IF(AND('Вводные'!$B$84="Да",YEAR(DA$3)=YEAR($B$47),MONTH(DA$3)=MONTH($B$47)),DA49+DA50,IF(AND((12*(YEAR(DA$3)-YEAR($B$46))+MONTH(DA$3)-MONTH($B$46))&gt;0,MOD((12*(YEAR(DA$3)-YEAR($B$46))+MONTH(DA$3)-MONTH($B$46)),'Вводные'!$B$78)=0,(12*(YEAR(DA$3)-YEAR($B$46))+MONTH(DA$3)-MONTH($B$46))&lt;='Вводные'!$B$77*12),$B$48/MAX(1,'Вводные'!$B$79),0))))</x:f>
      </x:c>
      <x:c r="DB51" s="117" t="n">
        <x:f>MIN(DB49+DB50,IF('Вводные'!$B$75="Единовременно",DB50,IF(AND('Вводные'!$B$84="Да",YEAR(DB$3)=YEAR($B$47),MONTH(DB$3)=MONTH($B$47)),DB49+DB50,IF(AND((12*(YEAR(DB$3)-YEAR($B$46))+MONTH(DB$3)-MONTH($B$46))&gt;0,MOD((12*(YEAR(DB$3)-YEAR($B$46))+MONTH(DB$3)-MONTH($B$46)),'Вводные'!$B$78)=0,(12*(YEAR(DB$3)-YEAR($B$46))+MONTH(DB$3)-MONTH($B$46))&lt;='Вводные'!$B$77*12),$B$48/MAX(1,'Вводные'!$B$79),0))))</x:f>
      </x:c>
      <x:c r="DC51" s="117" t="n">
        <x:f>MIN(DC49+DC50,IF('Вводные'!$B$75="Единовременно",DC50,IF(AND('Вводные'!$B$84="Да",YEAR(DC$3)=YEAR($B$47),MONTH(DC$3)=MONTH($B$47)),DC49+DC50,IF(AND((12*(YEAR(DC$3)-YEAR($B$46))+MONTH(DC$3)-MONTH($B$46))&gt;0,MOD((12*(YEAR(DC$3)-YEAR($B$46))+MONTH(DC$3)-MONTH($B$46)),'Вводные'!$B$78)=0,(12*(YEAR(DC$3)-YEAR($B$46))+MONTH(DC$3)-MONTH($B$46))&lt;='Вводные'!$B$77*12),$B$48/MAX(1,'Вводные'!$B$79),0))))</x:f>
      </x:c>
      <x:c r="DD51" s="117" t="n">
        <x:f>MIN(DD49+DD50,IF('Вводные'!$B$75="Единовременно",DD50,IF(AND('Вводные'!$B$84="Да",YEAR(DD$3)=YEAR($B$47),MONTH(DD$3)=MONTH($B$47)),DD49+DD50,IF(AND((12*(YEAR(DD$3)-YEAR($B$46))+MONTH(DD$3)-MONTH($B$46))&gt;0,MOD((12*(YEAR(DD$3)-YEAR($B$46))+MONTH(DD$3)-MONTH($B$46)),'Вводные'!$B$78)=0,(12*(YEAR(DD$3)-YEAR($B$46))+MONTH(DD$3)-MONTH($B$46))&lt;='Вводные'!$B$77*12),$B$48/MAX(1,'Вводные'!$B$79),0))))</x:f>
      </x:c>
      <x:c r="DE51" s="117" t="n">
        <x:f>MIN(DE49+DE50,IF('Вводные'!$B$75="Единовременно",DE50,IF(AND('Вводные'!$B$84="Да",YEAR(DE$3)=YEAR($B$47),MONTH(DE$3)=MONTH($B$47)),DE49+DE50,IF(AND((12*(YEAR(DE$3)-YEAR($B$46))+MONTH(DE$3)-MONTH($B$46))&gt;0,MOD((12*(YEAR(DE$3)-YEAR($B$46))+MONTH(DE$3)-MONTH($B$46)),'Вводные'!$B$78)=0,(12*(YEAR(DE$3)-YEAR($B$46))+MONTH(DE$3)-MONTH($B$46))&lt;='Вводные'!$B$77*12),$B$48/MAX(1,'Вводные'!$B$79),0))))</x:f>
      </x:c>
      <x:c r="DF51" s="117" t="n">
        <x:f>MIN(DF49+DF50,IF('Вводные'!$B$75="Единовременно",DF50,IF(AND('Вводные'!$B$84="Да",YEAR(DF$3)=YEAR($B$47),MONTH(DF$3)=MONTH($B$47)),DF49+DF50,IF(AND((12*(YEAR(DF$3)-YEAR($B$46))+MONTH(DF$3)-MONTH($B$46))&gt;0,MOD((12*(YEAR(DF$3)-YEAR($B$46))+MONTH(DF$3)-MONTH($B$46)),'Вводные'!$B$78)=0,(12*(YEAR(DF$3)-YEAR($B$46))+MONTH(DF$3)-MONTH($B$46))&lt;='Вводные'!$B$77*12),$B$48/MAX(1,'Вводные'!$B$79),0))))</x:f>
      </x:c>
      <x:c r="DG51" s="117" t="n">
        <x:f>MIN(DG49+DG50,IF('Вводные'!$B$75="Единовременно",DG50,IF(AND('Вводные'!$B$84="Да",YEAR(DG$3)=YEAR($B$47),MONTH(DG$3)=MONTH($B$47)),DG49+DG50,IF(AND((12*(YEAR(DG$3)-YEAR($B$46))+MONTH(DG$3)-MONTH($B$46))&gt;0,MOD((12*(YEAR(DG$3)-YEAR($B$46))+MONTH(DG$3)-MONTH($B$46)),'Вводные'!$B$78)=0,(12*(YEAR(DG$3)-YEAR($B$46))+MONTH(DG$3)-MONTH($B$46))&lt;='Вводные'!$B$77*12),$B$48/MAX(1,'Вводные'!$B$79),0))))</x:f>
      </x:c>
      <x:c r="DH51" s="117" t="n">
        <x:f>MIN(DH49+DH50,IF('Вводные'!$B$75="Единовременно",DH50,IF(AND('Вводные'!$B$84="Да",YEAR(DH$3)=YEAR($B$47),MONTH(DH$3)=MONTH($B$47)),DH49+DH50,IF(AND((12*(YEAR(DH$3)-YEAR($B$46))+MONTH(DH$3)-MONTH($B$46))&gt;0,MOD((12*(YEAR(DH$3)-YEAR($B$46))+MONTH(DH$3)-MONTH($B$46)),'Вводные'!$B$78)=0,(12*(YEAR(DH$3)-YEAR($B$46))+MONTH(DH$3)-MONTH($B$46))&lt;='Вводные'!$B$77*12),$B$48/MAX(1,'Вводные'!$B$79),0))))</x:f>
      </x:c>
      <x:c r="DI51" s="117" t="n">
        <x:f>MIN(DI49+DI50,IF('Вводные'!$B$75="Единовременно",DI50,IF(AND('Вводные'!$B$84="Да",YEAR(DI$3)=YEAR($B$47),MONTH(DI$3)=MONTH($B$47)),DI49+DI50,IF(AND((12*(YEAR(DI$3)-YEAR($B$46))+MONTH(DI$3)-MONTH($B$46))&gt;0,MOD((12*(YEAR(DI$3)-YEAR($B$46))+MONTH(DI$3)-MONTH($B$46)),'Вводные'!$B$78)=0,(12*(YEAR(DI$3)-YEAR($B$46))+MONTH(DI$3)-MONTH($B$46))&lt;='Вводные'!$B$77*12),$B$48/MAX(1,'Вводные'!$B$79),0))))</x:f>
      </x:c>
      <x:c r="DJ51" s="117" t="n">
        <x:f>MIN(DJ49+DJ50,IF('Вводные'!$B$75="Единовременно",DJ50,IF(AND('Вводные'!$B$84="Да",YEAR(DJ$3)=YEAR($B$47),MONTH(DJ$3)=MONTH($B$47)),DJ49+DJ50,IF(AND((12*(YEAR(DJ$3)-YEAR($B$46))+MONTH(DJ$3)-MONTH($B$46))&gt;0,MOD((12*(YEAR(DJ$3)-YEAR($B$46))+MONTH(DJ$3)-MONTH($B$46)),'Вводные'!$B$78)=0,(12*(YEAR(DJ$3)-YEAR($B$46))+MONTH(DJ$3)-MONTH($B$46))&lt;='Вводные'!$B$77*12),$B$48/MAX(1,'Вводные'!$B$79),0))))</x:f>
      </x:c>
      <x:c r="DK51" s="117" t="n">
        <x:f>MIN(DK49+DK50,IF('Вводные'!$B$75="Единовременно",DK50,IF(AND('Вводные'!$B$84="Да",YEAR(DK$3)=YEAR($B$47),MONTH(DK$3)=MONTH($B$47)),DK49+DK50,IF(AND((12*(YEAR(DK$3)-YEAR($B$46))+MONTH(DK$3)-MONTH($B$46))&gt;0,MOD((12*(YEAR(DK$3)-YEAR($B$46))+MONTH(DK$3)-MONTH($B$46)),'Вводные'!$B$78)=0,(12*(YEAR(DK$3)-YEAR($B$46))+MONTH(DK$3)-MONTH($B$46))&lt;='Вводные'!$B$77*12),$B$48/MAX(1,'Вводные'!$B$79),0))))</x:f>
      </x:c>
      <x:c r="DL51" s="117" t="n">
        <x:f>MIN(DL49+DL50,IF('Вводные'!$B$75="Единовременно",DL50,IF(AND('Вводные'!$B$84="Да",YEAR(DL$3)=YEAR($B$47),MONTH(DL$3)=MONTH($B$47)),DL49+DL50,IF(AND((12*(YEAR(DL$3)-YEAR($B$46))+MONTH(DL$3)-MONTH($B$46))&gt;0,MOD((12*(YEAR(DL$3)-YEAR($B$46))+MONTH(DL$3)-MONTH($B$46)),'Вводные'!$B$78)=0,(12*(YEAR(DL$3)-YEAR($B$46))+MONTH(DL$3)-MONTH($B$46))&lt;='Вводные'!$B$77*12),$B$48/MAX(1,'Вводные'!$B$79),0))))</x:f>
      </x:c>
      <x:c r="DM51" s="117" t="n">
        <x:f>MIN(DM49+DM50,IF('Вводные'!$B$75="Единовременно",DM50,IF(AND('Вводные'!$B$84="Да",YEAR(DM$3)=YEAR($B$47),MONTH(DM$3)=MONTH($B$47)),DM49+DM50,IF(AND((12*(YEAR(DM$3)-YEAR($B$46))+MONTH(DM$3)-MONTH($B$46))&gt;0,MOD((12*(YEAR(DM$3)-YEAR($B$46))+MONTH(DM$3)-MONTH($B$46)),'Вводные'!$B$78)=0,(12*(YEAR(DM$3)-YEAR($B$46))+MONTH(DM$3)-MONTH($B$46))&lt;='Вводные'!$B$77*12),$B$48/MAX(1,'Вводные'!$B$79),0))))</x:f>
      </x:c>
      <x:c r="DN51" s="117" t="n">
        <x:f>MIN(DN49+DN50,IF('Вводные'!$B$75="Единовременно",DN50,IF(AND('Вводные'!$B$84="Да",YEAR(DN$3)=YEAR($B$47),MONTH(DN$3)=MONTH($B$47)),DN49+DN50,IF(AND((12*(YEAR(DN$3)-YEAR($B$46))+MONTH(DN$3)-MONTH($B$46))&gt;0,MOD((12*(YEAR(DN$3)-YEAR($B$46))+MONTH(DN$3)-MONTH($B$46)),'Вводные'!$B$78)=0,(12*(YEAR(DN$3)-YEAR($B$46))+MONTH(DN$3)-MONTH($B$46))&lt;='Вводные'!$B$77*12),$B$48/MAX(1,'Вводные'!$B$79),0))))</x:f>
      </x:c>
      <x:c r="DO51" s="117" t="n">
        <x:f>MIN(DO49+DO50,IF('Вводные'!$B$75="Единовременно",DO50,IF(AND('Вводные'!$B$84="Да",YEAR(DO$3)=YEAR($B$47),MONTH(DO$3)=MONTH($B$47)),DO49+DO50,IF(AND((12*(YEAR(DO$3)-YEAR($B$46))+MONTH(DO$3)-MONTH($B$46))&gt;0,MOD((12*(YEAR(DO$3)-YEAR($B$46))+MONTH(DO$3)-MONTH($B$46)),'Вводные'!$B$78)=0,(12*(YEAR(DO$3)-YEAR($B$46))+MONTH(DO$3)-MONTH($B$46))&lt;='Вводные'!$B$77*12),$B$48/MAX(1,'Вводные'!$B$79),0))))</x:f>
      </x:c>
      <x:c r="DP51" s="117" t="n">
        <x:f>MIN(DP49+DP50,IF('Вводные'!$B$75="Единовременно",DP50,IF(AND('Вводные'!$B$84="Да",YEAR(DP$3)=YEAR($B$47),MONTH(DP$3)=MONTH($B$47)),DP49+DP50,IF(AND((12*(YEAR(DP$3)-YEAR($B$46))+MONTH(DP$3)-MONTH($B$46))&gt;0,MOD((12*(YEAR(DP$3)-YEAR($B$46))+MONTH(DP$3)-MONTH($B$46)),'Вводные'!$B$78)=0,(12*(YEAR(DP$3)-YEAR($B$46))+MONTH(DP$3)-MONTH($B$46))&lt;='Вводные'!$B$77*12),$B$48/MAX(1,'Вводные'!$B$79),0))))</x:f>
      </x:c>
      <x:c r="DQ51" s="117" t="n">
        <x:f>MIN(DQ49+DQ50,IF('Вводные'!$B$75="Единовременно",DQ50,IF(AND('Вводные'!$B$84="Да",YEAR(DQ$3)=YEAR($B$47),MONTH(DQ$3)=MONTH($B$47)),DQ49+DQ50,IF(AND((12*(YEAR(DQ$3)-YEAR($B$46))+MONTH(DQ$3)-MONTH($B$46))&gt;0,MOD((12*(YEAR(DQ$3)-YEAR($B$46))+MONTH(DQ$3)-MONTH($B$46)),'Вводные'!$B$78)=0,(12*(YEAR(DQ$3)-YEAR($B$46))+MONTH(DQ$3)-MONTH($B$46))&lt;='Вводные'!$B$77*12),$B$48/MAX(1,'Вводные'!$B$79),0))))</x:f>
      </x:c>
      <x:c r="DR51" s="117" t="n">
        <x:f>MIN(DR49+DR50,IF('Вводные'!$B$75="Единовременно",DR50,IF(AND('Вводные'!$B$84="Да",YEAR(DR$3)=YEAR($B$47),MONTH(DR$3)=MONTH($B$47)),DR49+DR50,IF(AND((12*(YEAR(DR$3)-YEAR($B$46))+MONTH(DR$3)-MONTH($B$46))&gt;0,MOD((12*(YEAR(DR$3)-YEAR($B$46))+MONTH(DR$3)-MONTH($B$46)),'Вводные'!$B$78)=0,(12*(YEAR(DR$3)-YEAR($B$46))+MONTH(DR$3)-MONTH($B$46))&lt;='Вводные'!$B$77*12),$B$48/MAX(1,'Вводные'!$B$79),0))))</x:f>
      </x:c>
      <x:c r="DS51" s="117" t="n">
        <x:f>MIN(DS49+DS50,IF('Вводные'!$B$75="Единовременно",DS50,IF(AND('Вводные'!$B$84="Да",YEAR(DS$3)=YEAR($B$47),MONTH(DS$3)=MONTH($B$47)),DS49+DS50,IF(AND((12*(YEAR(DS$3)-YEAR($B$46))+MONTH(DS$3)-MONTH($B$46))&gt;0,MOD((12*(YEAR(DS$3)-YEAR($B$46))+MONTH(DS$3)-MONTH($B$46)),'Вводные'!$B$78)=0,(12*(YEAR(DS$3)-YEAR($B$46))+MONTH(DS$3)-MONTH($B$46))&lt;='Вводные'!$B$77*12),$B$48/MAX(1,'Вводные'!$B$79),0))))</x:f>
      </x:c>
    </x:row>
    <x:row r="52">
      <x:c r="A52" t="str">
        <x:v>Проценты по рассрочке</x:v>
      </x:c>
      <x:c r="B52" s="107" t="n">
        <x:f>SUM(D52:DS52)</x:f>
      </x:c>
      <x:c r="C52" t="str">
        <x:v>млн ₽</x:v>
      </x:c>
      <x:c r="D52" s="117" t="n">
        <x:f>IF(AND('Вводные'!$B$75&lt;&gt;"Единовременно",'Вводные'!$B$80="Да",D49&gt;0),IF(AND('Вводные'!$B$84="Да",YEAR(D$3)=YEAR($B$47),MONTH(D$3)=MONTH($B$47)),D49*D56/12,IF(AND((12*(YEAR(D$3)-YEAR($B$46))+MONTH(D$3)-MONTH($B$46))&gt;0,MOD((12*(YEAR(D$3)-YEAR($B$46))+MONTH(D$3)-MONTH($B$46)),'Вводные'!$B$78)=0,(12*(YEAR(D$3)-YEAR($B$46))+MONTH(D$3)-MONTH($B$46))&lt;='Вводные'!$B$77*12),D49*D56*'Вводные'!$B$78/12,0)),0)</x:f>
      </x:c>
      <x:c r="E52" s="117" t="n">
        <x:f>IF(AND('Вводные'!$B$75&lt;&gt;"Единовременно",'Вводные'!$B$80="Да",E49&gt;0),IF(AND('Вводные'!$B$84="Да",YEAR(E$3)=YEAR($B$47),MONTH(E$3)=MONTH($B$47)),E49*E56/12,IF(AND((12*(YEAR(E$3)-YEAR($B$46))+MONTH(E$3)-MONTH($B$46))&gt;0,MOD((12*(YEAR(E$3)-YEAR($B$46))+MONTH(E$3)-MONTH($B$46)),'Вводные'!$B$78)=0,(12*(YEAR(E$3)-YEAR($B$46))+MONTH(E$3)-MONTH($B$46))&lt;='Вводные'!$B$77*12),E49*E56*'Вводные'!$B$78/12,0)),0)</x:f>
      </x:c>
      <x:c r="F52" s="117" t="n">
        <x:f>IF(AND('Вводные'!$B$75&lt;&gt;"Единовременно",'Вводные'!$B$80="Да",F49&gt;0),IF(AND('Вводные'!$B$84="Да",YEAR(F$3)=YEAR($B$47),MONTH(F$3)=MONTH($B$47)),F49*F56/12,IF(AND((12*(YEAR(F$3)-YEAR($B$46))+MONTH(F$3)-MONTH($B$46))&gt;0,MOD((12*(YEAR(F$3)-YEAR($B$46))+MONTH(F$3)-MONTH($B$46)),'Вводные'!$B$78)=0,(12*(YEAR(F$3)-YEAR($B$46))+MONTH(F$3)-MONTH($B$46))&lt;='Вводные'!$B$77*12),F49*F56*'Вводные'!$B$78/12,0)),0)</x:f>
      </x:c>
      <x:c r="G52" s="117" t="n">
        <x:f>IF(AND('Вводные'!$B$75&lt;&gt;"Единовременно",'Вводные'!$B$80="Да",G49&gt;0),IF(AND('Вводные'!$B$84="Да",YEAR(G$3)=YEAR($B$47),MONTH(G$3)=MONTH($B$47)),G49*G56/12,IF(AND((12*(YEAR(G$3)-YEAR($B$46))+MONTH(G$3)-MONTH($B$46))&gt;0,MOD((12*(YEAR(G$3)-YEAR($B$46))+MONTH(G$3)-MONTH($B$46)),'Вводные'!$B$78)=0,(12*(YEAR(G$3)-YEAR($B$46))+MONTH(G$3)-MONTH($B$46))&lt;='Вводные'!$B$77*12),G49*G56*'Вводные'!$B$78/12,0)),0)</x:f>
      </x:c>
      <x:c r="H52" s="117" t="n">
        <x:f>IF(AND('Вводные'!$B$75&lt;&gt;"Единовременно",'Вводные'!$B$80="Да",H49&gt;0),IF(AND('Вводные'!$B$84="Да",YEAR(H$3)=YEAR($B$47),MONTH(H$3)=MONTH($B$47)),H49*H56/12,IF(AND((12*(YEAR(H$3)-YEAR($B$46))+MONTH(H$3)-MONTH($B$46))&gt;0,MOD((12*(YEAR(H$3)-YEAR($B$46))+MONTH(H$3)-MONTH($B$46)),'Вводные'!$B$78)=0,(12*(YEAR(H$3)-YEAR($B$46))+MONTH(H$3)-MONTH($B$46))&lt;='Вводные'!$B$77*12),H49*H56*'Вводные'!$B$78/12,0)),0)</x:f>
      </x:c>
      <x:c r="I52" s="117" t="n">
        <x:f>IF(AND('Вводные'!$B$75&lt;&gt;"Единовременно",'Вводные'!$B$80="Да",I49&gt;0),IF(AND('Вводные'!$B$84="Да",YEAR(I$3)=YEAR($B$47),MONTH(I$3)=MONTH($B$47)),I49*I56/12,IF(AND((12*(YEAR(I$3)-YEAR($B$46))+MONTH(I$3)-MONTH($B$46))&gt;0,MOD((12*(YEAR(I$3)-YEAR($B$46))+MONTH(I$3)-MONTH($B$46)),'Вводные'!$B$78)=0,(12*(YEAR(I$3)-YEAR($B$46))+MONTH(I$3)-MONTH($B$46))&lt;='Вводные'!$B$77*12),I49*I56*'Вводные'!$B$78/12,0)),0)</x:f>
      </x:c>
      <x:c r="J52" s="117" t="n">
        <x:f>IF(AND('Вводные'!$B$75&lt;&gt;"Единовременно",'Вводные'!$B$80="Да",J49&gt;0),IF(AND('Вводные'!$B$84="Да",YEAR(J$3)=YEAR($B$47),MONTH(J$3)=MONTH($B$47)),J49*J56/12,IF(AND((12*(YEAR(J$3)-YEAR($B$46))+MONTH(J$3)-MONTH($B$46))&gt;0,MOD((12*(YEAR(J$3)-YEAR($B$46))+MONTH(J$3)-MONTH($B$46)),'Вводные'!$B$78)=0,(12*(YEAR(J$3)-YEAR($B$46))+MONTH(J$3)-MONTH($B$46))&lt;='Вводные'!$B$77*12),J49*J56*'Вводные'!$B$78/12,0)),0)</x:f>
      </x:c>
      <x:c r="K52" s="117" t="n">
        <x:f>IF(AND('Вводные'!$B$75&lt;&gt;"Единовременно",'Вводные'!$B$80="Да",K49&gt;0),IF(AND('Вводные'!$B$84="Да",YEAR(K$3)=YEAR($B$47),MONTH(K$3)=MONTH($B$47)),K49*K56/12,IF(AND((12*(YEAR(K$3)-YEAR($B$46))+MONTH(K$3)-MONTH($B$46))&gt;0,MOD((12*(YEAR(K$3)-YEAR($B$46))+MONTH(K$3)-MONTH($B$46)),'Вводные'!$B$78)=0,(12*(YEAR(K$3)-YEAR($B$46))+MONTH(K$3)-MONTH($B$46))&lt;='Вводные'!$B$77*12),K49*K56*'Вводные'!$B$78/12,0)),0)</x:f>
      </x:c>
      <x:c r="L52" s="117" t="n">
        <x:f>IF(AND('Вводные'!$B$75&lt;&gt;"Единовременно",'Вводные'!$B$80="Да",L49&gt;0),IF(AND('Вводные'!$B$84="Да",YEAR(L$3)=YEAR($B$47),MONTH(L$3)=MONTH($B$47)),L49*L56/12,IF(AND((12*(YEAR(L$3)-YEAR($B$46))+MONTH(L$3)-MONTH($B$46))&gt;0,MOD((12*(YEAR(L$3)-YEAR($B$46))+MONTH(L$3)-MONTH($B$46)),'Вводные'!$B$78)=0,(12*(YEAR(L$3)-YEAR($B$46))+MONTH(L$3)-MONTH($B$46))&lt;='Вводные'!$B$77*12),L49*L56*'Вводные'!$B$78/12,0)),0)</x:f>
      </x:c>
      <x:c r="M52" s="117" t="n">
        <x:f>IF(AND('Вводные'!$B$75&lt;&gt;"Единовременно",'Вводные'!$B$80="Да",M49&gt;0),IF(AND('Вводные'!$B$84="Да",YEAR(M$3)=YEAR($B$47),MONTH(M$3)=MONTH($B$47)),M49*M56/12,IF(AND((12*(YEAR(M$3)-YEAR($B$46))+MONTH(M$3)-MONTH($B$46))&gt;0,MOD((12*(YEAR(M$3)-YEAR($B$46))+MONTH(M$3)-MONTH($B$46)),'Вводные'!$B$78)=0,(12*(YEAR(M$3)-YEAR($B$46))+MONTH(M$3)-MONTH($B$46))&lt;='Вводные'!$B$77*12),M49*M56*'Вводные'!$B$78/12,0)),0)</x:f>
      </x:c>
      <x:c r="N52" s="117" t="n">
        <x:f>IF(AND('Вводные'!$B$75&lt;&gt;"Единовременно",'Вводные'!$B$80="Да",N49&gt;0),IF(AND('Вводные'!$B$84="Да",YEAR(N$3)=YEAR($B$47),MONTH(N$3)=MONTH($B$47)),N49*N56/12,IF(AND((12*(YEAR(N$3)-YEAR($B$46))+MONTH(N$3)-MONTH($B$46))&gt;0,MOD((12*(YEAR(N$3)-YEAR($B$46))+MONTH(N$3)-MONTH($B$46)),'Вводные'!$B$78)=0,(12*(YEAR(N$3)-YEAR($B$46))+MONTH(N$3)-MONTH($B$46))&lt;='Вводные'!$B$77*12),N49*N56*'Вводные'!$B$78/12,0)),0)</x:f>
      </x:c>
      <x:c r="O52" s="117" t="n">
        <x:f>IF(AND('Вводные'!$B$75&lt;&gt;"Единовременно",'Вводные'!$B$80="Да",O49&gt;0),IF(AND('Вводные'!$B$84="Да",YEAR(O$3)=YEAR($B$47),MONTH(O$3)=MONTH($B$47)),O49*O56/12,IF(AND((12*(YEAR(O$3)-YEAR($B$46))+MONTH(O$3)-MONTH($B$46))&gt;0,MOD((12*(YEAR(O$3)-YEAR($B$46))+MONTH(O$3)-MONTH($B$46)),'Вводные'!$B$78)=0,(12*(YEAR(O$3)-YEAR($B$46))+MONTH(O$3)-MONTH($B$46))&lt;='Вводные'!$B$77*12),O49*O56*'Вводные'!$B$78/12,0)),0)</x:f>
      </x:c>
      <x:c r="P52" s="117" t="n">
        <x:f>IF(AND('Вводные'!$B$75&lt;&gt;"Единовременно",'Вводные'!$B$80="Да",P49&gt;0),IF(AND('Вводные'!$B$84="Да",YEAR(P$3)=YEAR($B$47),MONTH(P$3)=MONTH($B$47)),P49*P56/12,IF(AND((12*(YEAR(P$3)-YEAR($B$46))+MONTH(P$3)-MONTH($B$46))&gt;0,MOD((12*(YEAR(P$3)-YEAR($B$46))+MONTH(P$3)-MONTH($B$46)),'Вводные'!$B$78)=0,(12*(YEAR(P$3)-YEAR($B$46))+MONTH(P$3)-MONTH($B$46))&lt;='Вводные'!$B$77*12),P49*P56*'Вводные'!$B$78/12,0)),0)</x:f>
      </x:c>
      <x:c r="Q52" s="117" t="n">
        <x:f>IF(AND('Вводные'!$B$75&lt;&gt;"Единовременно",'Вводные'!$B$80="Да",Q49&gt;0),IF(AND('Вводные'!$B$84="Да",YEAR(Q$3)=YEAR($B$47),MONTH(Q$3)=MONTH($B$47)),Q49*Q56/12,IF(AND((12*(YEAR(Q$3)-YEAR($B$46))+MONTH(Q$3)-MONTH($B$46))&gt;0,MOD((12*(YEAR(Q$3)-YEAR($B$46))+MONTH(Q$3)-MONTH($B$46)),'Вводные'!$B$78)=0,(12*(YEAR(Q$3)-YEAR($B$46))+MONTH(Q$3)-MONTH($B$46))&lt;='Вводные'!$B$77*12),Q49*Q56*'Вводные'!$B$78/12,0)),0)</x:f>
      </x:c>
      <x:c r="R52" s="117" t="n">
        <x:f>IF(AND('Вводные'!$B$75&lt;&gt;"Единовременно",'Вводные'!$B$80="Да",R49&gt;0),IF(AND('Вводные'!$B$84="Да",YEAR(R$3)=YEAR($B$47),MONTH(R$3)=MONTH($B$47)),R49*R56/12,IF(AND((12*(YEAR(R$3)-YEAR($B$46))+MONTH(R$3)-MONTH($B$46))&gt;0,MOD((12*(YEAR(R$3)-YEAR($B$46))+MONTH(R$3)-MONTH($B$46)),'Вводные'!$B$78)=0,(12*(YEAR(R$3)-YEAR($B$46))+MONTH(R$3)-MONTH($B$46))&lt;='Вводные'!$B$77*12),R49*R56*'Вводные'!$B$78/12,0)),0)</x:f>
      </x:c>
      <x:c r="S52" s="117" t="n">
        <x:f>IF(AND('Вводные'!$B$75&lt;&gt;"Единовременно",'Вводные'!$B$80="Да",S49&gt;0),IF(AND('Вводные'!$B$84="Да",YEAR(S$3)=YEAR($B$47),MONTH(S$3)=MONTH($B$47)),S49*S56/12,IF(AND((12*(YEAR(S$3)-YEAR($B$46))+MONTH(S$3)-MONTH($B$46))&gt;0,MOD((12*(YEAR(S$3)-YEAR($B$46))+MONTH(S$3)-MONTH($B$46)),'Вводные'!$B$78)=0,(12*(YEAR(S$3)-YEAR($B$46))+MONTH(S$3)-MONTH($B$46))&lt;='Вводные'!$B$77*12),S49*S56*'Вводные'!$B$78/12,0)),0)</x:f>
      </x:c>
      <x:c r="T52" s="117" t="n">
        <x:f>IF(AND('Вводные'!$B$75&lt;&gt;"Единовременно",'Вводные'!$B$80="Да",T49&gt;0),IF(AND('Вводные'!$B$84="Да",YEAR(T$3)=YEAR($B$47),MONTH(T$3)=MONTH($B$47)),T49*T56/12,IF(AND((12*(YEAR(T$3)-YEAR($B$46))+MONTH(T$3)-MONTH($B$46))&gt;0,MOD((12*(YEAR(T$3)-YEAR($B$46))+MONTH(T$3)-MONTH($B$46)),'Вводные'!$B$78)=0,(12*(YEAR(T$3)-YEAR($B$46))+MONTH(T$3)-MONTH($B$46))&lt;='Вводные'!$B$77*12),T49*T56*'Вводные'!$B$78/12,0)),0)</x:f>
      </x:c>
      <x:c r="U52" s="117" t="n">
        <x:f>IF(AND('Вводные'!$B$75&lt;&gt;"Единовременно",'Вводные'!$B$80="Да",U49&gt;0),IF(AND('Вводные'!$B$84="Да",YEAR(U$3)=YEAR($B$47),MONTH(U$3)=MONTH($B$47)),U49*U56/12,IF(AND((12*(YEAR(U$3)-YEAR($B$46))+MONTH(U$3)-MONTH($B$46))&gt;0,MOD((12*(YEAR(U$3)-YEAR($B$46))+MONTH(U$3)-MONTH($B$46)),'Вводные'!$B$78)=0,(12*(YEAR(U$3)-YEAR($B$46))+MONTH(U$3)-MONTH($B$46))&lt;='Вводные'!$B$77*12),U49*U56*'Вводные'!$B$78/12,0)),0)</x:f>
      </x:c>
      <x:c r="V52" s="117" t="n">
        <x:f>IF(AND('Вводные'!$B$75&lt;&gt;"Единовременно",'Вводные'!$B$80="Да",V49&gt;0),IF(AND('Вводные'!$B$84="Да",YEAR(V$3)=YEAR($B$47),MONTH(V$3)=MONTH($B$47)),V49*V56/12,IF(AND((12*(YEAR(V$3)-YEAR($B$46))+MONTH(V$3)-MONTH($B$46))&gt;0,MOD((12*(YEAR(V$3)-YEAR($B$46))+MONTH(V$3)-MONTH($B$46)),'Вводные'!$B$78)=0,(12*(YEAR(V$3)-YEAR($B$46))+MONTH(V$3)-MONTH($B$46))&lt;='Вводные'!$B$77*12),V49*V56*'Вводные'!$B$78/12,0)),0)</x:f>
      </x:c>
      <x:c r="W52" s="117" t="n">
        <x:f>IF(AND('Вводные'!$B$75&lt;&gt;"Единовременно",'Вводные'!$B$80="Да",W49&gt;0),IF(AND('Вводные'!$B$84="Да",YEAR(W$3)=YEAR($B$47),MONTH(W$3)=MONTH($B$47)),W49*W56/12,IF(AND((12*(YEAR(W$3)-YEAR($B$46))+MONTH(W$3)-MONTH($B$46))&gt;0,MOD((12*(YEAR(W$3)-YEAR($B$46))+MONTH(W$3)-MONTH($B$46)),'Вводные'!$B$78)=0,(12*(YEAR(W$3)-YEAR($B$46))+MONTH(W$3)-MONTH($B$46))&lt;='Вводные'!$B$77*12),W49*W56*'Вводные'!$B$78/12,0)),0)</x:f>
      </x:c>
      <x:c r="X52" s="117" t="n">
        <x:f>IF(AND('Вводные'!$B$75&lt;&gt;"Единовременно",'Вводные'!$B$80="Да",X49&gt;0),IF(AND('Вводные'!$B$84="Да",YEAR(X$3)=YEAR($B$47),MONTH(X$3)=MONTH($B$47)),X49*X56/12,IF(AND((12*(YEAR(X$3)-YEAR($B$46))+MONTH(X$3)-MONTH($B$46))&gt;0,MOD((12*(YEAR(X$3)-YEAR($B$46))+MONTH(X$3)-MONTH($B$46)),'Вводные'!$B$78)=0,(12*(YEAR(X$3)-YEAR($B$46))+MONTH(X$3)-MONTH($B$46))&lt;='Вводные'!$B$77*12),X49*X56*'Вводные'!$B$78/12,0)),0)</x:f>
      </x:c>
      <x:c r="Y52" s="117" t="n">
        <x:f>IF(AND('Вводные'!$B$75&lt;&gt;"Единовременно",'Вводные'!$B$80="Да",Y49&gt;0),IF(AND('Вводные'!$B$84="Да",YEAR(Y$3)=YEAR($B$47),MONTH(Y$3)=MONTH($B$47)),Y49*Y56/12,IF(AND((12*(YEAR(Y$3)-YEAR($B$46))+MONTH(Y$3)-MONTH($B$46))&gt;0,MOD((12*(YEAR(Y$3)-YEAR($B$46))+MONTH(Y$3)-MONTH($B$46)),'Вводные'!$B$78)=0,(12*(YEAR(Y$3)-YEAR($B$46))+MONTH(Y$3)-MONTH($B$46))&lt;='Вводные'!$B$77*12),Y49*Y56*'Вводные'!$B$78/12,0)),0)</x:f>
      </x:c>
      <x:c r="Z52" s="117" t="n">
        <x:f>IF(AND('Вводные'!$B$75&lt;&gt;"Единовременно",'Вводные'!$B$80="Да",Z49&gt;0),IF(AND('Вводные'!$B$84="Да",YEAR(Z$3)=YEAR($B$47),MONTH(Z$3)=MONTH($B$47)),Z49*Z56/12,IF(AND((12*(YEAR(Z$3)-YEAR($B$46))+MONTH(Z$3)-MONTH($B$46))&gt;0,MOD((12*(YEAR(Z$3)-YEAR($B$46))+MONTH(Z$3)-MONTH($B$46)),'Вводные'!$B$78)=0,(12*(YEAR(Z$3)-YEAR($B$46))+MONTH(Z$3)-MONTH($B$46))&lt;='Вводные'!$B$77*12),Z49*Z56*'Вводные'!$B$78/12,0)),0)</x:f>
      </x:c>
      <x:c r="AA52" s="117" t="n">
        <x:f>IF(AND('Вводные'!$B$75&lt;&gt;"Единовременно",'Вводные'!$B$80="Да",AA49&gt;0),IF(AND('Вводные'!$B$84="Да",YEAR(AA$3)=YEAR($B$47),MONTH(AA$3)=MONTH($B$47)),AA49*AA56/12,IF(AND((12*(YEAR(AA$3)-YEAR($B$46))+MONTH(AA$3)-MONTH($B$46))&gt;0,MOD((12*(YEAR(AA$3)-YEAR($B$46))+MONTH(AA$3)-MONTH($B$46)),'Вводные'!$B$78)=0,(12*(YEAR(AA$3)-YEAR($B$46))+MONTH(AA$3)-MONTH($B$46))&lt;='Вводные'!$B$77*12),AA49*AA56*'Вводные'!$B$78/12,0)),0)</x:f>
      </x:c>
      <x:c r="AB52" s="117" t="n">
        <x:f>IF(AND('Вводные'!$B$75&lt;&gt;"Единовременно",'Вводные'!$B$80="Да",AB49&gt;0),IF(AND('Вводные'!$B$84="Да",YEAR(AB$3)=YEAR($B$47),MONTH(AB$3)=MONTH($B$47)),AB49*AB56/12,IF(AND((12*(YEAR(AB$3)-YEAR($B$46))+MONTH(AB$3)-MONTH($B$46))&gt;0,MOD((12*(YEAR(AB$3)-YEAR($B$46))+MONTH(AB$3)-MONTH($B$46)),'Вводные'!$B$78)=0,(12*(YEAR(AB$3)-YEAR($B$46))+MONTH(AB$3)-MONTH($B$46))&lt;='Вводные'!$B$77*12),AB49*AB56*'Вводные'!$B$78/12,0)),0)</x:f>
      </x:c>
      <x:c r="AC52" s="117" t="n">
        <x:f>IF(AND('Вводные'!$B$75&lt;&gt;"Единовременно",'Вводные'!$B$80="Да",AC49&gt;0),IF(AND('Вводные'!$B$84="Да",YEAR(AC$3)=YEAR($B$47),MONTH(AC$3)=MONTH($B$47)),AC49*AC56/12,IF(AND((12*(YEAR(AC$3)-YEAR($B$46))+MONTH(AC$3)-MONTH($B$46))&gt;0,MOD((12*(YEAR(AC$3)-YEAR($B$46))+MONTH(AC$3)-MONTH($B$46)),'Вводные'!$B$78)=0,(12*(YEAR(AC$3)-YEAR($B$46))+MONTH(AC$3)-MONTH($B$46))&lt;='Вводные'!$B$77*12),AC49*AC56*'Вводные'!$B$78/12,0)),0)</x:f>
      </x:c>
      <x:c r="AD52" s="117" t="n">
        <x:f>IF(AND('Вводные'!$B$75&lt;&gt;"Единовременно",'Вводные'!$B$80="Да",AD49&gt;0),IF(AND('Вводные'!$B$84="Да",YEAR(AD$3)=YEAR($B$47),MONTH(AD$3)=MONTH($B$47)),AD49*AD56/12,IF(AND((12*(YEAR(AD$3)-YEAR($B$46))+MONTH(AD$3)-MONTH($B$46))&gt;0,MOD((12*(YEAR(AD$3)-YEAR($B$46))+MONTH(AD$3)-MONTH($B$46)),'Вводные'!$B$78)=0,(12*(YEAR(AD$3)-YEAR($B$46))+MONTH(AD$3)-MONTH($B$46))&lt;='Вводные'!$B$77*12),AD49*AD56*'Вводные'!$B$78/12,0)),0)</x:f>
      </x:c>
      <x:c r="AE52" s="117" t="n">
        <x:f>IF(AND('Вводные'!$B$75&lt;&gt;"Единовременно",'Вводные'!$B$80="Да",AE49&gt;0),IF(AND('Вводные'!$B$84="Да",YEAR(AE$3)=YEAR($B$47),MONTH(AE$3)=MONTH($B$47)),AE49*AE56/12,IF(AND((12*(YEAR(AE$3)-YEAR($B$46))+MONTH(AE$3)-MONTH($B$46))&gt;0,MOD((12*(YEAR(AE$3)-YEAR($B$46))+MONTH(AE$3)-MONTH($B$46)),'Вводные'!$B$78)=0,(12*(YEAR(AE$3)-YEAR($B$46))+MONTH(AE$3)-MONTH($B$46))&lt;='Вводные'!$B$77*12),AE49*AE56*'Вводные'!$B$78/12,0)),0)</x:f>
      </x:c>
      <x:c r="AF52" s="117" t="n">
        <x:f>IF(AND('Вводные'!$B$75&lt;&gt;"Единовременно",'Вводные'!$B$80="Да",AF49&gt;0),IF(AND('Вводные'!$B$84="Да",YEAR(AF$3)=YEAR($B$47),MONTH(AF$3)=MONTH($B$47)),AF49*AF56/12,IF(AND((12*(YEAR(AF$3)-YEAR($B$46))+MONTH(AF$3)-MONTH($B$46))&gt;0,MOD((12*(YEAR(AF$3)-YEAR($B$46))+MONTH(AF$3)-MONTH($B$46)),'Вводные'!$B$78)=0,(12*(YEAR(AF$3)-YEAR($B$46))+MONTH(AF$3)-MONTH($B$46))&lt;='Вводные'!$B$77*12),AF49*AF56*'Вводные'!$B$78/12,0)),0)</x:f>
      </x:c>
      <x:c r="AG52" s="117" t="n">
        <x:f>IF(AND('Вводные'!$B$75&lt;&gt;"Единовременно",'Вводные'!$B$80="Да",AG49&gt;0),IF(AND('Вводные'!$B$84="Да",YEAR(AG$3)=YEAR($B$47),MONTH(AG$3)=MONTH($B$47)),AG49*AG56/12,IF(AND((12*(YEAR(AG$3)-YEAR($B$46))+MONTH(AG$3)-MONTH($B$46))&gt;0,MOD((12*(YEAR(AG$3)-YEAR($B$46))+MONTH(AG$3)-MONTH($B$46)),'Вводные'!$B$78)=0,(12*(YEAR(AG$3)-YEAR($B$46))+MONTH(AG$3)-MONTH($B$46))&lt;='Вводные'!$B$77*12),AG49*AG56*'Вводные'!$B$78/12,0)),0)</x:f>
      </x:c>
      <x:c r="AH52" s="117" t="n">
        <x:f>IF(AND('Вводные'!$B$75&lt;&gt;"Единовременно",'Вводные'!$B$80="Да",AH49&gt;0),IF(AND('Вводные'!$B$84="Да",YEAR(AH$3)=YEAR($B$47),MONTH(AH$3)=MONTH($B$47)),AH49*AH56/12,IF(AND((12*(YEAR(AH$3)-YEAR($B$46))+MONTH(AH$3)-MONTH($B$46))&gt;0,MOD((12*(YEAR(AH$3)-YEAR($B$46))+MONTH(AH$3)-MONTH($B$46)),'Вводные'!$B$78)=0,(12*(YEAR(AH$3)-YEAR($B$46))+MONTH(AH$3)-MONTH($B$46))&lt;='Вводные'!$B$77*12),AH49*AH56*'Вводные'!$B$78/12,0)),0)</x:f>
      </x:c>
      <x:c r="AI52" s="117" t="n">
        <x:f>IF(AND('Вводные'!$B$75&lt;&gt;"Единовременно",'Вводные'!$B$80="Да",AI49&gt;0),IF(AND('Вводные'!$B$84="Да",YEAR(AI$3)=YEAR($B$47),MONTH(AI$3)=MONTH($B$47)),AI49*AI56/12,IF(AND((12*(YEAR(AI$3)-YEAR($B$46))+MONTH(AI$3)-MONTH($B$46))&gt;0,MOD((12*(YEAR(AI$3)-YEAR($B$46))+MONTH(AI$3)-MONTH($B$46)),'Вводные'!$B$78)=0,(12*(YEAR(AI$3)-YEAR($B$46))+MONTH(AI$3)-MONTH($B$46))&lt;='Вводные'!$B$77*12),AI49*AI56*'Вводные'!$B$78/12,0)),0)</x:f>
      </x:c>
      <x:c r="AJ52" s="117" t="n">
        <x:f>IF(AND('Вводные'!$B$75&lt;&gt;"Единовременно",'Вводные'!$B$80="Да",AJ49&gt;0),IF(AND('Вводные'!$B$84="Да",YEAR(AJ$3)=YEAR($B$47),MONTH(AJ$3)=MONTH($B$47)),AJ49*AJ56/12,IF(AND((12*(YEAR(AJ$3)-YEAR($B$46))+MONTH(AJ$3)-MONTH($B$46))&gt;0,MOD((12*(YEAR(AJ$3)-YEAR($B$46))+MONTH(AJ$3)-MONTH($B$46)),'Вводные'!$B$78)=0,(12*(YEAR(AJ$3)-YEAR($B$46))+MONTH(AJ$3)-MONTH($B$46))&lt;='Вводные'!$B$77*12),AJ49*AJ56*'Вводные'!$B$78/12,0)),0)</x:f>
      </x:c>
      <x:c r="AK52" s="117" t="n">
        <x:f>IF(AND('Вводные'!$B$75&lt;&gt;"Единовременно",'Вводные'!$B$80="Да",AK49&gt;0),IF(AND('Вводные'!$B$84="Да",YEAR(AK$3)=YEAR($B$47),MONTH(AK$3)=MONTH($B$47)),AK49*AK56/12,IF(AND((12*(YEAR(AK$3)-YEAR($B$46))+MONTH(AK$3)-MONTH($B$46))&gt;0,MOD((12*(YEAR(AK$3)-YEAR($B$46))+MONTH(AK$3)-MONTH($B$46)),'Вводные'!$B$78)=0,(12*(YEAR(AK$3)-YEAR($B$46))+MONTH(AK$3)-MONTH($B$46))&lt;='Вводные'!$B$77*12),AK49*AK56*'Вводные'!$B$78/12,0)),0)</x:f>
      </x:c>
      <x:c r="AL52" s="117" t="n">
        <x:f>IF(AND('Вводные'!$B$75&lt;&gt;"Единовременно",'Вводные'!$B$80="Да",AL49&gt;0),IF(AND('Вводные'!$B$84="Да",YEAR(AL$3)=YEAR($B$47),MONTH(AL$3)=MONTH($B$47)),AL49*AL56/12,IF(AND((12*(YEAR(AL$3)-YEAR($B$46))+MONTH(AL$3)-MONTH($B$46))&gt;0,MOD((12*(YEAR(AL$3)-YEAR($B$46))+MONTH(AL$3)-MONTH($B$46)),'Вводные'!$B$78)=0,(12*(YEAR(AL$3)-YEAR($B$46))+MONTH(AL$3)-MONTH($B$46))&lt;='Вводные'!$B$77*12),AL49*AL56*'Вводные'!$B$78/12,0)),0)</x:f>
      </x:c>
      <x:c r="AM52" s="117" t="n">
        <x:f>IF(AND('Вводные'!$B$75&lt;&gt;"Единовременно",'Вводные'!$B$80="Да",AM49&gt;0),IF(AND('Вводные'!$B$84="Да",YEAR(AM$3)=YEAR($B$47),MONTH(AM$3)=MONTH($B$47)),AM49*AM56/12,IF(AND((12*(YEAR(AM$3)-YEAR($B$46))+MONTH(AM$3)-MONTH($B$46))&gt;0,MOD((12*(YEAR(AM$3)-YEAR($B$46))+MONTH(AM$3)-MONTH($B$46)),'Вводные'!$B$78)=0,(12*(YEAR(AM$3)-YEAR($B$46))+MONTH(AM$3)-MONTH($B$46))&lt;='Вводные'!$B$77*12),AM49*AM56*'Вводные'!$B$78/12,0)),0)</x:f>
      </x:c>
      <x:c r="AN52" s="117" t="n">
        <x:f>IF(AND('Вводные'!$B$75&lt;&gt;"Единовременно",'Вводные'!$B$80="Да",AN49&gt;0),IF(AND('Вводные'!$B$84="Да",YEAR(AN$3)=YEAR($B$47),MONTH(AN$3)=MONTH($B$47)),AN49*AN56/12,IF(AND((12*(YEAR(AN$3)-YEAR($B$46))+MONTH(AN$3)-MONTH($B$46))&gt;0,MOD((12*(YEAR(AN$3)-YEAR($B$46))+MONTH(AN$3)-MONTH($B$46)),'Вводные'!$B$78)=0,(12*(YEAR(AN$3)-YEAR($B$46))+MONTH(AN$3)-MONTH($B$46))&lt;='Вводные'!$B$77*12),AN49*AN56*'Вводные'!$B$78/12,0)),0)</x:f>
      </x:c>
      <x:c r="AO52" s="117" t="n">
        <x:f>IF(AND('Вводные'!$B$75&lt;&gt;"Единовременно",'Вводные'!$B$80="Да",AO49&gt;0),IF(AND('Вводные'!$B$84="Да",YEAR(AO$3)=YEAR($B$47),MONTH(AO$3)=MONTH($B$47)),AO49*AO56/12,IF(AND((12*(YEAR(AO$3)-YEAR($B$46))+MONTH(AO$3)-MONTH($B$46))&gt;0,MOD((12*(YEAR(AO$3)-YEAR($B$46))+MONTH(AO$3)-MONTH($B$46)),'Вводные'!$B$78)=0,(12*(YEAR(AO$3)-YEAR($B$46))+MONTH(AO$3)-MONTH($B$46))&lt;='Вводные'!$B$77*12),AO49*AO56*'Вводные'!$B$78/12,0)),0)</x:f>
      </x:c>
      <x:c r="AP52" s="117" t="n">
        <x:f>IF(AND('Вводные'!$B$75&lt;&gt;"Единовременно",'Вводные'!$B$80="Да",AP49&gt;0),IF(AND('Вводные'!$B$84="Да",YEAR(AP$3)=YEAR($B$47),MONTH(AP$3)=MONTH($B$47)),AP49*AP56/12,IF(AND((12*(YEAR(AP$3)-YEAR($B$46))+MONTH(AP$3)-MONTH($B$46))&gt;0,MOD((12*(YEAR(AP$3)-YEAR($B$46))+MONTH(AP$3)-MONTH($B$46)),'Вводные'!$B$78)=0,(12*(YEAR(AP$3)-YEAR($B$46))+MONTH(AP$3)-MONTH($B$46))&lt;='Вводные'!$B$77*12),AP49*AP56*'Вводные'!$B$78/12,0)),0)</x:f>
      </x:c>
      <x:c r="AQ52" s="117" t="n">
        <x:f>IF(AND('Вводные'!$B$75&lt;&gt;"Единовременно",'Вводные'!$B$80="Да",AQ49&gt;0),IF(AND('Вводные'!$B$84="Да",YEAR(AQ$3)=YEAR($B$47),MONTH(AQ$3)=MONTH($B$47)),AQ49*AQ56/12,IF(AND((12*(YEAR(AQ$3)-YEAR($B$46))+MONTH(AQ$3)-MONTH($B$46))&gt;0,MOD((12*(YEAR(AQ$3)-YEAR($B$46))+MONTH(AQ$3)-MONTH($B$46)),'Вводные'!$B$78)=0,(12*(YEAR(AQ$3)-YEAR($B$46))+MONTH(AQ$3)-MONTH($B$46))&lt;='Вводные'!$B$77*12),AQ49*AQ56*'Вводные'!$B$78/12,0)),0)</x:f>
      </x:c>
      <x:c r="AR52" s="117" t="n">
        <x:f>IF(AND('Вводные'!$B$75&lt;&gt;"Единовременно",'Вводные'!$B$80="Да",AR49&gt;0),IF(AND('Вводные'!$B$84="Да",YEAR(AR$3)=YEAR($B$47),MONTH(AR$3)=MONTH($B$47)),AR49*AR56/12,IF(AND((12*(YEAR(AR$3)-YEAR($B$46))+MONTH(AR$3)-MONTH($B$46))&gt;0,MOD((12*(YEAR(AR$3)-YEAR($B$46))+MONTH(AR$3)-MONTH($B$46)),'Вводные'!$B$78)=0,(12*(YEAR(AR$3)-YEAR($B$46))+MONTH(AR$3)-MONTH($B$46))&lt;='Вводные'!$B$77*12),AR49*AR56*'Вводные'!$B$78/12,0)),0)</x:f>
      </x:c>
      <x:c r="AS52" s="117" t="n">
        <x:f>IF(AND('Вводные'!$B$75&lt;&gt;"Единовременно",'Вводные'!$B$80="Да",AS49&gt;0),IF(AND('Вводные'!$B$84="Да",YEAR(AS$3)=YEAR($B$47),MONTH(AS$3)=MONTH($B$47)),AS49*AS56/12,IF(AND((12*(YEAR(AS$3)-YEAR($B$46))+MONTH(AS$3)-MONTH($B$46))&gt;0,MOD((12*(YEAR(AS$3)-YEAR($B$46))+MONTH(AS$3)-MONTH($B$46)),'Вводные'!$B$78)=0,(12*(YEAR(AS$3)-YEAR($B$46))+MONTH(AS$3)-MONTH($B$46))&lt;='Вводные'!$B$77*12),AS49*AS56*'Вводные'!$B$78/12,0)),0)</x:f>
      </x:c>
      <x:c r="AT52" s="117" t="n">
        <x:f>IF(AND('Вводные'!$B$75&lt;&gt;"Единовременно",'Вводные'!$B$80="Да",AT49&gt;0),IF(AND('Вводные'!$B$84="Да",YEAR(AT$3)=YEAR($B$47),MONTH(AT$3)=MONTH($B$47)),AT49*AT56/12,IF(AND((12*(YEAR(AT$3)-YEAR($B$46))+MONTH(AT$3)-MONTH($B$46))&gt;0,MOD((12*(YEAR(AT$3)-YEAR($B$46))+MONTH(AT$3)-MONTH($B$46)),'Вводные'!$B$78)=0,(12*(YEAR(AT$3)-YEAR($B$46))+MONTH(AT$3)-MONTH($B$46))&lt;='Вводные'!$B$77*12),AT49*AT56*'Вводные'!$B$78/12,0)),0)</x:f>
      </x:c>
      <x:c r="AU52" s="117" t="n">
        <x:f>IF(AND('Вводные'!$B$75&lt;&gt;"Единовременно",'Вводные'!$B$80="Да",AU49&gt;0),IF(AND('Вводные'!$B$84="Да",YEAR(AU$3)=YEAR($B$47),MONTH(AU$3)=MONTH($B$47)),AU49*AU56/12,IF(AND((12*(YEAR(AU$3)-YEAR($B$46))+MONTH(AU$3)-MONTH($B$46))&gt;0,MOD((12*(YEAR(AU$3)-YEAR($B$46))+MONTH(AU$3)-MONTH($B$46)),'Вводные'!$B$78)=0,(12*(YEAR(AU$3)-YEAR($B$46))+MONTH(AU$3)-MONTH($B$46))&lt;='Вводные'!$B$77*12),AU49*AU56*'Вводные'!$B$78/12,0)),0)</x:f>
      </x:c>
      <x:c r="AV52" s="117" t="n">
        <x:f>IF(AND('Вводные'!$B$75&lt;&gt;"Единовременно",'Вводные'!$B$80="Да",AV49&gt;0),IF(AND('Вводные'!$B$84="Да",YEAR(AV$3)=YEAR($B$47),MONTH(AV$3)=MONTH($B$47)),AV49*AV56/12,IF(AND((12*(YEAR(AV$3)-YEAR($B$46))+MONTH(AV$3)-MONTH($B$46))&gt;0,MOD((12*(YEAR(AV$3)-YEAR($B$46))+MONTH(AV$3)-MONTH($B$46)),'Вводные'!$B$78)=0,(12*(YEAR(AV$3)-YEAR($B$46))+MONTH(AV$3)-MONTH($B$46))&lt;='Вводные'!$B$77*12),AV49*AV56*'Вводные'!$B$78/12,0)),0)</x:f>
      </x:c>
      <x:c r="AW52" s="117" t="n">
        <x:f>IF(AND('Вводные'!$B$75&lt;&gt;"Единовременно",'Вводные'!$B$80="Да",AW49&gt;0),IF(AND('Вводные'!$B$84="Да",YEAR(AW$3)=YEAR($B$47),MONTH(AW$3)=MONTH($B$47)),AW49*AW56/12,IF(AND((12*(YEAR(AW$3)-YEAR($B$46))+MONTH(AW$3)-MONTH($B$46))&gt;0,MOD((12*(YEAR(AW$3)-YEAR($B$46))+MONTH(AW$3)-MONTH($B$46)),'Вводные'!$B$78)=0,(12*(YEAR(AW$3)-YEAR($B$46))+MONTH(AW$3)-MONTH($B$46))&lt;='Вводные'!$B$77*12),AW49*AW56*'Вводные'!$B$78/12,0)),0)</x:f>
      </x:c>
      <x:c r="AX52" s="117" t="n">
        <x:f>IF(AND('Вводные'!$B$75&lt;&gt;"Единовременно",'Вводные'!$B$80="Да",AX49&gt;0),IF(AND('Вводные'!$B$84="Да",YEAR(AX$3)=YEAR($B$47),MONTH(AX$3)=MONTH($B$47)),AX49*AX56/12,IF(AND((12*(YEAR(AX$3)-YEAR($B$46))+MONTH(AX$3)-MONTH($B$46))&gt;0,MOD((12*(YEAR(AX$3)-YEAR($B$46))+MONTH(AX$3)-MONTH($B$46)),'Вводные'!$B$78)=0,(12*(YEAR(AX$3)-YEAR($B$46))+MONTH(AX$3)-MONTH($B$46))&lt;='Вводные'!$B$77*12),AX49*AX56*'Вводные'!$B$78/12,0)),0)</x:f>
      </x:c>
      <x:c r="AY52" s="117" t="n">
        <x:f>IF(AND('Вводные'!$B$75&lt;&gt;"Единовременно",'Вводные'!$B$80="Да",AY49&gt;0),IF(AND('Вводные'!$B$84="Да",YEAR(AY$3)=YEAR($B$47),MONTH(AY$3)=MONTH($B$47)),AY49*AY56/12,IF(AND((12*(YEAR(AY$3)-YEAR($B$46))+MONTH(AY$3)-MONTH($B$46))&gt;0,MOD((12*(YEAR(AY$3)-YEAR($B$46))+MONTH(AY$3)-MONTH($B$46)),'Вводные'!$B$78)=0,(12*(YEAR(AY$3)-YEAR($B$46))+MONTH(AY$3)-MONTH($B$46))&lt;='Вводные'!$B$77*12),AY49*AY56*'Вводные'!$B$78/12,0)),0)</x:f>
      </x:c>
      <x:c r="AZ52" s="117" t="n">
        <x:f>IF(AND('Вводные'!$B$75&lt;&gt;"Единовременно",'Вводные'!$B$80="Да",AZ49&gt;0),IF(AND('Вводные'!$B$84="Да",YEAR(AZ$3)=YEAR($B$47),MONTH(AZ$3)=MONTH($B$47)),AZ49*AZ56/12,IF(AND((12*(YEAR(AZ$3)-YEAR($B$46))+MONTH(AZ$3)-MONTH($B$46))&gt;0,MOD((12*(YEAR(AZ$3)-YEAR($B$46))+MONTH(AZ$3)-MONTH($B$46)),'Вводные'!$B$78)=0,(12*(YEAR(AZ$3)-YEAR($B$46))+MONTH(AZ$3)-MONTH($B$46))&lt;='Вводные'!$B$77*12),AZ49*AZ56*'Вводные'!$B$78/12,0)),0)</x:f>
      </x:c>
      <x:c r="BA52" s="117" t="n">
        <x:f>IF(AND('Вводные'!$B$75&lt;&gt;"Единовременно",'Вводные'!$B$80="Да",BA49&gt;0),IF(AND('Вводные'!$B$84="Да",YEAR(BA$3)=YEAR($B$47),MONTH(BA$3)=MONTH($B$47)),BA49*BA56/12,IF(AND((12*(YEAR(BA$3)-YEAR($B$46))+MONTH(BA$3)-MONTH($B$46))&gt;0,MOD((12*(YEAR(BA$3)-YEAR($B$46))+MONTH(BA$3)-MONTH($B$46)),'Вводные'!$B$78)=0,(12*(YEAR(BA$3)-YEAR($B$46))+MONTH(BA$3)-MONTH($B$46))&lt;='Вводные'!$B$77*12),BA49*BA56*'Вводные'!$B$78/12,0)),0)</x:f>
      </x:c>
      <x:c r="BB52" s="117" t="n">
        <x:f>IF(AND('Вводные'!$B$75&lt;&gt;"Единовременно",'Вводные'!$B$80="Да",BB49&gt;0),IF(AND('Вводные'!$B$84="Да",YEAR(BB$3)=YEAR($B$47),MONTH(BB$3)=MONTH($B$47)),BB49*BB56/12,IF(AND((12*(YEAR(BB$3)-YEAR($B$46))+MONTH(BB$3)-MONTH($B$46))&gt;0,MOD((12*(YEAR(BB$3)-YEAR($B$46))+MONTH(BB$3)-MONTH($B$46)),'Вводные'!$B$78)=0,(12*(YEAR(BB$3)-YEAR($B$46))+MONTH(BB$3)-MONTH($B$46))&lt;='Вводные'!$B$77*12),BB49*BB56*'Вводные'!$B$78/12,0)),0)</x:f>
      </x:c>
      <x:c r="BC52" s="117" t="n">
        <x:f>IF(AND('Вводные'!$B$75&lt;&gt;"Единовременно",'Вводные'!$B$80="Да",BC49&gt;0),IF(AND('Вводные'!$B$84="Да",YEAR(BC$3)=YEAR($B$47),MONTH(BC$3)=MONTH($B$47)),BC49*BC56/12,IF(AND((12*(YEAR(BC$3)-YEAR($B$46))+MONTH(BC$3)-MONTH($B$46))&gt;0,MOD((12*(YEAR(BC$3)-YEAR($B$46))+MONTH(BC$3)-MONTH($B$46)),'Вводные'!$B$78)=0,(12*(YEAR(BC$3)-YEAR($B$46))+MONTH(BC$3)-MONTH($B$46))&lt;='Вводные'!$B$77*12),BC49*BC56*'Вводные'!$B$78/12,0)),0)</x:f>
      </x:c>
      <x:c r="BD52" s="117" t="n">
        <x:f>IF(AND('Вводные'!$B$75&lt;&gt;"Единовременно",'Вводные'!$B$80="Да",BD49&gt;0),IF(AND('Вводные'!$B$84="Да",YEAR(BD$3)=YEAR($B$47),MONTH(BD$3)=MONTH($B$47)),BD49*BD56/12,IF(AND((12*(YEAR(BD$3)-YEAR($B$46))+MONTH(BD$3)-MONTH($B$46))&gt;0,MOD((12*(YEAR(BD$3)-YEAR($B$46))+MONTH(BD$3)-MONTH($B$46)),'Вводные'!$B$78)=0,(12*(YEAR(BD$3)-YEAR($B$46))+MONTH(BD$3)-MONTH($B$46))&lt;='Вводные'!$B$77*12),BD49*BD56*'Вводные'!$B$78/12,0)),0)</x:f>
      </x:c>
      <x:c r="BE52" s="117" t="n">
        <x:f>IF(AND('Вводные'!$B$75&lt;&gt;"Единовременно",'Вводные'!$B$80="Да",BE49&gt;0),IF(AND('Вводные'!$B$84="Да",YEAR(BE$3)=YEAR($B$47),MONTH(BE$3)=MONTH($B$47)),BE49*BE56/12,IF(AND((12*(YEAR(BE$3)-YEAR($B$46))+MONTH(BE$3)-MONTH($B$46))&gt;0,MOD((12*(YEAR(BE$3)-YEAR($B$46))+MONTH(BE$3)-MONTH($B$46)),'Вводные'!$B$78)=0,(12*(YEAR(BE$3)-YEAR($B$46))+MONTH(BE$3)-MONTH($B$46))&lt;='Вводные'!$B$77*12),BE49*BE56*'Вводные'!$B$78/12,0)),0)</x:f>
      </x:c>
      <x:c r="BF52" s="117" t="n">
        <x:f>IF(AND('Вводные'!$B$75&lt;&gt;"Единовременно",'Вводные'!$B$80="Да",BF49&gt;0),IF(AND('Вводные'!$B$84="Да",YEAR(BF$3)=YEAR($B$47),MONTH(BF$3)=MONTH($B$47)),BF49*BF56/12,IF(AND((12*(YEAR(BF$3)-YEAR($B$46))+MONTH(BF$3)-MONTH($B$46))&gt;0,MOD((12*(YEAR(BF$3)-YEAR($B$46))+MONTH(BF$3)-MONTH($B$46)),'Вводные'!$B$78)=0,(12*(YEAR(BF$3)-YEAR($B$46))+MONTH(BF$3)-MONTH($B$46))&lt;='Вводные'!$B$77*12),BF49*BF56*'Вводные'!$B$78/12,0)),0)</x:f>
      </x:c>
      <x:c r="BG52" s="117" t="n">
        <x:f>IF(AND('Вводные'!$B$75&lt;&gt;"Единовременно",'Вводные'!$B$80="Да",BG49&gt;0),IF(AND('Вводные'!$B$84="Да",YEAR(BG$3)=YEAR($B$47),MONTH(BG$3)=MONTH($B$47)),BG49*BG56/12,IF(AND((12*(YEAR(BG$3)-YEAR($B$46))+MONTH(BG$3)-MONTH($B$46))&gt;0,MOD((12*(YEAR(BG$3)-YEAR($B$46))+MONTH(BG$3)-MONTH($B$46)),'Вводные'!$B$78)=0,(12*(YEAR(BG$3)-YEAR($B$46))+MONTH(BG$3)-MONTH($B$46))&lt;='Вводные'!$B$77*12),BG49*BG56*'Вводные'!$B$78/12,0)),0)</x:f>
      </x:c>
      <x:c r="BH52" s="117" t="n">
        <x:f>IF(AND('Вводные'!$B$75&lt;&gt;"Единовременно",'Вводные'!$B$80="Да",BH49&gt;0),IF(AND('Вводные'!$B$84="Да",YEAR(BH$3)=YEAR($B$47),MONTH(BH$3)=MONTH($B$47)),BH49*BH56/12,IF(AND((12*(YEAR(BH$3)-YEAR($B$46))+MONTH(BH$3)-MONTH($B$46))&gt;0,MOD((12*(YEAR(BH$3)-YEAR($B$46))+MONTH(BH$3)-MONTH($B$46)),'Вводные'!$B$78)=0,(12*(YEAR(BH$3)-YEAR($B$46))+MONTH(BH$3)-MONTH($B$46))&lt;='Вводные'!$B$77*12),BH49*BH56*'Вводные'!$B$78/12,0)),0)</x:f>
      </x:c>
      <x:c r="BI52" s="117" t="n">
        <x:f>IF(AND('Вводные'!$B$75&lt;&gt;"Единовременно",'Вводные'!$B$80="Да",BI49&gt;0),IF(AND('Вводные'!$B$84="Да",YEAR(BI$3)=YEAR($B$47),MONTH(BI$3)=MONTH($B$47)),BI49*BI56/12,IF(AND((12*(YEAR(BI$3)-YEAR($B$46))+MONTH(BI$3)-MONTH($B$46))&gt;0,MOD((12*(YEAR(BI$3)-YEAR($B$46))+MONTH(BI$3)-MONTH($B$46)),'Вводные'!$B$78)=0,(12*(YEAR(BI$3)-YEAR($B$46))+MONTH(BI$3)-MONTH($B$46))&lt;='Вводные'!$B$77*12),BI49*BI56*'Вводные'!$B$78/12,0)),0)</x:f>
      </x:c>
      <x:c r="BJ52" s="117" t="n">
        <x:f>IF(AND('Вводные'!$B$75&lt;&gt;"Единовременно",'Вводные'!$B$80="Да",BJ49&gt;0),IF(AND('Вводные'!$B$84="Да",YEAR(BJ$3)=YEAR($B$47),MONTH(BJ$3)=MONTH($B$47)),BJ49*BJ56/12,IF(AND((12*(YEAR(BJ$3)-YEAR($B$46))+MONTH(BJ$3)-MONTH($B$46))&gt;0,MOD((12*(YEAR(BJ$3)-YEAR($B$46))+MONTH(BJ$3)-MONTH($B$46)),'Вводные'!$B$78)=0,(12*(YEAR(BJ$3)-YEAR($B$46))+MONTH(BJ$3)-MONTH($B$46))&lt;='Вводные'!$B$77*12),BJ49*BJ56*'Вводные'!$B$78/12,0)),0)</x:f>
      </x:c>
      <x:c r="BK52" s="117" t="n">
        <x:f>IF(AND('Вводные'!$B$75&lt;&gt;"Единовременно",'Вводные'!$B$80="Да",BK49&gt;0),IF(AND('Вводные'!$B$84="Да",YEAR(BK$3)=YEAR($B$47),MONTH(BK$3)=MONTH($B$47)),BK49*BK56/12,IF(AND((12*(YEAR(BK$3)-YEAR($B$46))+MONTH(BK$3)-MONTH($B$46))&gt;0,MOD((12*(YEAR(BK$3)-YEAR($B$46))+MONTH(BK$3)-MONTH($B$46)),'Вводные'!$B$78)=0,(12*(YEAR(BK$3)-YEAR($B$46))+MONTH(BK$3)-MONTH($B$46))&lt;='Вводные'!$B$77*12),BK49*BK56*'Вводные'!$B$78/12,0)),0)</x:f>
      </x:c>
      <x:c r="BL52" s="117" t="n">
        <x:f>IF(AND('Вводные'!$B$75&lt;&gt;"Единовременно",'Вводные'!$B$80="Да",BL49&gt;0),IF(AND('Вводные'!$B$84="Да",YEAR(BL$3)=YEAR($B$47),MONTH(BL$3)=MONTH($B$47)),BL49*BL56/12,IF(AND((12*(YEAR(BL$3)-YEAR($B$46))+MONTH(BL$3)-MONTH($B$46))&gt;0,MOD((12*(YEAR(BL$3)-YEAR($B$46))+MONTH(BL$3)-MONTH($B$46)),'Вводные'!$B$78)=0,(12*(YEAR(BL$3)-YEAR($B$46))+MONTH(BL$3)-MONTH($B$46))&lt;='Вводные'!$B$77*12),BL49*BL56*'Вводные'!$B$78/12,0)),0)</x:f>
      </x:c>
      <x:c r="BM52" s="117" t="n">
        <x:f>IF(AND('Вводные'!$B$75&lt;&gt;"Единовременно",'Вводные'!$B$80="Да",BM49&gt;0),IF(AND('Вводные'!$B$84="Да",YEAR(BM$3)=YEAR($B$47),MONTH(BM$3)=MONTH($B$47)),BM49*BM56/12,IF(AND((12*(YEAR(BM$3)-YEAR($B$46))+MONTH(BM$3)-MONTH($B$46))&gt;0,MOD((12*(YEAR(BM$3)-YEAR($B$46))+MONTH(BM$3)-MONTH($B$46)),'Вводные'!$B$78)=0,(12*(YEAR(BM$3)-YEAR($B$46))+MONTH(BM$3)-MONTH($B$46))&lt;='Вводные'!$B$77*12),BM49*BM56*'Вводные'!$B$78/12,0)),0)</x:f>
      </x:c>
      <x:c r="BN52" s="117" t="n">
        <x:f>IF(AND('Вводные'!$B$75&lt;&gt;"Единовременно",'Вводные'!$B$80="Да",BN49&gt;0),IF(AND('Вводные'!$B$84="Да",YEAR(BN$3)=YEAR($B$47),MONTH(BN$3)=MONTH($B$47)),BN49*BN56/12,IF(AND((12*(YEAR(BN$3)-YEAR($B$46))+MONTH(BN$3)-MONTH($B$46))&gt;0,MOD((12*(YEAR(BN$3)-YEAR($B$46))+MONTH(BN$3)-MONTH($B$46)),'Вводные'!$B$78)=0,(12*(YEAR(BN$3)-YEAR($B$46))+MONTH(BN$3)-MONTH($B$46))&lt;='Вводные'!$B$77*12),BN49*BN56*'Вводные'!$B$78/12,0)),0)</x:f>
      </x:c>
      <x:c r="BO52" s="117" t="n">
        <x:f>IF(AND('Вводные'!$B$75&lt;&gt;"Единовременно",'Вводные'!$B$80="Да",BO49&gt;0),IF(AND('Вводные'!$B$84="Да",YEAR(BO$3)=YEAR($B$47),MONTH(BO$3)=MONTH($B$47)),BO49*BO56/12,IF(AND((12*(YEAR(BO$3)-YEAR($B$46))+MONTH(BO$3)-MONTH($B$46))&gt;0,MOD((12*(YEAR(BO$3)-YEAR($B$46))+MONTH(BO$3)-MONTH($B$46)),'Вводные'!$B$78)=0,(12*(YEAR(BO$3)-YEAR($B$46))+MONTH(BO$3)-MONTH($B$46))&lt;='Вводные'!$B$77*12),BO49*BO56*'Вводные'!$B$78/12,0)),0)</x:f>
      </x:c>
      <x:c r="BP52" s="117" t="n">
        <x:f>IF(AND('Вводные'!$B$75&lt;&gt;"Единовременно",'Вводные'!$B$80="Да",BP49&gt;0),IF(AND('Вводные'!$B$84="Да",YEAR(BP$3)=YEAR($B$47),MONTH(BP$3)=MONTH($B$47)),BP49*BP56/12,IF(AND((12*(YEAR(BP$3)-YEAR($B$46))+MONTH(BP$3)-MONTH($B$46))&gt;0,MOD((12*(YEAR(BP$3)-YEAR($B$46))+MONTH(BP$3)-MONTH($B$46)),'Вводные'!$B$78)=0,(12*(YEAR(BP$3)-YEAR($B$46))+MONTH(BP$3)-MONTH($B$46))&lt;='Вводные'!$B$77*12),BP49*BP56*'Вводные'!$B$78/12,0)),0)</x:f>
      </x:c>
      <x:c r="BQ52" s="117" t="n">
        <x:f>IF(AND('Вводные'!$B$75&lt;&gt;"Единовременно",'Вводные'!$B$80="Да",BQ49&gt;0),IF(AND('Вводные'!$B$84="Да",YEAR(BQ$3)=YEAR($B$47),MONTH(BQ$3)=MONTH($B$47)),BQ49*BQ56/12,IF(AND((12*(YEAR(BQ$3)-YEAR($B$46))+MONTH(BQ$3)-MONTH($B$46))&gt;0,MOD((12*(YEAR(BQ$3)-YEAR($B$46))+MONTH(BQ$3)-MONTH($B$46)),'Вводные'!$B$78)=0,(12*(YEAR(BQ$3)-YEAR($B$46))+MONTH(BQ$3)-MONTH($B$46))&lt;='Вводные'!$B$77*12),BQ49*BQ56*'Вводные'!$B$78/12,0)),0)</x:f>
      </x:c>
      <x:c r="BR52" s="117" t="n">
        <x:f>IF(AND('Вводные'!$B$75&lt;&gt;"Единовременно",'Вводные'!$B$80="Да",BR49&gt;0),IF(AND('Вводные'!$B$84="Да",YEAR(BR$3)=YEAR($B$47),MONTH(BR$3)=MONTH($B$47)),BR49*BR56/12,IF(AND((12*(YEAR(BR$3)-YEAR($B$46))+MONTH(BR$3)-MONTH($B$46))&gt;0,MOD((12*(YEAR(BR$3)-YEAR($B$46))+MONTH(BR$3)-MONTH($B$46)),'Вводные'!$B$78)=0,(12*(YEAR(BR$3)-YEAR($B$46))+MONTH(BR$3)-MONTH($B$46))&lt;='Вводные'!$B$77*12),BR49*BR56*'Вводные'!$B$78/12,0)),0)</x:f>
      </x:c>
      <x:c r="BS52" s="117" t="n">
        <x:f>IF(AND('Вводные'!$B$75&lt;&gt;"Единовременно",'Вводные'!$B$80="Да",BS49&gt;0),IF(AND('Вводные'!$B$84="Да",YEAR(BS$3)=YEAR($B$47),MONTH(BS$3)=MONTH($B$47)),BS49*BS56/12,IF(AND((12*(YEAR(BS$3)-YEAR($B$46))+MONTH(BS$3)-MONTH($B$46))&gt;0,MOD((12*(YEAR(BS$3)-YEAR($B$46))+MONTH(BS$3)-MONTH($B$46)),'Вводные'!$B$78)=0,(12*(YEAR(BS$3)-YEAR($B$46))+MONTH(BS$3)-MONTH($B$46))&lt;='Вводные'!$B$77*12),BS49*BS56*'Вводные'!$B$78/12,0)),0)</x:f>
      </x:c>
      <x:c r="BT52" s="117" t="n">
        <x:f>IF(AND('Вводные'!$B$75&lt;&gt;"Единовременно",'Вводные'!$B$80="Да",BT49&gt;0),IF(AND('Вводные'!$B$84="Да",YEAR(BT$3)=YEAR($B$47),MONTH(BT$3)=MONTH($B$47)),BT49*BT56/12,IF(AND((12*(YEAR(BT$3)-YEAR($B$46))+MONTH(BT$3)-MONTH($B$46))&gt;0,MOD((12*(YEAR(BT$3)-YEAR($B$46))+MONTH(BT$3)-MONTH($B$46)),'Вводные'!$B$78)=0,(12*(YEAR(BT$3)-YEAR($B$46))+MONTH(BT$3)-MONTH($B$46))&lt;='Вводные'!$B$77*12),BT49*BT56*'Вводные'!$B$78/12,0)),0)</x:f>
      </x:c>
      <x:c r="BU52" s="117" t="n">
        <x:f>IF(AND('Вводные'!$B$75&lt;&gt;"Единовременно",'Вводные'!$B$80="Да",BU49&gt;0),IF(AND('Вводные'!$B$84="Да",YEAR(BU$3)=YEAR($B$47),MONTH(BU$3)=MONTH($B$47)),BU49*BU56/12,IF(AND((12*(YEAR(BU$3)-YEAR($B$46))+MONTH(BU$3)-MONTH($B$46))&gt;0,MOD((12*(YEAR(BU$3)-YEAR($B$46))+MONTH(BU$3)-MONTH($B$46)),'Вводные'!$B$78)=0,(12*(YEAR(BU$3)-YEAR($B$46))+MONTH(BU$3)-MONTH($B$46))&lt;='Вводные'!$B$77*12),BU49*BU56*'Вводные'!$B$78/12,0)),0)</x:f>
      </x:c>
      <x:c r="BV52" s="117" t="n">
        <x:f>IF(AND('Вводные'!$B$75&lt;&gt;"Единовременно",'Вводные'!$B$80="Да",BV49&gt;0),IF(AND('Вводные'!$B$84="Да",YEAR(BV$3)=YEAR($B$47),MONTH(BV$3)=MONTH($B$47)),BV49*BV56/12,IF(AND((12*(YEAR(BV$3)-YEAR($B$46))+MONTH(BV$3)-MONTH($B$46))&gt;0,MOD((12*(YEAR(BV$3)-YEAR($B$46))+MONTH(BV$3)-MONTH($B$46)),'Вводные'!$B$78)=0,(12*(YEAR(BV$3)-YEAR($B$46))+MONTH(BV$3)-MONTH($B$46))&lt;='Вводные'!$B$77*12),BV49*BV56*'Вводные'!$B$78/12,0)),0)</x:f>
      </x:c>
      <x:c r="BW52" s="117" t="n">
        <x:f>IF(AND('Вводные'!$B$75&lt;&gt;"Единовременно",'Вводные'!$B$80="Да",BW49&gt;0),IF(AND('Вводные'!$B$84="Да",YEAR(BW$3)=YEAR($B$47),MONTH(BW$3)=MONTH($B$47)),BW49*BW56/12,IF(AND((12*(YEAR(BW$3)-YEAR($B$46))+MONTH(BW$3)-MONTH($B$46))&gt;0,MOD((12*(YEAR(BW$3)-YEAR($B$46))+MONTH(BW$3)-MONTH($B$46)),'Вводные'!$B$78)=0,(12*(YEAR(BW$3)-YEAR($B$46))+MONTH(BW$3)-MONTH($B$46))&lt;='Вводные'!$B$77*12),BW49*BW56*'Вводные'!$B$78/12,0)),0)</x:f>
      </x:c>
      <x:c r="BX52" s="117" t="n">
        <x:f>IF(AND('Вводные'!$B$75&lt;&gt;"Единовременно",'Вводные'!$B$80="Да",BX49&gt;0),IF(AND('Вводные'!$B$84="Да",YEAR(BX$3)=YEAR($B$47),MONTH(BX$3)=MONTH($B$47)),BX49*BX56/12,IF(AND((12*(YEAR(BX$3)-YEAR($B$46))+MONTH(BX$3)-MONTH($B$46))&gt;0,MOD((12*(YEAR(BX$3)-YEAR($B$46))+MONTH(BX$3)-MONTH($B$46)),'Вводные'!$B$78)=0,(12*(YEAR(BX$3)-YEAR($B$46))+MONTH(BX$3)-MONTH($B$46))&lt;='Вводные'!$B$77*12),BX49*BX56*'Вводные'!$B$78/12,0)),0)</x:f>
      </x:c>
      <x:c r="BY52" s="117" t="n">
        <x:f>IF(AND('Вводные'!$B$75&lt;&gt;"Единовременно",'Вводные'!$B$80="Да",BY49&gt;0),IF(AND('Вводные'!$B$84="Да",YEAR(BY$3)=YEAR($B$47),MONTH(BY$3)=MONTH($B$47)),BY49*BY56/12,IF(AND((12*(YEAR(BY$3)-YEAR($B$46))+MONTH(BY$3)-MONTH($B$46))&gt;0,MOD((12*(YEAR(BY$3)-YEAR($B$46))+MONTH(BY$3)-MONTH($B$46)),'Вводные'!$B$78)=0,(12*(YEAR(BY$3)-YEAR($B$46))+MONTH(BY$3)-MONTH($B$46))&lt;='Вводные'!$B$77*12),BY49*BY56*'Вводные'!$B$78/12,0)),0)</x:f>
      </x:c>
      <x:c r="BZ52" s="117" t="n">
        <x:f>IF(AND('Вводные'!$B$75&lt;&gt;"Единовременно",'Вводные'!$B$80="Да",BZ49&gt;0),IF(AND('Вводные'!$B$84="Да",YEAR(BZ$3)=YEAR($B$47),MONTH(BZ$3)=MONTH($B$47)),BZ49*BZ56/12,IF(AND((12*(YEAR(BZ$3)-YEAR($B$46))+MONTH(BZ$3)-MONTH($B$46))&gt;0,MOD((12*(YEAR(BZ$3)-YEAR($B$46))+MONTH(BZ$3)-MONTH($B$46)),'Вводные'!$B$78)=0,(12*(YEAR(BZ$3)-YEAR($B$46))+MONTH(BZ$3)-MONTH($B$46))&lt;='Вводные'!$B$77*12),BZ49*BZ56*'Вводные'!$B$78/12,0)),0)</x:f>
      </x:c>
      <x:c r="CA52" s="117" t="n">
        <x:f>IF(AND('Вводные'!$B$75&lt;&gt;"Единовременно",'Вводные'!$B$80="Да",CA49&gt;0),IF(AND('Вводные'!$B$84="Да",YEAR(CA$3)=YEAR($B$47),MONTH(CA$3)=MONTH($B$47)),CA49*CA56/12,IF(AND((12*(YEAR(CA$3)-YEAR($B$46))+MONTH(CA$3)-MONTH($B$46))&gt;0,MOD((12*(YEAR(CA$3)-YEAR($B$46))+MONTH(CA$3)-MONTH($B$46)),'Вводные'!$B$78)=0,(12*(YEAR(CA$3)-YEAR($B$46))+MONTH(CA$3)-MONTH($B$46))&lt;='Вводные'!$B$77*12),CA49*CA56*'Вводные'!$B$78/12,0)),0)</x:f>
      </x:c>
      <x:c r="CB52" s="117" t="n">
        <x:f>IF(AND('Вводные'!$B$75&lt;&gt;"Единовременно",'Вводные'!$B$80="Да",CB49&gt;0),IF(AND('Вводные'!$B$84="Да",YEAR(CB$3)=YEAR($B$47),MONTH(CB$3)=MONTH($B$47)),CB49*CB56/12,IF(AND((12*(YEAR(CB$3)-YEAR($B$46))+MONTH(CB$3)-MONTH($B$46))&gt;0,MOD((12*(YEAR(CB$3)-YEAR($B$46))+MONTH(CB$3)-MONTH($B$46)),'Вводные'!$B$78)=0,(12*(YEAR(CB$3)-YEAR($B$46))+MONTH(CB$3)-MONTH($B$46))&lt;='Вводные'!$B$77*12),CB49*CB56*'Вводные'!$B$78/12,0)),0)</x:f>
      </x:c>
      <x:c r="CC52" s="117" t="n">
        <x:f>IF(AND('Вводные'!$B$75&lt;&gt;"Единовременно",'Вводные'!$B$80="Да",CC49&gt;0),IF(AND('Вводные'!$B$84="Да",YEAR(CC$3)=YEAR($B$47),MONTH(CC$3)=MONTH($B$47)),CC49*CC56/12,IF(AND((12*(YEAR(CC$3)-YEAR($B$46))+MONTH(CC$3)-MONTH($B$46))&gt;0,MOD((12*(YEAR(CC$3)-YEAR($B$46))+MONTH(CC$3)-MONTH($B$46)),'Вводные'!$B$78)=0,(12*(YEAR(CC$3)-YEAR($B$46))+MONTH(CC$3)-MONTH($B$46))&lt;='Вводные'!$B$77*12),CC49*CC56*'Вводные'!$B$78/12,0)),0)</x:f>
      </x:c>
      <x:c r="CD52" s="117" t="n">
        <x:f>IF(AND('Вводные'!$B$75&lt;&gt;"Единовременно",'Вводные'!$B$80="Да",CD49&gt;0),IF(AND('Вводные'!$B$84="Да",YEAR(CD$3)=YEAR($B$47),MONTH(CD$3)=MONTH($B$47)),CD49*CD56/12,IF(AND((12*(YEAR(CD$3)-YEAR($B$46))+MONTH(CD$3)-MONTH($B$46))&gt;0,MOD((12*(YEAR(CD$3)-YEAR($B$46))+MONTH(CD$3)-MONTH($B$46)),'Вводные'!$B$78)=0,(12*(YEAR(CD$3)-YEAR($B$46))+MONTH(CD$3)-MONTH($B$46))&lt;='Вводные'!$B$77*12),CD49*CD56*'Вводные'!$B$78/12,0)),0)</x:f>
      </x:c>
      <x:c r="CE52" s="117" t="n">
        <x:f>IF(AND('Вводные'!$B$75&lt;&gt;"Единовременно",'Вводные'!$B$80="Да",CE49&gt;0),IF(AND('Вводные'!$B$84="Да",YEAR(CE$3)=YEAR($B$47),MONTH(CE$3)=MONTH($B$47)),CE49*CE56/12,IF(AND((12*(YEAR(CE$3)-YEAR($B$46))+MONTH(CE$3)-MONTH($B$46))&gt;0,MOD((12*(YEAR(CE$3)-YEAR($B$46))+MONTH(CE$3)-MONTH($B$46)),'Вводные'!$B$78)=0,(12*(YEAR(CE$3)-YEAR($B$46))+MONTH(CE$3)-MONTH($B$46))&lt;='Вводные'!$B$77*12),CE49*CE56*'Вводные'!$B$78/12,0)),0)</x:f>
      </x:c>
      <x:c r="CF52" s="117" t="n">
        <x:f>IF(AND('Вводные'!$B$75&lt;&gt;"Единовременно",'Вводные'!$B$80="Да",CF49&gt;0),IF(AND('Вводные'!$B$84="Да",YEAR(CF$3)=YEAR($B$47),MONTH(CF$3)=MONTH($B$47)),CF49*CF56/12,IF(AND((12*(YEAR(CF$3)-YEAR($B$46))+MONTH(CF$3)-MONTH($B$46))&gt;0,MOD((12*(YEAR(CF$3)-YEAR($B$46))+MONTH(CF$3)-MONTH($B$46)),'Вводные'!$B$78)=0,(12*(YEAR(CF$3)-YEAR($B$46))+MONTH(CF$3)-MONTH($B$46))&lt;='Вводные'!$B$77*12),CF49*CF56*'Вводные'!$B$78/12,0)),0)</x:f>
      </x:c>
      <x:c r="CG52" s="117" t="n">
        <x:f>IF(AND('Вводные'!$B$75&lt;&gt;"Единовременно",'Вводные'!$B$80="Да",CG49&gt;0),IF(AND('Вводные'!$B$84="Да",YEAR(CG$3)=YEAR($B$47),MONTH(CG$3)=MONTH($B$47)),CG49*CG56/12,IF(AND((12*(YEAR(CG$3)-YEAR($B$46))+MONTH(CG$3)-MONTH($B$46))&gt;0,MOD((12*(YEAR(CG$3)-YEAR($B$46))+MONTH(CG$3)-MONTH($B$46)),'Вводные'!$B$78)=0,(12*(YEAR(CG$3)-YEAR($B$46))+MONTH(CG$3)-MONTH($B$46))&lt;='Вводные'!$B$77*12),CG49*CG56*'Вводные'!$B$78/12,0)),0)</x:f>
      </x:c>
      <x:c r="CH52" s="117" t="n">
        <x:f>IF(AND('Вводные'!$B$75&lt;&gt;"Единовременно",'Вводные'!$B$80="Да",CH49&gt;0),IF(AND('Вводные'!$B$84="Да",YEAR(CH$3)=YEAR($B$47),MONTH(CH$3)=MONTH($B$47)),CH49*CH56/12,IF(AND((12*(YEAR(CH$3)-YEAR($B$46))+MONTH(CH$3)-MONTH($B$46))&gt;0,MOD((12*(YEAR(CH$3)-YEAR($B$46))+MONTH(CH$3)-MONTH($B$46)),'Вводные'!$B$78)=0,(12*(YEAR(CH$3)-YEAR($B$46))+MONTH(CH$3)-MONTH($B$46))&lt;='Вводные'!$B$77*12),CH49*CH56*'Вводные'!$B$78/12,0)),0)</x:f>
      </x:c>
      <x:c r="CI52" s="117" t="n">
        <x:f>IF(AND('Вводные'!$B$75&lt;&gt;"Единовременно",'Вводные'!$B$80="Да",CI49&gt;0),IF(AND('Вводные'!$B$84="Да",YEAR(CI$3)=YEAR($B$47),MONTH(CI$3)=MONTH($B$47)),CI49*CI56/12,IF(AND((12*(YEAR(CI$3)-YEAR($B$46))+MONTH(CI$3)-MONTH($B$46))&gt;0,MOD((12*(YEAR(CI$3)-YEAR($B$46))+MONTH(CI$3)-MONTH($B$46)),'Вводные'!$B$78)=0,(12*(YEAR(CI$3)-YEAR($B$46))+MONTH(CI$3)-MONTH($B$46))&lt;='Вводные'!$B$77*12),CI49*CI56*'Вводные'!$B$78/12,0)),0)</x:f>
      </x:c>
      <x:c r="CJ52" s="117" t="n">
        <x:f>IF(AND('Вводные'!$B$75&lt;&gt;"Единовременно",'Вводные'!$B$80="Да",CJ49&gt;0),IF(AND('Вводные'!$B$84="Да",YEAR(CJ$3)=YEAR($B$47),MONTH(CJ$3)=MONTH($B$47)),CJ49*CJ56/12,IF(AND((12*(YEAR(CJ$3)-YEAR($B$46))+MONTH(CJ$3)-MONTH($B$46))&gt;0,MOD((12*(YEAR(CJ$3)-YEAR($B$46))+MONTH(CJ$3)-MONTH($B$46)),'Вводные'!$B$78)=0,(12*(YEAR(CJ$3)-YEAR($B$46))+MONTH(CJ$3)-MONTH($B$46))&lt;='Вводные'!$B$77*12),CJ49*CJ56*'Вводные'!$B$78/12,0)),0)</x:f>
      </x:c>
      <x:c r="CK52" s="117" t="n">
        <x:f>IF(AND('Вводные'!$B$75&lt;&gt;"Единовременно",'Вводные'!$B$80="Да",CK49&gt;0),IF(AND('Вводные'!$B$84="Да",YEAR(CK$3)=YEAR($B$47),MONTH(CK$3)=MONTH($B$47)),CK49*CK56/12,IF(AND((12*(YEAR(CK$3)-YEAR($B$46))+MONTH(CK$3)-MONTH($B$46))&gt;0,MOD((12*(YEAR(CK$3)-YEAR($B$46))+MONTH(CK$3)-MONTH($B$46)),'Вводные'!$B$78)=0,(12*(YEAR(CK$3)-YEAR($B$46))+MONTH(CK$3)-MONTH($B$46))&lt;='Вводные'!$B$77*12),CK49*CK56*'Вводные'!$B$78/12,0)),0)</x:f>
      </x:c>
      <x:c r="CL52" s="117" t="n">
        <x:f>IF(AND('Вводные'!$B$75&lt;&gt;"Единовременно",'Вводные'!$B$80="Да",CL49&gt;0),IF(AND('Вводные'!$B$84="Да",YEAR(CL$3)=YEAR($B$47),MONTH(CL$3)=MONTH($B$47)),CL49*CL56/12,IF(AND((12*(YEAR(CL$3)-YEAR($B$46))+MONTH(CL$3)-MONTH($B$46))&gt;0,MOD((12*(YEAR(CL$3)-YEAR($B$46))+MONTH(CL$3)-MONTH($B$46)),'Вводные'!$B$78)=0,(12*(YEAR(CL$3)-YEAR($B$46))+MONTH(CL$3)-MONTH($B$46))&lt;='Вводные'!$B$77*12),CL49*CL56*'Вводные'!$B$78/12,0)),0)</x:f>
      </x:c>
      <x:c r="CM52" s="117" t="n">
        <x:f>IF(AND('Вводные'!$B$75&lt;&gt;"Единовременно",'Вводные'!$B$80="Да",CM49&gt;0),IF(AND('Вводные'!$B$84="Да",YEAR(CM$3)=YEAR($B$47),MONTH(CM$3)=MONTH($B$47)),CM49*CM56/12,IF(AND((12*(YEAR(CM$3)-YEAR($B$46))+MONTH(CM$3)-MONTH($B$46))&gt;0,MOD((12*(YEAR(CM$3)-YEAR($B$46))+MONTH(CM$3)-MONTH($B$46)),'Вводные'!$B$78)=0,(12*(YEAR(CM$3)-YEAR($B$46))+MONTH(CM$3)-MONTH($B$46))&lt;='Вводные'!$B$77*12),CM49*CM56*'Вводные'!$B$78/12,0)),0)</x:f>
      </x:c>
      <x:c r="CN52" s="117" t="n">
        <x:f>IF(AND('Вводные'!$B$75&lt;&gt;"Единовременно",'Вводные'!$B$80="Да",CN49&gt;0),IF(AND('Вводные'!$B$84="Да",YEAR(CN$3)=YEAR($B$47),MONTH(CN$3)=MONTH($B$47)),CN49*CN56/12,IF(AND((12*(YEAR(CN$3)-YEAR($B$46))+MONTH(CN$3)-MONTH($B$46))&gt;0,MOD((12*(YEAR(CN$3)-YEAR($B$46))+MONTH(CN$3)-MONTH($B$46)),'Вводные'!$B$78)=0,(12*(YEAR(CN$3)-YEAR($B$46))+MONTH(CN$3)-MONTH($B$46))&lt;='Вводные'!$B$77*12),CN49*CN56*'Вводные'!$B$78/12,0)),0)</x:f>
      </x:c>
      <x:c r="CO52" s="117" t="n">
        <x:f>IF(AND('Вводные'!$B$75&lt;&gt;"Единовременно",'Вводные'!$B$80="Да",CO49&gt;0),IF(AND('Вводные'!$B$84="Да",YEAR(CO$3)=YEAR($B$47),MONTH(CO$3)=MONTH($B$47)),CO49*CO56/12,IF(AND((12*(YEAR(CO$3)-YEAR($B$46))+MONTH(CO$3)-MONTH($B$46))&gt;0,MOD((12*(YEAR(CO$3)-YEAR($B$46))+MONTH(CO$3)-MONTH($B$46)),'Вводные'!$B$78)=0,(12*(YEAR(CO$3)-YEAR($B$46))+MONTH(CO$3)-MONTH($B$46))&lt;='Вводные'!$B$77*12),CO49*CO56*'Вводные'!$B$78/12,0)),0)</x:f>
      </x:c>
      <x:c r="CP52" s="117" t="n">
        <x:f>IF(AND('Вводные'!$B$75&lt;&gt;"Единовременно",'Вводные'!$B$80="Да",CP49&gt;0),IF(AND('Вводные'!$B$84="Да",YEAR(CP$3)=YEAR($B$47),MONTH(CP$3)=MONTH($B$47)),CP49*CP56/12,IF(AND((12*(YEAR(CP$3)-YEAR($B$46))+MONTH(CP$3)-MONTH($B$46))&gt;0,MOD((12*(YEAR(CP$3)-YEAR($B$46))+MONTH(CP$3)-MONTH($B$46)),'Вводные'!$B$78)=0,(12*(YEAR(CP$3)-YEAR($B$46))+MONTH(CP$3)-MONTH($B$46))&lt;='Вводные'!$B$77*12),CP49*CP56*'Вводные'!$B$78/12,0)),0)</x:f>
      </x:c>
      <x:c r="CQ52" s="117" t="n">
        <x:f>IF(AND('Вводные'!$B$75&lt;&gt;"Единовременно",'Вводные'!$B$80="Да",CQ49&gt;0),IF(AND('Вводные'!$B$84="Да",YEAR(CQ$3)=YEAR($B$47),MONTH(CQ$3)=MONTH($B$47)),CQ49*CQ56/12,IF(AND((12*(YEAR(CQ$3)-YEAR($B$46))+MONTH(CQ$3)-MONTH($B$46))&gt;0,MOD((12*(YEAR(CQ$3)-YEAR($B$46))+MONTH(CQ$3)-MONTH($B$46)),'Вводные'!$B$78)=0,(12*(YEAR(CQ$3)-YEAR($B$46))+MONTH(CQ$3)-MONTH($B$46))&lt;='Вводные'!$B$77*12),CQ49*CQ56*'Вводные'!$B$78/12,0)),0)</x:f>
      </x:c>
      <x:c r="CR52" s="117" t="n">
        <x:f>IF(AND('Вводные'!$B$75&lt;&gt;"Единовременно",'Вводные'!$B$80="Да",CR49&gt;0),IF(AND('Вводные'!$B$84="Да",YEAR(CR$3)=YEAR($B$47),MONTH(CR$3)=MONTH($B$47)),CR49*CR56/12,IF(AND((12*(YEAR(CR$3)-YEAR($B$46))+MONTH(CR$3)-MONTH($B$46))&gt;0,MOD((12*(YEAR(CR$3)-YEAR($B$46))+MONTH(CR$3)-MONTH($B$46)),'Вводные'!$B$78)=0,(12*(YEAR(CR$3)-YEAR($B$46))+MONTH(CR$3)-MONTH($B$46))&lt;='Вводные'!$B$77*12),CR49*CR56*'Вводные'!$B$78/12,0)),0)</x:f>
      </x:c>
      <x:c r="CS52" s="117" t="n">
        <x:f>IF(AND('Вводные'!$B$75&lt;&gt;"Единовременно",'Вводные'!$B$80="Да",CS49&gt;0),IF(AND('Вводные'!$B$84="Да",YEAR(CS$3)=YEAR($B$47),MONTH(CS$3)=MONTH($B$47)),CS49*CS56/12,IF(AND((12*(YEAR(CS$3)-YEAR($B$46))+MONTH(CS$3)-MONTH($B$46))&gt;0,MOD((12*(YEAR(CS$3)-YEAR($B$46))+MONTH(CS$3)-MONTH($B$46)),'Вводные'!$B$78)=0,(12*(YEAR(CS$3)-YEAR($B$46))+MONTH(CS$3)-MONTH($B$46))&lt;='Вводные'!$B$77*12),CS49*CS56*'Вводные'!$B$78/12,0)),0)</x:f>
      </x:c>
      <x:c r="CT52" s="117" t="n">
        <x:f>IF(AND('Вводные'!$B$75&lt;&gt;"Единовременно",'Вводные'!$B$80="Да",CT49&gt;0),IF(AND('Вводные'!$B$84="Да",YEAR(CT$3)=YEAR($B$47),MONTH(CT$3)=MONTH($B$47)),CT49*CT56/12,IF(AND((12*(YEAR(CT$3)-YEAR($B$46))+MONTH(CT$3)-MONTH($B$46))&gt;0,MOD((12*(YEAR(CT$3)-YEAR($B$46))+MONTH(CT$3)-MONTH($B$46)),'Вводные'!$B$78)=0,(12*(YEAR(CT$3)-YEAR($B$46))+MONTH(CT$3)-MONTH($B$46))&lt;='Вводные'!$B$77*12),CT49*CT56*'Вводные'!$B$78/12,0)),0)</x:f>
      </x:c>
      <x:c r="CU52" s="117" t="n">
        <x:f>IF(AND('Вводные'!$B$75&lt;&gt;"Единовременно",'Вводные'!$B$80="Да",CU49&gt;0),IF(AND('Вводные'!$B$84="Да",YEAR(CU$3)=YEAR($B$47),MONTH(CU$3)=MONTH($B$47)),CU49*CU56/12,IF(AND((12*(YEAR(CU$3)-YEAR($B$46))+MONTH(CU$3)-MONTH($B$46))&gt;0,MOD((12*(YEAR(CU$3)-YEAR($B$46))+MONTH(CU$3)-MONTH($B$46)),'Вводные'!$B$78)=0,(12*(YEAR(CU$3)-YEAR($B$46))+MONTH(CU$3)-MONTH($B$46))&lt;='Вводные'!$B$77*12),CU49*CU56*'Вводные'!$B$78/12,0)),0)</x:f>
      </x:c>
      <x:c r="CV52" s="117" t="n">
        <x:f>IF(AND('Вводные'!$B$75&lt;&gt;"Единовременно",'Вводные'!$B$80="Да",CV49&gt;0),IF(AND('Вводные'!$B$84="Да",YEAR(CV$3)=YEAR($B$47),MONTH(CV$3)=MONTH($B$47)),CV49*CV56/12,IF(AND((12*(YEAR(CV$3)-YEAR($B$46))+MONTH(CV$3)-MONTH($B$46))&gt;0,MOD((12*(YEAR(CV$3)-YEAR($B$46))+MONTH(CV$3)-MONTH($B$46)),'Вводные'!$B$78)=0,(12*(YEAR(CV$3)-YEAR($B$46))+MONTH(CV$3)-MONTH($B$46))&lt;='Вводные'!$B$77*12),CV49*CV56*'Вводные'!$B$78/12,0)),0)</x:f>
      </x:c>
      <x:c r="CW52" s="117" t="n">
        <x:f>IF(AND('Вводные'!$B$75&lt;&gt;"Единовременно",'Вводные'!$B$80="Да",CW49&gt;0),IF(AND('Вводные'!$B$84="Да",YEAR(CW$3)=YEAR($B$47),MONTH(CW$3)=MONTH($B$47)),CW49*CW56/12,IF(AND((12*(YEAR(CW$3)-YEAR($B$46))+MONTH(CW$3)-MONTH($B$46))&gt;0,MOD((12*(YEAR(CW$3)-YEAR($B$46))+MONTH(CW$3)-MONTH($B$46)),'Вводные'!$B$78)=0,(12*(YEAR(CW$3)-YEAR($B$46))+MONTH(CW$3)-MONTH($B$46))&lt;='Вводные'!$B$77*12),CW49*CW56*'Вводные'!$B$78/12,0)),0)</x:f>
      </x:c>
      <x:c r="CX52" s="117" t="n">
        <x:f>IF(AND('Вводные'!$B$75&lt;&gt;"Единовременно",'Вводные'!$B$80="Да",CX49&gt;0),IF(AND('Вводные'!$B$84="Да",YEAR(CX$3)=YEAR($B$47),MONTH(CX$3)=MONTH($B$47)),CX49*CX56/12,IF(AND((12*(YEAR(CX$3)-YEAR($B$46))+MONTH(CX$3)-MONTH($B$46))&gt;0,MOD((12*(YEAR(CX$3)-YEAR($B$46))+MONTH(CX$3)-MONTH($B$46)),'Вводные'!$B$78)=0,(12*(YEAR(CX$3)-YEAR($B$46))+MONTH(CX$3)-MONTH($B$46))&lt;='Вводные'!$B$77*12),CX49*CX56*'Вводные'!$B$78/12,0)),0)</x:f>
      </x:c>
      <x:c r="CY52" s="117" t="n">
        <x:f>IF(AND('Вводные'!$B$75&lt;&gt;"Единовременно",'Вводные'!$B$80="Да",CY49&gt;0),IF(AND('Вводные'!$B$84="Да",YEAR(CY$3)=YEAR($B$47),MONTH(CY$3)=MONTH($B$47)),CY49*CY56/12,IF(AND((12*(YEAR(CY$3)-YEAR($B$46))+MONTH(CY$3)-MONTH($B$46))&gt;0,MOD((12*(YEAR(CY$3)-YEAR($B$46))+MONTH(CY$3)-MONTH($B$46)),'Вводные'!$B$78)=0,(12*(YEAR(CY$3)-YEAR($B$46))+MONTH(CY$3)-MONTH($B$46))&lt;='Вводные'!$B$77*12),CY49*CY56*'Вводные'!$B$78/12,0)),0)</x:f>
      </x:c>
      <x:c r="CZ52" s="117" t="n">
        <x:f>IF(AND('Вводные'!$B$75&lt;&gt;"Единовременно",'Вводные'!$B$80="Да",CZ49&gt;0),IF(AND('Вводные'!$B$84="Да",YEAR(CZ$3)=YEAR($B$47),MONTH(CZ$3)=MONTH($B$47)),CZ49*CZ56/12,IF(AND((12*(YEAR(CZ$3)-YEAR($B$46))+MONTH(CZ$3)-MONTH($B$46))&gt;0,MOD((12*(YEAR(CZ$3)-YEAR($B$46))+MONTH(CZ$3)-MONTH($B$46)),'Вводные'!$B$78)=0,(12*(YEAR(CZ$3)-YEAR($B$46))+MONTH(CZ$3)-MONTH($B$46))&lt;='Вводные'!$B$77*12),CZ49*CZ56*'Вводные'!$B$78/12,0)),0)</x:f>
      </x:c>
      <x:c r="DA52" s="117" t="n">
        <x:f>IF(AND('Вводные'!$B$75&lt;&gt;"Единовременно",'Вводные'!$B$80="Да",DA49&gt;0),IF(AND('Вводные'!$B$84="Да",YEAR(DA$3)=YEAR($B$47),MONTH(DA$3)=MONTH($B$47)),DA49*DA56/12,IF(AND((12*(YEAR(DA$3)-YEAR($B$46))+MONTH(DA$3)-MONTH($B$46))&gt;0,MOD((12*(YEAR(DA$3)-YEAR($B$46))+MONTH(DA$3)-MONTH($B$46)),'Вводные'!$B$78)=0,(12*(YEAR(DA$3)-YEAR($B$46))+MONTH(DA$3)-MONTH($B$46))&lt;='Вводные'!$B$77*12),DA49*DA56*'Вводные'!$B$78/12,0)),0)</x:f>
      </x:c>
      <x:c r="DB52" s="117" t="n">
        <x:f>IF(AND('Вводные'!$B$75&lt;&gt;"Единовременно",'Вводные'!$B$80="Да",DB49&gt;0),IF(AND('Вводные'!$B$84="Да",YEAR(DB$3)=YEAR($B$47),MONTH(DB$3)=MONTH($B$47)),DB49*DB56/12,IF(AND((12*(YEAR(DB$3)-YEAR($B$46))+MONTH(DB$3)-MONTH($B$46))&gt;0,MOD((12*(YEAR(DB$3)-YEAR($B$46))+MONTH(DB$3)-MONTH($B$46)),'Вводные'!$B$78)=0,(12*(YEAR(DB$3)-YEAR($B$46))+MONTH(DB$3)-MONTH($B$46))&lt;='Вводные'!$B$77*12),DB49*DB56*'Вводные'!$B$78/12,0)),0)</x:f>
      </x:c>
      <x:c r="DC52" s="117" t="n">
        <x:f>IF(AND('Вводные'!$B$75&lt;&gt;"Единовременно",'Вводные'!$B$80="Да",DC49&gt;0),IF(AND('Вводные'!$B$84="Да",YEAR(DC$3)=YEAR($B$47),MONTH(DC$3)=MONTH($B$47)),DC49*DC56/12,IF(AND((12*(YEAR(DC$3)-YEAR($B$46))+MONTH(DC$3)-MONTH($B$46))&gt;0,MOD((12*(YEAR(DC$3)-YEAR($B$46))+MONTH(DC$3)-MONTH($B$46)),'Вводные'!$B$78)=0,(12*(YEAR(DC$3)-YEAR($B$46))+MONTH(DC$3)-MONTH($B$46))&lt;='Вводные'!$B$77*12),DC49*DC56*'Вводные'!$B$78/12,0)),0)</x:f>
      </x:c>
      <x:c r="DD52" s="117" t="n">
        <x:f>IF(AND('Вводные'!$B$75&lt;&gt;"Единовременно",'Вводные'!$B$80="Да",DD49&gt;0),IF(AND('Вводные'!$B$84="Да",YEAR(DD$3)=YEAR($B$47),MONTH(DD$3)=MONTH($B$47)),DD49*DD56/12,IF(AND((12*(YEAR(DD$3)-YEAR($B$46))+MONTH(DD$3)-MONTH($B$46))&gt;0,MOD((12*(YEAR(DD$3)-YEAR($B$46))+MONTH(DD$3)-MONTH($B$46)),'Вводные'!$B$78)=0,(12*(YEAR(DD$3)-YEAR($B$46))+MONTH(DD$3)-MONTH($B$46))&lt;='Вводные'!$B$77*12),DD49*DD56*'Вводные'!$B$78/12,0)),0)</x:f>
      </x:c>
      <x:c r="DE52" s="117" t="n">
        <x:f>IF(AND('Вводные'!$B$75&lt;&gt;"Единовременно",'Вводные'!$B$80="Да",DE49&gt;0),IF(AND('Вводные'!$B$84="Да",YEAR(DE$3)=YEAR($B$47),MONTH(DE$3)=MONTH($B$47)),DE49*DE56/12,IF(AND((12*(YEAR(DE$3)-YEAR($B$46))+MONTH(DE$3)-MONTH($B$46))&gt;0,MOD((12*(YEAR(DE$3)-YEAR($B$46))+MONTH(DE$3)-MONTH($B$46)),'Вводные'!$B$78)=0,(12*(YEAR(DE$3)-YEAR($B$46))+MONTH(DE$3)-MONTH($B$46))&lt;='Вводные'!$B$77*12),DE49*DE56*'Вводные'!$B$78/12,0)),0)</x:f>
      </x:c>
      <x:c r="DF52" s="117" t="n">
        <x:f>IF(AND('Вводные'!$B$75&lt;&gt;"Единовременно",'Вводные'!$B$80="Да",DF49&gt;0),IF(AND('Вводные'!$B$84="Да",YEAR(DF$3)=YEAR($B$47),MONTH(DF$3)=MONTH($B$47)),DF49*DF56/12,IF(AND((12*(YEAR(DF$3)-YEAR($B$46))+MONTH(DF$3)-MONTH($B$46))&gt;0,MOD((12*(YEAR(DF$3)-YEAR($B$46))+MONTH(DF$3)-MONTH($B$46)),'Вводные'!$B$78)=0,(12*(YEAR(DF$3)-YEAR($B$46))+MONTH(DF$3)-MONTH($B$46))&lt;='Вводные'!$B$77*12),DF49*DF56*'Вводные'!$B$78/12,0)),0)</x:f>
      </x:c>
      <x:c r="DG52" s="117" t="n">
        <x:f>IF(AND('Вводные'!$B$75&lt;&gt;"Единовременно",'Вводные'!$B$80="Да",DG49&gt;0),IF(AND('Вводные'!$B$84="Да",YEAR(DG$3)=YEAR($B$47),MONTH(DG$3)=MONTH($B$47)),DG49*DG56/12,IF(AND((12*(YEAR(DG$3)-YEAR($B$46))+MONTH(DG$3)-MONTH($B$46))&gt;0,MOD((12*(YEAR(DG$3)-YEAR($B$46))+MONTH(DG$3)-MONTH($B$46)),'Вводные'!$B$78)=0,(12*(YEAR(DG$3)-YEAR($B$46))+MONTH(DG$3)-MONTH($B$46))&lt;='Вводные'!$B$77*12),DG49*DG56*'Вводные'!$B$78/12,0)),0)</x:f>
      </x:c>
      <x:c r="DH52" s="117" t="n">
        <x:f>IF(AND('Вводные'!$B$75&lt;&gt;"Единовременно",'Вводные'!$B$80="Да",DH49&gt;0),IF(AND('Вводные'!$B$84="Да",YEAR(DH$3)=YEAR($B$47),MONTH(DH$3)=MONTH($B$47)),DH49*DH56/12,IF(AND((12*(YEAR(DH$3)-YEAR($B$46))+MONTH(DH$3)-MONTH($B$46))&gt;0,MOD((12*(YEAR(DH$3)-YEAR($B$46))+MONTH(DH$3)-MONTH($B$46)),'Вводные'!$B$78)=0,(12*(YEAR(DH$3)-YEAR($B$46))+MONTH(DH$3)-MONTH($B$46))&lt;='Вводные'!$B$77*12),DH49*DH56*'Вводные'!$B$78/12,0)),0)</x:f>
      </x:c>
      <x:c r="DI52" s="117" t="n">
        <x:f>IF(AND('Вводные'!$B$75&lt;&gt;"Единовременно",'Вводные'!$B$80="Да",DI49&gt;0),IF(AND('Вводные'!$B$84="Да",YEAR(DI$3)=YEAR($B$47),MONTH(DI$3)=MONTH($B$47)),DI49*DI56/12,IF(AND((12*(YEAR(DI$3)-YEAR($B$46))+MONTH(DI$3)-MONTH($B$46))&gt;0,MOD((12*(YEAR(DI$3)-YEAR($B$46))+MONTH(DI$3)-MONTH($B$46)),'Вводные'!$B$78)=0,(12*(YEAR(DI$3)-YEAR($B$46))+MONTH(DI$3)-MONTH($B$46))&lt;='Вводные'!$B$77*12),DI49*DI56*'Вводные'!$B$78/12,0)),0)</x:f>
      </x:c>
      <x:c r="DJ52" s="117" t="n">
        <x:f>IF(AND('Вводные'!$B$75&lt;&gt;"Единовременно",'Вводные'!$B$80="Да",DJ49&gt;0),IF(AND('Вводные'!$B$84="Да",YEAR(DJ$3)=YEAR($B$47),MONTH(DJ$3)=MONTH($B$47)),DJ49*DJ56/12,IF(AND((12*(YEAR(DJ$3)-YEAR($B$46))+MONTH(DJ$3)-MONTH($B$46))&gt;0,MOD((12*(YEAR(DJ$3)-YEAR($B$46))+MONTH(DJ$3)-MONTH($B$46)),'Вводные'!$B$78)=0,(12*(YEAR(DJ$3)-YEAR($B$46))+MONTH(DJ$3)-MONTH($B$46))&lt;='Вводные'!$B$77*12),DJ49*DJ56*'Вводные'!$B$78/12,0)),0)</x:f>
      </x:c>
      <x:c r="DK52" s="117" t="n">
        <x:f>IF(AND('Вводные'!$B$75&lt;&gt;"Единовременно",'Вводные'!$B$80="Да",DK49&gt;0),IF(AND('Вводные'!$B$84="Да",YEAR(DK$3)=YEAR($B$47),MONTH(DK$3)=MONTH($B$47)),DK49*DK56/12,IF(AND((12*(YEAR(DK$3)-YEAR($B$46))+MONTH(DK$3)-MONTH($B$46))&gt;0,MOD((12*(YEAR(DK$3)-YEAR($B$46))+MONTH(DK$3)-MONTH($B$46)),'Вводные'!$B$78)=0,(12*(YEAR(DK$3)-YEAR($B$46))+MONTH(DK$3)-MONTH($B$46))&lt;='Вводные'!$B$77*12),DK49*DK56*'Вводные'!$B$78/12,0)),0)</x:f>
      </x:c>
      <x:c r="DL52" s="117" t="n">
        <x:f>IF(AND('Вводные'!$B$75&lt;&gt;"Единовременно",'Вводные'!$B$80="Да",DL49&gt;0),IF(AND('Вводные'!$B$84="Да",YEAR(DL$3)=YEAR($B$47),MONTH(DL$3)=MONTH($B$47)),DL49*DL56/12,IF(AND((12*(YEAR(DL$3)-YEAR($B$46))+MONTH(DL$3)-MONTH($B$46))&gt;0,MOD((12*(YEAR(DL$3)-YEAR($B$46))+MONTH(DL$3)-MONTH($B$46)),'Вводные'!$B$78)=0,(12*(YEAR(DL$3)-YEAR($B$46))+MONTH(DL$3)-MONTH($B$46))&lt;='Вводные'!$B$77*12),DL49*DL56*'Вводные'!$B$78/12,0)),0)</x:f>
      </x:c>
      <x:c r="DM52" s="117" t="n">
        <x:f>IF(AND('Вводные'!$B$75&lt;&gt;"Единовременно",'Вводные'!$B$80="Да",DM49&gt;0),IF(AND('Вводные'!$B$84="Да",YEAR(DM$3)=YEAR($B$47),MONTH(DM$3)=MONTH($B$47)),DM49*DM56/12,IF(AND((12*(YEAR(DM$3)-YEAR($B$46))+MONTH(DM$3)-MONTH($B$46))&gt;0,MOD((12*(YEAR(DM$3)-YEAR($B$46))+MONTH(DM$3)-MONTH($B$46)),'Вводные'!$B$78)=0,(12*(YEAR(DM$3)-YEAR($B$46))+MONTH(DM$3)-MONTH($B$46))&lt;='Вводные'!$B$77*12),DM49*DM56*'Вводные'!$B$78/12,0)),0)</x:f>
      </x:c>
      <x:c r="DN52" s="117" t="n">
        <x:f>IF(AND('Вводные'!$B$75&lt;&gt;"Единовременно",'Вводные'!$B$80="Да",DN49&gt;0),IF(AND('Вводные'!$B$84="Да",YEAR(DN$3)=YEAR($B$47),MONTH(DN$3)=MONTH($B$47)),DN49*DN56/12,IF(AND((12*(YEAR(DN$3)-YEAR($B$46))+MONTH(DN$3)-MONTH($B$46))&gt;0,MOD((12*(YEAR(DN$3)-YEAR($B$46))+MONTH(DN$3)-MONTH($B$46)),'Вводные'!$B$78)=0,(12*(YEAR(DN$3)-YEAR($B$46))+MONTH(DN$3)-MONTH($B$46))&lt;='Вводные'!$B$77*12),DN49*DN56*'Вводные'!$B$78/12,0)),0)</x:f>
      </x:c>
      <x:c r="DO52" s="117" t="n">
        <x:f>IF(AND('Вводные'!$B$75&lt;&gt;"Единовременно",'Вводные'!$B$80="Да",DO49&gt;0),IF(AND('Вводные'!$B$84="Да",YEAR(DO$3)=YEAR($B$47),MONTH(DO$3)=MONTH($B$47)),DO49*DO56/12,IF(AND((12*(YEAR(DO$3)-YEAR($B$46))+MONTH(DO$3)-MONTH($B$46))&gt;0,MOD((12*(YEAR(DO$3)-YEAR($B$46))+MONTH(DO$3)-MONTH($B$46)),'Вводные'!$B$78)=0,(12*(YEAR(DO$3)-YEAR($B$46))+MONTH(DO$3)-MONTH($B$46))&lt;='Вводные'!$B$77*12),DO49*DO56*'Вводные'!$B$78/12,0)),0)</x:f>
      </x:c>
      <x:c r="DP52" s="117" t="n">
        <x:f>IF(AND('Вводные'!$B$75&lt;&gt;"Единовременно",'Вводные'!$B$80="Да",DP49&gt;0),IF(AND('Вводные'!$B$84="Да",YEAR(DP$3)=YEAR($B$47),MONTH(DP$3)=MONTH($B$47)),DP49*DP56/12,IF(AND((12*(YEAR(DP$3)-YEAR($B$46))+MONTH(DP$3)-MONTH($B$46))&gt;0,MOD((12*(YEAR(DP$3)-YEAR($B$46))+MONTH(DP$3)-MONTH($B$46)),'Вводные'!$B$78)=0,(12*(YEAR(DP$3)-YEAR($B$46))+MONTH(DP$3)-MONTH($B$46))&lt;='Вводные'!$B$77*12),DP49*DP56*'Вводные'!$B$78/12,0)),0)</x:f>
      </x:c>
      <x:c r="DQ52" s="117" t="n">
        <x:f>IF(AND('Вводные'!$B$75&lt;&gt;"Единовременно",'Вводные'!$B$80="Да",DQ49&gt;0),IF(AND('Вводные'!$B$84="Да",YEAR(DQ$3)=YEAR($B$47),MONTH(DQ$3)=MONTH($B$47)),DQ49*DQ56/12,IF(AND((12*(YEAR(DQ$3)-YEAR($B$46))+MONTH(DQ$3)-MONTH($B$46))&gt;0,MOD((12*(YEAR(DQ$3)-YEAR($B$46))+MONTH(DQ$3)-MONTH($B$46)),'Вводные'!$B$78)=0,(12*(YEAR(DQ$3)-YEAR($B$46))+MONTH(DQ$3)-MONTH($B$46))&lt;='Вводные'!$B$77*12),DQ49*DQ56*'Вводные'!$B$78/12,0)),0)</x:f>
      </x:c>
      <x:c r="DR52" s="117" t="n">
        <x:f>IF(AND('Вводные'!$B$75&lt;&gt;"Единовременно",'Вводные'!$B$80="Да",DR49&gt;0),IF(AND('Вводные'!$B$84="Да",YEAR(DR$3)=YEAR($B$47),MONTH(DR$3)=MONTH($B$47)),DR49*DR56/12,IF(AND((12*(YEAR(DR$3)-YEAR($B$46))+MONTH(DR$3)-MONTH($B$46))&gt;0,MOD((12*(YEAR(DR$3)-YEAR($B$46))+MONTH(DR$3)-MONTH($B$46)),'Вводные'!$B$78)=0,(12*(YEAR(DR$3)-YEAR($B$46))+MONTH(DR$3)-MONTH($B$46))&lt;='Вводные'!$B$77*12),DR49*DR56*'Вводные'!$B$78/12,0)),0)</x:f>
      </x:c>
      <x:c r="DS52" s="117" t="n">
        <x:f>IF(AND('Вводные'!$B$75&lt;&gt;"Единовременно",'Вводные'!$B$80="Да",DS49&gt;0),IF(AND('Вводные'!$B$84="Да",YEAR(DS$3)=YEAR($B$47),MONTH(DS$3)=MONTH($B$47)),DS49*DS56/12,IF(AND((12*(YEAR(DS$3)-YEAR($B$46))+MONTH(DS$3)-MONTH($B$46))&gt;0,MOD((12*(YEAR(DS$3)-YEAR($B$46))+MONTH(DS$3)-MONTH($B$46)),'Вводные'!$B$78)=0,(12*(YEAR(DS$3)-YEAR($B$46))+MONTH(DS$3)-MONTH($B$46))&lt;='Вводные'!$B$77*12),DS49*DS56*'Вводные'!$B$78/12,0)),0)</x:f>
      </x:c>
    </x:row>
    <x:row r="53">
      <x:c r="A53" t="str">
        <x:v>Расходы на обеспечение</x:v>
      </x:c>
      <x:c r="B53" s="107" t="n">
        <x:f>SUM(D53:DS53)</x:f>
      </x:c>
      <x:c r="C53" t="str">
        <x:v>млн ₽</x:v>
      </x:c>
      <x:c r="D53" s="117" t="n">
        <x:f>IF(D50&gt;0,'Вводные'!$B$83*'Вводные'!$Q$91,0)</x:f>
      </x:c>
      <x:c r="E53" s="117" t="n">
        <x:f>IF(E50&gt;0,'Вводные'!$B$83*'Вводные'!$Q$91,0)</x:f>
      </x:c>
      <x:c r="F53" s="117" t="n">
        <x:f>IF(F50&gt;0,'Вводные'!$B$83*'Вводные'!$Q$91,0)</x:f>
      </x:c>
      <x:c r="G53" s="117" t="n">
        <x:f>IF(G50&gt;0,'Вводные'!$B$83*'Вводные'!$Q$91,0)</x:f>
      </x:c>
      <x:c r="H53" s="117" t="n">
        <x:f>IF(H50&gt;0,'Вводные'!$B$83*'Вводные'!$Q$91,0)</x:f>
      </x:c>
      <x:c r="I53" s="117" t="n">
        <x:f>IF(I50&gt;0,'Вводные'!$B$83*'Вводные'!$Q$91,0)</x:f>
      </x:c>
      <x:c r="J53" s="117" t="n">
        <x:f>IF(J50&gt;0,'Вводные'!$B$83*'Вводные'!$Q$91,0)</x:f>
      </x:c>
      <x:c r="K53" s="117" t="n">
        <x:f>IF(K50&gt;0,'Вводные'!$B$83*'Вводные'!$Q$91,0)</x:f>
      </x:c>
      <x:c r="L53" s="117" t="n">
        <x:f>IF(L50&gt;0,'Вводные'!$B$83*'Вводные'!$Q$91,0)</x:f>
      </x:c>
      <x:c r="M53" s="117" t="n">
        <x:f>IF(M50&gt;0,'Вводные'!$B$83*'Вводные'!$Q$91,0)</x:f>
      </x:c>
      <x:c r="N53" s="117" t="n">
        <x:f>IF(N50&gt;0,'Вводные'!$B$83*'Вводные'!$Q$91,0)</x:f>
      </x:c>
      <x:c r="O53" s="117" t="n">
        <x:f>IF(O50&gt;0,'Вводные'!$B$83*'Вводные'!$Q$91,0)</x:f>
      </x:c>
      <x:c r="P53" s="117" t="n">
        <x:f>IF(P50&gt;0,'Вводные'!$B$83*'Вводные'!$Q$91,0)</x:f>
      </x:c>
      <x:c r="Q53" s="117" t="n">
        <x:f>IF(Q50&gt;0,'Вводные'!$B$83*'Вводные'!$Q$91,0)</x:f>
      </x:c>
      <x:c r="R53" s="117" t="n">
        <x:f>IF(R50&gt;0,'Вводные'!$B$83*'Вводные'!$Q$91,0)</x:f>
      </x:c>
      <x:c r="S53" s="117" t="n">
        <x:f>IF(S50&gt;0,'Вводные'!$B$83*'Вводные'!$Q$91,0)</x:f>
      </x:c>
      <x:c r="T53" s="117" t="n">
        <x:f>IF(T50&gt;0,'Вводные'!$B$83*'Вводные'!$Q$91,0)</x:f>
      </x:c>
      <x:c r="U53" s="117" t="n">
        <x:f>IF(U50&gt;0,'Вводные'!$B$83*'Вводные'!$Q$91,0)</x:f>
      </x:c>
      <x:c r="V53" s="117" t="n">
        <x:f>IF(V50&gt;0,'Вводные'!$B$83*'Вводные'!$Q$91,0)</x:f>
      </x:c>
      <x:c r="W53" s="117" t="n">
        <x:f>IF(W50&gt;0,'Вводные'!$B$83*'Вводные'!$Q$91,0)</x:f>
      </x:c>
      <x:c r="X53" s="117" t="n">
        <x:f>IF(X50&gt;0,'Вводные'!$B$83*'Вводные'!$Q$91,0)</x:f>
      </x:c>
      <x:c r="Y53" s="117" t="n">
        <x:f>IF(Y50&gt;0,'Вводные'!$B$83*'Вводные'!$Q$91,0)</x:f>
      </x:c>
      <x:c r="Z53" s="117" t="n">
        <x:f>IF(Z50&gt;0,'Вводные'!$B$83*'Вводные'!$Q$91,0)</x:f>
      </x:c>
      <x:c r="AA53" s="117" t="n">
        <x:f>IF(AA50&gt;0,'Вводные'!$B$83*'Вводные'!$Q$91,0)</x:f>
      </x:c>
      <x:c r="AB53" s="117" t="n">
        <x:f>IF(AB50&gt;0,'Вводные'!$B$83*'Вводные'!$Q$91,0)</x:f>
      </x:c>
      <x:c r="AC53" s="117" t="n">
        <x:f>IF(AC50&gt;0,'Вводные'!$B$83*'Вводные'!$Q$91,0)</x:f>
      </x:c>
      <x:c r="AD53" s="117" t="n">
        <x:f>IF(AD50&gt;0,'Вводные'!$B$83*'Вводные'!$Q$91,0)</x:f>
      </x:c>
      <x:c r="AE53" s="117" t="n">
        <x:f>IF(AE50&gt;0,'Вводные'!$B$83*'Вводные'!$Q$91,0)</x:f>
      </x:c>
      <x:c r="AF53" s="117" t="n">
        <x:f>IF(AF50&gt;0,'Вводные'!$B$83*'Вводные'!$Q$91,0)</x:f>
      </x:c>
      <x:c r="AG53" s="117" t="n">
        <x:f>IF(AG50&gt;0,'Вводные'!$B$83*'Вводные'!$Q$91,0)</x:f>
      </x:c>
      <x:c r="AH53" s="117" t="n">
        <x:f>IF(AH50&gt;0,'Вводные'!$B$83*'Вводные'!$Q$91,0)</x:f>
      </x:c>
      <x:c r="AI53" s="117" t="n">
        <x:f>IF(AI50&gt;0,'Вводные'!$B$83*'Вводные'!$Q$91,0)</x:f>
      </x:c>
      <x:c r="AJ53" s="117" t="n">
        <x:f>IF(AJ50&gt;0,'Вводные'!$B$83*'Вводные'!$Q$91,0)</x:f>
      </x:c>
      <x:c r="AK53" s="117" t="n">
        <x:f>IF(AK50&gt;0,'Вводные'!$B$83*'Вводные'!$Q$91,0)</x:f>
      </x:c>
      <x:c r="AL53" s="117" t="n">
        <x:f>IF(AL50&gt;0,'Вводные'!$B$83*'Вводные'!$Q$91,0)</x:f>
      </x:c>
      <x:c r="AM53" s="117" t="n">
        <x:f>IF(AM50&gt;0,'Вводные'!$B$83*'Вводные'!$Q$91,0)</x:f>
      </x:c>
      <x:c r="AN53" s="117" t="n">
        <x:f>IF(AN50&gt;0,'Вводные'!$B$83*'Вводные'!$Q$91,0)</x:f>
      </x:c>
      <x:c r="AO53" s="117" t="n">
        <x:f>IF(AO50&gt;0,'Вводные'!$B$83*'Вводные'!$Q$91,0)</x:f>
      </x:c>
      <x:c r="AP53" s="117" t="n">
        <x:f>IF(AP50&gt;0,'Вводные'!$B$83*'Вводные'!$Q$91,0)</x:f>
      </x:c>
      <x:c r="AQ53" s="117" t="n">
        <x:f>IF(AQ50&gt;0,'Вводные'!$B$83*'Вводные'!$Q$91,0)</x:f>
      </x:c>
      <x:c r="AR53" s="117" t="n">
        <x:f>IF(AR50&gt;0,'Вводные'!$B$83*'Вводные'!$Q$91,0)</x:f>
      </x:c>
      <x:c r="AS53" s="117" t="n">
        <x:f>IF(AS50&gt;0,'Вводные'!$B$83*'Вводные'!$Q$91,0)</x:f>
      </x:c>
      <x:c r="AT53" s="117" t="n">
        <x:f>IF(AT50&gt;0,'Вводные'!$B$83*'Вводные'!$Q$91,0)</x:f>
      </x:c>
      <x:c r="AU53" s="117" t="n">
        <x:f>IF(AU50&gt;0,'Вводные'!$B$83*'Вводные'!$Q$91,0)</x:f>
      </x:c>
      <x:c r="AV53" s="117" t="n">
        <x:f>IF(AV50&gt;0,'Вводные'!$B$83*'Вводные'!$Q$91,0)</x:f>
      </x:c>
      <x:c r="AW53" s="117" t="n">
        <x:f>IF(AW50&gt;0,'Вводные'!$B$83*'Вводные'!$Q$91,0)</x:f>
      </x:c>
      <x:c r="AX53" s="117" t="n">
        <x:f>IF(AX50&gt;0,'Вводные'!$B$83*'Вводные'!$Q$91,0)</x:f>
      </x:c>
      <x:c r="AY53" s="117" t="n">
        <x:f>IF(AY50&gt;0,'Вводные'!$B$83*'Вводные'!$Q$91,0)</x:f>
      </x:c>
      <x:c r="AZ53" s="117" t="n">
        <x:f>IF(AZ50&gt;0,'Вводные'!$B$83*'Вводные'!$Q$91,0)</x:f>
      </x:c>
      <x:c r="BA53" s="117" t="n">
        <x:f>IF(BA50&gt;0,'Вводные'!$B$83*'Вводные'!$Q$91,0)</x:f>
      </x:c>
      <x:c r="BB53" s="117" t="n">
        <x:f>IF(BB50&gt;0,'Вводные'!$B$83*'Вводные'!$Q$91,0)</x:f>
      </x:c>
      <x:c r="BC53" s="117" t="n">
        <x:f>IF(BC50&gt;0,'Вводные'!$B$83*'Вводные'!$Q$91,0)</x:f>
      </x:c>
      <x:c r="BD53" s="117" t="n">
        <x:f>IF(BD50&gt;0,'Вводные'!$B$83*'Вводные'!$Q$91,0)</x:f>
      </x:c>
      <x:c r="BE53" s="117" t="n">
        <x:f>IF(BE50&gt;0,'Вводные'!$B$83*'Вводные'!$Q$91,0)</x:f>
      </x:c>
      <x:c r="BF53" s="117" t="n">
        <x:f>IF(BF50&gt;0,'Вводные'!$B$83*'Вводные'!$Q$91,0)</x:f>
      </x:c>
      <x:c r="BG53" s="117" t="n">
        <x:f>IF(BG50&gt;0,'Вводные'!$B$83*'Вводные'!$Q$91,0)</x:f>
      </x:c>
      <x:c r="BH53" s="117" t="n">
        <x:f>IF(BH50&gt;0,'Вводные'!$B$83*'Вводные'!$Q$91,0)</x:f>
      </x:c>
      <x:c r="BI53" s="117" t="n">
        <x:f>IF(BI50&gt;0,'Вводные'!$B$83*'Вводные'!$Q$91,0)</x:f>
      </x:c>
      <x:c r="BJ53" s="117" t="n">
        <x:f>IF(BJ50&gt;0,'Вводные'!$B$83*'Вводные'!$Q$91,0)</x:f>
      </x:c>
      <x:c r="BK53" s="117" t="n">
        <x:f>IF(BK50&gt;0,'Вводные'!$B$83*'Вводные'!$Q$91,0)</x:f>
      </x:c>
      <x:c r="BL53" s="117" t="n">
        <x:f>IF(BL50&gt;0,'Вводные'!$B$83*'Вводные'!$Q$91,0)</x:f>
      </x:c>
      <x:c r="BM53" s="117" t="n">
        <x:f>IF(BM50&gt;0,'Вводные'!$B$83*'Вводные'!$Q$91,0)</x:f>
      </x:c>
      <x:c r="BN53" s="117" t="n">
        <x:f>IF(BN50&gt;0,'Вводные'!$B$83*'Вводные'!$Q$91,0)</x:f>
      </x:c>
      <x:c r="BO53" s="117" t="n">
        <x:f>IF(BO50&gt;0,'Вводные'!$B$83*'Вводные'!$Q$91,0)</x:f>
      </x:c>
      <x:c r="BP53" s="117" t="n">
        <x:f>IF(BP50&gt;0,'Вводные'!$B$83*'Вводные'!$Q$91,0)</x:f>
      </x:c>
      <x:c r="BQ53" s="117" t="n">
        <x:f>IF(BQ50&gt;0,'Вводные'!$B$83*'Вводные'!$Q$91,0)</x:f>
      </x:c>
      <x:c r="BR53" s="117" t="n">
        <x:f>IF(BR50&gt;0,'Вводные'!$B$83*'Вводные'!$Q$91,0)</x:f>
      </x:c>
      <x:c r="BS53" s="117" t="n">
        <x:f>IF(BS50&gt;0,'Вводные'!$B$83*'Вводные'!$Q$91,0)</x:f>
      </x:c>
      <x:c r="BT53" s="117" t="n">
        <x:f>IF(BT50&gt;0,'Вводные'!$B$83*'Вводные'!$Q$91,0)</x:f>
      </x:c>
      <x:c r="BU53" s="117" t="n">
        <x:f>IF(BU50&gt;0,'Вводные'!$B$83*'Вводные'!$Q$91,0)</x:f>
      </x:c>
      <x:c r="BV53" s="117" t="n">
        <x:f>IF(BV50&gt;0,'Вводные'!$B$83*'Вводные'!$Q$91,0)</x:f>
      </x:c>
      <x:c r="BW53" s="117" t="n">
        <x:f>IF(BW50&gt;0,'Вводные'!$B$83*'Вводные'!$Q$91,0)</x:f>
      </x:c>
      <x:c r="BX53" s="117" t="n">
        <x:f>IF(BX50&gt;0,'Вводные'!$B$83*'Вводные'!$Q$91,0)</x:f>
      </x:c>
      <x:c r="BY53" s="117" t="n">
        <x:f>IF(BY50&gt;0,'Вводные'!$B$83*'Вводные'!$Q$91,0)</x:f>
      </x:c>
      <x:c r="BZ53" s="117" t="n">
        <x:f>IF(BZ50&gt;0,'Вводные'!$B$83*'Вводные'!$Q$91,0)</x:f>
      </x:c>
      <x:c r="CA53" s="117" t="n">
        <x:f>IF(CA50&gt;0,'Вводные'!$B$83*'Вводные'!$Q$91,0)</x:f>
      </x:c>
      <x:c r="CB53" s="117" t="n">
        <x:f>IF(CB50&gt;0,'Вводные'!$B$83*'Вводные'!$Q$91,0)</x:f>
      </x:c>
      <x:c r="CC53" s="117" t="n">
        <x:f>IF(CC50&gt;0,'Вводные'!$B$83*'Вводные'!$Q$91,0)</x:f>
      </x:c>
      <x:c r="CD53" s="117" t="n">
        <x:f>IF(CD50&gt;0,'Вводные'!$B$83*'Вводные'!$Q$91,0)</x:f>
      </x:c>
      <x:c r="CE53" s="117" t="n">
        <x:f>IF(CE50&gt;0,'Вводные'!$B$83*'Вводные'!$Q$91,0)</x:f>
      </x:c>
      <x:c r="CF53" s="117" t="n">
        <x:f>IF(CF50&gt;0,'Вводные'!$B$83*'Вводные'!$Q$91,0)</x:f>
      </x:c>
      <x:c r="CG53" s="117" t="n">
        <x:f>IF(CG50&gt;0,'Вводные'!$B$83*'Вводные'!$Q$91,0)</x:f>
      </x:c>
      <x:c r="CH53" s="117" t="n">
        <x:f>IF(CH50&gt;0,'Вводные'!$B$83*'Вводные'!$Q$91,0)</x:f>
      </x:c>
      <x:c r="CI53" s="117" t="n">
        <x:f>IF(CI50&gt;0,'Вводные'!$B$83*'Вводные'!$Q$91,0)</x:f>
      </x:c>
      <x:c r="CJ53" s="117" t="n">
        <x:f>IF(CJ50&gt;0,'Вводные'!$B$83*'Вводные'!$Q$91,0)</x:f>
      </x:c>
      <x:c r="CK53" s="117" t="n">
        <x:f>IF(CK50&gt;0,'Вводные'!$B$83*'Вводные'!$Q$91,0)</x:f>
      </x:c>
      <x:c r="CL53" s="117" t="n">
        <x:f>IF(CL50&gt;0,'Вводные'!$B$83*'Вводные'!$Q$91,0)</x:f>
      </x:c>
      <x:c r="CM53" s="117" t="n">
        <x:f>IF(CM50&gt;0,'Вводные'!$B$83*'Вводные'!$Q$91,0)</x:f>
      </x:c>
      <x:c r="CN53" s="117" t="n">
        <x:f>IF(CN50&gt;0,'Вводные'!$B$83*'Вводные'!$Q$91,0)</x:f>
      </x:c>
      <x:c r="CO53" s="117" t="n">
        <x:f>IF(CO50&gt;0,'Вводные'!$B$83*'Вводные'!$Q$91,0)</x:f>
      </x:c>
      <x:c r="CP53" s="117" t="n">
        <x:f>IF(CP50&gt;0,'Вводные'!$B$83*'Вводные'!$Q$91,0)</x:f>
      </x:c>
      <x:c r="CQ53" s="117" t="n">
        <x:f>IF(CQ50&gt;0,'Вводные'!$B$83*'Вводные'!$Q$91,0)</x:f>
      </x:c>
      <x:c r="CR53" s="117" t="n">
        <x:f>IF(CR50&gt;0,'Вводные'!$B$83*'Вводные'!$Q$91,0)</x:f>
      </x:c>
      <x:c r="CS53" s="117" t="n">
        <x:f>IF(CS50&gt;0,'Вводные'!$B$83*'Вводные'!$Q$91,0)</x:f>
      </x:c>
      <x:c r="CT53" s="117" t="n">
        <x:f>IF(CT50&gt;0,'Вводные'!$B$83*'Вводные'!$Q$91,0)</x:f>
      </x:c>
      <x:c r="CU53" s="117" t="n">
        <x:f>IF(CU50&gt;0,'Вводные'!$B$83*'Вводные'!$Q$91,0)</x:f>
      </x:c>
      <x:c r="CV53" s="117" t="n">
        <x:f>IF(CV50&gt;0,'Вводные'!$B$83*'Вводные'!$Q$91,0)</x:f>
      </x:c>
      <x:c r="CW53" s="117" t="n">
        <x:f>IF(CW50&gt;0,'Вводные'!$B$83*'Вводные'!$Q$91,0)</x:f>
      </x:c>
      <x:c r="CX53" s="117" t="n">
        <x:f>IF(CX50&gt;0,'Вводные'!$B$83*'Вводные'!$Q$91,0)</x:f>
      </x:c>
      <x:c r="CY53" s="117" t="n">
        <x:f>IF(CY50&gt;0,'Вводные'!$B$83*'Вводные'!$Q$91,0)</x:f>
      </x:c>
      <x:c r="CZ53" s="117" t="n">
        <x:f>IF(CZ50&gt;0,'Вводные'!$B$83*'Вводные'!$Q$91,0)</x:f>
      </x:c>
      <x:c r="DA53" s="117" t="n">
        <x:f>IF(DA50&gt;0,'Вводные'!$B$83*'Вводные'!$Q$91,0)</x:f>
      </x:c>
      <x:c r="DB53" s="117" t="n">
        <x:f>IF(DB50&gt;0,'Вводные'!$B$83*'Вводные'!$Q$91,0)</x:f>
      </x:c>
      <x:c r="DC53" s="117" t="n">
        <x:f>IF(DC50&gt;0,'Вводные'!$B$83*'Вводные'!$Q$91,0)</x:f>
      </x:c>
      <x:c r="DD53" s="117" t="n">
        <x:f>IF(DD50&gt;0,'Вводные'!$B$83*'Вводные'!$Q$91,0)</x:f>
      </x:c>
      <x:c r="DE53" s="117" t="n">
        <x:f>IF(DE50&gt;0,'Вводные'!$B$83*'Вводные'!$Q$91,0)</x:f>
      </x:c>
      <x:c r="DF53" s="117" t="n">
        <x:f>IF(DF50&gt;0,'Вводные'!$B$83*'Вводные'!$Q$91,0)</x:f>
      </x:c>
      <x:c r="DG53" s="117" t="n">
        <x:f>IF(DG50&gt;0,'Вводные'!$B$83*'Вводные'!$Q$91,0)</x:f>
      </x:c>
      <x:c r="DH53" s="117" t="n">
        <x:f>IF(DH50&gt;0,'Вводные'!$B$83*'Вводные'!$Q$91,0)</x:f>
      </x:c>
      <x:c r="DI53" s="117" t="n">
        <x:f>IF(DI50&gt;0,'Вводные'!$B$83*'Вводные'!$Q$91,0)</x:f>
      </x:c>
      <x:c r="DJ53" s="117" t="n">
        <x:f>IF(DJ50&gt;0,'Вводные'!$B$83*'Вводные'!$Q$91,0)</x:f>
      </x:c>
      <x:c r="DK53" s="117" t="n">
        <x:f>IF(DK50&gt;0,'Вводные'!$B$83*'Вводные'!$Q$91,0)</x:f>
      </x:c>
      <x:c r="DL53" s="117" t="n">
        <x:f>IF(DL50&gt;0,'Вводные'!$B$83*'Вводные'!$Q$91,0)</x:f>
      </x:c>
      <x:c r="DM53" s="117" t="n">
        <x:f>IF(DM50&gt;0,'Вводные'!$B$83*'Вводные'!$Q$91,0)</x:f>
      </x:c>
      <x:c r="DN53" s="117" t="n">
        <x:f>IF(DN50&gt;0,'Вводные'!$B$83*'Вводные'!$Q$91,0)</x:f>
      </x:c>
      <x:c r="DO53" s="117" t="n">
        <x:f>IF(DO50&gt;0,'Вводные'!$B$83*'Вводные'!$Q$91,0)</x:f>
      </x:c>
      <x:c r="DP53" s="117" t="n">
        <x:f>IF(DP50&gt;0,'Вводные'!$B$83*'Вводные'!$Q$91,0)</x:f>
      </x:c>
      <x:c r="DQ53" s="117" t="n">
        <x:f>IF(DQ50&gt;0,'Вводные'!$B$83*'Вводные'!$Q$91,0)</x:f>
      </x:c>
      <x:c r="DR53" s="117" t="n">
        <x:f>IF(DR50&gt;0,'Вводные'!$B$83*'Вводные'!$Q$91,0)</x:f>
      </x:c>
      <x:c r="DS53" s="117" t="n">
        <x:f>IF(DS50&gt;0,'Вводные'!$B$83*'Вводные'!$Q$91,0)</x:f>
      </x:c>
    </x:row>
    <x:row r="54">
      <x:c r="A54" s="113" t="str">
        <x:v>ДЕНЕЖНЫЙ ПЛАТЁЖ ПО ВРИ</x:v>
      </x:c>
      <x:c r="B54" s="113" t="n">
        <x:f>SUM(D54:DS54)</x:f>
      </x:c>
      <x:c r="C54" s="113" t="str">
        <x:v>млн ₽</x:v>
      </x:c>
      <x:c r="D54" s="120" t="n">
        <x:f>SUM(D51:D53)</x:f>
      </x:c>
      <x:c r="E54" s="120" t="n">
        <x:f>SUM(E51:E53)</x:f>
      </x:c>
      <x:c r="F54" s="120" t="n">
        <x:f>SUM(F51:F53)</x:f>
      </x:c>
      <x:c r="G54" s="120" t="n">
        <x:f>SUM(G51:G53)</x:f>
      </x:c>
      <x:c r="H54" s="120" t="n">
        <x:f>SUM(H51:H53)</x:f>
      </x:c>
      <x:c r="I54" s="120" t="n">
        <x:f>SUM(I51:I53)</x:f>
      </x:c>
      <x:c r="J54" s="120" t="n">
        <x:f>SUM(J51:J53)</x:f>
      </x:c>
      <x:c r="K54" s="120" t="n">
        <x:f>SUM(K51:K53)</x:f>
      </x:c>
      <x:c r="L54" s="120" t="n">
        <x:f>SUM(L51:L53)</x:f>
      </x:c>
      <x:c r="M54" s="120" t="n">
        <x:f>SUM(M51:M53)</x:f>
      </x:c>
      <x:c r="N54" s="120" t="n">
        <x:f>SUM(N51:N53)</x:f>
      </x:c>
      <x:c r="O54" s="120" t="n">
        <x:f>SUM(O51:O53)</x:f>
      </x:c>
      <x:c r="P54" s="120" t="n">
        <x:f>SUM(P51:P53)</x:f>
      </x:c>
      <x:c r="Q54" s="120" t="n">
        <x:f>SUM(Q51:Q53)</x:f>
      </x:c>
      <x:c r="R54" s="120" t="n">
        <x:f>SUM(R51:R53)</x:f>
      </x:c>
      <x:c r="S54" s="120" t="n">
        <x:f>SUM(S51:S53)</x:f>
      </x:c>
      <x:c r="T54" s="120" t="n">
        <x:f>SUM(T51:T53)</x:f>
      </x:c>
      <x:c r="U54" s="120" t="n">
        <x:f>SUM(U51:U53)</x:f>
      </x:c>
      <x:c r="V54" s="120" t="n">
        <x:f>SUM(V51:V53)</x:f>
      </x:c>
      <x:c r="W54" s="120" t="n">
        <x:f>SUM(W51:W53)</x:f>
      </x:c>
      <x:c r="X54" s="120" t="n">
        <x:f>SUM(X51:X53)</x:f>
      </x:c>
      <x:c r="Y54" s="120" t="n">
        <x:f>SUM(Y51:Y53)</x:f>
      </x:c>
      <x:c r="Z54" s="120" t="n">
        <x:f>SUM(Z51:Z53)</x:f>
      </x:c>
      <x:c r="AA54" s="120" t="n">
        <x:f>SUM(AA51:AA53)</x:f>
      </x:c>
      <x:c r="AB54" s="120" t="n">
        <x:f>SUM(AB51:AB53)</x:f>
      </x:c>
      <x:c r="AC54" s="120" t="n">
        <x:f>SUM(AC51:AC53)</x:f>
      </x:c>
      <x:c r="AD54" s="120" t="n">
        <x:f>SUM(AD51:AD53)</x:f>
      </x:c>
      <x:c r="AE54" s="120" t="n">
        <x:f>SUM(AE51:AE53)</x:f>
      </x:c>
      <x:c r="AF54" s="120" t="n">
        <x:f>SUM(AF51:AF53)</x:f>
      </x:c>
      <x:c r="AG54" s="120" t="n">
        <x:f>SUM(AG51:AG53)</x:f>
      </x:c>
      <x:c r="AH54" s="120" t="n">
        <x:f>SUM(AH51:AH53)</x:f>
      </x:c>
      <x:c r="AI54" s="120" t="n">
        <x:f>SUM(AI51:AI53)</x:f>
      </x:c>
      <x:c r="AJ54" s="120" t="n">
        <x:f>SUM(AJ51:AJ53)</x:f>
      </x:c>
      <x:c r="AK54" s="120" t="n">
        <x:f>SUM(AK51:AK53)</x:f>
      </x:c>
      <x:c r="AL54" s="120" t="n">
        <x:f>SUM(AL51:AL53)</x:f>
      </x:c>
      <x:c r="AM54" s="120" t="n">
        <x:f>SUM(AM51:AM53)</x:f>
      </x:c>
      <x:c r="AN54" s="120" t="n">
        <x:f>SUM(AN51:AN53)</x:f>
      </x:c>
      <x:c r="AO54" s="120" t="n">
        <x:f>SUM(AO51:AO53)</x:f>
      </x:c>
      <x:c r="AP54" s="120" t="n">
        <x:f>SUM(AP51:AP53)</x:f>
      </x:c>
      <x:c r="AQ54" s="120" t="n">
        <x:f>SUM(AQ51:AQ53)</x:f>
      </x:c>
      <x:c r="AR54" s="120" t="n">
        <x:f>SUM(AR51:AR53)</x:f>
      </x:c>
      <x:c r="AS54" s="120" t="n">
        <x:f>SUM(AS51:AS53)</x:f>
      </x:c>
      <x:c r="AT54" s="120" t="n">
        <x:f>SUM(AT51:AT53)</x:f>
      </x:c>
      <x:c r="AU54" s="120" t="n">
        <x:f>SUM(AU51:AU53)</x:f>
      </x:c>
      <x:c r="AV54" s="120" t="n">
        <x:f>SUM(AV51:AV53)</x:f>
      </x:c>
      <x:c r="AW54" s="120" t="n">
        <x:f>SUM(AW51:AW53)</x:f>
      </x:c>
      <x:c r="AX54" s="120" t="n">
        <x:f>SUM(AX51:AX53)</x:f>
      </x:c>
      <x:c r="AY54" s="120" t="n">
        <x:f>SUM(AY51:AY53)</x:f>
      </x:c>
      <x:c r="AZ54" s="120" t="n">
        <x:f>SUM(AZ51:AZ53)</x:f>
      </x:c>
      <x:c r="BA54" s="120" t="n">
        <x:f>SUM(BA51:BA53)</x:f>
      </x:c>
      <x:c r="BB54" s="120" t="n">
        <x:f>SUM(BB51:BB53)</x:f>
      </x:c>
      <x:c r="BC54" s="120" t="n">
        <x:f>SUM(BC51:BC53)</x:f>
      </x:c>
      <x:c r="BD54" s="120" t="n">
        <x:f>SUM(BD51:BD53)</x:f>
      </x:c>
      <x:c r="BE54" s="120" t="n">
        <x:f>SUM(BE51:BE53)</x:f>
      </x:c>
      <x:c r="BF54" s="120" t="n">
        <x:f>SUM(BF51:BF53)</x:f>
      </x:c>
      <x:c r="BG54" s="120" t="n">
        <x:f>SUM(BG51:BG53)</x:f>
      </x:c>
      <x:c r="BH54" s="120" t="n">
        <x:f>SUM(BH51:BH53)</x:f>
      </x:c>
      <x:c r="BI54" s="120" t="n">
        <x:f>SUM(BI51:BI53)</x:f>
      </x:c>
      <x:c r="BJ54" s="120" t="n">
        <x:f>SUM(BJ51:BJ53)</x:f>
      </x:c>
      <x:c r="BK54" s="120" t="n">
        <x:f>SUM(BK51:BK53)</x:f>
      </x:c>
      <x:c r="BL54" s="120" t="n">
        <x:f>SUM(BL51:BL53)</x:f>
      </x:c>
      <x:c r="BM54" s="120" t="n">
        <x:f>SUM(BM51:BM53)</x:f>
      </x:c>
      <x:c r="BN54" s="120" t="n">
        <x:f>SUM(BN51:BN53)</x:f>
      </x:c>
      <x:c r="BO54" s="120" t="n">
        <x:f>SUM(BO51:BO53)</x:f>
      </x:c>
      <x:c r="BP54" s="120" t="n">
        <x:f>SUM(BP51:BP53)</x:f>
      </x:c>
      <x:c r="BQ54" s="120" t="n">
        <x:f>SUM(BQ51:BQ53)</x:f>
      </x:c>
      <x:c r="BR54" s="120" t="n">
        <x:f>SUM(BR51:BR53)</x:f>
      </x:c>
      <x:c r="BS54" s="120" t="n">
        <x:f>SUM(BS51:BS53)</x:f>
      </x:c>
      <x:c r="BT54" s="120" t="n">
        <x:f>SUM(BT51:BT53)</x:f>
      </x:c>
      <x:c r="BU54" s="120" t="n">
        <x:f>SUM(BU51:BU53)</x:f>
      </x:c>
      <x:c r="BV54" s="120" t="n">
        <x:f>SUM(BV51:BV53)</x:f>
      </x:c>
      <x:c r="BW54" s="120" t="n">
        <x:f>SUM(BW51:BW53)</x:f>
      </x:c>
      <x:c r="BX54" s="120" t="n">
        <x:f>SUM(BX51:BX53)</x:f>
      </x:c>
      <x:c r="BY54" s="120" t="n">
        <x:f>SUM(BY51:BY53)</x:f>
      </x:c>
      <x:c r="BZ54" s="120" t="n">
        <x:f>SUM(BZ51:BZ53)</x:f>
      </x:c>
      <x:c r="CA54" s="120" t="n">
        <x:f>SUM(CA51:CA53)</x:f>
      </x:c>
      <x:c r="CB54" s="120" t="n">
        <x:f>SUM(CB51:CB53)</x:f>
      </x:c>
      <x:c r="CC54" s="120" t="n">
        <x:f>SUM(CC51:CC53)</x:f>
      </x:c>
      <x:c r="CD54" s="120" t="n">
        <x:f>SUM(CD51:CD53)</x:f>
      </x:c>
      <x:c r="CE54" s="120" t="n">
        <x:f>SUM(CE51:CE53)</x:f>
      </x:c>
      <x:c r="CF54" s="120" t="n">
        <x:f>SUM(CF51:CF53)</x:f>
      </x:c>
      <x:c r="CG54" s="120" t="n">
        <x:f>SUM(CG51:CG53)</x:f>
      </x:c>
      <x:c r="CH54" s="120" t="n">
        <x:f>SUM(CH51:CH53)</x:f>
      </x:c>
      <x:c r="CI54" s="120" t="n">
        <x:f>SUM(CI51:CI53)</x:f>
      </x:c>
      <x:c r="CJ54" s="120" t="n">
        <x:f>SUM(CJ51:CJ53)</x:f>
      </x:c>
      <x:c r="CK54" s="120" t="n">
        <x:f>SUM(CK51:CK53)</x:f>
      </x:c>
      <x:c r="CL54" s="120" t="n">
        <x:f>SUM(CL51:CL53)</x:f>
      </x:c>
      <x:c r="CM54" s="120" t="n">
        <x:f>SUM(CM51:CM53)</x:f>
      </x:c>
      <x:c r="CN54" s="120" t="n">
        <x:f>SUM(CN51:CN53)</x:f>
      </x:c>
      <x:c r="CO54" s="120" t="n">
        <x:f>SUM(CO51:CO53)</x:f>
      </x:c>
      <x:c r="CP54" s="120" t="n">
        <x:f>SUM(CP51:CP53)</x:f>
      </x:c>
      <x:c r="CQ54" s="120" t="n">
        <x:f>SUM(CQ51:CQ53)</x:f>
      </x:c>
      <x:c r="CR54" s="120" t="n">
        <x:f>SUM(CR51:CR53)</x:f>
      </x:c>
      <x:c r="CS54" s="120" t="n">
        <x:f>SUM(CS51:CS53)</x:f>
      </x:c>
      <x:c r="CT54" s="120" t="n">
        <x:f>SUM(CT51:CT53)</x:f>
      </x:c>
      <x:c r="CU54" s="120" t="n">
        <x:f>SUM(CU51:CU53)</x:f>
      </x:c>
      <x:c r="CV54" s="120" t="n">
        <x:f>SUM(CV51:CV53)</x:f>
      </x:c>
      <x:c r="CW54" s="120" t="n">
        <x:f>SUM(CW51:CW53)</x:f>
      </x:c>
      <x:c r="CX54" s="120" t="n">
        <x:f>SUM(CX51:CX53)</x:f>
      </x:c>
      <x:c r="CY54" s="120" t="n">
        <x:f>SUM(CY51:CY53)</x:f>
      </x:c>
      <x:c r="CZ54" s="120" t="n">
        <x:f>SUM(CZ51:CZ53)</x:f>
      </x:c>
      <x:c r="DA54" s="120" t="n">
        <x:f>SUM(DA51:DA53)</x:f>
      </x:c>
      <x:c r="DB54" s="120" t="n">
        <x:f>SUM(DB51:DB53)</x:f>
      </x:c>
      <x:c r="DC54" s="120" t="n">
        <x:f>SUM(DC51:DC53)</x:f>
      </x:c>
      <x:c r="DD54" s="120" t="n">
        <x:f>SUM(DD51:DD53)</x:f>
      </x:c>
      <x:c r="DE54" s="120" t="n">
        <x:f>SUM(DE51:DE53)</x:f>
      </x:c>
      <x:c r="DF54" s="120" t="n">
        <x:f>SUM(DF51:DF53)</x:f>
      </x:c>
      <x:c r="DG54" s="120" t="n">
        <x:f>SUM(DG51:DG53)</x:f>
      </x:c>
      <x:c r="DH54" s="120" t="n">
        <x:f>SUM(DH51:DH53)</x:f>
      </x:c>
      <x:c r="DI54" s="120" t="n">
        <x:f>SUM(DI51:DI53)</x:f>
      </x:c>
      <x:c r="DJ54" s="120" t="n">
        <x:f>SUM(DJ51:DJ53)</x:f>
      </x:c>
      <x:c r="DK54" s="120" t="n">
        <x:f>SUM(DK51:DK53)</x:f>
      </x:c>
      <x:c r="DL54" s="120" t="n">
        <x:f>SUM(DL51:DL53)</x:f>
      </x:c>
      <x:c r="DM54" s="120" t="n">
        <x:f>SUM(DM51:DM53)</x:f>
      </x:c>
      <x:c r="DN54" s="120" t="n">
        <x:f>SUM(DN51:DN53)</x:f>
      </x:c>
      <x:c r="DO54" s="120" t="n">
        <x:f>SUM(DO51:DO53)</x:f>
      </x:c>
      <x:c r="DP54" s="120" t="n">
        <x:f>SUM(DP51:DP53)</x:f>
      </x:c>
      <x:c r="DQ54" s="120" t="n">
        <x:f>SUM(DQ51:DQ53)</x:f>
      </x:c>
      <x:c r="DR54" s="120" t="n">
        <x:f>SUM(DR51:DR53)</x:f>
      </x:c>
      <x:c r="DS54" s="120" t="n">
        <x:f>SUM(DS51:DS53)</x:f>
      </x:c>
    </x:row>
    <x:row r="55">
      <x:c r="A55" t="str">
        <x:v>Остаток на конец</x:v>
      </x:c>
      <x:c r="B55" s="107" t="n">
        <x:f>DS55</x:f>
      </x:c>
      <x:c r="C55" t="str">
        <x:v>млн ₽</x:v>
      </x:c>
      <x:c r="D55" s="117" t="n">
        <x:f>MAX(0,D49+D50-D51)</x:f>
      </x:c>
      <x:c r="E55" s="117" t="n">
        <x:f>MAX(0,E49+E50-E51)</x:f>
      </x:c>
      <x:c r="F55" s="117" t="n">
        <x:f>MAX(0,F49+F50-F51)</x:f>
      </x:c>
      <x:c r="G55" s="117" t="n">
        <x:f>MAX(0,G49+G50-G51)</x:f>
      </x:c>
      <x:c r="H55" s="117" t="n">
        <x:f>MAX(0,H49+H50-H51)</x:f>
      </x:c>
      <x:c r="I55" s="117" t="n">
        <x:f>MAX(0,I49+I50-I51)</x:f>
      </x:c>
      <x:c r="J55" s="117" t="n">
        <x:f>MAX(0,J49+J50-J51)</x:f>
      </x:c>
      <x:c r="K55" s="117" t="n">
        <x:f>MAX(0,K49+K50-K51)</x:f>
      </x:c>
      <x:c r="L55" s="117" t="n">
        <x:f>MAX(0,L49+L50-L51)</x:f>
      </x:c>
      <x:c r="M55" s="117" t="n">
        <x:f>MAX(0,M49+M50-M51)</x:f>
      </x:c>
      <x:c r="N55" s="117" t="n">
        <x:f>MAX(0,N49+N50-N51)</x:f>
      </x:c>
      <x:c r="O55" s="117" t="n">
        <x:f>MAX(0,O49+O50-O51)</x:f>
      </x:c>
      <x:c r="P55" s="117" t="n">
        <x:f>MAX(0,P49+P50-P51)</x:f>
      </x:c>
      <x:c r="Q55" s="117" t="n">
        <x:f>MAX(0,Q49+Q50-Q51)</x:f>
      </x:c>
      <x:c r="R55" s="117" t="n">
        <x:f>MAX(0,R49+R50-R51)</x:f>
      </x:c>
      <x:c r="S55" s="117" t="n">
        <x:f>MAX(0,S49+S50-S51)</x:f>
      </x:c>
      <x:c r="T55" s="117" t="n">
        <x:f>MAX(0,T49+T50-T51)</x:f>
      </x:c>
      <x:c r="U55" s="117" t="n">
        <x:f>MAX(0,U49+U50-U51)</x:f>
      </x:c>
      <x:c r="V55" s="117" t="n">
        <x:f>MAX(0,V49+V50-V51)</x:f>
      </x:c>
      <x:c r="W55" s="117" t="n">
        <x:f>MAX(0,W49+W50-W51)</x:f>
      </x:c>
      <x:c r="X55" s="117" t="n">
        <x:f>MAX(0,X49+X50-X51)</x:f>
      </x:c>
      <x:c r="Y55" s="117" t="n">
        <x:f>MAX(0,Y49+Y50-Y51)</x:f>
      </x:c>
      <x:c r="Z55" s="117" t="n">
        <x:f>MAX(0,Z49+Z50-Z51)</x:f>
      </x:c>
      <x:c r="AA55" s="117" t="n">
        <x:f>MAX(0,AA49+AA50-AA51)</x:f>
      </x:c>
      <x:c r="AB55" s="117" t="n">
        <x:f>MAX(0,AB49+AB50-AB51)</x:f>
      </x:c>
      <x:c r="AC55" s="117" t="n">
        <x:f>MAX(0,AC49+AC50-AC51)</x:f>
      </x:c>
      <x:c r="AD55" s="117" t="n">
        <x:f>MAX(0,AD49+AD50-AD51)</x:f>
      </x:c>
      <x:c r="AE55" s="117" t="n">
        <x:f>MAX(0,AE49+AE50-AE51)</x:f>
      </x:c>
      <x:c r="AF55" s="117" t="n">
        <x:f>MAX(0,AF49+AF50-AF51)</x:f>
      </x:c>
      <x:c r="AG55" s="117" t="n">
        <x:f>MAX(0,AG49+AG50-AG51)</x:f>
      </x:c>
      <x:c r="AH55" s="117" t="n">
        <x:f>MAX(0,AH49+AH50-AH51)</x:f>
      </x:c>
      <x:c r="AI55" s="117" t="n">
        <x:f>MAX(0,AI49+AI50-AI51)</x:f>
      </x:c>
      <x:c r="AJ55" s="117" t="n">
        <x:f>MAX(0,AJ49+AJ50-AJ51)</x:f>
      </x:c>
      <x:c r="AK55" s="117" t="n">
        <x:f>MAX(0,AK49+AK50-AK51)</x:f>
      </x:c>
      <x:c r="AL55" s="117" t="n">
        <x:f>MAX(0,AL49+AL50-AL51)</x:f>
      </x:c>
      <x:c r="AM55" s="117" t="n">
        <x:f>MAX(0,AM49+AM50-AM51)</x:f>
      </x:c>
      <x:c r="AN55" s="117" t="n">
        <x:f>MAX(0,AN49+AN50-AN51)</x:f>
      </x:c>
      <x:c r="AO55" s="117" t="n">
        <x:f>MAX(0,AO49+AO50-AO51)</x:f>
      </x:c>
      <x:c r="AP55" s="117" t="n">
        <x:f>MAX(0,AP49+AP50-AP51)</x:f>
      </x:c>
      <x:c r="AQ55" s="117" t="n">
        <x:f>MAX(0,AQ49+AQ50-AQ51)</x:f>
      </x:c>
      <x:c r="AR55" s="117" t="n">
        <x:f>MAX(0,AR49+AR50-AR51)</x:f>
      </x:c>
      <x:c r="AS55" s="117" t="n">
        <x:f>MAX(0,AS49+AS50-AS51)</x:f>
      </x:c>
      <x:c r="AT55" s="117" t="n">
        <x:f>MAX(0,AT49+AT50-AT51)</x:f>
      </x:c>
      <x:c r="AU55" s="117" t="n">
        <x:f>MAX(0,AU49+AU50-AU51)</x:f>
      </x:c>
      <x:c r="AV55" s="117" t="n">
        <x:f>MAX(0,AV49+AV50-AV51)</x:f>
      </x:c>
      <x:c r="AW55" s="117" t="n">
        <x:f>MAX(0,AW49+AW50-AW51)</x:f>
      </x:c>
      <x:c r="AX55" s="117" t="n">
        <x:f>MAX(0,AX49+AX50-AX51)</x:f>
      </x:c>
      <x:c r="AY55" s="117" t="n">
        <x:f>MAX(0,AY49+AY50-AY51)</x:f>
      </x:c>
      <x:c r="AZ55" s="117" t="n">
        <x:f>MAX(0,AZ49+AZ50-AZ51)</x:f>
      </x:c>
      <x:c r="BA55" s="117" t="n">
        <x:f>MAX(0,BA49+BA50-BA51)</x:f>
      </x:c>
      <x:c r="BB55" s="117" t="n">
        <x:f>MAX(0,BB49+BB50-BB51)</x:f>
      </x:c>
      <x:c r="BC55" s="117" t="n">
        <x:f>MAX(0,BC49+BC50-BC51)</x:f>
      </x:c>
      <x:c r="BD55" s="117" t="n">
        <x:f>MAX(0,BD49+BD50-BD51)</x:f>
      </x:c>
      <x:c r="BE55" s="117" t="n">
        <x:f>MAX(0,BE49+BE50-BE51)</x:f>
      </x:c>
      <x:c r="BF55" s="117" t="n">
        <x:f>MAX(0,BF49+BF50-BF51)</x:f>
      </x:c>
      <x:c r="BG55" s="117" t="n">
        <x:f>MAX(0,BG49+BG50-BG51)</x:f>
      </x:c>
      <x:c r="BH55" s="117" t="n">
        <x:f>MAX(0,BH49+BH50-BH51)</x:f>
      </x:c>
      <x:c r="BI55" s="117" t="n">
        <x:f>MAX(0,BI49+BI50-BI51)</x:f>
      </x:c>
      <x:c r="BJ55" s="117" t="n">
        <x:f>MAX(0,BJ49+BJ50-BJ51)</x:f>
      </x:c>
      <x:c r="BK55" s="117" t="n">
        <x:f>MAX(0,BK49+BK50-BK51)</x:f>
      </x:c>
      <x:c r="BL55" s="117" t="n">
        <x:f>MAX(0,BL49+BL50-BL51)</x:f>
      </x:c>
      <x:c r="BM55" s="117" t="n">
        <x:f>MAX(0,BM49+BM50-BM51)</x:f>
      </x:c>
      <x:c r="BN55" s="117" t="n">
        <x:f>MAX(0,BN49+BN50-BN51)</x:f>
      </x:c>
      <x:c r="BO55" s="117" t="n">
        <x:f>MAX(0,BO49+BO50-BO51)</x:f>
      </x:c>
      <x:c r="BP55" s="117" t="n">
        <x:f>MAX(0,BP49+BP50-BP51)</x:f>
      </x:c>
      <x:c r="BQ55" s="117" t="n">
        <x:f>MAX(0,BQ49+BQ50-BQ51)</x:f>
      </x:c>
      <x:c r="BR55" s="117" t="n">
        <x:f>MAX(0,BR49+BR50-BR51)</x:f>
      </x:c>
      <x:c r="BS55" s="117" t="n">
        <x:f>MAX(0,BS49+BS50-BS51)</x:f>
      </x:c>
      <x:c r="BT55" s="117" t="n">
        <x:f>MAX(0,BT49+BT50-BT51)</x:f>
      </x:c>
      <x:c r="BU55" s="117" t="n">
        <x:f>MAX(0,BU49+BU50-BU51)</x:f>
      </x:c>
      <x:c r="BV55" s="117" t="n">
        <x:f>MAX(0,BV49+BV50-BV51)</x:f>
      </x:c>
      <x:c r="BW55" s="117" t="n">
        <x:f>MAX(0,BW49+BW50-BW51)</x:f>
      </x:c>
      <x:c r="BX55" s="117" t="n">
        <x:f>MAX(0,BX49+BX50-BX51)</x:f>
      </x:c>
      <x:c r="BY55" s="117" t="n">
        <x:f>MAX(0,BY49+BY50-BY51)</x:f>
      </x:c>
      <x:c r="BZ55" s="117" t="n">
        <x:f>MAX(0,BZ49+BZ50-BZ51)</x:f>
      </x:c>
      <x:c r="CA55" s="117" t="n">
        <x:f>MAX(0,CA49+CA50-CA51)</x:f>
      </x:c>
      <x:c r="CB55" s="117" t="n">
        <x:f>MAX(0,CB49+CB50-CB51)</x:f>
      </x:c>
      <x:c r="CC55" s="117" t="n">
        <x:f>MAX(0,CC49+CC50-CC51)</x:f>
      </x:c>
      <x:c r="CD55" s="117" t="n">
        <x:f>MAX(0,CD49+CD50-CD51)</x:f>
      </x:c>
      <x:c r="CE55" s="117" t="n">
        <x:f>MAX(0,CE49+CE50-CE51)</x:f>
      </x:c>
      <x:c r="CF55" s="117" t="n">
        <x:f>MAX(0,CF49+CF50-CF51)</x:f>
      </x:c>
      <x:c r="CG55" s="117" t="n">
        <x:f>MAX(0,CG49+CG50-CG51)</x:f>
      </x:c>
      <x:c r="CH55" s="117" t="n">
        <x:f>MAX(0,CH49+CH50-CH51)</x:f>
      </x:c>
      <x:c r="CI55" s="117" t="n">
        <x:f>MAX(0,CI49+CI50-CI51)</x:f>
      </x:c>
      <x:c r="CJ55" s="117" t="n">
        <x:f>MAX(0,CJ49+CJ50-CJ51)</x:f>
      </x:c>
      <x:c r="CK55" s="117" t="n">
        <x:f>MAX(0,CK49+CK50-CK51)</x:f>
      </x:c>
      <x:c r="CL55" s="117" t="n">
        <x:f>MAX(0,CL49+CL50-CL51)</x:f>
      </x:c>
      <x:c r="CM55" s="117" t="n">
        <x:f>MAX(0,CM49+CM50-CM51)</x:f>
      </x:c>
      <x:c r="CN55" s="117" t="n">
        <x:f>MAX(0,CN49+CN50-CN51)</x:f>
      </x:c>
      <x:c r="CO55" s="117" t="n">
        <x:f>MAX(0,CO49+CO50-CO51)</x:f>
      </x:c>
      <x:c r="CP55" s="117" t="n">
        <x:f>MAX(0,CP49+CP50-CP51)</x:f>
      </x:c>
      <x:c r="CQ55" s="117" t="n">
        <x:f>MAX(0,CQ49+CQ50-CQ51)</x:f>
      </x:c>
      <x:c r="CR55" s="117" t="n">
        <x:f>MAX(0,CR49+CR50-CR51)</x:f>
      </x:c>
      <x:c r="CS55" s="117" t="n">
        <x:f>MAX(0,CS49+CS50-CS51)</x:f>
      </x:c>
      <x:c r="CT55" s="117" t="n">
        <x:f>MAX(0,CT49+CT50-CT51)</x:f>
      </x:c>
      <x:c r="CU55" s="117" t="n">
        <x:f>MAX(0,CU49+CU50-CU51)</x:f>
      </x:c>
      <x:c r="CV55" s="117" t="n">
        <x:f>MAX(0,CV49+CV50-CV51)</x:f>
      </x:c>
      <x:c r="CW55" s="117" t="n">
        <x:f>MAX(0,CW49+CW50-CW51)</x:f>
      </x:c>
      <x:c r="CX55" s="117" t="n">
        <x:f>MAX(0,CX49+CX50-CX51)</x:f>
      </x:c>
      <x:c r="CY55" s="117" t="n">
        <x:f>MAX(0,CY49+CY50-CY51)</x:f>
      </x:c>
      <x:c r="CZ55" s="117" t="n">
        <x:f>MAX(0,CZ49+CZ50-CZ51)</x:f>
      </x:c>
      <x:c r="DA55" s="117" t="n">
        <x:f>MAX(0,DA49+DA50-DA51)</x:f>
      </x:c>
      <x:c r="DB55" s="117" t="n">
        <x:f>MAX(0,DB49+DB50-DB51)</x:f>
      </x:c>
      <x:c r="DC55" s="117" t="n">
        <x:f>MAX(0,DC49+DC50-DC51)</x:f>
      </x:c>
      <x:c r="DD55" s="117" t="n">
        <x:f>MAX(0,DD49+DD50-DD51)</x:f>
      </x:c>
      <x:c r="DE55" s="117" t="n">
        <x:f>MAX(0,DE49+DE50-DE51)</x:f>
      </x:c>
      <x:c r="DF55" s="117" t="n">
        <x:f>MAX(0,DF49+DF50-DF51)</x:f>
      </x:c>
      <x:c r="DG55" s="117" t="n">
        <x:f>MAX(0,DG49+DG50-DG51)</x:f>
      </x:c>
      <x:c r="DH55" s="117" t="n">
        <x:f>MAX(0,DH49+DH50-DH51)</x:f>
      </x:c>
      <x:c r="DI55" s="117" t="n">
        <x:f>MAX(0,DI49+DI50-DI51)</x:f>
      </x:c>
      <x:c r="DJ55" s="117" t="n">
        <x:f>MAX(0,DJ49+DJ50-DJ51)</x:f>
      </x:c>
      <x:c r="DK55" s="117" t="n">
        <x:f>MAX(0,DK49+DK50-DK51)</x:f>
      </x:c>
      <x:c r="DL55" s="117" t="n">
        <x:f>MAX(0,DL49+DL50-DL51)</x:f>
      </x:c>
      <x:c r="DM55" s="117" t="n">
        <x:f>MAX(0,DM49+DM50-DM51)</x:f>
      </x:c>
      <x:c r="DN55" s="117" t="n">
        <x:f>MAX(0,DN49+DN50-DN51)</x:f>
      </x:c>
      <x:c r="DO55" s="117" t="n">
        <x:f>MAX(0,DO49+DO50-DO51)</x:f>
      </x:c>
      <x:c r="DP55" s="117" t="n">
        <x:f>MAX(0,DP49+DP50-DP51)</x:f>
      </x:c>
      <x:c r="DQ55" s="117" t="n">
        <x:f>MAX(0,DQ49+DQ50-DQ51)</x:f>
      </x:c>
      <x:c r="DR55" s="117" t="n">
        <x:f>MAX(0,DR49+DR50-DR51)</x:f>
      </x:c>
      <x:c r="DS55" s="117" t="n">
        <x:f>MAX(0,DS49+DS50-DS51)</x:f>
      </x:c>
    </x:row>
    <x:row r="56">
      <x:c r="A56" t="str">
        <x:v>Ставка по рассрочке</x:v>
      </x:c>
      <x:c r="B56" t="n">
        <x:f>IFERROR(SUMPRODUCT(D56:DS56,--(D49:DS49&gt;0))/COUNTIF(D49:DS49,"&gt;0"),0)</x:f>
      </x:c>
      <x:c r="C56" t="str">
        <x:v>% год</x:v>
      </x:c>
      <x:c r="D56" s="35" t="n">
        <x:f>'Ставки'!D$5+'Вводные'!$B$81</x:f>
      </x:c>
      <x:c r="E56" s="35" t="n">
        <x:f>'Ставки'!E$5+'Вводные'!$B$81</x:f>
      </x:c>
      <x:c r="F56" s="35" t="n">
        <x:f>'Ставки'!F$5+'Вводные'!$B$81</x:f>
      </x:c>
      <x:c r="G56" s="35" t="n">
        <x:f>'Ставки'!G$5+'Вводные'!$B$81</x:f>
      </x:c>
      <x:c r="H56" s="35" t="n">
        <x:f>'Ставки'!H$5+'Вводные'!$B$81</x:f>
      </x:c>
      <x:c r="I56" s="35" t="n">
        <x:f>'Ставки'!I$5+'Вводные'!$B$81</x:f>
      </x:c>
      <x:c r="J56" s="35" t="n">
        <x:f>'Ставки'!J$5+'Вводные'!$B$81</x:f>
      </x:c>
      <x:c r="K56" s="35" t="n">
        <x:f>'Ставки'!K$5+'Вводные'!$B$81</x:f>
      </x:c>
      <x:c r="L56" s="35" t="n">
        <x:f>'Ставки'!L$5+'Вводные'!$B$81</x:f>
      </x:c>
      <x:c r="M56" s="35" t="n">
        <x:f>'Ставки'!M$5+'Вводные'!$B$81</x:f>
      </x:c>
      <x:c r="N56" s="35" t="n">
        <x:f>'Ставки'!N$5+'Вводные'!$B$81</x:f>
      </x:c>
      <x:c r="O56" s="35" t="n">
        <x:f>'Ставки'!O$5+'Вводные'!$B$81</x:f>
      </x:c>
      <x:c r="P56" s="35" t="n">
        <x:f>'Ставки'!P$5+'Вводные'!$B$81</x:f>
      </x:c>
      <x:c r="Q56" s="35" t="n">
        <x:f>'Ставки'!Q$5+'Вводные'!$B$81</x:f>
      </x:c>
      <x:c r="R56" s="35" t="n">
        <x:f>'Ставки'!R$5+'Вводные'!$B$81</x:f>
      </x:c>
      <x:c r="S56" s="35" t="n">
        <x:f>'Ставки'!S$5+'Вводные'!$B$81</x:f>
      </x:c>
      <x:c r="T56" s="35" t="n">
        <x:f>'Ставки'!T$5+'Вводные'!$B$81</x:f>
      </x:c>
      <x:c r="U56" s="35" t="n">
        <x:f>'Ставки'!U$5+'Вводные'!$B$81</x:f>
      </x:c>
      <x:c r="V56" s="35" t="n">
        <x:f>'Ставки'!V$5+'Вводные'!$B$81</x:f>
      </x:c>
      <x:c r="W56" s="35" t="n">
        <x:f>'Ставки'!W$5+'Вводные'!$B$81</x:f>
      </x:c>
      <x:c r="X56" s="35" t="n">
        <x:f>'Ставки'!X$5+'Вводные'!$B$81</x:f>
      </x:c>
      <x:c r="Y56" s="35" t="n">
        <x:f>'Ставки'!Y$5+'Вводные'!$B$81</x:f>
      </x:c>
      <x:c r="Z56" s="35" t="n">
        <x:f>'Ставки'!Z$5+'Вводные'!$B$81</x:f>
      </x:c>
      <x:c r="AA56" s="35" t="n">
        <x:f>'Ставки'!AA$5+'Вводные'!$B$81</x:f>
      </x:c>
      <x:c r="AB56" s="35" t="n">
        <x:f>'Ставки'!AB$5+'Вводные'!$B$81</x:f>
      </x:c>
      <x:c r="AC56" s="35" t="n">
        <x:f>'Ставки'!AC$5+'Вводные'!$B$81</x:f>
      </x:c>
      <x:c r="AD56" s="35" t="n">
        <x:f>'Ставки'!AD$5+'Вводные'!$B$81</x:f>
      </x:c>
      <x:c r="AE56" s="35" t="n">
        <x:f>'Ставки'!AE$5+'Вводные'!$B$81</x:f>
      </x:c>
      <x:c r="AF56" s="35" t="n">
        <x:f>'Ставки'!AF$5+'Вводные'!$B$81</x:f>
      </x:c>
      <x:c r="AG56" s="35" t="n">
        <x:f>'Ставки'!AG$5+'Вводные'!$B$81</x:f>
      </x:c>
      <x:c r="AH56" s="35" t="n">
        <x:f>'Ставки'!AH$5+'Вводные'!$B$81</x:f>
      </x:c>
      <x:c r="AI56" s="35" t="n">
        <x:f>'Ставки'!AI$5+'Вводные'!$B$81</x:f>
      </x:c>
      <x:c r="AJ56" s="35" t="n">
        <x:f>'Ставки'!AJ$5+'Вводные'!$B$81</x:f>
      </x:c>
      <x:c r="AK56" s="35" t="n">
        <x:f>'Ставки'!AK$5+'Вводные'!$B$81</x:f>
      </x:c>
      <x:c r="AL56" s="35" t="n">
        <x:f>'Ставки'!AL$5+'Вводные'!$B$81</x:f>
      </x:c>
      <x:c r="AM56" s="35" t="n">
        <x:f>'Ставки'!AM$5+'Вводные'!$B$81</x:f>
      </x:c>
      <x:c r="AN56" s="35" t="n">
        <x:f>'Ставки'!AN$5+'Вводные'!$B$81</x:f>
      </x:c>
      <x:c r="AO56" s="35" t="n">
        <x:f>'Ставки'!AO$5+'Вводные'!$B$81</x:f>
      </x:c>
      <x:c r="AP56" s="35" t="n">
        <x:f>'Ставки'!AP$5+'Вводные'!$B$81</x:f>
      </x:c>
      <x:c r="AQ56" s="35" t="n">
        <x:f>'Ставки'!AQ$5+'Вводные'!$B$81</x:f>
      </x:c>
      <x:c r="AR56" s="35" t="n">
        <x:f>'Ставки'!AR$5+'Вводные'!$B$81</x:f>
      </x:c>
      <x:c r="AS56" s="35" t="n">
        <x:f>'Ставки'!AS$5+'Вводные'!$B$81</x:f>
      </x:c>
      <x:c r="AT56" s="35" t="n">
        <x:f>'Ставки'!AT$5+'Вводные'!$B$81</x:f>
      </x:c>
      <x:c r="AU56" s="35" t="n">
        <x:f>'Ставки'!AU$5+'Вводные'!$B$81</x:f>
      </x:c>
      <x:c r="AV56" s="35" t="n">
        <x:f>'Ставки'!AV$5+'Вводные'!$B$81</x:f>
      </x:c>
      <x:c r="AW56" s="35" t="n">
        <x:f>'Ставки'!AW$5+'Вводные'!$B$81</x:f>
      </x:c>
      <x:c r="AX56" s="35" t="n">
        <x:f>'Ставки'!AX$5+'Вводные'!$B$81</x:f>
      </x:c>
      <x:c r="AY56" s="35" t="n">
        <x:f>'Ставки'!AY$5+'Вводные'!$B$81</x:f>
      </x:c>
      <x:c r="AZ56" s="35" t="n">
        <x:f>'Ставки'!AZ$5+'Вводные'!$B$81</x:f>
      </x:c>
      <x:c r="BA56" s="35" t="n">
        <x:f>'Ставки'!BA$5+'Вводные'!$B$81</x:f>
      </x:c>
      <x:c r="BB56" s="35" t="n">
        <x:f>'Ставки'!BB$5+'Вводные'!$B$81</x:f>
      </x:c>
      <x:c r="BC56" s="35" t="n">
        <x:f>'Ставки'!BC$5+'Вводные'!$B$81</x:f>
      </x:c>
      <x:c r="BD56" s="35" t="n">
        <x:f>'Ставки'!BD$5+'Вводные'!$B$81</x:f>
      </x:c>
      <x:c r="BE56" s="35" t="n">
        <x:f>'Ставки'!BE$5+'Вводные'!$B$81</x:f>
      </x:c>
      <x:c r="BF56" s="35" t="n">
        <x:f>'Ставки'!BF$5+'Вводные'!$B$81</x:f>
      </x:c>
      <x:c r="BG56" s="35" t="n">
        <x:f>'Ставки'!BG$5+'Вводные'!$B$81</x:f>
      </x:c>
      <x:c r="BH56" s="35" t="n">
        <x:f>'Ставки'!BH$5+'Вводные'!$B$81</x:f>
      </x:c>
      <x:c r="BI56" s="35" t="n">
        <x:f>'Ставки'!BI$5+'Вводные'!$B$81</x:f>
      </x:c>
      <x:c r="BJ56" s="35" t="n">
        <x:f>'Ставки'!BJ$5+'Вводные'!$B$81</x:f>
      </x:c>
      <x:c r="BK56" s="35" t="n">
        <x:f>'Ставки'!BK$5+'Вводные'!$B$81</x:f>
      </x:c>
      <x:c r="BL56" s="35" t="n">
        <x:f>'Ставки'!BL$5+'Вводные'!$B$81</x:f>
      </x:c>
      <x:c r="BM56" s="35" t="n">
        <x:f>'Ставки'!BM$5+'Вводные'!$B$81</x:f>
      </x:c>
      <x:c r="BN56" s="35" t="n">
        <x:f>'Ставки'!BN$5+'Вводные'!$B$81</x:f>
      </x:c>
      <x:c r="BO56" s="35" t="n">
        <x:f>'Ставки'!BO$5+'Вводные'!$B$81</x:f>
      </x:c>
      <x:c r="BP56" s="35" t="n">
        <x:f>'Ставки'!BP$5+'Вводные'!$B$81</x:f>
      </x:c>
      <x:c r="BQ56" s="35" t="n">
        <x:f>'Ставки'!BQ$5+'Вводные'!$B$81</x:f>
      </x:c>
      <x:c r="BR56" s="35" t="n">
        <x:f>'Ставки'!BR$5+'Вводные'!$B$81</x:f>
      </x:c>
      <x:c r="BS56" s="35" t="n">
        <x:f>'Ставки'!BS$5+'Вводные'!$B$81</x:f>
      </x:c>
      <x:c r="BT56" s="35" t="n">
        <x:f>'Ставки'!BT$5+'Вводные'!$B$81</x:f>
      </x:c>
      <x:c r="BU56" s="35" t="n">
        <x:f>'Ставки'!BU$5+'Вводные'!$B$81</x:f>
      </x:c>
      <x:c r="BV56" s="35" t="n">
        <x:f>'Ставки'!BV$5+'Вводные'!$B$81</x:f>
      </x:c>
      <x:c r="BW56" s="35" t="n">
        <x:f>'Ставки'!BW$5+'Вводные'!$B$81</x:f>
      </x:c>
      <x:c r="BX56" s="35" t="n">
        <x:f>'Ставки'!BX$5+'Вводные'!$B$81</x:f>
      </x:c>
      <x:c r="BY56" s="35" t="n">
        <x:f>'Ставки'!BY$5+'Вводные'!$B$81</x:f>
      </x:c>
      <x:c r="BZ56" s="35" t="n">
        <x:f>'Ставки'!BZ$5+'Вводные'!$B$81</x:f>
      </x:c>
      <x:c r="CA56" s="35" t="n">
        <x:f>'Ставки'!CA$5+'Вводные'!$B$81</x:f>
      </x:c>
      <x:c r="CB56" s="35" t="n">
        <x:f>'Ставки'!CB$5+'Вводные'!$B$81</x:f>
      </x:c>
      <x:c r="CC56" s="35" t="n">
        <x:f>'Ставки'!CC$5+'Вводные'!$B$81</x:f>
      </x:c>
      <x:c r="CD56" s="35" t="n">
        <x:f>'Ставки'!CD$5+'Вводные'!$B$81</x:f>
      </x:c>
      <x:c r="CE56" s="35" t="n">
        <x:f>'Ставки'!CE$5+'Вводные'!$B$81</x:f>
      </x:c>
      <x:c r="CF56" s="35" t="n">
        <x:f>'Ставки'!CF$5+'Вводные'!$B$81</x:f>
      </x:c>
      <x:c r="CG56" s="35" t="n">
        <x:f>'Ставки'!CG$5+'Вводные'!$B$81</x:f>
      </x:c>
      <x:c r="CH56" s="35" t="n">
        <x:f>'Ставки'!CH$5+'Вводные'!$B$81</x:f>
      </x:c>
      <x:c r="CI56" s="35" t="n">
        <x:f>'Ставки'!CI$5+'Вводные'!$B$81</x:f>
      </x:c>
      <x:c r="CJ56" s="35" t="n">
        <x:f>'Ставки'!CJ$5+'Вводные'!$B$81</x:f>
      </x:c>
      <x:c r="CK56" s="35" t="n">
        <x:f>'Ставки'!CK$5+'Вводные'!$B$81</x:f>
      </x:c>
      <x:c r="CL56" s="35" t="n">
        <x:f>'Ставки'!CL$5+'Вводные'!$B$81</x:f>
      </x:c>
      <x:c r="CM56" s="35" t="n">
        <x:f>'Ставки'!CM$5+'Вводные'!$B$81</x:f>
      </x:c>
      <x:c r="CN56" s="35" t="n">
        <x:f>'Ставки'!CN$5+'Вводные'!$B$81</x:f>
      </x:c>
      <x:c r="CO56" s="35" t="n">
        <x:f>'Ставки'!CO$5+'Вводные'!$B$81</x:f>
      </x:c>
      <x:c r="CP56" s="35" t="n">
        <x:f>'Ставки'!CP$5+'Вводные'!$B$81</x:f>
      </x:c>
      <x:c r="CQ56" s="35" t="n">
        <x:f>'Ставки'!CQ$5+'Вводные'!$B$81</x:f>
      </x:c>
      <x:c r="CR56" s="35" t="n">
        <x:f>'Ставки'!CR$5+'Вводные'!$B$81</x:f>
      </x:c>
      <x:c r="CS56" s="35" t="n">
        <x:f>'Ставки'!CS$5+'Вводные'!$B$81</x:f>
      </x:c>
      <x:c r="CT56" s="35" t="n">
        <x:f>'Ставки'!CT$5+'Вводные'!$B$81</x:f>
      </x:c>
      <x:c r="CU56" s="35" t="n">
        <x:f>'Ставки'!CU$5+'Вводные'!$B$81</x:f>
      </x:c>
      <x:c r="CV56" s="35" t="n">
        <x:f>'Ставки'!CV$5+'Вводные'!$B$81</x:f>
      </x:c>
      <x:c r="CW56" s="35" t="n">
        <x:f>'Ставки'!CW$5+'Вводные'!$B$81</x:f>
      </x:c>
      <x:c r="CX56" s="35" t="n">
        <x:f>'Ставки'!CX$5+'Вводные'!$B$81</x:f>
      </x:c>
      <x:c r="CY56" s="35" t="n">
        <x:f>'Ставки'!CY$5+'Вводные'!$B$81</x:f>
      </x:c>
      <x:c r="CZ56" s="35" t="n">
        <x:f>'Ставки'!CZ$5+'Вводные'!$B$81</x:f>
      </x:c>
      <x:c r="DA56" s="35" t="n">
        <x:f>'Ставки'!DA$5+'Вводные'!$B$81</x:f>
      </x:c>
      <x:c r="DB56" s="35" t="n">
        <x:f>'Ставки'!DB$5+'Вводные'!$B$81</x:f>
      </x:c>
      <x:c r="DC56" s="35" t="n">
        <x:f>'Ставки'!DC$5+'Вводные'!$B$81</x:f>
      </x:c>
      <x:c r="DD56" s="35" t="n">
        <x:f>'Ставки'!DD$5+'Вводные'!$B$81</x:f>
      </x:c>
      <x:c r="DE56" s="35" t="n">
        <x:f>'Ставки'!DE$5+'Вводные'!$B$81</x:f>
      </x:c>
      <x:c r="DF56" s="35" t="n">
        <x:f>'Ставки'!DF$5+'Вводные'!$B$81</x:f>
      </x:c>
      <x:c r="DG56" s="35" t="n">
        <x:f>'Ставки'!DG$5+'Вводные'!$B$81</x:f>
      </x:c>
      <x:c r="DH56" s="35" t="n">
        <x:f>'Ставки'!DH$5+'Вводные'!$B$81</x:f>
      </x:c>
      <x:c r="DI56" s="35" t="n">
        <x:f>'Ставки'!DI$5+'Вводные'!$B$81</x:f>
      </x:c>
      <x:c r="DJ56" s="35" t="n">
        <x:f>'Ставки'!DJ$5+'Вводные'!$B$81</x:f>
      </x:c>
      <x:c r="DK56" s="35" t="n">
        <x:f>'Ставки'!DK$5+'Вводные'!$B$81</x:f>
      </x:c>
      <x:c r="DL56" s="35" t="n">
        <x:f>'Ставки'!DL$5+'Вводные'!$B$81</x:f>
      </x:c>
      <x:c r="DM56" s="35" t="n">
        <x:f>'Ставки'!DM$5+'Вводные'!$B$81</x:f>
      </x:c>
      <x:c r="DN56" s="35" t="n">
        <x:f>'Ставки'!DN$5+'Вводные'!$B$81</x:f>
      </x:c>
      <x:c r="DO56" s="35" t="n">
        <x:f>'Ставки'!DO$5+'Вводные'!$B$81</x:f>
      </x:c>
      <x:c r="DP56" s="35" t="n">
        <x:f>'Ставки'!DP$5+'Вводные'!$B$81</x:f>
      </x:c>
      <x:c r="DQ56" s="35" t="n">
        <x:f>'Ставки'!DQ$5+'Вводные'!$B$81</x:f>
      </x:c>
      <x:c r="DR56" s="35" t="n">
        <x:f>'Ставки'!DR$5+'Вводные'!$B$81</x:f>
      </x:c>
      <x:c r="DS56" s="35" t="n">
        <x:f>'Ставки'!DS$5+'Вводные'!$B$81</x:f>
      </x:c>
    </x:row>
  </x:sheetData>
  <x:mergeCells>
    <x:mergeCell ref="A1:DS1"/>
    <x:mergeCell ref="A6:DS6"/>
    <x:mergeCell ref="A19:DS19"/>
    <x:mergeCell ref="A32:DS32"/>
    <x:mergeCell ref="A45:DS4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CAPEX И КОММЕРЧЕСКИЕ РАСХОДЫ · ПОМЕСЯЧНО</x:v>
      </x:c>
      <x:c r="B1" s="4" t="str">
        <x:v>CAPEX И КОММЕРЧЕСКИЕ РАСХОДЫ · ПОМЕСЯЧНО</x:v>
      </x:c>
      <x:c r="C1" s="4" t="str">
        <x:v>CAPEX И КОММЕРЧЕСКИЕ РАСХОДЫ · ПОМЕСЯЧНО</x:v>
      </x:c>
      <x:c r="D1" s="4" t="str">
        <x:v>CAPEX И КОММЕРЧЕСКИЕ РАСХОДЫ · ПОМЕСЯЧНО</x:v>
      </x:c>
      <x:c r="E1" s="4" t="str">
        <x:v>CAPEX И КОММЕРЧЕСКИЕ РАСХОДЫ · ПОМЕСЯЧНО</x:v>
      </x:c>
      <x:c r="F1" s="4" t="str">
        <x:v>CAPEX И КОММЕРЧЕСКИЕ РАСХОДЫ · ПОМЕСЯЧНО</x:v>
      </x:c>
      <x:c r="G1" s="4" t="str">
        <x:v>CAPEX И КОММЕРЧЕСКИЕ РАСХОДЫ · ПОМЕСЯЧНО</x:v>
      </x:c>
      <x:c r="H1" s="4" t="str">
        <x:v>CAPEX И КОММЕРЧЕСКИЕ РАСХОДЫ · ПОМЕСЯЧНО</x:v>
      </x:c>
      <x:c r="I1" s="4" t="str">
        <x:v>CAPEX И КОММЕРЧЕСКИЕ РАСХОДЫ · ПОМЕСЯЧНО</x:v>
      </x:c>
      <x:c r="J1" s="4" t="str">
        <x:v>CAPEX И КОММЕРЧЕСКИЕ РАСХОДЫ · ПОМЕСЯЧНО</x:v>
      </x:c>
      <x:c r="K1" s="4" t="str">
        <x:v>CAPEX И КОММЕРЧЕСКИЕ РАСХОДЫ · ПОМЕСЯЧНО</x:v>
      </x:c>
      <x:c r="L1" s="4" t="str">
        <x:v>CAPEX И КОММЕРЧЕСКИЕ РАСХОДЫ · ПОМЕСЯЧНО</x:v>
      </x:c>
      <x:c r="M1" s="4" t="str">
        <x:v>CAPEX И КОММЕРЧЕСКИЕ РАСХОДЫ · ПОМЕСЯЧНО</x:v>
      </x:c>
      <x:c r="N1" s="4" t="str">
        <x:v>CAPEX И КОММЕРЧЕСКИЕ РАСХОДЫ · ПОМЕСЯЧНО</x:v>
      </x:c>
      <x:c r="O1" s="4" t="str">
        <x:v>CAPEX И КОММЕРЧЕСКИЕ РАСХОДЫ · ПОМЕСЯЧНО</x:v>
      </x:c>
      <x:c r="P1" s="4" t="str">
        <x:v>CAPEX И КОММЕРЧЕСКИЕ РАСХОДЫ · ПОМЕСЯЧНО</x:v>
      </x:c>
      <x:c r="Q1" s="4" t="str">
        <x:v>CAPEX И КОММЕРЧЕСКИЕ РАСХОДЫ · ПОМЕСЯЧНО</x:v>
      </x:c>
      <x:c r="R1" s="4" t="str">
        <x:v>CAPEX И КОММЕРЧЕСКИЕ РАСХОДЫ · ПОМЕСЯЧНО</x:v>
      </x:c>
      <x:c r="S1" s="4" t="str">
        <x:v>CAPEX И КОММЕРЧЕСКИЕ РАСХОДЫ · ПОМЕСЯЧНО</x:v>
      </x:c>
      <x:c r="T1" s="4" t="str">
        <x:v>CAPEX И КОММЕРЧЕСКИЕ РАСХОДЫ · ПОМЕСЯЧНО</x:v>
      </x:c>
      <x:c r="U1" s="4" t="str">
        <x:v>CAPEX И КОММЕРЧЕСКИЕ РАСХОДЫ · ПОМЕСЯЧНО</x:v>
      </x:c>
      <x:c r="V1" s="4" t="str">
        <x:v>CAPEX И КОММЕРЧЕСКИЕ РАСХОДЫ · ПОМЕСЯЧНО</x:v>
      </x:c>
      <x:c r="W1" s="4" t="str">
        <x:v>CAPEX И КОММЕРЧЕСКИЕ РАСХОДЫ · ПОМЕСЯЧНО</x:v>
      </x:c>
      <x:c r="X1" s="4" t="str">
        <x:v>CAPEX И КОММЕРЧЕСКИЕ РАСХОДЫ · ПОМЕСЯЧНО</x:v>
      </x:c>
      <x:c r="Y1" s="4" t="str">
        <x:v>CAPEX И КОММЕРЧЕСКИЕ РАСХОДЫ · ПОМЕСЯЧНО</x:v>
      </x:c>
      <x:c r="Z1" s="4" t="str">
        <x:v>CAPEX И КОММЕРЧЕСКИЕ РАСХОДЫ · ПОМЕСЯЧНО</x:v>
      </x:c>
      <x:c r="AA1" s="4" t="str">
        <x:v>CAPEX И КОММЕРЧЕСКИЕ РАСХОДЫ · ПОМЕСЯЧНО</x:v>
      </x:c>
      <x:c r="AB1" s="4" t="str">
        <x:v>CAPEX И КОММЕРЧЕСКИЕ РАСХОДЫ · ПОМЕСЯЧНО</x:v>
      </x:c>
      <x:c r="AC1" s="4" t="str">
        <x:v>CAPEX И КОММЕРЧЕСКИЕ РАСХОДЫ · ПОМЕСЯЧНО</x:v>
      </x:c>
      <x:c r="AD1" s="4" t="str">
        <x:v>CAPEX И КОММЕРЧЕСКИЕ РАСХОДЫ · ПОМЕСЯЧНО</x:v>
      </x:c>
      <x:c r="AE1" s="4" t="str">
        <x:v>CAPEX И КОММЕРЧЕСКИЕ РАСХОДЫ · ПОМЕСЯЧНО</x:v>
      </x:c>
      <x:c r="AF1" s="4" t="str">
        <x:v>CAPEX И КОММЕРЧЕСКИЕ РАСХОДЫ · ПОМЕСЯЧНО</x:v>
      </x:c>
      <x:c r="AG1" s="4" t="str">
        <x:v>CAPEX И КОММЕРЧЕСКИЕ РАСХОДЫ · ПОМЕСЯЧНО</x:v>
      </x:c>
      <x:c r="AH1" s="4" t="str">
        <x:v>CAPEX И КОММЕРЧЕСКИЕ РАСХОДЫ · ПОМЕСЯЧНО</x:v>
      </x:c>
      <x:c r="AI1" s="4" t="str">
        <x:v>CAPEX И КОММЕРЧЕСКИЕ РАСХОДЫ · ПОМЕСЯЧНО</x:v>
      </x:c>
      <x:c r="AJ1" s="4" t="str">
        <x:v>CAPEX И КОММЕРЧЕСКИЕ РАСХОДЫ · ПОМЕСЯЧНО</x:v>
      </x:c>
      <x:c r="AK1" s="4" t="str">
        <x:v>CAPEX И КОММЕРЧЕСКИЕ РАСХОДЫ · ПОМЕСЯЧНО</x:v>
      </x:c>
      <x:c r="AL1" s="4" t="str">
        <x:v>CAPEX И КОММЕРЧЕСКИЕ РАСХОДЫ · ПОМЕСЯЧНО</x:v>
      </x:c>
      <x:c r="AM1" s="4" t="str">
        <x:v>CAPEX И КОММЕРЧЕСКИЕ РАСХОДЫ · ПОМЕСЯЧНО</x:v>
      </x:c>
      <x:c r="AN1" s="4" t="str">
        <x:v>CAPEX И КОММЕРЧЕСКИЕ РАСХОДЫ · ПОМЕСЯЧНО</x:v>
      </x:c>
      <x:c r="AO1" s="4" t="str">
        <x:v>CAPEX И КОММЕРЧЕСКИЕ РАСХОДЫ · ПОМЕСЯЧНО</x:v>
      </x:c>
      <x:c r="AP1" s="4" t="str">
        <x:v>CAPEX И КОММЕРЧЕСКИЕ РАСХОДЫ · ПОМЕСЯЧНО</x:v>
      </x:c>
      <x:c r="AQ1" s="4" t="str">
        <x:v>CAPEX И КОММЕРЧЕСКИЕ РАСХОДЫ · ПОМЕСЯЧНО</x:v>
      </x:c>
      <x:c r="AR1" s="4" t="str">
        <x:v>CAPEX И КОММЕРЧЕСКИЕ РАСХОДЫ · ПОМЕСЯЧНО</x:v>
      </x:c>
      <x:c r="AS1" s="4" t="str">
        <x:v>CAPEX И КОММЕРЧЕСКИЕ РАСХОДЫ · ПОМЕСЯЧНО</x:v>
      </x:c>
      <x:c r="AT1" s="4" t="str">
        <x:v>CAPEX И КОММЕРЧЕСКИЕ РАСХОДЫ · ПОМЕСЯЧНО</x:v>
      </x:c>
      <x:c r="AU1" s="4" t="str">
        <x:v>CAPEX И КОММЕРЧЕСКИЕ РАСХОДЫ · ПОМЕСЯЧНО</x:v>
      </x:c>
      <x:c r="AV1" s="4" t="str">
        <x:v>CAPEX И КОММЕРЧЕСКИЕ РАСХОДЫ · ПОМЕСЯЧНО</x:v>
      </x:c>
      <x:c r="AW1" s="4" t="str">
        <x:v>CAPEX И КОММЕРЧЕСКИЕ РАСХОДЫ · ПОМЕСЯЧНО</x:v>
      </x:c>
      <x:c r="AX1" s="4" t="str">
        <x:v>CAPEX И КОММЕРЧЕСКИЕ РАСХОДЫ · ПОМЕСЯЧНО</x:v>
      </x:c>
      <x:c r="AY1" s="4" t="str">
        <x:v>CAPEX И КОММЕРЧЕСКИЕ РАСХОДЫ · ПОМЕСЯЧНО</x:v>
      </x:c>
      <x:c r="AZ1" s="4" t="str">
        <x:v>CAPEX И КОММЕРЧЕСКИЕ РАСХОДЫ · ПОМЕСЯЧНО</x:v>
      </x:c>
      <x:c r="BA1" s="4" t="str">
        <x:v>CAPEX И КОММЕРЧЕСКИЕ РАСХОДЫ · ПОМЕСЯЧНО</x:v>
      </x:c>
      <x:c r="BB1" s="4" t="str">
        <x:v>CAPEX И КОММЕРЧЕСКИЕ РАСХОДЫ · ПОМЕСЯЧНО</x:v>
      </x:c>
      <x:c r="BC1" s="4" t="str">
        <x:v>CAPEX И КОММЕРЧЕСКИЕ РАСХОДЫ · ПОМЕСЯЧНО</x:v>
      </x:c>
      <x:c r="BD1" s="4" t="str">
        <x:v>CAPEX И КОММЕРЧЕСКИЕ РАСХОДЫ · ПОМЕСЯЧНО</x:v>
      </x:c>
      <x:c r="BE1" s="4" t="str">
        <x:v>CAPEX И КОММЕРЧЕСКИЕ РАСХОДЫ · ПОМЕСЯЧНО</x:v>
      </x:c>
      <x:c r="BF1" s="4" t="str">
        <x:v>CAPEX И КОММЕРЧЕСКИЕ РАСХОДЫ · ПОМЕСЯЧНО</x:v>
      </x:c>
      <x:c r="BG1" s="4" t="str">
        <x:v>CAPEX И КОММЕРЧЕСКИЕ РАСХОДЫ · ПОМЕСЯЧНО</x:v>
      </x:c>
      <x:c r="BH1" s="4" t="str">
        <x:v>CAPEX И КОММЕРЧЕСКИЕ РАСХОДЫ · ПОМЕСЯЧНО</x:v>
      </x:c>
      <x:c r="BI1" s="4" t="str">
        <x:v>CAPEX И КОММЕРЧЕСКИЕ РАСХОДЫ · ПОМЕСЯЧНО</x:v>
      </x:c>
      <x:c r="BJ1" s="4" t="str">
        <x:v>CAPEX И КОММЕРЧЕСКИЕ РАСХОДЫ · ПОМЕСЯЧНО</x:v>
      </x:c>
      <x:c r="BK1" s="4" t="str">
        <x:v>CAPEX И КОММЕРЧЕСКИЕ РАСХОДЫ · ПОМЕСЯЧНО</x:v>
      </x:c>
      <x:c r="BL1" s="4" t="str">
        <x:v>CAPEX И КОММЕРЧЕСКИЕ РАСХОДЫ · ПОМЕСЯЧНО</x:v>
      </x:c>
      <x:c r="BM1" s="4" t="str">
        <x:v>CAPEX И КОММЕРЧЕСКИЕ РАСХОДЫ · ПОМЕСЯЧНО</x:v>
      </x:c>
      <x:c r="BN1" s="4" t="str">
        <x:v>CAPEX И КОММЕРЧЕСКИЕ РАСХОДЫ · ПОМЕСЯЧНО</x:v>
      </x:c>
      <x:c r="BO1" s="4" t="str">
        <x:v>CAPEX И КОММЕРЧЕСКИЕ РАСХОДЫ · ПОМЕСЯЧНО</x:v>
      </x:c>
      <x:c r="BP1" s="4" t="str">
        <x:v>CAPEX И КОММЕРЧЕСКИЕ РАСХОДЫ · ПОМЕСЯЧНО</x:v>
      </x:c>
      <x:c r="BQ1" s="4" t="str">
        <x:v>CAPEX И КОММЕРЧЕСКИЕ РАСХОДЫ · ПОМЕСЯЧНО</x:v>
      </x:c>
      <x:c r="BR1" s="4" t="str">
        <x:v>CAPEX И КОММЕРЧЕСКИЕ РАСХОДЫ · ПОМЕСЯЧНО</x:v>
      </x:c>
      <x:c r="BS1" s="4" t="str">
        <x:v>CAPEX И КОММЕРЧЕСКИЕ РАСХОДЫ · ПОМЕСЯЧНО</x:v>
      </x:c>
      <x:c r="BT1" s="4" t="str">
        <x:v>CAPEX И КОММЕРЧЕСКИЕ РАСХОДЫ · ПОМЕСЯЧНО</x:v>
      </x:c>
      <x:c r="BU1" s="4" t="str">
        <x:v>CAPEX И КОММЕРЧЕСКИЕ РАСХОДЫ · ПОМЕСЯЧНО</x:v>
      </x:c>
      <x:c r="BV1" s="4" t="str">
        <x:v>CAPEX И КОММЕРЧЕСКИЕ РАСХОДЫ · ПОМЕСЯЧНО</x:v>
      </x:c>
      <x:c r="BW1" s="4" t="str">
        <x:v>CAPEX И КОММЕРЧЕСКИЕ РАСХОДЫ · ПОМЕСЯЧНО</x:v>
      </x:c>
      <x:c r="BX1" s="4" t="str">
        <x:v>CAPEX И КОММЕРЧЕСКИЕ РАСХОДЫ · ПОМЕСЯЧНО</x:v>
      </x:c>
      <x:c r="BY1" s="4" t="str">
        <x:v>CAPEX И КОММЕРЧЕСКИЕ РАСХОДЫ · ПОМЕСЯЧНО</x:v>
      </x:c>
      <x:c r="BZ1" s="4" t="str">
        <x:v>CAPEX И КОММЕРЧЕСКИЕ РАСХОДЫ · ПОМЕСЯЧНО</x:v>
      </x:c>
      <x:c r="CA1" s="4" t="str">
        <x:v>CAPEX И КОММЕРЧЕСКИЕ РАСХОДЫ · ПОМЕСЯЧНО</x:v>
      </x:c>
      <x:c r="CB1" s="4" t="str">
        <x:v>CAPEX И КОММЕРЧЕСКИЕ РАСХОДЫ · ПОМЕСЯЧНО</x:v>
      </x:c>
      <x:c r="CC1" s="4" t="str">
        <x:v>CAPEX И КОММЕРЧЕСКИЕ РАСХОДЫ · ПОМЕСЯЧНО</x:v>
      </x:c>
      <x:c r="CD1" s="4" t="str">
        <x:v>CAPEX И КОММЕРЧЕСКИЕ РАСХОДЫ · ПОМЕСЯЧНО</x:v>
      </x:c>
      <x:c r="CE1" s="4" t="str">
        <x:v>CAPEX И КОММЕРЧЕСКИЕ РАСХОДЫ · ПОМЕСЯЧНО</x:v>
      </x:c>
      <x:c r="CF1" s="4" t="str">
        <x:v>CAPEX И КОММЕРЧЕСКИЕ РАСХОДЫ · ПОМЕСЯЧНО</x:v>
      </x:c>
      <x:c r="CG1" s="4" t="str">
        <x:v>CAPEX И КОММЕРЧЕСКИЕ РАСХОДЫ · ПОМЕСЯЧНО</x:v>
      </x:c>
      <x:c r="CH1" s="4" t="str">
        <x:v>CAPEX И КОММЕРЧЕСКИЕ РАСХОДЫ · ПОМЕСЯЧНО</x:v>
      </x:c>
      <x:c r="CI1" s="4" t="str">
        <x:v>CAPEX И КОММЕРЧЕСКИЕ РАСХОДЫ · ПОМЕСЯЧНО</x:v>
      </x:c>
      <x:c r="CJ1" s="4" t="str">
        <x:v>CAPEX И КОММЕРЧЕСКИЕ РАСХОДЫ · ПОМЕСЯЧНО</x:v>
      </x:c>
      <x:c r="CK1" s="4" t="str">
        <x:v>CAPEX И КОММЕРЧЕСКИЕ РАСХОДЫ · ПОМЕСЯЧНО</x:v>
      </x:c>
      <x:c r="CL1" s="4" t="str">
        <x:v>CAPEX И КОММЕРЧЕСКИЕ РАСХОДЫ · ПОМЕСЯЧНО</x:v>
      </x:c>
      <x:c r="CM1" s="4" t="str">
        <x:v>CAPEX И КОММЕРЧЕСКИЕ РАСХОДЫ · ПОМЕСЯЧНО</x:v>
      </x:c>
      <x:c r="CN1" s="4" t="str">
        <x:v>CAPEX И КОММЕРЧЕСКИЕ РАСХОДЫ · ПОМЕСЯЧНО</x:v>
      </x:c>
      <x:c r="CO1" s="4" t="str">
        <x:v>CAPEX И КОММЕРЧЕСКИЕ РАСХОДЫ · ПОМЕСЯЧНО</x:v>
      </x:c>
      <x:c r="CP1" s="4" t="str">
        <x:v>CAPEX И КОММЕРЧЕСКИЕ РАСХОДЫ · ПОМЕСЯЧНО</x:v>
      </x:c>
      <x:c r="CQ1" s="4" t="str">
        <x:v>CAPEX И КОММЕРЧЕСКИЕ РАСХОДЫ · ПОМЕСЯЧНО</x:v>
      </x:c>
      <x:c r="CR1" s="4" t="str">
        <x:v>CAPEX И КОММЕРЧЕСКИЕ РАСХОДЫ · ПОМЕСЯЧНО</x:v>
      </x:c>
      <x:c r="CS1" s="4" t="str">
        <x:v>CAPEX И КОММЕРЧЕСКИЕ РАСХОДЫ · ПОМЕСЯЧНО</x:v>
      </x:c>
      <x:c r="CT1" s="4" t="str">
        <x:v>CAPEX И КОММЕРЧЕСКИЕ РАСХОДЫ · ПОМЕСЯЧНО</x:v>
      </x:c>
      <x:c r="CU1" s="4" t="str">
        <x:v>CAPEX И КОММЕРЧЕСКИЕ РАСХОДЫ · ПОМЕСЯЧНО</x:v>
      </x:c>
      <x:c r="CV1" s="4" t="str">
        <x:v>CAPEX И КОММЕРЧЕСКИЕ РАСХОДЫ · ПОМЕСЯЧНО</x:v>
      </x:c>
      <x:c r="CW1" s="4" t="str">
        <x:v>CAPEX И КОММЕРЧЕСКИЕ РАСХОДЫ · ПОМЕСЯЧНО</x:v>
      </x:c>
      <x:c r="CX1" s="4" t="str">
        <x:v>CAPEX И КОММЕРЧЕСКИЕ РАСХОДЫ · ПОМЕСЯЧНО</x:v>
      </x:c>
      <x:c r="CY1" s="4" t="str">
        <x:v>CAPEX И КОММЕРЧЕСКИЕ РАСХОДЫ · ПОМЕСЯЧНО</x:v>
      </x:c>
      <x:c r="CZ1" s="4" t="str">
        <x:v>CAPEX И КОММЕРЧЕСКИЕ РАСХОДЫ · ПОМЕСЯЧНО</x:v>
      </x:c>
      <x:c r="DA1" s="4" t="str">
        <x:v>CAPEX И КОММЕРЧЕСКИЕ РАСХОДЫ · ПОМЕСЯЧНО</x:v>
      </x:c>
      <x:c r="DB1" s="4" t="str">
        <x:v>CAPEX И КОММЕРЧЕСКИЕ РАСХОДЫ · ПОМЕСЯЧНО</x:v>
      </x:c>
      <x:c r="DC1" s="4" t="str">
        <x:v>CAPEX И КОММЕРЧЕСКИЕ РАСХОДЫ · ПОМЕСЯЧНО</x:v>
      </x:c>
      <x:c r="DD1" s="4" t="str">
        <x:v>CAPEX И КОММЕРЧЕСКИЕ РАСХОДЫ · ПОМЕСЯЧНО</x:v>
      </x:c>
      <x:c r="DE1" s="4" t="str">
        <x:v>CAPEX И КОММЕРЧЕСКИЕ РАСХОДЫ · ПОМЕСЯЧНО</x:v>
      </x:c>
      <x:c r="DF1" s="4" t="str">
        <x:v>CAPEX И КОММЕРЧЕСКИЕ РАСХОДЫ · ПОМЕСЯЧНО</x:v>
      </x:c>
      <x:c r="DG1" s="4" t="str">
        <x:v>CAPEX И КОММЕРЧЕСКИЕ РАСХОДЫ · ПОМЕСЯЧНО</x:v>
      </x:c>
      <x:c r="DH1" s="4" t="str">
        <x:v>CAPEX И КОММЕРЧЕСКИЕ РАСХОДЫ · ПОМЕСЯЧНО</x:v>
      </x:c>
      <x:c r="DI1" s="4" t="str">
        <x:v>CAPEX И КОММЕРЧЕСКИЕ РАСХОДЫ · ПОМЕСЯЧНО</x:v>
      </x:c>
      <x:c r="DJ1" s="4" t="str">
        <x:v>CAPEX И КОММЕРЧЕСКИЕ РАСХОДЫ · ПОМЕСЯЧНО</x:v>
      </x:c>
      <x:c r="DK1" s="4" t="str">
        <x:v>CAPEX И КОММЕРЧЕСКИЕ РАСХОДЫ · ПОМЕСЯЧНО</x:v>
      </x:c>
      <x:c r="DL1" s="4" t="str">
        <x:v>CAPEX И КОММЕРЧЕСКИЕ РАСХОДЫ · ПОМЕСЯЧНО</x:v>
      </x:c>
      <x:c r="DM1" s="4" t="str">
        <x:v>CAPEX И КОММЕРЧЕСКИЕ РАСХОДЫ · ПОМЕСЯЧНО</x:v>
      </x:c>
      <x:c r="DN1" s="4" t="str">
        <x:v>CAPEX И КОММЕРЧЕСКИЕ РАСХОДЫ · ПОМЕСЯЧНО</x:v>
      </x:c>
      <x:c r="DO1" s="4" t="str">
        <x:v>CAPEX И КОММЕРЧЕСКИЕ РАСХОДЫ · ПОМЕСЯЧНО</x:v>
      </x:c>
      <x:c r="DP1" s="4" t="str">
        <x:v>CAPEX И КОММЕРЧЕСКИЕ РАСХОДЫ · ПОМЕСЯЧНО</x:v>
      </x:c>
      <x:c r="DQ1" s="4" t="str">
        <x:v>CAPEX И КОММЕРЧЕСКИЕ РАСХОДЫ · ПОМЕСЯЧНО</x:v>
      </x:c>
      <x:c r="DR1" s="4" t="str">
        <x:v>CAPEX И КОММЕРЧЕСКИЕ РАСХОДЫ · ПОМЕСЯЧНО</x:v>
      </x:c>
      <x:c r="DS1" s="4" t="str">
        <x:v>CAPEX И КОММЕРЧЕСКИЕ РАСХОДЫ · ПОМЕСЯЧНО</x:v>
      </x:c>
    </x:row>
    <x:row r="3">
      <x:c r="A3" s="23" t="str">
        <x:v>Статья</x:v>
      </x:c>
      <x:c r="B3" s="23" t="str">
        <x:v>Итого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РнС / открытие ПФ</x:v>
      </x:c>
      <x:c r="B7" s="106" t="n">
        <x:f>EDATE('Вводные'!$D$88,'Вводные'!$E$88+'Вводные'!$H$9)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 t="str">
        <x:v>Флаг проекта</x:v>
      </x:c>
      <x:c r="B9"/>
      <x:c r="C9" t="str">
        <x:v>0/1</x:v>
      </x:c>
      <x:c r="D9" t="n">
        <x:f>--AND(D$3&gt;=EDATE($B$7,-'Вводные'!$E$88),D$3&lt;$B$8,'Вводные'!$B$88="Да")</x:f>
      </x:c>
      <x:c r="E9" t="n">
        <x:f>--AND(E$3&gt;=EDATE($B$7,-'Вводные'!$E$88),E$3&lt;$B$8,'Вводные'!$B$88="Да")</x:f>
      </x:c>
      <x:c r="F9" t="n">
        <x:f>--AND(F$3&gt;=EDATE($B$7,-'Вводные'!$E$88),F$3&lt;$B$8,'Вводные'!$B$88="Да")</x:f>
      </x:c>
      <x:c r="G9" t="n">
        <x:f>--AND(G$3&gt;=EDATE($B$7,-'Вводные'!$E$88),G$3&lt;$B$8,'Вводные'!$B$88="Да")</x:f>
      </x:c>
      <x:c r="H9" t="n">
        <x:f>--AND(H$3&gt;=EDATE($B$7,-'Вводные'!$E$88),H$3&lt;$B$8,'Вводные'!$B$88="Да")</x:f>
      </x:c>
      <x:c r="I9" t="n">
        <x:f>--AND(I$3&gt;=EDATE($B$7,-'Вводные'!$E$88),I$3&lt;$B$8,'Вводные'!$B$88="Да")</x:f>
      </x:c>
      <x:c r="J9" t="n">
        <x:f>--AND(J$3&gt;=EDATE($B$7,-'Вводные'!$E$88),J$3&lt;$B$8,'Вводные'!$B$88="Да")</x:f>
      </x:c>
      <x:c r="K9" t="n">
        <x:f>--AND(K$3&gt;=EDATE($B$7,-'Вводные'!$E$88),K$3&lt;$B$8,'Вводные'!$B$88="Да")</x:f>
      </x:c>
      <x:c r="L9" t="n">
        <x:f>--AND(L$3&gt;=EDATE($B$7,-'Вводные'!$E$88),L$3&lt;$B$8,'Вводные'!$B$88="Да")</x:f>
      </x:c>
      <x:c r="M9" t="n">
        <x:f>--AND(M$3&gt;=EDATE($B$7,-'Вводные'!$E$88),M$3&lt;$B$8,'Вводные'!$B$88="Да")</x:f>
      </x:c>
      <x:c r="N9" t="n">
        <x:f>--AND(N$3&gt;=EDATE($B$7,-'Вводные'!$E$88),N$3&lt;$B$8,'Вводные'!$B$88="Да")</x:f>
      </x:c>
      <x:c r="O9" t="n">
        <x:f>--AND(O$3&gt;=EDATE($B$7,-'Вводные'!$E$88),O$3&lt;$B$8,'Вводные'!$B$88="Да")</x:f>
      </x:c>
      <x:c r="P9" t="n">
        <x:f>--AND(P$3&gt;=EDATE($B$7,-'Вводные'!$E$88),P$3&lt;$B$8,'Вводные'!$B$88="Да")</x:f>
      </x:c>
      <x:c r="Q9" t="n">
        <x:f>--AND(Q$3&gt;=EDATE($B$7,-'Вводные'!$E$88),Q$3&lt;$B$8,'Вводные'!$B$88="Да")</x:f>
      </x:c>
      <x:c r="R9" t="n">
        <x:f>--AND(R$3&gt;=EDATE($B$7,-'Вводные'!$E$88),R$3&lt;$B$8,'Вводные'!$B$88="Да")</x:f>
      </x:c>
      <x:c r="S9" t="n">
        <x:f>--AND(S$3&gt;=EDATE($B$7,-'Вводные'!$E$88),S$3&lt;$B$8,'Вводные'!$B$88="Да")</x:f>
      </x:c>
      <x:c r="T9" t="n">
        <x:f>--AND(T$3&gt;=EDATE($B$7,-'Вводные'!$E$88),T$3&lt;$B$8,'Вводные'!$B$88="Да")</x:f>
      </x:c>
      <x:c r="U9" t="n">
        <x:f>--AND(U$3&gt;=EDATE($B$7,-'Вводные'!$E$88),U$3&lt;$B$8,'Вводные'!$B$88="Да")</x:f>
      </x:c>
      <x:c r="V9" t="n">
        <x:f>--AND(V$3&gt;=EDATE($B$7,-'Вводные'!$E$88),V$3&lt;$B$8,'Вводные'!$B$88="Да")</x:f>
      </x:c>
      <x:c r="W9" t="n">
        <x:f>--AND(W$3&gt;=EDATE($B$7,-'Вводные'!$E$88),W$3&lt;$B$8,'Вводные'!$B$88="Да")</x:f>
      </x:c>
      <x:c r="X9" t="n">
        <x:f>--AND(X$3&gt;=EDATE($B$7,-'Вводные'!$E$88),X$3&lt;$B$8,'Вводные'!$B$88="Да")</x:f>
      </x:c>
      <x:c r="Y9" t="n">
        <x:f>--AND(Y$3&gt;=EDATE($B$7,-'Вводные'!$E$88),Y$3&lt;$B$8,'Вводные'!$B$88="Да")</x:f>
      </x:c>
      <x:c r="Z9" t="n">
        <x:f>--AND(Z$3&gt;=EDATE($B$7,-'Вводные'!$E$88),Z$3&lt;$B$8,'Вводные'!$B$88="Да")</x:f>
      </x:c>
      <x:c r="AA9" t="n">
        <x:f>--AND(AA$3&gt;=EDATE($B$7,-'Вводные'!$E$88),AA$3&lt;$B$8,'Вводные'!$B$88="Да")</x:f>
      </x:c>
      <x:c r="AB9" t="n">
        <x:f>--AND(AB$3&gt;=EDATE($B$7,-'Вводные'!$E$88),AB$3&lt;$B$8,'Вводные'!$B$88="Да")</x:f>
      </x:c>
      <x:c r="AC9" t="n">
        <x:f>--AND(AC$3&gt;=EDATE($B$7,-'Вводные'!$E$88),AC$3&lt;$B$8,'Вводные'!$B$88="Да")</x:f>
      </x:c>
      <x:c r="AD9" t="n">
        <x:f>--AND(AD$3&gt;=EDATE($B$7,-'Вводные'!$E$88),AD$3&lt;$B$8,'Вводные'!$B$88="Да")</x:f>
      </x:c>
      <x:c r="AE9" t="n">
        <x:f>--AND(AE$3&gt;=EDATE($B$7,-'Вводные'!$E$88),AE$3&lt;$B$8,'Вводные'!$B$88="Да")</x:f>
      </x:c>
      <x:c r="AF9" t="n">
        <x:f>--AND(AF$3&gt;=EDATE($B$7,-'Вводные'!$E$88),AF$3&lt;$B$8,'Вводные'!$B$88="Да")</x:f>
      </x:c>
      <x:c r="AG9" t="n">
        <x:f>--AND(AG$3&gt;=EDATE($B$7,-'Вводные'!$E$88),AG$3&lt;$B$8,'Вводные'!$B$88="Да")</x:f>
      </x:c>
      <x:c r="AH9" t="n">
        <x:f>--AND(AH$3&gt;=EDATE($B$7,-'Вводные'!$E$88),AH$3&lt;$B$8,'Вводные'!$B$88="Да")</x:f>
      </x:c>
      <x:c r="AI9" t="n">
        <x:f>--AND(AI$3&gt;=EDATE($B$7,-'Вводные'!$E$88),AI$3&lt;$B$8,'Вводные'!$B$88="Да")</x:f>
      </x:c>
      <x:c r="AJ9" t="n">
        <x:f>--AND(AJ$3&gt;=EDATE($B$7,-'Вводные'!$E$88),AJ$3&lt;$B$8,'Вводные'!$B$88="Да")</x:f>
      </x:c>
      <x:c r="AK9" t="n">
        <x:f>--AND(AK$3&gt;=EDATE($B$7,-'Вводные'!$E$88),AK$3&lt;$B$8,'Вводные'!$B$88="Да")</x:f>
      </x:c>
      <x:c r="AL9" t="n">
        <x:f>--AND(AL$3&gt;=EDATE($B$7,-'Вводные'!$E$88),AL$3&lt;$B$8,'Вводные'!$B$88="Да")</x:f>
      </x:c>
      <x:c r="AM9" t="n">
        <x:f>--AND(AM$3&gt;=EDATE($B$7,-'Вводные'!$E$88),AM$3&lt;$B$8,'Вводные'!$B$88="Да")</x:f>
      </x:c>
      <x:c r="AN9" t="n">
        <x:f>--AND(AN$3&gt;=EDATE($B$7,-'Вводные'!$E$88),AN$3&lt;$B$8,'Вводные'!$B$88="Да")</x:f>
      </x:c>
      <x:c r="AO9" t="n">
        <x:f>--AND(AO$3&gt;=EDATE($B$7,-'Вводные'!$E$88),AO$3&lt;$B$8,'Вводные'!$B$88="Да")</x:f>
      </x:c>
      <x:c r="AP9" t="n">
        <x:f>--AND(AP$3&gt;=EDATE($B$7,-'Вводные'!$E$88),AP$3&lt;$B$8,'Вводные'!$B$88="Да")</x:f>
      </x:c>
      <x:c r="AQ9" t="n">
        <x:f>--AND(AQ$3&gt;=EDATE($B$7,-'Вводные'!$E$88),AQ$3&lt;$B$8,'Вводные'!$B$88="Да")</x:f>
      </x:c>
      <x:c r="AR9" t="n">
        <x:f>--AND(AR$3&gt;=EDATE($B$7,-'Вводные'!$E$88),AR$3&lt;$B$8,'Вводные'!$B$88="Да")</x:f>
      </x:c>
      <x:c r="AS9" t="n">
        <x:f>--AND(AS$3&gt;=EDATE($B$7,-'Вводные'!$E$88),AS$3&lt;$B$8,'Вводные'!$B$88="Да")</x:f>
      </x:c>
      <x:c r="AT9" t="n">
        <x:f>--AND(AT$3&gt;=EDATE($B$7,-'Вводные'!$E$88),AT$3&lt;$B$8,'Вводные'!$B$88="Да")</x:f>
      </x:c>
      <x:c r="AU9" t="n">
        <x:f>--AND(AU$3&gt;=EDATE($B$7,-'Вводные'!$E$88),AU$3&lt;$B$8,'Вводные'!$B$88="Да")</x:f>
      </x:c>
      <x:c r="AV9" t="n">
        <x:f>--AND(AV$3&gt;=EDATE($B$7,-'Вводные'!$E$88),AV$3&lt;$B$8,'Вводные'!$B$88="Да")</x:f>
      </x:c>
      <x:c r="AW9" t="n">
        <x:f>--AND(AW$3&gt;=EDATE($B$7,-'Вводные'!$E$88),AW$3&lt;$B$8,'Вводные'!$B$88="Да")</x:f>
      </x:c>
      <x:c r="AX9" t="n">
        <x:f>--AND(AX$3&gt;=EDATE($B$7,-'Вводные'!$E$88),AX$3&lt;$B$8,'Вводные'!$B$88="Да")</x:f>
      </x:c>
      <x:c r="AY9" t="n">
        <x:f>--AND(AY$3&gt;=EDATE($B$7,-'Вводные'!$E$88),AY$3&lt;$B$8,'Вводные'!$B$88="Да")</x:f>
      </x:c>
      <x:c r="AZ9" t="n">
        <x:f>--AND(AZ$3&gt;=EDATE($B$7,-'Вводные'!$E$88),AZ$3&lt;$B$8,'Вводные'!$B$88="Да")</x:f>
      </x:c>
      <x:c r="BA9" t="n">
        <x:f>--AND(BA$3&gt;=EDATE($B$7,-'Вводные'!$E$88),BA$3&lt;$B$8,'Вводные'!$B$88="Да")</x:f>
      </x:c>
      <x:c r="BB9" t="n">
        <x:f>--AND(BB$3&gt;=EDATE($B$7,-'Вводные'!$E$88),BB$3&lt;$B$8,'Вводные'!$B$88="Да")</x:f>
      </x:c>
      <x:c r="BC9" t="n">
        <x:f>--AND(BC$3&gt;=EDATE($B$7,-'Вводные'!$E$88),BC$3&lt;$B$8,'Вводные'!$B$88="Да")</x:f>
      </x:c>
      <x:c r="BD9" t="n">
        <x:f>--AND(BD$3&gt;=EDATE($B$7,-'Вводные'!$E$88),BD$3&lt;$B$8,'Вводные'!$B$88="Да")</x:f>
      </x:c>
      <x:c r="BE9" t="n">
        <x:f>--AND(BE$3&gt;=EDATE($B$7,-'Вводные'!$E$88),BE$3&lt;$B$8,'Вводные'!$B$88="Да")</x:f>
      </x:c>
      <x:c r="BF9" t="n">
        <x:f>--AND(BF$3&gt;=EDATE($B$7,-'Вводные'!$E$88),BF$3&lt;$B$8,'Вводные'!$B$88="Да")</x:f>
      </x:c>
      <x:c r="BG9" t="n">
        <x:f>--AND(BG$3&gt;=EDATE($B$7,-'Вводные'!$E$88),BG$3&lt;$B$8,'Вводные'!$B$88="Да")</x:f>
      </x:c>
      <x:c r="BH9" t="n">
        <x:f>--AND(BH$3&gt;=EDATE($B$7,-'Вводные'!$E$88),BH$3&lt;$B$8,'Вводные'!$B$88="Да")</x:f>
      </x:c>
      <x:c r="BI9" t="n">
        <x:f>--AND(BI$3&gt;=EDATE($B$7,-'Вводные'!$E$88),BI$3&lt;$B$8,'Вводные'!$B$88="Да")</x:f>
      </x:c>
      <x:c r="BJ9" t="n">
        <x:f>--AND(BJ$3&gt;=EDATE($B$7,-'Вводные'!$E$88),BJ$3&lt;$B$8,'Вводные'!$B$88="Да")</x:f>
      </x:c>
      <x:c r="BK9" t="n">
        <x:f>--AND(BK$3&gt;=EDATE($B$7,-'Вводные'!$E$88),BK$3&lt;$B$8,'Вводные'!$B$88="Да")</x:f>
      </x:c>
      <x:c r="BL9" t="n">
        <x:f>--AND(BL$3&gt;=EDATE($B$7,-'Вводные'!$E$88),BL$3&lt;$B$8,'Вводные'!$B$88="Да")</x:f>
      </x:c>
      <x:c r="BM9" t="n">
        <x:f>--AND(BM$3&gt;=EDATE($B$7,-'Вводные'!$E$88),BM$3&lt;$B$8,'Вводные'!$B$88="Да")</x:f>
      </x:c>
      <x:c r="BN9" t="n">
        <x:f>--AND(BN$3&gt;=EDATE($B$7,-'Вводные'!$E$88),BN$3&lt;$B$8,'Вводные'!$B$88="Да")</x:f>
      </x:c>
      <x:c r="BO9" t="n">
        <x:f>--AND(BO$3&gt;=EDATE($B$7,-'Вводные'!$E$88),BO$3&lt;$B$8,'Вводные'!$B$88="Да")</x:f>
      </x:c>
      <x:c r="BP9" t="n">
        <x:f>--AND(BP$3&gt;=EDATE($B$7,-'Вводные'!$E$88),BP$3&lt;$B$8,'Вводные'!$B$88="Да")</x:f>
      </x:c>
      <x:c r="BQ9" t="n">
        <x:f>--AND(BQ$3&gt;=EDATE($B$7,-'Вводные'!$E$88),BQ$3&lt;$B$8,'Вводные'!$B$88="Да")</x:f>
      </x:c>
      <x:c r="BR9" t="n">
        <x:f>--AND(BR$3&gt;=EDATE($B$7,-'Вводные'!$E$88),BR$3&lt;$B$8,'Вводные'!$B$88="Да")</x:f>
      </x:c>
      <x:c r="BS9" t="n">
        <x:f>--AND(BS$3&gt;=EDATE($B$7,-'Вводные'!$E$88),BS$3&lt;$B$8,'Вводные'!$B$88="Да")</x:f>
      </x:c>
      <x:c r="BT9" t="n">
        <x:f>--AND(BT$3&gt;=EDATE($B$7,-'Вводные'!$E$88),BT$3&lt;$B$8,'Вводные'!$B$88="Да")</x:f>
      </x:c>
      <x:c r="BU9" t="n">
        <x:f>--AND(BU$3&gt;=EDATE($B$7,-'Вводные'!$E$88),BU$3&lt;$B$8,'Вводные'!$B$88="Да")</x:f>
      </x:c>
      <x:c r="BV9" t="n">
        <x:f>--AND(BV$3&gt;=EDATE($B$7,-'Вводные'!$E$88),BV$3&lt;$B$8,'Вводные'!$B$88="Да")</x:f>
      </x:c>
      <x:c r="BW9" t="n">
        <x:f>--AND(BW$3&gt;=EDATE($B$7,-'Вводные'!$E$88),BW$3&lt;$B$8,'Вводные'!$B$88="Да")</x:f>
      </x:c>
      <x:c r="BX9" t="n">
        <x:f>--AND(BX$3&gt;=EDATE($B$7,-'Вводные'!$E$88),BX$3&lt;$B$8,'Вводные'!$B$88="Да")</x:f>
      </x:c>
      <x:c r="BY9" t="n">
        <x:f>--AND(BY$3&gt;=EDATE($B$7,-'Вводные'!$E$88),BY$3&lt;$B$8,'Вводные'!$B$88="Да")</x:f>
      </x:c>
      <x:c r="BZ9" t="n">
        <x:f>--AND(BZ$3&gt;=EDATE($B$7,-'Вводные'!$E$88),BZ$3&lt;$B$8,'Вводные'!$B$88="Да")</x:f>
      </x:c>
      <x:c r="CA9" t="n">
        <x:f>--AND(CA$3&gt;=EDATE($B$7,-'Вводные'!$E$88),CA$3&lt;$B$8,'Вводные'!$B$88="Да")</x:f>
      </x:c>
      <x:c r="CB9" t="n">
        <x:f>--AND(CB$3&gt;=EDATE($B$7,-'Вводные'!$E$88),CB$3&lt;$B$8,'Вводные'!$B$88="Да")</x:f>
      </x:c>
      <x:c r="CC9" t="n">
        <x:f>--AND(CC$3&gt;=EDATE($B$7,-'Вводные'!$E$88),CC$3&lt;$B$8,'Вводные'!$B$88="Да")</x:f>
      </x:c>
      <x:c r="CD9" t="n">
        <x:f>--AND(CD$3&gt;=EDATE($B$7,-'Вводные'!$E$88),CD$3&lt;$B$8,'Вводные'!$B$88="Да")</x:f>
      </x:c>
      <x:c r="CE9" t="n">
        <x:f>--AND(CE$3&gt;=EDATE($B$7,-'Вводные'!$E$88),CE$3&lt;$B$8,'Вводные'!$B$88="Да")</x:f>
      </x:c>
      <x:c r="CF9" t="n">
        <x:f>--AND(CF$3&gt;=EDATE($B$7,-'Вводные'!$E$88),CF$3&lt;$B$8,'Вводные'!$B$88="Да")</x:f>
      </x:c>
      <x:c r="CG9" t="n">
        <x:f>--AND(CG$3&gt;=EDATE($B$7,-'Вводные'!$E$88),CG$3&lt;$B$8,'Вводные'!$B$88="Да")</x:f>
      </x:c>
      <x:c r="CH9" t="n">
        <x:f>--AND(CH$3&gt;=EDATE($B$7,-'Вводные'!$E$88),CH$3&lt;$B$8,'Вводные'!$B$88="Да")</x:f>
      </x:c>
      <x:c r="CI9" t="n">
        <x:f>--AND(CI$3&gt;=EDATE($B$7,-'Вводные'!$E$88),CI$3&lt;$B$8,'Вводные'!$B$88="Да")</x:f>
      </x:c>
      <x:c r="CJ9" t="n">
        <x:f>--AND(CJ$3&gt;=EDATE($B$7,-'Вводные'!$E$88),CJ$3&lt;$B$8,'Вводные'!$B$88="Да")</x:f>
      </x:c>
      <x:c r="CK9" t="n">
        <x:f>--AND(CK$3&gt;=EDATE($B$7,-'Вводные'!$E$88),CK$3&lt;$B$8,'Вводные'!$B$88="Да")</x:f>
      </x:c>
      <x:c r="CL9" t="n">
        <x:f>--AND(CL$3&gt;=EDATE($B$7,-'Вводные'!$E$88),CL$3&lt;$B$8,'Вводные'!$B$88="Да")</x:f>
      </x:c>
      <x:c r="CM9" t="n">
        <x:f>--AND(CM$3&gt;=EDATE($B$7,-'Вводные'!$E$88),CM$3&lt;$B$8,'Вводные'!$B$88="Да")</x:f>
      </x:c>
      <x:c r="CN9" t="n">
        <x:f>--AND(CN$3&gt;=EDATE($B$7,-'Вводные'!$E$88),CN$3&lt;$B$8,'Вводные'!$B$88="Да")</x:f>
      </x:c>
      <x:c r="CO9" t="n">
        <x:f>--AND(CO$3&gt;=EDATE($B$7,-'Вводные'!$E$88),CO$3&lt;$B$8,'Вводные'!$B$88="Да")</x:f>
      </x:c>
      <x:c r="CP9" t="n">
        <x:f>--AND(CP$3&gt;=EDATE($B$7,-'Вводные'!$E$88),CP$3&lt;$B$8,'Вводные'!$B$88="Да")</x:f>
      </x:c>
      <x:c r="CQ9" t="n">
        <x:f>--AND(CQ$3&gt;=EDATE($B$7,-'Вводные'!$E$88),CQ$3&lt;$B$8,'Вводные'!$B$88="Да")</x:f>
      </x:c>
      <x:c r="CR9" t="n">
        <x:f>--AND(CR$3&gt;=EDATE($B$7,-'Вводные'!$E$88),CR$3&lt;$B$8,'Вводные'!$B$88="Да")</x:f>
      </x:c>
      <x:c r="CS9" t="n">
        <x:f>--AND(CS$3&gt;=EDATE($B$7,-'Вводные'!$E$88),CS$3&lt;$B$8,'Вводные'!$B$88="Да")</x:f>
      </x:c>
      <x:c r="CT9" t="n">
        <x:f>--AND(CT$3&gt;=EDATE($B$7,-'Вводные'!$E$88),CT$3&lt;$B$8,'Вводные'!$B$88="Да")</x:f>
      </x:c>
      <x:c r="CU9" t="n">
        <x:f>--AND(CU$3&gt;=EDATE($B$7,-'Вводные'!$E$88),CU$3&lt;$B$8,'Вводные'!$B$88="Да")</x:f>
      </x:c>
      <x:c r="CV9" t="n">
        <x:f>--AND(CV$3&gt;=EDATE($B$7,-'Вводные'!$E$88),CV$3&lt;$B$8,'Вводные'!$B$88="Да")</x:f>
      </x:c>
      <x:c r="CW9" t="n">
        <x:f>--AND(CW$3&gt;=EDATE($B$7,-'Вводные'!$E$88),CW$3&lt;$B$8,'Вводные'!$B$88="Да")</x:f>
      </x:c>
      <x:c r="CX9" t="n">
        <x:f>--AND(CX$3&gt;=EDATE($B$7,-'Вводные'!$E$88),CX$3&lt;$B$8,'Вводные'!$B$88="Да")</x:f>
      </x:c>
      <x:c r="CY9" t="n">
        <x:f>--AND(CY$3&gt;=EDATE($B$7,-'Вводные'!$E$88),CY$3&lt;$B$8,'Вводные'!$B$88="Да")</x:f>
      </x:c>
      <x:c r="CZ9" t="n">
        <x:f>--AND(CZ$3&gt;=EDATE($B$7,-'Вводные'!$E$88),CZ$3&lt;$B$8,'Вводные'!$B$88="Да")</x:f>
      </x:c>
      <x:c r="DA9" t="n">
        <x:f>--AND(DA$3&gt;=EDATE($B$7,-'Вводные'!$E$88),DA$3&lt;$B$8,'Вводные'!$B$88="Да")</x:f>
      </x:c>
      <x:c r="DB9" t="n">
        <x:f>--AND(DB$3&gt;=EDATE($B$7,-'Вводные'!$E$88),DB$3&lt;$B$8,'Вводные'!$B$88="Да")</x:f>
      </x:c>
      <x:c r="DC9" t="n">
        <x:f>--AND(DC$3&gt;=EDATE($B$7,-'Вводные'!$E$88),DC$3&lt;$B$8,'Вводные'!$B$88="Да")</x:f>
      </x:c>
      <x:c r="DD9" t="n">
        <x:f>--AND(DD$3&gt;=EDATE($B$7,-'Вводные'!$E$88),DD$3&lt;$B$8,'Вводные'!$B$88="Да")</x:f>
      </x:c>
      <x:c r="DE9" t="n">
        <x:f>--AND(DE$3&gt;=EDATE($B$7,-'Вводные'!$E$88),DE$3&lt;$B$8,'Вводные'!$B$88="Да")</x:f>
      </x:c>
      <x:c r="DF9" t="n">
        <x:f>--AND(DF$3&gt;=EDATE($B$7,-'Вводные'!$E$88),DF$3&lt;$B$8,'Вводные'!$B$88="Да")</x:f>
      </x:c>
      <x:c r="DG9" t="n">
        <x:f>--AND(DG$3&gt;=EDATE($B$7,-'Вводные'!$E$88),DG$3&lt;$B$8,'Вводные'!$B$88="Да")</x:f>
      </x:c>
      <x:c r="DH9" t="n">
        <x:f>--AND(DH$3&gt;=EDATE($B$7,-'Вводные'!$E$88),DH$3&lt;$B$8,'Вводные'!$B$88="Да")</x:f>
      </x:c>
      <x:c r="DI9" t="n">
        <x:f>--AND(DI$3&gt;=EDATE($B$7,-'Вводные'!$E$88),DI$3&lt;$B$8,'Вводные'!$B$88="Да")</x:f>
      </x:c>
      <x:c r="DJ9" t="n">
        <x:f>--AND(DJ$3&gt;=EDATE($B$7,-'Вводные'!$E$88),DJ$3&lt;$B$8,'Вводные'!$B$88="Да")</x:f>
      </x:c>
      <x:c r="DK9" t="n">
        <x:f>--AND(DK$3&gt;=EDATE($B$7,-'Вводные'!$E$88),DK$3&lt;$B$8,'Вводные'!$B$88="Да")</x:f>
      </x:c>
      <x:c r="DL9" t="n">
        <x:f>--AND(DL$3&gt;=EDATE($B$7,-'Вводные'!$E$88),DL$3&lt;$B$8,'Вводные'!$B$88="Да")</x:f>
      </x:c>
      <x:c r="DM9" t="n">
        <x:f>--AND(DM$3&gt;=EDATE($B$7,-'Вводные'!$E$88),DM$3&lt;$B$8,'Вводные'!$B$88="Да")</x:f>
      </x:c>
      <x:c r="DN9" t="n">
        <x:f>--AND(DN$3&gt;=EDATE($B$7,-'Вводные'!$E$88),DN$3&lt;$B$8,'Вводные'!$B$88="Да")</x:f>
      </x:c>
      <x:c r="DO9" t="n">
        <x:f>--AND(DO$3&gt;=EDATE($B$7,-'Вводные'!$E$88),DO$3&lt;$B$8,'Вводные'!$B$88="Да")</x:f>
      </x:c>
      <x:c r="DP9" t="n">
        <x:f>--AND(DP$3&gt;=EDATE($B$7,-'Вводные'!$E$88),DP$3&lt;$B$8,'Вводные'!$B$88="Да")</x:f>
      </x:c>
      <x:c r="DQ9" t="n">
        <x:f>--AND(DQ$3&gt;=EDATE($B$7,-'Вводные'!$E$88),DQ$3&lt;$B$8,'Вводные'!$B$88="Да")</x:f>
      </x:c>
      <x:c r="DR9" t="n">
        <x:f>--AND(DR$3&gt;=EDATE($B$7,-'Вводные'!$E$88),DR$3&lt;$B$8,'Вводные'!$B$88="Да")</x:f>
      </x:c>
      <x:c r="DS9" t="n">
        <x:f>--AND(DS$3&gt;=EDATE($B$7,-'Вводные'!$E$88),DS$3&lt;$B$8,'Вводные'!$B$88="Да")</x:f>
      </x:c>
    </x:row>
    <x:row r="10">
      <x:c r="A10" t="str">
        <x:v>Нормированный вес проекта</x:v>
      </x:c>
      <x:c r="B10"/>
      <x:c r="C10" t="str">
        <x:v>%</x:v>
      </x:c>
      <x:c r="D10" s="35" t="n">
        <x:f>IFERROR(D9/SUM($D9:$DS9),0)</x:f>
      </x:c>
      <x:c r="E10" s="35" t="n">
        <x:f>IFERROR(E9/SUM($D9:$DS9),0)</x:f>
      </x:c>
      <x:c r="F10" s="35" t="n">
        <x:f>IFERROR(F9/SUM($D9:$DS9),0)</x:f>
      </x:c>
      <x:c r="G10" s="35" t="n">
        <x:f>IFERROR(G9/SUM($D9:$DS9),0)</x:f>
      </x:c>
      <x:c r="H10" s="35" t="n">
        <x:f>IFERROR(H9/SUM($D9:$DS9),0)</x:f>
      </x:c>
      <x:c r="I10" s="35" t="n">
        <x:f>IFERROR(I9/SUM($D9:$DS9),0)</x:f>
      </x:c>
      <x:c r="J10" s="35" t="n">
        <x:f>IFERROR(J9/SUM($D9:$DS9),0)</x:f>
      </x:c>
      <x:c r="K10" s="35" t="n">
        <x:f>IFERROR(K9/SUM($D9:$DS9),0)</x:f>
      </x:c>
      <x:c r="L10" s="35" t="n">
        <x:f>IFERROR(L9/SUM($D9:$DS9),0)</x:f>
      </x:c>
      <x:c r="M10" s="35" t="n">
        <x:f>IFERROR(M9/SUM($D9:$DS9),0)</x:f>
      </x:c>
      <x:c r="N10" s="35" t="n">
        <x:f>IFERROR(N9/SUM($D9:$DS9),0)</x:f>
      </x:c>
      <x:c r="O10" s="35" t="n">
        <x:f>IFERROR(O9/SUM($D9:$DS9),0)</x:f>
      </x:c>
      <x:c r="P10" s="35" t="n">
        <x:f>IFERROR(P9/SUM($D9:$DS9),0)</x:f>
      </x:c>
      <x:c r="Q10" s="35" t="n">
        <x:f>IFERROR(Q9/SUM($D9:$DS9),0)</x:f>
      </x:c>
      <x:c r="R10" s="35" t="n">
        <x:f>IFERROR(R9/SUM($D9:$DS9),0)</x:f>
      </x:c>
      <x:c r="S10" s="35" t="n">
        <x:f>IFERROR(S9/SUM($D9:$DS9),0)</x:f>
      </x:c>
      <x:c r="T10" s="35" t="n">
        <x:f>IFERROR(T9/SUM($D9:$DS9),0)</x:f>
      </x:c>
      <x:c r="U10" s="35" t="n">
        <x:f>IFERROR(U9/SUM($D9:$DS9),0)</x:f>
      </x:c>
      <x:c r="V10" s="35" t="n">
        <x:f>IFERROR(V9/SUM($D9:$DS9),0)</x:f>
      </x:c>
      <x:c r="W10" s="35" t="n">
        <x:f>IFERROR(W9/SUM($D9:$DS9),0)</x:f>
      </x:c>
      <x:c r="X10" s="35" t="n">
        <x:f>IFERROR(X9/SUM($D9:$DS9),0)</x:f>
      </x:c>
      <x:c r="Y10" s="35" t="n">
        <x:f>IFERROR(Y9/SUM($D9:$DS9),0)</x:f>
      </x:c>
      <x:c r="Z10" s="35" t="n">
        <x:f>IFERROR(Z9/SUM($D9:$DS9),0)</x:f>
      </x:c>
      <x:c r="AA10" s="35" t="n">
        <x:f>IFERROR(AA9/SUM($D9:$DS9),0)</x:f>
      </x:c>
      <x:c r="AB10" s="35" t="n">
        <x:f>IFERROR(AB9/SUM($D9:$DS9),0)</x:f>
      </x:c>
      <x:c r="AC10" s="35" t="n">
        <x:f>IFERROR(AC9/SUM($D9:$DS9),0)</x:f>
      </x:c>
      <x:c r="AD10" s="35" t="n">
        <x:f>IFERROR(AD9/SUM($D9:$DS9),0)</x:f>
      </x:c>
      <x:c r="AE10" s="35" t="n">
        <x:f>IFERROR(AE9/SUM($D9:$DS9),0)</x:f>
      </x:c>
      <x:c r="AF10" s="35" t="n">
        <x:f>IFERROR(AF9/SUM($D9:$DS9),0)</x:f>
      </x:c>
      <x:c r="AG10" s="35" t="n">
        <x:f>IFERROR(AG9/SUM($D9:$DS9),0)</x:f>
      </x:c>
      <x:c r="AH10" s="35" t="n">
        <x:f>IFERROR(AH9/SUM($D9:$DS9),0)</x:f>
      </x:c>
      <x:c r="AI10" s="35" t="n">
        <x:f>IFERROR(AI9/SUM($D9:$DS9),0)</x:f>
      </x:c>
      <x:c r="AJ10" s="35" t="n">
        <x:f>IFERROR(AJ9/SUM($D9:$DS9),0)</x:f>
      </x:c>
      <x:c r="AK10" s="35" t="n">
        <x:f>IFERROR(AK9/SUM($D9:$DS9),0)</x:f>
      </x:c>
      <x:c r="AL10" s="35" t="n">
        <x:f>IFERROR(AL9/SUM($D9:$DS9),0)</x:f>
      </x:c>
      <x:c r="AM10" s="35" t="n">
        <x:f>IFERROR(AM9/SUM($D9:$DS9),0)</x:f>
      </x:c>
      <x:c r="AN10" s="35" t="n">
        <x:f>IFERROR(AN9/SUM($D9:$DS9),0)</x:f>
      </x:c>
      <x:c r="AO10" s="35" t="n">
        <x:f>IFERROR(AO9/SUM($D9:$DS9),0)</x:f>
      </x:c>
      <x:c r="AP10" s="35" t="n">
        <x:f>IFERROR(AP9/SUM($D9:$DS9),0)</x:f>
      </x:c>
      <x:c r="AQ10" s="35" t="n">
        <x:f>IFERROR(AQ9/SUM($D9:$DS9),0)</x:f>
      </x:c>
      <x:c r="AR10" s="35" t="n">
        <x:f>IFERROR(AR9/SUM($D9:$DS9),0)</x:f>
      </x:c>
      <x:c r="AS10" s="35" t="n">
        <x:f>IFERROR(AS9/SUM($D9:$DS9),0)</x:f>
      </x:c>
      <x:c r="AT10" s="35" t="n">
        <x:f>IFERROR(AT9/SUM($D9:$DS9),0)</x:f>
      </x:c>
      <x:c r="AU10" s="35" t="n">
        <x:f>IFERROR(AU9/SUM($D9:$DS9),0)</x:f>
      </x:c>
      <x:c r="AV10" s="35" t="n">
        <x:f>IFERROR(AV9/SUM($D9:$DS9),0)</x:f>
      </x:c>
      <x:c r="AW10" s="35" t="n">
        <x:f>IFERROR(AW9/SUM($D9:$DS9),0)</x:f>
      </x:c>
      <x:c r="AX10" s="35" t="n">
        <x:f>IFERROR(AX9/SUM($D9:$DS9),0)</x:f>
      </x:c>
      <x:c r="AY10" s="35" t="n">
        <x:f>IFERROR(AY9/SUM($D9:$DS9),0)</x:f>
      </x:c>
      <x:c r="AZ10" s="35" t="n">
        <x:f>IFERROR(AZ9/SUM($D9:$DS9),0)</x:f>
      </x:c>
      <x:c r="BA10" s="35" t="n">
        <x:f>IFERROR(BA9/SUM($D9:$DS9),0)</x:f>
      </x:c>
      <x:c r="BB10" s="35" t="n">
        <x:f>IFERROR(BB9/SUM($D9:$DS9),0)</x:f>
      </x:c>
      <x:c r="BC10" s="35" t="n">
        <x:f>IFERROR(BC9/SUM($D9:$DS9),0)</x:f>
      </x:c>
      <x:c r="BD10" s="35" t="n">
        <x:f>IFERROR(BD9/SUM($D9:$DS9),0)</x:f>
      </x:c>
      <x:c r="BE10" s="35" t="n">
        <x:f>IFERROR(BE9/SUM($D9:$DS9),0)</x:f>
      </x:c>
      <x:c r="BF10" s="35" t="n">
        <x:f>IFERROR(BF9/SUM($D9:$DS9),0)</x:f>
      </x:c>
      <x:c r="BG10" s="35" t="n">
        <x:f>IFERROR(BG9/SUM($D9:$DS9),0)</x:f>
      </x:c>
      <x:c r="BH10" s="35" t="n">
        <x:f>IFERROR(BH9/SUM($D9:$DS9),0)</x:f>
      </x:c>
      <x:c r="BI10" s="35" t="n">
        <x:f>IFERROR(BI9/SUM($D9:$DS9),0)</x:f>
      </x:c>
      <x:c r="BJ10" s="35" t="n">
        <x:f>IFERROR(BJ9/SUM($D9:$DS9),0)</x:f>
      </x:c>
      <x:c r="BK10" s="35" t="n">
        <x:f>IFERROR(BK9/SUM($D9:$DS9),0)</x:f>
      </x:c>
      <x:c r="BL10" s="35" t="n">
        <x:f>IFERROR(BL9/SUM($D9:$DS9),0)</x:f>
      </x:c>
      <x:c r="BM10" s="35" t="n">
        <x:f>IFERROR(BM9/SUM($D9:$DS9),0)</x:f>
      </x:c>
      <x:c r="BN10" s="35" t="n">
        <x:f>IFERROR(BN9/SUM($D9:$DS9),0)</x:f>
      </x:c>
      <x:c r="BO10" s="35" t="n">
        <x:f>IFERROR(BO9/SUM($D9:$DS9),0)</x:f>
      </x:c>
      <x:c r="BP10" s="35" t="n">
        <x:f>IFERROR(BP9/SUM($D9:$DS9),0)</x:f>
      </x:c>
      <x:c r="BQ10" s="35" t="n">
        <x:f>IFERROR(BQ9/SUM($D9:$DS9),0)</x:f>
      </x:c>
      <x:c r="BR10" s="35" t="n">
        <x:f>IFERROR(BR9/SUM($D9:$DS9),0)</x:f>
      </x:c>
      <x:c r="BS10" s="35" t="n">
        <x:f>IFERROR(BS9/SUM($D9:$DS9),0)</x:f>
      </x:c>
      <x:c r="BT10" s="35" t="n">
        <x:f>IFERROR(BT9/SUM($D9:$DS9),0)</x:f>
      </x:c>
      <x:c r="BU10" s="35" t="n">
        <x:f>IFERROR(BU9/SUM($D9:$DS9),0)</x:f>
      </x:c>
      <x:c r="BV10" s="35" t="n">
        <x:f>IFERROR(BV9/SUM($D9:$DS9),0)</x:f>
      </x:c>
      <x:c r="BW10" s="35" t="n">
        <x:f>IFERROR(BW9/SUM($D9:$DS9),0)</x:f>
      </x:c>
      <x:c r="BX10" s="35" t="n">
        <x:f>IFERROR(BX9/SUM($D9:$DS9),0)</x:f>
      </x:c>
      <x:c r="BY10" s="35" t="n">
        <x:f>IFERROR(BY9/SUM($D9:$DS9),0)</x:f>
      </x:c>
      <x:c r="BZ10" s="35" t="n">
        <x:f>IFERROR(BZ9/SUM($D9:$DS9),0)</x:f>
      </x:c>
      <x:c r="CA10" s="35" t="n">
        <x:f>IFERROR(CA9/SUM($D9:$DS9),0)</x:f>
      </x:c>
      <x:c r="CB10" s="35" t="n">
        <x:f>IFERROR(CB9/SUM($D9:$DS9),0)</x:f>
      </x:c>
      <x:c r="CC10" s="35" t="n">
        <x:f>IFERROR(CC9/SUM($D9:$DS9),0)</x:f>
      </x:c>
      <x:c r="CD10" s="35" t="n">
        <x:f>IFERROR(CD9/SUM($D9:$DS9),0)</x:f>
      </x:c>
      <x:c r="CE10" s="35" t="n">
        <x:f>IFERROR(CE9/SUM($D9:$DS9),0)</x:f>
      </x:c>
      <x:c r="CF10" s="35" t="n">
        <x:f>IFERROR(CF9/SUM($D9:$DS9),0)</x:f>
      </x:c>
      <x:c r="CG10" s="35" t="n">
        <x:f>IFERROR(CG9/SUM($D9:$DS9),0)</x:f>
      </x:c>
      <x:c r="CH10" s="35" t="n">
        <x:f>IFERROR(CH9/SUM($D9:$DS9),0)</x:f>
      </x:c>
      <x:c r="CI10" s="35" t="n">
        <x:f>IFERROR(CI9/SUM($D9:$DS9),0)</x:f>
      </x:c>
      <x:c r="CJ10" s="35" t="n">
        <x:f>IFERROR(CJ9/SUM($D9:$DS9),0)</x:f>
      </x:c>
      <x:c r="CK10" s="35" t="n">
        <x:f>IFERROR(CK9/SUM($D9:$DS9),0)</x:f>
      </x:c>
      <x:c r="CL10" s="35" t="n">
        <x:f>IFERROR(CL9/SUM($D9:$DS9),0)</x:f>
      </x:c>
      <x:c r="CM10" s="35" t="n">
        <x:f>IFERROR(CM9/SUM($D9:$DS9),0)</x:f>
      </x:c>
      <x:c r="CN10" s="35" t="n">
        <x:f>IFERROR(CN9/SUM($D9:$DS9),0)</x:f>
      </x:c>
      <x:c r="CO10" s="35" t="n">
        <x:f>IFERROR(CO9/SUM($D9:$DS9),0)</x:f>
      </x:c>
      <x:c r="CP10" s="35" t="n">
        <x:f>IFERROR(CP9/SUM($D9:$DS9),0)</x:f>
      </x:c>
      <x:c r="CQ10" s="35" t="n">
        <x:f>IFERROR(CQ9/SUM($D9:$DS9),0)</x:f>
      </x:c>
      <x:c r="CR10" s="35" t="n">
        <x:f>IFERROR(CR9/SUM($D9:$DS9),0)</x:f>
      </x:c>
      <x:c r="CS10" s="35" t="n">
        <x:f>IFERROR(CS9/SUM($D9:$DS9),0)</x:f>
      </x:c>
      <x:c r="CT10" s="35" t="n">
        <x:f>IFERROR(CT9/SUM($D9:$DS9),0)</x:f>
      </x:c>
      <x:c r="CU10" s="35" t="n">
        <x:f>IFERROR(CU9/SUM($D9:$DS9),0)</x:f>
      </x:c>
      <x:c r="CV10" s="35" t="n">
        <x:f>IFERROR(CV9/SUM($D9:$DS9),0)</x:f>
      </x:c>
      <x:c r="CW10" s="35" t="n">
        <x:f>IFERROR(CW9/SUM($D9:$DS9),0)</x:f>
      </x:c>
      <x:c r="CX10" s="35" t="n">
        <x:f>IFERROR(CX9/SUM($D9:$DS9),0)</x:f>
      </x:c>
      <x:c r="CY10" s="35" t="n">
        <x:f>IFERROR(CY9/SUM($D9:$DS9),0)</x:f>
      </x:c>
      <x:c r="CZ10" s="35" t="n">
        <x:f>IFERROR(CZ9/SUM($D9:$DS9),0)</x:f>
      </x:c>
      <x:c r="DA10" s="35" t="n">
        <x:f>IFERROR(DA9/SUM($D9:$DS9),0)</x:f>
      </x:c>
      <x:c r="DB10" s="35" t="n">
        <x:f>IFERROR(DB9/SUM($D9:$DS9),0)</x:f>
      </x:c>
      <x:c r="DC10" s="35" t="n">
        <x:f>IFERROR(DC9/SUM($D9:$DS9),0)</x:f>
      </x:c>
      <x:c r="DD10" s="35" t="n">
        <x:f>IFERROR(DD9/SUM($D9:$DS9),0)</x:f>
      </x:c>
      <x:c r="DE10" s="35" t="n">
        <x:f>IFERROR(DE9/SUM($D9:$DS9),0)</x:f>
      </x:c>
      <x:c r="DF10" s="35" t="n">
        <x:f>IFERROR(DF9/SUM($D9:$DS9),0)</x:f>
      </x:c>
      <x:c r="DG10" s="35" t="n">
        <x:f>IFERROR(DG9/SUM($D9:$DS9),0)</x:f>
      </x:c>
      <x:c r="DH10" s="35" t="n">
        <x:f>IFERROR(DH9/SUM($D9:$DS9),0)</x:f>
      </x:c>
      <x:c r="DI10" s="35" t="n">
        <x:f>IFERROR(DI9/SUM($D9:$DS9),0)</x:f>
      </x:c>
      <x:c r="DJ10" s="35" t="n">
        <x:f>IFERROR(DJ9/SUM($D9:$DS9),0)</x:f>
      </x:c>
      <x:c r="DK10" s="35" t="n">
        <x:f>IFERROR(DK9/SUM($D9:$DS9),0)</x:f>
      </x:c>
      <x:c r="DL10" s="35" t="n">
        <x:f>IFERROR(DL9/SUM($D9:$DS9),0)</x:f>
      </x:c>
      <x:c r="DM10" s="35" t="n">
        <x:f>IFERROR(DM9/SUM($D9:$DS9),0)</x:f>
      </x:c>
      <x:c r="DN10" s="35" t="n">
        <x:f>IFERROR(DN9/SUM($D9:$DS9),0)</x:f>
      </x:c>
      <x:c r="DO10" s="35" t="n">
        <x:f>IFERROR(DO9/SUM($D9:$DS9),0)</x:f>
      </x:c>
      <x:c r="DP10" s="35" t="n">
        <x:f>IFERROR(DP9/SUM($D9:$DS9),0)</x:f>
      </x:c>
      <x:c r="DQ10" s="35" t="n">
        <x:f>IFERROR(DQ9/SUM($D9:$DS9),0)</x:f>
      </x:c>
      <x:c r="DR10" s="35" t="n">
        <x:f>IFERROR(DR9/SUM($D9:$DS9),0)</x:f>
      </x:c>
      <x:c r="DS10" s="35" t="n">
        <x:f>IFERROR(DS9/SUM($D9:$DS9),0)</x:f>
      </x:c>
    </x:row>
    <x:row r="11">
      <x:c r="A11" t="str">
        <x:v>Флаг строительства</x:v>
      </x:c>
      <x:c r="B11"/>
      <x:c r="C11" t="str">
        <x:v>0/1</x:v>
      </x:c>
      <x:c r="D11" s="35" t="n">
        <x:f>--AND(D$3&gt;=$B$7,D$3&lt;$B$8,'Вводные'!$B$88="Да")</x:f>
      </x:c>
      <x:c r="E11" s="35" t="n">
        <x:f>--AND(E$3&gt;=$B$7,E$3&lt;$B$8,'Вводные'!$B$88="Да")</x:f>
      </x:c>
      <x:c r="F11" s="35" t="n">
        <x:f>--AND(F$3&gt;=$B$7,F$3&lt;$B$8,'Вводные'!$B$88="Да")</x:f>
      </x:c>
      <x:c r="G11" s="35" t="n">
        <x:f>--AND(G$3&gt;=$B$7,G$3&lt;$B$8,'Вводные'!$B$88="Да")</x:f>
      </x:c>
      <x:c r="H11" s="35" t="n">
        <x:f>--AND(H$3&gt;=$B$7,H$3&lt;$B$8,'Вводные'!$B$88="Да")</x:f>
      </x:c>
      <x:c r="I11" s="35" t="n">
        <x:f>--AND(I$3&gt;=$B$7,I$3&lt;$B$8,'Вводные'!$B$88="Да")</x:f>
      </x:c>
      <x:c r="J11" s="35" t="n">
        <x:f>--AND(J$3&gt;=$B$7,J$3&lt;$B$8,'Вводные'!$B$88="Да")</x:f>
      </x:c>
      <x:c r="K11" s="35" t="n">
        <x:f>--AND(K$3&gt;=$B$7,K$3&lt;$B$8,'Вводные'!$B$88="Да")</x:f>
      </x:c>
      <x:c r="L11" s="35" t="n">
        <x:f>--AND(L$3&gt;=$B$7,L$3&lt;$B$8,'Вводные'!$B$88="Да")</x:f>
      </x:c>
      <x:c r="M11" s="35" t="n">
        <x:f>--AND(M$3&gt;=$B$7,M$3&lt;$B$8,'Вводные'!$B$88="Да")</x:f>
      </x:c>
      <x:c r="N11" s="35" t="n">
        <x:f>--AND(N$3&gt;=$B$7,N$3&lt;$B$8,'Вводные'!$B$88="Да")</x:f>
      </x:c>
      <x:c r="O11" s="35" t="n">
        <x:f>--AND(O$3&gt;=$B$7,O$3&lt;$B$8,'Вводные'!$B$88="Да")</x:f>
      </x:c>
      <x:c r="P11" s="35" t="n">
        <x:f>--AND(P$3&gt;=$B$7,P$3&lt;$B$8,'Вводные'!$B$88="Да")</x:f>
      </x:c>
      <x:c r="Q11" s="35" t="n">
        <x:f>--AND(Q$3&gt;=$B$7,Q$3&lt;$B$8,'Вводные'!$B$88="Да")</x:f>
      </x:c>
      <x:c r="R11" s="35" t="n">
        <x:f>--AND(R$3&gt;=$B$7,R$3&lt;$B$8,'Вводные'!$B$88="Да")</x:f>
      </x:c>
      <x:c r="S11" s="35" t="n">
        <x:f>--AND(S$3&gt;=$B$7,S$3&lt;$B$8,'Вводные'!$B$88="Да")</x:f>
      </x:c>
      <x:c r="T11" s="35" t="n">
        <x:f>--AND(T$3&gt;=$B$7,T$3&lt;$B$8,'Вводные'!$B$88="Да")</x:f>
      </x:c>
      <x:c r="U11" s="35" t="n">
        <x:f>--AND(U$3&gt;=$B$7,U$3&lt;$B$8,'Вводные'!$B$88="Да")</x:f>
      </x:c>
      <x:c r="V11" s="35" t="n">
        <x:f>--AND(V$3&gt;=$B$7,V$3&lt;$B$8,'Вводные'!$B$88="Да")</x:f>
      </x:c>
      <x:c r="W11" s="35" t="n">
        <x:f>--AND(W$3&gt;=$B$7,W$3&lt;$B$8,'Вводные'!$B$88="Да")</x:f>
      </x:c>
      <x:c r="X11" s="35" t="n">
        <x:f>--AND(X$3&gt;=$B$7,X$3&lt;$B$8,'Вводные'!$B$88="Да")</x:f>
      </x:c>
      <x:c r="Y11" s="35" t="n">
        <x:f>--AND(Y$3&gt;=$B$7,Y$3&lt;$B$8,'Вводные'!$B$88="Да")</x:f>
      </x:c>
      <x:c r="Z11" s="35" t="n">
        <x:f>--AND(Z$3&gt;=$B$7,Z$3&lt;$B$8,'Вводные'!$B$88="Да")</x:f>
      </x:c>
      <x:c r="AA11" s="35" t="n">
        <x:f>--AND(AA$3&gt;=$B$7,AA$3&lt;$B$8,'Вводные'!$B$88="Да")</x:f>
      </x:c>
      <x:c r="AB11" s="35" t="n">
        <x:f>--AND(AB$3&gt;=$B$7,AB$3&lt;$B$8,'Вводные'!$B$88="Да")</x:f>
      </x:c>
      <x:c r="AC11" s="35" t="n">
        <x:f>--AND(AC$3&gt;=$B$7,AC$3&lt;$B$8,'Вводные'!$B$88="Да")</x:f>
      </x:c>
      <x:c r="AD11" s="35" t="n">
        <x:f>--AND(AD$3&gt;=$B$7,AD$3&lt;$B$8,'Вводные'!$B$88="Да")</x:f>
      </x:c>
      <x:c r="AE11" s="35" t="n">
        <x:f>--AND(AE$3&gt;=$B$7,AE$3&lt;$B$8,'Вводные'!$B$88="Да")</x:f>
      </x:c>
      <x:c r="AF11" s="35" t="n">
        <x:f>--AND(AF$3&gt;=$B$7,AF$3&lt;$B$8,'Вводные'!$B$88="Да")</x:f>
      </x:c>
      <x:c r="AG11" s="35" t="n">
        <x:f>--AND(AG$3&gt;=$B$7,AG$3&lt;$B$8,'Вводные'!$B$88="Да")</x:f>
      </x:c>
      <x:c r="AH11" s="35" t="n">
        <x:f>--AND(AH$3&gt;=$B$7,AH$3&lt;$B$8,'Вводные'!$B$88="Да")</x:f>
      </x:c>
      <x:c r="AI11" s="35" t="n">
        <x:f>--AND(AI$3&gt;=$B$7,AI$3&lt;$B$8,'Вводные'!$B$88="Да")</x:f>
      </x:c>
      <x:c r="AJ11" s="35" t="n">
        <x:f>--AND(AJ$3&gt;=$B$7,AJ$3&lt;$B$8,'Вводные'!$B$88="Да")</x:f>
      </x:c>
      <x:c r="AK11" s="35" t="n">
        <x:f>--AND(AK$3&gt;=$B$7,AK$3&lt;$B$8,'Вводные'!$B$88="Да")</x:f>
      </x:c>
      <x:c r="AL11" s="35" t="n">
        <x:f>--AND(AL$3&gt;=$B$7,AL$3&lt;$B$8,'Вводные'!$B$88="Да")</x:f>
      </x:c>
      <x:c r="AM11" s="35" t="n">
        <x:f>--AND(AM$3&gt;=$B$7,AM$3&lt;$B$8,'Вводные'!$B$88="Да")</x:f>
      </x:c>
      <x:c r="AN11" s="35" t="n">
        <x:f>--AND(AN$3&gt;=$B$7,AN$3&lt;$B$8,'Вводные'!$B$88="Да")</x:f>
      </x:c>
      <x:c r="AO11" s="35" t="n">
        <x:f>--AND(AO$3&gt;=$B$7,AO$3&lt;$B$8,'Вводные'!$B$88="Да")</x:f>
      </x:c>
      <x:c r="AP11" s="35" t="n">
        <x:f>--AND(AP$3&gt;=$B$7,AP$3&lt;$B$8,'Вводные'!$B$88="Да")</x:f>
      </x:c>
      <x:c r="AQ11" s="35" t="n">
        <x:f>--AND(AQ$3&gt;=$B$7,AQ$3&lt;$B$8,'Вводные'!$B$88="Да")</x:f>
      </x:c>
      <x:c r="AR11" s="35" t="n">
        <x:f>--AND(AR$3&gt;=$B$7,AR$3&lt;$B$8,'Вводные'!$B$88="Да")</x:f>
      </x:c>
      <x:c r="AS11" s="35" t="n">
        <x:f>--AND(AS$3&gt;=$B$7,AS$3&lt;$B$8,'Вводные'!$B$88="Да")</x:f>
      </x:c>
      <x:c r="AT11" s="35" t="n">
        <x:f>--AND(AT$3&gt;=$B$7,AT$3&lt;$B$8,'Вводные'!$B$88="Да")</x:f>
      </x:c>
      <x:c r="AU11" s="35" t="n">
        <x:f>--AND(AU$3&gt;=$B$7,AU$3&lt;$B$8,'Вводные'!$B$88="Да")</x:f>
      </x:c>
      <x:c r="AV11" s="35" t="n">
        <x:f>--AND(AV$3&gt;=$B$7,AV$3&lt;$B$8,'Вводные'!$B$88="Да")</x:f>
      </x:c>
      <x:c r="AW11" s="35" t="n">
        <x:f>--AND(AW$3&gt;=$B$7,AW$3&lt;$B$8,'Вводные'!$B$88="Да")</x:f>
      </x:c>
      <x:c r="AX11" s="35" t="n">
        <x:f>--AND(AX$3&gt;=$B$7,AX$3&lt;$B$8,'Вводные'!$B$88="Да")</x:f>
      </x:c>
      <x:c r="AY11" s="35" t="n">
        <x:f>--AND(AY$3&gt;=$B$7,AY$3&lt;$B$8,'Вводные'!$B$88="Да")</x:f>
      </x:c>
      <x:c r="AZ11" s="35" t="n">
        <x:f>--AND(AZ$3&gt;=$B$7,AZ$3&lt;$B$8,'Вводные'!$B$88="Да")</x:f>
      </x:c>
      <x:c r="BA11" s="35" t="n">
        <x:f>--AND(BA$3&gt;=$B$7,BA$3&lt;$B$8,'Вводные'!$B$88="Да")</x:f>
      </x:c>
      <x:c r="BB11" s="35" t="n">
        <x:f>--AND(BB$3&gt;=$B$7,BB$3&lt;$B$8,'Вводные'!$B$88="Да")</x:f>
      </x:c>
      <x:c r="BC11" s="35" t="n">
        <x:f>--AND(BC$3&gt;=$B$7,BC$3&lt;$B$8,'Вводные'!$B$88="Да")</x:f>
      </x:c>
      <x:c r="BD11" s="35" t="n">
        <x:f>--AND(BD$3&gt;=$B$7,BD$3&lt;$B$8,'Вводные'!$B$88="Да")</x:f>
      </x:c>
      <x:c r="BE11" s="35" t="n">
        <x:f>--AND(BE$3&gt;=$B$7,BE$3&lt;$B$8,'Вводные'!$B$88="Да")</x:f>
      </x:c>
      <x:c r="BF11" s="35" t="n">
        <x:f>--AND(BF$3&gt;=$B$7,BF$3&lt;$B$8,'Вводные'!$B$88="Да")</x:f>
      </x:c>
      <x:c r="BG11" s="35" t="n">
        <x:f>--AND(BG$3&gt;=$B$7,BG$3&lt;$B$8,'Вводные'!$B$88="Да")</x:f>
      </x:c>
      <x:c r="BH11" s="35" t="n">
        <x:f>--AND(BH$3&gt;=$B$7,BH$3&lt;$B$8,'Вводные'!$B$88="Да")</x:f>
      </x:c>
      <x:c r="BI11" s="35" t="n">
        <x:f>--AND(BI$3&gt;=$B$7,BI$3&lt;$B$8,'Вводные'!$B$88="Да")</x:f>
      </x:c>
      <x:c r="BJ11" s="35" t="n">
        <x:f>--AND(BJ$3&gt;=$B$7,BJ$3&lt;$B$8,'Вводные'!$B$88="Да")</x:f>
      </x:c>
      <x:c r="BK11" s="35" t="n">
        <x:f>--AND(BK$3&gt;=$B$7,BK$3&lt;$B$8,'Вводные'!$B$88="Да")</x:f>
      </x:c>
      <x:c r="BL11" s="35" t="n">
        <x:f>--AND(BL$3&gt;=$B$7,BL$3&lt;$B$8,'Вводные'!$B$88="Да")</x:f>
      </x:c>
      <x:c r="BM11" s="35" t="n">
        <x:f>--AND(BM$3&gt;=$B$7,BM$3&lt;$B$8,'Вводные'!$B$88="Да")</x:f>
      </x:c>
      <x:c r="BN11" s="35" t="n">
        <x:f>--AND(BN$3&gt;=$B$7,BN$3&lt;$B$8,'Вводные'!$B$88="Да")</x:f>
      </x:c>
      <x:c r="BO11" s="35" t="n">
        <x:f>--AND(BO$3&gt;=$B$7,BO$3&lt;$B$8,'Вводные'!$B$88="Да")</x:f>
      </x:c>
      <x:c r="BP11" s="35" t="n">
        <x:f>--AND(BP$3&gt;=$B$7,BP$3&lt;$B$8,'Вводные'!$B$88="Да")</x:f>
      </x:c>
      <x:c r="BQ11" s="35" t="n">
        <x:f>--AND(BQ$3&gt;=$B$7,BQ$3&lt;$B$8,'Вводные'!$B$88="Да")</x:f>
      </x:c>
      <x:c r="BR11" s="35" t="n">
        <x:f>--AND(BR$3&gt;=$B$7,BR$3&lt;$B$8,'Вводные'!$B$88="Да")</x:f>
      </x:c>
      <x:c r="BS11" s="35" t="n">
        <x:f>--AND(BS$3&gt;=$B$7,BS$3&lt;$B$8,'Вводные'!$B$88="Да")</x:f>
      </x:c>
      <x:c r="BT11" s="35" t="n">
        <x:f>--AND(BT$3&gt;=$B$7,BT$3&lt;$B$8,'Вводные'!$B$88="Да")</x:f>
      </x:c>
      <x:c r="BU11" s="35" t="n">
        <x:f>--AND(BU$3&gt;=$B$7,BU$3&lt;$B$8,'Вводные'!$B$88="Да")</x:f>
      </x:c>
      <x:c r="BV11" s="35" t="n">
        <x:f>--AND(BV$3&gt;=$B$7,BV$3&lt;$B$8,'Вводные'!$B$88="Да")</x:f>
      </x:c>
      <x:c r="BW11" s="35" t="n">
        <x:f>--AND(BW$3&gt;=$B$7,BW$3&lt;$B$8,'Вводные'!$B$88="Да")</x:f>
      </x:c>
      <x:c r="BX11" s="35" t="n">
        <x:f>--AND(BX$3&gt;=$B$7,BX$3&lt;$B$8,'Вводные'!$B$88="Да")</x:f>
      </x:c>
      <x:c r="BY11" s="35" t="n">
        <x:f>--AND(BY$3&gt;=$B$7,BY$3&lt;$B$8,'Вводные'!$B$88="Да")</x:f>
      </x:c>
      <x:c r="BZ11" s="35" t="n">
        <x:f>--AND(BZ$3&gt;=$B$7,BZ$3&lt;$B$8,'Вводные'!$B$88="Да")</x:f>
      </x:c>
      <x:c r="CA11" s="35" t="n">
        <x:f>--AND(CA$3&gt;=$B$7,CA$3&lt;$B$8,'Вводные'!$B$88="Да")</x:f>
      </x:c>
      <x:c r="CB11" s="35" t="n">
        <x:f>--AND(CB$3&gt;=$B$7,CB$3&lt;$B$8,'Вводные'!$B$88="Да")</x:f>
      </x:c>
      <x:c r="CC11" s="35" t="n">
        <x:f>--AND(CC$3&gt;=$B$7,CC$3&lt;$B$8,'Вводные'!$B$88="Да")</x:f>
      </x:c>
      <x:c r="CD11" s="35" t="n">
        <x:f>--AND(CD$3&gt;=$B$7,CD$3&lt;$B$8,'Вводные'!$B$88="Да")</x:f>
      </x:c>
      <x:c r="CE11" s="35" t="n">
        <x:f>--AND(CE$3&gt;=$B$7,CE$3&lt;$B$8,'Вводные'!$B$88="Да")</x:f>
      </x:c>
      <x:c r="CF11" s="35" t="n">
        <x:f>--AND(CF$3&gt;=$B$7,CF$3&lt;$B$8,'Вводные'!$B$88="Да")</x:f>
      </x:c>
      <x:c r="CG11" s="35" t="n">
        <x:f>--AND(CG$3&gt;=$B$7,CG$3&lt;$B$8,'Вводные'!$B$88="Да")</x:f>
      </x:c>
      <x:c r="CH11" s="35" t="n">
        <x:f>--AND(CH$3&gt;=$B$7,CH$3&lt;$B$8,'Вводные'!$B$88="Да")</x:f>
      </x:c>
      <x:c r="CI11" s="35" t="n">
        <x:f>--AND(CI$3&gt;=$B$7,CI$3&lt;$B$8,'Вводные'!$B$88="Да")</x:f>
      </x:c>
      <x:c r="CJ11" s="35" t="n">
        <x:f>--AND(CJ$3&gt;=$B$7,CJ$3&lt;$B$8,'Вводные'!$B$88="Да")</x:f>
      </x:c>
      <x:c r="CK11" s="35" t="n">
        <x:f>--AND(CK$3&gt;=$B$7,CK$3&lt;$B$8,'Вводные'!$B$88="Да")</x:f>
      </x:c>
      <x:c r="CL11" s="35" t="n">
        <x:f>--AND(CL$3&gt;=$B$7,CL$3&lt;$B$8,'Вводные'!$B$88="Да")</x:f>
      </x:c>
      <x:c r="CM11" s="35" t="n">
        <x:f>--AND(CM$3&gt;=$B$7,CM$3&lt;$B$8,'Вводные'!$B$88="Да")</x:f>
      </x:c>
      <x:c r="CN11" s="35" t="n">
        <x:f>--AND(CN$3&gt;=$B$7,CN$3&lt;$B$8,'Вводные'!$B$88="Да")</x:f>
      </x:c>
      <x:c r="CO11" s="35" t="n">
        <x:f>--AND(CO$3&gt;=$B$7,CO$3&lt;$B$8,'Вводные'!$B$88="Да")</x:f>
      </x:c>
      <x:c r="CP11" s="35" t="n">
        <x:f>--AND(CP$3&gt;=$B$7,CP$3&lt;$B$8,'Вводные'!$B$88="Да")</x:f>
      </x:c>
      <x:c r="CQ11" s="35" t="n">
        <x:f>--AND(CQ$3&gt;=$B$7,CQ$3&lt;$B$8,'Вводные'!$B$88="Да")</x:f>
      </x:c>
      <x:c r="CR11" s="35" t="n">
        <x:f>--AND(CR$3&gt;=$B$7,CR$3&lt;$B$8,'Вводные'!$B$88="Да")</x:f>
      </x:c>
      <x:c r="CS11" s="35" t="n">
        <x:f>--AND(CS$3&gt;=$B$7,CS$3&lt;$B$8,'Вводные'!$B$88="Да")</x:f>
      </x:c>
      <x:c r="CT11" s="35" t="n">
        <x:f>--AND(CT$3&gt;=$B$7,CT$3&lt;$B$8,'Вводные'!$B$88="Да")</x:f>
      </x:c>
      <x:c r="CU11" s="35" t="n">
        <x:f>--AND(CU$3&gt;=$B$7,CU$3&lt;$B$8,'Вводные'!$B$88="Да")</x:f>
      </x:c>
      <x:c r="CV11" s="35" t="n">
        <x:f>--AND(CV$3&gt;=$B$7,CV$3&lt;$B$8,'Вводные'!$B$88="Да")</x:f>
      </x:c>
      <x:c r="CW11" s="35" t="n">
        <x:f>--AND(CW$3&gt;=$B$7,CW$3&lt;$B$8,'Вводные'!$B$88="Да")</x:f>
      </x:c>
      <x:c r="CX11" s="35" t="n">
        <x:f>--AND(CX$3&gt;=$B$7,CX$3&lt;$B$8,'Вводные'!$B$88="Да")</x:f>
      </x:c>
      <x:c r="CY11" s="35" t="n">
        <x:f>--AND(CY$3&gt;=$B$7,CY$3&lt;$B$8,'Вводные'!$B$88="Да")</x:f>
      </x:c>
      <x:c r="CZ11" s="35" t="n">
        <x:f>--AND(CZ$3&gt;=$B$7,CZ$3&lt;$B$8,'Вводные'!$B$88="Да")</x:f>
      </x:c>
      <x:c r="DA11" s="35" t="n">
        <x:f>--AND(DA$3&gt;=$B$7,DA$3&lt;$B$8,'Вводные'!$B$88="Да")</x:f>
      </x:c>
      <x:c r="DB11" s="35" t="n">
        <x:f>--AND(DB$3&gt;=$B$7,DB$3&lt;$B$8,'Вводные'!$B$88="Да")</x:f>
      </x:c>
      <x:c r="DC11" s="35" t="n">
        <x:f>--AND(DC$3&gt;=$B$7,DC$3&lt;$B$8,'Вводные'!$B$88="Да")</x:f>
      </x:c>
      <x:c r="DD11" s="35" t="n">
        <x:f>--AND(DD$3&gt;=$B$7,DD$3&lt;$B$8,'Вводные'!$B$88="Да")</x:f>
      </x:c>
      <x:c r="DE11" s="35" t="n">
        <x:f>--AND(DE$3&gt;=$B$7,DE$3&lt;$B$8,'Вводные'!$B$88="Да")</x:f>
      </x:c>
      <x:c r="DF11" s="35" t="n">
        <x:f>--AND(DF$3&gt;=$B$7,DF$3&lt;$B$8,'Вводные'!$B$88="Да")</x:f>
      </x:c>
      <x:c r="DG11" s="35" t="n">
        <x:f>--AND(DG$3&gt;=$B$7,DG$3&lt;$B$8,'Вводные'!$B$88="Да")</x:f>
      </x:c>
      <x:c r="DH11" s="35" t="n">
        <x:f>--AND(DH$3&gt;=$B$7,DH$3&lt;$B$8,'Вводные'!$B$88="Да")</x:f>
      </x:c>
      <x:c r="DI11" s="35" t="n">
        <x:f>--AND(DI$3&gt;=$B$7,DI$3&lt;$B$8,'Вводные'!$B$88="Да")</x:f>
      </x:c>
      <x:c r="DJ11" s="35" t="n">
        <x:f>--AND(DJ$3&gt;=$B$7,DJ$3&lt;$B$8,'Вводные'!$B$88="Да")</x:f>
      </x:c>
      <x:c r="DK11" s="35" t="n">
        <x:f>--AND(DK$3&gt;=$B$7,DK$3&lt;$B$8,'Вводные'!$B$88="Да")</x:f>
      </x:c>
      <x:c r="DL11" s="35" t="n">
        <x:f>--AND(DL$3&gt;=$B$7,DL$3&lt;$B$8,'Вводные'!$B$88="Да")</x:f>
      </x:c>
      <x:c r="DM11" s="35" t="n">
        <x:f>--AND(DM$3&gt;=$B$7,DM$3&lt;$B$8,'Вводные'!$B$88="Да")</x:f>
      </x:c>
      <x:c r="DN11" s="35" t="n">
        <x:f>--AND(DN$3&gt;=$B$7,DN$3&lt;$B$8,'Вводные'!$B$88="Да")</x:f>
      </x:c>
      <x:c r="DO11" s="35" t="n">
        <x:f>--AND(DO$3&gt;=$B$7,DO$3&lt;$B$8,'Вводные'!$B$88="Да")</x:f>
      </x:c>
      <x:c r="DP11" s="35" t="n">
        <x:f>--AND(DP$3&gt;=$B$7,DP$3&lt;$B$8,'Вводные'!$B$88="Да")</x:f>
      </x:c>
      <x:c r="DQ11" s="35" t="n">
        <x:f>--AND(DQ$3&gt;=$B$7,DQ$3&lt;$B$8,'Вводные'!$B$88="Да")</x:f>
      </x:c>
      <x:c r="DR11" s="35" t="n">
        <x:f>--AND(DR$3&gt;=$B$7,DR$3&lt;$B$8,'Вводные'!$B$88="Да")</x:f>
      </x:c>
      <x:c r="DS11" s="35" t="n">
        <x:f>--AND(DS$3&gt;=$B$7,DS$3&lt;$B$8,'Вводные'!$B$88="Да")</x:f>
      </x:c>
    </x:row>
    <x:row r="12">
      <x:c r="A12" t="str">
        <x:v>Вес S-кривой</x:v>
      </x:c>
      <x:c r="B12"/>
      <x:c r="C12" t="str">
        <x:v>вес</x:v>
      </x:c>
      <x:c r="D12" s="35" t="n">
        <x:f>IF(D11=0,0,IF((12*(YEAR(D$3)-YEAR($B$7))+MONTH(D$3)-MONTH($B$7)+1)/MAX(1,'Вводные'!$F$88)&lt;=0.2,0.6,IF((12*(YEAR(D$3)-YEAR($B$7))+MONTH(D$3)-MONTH($B$7)+1)/MAX(1,'Вводные'!$F$88)&lt;=0.8,1.2,0.8)))</x:f>
      </x:c>
      <x:c r="E12" s="35" t="n">
        <x:f>IF(E11=0,0,IF((12*(YEAR(E$3)-YEAR($B$7))+MONTH(E$3)-MONTH($B$7)+1)/MAX(1,'Вводные'!$F$88)&lt;=0.2,0.6,IF((12*(YEAR(E$3)-YEAR($B$7))+MONTH(E$3)-MONTH($B$7)+1)/MAX(1,'Вводные'!$F$88)&lt;=0.8,1.2,0.8)))</x:f>
      </x:c>
      <x:c r="F12" s="35" t="n">
        <x:f>IF(F11=0,0,IF((12*(YEAR(F$3)-YEAR($B$7))+MONTH(F$3)-MONTH($B$7)+1)/MAX(1,'Вводные'!$F$88)&lt;=0.2,0.6,IF((12*(YEAR(F$3)-YEAR($B$7))+MONTH(F$3)-MONTH($B$7)+1)/MAX(1,'Вводные'!$F$88)&lt;=0.8,1.2,0.8)))</x:f>
      </x:c>
      <x:c r="G12" s="35" t="n">
        <x:f>IF(G11=0,0,IF((12*(YEAR(G$3)-YEAR($B$7))+MONTH(G$3)-MONTH($B$7)+1)/MAX(1,'Вводные'!$F$88)&lt;=0.2,0.6,IF((12*(YEAR(G$3)-YEAR($B$7))+MONTH(G$3)-MONTH($B$7)+1)/MAX(1,'Вводные'!$F$88)&lt;=0.8,1.2,0.8)))</x:f>
      </x:c>
      <x:c r="H12" s="35" t="n">
        <x:f>IF(H11=0,0,IF((12*(YEAR(H$3)-YEAR($B$7))+MONTH(H$3)-MONTH($B$7)+1)/MAX(1,'Вводные'!$F$88)&lt;=0.2,0.6,IF((12*(YEAR(H$3)-YEAR($B$7))+MONTH(H$3)-MONTH($B$7)+1)/MAX(1,'Вводные'!$F$88)&lt;=0.8,1.2,0.8)))</x:f>
      </x:c>
      <x:c r="I12" s="35" t="n">
        <x:f>IF(I11=0,0,IF((12*(YEAR(I$3)-YEAR($B$7))+MONTH(I$3)-MONTH($B$7)+1)/MAX(1,'Вводные'!$F$88)&lt;=0.2,0.6,IF((12*(YEAR(I$3)-YEAR($B$7))+MONTH(I$3)-MONTH($B$7)+1)/MAX(1,'Вводные'!$F$88)&lt;=0.8,1.2,0.8)))</x:f>
      </x:c>
      <x:c r="J12" s="35" t="n">
        <x:f>IF(J11=0,0,IF((12*(YEAR(J$3)-YEAR($B$7))+MONTH(J$3)-MONTH($B$7)+1)/MAX(1,'Вводные'!$F$88)&lt;=0.2,0.6,IF((12*(YEAR(J$3)-YEAR($B$7))+MONTH(J$3)-MONTH($B$7)+1)/MAX(1,'Вводные'!$F$88)&lt;=0.8,1.2,0.8)))</x:f>
      </x:c>
      <x:c r="K12" s="35" t="n">
        <x:f>IF(K11=0,0,IF((12*(YEAR(K$3)-YEAR($B$7))+MONTH(K$3)-MONTH($B$7)+1)/MAX(1,'Вводные'!$F$88)&lt;=0.2,0.6,IF((12*(YEAR(K$3)-YEAR($B$7))+MONTH(K$3)-MONTH($B$7)+1)/MAX(1,'Вводные'!$F$88)&lt;=0.8,1.2,0.8)))</x:f>
      </x:c>
      <x:c r="L12" s="35" t="n">
        <x:f>IF(L11=0,0,IF((12*(YEAR(L$3)-YEAR($B$7))+MONTH(L$3)-MONTH($B$7)+1)/MAX(1,'Вводные'!$F$88)&lt;=0.2,0.6,IF((12*(YEAR(L$3)-YEAR($B$7))+MONTH(L$3)-MONTH($B$7)+1)/MAX(1,'Вводные'!$F$88)&lt;=0.8,1.2,0.8)))</x:f>
      </x:c>
      <x:c r="M12" s="35" t="n">
        <x:f>IF(M11=0,0,IF((12*(YEAR(M$3)-YEAR($B$7))+MONTH(M$3)-MONTH($B$7)+1)/MAX(1,'Вводные'!$F$88)&lt;=0.2,0.6,IF((12*(YEAR(M$3)-YEAR($B$7))+MONTH(M$3)-MONTH($B$7)+1)/MAX(1,'Вводные'!$F$88)&lt;=0.8,1.2,0.8)))</x:f>
      </x:c>
      <x:c r="N12" s="35" t="n">
        <x:f>IF(N11=0,0,IF((12*(YEAR(N$3)-YEAR($B$7))+MONTH(N$3)-MONTH($B$7)+1)/MAX(1,'Вводные'!$F$88)&lt;=0.2,0.6,IF((12*(YEAR(N$3)-YEAR($B$7))+MONTH(N$3)-MONTH($B$7)+1)/MAX(1,'Вводные'!$F$88)&lt;=0.8,1.2,0.8)))</x:f>
      </x:c>
      <x:c r="O12" s="35" t="n">
        <x:f>IF(O11=0,0,IF((12*(YEAR(O$3)-YEAR($B$7))+MONTH(O$3)-MONTH($B$7)+1)/MAX(1,'Вводные'!$F$88)&lt;=0.2,0.6,IF((12*(YEAR(O$3)-YEAR($B$7))+MONTH(O$3)-MONTH($B$7)+1)/MAX(1,'Вводные'!$F$88)&lt;=0.8,1.2,0.8)))</x:f>
      </x:c>
      <x:c r="P12" s="35" t="n">
        <x:f>IF(P11=0,0,IF((12*(YEAR(P$3)-YEAR($B$7))+MONTH(P$3)-MONTH($B$7)+1)/MAX(1,'Вводные'!$F$88)&lt;=0.2,0.6,IF((12*(YEAR(P$3)-YEAR($B$7))+MONTH(P$3)-MONTH($B$7)+1)/MAX(1,'Вводные'!$F$88)&lt;=0.8,1.2,0.8)))</x:f>
      </x:c>
      <x:c r="Q12" s="35" t="n">
        <x:f>IF(Q11=0,0,IF((12*(YEAR(Q$3)-YEAR($B$7))+MONTH(Q$3)-MONTH($B$7)+1)/MAX(1,'Вводные'!$F$88)&lt;=0.2,0.6,IF((12*(YEAR(Q$3)-YEAR($B$7))+MONTH(Q$3)-MONTH($B$7)+1)/MAX(1,'Вводные'!$F$88)&lt;=0.8,1.2,0.8)))</x:f>
      </x:c>
      <x:c r="R12" s="35" t="n">
        <x:f>IF(R11=0,0,IF((12*(YEAR(R$3)-YEAR($B$7))+MONTH(R$3)-MONTH($B$7)+1)/MAX(1,'Вводные'!$F$88)&lt;=0.2,0.6,IF((12*(YEAR(R$3)-YEAR($B$7))+MONTH(R$3)-MONTH($B$7)+1)/MAX(1,'Вводные'!$F$88)&lt;=0.8,1.2,0.8)))</x:f>
      </x:c>
      <x:c r="S12" s="35" t="n">
        <x:f>IF(S11=0,0,IF((12*(YEAR(S$3)-YEAR($B$7))+MONTH(S$3)-MONTH($B$7)+1)/MAX(1,'Вводные'!$F$88)&lt;=0.2,0.6,IF((12*(YEAR(S$3)-YEAR($B$7))+MONTH(S$3)-MONTH($B$7)+1)/MAX(1,'Вводные'!$F$88)&lt;=0.8,1.2,0.8)))</x:f>
      </x:c>
      <x:c r="T12" s="35" t="n">
        <x:f>IF(T11=0,0,IF((12*(YEAR(T$3)-YEAR($B$7))+MONTH(T$3)-MONTH($B$7)+1)/MAX(1,'Вводные'!$F$88)&lt;=0.2,0.6,IF((12*(YEAR(T$3)-YEAR($B$7))+MONTH(T$3)-MONTH($B$7)+1)/MAX(1,'Вводные'!$F$88)&lt;=0.8,1.2,0.8)))</x:f>
      </x:c>
      <x:c r="U12" s="35" t="n">
        <x:f>IF(U11=0,0,IF((12*(YEAR(U$3)-YEAR($B$7))+MONTH(U$3)-MONTH($B$7)+1)/MAX(1,'Вводные'!$F$88)&lt;=0.2,0.6,IF((12*(YEAR(U$3)-YEAR($B$7))+MONTH(U$3)-MONTH($B$7)+1)/MAX(1,'Вводные'!$F$88)&lt;=0.8,1.2,0.8)))</x:f>
      </x:c>
      <x:c r="V12" s="35" t="n">
        <x:f>IF(V11=0,0,IF((12*(YEAR(V$3)-YEAR($B$7))+MONTH(V$3)-MONTH($B$7)+1)/MAX(1,'Вводные'!$F$88)&lt;=0.2,0.6,IF((12*(YEAR(V$3)-YEAR($B$7))+MONTH(V$3)-MONTH($B$7)+1)/MAX(1,'Вводные'!$F$88)&lt;=0.8,1.2,0.8)))</x:f>
      </x:c>
      <x:c r="W12" s="35" t="n">
        <x:f>IF(W11=0,0,IF((12*(YEAR(W$3)-YEAR($B$7))+MONTH(W$3)-MONTH($B$7)+1)/MAX(1,'Вводные'!$F$88)&lt;=0.2,0.6,IF((12*(YEAR(W$3)-YEAR($B$7))+MONTH(W$3)-MONTH($B$7)+1)/MAX(1,'Вводные'!$F$88)&lt;=0.8,1.2,0.8)))</x:f>
      </x:c>
      <x:c r="X12" s="35" t="n">
        <x:f>IF(X11=0,0,IF((12*(YEAR(X$3)-YEAR($B$7))+MONTH(X$3)-MONTH($B$7)+1)/MAX(1,'Вводные'!$F$88)&lt;=0.2,0.6,IF((12*(YEAR(X$3)-YEAR($B$7))+MONTH(X$3)-MONTH($B$7)+1)/MAX(1,'Вводные'!$F$88)&lt;=0.8,1.2,0.8)))</x:f>
      </x:c>
      <x:c r="Y12" s="35" t="n">
        <x:f>IF(Y11=0,0,IF((12*(YEAR(Y$3)-YEAR($B$7))+MONTH(Y$3)-MONTH($B$7)+1)/MAX(1,'Вводные'!$F$88)&lt;=0.2,0.6,IF((12*(YEAR(Y$3)-YEAR($B$7))+MONTH(Y$3)-MONTH($B$7)+1)/MAX(1,'Вводные'!$F$88)&lt;=0.8,1.2,0.8)))</x:f>
      </x:c>
      <x:c r="Z12" s="35" t="n">
        <x:f>IF(Z11=0,0,IF((12*(YEAR(Z$3)-YEAR($B$7))+MONTH(Z$3)-MONTH($B$7)+1)/MAX(1,'Вводные'!$F$88)&lt;=0.2,0.6,IF((12*(YEAR(Z$3)-YEAR($B$7))+MONTH(Z$3)-MONTH($B$7)+1)/MAX(1,'Вводные'!$F$88)&lt;=0.8,1.2,0.8)))</x:f>
      </x:c>
      <x:c r="AA12" s="35" t="n">
        <x:f>IF(AA11=0,0,IF((12*(YEAR(AA$3)-YEAR($B$7))+MONTH(AA$3)-MONTH($B$7)+1)/MAX(1,'Вводные'!$F$88)&lt;=0.2,0.6,IF((12*(YEAR(AA$3)-YEAR($B$7))+MONTH(AA$3)-MONTH($B$7)+1)/MAX(1,'Вводные'!$F$88)&lt;=0.8,1.2,0.8)))</x:f>
      </x:c>
      <x:c r="AB12" s="35" t="n">
        <x:f>IF(AB11=0,0,IF((12*(YEAR(AB$3)-YEAR($B$7))+MONTH(AB$3)-MONTH($B$7)+1)/MAX(1,'Вводные'!$F$88)&lt;=0.2,0.6,IF((12*(YEAR(AB$3)-YEAR($B$7))+MONTH(AB$3)-MONTH($B$7)+1)/MAX(1,'Вводные'!$F$88)&lt;=0.8,1.2,0.8)))</x:f>
      </x:c>
      <x:c r="AC12" s="35" t="n">
        <x:f>IF(AC11=0,0,IF((12*(YEAR(AC$3)-YEAR($B$7))+MONTH(AC$3)-MONTH($B$7)+1)/MAX(1,'Вводные'!$F$88)&lt;=0.2,0.6,IF((12*(YEAR(AC$3)-YEAR($B$7))+MONTH(AC$3)-MONTH($B$7)+1)/MAX(1,'Вводные'!$F$88)&lt;=0.8,1.2,0.8)))</x:f>
      </x:c>
      <x:c r="AD12" s="35" t="n">
        <x:f>IF(AD11=0,0,IF((12*(YEAR(AD$3)-YEAR($B$7))+MONTH(AD$3)-MONTH($B$7)+1)/MAX(1,'Вводные'!$F$88)&lt;=0.2,0.6,IF((12*(YEAR(AD$3)-YEAR($B$7))+MONTH(AD$3)-MONTH($B$7)+1)/MAX(1,'Вводные'!$F$88)&lt;=0.8,1.2,0.8)))</x:f>
      </x:c>
      <x:c r="AE12" s="35" t="n">
        <x:f>IF(AE11=0,0,IF((12*(YEAR(AE$3)-YEAR($B$7))+MONTH(AE$3)-MONTH($B$7)+1)/MAX(1,'Вводные'!$F$88)&lt;=0.2,0.6,IF((12*(YEAR(AE$3)-YEAR($B$7))+MONTH(AE$3)-MONTH($B$7)+1)/MAX(1,'Вводные'!$F$88)&lt;=0.8,1.2,0.8)))</x:f>
      </x:c>
      <x:c r="AF12" s="35" t="n">
        <x:f>IF(AF11=0,0,IF((12*(YEAR(AF$3)-YEAR($B$7))+MONTH(AF$3)-MONTH($B$7)+1)/MAX(1,'Вводные'!$F$88)&lt;=0.2,0.6,IF((12*(YEAR(AF$3)-YEAR($B$7))+MONTH(AF$3)-MONTH($B$7)+1)/MAX(1,'Вводные'!$F$88)&lt;=0.8,1.2,0.8)))</x:f>
      </x:c>
      <x:c r="AG12" s="35" t="n">
        <x:f>IF(AG11=0,0,IF((12*(YEAR(AG$3)-YEAR($B$7))+MONTH(AG$3)-MONTH($B$7)+1)/MAX(1,'Вводные'!$F$88)&lt;=0.2,0.6,IF((12*(YEAR(AG$3)-YEAR($B$7))+MONTH(AG$3)-MONTH($B$7)+1)/MAX(1,'Вводные'!$F$88)&lt;=0.8,1.2,0.8)))</x:f>
      </x:c>
      <x:c r="AH12" s="35" t="n">
        <x:f>IF(AH11=0,0,IF((12*(YEAR(AH$3)-YEAR($B$7))+MONTH(AH$3)-MONTH($B$7)+1)/MAX(1,'Вводные'!$F$88)&lt;=0.2,0.6,IF((12*(YEAR(AH$3)-YEAR($B$7))+MONTH(AH$3)-MONTH($B$7)+1)/MAX(1,'Вводные'!$F$88)&lt;=0.8,1.2,0.8)))</x:f>
      </x:c>
      <x:c r="AI12" s="35" t="n">
        <x:f>IF(AI11=0,0,IF((12*(YEAR(AI$3)-YEAR($B$7))+MONTH(AI$3)-MONTH($B$7)+1)/MAX(1,'Вводные'!$F$88)&lt;=0.2,0.6,IF((12*(YEAR(AI$3)-YEAR($B$7))+MONTH(AI$3)-MONTH($B$7)+1)/MAX(1,'Вводные'!$F$88)&lt;=0.8,1.2,0.8)))</x:f>
      </x:c>
      <x:c r="AJ12" s="35" t="n">
        <x:f>IF(AJ11=0,0,IF((12*(YEAR(AJ$3)-YEAR($B$7))+MONTH(AJ$3)-MONTH($B$7)+1)/MAX(1,'Вводные'!$F$88)&lt;=0.2,0.6,IF((12*(YEAR(AJ$3)-YEAR($B$7))+MONTH(AJ$3)-MONTH($B$7)+1)/MAX(1,'Вводные'!$F$88)&lt;=0.8,1.2,0.8)))</x:f>
      </x:c>
      <x:c r="AK12" s="35" t="n">
        <x:f>IF(AK11=0,0,IF((12*(YEAR(AK$3)-YEAR($B$7))+MONTH(AK$3)-MONTH($B$7)+1)/MAX(1,'Вводные'!$F$88)&lt;=0.2,0.6,IF((12*(YEAR(AK$3)-YEAR($B$7))+MONTH(AK$3)-MONTH($B$7)+1)/MAX(1,'Вводные'!$F$88)&lt;=0.8,1.2,0.8)))</x:f>
      </x:c>
      <x:c r="AL12" s="35" t="n">
        <x:f>IF(AL11=0,0,IF((12*(YEAR(AL$3)-YEAR($B$7))+MONTH(AL$3)-MONTH($B$7)+1)/MAX(1,'Вводные'!$F$88)&lt;=0.2,0.6,IF((12*(YEAR(AL$3)-YEAR($B$7))+MONTH(AL$3)-MONTH($B$7)+1)/MAX(1,'Вводные'!$F$88)&lt;=0.8,1.2,0.8)))</x:f>
      </x:c>
      <x:c r="AM12" s="35" t="n">
        <x:f>IF(AM11=0,0,IF((12*(YEAR(AM$3)-YEAR($B$7))+MONTH(AM$3)-MONTH($B$7)+1)/MAX(1,'Вводные'!$F$88)&lt;=0.2,0.6,IF((12*(YEAR(AM$3)-YEAR($B$7))+MONTH(AM$3)-MONTH($B$7)+1)/MAX(1,'Вводные'!$F$88)&lt;=0.8,1.2,0.8)))</x:f>
      </x:c>
      <x:c r="AN12" s="35" t="n">
        <x:f>IF(AN11=0,0,IF((12*(YEAR(AN$3)-YEAR($B$7))+MONTH(AN$3)-MONTH($B$7)+1)/MAX(1,'Вводные'!$F$88)&lt;=0.2,0.6,IF((12*(YEAR(AN$3)-YEAR($B$7))+MONTH(AN$3)-MONTH($B$7)+1)/MAX(1,'Вводные'!$F$88)&lt;=0.8,1.2,0.8)))</x:f>
      </x:c>
      <x:c r="AO12" s="35" t="n">
        <x:f>IF(AO11=0,0,IF((12*(YEAR(AO$3)-YEAR($B$7))+MONTH(AO$3)-MONTH($B$7)+1)/MAX(1,'Вводные'!$F$88)&lt;=0.2,0.6,IF((12*(YEAR(AO$3)-YEAR($B$7))+MONTH(AO$3)-MONTH($B$7)+1)/MAX(1,'Вводные'!$F$88)&lt;=0.8,1.2,0.8)))</x:f>
      </x:c>
      <x:c r="AP12" s="35" t="n">
        <x:f>IF(AP11=0,0,IF((12*(YEAR(AP$3)-YEAR($B$7))+MONTH(AP$3)-MONTH($B$7)+1)/MAX(1,'Вводные'!$F$88)&lt;=0.2,0.6,IF((12*(YEAR(AP$3)-YEAR($B$7))+MONTH(AP$3)-MONTH($B$7)+1)/MAX(1,'Вводные'!$F$88)&lt;=0.8,1.2,0.8)))</x:f>
      </x:c>
      <x:c r="AQ12" s="35" t="n">
        <x:f>IF(AQ11=0,0,IF((12*(YEAR(AQ$3)-YEAR($B$7))+MONTH(AQ$3)-MONTH($B$7)+1)/MAX(1,'Вводные'!$F$88)&lt;=0.2,0.6,IF((12*(YEAR(AQ$3)-YEAR($B$7))+MONTH(AQ$3)-MONTH($B$7)+1)/MAX(1,'Вводные'!$F$88)&lt;=0.8,1.2,0.8)))</x:f>
      </x:c>
      <x:c r="AR12" s="35" t="n">
        <x:f>IF(AR11=0,0,IF((12*(YEAR(AR$3)-YEAR($B$7))+MONTH(AR$3)-MONTH($B$7)+1)/MAX(1,'Вводные'!$F$88)&lt;=0.2,0.6,IF((12*(YEAR(AR$3)-YEAR($B$7))+MONTH(AR$3)-MONTH($B$7)+1)/MAX(1,'Вводные'!$F$88)&lt;=0.8,1.2,0.8)))</x:f>
      </x:c>
      <x:c r="AS12" s="35" t="n">
        <x:f>IF(AS11=0,0,IF((12*(YEAR(AS$3)-YEAR($B$7))+MONTH(AS$3)-MONTH($B$7)+1)/MAX(1,'Вводные'!$F$88)&lt;=0.2,0.6,IF((12*(YEAR(AS$3)-YEAR($B$7))+MONTH(AS$3)-MONTH($B$7)+1)/MAX(1,'Вводные'!$F$88)&lt;=0.8,1.2,0.8)))</x:f>
      </x:c>
      <x:c r="AT12" s="35" t="n">
        <x:f>IF(AT11=0,0,IF((12*(YEAR(AT$3)-YEAR($B$7))+MONTH(AT$3)-MONTH($B$7)+1)/MAX(1,'Вводные'!$F$88)&lt;=0.2,0.6,IF((12*(YEAR(AT$3)-YEAR($B$7))+MONTH(AT$3)-MONTH($B$7)+1)/MAX(1,'Вводные'!$F$88)&lt;=0.8,1.2,0.8)))</x:f>
      </x:c>
      <x:c r="AU12" s="35" t="n">
        <x:f>IF(AU11=0,0,IF((12*(YEAR(AU$3)-YEAR($B$7))+MONTH(AU$3)-MONTH($B$7)+1)/MAX(1,'Вводные'!$F$88)&lt;=0.2,0.6,IF((12*(YEAR(AU$3)-YEAR($B$7))+MONTH(AU$3)-MONTH($B$7)+1)/MAX(1,'Вводные'!$F$88)&lt;=0.8,1.2,0.8)))</x:f>
      </x:c>
      <x:c r="AV12" s="35" t="n">
        <x:f>IF(AV11=0,0,IF((12*(YEAR(AV$3)-YEAR($B$7))+MONTH(AV$3)-MONTH($B$7)+1)/MAX(1,'Вводные'!$F$88)&lt;=0.2,0.6,IF((12*(YEAR(AV$3)-YEAR($B$7))+MONTH(AV$3)-MONTH($B$7)+1)/MAX(1,'Вводные'!$F$88)&lt;=0.8,1.2,0.8)))</x:f>
      </x:c>
      <x:c r="AW12" s="35" t="n">
        <x:f>IF(AW11=0,0,IF((12*(YEAR(AW$3)-YEAR($B$7))+MONTH(AW$3)-MONTH($B$7)+1)/MAX(1,'Вводные'!$F$88)&lt;=0.2,0.6,IF((12*(YEAR(AW$3)-YEAR($B$7))+MONTH(AW$3)-MONTH($B$7)+1)/MAX(1,'Вводные'!$F$88)&lt;=0.8,1.2,0.8)))</x:f>
      </x:c>
      <x:c r="AX12" s="35" t="n">
        <x:f>IF(AX11=0,0,IF((12*(YEAR(AX$3)-YEAR($B$7))+MONTH(AX$3)-MONTH($B$7)+1)/MAX(1,'Вводные'!$F$88)&lt;=0.2,0.6,IF((12*(YEAR(AX$3)-YEAR($B$7))+MONTH(AX$3)-MONTH($B$7)+1)/MAX(1,'Вводные'!$F$88)&lt;=0.8,1.2,0.8)))</x:f>
      </x:c>
      <x:c r="AY12" s="35" t="n">
        <x:f>IF(AY11=0,0,IF((12*(YEAR(AY$3)-YEAR($B$7))+MONTH(AY$3)-MONTH($B$7)+1)/MAX(1,'Вводные'!$F$88)&lt;=0.2,0.6,IF((12*(YEAR(AY$3)-YEAR($B$7))+MONTH(AY$3)-MONTH($B$7)+1)/MAX(1,'Вводные'!$F$88)&lt;=0.8,1.2,0.8)))</x:f>
      </x:c>
      <x:c r="AZ12" s="35" t="n">
        <x:f>IF(AZ11=0,0,IF((12*(YEAR(AZ$3)-YEAR($B$7))+MONTH(AZ$3)-MONTH($B$7)+1)/MAX(1,'Вводные'!$F$88)&lt;=0.2,0.6,IF((12*(YEAR(AZ$3)-YEAR($B$7))+MONTH(AZ$3)-MONTH($B$7)+1)/MAX(1,'Вводные'!$F$88)&lt;=0.8,1.2,0.8)))</x:f>
      </x:c>
      <x:c r="BA12" s="35" t="n">
        <x:f>IF(BA11=0,0,IF((12*(YEAR(BA$3)-YEAR($B$7))+MONTH(BA$3)-MONTH($B$7)+1)/MAX(1,'Вводные'!$F$88)&lt;=0.2,0.6,IF((12*(YEAR(BA$3)-YEAR($B$7))+MONTH(BA$3)-MONTH($B$7)+1)/MAX(1,'Вводные'!$F$88)&lt;=0.8,1.2,0.8)))</x:f>
      </x:c>
      <x:c r="BB12" s="35" t="n">
        <x:f>IF(BB11=0,0,IF((12*(YEAR(BB$3)-YEAR($B$7))+MONTH(BB$3)-MONTH($B$7)+1)/MAX(1,'Вводные'!$F$88)&lt;=0.2,0.6,IF((12*(YEAR(BB$3)-YEAR($B$7))+MONTH(BB$3)-MONTH($B$7)+1)/MAX(1,'Вводные'!$F$88)&lt;=0.8,1.2,0.8)))</x:f>
      </x:c>
      <x:c r="BC12" s="35" t="n">
        <x:f>IF(BC11=0,0,IF((12*(YEAR(BC$3)-YEAR($B$7))+MONTH(BC$3)-MONTH($B$7)+1)/MAX(1,'Вводные'!$F$88)&lt;=0.2,0.6,IF((12*(YEAR(BC$3)-YEAR($B$7))+MONTH(BC$3)-MONTH($B$7)+1)/MAX(1,'Вводные'!$F$88)&lt;=0.8,1.2,0.8)))</x:f>
      </x:c>
      <x:c r="BD12" s="35" t="n">
        <x:f>IF(BD11=0,0,IF((12*(YEAR(BD$3)-YEAR($B$7))+MONTH(BD$3)-MONTH($B$7)+1)/MAX(1,'Вводные'!$F$88)&lt;=0.2,0.6,IF((12*(YEAR(BD$3)-YEAR($B$7))+MONTH(BD$3)-MONTH($B$7)+1)/MAX(1,'Вводные'!$F$88)&lt;=0.8,1.2,0.8)))</x:f>
      </x:c>
      <x:c r="BE12" s="35" t="n">
        <x:f>IF(BE11=0,0,IF((12*(YEAR(BE$3)-YEAR($B$7))+MONTH(BE$3)-MONTH($B$7)+1)/MAX(1,'Вводные'!$F$88)&lt;=0.2,0.6,IF((12*(YEAR(BE$3)-YEAR($B$7))+MONTH(BE$3)-MONTH($B$7)+1)/MAX(1,'Вводные'!$F$88)&lt;=0.8,1.2,0.8)))</x:f>
      </x:c>
      <x:c r="BF12" s="35" t="n">
        <x:f>IF(BF11=0,0,IF((12*(YEAR(BF$3)-YEAR($B$7))+MONTH(BF$3)-MONTH($B$7)+1)/MAX(1,'Вводные'!$F$88)&lt;=0.2,0.6,IF((12*(YEAR(BF$3)-YEAR($B$7))+MONTH(BF$3)-MONTH($B$7)+1)/MAX(1,'Вводные'!$F$88)&lt;=0.8,1.2,0.8)))</x:f>
      </x:c>
      <x:c r="BG12" s="35" t="n">
        <x:f>IF(BG11=0,0,IF((12*(YEAR(BG$3)-YEAR($B$7))+MONTH(BG$3)-MONTH($B$7)+1)/MAX(1,'Вводные'!$F$88)&lt;=0.2,0.6,IF((12*(YEAR(BG$3)-YEAR($B$7))+MONTH(BG$3)-MONTH($B$7)+1)/MAX(1,'Вводные'!$F$88)&lt;=0.8,1.2,0.8)))</x:f>
      </x:c>
      <x:c r="BH12" s="35" t="n">
        <x:f>IF(BH11=0,0,IF((12*(YEAR(BH$3)-YEAR($B$7))+MONTH(BH$3)-MONTH($B$7)+1)/MAX(1,'Вводные'!$F$88)&lt;=0.2,0.6,IF((12*(YEAR(BH$3)-YEAR($B$7))+MONTH(BH$3)-MONTH($B$7)+1)/MAX(1,'Вводные'!$F$88)&lt;=0.8,1.2,0.8)))</x:f>
      </x:c>
      <x:c r="BI12" s="35" t="n">
        <x:f>IF(BI11=0,0,IF((12*(YEAR(BI$3)-YEAR($B$7))+MONTH(BI$3)-MONTH($B$7)+1)/MAX(1,'Вводные'!$F$88)&lt;=0.2,0.6,IF((12*(YEAR(BI$3)-YEAR($B$7))+MONTH(BI$3)-MONTH($B$7)+1)/MAX(1,'Вводные'!$F$88)&lt;=0.8,1.2,0.8)))</x:f>
      </x:c>
      <x:c r="BJ12" s="35" t="n">
        <x:f>IF(BJ11=0,0,IF((12*(YEAR(BJ$3)-YEAR($B$7))+MONTH(BJ$3)-MONTH($B$7)+1)/MAX(1,'Вводные'!$F$88)&lt;=0.2,0.6,IF((12*(YEAR(BJ$3)-YEAR($B$7))+MONTH(BJ$3)-MONTH($B$7)+1)/MAX(1,'Вводные'!$F$88)&lt;=0.8,1.2,0.8)))</x:f>
      </x:c>
      <x:c r="BK12" s="35" t="n">
        <x:f>IF(BK11=0,0,IF((12*(YEAR(BK$3)-YEAR($B$7))+MONTH(BK$3)-MONTH($B$7)+1)/MAX(1,'Вводные'!$F$88)&lt;=0.2,0.6,IF((12*(YEAR(BK$3)-YEAR($B$7))+MONTH(BK$3)-MONTH($B$7)+1)/MAX(1,'Вводные'!$F$88)&lt;=0.8,1.2,0.8)))</x:f>
      </x:c>
      <x:c r="BL12" s="35" t="n">
        <x:f>IF(BL11=0,0,IF((12*(YEAR(BL$3)-YEAR($B$7))+MONTH(BL$3)-MONTH($B$7)+1)/MAX(1,'Вводные'!$F$88)&lt;=0.2,0.6,IF((12*(YEAR(BL$3)-YEAR($B$7))+MONTH(BL$3)-MONTH($B$7)+1)/MAX(1,'Вводные'!$F$88)&lt;=0.8,1.2,0.8)))</x:f>
      </x:c>
      <x:c r="BM12" s="35" t="n">
        <x:f>IF(BM11=0,0,IF((12*(YEAR(BM$3)-YEAR($B$7))+MONTH(BM$3)-MONTH($B$7)+1)/MAX(1,'Вводные'!$F$88)&lt;=0.2,0.6,IF((12*(YEAR(BM$3)-YEAR($B$7))+MONTH(BM$3)-MONTH($B$7)+1)/MAX(1,'Вводные'!$F$88)&lt;=0.8,1.2,0.8)))</x:f>
      </x:c>
      <x:c r="BN12" s="35" t="n">
        <x:f>IF(BN11=0,0,IF((12*(YEAR(BN$3)-YEAR($B$7))+MONTH(BN$3)-MONTH($B$7)+1)/MAX(1,'Вводные'!$F$88)&lt;=0.2,0.6,IF((12*(YEAR(BN$3)-YEAR($B$7))+MONTH(BN$3)-MONTH($B$7)+1)/MAX(1,'Вводные'!$F$88)&lt;=0.8,1.2,0.8)))</x:f>
      </x:c>
      <x:c r="BO12" s="35" t="n">
        <x:f>IF(BO11=0,0,IF((12*(YEAR(BO$3)-YEAR($B$7))+MONTH(BO$3)-MONTH($B$7)+1)/MAX(1,'Вводные'!$F$88)&lt;=0.2,0.6,IF((12*(YEAR(BO$3)-YEAR($B$7))+MONTH(BO$3)-MONTH($B$7)+1)/MAX(1,'Вводные'!$F$88)&lt;=0.8,1.2,0.8)))</x:f>
      </x:c>
      <x:c r="BP12" s="35" t="n">
        <x:f>IF(BP11=0,0,IF((12*(YEAR(BP$3)-YEAR($B$7))+MONTH(BP$3)-MONTH($B$7)+1)/MAX(1,'Вводные'!$F$88)&lt;=0.2,0.6,IF((12*(YEAR(BP$3)-YEAR($B$7))+MONTH(BP$3)-MONTH($B$7)+1)/MAX(1,'Вводные'!$F$88)&lt;=0.8,1.2,0.8)))</x:f>
      </x:c>
      <x:c r="BQ12" s="35" t="n">
        <x:f>IF(BQ11=0,0,IF((12*(YEAR(BQ$3)-YEAR($B$7))+MONTH(BQ$3)-MONTH($B$7)+1)/MAX(1,'Вводные'!$F$88)&lt;=0.2,0.6,IF((12*(YEAR(BQ$3)-YEAR($B$7))+MONTH(BQ$3)-MONTH($B$7)+1)/MAX(1,'Вводные'!$F$88)&lt;=0.8,1.2,0.8)))</x:f>
      </x:c>
      <x:c r="BR12" s="35" t="n">
        <x:f>IF(BR11=0,0,IF((12*(YEAR(BR$3)-YEAR($B$7))+MONTH(BR$3)-MONTH($B$7)+1)/MAX(1,'Вводные'!$F$88)&lt;=0.2,0.6,IF((12*(YEAR(BR$3)-YEAR($B$7))+MONTH(BR$3)-MONTH($B$7)+1)/MAX(1,'Вводные'!$F$88)&lt;=0.8,1.2,0.8)))</x:f>
      </x:c>
      <x:c r="BS12" s="35" t="n">
        <x:f>IF(BS11=0,0,IF((12*(YEAR(BS$3)-YEAR($B$7))+MONTH(BS$3)-MONTH($B$7)+1)/MAX(1,'Вводные'!$F$88)&lt;=0.2,0.6,IF((12*(YEAR(BS$3)-YEAR($B$7))+MONTH(BS$3)-MONTH($B$7)+1)/MAX(1,'Вводные'!$F$88)&lt;=0.8,1.2,0.8)))</x:f>
      </x:c>
      <x:c r="BT12" s="35" t="n">
        <x:f>IF(BT11=0,0,IF((12*(YEAR(BT$3)-YEAR($B$7))+MONTH(BT$3)-MONTH($B$7)+1)/MAX(1,'Вводные'!$F$88)&lt;=0.2,0.6,IF((12*(YEAR(BT$3)-YEAR($B$7))+MONTH(BT$3)-MONTH($B$7)+1)/MAX(1,'Вводные'!$F$88)&lt;=0.8,1.2,0.8)))</x:f>
      </x:c>
      <x:c r="BU12" s="35" t="n">
        <x:f>IF(BU11=0,0,IF((12*(YEAR(BU$3)-YEAR($B$7))+MONTH(BU$3)-MONTH($B$7)+1)/MAX(1,'Вводные'!$F$88)&lt;=0.2,0.6,IF((12*(YEAR(BU$3)-YEAR($B$7))+MONTH(BU$3)-MONTH($B$7)+1)/MAX(1,'Вводные'!$F$88)&lt;=0.8,1.2,0.8)))</x:f>
      </x:c>
      <x:c r="BV12" s="35" t="n">
        <x:f>IF(BV11=0,0,IF((12*(YEAR(BV$3)-YEAR($B$7))+MONTH(BV$3)-MONTH($B$7)+1)/MAX(1,'Вводные'!$F$88)&lt;=0.2,0.6,IF((12*(YEAR(BV$3)-YEAR($B$7))+MONTH(BV$3)-MONTH($B$7)+1)/MAX(1,'Вводные'!$F$88)&lt;=0.8,1.2,0.8)))</x:f>
      </x:c>
      <x:c r="BW12" s="35" t="n">
        <x:f>IF(BW11=0,0,IF((12*(YEAR(BW$3)-YEAR($B$7))+MONTH(BW$3)-MONTH($B$7)+1)/MAX(1,'Вводные'!$F$88)&lt;=0.2,0.6,IF((12*(YEAR(BW$3)-YEAR($B$7))+MONTH(BW$3)-MONTH($B$7)+1)/MAX(1,'Вводные'!$F$88)&lt;=0.8,1.2,0.8)))</x:f>
      </x:c>
      <x:c r="BX12" s="35" t="n">
        <x:f>IF(BX11=0,0,IF((12*(YEAR(BX$3)-YEAR($B$7))+MONTH(BX$3)-MONTH($B$7)+1)/MAX(1,'Вводные'!$F$88)&lt;=0.2,0.6,IF((12*(YEAR(BX$3)-YEAR($B$7))+MONTH(BX$3)-MONTH($B$7)+1)/MAX(1,'Вводные'!$F$88)&lt;=0.8,1.2,0.8)))</x:f>
      </x:c>
      <x:c r="BY12" s="35" t="n">
        <x:f>IF(BY11=0,0,IF((12*(YEAR(BY$3)-YEAR($B$7))+MONTH(BY$3)-MONTH($B$7)+1)/MAX(1,'Вводные'!$F$88)&lt;=0.2,0.6,IF((12*(YEAR(BY$3)-YEAR($B$7))+MONTH(BY$3)-MONTH($B$7)+1)/MAX(1,'Вводные'!$F$88)&lt;=0.8,1.2,0.8)))</x:f>
      </x:c>
      <x:c r="BZ12" s="35" t="n">
        <x:f>IF(BZ11=0,0,IF((12*(YEAR(BZ$3)-YEAR($B$7))+MONTH(BZ$3)-MONTH($B$7)+1)/MAX(1,'Вводные'!$F$88)&lt;=0.2,0.6,IF((12*(YEAR(BZ$3)-YEAR($B$7))+MONTH(BZ$3)-MONTH($B$7)+1)/MAX(1,'Вводные'!$F$88)&lt;=0.8,1.2,0.8)))</x:f>
      </x:c>
      <x:c r="CA12" s="35" t="n">
        <x:f>IF(CA11=0,0,IF((12*(YEAR(CA$3)-YEAR($B$7))+MONTH(CA$3)-MONTH($B$7)+1)/MAX(1,'Вводные'!$F$88)&lt;=0.2,0.6,IF((12*(YEAR(CA$3)-YEAR($B$7))+MONTH(CA$3)-MONTH($B$7)+1)/MAX(1,'Вводные'!$F$88)&lt;=0.8,1.2,0.8)))</x:f>
      </x:c>
      <x:c r="CB12" s="35" t="n">
        <x:f>IF(CB11=0,0,IF((12*(YEAR(CB$3)-YEAR($B$7))+MONTH(CB$3)-MONTH($B$7)+1)/MAX(1,'Вводные'!$F$88)&lt;=0.2,0.6,IF((12*(YEAR(CB$3)-YEAR($B$7))+MONTH(CB$3)-MONTH($B$7)+1)/MAX(1,'Вводные'!$F$88)&lt;=0.8,1.2,0.8)))</x:f>
      </x:c>
      <x:c r="CC12" s="35" t="n">
        <x:f>IF(CC11=0,0,IF((12*(YEAR(CC$3)-YEAR($B$7))+MONTH(CC$3)-MONTH($B$7)+1)/MAX(1,'Вводные'!$F$88)&lt;=0.2,0.6,IF((12*(YEAR(CC$3)-YEAR($B$7))+MONTH(CC$3)-MONTH($B$7)+1)/MAX(1,'Вводные'!$F$88)&lt;=0.8,1.2,0.8)))</x:f>
      </x:c>
      <x:c r="CD12" s="35" t="n">
        <x:f>IF(CD11=0,0,IF((12*(YEAR(CD$3)-YEAR($B$7))+MONTH(CD$3)-MONTH($B$7)+1)/MAX(1,'Вводные'!$F$88)&lt;=0.2,0.6,IF((12*(YEAR(CD$3)-YEAR($B$7))+MONTH(CD$3)-MONTH($B$7)+1)/MAX(1,'Вводные'!$F$88)&lt;=0.8,1.2,0.8)))</x:f>
      </x:c>
      <x:c r="CE12" s="35" t="n">
        <x:f>IF(CE11=0,0,IF((12*(YEAR(CE$3)-YEAR($B$7))+MONTH(CE$3)-MONTH($B$7)+1)/MAX(1,'Вводные'!$F$88)&lt;=0.2,0.6,IF((12*(YEAR(CE$3)-YEAR($B$7))+MONTH(CE$3)-MONTH($B$7)+1)/MAX(1,'Вводные'!$F$88)&lt;=0.8,1.2,0.8)))</x:f>
      </x:c>
      <x:c r="CF12" s="35" t="n">
        <x:f>IF(CF11=0,0,IF((12*(YEAR(CF$3)-YEAR($B$7))+MONTH(CF$3)-MONTH($B$7)+1)/MAX(1,'Вводные'!$F$88)&lt;=0.2,0.6,IF((12*(YEAR(CF$3)-YEAR($B$7))+MONTH(CF$3)-MONTH($B$7)+1)/MAX(1,'Вводные'!$F$88)&lt;=0.8,1.2,0.8)))</x:f>
      </x:c>
      <x:c r="CG12" s="35" t="n">
        <x:f>IF(CG11=0,0,IF((12*(YEAR(CG$3)-YEAR($B$7))+MONTH(CG$3)-MONTH($B$7)+1)/MAX(1,'Вводные'!$F$88)&lt;=0.2,0.6,IF((12*(YEAR(CG$3)-YEAR($B$7))+MONTH(CG$3)-MONTH($B$7)+1)/MAX(1,'Вводные'!$F$88)&lt;=0.8,1.2,0.8)))</x:f>
      </x:c>
      <x:c r="CH12" s="35" t="n">
        <x:f>IF(CH11=0,0,IF((12*(YEAR(CH$3)-YEAR($B$7))+MONTH(CH$3)-MONTH($B$7)+1)/MAX(1,'Вводные'!$F$88)&lt;=0.2,0.6,IF((12*(YEAR(CH$3)-YEAR($B$7))+MONTH(CH$3)-MONTH($B$7)+1)/MAX(1,'Вводные'!$F$88)&lt;=0.8,1.2,0.8)))</x:f>
      </x:c>
      <x:c r="CI12" s="35" t="n">
        <x:f>IF(CI11=0,0,IF((12*(YEAR(CI$3)-YEAR($B$7))+MONTH(CI$3)-MONTH($B$7)+1)/MAX(1,'Вводные'!$F$88)&lt;=0.2,0.6,IF((12*(YEAR(CI$3)-YEAR($B$7))+MONTH(CI$3)-MONTH($B$7)+1)/MAX(1,'Вводные'!$F$88)&lt;=0.8,1.2,0.8)))</x:f>
      </x:c>
      <x:c r="CJ12" s="35" t="n">
        <x:f>IF(CJ11=0,0,IF((12*(YEAR(CJ$3)-YEAR($B$7))+MONTH(CJ$3)-MONTH($B$7)+1)/MAX(1,'Вводные'!$F$88)&lt;=0.2,0.6,IF((12*(YEAR(CJ$3)-YEAR($B$7))+MONTH(CJ$3)-MONTH($B$7)+1)/MAX(1,'Вводные'!$F$88)&lt;=0.8,1.2,0.8)))</x:f>
      </x:c>
      <x:c r="CK12" s="35" t="n">
        <x:f>IF(CK11=0,0,IF((12*(YEAR(CK$3)-YEAR($B$7))+MONTH(CK$3)-MONTH($B$7)+1)/MAX(1,'Вводные'!$F$88)&lt;=0.2,0.6,IF((12*(YEAR(CK$3)-YEAR($B$7))+MONTH(CK$3)-MONTH($B$7)+1)/MAX(1,'Вводные'!$F$88)&lt;=0.8,1.2,0.8)))</x:f>
      </x:c>
      <x:c r="CL12" s="35" t="n">
        <x:f>IF(CL11=0,0,IF((12*(YEAR(CL$3)-YEAR($B$7))+MONTH(CL$3)-MONTH($B$7)+1)/MAX(1,'Вводные'!$F$88)&lt;=0.2,0.6,IF((12*(YEAR(CL$3)-YEAR($B$7))+MONTH(CL$3)-MONTH($B$7)+1)/MAX(1,'Вводные'!$F$88)&lt;=0.8,1.2,0.8)))</x:f>
      </x:c>
      <x:c r="CM12" s="35" t="n">
        <x:f>IF(CM11=0,0,IF((12*(YEAR(CM$3)-YEAR($B$7))+MONTH(CM$3)-MONTH($B$7)+1)/MAX(1,'Вводные'!$F$88)&lt;=0.2,0.6,IF((12*(YEAR(CM$3)-YEAR($B$7))+MONTH(CM$3)-MONTH($B$7)+1)/MAX(1,'Вводные'!$F$88)&lt;=0.8,1.2,0.8)))</x:f>
      </x:c>
      <x:c r="CN12" s="35" t="n">
        <x:f>IF(CN11=0,0,IF((12*(YEAR(CN$3)-YEAR($B$7))+MONTH(CN$3)-MONTH($B$7)+1)/MAX(1,'Вводные'!$F$88)&lt;=0.2,0.6,IF((12*(YEAR(CN$3)-YEAR($B$7))+MONTH(CN$3)-MONTH($B$7)+1)/MAX(1,'Вводные'!$F$88)&lt;=0.8,1.2,0.8)))</x:f>
      </x:c>
      <x:c r="CO12" s="35" t="n">
        <x:f>IF(CO11=0,0,IF((12*(YEAR(CO$3)-YEAR($B$7))+MONTH(CO$3)-MONTH($B$7)+1)/MAX(1,'Вводные'!$F$88)&lt;=0.2,0.6,IF((12*(YEAR(CO$3)-YEAR($B$7))+MONTH(CO$3)-MONTH($B$7)+1)/MAX(1,'Вводные'!$F$88)&lt;=0.8,1.2,0.8)))</x:f>
      </x:c>
      <x:c r="CP12" s="35" t="n">
        <x:f>IF(CP11=0,0,IF((12*(YEAR(CP$3)-YEAR($B$7))+MONTH(CP$3)-MONTH($B$7)+1)/MAX(1,'Вводные'!$F$88)&lt;=0.2,0.6,IF((12*(YEAR(CP$3)-YEAR($B$7))+MONTH(CP$3)-MONTH($B$7)+1)/MAX(1,'Вводные'!$F$88)&lt;=0.8,1.2,0.8)))</x:f>
      </x:c>
      <x:c r="CQ12" s="35" t="n">
        <x:f>IF(CQ11=0,0,IF((12*(YEAR(CQ$3)-YEAR($B$7))+MONTH(CQ$3)-MONTH($B$7)+1)/MAX(1,'Вводные'!$F$88)&lt;=0.2,0.6,IF((12*(YEAR(CQ$3)-YEAR($B$7))+MONTH(CQ$3)-MONTH($B$7)+1)/MAX(1,'Вводные'!$F$88)&lt;=0.8,1.2,0.8)))</x:f>
      </x:c>
      <x:c r="CR12" s="35" t="n">
        <x:f>IF(CR11=0,0,IF((12*(YEAR(CR$3)-YEAR($B$7))+MONTH(CR$3)-MONTH($B$7)+1)/MAX(1,'Вводные'!$F$88)&lt;=0.2,0.6,IF((12*(YEAR(CR$3)-YEAR($B$7))+MONTH(CR$3)-MONTH($B$7)+1)/MAX(1,'Вводные'!$F$88)&lt;=0.8,1.2,0.8)))</x:f>
      </x:c>
      <x:c r="CS12" s="35" t="n">
        <x:f>IF(CS11=0,0,IF((12*(YEAR(CS$3)-YEAR($B$7))+MONTH(CS$3)-MONTH($B$7)+1)/MAX(1,'Вводные'!$F$88)&lt;=0.2,0.6,IF((12*(YEAR(CS$3)-YEAR($B$7))+MONTH(CS$3)-MONTH($B$7)+1)/MAX(1,'Вводные'!$F$88)&lt;=0.8,1.2,0.8)))</x:f>
      </x:c>
      <x:c r="CT12" s="35" t="n">
        <x:f>IF(CT11=0,0,IF((12*(YEAR(CT$3)-YEAR($B$7))+MONTH(CT$3)-MONTH($B$7)+1)/MAX(1,'Вводные'!$F$88)&lt;=0.2,0.6,IF((12*(YEAR(CT$3)-YEAR($B$7))+MONTH(CT$3)-MONTH($B$7)+1)/MAX(1,'Вводные'!$F$88)&lt;=0.8,1.2,0.8)))</x:f>
      </x:c>
      <x:c r="CU12" s="35" t="n">
        <x:f>IF(CU11=0,0,IF((12*(YEAR(CU$3)-YEAR($B$7))+MONTH(CU$3)-MONTH($B$7)+1)/MAX(1,'Вводные'!$F$88)&lt;=0.2,0.6,IF((12*(YEAR(CU$3)-YEAR($B$7))+MONTH(CU$3)-MONTH($B$7)+1)/MAX(1,'Вводные'!$F$88)&lt;=0.8,1.2,0.8)))</x:f>
      </x:c>
      <x:c r="CV12" s="35" t="n">
        <x:f>IF(CV11=0,0,IF((12*(YEAR(CV$3)-YEAR($B$7))+MONTH(CV$3)-MONTH($B$7)+1)/MAX(1,'Вводные'!$F$88)&lt;=0.2,0.6,IF((12*(YEAR(CV$3)-YEAR($B$7))+MONTH(CV$3)-MONTH($B$7)+1)/MAX(1,'Вводные'!$F$88)&lt;=0.8,1.2,0.8)))</x:f>
      </x:c>
      <x:c r="CW12" s="35" t="n">
        <x:f>IF(CW11=0,0,IF((12*(YEAR(CW$3)-YEAR($B$7))+MONTH(CW$3)-MONTH($B$7)+1)/MAX(1,'Вводные'!$F$88)&lt;=0.2,0.6,IF((12*(YEAR(CW$3)-YEAR($B$7))+MONTH(CW$3)-MONTH($B$7)+1)/MAX(1,'Вводные'!$F$88)&lt;=0.8,1.2,0.8)))</x:f>
      </x:c>
      <x:c r="CX12" s="35" t="n">
        <x:f>IF(CX11=0,0,IF((12*(YEAR(CX$3)-YEAR($B$7))+MONTH(CX$3)-MONTH($B$7)+1)/MAX(1,'Вводные'!$F$88)&lt;=0.2,0.6,IF((12*(YEAR(CX$3)-YEAR($B$7))+MONTH(CX$3)-MONTH($B$7)+1)/MAX(1,'Вводные'!$F$88)&lt;=0.8,1.2,0.8)))</x:f>
      </x:c>
      <x:c r="CY12" s="35" t="n">
        <x:f>IF(CY11=0,0,IF((12*(YEAR(CY$3)-YEAR($B$7))+MONTH(CY$3)-MONTH($B$7)+1)/MAX(1,'Вводные'!$F$88)&lt;=0.2,0.6,IF((12*(YEAR(CY$3)-YEAR($B$7))+MONTH(CY$3)-MONTH($B$7)+1)/MAX(1,'Вводные'!$F$88)&lt;=0.8,1.2,0.8)))</x:f>
      </x:c>
      <x:c r="CZ12" s="35" t="n">
        <x:f>IF(CZ11=0,0,IF((12*(YEAR(CZ$3)-YEAR($B$7))+MONTH(CZ$3)-MONTH($B$7)+1)/MAX(1,'Вводные'!$F$88)&lt;=0.2,0.6,IF((12*(YEAR(CZ$3)-YEAR($B$7))+MONTH(CZ$3)-MONTH($B$7)+1)/MAX(1,'Вводные'!$F$88)&lt;=0.8,1.2,0.8)))</x:f>
      </x:c>
      <x:c r="DA12" s="35" t="n">
        <x:f>IF(DA11=0,0,IF((12*(YEAR(DA$3)-YEAR($B$7))+MONTH(DA$3)-MONTH($B$7)+1)/MAX(1,'Вводные'!$F$88)&lt;=0.2,0.6,IF((12*(YEAR(DA$3)-YEAR($B$7))+MONTH(DA$3)-MONTH($B$7)+1)/MAX(1,'Вводные'!$F$88)&lt;=0.8,1.2,0.8)))</x:f>
      </x:c>
      <x:c r="DB12" s="35" t="n">
        <x:f>IF(DB11=0,0,IF((12*(YEAR(DB$3)-YEAR($B$7))+MONTH(DB$3)-MONTH($B$7)+1)/MAX(1,'Вводные'!$F$88)&lt;=0.2,0.6,IF((12*(YEAR(DB$3)-YEAR($B$7))+MONTH(DB$3)-MONTH($B$7)+1)/MAX(1,'Вводные'!$F$88)&lt;=0.8,1.2,0.8)))</x:f>
      </x:c>
      <x:c r="DC12" s="35" t="n">
        <x:f>IF(DC11=0,0,IF((12*(YEAR(DC$3)-YEAR($B$7))+MONTH(DC$3)-MONTH($B$7)+1)/MAX(1,'Вводные'!$F$88)&lt;=0.2,0.6,IF((12*(YEAR(DC$3)-YEAR($B$7))+MONTH(DC$3)-MONTH($B$7)+1)/MAX(1,'Вводные'!$F$88)&lt;=0.8,1.2,0.8)))</x:f>
      </x:c>
      <x:c r="DD12" s="35" t="n">
        <x:f>IF(DD11=0,0,IF((12*(YEAR(DD$3)-YEAR($B$7))+MONTH(DD$3)-MONTH($B$7)+1)/MAX(1,'Вводные'!$F$88)&lt;=0.2,0.6,IF((12*(YEAR(DD$3)-YEAR($B$7))+MONTH(DD$3)-MONTH($B$7)+1)/MAX(1,'Вводные'!$F$88)&lt;=0.8,1.2,0.8)))</x:f>
      </x:c>
      <x:c r="DE12" s="35" t="n">
        <x:f>IF(DE11=0,0,IF((12*(YEAR(DE$3)-YEAR($B$7))+MONTH(DE$3)-MONTH($B$7)+1)/MAX(1,'Вводные'!$F$88)&lt;=0.2,0.6,IF((12*(YEAR(DE$3)-YEAR($B$7))+MONTH(DE$3)-MONTH($B$7)+1)/MAX(1,'Вводные'!$F$88)&lt;=0.8,1.2,0.8)))</x:f>
      </x:c>
      <x:c r="DF12" s="35" t="n">
        <x:f>IF(DF11=0,0,IF((12*(YEAR(DF$3)-YEAR($B$7))+MONTH(DF$3)-MONTH($B$7)+1)/MAX(1,'Вводные'!$F$88)&lt;=0.2,0.6,IF((12*(YEAR(DF$3)-YEAR($B$7))+MONTH(DF$3)-MONTH($B$7)+1)/MAX(1,'Вводные'!$F$88)&lt;=0.8,1.2,0.8)))</x:f>
      </x:c>
      <x:c r="DG12" s="35" t="n">
        <x:f>IF(DG11=0,0,IF((12*(YEAR(DG$3)-YEAR($B$7))+MONTH(DG$3)-MONTH($B$7)+1)/MAX(1,'Вводные'!$F$88)&lt;=0.2,0.6,IF((12*(YEAR(DG$3)-YEAR($B$7))+MONTH(DG$3)-MONTH($B$7)+1)/MAX(1,'Вводные'!$F$88)&lt;=0.8,1.2,0.8)))</x:f>
      </x:c>
      <x:c r="DH12" s="35" t="n">
        <x:f>IF(DH11=0,0,IF((12*(YEAR(DH$3)-YEAR($B$7))+MONTH(DH$3)-MONTH($B$7)+1)/MAX(1,'Вводные'!$F$88)&lt;=0.2,0.6,IF((12*(YEAR(DH$3)-YEAR($B$7))+MONTH(DH$3)-MONTH($B$7)+1)/MAX(1,'Вводные'!$F$88)&lt;=0.8,1.2,0.8)))</x:f>
      </x:c>
      <x:c r="DI12" s="35" t="n">
        <x:f>IF(DI11=0,0,IF((12*(YEAR(DI$3)-YEAR($B$7))+MONTH(DI$3)-MONTH($B$7)+1)/MAX(1,'Вводные'!$F$88)&lt;=0.2,0.6,IF((12*(YEAR(DI$3)-YEAR($B$7))+MONTH(DI$3)-MONTH($B$7)+1)/MAX(1,'Вводные'!$F$88)&lt;=0.8,1.2,0.8)))</x:f>
      </x:c>
      <x:c r="DJ12" s="35" t="n">
        <x:f>IF(DJ11=0,0,IF((12*(YEAR(DJ$3)-YEAR($B$7))+MONTH(DJ$3)-MONTH($B$7)+1)/MAX(1,'Вводные'!$F$88)&lt;=0.2,0.6,IF((12*(YEAR(DJ$3)-YEAR($B$7))+MONTH(DJ$3)-MONTH($B$7)+1)/MAX(1,'Вводные'!$F$88)&lt;=0.8,1.2,0.8)))</x:f>
      </x:c>
      <x:c r="DK12" s="35" t="n">
        <x:f>IF(DK11=0,0,IF((12*(YEAR(DK$3)-YEAR($B$7))+MONTH(DK$3)-MONTH($B$7)+1)/MAX(1,'Вводные'!$F$88)&lt;=0.2,0.6,IF((12*(YEAR(DK$3)-YEAR($B$7))+MONTH(DK$3)-MONTH($B$7)+1)/MAX(1,'Вводные'!$F$88)&lt;=0.8,1.2,0.8)))</x:f>
      </x:c>
      <x:c r="DL12" s="35" t="n">
        <x:f>IF(DL11=0,0,IF((12*(YEAR(DL$3)-YEAR($B$7))+MONTH(DL$3)-MONTH($B$7)+1)/MAX(1,'Вводные'!$F$88)&lt;=0.2,0.6,IF((12*(YEAR(DL$3)-YEAR($B$7))+MONTH(DL$3)-MONTH($B$7)+1)/MAX(1,'Вводные'!$F$88)&lt;=0.8,1.2,0.8)))</x:f>
      </x:c>
      <x:c r="DM12" s="35" t="n">
        <x:f>IF(DM11=0,0,IF((12*(YEAR(DM$3)-YEAR($B$7))+MONTH(DM$3)-MONTH($B$7)+1)/MAX(1,'Вводные'!$F$88)&lt;=0.2,0.6,IF((12*(YEAR(DM$3)-YEAR($B$7))+MONTH(DM$3)-MONTH($B$7)+1)/MAX(1,'Вводные'!$F$88)&lt;=0.8,1.2,0.8)))</x:f>
      </x:c>
      <x:c r="DN12" s="35" t="n">
        <x:f>IF(DN11=0,0,IF((12*(YEAR(DN$3)-YEAR($B$7))+MONTH(DN$3)-MONTH($B$7)+1)/MAX(1,'Вводные'!$F$88)&lt;=0.2,0.6,IF((12*(YEAR(DN$3)-YEAR($B$7))+MONTH(DN$3)-MONTH($B$7)+1)/MAX(1,'Вводные'!$F$88)&lt;=0.8,1.2,0.8)))</x:f>
      </x:c>
      <x:c r="DO12" s="35" t="n">
        <x:f>IF(DO11=0,0,IF((12*(YEAR(DO$3)-YEAR($B$7))+MONTH(DO$3)-MONTH($B$7)+1)/MAX(1,'Вводные'!$F$88)&lt;=0.2,0.6,IF((12*(YEAR(DO$3)-YEAR($B$7))+MONTH(DO$3)-MONTH($B$7)+1)/MAX(1,'Вводные'!$F$88)&lt;=0.8,1.2,0.8)))</x:f>
      </x:c>
      <x:c r="DP12" s="35" t="n">
        <x:f>IF(DP11=0,0,IF((12*(YEAR(DP$3)-YEAR($B$7))+MONTH(DP$3)-MONTH($B$7)+1)/MAX(1,'Вводные'!$F$88)&lt;=0.2,0.6,IF((12*(YEAR(DP$3)-YEAR($B$7))+MONTH(DP$3)-MONTH($B$7)+1)/MAX(1,'Вводные'!$F$88)&lt;=0.8,1.2,0.8)))</x:f>
      </x:c>
      <x:c r="DQ12" s="35" t="n">
        <x:f>IF(DQ11=0,0,IF((12*(YEAR(DQ$3)-YEAR($B$7))+MONTH(DQ$3)-MONTH($B$7)+1)/MAX(1,'Вводные'!$F$88)&lt;=0.2,0.6,IF((12*(YEAR(DQ$3)-YEAR($B$7))+MONTH(DQ$3)-MONTH($B$7)+1)/MAX(1,'Вводные'!$F$88)&lt;=0.8,1.2,0.8)))</x:f>
      </x:c>
      <x:c r="DR12" s="35" t="n">
        <x:f>IF(DR11=0,0,IF((12*(YEAR(DR$3)-YEAR($B$7))+MONTH(DR$3)-MONTH($B$7)+1)/MAX(1,'Вводные'!$F$88)&lt;=0.2,0.6,IF((12*(YEAR(DR$3)-YEAR($B$7))+MONTH(DR$3)-MONTH($B$7)+1)/MAX(1,'Вводные'!$F$88)&lt;=0.8,1.2,0.8)))</x:f>
      </x:c>
      <x:c r="DS12" s="35" t="n">
        <x:f>IF(DS11=0,0,IF((12*(YEAR(DS$3)-YEAR($B$7))+MONTH(DS$3)-MONTH($B$7)+1)/MAX(1,'Вводные'!$F$88)&lt;=0.2,0.6,IF((12*(YEAR(DS$3)-YEAR($B$7))+MONTH(DS$3)-MONTH($B$7)+1)/MAX(1,'Вводные'!$F$88)&lt;=0.8,1.2,0.8)))</x:f>
      </x:c>
    </x:row>
    <x:row r="13">
      <x:c r="A13" t="str">
        <x:v>Нормированный вес строительства</x:v>
      </x:c>
      <x:c r="B13"/>
      <x:c r="C13" t="str">
        <x:v>%</x:v>
      </x:c>
      <x:c r="D13" s="35" t="n">
        <x:f>IFERROR(D12/SUM($D12:$DS12),0)</x:f>
      </x:c>
      <x:c r="E13" s="35" t="n">
        <x:f>IFERROR(E12/SUM($D12:$DS12),0)</x:f>
      </x:c>
      <x:c r="F13" s="35" t="n">
        <x:f>IFERROR(F12/SUM($D12:$DS12),0)</x:f>
      </x:c>
      <x:c r="G13" s="35" t="n">
        <x:f>IFERROR(G12/SUM($D12:$DS12),0)</x:f>
      </x:c>
      <x:c r="H13" s="35" t="n">
        <x:f>IFERROR(H12/SUM($D12:$DS12),0)</x:f>
      </x:c>
      <x:c r="I13" s="35" t="n">
        <x:f>IFERROR(I12/SUM($D12:$DS12),0)</x:f>
      </x:c>
      <x:c r="J13" s="35" t="n">
        <x:f>IFERROR(J12/SUM($D12:$DS12),0)</x:f>
      </x:c>
      <x:c r="K13" s="35" t="n">
        <x:f>IFERROR(K12/SUM($D12:$DS12),0)</x:f>
      </x:c>
      <x:c r="L13" s="35" t="n">
        <x:f>IFERROR(L12/SUM($D12:$DS12),0)</x:f>
      </x:c>
      <x:c r="M13" s="35" t="n">
        <x:f>IFERROR(M12/SUM($D12:$DS12),0)</x:f>
      </x:c>
      <x:c r="N13" s="35" t="n">
        <x:f>IFERROR(N12/SUM($D12:$DS12),0)</x:f>
      </x:c>
      <x:c r="O13" s="35" t="n">
        <x:f>IFERROR(O12/SUM($D12:$DS12),0)</x:f>
      </x:c>
      <x:c r="P13" s="35" t="n">
        <x:f>IFERROR(P12/SUM($D12:$DS12),0)</x:f>
      </x:c>
      <x:c r="Q13" s="35" t="n">
        <x:f>IFERROR(Q12/SUM($D12:$DS12),0)</x:f>
      </x:c>
      <x:c r="R13" s="35" t="n">
        <x:f>IFERROR(R12/SUM($D12:$DS12),0)</x:f>
      </x:c>
      <x:c r="S13" s="35" t="n">
        <x:f>IFERROR(S12/SUM($D12:$DS12),0)</x:f>
      </x:c>
      <x:c r="T13" s="35" t="n">
        <x:f>IFERROR(T12/SUM($D12:$DS12),0)</x:f>
      </x:c>
      <x:c r="U13" s="35" t="n">
        <x:f>IFERROR(U12/SUM($D12:$DS12),0)</x:f>
      </x:c>
      <x:c r="V13" s="35" t="n">
        <x:f>IFERROR(V12/SUM($D12:$DS12),0)</x:f>
      </x:c>
      <x:c r="W13" s="35" t="n">
        <x:f>IFERROR(W12/SUM($D12:$DS12),0)</x:f>
      </x:c>
      <x:c r="X13" s="35" t="n">
        <x:f>IFERROR(X12/SUM($D12:$DS12),0)</x:f>
      </x:c>
      <x:c r="Y13" s="35" t="n">
        <x:f>IFERROR(Y12/SUM($D12:$DS12),0)</x:f>
      </x:c>
      <x:c r="Z13" s="35" t="n">
        <x:f>IFERROR(Z12/SUM($D12:$DS12),0)</x:f>
      </x:c>
      <x:c r="AA13" s="35" t="n">
        <x:f>IFERROR(AA12/SUM($D12:$DS12),0)</x:f>
      </x:c>
      <x:c r="AB13" s="35" t="n">
        <x:f>IFERROR(AB12/SUM($D12:$DS12),0)</x:f>
      </x:c>
      <x:c r="AC13" s="35" t="n">
        <x:f>IFERROR(AC12/SUM($D12:$DS12),0)</x:f>
      </x:c>
      <x:c r="AD13" s="35" t="n">
        <x:f>IFERROR(AD12/SUM($D12:$DS12),0)</x:f>
      </x:c>
      <x:c r="AE13" s="35" t="n">
        <x:f>IFERROR(AE12/SUM($D12:$DS12),0)</x:f>
      </x:c>
      <x:c r="AF13" s="35" t="n">
        <x:f>IFERROR(AF12/SUM($D12:$DS12),0)</x:f>
      </x:c>
      <x:c r="AG13" s="35" t="n">
        <x:f>IFERROR(AG12/SUM($D12:$DS12),0)</x:f>
      </x:c>
      <x:c r="AH13" s="35" t="n">
        <x:f>IFERROR(AH12/SUM($D12:$DS12),0)</x:f>
      </x:c>
      <x:c r="AI13" s="35" t="n">
        <x:f>IFERROR(AI12/SUM($D12:$DS12),0)</x:f>
      </x:c>
      <x:c r="AJ13" s="35" t="n">
        <x:f>IFERROR(AJ12/SUM($D12:$DS12),0)</x:f>
      </x:c>
      <x:c r="AK13" s="35" t="n">
        <x:f>IFERROR(AK12/SUM($D12:$DS12),0)</x:f>
      </x:c>
      <x:c r="AL13" s="35" t="n">
        <x:f>IFERROR(AL12/SUM($D12:$DS12),0)</x:f>
      </x:c>
      <x:c r="AM13" s="35" t="n">
        <x:f>IFERROR(AM12/SUM($D12:$DS12),0)</x:f>
      </x:c>
      <x:c r="AN13" s="35" t="n">
        <x:f>IFERROR(AN12/SUM($D12:$DS12),0)</x:f>
      </x:c>
      <x:c r="AO13" s="35" t="n">
        <x:f>IFERROR(AO12/SUM($D12:$DS12),0)</x:f>
      </x:c>
      <x:c r="AP13" s="35" t="n">
        <x:f>IFERROR(AP12/SUM($D12:$DS12),0)</x:f>
      </x:c>
      <x:c r="AQ13" s="35" t="n">
        <x:f>IFERROR(AQ12/SUM($D12:$DS12),0)</x:f>
      </x:c>
      <x:c r="AR13" s="35" t="n">
        <x:f>IFERROR(AR12/SUM($D12:$DS12),0)</x:f>
      </x:c>
      <x:c r="AS13" s="35" t="n">
        <x:f>IFERROR(AS12/SUM($D12:$DS12),0)</x:f>
      </x:c>
      <x:c r="AT13" s="35" t="n">
        <x:f>IFERROR(AT12/SUM($D12:$DS12),0)</x:f>
      </x:c>
      <x:c r="AU13" s="35" t="n">
        <x:f>IFERROR(AU12/SUM($D12:$DS12),0)</x:f>
      </x:c>
      <x:c r="AV13" s="35" t="n">
        <x:f>IFERROR(AV12/SUM($D12:$DS12),0)</x:f>
      </x:c>
      <x:c r="AW13" s="35" t="n">
        <x:f>IFERROR(AW12/SUM($D12:$DS12),0)</x:f>
      </x:c>
      <x:c r="AX13" s="35" t="n">
        <x:f>IFERROR(AX12/SUM($D12:$DS12),0)</x:f>
      </x:c>
      <x:c r="AY13" s="35" t="n">
        <x:f>IFERROR(AY12/SUM($D12:$DS12),0)</x:f>
      </x:c>
      <x:c r="AZ13" s="35" t="n">
        <x:f>IFERROR(AZ12/SUM($D12:$DS12),0)</x:f>
      </x:c>
      <x:c r="BA13" s="35" t="n">
        <x:f>IFERROR(BA12/SUM($D12:$DS12),0)</x:f>
      </x:c>
      <x:c r="BB13" s="35" t="n">
        <x:f>IFERROR(BB12/SUM($D12:$DS12),0)</x:f>
      </x:c>
      <x:c r="BC13" s="35" t="n">
        <x:f>IFERROR(BC12/SUM($D12:$DS12),0)</x:f>
      </x:c>
      <x:c r="BD13" s="35" t="n">
        <x:f>IFERROR(BD12/SUM($D12:$DS12),0)</x:f>
      </x:c>
      <x:c r="BE13" s="35" t="n">
        <x:f>IFERROR(BE12/SUM($D12:$DS12),0)</x:f>
      </x:c>
      <x:c r="BF13" s="35" t="n">
        <x:f>IFERROR(BF12/SUM($D12:$DS12),0)</x:f>
      </x:c>
      <x:c r="BG13" s="35" t="n">
        <x:f>IFERROR(BG12/SUM($D12:$DS12),0)</x:f>
      </x:c>
      <x:c r="BH13" s="35" t="n">
        <x:f>IFERROR(BH12/SUM($D12:$DS12),0)</x:f>
      </x:c>
      <x:c r="BI13" s="35" t="n">
        <x:f>IFERROR(BI12/SUM($D12:$DS12),0)</x:f>
      </x:c>
      <x:c r="BJ13" s="35" t="n">
        <x:f>IFERROR(BJ12/SUM($D12:$DS12),0)</x:f>
      </x:c>
      <x:c r="BK13" s="35" t="n">
        <x:f>IFERROR(BK12/SUM($D12:$DS12),0)</x:f>
      </x:c>
      <x:c r="BL13" s="35" t="n">
        <x:f>IFERROR(BL12/SUM($D12:$DS12),0)</x:f>
      </x:c>
      <x:c r="BM13" s="35" t="n">
        <x:f>IFERROR(BM12/SUM($D12:$DS12),0)</x:f>
      </x:c>
      <x:c r="BN13" s="35" t="n">
        <x:f>IFERROR(BN12/SUM($D12:$DS12),0)</x:f>
      </x:c>
      <x:c r="BO13" s="35" t="n">
        <x:f>IFERROR(BO12/SUM($D12:$DS12),0)</x:f>
      </x:c>
      <x:c r="BP13" s="35" t="n">
        <x:f>IFERROR(BP12/SUM($D12:$DS12),0)</x:f>
      </x:c>
      <x:c r="BQ13" s="35" t="n">
        <x:f>IFERROR(BQ12/SUM($D12:$DS12),0)</x:f>
      </x:c>
      <x:c r="BR13" s="35" t="n">
        <x:f>IFERROR(BR12/SUM($D12:$DS12),0)</x:f>
      </x:c>
      <x:c r="BS13" s="35" t="n">
        <x:f>IFERROR(BS12/SUM($D12:$DS12),0)</x:f>
      </x:c>
      <x:c r="BT13" s="35" t="n">
        <x:f>IFERROR(BT12/SUM($D12:$DS12),0)</x:f>
      </x:c>
      <x:c r="BU13" s="35" t="n">
        <x:f>IFERROR(BU12/SUM($D12:$DS12),0)</x:f>
      </x:c>
      <x:c r="BV13" s="35" t="n">
        <x:f>IFERROR(BV12/SUM($D12:$DS12),0)</x:f>
      </x:c>
      <x:c r="BW13" s="35" t="n">
        <x:f>IFERROR(BW12/SUM($D12:$DS12),0)</x:f>
      </x:c>
      <x:c r="BX13" s="35" t="n">
        <x:f>IFERROR(BX12/SUM($D12:$DS12),0)</x:f>
      </x:c>
      <x:c r="BY13" s="35" t="n">
        <x:f>IFERROR(BY12/SUM($D12:$DS12),0)</x:f>
      </x:c>
      <x:c r="BZ13" s="35" t="n">
        <x:f>IFERROR(BZ12/SUM($D12:$DS12),0)</x:f>
      </x:c>
      <x:c r="CA13" s="35" t="n">
        <x:f>IFERROR(CA12/SUM($D12:$DS12),0)</x:f>
      </x:c>
      <x:c r="CB13" s="35" t="n">
        <x:f>IFERROR(CB12/SUM($D12:$DS12),0)</x:f>
      </x:c>
      <x:c r="CC13" s="35" t="n">
        <x:f>IFERROR(CC12/SUM($D12:$DS12),0)</x:f>
      </x:c>
      <x:c r="CD13" s="35" t="n">
        <x:f>IFERROR(CD12/SUM($D12:$DS12),0)</x:f>
      </x:c>
      <x:c r="CE13" s="35" t="n">
        <x:f>IFERROR(CE12/SUM($D12:$DS12),0)</x:f>
      </x:c>
      <x:c r="CF13" s="35" t="n">
        <x:f>IFERROR(CF12/SUM($D12:$DS12),0)</x:f>
      </x:c>
      <x:c r="CG13" s="35" t="n">
        <x:f>IFERROR(CG12/SUM($D12:$DS12),0)</x:f>
      </x:c>
      <x:c r="CH13" s="35" t="n">
        <x:f>IFERROR(CH12/SUM($D12:$DS12),0)</x:f>
      </x:c>
      <x:c r="CI13" s="35" t="n">
        <x:f>IFERROR(CI12/SUM($D12:$DS12),0)</x:f>
      </x:c>
      <x:c r="CJ13" s="35" t="n">
        <x:f>IFERROR(CJ12/SUM($D12:$DS12),0)</x:f>
      </x:c>
      <x:c r="CK13" s="35" t="n">
        <x:f>IFERROR(CK12/SUM($D12:$DS12),0)</x:f>
      </x:c>
      <x:c r="CL13" s="35" t="n">
        <x:f>IFERROR(CL12/SUM($D12:$DS12),0)</x:f>
      </x:c>
      <x:c r="CM13" s="35" t="n">
        <x:f>IFERROR(CM12/SUM($D12:$DS12),0)</x:f>
      </x:c>
      <x:c r="CN13" s="35" t="n">
        <x:f>IFERROR(CN12/SUM($D12:$DS12),0)</x:f>
      </x:c>
      <x:c r="CO13" s="35" t="n">
        <x:f>IFERROR(CO12/SUM($D12:$DS12),0)</x:f>
      </x:c>
      <x:c r="CP13" s="35" t="n">
        <x:f>IFERROR(CP12/SUM($D12:$DS12),0)</x:f>
      </x:c>
      <x:c r="CQ13" s="35" t="n">
        <x:f>IFERROR(CQ12/SUM($D12:$DS12),0)</x:f>
      </x:c>
      <x:c r="CR13" s="35" t="n">
        <x:f>IFERROR(CR12/SUM($D12:$DS12),0)</x:f>
      </x:c>
      <x:c r="CS13" s="35" t="n">
        <x:f>IFERROR(CS12/SUM($D12:$DS12),0)</x:f>
      </x:c>
      <x:c r="CT13" s="35" t="n">
        <x:f>IFERROR(CT12/SUM($D12:$DS12),0)</x:f>
      </x:c>
      <x:c r="CU13" s="35" t="n">
        <x:f>IFERROR(CU12/SUM($D12:$DS12),0)</x:f>
      </x:c>
      <x:c r="CV13" s="35" t="n">
        <x:f>IFERROR(CV12/SUM($D12:$DS12),0)</x:f>
      </x:c>
      <x:c r="CW13" s="35" t="n">
        <x:f>IFERROR(CW12/SUM($D12:$DS12),0)</x:f>
      </x:c>
      <x:c r="CX13" s="35" t="n">
        <x:f>IFERROR(CX12/SUM($D12:$DS12),0)</x:f>
      </x:c>
      <x:c r="CY13" s="35" t="n">
        <x:f>IFERROR(CY12/SUM($D12:$DS12),0)</x:f>
      </x:c>
      <x:c r="CZ13" s="35" t="n">
        <x:f>IFERROR(CZ12/SUM($D12:$DS12),0)</x:f>
      </x:c>
      <x:c r="DA13" s="35" t="n">
        <x:f>IFERROR(DA12/SUM($D12:$DS12),0)</x:f>
      </x:c>
      <x:c r="DB13" s="35" t="n">
        <x:f>IFERROR(DB12/SUM($D12:$DS12),0)</x:f>
      </x:c>
      <x:c r="DC13" s="35" t="n">
        <x:f>IFERROR(DC12/SUM($D12:$DS12),0)</x:f>
      </x:c>
      <x:c r="DD13" s="35" t="n">
        <x:f>IFERROR(DD12/SUM($D12:$DS12),0)</x:f>
      </x:c>
      <x:c r="DE13" s="35" t="n">
        <x:f>IFERROR(DE12/SUM($D12:$DS12),0)</x:f>
      </x:c>
      <x:c r="DF13" s="35" t="n">
        <x:f>IFERROR(DF12/SUM($D12:$DS12),0)</x:f>
      </x:c>
      <x:c r="DG13" s="35" t="n">
        <x:f>IFERROR(DG12/SUM($D12:$DS12),0)</x:f>
      </x:c>
      <x:c r="DH13" s="35" t="n">
        <x:f>IFERROR(DH12/SUM($D12:$DS12),0)</x:f>
      </x:c>
      <x:c r="DI13" s="35" t="n">
        <x:f>IFERROR(DI12/SUM($D12:$DS12),0)</x:f>
      </x:c>
      <x:c r="DJ13" s="35" t="n">
        <x:f>IFERROR(DJ12/SUM($D12:$DS12),0)</x:f>
      </x:c>
      <x:c r="DK13" s="35" t="n">
        <x:f>IFERROR(DK12/SUM($D12:$DS12),0)</x:f>
      </x:c>
      <x:c r="DL13" s="35" t="n">
        <x:f>IFERROR(DL12/SUM($D12:$DS12),0)</x:f>
      </x:c>
      <x:c r="DM13" s="35" t="n">
        <x:f>IFERROR(DM12/SUM($D12:$DS12),0)</x:f>
      </x:c>
      <x:c r="DN13" s="35" t="n">
        <x:f>IFERROR(DN12/SUM($D12:$DS12),0)</x:f>
      </x:c>
      <x:c r="DO13" s="35" t="n">
        <x:f>IFERROR(DO12/SUM($D12:$DS12),0)</x:f>
      </x:c>
      <x:c r="DP13" s="35" t="n">
        <x:f>IFERROR(DP12/SUM($D12:$DS12),0)</x:f>
      </x:c>
      <x:c r="DQ13" s="35" t="n">
        <x:f>IFERROR(DQ12/SUM($D12:$DS12),0)</x:f>
      </x:c>
      <x:c r="DR13" s="35" t="n">
        <x:f>IFERROR(DR12/SUM($D12:$DS12),0)</x:f>
      </x:c>
      <x:c r="DS13" s="35" t="n">
        <x:f>IFERROR(DS12/SUM($D12:$DS12),0)</x:f>
      </x:c>
    </x:row>
    <x:row r="14">
      <x:c r="A14" t="str">
        <x:v>Покупка / цена входа</x:v>
      </x:c>
      <x:c r="B14" s="107" t="n">
        <x:f>'Вводные'!$B$15*'Вводные'!$P$88*--('Вводные'!$B$88="Да")</x:f>
      </x:c>
      <x:c r="C14" t="str">
        <x:v>млн ₽</x:v>
      </x:c>
      <x:c r="D14" s="117" t="n">
        <x:f>IF(AND(YEAR(D$3)=YEAR(EDATE('Вводные'!$D$88,'Вводные'!$H$9)),MONTH(D$3)=MONTH(EDATE('Вводные'!$D$88,'Вводные'!$H$9))),$B$14,0)</x:f>
      </x:c>
      <x:c r="E14" s="117" t="n">
        <x:f>IF(AND(YEAR(E$3)=YEAR(EDATE('Вводные'!$D$88,'Вводные'!$H$9)),MONTH(E$3)=MONTH(EDATE('Вводные'!$D$88,'Вводные'!$H$9))),$B$14,0)</x:f>
      </x:c>
      <x:c r="F14" s="117" t="n">
        <x:f>IF(AND(YEAR(F$3)=YEAR(EDATE('Вводные'!$D$88,'Вводные'!$H$9)),MONTH(F$3)=MONTH(EDATE('Вводные'!$D$88,'Вводные'!$H$9))),$B$14,0)</x:f>
      </x:c>
      <x:c r="G14" s="117" t="n">
        <x:f>IF(AND(YEAR(G$3)=YEAR(EDATE('Вводные'!$D$88,'Вводные'!$H$9)),MONTH(G$3)=MONTH(EDATE('Вводные'!$D$88,'Вводные'!$H$9))),$B$14,0)</x:f>
      </x:c>
      <x:c r="H14" s="117" t="n">
        <x:f>IF(AND(YEAR(H$3)=YEAR(EDATE('Вводные'!$D$88,'Вводные'!$H$9)),MONTH(H$3)=MONTH(EDATE('Вводные'!$D$88,'Вводные'!$H$9))),$B$14,0)</x:f>
      </x:c>
      <x:c r="I14" s="117" t="n">
        <x:f>IF(AND(YEAR(I$3)=YEAR(EDATE('Вводные'!$D$88,'Вводные'!$H$9)),MONTH(I$3)=MONTH(EDATE('Вводные'!$D$88,'Вводные'!$H$9))),$B$14,0)</x:f>
      </x:c>
      <x:c r="J14" s="117" t="n">
        <x:f>IF(AND(YEAR(J$3)=YEAR(EDATE('Вводные'!$D$88,'Вводные'!$H$9)),MONTH(J$3)=MONTH(EDATE('Вводные'!$D$88,'Вводные'!$H$9))),$B$14,0)</x:f>
      </x:c>
      <x:c r="K14" s="117" t="n">
        <x:f>IF(AND(YEAR(K$3)=YEAR(EDATE('Вводные'!$D$88,'Вводные'!$H$9)),MONTH(K$3)=MONTH(EDATE('Вводные'!$D$88,'Вводные'!$H$9))),$B$14,0)</x:f>
      </x:c>
      <x:c r="L14" s="117" t="n">
        <x:f>IF(AND(YEAR(L$3)=YEAR(EDATE('Вводные'!$D$88,'Вводные'!$H$9)),MONTH(L$3)=MONTH(EDATE('Вводные'!$D$88,'Вводные'!$H$9))),$B$14,0)</x:f>
      </x:c>
      <x:c r="M14" s="117" t="n">
        <x:f>IF(AND(YEAR(M$3)=YEAR(EDATE('Вводные'!$D$88,'Вводные'!$H$9)),MONTH(M$3)=MONTH(EDATE('Вводные'!$D$88,'Вводные'!$H$9))),$B$14,0)</x:f>
      </x:c>
      <x:c r="N14" s="117" t="n">
        <x:f>IF(AND(YEAR(N$3)=YEAR(EDATE('Вводные'!$D$88,'Вводные'!$H$9)),MONTH(N$3)=MONTH(EDATE('Вводные'!$D$88,'Вводные'!$H$9))),$B$14,0)</x:f>
      </x:c>
      <x:c r="O14" s="117" t="n">
        <x:f>IF(AND(YEAR(O$3)=YEAR(EDATE('Вводные'!$D$88,'Вводные'!$H$9)),MONTH(O$3)=MONTH(EDATE('Вводные'!$D$88,'Вводные'!$H$9))),$B$14,0)</x:f>
      </x:c>
      <x:c r="P14" s="117" t="n">
        <x:f>IF(AND(YEAR(P$3)=YEAR(EDATE('Вводные'!$D$88,'Вводные'!$H$9)),MONTH(P$3)=MONTH(EDATE('Вводные'!$D$88,'Вводные'!$H$9))),$B$14,0)</x:f>
      </x:c>
      <x:c r="Q14" s="117" t="n">
        <x:f>IF(AND(YEAR(Q$3)=YEAR(EDATE('Вводные'!$D$88,'Вводные'!$H$9)),MONTH(Q$3)=MONTH(EDATE('Вводные'!$D$88,'Вводные'!$H$9))),$B$14,0)</x:f>
      </x:c>
      <x:c r="R14" s="117" t="n">
        <x:f>IF(AND(YEAR(R$3)=YEAR(EDATE('Вводные'!$D$88,'Вводные'!$H$9)),MONTH(R$3)=MONTH(EDATE('Вводные'!$D$88,'Вводные'!$H$9))),$B$14,0)</x:f>
      </x:c>
      <x:c r="S14" s="117" t="n">
        <x:f>IF(AND(YEAR(S$3)=YEAR(EDATE('Вводные'!$D$88,'Вводные'!$H$9)),MONTH(S$3)=MONTH(EDATE('Вводные'!$D$88,'Вводные'!$H$9))),$B$14,0)</x:f>
      </x:c>
      <x:c r="T14" s="117" t="n">
        <x:f>IF(AND(YEAR(T$3)=YEAR(EDATE('Вводные'!$D$88,'Вводные'!$H$9)),MONTH(T$3)=MONTH(EDATE('Вводные'!$D$88,'Вводные'!$H$9))),$B$14,0)</x:f>
      </x:c>
      <x:c r="U14" s="117" t="n">
        <x:f>IF(AND(YEAR(U$3)=YEAR(EDATE('Вводные'!$D$88,'Вводные'!$H$9)),MONTH(U$3)=MONTH(EDATE('Вводные'!$D$88,'Вводные'!$H$9))),$B$14,0)</x:f>
      </x:c>
      <x:c r="V14" s="117" t="n">
        <x:f>IF(AND(YEAR(V$3)=YEAR(EDATE('Вводные'!$D$88,'Вводные'!$H$9)),MONTH(V$3)=MONTH(EDATE('Вводные'!$D$88,'Вводные'!$H$9))),$B$14,0)</x:f>
      </x:c>
      <x:c r="W14" s="117" t="n">
        <x:f>IF(AND(YEAR(W$3)=YEAR(EDATE('Вводные'!$D$88,'Вводные'!$H$9)),MONTH(W$3)=MONTH(EDATE('Вводные'!$D$88,'Вводные'!$H$9))),$B$14,0)</x:f>
      </x:c>
      <x:c r="X14" s="117" t="n">
        <x:f>IF(AND(YEAR(X$3)=YEAR(EDATE('Вводные'!$D$88,'Вводные'!$H$9)),MONTH(X$3)=MONTH(EDATE('Вводные'!$D$88,'Вводные'!$H$9))),$B$14,0)</x:f>
      </x:c>
      <x:c r="Y14" s="117" t="n">
        <x:f>IF(AND(YEAR(Y$3)=YEAR(EDATE('Вводные'!$D$88,'Вводные'!$H$9)),MONTH(Y$3)=MONTH(EDATE('Вводные'!$D$88,'Вводные'!$H$9))),$B$14,0)</x:f>
      </x:c>
      <x:c r="Z14" s="117" t="n">
        <x:f>IF(AND(YEAR(Z$3)=YEAR(EDATE('Вводные'!$D$88,'Вводные'!$H$9)),MONTH(Z$3)=MONTH(EDATE('Вводные'!$D$88,'Вводные'!$H$9))),$B$14,0)</x:f>
      </x:c>
      <x:c r="AA14" s="117" t="n">
        <x:f>IF(AND(YEAR(AA$3)=YEAR(EDATE('Вводные'!$D$88,'Вводные'!$H$9)),MONTH(AA$3)=MONTH(EDATE('Вводные'!$D$88,'Вводные'!$H$9))),$B$14,0)</x:f>
      </x:c>
      <x:c r="AB14" s="117" t="n">
        <x:f>IF(AND(YEAR(AB$3)=YEAR(EDATE('Вводные'!$D$88,'Вводные'!$H$9)),MONTH(AB$3)=MONTH(EDATE('Вводные'!$D$88,'Вводные'!$H$9))),$B$14,0)</x:f>
      </x:c>
      <x:c r="AC14" s="117" t="n">
        <x:f>IF(AND(YEAR(AC$3)=YEAR(EDATE('Вводные'!$D$88,'Вводные'!$H$9)),MONTH(AC$3)=MONTH(EDATE('Вводные'!$D$88,'Вводные'!$H$9))),$B$14,0)</x:f>
      </x:c>
      <x:c r="AD14" s="117" t="n">
        <x:f>IF(AND(YEAR(AD$3)=YEAR(EDATE('Вводные'!$D$88,'Вводные'!$H$9)),MONTH(AD$3)=MONTH(EDATE('Вводные'!$D$88,'Вводные'!$H$9))),$B$14,0)</x:f>
      </x:c>
      <x:c r="AE14" s="117" t="n">
        <x:f>IF(AND(YEAR(AE$3)=YEAR(EDATE('Вводные'!$D$88,'Вводные'!$H$9)),MONTH(AE$3)=MONTH(EDATE('Вводные'!$D$88,'Вводные'!$H$9))),$B$14,0)</x:f>
      </x:c>
      <x:c r="AF14" s="117" t="n">
        <x:f>IF(AND(YEAR(AF$3)=YEAR(EDATE('Вводные'!$D$88,'Вводные'!$H$9)),MONTH(AF$3)=MONTH(EDATE('Вводные'!$D$88,'Вводные'!$H$9))),$B$14,0)</x:f>
      </x:c>
      <x:c r="AG14" s="117" t="n">
        <x:f>IF(AND(YEAR(AG$3)=YEAR(EDATE('Вводные'!$D$88,'Вводные'!$H$9)),MONTH(AG$3)=MONTH(EDATE('Вводные'!$D$88,'Вводные'!$H$9))),$B$14,0)</x:f>
      </x:c>
      <x:c r="AH14" s="117" t="n">
        <x:f>IF(AND(YEAR(AH$3)=YEAR(EDATE('Вводные'!$D$88,'Вводные'!$H$9)),MONTH(AH$3)=MONTH(EDATE('Вводные'!$D$88,'Вводные'!$H$9))),$B$14,0)</x:f>
      </x:c>
      <x:c r="AI14" s="117" t="n">
        <x:f>IF(AND(YEAR(AI$3)=YEAR(EDATE('Вводные'!$D$88,'Вводные'!$H$9)),MONTH(AI$3)=MONTH(EDATE('Вводные'!$D$88,'Вводные'!$H$9))),$B$14,0)</x:f>
      </x:c>
      <x:c r="AJ14" s="117" t="n">
        <x:f>IF(AND(YEAR(AJ$3)=YEAR(EDATE('Вводные'!$D$88,'Вводные'!$H$9)),MONTH(AJ$3)=MONTH(EDATE('Вводные'!$D$88,'Вводные'!$H$9))),$B$14,0)</x:f>
      </x:c>
      <x:c r="AK14" s="117" t="n">
        <x:f>IF(AND(YEAR(AK$3)=YEAR(EDATE('Вводные'!$D$88,'Вводные'!$H$9)),MONTH(AK$3)=MONTH(EDATE('Вводные'!$D$88,'Вводные'!$H$9))),$B$14,0)</x:f>
      </x:c>
      <x:c r="AL14" s="117" t="n">
        <x:f>IF(AND(YEAR(AL$3)=YEAR(EDATE('Вводные'!$D$88,'Вводные'!$H$9)),MONTH(AL$3)=MONTH(EDATE('Вводные'!$D$88,'Вводные'!$H$9))),$B$14,0)</x:f>
      </x:c>
      <x:c r="AM14" s="117" t="n">
        <x:f>IF(AND(YEAR(AM$3)=YEAR(EDATE('Вводные'!$D$88,'Вводные'!$H$9)),MONTH(AM$3)=MONTH(EDATE('Вводные'!$D$88,'Вводные'!$H$9))),$B$14,0)</x:f>
      </x:c>
      <x:c r="AN14" s="117" t="n">
        <x:f>IF(AND(YEAR(AN$3)=YEAR(EDATE('Вводные'!$D$88,'Вводные'!$H$9)),MONTH(AN$3)=MONTH(EDATE('Вводные'!$D$88,'Вводные'!$H$9))),$B$14,0)</x:f>
      </x:c>
      <x:c r="AO14" s="117" t="n">
        <x:f>IF(AND(YEAR(AO$3)=YEAR(EDATE('Вводные'!$D$88,'Вводные'!$H$9)),MONTH(AO$3)=MONTH(EDATE('Вводные'!$D$88,'Вводные'!$H$9))),$B$14,0)</x:f>
      </x:c>
      <x:c r="AP14" s="117" t="n">
        <x:f>IF(AND(YEAR(AP$3)=YEAR(EDATE('Вводные'!$D$88,'Вводные'!$H$9)),MONTH(AP$3)=MONTH(EDATE('Вводные'!$D$88,'Вводные'!$H$9))),$B$14,0)</x:f>
      </x:c>
      <x:c r="AQ14" s="117" t="n">
        <x:f>IF(AND(YEAR(AQ$3)=YEAR(EDATE('Вводные'!$D$88,'Вводные'!$H$9)),MONTH(AQ$3)=MONTH(EDATE('Вводные'!$D$88,'Вводные'!$H$9))),$B$14,0)</x:f>
      </x:c>
      <x:c r="AR14" s="117" t="n">
        <x:f>IF(AND(YEAR(AR$3)=YEAR(EDATE('Вводные'!$D$88,'Вводные'!$H$9)),MONTH(AR$3)=MONTH(EDATE('Вводные'!$D$88,'Вводные'!$H$9))),$B$14,0)</x:f>
      </x:c>
      <x:c r="AS14" s="117" t="n">
        <x:f>IF(AND(YEAR(AS$3)=YEAR(EDATE('Вводные'!$D$88,'Вводные'!$H$9)),MONTH(AS$3)=MONTH(EDATE('Вводные'!$D$88,'Вводные'!$H$9))),$B$14,0)</x:f>
      </x:c>
      <x:c r="AT14" s="117" t="n">
        <x:f>IF(AND(YEAR(AT$3)=YEAR(EDATE('Вводные'!$D$88,'Вводные'!$H$9)),MONTH(AT$3)=MONTH(EDATE('Вводные'!$D$88,'Вводные'!$H$9))),$B$14,0)</x:f>
      </x:c>
      <x:c r="AU14" s="117" t="n">
        <x:f>IF(AND(YEAR(AU$3)=YEAR(EDATE('Вводные'!$D$88,'Вводные'!$H$9)),MONTH(AU$3)=MONTH(EDATE('Вводные'!$D$88,'Вводные'!$H$9))),$B$14,0)</x:f>
      </x:c>
      <x:c r="AV14" s="117" t="n">
        <x:f>IF(AND(YEAR(AV$3)=YEAR(EDATE('Вводные'!$D$88,'Вводные'!$H$9)),MONTH(AV$3)=MONTH(EDATE('Вводные'!$D$88,'Вводные'!$H$9))),$B$14,0)</x:f>
      </x:c>
      <x:c r="AW14" s="117" t="n">
        <x:f>IF(AND(YEAR(AW$3)=YEAR(EDATE('Вводные'!$D$88,'Вводные'!$H$9)),MONTH(AW$3)=MONTH(EDATE('Вводные'!$D$88,'Вводные'!$H$9))),$B$14,0)</x:f>
      </x:c>
      <x:c r="AX14" s="117" t="n">
        <x:f>IF(AND(YEAR(AX$3)=YEAR(EDATE('Вводные'!$D$88,'Вводные'!$H$9)),MONTH(AX$3)=MONTH(EDATE('Вводные'!$D$88,'Вводные'!$H$9))),$B$14,0)</x:f>
      </x:c>
      <x:c r="AY14" s="117" t="n">
        <x:f>IF(AND(YEAR(AY$3)=YEAR(EDATE('Вводные'!$D$88,'Вводные'!$H$9)),MONTH(AY$3)=MONTH(EDATE('Вводные'!$D$88,'Вводные'!$H$9))),$B$14,0)</x:f>
      </x:c>
      <x:c r="AZ14" s="117" t="n">
        <x:f>IF(AND(YEAR(AZ$3)=YEAR(EDATE('Вводные'!$D$88,'Вводные'!$H$9)),MONTH(AZ$3)=MONTH(EDATE('Вводные'!$D$88,'Вводные'!$H$9))),$B$14,0)</x:f>
      </x:c>
      <x:c r="BA14" s="117" t="n">
        <x:f>IF(AND(YEAR(BA$3)=YEAR(EDATE('Вводные'!$D$88,'Вводные'!$H$9)),MONTH(BA$3)=MONTH(EDATE('Вводные'!$D$88,'Вводные'!$H$9))),$B$14,0)</x:f>
      </x:c>
      <x:c r="BB14" s="117" t="n">
        <x:f>IF(AND(YEAR(BB$3)=YEAR(EDATE('Вводные'!$D$88,'Вводные'!$H$9)),MONTH(BB$3)=MONTH(EDATE('Вводные'!$D$88,'Вводные'!$H$9))),$B$14,0)</x:f>
      </x:c>
      <x:c r="BC14" s="117" t="n">
        <x:f>IF(AND(YEAR(BC$3)=YEAR(EDATE('Вводные'!$D$88,'Вводные'!$H$9)),MONTH(BC$3)=MONTH(EDATE('Вводные'!$D$88,'Вводные'!$H$9))),$B$14,0)</x:f>
      </x:c>
      <x:c r="BD14" s="117" t="n">
        <x:f>IF(AND(YEAR(BD$3)=YEAR(EDATE('Вводные'!$D$88,'Вводные'!$H$9)),MONTH(BD$3)=MONTH(EDATE('Вводные'!$D$88,'Вводные'!$H$9))),$B$14,0)</x:f>
      </x:c>
      <x:c r="BE14" s="117" t="n">
        <x:f>IF(AND(YEAR(BE$3)=YEAR(EDATE('Вводные'!$D$88,'Вводные'!$H$9)),MONTH(BE$3)=MONTH(EDATE('Вводные'!$D$88,'Вводные'!$H$9))),$B$14,0)</x:f>
      </x:c>
      <x:c r="BF14" s="117" t="n">
        <x:f>IF(AND(YEAR(BF$3)=YEAR(EDATE('Вводные'!$D$88,'Вводные'!$H$9)),MONTH(BF$3)=MONTH(EDATE('Вводные'!$D$88,'Вводные'!$H$9))),$B$14,0)</x:f>
      </x:c>
      <x:c r="BG14" s="117" t="n">
        <x:f>IF(AND(YEAR(BG$3)=YEAR(EDATE('Вводные'!$D$88,'Вводные'!$H$9)),MONTH(BG$3)=MONTH(EDATE('Вводные'!$D$88,'Вводные'!$H$9))),$B$14,0)</x:f>
      </x:c>
      <x:c r="BH14" s="117" t="n">
        <x:f>IF(AND(YEAR(BH$3)=YEAR(EDATE('Вводные'!$D$88,'Вводные'!$H$9)),MONTH(BH$3)=MONTH(EDATE('Вводные'!$D$88,'Вводные'!$H$9))),$B$14,0)</x:f>
      </x:c>
      <x:c r="BI14" s="117" t="n">
        <x:f>IF(AND(YEAR(BI$3)=YEAR(EDATE('Вводные'!$D$88,'Вводные'!$H$9)),MONTH(BI$3)=MONTH(EDATE('Вводные'!$D$88,'Вводные'!$H$9))),$B$14,0)</x:f>
      </x:c>
      <x:c r="BJ14" s="117" t="n">
        <x:f>IF(AND(YEAR(BJ$3)=YEAR(EDATE('Вводные'!$D$88,'Вводные'!$H$9)),MONTH(BJ$3)=MONTH(EDATE('Вводные'!$D$88,'Вводные'!$H$9))),$B$14,0)</x:f>
      </x:c>
      <x:c r="BK14" s="117" t="n">
        <x:f>IF(AND(YEAR(BK$3)=YEAR(EDATE('Вводные'!$D$88,'Вводные'!$H$9)),MONTH(BK$3)=MONTH(EDATE('Вводные'!$D$88,'Вводные'!$H$9))),$B$14,0)</x:f>
      </x:c>
      <x:c r="BL14" s="117" t="n">
        <x:f>IF(AND(YEAR(BL$3)=YEAR(EDATE('Вводные'!$D$88,'Вводные'!$H$9)),MONTH(BL$3)=MONTH(EDATE('Вводные'!$D$88,'Вводные'!$H$9))),$B$14,0)</x:f>
      </x:c>
      <x:c r="BM14" s="117" t="n">
        <x:f>IF(AND(YEAR(BM$3)=YEAR(EDATE('Вводные'!$D$88,'Вводные'!$H$9)),MONTH(BM$3)=MONTH(EDATE('Вводные'!$D$88,'Вводные'!$H$9))),$B$14,0)</x:f>
      </x:c>
      <x:c r="BN14" s="117" t="n">
        <x:f>IF(AND(YEAR(BN$3)=YEAR(EDATE('Вводные'!$D$88,'Вводные'!$H$9)),MONTH(BN$3)=MONTH(EDATE('Вводные'!$D$88,'Вводные'!$H$9))),$B$14,0)</x:f>
      </x:c>
      <x:c r="BO14" s="117" t="n">
        <x:f>IF(AND(YEAR(BO$3)=YEAR(EDATE('Вводные'!$D$88,'Вводные'!$H$9)),MONTH(BO$3)=MONTH(EDATE('Вводные'!$D$88,'Вводные'!$H$9))),$B$14,0)</x:f>
      </x:c>
      <x:c r="BP14" s="117" t="n">
        <x:f>IF(AND(YEAR(BP$3)=YEAR(EDATE('Вводные'!$D$88,'Вводные'!$H$9)),MONTH(BP$3)=MONTH(EDATE('Вводные'!$D$88,'Вводные'!$H$9))),$B$14,0)</x:f>
      </x:c>
      <x:c r="BQ14" s="117" t="n">
        <x:f>IF(AND(YEAR(BQ$3)=YEAR(EDATE('Вводные'!$D$88,'Вводные'!$H$9)),MONTH(BQ$3)=MONTH(EDATE('Вводные'!$D$88,'Вводные'!$H$9))),$B$14,0)</x:f>
      </x:c>
      <x:c r="BR14" s="117" t="n">
        <x:f>IF(AND(YEAR(BR$3)=YEAR(EDATE('Вводные'!$D$88,'Вводные'!$H$9)),MONTH(BR$3)=MONTH(EDATE('Вводные'!$D$88,'Вводные'!$H$9))),$B$14,0)</x:f>
      </x:c>
      <x:c r="BS14" s="117" t="n">
        <x:f>IF(AND(YEAR(BS$3)=YEAR(EDATE('Вводные'!$D$88,'Вводные'!$H$9)),MONTH(BS$3)=MONTH(EDATE('Вводные'!$D$88,'Вводные'!$H$9))),$B$14,0)</x:f>
      </x:c>
      <x:c r="BT14" s="117" t="n">
        <x:f>IF(AND(YEAR(BT$3)=YEAR(EDATE('Вводные'!$D$88,'Вводные'!$H$9)),MONTH(BT$3)=MONTH(EDATE('Вводные'!$D$88,'Вводные'!$H$9))),$B$14,0)</x:f>
      </x:c>
      <x:c r="BU14" s="117" t="n">
        <x:f>IF(AND(YEAR(BU$3)=YEAR(EDATE('Вводные'!$D$88,'Вводные'!$H$9)),MONTH(BU$3)=MONTH(EDATE('Вводные'!$D$88,'Вводные'!$H$9))),$B$14,0)</x:f>
      </x:c>
      <x:c r="BV14" s="117" t="n">
        <x:f>IF(AND(YEAR(BV$3)=YEAR(EDATE('Вводные'!$D$88,'Вводные'!$H$9)),MONTH(BV$3)=MONTH(EDATE('Вводные'!$D$88,'Вводные'!$H$9))),$B$14,0)</x:f>
      </x:c>
      <x:c r="BW14" s="117" t="n">
        <x:f>IF(AND(YEAR(BW$3)=YEAR(EDATE('Вводные'!$D$88,'Вводные'!$H$9)),MONTH(BW$3)=MONTH(EDATE('Вводные'!$D$88,'Вводные'!$H$9))),$B$14,0)</x:f>
      </x:c>
      <x:c r="BX14" s="117" t="n">
        <x:f>IF(AND(YEAR(BX$3)=YEAR(EDATE('Вводные'!$D$88,'Вводные'!$H$9)),MONTH(BX$3)=MONTH(EDATE('Вводные'!$D$88,'Вводные'!$H$9))),$B$14,0)</x:f>
      </x:c>
      <x:c r="BY14" s="117" t="n">
        <x:f>IF(AND(YEAR(BY$3)=YEAR(EDATE('Вводные'!$D$88,'Вводные'!$H$9)),MONTH(BY$3)=MONTH(EDATE('Вводные'!$D$88,'Вводные'!$H$9))),$B$14,0)</x:f>
      </x:c>
      <x:c r="BZ14" s="117" t="n">
        <x:f>IF(AND(YEAR(BZ$3)=YEAR(EDATE('Вводные'!$D$88,'Вводные'!$H$9)),MONTH(BZ$3)=MONTH(EDATE('Вводные'!$D$88,'Вводные'!$H$9))),$B$14,0)</x:f>
      </x:c>
      <x:c r="CA14" s="117" t="n">
        <x:f>IF(AND(YEAR(CA$3)=YEAR(EDATE('Вводные'!$D$88,'Вводные'!$H$9)),MONTH(CA$3)=MONTH(EDATE('Вводные'!$D$88,'Вводные'!$H$9))),$B$14,0)</x:f>
      </x:c>
      <x:c r="CB14" s="117" t="n">
        <x:f>IF(AND(YEAR(CB$3)=YEAR(EDATE('Вводные'!$D$88,'Вводные'!$H$9)),MONTH(CB$3)=MONTH(EDATE('Вводные'!$D$88,'Вводные'!$H$9))),$B$14,0)</x:f>
      </x:c>
      <x:c r="CC14" s="117" t="n">
        <x:f>IF(AND(YEAR(CC$3)=YEAR(EDATE('Вводные'!$D$88,'Вводные'!$H$9)),MONTH(CC$3)=MONTH(EDATE('Вводные'!$D$88,'Вводные'!$H$9))),$B$14,0)</x:f>
      </x:c>
      <x:c r="CD14" s="117" t="n">
        <x:f>IF(AND(YEAR(CD$3)=YEAR(EDATE('Вводные'!$D$88,'Вводные'!$H$9)),MONTH(CD$3)=MONTH(EDATE('Вводные'!$D$88,'Вводные'!$H$9))),$B$14,0)</x:f>
      </x:c>
      <x:c r="CE14" s="117" t="n">
        <x:f>IF(AND(YEAR(CE$3)=YEAR(EDATE('Вводные'!$D$88,'Вводные'!$H$9)),MONTH(CE$3)=MONTH(EDATE('Вводные'!$D$88,'Вводные'!$H$9))),$B$14,0)</x:f>
      </x:c>
      <x:c r="CF14" s="117" t="n">
        <x:f>IF(AND(YEAR(CF$3)=YEAR(EDATE('Вводные'!$D$88,'Вводные'!$H$9)),MONTH(CF$3)=MONTH(EDATE('Вводные'!$D$88,'Вводные'!$H$9))),$B$14,0)</x:f>
      </x:c>
      <x:c r="CG14" s="117" t="n">
        <x:f>IF(AND(YEAR(CG$3)=YEAR(EDATE('Вводные'!$D$88,'Вводные'!$H$9)),MONTH(CG$3)=MONTH(EDATE('Вводные'!$D$88,'Вводные'!$H$9))),$B$14,0)</x:f>
      </x:c>
      <x:c r="CH14" s="117" t="n">
        <x:f>IF(AND(YEAR(CH$3)=YEAR(EDATE('Вводные'!$D$88,'Вводные'!$H$9)),MONTH(CH$3)=MONTH(EDATE('Вводные'!$D$88,'Вводные'!$H$9))),$B$14,0)</x:f>
      </x:c>
      <x:c r="CI14" s="117" t="n">
        <x:f>IF(AND(YEAR(CI$3)=YEAR(EDATE('Вводные'!$D$88,'Вводные'!$H$9)),MONTH(CI$3)=MONTH(EDATE('Вводные'!$D$88,'Вводные'!$H$9))),$B$14,0)</x:f>
      </x:c>
      <x:c r="CJ14" s="117" t="n">
        <x:f>IF(AND(YEAR(CJ$3)=YEAR(EDATE('Вводные'!$D$88,'Вводные'!$H$9)),MONTH(CJ$3)=MONTH(EDATE('Вводные'!$D$88,'Вводные'!$H$9))),$B$14,0)</x:f>
      </x:c>
      <x:c r="CK14" s="117" t="n">
        <x:f>IF(AND(YEAR(CK$3)=YEAR(EDATE('Вводные'!$D$88,'Вводные'!$H$9)),MONTH(CK$3)=MONTH(EDATE('Вводные'!$D$88,'Вводные'!$H$9))),$B$14,0)</x:f>
      </x:c>
      <x:c r="CL14" s="117" t="n">
        <x:f>IF(AND(YEAR(CL$3)=YEAR(EDATE('Вводные'!$D$88,'Вводные'!$H$9)),MONTH(CL$3)=MONTH(EDATE('Вводные'!$D$88,'Вводные'!$H$9))),$B$14,0)</x:f>
      </x:c>
      <x:c r="CM14" s="117" t="n">
        <x:f>IF(AND(YEAR(CM$3)=YEAR(EDATE('Вводные'!$D$88,'Вводные'!$H$9)),MONTH(CM$3)=MONTH(EDATE('Вводные'!$D$88,'Вводные'!$H$9))),$B$14,0)</x:f>
      </x:c>
      <x:c r="CN14" s="117" t="n">
        <x:f>IF(AND(YEAR(CN$3)=YEAR(EDATE('Вводные'!$D$88,'Вводные'!$H$9)),MONTH(CN$3)=MONTH(EDATE('Вводные'!$D$88,'Вводные'!$H$9))),$B$14,0)</x:f>
      </x:c>
      <x:c r="CO14" s="117" t="n">
        <x:f>IF(AND(YEAR(CO$3)=YEAR(EDATE('Вводные'!$D$88,'Вводные'!$H$9)),MONTH(CO$3)=MONTH(EDATE('Вводные'!$D$88,'Вводные'!$H$9))),$B$14,0)</x:f>
      </x:c>
      <x:c r="CP14" s="117" t="n">
        <x:f>IF(AND(YEAR(CP$3)=YEAR(EDATE('Вводные'!$D$88,'Вводные'!$H$9)),MONTH(CP$3)=MONTH(EDATE('Вводные'!$D$88,'Вводные'!$H$9))),$B$14,0)</x:f>
      </x:c>
      <x:c r="CQ14" s="117" t="n">
        <x:f>IF(AND(YEAR(CQ$3)=YEAR(EDATE('Вводные'!$D$88,'Вводные'!$H$9)),MONTH(CQ$3)=MONTH(EDATE('Вводные'!$D$88,'Вводные'!$H$9))),$B$14,0)</x:f>
      </x:c>
      <x:c r="CR14" s="117" t="n">
        <x:f>IF(AND(YEAR(CR$3)=YEAR(EDATE('Вводные'!$D$88,'Вводные'!$H$9)),MONTH(CR$3)=MONTH(EDATE('Вводные'!$D$88,'Вводные'!$H$9))),$B$14,0)</x:f>
      </x:c>
      <x:c r="CS14" s="117" t="n">
        <x:f>IF(AND(YEAR(CS$3)=YEAR(EDATE('Вводные'!$D$88,'Вводные'!$H$9)),MONTH(CS$3)=MONTH(EDATE('Вводные'!$D$88,'Вводные'!$H$9))),$B$14,0)</x:f>
      </x:c>
      <x:c r="CT14" s="117" t="n">
        <x:f>IF(AND(YEAR(CT$3)=YEAR(EDATE('Вводные'!$D$88,'Вводные'!$H$9)),MONTH(CT$3)=MONTH(EDATE('Вводные'!$D$88,'Вводные'!$H$9))),$B$14,0)</x:f>
      </x:c>
      <x:c r="CU14" s="117" t="n">
        <x:f>IF(AND(YEAR(CU$3)=YEAR(EDATE('Вводные'!$D$88,'Вводные'!$H$9)),MONTH(CU$3)=MONTH(EDATE('Вводные'!$D$88,'Вводные'!$H$9))),$B$14,0)</x:f>
      </x:c>
      <x:c r="CV14" s="117" t="n">
        <x:f>IF(AND(YEAR(CV$3)=YEAR(EDATE('Вводные'!$D$88,'Вводные'!$H$9)),MONTH(CV$3)=MONTH(EDATE('Вводные'!$D$88,'Вводные'!$H$9))),$B$14,0)</x:f>
      </x:c>
      <x:c r="CW14" s="117" t="n">
        <x:f>IF(AND(YEAR(CW$3)=YEAR(EDATE('Вводные'!$D$88,'Вводные'!$H$9)),MONTH(CW$3)=MONTH(EDATE('Вводные'!$D$88,'Вводные'!$H$9))),$B$14,0)</x:f>
      </x:c>
      <x:c r="CX14" s="117" t="n">
        <x:f>IF(AND(YEAR(CX$3)=YEAR(EDATE('Вводные'!$D$88,'Вводные'!$H$9)),MONTH(CX$3)=MONTH(EDATE('Вводные'!$D$88,'Вводные'!$H$9))),$B$14,0)</x:f>
      </x:c>
      <x:c r="CY14" s="117" t="n">
        <x:f>IF(AND(YEAR(CY$3)=YEAR(EDATE('Вводные'!$D$88,'Вводные'!$H$9)),MONTH(CY$3)=MONTH(EDATE('Вводные'!$D$88,'Вводные'!$H$9))),$B$14,0)</x:f>
      </x:c>
      <x:c r="CZ14" s="117" t="n">
        <x:f>IF(AND(YEAR(CZ$3)=YEAR(EDATE('Вводные'!$D$88,'Вводные'!$H$9)),MONTH(CZ$3)=MONTH(EDATE('Вводные'!$D$88,'Вводные'!$H$9))),$B$14,0)</x:f>
      </x:c>
      <x:c r="DA14" s="117" t="n">
        <x:f>IF(AND(YEAR(DA$3)=YEAR(EDATE('Вводные'!$D$88,'Вводные'!$H$9)),MONTH(DA$3)=MONTH(EDATE('Вводные'!$D$88,'Вводные'!$H$9))),$B$14,0)</x:f>
      </x:c>
      <x:c r="DB14" s="117" t="n">
        <x:f>IF(AND(YEAR(DB$3)=YEAR(EDATE('Вводные'!$D$88,'Вводные'!$H$9)),MONTH(DB$3)=MONTH(EDATE('Вводные'!$D$88,'Вводные'!$H$9))),$B$14,0)</x:f>
      </x:c>
      <x:c r="DC14" s="117" t="n">
        <x:f>IF(AND(YEAR(DC$3)=YEAR(EDATE('Вводные'!$D$88,'Вводные'!$H$9)),MONTH(DC$3)=MONTH(EDATE('Вводные'!$D$88,'Вводные'!$H$9))),$B$14,0)</x:f>
      </x:c>
      <x:c r="DD14" s="117" t="n">
        <x:f>IF(AND(YEAR(DD$3)=YEAR(EDATE('Вводные'!$D$88,'Вводные'!$H$9)),MONTH(DD$3)=MONTH(EDATE('Вводные'!$D$88,'Вводные'!$H$9))),$B$14,0)</x:f>
      </x:c>
      <x:c r="DE14" s="117" t="n">
        <x:f>IF(AND(YEAR(DE$3)=YEAR(EDATE('Вводные'!$D$88,'Вводные'!$H$9)),MONTH(DE$3)=MONTH(EDATE('Вводные'!$D$88,'Вводные'!$H$9))),$B$14,0)</x:f>
      </x:c>
      <x:c r="DF14" s="117" t="n">
        <x:f>IF(AND(YEAR(DF$3)=YEAR(EDATE('Вводные'!$D$88,'Вводные'!$H$9)),MONTH(DF$3)=MONTH(EDATE('Вводные'!$D$88,'Вводные'!$H$9))),$B$14,0)</x:f>
      </x:c>
      <x:c r="DG14" s="117" t="n">
        <x:f>IF(AND(YEAR(DG$3)=YEAR(EDATE('Вводные'!$D$88,'Вводные'!$H$9)),MONTH(DG$3)=MONTH(EDATE('Вводные'!$D$88,'Вводные'!$H$9))),$B$14,0)</x:f>
      </x:c>
      <x:c r="DH14" s="117" t="n">
        <x:f>IF(AND(YEAR(DH$3)=YEAR(EDATE('Вводные'!$D$88,'Вводные'!$H$9)),MONTH(DH$3)=MONTH(EDATE('Вводные'!$D$88,'Вводные'!$H$9))),$B$14,0)</x:f>
      </x:c>
      <x:c r="DI14" s="117" t="n">
        <x:f>IF(AND(YEAR(DI$3)=YEAR(EDATE('Вводные'!$D$88,'Вводные'!$H$9)),MONTH(DI$3)=MONTH(EDATE('Вводные'!$D$88,'Вводные'!$H$9))),$B$14,0)</x:f>
      </x:c>
      <x:c r="DJ14" s="117" t="n">
        <x:f>IF(AND(YEAR(DJ$3)=YEAR(EDATE('Вводные'!$D$88,'Вводные'!$H$9)),MONTH(DJ$3)=MONTH(EDATE('Вводные'!$D$88,'Вводные'!$H$9))),$B$14,0)</x:f>
      </x:c>
      <x:c r="DK14" s="117" t="n">
        <x:f>IF(AND(YEAR(DK$3)=YEAR(EDATE('Вводные'!$D$88,'Вводные'!$H$9)),MONTH(DK$3)=MONTH(EDATE('Вводные'!$D$88,'Вводные'!$H$9))),$B$14,0)</x:f>
      </x:c>
      <x:c r="DL14" s="117" t="n">
        <x:f>IF(AND(YEAR(DL$3)=YEAR(EDATE('Вводные'!$D$88,'Вводные'!$H$9)),MONTH(DL$3)=MONTH(EDATE('Вводные'!$D$88,'Вводные'!$H$9))),$B$14,0)</x:f>
      </x:c>
      <x:c r="DM14" s="117" t="n">
        <x:f>IF(AND(YEAR(DM$3)=YEAR(EDATE('Вводные'!$D$88,'Вводные'!$H$9)),MONTH(DM$3)=MONTH(EDATE('Вводные'!$D$88,'Вводные'!$H$9))),$B$14,0)</x:f>
      </x:c>
      <x:c r="DN14" s="117" t="n">
        <x:f>IF(AND(YEAR(DN$3)=YEAR(EDATE('Вводные'!$D$88,'Вводные'!$H$9)),MONTH(DN$3)=MONTH(EDATE('Вводные'!$D$88,'Вводные'!$H$9))),$B$14,0)</x:f>
      </x:c>
      <x:c r="DO14" s="117" t="n">
        <x:f>IF(AND(YEAR(DO$3)=YEAR(EDATE('Вводные'!$D$88,'Вводные'!$H$9)),MONTH(DO$3)=MONTH(EDATE('Вводные'!$D$88,'Вводные'!$H$9))),$B$14,0)</x:f>
      </x:c>
      <x:c r="DP14" s="117" t="n">
        <x:f>IF(AND(YEAR(DP$3)=YEAR(EDATE('Вводные'!$D$88,'Вводные'!$H$9)),MONTH(DP$3)=MONTH(EDATE('Вводные'!$D$88,'Вводные'!$H$9))),$B$14,0)</x:f>
      </x:c>
      <x:c r="DQ14" s="117" t="n">
        <x:f>IF(AND(YEAR(DQ$3)=YEAR(EDATE('Вводные'!$D$88,'Вводные'!$H$9)),MONTH(DQ$3)=MONTH(EDATE('Вводные'!$D$88,'Вводные'!$H$9))),$B$14,0)</x:f>
      </x:c>
      <x:c r="DR14" s="117" t="n">
        <x:f>IF(AND(YEAR(DR$3)=YEAR(EDATE('Вводные'!$D$88,'Вводные'!$H$9)),MONTH(DR$3)=MONTH(EDATE('Вводные'!$D$88,'Вводные'!$H$9))),$B$14,0)</x:f>
      </x:c>
      <x:c r="DS14" s="117" t="n">
        <x:f>IF(AND(YEAR(DS$3)=YEAR(EDATE('Вводные'!$D$88,'Вводные'!$H$9)),MONTH(DS$3)=MONTH(EDATE('Вводные'!$D$88,'Вводные'!$H$9))),$B$14,0)</x:f>
      </x:c>
    </x:row>
    <x:row r="15">
      <x:c r="A15" t="str">
        <x:v>Плата за ВРИ</x:v>
      </x:c>
      <x:c r="B15" s="107" t="n">
        <x:f>SUM('ВРИ'!D15:DS15)</x:f>
      </x:c>
      <x:c r="C15" t="str">
        <x:v>млн ₽</x:v>
      </x:c>
      <x:c r="D15" s="117" t="n">
        <x:f>'ВРИ'!D15</x:f>
      </x:c>
      <x:c r="E15" s="117" t="n">
        <x:f>'ВРИ'!E15</x:f>
      </x:c>
      <x:c r="F15" s="117" t="n">
        <x:f>'ВРИ'!F15</x:f>
      </x:c>
      <x:c r="G15" s="117" t="n">
        <x:f>'ВРИ'!G15</x:f>
      </x:c>
      <x:c r="H15" s="117" t="n">
        <x:f>'ВРИ'!H15</x:f>
      </x:c>
      <x:c r="I15" s="117" t="n">
        <x:f>'ВРИ'!I15</x:f>
      </x:c>
      <x:c r="J15" s="117" t="n">
        <x:f>'ВРИ'!J15</x:f>
      </x:c>
      <x:c r="K15" s="117" t="n">
        <x:f>'ВРИ'!K15</x:f>
      </x:c>
      <x:c r="L15" s="117" t="n">
        <x:f>'ВРИ'!L15</x:f>
      </x:c>
      <x:c r="M15" s="117" t="n">
        <x:f>'ВРИ'!M15</x:f>
      </x:c>
      <x:c r="N15" s="117" t="n">
        <x:f>'ВРИ'!N15</x:f>
      </x:c>
      <x:c r="O15" s="117" t="n">
        <x:f>'ВРИ'!O15</x:f>
      </x:c>
      <x:c r="P15" s="117" t="n">
        <x:f>'ВРИ'!P15</x:f>
      </x:c>
      <x:c r="Q15" s="117" t="n">
        <x:f>'ВРИ'!Q15</x:f>
      </x:c>
      <x:c r="R15" s="117" t="n">
        <x:f>'ВРИ'!R15</x:f>
      </x:c>
      <x:c r="S15" s="117" t="n">
        <x:f>'ВРИ'!S15</x:f>
      </x:c>
      <x:c r="T15" s="117" t="n">
        <x:f>'ВРИ'!T15</x:f>
      </x:c>
      <x:c r="U15" s="117" t="n">
        <x:f>'ВРИ'!U15</x:f>
      </x:c>
      <x:c r="V15" s="117" t="n">
        <x:f>'ВРИ'!V15</x:f>
      </x:c>
      <x:c r="W15" s="117" t="n">
        <x:f>'ВРИ'!W15</x:f>
      </x:c>
      <x:c r="X15" s="117" t="n">
        <x:f>'ВРИ'!X15</x:f>
      </x:c>
      <x:c r="Y15" s="117" t="n">
        <x:f>'ВРИ'!Y15</x:f>
      </x:c>
      <x:c r="Z15" s="117" t="n">
        <x:f>'ВРИ'!Z15</x:f>
      </x:c>
      <x:c r="AA15" s="117" t="n">
        <x:f>'ВРИ'!AA15</x:f>
      </x:c>
      <x:c r="AB15" s="117" t="n">
        <x:f>'ВРИ'!AB15</x:f>
      </x:c>
      <x:c r="AC15" s="117" t="n">
        <x:f>'ВРИ'!AC15</x:f>
      </x:c>
      <x:c r="AD15" s="117" t="n">
        <x:f>'ВРИ'!AD15</x:f>
      </x:c>
      <x:c r="AE15" s="117" t="n">
        <x:f>'ВРИ'!AE15</x:f>
      </x:c>
      <x:c r="AF15" s="117" t="n">
        <x:f>'ВРИ'!AF15</x:f>
      </x:c>
      <x:c r="AG15" s="117" t="n">
        <x:f>'ВРИ'!AG15</x:f>
      </x:c>
      <x:c r="AH15" s="117" t="n">
        <x:f>'ВРИ'!AH15</x:f>
      </x:c>
      <x:c r="AI15" s="117" t="n">
        <x:f>'ВРИ'!AI15</x:f>
      </x:c>
      <x:c r="AJ15" s="117" t="n">
        <x:f>'ВРИ'!AJ15</x:f>
      </x:c>
      <x:c r="AK15" s="117" t="n">
        <x:f>'ВРИ'!AK15</x:f>
      </x:c>
      <x:c r="AL15" s="117" t="n">
        <x:f>'ВРИ'!AL15</x:f>
      </x:c>
      <x:c r="AM15" s="117" t="n">
        <x:f>'ВРИ'!AM15</x:f>
      </x:c>
      <x:c r="AN15" s="117" t="n">
        <x:f>'ВРИ'!AN15</x:f>
      </x:c>
      <x:c r="AO15" s="117" t="n">
        <x:f>'ВРИ'!AO15</x:f>
      </x:c>
      <x:c r="AP15" s="117" t="n">
        <x:f>'ВРИ'!AP15</x:f>
      </x:c>
      <x:c r="AQ15" s="117" t="n">
        <x:f>'ВРИ'!AQ15</x:f>
      </x:c>
      <x:c r="AR15" s="117" t="n">
        <x:f>'ВРИ'!AR15</x:f>
      </x:c>
      <x:c r="AS15" s="117" t="n">
        <x:f>'ВРИ'!AS15</x:f>
      </x:c>
      <x:c r="AT15" s="117" t="n">
        <x:f>'ВРИ'!AT15</x:f>
      </x:c>
      <x:c r="AU15" s="117" t="n">
        <x:f>'ВРИ'!AU15</x:f>
      </x:c>
      <x:c r="AV15" s="117" t="n">
        <x:f>'ВРИ'!AV15</x:f>
      </x:c>
      <x:c r="AW15" s="117" t="n">
        <x:f>'ВРИ'!AW15</x:f>
      </x:c>
      <x:c r="AX15" s="117" t="n">
        <x:f>'ВРИ'!AX15</x:f>
      </x:c>
      <x:c r="AY15" s="117" t="n">
        <x:f>'ВРИ'!AY15</x:f>
      </x:c>
      <x:c r="AZ15" s="117" t="n">
        <x:f>'ВРИ'!AZ15</x:f>
      </x:c>
      <x:c r="BA15" s="117" t="n">
        <x:f>'ВРИ'!BA15</x:f>
      </x:c>
      <x:c r="BB15" s="117" t="n">
        <x:f>'ВРИ'!BB15</x:f>
      </x:c>
      <x:c r="BC15" s="117" t="n">
        <x:f>'ВРИ'!BC15</x:f>
      </x:c>
      <x:c r="BD15" s="117" t="n">
        <x:f>'ВРИ'!BD15</x:f>
      </x:c>
      <x:c r="BE15" s="117" t="n">
        <x:f>'ВРИ'!BE15</x:f>
      </x:c>
      <x:c r="BF15" s="117" t="n">
        <x:f>'ВРИ'!BF15</x:f>
      </x:c>
      <x:c r="BG15" s="117" t="n">
        <x:f>'ВРИ'!BG15</x:f>
      </x:c>
      <x:c r="BH15" s="117" t="n">
        <x:f>'ВРИ'!BH15</x:f>
      </x:c>
      <x:c r="BI15" s="117" t="n">
        <x:f>'ВРИ'!BI15</x:f>
      </x:c>
      <x:c r="BJ15" s="117" t="n">
        <x:f>'ВРИ'!BJ15</x:f>
      </x:c>
      <x:c r="BK15" s="117" t="n">
        <x:f>'ВРИ'!BK15</x:f>
      </x:c>
      <x:c r="BL15" s="117" t="n">
        <x:f>'ВРИ'!BL15</x:f>
      </x:c>
      <x:c r="BM15" s="117" t="n">
        <x:f>'ВРИ'!BM15</x:f>
      </x:c>
      <x:c r="BN15" s="117" t="n">
        <x:f>'ВРИ'!BN15</x:f>
      </x:c>
      <x:c r="BO15" s="117" t="n">
        <x:f>'ВРИ'!BO15</x:f>
      </x:c>
      <x:c r="BP15" s="117" t="n">
        <x:f>'ВРИ'!BP15</x:f>
      </x:c>
      <x:c r="BQ15" s="117" t="n">
        <x:f>'ВРИ'!BQ15</x:f>
      </x:c>
      <x:c r="BR15" s="117" t="n">
        <x:f>'ВРИ'!BR15</x:f>
      </x:c>
      <x:c r="BS15" s="117" t="n">
        <x:f>'ВРИ'!BS15</x:f>
      </x:c>
      <x:c r="BT15" s="117" t="n">
        <x:f>'ВРИ'!BT15</x:f>
      </x:c>
      <x:c r="BU15" s="117" t="n">
        <x:f>'ВРИ'!BU15</x:f>
      </x:c>
      <x:c r="BV15" s="117" t="n">
        <x:f>'ВРИ'!BV15</x:f>
      </x:c>
      <x:c r="BW15" s="117" t="n">
        <x:f>'ВРИ'!BW15</x:f>
      </x:c>
      <x:c r="BX15" s="117" t="n">
        <x:f>'ВРИ'!BX15</x:f>
      </x:c>
      <x:c r="BY15" s="117" t="n">
        <x:f>'ВРИ'!BY15</x:f>
      </x:c>
      <x:c r="BZ15" s="117" t="n">
        <x:f>'ВРИ'!BZ15</x:f>
      </x:c>
      <x:c r="CA15" s="117" t="n">
        <x:f>'ВРИ'!CA15</x:f>
      </x:c>
      <x:c r="CB15" s="117" t="n">
        <x:f>'ВРИ'!CB15</x:f>
      </x:c>
      <x:c r="CC15" s="117" t="n">
        <x:f>'ВРИ'!CC15</x:f>
      </x:c>
      <x:c r="CD15" s="117" t="n">
        <x:f>'ВРИ'!CD15</x:f>
      </x:c>
      <x:c r="CE15" s="117" t="n">
        <x:f>'ВРИ'!CE15</x:f>
      </x:c>
      <x:c r="CF15" s="117" t="n">
        <x:f>'ВРИ'!CF15</x:f>
      </x:c>
      <x:c r="CG15" s="117" t="n">
        <x:f>'ВРИ'!CG15</x:f>
      </x:c>
      <x:c r="CH15" s="117" t="n">
        <x:f>'ВРИ'!CH15</x:f>
      </x:c>
      <x:c r="CI15" s="117" t="n">
        <x:f>'ВРИ'!CI15</x:f>
      </x:c>
      <x:c r="CJ15" s="117" t="n">
        <x:f>'ВРИ'!CJ15</x:f>
      </x:c>
      <x:c r="CK15" s="117" t="n">
        <x:f>'ВРИ'!CK15</x:f>
      </x:c>
      <x:c r="CL15" s="117" t="n">
        <x:f>'ВРИ'!CL15</x:f>
      </x:c>
      <x:c r="CM15" s="117" t="n">
        <x:f>'ВРИ'!CM15</x:f>
      </x:c>
      <x:c r="CN15" s="117" t="n">
        <x:f>'ВРИ'!CN15</x:f>
      </x:c>
      <x:c r="CO15" s="117" t="n">
        <x:f>'ВРИ'!CO15</x:f>
      </x:c>
      <x:c r="CP15" s="117" t="n">
        <x:f>'ВРИ'!CP15</x:f>
      </x:c>
      <x:c r="CQ15" s="117" t="n">
        <x:f>'ВРИ'!CQ15</x:f>
      </x:c>
      <x:c r="CR15" s="117" t="n">
        <x:f>'ВРИ'!CR15</x:f>
      </x:c>
      <x:c r="CS15" s="117" t="n">
        <x:f>'ВРИ'!CS15</x:f>
      </x:c>
      <x:c r="CT15" s="117" t="n">
        <x:f>'ВРИ'!CT15</x:f>
      </x:c>
      <x:c r="CU15" s="117" t="n">
        <x:f>'ВРИ'!CU15</x:f>
      </x:c>
      <x:c r="CV15" s="117" t="n">
        <x:f>'ВРИ'!CV15</x:f>
      </x:c>
      <x:c r="CW15" s="117" t="n">
        <x:f>'ВРИ'!CW15</x:f>
      </x:c>
      <x:c r="CX15" s="117" t="n">
        <x:f>'ВРИ'!CX15</x:f>
      </x:c>
      <x:c r="CY15" s="117" t="n">
        <x:f>'ВРИ'!CY15</x:f>
      </x:c>
      <x:c r="CZ15" s="117" t="n">
        <x:f>'ВРИ'!CZ15</x:f>
      </x:c>
      <x:c r="DA15" s="117" t="n">
        <x:f>'ВРИ'!DA15</x:f>
      </x:c>
      <x:c r="DB15" s="117" t="n">
        <x:f>'ВРИ'!DB15</x:f>
      </x:c>
      <x:c r="DC15" s="117" t="n">
        <x:f>'ВРИ'!DC15</x:f>
      </x:c>
      <x:c r="DD15" s="117" t="n">
        <x:f>'ВРИ'!DD15</x:f>
      </x:c>
      <x:c r="DE15" s="117" t="n">
        <x:f>'ВРИ'!DE15</x:f>
      </x:c>
      <x:c r="DF15" s="117" t="n">
        <x:f>'ВРИ'!DF15</x:f>
      </x:c>
      <x:c r="DG15" s="117" t="n">
        <x:f>'ВРИ'!DG15</x:f>
      </x:c>
      <x:c r="DH15" s="117" t="n">
        <x:f>'ВРИ'!DH15</x:f>
      </x:c>
      <x:c r="DI15" s="117" t="n">
        <x:f>'ВРИ'!DI15</x:f>
      </x:c>
      <x:c r="DJ15" s="117" t="n">
        <x:f>'ВРИ'!DJ15</x:f>
      </x:c>
      <x:c r="DK15" s="117" t="n">
        <x:f>'ВРИ'!DK15</x:f>
      </x:c>
      <x:c r="DL15" s="117" t="n">
        <x:f>'ВРИ'!DL15</x:f>
      </x:c>
      <x:c r="DM15" s="117" t="n">
        <x:f>'ВРИ'!DM15</x:f>
      </x:c>
      <x:c r="DN15" s="117" t="n">
        <x:f>'ВРИ'!DN15</x:f>
      </x:c>
      <x:c r="DO15" s="117" t="n">
        <x:f>'ВРИ'!DO15</x:f>
      </x:c>
      <x:c r="DP15" s="117" t="n">
        <x:f>'ВРИ'!DP15</x:f>
      </x:c>
      <x:c r="DQ15" s="117" t="n">
        <x:f>'ВРИ'!DQ15</x:f>
      </x:c>
      <x:c r="DR15" s="117" t="n">
        <x:f>'ВРИ'!DR15</x:f>
      </x:c>
      <x:c r="DS15" s="117" t="n">
        <x:f>'ВРИ'!DS15</x:f>
      </x:c>
    </x:row>
    <x:row r="16">
      <x:c r="A16" t="str">
        <x:v>ИРД и согласования</x:v>
      </x:c>
      <x:c r="B16" s="107" t="n">
        <x:f>(('Вводные'!$I$88+'Вводные'!$J$88+'Вводные'!$K$88)*'Вводные'!$B$40/1000*'Вводные'!$H$6*'Вводные'!$T$88*--('Вводные'!$B$88="Да"))*'Вводные'!$AH$88</x:f>
      </x:c>
      <x:c r="C16" t="str">
        <x:v>млн ₽</x:v>
      </x:c>
      <x:c r="D16" s="117" t="n">
        <x:f>IF(AND(D$3&gt;=EDATE($B$7,-'Вводные'!$E$88),D$3&lt;$B$7),$B$16/MAX(1,'Вводные'!$E$88),0)</x:f>
      </x:c>
      <x:c r="E16" s="117" t="n">
        <x:f>IF(AND(E$3&gt;=EDATE($B$7,-'Вводные'!$E$88),E$3&lt;$B$7),$B$16/MAX(1,'Вводные'!$E$88),0)</x:f>
      </x:c>
      <x:c r="F16" s="117" t="n">
        <x:f>IF(AND(F$3&gt;=EDATE($B$7,-'Вводные'!$E$88),F$3&lt;$B$7),$B$16/MAX(1,'Вводные'!$E$88),0)</x:f>
      </x:c>
      <x:c r="G16" s="117" t="n">
        <x:f>IF(AND(G$3&gt;=EDATE($B$7,-'Вводные'!$E$88),G$3&lt;$B$7),$B$16/MAX(1,'Вводные'!$E$88),0)</x:f>
      </x:c>
      <x:c r="H16" s="117" t="n">
        <x:f>IF(AND(H$3&gt;=EDATE($B$7,-'Вводные'!$E$88),H$3&lt;$B$7),$B$16/MAX(1,'Вводные'!$E$88),0)</x:f>
      </x:c>
      <x:c r="I16" s="117" t="n">
        <x:f>IF(AND(I$3&gt;=EDATE($B$7,-'Вводные'!$E$88),I$3&lt;$B$7),$B$16/MAX(1,'Вводные'!$E$88),0)</x:f>
      </x:c>
      <x:c r="J16" s="117" t="n">
        <x:f>IF(AND(J$3&gt;=EDATE($B$7,-'Вводные'!$E$88),J$3&lt;$B$7),$B$16/MAX(1,'Вводные'!$E$88),0)</x:f>
      </x:c>
      <x:c r="K16" s="117" t="n">
        <x:f>IF(AND(K$3&gt;=EDATE($B$7,-'Вводные'!$E$88),K$3&lt;$B$7),$B$16/MAX(1,'Вводные'!$E$88),0)</x:f>
      </x:c>
      <x:c r="L16" s="117" t="n">
        <x:f>IF(AND(L$3&gt;=EDATE($B$7,-'Вводные'!$E$88),L$3&lt;$B$7),$B$16/MAX(1,'Вводные'!$E$88),0)</x:f>
      </x:c>
      <x:c r="M16" s="117" t="n">
        <x:f>IF(AND(M$3&gt;=EDATE($B$7,-'Вводные'!$E$88),M$3&lt;$B$7),$B$16/MAX(1,'Вводные'!$E$88),0)</x:f>
      </x:c>
      <x:c r="N16" s="117" t="n">
        <x:f>IF(AND(N$3&gt;=EDATE($B$7,-'Вводные'!$E$88),N$3&lt;$B$7),$B$16/MAX(1,'Вводные'!$E$88),0)</x:f>
      </x:c>
      <x:c r="O16" s="117" t="n">
        <x:f>IF(AND(O$3&gt;=EDATE($B$7,-'Вводные'!$E$88),O$3&lt;$B$7),$B$16/MAX(1,'Вводные'!$E$88),0)</x:f>
      </x:c>
      <x:c r="P16" s="117" t="n">
        <x:f>IF(AND(P$3&gt;=EDATE($B$7,-'Вводные'!$E$88),P$3&lt;$B$7),$B$16/MAX(1,'Вводные'!$E$88),0)</x:f>
      </x:c>
      <x:c r="Q16" s="117" t="n">
        <x:f>IF(AND(Q$3&gt;=EDATE($B$7,-'Вводные'!$E$88),Q$3&lt;$B$7),$B$16/MAX(1,'Вводные'!$E$88),0)</x:f>
      </x:c>
      <x:c r="R16" s="117" t="n">
        <x:f>IF(AND(R$3&gt;=EDATE($B$7,-'Вводные'!$E$88),R$3&lt;$B$7),$B$16/MAX(1,'Вводные'!$E$88),0)</x:f>
      </x:c>
      <x:c r="S16" s="117" t="n">
        <x:f>IF(AND(S$3&gt;=EDATE($B$7,-'Вводные'!$E$88),S$3&lt;$B$7),$B$16/MAX(1,'Вводные'!$E$88),0)</x:f>
      </x:c>
      <x:c r="T16" s="117" t="n">
        <x:f>IF(AND(T$3&gt;=EDATE($B$7,-'Вводные'!$E$88),T$3&lt;$B$7),$B$16/MAX(1,'Вводные'!$E$88),0)</x:f>
      </x:c>
      <x:c r="U16" s="117" t="n">
        <x:f>IF(AND(U$3&gt;=EDATE($B$7,-'Вводные'!$E$88),U$3&lt;$B$7),$B$16/MAX(1,'Вводные'!$E$88),0)</x:f>
      </x:c>
      <x:c r="V16" s="117" t="n">
        <x:f>IF(AND(V$3&gt;=EDATE($B$7,-'Вводные'!$E$88),V$3&lt;$B$7),$B$16/MAX(1,'Вводные'!$E$88),0)</x:f>
      </x:c>
      <x:c r="W16" s="117" t="n">
        <x:f>IF(AND(W$3&gt;=EDATE($B$7,-'Вводные'!$E$88),W$3&lt;$B$7),$B$16/MAX(1,'Вводные'!$E$88),0)</x:f>
      </x:c>
      <x:c r="X16" s="117" t="n">
        <x:f>IF(AND(X$3&gt;=EDATE($B$7,-'Вводные'!$E$88),X$3&lt;$B$7),$B$16/MAX(1,'Вводные'!$E$88),0)</x:f>
      </x:c>
      <x:c r="Y16" s="117" t="n">
        <x:f>IF(AND(Y$3&gt;=EDATE($B$7,-'Вводные'!$E$88),Y$3&lt;$B$7),$B$16/MAX(1,'Вводные'!$E$88),0)</x:f>
      </x:c>
      <x:c r="Z16" s="117" t="n">
        <x:f>IF(AND(Z$3&gt;=EDATE($B$7,-'Вводные'!$E$88),Z$3&lt;$B$7),$B$16/MAX(1,'Вводные'!$E$88),0)</x:f>
      </x:c>
      <x:c r="AA16" s="117" t="n">
        <x:f>IF(AND(AA$3&gt;=EDATE($B$7,-'Вводные'!$E$88),AA$3&lt;$B$7),$B$16/MAX(1,'Вводные'!$E$88),0)</x:f>
      </x:c>
      <x:c r="AB16" s="117" t="n">
        <x:f>IF(AND(AB$3&gt;=EDATE($B$7,-'Вводные'!$E$88),AB$3&lt;$B$7),$B$16/MAX(1,'Вводные'!$E$88),0)</x:f>
      </x:c>
      <x:c r="AC16" s="117" t="n">
        <x:f>IF(AND(AC$3&gt;=EDATE($B$7,-'Вводные'!$E$88),AC$3&lt;$B$7),$B$16/MAX(1,'Вводные'!$E$88),0)</x:f>
      </x:c>
      <x:c r="AD16" s="117" t="n">
        <x:f>IF(AND(AD$3&gt;=EDATE($B$7,-'Вводные'!$E$88),AD$3&lt;$B$7),$B$16/MAX(1,'Вводные'!$E$88),0)</x:f>
      </x:c>
      <x:c r="AE16" s="117" t="n">
        <x:f>IF(AND(AE$3&gt;=EDATE($B$7,-'Вводные'!$E$88),AE$3&lt;$B$7),$B$16/MAX(1,'Вводные'!$E$88),0)</x:f>
      </x:c>
      <x:c r="AF16" s="117" t="n">
        <x:f>IF(AND(AF$3&gt;=EDATE($B$7,-'Вводные'!$E$88),AF$3&lt;$B$7),$B$16/MAX(1,'Вводные'!$E$88),0)</x:f>
      </x:c>
      <x:c r="AG16" s="117" t="n">
        <x:f>IF(AND(AG$3&gt;=EDATE($B$7,-'Вводные'!$E$88),AG$3&lt;$B$7),$B$16/MAX(1,'Вводные'!$E$88),0)</x:f>
      </x:c>
      <x:c r="AH16" s="117" t="n">
        <x:f>IF(AND(AH$3&gt;=EDATE($B$7,-'Вводные'!$E$88),AH$3&lt;$B$7),$B$16/MAX(1,'Вводные'!$E$88),0)</x:f>
      </x:c>
      <x:c r="AI16" s="117" t="n">
        <x:f>IF(AND(AI$3&gt;=EDATE($B$7,-'Вводные'!$E$88),AI$3&lt;$B$7),$B$16/MAX(1,'Вводные'!$E$88),0)</x:f>
      </x:c>
      <x:c r="AJ16" s="117" t="n">
        <x:f>IF(AND(AJ$3&gt;=EDATE($B$7,-'Вводные'!$E$88),AJ$3&lt;$B$7),$B$16/MAX(1,'Вводные'!$E$88),0)</x:f>
      </x:c>
      <x:c r="AK16" s="117" t="n">
        <x:f>IF(AND(AK$3&gt;=EDATE($B$7,-'Вводные'!$E$88),AK$3&lt;$B$7),$B$16/MAX(1,'Вводные'!$E$88),0)</x:f>
      </x:c>
      <x:c r="AL16" s="117" t="n">
        <x:f>IF(AND(AL$3&gt;=EDATE($B$7,-'Вводные'!$E$88),AL$3&lt;$B$7),$B$16/MAX(1,'Вводные'!$E$88),0)</x:f>
      </x:c>
      <x:c r="AM16" s="117" t="n">
        <x:f>IF(AND(AM$3&gt;=EDATE($B$7,-'Вводные'!$E$88),AM$3&lt;$B$7),$B$16/MAX(1,'Вводные'!$E$88),0)</x:f>
      </x:c>
      <x:c r="AN16" s="117" t="n">
        <x:f>IF(AND(AN$3&gt;=EDATE($B$7,-'Вводные'!$E$88),AN$3&lt;$B$7),$B$16/MAX(1,'Вводные'!$E$88),0)</x:f>
      </x:c>
      <x:c r="AO16" s="117" t="n">
        <x:f>IF(AND(AO$3&gt;=EDATE($B$7,-'Вводные'!$E$88),AO$3&lt;$B$7),$B$16/MAX(1,'Вводные'!$E$88),0)</x:f>
      </x:c>
      <x:c r="AP16" s="117" t="n">
        <x:f>IF(AND(AP$3&gt;=EDATE($B$7,-'Вводные'!$E$88),AP$3&lt;$B$7),$B$16/MAX(1,'Вводные'!$E$88),0)</x:f>
      </x:c>
      <x:c r="AQ16" s="117" t="n">
        <x:f>IF(AND(AQ$3&gt;=EDATE($B$7,-'Вводные'!$E$88),AQ$3&lt;$B$7),$B$16/MAX(1,'Вводные'!$E$88),0)</x:f>
      </x:c>
      <x:c r="AR16" s="117" t="n">
        <x:f>IF(AND(AR$3&gt;=EDATE($B$7,-'Вводные'!$E$88),AR$3&lt;$B$7),$B$16/MAX(1,'Вводные'!$E$88),0)</x:f>
      </x:c>
      <x:c r="AS16" s="117" t="n">
        <x:f>IF(AND(AS$3&gt;=EDATE($B$7,-'Вводные'!$E$88),AS$3&lt;$B$7),$B$16/MAX(1,'Вводные'!$E$88),0)</x:f>
      </x:c>
      <x:c r="AT16" s="117" t="n">
        <x:f>IF(AND(AT$3&gt;=EDATE($B$7,-'Вводные'!$E$88),AT$3&lt;$B$7),$B$16/MAX(1,'Вводные'!$E$88),0)</x:f>
      </x:c>
      <x:c r="AU16" s="117" t="n">
        <x:f>IF(AND(AU$3&gt;=EDATE($B$7,-'Вводные'!$E$88),AU$3&lt;$B$7),$B$16/MAX(1,'Вводные'!$E$88),0)</x:f>
      </x:c>
      <x:c r="AV16" s="117" t="n">
        <x:f>IF(AND(AV$3&gt;=EDATE($B$7,-'Вводные'!$E$88),AV$3&lt;$B$7),$B$16/MAX(1,'Вводные'!$E$88),0)</x:f>
      </x:c>
      <x:c r="AW16" s="117" t="n">
        <x:f>IF(AND(AW$3&gt;=EDATE($B$7,-'Вводные'!$E$88),AW$3&lt;$B$7),$B$16/MAX(1,'Вводные'!$E$88),0)</x:f>
      </x:c>
      <x:c r="AX16" s="117" t="n">
        <x:f>IF(AND(AX$3&gt;=EDATE($B$7,-'Вводные'!$E$88),AX$3&lt;$B$7),$B$16/MAX(1,'Вводные'!$E$88),0)</x:f>
      </x:c>
      <x:c r="AY16" s="117" t="n">
        <x:f>IF(AND(AY$3&gt;=EDATE($B$7,-'Вводные'!$E$88),AY$3&lt;$B$7),$B$16/MAX(1,'Вводные'!$E$88),0)</x:f>
      </x:c>
      <x:c r="AZ16" s="117" t="n">
        <x:f>IF(AND(AZ$3&gt;=EDATE($B$7,-'Вводные'!$E$88),AZ$3&lt;$B$7),$B$16/MAX(1,'Вводные'!$E$88),0)</x:f>
      </x:c>
      <x:c r="BA16" s="117" t="n">
        <x:f>IF(AND(BA$3&gt;=EDATE($B$7,-'Вводные'!$E$88),BA$3&lt;$B$7),$B$16/MAX(1,'Вводные'!$E$88),0)</x:f>
      </x:c>
      <x:c r="BB16" s="117" t="n">
        <x:f>IF(AND(BB$3&gt;=EDATE($B$7,-'Вводные'!$E$88),BB$3&lt;$B$7),$B$16/MAX(1,'Вводные'!$E$88),0)</x:f>
      </x:c>
      <x:c r="BC16" s="117" t="n">
        <x:f>IF(AND(BC$3&gt;=EDATE($B$7,-'Вводные'!$E$88),BC$3&lt;$B$7),$B$16/MAX(1,'Вводные'!$E$88),0)</x:f>
      </x:c>
      <x:c r="BD16" s="117" t="n">
        <x:f>IF(AND(BD$3&gt;=EDATE($B$7,-'Вводные'!$E$88),BD$3&lt;$B$7),$B$16/MAX(1,'Вводные'!$E$88),0)</x:f>
      </x:c>
      <x:c r="BE16" s="117" t="n">
        <x:f>IF(AND(BE$3&gt;=EDATE($B$7,-'Вводные'!$E$88),BE$3&lt;$B$7),$B$16/MAX(1,'Вводные'!$E$88),0)</x:f>
      </x:c>
      <x:c r="BF16" s="117" t="n">
        <x:f>IF(AND(BF$3&gt;=EDATE($B$7,-'Вводные'!$E$88),BF$3&lt;$B$7),$B$16/MAX(1,'Вводные'!$E$88),0)</x:f>
      </x:c>
      <x:c r="BG16" s="117" t="n">
        <x:f>IF(AND(BG$3&gt;=EDATE($B$7,-'Вводные'!$E$88),BG$3&lt;$B$7),$B$16/MAX(1,'Вводные'!$E$88),0)</x:f>
      </x:c>
      <x:c r="BH16" s="117" t="n">
        <x:f>IF(AND(BH$3&gt;=EDATE($B$7,-'Вводные'!$E$88),BH$3&lt;$B$7),$B$16/MAX(1,'Вводные'!$E$88),0)</x:f>
      </x:c>
      <x:c r="BI16" s="117" t="n">
        <x:f>IF(AND(BI$3&gt;=EDATE($B$7,-'Вводные'!$E$88),BI$3&lt;$B$7),$B$16/MAX(1,'Вводные'!$E$88),0)</x:f>
      </x:c>
      <x:c r="BJ16" s="117" t="n">
        <x:f>IF(AND(BJ$3&gt;=EDATE($B$7,-'Вводные'!$E$88),BJ$3&lt;$B$7),$B$16/MAX(1,'Вводные'!$E$88),0)</x:f>
      </x:c>
      <x:c r="BK16" s="117" t="n">
        <x:f>IF(AND(BK$3&gt;=EDATE($B$7,-'Вводные'!$E$88),BK$3&lt;$B$7),$B$16/MAX(1,'Вводные'!$E$88),0)</x:f>
      </x:c>
      <x:c r="BL16" s="117" t="n">
        <x:f>IF(AND(BL$3&gt;=EDATE($B$7,-'Вводные'!$E$88),BL$3&lt;$B$7),$B$16/MAX(1,'Вводные'!$E$88),0)</x:f>
      </x:c>
      <x:c r="BM16" s="117" t="n">
        <x:f>IF(AND(BM$3&gt;=EDATE($B$7,-'Вводные'!$E$88),BM$3&lt;$B$7),$B$16/MAX(1,'Вводные'!$E$88),0)</x:f>
      </x:c>
      <x:c r="BN16" s="117" t="n">
        <x:f>IF(AND(BN$3&gt;=EDATE($B$7,-'Вводные'!$E$88),BN$3&lt;$B$7),$B$16/MAX(1,'Вводные'!$E$88),0)</x:f>
      </x:c>
      <x:c r="BO16" s="117" t="n">
        <x:f>IF(AND(BO$3&gt;=EDATE($B$7,-'Вводные'!$E$88),BO$3&lt;$B$7),$B$16/MAX(1,'Вводные'!$E$88),0)</x:f>
      </x:c>
      <x:c r="BP16" s="117" t="n">
        <x:f>IF(AND(BP$3&gt;=EDATE($B$7,-'Вводные'!$E$88),BP$3&lt;$B$7),$B$16/MAX(1,'Вводные'!$E$88),0)</x:f>
      </x:c>
      <x:c r="BQ16" s="117" t="n">
        <x:f>IF(AND(BQ$3&gt;=EDATE($B$7,-'Вводные'!$E$88),BQ$3&lt;$B$7),$B$16/MAX(1,'Вводные'!$E$88),0)</x:f>
      </x:c>
      <x:c r="BR16" s="117" t="n">
        <x:f>IF(AND(BR$3&gt;=EDATE($B$7,-'Вводные'!$E$88),BR$3&lt;$B$7),$B$16/MAX(1,'Вводные'!$E$88),0)</x:f>
      </x:c>
      <x:c r="BS16" s="117" t="n">
        <x:f>IF(AND(BS$3&gt;=EDATE($B$7,-'Вводные'!$E$88),BS$3&lt;$B$7),$B$16/MAX(1,'Вводные'!$E$88),0)</x:f>
      </x:c>
      <x:c r="BT16" s="117" t="n">
        <x:f>IF(AND(BT$3&gt;=EDATE($B$7,-'Вводные'!$E$88),BT$3&lt;$B$7),$B$16/MAX(1,'Вводные'!$E$88),0)</x:f>
      </x:c>
      <x:c r="BU16" s="117" t="n">
        <x:f>IF(AND(BU$3&gt;=EDATE($B$7,-'Вводные'!$E$88),BU$3&lt;$B$7),$B$16/MAX(1,'Вводные'!$E$88),0)</x:f>
      </x:c>
      <x:c r="BV16" s="117" t="n">
        <x:f>IF(AND(BV$3&gt;=EDATE($B$7,-'Вводные'!$E$88),BV$3&lt;$B$7),$B$16/MAX(1,'Вводные'!$E$88),0)</x:f>
      </x:c>
      <x:c r="BW16" s="117" t="n">
        <x:f>IF(AND(BW$3&gt;=EDATE($B$7,-'Вводные'!$E$88),BW$3&lt;$B$7),$B$16/MAX(1,'Вводные'!$E$88),0)</x:f>
      </x:c>
      <x:c r="BX16" s="117" t="n">
        <x:f>IF(AND(BX$3&gt;=EDATE($B$7,-'Вводные'!$E$88),BX$3&lt;$B$7),$B$16/MAX(1,'Вводные'!$E$88),0)</x:f>
      </x:c>
      <x:c r="BY16" s="117" t="n">
        <x:f>IF(AND(BY$3&gt;=EDATE($B$7,-'Вводные'!$E$88),BY$3&lt;$B$7),$B$16/MAX(1,'Вводные'!$E$88),0)</x:f>
      </x:c>
      <x:c r="BZ16" s="117" t="n">
        <x:f>IF(AND(BZ$3&gt;=EDATE($B$7,-'Вводные'!$E$88),BZ$3&lt;$B$7),$B$16/MAX(1,'Вводные'!$E$88),0)</x:f>
      </x:c>
      <x:c r="CA16" s="117" t="n">
        <x:f>IF(AND(CA$3&gt;=EDATE($B$7,-'Вводные'!$E$88),CA$3&lt;$B$7),$B$16/MAX(1,'Вводные'!$E$88),0)</x:f>
      </x:c>
      <x:c r="CB16" s="117" t="n">
        <x:f>IF(AND(CB$3&gt;=EDATE($B$7,-'Вводные'!$E$88),CB$3&lt;$B$7),$B$16/MAX(1,'Вводные'!$E$88),0)</x:f>
      </x:c>
      <x:c r="CC16" s="117" t="n">
        <x:f>IF(AND(CC$3&gt;=EDATE($B$7,-'Вводные'!$E$88),CC$3&lt;$B$7),$B$16/MAX(1,'Вводные'!$E$88),0)</x:f>
      </x:c>
      <x:c r="CD16" s="117" t="n">
        <x:f>IF(AND(CD$3&gt;=EDATE($B$7,-'Вводные'!$E$88),CD$3&lt;$B$7),$B$16/MAX(1,'Вводные'!$E$88),0)</x:f>
      </x:c>
      <x:c r="CE16" s="117" t="n">
        <x:f>IF(AND(CE$3&gt;=EDATE($B$7,-'Вводные'!$E$88),CE$3&lt;$B$7),$B$16/MAX(1,'Вводные'!$E$88),0)</x:f>
      </x:c>
      <x:c r="CF16" s="117" t="n">
        <x:f>IF(AND(CF$3&gt;=EDATE($B$7,-'Вводные'!$E$88),CF$3&lt;$B$7),$B$16/MAX(1,'Вводные'!$E$88),0)</x:f>
      </x:c>
      <x:c r="CG16" s="117" t="n">
        <x:f>IF(AND(CG$3&gt;=EDATE($B$7,-'Вводные'!$E$88),CG$3&lt;$B$7),$B$16/MAX(1,'Вводные'!$E$88),0)</x:f>
      </x:c>
      <x:c r="CH16" s="117" t="n">
        <x:f>IF(AND(CH$3&gt;=EDATE($B$7,-'Вводные'!$E$88),CH$3&lt;$B$7),$B$16/MAX(1,'Вводные'!$E$88),0)</x:f>
      </x:c>
      <x:c r="CI16" s="117" t="n">
        <x:f>IF(AND(CI$3&gt;=EDATE($B$7,-'Вводные'!$E$88),CI$3&lt;$B$7),$B$16/MAX(1,'Вводные'!$E$88),0)</x:f>
      </x:c>
      <x:c r="CJ16" s="117" t="n">
        <x:f>IF(AND(CJ$3&gt;=EDATE($B$7,-'Вводные'!$E$88),CJ$3&lt;$B$7),$B$16/MAX(1,'Вводные'!$E$88),0)</x:f>
      </x:c>
      <x:c r="CK16" s="117" t="n">
        <x:f>IF(AND(CK$3&gt;=EDATE($B$7,-'Вводные'!$E$88),CK$3&lt;$B$7),$B$16/MAX(1,'Вводные'!$E$88),0)</x:f>
      </x:c>
      <x:c r="CL16" s="117" t="n">
        <x:f>IF(AND(CL$3&gt;=EDATE($B$7,-'Вводные'!$E$88),CL$3&lt;$B$7),$B$16/MAX(1,'Вводные'!$E$88),0)</x:f>
      </x:c>
      <x:c r="CM16" s="117" t="n">
        <x:f>IF(AND(CM$3&gt;=EDATE($B$7,-'Вводные'!$E$88),CM$3&lt;$B$7),$B$16/MAX(1,'Вводные'!$E$88),0)</x:f>
      </x:c>
      <x:c r="CN16" s="117" t="n">
        <x:f>IF(AND(CN$3&gt;=EDATE($B$7,-'Вводные'!$E$88),CN$3&lt;$B$7),$B$16/MAX(1,'Вводные'!$E$88),0)</x:f>
      </x:c>
      <x:c r="CO16" s="117" t="n">
        <x:f>IF(AND(CO$3&gt;=EDATE($B$7,-'Вводные'!$E$88),CO$3&lt;$B$7),$B$16/MAX(1,'Вводные'!$E$88),0)</x:f>
      </x:c>
      <x:c r="CP16" s="117" t="n">
        <x:f>IF(AND(CP$3&gt;=EDATE($B$7,-'Вводные'!$E$88),CP$3&lt;$B$7),$B$16/MAX(1,'Вводные'!$E$88),0)</x:f>
      </x:c>
      <x:c r="CQ16" s="117" t="n">
        <x:f>IF(AND(CQ$3&gt;=EDATE($B$7,-'Вводные'!$E$88),CQ$3&lt;$B$7),$B$16/MAX(1,'Вводные'!$E$88),0)</x:f>
      </x:c>
      <x:c r="CR16" s="117" t="n">
        <x:f>IF(AND(CR$3&gt;=EDATE($B$7,-'Вводные'!$E$88),CR$3&lt;$B$7),$B$16/MAX(1,'Вводные'!$E$88),0)</x:f>
      </x:c>
      <x:c r="CS16" s="117" t="n">
        <x:f>IF(AND(CS$3&gt;=EDATE($B$7,-'Вводные'!$E$88),CS$3&lt;$B$7),$B$16/MAX(1,'Вводные'!$E$88),0)</x:f>
      </x:c>
      <x:c r="CT16" s="117" t="n">
        <x:f>IF(AND(CT$3&gt;=EDATE($B$7,-'Вводные'!$E$88),CT$3&lt;$B$7),$B$16/MAX(1,'Вводные'!$E$88),0)</x:f>
      </x:c>
      <x:c r="CU16" s="117" t="n">
        <x:f>IF(AND(CU$3&gt;=EDATE($B$7,-'Вводные'!$E$88),CU$3&lt;$B$7),$B$16/MAX(1,'Вводные'!$E$88),0)</x:f>
      </x:c>
      <x:c r="CV16" s="117" t="n">
        <x:f>IF(AND(CV$3&gt;=EDATE($B$7,-'Вводные'!$E$88),CV$3&lt;$B$7),$B$16/MAX(1,'Вводные'!$E$88),0)</x:f>
      </x:c>
      <x:c r="CW16" s="117" t="n">
        <x:f>IF(AND(CW$3&gt;=EDATE($B$7,-'Вводные'!$E$88),CW$3&lt;$B$7),$B$16/MAX(1,'Вводные'!$E$88),0)</x:f>
      </x:c>
      <x:c r="CX16" s="117" t="n">
        <x:f>IF(AND(CX$3&gt;=EDATE($B$7,-'Вводные'!$E$88),CX$3&lt;$B$7),$B$16/MAX(1,'Вводные'!$E$88),0)</x:f>
      </x:c>
      <x:c r="CY16" s="117" t="n">
        <x:f>IF(AND(CY$3&gt;=EDATE($B$7,-'Вводные'!$E$88),CY$3&lt;$B$7),$B$16/MAX(1,'Вводные'!$E$88),0)</x:f>
      </x:c>
      <x:c r="CZ16" s="117" t="n">
        <x:f>IF(AND(CZ$3&gt;=EDATE($B$7,-'Вводные'!$E$88),CZ$3&lt;$B$7),$B$16/MAX(1,'Вводные'!$E$88),0)</x:f>
      </x:c>
      <x:c r="DA16" s="117" t="n">
        <x:f>IF(AND(DA$3&gt;=EDATE($B$7,-'Вводные'!$E$88),DA$3&lt;$B$7),$B$16/MAX(1,'Вводные'!$E$88),0)</x:f>
      </x:c>
      <x:c r="DB16" s="117" t="n">
        <x:f>IF(AND(DB$3&gt;=EDATE($B$7,-'Вводные'!$E$88),DB$3&lt;$B$7),$B$16/MAX(1,'Вводные'!$E$88),0)</x:f>
      </x:c>
      <x:c r="DC16" s="117" t="n">
        <x:f>IF(AND(DC$3&gt;=EDATE($B$7,-'Вводные'!$E$88),DC$3&lt;$B$7),$B$16/MAX(1,'Вводные'!$E$88),0)</x:f>
      </x:c>
      <x:c r="DD16" s="117" t="n">
        <x:f>IF(AND(DD$3&gt;=EDATE($B$7,-'Вводные'!$E$88),DD$3&lt;$B$7),$B$16/MAX(1,'Вводные'!$E$88),0)</x:f>
      </x:c>
      <x:c r="DE16" s="117" t="n">
        <x:f>IF(AND(DE$3&gt;=EDATE($B$7,-'Вводные'!$E$88),DE$3&lt;$B$7),$B$16/MAX(1,'Вводные'!$E$88),0)</x:f>
      </x:c>
      <x:c r="DF16" s="117" t="n">
        <x:f>IF(AND(DF$3&gt;=EDATE($B$7,-'Вводные'!$E$88),DF$3&lt;$B$7),$B$16/MAX(1,'Вводные'!$E$88),0)</x:f>
      </x:c>
      <x:c r="DG16" s="117" t="n">
        <x:f>IF(AND(DG$3&gt;=EDATE($B$7,-'Вводные'!$E$88),DG$3&lt;$B$7),$B$16/MAX(1,'Вводные'!$E$88),0)</x:f>
      </x:c>
      <x:c r="DH16" s="117" t="n">
        <x:f>IF(AND(DH$3&gt;=EDATE($B$7,-'Вводные'!$E$88),DH$3&lt;$B$7),$B$16/MAX(1,'Вводные'!$E$88),0)</x:f>
      </x:c>
      <x:c r="DI16" s="117" t="n">
        <x:f>IF(AND(DI$3&gt;=EDATE($B$7,-'Вводные'!$E$88),DI$3&lt;$B$7),$B$16/MAX(1,'Вводные'!$E$88),0)</x:f>
      </x:c>
      <x:c r="DJ16" s="117" t="n">
        <x:f>IF(AND(DJ$3&gt;=EDATE($B$7,-'Вводные'!$E$88),DJ$3&lt;$B$7),$B$16/MAX(1,'Вводные'!$E$88),0)</x:f>
      </x:c>
      <x:c r="DK16" s="117" t="n">
        <x:f>IF(AND(DK$3&gt;=EDATE($B$7,-'Вводные'!$E$88),DK$3&lt;$B$7),$B$16/MAX(1,'Вводные'!$E$88),0)</x:f>
      </x:c>
      <x:c r="DL16" s="117" t="n">
        <x:f>IF(AND(DL$3&gt;=EDATE($B$7,-'Вводные'!$E$88),DL$3&lt;$B$7),$B$16/MAX(1,'Вводные'!$E$88),0)</x:f>
      </x:c>
      <x:c r="DM16" s="117" t="n">
        <x:f>IF(AND(DM$3&gt;=EDATE($B$7,-'Вводные'!$E$88),DM$3&lt;$B$7),$B$16/MAX(1,'Вводные'!$E$88),0)</x:f>
      </x:c>
      <x:c r="DN16" s="117" t="n">
        <x:f>IF(AND(DN$3&gt;=EDATE($B$7,-'Вводные'!$E$88),DN$3&lt;$B$7),$B$16/MAX(1,'Вводные'!$E$88),0)</x:f>
      </x:c>
      <x:c r="DO16" s="117" t="n">
        <x:f>IF(AND(DO$3&gt;=EDATE($B$7,-'Вводные'!$E$88),DO$3&lt;$B$7),$B$16/MAX(1,'Вводные'!$E$88),0)</x:f>
      </x:c>
      <x:c r="DP16" s="117" t="n">
        <x:f>IF(AND(DP$3&gt;=EDATE($B$7,-'Вводные'!$E$88),DP$3&lt;$B$7),$B$16/MAX(1,'Вводные'!$E$88),0)</x:f>
      </x:c>
      <x:c r="DQ16" s="117" t="n">
        <x:f>IF(AND(DQ$3&gt;=EDATE($B$7,-'Вводные'!$E$88),DQ$3&lt;$B$7),$B$16/MAX(1,'Вводные'!$E$88),0)</x:f>
      </x:c>
      <x:c r="DR16" s="117" t="n">
        <x:f>IF(AND(DR$3&gt;=EDATE($B$7,-'Вводные'!$E$88),DR$3&lt;$B$7),$B$16/MAX(1,'Вводные'!$E$88),0)</x:f>
      </x:c>
      <x:c r="DS16" s="117" t="n">
        <x:f>IF(AND(DS$3&gt;=EDATE($B$7,-'Вводные'!$E$88),DS$3&lt;$B$7),$B$16/MAX(1,'Вводные'!$E$88),0)</x:f>
      </x:c>
    </x:row>
    <x:row r="17">
      <x:c r="A17" t="str">
        <x:v>Проектирование, стадия П</x:v>
      </x:c>
      <x:c r="B17" s="107" t="n">
        <x:f>(('Вводные'!$I$88+'Вводные'!$J$88+'Вводные'!$K$88)*'Вводные'!$B$41/1000*'Вводные'!$H$6*'Вводные'!$T$88*--('Вводные'!$B$88="Да"))*'Вводные'!$AH$88</x:f>
      </x:c>
      <x:c r="C17" t="str">
        <x:v>млн ₽</x:v>
      </x:c>
      <x:c r="D17" s="117" t="n">
        <x:f>IF(AND(D$3&gt;=EDATE($B$7,-MIN(6,'Вводные'!$E$88)),D$3&lt;$B$7),$B$17/MAX(1,MIN(6,'Вводные'!$E$88)),0)</x:f>
      </x:c>
      <x:c r="E17" s="117" t="n">
        <x:f>IF(AND(E$3&gt;=EDATE($B$7,-MIN(6,'Вводные'!$E$88)),E$3&lt;$B$7),$B$17/MAX(1,MIN(6,'Вводные'!$E$88)),0)</x:f>
      </x:c>
      <x:c r="F17" s="117" t="n">
        <x:f>IF(AND(F$3&gt;=EDATE($B$7,-MIN(6,'Вводные'!$E$88)),F$3&lt;$B$7),$B$17/MAX(1,MIN(6,'Вводные'!$E$88)),0)</x:f>
      </x:c>
      <x:c r="G17" s="117" t="n">
        <x:f>IF(AND(G$3&gt;=EDATE($B$7,-MIN(6,'Вводные'!$E$88)),G$3&lt;$B$7),$B$17/MAX(1,MIN(6,'Вводные'!$E$88)),0)</x:f>
      </x:c>
      <x:c r="H17" s="117" t="n">
        <x:f>IF(AND(H$3&gt;=EDATE($B$7,-MIN(6,'Вводные'!$E$88)),H$3&lt;$B$7),$B$17/MAX(1,MIN(6,'Вводные'!$E$88)),0)</x:f>
      </x:c>
      <x:c r="I17" s="117" t="n">
        <x:f>IF(AND(I$3&gt;=EDATE($B$7,-MIN(6,'Вводные'!$E$88)),I$3&lt;$B$7),$B$17/MAX(1,MIN(6,'Вводные'!$E$88)),0)</x:f>
      </x:c>
      <x:c r="J17" s="117" t="n">
        <x:f>IF(AND(J$3&gt;=EDATE($B$7,-MIN(6,'Вводные'!$E$88)),J$3&lt;$B$7),$B$17/MAX(1,MIN(6,'Вводные'!$E$88)),0)</x:f>
      </x:c>
      <x:c r="K17" s="117" t="n">
        <x:f>IF(AND(K$3&gt;=EDATE($B$7,-MIN(6,'Вводные'!$E$88)),K$3&lt;$B$7),$B$17/MAX(1,MIN(6,'Вводные'!$E$88)),0)</x:f>
      </x:c>
      <x:c r="L17" s="117" t="n">
        <x:f>IF(AND(L$3&gt;=EDATE($B$7,-MIN(6,'Вводные'!$E$88)),L$3&lt;$B$7),$B$17/MAX(1,MIN(6,'Вводные'!$E$88)),0)</x:f>
      </x:c>
      <x:c r="M17" s="117" t="n">
        <x:f>IF(AND(M$3&gt;=EDATE($B$7,-MIN(6,'Вводные'!$E$88)),M$3&lt;$B$7),$B$17/MAX(1,MIN(6,'Вводные'!$E$88)),0)</x:f>
      </x:c>
      <x:c r="N17" s="117" t="n">
        <x:f>IF(AND(N$3&gt;=EDATE($B$7,-MIN(6,'Вводные'!$E$88)),N$3&lt;$B$7),$B$17/MAX(1,MIN(6,'Вводные'!$E$88)),0)</x:f>
      </x:c>
      <x:c r="O17" s="117" t="n">
        <x:f>IF(AND(O$3&gt;=EDATE($B$7,-MIN(6,'Вводные'!$E$88)),O$3&lt;$B$7),$B$17/MAX(1,MIN(6,'Вводные'!$E$88)),0)</x:f>
      </x:c>
      <x:c r="P17" s="117" t="n">
        <x:f>IF(AND(P$3&gt;=EDATE($B$7,-MIN(6,'Вводные'!$E$88)),P$3&lt;$B$7),$B$17/MAX(1,MIN(6,'Вводные'!$E$88)),0)</x:f>
      </x:c>
      <x:c r="Q17" s="117" t="n">
        <x:f>IF(AND(Q$3&gt;=EDATE($B$7,-MIN(6,'Вводные'!$E$88)),Q$3&lt;$B$7),$B$17/MAX(1,MIN(6,'Вводные'!$E$88)),0)</x:f>
      </x:c>
      <x:c r="R17" s="117" t="n">
        <x:f>IF(AND(R$3&gt;=EDATE($B$7,-MIN(6,'Вводные'!$E$88)),R$3&lt;$B$7),$B$17/MAX(1,MIN(6,'Вводные'!$E$88)),0)</x:f>
      </x:c>
      <x:c r="S17" s="117" t="n">
        <x:f>IF(AND(S$3&gt;=EDATE($B$7,-MIN(6,'Вводные'!$E$88)),S$3&lt;$B$7),$B$17/MAX(1,MIN(6,'Вводные'!$E$88)),0)</x:f>
      </x:c>
      <x:c r="T17" s="117" t="n">
        <x:f>IF(AND(T$3&gt;=EDATE($B$7,-MIN(6,'Вводные'!$E$88)),T$3&lt;$B$7),$B$17/MAX(1,MIN(6,'Вводные'!$E$88)),0)</x:f>
      </x:c>
      <x:c r="U17" s="117" t="n">
        <x:f>IF(AND(U$3&gt;=EDATE($B$7,-MIN(6,'Вводные'!$E$88)),U$3&lt;$B$7),$B$17/MAX(1,MIN(6,'Вводные'!$E$88)),0)</x:f>
      </x:c>
      <x:c r="V17" s="117" t="n">
        <x:f>IF(AND(V$3&gt;=EDATE($B$7,-MIN(6,'Вводные'!$E$88)),V$3&lt;$B$7),$B$17/MAX(1,MIN(6,'Вводные'!$E$88)),0)</x:f>
      </x:c>
      <x:c r="W17" s="117" t="n">
        <x:f>IF(AND(W$3&gt;=EDATE($B$7,-MIN(6,'Вводные'!$E$88)),W$3&lt;$B$7),$B$17/MAX(1,MIN(6,'Вводные'!$E$88)),0)</x:f>
      </x:c>
      <x:c r="X17" s="117" t="n">
        <x:f>IF(AND(X$3&gt;=EDATE($B$7,-MIN(6,'Вводные'!$E$88)),X$3&lt;$B$7),$B$17/MAX(1,MIN(6,'Вводные'!$E$88)),0)</x:f>
      </x:c>
      <x:c r="Y17" s="117" t="n">
        <x:f>IF(AND(Y$3&gt;=EDATE($B$7,-MIN(6,'Вводные'!$E$88)),Y$3&lt;$B$7),$B$17/MAX(1,MIN(6,'Вводные'!$E$88)),0)</x:f>
      </x:c>
      <x:c r="Z17" s="117" t="n">
        <x:f>IF(AND(Z$3&gt;=EDATE($B$7,-MIN(6,'Вводные'!$E$88)),Z$3&lt;$B$7),$B$17/MAX(1,MIN(6,'Вводные'!$E$88)),0)</x:f>
      </x:c>
      <x:c r="AA17" s="117" t="n">
        <x:f>IF(AND(AA$3&gt;=EDATE($B$7,-MIN(6,'Вводные'!$E$88)),AA$3&lt;$B$7),$B$17/MAX(1,MIN(6,'Вводные'!$E$88)),0)</x:f>
      </x:c>
      <x:c r="AB17" s="117" t="n">
        <x:f>IF(AND(AB$3&gt;=EDATE($B$7,-MIN(6,'Вводные'!$E$88)),AB$3&lt;$B$7),$B$17/MAX(1,MIN(6,'Вводные'!$E$88)),0)</x:f>
      </x:c>
      <x:c r="AC17" s="117" t="n">
        <x:f>IF(AND(AC$3&gt;=EDATE($B$7,-MIN(6,'Вводные'!$E$88)),AC$3&lt;$B$7),$B$17/MAX(1,MIN(6,'Вводные'!$E$88)),0)</x:f>
      </x:c>
      <x:c r="AD17" s="117" t="n">
        <x:f>IF(AND(AD$3&gt;=EDATE($B$7,-MIN(6,'Вводные'!$E$88)),AD$3&lt;$B$7),$B$17/MAX(1,MIN(6,'Вводные'!$E$88)),0)</x:f>
      </x:c>
      <x:c r="AE17" s="117" t="n">
        <x:f>IF(AND(AE$3&gt;=EDATE($B$7,-MIN(6,'Вводные'!$E$88)),AE$3&lt;$B$7),$B$17/MAX(1,MIN(6,'Вводные'!$E$88)),0)</x:f>
      </x:c>
      <x:c r="AF17" s="117" t="n">
        <x:f>IF(AND(AF$3&gt;=EDATE($B$7,-MIN(6,'Вводные'!$E$88)),AF$3&lt;$B$7),$B$17/MAX(1,MIN(6,'Вводные'!$E$88)),0)</x:f>
      </x:c>
      <x:c r="AG17" s="117" t="n">
        <x:f>IF(AND(AG$3&gt;=EDATE($B$7,-MIN(6,'Вводные'!$E$88)),AG$3&lt;$B$7),$B$17/MAX(1,MIN(6,'Вводные'!$E$88)),0)</x:f>
      </x:c>
      <x:c r="AH17" s="117" t="n">
        <x:f>IF(AND(AH$3&gt;=EDATE($B$7,-MIN(6,'Вводные'!$E$88)),AH$3&lt;$B$7),$B$17/MAX(1,MIN(6,'Вводные'!$E$88)),0)</x:f>
      </x:c>
      <x:c r="AI17" s="117" t="n">
        <x:f>IF(AND(AI$3&gt;=EDATE($B$7,-MIN(6,'Вводные'!$E$88)),AI$3&lt;$B$7),$B$17/MAX(1,MIN(6,'Вводные'!$E$88)),0)</x:f>
      </x:c>
      <x:c r="AJ17" s="117" t="n">
        <x:f>IF(AND(AJ$3&gt;=EDATE($B$7,-MIN(6,'Вводные'!$E$88)),AJ$3&lt;$B$7),$B$17/MAX(1,MIN(6,'Вводные'!$E$88)),0)</x:f>
      </x:c>
      <x:c r="AK17" s="117" t="n">
        <x:f>IF(AND(AK$3&gt;=EDATE($B$7,-MIN(6,'Вводные'!$E$88)),AK$3&lt;$B$7),$B$17/MAX(1,MIN(6,'Вводные'!$E$88)),0)</x:f>
      </x:c>
      <x:c r="AL17" s="117" t="n">
        <x:f>IF(AND(AL$3&gt;=EDATE($B$7,-MIN(6,'Вводные'!$E$88)),AL$3&lt;$B$7),$B$17/MAX(1,MIN(6,'Вводные'!$E$88)),0)</x:f>
      </x:c>
      <x:c r="AM17" s="117" t="n">
        <x:f>IF(AND(AM$3&gt;=EDATE($B$7,-MIN(6,'Вводные'!$E$88)),AM$3&lt;$B$7),$B$17/MAX(1,MIN(6,'Вводные'!$E$88)),0)</x:f>
      </x:c>
      <x:c r="AN17" s="117" t="n">
        <x:f>IF(AND(AN$3&gt;=EDATE($B$7,-MIN(6,'Вводные'!$E$88)),AN$3&lt;$B$7),$B$17/MAX(1,MIN(6,'Вводные'!$E$88)),0)</x:f>
      </x:c>
      <x:c r="AO17" s="117" t="n">
        <x:f>IF(AND(AO$3&gt;=EDATE($B$7,-MIN(6,'Вводные'!$E$88)),AO$3&lt;$B$7),$B$17/MAX(1,MIN(6,'Вводные'!$E$88)),0)</x:f>
      </x:c>
      <x:c r="AP17" s="117" t="n">
        <x:f>IF(AND(AP$3&gt;=EDATE($B$7,-MIN(6,'Вводные'!$E$88)),AP$3&lt;$B$7),$B$17/MAX(1,MIN(6,'Вводные'!$E$88)),0)</x:f>
      </x:c>
      <x:c r="AQ17" s="117" t="n">
        <x:f>IF(AND(AQ$3&gt;=EDATE($B$7,-MIN(6,'Вводные'!$E$88)),AQ$3&lt;$B$7),$B$17/MAX(1,MIN(6,'Вводные'!$E$88)),0)</x:f>
      </x:c>
      <x:c r="AR17" s="117" t="n">
        <x:f>IF(AND(AR$3&gt;=EDATE($B$7,-MIN(6,'Вводные'!$E$88)),AR$3&lt;$B$7),$B$17/MAX(1,MIN(6,'Вводные'!$E$88)),0)</x:f>
      </x:c>
      <x:c r="AS17" s="117" t="n">
        <x:f>IF(AND(AS$3&gt;=EDATE($B$7,-MIN(6,'Вводные'!$E$88)),AS$3&lt;$B$7),$B$17/MAX(1,MIN(6,'Вводные'!$E$88)),0)</x:f>
      </x:c>
      <x:c r="AT17" s="117" t="n">
        <x:f>IF(AND(AT$3&gt;=EDATE($B$7,-MIN(6,'Вводные'!$E$88)),AT$3&lt;$B$7),$B$17/MAX(1,MIN(6,'Вводные'!$E$88)),0)</x:f>
      </x:c>
      <x:c r="AU17" s="117" t="n">
        <x:f>IF(AND(AU$3&gt;=EDATE($B$7,-MIN(6,'Вводные'!$E$88)),AU$3&lt;$B$7),$B$17/MAX(1,MIN(6,'Вводные'!$E$88)),0)</x:f>
      </x:c>
      <x:c r="AV17" s="117" t="n">
        <x:f>IF(AND(AV$3&gt;=EDATE($B$7,-MIN(6,'Вводные'!$E$88)),AV$3&lt;$B$7),$B$17/MAX(1,MIN(6,'Вводные'!$E$88)),0)</x:f>
      </x:c>
      <x:c r="AW17" s="117" t="n">
        <x:f>IF(AND(AW$3&gt;=EDATE($B$7,-MIN(6,'Вводные'!$E$88)),AW$3&lt;$B$7),$B$17/MAX(1,MIN(6,'Вводные'!$E$88)),0)</x:f>
      </x:c>
      <x:c r="AX17" s="117" t="n">
        <x:f>IF(AND(AX$3&gt;=EDATE($B$7,-MIN(6,'Вводные'!$E$88)),AX$3&lt;$B$7),$B$17/MAX(1,MIN(6,'Вводные'!$E$88)),0)</x:f>
      </x:c>
      <x:c r="AY17" s="117" t="n">
        <x:f>IF(AND(AY$3&gt;=EDATE($B$7,-MIN(6,'Вводные'!$E$88)),AY$3&lt;$B$7),$B$17/MAX(1,MIN(6,'Вводные'!$E$88)),0)</x:f>
      </x:c>
      <x:c r="AZ17" s="117" t="n">
        <x:f>IF(AND(AZ$3&gt;=EDATE($B$7,-MIN(6,'Вводные'!$E$88)),AZ$3&lt;$B$7),$B$17/MAX(1,MIN(6,'Вводные'!$E$88)),0)</x:f>
      </x:c>
      <x:c r="BA17" s="117" t="n">
        <x:f>IF(AND(BA$3&gt;=EDATE($B$7,-MIN(6,'Вводные'!$E$88)),BA$3&lt;$B$7),$B$17/MAX(1,MIN(6,'Вводные'!$E$88)),0)</x:f>
      </x:c>
      <x:c r="BB17" s="117" t="n">
        <x:f>IF(AND(BB$3&gt;=EDATE($B$7,-MIN(6,'Вводные'!$E$88)),BB$3&lt;$B$7),$B$17/MAX(1,MIN(6,'Вводные'!$E$88)),0)</x:f>
      </x:c>
      <x:c r="BC17" s="117" t="n">
        <x:f>IF(AND(BC$3&gt;=EDATE($B$7,-MIN(6,'Вводные'!$E$88)),BC$3&lt;$B$7),$B$17/MAX(1,MIN(6,'Вводные'!$E$88)),0)</x:f>
      </x:c>
      <x:c r="BD17" s="117" t="n">
        <x:f>IF(AND(BD$3&gt;=EDATE($B$7,-MIN(6,'Вводные'!$E$88)),BD$3&lt;$B$7),$B$17/MAX(1,MIN(6,'Вводные'!$E$88)),0)</x:f>
      </x:c>
      <x:c r="BE17" s="117" t="n">
        <x:f>IF(AND(BE$3&gt;=EDATE($B$7,-MIN(6,'Вводные'!$E$88)),BE$3&lt;$B$7),$B$17/MAX(1,MIN(6,'Вводные'!$E$88)),0)</x:f>
      </x:c>
      <x:c r="BF17" s="117" t="n">
        <x:f>IF(AND(BF$3&gt;=EDATE($B$7,-MIN(6,'Вводные'!$E$88)),BF$3&lt;$B$7),$B$17/MAX(1,MIN(6,'Вводные'!$E$88)),0)</x:f>
      </x:c>
      <x:c r="BG17" s="117" t="n">
        <x:f>IF(AND(BG$3&gt;=EDATE($B$7,-MIN(6,'Вводные'!$E$88)),BG$3&lt;$B$7),$B$17/MAX(1,MIN(6,'Вводные'!$E$88)),0)</x:f>
      </x:c>
      <x:c r="BH17" s="117" t="n">
        <x:f>IF(AND(BH$3&gt;=EDATE($B$7,-MIN(6,'Вводные'!$E$88)),BH$3&lt;$B$7),$B$17/MAX(1,MIN(6,'Вводные'!$E$88)),0)</x:f>
      </x:c>
      <x:c r="BI17" s="117" t="n">
        <x:f>IF(AND(BI$3&gt;=EDATE($B$7,-MIN(6,'Вводные'!$E$88)),BI$3&lt;$B$7),$B$17/MAX(1,MIN(6,'Вводные'!$E$88)),0)</x:f>
      </x:c>
      <x:c r="BJ17" s="117" t="n">
        <x:f>IF(AND(BJ$3&gt;=EDATE($B$7,-MIN(6,'Вводные'!$E$88)),BJ$3&lt;$B$7),$B$17/MAX(1,MIN(6,'Вводные'!$E$88)),0)</x:f>
      </x:c>
      <x:c r="BK17" s="117" t="n">
        <x:f>IF(AND(BK$3&gt;=EDATE($B$7,-MIN(6,'Вводные'!$E$88)),BK$3&lt;$B$7),$B$17/MAX(1,MIN(6,'Вводные'!$E$88)),0)</x:f>
      </x:c>
      <x:c r="BL17" s="117" t="n">
        <x:f>IF(AND(BL$3&gt;=EDATE($B$7,-MIN(6,'Вводные'!$E$88)),BL$3&lt;$B$7),$B$17/MAX(1,MIN(6,'Вводные'!$E$88)),0)</x:f>
      </x:c>
      <x:c r="BM17" s="117" t="n">
        <x:f>IF(AND(BM$3&gt;=EDATE($B$7,-MIN(6,'Вводные'!$E$88)),BM$3&lt;$B$7),$B$17/MAX(1,MIN(6,'Вводные'!$E$88)),0)</x:f>
      </x:c>
      <x:c r="BN17" s="117" t="n">
        <x:f>IF(AND(BN$3&gt;=EDATE($B$7,-MIN(6,'Вводные'!$E$88)),BN$3&lt;$B$7),$B$17/MAX(1,MIN(6,'Вводные'!$E$88)),0)</x:f>
      </x:c>
      <x:c r="BO17" s="117" t="n">
        <x:f>IF(AND(BO$3&gt;=EDATE($B$7,-MIN(6,'Вводные'!$E$88)),BO$3&lt;$B$7),$B$17/MAX(1,MIN(6,'Вводные'!$E$88)),0)</x:f>
      </x:c>
      <x:c r="BP17" s="117" t="n">
        <x:f>IF(AND(BP$3&gt;=EDATE($B$7,-MIN(6,'Вводные'!$E$88)),BP$3&lt;$B$7),$B$17/MAX(1,MIN(6,'Вводные'!$E$88)),0)</x:f>
      </x:c>
      <x:c r="BQ17" s="117" t="n">
        <x:f>IF(AND(BQ$3&gt;=EDATE($B$7,-MIN(6,'Вводные'!$E$88)),BQ$3&lt;$B$7),$B$17/MAX(1,MIN(6,'Вводные'!$E$88)),0)</x:f>
      </x:c>
      <x:c r="BR17" s="117" t="n">
        <x:f>IF(AND(BR$3&gt;=EDATE($B$7,-MIN(6,'Вводные'!$E$88)),BR$3&lt;$B$7),$B$17/MAX(1,MIN(6,'Вводные'!$E$88)),0)</x:f>
      </x:c>
      <x:c r="BS17" s="117" t="n">
        <x:f>IF(AND(BS$3&gt;=EDATE($B$7,-MIN(6,'Вводные'!$E$88)),BS$3&lt;$B$7),$B$17/MAX(1,MIN(6,'Вводные'!$E$88)),0)</x:f>
      </x:c>
      <x:c r="BT17" s="117" t="n">
        <x:f>IF(AND(BT$3&gt;=EDATE($B$7,-MIN(6,'Вводные'!$E$88)),BT$3&lt;$B$7),$B$17/MAX(1,MIN(6,'Вводные'!$E$88)),0)</x:f>
      </x:c>
      <x:c r="BU17" s="117" t="n">
        <x:f>IF(AND(BU$3&gt;=EDATE($B$7,-MIN(6,'Вводные'!$E$88)),BU$3&lt;$B$7),$B$17/MAX(1,MIN(6,'Вводные'!$E$88)),0)</x:f>
      </x:c>
      <x:c r="BV17" s="117" t="n">
        <x:f>IF(AND(BV$3&gt;=EDATE($B$7,-MIN(6,'Вводные'!$E$88)),BV$3&lt;$B$7),$B$17/MAX(1,MIN(6,'Вводные'!$E$88)),0)</x:f>
      </x:c>
      <x:c r="BW17" s="117" t="n">
        <x:f>IF(AND(BW$3&gt;=EDATE($B$7,-MIN(6,'Вводные'!$E$88)),BW$3&lt;$B$7),$B$17/MAX(1,MIN(6,'Вводные'!$E$88)),0)</x:f>
      </x:c>
      <x:c r="BX17" s="117" t="n">
        <x:f>IF(AND(BX$3&gt;=EDATE($B$7,-MIN(6,'Вводные'!$E$88)),BX$3&lt;$B$7),$B$17/MAX(1,MIN(6,'Вводные'!$E$88)),0)</x:f>
      </x:c>
      <x:c r="BY17" s="117" t="n">
        <x:f>IF(AND(BY$3&gt;=EDATE($B$7,-MIN(6,'Вводные'!$E$88)),BY$3&lt;$B$7),$B$17/MAX(1,MIN(6,'Вводные'!$E$88)),0)</x:f>
      </x:c>
      <x:c r="BZ17" s="117" t="n">
        <x:f>IF(AND(BZ$3&gt;=EDATE($B$7,-MIN(6,'Вводные'!$E$88)),BZ$3&lt;$B$7),$B$17/MAX(1,MIN(6,'Вводные'!$E$88)),0)</x:f>
      </x:c>
      <x:c r="CA17" s="117" t="n">
        <x:f>IF(AND(CA$3&gt;=EDATE($B$7,-MIN(6,'Вводные'!$E$88)),CA$3&lt;$B$7),$B$17/MAX(1,MIN(6,'Вводные'!$E$88)),0)</x:f>
      </x:c>
      <x:c r="CB17" s="117" t="n">
        <x:f>IF(AND(CB$3&gt;=EDATE($B$7,-MIN(6,'Вводные'!$E$88)),CB$3&lt;$B$7),$B$17/MAX(1,MIN(6,'Вводные'!$E$88)),0)</x:f>
      </x:c>
      <x:c r="CC17" s="117" t="n">
        <x:f>IF(AND(CC$3&gt;=EDATE($B$7,-MIN(6,'Вводные'!$E$88)),CC$3&lt;$B$7),$B$17/MAX(1,MIN(6,'Вводные'!$E$88)),0)</x:f>
      </x:c>
      <x:c r="CD17" s="117" t="n">
        <x:f>IF(AND(CD$3&gt;=EDATE($B$7,-MIN(6,'Вводные'!$E$88)),CD$3&lt;$B$7),$B$17/MAX(1,MIN(6,'Вводные'!$E$88)),0)</x:f>
      </x:c>
      <x:c r="CE17" s="117" t="n">
        <x:f>IF(AND(CE$3&gt;=EDATE($B$7,-MIN(6,'Вводные'!$E$88)),CE$3&lt;$B$7),$B$17/MAX(1,MIN(6,'Вводные'!$E$88)),0)</x:f>
      </x:c>
      <x:c r="CF17" s="117" t="n">
        <x:f>IF(AND(CF$3&gt;=EDATE($B$7,-MIN(6,'Вводные'!$E$88)),CF$3&lt;$B$7),$B$17/MAX(1,MIN(6,'Вводные'!$E$88)),0)</x:f>
      </x:c>
      <x:c r="CG17" s="117" t="n">
        <x:f>IF(AND(CG$3&gt;=EDATE($B$7,-MIN(6,'Вводные'!$E$88)),CG$3&lt;$B$7),$B$17/MAX(1,MIN(6,'Вводные'!$E$88)),0)</x:f>
      </x:c>
      <x:c r="CH17" s="117" t="n">
        <x:f>IF(AND(CH$3&gt;=EDATE($B$7,-MIN(6,'Вводные'!$E$88)),CH$3&lt;$B$7),$B$17/MAX(1,MIN(6,'Вводные'!$E$88)),0)</x:f>
      </x:c>
      <x:c r="CI17" s="117" t="n">
        <x:f>IF(AND(CI$3&gt;=EDATE($B$7,-MIN(6,'Вводные'!$E$88)),CI$3&lt;$B$7),$B$17/MAX(1,MIN(6,'Вводные'!$E$88)),0)</x:f>
      </x:c>
      <x:c r="CJ17" s="117" t="n">
        <x:f>IF(AND(CJ$3&gt;=EDATE($B$7,-MIN(6,'Вводные'!$E$88)),CJ$3&lt;$B$7),$B$17/MAX(1,MIN(6,'Вводные'!$E$88)),0)</x:f>
      </x:c>
      <x:c r="CK17" s="117" t="n">
        <x:f>IF(AND(CK$3&gt;=EDATE($B$7,-MIN(6,'Вводные'!$E$88)),CK$3&lt;$B$7),$B$17/MAX(1,MIN(6,'Вводные'!$E$88)),0)</x:f>
      </x:c>
      <x:c r="CL17" s="117" t="n">
        <x:f>IF(AND(CL$3&gt;=EDATE($B$7,-MIN(6,'Вводные'!$E$88)),CL$3&lt;$B$7),$B$17/MAX(1,MIN(6,'Вводные'!$E$88)),0)</x:f>
      </x:c>
      <x:c r="CM17" s="117" t="n">
        <x:f>IF(AND(CM$3&gt;=EDATE($B$7,-MIN(6,'Вводные'!$E$88)),CM$3&lt;$B$7),$B$17/MAX(1,MIN(6,'Вводные'!$E$88)),0)</x:f>
      </x:c>
      <x:c r="CN17" s="117" t="n">
        <x:f>IF(AND(CN$3&gt;=EDATE($B$7,-MIN(6,'Вводные'!$E$88)),CN$3&lt;$B$7),$B$17/MAX(1,MIN(6,'Вводные'!$E$88)),0)</x:f>
      </x:c>
      <x:c r="CO17" s="117" t="n">
        <x:f>IF(AND(CO$3&gt;=EDATE($B$7,-MIN(6,'Вводные'!$E$88)),CO$3&lt;$B$7),$B$17/MAX(1,MIN(6,'Вводные'!$E$88)),0)</x:f>
      </x:c>
      <x:c r="CP17" s="117" t="n">
        <x:f>IF(AND(CP$3&gt;=EDATE($B$7,-MIN(6,'Вводные'!$E$88)),CP$3&lt;$B$7),$B$17/MAX(1,MIN(6,'Вводные'!$E$88)),0)</x:f>
      </x:c>
      <x:c r="CQ17" s="117" t="n">
        <x:f>IF(AND(CQ$3&gt;=EDATE($B$7,-MIN(6,'Вводные'!$E$88)),CQ$3&lt;$B$7),$B$17/MAX(1,MIN(6,'Вводные'!$E$88)),0)</x:f>
      </x:c>
      <x:c r="CR17" s="117" t="n">
        <x:f>IF(AND(CR$3&gt;=EDATE($B$7,-MIN(6,'Вводные'!$E$88)),CR$3&lt;$B$7),$B$17/MAX(1,MIN(6,'Вводные'!$E$88)),0)</x:f>
      </x:c>
      <x:c r="CS17" s="117" t="n">
        <x:f>IF(AND(CS$3&gt;=EDATE($B$7,-MIN(6,'Вводные'!$E$88)),CS$3&lt;$B$7),$B$17/MAX(1,MIN(6,'Вводные'!$E$88)),0)</x:f>
      </x:c>
      <x:c r="CT17" s="117" t="n">
        <x:f>IF(AND(CT$3&gt;=EDATE($B$7,-MIN(6,'Вводные'!$E$88)),CT$3&lt;$B$7),$B$17/MAX(1,MIN(6,'Вводные'!$E$88)),0)</x:f>
      </x:c>
      <x:c r="CU17" s="117" t="n">
        <x:f>IF(AND(CU$3&gt;=EDATE($B$7,-MIN(6,'Вводные'!$E$88)),CU$3&lt;$B$7),$B$17/MAX(1,MIN(6,'Вводные'!$E$88)),0)</x:f>
      </x:c>
      <x:c r="CV17" s="117" t="n">
        <x:f>IF(AND(CV$3&gt;=EDATE($B$7,-MIN(6,'Вводные'!$E$88)),CV$3&lt;$B$7),$B$17/MAX(1,MIN(6,'Вводные'!$E$88)),0)</x:f>
      </x:c>
      <x:c r="CW17" s="117" t="n">
        <x:f>IF(AND(CW$3&gt;=EDATE($B$7,-MIN(6,'Вводные'!$E$88)),CW$3&lt;$B$7),$B$17/MAX(1,MIN(6,'Вводные'!$E$88)),0)</x:f>
      </x:c>
      <x:c r="CX17" s="117" t="n">
        <x:f>IF(AND(CX$3&gt;=EDATE($B$7,-MIN(6,'Вводные'!$E$88)),CX$3&lt;$B$7),$B$17/MAX(1,MIN(6,'Вводные'!$E$88)),0)</x:f>
      </x:c>
      <x:c r="CY17" s="117" t="n">
        <x:f>IF(AND(CY$3&gt;=EDATE($B$7,-MIN(6,'Вводные'!$E$88)),CY$3&lt;$B$7),$B$17/MAX(1,MIN(6,'Вводные'!$E$88)),0)</x:f>
      </x:c>
      <x:c r="CZ17" s="117" t="n">
        <x:f>IF(AND(CZ$3&gt;=EDATE($B$7,-MIN(6,'Вводные'!$E$88)),CZ$3&lt;$B$7),$B$17/MAX(1,MIN(6,'Вводные'!$E$88)),0)</x:f>
      </x:c>
      <x:c r="DA17" s="117" t="n">
        <x:f>IF(AND(DA$3&gt;=EDATE($B$7,-MIN(6,'Вводные'!$E$88)),DA$3&lt;$B$7),$B$17/MAX(1,MIN(6,'Вводные'!$E$88)),0)</x:f>
      </x:c>
      <x:c r="DB17" s="117" t="n">
        <x:f>IF(AND(DB$3&gt;=EDATE($B$7,-MIN(6,'Вводные'!$E$88)),DB$3&lt;$B$7),$B$17/MAX(1,MIN(6,'Вводные'!$E$88)),0)</x:f>
      </x:c>
      <x:c r="DC17" s="117" t="n">
        <x:f>IF(AND(DC$3&gt;=EDATE($B$7,-MIN(6,'Вводные'!$E$88)),DC$3&lt;$B$7),$B$17/MAX(1,MIN(6,'Вводные'!$E$88)),0)</x:f>
      </x:c>
      <x:c r="DD17" s="117" t="n">
        <x:f>IF(AND(DD$3&gt;=EDATE($B$7,-MIN(6,'Вводные'!$E$88)),DD$3&lt;$B$7),$B$17/MAX(1,MIN(6,'Вводные'!$E$88)),0)</x:f>
      </x:c>
      <x:c r="DE17" s="117" t="n">
        <x:f>IF(AND(DE$3&gt;=EDATE($B$7,-MIN(6,'Вводные'!$E$88)),DE$3&lt;$B$7),$B$17/MAX(1,MIN(6,'Вводные'!$E$88)),0)</x:f>
      </x:c>
      <x:c r="DF17" s="117" t="n">
        <x:f>IF(AND(DF$3&gt;=EDATE($B$7,-MIN(6,'Вводные'!$E$88)),DF$3&lt;$B$7),$B$17/MAX(1,MIN(6,'Вводные'!$E$88)),0)</x:f>
      </x:c>
      <x:c r="DG17" s="117" t="n">
        <x:f>IF(AND(DG$3&gt;=EDATE($B$7,-MIN(6,'Вводные'!$E$88)),DG$3&lt;$B$7),$B$17/MAX(1,MIN(6,'Вводные'!$E$88)),0)</x:f>
      </x:c>
      <x:c r="DH17" s="117" t="n">
        <x:f>IF(AND(DH$3&gt;=EDATE($B$7,-MIN(6,'Вводные'!$E$88)),DH$3&lt;$B$7),$B$17/MAX(1,MIN(6,'Вводные'!$E$88)),0)</x:f>
      </x:c>
      <x:c r="DI17" s="117" t="n">
        <x:f>IF(AND(DI$3&gt;=EDATE($B$7,-MIN(6,'Вводные'!$E$88)),DI$3&lt;$B$7),$B$17/MAX(1,MIN(6,'Вводные'!$E$88)),0)</x:f>
      </x:c>
      <x:c r="DJ17" s="117" t="n">
        <x:f>IF(AND(DJ$3&gt;=EDATE($B$7,-MIN(6,'Вводные'!$E$88)),DJ$3&lt;$B$7),$B$17/MAX(1,MIN(6,'Вводные'!$E$88)),0)</x:f>
      </x:c>
      <x:c r="DK17" s="117" t="n">
        <x:f>IF(AND(DK$3&gt;=EDATE($B$7,-MIN(6,'Вводные'!$E$88)),DK$3&lt;$B$7),$B$17/MAX(1,MIN(6,'Вводные'!$E$88)),0)</x:f>
      </x:c>
      <x:c r="DL17" s="117" t="n">
        <x:f>IF(AND(DL$3&gt;=EDATE($B$7,-MIN(6,'Вводные'!$E$88)),DL$3&lt;$B$7),$B$17/MAX(1,MIN(6,'Вводные'!$E$88)),0)</x:f>
      </x:c>
      <x:c r="DM17" s="117" t="n">
        <x:f>IF(AND(DM$3&gt;=EDATE($B$7,-MIN(6,'Вводные'!$E$88)),DM$3&lt;$B$7),$B$17/MAX(1,MIN(6,'Вводные'!$E$88)),0)</x:f>
      </x:c>
      <x:c r="DN17" s="117" t="n">
        <x:f>IF(AND(DN$3&gt;=EDATE($B$7,-MIN(6,'Вводные'!$E$88)),DN$3&lt;$B$7),$B$17/MAX(1,MIN(6,'Вводные'!$E$88)),0)</x:f>
      </x:c>
      <x:c r="DO17" s="117" t="n">
        <x:f>IF(AND(DO$3&gt;=EDATE($B$7,-MIN(6,'Вводные'!$E$88)),DO$3&lt;$B$7),$B$17/MAX(1,MIN(6,'Вводные'!$E$88)),0)</x:f>
      </x:c>
      <x:c r="DP17" s="117" t="n">
        <x:f>IF(AND(DP$3&gt;=EDATE($B$7,-MIN(6,'Вводные'!$E$88)),DP$3&lt;$B$7),$B$17/MAX(1,MIN(6,'Вводные'!$E$88)),0)</x:f>
      </x:c>
      <x:c r="DQ17" s="117" t="n">
        <x:f>IF(AND(DQ$3&gt;=EDATE($B$7,-MIN(6,'Вводные'!$E$88)),DQ$3&lt;$B$7),$B$17/MAX(1,MIN(6,'Вводные'!$E$88)),0)</x:f>
      </x:c>
      <x:c r="DR17" s="117" t="n">
        <x:f>IF(AND(DR$3&gt;=EDATE($B$7,-MIN(6,'Вводные'!$E$88)),DR$3&lt;$B$7),$B$17/MAX(1,MIN(6,'Вводные'!$E$88)),0)</x:f>
      </x:c>
      <x:c r="DS17" s="117" t="n">
        <x:f>IF(AND(DS$3&gt;=EDATE($B$7,-MIN(6,'Вводные'!$E$88)),DS$3&lt;$B$7),$B$17/MAX(1,MIN(6,'Вводные'!$E$88)),0)</x:f>
      </x:c>
    </x:row>
    <x:row r="18">
      <x:c r="A18" t="str">
        <x:v>Проектирование, стадия РД</x:v>
      </x:c>
      <x:c r="B18" s="107" t="n">
        <x:f>(('Вводные'!$I$88+'Вводные'!$J$88+'Вводные'!$K$88)*'Вводные'!$B$42/1000*'Вводные'!$H$6*'Вводные'!$T$88*--('Вводные'!$B$88="Да"))*'Вводные'!$AH$88</x:f>
      </x:c>
      <x:c r="C18" t="str">
        <x:v>млн ₽</x:v>
      </x:c>
      <x:c r="D18" s="117" t="n">
        <x:f>IF(AND(D$3&gt;=EDATE($B$7,-MIN(6,'Вводные'!$E$88)),D$3&lt;$B$7),$B$18/MAX(1,MIN(6,'Вводные'!$E$88)),0)</x:f>
      </x:c>
      <x:c r="E18" s="117" t="n">
        <x:f>IF(AND(E$3&gt;=EDATE($B$7,-MIN(6,'Вводные'!$E$88)),E$3&lt;$B$7),$B$18/MAX(1,MIN(6,'Вводные'!$E$88)),0)</x:f>
      </x:c>
      <x:c r="F18" s="117" t="n">
        <x:f>IF(AND(F$3&gt;=EDATE($B$7,-MIN(6,'Вводные'!$E$88)),F$3&lt;$B$7),$B$18/MAX(1,MIN(6,'Вводные'!$E$88)),0)</x:f>
      </x:c>
      <x:c r="G18" s="117" t="n">
        <x:f>IF(AND(G$3&gt;=EDATE($B$7,-MIN(6,'Вводные'!$E$88)),G$3&lt;$B$7),$B$18/MAX(1,MIN(6,'Вводные'!$E$88)),0)</x:f>
      </x:c>
      <x:c r="H18" s="117" t="n">
        <x:f>IF(AND(H$3&gt;=EDATE($B$7,-MIN(6,'Вводные'!$E$88)),H$3&lt;$B$7),$B$18/MAX(1,MIN(6,'Вводные'!$E$88)),0)</x:f>
      </x:c>
      <x:c r="I18" s="117" t="n">
        <x:f>IF(AND(I$3&gt;=EDATE($B$7,-MIN(6,'Вводные'!$E$88)),I$3&lt;$B$7),$B$18/MAX(1,MIN(6,'Вводные'!$E$88)),0)</x:f>
      </x:c>
      <x:c r="J18" s="117" t="n">
        <x:f>IF(AND(J$3&gt;=EDATE($B$7,-MIN(6,'Вводные'!$E$88)),J$3&lt;$B$7),$B$18/MAX(1,MIN(6,'Вводные'!$E$88)),0)</x:f>
      </x:c>
      <x:c r="K18" s="117" t="n">
        <x:f>IF(AND(K$3&gt;=EDATE($B$7,-MIN(6,'Вводные'!$E$88)),K$3&lt;$B$7),$B$18/MAX(1,MIN(6,'Вводные'!$E$88)),0)</x:f>
      </x:c>
      <x:c r="L18" s="117" t="n">
        <x:f>IF(AND(L$3&gt;=EDATE($B$7,-MIN(6,'Вводные'!$E$88)),L$3&lt;$B$7),$B$18/MAX(1,MIN(6,'Вводные'!$E$88)),0)</x:f>
      </x:c>
      <x:c r="M18" s="117" t="n">
        <x:f>IF(AND(M$3&gt;=EDATE($B$7,-MIN(6,'Вводные'!$E$88)),M$3&lt;$B$7),$B$18/MAX(1,MIN(6,'Вводные'!$E$88)),0)</x:f>
      </x:c>
      <x:c r="N18" s="117" t="n">
        <x:f>IF(AND(N$3&gt;=EDATE($B$7,-MIN(6,'Вводные'!$E$88)),N$3&lt;$B$7),$B$18/MAX(1,MIN(6,'Вводные'!$E$88)),0)</x:f>
      </x:c>
      <x:c r="O18" s="117" t="n">
        <x:f>IF(AND(O$3&gt;=EDATE($B$7,-MIN(6,'Вводные'!$E$88)),O$3&lt;$B$7),$B$18/MAX(1,MIN(6,'Вводные'!$E$88)),0)</x:f>
      </x:c>
      <x:c r="P18" s="117" t="n">
        <x:f>IF(AND(P$3&gt;=EDATE($B$7,-MIN(6,'Вводные'!$E$88)),P$3&lt;$B$7),$B$18/MAX(1,MIN(6,'Вводные'!$E$88)),0)</x:f>
      </x:c>
      <x:c r="Q18" s="117" t="n">
        <x:f>IF(AND(Q$3&gt;=EDATE($B$7,-MIN(6,'Вводные'!$E$88)),Q$3&lt;$B$7),$B$18/MAX(1,MIN(6,'Вводные'!$E$88)),0)</x:f>
      </x:c>
      <x:c r="R18" s="117" t="n">
        <x:f>IF(AND(R$3&gt;=EDATE($B$7,-MIN(6,'Вводные'!$E$88)),R$3&lt;$B$7),$B$18/MAX(1,MIN(6,'Вводные'!$E$88)),0)</x:f>
      </x:c>
      <x:c r="S18" s="117" t="n">
        <x:f>IF(AND(S$3&gt;=EDATE($B$7,-MIN(6,'Вводные'!$E$88)),S$3&lt;$B$7),$B$18/MAX(1,MIN(6,'Вводные'!$E$88)),0)</x:f>
      </x:c>
      <x:c r="T18" s="117" t="n">
        <x:f>IF(AND(T$3&gt;=EDATE($B$7,-MIN(6,'Вводные'!$E$88)),T$3&lt;$B$7),$B$18/MAX(1,MIN(6,'Вводные'!$E$88)),0)</x:f>
      </x:c>
      <x:c r="U18" s="117" t="n">
        <x:f>IF(AND(U$3&gt;=EDATE($B$7,-MIN(6,'Вводные'!$E$88)),U$3&lt;$B$7),$B$18/MAX(1,MIN(6,'Вводные'!$E$88)),0)</x:f>
      </x:c>
      <x:c r="V18" s="117" t="n">
        <x:f>IF(AND(V$3&gt;=EDATE($B$7,-MIN(6,'Вводные'!$E$88)),V$3&lt;$B$7),$B$18/MAX(1,MIN(6,'Вводные'!$E$88)),0)</x:f>
      </x:c>
      <x:c r="W18" s="117" t="n">
        <x:f>IF(AND(W$3&gt;=EDATE($B$7,-MIN(6,'Вводные'!$E$88)),W$3&lt;$B$7),$B$18/MAX(1,MIN(6,'Вводные'!$E$88)),0)</x:f>
      </x:c>
      <x:c r="X18" s="117" t="n">
        <x:f>IF(AND(X$3&gt;=EDATE($B$7,-MIN(6,'Вводные'!$E$88)),X$3&lt;$B$7),$B$18/MAX(1,MIN(6,'Вводные'!$E$88)),0)</x:f>
      </x:c>
      <x:c r="Y18" s="117" t="n">
        <x:f>IF(AND(Y$3&gt;=EDATE($B$7,-MIN(6,'Вводные'!$E$88)),Y$3&lt;$B$7),$B$18/MAX(1,MIN(6,'Вводные'!$E$88)),0)</x:f>
      </x:c>
      <x:c r="Z18" s="117" t="n">
        <x:f>IF(AND(Z$3&gt;=EDATE($B$7,-MIN(6,'Вводные'!$E$88)),Z$3&lt;$B$7),$B$18/MAX(1,MIN(6,'Вводные'!$E$88)),0)</x:f>
      </x:c>
      <x:c r="AA18" s="117" t="n">
        <x:f>IF(AND(AA$3&gt;=EDATE($B$7,-MIN(6,'Вводные'!$E$88)),AA$3&lt;$B$7),$B$18/MAX(1,MIN(6,'Вводные'!$E$88)),0)</x:f>
      </x:c>
      <x:c r="AB18" s="117" t="n">
        <x:f>IF(AND(AB$3&gt;=EDATE($B$7,-MIN(6,'Вводные'!$E$88)),AB$3&lt;$B$7),$B$18/MAX(1,MIN(6,'Вводные'!$E$88)),0)</x:f>
      </x:c>
      <x:c r="AC18" s="117" t="n">
        <x:f>IF(AND(AC$3&gt;=EDATE($B$7,-MIN(6,'Вводные'!$E$88)),AC$3&lt;$B$7),$B$18/MAX(1,MIN(6,'Вводные'!$E$88)),0)</x:f>
      </x:c>
      <x:c r="AD18" s="117" t="n">
        <x:f>IF(AND(AD$3&gt;=EDATE($B$7,-MIN(6,'Вводные'!$E$88)),AD$3&lt;$B$7),$B$18/MAX(1,MIN(6,'Вводные'!$E$88)),0)</x:f>
      </x:c>
      <x:c r="AE18" s="117" t="n">
        <x:f>IF(AND(AE$3&gt;=EDATE($B$7,-MIN(6,'Вводные'!$E$88)),AE$3&lt;$B$7),$B$18/MAX(1,MIN(6,'Вводные'!$E$88)),0)</x:f>
      </x:c>
      <x:c r="AF18" s="117" t="n">
        <x:f>IF(AND(AF$3&gt;=EDATE($B$7,-MIN(6,'Вводные'!$E$88)),AF$3&lt;$B$7),$B$18/MAX(1,MIN(6,'Вводные'!$E$88)),0)</x:f>
      </x:c>
      <x:c r="AG18" s="117" t="n">
        <x:f>IF(AND(AG$3&gt;=EDATE($B$7,-MIN(6,'Вводные'!$E$88)),AG$3&lt;$B$7),$B$18/MAX(1,MIN(6,'Вводные'!$E$88)),0)</x:f>
      </x:c>
      <x:c r="AH18" s="117" t="n">
        <x:f>IF(AND(AH$3&gt;=EDATE($B$7,-MIN(6,'Вводные'!$E$88)),AH$3&lt;$B$7),$B$18/MAX(1,MIN(6,'Вводные'!$E$88)),0)</x:f>
      </x:c>
      <x:c r="AI18" s="117" t="n">
        <x:f>IF(AND(AI$3&gt;=EDATE($B$7,-MIN(6,'Вводные'!$E$88)),AI$3&lt;$B$7),$B$18/MAX(1,MIN(6,'Вводные'!$E$88)),0)</x:f>
      </x:c>
      <x:c r="AJ18" s="117" t="n">
        <x:f>IF(AND(AJ$3&gt;=EDATE($B$7,-MIN(6,'Вводные'!$E$88)),AJ$3&lt;$B$7),$B$18/MAX(1,MIN(6,'Вводные'!$E$88)),0)</x:f>
      </x:c>
      <x:c r="AK18" s="117" t="n">
        <x:f>IF(AND(AK$3&gt;=EDATE($B$7,-MIN(6,'Вводные'!$E$88)),AK$3&lt;$B$7),$B$18/MAX(1,MIN(6,'Вводные'!$E$88)),0)</x:f>
      </x:c>
      <x:c r="AL18" s="117" t="n">
        <x:f>IF(AND(AL$3&gt;=EDATE($B$7,-MIN(6,'Вводные'!$E$88)),AL$3&lt;$B$7),$B$18/MAX(1,MIN(6,'Вводные'!$E$88)),0)</x:f>
      </x:c>
      <x:c r="AM18" s="117" t="n">
        <x:f>IF(AND(AM$3&gt;=EDATE($B$7,-MIN(6,'Вводные'!$E$88)),AM$3&lt;$B$7),$B$18/MAX(1,MIN(6,'Вводные'!$E$88)),0)</x:f>
      </x:c>
      <x:c r="AN18" s="117" t="n">
        <x:f>IF(AND(AN$3&gt;=EDATE($B$7,-MIN(6,'Вводные'!$E$88)),AN$3&lt;$B$7),$B$18/MAX(1,MIN(6,'Вводные'!$E$88)),0)</x:f>
      </x:c>
      <x:c r="AO18" s="117" t="n">
        <x:f>IF(AND(AO$3&gt;=EDATE($B$7,-MIN(6,'Вводные'!$E$88)),AO$3&lt;$B$7),$B$18/MAX(1,MIN(6,'Вводные'!$E$88)),0)</x:f>
      </x:c>
      <x:c r="AP18" s="117" t="n">
        <x:f>IF(AND(AP$3&gt;=EDATE($B$7,-MIN(6,'Вводные'!$E$88)),AP$3&lt;$B$7),$B$18/MAX(1,MIN(6,'Вводные'!$E$88)),0)</x:f>
      </x:c>
      <x:c r="AQ18" s="117" t="n">
        <x:f>IF(AND(AQ$3&gt;=EDATE($B$7,-MIN(6,'Вводные'!$E$88)),AQ$3&lt;$B$7),$B$18/MAX(1,MIN(6,'Вводные'!$E$88)),0)</x:f>
      </x:c>
      <x:c r="AR18" s="117" t="n">
        <x:f>IF(AND(AR$3&gt;=EDATE($B$7,-MIN(6,'Вводные'!$E$88)),AR$3&lt;$B$7),$B$18/MAX(1,MIN(6,'Вводные'!$E$88)),0)</x:f>
      </x:c>
      <x:c r="AS18" s="117" t="n">
        <x:f>IF(AND(AS$3&gt;=EDATE($B$7,-MIN(6,'Вводные'!$E$88)),AS$3&lt;$B$7),$B$18/MAX(1,MIN(6,'Вводные'!$E$88)),0)</x:f>
      </x:c>
      <x:c r="AT18" s="117" t="n">
        <x:f>IF(AND(AT$3&gt;=EDATE($B$7,-MIN(6,'Вводные'!$E$88)),AT$3&lt;$B$7),$B$18/MAX(1,MIN(6,'Вводные'!$E$88)),0)</x:f>
      </x:c>
      <x:c r="AU18" s="117" t="n">
        <x:f>IF(AND(AU$3&gt;=EDATE($B$7,-MIN(6,'Вводные'!$E$88)),AU$3&lt;$B$7),$B$18/MAX(1,MIN(6,'Вводные'!$E$88)),0)</x:f>
      </x:c>
      <x:c r="AV18" s="117" t="n">
        <x:f>IF(AND(AV$3&gt;=EDATE($B$7,-MIN(6,'Вводные'!$E$88)),AV$3&lt;$B$7),$B$18/MAX(1,MIN(6,'Вводные'!$E$88)),0)</x:f>
      </x:c>
      <x:c r="AW18" s="117" t="n">
        <x:f>IF(AND(AW$3&gt;=EDATE($B$7,-MIN(6,'Вводные'!$E$88)),AW$3&lt;$B$7),$B$18/MAX(1,MIN(6,'Вводные'!$E$88)),0)</x:f>
      </x:c>
      <x:c r="AX18" s="117" t="n">
        <x:f>IF(AND(AX$3&gt;=EDATE($B$7,-MIN(6,'Вводные'!$E$88)),AX$3&lt;$B$7),$B$18/MAX(1,MIN(6,'Вводные'!$E$88)),0)</x:f>
      </x:c>
      <x:c r="AY18" s="117" t="n">
        <x:f>IF(AND(AY$3&gt;=EDATE($B$7,-MIN(6,'Вводные'!$E$88)),AY$3&lt;$B$7),$B$18/MAX(1,MIN(6,'Вводные'!$E$88)),0)</x:f>
      </x:c>
      <x:c r="AZ18" s="117" t="n">
        <x:f>IF(AND(AZ$3&gt;=EDATE($B$7,-MIN(6,'Вводные'!$E$88)),AZ$3&lt;$B$7),$B$18/MAX(1,MIN(6,'Вводные'!$E$88)),0)</x:f>
      </x:c>
      <x:c r="BA18" s="117" t="n">
        <x:f>IF(AND(BA$3&gt;=EDATE($B$7,-MIN(6,'Вводные'!$E$88)),BA$3&lt;$B$7),$B$18/MAX(1,MIN(6,'Вводные'!$E$88)),0)</x:f>
      </x:c>
      <x:c r="BB18" s="117" t="n">
        <x:f>IF(AND(BB$3&gt;=EDATE($B$7,-MIN(6,'Вводные'!$E$88)),BB$3&lt;$B$7),$B$18/MAX(1,MIN(6,'Вводные'!$E$88)),0)</x:f>
      </x:c>
      <x:c r="BC18" s="117" t="n">
        <x:f>IF(AND(BC$3&gt;=EDATE($B$7,-MIN(6,'Вводные'!$E$88)),BC$3&lt;$B$7),$B$18/MAX(1,MIN(6,'Вводные'!$E$88)),0)</x:f>
      </x:c>
      <x:c r="BD18" s="117" t="n">
        <x:f>IF(AND(BD$3&gt;=EDATE($B$7,-MIN(6,'Вводные'!$E$88)),BD$3&lt;$B$7),$B$18/MAX(1,MIN(6,'Вводные'!$E$88)),0)</x:f>
      </x:c>
      <x:c r="BE18" s="117" t="n">
        <x:f>IF(AND(BE$3&gt;=EDATE($B$7,-MIN(6,'Вводные'!$E$88)),BE$3&lt;$B$7),$B$18/MAX(1,MIN(6,'Вводные'!$E$88)),0)</x:f>
      </x:c>
      <x:c r="BF18" s="117" t="n">
        <x:f>IF(AND(BF$3&gt;=EDATE($B$7,-MIN(6,'Вводные'!$E$88)),BF$3&lt;$B$7),$B$18/MAX(1,MIN(6,'Вводные'!$E$88)),0)</x:f>
      </x:c>
      <x:c r="BG18" s="117" t="n">
        <x:f>IF(AND(BG$3&gt;=EDATE($B$7,-MIN(6,'Вводные'!$E$88)),BG$3&lt;$B$7),$B$18/MAX(1,MIN(6,'Вводные'!$E$88)),0)</x:f>
      </x:c>
      <x:c r="BH18" s="117" t="n">
        <x:f>IF(AND(BH$3&gt;=EDATE($B$7,-MIN(6,'Вводные'!$E$88)),BH$3&lt;$B$7),$B$18/MAX(1,MIN(6,'Вводные'!$E$88)),0)</x:f>
      </x:c>
      <x:c r="BI18" s="117" t="n">
        <x:f>IF(AND(BI$3&gt;=EDATE($B$7,-MIN(6,'Вводные'!$E$88)),BI$3&lt;$B$7),$B$18/MAX(1,MIN(6,'Вводные'!$E$88)),0)</x:f>
      </x:c>
      <x:c r="BJ18" s="117" t="n">
        <x:f>IF(AND(BJ$3&gt;=EDATE($B$7,-MIN(6,'Вводные'!$E$88)),BJ$3&lt;$B$7),$B$18/MAX(1,MIN(6,'Вводные'!$E$88)),0)</x:f>
      </x:c>
      <x:c r="BK18" s="117" t="n">
        <x:f>IF(AND(BK$3&gt;=EDATE($B$7,-MIN(6,'Вводные'!$E$88)),BK$3&lt;$B$7),$B$18/MAX(1,MIN(6,'Вводные'!$E$88)),0)</x:f>
      </x:c>
      <x:c r="BL18" s="117" t="n">
        <x:f>IF(AND(BL$3&gt;=EDATE($B$7,-MIN(6,'Вводные'!$E$88)),BL$3&lt;$B$7),$B$18/MAX(1,MIN(6,'Вводные'!$E$88)),0)</x:f>
      </x:c>
      <x:c r="BM18" s="117" t="n">
        <x:f>IF(AND(BM$3&gt;=EDATE($B$7,-MIN(6,'Вводные'!$E$88)),BM$3&lt;$B$7),$B$18/MAX(1,MIN(6,'Вводные'!$E$88)),0)</x:f>
      </x:c>
      <x:c r="BN18" s="117" t="n">
        <x:f>IF(AND(BN$3&gt;=EDATE($B$7,-MIN(6,'Вводные'!$E$88)),BN$3&lt;$B$7),$B$18/MAX(1,MIN(6,'Вводные'!$E$88)),0)</x:f>
      </x:c>
      <x:c r="BO18" s="117" t="n">
        <x:f>IF(AND(BO$3&gt;=EDATE($B$7,-MIN(6,'Вводные'!$E$88)),BO$3&lt;$B$7),$B$18/MAX(1,MIN(6,'Вводные'!$E$88)),0)</x:f>
      </x:c>
      <x:c r="BP18" s="117" t="n">
        <x:f>IF(AND(BP$3&gt;=EDATE($B$7,-MIN(6,'Вводные'!$E$88)),BP$3&lt;$B$7),$B$18/MAX(1,MIN(6,'Вводные'!$E$88)),0)</x:f>
      </x:c>
      <x:c r="BQ18" s="117" t="n">
        <x:f>IF(AND(BQ$3&gt;=EDATE($B$7,-MIN(6,'Вводные'!$E$88)),BQ$3&lt;$B$7),$B$18/MAX(1,MIN(6,'Вводные'!$E$88)),0)</x:f>
      </x:c>
      <x:c r="BR18" s="117" t="n">
        <x:f>IF(AND(BR$3&gt;=EDATE($B$7,-MIN(6,'Вводные'!$E$88)),BR$3&lt;$B$7),$B$18/MAX(1,MIN(6,'Вводные'!$E$88)),0)</x:f>
      </x:c>
      <x:c r="BS18" s="117" t="n">
        <x:f>IF(AND(BS$3&gt;=EDATE($B$7,-MIN(6,'Вводные'!$E$88)),BS$3&lt;$B$7),$B$18/MAX(1,MIN(6,'Вводные'!$E$88)),0)</x:f>
      </x:c>
      <x:c r="BT18" s="117" t="n">
        <x:f>IF(AND(BT$3&gt;=EDATE($B$7,-MIN(6,'Вводные'!$E$88)),BT$3&lt;$B$7),$B$18/MAX(1,MIN(6,'Вводные'!$E$88)),0)</x:f>
      </x:c>
      <x:c r="BU18" s="117" t="n">
        <x:f>IF(AND(BU$3&gt;=EDATE($B$7,-MIN(6,'Вводные'!$E$88)),BU$3&lt;$B$7),$B$18/MAX(1,MIN(6,'Вводные'!$E$88)),0)</x:f>
      </x:c>
      <x:c r="BV18" s="117" t="n">
        <x:f>IF(AND(BV$3&gt;=EDATE($B$7,-MIN(6,'Вводные'!$E$88)),BV$3&lt;$B$7),$B$18/MAX(1,MIN(6,'Вводные'!$E$88)),0)</x:f>
      </x:c>
      <x:c r="BW18" s="117" t="n">
        <x:f>IF(AND(BW$3&gt;=EDATE($B$7,-MIN(6,'Вводные'!$E$88)),BW$3&lt;$B$7),$B$18/MAX(1,MIN(6,'Вводные'!$E$88)),0)</x:f>
      </x:c>
      <x:c r="BX18" s="117" t="n">
        <x:f>IF(AND(BX$3&gt;=EDATE($B$7,-MIN(6,'Вводные'!$E$88)),BX$3&lt;$B$7),$B$18/MAX(1,MIN(6,'Вводные'!$E$88)),0)</x:f>
      </x:c>
      <x:c r="BY18" s="117" t="n">
        <x:f>IF(AND(BY$3&gt;=EDATE($B$7,-MIN(6,'Вводные'!$E$88)),BY$3&lt;$B$7),$B$18/MAX(1,MIN(6,'Вводные'!$E$88)),0)</x:f>
      </x:c>
      <x:c r="BZ18" s="117" t="n">
        <x:f>IF(AND(BZ$3&gt;=EDATE($B$7,-MIN(6,'Вводные'!$E$88)),BZ$3&lt;$B$7),$B$18/MAX(1,MIN(6,'Вводные'!$E$88)),0)</x:f>
      </x:c>
      <x:c r="CA18" s="117" t="n">
        <x:f>IF(AND(CA$3&gt;=EDATE($B$7,-MIN(6,'Вводные'!$E$88)),CA$3&lt;$B$7),$B$18/MAX(1,MIN(6,'Вводные'!$E$88)),0)</x:f>
      </x:c>
      <x:c r="CB18" s="117" t="n">
        <x:f>IF(AND(CB$3&gt;=EDATE($B$7,-MIN(6,'Вводные'!$E$88)),CB$3&lt;$B$7),$B$18/MAX(1,MIN(6,'Вводные'!$E$88)),0)</x:f>
      </x:c>
      <x:c r="CC18" s="117" t="n">
        <x:f>IF(AND(CC$3&gt;=EDATE($B$7,-MIN(6,'Вводные'!$E$88)),CC$3&lt;$B$7),$B$18/MAX(1,MIN(6,'Вводные'!$E$88)),0)</x:f>
      </x:c>
      <x:c r="CD18" s="117" t="n">
        <x:f>IF(AND(CD$3&gt;=EDATE($B$7,-MIN(6,'Вводные'!$E$88)),CD$3&lt;$B$7),$B$18/MAX(1,MIN(6,'Вводные'!$E$88)),0)</x:f>
      </x:c>
      <x:c r="CE18" s="117" t="n">
        <x:f>IF(AND(CE$3&gt;=EDATE($B$7,-MIN(6,'Вводные'!$E$88)),CE$3&lt;$B$7),$B$18/MAX(1,MIN(6,'Вводные'!$E$88)),0)</x:f>
      </x:c>
      <x:c r="CF18" s="117" t="n">
        <x:f>IF(AND(CF$3&gt;=EDATE($B$7,-MIN(6,'Вводные'!$E$88)),CF$3&lt;$B$7),$B$18/MAX(1,MIN(6,'Вводные'!$E$88)),0)</x:f>
      </x:c>
      <x:c r="CG18" s="117" t="n">
        <x:f>IF(AND(CG$3&gt;=EDATE($B$7,-MIN(6,'Вводные'!$E$88)),CG$3&lt;$B$7),$B$18/MAX(1,MIN(6,'Вводные'!$E$88)),0)</x:f>
      </x:c>
      <x:c r="CH18" s="117" t="n">
        <x:f>IF(AND(CH$3&gt;=EDATE($B$7,-MIN(6,'Вводные'!$E$88)),CH$3&lt;$B$7),$B$18/MAX(1,MIN(6,'Вводные'!$E$88)),0)</x:f>
      </x:c>
      <x:c r="CI18" s="117" t="n">
        <x:f>IF(AND(CI$3&gt;=EDATE($B$7,-MIN(6,'Вводные'!$E$88)),CI$3&lt;$B$7),$B$18/MAX(1,MIN(6,'Вводные'!$E$88)),0)</x:f>
      </x:c>
      <x:c r="CJ18" s="117" t="n">
        <x:f>IF(AND(CJ$3&gt;=EDATE($B$7,-MIN(6,'Вводные'!$E$88)),CJ$3&lt;$B$7),$B$18/MAX(1,MIN(6,'Вводные'!$E$88)),0)</x:f>
      </x:c>
      <x:c r="CK18" s="117" t="n">
        <x:f>IF(AND(CK$3&gt;=EDATE($B$7,-MIN(6,'Вводные'!$E$88)),CK$3&lt;$B$7),$B$18/MAX(1,MIN(6,'Вводные'!$E$88)),0)</x:f>
      </x:c>
      <x:c r="CL18" s="117" t="n">
        <x:f>IF(AND(CL$3&gt;=EDATE($B$7,-MIN(6,'Вводные'!$E$88)),CL$3&lt;$B$7),$B$18/MAX(1,MIN(6,'Вводные'!$E$88)),0)</x:f>
      </x:c>
      <x:c r="CM18" s="117" t="n">
        <x:f>IF(AND(CM$3&gt;=EDATE($B$7,-MIN(6,'Вводные'!$E$88)),CM$3&lt;$B$7),$B$18/MAX(1,MIN(6,'Вводные'!$E$88)),0)</x:f>
      </x:c>
      <x:c r="CN18" s="117" t="n">
        <x:f>IF(AND(CN$3&gt;=EDATE($B$7,-MIN(6,'Вводные'!$E$88)),CN$3&lt;$B$7),$B$18/MAX(1,MIN(6,'Вводные'!$E$88)),0)</x:f>
      </x:c>
      <x:c r="CO18" s="117" t="n">
        <x:f>IF(AND(CO$3&gt;=EDATE($B$7,-MIN(6,'Вводные'!$E$88)),CO$3&lt;$B$7),$B$18/MAX(1,MIN(6,'Вводные'!$E$88)),0)</x:f>
      </x:c>
      <x:c r="CP18" s="117" t="n">
        <x:f>IF(AND(CP$3&gt;=EDATE($B$7,-MIN(6,'Вводные'!$E$88)),CP$3&lt;$B$7),$B$18/MAX(1,MIN(6,'Вводные'!$E$88)),0)</x:f>
      </x:c>
      <x:c r="CQ18" s="117" t="n">
        <x:f>IF(AND(CQ$3&gt;=EDATE($B$7,-MIN(6,'Вводные'!$E$88)),CQ$3&lt;$B$7),$B$18/MAX(1,MIN(6,'Вводные'!$E$88)),0)</x:f>
      </x:c>
      <x:c r="CR18" s="117" t="n">
        <x:f>IF(AND(CR$3&gt;=EDATE($B$7,-MIN(6,'Вводные'!$E$88)),CR$3&lt;$B$7),$B$18/MAX(1,MIN(6,'Вводные'!$E$88)),0)</x:f>
      </x:c>
      <x:c r="CS18" s="117" t="n">
        <x:f>IF(AND(CS$3&gt;=EDATE($B$7,-MIN(6,'Вводные'!$E$88)),CS$3&lt;$B$7),$B$18/MAX(1,MIN(6,'Вводные'!$E$88)),0)</x:f>
      </x:c>
      <x:c r="CT18" s="117" t="n">
        <x:f>IF(AND(CT$3&gt;=EDATE($B$7,-MIN(6,'Вводные'!$E$88)),CT$3&lt;$B$7),$B$18/MAX(1,MIN(6,'Вводные'!$E$88)),0)</x:f>
      </x:c>
      <x:c r="CU18" s="117" t="n">
        <x:f>IF(AND(CU$3&gt;=EDATE($B$7,-MIN(6,'Вводные'!$E$88)),CU$3&lt;$B$7),$B$18/MAX(1,MIN(6,'Вводные'!$E$88)),0)</x:f>
      </x:c>
      <x:c r="CV18" s="117" t="n">
        <x:f>IF(AND(CV$3&gt;=EDATE($B$7,-MIN(6,'Вводные'!$E$88)),CV$3&lt;$B$7),$B$18/MAX(1,MIN(6,'Вводные'!$E$88)),0)</x:f>
      </x:c>
      <x:c r="CW18" s="117" t="n">
        <x:f>IF(AND(CW$3&gt;=EDATE($B$7,-MIN(6,'Вводные'!$E$88)),CW$3&lt;$B$7),$B$18/MAX(1,MIN(6,'Вводные'!$E$88)),0)</x:f>
      </x:c>
      <x:c r="CX18" s="117" t="n">
        <x:f>IF(AND(CX$3&gt;=EDATE($B$7,-MIN(6,'Вводные'!$E$88)),CX$3&lt;$B$7),$B$18/MAX(1,MIN(6,'Вводные'!$E$88)),0)</x:f>
      </x:c>
      <x:c r="CY18" s="117" t="n">
        <x:f>IF(AND(CY$3&gt;=EDATE($B$7,-MIN(6,'Вводные'!$E$88)),CY$3&lt;$B$7),$B$18/MAX(1,MIN(6,'Вводные'!$E$88)),0)</x:f>
      </x:c>
      <x:c r="CZ18" s="117" t="n">
        <x:f>IF(AND(CZ$3&gt;=EDATE($B$7,-MIN(6,'Вводные'!$E$88)),CZ$3&lt;$B$7),$B$18/MAX(1,MIN(6,'Вводные'!$E$88)),0)</x:f>
      </x:c>
      <x:c r="DA18" s="117" t="n">
        <x:f>IF(AND(DA$3&gt;=EDATE($B$7,-MIN(6,'Вводные'!$E$88)),DA$3&lt;$B$7),$B$18/MAX(1,MIN(6,'Вводные'!$E$88)),0)</x:f>
      </x:c>
      <x:c r="DB18" s="117" t="n">
        <x:f>IF(AND(DB$3&gt;=EDATE($B$7,-MIN(6,'Вводные'!$E$88)),DB$3&lt;$B$7),$B$18/MAX(1,MIN(6,'Вводные'!$E$88)),0)</x:f>
      </x:c>
      <x:c r="DC18" s="117" t="n">
        <x:f>IF(AND(DC$3&gt;=EDATE($B$7,-MIN(6,'Вводные'!$E$88)),DC$3&lt;$B$7),$B$18/MAX(1,MIN(6,'Вводные'!$E$88)),0)</x:f>
      </x:c>
      <x:c r="DD18" s="117" t="n">
        <x:f>IF(AND(DD$3&gt;=EDATE($B$7,-MIN(6,'Вводные'!$E$88)),DD$3&lt;$B$7),$B$18/MAX(1,MIN(6,'Вводные'!$E$88)),0)</x:f>
      </x:c>
      <x:c r="DE18" s="117" t="n">
        <x:f>IF(AND(DE$3&gt;=EDATE($B$7,-MIN(6,'Вводные'!$E$88)),DE$3&lt;$B$7),$B$18/MAX(1,MIN(6,'Вводные'!$E$88)),0)</x:f>
      </x:c>
      <x:c r="DF18" s="117" t="n">
        <x:f>IF(AND(DF$3&gt;=EDATE($B$7,-MIN(6,'Вводные'!$E$88)),DF$3&lt;$B$7),$B$18/MAX(1,MIN(6,'Вводные'!$E$88)),0)</x:f>
      </x:c>
      <x:c r="DG18" s="117" t="n">
        <x:f>IF(AND(DG$3&gt;=EDATE($B$7,-MIN(6,'Вводные'!$E$88)),DG$3&lt;$B$7),$B$18/MAX(1,MIN(6,'Вводные'!$E$88)),0)</x:f>
      </x:c>
      <x:c r="DH18" s="117" t="n">
        <x:f>IF(AND(DH$3&gt;=EDATE($B$7,-MIN(6,'Вводные'!$E$88)),DH$3&lt;$B$7),$B$18/MAX(1,MIN(6,'Вводные'!$E$88)),0)</x:f>
      </x:c>
      <x:c r="DI18" s="117" t="n">
        <x:f>IF(AND(DI$3&gt;=EDATE($B$7,-MIN(6,'Вводные'!$E$88)),DI$3&lt;$B$7),$B$18/MAX(1,MIN(6,'Вводные'!$E$88)),0)</x:f>
      </x:c>
      <x:c r="DJ18" s="117" t="n">
        <x:f>IF(AND(DJ$3&gt;=EDATE($B$7,-MIN(6,'Вводные'!$E$88)),DJ$3&lt;$B$7),$B$18/MAX(1,MIN(6,'Вводные'!$E$88)),0)</x:f>
      </x:c>
      <x:c r="DK18" s="117" t="n">
        <x:f>IF(AND(DK$3&gt;=EDATE($B$7,-MIN(6,'Вводные'!$E$88)),DK$3&lt;$B$7),$B$18/MAX(1,MIN(6,'Вводные'!$E$88)),0)</x:f>
      </x:c>
      <x:c r="DL18" s="117" t="n">
        <x:f>IF(AND(DL$3&gt;=EDATE($B$7,-MIN(6,'Вводные'!$E$88)),DL$3&lt;$B$7),$B$18/MAX(1,MIN(6,'Вводные'!$E$88)),0)</x:f>
      </x:c>
      <x:c r="DM18" s="117" t="n">
        <x:f>IF(AND(DM$3&gt;=EDATE($B$7,-MIN(6,'Вводные'!$E$88)),DM$3&lt;$B$7),$B$18/MAX(1,MIN(6,'Вводные'!$E$88)),0)</x:f>
      </x:c>
      <x:c r="DN18" s="117" t="n">
        <x:f>IF(AND(DN$3&gt;=EDATE($B$7,-MIN(6,'Вводные'!$E$88)),DN$3&lt;$B$7),$B$18/MAX(1,MIN(6,'Вводные'!$E$88)),0)</x:f>
      </x:c>
      <x:c r="DO18" s="117" t="n">
        <x:f>IF(AND(DO$3&gt;=EDATE($B$7,-MIN(6,'Вводные'!$E$88)),DO$3&lt;$B$7),$B$18/MAX(1,MIN(6,'Вводные'!$E$88)),0)</x:f>
      </x:c>
      <x:c r="DP18" s="117" t="n">
        <x:f>IF(AND(DP$3&gt;=EDATE($B$7,-MIN(6,'Вводные'!$E$88)),DP$3&lt;$B$7),$B$18/MAX(1,MIN(6,'Вводные'!$E$88)),0)</x:f>
      </x:c>
      <x:c r="DQ18" s="117" t="n">
        <x:f>IF(AND(DQ$3&gt;=EDATE($B$7,-MIN(6,'Вводные'!$E$88)),DQ$3&lt;$B$7),$B$18/MAX(1,MIN(6,'Вводные'!$E$88)),0)</x:f>
      </x:c>
      <x:c r="DR18" s="117" t="n">
        <x:f>IF(AND(DR$3&gt;=EDATE($B$7,-MIN(6,'Вводные'!$E$88)),DR$3&lt;$B$7),$B$18/MAX(1,MIN(6,'Вводные'!$E$88)),0)</x:f>
      </x:c>
      <x:c r="DS18" s="117" t="n">
        <x:f>IF(AND(DS$3&gt;=EDATE($B$7,-MIN(6,'Вводные'!$E$88)),DS$3&lt;$B$7),$B$18/MAX(1,MIN(6,'Вводные'!$E$88)),0)</x:f>
      </x:c>
    </x:row>
    <x:row r="19">
      <x:c r="A19" t="str">
        <x:v>Авторский надзор</x:v>
      </x:c>
      <x:c r="B19" s="107" t="n">
        <x:f>SUM(B17:B18)*'Вводные'!$B$51</x:f>
      </x:c>
      <x:c r="C19" t="str">
        <x:v>млн ₽</x:v>
      </x:c>
      <x:c r="D19" s="117" t="n">
        <x:f>$B$19*D13</x:f>
      </x:c>
      <x:c r="E19" s="117" t="n">
        <x:f>$B$19*E13</x:f>
      </x:c>
      <x:c r="F19" s="117" t="n">
        <x:f>$B$19*F13</x:f>
      </x:c>
      <x:c r="G19" s="117" t="n">
        <x:f>$B$19*G13</x:f>
      </x:c>
      <x:c r="H19" s="117" t="n">
        <x:f>$B$19*H13</x:f>
      </x:c>
      <x:c r="I19" s="117" t="n">
        <x:f>$B$19*I13</x:f>
      </x:c>
      <x:c r="J19" s="117" t="n">
        <x:f>$B$19*J13</x:f>
      </x:c>
      <x:c r="K19" s="117" t="n">
        <x:f>$B$19*K13</x:f>
      </x:c>
      <x:c r="L19" s="117" t="n">
        <x:f>$B$19*L13</x:f>
      </x:c>
      <x:c r="M19" s="117" t="n">
        <x:f>$B$19*M13</x:f>
      </x:c>
      <x:c r="N19" s="117" t="n">
        <x:f>$B$19*N13</x:f>
      </x:c>
      <x:c r="O19" s="117" t="n">
        <x:f>$B$19*O13</x:f>
      </x:c>
      <x:c r="P19" s="117" t="n">
        <x:f>$B$19*P13</x:f>
      </x:c>
      <x:c r="Q19" s="117" t="n">
        <x:f>$B$19*Q13</x:f>
      </x:c>
      <x:c r="R19" s="117" t="n">
        <x:f>$B$19*R13</x:f>
      </x:c>
      <x:c r="S19" s="117" t="n">
        <x:f>$B$19*S13</x:f>
      </x:c>
      <x:c r="T19" s="117" t="n">
        <x:f>$B$19*T13</x:f>
      </x:c>
      <x:c r="U19" s="117" t="n">
        <x:f>$B$19*U13</x:f>
      </x:c>
      <x:c r="V19" s="117" t="n">
        <x:f>$B$19*V13</x:f>
      </x:c>
      <x:c r="W19" s="117" t="n">
        <x:f>$B$19*W13</x:f>
      </x:c>
      <x:c r="X19" s="117" t="n">
        <x:f>$B$19*X13</x:f>
      </x:c>
      <x:c r="Y19" s="117" t="n">
        <x:f>$B$19*Y13</x:f>
      </x:c>
      <x:c r="Z19" s="117" t="n">
        <x:f>$B$19*Z13</x:f>
      </x:c>
      <x:c r="AA19" s="117" t="n">
        <x:f>$B$19*AA13</x:f>
      </x:c>
      <x:c r="AB19" s="117" t="n">
        <x:f>$B$19*AB13</x:f>
      </x:c>
      <x:c r="AC19" s="117" t="n">
        <x:f>$B$19*AC13</x:f>
      </x:c>
      <x:c r="AD19" s="117" t="n">
        <x:f>$B$19*AD13</x:f>
      </x:c>
      <x:c r="AE19" s="117" t="n">
        <x:f>$B$19*AE13</x:f>
      </x:c>
      <x:c r="AF19" s="117" t="n">
        <x:f>$B$19*AF13</x:f>
      </x:c>
      <x:c r="AG19" s="117" t="n">
        <x:f>$B$19*AG13</x:f>
      </x:c>
      <x:c r="AH19" s="117" t="n">
        <x:f>$B$19*AH13</x:f>
      </x:c>
      <x:c r="AI19" s="117" t="n">
        <x:f>$B$19*AI13</x:f>
      </x:c>
      <x:c r="AJ19" s="117" t="n">
        <x:f>$B$19*AJ13</x:f>
      </x:c>
      <x:c r="AK19" s="117" t="n">
        <x:f>$B$19*AK13</x:f>
      </x:c>
      <x:c r="AL19" s="117" t="n">
        <x:f>$B$19*AL13</x:f>
      </x:c>
      <x:c r="AM19" s="117" t="n">
        <x:f>$B$19*AM13</x:f>
      </x:c>
      <x:c r="AN19" s="117" t="n">
        <x:f>$B$19*AN13</x:f>
      </x:c>
      <x:c r="AO19" s="117" t="n">
        <x:f>$B$19*AO13</x:f>
      </x:c>
      <x:c r="AP19" s="117" t="n">
        <x:f>$B$19*AP13</x:f>
      </x:c>
      <x:c r="AQ19" s="117" t="n">
        <x:f>$B$19*AQ13</x:f>
      </x:c>
      <x:c r="AR19" s="117" t="n">
        <x:f>$B$19*AR13</x:f>
      </x:c>
      <x:c r="AS19" s="117" t="n">
        <x:f>$B$19*AS13</x:f>
      </x:c>
      <x:c r="AT19" s="117" t="n">
        <x:f>$B$19*AT13</x:f>
      </x:c>
      <x:c r="AU19" s="117" t="n">
        <x:f>$B$19*AU13</x:f>
      </x:c>
      <x:c r="AV19" s="117" t="n">
        <x:f>$B$19*AV13</x:f>
      </x:c>
      <x:c r="AW19" s="117" t="n">
        <x:f>$B$19*AW13</x:f>
      </x:c>
      <x:c r="AX19" s="117" t="n">
        <x:f>$B$19*AX13</x:f>
      </x:c>
      <x:c r="AY19" s="117" t="n">
        <x:f>$B$19*AY13</x:f>
      </x:c>
      <x:c r="AZ19" s="117" t="n">
        <x:f>$B$19*AZ13</x:f>
      </x:c>
      <x:c r="BA19" s="117" t="n">
        <x:f>$B$19*BA13</x:f>
      </x:c>
      <x:c r="BB19" s="117" t="n">
        <x:f>$B$19*BB13</x:f>
      </x:c>
      <x:c r="BC19" s="117" t="n">
        <x:f>$B$19*BC13</x:f>
      </x:c>
      <x:c r="BD19" s="117" t="n">
        <x:f>$B$19*BD13</x:f>
      </x:c>
      <x:c r="BE19" s="117" t="n">
        <x:f>$B$19*BE13</x:f>
      </x:c>
      <x:c r="BF19" s="117" t="n">
        <x:f>$B$19*BF13</x:f>
      </x:c>
      <x:c r="BG19" s="117" t="n">
        <x:f>$B$19*BG13</x:f>
      </x:c>
      <x:c r="BH19" s="117" t="n">
        <x:f>$B$19*BH13</x:f>
      </x:c>
      <x:c r="BI19" s="117" t="n">
        <x:f>$B$19*BI13</x:f>
      </x:c>
      <x:c r="BJ19" s="117" t="n">
        <x:f>$B$19*BJ13</x:f>
      </x:c>
      <x:c r="BK19" s="117" t="n">
        <x:f>$B$19*BK13</x:f>
      </x:c>
      <x:c r="BL19" s="117" t="n">
        <x:f>$B$19*BL13</x:f>
      </x:c>
      <x:c r="BM19" s="117" t="n">
        <x:f>$B$19*BM13</x:f>
      </x:c>
      <x:c r="BN19" s="117" t="n">
        <x:f>$B$19*BN13</x:f>
      </x:c>
      <x:c r="BO19" s="117" t="n">
        <x:f>$B$19*BO13</x:f>
      </x:c>
      <x:c r="BP19" s="117" t="n">
        <x:f>$B$19*BP13</x:f>
      </x:c>
      <x:c r="BQ19" s="117" t="n">
        <x:f>$B$19*BQ13</x:f>
      </x:c>
      <x:c r="BR19" s="117" t="n">
        <x:f>$B$19*BR13</x:f>
      </x:c>
      <x:c r="BS19" s="117" t="n">
        <x:f>$B$19*BS13</x:f>
      </x:c>
      <x:c r="BT19" s="117" t="n">
        <x:f>$B$19*BT13</x:f>
      </x:c>
      <x:c r="BU19" s="117" t="n">
        <x:f>$B$19*BU13</x:f>
      </x:c>
      <x:c r="BV19" s="117" t="n">
        <x:f>$B$19*BV13</x:f>
      </x:c>
      <x:c r="BW19" s="117" t="n">
        <x:f>$B$19*BW13</x:f>
      </x:c>
      <x:c r="BX19" s="117" t="n">
        <x:f>$B$19*BX13</x:f>
      </x:c>
      <x:c r="BY19" s="117" t="n">
        <x:f>$B$19*BY13</x:f>
      </x:c>
      <x:c r="BZ19" s="117" t="n">
        <x:f>$B$19*BZ13</x:f>
      </x:c>
      <x:c r="CA19" s="117" t="n">
        <x:f>$B$19*CA13</x:f>
      </x:c>
      <x:c r="CB19" s="117" t="n">
        <x:f>$B$19*CB13</x:f>
      </x:c>
      <x:c r="CC19" s="117" t="n">
        <x:f>$B$19*CC13</x:f>
      </x:c>
      <x:c r="CD19" s="117" t="n">
        <x:f>$B$19*CD13</x:f>
      </x:c>
      <x:c r="CE19" s="117" t="n">
        <x:f>$B$19*CE13</x:f>
      </x:c>
      <x:c r="CF19" s="117" t="n">
        <x:f>$B$19*CF13</x:f>
      </x:c>
      <x:c r="CG19" s="117" t="n">
        <x:f>$B$19*CG13</x:f>
      </x:c>
      <x:c r="CH19" s="117" t="n">
        <x:f>$B$19*CH13</x:f>
      </x:c>
      <x:c r="CI19" s="117" t="n">
        <x:f>$B$19*CI13</x:f>
      </x:c>
      <x:c r="CJ19" s="117" t="n">
        <x:f>$B$19*CJ13</x:f>
      </x:c>
      <x:c r="CK19" s="117" t="n">
        <x:f>$B$19*CK13</x:f>
      </x:c>
      <x:c r="CL19" s="117" t="n">
        <x:f>$B$19*CL13</x:f>
      </x:c>
      <x:c r="CM19" s="117" t="n">
        <x:f>$B$19*CM13</x:f>
      </x:c>
      <x:c r="CN19" s="117" t="n">
        <x:f>$B$19*CN13</x:f>
      </x:c>
      <x:c r="CO19" s="117" t="n">
        <x:f>$B$19*CO13</x:f>
      </x:c>
      <x:c r="CP19" s="117" t="n">
        <x:f>$B$19*CP13</x:f>
      </x:c>
      <x:c r="CQ19" s="117" t="n">
        <x:f>$B$19*CQ13</x:f>
      </x:c>
      <x:c r="CR19" s="117" t="n">
        <x:f>$B$19*CR13</x:f>
      </x:c>
      <x:c r="CS19" s="117" t="n">
        <x:f>$B$19*CS13</x:f>
      </x:c>
      <x:c r="CT19" s="117" t="n">
        <x:f>$B$19*CT13</x:f>
      </x:c>
      <x:c r="CU19" s="117" t="n">
        <x:f>$B$19*CU13</x:f>
      </x:c>
      <x:c r="CV19" s="117" t="n">
        <x:f>$B$19*CV13</x:f>
      </x:c>
      <x:c r="CW19" s="117" t="n">
        <x:f>$B$19*CW13</x:f>
      </x:c>
      <x:c r="CX19" s="117" t="n">
        <x:f>$B$19*CX13</x:f>
      </x:c>
      <x:c r="CY19" s="117" t="n">
        <x:f>$B$19*CY13</x:f>
      </x:c>
      <x:c r="CZ19" s="117" t="n">
        <x:f>$B$19*CZ13</x:f>
      </x:c>
      <x:c r="DA19" s="117" t="n">
        <x:f>$B$19*DA13</x:f>
      </x:c>
      <x:c r="DB19" s="117" t="n">
        <x:f>$B$19*DB13</x:f>
      </x:c>
      <x:c r="DC19" s="117" t="n">
        <x:f>$B$19*DC13</x:f>
      </x:c>
      <x:c r="DD19" s="117" t="n">
        <x:f>$B$19*DD13</x:f>
      </x:c>
      <x:c r="DE19" s="117" t="n">
        <x:f>$B$19*DE13</x:f>
      </x:c>
      <x:c r="DF19" s="117" t="n">
        <x:f>$B$19*DF13</x:f>
      </x:c>
      <x:c r="DG19" s="117" t="n">
        <x:f>$B$19*DG13</x:f>
      </x:c>
      <x:c r="DH19" s="117" t="n">
        <x:f>$B$19*DH13</x:f>
      </x:c>
      <x:c r="DI19" s="117" t="n">
        <x:f>$B$19*DI13</x:f>
      </x:c>
      <x:c r="DJ19" s="117" t="n">
        <x:f>$B$19*DJ13</x:f>
      </x:c>
      <x:c r="DK19" s="117" t="n">
        <x:f>$B$19*DK13</x:f>
      </x:c>
      <x:c r="DL19" s="117" t="n">
        <x:f>$B$19*DL13</x:f>
      </x:c>
      <x:c r="DM19" s="117" t="n">
        <x:f>$B$19*DM13</x:f>
      </x:c>
      <x:c r="DN19" s="117" t="n">
        <x:f>$B$19*DN13</x:f>
      </x:c>
      <x:c r="DO19" s="117" t="n">
        <x:f>$B$19*DO13</x:f>
      </x:c>
      <x:c r="DP19" s="117" t="n">
        <x:f>$B$19*DP13</x:f>
      </x:c>
      <x:c r="DQ19" s="117" t="n">
        <x:f>$B$19*DQ13</x:f>
      </x:c>
      <x:c r="DR19" s="117" t="n">
        <x:f>$B$19*DR13</x:f>
      </x:c>
      <x:c r="DS19" s="117" t="n">
        <x:f>$B$19*DS13</x:f>
      </x:c>
    </x:row>
    <x:row r="20">
      <x:c r="A20" t="str">
        <x:v>Подготовительные работы</x:v>
      </x:c>
      <x:c r="B20" s="107" t="n">
        <x:f>(('Вводные'!$I$88+'Вводные'!$J$88+'Вводные'!$K$88)*'Вводные'!$B$43/1000*'Вводные'!$H$6*'Вводные'!$T$88*--('Вводные'!$B$88="Да"))*'Вводные'!$AH$88</x:f>
      </x:c>
      <x:c r="C20" t="str">
        <x:v>млн ₽</x:v>
      </x:c>
      <x:c r="D20" s="117" t="n">
        <x:f>IF(AND(D$3&gt;=EDATE($B$7,-MIN(6,'Вводные'!$E$88)),D$3&lt;$B$7),$B$20/MAX(1,MIN(6,'Вводные'!$E$88)),0)</x:f>
      </x:c>
      <x:c r="E20" s="117" t="n">
        <x:f>IF(AND(E$3&gt;=EDATE($B$7,-MIN(6,'Вводные'!$E$88)),E$3&lt;$B$7),$B$20/MAX(1,MIN(6,'Вводные'!$E$88)),0)</x:f>
      </x:c>
      <x:c r="F20" s="117" t="n">
        <x:f>IF(AND(F$3&gt;=EDATE($B$7,-MIN(6,'Вводные'!$E$88)),F$3&lt;$B$7),$B$20/MAX(1,MIN(6,'Вводные'!$E$88)),0)</x:f>
      </x:c>
      <x:c r="G20" s="117" t="n">
        <x:f>IF(AND(G$3&gt;=EDATE($B$7,-MIN(6,'Вводные'!$E$88)),G$3&lt;$B$7),$B$20/MAX(1,MIN(6,'Вводные'!$E$88)),0)</x:f>
      </x:c>
      <x:c r="H20" s="117" t="n">
        <x:f>IF(AND(H$3&gt;=EDATE($B$7,-MIN(6,'Вводные'!$E$88)),H$3&lt;$B$7),$B$20/MAX(1,MIN(6,'Вводные'!$E$88)),0)</x:f>
      </x:c>
      <x:c r="I20" s="117" t="n">
        <x:f>IF(AND(I$3&gt;=EDATE($B$7,-MIN(6,'Вводные'!$E$88)),I$3&lt;$B$7),$B$20/MAX(1,MIN(6,'Вводные'!$E$88)),0)</x:f>
      </x:c>
      <x:c r="J20" s="117" t="n">
        <x:f>IF(AND(J$3&gt;=EDATE($B$7,-MIN(6,'Вводные'!$E$88)),J$3&lt;$B$7),$B$20/MAX(1,MIN(6,'Вводные'!$E$88)),0)</x:f>
      </x:c>
      <x:c r="K20" s="117" t="n">
        <x:f>IF(AND(K$3&gt;=EDATE($B$7,-MIN(6,'Вводные'!$E$88)),K$3&lt;$B$7),$B$20/MAX(1,MIN(6,'Вводные'!$E$88)),0)</x:f>
      </x:c>
      <x:c r="L20" s="117" t="n">
        <x:f>IF(AND(L$3&gt;=EDATE($B$7,-MIN(6,'Вводные'!$E$88)),L$3&lt;$B$7),$B$20/MAX(1,MIN(6,'Вводные'!$E$88)),0)</x:f>
      </x:c>
      <x:c r="M20" s="117" t="n">
        <x:f>IF(AND(M$3&gt;=EDATE($B$7,-MIN(6,'Вводные'!$E$88)),M$3&lt;$B$7),$B$20/MAX(1,MIN(6,'Вводные'!$E$88)),0)</x:f>
      </x:c>
      <x:c r="N20" s="117" t="n">
        <x:f>IF(AND(N$3&gt;=EDATE($B$7,-MIN(6,'Вводные'!$E$88)),N$3&lt;$B$7),$B$20/MAX(1,MIN(6,'Вводные'!$E$88)),0)</x:f>
      </x:c>
      <x:c r="O20" s="117" t="n">
        <x:f>IF(AND(O$3&gt;=EDATE($B$7,-MIN(6,'Вводные'!$E$88)),O$3&lt;$B$7),$B$20/MAX(1,MIN(6,'Вводные'!$E$88)),0)</x:f>
      </x:c>
      <x:c r="P20" s="117" t="n">
        <x:f>IF(AND(P$3&gt;=EDATE($B$7,-MIN(6,'Вводные'!$E$88)),P$3&lt;$B$7),$B$20/MAX(1,MIN(6,'Вводные'!$E$88)),0)</x:f>
      </x:c>
      <x:c r="Q20" s="117" t="n">
        <x:f>IF(AND(Q$3&gt;=EDATE($B$7,-MIN(6,'Вводные'!$E$88)),Q$3&lt;$B$7),$B$20/MAX(1,MIN(6,'Вводные'!$E$88)),0)</x:f>
      </x:c>
      <x:c r="R20" s="117" t="n">
        <x:f>IF(AND(R$3&gt;=EDATE($B$7,-MIN(6,'Вводные'!$E$88)),R$3&lt;$B$7),$B$20/MAX(1,MIN(6,'Вводные'!$E$88)),0)</x:f>
      </x:c>
      <x:c r="S20" s="117" t="n">
        <x:f>IF(AND(S$3&gt;=EDATE($B$7,-MIN(6,'Вводные'!$E$88)),S$3&lt;$B$7),$B$20/MAX(1,MIN(6,'Вводные'!$E$88)),0)</x:f>
      </x:c>
      <x:c r="T20" s="117" t="n">
        <x:f>IF(AND(T$3&gt;=EDATE($B$7,-MIN(6,'Вводные'!$E$88)),T$3&lt;$B$7),$B$20/MAX(1,MIN(6,'Вводные'!$E$88)),0)</x:f>
      </x:c>
      <x:c r="U20" s="117" t="n">
        <x:f>IF(AND(U$3&gt;=EDATE($B$7,-MIN(6,'Вводные'!$E$88)),U$3&lt;$B$7),$B$20/MAX(1,MIN(6,'Вводные'!$E$88)),0)</x:f>
      </x:c>
      <x:c r="V20" s="117" t="n">
        <x:f>IF(AND(V$3&gt;=EDATE($B$7,-MIN(6,'Вводные'!$E$88)),V$3&lt;$B$7),$B$20/MAX(1,MIN(6,'Вводные'!$E$88)),0)</x:f>
      </x:c>
      <x:c r="W20" s="117" t="n">
        <x:f>IF(AND(W$3&gt;=EDATE($B$7,-MIN(6,'Вводные'!$E$88)),W$3&lt;$B$7),$B$20/MAX(1,MIN(6,'Вводные'!$E$88)),0)</x:f>
      </x:c>
      <x:c r="X20" s="117" t="n">
        <x:f>IF(AND(X$3&gt;=EDATE($B$7,-MIN(6,'Вводные'!$E$88)),X$3&lt;$B$7),$B$20/MAX(1,MIN(6,'Вводные'!$E$88)),0)</x:f>
      </x:c>
      <x:c r="Y20" s="117" t="n">
        <x:f>IF(AND(Y$3&gt;=EDATE($B$7,-MIN(6,'Вводные'!$E$88)),Y$3&lt;$B$7),$B$20/MAX(1,MIN(6,'Вводные'!$E$88)),0)</x:f>
      </x:c>
      <x:c r="Z20" s="117" t="n">
        <x:f>IF(AND(Z$3&gt;=EDATE($B$7,-MIN(6,'Вводные'!$E$88)),Z$3&lt;$B$7),$B$20/MAX(1,MIN(6,'Вводные'!$E$88)),0)</x:f>
      </x:c>
      <x:c r="AA20" s="117" t="n">
        <x:f>IF(AND(AA$3&gt;=EDATE($B$7,-MIN(6,'Вводные'!$E$88)),AA$3&lt;$B$7),$B$20/MAX(1,MIN(6,'Вводные'!$E$88)),0)</x:f>
      </x:c>
      <x:c r="AB20" s="117" t="n">
        <x:f>IF(AND(AB$3&gt;=EDATE($B$7,-MIN(6,'Вводные'!$E$88)),AB$3&lt;$B$7),$B$20/MAX(1,MIN(6,'Вводные'!$E$88)),0)</x:f>
      </x:c>
      <x:c r="AC20" s="117" t="n">
        <x:f>IF(AND(AC$3&gt;=EDATE($B$7,-MIN(6,'Вводные'!$E$88)),AC$3&lt;$B$7),$B$20/MAX(1,MIN(6,'Вводные'!$E$88)),0)</x:f>
      </x:c>
      <x:c r="AD20" s="117" t="n">
        <x:f>IF(AND(AD$3&gt;=EDATE($B$7,-MIN(6,'Вводные'!$E$88)),AD$3&lt;$B$7),$B$20/MAX(1,MIN(6,'Вводные'!$E$88)),0)</x:f>
      </x:c>
      <x:c r="AE20" s="117" t="n">
        <x:f>IF(AND(AE$3&gt;=EDATE($B$7,-MIN(6,'Вводные'!$E$88)),AE$3&lt;$B$7),$B$20/MAX(1,MIN(6,'Вводные'!$E$88)),0)</x:f>
      </x:c>
      <x:c r="AF20" s="117" t="n">
        <x:f>IF(AND(AF$3&gt;=EDATE($B$7,-MIN(6,'Вводные'!$E$88)),AF$3&lt;$B$7),$B$20/MAX(1,MIN(6,'Вводные'!$E$88)),0)</x:f>
      </x:c>
      <x:c r="AG20" s="117" t="n">
        <x:f>IF(AND(AG$3&gt;=EDATE($B$7,-MIN(6,'Вводные'!$E$88)),AG$3&lt;$B$7),$B$20/MAX(1,MIN(6,'Вводные'!$E$88)),0)</x:f>
      </x:c>
      <x:c r="AH20" s="117" t="n">
        <x:f>IF(AND(AH$3&gt;=EDATE($B$7,-MIN(6,'Вводные'!$E$88)),AH$3&lt;$B$7),$B$20/MAX(1,MIN(6,'Вводные'!$E$88)),0)</x:f>
      </x:c>
      <x:c r="AI20" s="117" t="n">
        <x:f>IF(AND(AI$3&gt;=EDATE($B$7,-MIN(6,'Вводные'!$E$88)),AI$3&lt;$B$7),$B$20/MAX(1,MIN(6,'Вводные'!$E$88)),0)</x:f>
      </x:c>
      <x:c r="AJ20" s="117" t="n">
        <x:f>IF(AND(AJ$3&gt;=EDATE($B$7,-MIN(6,'Вводные'!$E$88)),AJ$3&lt;$B$7),$B$20/MAX(1,MIN(6,'Вводные'!$E$88)),0)</x:f>
      </x:c>
      <x:c r="AK20" s="117" t="n">
        <x:f>IF(AND(AK$3&gt;=EDATE($B$7,-MIN(6,'Вводные'!$E$88)),AK$3&lt;$B$7),$B$20/MAX(1,MIN(6,'Вводные'!$E$88)),0)</x:f>
      </x:c>
      <x:c r="AL20" s="117" t="n">
        <x:f>IF(AND(AL$3&gt;=EDATE($B$7,-MIN(6,'Вводные'!$E$88)),AL$3&lt;$B$7),$B$20/MAX(1,MIN(6,'Вводные'!$E$88)),0)</x:f>
      </x:c>
      <x:c r="AM20" s="117" t="n">
        <x:f>IF(AND(AM$3&gt;=EDATE($B$7,-MIN(6,'Вводные'!$E$88)),AM$3&lt;$B$7),$B$20/MAX(1,MIN(6,'Вводные'!$E$88)),0)</x:f>
      </x:c>
      <x:c r="AN20" s="117" t="n">
        <x:f>IF(AND(AN$3&gt;=EDATE($B$7,-MIN(6,'Вводные'!$E$88)),AN$3&lt;$B$7),$B$20/MAX(1,MIN(6,'Вводные'!$E$88)),0)</x:f>
      </x:c>
      <x:c r="AO20" s="117" t="n">
        <x:f>IF(AND(AO$3&gt;=EDATE($B$7,-MIN(6,'Вводные'!$E$88)),AO$3&lt;$B$7),$B$20/MAX(1,MIN(6,'Вводные'!$E$88)),0)</x:f>
      </x:c>
      <x:c r="AP20" s="117" t="n">
        <x:f>IF(AND(AP$3&gt;=EDATE($B$7,-MIN(6,'Вводные'!$E$88)),AP$3&lt;$B$7),$B$20/MAX(1,MIN(6,'Вводные'!$E$88)),0)</x:f>
      </x:c>
      <x:c r="AQ20" s="117" t="n">
        <x:f>IF(AND(AQ$3&gt;=EDATE($B$7,-MIN(6,'Вводные'!$E$88)),AQ$3&lt;$B$7),$B$20/MAX(1,MIN(6,'Вводные'!$E$88)),0)</x:f>
      </x:c>
      <x:c r="AR20" s="117" t="n">
        <x:f>IF(AND(AR$3&gt;=EDATE($B$7,-MIN(6,'Вводные'!$E$88)),AR$3&lt;$B$7),$B$20/MAX(1,MIN(6,'Вводные'!$E$88)),0)</x:f>
      </x:c>
      <x:c r="AS20" s="117" t="n">
        <x:f>IF(AND(AS$3&gt;=EDATE($B$7,-MIN(6,'Вводные'!$E$88)),AS$3&lt;$B$7),$B$20/MAX(1,MIN(6,'Вводные'!$E$88)),0)</x:f>
      </x:c>
      <x:c r="AT20" s="117" t="n">
        <x:f>IF(AND(AT$3&gt;=EDATE($B$7,-MIN(6,'Вводные'!$E$88)),AT$3&lt;$B$7),$B$20/MAX(1,MIN(6,'Вводные'!$E$88)),0)</x:f>
      </x:c>
      <x:c r="AU20" s="117" t="n">
        <x:f>IF(AND(AU$3&gt;=EDATE($B$7,-MIN(6,'Вводные'!$E$88)),AU$3&lt;$B$7),$B$20/MAX(1,MIN(6,'Вводные'!$E$88)),0)</x:f>
      </x:c>
      <x:c r="AV20" s="117" t="n">
        <x:f>IF(AND(AV$3&gt;=EDATE($B$7,-MIN(6,'Вводные'!$E$88)),AV$3&lt;$B$7),$B$20/MAX(1,MIN(6,'Вводные'!$E$88)),0)</x:f>
      </x:c>
      <x:c r="AW20" s="117" t="n">
        <x:f>IF(AND(AW$3&gt;=EDATE($B$7,-MIN(6,'Вводные'!$E$88)),AW$3&lt;$B$7),$B$20/MAX(1,MIN(6,'Вводные'!$E$88)),0)</x:f>
      </x:c>
      <x:c r="AX20" s="117" t="n">
        <x:f>IF(AND(AX$3&gt;=EDATE($B$7,-MIN(6,'Вводные'!$E$88)),AX$3&lt;$B$7),$B$20/MAX(1,MIN(6,'Вводные'!$E$88)),0)</x:f>
      </x:c>
      <x:c r="AY20" s="117" t="n">
        <x:f>IF(AND(AY$3&gt;=EDATE($B$7,-MIN(6,'Вводные'!$E$88)),AY$3&lt;$B$7),$B$20/MAX(1,MIN(6,'Вводные'!$E$88)),0)</x:f>
      </x:c>
      <x:c r="AZ20" s="117" t="n">
        <x:f>IF(AND(AZ$3&gt;=EDATE($B$7,-MIN(6,'Вводные'!$E$88)),AZ$3&lt;$B$7),$B$20/MAX(1,MIN(6,'Вводные'!$E$88)),0)</x:f>
      </x:c>
      <x:c r="BA20" s="117" t="n">
        <x:f>IF(AND(BA$3&gt;=EDATE($B$7,-MIN(6,'Вводные'!$E$88)),BA$3&lt;$B$7),$B$20/MAX(1,MIN(6,'Вводные'!$E$88)),0)</x:f>
      </x:c>
      <x:c r="BB20" s="117" t="n">
        <x:f>IF(AND(BB$3&gt;=EDATE($B$7,-MIN(6,'Вводные'!$E$88)),BB$3&lt;$B$7),$B$20/MAX(1,MIN(6,'Вводные'!$E$88)),0)</x:f>
      </x:c>
      <x:c r="BC20" s="117" t="n">
        <x:f>IF(AND(BC$3&gt;=EDATE($B$7,-MIN(6,'Вводные'!$E$88)),BC$3&lt;$B$7),$B$20/MAX(1,MIN(6,'Вводные'!$E$88)),0)</x:f>
      </x:c>
      <x:c r="BD20" s="117" t="n">
        <x:f>IF(AND(BD$3&gt;=EDATE($B$7,-MIN(6,'Вводные'!$E$88)),BD$3&lt;$B$7),$B$20/MAX(1,MIN(6,'Вводные'!$E$88)),0)</x:f>
      </x:c>
      <x:c r="BE20" s="117" t="n">
        <x:f>IF(AND(BE$3&gt;=EDATE($B$7,-MIN(6,'Вводные'!$E$88)),BE$3&lt;$B$7),$B$20/MAX(1,MIN(6,'Вводные'!$E$88)),0)</x:f>
      </x:c>
      <x:c r="BF20" s="117" t="n">
        <x:f>IF(AND(BF$3&gt;=EDATE($B$7,-MIN(6,'Вводные'!$E$88)),BF$3&lt;$B$7),$B$20/MAX(1,MIN(6,'Вводные'!$E$88)),0)</x:f>
      </x:c>
      <x:c r="BG20" s="117" t="n">
        <x:f>IF(AND(BG$3&gt;=EDATE($B$7,-MIN(6,'Вводные'!$E$88)),BG$3&lt;$B$7),$B$20/MAX(1,MIN(6,'Вводные'!$E$88)),0)</x:f>
      </x:c>
      <x:c r="BH20" s="117" t="n">
        <x:f>IF(AND(BH$3&gt;=EDATE($B$7,-MIN(6,'Вводные'!$E$88)),BH$3&lt;$B$7),$B$20/MAX(1,MIN(6,'Вводные'!$E$88)),0)</x:f>
      </x:c>
      <x:c r="BI20" s="117" t="n">
        <x:f>IF(AND(BI$3&gt;=EDATE($B$7,-MIN(6,'Вводные'!$E$88)),BI$3&lt;$B$7),$B$20/MAX(1,MIN(6,'Вводные'!$E$88)),0)</x:f>
      </x:c>
      <x:c r="BJ20" s="117" t="n">
        <x:f>IF(AND(BJ$3&gt;=EDATE($B$7,-MIN(6,'Вводные'!$E$88)),BJ$3&lt;$B$7),$B$20/MAX(1,MIN(6,'Вводные'!$E$88)),0)</x:f>
      </x:c>
      <x:c r="BK20" s="117" t="n">
        <x:f>IF(AND(BK$3&gt;=EDATE($B$7,-MIN(6,'Вводные'!$E$88)),BK$3&lt;$B$7),$B$20/MAX(1,MIN(6,'Вводные'!$E$88)),0)</x:f>
      </x:c>
      <x:c r="BL20" s="117" t="n">
        <x:f>IF(AND(BL$3&gt;=EDATE($B$7,-MIN(6,'Вводные'!$E$88)),BL$3&lt;$B$7),$B$20/MAX(1,MIN(6,'Вводные'!$E$88)),0)</x:f>
      </x:c>
      <x:c r="BM20" s="117" t="n">
        <x:f>IF(AND(BM$3&gt;=EDATE($B$7,-MIN(6,'Вводные'!$E$88)),BM$3&lt;$B$7),$B$20/MAX(1,MIN(6,'Вводные'!$E$88)),0)</x:f>
      </x:c>
      <x:c r="BN20" s="117" t="n">
        <x:f>IF(AND(BN$3&gt;=EDATE($B$7,-MIN(6,'Вводные'!$E$88)),BN$3&lt;$B$7),$B$20/MAX(1,MIN(6,'Вводные'!$E$88)),0)</x:f>
      </x:c>
      <x:c r="BO20" s="117" t="n">
        <x:f>IF(AND(BO$3&gt;=EDATE($B$7,-MIN(6,'Вводные'!$E$88)),BO$3&lt;$B$7),$B$20/MAX(1,MIN(6,'Вводные'!$E$88)),0)</x:f>
      </x:c>
      <x:c r="BP20" s="117" t="n">
        <x:f>IF(AND(BP$3&gt;=EDATE($B$7,-MIN(6,'Вводные'!$E$88)),BP$3&lt;$B$7),$B$20/MAX(1,MIN(6,'Вводные'!$E$88)),0)</x:f>
      </x:c>
      <x:c r="BQ20" s="117" t="n">
        <x:f>IF(AND(BQ$3&gt;=EDATE($B$7,-MIN(6,'Вводные'!$E$88)),BQ$3&lt;$B$7),$B$20/MAX(1,MIN(6,'Вводные'!$E$88)),0)</x:f>
      </x:c>
      <x:c r="BR20" s="117" t="n">
        <x:f>IF(AND(BR$3&gt;=EDATE($B$7,-MIN(6,'Вводные'!$E$88)),BR$3&lt;$B$7),$B$20/MAX(1,MIN(6,'Вводные'!$E$88)),0)</x:f>
      </x:c>
      <x:c r="BS20" s="117" t="n">
        <x:f>IF(AND(BS$3&gt;=EDATE($B$7,-MIN(6,'Вводные'!$E$88)),BS$3&lt;$B$7),$B$20/MAX(1,MIN(6,'Вводные'!$E$88)),0)</x:f>
      </x:c>
      <x:c r="BT20" s="117" t="n">
        <x:f>IF(AND(BT$3&gt;=EDATE($B$7,-MIN(6,'Вводные'!$E$88)),BT$3&lt;$B$7),$B$20/MAX(1,MIN(6,'Вводные'!$E$88)),0)</x:f>
      </x:c>
      <x:c r="BU20" s="117" t="n">
        <x:f>IF(AND(BU$3&gt;=EDATE($B$7,-MIN(6,'Вводные'!$E$88)),BU$3&lt;$B$7),$B$20/MAX(1,MIN(6,'Вводные'!$E$88)),0)</x:f>
      </x:c>
      <x:c r="BV20" s="117" t="n">
        <x:f>IF(AND(BV$3&gt;=EDATE($B$7,-MIN(6,'Вводные'!$E$88)),BV$3&lt;$B$7),$B$20/MAX(1,MIN(6,'Вводные'!$E$88)),0)</x:f>
      </x:c>
      <x:c r="BW20" s="117" t="n">
        <x:f>IF(AND(BW$3&gt;=EDATE($B$7,-MIN(6,'Вводные'!$E$88)),BW$3&lt;$B$7),$B$20/MAX(1,MIN(6,'Вводные'!$E$88)),0)</x:f>
      </x:c>
      <x:c r="BX20" s="117" t="n">
        <x:f>IF(AND(BX$3&gt;=EDATE($B$7,-MIN(6,'Вводные'!$E$88)),BX$3&lt;$B$7),$B$20/MAX(1,MIN(6,'Вводные'!$E$88)),0)</x:f>
      </x:c>
      <x:c r="BY20" s="117" t="n">
        <x:f>IF(AND(BY$3&gt;=EDATE($B$7,-MIN(6,'Вводные'!$E$88)),BY$3&lt;$B$7),$B$20/MAX(1,MIN(6,'Вводные'!$E$88)),0)</x:f>
      </x:c>
      <x:c r="BZ20" s="117" t="n">
        <x:f>IF(AND(BZ$3&gt;=EDATE($B$7,-MIN(6,'Вводные'!$E$88)),BZ$3&lt;$B$7),$B$20/MAX(1,MIN(6,'Вводные'!$E$88)),0)</x:f>
      </x:c>
      <x:c r="CA20" s="117" t="n">
        <x:f>IF(AND(CA$3&gt;=EDATE($B$7,-MIN(6,'Вводные'!$E$88)),CA$3&lt;$B$7),$B$20/MAX(1,MIN(6,'Вводные'!$E$88)),0)</x:f>
      </x:c>
      <x:c r="CB20" s="117" t="n">
        <x:f>IF(AND(CB$3&gt;=EDATE($B$7,-MIN(6,'Вводные'!$E$88)),CB$3&lt;$B$7),$B$20/MAX(1,MIN(6,'Вводные'!$E$88)),0)</x:f>
      </x:c>
      <x:c r="CC20" s="117" t="n">
        <x:f>IF(AND(CC$3&gt;=EDATE($B$7,-MIN(6,'Вводные'!$E$88)),CC$3&lt;$B$7),$B$20/MAX(1,MIN(6,'Вводные'!$E$88)),0)</x:f>
      </x:c>
      <x:c r="CD20" s="117" t="n">
        <x:f>IF(AND(CD$3&gt;=EDATE($B$7,-MIN(6,'Вводные'!$E$88)),CD$3&lt;$B$7),$B$20/MAX(1,MIN(6,'Вводные'!$E$88)),0)</x:f>
      </x:c>
      <x:c r="CE20" s="117" t="n">
        <x:f>IF(AND(CE$3&gt;=EDATE($B$7,-MIN(6,'Вводные'!$E$88)),CE$3&lt;$B$7),$B$20/MAX(1,MIN(6,'Вводные'!$E$88)),0)</x:f>
      </x:c>
      <x:c r="CF20" s="117" t="n">
        <x:f>IF(AND(CF$3&gt;=EDATE($B$7,-MIN(6,'Вводные'!$E$88)),CF$3&lt;$B$7),$B$20/MAX(1,MIN(6,'Вводные'!$E$88)),0)</x:f>
      </x:c>
      <x:c r="CG20" s="117" t="n">
        <x:f>IF(AND(CG$3&gt;=EDATE($B$7,-MIN(6,'Вводные'!$E$88)),CG$3&lt;$B$7),$B$20/MAX(1,MIN(6,'Вводные'!$E$88)),0)</x:f>
      </x:c>
      <x:c r="CH20" s="117" t="n">
        <x:f>IF(AND(CH$3&gt;=EDATE($B$7,-MIN(6,'Вводные'!$E$88)),CH$3&lt;$B$7),$B$20/MAX(1,MIN(6,'Вводные'!$E$88)),0)</x:f>
      </x:c>
      <x:c r="CI20" s="117" t="n">
        <x:f>IF(AND(CI$3&gt;=EDATE($B$7,-MIN(6,'Вводные'!$E$88)),CI$3&lt;$B$7),$B$20/MAX(1,MIN(6,'Вводные'!$E$88)),0)</x:f>
      </x:c>
      <x:c r="CJ20" s="117" t="n">
        <x:f>IF(AND(CJ$3&gt;=EDATE($B$7,-MIN(6,'Вводные'!$E$88)),CJ$3&lt;$B$7),$B$20/MAX(1,MIN(6,'Вводные'!$E$88)),0)</x:f>
      </x:c>
      <x:c r="CK20" s="117" t="n">
        <x:f>IF(AND(CK$3&gt;=EDATE($B$7,-MIN(6,'Вводные'!$E$88)),CK$3&lt;$B$7),$B$20/MAX(1,MIN(6,'Вводные'!$E$88)),0)</x:f>
      </x:c>
      <x:c r="CL20" s="117" t="n">
        <x:f>IF(AND(CL$3&gt;=EDATE($B$7,-MIN(6,'Вводные'!$E$88)),CL$3&lt;$B$7),$B$20/MAX(1,MIN(6,'Вводные'!$E$88)),0)</x:f>
      </x:c>
      <x:c r="CM20" s="117" t="n">
        <x:f>IF(AND(CM$3&gt;=EDATE($B$7,-MIN(6,'Вводные'!$E$88)),CM$3&lt;$B$7),$B$20/MAX(1,MIN(6,'Вводные'!$E$88)),0)</x:f>
      </x:c>
      <x:c r="CN20" s="117" t="n">
        <x:f>IF(AND(CN$3&gt;=EDATE($B$7,-MIN(6,'Вводные'!$E$88)),CN$3&lt;$B$7),$B$20/MAX(1,MIN(6,'Вводные'!$E$88)),0)</x:f>
      </x:c>
      <x:c r="CO20" s="117" t="n">
        <x:f>IF(AND(CO$3&gt;=EDATE($B$7,-MIN(6,'Вводные'!$E$88)),CO$3&lt;$B$7),$B$20/MAX(1,MIN(6,'Вводные'!$E$88)),0)</x:f>
      </x:c>
      <x:c r="CP20" s="117" t="n">
        <x:f>IF(AND(CP$3&gt;=EDATE($B$7,-MIN(6,'Вводные'!$E$88)),CP$3&lt;$B$7),$B$20/MAX(1,MIN(6,'Вводные'!$E$88)),0)</x:f>
      </x:c>
      <x:c r="CQ20" s="117" t="n">
        <x:f>IF(AND(CQ$3&gt;=EDATE($B$7,-MIN(6,'Вводные'!$E$88)),CQ$3&lt;$B$7),$B$20/MAX(1,MIN(6,'Вводные'!$E$88)),0)</x:f>
      </x:c>
      <x:c r="CR20" s="117" t="n">
        <x:f>IF(AND(CR$3&gt;=EDATE($B$7,-MIN(6,'Вводные'!$E$88)),CR$3&lt;$B$7),$B$20/MAX(1,MIN(6,'Вводные'!$E$88)),0)</x:f>
      </x:c>
      <x:c r="CS20" s="117" t="n">
        <x:f>IF(AND(CS$3&gt;=EDATE($B$7,-MIN(6,'Вводные'!$E$88)),CS$3&lt;$B$7),$B$20/MAX(1,MIN(6,'Вводные'!$E$88)),0)</x:f>
      </x:c>
      <x:c r="CT20" s="117" t="n">
        <x:f>IF(AND(CT$3&gt;=EDATE($B$7,-MIN(6,'Вводные'!$E$88)),CT$3&lt;$B$7),$B$20/MAX(1,MIN(6,'Вводные'!$E$88)),0)</x:f>
      </x:c>
      <x:c r="CU20" s="117" t="n">
        <x:f>IF(AND(CU$3&gt;=EDATE($B$7,-MIN(6,'Вводные'!$E$88)),CU$3&lt;$B$7),$B$20/MAX(1,MIN(6,'Вводные'!$E$88)),0)</x:f>
      </x:c>
      <x:c r="CV20" s="117" t="n">
        <x:f>IF(AND(CV$3&gt;=EDATE($B$7,-MIN(6,'Вводные'!$E$88)),CV$3&lt;$B$7),$B$20/MAX(1,MIN(6,'Вводные'!$E$88)),0)</x:f>
      </x:c>
      <x:c r="CW20" s="117" t="n">
        <x:f>IF(AND(CW$3&gt;=EDATE($B$7,-MIN(6,'Вводные'!$E$88)),CW$3&lt;$B$7),$B$20/MAX(1,MIN(6,'Вводные'!$E$88)),0)</x:f>
      </x:c>
      <x:c r="CX20" s="117" t="n">
        <x:f>IF(AND(CX$3&gt;=EDATE($B$7,-MIN(6,'Вводные'!$E$88)),CX$3&lt;$B$7),$B$20/MAX(1,MIN(6,'Вводные'!$E$88)),0)</x:f>
      </x:c>
      <x:c r="CY20" s="117" t="n">
        <x:f>IF(AND(CY$3&gt;=EDATE($B$7,-MIN(6,'Вводные'!$E$88)),CY$3&lt;$B$7),$B$20/MAX(1,MIN(6,'Вводные'!$E$88)),0)</x:f>
      </x:c>
      <x:c r="CZ20" s="117" t="n">
        <x:f>IF(AND(CZ$3&gt;=EDATE($B$7,-MIN(6,'Вводные'!$E$88)),CZ$3&lt;$B$7),$B$20/MAX(1,MIN(6,'Вводные'!$E$88)),0)</x:f>
      </x:c>
      <x:c r="DA20" s="117" t="n">
        <x:f>IF(AND(DA$3&gt;=EDATE($B$7,-MIN(6,'Вводные'!$E$88)),DA$3&lt;$B$7),$B$20/MAX(1,MIN(6,'Вводные'!$E$88)),0)</x:f>
      </x:c>
      <x:c r="DB20" s="117" t="n">
        <x:f>IF(AND(DB$3&gt;=EDATE($B$7,-MIN(6,'Вводные'!$E$88)),DB$3&lt;$B$7),$B$20/MAX(1,MIN(6,'Вводные'!$E$88)),0)</x:f>
      </x:c>
      <x:c r="DC20" s="117" t="n">
        <x:f>IF(AND(DC$3&gt;=EDATE($B$7,-MIN(6,'Вводные'!$E$88)),DC$3&lt;$B$7),$B$20/MAX(1,MIN(6,'Вводные'!$E$88)),0)</x:f>
      </x:c>
      <x:c r="DD20" s="117" t="n">
        <x:f>IF(AND(DD$3&gt;=EDATE($B$7,-MIN(6,'Вводные'!$E$88)),DD$3&lt;$B$7),$B$20/MAX(1,MIN(6,'Вводные'!$E$88)),0)</x:f>
      </x:c>
      <x:c r="DE20" s="117" t="n">
        <x:f>IF(AND(DE$3&gt;=EDATE($B$7,-MIN(6,'Вводные'!$E$88)),DE$3&lt;$B$7),$B$20/MAX(1,MIN(6,'Вводные'!$E$88)),0)</x:f>
      </x:c>
      <x:c r="DF20" s="117" t="n">
        <x:f>IF(AND(DF$3&gt;=EDATE($B$7,-MIN(6,'Вводные'!$E$88)),DF$3&lt;$B$7),$B$20/MAX(1,MIN(6,'Вводные'!$E$88)),0)</x:f>
      </x:c>
      <x:c r="DG20" s="117" t="n">
        <x:f>IF(AND(DG$3&gt;=EDATE($B$7,-MIN(6,'Вводные'!$E$88)),DG$3&lt;$B$7),$B$20/MAX(1,MIN(6,'Вводные'!$E$88)),0)</x:f>
      </x:c>
      <x:c r="DH20" s="117" t="n">
        <x:f>IF(AND(DH$3&gt;=EDATE($B$7,-MIN(6,'Вводные'!$E$88)),DH$3&lt;$B$7),$B$20/MAX(1,MIN(6,'Вводные'!$E$88)),0)</x:f>
      </x:c>
      <x:c r="DI20" s="117" t="n">
        <x:f>IF(AND(DI$3&gt;=EDATE($B$7,-MIN(6,'Вводные'!$E$88)),DI$3&lt;$B$7),$B$20/MAX(1,MIN(6,'Вводные'!$E$88)),0)</x:f>
      </x:c>
      <x:c r="DJ20" s="117" t="n">
        <x:f>IF(AND(DJ$3&gt;=EDATE($B$7,-MIN(6,'Вводные'!$E$88)),DJ$3&lt;$B$7),$B$20/MAX(1,MIN(6,'Вводные'!$E$88)),0)</x:f>
      </x:c>
      <x:c r="DK20" s="117" t="n">
        <x:f>IF(AND(DK$3&gt;=EDATE($B$7,-MIN(6,'Вводные'!$E$88)),DK$3&lt;$B$7),$B$20/MAX(1,MIN(6,'Вводные'!$E$88)),0)</x:f>
      </x:c>
      <x:c r="DL20" s="117" t="n">
        <x:f>IF(AND(DL$3&gt;=EDATE($B$7,-MIN(6,'Вводные'!$E$88)),DL$3&lt;$B$7),$B$20/MAX(1,MIN(6,'Вводные'!$E$88)),0)</x:f>
      </x:c>
      <x:c r="DM20" s="117" t="n">
        <x:f>IF(AND(DM$3&gt;=EDATE($B$7,-MIN(6,'Вводные'!$E$88)),DM$3&lt;$B$7),$B$20/MAX(1,MIN(6,'Вводные'!$E$88)),0)</x:f>
      </x:c>
      <x:c r="DN20" s="117" t="n">
        <x:f>IF(AND(DN$3&gt;=EDATE($B$7,-MIN(6,'Вводные'!$E$88)),DN$3&lt;$B$7),$B$20/MAX(1,MIN(6,'Вводные'!$E$88)),0)</x:f>
      </x:c>
      <x:c r="DO20" s="117" t="n">
        <x:f>IF(AND(DO$3&gt;=EDATE($B$7,-MIN(6,'Вводные'!$E$88)),DO$3&lt;$B$7),$B$20/MAX(1,MIN(6,'Вводные'!$E$88)),0)</x:f>
      </x:c>
      <x:c r="DP20" s="117" t="n">
        <x:f>IF(AND(DP$3&gt;=EDATE($B$7,-MIN(6,'Вводные'!$E$88)),DP$3&lt;$B$7),$B$20/MAX(1,MIN(6,'Вводные'!$E$88)),0)</x:f>
      </x:c>
      <x:c r="DQ20" s="117" t="n">
        <x:f>IF(AND(DQ$3&gt;=EDATE($B$7,-MIN(6,'Вводные'!$E$88)),DQ$3&lt;$B$7),$B$20/MAX(1,MIN(6,'Вводные'!$E$88)),0)</x:f>
      </x:c>
      <x:c r="DR20" s="117" t="n">
        <x:f>IF(AND(DR$3&gt;=EDATE($B$7,-MIN(6,'Вводные'!$E$88)),DR$3&lt;$B$7),$B$20/MAX(1,MIN(6,'Вводные'!$E$88)),0)</x:f>
      </x:c>
      <x:c r="DS20" s="117" t="n">
        <x:f>IF(AND(DS$3&gt;=EDATE($B$7,-MIN(6,'Вводные'!$E$88)),DS$3&lt;$B$7),$B$20/MAX(1,MIN(6,'Вводные'!$E$88)),0)</x:f>
      </x:c>
    </x:row>
    <x:row r="21">
      <x:c r="A21" t="str">
        <x:v>Основное строительство — наземная часть</x:v>
      </x:c>
      <x:c r="B21" s="107" t="n">
        <x:f>(('Вводные'!$I$88+'Вводные'!$J$88)*'Вводные'!$B$44/1000*'Вводные'!$H$6*'Вводные'!$T$88*--('Вводные'!$B$88="Да"))*'Вводные'!$AH$88</x:f>
      </x:c>
      <x:c r="C21" t="str">
        <x:v>млн ₽</x:v>
      </x:c>
      <x:c r="D21" s="117" t="n">
        <x:f>$B$21*D13</x:f>
      </x:c>
      <x:c r="E21" s="117" t="n">
        <x:f>$B$21*E13</x:f>
      </x:c>
      <x:c r="F21" s="117" t="n">
        <x:f>$B$21*F13</x:f>
      </x:c>
      <x:c r="G21" s="117" t="n">
        <x:f>$B$21*G13</x:f>
      </x:c>
      <x:c r="H21" s="117" t="n">
        <x:f>$B$21*H13</x:f>
      </x:c>
      <x:c r="I21" s="117" t="n">
        <x:f>$B$21*I13</x:f>
      </x:c>
      <x:c r="J21" s="117" t="n">
        <x:f>$B$21*J13</x:f>
      </x:c>
      <x:c r="K21" s="117" t="n">
        <x:f>$B$21*K13</x:f>
      </x:c>
      <x:c r="L21" s="117" t="n">
        <x:f>$B$21*L13</x:f>
      </x:c>
      <x:c r="M21" s="117" t="n">
        <x:f>$B$21*M13</x:f>
      </x:c>
      <x:c r="N21" s="117" t="n">
        <x:f>$B$21*N13</x:f>
      </x:c>
      <x:c r="O21" s="117" t="n">
        <x:f>$B$21*O13</x:f>
      </x:c>
      <x:c r="P21" s="117" t="n">
        <x:f>$B$21*P13</x:f>
      </x:c>
      <x:c r="Q21" s="117" t="n">
        <x:f>$B$21*Q13</x:f>
      </x:c>
      <x:c r="R21" s="117" t="n">
        <x:f>$B$21*R13</x:f>
      </x:c>
      <x:c r="S21" s="117" t="n">
        <x:f>$B$21*S13</x:f>
      </x:c>
      <x:c r="T21" s="117" t="n">
        <x:f>$B$21*T13</x:f>
      </x:c>
      <x:c r="U21" s="117" t="n">
        <x:f>$B$21*U13</x:f>
      </x:c>
      <x:c r="V21" s="117" t="n">
        <x:f>$B$21*V13</x:f>
      </x:c>
      <x:c r="W21" s="117" t="n">
        <x:f>$B$21*W13</x:f>
      </x:c>
      <x:c r="X21" s="117" t="n">
        <x:f>$B$21*X13</x:f>
      </x:c>
      <x:c r="Y21" s="117" t="n">
        <x:f>$B$21*Y13</x:f>
      </x:c>
      <x:c r="Z21" s="117" t="n">
        <x:f>$B$21*Z13</x:f>
      </x:c>
      <x:c r="AA21" s="117" t="n">
        <x:f>$B$21*AA13</x:f>
      </x:c>
      <x:c r="AB21" s="117" t="n">
        <x:f>$B$21*AB13</x:f>
      </x:c>
      <x:c r="AC21" s="117" t="n">
        <x:f>$B$21*AC13</x:f>
      </x:c>
      <x:c r="AD21" s="117" t="n">
        <x:f>$B$21*AD13</x:f>
      </x:c>
      <x:c r="AE21" s="117" t="n">
        <x:f>$B$21*AE13</x:f>
      </x:c>
      <x:c r="AF21" s="117" t="n">
        <x:f>$B$21*AF13</x:f>
      </x:c>
      <x:c r="AG21" s="117" t="n">
        <x:f>$B$21*AG13</x:f>
      </x:c>
      <x:c r="AH21" s="117" t="n">
        <x:f>$B$21*AH13</x:f>
      </x:c>
      <x:c r="AI21" s="117" t="n">
        <x:f>$B$21*AI13</x:f>
      </x:c>
      <x:c r="AJ21" s="117" t="n">
        <x:f>$B$21*AJ13</x:f>
      </x:c>
      <x:c r="AK21" s="117" t="n">
        <x:f>$B$21*AK13</x:f>
      </x:c>
      <x:c r="AL21" s="117" t="n">
        <x:f>$B$21*AL13</x:f>
      </x:c>
      <x:c r="AM21" s="117" t="n">
        <x:f>$B$21*AM13</x:f>
      </x:c>
      <x:c r="AN21" s="117" t="n">
        <x:f>$B$21*AN13</x:f>
      </x:c>
      <x:c r="AO21" s="117" t="n">
        <x:f>$B$21*AO13</x:f>
      </x:c>
      <x:c r="AP21" s="117" t="n">
        <x:f>$B$21*AP13</x:f>
      </x:c>
      <x:c r="AQ21" s="117" t="n">
        <x:f>$B$21*AQ13</x:f>
      </x:c>
      <x:c r="AR21" s="117" t="n">
        <x:f>$B$21*AR13</x:f>
      </x:c>
      <x:c r="AS21" s="117" t="n">
        <x:f>$B$21*AS13</x:f>
      </x:c>
      <x:c r="AT21" s="117" t="n">
        <x:f>$B$21*AT13</x:f>
      </x:c>
      <x:c r="AU21" s="117" t="n">
        <x:f>$B$21*AU13</x:f>
      </x:c>
      <x:c r="AV21" s="117" t="n">
        <x:f>$B$21*AV13</x:f>
      </x:c>
      <x:c r="AW21" s="117" t="n">
        <x:f>$B$21*AW13</x:f>
      </x:c>
      <x:c r="AX21" s="117" t="n">
        <x:f>$B$21*AX13</x:f>
      </x:c>
      <x:c r="AY21" s="117" t="n">
        <x:f>$B$21*AY13</x:f>
      </x:c>
      <x:c r="AZ21" s="117" t="n">
        <x:f>$B$21*AZ13</x:f>
      </x:c>
      <x:c r="BA21" s="117" t="n">
        <x:f>$B$21*BA13</x:f>
      </x:c>
      <x:c r="BB21" s="117" t="n">
        <x:f>$B$21*BB13</x:f>
      </x:c>
      <x:c r="BC21" s="117" t="n">
        <x:f>$B$21*BC13</x:f>
      </x:c>
      <x:c r="BD21" s="117" t="n">
        <x:f>$B$21*BD13</x:f>
      </x:c>
      <x:c r="BE21" s="117" t="n">
        <x:f>$B$21*BE13</x:f>
      </x:c>
      <x:c r="BF21" s="117" t="n">
        <x:f>$B$21*BF13</x:f>
      </x:c>
      <x:c r="BG21" s="117" t="n">
        <x:f>$B$21*BG13</x:f>
      </x:c>
      <x:c r="BH21" s="117" t="n">
        <x:f>$B$21*BH13</x:f>
      </x:c>
      <x:c r="BI21" s="117" t="n">
        <x:f>$B$21*BI13</x:f>
      </x:c>
      <x:c r="BJ21" s="117" t="n">
        <x:f>$B$21*BJ13</x:f>
      </x:c>
      <x:c r="BK21" s="117" t="n">
        <x:f>$B$21*BK13</x:f>
      </x:c>
      <x:c r="BL21" s="117" t="n">
        <x:f>$B$21*BL13</x:f>
      </x:c>
      <x:c r="BM21" s="117" t="n">
        <x:f>$B$21*BM13</x:f>
      </x:c>
      <x:c r="BN21" s="117" t="n">
        <x:f>$B$21*BN13</x:f>
      </x:c>
      <x:c r="BO21" s="117" t="n">
        <x:f>$B$21*BO13</x:f>
      </x:c>
      <x:c r="BP21" s="117" t="n">
        <x:f>$B$21*BP13</x:f>
      </x:c>
      <x:c r="BQ21" s="117" t="n">
        <x:f>$B$21*BQ13</x:f>
      </x:c>
      <x:c r="BR21" s="117" t="n">
        <x:f>$B$21*BR13</x:f>
      </x:c>
      <x:c r="BS21" s="117" t="n">
        <x:f>$B$21*BS13</x:f>
      </x:c>
      <x:c r="BT21" s="117" t="n">
        <x:f>$B$21*BT13</x:f>
      </x:c>
      <x:c r="BU21" s="117" t="n">
        <x:f>$B$21*BU13</x:f>
      </x:c>
      <x:c r="BV21" s="117" t="n">
        <x:f>$B$21*BV13</x:f>
      </x:c>
      <x:c r="BW21" s="117" t="n">
        <x:f>$B$21*BW13</x:f>
      </x:c>
      <x:c r="BX21" s="117" t="n">
        <x:f>$B$21*BX13</x:f>
      </x:c>
      <x:c r="BY21" s="117" t="n">
        <x:f>$B$21*BY13</x:f>
      </x:c>
      <x:c r="BZ21" s="117" t="n">
        <x:f>$B$21*BZ13</x:f>
      </x:c>
      <x:c r="CA21" s="117" t="n">
        <x:f>$B$21*CA13</x:f>
      </x:c>
      <x:c r="CB21" s="117" t="n">
        <x:f>$B$21*CB13</x:f>
      </x:c>
      <x:c r="CC21" s="117" t="n">
        <x:f>$B$21*CC13</x:f>
      </x:c>
      <x:c r="CD21" s="117" t="n">
        <x:f>$B$21*CD13</x:f>
      </x:c>
      <x:c r="CE21" s="117" t="n">
        <x:f>$B$21*CE13</x:f>
      </x:c>
      <x:c r="CF21" s="117" t="n">
        <x:f>$B$21*CF13</x:f>
      </x:c>
      <x:c r="CG21" s="117" t="n">
        <x:f>$B$21*CG13</x:f>
      </x:c>
      <x:c r="CH21" s="117" t="n">
        <x:f>$B$21*CH13</x:f>
      </x:c>
      <x:c r="CI21" s="117" t="n">
        <x:f>$B$21*CI13</x:f>
      </x:c>
      <x:c r="CJ21" s="117" t="n">
        <x:f>$B$21*CJ13</x:f>
      </x:c>
      <x:c r="CK21" s="117" t="n">
        <x:f>$B$21*CK13</x:f>
      </x:c>
      <x:c r="CL21" s="117" t="n">
        <x:f>$B$21*CL13</x:f>
      </x:c>
      <x:c r="CM21" s="117" t="n">
        <x:f>$B$21*CM13</x:f>
      </x:c>
      <x:c r="CN21" s="117" t="n">
        <x:f>$B$21*CN13</x:f>
      </x:c>
      <x:c r="CO21" s="117" t="n">
        <x:f>$B$21*CO13</x:f>
      </x:c>
      <x:c r="CP21" s="117" t="n">
        <x:f>$B$21*CP13</x:f>
      </x:c>
      <x:c r="CQ21" s="117" t="n">
        <x:f>$B$21*CQ13</x:f>
      </x:c>
      <x:c r="CR21" s="117" t="n">
        <x:f>$B$21*CR13</x:f>
      </x:c>
      <x:c r="CS21" s="117" t="n">
        <x:f>$B$21*CS13</x:f>
      </x:c>
      <x:c r="CT21" s="117" t="n">
        <x:f>$B$21*CT13</x:f>
      </x:c>
      <x:c r="CU21" s="117" t="n">
        <x:f>$B$21*CU13</x:f>
      </x:c>
      <x:c r="CV21" s="117" t="n">
        <x:f>$B$21*CV13</x:f>
      </x:c>
      <x:c r="CW21" s="117" t="n">
        <x:f>$B$21*CW13</x:f>
      </x:c>
      <x:c r="CX21" s="117" t="n">
        <x:f>$B$21*CX13</x:f>
      </x:c>
      <x:c r="CY21" s="117" t="n">
        <x:f>$B$21*CY13</x:f>
      </x:c>
      <x:c r="CZ21" s="117" t="n">
        <x:f>$B$21*CZ13</x:f>
      </x:c>
      <x:c r="DA21" s="117" t="n">
        <x:f>$B$21*DA13</x:f>
      </x:c>
      <x:c r="DB21" s="117" t="n">
        <x:f>$B$21*DB13</x:f>
      </x:c>
      <x:c r="DC21" s="117" t="n">
        <x:f>$B$21*DC13</x:f>
      </x:c>
      <x:c r="DD21" s="117" t="n">
        <x:f>$B$21*DD13</x:f>
      </x:c>
      <x:c r="DE21" s="117" t="n">
        <x:f>$B$21*DE13</x:f>
      </x:c>
      <x:c r="DF21" s="117" t="n">
        <x:f>$B$21*DF13</x:f>
      </x:c>
      <x:c r="DG21" s="117" t="n">
        <x:f>$B$21*DG13</x:f>
      </x:c>
      <x:c r="DH21" s="117" t="n">
        <x:f>$B$21*DH13</x:f>
      </x:c>
      <x:c r="DI21" s="117" t="n">
        <x:f>$B$21*DI13</x:f>
      </x:c>
      <x:c r="DJ21" s="117" t="n">
        <x:f>$B$21*DJ13</x:f>
      </x:c>
      <x:c r="DK21" s="117" t="n">
        <x:f>$B$21*DK13</x:f>
      </x:c>
      <x:c r="DL21" s="117" t="n">
        <x:f>$B$21*DL13</x:f>
      </x:c>
      <x:c r="DM21" s="117" t="n">
        <x:f>$B$21*DM13</x:f>
      </x:c>
      <x:c r="DN21" s="117" t="n">
        <x:f>$B$21*DN13</x:f>
      </x:c>
      <x:c r="DO21" s="117" t="n">
        <x:f>$B$21*DO13</x:f>
      </x:c>
      <x:c r="DP21" s="117" t="n">
        <x:f>$B$21*DP13</x:f>
      </x:c>
      <x:c r="DQ21" s="117" t="n">
        <x:f>$B$21*DQ13</x:f>
      </x:c>
      <x:c r="DR21" s="117" t="n">
        <x:f>$B$21*DR13</x:f>
      </x:c>
      <x:c r="DS21" s="117" t="n">
        <x:f>$B$21*DS13</x:f>
      </x:c>
    </x:row>
    <x:row r="22">
      <x:c r="A22" t="str">
        <x:v>Основное строительство — подземная часть</x:v>
      </x:c>
      <x:c r="B22" s="107" t="n">
        <x:f>('Вводные'!$K$88*'Вводные'!$B$45/1000*'Вводные'!$H$6*'Вводные'!$T$88*--('Вводные'!$B$88="Да"))*'Вводные'!$AH$88</x:f>
      </x:c>
      <x:c r="C22" t="str">
        <x:v>млн ₽</x:v>
      </x:c>
      <x:c r="D22" s="117" t="n">
        <x:f>$B$22*D13</x:f>
      </x:c>
      <x:c r="E22" s="117" t="n">
        <x:f>$B$22*E13</x:f>
      </x:c>
      <x:c r="F22" s="117" t="n">
        <x:f>$B$22*F13</x:f>
      </x:c>
      <x:c r="G22" s="117" t="n">
        <x:f>$B$22*G13</x:f>
      </x:c>
      <x:c r="H22" s="117" t="n">
        <x:f>$B$22*H13</x:f>
      </x:c>
      <x:c r="I22" s="117" t="n">
        <x:f>$B$22*I13</x:f>
      </x:c>
      <x:c r="J22" s="117" t="n">
        <x:f>$B$22*J13</x:f>
      </x:c>
      <x:c r="K22" s="117" t="n">
        <x:f>$B$22*K13</x:f>
      </x:c>
      <x:c r="L22" s="117" t="n">
        <x:f>$B$22*L13</x:f>
      </x:c>
      <x:c r="M22" s="117" t="n">
        <x:f>$B$22*M13</x:f>
      </x:c>
      <x:c r="N22" s="117" t="n">
        <x:f>$B$22*N13</x:f>
      </x:c>
      <x:c r="O22" s="117" t="n">
        <x:f>$B$22*O13</x:f>
      </x:c>
      <x:c r="P22" s="117" t="n">
        <x:f>$B$22*P13</x:f>
      </x:c>
      <x:c r="Q22" s="117" t="n">
        <x:f>$B$22*Q13</x:f>
      </x:c>
      <x:c r="R22" s="117" t="n">
        <x:f>$B$22*R13</x:f>
      </x:c>
      <x:c r="S22" s="117" t="n">
        <x:f>$B$22*S13</x:f>
      </x:c>
      <x:c r="T22" s="117" t="n">
        <x:f>$B$22*T13</x:f>
      </x:c>
      <x:c r="U22" s="117" t="n">
        <x:f>$B$22*U13</x:f>
      </x:c>
      <x:c r="V22" s="117" t="n">
        <x:f>$B$22*V13</x:f>
      </x:c>
      <x:c r="W22" s="117" t="n">
        <x:f>$B$22*W13</x:f>
      </x:c>
      <x:c r="X22" s="117" t="n">
        <x:f>$B$22*X13</x:f>
      </x:c>
      <x:c r="Y22" s="117" t="n">
        <x:f>$B$22*Y13</x:f>
      </x:c>
      <x:c r="Z22" s="117" t="n">
        <x:f>$B$22*Z13</x:f>
      </x:c>
      <x:c r="AA22" s="117" t="n">
        <x:f>$B$22*AA13</x:f>
      </x:c>
      <x:c r="AB22" s="117" t="n">
        <x:f>$B$22*AB13</x:f>
      </x:c>
      <x:c r="AC22" s="117" t="n">
        <x:f>$B$22*AC13</x:f>
      </x:c>
      <x:c r="AD22" s="117" t="n">
        <x:f>$B$22*AD13</x:f>
      </x:c>
      <x:c r="AE22" s="117" t="n">
        <x:f>$B$22*AE13</x:f>
      </x:c>
      <x:c r="AF22" s="117" t="n">
        <x:f>$B$22*AF13</x:f>
      </x:c>
      <x:c r="AG22" s="117" t="n">
        <x:f>$B$22*AG13</x:f>
      </x:c>
      <x:c r="AH22" s="117" t="n">
        <x:f>$B$22*AH13</x:f>
      </x:c>
      <x:c r="AI22" s="117" t="n">
        <x:f>$B$22*AI13</x:f>
      </x:c>
      <x:c r="AJ22" s="117" t="n">
        <x:f>$B$22*AJ13</x:f>
      </x:c>
      <x:c r="AK22" s="117" t="n">
        <x:f>$B$22*AK13</x:f>
      </x:c>
      <x:c r="AL22" s="117" t="n">
        <x:f>$B$22*AL13</x:f>
      </x:c>
      <x:c r="AM22" s="117" t="n">
        <x:f>$B$22*AM13</x:f>
      </x:c>
      <x:c r="AN22" s="117" t="n">
        <x:f>$B$22*AN13</x:f>
      </x:c>
      <x:c r="AO22" s="117" t="n">
        <x:f>$B$22*AO13</x:f>
      </x:c>
      <x:c r="AP22" s="117" t="n">
        <x:f>$B$22*AP13</x:f>
      </x:c>
      <x:c r="AQ22" s="117" t="n">
        <x:f>$B$22*AQ13</x:f>
      </x:c>
      <x:c r="AR22" s="117" t="n">
        <x:f>$B$22*AR13</x:f>
      </x:c>
      <x:c r="AS22" s="117" t="n">
        <x:f>$B$22*AS13</x:f>
      </x:c>
      <x:c r="AT22" s="117" t="n">
        <x:f>$B$22*AT13</x:f>
      </x:c>
      <x:c r="AU22" s="117" t="n">
        <x:f>$B$22*AU13</x:f>
      </x:c>
      <x:c r="AV22" s="117" t="n">
        <x:f>$B$22*AV13</x:f>
      </x:c>
      <x:c r="AW22" s="117" t="n">
        <x:f>$B$22*AW13</x:f>
      </x:c>
      <x:c r="AX22" s="117" t="n">
        <x:f>$B$22*AX13</x:f>
      </x:c>
      <x:c r="AY22" s="117" t="n">
        <x:f>$B$22*AY13</x:f>
      </x:c>
      <x:c r="AZ22" s="117" t="n">
        <x:f>$B$22*AZ13</x:f>
      </x:c>
      <x:c r="BA22" s="117" t="n">
        <x:f>$B$22*BA13</x:f>
      </x:c>
      <x:c r="BB22" s="117" t="n">
        <x:f>$B$22*BB13</x:f>
      </x:c>
      <x:c r="BC22" s="117" t="n">
        <x:f>$B$22*BC13</x:f>
      </x:c>
      <x:c r="BD22" s="117" t="n">
        <x:f>$B$22*BD13</x:f>
      </x:c>
      <x:c r="BE22" s="117" t="n">
        <x:f>$B$22*BE13</x:f>
      </x:c>
      <x:c r="BF22" s="117" t="n">
        <x:f>$B$22*BF13</x:f>
      </x:c>
      <x:c r="BG22" s="117" t="n">
        <x:f>$B$22*BG13</x:f>
      </x:c>
      <x:c r="BH22" s="117" t="n">
        <x:f>$B$22*BH13</x:f>
      </x:c>
      <x:c r="BI22" s="117" t="n">
        <x:f>$B$22*BI13</x:f>
      </x:c>
      <x:c r="BJ22" s="117" t="n">
        <x:f>$B$22*BJ13</x:f>
      </x:c>
      <x:c r="BK22" s="117" t="n">
        <x:f>$B$22*BK13</x:f>
      </x:c>
      <x:c r="BL22" s="117" t="n">
        <x:f>$B$22*BL13</x:f>
      </x:c>
      <x:c r="BM22" s="117" t="n">
        <x:f>$B$22*BM13</x:f>
      </x:c>
      <x:c r="BN22" s="117" t="n">
        <x:f>$B$22*BN13</x:f>
      </x:c>
      <x:c r="BO22" s="117" t="n">
        <x:f>$B$22*BO13</x:f>
      </x:c>
      <x:c r="BP22" s="117" t="n">
        <x:f>$B$22*BP13</x:f>
      </x:c>
      <x:c r="BQ22" s="117" t="n">
        <x:f>$B$22*BQ13</x:f>
      </x:c>
      <x:c r="BR22" s="117" t="n">
        <x:f>$B$22*BR13</x:f>
      </x:c>
      <x:c r="BS22" s="117" t="n">
        <x:f>$B$22*BS13</x:f>
      </x:c>
      <x:c r="BT22" s="117" t="n">
        <x:f>$B$22*BT13</x:f>
      </x:c>
      <x:c r="BU22" s="117" t="n">
        <x:f>$B$22*BU13</x:f>
      </x:c>
      <x:c r="BV22" s="117" t="n">
        <x:f>$B$22*BV13</x:f>
      </x:c>
      <x:c r="BW22" s="117" t="n">
        <x:f>$B$22*BW13</x:f>
      </x:c>
      <x:c r="BX22" s="117" t="n">
        <x:f>$B$22*BX13</x:f>
      </x:c>
      <x:c r="BY22" s="117" t="n">
        <x:f>$B$22*BY13</x:f>
      </x:c>
      <x:c r="BZ22" s="117" t="n">
        <x:f>$B$22*BZ13</x:f>
      </x:c>
      <x:c r="CA22" s="117" t="n">
        <x:f>$B$22*CA13</x:f>
      </x:c>
      <x:c r="CB22" s="117" t="n">
        <x:f>$B$22*CB13</x:f>
      </x:c>
      <x:c r="CC22" s="117" t="n">
        <x:f>$B$22*CC13</x:f>
      </x:c>
      <x:c r="CD22" s="117" t="n">
        <x:f>$B$22*CD13</x:f>
      </x:c>
      <x:c r="CE22" s="117" t="n">
        <x:f>$B$22*CE13</x:f>
      </x:c>
      <x:c r="CF22" s="117" t="n">
        <x:f>$B$22*CF13</x:f>
      </x:c>
      <x:c r="CG22" s="117" t="n">
        <x:f>$B$22*CG13</x:f>
      </x:c>
      <x:c r="CH22" s="117" t="n">
        <x:f>$B$22*CH13</x:f>
      </x:c>
      <x:c r="CI22" s="117" t="n">
        <x:f>$B$22*CI13</x:f>
      </x:c>
      <x:c r="CJ22" s="117" t="n">
        <x:f>$B$22*CJ13</x:f>
      </x:c>
      <x:c r="CK22" s="117" t="n">
        <x:f>$B$22*CK13</x:f>
      </x:c>
      <x:c r="CL22" s="117" t="n">
        <x:f>$B$22*CL13</x:f>
      </x:c>
      <x:c r="CM22" s="117" t="n">
        <x:f>$B$22*CM13</x:f>
      </x:c>
      <x:c r="CN22" s="117" t="n">
        <x:f>$B$22*CN13</x:f>
      </x:c>
      <x:c r="CO22" s="117" t="n">
        <x:f>$B$22*CO13</x:f>
      </x:c>
      <x:c r="CP22" s="117" t="n">
        <x:f>$B$22*CP13</x:f>
      </x:c>
      <x:c r="CQ22" s="117" t="n">
        <x:f>$B$22*CQ13</x:f>
      </x:c>
      <x:c r="CR22" s="117" t="n">
        <x:f>$B$22*CR13</x:f>
      </x:c>
      <x:c r="CS22" s="117" t="n">
        <x:f>$B$22*CS13</x:f>
      </x:c>
      <x:c r="CT22" s="117" t="n">
        <x:f>$B$22*CT13</x:f>
      </x:c>
      <x:c r="CU22" s="117" t="n">
        <x:f>$B$22*CU13</x:f>
      </x:c>
      <x:c r="CV22" s="117" t="n">
        <x:f>$B$22*CV13</x:f>
      </x:c>
      <x:c r="CW22" s="117" t="n">
        <x:f>$B$22*CW13</x:f>
      </x:c>
      <x:c r="CX22" s="117" t="n">
        <x:f>$B$22*CX13</x:f>
      </x:c>
      <x:c r="CY22" s="117" t="n">
        <x:f>$B$22*CY13</x:f>
      </x:c>
      <x:c r="CZ22" s="117" t="n">
        <x:f>$B$22*CZ13</x:f>
      </x:c>
      <x:c r="DA22" s="117" t="n">
        <x:f>$B$22*DA13</x:f>
      </x:c>
      <x:c r="DB22" s="117" t="n">
        <x:f>$B$22*DB13</x:f>
      </x:c>
      <x:c r="DC22" s="117" t="n">
        <x:f>$B$22*DC13</x:f>
      </x:c>
      <x:c r="DD22" s="117" t="n">
        <x:f>$B$22*DD13</x:f>
      </x:c>
      <x:c r="DE22" s="117" t="n">
        <x:f>$B$22*DE13</x:f>
      </x:c>
      <x:c r="DF22" s="117" t="n">
        <x:f>$B$22*DF13</x:f>
      </x:c>
      <x:c r="DG22" s="117" t="n">
        <x:f>$B$22*DG13</x:f>
      </x:c>
      <x:c r="DH22" s="117" t="n">
        <x:f>$B$22*DH13</x:f>
      </x:c>
      <x:c r="DI22" s="117" t="n">
        <x:f>$B$22*DI13</x:f>
      </x:c>
      <x:c r="DJ22" s="117" t="n">
        <x:f>$B$22*DJ13</x:f>
      </x:c>
      <x:c r="DK22" s="117" t="n">
        <x:f>$B$22*DK13</x:f>
      </x:c>
      <x:c r="DL22" s="117" t="n">
        <x:f>$B$22*DL13</x:f>
      </x:c>
      <x:c r="DM22" s="117" t="n">
        <x:f>$B$22*DM13</x:f>
      </x:c>
      <x:c r="DN22" s="117" t="n">
        <x:f>$B$22*DN13</x:f>
      </x:c>
      <x:c r="DO22" s="117" t="n">
        <x:f>$B$22*DO13</x:f>
      </x:c>
      <x:c r="DP22" s="117" t="n">
        <x:f>$B$22*DP13</x:f>
      </x:c>
      <x:c r="DQ22" s="117" t="n">
        <x:f>$B$22*DQ13</x:f>
      </x:c>
      <x:c r="DR22" s="117" t="n">
        <x:f>$B$22*DR13</x:f>
      </x:c>
      <x:c r="DS22" s="117" t="n">
        <x:f>$B$22*DS13</x:f>
      </x:c>
    </x:row>
    <x:row r="23">
      <x:c r="A23" t="str">
        <x:v>Наружные инженерные сети</x:v>
      </x:c>
      <x:c r="B23" s="107" t="n">
        <x:f>(('Вводные'!$I$88+'Вводные'!$J$88+'Вводные'!$K$88)*'Вводные'!$B$46/1000*'Вводные'!$H$6*'Вводные'!$T$88*--('Вводные'!$B$88="Да"))*'Вводные'!$AH$88</x:f>
      </x:c>
      <x:c r="C23" t="str">
        <x:v>млн ₽</x:v>
      </x:c>
      <x:c r="D23" s="117" t="n">
        <x:f>$B$23*D13</x:f>
      </x:c>
      <x:c r="E23" s="117" t="n">
        <x:f>$B$23*E13</x:f>
      </x:c>
      <x:c r="F23" s="117" t="n">
        <x:f>$B$23*F13</x:f>
      </x:c>
      <x:c r="G23" s="117" t="n">
        <x:f>$B$23*G13</x:f>
      </x:c>
      <x:c r="H23" s="117" t="n">
        <x:f>$B$23*H13</x:f>
      </x:c>
      <x:c r="I23" s="117" t="n">
        <x:f>$B$23*I13</x:f>
      </x:c>
      <x:c r="J23" s="117" t="n">
        <x:f>$B$23*J13</x:f>
      </x:c>
      <x:c r="K23" s="117" t="n">
        <x:f>$B$23*K13</x:f>
      </x:c>
      <x:c r="L23" s="117" t="n">
        <x:f>$B$23*L13</x:f>
      </x:c>
      <x:c r="M23" s="117" t="n">
        <x:f>$B$23*M13</x:f>
      </x:c>
      <x:c r="N23" s="117" t="n">
        <x:f>$B$23*N13</x:f>
      </x:c>
      <x:c r="O23" s="117" t="n">
        <x:f>$B$23*O13</x:f>
      </x:c>
      <x:c r="P23" s="117" t="n">
        <x:f>$B$23*P13</x:f>
      </x:c>
      <x:c r="Q23" s="117" t="n">
        <x:f>$B$23*Q13</x:f>
      </x:c>
      <x:c r="R23" s="117" t="n">
        <x:f>$B$23*R13</x:f>
      </x:c>
      <x:c r="S23" s="117" t="n">
        <x:f>$B$23*S13</x:f>
      </x:c>
      <x:c r="T23" s="117" t="n">
        <x:f>$B$23*T13</x:f>
      </x:c>
      <x:c r="U23" s="117" t="n">
        <x:f>$B$23*U13</x:f>
      </x:c>
      <x:c r="V23" s="117" t="n">
        <x:f>$B$23*V13</x:f>
      </x:c>
      <x:c r="W23" s="117" t="n">
        <x:f>$B$23*W13</x:f>
      </x:c>
      <x:c r="X23" s="117" t="n">
        <x:f>$B$23*X13</x:f>
      </x:c>
      <x:c r="Y23" s="117" t="n">
        <x:f>$B$23*Y13</x:f>
      </x:c>
      <x:c r="Z23" s="117" t="n">
        <x:f>$B$23*Z13</x:f>
      </x:c>
      <x:c r="AA23" s="117" t="n">
        <x:f>$B$23*AA13</x:f>
      </x:c>
      <x:c r="AB23" s="117" t="n">
        <x:f>$B$23*AB13</x:f>
      </x:c>
      <x:c r="AC23" s="117" t="n">
        <x:f>$B$23*AC13</x:f>
      </x:c>
      <x:c r="AD23" s="117" t="n">
        <x:f>$B$23*AD13</x:f>
      </x:c>
      <x:c r="AE23" s="117" t="n">
        <x:f>$B$23*AE13</x:f>
      </x:c>
      <x:c r="AF23" s="117" t="n">
        <x:f>$B$23*AF13</x:f>
      </x:c>
      <x:c r="AG23" s="117" t="n">
        <x:f>$B$23*AG13</x:f>
      </x:c>
      <x:c r="AH23" s="117" t="n">
        <x:f>$B$23*AH13</x:f>
      </x:c>
      <x:c r="AI23" s="117" t="n">
        <x:f>$B$23*AI13</x:f>
      </x:c>
      <x:c r="AJ23" s="117" t="n">
        <x:f>$B$23*AJ13</x:f>
      </x:c>
      <x:c r="AK23" s="117" t="n">
        <x:f>$B$23*AK13</x:f>
      </x:c>
      <x:c r="AL23" s="117" t="n">
        <x:f>$B$23*AL13</x:f>
      </x:c>
      <x:c r="AM23" s="117" t="n">
        <x:f>$B$23*AM13</x:f>
      </x:c>
      <x:c r="AN23" s="117" t="n">
        <x:f>$B$23*AN13</x:f>
      </x:c>
      <x:c r="AO23" s="117" t="n">
        <x:f>$B$23*AO13</x:f>
      </x:c>
      <x:c r="AP23" s="117" t="n">
        <x:f>$B$23*AP13</x:f>
      </x:c>
      <x:c r="AQ23" s="117" t="n">
        <x:f>$B$23*AQ13</x:f>
      </x:c>
      <x:c r="AR23" s="117" t="n">
        <x:f>$B$23*AR13</x:f>
      </x:c>
      <x:c r="AS23" s="117" t="n">
        <x:f>$B$23*AS13</x:f>
      </x:c>
      <x:c r="AT23" s="117" t="n">
        <x:f>$B$23*AT13</x:f>
      </x:c>
      <x:c r="AU23" s="117" t="n">
        <x:f>$B$23*AU13</x:f>
      </x:c>
      <x:c r="AV23" s="117" t="n">
        <x:f>$B$23*AV13</x:f>
      </x:c>
      <x:c r="AW23" s="117" t="n">
        <x:f>$B$23*AW13</x:f>
      </x:c>
      <x:c r="AX23" s="117" t="n">
        <x:f>$B$23*AX13</x:f>
      </x:c>
      <x:c r="AY23" s="117" t="n">
        <x:f>$B$23*AY13</x:f>
      </x:c>
      <x:c r="AZ23" s="117" t="n">
        <x:f>$B$23*AZ13</x:f>
      </x:c>
      <x:c r="BA23" s="117" t="n">
        <x:f>$B$23*BA13</x:f>
      </x:c>
      <x:c r="BB23" s="117" t="n">
        <x:f>$B$23*BB13</x:f>
      </x:c>
      <x:c r="BC23" s="117" t="n">
        <x:f>$B$23*BC13</x:f>
      </x:c>
      <x:c r="BD23" s="117" t="n">
        <x:f>$B$23*BD13</x:f>
      </x:c>
      <x:c r="BE23" s="117" t="n">
        <x:f>$B$23*BE13</x:f>
      </x:c>
      <x:c r="BF23" s="117" t="n">
        <x:f>$B$23*BF13</x:f>
      </x:c>
      <x:c r="BG23" s="117" t="n">
        <x:f>$B$23*BG13</x:f>
      </x:c>
      <x:c r="BH23" s="117" t="n">
        <x:f>$B$23*BH13</x:f>
      </x:c>
      <x:c r="BI23" s="117" t="n">
        <x:f>$B$23*BI13</x:f>
      </x:c>
      <x:c r="BJ23" s="117" t="n">
        <x:f>$B$23*BJ13</x:f>
      </x:c>
      <x:c r="BK23" s="117" t="n">
        <x:f>$B$23*BK13</x:f>
      </x:c>
      <x:c r="BL23" s="117" t="n">
        <x:f>$B$23*BL13</x:f>
      </x:c>
      <x:c r="BM23" s="117" t="n">
        <x:f>$B$23*BM13</x:f>
      </x:c>
      <x:c r="BN23" s="117" t="n">
        <x:f>$B$23*BN13</x:f>
      </x:c>
      <x:c r="BO23" s="117" t="n">
        <x:f>$B$23*BO13</x:f>
      </x:c>
      <x:c r="BP23" s="117" t="n">
        <x:f>$B$23*BP13</x:f>
      </x:c>
      <x:c r="BQ23" s="117" t="n">
        <x:f>$B$23*BQ13</x:f>
      </x:c>
      <x:c r="BR23" s="117" t="n">
        <x:f>$B$23*BR13</x:f>
      </x:c>
      <x:c r="BS23" s="117" t="n">
        <x:f>$B$23*BS13</x:f>
      </x:c>
      <x:c r="BT23" s="117" t="n">
        <x:f>$B$23*BT13</x:f>
      </x:c>
      <x:c r="BU23" s="117" t="n">
        <x:f>$B$23*BU13</x:f>
      </x:c>
      <x:c r="BV23" s="117" t="n">
        <x:f>$B$23*BV13</x:f>
      </x:c>
      <x:c r="BW23" s="117" t="n">
        <x:f>$B$23*BW13</x:f>
      </x:c>
      <x:c r="BX23" s="117" t="n">
        <x:f>$B$23*BX13</x:f>
      </x:c>
      <x:c r="BY23" s="117" t="n">
        <x:f>$B$23*BY13</x:f>
      </x:c>
      <x:c r="BZ23" s="117" t="n">
        <x:f>$B$23*BZ13</x:f>
      </x:c>
      <x:c r="CA23" s="117" t="n">
        <x:f>$B$23*CA13</x:f>
      </x:c>
      <x:c r="CB23" s="117" t="n">
        <x:f>$B$23*CB13</x:f>
      </x:c>
      <x:c r="CC23" s="117" t="n">
        <x:f>$B$23*CC13</x:f>
      </x:c>
      <x:c r="CD23" s="117" t="n">
        <x:f>$B$23*CD13</x:f>
      </x:c>
      <x:c r="CE23" s="117" t="n">
        <x:f>$B$23*CE13</x:f>
      </x:c>
      <x:c r="CF23" s="117" t="n">
        <x:f>$B$23*CF13</x:f>
      </x:c>
      <x:c r="CG23" s="117" t="n">
        <x:f>$B$23*CG13</x:f>
      </x:c>
      <x:c r="CH23" s="117" t="n">
        <x:f>$B$23*CH13</x:f>
      </x:c>
      <x:c r="CI23" s="117" t="n">
        <x:f>$B$23*CI13</x:f>
      </x:c>
      <x:c r="CJ23" s="117" t="n">
        <x:f>$B$23*CJ13</x:f>
      </x:c>
      <x:c r="CK23" s="117" t="n">
        <x:f>$B$23*CK13</x:f>
      </x:c>
      <x:c r="CL23" s="117" t="n">
        <x:f>$B$23*CL13</x:f>
      </x:c>
      <x:c r="CM23" s="117" t="n">
        <x:f>$B$23*CM13</x:f>
      </x:c>
      <x:c r="CN23" s="117" t="n">
        <x:f>$B$23*CN13</x:f>
      </x:c>
      <x:c r="CO23" s="117" t="n">
        <x:f>$B$23*CO13</x:f>
      </x:c>
      <x:c r="CP23" s="117" t="n">
        <x:f>$B$23*CP13</x:f>
      </x:c>
      <x:c r="CQ23" s="117" t="n">
        <x:f>$B$23*CQ13</x:f>
      </x:c>
      <x:c r="CR23" s="117" t="n">
        <x:f>$B$23*CR13</x:f>
      </x:c>
      <x:c r="CS23" s="117" t="n">
        <x:f>$B$23*CS13</x:f>
      </x:c>
      <x:c r="CT23" s="117" t="n">
        <x:f>$B$23*CT13</x:f>
      </x:c>
      <x:c r="CU23" s="117" t="n">
        <x:f>$B$23*CU13</x:f>
      </x:c>
      <x:c r="CV23" s="117" t="n">
        <x:f>$B$23*CV13</x:f>
      </x:c>
      <x:c r="CW23" s="117" t="n">
        <x:f>$B$23*CW13</x:f>
      </x:c>
      <x:c r="CX23" s="117" t="n">
        <x:f>$B$23*CX13</x:f>
      </x:c>
      <x:c r="CY23" s="117" t="n">
        <x:f>$B$23*CY13</x:f>
      </x:c>
      <x:c r="CZ23" s="117" t="n">
        <x:f>$B$23*CZ13</x:f>
      </x:c>
      <x:c r="DA23" s="117" t="n">
        <x:f>$B$23*DA13</x:f>
      </x:c>
      <x:c r="DB23" s="117" t="n">
        <x:f>$B$23*DB13</x:f>
      </x:c>
      <x:c r="DC23" s="117" t="n">
        <x:f>$B$23*DC13</x:f>
      </x:c>
      <x:c r="DD23" s="117" t="n">
        <x:f>$B$23*DD13</x:f>
      </x:c>
      <x:c r="DE23" s="117" t="n">
        <x:f>$B$23*DE13</x:f>
      </x:c>
      <x:c r="DF23" s="117" t="n">
        <x:f>$B$23*DF13</x:f>
      </x:c>
      <x:c r="DG23" s="117" t="n">
        <x:f>$B$23*DG13</x:f>
      </x:c>
      <x:c r="DH23" s="117" t="n">
        <x:f>$B$23*DH13</x:f>
      </x:c>
      <x:c r="DI23" s="117" t="n">
        <x:f>$B$23*DI13</x:f>
      </x:c>
      <x:c r="DJ23" s="117" t="n">
        <x:f>$B$23*DJ13</x:f>
      </x:c>
      <x:c r="DK23" s="117" t="n">
        <x:f>$B$23*DK13</x:f>
      </x:c>
      <x:c r="DL23" s="117" t="n">
        <x:f>$B$23*DL13</x:f>
      </x:c>
      <x:c r="DM23" s="117" t="n">
        <x:f>$B$23*DM13</x:f>
      </x:c>
      <x:c r="DN23" s="117" t="n">
        <x:f>$B$23*DN13</x:f>
      </x:c>
      <x:c r="DO23" s="117" t="n">
        <x:f>$B$23*DO13</x:f>
      </x:c>
      <x:c r="DP23" s="117" t="n">
        <x:f>$B$23*DP13</x:f>
      </x:c>
      <x:c r="DQ23" s="117" t="n">
        <x:f>$B$23*DQ13</x:f>
      </x:c>
      <x:c r="DR23" s="117" t="n">
        <x:f>$B$23*DR13</x:f>
      </x:c>
      <x:c r="DS23" s="117" t="n">
        <x:f>$B$23*DS13</x:f>
      </x:c>
    </x:row>
    <x:row r="24">
      <x:c r="A24" t="str">
        <x:v>Благоустройство</x:v>
      </x:c>
      <x:c r="B24" s="107" t="n">
        <x:f>(('Вводные'!$I$88+'Вводные'!$J$88+'Вводные'!$K$88)*'Вводные'!$B$47/1000*'Вводные'!$H$6*'Вводные'!$T$88*--('Вводные'!$B$88="Да"))*'Вводные'!$AH$88</x:f>
      </x:c>
      <x:c r="C24" t="str">
        <x:v>млн ₽</x:v>
      </x:c>
      <x:c r="D24" s="117" t="n">
        <x:f>IF(AND(D$3&gt;=EDATE($B$8,-3),D$3&lt;$B$8),$B$24/3,0)</x:f>
      </x:c>
      <x:c r="E24" s="117" t="n">
        <x:f>IF(AND(E$3&gt;=EDATE($B$8,-3),E$3&lt;$B$8),$B$24/3,0)</x:f>
      </x:c>
      <x:c r="F24" s="117" t="n">
        <x:f>IF(AND(F$3&gt;=EDATE($B$8,-3),F$3&lt;$B$8),$B$24/3,0)</x:f>
      </x:c>
      <x:c r="G24" s="117" t="n">
        <x:f>IF(AND(G$3&gt;=EDATE($B$8,-3),G$3&lt;$B$8),$B$24/3,0)</x:f>
      </x:c>
      <x:c r="H24" s="117" t="n">
        <x:f>IF(AND(H$3&gt;=EDATE($B$8,-3),H$3&lt;$B$8),$B$24/3,0)</x:f>
      </x:c>
      <x:c r="I24" s="117" t="n">
        <x:f>IF(AND(I$3&gt;=EDATE($B$8,-3),I$3&lt;$B$8),$B$24/3,0)</x:f>
      </x:c>
      <x:c r="J24" s="117" t="n">
        <x:f>IF(AND(J$3&gt;=EDATE($B$8,-3),J$3&lt;$B$8),$B$24/3,0)</x:f>
      </x:c>
      <x:c r="K24" s="117" t="n">
        <x:f>IF(AND(K$3&gt;=EDATE($B$8,-3),K$3&lt;$B$8),$B$24/3,0)</x:f>
      </x:c>
      <x:c r="L24" s="117" t="n">
        <x:f>IF(AND(L$3&gt;=EDATE($B$8,-3),L$3&lt;$B$8),$B$24/3,0)</x:f>
      </x:c>
      <x:c r="M24" s="117" t="n">
        <x:f>IF(AND(M$3&gt;=EDATE($B$8,-3),M$3&lt;$B$8),$B$24/3,0)</x:f>
      </x:c>
      <x:c r="N24" s="117" t="n">
        <x:f>IF(AND(N$3&gt;=EDATE($B$8,-3),N$3&lt;$B$8),$B$24/3,0)</x:f>
      </x:c>
      <x:c r="O24" s="117" t="n">
        <x:f>IF(AND(O$3&gt;=EDATE($B$8,-3),O$3&lt;$B$8),$B$24/3,0)</x:f>
      </x:c>
      <x:c r="P24" s="117" t="n">
        <x:f>IF(AND(P$3&gt;=EDATE($B$8,-3),P$3&lt;$B$8),$B$24/3,0)</x:f>
      </x:c>
      <x:c r="Q24" s="117" t="n">
        <x:f>IF(AND(Q$3&gt;=EDATE($B$8,-3),Q$3&lt;$B$8),$B$24/3,0)</x:f>
      </x:c>
      <x:c r="R24" s="117" t="n">
        <x:f>IF(AND(R$3&gt;=EDATE($B$8,-3),R$3&lt;$B$8),$B$24/3,0)</x:f>
      </x:c>
      <x:c r="S24" s="117" t="n">
        <x:f>IF(AND(S$3&gt;=EDATE($B$8,-3),S$3&lt;$B$8),$B$24/3,0)</x:f>
      </x:c>
      <x:c r="T24" s="117" t="n">
        <x:f>IF(AND(T$3&gt;=EDATE($B$8,-3),T$3&lt;$B$8),$B$24/3,0)</x:f>
      </x:c>
      <x:c r="U24" s="117" t="n">
        <x:f>IF(AND(U$3&gt;=EDATE($B$8,-3),U$3&lt;$B$8),$B$24/3,0)</x:f>
      </x:c>
      <x:c r="V24" s="117" t="n">
        <x:f>IF(AND(V$3&gt;=EDATE($B$8,-3),V$3&lt;$B$8),$B$24/3,0)</x:f>
      </x:c>
      <x:c r="W24" s="117" t="n">
        <x:f>IF(AND(W$3&gt;=EDATE($B$8,-3),W$3&lt;$B$8),$B$24/3,0)</x:f>
      </x:c>
      <x:c r="X24" s="117" t="n">
        <x:f>IF(AND(X$3&gt;=EDATE($B$8,-3),X$3&lt;$B$8),$B$24/3,0)</x:f>
      </x:c>
      <x:c r="Y24" s="117" t="n">
        <x:f>IF(AND(Y$3&gt;=EDATE($B$8,-3),Y$3&lt;$B$8),$B$24/3,0)</x:f>
      </x:c>
      <x:c r="Z24" s="117" t="n">
        <x:f>IF(AND(Z$3&gt;=EDATE($B$8,-3),Z$3&lt;$B$8),$B$24/3,0)</x:f>
      </x:c>
      <x:c r="AA24" s="117" t="n">
        <x:f>IF(AND(AA$3&gt;=EDATE($B$8,-3),AA$3&lt;$B$8),$B$24/3,0)</x:f>
      </x:c>
      <x:c r="AB24" s="117" t="n">
        <x:f>IF(AND(AB$3&gt;=EDATE($B$8,-3),AB$3&lt;$B$8),$B$24/3,0)</x:f>
      </x:c>
      <x:c r="AC24" s="117" t="n">
        <x:f>IF(AND(AC$3&gt;=EDATE($B$8,-3),AC$3&lt;$B$8),$B$24/3,0)</x:f>
      </x:c>
      <x:c r="AD24" s="117" t="n">
        <x:f>IF(AND(AD$3&gt;=EDATE($B$8,-3),AD$3&lt;$B$8),$B$24/3,0)</x:f>
      </x:c>
      <x:c r="AE24" s="117" t="n">
        <x:f>IF(AND(AE$3&gt;=EDATE($B$8,-3),AE$3&lt;$B$8),$B$24/3,0)</x:f>
      </x:c>
      <x:c r="AF24" s="117" t="n">
        <x:f>IF(AND(AF$3&gt;=EDATE($B$8,-3),AF$3&lt;$B$8),$B$24/3,0)</x:f>
      </x:c>
      <x:c r="AG24" s="117" t="n">
        <x:f>IF(AND(AG$3&gt;=EDATE($B$8,-3),AG$3&lt;$B$8),$B$24/3,0)</x:f>
      </x:c>
      <x:c r="AH24" s="117" t="n">
        <x:f>IF(AND(AH$3&gt;=EDATE($B$8,-3),AH$3&lt;$B$8),$B$24/3,0)</x:f>
      </x:c>
      <x:c r="AI24" s="117" t="n">
        <x:f>IF(AND(AI$3&gt;=EDATE($B$8,-3),AI$3&lt;$B$8),$B$24/3,0)</x:f>
      </x:c>
      <x:c r="AJ24" s="117" t="n">
        <x:f>IF(AND(AJ$3&gt;=EDATE($B$8,-3),AJ$3&lt;$B$8),$B$24/3,0)</x:f>
      </x:c>
      <x:c r="AK24" s="117" t="n">
        <x:f>IF(AND(AK$3&gt;=EDATE($B$8,-3),AK$3&lt;$B$8),$B$24/3,0)</x:f>
      </x:c>
      <x:c r="AL24" s="117" t="n">
        <x:f>IF(AND(AL$3&gt;=EDATE($B$8,-3),AL$3&lt;$B$8),$B$24/3,0)</x:f>
      </x:c>
      <x:c r="AM24" s="117" t="n">
        <x:f>IF(AND(AM$3&gt;=EDATE($B$8,-3),AM$3&lt;$B$8),$B$24/3,0)</x:f>
      </x:c>
      <x:c r="AN24" s="117" t="n">
        <x:f>IF(AND(AN$3&gt;=EDATE($B$8,-3),AN$3&lt;$B$8),$B$24/3,0)</x:f>
      </x:c>
      <x:c r="AO24" s="117" t="n">
        <x:f>IF(AND(AO$3&gt;=EDATE($B$8,-3),AO$3&lt;$B$8),$B$24/3,0)</x:f>
      </x:c>
      <x:c r="AP24" s="117" t="n">
        <x:f>IF(AND(AP$3&gt;=EDATE($B$8,-3),AP$3&lt;$B$8),$B$24/3,0)</x:f>
      </x:c>
      <x:c r="AQ24" s="117" t="n">
        <x:f>IF(AND(AQ$3&gt;=EDATE($B$8,-3),AQ$3&lt;$B$8),$B$24/3,0)</x:f>
      </x:c>
      <x:c r="AR24" s="117" t="n">
        <x:f>IF(AND(AR$3&gt;=EDATE($B$8,-3),AR$3&lt;$B$8),$B$24/3,0)</x:f>
      </x:c>
      <x:c r="AS24" s="117" t="n">
        <x:f>IF(AND(AS$3&gt;=EDATE($B$8,-3),AS$3&lt;$B$8),$B$24/3,0)</x:f>
      </x:c>
      <x:c r="AT24" s="117" t="n">
        <x:f>IF(AND(AT$3&gt;=EDATE($B$8,-3),AT$3&lt;$B$8),$B$24/3,0)</x:f>
      </x:c>
      <x:c r="AU24" s="117" t="n">
        <x:f>IF(AND(AU$3&gt;=EDATE($B$8,-3),AU$3&lt;$B$8),$B$24/3,0)</x:f>
      </x:c>
      <x:c r="AV24" s="117" t="n">
        <x:f>IF(AND(AV$3&gt;=EDATE($B$8,-3),AV$3&lt;$B$8),$B$24/3,0)</x:f>
      </x:c>
      <x:c r="AW24" s="117" t="n">
        <x:f>IF(AND(AW$3&gt;=EDATE($B$8,-3),AW$3&lt;$B$8),$B$24/3,0)</x:f>
      </x:c>
      <x:c r="AX24" s="117" t="n">
        <x:f>IF(AND(AX$3&gt;=EDATE($B$8,-3),AX$3&lt;$B$8),$B$24/3,0)</x:f>
      </x:c>
      <x:c r="AY24" s="117" t="n">
        <x:f>IF(AND(AY$3&gt;=EDATE($B$8,-3),AY$3&lt;$B$8),$B$24/3,0)</x:f>
      </x:c>
      <x:c r="AZ24" s="117" t="n">
        <x:f>IF(AND(AZ$3&gt;=EDATE($B$8,-3),AZ$3&lt;$B$8),$B$24/3,0)</x:f>
      </x:c>
      <x:c r="BA24" s="117" t="n">
        <x:f>IF(AND(BA$3&gt;=EDATE($B$8,-3),BA$3&lt;$B$8),$B$24/3,0)</x:f>
      </x:c>
      <x:c r="BB24" s="117" t="n">
        <x:f>IF(AND(BB$3&gt;=EDATE($B$8,-3),BB$3&lt;$B$8),$B$24/3,0)</x:f>
      </x:c>
      <x:c r="BC24" s="117" t="n">
        <x:f>IF(AND(BC$3&gt;=EDATE($B$8,-3),BC$3&lt;$B$8),$B$24/3,0)</x:f>
      </x:c>
      <x:c r="BD24" s="117" t="n">
        <x:f>IF(AND(BD$3&gt;=EDATE($B$8,-3),BD$3&lt;$B$8),$B$24/3,0)</x:f>
      </x:c>
      <x:c r="BE24" s="117" t="n">
        <x:f>IF(AND(BE$3&gt;=EDATE($B$8,-3),BE$3&lt;$B$8),$B$24/3,0)</x:f>
      </x:c>
      <x:c r="BF24" s="117" t="n">
        <x:f>IF(AND(BF$3&gt;=EDATE($B$8,-3),BF$3&lt;$B$8),$B$24/3,0)</x:f>
      </x:c>
      <x:c r="BG24" s="117" t="n">
        <x:f>IF(AND(BG$3&gt;=EDATE($B$8,-3),BG$3&lt;$B$8),$B$24/3,0)</x:f>
      </x:c>
      <x:c r="BH24" s="117" t="n">
        <x:f>IF(AND(BH$3&gt;=EDATE($B$8,-3),BH$3&lt;$B$8),$B$24/3,0)</x:f>
      </x:c>
      <x:c r="BI24" s="117" t="n">
        <x:f>IF(AND(BI$3&gt;=EDATE($B$8,-3),BI$3&lt;$B$8),$B$24/3,0)</x:f>
      </x:c>
      <x:c r="BJ24" s="117" t="n">
        <x:f>IF(AND(BJ$3&gt;=EDATE($B$8,-3),BJ$3&lt;$B$8),$B$24/3,0)</x:f>
      </x:c>
      <x:c r="BK24" s="117" t="n">
        <x:f>IF(AND(BK$3&gt;=EDATE($B$8,-3),BK$3&lt;$B$8),$B$24/3,0)</x:f>
      </x:c>
      <x:c r="BL24" s="117" t="n">
        <x:f>IF(AND(BL$3&gt;=EDATE($B$8,-3),BL$3&lt;$B$8),$B$24/3,0)</x:f>
      </x:c>
      <x:c r="BM24" s="117" t="n">
        <x:f>IF(AND(BM$3&gt;=EDATE($B$8,-3),BM$3&lt;$B$8),$B$24/3,0)</x:f>
      </x:c>
      <x:c r="BN24" s="117" t="n">
        <x:f>IF(AND(BN$3&gt;=EDATE($B$8,-3),BN$3&lt;$B$8),$B$24/3,0)</x:f>
      </x:c>
      <x:c r="BO24" s="117" t="n">
        <x:f>IF(AND(BO$3&gt;=EDATE($B$8,-3),BO$3&lt;$B$8),$B$24/3,0)</x:f>
      </x:c>
      <x:c r="BP24" s="117" t="n">
        <x:f>IF(AND(BP$3&gt;=EDATE($B$8,-3),BP$3&lt;$B$8),$B$24/3,0)</x:f>
      </x:c>
      <x:c r="BQ24" s="117" t="n">
        <x:f>IF(AND(BQ$3&gt;=EDATE($B$8,-3),BQ$3&lt;$B$8),$B$24/3,0)</x:f>
      </x:c>
      <x:c r="BR24" s="117" t="n">
        <x:f>IF(AND(BR$3&gt;=EDATE($B$8,-3),BR$3&lt;$B$8),$B$24/3,0)</x:f>
      </x:c>
      <x:c r="BS24" s="117" t="n">
        <x:f>IF(AND(BS$3&gt;=EDATE($B$8,-3),BS$3&lt;$B$8),$B$24/3,0)</x:f>
      </x:c>
      <x:c r="BT24" s="117" t="n">
        <x:f>IF(AND(BT$3&gt;=EDATE($B$8,-3),BT$3&lt;$B$8),$B$24/3,0)</x:f>
      </x:c>
      <x:c r="BU24" s="117" t="n">
        <x:f>IF(AND(BU$3&gt;=EDATE($B$8,-3),BU$3&lt;$B$8),$B$24/3,0)</x:f>
      </x:c>
      <x:c r="BV24" s="117" t="n">
        <x:f>IF(AND(BV$3&gt;=EDATE($B$8,-3),BV$3&lt;$B$8),$B$24/3,0)</x:f>
      </x:c>
      <x:c r="BW24" s="117" t="n">
        <x:f>IF(AND(BW$3&gt;=EDATE($B$8,-3),BW$3&lt;$B$8),$B$24/3,0)</x:f>
      </x:c>
      <x:c r="BX24" s="117" t="n">
        <x:f>IF(AND(BX$3&gt;=EDATE($B$8,-3),BX$3&lt;$B$8),$B$24/3,0)</x:f>
      </x:c>
      <x:c r="BY24" s="117" t="n">
        <x:f>IF(AND(BY$3&gt;=EDATE($B$8,-3),BY$3&lt;$B$8),$B$24/3,0)</x:f>
      </x:c>
      <x:c r="BZ24" s="117" t="n">
        <x:f>IF(AND(BZ$3&gt;=EDATE($B$8,-3),BZ$3&lt;$B$8),$B$24/3,0)</x:f>
      </x:c>
      <x:c r="CA24" s="117" t="n">
        <x:f>IF(AND(CA$3&gt;=EDATE($B$8,-3),CA$3&lt;$B$8),$B$24/3,0)</x:f>
      </x:c>
      <x:c r="CB24" s="117" t="n">
        <x:f>IF(AND(CB$3&gt;=EDATE($B$8,-3),CB$3&lt;$B$8),$B$24/3,0)</x:f>
      </x:c>
      <x:c r="CC24" s="117" t="n">
        <x:f>IF(AND(CC$3&gt;=EDATE($B$8,-3),CC$3&lt;$B$8),$B$24/3,0)</x:f>
      </x:c>
      <x:c r="CD24" s="117" t="n">
        <x:f>IF(AND(CD$3&gt;=EDATE($B$8,-3),CD$3&lt;$B$8),$B$24/3,0)</x:f>
      </x:c>
      <x:c r="CE24" s="117" t="n">
        <x:f>IF(AND(CE$3&gt;=EDATE($B$8,-3),CE$3&lt;$B$8),$B$24/3,0)</x:f>
      </x:c>
      <x:c r="CF24" s="117" t="n">
        <x:f>IF(AND(CF$3&gt;=EDATE($B$8,-3),CF$3&lt;$B$8),$B$24/3,0)</x:f>
      </x:c>
      <x:c r="CG24" s="117" t="n">
        <x:f>IF(AND(CG$3&gt;=EDATE($B$8,-3),CG$3&lt;$B$8),$B$24/3,0)</x:f>
      </x:c>
      <x:c r="CH24" s="117" t="n">
        <x:f>IF(AND(CH$3&gt;=EDATE($B$8,-3),CH$3&lt;$B$8),$B$24/3,0)</x:f>
      </x:c>
      <x:c r="CI24" s="117" t="n">
        <x:f>IF(AND(CI$3&gt;=EDATE($B$8,-3),CI$3&lt;$B$8),$B$24/3,0)</x:f>
      </x:c>
      <x:c r="CJ24" s="117" t="n">
        <x:f>IF(AND(CJ$3&gt;=EDATE($B$8,-3),CJ$3&lt;$B$8),$B$24/3,0)</x:f>
      </x:c>
      <x:c r="CK24" s="117" t="n">
        <x:f>IF(AND(CK$3&gt;=EDATE($B$8,-3),CK$3&lt;$B$8),$B$24/3,0)</x:f>
      </x:c>
      <x:c r="CL24" s="117" t="n">
        <x:f>IF(AND(CL$3&gt;=EDATE($B$8,-3),CL$3&lt;$B$8),$B$24/3,0)</x:f>
      </x:c>
      <x:c r="CM24" s="117" t="n">
        <x:f>IF(AND(CM$3&gt;=EDATE($B$8,-3),CM$3&lt;$B$8),$B$24/3,0)</x:f>
      </x:c>
      <x:c r="CN24" s="117" t="n">
        <x:f>IF(AND(CN$3&gt;=EDATE($B$8,-3),CN$3&lt;$B$8),$B$24/3,0)</x:f>
      </x:c>
      <x:c r="CO24" s="117" t="n">
        <x:f>IF(AND(CO$3&gt;=EDATE($B$8,-3),CO$3&lt;$B$8),$B$24/3,0)</x:f>
      </x:c>
      <x:c r="CP24" s="117" t="n">
        <x:f>IF(AND(CP$3&gt;=EDATE($B$8,-3),CP$3&lt;$B$8),$B$24/3,0)</x:f>
      </x:c>
      <x:c r="CQ24" s="117" t="n">
        <x:f>IF(AND(CQ$3&gt;=EDATE($B$8,-3),CQ$3&lt;$B$8),$B$24/3,0)</x:f>
      </x:c>
      <x:c r="CR24" s="117" t="n">
        <x:f>IF(AND(CR$3&gt;=EDATE($B$8,-3),CR$3&lt;$B$8),$B$24/3,0)</x:f>
      </x:c>
      <x:c r="CS24" s="117" t="n">
        <x:f>IF(AND(CS$3&gt;=EDATE($B$8,-3),CS$3&lt;$B$8),$B$24/3,0)</x:f>
      </x:c>
      <x:c r="CT24" s="117" t="n">
        <x:f>IF(AND(CT$3&gt;=EDATE($B$8,-3),CT$3&lt;$B$8),$B$24/3,0)</x:f>
      </x:c>
      <x:c r="CU24" s="117" t="n">
        <x:f>IF(AND(CU$3&gt;=EDATE($B$8,-3),CU$3&lt;$B$8),$B$24/3,0)</x:f>
      </x:c>
      <x:c r="CV24" s="117" t="n">
        <x:f>IF(AND(CV$3&gt;=EDATE($B$8,-3),CV$3&lt;$B$8),$B$24/3,0)</x:f>
      </x:c>
      <x:c r="CW24" s="117" t="n">
        <x:f>IF(AND(CW$3&gt;=EDATE($B$8,-3),CW$3&lt;$B$8),$B$24/3,0)</x:f>
      </x:c>
      <x:c r="CX24" s="117" t="n">
        <x:f>IF(AND(CX$3&gt;=EDATE($B$8,-3),CX$3&lt;$B$8),$B$24/3,0)</x:f>
      </x:c>
      <x:c r="CY24" s="117" t="n">
        <x:f>IF(AND(CY$3&gt;=EDATE($B$8,-3),CY$3&lt;$B$8),$B$24/3,0)</x:f>
      </x:c>
      <x:c r="CZ24" s="117" t="n">
        <x:f>IF(AND(CZ$3&gt;=EDATE($B$8,-3),CZ$3&lt;$B$8),$B$24/3,0)</x:f>
      </x:c>
      <x:c r="DA24" s="117" t="n">
        <x:f>IF(AND(DA$3&gt;=EDATE($B$8,-3),DA$3&lt;$B$8),$B$24/3,0)</x:f>
      </x:c>
      <x:c r="DB24" s="117" t="n">
        <x:f>IF(AND(DB$3&gt;=EDATE($B$8,-3),DB$3&lt;$B$8),$B$24/3,0)</x:f>
      </x:c>
      <x:c r="DC24" s="117" t="n">
        <x:f>IF(AND(DC$3&gt;=EDATE($B$8,-3),DC$3&lt;$B$8),$B$24/3,0)</x:f>
      </x:c>
      <x:c r="DD24" s="117" t="n">
        <x:f>IF(AND(DD$3&gt;=EDATE($B$8,-3),DD$3&lt;$B$8),$B$24/3,0)</x:f>
      </x:c>
      <x:c r="DE24" s="117" t="n">
        <x:f>IF(AND(DE$3&gt;=EDATE($B$8,-3),DE$3&lt;$B$8),$B$24/3,0)</x:f>
      </x:c>
      <x:c r="DF24" s="117" t="n">
        <x:f>IF(AND(DF$3&gt;=EDATE($B$8,-3),DF$3&lt;$B$8),$B$24/3,0)</x:f>
      </x:c>
      <x:c r="DG24" s="117" t="n">
        <x:f>IF(AND(DG$3&gt;=EDATE($B$8,-3),DG$3&lt;$B$8),$B$24/3,0)</x:f>
      </x:c>
      <x:c r="DH24" s="117" t="n">
        <x:f>IF(AND(DH$3&gt;=EDATE($B$8,-3),DH$3&lt;$B$8),$B$24/3,0)</x:f>
      </x:c>
      <x:c r="DI24" s="117" t="n">
        <x:f>IF(AND(DI$3&gt;=EDATE($B$8,-3),DI$3&lt;$B$8),$B$24/3,0)</x:f>
      </x:c>
      <x:c r="DJ24" s="117" t="n">
        <x:f>IF(AND(DJ$3&gt;=EDATE($B$8,-3),DJ$3&lt;$B$8),$B$24/3,0)</x:f>
      </x:c>
      <x:c r="DK24" s="117" t="n">
        <x:f>IF(AND(DK$3&gt;=EDATE($B$8,-3),DK$3&lt;$B$8),$B$24/3,0)</x:f>
      </x:c>
      <x:c r="DL24" s="117" t="n">
        <x:f>IF(AND(DL$3&gt;=EDATE($B$8,-3),DL$3&lt;$B$8),$B$24/3,0)</x:f>
      </x:c>
      <x:c r="DM24" s="117" t="n">
        <x:f>IF(AND(DM$3&gt;=EDATE($B$8,-3),DM$3&lt;$B$8),$B$24/3,0)</x:f>
      </x:c>
      <x:c r="DN24" s="117" t="n">
        <x:f>IF(AND(DN$3&gt;=EDATE($B$8,-3),DN$3&lt;$B$8),$B$24/3,0)</x:f>
      </x:c>
      <x:c r="DO24" s="117" t="n">
        <x:f>IF(AND(DO$3&gt;=EDATE($B$8,-3),DO$3&lt;$B$8),$B$24/3,0)</x:f>
      </x:c>
      <x:c r="DP24" s="117" t="n">
        <x:f>IF(AND(DP$3&gt;=EDATE($B$8,-3),DP$3&lt;$B$8),$B$24/3,0)</x:f>
      </x:c>
      <x:c r="DQ24" s="117" t="n">
        <x:f>IF(AND(DQ$3&gt;=EDATE($B$8,-3),DQ$3&lt;$B$8),$B$24/3,0)</x:f>
      </x:c>
      <x:c r="DR24" s="117" t="n">
        <x:f>IF(AND(DR$3&gt;=EDATE($B$8,-3),DR$3&lt;$B$8),$B$24/3,0)</x:f>
      </x:c>
      <x:c r="DS24" s="117" t="n">
        <x:f>IF(AND(DS$3&gt;=EDATE($B$8,-3),DS$3&lt;$B$8),$B$24/3,0)</x:f>
      </x:c>
    </x:row>
    <x:row r="25">
      <x:c r="A25" t="str">
        <x:v>Сдача и ввод</x:v>
      </x:c>
      <x:c r="B25" s="107" t="n">
        <x:f>(('Вводные'!$I$88+'Вводные'!$J$88+'Вводные'!$K$88)*'Вводные'!$B$48/1000*'Вводные'!$H$6*'Вводные'!$T$88*--('Вводные'!$B$88="Да"))*'Вводные'!$AH$88</x:f>
      </x:c>
      <x:c r="C25" t="str">
        <x:v>млн ₽</x:v>
      </x:c>
      <x:c r="D25" s="117" t="n">
        <x:f>IF(AND(D$3&gt;=EDATE($B$8,-3),D$3&lt;$B$8),$B$25/3,0)</x:f>
      </x:c>
      <x:c r="E25" s="117" t="n">
        <x:f>IF(AND(E$3&gt;=EDATE($B$8,-3),E$3&lt;$B$8),$B$25/3,0)</x:f>
      </x:c>
      <x:c r="F25" s="117" t="n">
        <x:f>IF(AND(F$3&gt;=EDATE($B$8,-3),F$3&lt;$B$8),$B$25/3,0)</x:f>
      </x:c>
      <x:c r="G25" s="117" t="n">
        <x:f>IF(AND(G$3&gt;=EDATE($B$8,-3),G$3&lt;$B$8),$B$25/3,0)</x:f>
      </x:c>
      <x:c r="H25" s="117" t="n">
        <x:f>IF(AND(H$3&gt;=EDATE($B$8,-3),H$3&lt;$B$8),$B$25/3,0)</x:f>
      </x:c>
      <x:c r="I25" s="117" t="n">
        <x:f>IF(AND(I$3&gt;=EDATE($B$8,-3),I$3&lt;$B$8),$B$25/3,0)</x:f>
      </x:c>
      <x:c r="J25" s="117" t="n">
        <x:f>IF(AND(J$3&gt;=EDATE($B$8,-3),J$3&lt;$B$8),$B$25/3,0)</x:f>
      </x:c>
      <x:c r="K25" s="117" t="n">
        <x:f>IF(AND(K$3&gt;=EDATE($B$8,-3),K$3&lt;$B$8),$B$25/3,0)</x:f>
      </x:c>
      <x:c r="L25" s="117" t="n">
        <x:f>IF(AND(L$3&gt;=EDATE($B$8,-3),L$3&lt;$B$8),$B$25/3,0)</x:f>
      </x:c>
      <x:c r="M25" s="117" t="n">
        <x:f>IF(AND(M$3&gt;=EDATE($B$8,-3),M$3&lt;$B$8),$B$25/3,0)</x:f>
      </x:c>
      <x:c r="N25" s="117" t="n">
        <x:f>IF(AND(N$3&gt;=EDATE($B$8,-3),N$3&lt;$B$8),$B$25/3,0)</x:f>
      </x:c>
      <x:c r="O25" s="117" t="n">
        <x:f>IF(AND(O$3&gt;=EDATE($B$8,-3),O$3&lt;$B$8),$B$25/3,0)</x:f>
      </x:c>
      <x:c r="P25" s="117" t="n">
        <x:f>IF(AND(P$3&gt;=EDATE($B$8,-3),P$3&lt;$B$8),$B$25/3,0)</x:f>
      </x:c>
      <x:c r="Q25" s="117" t="n">
        <x:f>IF(AND(Q$3&gt;=EDATE($B$8,-3),Q$3&lt;$B$8),$B$25/3,0)</x:f>
      </x:c>
      <x:c r="R25" s="117" t="n">
        <x:f>IF(AND(R$3&gt;=EDATE($B$8,-3),R$3&lt;$B$8),$B$25/3,0)</x:f>
      </x:c>
      <x:c r="S25" s="117" t="n">
        <x:f>IF(AND(S$3&gt;=EDATE($B$8,-3),S$3&lt;$B$8),$B$25/3,0)</x:f>
      </x:c>
      <x:c r="T25" s="117" t="n">
        <x:f>IF(AND(T$3&gt;=EDATE($B$8,-3),T$3&lt;$B$8),$B$25/3,0)</x:f>
      </x:c>
      <x:c r="U25" s="117" t="n">
        <x:f>IF(AND(U$3&gt;=EDATE($B$8,-3),U$3&lt;$B$8),$B$25/3,0)</x:f>
      </x:c>
      <x:c r="V25" s="117" t="n">
        <x:f>IF(AND(V$3&gt;=EDATE($B$8,-3),V$3&lt;$B$8),$B$25/3,0)</x:f>
      </x:c>
      <x:c r="W25" s="117" t="n">
        <x:f>IF(AND(W$3&gt;=EDATE($B$8,-3),W$3&lt;$B$8),$B$25/3,0)</x:f>
      </x:c>
      <x:c r="X25" s="117" t="n">
        <x:f>IF(AND(X$3&gt;=EDATE($B$8,-3),X$3&lt;$B$8),$B$25/3,0)</x:f>
      </x:c>
      <x:c r="Y25" s="117" t="n">
        <x:f>IF(AND(Y$3&gt;=EDATE($B$8,-3),Y$3&lt;$B$8),$B$25/3,0)</x:f>
      </x:c>
      <x:c r="Z25" s="117" t="n">
        <x:f>IF(AND(Z$3&gt;=EDATE($B$8,-3),Z$3&lt;$B$8),$B$25/3,0)</x:f>
      </x:c>
      <x:c r="AA25" s="117" t="n">
        <x:f>IF(AND(AA$3&gt;=EDATE($B$8,-3),AA$3&lt;$B$8),$B$25/3,0)</x:f>
      </x:c>
      <x:c r="AB25" s="117" t="n">
        <x:f>IF(AND(AB$3&gt;=EDATE($B$8,-3),AB$3&lt;$B$8),$B$25/3,0)</x:f>
      </x:c>
      <x:c r="AC25" s="117" t="n">
        <x:f>IF(AND(AC$3&gt;=EDATE($B$8,-3),AC$3&lt;$B$8),$B$25/3,0)</x:f>
      </x:c>
      <x:c r="AD25" s="117" t="n">
        <x:f>IF(AND(AD$3&gt;=EDATE($B$8,-3),AD$3&lt;$B$8),$B$25/3,0)</x:f>
      </x:c>
      <x:c r="AE25" s="117" t="n">
        <x:f>IF(AND(AE$3&gt;=EDATE($B$8,-3),AE$3&lt;$B$8),$B$25/3,0)</x:f>
      </x:c>
      <x:c r="AF25" s="117" t="n">
        <x:f>IF(AND(AF$3&gt;=EDATE($B$8,-3),AF$3&lt;$B$8),$B$25/3,0)</x:f>
      </x:c>
      <x:c r="AG25" s="117" t="n">
        <x:f>IF(AND(AG$3&gt;=EDATE($B$8,-3),AG$3&lt;$B$8),$B$25/3,0)</x:f>
      </x:c>
      <x:c r="AH25" s="117" t="n">
        <x:f>IF(AND(AH$3&gt;=EDATE($B$8,-3),AH$3&lt;$B$8),$B$25/3,0)</x:f>
      </x:c>
      <x:c r="AI25" s="117" t="n">
        <x:f>IF(AND(AI$3&gt;=EDATE($B$8,-3),AI$3&lt;$B$8),$B$25/3,0)</x:f>
      </x:c>
      <x:c r="AJ25" s="117" t="n">
        <x:f>IF(AND(AJ$3&gt;=EDATE($B$8,-3),AJ$3&lt;$B$8),$B$25/3,0)</x:f>
      </x:c>
      <x:c r="AK25" s="117" t="n">
        <x:f>IF(AND(AK$3&gt;=EDATE($B$8,-3),AK$3&lt;$B$8),$B$25/3,0)</x:f>
      </x:c>
      <x:c r="AL25" s="117" t="n">
        <x:f>IF(AND(AL$3&gt;=EDATE($B$8,-3),AL$3&lt;$B$8),$B$25/3,0)</x:f>
      </x:c>
      <x:c r="AM25" s="117" t="n">
        <x:f>IF(AND(AM$3&gt;=EDATE($B$8,-3),AM$3&lt;$B$8),$B$25/3,0)</x:f>
      </x:c>
      <x:c r="AN25" s="117" t="n">
        <x:f>IF(AND(AN$3&gt;=EDATE($B$8,-3),AN$3&lt;$B$8),$B$25/3,0)</x:f>
      </x:c>
      <x:c r="AO25" s="117" t="n">
        <x:f>IF(AND(AO$3&gt;=EDATE($B$8,-3),AO$3&lt;$B$8),$B$25/3,0)</x:f>
      </x:c>
      <x:c r="AP25" s="117" t="n">
        <x:f>IF(AND(AP$3&gt;=EDATE($B$8,-3),AP$3&lt;$B$8),$B$25/3,0)</x:f>
      </x:c>
      <x:c r="AQ25" s="117" t="n">
        <x:f>IF(AND(AQ$3&gt;=EDATE($B$8,-3),AQ$3&lt;$B$8),$B$25/3,0)</x:f>
      </x:c>
      <x:c r="AR25" s="117" t="n">
        <x:f>IF(AND(AR$3&gt;=EDATE($B$8,-3),AR$3&lt;$B$8),$B$25/3,0)</x:f>
      </x:c>
      <x:c r="AS25" s="117" t="n">
        <x:f>IF(AND(AS$3&gt;=EDATE($B$8,-3),AS$3&lt;$B$8),$B$25/3,0)</x:f>
      </x:c>
      <x:c r="AT25" s="117" t="n">
        <x:f>IF(AND(AT$3&gt;=EDATE($B$8,-3),AT$3&lt;$B$8),$B$25/3,0)</x:f>
      </x:c>
      <x:c r="AU25" s="117" t="n">
        <x:f>IF(AND(AU$3&gt;=EDATE($B$8,-3),AU$3&lt;$B$8),$B$25/3,0)</x:f>
      </x:c>
      <x:c r="AV25" s="117" t="n">
        <x:f>IF(AND(AV$3&gt;=EDATE($B$8,-3),AV$3&lt;$B$8),$B$25/3,0)</x:f>
      </x:c>
      <x:c r="AW25" s="117" t="n">
        <x:f>IF(AND(AW$3&gt;=EDATE($B$8,-3),AW$3&lt;$B$8),$B$25/3,0)</x:f>
      </x:c>
      <x:c r="AX25" s="117" t="n">
        <x:f>IF(AND(AX$3&gt;=EDATE($B$8,-3),AX$3&lt;$B$8),$B$25/3,0)</x:f>
      </x:c>
      <x:c r="AY25" s="117" t="n">
        <x:f>IF(AND(AY$3&gt;=EDATE($B$8,-3),AY$3&lt;$B$8),$B$25/3,0)</x:f>
      </x:c>
      <x:c r="AZ25" s="117" t="n">
        <x:f>IF(AND(AZ$3&gt;=EDATE($B$8,-3),AZ$3&lt;$B$8),$B$25/3,0)</x:f>
      </x:c>
      <x:c r="BA25" s="117" t="n">
        <x:f>IF(AND(BA$3&gt;=EDATE($B$8,-3),BA$3&lt;$B$8),$B$25/3,0)</x:f>
      </x:c>
      <x:c r="BB25" s="117" t="n">
        <x:f>IF(AND(BB$3&gt;=EDATE($B$8,-3),BB$3&lt;$B$8),$B$25/3,0)</x:f>
      </x:c>
      <x:c r="BC25" s="117" t="n">
        <x:f>IF(AND(BC$3&gt;=EDATE($B$8,-3),BC$3&lt;$B$8),$B$25/3,0)</x:f>
      </x:c>
      <x:c r="BD25" s="117" t="n">
        <x:f>IF(AND(BD$3&gt;=EDATE($B$8,-3),BD$3&lt;$B$8),$B$25/3,0)</x:f>
      </x:c>
      <x:c r="BE25" s="117" t="n">
        <x:f>IF(AND(BE$3&gt;=EDATE($B$8,-3),BE$3&lt;$B$8),$B$25/3,0)</x:f>
      </x:c>
      <x:c r="BF25" s="117" t="n">
        <x:f>IF(AND(BF$3&gt;=EDATE($B$8,-3),BF$3&lt;$B$8),$B$25/3,0)</x:f>
      </x:c>
      <x:c r="BG25" s="117" t="n">
        <x:f>IF(AND(BG$3&gt;=EDATE($B$8,-3),BG$3&lt;$B$8),$B$25/3,0)</x:f>
      </x:c>
      <x:c r="BH25" s="117" t="n">
        <x:f>IF(AND(BH$3&gt;=EDATE($B$8,-3),BH$3&lt;$B$8),$B$25/3,0)</x:f>
      </x:c>
      <x:c r="BI25" s="117" t="n">
        <x:f>IF(AND(BI$3&gt;=EDATE($B$8,-3),BI$3&lt;$B$8),$B$25/3,0)</x:f>
      </x:c>
      <x:c r="BJ25" s="117" t="n">
        <x:f>IF(AND(BJ$3&gt;=EDATE($B$8,-3),BJ$3&lt;$B$8),$B$25/3,0)</x:f>
      </x:c>
      <x:c r="BK25" s="117" t="n">
        <x:f>IF(AND(BK$3&gt;=EDATE($B$8,-3),BK$3&lt;$B$8),$B$25/3,0)</x:f>
      </x:c>
      <x:c r="BL25" s="117" t="n">
        <x:f>IF(AND(BL$3&gt;=EDATE($B$8,-3),BL$3&lt;$B$8),$B$25/3,0)</x:f>
      </x:c>
      <x:c r="BM25" s="117" t="n">
        <x:f>IF(AND(BM$3&gt;=EDATE($B$8,-3),BM$3&lt;$B$8),$B$25/3,0)</x:f>
      </x:c>
      <x:c r="BN25" s="117" t="n">
        <x:f>IF(AND(BN$3&gt;=EDATE($B$8,-3),BN$3&lt;$B$8),$B$25/3,0)</x:f>
      </x:c>
      <x:c r="BO25" s="117" t="n">
        <x:f>IF(AND(BO$3&gt;=EDATE($B$8,-3),BO$3&lt;$B$8),$B$25/3,0)</x:f>
      </x:c>
      <x:c r="BP25" s="117" t="n">
        <x:f>IF(AND(BP$3&gt;=EDATE($B$8,-3),BP$3&lt;$B$8),$B$25/3,0)</x:f>
      </x:c>
      <x:c r="BQ25" s="117" t="n">
        <x:f>IF(AND(BQ$3&gt;=EDATE($B$8,-3),BQ$3&lt;$B$8),$B$25/3,0)</x:f>
      </x:c>
      <x:c r="BR25" s="117" t="n">
        <x:f>IF(AND(BR$3&gt;=EDATE($B$8,-3),BR$3&lt;$B$8),$B$25/3,0)</x:f>
      </x:c>
      <x:c r="BS25" s="117" t="n">
        <x:f>IF(AND(BS$3&gt;=EDATE($B$8,-3),BS$3&lt;$B$8),$B$25/3,0)</x:f>
      </x:c>
      <x:c r="BT25" s="117" t="n">
        <x:f>IF(AND(BT$3&gt;=EDATE($B$8,-3),BT$3&lt;$B$8),$B$25/3,0)</x:f>
      </x:c>
      <x:c r="BU25" s="117" t="n">
        <x:f>IF(AND(BU$3&gt;=EDATE($B$8,-3),BU$3&lt;$B$8),$B$25/3,0)</x:f>
      </x:c>
      <x:c r="BV25" s="117" t="n">
        <x:f>IF(AND(BV$3&gt;=EDATE($B$8,-3),BV$3&lt;$B$8),$B$25/3,0)</x:f>
      </x:c>
      <x:c r="BW25" s="117" t="n">
        <x:f>IF(AND(BW$3&gt;=EDATE($B$8,-3),BW$3&lt;$B$8),$B$25/3,0)</x:f>
      </x:c>
      <x:c r="BX25" s="117" t="n">
        <x:f>IF(AND(BX$3&gt;=EDATE($B$8,-3),BX$3&lt;$B$8),$B$25/3,0)</x:f>
      </x:c>
      <x:c r="BY25" s="117" t="n">
        <x:f>IF(AND(BY$3&gt;=EDATE($B$8,-3),BY$3&lt;$B$8),$B$25/3,0)</x:f>
      </x:c>
      <x:c r="BZ25" s="117" t="n">
        <x:f>IF(AND(BZ$3&gt;=EDATE($B$8,-3),BZ$3&lt;$B$8),$B$25/3,0)</x:f>
      </x:c>
      <x:c r="CA25" s="117" t="n">
        <x:f>IF(AND(CA$3&gt;=EDATE($B$8,-3),CA$3&lt;$B$8),$B$25/3,0)</x:f>
      </x:c>
      <x:c r="CB25" s="117" t="n">
        <x:f>IF(AND(CB$3&gt;=EDATE($B$8,-3),CB$3&lt;$B$8),$B$25/3,0)</x:f>
      </x:c>
      <x:c r="CC25" s="117" t="n">
        <x:f>IF(AND(CC$3&gt;=EDATE($B$8,-3),CC$3&lt;$B$8),$B$25/3,0)</x:f>
      </x:c>
      <x:c r="CD25" s="117" t="n">
        <x:f>IF(AND(CD$3&gt;=EDATE($B$8,-3),CD$3&lt;$B$8),$B$25/3,0)</x:f>
      </x:c>
      <x:c r="CE25" s="117" t="n">
        <x:f>IF(AND(CE$3&gt;=EDATE($B$8,-3),CE$3&lt;$B$8),$B$25/3,0)</x:f>
      </x:c>
      <x:c r="CF25" s="117" t="n">
        <x:f>IF(AND(CF$3&gt;=EDATE($B$8,-3),CF$3&lt;$B$8),$B$25/3,0)</x:f>
      </x:c>
      <x:c r="CG25" s="117" t="n">
        <x:f>IF(AND(CG$3&gt;=EDATE($B$8,-3),CG$3&lt;$B$8),$B$25/3,0)</x:f>
      </x:c>
      <x:c r="CH25" s="117" t="n">
        <x:f>IF(AND(CH$3&gt;=EDATE($B$8,-3),CH$3&lt;$B$8),$B$25/3,0)</x:f>
      </x:c>
      <x:c r="CI25" s="117" t="n">
        <x:f>IF(AND(CI$3&gt;=EDATE($B$8,-3),CI$3&lt;$B$8),$B$25/3,0)</x:f>
      </x:c>
      <x:c r="CJ25" s="117" t="n">
        <x:f>IF(AND(CJ$3&gt;=EDATE($B$8,-3),CJ$3&lt;$B$8),$B$25/3,0)</x:f>
      </x:c>
      <x:c r="CK25" s="117" t="n">
        <x:f>IF(AND(CK$3&gt;=EDATE($B$8,-3),CK$3&lt;$B$8),$B$25/3,0)</x:f>
      </x:c>
      <x:c r="CL25" s="117" t="n">
        <x:f>IF(AND(CL$3&gt;=EDATE($B$8,-3),CL$3&lt;$B$8),$B$25/3,0)</x:f>
      </x:c>
      <x:c r="CM25" s="117" t="n">
        <x:f>IF(AND(CM$3&gt;=EDATE($B$8,-3),CM$3&lt;$B$8),$B$25/3,0)</x:f>
      </x:c>
      <x:c r="CN25" s="117" t="n">
        <x:f>IF(AND(CN$3&gt;=EDATE($B$8,-3),CN$3&lt;$B$8),$B$25/3,0)</x:f>
      </x:c>
      <x:c r="CO25" s="117" t="n">
        <x:f>IF(AND(CO$3&gt;=EDATE($B$8,-3),CO$3&lt;$B$8),$B$25/3,0)</x:f>
      </x:c>
      <x:c r="CP25" s="117" t="n">
        <x:f>IF(AND(CP$3&gt;=EDATE($B$8,-3),CP$3&lt;$B$8),$B$25/3,0)</x:f>
      </x:c>
      <x:c r="CQ25" s="117" t="n">
        <x:f>IF(AND(CQ$3&gt;=EDATE($B$8,-3),CQ$3&lt;$B$8),$B$25/3,0)</x:f>
      </x:c>
      <x:c r="CR25" s="117" t="n">
        <x:f>IF(AND(CR$3&gt;=EDATE($B$8,-3),CR$3&lt;$B$8),$B$25/3,0)</x:f>
      </x:c>
      <x:c r="CS25" s="117" t="n">
        <x:f>IF(AND(CS$3&gt;=EDATE($B$8,-3),CS$3&lt;$B$8),$B$25/3,0)</x:f>
      </x:c>
      <x:c r="CT25" s="117" t="n">
        <x:f>IF(AND(CT$3&gt;=EDATE($B$8,-3),CT$3&lt;$B$8),$B$25/3,0)</x:f>
      </x:c>
      <x:c r="CU25" s="117" t="n">
        <x:f>IF(AND(CU$3&gt;=EDATE($B$8,-3),CU$3&lt;$B$8),$B$25/3,0)</x:f>
      </x:c>
      <x:c r="CV25" s="117" t="n">
        <x:f>IF(AND(CV$3&gt;=EDATE($B$8,-3),CV$3&lt;$B$8),$B$25/3,0)</x:f>
      </x:c>
      <x:c r="CW25" s="117" t="n">
        <x:f>IF(AND(CW$3&gt;=EDATE($B$8,-3),CW$3&lt;$B$8),$B$25/3,0)</x:f>
      </x:c>
      <x:c r="CX25" s="117" t="n">
        <x:f>IF(AND(CX$3&gt;=EDATE($B$8,-3),CX$3&lt;$B$8),$B$25/3,0)</x:f>
      </x:c>
      <x:c r="CY25" s="117" t="n">
        <x:f>IF(AND(CY$3&gt;=EDATE($B$8,-3),CY$3&lt;$B$8),$B$25/3,0)</x:f>
      </x:c>
      <x:c r="CZ25" s="117" t="n">
        <x:f>IF(AND(CZ$3&gt;=EDATE($B$8,-3),CZ$3&lt;$B$8),$B$25/3,0)</x:f>
      </x:c>
      <x:c r="DA25" s="117" t="n">
        <x:f>IF(AND(DA$3&gt;=EDATE($B$8,-3),DA$3&lt;$B$8),$B$25/3,0)</x:f>
      </x:c>
      <x:c r="DB25" s="117" t="n">
        <x:f>IF(AND(DB$3&gt;=EDATE($B$8,-3),DB$3&lt;$B$8),$B$25/3,0)</x:f>
      </x:c>
      <x:c r="DC25" s="117" t="n">
        <x:f>IF(AND(DC$3&gt;=EDATE($B$8,-3),DC$3&lt;$B$8),$B$25/3,0)</x:f>
      </x:c>
      <x:c r="DD25" s="117" t="n">
        <x:f>IF(AND(DD$3&gt;=EDATE($B$8,-3),DD$3&lt;$B$8),$B$25/3,0)</x:f>
      </x:c>
      <x:c r="DE25" s="117" t="n">
        <x:f>IF(AND(DE$3&gt;=EDATE($B$8,-3),DE$3&lt;$B$8),$B$25/3,0)</x:f>
      </x:c>
      <x:c r="DF25" s="117" t="n">
        <x:f>IF(AND(DF$3&gt;=EDATE($B$8,-3),DF$3&lt;$B$8),$B$25/3,0)</x:f>
      </x:c>
      <x:c r="DG25" s="117" t="n">
        <x:f>IF(AND(DG$3&gt;=EDATE($B$8,-3),DG$3&lt;$B$8),$B$25/3,0)</x:f>
      </x:c>
      <x:c r="DH25" s="117" t="n">
        <x:f>IF(AND(DH$3&gt;=EDATE($B$8,-3),DH$3&lt;$B$8),$B$25/3,0)</x:f>
      </x:c>
      <x:c r="DI25" s="117" t="n">
        <x:f>IF(AND(DI$3&gt;=EDATE($B$8,-3),DI$3&lt;$B$8),$B$25/3,0)</x:f>
      </x:c>
      <x:c r="DJ25" s="117" t="n">
        <x:f>IF(AND(DJ$3&gt;=EDATE($B$8,-3),DJ$3&lt;$B$8),$B$25/3,0)</x:f>
      </x:c>
      <x:c r="DK25" s="117" t="n">
        <x:f>IF(AND(DK$3&gt;=EDATE($B$8,-3),DK$3&lt;$B$8),$B$25/3,0)</x:f>
      </x:c>
      <x:c r="DL25" s="117" t="n">
        <x:f>IF(AND(DL$3&gt;=EDATE($B$8,-3),DL$3&lt;$B$8),$B$25/3,0)</x:f>
      </x:c>
      <x:c r="DM25" s="117" t="n">
        <x:f>IF(AND(DM$3&gt;=EDATE($B$8,-3),DM$3&lt;$B$8),$B$25/3,0)</x:f>
      </x:c>
      <x:c r="DN25" s="117" t="n">
        <x:f>IF(AND(DN$3&gt;=EDATE($B$8,-3),DN$3&lt;$B$8),$B$25/3,0)</x:f>
      </x:c>
      <x:c r="DO25" s="117" t="n">
        <x:f>IF(AND(DO$3&gt;=EDATE($B$8,-3),DO$3&lt;$B$8),$B$25/3,0)</x:f>
      </x:c>
      <x:c r="DP25" s="117" t="n">
        <x:f>IF(AND(DP$3&gt;=EDATE($B$8,-3),DP$3&lt;$B$8),$B$25/3,0)</x:f>
      </x:c>
      <x:c r="DQ25" s="117" t="n">
        <x:f>IF(AND(DQ$3&gt;=EDATE($B$8,-3),DQ$3&lt;$B$8),$B$25/3,0)</x:f>
      </x:c>
      <x:c r="DR25" s="117" t="n">
        <x:f>IF(AND(DR$3&gt;=EDATE($B$8,-3),DR$3&lt;$B$8),$B$25/3,0)</x:f>
      </x:c>
      <x:c r="DS25" s="117" t="n">
        <x:f>IF(AND(DS$3&gt;=EDATE($B$8,-3),DS$3&lt;$B$8),$B$25/3,0)</x:f>
      </x:c>
    </x:row>
    <x:row r="26">
      <x:c r="A26" t="str">
        <x:v>Содержание стройплощадки</x:v>
      </x:c>
      <x:c r="B26" s="107" t="n">
        <x:f>(('Вводные'!$I$88+'Вводные'!$J$88+'Вводные'!$K$88)*'Вводные'!$B$49/1000*'Вводные'!$H$6*'Вводные'!$T$88*--('Вводные'!$B$88="Да"))*'Вводные'!$AH$88</x:f>
      </x:c>
      <x:c r="C26" t="str">
        <x:v>млн ₽</x:v>
      </x:c>
      <x:c r="D26" s="117" t="n">
        <x:f>$B$26*D13</x:f>
      </x:c>
      <x:c r="E26" s="117" t="n">
        <x:f>$B$26*E13</x:f>
      </x:c>
      <x:c r="F26" s="117" t="n">
        <x:f>$B$26*F13</x:f>
      </x:c>
      <x:c r="G26" s="117" t="n">
        <x:f>$B$26*G13</x:f>
      </x:c>
      <x:c r="H26" s="117" t="n">
        <x:f>$B$26*H13</x:f>
      </x:c>
      <x:c r="I26" s="117" t="n">
        <x:f>$B$26*I13</x:f>
      </x:c>
      <x:c r="J26" s="117" t="n">
        <x:f>$B$26*J13</x:f>
      </x:c>
      <x:c r="K26" s="117" t="n">
        <x:f>$B$26*K13</x:f>
      </x:c>
      <x:c r="L26" s="117" t="n">
        <x:f>$B$26*L13</x:f>
      </x:c>
      <x:c r="M26" s="117" t="n">
        <x:f>$B$26*M13</x:f>
      </x:c>
      <x:c r="N26" s="117" t="n">
        <x:f>$B$26*N13</x:f>
      </x:c>
      <x:c r="O26" s="117" t="n">
        <x:f>$B$26*O13</x:f>
      </x:c>
      <x:c r="P26" s="117" t="n">
        <x:f>$B$26*P13</x:f>
      </x:c>
      <x:c r="Q26" s="117" t="n">
        <x:f>$B$26*Q13</x:f>
      </x:c>
      <x:c r="R26" s="117" t="n">
        <x:f>$B$26*R13</x:f>
      </x:c>
      <x:c r="S26" s="117" t="n">
        <x:f>$B$26*S13</x:f>
      </x:c>
      <x:c r="T26" s="117" t="n">
        <x:f>$B$26*T13</x:f>
      </x:c>
      <x:c r="U26" s="117" t="n">
        <x:f>$B$26*U13</x:f>
      </x:c>
      <x:c r="V26" s="117" t="n">
        <x:f>$B$26*V13</x:f>
      </x:c>
      <x:c r="W26" s="117" t="n">
        <x:f>$B$26*W13</x:f>
      </x:c>
      <x:c r="X26" s="117" t="n">
        <x:f>$B$26*X13</x:f>
      </x:c>
      <x:c r="Y26" s="117" t="n">
        <x:f>$B$26*Y13</x:f>
      </x:c>
      <x:c r="Z26" s="117" t="n">
        <x:f>$B$26*Z13</x:f>
      </x:c>
      <x:c r="AA26" s="117" t="n">
        <x:f>$B$26*AA13</x:f>
      </x:c>
      <x:c r="AB26" s="117" t="n">
        <x:f>$B$26*AB13</x:f>
      </x:c>
      <x:c r="AC26" s="117" t="n">
        <x:f>$B$26*AC13</x:f>
      </x:c>
      <x:c r="AD26" s="117" t="n">
        <x:f>$B$26*AD13</x:f>
      </x:c>
      <x:c r="AE26" s="117" t="n">
        <x:f>$B$26*AE13</x:f>
      </x:c>
      <x:c r="AF26" s="117" t="n">
        <x:f>$B$26*AF13</x:f>
      </x:c>
      <x:c r="AG26" s="117" t="n">
        <x:f>$B$26*AG13</x:f>
      </x:c>
      <x:c r="AH26" s="117" t="n">
        <x:f>$B$26*AH13</x:f>
      </x:c>
      <x:c r="AI26" s="117" t="n">
        <x:f>$B$26*AI13</x:f>
      </x:c>
      <x:c r="AJ26" s="117" t="n">
        <x:f>$B$26*AJ13</x:f>
      </x:c>
      <x:c r="AK26" s="117" t="n">
        <x:f>$B$26*AK13</x:f>
      </x:c>
      <x:c r="AL26" s="117" t="n">
        <x:f>$B$26*AL13</x:f>
      </x:c>
      <x:c r="AM26" s="117" t="n">
        <x:f>$B$26*AM13</x:f>
      </x:c>
      <x:c r="AN26" s="117" t="n">
        <x:f>$B$26*AN13</x:f>
      </x:c>
      <x:c r="AO26" s="117" t="n">
        <x:f>$B$26*AO13</x:f>
      </x:c>
      <x:c r="AP26" s="117" t="n">
        <x:f>$B$26*AP13</x:f>
      </x:c>
      <x:c r="AQ26" s="117" t="n">
        <x:f>$B$26*AQ13</x:f>
      </x:c>
      <x:c r="AR26" s="117" t="n">
        <x:f>$B$26*AR13</x:f>
      </x:c>
      <x:c r="AS26" s="117" t="n">
        <x:f>$B$26*AS13</x:f>
      </x:c>
      <x:c r="AT26" s="117" t="n">
        <x:f>$B$26*AT13</x:f>
      </x:c>
      <x:c r="AU26" s="117" t="n">
        <x:f>$B$26*AU13</x:f>
      </x:c>
      <x:c r="AV26" s="117" t="n">
        <x:f>$B$26*AV13</x:f>
      </x:c>
      <x:c r="AW26" s="117" t="n">
        <x:f>$B$26*AW13</x:f>
      </x:c>
      <x:c r="AX26" s="117" t="n">
        <x:f>$B$26*AX13</x:f>
      </x:c>
      <x:c r="AY26" s="117" t="n">
        <x:f>$B$26*AY13</x:f>
      </x:c>
      <x:c r="AZ26" s="117" t="n">
        <x:f>$B$26*AZ13</x:f>
      </x:c>
      <x:c r="BA26" s="117" t="n">
        <x:f>$B$26*BA13</x:f>
      </x:c>
      <x:c r="BB26" s="117" t="n">
        <x:f>$B$26*BB13</x:f>
      </x:c>
      <x:c r="BC26" s="117" t="n">
        <x:f>$B$26*BC13</x:f>
      </x:c>
      <x:c r="BD26" s="117" t="n">
        <x:f>$B$26*BD13</x:f>
      </x:c>
      <x:c r="BE26" s="117" t="n">
        <x:f>$B$26*BE13</x:f>
      </x:c>
      <x:c r="BF26" s="117" t="n">
        <x:f>$B$26*BF13</x:f>
      </x:c>
      <x:c r="BG26" s="117" t="n">
        <x:f>$B$26*BG13</x:f>
      </x:c>
      <x:c r="BH26" s="117" t="n">
        <x:f>$B$26*BH13</x:f>
      </x:c>
      <x:c r="BI26" s="117" t="n">
        <x:f>$B$26*BI13</x:f>
      </x:c>
      <x:c r="BJ26" s="117" t="n">
        <x:f>$B$26*BJ13</x:f>
      </x:c>
      <x:c r="BK26" s="117" t="n">
        <x:f>$B$26*BK13</x:f>
      </x:c>
      <x:c r="BL26" s="117" t="n">
        <x:f>$B$26*BL13</x:f>
      </x:c>
      <x:c r="BM26" s="117" t="n">
        <x:f>$B$26*BM13</x:f>
      </x:c>
      <x:c r="BN26" s="117" t="n">
        <x:f>$B$26*BN13</x:f>
      </x:c>
      <x:c r="BO26" s="117" t="n">
        <x:f>$B$26*BO13</x:f>
      </x:c>
      <x:c r="BP26" s="117" t="n">
        <x:f>$B$26*BP13</x:f>
      </x:c>
      <x:c r="BQ26" s="117" t="n">
        <x:f>$B$26*BQ13</x:f>
      </x:c>
      <x:c r="BR26" s="117" t="n">
        <x:f>$B$26*BR13</x:f>
      </x:c>
      <x:c r="BS26" s="117" t="n">
        <x:f>$B$26*BS13</x:f>
      </x:c>
      <x:c r="BT26" s="117" t="n">
        <x:f>$B$26*BT13</x:f>
      </x:c>
      <x:c r="BU26" s="117" t="n">
        <x:f>$B$26*BU13</x:f>
      </x:c>
      <x:c r="BV26" s="117" t="n">
        <x:f>$B$26*BV13</x:f>
      </x:c>
      <x:c r="BW26" s="117" t="n">
        <x:f>$B$26*BW13</x:f>
      </x:c>
      <x:c r="BX26" s="117" t="n">
        <x:f>$B$26*BX13</x:f>
      </x:c>
      <x:c r="BY26" s="117" t="n">
        <x:f>$B$26*BY13</x:f>
      </x:c>
      <x:c r="BZ26" s="117" t="n">
        <x:f>$B$26*BZ13</x:f>
      </x:c>
      <x:c r="CA26" s="117" t="n">
        <x:f>$B$26*CA13</x:f>
      </x:c>
      <x:c r="CB26" s="117" t="n">
        <x:f>$B$26*CB13</x:f>
      </x:c>
      <x:c r="CC26" s="117" t="n">
        <x:f>$B$26*CC13</x:f>
      </x:c>
      <x:c r="CD26" s="117" t="n">
        <x:f>$B$26*CD13</x:f>
      </x:c>
      <x:c r="CE26" s="117" t="n">
        <x:f>$B$26*CE13</x:f>
      </x:c>
      <x:c r="CF26" s="117" t="n">
        <x:f>$B$26*CF13</x:f>
      </x:c>
      <x:c r="CG26" s="117" t="n">
        <x:f>$B$26*CG13</x:f>
      </x:c>
      <x:c r="CH26" s="117" t="n">
        <x:f>$B$26*CH13</x:f>
      </x:c>
      <x:c r="CI26" s="117" t="n">
        <x:f>$B$26*CI13</x:f>
      </x:c>
      <x:c r="CJ26" s="117" t="n">
        <x:f>$B$26*CJ13</x:f>
      </x:c>
      <x:c r="CK26" s="117" t="n">
        <x:f>$B$26*CK13</x:f>
      </x:c>
      <x:c r="CL26" s="117" t="n">
        <x:f>$B$26*CL13</x:f>
      </x:c>
      <x:c r="CM26" s="117" t="n">
        <x:f>$B$26*CM13</x:f>
      </x:c>
      <x:c r="CN26" s="117" t="n">
        <x:f>$B$26*CN13</x:f>
      </x:c>
      <x:c r="CO26" s="117" t="n">
        <x:f>$B$26*CO13</x:f>
      </x:c>
      <x:c r="CP26" s="117" t="n">
        <x:f>$B$26*CP13</x:f>
      </x:c>
      <x:c r="CQ26" s="117" t="n">
        <x:f>$B$26*CQ13</x:f>
      </x:c>
      <x:c r="CR26" s="117" t="n">
        <x:f>$B$26*CR13</x:f>
      </x:c>
      <x:c r="CS26" s="117" t="n">
        <x:f>$B$26*CS13</x:f>
      </x:c>
      <x:c r="CT26" s="117" t="n">
        <x:f>$B$26*CT13</x:f>
      </x:c>
      <x:c r="CU26" s="117" t="n">
        <x:f>$B$26*CU13</x:f>
      </x:c>
      <x:c r="CV26" s="117" t="n">
        <x:f>$B$26*CV13</x:f>
      </x:c>
      <x:c r="CW26" s="117" t="n">
        <x:f>$B$26*CW13</x:f>
      </x:c>
      <x:c r="CX26" s="117" t="n">
        <x:f>$B$26*CX13</x:f>
      </x:c>
      <x:c r="CY26" s="117" t="n">
        <x:f>$B$26*CY13</x:f>
      </x:c>
      <x:c r="CZ26" s="117" t="n">
        <x:f>$B$26*CZ13</x:f>
      </x:c>
      <x:c r="DA26" s="117" t="n">
        <x:f>$B$26*DA13</x:f>
      </x:c>
      <x:c r="DB26" s="117" t="n">
        <x:f>$B$26*DB13</x:f>
      </x:c>
      <x:c r="DC26" s="117" t="n">
        <x:f>$B$26*DC13</x:f>
      </x:c>
      <x:c r="DD26" s="117" t="n">
        <x:f>$B$26*DD13</x:f>
      </x:c>
      <x:c r="DE26" s="117" t="n">
        <x:f>$B$26*DE13</x:f>
      </x:c>
      <x:c r="DF26" s="117" t="n">
        <x:f>$B$26*DF13</x:f>
      </x:c>
      <x:c r="DG26" s="117" t="n">
        <x:f>$B$26*DG13</x:f>
      </x:c>
      <x:c r="DH26" s="117" t="n">
        <x:f>$B$26*DH13</x:f>
      </x:c>
      <x:c r="DI26" s="117" t="n">
        <x:f>$B$26*DI13</x:f>
      </x:c>
      <x:c r="DJ26" s="117" t="n">
        <x:f>$B$26*DJ13</x:f>
      </x:c>
      <x:c r="DK26" s="117" t="n">
        <x:f>$B$26*DK13</x:f>
      </x:c>
      <x:c r="DL26" s="117" t="n">
        <x:f>$B$26*DL13</x:f>
      </x:c>
      <x:c r="DM26" s="117" t="n">
        <x:f>$B$26*DM13</x:f>
      </x:c>
      <x:c r="DN26" s="117" t="n">
        <x:f>$B$26*DN13</x:f>
      </x:c>
      <x:c r="DO26" s="117" t="n">
        <x:f>$B$26*DO13</x:f>
      </x:c>
      <x:c r="DP26" s="117" t="n">
        <x:f>$B$26*DP13</x:f>
      </x:c>
      <x:c r="DQ26" s="117" t="n">
        <x:f>$B$26*DQ13</x:f>
      </x:c>
      <x:c r="DR26" s="117" t="n">
        <x:f>$B$26*DR13</x:f>
      </x:c>
      <x:c r="DS26" s="117" t="n">
        <x:f>$B$26*DS13</x:f>
      </x:c>
    </x:row>
    <x:row r="27">
      <x:c r="A27" t="str">
        <x:v>Техзаказчик / стройконтроль</x:v>
      </x:c>
      <x:c r="B27" s="107" t="n">
        <x:f>SUM(B16:B26)*'Вводные'!$B$53</x:f>
      </x:c>
      <x:c r="C27" t="str">
        <x:v>млн ₽</x:v>
      </x:c>
      <x:c r="D27" s="117" t="n">
        <x:f>$B$27*D13</x:f>
      </x:c>
      <x:c r="E27" s="117" t="n">
        <x:f>$B$27*E13</x:f>
      </x:c>
      <x:c r="F27" s="117" t="n">
        <x:f>$B$27*F13</x:f>
      </x:c>
      <x:c r="G27" s="117" t="n">
        <x:f>$B$27*G13</x:f>
      </x:c>
      <x:c r="H27" s="117" t="n">
        <x:f>$B$27*H13</x:f>
      </x:c>
      <x:c r="I27" s="117" t="n">
        <x:f>$B$27*I13</x:f>
      </x:c>
      <x:c r="J27" s="117" t="n">
        <x:f>$B$27*J13</x:f>
      </x:c>
      <x:c r="K27" s="117" t="n">
        <x:f>$B$27*K13</x:f>
      </x:c>
      <x:c r="L27" s="117" t="n">
        <x:f>$B$27*L13</x:f>
      </x:c>
      <x:c r="M27" s="117" t="n">
        <x:f>$B$27*M13</x:f>
      </x:c>
      <x:c r="N27" s="117" t="n">
        <x:f>$B$27*N13</x:f>
      </x:c>
      <x:c r="O27" s="117" t="n">
        <x:f>$B$27*O13</x:f>
      </x:c>
      <x:c r="P27" s="117" t="n">
        <x:f>$B$27*P13</x:f>
      </x:c>
      <x:c r="Q27" s="117" t="n">
        <x:f>$B$27*Q13</x:f>
      </x:c>
      <x:c r="R27" s="117" t="n">
        <x:f>$B$27*R13</x:f>
      </x:c>
      <x:c r="S27" s="117" t="n">
        <x:f>$B$27*S13</x:f>
      </x:c>
      <x:c r="T27" s="117" t="n">
        <x:f>$B$27*T13</x:f>
      </x:c>
      <x:c r="U27" s="117" t="n">
        <x:f>$B$27*U13</x:f>
      </x:c>
      <x:c r="V27" s="117" t="n">
        <x:f>$B$27*V13</x:f>
      </x:c>
      <x:c r="W27" s="117" t="n">
        <x:f>$B$27*W13</x:f>
      </x:c>
      <x:c r="X27" s="117" t="n">
        <x:f>$B$27*X13</x:f>
      </x:c>
      <x:c r="Y27" s="117" t="n">
        <x:f>$B$27*Y13</x:f>
      </x:c>
      <x:c r="Z27" s="117" t="n">
        <x:f>$B$27*Z13</x:f>
      </x:c>
      <x:c r="AA27" s="117" t="n">
        <x:f>$B$27*AA13</x:f>
      </x:c>
      <x:c r="AB27" s="117" t="n">
        <x:f>$B$27*AB13</x:f>
      </x:c>
      <x:c r="AC27" s="117" t="n">
        <x:f>$B$27*AC13</x:f>
      </x:c>
      <x:c r="AD27" s="117" t="n">
        <x:f>$B$27*AD13</x:f>
      </x:c>
      <x:c r="AE27" s="117" t="n">
        <x:f>$B$27*AE13</x:f>
      </x:c>
      <x:c r="AF27" s="117" t="n">
        <x:f>$B$27*AF13</x:f>
      </x:c>
      <x:c r="AG27" s="117" t="n">
        <x:f>$B$27*AG13</x:f>
      </x:c>
      <x:c r="AH27" s="117" t="n">
        <x:f>$B$27*AH13</x:f>
      </x:c>
      <x:c r="AI27" s="117" t="n">
        <x:f>$B$27*AI13</x:f>
      </x:c>
      <x:c r="AJ27" s="117" t="n">
        <x:f>$B$27*AJ13</x:f>
      </x:c>
      <x:c r="AK27" s="117" t="n">
        <x:f>$B$27*AK13</x:f>
      </x:c>
      <x:c r="AL27" s="117" t="n">
        <x:f>$B$27*AL13</x:f>
      </x:c>
      <x:c r="AM27" s="117" t="n">
        <x:f>$B$27*AM13</x:f>
      </x:c>
      <x:c r="AN27" s="117" t="n">
        <x:f>$B$27*AN13</x:f>
      </x:c>
      <x:c r="AO27" s="117" t="n">
        <x:f>$B$27*AO13</x:f>
      </x:c>
      <x:c r="AP27" s="117" t="n">
        <x:f>$B$27*AP13</x:f>
      </x:c>
      <x:c r="AQ27" s="117" t="n">
        <x:f>$B$27*AQ13</x:f>
      </x:c>
      <x:c r="AR27" s="117" t="n">
        <x:f>$B$27*AR13</x:f>
      </x:c>
      <x:c r="AS27" s="117" t="n">
        <x:f>$B$27*AS13</x:f>
      </x:c>
      <x:c r="AT27" s="117" t="n">
        <x:f>$B$27*AT13</x:f>
      </x:c>
      <x:c r="AU27" s="117" t="n">
        <x:f>$B$27*AU13</x:f>
      </x:c>
      <x:c r="AV27" s="117" t="n">
        <x:f>$B$27*AV13</x:f>
      </x:c>
      <x:c r="AW27" s="117" t="n">
        <x:f>$B$27*AW13</x:f>
      </x:c>
      <x:c r="AX27" s="117" t="n">
        <x:f>$B$27*AX13</x:f>
      </x:c>
      <x:c r="AY27" s="117" t="n">
        <x:f>$B$27*AY13</x:f>
      </x:c>
      <x:c r="AZ27" s="117" t="n">
        <x:f>$B$27*AZ13</x:f>
      </x:c>
      <x:c r="BA27" s="117" t="n">
        <x:f>$B$27*BA13</x:f>
      </x:c>
      <x:c r="BB27" s="117" t="n">
        <x:f>$B$27*BB13</x:f>
      </x:c>
      <x:c r="BC27" s="117" t="n">
        <x:f>$B$27*BC13</x:f>
      </x:c>
      <x:c r="BD27" s="117" t="n">
        <x:f>$B$27*BD13</x:f>
      </x:c>
      <x:c r="BE27" s="117" t="n">
        <x:f>$B$27*BE13</x:f>
      </x:c>
      <x:c r="BF27" s="117" t="n">
        <x:f>$B$27*BF13</x:f>
      </x:c>
      <x:c r="BG27" s="117" t="n">
        <x:f>$B$27*BG13</x:f>
      </x:c>
      <x:c r="BH27" s="117" t="n">
        <x:f>$B$27*BH13</x:f>
      </x:c>
      <x:c r="BI27" s="117" t="n">
        <x:f>$B$27*BI13</x:f>
      </x:c>
      <x:c r="BJ27" s="117" t="n">
        <x:f>$B$27*BJ13</x:f>
      </x:c>
      <x:c r="BK27" s="117" t="n">
        <x:f>$B$27*BK13</x:f>
      </x:c>
      <x:c r="BL27" s="117" t="n">
        <x:f>$B$27*BL13</x:f>
      </x:c>
      <x:c r="BM27" s="117" t="n">
        <x:f>$B$27*BM13</x:f>
      </x:c>
      <x:c r="BN27" s="117" t="n">
        <x:f>$B$27*BN13</x:f>
      </x:c>
      <x:c r="BO27" s="117" t="n">
        <x:f>$B$27*BO13</x:f>
      </x:c>
      <x:c r="BP27" s="117" t="n">
        <x:f>$B$27*BP13</x:f>
      </x:c>
      <x:c r="BQ27" s="117" t="n">
        <x:f>$B$27*BQ13</x:f>
      </x:c>
      <x:c r="BR27" s="117" t="n">
        <x:f>$B$27*BR13</x:f>
      </x:c>
      <x:c r="BS27" s="117" t="n">
        <x:f>$B$27*BS13</x:f>
      </x:c>
      <x:c r="BT27" s="117" t="n">
        <x:f>$B$27*BT13</x:f>
      </x:c>
      <x:c r="BU27" s="117" t="n">
        <x:f>$B$27*BU13</x:f>
      </x:c>
      <x:c r="BV27" s="117" t="n">
        <x:f>$B$27*BV13</x:f>
      </x:c>
      <x:c r="BW27" s="117" t="n">
        <x:f>$B$27*BW13</x:f>
      </x:c>
      <x:c r="BX27" s="117" t="n">
        <x:f>$B$27*BX13</x:f>
      </x:c>
      <x:c r="BY27" s="117" t="n">
        <x:f>$B$27*BY13</x:f>
      </x:c>
      <x:c r="BZ27" s="117" t="n">
        <x:f>$B$27*BZ13</x:f>
      </x:c>
      <x:c r="CA27" s="117" t="n">
        <x:f>$B$27*CA13</x:f>
      </x:c>
      <x:c r="CB27" s="117" t="n">
        <x:f>$B$27*CB13</x:f>
      </x:c>
      <x:c r="CC27" s="117" t="n">
        <x:f>$B$27*CC13</x:f>
      </x:c>
      <x:c r="CD27" s="117" t="n">
        <x:f>$B$27*CD13</x:f>
      </x:c>
      <x:c r="CE27" s="117" t="n">
        <x:f>$B$27*CE13</x:f>
      </x:c>
      <x:c r="CF27" s="117" t="n">
        <x:f>$B$27*CF13</x:f>
      </x:c>
      <x:c r="CG27" s="117" t="n">
        <x:f>$B$27*CG13</x:f>
      </x:c>
      <x:c r="CH27" s="117" t="n">
        <x:f>$B$27*CH13</x:f>
      </x:c>
      <x:c r="CI27" s="117" t="n">
        <x:f>$B$27*CI13</x:f>
      </x:c>
      <x:c r="CJ27" s="117" t="n">
        <x:f>$B$27*CJ13</x:f>
      </x:c>
      <x:c r="CK27" s="117" t="n">
        <x:f>$B$27*CK13</x:f>
      </x:c>
      <x:c r="CL27" s="117" t="n">
        <x:f>$B$27*CL13</x:f>
      </x:c>
      <x:c r="CM27" s="117" t="n">
        <x:f>$B$27*CM13</x:f>
      </x:c>
      <x:c r="CN27" s="117" t="n">
        <x:f>$B$27*CN13</x:f>
      </x:c>
      <x:c r="CO27" s="117" t="n">
        <x:f>$B$27*CO13</x:f>
      </x:c>
      <x:c r="CP27" s="117" t="n">
        <x:f>$B$27*CP13</x:f>
      </x:c>
      <x:c r="CQ27" s="117" t="n">
        <x:f>$B$27*CQ13</x:f>
      </x:c>
      <x:c r="CR27" s="117" t="n">
        <x:f>$B$27*CR13</x:f>
      </x:c>
      <x:c r="CS27" s="117" t="n">
        <x:f>$B$27*CS13</x:f>
      </x:c>
      <x:c r="CT27" s="117" t="n">
        <x:f>$B$27*CT13</x:f>
      </x:c>
      <x:c r="CU27" s="117" t="n">
        <x:f>$B$27*CU13</x:f>
      </x:c>
      <x:c r="CV27" s="117" t="n">
        <x:f>$B$27*CV13</x:f>
      </x:c>
      <x:c r="CW27" s="117" t="n">
        <x:f>$B$27*CW13</x:f>
      </x:c>
      <x:c r="CX27" s="117" t="n">
        <x:f>$B$27*CX13</x:f>
      </x:c>
      <x:c r="CY27" s="117" t="n">
        <x:f>$B$27*CY13</x:f>
      </x:c>
      <x:c r="CZ27" s="117" t="n">
        <x:f>$B$27*CZ13</x:f>
      </x:c>
      <x:c r="DA27" s="117" t="n">
        <x:f>$B$27*DA13</x:f>
      </x:c>
      <x:c r="DB27" s="117" t="n">
        <x:f>$B$27*DB13</x:f>
      </x:c>
      <x:c r="DC27" s="117" t="n">
        <x:f>$B$27*DC13</x:f>
      </x:c>
      <x:c r="DD27" s="117" t="n">
        <x:f>$B$27*DD13</x:f>
      </x:c>
      <x:c r="DE27" s="117" t="n">
        <x:f>$B$27*DE13</x:f>
      </x:c>
      <x:c r="DF27" s="117" t="n">
        <x:f>$B$27*DF13</x:f>
      </x:c>
      <x:c r="DG27" s="117" t="n">
        <x:f>$B$27*DG13</x:f>
      </x:c>
      <x:c r="DH27" s="117" t="n">
        <x:f>$B$27*DH13</x:f>
      </x:c>
      <x:c r="DI27" s="117" t="n">
        <x:f>$B$27*DI13</x:f>
      </x:c>
      <x:c r="DJ27" s="117" t="n">
        <x:f>$B$27*DJ13</x:f>
      </x:c>
      <x:c r="DK27" s="117" t="n">
        <x:f>$B$27*DK13</x:f>
      </x:c>
      <x:c r="DL27" s="117" t="n">
        <x:f>$B$27*DL13</x:f>
      </x:c>
      <x:c r="DM27" s="117" t="n">
        <x:f>$B$27*DM13</x:f>
      </x:c>
      <x:c r="DN27" s="117" t="n">
        <x:f>$B$27*DN13</x:f>
      </x:c>
      <x:c r="DO27" s="117" t="n">
        <x:f>$B$27*DO13</x:f>
      </x:c>
      <x:c r="DP27" s="117" t="n">
        <x:f>$B$27*DP13</x:f>
      </x:c>
      <x:c r="DQ27" s="117" t="n">
        <x:f>$B$27*DQ13</x:f>
      </x:c>
      <x:c r="DR27" s="117" t="n">
        <x:f>$B$27*DR13</x:f>
      </x:c>
      <x:c r="DS27" s="117" t="n">
        <x:f>$B$27*DS13</x:f>
      </x:c>
    </x:row>
    <x:row r="28">
      <x:c r="A28" t="str">
        <x:v>Управление проектом</x:v>
      </x:c>
      <x:c r="B28" s="107" t="n">
        <x:f>SUM(B16:B26)*'Вводные'!$B$52</x:f>
      </x:c>
      <x:c r="C28" t="str">
        <x:v>млн ₽</x:v>
      </x:c>
      <x:c r="D28" s="117" t="n">
        <x:f>$B$28*D10</x:f>
      </x:c>
      <x:c r="E28" s="117" t="n">
        <x:f>$B$28*E10</x:f>
      </x:c>
      <x:c r="F28" s="117" t="n">
        <x:f>$B$28*F10</x:f>
      </x:c>
      <x:c r="G28" s="117" t="n">
        <x:f>$B$28*G10</x:f>
      </x:c>
      <x:c r="H28" s="117" t="n">
        <x:f>$B$28*H10</x:f>
      </x:c>
      <x:c r="I28" s="117" t="n">
        <x:f>$B$28*I10</x:f>
      </x:c>
      <x:c r="J28" s="117" t="n">
        <x:f>$B$28*J10</x:f>
      </x:c>
      <x:c r="K28" s="117" t="n">
        <x:f>$B$28*K10</x:f>
      </x:c>
      <x:c r="L28" s="117" t="n">
        <x:f>$B$28*L10</x:f>
      </x:c>
      <x:c r="M28" s="117" t="n">
        <x:f>$B$28*M10</x:f>
      </x:c>
      <x:c r="N28" s="117" t="n">
        <x:f>$B$28*N10</x:f>
      </x:c>
      <x:c r="O28" s="117" t="n">
        <x:f>$B$28*O10</x:f>
      </x:c>
      <x:c r="P28" s="117" t="n">
        <x:f>$B$28*P10</x:f>
      </x:c>
      <x:c r="Q28" s="117" t="n">
        <x:f>$B$28*Q10</x:f>
      </x:c>
      <x:c r="R28" s="117" t="n">
        <x:f>$B$28*R10</x:f>
      </x:c>
      <x:c r="S28" s="117" t="n">
        <x:f>$B$28*S10</x:f>
      </x:c>
      <x:c r="T28" s="117" t="n">
        <x:f>$B$28*T10</x:f>
      </x:c>
      <x:c r="U28" s="117" t="n">
        <x:f>$B$28*U10</x:f>
      </x:c>
      <x:c r="V28" s="117" t="n">
        <x:f>$B$28*V10</x:f>
      </x:c>
      <x:c r="W28" s="117" t="n">
        <x:f>$B$28*W10</x:f>
      </x:c>
      <x:c r="X28" s="117" t="n">
        <x:f>$B$28*X10</x:f>
      </x:c>
      <x:c r="Y28" s="117" t="n">
        <x:f>$B$28*Y10</x:f>
      </x:c>
      <x:c r="Z28" s="117" t="n">
        <x:f>$B$28*Z10</x:f>
      </x:c>
      <x:c r="AA28" s="117" t="n">
        <x:f>$B$28*AA10</x:f>
      </x:c>
      <x:c r="AB28" s="117" t="n">
        <x:f>$B$28*AB10</x:f>
      </x:c>
      <x:c r="AC28" s="117" t="n">
        <x:f>$B$28*AC10</x:f>
      </x:c>
      <x:c r="AD28" s="117" t="n">
        <x:f>$B$28*AD10</x:f>
      </x:c>
      <x:c r="AE28" s="117" t="n">
        <x:f>$B$28*AE10</x:f>
      </x:c>
      <x:c r="AF28" s="117" t="n">
        <x:f>$B$28*AF10</x:f>
      </x:c>
      <x:c r="AG28" s="117" t="n">
        <x:f>$B$28*AG10</x:f>
      </x:c>
      <x:c r="AH28" s="117" t="n">
        <x:f>$B$28*AH10</x:f>
      </x:c>
      <x:c r="AI28" s="117" t="n">
        <x:f>$B$28*AI10</x:f>
      </x:c>
      <x:c r="AJ28" s="117" t="n">
        <x:f>$B$28*AJ10</x:f>
      </x:c>
      <x:c r="AK28" s="117" t="n">
        <x:f>$B$28*AK10</x:f>
      </x:c>
      <x:c r="AL28" s="117" t="n">
        <x:f>$B$28*AL10</x:f>
      </x:c>
      <x:c r="AM28" s="117" t="n">
        <x:f>$B$28*AM10</x:f>
      </x:c>
      <x:c r="AN28" s="117" t="n">
        <x:f>$B$28*AN10</x:f>
      </x:c>
      <x:c r="AO28" s="117" t="n">
        <x:f>$B$28*AO10</x:f>
      </x:c>
      <x:c r="AP28" s="117" t="n">
        <x:f>$B$28*AP10</x:f>
      </x:c>
      <x:c r="AQ28" s="117" t="n">
        <x:f>$B$28*AQ10</x:f>
      </x:c>
      <x:c r="AR28" s="117" t="n">
        <x:f>$B$28*AR10</x:f>
      </x:c>
      <x:c r="AS28" s="117" t="n">
        <x:f>$B$28*AS10</x:f>
      </x:c>
      <x:c r="AT28" s="117" t="n">
        <x:f>$B$28*AT10</x:f>
      </x:c>
      <x:c r="AU28" s="117" t="n">
        <x:f>$B$28*AU10</x:f>
      </x:c>
      <x:c r="AV28" s="117" t="n">
        <x:f>$B$28*AV10</x:f>
      </x:c>
      <x:c r="AW28" s="117" t="n">
        <x:f>$B$28*AW10</x:f>
      </x:c>
      <x:c r="AX28" s="117" t="n">
        <x:f>$B$28*AX10</x:f>
      </x:c>
      <x:c r="AY28" s="117" t="n">
        <x:f>$B$28*AY10</x:f>
      </x:c>
      <x:c r="AZ28" s="117" t="n">
        <x:f>$B$28*AZ10</x:f>
      </x:c>
      <x:c r="BA28" s="117" t="n">
        <x:f>$B$28*BA10</x:f>
      </x:c>
      <x:c r="BB28" s="117" t="n">
        <x:f>$B$28*BB10</x:f>
      </x:c>
      <x:c r="BC28" s="117" t="n">
        <x:f>$B$28*BC10</x:f>
      </x:c>
      <x:c r="BD28" s="117" t="n">
        <x:f>$B$28*BD10</x:f>
      </x:c>
      <x:c r="BE28" s="117" t="n">
        <x:f>$B$28*BE10</x:f>
      </x:c>
      <x:c r="BF28" s="117" t="n">
        <x:f>$B$28*BF10</x:f>
      </x:c>
      <x:c r="BG28" s="117" t="n">
        <x:f>$B$28*BG10</x:f>
      </x:c>
      <x:c r="BH28" s="117" t="n">
        <x:f>$B$28*BH10</x:f>
      </x:c>
      <x:c r="BI28" s="117" t="n">
        <x:f>$B$28*BI10</x:f>
      </x:c>
      <x:c r="BJ28" s="117" t="n">
        <x:f>$B$28*BJ10</x:f>
      </x:c>
      <x:c r="BK28" s="117" t="n">
        <x:f>$B$28*BK10</x:f>
      </x:c>
      <x:c r="BL28" s="117" t="n">
        <x:f>$B$28*BL10</x:f>
      </x:c>
      <x:c r="BM28" s="117" t="n">
        <x:f>$B$28*BM10</x:f>
      </x:c>
      <x:c r="BN28" s="117" t="n">
        <x:f>$B$28*BN10</x:f>
      </x:c>
      <x:c r="BO28" s="117" t="n">
        <x:f>$B$28*BO10</x:f>
      </x:c>
      <x:c r="BP28" s="117" t="n">
        <x:f>$B$28*BP10</x:f>
      </x:c>
      <x:c r="BQ28" s="117" t="n">
        <x:f>$B$28*BQ10</x:f>
      </x:c>
      <x:c r="BR28" s="117" t="n">
        <x:f>$B$28*BR10</x:f>
      </x:c>
      <x:c r="BS28" s="117" t="n">
        <x:f>$B$28*BS10</x:f>
      </x:c>
      <x:c r="BT28" s="117" t="n">
        <x:f>$B$28*BT10</x:f>
      </x:c>
      <x:c r="BU28" s="117" t="n">
        <x:f>$B$28*BU10</x:f>
      </x:c>
      <x:c r="BV28" s="117" t="n">
        <x:f>$B$28*BV10</x:f>
      </x:c>
      <x:c r="BW28" s="117" t="n">
        <x:f>$B$28*BW10</x:f>
      </x:c>
      <x:c r="BX28" s="117" t="n">
        <x:f>$B$28*BX10</x:f>
      </x:c>
      <x:c r="BY28" s="117" t="n">
        <x:f>$B$28*BY10</x:f>
      </x:c>
      <x:c r="BZ28" s="117" t="n">
        <x:f>$B$28*BZ10</x:f>
      </x:c>
      <x:c r="CA28" s="117" t="n">
        <x:f>$B$28*CA10</x:f>
      </x:c>
      <x:c r="CB28" s="117" t="n">
        <x:f>$B$28*CB10</x:f>
      </x:c>
      <x:c r="CC28" s="117" t="n">
        <x:f>$B$28*CC10</x:f>
      </x:c>
      <x:c r="CD28" s="117" t="n">
        <x:f>$B$28*CD10</x:f>
      </x:c>
      <x:c r="CE28" s="117" t="n">
        <x:f>$B$28*CE10</x:f>
      </x:c>
      <x:c r="CF28" s="117" t="n">
        <x:f>$B$28*CF10</x:f>
      </x:c>
      <x:c r="CG28" s="117" t="n">
        <x:f>$B$28*CG10</x:f>
      </x:c>
      <x:c r="CH28" s="117" t="n">
        <x:f>$B$28*CH10</x:f>
      </x:c>
      <x:c r="CI28" s="117" t="n">
        <x:f>$B$28*CI10</x:f>
      </x:c>
      <x:c r="CJ28" s="117" t="n">
        <x:f>$B$28*CJ10</x:f>
      </x:c>
      <x:c r="CK28" s="117" t="n">
        <x:f>$B$28*CK10</x:f>
      </x:c>
      <x:c r="CL28" s="117" t="n">
        <x:f>$B$28*CL10</x:f>
      </x:c>
      <x:c r="CM28" s="117" t="n">
        <x:f>$B$28*CM10</x:f>
      </x:c>
      <x:c r="CN28" s="117" t="n">
        <x:f>$B$28*CN10</x:f>
      </x:c>
      <x:c r="CO28" s="117" t="n">
        <x:f>$B$28*CO10</x:f>
      </x:c>
      <x:c r="CP28" s="117" t="n">
        <x:f>$B$28*CP10</x:f>
      </x:c>
      <x:c r="CQ28" s="117" t="n">
        <x:f>$B$28*CQ10</x:f>
      </x:c>
      <x:c r="CR28" s="117" t="n">
        <x:f>$B$28*CR10</x:f>
      </x:c>
      <x:c r="CS28" s="117" t="n">
        <x:f>$B$28*CS10</x:f>
      </x:c>
      <x:c r="CT28" s="117" t="n">
        <x:f>$B$28*CT10</x:f>
      </x:c>
      <x:c r="CU28" s="117" t="n">
        <x:f>$B$28*CU10</x:f>
      </x:c>
      <x:c r="CV28" s="117" t="n">
        <x:f>$B$28*CV10</x:f>
      </x:c>
      <x:c r="CW28" s="117" t="n">
        <x:f>$B$28*CW10</x:f>
      </x:c>
      <x:c r="CX28" s="117" t="n">
        <x:f>$B$28*CX10</x:f>
      </x:c>
      <x:c r="CY28" s="117" t="n">
        <x:f>$B$28*CY10</x:f>
      </x:c>
      <x:c r="CZ28" s="117" t="n">
        <x:f>$B$28*CZ10</x:f>
      </x:c>
      <x:c r="DA28" s="117" t="n">
        <x:f>$B$28*DA10</x:f>
      </x:c>
      <x:c r="DB28" s="117" t="n">
        <x:f>$B$28*DB10</x:f>
      </x:c>
      <x:c r="DC28" s="117" t="n">
        <x:f>$B$28*DC10</x:f>
      </x:c>
      <x:c r="DD28" s="117" t="n">
        <x:f>$B$28*DD10</x:f>
      </x:c>
      <x:c r="DE28" s="117" t="n">
        <x:f>$B$28*DE10</x:f>
      </x:c>
      <x:c r="DF28" s="117" t="n">
        <x:f>$B$28*DF10</x:f>
      </x:c>
      <x:c r="DG28" s="117" t="n">
        <x:f>$B$28*DG10</x:f>
      </x:c>
      <x:c r="DH28" s="117" t="n">
        <x:f>$B$28*DH10</x:f>
      </x:c>
      <x:c r="DI28" s="117" t="n">
        <x:f>$B$28*DI10</x:f>
      </x:c>
      <x:c r="DJ28" s="117" t="n">
        <x:f>$B$28*DJ10</x:f>
      </x:c>
      <x:c r="DK28" s="117" t="n">
        <x:f>$B$28*DK10</x:f>
      </x:c>
      <x:c r="DL28" s="117" t="n">
        <x:f>$B$28*DL10</x:f>
      </x:c>
      <x:c r="DM28" s="117" t="n">
        <x:f>$B$28*DM10</x:f>
      </x:c>
      <x:c r="DN28" s="117" t="n">
        <x:f>$B$28*DN10</x:f>
      </x:c>
      <x:c r="DO28" s="117" t="n">
        <x:f>$B$28*DO10</x:f>
      </x:c>
      <x:c r="DP28" s="117" t="n">
        <x:f>$B$28*DP10</x:f>
      </x:c>
      <x:c r="DQ28" s="117" t="n">
        <x:f>$B$28*DQ10</x:f>
      </x:c>
      <x:c r="DR28" s="117" t="n">
        <x:f>$B$28*DR10</x:f>
      </x:c>
      <x:c r="DS28" s="117" t="n">
        <x:f>$B$28*DS10</x:f>
      </x:c>
    </x:row>
    <x:row r="29">
      <x:c r="A29" t="str">
        <x:v>Вознаграждение генподрядчика</x:v>
      </x:c>
      <x:c r="B29" s="107" t="n">
        <x:f>SUM(B16:B26)*'Вводные'!$B$50</x:f>
      </x:c>
      <x:c r="C29" t="str">
        <x:v>млн ₽</x:v>
      </x:c>
      <x:c r="D29" s="117" t="n">
        <x:f>$B$29*D13</x:f>
      </x:c>
      <x:c r="E29" s="117" t="n">
        <x:f>$B$29*E13</x:f>
      </x:c>
      <x:c r="F29" s="117" t="n">
        <x:f>$B$29*F13</x:f>
      </x:c>
      <x:c r="G29" s="117" t="n">
        <x:f>$B$29*G13</x:f>
      </x:c>
      <x:c r="H29" s="117" t="n">
        <x:f>$B$29*H13</x:f>
      </x:c>
      <x:c r="I29" s="117" t="n">
        <x:f>$B$29*I13</x:f>
      </x:c>
      <x:c r="J29" s="117" t="n">
        <x:f>$B$29*J13</x:f>
      </x:c>
      <x:c r="K29" s="117" t="n">
        <x:f>$B$29*K13</x:f>
      </x:c>
      <x:c r="L29" s="117" t="n">
        <x:f>$B$29*L13</x:f>
      </x:c>
      <x:c r="M29" s="117" t="n">
        <x:f>$B$29*M13</x:f>
      </x:c>
      <x:c r="N29" s="117" t="n">
        <x:f>$B$29*N13</x:f>
      </x:c>
      <x:c r="O29" s="117" t="n">
        <x:f>$B$29*O13</x:f>
      </x:c>
      <x:c r="P29" s="117" t="n">
        <x:f>$B$29*P13</x:f>
      </x:c>
      <x:c r="Q29" s="117" t="n">
        <x:f>$B$29*Q13</x:f>
      </x:c>
      <x:c r="R29" s="117" t="n">
        <x:f>$B$29*R13</x:f>
      </x:c>
      <x:c r="S29" s="117" t="n">
        <x:f>$B$29*S13</x:f>
      </x:c>
      <x:c r="T29" s="117" t="n">
        <x:f>$B$29*T13</x:f>
      </x:c>
      <x:c r="U29" s="117" t="n">
        <x:f>$B$29*U13</x:f>
      </x:c>
      <x:c r="V29" s="117" t="n">
        <x:f>$B$29*V13</x:f>
      </x:c>
      <x:c r="W29" s="117" t="n">
        <x:f>$B$29*W13</x:f>
      </x:c>
      <x:c r="X29" s="117" t="n">
        <x:f>$B$29*X13</x:f>
      </x:c>
      <x:c r="Y29" s="117" t="n">
        <x:f>$B$29*Y13</x:f>
      </x:c>
      <x:c r="Z29" s="117" t="n">
        <x:f>$B$29*Z13</x:f>
      </x:c>
      <x:c r="AA29" s="117" t="n">
        <x:f>$B$29*AA13</x:f>
      </x:c>
      <x:c r="AB29" s="117" t="n">
        <x:f>$B$29*AB13</x:f>
      </x:c>
      <x:c r="AC29" s="117" t="n">
        <x:f>$B$29*AC13</x:f>
      </x:c>
      <x:c r="AD29" s="117" t="n">
        <x:f>$B$29*AD13</x:f>
      </x:c>
      <x:c r="AE29" s="117" t="n">
        <x:f>$B$29*AE13</x:f>
      </x:c>
      <x:c r="AF29" s="117" t="n">
        <x:f>$B$29*AF13</x:f>
      </x:c>
      <x:c r="AG29" s="117" t="n">
        <x:f>$B$29*AG13</x:f>
      </x:c>
      <x:c r="AH29" s="117" t="n">
        <x:f>$B$29*AH13</x:f>
      </x:c>
      <x:c r="AI29" s="117" t="n">
        <x:f>$B$29*AI13</x:f>
      </x:c>
      <x:c r="AJ29" s="117" t="n">
        <x:f>$B$29*AJ13</x:f>
      </x:c>
      <x:c r="AK29" s="117" t="n">
        <x:f>$B$29*AK13</x:f>
      </x:c>
      <x:c r="AL29" s="117" t="n">
        <x:f>$B$29*AL13</x:f>
      </x:c>
      <x:c r="AM29" s="117" t="n">
        <x:f>$B$29*AM13</x:f>
      </x:c>
      <x:c r="AN29" s="117" t="n">
        <x:f>$B$29*AN13</x:f>
      </x:c>
      <x:c r="AO29" s="117" t="n">
        <x:f>$B$29*AO13</x:f>
      </x:c>
      <x:c r="AP29" s="117" t="n">
        <x:f>$B$29*AP13</x:f>
      </x:c>
      <x:c r="AQ29" s="117" t="n">
        <x:f>$B$29*AQ13</x:f>
      </x:c>
      <x:c r="AR29" s="117" t="n">
        <x:f>$B$29*AR13</x:f>
      </x:c>
      <x:c r="AS29" s="117" t="n">
        <x:f>$B$29*AS13</x:f>
      </x:c>
      <x:c r="AT29" s="117" t="n">
        <x:f>$B$29*AT13</x:f>
      </x:c>
      <x:c r="AU29" s="117" t="n">
        <x:f>$B$29*AU13</x:f>
      </x:c>
      <x:c r="AV29" s="117" t="n">
        <x:f>$B$29*AV13</x:f>
      </x:c>
      <x:c r="AW29" s="117" t="n">
        <x:f>$B$29*AW13</x:f>
      </x:c>
      <x:c r="AX29" s="117" t="n">
        <x:f>$B$29*AX13</x:f>
      </x:c>
      <x:c r="AY29" s="117" t="n">
        <x:f>$B$29*AY13</x:f>
      </x:c>
      <x:c r="AZ29" s="117" t="n">
        <x:f>$B$29*AZ13</x:f>
      </x:c>
      <x:c r="BA29" s="117" t="n">
        <x:f>$B$29*BA13</x:f>
      </x:c>
      <x:c r="BB29" s="117" t="n">
        <x:f>$B$29*BB13</x:f>
      </x:c>
      <x:c r="BC29" s="117" t="n">
        <x:f>$B$29*BC13</x:f>
      </x:c>
      <x:c r="BD29" s="117" t="n">
        <x:f>$B$29*BD13</x:f>
      </x:c>
      <x:c r="BE29" s="117" t="n">
        <x:f>$B$29*BE13</x:f>
      </x:c>
      <x:c r="BF29" s="117" t="n">
        <x:f>$B$29*BF13</x:f>
      </x:c>
      <x:c r="BG29" s="117" t="n">
        <x:f>$B$29*BG13</x:f>
      </x:c>
      <x:c r="BH29" s="117" t="n">
        <x:f>$B$29*BH13</x:f>
      </x:c>
      <x:c r="BI29" s="117" t="n">
        <x:f>$B$29*BI13</x:f>
      </x:c>
      <x:c r="BJ29" s="117" t="n">
        <x:f>$B$29*BJ13</x:f>
      </x:c>
      <x:c r="BK29" s="117" t="n">
        <x:f>$B$29*BK13</x:f>
      </x:c>
      <x:c r="BL29" s="117" t="n">
        <x:f>$B$29*BL13</x:f>
      </x:c>
      <x:c r="BM29" s="117" t="n">
        <x:f>$B$29*BM13</x:f>
      </x:c>
      <x:c r="BN29" s="117" t="n">
        <x:f>$B$29*BN13</x:f>
      </x:c>
      <x:c r="BO29" s="117" t="n">
        <x:f>$B$29*BO13</x:f>
      </x:c>
      <x:c r="BP29" s="117" t="n">
        <x:f>$B$29*BP13</x:f>
      </x:c>
      <x:c r="BQ29" s="117" t="n">
        <x:f>$B$29*BQ13</x:f>
      </x:c>
      <x:c r="BR29" s="117" t="n">
        <x:f>$B$29*BR13</x:f>
      </x:c>
      <x:c r="BS29" s="117" t="n">
        <x:f>$B$29*BS13</x:f>
      </x:c>
      <x:c r="BT29" s="117" t="n">
        <x:f>$B$29*BT13</x:f>
      </x:c>
      <x:c r="BU29" s="117" t="n">
        <x:f>$B$29*BU13</x:f>
      </x:c>
      <x:c r="BV29" s="117" t="n">
        <x:f>$B$29*BV13</x:f>
      </x:c>
      <x:c r="BW29" s="117" t="n">
        <x:f>$B$29*BW13</x:f>
      </x:c>
      <x:c r="BX29" s="117" t="n">
        <x:f>$B$29*BX13</x:f>
      </x:c>
      <x:c r="BY29" s="117" t="n">
        <x:f>$B$29*BY13</x:f>
      </x:c>
      <x:c r="BZ29" s="117" t="n">
        <x:f>$B$29*BZ13</x:f>
      </x:c>
      <x:c r="CA29" s="117" t="n">
        <x:f>$B$29*CA13</x:f>
      </x:c>
      <x:c r="CB29" s="117" t="n">
        <x:f>$B$29*CB13</x:f>
      </x:c>
      <x:c r="CC29" s="117" t="n">
        <x:f>$B$29*CC13</x:f>
      </x:c>
      <x:c r="CD29" s="117" t="n">
        <x:f>$B$29*CD13</x:f>
      </x:c>
      <x:c r="CE29" s="117" t="n">
        <x:f>$B$29*CE13</x:f>
      </x:c>
      <x:c r="CF29" s="117" t="n">
        <x:f>$B$29*CF13</x:f>
      </x:c>
      <x:c r="CG29" s="117" t="n">
        <x:f>$B$29*CG13</x:f>
      </x:c>
      <x:c r="CH29" s="117" t="n">
        <x:f>$B$29*CH13</x:f>
      </x:c>
      <x:c r="CI29" s="117" t="n">
        <x:f>$B$29*CI13</x:f>
      </x:c>
      <x:c r="CJ29" s="117" t="n">
        <x:f>$B$29*CJ13</x:f>
      </x:c>
      <x:c r="CK29" s="117" t="n">
        <x:f>$B$29*CK13</x:f>
      </x:c>
      <x:c r="CL29" s="117" t="n">
        <x:f>$B$29*CL13</x:f>
      </x:c>
      <x:c r="CM29" s="117" t="n">
        <x:f>$B$29*CM13</x:f>
      </x:c>
      <x:c r="CN29" s="117" t="n">
        <x:f>$B$29*CN13</x:f>
      </x:c>
      <x:c r="CO29" s="117" t="n">
        <x:f>$B$29*CO13</x:f>
      </x:c>
      <x:c r="CP29" s="117" t="n">
        <x:f>$B$29*CP13</x:f>
      </x:c>
      <x:c r="CQ29" s="117" t="n">
        <x:f>$B$29*CQ13</x:f>
      </x:c>
      <x:c r="CR29" s="117" t="n">
        <x:f>$B$29*CR13</x:f>
      </x:c>
      <x:c r="CS29" s="117" t="n">
        <x:f>$B$29*CS13</x:f>
      </x:c>
      <x:c r="CT29" s="117" t="n">
        <x:f>$B$29*CT13</x:f>
      </x:c>
      <x:c r="CU29" s="117" t="n">
        <x:f>$B$29*CU13</x:f>
      </x:c>
      <x:c r="CV29" s="117" t="n">
        <x:f>$B$29*CV13</x:f>
      </x:c>
      <x:c r="CW29" s="117" t="n">
        <x:f>$B$29*CW13</x:f>
      </x:c>
      <x:c r="CX29" s="117" t="n">
        <x:f>$B$29*CX13</x:f>
      </x:c>
      <x:c r="CY29" s="117" t="n">
        <x:f>$B$29*CY13</x:f>
      </x:c>
      <x:c r="CZ29" s="117" t="n">
        <x:f>$B$29*CZ13</x:f>
      </x:c>
      <x:c r="DA29" s="117" t="n">
        <x:f>$B$29*DA13</x:f>
      </x:c>
      <x:c r="DB29" s="117" t="n">
        <x:f>$B$29*DB13</x:f>
      </x:c>
      <x:c r="DC29" s="117" t="n">
        <x:f>$B$29*DC13</x:f>
      </x:c>
      <x:c r="DD29" s="117" t="n">
        <x:f>$B$29*DD13</x:f>
      </x:c>
      <x:c r="DE29" s="117" t="n">
        <x:f>$B$29*DE13</x:f>
      </x:c>
      <x:c r="DF29" s="117" t="n">
        <x:f>$B$29*DF13</x:f>
      </x:c>
      <x:c r="DG29" s="117" t="n">
        <x:f>$B$29*DG13</x:f>
      </x:c>
      <x:c r="DH29" s="117" t="n">
        <x:f>$B$29*DH13</x:f>
      </x:c>
      <x:c r="DI29" s="117" t="n">
        <x:f>$B$29*DI13</x:f>
      </x:c>
      <x:c r="DJ29" s="117" t="n">
        <x:f>$B$29*DJ13</x:f>
      </x:c>
      <x:c r="DK29" s="117" t="n">
        <x:f>$B$29*DK13</x:f>
      </x:c>
      <x:c r="DL29" s="117" t="n">
        <x:f>$B$29*DL13</x:f>
      </x:c>
      <x:c r="DM29" s="117" t="n">
        <x:f>$B$29*DM13</x:f>
      </x:c>
      <x:c r="DN29" s="117" t="n">
        <x:f>$B$29*DN13</x:f>
      </x:c>
      <x:c r="DO29" s="117" t="n">
        <x:f>$B$29*DO13</x:f>
      </x:c>
      <x:c r="DP29" s="117" t="n">
        <x:f>$B$29*DP13</x:f>
      </x:c>
      <x:c r="DQ29" s="117" t="n">
        <x:f>$B$29*DQ13</x:f>
      </x:c>
      <x:c r="DR29" s="117" t="n">
        <x:f>$B$29*DR13</x:f>
      </x:c>
      <x:c r="DS29" s="117" t="n">
        <x:f>$B$29*DS13</x:f>
      </x:c>
    </x:row>
    <x:row r="30">
      <x:c r="A30" t="str">
        <x:v>Резерв</x:v>
      </x:c>
      <x:c r="B30" s="107" t="n">
        <x:f>(SUM(B15:B29)+B31)*'Вводные'!$B$54</x:f>
      </x:c>
      <x:c r="C30" t="str">
        <x:v>млн ₽</x:v>
      </x:c>
      <x:c r="D30" s="117" t="n">
        <x:f>$B$30*D13</x:f>
      </x:c>
      <x:c r="E30" s="117" t="n">
        <x:f>$B$30*E13</x:f>
      </x:c>
      <x:c r="F30" s="117" t="n">
        <x:f>$B$30*F13</x:f>
      </x:c>
      <x:c r="G30" s="117" t="n">
        <x:f>$B$30*G13</x:f>
      </x:c>
      <x:c r="H30" s="117" t="n">
        <x:f>$B$30*H13</x:f>
      </x:c>
      <x:c r="I30" s="117" t="n">
        <x:f>$B$30*I13</x:f>
      </x:c>
      <x:c r="J30" s="117" t="n">
        <x:f>$B$30*J13</x:f>
      </x:c>
      <x:c r="K30" s="117" t="n">
        <x:f>$B$30*K13</x:f>
      </x:c>
      <x:c r="L30" s="117" t="n">
        <x:f>$B$30*L13</x:f>
      </x:c>
      <x:c r="M30" s="117" t="n">
        <x:f>$B$30*M13</x:f>
      </x:c>
      <x:c r="N30" s="117" t="n">
        <x:f>$B$30*N13</x:f>
      </x:c>
      <x:c r="O30" s="117" t="n">
        <x:f>$B$30*O13</x:f>
      </x:c>
      <x:c r="P30" s="117" t="n">
        <x:f>$B$30*P13</x:f>
      </x:c>
      <x:c r="Q30" s="117" t="n">
        <x:f>$B$30*Q13</x:f>
      </x:c>
      <x:c r="R30" s="117" t="n">
        <x:f>$B$30*R13</x:f>
      </x:c>
      <x:c r="S30" s="117" t="n">
        <x:f>$B$30*S13</x:f>
      </x:c>
      <x:c r="T30" s="117" t="n">
        <x:f>$B$30*T13</x:f>
      </x:c>
      <x:c r="U30" s="117" t="n">
        <x:f>$B$30*U13</x:f>
      </x:c>
      <x:c r="V30" s="117" t="n">
        <x:f>$B$30*V13</x:f>
      </x:c>
      <x:c r="W30" s="117" t="n">
        <x:f>$B$30*W13</x:f>
      </x:c>
      <x:c r="X30" s="117" t="n">
        <x:f>$B$30*X13</x:f>
      </x:c>
      <x:c r="Y30" s="117" t="n">
        <x:f>$B$30*Y13</x:f>
      </x:c>
      <x:c r="Z30" s="117" t="n">
        <x:f>$B$30*Z13</x:f>
      </x:c>
      <x:c r="AA30" s="117" t="n">
        <x:f>$B$30*AA13</x:f>
      </x:c>
      <x:c r="AB30" s="117" t="n">
        <x:f>$B$30*AB13</x:f>
      </x:c>
      <x:c r="AC30" s="117" t="n">
        <x:f>$B$30*AC13</x:f>
      </x:c>
      <x:c r="AD30" s="117" t="n">
        <x:f>$B$30*AD13</x:f>
      </x:c>
      <x:c r="AE30" s="117" t="n">
        <x:f>$B$30*AE13</x:f>
      </x:c>
      <x:c r="AF30" s="117" t="n">
        <x:f>$B$30*AF13</x:f>
      </x:c>
      <x:c r="AG30" s="117" t="n">
        <x:f>$B$30*AG13</x:f>
      </x:c>
      <x:c r="AH30" s="117" t="n">
        <x:f>$B$30*AH13</x:f>
      </x:c>
      <x:c r="AI30" s="117" t="n">
        <x:f>$B$30*AI13</x:f>
      </x:c>
      <x:c r="AJ30" s="117" t="n">
        <x:f>$B$30*AJ13</x:f>
      </x:c>
      <x:c r="AK30" s="117" t="n">
        <x:f>$B$30*AK13</x:f>
      </x:c>
      <x:c r="AL30" s="117" t="n">
        <x:f>$B$30*AL13</x:f>
      </x:c>
      <x:c r="AM30" s="117" t="n">
        <x:f>$B$30*AM13</x:f>
      </x:c>
      <x:c r="AN30" s="117" t="n">
        <x:f>$B$30*AN13</x:f>
      </x:c>
      <x:c r="AO30" s="117" t="n">
        <x:f>$B$30*AO13</x:f>
      </x:c>
      <x:c r="AP30" s="117" t="n">
        <x:f>$B$30*AP13</x:f>
      </x:c>
      <x:c r="AQ30" s="117" t="n">
        <x:f>$B$30*AQ13</x:f>
      </x:c>
      <x:c r="AR30" s="117" t="n">
        <x:f>$B$30*AR13</x:f>
      </x:c>
      <x:c r="AS30" s="117" t="n">
        <x:f>$B$30*AS13</x:f>
      </x:c>
      <x:c r="AT30" s="117" t="n">
        <x:f>$B$30*AT13</x:f>
      </x:c>
      <x:c r="AU30" s="117" t="n">
        <x:f>$B$30*AU13</x:f>
      </x:c>
      <x:c r="AV30" s="117" t="n">
        <x:f>$B$30*AV13</x:f>
      </x:c>
      <x:c r="AW30" s="117" t="n">
        <x:f>$B$30*AW13</x:f>
      </x:c>
      <x:c r="AX30" s="117" t="n">
        <x:f>$B$30*AX13</x:f>
      </x:c>
      <x:c r="AY30" s="117" t="n">
        <x:f>$B$30*AY13</x:f>
      </x:c>
      <x:c r="AZ30" s="117" t="n">
        <x:f>$B$30*AZ13</x:f>
      </x:c>
      <x:c r="BA30" s="117" t="n">
        <x:f>$B$30*BA13</x:f>
      </x:c>
      <x:c r="BB30" s="117" t="n">
        <x:f>$B$30*BB13</x:f>
      </x:c>
      <x:c r="BC30" s="117" t="n">
        <x:f>$B$30*BC13</x:f>
      </x:c>
      <x:c r="BD30" s="117" t="n">
        <x:f>$B$30*BD13</x:f>
      </x:c>
      <x:c r="BE30" s="117" t="n">
        <x:f>$B$30*BE13</x:f>
      </x:c>
      <x:c r="BF30" s="117" t="n">
        <x:f>$B$30*BF13</x:f>
      </x:c>
      <x:c r="BG30" s="117" t="n">
        <x:f>$B$30*BG13</x:f>
      </x:c>
      <x:c r="BH30" s="117" t="n">
        <x:f>$B$30*BH13</x:f>
      </x:c>
      <x:c r="BI30" s="117" t="n">
        <x:f>$B$30*BI13</x:f>
      </x:c>
      <x:c r="BJ30" s="117" t="n">
        <x:f>$B$30*BJ13</x:f>
      </x:c>
      <x:c r="BK30" s="117" t="n">
        <x:f>$B$30*BK13</x:f>
      </x:c>
      <x:c r="BL30" s="117" t="n">
        <x:f>$B$30*BL13</x:f>
      </x:c>
      <x:c r="BM30" s="117" t="n">
        <x:f>$B$30*BM13</x:f>
      </x:c>
      <x:c r="BN30" s="117" t="n">
        <x:f>$B$30*BN13</x:f>
      </x:c>
      <x:c r="BO30" s="117" t="n">
        <x:f>$B$30*BO13</x:f>
      </x:c>
      <x:c r="BP30" s="117" t="n">
        <x:f>$B$30*BP13</x:f>
      </x:c>
      <x:c r="BQ30" s="117" t="n">
        <x:f>$B$30*BQ13</x:f>
      </x:c>
      <x:c r="BR30" s="117" t="n">
        <x:f>$B$30*BR13</x:f>
      </x:c>
      <x:c r="BS30" s="117" t="n">
        <x:f>$B$30*BS13</x:f>
      </x:c>
      <x:c r="BT30" s="117" t="n">
        <x:f>$B$30*BT13</x:f>
      </x:c>
      <x:c r="BU30" s="117" t="n">
        <x:f>$B$30*BU13</x:f>
      </x:c>
      <x:c r="BV30" s="117" t="n">
        <x:f>$B$30*BV13</x:f>
      </x:c>
      <x:c r="BW30" s="117" t="n">
        <x:f>$B$30*BW13</x:f>
      </x:c>
      <x:c r="BX30" s="117" t="n">
        <x:f>$B$30*BX13</x:f>
      </x:c>
      <x:c r="BY30" s="117" t="n">
        <x:f>$B$30*BY13</x:f>
      </x:c>
      <x:c r="BZ30" s="117" t="n">
        <x:f>$B$30*BZ13</x:f>
      </x:c>
      <x:c r="CA30" s="117" t="n">
        <x:f>$B$30*CA13</x:f>
      </x:c>
      <x:c r="CB30" s="117" t="n">
        <x:f>$B$30*CB13</x:f>
      </x:c>
      <x:c r="CC30" s="117" t="n">
        <x:f>$B$30*CC13</x:f>
      </x:c>
      <x:c r="CD30" s="117" t="n">
        <x:f>$B$30*CD13</x:f>
      </x:c>
      <x:c r="CE30" s="117" t="n">
        <x:f>$B$30*CE13</x:f>
      </x:c>
      <x:c r="CF30" s="117" t="n">
        <x:f>$B$30*CF13</x:f>
      </x:c>
      <x:c r="CG30" s="117" t="n">
        <x:f>$B$30*CG13</x:f>
      </x:c>
      <x:c r="CH30" s="117" t="n">
        <x:f>$B$30*CH13</x:f>
      </x:c>
      <x:c r="CI30" s="117" t="n">
        <x:f>$B$30*CI13</x:f>
      </x:c>
      <x:c r="CJ30" s="117" t="n">
        <x:f>$B$30*CJ13</x:f>
      </x:c>
      <x:c r="CK30" s="117" t="n">
        <x:f>$B$30*CK13</x:f>
      </x:c>
      <x:c r="CL30" s="117" t="n">
        <x:f>$B$30*CL13</x:f>
      </x:c>
      <x:c r="CM30" s="117" t="n">
        <x:f>$B$30*CM13</x:f>
      </x:c>
      <x:c r="CN30" s="117" t="n">
        <x:f>$B$30*CN13</x:f>
      </x:c>
      <x:c r="CO30" s="117" t="n">
        <x:f>$B$30*CO13</x:f>
      </x:c>
      <x:c r="CP30" s="117" t="n">
        <x:f>$B$30*CP13</x:f>
      </x:c>
      <x:c r="CQ30" s="117" t="n">
        <x:f>$B$30*CQ13</x:f>
      </x:c>
      <x:c r="CR30" s="117" t="n">
        <x:f>$B$30*CR13</x:f>
      </x:c>
      <x:c r="CS30" s="117" t="n">
        <x:f>$B$30*CS13</x:f>
      </x:c>
      <x:c r="CT30" s="117" t="n">
        <x:f>$B$30*CT13</x:f>
      </x:c>
      <x:c r="CU30" s="117" t="n">
        <x:f>$B$30*CU13</x:f>
      </x:c>
      <x:c r="CV30" s="117" t="n">
        <x:f>$B$30*CV13</x:f>
      </x:c>
      <x:c r="CW30" s="117" t="n">
        <x:f>$B$30*CW13</x:f>
      </x:c>
      <x:c r="CX30" s="117" t="n">
        <x:f>$B$30*CX13</x:f>
      </x:c>
      <x:c r="CY30" s="117" t="n">
        <x:f>$B$30*CY13</x:f>
      </x:c>
      <x:c r="CZ30" s="117" t="n">
        <x:f>$B$30*CZ13</x:f>
      </x:c>
      <x:c r="DA30" s="117" t="n">
        <x:f>$B$30*DA13</x:f>
      </x:c>
      <x:c r="DB30" s="117" t="n">
        <x:f>$B$30*DB13</x:f>
      </x:c>
      <x:c r="DC30" s="117" t="n">
        <x:f>$B$30*DC13</x:f>
      </x:c>
      <x:c r="DD30" s="117" t="n">
        <x:f>$B$30*DD13</x:f>
      </x:c>
      <x:c r="DE30" s="117" t="n">
        <x:f>$B$30*DE13</x:f>
      </x:c>
      <x:c r="DF30" s="117" t="n">
        <x:f>$B$30*DF13</x:f>
      </x:c>
      <x:c r="DG30" s="117" t="n">
        <x:f>$B$30*DG13</x:f>
      </x:c>
      <x:c r="DH30" s="117" t="n">
        <x:f>$B$30*DH13</x:f>
      </x:c>
      <x:c r="DI30" s="117" t="n">
        <x:f>$B$30*DI13</x:f>
      </x:c>
      <x:c r="DJ30" s="117" t="n">
        <x:f>$B$30*DJ13</x:f>
      </x:c>
      <x:c r="DK30" s="117" t="n">
        <x:f>$B$30*DK13</x:f>
      </x:c>
      <x:c r="DL30" s="117" t="n">
        <x:f>$B$30*DL13</x:f>
      </x:c>
      <x:c r="DM30" s="117" t="n">
        <x:f>$B$30*DM13</x:f>
      </x:c>
      <x:c r="DN30" s="117" t="n">
        <x:f>$B$30*DN13</x:f>
      </x:c>
      <x:c r="DO30" s="117" t="n">
        <x:f>$B$30*DO13</x:f>
      </x:c>
      <x:c r="DP30" s="117" t="n">
        <x:f>$B$30*DP13</x:f>
      </x:c>
      <x:c r="DQ30" s="117" t="n">
        <x:f>$B$30*DQ13</x:f>
      </x:c>
      <x:c r="DR30" s="117" t="n">
        <x:f>$B$30*DR13</x:f>
      </x:c>
      <x:c r="DS30" s="117" t="n">
        <x:f>$B$30*DS13</x:f>
      </x:c>
    </x:row>
    <x:row r="31">
      <x:c r="A31" t="str">
        <x:v>Социальная нагрузка</x:v>
      </x:c>
      <x:c r="B31" s="107" t="n">
        <x:f>'Вводные'!$B$17*'Вводные'!$R$88*'Вводные'!$H$6*--('Вводные'!$B$88="Да")</x:f>
      </x:c>
      <x:c r="C31" t="str">
        <x:v>млн ₽</x:v>
      </x:c>
      <x:c r="D31" s="117" t="n">
        <x:f>IF(AND(D$3&gt;='Вводные'!$B$18,D$3&lt;EDATE('Вводные'!$B$18,MAX(1,'Вводные'!$E$18))),$B$31/MAX(1,'Вводные'!$E$18),0)</x:f>
      </x:c>
      <x:c r="E31" s="117" t="n">
        <x:f>IF(AND(E$3&gt;='Вводные'!$B$18,E$3&lt;EDATE('Вводные'!$B$18,MAX(1,'Вводные'!$E$18))),$B$31/MAX(1,'Вводные'!$E$18),0)</x:f>
      </x:c>
      <x:c r="F31" s="117" t="n">
        <x:f>IF(AND(F$3&gt;='Вводные'!$B$18,F$3&lt;EDATE('Вводные'!$B$18,MAX(1,'Вводные'!$E$18))),$B$31/MAX(1,'Вводные'!$E$18),0)</x:f>
      </x:c>
      <x:c r="G31" s="117" t="n">
        <x:f>IF(AND(G$3&gt;='Вводные'!$B$18,G$3&lt;EDATE('Вводные'!$B$18,MAX(1,'Вводные'!$E$18))),$B$31/MAX(1,'Вводные'!$E$18),0)</x:f>
      </x:c>
      <x:c r="H31" s="117" t="n">
        <x:f>IF(AND(H$3&gt;='Вводные'!$B$18,H$3&lt;EDATE('Вводные'!$B$18,MAX(1,'Вводные'!$E$18))),$B$31/MAX(1,'Вводные'!$E$18),0)</x:f>
      </x:c>
      <x:c r="I31" s="117" t="n">
        <x:f>IF(AND(I$3&gt;='Вводные'!$B$18,I$3&lt;EDATE('Вводные'!$B$18,MAX(1,'Вводные'!$E$18))),$B$31/MAX(1,'Вводные'!$E$18),0)</x:f>
      </x:c>
      <x:c r="J31" s="117" t="n">
        <x:f>IF(AND(J$3&gt;='Вводные'!$B$18,J$3&lt;EDATE('Вводные'!$B$18,MAX(1,'Вводные'!$E$18))),$B$31/MAX(1,'Вводные'!$E$18),0)</x:f>
      </x:c>
      <x:c r="K31" s="117" t="n">
        <x:f>IF(AND(K$3&gt;='Вводные'!$B$18,K$3&lt;EDATE('Вводные'!$B$18,MAX(1,'Вводные'!$E$18))),$B$31/MAX(1,'Вводные'!$E$18),0)</x:f>
      </x:c>
      <x:c r="L31" s="117" t="n">
        <x:f>IF(AND(L$3&gt;='Вводные'!$B$18,L$3&lt;EDATE('Вводные'!$B$18,MAX(1,'Вводные'!$E$18))),$B$31/MAX(1,'Вводные'!$E$18),0)</x:f>
      </x:c>
      <x:c r="M31" s="117" t="n">
        <x:f>IF(AND(M$3&gt;='Вводные'!$B$18,M$3&lt;EDATE('Вводные'!$B$18,MAX(1,'Вводные'!$E$18))),$B$31/MAX(1,'Вводные'!$E$18),0)</x:f>
      </x:c>
      <x:c r="N31" s="117" t="n">
        <x:f>IF(AND(N$3&gt;='Вводные'!$B$18,N$3&lt;EDATE('Вводные'!$B$18,MAX(1,'Вводные'!$E$18))),$B$31/MAX(1,'Вводные'!$E$18),0)</x:f>
      </x:c>
      <x:c r="O31" s="117" t="n">
        <x:f>IF(AND(O$3&gt;='Вводные'!$B$18,O$3&lt;EDATE('Вводные'!$B$18,MAX(1,'Вводные'!$E$18))),$B$31/MAX(1,'Вводные'!$E$18),0)</x:f>
      </x:c>
      <x:c r="P31" s="117" t="n">
        <x:f>IF(AND(P$3&gt;='Вводные'!$B$18,P$3&lt;EDATE('Вводные'!$B$18,MAX(1,'Вводные'!$E$18))),$B$31/MAX(1,'Вводные'!$E$18),0)</x:f>
      </x:c>
      <x:c r="Q31" s="117" t="n">
        <x:f>IF(AND(Q$3&gt;='Вводные'!$B$18,Q$3&lt;EDATE('Вводные'!$B$18,MAX(1,'Вводные'!$E$18))),$B$31/MAX(1,'Вводные'!$E$18),0)</x:f>
      </x:c>
      <x:c r="R31" s="117" t="n">
        <x:f>IF(AND(R$3&gt;='Вводные'!$B$18,R$3&lt;EDATE('Вводные'!$B$18,MAX(1,'Вводные'!$E$18))),$B$31/MAX(1,'Вводные'!$E$18),0)</x:f>
      </x:c>
      <x:c r="S31" s="117" t="n">
        <x:f>IF(AND(S$3&gt;='Вводные'!$B$18,S$3&lt;EDATE('Вводные'!$B$18,MAX(1,'Вводные'!$E$18))),$B$31/MAX(1,'Вводные'!$E$18),0)</x:f>
      </x:c>
      <x:c r="T31" s="117" t="n">
        <x:f>IF(AND(T$3&gt;='Вводные'!$B$18,T$3&lt;EDATE('Вводные'!$B$18,MAX(1,'Вводные'!$E$18))),$B$31/MAX(1,'Вводные'!$E$18),0)</x:f>
      </x:c>
      <x:c r="U31" s="117" t="n">
        <x:f>IF(AND(U$3&gt;='Вводные'!$B$18,U$3&lt;EDATE('Вводные'!$B$18,MAX(1,'Вводные'!$E$18))),$B$31/MAX(1,'Вводные'!$E$18),0)</x:f>
      </x:c>
      <x:c r="V31" s="117" t="n">
        <x:f>IF(AND(V$3&gt;='Вводные'!$B$18,V$3&lt;EDATE('Вводные'!$B$18,MAX(1,'Вводные'!$E$18))),$B$31/MAX(1,'Вводные'!$E$18),0)</x:f>
      </x:c>
      <x:c r="W31" s="117" t="n">
        <x:f>IF(AND(W$3&gt;='Вводные'!$B$18,W$3&lt;EDATE('Вводные'!$B$18,MAX(1,'Вводные'!$E$18))),$B$31/MAX(1,'Вводные'!$E$18),0)</x:f>
      </x:c>
      <x:c r="X31" s="117" t="n">
        <x:f>IF(AND(X$3&gt;='Вводные'!$B$18,X$3&lt;EDATE('Вводные'!$B$18,MAX(1,'Вводные'!$E$18))),$B$31/MAX(1,'Вводные'!$E$18),0)</x:f>
      </x:c>
      <x:c r="Y31" s="117" t="n">
        <x:f>IF(AND(Y$3&gt;='Вводные'!$B$18,Y$3&lt;EDATE('Вводные'!$B$18,MAX(1,'Вводные'!$E$18))),$B$31/MAX(1,'Вводные'!$E$18),0)</x:f>
      </x:c>
      <x:c r="Z31" s="117" t="n">
        <x:f>IF(AND(Z$3&gt;='Вводные'!$B$18,Z$3&lt;EDATE('Вводные'!$B$18,MAX(1,'Вводные'!$E$18))),$B$31/MAX(1,'Вводные'!$E$18),0)</x:f>
      </x:c>
      <x:c r="AA31" s="117" t="n">
        <x:f>IF(AND(AA$3&gt;='Вводные'!$B$18,AA$3&lt;EDATE('Вводные'!$B$18,MAX(1,'Вводные'!$E$18))),$B$31/MAX(1,'Вводные'!$E$18),0)</x:f>
      </x:c>
      <x:c r="AB31" s="117" t="n">
        <x:f>IF(AND(AB$3&gt;='Вводные'!$B$18,AB$3&lt;EDATE('Вводные'!$B$18,MAX(1,'Вводные'!$E$18))),$B$31/MAX(1,'Вводные'!$E$18),0)</x:f>
      </x:c>
      <x:c r="AC31" s="117" t="n">
        <x:f>IF(AND(AC$3&gt;='Вводные'!$B$18,AC$3&lt;EDATE('Вводные'!$B$18,MAX(1,'Вводные'!$E$18))),$B$31/MAX(1,'Вводные'!$E$18),0)</x:f>
      </x:c>
      <x:c r="AD31" s="117" t="n">
        <x:f>IF(AND(AD$3&gt;='Вводные'!$B$18,AD$3&lt;EDATE('Вводные'!$B$18,MAX(1,'Вводные'!$E$18))),$B$31/MAX(1,'Вводные'!$E$18),0)</x:f>
      </x:c>
      <x:c r="AE31" s="117" t="n">
        <x:f>IF(AND(AE$3&gt;='Вводные'!$B$18,AE$3&lt;EDATE('Вводные'!$B$18,MAX(1,'Вводные'!$E$18))),$B$31/MAX(1,'Вводные'!$E$18),0)</x:f>
      </x:c>
      <x:c r="AF31" s="117" t="n">
        <x:f>IF(AND(AF$3&gt;='Вводные'!$B$18,AF$3&lt;EDATE('Вводные'!$B$18,MAX(1,'Вводные'!$E$18))),$B$31/MAX(1,'Вводные'!$E$18),0)</x:f>
      </x:c>
      <x:c r="AG31" s="117" t="n">
        <x:f>IF(AND(AG$3&gt;='Вводные'!$B$18,AG$3&lt;EDATE('Вводные'!$B$18,MAX(1,'Вводные'!$E$18))),$B$31/MAX(1,'Вводные'!$E$18),0)</x:f>
      </x:c>
      <x:c r="AH31" s="117" t="n">
        <x:f>IF(AND(AH$3&gt;='Вводные'!$B$18,AH$3&lt;EDATE('Вводные'!$B$18,MAX(1,'Вводные'!$E$18))),$B$31/MAX(1,'Вводные'!$E$18),0)</x:f>
      </x:c>
      <x:c r="AI31" s="117" t="n">
        <x:f>IF(AND(AI$3&gt;='Вводные'!$B$18,AI$3&lt;EDATE('Вводные'!$B$18,MAX(1,'Вводные'!$E$18))),$B$31/MAX(1,'Вводные'!$E$18),0)</x:f>
      </x:c>
      <x:c r="AJ31" s="117" t="n">
        <x:f>IF(AND(AJ$3&gt;='Вводные'!$B$18,AJ$3&lt;EDATE('Вводные'!$B$18,MAX(1,'Вводные'!$E$18))),$B$31/MAX(1,'Вводные'!$E$18),0)</x:f>
      </x:c>
      <x:c r="AK31" s="117" t="n">
        <x:f>IF(AND(AK$3&gt;='Вводные'!$B$18,AK$3&lt;EDATE('Вводные'!$B$18,MAX(1,'Вводные'!$E$18))),$B$31/MAX(1,'Вводные'!$E$18),0)</x:f>
      </x:c>
      <x:c r="AL31" s="117" t="n">
        <x:f>IF(AND(AL$3&gt;='Вводные'!$B$18,AL$3&lt;EDATE('Вводные'!$B$18,MAX(1,'Вводные'!$E$18))),$B$31/MAX(1,'Вводные'!$E$18),0)</x:f>
      </x:c>
      <x:c r="AM31" s="117" t="n">
        <x:f>IF(AND(AM$3&gt;='Вводные'!$B$18,AM$3&lt;EDATE('Вводные'!$B$18,MAX(1,'Вводные'!$E$18))),$B$31/MAX(1,'Вводные'!$E$18),0)</x:f>
      </x:c>
      <x:c r="AN31" s="117" t="n">
        <x:f>IF(AND(AN$3&gt;='Вводные'!$B$18,AN$3&lt;EDATE('Вводные'!$B$18,MAX(1,'Вводные'!$E$18))),$B$31/MAX(1,'Вводные'!$E$18),0)</x:f>
      </x:c>
      <x:c r="AO31" s="117" t="n">
        <x:f>IF(AND(AO$3&gt;='Вводные'!$B$18,AO$3&lt;EDATE('Вводные'!$B$18,MAX(1,'Вводные'!$E$18))),$B$31/MAX(1,'Вводные'!$E$18),0)</x:f>
      </x:c>
      <x:c r="AP31" s="117" t="n">
        <x:f>IF(AND(AP$3&gt;='Вводные'!$B$18,AP$3&lt;EDATE('Вводные'!$B$18,MAX(1,'Вводные'!$E$18))),$B$31/MAX(1,'Вводные'!$E$18),0)</x:f>
      </x:c>
      <x:c r="AQ31" s="117" t="n">
        <x:f>IF(AND(AQ$3&gt;='Вводные'!$B$18,AQ$3&lt;EDATE('Вводные'!$B$18,MAX(1,'Вводные'!$E$18))),$B$31/MAX(1,'Вводные'!$E$18),0)</x:f>
      </x:c>
      <x:c r="AR31" s="117" t="n">
        <x:f>IF(AND(AR$3&gt;='Вводные'!$B$18,AR$3&lt;EDATE('Вводные'!$B$18,MAX(1,'Вводные'!$E$18))),$B$31/MAX(1,'Вводные'!$E$18),0)</x:f>
      </x:c>
      <x:c r="AS31" s="117" t="n">
        <x:f>IF(AND(AS$3&gt;='Вводные'!$B$18,AS$3&lt;EDATE('Вводные'!$B$18,MAX(1,'Вводные'!$E$18))),$B$31/MAX(1,'Вводные'!$E$18),0)</x:f>
      </x:c>
      <x:c r="AT31" s="117" t="n">
        <x:f>IF(AND(AT$3&gt;='Вводные'!$B$18,AT$3&lt;EDATE('Вводные'!$B$18,MAX(1,'Вводные'!$E$18))),$B$31/MAX(1,'Вводные'!$E$18),0)</x:f>
      </x:c>
      <x:c r="AU31" s="117" t="n">
        <x:f>IF(AND(AU$3&gt;='Вводные'!$B$18,AU$3&lt;EDATE('Вводные'!$B$18,MAX(1,'Вводные'!$E$18))),$B$31/MAX(1,'Вводные'!$E$18),0)</x:f>
      </x:c>
      <x:c r="AV31" s="117" t="n">
        <x:f>IF(AND(AV$3&gt;='Вводные'!$B$18,AV$3&lt;EDATE('Вводные'!$B$18,MAX(1,'Вводные'!$E$18))),$B$31/MAX(1,'Вводные'!$E$18),0)</x:f>
      </x:c>
      <x:c r="AW31" s="117" t="n">
        <x:f>IF(AND(AW$3&gt;='Вводные'!$B$18,AW$3&lt;EDATE('Вводные'!$B$18,MAX(1,'Вводные'!$E$18))),$B$31/MAX(1,'Вводные'!$E$18),0)</x:f>
      </x:c>
      <x:c r="AX31" s="117" t="n">
        <x:f>IF(AND(AX$3&gt;='Вводные'!$B$18,AX$3&lt;EDATE('Вводные'!$B$18,MAX(1,'Вводные'!$E$18))),$B$31/MAX(1,'Вводные'!$E$18),0)</x:f>
      </x:c>
      <x:c r="AY31" s="117" t="n">
        <x:f>IF(AND(AY$3&gt;='Вводные'!$B$18,AY$3&lt;EDATE('Вводные'!$B$18,MAX(1,'Вводные'!$E$18))),$B$31/MAX(1,'Вводные'!$E$18),0)</x:f>
      </x:c>
      <x:c r="AZ31" s="117" t="n">
        <x:f>IF(AND(AZ$3&gt;='Вводные'!$B$18,AZ$3&lt;EDATE('Вводные'!$B$18,MAX(1,'Вводные'!$E$18))),$B$31/MAX(1,'Вводные'!$E$18),0)</x:f>
      </x:c>
      <x:c r="BA31" s="117" t="n">
        <x:f>IF(AND(BA$3&gt;='Вводные'!$B$18,BA$3&lt;EDATE('Вводные'!$B$18,MAX(1,'Вводные'!$E$18))),$B$31/MAX(1,'Вводные'!$E$18),0)</x:f>
      </x:c>
      <x:c r="BB31" s="117" t="n">
        <x:f>IF(AND(BB$3&gt;='Вводные'!$B$18,BB$3&lt;EDATE('Вводные'!$B$18,MAX(1,'Вводные'!$E$18))),$B$31/MAX(1,'Вводные'!$E$18),0)</x:f>
      </x:c>
      <x:c r="BC31" s="117" t="n">
        <x:f>IF(AND(BC$3&gt;='Вводные'!$B$18,BC$3&lt;EDATE('Вводные'!$B$18,MAX(1,'Вводные'!$E$18))),$B$31/MAX(1,'Вводные'!$E$18),0)</x:f>
      </x:c>
      <x:c r="BD31" s="117" t="n">
        <x:f>IF(AND(BD$3&gt;='Вводные'!$B$18,BD$3&lt;EDATE('Вводные'!$B$18,MAX(1,'Вводные'!$E$18))),$B$31/MAX(1,'Вводные'!$E$18),0)</x:f>
      </x:c>
      <x:c r="BE31" s="117" t="n">
        <x:f>IF(AND(BE$3&gt;='Вводные'!$B$18,BE$3&lt;EDATE('Вводные'!$B$18,MAX(1,'Вводные'!$E$18))),$B$31/MAX(1,'Вводные'!$E$18),0)</x:f>
      </x:c>
      <x:c r="BF31" s="117" t="n">
        <x:f>IF(AND(BF$3&gt;='Вводные'!$B$18,BF$3&lt;EDATE('Вводные'!$B$18,MAX(1,'Вводные'!$E$18))),$B$31/MAX(1,'Вводные'!$E$18),0)</x:f>
      </x:c>
      <x:c r="BG31" s="117" t="n">
        <x:f>IF(AND(BG$3&gt;='Вводные'!$B$18,BG$3&lt;EDATE('Вводные'!$B$18,MAX(1,'Вводные'!$E$18))),$B$31/MAX(1,'Вводные'!$E$18),0)</x:f>
      </x:c>
      <x:c r="BH31" s="117" t="n">
        <x:f>IF(AND(BH$3&gt;='Вводные'!$B$18,BH$3&lt;EDATE('Вводные'!$B$18,MAX(1,'Вводные'!$E$18))),$B$31/MAX(1,'Вводные'!$E$18),0)</x:f>
      </x:c>
      <x:c r="BI31" s="117" t="n">
        <x:f>IF(AND(BI$3&gt;='Вводные'!$B$18,BI$3&lt;EDATE('Вводные'!$B$18,MAX(1,'Вводные'!$E$18))),$B$31/MAX(1,'Вводные'!$E$18),0)</x:f>
      </x:c>
      <x:c r="BJ31" s="117" t="n">
        <x:f>IF(AND(BJ$3&gt;='Вводные'!$B$18,BJ$3&lt;EDATE('Вводные'!$B$18,MAX(1,'Вводные'!$E$18))),$B$31/MAX(1,'Вводные'!$E$18),0)</x:f>
      </x:c>
      <x:c r="BK31" s="117" t="n">
        <x:f>IF(AND(BK$3&gt;='Вводные'!$B$18,BK$3&lt;EDATE('Вводные'!$B$18,MAX(1,'Вводные'!$E$18))),$B$31/MAX(1,'Вводные'!$E$18),0)</x:f>
      </x:c>
      <x:c r="BL31" s="117" t="n">
        <x:f>IF(AND(BL$3&gt;='Вводные'!$B$18,BL$3&lt;EDATE('Вводные'!$B$18,MAX(1,'Вводные'!$E$18))),$B$31/MAX(1,'Вводные'!$E$18),0)</x:f>
      </x:c>
      <x:c r="BM31" s="117" t="n">
        <x:f>IF(AND(BM$3&gt;='Вводные'!$B$18,BM$3&lt;EDATE('Вводные'!$B$18,MAX(1,'Вводные'!$E$18))),$B$31/MAX(1,'Вводные'!$E$18),0)</x:f>
      </x:c>
      <x:c r="BN31" s="117" t="n">
        <x:f>IF(AND(BN$3&gt;='Вводные'!$B$18,BN$3&lt;EDATE('Вводные'!$B$18,MAX(1,'Вводные'!$E$18))),$B$31/MAX(1,'Вводные'!$E$18),0)</x:f>
      </x:c>
      <x:c r="BO31" s="117" t="n">
        <x:f>IF(AND(BO$3&gt;='Вводные'!$B$18,BO$3&lt;EDATE('Вводные'!$B$18,MAX(1,'Вводные'!$E$18))),$B$31/MAX(1,'Вводные'!$E$18),0)</x:f>
      </x:c>
      <x:c r="BP31" s="117" t="n">
        <x:f>IF(AND(BP$3&gt;='Вводные'!$B$18,BP$3&lt;EDATE('Вводные'!$B$18,MAX(1,'Вводные'!$E$18))),$B$31/MAX(1,'Вводные'!$E$18),0)</x:f>
      </x:c>
      <x:c r="BQ31" s="117" t="n">
        <x:f>IF(AND(BQ$3&gt;='Вводные'!$B$18,BQ$3&lt;EDATE('Вводные'!$B$18,MAX(1,'Вводные'!$E$18))),$B$31/MAX(1,'Вводные'!$E$18),0)</x:f>
      </x:c>
      <x:c r="BR31" s="117" t="n">
        <x:f>IF(AND(BR$3&gt;='Вводные'!$B$18,BR$3&lt;EDATE('Вводные'!$B$18,MAX(1,'Вводные'!$E$18))),$B$31/MAX(1,'Вводные'!$E$18),0)</x:f>
      </x:c>
      <x:c r="BS31" s="117" t="n">
        <x:f>IF(AND(BS$3&gt;='Вводные'!$B$18,BS$3&lt;EDATE('Вводные'!$B$18,MAX(1,'Вводные'!$E$18))),$B$31/MAX(1,'Вводные'!$E$18),0)</x:f>
      </x:c>
      <x:c r="BT31" s="117" t="n">
        <x:f>IF(AND(BT$3&gt;='Вводные'!$B$18,BT$3&lt;EDATE('Вводные'!$B$18,MAX(1,'Вводные'!$E$18))),$B$31/MAX(1,'Вводные'!$E$18),0)</x:f>
      </x:c>
      <x:c r="BU31" s="117" t="n">
        <x:f>IF(AND(BU$3&gt;='Вводные'!$B$18,BU$3&lt;EDATE('Вводные'!$B$18,MAX(1,'Вводные'!$E$18))),$B$31/MAX(1,'Вводные'!$E$18),0)</x:f>
      </x:c>
      <x:c r="BV31" s="117" t="n">
        <x:f>IF(AND(BV$3&gt;='Вводные'!$B$18,BV$3&lt;EDATE('Вводные'!$B$18,MAX(1,'Вводные'!$E$18))),$B$31/MAX(1,'Вводные'!$E$18),0)</x:f>
      </x:c>
      <x:c r="BW31" s="117" t="n">
        <x:f>IF(AND(BW$3&gt;='Вводные'!$B$18,BW$3&lt;EDATE('Вводные'!$B$18,MAX(1,'Вводные'!$E$18))),$B$31/MAX(1,'Вводные'!$E$18),0)</x:f>
      </x:c>
      <x:c r="BX31" s="117" t="n">
        <x:f>IF(AND(BX$3&gt;='Вводные'!$B$18,BX$3&lt;EDATE('Вводные'!$B$18,MAX(1,'Вводные'!$E$18))),$B$31/MAX(1,'Вводные'!$E$18),0)</x:f>
      </x:c>
      <x:c r="BY31" s="117" t="n">
        <x:f>IF(AND(BY$3&gt;='Вводные'!$B$18,BY$3&lt;EDATE('Вводные'!$B$18,MAX(1,'Вводные'!$E$18))),$B$31/MAX(1,'Вводные'!$E$18),0)</x:f>
      </x:c>
      <x:c r="BZ31" s="117" t="n">
        <x:f>IF(AND(BZ$3&gt;='Вводные'!$B$18,BZ$3&lt;EDATE('Вводные'!$B$18,MAX(1,'Вводные'!$E$18))),$B$31/MAX(1,'Вводные'!$E$18),0)</x:f>
      </x:c>
      <x:c r="CA31" s="117" t="n">
        <x:f>IF(AND(CA$3&gt;='Вводные'!$B$18,CA$3&lt;EDATE('Вводные'!$B$18,MAX(1,'Вводные'!$E$18))),$B$31/MAX(1,'Вводные'!$E$18),0)</x:f>
      </x:c>
      <x:c r="CB31" s="117" t="n">
        <x:f>IF(AND(CB$3&gt;='Вводные'!$B$18,CB$3&lt;EDATE('Вводные'!$B$18,MAX(1,'Вводные'!$E$18))),$B$31/MAX(1,'Вводные'!$E$18),0)</x:f>
      </x:c>
      <x:c r="CC31" s="117" t="n">
        <x:f>IF(AND(CC$3&gt;='Вводные'!$B$18,CC$3&lt;EDATE('Вводные'!$B$18,MAX(1,'Вводные'!$E$18))),$B$31/MAX(1,'Вводные'!$E$18),0)</x:f>
      </x:c>
      <x:c r="CD31" s="117" t="n">
        <x:f>IF(AND(CD$3&gt;='Вводные'!$B$18,CD$3&lt;EDATE('Вводные'!$B$18,MAX(1,'Вводные'!$E$18))),$B$31/MAX(1,'Вводные'!$E$18),0)</x:f>
      </x:c>
      <x:c r="CE31" s="117" t="n">
        <x:f>IF(AND(CE$3&gt;='Вводные'!$B$18,CE$3&lt;EDATE('Вводные'!$B$18,MAX(1,'Вводные'!$E$18))),$B$31/MAX(1,'Вводные'!$E$18),0)</x:f>
      </x:c>
      <x:c r="CF31" s="117" t="n">
        <x:f>IF(AND(CF$3&gt;='Вводные'!$B$18,CF$3&lt;EDATE('Вводные'!$B$18,MAX(1,'Вводные'!$E$18))),$B$31/MAX(1,'Вводные'!$E$18),0)</x:f>
      </x:c>
      <x:c r="CG31" s="117" t="n">
        <x:f>IF(AND(CG$3&gt;='Вводные'!$B$18,CG$3&lt;EDATE('Вводные'!$B$18,MAX(1,'Вводные'!$E$18))),$B$31/MAX(1,'Вводные'!$E$18),0)</x:f>
      </x:c>
      <x:c r="CH31" s="117" t="n">
        <x:f>IF(AND(CH$3&gt;='Вводные'!$B$18,CH$3&lt;EDATE('Вводные'!$B$18,MAX(1,'Вводные'!$E$18))),$B$31/MAX(1,'Вводные'!$E$18),0)</x:f>
      </x:c>
      <x:c r="CI31" s="117" t="n">
        <x:f>IF(AND(CI$3&gt;='Вводные'!$B$18,CI$3&lt;EDATE('Вводные'!$B$18,MAX(1,'Вводные'!$E$18))),$B$31/MAX(1,'Вводные'!$E$18),0)</x:f>
      </x:c>
      <x:c r="CJ31" s="117" t="n">
        <x:f>IF(AND(CJ$3&gt;='Вводные'!$B$18,CJ$3&lt;EDATE('Вводные'!$B$18,MAX(1,'Вводные'!$E$18))),$B$31/MAX(1,'Вводные'!$E$18),0)</x:f>
      </x:c>
      <x:c r="CK31" s="117" t="n">
        <x:f>IF(AND(CK$3&gt;='Вводные'!$B$18,CK$3&lt;EDATE('Вводные'!$B$18,MAX(1,'Вводные'!$E$18))),$B$31/MAX(1,'Вводные'!$E$18),0)</x:f>
      </x:c>
      <x:c r="CL31" s="117" t="n">
        <x:f>IF(AND(CL$3&gt;='Вводные'!$B$18,CL$3&lt;EDATE('Вводные'!$B$18,MAX(1,'Вводные'!$E$18))),$B$31/MAX(1,'Вводные'!$E$18),0)</x:f>
      </x:c>
      <x:c r="CM31" s="117" t="n">
        <x:f>IF(AND(CM$3&gt;='Вводные'!$B$18,CM$3&lt;EDATE('Вводные'!$B$18,MAX(1,'Вводные'!$E$18))),$B$31/MAX(1,'Вводные'!$E$18),0)</x:f>
      </x:c>
      <x:c r="CN31" s="117" t="n">
        <x:f>IF(AND(CN$3&gt;='Вводные'!$B$18,CN$3&lt;EDATE('Вводные'!$B$18,MAX(1,'Вводные'!$E$18))),$B$31/MAX(1,'Вводные'!$E$18),0)</x:f>
      </x:c>
      <x:c r="CO31" s="117" t="n">
        <x:f>IF(AND(CO$3&gt;='Вводные'!$B$18,CO$3&lt;EDATE('Вводные'!$B$18,MAX(1,'Вводные'!$E$18))),$B$31/MAX(1,'Вводные'!$E$18),0)</x:f>
      </x:c>
      <x:c r="CP31" s="117" t="n">
        <x:f>IF(AND(CP$3&gt;='Вводные'!$B$18,CP$3&lt;EDATE('Вводные'!$B$18,MAX(1,'Вводные'!$E$18))),$B$31/MAX(1,'Вводные'!$E$18),0)</x:f>
      </x:c>
      <x:c r="CQ31" s="117" t="n">
        <x:f>IF(AND(CQ$3&gt;='Вводные'!$B$18,CQ$3&lt;EDATE('Вводные'!$B$18,MAX(1,'Вводные'!$E$18))),$B$31/MAX(1,'Вводные'!$E$18),0)</x:f>
      </x:c>
      <x:c r="CR31" s="117" t="n">
        <x:f>IF(AND(CR$3&gt;='Вводные'!$B$18,CR$3&lt;EDATE('Вводные'!$B$18,MAX(1,'Вводные'!$E$18))),$B$31/MAX(1,'Вводные'!$E$18),0)</x:f>
      </x:c>
      <x:c r="CS31" s="117" t="n">
        <x:f>IF(AND(CS$3&gt;='Вводные'!$B$18,CS$3&lt;EDATE('Вводные'!$B$18,MAX(1,'Вводные'!$E$18))),$B$31/MAX(1,'Вводные'!$E$18),0)</x:f>
      </x:c>
      <x:c r="CT31" s="117" t="n">
        <x:f>IF(AND(CT$3&gt;='Вводные'!$B$18,CT$3&lt;EDATE('Вводные'!$B$18,MAX(1,'Вводные'!$E$18))),$B$31/MAX(1,'Вводные'!$E$18),0)</x:f>
      </x:c>
      <x:c r="CU31" s="117" t="n">
        <x:f>IF(AND(CU$3&gt;='Вводные'!$B$18,CU$3&lt;EDATE('Вводные'!$B$18,MAX(1,'Вводные'!$E$18))),$B$31/MAX(1,'Вводные'!$E$18),0)</x:f>
      </x:c>
      <x:c r="CV31" s="117" t="n">
        <x:f>IF(AND(CV$3&gt;='Вводные'!$B$18,CV$3&lt;EDATE('Вводные'!$B$18,MAX(1,'Вводные'!$E$18))),$B$31/MAX(1,'Вводные'!$E$18),0)</x:f>
      </x:c>
      <x:c r="CW31" s="117" t="n">
        <x:f>IF(AND(CW$3&gt;='Вводные'!$B$18,CW$3&lt;EDATE('Вводные'!$B$18,MAX(1,'Вводные'!$E$18))),$B$31/MAX(1,'Вводные'!$E$18),0)</x:f>
      </x:c>
      <x:c r="CX31" s="117" t="n">
        <x:f>IF(AND(CX$3&gt;='Вводные'!$B$18,CX$3&lt;EDATE('Вводные'!$B$18,MAX(1,'Вводные'!$E$18))),$B$31/MAX(1,'Вводные'!$E$18),0)</x:f>
      </x:c>
      <x:c r="CY31" s="117" t="n">
        <x:f>IF(AND(CY$3&gt;='Вводные'!$B$18,CY$3&lt;EDATE('Вводные'!$B$18,MAX(1,'Вводные'!$E$18))),$B$31/MAX(1,'Вводные'!$E$18),0)</x:f>
      </x:c>
      <x:c r="CZ31" s="117" t="n">
        <x:f>IF(AND(CZ$3&gt;='Вводные'!$B$18,CZ$3&lt;EDATE('Вводные'!$B$18,MAX(1,'Вводные'!$E$18))),$B$31/MAX(1,'Вводные'!$E$18),0)</x:f>
      </x:c>
      <x:c r="DA31" s="117" t="n">
        <x:f>IF(AND(DA$3&gt;='Вводные'!$B$18,DA$3&lt;EDATE('Вводные'!$B$18,MAX(1,'Вводные'!$E$18))),$B$31/MAX(1,'Вводные'!$E$18),0)</x:f>
      </x:c>
      <x:c r="DB31" s="117" t="n">
        <x:f>IF(AND(DB$3&gt;='Вводные'!$B$18,DB$3&lt;EDATE('Вводные'!$B$18,MAX(1,'Вводные'!$E$18))),$B$31/MAX(1,'Вводные'!$E$18),0)</x:f>
      </x:c>
      <x:c r="DC31" s="117" t="n">
        <x:f>IF(AND(DC$3&gt;='Вводные'!$B$18,DC$3&lt;EDATE('Вводные'!$B$18,MAX(1,'Вводные'!$E$18))),$B$31/MAX(1,'Вводные'!$E$18),0)</x:f>
      </x:c>
      <x:c r="DD31" s="117" t="n">
        <x:f>IF(AND(DD$3&gt;='Вводные'!$B$18,DD$3&lt;EDATE('Вводные'!$B$18,MAX(1,'Вводные'!$E$18))),$B$31/MAX(1,'Вводные'!$E$18),0)</x:f>
      </x:c>
      <x:c r="DE31" s="117" t="n">
        <x:f>IF(AND(DE$3&gt;='Вводные'!$B$18,DE$3&lt;EDATE('Вводные'!$B$18,MAX(1,'Вводные'!$E$18))),$B$31/MAX(1,'Вводные'!$E$18),0)</x:f>
      </x:c>
      <x:c r="DF31" s="117" t="n">
        <x:f>IF(AND(DF$3&gt;='Вводные'!$B$18,DF$3&lt;EDATE('Вводные'!$B$18,MAX(1,'Вводные'!$E$18))),$B$31/MAX(1,'Вводные'!$E$18),0)</x:f>
      </x:c>
      <x:c r="DG31" s="117" t="n">
        <x:f>IF(AND(DG$3&gt;='Вводные'!$B$18,DG$3&lt;EDATE('Вводные'!$B$18,MAX(1,'Вводные'!$E$18))),$B$31/MAX(1,'Вводные'!$E$18),0)</x:f>
      </x:c>
      <x:c r="DH31" s="117" t="n">
        <x:f>IF(AND(DH$3&gt;='Вводные'!$B$18,DH$3&lt;EDATE('Вводные'!$B$18,MAX(1,'Вводные'!$E$18))),$B$31/MAX(1,'Вводные'!$E$18),0)</x:f>
      </x:c>
      <x:c r="DI31" s="117" t="n">
        <x:f>IF(AND(DI$3&gt;='Вводные'!$B$18,DI$3&lt;EDATE('Вводные'!$B$18,MAX(1,'Вводные'!$E$18))),$B$31/MAX(1,'Вводные'!$E$18),0)</x:f>
      </x:c>
      <x:c r="DJ31" s="117" t="n">
        <x:f>IF(AND(DJ$3&gt;='Вводные'!$B$18,DJ$3&lt;EDATE('Вводные'!$B$18,MAX(1,'Вводные'!$E$18))),$B$31/MAX(1,'Вводные'!$E$18),0)</x:f>
      </x:c>
      <x:c r="DK31" s="117" t="n">
        <x:f>IF(AND(DK$3&gt;='Вводные'!$B$18,DK$3&lt;EDATE('Вводные'!$B$18,MAX(1,'Вводные'!$E$18))),$B$31/MAX(1,'Вводные'!$E$18),0)</x:f>
      </x:c>
      <x:c r="DL31" s="117" t="n">
        <x:f>IF(AND(DL$3&gt;='Вводные'!$B$18,DL$3&lt;EDATE('Вводные'!$B$18,MAX(1,'Вводные'!$E$18))),$B$31/MAX(1,'Вводные'!$E$18),0)</x:f>
      </x:c>
      <x:c r="DM31" s="117" t="n">
        <x:f>IF(AND(DM$3&gt;='Вводные'!$B$18,DM$3&lt;EDATE('Вводные'!$B$18,MAX(1,'Вводные'!$E$18))),$B$31/MAX(1,'Вводные'!$E$18),0)</x:f>
      </x:c>
      <x:c r="DN31" s="117" t="n">
        <x:f>IF(AND(DN$3&gt;='Вводные'!$B$18,DN$3&lt;EDATE('Вводные'!$B$18,MAX(1,'Вводные'!$E$18))),$B$31/MAX(1,'Вводные'!$E$18),0)</x:f>
      </x:c>
      <x:c r="DO31" s="117" t="n">
        <x:f>IF(AND(DO$3&gt;='Вводные'!$B$18,DO$3&lt;EDATE('Вводные'!$B$18,MAX(1,'Вводные'!$E$18))),$B$31/MAX(1,'Вводные'!$E$18),0)</x:f>
      </x:c>
      <x:c r="DP31" s="117" t="n">
        <x:f>IF(AND(DP$3&gt;='Вводные'!$B$18,DP$3&lt;EDATE('Вводные'!$B$18,MAX(1,'Вводные'!$E$18))),$B$31/MAX(1,'Вводные'!$E$18),0)</x:f>
      </x:c>
      <x:c r="DQ31" s="117" t="n">
        <x:f>IF(AND(DQ$3&gt;='Вводные'!$B$18,DQ$3&lt;EDATE('Вводные'!$B$18,MAX(1,'Вводные'!$E$18))),$B$31/MAX(1,'Вводные'!$E$18),0)</x:f>
      </x:c>
      <x:c r="DR31" s="117" t="n">
        <x:f>IF(AND(DR$3&gt;='Вводные'!$B$18,DR$3&lt;EDATE('Вводные'!$B$18,MAX(1,'Вводные'!$E$18))),$B$31/MAX(1,'Вводные'!$E$18),0)</x:f>
      </x:c>
      <x:c r="DS31" s="117" t="n">
        <x:f>IF(AND(DS$3&gt;='Вводные'!$B$18,DS$3&lt;EDATE('Вводные'!$B$18,MAX(1,'Вводные'!$E$18))),$B$31/MAX(1,'Вводные'!$E$18),0)</x:f>
      </x:c>
    </x:row>
    <x:row r="32">
      <x:c r="A32" s="113" t="str">
        <x:v>CAPEX ВСЕГО</x:v>
      </x:c>
      <x:c r="B32" s="113" t="n">
        <x:f>SUM(D32:DS32)</x:f>
      </x:c>
      <x:c r="C32" s="113" t="str">
        <x:v>млн ₽</x:v>
      </x:c>
      <x:c r="D32" s="120" t="n">
        <x:f>SUM(D14:D31)+'ОБЪЕКТЫ'!D96</x:f>
      </x:c>
      <x:c r="E32" s="120" t="n">
        <x:f>SUM(E14:E31)+'ОБЪЕКТЫ'!E96</x:f>
      </x:c>
      <x:c r="F32" s="120" t="n">
        <x:f>SUM(F14:F31)+'ОБЪЕКТЫ'!F96</x:f>
      </x:c>
      <x:c r="G32" s="120" t="n">
        <x:f>SUM(G14:G31)+'ОБЪЕКТЫ'!G96</x:f>
      </x:c>
      <x:c r="H32" s="120" t="n">
        <x:f>SUM(H14:H31)+'ОБЪЕКТЫ'!H96</x:f>
      </x:c>
      <x:c r="I32" s="120" t="n">
        <x:f>SUM(I14:I31)+'ОБЪЕКТЫ'!I96</x:f>
      </x:c>
      <x:c r="J32" s="120" t="n">
        <x:f>SUM(J14:J31)+'ОБЪЕКТЫ'!J96</x:f>
      </x:c>
      <x:c r="K32" s="120" t="n">
        <x:f>SUM(K14:K31)+'ОБЪЕКТЫ'!K96</x:f>
      </x:c>
      <x:c r="L32" s="120" t="n">
        <x:f>SUM(L14:L31)+'ОБЪЕКТЫ'!L96</x:f>
      </x:c>
      <x:c r="M32" s="120" t="n">
        <x:f>SUM(M14:M31)+'ОБЪЕКТЫ'!M96</x:f>
      </x:c>
      <x:c r="N32" s="120" t="n">
        <x:f>SUM(N14:N31)+'ОБЪЕКТЫ'!N96</x:f>
      </x:c>
      <x:c r="O32" s="120" t="n">
        <x:f>SUM(O14:O31)+'ОБЪЕКТЫ'!O96</x:f>
      </x:c>
      <x:c r="P32" s="120" t="n">
        <x:f>SUM(P14:P31)+'ОБЪЕКТЫ'!P96</x:f>
      </x:c>
      <x:c r="Q32" s="120" t="n">
        <x:f>SUM(Q14:Q31)+'ОБЪЕКТЫ'!Q96</x:f>
      </x:c>
      <x:c r="R32" s="120" t="n">
        <x:f>SUM(R14:R31)+'ОБЪЕКТЫ'!R96</x:f>
      </x:c>
      <x:c r="S32" s="120" t="n">
        <x:f>SUM(S14:S31)+'ОБЪЕКТЫ'!S96</x:f>
      </x:c>
      <x:c r="T32" s="120" t="n">
        <x:f>SUM(T14:T31)+'ОБЪЕКТЫ'!T96</x:f>
      </x:c>
      <x:c r="U32" s="120" t="n">
        <x:f>SUM(U14:U31)+'ОБЪЕКТЫ'!U96</x:f>
      </x:c>
      <x:c r="V32" s="120" t="n">
        <x:f>SUM(V14:V31)+'ОБЪЕКТЫ'!V96</x:f>
      </x:c>
      <x:c r="W32" s="120" t="n">
        <x:f>SUM(W14:W31)+'ОБЪЕКТЫ'!W96</x:f>
      </x:c>
      <x:c r="X32" s="120" t="n">
        <x:f>SUM(X14:X31)+'ОБЪЕКТЫ'!X96</x:f>
      </x:c>
      <x:c r="Y32" s="120" t="n">
        <x:f>SUM(Y14:Y31)+'ОБЪЕКТЫ'!Y96</x:f>
      </x:c>
      <x:c r="Z32" s="120" t="n">
        <x:f>SUM(Z14:Z31)+'ОБЪЕКТЫ'!Z96</x:f>
      </x:c>
      <x:c r="AA32" s="120" t="n">
        <x:f>SUM(AA14:AA31)+'ОБЪЕКТЫ'!AA96</x:f>
      </x:c>
      <x:c r="AB32" s="120" t="n">
        <x:f>SUM(AB14:AB31)+'ОБЪЕКТЫ'!AB96</x:f>
      </x:c>
      <x:c r="AC32" s="120" t="n">
        <x:f>SUM(AC14:AC31)+'ОБЪЕКТЫ'!AC96</x:f>
      </x:c>
      <x:c r="AD32" s="120" t="n">
        <x:f>SUM(AD14:AD31)+'ОБЪЕКТЫ'!AD96</x:f>
      </x:c>
      <x:c r="AE32" s="120" t="n">
        <x:f>SUM(AE14:AE31)+'ОБЪЕКТЫ'!AE96</x:f>
      </x:c>
      <x:c r="AF32" s="120" t="n">
        <x:f>SUM(AF14:AF31)+'ОБЪЕКТЫ'!AF96</x:f>
      </x:c>
      <x:c r="AG32" s="120" t="n">
        <x:f>SUM(AG14:AG31)+'ОБЪЕКТЫ'!AG96</x:f>
      </x:c>
      <x:c r="AH32" s="120" t="n">
        <x:f>SUM(AH14:AH31)+'ОБЪЕКТЫ'!AH96</x:f>
      </x:c>
      <x:c r="AI32" s="120" t="n">
        <x:f>SUM(AI14:AI31)+'ОБЪЕКТЫ'!AI96</x:f>
      </x:c>
      <x:c r="AJ32" s="120" t="n">
        <x:f>SUM(AJ14:AJ31)+'ОБЪЕКТЫ'!AJ96</x:f>
      </x:c>
      <x:c r="AK32" s="120" t="n">
        <x:f>SUM(AK14:AK31)+'ОБЪЕКТЫ'!AK96</x:f>
      </x:c>
      <x:c r="AL32" s="120" t="n">
        <x:f>SUM(AL14:AL31)+'ОБЪЕКТЫ'!AL96</x:f>
      </x:c>
      <x:c r="AM32" s="120" t="n">
        <x:f>SUM(AM14:AM31)+'ОБЪЕКТЫ'!AM96</x:f>
      </x:c>
      <x:c r="AN32" s="120" t="n">
        <x:f>SUM(AN14:AN31)+'ОБЪЕКТЫ'!AN96</x:f>
      </x:c>
      <x:c r="AO32" s="120" t="n">
        <x:f>SUM(AO14:AO31)+'ОБЪЕКТЫ'!AO96</x:f>
      </x:c>
      <x:c r="AP32" s="120" t="n">
        <x:f>SUM(AP14:AP31)+'ОБЪЕКТЫ'!AP96</x:f>
      </x:c>
      <x:c r="AQ32" s="120" t="n">
        <x:f>SUM(AQ14:AQ31)+'ОБЪЕКТЫ'!AQ96</x:f>
      </x:c>
      <x:c r="AR32" s="120" t="n">
        <x:f>SUM(AR14:AR31)+'ОБЪЕКТЫ'!AR96</x:f>
      </x:c>
      <x:c r="AS32" s="120" t="n">
        <x:f>SUM(AS14:AS31)+'ОБЪЕКТЫ'!AS96</x:f>
      </x:c>
      <x:c r="AT32" s="120" t="n">
        <x:f>SUM(AT14:AT31)+'ОБЪЕКТЫ'!AT96</x:f>
      </x:c>
      <x:c r="AU32" s="120" t="n">
        <x:f>SUM(AU14:AU31)+'ОБЪЕКТЫ'!AU96</x:f>
      </x:c>
      <x:c r="AV32" s="120" t="n">
        <x:f>SUM(AV14:AV31)+'ОБЪЕКТЫ'!AV96</x:f>
      </x:c>
      <x:c r="AW32" s="120" t="n">
        <x:f>SUM(AW14:AW31)+'ОБЪЕКТЫ'!AW96</x:f>
      </x:c>
      <x:c r="AX32" s="120" t="n">
        <x:f>SUM(AX14:AX31)+'ОБЪЕКТЫ'!AX96</x:f>
      </x:c>
      <x:c r="AY32" s="120" t="n">
        <x:f>SUM(AY14:AY31)+'ОБЪЕКТЫ'!AY96</x:f>
      </x:c>
      <x:c r="AZ32" s="120" t="n">
        <x:f>SUM(AZ14:AZ31)+'ОБЪЕКТЫ'!AZ96</x:f>
      </x:c>
      <x:c r="BA32" s="120" t="n">
        <x:f>SUM(BA14:BA31)+'ОБЪЕКТЫ'!BA96</x:f>
      </x:c>
      <x:c r="BB32" s="120" t="n">
        <x:f>SUM(BB14:BB31)+'ОБЪЕКТЫ'!BB96</x:f>
      </x:c>
      <x:c r="BC32" s="120" t="n">
        <x:f>SUM(BC14:BC31)+'ОБЪЕКТЫ'!BC96</x:f>
      </x:c>
      <x:c r="BD32" s="120" t="n">
        <x:f>SUM(BD14:BD31)+'ОБЪЕКТЫ'!BD96</x:f>
      </x:c>
      <x:c r="BE32" s="120" t="n">
        <x:f>SUM(BE14:BE31)+'ОБЪЕКТЫ'!BE96</x:f>
      </x:c>
      <x:c r="BF32" s="120" t="n">
        <x:f>SUM(BF14:BF31)+'ОБЪЕКТЫ'!BF96</x:f>
      </x:c>
      <x:c r="BG32" s="120" t="n">
        <x:f>SUM(BG14:BG31)+'ОБЪЕКТЫ'!BG96</x:f>
      </x:c>
      <x:c r="BH32" s="120" t="n">
        <x:f>SUM(BH14:BH31)+'ОБЪЕКТЫ'!BH96</x:f>
      </x:c>
      <x:c r="BI32" s="120" t="n">
        <x:f>SUM(BI14:BI31)+'ОБЪЕКТЫ'!BI96</x:f>
      </x:c>
      <x:c r="BJ32" s="120" t="n">
        <x:f>SUM(BJ14:BJ31)+'ОБЪЕКТЫ'!BJ96</x:f>
      </x:c>
      <x:c r="BK32" s="120" t="n">
        <x:f>SUM(BK14:BK31)+'ОБЪЕКТЫ'!BK96</x:f>
      </x:c>
      <x:c r="BL32" s="120" t="n">
        <x:f>SUM(BL14:BL31)+'ОБЪЕКТЫ'!BL96</x:f>
      </x:c>
      <x:c r="BM32" s="120" t="n">
        <x:f>SUM(BM14:BM31)+'ОБЪЕКТЫ'!BM96</x:f>
      </x:c>
      <x:c r="BN32" s="120" t="n">
        <x:f>SUM(BN14:BN31)+'ОБЪЕКТЫ'!BN96</x:f>
      </x:c>
      <x:c r="BO32" s="120" t="n">
        <x:f>SUM(BO14:BO31)+'ОБЪЕКТЫ'!BO96</x:f>
      </x:c>
      <x:c r="BP32" s="120" t="n">
        <x:f>SUM(BP14:BP31)+'ОБЪЕКТЫ'!BP96</x:f>
      </x:c>
      <x:c r="BQ32" s="120" t="n">
        <x:f>SUM(BQ14:BQ31)+'ОБЪЕКТЫ'!BQ96</x:f>
      </x:c>
      <x:c r="BR32" s="120" t="n">
        <x:f>SUM(BR14:BR31)+'ОБЪЕКТЫ'!BR96</x:f>
      </x:c>
      <x:c r="BS32" s="120" t="n">
        <x:f>SUM(BS14:BS31)+'ОБЪЕКТЫ'!BS96</x:f>
      </x:c>
      <x:c r="BT32" s="120" t="n">
        <x:f>SUM(BT14:BT31)+'ОБЪЕКТЫ'!BT96</x:f>
      </x:c>
      <x:c r="BU32" s="120" t="n">
        <x:f>SUM(BU14:BU31)+'ОБЪЕКТЫ'!BU96</x:f>
      </x:c>
      <x:c r="BV32" s="120" t="n">
        <x:f>SUM(BV14:BV31)+'ОБЪЕКТЫ'!BV96</x:f>
      </x:c>
      <x:c r="BW32" s="120" t="n">
        <x:f>SUM(BW14:BW31)+'ОБЪЕКТЫ'!BW96</x:f>
      </x:c>
      <x:c r="BX32" s="120" t="n">
        <x:f>SUM(BX14:BX31)+'ОБЪЕКТЫ'!BX96</x:f>
      </x:c>
      <x:c r="BY32" s="120" t="n">
        <x:f>SUM(BY14:BY31)+'ОБЪЕКТЫ'!BY96</x:f>
      </x:c>
      <x:c r="BZ32" s="120" t="n">
        <x:f>SUM(BZ14:BZ31)+'ОБЪЕКТЫ'!BZ96</x:f>
      </x:c>
      <x:c r="CA32" s="120" t="n">
        <x:f>SUM(CA14:CA31)+'ОБЪЕКТЫ'!CA96</x:f>
      </x:c>
      <x:c r="CB32" s="120" t="n">
        <x:f>SUM(CB14:CB31)+'ОБЪЕКТЫ'!CB96</x:f>
      </x:c>
      <x:c r="CC32" s="120" t="n">
        <x:f>SUM(CC14:CC31)+'ОБЪЕКТЫ'!CC96</x:f>
      </x:c>
      <x:c r="CD32" s="120" t="n">
        <x:f>SUM(CD14:CD31)+'ОБЪЕКТЫ'!CD96</x:f>
      </x:c>
      <x:c r="CE32" s="120" t="n">
        <x:f>SUM(CE14:CE31)+'ОБЪЕКТЫ'!CE96</x:f>
      </x:c>
      <x:c r="CF32" s="120" t="n">
        <x:f>SUM(CF14:CF31)+'ОБЪЕКТЫ'!CF96</x:f>
      </x:c>
      <x:c r="CG32" s="120" t="n">
        <x:f>SUM(CG14:CG31)+'ОБЪЕКТЫ'!CG96</x:f>
      </x:c>
      <x:c r="CH32" s="120" t="n">
        <x:f>SUM(CH14:CH31)+'ОБЪЕКТЫ'!CH96</x:f>
      </x:c>
      <x:c r="CI32" s="120" t="n">
        <x:f>SUM(CI14:CI31)+'ОБЪЕКТЫ'!CI96</x:f>
      </x:c>
      <x:c r="CJ32" s="120" t="n">
        <x:f>SUM(CJ14:CJ31)+'ОБЪЕКТЫ'!CJ96</x:f>
      </x:c>
      <x:c r="CK32" s="120" t="n">
        <x:f>SUM(CK14:CK31)+'ОБЪЕКТЫ'!CK96</x:f>
      </x:c>
      <x:c r="CL32" s="120" t="n">
        <x:f>SUM(CL14:CL31)+'ОБЪЕКТЫ'!CL96</x:f>
      </x:c>
      <x:c r="CM32" s="120" t="n">
        <x:f>SUM(CM14:CM31)+'ОБЪЕКТЫ'!CM96</x:f>
      </x:c>
      <x:c r="CN32" s="120" t="n">
        <x:f>SUM(CN14:CN31)+'ОБЪЕКТЫ'!CN96</x:f>
      </x:c>
      <x:c r="CO32" s="120" t="n">
        <x:f>SUM(CO14:CO31)+'ОБЪЕКТЫ'!CO96</x:f>
      </x:c>
      <x:c r="CP32" s="120" t="n">
        <x:f>SUM(CP14:CP31)+'ОБЪЕКТЫ'!CP96</x:f>
      </x:c>
      <x:c r="CQ32" s="120" t="n">
        <x:f>SUM(CQ14:CQ31)+'ОБЪЕКТЫ'!CQ96</x:f>
      </x:c>
      <x:c r="CR32" s="120" t="n">
        <x:f>SUM(CR14:CR31)+'ОБЪЕКТЫ'!CR96</x:f>
      </x:c>
      <x:c r="CS32" s="120" t="n">
        <x:f>SUM(CS14:CS31)+'ОБЪЕКТЫ'!CS96</x:f>
      </x:c>
      <x:c r="CT32" s="120" t="n">
        <x:f>SUM(CT14:CT31)+'ОБЪЕКТЫ'!CT96</x:f>
      </x:c>
      <x:c r="CU32" s="120" t="n">
        <x:f>SUM(CU14:CU31)+'ОБЪЕКТЫ'!CU96</x:f>
      </x:c>
      <x:c r="CV32" s="120" t="n">
        <x:f>SUM(CV14:CV31)+'ОБЪЕКТЫ'!CV96</x:f>
      </x:c>
      <x:c r="CW32" s="120" t="n">
        <x:f>SUM(CW14:CW31)+'ОБЪЕКТЫ'!CW96</x:f>
      </x:c>
      <x:c r="CX32" s="120" t="n">
        <x:f>SUM(CX14:CX31)+'ОБЪЕКТЫ'!CX96</x:f>
      </x:c>
      <x:c r="CY32" s="120" t="n">
        <x:f>SUM(CY14:CY31)+'ОБЪЕКТЫ'!CY96</x:f>
      </x:c>
      <x:c r="CZ32" s="120" t="n">
        <x:f>SUM(CZ14:CZ31)+'ОБЪЕКТЫ'!CZ96</x:f>
      </x:c>
      <x:c r="DA32" s="120" t="n">
        <x:f>SUM(DA14:DA31)+'ОБЪЕКТЫ'!DA96</x:f>
      </x:c>
      <x:c r="DB32" s="120" t="n">
        <x:f>SUM(DB14:DB31)+'ОБЪЕКТЫ'!DB96</x:f>
      </x:c>
      <x:c r="DC32" s="120" t="n">
        <x:f>SUM(DC14:DC31)+'ОБЪЕКТЫ'!DC96</x:f>
      </x:c>
      <x:c r="DD32" s="120" t="n">
        <x:f>SUM(DD14:DD31)+'ОБЪЕКТЫ'!DD96</x:f>
      </x:c>
      <x:c r="DE32" s="120" t="n">
        <x:f>SUM(DE14:DE31)+'ОБЪЕКТЫ'!DE96</x:f>
      </x:c>
      <x:c r="DF32" s="120" t="n">
        <x:f>SUM(DF14:DF31)+'ОБЪЕКТЫ'!DF96</x:f>
      </x:c>
      <x:c r="DG32" s="120" t="n">
        <x:f>SUM(DG14:DG31)+'ОБЪЕКТЫ'!DG96</x:f>
      </x:c>
      <x:c r="DH32" s="120" t="n">
        <x:f>SUM(DH14:DH31)+'ОБЪЕКТЫ'!DH96</x:f>
      </x:c>
      <x:c r="DI32" s="120" t="n">
        <x:f>SUM(DI14:DI31)+'ОБЪЕКТЫ'!DI96</x:f>
      </x:c>
      <x:c r="DJ32" s="120" t="n">
        <x:f>SUM(DJ14:DJ31)+'ОБЪЕКТЫ'!DJ96</x:f>
      </x:c>
      <x:c r="DK32" s="120" t="n">
        <x:f>SUM(DK14:DK31)+'ОБЪЕКТЫ'!DK96</x:f>
      </x:c>
      <x:c r="DL32" s="120" t="n">
        <x:f>SUM(DL14:DL31)+'ОБЪЕКТЫ'!DL96</x:f>
      </x:c>
      <x:c r="DM32" s="120" t="n">
        <x:f>SUM(DM14:DM31)+'ОБЪЕКТЫ'!DM96</x:f>
      </x:c>
      <x:c r="DN32" s="120" t="n">
        <x:f>SUM(DN14:DN31)+'ОБЪЕКТЫ'!DN96</x:f>
      </x:c>
      <x:c r="DO32" s="120" t="n">
        <x:f>SUM(DO14:DO31)+'ОБЪЕКТЫ'!DO96</x:f>
      </x:c>
      <x:c r="DP32" s="120" t="n">
        <x:f>SUM(DP14:DP31)+'ОБЪЕКТЫ'!DP96</x:f>
      </x:c>
      <x:c r="DQ32" s="120" t="n">
        <x:f>SUM(DQ14:DQ31)+'ОБЪЕКТЫ'!DQ96</x:f>
      </x:c>
      <x:c r="DR32" s="120" t="n">
        <x:f>SUM(DR14:DR31)+'ОБЪЕКТЫ'!DR96</x:f>
      </x:c>
      <x:c r="DS32" s="120" t="n">
        <x:f>SUM(DS14:DS31)+'ОБЪЕКТЫ'!DS96</x:f>
      </x:c>
    </x:row>
    <x:row r="33">
      <x:c r="A33" t="str">
        <x:v>Маркетинг</x:v>
      </x:c>
      <x:c r="B33" s="107" t="n">
        <x:f>SUM(D33:DS33)</x:f>
      </x:c>
      <x:c r="C33" t="str">
        <x:v>млн ₽</x:v>
      </x:c>
      <x:c r="D33" s="117" t="n">
        <x:f>'Продажи'!D26*'Вводные'!$B$19+'ОБЪЕКТЫ'!D97</x:f>
      </x:c>
      <x:c r="E33" s="117" t="n">
        <x:f>'Продажи'!E26*'Вводные'!$B$19+'ОБЪЕКТЫ'!E97</x:f>
      </x:c>
      <x:c r="F33" s="117" t="n">
        <x:f>'Продажи'!F26*'Вводные'!$B$19+'ОБЪЕКТЫ'!F97</x:f>
      </x:c>
      <x:c r="G33" s="117" t="n">
        <x:f>'Продажи'!G26*'Вводные'!$B$19+'ОБЪЕКТЫ'!G97</x:f>
      </x:c>
      <x:c r="H33" s="117" t="n">
        <x:f>'Продажи'!H26*'Вводные'!$B$19+'ОБЪЕКТЫ'!H97</x:f>
      </x:c>
      <x:c r="I33" s="117" t="n">
        <x:f>'Продажи'!I26*'Вводные'!$B$19+'ОБЪЕКТЫ'!I97</x:f>
      </x:c>
      <x:c r="J33" s="117" t="n">
        <x:f>'Продажи'!J26*'Вводные'!$B$19+'ОБЪЕКТЫ'!J97</x:f>
      </x:c>
      <x:c r="K33" s="117" t="n">
        <x:f>'Продажи'!K26*'Вводные'!$B$19+'ОБЪЕКТЫ'!K97</x:f>
      </x:c>
      <x:c r="L33" s="117" t="n">
        <x:f>'Продажи'!L26*'Вводные'!$B$19+'ОБЪЕКТЫ'!L97</x:f>
      </x:c>
      <x:c r="M33" s="117" t="n">
        <x:f>'Продажи'!M26*'Вводные'!$B$19+'ОБЪЕКТЫ'!M97</x:f>
      </x:c>
      <x:c r="N33" s="117" t="n">
        <x:f>'Продажи'!N26*'Вводные'!$B$19+'ОБЪЕКТЫ'!N97</x:f>
      </x:c>
      <x:c r="O33" s="117" t="n">
        <x:f>'Продажи'!O26*'Вводные'!$B$19+'ОБЪЕКТЫ'!O97</x:f>
      </x:c>
      <x:c r="P33" s="117" t="n">
        <x:f>'Продажи'!P26*'Вводные'!$B$19+'ОБЪЕКТЫ'!P97</x:f>
      </x:c>
      <x:c r="Q33" s="117" t="n">
        <x:f>'Продажи'!Q26*'Вводные'!$B$19+'ОБЪЕКТЫ'!Q97</x:f>
      </x:c>
      <x:c r="R33" s="117" t="n">
        <x:f>'Продажи'!R26*'Вводные'!$B$19+'ОБЪЕКТЫ'!R97</x:f>
      </x:c>
      <x:c r="S33" s="117" t="n">
        <x:f>'Продажи'!S26*'Вводные'!$B$19+'ОБЪЕКТЫ'!S97</x:f>
      </x:c>
      <x:c r="T33" s="117" t="n">
        <x:f>'Продажи'!T26*'Вводные'!$B$19+'ОБЪЕКТЫ'!T97</x:f>
      </x:c>
      <x:c r="U33" s="117" t="n">
        <x:f>'Продажи'!U26*'Вводные'!$B$19+'ОБЪЕКТЫ'!U97</x:f>
      </x:c>
      <x:c r="V33" s="117" t="n">
        <x:f>'Продажи'!V26*'Вводные'!$B$19+'ОБЪЕКТЫ'!V97</x:f>
      </x:c>
      <x:c r="W33" s="117" t="n">
        <x:f>'Продажи'!W26*'Вводные'!$B$19+'ОБЪЕКТЫ'!W97</x:f>
      </x:c>
      <x:c r="X33" s="117" t="n">
        <x:f>'Продажи'!X26*'Вводные'!$B$19+'ОБЪЕКТЫ'!X97</x:f>
      </x:c>
      <x:c r="Y33" s="117" t="n">
        <x:f>'Продажи'!Y26*'Вводные'!$B$19+'ОБЪЕКТЫ'!Y97</x:f>
      </x:c>
      <x:c r="Z33" s="117" t="n">
        <x:f>'Продажи'!Z26*'Вводные'!$B$19+'ОБЪЕКТЫ'!Z97</x:f>
      </x:c>
      <x:c r="AA33" s="117" t="n">
        <x:f>'Продажи'!AA26*'Вводные'!$B$19+'ОБЪЕКТЫ'!AA97</x:f>
      </x:c>
      <x:c r="AB33" s="117" t="n">
        <x:f>'Продажи'!AB26*'Вводные'!$B$19+'ОБЪЕКТЫ'!AB97</x:f>
      </x:c>
      <x:c r="AC33" s="117" t="n">
        <x:f>'Продажи'!AC26*'Вводные'!$B$19+'ОБЪЕКТЫ'!AC97</x:f>
      </x:c>
      <x:c r="AD33" s="117" t="n">
        <x:f>'Продажи'!AD26*'Вводные'!$B$19+'ОБЪЕКТЫ'!AD97</x:f>
      </x:c>
      <x:c r="AE33" s="117" t="n">
        <x:f>'Продажи'!AE26*'Вводные'!$B$19+'ОБЪЕКТЫ'!AE97</x:f>
      </x:c>
      <x:c r="AF33" s="117" t="n">
        <x:f>'Продажи'!AF26*'Вводные'!$B$19+'ОБЪЕКТЫ'!AF97</x:f>
      </x:c>
      <x:c r="AG33" s="117" t="n">
        <x:f>'Продажи'!AG26*'Вводные'!$B$19+'ОБЪЕКТЫ'!AG97</x:f>
      </x:c>
      <x:c r="AH33" s="117" t="n">
        <x:f>'Продажи'!AH26*'Вводные'!$B$19+'ОБЪЕКТЫ'!AH97</x:f>
      </x:c>
      <x:c r="AI33" s="117" t="n">
        <x:f>'Продажи'!AI26*'Вводные'!$B$19+'ОБЪЕКТЫ'!AI97</x:f>
      </x:c>
      <x:c r="AJ33" s="117" t="n">
        <x:f>'Продажи'!AJ26*'Вводные'!$B$19+'ОБЪЕКТЫ'!AJ97</x:f>
      </x:c>
      <x:c r="AK33" s="117" t="n">
        <x:f>'Продажи'!AK26*'Вводные'!$B$19+'ОБЪЕКТЫ'!AK97</x:f>
      </x:c>
      <x:c r="AL33" s="117" t="n">
        <x:f>'Продажи'!AL26*'Вводные'!$B$19+'ОБЪЕКТЫ'!AL97</x:f>
      </x:c>
      <x:c r="AM33" s="117" t="n">
        <x:f>'Продажи'!AM26*'Вводные'!$B$19+'ОБЪЕКТЫ'!AM97</x:f>
      </x:c>
      <x:c r="AN33" s="117" t="n">
        <x:f>'Продажи'!AN26*'Вводные'!$B$19+'ОБЪЕКТЫ'!AN97</x:f>
      </x:c>
      <x:c r="AO33" s="117" t="n">
        <x:f>'Продажи'!AO26*'Вводные'!$B$19+'ОБЪЕКТЫ'!AO97</x:f>
      </x:c>
      <x:c r="AP33" s="117" t="n">
        <x:f>'Продажи'!AP26*'Вводные'!$B$19+'ОБЪЕКТЫ'!AP97</x:f>
      </x:c>
      <x:c r="AQ33" s="117" t="n">
        <x:f>'Продажи'!AQ26*'Вводные'!$B$19+'ОБЪЕКТЫ'!AQ97</x:f>
      </x:c>
      <x:c r="AR33" s="117" t="n">
        <x:f>'Продажи'!AR26*'Вводные'!$B$19+'ОБЪЕКТЫ'!AR97</x:f>
      </x:c>
      <x:c r="AS33" s="117" t="n">
        <x:f>'Продажи'!AS26*'Вводные'!$B$19+'ОБЪЕКТЫ'!AS97</x:f>
      </x:c>
      <x:c r="AT33" s="117" t="n">
        <x:f>'Продажи'!AT26*'Вводные'!$B$19+'ОБЪЕКТЫ'!AT97</x:f>
      </x:c>
      <x:c r="AU33" s="117" t="n">
        <x:f>'Продажи'!AU26*'Вводные'!$B$19+'ОБЪЕКТЫ'!AU97</x:f>
      </x:c>
      <x:c r="AV33" s="117" t="n">
        <x:f>'Продажи'!AV26*'Вводные'!$B$19+'ОБЪЕКТЫ'!AV97</x:f>
      </x:c>
      <x:c r="AW33" s="117" t="n">
        <x:f>'Продажи'!AW26*'Вводные'!$B$19+'ОБЪЕКТЫ'!AW97</x:f>
      </x:c>
      <x:c r="AX33" s="117" t="n">
        <x:f>'Продажи'!AX26*'Вводные'!$B$19+'ОБЪЕКТЫ'!AX97</x:f>
      </x:c>
      <x:c r="AY33" s="117" t="n">
        <x:f>'Продажи'!AY26*'Вводные'!$B$19+'ОБЪЕКТЫ'!AY97</x:f>
      </x:c>
      <x:c r="AZ33" s="117" t="n">
        <x:f>'Продажи'!AZ26*'Вводные'!$B$19+'ОБЪЕКТЫ'!AZ97</x:f>
      </x:c>
      <x:c r="BA33" s="117" t="n">
        <x:f>'Продажи'!BA26*'Вводные'!$B$19+'ОБЪЕКТЫ'!BA97</x:f>
      </x:c>
      <x:c r="BB33" s="117" t="n">
        <x:f>'Продажи'!BB26*'Вводные'!$B$19+'ОБЪЕКТЫ'!BB97</x:f>
      </x:c>
      <x:c r="BC33" s="117" t="n">
        <x:f>'Продажи'!BC26*'Вводные'!$B$19+'ОБЪЕКТЫ'!BC97</x:f>
      </x:c>
      <x:c r="BD33" s="117" t="n">
        <x:f>'Продажи'!BD26*'Вводные'!$B$19+'ОБЪЕКТЫ'!BD97</x:f>
      </x:c>
      <x:c r="BE33" s="117" t="n">
        <x:f>'Продажи'!BE26*'Вводные'!$B$19+'ОБЪЕКТЫ'!BE97</x:f>
      </x:c>
      <x:c r="BF33" s="117" t="n">
        <x:f>'Продажи'!BF26*'Вводные'!$B$19+'ОБЪЕКТЫ'!BF97</x:f>
      </x:c>
      <x:c r="BG33" s="117" t="n">
        <x:f>'Продажи'!BG26*'Вводные'!$B$19+'ОБЪЕКТЫ'!BG97</x:f>
      </x:c>
      <x:c r="BH33" s="117" t="n">
        <x:f>'Продажи'!BH26*'Вводные'!$B$19+'ОБЪЕКТЫ'!BH97</x:f>
      </x:c>
      <x:c r="BI33" s="117" t="n">
        <x:f>'Продажи'!BI26*'Вводные'!$B$19+'ОБЪЕКТЫ'!BI97</x:f>
      </x:c>
      <x:c r="BJ33" s="117" t="n">
        <x:f>'Продажи'!BJ26*'Вводные'!$B$19+'ОБЪЕКТЫ'!BJ97</x:f>
      </x:c>
      <x:c r="BK33" s="117" t="n">
        <x:f>'Продажи'!BK26*'Вводные'!$B$19+'ОБЪЕКТЫ'!BK97</x:f>
      </x:c>
      <x:c r="BL33" s="117" t="n">
        <x:f>'Продажи'!BL26*'Вводные'!$B$19+'ОБЪЕКТЫ'!BL97</x:f>
      </x:c>
      <x:c r="BM33" s="117" t="n">
        <x:f>'Продажи'!BM26*'Вводные'!$B$19+'ОБЪЕКТЫ'!BM97</x:f>
      </x:c>
      <x:c r="BN33" s="117" t="n">
        <x:f>'Продажи'!BN26*'Вводные'!$B$19+'ОБЪЕКТЫ'!BN97</x:f>
      </x:c>
      <x:c r="BO33" s="117" t="n">
        <x:f>'Продажи'!BO26*'Вводные'!$B$19+'ОБЪЕКТЫ'!BO97</x:f>
      </x:c>
      <x:c r="BP33" s="117" t="n">
        <x:f>'Продажи'!BP26*'Вводные'!$B$19+'ОБЪЕКТЫ'!BP97</x:f>
      </x:c>
      <x:c r="BQ33" s="117" t="n">
        <x:f>'Продажи'!BQ26*'Вводные'!$B$19+'ОБЪЕКТЫ'!BQ97</x:f>
      </x:c>
      <x:c r="BR33" s="117" t="n">
        <x:f>'Продажи'!BR26*'Вводные'!$B$19+'ОБЪЕКТЫ'!BR97</x:f>
      </x:c>
      <x:c r="BS33" s="117" t="n">
        <x:f>'Продажи'!BS26*'Вводные'!$B$19+'ОБЪЕКТЫ'!BS97</x:f>
      </x:c>
      <x:c r="BT33" s="117" t="n">
        <x:f>'Продажи'!BT26*'Вводные'!$B$19+'ОБЪЕКТЫ'!BT97</x:f>
      </x:c>
      <x:c r="BU33" s="117" t="n">
        <x:f>'Продажи'!BU26*'Вводные'!$B$19+'ОБЪЕКТЫ'!BU97</x:f>
      </x:c>
      <x:c r="BV33" s="117" t="n">
        <x:f>'Продажи'!BV26*'Вводные'!$B$19+'ОБЪЕКТЫ'!BV97</x:f>
      </x:c>
      <x:c r="BW33" s="117" t="n">
        <x:f>'Продажи'!BW26*'Вводные'!$B$19+'ОБЪЕКТЫ'!BW97</x:f>
      </x:c>
      <x:c r="BX33" s="117" t="n">
        <x:f>'Продажи'!BX26*'Вводные'!$B$19+'ОБЪЕКТЫ'!BX97</x:f>
      </x:c>
      <x:c r="BY33" s="117" t="n">
        <x:f>'Продажи'!BY26*'Вводные'!$B$19+'ОБЪЕКТЫ'!BY97</x:f>
      </x:c>
      <x:c r="BZ33" s="117" t="n">
        <x:f>'Продажи'!BZ26*'Вводные'!$B$19+'ОБЪЕКТЫ'!BZ97</x:f>
      </x:c>
      <x:c r="CA33" s="117" t="n">
        <x:f>'Продажи'!CA26*'Вводные'!$B$19+'ОБЪЕКТЫ'!CA97</x:f>
      </x:c>
      <x:c r="CB33" s="117" t="n">
        <x:f>'Продажи'!CB26*'Вводные'!$B$19+'ОБЪЕКТЫ'!CB97</x:f>
      </x:c>
      <x:c r="CC33" s="117" t="n">
        <x:f>'Продажи'!CC26*'Вводные'!$B$19+'ОБЪЕКТЫ'!CC97</x:f>
      </x:c>
      <x:c r="CD33" s="117" t="n">
        <x:f>'Продажи'!CD26*'Вводные'!$B$19+'ОБЪЕКТЫ'!CD97</x:f>
      </x:c>
      <x:c r="CE33" s="117" t="n">
        <x:f>'Продажи'!CE26*'Вводные'!$B$19+'ОБЪЕКТЫ'!CE97</x:f>
      </x:c>
      <x:c r="CF33" s="117" t="n">
        <x:f>'Продажи'!CF26*'Вводные'!$B$19+'ОБЪЕКТЫ'!CF97</x:f>
      </x:c>
      <x:c r="CG33" s="117" t="n">
        <x:f>'Продажи'!CG26*'Вводные'!$B$19+'ОБЪЕКТЫ'!CG97</x:f>
      </x:c>
      <x:c r="CH33" s="117" t="n">
        <x:f>'Продажи'!CH26*'Вводные'!$B$19+'ОБЪЕКТЫ'!CH97</x:f>
      </x:c>
      <x:c r="CI33" s="117" t="n">
        <x:f>'Продажи'!CI26*'Вводные'!$B$19+'ОБЪЕКТЫ'!CI97</x:f>
      </x:c>
      <x:c r="CJ33" s="117" t="n">
        <x:f>'Продажи'!CJ26*'Вводные'!$B$19+'ОБЪЕКТЫ'!CJ97</x:f>
      </x:c>
      <x:c r="CK33" s="117" t="n">
        <x:f>'Продажи'!CK26*'Вводные'!$B$19+'ОБЪЕКТЫ'!CK97</x:f>
      </x:c>
      <x:c r="CL33" s="117" t="n">
        <x:f>'Продажи'!CL26*'Вводные'!$B$19+'ОБЪЕКТЫ'!CL97</x:f>
      </x:c>
      <x:c r="CM33" s="117" t="n">
        <x:f>'Продажи'!CM26*'Вводные'!$B$19+'ОБЪЕКТЫ'!CM97</x:f>
      </x:c>
      <x:c r="CN33" s="117" t="n">
        <x:f>'Продажи'!CN26*'Вводные'!$B$19+'ОБЪЕКТЫ'!CN97</x:f>
      </x:c>
      <x:c r="CO33" s="117" t="n">
        <x:f>'Продажи'!CO26*'Вводные'!$B$19+'ОБЪЕКТЫ'!CO97</x:f>
      </x:c>
      <x:c r="CP33" s="117" t="n">
        <x:f>'Продажи'!CP26*'Вводные'!$B$19+'ОБЪЕКТЫ'!CP97</x:f>
      </x:c>
      <x:c r="CQ33" s="117" t="n">
        <x:f>'Продажи'!CQ26*'Вводные'!$B$19+'ОБЪЕКТЫ'!CQ97</x:f>
      </x:c>
      <x:c r="CR33" s="117" t="n">
        <x:f>'Продажи'!CR26*'Вводные'!$B$19+'ОБЪЕКТЫ'!CR97</x:f>
      </x:c>
      <x:c r="CS33" s="117" t="n">
        <x:f>'Продажи'!CS26*'Вводные'!$B$19+'ОБЪЕКТЫ'!CS97</x:f>
      </x:c>
      <x:c r="CT33" s="117" t="n">
        <x:f>'Продажи'!CT26*'Вводные'!$B$19+'ОБЪЕКТЫ'!CT97</x:f>
      </x:c>
      <x:c r="CU33" s="117" t="n">
        <x:f>'Продажи'!CU26*'Вводные'!$B$19+'ОБЪЕКТЫ'!CU97</x:f>
      </x:c>
      <x:c r="CV33" s="117" t="n">
        <x:f>'Продажи'!CV26*'Вводные'!$B$19+'ОБЪЕКТЫ'!CV97</x:f>
      </x:c>
      <x:c r="CW33" s="117" t="n">
        <x:f>'Продажи'!CW26*'Вводные'!$B$19+'ОБЪЕКТЫ'!CW97</x:f>
      </x:c>
      <x:c r="CX33" s="117" t="n">
        <x:f>'Продажи'!CX26*'Вводные'!$B$19+'ОБЪЕКТЫ'!CX97</x:f>
      </x:c>
      <x:c r="CY33" s="117" t="n">
        <x:f>'Продажи'!CY26*'Вводные'!$B$19+'ОБЪЕКТЫ'!CY97</x:f>
      </x:c>
      <x:c r="CZ33" s="117" t="n">
        <x:f>'Продажи'!CZ26*'Вводные'!$B$19+'ОБЪЕКТЫ'!CZ97</x:f>
      </x:c>
      <x:c r="DA33" s="117" t="n">
        <x:f>'Продажи'!DA26*'Вводные'!$B$19+'ОБЪЕКТЫ'!DA97</x:f>
      </x:c>
      <x:c r="DB33" s="117" t="n">
        <x:f>'Продажи'!DB26*'Вводные'!$B$19+'ОБЪЕКТЫ'!DB97</x:f>
      </x:c>
      <x:c r="DC33" s="117" t="n">
        <x:f>'Продажи'!DC26*'Вводные'!$B$19+'ОБЪЕКТЫ'!DC97</x:f>
      </x:c>
      <x:c r="DD33" s="117" t="n">
        <x:f>'Продажи'!DD26*'Вводные'!$B$19+'ОБЪЕКТЫ'!DD97</x:f>
      </x:c>
      <x:c r="DE33" s="117" t="n">
        <x:f>'Продажи'!DE26*'Вводные'!$B$19+'ОБЪЕКТЫ'!DE97</x:f>
      </x:c>
      <x:c r="DF33" s="117" t="n">
        <x:f>'Продажи'!DF26*'Вводные'!$B$19+'ОБЪЕКТЫ'!DF97</x:f>
      </x:c>
      <x:c r="DG33" s="117" t="n">
        <x:f>'Продажи'!DG26*'Вводные'!$B$19+'ОБЪЕКТЫ'!DG97</x:f>
      </x:c>
      <x:c r="DH33" s="117" t="n">
        <x:f>'Продажи'!DH26*'Вводные'!$B$19+'ОБЪЕКТЫ'!DH97</x:f>
      </x:c>
      <x:c r="DI33" s="117" t="n">
        <x:f>'Продажи'!DI26*'Вводные'!$B$19+'ОБЪЕКТЫ'!DI97</x:f>
      </x:c>
      <x:c r="DJ33" s="117" t="n">
        <x:f>'Продажи'!DJ26*'Вводные'!$B$19+'ОБЪЕКТЫ'!DJ97</x:f>
      </x:c>
      <x:c r="DK33" s="117" t="n">
        <x:f>'Продажи'!DK26*'Вводные'!$B$19+'ОБЪЕКТЫ'!DK97</x:f>
      </x:c>
      <x:c r="DL33" s="117" t="n">
        <x:f>'Продажи'!DL26*'Вводные'!$B$19+'ОБЪЕКТЫ'!DL97</x:f>
      </x:c>
      <x:c r="DM33" s="117" t="n">
        <x:f>'Продажи'!DM26*'Вводные'!$B$19+'ОБЪЕКТЫ'!DM97</x:f>
      </x:c>
      <x:c r="DN33" s="117" t="n">
        <x:f>'Продажи'!DN26*'Вводные'!$B$19+'ОБЪЕКТЫ'!DN97</x:f>
      </x:c>
      <x:c r="DO33" s="117" t="n">
        <x:f>'Продажи'!DO26*'Вводные'!$B$19+'ОБЪЕКТЫ'!DO97</x:f>
      </x:c>
      <x:c r="DP33" s="117" t="n">
        <x:f>'Продажи'!DP26*'Вводные'!$B$19+'ОБЪЕКТЫ'!DP97</x:f>
      </x:c>
      <x:c r="DQ33" s="117" t="n">
        <x:f>'Продажи'!DQ26*'Вводные'!$B$19+'ОБЪЕКТЫ'!DQ97</x:f>
      </x:c>
      <x:c r="DR33" s="117" t="n">
        <x:f>'Продажи'!DR26*'Вводные'!$B$19+'ОБЪЕКТЫ'!DR97</x:f>
      </x:c>
      <x:c r="DS33" s="117" t="n">
        <x:f>'Продажи'!DS26*'Вводные'!$B$19+'ОБЪЕКТЫ'!DS97</x:f>
      </x:c>
    </x:row>
    <x:row r="34">
      <x:c r="A34" t="str">
        <x:v>Расходы на продажи</x:v>
      </x:c>
      <x:c r="B34" s="107" t="n">
        <x:f>SUM(D34:DS34)</x:f>
      </x:c>
      <x:c r="C34" t="str">
        <x:v>млн ₽</x:v>
      </x:c>
      <x:c r="D34" s="117" t="n">
        <x:f>'Продажи'!D26*'Вводные'!$B$20+'ОБЪЕКТЫ'!D98</x:f>
      </x:c>
      <x:c r="E34" s="117" t="n">
        <x:f>'Продажи'!E26*'Вводные'!$B$20+'ОБЪЕКТЫ'!E98</x:f>
      </x:c>
      <x:c r="F34" s="117" t="n">
        <x:f>'Продажи'!F26*'Вводные'!$B$20+'ОБЪЕКТЫ'!F98</x:f>
      </x:c>
      <x:c r="G34" s="117" t="n">
        <x:f>'Продажи'!G26*'Вводные'!$B$20+'ОБЪЕКТЫ'!G98</x:f>
      </x:c>
      <x:c r="H34" s="117" t="n">
        <x:f>'Продажи'!H26*'Вводные'!$B$20+'ОБЪЕКТЫ'!H98</x:f>
      </x:c>
      <x:c r="I34" s="117" t="n">
        <x:f>'Продажи'!I26*'Вводные'!$B$20+'ОБЪЕКТЫ'!I98</x:f>
      </x:c>
      <x:c r="J34" s="117" t="n">
        <x:f>'Продажи'!J26*'Вводные'!$B$20+'ОБЪЕКТЫ'!J98</x:f>
      </x:c>
      <x:c r="K34" s="117" t="n">
        <x:f>'Продажи'!K26*'Вводные'!$B$20+'ОБЪЕКТЫ'!K98</x:f>
      </x:c>
      <x:c r="L34" s="117" t="n">
        <x:f>'Продажи'!L26*'Вводные'!$B$20+'ОБЪЕКТЫ'!L98</x:f>
      </x:c>
      <x:c r="M34" s="117" t="n">
        <x:f>'Продажи'!M26*'Вводные'!$B$20+'ОБЪЕКТЫ'!M98</x:f>
      </x:c>
      <x:c r="N34" s="117" t="n">
        <x:f>'Продажи'!N26*'Вводные'!$B$20+'ОБЪЕКТЫ'!N98</x:f>
      </x:c>
      <x:c r="O34" s="117" t="n">
        <x:f>'Продажи'!O26*'Вводные'!$B$20+'ОБЪЕКТЫ'!O98</x:f>
      </x:c>
      <x:c r="P34" s="117" t="n">
        <x:f>'Продажи'!P26*'Вводные'!$B$20+'ОБЪЕКТЫ'!P98</x:f>
      </x:c>
      <x:c r="Q34" s="117" t="n">
        <x:f>'Продажи'!Q26*'Вводные'!$B$20+'ОБЪЕКТЫ'!Q98</x:f>
      </x:c>
      <x:c r="R34" s="117" t="n">
        <x:f>'Продажи'!R26*'Вводные'!$B$20+'ОБЪЕКТЫ'!R98</x:f>
      </x:c>
      <x:c r="S34" s="117" t="n">
        <x:f>'Продажи'!S26*'Вводные'!$B$20+'ОБЪЕКТЫ'!S98</x:f>
      </x:c>
      <x:c r="T34" s="117" t="n">
        <x:f>'Продажи'!T26*'Вводные'!$B$20+'ОБЪЕКТЫ'!T98</x:f>
      </x:c>
      <x:c r="U34" s="117" t="n">
        <x:f>'Продажи'!U26*'Вводные'!$B$20+'ОБЪЕКТЫ'!U98</x:f>
      </x:c>
      <x:c r="V34" s="117" t="n">
        <x:f>'Продажи'!V26*'Вводные'!$B$20+'ОБЪЕКТЫ'!V98</x:f>
      </x:c>
      <x:c r="W34" s="117" t="n">
        <x:f>'Продажи'!W26*'Вводные'!$B$20+'ОБЪЕКТЫ'!W98</x:f>
      </x:c>
      <x:c r="X34" s="117" t="n">
        <x:f>'Продажи'!X26*'Вводные'!$B$20+'ОБЪЕКТЫ'!X98</x:f>
      </x:c>
      <x:c r="Y34" s="117" t="n">
        <x:f>'Продажи'!Y26*'Вводные'!$B$20+'ОБЪЕКТЫ'!Y98</x:f>
      </x:c>
      <x:c r="Z34" s="117" t="n">
        <x:f>'Продажи'!Z26*'Вводные'!$B$20+'ОБЪЕКТЫ'!Z98</x:f>
      </x:c>
      <x:c r="AA34" s="117" t="n">
        <x:f>'Продажи'!AA26*'Вводные'!$B$20+'ОБЪЕКТЫ'!AA98</x:f>
      </x:c>
      <x:c r="AB34" s="117" t="n">
        <x:f>'Продажи'!AB26*'Вводные'!$B$20+'ОБЪЕКТЫ'!AB98</x:f>
      </x:c>
      <x:c r="AC34" s="117" t="n">
        <x:f>'Продажи'!AC26*'Вводные'!$B$20+'ОБЪЕКТЫ'!AC98</x:f>
      </x:c>
      <x:c r="AD34" s="117" t="n">
        <x:f>'Продажи'!AD26*'Вводные'!$B$20+'ОБЪЕКТЫ'!AD98</x:f>
      </x:c>
      <x:c r="AE34" s="117" t="n">
        <x:f>'Продажи'!AE26*'Вводные'!$B$20+'ОБЪЕКТЫ'!AE98</x:f>
      </x:c>
      <x:c r="AF34" s="117" t="n">
        <x:f>'Продажи'!AF26*'Вводные'!$B$20+'ОБЪЕКТЫ'!AF98</x:f>
      </x:c>
      <x:c r="AG34" s="117" t="n">
        <x:f>'Продажи'!AG26*'Вводные'!$B$20+'ОБЪЕКТЫ'!AG98</x:f>
      </x:c>
      <x:c r="AH34" s="117" t="n">
        <x:f>'Продажи'!AH26*'Вводные'!$B$20+'ОБЪЕКТЫ'!AH98</x:f>
      </x:c>
      <x:c r="AI34" s="117" t="n">
        <x:f>'Продажи'!AI26*'Вводные'!$B$20+'ОБЪЕКТЫ'!AI98</x:f>
      </x:c>
      <x:c r="AJ34" s="117" t="n">
        <x:f>'Продажи'!AJ26*'Вводные'!$B$20+'ОБЪЕКТЫ'!AJ98</x:f>
      </x:c>
      <x:c r="AK34" s="117" t="n">
        <x:f>'Продажи'!AK26*'Вводные'!$B$20+'ОБЪЕКТЫ'!AK98</x:f>
      </x:c>
      <x:c r="AL34" s="117" t="n">
        <x:f>'Продажи'!AL26*'Вводные'!$B$20+'ОБЪЕКТЫ'!AL98</x:f>
      </x:c>
      <x:c r="AM34" s="117" t="n">
        <x:f>'Продажи'!AM26*'Вводные'!$B$20+'ОБЪЕКТЫ'!AM98</x:f>
      </x:c>
      <x:c r="AN34" s="117" t="n">
        <x:f>'Продажи'!AN26*'Вводные'!$B$20+'ОБЪЕКТЫ'!AN98</x:f>
      </x:c>
      <x:c r="AO34" s="117" t="n">
        <x:f>'Продажи'!AO26*'Вводные'!$B$20+'ОБЪЕКТЫ'!AO98</x:f>
      </x:c>
      <x:c r="AP34" s="117" t="n">
        <x:f>'Продажи'!AP26*'Вводные'!$B$20+'ОБЪЕКТЫ'!AP98</x:f>
      </x:c>
      <x:c r="AQ34" s="117" t="n">
        <x:f>'Продажи'!AQ26*'Вводные'!$B$20+'ОБЪЕКТЫ'!AQ98</x:f>
      </x:c>
      <x:c r="AR34" s="117" t="n">
        <x:f>'Продажи'!AR26*'Вводные'!$B$20+'ОБЪЕКТЫ'!AR98</x:f>
      </x:c>
      <x:c r="AS34" s="117" t="n">
        <x:f>'Продажи'!AS26*'Вводные'!$B$20+'ОБЪЕКТЫ'!AS98</x:f>
      </x:c>
      <x:c r="AT34" s="117" t="n">
        <x:f>'Продажи'!AT26*'Вводные'!$B$20+'ОБЪЕКТЫ'!AT98</x:f>
      </x:c>
      <x:c r="AU34" s="117" t="n">
        <x:f>'Продажи'!AU26*'Вводные'!$B$20+'ОБЪЕКТЫ'!AU98</x:f>
      </x:c>
      <x:c r="AV34" s="117" t="n">
        <x:f>'Продажи'!AV26*'Вводные'!$B$20+'ОБЪЕКТЫ'!AV98</x:f>
      </x:c>
      <x:c r="AW34" s="117" t="n">
        <x:f>'Продажи'!AW26*'Вводные'!$B$20+'ОБЪЕКТЫ'!AW98</x:f>
      </x:c>
      <x:c r="AX34" s="117" t="n">
        <x:f>'Продажи'!AX26*'Вводные'!$B$20+'ОБЪЕКТЫ'!AX98</x:f>
      </x:c>
      <x:c r="AY34" s="117" t="n">
        <x:f>'Продажи'!AY26*'Вводные'!$B$20+'ОБЪЕКТЫ'!AY98</x:f>
      </x:c>
      <x:c r="AZ34" s="117" t="n">
        <x:f>'Продажи'!AZ26*'Вводные'!$B$20+'ОБЪЕКТЫ'!AZ98</x:f>
      </x:c>
      <x:c r="BA34" s="117" t="n">
        <x:f>'Продажи'!BA26*'Вводные'!$B$20+'ОБЪЕКТЫ'!BA98</x:f>
      </x:c>
      <x:c r="BB34" s="117" t="n">
        <x:f>'Продажи'!BB26*'Вводные'!$B$20+'ОБЪЕКТЫ'!BB98</x:f>
      </x:c>
      <x:c r="BC34" s="117" t="n">
        <x:f>'Продажи'!BC26*'Вводные'!$B$20+'ОБЪЕКТЫ'!BC98</x:f>
      </x:c>
      <x:c r="BD34" s="117" t="n">
        <x:f>'Продажи'!BD26*'Вводные'!$B$20+'ОБЪЕКТЫ'!BD98</x:f>
      </x:c>
      <x:c r="BE34" s="117" t="n">
        <x:f>'Продажи'!BE26*'Вводные'!$B$20+'ОБЪЕКТЫ'!BE98</x:f>
      </x:c>
      <x:c r="BF34" s="117" t="n">
        <x:f>'Продажи'!BF26*'Вводные'!$B$20+'ОБЪЕКТЫ'!BF98</x:f>
      </x:c>
      <x:c r="BG34" s="117" t="n">
        <x:f>'Продажи'!BG26*'Вводные'!$B$20+'ОБЪЕКТЫ'!BG98</x:f>
      </x:c>
      <x:c r="BH34" s="117" t="n">
        <x:f>'Продажи'!BH26*'Вводные'!$B$20+'ОБЪЕКТЫ'!BH98</x:f>
      </x:c>
      <x:c r="BI34" s="117" t="n">
        <x:f>'Продажи'!BI26*'Вводные'!$B$20+'ОБЪЕКТЫ'!BI98</x:f>
      </x:c>
      <x:c r="BJ34" s="117" t="n">
        <x:f>'Продажи'!BJ26*'Вводные'!$B$20+'ОБЪЕКТЫ'!BJ98</x:f>
      </x:c>
      <x:c r="BK34" s="117" t="n">
        <x:f>'Продажи'!BK26*'Вводные'!$B$20+'ОБЪЕКТЫ'!BK98</x:f>
      </x:c>
      <x:c r="BL34" s="117" t="n">
        <x:f>'Продажи'!BL26*'Вводные'!$B$20+'ОБЪЕКТЫ'!BL98</x:f>
      </x:c>
      <x:c r="BM34" s="117" t="n">
        <x:f>'Продажи'!BM26*'Вводные'!$B$20+'ОБЪЕКТЫ'!BM98</x:f>
      </x:c>
      <x:c r="BN34" s="117" t="n">
        <x:f>'Продажи'!BN26*'Вводные'!$B$20+'ОБЪЕКТЫ'!BN98</x:f>
      </x:c>
      <x:c r="BO34" s="117" t="n">
        <x:f>'Продажи'!BO26*'Вводные'!$B$20+'ОБЪЕКТЫ'!BO98</x:f>
      </x:c>
      <x:c r="BP34" s="117" t="n">
        <x:f>'Продажи'!BP26*'Вводные'!$B$20+'ОБЪЕКТЫ'!BP98</x:f>
      </x:c>
      <x:c r="BQ34" s="117" t="n">
        <x:f>'Продажи'!BQ26*'Вводные'!$B$20+'ОБЪЕКТЫ'!BQ98</x:f>
      </x:c>
      <x:c r="BR34" s="117" t="n">
        <x:f>'Продажи'!BR26*'Вводные'!$B$20+'ОБЪЕКТЫ'!BR98</x:f>
      </x:c>
      <x:c r="BS34" s="117" t="n">
        <x:f>'Продажи'!BS26*'Вводные'!$B$20+'ОБЪЕКТЫ'!BS98</x:f>
      </x:c>
      <x:c r="BT34" s="117" t="n">
        <x:f>'Продажи'!BT26*'Вводные'!$B$20+'ОБЪЕКТЫ'!BT98</x:f>
      </x:c>
      <x:c r="BU34" s="117" t="n">
        <x:f>'Продажи'!BU26*'Вводные'!$B$20+'ОБЪЕКТЫ'!BU98</x:f>
      </x:c>
      <x:c r="BV34" s="117" t="n">
        <x:f>'Продажи'!BV26*'Вводные'!$B$20+'ОБЪЕКТЫ'!BV98</x:f>
      </x:c>
      <x:c r="BW34" s="117" t="n">
        <x:f>'Продажи'!BW26*'Вводные'!$B$20+'ОБЪЕКТЫ'!BW98</x:f>
      </x:c>
      <x:c r="BX34" s="117" t="n">
        <x:f>'Продажи'!BX26*'Вводные'!$B$20+'ОБЪЕКТЫ'!BX98</x:f>
      </x:c>
      <x:c r="BY34" s="117" t="n">
        <x:f>'Продажи'!BY26*'Вводные'!$B$20+'ОБЪЕКТЫ'!BY98</x:f>
      </x:c>
      <x:c r="BZ34" s="117" t="n">
        <x:f>'Продажи'!BZ26*'Вводные'!$B$20+'ОБЪЕКТЫ'!BZ98</x:f>
      </x:c>
      <x:c r="CA34" s="117" t="n">
        <x:f>'Продажи'!CA26*'Вводные'!$B$20+'ОБЪЕКТЫ'!CA98</x:f>
      </x:c>
      <x:c r="CB34" s="117" t="n">
        <x:f>'Продажи'!CB26*'Вводные'!$B$20+'ОБЪЕКТЫ'!CB98</x:f>
      </x:c>
      <x:c r="CC34" s="117" t="n">
        <x:f>'Продажи'!CC26*'Вводные'!$B$20+'ОБЪЕКТЫ'!CC98</x:f>
      </x:c>
      <x:c r="CD34" s="117" t="n">
        <x:f>'Продажи'!CD26*'Вводные'!$B$20+'ОБЪЕКТЫ'!CD98</x:f>
      </x:c>
      <x:c r="CE34" s="117" t="n">
        <x:f>'Продажи'!CE26*'Вводные'!$B$20+'ОБЪЕКТЫ'!CE98</x:f>
      </x:c>
      <x:c r="CF34" s="117" t="n">
        <x:f>'Продажи'!CF26*'Вводные'!$B$20+'ОБЪЕКТЫ'!CF98</x:f>
      </x:c>
      <x:c r="CG34" s="117" t="n">
        <x:f>'Продажи'!CG26*'Вводные'!$B$20+'ОБЪЕКТЫ'!CG98</x:f>
      </x:c>
      <x:c r="CH34" s="117" t="n">
        <x:f>'Продажи'!CH26*'Вводные'!$B$20+'ОБЪЕКТЫ'!CH98</x:f>
      </x:c>
      <x:c r="CI34" s="117" t="n">
        <x:f>'Продажи'!CI26*'Вводные'!$B$20+'ОБЪЕКТЫ'!CI98</x:f>
      </x:c>
      <x:c r="CJ34" s="117" t="n">
        <x:f>'Продажи'!CJ26*'Вводные'!$B$20+'ОБЪЕКТЫ'!CJ98</x:f>
      </x:c>
      <x:c r="CK34" s="117" t="n">
        <x:f>'Продажи'!CK26*'Вводные'!$B$20+'ОБЪЕКТЫ'!CK98</x:f>
      </x:c>
      <x:c r="CL34" s="117" t="n">
        <x:f>'Продажи'!CL26*'Вводные'!$B$20+'ОБЪЕКТЫ'!CL98</x:f>
      </x:c>
      <x:c r="CM34" s="117" t="n">
        <x:f>'Продажи'!CM26*'Вводные'!$B$20+'ОБЪЕКТЫ'!CM98</x:f>
      </x:c>
      <x:c r="CN34" s="117" t="n">
        <x:f>'Продажи'!CN26*'Вводные'!$B$20+'ОБЪЕКТЫ'!CN98</x:f>
      </x:c>
      <x:c r="CO34" s="117" t="n">
        <x:f>'Продажи'!CO26*'Вводные'!$B$20+'ОБЪЕКТЫ'!CO98</x:f>
      </x:c>
      <x:c r="CP34" s="117" t="n">
        <x:f>'Продажи'!CP26*'Вводные'!$B$20+'ОБЪЕКТЫ'!CP98</x:f>
      </x:c>
      <x:c r="CQ34" s="117" t="n">
        <x:f>'Продажи'!CQ26*'Вводные'!$B$20+'ОБЪЕКТЫ'!CQ98</x:f>
      </x:c>
      <x:c r="CR34" s="117" t="n">
        <x:f>'Продажи'!CR26*'Вводные'!$B$20+'ОБЪЕКТЫ'!CR98</x:f>
      </x:c>
      <x:c r="CS34" s="117" t="n">
        <x:f>'Продажи'!CS26*'Вводные'!$B$20+'ОБЪЕКТЫ'!CS98</x:f>
      </x:c>
      <x:c r="CT34" s="117" t="n">
        <x:f>'Продажи'!CT26*'Вводные'!$B$20+'ОБЪЕКТЫ'!CT98</x:f>
      </x:c>
      <x:c r="CU34" s="117" t="n">
        <x:f>'Продажи'!CU26*'Вводные'!$B$20+'ОБЪЕКТЫ'!CU98</x:f>
      </x:c>
      <x:c r="CV34" s="117" t="n">
        <x:f>'Продажи'!CV26*'Вводные'!$B$20+'ОБЪЕКТЫ'!CV98</x:f>
      </x:c>
      <x:c r="CW34" s="117" t="n">
        <x:f>'Продажи'!CW26*'Вводные'!$B$20+'ОБЪЕКТЫ'!CW98</x:f>
      </x:c>
      <x:c r="CX34" s="117" t="n">
        <x:f>'Продажи'!CX26*'Вводные'!$B$20+'ОБЪЕКТЫ'!CX98</x:f>
      </x:c>
      <x:c r="CY34" s="117" t="n">
        <x:f>'Продажи'!CY26*'Вводные'!$B$20+'ОБЪЕКТЫ'!CY98</x:f>
      </x:c>
      <x:c r="CZ34" s="117" t="n">
        <x:f>'Продажи'!CZ26*'Вводные'!$B$20+'ОБЪЕКТЫ'!CZ98</x:f>
      </x:c>
      <x:c r="DA34" s="117" t="n">
        <x:f>'Продажи'!DA26*'Вводные'!$B$20+'ОБЪЕКТЫ'!DA98</x:f>
      </x:c>
      <x:c r="DB34" s="117" t="n">
        <x:f>'Продажи'!DB26*'Вводные'!$B$20+'ОБЪЕКТЫ'!DB98</x:f>
      </x:c>
      <x:c r="DC34" s="117" t="n">
        <x:f>'Продажи'!DC26*'Вводные'!$B$20+'ОБЪЕКТЫ'!DC98</x:f>
      </x:c>
      <x:c r="DD34" s="117" t="n">
        <x:f>'Продажи'!DD26*'Вводные'!$B$20+'ОБЪЕКТЫ'!DD98</x:f>
      </x:c>
      <x:c r="DE34" s="117" t="n">
        <x:f>'Продажи'!DE26*'Вводные'!$B$20+'ОБЪЕКТЫ'!DE98</x:f>
      </x:c>
      <x:c r="DF34" s="117" t="n">
        <x:f>'Продажи'!DF26*'Вводные'!$B$20+'ОБЪЕКТЫ'!DF98</x:f>
      </x:c>
      <x:c r="DG34" s="117" t="n">
        <x:f>'Продажи'!DG26*'Вводные'!$B$20+'ОБЪЕКТЫ'!DG98</x:f>
      </x:c>
      <x:c r="DH34" s="117" t="n">
        <x:f>'Продажи'!DH26*'Вводные'!$B$20+'ОБЪЕКТЫ'!DH98</x:f>
      </x:c>
      <x:c r="DI34" s="117" t="n">
        <x:f>'Продажи'!DI26*'Вводные'!$B$20+'ОБЪЕКТЫ'!DI98</x:f>
      </x:c>
      <x:c r="DJ34" s="117" t="n">
        <x:f>'Продажи'!DJ26*'Вводные'!$B$20+'ОБЪЕКТЫ'!DJ98</x:f>
      </x:c>
      <x:c r="DK34" s="117" t="n">
        <x:f>'Продажи'!DK26*'Вводные'!$B$20+'ОБЪЕКТЫ'!DK98</x:f>
      </x:c>
      <x:c r="DL34" s="117" t="n">
        <x:f>'Продажи'!DL26*'Вводные'!$B$20+'ОБЪЕКТЫ'!DL98</x:f>
      </x:c>
      <x:c r="DM34" s="117" t="n">
        <x:f>'Продажи'!DM26*'Вводные'!$B$20+'ОБЪЕКТЫ'!DM98</x:f>
      </x:c>
      <x:c r="DN34" s="117" t="n">
        <x:f>'Продажи'!DN26*'Вводные'!$B$20+'ОБЪЕКТЫ'!DN98</x:f>
      </x:c>
      <x:c r="DO34" s="117" t="n">
        <x:f>'Продажи'!DO26*'Вводные'!$B$20+'ОБЪЕКТЫ'!DO98</x:f>
      </x:c>
      <x:c r="DP34" s="117" t="n">
        <x:f>'Продажи'!DP26*'Вводные'!$B$20+'ОБЪЕКТЫ'!DP98</x:f>
      </x:c>
      <x:c r="DQ34" s="117" t="n">
        <x:f>'Продажи'!DQ26*'Вводные'!$B$20+'ОБЪЕКТЫ'!DQ98</x:f>
      </x:c>
      <x:c r="DR34" s="117" t="n">
        <x:f>'Продажи'!DR26*'Вводные'!$B$20+'ОБЪЕКТЫ'!DR98</x:f>
      </x:c>
      <x:c r="DS34" s="117" t="n">
        <x:f>'Продажи'!DS26*'Вводные'!$B$20+'ОБЪЕКТЫ'!DS98</x:f>
      </x:c>
    </x:row>
    <x:row r="35">
      <x:c r="A35" s="113" t="str">
        <x:v>РАСХОДЫ ПРОЕКТА ВСЕГО</x:v>
      </x:c>
      <x:c r="B35" s="113" t="n">
        <x:f>SUM(D35:DS35)</x:f>
      </x:c>
      <x:c r="C35" s="113" t="str">
        <x:v>млн ₽</x:v>
      </x:c>
      <x:c r="D35" s="120" t="n">
        <x:f>SUM(D32:D34)</x:f>
      </x:c>
      <x:c r="E35" s="120" t="n">
        <x:f>SUM(E32:E34)</x:f>
      </x:c>
      <x:c r="F35" s="120" t="n">
        <x:f>SUM(F32:F34)</x:f>
      </x:c>
      <x:c r="G35" s="120" t="n">
        <x:f>SUM(G32:G34)</x:f>
      </x:c>
      <x:c r="H35" s="120" t="n">
        <x:f>SUM(H32:H34)</x:f>
      </x:c>
      <x:c r="I35" s="120" t="n">
        <x:f>SUM(I32:I34)</x:f>
      </x:c>
      <x:c r="J35" s="120" t="n">
        <x:f>SUM(J32:J34)</x:f>
      </x:c>
      <x:c r="K35" s="120" t="n">
        <x:f>SUM(K32:K34)</x:f>
      </x:c>
      <x:c r="L35" s="120" t="n">
        <x:f>SUM(L32:L34)</x:f>
      </x:c>
      <x:c r="M35" s="120" t="n">
        <x:f>SUM(M32:M34)</x:f>
      </x:c>
      <x:c r="N35" s="120" t="n">
        <x:f>SUM(N32:N34)</x:f>
      </x:c>
      <x:c r="O35" s="120" t="n">
        <x:f>SUM(O32:O34)</x:f>
      </x:c>
      <x:c r="P35" s="120" t="n">
        <x:f>SUM(P32:P34)</x:f>
      </x:c>
      <x:c r="Q35" s="120" t="n">
        <x:f>SUM(Q32:Q34)</x:f>
      </x:c>
      <x:c r="R35" s="120" t="n">
        <x:f>SUM(R32:R34)</x:f>
      </x:c>
      <x:c r="S35" s="120" t="n">
        <x:f>SUM(S32:S34)</x:f>
      </x:c>
      <x:c r="T35" s="120" t="n">
        <x:f>SUM(T32:T34)</x:f>
      </x:c>
      <x:c r="U35" s="120" t="n">
        <x:f>SUM(U32:U34)</x:f>
      </x:c>
      <x:c r="V35" s="120" t="n">
        <x:f>SUM(V32:V34)</x:f>
      </x:c>
      <x:c r="W35" s="120" t="n">
        <x:f>SUM(W32:W34)</x:f>
      </x:c>
      <x:c r="X35" s="120" t="n">
        <x:f>SUM(X32:X34)</x:f>
      </x:c>
      <x:c r="Y35" s="120" t="n">
        <x:f>SUM(Y32:Y34)</x:f>
      </x:c>
      <x:c r="Z35" s="120" t="n">
        <x:f>SUM(Z32:Z34)</x:f>
      </x:c>
      <x:c r="AA35" s="120" t="n">
        <x:f>SUM(AA32:AA34)</x:f>
      </x:c>
      <x:c r="AB35" s="120" t="n">
        <x:f>SUM(AB32:AB34)</x:f>
      </x:c>
      <x:c r="AC35" s="120" t="n">
        <x:f>SUM(AC32:AC34)</x:f>
      </x:c>
      <x:c r="AD35" s="120" t="n">
        <x:f>SUM(AD32:AD34)</x:f>
      </x:c>
      <x:c r="AE35" s="120" t="n">
        <x:f>SUM(AE32:AE34)</x:f>
      </x:c>
      <x:c r="AF35" s="120" t="n">
        <x:f>SUM(AF32:AF34)</x:f>
      </x:c>
      <x:c r="AG35" s="120" t="n">
        <x:f>SUM(AG32:AG34)</x:f>
      </x:c>
      <x:c r="AH35" s="120" t="n">
        <x:f>SUM(AH32:AH34)</x:f>
      </x:c>
      <x:c r="AI35" s="120" t="n">
        <x:f>SUM(AI32:AI34)</x:f>
      </x:c>
      <x:c r="AJ35" s="120" t="n">
        <x:f>SUM(AJ32:AJ34)</x:f>
      </x:c>
      <x:c r="AK35" s="120" t="n">
        <x:f>SUM(AK32:AK34)</x:f>
      </x:c>
      <x:c r="AL35" s="120" t="n">
        <x:f>SUM(AL32:AL34)</x:f>
      </x:c>
      <x:c r="AM35" s="120" t="n">
        <x:f>SUM(AM32:AM34)</x:f>
      </x:c>
      <x:c r="AN35" s="120" t="n">
        <x:f>SUM(AN32:AN34)</x:f>
      </x:c>
      <x:c r="AO35" s="120" t="n">
        <x:f>SUM(AO32:AO34)</x:f>
      </x:c>
      <x:c r="AP35" s="120" t="n">
        <x:f>SUM(AP32:AP34)</x:f>
      </x:c>
      <x:c r="AQ35" s="120" t="n">
        <x:f>SUM(AQ32:AQ34)</x:f>
      </x:c>
      <x:c r="AR35" s="120" t="n">
        <x:f>SUM(AR32:AR34)</x:f>
      </x:c>
      <x:c r="AS35" s="120" t="n">
        <x:f>SUM(AS32:AS34)</x:f>
      </x:c>
      <x:c r="AT35" s="120" t="n">
        <x:f>SUM(AT32:AT34)</x:f>
      </x:c>
      <x:c r="AU35" s="120" t="n">
        <x:f>SUM(AU32:AU34)</x:f>
      </x:c>
      <x:c r="AV35" s="120" t="n">
        <x:f>SUM(AV32:AV34)</x:f>
      </x:c>
      <x:c r="AW35" s="120" t="n">
        <x:f>SUM(AW32:AW34)</x:f>
      </x:c>
      <x:c r="AX35" s="120" t="n">
        <x:f>SUM(AX32:AX34)</x:f>
      </x:c>
      <x:c r="AY35" s="120" t="n">
        <x:f>SUM(AY32:AY34)</x:f>
      </x:c>
      <x:c r="AZ35" s="120" t="n">
        <x:f>SUM(AZ32:AZ34)</x:f>
      </x:c>
      <x:c r="BA35" s="120" t="n">
        <x:f>SUM(BA32:BA34)</x:f>
      </x:c>
      <x:c r="BB35" s="120" t="n">
        <x:f>SUM(BB32:BB34)</x:f>
      </x:c>
      <x:c r="BC35" s="120" t="n">
        <x:f>SUM(BC32:BC34)</x:f>
      </x:c>
      <x:c r="BD35" s="120" t="n">
        <x:f>SUM(BD32:BD34)</x:f>
      </x:c>
      <x:c r="BE35" s="120" t="n">
        <x:f>SUM(BE32:BE34)</x:f>
      </x:c>
      <x:c r="BF35" s="120" t="n">
        <x:f>SUM(BF32:BF34)</x:f>
      </x:c>
      <x:c r="BG35" s="120" t="n">
        <x:f>SUM(BG32:BG34)</x:f>
      </x:c>
      <x:c r="BH35" s="120" t="n">
        <x:f>SUM(BH32:BH34)</x:f>
      </x:c>
      <x:c r="BI35" s="120" t="n">
        <x:f>SUM(BI32:BI34)</x:f>
      </x:c>
      <x:c r="BJ35" s="120" t="n">
        <x:f>SUM(BJ32:BJ34)</x:f>
      </x:c>
      <x:c r="BK35" s="120" t="n">
        <x:f>SUM(BK32:BK34)</x:f>
      </x:c>
      <x:c r="BL35" s="120" t="n">
        <x:f>SUM(BL32:BL34)</x:f>
      </x:c>
      <x:c r="BM35" s="120" t="n">
        <x:f>SUM(BM32:BM34)</x:f>
      </x:c>
      <x:c r="BN35" s="120" t="n">
        <x:f>SUM(BN32:BN34)</x:f>
      </x:c>
      <x:c r="BO35" s="120" t="n">
        <x:f>SUM(BO32:BO34)</x:f>
      </x:c>
      <x:c r="BP35" s="120" t="n">
        <x:f>SUM(BP32:BP34)</x:f>
      </x:c>
      <x:c r="BQ35" s="120" t="n">
        <x:f>SUM(BQ32:BQ34)</x:f>
      </x:c>
      <x:c r="BR35" s="120" t="n">
        <x:f>SUM(BR32:BR34)</x:f>
      </x:c>
      <x:c r="BS35" s="120" t="n">
        <x:f>SUM(BS32:BS34)</x:f>
      </x:c>
      <x:c r="BT35" s="120" t="n">
        <x:f>SUM(BT32:BT34)</x:f>
      </x:c>
      <x:c r="BU35" s="120" t="n">
        <x:f>SUM(BU32:BU34)</x:f>
      </x:c>
      <x:c r="BV35" s="120" t="n">
        <x:f>SUM(BV32:BV34)</x:f>
      </x:c>
      <x:c r="BW35" s="120" t="n">
        <x:f>SUM(BW32:BW34)</x:f>
      </x:c>
      <x:c r="BX35" s="120" t="n">
        <x:f>SUM(BX32:BX34)</x:f>
      </x:c>
      <x:c r="BY35" s="120" t="n">
        <x:f>SUM(BY32:BY34)</x:f>
      </x:c>
      <x:c r="BZ35" s="120" t="n">
        <x:f>SUM(BZ32:BZ34)</x:f>
      </x:c>
      <x:c r="CA35" s="120" t="n">
        <x:f>SUM(CA32:CA34)</x:f>
      </x:c>
      <x:c r="CB35" s="120" t="n">
        <x:f>SUM(CB32:CB34)</x:f>
      </x:c>
      <x:c r="CC35" s="120" t="n">
        <x:f>SUM(CC32:CC34)</x:f>
      </x:c>
      <x:c r="CD35" s="120" t="n">
        <x:f>SUM(CD32:CD34)</x:f>
      </x:c>
      <x:c r="CE35" s="120" t="n">
        <x:f>SUM(CE32:CE34)</x:f>
      </x:c>
      <x:c r="CF35" s="120" t="n">
        <x:f>SUM(CF32:CF34)</x:f>
      </x:c>
      <x:c r="CG35" s="120" t="n">
        <x:f>SUM(CG32:CG34)</x:f>
      </x:c>
      <x:c r="CH35" s="120" t="n">
        <x:f>SUM(CH32:CH34)</x:f>
      </x:c>
      <x:c r="CI35" s="120" t="n">
        <x:f>SUM(CI32:CI34)</x:f>
      </x:c>
      <x:c r="CJ35" s="120" t="n">
        <x:f>SUM(CJ32:CJ34)</x:f>
      </x:c>
      <x:c r="CK35" s="120" t="n">
        <x:f>SUM(CK32:CK34)</x:f>
      </x:c>
      <x:c r="CL35" s="120" t="n">
        <x:f>SUM(CL32:CL34)</x:f>
      </x:c>
      <x:c r="CM35" s="120" t="n">
        <x:f>SUM(CM32:CM34)</x:f>
      </x:c>
      <x:c r="CN35" s="120" t="n">
        <x:f>SUM(CN32:CN34)</x:f>
      </x:c>
      <x:c r="CO35" s="120" t="n">
        <x:f>SUM(CO32:CO34)</x:f>
      </x:c>
      <x:c r="CP35" s="120" t="n">
        <x:f>SUM(CP32:CP34)</x:f>
      </x:c>
      <x:c r="CQ35" s="120" t="n">
        <x:f>SUM(CQ32:CQ34)</x:f>
      </x:c>
      <x:c r="CR35" s="120" t="n">
        <x:f>SUM(CR32:CR34)</x:f>
      </x:c>
      <x:c r="CS35" s="120" t="n">
        <x:f>SUM(CS32:CS34)</x:f>
      </x:c>
      <x:c r="CT35" s="120" t="n">
        <x:f>SUM(CT32:CT34)</x:f>
      </x:c>
      <x:c r="CU35" s="120" t="n">
        <x:f>SUM(CU32:CU34)</x:f>
      </x:c>
      <x:c r="CV35" s="120" t="n">
        <x:f>SUM(CV32:CV34)</x:f>
      </x:c>
      <x:c r="CW35" s="120" t="n">
        <x:f>SUM(CW32:CW34)</x:f>
      </x:c>
      <x:c r="CX35" s="120" t="n">
        <x:f>SUM(CX32:CX34)</x:f>
      </x:c>
      <x:c r="CY35" s="120" t="n">
        <x:f>SUM(CY32:CY34)</x:f>
      </x:c>
      <x:c r="CZ35" s="120" t="n">
        <x:f>SUM(CZ32:CZ34)</x:f>
      </x:c>
      <x:c r="DA35" s="120" t="n">
        <x:f>SUM(DA32:DA34)</x:f>
      </x:c>
      <x:c r="DB35" s="120" t="n">
        <x:f>SUM(DB32:DB34)</x:f>
      </x:c>
      <x:c r="DC35" s="120" t="n">
        <x:f>SUM(DC32:DC34)</x:f>
      </x:c>
      <x:c r="DD35" s="120" t="n">
        <x:f>SUM(DD32:DD34)</x:f>
      </x:c>
      <x:c r="DE35" s="120" t="n">
        <x:f>SUM(DE32:DE34)</x:f>
      </x:c>
      <x:c r="DF35" s="120" t="n">
        <x:f>SUM(DF32:DF34)</x:f>
      </x:c>
      <x:c r="DG35" s="120" t="n">
        <x:f>SUM(DG32:DG34)</x:f>
      </x:c>
      <x:c r="DH35" s="120" t="n">
        <x:f>SUM(DH32:DH34)</x:f>
      </x:c>
      <x:c r="DI35" s="120" t="n">
        <x:f>SUM(DI32:DI34)</x:f>
      </x:c>
      <x:c r="DJ35" s="120" t="n">
        <x:f>SUM(DJ32:DJ34)</x:f>
      </x:c>
      <x:c r="DK35" s="120" t="n">
        <x:f>SUM(DK32:DK34)</x:f>
      </x:c>
      <x:c r="DL35" s="120" t="n">
        <x:f>SUM(DL32:DL34)</x:f>
      </x:c>
      <x:c r="DM35" s="120" t="n">
        <x:f>SUM(DM32:DM34)</x:f>
      </x:c>
      <x:c r="DN35" s="120" t="n">
        <x:f>SUM(DN32:DN34)</x:f>
      </x:c>
      <x:c r="DO35" s="120" t="n">
        <x:f>SUM(DO32:DO34)</x:f>
      </x:c>
      <x:c r="DP35" s="120" t="n">
        <x:f>SUM(DP32:DP34)</x:f>
      </x:c>
      <x:c r="DQ35" s="120" t="n">
        <x:f>SUM(DQ32:DQ34)</x:f>
      </x:c>
      <x:c r="DR35" s="120" t="n">
        <x:f>SUM(DR32:DR34)</x:f>
      </x:c>
      <x:c r="DS35" s="120" t="n">
        <x:f>SUM(DS32:DS34)</x:f>
      </x:c>
    </x:row>
    <x:row r="40" ht="21" customHeight="1">
      <x:c r="A40" s="52" t="str">
        <x:v>ОЧЕРЕДЬ 2</x:v>
      </x:c>
      <x:c r="B40" s="53" t="str">
        <x:v>ОЧЕРЕДЬ 2</x:v>
      </x:c>
      <x:c r="C40" s="53" t="str">
        <x:v>ОЧЕРЕДЬ 2</x:v>
      </x:c>
      <x:c r="D40" s="53" t="str">
        <x:v>ОЧЕРЕДЬ 2</x:v>
      </x:c>
      <x:c r="E40" s="53" t="str">
        <x:v>ОЧЕРЕДЬ 2</x:v>
      </x:c>
      <x:c r="F40" s="53" t="str">
        <x:v>ОЧЕРЕДЬ 2</x:v>
      </x:c>
      <x:c r="G40" s="53" t="str">
        <x:v>ОЧЕРЕДЬ 2</x:v>
      </x:c>
      <x:c r="H40" s="53" t="str">
        <x:v>ОЧЕРЕДЬ 2</x:v>
      </x:c>
      <x:c r="I40" s="53" t="str">
        <x:v>ОЧЕРЕДЬ 2</x:v>
      </x:c>
      <x:c r="J40" s="53" t="str">
        <x:v>ОЧЕРЕДЬ 2</x:v>
      </x:c>
      <x:c r="K40" s="53" t="str">
        <x:v>ОЧЕРЕДЬ 2</x:v>
      </x:c>
      <x:c r="L40" s="53" t="str">
        <x:v>ОЧЕРЕДЬ 2</x:v>
      </x:c>
      <x:c r="M40" s="53" t="str">
        <x:v>ОЧЕРЕДЬ 2</x:v>
      </x:c>
      <x:c r="N40" s="53" t="str">
        <x:v>ОЧЕРЕДЬ 2</x:v>
      </x:c>
      <x:c r="O40" s="53" t="str">
        <x:v>ОЧЕРЕДЬ 2</x:v>
      </x:c>
      <x:c r="P40" s="53" t="str">
        <x:v>ОЧЕРЕДЬ 2</x:v>
      </x:c>
      <x:c r="Q40" s="53" t="str">
        <x:v>ОЧЕРЕДЬ 2</x:v>
      </x:c>
      <x:c r="R40" s="53" t="str">
        <x:v>ОЧЕРЕДЬ 2</x:v>
      </x:c>
      <x:c r="S40" s="53" t="str">
        <x:v>ОЧЕРЕДЬ 2</x:v>
      </x:c>
      <x:c r="T40" s="53" t="str">
        <x:v>ОЧЕРЕДЬ 2</x:v>
      </x:c>
      <x:c r="U40" s="53" t="str">
        <x:v>ОЧЕРЕДЬ 2</x:v>
      </x:c>
      <x:c r="V40" s="53" t="str">
        <x:v>ОЧЕРЕДЬ 2</x:v>
      </x:c>
      <x:c r="W40" s="53" t="str">
        <x:v>ОЧЕРЕДЬ 2</x:v>
      </x:c>
      <x:c r="X40" s="53" t="str">
        <x:v>ОЧЕРЕДЬ 2</x:v>
      </x:c>
      <x:c r="Y40" s="53" t="str">
        <x:v>ОЧЕРЕДЬ 2</x:v>
      </x:c>
      <x:c r="Z40" s="53" t="str">
        <x:v>ОЧЕРЕДЬ 2</x:v>
      </x:c>
      <x:c r="AA40" s="53" t="str">
        <x:v>ОЧЕРЕДЬ 2</x:v>
      </x:c>
      <x:c r="AB40" s="53" t="str">
        <x:v>ОЧЕРЕДЬ 2</x:v>
      </x:c>
      <x:c r="AC40" s="53" t="str">
        <x:v>ОЧЕРЕДЬ 2</x:v>
      </x:c>
      <x:c r="AD40" s="53" t="str">
        <x:v>ОЧЕРЕДЬ 2</x:v>
      </x:c>
      <x:c r="AE40" s="53" t="str">
        <x:v>ОЧЕРЕДЬ 2</x:v>
      </x:c>
      <x:c r="AF40" s="53" t="str">
        <x:v>ОЧЕРЕДЬ 2</x:v>
      </x:c>
      <x:c r="AG40" s="53" t="str">
        <x:v>ОЧЕРЕДЬ 2</x:v>
      </x:c>
      <x:c r="AH40" s="53" t="str">
        <x:v>ОЧЕРЕДЬ 2</x:v>
      </x:c>
      <x:c r="AI40" s="53" t="str">
        <x:v>ОЧЕРЕДЬ 2</x:v>
      </x:c>
      <x:c r="AJ40" s="53" t="str">
        <x:v>ОЧЕРЕДЬ 2</x:v>
      </x:c>
      <x:c r="AK40" s="53" t="str">
        <x:v>ОЧЕРЕДЬ 2</x:v>
      </x:c>
      <x:c r="AL40" s="53" t="str">
        <x:v>ОЧЕРЕДЬ 2</x:v>
      </x:c>
      <x:c r="AM40" s="53" t="str">
        <x:v>ОЧЕРЕДЬ 2</x:v>
      </x:c>
      <x:c r="AN40" s="53" t="str">
        <x:v>ОЧЕРЕДЬ 2</x:v>
      </x:c>
      <x:c r="AO40" s="53" t="str">
        <x:v>ОЧЕРЕДЬ 2</x:v>
      </x:c>
      <x:c r="AP40" s="53" t="str">
        <x:v>ОЧЕРЕДЬ 2</x:v>
      </x:c>
      <x:c r="AQ40" s="53" t="str">
        <x:v>ОЧЕРЕДЬ 2</x:v>
      </x:c>
      <x:c r="AR40" s="53" t="str">
        <x:v>ОЧЕРЕДЬ 2</x:v>
      </x:c>
      <x:c r="AS40" s="53" t="str">
        <x:v>ОЧЕРЕДЬ 2</x:v>
      </x:c>
      <x:c r="AT40" s="53" t="str">
        <x:v>ОЧЕРЕДЬ 2</x:v>
      </x:c>
      <x:c r="AU40" s="53" t="str">
        <x:v>ОЧЕРЕДЬ 2</x:v>
      </x:c>
      <x:c r="AV40" s="53" t="str">
        <x:v>ОЧЕРЕДЬ 2</x:v>
      </x:c>
      <x:c r="AW40" s="53" t="str">
        <x:v>ОЧЕРЕДЬ 2</x:v>
      </x:c>
      <x:c r="AX40" s="53" t="str">
        <x:v>ОЧЕРЕДЬ 2</x:v>
      </x:c>
      <x:c r="AY40" s="53" t="str">
        <x:v>ОЧЕРЕДЬ 2</x:v>
      </x:c>
      <x:c r="AZ40" s="53" t="str">
        <x:v>ОЧЕРЕДЬ 2</x:v>
      </x:c>
      <x:c r="BA40" s="53" t="str">
        <x:v>ОЧЕРЕДЬ 2</x:v>
      </x:c>
      <x:c r="BB40" s="53" t="str">
        <x:v>ОЧЕРЕДЬ 2</x:v>
      </x:c>
      <x:c r="BC40" s="53" t="str">
        <x:v>ОЧЕРЕДЬ 2</x:v>
      </x:c>
      <x:c r="BD40" s="53" t="str">
        <x:v>ОЧЕРЕДЬ 2</x:v>
      </x:c>
      <x:c r="BE40" s="53" t="str">
        <x:v>ОЧЕРЕДЬ 2</x:v>
      </x:c>
      <x:c r="BF40" s="53" t="str">
        <x:v>ОЧЕРЕДЬ 2</x:v>
      </x:c>
      <x:c r="BG40" s="53" t="str">
        <x:v>ОЧЕРЕДЬ 2</x:v>
      </x:c>
      <x:c r="BH40" s="53" t="str">
        <x:v>ОЧЕРЕДЬ 2</x:v>
      </x:c>
      <x:c r="BI40" s="53" t="str">
        <x:v>ОЧЕРЕДЬ 2</x:v>
      </x:c>
      <x:c r="BJ40" s="53" t="str">
        <x:v>ОЧЕРЕДЬ 2</x:v>
      </x:c>
      <x:c r="BK40" s="53" t="str">
        <x:v>ОЧЕРЕДЬ 2</x:v>
      </x:c>
      <x:c r="BL40" s="53" t="str">
        <x:v>ОЧЕРЕДЬ 2</x:v>
      </x:c>
      <x:c r="BM40" s="53" t="str">
        <x:v>ОЧЕРЕДЬ 2</x:v>
      </x:c>
      <x:c r="BN40" s="53" t="str">
        <x:v>ОЧЕРЕДЬ 2</x:v>
      </x:c>
      <x:c r="BO40" s="53" t="str">
        <x:v>ОЧЕРЕДЬ 2</x:v>
      </x:c>
      <x:c r="BP40" s="53" t="str">
        <x:v>ОЧЕРЕДЬ 2</x:v>
      </x:c>
      <x:c r="BQ40" s="53" t="str">
        <x:v>ОЧЕРЕДЬ 2</x:v>
      </x:c>
      <x:c r="BR40" s="53" t="str">
        <x:v>ОЧЕРЕДЬ 2</x:v>
      </x:c>
      <x:c r="BS40" s="53" t="str">
        <x:v>ОЧЕРЕДЬ 2</x:v>
      </x:c>
      <x:c r="BT40" s="53" t="str">
        <x:v>ОЧЕРЕДЬ 2</x:v>
      </x:c>
      <x:c r="BU40" s="53" t="str">
        <x:v>ОЧЕРЕДЬ 2</x:v>
      </x:c>
      <x:c r="BV40" s="53" t="str">
        <x:v>ОЧЕРЕДЬ 2</x:v>
      </x:c>
      <x:c r="BW40" s="53" t="str">
        <x:v>ОЧЕРЕДЬ 2</x:v>
      </x:c>
      <x:c r="BX40" s="53" t="str">
        <x:v>ОЧЕРЕДЬ 2</x:v>
      </x:c>
      <x:c r="BY40" s="53" t="str">
        <x:v>ОЧЕРЕДЬ 2</x:v>
      </x:c>
      <x:c r="BZ40" s="53" t="str">
        <x:v>ОЧЕРЕДЬ 2</x:v>
      </x:c>
      <x:c r="CA40" s="53" t="str">
        <x:v>ОЧЕРЕДЬ 2</x:v>
      </x:c>
      <x:c r="CB40" s="53" t="str">
        <x:v>ОЧЕРЕДЬ 2</x:v>
      </x:c>
      <x:c r="CC40" s="53" t="str">
        <x:v>ОЧЕРЕДЬ 2</x:v>
      </x:c>
      <x:c r="CD40" s="53" t="str">
        <x:v>ОЧЕРЕДЬ 2</x:v>
      </x:c>
      <x:c r="CE40" s="53" t="str">
        <x:v>ОЧЕРЕДЬ 2</x:v>
      </x:c>
      <x:c r="CF40" s="53" t="str">
        <x:v>ОЧЕРЕДЬ 2</x:v>
      </x:c>
      <x:c r="CG40" s="53" t="str">
        <x:v>ОЧЕРЕДЬ 2</x:v>
      </x:c>
      <x:c r="CH40" s="53" t="str">
        <x:v>ОЧЕРЕДЬ 2</x:v>
      </x:c>
      <x:c r="CI40" s="53" t="str">
        <x:v>ОЧЕРЕДЬ 2</x:v>
      </x:c>
      <x:c r="CJ40" s="53" t="str">
        <x:v>ОЧЕРЕДЬ 2</x:v>
      </x:c>
      <x:c r="CK40" s="53" t="str">
        <x:v>ОЧЕРЕДЬ 2</x:v>
      </x:c>
      <x:c r="CL40" s="53" t="str">
        <x:v>ОЧЕРЕДЬ 2</x:v>
      </x:c>
      <x:c r="CM40" s="53" t="str">
        <x:v>ОЧЕРЕДЬ 2</x:v>
      </x:c>
      <x:c r="CN40" s="53" t="str">
        <x:v>ОЧЕРЕДЬ 2</x:v>
      </x:c>
      <x:c r="CO40" s="53" t="str">
        <x:v>ОЧЕРЕДЬ 2</x:v>
      </x:c>
      <x:c r="CP40" s="53" t="str">
        <x:v>ОЧЕРЕДЬ 2</x:v>
      </x:c>
      <x:c r="CQ40" s="53" t="str">
        <x:v>ОЧЕРЕДЬ 2</x:v>
      </x:c>
      <x:c r="CR40" s="53" t="str">
        <x:v>ОЧЕРЕДЬ 2</x:v>
      </x:c>
      <x:c r="CS40" s="53" t="str">
        <x:v>ОЧЕРЕДЬ 2</x:v>
      </x:c>
      <x:c r="CT40" s="53" t="str">
        <x:v>ОЧЕРЕДЬ 2</x:v>
      </x:c>
      <x:c r="CU40" s="53" t="str">
        <x:v>ОЧЕРЕДЬ 2</x:v>
      </x:c>
      <x:c r="CV40" s="53" t="str">
        <x:v>ОЧЕРЕДЬ 2</x:v>
      </x:c>
      <x:c r="CW40" s="53" t="str">
        <x:v>ОЧЕРЕДЬ 2</x:v>
      </x:c>
      <x:c r="CX40" s="53" t="str">
        <x:v>ОЧЕРЕДЬ 2</x:v>
      </x:c>
      <x:c r="CY40" s="53" t="str">
        <x:v>ОЧЕРЕДЬ 2</x:v>
      </x:c>
      <x:c r="CZ40" s="53" t="str">
        <x:v>ОЧЕРЕДЬ 2</x:v>
      </x:c>
      <x:c r="DA40" s="53" t="str">
        <x:v>ОЧЕРЕДЬ 2</x:v>
      </x:c>
      <x:c r="DB40" s="53" t="str">
        <x:v>ОЧЕРЕДЬ 2</x:v>
      </x:c>
      <x:c r="DC40" s="53" t="str">
        <x:v>ОЧЕРЕДЬ 2</x:v>
      </x:c>
      <x:c r="DD40" s="53" t="str">
        <x:v>ОЧЕРЕДЬ 2</x:v>
      </x:c>
      <x:c r="DE40" s="53" t="str">
        <x:v>ОЧЕРЕДЬ 2</x:v>
      </x:c>
      <x:c r="DF40" s="53" t="str">
        <x:v>ОЧЕРЕДЬ 2</x:v>
      </x:c>
      <x:c r="DG40" s="53" t="str">
        <x:v>ОЧЕРЕДЬ 2</x:v>
      </x:c>
      <x:c r="DH40" s="53" t="str">
        <x:v>ОЧЕРЕДЬ 2</x:v>
      </x:c>
      <x:c r="DI40" s="53" t="str">
        <x:v>ОЧЕРЕДЬ 2</x:v>
      </x:c>
      <x:c r="DJ40" s="53" t="str">
        <x:v>ОЧЕРЕДЬ 2</x:v>
      </x:c>
      <x:c r="DK40" s="53" t="str">
        <x:v>ОЧЕРЕДЬ 2</x:v>
      </x:c>
      <x:c r="DL40" s="53" t="str">
        <x:v>ОЧЕРЕДЬ 2</x:v>
      </x:c>
      <x:c r="DM40" s="53" t="str">
        <x:v>ОЧЕРЕДЬ 2</x:v>
      </x:c>
      <x:c r="DN40" s="53" t="str">
        <x:v>ОЧЕРЕДЬ 2</x:v>
      </x:c>
      <x:c r="DO40" s="53" t="str">
        <x:v>ОЧЕРЕДЬ 2</x:v>
      </x:c>
      <x:c r="DP40" s="53" t="str">
        <x:v>ОЧЕРЕДЬ 2</x:v>
      </x:c>
      <x:c r="DQ40" s="53" t="str">
        <x:v>ОЧЕРЕДЬ 2</x:v>
      </x:c>
      <x:c r="DR40" s="53" t="str">
        <x:v>ОЧЕРЕДЬ 2</x:v>
      </x:c>
      <x:c r="DS40" s="54" t="str">
        <x:v>ОЧЕРЕДЬ 2</x:v>
      </x:c>
    </x:row>
    <x:row r="41">
      <x:c r="A41" t="str">
        <x:v>РнС / открытие ПФ</x:v>
      </x:c>
      <x:c r="B41" s="106" t="n">
        <x:f>EDATE('Вводные'!$D$89,'Вводные'!$E$89+'Вводные'!$H$9)</x:f>
      </x:c>
      <x:c r="C41" t="str">
        <x:v>дата</x:v>
      </x:c>
    </x:row>
    <x:row r="42">
      <x:c r="A42" t="str">
        <x:v>РВЭ</x:v>
      </x:c>
      <x:c r="B42" s="106" t="n">
        <x:f>EDATE(B41,'Вводные'!$F$89)</x:f>
      </x:c>
      <x:c r="C42" t="str">
        <x:v>дата</x:v>
      </x:c>
    </x:row>
    <x:row r="43">
      <x:c r="A43" t="str">
        <x:v>Флаг проекта</x:v>
      </x:c>
      <x:c r="B43"/>
      <x:c r="C43" t="str">
        <x:v>0/1</x:v>
      </x:c>
      <x:c r="D43" t="n">
        <x:f>--AND(D$3&gt;=EDATE($B$41,-'Вводные'!$E$89),D$3&lt;$B$42,'Вводные'!$B$89="Да")</x:f>
      </x:c>
      <x:c r="E43" t="n">
        <x:f>--AND(E$3&gt;=EDATE($B$41,-'Вводные'!$E$89),E$3&lt;$B$42,'Вводные'!$B$89="Да")</x:f>
      </x:c>
      <x:c r="F43" t="n">
        <x:f>--AND(F$3&gt;=EDATE($B$41,-'Вводные'!$E$89),F$3&lt;$B$42,'Вводные'!$B$89="Да")</x:f>
      </x:c>
      <x:c r="G43" t="n">
        <x:f>--AND(G$3&gt;=EDATE($B$41,-'Вводные'!$E$89),G$3&lt;$B$42,'Вводные'!$B$89="Да")</x:f>
      </x:c>
      <x:c r="H43" t="n">
        <x:f>--AND(H$3&gt;=EDATE($B$41,-'Вводные'!$E$89),H$3&lt;$B$42,'Вводные'!$B$89="Да")</x:f>
      </x:c>
      <x:c r="I43" t="n">
        <x:f>--AND(I$3&gt;=EDATE($B$41,-'Вводные'!$E$89),I$3&lt;$B$42,'Вводные'!$B$89="Да")</x:f>
      </x:c>
      <x:c r="J43" t="n">
        <x:f>--AND(J$3&gt;=EDATE($B$41,-'Вводные'!$E$89),J$3&lt;$B$42,'Вводные'!$B$89="Да")</x:f>
      </x:c>
      <x:c r="K43" t="n">
        <x:f>--AND(K$3&gt;=EDATE($B$41,-'Вводные'!$E$89),K$3&lt;$B$42,'Вводные'!$B$89="Да")</x:f>
      </x:c>
      <x:c r="L43" t="n">
        <x:f>--AND(L$3&gt;=EDATE($B$41,-'Вводные'!$E$89),L$3&lt;$B$42,'Вводные'!$B$89="Да")</x:f>
      </x:c>
      <x:c r="M43" t="n">
        <x:f>--AND(M$3&gt;=EDATE($B$41,-'Вводные'!$E$89),M$3&lt;$B$42,'Вводные'!$B$89="Да")</x:f>
      </x:c>
      <x:c r="N43" t="n">
        <x:f>--AND(N$3&gt;=EDATE($B$41,-'Вводные'!$E$89),N$3&lt;$B$42,'Вводные'!$B$89="Да")</x:f>
      </x:c>
      <x:c r="O43" t="n">
        <x:f>--AND(O$3&gt;=EDATE($B$41,-'Вводные'!$E$89),O$3&lt;$B$42,'Вводные'!$B$89="Да")</x:f>
      </x:c>
      <x:c r="P43" t="n">
        <x:f>--AND(P$3&gt;=EDATE($B$41,-'Вводные'!$E$89),P$3&lt;$B$42,'Вводные'!$B$89="Да")</x:f>
      </x:c>
      <x:c r="Q43" t="n">
        <x:f>--AND(Q$3&gt;=EDATE($B$41,-'Вводные'!$E$89),Q$3&lt;$B$42,'Вводные'!$B$89="Да")</x:f>
      </x:c>
      <x:c r="R43" t="n">
        <x:f>--AND(R$3&gt;=EDATE($B$41,-'Вводные'!$E$89),R$3&lt;$B$42,'Вводные'!$B$89="Да")</x:f>
      </x:c>
      <x:c r="S43" t="n">
        <x:f>--AND(S$3&gt;=EDATE($B$41,-'Вводные'!$E$89),S$3&lt;$B$42,'Вводные'!$B$89="Да")</x:f>
      </x:c>
      <x:c r="T43" t="n">
        <x:f>--AND(T$3&gt;=EDATE($B$41,-'Вводные'!$E$89),T$3&lt;$B$42,'Вводные'!$B$89="Да")</x:f>
      </x:c>
      <x:c r="U43" t="n">
        <x:f>--AND(U$3&gt;=EDATE($B$41,-'Вводные'!$E$89),U$3&lt;$B$42,'Вводные'!$B$89="Да")</x:f>
      </x:c>
      <x:c r="V43" t="n">
        <x:f>--AND(V$3&gt;=EDATE($B$41,-'Вводные'!$E$89),V$3&lt;$B$42,'Вводные'!$B$89="Да")</x:f>
      </x:c>
      <x:c r="W43" t="n">
        <x:f>--AND(W$3&gt;=EDATE($B$41,-'Вводные'!$E$89),W$3&lt;$B$42,'Вводные'!$B$89="Да")</x:f>
      </x:c>
      <x:c r="X43" t="n">
        <x:f>--AND(X$3&gt;=EDATE($B$41,-'Вводные'!$E$89),X$3&lt;$B$42,'Вводные'!$B$89="Да")</x:f>
      </x:c>
      <x:c r="Y43" t="n">
        <x:f>--AND(Y$3&gt;=EDATE($B$41,-'Вводные'!$E$89),Y$3&lt;$B$42,'Вводные'!$B$89="Да")</x:f>
      </x:c>
      <x:c r="Z43" t="n">
        <x:f>--AND(Z$3&gt;=EDATE($B$41,-'Вводные'!$E$89),Z$3&lt;$B$42,'Вводные'!$B$89="Да")</x:f>
      </x:c>
      <x:c r="AA43" t="n">
        <x:f>--AND(AA$3&gt;=EDATE($B$41,-'Вводные'!$E$89),AA$3&lt;$B$42,'Вводные'!$B$89="Да")</x:f>
      </x:c>
      <x:c r="AB43" t="n">
        <x:f>--AND(AB$3&gt;=EDATE($B$41,-'Вводные'!$E$89),AB$3&lt;$B$42,'Вводные'!$B$89="Да")</x:f>
      </x:c>
      <x:c r="AC43" t="n">
        <x:f>--AND(AC$3&gt;=EDATE($B$41,-'Вводные'!$E$89),AC$3&lt;$B$42,'Вводные'!$B$89="Да")</x:f>
      </x:c>
      <x:c r="AD43" t="n">
        <x:f>--AND(AD$3&gt;=EDATE($B$41,-'Вводные'!$E$89),AD$3&lt;$B$42,'Вводные'!$B$89="Да")</x:f>
      </x:c>
      <x:c r="AE43" t="n">
        <x:f>--AND(AE$3&gt;=EDATE($B$41,-'Вводные'!$E$89),AE$3&lt;$B$42,'Вводные'!$B$89="Да")</x:f>
      </x:c>
      <x:c r="AF43" t="n">
        <x:f>--AND(AF$3&gt;=EDATE($B$41,-'Вводные'!$E$89),AF$3&lt;$B$42,'Вводные'!$B$89="Да")</x:f>
      </x:c>
      <x:c r="AG43" t="n">
        <x:f>--AND(AG$3&gt;=EDATE($B$41,-'Вводные'!$E$89),AG$3&lt;$B$42,'Вводные'!$B$89="Да")</x:f>
      </x:c>
      <x:c r="AH43" t="n">
        <x:f>--AND(AH$3&gt;=EDATE($B$41,-'Вводные'!$E$89),AH$3&lt;$B$42,'Вводные'!$B$89="Да")</x:f>
      </x:c>
      <x:c r="AI43" t="n">
        <x:f>--AND(AI$3&gt;=EDATE($B$41,-'Вводные'!$E$89),AI$3&lt;$B$42,'Вводные'!$B$89="Да")</x:f>
      </x:c>
      <x:c r="AJ43" t="n">
        <x:f>--AND(AJ$3&gt;=EDATE($B$41,-'Вводные'!$E$89),AJ$3&lt;$B$42,'Вводные'!$B$89="Да")</x:f>
      </x:c>
      <x:c r="AK43" t="n">
        <x:f>--AND(AK$3&gt;=EDATE($B$41,-'Вводные'!$E$89),AK$3&lt;$B$42,'Вводные'!$B$89="Да")</x:f>
      </x:c>
      <x:c r="AL43" t="n">
        <x:f>--AND(AL$3&gt;=EDATE($B$41,-'Вводные'!$E$89),AL$3&lt;$B$42,'Вводные'!$B$89="Да")</x:f>
      </x:c>
      <x:c r="AM43" t="n">
        <x:f>--AND(AM$3&gt;=EDATE($B$41,-'Вводные'!$E$89),AM$3&lt;$B$42,'Вводные'!$B$89="Да")</x:f>
      </x:c>
      <x:c r="AN43" t="n">
        <x:f>--AND(AN$3&gt;=EDATE($B$41,-'Вводные'!$E$89),AN$3&lt;$B$42,'Вводные'!$B$89="Да")</x:f>
      </x:c>
      <x:c r="AO43" t="n">
        <x:f>--AND(AO$3&gt;=EDATE($B$41,-'Вводные'!$E$89),AO$3&lt;$B$42,'Вводные'!$B$89="Да")</x:f>
      </x:c>
      <x:c r="AP43" t="n">
        <x:f>--AND(AP$3&gt;=EDATE($B$41,-'Вводные'!$E$89),AP$3&lt;$B$42,'Вводные'!$B$89="Да")</x:f>
      </x:c>
      <x:c r="AQ43" t="n">
        <x:f>--AND(AQ$3&gt;=EDATE($B$41,-'Вводные'!$E$89),AQ$3&lt;$B$42,'Вводные'!$B$89="Да")</x:f>
      </x:c>
      <x:c r="AR43" t="n">
        <x:f>--AND(AR$3&gt;=EDATE($B$41,-'Вводные'!$E$89),AR$3&lt;$B$42,'Вводные'!$B$89="Да")</x:f>
      </x:c>
      <x:c r="AS43" t="n">
        <x:f>--AND(AS$3&gt;=EDATE($B$41,-'Вводные'!$E$89),AS$3&lt;$B$42,'Вводные'!$B$89="Да")</x:f>
      </x:c>
      <x:c r="AT43" t="n">
        <x:f>--AND(AT$3&gt;=EDATE($B$41,-'Вводные'!$E$89),AT$3&lt;$B$42,'Вводные'!$B$89="Да")</x:f>
      </x:c>
      <x:c r="AU43" t="n">
        <x:f>--AND(AU$3&gt;=EDATE($B$41,-'Вводные'!$E$89),AU$3&lt;$B$42,'Вводные'!$B$89="Да")</x:f>
      </x:c>
      <x:c r="AV43" t="n">
        <x:f>--AND(AV$3&gt;=EDATE($B$41,-'Вводные'!$E$89),AV$3&lt;$B$42,'Вводные'!$B$89="Да")</x:f>
      </x:c>
      <x:c r="AW43" t="n">
        <x:f>--AND(AW$3&gt;=EDATE($B$41,-'Вводные'!$E$89),AW$3&lt;$B$42,'Вводные'!$B$89="Да")</x:f>
      </x:c>
      <x:c r="AX43" t="n">
        <x:f>--AND(AX$3&gt;=EDATE($B$41,-'Вводные'!$E$89),AX$3&lt;$B$42,'Вводные'!$B$89="Да")</x:f>
      </x:c>
      <x:c r="AY43" t="n">
        <x:f>--AND(AY$3&gt;=EDATE($B$41,-'Вводные'!$E$89),AY$3&lt;$B$42,'Вводные'!$B$89="Да")</x:f>
      </x:c>
      <x:c r="AZ43" t="n">
        <x:f>--AND(AZ$3&gt;=EDATE($B$41,-'Вводные'!$E$89),AZ$3&lt;$B$42,'Вводные'!$B$89="Да")</x:f>
      </x:c>
      <x:c r="BA43" t="n">
        <x:f>--AND(BA$3&gt;=EDATE($B$41,-'Вводные'!$E$89),BA$3&lt;$B$42,'Вводные'!$B$89="Да")</x:f>
      </x:c>
      <x:c r="BB43" t="n">
        <x:f>--AND(BB$3&gt;=EDATE($B$41,-'Вводные'!$E$89),BB$3&lt;$B$42,'Вводные'!$B$89="Да")</x:f>
      </x:c>
      <x:c r="BC43" t="n">
        <x:f>--AND(BC$3&gt;=EDATE($B$41,-'Вводные'!$E$89),BC$3&lt;$B$42,'Вводные'!$B$89="Да")</x:f>
      </x:c>
      <x:c r="BD43" t="n">
        <x:f>--AND(BD$3&gt;=EDATE($B$41,-'Вводные'!$E$89),BD$3&lt;$B$42,'Вводные'!$B$89="Да")</x:f>
      </x:c>
      <x:c r="BE43" t="n">
        <x:f>--AND(BE$3&gt;=EDATE($B$41,-'Вводные'!$E$89),BE$3&lt;$B$42,'Вводные'!$B$89="Да")</x:f>
      </x:c>
      <x:c r="BF43" t="n">
        <x:f>--AND(BF$3&gt;=EDATE($B$41,-'Вводные'!$E$89),BF$3&lt;$B$42,'Вводные'!$B$89="Да")</x:f>
      </x:c>
      <x:c r="BG43" t="n">
        <x:f>--AND(BG$3&gt;=EDATE($B$41,-'Вводные'!$E$89),BG$3&lt;$B$42,'Вводные'!$B$89="Да")</x:f>
      </x:c>
      <x:c r="BH43" t="n">
        <x:f>--AND(BH$3&gt;=EDATE($B$41,-'Вводные'!$E$89),BH$3&lt;$B$42,'Вводные'!$B$89="Да")</x:f>
      </x:c>
      <x:c r="BI43" t="n">
        <x:f>--AND(BI$3&gt;=EDATE($B$41,-'Вводные'!$E$89),BI$3&lt;$B$42,'Вводные'!$B$89="Да")</x:f>
      </x:c>
      <x:c r="BJ43" t="n">
        <x:f>--AND(BJ$3&gt;=EDATE($B$41,-'Вводные'!$E$89),BJ$3&lt;$B$42,'Вводные'!$B$89="Да")</x:f>
      </x:c>
      <x:c r="BK43" t="n">
        <x:f>--AND(BK$3&gt;=EDATE($B$41,-'Вводные'!$E$89),BK$3&lt;$B$42,'Вводные'!$B$89="Да")</x:f>
      </x:c>
      <x:c r="BL43" t="n">
        <x:f>--AND(BL$3&gt;=EDATE($B$41,-'Вводные'!$E$89),BL$3&lt;$B$42,'Вводные'!$B$89="Да")</x:f>
      </x:c>
      <x:c r="BM43" t="n">
        <x:f>--AND(BM$3&gt;=EDATE($B$41,-'Вводные'!$E$89),BM$3&lt;$B$42,'Вводные'!$B$89="Да")</x:f>
      </x:c>
      <x:c r="BN43" t="n">
        <x:f>--AND(BN$3&gt;=EDATE($B$41,-'Вводные'!$E$89),BN$3&lt;$B$42,'Вводные'!$B$89="Да")</x:f>
      </x:c>
      <x:c r="BO43" t="n">
        <x:f>--AND(BO$3&gt;=EDATE($B$41,-'Вводные'!$E$89),BO$3&lt;$B$42,'Вводные'!$B$89="Да")</x:f>
      </x:c>
      <x:c r="BP43" t="n">
        <x:f>--AND(BP$3&gt;=EDATE($B$41,-'Вводные'!$E$89),BP$3&lt;$B$42,'Вводные'!$B$89="Да")</x:f>
      </x:c>
      <x:c r="BQ43" t="n">
        <x:f>--AND(BQ$3&gt;=EDATE($B$41,-'Вводные'!$E$89),BQ$3&lt;$B$42,'Вводные'!$B$89="Да")</x:f>
      </x:c>
      <x:c r="BR43" t="n">
        <x:f>--AND(BR$3&gt;=EDATE($B$41,-'Вводные'!$E$89),BR$3&lt;$B$42,'Вводные'!$B$89="Да")</x:f>
      </x:c>
      <x:c r="BS43" t="n">
        <x:f>--AND(BS$3&gt;=EDATE($B$41,-'Вводные'!$E$89),BS$3&lt;$B$42,'Вводные'!$B$89="Да")</x:f>
      </x:c>
      <x:c r="BT43" t="n">
        <x:f>--AND(BT$3&gt;=EDATE($B$41,-'Вводные'!$E$89),BT$3&lt;$B$42,'Вводные'!$B$89="Да")</x:f>
      </x:c>
      <x:c r="BU43" t="n">
        <x:f>--AND(BU$3&gt;=EDATE($B$41,-'Вводные'!$E$89),BU$3&lt;$B$42,'Вводные'!$B$89="Да")</x:f>
      </x:c>
      <x:c r="BV43" t="n">
        <x:f>--AND(BV$3&gt;=EDATE($B$41,-'Вводные'!$E$89),BV$3&lt;$B$42,'Вводные'!$B$89="Да")</x:f>
      </x:c>
      <x:c r="BW43" t="n">
        <x:f>--AND(BW$3&gt;=EDATE($B$41,-'Вводные'!$E$89),BW$3&lt;$B$42,'Вводные'!$B$89="Да")</x:f>
      </x:c>
      <x:c r="BX43" t="n">
        <x:f>--AND(BX$3&gt;=EDATE($B$41,-'Вводные'!$E$89),BX$3&lt;$B$42,'Вводные'!$B$89="Да")</x:f>
      </x:c>
      <x:c r="BY43" t="n">
        <x:f>--AND(BY$3&gt;=EDATE($B$41,-'Вводные'!$E$89),BY$3&lt;$B$42,'Вводные'!$B$89="Да")</x:f>
      </x:c>
      <x:c r="BZ43" t="n">
        <x:f>--AND(BZ$3&gt;=EDATE($B$41,-'Вводные'!$E$89),BZ$3&lt;$B$42,'Вводные'!$B$89="Да")</x:f>
      </x:c>
      <x:c r="CA43" t="n">
        <x:f>--AND(CA$3&gt;=EDATE($B$41,-'Вводные'!$E$89),CA$3&lt;$B$42,'Вводные'!$B$89="Да")</x:f>
      </x:c>
      <x:c r="CB43" t="n">
        <x:f>--AND(CB$3&gt;=EDATE($B$41,-'Вводные'!$E$89),CB$3&lt;$B$42,'Вводные'!$B$89="Да")</x:f>
      </x:c>
      <x:c r="CC43" t="n">
        <x:f>--AND(CC$3&gt;=EDATE($B$41,-'Вводные'!$E$89),CC$3&lt;$B$42,'Вводные'!$B$89="Да")</x:f>
      </x:c>
      <x:c r="CD43" t="n">
        <x:f>--AND(CD$3&gt;=EDATE($B$41,-'Вводные'!$E$89),CD$3&lt;$B$42,'Вводные'!$B$89="Да")</x:f>
      </x:c>
      <x:c r="CE43" t="n">
        <x:f>--AND(CE$3&gt;=EDATE($B$41,-'Вводные'!$E$89),CE$3&lt;$B$42,'Вводные'!$B$89="Да")</x:f>
      </x:c>
      <x:c r="CF43" t="n">
        <x:f>--AND(CF$3&gt;=EDATE($B$41,-'Вводные'!$E$89),CF$3&lt;$B$42,'Вводные'!$B$89="Да")</x:f>
      </x:c>
      <x:c r="CG43" t="n">
        <x:f>--AND(CG$3&gt;=EDATE($B$41,-'Вводные'!$E$89),CG$3&lt;$B$42,'Вводные'!$B$89="Да")</x:f>
      </x:c>
      <x:c r="CH43" t="n">
        <x:f>--AND(CH$3&gt;=EDATE($B$41,-'Вводные'!$E$89),CH$3&lt;$B$42,'Вводные'!$B$89="Да")</x:f>
      </x:c>
      <x:c r="CI43" t="n">
        <x:f>--AND(CI$3&gt;=EDATE($B$41,-'Вводные'!$E$89),CI$3&lt;$B$42,'Вводные'!$B$89="Да")</x:f>
      </x:c>
      <x:c r="CJ43" t="n">
        <x:f>--AND(CJ$3&gt;=EDATE($B$41,-'Вводные'!$E$89),CJ$3&lt;$B$42,'Вводные'!$B$89="Да")</x:f>
      </x:c>
      <x:c r="CK43" t="n">
        <x:f>--AND(CK$3&gt;=EDATE($B$41,-'Вводные'!$E$89),CK$3&lt;$B$42,'Вводные'!$B$89="Да")</x:f>
      </x:c>
      <x:c r="CL43" t="n">
        <x:f>--AND(CL$3&gt;=EDATE($B$41,-'Вводные'!$E$89),CL$3&lt;$B$42,'Вводные'!$B$89="Да")</x:f>
      </x:c>
      <x:c r="CM43" t="n">
        <x:f>--AND(CM$3&gt;=EDATE($B$41,-'Вводные'!$E$89),CM$3&lt;$B$42,'Вводные'!$B$89="Да")</x:f>
      </x:c>
      <x:c r="CN43" t="n">
        <x:f>--AND(CN$3&gt;=EDATE($B$41,-'Вводные'!$E$89),CN$3&lt;$B$42,'Вводные'!$B$89="Да")</x:f>
      </x:c>
      <x:c r="CO43" t="n">
        <x:f>--AND(CO$3&gt;=EDATE($B$41,-'Вводные'!$E$89),CO$3&lt;$B$42,'Вводные'!$B$89="Да")</x:f>
      </x:c>
      <x:c r="CP43" t="n">
        <x:f>--AND(CP$3&gt;=EDATE($B$41,-'Вводные'!$E$89),CP$3&lt;$B$42,'Вводные'!$B$89="Да")</x:f>
      </x:c>
      <x:c r="CQ43" t="n">
        <x:f>--AND(CQ$3&gt;=EDATE($B$41,-'Вводные'!$E$89),CQ$3&lt;$B$42,'Вводные'!$B$89="Да")</x:f>
      </x:c>
      <x:c r="CR43" t="n">
        <x:f>--AND(CR$3&gt;=EDATE($B$41,-'Вводные'!$E$89),CR$3&lt;$B$42,'Вводные'!$B$89="Да")</x:f>
      </x:c>
      <x:c r="CS43" t="n">
        <x:f>--AND(CS$3&gt;=EDATE($B$41,-'Вводные'!$E$89),CS$3&lt;$B$42,'Вводные'!$B$89="Да")</x:f>
      </x:c>
      <x:c r="CT43" t="n">
        <x:f>--AND(CT$3&gt;=EDATE($B$41,-'Вводные'!$E$89),CT$3&lt;$B$42,'Вводные'!$B$89="Да")</x:f>
      </x:c>
      <x:c r="CU43" t="n">
        <x:f>--AND(CU$3&gt;=EDATE($B$41,-'Вводные'!$E$89),CU$3&lt;$B$42,'Вводные'!$B$89="Да")</x:f>
      </x:c>
      <x:c r="CV43" t="n">
        <x:f>--AND(CV$3&gt;=EDATE($B$41,-'Вводные'!$E$89),CV$3&lt;$B$42,'Вводные'!$B$89="Да")</x:f>
      </x:c>
      <x:c r="CW43" t="n">
        <x:f>--AND(CW$3&gt;=EDATE($B$41,-'Вводные'!$E$89),CW$3&lt;$B$42,'Вводные'!$B$89="Да")</x:f>
      </x:c>
      <x:c r="CX43" t="n">
        <x:f>--AND(CX$3&gt;=EDATE($B$41,-'Вводные'!$E$89),CX$3&lt;$B$42,'Вводные'!$B$89="Да")</x:f>
      </x:c>
      <x:c r="CY43" t="n">
        <x:f>--AND(CY$3&gt;=EDATE($B$41,-'Вводные'!$E$89),CY$3&lt;$B$42,'Вводные'!$B$89="Да")</x:f>
      </x:c>
      <x:c r="CZ43" t="n">
        <x:f>--AND(CZ$3&gt;=EDATE($B$41,-'Вводные'!$E$89),CZ$3&lt;$B$42,'Вводные'!$B$89="Да")</x:f>
      </x:c>
      <x:c r="DA43" t="n">
        <x:f>--AND(DA$3&gt;=EDATE($B$41,-'Вводные'!$E$89),DA$3&lt;$B$42,'Вводные'!$B$89="Да")</x:f>
      </x:c>
      <x:c r="DB43" t="n">
        <x:f>--AND(DB$3&gt;=EDATE($B$41,-'Вводные'!$E$89),DB$3&lt;$B$42,'Вводные'!$B$89="Да")</x:f>
      </x:c>
      <x:c r="DC43" t="n">
        <x:f>--AND(DC$3&gt;=EDATE($B$41,-'Вводные'!$E$89),DC$3&lt;$B$42,'Вводные'!$B$89="Да")</x:f>
      </x:c>
      <x:c r="DD43" t="n">
        <x:f>--AND(DD$3&gt;=EDATE($B$41,-'Вводные'!$E$89),DD$3&lt;$B$42,'Вводные'!$B$89="Да")</x:f>
      </x:c>
      <x:c r="DE43" t="n">
        <x:f>--AND(DE$3&gt;=EDATE($B$41,-'Вводные'!$E$89),DE$3&lt;$B$42,'Вводные'!$B$89="Да")</x:f>
      </x:c>
      <x:c r="DF43" t="n">
        <x:f>--AND(DF$3&gt;=EDATE($B$41,-'Вводные'!$E$89),DF$3&lt;$B$42,'Вводные'!$B$89="Да")</x:f>
      </x:c>
      <x:c r="DG43" t="n">
        <x:f>--AND(DG$3&gt;=EDATE($B$41,-'Вводные'!$E$89),DG$3&lt;$B$42,'Вводные'!$B$89="Да")</x:f>
      </x:c>
      <x:c r="DH43" t="n">
        <x:f>--AND(DH$3&gt;=EDATE($B$41,-'Вводные'!$E$89),DH$3&lt;$B$42,'Вводные'!$B$89="Да")</x:f>
      </x:c>
      <x:c r="DI43" t="n">
        <x:f>--AND(DI$3&gt;=EDATE($B$41,-'Вводные'!$E$89),DI$3&lt;$B$42,'Вводные'!$B$89="Да")</x:f>
      </x:c>
      <x:c r="DJ43" t="n">
        <x:f>--AND(DJ$3&gt;=EDATE($B$41,-'Вводные'!$E$89),DJ$3&lt;$B$42,'Вводные'!$B$89="Да")</x:f>
      </x:c>
      <x:c r="DK43" t="n">
        <x:f>--AND(DK$3&gt;=EDATE($B$41,-'Вводные'!$E$89),DK$3&lt;$B$42,'Вводные'!$B$89="Да")</x:f>
      </x:c>
      <x:c r="DL43" t="n">
        <x:f>--AND(DL$3&gt;=EDATE($B$41,-'Вводные'!$E$89),DL$3&lt;$B$42,'Вводные'!$B$89="Да")</x:f>
      </x:c>
      <x:c r="DM43" t="n">
        <x:f>--AND(DM$3&gt;=EDATE($B$41,-'Вводные'!$E$89),DM$3&lt;$B$42,'Вводные'!$B$89="Да")</x:f>
      </x:c>
      <x:c r="DN43" t="n">
        <x:f>--AND(DN$3&gt;=EDATE($B$41,-'Вводные'!$E$89),DN$3&lt;$B$42,'Вводные'!$B$89="Да")</x:f>
      </x:c>
      <x:c r="DO43" t="n">
        <x:f>--AND(DO$3&gt;=EDATE($B$41,-'Вводные'!$E$89),DO$3&lt;$B$42,'Вводные'!$B$89="Да")</x:f>
      </x:c>
      <x:c r="DP43" t="n">
        <x:f>--AND(DP$3&gt;=EDATE($B$41,-'Вводные'!$E$89),DP$3&lt;$B$42,'Вводные'!$B$89="Да")</x:f>
      </x:c>
      <x:c r="DQ43" t="n">
        <x:f>--AND(DQ$3&gt;=EDATE($B$41,-'Вводные'!$E$89),DQ$3&lt;$B$42,'Вводные'!$B$89="Да")</x:f>
      </x:c>
      <x:c r="DR43" t="n">
        <x:f>--AND(DR$3&gt;=EDATE($B$41,-'Вводные'!$E$89),DR$3&lt;$B$42,'Вводные'!$B$89="Да")</x:f>
      </x:c>
      <x:c r="DS43" t="n">
        <x:f>--AND(DS$3&gt;=EDATE($B$41,-'Вводные'!$E$89),DS$3&lt;$B$42,'Вводные'!$B$89="Да")</x:f>
      </x:c>
    </x:row>
    <x:row r="44">
      <x:c r="A44" t="str">
        <x:v>Нормированный вес проекта</x:v>
      </x:c>
      <x:c r="B44"/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строительства</x:v>
      </x:c>
      <x:c r="B45"/>
      <x:c r="C45" t="str">
        <x:v>0/1</x:v>
      </x:c>
      <x:c r="D45" s="35" t="n">
        <x:f>--AND(D$3&gt;=$B$41,D$3&lt;$B$42,'Вводные'!$B$89="Да")</x:f>
      </x:c>
      <x:c r="E45" s="35" t="n">
        <x:f>--AND(E$3&gt;=$B$41,E$3&lt;$B$42,'Вводные'!$B$89="Да")</x:f>
      </x:c>
      <x:c r="F45" s="35" t="n">
        <x:f>--AND(F$3&gt;=$B$41,F$3&lt;$B$42,'Вводные'!$B$89="Да")</x:f>
      </x:c>
      <x:c r="G45" s="35" t="n">
        <x:f>--AND(G$3&gt;=$B$41,G$3&lt;$B$42,'Вводные'!$B$89="Да")</x:f>
      </x:c>
      <x:c r="H45" s="35" t="n">
        <x:f>--AND(H$3&gt;=$B$41,H$3&lt;$B$42,'Вводные'!$B$89="Да")</x:f>
      </x:c>
      <x:c r="I45" s="35" t="n">
        <x:f>--AND(I$3&gt;=$B$41,I$3&lt;$B$42,'Вводные'!$B$89="Да")</x:f>
      </x:c>
      <x:c r="J45" s="35" t="n">
        <x:f>--AND(J$3&gt;=$B$41,J$3&lt;$B$42,'Вводные'!$B$89="Да")</x:f>
      </x:c>
      <x:c r="K45" s="35" t="n">
        <x:f>--AND(K$3&gt;=$B$41,K$3&lt;$B$42,'Вводные'!$B$89="Да")</x:f>
      </x:c>
      <x:c r="L45" s="35" t="n">
        <x:f>--AND(L$3&gt;=$B$41,L$3&lt;$B$42,'Вводные'!$B$89="Да")</x:f>
      </x:c>
      <x:c r="M45" s="35" t="n">
        <x:f>--AND(M$3&gt;=$B$41,M$3&lt;$B$42,'Вводные'!$B$89="Да")</x:f>
      </x:c>
      <x:c r="N45" s="35" t="n">
        <x:f>--AND(N$3&gt;=$B$41,N$3&lt;$B$42,'Вводные'!$B$89="Да")</x:f>
      </x:c>
      <x:c r="O45" s="35" t="n">
        <x:f>--AND(O$3&gt;=$B$41,O$3&lt;$B$42,'Вводные'!$B$89="Да")</x:f>
      </x:c>
      <x:c r="P45" s="35" t="n">
        <x:f>--AND(P$3&gt;=$B$41,P$3&lt;$B$42,'Вводные'!$B$89="Да")</x:f>
      </x:c>
      <x:c r="Q45" s="35" t="n">
        <x:f>--AND(Q$3&gt;=$B$41,Q$3&lt;$B$42,'Вводные'!$B$89="Да")</x:f>
      </x:c>
      <x:c r="R45" s="35" t="n">
        <x:f>--AND(R$3&gt;=$B$41,R$3&lt;$B$42,'Вводные'!$B$89="Да")</x:f>
      </x:c>
      <x:c r="S45" s="35" t="n">
        <x:f>--AND(S$3&gt;=$B$41,S$3&lt;$B$42,'Вводные'!$B$89="Да")</x:f>
      </x:c>
      <x:c r="T45" s="35" t="n">
        <x:f>--AND(T$3&gt;=$B$41,T$3&lt;$B$42,'Вводные'!$B$89="Да")</x:f>
      </x:c>
      <x:c r="U45" s="35" t="n">
        <x:f>--AND(U$3&gt;=$B$41,U$3&lt;$B$42,'Вводные'!$B$89="Да")</x:f>
      </x:c>
      <x:c r="V45" s="35" t="n">
        <x:f>--AND(V$3&gt;=$B$41,V$3&lt;$B$42,'Вводные'!$B$89="Да")</x:f>
      </x:c>
      <x:c r="W45" s="35" t="n">
        <x:f>--AND(W$3&gt;=$B$41,W$3&lt;$B$42,'Вводные'!$B$89="Да")</x:f>
      </x:c>
      <x:c r="X45" s="35" t="n">
        <x:f>--AND(X$3&gt;=$B$41,X$3&lt;$B$42,'Вводные'!$B$89="Да")</x:f>
      </x:c>
      <x:c r="Y45" s="35" t="n">
        <x:f>--AND(Y$3&gt;=$B$41,Y$3&lt;$B$42,'Вводные'!$B$89="Да")</x:f>
      </x:c>
      <x:c r="Z45" s="35" t="n">
        <x:f>--AND(Z$3&gt;=$B$41,Z$3&lt;$B$42,'Вводные'!$B$89="Да")</x:f>
      </x:c>
      <x:c r="AA45" s="35" t="n">
        <x:f>--AND(AA$3&gt;=$B$41,AA$3&lt;$B$42,'Вводные'!$B$89="Да")</x:f>
      </x:c>
      <x:c r="AB45" s="35" t="n">
        <x:f>--AND(AB$3&gt;=$B$41,AB$3&lt;$B$42,'Вводные'!$B$89="Да")</x:f>
      </x:c>
      <x:c r="AC45" s="35" t="n">
        <x:f>--AND(AC$3&gt;=$B$41,AC$3&lt;$B$42,'Вводные'!$B$89="Да")</x:f>
      </x:c>
      <x:c r="AD45" s="35" t="n">
        <x:f>--AND(AD$3&gt;=$B$41,AD$3&lt;$B$42,'Вводные'!$B$89="Да")</x:f>
      </x:c>
      <x:c r="AE45" s="35" t="n">
        <x:f>--AND(AE$3&gt;=$B$41,AE$3&lt;$B$42,'Вводные'!$B$89="Да")</x:f>
      </x:c>
      <x:c r="AF45" s="35" t="n">
        <x:f>--AND(AF$3&gt;=$B$41,AF$3&lt;$B$42,'Вводные'!$B$89="Да")</x:f>
      </x:c>
      <x:c r="AG45" s="35" t="n">
        <x:f>--AND(AG$3&gt;=$B$41,AG$3&lt;$B$42,'Вводные'!$B$89="Да")</x:f>
      </x:c>
      <x:c r="AH45" s="35" t="n">
        <x:f>--AND(AH$3&gt;=$B$41,AH$3&lt;$B$42,'Вводные'!$B$89="Да")</x:f>
      </x:c>
      <x:c r="AI45" s="35" t="n">
        <x:f>--AND(AI$3&gt;=$B$41,AI$3&lt;$B$42,'Вводные'!$B$89="Да")</x:f>
      </x:c>
      <x:c r="AJ45" s="35" t="n">
        <x:f>--AND(AJ$3&gt;=$B$41,AJ$3&lt;$B$42,'Вводные'!$B$89="Да")</x:f>
      </x:c>
      <x:c r="AK45" s="35" t="n">
        <x:f>--AND(AK$3&gt;=$B$41,AK$3&lt;$B$42,'Вводные'!$B$89="Да")</x:f>
      </x:c>
      <x:c r="AL45" s="35" t="n">
        <x:f>--AND(AL$3&gt;=$B$41,AL$3&lt;$B$42,'Вводные'!$B$89="Да")</x:f>
      </x:c>
      <x:c r="AM45" s="35" t="n">
        <x:f>--AND(AM$3&gt;=$B$41,AM$3&lt;$B$42,'Вводные'!$B$89="Да")</x:f>
      </x:c>
      <x:c r="AN45" s="35" t="n">
        <x:f>--AND(AN$3&gt;=$B$41,AN$3&lt;$B$42,'Вводные'!$B$89="Да")</x:f>
      </x:c>
      <x:c r="AO45" s="35" t="n">
        <x:f>--AND(AO$3&gt;=$B$41,AO$3&lt;$B$42,'Вводные'!$B$89="Да")</x:f>
      </x:c>
      <x:c r="AP45" s="35" t="n">
        <x:f>--AND(AP$3&gt;=$B$41,AP$3&lt;$B$42,'Вводные'!$B$89="Да")</x:f>
      </x:c>
      <x:c r="AQ45" s="35" t="n">
        <x:f>--AND(AQ$3&gt;=$B$41,AQ$3&lt;$B$42,'Вводные'!$B$89="Да")</x:f>
      </x:c>
      <x:c r="AR45" s="35" t="n">
        <x:f>--AND(AR$3&gt;=$B$41,AR$3&lt;$B$42,'Вводные'!$B$89="Да")</x:f>
      </x:c>
      <x:c r="AS45" s="35" t="n">
        <x:f>--AND(AS$3&gt;=$B$41,AS$3&lt;$B$42,'Вводные'!$B$89="Да")</x:f>
      </x:c>
      <x:c r="AT45" s="35" t="n">
        <x:f>--AND(AT$3&gt;=$B$41,AT$3&lt;$B$42,'Вводные'!$B$89="Да")</x:f>
      </x:c>
      <x:c r="AU45" s="35" t="n">
        <x:f>--AND(AU$3&gt;=$B$41,AU$3&lt;$B$42,'Вводные'!$B$89="Да")</x:f>
      </x:c>
      <x:c r="AV45" s="35" t="n">
        <x:f>--AND(AV$3&gt;=$B$41,AV$3&lt;$B$42,'Вводные'!$B$89="Да")</x:f>
      </x:c>
      <x:c r="AW45" s="35" t="n">
        <x:f>--AND(AW$3&gt;=$B$41,AW$3&lt;$B$42,'Вводные'!$B$89="Да")</x:f>
      </x:c>
      <x:c r="AX45" s="35" t="n">
        <x:f>--AND(AX$3&gt;=$B$41,AX$3&lt;$B$42,'Вводные'!$B$89="Да")</x:f>
      </x:c>
      <x:c r="AY45" s="35" t="n">
        <x:f>--AND(AY$3&gt;=$B$41,AY$3&lt;$B$42,'Вводные'!$B$89="Да")</x:f>
      </x:c>
      <x:c r="AZ45" s="35" t="n">
        <x:f>--AND(AZ$3&gt;=$B$41,AZ$3&lt;$B$42,'Вводные'!$B$89="Да")</x:f>
      </x:c>
      <x:c r="BA45" s="35" t="n">
        <x:f>--AND(BA$3&gt;=$B$41,BA$3&lt;$B$42,'Вводные'!$B$89="Да")</x:f>
      </x:c>
      <x:c r="BB45" s="35" t="n">
        <x:f>--AND(BB$3&gt;=$B$41,BB$3&lt;$B$42,'Вводные'!$B$89="Да")</x:f>
      </x:c>
      <x:c r="BC45" s="35" t="n">
        <x:f>--AND(BC$3&gt;=$B$41,BC$3&lt;$B$42,'Вводные'!$B$89="Да")</x:f>
      </x:c>
      <x:c r="BD45" s="35" t="n">
        <x:f>--AND(BD$3&gt;=$B$41,BD$3&lt;$B$42,'Вводные'!$B$89="Да")</x:f>
      </x:c>
      <x:c r="BE45" s="35" t="n">
        <x:f>--AND(BE$3&gt;=$B$41,BE$3&lt;$B$42,'Вводные'!$B$89="Да")</x:f>
      </x:c>
      <x:c r="BF45" s="35" t="n">
        <x:f>--AND(BF$3&gt;=$B$41,BF$3&lt;$B$42,'Вводные'!$B$89="Да")</x:f>
      </x:c>
      <x:c r="BG45" s="35" t="n">
        <x:f>--AND(BG$3&gt;=$B$41,BG$3&lt;$B$42,'Вводные'!$B$89="Да")</x:f>
      </x:c>
      <x:c r="BH45" s="35" t="n">
        <x:f>--AND(BH$3&gt;=$B$41,BH$3&lt;$B$42,'Вводные'!$B$89="Да")</x:f>
      </x:c>
      <x:c r="BI45" s="35" t="n">
        <x:f>--AND(BI$3&gt;=$B$41,BI$3&lt;$B$42,'Вводные'!$B$89="Да")</x:f>
      </x:c>
      <x:c r="BJ45" s="35" t="n">
        <x:f>--AND(BJ$3&gt;=$B$41,BJ$3&lt;$B$42,'Вводные'!$B$89="Да")</x:f>
      </x:c>
      <x:c r="BK45" s="35" t="n">
        <x:f>--AND(BK$3&gt;=$B$41,BK$3&lt;$B$42,'Вводные'!$B$89="Да")</x:f>
      </x:c>
      <x:c r="BL45" s="35" t="n">
        <x:f>--AND(BL$3&gt;=$B$41,BL$3&lt;$B$42,'Вводные'!$B$89="Да")</x:f>
      </x:c>
      <x:c r="BM45" s="35" t="n">
        <x:f>--AND(BM$3&gt;=$B$41,BM$3&lt;$B$42,'Вводные'!$B$89="Да")</x:f>
      </x:c>
      <x:c r="BN45" s="35" t="n">
        <x:f>--AND(BN$3&gt;=$B$41,BN$3&lt;$B$42,'Вводные'!$B$89="Да")</x:f>
      </x:c>
      <x:c r="BO45" s="35" t="n">
        <x:f>--AND(BO$3&gt;=$B$41,BO$3&lt;$B$42,'Вводные'!$B$89="Да")</x:f>
      </x:c>
      <x:c r="BP45" s="35" t="n">
        <x:f>--AND(BP$3&gt;=$B$41,BP$3&lt;$B$42,'Вводные'!$B$89="Да")</x:f>
      </x:c>
      <x:c r="BQ45" s="35" t="n">
        <x:f>--AND(BQ$3&gt;=$B$41,BQ$3&lt;$B$42,'Вводные'!$B$89="Да")</x:f>
      </x:c>
      <x:c r="BR45" s="35" t="n">
        <x:f>--AND(BR$3&gt;=$B$41,BR$3&lt;$B$42,'Вводные'!$B$89="Да")</x:f>
      </x:c>
      <x:c r="BS45" s="35" t="n">
        <x:f>--AND(BS$3&gt;=$B$41,BS$3&lt;$B$42,'Вводные'!$B$89="Да")</x:f>
      </x:c>
      <x:c r="BT45" s="35" t="n">
        <x:f>--AND(BT$3&gt;=$B$41,BT$3&lt;$B$42,'Вводные'!$B$89="Да")</x:f>
      </x:c>
      <x:c r="BU45" s="35" t="n">
        <x:f>--AND(BU$3&gt;=$B$41,BU$3&lt;$B$42,'Вводные'!$B$89="Да")</x:f>
      </x:c>
      <x:c r="BV45" s="35" t="n">
        <x:f>--AND(BV$3&gt;=$B$41,BV$3&lt;$B$42,'Вводные'!$B$89="Да")</x:f>
      </x:c>
      <x:c r="BW45" s="35" t="n">
        <x:f>--AND(BW$3&gt;=$B$41,BW$3&lt;$B$42,'Вводные'!$B$89="Да")</x:f>
      </x:c>
      <x:c r="BX45" s="35" t="n">
        <x:f>--AND(BX$3&gt;=$B$41,BX$3&lt;$B$42,'Вводные'!$B$89="Да")</x:f>
      </x:c>
      <x:c r="BY45" s="35" t="n">
        <x:f>--AND(BY$3&gt;=$B$41,BY$3&lt;$B$42,'Вводные'!$B$89="Да")</x:f>
      </x:c>
      <x:c r="BZ45" s="35" t="n">
        <x:f>--AND(BZ$3&gt;=$B$41,BZ$3&lt;$B$42,'Вводные'!$B$89="Да")</x:f>
      </x:c>
      <x:c r="CA45" s="35" t="n">
        <x:f>--AND(CA$3&gt;=$B$41,CA$3&lt;$B$42,'Вводные'!$B$89="Да")</x:f>
      </x:c>
      <x:c r="CB45" s="35" t="n">
        <x:f>--AND(CB$3&gt;=$B$41,CB$3&lt;$B$42,'Вводные'!$B$89="Да")</x:f>
      </x:c>
      <x:c r="CC45" s="35" t="n">
        <x:f>--AND(CC$3&gt;=$B$41,CC$3&lt;$B$42,'Вводные'!$B$89="Да")</x:f>
      </x:c>
      <x:c r="CD45" s="35" t="n">
        <x:f>--AND(CD$3&gt;=$B$41,CD$3&lt;$B$42,'Вводные'!$B$89="Да")</x:f>
      </x:c>
      <x:c r="CE45" s="35" t="n">
        <x:f>--AND(CE$3&gt;=$B$41,CE$3&lt;$B$42,'Вводные'!$B$89="Да")</x:f>
      </x:c>
      <x:c r="CF45" s="35" t="n">
        <x:f>--AND(CF$3&gt;=$B$41,CF$3&lt;$B$42,'Вводные'!$B$89="Да")</x:f>
      </x:c>
      <x:c r="CG45" s="35" t="n">
        <x:f>--AND(CG$3&gt;=$B$41,CG$3&lt;$B$42,'Вводные'!$B$89="Да")</x:f>
      </x:c>
      <x:c r="CH45" s="35" t="n">
        <x:f>--AND(CH$3&gt;=$B$41,CH$3&lt;$B$42,'Вводные'!$B$89="Да")</x:f>
      </x:c>
      <x:c r="CI45" s="35" t="n">
        <x:f>--AND(CI$3&gt;=$B$41,CI$3&lt;$B$42,'Вводные'!$B$89="Да")</x:f>
      </x:c>
      <x:c r="CJ45" s="35" t="n">
        <x:f>--AND(CJ$3&gt;=$B$41,CJ$3&lt;$B$42,'Вводные'!$B$89="Да")</x:f>
      </x:c>
      <x:c r="CK45" s="35" t="n">
        <x:f>--AND(CK$3&gt;=$B$41,CK$3&lt;$B$42,'Вводные'!$B$89="Да")</x:f>
      </x:c>
      <x:c r="CL45" s="35" t="n">
        <x:f>--AND(CL$3&gt;=$B$41,CL$3&lt;$B$42,'Вводные'!$B$89="Да")</x:f>
      </x:c>
      <x:c r="CM45" s="35" t="n">
        <x:f>--AND(CM$3&gt;=$B$41,CM$3&lt;$B$42,'Вводные'!$B$89="Да")</x:f>
      </x:c>
      <x:c r="CN45" s="35" t="n">
        <x:f>--AND(CN$3&gt;=$B$41,CN$3&lt;$B$42,'Вводные'!$B$89="Да")</x:f>
      </x:c>
      <x:c r="CO45" s="35" t="n">
        <x:f>--AND(CO$3&gt;=$B$41,CO$3&lt;$B$42,'Вводные'!$B$89="Да")</x:f>
      </x:c>
      <x:c r="CP45" s="35" t="n">
        <x:f>--AND(CP$3&gt;=$B$41,CP$3&lt;$B$42,'Вводные'!$B$89="Да")</x:f>
      </x:c>
      <x:c r="CQ45" s="35" t="n">
        <x:f>--AND(CQ$3&gt;=$B$41,CQ$3&lt;$B$42,'Вводные'!$B$89="Да")</x:f>
      </x:c>
      <x:c r="CR45" s="35" t="n">
        <x:f>--AND(CR$3&gt;=$B$41,CR$3&lt;$B$42,'Вводные'!$B$89="Да")</x:f>
      </x:c>
      <x:c r="CS45" s="35" t="n">
        <x:f>--AND(CS$3&gt;=$B$41,CS$3&lt;$B$42,'Вводные'!$B$89="Да")</x:f>
      </x:c>
      <x:c r="CT45" s="35" t="n">
        <x:f>--AND(CT$3&gt;=$B$41,CT$3&lt;$B$42,'Вводные'!$B$89="Да")</x:f>
      </x:c>
      <x:c r="CU45" s="35" t="n">
        <x:f>--AND(CU$3&gt;=$B$41,CU$3&lt;$B$42,'Вводные'!$B$89="Да")</x:f>
      </x:c>
      <x:c r="CV45" s="35" t="n">
        <x:f>--AND(CV$3&gt;=$B$41,CV$3&lt;$B$42,'Вводные'!$B$89="Да")</x:f>
      </x:c>
      <x:c r="CW45" s="35" t="n">
        <x:f>--AND(CW$3&gt;=$B$41,CW$3&lt;$B$42,'Вводные'!$B$89="Да")</x:f>
      </x:c>
      <x:c r="CX45" s="35" t="n">
        <x:f>--AND(CX$3&gt;=$B$41,CX$3&lt;$B$42,'Вводные'!$B$89="Да")</x:f>
      </x:c>
      <x:c r="CY45" s="35" t="n">
        <x:f>--AND(CY$3&gt;=$B$41,CY$3&lt;$B$42,'Вводные'!$B$89="Да")</x:f>
      </x:c>
      <x:c r="CZ45" s="35" t="n">
        <x:f>--AND(CZ$3&gt;=$B$41,CZ$3&lt;$B$42,'Вводные'!$B$89="Да")</x:f>
      </x:c>
      <x:c r="DA45" s="35" t="n">
        <x:f>--AND(DA$3&gt;=$B$41,DA$3&lt;$B$42,'Вводные'!$B$89="Да")</x:f>
      </x:c>
      <x:c r="DB45" s="35" t="n">
        <x:f>--AND(DB$3&gt;=$B$41,DB$3&lt;$B$42,'Вводные'!$B$89="Да")</x:f>
      </x:c>
      <x:c r="DC45" s="35" t="n">
        <x:f>--AND(DC$3&gt;=$B$41,DC$3&lt;$B$42,'Вводные'!$B$89="Да")</x:f>
      </x:c>
      <x:c r="DD45" s="35" t="n">
        <x:f>--AND(DD$3&gt;=$B$41,DD$3&lt;$B$42,'Вводные'!$B$89="Да")</x:f>
      </x:c>
      <x:c r="DE45" s="35" t="n">
        <x:f>--AND(DE$3&gt;=$B$41,DE$3&lt;$B$42,'Вводные'!$B$89="Да")</x:f>
      </x:c>
      <x:c r="DF45" s="35" t="n">
        <x:f>--AND(DF$3&gt;=$B$41,DF$3&lt;$B$42,'Вводные'!$B$89="Да")</x:f>
      </x:c>
      <x:c r="DG45" s="35" t="n">
        <x:f>--AND(DG$3&gt;=$B$41,DG$3&lt;$B$42,'Вводные'!$B$89="Да")</x:f>
      </x:c>
      <x:c r="DH45" s="35" t="n">
        <x:f>--AND(DH$3&gt;=$B$41,DH$3&lt;$B$42,'Вводные'!$B$89="Да")</x:f>
      </x:c>
      <x:c r="DI45" s="35" t="n">
        <x:f>--AND(DI$3&gt;=$B$41,DI$3&lt;$B$42,'Вводные'!$B$89="Да")</x:f>
      </x:c>
      <x:c r="DJ45" s="35" t="n">
        <x:f>--AND(DJ$3&gt;=$B$41,DJ$3&lt;$B$42,'Вводные'!$B$89="Да")</x:f>
      </x:c>
      <x:c r="DK45" s="35" t="n">
        <x:f>--AND(DK$3&gt;=$B$41,DK$3&lt;$B$42,'Вводные'!$B$89="Да")</x:f>
      </x:c>
      <x:c r="DL45" s="35" t="n">
        <x:f>--AND(DL$3&gt;=$B$41,DL$3&lt;$B$42,'Вводные'!$B$89="Да")</x:f>
      </x:c>
      <x:c r="DM45" s="35" t="n">
        <x:f>--AND(DM$3&gt;=$B$41,DM$3&lt;$B$42,'Вводные'!$B$89="Да")</x:f>
      </x:c>
      <x:c r="DN45" s="35" t="n">
        <x:f>--AND(DN$3&gt;=$B$41,DN$3&lt;$B$42,'Вводные'!$B$89="Да")</x:f>
      </x:c>
      <x:c r="DO45" s="35" t="n">
        <x:f>--AND(DO$3&gt;=$B$41,DO$3&lt;$B$42,'Вводные'!$B$89="Да")</x:f>
      </x:c>
      <x:c r="DP45" s="35" t="n">
        <x:f>--AND(DP$3&gt;=$B$41,DP$3&lt;$B$42,'Вводные'!$B$89="Да")</x:f>
      </x:c>
      <x:c r="DQ45" s="35" t="n">
        <x:f>--AND(DQ$3&gt;=$B$41,DQ$3&lt;$B$42,'Вводные'!$B$89="Да")</x:f>
      </x:c>
      <x:c r="DR45" s="35" t="n">
        <x:f>--AND(DR$3&gt;=$B$41,DR$3&lt;$B$42,'Вводные'!$B$89="Да")</x:f>
      </x:c>
      <x:c r="DS45" s="35" t="n">
        <x:f>--AND(DS$3&gt;=$B$41,DS$3&lt;$B$42,'Вводные'!$B$89="Да")</x:f>
      </x:c>
    </x:row>
    <x:row r="46">
      <x:c r="A46" t="str">
        <x:v>Вес S-кривой</x:v>
      </x:c>
      <x:c r="B46"/>
      <x:c r="C46" t="str">
        <x:v>вес</x:v>
      </x:c>
      <x:c r="D46" s="35" t="n">
        <x:f>IF(D45=0,0,IF((12*(YEAR(D$3)-YEAR($B$41))+MONTH(D$3)-MONTH($B$41)+1)/MAX(1,'Вводные'!$F$89)&lt;=0.2,0.6,IF((12*(YEAR(D$3)-YEAR($B$41))+MONTH(D$3)-MONTH($B$41)+1)/MAX(1,'Вводные'!$F$89)&lt;=0.8,1.2,0.8)))</x:f>
      </x:c>
      <x:c r="E46" s="35" t="n">
        <x:f>IF(E45=0,0,IF((12*(YEAR(E$3)-YEAR($B$41))+MONTH(E$3)-MONTH($B$41)+1)/MAX(1,'Вводные'!$F$89)&lt;=0.2,0.6,IF((12*(YEAR(E$3)-YEAR($B$41))+MONTH(E$3)-MONTH($B$41)+1)/MAX(1,'Вводные'!$F$89)&lt;=0.8,1.2,0.8)))</x:f>
      </x:c>
      <x:c r="F46" s="35" t="n">
        <x:f>IF(F45=0,0,IF((12*(YEAR(F$3)-YEAR($B$41))+MONTH(F$3)-MONTH($B$41)+1)/MAX(1,'Вводные'!$F$89)&lt;=0.2,0.6,IF((12*(YEAR(F$3)-YEAR($B$41))+MONTH(F$3)-MONTH($B$41)+1)/MAX(1,'Вводные'!$F$89)&lt;=0.8,1.2,0.8)))</x:f>
      </x:c>
      <x:c r="G46" s="35" t="n">
        <x:f>IF(G45=0,0,IF((12*(YEAR(G$3)-YEAR($B$41))+MONTH(G$3)-MONTH($B$41)+1)/MAX(1,'Вводные'!$F$89)&lt;=0.2,0.6,IF((12*(YEAR(G$3)-YEAR($B$41))+MONTH(G$3)-MONTH($B$41)+1)/MAX(1,'Вводные'!$F$89)&lt;=0.8,1.2,0.8)))</x:f>
      </x:c>
      <x:c r="H46" s="35" t="n">
        <x:f>IF(H45=0,0,IF((12*(YEAR(H$3)-YEAR($B$41))+MONTH(H$3)-MONTH($B$41)+1)/MAX(1,'Вводные'!$F$89)&lt;=0.2,0.6,IF((12*(YEAR(H$3)-YEAR($B$41))+MONTH(H$3)-MONTH($B$41)+1)/MAX(1,'Вводные'!$F$89)&lt;=0.8,1.2,0.8)))</x:f>
      </x:c>
      <x:c r="I46" s="35" t="n">
        <x:f>IF(I45=0,0,IF((12*(YEAR(I$3)-YEAR($B$41))+MONTH(I$3)-MONTH($B$41)+1)/MAX(1,'Вводные'!$F$89)&lt;=0.2,0.6,IF((12*(YEAR(I$3)-YEAR($B$41))+MONTH(I$3)-MONTH($B$41)+1)/MAX(1,'Вводные'!$F$89)&lt;=0.8,1.2,0.8)))</x:f>
      </x:c>
      <x:c r="J46" s="35" t="n">
        <x:f>IF(J45=0,0,IF((12*(YEAR(J$3)-YEAR($B$41))+MONTH(J$3)-MONTH($B$41)+1)/MAX(1,'Вводные'!$F$89)&lt;=0.2,0.6,IF((12*(YEAR(J$3)-YEAR($B$41))+MONTH(J$3)-MONTH($B$41)+1)/MAX(1,'Вводные'!$F$89)&lt;=0.8,1.2,0.8)))</x:f>
      </x:c>
      <x:c r="K46" s="35" t="n">
        <x:f>IF(K45=0,0,IF((12*(YEAR(K$3)-YEAR($B$41))+MONTH(K$3)-MONTH($B$41)+1)/MAX(1,'Вводные'!$F$89)&lt;=0.2,0.6,IF((12*(YEAR(K$3)-YEAR($B$41))+MONTH(K$3)-MONTH($B$41)+1)/MAX(1,'Вводные'!$F$89)&lt;=0.8,1.2,0.8)))</x:f>
      </x:c>
      <x:c r="L46" s="35" t="n">
        <x:f>IF(L45=0,0,IF((12*(YEAR(L$3)-YEAR($B$41))+MONTH(L$3)-MONTH($B$41)+1)/MAX(1,'Вводные'!$F$89)&lt;=0.2,0.6,IF((12*(YEAR(L$3)-YEAR($B$41))+MONTH(L$3)-MONTH($B$41)+1)/MAX(1,'Вводные'!$F$89)&lt;=0.8,1.2,0.8)))</x:f>
      </x:c>
      <x:c r="M46" s="35" t="n">
        <x:f>IF(M45=0,0,IF((12*(YEAR(M$3)-YEAR($B$41))+MONTH(M$3)-MONTH($B$41)+1)/MAX(1,'Вводные'!$F$89)&lt;=0.2,0.6,IF((12*(YEAR(M$3)-YEAR($B$41))+MONTH(M$3)-MONTH($B$41)+1)/MAX(1,'Вводные'!$F$89)&lt;=0.8,1.2,0.8)))</x:f>
      </x:c>
      <x:c r="N46" s="35" t="n">
        <x:f>IF(N45=0,0,IF((12*(YEAR(N$3)-YEAR($B$41))+MONTH(N$3)-MONTH($B$41)+1)/MAX(1,'Вводные'!$F$89)&lt;=0.2,0.6,IF((12*(YEAR(N$3)-YEAR($B$41))+MONTH(N$3)-MONTH($B$41)+1)/MAX(1,'Вводные'!$F$89)&lt;=0.8,1.2,0.8)))</x:f>
      </x:c>
      <x:c r="O46" s="35" t="n">
        <x:f>IF(O45=0,0,IF((12*(YEAR(O$3)-YEAR($B$41))+MONTH(O$3)-MONTH($B$41)+1)/MAX(1,'Вводные'!$F$89)&lt;=0.2,0.6,IF((12*(YEAR(O$3)-YEAR($B$41))+MONTH(O$3)-MONTH($B$41)+1)/MAX(1,'Вводные'!$F$89)&lt;=0.8,1.2,0.8)))</x:f>
      </x:c>
      <x:c r="P46" s="35" t="n">
        <x:f>IF(P45=0,0,IF((12*(YEAR(P$3)-YEAR($B$41))+MONTH(P$3)-MONTH($B$41)+1)/MAX(1,'Вводные'!$F$89)&lt;=0.2,0.6,IF((12*(YEAR(P$3)-YEAR($B$41))+MONTH(P$3)-MONTH($B$41)+1)/MAX(1,'Вводные'!$F$89)&lt;=0.8,1.2,0.8)))</x:f>
      </x:c>
      <x:c r="Q46" s="35" t="n">
        <x:f>IF(Q45=0,0,IF((12*(YEAR(Q$3)-YEAR($B$41))+MONTH(Q$3)-MONTH($B$41)+1)/MAX(1,'Вводные'!$F$89)&lt;=0.2,0.6,IF((12*(YEAR(Q$3)-YEAR($B$41))+MONTH(Q$3)-MONTH($B$41)+1)/MAX(1,'Вводные'!$F$89)&lt;=0.8,1.2,0.8)))</x:f>
      </x:c>
      <x:c r="R46" s="35" t="n">
        <x:f>IF(R45=0,0,IF((12*(YEAR(R$3)-YEAR($B$41))+MONTH(R$3)-MONTH($B$41)+1)/MAX(1,'Вводные'!$F$89)&lt;=0.2,0.6,IF((12*(YEAR(R$3)-YEAR($B$41))+MONTH(R$3)-MONTH($B$41)+1)/MAX(1,'Вводные'!$F$89)&lt;=0.8,1.2,0.8)))</x:f>
      </x:c>
      <x:c r="S46" s="35" t="n">
        <x:f>IF(S45=0,0,IF((12*(YEAR(S$3)-YEAR($B$41))+MONTH(S$3)-MONTH($B$41)+1)/MAX(1,'Вводные'!$F$89)&lt;=0.2,0.6,IF((12*(YEAR(S$3)-YEAR($B$41))+MONTH(S$3)-MONTH($B$41)+1)/MAX(1,'Вводные'!$F$89)&lt;=0.8,1.2,0.8)))</x:f>
      </x:c>
      <x:c r="T46" s="35" t="n">
        <x:f>IF(T45=0,0,IF((12*(YEAR(T$3)-YEAR($B$41))+MONTH(T$3)-MONTH($B$41)+1)/MAX(1,'Вводные'!$F$89)&lt;=0.2,0.6,IF((12*(YEAR(T$3)-YEAR($B$41))+MONTH(T$3)-MONTH($B$41)+1)/MAX(1,'Вводные'!$F$89)&lt;=0.8,1.2,0.8)))</x:f>
      </x:c>
      <x:c r="U46" s="35" t="n">
        <x:f>IF(U45=0,0,IF((12*(YEAR(U$3)-YEAR($B$41))+MONTH(U$3)-MONTH($B$41)+1)/MAX(1,'Вводные'!$F$89)&lt;=0.2,0.6,IF((12*(YEAR(U$3)-YEAR($B$41))+MONTH(U$3)-MONTH($B$41)+1)/MAX(1,'Вводные'!$F$89)&lt;=0.8,1.2,0.8)))</x:f>
      </x:c>
      <x:c r="V46" s="35" t="n">
        <x:f>IF(V45=0,0,IF((12*(YEAR(V$3)-YEAR($B$41))+MONTH(V$3)-MONTH($B$41)+1)/MAX(1,'Вводные'!$F$89)&lt;=0.2,0.6,IF((12*(YEAR(V$3)-YEAR($B$41))+MONTH(V$3)-MONTH($B$41)+1)/MAX(1,'Вводные'!$F$89)&lt;=0.8,1.2,0.8)))</x:f>
      </x:c>
      <x:c r="W46" s="35" t="n">
        <x:f>IF(W45=0,0,IF((12*(YEAR(W$3)-YEAR($B$41))+MONTH(W$3)-MONTH($B$41)+1)/MAX(1,'Вводные'!$F$89)&lt;=0.2,0.6,IF((12*(YEAR(W$3)-YEAR($B$41))+MONTH(W$3)-MONTH($B$41)+1)/MAX(1,'Вводные'!$F$89)&lt;=0.8,1.2,0.8)))</x:f>
      </x:c>
      <x:c r="X46" s="35" t="n">
        <x:f>IF(X45=0,0,IF((12*(YEAR(X$3)-YEAR($B$41))+MONTH(X$3)-MONTH($B$41)+1)/MAX(1,'Вводные'!$F$89)&lt;=0.2,0.6,IF((12*(YEAR(X$3)-YEAR($B$41))+MONTH(X$3)-MONTH($B$41)+1)/MAX(1,'Вводные'!$F$89)&lt;=0.8,1.2,0.8)))</x:f>
      </x:c>
      <x:c r="Y46" s="35" t="n">
        <x:f>IF(Y45=0,0,IF((12*(YEAR(Y$3)-YEAR($B$41))+MONTH(Y$3)-MONTH($B$41)+1)/MAX(1,'Вводные'!$F$89)&lt;=0.2,0.6,IF((12*(YEAR(Y$3)-YEAR($B$41))+MONTH(Y$3)-MONTH($B$41)+1)/MAX(1,'Вводные'!$F$89)&lt;=0.8,1.2,0.8)))</x:f>
      </x:c>
      <x:c r="Z46" s="35" t="n">
        <x:f>IF(Z45=0,0,IF((12*(YEAR(Z$3)-YEAR($B$41))+MONTH(Z$3)-MONTH($B$41)+1)/MAX(1,'Вводные'!$F$89)&lt;=0.2,0.6,IF((12*(YEAR(Z$3)-YEAR($B$41))+MONTH(Z$3)-MONTH($B$41)+1)/MAX(1,'Вводные'!$F$89)&lt;=0.8,1.2,0.8)))</x:f>
      </x:c>
      <x:c r="AA46" s="35" t="n">
        <x:f>IF(AA45=0,0,IF((12*(YEAR(AA$3)-YEAR($B$41))+MONTH(AA$3)-MONTH($B$41)+1)/MAX(1,'Вводные'!$F$89)&lt;=0.2,0.6,IF((12*(YEAR(AA$3)-YEAR($B$41))+MONTH(AA$3)-MONTH($B$41)+1)/MAX(1,'Вводные'!$F$89)&lt;=0.8,1.2,0.8)))</x:f>
      </x:c>
      <x:c r="AB46" s="35" t="n">
        <x:f>IF(AB45=0,0,IF((12*(YEAR(AB$3)-YEAR($B$41))+MONTH(AB$3)-MONTH($B$41)+1)/MAX(1,'Вводные'!$F$89)&lt;=0.2,0.6,IF((12*(YEAR(AB$3)-YEAR($B$41))+MONTH(AB$3)-MONTH($B$41)+1)/MAX(1,'Вводные'!$F$89)&lt;=0.8,1.2,0.8)))</x:f>
      </x:c>
      <x:c r="AC46" s="35" t="n">
        <x:f>IF(AC45=0,0,IF((12*(YEAR(AC$3)-YEAR($B$41))+MONTH(AC$3)-MONTH($B$41)+1)/MAX(1,'Вводные'!$F$89)&lt;=0.2,0.6,IF((12*(YEAR(AC$3)-YEAR($B$41))+MONTH(AC$3)-MONTH($B$41)+1)/MAX(1,'Вводные'!$F$89)&lt;=0.8,1.2,0.8)))</x:f>
      </x:c>
      <x:c r="AD46" s="35" t="n">
        <x:f>IF(AD45=0,0,IF((12*(YEAR(AD$3)-YEAR($B$41))+MONTH(AD$3)-MONTH($B$41)+1)/MAX(1,'Вводные'!$F$89)&lt;=0.2,0.6,IF((12*(YEAR(AD$3)-YEAR($B$41))+MONTH(AD$3)-MONTH($B$41)+1)/MAX(1,'Вводные'!$F$89)&lt;=0.8,1.2,0.8)))</x:f>
      </x:c>
      <x:c r="AE46" s="35" t="n">
        <x:f>IF(AE45=0,0,IF((12*(YEAR(AE$3)-YEAR($B$41))+MONTH(AE$3)-MONTH($B$41)+1)/MAX(1,'Вводные'!$F$89)&lt;=0.2,0.6,IF((12*(YEAR(AE$3)-YEAR($B$41))+MONTH(AE$3)-MONTH($B$41)+1)/MAX(1,'Вводные'!$F$89)&lt;=0.8,1.2,0.8)))</x:f>
      </x:c>
      <x:c r="AF46" s="35" t="n">
        <x:f>IF(AF45=0,0,IF((12*(YEAR(AF$3)-YEAR($B$41))+MONTH(AF$3)-MONTH($B$41)+1)/MAX(1,'Вводные'!$F$89)&lt;=0.2,0.6,IF((12*(YEAR(AF$3)-YEAR($B$41))+MONTH(AF$3)-MONTH($B$41)+1)/MAX(1,'Вводные'!$F$89)&lt;=0.8,1.2,0.8)))</x:f>
      </x:c>
      <x:c r="AG46" s="35" t="n">
        <x:f>IF(AG45=0,0,IF((12*(YEAR(AG$3)-YEAR($B$41))+MONTH(AG$3)-MONTH($B$41)+1)/MAX(1,'Вводные'!$F$89)&lt;=0.2,0.6,IF((12*(YEAR(AG$3)-YEAR($B$41))+MONTH(AG$3)-MONTH($B$41)+1)/MAX(1,'Вводные'!$F$89)&lt;=0.8,1.2,0.8)))</x:f>
      </x:c>
      <x:c r="AH46" s="35" t="n">
        <x:f>IF(AH45=0,0,IF((12*(YEAR(AH$3)-YEAR($B$41))+MONTH(AH$3)-MONTH($B$41)+1)/MAX(1,'Вводные'!$F$89)&lt;=0.2,0.6,IF((12*(YEAR(AH$3)-YEAR($B$41))+MONTH(AH$3)-MONTH($B$41)+1)/MAX(1,'Вводные'!$F$89)&lt;=0.8,1.2,0.8)))</x:f>
      </x:c>
      <x:c r="AI46" s="35" t="n">
        <x:f>IF(AI45=0,0,IF((12*(YEAR(AI$3)-YEAR($B$41))+MONTH(AI$3)-MONTH($B$41)+1)/MAX(1,'Вводные'!$F$89)&lt;=0.2,0.6,IF((12*(YEAR(AI$3)-YEAR($B$41))+MONTH(AI$3)-MONTH($B$41)+1)/MAX(1,'Вводные'!$F$89)&lt;=0.8,1.2,0.8)))</x:f>
      </x:c>
      <x:c r="AJ46" s="35" t="n">
        <x:f>IF(AJ45=0,0,IF((12*(YEAR(AJ$3)-YEAR($B$41))+MONTH(AJ$3)-MONTH($B$41)+1)/MAX(1,'Вводные'!$F$89)&lt;=0.2,0.6,IF((12*(YEAR(AJ$3)-YEAR($B$41))+MONTH(AJ$3)-MONTH($B$41)+1)/MAX(1,'Вводные'!$F$89)&lt;=0.8,1.2,0.8)))</x:f>
      </x:c>
      <x:c r="AK46" s="35" t="n">
        <x:f>IF(AK45=0,0,IF((12*(YEAR(AK$3)-YEAR($B$41))+MONTH(AK$3)-MONTH($B$41)+1)/MAX(1,'Вводные'!$F$89)&lt;=0.2,0.6,IF((12*(YEAR(AK$3)-YEAR($B$41))+MONTH(AK$3)-MONTH($B$41)+1)/MAX(1,'Вводные'!$F$89)&lt;=0.8,1.2,0.8)))</x:f>
      </x:c>
      <x:c r="AL46" s="35" t="n">
        <x:f>IF(AL45=0,0,IF((12*(YEAR(AL$3)-YEAR($B$41))+MONTH(AL$3)-MONTH($B$41)+1)/MAX(1,'Вводные'!$F$89)&lt;=0.2,0.6,IF((12*(YEAR(AL$3)-YEAR($B$41))+MONTH(AL$3)-MONTH($B$41)+1)/MAX(1,'Вводные'!$F$89)&lt;=0.8,1.2,0.8)))</x:f>
      </x:c>
      <x:c r="AM46" s="35" t="n">
        <x:f>IF(AM45=0,0,IF((12*(YEAR(AM$3)-YEAR($B$41))+MONTH(AM$3)-MONTH($B$41)+1)/MAX(1,'Вводные'!$F$89)&lt;=0.2,0.6,IF((12*(YEAR(AM$3)-YEAR($B$41))+MONTH(AM$3)-MONTH($B$41)+1)/MAX(1,'Вводные'!$F$89)&lt;=0.8,1.2,0.8)))</x:f>
      </x:c>
      <x:c r="AN46" s="35" t="n">
        <x:f>IF(AN45=0,0,IF((12*(YEAR(AN$3)-YEAR($B$41))+MONTH(AN$3)-MONTH($B$41)+1)/MAX(1,'Вводные'!$F$89)&lt;=0.2,0.6,IF((12*(YEAR(AN$3)-YEAR($B$41))+MONTH(AN$3)-MONTH($B$41)+1)/MAX(1,'Вводные'!$F$89)&lt;=0.8,1.2,0.8)))</x:f>
      </x:c>
      <x:c r="AO46" s="35" t="n">
        <x:f>IF(AO45=0,0,IF((12*(YEAR(AO$3)-YEAR($B$41))+MONTH(AO$3)-MONTH($B$41)+1)/MAX(1,'Вводные'!$F$89)&lt;=0.2,0.6,IF((12*(YEAR(AO$3)-YEAR($B$41))+MONTH(AO$3)-MONTH($B$41)+1)/MAX(1,'Вводные'!$F$89)&lt;=0.8,1.2,0.8)))</x:f>
      </x:c>
      <x:c r="AP46" s="35" t="n">
        <x:f>IF(AP45=0,0,IF((12*(YEAR(AP$3)-YEAR($B$41))+MONTH(AP$3)-MONTH($B$41)+1)/MAX(1,'Вводные'!$F$89)&lt;=0.2,0.6,IF((12*(YEAR(AP$3)-YEAR($B$41))+MONTH(AP$3)-MONTH($B$41)+1)/MAX(1,'Вводные'!$F$89)&lt;=0.8,1.2,0.8)))</x:f>
      </x:c>
      <x:c r="AQ46" s="35" t="n">
        <x:f>IF(AQ45=0,0,IF((12*(YEAR(AQ$3)-YEAR($B$41))+MONTH(AQ$3)-MONTH($B$41)+1)/MAX(1,'Вводные'!$F$89)&lt;=0.2,0.6,IF((12*(YEAR(AQ$3)-YEAR($B$41))+MONTH(AQ$3)-MONTH($B$41)+1)/MAX(1,'Вводные'!$F$89)&lt;=0.8,1.2,0.8)))</x:f>
      </x:c>
      <x:c r="AR46" s="35" t="n">
        <x:f>IF(AR45=0,0,IF((12*(YEAR(AR$3)-YEAR($B$41))+MONTH(AR$3)-MONTH($B$41)+1)/MAX(1,'Вводные'!$F$89)&lt;=0.2,0.6,IF((12*(YEAR(AR$3)-YEAR($B$41))+MONTH(AR$3)-MONTH($B$41)+1)/MAX(1,'Вводные'!$F$89)&lt;=0.8,1.2,0.8)))</x:f>
      </x:c>
      <x:c r="AS46" s="35" t="n">
        <x:f>IF(AS45=0,0,IF((12*(YEAR(AS$3)-YEAR($B$41))+MONTH(AS$3)-MONTH($B$41)+1)/MAX(1,'Вводные'!$F$89)&lt;=0.2,0.6,IF((12*(YEAR(AS$3)-YEAR($B$41))+MONTH(AS$3)-MONTH($B$41)+1)/MAX(1,'Вводные'!$F$89)&lt;=0.8,1.2,0.8)))</x:f>
      </x:c>
      <x:c r="AT46" s="35" t="n">
        <x:f>IF(AT45=0,0,IF((12*(YEAR(AT$3)-YEAR($B$41))+MONTH(AT$3)-MONTH($B$41)+1)/MAX(1,'Вводные'!$F$89)&lt;=0.2,0.6,IF((12*(YEAR(AT$3)-YEAR($B$41))+MONTH(AT$3)-MONTH($B$41)+1)/MAX(1,'Вводные'!$F$89)&lt;=0.8,1.2,0.8)))</x:f>
      </x:c>
      <x:c r="AU46" s="35" t="n">
        <x:f>IF(AU45=0,0,IF((12*(YEAR(AU$3)-YEAR($B$41))+MONTH(AU$3)-MONTH($B$41)+1)/MAX(1,'Вводные'!$F$89)&lt;=0.2,0.6,IF((12*(YEAR(AU$3)-YEAR($B$41))+MONTH(AU$3)-MONTH($B$41)+1)/MAX(1,'Вводные'!$F$89)&lt;=0.8,1.2,0.8)))</x:f>
      </x:c>
      <x:c r="AV46" s="35" t="n">
        <x:f>IF(AV45=0,0,IF((12*(YEAR(AV$3)-YEAR($B$41))+MONTH(AV$3)-MONTH($B$41)+1)/MAX(1,'Вводные'!$F$89)&lt;=0.2,0.6,IF((12*(YEAR(AV$3)-YEAR($B$41))+MONTH(AV$3)-MONTH($B$41)+1)/MAX(1,'Вводные'!$F$89)&lt;=0.8,1.2,0.8)))</x:f>
      </x:c>
      <x:c r="AW46" s="35" t="n">
        <x:f>IF(AW45=0,0,IF((12*(YEAR(AW$3)-YEAR($B$41))+MONTH(AW$3)-MONTH($B$41)+1)/MAX(1,'Вводные'!$F$89)&lt;=0.2,0.6,IF((12*(YEAR(AW$3)-YEAR($B$41))+MONTH(AW$3)-MONTH($B$41)+1)/MAX(1,'Вводные'!$F$89)&lt;=0.8,1.2,0.8)))</x:f>
      </x:c>
      <x:c r="AX46" s="35" t="n">
        <x:f>IF(AX45=0,0,IF((12*(YEAR(AX$3)-YEAR($B$41))+MONTH(AX$3)-MONTH($B$41)+1)/MAX(1,'Вводные'!$F$89)&lt;=0.2,0.6,IF((12*(YEAR(AX$3)-YEAR($B$41))+MONTH(AX$3)-MONTH($B$41)+1)/MAX(1,'Вводные'!$F$89)&lt;=0.8,1.2,0.8)))</x:f>
      </x:c>
      <x:c r="AY46" s="35" t="n">
        <x:f>IF(AY45=0,0,IF((12*(YEAR(AY$3)-YEAR($B$41))+MONTH(AY$3)-MONTH($B$41)+1)/MAX(1,'Вводные'!$F$89)&lt;=0.2,0.6,IF((12*(YEAR(AY$3)-YEAR($B$41))+MONTH(AY$3)-MONTH($B$41)+1)/MAX(1,'Вводные'!$F$89)&lt;=0.8,1.2,0.8)))</x:f>
      </x:c>
      <x:c r="AZ46" s="35" t="n">
        <x:f>IF(AZ45=0,0,IF((12*(YEAR(AZ$3)-YEAR($B$41))+MONTH(AZ$3)-MONTH($B$41)+1)/MAX(1,'Вводные'!$F$89)&lt;=0.2,0.6,IF((12*(YEAR(AZ$3)-YEAR($B$41))+MONTH(AZ$3)-MONTH($B$41)+1)/MAX(1,'Вводные'!$F$89)&lt;=0.8,1.2,0.8)))</x:f>
      </x:c>
      <x:c r="BA46" s="35" t="n">
        <x:f>IF(BA45=0,0,IF((12*(YEAR(BA$3)-YEAR($B$41))+MONTH(BA$3)-MONTH($B$41)+1)/MAX(1,'Вводные'!$F$89)&lt;=0.2,0.6,IF((12*(YEAR(BA$3)-YEAR($B$41))+MONTH(BA$3)-MONTH($B$41)+1)/MAX(1,'Вводные'!$F$89)&lt;=0.8,1.2,0.8)))</x:f>
      </x:c>
      <x:c r="BB46" s="35" t="n">
        <x:f>IF(BB45=0,0,IF((12*(YEAR(BB$3)-YEAR($B$41))+MONTH(BB$3)-MONTH($B$41)+1)/MAX(1,'Вводные'!$F$89)&lt;=0.2,0.6,IF((12*(YEAR(BB$3)-YEAR($B$41))+MONTH(BB$3)-MONTH($B$41)+1)/MAX(1,'Вводные'!$F$89)&lt;=0.8,1.2,0.8)))</x:f>
      </x:c>
      <x:c r="BC46" s="35" t="n">
        <x:f>IF(BC45=0,0,IF((12*(YEAR(BC$3)-YEAR($B$41))+MONTH(BC$3)-MONTH($B$41)+1)/MAX(1,'Вводные'!$F$89)&lt;=0.2,0.6,IF((12*(YEAR(BC$3)-YEAR($B$41))+MONTH(BC$3)-MONTH($B$41)+1)/MAX(1,'Вводные'!$F$89)&lt;=0.8,1.2,0.8)))</x:f>
      </x:c>
      <x:c r="BD46" s="35" t="n">
        <x:f>IF(BD45=0,0,IF((12*(YEAR(BD$3)-YEAR($B$41))+MONTH(BD$3)-MONTH($B$41)+1)/MAX(1,'Вводные'!$F$89)&lt;=0.2,0.6,IF((12*(YEAR(BD$3)-YEAR($B$41))+MONTH(BD$3)-MONTH($B$41)+1)/MAX(1,'Вводные'!$F$89)&lt;=0.8,1.2,0.8)))</x:f>
      </x:c>
      <x:c r="BE46" s="35" t="n">
        <x:f>IF(BE45=0,0,IF((12*(YEAR(BE$3)-YEAR($B$41))+MONTH(BE$3)-MONTH($B$41)+1)/MAX(1,'Вводные'!$F$89)&lt;=0.2,0.6,IF((12*(YEAR(BE$3)-YEAR($B$41))+MONTH(BE$3)-MONTH($B$41)+1)/MAX(1,'Вводные'!$F$89)&lt;=0.8,1.2,0.8)))</x:f>
      </x:c>
      <x:c r="BF46" s="35" t="n">
        <x:f>IF(BF45=0,0,IF((12*(YEAR(BF$3)-YEAR($B$41))+MONTH(BF$3)-MONTH($B$41)+1)/MAX(1,'Вводные'!$F$89)&lt;=0.2,0.6,IF((12*(YEAR(BF$3)-YEAR($B$41))+MONTH(BF$3)-MONTH($B$41)+1)/MAX(1,'Вводные'!$F$89)&lt;=0.8,1.2,0.8)))</x:f>
      </x:c>
      <x:c r="BG46" s="35" t="n">
        <x:f>IF(BG45=0,0,IF((12*(YEAR(BG$3)-YEAR($B$41))+MONTH(BG$3)-MONTH($B$41)+1)/MAX(1,'Вводные'!$F$89)&lt;=0.2,0.6,IF((12*(YEAR(BG$3)-YEAR($B$41))+MONTH(BG$3)-MONTH($B$41)+1)/MAX(1,'Вводные'!$F$89)&lt;=0.8,1.2,0.8)))</x:f>
      </x:c>
      <x:c r="BH46" s="35" t="n">
        <x:f>IF(BH45=0,0,IF((12*(YEAR(BH$3)-YEAR($B$41))+MONTH(BH$3)-MONTH($B$41)+1)/MAX(1,'Вводные'!$F$89)&lt;=0.2,0.6,IF((12*(YEAR(BH$3)-YEAR($B$41))+MONTH(BH$3)-MONTH($B$41)+1)/MAX(1,'Вводные'!$F$89)&lt;=0.8,1.2,0.8)))</x:f>
      </x:c>
      <x:c r="BI46" s="35" t="n">
        <x:f>IF(BI45=0,0,IF((12*(YEAR(BI$3)-YEAR($B$41))+MONTH(BI$3)-MONTH($B$41)+1)/MAX(1,'Вводные'!$F$89)&lt;=0.2,0.6,IF((12*(YEAR(BI$3)-YEAR($B$41))+MONTH(BI$3)-MONTH($B$41)+1)/MAX(1,'Вводные'!$F$89)&lt;=0.8,1.2,0.8)))</x:f>
      </x:c>
      <x:c r="BJ46" s="35" t="n">
        <x:f>IF(BJ45=0,0,IF((12*(YEAR(BJ$3)-YEAR($B$41))+MONTH(BJ$3)-MONTH($B$41)+1)/MAX(1,'Вводные'!$F$89)&lt;=0.2,0.6,IF((12*(YEAR(BJ$3)-YEAR($B$41))+MONTH(BJ$3)-MONTH($B$41)+1)/MAX(1,'Вводные'!$F$89)&lt;=0.8,1.2,0.8)))</x:f>
      </x:c>
      <x:c r="BK46" s="35" t="n">
        <x:f>IF(BK45=0,0,IF((12*(YEAR(BK$3)-YEAR($B$41))+MONTH(BK$3)-MONTH($B$41)+1)/MAX(1,'Вводные'!$F$89)&lt;=0.2,0.6,IF((12*(YEAR(BK$3)-YEAR($B$41))+MONTH(BK$3)-MONTH($B$41)+1)/MAX(1,'Вводные'!$F$89)&lt;=0.8,1.2,0.8)))</x:f>
      </x:c>
      <x:c r="BL46" s="35" t="n">
        <x:f>IF(BL45=0,0,IF((12*(YEAR(BL$3)-YEAR($B$41))+MONTH(BL$3)-MONTH($B$41)+1)/MAX(1,'Вводные'!$F$89)&lt;=0.2,0.6,IF((12*(YEAR(BL$3)-YEAR($B$41))+MONTH(BL$3)-MONTH($B$41)+1)/MAX(1,'Вводные'!$F$89)&lt;=0.8,1.2,0.8)))</x:f>
      </x:c>
      <x:c r="BM46" s="35" t="n">
        <x:f>IF(BM45=0,0,IF((12*(YEAR(BM$3)-YEAR($B$41))+MONTH(BM$3)-MONTH($B$41)+1)/MAX(1,'Вводные'!$F$89)&lt;=0.2,0.6,IF((12*(YEAR(BM$3)-YEAR($B$41))+MONTH(BM$3)-MONTH($B$41)+1)/MAX(1,'Вводные'!$F$89)&lt;=0.8,1.2,0.8)))</x:f>
      </x:c>
      <x:c r="BN46" s="35" t="n">
        <x:f>IF(BN45=0,0,IF((12*(YEAR(BN$3)-YEAR($B$41))+MONTH(BN$3)-MONTH($B$41)+1)/MAX(1,'Вводные'!$F$89)&lt;=0.2,0.6,IF((12*(YEAR(BN$3)-YEAR($B$41))+MONTH(BN$3)-MONTH($B$41)+1)/MAX(1,'Вводные'!$F$89)&lt;=0.8,1.2,0.8)))</x:f>
      </x:c>
      <x:c r="BO46" s="35" t="n">
        <x:f>IF(BO45=0,0,IF((12*(YEAR(BO$3)-YEAR($B$41))+MONTH(BO$3)-MONTH($B$41)+1)/MAX(1,'Вводные'!$F$89)&lt;=0.2,0.6,IF((12*(YEAR(BO$3)-YEAR($B$41))+MONTH(BO$3)-MONTH($B$41)+1)/MAX(1,'Вводные'!$F$89)&lt;=0.8,1.2,0.8)))</x:f>
      </x:c>
      <x:c r="BP46" s="35" t="n">
        <x:f>IF(BP45=0,0,IF((12*(YEAR(BP$3)-YEAR($B$41))+MONTH(BP$3)-MONTH($B$41)+1)/MAX(1,'Вводные'!$F$89)&lt;=0.2,0.6,IF((12*(YEAR(BP$3)-YEAR($B$41))+MONTH(BP$3)-MONTH($B$41)+1)/MAX(1,'Вводные'!$F$89)&lt;=0.8,1.2,0.8)))</x:f>
      </x:c>
      <x:c r="BQ46" s="35" t="n">
        <x:f>IF(BQ45=0,0,IF((12*(YEAR(BQ$3)-YEAR($B$41))+MONTH(BQ$3)-MONTH($B$41)+1)/MAX(1,'Вводные'!$F$89)&lt;=0.2,0.6,IF((12*(YEAR(BQ$3)-YEAR($B$41))+MONTH(BQ$3)-MONTH($B$41)+1)/MAX(1,'Вводные'!$F$89)&lt;=0.8,1.2,0.8)))</x:f>
      </x:c>
      <x:c r="BR46" s="35" t="n">
        <x:f>IF(BR45=0,0,IF((12*(YEAR(BR$3)-YEAR($B$41))+MONTH(BR$3)-MONTH($B$41)+1)/MAX(1,'Вводные'!$F$89)&lt;=0.2,0.6,IF((12*(YEAR(BR$3)-YEAR($B$41))+MONTH(BR$3)-MONTH($B$41)+1)/MAX(1,'Вводные'!$F$89)&lt;=0.8,1.2,0.8)))</x:f>
      </x:c>
      <x:c r="BS46" s="35" t="n">
        <x:f>IF(BS45=0,0,IF((12*(YEAR(BS$3)-YEAR($B$41))+MONTH(BS$3)-MONTH($B$41)+1)/MAX(1,'Вводные'!$F$89)&lt;=0.2,0.6,IF((12*(YEAR(BS$3)-YEAR($B$41))+MONTH(BS$3)-MONTH($B$41)+1)/MAX(1,'Вводные'!$F$89)&lt;=0.8,1.2,0.8)))</x:f>
      </x:c>
      <x:c r="BT46" s="35" t="n">
        <x:f>IF(BT45=0,0,IF((12*(YEAR(BT$3)-YEAR($B$41))+MONTH(BT$3)-MONTH($B$41)+1)/MAX(1,'Вводные'!$F$89)&lt;=0.2,0.6,IF((12*(YEAR(BT$3)-YEAR($B$41))+MONTH(BT$3)-MONTH($B$41)+1)/MAX(1,'Вводные'!$F$89)&lt;=0.8,1.2,0.8)))</x:f>
      </x:c>
      <x:c r="BU46" s="35" t="n">
        <x:f>IF(BU45=0,0,IF((12*(YEAR(BU$3)-YEAR($B$41))+MONTH(BU$3)-MONTH($B$41)+1)/MAX(1,'Вводные'!$F$89)&lt;=0.2,0.6,IF((12*(YEAR(BU$3)-YEAR($B$41))+MONTH(BU$3)-MONTH($B$41)+1)/MAX(1,'Вводные'!$F$89)&lt;=0.8,1.2,0.8)))</x:f>
      </x:c>
      <x:c r="BV46" s="35" t="n">
        <x:f>IF(BV45=0,0,IF((12*(YEAR(BV$3)-YEAR($B$41))+MONTH(BV$3)-MONTH($B$41)+1)/MAX(1,'Вводные'!$F$89)&lt;=0.2,0.6,IF((12*(YEAR(BV$3)-YEAR($B$41))+MONTH(BV$3)-MONTH($B$41)+1)/MAX(1,'Вводные'!$F$89)&lt;=0.8,1.2,0.8)))</x:f>
      </x:c>
      <x:c r="BW46" s="35" t="n">
        <x:f>IF(BW45=0,0,IF((12*(YEAR(BW$3)-YEAR($B$41))+MONTH(BW$3)-MONTH($B$41)+1)/MAX(1,'Вводные'!$F$89)&lt;=0.2,0.6,IF((12*(YEAR(BW$3)-YEAR($B$41))+MONTH(BW$3)-MONTH($B$41)+1)/MAX(1,'Вводные'!$F$89)&lt;=0.8,1.2,0.8)))</x:f>
      </x:c>
      <x:c r="BX46" s="35" t="n">
        <x:f>IF(BX45=0,0,IF((12*(YEAR(BX$3)-YEAR($B$41))+MONTH(BX$3)-MONTH($B$41)+1)/MAX(1,'Вводные'!$F$89)&lt;=0.2,0.6,IF((12*(YEAR(BX$3)-YEAR($B$41))+MONTH(BX$3)-MONTH($B$41)+1)/MAX(1,'Вводные'!$F$89)&lt;=0.8,1.2,0.8)))</x:f>
      </x:c>
      <x:c r="BY46" s="35" t="n">
        <x:f>IF(BY45=0,0,IF((12*(YEAR(BY$3)-YEAR($B$41))+MONTH(BY$3)-MONTH($B$41)+1)/MAX(1,'Вводные'!$F$89)&lt;=0.2,0.6,IF((12*(YEAR(BY$3)-YEAR($B$41))+MONTH(BY$3)-MONTH($B$41)+1)/MAX(1,'Вводные'!$F$89)&lt;=0.8,1.2,0.8)))</x:f>
      </x:c>
      <x:c r="BZ46" s="35" t="n">
        <x:f>IF(BZ45=0,0,IF((12*(YEAR(BZ$3)-YEAR($B$41))+MONTH(BZ$3)-MONTH($B$41)+1)/MAX(1,'Вводные'!$F$89)&lt;=0.2,0.6,IF((12*(YEAR(BZ$3)-YEAR($B$41))+MONTH(BZ$3)-MONTH($B$41)+1)/MAX(1,'Вводные'!$F$89)&lt;=0.8,1.2,0.8)))</x:f>
      </x:c>
      <x:c r="CA46" s="35" t="n">
        <x:f>IF(CA45=0,0,IF((12*(YEAR(CA$3)-YEAR($B$41))+MONTH(CA$3)-MONTH($B$41)+1)/MAX(1,'Вводные'!$F$89)&lt;=0.2,0.6,IF((12*(YEAR(CA$3)-YEAR($B$41))+MONTH(CA$3)-MONTH($B$41)+1)/MAX(1,'Вводные'!$F$89)&lt;=0.8,1.2,0.8)))</x:f>
      </x:c>
      <x:c r="CB46" s="35" t="n">
        <x:f>IF(CB45=0,0,IF((12*(YEAR(CB$3)-YEAR($B$41))+MONTH(CB$3)-MONTH($B$41)+1)/MAX(1,'Вводные'!$F$89)&lt;=0.2,0.6,IF((12*(YEAR(CB$3)-YEAR($B$41))+MONTH(CB$3)-MONTH($B$41)+1)/MAX(1,'Вводные'!$F$89)&lt;=0.8,1.2,0.8)))</x:f>
      </x:c>
      <x:c r="CC46" s="35" t="n">
        <x:f>IF(CC45=0,0,IF((12*(YEAR(CC$3)-YEAR($B$41))+MONTH(CC$3)-MONTH($B$41)+1)/MAX(1,'Вводные'!$F$89)&lt;=0.2,0.6,IF((12*(YEAR(CC$3)-YEAR($B$41))+MONTH(CC$3)-MONTH($B$41)+1)/MAX(1,'Вводные'!$F$89)&lt;=0.8,1.2,0.8)))</x:f>
      </x:c>
      <x:c r="CD46" s="35" t="n">
        <x:f>IF(CD45=0,0,IF((12*(YEAR(CD$3)-YEAR($B$41))+MONTH(CD$3)-MONTH($B$41)+1)/MAX(1,'Вводные'!$F$89)&lt;=0.2,0.6,IF((12*(YEAR(CD$3)-YEAR($B$41))+MONTH(CD$3)-MONTH($B$41)+1)/MAX(1,'Вводные'!$F$89)&lt;=0.8,1.2,0.8)))</x:f>
      </x:c>
      <x:c r="CE46" s="35" t="n">
        <x:f>IF(CE45=0,0,IF((12*(YEAR(CE$3)-YEAR($B$41))+MONTH(CE$3)-MONTH($B$41)+1)/MAX(1,'Вводные'!$F$89)&lt;=0.2,0.6,IF((12*(YEAR(CE$3)-YEAR($B$41))+MONTH(CE$3)-MONTH($B$41)+1)/MAX(1,'Вводные'!$F$89)&lt;=0.8,1.2,0.8)))</x:f>
      </x:c>
      <x:c r="CF46" s="35" t="n">
        <x:f>IF(CF45=0,0,IF((12*(YEAR(CF$3)-YEAR($B$41))+MONTH(CF$3)-MONTH($B$41)+1)/MAX(1,'Вводные'!$F$89)&lt;=0.2,0.6,IF((12*(YEAR(CF$3)-YEAR($B$41))+MONTH(CF$3)-MONTH($B$41)+1)/MAX(1,'Вводные'!$F$89)&lt;=0.8,1.2,0.8)))</x:f>
      </x:c>
      <x:c r="CG46" s="35" t="n">
        <x:f>IF(CG45=0,0,IF((12*(YEAR(CG$3)-YEAR($B$41))+MONTH(CG$3)-MONTH($B$41)+1)/MAX(1,'Вводные'!$F$89)&lt;=0.2,0.6,IF((12*(YEAR(CG$3)-YEAR($B$41))+MONTH(CG$3)-MONTH($B$41)+1)/MAX(1,'Вводные'!$F$89)&lt;=0.8,1.2,0.8)))</x:f>
      </x:c>
      <x:c r="CH46" s="35" t="n">
        <x:f>IF(CH45=0,0,IF((12*(YEAR(CH$3)-YEAR($B$41))+MONTH(CH$3)-MONTH($B$41)+1)/MAX(1,'Вводные'!$F$89)&lt;=0.2,0.6,IF((12*(YEAR(CH$3)-YEAR($B$41))+MONTH(CH$3)-MONTH($B$41)+1)/MAX(1,'Вводные'!$F$89)&lt;=0.8,1.2,0.8)))</x:f>
      </x:c>
      <x:c r="CI46" s="35" t="n">
        <x:f>IF(CI45=0,0,IF((12*(YEAR(CI$3)-YEAR($B$41))+MONTH(CI$3)-MONTH($B$41)+1)/MAX(1,'Вводные'!$F$89)&lt;=0.2,0.6,IF((12*(YEAR(CI$3)-YEAR($B$41))+MONTH(CI$3)-MONTH($B$41)+1)/MAX(1,'Вводные'!$F$89)&lt;=0.8,1.2,0.8)))</x:f>
      </x:c>
      <x:c r="CJ46" s="35" t="n">
        <x:f>IF(CJ45=0,0,IF((12*(YEAR(CJ$3)-YEAR($B$41))+MONTH(CJ$3)-MONTH($B$41)+1)/MAX(1,'Вводные'!$F$89)&lt;=0.2,0.6,IF((12*(YEAR(CJ$3)-YEAR($B$41))+MONTH(CJ$3)-MONTH($B$41)+1)/MAX(1,'Вводные'!$F$89)&lt;=0.8,1.2,0.8)))</x:f>
      </x:c>
      <x:c r="CK46" s="35" t="n">
        <x:f>IF(CK45=0,0,IF((12*(YEAR(CK$3)-YEAR($B$41))+MONTH(CK$3)-MONTH($B$41)+1)/MAX(1,'Вводные'!$F$89)&lt;=0.2,0.6,IF((12*(YEAR(CK$3)-YEAR($B$41))+MONTH(CK$3)-MONTH($B$41)+1)/MAX(1,'Вводные'!$F$89)&lt;=0.8,1.2,0.8)))</x:f>
      </x:c>
      <x:c r="CL46" s="35" t="n">
        <x:f>IF(CL45=0,0,IF((12*(YEAR(CL$3)-YEAR($B$41))+MONTH(CL$3)-MONTH($B$41)+1)/MAX(1,'Вводные'!$F$89)&lt;=0.2,0.6,IF((12*(YEAR(CL$3)-YEAR($B$41))+MONTH(CL$3)-MONTH($B$41)+1)/MAX(1,'Вводные'!$F$89)&lt;=0.8,1.2,0.8)))</x:f>
      </x:c>
      <x:c r="CM46" s="35" t="n">
        <x:f>IF(CM45=0,0,IF((12*(YEAR(CM$3)-YEAR($B$41))+MONTH(CM$3)-MONTH($B$41)+1)/MAX(1,'Вводные'!$F$89)&lt;=0.2,0.6,IF((12*(YEAR(CM$3)-YEAR($B$41))+MONTH(CM$3)-MONTH($B$41)+1)/MAX(1,'Вводные'!$F$89)&lt;=0.8,1.2,0.8)))</x:f>
      </x:c>
      <x:c r="CN46" s="35" t="n">
        <x:f>IF(CN45=0,0,IF((12*(YEAR(CN$3)-YEAR($B$41))+MONTH(CN$3)-MONTH($B$41)+1)/MAX(1,'Вводные'!$F$89)&lt;=0.2,0.6,IF((12*(YEAR(CN$3)-YEAR($B$41))+MONTH(CN$3)-MONTH($B$41)+1)/MAX(1,'Вводные'!$F$89)&lt;=0.8,1.2,0.8)))</x:f>
      </x:c>
      <x:c r="CO46" s="35" t="n">
        <x:f>IF(CO45=0,0,IF((12*(YEAR(CO$3)-YEAR($B$41))+MONTH(CO$3)-MONTH($B$41)+1)/MAX(1,'Вводные'!$F$89)&lt;=0.2,0.6,IF((12*(YEAR(CO$3)-YEAR($B$41))+MONTH(CO$3)-MONTH($B$41)+1)/MAX(1,'Вводные'!$F$89)&lt;=0.8,1.2,0.8)))</x:f>
      </x:c>
      <x:c r="CP46" s="35" t="n">
        <x:f>IF(CP45=0,0,IF((12*(YEAR(CP$3)-YEAR($B$41))+MONTH(CP$3)-MONTH($B$41)+1)/MAX(1,'Вводные'!$F$89)&lt;=0.2,0.6,IF((12*(YEAR(CP$3)-YEAR($B$41))+MONTH(CP$3)-MONTH($B$41)+1)/MAX(1,'Вводные'!$F$89)&lt;=0.8,1.2,0.8)))</x:f>
      </x:c>
      <x:c r="CQ46" s="35" t="n">
        <x:f>IF(CQ45=0,0,IF((12*(YEAR(CQ$3)-YEAR($B$41))+MONTH(CQ$3)-MONTH($B$41)+1)/MAX(1,'Вводные'!$F$89)&lt;=0.2,0.6,IF((12*(YEAR(CQ$3)-YEAR($B$41))+MONTH(CQ$3)-MONTH($B$41)+1)/MAX(1,'Вводные'!$F$89)&lt;=0.8,1.2,0.8)))</x:f>
      </x:c>
      <x:c r="CR46" s="35" t="n">
        <x:f>IF(CR45=0,0,IF((12*(YEAR(CR$3)-YEAR($B$41))+MONTH(CR$3)-MONTH($B$41)+1)/MAX(1,'Вводные'!$F$89)&lt;=0.2,0.6,IF((12*(YEAR(CR$3)-YEAR($B$41))+MONTH(CR$3)-MONTH($B$41)+1)/MAX(1,'Вводные'!$F$89)&lt;=0.8,1.2,0.8)))</x:f>
      </x:c>
      <x:c r="CS46" s="35" t="n">
        <x:f>IF(CS45=0,0,IF((12*(YEAR(CS$3)-YEAR($B$41))+MONTH(CS$3)-MONTH($B$41)+1)/MAX(1,'Вводные'!$F$89)&lt;=0.2,0.6,IF((12*(YEAR(CS$3)-YEAR($B$41))+MONTH(CS$3)-MONTH($B$41)+1)/MAX(1,'Вводные'!$F$89)&lt;=0.8,1.2,0.8)))</x:f>
      </x:c>
      <x:c r="CT46" s="35" t="n">
        <x:f>IF(CT45=0,0,IF((12*(YEAR(CT$3)-YEAR($B$41))+MONTH(CT$3)-MONTH($B$41)+1)/MAX(1,'Вводные'!$F$89)&lt;=0.2,0.6,IF((12*(YEAR(CT$3)-YEAR($B$41))+MONTH(CT$3)-MONTH($B$41)+1)/MAX(1,'Вводные'!$F$89)&lt;=0.8,1.2,0.8)))</x:f>
      </x:c>
      <x:c r="CU46" s="35" t="n">
        <x:f>IF(CU45=0,0,IF((12*(YEAR(CU$3)-YEAR($B$41))+MONTH(CU$3)-MONTH($B$41)+1)/MAX(1,'Вводные'!$F$89)&lt;=0.2,0.6,IF((12*(YEAR(CU$3)-YEAR($B$41))+MONTH(CU$3)-MONTH($B$41)+1)/MAX(1,'Вводные'!$F$89)&lt;=0.8,1.2,0.8)))</x:f>
      </x:c>
      <x:c r="CV46" s="35" t="n">
        <x:f>IF(CV45=0,0,IF((12*(YEAR(CV$3)-YEAR($B$41))+MONTH(CV$3)-MONTH($B$41)+1)/MAX(1,'Вводные'!$F$89)&lt;=0.2,0.6,IF((12*(YEAR(CV$3)-YEAR($B$41))+MONTH(CV$3)-MONTH($B$41)+1)/MAX(1,'Вводные'!$F$89)&lt;=0.8,1.2,0.8)))</x:f>
      </x:c>
      <x:c r="CW46" s="35" t="n">
        <x:f>IF(CW45=0,0,IF((12*(YEAR(CW$3)-YEAR($B$41))+MONTH(CW$3)-MONTH($B$41)+1)/MAX(1,'Вводные'!$F$89)&lt;=0.2,0.6,IF((12*(YEAR(CW$3)-YEAR($B$41))+MONTH(CW$3)-MONTH($B$41)+1)/MAX(1,'Вводные'!$F$89)&lt;=0.8,1.2,0.8)))</x:f>
      </x:c>
      <x:c r="CX46" s="35" t="n">
        <x:f>IF(CX45=0,0,IF((12*(YEAR(CX$3)-YEAR($B$41))+MONTH(CX$3)-MONTH($B$41)+1)/MAX(1,'Вводные'!$F$89)&lt;=0.2,0.6,IF((12*(YEAR(CX$3)-YEAR($B$41))+MONTH(CX$3)-MONTH($B$41)+1)/MAX(1,'Вводные'!$F$89)&lt;=0.8,1.2,0.8)))</x:f>
      </x:c>
      <x:c r="CY46" s="35" t="n">
        <x:f>IF(CY45=0,0,IF((12*(YEAR(CY$3)-YEAR($B$41))+MONTH(CY$3)-MONTH($B$41)+1)/MAX(1,'Вводные'!$F$89)&lt;=0.2,0.6,IF((12*(YEAR(CY$3)-YEAR($B$41))+MONTH(CY$3)-MONTH($B$41)+1)/MAX(1,'Вводные'!$F$89)&lt;=0.8,1.2,0.8)))</x:f>
      </x:c>
      <x:c r="CZ46" s="35" t="n">
        <x:f>IF(CZ45=0,0,IF((12*(YEAR(CZ$3)-YEAR($B$41))+MONTH(CZ$3)-MONTH($B$41)+1)/MAX(1,'Вводные'!$F$89)&lt;=0.2,0.6,IF((12*(YEAR(CZ$3)-YEAR($B$41))+MONTH(CZ$3)-MONTH($B$41)+1)/MAX(1,'Вводные'!$F$89)&lt;=0.8,1.2,0.8)))</x:f>
      </x:c>
      <x:c r="DA46" s="35" t="n">
        <x:f>IF(DA45=0,0,IF((12*(YEAR(DA$3)-YEAR($B$41))+MONTH(DA$3)-MONTH($B$41)+1)/MAX(1,'Вводные'!$F$89)&lt;=0.2,0.6,IF((12*(YEAR(DA$3)-YEAR($B$41))+MONTH(DA$3)-MONTH($B$41)+1)/MAX(1,'Вводные'!$F$89)&lt;=0.8,1.2,0.8)))</x:f>
      </x:c>
      <x:c r="DB46" s="35" t="n">
        <x:f>IF(DB45=0,0,IF((12*(YEAR(DB$3)-YEAR($B$41))+MONTH(DB$3)-MONTH($B$41)+1)/MAX(1,'Вводные'!$F$89)&lt;=0.2,0.6,IF((12*(YEAR(DB$3)-YEAR($B$41))+MONTH(DB$3)-MONTH($B$41)+1)/MAX(1,'Вводные'!$F$89)&lt;=0.8,1.2,0.8)))</x:f>
      </x:c>
      <x:c r="DC46" s="35" t="n">
        <x:f>IF(DC45=0,0,IF((12*(YEAR(DC$3)-YEAR($B$41))+MONTH(DC$3)-MONTH($B$41)+1)/MAX(1,'Вводные'!$F$89)&lt;=0.2,0.6,IF((12*(YEAR(DC$3)-YEAR($B$41))+MONTH(DC$3)-MONTH($B$41)+1)/MAX(1,'Вводные'!$F$89)&lt;=0.8,1.2,0.8)))</x:f>
      </x:c>
      <x:c r="DD46" s="35" t="n">
        <x:f>IF(DD45=0,0,IF((12*(YEAR(DD$3)-YEAR($B$41))+MONTH(DD$3)-MONTH($B$41)+1)/MAX(1,'Вводные'!$F$89)&lt;=0.2,0.6,IF((12*(YEAR(DD$3)-YEAR($B$41))+MONTH(DD$3)-MONTH($B$41)+1)/MAX(1,'Вводные'!$F$89)&lt;=0.8,1.2,0.8)))</x:f>
      </x:c>
      <x:c r="DE46" s="35" t="n">
        <x:f>IF(DE45=0,0,IF((12*(YEAR(DE$3)-YEAR($B$41))+MONTH(DE$3)-MONTH($B$41)+1)/MAX(1,'Вводные'!$F$89)&lt;=0.2,0.6,IF((12*(YEAR(DE$3)-YEAR($B$41))+MONTH(DE$3)-MONTH($B$41)+1)/MAX(1,'Вводные'!$F$89)&lt;=0.8,1.2,0.8)))</x:f>
      </x:c>
      <x:c r="DF46" s="35" t="n">
        <x:f>IF(DF45=0,0,IF((12*(YEAR(DF$3)-YEAR($B$41))+MONTH(DF$3)-MONTH($B$41)+1)/MAX(1,'Вводные'!$F$89)&lt;=0.2,0.6,IF((12*(YEAR(DF$3)-YEAR($B$41))+MONTH(DF$3)-MONTH($B$41)+1)/MAX(1,'Вводные'!$F$89)&lt;=0.8,1.2,0.8)))</x:f>
      </x:c>
      <x:c r="DG46" s="35" t="n">
        <x:f>IF(DG45=0,0,IF((12*(YEAR(DG$3)-YEAR($B$41))+MONTH(DG$3)-MONTH($B$41)+1)/MAX(1,'Вводные'!$F$89)&lt;=0.2,0.6,IF((12*(YEAR(DG$3)-YEAR($B$41))+MONTH(DG$3)-MONTH($B$41)+1)/MAX(1,'Вводные'!$F$89)&lt;=0.8,1.2,0.8)))</x:f>
      </x:c>
      <x:c r="DH46" s="35" t="n">
        <x:f>IF(DH45=0,0,IF((12*(YEAR(DH$3)-YEAR($B$41))+MONTH(DH$3)-MONTH($B$41)+1)/MAX(1,'Вводные'!$F$89)&lt;=0.2,0.6,IF((12*(YEAR(DH$3)-YEAR($B$41))+MONTH(DH$3)-MONTH($B$41)+1)/MAX(1,'Вводные'!$F$89)&lt;=0.8,1.2,0.8)))</x:f>
      </x:c>
      <x:c r="DI46" s="35" t="n">
        <x:f>IF(DI45=0,0,IF((12*(YEAR(DI$3)-YEAR($B$41))+MONTH(DI$3)-MONTH($B$41)+1)/MAX(1,'Вводные'!$F$89)&lt;=0.2,0.6,IF((12*(YEAR(DI$3)-YEAR($B$41))+MONTH(DI$3)-MONTH($B$41)+1)/MAX(1,'Вводные'!$F$89)&lt;=0.8,1.2,0.8)))</x:f>
      </x:c>
      <x:c r="DJ46" s="35" t="n">
        <x:f>IF(DJ45=0,0,IF((12*(YEAR(DJ$3)-YEAR($B$41))+MONTH(DJ$3)-MONTH($B$41)+1)/MAX(1,'Вводные'!$F$89)&lt;=0.2,0.6,IF((12*(YEAR(DJ$3)-YEAR($B$41))+MONTH(DJ$3)-MONTH($B$41)+1)/MAX(1,'Вводные'!$F$89)&lt;=0.8,1.2,0.8)))</x:f>
      </x:c>
      <x:c r="DK46" s="35" t="n">
        <x:f>IF(DK45=0,0,IF((12*(YEAR(DK$3)-YEAR($B$41))+MONTH(DK$3)-MONTH($B$41)+1)/MAX(1,'Вводные'!$F$89)&lt;=0.2,0.6,IF((12*(YEAR(DK$3)-YEAR($B$41))+MONTH(DK$3)-MONTH($B$41)+1)/MAX(1,'Вводные'!$F$89)&lt;=0.8,1.2,0.8)))</x:f>
      </x:c>
      <x:c r="DL46" s="35" t="n">
        <x:f>IF(DL45=0,0,IF((12*(YEAR(DL$3)-YEAR($B$41))+MONTH(DL$3)-MONTH($B$41)+1)/MAX(1,'Вводные'!$F$89)&lt;=0.2,0.6,IF((12*(YEAR(DL$3)-YEAR($B$41))+MONTH(DL$3)-MONTH($B$41)+1)/MAX(1,'Вводные'!$F$89)&lt;=0.8,1.2,0.8)))</x:f>
      </x:c>
      <x:c r="DM46" s="35" t="n">
        <x:f>IF(DM45=0,0,IF((12*(YEAR(DM$3)-YEAR($B$41))+MONTH(DM$3)-MONTH($B$41)+1)/MAX(1,'Вводные'!$F$89)&lt;=0.2,0.6,IF((12*(YEAR(DM$3)-YEAR($B$41))+MONTH(DM$3)-MONTH($B$41)+1)/MAX(1,'Вводные'!$F$89)&lt;=0.8,1.2,0.8)))</x:f>
      </x:c>
      <x:c r="DN46" s="35" t="n">
        <x:f>IF(DN45=0,0,IF((12*(YEAR(DN$3)-YEAR($B$41))+MONTH(DN$3)-MONTH($B$41)+1)/MAX(1,'Вводные'!$F$89)&lt;=0.2,0.6,IF((12*(YEAR(DN$3)-YEAR($B$41))+MONTH(DN$3)-MONTH($B$41)+1)/MAX(1,'Вводные'!$F$89)&lt;=0.8,1.2,0.8)))</x:f>
      </x:c>
      <x:c r="DO46" s="35" t="n">
        <x:f>IF(DO45=0,0,IF((12*(YEAR(DO$3)-YEAR($B$41))+MONTH(DO$3)-MONTH($B$41)+1)/MAX(1,'Вводные'!$F$89)&lt;=0.2,0.6,IF((12*(YEAR(DO$3)-YEAR($B$41))+MONTH(DO$3)-MONTH($B$41)+1)/MAX(1,'Вводные'!$F$89)&lt;=0.8,1.2,0.8)))</x:f>
      </x:c>
      <x:c r="DP46" s="35" t="n">
        <x:f>IF(DP45=0,0,IF((12*(YEAR(DP$3)-YEAR($B$41))+MONTH(DP$3)-MONTH($B$41)+1)/MAX(1,'Вводные'!$F$89)&lt;=0.2,0.6,IF((12*(YEAR(DP$3)-YEAR($B$41))+MONTH(DP$3)-MONTH($B$41)+1)/MAX(1,'Вводные'!$F$89)&lt;=0.8,1.2,0.8)))</x:f>
      </x:c>
      <x:c r="DQ46" s="35" t="n">
        <x:f>IF(DQ45=0,0,IF((12*(YEAR(DQ$3)-YEAR($B$41))+MONTH(DQ$3)-MONTH($B$41)+1)/MAX(1,'Вводные'!$F$89)&lt;=0.2,0.6,IF((12*(YEAR(DQ$3)-YEAR($B$41))+MONTH(DQ$3)-MONTH($B$41)+1)/MAX(1,'Вводные'!$F$89)&lt;=0.8,1.2,0.8)))</x:f>
      </x:c>
      <x:c r="DR46" s="35" t="n">
        <x:f>IF(DR45=0,0,IF((12*(YEAR(DR$3)-YEAR($B$41))+MONTH(DR$3)-MONTH($B$41)+1)/MAX(1,'Вводные'!$F$89)&lt;=0.2,0.6,IF((12*(YEAR(DR$3)-YEAR($B$41))+MONTH(DR$3)-MONTH($B$41)+1)/MAX(1,'Вводные'!$F$89)&lt;=0.8,1.2,0.8)))</x:f>
      </x:c>
      <x:c r="DS46" s="35" t="n">
        <x:f>IF(DS45=0,0,IF((12*(YEAR(DS$3)-YEAR($B$41))+MONTH(DS$3)-MONTH($B$41)+1)/MAX(1,'Вводные'!$F$89)&lt;=0.2,0.6,IF((12*(YEAR(DS$3)-YEAR($B$41))+MONTH(DS$3)-MONTH($B$41)+1)/MAX(1,'Вводные'!$F$89)&lt;=0.8,1.2,0.8)))</x:f>
      </x:c>
    </x:row>
    <x:row r="47">
      <x:c r="A47" t="str">
        <x:v>Нормированный вес строительства</x:v>
      </x:c>
      <x:c r="B47"/>
      <x:c r="C47" t="str">
        <x:v>%</x:v>
      </x:c>
      <x:c r="D47" s="35" t="n">
        <x:f>IFERROR(D46/SUM($D46:$DS46),0)</x:f>
      </x:c>
      <x:c r="E47" s="35" t="n">
        <x:f>IFERROR(E46/SUM($D46:$DS46),0)</x:f>
      </x:c>
      <x:c r="F47" s="35" t="n">
        <x:f>IFERROR(F46/SUM($D46:$DS46),0)</x:f>
      </x:c>
      <x:c r="G47" s="35" t="n">
        <x:f>IFERROR(G46/SUM($D46:$DS46),0)</x:f>
      </x:c>
      <x:c r="H47" s="35" t="n">
        <x:f>IFERROR(H46/SUM($D46:$DS46),0)</x:f>
      </x:c>
      <x:c r="I47" s="35" t="n">
        <x:f>IFERROR(I46/SUM($D46:$DS46),0)</x:f>
      </x:c>
      <x:c r="J47" s="35" t="n">
        <x:f>IFERROR(J46/SUM($D46:$DS46),0)</x:f>
      </x:c>
      <x:c r="K47" s="35" t="n">
        <x:f>IFERROR(K46/SUM($D46:$DS46),0)</x:f>
      </x:c>
      <x:c r="L47" s="35" t="n">
        <x:f>IFERROR(L46/SUM($D46:$DS46),0)</x:f>
      </x:c>
      <x:c r="M47" s="35" t="n">
        <x:f>IFERROR(M46/SUM($D46:$DS46),0)</x:f>
      </x:c>
      <x:c r="N47" s="35" t="n">
        <x:f>IFERROR(N46/SUM($D46:$DS46),0)</x:f>
      </x:c>
      <x:c r="O47" s="35" t="n">
        <x:f>IFERROR(O46/SUM($D46:$DS46),0)</x:f>
      </x:c>
      <x:c r="P47" s="35" t="n">
        <x:f>IFERROR(P46/SUM($D46:$DS46),0)</x:f>
      </x:c>
      <x:c r="Q47" s="35" t="n">
        <x:f>IFERROR(Q46/SUM($D46:$DS46),0)</x:f>
      </x:c>
      <x:c r="R47" s="35" t="n">
        <x:f>IFERROR(R46/SUM($D46:$DS46),0)</x:f>
      </x:c>
      <x:c r="S47" s="35" t="n">
        <x:f>IFERROR(S46/SUM($D46:$DS46),0)</x:f>
      </x:c>
      <x:c r="T47" s="35" t="n">
        <x:f>IFERROR(T46/SUM($D46:$DS46),0)</x:f>
      </x:c>
      <x:c r="U47" s="35" t="n">
        <x:f>IFERROR(U46/SUM($D46:$DS46),0)</x:f>
      </x:c>
      <x:c r="V47" s="35" t="n">
        <x:f>IFERROR(V46/SUM($D46:$DS46),0)</x:f>
      </x:c>
      <x:c r="W47" s="35" t="n">
        <x:f>IFERROR(W46/SUM($D46:$DS46),0)</x:f>
      </x:c>
      <x:c r="X47" s="35" t="n">
        <x:f>IFERROR(X46/SUM($D46:$DS46),0)</x:f>
      </x:c>
      <x:c r="Y47" s="35" t="n">
        <x:f>IFERROR(Y46/SUM($D46:$DS46),0)</x:f>
      </x:c>
      <x:c r="Z47" s="35" t="n">
        <x:f>IFERROR(Z46/SUM($D46:$DS46),0)</x:f>
      </x:c>
      <x:c r="AA47" s="35" t="n">
        <x:f>IFERROR(AA46/SUM($D46:$DS46),0)</x:f>
      </x:c>
      <x:c r="AB47" s="35" t="n">
        <x:f>IFERROR(AB46/SUM($D46:$DS46),0)</x:f>
      </x:c>
      <x:c r="AC47" s="35" t="n">
        <x:f>IFERROR(AC46/SUM($D46:$DS46),0)</x:f>
      </x:c>
      <x:c r="AD47" s="35" t="n">
        <x:f>IFERROR(AD46/SUM($D46:$DS46),0)</x:f>
      </x:c>
      <x:c r="AE47" s="35" t="n">
        <x:f>IFERROR(AE46/SUM($D46:$DS46),0)</x:f>
      </x:c>
      <x:c r="AF47" s="35" t="n">
        <x:f>IFERROR(AF46/SUM($D46:$DS46),0)</x:f>
      </x:c>
      <x:c r="AG47" s="35" t="n">
        <x:f>IFERROR(AG46/SUM($D46:$DS46),0)</x:f>
      </x:c>
      <x:c r="AH47" s="35" t="n">
        <x:f>IFERROR(AH46/SUM($D46:$DS46),0)</x:f>
      </x:c>
      <x:c r="AI47" s="35" t="n">
        <x:f>IFERROR(AI46/SUM($D46:$DS46),0)</x:f>
      </x:c>
      <x:c r="AJ47" s="35" t="n">
        <x:f>IFERROR(AJ46/SUM($D46:$DS46),0)</x:f>
      </x:c>
      <x:c r="AK47" s="35" t="n">
        <x:f>IFERROR(AK46/SUM($D46:$DS46),0)</x:f>
      </x:c>
      <x:c r="AL47" s="35" t="n">
        <x:f>IFERROR(AL46/SUM($D46:$DS46),0)</x:f>
      </x:c>
      <x:c r="AM47" s="35" t="n">
        <x:f>IFERROR(AM46/SUM($D46:$DS46),0)</x:f>
      </x:c>
      <x:c r="AN47" s="35" t="n">
        <x:f>IFERROR(AN46/SUM($D46:$DS46),0)</x:f>
      </x:c>
      <x:c r="AO47" s="35" t="n">
        <x:f>IFERROR(AO46/SUM($D46:$DS46),0)</x:f>
      </x:c>
      <x:c r="AP47" s="35" t="n">
        <x:f>IFERROR(AP46/SUM($D46:$DS46),0)</x:f>
      </x:c>
      <x:c r="AQ47" s="35" t="n">
        <x:f>IFERROR(AQ46/SUM($D46:$DS46),0)</x:f>
      </x:c>
      <x:c r="AR47" s="35" t="n">
        <x:f>IFERROR(AR46/SUM($D46:$DS46),0)</x:f>
      </x:c>
      <x:c r="AS47" s="35" t="n">
        <x:f>IFERROR(AS46/SUM($D46:$DS46),0)</x:f>
      </x:c>
      <x:c r="AT47" s="35" t="n">
        <x:f>IFERROR(AT46/SUM($D46:$DS46),0)</x:f>
      </x:c>
      <x:c r="AU47" s="35" t="n">
        <x:f>IFERROR(AU46/SUM($D46:$DS46),0)</x:f>
      </x:c>
      <x:c r="AV47" s="35" t="n">
        <x:f>IFERROR(AV46/SUM($D46:$DS46),0)</x:f>
      </x:c>
      <x:c r="AW47" s="35" t="n">
        <x:f>IFERROR(AW46/SUM($D46:$DS46),0)</x:f>
      </x:c>
      <x:c r="AX47" s="35" t="n">
        <x:f>IFERROR(AX46/SUM($D46:$DS46),0)</x:f>
      </x:c>
      <x:c r="AY47" s="35" t="n">
        <x:f>IFERROR(AY46/SUM($D46:$DS46),0)</x:f>
      </x:c>
      <x:c r="AZ47" s="35" t="n">
        <x:f>IFERROR(AZ46/SUM($D46:$DS46),0)</x:f>
      </x:c>
      <x:c r="BA47" s="35" t="n">
        <x:f>IFERROR(BA46/SUM($D46:$DS46),0)</x:f>
      </x:c>
      <x:c r="BB47" s="35" t="n">
        <x:f>IFERROR(BB46/SUM($D46:$DS46),0)</x:f>
      </x:c>
      <x:c r="BC47" s="35" t="n">
        <x:f>IFERROR(BC46/SUM($D46:$DS46),0)</x:f>
      </x:c>
      <x:c r="BD47" s="35" t="n">
        <x:f>IFERROR(BD46/SUM($D46:$DS46),0)</x:f>
      </x:c>
      <x:c r="BE47" s="35" t="n">
        <x:f>IFERROR(BE46/SUM($D46:$DS46),0)</x:f>
      </x:c>
      <x:c r="BF47" s="35" t="n">
        <x:f>IFERROR(BF46/SUM($D46:$DS46),0)</x:f>
      </x:c>
      <x:c r="BG47" s="35" t="n">
        <x:f>IFERROR(BG46/SUM($D46:$DS46),0)</x:f>
      </x:c>
      <x:c r="BH47" s="35" t="n">
        <x:f>IFERROR(BH46/SUM($D46:$DS46),0)</x:f>
      </x:c>
      <x:c r="BI47" s="35" t="n">
        <x:f>IFERROR(BI46/SUM($D46:$DS46),0)</x:f>
      </x:c>
      <x:c r="BJ47" s="35" t="n">
        <x:f>IFERROR(BJ46/SUM($D46:$DS46),0)</x:f>
      </x:c>
      <x:c r="BK47" s="35" t="n">
        <x:f>IFERROR(BK46/SUM($D46:$DS46),0)</x:f>
      </x:c>
      <x:c r="BL47" s="35" t="n">
        <x:f>IFERROR(BL46/SUM($D46:$DS46),0)</x:f>
      </x:c>
      <x:c r="BM47" s="35" t="n">
        <x:f>IFERROR(BM46/SUM($D46:$DS46),0)</x:f>
      </x:c>
      <x:c r="BN47" s="35" t="n">
        <x:f>IFERROR(BN46/SUM($D46:$DS46),0)</x:f>
      </x:c>
      <x:c r="BO47" s="35" t="n">
        <x:f>IFERROR(BO46/SUM($D46:$DS46),0)</x:f>
      </x:c>
      <x:c r="BP47" s="35" t="n">
        <x:f>IFERROR(BP46/SUM($D46:$DS46),0)</x:f>
      </x:c>
      <x:c r="BQ47" s="35" t="n">
        <x:f>IFERROR(BQ46/SUM($D46:$DS46),0)</x:f>
      </x:c>
      <x:c r="BR47" s="35" t="n">
        <x:f>IFERROR(BR46/SUM($D46:$DS46),0)</x:f>
      </x:c>
      <x:c r="BS47" s="35" t="n">
        <x:f>IFERROR(BS46/SUM($D46:$DS46),0)</x:f>
      </x:c>
      <x:c r="BT47" s="35" t="n">
        <x:f>IFERROR(BT46/SUM($D46:$DS46),0)</x:f>
      </x:c>
      <x:c r="BU47" s="35" t="n">
        <x:f>IFERROR(BU46/SUM($D46:$DS46),0)</x:f>
      </x:c>
      <x:c r="BV47" s="35" t="n">
        <x:f>IFERROR(BV46/SUM($D46:$DS46),0)</x:f>
      </x:c>
      <x:c r="BW47" s="35" t="n">
        <x:f>IFERROR(BW46/SUM($D46:$DS46),0)</x:f>
      </x:c>
      <x:c r="BX47" s="35" t="n">
        <x:f>IFERROR(BX46/SUM($D46:$DS46),0)</x:f>
      </x:c>
      <x:c r="BY47" s="35" t="n">
        <x:f>IFERROR(BY46/SUM($D46:$DS46),0)</x:f>
      </x:c>
      <x:c r="BZ47" s="35" t="n">
        <x:f>IFERROR(BZ46/SUM($D46:$DS46),0)</x:f>
      </x:c>
      <x:c r="CA47" s="35" t="n">
        <x:f>IFERROR(CA46/SUM($D46:$DS46),0)</x:f>
      </x:c>
      <x:c r="CB47" s="35" t="n">
        <x:f>IFERROR(CB46/SUM($D46:$DS46),0)</x:f>
      </x:c>
      <x:c r="CC47" s="35" t="n">
        <x:f>IFERROR(CC46/SUM($D46:$DS46),0)</x:f>
      </x:c>
      <x:c r="CD47" s="35" t="n">
        <x:f>IFERROR(CD46/SUM($D46:$DS46),0)</x:f>
      </x:c>
      <x:c r="CE47" s="35" t="n">
        <x:f>IFERROR(CE46/SUM($D46:$DS46),0)</x:f>
      </x:c>
      <x:c r="CF47" s="35" t="n">
        <x:f>IFERROR(CF46/SUM($D46:$DS46),0)</x:f>
      </x:c>
      <x:c r="CG47" s="35" t="n">
        <x:f>IFERROR(CG46/SUM($D46:$DS46),0)</x:f>
      </x:c>
      <x:c r="CH47" s="35" t="n">
        <x:f>IFERROR(CH46/SUM($D46:$DS46),0)</x:f>
      </x:c>
      <x:c r="CI47" s="35" t="n">
        <x:f>IFERROR(CI46/SUM($D46:$DS46),0)</x:f>
      </x:c>
      <x:c r="CJ47" s="35" t="n">
        <x:f>IFERROR(CJ46/SUM($D46:$DS46),0)</x:f>
      </x:c>
      <x:c r="CK47" s="35" t="n">
        <x:f>IFERROR(CK46/SUM($D46:$DS46),0)</x:f>
      </x:c>
      <x:c r="CL47" s="35" t="n">
        <x:f>IFERROR(CL46/SUM($D46:$DS46),0)</x:f>
      </x:c>
      <x:c r="CM47" s="35" t="n">
        <x:f>IFERROR(CM46/SUM($D46:$DS46),0)</x:f>
      </x:c>
      <x:c r="CN47" s="35" t="n">
        <x:f>IFERROR(CN46/SUM($D46:$DS46),0)</x:f>
      </x:c>
      <x:c r="CO47" s="35" t="n">
        <x:f>IFERROR(CO46/SUM($D46:$DS46),0)</x:f>
      </x:c>
      <x:c r="CP47" s="35" t="n">
        <x:f>IFERROR(CP46/SUM($D46:$DS46),0)</x:f>
      </x:c>
      <x:c r="CQ47" s="35" t="n">
        <x:f>IFERROR(CQ46/SUM($D46:$DS46),0)</x:f>
      </x:c>
      <x:c r="CR47" s="35" t="n">
        <x:f>IFERROR(CR46/SUM($D46:$DS46),0)</x:f>
      </x:c>
      <x:c r="CS47" s="35" t="n">
        <x:f>IFERROR(CS46/SUM($D46:$DS46),0)</x:f>
      </x:c>
      <x:c r="CT47" s="35" t="n">
        <x:f>IFERROR(CT46/SUM($D46:$DS46),0)</x:f>
      </x:c>
      <x:c r="CU47" s="35" t="n">
        <x:f>IFERROR(CU46/SUM($D46:$DS46),0)</x:f>
      </x:c>
      <x:c r="CV47" s="35" t="n">
        <x:f>IFERROR(CV46/SUM($D46:$DS46),0)</x:f>
      </x:c>
      <x:c r="CW47" s="35" t="n">
        <x:f>IFERROR(CW46/SUM($D46:$DS46),0)</x:f>
      </x:c>
      <x:c r="CX47" s="35" t="n">
        <x:f>IFERROR(CX46/SUM($D46:$DS46),0)</x:f>
      </x:c>
      <x:c r="CY47" s="35" t="n">
        <x:f>IFERROR(CY46/SUM($D46:$DS46),0)</x:f>
      </x:c>
      <x:c r="CZ47" s="35" t="n">
        <x:f>IFERROR(CZ46/SUM($D46:$DS46),0)</x:f>
      </x:c>
      <x:c r="DA47" s="35" t="n">
        <x:f>IFERROR(DA46/SUM($D46:$DS46),0)</x:f>
      </x:c>
      <x:c r="DB47" s="35" t="n">
        <x:f>IFERROR(DB46/SUM($D46:$DS46),0)</x:f>
      </x:c>
      <x:c r="DC47" s="35" t="n">
        <x:f>IFERROR(DC46/SUM($D46:$DS46),0)</x:f>
      </x:c>
      <x:c r="DD47" s="35" t="n">
        <x:f>IFERROR(DD46/SUM($D46:$DS46),0)</x:f>
      </x:c>
      <x:c r="DE47" s="35" t="n">
        <x:f>IFERROR(DE46/SUM($D46:$DS46),0)</x:f>
      </x:c>
      <x:c r="DF47" s="35" t="n">
        <x:f>IFERROR(DF46/SUM($D46:$DS46),0)</x:f>
      </x:c>
      <x:c r="DG47" s="35" t="n">
        <x:f>IFERROR(DG46/SUM($D46:$DS46),0)</x:f>
      </x:c>
      <x:c r="DH47" s="35" t="n">
        <x:f>IFERROR(DH46/SUM($D46:$DS46),0)</x:f>
      </x:c>
      <x:c r="DI47" s="35" t="n">
        <x:f>IFERROR(DI46/SUM($D46:$DS46),0)</x:f>
      </x:c>
      <x:c r="DJ47" s="35" t="n">
        <x:f>IFERROR(DJ46/SUM($D46:$DS46),0)</x:f>
      </x:c>
      <x:c r="DK47" s="35" t="n">
        <x:f>IFERROR(DK46/SUM($D46:$DS46),0)</x:f>
      </x:c>
      <x:c r="DL47" s="35" t="n">
        <x:f>IFERROR(DL46/SUM($D46:$DS46),0)</x:f>
      </x:c>
      <x:c r="DM47" s="35" t="n">
        <x:f>IFERROR(DM46/SUM($D46:$DS46),0)</x:f>
      </x:c>
      <x:c r="DN47" s="35" t="n">
        <x:f>IFERROR(DN46/SUM($D46:$DS46),0)</x:f>
      </x:c>
      <x:c r="DO47" s="35" t="n">
        <x:f>IFERROR(DO46/SUM($D46:$DS46),0)</x:f>
      </x:c>
      <x:c r="DP47" s="35" t="n">
        <x:f>IFERROR(DP46/SUM($D46:$DS46),0)</x:f>
      </x:c>
      <x:c r="DQ47" s="35" t="n">
        <x:f>IFERROR(DQ46/SUM($D46:$DS46),0)</x:f>
      </x:c>
      <x:c r="DR47" s="35" t="n">
        <x:f>IFERROR(DR46/SUM($D46:$DS46),0)</x:f>
      </x:c>
      <x:c r="DS47" s="35" t="n">
        <x:f>IFERROR(DS46/SUM($D46:$DS46),0)</x:f>
      </x:c>
    </x:row>
    <x:row r="48">
      <x:c r="A48" t="str">
        <x:v>Покупка / цена входа</x:v>
      </x:c>
      <x:c r="B48" s="107" t="n">
        <x:f>'Вводные'!$B$15*'Вводные'!$P$89*--('Вводные'!$B$89="Да")</x:f>
      </x:c>
      <x:c r="C48" t="str">
        <x:v>млн ₽</x:v>
      </x:c>
      <x:c r="D48" s="117" t="n">
        <x:f>IF(AND(YEAR(D$3)=YEAR(EDATE('Вводные'!$D$89,'Вводные'!$H$9)),MONTH(D$3)=MONTH(EDATE('Вводные'!$D$89,'Вводные'!$H$9))),$B$48,0)</x:f>
      </x:c>
      <x:c r="E48" s="117" t="n">
        <x:f>IF(AND(YEAR(E$3)=YEAR(EDATE('Вводные'!$D$89,'Вводные'!$H$9)),MONTH(E$3)=MONTH(EDATE('Вводные'!$D$89,'Вводные'!$H$9))),$B$48,0)</x:f>
      </x:c>
      <x:c r="F48" s="117" t="n">
        <x:f>IF(AND(YEAR(F$3)=YEAR(EDATE('Вводные'!$D$89,'Вводные'!$H$9)),MONTH(F$3)=MONTH(EDATE('Вводные'!$D$89,'Вводные'!$H$9))),$B$48,0)</x:f>
      </x:c>
      <x:c r="G48" s="117" t="n">
        <x:f>IF(AND(YEAR(G$3)=YEAR(EDATE('Вводные'!$D$89,'Вводные'!$H$9)),MONTH(G$3)=MONTH(EDATE('Вводные'!$D$89,'Вводные'!$H$9))),$B$48,0)</x:f>
      </x:c>
      <x:c r="H48" s="117" t="n">
        <x:f>IF(AND(YEAR(H$3)=YEAR(EDATE('Вводные'!$D$89,'Вводные'!$H$9)),MONTH(H$3)=MONTH(EDATE('Вводные'!$D$89,'Вводные'!$H$9))),$B$48,0)</x:f>
      </x:c>
      <x:c r="I48" s="117" t="n">
        <x:f>IF(AND(YEAR(I$3)=YEAR(EDATE('Вводные'!$D$89,'Вводные'!$H$9)),MONTH(I$3)=MONTH(EDATE('Вводные'!$D$89,'Вводные'!$H$9))),$B$48,0)</x:f>
      </x:c>
      <x:c r="J48" s="117" t="n">
        <x:f>IF(AND(YEAR(J$3)=YEAR(EDATE('Вводные'!$D$89,'Вводные'!$H$9)),MONTH(J$3)=MONTH(EDATE('Вводные'!$D$89,'Вводные'!$H$9))),$B$48,0)</x:f>
      </x:c>
      <x:c r="K48" s="117" t="n">
        <x:f>IF(AND(YEAR(K$3)=YEAR(EDATE('Вводные'!$D$89,'Вводные'!$H$9)),MONTH(K$3)=MONTH(EDATE('Вводные'!$D$89,'Вводные'!$H$9))),$B$48,0)</x:f>
      </x:c>
      <x:c r="L48" s="117" t="n">
        <x:f>IF(AND(YEAR(L$3)=YEAR(EDATE('Вводные'!$D$89,'Вводные'!$H$9)),MONTH(L$3)=MONTH(EDATE('Вводные'!$D$89,'Вводные'!$H$9))),$B$48,0)</x:f>
      </x:c>
      <x:c r="M48" s="117" t="n">
        <x:f>IF(AND(YEAR(M$3)=YEAR(EDATE('Вводные'!$D$89,'Вводные'!$H$9)),MONTH(M$3)=MONTH(EDATE('Вводные'!$D$89,'Вводные'!$H$9))),$B$48,0)</x:f>
      </x:c>
      <x:c r="N48" s="117" t="n">
        <x:f>IF(AND(YEAR(N$3)=YEAR(EDATE('Вводные'!$D$89,'Вводные'!$H$9)),MONTH(N$3)=MONTH(EDATE('Вводные'!$D$89,'Вводные'!$H$9))),$B$48,0)</x:f>
      </x:c>
      <x:c r="O48" s="117" t="n">
        <x:f>IF(AND(YEAR(O$3)=YEAR(EDATE('Вводные'!$D$89,'Вводные'!$H$9)),MONTH(O$3)=MONTH(EDATE('Вводные'!$D$89,'Вводные'!$H$9))),$B$48,0)</x:f>
      </x:c>
      <x:c r="P48" s="117" t="n">
        <x:f>IF(AND(YEAR(P$3)=YEAR(EDATE('Вводные'!$D$89,'Вводные'!$H$9)),MONTH(P$3)=MONTH(EDATE('Вводные'!$D$89,'Вводные'!$H$9))),$B$48,0)</x:f>
      </x:c>
      <x:c r="Q48" s="117" t="n">
        <x:f>IF(AND(YEAR(Q$3)=YEAR(EDATE('Вводные'!$D$89,'Вводные'!$H$9)),MONTH(Q$3)=MONTH(EDATE('Вводные'!$D$89,'Вводные'!$H$9))),$B$48,0)</x:f>
      </x:c>
      <x:c r="R48" s="117" t="n">
        <x:f>IF(AND(YEAR(R$3)=YEAR(EDATE('Вводные'!$D$89,'Вводные'!$H$9)),MONTH(R$3)=MONTH(EDATE('Вводные'!$D$89,'Вводные'!$H$9))),$B$48,0)</x:f>
      </x:c>
      <x:c r="S48" s="117" t="n">
        <x:f>IF(AND(YEAR(S$3)=YEAR(EDATE('Вводные'!$D$89,'Вводные'!$H$9)),MONTH(S$3)=MONTH(EDATE('Вводные'!$D$89,'Вводные'!$H$9))),$B$48,0)</x:f>
      </x:c>
      <x:c r="T48" s="117" t="n">
        <x:f>IF(AND(YEAR(T$3)=YEAR(EDATE('Вводные'!$D$89,'Вводные'!$H$9)),MONTH(T$3)=MONTH(EDATE('Вводные'!$D$89,'Вводные'!$H$9))),$B$48,0)</x:f>
      </x:c>
      <x:c r="U48" s="117" t="n">
        <x:f>IF(AND(YEAR(U$3)=YEAR(EDATE('Вводные'!$D$89,'Вводные'!$H$9)),MONTH(U$3)=MONTH(EDATE('Вводные'!$D$89,'Вводные'!$H$9))),$B$48,0)</x:f>
      </x:c>
      <x:c r="V48" s="117" t="n">
        <x:f>IF(AND(YEAR(V$3)=YEAR(EDATE('Вводные'!$D$89,'Вводные'!$H$9)),MONTH(V$3)=MONTH(EDATE('Вводные'!$D$89,'Вводные'!$H$9))),$B$48,0)</x:f>
      </x:c>
      <x:c r="W48" s="117" t="n">
        <x:f>IF(AND(YEAR(W$3)=YEAR(EDATE('Вводные'!$D$89,'Вводные'!$H$9)),MONTH(W$3)=MONTH(EDATE('Вводные'!$D$89,'Вводные'!$H$9))),$B$48,0)</x:f>
      </x:c>
      <x:c r="X48" s="117" t="n">
        <x:f>IF(AND(YEAR(X$3)=YEAR(EDATE('Вводные'!$D$89,'Вводные'!$H$9)),MONTH(X$3)=MONTH(EDATE('Вводные'!$D$89,'Вводные'!$H$9))),$B$48,0)</x:f>
      </x:c>
      <x:c r="Y48" s="117" t="n">
        <x:f>IF(AND(YEAR(Y$3)=YEAR(EDATE('Вводные'!$D$89,'Вводные'!$H$9)),MONTH(Y$3)=MONTH(EDATE('Вводные'!$D$89,'Вводные'!$H$9))),$B$48,0)</x:f>
      </x:c>
      <x:c r="Z48" s="117" t="n">
        <x:f>IF(AND(YEAR(Z$3)=YEAR(EDATE('Вводные'!$D$89,'Вводные'!$H$9)),MONTH(Z$3)=MONTH(EDATE('Вводные'!$D$89,'Вводные'!$H$9))),$B$48,0)</x:f>
      </x:c>
      <x:c r="AA48" s="117" t="n">
        <x:f>IF(AND(YEAR(AA$3)=YEAR(EDATE('Вводные'!$D$89,'Вводные'!$H$9)),MONTH(AA$3)=MONTH(EDATE('Вводные'!$D$89,'Вводные'!$H$9))),$B$48,0)</x:f>
      </x:c>
      <x:c r="AB48" s="117" t="n">
        <x:f>IF(AND(YEAR(AB$3)=YEAR(EDATE('Вводные'!$D$89,'Вводные'!$H$9)),MONTH(AB$3)=MONTH(EDATE('Вводные'!$D$89,'Вводные'!$H$9))),$B$48,0)</x:f>
      </x:c>
      <x:c r="AC48" s="117" t="n">
        <x:f>IF(AND(YEAR(AC$3)=YEAR(EDATE('Вводные'!$D$89,'Вводные'!$H$9)),MONTH(AC$3)=MONTH(EDATE('Вводные'!$D$89,'Вводные'!$H$9))),$B$48,0)</x:f>
      </x:c>
      <x:c r="AD48" s="117" t="n">
        <x:f>IF(AND(YEAR(AD$3)=YEAR(EDATE('Вводные'!$D$89,'Вводные'!$H$9)),MONTH(AD$3)=MONTH(EDATE('Вводные'!$D$89,'Вводные'!$H$9))),$B$48,0)</x:f>
      </x:c>
      <x:c r="AE48" s="117" t="n">
        <x:f>IF(AND(YEAR(AE$3)=YEAR(EDATE('Вводные'!$D$89,'Вводные'!$H$9)),MONTH(AE$3)=MONTH(EDATE('Вводные'!$D$89,'Вводные'!$H$9))),$B$48,0)</x:f>
      </x:c>
      <x:c r="AF48" s="117" t="n">
        <x:f>IF(AND(YEAR(AF$3)=YEAR(EDATE('Вводные'!$D$89,'Вводные'!$H$9)),MONTH(AF$3)=MONTH(EDATE('Вводные'!$D$89,'Вводные'!$H$9))),$B$48,0)</x:f>
      </x:c>
      <x:c r="AG48" s="117" t="n">
        <x:f>IF(AND(YEAR(AG$3)=YEAR(EDATE('Вводные'!$D$89,'Вводные'!$H$9)),MONTH(AG$3)=MONTH(EDATE('Вводные'!$D$89,'Вводные'!$H$9))),$B$48,0)</x:f>
      </x:c>
      <x:c r="AH48" s="117" t="n">
        <x:f>IF(AND(YEAR(AH$3)=YEAR(EDATE('Вводные'!$D$89,'Вводные'!$H$9)),MONTH(AH$3)=MONTH(EDATE('Вводные'!$D$89,'Вводные'!$H$9))),$B$48,0)</x:f>
      </x:c>
      <x:c r="AI48" s="117" t="n">
        <x:f>IF(AND(YEAR(AI$3)=YEAR(EDATE('Вводные'!$D$89,'Вводные'!$H$9)),MONTH(AI$3)=MONTH(EDATE('Вводные'!$D$89,'Вводные'!$H$9))),$B$48,0)</x:f>
      </x:c>
      <x:c r="AJ48" s="117" t="n">
        <x:f>IF(AND(YEAR(AJ$3)=YEAR(EDATE('Вводные'!$D$89,'Вводные'!$H$9)),MONTH(AJ$3)=MONTH(EDATE('Вводные'!$D$89,'Вводные'!$H$9))),$B$48,0)</x:f>
      </x:c>
      <x:c r="AK48" s="117" t="n">
        <x:f>IF(AND(YEAR(AK$3)=YEAR(EDATE('Вводные'!$D$89,'Вводные'!$H$9)),MONTH(AK$3)=MONTH(EDATE('Вводные'!$D$89,'Вводные'!$H$9))),$B$48,0)</x:f>
      </x:c>
      <x:c r="AL48" s="117" t="n">
        <x:f>IF(AND(YEAR(AL$3)=YEAR(EDATE('Вводные'!$D$89,'Вводные'!$H$9)),MONTH(AL$3)=MONTH(EDATE('Вводные'!$D$89,'Вводные'!$H$9))),$B$48,0)</x:f>
      </x:c>
      <x:c r="AM48" s="117" t="n">
        <x:f>IF(AND(YEAR(AM$3)=YEAR(EDATE('Вводные'!$D$89,'Вводные'!$H$9)),MONTH(AM$3)=MONTH(EDATE('Вводные'!$D$89,'Вводные'!$H$9))),$B$48,0)</x:f>
      </x:c>
      <x:c r="AN48" s="117" t="n">
        <x:f>IF(AND(YEAR(AN$3)=YEAR(EDATE('Вводные'!$D$89,'Вводные'!$H$9)),MONTH(AN$3)=MONTH(EDATE('Вводные'!$D$89,'Вводные'!$H$9))),$B$48,0)</x:f>
      </x:c>
      <x:c r="AO48" s="117" t="n">
        <x:f>IF(AND(YEAR(AO$3)=YEAR(EDATE('Вводные'!$D$89,'Вводные'!$H$9)),MONTH(AO$3)=MONTH(EDATE('Вводные'!$D$89,'Вводные'!$H$9))),$B$48,0)</x:f>
      </x:c>
      <x:c r="AP48" s="117" t="n">
        <x:f>IF(AND(YEAR(AP$3)=YEAR(EDATE('Вводные'!$D$89,'Вводные'!$H$9)),MONTH(AP$3)=MONTH(EDATE('Вводные'!$D$89,'Вводные'!$H$9))),$B$48,0)</x:f>
      </x:c>
      <x:c r="AQ48" s="117" t="n">
        <x:f>IF(AND(YEAR(AQ$3)=YEAR(EDATE('Вводные'!$D$89,'Вводные'!$H$9)),MONTH(AQ$3)=MONTH(EDATE('Вводные'!$D$89,'Вводные'!$H$9))),$B$48,0)</x:f>
      </x:c>
      <x:c r="AR48" s="117" t="n">
        <x:f>IF(AND(YEAR(AR$3)=YEAR(EDATE('Вводные'!$D$89,'Вводные'!$H$9)),MONTH(AR$3)=MONTH(EDATE('Вводные'!$D$89,'Вводные'!$H$9))),$B$48,0)</x:f>
      </x:c>
      <x:c r="AS48" s="117" t="n">
        <x:f>IF(AND(YEAR(AS$3)=YEAR(EDATE('Вводные'!$D$89,'Вводные'!$H$9)),MONTH(AS$3)=MONTH(EDATE('Вводные'!$D$89,'Вводные'!$H$9))),$B$48,0)</x:f>
      </x:c>
      <x:c r="AT48" s="117" t="n">
        <x:f>IF(AND(YEAR(AT$3)=YEAR(EDATE('Вводные'!$D$89,'Вводные'!$H$9)),MONTH(AT$3)=MONTH(EDATE('Вводные'!$D$89,'Вводные'!$H$9))),$B$48,0)</x:f>
      </x:c>
      <x:c r="AU48" s="117" t="n">
        <x:f>IF(AND(YEAR(AU$3)=YEAR(EDATE('Вводные'!$D$89,'Вводные'!$H$9)),MONTH(AU$3)=MONTH(EDATE('Вводные'!$D$89,'Вводные'!$H$9))),$B$48,0)</x:f>
      </x:c>
      <x:c r="AV48" s="117" t="n">
        <x:f>IF(AND(YEAR(AV$3)=YEAR(EDATE('Вводные'!$D$89,'Вводные'!$H$9)),MONTH(AV$3)=MONTH(EDATE('Вводные'!$D$89,'Вводные'!$H$9))),$B$48,0)</x:f>
      </x:c>
      <x:c r="AW48" s="117" t="n">
        <x:f>IF(AND(YEAR(AW$3)=YEAR(EDATE('Вводные'!$D$89,'Вводные'!$H$9)),MONTH(AW$3)=MONTH(EDATE('Вводные'!$D$89,'Вводные'!$H$9))),$B$48,0)</x:f>
      </x:c>
      <x:c r="AX48" s="117" t="n">
        <x:f>IF(AND(YEAR(AX$3)=YEAR(EDATE('Вводные'!$D$89,'Вводные'!$H$9)),MONTH(AX$3)=MONTH(EDATE('Вводные'!$D$89,'Вводные'!$H$9))),$B$48,0)</x:f>
      </x:c>
      <x:c r="AY48" s="117" t="n">
        <x:f>IF(AND(YEAR(AY$3)=YEAR(EDATE('Вводные'!$D$89,'Вводные'!$H$9)),MONTH(AY$3)=MONTH(EDATE('Вводные'!$D$89,'Вводные'!$H$9))),$B$48,0)</x:f>
      </x:c>
      <x:c r="AZ48" s="117" t="n">
        <x:f>IF(AND(YEAR(AZ$3)=YEAR(EDATE('Вводные'!$D$89,'Вводные'!$H$9)),MONTH(AZ$3)=MONTH(EDATE('Вводные'!$D$89,'Вводные'!$H$9))),$B$48,0)</x:f>
      </x:c>
      <x:c r="BA48" s="117" t="n">
        <x:f>IF(AND(YEAR(BA$3)=YEAR(EDATE('Вводные'!$D$89,'Вводные'!$H$9)),MONTH(BA$3)=MONTH(EDATE('Вводные'!$D$89,'Вводные'!$H$9))),$B$48,0)</x:f>
      </x:c>
      <x:c r="BB48" s="117" t="n">
        <x:f>IF(AND(YEAR(BB$3)=YEAR(EDATE('Вводные'!$D$89,'Вводные'!$H$9)),MONTH(BB$3)=MONTH(EDATE('Вводные'!$D$89,'Вводные'!$H$9))),$B$48,0)</x:f>
      </x:c>
      <x:c r="BC48" s="117" t="n">
        <x:f>IF(AND(YEAR(BC$3)=YEAR(EDATE('Вводные'!$D$89,'Вводные'!$H$9)),MONTH(BC$3)=MONTH(EDATE('Вводные'!$D$89,'Вводные'!$H$9))),$B$48,0)</x:f>
      </x:c>
      <x:c r="BD48" s="117" t="n">
        <x:f>IF(AND(YEAR(BD$3)=YEAR(EDATE('Вводные'!$D$89,'Вводные'!$H$9)),MONTH(BD$3)=MONTH(EDATE('Вводные'!$D$89,'Вводные'!$H$9))),$B$48,0)</x:f>
      </x:c>
      <x:c r="BE48" s="117" t="n">
        <x:f>IF(AND(YEAR(BE$3)=YEAR(EDATE('Вводные'!$D$89,'Вводные'!$H$9)),MONTH(BE$3)=MONTH(EDATE('Вводные'!$D$89,'Вводные'!$H$9))),$B$48,0)</x:f>
      </x:c>
      <x:c r="BF48" s="117" t="n">
        <x:f>IF(AND(YEAR(BF$3)=YEAR(EDATE('Вводные'!$D$89,'Вводные'!$H$9)),MONTH(BF$3)=MONTH(EDATE('Вводные'!$D$89,'Вводные'!$H$9))),$B$48,0)</x:f>
      </x:c>
      <x:c r="BG48" s="117" t="n">
        <x:f>IF(AND(YEAR(BG$3)=YEAR(EDATE('Вводные'!$D$89,'Вводные'!$H$9)),MONTH(BG$3)=MONTH(EDATE('Вводные'!$D$89,'Вводные'!$H$9))),$B$48,0)</x:f>
      </x:c>
      <x:c r="BH48" s="117" t="n">
        <x:f>IF(AND(YEAR(BH$3)=YEAR(EDATE('Вводные'!$D$89,'Вводные'!$H$9)),MONTH(BH$3)=MONTH(EDATE('Вводные'!$D$89,'Вводные'!$H$9))),$B$48,0)</x:f>
      </x:c>
      <x:c r="BI48" s="117" t="n">
        <x:f>IF(AND(YEAR(BI$3)=YEAR(EDATE('Вводные'!$D$89,'Вводные'!$H$9)),MONTH(BI$3)=MONTH(EDATE('Вводные'!$D$89,'Вводные'!$H$9))),$B$48,0)</x:f>
      </x:c>
      <x:c r="BJ48" s="117" t="n">
        <x:f>IF(AND(YEAR(BJ$3)=YEAR(EDATE('Вводные'!$D$89,'Вводные'!$H$9)),MONTH(BJ$3)=MONTH(EDATE('Вводные'!$D$89,'Вводные'!$H$9))),$B$48,0)</x:f>
      </x:c>
      <x:c r="BK48" s="117" t="n">
        <x:f>IF(AND(YEAR(BK$3)=YEAR(EDATE('Вводные'!$D$89,'Вводные'!$H$9)),MONTH(BK$3)=MONTH(EDATE('Вводные'!$D$89,'Вводные'!$H$9))),$B$48,0)</x:f>
      </x:c>
      <x:c r="BL48" s="117" t="n">
        <x:f>IF(AND(YEAR(BL$3)=YEAR(EDATE('Вводные'!$D$89,'Вводные'!$H$9)),MONTH(BL$3)=MONTH(EDATE('Вводные'!$D$89,'Вводные'!$H$9))),$B$48,0)</x:f>
      </x:c>
      <x:c r="BM48" s="117" t="n">
        <x:f>IF(AND(YEAR(BM$3)=YEAR(EDATE('Вводные'!$D$89,'Вводные'!$H$9)),MONTH(BM$3)=MONTH(EDATE('Вводные'!$D$89,'Вводные'!$H$9))),$B$48,0)</x:f>
      </x:c>
      <x:c r="BN48" s="117" t="n">
        <x:f>IF(AND(YEAR(BN$3)=YEAR(EDATE('Вводные'!$D$89,'Вводные'!$H$9)),MONTH(BN$3)=MONTH(EDATE('Вводные'!$D$89,'Вводные'!$H$9))),$B$48,0)</x:f>
      </x:c>
      <x:c r="BO48" s="117" t="n">
        <x:f>IF(AND(YEAR(BO$3)=YEAR(EDATE('Вводные'!$D$89,'Вводные'!$H$9)),MONTH(BO$3)=MONTH(EDATE('Вводные'!$D$89,'Вводные'!$H$9))),$B$48,0)</x:f>
      </x:c>
      <x:c r="BP48" s="117" t="n">
        <x:f>IF(AND(YEAR(BP$3)=YEAR(EDATE('Вводные'!$D$89,'Вводные'!$H$9)),MONTH(BP$3)=MONTH(EDATE('Вводные'!$D$89,'Вводные'!$H$9))),$B$48,0)</x:f>
      </x:c>
      <x:c r="BQ48" s="117" t="n">
        <x:f>IF(AND(YEAR(BQ$3)=YEAR(EDATE('Вводные'!$D$89,'Вводные'!$H$9)),MONTH(BQ$3)=MONTH(EDATE('Вводные'!$D$89,'Вводные'!$H$9))),$B$48,0)</x:f>
      </x:c>
      <x:c r="BR48" s="117" t="n">
        <x:f>IF(AND(YEAR(BR$3)=YEAR(EDATE('Вводные'!$D$89,'Вводные'!$H$9)),MONTH(BR$3)=MONTH(EDATE('Вводные'!$D$89,'Вводные'!$H$9))),$B$48,0)</x:f>
      </x:c>
      <x:c r="BS48" s="117" t="n">
        <x:f>IF(AND(YEAR(BS$3)=YEAR(EDATE('Вводные'!$D$89,'Вводные'!$H$9)),MONTH(BS$3)=MONTH(EDATE('Вводные'!$D$89,'Вводные'!$H$9))),$B$48,0)</x:f>
      </x:c>
      <x:c r="BT48" s="117" t="n">
        <x:f>IF(AND(YEAR(BT$3)=YEAR(EDATE('Вводные'!$D$89,'Вводные'!$H$9)),MONTH(BT$3)=MONTH(EDATE('Вводные'!$D$89,'Вводные'!$H$9))),$B$48,0)</x:f>
      </x:c>
      <x:c r="BU48" s="117" t="n">
        <x:f>IF(AND(YEAR(BU$3)=YEAR(EDATE('Вводные'!$D$89,'Вводные'!$H$9)),MONTH(BU$3)=MONTH(EDATE('Вводные'!$D$89,'Вводные'!$H$9))),$B$48,0)</x:f>
      </x:c>
      <x:c r="BV48" s="117" t="n">
        <x:f>IF(AND(YEAR(BV$3)=YEAR(EDATE('Вводные'!$D$89,'Вводные'!$H$9)),MONTH(BV$3)=MONTH(EDATE('Вводные'!$D$89,'Вводные'!$H$9))),$B$48,0)</x:f>
      </x:c>
      <x:c r="BW48" s="117" t="n">
        <x:f>IF(AND(YEAR(BW$3)=YEAR(EDATE('Вводные'!$D$89,'Вводные'!$H$9)),MONTH(BW$3)=MONTH(EDATE('Вводные'!$D$89,'Вводные'!$H$9))),$B$48,0)</x:f>
      </x:c>
      <x:c r="BX48" s="117" t="n">
        <x:f>IF(AND(YEAR(BX$3)=YEAR(EDATE('Вводные'!$D$89,'Вводные'!$H$9)),MONTH(BX$3)=MONTH(EDATE('Вводные'!$D$89,'Вводные'!$H$9))),$B$48,0)</x:f>
      </x:c>
      <x:c r="BY48" s="117" t="n">
        <x:f>IF(AND(YEAR(BY$3)=YEAR(EDATE('Вводные'!$D$89,'Вводные'!$H$9)),MONTH(BY$3)=MONTH(EDATE('Вводные'!$D$89,'Вводные'!$H$9))),$B$48,0)</x:f>
      </x:c>
      <x:c r="BZ48" s="117" t="n">
        <x:f>IF(AND(YEAR(BZ$3)=YEAR(EDATE('Вводные'!$D$89,'Вводные'!$H$9)),MONTH(BZ$3)=MONTH(EDATE('Вводные'!$D$89,'Вводные'!$H$9))),$B$48,0)</x:f>
      </x:c>
      <x:c r="CA48" s="117" t="n">
        <x:f>IF(AND(YEAR(CA$3)=YEAR(EDATE('Вводные'!$D$89,'Вводные'!$H$9)),MONTH(CA$3)=MONTH(EDATE('Вводные'!$D$89,'Вводные'!$H$9))),$B$48,0)</x:f>
      </x:c>
      <x:c r="CB48" s="117" t="n">
        <x:f>IF(AND(YEAR(CB$3)=YEAR(EDATE('Вводные'!$D$89,'Вводные'!$H$9)),MONTH(CB$3)=MONTH(EDATE('Вводные'!$D$89,'Вводные'!$H$9))),$B$48,0)</x:f>
      </x:c>
      <x:c r="CC48" s="117" t="n">
        <x:f>IF(AND(YEAR(CC$3)=YEAR(EDATE('Вводные'!$D$89,'Вводные'!$H$9)),MONTH(CC$3)=MONTH(EDATE('Вводные'!$D$89,'Вводные'!$H$9))),$B$48,0)</x:f>
      </x:c>
      <x:c r="CD48" s="117" t="n">
        <x:f>IF(AND(YEAR(CD$3)=YEAR(EDATE('Вводные'!$D$89,'Вводные'!$H$9)),MONTH(CD$3)=MONTH(EDATE('Вводные'!$D$89,'Вводные'!$H$9))),$B$48,0)</x:f>
      </x:c>
      <x:c r="CE48" s="117" t="n">
        <x:f>IF(AND(YEAR(CE$3)=YEAR(EDATE('Вводные'!$D$89,'Вводные'!$H$9)),MONTH(CE$3)=MONTH(EDATE('Вводные'!$D$89,'Вводные'!$H$9))),$B$48,0)</x:f>
      </x:c>
      <x:c r="CF48" s="117" t="n">
        <x:f>IF(AND(YEAR(CF$3)=YEAR(EDATE('Вводные'!$D$89,'Вводные'!$H$9)),MONTH(CF$3)=MONTH(EDATE('Вводные'!$D$89,'Вводные'!$H$9))),$B$48,0)</x:f>
      </x:c>
      <x:c r="CG48" s="117" t="n">
        <x:f>IF(AND(YEAR(CG$3)=YEAR(EDATE('Вводные'!$D$89,'Вводные'!$H$9)),MONTH(CG$3)=MONTH(EDATE('Вводные'!$D$89,'Вводные'!$H$9))),$B$48,0)</x:f>
      </x:c>
      <x:c r="CH48" s="117" t="n">
        <x:f>IF(AND(YEAR(CH$3)=YEAR(EDATE('Вводные'!$D$89,'Вводные'!$H$9)),MONTH(CH$3)=MONTH(EDATE('Вводные'!$D$89,'Вводные'!$H$9))),$B$48,0)</x:f>
      </x:c>
      <x:c r="CI48" s="117" t="n">
        <x:f>IF(AND(YEAR(CI$3)=YEAR(EDATE('Вводные'!$D$89,'Вводные'!$H$9)),MONTH(CI$3)=MONTH(EDATE('Вводные'!$D$89,'Вводные'!$H$9))),$B$48,0)</x:f>
      </x:c>
      <x:c r="CJ48" s="117" t="n">
        <x:f>IF(AND(YEAR(CJ$3)=YEAR(EDATE('Вводные'!$D$89,'Вводные'!$H$9)),MONTH(CJ$3)=MONTH(EDATE('Вводные'!$D$89,'Вводные'!$H$9))),$B$48,0)</x:f>
      </x:c>
      <x:c r="CK48" s="117" t="n">
        <x:f>IF(AND(YEAR(CK$3)=YEAR(EDATE('Вводные'!$D$89,'Вводные'!$H$9)),MONTH(CK$3)=MONTH(EDATE('Вводные'!$D$89,'Вводные'!$H$9))),$B$48,0)</x:f>
      </x:c>
      <x:c r="CL48" s="117" t="n">
        <x:f>IF(AND(YEAR(CL$3)=YEAR(EDATE('Вводные'!$D$89,'Вводные'!$H$9)),MONTH(CL$3)=MONTH(EDATE('Вводные'!$D$89,'Вводные'!$H$9))),$B$48,0)</x:f>
      </x:c>
      <x:c r="CM48" s="117" t="n">
        <x:f>IF(AND(YEAR(CM$3)=YEAR(EDATE('Вводные'!$D$89,'Вводные'!$H$9)),MONTH(CM$3)=MONTH(EDATE('Вводные'!$D$89,'Вводные'!$H$9))),$B$48,0)</x:f>
      </x:c>
      <x:c r="CN48" s="117" t="n">
        <x:f>IF(AND(YEAR(CN$3)=YEAR(EDATE('Вводные'!$D$89,'Вводные'!$H$9)),MONTH(CN$3)=MONTH(EDATE('Вводные'!$D$89,'Вводные'!$H$9))),$B$48,0)</x:f>
      </x:c>
      <x:c r="CO48" s="117" t="n">
        <x:f>IF(AND(YEAR(CO$3)=YEAR(EDATE('Вводные'!$D$89,'Вводные'!$H$9)),MONTH(CO$3)=MONTH(EDATE('Вводные'!$D$89,'Вводные'!$H$9))),$B$48,0)</x:f>
      </x:c>
      <x:c r="CP48" s="117" t="n">
        <x:f>IF(AND(YEAR(CP$3)=YEAR(EDATE('Вводные'!$D$89,'Вводные'!$H$9)),MONTH(CP$3)=MONTH(EDATE('Вводные'!$D$89,'Вводные'!$H$9))),$B$48,0)</x:f>
      </x:c>
      <x:c r="CQ48" s="117" t="n">
        <x:f>IF(AND(YEAR(CQ$3)=YEAR(EDATE('Вводные'!$D$89,'Вводные'!$H$9)),MONTH(CQ$3)=MONTH(EDATE('Вводные'!$D$89,'Вводные'!$H$9))),$B$48,0)</x:f>
      </x:c>
      <x:c r="CR48" s="117" t="n">
        <x:f>IF(AND(YEAR(CR$3)=YEAR(EDATE('Вводные'!$D$89,'Вводные'!$H$9)),MONTH(CR$3)=MONTH(EDATE('Вводные'!$D$89,'Вводные'!$H$9))),$B$48,0)</x:f>
      </x:c>
      <x:c r="CS48" s="117" t="n">
        <x:f>IF(AND(YEAR(CS$3)=YEAR(EDATE('Вводные'!$D$89,'Вводные'!$H$9)),MONTH(CS$3)=MONTH(EDATE('Вводные'!$D$89,'Вводные'!$H$9))),$B$48,0)</x:f>
      </x:c>
      <x:c r="CT48" s="117" t="n">
        <x:f>IF(AND(YEAR(CT$3)=YEAR(EDATE('Вводные'!$D$89,'Вводные'!$H$9)),MONTH(CT$3)=MONTH(EDATE('Вводные'!$D$89,'Вводные'!$H$9))),$B$48,0)</x:f>
      </x:c>
      <x:c r="CU48" s="117" t="n">
        <x:f>IF(AND(YEAR(CU$3)=YEAR(EDATE('Вводные'!$D$89,'Вводные'!$H$9)),MONTH(CU$3)=MONTH(EDATE('Вводные'!$D$89,'Вводные'!$H$9))),$B$48,0)</x:f>
      </x:c>
      <x:c r="CV48" s="117" t="n">
        <x:f>IF(AND(YEAR(CV$3)=YEAR(EDATE('Вводные'!$D$89,'Вводные'!$H$9)),MONTH(CV$3)=MONTH(EDATE('Вводные'!$D$89,'Вводные'!$H$9))),$B$48,0)</x:f>
      </x:c>
      <x:c r="CW48" s="117" t="n">
        <x:f>IF(AND(YEAR(CW$3)=YEAR(EDATE('Вводные'!$D$89,'Вводные'!$H$9)),MONTH(CW$3)=MONTH(EDATE('Вводные'!$D$89,'Вводные'!$H$9))),$B$48,0)</x:f>
      </x:c>
      <x:c r="CX48" s="117" t="n">
        <x:f>IF(AND(YEAR(CX$3)=YEAR(EDATE('Вводные'!$D$89,'Вводные'!$H$9)),MONTH(CX$3)=MONTH(EDATE('Вводные'!$D$89,'Вводные'!$H$9))),$B$48,0)</x:f>
      </x:c>
      <x:c r="CY48" s="117" t="n">
        <x:f>IF(AND(YEAR(CY$3)=YEAR(EDATE('Вводные'!$D$89,'Вводные'!$H$9)),MONTH(CY$3)=MONTH(EDATE('Вводные'!$D$89,'Вводные'!$H$9))),$B$48,0)</x:f>
      </x:c>
      <x:c r="CZ48" s="117" t="n">
        <x:f>IF(AND(YEAR(CZ$3)=YEAR(EDATE('Вводные'!$D$89,'Вводные'!$H$9)),MONTH(CZ$3)=MONTH(EDATE('Вводные'!$D$89,'Вводные'!$H$9))),$B$48,0)</x:f>
      </x:c>
      <x:c r="DA48" s="117" t="n">
        <x:f>IF(AND(YEAR(DA$3)=YEAR(EDATE('Вводные'!$D$89,'Вводные'!$H$9)),MONTH(DA$3)=MONTH(EDATE('Вводные'!$D$89,'Вводные'!$H$9))),$B$48,0)</x:f>
      </x:c>
      <x:c r="DB48" s="117" t="n">
        <x:f>IF(AND(YEAR(DB$3)=YEAR(EDATE('Вводные'!$D$89,'Вводные'!$H$9)),MONTH(DB$3)=MONTH(EDATE('Вводные'!$D$89,'Вводные'!$H$9))),$B$48,0)</x:f>
      </x:c>
      <x:c r="DC48" s="117" t="n">
        <x:f>IF(AND(YEAR(DC$3)=YEAR(EDATE('Вводные'!$D$89,'Вводные'!$H$9)),MONTH(DC$3)=MONTH(EDATE('Вводные'!$D$89,'Вводные'!$H$9))),$B$48,0)</x:f>
      </x:c>
      <x:c r="DD48" s="117" t="n">
        <x:f>IF(AND(YEAR(DD$3)=YEAR(EDATE('Вводные'!$D$89,'Вводные'!$H$9)),MONTH(DD$3)=MONTH(EDATE('Вводные'!$D$89,'Вводные'!$H$9))),$B$48,0)</x:f>
      </x:c>
      <x:c r="DE48" s="117" t="n">
        <x:f>IF(AND(YEAR(DE$3)=YEAR(EDATE('Вводные'!$D$89,'Вводные'!$H$9)),MONTH(DE$3)=MONTH(EDATE('Вводные'!$D$89,'Вводные'!$H$9))),$B$48,0)</x:f>
      </x:c>
      <x:c r="DF48" s="117" t="n">
        <x:f>IF(AND(YEAR(DF$3)=YEAR(EDATE('Вводные'!$D$89,'Вводные'!$H$9)),MONTH(DF$3)=MONTH(EDATE('Вводные'!$D$89,'Вводные'!$H$9))),$B$48,0)</x:f>
      </x:c>
      <x:c r="DG48" s="117" t="n">
        <x:f>IF(AND(YEAR(DG$3)=YEAR(EDATE('Вводные'!$D$89,'Вводные'!$H$9)),MONTH(DG$3)=MONTH(EDATE('Вводные'!$D$89,'Вводные'!$H$9))),$B$48,0)</x:f>
      </x:c>
      <x:c r="DH48" s="117" t="n">
        <x:f>IF(AND(YEAR(DH$3)=YEAR(EDATE('Вводные'!$D$89,'Вводные'!$H$9)),MONTH(DH$3)=MONTH(EDATE('Вводные'!$D$89,'Вводные'!$H$9))),$B$48,0)</x:f>
      </x:c>
      <x:c r="DI48" s="117" t="n">
        <x:f>IF(AND(YEAR(DI$3)=YEAR(EDATE('Вводные'!$D$89,'Вводные'!$H$9)),MONTH(DI$3)=MONTH(EDATE('Вводные'!$D$89,'Вводные'!$H$9))),$B$48,0)</x:f>
      </x:c>
      <x:c r="DJ48" s="117" t="n">
        <x:f>IF(AND(YEAR(DJ$3)=YEAR(EDATE('Вводные'!$D$89,'Вводные'!$H$9)),MONTH(DJ$3)=MONTH(EDATE('Вводные'!$D$89,'Вводные'!$H$9))),$B$48,0)</x:f>
      </x:c>
      <x:c r="DK48" s="117" t="n">
        <x:f>IF(AND(YEAR(DK$3)=YEAR(EDATE('Вводные'!$D$89,'Вводные'!$H$9)),MONTH(DK$3)=MONTH(EDATE('Вводные'!$D$89,'Вводные'!$H$9))),$B$48,0)</x:f>
      </x:c>
      <x:c r="DL48" s="117" t="n">
        <x:f>IF(AND(YEAR(DL$3)=YEAR(EDATE('Вводные'!$D$89,'Вводные'!$H$9)),MONTH(DL$3)=MONTH(EDATE('Вводные'!$D$89,'Вводные'!$H$9))),$B$48,0)</x:f>
      </x:c>
      <x:c r="DM48" s="117" t="n">
        <x:f>IF(AND(YEAR(DM$3)=YEAR(EDATE('Вводные'!$D$89,'Вводные'!$H$9)),MONTH(DM$3)=MONTH(EDATE('Вводные'!$D$89,'Вводные'!$H$9))),$B$48,0)</x:f>
      </x:c>
      <x:c r="DN48" s="117" t="n">
        <x:f>IF(AND(YEAR(DN$3)=YEAR(EDATE('Вводные'!$D$89,'Вводные'!$H$9)),MONTH(DN$3)=MONTH(EDATE('Вводные'!$D$89,'Вводные'!$H$9))),$B$48,0)</x:f>
      </x:c>
      <x:c r="DO48" s="117" t="n">
        <x:f>IF(AND(YEAR(DO$3)=YEAR(EDATE('Вводные'!$D$89,'Вводные'!$H$9)),MONTH(DO$3)=MONTH(EDATE('Вводные'!$D$89,'Вводные'!$H$9))),$B$48,0)</x:f>
      </x:c>
      <x:c r="DP48" s="117" t="n">
        <x:f>IF(AND(YEAR(DP$3)=YEAR(EDATE('Вводные'!$D$89,'Вводные'!$H$9)),MONTH(DP$3)=MONTH(EDATE('Вводные'!$D$89,'Вводные'!$H$9))),$B$48,0)</x:f>
      </x:c>
      <x:c r="DQ48" s="117" t="n">
        <x:f>IF(AND(YEAR(DQ$3)=YEAR(EDATE('Вводные'!$D$89,'Вводные'!$H$9)),MONTH(DQ$3)=MONTH(EDATE('Вводные'!$D$89,'Вводные'!$H$9))),$B$48,0)</x:f>
      </x:c>
      <x:c r="DR48" s="117" t="n">
        <x:f>IF(AND(YEAR(DR$3)=YEAR(EDATE('Вводные'!$D$89,'Вводные'!$H$9)),MONTH(DR$3)=MONTH(EDATE('Вводные'!$D$89,'Вводные'!$H$9))),$B$48,0)</x:f>
      </x:c>
      <x:c r="DS48" s="117" t="n">
        <x:f>IF(AND(YEAR(DS$3)=YEAR(EDATE('Вводные'!$D$89,'Вводные'!$H$9)),MONTH(DS$3)=MONTH(EDATE('Вводные'!$D$89,'Вводные'!$H$9))),$B$48,0)</x:f>
      </x:c>
    </x:row>
    <x:row r="49">
      <x:c r="A49" t="str">
        <x:v>Плата за ВРИ</x:v>
      </x:c>
      <x:c r="B49" s="107" t="n">
        <x:f>SUM('ВРИ'!D28:DS28)</x:f>
      </x:c>
      <x:c r="C49" t="str">
        <x:v>млн ₽</x:v>
      </x:c>
      <x:c r="D49" s="117" t="n">
        <x:f>'ВРИ'!D28</x:f>
      </x:c>
      <x:c r="E49" s="117" t="n">
        <x:f>'ВРИ'!E28</x:f>
      </x:c>
      <x:c r="F49" s="117" t="n">
        <x:f>'ВРИ'!F28</x:f>
      </x:c>
      <x:c r="G49" s="117" t="n">
        <x:f>'ВРИ'!G28</x:f>
      </x:c>
      <x:c r="H49" s="117" t="n">
        <x:f>'ВРИ'!H28</x:f>
      </x:c>
      <x:c r="I49" s="117" t="n">
        <x:f>'ВРИ'!I28</x:f>
      </x:c>
      <x:c r="J49" s="117" t="n">
        <x:f>'ВРИ'!J28</x:f>
      </x:c>
      <x:c r="K49" s="117" t="n">
        <x:f>'ВРИ'!K28</x:f>
      </x:c>
      <x:c r="L49" s="117" t="n">
        <x:f>'ВРИ'!L28</x:f>
      </x:c>
      <x:c r="M49" s="117" t="n">
        <x:f>'ВРИ'!M28</x:f>
      </x:c>
      <x:c r="N49" s="117" t="n">
        <x:f>'ВРИ'!N28</x:f>
      </x:c>
      <x:c r="O49" s="117" t="n">
        <x:f>'ВРИ'!O28</x:f>
      </x:c>
      <x:c r="P49" s="117" t="n">
        <x:f>'ВРИ'!P28</x:f>
      </x:c>
      <x:c r="Q49" s="117" t="n">
        <x:f>'ВРИ'!Q28</x:f>
      </x:c>
      <x:c r="R49" s="117" t="n">
        <x:f>'ВРИ'!R28</x:f>
      </x:c>
      <x:c r="S49" s="117" t="n">
        <x:f>'ВРИ'!S28</x:f>
      </x:c>
      <x:c r="T49" s="117" t="n">
        <x:f>'ВРИ'!T28</x:f>
      </x:c>
      <x:c r="U49" s="117" t="n">
        <x:f>'ВРИ'!U28</x:f>
      </x:c>
      <x:c r="V49" s="117" t="n">
        <x:f>'ВРИ'!V28</x:f>
      </x:c>
      <x:c r="W49" s="117" t="n">
        <x:f>'ВРИ'!W28</x:f>
      </x:c>
      <x:c r="X49" s="117" t="n">
        <x:f>'ВРИ'!X28</x:f>
      </x:c>
      <x:c r="Y49" s="117" t="n">
        <x:f>'ВРИ'!Y28</x:f>
      </x:c>
      <x:c r="Z49" s="117" t="n">
        <x:f>'ВРИ'!Z28</x:f>
      </x:c>
      <x:c r="AA49" s="117" t="n">
        <x:f>'ВРИ'!AA28</x:f>
      </x:c>
      <x:c r="AB49" s="117" t="n">
        <x:f>'ВРИ'!AB28</x:f>
      </x:c>
      <x:c r="AC49" s="117" t="n">
        <x:f>'ВРИ'!AC28</x:f>
      </x:c>
      <x:c r="AD49" s="117" t="n">
        <x:f>'ВРИ'!AD28</x:f>
      </x:c>
      <x:c r="AE49" s="117" t="n">
        <x:f>'ВРИ'!AE28</x:f>
      </x:c>
      <x:c r="AF49" s="117" t="n">
        <x:f>'ВРИ'!AF28</x:f>
      </x:c>
      <x:c r="AG49" s="117" t="n">
        <x:f>'ВРИ'!AG28</x:f>
      </x:c>
      <x:c r="AH49" s="117" t="n">
        <x:f>'ВРИ'!AH28</x:f>
      </x:c>
      <x:c r="AI49" s="117" t="n">
        <x:f>'ВРИ'!AI28</x:f>
      </x:c>
      <x:c r="AJ49" s="117" t="n">
        <x:f>'ВРИ'!AJ28</x:f>
      </x:c>
      <x:c r="AK49" s="117" t="n">
        <x:f>'ВРИ'!AK28</x:f>
      </x:c>
      <x:c r="AL49" s="117" t="n">
        <x:f>'ВРИ'!AL28</x:f>
      </x:c>
      <x:c r="AM49" s="117" t="n">
        <x:f>'ВРИ'!AM28</x:f>
      </x:c>
      <x:c r="AN49" s="117" t="n">
        <x:f>'ВРИ'!AN28</x:f>
      </x:c>
      <x:c r="AO49" s="117" t="n">
        <x:f>'ВРИ'!AO28</x:f>
      </x:c>
      <x:c r="AP49" s="117" t="n">
        <x:f>'ВРИ'!AP28</x:f>
      </x:c>
      <x:c r="AQ49" s="117" t="n">
        <x:f>'ВРИ'!AQ28</x:f>
      </x:c>
      <x:c r="AR49" s="117" t="n">
        <x:f>'ВРИ'!AR28</x:f>
      </x:c>
      <x:c r="AS49" s="117" t="n">
        <x:f>'ВРИ'!AS28</x:f>
      </x:c>
      <x:c r="AT49" s="117" t="n">
        <x:f>'ВРИ'!AT28</x:f>
      </x:c>
      <x:c r="AU49" s="117" t="n">
        <x:f>'ВРИ'!AU28</x:f>
      </x:c>
      <x:c r="AV49" s="117" t="n">
        <x:f>'ВРИ'!AV28</x:f>
      </x:c>
      <x:c r="AW49" s="117" t="n">
        <x:f>'ВРИ'!AW28</x:f>
      </x:c>
      <x:c r="AX49" s="117" t="n">
        <x:f>'ВРИ'!AX28</x:f>
      </x:c>
      <x:c r="AY49" s="117" t="n">
        <x:f>'ВРИ'!AY28</x:f>
      </x:c>
      <x:c r="AZ49" s="117" t="n">
        <x:f>'ВРИ'!AZ28</x:f>
      </x:c>
      <x:c r="BA49" s="117" t="n">
        <x:f>'ВРИ'!BA28</x:f>
      </x:c>
      <x:c r="BB49" s="117" t="n">
        <x:f>'ВРИ'!BB28</x:f>
      </x:c>
      <x:c r="BC49" s="117" t="n">
        <x:f>'ВРИ'!BC28</x:f>
      </x:c>
      <x:c r="BD49" s="117" t="n">
        <x:f>'ВРИ'!BD28</x:f>
      </x:c>
      <x:c r="BE49" s="117" t="n">
        <x:f>'ВРИ'!BE28</x:f>
      </x:c>
      <x:c r="BF49" s="117" t="n">
        <x:f>'ВРИ'!BF28</x:f>
      </x:c>
      <x:c r="BG49" s="117" t="n">
        <x:f>'ВРИ'!BG28</x:f>
      </x:c>
      <x:c r="BH49" s="117" t="n">
        <x:f>'ВРИ'!BH28</x:f>
      </x:c>
      <x:c r="BI49" s="117" t="n">
        <x:f>'ВРИ'!BI28</x:f>
      </x:c>
      <x:c r="BJ49" s="117" t="n">
        <x:f>'ВРИ'!BJ28</x:f>
      </x:c>
      <x:c r="BK49" s="117" t="n">
        <x:f>'ВРИ'!BK28</x:f>
      </x:c>
      <x:c r="BL49" s="117" t="n">
        <x:f>'ВРИ'!BL28</x:f>
      </x:c>
      <x:c r="BM49" s="117" t="n">
        <x:f>'ВРИ'!BM28</x:f>
      </x:c>
      <x:c r="BN49" s="117" t="n">
        <x:f>'ВРИ'!BN28</x:f>
      </x:c>
      <x:c r="BO49" s="117" t="n">
        <x:f>'ВРИ'!BO28</x:f>
      </x:c>
      <x:c r="BP49" s="117" t="n">
        <x:f>'ВРИ'!BP28</x:f>
      </x:c>
      <x:c r="BQ49" s="117" t="n">
        <x:f>'ВРИ'!BQ28</x:f>
      </x:c>
      <x:c r="BR49" s="117" t="n">
        <x:f>'ВРИ'!BR28</x:f>
      </x:c>
      <x:c r="BS49" s="117" t="n">
        <x:f>'ВРИ'!BS28</x:f>
      </x:c>
      <x:c r="BT49" s="117" t="n">
        <x:f>'ВРИ'!BT28</x:f>
      </x:c>
      <x:c r="BU49" s="117" t="n">
        <x:f>'ВРИ'!BU28</x:f>
      </x:c>
      <x:c r="BV49" s="117" t="n">
        <x:f>'ВРИ'!BV28</x:f>
      </x:c>
      <x:c r="BW49" s="117" t="n">
        <x:f>'ВРИ'!BW28</x:f>
      </x:c>
      <x:c r="BX49" s="117" t="n">
        <x:f>'ВРИ'!BX28</x:f>
      </x:c>
      <x:c r="BY49" s="117" t="n">
        <x:f>'ВРИ'!BY28</x:f>
      </x:c>
      <x:c r="BZ49" s="117" t="n">
        <x:f>'ВРИ'!BZ28</x:f>
      </x:c>
      <x:c r="CA49" s="117" t="n">
        <x:f>'ВРИ'!CA28</x:f>
      </x:c>
      <x:c r="CB49" s="117" t="n">
        <x:f>'ВРИ'!CB28</x:f>
      </x:c>
      <x:c r="CC49" s="117" t="n">
        <x:f>'ВРИ'!CC28</x:f>
      </x:c>
      <x:c r="CD49" s="117" t="n">
        <x:f>'ВРИ'!CD28</x:f>
      </x:c>
      <x:c r="CE49" s="117" t="n">
        <x:f>'ВРИ'!CE28</x:f>
      </x:c>
      <x:c r="CF49" s="117" t="n">
        <x:f>'ВРИ'!CF28</x:f>
      </x:c>
      <x:c r="CG49" s="117" t="n">
        <x:f>'ВРИ'!CG28</x:f>
      </x:c>
      <x:c r="CH49" s="117" t="n">
        <x:f>'ВРИ'!CH28</x:f>
      </x:c>
      <x:c r="CI49" s="117" t="n">
        <x:f>'ВРИ'!CI28</x:f>
      </x:c>
      <x:c r="CJ49" s="117" t="n">
        <x:f>'ВРИ'!CJ28</x:f>
      </x:c>
      <x:c r="CK49" s="117" t="n">
        <x:f>'ВРИ'!CK28</x:f>
      </x:c>
      <x:c r="CL49" s="117" t="n">
        <x:f>'ВРИ'!CL28</x:f>
      </x:c>
      <x:c r="CM49" s="117" t="n">
        <x:f>'ВРИ'!CM28</x:f>
      </x:c>
      <x:c r="CN49" s="117" t="n">
        <x:f>'ВРИ'!CN28</x:f>
      </x:c>
      <x:c r="CO49" s="117" t="n">
        <x:f>'ВРИ'!CO28</x:f>
      </x:c>
      <x:c r="CP49" s="117" t="n">
        <x:f>'ВРИ'!CP28</x:f>
      </x:c>
      <x:c r="CQ49" s="117" t="n">
        <x:f>'ВРИ'!CQ28</x:f>
      </x:c>
      <x:c r="CR49" s="117" t="n">
        <x:f>'ВРИ'!CR28</x:f>
      </x:c>
      <x:c r="CS49" s="117" t="n">
        <x:f>'ВРИ'!CS28</x:f>
      </x:c>
      <x:c r="CT49" s="117" t="n">
        <x:f>'ВРИ'!CT28</x:f>
      </x:c>
      <x:c r="CU49" s="117" t="n">
        <x:f>'ВРИ'!CU28</x:f>
      </x:c>
      <x:c r="CV49" s="117" t="n">
        <x:f>'ВРИ'!CV28</x:f>
      </x:c>
      <x:c r="CW49" s="117" t="n">
        <x:f>'ВРИ'!CW28</x:f>
      </x:c>
      <x:c r="CX49" s="117" t="n">
        <x:f>'ВРИ'!CX28</x:f>
      </x:c>
      <x:c r="CY49" s="117" t="n">
        <x:f>'ВРИ'!CY28</x:f>
      </x:c>
      <x:c r="CZ49" s="117" t="n">
        <x:f>'ВРИ'!CZ28</x:f>
      </x:c>
      <x:c r="DA49" s="117" t="n">
        <x:f>'ВРИ'!DA28</x:f>
      </x:c>
      <x:c r="DB49" s="117" t="n">
        <x:f>'ВРИ'!DB28</x:f>
      </x:c>
      <x:c r="DC49" s="117" t="n">
        <x:f>'ВРИ'!DC28</x:f>
      </x:c>
      <x:c r="DD49" s="117" t="n">
        <x:f>'ВРИ'!DD28</x:f>
      </x:c>
      <x:c r="DE49" s="117" t="n">
        <x:f>'ВРИ'!DE28</x:f>
      </x:c>
      <x:c r="DF49" s="117" t="n">
        <x:f>'ВРИ'!DF28</x:f>
      </x:c>
      <x:c r="DG49" s="117" t="n">
        <x:f>'ВРИ'!DG28</x:f>
      </x:c>
      <x:c r="DH49" s="117" t="n">
        <x:f>'ВРИ'!DH28</x:f>
      </x:c>
      <x:c r="DI49" s="117" t="n">
        <x:f>'ВРИ'!DI28</x:f>
      </x:c>
      <x:c r="DJ49" s="117" t="n">
        <x:f>'ВРИ'!DJ28</x:f>
      </x:c>
      <x:c r="DK49" s="117" t="n">
        <x:f>'ВРИ'!DK28</x:f>
      </x:c>
      <x:c r="DL49" s="117" t="n">
        <x:f>'ВРИ'!DL28</x:f>
      </x:c>
      <x:c r="DM49" s="117" t="n">
        <x:f>'ВРИ'!DM28</x:f>
      </x:c>
      <x:c r="DN49" s="117" t="n">
        <x:f>'ВРИ'!DN28</x:f>
      </x:c>
      <x:c r="DO49" s="117" t="n">
        <x:f>'ВРИ'!DO28</x:f>
      </x:c>
      <x:c r="DP49" s="117" t="n">
        <x:f>'ВРИ'!DP28</x:f>
      </x:c>
      <x:c r="DQ49" s="117" t="n">
        <x:f>'ВРИ'!DQ28</x:f>
      </x:c>
      <x:c r="DR49" s="117" t="n">
        <x:f>'ВРИ'!DR28</x:f>
      </x:c>
      <x:c r="DS49" s="117" t="n">
        <x:f>'ВРИ'!DS28</x:f>
      </x:c>
    </x:row>
    <x:row r="50">
      <x:c r="A50" t="str">
        <x:v>ИРД и согласования</x:v>
      </x:c>
      <x:c r="B50" s="107" t="n">
        <x:f>(('Вводные'!$I$89+'Вводные'!$J$89+'Вводные'!$K$89)*'Вводные'!$B$40/1000*'Вводные'!$H$6*'Вводные'!$T$89*--('Вводные'!$B$89="Да"))*'Вводные'!$AH$89</x:f>
      </x:c>
      <x:c r="C50" t="str">
        <x:v>млн ₽</x:v>
      </x:c>
      <x:c r="D50" s="117" t="n">
        <x:f>IF(AND(D$3&gt;=EDATE($B$41,-'Вводные'!$E$89),D$3&lt;$B$41),$B$50/MAX(1,'Вводные'!$E$89),0)</x:f>
      </x:c>
      <x:c r="E50" s="117" t="n">
        <x:f>IF(AND(E$3&gt;=EDATE($B$41,-'Вводные'!$E$89),E$3&lt;$B$41),$B$50/MAX(1,'Вводные'!$E$89),0)</x:f>
      </x:c>
      <x:c r="F50" s="117" t="n">
        <x:f>IF(AND(F$3&gt;=EDATE($B$41,-'Вводные'!$E$89),F$3&lt;$B$41),$B$50/MAX(1,'Вводные'!$E$89),0)</x:f>
      </x:c>
      <x:c r="G50" s="117" t="n">
        <x:f>IF(AND(G$3&gt;=EDATE($B$41,-'Вводные'!$E$89),G$3&lt;$B$41),$B$50/MAX(1,'Вводные'!$E$89),0)</x:f>
      </x:c>
      <x:c r="H50" s="117" t="n">
        <x:f>IF(AND(H$3&gt;=EDATE($B$41,-'Вводные'!$E$89),H$3&lt;$B$41),$B$50/MAX(1,'Вводные'!$E$89),0)</x:f>
      </x:c>
      <x:c r="I50" s="117" t="n">
        <x:f>IF(AND(I$3&gt;=EDATE($B$41,-'Вводные'!$E$89),I$3&lt;$B$41),$B$50/MAX(1,'Вводные'!$E$89),0)</x:f>
      </x:c>
      <x:c r="J50" s="117" t="n">
        <x:f>IF(AND(J$3&gt;=EDATE($B$41,-'Вводные'!$E$89),J$3&lt;$B$41),$B$50/MAX(1,'Вводные'!$E$89),0)</x:f>
      </x:c>
      <x:c r="K50" s="117" t="n">
        <x:f>IF(AND(K$3&gt;=EDATE($B$41,-'Вводные'!$E$89),K$3&lt;$B$41),$B$50/MAX(1,'Вводные'!$E$89),0)</x:f>
      </x:c>
      <x:c r="L50" s="117" t="n">
        <x:f>IF(AND(L$3&gt;=EDATE($B$41,-'Вводные'!$E$89),L$3&lt;$B$41),$B$50/MAX(1,'Вводные'!$E$89),0)</x:f>
      </x:c>
      <x:c r="M50" s="117" t="n">
        <x:f>IF(AND(M$3&gt;=EDATE($B$41,-'Вводные'!$E$89),M$3&lt;$B$41),$B$50/MAX(1,'Вводные'!$E$89),0)</x:f>
      </x:c>
      <x:c r="N50" s="117" t="n">
        <x:f>IF(AND(N$3&gt;=EDATE($B$41,-'Вводные'!$E$89),N$3&lt;$B$41),$B$50/MAX(1,'Вводные'!$E$89),0)</x:f>
      </x:c>
      <x:c r="O50" s="117" t="n">
        <x:f>IF(AND(O$3&gt;=EDATE($B$41,-'Вводные'!$E$89),O$3&lt;$B$41),$B$50/MAX(1,'Вводные'!$E$89),0)</x:f>
      </x:c>
      <x:c r="P50" s="117" t="n">
        <x:f>IF(AND(P$3&gt;=EDATE($B$41,-'Вводные'!$E$89),P$3&lt;$B$41),$B$50/MAX(1,'Вводные'!$E$89),0)</x:f>
      </x:c>
      <x:c r="Q50" s="117" t="n">
        <x:f>IF(AND(Q$3&gt;=EDATE($B$41,-'Вводные'!$E$89),Q$3&lt;$B$41),$B$50/MAX(1,'Вводные'!$E$89),0)</x:f>
      </x:c>
      <x:c r="R50" s="117" t="n">
        <x:f>IF(AND(R$3&gt;=EDATE($B$41,-'Вводные'!$E$89),R$3&lt;$B$41),$B$50/MAX(1,'Вводные'!$E$89),0)</x:f>
      </x:c>
      <x:c r="S50" s="117" t="n">
        <x:f>IF(AND(S$3&gt;=EDATE($B$41,-'Вводные'!$E$89),S$3&lt;$B$41),$B$50/MAX(1,'Вводные'!$E$89),0)</x:f>
      </x:c>
      <x:c r="T50" s="117" t="n">
        <x:f>IF(AND(T$3&gt;=EDATE($B$41,-'Вводные'!$E$89),T$3&lt;$B$41),$B$50/MAX(1,'Вводные'!$E$89),0)</x:f>
      </x:c>
      <x:c r="U50" s="117" t="n">
        <x:f>IF(AND(U$3&gt;=EDATE($B$41,-'Вводные'!$E$89),U$3&lt;$B$41),$B$50/MAX(1,'Вводные'!$E$89),0)</x:f>
      </x:c>
      <x:c r="V50" s="117" t="n">
        <x:f>IF(AND(V$3&gt;=EDATE($B$41,-'Вводные'!$E$89),V$3&lt;$B$41),$B$50/MAX(1,'Вводные'!$E$89),0)</x:f>
      </x:c>
      <x:c r="W50" s="117" t="n">
        <x:f>IF(AND(W$3&gt;=EDATE($B$41,-'Вводные'!$E$89),W$3&lt;$B$41),$B$50/MAX(1,'Вводные'!$E$89),0)</x:f>
      </x:c>
      <x:c r="X50" s="117" t="n">
        <x:f>IF(AND(X$3&gt;=EDATE($B$41,-'Вводные'!$E$89),X$3&lt;$B$41),$B$50/MAX(1,'Вводные'!$E$89),0)</x:f>
      </x:c>
      <x:c r="Y50" s="117" t="n">
        <x:f>IF(AND(Y$3&gt;=EDATE($B$41,-'Вводные'!$E$89),Y$3&lt;$B$41),$B$50/MAX(1,'Вводные'!$E$89),0)</x:f>
      </x:c>
      <x:c r="Z50" s="117" t="n">
        <x:f>IF(AND(Z$3&gt;=EDATE($B$41,-'Вводные'!$E$89),Z$3&lt;$B$41),$B$50/MAX(1,'Вводные'!$E$89),0)</x:f>
      </x:c>
      <x:c r="AA50" s="117" t="n">
        <x:f>IF(AND(AA$3&gt;=EDATE($B$41,-'Вводные'!$E$89),AA$3&lt;$B$41),$B$50/MAX(1,'Вводные'!$E$89),0)</x:f>
      </x:c>
      <x:c r="AB50" s="117" t="n">
        <x:f>IF(AND(AB$3&gt;=EDATE($B$41,-'Вводные'!$E$89),AB$3&lt;$B$41),$B$50/MAX(1,'Вводные'!$E$89),0)</x:f>
      </x:c>
      <x:c r="AC50" s="117" t="n">
        <x:f>IF(AND(AC$3&gt;=EDATE($B$41,-'Вводные'!$E$89),AC$3&lt;$B$41),$B$50/MAX(1,'Вводные'!$E$89),0)</x:f>
      </x:c>
      <x:c r="AD50" s="117" t="n">
        <x:f>IF(AND(AD$3&gt;=EDATE($B$41,-'Вводные'!$E$89),AD$3&lt;$B$41),$B$50/MAX(1,'Вводные'!$E$89),0)</x:f>
      </x:c>
      <x:c r="AE50" s="117" t="n">
        <x:f>IF(AND(AE$3&gt;=EDATE($B$41,-'Вводные'!$E$89),AE$3&lt;$B$41),$B$50/MAX(1,'Вводные'!$E$89),0)</x:f>
      </x:c>
      <x:c r="AF50" s="117" t="n">
        <x:f>IF(AND(AF$3&gt;=EDATE($B$41,-'Вводные'!$E$89),AF$3&lt;$B$41),$B$50/MAX(1,'Вводные'!$E$89),0)</x:f>
      </x:c>
      <x:c r="AG50" s="117" t="n">
        <x:f>IF(AND(AG$3&gt;=EDATE($B$41,-'Вводные'!$E$89),AG$3&lt;$B$41),$B$50/MAX(1,'Вводные'!$E$89),0)</x:f>
      </x:c>
      <x:c r="AH50" s="117" t="n">
        <x:f>IF(AND(AH$3&gt;=EDATE($B$41,-'Вводные'!$E$89),AH$3&lt;$B$41),$B$50/MAX(1,'Вводные'!$E$89),0)</x:f>
      </x:c>
      <x:c r="AI50" s="117" t="n">
        <x:f>IF(AND(AI$3&gt;=EDATE($B$41,-'Вводные'!$E$89),AI$3&lt;$B$41),$B$50/MAX(1,'Вводные'!$E$89),0)</x:f>
      </x:c>
      <x:c r="AJ50" s="117" t="n">
        <x:f>IF(AND(AJ$3&gt;=EDATE($B$41,-'Вводные'!$E$89),AJ$3&lt;$B$41),$B$50/MAX(1,'Вводные'!$E$89),0)</x:f>
      </x:c>
      <x:c r="AK50" s="117" t="n">
        <x:f>IF(AND(AK$3&gt;=EDATE($B$41,-'Вводные'!$E$89),AK$3&lt;$B$41),$B$50/MAX(1,'Вводные'!$E$89),0)</x:f>
      </x:c>
      <x:c r="AL50" s="117" t="n">
        <x:f>IF(AND(AL$3&gt;=EDATE($B$41,-'Вводные'!$E$89),AL$3&lt;$B$41),$B$50/MAX(1,'Вводные'!$E$89),0)</x:f>
      </x:c>
      <x:c r="AM50" s="117" t="n">
        <x:f>IF(AND(AM$3&gt;=EDATE($B$41,-'Вводные'!$E$89),AM$3&lt;$B$41),$B$50/MAX(1,'Вводные'!$E$89),0)</x:f>
      </x:c>
      <x:c r="AN50" s="117" t="n">
        <x:f>IF(AND(AN$3&gt;=EDATE($B$41,-'Вводные'!$E$89),AN$3&lt;$B$41),$B$50/MAX(1,'Вводные'!$E$89),0)</x:f>
      </x:c>
      <x:c r="AO50" s="117" t="n">
        <x:f>IF(AND(AO$3&gt;=EDATE($B$41,-'Вводные'!$E$89),AO$3&lt;$B$41),$B$50/MAX(1,'Вводные'!$E$89),0)</x:f>
      </x:c>
      <x:c r="AP50" s="117" t="n">
        <x:f>IF(AND(AP$3&gt;=EDATE($B$41,-'Вводные'!$E$89),AP$3&lt;$B$41),$B$50/MAX(1,'Вводные'!$E$89),0)</x:f>
      </x:c>
      <x:c r="AQ50" s="117" t="n">
        <x:f>IF(AND(AQ$3&gt;=EDATE($B$41,-'Вводные'!$E$89),AQ$3&lt;$B$41),$B$50/MAX(1,'Вводные'!$E$89),0)</x:f>
      </x:c>
      <x:c r="AR50" s="117" t="n">
        <x:f>IF(AND(AR$3&gt;=EDATE($B$41,-'Вводные'!$E$89),AR$3&lt;$B$41),$B$50/MAX(1,'Вводные'!$E$89),0)</x:f>
      </x:c>
      <x:c r="AS50" s="117" t="n">
        <x:f>IF(AND(AS$3&gt;=EDATE($B$41,-'Вводные'!$E$89),AS$3&lt;$B$41),$B$50/MAX(1,'Вводные'!$E$89),0)</x:f>
      </x:c>
      <x:c r="AT50" s="117" t="n">
        <x:f>IF(AND(AT$3&gt;=EDATE($B$41,-'Вводные'!$E$89),AT$3&lt;$B$41),$B$50/MAX(1,'Вводные'!$E$89),0)</x:f>
      </x:c>
      <x:c r="AU50" s="117" t="n">
        <x:f>IF(AND(AU$3&gt;=EDATE($B$41,-'Вводные'!$E$89),AU$3&lt;$B$41),$B$50/MAX(1,'Вводные'!$E$89),0)</x:f>
      </x:c>
      <x:c r="AV50" s="117" t="n">
        <x:f>IF(AND(AV$3&gt;=EDATE($B$41,-'Вводные'!$E$89),AV$3&lt;$B$41),$B$50/MAX(1,'Вводные'!$E$89),0)</x:f>
      </x:c>
      <x:c r="AW50" s="117" t="n">
        <x:f>IF(AND(AW$3&gt;=EDATE($B$41,-'Вводные'!$E$89),AW$3&lt;$B$41),$B$50/MAX(1,'Вводные'!$E$89),0)</x:f>
      </x:c>
      <x:c r="AX50" s="117" t="n">
        <x:f>IF(AND(AX$3&gt;=EDATE($B$41,-'Вводные'!$E$89),AX$3&lt;$B$41),$B$50/MAX(1,'Вводные'!$E$89),0)</x:f>
      </x:c>
      <x:c r="AY50" s="117" t="n">
        <x:f>IF(AND(AY$3&gt;=EDATE($B$41,-'Вводные'!$E$89),AY$3&lt;$B$41),$B$50/MAX(1,'Вводные'!$E$89),0)</x:f>
      </x:c>
      <x:c r="AZ50" s="117" t="n">
        <x:f>IF(AND(AZ$3&gt;=EDATE($B$41,-'Вводные'!$E$89),AZ$3&lt;$B$41),$B$50/MAX(1,'Вводные'!$E$89),0)</x:f>
      </x:c>
      <x:c r="BA50" s="117" t="n">
        <x:f>IF(AND(BA$3&gt;=EDATE($B$41,-'Вводные'!$E$89),BA$3&lt;$B$41),$B$50/MAX(1,'Вводные'!$E$89),0)</x:f>
      </x:c>
      <x:c r="BB50" s="117" t="n">
        <x:f>IF(AND(BB$3&gt;=EDATE($B$41,-'Вводные'!$E$89),BB$3&lt;$B$41),$B$50/MAX(1,'Вводные'!$E$89),0)</x:f>
      </x:c>
      <x:c r="BC50" s="117" t="n">
        <x:f>IF(AND(BC$3&gt;=EDATE($B$41,-'Вводные'!$E$89),BC$3&lt;$B$41),$B$50/MAX(1,'Вводные'!$E$89),0)</x:f>
      </x:c>
      <x:c r="BD50" s="117" t="n">
        <x:f>IF(AND(BD$3&gt;=EDATE($B$41,-'Вводные'!$E$89),BD$3&lt;$B$41),$B$50/MAX(1,'Вводные'!$E$89),0)</x:f>
      </x:c>
      <x:c r="BE50" s="117" t="n">
        <x:f>IF(AND(BE$3&gt;=EDATE($B$41,-'Вводные'!$E$89),BE$3&lt;$B$41),$B$50/MAX(1,'Вводные'!$E$89),0)</x:f>
      </x:c>
      <x:c r="BF50" s="117" t="n">
        <x:f>IF(AND(BF$3&gt;=EDATE($B$41,-'Вводные'!$E$89),BF$3&lt;$B$41),$B$50/MAX(1,'Вводные'!$E$89),0)</x:f>
      </x:c>
      <x:c r="BG50" s="117" t="n">
        <x:f>IF(AND(BG$3&gt;=EDATE($B$41,-'Вводные'!$E$89),BG$3&lt;$B$41),$B$50/MAX(1,'Вводные'!$E$89),0)</x:f>
      </x:c>
      <x:c r="BH50" s="117" t="n">
        <x:f>IF(AND(BH$3&gt;=EDATE($B$41,-'Вводные'!$E$89),BH$3&lt;$B$41),$B$50/MAX(1,'Вводные'!$E$89),0)</x:f>
      </x:c>
      <x:c r="BI50" s="117" t="n">
        <x:f>IF(AND(BI$3&gt;=EDATE($B$41,-'Вводные'!$E$89),BI$3&lt;$B$41),$B$50/MAX(1,'Вводные'!$E$89),0)</x:f>
      </x:c>
      <x:c r="BJ50" s="117" t="n">
        <x:f>IF(AND(BJ$3&gt;=EDATE($B$41,-'Вводные'!$E$89),BJ$3&lt;$B$41),$B$50/MAX(1,'Вводные'!$E$89),0)</x:f>
      </x:c>
      <x:c r="BK50" s="117" t="n">
        <x:f>IF(AND(BK$3&gt;=EDATE($B$41,-'Вводные'!$E$89),BK$3&lt;$B$41),$B$50/MAX(1,'Вводные'!$E$89),0)</x:f>
      </x:c>
      <x:c r="BL50" s="117" t="n">
        <x:f>IF(AND(BL$3&gt;=EDATE($B$41,-'Вводные'!$E$89),BL$3&lt;$B$41),$B$50/MAX(1,'Вводные'!$E$89),0)</x:f>
      </x:c>
      <x:c r="BM50" s="117" t="n">
        <x:f>IF(AND(BM$3&gt;=EDATE($B$41,-'Вводные'!$E$89),BM$3&lt;$B$41),$B$50/MAX(1,'Вводные'!$E$89),0)</x:f>
      </x:c>
      <x:c r="BN50" s="117" t="n">
        <x:f>IF(AND(BN$3&gt;=EDATE($B$41,-'Вводные'!$E$89),BN$3&lt;$B$41),$B$50/MAX(1,'Вводные'!$E$89),0)</x:f>
      </x:c>
      <x:c r="BO50" s="117" t="n">
        <x:f>IF(AND(BO$3&gt;=EDATE($B$41,-'Вводные'!$E$89),BO$3&lt;$B$41),$B$50/MAX(1,'Вводные'!$E$89),0)</x:f>
      </x:c>
      <x:c r="BP50" s="117" t="n">
        <x:f>IF(AND(BP$3&gt;=EDATE($B$41,-'Вводные'!$E$89),BP$3&lt;$B$41),$B$50/MAX(1,'Вводные'!$E$89),0)</x:f>
      </x:c>
      <x:c r="BQ50" s="117" t="n">
        <x:f>IF(AND(BQ$3&gt;=EDATE($B$41,-'Вводные'!$E$89),BQ$3&lt;$B$41),$B$50/MAX(1,'Вводные'!$E$89),0)</x:f>
      </x:c>
      <x:c r="BR50" s="117" t="n">
        <x:f>IF(AND(BR$3&gt;=EDATE($B$41,-'Вводные'!$E$89),BR$3&lt;$B$41),$B$50/MAX(1,'Вводные'!$E$89),0)</x:f>
      </x:c>
      <x:c r="BS50" s="117" t="n">
        <x:f>IF(AND(BS$3&gt;=EDATE($B$41,-'Вводные'!$E$89),BS$3&lt;$B$41),$B$50/MAX(1,'Вводные'!$E$89),0)</x:f>
      </x:c>
      <x:c r="BT50" s="117" t="n">
        <x:f>IF(AND(BT$3&gt;=EDATE($B$41,-'Вводные'!$E$89),BT$3&lt;$B$41),$B$50/MAX(1,'Вводные'!$E$89),0)</x:f>
      </x:c>
      <x:c r="BU50" s="117" t="n">
        <x:f>IF(AND(BU$3&gt;=EDATE($B$41,-'Вводные'!$E$89),BU$3&lt;$B$41),$B$50/MAX(1,'Вводные'!$E$89),0)</x:f>
      </x:c>
      <x:c r="BV50" s="117" t="n">
        <x:f>IF(AND(BV$3&gt;=EDATE($B$41,-'Вводные'!$E$89),BV$3&lt;$B$41),$B$50/MAX(1,'Вводные'!$E$89),0)</x:f>
      </x:c>
      <x:c r="BW50" s="117" t="n">
        <x:f>IF(AND(BW$3&gt;=EDATE($B$41,-'Вводные'!$E$89),BW$3&lt;$B$41),$B$50/MAX(1,'Вводные'!$E$89),0)</x:f>
      </x:c>
      <x:c r="BX50" s="117" t="n">
        <x:f>IF(AND(BX$3&gt;=EDATE($B$41,-'Вводные'!$E$89),BX$3&lt;$B$41),$B$50/MAX(1,'Вводные'!$E$89),0)</x:f>
      </x:c>
      <x:c r="BY50" s="117" t="n">
        <x:f>IF(AND(BY$3&gt;=EDATE($B$41,-'Вводные'!$E$89),BY$3&lt;$B$41),$B$50/MAX(1,'Вводные'!$E$89),0)</x:f>
      </x:c>
      <x:c r="BZ50" s="117" t="n">
        <x:f>IF(AND(BZ$3&gt;=EDATE($B$41,-'Вводные'!$E$89),BZ$3&lt;$B$41),$B$50/MAX(1,'Вводные'!$E$89),0)</x:f>
      </x:c>
      <x:c r="CA50" s="117" t="n">
        <x:f>IF(AND(CA$3&gt;=EDATE($B$41,-'Вводные'!$E$89),CA$3&lt;$B$41),$B$50/MAX(1,'Вводные'!$E$89),0)</x:f>
      </x:c>
      <x:c r="CB50" s="117" t="n">
        <x:f>IF(AND(CB$3&gt;=EDATE($B$41,-'Вводные'!$E$89),CB$3&lt;$B$41),$B$50/MAX(1,'Вводные'!$E$89),0)</x:f>
      </x:c>
      <x:c r="CC50" s="117" t="n">
        <x:f>IF(AND(CC$3&gt;=EDATE($B$41,-'Вводные'!$E$89),CC$3&lt;$B$41),$B$50/MAX(1,'Вводные'!$E$89),0)</x:f>
      </x:c>
      <x:c r="CD50" s="117" t="n">
        <x:f>IF(AND(CD$3&gt;=EDATE($B$41,-'Вводные'!$E$89),CD$3&lt;$B$41),$B$50/MAX(1,'Вводные'!$E$89),0)</x:f>
      </x:c>
      <x:c r="CE50" s="117" t="n">
        <x:f>IF(AND(CE$3&gt;=EDATE($B$41,-'Вводные'!$E$89),CE$3&lt;$B$41),$B$50/MAX(1,'Вводные'!$E$89),0)</x:f>
      </x:c>
      <x:c r="CF50" s="117" t="n">
        <x:f>IF(AND(CF$3&gt;=EDATE($B$41,-'Вводные'!$E$89),CF$3&lt;$B$41),$B$50/MAX(1,'Вводные'!$E$89),0)</x:f>
      </x:c>
      <x:c r="CG50" s="117" t="n">
        <x:f>IF(AND(CG$3&gt;=EDATE($B$41,-'Вводные'!$E$89),CG$3&lt;$B$41),$B$50/MAX(1,'Вводные'!$E$89),0)</x:f>
      </x:c>
      <x:c r="CH50" s="117" t="n">
        <x:f>IF(AND(CH$3&gt;=EDATE($B$41,-'Вводные'!$E$89),CH$3&lt;$B$41),$B$50/MAX(1,'Вводные'!$E$89),0)</x:f>
      </x:c>
      <x:c r="CI50" s="117" t="n">
        <x:f>IF(AND(CI$3&gt;=EDATE($B$41,-'Вводные'!$E$89),CI$3&lt;$B$41),$B$50/MAX(1,'Вводные'!$E$89),0)</x:f>
      </x:c>
      <x:c r="CJ50" s="117" t="n">
        <x:f>IF(AND(CJ$3&gt;=EDATE($B$41,-'Вводные'!$E$89),CJ$3&lt;$B$41),$B$50/MAX(1,'Вводные'!$E$89),0)</x:f>
      </x:c>
      <x:c r="CK50" s="117" t="n">
        <x:f>IF(AND(CK$3&gt;=EDATE($B$41,-'Вводные'!$E$89),CK$3&lt;$B$41),$B$50/MAX(1,'Вводные'!$E$89),0)</x:f>
      </x:c>
      <x:c r="CL50" s="117" t="n">
        <x:f>IF(AND(CL$3&gt;=EDATE($B$41,-'Вводные'!$E$89),CL$3&lt;$B$41),$B$50/MAX(1,'Вводные'!$E$89),0)</x:f>
      </x:c>
      <x:c r="CM50" s="117" t="n">
        <x:f>IF(AND(CM$3&gt;=EDATE($B$41,-'Вводные'!$E$89),CM$3&lt;$B$41),$B$50/MAX(1,'Вводные'!$E$89),0)</x:f>
      </x:c>
      <x:c r="CN50" s="117" t="n">
        <x:f>IF(AND(CN$3&gt;=EDATE($B$41,-'Вводные'!$E$89),CN$3&lt;$B$41),$B$50/MAX(1,'Вводные'!$E$89),0)</x:f>
      </x:c>
      <x:c r="CO50" s="117" t="n">
        <x:f>IF(AND(CO$3&gt;=EDATE($B$41,-'Вводные'!$E$89),CO$3&lt;$B$41),$B$50/MAX(1,'Вводные'!$E$89),0)</x:f>
      </x:c>
      <x:c r="CP50" s="117" t="n">
        <x:f>IF(AND(CP$3&gt;=EDATE($B$41,-'Вводные'!$E$89),CP$3&lt;$B$41),$B$50/MAX(1,'Вводные'!$E$89),0)</x:f>
      </x:c>
      <x:c r="CQ50" s="117" t="n">
        <x:f>IF(AND(CQ$3&gt;=EDATE($B$41,-'Вводные'!$E$89),CQ$3&lt;$B$41),$B$50/MAX(1,'Вводные'!$E$89),0)</x:f>
      </x:c>
      <x:c r="CR50" s="117" t="n">
        <x:f>IF(AND(CR$3&gt;=EDATE($B$41,-'Вводные'!$E$89),CR$3&lt;$B$41),$B$50/MAX(1,'Вводные'!$E$89),0)</x:f>
      </x:c>
      <x:c r="CS50" s="117" t="n">
        <x:f>IF(AND(CS$3&gt;=EDATE($B$41,-'Вводные'!$E$89),CS$3&lt;$B$41),$B$50/MAX(1,'Вводные'!$E$89),0)</x:f>
      </x:c>
      <x:c r="CT50" s="117" t="n">
        <x:f>IF(AND(CT$3&gt;=EDATE($B$41,-'Вводные'!$E$89),CT$3&lt;$B$41),$B$50/MAX(1,'Вводные'!$E$89),0)</x:f>
      </x:c>
      <x:c r="CU50" s="117" t="n">
        <x:f>IF(AND(CU$3&gt;=EDATE($B$41,-'Вводные'!$E$89),CU$3&lt;$B$41),$B$50/MAX(1,'Вводные'!$E$89),0)</x:f>
      </x:c>
      <x:c r="CV50" s="117" t="n">
        <x:f>IF(AND(CV$3&gt;=EDATE($B$41,-'Вводные'!$E$89),CV$3&lt;$B$41),$B$50/MAX(1,'Вводные'!$E$89),0)</x:f>
      </x:c>
      <x:c r="CW50" s="117" t="n">
        <x:f>IF(AND(CW$3&gt;=EDATE($B$41,-'Вводные'!$E$89),CW$3&lt;$B$41),$B$50/MAX(1,'Вводные'!$E$89),0)</x:f>
      </x:c>
      <x:c r="CX50" s="117" t="n">
        <x:f>IF(AND(CX$3&gt;=EDATE($B$41,-'Вводные'!$E$89),CX$3&lt;$B$41),$B$50/MAX(1,'Вводные'!$E$89),0)</x:f>
      </x:c>
      <x:c r="CY50" s="117" t="n">
        <x:f>IF(AND(CY$3&gt;=EDATE($B$41,-'Вводные'!$E$89),CY$3&lt;$B$41),$B$50/MAX(1,'Вводные'!$E$89),0)</x:f>
      </x:c>
      <x:c r="CZ50" s="117" t="n">
        <x:f>IF(AND(CZ$3&gt;=EDATE($B$41,-'Вводные'!$E$89),CZ$3&lt;$B$41),$B$50/MAX(1,'Вводные'!$E$89),0)</x:f>
      </x:c>
      <x:c r="DA50" s="117" t="n">
        <x:f>IF(AND(DA$3&gt;=EDATE($B$41,-'Вводные'!$E$89),DA$3&lt;$B$41),$B$50/MAX(1,'Вводные'!$E$89),0)</x:f>
      </x:c>
      <x:c r="DB50" s="117" t="n">
        <x:f>IF(AND(DB$3&gt;=EDATE($B$41,-'Вводные'!$E$89),DB$3&lt;$B$41),$B$50/MAX(1,'Вводные'!$E$89),0)</x:f>
      </x:c>
      <x:c r="DC50" s="117" t="n">
        <x:f>IF(AND(DC$3&gt;=EDATE($B$41,-'Вводные'!$E$89),DC$3&lt;$B$41),$B$50/MAX(1,'Вводные'!$E$89),0)</x:f>
      </x:c>
      <x:c r="DD50" s="117" t="n">
        <x:f>IF(AND(DD$3&gt;=EDATE($B$41,-'Вводные'!$E$89),DD$3&lt;$B$41),$B$50/MAX(1,'Вводные'!$E$89),0)</x:f>
      </x:c>
      <x:c r="DE50" s="117" t="n">
        <x:f>IF(AND(DE$3&gt;=EDATE($B$41,-'Вводные'!$E$89),DE$3&lt;$B$41),$B$50/MAX(1,'Вводные'!$E$89),0)</x:f>
      </x:c>
      <x:c r="DF50" s="117" t="n">
        <x:f>IF(AND(DF$3&gt;=EDATE($B$41,-'Вводные'!$E$89),DF$3&lt;$B$41),$B$50/MAX(1,'Вводные'!$E$89),0)</x:f>
      </x:c>
      <x:c r="DG50" s="117" t="n">
        <x:f>IF(AND(DG$3&gt;=EDATE($B$41,-'Вводные'!$E$89),DG$3&lt;$B$41),$B$50/MAX(1,'Вводные'!$E$89),0)</x:f>
      </x:c>
      <x:c r="DH50" s="117" t="n">
        <x:f>IF(AND(DH$3&gt;=EDATE($B$41,-'Вводные'!$E$89),DH$3&lt;$B$41),$B$50/MAX(1,'Вводные'!$E$89),0)</x:f>
      </x:c>
      <x:c r="DI50" s="117" t="n">
        <x:f>IF(AND(DI$3&gt;=EDATE($B$41,-'Вводные'!$E$89),DI$3&lt;$B$41),$B$50/MAX(1,'Вводные'!$E$89),0)</x:f>
      </x:c>
      <x:c r="DJ50" s="117" t="n">
        <x:f>IF(AND(DJ$3&gt;=EDATE($B$41,-'Вводные'!$E$89),DJ$3&lt;$B$41),$B$50/MAX(1,'Вводные'!$E$89),0)</x:f>
      </x:c>
      <x:c r="DK50" s="117" t="n">
        <x:f>IF(AND(DK$3&gt;=EDATE($B$41,-'Вводные'!$E$89),DK$3&lt;$B$41),$B$50/MAX(1,'Вводные'!$E$89),0)</x:f>
      </x:c>
      <x:c r="DL50" s="117" t="n">
        <x:f>IF(AND(DL$3&gt;=EDATE($B$41,-'Вводные'!$E$89),DL$3&lt;$B$41),$B$50/MAX(1,'Вводные'!$E$89),0)</x:f>
      </x:c>
      <x:c r="DM50" s="117" t="n">
        <x:f>IF(AND(DM$3&gt;=EDATE($B$41,-'Вводные'!$E$89),DM$3&lt;$B$41),$B$50/MAX(1,'Вводные'!$E$89),0)</x:f>
      </x:c>
      <x:c r="DN50" s="117" t="n">
        <x:f>IF(AND(DN$3&gt;=EDATE($B$41,-'Вводные'!$E$89),DN$3&lt;$B$41),$B$50/MAX(1,'Вводные'!$E$89),0)</x:f>
      </x:c>
      <x:c r="DO50" s="117" t="n">
        <x:f>IF(AND(DO$3&gt;=EDATE($B$41,-'Вводные'!$E$89),DO$3&lt;$B$41),$B$50/MAX(1,'Вводные'!$E$89),0)</x:f>
      </x:c>
      <x:c r="DP50" s="117" t="n">
        <x:f>IF(AND(DP$3&gt;=EDATE($B$41,-'Вводные'!$E$89),DP$3&lt;$B$41),$B$50/MAX(1,'Вводные'!$E$89),0)</x:f>
      </x:c>
      <x:c r="DQ50" s="117" t="n">
        <x:f>IF(AND(DQ$3&gt;=EDATE($B$41,-'Вводные'!$E$89),DQ$3&lt;$B$41),$B$50/MAX(1,'Вводные'!$E$89),0)</x:f>
      </x:c>
      <x:c r="DR50" s="117" t="n">
        <x:f>IF(AND(DR$3&gt;=EDATE($B$41,-'Вводные'!$E$89),DR$3&lt;$B$41),$B$50/MAX(1,'Вводные'!$E$89),0)</x:f>
      </x:c>
      <x:c r="DS50" s="117" t="n">
        <x:f>IF(AND(DS$3&gt;=EDATE($B$41,-'Вводные'!$E$89),DS$3&lt;$B$41),$B$50/MAX(1,'Вводные'!$E$89),0)</x:f>
      </x:c>
    </x:row>
    <x:row r="51">
      <x:c r="A51" t="str">
        <x:v>Проектирование, стадия П</x:v>
      </x:c>
      <x:c r="B51" s="107" t="n">
        <x:f>(('Вводные'!$I$89+'Вводные'!$J$89+'Вводные'!$K$89)*'Вводные'!$B$41/1000*'Вводные'!$H$6*'Вводные'!$T$89*--('Вводные'!$B$89="Да"))*'Вводные'!$AH$89</x:f>
      </x:c>
      <x:c r="C51" t="str">
        <x:v>млн ₽</x:v>
      </x:c>
      <x:c r="D51" s="117" t="n">
        <x:f>IF(AND(D$3&gt;=EDATE($B$41,-MIN(6,'Вводные'!$E$89)),D$3&lt;$B$41),$B$51/MAX(1,MIN(6,'Вводные'!$E$89)),0)</x:f>
      </x:c>
      <x:c r="E51" s="117" t="n">
        <x:f>IF(AND(E$3&gt;=EDATE($B$41,-MIN(6,'Вводные'!$E$89)),E$3&lt;$B$41),$B$51/MAX(1,MIN(6,'Вводные'!$E$89)),0)</x:f>
      </x:c>
      <x:c r="F51" s="117" t="n">
        <x:f>IF(AND(F$3&gt;=EDATE($B$41,-MIN(6,'Вводные'!$E$89)),F$3&lt;$B$41),$B$51/MAX(1,MIN(6,'Вводные'!$E$89)),0)</x:f>
      </x:c>
      <x:c r="G51" s="117" t="n">
        <x:f>IF(AND(G$3&gt;=EDATE($B$41,-MIN(6,'Вводные'!$E$89)),G$3&lt;$B$41),$B$51/MAX(1,MIN(6,'Вводные'!$E$89)),0)</x:f>
      </x:c>
      <x:c r="H51" s="117" t="n">
        <x:f>IF(AND(H$3&gt;=EDATE($B$41,-MIN(6,'Вводные'!$E$89)),H$3&lt;$B$41),$B$51/MAX(1,MIN(6,'Вводные'!$E$89)),0)</x:f>
      </x:c>
      <x:c r="I51" s="117" t="n">
        <x:f>IF(AND(I$3&gt;=EDATE($B$41,-MIN(6,'Вводные'!$E$89)),I$3&lt;$B$41),$B$51/MAX(1,MIN(6,'Вводные'!$E$89)),0)</x:f>
      </x:c>
      <x:c r="J51" s="117" t="n">
        <x:f>IF(AND(J$3&gt;=EDATE($B$41,-MIN(6,'Вводные'!$E$89)),J$3&lt;$B$41),$B$51/MAX(1,MIN(6,'Вводные'!$E$89)),0)</x:f>
      </x:c>
      <x:c r="K51" s="117" t="n">
        <x:f>IF(AND(K$3&gt;=EDATE($B$41,-MIN(6,'Вводные'!$E$89)),K$3&lt;$B$41),$B$51/MAX(1,MIN(6,'Вводные'!$E$89)),0)</x:f>
      </x:c>
      <x:c r="L51" s="117" t="n">
        <x:f>IF(AND(L$3&gt;=EDATE($B$41,-MIN(6,'Вводные'!$E$89)),L$3&lt;$B$41),$B$51/MAX(1,MIN(6,'Вводные'!$E$89)),0)</x:f>
      </x:c>
      <x:c r="M51" s="117" t="n">
        <x:f>IF(AND(M$3&gt;=EDATE($B$41,-MIN(6,'Вводные'!$E$89)),M$3&lt;$B$41),$B$51/MAX(1,MIN(6,'Вводные'!$E$89)),0)</x:f>
      </x:c>
      <x:c r="N51" s="117" t="n">
        <x:f>IF(AND(N$3&gt;=EDATE($B$41,-MIN(6,'Вводные'!$E$89)),N$3&lt;$B$41),$B$51/MAX(1,MIN(6,'Вводные'!$E$89)),0)</x:f>
      </x:c>
      <x:c r="O51" s="117" t="n">
        <x:f>IF(AND(O$3&gt;=EDATE($B$41,-MIN(6,'Вводные'!$E$89)),O$3&lt;$B$41),$B$51/MAX(1,MIN(6,'Вводные'!$E$89)),0)</x:f>
      </x:c>
      <x:c r="P51" s="117" t="n">
        <x:f>IF(AND(P$3&gt;=EDATE($B$41,-MIN(6,'Вводные'!$E$89)),P$3&lt;$B$41),$B$51/MAX(1,MIN(6,'Вводные'!$E$89)),0)</x:f>
      </x:c>
      <x:c r="Q51" s="117" t="n">
        <x:f>IF(AND(Q$3&gt;=EDATE($B$41,-MIN(6,'Вводные'!$E$89)),Q$3&lt;$B$41),$B$51/MAX(1,MIN(6,'Вводные'!$E$89)),0)</x:f>
      </x:c>
      <x:c r="R51" s="117" t="n">
        <x:f>IF(AND(R$3&gt;=EDATE($B$41,-MIN(6,'Вводные'!$E$89)),R$3&lt;$B$41),$B$51/MAX(1,MIN(6,'Вводные'!$E$89)),0)</x:f>
      </x:c>
      <x:c r="S51" s="117" t="n">
        <x:f>IF(AND(S$3&gt;=EDATE($B$41,-MIN(6,'Вводные'!$E$89)),S$3&lt;$B$41),$B$51/MAX(1,MIN(6,'Вводные'!$E$89)),0)</x:f>
      </x:c>
      <x:c r="T51" s="117" t="n">
        <x:f>IF(AND(T$3&gt;=EDATE($B$41,-MIN(6,'Вводные'!$E$89)),T$3&lt;$B$41),$B$51/MAX(1,MIN(6,'Вводные'!$E$89)),0)</x:f>
      </x:c>
      <x:c r="U51" s="117" t="n">
        <x:f>IF(AND(U$3&gt;=EDATE($B$41,-MIN(6,'Вводные'!$E$89)),U$3&lt;$B$41),$B$51/MAX(1,MIN(6,'Вводные'!$E$89)),0)</x:f>
      </x:c>
      <x:c r="V51" s="117" t="n">
        <x:f>IF(AND(V$3&gt;=EDATE($B$41,-MIN(6,'Вводные'!$E$89)),V$3&lt;$B$41),$B$51/MAX(1,MIN(6,'Вводные'!$E$89)),0)</x:f>
      </x:c>
      <x:c r="W51" s="117" t="n">
        <x:f>IF(AND(W$3&gt;=EDATE($B$41,-MIN(6,'Вводные'!$E$89)),W$3&lt;$B$41),$B$51/MAX(1,MIN(6,'Вводные'!$E$89)),0)</x:f>
      </x:c>
      <x:c r="X51" s="117" t="n">
        <x:f>IF(AND(X$3&gt;=EDATE($B$41,-MIN(6,'Вводные'!$E$89)),X$3&lt;$B$41),$B$51/MAX(1,MIN(6,'Вводные'!$E$89)),0)</x:f>
      </x:c>
      <x:c r="Y51" s="117" t="n">
        <x:f>IF(AND(Y$3&gt;=EDATE($B$41,-MIN(6,'Вводные'!$E$89)),Y$3&lt;$B$41),$B$51/MAX(1,MIN(6,'Вводные'!$E$89)),0)</x:f>
      </x:c>
      <x:c r="Z51" s="117" t="n">
        <x:f>IF(AND(Z$3&gt;=EDATE($B$41,-MIN(6,'Вводные'!$E$89)),Z$3&lt;$B$41),$B$51/MAX(1,MIN(6,'Вводные'!$E$89)),0)</x:f>
      </x:c>
      <x:c r="AA51" s="117" t="n">
        <x:f>IF(AND(AA$3&gt;=EDATE($B$41,-MIN(6,'Вводные'!$E$89)),AA$3&lt;$B$41),$B$51/MAX(1,MIN(6,'Вводные'!$E$89)),0)</x:f>
      </x:c>
      <x:c r="AB51" s="117" t="n">
        <x:f>IF(AND(AB$3&gt;=EDATE($B$41,-MIN(6,'Вводные'!$E$89)),AB$3&lt;$B$41),$B$51/MAX(1,MIN(6,'Вводные'!$E$89)),0)</x:f>
      </x:c>
      <x:c r="AC51" s="117" t="n">
        <x:f>IF(AND(AC$3&gt;=EDATE($B$41,-MIN(6,'Вводные'!$E$89)),AC$3&lt;$B$41),$B$51/MAX(1,MIN(6,'Вводные'!$E$89)),0)</x:f>
      </x:c>
      <x:c r="AD51" s="117" t="n">
        <x:f>IF(AND(AD$3&gt;=EDATE($B$41,-MIN(6,'Вводные'!$E$89)),AD$3&lt;$B$41),$B$51/MAX(1,MIN(6,'Вводные'!$E$89)),0)</x:f>
      </x:c>
      <x:c r="AE51" s="117" t="n">
        <x:f>IF(AND(AE$3&gt;=EDATE($B$41,-MIN(6,'Вводные'!$E$89)),AE$3&lt;$B$41),$B$51/MAX(1,MIN(6,'Вводные'!$E$89)),0)</x:f>
      </x:c>
      <x:c r="AF51" s="117" t="n">
        <x:f>IF(AND(AF$3&gt;=EDATE($B$41,-MIN(6,'Вводные'!$E$89)),AF$3&lt;$B$41),$B$51/MAX(1,MIN(6,'Вводные'!$E$89)),0)</x:f>
      </x:c>
      <x:c r="AG51" s="117" t="n">
        <x:f>IF(AND(AG$3&gt;=EDATE($B$41,-MIN(6,'Вводные'!$E$89)),AG$3&lt;$B$41),$B$51/MAX(1,MIN(6,'Вводные'!$E$89)),0)</x:f>
      </x:c>
      <x:c r="AH51" s="117" t="n">
        <x:f>IF(AND(AH$3&gt;=EDATE($B$41,-MIN(6,'Вводные'!$E$89)),AH$3&lt;$B$41),$B$51/MAX(1,MIN(6,'Вводные'!$E$89)),0)</x:f>
      </x:c>
      <x:c r="AI51" s="117" t="n">
        <x:f>IF(AND(AI$3&gt;=EDATE($B$41,-MIN(6,'Вводные'!$E$89)),AI$3&lt;$B$41),$B$51/MAX(1,MIN(6,'Вводные'!$E$89)),0)</x:f>
      </x:c>
      <x:c r="AJ51" s="117" t="n">
        <x:f>IF(AND(AJ$3&gt;=EDATE($B$41,-MIN(6,'Вводные'!$E$89)),AJ$3&lt;$B$41),$B$51/MAX(1,MIN(6,'Вводные'!$E$89)),0)</x:f>
      </x:c>
      <x:c r="AK51" s="117" t="n">
        <x:f>IF(AND(AK$3&gt;=EDATE($B$41,-MIN(6,'Вводные'!$E$89)),AK$3&lt;$B$41),$B$51/MAX(1,MIN(6,'Вводные'!$E$89)),0)</x:f>
      </x:c>
      <x:c r="AL51" s="117" t="n">
        <x:f>IF(AND(AL$3&gt;=EDATE($B$41,-MIN(6,'Вводные'!$E$89)),AL$3&lt;$B$41),$B$51/MAX(1,MIN(6,'Вводные'!$E$89)),0)</x:f>
      </x:c>
      <x:c r="AM51" s="117" t="n">
        <x:f>IF(AND(AM$3&gt;=EDATE($B$41,-MIN(6,'Вводные'!$E$89)),AM$3&lt;$B$41),$B$51/MAX(1,MIN(6,'Вводные'!$E$89)),0)</x:f>
      </x:c>
      <x:c r="AN51" s="117" t="n">
        <x:f>IF(AND(AN$3&gt;=EDATE($B$41,-MIN(6,'Вводные'!$E$89)),AN$3&lt;$B$41),$B$51/MAX(1,MIN(6,'Вводные'!$E$89)),0)</x:f>
      </x:c>
      <x:c r="AO51" s="117" t="n">
        <x:f>IF(AND(AO$3&gt;=EDATE($B$41,-MIN(6,'Вводные'!$E$89)),AO$3&lt;$B$41),$B$51/MAX(1,MIN(6,'Вводные'!$E$89)),0)</x:f>
      </x:c>
      <x:c r="AP51" s="117" t="n">
        <x:f>IF(AND(AP$3&gt;=EDATE($B$41,-MIN(6,'Вводные'!$E$89)),AP$3&lt;$B$41),$B$51/MAX(1,MIN(6,'Вводные'!$E$89)),0)</x:f>
      </x:c>
      <x:c r="AQ51" s="117" t="n">
        <x:f>IF(AND(AQ$3&gt;=EDATE($B$41,-MIN(6,'Вводные'!$E$89)),AQ$3&lt;$B$41),$B$51/MAX(1,MIN(6,'Вводные'!$E$89)),0)</x:f>
      </x:c>
      <x:c r="AR51" s="117" t="n">
        <x:f>IF(AND(AR$3&gt;=EDATE($B$41,-MIN(6,'Вводные'!$E$89)),AR$3&lt;$B$41),$B$51/MAX(1,MIN(6,'Вводные'!$E$89)),0)</x:f>
      </x:c>
      <x:c r="AS51" s="117" t="n">
        <x:f>IF(AND(AS$3&gt;=EDATE($B$41,-MIN(6,'Вводные'!$E$89)),AS$3&lt;$B$41),$B$51/MAX(1,MIN(6,'Вводные'!$E$89)),0)</x:f>
      </x:c>
      <x:c r="AT51" s="117" t="n">
        <x:f>IF(AND(AT$3&gt;=EDATE($B$41,-MIN(6,'Вводные'!$E$89)),AT$3&lt;$B$41),$B$51/MAX(1,MIN(6,'Вводные'!$E$89)),0)</x:f>
      </x:c>
      <x:c r="AU51" s="117" t="n">
        <x:f>IF(AND(AU$3&gt;=EDATE($B$41,-MIN(6,'Вводные'!$E$89)),AU$3&lt;$B$41),$B$51/MAX(1,MIN(6,'Вводные'!$E$89)),0)</x:f>
      </x:c>
      <x:c r="AV51" s="117" t="n">
        <x:f>IF(AND(AV$3&gt;=EDATE($B$41,-MIN(6,'Вводные'!$E$89)),AV$3&lt;$B$41),$B$51/MAX(1,MIN(6,'Вводные'!$E$89)),0)</x:f>
      </x:c>
      <x:c r="AW51" s="117" t="n">
        <x:f>IF(AND(AW$3&gt;=EDATE($B$41,-MIN(6,'Вводные'!$E$89)),AW$3&lt;$B$41),$B$51/MAX(1,MIN(6,'Вводные'!$E$89)),0)</x:f>
      </x:c>
      <x:c r="AX51" s="117" t="n">
        <x:f>IF(AND(AX$3&gt;=EDATE($B$41,-MIN(6,'Вводные'!$E$89)),AX$3&lt;$B$41),$B$51/MAX(1,MIN(6,'Вводные'!$E$89)),0)</x:f>
      </x:c>
      <x:c r="AY51" s="117" t="n">
        <x:f>IF(AND(AY$3&gt;=EDATE($B$41,-MIN(6,'Вводные'!$E$89)),AY$3&lt;$B$41),$B$51/MAX(1,MIN(6,'Вводные'!$E$89)),0)</x:f>
      </x:c>
      <x:c r="AZ51" s="117" t="n">
        <x:f>IF(AND(AZ$3&gt;=EDATE($B$41,-MIN(6,'Вводные'!$E$89)),AZ$3&lt;$B$41),$B$51/MAX(1,MIN(6,'Вводные'!$E$89)),0)</x:f>
      </x:c>
      <x:c r="BA51" s="117" t="n">
        <x:f>IF(AND(BA$3&gt;=EDATE($B$41,-MIN(6,'Вводные'!$E$89)),BA$3&lt;$B$41),$B$51/MAX(1,MIN(6,'Вводные'!$E$89)),0)</x:f>
      </x:c>
      <x:c r="BB51" s="117" t="n">
        <x:f>IF(AND(BB$3&gt;=EDATE($B$41,-MIN(6,'Вводные'!$E$89)),BB$3&lt;$B$41),$B$51/MAX(1,MIN(6,'Вводные'!$E$89)),0)</x:f>
      </x:c>
      <x:c r="BC51" s="117" t="n">
        <x:f>IF(AND(BC$3&gt;=EDATE($B$41,-MIN(6,'Вводные'!$E$89)),BC$3&lt;$B$41),$B$51/MAX(1,MIN(6,'Вводные'!$E$89)),0)</x:f>
      </x:c>
      <x:c r="BD51" s="117" t="n">
        <x:f>IF(AND(BD$3&gt;=EDATE($B$41,-MIN(6,'Вводные'!$E$89)),BD$3&lt;$B$41),$B$51/MAX(1,MIN(6,'Вводные'!$E$89)),0)</x:f>
      </x:c>
      <x:c r="BE51" s="117" t="n">
        <x:f>IF(AND(BE$3&gt;=EDATE($B$41,-MIN(6,'Вводные'!$E$89)),BE$3&lt;$B$41),$B$51/MAX(1,MIN(6,'Вводные'!$E$89)),0)</x:f>
      </x:c>
      <x:c r="BF51" s="117" t="n">
        <x:f>IF(AND(BF$3&gt;=EDATE($B$41,-MIN(6,'Вводные'!$E$89)),BF$3&lt;$B$41),$B$51/MAX(1,MIN(6,'Вводные'!$E$89)),0)</x:f>
      </x:c>
      <x:c r="BG51" s="117" t="n">
        <x:f>IF(AND(BG$3&gt;=EDATE($B$41,-MIN(6,'Вводные'!$E$89)),BG$3&lt;$B$41),$B$51/MAX(1,MIN(6,'Вводные'!$E$89)),0)</x:f>
      </x:c>
      <x:c r="BH51" s="117" t="n">
        <x:f>IF(AND(BH$3&gt;=EDATE($B$41,-MIN(6,'Вводные'!$E$89)),BH$3&lt;$B$41),$B$51/MAX(1,MIN(6,'Вводные'!$E$89)),0)</x:f>
      </x:c>
      <x:c r="BI51" s="117" t="n">
        <x:f>IF(AND(BI$3&gt;=EDATE($B$41,-MIN(6,'Вводные'!$E$89)),BI$3&lt;$B$41),$B$51/MAX(1,MIN(6,'Вводные'!$E$89)),0)</x:f>
      </x:c>
      <x:c r="BJ51" s="117" t="n">
        <x:f>IF(AND(BJ$3&gt;=EDATE($B$41,-MIN(6,'Вводные'!$E$89)),BJ$3&lt;$B$41),$B$51/MAX(1,MIN(6,'Вводные'!$E$89)),0)</x:f>
      </x:c>
      <x:c r="BK51" s="117" t="n">
        <x:f>IF(AND(BK$3&gt;=EDATE($B$41,-MIN(6,'Вводные'!$E$89)),BK$3&lt;$B$41),$B$51/MAX(1,MIN(6,'Вводные'!$E$89)),0)</x:f>
      </x:c>
      <x:c r="BL51" s="117" t="n">
        <x:f>IF(AND(BL$3&gt;=EDATE($B$41,-MIN(6,'Вводные'!$E$89)),BL$3&lt;$B$41),$B$51/MAX(1,MIN(6,'Вводные'!$E$89)),0)</x:f>
      </x:c>
      <x:c r="BM51" s="117" t="n">
        <x:f>IF(AND(BM$3&gt;=EDATE($B$41,-MIN(6,'Вводные'!$E$89)),BM$3&lt;$B$41),$B$51/MAX(1,MIN(6,'Вводные'!$E$89)),0)</x:f>
      </x:c>
      <x:c r="BN51" s="117" t="n">
        <x:f>IF(AND(BN$3&gt;=EDATE($B$41,-MIN(6,'Вводные'!$E$89)),BN$3&lt;$B$41),$B$51/MAX(1,MIN(6,'Вводные'!$E$89)),0)</x:f>
      </x:c>
      <x:c r="BO51" s="117" t="n">
        <x:f>IF(AND(BO$3&gt;=EDATE($B$41,-MIN(6,'Вводные'!$E$89)),BO$3&lt;$B$41),$B$51/MAX(1,MIN(6,'Вводные'!$E$89)),0)</x:f>
      </x:c>
      <x:c r="BP51" s="117" t="n">
        <x:f>IF(AND(BP$3&gt;=EDATE($B$41,-MIN(6,'Вводные'!$E$89)),BP$3&lt;$B$41),$B$51/MAX(1,MIN(6,'Вводные'!$E$89)),0)</x:f>
      </x:c>
      <x:c r="BQ51" s="117" t="n">
        <x:f>IF(AND(BQ$3&gt;=EDATE($B$41,-MIN(6,'Вводные'!$E$89)),BQ$3&lt;$B$41),$B$51/MAX(1,MIN(6,'Вводные'!$E$89)),0)</x:f>
      </x:c>
      <x:c r="BR51" s="117" t="n">
        <x:f>IF(AND(BR$3&gt;=EDATE($B$41,-MIN(6,'Вводные'!$E$89)),BR$3&lt;$B$41),$B$51/MAX(1,MIN(6,'Вводные'!$E$89)),0)</x:f>
      </x:c>
      <x:c r="BS51" s="117" t="n">
        <x:f>IF(AND(BS$3&gt;=EDATE($B$41,-MIN(6,'Вводные'!$E$89)),BS$3&lt;$B$41),$B$51/MAX(1,MIN(6,'Вводные'!$E$89)),0)</x:f>
      </x:c>
      <x:c r="BT51" s="117" t="n">
        <x:f>IF(AND(BT$3&gt;=EDATE($B$41,-MIN(6,'Вводные'!$E$89)),BT$3&lt;$B$41),$B$51/MAX(1,MIN(6,'Вводные'!$E$89)),0)</x:f>
      </x:c>
      <x:c r="BU51" s="117" t="n">
        <x:f>IF(AND(BU$3&gt;=EDATE($B$41,-MIN(6,'Вводные'!$E$89)),BU$3&lt;$B$41),$B$51/MAX(1,MIN(6,'Вводные'!$E$89)),0)</x:f>
      </x:c>
      <x:c r="BV51" s="117" t="n">
        <x:f>IF(AND(BV$3&gt;=EDATE($B$41,-MIN(6,'Вводные'!$E$89)),BV$3&lt;$B$41),$B$51/MAX(1,MIN(6,'Вводные'!$E$89)),0)</x:f>
      </x:c>
      <x:c r="BW51" s="117" t="n">
        <x:f>IF(AND(BW$3&gt;=EDATE($B$41,-MIN(6,'Вводные'!$E$89)),BW$3&lt;$B$41),$B$51/MAX(1,MIN(6,'Вводные'!$E$89)),0)</x:f>
      </x:c>
      <x:c r="BX51" s="117" t="n">
        <x:f>IF(AND(BX$3&gt;=EDATE($B$41,-MIN(6,'Вводные'!$E$89)),BX$3&lt;$B$41),$B$51/MAX(1,MIN(6,'Вводные'!$E$89)),0)</x:f>
      </x:c>
      <x:c r="BY51" s="117" t="n">
        <x:f>IF(AND(BY$3&gt;=EDATE($B$41,-MIN(6,'Вводные'!$E$89)),BY$3&lt;$B$41),$B$51/MAX(1,MIN(6,'Вводные'!$E$89)),0)</x:f>
      </x:c>
      <x:c r="BZ51" s="117" t="n">
        <x:f>IF(AND(BZ$3&gt;=EDATE($B$41,-MIN(6,'Вводные'!$E$89)),BZ$3&lt;$B$41),$B$51/MAX(1,MIN(6,'Вводные'!$E$89)),0)</x:f>
      </x:c>
      <x:c r="CA51" s="117" t="n">
        <x:f>IF(AND(CA$3&gt;=EDATE($B$41,-MIN(6,'Вводные'!$E$89)),CA$3&lt;$B$41),$B$51/MAX(1,MIN(6,'Вводные'!$E$89)),0)</x:f>
      </x:c>
      <x:c r="CB51" s="117" t="n">
        <x:f>IF(AND(CB$3&gt;=EDATE($B$41,-MIN(6,'Вводные'!$E$89)),CB$3&lt;$B$41),$B$51/MAX(1,MIN(6,'Вводные'!$E$89)),0)</x:f>
      </x:c>
      <x:c r="CC51" s="117" t="n">
        <x:f>IF(AND(CC$3&gt;=EDATE($B$41,-MIN(6,'Вводные'!$E$89)),CC$3&lt;$B$41),$B$51/MAX(1,MIN(6,'Вводные'!$E$89)),0)</x:f>
      </x:c>
      <x:c r="CD51" s="117" t="n">
        <x:f>IF(AND(CD$3&gt;=EDATE($B$41,-MIN(6,'Вводные'!$E$89)),CD$3&lt;$B$41),$B$51/MAX(1,MIN(6,'Вводные'!$E$89)),0)</x:f>
      </x:c>
      <x:c r="CE51" s="117" t="n">
        <x:f>IF(AND(CE$3&gt;=EDATE($B$41,-MIN(6,'Вводные'!$E$89)),CE$3&lt;$B$41),$B$51/MAX(1,MIN(6,'Вводные'!$E$89)),0)</x:f>
      </x:c>
      <x:c r="CF51" s="117" t="n">
        <x:f>IF(AND(CF$3&gt;=EDATE($B$41,-MIN(6,'Вводные'!$E$89)),CF$3&lt;$B$41),$B$51/MAX(1,MIN(6,'Вводные'!$E$89)),0)</x:f>
      </x:c>
      <x:c r="CG51" s="117" t="n">
        <x:f>IF(AND(CG$3&gt;=EDATE($B$41,-MIN(6,'Вводные'!$E$89)),CG$3&lt;$B$41),$B$51/MAX(1,MIN(6,'Вводные'!$E$89)),0)</x:f>
      </x:c>
      <x:c r="CH51" s="117" t="n">
        <x:f>IF(AND(CH$3&gt;=EDATE($B$41,-MIN(6,'Вводные'!$E$89)),CH$3&lt;$B$41),$B$51/MAX(1,MIN(6,'Вводные'!$E$89)),0)</x:f>
      </x:c>
      <x:c r="CI51" s="117" t="n">
        <x:f>IF(AND(CI$3&gt;=EDATE($B$41,-MIN(6,'Вводные'!$E$89)),CI$3&lt;$B$41),$B$51/MAX(1,MIN(6,'Вводные'!$E$89)),0)</x:f>
      </x:c>
      <x:c r="CJ51" s="117" t="n">
        <x:f>IF(AND(CJ$3&gt;=EDATE($B$41,-MIN(6,'Вводные'!$E$89)),CJ$3&lt;$B$41),$B$51/MAX(1,MIN(6,'Вводные'!$E$89)),0)</x:f>
      </x:c>
      <x:c r="CK51" s="117" t="n">
        <x:f>IF(AND(CK$3&gt;=EDATE($B$41,-MIN(6,'Вводные'!$E$89)),CK$3&lt;$B$41),$B$51/MAX(1,MIN(6,'Вводные'!$E$89)),0)</x:f>
      </x:c>
      <x:c r="CL51" s="117" t="n">
        <x:f>IF(AND(CL$3&gt;=EDATE($B$41,-MIN(6,'Вводные'!$E$89)),CL$3&lt;$B$41),$B$51/MAX(1,MIN(6,'Вводные'!$E$89)),0)</x:f>
      </x:c>
      <x:c r="CM51" s="117" t="n">
        <x:f>IF(AND(CM$3&gt;=EDATE($B$41,-MIN(6,'Вводные'!$E$89)),CM$3&lt;$B$41),$B$51/MAX(1,MIN(6,'Вводные'!$E$89)),0)</x:f>
      </x:c>
      <x:c r="CN51" s="117" t="n">
        <x:f>IF(AND(CN$3&gt;=EDATE($B$41,-MIN(6,'Вводные'!$E$89)),CN$3&lt;$B$41),$B$51/MAX(1,MIN(6,'Вводные'!$E$89)),0)</x:f>
      </x:c>
      <x:c r="CO51" s="117" t="n">
        <x:f>IF(AND(CO$3&gt;=EDATE($B$41,-MIN(6,'Вводные'!$E$89)),CO$3&lt;$B$41),$B$51/MAX(1,MIN(6,'Вводные'!$E$89)),0)</x:f>
      </x:c>
      <x:c r="CP51" s="117" t="n">
        <x:f>IF(AND(CP$3&gt;=EDATE($B$41,-MIN(6,'Вводные'!$E$89)),CP$3&lt;$B$41),$B$51/MAX(1,MIN(6,'Вводные'!$E$89)),0)</x:f>
      </x:c>
      <x:c r="CQ51" s="117" t="n">
        <x:f>IF(AND(CQ$3&gt;=EDATE($B$41,-MIN(6,'Вводные'!$E$89)),CQ$3&lt;$B$41),$B$51/MAX(1,MIN(6,'Вводные'!$E$89)),0)</x:f>
      </x:c>
      <x:c r="CR51" s="117" t="n">
        <x:f>IF(AND(CR$3&gt;=EDATE($B$41,-MIN(6,'Вводные'!$E$89)),CR$3&lt;$B$41),$B$51/MAX(1,MIN(6,'Вводные'!$E$89)),0)</x:f>
      </x:c>
      <x:c r="CS51" s="117" t="n">
        <x:f>IF(AND(CS$3&gt;=EDATE($B$41,-MIN(6,'Вводные'!$E$89)),CS$3&lt;$B$41),$B$51/MAX(1,MIN(6,'Вводные'!$E$89)),0)</x:f>
      </x:c>
      <x:c r="CT51" s="117" t="n">
        <x:f>IF(AND(CT$3&gt;=EDATE($B$41,-MIN(6,'Вводные'!$E$89)),CT$3&lt;$B$41),$B$51/MAX(1,MIN(6,'Вводные'!$E$89)),0)</x:f>
      </x:c>
      <x:c r="CU51" s="117" t="n">
        <x:f>IF(AND(CU$3&gt;=EDATE($B$41,-MIN(6,'Вводные'!$E$89)),CU$3&lt;$B$41),$B$51/MAX(1,MIN(6,'Вводные'!$E$89)),0)</x:f>
      </x:c>
      <x:c r="CV51" s="117" t="n">
        <x:f>IF(AND(CV$3&gt;=EDATE($B$41,-MIN(6,'Вводные'!$E$89)),CV$3&lt;$B$41),$B$51/MAX(1,MIN(6,'Вводные'!$E$89)),0)</x:f>
      </x:c>
      <x:c r="CW51" s="117" t="n">
        <x:f>IF(AND(CW$3&gt;=EDATE($B$41,-MIN(6,'Вводные'!$E$89)),CW$3&lt;$B$41),$B$51/MAX(1,MIN(6,'Вводные'!$E$89)),0)</x:f>
      </x:c>
      <x:c r="CX51" s="117" t="n">
        <x:f>IF(AND(CX$3&gt;=EDATE($B$41,-MIN(6,'Вводные'!$E$89)),CX$3&lt;$B$41),$B$51/MAX(1,MIN(6,'Вводные'!$E$89)),0)</x:f>
      </x:c>
      <x:c r="CY51" s="117" t="n">
        <x:f>IF(AND(CY$3&gt;=EDATE($B$41,-MIN(6,'Вводные'!$E$89)),CY$3&lt;$B$41),$B$51/MAX(1,MIN(6,'Вводные'!$E$89)),0)</x:f>
      </x:c>
      <x:c r="CZ51" s="117" t="n">
        <x:f>IF(AND(CZ$3&gt;=EDATE($B$41,-MIN(6,'Вводные'!$E$89)),CZ$3&lt;$B$41),$B$51/MAX(1,MIN(6,'Вводные'!$E$89)),0)</x:f>
      </x:c>
      <x:c r="DA51" s="117" t="n">
        <x:f>IF(AND(DA$3&gt;=EDATE($B$41,-MIN(6,'Вводные'!$E$89)),DA$3&lt;$B$41),$B$51/MAX(1,MIN(6,'Вводные'!$E$89)),0)</x:f>
      </x:c>
      <x:c r="DB51" s="117" t="n">
        <x:f>IF(AND(DB$3&gt;=EDATE($B$41,-MIN(6,'Вводные'!$E$89)),DB$3&lt;$B$41),$B$51/MAX(1,MIN(6,'Вводные'!$E$89)),0)</x:f>
      </x:c>
      <x:c r="DC51" s="117" t="n">
        <x:f>IF(AND(DC$3&gt;=EDATE($B$41,-MIN(6,'Вводные'!$E$89)),DC$3&lt;$B$41),$B$51/MAX(1,MIN(6,'Вводные'!$E$89)),0)</x:f>
      </x:c>
      <x:c r="DD51" s="117" t="n">
        <x:f>IF(AND(DD$3&gt;=EDATE($B$41,-MIN(6,'Вводные'!$E$89)),DD$3&lt;$B$41),$B$51/MAX(1,MIN(6,'Вводные'!$E$89)),0)</x:f>
      </x:c>
      <x:c r="DE51" s="117" t="n">
        <x:f>IF(AND(DE$3&gt;=EDATE($B$41,-MIN(6,'Вводные'!$E$89)),DE$3&lt;$B$41),$B$51/MAX(1,MIN(6,'Вводные'!$E$89)),0)</x:f>
      </x:c>
      <x:c r="DF51" s="117" t="n">
        <x:f>IF(AND(DF$3&gt;=EDATE($B$41,-MIN(6,'Вводные'!$E$89)),DF$3&lt;$B$41),$B$51/MAX(1,MIN(6,'Вводные'!$E$89)),0)</x:f>
      </x:c>
      <x:c r="DG51" s="117" t="n">
        <x:f>IF(AND(DG$3&gt;=EDATE($B$41,-MIN(6,'Вводные'!$E$89)),DG$3&lt;$B$41),$B$51/MAX(1,MIN(6,'Вводные'!$E$89)),0)</x:f>
      </x:c>
      <x:c r="DH51" s="117" t="n">
        <x:f>IF(AND(DH$3&gt;=EDATE($B$41,-MIN(6,'Вводные'!$E$89)),DH$3&lt;$B$41),$B$51/MAX(1,MIN(6,'Вводные'!$E$89)),0)</x:f>
      </x:c>
      <x:c r="DI51" s="117" t="n">
        <x:f>IF(AND(DI$3&gt;=EDATE($B$41,-MIN(6,'Вводные'!$E$89)),DI$3&lt;$B$41),$B$51/MAX(1,MIN(6,'Вводные'!$E$89)),0)</x:f>
      </x:c>
      <x:c r="DJ51" s="117" t="n">
        <x:f>IF(AND(DJ$3&gt;=EDATE($B$41,-MIN(6,'Вводные'!$E$89)),DJ$3&lt;$B$41),$B$51/MAX(1,MIN(6,'Вводные'!$E$89)),0)</x:f>
      </x:c>
      <x:c r="DK51" s="117" t="n">
        <x:f>IF(AND(DK$3&gt;=EDATE($B$41,-MIN(6,'Вводные'!$E$89)),DK$3&lt;$B$41),$B$51/MAX(1,MIN(6,'Вводные'!$E$89)),0)</x:f>
      </x:c>
      <x:c r="DL51" s="117" t="n">
        <x:f>IF(AND(DL$3&gt;=EDATE($B$41,-MIN(6,'Вводные'!$E$89)),DL$3&lt;$B$41),$B$51/MAX(1,MIN(6,'Вводные'!$E$89)),0)</x:f>
      </x:c>
      <x:c r="DM51" s="117" t="n">
        <x:f>IF(AND(DM$3&gt;=EDATE($B$41,-MIN(6,'Вводные'!$E$89)),DM$3&lt;$B$41),$B$51/MAX(1,MIN(6,'Вводные'!$E$89)),0)</x:f>
      </x:c>
      <x:c r="DN51" s="117" t="n">
        <x:f>IF(AND(DN$3&gt;=EDATE($B$41,-MIN(6,'Вводные'!$E$89)),DN$3&lt;$B$41),$B$51/MAX(1,MIN(6,'Вводные'!$E$89)),0)</x:f>
      </x:c>
      <x:c r="DO51" s="117" t="n">
        <x:f>IF(AND(DO$3&gt;=EDATE($B$41,-MIN(6,'Вводные'!$E$89)),DO$3&lt;$B$41),$B$51/MAX(1,MIN(6,'Вводные'!$E$89)),0)</x:f>
      </x:c>
      <x:c r="DP51" s="117" t="n">
        <x:f>IF(AND(DP$3&gt;=EDATE($B$41,-MIN(6,'Вводные'!$E$89)),DP$3&lt;$B$41),$B$51/MAX(1,MIN(6,'Вводные'!$E$89)),0)</x:f>
      </x:c>
      <x:c r="DQ51" s="117" t="n">
        <x:f>IF(AND(DQ$3&gt;=EDATE($B$41,-MIN(6,'Вводные'!$E$89)),DQ$3&lt;$B$41),$B$51/MAX(1,MIN(6,'Вводные'!$E$89)),0)</x:f>
      </x:c>
      <x:c r="DR51" s="117" t="n">
        <x:f>IF(AND(DR$3&gt;=EDATE($B$41,-MIN(6,'Вводные'!$E$89)),DR$3&lt;$B$41),$B$51/MAX(1,MIN(6,'Вводные'!$E$89)),0)</x:f>
      </x:c>
      <x:c r="DS51" s="117" t="n">
        <x:f>IF(AND(DS$3&gt;=EDATE($B$41,-MIN(6,'Вводные'!$E$89)),DS$3&lt;$B$41),$B$51/MAX(1,MIN(6,'Вводные'!$E$89)),0)</x:f>
      </x:c>
    </x:row>
    <x:row r="52">
      <x:c r="A52" t="str">
        <x:v>Проектирование, стадия РД</x:v>
      </x:c>
      <x:c r="B52" s="107" t="n">
        <x:f>(('Вводные'!$I$89+'Вводные'!$J$89+'Вводные'!$K$89)*'Вводные'!$B$42/1000*'Вводные'!$H$6*'Вводные'!$T$89*--('Вводные'!$B$89="Да"))*'Вводные'!$AH$89</x:f>
      </x:c>
      <x:c r="C52" t="str">
        <x:v>млн ₽</x:v>
      </x:c>
      <x:c r="D52" s="117" t="n">
        <x:f>IF(AND(D$3&gt;=EDATE($B$41,-MIN(6,'Вводные'!$E$89)),D$3&lt;$B$41),$B$52/MAX(1,MIN(6,'Вводные'!$E$89)),0)</x:f>
      </x:c>
      <x:c r="E52" s="117" t="n">
        <x:f>IF(AND(E$3&gt;=EDATE($B$41,-MIN(6,'Вводные'!$E$89)),E$3&lt;$B$41),$B$52/MAX(1,MIN(6,'Вводные'!$E$89)),0)</x:f>
      </x:c>
      <x:c r="F52" s="117" t="n">
        <x:f>IF(AND(F$3&gt;=EDATE($B$41,-MIN(6,'Вводные'!$E$89)),F$3&lt;$B$41),$B$52/MAX(1,MIN(6,'Вводные'!$E$89)),0)</x:f>
      </x:c>
      <x:c r="G52" s="117" t="n">
        <x:f>IF(AND(G$3&gt;=EDATE($B$41,-MIN(6,'Вводные'!$E$89)),G$3&lt;$B$41),$B$52/MAX(1,MIN(6,'Вводные'!$E$89)),0)</x:f>
      </x:c>
      <x:c r="H52" s="117" t="n">
        <x:f>IF(AND(H$3&gt;=EDATE($B$41,-MIN(6,'Вводные'!$E$89)),H$3&lt;$B$41),$B$52/MAX(1,MIN(6,'Вводные'!$E$89)),0)</x:f>
      </x:c>
      <x:c r="I52" s="117" t="n">
        <x:f>IF(AND(I$3&gt;=EDATE($B$41,-MIN(6,'Вводные'!$E$89)),I$3&lt;$B$41),$B$52/MAX(1,MIN(6,'Вводные'!$E$89)),0)</x:f>
      </x:c>
      <x:c r="J52" s="117" t="n">
        <x:f>IF(AND(J$3&gt;=EDATE($B$41,-MIN(6,'Вводные'!$E$89)),J$3&lt;$B$41),$B$52/MAX(1,MIN(6,'Вводные'!$E$89)),0)</x:f>
      </x:c>
      <x:c r="K52" s="117" t="n">
        <x:f>IF(AND(K$3&gt;=EDATE($B$41,-MIN(6,'Вводные'!$E$89)),K$3&lt;$B$41),$B$52/MAX(1,MIN(6,'Вводные'!$E$89)),0)</x:f>
      </x:c>
      <x:c r="L52" s="117" t="n">
        <x:f>IF(AND(L$3&gt;=EDATE($B$41,-MIN(6,'Вводные'!$E$89)),L$3&lt;$B$41),$B$52/MAX(1,MIN(6,'Вводные'!$E$89)),0)</x:f>
      </x:c>
      <x:c r="M52" s="117" t="n">
        <x:f>IF(AND(M$3&gt;=EDATE($B$41,-MIN(6,'Вводные'!$E$89)),M$3&lt;$B$41),$B$52/MAX(1,MIN(6,'Вводные'!$E$89)),0)</x:f>
      </x:c>
      <x:c r="N52" s="117" t="n">
        <x:f>IF(AND(N$3&gt;=EDATE($B$41,-MIN(6,'Вводные'!$E$89)),N$3&lt;$B$41),$B$52/MAX(1,MIN(6,'Вводные'!$E$89)),0)</x:f>
      </x:c>
      <x:c r="O52" s="117" t="n">
        <x:f>IF(AND(O$3&gt;=EDATE($B$41,-MIN(6,'Вводные'!$E$89)),O$3&lt;$B$41),$B$52/MAX(1,MIN(6,'Вводные'!$E$89)),0)</x:f>
      </x:c>
      <x:c r="P52" s="117" t="n">
        <x:f>IF(AND(P$3&gt;=EDATE($B$41,-MIN(6,'Вводные'!$E$89)),P$3&lt;$B$41),$B$52/MAX(1,MIN(6,'Вводные'!$E$89)),0)</x:f>
      </x:c>
      <x:c r="Q52" s="117" t="n">
        <x:f>IF(AND(Q$3&gt;=EDATE($B$41,-MIN(6,'Вводные'!$E$89)),Q$3&lt;$B$41),$B$52/MAX(1,MIN(6,'Вводные'!$E$89)),0)</x:f>
      </x:c>
      <x:c r="R52" s="117" t="n">
        <x:f>IF(AND(R$3&gt;=EDATE($B$41,-MIN(6,'Вводные'!$E$89)),R$3&lt;$B$41),$B$52/MAX(1,MIN(6,'Вводные'!$E$89)),0)</x:f>
      </x:c>
      <x:c r="S52" s="117" t="n">
        <x:f>IF(AND(S$3&gt;=EDATE($B$41,-MIN(6,'Вводные'!$E$89)),S$3&lt;$B$41),$B$52/MAX(1,MIN(6,'Вводные'!$E$89)),0)</x:f>
      </x:c>
      <x:c r="T52" s="117" t="n">
        <x:f>IF(AND(T$3&gt;=EDATE($B$41,-MIN(6,'Вводные'!$E$89)),T$3&lt;$B$41),$B$52/MAX(1,MIN(6,'Вводные'!$E$89)),0)</x:f>
      </x:c>
      <x:c r="U52" s="117" t="n">
        <x:f>IF(AND(U$3&gt;=EDATE($B$41,-MIN(6,'Вводные'!$E$89)),U$3&lt;$B$41),$B$52/MAX(1,MIN(6,'Вводные'!$E$89)),0)</x:f>
      </x:c>
      <x:c r="V52" s="117" t="n">
        <x:f>IF(AND(V$3&gt;=EDATE($B$41,-MIN(6,'Вводные'!$E$89)),V$3&lt;$B$41),$B$52/MAX(1,MIN(6,'Вводные'!$E$89)),0)</x:f>
      </x:c>
      <x:c r="W52" s="117" t="n">
        <x:f>IF(AND(W$3&gt;=EDATE($B$41,-MIN(6,'Вводные'!$E$89)),W$3&lt;$B$41),$B$52/MAX(1,MIN(6,'Вводные'!$E$89)),0)</x:f>
      </x:c>
      <x:c r="X52" s="117" t="n">
        <x:f>IF(AND(X$3&gt;=EDATE($B$41,-MIN(6,'Вводные'!$E$89)),X$3&lt;$B$41),$B$52/MAX(1,MIN(6,'Вводные'!$E$89)),0)</x:f>
      </x:c>
      <x:c r="Y52" s="117" t="n">
        <x:f>IF(AND(Y$3&gt;=EDATE($B$41,-MIN(6,'Вводные'!$E$89)),Y$3&lt;$B$41),$B$52/MAX(1,MIN(6,'Вводные'!$E$89)),0)</x:f>
      </x:c>
      <x:c r="Z52" s="117" t="n">
        <x:f>IF(AND(Z$3&gt;=EDATE($B$41,-MIN(6,'Вводные'!$E$89)),Z$3&lt;$B$41),$B$52/MAX(1,MIN(6,'Вводные'!$E$89)),0)</x:f>
      </x:c>
      <x:c r="AA52" s="117" t="n">
        <x:f>IF(AND(AA$3&gt;=EDATE($B$41,-MIN(6,'Вводные'!$E$89)),AA$3&lt;$B$41),$B$52/MAX(1,MIN(6,'Вводные'!$E$89)),0)</x:f>
      </x:c>
      <x:c r="AB52" s="117" t="n">
        <x:f>IF(AND(AB$3&gt;=EDATE($B$41,-MIN(6,'Вводные'!$E$89)),AB$3&lt;$B$41),$B$52/MAX(1,MIN(6,'Вводные'!$E$89)),0)</x:f>
      </x:c>
      <x:c r="AC52" s="117" t="n">
        <x:f>IF(AND(AC$3&gt;=EDATE($B$41,-MIN(6,'Вводные'!$E$89)),AC$3&lt;$B$41),$B$52/MAX(1,MIN(6,'Вводные'!$E$89)),0)</x:f>
      </x:c>
      <x:c r="AD52" s="117" t="n">
        <x:f>IF(AND(AD$3&gt;=EDATE($B$41,-MIN(6,'Вводные'!$E$89)),AD$3&lt;$B$41),$B$52/MAX(1,MIN(6,'Вводные'!$E$89)),0)</x:f>
      </x:c>
      <x:c r="AE52" s="117" t="n">
        <x:f>IF(AND(AE$3&gt;=EDATE($B$41,-MIN(6,'Вводные'!$E$89)),AE$3&lt;$B$41),$B$52/MAX(1,MIN(6,'Вводные'!$E$89)),0)</x:f>
      </x:c>
      <x:c r="AF52" s="117" t="n">
        <x:f>IF(AND(AF$3&gt;=EDATE($B$41,-MIN(6,'Вводные'!$E$89)),AF$3&lt;$B$41),$B$52/MAX(1,MIN(6,'Вводные'!$E$89)),0)</x:f>
      </x:c>
      <x:c r="AG52" s="117" t="n">
        <x:f>IF(AND(AG$3&gt;=EDATE($B$41,-MIN(6,'Вводные'!$E$89)),AG$3&lt;$B$41),$B$52/MAX(1,MIN(6,'Вводные'!$E$89)),0)</x:f>
      </x:c>
      <x:c r="AH52" s="117" t="n">
        <x:f>IF(AND(AH$3&gt;=EDATE($B$41,-MIN(6,'Вводные'!$E$89)),AH$3&lt;$B$41),$B$52/MAX(1,MIN(6,'Вводные'!$E$89)),0)</x:f>
      </x:c>
      <x:c r="AI52" s="117" t="n">
        <x:f>IF(AND(AI$3&gt;=EDATE($B$41,-MIN(6,'Вводные'!$E$89)),AI$3&lt;$B$41),$B$52/MAX(1,MIN(6,'Вводные'!$E$89)),0)</x:f>
      </x:c>
      <x:c r="AJ52" s="117" t="n">
        <x:f>IF(AND(AJ$3&gt;=EDATE($B$41,-MIN(6,'Вводные'!$E$89)),AJ$3&lt;$B$41),$B$52/MAX(1,MIN(6,'Вводные'!$E$89)),0)</x:f>
      </x:c>
      <x:c r="AK52" s="117" t="n">
        <x:f>IF(AND(AK$3&gt;=EDATE($B$41,-MIN(6,'Вводные'!$E$89)),AK$3&lt;$B$41),$B$52/MAX(1,MIN(6,'Вводные'!$E$89)),0)</x:f>
      </x:c>
      <x:c r="AL52" s="117" t="n">
        <x:f>IF(AND(AL$3&gt;=EDATE($B$41,-MIN(6,'Вводные'!$E$89)),AL$3&lt;$B$41),$B$52/MAX(1,MIN(6,'Вводные'!$E$89)),0)</x:f>
      </x:c>
      <x:c r="AM52" s="117" t="n">
        <x:f>IF(AND(AM$3&gt;=EDATE($B$41,-MIN(6,'Вводные'!$E$89)),AM$3&lt;$B$41),$B$52/MAX(1,MIN(6,'Вводные'!$E$89)),0)</x:f>
      </x:c>
      <x:c r="AN52" s="117" t="n">
        <x:f>IF(AND(AN$3&gt;=EDATE($B$41,-MIN(6,'Вводные'!$E$89)),AN$3&lt;$B$41),$B$52/MAX(1,MIN(6,'Вводные'!$E$89)),0)</x:f>
      </x:c>
      <x:c r="AO52" s="117" t="n">
        <x:f>IF(AND(AO$3&gt;=EDATE($B$41,-MIN(6,'Вводные'!$E$89)),AO$3&lt;$B$41),$B$52/MAX(1,MIN(6,'Вводные'!$E$89)),0)</x:f>
      </x:c>
      <x:c r="AP52" s="117" t="n">
        <x:f>IF(AND(AP$3&gt;=EDATE($B$41,-MIN(6,'Вводные'!$E$89)),AP$3&lt;$B$41),$B$52/MAX(1,MIN(6,'Вводные'!$E$89)),0)</x:f>
      </x:c>
      <x:c r="AQ52" s="117" t="n">
        <x:f>IF(AND(AQ$3&gt;=EDATE($B$41,-MIN(6,'Вводные'!$E$89)),AQ$3&lt;$B$41),$B$52/MAX(1,MIN(6,'Вводные'!$E$89)),0)</x:f>
      </x:c>
      <x:c r="AR52" s="117" t="n">
        <x:f>IF(AND(AR$3&gt;=EDATE($B$41,-MIN(6,'Вводные'!$E$89)),AR$3&lt;$B$41),$B$52/MAX(1,MIN(6,'Вводные'!$E$89)),0)</x:f>
      </x:c>
      <x:c r="AS52" s="117" t="n">
        <x:f>IF(AND(AS$3&gt;=EDATE($B$41,-MIN(6,'Вводные'!$E$89)),AS$3&lt;$B$41),$B$52/MAX(1,MIN(6,'Вводные'!$E$89)),0)</x:f>
      </x:c>
      <x:c r="AT52" s="117" t="n">
        <x:f>IF(AND(AT$3&gt;=EDATE($B$41,-MIN(6,'Вводные'!$E$89)),AT$3&lt;$B$41),$B$52/MAX(1,MIN(6,'Вводные'!$E$89)),0)</x:f>
      </x:c>
      <x:c r="AU52" s="117" t="n">
        <x:f>IF(AND(AU$3&gt;=EDATE($B$41,-MIN(6,'Вводные'!$E$89)),AU$3&lt;$B$41),$B$52/MAX(1,MIN(6,'Вводные'!$E$89)),0)</x:f>
      </x:c>
      <x:c r="AV52" s="117" t="n">
        <x:f>IF(AND(AV$3&gt;=EDATE($B$41,-MIN(6,'Вводные'!$E$89)),AV$3&lt;$B$41),$B$52/MAX(1,MIN(6,'Вводные'!$E$89)),0)</x:f>
      </x:c>
      <x:c r="AW52" s="117" t="n">
        <x:f>IF(AND(AW$3&gt;=EDATE($B$41,-MIN(6,'Вводные'!$E$89)),AW$3&lt;$B$41),$B$52/MAX(1,MIN(6,'Вводные'!$E$89)),0)</x:f>
      </x:c>
      <x:c r="AX52" s="117" t="n">
        <x:f>IF(AND(AX$3&gt;=EDATE($B$41,-MIN(6,'Вводные'!$E$89)),AX$3&lt;$B$41),$B$52/MAX(1,MIN(6,'Вводные'!$E$89)),0)</x:f>
      </x:c>
      <x:c r="AY52" s="117" t="n">
        <x:f>IF(AND(AY$3&gt;=EDATE($B$41,-MIN(6,'Вводные'!$E$89)),AY$3&lt;$B$41),$B$52/MAX(1,MIN(6,'Вводные'!$E$89)),0)</x:f>
      </x:c>
      <x:c r="AZ52" s="117" t="n">
        <x:f>IF(AND(AZ$3&gt;=EDATE($B$41,-MIN(6,'Вводные'!$E$89)),AZ$3&lt;$B$41),$B$52/MAX(1,MIN(6,'Вводные'!$E$89)),0)</x:f>
      </x:c>
      <x:c r="BA52" s="117" t="n">
        <x:f>IF(AND(BA$3&gt;=EDATE($B$41,-MIN(6,'Вводные'!$E$89)),BA$3&lt;$B$41),$B$52/MAX(1,MIN(6,'Вводные'!$E$89)),0)</x:f>
      </x:c>
      <x:c r="BB52" s="117" t="n">
        <x:f>IF(AND(BB$3&gt;=EDATE($B$41,-MIN(6,'Вводные'!$E$89)),BB$3&lt;$B$41),$B$52/MAX(1,MIN(6,'Вводные'!$E$89)),0)</x:f>
      </x:c>
      <x:c r="BC52" s="117" t="n">
        <x:f>IF(AND(BC$3&gt;=EDATE($B$41,-MIN(6,'Вводные'!$E$89)),BC$3&lt;$B$41),$B$52/MAX(1,MIN(6,'Вводные'!$E$89)),0)</x:f>
      </x:c>
      <x:c r="BD52" s="117" t="n">
        <x:f>IF(AND(BD$3&gt;=EDATE($B$41,-MIN(6,'Вводные'!$E$89)),BD$3&lt;$B$41),$B$52/MAX(1,MIN(6,'Вводные'!$E$89)),0)</x:f>
      </x:c>
      <x:c r="BE52" s="117" t="n">
        <x:f>IF(AND(BE$3&gt;=EDATE($B$41,-MIN(6,'Вводные'!$E$89)),BE$3&lt;$B$41),$B$52/MAX(1,MIN(6,'Вводные'!$E$89)),0)</x:f>
      </x:c>
      <x:c r="BF52" s="117" t="n">
        <x:f>IF(AND(BF$3&gt;=EDATE($B$41,-MIN(6,'Вводные'!$E$89)),BF$3&lt;$B$41),$B$52/MAX(1,MIN(6,'Вводные'!$E$89)),0)</x:f>
      </x:c>
      <x:c r="BG52" s="117" t="n">
        <x:f>IF(AND(BG$3&gt;=EDATE($B$41,-MIN(6,'Вводные'!$E$89)),BG$3&lt;$B$41),$B$52/MAX(1,MIN(6,'Вводные'!$E$89)),0)</x:f>
      </x:c>
      <x:c r="BH52" s="117" t="n">
        <x:f>IF(AND(BH$3&gt;=EDATE($B$41,-MIN(6,'Вводные'!$E$89)),BH$3&lt;$B$41),$B$52/MAX(1,MIN(6,'Вводные'!$E$89)),0)</x:f>
      </x:c>
      <x:c r="BI52" s="117" t="n">
        <x:f>IF(AND(BI$3&gt;=EDATE($B$41,-MIN(6,'Вводные'!$E$89)),BI$3&lt;$B$41),$B$52/MAX(1,MIN(6,'Вводные'!$E$89)),0)</x:f>
      </x:c>
      <x:c r="BJ52" s="117" t="n">
        <x:f>IF(AND(BJ$3&gt;=EDATE($B$41,-MIN(6,'Вводные'!$E$89)),BJ$3&lt;$B$41),$B$52/MAX(1,MIN(6,'Вводные'!$E$89)),0)</x:f>
      </x:c>
      <x:c r="BK52" s="117" t="n">
        <x:f>IF(AND(BK$3&gt;=EDATE($B$41,-MIN(6,'Вводные'!$E$89)),BK$3&lt;$B$41),$B$52/MAX(1,MIN(6,'Вводные'!$E$89)),0)</x:f>
      </x:c>
      <x:c r="BL52" s="117" t="n">
        <x:f>IF(AND(BL$3&gt;=EDATE($B$41,-MIN(6,'Вводные'!$E$89)),BL$3&lt;$B$41),$B$52/MAX(1,MIN(6,'Вводные'!$E$89)),0)</x:f>
      </x:c>
      <x:c r="BM52" s="117" t="n">
        <x:f>IF(AND(BM$3&gt;=EDATE($B$41,-MIN(6,'Вводные'!$E$89)),BM$3&lt;$B$41),$B$52/MAX(1,MIN(6,'Вводные'!$E$89)),0)</x:f>
      </x:c>
      <x:c r="BN52" s="117" t="n">
        <x:f>IF(AND(BN$3&gt;=EDATE($B$41,-MIN(6,'Вводные'!$E$89)),BN$3&lt;$B$41),$B$52/MAX(1,MIN(6,'Вводные'!$E$89)),0)</x:f>
      </x:c>
      <x:c r="BO52" s="117" t="n">
        <x:f>IF(AND(BO$3&gt;=EDATE($B$41,-MIN(6,'Вводные'!$E$89)),BO$3&lt;$B$41),$B$52/MAX(1,MIN(6,'Вводные'!$E$89)),0)</x:f>
      </x:c>
      <x:c r="BP52" s="117" t="n">
        <x:f>IF(AND(BP$3&gt;=EDATE($B$41,-MIN(6,'Вводные'!$E$89)),BP$3&lt;$B$41),$B$52/MAX(1,MIN(6,'Вводные'!$E$89)),0)</x:f>
      </x:c>
      <x:c r="BQ52" s="117" t="n">
        <x:f>IF(AND(BQ$3&gt;=EDATE($B$41,-MIN(6,'Вводные'!$E$89)),BQ$3&lt;$B$41),$B$52/MAX(1,MIN(6,'Вводные'!$E$89)),0)</x:f>
      </x:c>
      <x:c r="BR52" s="117" t="n">
        <x:f>IF(AND(BR$3&gt;=EDATE($B$41,-MIN(6,'Вводные'!$E$89)),BR$3&lt;$B$41),$B$52/MAX(1,MIN(6,'Вводные'!$E$89)),0)</x:f>
      </x:c>
      <x:c r="BS52" s="117" t="n">
        <x:f>IF(AND(BS$3&gt;=EDATE($B$41,-MIN(6,'Вводные'!$E$89)),BS$3&lt;$B$41),$B$52/MAX(1,MIN(6,'Вводные'!$E$89)),0)</x:f>
      </x:c>
      <x:c r="BT52" s="117" t="n">
        <x:f>IF(AND(BT$3&gt;=EDATE($B$41,-MIN(6,'Вводные'!$E$89)),BT$3&lt;$B$41),$B$52/MAX(1,MIN(6,'Вводные'!$E$89)),0)</x:f>
      </x:c>
      <x:c r="BU52" s="117" t="n">
        <x:f>IF(AND(BU$3&gt;=EDATE($B$41,-MIN(6,'Вводные'!$E$89)),BU$3&lt;$B$41),$B$52/MAX(1,MIN(6,'Вводные'!$E$89)),0)</x:f>
      </x:c>
      <x:c r="BV52" s="117" t="n">
        <x:f>IF(AND(BV$3&gt;=EDATE($B$41,-MIN(6,'Вводные'!$E$89)),BV$3&lt;$B$41),$B$52/MAX(1,MIN(6,'Вводные'!$E$89)),0)</x:f>
      </x:c>
      <x:c r="BW52" s="117" t="n">
        <x:f>IF(AND(BW$3&gt;=EDATE($B$41,-MIN(6,'Вводные'!$E$89)),BW$3&lt;$B$41),$B$52/MAX(1,MIN(6,'Вводные'!$E$89)),0)</x:f>
      </x:c>
      <x:c r="BX52" s="117" t="n">
        <x:f>IF(AND(BX$3&gt;=EDATE($B$41,-MIN(6,'Вводные'!$E$89)),BX$3&lt;$B$41),$B$52/MAX(1,MIN(6,'Вводные'!$E$89)),0)</x:f>
      </x:c>
      <x:c r="BY52" s="117" t="n">
        <x:f>IF(AND(BY$3&gt;=EDATE($B$41,-MIN(6,'Вводные'!$E$89)),BY$3&lt;$B$41),$B$52/MAX(1,MIN(6,'Вводные'!$E$89)),0)</x:f>
      </x:c>
      <x:c r="BZ52" s="117" t="n">
        <x:f>IF(AND(BZ$3&gt;=EDATE($B$41,-MIN(6,'Вводные'!$E$89)),BZ$3&lt;$B$41),$B$52/MAX(1,MIN(6,'Вводные'!$E$89)),0)</x:f>
      </x:c>
      <x:c r="CA52" s="117" t="n">
        <x:f>IF(AND(CA$3&gt;=EDATE($B$41,-MIN(6,'Вводные'!$E$89)),CA$3&lt;$B$41),$B$52/MAX(1,MIN(6,'Вводные'!$E$89)),0)</x:f>
      </x:c>
      <x:c r="CB52" s="117" t="n">
        <x:f>IF(AND(CB$3&gt;=EDATE($B$41,-MIN(6,'Вводные'!$E$89)),CB$3&lt;$B$41),$B$52/MAX(1,MIN(6,'Вводные'!$E$89)),0)</x:f>
      </x:c>
      <x:c r="CC52" s="117" t="n">
        <x:f>IF(AND(CC$3&gt;=EDATE($B$41,-MIN(6,'Вводные'!$E$89)),CC$3&lt;$B$41),$B$52/MAX(1,MIN(6,'Вводные'!$E$89)),0)</x:f>
      </x:c>
      <x:c r="CD52" s="117" t="n">
        <x:f>IF(AND(CD$3&gt;=EDATE($B$41,-MIN(6,'Вводные'!$E$89)),CD$3&lt;$B$41),$B$52/MAX(1,MIN(6,'Вводные'!$E$89)),0)</x:f>
      </x:c>
      <x:c r="CE52" s="117" t="n">
        <x:f>IF(AND(CE$3&gt;=EDATE($B$41,-MIN(6,'Вводные'!$E$89)),CE$3&lt;$B$41),$B$52/MAX(1,MIN(6,'Вводные'!$E$89)),0)</x:f>
      </x:c>
      <x:c r="CF52" s="117" t="n">
        <x:f>IF(AND(CF$3&gt;=EDATE($B$41,-MIN(6,'Вводные'!$E$89)),CF$3&lt;$B$41),$B$52/MAX(1,MIN(6,'Вводные'!$E$89)),0)</x:f>
      </x:c>
      <x:c r="CG52" s="117" t="n">
        <x:f>IF(AND(CG$3&gt;=EDATE($B$41,-MIN(6,'Вводные'!$E$89)),CG$3&lt;$B$41),$B$52/MAX(1,MIN(6,'Вводные'!$E$89)),0)</x:f>
      </x:c>
      <x:c r="CH52" s="117" t="n">
        <x:f>IF(AND(CH$3&gt;=EDATE($B$41,-MIN(6,'Вводные'!$E$89)),CH$3&lt;$B$41),$B$52/MAX(1,MIN(6,'Вводные'!$E$89)),0)</x:f>
      </x:c>
      <x:c r="CI52" s="117" t="n">
        <x:f>IF(AND(CI$3&gt;=EDATE($B$41,-MIN(6,'Вводные'!$E$89)),CI$3&lt;$B$41),$B$52/MAX(1,MIN(6,'Вводные'!$E$89)),0)</x:f>
      </x:c>
      <x:c r="CJ52" s="117" t="n">
        <x:f>IF(AND(CJ$3&gt;=EDATE($B$41,-MIN(6,'Вводные'!$E$89)),CJ$3&lt;$B$41),$B$52/MAX(1,MIN(6,'Вводные'!$E$89)),0)</x:f>
      </x:c>
      <x:c r="CK52" s="117" t="n">
        <x:f>IF(AND(CK$3&gt;=EDATE($B$41,-MIN(6,'Вводные'!$E$89)),CK$3&lt;$B$41),$B$52/MAX(1,MIN(6,'Вводные'!$E$89)),0)</x:f>
      </x:c>
      <x:c r="CL52" s="117" t="n">
        <x:f>IF(AND(CL$3&gt;=EDATE($B$41,-MIN(6,'Вводные'!$E$89)),CL$3&lt;$B$41),$B$52/MAX(1,MIN(6,'Вводные'!$E$89)),0)</x:f>
      </x:c>
      <x:c r="CM52" s="117" t="n">
        <x:f>IF(AND(CM$3&gt;=EDATE($B$41,-MIN(6,'Вводные'!$E$89)),CM$3&lt;$B$41),$B$52/MAX(1,MIN(6,'Вводные'!$E$89)),0)</x:f>
      </x:c>
      <x:c r="CN52" s="117" t="n">
        <x:f>IF(AND(CN$3&gt;=EDATE($B$41,-MIN(6,'Вводные'!$E$89)),CN$3&lt;$B$41),$B$52/MAX(1,MIN(6,'Вводные'!$E$89)),0)</x:f>
      </x:c>
      <x:c r="CO52" s="117" t="n">
        <x:f>IF(AND(CO$3&gt;=EDATE($B$41,-MIN(6,'Вводные'!$E$89)),CO$3&lt;$B$41),$B$52/MAX(1,MIN(6,'Вводные'!$E$89)),0)</x:f>
      </x:c>
      <x:c r="CP52" s="117" t="n">
        <x:f>IF(AND(CP$3&gt;=EDATE($B$41,-MIN(6,'Вводные'!$E$89)),CP$3&lt;$B$41),$B$52/MAX(1,MIN(6,'Вводные'!$E$89)),0)</x:f>
      </x:c>
      <x:c r="CQ52" s="117" t="n">
        <x:f>IF(AND(CQ$3&gt;=EDATE($B$41,-MIN(6,'Вводные'!$E$89)),CQ$3&lt;$B$41),$B$52/MAX(1,MIN(6,'Вводные'!$E$89)),0)</x:f>
      </x:c>
      <x:c r="CR52" s="117" t="n">
        <x:f>IF(AND(CR$3&gt;=EDATE($B$41,-MIN(6,'Вводные'!$E$89)),CR$3&lt;$B$41),$B$52/MAX(1,MIN(6,'Вводные'!$E$89)),0)</x:f>
      </x:c>
      <x:c r="CS52" s="117" t="n">
        <x:f>IF(AND(CS$3&gt;=EDATE($B$41,-MIN(6,'Вводные'!$E$89)),CS$3&lt;$B$41),$B$52/MAX(1,MIN(6,'Вводные'!$E$89)),0)</x:f>
      </x:c>
      <x:c r="CT52" s="117" t="n">
        <x:f>IF(AND(CT$3&gt;=EDATE($B$41,-MIN(6,'Вводные'!$E$89)),CT$3&lt;$B$41),$B$52/MAX(1,MIN(6,'Вводные'!$E$89)),0)</x:f>
      </x:c>
      <x:c r="CU52" s="117" t="n">
        <x:f>IF(AND(CU$3&gt;=EDATE($B$41,-MIN(6,'Вводные'!$E$89)),CU$3&lt;$B$41),$B$52/MAX(1,MIN(6,'Вводные'!$E$89)),0)</x:f>
      </x:c>
      <x:c r="CV52" s="117" t="n">
        <x:f>IF(AND(CV$3&gt;=EDATE($B$41,-MIN(6,'Вводные'!$E$89)),CV$3&lt;$B$41),$B$52/MAX(1,MIN(6,'Вводные'!$E$89)),0)</x:f>
      </x:c>
      <x:c r="CW52" s="117" t="n">
        <x:f>IF(AND(CW$3&gt;=EDATE($B$41,-MIN(6,'Вводные'!$E$89)),CW$3&lt;$B$41),$B$52/MAX(1,MIN(6,'Вводные'!$E$89)),0)</x:f>
      </x:c>
      <x:c r="CX52" s="117" t="n">
        <x:f>IF(AND(CX$3&gt;=EDATE($B$41,-MIN(6,'Вводные'!$E$89)),CX$3&lt;$B$41),$B$52/MAX(1,MIN(6,'Вводные'!$E$89)),0)</x:f>
      </x:c>
      <x:c r="CY52" s="117" t="n">
        <x:f>IF(AND(CY$3&gt;=EDATE($B$41,-MIN(6,'Вводные'!$E$89)),CY$3&lt;$B$41),$B$52/MAX(1,MIN(6,'Вводные'!$E$89)),0)</x:f>
      </x:c>
      <x:c r="CZ52" s="117" t="n">
        <x:f>IF(AND(CZ$3&gt;=EDATE($B$41,-MIN(6,'Вводные'!$E$89)),CZ$3&lt;$B$41),$B$52/MAX(1,MIN(6,'Вводные'!$E$89)),0)</x:f>
      </x:c>
      <x:c r="DA52" s="117" t="n">
        <x:f>IF(AND(DA$3&gt;=EDATE($B$41,-MIN(6,'Вводные'!$E$89)),DA$3&lt;$B$41),$B$52/MAX(1,MIN(6,'Вводные'!$E$89)),0)</x:f>
      </x:c>
      <x:c r="DB52" s="117" t="n">
        <x:f>IF(AND(DB$3&gt;=EDATE($B$41,-MIN(6,'Вводные'!$E$89)),DB$3&lt;$B$41),$B$52/MAX(1,MIN(6,'Вводные'!$E$89)),0)</x:f>
      </x:c>
      <x:c r="DC52" s="117" t="n">
        <x:f>IF(AND(DC$3&gt;=EDATE($B$41,-MIN(6,'Вводные'!$E$89)),DC$3&lt;$B$41),$B$52/MAX(1,MIN(6,'Вводные'!$E$89)),0)</x:f>
      </x:c>
      <x:c r="DD52" s="117" t="n">
        <x:f>IF(AND(DD$3&gt;=EDATE($B$41,-MIN(6,'Вводные'!$E$89)),DD$3&lt;$B$41),$B$52/MAX(1,MIN(6,'Вводные'!$E$89)),0)</x:f>
      </x:c>
      <x:c r="DE52" s="117" t="n">
        <x:f>IF(AND(DE$3&gt;=EDATE($B$41,-MIN(6,'Вводные'!$E$89)),DE$3&lt;$B$41),$B$52/MAX(1,MIN(6,'Вводные'!$E$89)),0)</x:f>
      </x:c>
      <x:c r="DF52" s="117" t="n">
        <x:f>IF(AND(DF$3&gt;=EDATE($B$41,-MIN(6,'Вводные'!$E$89)),DF$3&lt;$B$41),$B$52/MAX(1,MIN(6,'Вводные'!$E$89)),0)</x:f>
      </x:c>
      <x:c r="DG52" s="117" t="n">
        <x:f>IF(AND(DG$3&gt;=EDATE($B$41,-MIN(6,'Вводные'!$E$89)),DG$3&lt;$B$41),$B$52/MAX(1,MIN(6,'Вводные'!$E$89)),0)</x:f>
      </x:c>
      <x:c r="DH52" s="117" t="n">
        <x:f>IF(AND(DH$3&gt;=EDATE($B$41,-MIN(6,'Вводные'!$E$89)),DH$3&lt;$B$41),$B$52/MAX(1,MIN(6,'Вводные'!$E$89)),0)</x:f>
      </x:c>
      <x:c r="DI52" s="117" t="n">
        <x:f>IF(AND(DI$3&gt;=EDATE($B$41,-MIN(6,'Вводные'!$E$89)),DI$3&lt;$B$41),$B$52/MAX(1,MIN(6,'Вводные'!$E$89)),0)</x:f>
      </x:c>
      <x:c r="DJ52" s="117" t="n">
        <x:f>IF(AND(DJ$3&gt;=EDATE($B$41,-MIN(6,'Вводные'!$E$89)),DJ$3&lt;$B$41),$B$52/MAX(1,MIN(6,'Вводные'!$E$89)),0)</x:f>
      </x:c>
      <x:c r="DK52" s="117" t="n">
        <x:f>IF(AND(DK$3&gt;=EDATE($B$41,-MIN(6,'Вводные'!$E$89)),DK$3&lt;$B$41),$B$52/MAX(1,MIN(6,'Вводные'!$E$89)),0)</x:f>
      </x:c>
      <x:c r="DL52" s="117" t="n">
        <x:f>IF(AND(DL$3&gt;=EDATE($B$41,-MIN(6,'Вводные'!$E$89)),DL$3&lt;$B$41),$B$52/MAX(1,MIN(6,'Вводные'!$E$89)),0)</x:f>
      </x:c>
      <x:c r="DM52" s="117" t="n">
        <x:f>IF(AND(DM$3&gt;=EDATE($B$41,-MIN(6,'Вводные'!$E$89)),DM$3&lt;$B$41),$B$52/MAX(1,MIN(6,'Вводные'!$E$89)),0)</x:f>
      </x:c>
      <x:c r="DN52" s="117" t="n">
        <x:f>IF(AND(DN$3&gt;=EDATE($B$41,-MIN(6,'Вводные'!$E$89)),DN$3&lt;$B$41),$B$52/MAX(1,MIN(6,'Вводные'!$E$89)),0)</x:f>
      </x:c>
      <x:c r="DO52" s="117" t="n">
        <x:f>IF(AND(DO$3&gt;=EDATE($B$41,-MIN(6,'Вводные'!$E$89)),DO$3&lt;$B$41),$B$52/MAX(1,MIN(6,'Вводные'!$E$89)),0)</x:f>
      </x:c>
      <x:c r="DP52" s="117" t="n">
        <x:f>IF(AND(DP$3&gt;=EDATE($B$41,-MIN(6,'Вводные'!$E$89)),DP$3&lt;$B$41),$B$52/MAX(1,MIN(6,'Вводные'!$E$89)),0)</x:f>
      </x:c>
      <x:c r="DQ52" s="117" t="n">
        <x:f>IF(AND(DQ$3&gt;=EDATE($B$41,-MIN(6,'Вводные'!$E$89)),DQ$3&lt;$B$41),$B$52/MAX(1,MIN(6,'Вводные'!$E$89)),0)</x:f>
      </x:c>
      <x:c r="DR52" s="117" t="n">
        <x:f>IF(AND(DR$3&gt;=EDATE($B$41,-MIN(6,'Вводные'!$E$89)),DR$3&lt;$B$41),$B$52/MAX(1,MIN(6,'Вводные'!$E$89)),0)</x:f>
      </x:c>
      <x:c r="DS52" s="117" t="n">
        <x:f>IF(AND(DS$3&gt;=EDATE($B$41,-MIN(6,'Вводные'!$E$89)),DS$3&lt;$B$41),$B$52/MAX(1,MIN(6,'Вводные'!$E$89)),0)</x:f>
      </x:c>
    </x:row>
    <x:row r="53">
      <x:c r="A53" t="str">
        <x:v>Авторский надзор</x:v>
      </x:c>
      <x:c r="B53" s="107" t="n">
        <x:f>SUM(B51:B52)*'Вводные'!$B$51</x:f>
      </x:c>
      <x:c r="C53" t="str">
        <x:v>млн ₽</x:v>
      </x:c>
      <x:c r="D53" s="117" t="n">
        <x:f>$B$53*D47</x:f>
      </x:c>
      <x:c r="E53" s="117" t="n">
        <x:f>$B$53*E47</x:f>
      </x:c>
      <x:c r="F53" s="117" t="n">
        <x:f>$B$53*F47</x:f>
      </x:c>
      <x:c r="G53" s="117" t="n">
        <x:f>$B$53*G47</x:f>
      </x:c>
      <x:c r="H53" s="117" t="n">
        <x:f>$B$53*H47</x:f>
      </x:c>
      <x:c r="I53" s="117" t="n">
        <x:f>$B$53*I47</x:f>
      </x:c>
      <x:c r="J53" s="117" t="n">
        <x:f>$B$53*J47</x:f>
      </x:c>
      <x:c r="K53" s="117" t="n">
        <x:f>$B$53*K47</x:f>
      </x:c>
      <x:c r="L53" s="117" t="n">
        <x:f>$B$53*L47</x:f>
      </x:c>
      <x:c r="M53" s="117" t="n">
        <x:f>$B$53*M47</x:f>
      </x:c>
      <x:c r="N53" s="117" t="n">
        <x:f>$B$53*N47</x:f>
      </x:c>
      <x:c r="O53" s="117" t="n">
        <x:f>$B$53*O47</x:f>
      </x:c>
      <x:c r="P53" s="117" t="n">
        <x:f>$B$53*P47</x:f>
      </x:c>
      <x:c r="Q53" s="117" t="n">
        <x:f>$B$53*Q47</x:f>
      </x:c>
      <x:c r="R53" s="117" t="n">
        <x:f>$B$53*R47</x:f>
      </x:c>
      <x:c r="S53" s="117" t="n">
        <x:f>$B$53*S47</x:f>
      </x:c>
      <x:c r="T53" s="117" t="n">
        <x:f>$B$53*T47</x:f>
      </x:c>
      <x:c r="U53" s="117" t="n">
        <x:f>$B$53*U47</x:f>
      </x:c>
      <x:c r="V53" s="117" t="n">
        <x:f>$B$53*V47</x:f>
      </x:c>
      <x:c r="W53" s="117" t="n">
        <x:f>$B$53*W47</x:f>
      </x:c>
      <x:c r="X53" s="117" t="n">
        <x:f>$B$53*X47</x:f>
      </x:c>
      <x:c r="Y53" s="117" t="n">
        <x:f>$B$53*Y47</x:f>
      </x:c>
      <x:c r="Z53" s="117" t="n">
        <x:f>$B$53*Z47</x:f>
      </x:c>
      <x:c r="AA53" s="117" t="n">
        <x:f>$B$53*AA47</x:f>
      </x:c>
      <x:c r="AB53" s="117" t="n">
        <x:f>$B$53*AB47</x:f>
      </x:c>
      <x:c r="AC53" s="117" t="n">
        <x:f>$B$53*AC47</x:f>
      </x:c>
      <x:c r="AD53" s="117" t="n">
        <x:f>$B$53*AD47</x:f>
      </x:c>
      <x:c r="AE53" s="117" t="n">
        <x:f>$B$53*AE47</x:f>
      </x:c>
      <x:c r="AF53" s="117" t="n">
        <x:f>$B$53*AF47</x:f>
      </x:c>
      <x:c r="AG53" s="117" t="n">
        <x:f>$B$53*AG47</x:f>
      </x:c>
      <x:c r="AH53" s="117" t="n">
        <x:f>$B$53*AH47</x:f>
      </x:c>
      <x:c r="AI53" s="117" t="n">
        <x:f>$B$53*AI47</x:f>
      </x:c>
      <x:c r="AJ53" s="117" t="n">
        <x:f>$B$53*AJ47</x:f>
      </x:c>
      <x:c r="AK53" s="117" t="n">
        <x:f>$B$53*AK47</x:f>
      </x:c>
      <x:c r="AL53" s="117" t="n">
        <x:f>$B$53*AL47</x:f>
      </x:c>
      <x:c r="AM53" s="117" t="n">
        <x:f>$B$53*AM47</x:f>
      </x:c>
      <x:c r="AN53" s="117" t="n">
        <x:f>$B$53*AN47</x:f>
      </x:c>
      <x:c r="AO53" s="117" t="n">
        <x:f>$B$53*AO47</x:f>
      </x:c>
      <x:c r="AP53" s="117" t="n">
        <x:f>$B$53*AP47</x:f>
      </x:c>
      <x:c r="AQ53" s="117" t="n">
        <x:f>$B$53*AQ47</x:f>
      </x:c>
      <x:c r="AR53" s="117" t="n">
        <x:f>$B$53*AR47</x:f>
      </x:c>
      <x:c r="AS53" s="117" t="n">
        <x:f>$B$53*AS47</x:f>
      </x:c>
      <x:c r="AT53" s="117" t="n">
        <x:f>$B$53*AT47</x:f>
      </x:c>
      <x:c r="AU53" s="117" t="n">
        <x:f>$B$53*AU47</x:f>
      </x:c>
      <x:c r="AV53" s="117" t="n">
        <x:f>$B$53*AV47</x:f>
      </x:c>
      <x:c r="AW53" s="117" t="n">
        <x:f>$B$53*AW47</x:f>
      </x:c>
      <x:c r="AX53" s="117" t="n">
        <x:f>$B$53*AX47</x:f>
      </x:c>
      <x:c r="AY53" s="117" t="n">
        <x:f>$B$53*AY47</x:f>
      </x:c>
      <x:c r="AZ53" s="117" t="n">
        <x:f>$B$53*AZ47</x:f>
      </x:c>
      <x:c r="BA53" s="117" t="n">
        <x:f>$B$53*BA47</x:f>
      </x:c>
      <x:c r="BB53" s="117" t="n">
        <x:f>$B$53*BB47</x:f>
      </x:c>
      <x:c r="BC53" s="117" t="n">
        <x:f>$B$53*BC47</x:f>
      </x:c>
      <x:c r="BD53" s="117" t="n">
        <x:f>$B$53*BD47</x:f>
      </x:c>
      <x:c r="BE53" s="117" t="n">
        <x:f>$B$53*BE47</x:f>
      </x:c>
      <x:c r="BF53" s="117" t="n">
        <x:f>$B$53*BF47</x:f>
      </x:c>
      <x:c r="BG53" s="117" t="n">
        <x:f>$B$53*BG47</x:f>
      </x:c>
      <x:c r="BH53" s="117" t="n">
        <x:f>$B$53*BH47</x:f>
      </x:c>
      <x:c r="BI53" s="117" t="n">
        <x:f>$B$53*BI47</x:f>
      </x:c>
      <x:c r="BJ53" s="117" t="n">
        <x:f>$B$53*BJ47</x:f>
      </x:c>
      <x:c r="BK53" s="117" t="n">
        <x:f>$B$53*BK47</x:f>
      </x:c>
      <x:c r="BL53" s="117" t="n">
        <x:f>$B$53*BL47</x:f>
      </x:c>
      <x:c r="BM53" s="117" t="n">
        <x:f>$B$53*BM47</x:f>
      </x:c>
      <x:c r="BN53" s="117" t="n">
        <x:f>$B$53*BN47</x:f>
      </x:c>
      <x:c r="BO53" s="117" t="n">
        <x:f>$B$53*BO47</x:f>
      </x:c>
      <x:c r="BP53" s="117" t="n">
        <x:f>$B$53*BP47</x:f>
      </x:c>
      <x:c r="BQ53" s="117" t="n">
        <x:f>$B$53*BQ47</x:f>
      </x:c>
      <x:c r="BR53" s="117" t="n">
        <x:f>$B$53*BR47</x:f>
      </x:c>
      <x:c r="BS53" s="117" t="n">
        <x:f>$B$53*BS47</x:f>
      </x:c>
      <x:c r="BT53" s="117" t="n">
        <x:f>$B$53*BT47</x:f>
      </x:c>
      <x:c r="BU53" s="117" t="n">
        <x:f>$B$53*BU47</x:f>
      </x:c>
      <x:c r="BV53" s="117" t="n">
        <x:f>$B$53*BV47</x:f>
      </x:c>
      <x:c r="BW53" s="117" t="n">
        <x:f>$B$53*BW47</x:f>
      </x:c>
      <x:c r="BX53" s="117" t="n">
        <x:f>$B$53*BX47</x:f>
      </x:c>
      <x:c r="BY53" s="117" t="n">
        <x:f>$B$53*BY47</x:f>
      </x:c>
      <x:c r="BZ53" s="117" t="n">
        <x:f>$B$53*BZ47</x:f>
      </x:c>
      <x:c r="CA53" s="117" t="n">
        <x:f>$B$53*CA47</x:f>
      </x:c>
      <x:c r="CB53" s="117" t="n">
        <x:f>$B$53*CB47</x:f>
      </x:c>
      <x:c r="CC53" s="117" t="n">
        <x:f>$B$53*CC47</x:f>
      </x:c>
      <x:c r="CD53" s="117" t="n">
        <x:f>$B$53*CD47</x:f>
      </x:c>
      <x:c r="CE53" s="117" t="n">
        <x:f>$B$53*CE47</x:f>
      </x:c>
      <x:c r="CF53" s="117" t="n">
        <x:f>$B$53*CF47</x:f>
      </x:c>
      <x:c r="CG53" s="117" t="n">
        <x:f>$B$53*CG47</x:f>
      </x:c>
      <x:c r="CH53" s="117" t="n">
        <x:f>$B$53*CH47</x:f>
      </x:c>
      <x:c r="CI53" s="117" t="n">
        <x:f>$B$53*CI47</x:f>
      </x:c>
      <x:c r="CJ53" s="117" t="n">
        <x:f>$B$53*CJ47</x:f>
      </x:c>
      <x:c r="CK53" s="117" t="n">
        <x:f>$B$53*CK47</x:f>
      </x:c>
      <x:c r="CL53" s="117" t="n">
        <x:f>$B$53*CL47</x:f>
      </x:c>
      <x:c r="CM53" s="117" t="n">
        <x:f>$B$53*CM47</x:f>
      </x:c>
      <x:c r="CN53" s="117" t="n">
        <x:f>$B$53*CN47</x:f>
      </x:c>
      <x:c r="CO53" s="117" t="n">
        <x:f>$B$53*CO47</x:f>
      </x:c>
      <x:c r="CP53" s="117" t="n">
        <x:f>$B$53*CP47</x:f>
      </x:c>
      <x:c r="CQ53" s="117" t="n">
        <x:f>$B$53*CQ47</x:f>
      </x:c>
      <x:c r="CR53" s="117" t="n">
        <x:f>$B$53*CR47</x:f>
      </x:c>
      <x:c r="CS53" s="117" t="n">
        <x:f>$B$53*CS47</x:f>
      </x:c>
      <x:c r="CT53" s="117" t="n">
        <x:f>$B$53*CT47</x:f>
      </x:c>
      <x:c r="CU53" s="117" t="n">
        <x:f>$B$53*CU47</x:f>
      </x:c>
      <x:c r="CV53" s="117" t="n">
        <x:f>$B$53*CV47</x:f>
      </x:c>
      <x:c r="CW53" s="117" t="n">
        <x:f>$B$53*CW47</x:f>
      </x:c>
      <x:c r="CX53" s="117" t="n">
        <x:f>$B$53*CX47</x:f>
      </x:c>
      <x:c r="CY53" s="117" t="n">
        <x:f>$B$53*CY47</x:f>
      </x:c>
      <x:c r="CZ53" s="117" t="n">
        <x:f>$B$53*CZ47</x:f>
      </x:c>
      <x:c r="DA53" s="117" t="n">
        <x:f>$B$53*DA47</x:f>
      </x:c>
      <x:c r="DB53" s="117" t="n">
        <x:f>$B$53*DB47</x:f>
      </x:c>
      <x:c r="DC53" s="117" t="n">
        <x:f>$B$53*DC47</x:f>
      </x:c>
      <x:c r="DD53" s="117" t="n">
        <x:f>$B$53*DD47</x:f>
      </x:c>
      <x:c r="DE53" s="117" t="n">
        <x:f>$B$53*DE47</x:f>
      </x:c>
      <x:c r="DF53" s="117" t="n">
        <x:f>$B$53*DF47</x:f>
      </x:c>
      <x:c r="DG53" s="117" t="n">
        <x:f>$B$53*DG47</x:f>
      </x:c>
      <x:c r="DH53" s="117" t="n">
        <x:f>$B$53*DH47</x:f>
      </x:c>
      <x:c r="DI53" s="117" t="n">
        <x:f>$B$53*DI47</x:f>
      </x:c>
      <x:c r="DJ53" s="117" t="n">
        <x:f>$B$53*DJ47</x:f>
      </x:c>
      <x:c r="DK53" s="117" t="n">
        <x:f>$B$53*DK47</x:f>
      </x:c>
      <x:c r="DL53" s="117" t="n">
        <x:f>$B$53*DL47</x:f>
      </x:c>
      <x:c r="DM53" s="117" t="n">
        <x:f>$B$53*DM47</x:f>
      </x:c>
      <x:c r="DN53" s="117" t="n">
        <x:f>$B$53*DN47</x:f>
      </x:c>
      <x:c r="DO53" s="117" t="n">
        <x:f>$B$53*DO47</x:f>
      </x:c>
      <x:c r="DP53" s="117" t="n">
        <x:f>$B$53*DP47</x:f>
      </x:c>
      <x:c r="DQ53" s="117" t="n">
        <x:f>$B$53*DQ47</x:f>
      </x:c>
      <x:c r="DR53" s="117" t="n">
        <x:f>$B$53*DR47</x:f>
      </x:c>
      <x:c r="DS53" s="117" t="n">
        <x:f>$B$53*DS47</x:f>
      </x:c>
    </x:row>
    <x:row r="54">
      <x:c r="A54" t="str">
        <x:v>Подготовительные работы</x:v>
      </x:c>
      <x:c r="B54" s="107" t="n">
        <x:f>(('Вводные'!$I$89+'Вводные'!$J$89+'Вводные'!$K$89)*'Вводные'!$B$43/1000*'Вводные'!$H$6*'Вводные'!$T$89*--('Вводные'!$B$89="Да"))*'Вводные'!$AH$89</x:f>
      </x:c>
      <x:c r="C54" t="str">
        <x:v>млн ₽</x:v>
      </x:c>
      <x:c r="D54" s="117" t="n">
        <x:f>IF(AND(D$3&gt;=EDATE($B$41,-MIN(6,'Вводные'!$E$89)),D$3&lt;$B$41),$B$54/MAX(1,MIN(6,'Вводные'!$E$89)),0)</x:f>
      </x:c>
      <x:c r="E54" s="117" t="n">
        <x:f>IF(AND(E$3&gt;=EDATE($B$41,-MIN(6,'Вводные'!$E$89)),E$3&lt;$B$41),$B$54/MAX(1,MIN(6,'Вводные'!$E$89)),0)</x:f>
      </x:c>
      <x:c r="F54" s="117" t="n">
        <x:f>IF(AND(F$3&gt;=EDATE($B$41,-MIN(6,'Вводные'!$E$89)),F$3&lt;$B$41),$B$54/MAX(1,MIN(6,'Вводные'!$E$89)),0)</x:f>
      </x:c>
      <x:c r="G54" s="117" t="n">
        <x:f>IF(AND(G$3&gt;=EDATE($B$41,-MIN(6,'Вводные'!$E$89)),G$3&lt;$B$41),$B$54/MAX(1,MIN(6,'Вводные'!$E$89)),0)</x:f>
      </x:c>
      <x:c r="H54" s="117" t="n">
        <x:f>IF(AND(H$3&gt;=EDATE($B$41,-MIN(6,'Вводные'!$E$89)),H$3&lt;$B$41),$B$54/MAX(1,MIN(6,'Вводные'!$E$89)),0)</x:f>
      </x:c>
      <x:c r="I54" s="117" t="n">
        <x:f>IF(AND(I$3&gt;=EDATE($B$41,-MIN(6,'Вводные'!$E$89)),I$3&lt;$B$41),$B$54/MAX(1,MIN(6,'Вводные'!$E$89)),0)</x:f>
      </x:c>
      <x:c r="J54" s="117" t="n">
        <x:f>IF(AND(J$3&gt;=EDATE($B$41,-MIN(6,'Вводные'!$E$89)),J$3&lt;$B$41),$B$54/MAX(1,MIN(6,'Вводные'!$E$89)),0)</x:f>
      </x:c>
      <x:c r="K54" s="117" t="n">
        <x:f>IF(AND(K$3&gt;=EDATE($B$41,-MIN(6,'Вводные'!$E$89)),K$3&lt;$B$41),$B$54/MAX(1,MIN(6,'Вводные'!$E$89)),0)</x:f>
      </x:c>
      <x:c r="L54" s="117" t="n">
        <x:f>IF(AND(L$3&gt;=EDATE($B$41,-MIN(6,'Вводные'!$E$89)),L$3&lt;$B$41),$B$54/MAX(1,MIN(6,'Вводные'!$E$89)),0)</x:f>
      </x:c>
      <x:c r="M54" s="117" t="n">
        <x:f>IF(AND(M$3&gt;=EDATE($B$41,-MIN(6,'Вводные'!$E$89)),M$3&lt;$B$41),$B$54/MAX(1,MIN(6,'Вводные'!$E$89)),0)</x:f>
      </x:c>
      <x:c r="N54" s="117" t="n">
        <x:f>IF(AND(N$3&gt;=EDATE($B$41,-MIN(6,'Вводные'!$E$89)),N$3&lt;$B$41),$B$54/MAX(1,MIN(6,'Вводные'!$E$89)),0)</x:f>
      </x:c>
      <x:c r="O54" s="117" t="n">
        <x:f>IF(AND(O$3&gt;=EDATE($B$41,-MIN(6,'Вводные'!$E$89)),O$3&lt;$B$41),$B$54/MAX(1,MIN(6,'Вводные'!$E$89)),0)</x:f>
      </x:c>
      <x:c r="P54" s="117" t="n">
        <x:f>IF(AND(P$3&gt;=EDATE($B$41,-MIN(6,'Вводные'!$E$89)),P$3&lt;$B$41),$B$54/MAX(1,MIN(6,'Вводные'!$E$89)),0)</x:f>
      </x:c>
      <x:c r="Q54" s="117" t="n">
        <x:f>IF(AND(Q$3&gt;=EDATE($B$41,-MIN(6,'Вводные'!$E$89)),Q$3&lt;$B$41),$B$54/MAX(1,MIN(6,'Вводные'!$E$89)),0)</x:f>
      </x:c>
      <x:c r="R54" s="117" t="n">
        <x:f>IF(AND(R$3&gt;=EDATE($B$41,-MIN(6,'Вводные'!$E$89)),R$3&lt;$B$41),$B$54/MAX(1,MIN(6,'Вводные'!$E$89)),0)</x:f>
      </x:c>
      <x:c r="S54" s="117" t="n">
        <x:f>IF(AND(S$3&gt;=EDATE($B$41,-MIN(6,'Вводные'!$E$89)),S$3&lt;$B$41),$B$54/MAX(1,MIN(6,'Вводные'!$E$89)),0)</x:f>
      </x:c>
      <x:c r="T54" s="117" t="n">
        <x:f>IF(AND(T$3&gt;=EDATE($B$41,-MIN(6,'Вводные'!$E$89)),T$3&lt;$B$41),$B$54/MAX(1,MIN(6,'Вводные'!$E$89)),0)</x:f>
      </x:c>
      <x:c r="U54" s="117" t="n">
        <x:f>IF(AND(U$3&gt;=EDATE($B$41,-MIN(6,'Вводные'!$E$89)),U$3&lt;$B$41),$B$54/MAX(1,MIN(6,'Вводные'!$E$89)),0)</x:f>
      </x:c>
      <x:c r="V54" s="117" t="n">
        <x:f>IF(AND(V$3&gt;=EDATE($B$41,-MIN(6,'Вводные'!$E$89)),V$3&lt;$B$41),$B$54/MAX(1,MIN(6,'Вводные'!$E$89)),0)</x:f>
      </x:c>
      <x:c r="W54" s="117" t="n">
        <x:f>IF(AND(W$3&gt;=EDATE($B$41,-MIN(6,'Вводные'!$E$89)),W$3&lt;$B$41),$B$54/MAX(1,MIN(6,'Вводные'!$E$89)),0)</x:f>
      </x:c>
      <x:c r="X54" s="117" t="n">
        <x:f>IF(AND(X$3&gt;=EDATE($B$41,-MIN(6,'Вводные'!$E$89)),X$3&lt;$B$41),$B$54/MAX(1,MIN(6,'Вводные'!$E$89)),0)</x:f>
      </x:c>
      <x:c r="Y54" s="117" t="n">
        <x:f>IF(AND(Y$3&gt;=EDATE($B$41,-MIN(6,'Вводные'!$E$89)),Y$3&lt;$B$41),$B$54/MAX(1,MIN(6,'Вводные'!$E$89)),0)</x:f>
      </x:c>
      <x:c r="Z54" s="117" t="n">
        <x:f>IF(AND(Z$3&gt;=EDATE($B$41,-MIN(6,'Вводные'!$E$89)),Z$3&lt;$B$41),$B$54/MAX(1,MIN(6,'Вводные'!$E$89)),0)</x:f>
      </x:c>
      <x:c r="AA54" s="117" t="n">
        <x:f>IF(AND(AA$3&gt;=EDATE($B$41,-MIN(6,'Вводные'!$E$89)),AA$3&lt;$B$41),$B$54/MAX(1,MIN(6,'Вводные'!$E$89)),0)</x:f>
      </x:c>
      <x:c r="AB54" s="117" t="n">
        <x:f>IF(AND(AB$3&gt;=EDATE($B$41,-MIN(6,'Вводные'!$E$89)),AB$3&lt;$B$41),$B$54/MAX(1,MIN(6,'Вводные'!$E$89)),0)</x:f>
      </x:c>
      <x:c r="AC54" s="117" t="n">
        <x:f>IF(AND(AC$3&gt;=EDATE($B$41,-MIN(6,'Вводные'!$E$89)),AC$3&lt;$B$41),$B$54/MAX(1,MIN(6,'Вводные'!$E$89)),0)</x:f>
      </x:c>
      <x:c r="AD54" s="117" t="n">
        <x:f>IF(AND(AD$3&gt;=EDATE($B$41,-MIN(6,'Вводные'!$E$89)),AD$3&lt;$B$41),$B$54/MAX(1,MIN(6,'Вводные'!$E$89)),0)</x:f>
      </x:c>
      <x:c r="AE54" s="117" t="n">
        <x:f>IF(AND(AE$3&gt;=EDATE($B$41,-MIN(6,'Вводные'!$E$89)),AE$3&lt;$B$41),$B$54/MAX(1,MIN(6,'Вводные'!$E$89)),0)</x:f>
      </x:c>
      <x:c r="AF54" s="117" t="n">
        <x:f>IF(AND(AF$3&gt;=EDATE($B$41,-MIN(6,'Вводные'!$E$89)),AF$3&lt;$B$41),$B$54/MAX(1,MIN(6,'Вводные'!$E$89)),0)</x:f>
      </x:c>
      <x:c r="AG54" s="117" t="n">
        <x:f>IF(AND(AG$3&gt;=EDATE($B$41,-MIN(6,'Вводные'!$E$89)),AG$3&lt;$B$41),$B$54/MAX(1,MIN(6,'Вводные'!$E$89)),0)</x:f>
      </x:c>
      <x:c r="AH54" s="117" t="n">
        <x:f>IF(AND(AH$3&gt;=EDATE($B$41,-MIN(6,'Вводные'!$E$89)),AH$3&lt;$B$41),$B$54/MAX(1,MIN(6,'Вводные'!$E$89)),0)</x:f>
      </x:c>
      <x:c r="AI54" s="117" t="n">
        <x:f>IF(AND(AI$3&gt;=EDATE($B$41,-MIN(6,'Вводные'!$E$89)),AI$3&lt;$B$41),$B$54/MAX(1,MIN(6,'Вводные'!$E$89)),0)</x:f>
      </x:c>
      <x:c r="AJ54" s="117" t="n">
        <x:f>IF(AND(AJ$3&gt;=EDATE($B$41,-MIN(6,'Вводные'!$E$89)),AJ$3&lt;$B$41),$B$54/MAX(1,MIN(6,'Вводные'!$E$89)),0)</x:f>
      </x:c>
      <x:c r="AK54" s="117" t="n">
        <x:f>IF(AND(AK$3&gt;=EDATE($B$41,-MIN(6,'Вводные'!$E$89)),AK$3&lt;$B$41),$B$54/MAX(1,MIN(6,'Вводные'!$E$89)),0)</x:f>
      </x:c>
      <x:c r="AL54" s="117" t="n">
        <x:f>IF(AND(AL$3&gt;=EDATE($B$41,-MIN(6,'Вводные'!$E$89)),AL$3&lt;$B$41),$B$54/MAX(1,MIN(6,'Вводные'!$E$89)),0)</x:f>
      </x:c>
      <x:c r="AM54" s="117" t="n">
        <x:f>IF(AND(AM$3&gt;=EDATE($B$41,-MIN(6,'Вводные'!$E$89)),AM$3&lt;$B$41),$B$54/MAX(1,MIN(6,'Вводные'!$E$89)),0)</x:f>
      </x:c>
      <x:c r="AN54" s="117" t="n">
        <x:f>IF(AND(AN$3&gt;=EDATE($B$41,-MIN(6,'Вводные'!$E$89)),AN$3&lt;$B$41),$B$54/MAX(1,MIN(6,'Вводные'!$E$89)),0)</x:f>
      </x:c>
      <x:c r="AO54" s="117" t="n">
        <x:f>IF(AND(AO$3&gt;=EDATE($B$41,-MIN(6,'Вводные'!$E$89)),AO$3&lt;$B$41),$B$54/MAX(1,MIN(6,'Вводные'!$E$89)),0)</x:f>
      </x:c>
      <x:c r="AP54" s="117" t="n">
        <x:f>IF(AND(AP$3&gt;=EDATE($B$41,-MIN(6,'Вводные'!$E$89)),AP$3&lt;$B$41),$B$54/MAX(1,MIN(6,'Вводные'!$E$89)),0)</x:f>
      </x:c>
      <x:c r="AQ54" s="117" t="n">
        <x:f>IF(AND(AQ$3&gt;=EDATE($B$41,-MIN(6,'Вводные'!$E$89)),AQ$3&lt;$B$41),$B$54/MAX(1,MIN(6,'Вводные'!$E$89)),0)</x:f>
      </x:c>
      <x:c r="AR54" s="117" t="n">
        <x:f>IF(AND(AR$3&gt;=EDATE($B$41,-MIN(6,'Вводные'!$E$89)),AR$3&lt;$B$41),$B$54/MAX(1,MIN(6,'Вводные'!$E$89)),0)</x:f>
      </x:c>
      <x:c r="AS54" s="117" t="n">
        <x:f>IF(AND(AS$3&gt;=EDATE($B$41,-MIN(6,'Вводные'!$E$89)),AS$3&lt;$B$41),$B$54/MAX(1,MIN(6,'Вводные'!$E$89)),0)</x:f>
      </x:c>
      <x:c r="AT54" s="117" t="n">
        <x:f>IF(AND(AT$3&gt;=EDATE($B$41,-MIN(6,'Вводные'!$E$89)),AT$3&lt;$B$41),$B$54/MAX(1,MIN(6,'Вводные'!$E$89)),0)</x:f>
      </x:c>
      <x:c r="AU54" s="117" t="n">
        <x:f>IF(AND(AU$3&gt;=EDATE($B$41,-MIN(6,'Вводные'!$E$89)),AU$3&lt;$B$41),$B$54/MAX(1,MIN(6,'Вводные'!$E$89)),0)</x:f>
      </x:c>
      <x:c r="AV54" s="117" t="n">
        <x:f>IF(AND(AV$3&gt;=EDATE($B$41,-MIN(6,'Вводные'!$E$89)),AV$3&lt;$B$41),$B$54/MAX(1,MIN(6,'Вводные'!$E$89)),0)</x:f>
      </x:c>
      <x:c r="AW54" s="117" t="n">
        <x:f>IF(AND(AW$3&gt;=EDATE($B$41,-MIN(6,'Вводные'!$E$89)),AW$3&lt;$B$41),$B$54/MAX(1,MIN(6,'Вводные'!$E$89)),0)</x:f>
      </x:c>
      <x:c r="AX54" s="117" t="n">
        <x:f>IF(AND(AX$3&gt;=EDATE($B$41,-MIN(6,'Вводные'!$E$89)),AX$3&lt;$B$41),$B$54/MAX(1,MIN(6,'Вводные'!$E$89)),0)</x:f>
      </x:c>
      <x:c r="AY54" s="117" t="n">
        <x:f>IF(AND(AY$3&gt;=EDATE($B$41,-MIN(6,'Вводные'!$E$89)),AY$3&lt;$B$41),$B$54/MAX(1,MIN(6,'Вводные'!$E$89)),0)</x:f>
      </x:c>
      <x:c r="AZ54" s="117" t="n">
        <x:f>IF(AND(AZ$3&gt;=EDATE($B$41,-MIN(6,'Вводные'!$E$89)),AZ$3&lt;$B$41),$B$54/MAX(1,MIN(6,'Вводные'!$E$89)),0)</x:f>
      </x:c>
      <x:c r="BA54" s="117" t="n">
        <x:f>IF(AND(BA$3&gt;=EDATE($B$41,-MIN(6,'Вводные'!$E$89)),BA$3&lt;$B$41),$B$54/MAX(1,MIN(6,'Вводные'!$E$89)),0)</x:f>
      </x:c>
      <x:c r="BB54" s="117" t="n">
        <x:f>IF(AND(BB$3&gt;=EDATE($B$41,-MIN(6,'Вводные'!$E$89)),BB$3&lt;$B$41),$B$54/MAX(1,MIN(6,'Вводные'!$E$89)),0)</x:f>
      </x:c>
      <x:c r="BC54" s="117" t="n">
        <x:f>IF(AND(BC$3&gt;=EDATE($B$41,-MIN(6,'Вводные'!$E$89)),BC$3&lt;$B$41),$B$54/MAX(1,MIN(6,'Вводные'!$E$89)),0)</x:f>
      </x:c>
      <x:c r="BD54" s="117" t="n">
        <x:f>IF(AND(BD$3&gt;=EDATE($B$41,-MIN(6,'Вводные'!$E$89)),BD$3&lt;$B$41),$B$54/MAX(1,MIN(6,'Вводные'!$E$89)),0)</x:f>
      </x:c>
      <x:c r="BE54" s="117" t="n">
        <x:f>IF(AND(BE$3&gt;=EDATE($B$41,-MIN(6,'Вводные'!$E$89)),BE$3&lt;$B$41),$B$54/MAX(1,MIN(6,'Вводные'!$E$89)),0)</x:f>
      </x:c>
      <x:c r="BF54" s="117" t="n">
        <x:f>IF(AND(BF$3&gt;=EDATE($B$41,-MIN(6,'Вводные'!$E$89)),BF$3&lt;$B$41),$B$54/MAX(1,MIN(6,'Вводные'!$E$89)),0)</x:f>
      </x:c>
      <x:c r="BG54" s="117" t="n">
        <x:f>IF(AND(BG$3&gt;=EDATE($B$41,-MIN(6,'Вводные'!$E$89)),BG$3&lt;$B$41),$B$54/MAX(1,MIN(6,'Вводные'!$E$89)),0)</x:f>
      </x:c>
      <x:c r="BH54" s="117" t="n">
        <x:f>IF(AND(BH$3&gt;=EDATE($B$41,-MIN(6,'Вводные'!$E$89)),BH$3&lt;$B$41),$B$54/MAX(1,MIN(6,'Вводные'!$E$89)),0)</x:f>
      </x:c>
      <x:c r="BI54" s="117" t="n">
        <x:f>IF(AND(BI$3&gt;=EDATE($B$41,-MIN(6,'Вводные'!$E$89)),BI$3&lt;$B$41),$B$54/MAX(1,MIN(6,'Вводные'!$E$89)),0)</x:f>
      </x:c>
      <x:c r="BJ54" s="117" t="n">
        <x:f>IF(AND(BJ$3&gt;=EDATE($B$41,-MIN(6,'Вводные'!$E$89)),BJ$3&lt;$B$41),$B$54/MAX(1,MIN(6,'Вводные'!$E$89)),0)</x:f>
      </x:c>
      <x:c r="BK54" s="117" t="n">
        <x:f>IF(AND(BK$3&gt;=EDATE($B$41,-MIN(6,'Вводные'!$E$89)),BK$3&lt;$B$41),$B$54/MAX(1,MIN(6,'Вводные'!$E$89)),0)</x:f>
      </x:c>
      <x:c r="BL54" s="117" t="n">
        <x:f>IF(AND(BL$3&gt;=EDATE($B$41,-MIN(6,'Вводные'!$E$89)),BL$3&lt;$B$41),$B$54/MAX(1,MIN(6,'Вводные'!$E$89)),0)</x:f>
      </x:c>
      <x:c r="BM54" s="117" t="n">
        <x:f>IF(AND(BM$3&gt;=EDATE($B$41,-MIN(6,'Вводные'!$E$89)),BM$3&lt;$B$41),$B$54/MAX(1,MIN(6,'Вводные'!$E$89)),0)</x:f>
      </x:c>
      <x:c r="BN54" s="117" t="n">
        <x:f>IF(AND(BN$3&gt;=EDATE($B$41,-MIN(6,'Вводные'!$E$89)),BN$3&lt;$B$41),$B$54/MAX(1,MIN(6,'Вводные'!$E$89)),0)</x:f>
      </x:c>
      <x:c r="BO54" s="117" t="n">
        <x:f>IF(AND(BO$3&gt;=EDATE($B$41,-MIN(6,'Вводные'!$E$89)),BO$3&lt;$B$41),$B$54/MAX(1,MIN(6,'Вводные'!$E$89)),0)</x:f>
      </x:c>
      <x:c r="BP54" s="117" t="n">
        <x:f>IF(AND(BP$3&gt;=EDATE($B$41,-MIN(6,'Вводные'!$E$89)),BP$3&lt;$B$41),$B$54/MAX(1,MIN(6,'Вводные'!$E$89)),0)</x:f>
      </x:c>
      <x:c r="BQ54" s="117" t="n">
        <x:f>IF(AND(BQ$3&gt;=EDATE($B$41,-MIN(6,'Вводные'!$E$89)),BQ$3&lt;$B$41),$B$54/MAX(1,MIN(6,'Вводные'!$E$89)),0)</x:f>
      </x:c>
      <x:c r="BR54" s="117" t="n">
        <x:f>IF(AND(BR$3&gt;=EDATE($B$41,-MIN(6,'Вводные'!$E$89)),BR$3&lt;$B$41),$B$54/MAX(1,MIN(6,'Вводные'!$E$89)),0)</x:f>
      </x:c>
      <x:c r="BS54" s="117" t="n">
        <x:f>IF(AND(BS$3&gt;=EDATE($B$41,-MIN(6,'Вводные'!$E$89)),BS$3&lt;$B$41),$B$54/MAX(1,MIN(6,'Вводные'!$E$89)),0)</x:f>
      </x:c>
      <x:c r="BT54" s="117" t="n">
        <x:f>IF(AND(BT$3&gt;=EDATE($B$41,-MIN(6,'Вводные'!$E$89)),BT$3&lt;$B$41),$B$54/MAX(1,MIN(6,'Вводные'!$E$89)),0)</x:f>
      </x:c>
      <x:c r="BU54" s="117" t="n">
        <x:f>IF(AND(BU$3&gt;=EDATE($B$41,-MIN(6,'Вводные'!$E$89)),BU$3&lt;$B$41),$B$54/MAX(1,MIN(6,'Вводные'!$E$89)),0)</x:f>
      </x:c>
      <x:c r="BV54" s="117" t="n">
        <x:f>IF(AND(BV$3&gt;=EDATE($B$41,-MIN(6,'Вводные'!$E$89)),BV$3&lt;$B$41),$B$54/MAX(1,MIN(6,'Вводные'!$E$89)),0)</x:f>
      </x:c>
      <x:c r="BW54" s="117" t="n">
        <x:f>IF(AND(BW$3&gt;=EDATE($B$41,-MIN(6,'Вводные'!$E$89)),BW$3&lt;$B$41),$B$54/MAX(1,MIN(6,'Вводные'!$E$89)),0)</x:f>
      </x:c>
      <x:c r="BX54" s="117" t="n">
        <x:f>IF(AND(BX$3&gt;=EDATE($B$41,-MIN(6,'Вводные'!$E$89)),BX$3&lt;$B$41),$B$54/MAX(1,MIN(6,'Вводные'!$E$89)),0)</x:f>
      </x:c>
      <x:c r="BY54" s="117" t="n">
        <x:f>IF(AND(BY$3&gt;=EDATE($B$41,-MIN(6,'Вводные'!$E$89)),BY$3&lt;$B$41),$B$54/MAX(1,MIN(6,'Вводные'!$E$89)),0)</x:f>
      </x:c>
      <x:c r="BZ54" s="117" t="n">
        <x:f>IF(AND(BZ$3&gt;=EDATE($B$41,-MIN(6,'Вводные'!$E$89)),BZ$3&lt;$B$41),$B$54/MAX(1,MIN(6,'Вводные'!$E$89)),0)</x:f>
      </x:c>
      <x:c r="CA54" s="117" t="n">
        <x:f>IF(AND(CA$3&gt;=EDATE($B$41,-MIN(6,'Вводные'!$E$89)),CA$3&lt;$B$41),$B$54/MAX(1,MIN(6,'Вводные'!$E$89)),0)</x:f>
      </x:c>
      <x:c r="CB54" s="117" t="n">
        <x:f>IF(AND(CB$3&gt;=EDATE($B$41,-MIN(6,'Вводные'!$E$89)),CB$3&lt;$B$41),$B$54/MAX(1,MIN(6,'Вводные'!$E$89)),0)</x:f>
      </x:c>
      <x:c r="CC54" s="117" t="n">
        <x:f>IF(AND(CC$3&gt;=EDATE($B$41,-MIN(6,'Вводные'!$E$89)),CC$3&lt;$B$41),$B$54/MAX(1,MIN(6,'Вводные'!$E$89)),0)</x:f>
      </x:c>
      <x:c r="CD54" s="117" t="n">
        <x:f>IF(AND(CD$3&gt;=EDATE($B$41,-MIN(6,'Вводные'!$E$89)),CD$3&lt;$B$41),$B$54/MAX(1,MIN(6,'Вводные'!$E$89)),0)</x:f>
      </x:c>
      <x:c r="CE54" s="117" t="n">
        <x:f>IF(AND(CE$3&gt;=EDATE($B$41,-MIN(6,'Вводные'!$E$89)),CE$3&lt;$B$41),$B$54/MAX(1,MIN(6,'Вводные'!$E$89)),0)</x:f>
      </x:c>
      <x:c r="CF54" s="117" t="n">
        <x:f>IF(AND(CF$3&gt;=EDATE($B$41,-MIN(6,'Вводные'!$E$89)),CF$3&lt;$B$41),$B$54/MAX(1,MIN(6,'Вводные'!$E$89)),0)</x:f>
      </x:c>
      <x:c r="CG54" s="117" t="n">
        <x:f>IF(AND(CG$3&gt;=EDATE($B$41,-MIN(6,'Вводные'!$E$89)),CG$3&lt;$B$41),$B$54/MAX(1,MIN(6,'Вводные'!$E$89)),0)</x:f>
      </x:c>
      <x:c r="CH54" s="117" t="n">
        <x:f>IF(AND(CH$3&gt;=EDATE($B$41,-MIN(6,'Вводные'!$E$89)),CH$3&lt;$B$41),$B$54/MAX(1,MIN(6,'Вводные'!$E$89)),0)</x:f>
      </x:c>
      <x:c r="CI54" s="117" t="n">
        <x:f>IF(AND(CI$3&gt;=EDATE($B$41,-MIN(6,'Вводные'!$E$89)),CI$3&lt;$B$41),$B$54/MAX(1,MIN(6,'Вводные'!$E$89)),0)</x:f>
      </x:c>
      <x:c r="CJ54" s="117" t="n">
        <x:f>IF(AND(CJ$3&gt;=EDATE($B$41,-MIN(6,'Вводные'!$E$89)),CJ$3&lt;$B$41),$B$54/MAX(1,MIN(6,'Вводные'!$E$89)),0)</x:f>
      </x:c>
      <x:c r="CK54" s="117" t="n">
        <x:f>IF(AND(CK$3&gt;=EDATE($B$41,-MIN(6,'Вводные'!$E$89)),CK$3&lt;$B$41),$B$54/MAX(1,MIN(6,'Вводные'!$E$89)),0)</x:f>
      </x:c>
      <x:c r="CL54" s="117" t="n">
        <x:f>IF(AND(CL$3&gt;=EDATE($B$41,-MIN(6,'Вводные'!$E$89)),CL$3&lt;$B$41),$B$54/MAX(1,MIN(6,'Вводные'!$E$89)),0)</x:f>
      </x:c>
      <x:c r="CM54" s="117" t="n">
        <x:f>IF(AND(CM$3&gt;=EDATE($B$41,-MIN(6,'Вводные'!$E$89)),CM$3&lt;$B$41),$B$54/MAX(1,MIN(6,'Вводные'!$E$89)),0)</x:f>
      </x:c>
      <x:c r="CN54" s="117" t="n">
        <x:f>IF(AND(CN$3&gt;=EDATE($B$41,-MIN(6,'Вводные'!$E$89)),CN$3&lt;$B$41),$B$54/MAX(1,MIN(6,'Вводные'!$E$89)),0)</x:f>
      </x:c>
      <x:c r="CO54" s="117" t="n">
        <x:f>IF(AND(CO$3&gt;=EDATE($B$41,-MIN(6,'Вводные'!$E$89)),CO$3&lt;$B$41),$B$54/MAX(1,MIN(6,'Вводные'!$E$89)),0)</x:f>
      </x:c>
      <x:c r="CP54" s="117" t="n">
        <x:f>IF(AND(CP$3&gt;=EDATE($B$41,-MIN(6,'Вводные'!$E$89)),CP$3&lt;$B$41),$B$54/MAX(1,MIN(6,'Вводные'!$E$89)),0)</x:f>
      </x:c>
      <x:c r="CQ54" s="117" t="n">
        <x:f>IF(AND(CQ$3&gt;=EDATE($B$41,-MIN(6,'Вводные'!$E$89)),CQ$3&lt;$B$41),$B$54/MAX(1,MIN(6,'Вводные'!$E$89)),0)</x:f>
      </x:c>
      <x:c r="CR54" s="117" t="n">
        <x:f>IF(AND(CR$3&gt;=EDATE($B$41,-MIN(6,'Вводные'!$E$89)),CR$3&lt;$B$41),$B$54/MAX(1,MIN(6,'Вводные'!$E$89)),0)</x:f>
      </x:c>
      <x:c r="CS54" s="117" t="n">
        <x:f>IF(AND(CS$3&gt;=EDATE($B$41,-MIN(6,'Вводные'!$E$89)),CS$3&lt;$B$41),$B$54/MAX(1,MIN(6,'Вводные'!$E$89)),0)</x:f>
      </x:c>
      <x:c r="CT54" s="117" t="n">
        <x:f>IF(AND(CT$3&gt;=EDATE($B$41,-MIN(6,'Вводные'!$E$89)),CT$3&lt;$B$41),$B$54/MAX(1,MIN(6,'Вводные'!$E$89)),0)</x:f>
      </x:c>
      <x:c r="CU54" s="117" t="n">
        <x:f>IF(AND(CU$3&gt;=EDATE($B$41,-MIN(6,'Вводные'!$E$89)),CU$3&lt;$B$41),$B$54/MAX(1,MIN(6,'Вводные'!$E$89)),0)</x:f>
      </x:c>
      <x:c r="CV54" s="117" t="n">
        <x:f>IF(AND(CV$3&gt;=EDATE($B$41,-MIN(6,'Вводные'!$E$89)),CV$3&lt;$B$41),$B$54/MAX(1,MIN(6,'Вводные'!$E$89)),0)</x:f>
      </x:c>
      <x:c r="CW54" s="117" t="n">
        <x:f>IF(AND(CW$3&gt;=EDATE($B$41,-MIN(6,'Вводные'!$E$89)),CW$3&lt;$B$41),$B$54/MAX(1,MIN(6,'Вводные'!$E$89)),0)</x:f>
      </x:c>
      <x:c r="CX54" s="117" t="n">
        <x:f>IF(AND(CX$3&gt;=EDATE($B$41,-MIN(6,'Вводные'!$E$89)),CX$3&lt;$B$41),$B$54/MAX(1,MIN(6,'Вводные'!$E$89)),0)</x:f>
      </x:c>
      <x:c r="CY54" s="117" t="n">
        <x:f>IF(AND(CY$3&gt;=EDATE($B$41,-MIN(6,'Вводные'!$E$89)),CY$3&lt;$B$41),$B$54/MAX(1,MIN(6,'Вводные'!$E$89)),0)</x:f>
      </x:c>
      <x:c r="CZ54" s="117" t="n">
        <x:f>IF(AND(CZ$3&gt;=EDATE($B$41,-MIN(6,'Вводные'!$E$89)),CZ$3&lt;$B$41),$B$54/MAX(1,MIN(6,'Вводные'!$E$89)),0)</x:f>
      </x:c>
      <x:c r="DA54" s="117" t="n">
        <x:f>IF(AND(DA$3&gt;=EDATE($B$41,-MIN(6,'Вводные'!$E$89)),DA$3&lt;$B$41),$B$54/MAX(1,MIN(6,'Вводные'!$E$89)),0)</x:f>
      </x:c>
      <x:c r="DB54" s="117" t="n">
        <x:f>IF(AND(DB$3&gt;=EDATE($B$41,-MIN(6,'Вводные'!$E$89)),DB$3&lt;$B$41),$B$54/MAX(1,MIN(6,'Вводные'!$E$89)),0)</x:f>
      </x:c>
      <x:c r="DC54" s="117" t="n">
        <x:f>IF(AND(DC$3&gt;=EDATE($B$41,-MIN(6,'Вводные'!$E$89)),DC$3&lt;$B$41),$B$54/MAX(1,MIN(6,'Вводные'!$E$89)),0)</x:f>
      </x:c>
      <x:c r="DD54" s="117" t="n">
        <x:f>IF(AND(DD$3&gt;=EDATE($B$41,-MIN(6,'Вводные'!$E$89)),DD$3&lt;$B$41),$B$54/MAX(1,MIN(6,'Вводные'!$E$89)),0)</x:f>
      </x:c>
      <x:c r="DE54" s="117" t="n">
        <x:f>IF(AND(DE$3&gt;=EDATE($B$41,-MIN(6,'Вводные'!$E$89)),DE$3&lt;$B$41),$B$54/MAX(1,MIN(6,'Вводные'!$E$89)),0)</x:f>
      </x:c>
      <x:c r="DF54" s="117" t="n">
        <x:f>IF(AND(DF$3&gt;=EDATE($B$41,-MIN(6,'Вводные'!$E$89)),DF$3&lt;$B$41),$B$54/MAX(1,MIN(6,'Вводные'!$E$89)),0)</x:f>
      </x:c>
      <x:c r="DG54" s="117" t="n">
        <x:f>IF(AND(DG$3&gt;=EDATE($B$41,-MIN(6,'Вводные'!$E$89)),DG$3&lt;$B$41),$B$54/MAX(1,MIN(6,'Вводные'!$E$89)),0)</x:f>
      </x:c>
      <x:c r="DH54" s="117" t="n">
        <x:f>IF(AND(DH$3&gt;=EDATE($B$41,-MIN(6,'Вводные'!$E$89)),DH$3&lt;$B$41),$B$54/MAX(1,MIN(6,'Вводные'!$E$89)),0)</x:f>
      </x:c>
      <x:c r="DI54" s="117" t="n">
        <x:f>IF(AND(DI$3&gt;=EDATE($B$41,-MIN(6,'Вводные'!$E$89)),DI$3&lt;$B$41),$B$54/MAX(1,MIN(6,'Вводные'!$E$89)),0)</x:f>
      </x:c>
      <x:c r="DJ54" s="117" t="n">
        <x:f>IF(AND(DJ$3&gt;=EDATE($B$41,-MIN(6,'Вводные'!$E$89)),DJ$3&lt;$B$41),$B$54/MAX(1,MIN(6,'Вводные'!$E$89)),0)</x:f>
      </x:c>
      <x:c r="DK54" s="117" t="n">
        <x:f>IF(AND(DK$3&gt;=EDATE($B$41,-MIN(6,'Вводные'!$E$89)),DK$3&lt;$B$41),$B$54/MAX(1,MIN(6,'Вводные'!$E$89)),0)</x:f>
      </x:c>
      <x:c r="DL54" s="117" t="n">
        <x:f>IF(AND(DL$3&gt;=EDATE($B$41,-MIN(6,'Вводные'!$E$89)),DL$3&lt;$B$41),$B$54/MAX(1,MIN(6,'Вводные'!$E$89)),0)</x:f>
      </x:c>
      <x:c r="DM54" s="117" t="n">
        <x:f>IF(AND(DM$3&gt;=EDATE($B$41,-MIN(6,'Вводные'!$E$89)),DM$3&lt;$B$41),$B$54/MAX(1,MIN(6,'Вводные'!$E$89)),0)</x:f>
      </x:c>
      <x:c r="DN54" s="117" t="n">
        <x:f>IF(AND(DN$3&gt;=EDATE($B$41,-MIN(6,'Вводные'!$E$89)),DN$3&lt;$B$41),$B$54/MAX(1,MIN(6,'Вводные'!$E$89)),0)</x:f>
      </x:c>
      <x:c r="DO54" s="117" t="n">
        <x:f>IF(AND(DO$3&gt;=EDATE($B$41,-MIN(6,'Вводные'!$E$89)),DO$3&lt;$B$41),$B$54/MAX(1,MIN(6,'Вводные'!$E$89)),0)</x:f>
      </x:c>
      <x:c r="DP54" s="117" t="n">
        <x:f>IF(AND(DP$3&gt;=EDATE($B$41,-MIN(6,'Вводные'!$E$89)),DP$3&lt;$B$41),$B$54/MAX(1,MIN(6,'Вводные'!$E$89)),0)</x:f>
      </x:c>
      <x:c r="DQ54" s="117" t="n">
        <x:f>IF(AND(DQ$3&gt;=EDATE($B$41,-MIN(6,'Вводные'!$E$89)),DQ$3&lt;$B$41),$B$54/MAX(1,MIN(6,'Вводные'!$E$89)),0)</x:f>
      </x:c>
      <x:c r="DR54" s="117" t="n">
        <x:f>IF(AND(DR$3&gt;=EDATE($B$41,-MIN(6,'Вводные'!$E$89)),DR$3&lt;$B$41),$B$54/MAX(1,MIN(6,'Вводные'!$E$89)),0)</x:f>
      </x:c>
      <x:c r="DS54" s="117" t="n">
        <x:f>IF(AND(DS$3&gt;=EDATE($B$41,-MIN(6,'Вводные'!$E$89)),DS$3&lt;$B$41),$B$54/MAX(1,MIN(6,'Вводные'!$E$89)),0)</x:f>
      </x:c>
    </x:row>
    <x:row r="55">
      <x:c r="A55" t="str">
        <x:v>Основное строительство — наземная часть</x:v>
      </x:c>
      <x:c r="B55" s="107" t="n">
        <x:f>(('Вводные'!$I$89+'Вводные'!$J$89)*'Вводные'!$B$44/1000*'Вводные'!$H$6*'Вводные'!$T$89*--('Вводные'!$B$89="Да"))*'Вводные'!$AH$89</x:f>
      </x:c>
      <x:c r="C55" t="str">
        <x:v>млн ₽</x:v>
      </x:c>
      <x:c r="D55" s="117" t="n">
        <x:f>$B$55*D47</x:f>
      </x:c>
      <x:c r="E55" s="117" t="n">
        <x:f>$B$55*E47</x:f>
      </x:c>
      <x:c r="F55" s="117" t="n">
        <x:f>$B$55*F47</x:f>
      </x:c>
      <x:c r="G55" s="117" t="n">
        <x:f>$B$55*G47</x:f>
      </x:c>
      <x:c r="H55" s="117" t="n">
        <x:f>$B$55*H47</x:f>
      </x:c>
      <x:c r="I55" s="117" t="n">
        <x:f>$B$55*I47</x:f>
      </x:c>
      <x:c r="J55" s="117" t="n">
        <x:f>$B$55*J47</x:f>
      </x:c>
      <x:c r="K55" s="117" t="n">
        <x:f>$B$55*K47</x:f>
      </x:c>
      <x:c r="L55" s="117" t="n">
        <x:f>$B$55*L47</x:f>
      </x:c>
      <x:c r="M55" s="117" t="n">
        <x:f>$B$55*M47</x:f>
      </x:c>
      <x:c r="N55" s="117" t="n">
        <x:f>$B$55*N47</x:f>
      </x:c>
      <x:c r="O55" s="117" t="n">
        <x:f>$B$55*O47</x:f>
      </x:c>
      <x:c r="P55" s="117" t="n">
        <x:f>$B$55*P47</x:f>
      </x:c>
      <x:c r="Q55" s="117" t="n">
        <x:f>$B$55*Q47</x:f>
      </x:c>
      <x:c r="R55" s="117" t="n">
        <x:f>$B$55*R47</x:f>
      </x:c>
      <x:c r="S55" s="117" t="n">
        <x:f>$B$55*S47</x:f>
      </x:c>
      <x:c r="T55" s="117" t="n">
        <x:f>$B$55*T47</x:f>
      </x:c>
      <x:c r="U55" s="117" t="n">
        <x:f>$B$55*U47</x:f>
      </x:c>
      <x:c r="V55" s="117" t="n">
        <x:f>$B$55*V47</x:f>
      </x:c>
      <x:c r="W55" s="117" t="n">
        <x:f>$B$55*W47</x:f>
      </x:c>
      <x:c r="X55" s="117" t="n">
        <x:f>$B$55*X47</x:f>
      </x:c>
      <x:c r="Y55" s="117" t="n">
        <x:f>$B$55*Y47</x:f>
      </x:c>
      <x:c r="Z55" s="117" t="n">
        <x:f>$B$55*Z47</x:f>
      </x:c>
      <x:c r="AA55" s="117" t="n">
        <x:f>$B$55*AA47</x:f>
      </x:c>
      <x:c r="AB55" s="117" t="n">
        <x:f>$B$55*AB47</x:f>
      </x:c>
      <x:c r="AC55" s="117" t="n">
        <x:f>$B$55*AC47</x:f>
      </x:c>
      <x:c r="AD55" s="117" t="n">
        <x:f>$B$55*AD47</x:f>
      </x:c>
      <x:c r="AE55" s="117" t="n">
        <x:f>$B$55*AE47</x:f>
      </x:c>
      <x:c r="AF55" s="117" t="n">
        <x:f>$B$55*AF47</x:f>
      </x:c>
      <x:c r="AG55" s="117" t="n">
        <x:f>$B$55*AG47</x:f>
      </x:c>
      <x:c r="AH55" s="117" t="n">
        <x:f>$B$55*AH47</x:f>
      </x:c>
      <x:c r="AI55" s="117" t="n">
        <x:f>$B$55*AI47</x:f>
      </x:c>
      <x:c r="AJ55" s="117" t="n">
        <x:f>$B$55*AJ47</x:f>
      </x:c>
      <x:c r="AK55" s="117" t="n">
        <x:f>$B$55*AK47</x:f>
      </x:c>
      <x:c r="AL55" s="117" t="n">
        <x:f>$B$55*AL47</x:f>
      </x:c>
      <x:c r="AM55" s="117" t="n">
        <x:f>$B$55*AM47</x:f>
      </x:c>
      <x:c r="AN55" s="117" t="n">
        <x:f>$B$55*AN47</x:f>
      </x:c>
      <x:c r="AO55" s="117" t="n">
        <x:f>$B$55*AO47</x:f>
      </x:c>
      <x:c r="AP55" s="117" t="n">
        <x:f>$B$55*AP47</x:f>
      </x:c>
      <x:c r="AQ55" s="117" t="n">
        <x:f>$B$55*AQ47</x:f>
      </x:c>
      <x:c r="AR55" s="117" t="n">
        <x:f>$B$55*AR47</x:f>
      </x:c>
      <x:c r="AS55" s="117" t="n">
        <x:f>$B$55*AS47</x:f>
      </x:c>
      <x:c r="AT55" s="117" t="n">
        <x:f>$B$55*AT47</x:f>
      </x:c>
      <x:c r="AU55" s="117" t="n">
        <x:f>$B$55*AU47</x:f>
      </x:c>
      <x:c r="AV55" s="117" t="n">
        <x:f>$B$55*AV47</x:f>
      </x:c>
      <x:c r="AW55" s="117" t="n">
        <x:f>$B$55*AW47</x:f>
      </x:c>
      <x:c r="AX55" s="117" t="n">
        <x:f>$B$55*AX47</x:f>
      </x:c>
      <x:c r="AY55" s="117" t="n">
        <x:f>$B$55*AY47</x:f>
      </x:c>
      <x:c r="AZ55" s="117" t="n">
        <x:f>$B$55*AZ47</x:f>
      </x:c>
      <x:c r="BA55" s="117" t="n">
        <x:f>$B$55*BA47</x:f>
      </x:c>
      <x:c r="BB55" s="117" t="n">
        <x:f>$B$55*BB47</x:f>
      </x:c>
      <x:c r="BC55" s="117" t="n">
        <x:f>$B$55*BC47</x:f>
      </x:c>
      <x:c r="BD55" s="117" t="n">
        <x:f>$B$55*BD47</x:f>
      </x:c>
      <x:c r="BE55" s="117" t="n">
        <x:f>$B$55*BE47</x:f>
      </x:c>
      <x:c r="BF55" s="117" t="n">
        <x:f>$B$55*BF47</x:f>
      </x:c>
      <x:c r="BG55" s="117" t="n">
        <x:f>$B$55*BG47</x:f>
      </x:c>
      <x:c r="BH55" s="117" t="n">
        <x:f>$B$55*BH47</x:f>
      </x:c>
      <x:c r="BI55" s="117" t="n">
        <x:f>$B$55*BI47</x:f>
      </x:c>
      <x:c r="BJ55" s="117" t="n">
        <x:f>$B$55*BJ47</x:f>
      </x:c>
      <x:c r="BK55" s="117" t="n">
        <x:f>$B$55*BK47</x:f>
      </x:c>
      <x:c r="BL55" s="117" t="n">
        <x:f>$B$55*BL47</x:f>
      </x:c>
      <x:c r="BM55" s="117" t="n">
        <x:f>$B$55*BM47</x:f>
      </x:c>
      <x:c r="BN55" s="117" t="n">
        <x:f>$B$55*BN47</x:f>
      </x:c>
      <x:c r="BO55" s="117" t="n">
        <x:f>$B$55*BO47</x:f>
      </x:c>
      <x:c r="BP55" s="117" t="n">
        <x:f>$B$55*BP47</x:f>
      </x:c>
      <x:c r="BQ55" s="117" t="n">
        <x:f>$B$55*BQ47</x:f>
      </x:c>
      <x:c r="BR55" s="117" t="n">
        <x:f>$B$55*BR47</x:f>
      </x:c>
      <x:c r="BS55" s="117" t="n">
        <x:f>$B$55*BS47</x:f>
      </x:c>
      <x:c r="BT55" s="117" t="n">
        <x:f>$B$55*BT47</x:f>
      </x:c>
      <x:c r="BU55" s="117" t="n">
        <x:f>$B$55*BU47</x:f>
      </x:c>
      <x:c r="BV55" s="117" t="n">
        <x:f>$B$55*BV47</x:f>
      </x:c>
      <x:c r="BW55" s="117" t="n">
        <x:f>$B$55*BW47</x:f>
      </x:c>
      <x:c r="BX55" s="117" t="n">
        <x:f>$B$55*BX47</x:f>
      </x:c>
      <x:c r="BY55" s="117" t="n">
        <x:f>$B$55*BY47</x:f>
      </x:c>
      <x:c r="BZ55" s="117" t="n">
        <x:f>$B$55*BZ47</x:f>
      </x:c>
      <x:c r="CA55" s="117" t="n">
        <x:f>$B$55*CA47</x:f>
      </x:c>
      <x:c r="CB55" s="117" t="n">
        <x:f>$B$55*CB47</x:f>
      </x:c>
      <x:c r="CC55" s="117" t="n">
        <x:f>$B$55*CC47</x:f>
      </x:c>
      <x:c r="CD55" s="117" t="n">
        <x:f>$B$55*CD47</x:f>
      </x:c>
      <x:c r="CE55" s="117" t="n">
        <x:f>$B$55*CE47</x:f>
      </x:c>
      <x:c r="CF55" s="117" t="n">
        <x:f>$B$55*CF47</x:f>
      </x:c>
      <x:c r="CG55" s="117" t="n">
        <x:f>$B$55*CG47</x:f>
      </x:c>
      <x:c r="CH55" s="117" t="n">
        <x:f>$B$55*CH47</x:f>
      </x:c>
      <x:c r="CI55" s="117" t="n">
        <x:f>$B$55*CI47</x:f>
      </x:c>
      <x:c r="CJ55" s="117" t="n">
        <x:f>$B$55*CJ47</x:f>
      </x:c>
      <x:c r="CK55" s="117" t="n">
        <x:f>$B$55*CK47</x:f>
      </x:c>
      <x:c r="CL55" s="117" t="n">
        <x:f>$B$55*CL47</x:f>
      </x:c>
      <x:c r="CM55" s="117" t="n">
        <x:f>$B$55*CM47</x:f>
      </x:c>
      <x:c r="CN55" s="117" t="n">
        <x:f>$B$55*CN47</x:f>
      </x:c>
      <x:c r="CO55" s="117" t="n">
        <x:f>$B$55*CO47</x:f>
      </x:c>
      <x:c r="CP55" s="117" t="n">
        <x:f>$B$55*CP47</x:f>
      </x:c>
      <x:c r="CQ55" s="117" t="n">
        <x:f>$B$55*CQ47</x:f>
      </x:c>
      <x:c r="CR55" s="117" t="n">
        <x:f>$B$55*CR47</x:f>
      </x:c>
      <x:c r="CS55" s="117" t="n">
        <x:f>$B$55*CS47</x:f>
      </x:c>
      <x:c r="CT55" s="117" t="n">
        <x:f>$B$55*CT47</x:f>
      </x:c>
      <x:c r="CU55" s="117" t="n">
        <x:f>$B$55*CU47</x:f>
      </x:c>
      <x:c r="CV55" s="117" t="n">
        <x:f>$B$55*CV47</x:f>
      </x:c>
      <x:c r="CW55" s="117" t="n">
        <x:f>$B$55*CW47</x:f>
      </x:c>
      <x:c r="CX55" s="117" t="n">
        <x:f>$B$55*CX47</x:f>
      </x:c>
      <x:c r="CY55" s="117" t="n">
        <x:f>$B$55*CY47</x:f>
      </x:c>
      <x:c r="CZ55" s="117" t="n">
        <x:f>$B$55*CZ47</x:f>
      </x:c>
      <x:c r="DA55" s="117" t="n">
        <x:f>$B$55*DA47</x:f>
      </x:c>
      <x:c r="DB55" s="117" t="n">
        <x:f>$B$55*DB47</x:f>
      </x:c>
      <x:c r="DC55" s="117" t="n">
        <x:f>$B$55*DC47</x:f>
      </x:c>
      <x:c r="DD55" s="117" t="n">
        <x:f>$B$55*DD47</x:f>
      </x:c>
      <x:c r="DE55" s="117" t="n">
        <x:f>$B$55*DE47</x:f>
      </x:c>
      <x:c r="DF55" s="117" t="n">
        <x:f>$B$55*DF47</x:f>
      </x:c>
      <x:c r="DG55" s="117" t="n">
        <x:f>$B$55*DG47</x:f>
      </x:c>
      <x:c r="DH55" s="117" t="n">
        <x:f>$B$55*DH47</x:f>
      </x:c>
      <x:c r="DI55" s="117" t="n">
        <x:f>$B$55*DI47</x:f>
      </x:c>
      <x:c r="DJ55" s="117" t="n">
        <x:f>$B$55*DJ47</x:f>
      </x:c>
      <x:c r="DK55" s="117" t="n">
        <x:f>$B$55*DK47</x:f>
      </x:c>
      <x:c r="DL55" s="117" t="n">
        <x:f>$B$55*DL47</x:f>
      </x:c>
      <x:c r="DM55" s="117" t="n">
        <x:f>$B$55*DM47</x:f>
      </x:c>
      <x:c r="DN55" s="117" t="n">
        <x:f>$B$55*DN47</x:f>
      </x:c>
      <x:c r="DO55" s="117" t="n">
        <x:f>$B$55*DO47</x:f>
      </x:c>
      <x:c r="DP55" s="117" t="n">
        <x:f>$B$55*DP47</x:f>
      </x:c>
      <x:c r="DQ55" s="117" t="n">
        <x:f>$B$55*DQ47</x:f>
      </x:c>
      <x:c r="DR55" s="117" t="n">
        <x:f>$B$55*DR47</x:f>
      </x:c>
      <x:c r="DS55" s="117" t="n">
        <x:f>$B$55*DS47</x:f>
      </x:c>
    </x:row>
    <x:row r="56">
      <x:c r="A56" t="str">
        <x:v>Основное строительство — подземная часть</x:v>
      </x:c>
      <x:c r="B56" s="107" t="n">
        <x:f>('Вводные'!$K$89*'Вводные'!$B$45/1000*'Вводные'!$H$6*'Вводные'!$T$89*--('Вводные'!$B$89="Да"))*'Вводные'!$AH$89</x:f>
      </x:c>
      <x:c r="C56" t="str">
        <x:v>млн ₽</x:v>
      </x:c>
      <x:c r="D56" s="117" t="n">
        <x:f>$B$56*D47</x:f>
      </x:c>
      <x:c r="E56" s="117" t="n">
        <x:f>$B$56*E47</x:f>
      </x:c>
      <x:c r="F56" s="117" t="n">
        <x:f>$B$56*F47</x:f>
      </x:c>
      <x:c r="G56" s="117" t="n">
        <x:f>$B$56*G47</x:f>
      </x:c>
      <x:c r="H56" s="117" t="n">
        <x:f>$B$56*H47</x:f>
      </x:c>
      <x:c r="I56" s="117" t="n">
        <x:f>$B$56*I47</x:f>
      </x:c>
      <x:c r="J56" s="117" t="n">
        <x:f>$B$56*J47</x:f>
      </x:c>
      <x:c r="K56" s="117" t="n">
        <x:f>$B$56*K47</x:f>
      </x:c>
      <x:c r="L56" s="117" t="n">
        <x:f>$B$56*L47</x:f>
      </x:c>
      <x:c r="M56" s="117" t="n">
        <x:f>$B$56*M47</x:f>
      </x:c>
      <x:c r="N56" s="117" t="n">
        <x:f>$B$56*N47</x:f>
      </x:c>
      <x:c r="O56" s="117" t="n">
        <x:f>$B$56*O47</x:f>
      </x:c>
      <x:c r="P56" s="117" t="n">
        <x:f>$B$56*P47</x:f>
      </x:c>
      <x:c r="Q56" s="117" t="n">
        <x:f>$B$56*Q47</x:f>
      </x:c>
      <x:c r="R56" s="117" t="n">
        <x:f>$B$56*R47</x:f>
      </x:c>
      <x:c r="S56" s="117" t="n">
        <x:f>$B$56*S47</x:f>
      </x:c>
      <x:c r="T56" s="117" t="n">
        <x:f>$B$56*T47</x:f>
      </x:c>
      <x:c r="U56" s="117" t="n">
        <x:f>$B$56*U47</x:f>
      </x:c>
      <x:c r="V56" s="117" t="n">
        <x:f>$B$56*V47</x:f>
      </x:c>
      <x:c r="W56" s="117" t="n">
        <x:f>$B$56*W47</x:f>
      </x:c>
      <x:c r="X56" s="117" t="n">
        <x:f>$B$56*X47</x:f>
      </x:c>
      <x:c r="Y56" s="117" t="n">
        <x:f>$B$56*Y47</x:f>
      </x:c>
      <x:c r="Z56" s="117" t="n">
        <x:f>$B$56*Z47</x:f>
      </x:c>
      <x:c r="AA56" s="117" t="n">
        <x:f>$B$56*AA47</x:f>
      </x:c>
      <x:c r="AB56" s="117" t="n">
        <x:f>$B$56*AB47</x:f>
      </x:c>
      <x:c r="AC56" s="117" t="n">
        <x:f>$B$56*AC47</x:f>
      </x:c>
      <x:c r="AD56" s="117" t="n">
        <x:f>$B$56*AD47</x:f>
      </x:c>
      <x:c r="AE56" s="117" t="n">
        <x:f>$B$56*AE47</x:f>
      </x:c>
      <x:c r="AF56" s="117" t="n">
        <x:f>$B$56*AF47</x:f>
      </x:c>
      <x:c r="AG56" s="117" t="n">
        <x:f>$B$56*AG47</x:f>
      </x:c>
      <x:c r="AH56" s="117" t="n">
        <x:f>$B$56*AH47</x:f>
      </x:c>
      <x:c r="AI56" s="117" t="n">
        <x:f>$B$56*AI47</x:f>
      </x:c>
      <x:c r="AJ56" s="117" t="n">
        <x:f>$B$56*AJ47</x:f>
      </x:c>
      <x:c r="AK56" s="117" t="n">
        <x:f>$B$56*AK47</x:f>
      </x:c>
      <x:c r="AL56" s="117" t="n">
        <x:f>$B$56*AL47</x:f>
      </x:c>
      <x:c r="AM56" s="117" t="n">
        <x:f>$B$56*AM47</x:f>
      </x:c>
      <x:c r="AN56" s="117" t="n">
        <x:f>$B$56*AN47</x:f>
      </x:c>
      <x:c r="AO56" s="117" t="n">
        <x:f>$B$56*AO47</x:f>
      </x:c>
      <x:c r="AP56" s="117" t="n">
        <x:f>$B$56*AP47</x:f>
      </x:c>
      <x:c r="AQ56" s="117" t="n">
        <x:f>$B$56*AQ47</x:f>
      </x:c>
      <x:c r="AR56" s="117" t="n">
        <x:f>$B$56*AR47</x:f>
      </x:c>
      <x:c r="AS56" s="117" t="n">
        <x:f>$B$56*AS47</x:f>
      </x:c>
      <x:c r="AT56" s="117" t="n">
        <x:f>$B$56*AT47</x:f>
      </x:c>
      <x:c r="AU56" s="117" t="n">
        <x:f>$B$56*AU47</x:f>
      </x:c>
      <x:c r="AV56" s="117" t="n">
        <x:f>$B$56*AV47</x:f>
      </x:c>
      <x:c r="AW56" s="117" t="n">
        <x:f>$B$56*AW47</x:f>
      </x:c>
      <x:c r="AX56" s="117" t="n">
        <x:f>$B$56*AX47</x:f>
      </x:c>
      <x:c r="AY56" s="117" t="n">
        <x:f>$B$56*AY47</x:f>
      </x:c>
      <x:c r="AZ56" s="117" t="n">
        <x:f>$B$56*AZ47</x:f>
      </x:c>
      <x:c r="BA56" s="117" t="n">
        <x:f>$B$56*BA47</x:f>
      </x:c>
      <x:c r="BB56" s="117" t="n">
        <x:f>$B$56*BB47</x:f>
      </x:c>
      <x:c r="BC56" s="117" t="n">
        <x:f>$B$56*BC47</x:f>
      </x:c>
      <x:c r="BD56" s="117" t="n">
        <x:f>$B$56*BD47</x:f>
      </x:c>
      <x:c r="BE56" s="117" t="n">
        <x:f>$B$56*BE47</x:f>
      </x:c>
      <x:c r="BF56" s="117" t="n">
        <x:f>$B$56*BF47</x:f>
      </x:c>
      <x:c r="BG56" s="117" t="n">
        <x:f>$B$56*BG47</x:f>
      </x:c>
      <x:c r="BH56" s="117" t="n">
        <x:f>$B$56*BH47</x:f>
      </x:c>
      <x:c r="BI56" s="117" t="n">
        <x:f>$B$56*BI47</x:f>
      </x:c>
      <x:c r="BJ56" s="117" t="n">
        <x:f>$B$56*BJ47</x:f>
      </x:c>
      <x:c r="BK56" s="117" t="n">
        <x:f>$B$56*BK47</x:f>
      </x:c>
      <x:c r="BL56" s="117" t="n">
        <x:f>$B$56*BL47</x:f>
      </x:c>
      <x:c r="BM56" s="117" t="n">
        <x:f>$B$56*BM47</x:f>
      </x:c>
      <x:c r="BN56" s="117" t="n">
        <x:f>$B$56*BN47</x:f>
      </x:c>
      <x:c r="BO56" s="117" t="n">
        <x:f>$B$56*BO47</x:f>
      </x:c>
      <x:c r="BP56" s="117" t="n">
        <x:f>$B$56*BP47</x:f>
      </x:c>
      <x:c r="BQ56" s="117" t="n">
        <x:f>$B$56*BQ47</x:f>
      </x:c>
      <x:c r="BR56" s="117" t="n">
        <x:f>$B$56*BR47</x:f>
      </x:c>
      <x:c r="BS56" s="117" t="n">
        <x:f>$B$56*BS47</x:f>
      </x:c>
      <x:c r="BT56" s="117" t="n">
        <x:f>$B$56*BT47</x:f>
      </x:c>
      <x:c r="BU56" s="117" t="n">
        <x:f>$B$56*BU47</x:f>
      </x:c>
      <x:c r="BV56" s="117" t="n">
        <x:f>$B$56*BV47</x:f>
      </x:c>
      <x:c r="BW56" s="117" t="n">
        <x:f>$B$56*BW47</x:f>
      </x:c>
      <x:c r="BX56" s="117" t="n">
        <x:f>$B$56*BX47</x:f>
      </x:c>
      <x:c r="BY56" s="117" t="n">
        <x:f>$B$56*BY47</x:f>
      </x:c>
      <x:c r="BZ56" s="117" t="n">
        <x:f>$B$56*BZ47</x:f>
      </x:c>
      <x:c r="CA56" s="117" t="n">
        <x:f>$B$56*CA47</x:f>
      </x:c>
      <x:c r="CB56" s="117" t="n">
        <x:f>$B$56*CB47</x:f>
      </x:c>
      <x:c r="CC56" s="117" t="n">
        <x:f>$B$56*CC47</x:f>
      </x:c>
      <x:c r="CD56" s="117" t="n">
        <x:f>$B$56*CD47</x:f>
      </x:c>
      <x:c r="CE56" s="117" t="n">
        <x:f>$B$56*CE47</x:f>
      </x:c>
      <x:c r="CF56" s="117" t="n">
        <x:f>$B$56*CF47</x:f>
      </x:c>
      <x:c r="CG56" s="117" t="n">
        <x:f>$B$56*CG47</x:f>
      </x:c>
      <x:c r="CH56" s="117" t="n">
        <x:f>$B$56*CH47</x:f>
      </x:c>
      <x:c r="CI56" s="117" t="n">
        <x:f>$B$56*CI47</x:f>
      </x:c>
      <x:c r="CJ56" s="117" t="n">
        <x:f>$B$56*CJ47</x:f>
      </x:c>
      <x:c r="CK56" s="117" t="n">
        <x:f>$B$56*CK47</x:f>
      </x:c>
      <x:c r="CL56" s="117" t="n">
        <x:f>$B$56*CL47</x:f>
      </x:c>
      <x:c r="CM56" s="117" t="n">
        <x:f>$B$56*CM47</x:f>
      </x:c>
      <x:c r="CN56" s="117" t="n">
        <x:f>$B$56*CN47</x:f>
      </x:c>
      <x:c r="CO56" s="117" t="n">
        <x:f>$B$56*CO47</x:f>
      </x:c>
      <x:c r="CP56" s="117" t="n">
        <x:f>$B$56*CP47</x:f>
      </x:c>
      <x:c r="CQ56" s="117" t="n">
        <x:f>$B$56*CQ47</x:f>
      </x:c>
      <x:c r="CR56" s="117" t="n">
        <x:f>$B$56*CR47</x:f>
      </x:c>
      <x:c r="CS56" s="117" t="n">
        <x:f>$B$56*CS47</x:f>
      </x:c>
      <x:c r="CT56" s="117" t="n">
        <x:f>$B$56*CT47</x:f>
      </x:c>
      <x:c r="CU56" s="117" t="n">
        <x:f>$B$56*CU47</x:f>
      </x:c>
      <x:c r="CV56" s="117" t="n">
        <x:f>$B$56*CV47</x:f>
      </x:c>
      <x:c r="CW56" s="117" t="n">
        <x:f>$B$56*CW47</x:f>
      </x:c>
      <x:c r="CX56" s="117" t="n">
        <x:f>$B$56*CX47</x:f>
      </x:c>
      <x:c r="CY56" s="117" t="n">
        <x:f>$B$56*CY47</x:f>
      </x:c>
      <x:c r="CZ56" s="117" t="n">
        <x:f>$B$56*CZ47</x:f>
      </x:c>
      <x:c r="DA56" s="117" t="n">
        <x:f>$B$56*DA47</x:f>
      </x:c>
      <x:c r="DB56" s="117" t="n">
        <x:f>$B$56*DB47</x:f>
      </x:c>
      <x:c r="DC56" s="117" t="n">
        <x:f>$B$56*DC47</x:f>
      </x:c>
      <x:c r="DD56" s="117" t="n">
        <x:f>$B$56*DD47</x:f>
      </x:c>
      <x:c r="DE56" s="117" t="n">
        <x:f>$B$56*DE47</x:f>
      </x:c>
      <x:c r="DF56" s="117" t="n">
        <x:f>$B$56*DF47</x:f>
      </x:c>
      <x:c r="DG56" s="117" t="n">
        <x:f>$B$56*DG47</x:f>
      </x:c>
      <x:c r="DH56" s="117" t="n">
        <x:f>$B$56*DH47</x:f>
      </x:c>
      <x:c r="DI56" s="117" t="n">
        <x:f>$B$56*DI47</x:f>
      </x:c>
      <x:c r="DJ56" s="117" t="n">
        <x:f>$B$56*DJ47</x:f>
      </x:c>
      <x:c r="DK56" s="117" t="n">
        <x:f>$B$56*DK47</x:f>
      </x:c>
      <x:c r="DL56" s="117" t="n">
        <x:f>$B$56*DL47</x:f>
      </x:c>
      <x:c r="DM56" s="117" t="n">
        <x:f>$B$56*DM47</x:f>
      </x:c>
      <x:c r="DN56" s="117" t="n">
        <x:f>$B$56*DN47</x:f>
      </x:c>
      <x:c r="DO56" s="117" t="n">
        <x:f>$B$56*DO47</x:f>
      </x:c>
      <x:c r="DP56" s="117" t="n">
        <x:f>$B$56*DP47</x:f>
      </x:c>
      <x:c r="DQ56" s="117" t="n">
        <x:f>$B$56*DQ47</x:f>
      </x:c>
      <x:c r="DR56" s="117" t="n">
        <x:f>$B$56*DR47</x:f>
      </x:c>
      <x:c r="DS56" s="117" t="n">
        <x:f>$B$56*DS47</x:f>
      </x:c>
    </x:row>
    <x:row r="57">
      <x:c r="A57" t="str">
        <x:v>Наружные инженерные сети</x:v>
      </x:c>
      <x:c r="B57" s="107" t="n">
        <x:f>(('Вводные'!$I$89+'Вводные'!$J$89+'Вводные'!$K$89)*'Вводные'!$B$46/1000*'Вводные'!$H$6*'Вводные'!$T$89*--('Вводные'!$B$89="Да"))*'Вводные'!$AH$89</x:f>
      </x:c>
      <x:c r="C57" t="str">
        <x:v>млн ₽</x:v>
      </x:c>
      <x:c r="D57" s="117" t="n">
        <x:f>$B$57*D47</x:f>
      </x:c>
      <x:c r="E57" s="117" t="n">
        <x:f>$B$57*E47</x:f>
      </x:c>
      <x:c r="F57" s="117" t="n">
        <x:f>$B$57*F47</x:f>
      </x:c>
      <x:c r="G57" s="117" t="n">
        <x:f>$B$57*G47</x:f>
      </x:c>
      <x:c r="H57" s="117" t="n">
        <x:f>$B$57*H47</x:f>
      </x:c>
      <x:c r="I57" s="117" t="n">
        <x:f>$B$57*I47</x:f>
      </x:c>
      <x:c r="J57" s="117" t="n">
        <x:f>$B$57*J47</x:f>
      </x:c>
      <x:c r="K57" s="117" t="n">
        <x:f>$B$57*K47</x:f>
      </x:c>
      <x:c r="L57" s="117" t="n">
        <x:f>$B$57*L47</x:f>
      </x:c>
      <x:c r="M57" s="117" t="n">
        <x:f>$B$57*M47</x:f>
      </x:c>
      <x:c r="N57" s="117" t="n">
        <x:f>$B$57*N47</x:f>
      </x:c>
      <x:c r="O57" s="117" t="n">
        <x:f>$B$57*O47</x:f>
      </x:c>
      <x:c r="P57" s="117" t="n">
        <x:f>$B$57*P47</x:f>
      </x:c>
      <x:c r="Q57" s="117" t="n">
        <x:f>$B$57*Q47</x:f>
      </x:c>
      <x:c r="R57" s="117" t="n">
        <x:f>$B$57*R47</x:f>
      </x:c>
      <x:c r="S57" s="117" t="n">
        <x:f>$B$57*S47</x:f>
      </x:c>
      <x:c r="T57" s="117" t="n">
        <x:f>$B$57*T47</x:f>
      </x:c>
      <x:c r="U57" s="117" t="n">
        <x:f>$B$57*U47</x:f>
      </x:c>
      <x:c r="V57" s="117" t="n">
        <x:f>$B$57*V47</x:f>
      </x:c>
      <x:c r="W57" s="117" t="n">
        <x:f>$B$57*W47</x:f>
      </x:c>
      <x:c r="X57" s="117" t="n">
        <x:f>$B$57*X47</x:f>
      </x:c>
      <x:c r="Y57" s="117" t="n">
        <x:f>$B$57*Y47</x:f>
      </x:c>
      <x:c r="Z57" s="117" t="n">
        <x:f>$B$57*Z47</x:f>
      </x:c>
      <x:c r="AA57" s="117" t="n">
        <x:f>$B$57*AA47</x:f>
      </x:c>
      <x:c r="AB57" s="117" t="n">
        <x:f>$B$57*AB47</x:f>
      </x:c>
      <x:c r="AC57" s="117" t="n">
        <x:f>$B$57*AC47</x:f>
      </x:c>
      <x:c r="AD57" s="117" t="n">
        <x:f>$B$57*AD47</x:f>
      </x:c>
      <x:c r="AE57" s="117" t="n">
        <x:f>$B$57*AE47</x:f>
      </x:c>
      <x:c r="AF57" s="117" t="n">
        <x:f>$B$57*AF47</x:f>
      </x:c>
      <x:c r="AG57" s="117" t="n">
        <x:f>$B$57*AG47</x:f>
      </x:c>
      <x:c r="AH57" s="117" t="n">
        <x:f>$B$57*AH47</x:f>
      </x:c>
      <x:c r="AI57" s="117" t="n">
        <x:f>$B$57*AI47</x:f>
      </x:c>
      <x:c r="AJ57" s="117" t="n">
        <x:f>$B$57*AJ47</x:f>
      </x:c>
      <x:c r="AK57" s="117" t="n">
        <x:f>$B$57*AK47</x:f>
      </x:c>
      <x:c r="AL57" s="117" t="n">
        <x:f>$B$57*AL47</x:f>
      </x:c>
      <x:c r="AM57" s="117" t="n">
        <x:f>$B$57*AM47</x:f>
      </x:c>
      <x:c r="AN57" s="117" t="n">
        <x:f>$B$57*AN47</x:f>
      </x:c>
      <x:c r="AO57" s="117" t="n">
        <x:f>$B$57*AO47</x:f>
      </x:c>
      <x:c r="AP57" s="117" t="n">
        <x:f>$B$57*AP47</x:f>
      </x:c>
      <x:c r="AQ57" s="117" t="n">
        <x:f>$B$57*AQ47</x:f>
      </x:c>
      <x:c r="AR57" s="117" t="n">
        <x:f>$B$57*AR47</x:f>
      </x:c>
      <x:c r="AS57" s="117" t="n">
        <x:f>$B$57*AS47</x:f>
      </x:c>
      <x:c r="AT57" s="117" t="n">
        <x:f>$B$57*AT47</x:f>
      </x:c>
      <x:c r="AU57" s="117" t="n">
        <x:f>$B$57*AU47</x:f>
      </x:c>
      <x:c r="AV57" s="117" t="n">
        <x:f>$B$57*AV47</x:f>
      </x:c>
      <x:c r="AW57" s="117" t="n">
        <x:f>$B$57*AW47</x:f>
      </x:c>
      <x:c r="AX57" s="117" t="n">
        <x:f>$B$57*AX47</x:f>
      </x:c>
      <x:c r="AY57" s="117" t="n">
        <x:f>$B$57*AY47</x:f>
      </x:c>
      <x:c r="AZ57" s="117" t="n">
        <x:f>$B$57*AZ47</x:f>
      </x:c>
      <x:c r="BA57" s="117" t="n">
        <x:f>$B$57*BA47</x:f>
      </x:c>
      <x:c r="BB57" s="117" t="n">
        <x:f>$B$57*BB47</x:f>
      </x:c>
      <x:c r="BC57" s="117" t="n">
        <x:f>$B$57*BC47</x:f>
      </x:c>
      <x:c r="BD57" s="117" t="n">
        <x:f>$B$57*BD47</x:f>
      </x:c>
      <x:c r="BE57" s="117" t="n">
        <x:f>$B$57*BE47</x:f>
      </x:c>
      <x:c r="BF57" s="117" t="n">
        <x:f>$B$57*BF47</x:f>
      </x:c>
      <x:c r="BG57" s="117" t="n">
        <x:f>$B$57*BG47</x:f>
      </x:c>
      <x:c r="BH57" s="117" t="n">
        <x:f>$B$57*BH47</x:f>
      </x:c>
      <x:c r="BI57" s="117" t="n">
        <x:f>$B$57*BI47</x:f>
      </x:c>
      <x:c r="BJ57" s="117" t="n">
        <x:f>$B$57*BJ47</x:f>
      </x:c>
      <x:c r="BK57" s="117" t="n">
        <x:f>$B$57*BK47</x:f>
      </x:c>
      <x:c r="BL57" s="117" t="n">
        <x:f>$B$57*BL47</x:f>
      </x:c>
      <x:c r="BM57" s="117" t="n">
        <x:f>$B$57*BM47</x:f>
      </x:c>
      <x:c r="BN57" s="117" t="n">
        <x:f>$B$57*BN47</x:f>
      </x:c>
      <x:c r="BO57" s="117" t="n">
        <x:f>$B$57*BO47</x:f>
      </x:c>
      <x:c r="BP57" s="117" t="n">
        <x:f>$B$57*BP47</x:f>
      </x:c>
      <x:c r="BQ57" s="117" t="n">
        <x:f>$B$57*BQ47</x:f>
      </x:c>
      <x:c r="BR57" s="117" t="n">
        <x:f>$B$57*BR47</x:f>
      </x:c>
      <x:c r="BS57" s="117" t="n">
        <x:f>$B$57*BS47</x:f>
      </x:c>
      <x:c r="BT57" s="117" t="n">
        <x:f>$B$57*BT47</x:f>
      </x:c>
      <x:c r="BU57" s="117" t="n">
        <x:f>$B$57*BU47</x:f>
      </x:c>
      <x:c r="BV57" s="117" t="n">
        <x:f>$B$57*BV47</x:f>
      </x:c>
      <x:c r="BW57" s="117" t="n">
        <x:f>$B$57*BW47</x:f>
      </x:c>
      <x:c r="BX57" s="117" t="n">
        <x:f>$B$57*BX47</x:f>
      </x:c>
      <x:c r="BY57" s="117" t="n">
        <x:f>$B$57*BY47</x:f>
      </x:c>
      <x:c r="BZ57" s="117" t="n">
        <x:f>$B$57*BZ47</x:f>
      </x:c>
      <x:c r="CA57" s="117" t="n">
        <x:f>$B$57*CA47</x:f>
      </x:c>
      <x:c r="CB57" s="117" t="n">
        <x:f>$B$57*CB47</x:f>
      </x:c>
      <x:c r="CC57" s="117" t="n">
        <x:f>$B$57*CC47</x:f>
      </x:c>
      <x:c r="CD57" s="117" t="n">
        <x:f>$B$57*CD47</x:f>
      </x:c>
      <x:c r="CE57" s="117" t="n">
        <x:f>$B$57*CE47</x:f>
      </x:c>
      <x:c r="CF57" s="117" t="n">
        <x:f>$B$57*CF47</x:f>
      </x:c>
      <x:c r="CG57" s="117" t="n">
        <x:f>$B$57*CG47</x:f>
      </x:c>
      <x:c r="CH57" s="117" t="n">
        <x:f>$B$57*CH47</x:f>
      </x:c>
      <x:c r="CI57" s="117" t="n">
        <x:f>$B$57*CI47</x:f>
      </x:c>
      <x:c r="CJ57" s="117" t="n">
        <x:f>$B$57*CJ47</x:f>
      </x:c>
      <x:c r="CK57" s="117" t="n">
        <x:f>$B$57*CK47</x:f>
      </x:c>
      <x:c r="CL57" s="117" t="n">
        <x:f>$B$57*CL47</x:f>
      </x:c>
      <x:c r="CM57" s="117" t="n">
        <x:f>$B$57*CM47</x:f>
      </x:c>
      <x:c r="CN57" s="117" t="n">
        <x:f>$B$57*CN47</x:f>
      </x:c>
      <x:c r="CO57" s="117" t="n">
        <x:f>$B$57*CO47</x:f>
      </x:c>
      <x:c r="CP57" s="117" t="n">
        <x:f>$B$57*CP47</x:f>
      </x:c>
      <x:c r="CQ57" s="117" t="n">
        <x:f>$B$57*CQ47</x:f>
      </x:c>
      <x:c r="CR57" s="117" t="n">
        <x:f>$B$57*CR47</x:f>
      </x:c>
      <x:c r="CS57" s="117" t="n">
        <x:f>$B$57*CS47</x:f>
      </x:c>
      <x:c r="CT57" s="117" t="n">
        <x:f>$B$57*CT47</x:f>
      </x:c>
      <x:c r="CU57" s="117" t="n">
        <x:f>$B$57*CU47</x:f>
      </x:c>
      <x:c r="CV57" s="117" t="n">
        <x:f>$B$57*CV47</x:f>
      </x:c>
      <x:c r="CW57" s="117" t="n">
        <x:f>$B$57*CW47</x:f>
      </x:c>
      <x:c r="CX57" s="117" t="n">
        <x:f>$B$57*CX47</x:f>
      </x:c>
      <x:c r="CY57" s="117" t="n">
        <x:f>$B$57*CY47</x:f>
      </x:c>
      <x:c r="CZ57" s="117" t="n">
        <x:f>$B$57*CZ47</x:f>
      </x:c>
      <x:c r="DA57" s="117" t="n">
        <x:f>$B$57*DA47</x:f>
      </x:c>
      <x:c r="DB57" s="117" t="n">
        <x:f>$B$57*DB47</x:f>
      </x:c>
      <x:c r="DC57" s="117" t="n">
        <x:f>$B$57*DC47</x:f>
      </x:c>
      <x:c r="DD57" s="117" t="n">
        <x:f>$B$57*DD47</x:f>
      </x:c>
      <x:c r="DE57" s="117" t="n">
        <x:f>$B$57*DE47</x:f>
      </x:c>
      <x:c r="DF57" s="117" t="n">
        <x:f>$B$57*DF47</x:f>
      </x:c>
      <x:c r="DG57" s="117" t="n">
        <x:f>$B$57*DG47</x:f>
      </x:c>
      <x:c r="DH57" s="117" t="n">
        <x:f>$B$57*DH47</x:f>
      </x:c>
      <x:c r="DI57" s="117" t="n">
        <x:f>$B$57*DI47</x:f>
      </x:c>
      <x:c r="DJ57" s="117" t="n">
        <x:f>$B$57*DJ47</x:f>
      </x:c>
      <x:c r="DK57" s="117" t="n">
        <x:f>$B$57*DK47</x:f>
      </x:c>
      <x:c r="DL57" s="117" t="n">
        <x:f>$B$57*DL47</x:f>
      </x:c>
      <x:c r="DM57" s="117" t="n">
        <x:f>$B$57*DM47</x:f>
      </x:c>
      <x:c r="DN57" s="117" t="n">
        <x:f>$B$57*DN47</x:f>
      </x:c>
      <x:c r="DO57" s="117" t="n">
        <x:f>$B$57*DO47</x:f>
      </x:c>
      <x:c r="DP57" s="117" t="n">
        <x:f>$B$57*DP47</x:f>
      </x:c>
      <x:c r="DQ57" s="117" t="n">
        <x:f>$B$57*DQ47</x:f>
      </x:c>
      <x:c r="DR57" s="117" t="n">
        <x:f>$B$57*DR47</x:f>
      </x:c>
      <x:c r="DS57" s="117" t="n">
        <x:f>$B$57*DS47</x:f>
      </x:c>
    </x:row>
    <x:row r="58">
      <x:c r="A58" t="str">
        <x:v>Благоустройство</x:v>
      </x:c>
      <x:c r="B58" s="107" t="n">
        <x:f>(('Вводные'!$I$89+'Вводные'!$J$89+'Вводные'!$K$89)*'Вводные'!$B$47/1000*'Вводные'!$H$6*'Вводные'!$T$89*--('Вводные'!$B$89="Да"))*'Вводные'!$AH$89</x:f>
      </x:c>
      <x:c r="C58" t="str">
        <x:v>млн ₽</x:v>
      </x:c>
      <x:c r="D58" s="117" t="n">
        <x:f>IF(AND(D$3&gt;=EDATE($B$42,-3),D$3&lt;$B$42),$B$58/3,0)</x:f>
      </x:c>
      <x:c r="E58" s="117" t="n">
        <x:f>IF(AND(E$3&gt;=EDATE($B$42,-3),E$3&lt;$B$42),$B$58/3,0)</x:f>
      </x:c>
      <x:c r="F58" s="117" t="n">
        <x:f>IF(AND(F$3&gt;=EDATE($B$42,-3),F$3&lt;$B$42),$B$58/3,0)</x:f>
      </x:c>
      <x:c r="G58" s="117" t="n">
        <x:f>IF(AND(G$3&gt;=EDATE($B$42,-3),G$3&lt;$B$42),$B$58/3,0)</x:f>
      </x:c>
      <x:c r="H58" s="117" t="n">
        <x:f>IF(AND(H$3&gt;=EDATE($B$42,-3),H$3&lt;$B$42),$B$58/3,0)</x:f>
      </x:c>
      <x:c r="I58" s="117" t="n">
        <x:f>IF(AND(I$3&gt;=EDATE($B$42,-3),I$3&lt;$B$42),$B$58/3,0)</x:f>
      </x:c>
      <x:c r="J58" s="117" t="n">
        <x:f>IF(AND(J$3&gt;=EDATE($B$42,-3),J$3&lt;$B$42),$B$58/3,0)</x:f>
      </x:c>
      <x:c r="K58" s="117" t="n">
        <x:f>IF(AND(K$3&gt;=EDATE($B$42,-3),K$3&lt;$B$42),$B$58/3,0)</x:f>
      </x:c>
      <x:c r="L58" s="117" t="n">
        <x:f>IF(AND(L$3&gt;=EDATE($B$42,-3),L$3&lt;$B$42),$B$58/3,0)</x:f>
      </x:c>
      <x:c r="M58" s="117" t="n">
        <x:f>IF(AND(M$3&gt;=EDATE($B$42,-3),M$3&lt;$B$42),$B$58/3,0)</x:f>
      </x:c>
      <x:c r="N58" s="117" t="n">
        <x:f>IF(AND(N$3&gt;=EDATE($B$42,-3),N$3&lt;$B$42),$B$58/3,0)</x:f>
      </x:c>
      <x:c r="O58" s="117" t="n">
        <x:f>IF(AND(O$3&gt;=EDATE($B$42,-3),O$3&lt;$B$42),$B$58/3,0)</x:f>
      </x:c>
      <x:c r="P58" s="117" t="n">
        <x:f>IF(AND(P$3&gt;=EDATE($B$42,-3),P$3&lt;$B$42),$B$58/3,0)</x:f>
      </x:c>
      <x:c r="Q58" s="117" t="n">
        <x:f>IF(AND(Q$3&gt;=EDATE($B$42,-3),Q$3&lt;$B$42),$B$58/3,0)</x:f>
      </x:c>
      <x:c r="R58" s="117" t="n">
        <x:f>IF(AND(R$3&gt;=EDATE($B$42,-3),R$3&lt;$B$42),$B$58/3,0)</x:f>
      </x:c>
      <x:c r="S58" s="117" t="n">
        <x:f>IF(AND(S$3&gt;=EDATE($B$42,-3),S$3&lt;$B$42),$B$58/3,0)</x:f>
      </x:c>
      <x:c r="T58" s="117" t="n">
        <x:f>IF(AND(T$3&gt;=EDATE($B$42,-3),T$3&lt;$B$42),$B$58/3,0)</x:f>
      </x:c>
      <x:c r="U58" s="117" t="n">
        <x:f>IF(AND(U$3&gt;=EDATE($B$42,-3),U$3&lt;$B$42),$B$58/3,0)</x:f>
      </x:c>
      <x:c r="V58" s="117" t="n">
        <x:f>IF(AND(V$3&gt;=EDATE($B$42,-3),V$3&lt;$B$42),$B$58/3,0)</x:f>
      </x:c>
      <x:c r="W58" s="117" t="n">
        <x:f>IF(AND(W$3&gt;=EDATE($B$42,-3),W$3&lt;$B$42),$B$58/3,0)</x:f>
      </x:c>
      <x:c r="X58" s="117" t="n">
        <x:f>IF(AND(X$3&gt;=EDATE($B$42,-3),X$3&lt;$B$42),$B$58/3,0)</x:f>
      </x:c>
      <x:c r="Y58" s="117" t="n">
        <x:f>IF(AND(Y$3&gt;=EDATE($B$42,-3),Y$3&lt;$B$42),$B$58/3,0)</x:f>
      </x:c>
      <x:c r="Z58" s="117" t="n">
        <x:f>IF(AND(Z$3&gt;=EDATE($B$42,-3),Z$3&lt;$B$42),$B$58/3,0)</x:f>
      </x:c>
      <x:c r="AA58" s="117" t="n">
        <x:f>IF(AND(AA$3&gt;=EDATE($B$42,-3),AA$3&lt;$B$42),$B$58/3,0)</x:f>
      </x:c>
      <x:c r="AB58" s="117" t="n">
        <x:f>IF(AND(AB$3&gt;=EDATE($B$42,-3),AB$3&lt;$B$42),$B$58/3,0)</x:f>
      </x:c>
      <x:c r="AC58" s="117" t="n">
        <x:f>IF(AND(AC$3&gt;=EDATE($B$42,-3),AC$3&lt;$B$42),$B$58/3,0)</x:f>
      </x:c>
      <x:c r="AD58" s="117" t="n">
        <x:f>IF(AND(AD$3&gt;=EDATE($B$42,-3),AD$3&lt;$B$42),$B$58/3,0)</x:f>
      </x:c>
      <x:c r="AE58" s="117" t="n">
        <x:f>IF(AND(AE$3&gt;=EDATE($B$42,-3),AE$3&lt;$B$42),$B$58/3,0)</x:f>
      </x:c>
      <x:c r="AF58" s="117" t="n">
        <x:f>IF(AND(AF$3&gt;=EDATE($B$42,-3),AF$3&lt;$B$42),$B$58/3,0)</x:f>
      </x:c>
      <x:c r="AG58" s="117" t="n">
        <x:f>IF(AND(AG$3&gt;=EDATE($B$42,-3),AG$3&lt;$B$42),$B$58/3,0)</x:f>
      </x:c>
      <x:c r="AH58" s="117" t="n">
        <x:f>IF(AND(AH$3&gt;=EDATE($B$42,-3),AH$3&lt;$B$42),$B$58/3,0)</x:f>
      </x:c>
      <x:c r="AI58" s="117" t="n">
        <x:f>IF(AND(AI$3&gt;=EDATE($B$42,-3),AI$3&lt;$B$42),$B$58/3,0)</x:f>
      </x:c>
      <x:c r="AJ58" s="117" t="n">
        <x:f>IF(AND(AJ$3&gt;=EDATE($B$42,-3),AJ$3&lt;$B$42),$B$58/3,0)</x:f>
      </x:c>
      <x:c r="AK58" s="117" t="n">
        <x:f>IF(AND(AK$3&gt;=EDATE($B$42,-3),AK$3&lt;$B$42),$B$58/3,0)</x:f>
      </x:c>
      <x:c r="AL58" s="117" t="n">
        <x:f>IF(AND(AL$3&gt;=EDATE($B$42,-3),AL$3&lt;$B$42),$B$58/3,0)</x:f>
      </x:c>
      <x:c r="AM58" s="117" t="n">
        <x:f>IF(AND(AM$3&gt;=EDATE($B$42,-3),AM$3&lt;$B$42),$B$58/3,0)</x:f>
      </x:c>
      <x:c r="AN58" s="117" t="n">
        <x:f>IF(AND(AN$3&gt;=EDATE($B$42,-3),AN$3&lt;$B$42),$B$58/3,0)</x:f>
      </x:c>
      <x:c r="AO58" s="117" t="n">
        <x:f>IF(AND(AO$3&gt;=EDATE($B$42,-3),AO$3&lt;$B$42),$B$58/3,0)</x:f>
      </x:c>
      <x:c r="AP58" s="117" t="n">
        <x:f>IF(AND(AP$3&gt;=EDATE($B$42,-3),AP$3&lt;$B$42),$B$58/3,0)</x:f>
      </x:c>
      <x:c r="AQ58" s="117" t="n">
        <x:f>IF(AND(AQ$3&gt;=EDATE($B$42,-3),AQ$3&lt;$B$42),$B$58/3,0)</x:f>
      </x:c>
      <x:c r="AR58" s="117" t="n">
        <x:f>IF(AND(AR$3&gt;=EDATE($B$42,-3),AR$3&lt;$B$42),$B$58/3,0)</x:f>
      </x:c>
      <x:c r="AS58" s="117" t="n">
        <x:f>IF(AND(AS$3&gt;=EDATE($B$42,-3),AS$3&lt;$B$42),$B$58/3,0)</x:f>
      </x:c>
      <x:c r="AT58" s="117" t="n">
        <x:f>IF(AND(AT$3&gt;=EDATE($B$42,-3),AT$3&lt;$B$42),$B$58/3,0)</x:f>
      </x:c>
      <x:c r="AU58" s="117" t="n">
        <x:f>IF(AND(AU$3&gt;=EDATE($B$42,-3),AU$3&lt;$B$42),$B$58/3,0)</x:f>
      </x:c>
      <x:c r="AV58" s="117" t="n">
        <x:f>IF(AND(AV$3&gt;=EDATE($B$42,-3),AV$3&lt;$B$42),$B$58/3,0)</x:f>
      </x:c>
      <x:c r="AW58" s="117" t="n">
        <x:f>IF(AND(AW$3&gt;=EDATE($B$42,-3),AW$3&lt;$B$42),$B$58/3,0)</x:f>
      </x:c>
      <x:c r="AX58" s="117" t="n">
        <x:f>IF(AND(AX$3&gt;=EDATE($B$42,-3),AX$3&lt;$B$42),$B$58/3,0)</x:f>
      </x:c>
      <x:c r="AY58" s="117" t="n">
        <x:f>IF(AND(AY$3&gt;=EDATE($B$42,-3),AY$3&lt;$B$42),$B$58/3,0)</x:f>
      </x:c>
      <x:c r="AZ58" s="117" t="n">
        <x:f>IF(AND(AZ$3&gt;=EDATE($B$42,-3),AZ$3&lt;$B$42),$B$58/3,0)</x:f>
      </x:c>
      <x:c r="BA58" s="117" t="n">
        <x:f>IF(AND(BA$3&gt;=EDATE($B$42,-3),BA$3&lt;$B$42),$B$58/3,0)</x:f>
      </x:c>
      <x:c r="BB58" s="117" t="n">
        <x:f>IF(AND(BB$3&gt;=EDATE($B$42,-3),BB$3&lt;$B$42),$B$58/3,0)</x:f>
      </x:c>
      <x:c r="BC58" s="117" t="n">
        <x:f>IF(AND(BC$3&gt;=EDATE($B$42,-3),BC$3&lt;$B$42),$B$58/3,0)</x:f>
      </x:c>
      <x:c r="BD58" s="117" t="n">
        <x:f>IF(AND(BD$3&gt;=EDATE($B$42,-3),BD$3&lt;$B$42),$B$58/3,0)</x:f>
      </x:c>
      <x:c r="BE58" s="117" t="n">
        <x:f>IF(AND(BE$3&gt;=EDATE($B$42,-3),BE$3&lt;$B$42),$B$58/3,0)</x:f>
      </x:c>
      <x:c r="BF58" s="117" t="n">
        <x:f>IF(AND(BF$3&gt;=EDATE($B$42,-3),BF$3&lt;$B$42),$B$58/3,0)</x:f>
      </x:c>
      <x:c r="BG58" s="117" t="n">
        <x:f>IF(AND(BG$3&gt;=EDATE($B$42,-3),BG$3&lt;$B$42),$B$58/3,0)</x:f>
      </x:c>
      <x:c r="BH58" s="117" t="n">
        <x:f>IF(AND(BH$3&gt;=EDATE($B$42,-3),BH$3&lt;$B$42),$B$58/3,0)</x:f>
      </x:c>
      <x:c r="BI58" s="117" t="n">
        <x:f>IF(AND(BI$3&gt;=EDATE($B$42,-3),BI$3&lt;$B$42),$B$58/3,0)</x:f>
      </x:c>
      <x:c r="BJ58" s="117" t="n">
        <x:f>IF(AND(BJ$3&gt;=EDATE($B$42,-3),BJ$3&lt;$B$42),$B$58/3,0)</x:f>
      </x:c>
      <x:c r="BK58" s="117" t="n">
        <x:f>IF(AND(BK$3&gt;=EDATE($B$42,-3),BK$3&lt;$B$42),$B$58/3,0)</x:f>
      </x:c>
      <x:c r="BL58" s="117" t="n">
        <x:f>IF(AND(BL$3&gt;=EDATE($B$42,-3),BL$3&lt;$B$42),$B$58/3,0)</x:f>
      </x:c>
      <x:c r="BM58" s="117" t="n">
        <x:f>IF(AND(BM$3&gt;=EDATE($B$42,-3),BM$3&lt;$B$42),$B$58/3,0)</x:f>
      </x:c>
      <x:c r="BN58" s="117" t="n">
        <x:f>IF(AND(BN$3&gt;=EDATE($B$42,-3),BN$3&lt;$B$42),$B$58/3,0)</x:f>
      </x:c>
      <x:c r="BO58" s="117" t="n">
        <x:f>IF(AND(BO$3&gt;=EDATE($B$42,-3),BO$3&lt;$B$42),$B$58/3,0)</x:f>
      </x:c>
      <x:c r="BP58" s="117" t="n">
        <x:f>IF(AND(BP$3&gt;=EDATE($B$42,-3),BP$3&lt;$B$42),$B$58/3,0)</x:f>
      </x:c>
      <x:c r="BQ58" s="117" t="n">
        <x:f>IF(AND(BQ$3&gt;=EDATE($B$42,-3),BQ$3&lt;$B$42),$B$58/3,0)</x:f>
      </x:c>
      <x:c r="BR58" s="117" t="n">
        <x:f>IF(AND(BR$3&gt;=EDATE($B$42,-3),BR$3&lt;$B$42),$B$58/3,0)</x:f>
      </x:c>
      <x:c r="BS58" s="117" t="n">
        <x:f>IF(AND(BS$3&gt;=EDATE($B$42,-3),BS$3&lt;$B$42),$B$58/3,0)</x:f>
      </x:c>
      <x:c r="BT58" s="117" t="n">
        <x:f>IF(AND(BT$3&gt;=EDATE($B$42,-3),BT$3&lt;$B$42),$B$58/3,0)</x:f>
      </x:c>
      <x:c r="BU58" s="117" t="n">
        <x:f>IF(AND(BU$3&gt;=EDATE($B$42,-3),BU$3&lt;$B$42),$B$58/3,0)</x:f>
      </x:c>
      <x:c r="BV58" s="117" t="n">
        <x:f>IF(AND(BV$3&gt;=EDATE($B$42,-3),BV$3&lt;$B$42),$B$58/3,0)</x:f>
      </x:c>
      <x:c r="BW58" s="117" t="n">
        <x:f>IF(AND(BW$3&gt;=EDATE($B$42,-3),BW$3&lt;$B$42),$B$58/3,0)</x:f>
      </x:c>
      <x:c r="BX58" s="117" t="n">
        <x:f>IF(AND(BX$3&gt;=EDATE($B$42,-3),BX$3&lt;$B$42),$B$58/3,0)</x:f>
      </x:c>
      <x:c r="BY58" s="117" t="n">
        <x:f>IF(AND(BY$3&gt;=EDATE($B$42,-3),BY$3&lt;$B$42),$B$58/3,0)</x:f>
      </x:c>
      <x:c r="BZ58" s="117" t="n">
        <x:f>IF(AND(BZ$3&gt;=EDATE($B$42,-3),BZ$3&lt;$B$42),$B$58/3,0)</x:f>
      </x:c>
      <x:c r="CA58" s="117" t="n">
        <x:f>IF(AND(CA$3&gt;=EDATE($B$42,-3),CA$3&lt;$B$42),$B$58/3,0)</x:f>
      </x:c>
      <x:c r="CB58" s="117" t="n">
        <x:f>IF(AND(CB$3&gt;=EDATE($B$42,-3),CB$3&lt;$B$42),$B$58/3,0)</x:f>
      </x:c>
      <x:c r="CC58" s="117" t="n">
        <x:f>IF(AND(CC$3&gt;=EDATE($B$42,-3),CC$3&lt;$B$42),$B$58/3,0)</x:f>
      </x:c>
      <x:c r="CD58" s="117" t="n">
        <x:f>IF(AND(CD$3&gt;=EDATE($B$42,-3),CD$3&lt;$B$42),$B$58/3,0)</x:f>
      </x:c>
      <x:c r="CE58" s="117" t="n">
        <x:f>IF(AND(CE$3&gt;=EDATE($B$42,-3),CE$3&lt;$B$42),$B$58/3,0)</x:f>
      </x:c>
      <x:c r="CF58" s="117" t="n">
        <x:f>IF(AND(CF$3&gt;=EDATE($B$42,-3),CF$3&lt;$B$42),$B$58/3,0)</x:f>
      </x:c>
      <x:c r="CG58" s="117" t="n">
        <x:f>IF(AND(CG$3&gt;=EDATE($B$42,-3),CG$3&lt;$B$42),$B$58/3,0)</x:f>
      </x:c>
      <x:c r="CH58" s="117" t="n">
        <x:f>IF(AND(CH$3&gt;=EDATE($B$42,-3),CH$3&lt;$B$42),$B$58/3,0)</x:f>
      </x:c>
      <x:c r="CI58" s="117" t="n">
        <x:f>IF(AND(CI$3&gt;=EDATE($B$42,-3),CI$3&lt;$B$42),$B$58/3,0)</x:f>
      </x:c>
      <x:c r="CJ58" s="117" t="n">
        <x:f>IF(AND(CJ$3&gt;=EDATE($B$42,-3),CJ$3&lt;$B$42),$B$58/3,0)</x:f>
      </x:c>
      <x:c r="CK58" s="117" t="n">
        <x:f>IF(AND(CK$3&gt;=EDATE($B$42,-3),CK$3&lt;$B$42),$B$58/3,0)</x:f>
      </x:c>
      <x:c r="CL58" s="117" t="n">
        <x:f>IF(AND(CL$3&gt;=EDATE($B$42,-3),CL$3&lt;$B$42),$B$58/3,0)</x:f>
      </x:c>
      <x:c r="CM58" s="117" t="n">
        <x:f>IF(AND(CM$3&gt;=EDATE($B$42,-3),CM$3&lt;$B$42),$B$58/3,0)</x:f>
      </x:c>
      <x:c r="CN58" s="117" t="n">
        <x:f>IF(AND(CN$3&gt;=EDATE($B$42,-3),CN$3&lt;$B$42),$B$58/3,0)</x:f>
      </x:c>
      <x:c r="CO58" s="117" t="n">
        <x:f>IF(AND(CO$3&gt;=EDATE($B$42,-3),CO$3&lt;$B$42),$B$58/3,0)</x:f>
      </x:c>
      <x:c r="CP58" s="117" t="n">
        <x:f>IF(AND(CP$3&gt;=EDATE($B$42,-3),CP$3&lt;$B$42),$B$58/3,0)</x:f>
      </x:c>
      <x:c r="CQ58" s="117" t="n">
        <x:f>IF(AND(CQ$3&gt;=EDATE($B$42,-3),CQ$3&lt;$B$42),$B$58/3,0)</x:f>
      </x:c>
      <x:c r="CR58" s="117" t="n">
        <x:f>IF(AND(CR$3&gt;=EDATE($B$42,-3),CR$3&lt;$B$42),$B$58/3,0)</x:f>
      </x:c>
      <x:c r="CS58" s="117" t="n">
        <x:f>IF(AND(CS$3&gt;=EDATE($B$42,-3),CS$3&lt;$B$42),$B$58/3,0)</x:f>
      </x:c>
      <x:c r="CT58" s="117" t="n">
        <x:f>IF(AND(CT$3&gt;=EDATE($B$42,-3),CT$3&lt;$B$42),$B$58/3,0)</x:f>
      </x:c>
      <x:c r="CU58" s="117" t="n">
        <x:f>IF(AND(CU$3&gt;=EDATE($B$42,-3),CU$3&lt;$B$42),$B$58/3,0)</x:f>
      </x:c>
      <x:c r="CV58" s="117" t="n">
        <x:f>IF(AND(CV$3&gt;=EDATE($B$42,-3),CV$3&lt;$B$42),$B$58/3,0)</x:f>
      </x:c>
      <x:c r="CW58" s="117" t="n">
        <x:f>IF(AND(CW$3&gt;=EDATE($B$42,-3),CW$3&lt;$B$42),$B$58/3,0)</x:f>
      </x:c>
      <x:c r="CX58" s="117" t="n">
        <x:f>IF(AND(CX$3&gt;=EDATE($B$42,-3),CX$3&lt;$B$42),$B$58/3,0)</x:f>
      </x:c>
      <x:c r="CY58" s="117" t="n">
        <x:f>IF(AND(CY$3&gt;=EDATE($B$42,-3),CY$3&lt;$B$42),$B$58/3,0)</x:f>
      </x:c>
      <x:c r="CZ58" s="117" t="n">
        <x:f>IF(AND(CZ$3&gt;=EDATE($B$42,-3),CZ$3&lt;$B$42),$B$58/3,0)</x:f>
      </x:c>
      <x:c r="DA58" s="117" t="n">
        <x:f>IF(AND(DA$3&gt;=EDATE($B$42,-3),DA$3&lt;$B$42),$B$58/3,0)</x:f>
      </x:c>
      <x:c r="DB58" s="117" t="n">
        <x:f>IF(AND(DB$3&gt;=EDATE($B$42,-3),DB$3&lt;$B$42),$B$58/3,0)</x:f>
      </x:c>
      <x:c r="DC58" s="117" t="n">
        <x:f>IF(AND(DC$3&gt;=EDATE($B$42,-3),DC$3&lt;$B$42),$B$58/3,0)</x:f>
      </x:c>
      <x:c r="DD58" s="117" t="n">
        <x:f>IF(AND(DD$3&gt;=EDATE($B$42,-3),DD$3&lt;$B$42),$B$58/3,0)</x:f>
      </x:c>
      <x:c r="DE58" s="117" t="n">
        <x:f>IF(AND(DE$3&gt;=EDATE($B$42,-3),DE$3&lt;$B$42),$B$58/3,0)</x:f>
      </x:c>
      <x:c r="DF58" s="117" t="n">
        <x:f>IF(AND(DF$3&gt;=EDATE($B$42,-3),DF$3&lt;$B$42),$B$58/3,0)</x:f>
      </x:c>
      <x:c r="DG58" s="117" t="n">
        <x:f>IF(AND(DG$3&gt;=EDATE($B$42,-3),DG$3&lt;$B$42),$B$58/3,0)</x:f>
      </x:c>
      <x:c r="DH58" s="117" t="n">
        <x:f>IF(AND(DH$3&gt;=EDATE($B$42,-3),DH$3&lt;$B$42),$B$58/3,0)</x:f>
      </x:c>
      <x:c r="DI58" s="117" t="n">
        <x:f>IF(AND(DI$3&gt;=EDATE($B$42,-3),DI$3&lt;$B$42),$B$58/3,0)</x:f>
      </x:c>
      <x:c r="DJ58" s="117" t="n">
        <x:f>IF(AND(DJ$3&gt;=EDATE($B$42,-3),DJ$3&lt;$B$42),$B$58/3,0)</x:f>
      </x:c>
      <x:c r="DK58" s="117" t="n">
        <x:f>IF(AND(DK$3&gt;=EDATE($B$42,-3),DK$3&lt;$B$42),$B$58/3,0)</x:f>
      </x:c>
      <x:c r="DL58" s="117" t="n">
        <x:f>IF(AND(DL$3&gt;=EDATE($B$42,-3),DL$3&lt;$B$42),$B$58/3,0)</x:f>
      </x:c>
      <x:c r="DM58" s="117" t="n">
        <x:f>IF(AND(DM$3&gt;=EDATE($B$42,-3),DM$3&lt;$B$42),$B$58/3,0)</x:f>
      </x:c>
      <x:c r="DN58" s="117" t="n">
        <x:f>IF(AND(DN$3&gt;=EDATE($B$42,-3),DN$3&lt;$B$42),$B$58/3,0)</x:f>
      </x:c>
      <x:c r="DO58" s="117" t="n">
        <x:f>IF(AND(DO$3&gt;=EDATE($B$42,-3),DO$3&lt;$B$42),$B$58/3,0)</x:f>
      </x:c>
      <x:c r="DP58" s="117" t="n">
        <x:f>IF(AND(DP$3&gt;=EDATE($B$42,-3),DP$3&lt;$B$42),$B$58/3,0)</x:f>
      </x:c>
      <x:c r="DQ58" s="117" t="n">
        <x:f>IF(AND(DQ$3&gt;=EDATE($B$42,-3),DQ$3&lt;$B$42),$B$58/3,0)</x:f>
      </x:c>
      <x:c r="DR58" s="117" t="n">
        <x:f>IF(AND(DR$3&gt;=EDATE($B$42,-3),DR$3&lt;$B$42),$B$58/3,0)</x:f>
      </x:c>
      <x:c r="DS58" s="117" t="n">
        <x:f>IF(AND(DS$3&gt;=EDATE($B$42,-3),DS$3&lt;$B$42),$B$58/3,0)</x:f>
      </x:c>
    </x:row>
    <x:row r="59">
      <x:c r="A59" t="str">
        <x:v>Сдача и ввод</x:v>
      </x:c>
      <x:c r="B59" s="107" t="n">
        <x:f>(('Вводные'!$I$89+'Вводные'!$J$89+'Вводные'!$K$89)*'Вводные'!$B$48/1000*'Вводные'!$H$6*'Вводные'!$T$89*--('Вводные'!$B$89="Да"))*'Вводные'!$AH$89</x:f>
      </x:c>
      <x:c r="C59" t="str">
        <x:v>млн ₽</x:v>
      </x:c>
      <x:c r="D59" s="117" t="n">
        <x:f>IF(AND(D$3&gt;=EDATE($B$42,-3),D$3&lt;$B$42),$B$59/3,0)</x:f>
      </x:c>
      <x:c r="E59" s="117" t="n">
        <x:f>IF(AND(E$3&gt;=EDATE($B$42,-3),E$3&lt;$B$42),$B$59/3,0)</x:f>
      </x:c>
      <x:c r="F59" s="117" t="n">
        <x:f>IF(AND(F$3&gt;=EDATE($B$42,-3),F$3&lt;$B$42),$B$59/3,0)</x:f>
      </x:c>
      <x:c r="G59" s="117" t="n">
        <x:f>IF(AND(G$3&gt;=EDATE($B$42,-3),G$3&lt;$B$42),$B$59/3,0)</x:f>
      </x:c>
      <x:c r="H59" s="117" t="n">
        <x:f>IF(AND(H$3&gt;=EDATE($B$42,-3),H$3&lt;$B$42),$B$59/3,0)</x:f>
      </x:c>
      <x:c r="I59" s="117" t="n">
        <x:f>IF(AND(I$3&gt;=EDATE($B$42,-3),I$3&lt;$B$42),$B$59/3,0)</x:f>
      </x:c>
      <x:c r="J59" s="117" t="n">
        <x:f>IF(AND(J$3&gt;=EDATE($B$42,-3),J$3&lt;$B$42),$B$59/3,0)</x:f>
      </x:c>
      <x:c r="K59" s="117" t="n">
        <x:f>IF(AND(K$3&gt;=EDATE($B$42,-3),K$3&lt;$B$42),$B$59/3,0)</x:f>
      </x:c>
      <x:c r="L59" s="117" t="n">
        <x:f>IF(AND(L$3&gt;=EDATE($B$42,-3),L$3&lt;$B$42),$B$59/3,0)</x:f>
      </x:c>
      <x:c r="M59" s="117" t="n">
        <x:f>IF(AND(M$3&gt;=EDATE($B$42,-3),M$3&lt;$B$42),$B$59/3,0)</x:f>
      </x:c>
      <x:c r="N59" s="117" t="n">
        <x:f>IF(AND(N$3&gt;=EDATE($B$42,-3),N$3&lt;$B$42),$B$59/3,0)</x:f>
      </x:c>
      <x:c r="O59" s="117" t="n">
        <x:f>IF(AND(O$3&gt;=EDATE($B$42,-3),O$3&lt;$B$42),$B$59/3,0)</x:f>
      </x:c>
      <x:c r="P59" s="117" t="n">
        <x:f>IF(AND(P$3&gt;=EDATE($B$42,-3),P$3&lt;$B$42),$B$59/3,0)</x:f>
      </x:c>
      <x:c r="Q59" s="117" t="n">
        <x:f>IF(AND(Q$3&gt;=EDATE($B$42,-3),Q$3&lt;$B$42),$B$59/3,0)</x:f>
      </x:c>
      <x:c r="R59" s="117" t="n">
        <x:f>IF(AND(R$3&gt;=EDATE($B$42,-3),R$3&lt;$B$42),$B$59/3,0)</x:f>
      </x:c>
      <x:c r="S59" s="117" t="n">
        <x:f>IF(AND(S$3&gt;=EDATE($B$42,-3),S$3&lt;$B$42),$B$59/3,0)</x:f>
      </x:c>
      <x:c r="T59" s="117" t="n">
        <x:f>IF(AND(T$3&gt;=EDATE($B$42,-3),T$3&lt;$B$42),$B$59/3,0)</x:f>
      </x:c>
      <x:c r="U59" s="117" t="n">
        <x:f>IF(AND(U$3&gt;=EDATE($B$42,-3),U$3&lt;$B$42),$B$59/3,0)</x:f>
      </x:c>
      <x:c r="V59" s="117" t="n">
        <x:f>IF(AND(V$3&gt;=EDATE($B$42,-3),V$3&lt;$B$42),$B$59/3,0)</x:f>
      </x:c>
      <x:c r="W59" s="117" t="n">
        <x:f>IF(AND(W$3&gt;=EDATE($B$42,-3),W$3&lt;$B$42),$B$59/3,0)</x:f>
      </x:c>
      <x:c r="X59" s="117" t="n">
        <x:f>IF(AND(X$3&gt;=EDATE($B$42,-3),X$3&lt;$B$42),$B$59/3,0)</x:f>
      </x:c>
      <x:c r="Y59" s="117" t="n">
        <x:f>IF(AND(Y$3&gt;=EDATE($B$42,-3),Y$3&lt;$B$42),$B$59/3,0)</x:f>
      </x:c>
      <x:c r="Z59" s="117" t="n">
        <x:f>IF(AND(Z$3&gt;=EDATE($B$42,-3),Z$3&lt;$B$42),$B$59/3,0)</x:f>
      </x:c>
      <x:c r="AA59" s="117" t="n">
        <x:f>IF(AND(AA$3&gt;=EDATE($B$42,-3),AA$3&lt;$B$42),$B$59/3,0)</x:f>
      </x:c>
      <x:c r="AB59" s="117" t="n">
        <x:f>IF(AND(AB$3&gt;=EDATE($B$42,-3),AB$3&lt;$B$42),$B$59/3,0)</x:f>
      </x:c>
      <x:c r="AC59" s="117" t="n">
        <x:f>IF(AND(AC$3&gt;=EDATE($B$42,-3),AC$3&lt;$B$42),$B$59/3,0)</x:f>
      </x:c>
      <x:c r="AD59" s="117" t="n">
        <x:f>IF(AND(AD$3&gt;=EDATE($B$42,-3),AD$3&lt;$B$42),$B$59/3,0)</x:f>
      </x:c>
      <x:c r="AE59" s="117" t="n">
        <x:f>IF(AND(AE$3&gt;=EDATE($B$42,-3),AE$3&lt;$B$42),$B$59/3,0)</x:f>
      </x:c>
      <x:c r="AF59" s="117" t="n">
        <x:f>IF(AND(AF$3&gt;=EDATE($B$42,-3),AF$3&lt;$B$42),$B$59/3,0)</x:f>
      </x:c>
      <x:c r="AG59" s="117" t="n">
        <x:f>IF(AND(AG$3&gt;=EDATE($B$42,-3),AG$3&lt;$B$42),$B$59/3,0)</x:f>
      </x:c>
      <x:c r="AH59" s="117" t="n">
        <x:f>IF(AND(AH$3&gt;=EDATE($B$42,-3),AH$3&lt;$B$42),$B$59/3,0)</x:f>
      </x:c>
      <x:c r="AI59" s="117" t="n">
        <x:f>IF(AND(AI$3&gt;=EDATE($B$42,-3),AI$3&lt;$B$42),$B$59/3,0)</x:f>
      </x:c>
      <x:c r="AJ59" s="117" t="n">
        <x:f>IF(AND(AJ$3&gt;=EDATE($B$42,-3),AJ$3&lt;$B$42),$B$59/3,0)</x:f>
      </x:c>
      <x:c r="AK59" s="117" t="n">
        <x:f>IF(AND(AK$3&gt;=EDATE($B$42,-3),AK$3&lt;$B$42),$B$59/3,0)</x:f>
      </x:c>
      <x:c r="AL59" s="117" t="n">
        <x:f>IF(AND(AL$3&gt;=EDATE($B$42,-3),AL$3&lt;$B$42),$B$59/3,0)</x:f>
      </x:c>
      <x:c r="AM59" s="117" t="n">
        <x:f>IF(AND(AM$3&gt;=EDATE($B$42,-3),AM$3&lt;$B$42),$B$59/3,0)</x:f>
      </x:c>
      <x:c r="AN59" s="117" t="n">
        <x:f>IF(AND(AN$3&gt;=EDATE($B$42,-3),AN$3&lt;$B$42),$B$59/3,0)</x:f>
      </x:c>
      <x:c r="AO59" s="117" t="n">
        <x:f>IF(AND(AO$3&gt;=EDATE($B$42,-3),AO$3&lt;$B$42),$B$59/3,0)</x:f>
      </x:c>
      <x:c r="AP59" s="117" t="n">
        <x:f>IF(AND(AP$3&gt;=EDATE($B$42,-3),AP$3&lt;$B$42),$B$59/3,0)</x:f>
      </x:c>
      <x:c r="AQ59" s="117" t="n">
        <x:f>IF(AND(AQ$3&gt;=EDATE($B$42,-3),AQ$3&lt;$B$42),$B$59/3,0)</x:f>
      </x:c>
      <x:c r="AR59" s="117" t="n">
        <x:f>IF(AND(AR$3&gt;=EDATE($B$42,-3),AR$3&lt;$B$42),$B$59/3,0)</x:f>
      </x:c>
      <x:c r="AS59" s="117" t="n">
        <x:f>IF(AND(AS$3&gt;=EDATE($B$42,-3),AS$3&lt;$B$42),$B$59/3,0)</x:f>
      </x:c>
      <x:c r="AT59" s="117" t="n">
        <x:f>IF(AND(AT$3&gt;=EDATE($B$42,-3),AT$3&lt;$B$42),$B$59/3,0)</x:f>
      </x:c>
      <x:c r="AU59" s="117" t="n">
        <x:f>IF(AND(AU$3&gt;=EDATE($B$42,-3),AU$3&lt;$B$42),$B$59/3,0)</x:f>
      </x:c>
      <x:c r="AV59" s="117" t="n">
        <x:f>IF(AND(AV$3&gt;=EDATE($B$42,-3),AV$3&lt;$B$42),$B$59/3,0)</x:f>
      </x:c>
      <x:c r="AW59" s="117" t="n">
        <x:f>IF(AND(AW$3&gt;=EDATE($B$42,-3),AW$3&lt;$B$42),$B$59/3,0)</x:f>
      </x:c>
      <x:c r="AX59" s="117" t="n">
        <x:f>IF(AND(AX$3&gt;=EDATE($B$42,-3),AX$3&lt;$B$42),$B$59/3,0)</x:f>
      </x:c>
      <x:c r="AY59" s="117" t="n">
        <x:f>IF(AND(AY$3&gt;=EDATE($B$42,-3),AY$3&lt;$B$42),$B$59/3,0)</x:f>
      </x:c>
      <x:c r="AZ59" s="117" t="n">
        <x:f>IF(AND(AZ$3&gt;=EDATE($B$42,-3),AZ$3&lt;$B$42),$B$59/3,0)</x:f>
      </x:c>
      <x:c r="BA59" s="117" t="n">
        <x:f>IF(AND(BA$3&gt;=EDATE($B$42,-3),BA$3&lt;$B$42),$B$59/3,0)</x:f>
      </x:c>
      <x:c r="BB59" s="117" t="n">
        <x:f>IF(AND(BB$3&gt;=EDATE($B$42,-3),BB$3&lt;$B$42),$B$59/3,0)</x:f>
      </x:c>
      <x:c r="BC59" s="117" t="n">
        <x:f>IF(AND(BC$3&gt;=EDATE($B$42,-3),BC$3&lt;$B$42),$B$59/3,0)</x:f>
      </x:c>
      <x:c r="BD59" s="117" t="n">
        <x:f>IF(AND(BD$3&gt;=EDATE($B$42,-3),BD$3&lt;$B$42),$B$59/3,0)</x:f>
      </x:c>
      <x:c r="BE59" s="117" t="n">
        <x:f>IF(AND(BE$3&gt;=EDATE($B$42,-3),BE$3&lt;$B$42),$B$59/3,0)</x:f>
      </x:c>
      <x:c r="BF59" s="117" t="n">
        <x:f>IF(AND(BF$3&gt;=EDATE($B$42,-3),BF$3&lt;$B$42),$B$59/3,0)</x:f>
      </x:c>
      <x:c r="BG59" s="117" t="n">
        <x:f>IF(AND(BG$3&gt;=EDATE($B$42,-3),BG$3&lt;$B$42),$B$59/3,0)</x:f>
      </x:c>
      <x:c r="BH59" s="117" t="n">
        <x:f>IF(AND(BH$3&gt;=EDATE($B$42,-3),BH$3&lt;$B$42),$B$59/3,0)</x:f>
      </x:c>
      <x:c r="BI59" s="117" t="n">
        <x:f>IF(AND(BI$3&gt;=EDATE($B$42,-3),BI$3&lt;$B$42),$B$59/3,0)</x:f>
      </x:c>
      <x:c r="BJ59" s="117" t="n">
        <x:f>IF(AND(BJ$3&gt;=EDATE($B$42,-3),BJ$3&lt;$B$42),$B$59/3,0)</x:f>
      </x:c>
      <x:c r="BK59" s="117" t="n">
        <x:f>IF(AND(BK$3&gt;=EDATE($B$42,-3),BK$3&lt;$B$42),$B$59/3,0)</x:f>
      </x:c>
      <x:c r="BL59" s="117" t="n">
        <x:f>IF(AND(BL$3&gt;=EDATE($B$42,-3),BL$3&lt;$B$42),$B$59/3,0)</x:f>
      </x:c>
      <x:c r="BM59" s="117" t="n">
        <x:f>IF(AND(BM$3&gt;=EDATE($B$42,-3),BM$3&lt;$B$42),$B$59/3,0)</x:f>
      </x:c>
      <x:c r="BN59" s="117" t="n">
        <x:f>IF(AND(BN$3&gt;=EDATE($B$42,-3),BN$3&lt;$B$42),$B$59/3,0)</x:f>
      </x:c>
      <x:c r="BO59" s="117" t="n">
        <x:f>IF(AND(BO$3&gt;=EDATE($B$42,-3),BO$3&lt;$B$42),$B$59/3,0)</x:f>
      </x:c>
      <x:c r="BP59" s="117" t="n">
        <x:f>IF(AND(BP$3&gt;=EDATE($B$42,-3),BP$3&lt;$B$42),$B$59/3,0)</x:f>
      </x:c>
      <x:c r="BQ59" s="117" t="n">
        <x:f>IF(AND(BQ$3&gt;=EDATE($B$42,-3),BQ$3&lt;$B$42),$B$59/3,0)</x:f>
      </x:c>
      <x:c r="BR59" s="117" t="n">
        <x:f>IF(AND(BR$3&gt;=EDATE($B$42,-3),BR$3&lt;$B$42),$B$59/3,0)</x:f>
      </x:c>
      <x:c r="BS59" s="117" t="n">
        <x:f>IF(AND(BS$3&gt;=EDATE($B$42,-3),BS$3&lt;$B$42),$B$59/3,0)</x:f>
      </x:c>
      <x:c r="BT59" s="117" t="n">
        <x:f>IF(AND(BT$3&gt;=EDATE($B$42,-3),BT$3&lt;$B$42),$B$59/3,0)</x:f>
      </x:c>
      <x:c r="BU59" s="117" t="n">
        <x:f>IF(AND(BU$3&gt;=EDATE($B$42,-3),BU$3&lt;$B$42),$B$59/3,0)</x:f>
      </x:c>
      <x:c r="BV59" s="117" t="n">
        <x:f>IF(AND(BV$3&gt;=EDATE($B$42,-3),BV$3&lt;$B$42),$B$59/3,0)</x:f>
      </x:c>
      <x:c r="BW59" s="117" t="n">
        <x:f>IF(AND(BW$3&gt;=EDATE($B$42,-3),BW$3&lt;$B$42),$B$59/3,0)</x:f>
      </x:c>
      <x:c r="BX59" s="117" t="n">
        <x:f>IF(AND(BX$3&gt;=EDATE($B$42,-3),BX$3&lt;$B$42),$B$59/3,0)</x:f>
      </x:c>
      <x:c r="BY59" s="117" t="n">
        <x:f>IF(AND(BY$3&gt;=EDATE($B$42,-3),BY$3&lt;$B$42),$B$59/3,0)</x:f>
      </x:c>
      <x:c r="BZ59" s="117" t="n">
        <x:f>IF(AND(BZ$3&gt;=EDATE($B$42,-3),BZ$3&lt;$B$42),$B$59/3,0)</x:f>
      </x:c>
      <x:c r="CA59" s="117" t="n">
        <x:f>IF(AND(CA$3&gt;=EDATE($B$42,-3),CA$3&lt;$B$42),$B$59/3,0)</x:f>
      </x:c>
      <x:c r="CB59" s="117" t="n">
        <x:f>IF(AND(CB$3&gt;=EDATE($B$42,-3),CB$3&lt;$B$42),$B$59/3,0)</x:f>
      </x:c>
      <x:c r="CC59" s="117" t="n">
        <x:f>IF(AND(CC$3&gt;=EDATE($B$42,-3),CC$3&lt;$B$42),$B$59/3,0)</x:f>
      </x:c>
      <x:c r="CD59" s="117" t="n">
        <x:f>IF(AND(CD$3&gt;=EDATE($B$42,-3),CD$3&lt;$B$42),$B$59/3,0)</x:f>
      </x:c>
      <x:c r="CE59" s="117" t="n">
        <x:f>IF(AND(CE$3&gt;=EDATE($B$42,-3),CE$3&lt;$B$42),$B$59/3,0)</x:f>
      </x:c>
      <x:c r="CF59" s="117" t="n">
        <x:f>IF(AND(CF$3&gt;=EDATE($B$42,-3),CF$3&lt;$B$42),$B$59/3,0)</x:f>
      </x:c>
      <x:c r="CG59" s="117" t="n">
        <x:f>IF(AND(CG$3&gt;=EDATE($B$42,-3),CG$3&lt;$B$42),$B$59/3,0)</x:f>
      </x:c>
      <x:c r="CH59" s="117" t="n">
        <x:f>IF(AND(CH$3&gt;=EDATE($B$42,-3),CH$3&lt;$B$42),$B$59/3,0)</x:f>
      </x:c>
      <x:c r="CI59" s="117" t="n">
        <x:f>IF(AND(CI$3&gt;=EDATE($B$42,-3),CI$3&lt;$B$42),$B$59/3,0)</x:f>
      </x:c>
      <x:c r="CJ59" s="117" t="n">
        <x:f>IF(AND(CJ$3&gt;=EDATE($B$42,-3),CJ$3&lt;$B$42),$B$59/3,0)</x:f>
      </x:c>
      <x:c r="CK59" s="117" t="n">
        <x:f>IF(AND(CK$3&gt;=EDATE($B$42,-3),CK$3&lt;$B$42),$B$59/3,0)</x:f>
      </x:c>
      <x:c r="CL59" s="117" t="n">
        <x:f>IF(AND(CL$3&gt;=EDATE($B$42,-3),CL$3&lt;$B$42),$B$59/3,0)</x:f>
      </x:c>
      <x:c r="CM59" s="117" t="n">
        <x:f>IF(AND(CM$3&gt;=EDATE($B$42,-3),CM$3&lt;$B$42),$B$59/3,0)</x:f>
      </x:c>
      <x:c r="CN59" s="117" t="n">
        <x:f>IF(AND(CN$3&gt;=EDATE($B$42,-3),CN$3&lt;$B$42),$B$59/3,0)</x:f>
      </x:c>
      <x:c r="CO59" s="117" t="n">
        <x:f>IF(AND(CO$3&gt;=EDATE($B$42,-3),CO$3&lt;$B$42),$B$59/3,0)</x:f>
      </x:c>
      <x:c r="CP59" s="117" t="n">
        <x:f>IF(AND(CP$3&gt;=EDATE($B$42,-3),CP$3&lt;$B$42),$B$59/3,0)</x:f>
      </x:c>
      <x:c r="CQ59" s="117" t="n">
        <x:f>IF(AND(CQ$3&gt;=EDATE($B$42,-3),CQ$3&lt;$B$42),$B$59/3,0)</x:f>
      </x:c>
      <x:c r="CR59" s="117" t="n">
        <x:f>IF(AND(CR$3&gt;=EDATE($B$42,-3),CR$3&lt;$B$42),$B$59/3,0)</x:f>
      </x:c>
      <x:c r="CS59" s="117" t="n">
        <x:f>IF(AND(CS$3&gt;=EDATE($B$42,-3),CS$3&lt;$B$42),$B$59/3,0)</x:f>
      </x:c>
      <x:c r="CT59" s="117" t="n">
        <x:f>IF(AND(CT$3&gt;=EDATE($B$42,-3),CT$3&lt;$B$42),$B$59/3,0)</x:f>
      </x:c>
      <x:c r="CU59" s="117" t="n">
        <x:f>IF(AND(CU$3&gt;=EDATE($B$42,-3),CU$3&lt;$B$42),$B$59/3,0)</x:f>
      </x:c>
      <x:c r="CV59" s="117" t="n">
        <x:f>IF(AND(CV$3&gt;=EDATE($B$42,-3),CV$3&lt;$B$42),$B$59/3,0)</x:f>
      </x:c>
      <x:c r="CW59" s="117" t="n">
        <x:f>IF(AND(CW$3&gt;=EDATE($B$42,-3),CW$3&lt;$B$42),$B$59/3,0)</x:f>
      </x:c>
      <x:c r="CX59" s="117" t="n">
        <x:f>IF(AND(CX$3&gt;=EDATE($B$42,-3),CX$3&lt;$B$42),$B$59/3,0)</x:f>
      </x:c>
      <x:c r="CY59" s="117" t="n">
        <x:f>IF(AND(CY$3&gt;=EDATE($B$42,-3),CY$3&lt;$B$42),$B$59/3,0)</x:f>
      </x:c>
      <x:c r="CZ59" s="117" t="n">
        <x:f>IF(AND(CZ$3&gt;=EDATE($B$42,-3),CZ$3&lt;$B$42),$B$59/3,0)</x:f>
      </x:c>
      <x:c r="DA59" s="117" t="n">
        <x:f>IF(AND(DA$3&gt;=EDATE($B$42,-3),DA$3&lt;$B$42),$B$59/3,0)</x:f>
      </x:c>
      <x:c r="DB59" s="117" t="n">
        <x:f>IF(AND(DB$3&gt;=EDATE($B$42,-3),DB$3&lt;$B$42),$B$59/3,0)</x:f>
      </x:c>
      <x:c r="DC59" s="117" t="n">
        <x:f>IF(AND(DC$3&gt;=EDATE($B$42,-3),DC$3&lt;$B$42),$B$59/3,0)</x:f>
      </x:c>
      <x:c r="DD59" s="117" t="n">
        <x:f>IF(AND(DD$3&gt;=EDATE($B$42,-3),DD$3&lt;$B$42),$B$59/3,0)</x:f>
      </x:c>
      <x:c r="DE59" s="117" t="n">
        <x:f>IF(AND(DE$3&gt;=EDATE($B$42,-3),DE$3&lt;$B$42),$B$59/3,0)</x:f>
      </x:c>
      <x:c r="DF59" s="117" t="n">
        <x:f>IF(AND(DF$3&gt;=EDATE($B$42,-3),DF$3&lt;$B$42),$B$59/3,0)</x:f>
      </x:c>
      <x:c r="DG59" s="117" t="n">
        <x:f>IF(AND(DG$3&gt;=EDATE($B$42,-3),DG$3&lt;$B$42),$B$59/3,0)</x:f>
      </x:c>
      <x:c r="DH59" s="117" t="n">
        <x:f>IF(AND(DH$3&gt;=EDATE($B$42,-3),DH$3&lt;$B$42),$B$59/3,0)</x:f>
      </x:c>
      <x:c r="DI59" s="117" t="n">
        <x:f>IF(AND(DI$3&gt;=EDATE($B$42,-3),DI$3&lt;$B$42),$B$59/3,0)</x:f>
      </x:c>
      <x:c r="DJ59" s="117" t="n">
        <x:f>IF(AND(DJ$3&gt;=EDATE($B$42,-3),DJ$3&lt;$B$42),$B$59/3,0)</x:f>
      </x:c>
      <x:c r="DK59" s="117" t="n">
        <x:f>IF(AND(DK$3&gt;=EDATE($B$42,-3),DK$3&lt;$B$42),$B$59/3,0)</x:f>
      </x:c>
      <x:c r="DL59" s="117" t="n">
        <x:f>IF(AND(DL$3&gt;=EDATE($B$42,-3),DL$3&lt;$B$42),$B$59/3,0)</x:f>
      </x:c>
      <x:c r="DM59" s="117" t="n">
        <x:f>IF(AND(DM$3&gt;=EDATE($B$42,-3),DM$3&lt;$B$42),$B$59/3,0)</x:f>
      </x:c>
      <x:c r="DN59" s="117" t="n">
        <x:f>IF(AND(DN$3&gt;=EDATE($B$42,-3),DN$3&lt;$B$42),$B$59/3,0)</x:f>
      </x:c>
      <x:c r="DO59" s="117" t="n">
        <x:f>IF(AND(DO$3&gt;=EDATE($B$42,-3),DO$3&lt;$B$42),$B$59/3,0)</x:f>
      </x:c>
      <x:c r="DP59" s="117" t="n">
        <x:f>IF(AND(DP$3&gt;=EDATE($B$42,-3),DP$3&lt;$B$42),$B$59/3,0)</x:f>
      </x:c>
      <x:c r="DQ59" s="117" t="n">
        <x:f>IF(AND(DQ$3&gt;=EDATE($B$42,-3),DQ$3&lt;$B$42),$B$59/3,0)</x:f>
      </x:c>
      <x:c r="DR59" s="117" t="n">
        <x:f>IF(AND(DR$3&gt;=EDATE($B$42,-3),DR$3&lt;$B$42),$B$59/3,0)</x:f>
      </x:c>
      <x:c r="DS59" s="117" t="n">
        <x:f>IF(AND(DS$3&gt;=EDATE($B$42,-3),DS$3&lt;$B$42),$B$59/3,0)</x:f>
      </x:c>
    </x:row>
    <x:row r="60">
      <x:c r="A60" t="str">
        <x:v>Содержание стройплощадки</x:v>
      </x:c>
      <x:c r="B60" s="107" t="n">
        <x:f>(('Вводные'!$I$89+'Вводные'!$J$89+'Вводные'!$K$89)*'Вводные'!$B$49/1000*'Вводные'!$H$6*'Вводные'!$T$89*--('Вводные'!$B$89="Да"))*'Вводные'!$AH$89</x:f>
      </x:c>
      <x:c r="C60" t="str">
        <x:v>млн ₽</x:v>
      </x:c>
      <x:c r="D60" s="117" t="n">
        <x:f>$B$60*D47</x:f>
      </x:c>
      <x:c r="E60" s="117" t="n">
        <x:f>$B$60*E47</x:f>
      </x:c>
      <x:c r="F60" s="117" t="n">
        <x:f>$B$60*F47</x:f>
      </x:c>
      <x:c r="G60" s="117" t="n">
        <x:f>$B$60*G47</x:f>
      </x:c>
      <x:c r="H60" s="117" t="n">
        <x:f>$B$60*H47</x:f>
      </x:c>
      <x:c r="I60" s="117" t="n">
        <x:f>$B$60*I47</x:f>
      </x:c>
      <x:c r="J60" s="117" t="n">
        <x:f>$B$60*J47</x:f>
      </x:c>
      <x:c r="K60" s="117" t="n">
        <x:f>$B$60*K47</x:f>
      </x:c>
      <x:c r="L60" s="117" t="n">
        <x:f>$B$60*L47</x:f>
      </x:c>
      <x:c r="M60" s="117" t="n">
        <x:f>$B$60*M47</x:f>
      </x:c>
      <x:c r="N60" s="117" t="n">
        <x:f>$B$60*N47</x:f>
      </x:c>
      <x:c r="O60" s="117" t="n">
        <x:f>$B$60*O47</x:f>
      </x:c>
      <x:c r="P60" s="117" t="n">
        <x:f>$B$60*P47</x:f>
      </x:c>
      <x:c r="Q60" s="117" t="n">
        <x:f>$B$60*Q47</x:f>
      </x:c>
      <x:c r="R60" s="117" t="n">
        <x:f>$B$60*R47</x:f>
      </x:c>
      <x:c r="S60" s="117" t="n">
        <x:f>$B$60*S47</x:f>
      </x:c>
      <x:c r="T60" s="117" t="n">
        <x:f>$B$60*T47</x:f>
      </x:c>
      <x:c r="U60" s="117" t="n">
        <x:f>$B$60*U47</x:f>
      </x:c>
      <x:c r="V60" s="117" t="n">
        <x:f>$B$60*V47</x:f>
      </x:c>
      <x:c r="W60" s="117" t="n">
        <x:f>$B$60*W47</x:f>
      </x:c>
      <x:c r="X60" s="117" t="n">
        <x:f>$B$60*X47</x:f>
      </x:c>
      <x:c r="Y60" s="117" t="n">
        <x:f>$B$60*Y47</x:f>
      </x:c>
      <x:c r="Z60" s="117" t="n">
        <x:f>$B$60*Z47</x:f>
      </x:c>
      <x:c r="AA60" s="117" t="n">
        <x:f>$B$60*AA47</x:f>
      </x:c>
      <x:c r="AB60" s="117" t="n">
        <x:f>$B$60*AB47</x:f>
      </x:c>
      <x:c r="AC60" s="117" t="n">
        <x:f>$B$60*AC47</x:f>
      </x:c>
      <x:c r="AD60" s="117" t="n">
        <x:f>$B$60*AD47</x:f>
      </x:c>
      <x:c r="AE60" s="117" t="n">
        <x:f>$B$60*AE47</x:f>
      </x:c>
      <x:c r="AF60" s="117" t="n">
        <x:f>$B$60*AF47</x:f>
      </x:c>
      <x:c r="AG60" s="117" t="n">
        <x:f>$B$60*AG47</x:f>
      </x:c>
      <x:c r="AH60" s="117" t="n">
        <x:f>$B$60*AH47</x:f>
      </x:c>
      <x:c r="AI60" s="117" t="n">
        <x:f>$B$60*AI47</x:f>
      </x:c>
      <x:c r="AJ60" s="117" t="n">
        <x:f>$B$60*AJ47</x:f>
      </x:c>
      <x:c r="AK60" s="117" t="n">
        <x:f>$B$60*AK47</x:f>
      </x:c>
      <x:c r="AL60" s="117" t="n">
        <x:f>$B$60*AL47</x:f>
      </x:c>
      <x:c r="AM60" s="117" t="n">
        <x:f>$B$60*AM47</x:f>
      </x:c>
      <x:c r="AN60" s="117" t="n">
        <x:f>$B$60*AN47</x:f>
      </x:c>
      <x:c r="AO60" s="117" t="n">
        <x:f>$B$60*AO47</x:f>
      </x:c>
      <x:c r="AP60" s="117" t="n">
        <x:f>$B$60*AP47</x:f>
      </x:c>
      <x:c r="AQ60" s="117" t="n">
        <x:f>$B$60*AQ47</x:f>
      </x:c>
      <x:c r="AR60" s="117" t="n">
        <x:f>$B$60*AR47</x:f>
      </x:c>
      <x:c r="AS60" s="117" t="n">
        <x:f>$B$60*AS47</x:f>
      </x:c>
      <x:c r="AT60" s="117" t="n">
        <x:f>$B$60*AT47</x:f>
      </x:c>
      <x:c r="AU60" s="117" t="n">
        <x:f>$B$60*AU47</x:f>
      </x:c>
      <x:c r="AV60" s="117" t="n">
        <x:f>$B$60*AV47</x:f>
      </x:c>
      <x:c r="AW60" s="117" t="n">
        <x:f>$B$60*AW47</x:f>
      </x:c>
      <x:c r="AX60" s="117" t="n">
        <x:f>$B$60*AX47</x:f>
      </x:c>
      <x:c r="AY60" s="117" t="n">
        <x:f>$B$60*AY47</x:f>
      </x:c>
      <x:c r="AZ60" s="117" t="n">
        <x:f>$B$60*AZ47</x:f>
      </x:c>
      <x:c r="BA60" s="117" t="n">
        <x:f>$B$60*BA47</x:f>
      </x:c>
      <x:c r="BB60" s="117" t="n">
        <x:f>$B$60*BB47</x:f>
      </x:c>
      <x:c r="BC60" s="117" t="n">
        <x:f>$B$60*BC47</x:f>
      </x:c>
      <x:c r="BD60" s="117" t="n">
        <x:f>$B$60*BD47</x:f>
      </x:c>
      <x:c r="BE60" s="117" t="n">
        <x:f>$B$60*BE47</x:f>
      </x:c>
      <x:c r="BF60" s="117" t="n">
        <x:f>$B$60*BF47</x:f>
      </x:c>
      <x:c r="BG60" s="117" t="n">
        <x:f>$B$60*BG47</x:f>
      </x:c>
      <x:c r="BH60" s="117" t="n">
        <x:f>$B$60*BH47</x:f>
      </x:c>
      <x:c r="BI60" s="117" t="n">
        <x:f>$B$60*BI47</x:f>
      </x:c>
      <x:c r="BJ60" s="117" t="n">
        <x:f>$B$60*BJ47</x:f>
      </x:c>
      <x:c r="BK60" s="117" t="n">
        <x:f>$B$60*BK47</x:f>
      </x:c>
      <x:c r="BL60" s="117" t="n">
        <x:f>$B$60*BL47</x:f>
      </x:c>
      <x:c r="BM60" s="117" t="n">
        <x:f>$B$60*BM47</x:f>
      </x:c>
      <x:c r="BN60" s="117" t="n">
        <x:f>$B$60*BN47</x:f>
      </x:c>
      <x:c r="BO60" s="117" t="n">
        <x:f>$B$60*BO47</x:f>
      </x:c>
      <x:c r="BP60" s="117" t="n">
        <x:f>$B$60*BP47</x:f>
      </x:c>
      <x:c r="BQ60" s="117" t="n">
        <x:f>$B$60*BQ47</x:f>
      </x:c>
      <x:c r="BR60" s="117" t="n">
        <x:f>$B$60*BR47</x:f>
      </x:c>
      <x:c r="BS60" s="117" t="n">
        <x:f>$B$60*BS47</x:f>
      </x:c>
      <x:c r="BT60" s="117" t="n">
        <x:f>$B$60*BT47</x:f>
      </x:c>
      <x:c r="BU60" s="117" t="n">
        <x:f>$B$60*BU47</x:f>
      </x:c>
      <x:c r="BV60" s="117" t="n">
        <x:f>$B$60*BV47</x:f>
      </x:c>
      <x:c r="BW60" s="117" t="n">
        <x:f>$B$60*BW47</x:f>
      </x:c>
      <x:c r="BX60" s="117" t="n">
        <x:f>$B$60*BX47</x:f>
      </x:c>
      <x:c r="BY60" s="117" t="n">
        <x:f>$B$60*BY47</x:f>
      </x:c>
      <x:c r="BZ60" s="117" t="n">
        <x:f>$B$60*BZ47</x:f>
      </x:c>
      <x:c r="CA60" s="117" t="n">
        <x:f>$B$60*CA47</x:f>
      </x:c>
      <x:c r="CB60" s="117" t="n">
        <x:f>$B$60*CB47</x:f>
      </x:c>
      <x:c r="CC60" s="117" t="n">
        <x:f>$B$60*CC47</x:f>
      </x:c>
      <x:c r="CD60" s="117" t="n">
        <x:f>$B$60*CD47</x:f>
      </x:c>
      <x:c r="CE60" s="117" t="n">
        <x:f>$B$60*CE47</x:f>
      </x:c>
      <x:c r="CF60" s="117" t="n">
        <x:f>$B$60*CF47</x:f>
      </x:c>
      <x:c r="CG60" s="117" t="n">
        <x:f>$B$60*CG47</x:f>
      </x:c>
      <x:c r="CH60" s="117" t="n">
        <x:f>$B$60*CH47</x:f>
      </x:c>
      <x:c r="CI60" s="117" t="n">
        <x:f>$B$60*CI47</x:f>
      </x:c>
      <x:c r="CJ60" s="117" t="n">
        <x:f>$B$60*CJ47</x:f>
      </x:c>
      <x:c r="CK60" s="117" t="n">
        <x:f>$B$60*CK47</x:f>
      </x:c>
      <x:c r="CL60" s="117" t="n">
        <x:f>$B$60*CL47</x:f>
      </x:c>
      <x:c r="CM60" s="117" t="n">
        <x:f>$B$60*CM47</x:f>
      </x:c>
      <x:c r="CN60" s="117" t="n">
        <x:f>$B$60*CN47</x:f>
      </x:c>
      <x:c r="CO60" s="117" t="n">
        <x:f>$B$60*CO47</x:f>
      </x:c>
      <x:c r="CP60" s="117" t="n">
        <x:f>$B$60*CP47</x:f>
      </x:c>
      <x:c r="CQ60" s="117" t="n">
        <x:f>$B$60*CQ47</x:f>
      </x:c>
      <x:c r="CR60" s="117" t="n">
        <x:f>$B$60*CR47</x:f>
      </x:c>
      <x:c r="CS60" s="117" t="n">
        <x:f>$B$60*CS47</x:f>
      </x:c>
      <x:c r="CT60" s="117" t="n">
        <x:f>$B$60*CT47</x:f>
      </x:c>
      <x:c r="CU60" s="117" t="n">
        <x:f>$B$60*CU47</x:f>
      </x:c>
      <x:c r="CV60" s="117" t="n">
        <x:f>$B$60*CV47</x:f>
      </x:c>
      <x:c r="CW60" s="117" t="n">
        <x:f>$B$60*CW47</x:f>
      </x:c>
      <x:c r="CX60" s="117" t="n">
        <x:f>$B$60*CX47</x:f>
      </x:c>
      <x:c r="CY60" s="117" t="n">
        <x:f>$B$60*CY47</x:f>
      </x:c>
      <x:c r="CZ60" s="117" t="n">
        <x:f>$B$60*CZ47</x:f>
      </x:c>
      <x:c r="DA60" s="117" t="n">
        <x:f>$B$60*DA47</x:f>
      </x:c>
      <x:c r="DB60" s="117" t="n">
        <x:f>$B$60*DB47</x:f>
      </x:c>
      <x:c r="DC60" s="117" t="n">
        <x:f>$B$60*DC47</x:f>
      </x:c>
      <x:c r="DD60" s="117" t="n">
        <x:f>$B$60*DD47</x:f>
      </x:c>
      <x:c r="DE60" s="117" t="n">
        <x:f>$B$60*DE47</x:f>
      </x:c>
      <x:c r="DF60" s="117" t="n">
        <x:f>$B$60*DF47</x:f>
      </x:c>
      <x:c r="DG60" s="117" t="n">
        <x:f>$B$60*DG47</x:f>
      </x:c>
      <x:c r="DH60" s="117" t="n">
        <x:f>$B$60*DH47</x:f>
      </x:c>
      <x:c r="DI60" s="117" t="n">
        <x:f>$B$60*DI47</x:f>
      </x:c>
      <x:c r="DJ60" s="117" t="n">
        <x:f>$B$60*DJ47</x:f>
      </x:c>
      <x:c r="DK60" s="117" t="n">
        <x:f>$B$60*DK47</x:f>
      </x:c>
      <x:c r="DL60" s="117" t="n">
        <x:f>$B$60*DL47</x:f>
      </x:c>
      <x:c r="DM60" s="117" t="n">
        <x:f>$B$60*DM47</x:f>
      </x:c>
      <x:c r="DN60" s="117" t="n">
        <x:f>$B$60*DN47</x:f>
      </x:c>
      <x:c r="DO60" s="117" t="n">
        <x:f>$B$60*DO47</x:f>
      </x:c>
      <x:c r="DP60" s="117" t="n">
        <x:f>$B$60*DP47</x:f>
      </x:c>
      <x:c r="DQ60" s="117" t="n">
        <x:f>$B$60*DQ47</x:f>
      </x:c>
      <x:c r="DR60" s="117" t="n">
        <x:f>$B$60*DR47</x:f>
      </x:c>
      <x:c r="DS60" s="117" t="n">
        <x:f>$B$60*DS47</x:f>
      </x:c>
    </x:row>
    <x:row r="61">
      <x:c r="A61" t="str">
        <x:v>Техзаказчик / стройконтроль</x:v>
      </x:c>
      <x:c r="B61" s="107" t="n">
        <x:f>SUM(B50:B60)*'Вводные'!$B$53</x:f>
      </x:c>
      <x:c r="C61" t="str">
        <x:v>млн ₽</x:v>
      </x:c>
      <x:c r="D61" s="117" t="n">
        <x:f>$B$61*D47</x:f>
      </x:c>
      <x:c r="E61" s="117" t="n">
        <x:f>$B$61*E47</x:f>
      </x:c>
      <x:c r="F61" s="117" t="n">
        <x:f>$B$61*F47</x:f>
      </x:c>
      <x:c r="G61" s="117" t="n">
        <x:f>$B$61*G47</x:f>
      </x:c>
      <x:c r="H61" s="117" t="n">
        <x:f>$B$61*H47</x:f>
      </x:c>
      <x:c r="I61" s="117" t="n">
        <x:f>$B$61*I47</x:f>
      </x:c>
      <x:c r="J61" s="117" t="n">
        <x:f>$B$61*J47</x:f>
      </x:c>
      <x:c r="K61" s="117" t="n">
        <x:f>$B$61*K47</x:f>
      </x:c>
      <x:c r="L61" s="117" t="n">
        <x:f>$B$61*L47</x:f>
      </x:c>
      <x:c r="M61" s="117" t="n">
        <x:f>$B$61*M47</x:f>
      </x:c>
      <x:c r="N61" s="117" t="n">
        <x:f>$B$61*N47</x:f>
      </x:c>
      <x:c r="O61" s="117" t="n">
        <x:f>$B$61*O47</x:f>
      </x:c>
      <x:c r="P61" s="117" t="n">
        <x:f>$B$61*P47</x:f>
      </x:c>
      <x:c r="Q61" s="117" t="n">
        <x:f>$B$61*Q47</x:f>
      </x:c>
      <x:c r="R61" s="117" t="n">
        <x:f>$B$61*R47</x:f>
      </x:c>
      <x:c r="S61" s="117" t="n">
        <x:f>$B$61*S47</x:f>
      </x:c>
      <x:c r="T61" s="117" t="n">
        <x:f>$B$61*T47</x:f>
      </x:c>
      <x:c r="U61" s="117" t="n">
        <x:f>$B$61*U47</x:f>
      </x:c>
      <x:c r="V61" s="117" t="n">
        <x:f>$B$61*V47</x:f>
      </x:c>
      <x:c r="W61" s="117" t="n">
        <x:f>$B$61*W47</x:f>
      </x:c>
      <x:c r="X61" s="117" t="n">
        <x:f>$B$61*X47</x:f>
      </x:c>
      <x:c r="Y61" s="117" t="n">
        <x:f>$B$61*Y47</x:f>
      </x:c>
      <x:c r="Z61" s="117" t="n">
        <x:f>$B$61*Z47</x:f>
      </x:c>
      <x:c r="AA61" s="117" t="n">
        <x:f>$B$61*AA47</x:f>
      </x:c>
      <x:c r="AB61" s="117" t="n">
        <x:f>$B$61*AB47</x:f>
      </x:c>
      <x:c r="AC61" s="117" t="n">
        <x:f>$B$61*AC47</x:f>
      </x:c>
      <x:c r="AD61" s="117" t="n">
        <x:f>$B$61*AD47</x:f>
      </x:c>
      <x:c r="AE61" s="117" t="n">
        <x:f>$B$61*AE47</x:f>
      </x:c>
      <x:c r="AF61" s="117" t="n">
        <x:f>$B$61*AF47</x:f>
      </x:c>
      <x:c r="AG61" s="117" t="n">
        <x:f>$B$61*AG47</x:f>
      </x:c>
      <x:c r="AH61" s="117" t="n">
        <x:f>$B$61*AH47</x:f>
      </x:c>
      <x:c r="AI61" s="117" t="n">
        <x:f>$B$61*AI47</x:f>
      </x:c>
      <x:c r="AJ61" s="117" t="n">
        <x:f>$B$61*AJ47</x:f>
      </x:c>
      <x:c r="AK61" s="117" t="n">
        <x:f>$B$61*AK47</x:f>
      </x:c>
      <x:c r="AL61" s="117" t="n">
        <x:f>$B$61*AL47</x:f>
      </x:c>
      <x:c r="AM61" s="117" t="n">
        <x:f>$B$61*AM47</x:f>
      </x:c>
      <x:c r="AN61" s="117" t="n">
        <x:f>$B$61*AN47</x:f>
      </x:c>
      <x:c r="AO61" s="117" t="n">
        <x:f>$B$61*AO47</x:f>
      </x:c>
      <x:c r="AP61" s="117" t="n">
        <x:f>$B$61*AP47</x:f>
      </x:c>
      <x:c r="AQ61" s="117" t="n">
        <x:f>$B$61*AQ47</x:f>
      </x:c>
      <x:c r="AR61" s="117" t="n">
        <x:f>$B$61*AR47</x:f>
      </x:c>
      <x:c r="AS61" s="117" t="n">
        <x:f>$B$61*AS47</x:f>
      </x:c>
      <x:c r="AT61" s="117" t="n">
        <x:f>$B$61*AT47</x:f>
      </x:c>
      <x:c r="AU61" s="117" t="n">
        <x:f>$B$61*AU47</x:f>
      </x:c>
      <x:c r="AV61" s="117" t="n">
        <x:f>$B$61*AV47</x:f>
      </x:c>
      <x:c r="AW61" s="117" t="n">
        <x:f>$B$61*AW47</x:f>
      </x:c>
      <x:c r="AX61" s="117" t="n">
        <x:f>$B$61*AX47</x:f>
      </x:c>
      <x:c r="AY61" s="117" t="n">
        <x:f>$B$61*AY47</x:f>
      </x:c>
      <x:c r="AZ61" s="117" t="n">
        <x:f>$B$61*AZ47</x:f>
      </x:c>
      <x:c r="BA61" s="117" t="n">
        <x:f>$B$61*BA47</x:f>
      </x:c>
      <x:c r="BB61" s="117" t="n">
        <x:f>$B$61*BB47</x:f>
      </x:c>
      <x:c r="BC61" s="117" t="n">
        <x:f>$B$61*BC47</x:f>
      </x:c>
      <x:c r="BD61" s="117" t="n">
        <x:f>$B$61*BD47</x:f>
      </x:c>
      <x:c r="BE61" s="117" t="n">
        <x:f>$B$61*BE47</x:f>
      </x:c>
      <x:c r="BF61" s="117" t="n">
        <x:f>$B$61*BF47</x:f>
      </x:c>
      <x:c r="BG61" s="117" t="n">
        <x:f>$B$61*BG47</x:f>
      </x:c>
      <x:c r="BH61" s="117" t="n">
        <x:f>$B$61*BH47</x:f>
      </x:c>
      <x:c r="BI61" s="117" t="n">
        <x:f>$B$61*BI47</x:f>
      </x:c>
      <x:c r="BJ61" s="117" t="n">
        <x:f>$B$61*BJ47</x:f>
      </x:c>
      <x:c r="BK61" s="117" t="n">
        <x:f>$B$61*BK47</x:f>
      </x:c>
      <x:c r="BL61" s="117" t="n">
        <x:f>$B$61*BL47</x:f>
      </x:c>
      <x:c r="BM61" s="117" t="n">
        <x:f>$B$61*BM47</x:f>
      </x:c>
      <x:c r="BN61" s="117" t="n">
        <x:f>$B$61*BN47</x:f>
      </x:c>
      <x:c r="BO61" s="117" t="n">
        <x:f>$B$61*BO47</x:f>
      </x:c>
      <x:c r="BP61" s="117" t="n">
        <x:f>$B$61*BP47</x:f>
      </x:c>
      <x:c r="BQ61" s="117" t="n">
        <x:f>$B$61*BQ47</x:f>
      </x:c>
      <x:c r="BR61" s="117" t="n">
        <x:f>$B$61*BR47</x:f>
      </x:c>
      <x:c r="BS61" s="117" t="n">
        <x:f>$B$61*BS47</x:f>
      </x:c>
      <x:c r="BT61" s="117" t="n">
        <x:f>$B$61*BT47</x:f>
      </x:c>
      <x:c r="BU61" s="117" t="n">
        <x:f>$B$61*BU47</x:f>
      </x:c>
      <x:c r="BV61" s="117" t="n">
        <x:f>$B$61*BV47</x:f>
      </x:c>
      <x:c r="BW61" s="117" t="n">
        <x:f>$B$61*BW47</x:f>
      </x:c>
      <x:c r="BX61" s="117" t="n">
        <x:f>$B$61*BX47</x:f>
      </x:c>
      <x:c r="BY61" s="117" t="n">
        <x:f>$B$61*BY47</x:f>
      </x:c>
      <x:c r="BZ61" s="117" t="n">
        <x:f>$B$61*BZ47</x:f>
      </x:c>
      <x:c r="CA61" s="117" t="n">
        <x:f>$B$61*CA47</x:f>
      </x:c>
      <x:c r="CB61" s="117" t="n">
        <x:f>$B$61*CB47</x:f>
      </x:c>
      <x:c r="CC61" s="117" t="n">
        <x:f>$B$61*CC47</x:f>
      </x:c>
      <x:c r="CD61" s="117" t="n">
        <x:f>$B$61*CD47</x:f>
      </x:c>
      <x:c r="CE61" s="117" t="n">
        <x:f>$B$61*CE47</x:f>
      </x:c>
      <x:c r="CF61" s="117" t="n">
        <x:f>$B$61*CF47</x:f>
      </x:c>
      <x:c r="CG61" s="117" t="n">
        <x:f>$B$61*CG47</x:f>
      </x:c>
      <x:c r="CH61" s="117" t="n">
        <x:f>$B$61*CH47</x:f>
      </x:c>
      <x:c r="CI61" s="117" t="n">
        <x:f>$B$61*CI47</x:f>
      </x:c>
      <x:c r="CJ61" s="117" t="n">
        <x:f>$B$61*CJ47</x:f>
      </x:c>
      <x:c r="CK61" s="117" t="n">
        <x:f>$B$61*CK47</x:f>
      </x:c>
      <x:c r="CL61" s="117" t="n">
        <x:f>$B$61*CL47</x:f>
      </x:c>
      <x:c r="CM61" s="117" t="n">
        <x:f>$B$61*CM47</x:f>
      </x:c>
      <x:c r="CN61" s="117" t="n">
        <x:f>$B$61*CN47</x:f>
      </x:c>
      <x:c r="CO61" s="117" t="n">
        <x:f>$B$61*CO47</x:f>
      </x:c>
      <x:c r="CP61" s="117" t="n">
        <x:f>$B$61*CP47</x:f>
      </x:c>
      <x:c r="CQ61" s="117" t="n">
        <x:f>$B$61*CQ47</x:f>
      </x:c>
      <x:c r="CR61" s="117" t="n">
        <x:f>$B$61*CR47</x:f>
      </x:c>
      <x:c r="CS61" s="117" t="n">
        <x:f>$B$61*CS47</x:f>
      </x:c>
      <x:c r="CT61" s="117" t="n">
        <x:f>$B$61*CT47</x:f>
      </x:c>
      <x:c r="CU61" s="117" t="n">
        <x:f>$B$61*CU47</x:f>
      </x:c>
      <x:c r="CV61" s="117" t="n">
        <x:f>$B$61*CV47</x:f>
      </x:c>
      <x:c r="CW61" s="117" t="n">
        <x:f>$B$61*CW47</x:f>
      </x:c>
      <x:c r="CX61" s="117" t="n">
        <x:f>$B$61*CX47</x:f>
      </x:c>
      <x:c r="CY61" s="117" t="n">
        <x:f>$B$61*CY47</x:f>
      </x:c>
      <x:c r="CZ61" s="117" t="n">
        <x:f>$B$61*CZ47</x:f>
      </x:c>
      <x:c r="DA61" s="117" t="n">
        <x:f>$B$61*DA47</x:f>
      </x:c>
      <x:c r="DB61" s="117" t="n">
        <x:f>$B$61*DB47</x:f>
      </x:c>
      <x:c r="DC61" s="117" t="n">
        <x:f>$B$61*DC47</x:f>
      </x:c>
      <x:c r="DD61" s="117" t="n">
        <x:f>$B$61*DD47</x:f>
      </x:c>
      <x:c r="DE61" s="117" t="n">
        <x:f>$B$61*DE47</x:f>
      </x:c>
      <x:c r="DF61" s="117" t="n">
        <x:f>$B$61*DF47</x:f>
      </x:c>
      <x:c r="DG61" s="117" t="n">
        <x:f>$B$61*DG47</x:f>
      </x:c>
      <x:c r="DH61" s="117" t="n">
        <x:f>$B$61*DH47</x:f>
      </x:c>
      <x:c r="DI61" s="117" t="n">
        <x:f>$B$61*DI47</x:f>
      </x:c>
      <x:c r="DJ61" s="117" t="n">
        <x:f>$B$61*DJ47</x:f>
      </x:c>
      <x:c r="DK61" s="117" t="n">
        <x:f>$B$61*DK47</x:f>
      </x:c>
      <x:c r="DL61" s="117" t="n">
        <x:f>$B$61*DL47</x:f>
      </x:c>
      <x:c r="DM61" s="117" t="n">
        <x:f>$B$61*DM47</x:f>
      </x:c>
      <x:c r="DN61" s="117" t="n">
        <x:f>$B$61*DN47</x:f>
      </x:c>
      <x:c r="DO61" s="117" t="n">
        <x:f>$B$61*DO47</x:f>
      </x:c>
      <x:c r="DP61" s="117" t="n">
        <x:f>$B$61*DP47</x:f>
      </x:c>
      <x:c r="DQ61" s="117" t="n">
        <x:f>$B$61*DQ47</x:f>
      </x:c>
      <x:c r="DR61" s="117" t="n">
        <x:f>$B$61*DR47</x:f>
      </x:c>
      <x:c r="DS61" s="117" t="n">
        <x:f>$B$61*DS47</x:f>
      </x:c>
    </x:row>
    <x:row r="62">
      <x:c r="A62" t="str">
        <x:v>Управление проектом</x:v>
      </x:c>
      <x:c r="B62" s="107" t="n">
        <x:f>SUM(B50:B60)*'Вводные'!$B$52</x:f>
      </x:c>
      <x:c r="C62" t="str">
        <x:v>млн ₽</x:v>
      </x:c>
      <x:c r="D62" s="117" t="n">
        <x:f>$B$62*D44</x:f>
      </x:c>
      <x:c r="E62" s="117" t="n">
        <x:f>$B$62*E44</x:f>
      </x:c>
      <x:c r="F62" s="117" t="n">
        <x:f>$B$62*F44</x:f>
      </x:c>
      <x:c r="G62" s="117" t="n">
        <x:f>$B$62*G44</x:f>
      </x:c>
      <x:c r="H62" s="117" t="n">
        <x:f>$B$62*H44</x:f>
      </x:c>
      <x:c r="I62" s="117" t="n">
        <x:f>$B$62*I44</x:f>
      </x:c>
      <x:c r="J62" s="117" t="n">
        <x:f>$B$62*J44</x:f>
      </x:c>
      <x:c r="K62" s="117" t="n">
        <x:f>$B$62*K44</x:f>
      </x:c>
      <x:c r="L62" s="117" t="n">
        <x:f>$B$62*L44</x:f>
      </x:c>
      <x:c r="M62" s="117" t="n">
        <x:f>$B$62*M44</x:f>
      </x:c>
      <x:c r="N62" s="117" t="n">
        <x:f>$B$62*N44</x:f>
      </x:c>
      <x:c r="O62" s="117" t="n">
        <x:f>$B$62*O44</x:f>
      </x:c>
      <x:c r="P62" s="117" t="n">
        <x:f>$B$62*P44</x:f>
      </x:c>
      <x:c r="Q62" s="117" t="n">
        <x:f>$B$62*Q44</x:f>
      </x:c>
      <x:c r="R62" s="117" t="n">
        <x:f>$B$62*R44</x:f>
      </x:c>
      <x:c r="S62" s="117" t="n">
        <x:f>$B$62*S44</x:f>
      </x:c>
      <x:c r="T62" s="117" t="n">
        <x:f>$B$62*T44</x:f>
      </x:c>
      <x:c r="U62" s="117" t="n">
        <x:f>$B$62*U44</x:f>
      </x:c>
      <x:c r="V62" s="117" t="n">
        <x:f>$B$62*V44</x:f>
      </x:c>
      <x:c r="W62" s="117" t="n">
        <x:f>$B$62*W44</x:f>
      </x:c>
      <x:c r="X62" s="117" t="n">
        <x:f>$B$62*X44</x:f>
      </x:c>
      <x:c r="Y62" s="117" t="n">
        <x:f>$B$62*Y44</x:f>
      </x:c>
      <x:c r="Z62" s="117" t="n">
        <x:f>$B$62*Z44</x:f>
      </x:c>
      <x:c r="AA62" s="117" t="n">
        <x:f>$B$62*AA44</x:f>
      </x:c>
      <x:c r="AB62" s="117" t="n">
        <x:f>$B$62*AB44</x:f>
      </x:c>
      <x:c r="AC62" s="117" t="n">
        <x:f>$B$62*AC44</x:f>
      </x:c>
      <x:c r="AD62" s="117" t="n">
        <x:f>$B$62*AD44</x:f>
      </x:c>
      <x:c r="AE62" s="117" t="n">
        <x:f>$B$62*AE44</x:f>
      </x:c>
      <x:c r="AF62" s="117" t="n">
        <x:f>$B$62*AF44</x:f>
      </x:c>
      <x:c r="AG62" s="117" t="n">
        <x:f>$B$62*AG44</x:f>
      </x:c>
      <x:c r="AH62" s="117" t="n">
        <x:f>$B$62*AH44</x:f>
      </x:c>
      <x:c r="AI62" s="117" t="n">
        <x:f>$B$62*AI44</x:f>
      </x:c>
      <x:c r="AJ62" s="117" t="n">
        <x:f>$B$62*AJ44</x:f>
      </x:c>
      <x:c r="AK62" s="117" t="n">
        <x:f>$B$62*AK44</x:f>
      </x:c>
      <x:c r="AL62" s="117" t="n">
        <x:f>$B$62*AL44</x:f>
      </x:c>
      <x:c r="AM62" s="117" t="n">
        <x:f>$B$62*AM44</x:f>
      </x:c>
      <x:c r="AN62" s="117" t="n">
        <x:f>$B$62*AN44</x:f>
      </x:c>
      <x:c r="AO62" s="117" t="n">
        <x:f>$B$62*AO44</x:f>
      </x:c>
      <x:c r="AP62" s="117" t="n">
        <x:f>$B$62*AP44</x:f>
      </x:c>
      <x:c r="AQ62" s="117" t="n">
        <x:f>$B$62*AQ44</x:f>
      </x:c>
      <x:c r="AR62" s="117" t="n">
        <x:f>$B$62*AR44</x:f>
      </x:c>
      <x:c r="AS62" s="117" t="n">
        <x:f>$B$62*AS44</x:f>
      </x:c>
      <x:c r="AT62" s="117" t="n">
        <x:f>$B$62*AT44</x:f>
      </x:c>
      <x:c r="AU62" s="117" t="n">
        <x:f>$B$62*AU44</x:f>
      </x:c>
      <x:c r="AV62" s="117" t="n">
        <x:f>$B$62*AV44</x:f>
      </x:c>
      <x:c r="AW62" s="117" t="n">
        <x:f>$B$62*AW44</x:f>
      </x:c>
      <x:c r="AX62" s="117" t="n">
        <x:f>$B$62*AX44</x:f>
      </x:c>
      <x:c r="AY62" s="117" t="n">
        <x:f>$B$62*AY44</x:f>
      </x:c>
      <x:c r="AZ62" s="117" t="n">
        <x:f>$B$62*AZ44</x:f>
      </x:c>
      <x:c r="BA62" s="117" t="n">
        <x:f>$B$62*BA44</x:f>
      </x:c>
      <x:c r="BB62" s="117" t="n">
        <x:f>$B$62*BB44</x:f>
      </x:c>
      <x:c r="BC62" s="117" t="n">
        <x:f>$B$62*BC44</x:f>
      </x:c>
      <x:c r="BD62" s="117" t="n">
        <x:f>$B$62*BD44</x:f>
      </x:c>
      <x:c r="BE62" s="117" t="n">
        <x:f>$B$62*BE44</x:f>
      </x:c>
      <x:c r="BF62" s="117" t="n">
        <x:f>$B$62*BF44</x:f>
      </x:c>
      <x:c r="BG62" s="117" t="n">
        <x:f>$B$62*BG44</x:f>
      </x:c>
      <x:c r="BH62" s="117" t="n">
        <x:f>$B$62*BH44</x:f>
      </x:c>
      <x:c r="BI62" s="117" t="n">
        <x:f>$B$62*BI44</x:f>
      </x:c>
      <x:c r="BJ62" s="117" t="n">
        <x:f>$B$62*BJ44</x:f>
      </x:c>
      <x:c r="BK62" s="117" t="n">
        <x:f>$B$62*BK44</x:f>
      </x:c>
      <x:c r="BL62" s="117" t="n">
        <x:f>$B$62*BL44</x:f>
      </x:c>
      <x:c r="BM62" s="117" t="n">
        <x:f>$B$62*BM44</x:f>
      </x:c>
      <x:c r="BN62" s="117" t="n">
        <x:f>$B$62*BN44</x:f>
      </x:c>
      <x:c r="BO62" s="117" t="n">
        <x:f>$B$62*BO44</x:f>
      </x:c>
      <x:c r="BP62" s="117" t="n">
        <x:f>$B$62*BP44</x:f>
      </x:c>
      <x:c r="BQ62" s="117" t="n">
        <x:f>$B$62*BQ44</x:f>
      </x:c>
      <x:c r="BR62" s="117" t="n">
        <x:f>$B$62*BR44</x:f>
      </x:c>
      <x:c r="BS62" s="117" t="n">
        <x:f>$B$62*BS44</x:f>
      </x:c>
      <x:c r="BT62" s="117" t="n">
        <x:f>$B$62*BT44</x:f>
      </x:c>
      <x:c r="BU62" s="117" t="n">
        <x:f>$B$62*BU44</x:f>
      </x:c>
      <x:c r="BV62" s="117" t="n">
        <x:f>$B$62*BV44</x:f>
      </x:c>
      <x:c r="BW62" s="117" t="n">
        <x:f>$B$62*BW44</x:f>
      </x:c>
      <x:c r="BX62" s="117" t="n">
        <x:f>$B$62*BX44</x:f>
      </x:c>
      <x:c r="BY62" s="117" t="n">
        <x:f>$B$62*BY44</x:f>
      </x:c>
      <x:c r="BZ62" s="117" t="n">
        <x:f>$B$62*BZ44</x:f>
      </x:c>
      <x:c r="CA62" s="117" t="n">
        <x:f>$B$62*CA44</x:f>
      </x:c>
      <x:c r="CB62" s="117" t="n">
        <x:f>$B$62*CB44</x:f>
      </x:c>
      <x:c r="CC62" s="117" t="n">
        <x:f>$B$62*CC44</x:f>
      </x:c>
      <x:c r="CD62" s="117" t="n">
        <x:f>$B$62*CD44</x:f>
      </x:c>
      <x:c r="CE62" s="117" t="n">
        <x:f>$B$62*CE44</x:f>
      </x:c>
      <x:c r="CF62" s="117" t="n">
        <x:f>$B$62*CF44</x:f>
      </x:c>
      <x:c r="CG62" s="117" t="n">
        <x:f>$B$62*CG44</x:f>
      </x:c>
      <x:c r="CH62" s="117" t="n">
        <x:f>$B$62*CH44</x:f>
      </x:c>
      <x:c r="CI62" s="117" t="n">
        <x:f>$B$62*CI44</x:f>
      </x:c>
      <x:c r="CJ62" s="117" t="n">
        <x:f>$B$62*CJ44</x:f>
      </x:c>
      <x:c r="CK62" s="117" t="n">
        <x:f>$B$62*CK44</x:f>
      </x:c>
      <x:c r="CL62" s="117" t="n">
        <x:f>$B$62*CL44</x:f>
      </x:c>
      <x:c r="CM62" s="117" t="n">
        <x:f>$B$62*CM44</x:f>
      </x:c>
      <x:c r="CN62" s="117" t="n">
        <x:f>$B$62*CN44</x:f>
      </x:c>
      <x:c r="CO62" s="117" t="n">
        <x:f>$B$62*CO44</x:f>
      </x:c>
      <x:c r="CP62" s="117" t="n">
        <x:f>$B$62*CP44</x:f>
      </x:c>
      <x:c r="CQ62" s="117" t="n">
        <x:f>$B$62*CQ44</x:f>
      </x:c>
      <x:c r="CR62" s="117" t="n">
        <x:f>$B$62*CR44</x:f>
      </x:c>
      <x:c r="CS62" s="117" t="n">
        <x:f>$B$62*CS44</x:f>
      </x:c>
      <x:c r="CT62" s="117" t="n">
        <x:f>$B$62*CT44</x:f>
      </x:c>
      <x:c r="CU62" s="117" t="n">
        <x:f>$B$62*CU44</x:f>
      </x:c>
      <x:c r="CV62" s="117" t="n">
        <x:f>$B$62*CV44</x:f>
      </x:c>
      <x:c r="CW62" s="117" t="n">
        <x:f>$B$62*CW44</x:f>
      </x:c>
      <x:c r="CX62" s="117" t="n">
        <x:f>$B$62*CX44</x:f>
      </x:c>
      <x:c r="CY62" s="117" t="n">
        <x:f>$B$62*CY44</x:f>
      </x:c>
      <x:c r="CZ62" s="117" t="n">
        <x:f>$B$62*CZ44</x:f>
      </x:c>
      <x:c r="DA62" s="117" t="n">
        <x:f>$B$62*DA44</x:f>
      </x:c>
      <x:c r="DB62" s="117" t="n">
        <x:f>$B$62*DB44</x:f>
      </x:c>
      <x:c r="DC62" s="117" t="n">
        <x:f>$B$62*DC44</x:f>
      </x:c>
      <x:c r="DD62" s="117" t="n">
        <x:f>$B$62*DD44</x:f>
      </x:c>
      <x:c r="DE62" s="117" t="n">
        <x:f>$B$62*DE44</x:f>
      </x:c>
      <x:c r="DF62" s="117" t="n">
        <x:f>$B$62*DF44</x:f>
      </x:c>
      <x:c r="DG62" s="117" t="n">
        <x:f>$B$62*DG44</x:f>
      </x:c>
      <x:c r="DH62" s="117" t="n">
        <x:f>$B$62*DH44</x:f>
      </x:c>
      <x:c r="DI62" s="117" t="n">
        <x:f>$B$62*DI44</x:f>
      </x:c>
      <x:c r="DJ62" s="117" t="n">
        <x:f>$B$62*DJ44</x:f>
      </x:c>
      <x:c r="DK62" s="117" t="n">
        <x:f>$B$62*DK44</x:f>
      </x:c>
      <x:c r="DL62" s="117" t="n">
        <x:f>$B$62*DL44</x:f>
      </x:c>
      <x:c r="DM62" s="117" t="n">
        <x:f>$B$62*DM44</x:f>
      </x:c>
      <x:c r="DN62" s="117" t="n">
        <x:f>$B$62*DN44</x:f>
      </x:c>
      <x:c r="DO62" s="117" t="n">
        <x:f>$B$62*DO44</x:f>
      </x:c>
      <x:c r="DP62" s="117" t="n">
        <x:f>$B$62*DP44</x:f>
      </x:c>
      <x:c r="DQ62" s="117" t="n">
        <x:f>$B$62*DQ44</x:f>
      </x:c>
      <x:c r="DR62" s="117" t="n">
        <x:f>$B$62*DR44</x:f>
      </x:c>
      <x:c r="DS62" s="117" t="n">
        <x:f>$B$62*DS44</x:f>
      </x:c>
    </x:row>
    <x:row r="63">
      <x:c r="A63" t="str">
        <x:v>Вознаграждение генподрядчика</x:v>
      </x:c>
      <x:c r="B63" s="107" t="n">
        <x:f>SUM(B50:B60)*'Вводные'!$B$50</x:f>
      </x:c>
      <x:c r="C63" t="str">
        <x:v>млн ₽</x:v>
      </x:c>
      <x:c r="D63" s="117" t="n">
        <x:f>$B$63*D47</x:f>
      </x:c>
      <x:c r="E63" s="117" t="n">
        <x:f>$B$63*E47</x:f>
      </x:c>
      <x:c r="F63" s="117" t="n">
        <x:f>$B$63*F47</x:f>
      </x:c>
      <x:c r="G63" s="117" t="n">
        <x:f>$B$63*G47</x:f>
      </x:c>
      <x:c r="H63" s="117" t="n">
        <x:f>$B$63*H47</x:f>
      </x:c>
      <x:c r="I63" s="117" t="n">
        <x:f>$B$63*I47</x:f>
      </x:c>
      <x:c r="J63" s="117" t="n">
        <x:f>$B$63*J47</x:f>
      </x:c>
      <x:c r="K63" s="117" t="n">
        <x:f>$B$63*K47</x:f>
      </x:c>
      <x:c r="L63" s="117" t="n">
        <x:f>$B$63*L47</x:f>
      </x:c>
      <x:c r="M63" s="117" t="n">
        <x:f>$B$63*M47</x:f>
      </x:c>
      <x:c r="N63" s="117" t="n">
        <x:f>$B$63*N47</x:f>
      </x:c>
      <x:c r="O63" s="117" t="n">
        <x:f>$B$63*O47</x:f>
      </x:c>
      <x:c r="P63" s="117" t="n">
        <x:f>$B$63*P47</x:f>
      </x:c>
      <x:c r="Q63" s="117" t="n">
        <x:f>$B$63*Q47</x:f>
      </x:c>
      <x:c r="R63" s="117" t="n">
        <x:f>$B$63*R47</x:f>
      </x:c>
      <x:c r="S63" s="117" t="n">
        <x:f>$B$63*S47</x:f>
      </x:c>
      <x:c r="T63" s="117" t="n">
        <x:f>$B$63*T47</x:f>
      </x:c>
      <x:c r="U63" s="117" t="n">
        <x:f>$B$63*U47</x:f>
      </x:c>
      <x:c r="V63" s="117" t="n">
        <x:f>$B$63*V47</x:f>
      </x:c>
      <x:c r="W63" s="117" t="n">
        <x:f>$B$63*W47</x:f>
      </x:c>
      <x:c r="X63" s="117" t="n">
        <x:f>$B$63*X47</x:f>
      </x:c>
      <x:c r="Y63" s="117" t="n">
        <x:f>$B$63*Y47</x:f>
      </x:c>
      <x:c r="Z63" s="117" t="n">
        <x:f>$B$63*Z47</x:f>
      </x:c>
      <x:c r="AA63" s="117" t="n">
        <x:f>$B$63*AA47</x:f>
      </x:c>
      <x:c r="AB63" s="117" t="n">
        <x:f>$B$63*AB47</x:f>
      </x:c>
      <x:c r="AC63" s="117" t="n">
        <x:f>$B$63*AC47</x:f>
      </x:c>
      <x:c r="AD63" s="117" t="n">
        <x:f>$B$63*AD47</x:f>
      </x:c>
      <x:c r="AE63" s="117" t="n">
        <x:f>$B$63*AE47</x:f>
      </x:c>
      <x:c r="AF63" s="117" t="n">
        <x:f>$B$63*AF47</x:f>
      </x:c>
      <x:c r="AG63" s="117" t="n">
        <x:f>$B$63*AG47</x:f>
      </x:c>
      <x:c r="AH63" s="117" t="n">
        <x:f>$B$63*AH47</x:f>
      </x:c>
      <x:c r="AI63" s="117" t="n">
        <x:f>$B$63*AI47</x:f>
      </x:c>
      <x:c r="AJ63" s="117" t="n">
        <x:f>$B$63*AJ47</x:f>
      </x:c>
      <x:c r="AK63" s="117" t="n">
        <x:f>$B$63*AK47</x:f>
      </x:c>
      <x:c r="AL63" s="117" t="n">
        <x:f>$B$63*AL47</x:f>
      </x:c>
      <x:c r="AM63" s="117" t="n">
        <x:f>$B$63*AM47</x:f>
      </x:c>
      <x:c r="AN63" s="117" t="n">
        <x:f>$B$63*AN47</x:f>
      </x:c>
      <x:c r="AO63" s="117" t="n">
        <x:f>$B$63*AO47</x:f>
      </x:c>
      <x:c r="AP63" s="117" t="n">
        <x:f>$B$63*AP47</x:f>
      </x:c>
      <x:c r="AQ63" s="117" t="n">
        <x:f>$B$63*AQ47</x:f>
      </x:c>
      <x:c r="AR63" s="117" t="n">
        <x:f>$B$63*AR47</x:f>
      </x:c>
      <x:c r="AS63" s="117" t="n">
        <x:f>$B$63*AS47</x:f>
      </x:c>
      <x:c r="AT63" s="117" t="n">
        <x:f>$B$63*AT47</x:f>
      </x:c>
      <x:c r="AU63" s="117" t="n">
        <x:f>$B$63*AU47</x:f>
      </x:c>
      <x:c r="AV63" s="117" t="n">
        <x:f>$B$63*AV47</x:f>
      </x:c>
      <x:c r="AW63" s="117" t="n">
        <x:f>$B$63*AW47</x:f>
      </x:c>
      <x:c r="AX63" s="117" t="n">
        <x:f>$B$63*AX47</x:f>
      </x:c>
      <x:c r="AY63" s="117" t="n">
        <x:f>$B$63*AY47</x:f>
      </x:c>
      <x:c r="AZ63" s="117" t="n">
        <x:f>$B$63*AZ47</x:f>
      </x:c>
      <x:c r="BA63" s="117" t="n">
        <x:f>$B$63*BA47</x:f>
      </x:c>
      <x:c r="BB63" s="117" t="n">
        <x:f>$B$63*BB47</x:f>
      </x:c>
      <x:c r="BC63" s="117" t="n">
        <x:f>$B$63*BC47</x:f>
      </x:c>
      <x:c r="BD63" s="117" t="n">
        <x:f>$B$63*BD47</x:f>
      </x:c>
      <x:c r="BE63" s="117" t="n">
        <x:f>$B$63*BE47</x:f>
      </x:c>
      <x:c r="BF63" s="117" t="n">
        <x:f>$B$63*BF47</x:f>
      </x:c>
      <x:c r="BG63" s="117" t="n">
        <x:f>$B$63*BG47</x:f>
      </x:c>
      <x:c r="BH63" s="117" t="n">
        <x:f>$B$63*BH47</x:f>
      </x:c>
      <x:c r="BI63" s="117" t="n">
        <x:f>$B$63*BI47</x:f>
      </x:c>
      <x:c r="BJ63" s="117" t="n">
        <x:f>$B$63*BJ47</x:f>
      </x:c>
      <x:c r="BK63" s="117" t="n">
        <x:f>$B$63*BK47</x:f>
      </x:c>
      <x:c r="BL63" s="117" t="n">
        <x:f>$B$63*BL47</x:f>
      </x:c>
      <x:c r="BM63" s="117" t="n">
        <x:f>$B$63*BM47</x:f>
      </x:c>
      <x:c r="BN63" s="117" t="n">
        <x:f>$B$63*BN47</x:f>
      </x:c>
      <x:c r="BO63" s="117" t="n">
        <x:f>$B$63*BO47</x:f>
      </x:c>
      <x:c r="BP63" s="117" t="n">
        <x:f>$B$63*BP47</x:f>
      </x:c>
      <x:c r="BQ63" s="117" t="n">
        <x:f>$B$63*BQ47</x:f>
      </x:c>
      <x:c r="BR63" s="117" t="n">
        <x:f>$B$63*BR47</x:f>
      </x:c>
      <x:c r="BS63" s="117" t="n">
        <x:f>$B$63*BS47</x:f>
      </x:c>
      <x:c r="BT63" s="117" t="n">
        <x:f>$B$63*BT47</x:f>
      </x:c>
      <x:c r="BU63" s="117" t="n">
        <x:f>$B$63*BU47</x:f>
      </x:c>
      <x:c r="BV63" s="117" t="n">
        <x:f>$B$63*BV47</x:f>
      </x:c>
      <x:c r="BW63" s="117" t="n">
        <x:f>$B$63*BW47</x:f>
      </x:c>
      <x:c r="BX63" s="117" t="n">
        <x:f>$B$63*BX47</x:f>
      </x:c>
      <x:c r="BY63" s="117" t="n">
        <x:f>$B$63*BY47</x:f>
      </x:c>
      <x:c r="BZ63" s="117" t="n">
        <x:f>$B$63*BZ47</x:f>
      </x:c>
      <x:c r="CA63" s="117" t="n">
        <x:f>$B$63*CA47</x:f>
      </x:c>
      <x:c r="CB63" s="117" t="n">
        <x:f>$B$63*CB47</x:f>
      </x:c>
      <x:c r="CC63" s="117" t="n">
        <x:f>$B$63*CC47</x:f>
      </x:c>
      <x:c r="CD63" s="117" t="n">
        <x:f>$B$63*CD47</x:f>
      </x:c>
      <x:c r="CE63" s="117" t="n">
        <x:f>$B$63*CE47</x:f>
      </x:c>
      <x:c r="CF63" s="117" t="n">
        <x:f>$B$63*CF47</x:f>
      </x:c>
      <x:c r="CG63" s="117" t="n">
        <x:f>$B$63*CG47</x:f>
      </x:c>
      <x:c r="CH63" s="117" t="n">
        <x:f>$B$63*CH47</x:f>
      </x:c>
      <x:c r="CI63" s="117" t="n">
        <x:f>$B$63*CI47</x:f>
      </x:c>
      <x:c r="CJ63" s="117" t="n">
        <x:f>$B$63*CJ47</x:f>
      </x:c>
      <x:c r="CK63" s="117" t="n">
        <x:f>$B$63*CK47</x:f>
      </x:c>
      <x:c r="CL63" s="117" t="n">
        <x:f>$B$63*CL47</x:f>
      </x:c>
      <x:c r="CM63" s="117" t="n">
        <x:f>$B$63*CM47</x:f>
      </x:c>
      <x:c r="CN63" s="117" t="n">
        <x:f>$B$63*CN47</x:f>
      </x:c>
      <x:c r="CO63" s="117" t="n">
        <x:f>$B$63*CO47</x:f>
      </x:c>
      <x:c r="CP63" s="117" t="n">
        <x:f>$B$63*CP47</x:f>
      </x:c>
      <x:c r="CQ63" s="117" t="n">
        <x:f>$B$63*CQ47</x:f>
      </x:c>
      <x:c r="CR63" s="117" t="n">
        <x:f>$B$63*CR47</x:f>
      </x:c>
      <x:c r="CS63" s="117" t="n">
        <x:f>$B$63*CS47</x:f>
      </x:c>
      <x:c r="CT63" s="117" t="n">
        <x:f>$B$63*CT47</x:f>
      </x:c>
      <x:c r="CU63" s="117" t="n">
        <x:f>$B$63*CU47</x:f>
      </x:c>
      <x:c r="CV63" s="117" t="n">
        <x:f>$B$63*CV47</x:f>
      </x:c>
      <x:c r="CW63" s="117" t="n">
        <x:f>$B$63*CW47</x:f>
      </x:c>
      <x:c r="CX63" s="117" t="n">
        <x:f>$B$63*CX47</x:f>
      </x:c>
      <x:c r="CY63" s="117" t="n">
        <x:f>$B$63*CY47</x:f>
      </x:c>
      <x:c r="CZ63" s="117" t="n">
        <x:f>$B$63*CZ47</x:f>
      </x:c>
      <x:c r="DA63" s="117" t="n">
        <x:f>$B$63*DA47</x:f>
      </x:c>
      <x:c r="DB63" s="117" t="n">
        <x:f>$B$63*DB47</x:f>
      </x:c>
      <x:c r="DC63" s="117" t="n">
        <x:f>$B$63*DC47</x:f>
      </x:c>
      <x:c r="DD63" s="117" t="n">
        <x:f>$B$63*DD47</x:f>
      </x:c>
      <x:c r="DE63" s="117" t="n">
        <x:f>$B$63*DE47</x:f>
      </x:c>
      <x:c r="DF63" s="117" t="n">
        <x:f>$B$63*DF47</x:f>
      </x:c>
      <x:c r="DG63" s="117" t="n">
        <x:f>$B$63*DG47</x:f>
      </x:c>
      <x:c r="DH63" s="117" t="n">
        <x:f>$B$63*DH47</x:f>
      </x:c>
      <x:c r="DI63" s="117" t="n">
        <x:f>$B$63*DI47</x:f>
      </x:c>
      <x:c r="DJ63" s="117" t="n">
        <x:f>$B$63*DJ47</x:f>
      </x:c>
      <x:c r="DK63" s="117" t="n">
        <x:f>$B$63*DK47</x:f>
      </x:c>
      <x:c r="DL63" s="117" t="n">
        <x:f>$B$63*DL47</x:f>
      </x:c>
      <x:c r="DM63" s="117" t="n">
        <x:f>$B$63*DM47</x:f>
      </x:c>
      <x:c r="DN63" s="117" t="n">
        <x:f>$B$63*DN47</x:f>
      </x:c>
      <x:c r="DO63" s="117" t="n">
        <x:f>$B$63*DO47</x:f>
      </x:c>
      <x:c r="DP63" s="117" t="n">
        <x:f>$B$63*DP47</x:f>
      </x:c>
      <x:c r="DQ63" s="117" t="n">
        <x:f>$B$63*DQ47</x:f>
      </x:c>
      <x:c r="DR63" s="117" t="n">
        <x:f>$B$63*DR47</x:f>
      </x:c>
      <x:c r="DS63" s="117" t="n">
        <x:f>$B$63*DS47</x:f>
      </x:c>
    </x:row>
    <x:row r="64">
      <x:c r="A64" t="str">
        <x:v>Резерв</x:v>
      </x:c>
      <x:c r="B64" s="107" t="n">
        <x:f>(SUM(B49:B63)+B65)*'Вводные'!$B$54</x:f>
      </x:c>
      <x:c r="C64" t="str">
        <x:v>млн ₽</x:v>
      </x:c>
      <x:c r="D64" s="117" t="n">
        <x:f>$B$64*D47</x:f>
      </x:c>
      <x:c r="E64" s="117" t="n">
        <x:f>$B$64*E47</x:f>
      </x:c>
      <x:c r="F64" s="117" t="n">
        <x:f>$B$64*F47</x:f>
      </x:c>
      <x:c r="G64" s="117" t="n">
        <x:f>$B$64*G47</x:f>
      </x:c>
      <x:c r="H64" s="117" t="n">
        <x:f>$B$64*H47</x:f>
      </x:c>
      <x:c r="I64" s="117" t="n">
        <x:f>$B$64*I47</x:f>
      </x:c>
      <x:c r="J64" s="117" t="n">
        <x:f>$B$64*J47</x:f>
      </x:c>
      <x:c r="K64" s="117" t="n">
        <x:f>$B$64*K47</x:f>
      </x:c>
      <x:c r="L64" s="117" t="n">
        <x:f>$B$64*L47</x:f>
      </x:c>
      <x:c r="M64" s="117" t="n">
        <x:f>$B$64*M47</x:f>
      </x:c>
      <x:c r="N64" s="117" t="n">
        <x:f>$B$64*N47</x:f>
      </x:c>
      <x:c r="O64" s="117" t="n">
        <x:f>$B$64*O47</x:f>
      </x:c>
      <x:c r="P64" s="117" t="n">
        <x:f>$B$64*P47</x:f>
      </x:c>
      <x:c r="Q64" s="117" t="n">
        <x:f>$B$64*Q47</x:f>
      </x:c>
      <x:c r="R64" s="117" t="n">
        <x:f>$B$64*R47</x:f>
      </x:c>
      <x:c r="S64" s="117" t="n">
        <x:f>$B$64*S47</x:f>
      </x:c>
      <x:c r="T64" s="117" t="n">
        <x:f>$B$64*T47</x:f>
      </x:c>
      <x:c r="U64" s="117" t="n">
        <x:f>$B$64*U47</x:f>
      </x:c>
      <x:c r="V64" s="117" t="n">
        <x:f>$B$64*V47</x:f>
      </x:c>
      <x:c r="W64" s="117" t="n">
        <x:f>$B$64*W47</x:f>
      </x:c>
      <x:c r="X64" s="117" t="n">
        <x:f>$B$64*X47</x:f>
      </x:c>
      <x:c r="Y64" s="117" t="n">
        <x:f>$B$64*Y47</x:f>
      </x:c>
      <x:c r="Z64" s="117" t="n">
        <x:f>$B$64*Z47</x:f>
      </x:c>
      <x:c r="AA64" s="117" t="n">
        <x:f>$B$64*AA47</x:f>
      </x:c>
      <x:c r="AB64" s="117" t="n">
        <x:f>$B$64*AB47</x:f>
      </x:c>
      <x:c r="AC64" s="117" t="n">
        <x:f>$B$64*AC47</x:f>
      </x:c>
      <x:c r="AD64" s="117" t="n">
        <x:f>$B$64*AD47</x:f>
      </x:c>
      <x:c r="AE64" s="117" t="n">
        <x:f>$B$64*AE47</x:f>
      </x:c>
      <x:c r="AF64" s="117" t="n">
        <x:f>$B$64*AF47</x:f>
      </x:c>
      <x:c r="AG64" s="117" t="n">
        <x:f>$B$64*AG47</x:f>
      </x:c>
      <x:c r="AH64" s="117" t="n">
        <x:f>$B$64*AH47</x:f>
      </x:c>
      <x:c r="AI64" s="117" t="n">
        <x:f>$B$64*AI47</x:f>
      </x:c>
      <x:c r="AJ64" s="117" t="n">
        <x:f>$B$64*AJ47</x:f>
      </x:c>
      <x:c r="AK64" s="117" t="n">
        <x:f>$B$64*AK47</x:f>
      </x:c>
      <x:c r="AL64" s="117" t="n">
        <x:f>$B$64*AL47</x:f>
      </x:c>
      <x:c r="AM64" s="117" t="n">
        <x:f>$B$64*AM47</x:f>
      </x:c>
      <x:c r="AN64" s="117" t="n">
        <x:f>$B$64*AN47</x:f>
      </x:c>
      <x:c r="AO64" s="117" t="n">
        <x:f>$B$64*AO47</x:f>
      </x:c>
      <x:c r="AP64" s="117" t="n">
        <x:f>$B$64*AP47</x:f>
      </x:c>
      <x:c r="AQ64" s="117" t="n">
        <x:f>$B$64*AQ47</x:f>
      </x:c>
      <x:c r="AR64" s="117" t="n">
        <x:f>$B$64*AR47</x:f>
      </x:c>
      <x:c r="AS64" s="117" t="n">
        <x:f>$B$64*AS47</x:f>
      </x:c>
      <x:c r="AT64" s="117" t="n">
        <x:f>$B$64*AT47</x:f>
      </x:c>
      <x:c r="AU64" s="117" t="n">
        <x:f>$B$64*AU47</x:f>
      </x:c>
      <x:c r="AV64" s="117" t="n">
        <x:f>$B$64*AV47</x:f>
      </x:c>
      <x:c r="AW64" s="117" t="n">
        <x:f>$B$64*AW47</x:f>
      </x:c>
      <x:c r="AX64" s="117" t="n">
        <x:f>$B$64*AX47</x:f>
      </x:c>
      <x:c r="AY64" s="117" t="n">
        <x:f>$B$64*AY47</x:f>
      </x:c>
      <x:c r="AZ64" s="117" t="n">
        <x:f>$B$64*AZ47</x:f>
      </x:c>
      <x:c r="BA64" s="117" t="n">
        <x:f>$B$64*BA47</x:f>
      </x:c>
      <x:c r="BB64" s="117" t="n">
        <x:f>$B$64*BB47</x:f>
      </x:c>
      <x:c r="BC64" s="117" t="n">
        <x:f>$B$64*BC47</x:f>
      </x:c>
      <x:c r="BD64" s="117" t="n">
        <x:f>$B$64*BD47</x:f>
      </x:c>
      <x:c r="BE64" s="117" t="n">
        <x:f>$B$64*BE47</x:f>
      </x:c>
      <x:c r="BF64" s="117" t="n">
        <x:f>$B$64*BF47</x:f>
      </x:c>
      <x:c r="BG64" s="117" t="n">
        <x:f>$B$64*BG47</x:f>
      </x:c>
      <x:c r="BH64" s="117" t="n">
        <x:f>$B$64*BH47</x:f>
      </x:c>
      <x:c r="BI64" s="117" t="n">
        <x:f>$B$64*BI47</x:f>
      </x:c>
      <x:c r="BJ64" s="117" t="n">
        <x:f>$B$64*BJ47</x:f>
      </x:c>
      <x:c r="BK64" s="117" t="n">
        <x:f>$B$64*BK47</x:f>
      </x:c>
      <x:c r="BL64" s="117" t="n">
        <x:f>$B$64*BL47</x:f>
      </x:c>
      <x:c r="BM64" s="117" t="n">
        <x:f>$B$64*BM47</x:f>
      </x:c>
      <x:c r="BN64" s="117" t="n">
        <x:f>$B$64*BN47</x:f>
      </x:c>
      <x:c r="BO64" s="117" t="n">
        <x:f>$B$64*BO47</x:f>
      </x:c>
      <x:c r="BP64" s="117" t="n">
        <x:f>$B$64*BP47</x:f>
      </x:c>
      <x:c r="BQ64" s="117" t="n">
        <x:f>$B$64*BQ47</x:f>
      </x:c>
      <x:c r="BR64" s="117" t="n">
        <x:f>$B$64*BR47</x:f>
      </x:c>
      <x:c r="BS64" s="117" t="n">
        <x:f>$B$64*BS47</x:f>
      </x:c>
      <x:c r="BT64" s="117" t="n">
        <x:f>$B$64*BT47</x:f>
      </x:c>
      <x:c r="BU64" s="117" t="n">
        <x:f>$B$64*BU47</x:f>
      </x:c>
      <x:c r="BV64" s="117" t="n">
        <x:f>$B$64*BV47</x:f>
      </x:c>
      <x:c r="BW64" s="117" t="n">
        <x:f>$B$64*BW47</x:f>
      </x:c>
      <x:c r="BX64" s="117" t="n">
        <x:f>$B$64*BX47</x:f>
      </x:c>
      <x:c r="BY64" s="117" t="n">
        <x:f>$B$64*BY47</x:f>
      </x:c>
      <x:c r="BZ64" s="117" t="n">
        <x:f>$B$64*BZ47</x:f>
      </x:c>
      <x:c r="CA64" s="117" t="n">
        <x:f>$B$64*CA47</x:f>
      </x:c>
      <x:c r="CB64" s="117" t="n">
        <x:f>$B$64*CB47</x:f>
      </x:c>
      <x:c r="CC64" s="117" t="n">
        <x:f>$B$64*CC47</x:f>
      </x:c>
      <x:c r="CD64" s="117" t="n">
        <x:f>$B$64*CD47</x:f>
      </x:c>
      <x:c r="CE64" s="117" t="n">
        <x:f>$B$64*CE47</x:f>
      </x:c>
      <x:c r="CF64" s="117" t="n">
        <x:f>$B$64*CF47</x:f>
      </x:c>
      <x:c r="CG64" s="117" t="n">
        <x:f>$B$64*CG47</x:f>
      </x:c>
      <x:c r="CH64" s="117" t="n">
        <x:f>$B$64*CH47</x:f>
      </x:c>
      <x:c r="CI64" s="117" t="n">
        <x:f>$B$64*CI47</x:f>
      </x:c>
      <x:c r="CJ64" s="117" t="n">
        <x:f>$B$64*CJ47</x:f>
      </x:c>
      <x:c r="CK64" s="117" t="n">
        <x:f>$B$64*CK47</x:f>
      </x:c>
      <x:c r="CL64" s="117" t="n">
        <x:f>$B$64*CL47</x:f>
      </x:c>
      <x:c r="CM64" s="117" t="n">
        <x:f>$B$64*CM47</x:f>
      </x:c>
      <x:c r="CN64" s="117" t="n">
        <x:f>$B$64*CN47</x:f>
      </x:c>
      <x:c r="CO64" s="117" t="n">
        <x:f>$B$64*CO47</x:f>
      </x:c>
      <x:c r="CP64" s="117" t="n">
        <x:f>$B$64*CP47</x:f>
      </x:c>
      <x:c r="CQ64" s="117" t="n">
        <x:f>$B$64*CQ47</x:f>
      </x:c>
      <x:c r="CR64" s="117" t="n">
        <x:f>$B$64*CR47</x:f>
      </x:c>
      <x:c r="CS64" s="117" t="n">
        <x:f>$B$64*CS47</x:f>
      </x:c>
      <x:c r="CT64" s="117" t="n">
        <x:f>$B$64*CT47</x:f>
      </x:c>
      <x:c r="CU64" s="117" t="n">
        <x:f>$B$64*CU47</x:f>
      </x:c>
      <x:c r="CV64" s="117" t="n">
        <x:f>$B$64*CV47</x:f>
      </x:c>
      <x:c r="CW64" s="117" t="n">
        <x:f>$B$64*CW47</x:f>
      </x:c>
      <x:c r="CX64" s="117" t="n">
        <x:f>$B$64*CX47</x:f>
      </x:c>
      <x:c r="CY64" s="117" t="n">
        <x:f>$B$64*CY47</x:f>
      </x:c>
      <x:c r="CZ64" s="117" t="n">
        <x:f>$B$64*CZ47</x:f>
      </x:c>
      <x:c r="DA64" s="117" t="n">
        <x:f>$B$64*DA47</x:f>
      </x:c>
      <x:c r="DB64" s="117" t="n">
        <x:f>$B$64*DB47</x:f>
      </x:c>
      <x:c r="DC64" s="117" t="n">
        <x:f>$B$64*DC47</x:f>
      </x:c>
      <x:c r="DD64" s="117" t="n">
        <x:f>$B$64*DD47</x:f>
      </x:c>
      <x:c r="DE64" s="117" t="n">
        <x:f>$B$64*DE47</x:f>
      </x:c>
      <x:c r="DF64" s="117" t="n">
        <x:f>$B$64*DF47</x:f>
      </x:c>
      <x:c r="DG64" s="117" t="n">
        <x:f>$B$64*DG47</x:f>
      </x:c>
      <x:c r="DH64" s="117" t="n">
        <x:f>$B$64*DH47</x:f>
      </x:c>
      <x:c r="DI64" s="117" t="n">
        <x:f>$B$64*DI47</x:f>
      </x:c>
      <x:c r="DJ64" s="117" t="n">
        <x:f>$B$64*DJ47</x:f>
      </x:c>
      <x:c r="DK64" s="117" t="n">
        <x:f>$B$64*DK47</x:f>
      </x:c>
      <x:c r="DL64" s="117" t="n">
        <x:f>$B$64*DL47</x:f>
      </x:c>
      <x:c r="DM64" s="117" t="n">
        <x:f>$B$64*DM47</x:f>
      </x:c>
      <x:c r="DN64" s="117" t="n">
        <x:f>$B$64*DN47</x:f>
      </x:c>
      <x:c r="DO64" s="117" t="n">
        <x:f>$B$64*DO47</x:f>
      </x:c>
      <x:c r="DP64" s="117" t="n">
        <x:f>$B$64*DP47</x:f>
      </x:c>
      <x:c r="DQ64" s="117" t="n">
        <x:f>$B$64*DQ47</x:f>
      </x:c>
      <x:c r="DR64" s="117" t="n">
        <x:f>$B$64*DR47</x:f>
      </x:c>
      <x:c r="DS64" s="117" t="n">
        <x:f>$B$64*DS47</x:f>
      </x:c>
    </x:row>
    <x:row r="65">
      <x:c r="A65" t="str">
        <x:v>Социальная нагрузка</x:v>
      </x:c>
      <x:c r="B65" s="107" t="n">
        <x:f>'Вводные'!$B$17*'Вводные'!$R$89*'Вводные'!$H$6*--('Вводные'!$B$89="Да")</x:f>
      </x:c>
      <x:c r="C65" t="str">
        <x:v>млн ₽</x:v>
      </x:c>
      <x:c r="D65" s="117" t="n">
        <x:f>IF(AND(D$3&gt;='Вводные'!$B$18,D$3&lt;EDATE('Вводные'!$B$18,MAX(1,'Вводные'!$E$18))),$B$65/MAX(1,'Вводные'!$E$18),0)</x:f>
      </x:c>
      <x:c r="E65" s="117" t="n">
        <x:f>IF(AND(E$3&gt;='Вводные'!$B$18,E$3&lt;EDATE('Вводные'!$B$18,MAX(1,'Вводные'!$E$18))),$B$65/MAX(1,'Вводные'!$E$18),0)</x:f>
      </x:c>
      <x:c r="F65" s="117" t="n">
        <x:f>IF(AND(F$3&gt;='Вводные'!$B$18,F$3&lt;EDATE('Вводные'!$B$18,MAX(1,'Вводные'!$E$18))),$B$65/MAX(1,'Вводные'!$E$18),0)</x:f>
      </x:c>
      <x:c r="G65" s="117" t="n">
        <x:f>IF(AND(G$3&gt;='Вводные'!$B$18,G$3&lt;EDATE('Вводные'!$B$18,MAX(1,'Вводные'!$E$18))),$B$65/MAX(1,'Вводные'!$E$18),0)</x:f>
      </x:c>
      <x:c r="H65" s="117" t="n">
        <x:f>IF(AND(H$3&gt;='Вводные'!$B$18,H$3&lt;EDATE('Вводные'!$B$18,MAX(1,'Вводные'!$E$18))),$B$65/MAX(1,'Вводные'!$E$18),0)</x:f>
      </x:c>
      <x:c r="I65" s="117" t="n">
        <x:f>IF(AND(I$3&gt;='Вводные'!$B$18,I$3&lt;EDATE('Вводные'!$B$18,MAX(1,'Вводные'!$E$18))),$B$65/MAX(1,'Вводные'!$E$18),0)</x:f>
      </x:c>
      <x:c r="J65" s="117" t="n">
        <x:f>IF(AND(J$3&gt;='Вводные'!$B$18,J$3&lt;EDATE('Вводные'!$B$18,MAX(1,'Вводные'!$E$18))),$B$65/MAX(1,'Вводные'!$E$18),0)</x:f>
      </x:c>
      <x:c r="K65" s="117" t="n">
        <x:f>IF(AND(K$3&gt;='Вводные'!$B$18,K$3&lt;EDATE('Вводные'!$B$18,MAX(1,'Вводные'!$E$18))),$B$65/MAX(1,'Вводные'!$E$18),0)</x:f>
      </x:c>
      <x:c r="L65" s="117" t="n">
        <x:f>IF(AND(L$3&gt;='Вводные'!$B$18,L$3&lt;EDATE('Вводные'!$B$18,MAX(1,'Вводные'!$E$18))),$B$65/MAX(1,'Вводные'!$E$18),0)</x:f>
      </x:c>
      <x:c r="M65" s="117" t="n">
        <x:f>IF(AND(M$3&gt;='Вводные'!$B$18,M$3&lt;EDATE('Вводные'!$B$18,MAX(1,'Вводные'!$E$18))),$B$65/MAX(1,'Вводные'!$E$18),0)</x:f>
      </x:c>
      <x:c r="N65" s="117" t="n">
        <x:f>IF(AND(N$3&gt;='Вводные'!$B$18,N$3&lt;EDATE('Вводные'!$B$18,MAX(1,'Вводные'!$E$18))),$B$65/MAX(1,'Вводные'!$E$18),0)</x:f>
      </x:c>
      <x:c r="O65" s="117" t="n">
        <x:f>IF(AND(O$3&gt;='Вводные'!$B$18,O$3&lt;EDATE('Вводные'!$B$18,MAX(1,'Вводные'!$E$18))),$B$65/MAX(1,'Вводные'!$E$18),0)</x:f>
      </x:c>
      <x:c r="P65" s="117" t="n">
        <x:f>IF(AND(P$3&gt;='Вводные'!$B$18,P$3&lt;EDATE('Вводные'!$B$18,MAX(1,'Вводные'!$E$18))),$B$65/MAX(1,'Вводные'!$E$18),0)</x:f>
      </x:c>
      <x:c r="Q65" s="117" t="n">
        <x:f>IF(AND(Q$3&gt;='Вводные'!$B$18,Q$3&lt;EDATE('Вводные'!$B$18,MAX(1,'Вводные'!$E$18))),$B$65/MAX(1,'Вводные'!$E$18),0)</x:f>
      </x:c>
      <x:c r="R65" s="117" t="n">
        <x:f>IF(AND(R$3&gt;='Вводные'!$B$18,R$3&lt;EDATE('Вводные'!$B$18,MAX(1,'Вводные'!$E$18))),$B$65/MAX(1,'Вводные'!$E$18),0)</x:f>
      </x:c>
      <x:c r="S65" s="117" t="n">
        <x:f>IF(AND(S$3&gt;='Вводные'!$B$18,S$3&lt;EDATE('Вводные'!$B$18,MAX(1,'Вводные'!$E$18))),$B$65/MAX(1,'Вводные'!$E$18),0)</x:f>
      </x:c>
      <x:c r="T65" s="117" t="n">
        <x:f>IF(AND(T$3&gt;='Вводные'!$B$18,T$3&lt;EDATE('Вводные'!$B$18,MAX(1,'Вводные'!$E$18))),$B$65/MAX(1,'Вводные'!$E$18),0)</x:f>
      </x:c>
      <x:c r="U65" s="117" t="n">
        <x:f>IF(AND(U$3&gt;='Вводные'!$B$18,U$3&lt;EDATE('Вводные'!$B$18,MAX(1,'Вводные'!$E$18))),$B$65/MAX(1,'Вводные'!$E$18),0)</x:f>
      </x:c>
      <x:c r="V65" s="117" t="n">
        <x:f>IF(AND(V$3&gt;='Вводные'!$B$18,V$3&lt;EDATE('Вводные'!$B$18,MAX(1,'Вводные'!$E$18))),$B$65/MAX(1,'Вводные'!$E$18),0)</x:f>
      </x:c>
      <x:c r="W65" s="117" t="n">
        <x:f>IF(AND(W$3&gt;='Вводные'!$B$18,W$3&lt;EDATE('Вводные'!$B$18,MAX(1,'Вводные'!$E$18))),$B$65/MAX(1,'Вводные'!$E$18),0)</x:f>
      </x:c>
      <x:c r="X65" s="117" t="n">
        <x:f>IF(AND(X$3&gt;='Вводные'!$B$18,X$3&lt;EDATE('Вводные'!$B$18,MAX(1,'Вводные'!$E$18))),$B$65/MAX(1,'Вводные'!$E$18),0)</x:f>
      </x:c>
      <x:c r="Y65" s="117" t="n">
        <x:f>IF(AND(Y$3&gt;='Вводные'!$B$18,Y$3&lt;EDATE('Вводные'!$B$18,MAX(1,'Вводные'!$E$18))),$B$65/MAX(1,'Вводные'!$E$18),0)</x:f>
      </x:c>
      <x:c r="Z65" s="117" t="n">
        <x:f>IF(AND(Z$3&gt;='Вводные'!$B$18,Z$3&lt;EDATE('Вводные'!$B$18,MAX(1,'Вводные'!$E$18))),$B$65/MAX(1,'Вводные'!$E$18),0)</x:f>
      </x:c>
      <x:c r="AA65" s="117" t="n">
        <x:f>IF(AND(AA$3&gt;='Вводные'!$B$18,AA$3&lt;EDATE('Вводные'!$B$18,MAX(1,'Вводные'!$E$18))),$B$65/MAX(1,'Вводные'!$E$18),0)</x:f>
      </x:c>
      <x:c r="AB65" s="117" t="n">
        <x:f>IF(AND(AB$3&gt;='Вводные'!$B$18,AB$3&lt;EDATE('Вводные'!$B$18,MAX(1,'Вводные'!$E$18))),$B$65/MAX(1,'Вводные'!$E$18),0)</x:f>
      </x:c>
      <x:c r="AC65" s="117" t="n">
        <x:f>IF(AND(AC$3&gt;='Вводные'!$B$18,AC$3&lt;EDATE('Вводные'!$B$18,MAX(1,'Вводные'!$E$18))),$B$65/MAX(1,'Вводные'!$E$18),0)</x:f>
      </x:c>
      <x:c r="AD65" s="117" t="n">
        <x:f>IF(AND(AD$3&gt;='Вводные'!$B$18,AD$3&lt;EDATE('Вводные'!$B$18,MAX(1,'Вводные'!$E$18))),$B$65/MAX(1,'Вводные'!$E$18),0)</x:f>
      </x:c>
      <x:c r="AE65" s="117" t="n">
        <x:f>IF(AND(AE$3&gt;='Вводные'!$B$18,AE$3&lt;EDATE('Вводные'!$B$18,MAX(1,'Вводные'!$E$18))),$B$65/MAX(1,'Вводные'!$E$18),0)</x:f>
      </x:c>
      <x:c r="AF65" s="117" t="n">
        <x:f>IF(AND(AF$3&gt;='Вводные'!$B$18,AF$3&lt;EDATE('Вводные'!$B$18,MAX(1,'Вводные'!$E$18))),$B$65/MAX(1,'Вводные'!$E$18),0)</x:f>
      </x:c>
      <x:c r="AG65" s="117" t="n">
        <x:f>IF(AND(AG$3&gt;='Вводные'!$B$18,AG$3&lt;EDATE('Вводные'!$B$18,MAX(1,'Вводные'!$E$18))),$B$65/MAX(1,'Вводные'!$E$18),0)</x:f>
      </x:c>
      <x:c r="AH65" s="117" t="n">
        <x:f>IF(AND(AH$3&gt;='Вводные'!$B$18,AH$3&lt;EDATE('Вводные'!$B$18,MAX(1,'Вводные'!$E$18))),$B$65/MAX(1,'Вводные'!$E$18),0)</x:f>
      </x:c>
      <x:c r="AI65" s="117" t="n">
        <x:f>IF(AND(AI$3&gt;='Вводные'!$B$18,AI$3&lt;EDATE('Вводные'!$B$18,MAX(1,'Вводные'!$E$18))),$B$65/MAX(1,'Вводные'!$E$18),0)</x:f>
      </x:c>
      <x:c r="AJ65" s="117" t="n">
        <x:f>IF(AND(AJ$3&gt;='Вводные'!$B$18,AJ$3&lt;EDATE('Вводные'!$B$18,MAX(1,'Вводные'!$E$18))),$B$65/MAX(1,'Вводные'!$E$18),0)</x:f>
      </x:c>
      <x:c r="AK65" s="117" t="n">
        <x:f>IF(AND(AK$3&gt;='Вводные'!$B$18,AK$3&lt;EDATE('Вводные'!$B$18,MAX(1,'Вводные'!$E$18))),$B$65/MAX(1,'Вводные'!$E$18),0)</x:f>
      </x:c>
      <x:c r="AL65" s="117" t="n">
        <x:f>IF(AND(AL$3&gt;='Вводные'!$B$18,AL$3&lt;EDATE('Вводные'!$B$18,MAX(1,'Вводные'!$E$18))),$B$65/MAX(1,'Вводные'!$E$18),0)</x:f>
      </x:c>
      <x:c r="AM65" s="117" t="n">
        <x:f>IF(AND(AM$3&gt;='Вводные'!$B$18,AM$3&lt;EDATE('Вводные'!$B$18,MAX(1,'Вводные'!$E$18))),$B$65/MAX(1,'Вводные'!$E$18),0)</x:f>
      </x:c>
      <x:c r="AN65" s="117" t="n">
        <x:f>IF(AND(AN$3&gt;='Вводные'!$B$18,AN$3&lt;EDATE('Вводные'!$B$18,MAX(1,'Вводные'!$E$18))),$B$65/MAX(1,'Вводные'!$E$18),0)</x:f>
      </x:c>
      <x:c r="AO65" s="117" t="n">
        <x:f>IF(AND(AO$3&gt;='Вводные'!$B$18,AO$3&lt;EDATE('Вводные'!$B$18,MAX(1,'Вводные'!$E$18))),$B$65/MAX(1,'Вводные'!$E$18),0)</x:f>
      </x:c>
      <x:c r="AP65" s="117" t="n">
        <x:f>IF(AND(AP$3&gt;='Вводные'!$B$18,AP$3&lt;EDATE('Вводные'!$B$18,MAX(1,'Вводные'!$E$18))),$B$65/MAX(1,'Вводные'!$E$18),0)</x:f>
      </x:c>
      <x:c r="AQ65" s="117" t="n">
        <x:f>IF(AND(AQ$3&gt;='Вводные'!$B$18,AQ$3&lt;EDATE('Вводные'!$B$18,MAX(1,'Вводные'!$E$18))),$B$65/MAX(1,'Вводные'!$E$18),0)</x:f>
      </x:c>
      <x:c r="AR65" s="117" t="n">
        <x:f>IF(AND(AR$3&gt;='Вводные'!$B$18,AR$3&lt;EDATE('Вводные'!$B$18,MAX(1,'Вводные'!$E$18))),$B$65/MAX(1,'Вводные'!$E$18),0)</x:f>
      </x:c>
      <x:c r="AS65" s="117" t="n">
        <x:f>IF(AND(AS$3&gt;='Вводные'!$B$18,AS$3&lt;EDATE('Вводные'!$B$18,MAX(1,'Вводные'!$E$18))),$B$65/MAX(1,'Вводные'!$E$18),0)</x:f>
      </x:c>
      <x:c r="AT65" s="117" t="n">
        <x:f>IF(AND(AT$3&gt;='Вводные'!$B$18,AT$3&lt;EDATE('Вводные'!$B$18,MAX(1,'Вводные'!$E$18))),$B$65/MAX(1,'Вводные'!$E$18),0)</x:f>
      </x:c>
      <x:c r="AU65" s="117" t="n">
        <x:f>IF(AND(AU$3&gt;='Вводные'!$B$18,AU$3&lt;EDATE('Вводные'!$B$18,MAX(1,'Вводные'!$E$18))),$B$65/MAX(1,'Вводные'!$E$18),0)</x:f>
      </x:c>
      <x:c r="AV65" s="117" t="n">
        <x:f>IF(AND(AV$3&gt;='Вводные'!$B$18,AV$3&lt;EDATE('Вводные'!$B$18,MAX(1,'Вводные'!$E$18))),$B$65/MAX(1,'Вводные'!$E$18),0)</x:f>
      </x:c>
      <x:c r="AW65" s="117" t="n">
        <x:f>IF(AND(AW$3&gt;='Вводные'!$B$18,AW$3&lt;EDATE('Вводные'!$B$18,MAX(1,'Вводные'!$E$18))),$B$65/MAX(1,'Вводные'!$E$18),0)</x:f>
      </x:c>
      <x:c r="AX65" s="117" t="n">
        <x:f>IF(AND(AX$3&gt;='Вводные'!$B$18,AX$3&lt;EDATE('Вводные'!$B$18,MAX(1,'Вводные'!$E$18))),$B$65/MAX(1,'Вводные'!$E$18),0)</x:f>
      </x:c>
      <x:c r="AY65" s="117" t="n">
        <x:f>IF(AND(AY$3&gt;='Вводные'!$B$18,AY$3&lt;EDATE('Вводные'!$B$18,MAX(1,'Вводные'!$E$18))),$B$65/MAX(1,'Вводные'!$E$18),0)</x:f>
      </x:c>
      <x:c r="AZ65" s="117" t="n">
        <x:f>IF(AND(AZ$3&gt;='Вводные'!$B$18,AZ$3&lt;EDATE('Вводные'!$B$18,MAX(1,'Вводные'!$E$18))),$B$65/MAX(1,'Вводные'!$E$18),0)</x:f>
      </x:c>
      <x:c r="BA65" s="117" t="n">
        <x:f>IF(AND(BA$3&gt;='Вводные'!$B$18,BA$3&lt;EDATE('Вводные'!$B$18,MAX(1,'Вводные'!$E$18))),$B$65/MAX(1,'Вводные'!$E$18),0)</x:f>
      </x:c>
      <x:c r="BB65" s="117" t="n">
        <x:f>IF(AND(BB$3&gt;='Вводные'!$B$18,BB$3&lt;EDATE('Вводные'!$B$18,MAX(1,'Вводные'!$E$18))),$B$65/MAX(1,'Вводные'!$E$18),0)</x:f>
      </x:c>
      <x:c r="BC65" s="117" t="n">
        <x:f>IF(AND(BC$3&gt;='Вводные'!$B$18,BC$3&lt;EDATE('Вводные'!$B$18,MAX(1,'Вводные'!$E$18))),$B$65/MAX(1,'Вводные'!$E$18),0)</x:f>
      </x:c>
      <x:c r="BD65" s="117" t="n">
        <x:f>IF(AND(BD$3&gt;='Вводные'!$B$18,BD$3&lt;EDATE('Вводные'!$B$18,MAX(1,'Вводные'!$E$18))),$B$65/MAX(1,'Вводные'!$E$18),0)</x:f>
      </x:c>
      <x:c r="BE65" s="117" t="n">
        <x:f>IF(AND(BE$3&gt;='Вводные'!$B$18,BE$3&lt;EDATE('Вводные'!$B$18,MAX(1,'Вводные'!$E$18))),$B$65/MAX(1,'Вводные'!$E$18),0)</x:f>
      </x:c>
      <x:c r="BF65" s="117" t="n">
        <x:f>IF(AND(BF$3&gt;='Вводные'!$B$18,BF$3&lt;EDATE('Вводные'!$B$18,MAX(1,'Вводные'!$E$18))),$B$65/MAX(1,'Вводные'!$E$18),0)</x:f>
      </x:c>
      <x:c r="BG65" s="117" t="n">
        <x:f>IF(AND(BG$3&gt;='Вводные'!$B$18,BG$3&lt;EDATE('Вводные'!$B$18,MAX(1,'Вводные'!$E$18))),$B$65/MAX(1,'Вводные'!$E$18),0)</x:f>
      </x:c>
      <x:c r="BH65" s="117" t="n">
        <x:f>IF(AND(BH$3&gt;='Вводные'!$B$18,BH$3&lt;EDATE('Вводные'!$B$18,MAX(1,'Вводные'!$E$18))),$B$65/MAX(1,'Вводные'!$E$18),0)</x:f>
      </x:c>
      <x:c r="BI65" s="117" t="n">
        <x:f>IF(AND(BI$3&gt;='Вводные'!$B$18,BI$3&lt;EDATE('Вводные'!$B$18,MAX(1,'Вводные'!$E$18))),$B$65/MAX(1,'Вводные'!$E$18),0)</x:f>
      </x:c>
      <x:c r="BJ65" s="117" t="n">
        <x:f>IF(AND(BJ$3&gt;='Вводные'!$B$18,BJ$3&lt;EDATE('Вводные'!$B$18,MAX(1,'Вводные'!$E$18))),$B$65/MAX(1,'Вводные'!$E$18),0)</x:f>
      </x:c>
      <x:c r="BK65" s="117" t="n">
        <x:f>IF(AND(BK$3&gt;='Вводные'!$B$18,BK$3&lt;EDATE('Вводные'!$B$18,MAX(1,'Вводные'!$E$18))),$B$65/MAX(1,'Вводные'!$E$18),0)</x:f>
      </x:c>
      <x:c r="BL65" s="117" t="n">
        <x:f>IF(AND(BL$3&gt;='Вводные'!$B$18,BL$3&lt;EDATE('Вводные'!$B$18,MAX(1,'Вводные'!$E$18))),$B$65/MAX(1,'Вводные'!$E$18),0)</x:f>
      </x:c>
      <x:c r="BM65" s="117" t="n">
        <x:f>IF(AND(BM$3&gt;='Вводные'!$B$18,BM$3&lt;EDATE('Вводные'!$B$18,MAX(1,'Вводные'!$E$18))),$B$65/MAX(1,'Вводные'!$E$18),0)</x:f>
      </x:c>
      <x:c r="BN65" s="117" t="n">
        <x:f>IF(AND(BN$3&gt;='Вводные'!$B$18,BN$3&lt;EDATE('Вводные'!$B$18,MAX(1,'Вводные'!$E$18))),$B$65/MAX(1,'Вводные'!$E$18),0)</x:f>
      </x:c>
      <x:c r="BO65" s="117" t="n">
        <x:f>IF(AND(BO$3&gt;='Вводные'!$B$18,BO$3&lt;EDATE('Вводные'!$B$18,MAX(1,'Вводные'!$E$18))),$B$65/MAX(1,'Вводные'!$E$18),0)</x:f>
      </x:c>
      <x:c r="BP65" s="117" t="n">
        <x:f>IF(AND(BP$3&gt;='Вводные'!$B$18,BP$3&lt;EDATE('Вводные'!$B$18,MAX(1,'Вводные'!$E$18))),$B$65/MAX(1,'Вводные'!$E$18),0)</x:f>
      </x:c>
      <x:c r="BQ65" s="117" t="n">
        <x:f>IF(AND(BQ$3&gt;='Вводные'!$B$18,BQ$3&lt;EDATE('Вводные'!$B$18,MAX(1,'Вводные'!$E$18))),$B$65/MAX(1,'Вводные'!$E$18),0)</x:f>
      </x:c>
      <x:c r="BR65" s="117" t="n">
        <x:f>IF(AND(BR$3&gt;='Вводные'!$B$18,BR$3&lt;EDATE('Вводные'!$B$18,MAX(1,'Вводные'!$E$18))),$B$65/MAX(1,'Вводные'!$E$18),0)</x:f>
      </x:c>
      <x:c r="BS65" s="117" t="n">
        <x:f>IF(AND(BS$3&gt;='Вводные'!$B$18,BS$3&lt;EDATE('Вводные'!$B$18,MAX(1,'Вводные'!$E$18))),$B$65/MAX(1,'Вводные'!$E$18),0)</x:f>
      </x:c>
      <x:c r="BT65" s="117" t="n">
        <x:f>IF(AND(BT$3&gt;='Вводные'!$B$18,BT$3&lt;EDATE('Вводные'!$B$18,MAX(1,'Вводные'!$E$18))),$B$65/MAX(1,'Вводные'!$E$18),0)</x:f>
      </x:c>
      <x:c r="BU65" s="117" t="n">
        <x:f>IF(AND(BU$3&gt;='Вводные'!$B$18,BU$3&lt;EDATE('Вводные'!$B$18,MAX(1,'Вводные'!$E$18))),$B$65/MAX(1,'Вводные'!$E$18),0)</x:f>
      </x:c>
      <x:c r="BV65" s="117" t="n">
        <x:f>IF(AND(BV$3&gt;='Вводные'!$B$18,BV$3&lt;EDATE('Вводные'!$B$18,MAX(1,'Вводные'!$E$18))),$B$65/MAX(1,'Вводные'!$E$18),0)</x:f>
      </x:c>
      <x:c r="BW65" s="117" t="n">
        <x:f>IF(AND(BW$3&gt;='Вводные'!$B$18,BW$3&lt;EDATE('Вводные'!$B$18,MAX(1,'Вводные'!$E$18))),$B$65/MAX(1,'Вводные'!$E$18),0)</x:f>
      </x:c>
      <x:c r="BX65" s="117" t="n">
        <x:f>IF(AND(BX$3&gt;='Вводные'!$B$18,BX$3&lt;EDATE('Вводные'!$B$18,MAX(1,'Вводные'!$E$18))),$B$65/MAX(1,'Вводные'!$E$18),0)</x:f>
      </x:c>
      <x:c r="BY65" s="117" t="n">
        <x:f>IF(AND(BY$3&gt;='Вводные'!$B$18,BY$3&lt;EDATE('Вводные'!$B$18,MAX(1,'Вводные'!$E$18))),$B$65/MAX(1,'Вводные'!$E$18),0)</x:f>
      </x:c>
      <x:c r="BZ65" s="117" t="n">
        <x:f>IF(AND(BZ$3&gt;='Вводные'!$B$18,BZ$3&lt;EDATE('Вводные'!$B$18,MAX(1,'Вводные'!$E$18))),$B$65/MAX(1,'Вводные'!$E$18),0)</x:f>
      </x:c>
      <x:c r="CA65" s="117" t="n">
        <x:f>IF(AND(CA$3&gt;='Вводные'!$B$18,CA$3&lt;EDATE('Вводные'!$B$18,MAX(1,'Вводные'!$E$18))),$B$65/MAX(1,'Вводные'!$E$18),0)</x:f>
      </x:c>
      <x:c r="CB65" s="117" t="n">
        <x:f>IF(AND(CB$3&gt;='Вводные'!$B$18,CB$3&lt;EDATE('Вводные'!$B$18,MAX(1,'Вводные'!$E$18))),$B$65/MAX(1,'Вводные'!$E$18),0)</x:f>
      </x:c>
      <x:c r="CC65" s="117" t="n">
        <x:f>IF(AND(CC$3&gt;='Вводные'!$B$18,CC$3&lt;EDATE('Вводные'!$B$18,MAX(1,'Вводные'!$E$18))),$B$65/MAX(1,'Вводные'!$E$18),0)</x:f>
      </x:c>
      <x:c r="CD65" s="117" t="n">
        <x:f>IF(AND(CD$3&gt;='Вводные'!$B$18,CD$3&lt;EDATE('Вводные'!$B$18,MAX(1,'Вводные'!$E$18))),$B$65/MAX(1,'Вводные'!$E$18),0)</x:f>
      </x:c>
      <x:c r="CE65" s="117" t="n">
        <x:f>IF(AND(CE$3&gt;='Вводные'!$B$18,CE$3&lt;EDATE('Вводные'!$B$18,MAX(1,'Вводные'!$E$18))),$B$65/MAX(1,'Вводные'!$E$18),0)</x:f>
      </x:c>
      <x:c r="CF65" s="117" t="n">
        <x:f>IF(AND(CF$3&gt;='Вводные'!$B$18,CF$3&lt;EDATE('Вводные'!$B$18,MAX(1,'Вводные'!$E$18))),$B$65/MAX(1,'Вводные'!$E$18),0)</x:f>
      </x:c>
      <x:c r="CG65" s="117" t="n">
        <x:f>IF(AND(CG$3&gt;='Вводные'!$B$18,CG$3&lt;EDATE('Вводные'!$B$18,MAX(1,'Вводные'!$E$18))),$B$65/MAX(1,'Вводные'!$E$18),0)</x:f>
      </x:c>
      <x:c r="CH65" s="117" t="n">
        <x:f>IF(AND(CH$3&gt;='Вводные'!$B$18,CH$3&lt;EDATE('Вводные'!$B$18,MAX(1,'Вводные'!$E$18))),$B$65/MAX(1,'Вводные'!$E$18),0)</x:f>
      </x:c>
      <x:c r="CI65" s="117" t="n">
        <x:f>IF(AND(CI$3&gt;='Вводные'!$B$18,CI$3&lt;EDATE('Вводные'!$B$18,MAX(1,'Вводные'!$E$18))),$B$65/MAX(1,'Вводные'!$E$18),0)</x:f>
      </x:c>
      <x:c r="CJ65" s="117" t="n">
        <x:f>IF(AND(CJ$3&gt;='Вводные'!$B$18,CJ$3&lt;EDATE('Вводные'!$B$18,MAX(1,'Вводные'!$E$18))),$B$65/MAX(1,'Вводные'!$E$18),0)</x:f>
      </x:c>
      <x:c r="CK65" s="117" t="n">
        <x:f>IF(AND(CK$3&gt;='Вводные'!$B$18,CK$3&lt;EDATE('Вводные'!$B$18,MAX(1,'Вводные'!$E$18))),$B$65/MAX(1,'Вводные'!$E$18),0)</x:f>
      </x:c>
      <x:c r="CL65" s="117" t="n">
        <x:f>IF(AND(CL$3&gt;='Вводные'!$B$18,CL$3&lt;EDATE('Вводные'!$B$18,MAX(1,'Вводные'!$E$18))),$B$65/MAX(1,'Вводные'!$E$18),0)</x:f>
      </x:c>
      <x:c r="CM65" s="117" t="n">
        <x:f>IF(AND(CM$3&gt;='Вводные'!$B$18,CM$3&lt;EDATE('Вводные'!$B$18,MAX(1,'Вводные'!$E$18))),$B$65/MAX(1,'Вводные'!$E$18),0)</x:f>
      </x:c>
      <x:c r="CN65" s="117" t="n">
        <x:f>IF(AND(CN$3&gt;='Вводные'!$B$18,CN$3&lt;EDATE('Вводные'!$B$18,MAX(1,'Вводные'!$E$18))),$B$65/MAX(1,'Вводные'!$E$18),0)</x:f>
      </x:c>
      <x:c r="CO65" s="117" t="n">
        <x:f>IF(AND(CO$3&gt;='Вводные'!$B$18,CO$3&lt;EDATE('Вводные'!$B$18,MAX(1,'Вводные'!$E$18))),$B$65/MAX(1,'Вводные'!$E$18),0)</x:f>
      </x:c>
      <x:c r="CP65" s="117" t="n">
        <x:f>IF(AND(CP$3&gt;='Вводные'!$B$18,CP$3&lt;EDATE('Вводные'!$B$18,MAX(1,'Вводные'!$E$18))),$B$65/MAX(1,'Вводные'!$E$18),0)</x:f>
      </x:c>
      <x:c r="CQ65" s="117" t="n">
        <x:f>IF(AND(CQ$3&gt;='Вводные'!$B$18,CQ$3&lt;EDATE('Вводные'!$B$18,MAX(1,'Вводные'!$E$18))),$B$65/MAX(1,'Вводные'!$E$18),0)</x:f>
      </x:c>
      <x:c r="CR65" s="117" t="n">
        <x:f>IF(AND(CR$3&gt;='Вводные'!$B$18,CR$3&lt;EDATE('Вводные'!$B$18,MAX(1,'Вводные'!$E$18))),$B$65/MAX(1,'Вводные'!$E$18),0)</x:f>
      </x:c>
      <x:c r="CS65" s="117" t="n">
        <x:f>IF(AND(CS$3&gt;='Вводные'!$B$18,CS$3&lt;EDATE('Вводные'!$B$18,MAX(1,'Вводные'!$E$18))),$B$65/MAX(1,'Вводные'!$E$18),0)</x:f>
      </x:c>
      <x:c r="CT65" s="117" t="n">
        <x:f>IF(AND(CT$3&gt;='Вводные'!$B$18,CT$3&lt;EDATE('Вводные'!$B$18,MAX(1,'Вводные'!$E$18))),$B$65/MAX(1,'Вводные'!$E$18),0)</x:f>
      </x:c>
      <x:c r="CU65" s="117" t="n">
        <x:f>IF(AND(CU$3&gt;='Вводные'!$B$18,CU$3&lt;EDATE('Вводные'!$B$18,MAX(1,'Вводные'!$E$18))),$B$65/MAX(1,'Вводные'!$E$18),0)</x:f>
      </x:c>
      <x:c r="CV65" s="117" t="n">
        <x:f>IF(AND(CV$3&gt;='Вводные'!$B$18,CV$3&lt;EDATE('Вводные'!$B$18,MAX(1,'Вводные'!$E$18))),$B$65/MAX(1,'Вводные'!$E$18),0)</x:f>
      </x:c>
      <x:c r="CW65" s="117" t="n">
        <x:f>IF(AND(CW$3&gt;='Вводные'!$B$18,CW$3&lt;EDATE('Вводные'!$B$18,MAX(1,'Вводные'!$E$18))),$B$65/MAX(1,'Вводные'!$E$18),0)</x:f>
      </x:c>
      <x:c r="CX65" s="117" t="n">
        <x:f>IF(AND(CX$3&gt;='Вводные'!$B$18,CX$3&lt;EDATE('Вводные'!$B$18,MAX(1,'Вводные'!$E$18))),$B$65/MAX(1,'Вводные'!$E$18),0)</x:f>
      </x:c>
      <x:c r="CY65" s="117" t="n">
        <x:f>IF(AND(CY$3&gt;='Вводные'!$B$18,CY$3&lt;EDATE('Вводные'!$B$18,MAX(1,'Вводные'!$E$18))),$B$65/MAX(1,'Вводные'!$E$18),0)</x:f>
      </x:c>
      <x:c r="CZ65" s="117" t="n">
        <x:f>IF(AND(CZ$3&gt;='Вводные'!$B$18,CZ$3&lt;EDATE('Вводные'!$B$18,MAX(1,'Вводные'!$E$18))),$B$65/MAX(1,'Вводные'!$E$18),0)</x:f>
      </x:c>
      <x:c r="DA65" s="117" t="n">
        <x:f>IF(AND(DA$3&gt;='Вводные'!$B$18,DA$3&lt;EDATE('Вводные'!$B$18,MAX(1,'Вводные'!$E$18))),$B$65/MAX(1,'Вводные'!$E$18),0)</x:f>
      </x:c>
      <x:c r="DB65" s="117" t="n">
        <x:f>IF(AND(DB$3&gt;='Вводные'!$B$18,DB$3&lt;EDATE('Вводные'!$B$18,MAX(1,'Вводные'!$E$18))),$B$65/MAX(1,'Вводные'!$E$18),0)</x:f>
      </x:c>
      <x:c r="DC65" s="117" t="n">
        <x:f>IF(AND(DC$3&gt;='Вводные'!$B$18,DC$3&lt;EDATE('Вводные'!$B$18,MAX(1,'Вводные'!$E$18))),$B$65/MAX(1,'Вводные'!$E$18),0)</x:f>
      </x:c>
      <x:c r="DD65" s="117" t="n">
        <x:f>IF(AND(DD$3&gt;='Вводные'!$B$18,DD$3&lt;EDATE('Вводные'!$B$18,MAX(1,'Вводные'!$E$18))),$B$65/MAX(1,'Вводные'!$E$18),0)</x:f>
      </x:c>
      <x:c r="DE65" s="117" t="n">
        <x:f>IF(AND(DE$3&gt;='Вводные'!$B$18,DE$3&lt;EDATE('Вводные'!$B$18,MAX(1,'Вводные'!$E$18))),$B$65/MAX(1,'Вводные'!$E$18),0)</x:f>
      </x:c>
      <x:c r="DF65" s="117" t="n">
        <x:f>IF(AND(DF$3&gt;='Вводные'!$B$18,DF$3&lt;EDATE('Вводные'!$B$18,MAX(1,'Вводные'!$E$18))),$B$65/MAX(1,'Вводные'!$E$18),0)</x:f>
      </x:c>
      <x:c r="DG65" s="117" t="n">
        <x:f>IF(AND(DG$3&gt;='Вводные'!$B$18,DG$3&lt;EDATE('Вводные'!$B$18,MAX(1,'Вводные'!$E$18))),$B$65/MAX(1,'Вводные'!$E$18),0)</x:f>
      </x:c>
      <x:c r="DH65" s="117" t="n">
        <x:f>IF(AND(DH$3&gt;='Вводные'!$B$18,DH$3&lt;EDATE('Вводные'!$B$18,MAX(1,'Вводные'!$E$18))),$B$65/MAX(1,'Вводные'!$E$18),0)</x:f>
      </x:c>
      <x:c r="DI65" s="117" t="n">
        <x:f>IF(AND(DI$3&gt;='Вводные'!$B$18,DI$3&lt;EDATE('Вводные'!$B$18,MAX(1,'Вводные'!$E$18))),$B$65/MAX(1,'Вводные'!$E$18),0)</x:f>
      </x:c>
      <x:c r="DJ65" s="117" t="n">
        <x:f>IF(AND(DJ$3&gt;='Вводные'!$B$18,DJ$3&lt;EDATE('Вводные'!$B$18,MAX(1,'Вводные'!$E$18))),$B$65/MAX(1,'Вводные'!$E$18),0)</x:f>
      </x:c>
      <x:c r="DK65" s="117" t="n">
        <x:f>IF(AND(DK$3&gt;='Вводные'!$B$18,DK$3&lt;EDATE('Вводные'!$B$18,MAX(1,'Вводные'!$E$18))),$B$65/MAX(1,'Вводные'!$E$18),0)</x:f>
      </x:c>
      <x:c r="DL65" s="117" t="n">
        <x:f>IF(AND(DL$3&gt;='Вводные'!$B$18,DL$3&lt;EDATE('Вводные'!$B$18,MAX(1,'Вводные'!$E$18))),$B$65/MAX(1,'Вводные'!$E$18),0)</x:f>
      </x:c>
      <x:c r="DM65" s="117" t="n">
        <x:f>IF(AND(DM$3&gt;='Вводные'!$B$18,DM$3&lt;EDATE('Вводные'!$B$18,MAX(1,'Вводные'!$E$18))),$B$65/MAX(1,'Вводные'!$E$18),0)</x:f>
      </x:c>
      <x:c r="DN65" s="117" t="n">
        <x:f>IF(AND(DN$3&gt;='Вводные'!$B$18,DN$3&lt;EDATE('Вводные'!$B$18,MAX(1,'Вводные'!$E$18))),$B$65/MAX(1,'Вводные'!$E$18),0)</x:f>
      </x:c>
      <x:c r="DO65" s="117" t="n">
        <x:f>IF(AND(DO$3&gt;='Вводные'!$B$18,DO$3&lt;EDATE('Вводные'!$B$18,MAX(1,'Вводные'!$E$18))),$B$65/MAX(1,'Вводные'!$E$18),0)</x:f>
      </x:c>
      <x:c r="DP65" s="117" t="n">
        <x:f>IF(AND(DP$3&gt;='Вводные'!$B$18,DP$3&lt;EDATE('Вводные'!$B$18,MAX(1,'Вводные'!$E$18))),$B$65/MAX(1,'Вводные'!$E$18),0)</x:f>
      </x:c>
      <x:c r="DQ65" s="117" t="n">
        <x:f>IF(AND(DQ$3&gt;='Вводные'!$B$18,DQ$3&lt;EDATE('Вводные'!$B$18,MAX(1,'Вводные'!$E$18))),$B$65/MAX(1,'Вводные'!$E$18),0)</x:f>
      </x:c>
      <x:c r="DR65" s="117" t="n">
        <x:f>IF(AND(DR$3&gt;='Вводные'!$B$18,DR$3&lt;EDATE('Вводные'!$B$18,MAX(1,'Вводные'!$E$18))),$B$65/MAX(1,'Вводные'!$E$18),0)</x:f>
      </x:c>
      <x:c r="DS65" s="117" t="n">
        <x:f>IF(AND(DS$3&gt;='Вводные'!$B$18,DS$3&lt;EDATE('Вводные'!$B$18,MAX(1,'Вводные'!$E$18))),$B$65/MAX(1,'Вводные'!$E$18),0)</x:f>
      </x:c>
    </x:row>
    <x:row r="66">
      <x:c r="A66" s="113" t="str">
        <x:v>CAPEX ВСЕГО</x:v>
      </x:c>
      <x:c r="B66" s="113" t="n">
        <x:f>SUM(D66:DS66)</x:f>
      </x:c>
      <x:c r="C66" s="113" t="str">
        <x:v>млн ₽</x:v>
      </x:c>
      <x:c r="D66" s="120" t="n">
        <x:f>SUM(D48:D65)+'ОБЪЕКТЫ'!D104</x:f>
      </x:c>
      <x:c r="E66" s="120" t="n">
        <x:f>SUM(E48:E65)+'ОБЪЕКТЫ'!E104</x:f>
      </x:c>
      <x:c r="F66" s="120" t="n">
        <x:f>SUM(F48:F65)+'ОБЪЕКТЫ'!F104</x:f>
      </x:c>
      <x:c r="G66" s="120" t="n">
        <x:f>SUM(G48:G65)+'ОБЪЕКТЫ'!G104</x:f>
      </x:c>
      <x:c r="H66" s="120" t="n">
        <x:f>SUM(H48:H65)+'ОБЪЕКТЫ'!H104</x:f>
      </x:c>
      <x:c r="I66" s="120" t="n">
        <x:f>SUM(I48:I65)+'ОБЪЕКТЫ'!I104</x:f>
      </x:c>
      <x:c r="J66" s="120" t="n">
        <x:f>SUM(J48:J65)+'ОБЪЕКТЫ'!J104</x:f>
      </x:c>
      <x:c r="K66" s="120" t="n">
        <x:f>SUM(K48:K65)+'ОБЪЕКТЫ'!K104</x:f>
      </x:c>
      <x:c r="L66" s="120" t="n">
        <x:f>SUM(L48:L65)+'ОБЪЕКТЫ'!L104</x:f>
      </x:c>
      <x:c r="M66" s="120" t="n">
        <x:f>SUM(M48:M65)+'ОБЪЕКТЫ'!M104</x:f>
      </x:c>
      <x:c r="N66" s="120" t="n">
        <x:f>SUM(N48:N65)+'ОБЪЕКТЫ'!N104</x:f>
      </x:c>
      <x:c r="O66" s="120" t="n">
        <x:f>SUM(O48:O65)+'ОБЪЕКТЫ'!O104</x:f>
      </x:c>
      <x:c r="P66" s="120" t="n">
        <x:f>SUM(P48:P65)+'ОБЪЕКТЫ'!P104</x:f>
      </x:c>
      <x:c r="Q66" s="120" t="n">
        <x:f>SUM(Q48:Q65)+'ОБЪЕКТЫ'!Q104</x:f>
      </x:c>
      <x:c r="R66" s="120" t="n">
        <x:f>SUM(R48:R65)+'ОБЪЕКТЫ'!R104</x:f>
      </x:c>
      <x:c r="S66" s="120" t="n">
        <x:f>SUM(S48:S65)+'ОБЪЕКТЫ'!S104</x:f>
      </x:c>
      <x:c r="T66" s="120" t="n">
        <x:f>SUM(T48:T65)+'ОБЪЕКТЫ'!T104</x:f>
      </x:c>
      <x:c r="U66" s="120" t="n">
        <x:f>SUM(U48:U65)+'ОБЪЕКТЫ'!U104</x:f>
      </x:c>
      <x:c r="V66" s="120" t="n">
        <x:f>SUM(V48:V65)+'ОБЪЕКТЫ'!V104</x:f>
      </x:c>
      <x:c r="W66" s="120" t="n">
        <x:f>SUM(W48:W65)+'ОБЪЕКТЫ'!W104</x:f>
      </x:c>
      <x:c r="X66" s="120" t="n">
        <x:f>SUM(X48:X65)+'ОБЪЕКТЫ'!X104</x:f>
      </x:c>
      <x:c r="Y66" s="120" t="n">
        <x:f>SUM(Y48:Y65)+'ОБЪЕКТЫ'!Y104</x:f>
      </x:c>
      <x:c r="Z66" s="120" t="n">
        <x:f>SUM(Z48:Z65)+'ОБЪЕКТЫ'!Z104</x:f>
      </x:c>
      <x:c r="AA66" s="120" t="n">
        <x:f>SUM(AA48:AA65)+'ОБЪЕКТЫ'!AA104</x:f>
      </x:c>
      <x:c r="AB66" s="120" t="n">
        <x:f>SUM(AB48:AB65)+'ОБЪЕКТЫ'!AB104</x:f>
      </x:c>
      <x:c r="AC66" s="120" t="n">
        <x:f>SUM(AC48:AC65)+'ОБЪЕКТЫ'!AC104</x:f>
      </x:c>
      <x:c r="AD66" s="120" t="n">
        <x:f>SUM(AD48:AD65)+'ОБЪЕКТЫ'!AD104</x:f>
      </x:c>
      <x:c r="AE66" s="120" t="n">
        <x:f>SUM(AE48:AE65)+'ОБЪЕКТЫ'!AE104</x:f>
      </x:c>
      <x:c r="AF66" s="120" t="n">
        <x:f>SUM(AF48:AF65)+'ОБЪЕКТЫ'!AF104</x:f>
      </x:c>
      <x:c r="AG66" s="120" t="n">
        <x:f>SUM(AG48:AG65)+'ОБЪЕКТЫ'!AG104</x:f>
      </x:c>
      <x:c r="AH66" s="120" t="n">
        <x:f>SUM(AH48:AH65)+'ОБЪЕКТЫ'!AH104</x:f>
      </x:c>
      <x:c r="AI66" s="120" t="n">
        <x:f>SUM(AI48:AI65)+'ОБЪЕКТЫ'!AI104</x:f>
      </x:c>
      <x:c r="AJ66" s="120" t="n">
        <x:f>SUM(AJ48:AJ65)+'ОБЪЕКТЫ'!AJ104</x:f>
      </x:c>
      <x:c r="AK66" s="120" t="n">
        <x:f>SUM(AK48:AK65)+'ОБЪЕКТЫ'!AK104</x:f>
      </x:c>
      <x:c r="AL66" s="120" t="n">
        <x:f>SUM(AL48:AL65)+'ОБЪЕКТЫ'!AL104</x:f>
      </x:c>
      <x:c r="AM66" s="120" t="n">
        <x:f>SUM(AM48:AM65)+'ОБЪЕКТЫ'!AM104</x:f>
      </x:c>
      <x:c r="AN66" s="120" t="n">
        <x:f>SUM(AN48:AN65)+'ОБЪЕКТЫ'!AN104</x:f>
      </x:c>
      <x:c r="AO66" s="120" t="n">
        <x:f>SUM(AO48:AO65)+'ОБЪЕКТЫ'!AO104</x:f>
      </x:c>
      <x:c r="AP66" s="120" t="n">
        <x:f>SUM(AP48:AP65)+'ОБЪЕКТЫ'!AP104</x:f>
      </x:c>
      <x:c r="AQ66" s="120" t="n">
        <x:f>SUM(AQ48:AQ65)+'ОБЪЕКТЫ'!AQ104</x:f>
      </x:c>
      <x:c r="AR66" s="120" t="n">
        <x:f>SUM(AR48:AR65)+'ОБЪЕКТЫ'!AR104</x:f>
      </x:c>
      <x:c r="AS66" s="120" t="n">
        <x:f>SUM(AS48:AS65)+'ОБЪЕКТЫ'!AS104</x:f>
      </x:c>
      <x:c r="AT66" s="120" t="n">
        <x:f>SUM(AT48:AT65)+'ОБЪЕКТЫ'!AT104</x:f>
      </x:c>
      <x:c r="AU66" s="120" t="n">
        <x:f>SUM(AU48:AU65)+'ОБЪЕКТЫ'!AU104</x:f>
      </x:c>
      <x:c r="AV66" s="120" t="n">
        <x:f>SUM(AV48:AV65)+'ОБЪЕКТЫ'!AV104</x:f>
      </x:c>
      <x:c r="AW66" s="120" t="n">
        <x:f>SUM(AW48:AW65)+'ОБЪЕКТЫ'!AW104</x:f>
      </x:c>
      <x:c r="AX66" s="120" t="n">
        <x:f>SUM(AX48:AX65)+'ОБЪЕКТЫ'!AX104</x:f>
      </x:c>
      <x:c r="AY66" s="120" t="n">
        <x:f>SUM(AY48:AY65)+'ОБЪЕКТЫ'!AY104</x:f>
      </x:c>
      <x:c r="AZ66" s="120" t="n">
        <x:f>SUM(AZ48:AZ65)+'ОБЪЕКТЫ'!AZ104</x:f>
      </x:c>
      <x:c r="BA66" s="120" t="n">
        <x:f>SUM(BA48:BA65)+'ОБЪЕКТЫ'!BA104</x:f>
      </x:c>
      <x:c r="BB66" s="120" t="n">
        <x:f>SUM(BB48:BB65)+'ОБЪЕКТЫ'!BB104</x:f>
      </x:c>
      <x:c r="BC66" s="120" t="n">
        <x:f>SUM(BC48:BC65)+'ОБЪЕКТЫ'!BC104</x:f>
      </x:c>
      <x:c r="BD66" s="120" t="n">
        <x:f>SUM(BD48:BD65)+'ОБЪЕКТЫ'!BD104</x:f>
      </x:c>
      <x:c r="BE66" s="120" t="n">
        <x:f>SUM(BE48:BE65)+'ОБЪЕКТЫ'!BE104</x:f>
      </x:c>
      <x:c r="BF66" s="120" t="n">
        <x:f>SUM(BF48:BF65)+'ОБЪЕКТЫ'!BF104</x:f>
      </x:c>
      <x:c r="BG66" s="120" t="n">
        <x:f>SUM(BG48:BG65)+'ОБЪЕКТЫ'!BG104</x:f>
      </x:c>
      <x:c r="BH66" s="120" t="n">
        <x:f>SUM(BH48:BH65)+'ОБЪЕКТЫ'!BH104</x:f>
      </x:c>
      <x:c r="BI66" s="120" t="n">
        <x:f>SUM(BI48:BI65)+'ОБЪЕКТЫ'!BI104</x:f>
      </x:c>
      <x:c r="BJ66" s="120" t="n">
        <x:f>SUM(BJ48:BJ65)+'ОБЪЕКТЫ'!BJ104</x:f>
      </x:c>
      <x:c r="BK66" s="120" t="n">
        <x:f>SUM(BK48:BK65)+'ОБЪЕКТЫ'!BK104</x:f>
      </x:c>
      <x:c r="BL66" s="120" t="n">
        <x:f>SUM(BL48:BL65)+'ОБЪЕКТЫ'!BL104</x:f>
      </x:c>
      <x:c r="BM66" s="120" t="n">
        <x:f>SUM(BM48:BM65)+'ОБЪЕКТЫ'!BM104</x:f>
      </x:c>
      <x:c r="BN66" s="120" t="n">
        <x:f>SUM(BN48:BN65)+'ОБЪЕКТЫ'!BN104</x:f>
      </x:c>
      <x:c r="BO66" s="120" t="n">
        <x:f>SUM(BO48:BO65)+'ОБЪЕКТЫ'!BO104</x:f>
      </x:c>
      <x:c r="BP66" s="120" t="n">
        <x:f>SUM(BP48:BP65)+'ОБЪЕКТЫ'!BP104</x:f>
      </x:c>
      <x:c r="BQ66" s="120" t="n">
        <x:f>SUM(BQ48:BQ65)+'ОБЪЕКТЫ'!BQ104</x:f>
      </x:c>
      <x:c r="BR66" s="120" t="n">
        <x:f>SUM(BR48:BR65)+'ОБЪЕКТЫ'!BR104</x:f>
      </x:c>
      <x:c r="BS66" s="120" t="n">
        <x:f>SUM(BS48:BS65)+'ОБЪЕКТЫ'!BS104</x:f>
      </x:c>
      <x:c r="BT66" s="120" t="n">
        <x:f>SUM(BT48:BT65)+'ОБЪЕКТЫ'!BT104</x:f>
      </x:c>
      <x:c r="BU66" s="120" t="n">
        <x:f>SUM(BU48:BU65)+'ОБЪЕКТЫ'!BU104</x:f>
      </x:c>
      <x:c r="BV66" s="120" t="n">
        <x:f>SUM(BV48:BV65)+'ОБЪЕКТЫ'!BV104</x:f>
      </x:c>
      <x:c r="BW66" s="120" t="n">
        <x:f>SUM(BW48:BW65)+'ОБЪЕКТЫ'!BW104</x:f>
      </x:c>
      <x:c r="BX66" s="120" t="n">
        <x:f>SUM(BX48:BX65)+'ОБЪЕКТЫ'!BX104</x:f>
      </x:c>
      <x:c r="BY66" s="120" t="n">
        <x:f>SUM(BY48:BY65)+'ОБЪЕКТЫ'!BY104</x:f>
      </x:c>
      <x:c r="BZ66" s="120" t="n">
        <x:f>SUM(BZ48:BZ65)+'ОБЪЕКТЫ'!BZ104</x:f>
      </x:c>
      <x:c r="CA66" s="120" t="n">
        <x:f>SUM(CA48:CA65)+'ОБЪЕКТЫ'!CA104</x:f>
      </x:c>
      <x:c r="CB66" s="120" t="n">
        <x:f>SUM(CB48:CB65)+'ОБЪЕКТЫ'!CB104</x:f>
      </x:c>
      <x:c r="CC66" s="120" t="n">
        <x:f>SUM(CC48:CC65)+'ОБЪЕКТЫ'!CC104</x:f>
      </x:c>
      <x:c r="CD66" s="120" t="n">
        <x:f>SUM(CD48:CD65)+'ОБЪЕКТЫ'!CD104</x:f>
      </x:c>
      <x:c r="CE66" s="120" t="n">
        <x:f>SUM(CE48:CE65)+'ОБЪЕКТЫ'!CE104</x:f>
      </x:c>
      <x:c r="CF66" s="120" t="n">
        <x:f>SUM(CF48:CF65)+'ОБЪЕКТЫ'!CF104</x:f>
      </x:c>
      <x:c r="CG66" s="120" t="n">
        <x:f>SUM(CG48:CG65)+'ОБЪЕКТЫ'!CG104</x:f>
      </x:c>
      <x:c r="CH66" s="120" t="n">
        <x:f>SUM(CH48:CH65)+'ОБЪЕКТЫ'!CH104</x:f>
      </x:c>
      <x:c r="CI66" s="120" t="n">
        <x:f>SUM(CI48:CI65)+'ОБЪЕКТЫ'!CI104</x:f>
      </x:c>
      <x:c r="CJ66" s="120" t="n">
        <x:f>SUM(CJ48:CJ65)+'ОБЪЕКТЫ'!CJ104</x:f>
      </x:c>
      <x:c r="CK66" s="120" t="n">
        <x:f>SUM(CK48:CK65)+'ОБЪЕКТЫ'!CK104</x:f>
      </x:c>
      <x:c r="CL66" s="120" t="n">
        <x:f>SUM(CL48:CL65)+'ОБЪЕКТЫ'!CL104</x:f>
      </x:c>
      <x:c r="CM66" s="120" t="n">
        <x:f>SUM(CM48:CM65)+'ОБЪЕКТЫ'!CM104</x:f>
      </x:c>
      <x:c r="CN66" s="120" t="n">
        <x:f>SUM(CN48:CN65)+'ОБЪЕКТЫ'!CN104</x:f>
      </x:c>
      <x:c r="CO66" s="120" t="n">
        <x:f>SUM(CO48:CO65)+'ОБЪЕКТЫ'!CO104</x:f>
      </x:c>
      <x:c r="CP66" s="120" t="n">
        <x:f>SUM(CP48:CP65)+'ОБЪЕКТЫ'!CP104</x:f>
      </x:c>
      <x:c r="CQ66" s="120" t="n">
        <x:f>SUM(CQ48:CQ65)+'ОБЪЕКТЫ'!CQ104</x:f>
      </x:c>
      <x:c r="CR66" s="120" t="n">
        <x:f>SUM(CR48:CR65)+'ОБЪЕКТЫ'!CR104</x:f>
      </x:c>
      <x:c r="CS66" s="120" t="n">
        <x:f>SUM(CS48:CS65)+'ОБЪЕКТЫ'!CS104</x:f>
      </x:c>
      <x:c r="CT66" s="120" t="n">
        <x:f>SUM(CT48:CT65)+'ОБЪЕКТЫ'!CT104</x:f>
      </x:c>
      <x:c r="CU66" s="120" t="n">
        <x:f>SUM(CU48:CU65)+'ОБЪЕКТЫ'!CU104</x:f>
      </x:c>
      <x:c r="CV66" s="120" t="n">
        <x:f>SUM(CV48:CV65)+'ОБЪЕКТЫ'!CV104</x:f>
      </x:c>
      <x:c r="CW66" s="120" t="n">
        <x:f>SUM(CW48:CW65)+'ОБЪЕКТЫ'!CW104</x:f>
      </x:c>
      <x:c r="CX66" s="120" t="n">
        <x:f>SUM(CX48:CX65)+'ОБЪЕКТЫ'!CX104</x:f>
      </x:c>
      <x:c r="CY66" s="120" t="n">
        <x:f>SUM(CY48:CY65)+'ОБЪЕКТЫ'!CY104</x:f>
      </x:c>
      <x:c r="CZ66" s="120" t="n">
        <x:f>SUM(CZ48:CZ65)+'ОБЪЕКТЫ'!CZ104</x:f>
      </x:c>
      <x:c r="DA66" s="120" t="n">
        <x:f>SUM(DA48:DA65)+'ОБЪЕКТЫ'!DA104</x:f>
      </x:c>
      <x:c r="DB66" s="120" t="n">
        <x:f>SUM(DB48:DB65)+'ОБЪЕКТЫ'!DB104</x:f>
      </x:c>
      <x:c r="DC66" s="120" t="n">
        <x:f>SUM(DC48:DC65)+'ОБЪЕКТЫ'!DC104</x:f>
      </x:c>
      <x:c r="DD66" s="120" t="n">
        <x:f>SUM(DD48:DD65)+'ОБЪЕКТЫ'!DD104</x:f>
      </x:c>
      <x:c r="DE66" s="120" t="n">
        <x:f>SUM(DE48:DE65)+'ОБЪЕКТЫ'!DE104</x:f>
      </x:c>
      <x:c r="DF66" s="120" t="n">
        <x:f>SUM(DF48:DF65)+'ОБЪЕКТЫ'!DF104</x:f>
      </x:c>
      <x:c r="DG66" s="120" t="n">
        <x:f>SUM(DG48:DG65)+'ОБЪЕКТЫ'!DG104</x:f>
      </x:c>
      <x:c r="DH66" s="120" t="n">
        <x:f>SUM(DH48:DH65)+'ОБЪЕКТЫ'!DH104</x:f>
      </x:c>
      <x:c r="DI66" s="120" t="n">
        <x:f>SUM(DI48:DI65)+'ОБЪЕКТЫ'!DI104</x:f>
      </x:c>
      <x:c r="DJ66" s="120" t="n">
        <x:f>SUM(DJ48:DJ65)+'ОБЪЕКТЫ'!DJ104</x:f>
      </x:c>
      <x:c r="DK66" s="120" t="n">
        <x:f>SUM(DK48:DK65)+'ОБЪЕКТЫ'!DK104</x:f>
      </x:c>
      <x:c r="DL66" s="120" t="n">
        <x:f>SUM(DL48:DL65)+'ОБЪЕКТЫ'!DL104</x:f>
      </x:c>
      <x:c r="DM66" s="120" t="n">
        <x:f>SUM(DM48:DM65)+'ОБЪЕКТЫ'!DM104</x:f>
      </x:c>
      <x:c r="DN66" s="120" t="n">
        <x:f>SUM(DN48:DN65)+'ОБЪЕКТЫ'!DN104</x:f>
      </x:c>
      <x:c r="DO66" s="120" t="n">
        <x:f>SUM(DO48:DO65)+'ОБЪЕКТЫ'!DO104</x:f>
      </x:c>
      <x:c r="DP66" s="120" t="n">
        <x:f>SUM(DP48:DP65)+'ОБЪЕКТЫ'!DP104</x:f>
      </x:c>
      <x:c r="DQ66" s="120" t="n">
        <x:f>SUM(DQ48:DQ65)+'ОБЪЕКТЫ'!DQ104</x:f>
      </x:c>
      <x:c r="DR66" s="120" t="n">
        <x:f>SUM(DR48:DR65)+'ОБЪЕКТЫ'!DR104</x:f>
      </x:c>
      <x:c r="DS66" s="120" t="n">
        <x:f>SUM(DS48:DS65)+'ОБЪЕКТЫ'!DS104</x:f>
      </x:c>
    </x:row>
    <x:row r="67">
      <x:c r="A67" t="str">
        <x:v>Маркетинг</x:v>
      </x:c>
      <x:c r="B67" s="107" t="n">
        <x:f>SUM(D67:DS67)</x:f>
      </x:c>
      <x:c r="C67" t="str">
        <x:v>млн ₽</x:v>
      </x:c>
      <x:c r="D67" s="117" t="n">
        <x:f>'Продажи'!D49*'Вводные'!$B$19+'ОБЪЕКТЫ'!D105</x:f>
      </x:c>
      <x:c r="E67" s="117" t="n">
        <x:f>'Продажи'!E49*'Вводные'!$B$19+'ОБЪЕКТЫ'!E105</x:f>
      </x:c>
      <x:c r="F67" s="117" t="n">
        <x:f>'Продажи'!F49*'Вводные'!$B$19+'ОБЪЕКТЫ'!F105</x:f>
      </x:c>
      <x:c r="G67" s="117" t="n">
        <x:f>'Продажи'!G49*'Вводные'!$B$19+'ОБЪЕКТЫ'!G105</x:f>
      </x:c>
      <x:c r="H67" s="117" t="n">
        <x:f>'Продажи'!H49*'Вводные'!$B$19+'ОБЪЕКТЫ'!H105</x:f>
      </x:c>
      <x:c r="I67" s="117" t="n">
        <x:f>'Продажи'!I49*'Вводные'!$B$19+'ОБЪЕКТЫ'!I105</x:f>
      </x:c>
      <x:c r="J67" s="117" t="n">
        <x:f>'Продажи'!J49*'Вводные'!$B$19+'ОБЪЕКТЫ'!J105</x:f>
      </x:c>
      <x:c r="K67" s="117" t="n">
        <x:f>'Продажи'!K49*'Вводные'!$B$19+'ОБЪЕКТЫ'!K105</x:f>
      </x:c>
      <x:c r="L67" s="117" t="n">
        <x:f>'Продажи'!L49*'Вводные'!$B$19+'ОБЪЕКТЫ'!L105</x:f>
      </x:c>
      <x:c r="M67" s="117" t="n">
        <x:f>'Продажи'!M49*'Вводные'!$B$19+'ОБЪЕКТЫ'!M105</x:f>
      </x:c>
      <x:c r="N67" s="117" t="n">
        <x:f>'Продажи'!N49*'Вводные'!$B$19+'ОБЪЕКТЫ'!N105</x:f>
      </x:c>
      <x:c r="O67" s="117" t="n">
        <x:f>'Продажи'!O49*'Вводные'!$B$19+'ОБЪЕКТЫ'!O105</x:f>
      </x:c>
      <x:c r="P67" s="117" t="n">
        <x:f>'Продажи'!P49*'Вводные'!$B$19+'ОБЪЕКТЫ'!P105</x:f>
      </x:c>
      <x:c r="Q67" s="117" t="n">
        <x:f>'Продажи'!Q49*'Вводные'!$B$19+'ОБЪЕКТЫ'!Q105</x:f>
      </x:c>
      <x:c r="R67" s="117" t="n">
        <x:f>'Продажи'!R49*'Вводные'!$B$19+'ОБЪЕКТЫ'!R105</x:f>
      </x:c>
      <x:c r="S67" s="117" t="n">
        <x:f>'Продажи'!S49*'Вводные'!$B$19+'ОБЪЕКТЫ'!S105</x:f>
      </x:c>
      <x:c r="T67" s="117" t="n">
        <x:f>'Продажи'!T49*'Вводные'!$B$19+'ОБЪЕКТЫ'!T105</x:f>
      </x:c>
      <x:c r="U67" s="117" t="n">
        <x:f>'Продажи'!U49*'Вводные'!$B$19+'ОБЪЕКТЫ'!U105</x:f>
      </x:c>
      <x:c r="V67" s="117" t="n">
        <x:f>'Продажи'!V49*'Вводные'!$B$19+'ОБЪЕКТЫ'!V105</x:f>
      </x:c>
      <x:c r="W67" s="117" t="n">
        <x:f>'Продажи'!W49*'Вводные'!$B$19+'ОБЪЕКТЫ'!W105</x:f>
      </x:c>
      <x:c r="X67" s="117" t="n">
        <x:f>'Продажи'!X49*'Вводные'!$B$19+'ОБЪЕКТЫ'!X105</x:f>
      </x:c>
      <x:c r="Y67" s="117" t="n">
        <x:f>'Продажи'!Y49*'Вводные'!$B$19+'ОБЪЕКТЫ'!Y105</x:f>
      </x:c>
      <x:c r="Z67" s="117" t="n">
        <x:f>'Продажи'!Z49*'Вводные'!$B$19+'ОБЪЕКТЫ'!Z105</x:f>
      </x:c>
      <x:c r="AA67" s="117" t="n">
        <x:f>'Продажи'!AA49*'Вводные'!$B$19+'ОБЪЕКТЫ'!AA105</x:f>
      </x:c>
      <x:c r="AB67" s="117" t="n">
        <x:f>'Продажи'!AB49*'Вводные'!$B$19+'ОБЪЕКТЫ'!AB105</x:f>
      </x:c>
      <x:c r="AC67" s="117" t="n">
        <x:f>'Продажи'!AC49*'Вводные'!$B$19+'ОБЪЕКТЫ'!AC105</x:f>
      </x:c>
      <x:c r="AD67" s="117" t="n">
        <x:f>'Продажи'!AD49*'Вводные'!$B$19+'ОБЪЕКТЫ'!AD105</x:f>
      </x:c>
      <x:c r="AE67" s="117" t="n">
        <x:f>'Продажи'!AE49*'Вводные'!$B$19+'ОБЪЕКТЫ'!AE105</x:f>
      </x:c>
      <x:c r="AF67" s="117" t="n">
        <x:f>'Продажи'!AF49*'Вводные'!$B$19+'ОБЪЕКТЫ'!AF105</x:f>
      </x:c>
      <x:c r="AG67" s="117" t="n">
        <x:f>'Продажи'!AG49*'Вводные'!$B$19+'ОБЪЕКТЫ'!AG105</x:f>
      </x:c>
      <x:c r="AH67" s="117" t="n">
        <x:f>'Продажи'!AH49*'Вводные'!$B$19+'ОБЪЕКТЫ'!AH105</x:f>
      </x:c>
      <x:c r="AI67" s="117" t="n">
        <x:f>'Продажи'!AI49*'Вводные'!$B$19+'ОБЪЕКТЫ'!AI105</x:f>
      </x:c>
      <x:c r="AJ67" s="117" t="n">
        <x:f>'Продажи'!AJ49*'Вводные'!$B$19+'ОБЪЕКТЫ'!AJ105</x:f>
      </x:c>
      <x:c r="AK67" s="117" t="n">
        <x:f>'Продажи'!AK49*'Вводные'!$B$19+'ОБЪЕКТЫ'!AK105</x:f>
      </x:c>
      <x:c r="AL67" s="117" t="n">
        <x:f>'Продажи'!AL49*'Вводные'!$B$19+'ОБЪЕКТЫ'!AL105</x:f>
      </x:c>
      <x:c r="AM67" s="117" t="n">
        <x:f>'Продажи'!AM49*'Вводные'!$B$19+'ОБЪЕКТЫ'!AM105</x:f>
      </x:c>
      <x:c r="AN67" s="117" t="n">
        <x:f>'Продажи'!AN49*'Вводные'!$B$19+'ОБЪЕКТЫ'!AN105</x:f>
      </x:c>
      <x:c r="AO67" s="117" t="n">
        <x:f>'Продажи'!AO49*'Вводные'!$B$19+'ОБЪЕКТЫ'!AO105</x:f>
      </x:c>
      <x:c r="AP67" s="117" t="n">
        <x:f>'Продажи'!AP49*'Вводные'!$B$19+'ОБЪЕКТЫ'!AP105</x:f>
      </x:c>
      <x:c r="AQ67" s="117" t="n">
        <x:f>'Продажи'!AQ49*'Вводные'!$B$19+'ОБЪЕКТЫ'!AQ105</x:f>
      </x:c>
      <x:c r="AR67" s="117" t="n">
        <x:f>'Продажи'!AR49*'Вводные'!$B$19+'ОБЪЕКТЫ'!AR105</x:f>
      </x:c>
      <x:c r="AS67" s="117" t="n">
        <x:f>'Продажи'!AS49*'Вводные'!$B$19+'ОБЪЕКТЫ'!AS105</x:f>
      </x:c>
      <x:c r="AT67" s="117" t="n">
        <x:f>'Продажи'!AT49*'Вводные'!$B$19+'ОБЪЕКТЫ'!AT105</x:f>
      </x:c>
      <x:c r="AU67" s="117" t="n">
        <x:f>'Продажи'!AU49*'Вводные'!$B$19+'ОБЪЕКТЫ'!AU105</x:f>
      </x:c>
      <x:c r="AV67" s="117" t="n">
        <x:f>'Продажи'!AV49*'Вводные'!$B$19+'ОБЪЕКТЫ'!AV105</x:f>
      </x:c>
      <x:c r="AW67" s="117" t="n">
        <x:f>'Продажи'!AW49*'Вводные'!$B$19+'ОБЪЕКТЫ'!AW105</x:f>
      </x:c>
      <x:c r="AX67" s="117" t="n">
        <x:f>'Продажи'!AX49*'Вводные'!$B$19+'ОБЪЕКТЫ'!AX105</x:f>
      </x:c>
      <x:c r="AY67" s="117" t="n">
        <x:f>'Продажи'!AY49*'Вводные'!$B$19+'ОБЪЕКТЫ'!AY105</x:f>
      </x:c>
      <x:c r="AZ67" s="117" t="n">
        <x:f>'Продажи'!AZ49*'Вводные'!$B$19+'ОБЪЕКТЫ'!AZ105</x:f>
      </x:c>
      <x:c r="BA67" s="117" t="n">
        <x:f>'Продажи'!BA49*'Вводные'!$B$19+'ОБЪЕКТЫ'!BA105</x:f>
      </x:c>
      <x:c r="BB67" s="117" t="n">
        <x:f>'Продажи'!BB49*'Вводные'!$B$19+'ОБЪЕКТЫ'!BB105</x:f>
      </x:c>
      <x:c r="BC67" s="117" t="n">
        <x:f>'Продажи'!BC49*'Вводные'!$B$19+'ОБЪЕКТЫ'!BC105</x:f>
      </x:c>
      <x:c r="BD67" s="117" t="n">
        <x:f>'Продажи'!BD49*'Вводные'!$B$19+'ОБЪЕКТЫ'!BD105</x:f>
      </x:c>
      <x:c r="BE67" s="117" t="n">
        <x:f>'Продажи'!BE49*'Вводные'!$B$19+'ОБЪЕКТЫ'!BE105</x:f>
      </x:c>
      <x:c r="BF67" s="117" t="n">
        <x:f>'Продажи'!BF49*'Вводные'!$B$19+'ОБЪЕКТЫ'!BF105</x:f>
      </x:c>
      <x:c r="BG67" s="117" t="n">
        <x:f>'Продажи'!BG49*'Вводные'!$B$19+'ОБЪЕКТЫ'!BG105</x:f>
      </x:c>
      <x:c r="BH67" s="117" t="n">
        <x:f>'Продажи'!BH49*'Вводные'!$B$19+'ОБЪЕКТЫ'!BH105</x:f>
      </x:c>
      <x:c r="BI67" s="117" t="n">
        <x:f>'Продажи'!BI49*'Вводные'!$B$19+'ОБЪЕКТЫ'!BI105</x:f>
      </x:c>
      <x:c r="BJ67" s="117" t="n">
        <x:f>'Продажи'!BJ49*'Вводные'!$B$19+'ОБЪЕКТЫ'!BJ105</x:f>
      </x:c>
      <x:c r="BK67" s="117" t="n">
        <x:f>'Продажи'!BK49*'Вводные'!$B$19+'ОБЪЕКТЫ'!BK105</x:f>
      </x:c>
      <x:c r="BL67" s="117" t="n">
        <x:f>'Продажи'!BL49*'Вводные'!$B$19+'ОБЪЕКТЫ'!BL105</x:f>
      </x:c>
      <x:c r="BM67" s="117" t="n">
        <x:f>'Продажи'!BM49*'Вводные'!$B$19+'ОБЪЕКТЫ'!BM105</x:f>
      </x:c>
      <x:c r="BN67" s="117" t="n">
        <x:f>'Продажи'!BN49*'Вводные'!$B$19+'ОБЪЕКТЫ'!BN105</x:f>
      </x:c>
      <x:c r="BO67" s="117" t="n">
        <x:f>'Продажи'!BO49*'Вводные'!$B$19+'ОБЪЕКТЫ'!BO105</x:f>
      </x:c>
      <x:c r="BP67" s="117" t="n">
        <x:f>'Продажи'!BP49*'Вводные'!$B$19+'ОБЪЕКТЫ'!BP105</x:f>
      </x:c>
      <x:c r="BQ67" s="117" t="n">
        <x:f>'Продажи'!BQ49*'Вводные'!$B$19+'ОБЪЕКТЫ'!BQ105</x:f>
      </x:c>
      <x:c r="BR67" s="117" t="n">
        <x:f>'Продажи'!BR49*'Вводные'!$B$19+'ОБЪЕКТЫ'!BR105</x:f>
      </x:c>
      <x:c r="BS67" s="117" t="n">
        <x:f>'Продажи'!BS49*'Вводные'!$B$19+'ОБЪЕКТЫ'!BS105</x:f>
      </x:c>
      <x:c r="BT67" s="117" t="n">
        <x:f>'Продажи'!BT49*'Вводные'!$B$19+'ОБЪЕКТЫ'!BT105</x:f>
      </x:c>
      <x:c r="BU67" s="117" t="n">
        <x:f>'Продажи'!BU49*'Вводные'!$B$19+'ОБЪЕКТЫ'!BU105</x:f>
      </x:c>
      <x:c r="BV67" s="117" t="n">
        <x:f>'Продажи'!BV49*'Вводные'!$B$19+'ОБЪЕКТЫ'!BV105</x:f>
      </x:c>
      <x:c r="BW67" s="117" t="n">
        <x:f>'Продажи'!BW49*'Вводные'!$B$19+'ОБЪЕКТЫ'!BW105</x:f>
      </x:c>
      <x:c r="BX67" s="117" t="n">
        <x:f>'Продажи'!BX49*'Вводные'!$B$19+'ОБЪЕКТЫ'!BX105</x:f>
      </x:c>
      <x:c r="BY67" s="117" t="n">
        <x:f>'Продажи'!BY49*'Вводные'!$B$19+'ОБЪЕКТЫ'!BY105</x:f>
      </x:c>
      <x:c r="BZ67" s="117" t="n">
        <x:f>'Продажи'!BZ49*'Вводные'!$B$19+'ОБЪЕКТЫ'!BZ105</x:f>
      </x:c>
      <x:c r="CA67" s="117" t="n">
        <x:f>'Продажи'!CA49*'Вводные'!$B$19+'ОБЪЕКТЫ'!CA105</x:f>
      </x:c>
      <x:c r="CB67" s="117" t="n">
        <x:f>'Продажи'!CB49*'Вводные'!$B$19+'ОБЪЕКТЫ'!CB105</x:f>
      </x:c>
      <x:c r="CC67" s="117" t="n">
        <x:f>'Продажи'!CC49*'Вводные'!$B$19+'ОБЪЕКТЫ'!CC105</x:f>
      </x:c>
      <x:c r="CD67" s="117" t="n">
        <x:f>'Продажи'!CD49*'Вводные'!$B$19+'ОБЪЕКТЫ'!CD105</x:f>
      </x:c>
      <x:c r="CE67" s="117" t="n">
        <x:f>'Продажи'!CE49*'Вводные'!$B$19+'ОБЪЕКТЫ'!CE105</x:f>
      </x:c>
      <x:c r="CF67" s="117" t="n">
        <x:f>'Продажи'!CF49*'Вводные'!$B$19+'ОБЪЕКТЫ'!CF105</x:f>
      </x:c>
      <x:c r="CG67" s="117" t="n">
        <x:f>'Продажи'!CG49*'Вводные'!$B$19+'ОБЪЕКТЫ'!CG105</x:f>
      </x:c>
      <x:c r="CH67" s="117" t="n">
        <x:f>'Продажи'!CH49*'Вводные'!$B$19+'ОБЪЕКТЫ'!CH105</x:f>
      </x:c>
      <x:c r="CI67" s="117" t="n">
        <x:f>'Продажи'!CI49*'Вводные'!$B$19+'ОБЪЕКТЫ'!CI105</x:f>
      </x:c>
      <x:c r="CJ67" s="117" t="n">
        <x:f>'Продажи'!CJ49*'Вводные'!$B$19+'ОБЪЕКТЫ'!CJ105</x:f>
      </x:c>
      <x:c r="CK67" s="117" t="n">
        <x:f>'Продажи'!CK49*'Вводные'!$B$19+'ОБЪЕКТЫ'!CK105</x:f>
      </x:c>
      <x:c r="CL67" s="117" t="n">
        <x:f>'Продажи'!CL49*'Вводные'!$B$19+'ОБЪЕКТЫ'!CL105</x:f>
      </x:c>
      <x:c r="CM67" s="117" t="n">
        <x:f>'Продажи'!CM49*'Вводные'!$B$19+'ОБЪЕКТЫ'!CM105</x:f>
      </x:c>
      <x:c r="CN67" s="117" t="n">
        <x:f>'Продажи'!CN49*'Вводные'!$B$19+'ОБЪЕКТЫ'!CN105</x:f>
      </x:c>
      <x:c r="CO67" s="117" t="n">
        <x:f>'Продажи'!CO49*'Вводные'!$B$19+'ОБЪЕКТЫ'!CO105</x:f>
      </x:c>
      <x:c r="CP67" s="117" t="n">
        <x:f>'Продажи'!CP49*'Вводные'!$B$19+'ОБЪЕКТЫ'!CP105</x:f>
      </x:c>
      <x:c r="CQ67" s="117" t="n">
        <x:f>'Продажи'!CQ49*'Вводные'!$B$19+'ОБЪЕКТЫ'!CQ105</x:f>
      </x:c>
      <x:c r="CR67" s="117" t="n">
        <x:f>'Продажи'!CR49*'Вводные'!$B$19+'ОБЪЕКТЫ'!CR105</x:f>
      </x:c>
      <x:c r="CS67" s="117" t="n">
        <x:f>'Продажи'!CS49*'Вводные'!$B$19+'ОБЪЕКТЫ'!CS105</x:f>
      </x:c>
      <x:c r="CT67" s="117" t="n">
        <x:f>'Продажи'!CT49*'Вводные'!$B$19+'ОБЪЕКТЫ'!CT105</x:f>
      </x:c>
      <x:c r="CU67" s="117" t="n">
        <x:f>'Продажи'!CU49*'Вводные'!$B$19+'ОБЪЕКТЫ'!CU105</x:f>
      </x:c>
      <x:c r="CV67" s="117" t="n">
        <x:f>'Продажи'!CV49*'Вводные'!$B$19+'ОБЪЕКТЫ'!CV105</x:f>
      </x:c>
      <x:c r="CW67" s="117" t="n">
        <x:f>'Продажи'!CW49*'Вводные'!$B$19+'ОБЪЕКТЫ'!CW105</x:f>
      </x:c>
      <x:c r="CX67" s="117" t="n">
        <x:f>'Продажи'!CX49*'Вводные'!$B$19+'ОБЪЕКТЫ'!CX105</x:f>
      </x:c>
      <x:c r="CY67" s="117" t="n">
        <x:f>'Продажи'!CY49*'Вводные'!$B$19+'ОБЪЕКТЫ'!CY105</x:f>
      </x:c>
      <x:c r="CZ67" s="117" t="n">
        <x:f>'Продажи'!CZ49*'Вводные'!$B$19+'ОБЪЕКТЫ'!CZ105</x:f>
      </x:c>
      <x:c r="DA67" s="117" t="n">
        <x:f>'Продажи'!DA49*'Вводные'!$B$19+'ОБЪЕКТЫ'!DA105</x:f>
      </x:c>
      <x:c r="DB67" s="117" t="n">
        <x:f>'Продажи'!DB49*'Вводные'!$B$19+'ОБЪЕКТЫ'!DB105</x:f>
      </x:c>
      <x:c r="DC67" s="117" t="n">
        <x:f>'Продажи'!DC49*'Вводные'!$B$19+'ОБЪЕКТЫ'!DC105</x:f>
      </x:c>
      <x:c r="DD67" s="117" t="n">
        <x:f>'Продажи'!DD49*'Вводные'!$B$19+'ОБЪЕКТЫ'!DD105</x:f>
      </x:c>
      <x:c r="DE67" s="117" t="n">
        <x:f>'Продажи'!DE49*'Вводные'!$B$19+'ОБЪЕКТЫ'!DE105</x:f>
      </x:c>
      <x:c r="DF67" s="117" t="n">
        <x:f>'Продажи'!DF49*'Вводные'!$B$19+'ОБЪЕКТЫ'!DF105</x:f>
      </x:c>
      <x:c r="DG67" s="117" t="n">
        <x:f>'Продажи'!DG49*'Вводные'!$B$19+'ОБЪЕКТЫ'!DG105</x:f>
      </x:c>
      <x:c r="DH67" s="117" t="n">
        <x:f>'Продажи'!DH49*'Вводные'!$B$19+'ОБЪЕКТЫ'!DH105</x:f>
      </x:c>
      <x:c r="DI67" s="117" t="n">
        <x:f>'Продажи'!DI49*'Вводные'!$B$19+'ОБЪЕКТЫ'!DI105</x:f>
      </x:c>
      <x:c r="DJ67" s="117" t="n">
        <x:f>'Продажи'!DJ49*'Вводные'!$B$19+'ОБЪЕКТЫ'!DJ105</x:f>
      </x:c>
      <x:c r="DK67" s="117" t="n">
        <x:f>'Продажи'!DK49*'Вводные'!$B$19+'ОБЪЕКТЫ'!DK105</x:f>
      </x:c>
      <x:c r="DL67" s="117" t="n">
        <x:f>'Продажи'!DL49*'Вводные'!$B$19+'ОБЪЕКТЫ'!DL105</x:f>
      </x:c>
      <x:c r="DM67" s="117" t="n">
        <x:f>'Продажи'!DM49*'Вводные'!$B$19+'ОБЪЕКТЫ'!DM105</x:f>
      </x:c>
      <x:c r="DN67" s="117" t="n">
        <x:f>'Продажи'!DN49*'Вводные'!$B$19+'ОБЪЕКТЫ'!DN105</x:f>
      </x:c>
      <x:c r="DO67" s="117" t="n">
        <x:f>'Продажи'!DO49*'Вводные'!$B$19+'ОБЪЕКТЫ'!DO105</x:f>
      </x:c>
      <x:c r="DP67" s="117" t="n">
        <x:f>'Продажи'!DP49*'Вводные'!$B$19+'ОБЪЕКТЫ'!DP105</x:f>
      </x:c>
      <x:c r="DQ67" s="117" t="n">
        <x:f>'Продажи'!DQ49*'Вводные'!$B$19+'ОБЪЕКТЫ'!DQ105</x:f>
      </x:c>
      <x:c r="DR67" s="117" t="n">
        <x:f>'Продажи'!DR49*'Вводные'!$B$19+'ОБЪЕКТЫ'!DR105</x:f>
      </x:c>
      <x:c r="DS67" s="117" t="n">
        <x:f>'Продажи'!DS49*'Вводные'!$B$19+'ОБЪЕКТЫ'!DS105</x:f>
      </x:c>
    </x:row>
    <x:row r="68">
      <x:c r="A68" t="str">
        <x:v>Расходы на продажи</x:v>
      </x:c>
      <x:c r="B68" s="107" t="n">
        <x:f>SUM(D68:DS68)</x:f>
      </x:c>
      <x:c r="C68" t="str">
        <x:v>млн ₽</x:v>
      </x:c>
      <x:c r="D68" s="117" t="n">
        <x:f>'Продажи'!D49*'Вводные'!$B$20+'ОБЪЕКТЫ'!D106</x:f>
      </x:c>
      <x:c r="E68" s="117" t="n">
        <x:f>'Продажи'!E49*'Вводные'!$B$20+'ОБЪЕКТЫ'!E106</x:f>
      </x:c>
      <x:c r="F68" s="117" t="n">
        <x:f>'Продажи'!F49*'Вводные'!$B$20+'ОБЪЕКТЫ'!F106</x:f>
      </x:c>
      <x:c r="G68" s="117" t="n">
        <x:f>'Продажи'!G49*'Вводные'!$B$20+'ОБЪЕКТЫ'!G106</x:f>
      </x:c>
      <x:c r="H68" s="117" t="n">
        <x:f>'Продажи'!H49*'Вводные'!$B$20+'ОБЪЕКТЫ'!H106</x:f>
      </x:c>
      <x:c r="I68" s="117" t="n">
        <x:f>'Продажи'!I49*'Вводные'!$B$20+'ОБЪЕКТЫ'!I106</x:f>
      </x:c>
      <x:c r="J68" s="117" t="n">
        <x:f>'Продажи'!J49*'Вводные'!$B$20+'ОБЪЕКТЫ'!J106</x:f>
      </x:c>
      <x:c r="K68" s="117" t="n">
        <x:f>'Продажи'!K49*'Вводные'!$B$20+'ОБЪЕКТЫ'!K106</x:f>
      </x:c>
      <x:c r="L68" s="117" t="n">
        <x:f>'Продажи'!L49*'Вводные'!$B$20+'ОБЪЕКТЫ'!L106</x:f>
      </x:c>
      <x:c r="M68" s="117" t="n">
        <x:f>'Продажи'!M49*'Вводные'!$B$20+'ОБЪЕКТЫ'!M106</x:f>
      </x:c>
      <x:c r="N68" s="117" t="n">
        <x:f>'Продажи'!N49*'Вводные'!$B$20+'ОБЪЕКТЫ'!N106</x:f>
      </x:c>
      <x:c r="O68" s="117" t="n">
        <x:f>'Продажи'!O49*'Вводные'!$B$20+'ОБЪЕКТЫ'!O106</x:f>
      </x:c>
      <x:c r="P68" s="117" t="n">
        <x:f>'Продажи'!P49*'Вводные'!$B$20+'ОБЪЕКТЫ'!P106</x:f>
      </x:c>
      <x:c r="Q68" s="117" t="n">
        <x:f>'Продажи'!Q49*'Вводные'!$B$20+'ОБЪЕКТЫ'!Q106</x:f>
      </x:c>
      <x:c r="R68" s="117" t="n">
        <x:f>'Продажи'!R49*'Вводные'!$B$20+'ОБЪЕКТЫ'!R106</x:f>
      </x:c>
      <x:c r="S68" s="117" t="n">
        <x:f>'Продажи'!S49*'Вводные'!$B$20+'ОБЪЕКТЫ'!S106</x:f>
      </x:c>
      <x:c r="T68" s="117" t="n">
        <x:f>'Продажи'!T49*'Вводные'!$B$20+'ОБЪЕКТЫ'!T106</x:f>
      </x:c>
      <x:c r="U68" s="117" t="n">
        <x:f>'Продажи'!U49*'Вводные'!$B$20+'ОБЪЕКТЫ'!U106</x:f>
      </x:c>
      <x:c r="V68" s="117" t="n">
        <x:f>'Продажи'!V49*'Вводные'!$B$20+'ОБЪЕКТЫ'!V106</x:f>
      </x:c>
      <x:c r="W68" s="117" t="n">
        <x:f>'Продажи'!W49*'Вводные'!$B$20+'ОБЪЕКТЫ'!W106</x:f>
      </x:c>
      <x:c r="X68" s="117" t="n">
        <x:f>'Продажи'!X49*'Вводные'!$B$20+'ОБЪЕКТЫ'!X106</x:f>
      </x:c>
      <x:c r="Y68" s="117" t="n">
        <x:f>'Продажи'!Y49*'Вводные'!$B$20+'ОБЪЕКТЫ'!Y106</x:f>
      </x:c>
      <x:c r="Z68" s="117" t="n">
        <x:f>'Продажи'!Z49*'Вводные'!$B$20+'ОБЪЕКТЫ'!Z106</x:f>
      </x:c>
      <x:c r="AA68" s="117" t="n">
        <x:f>'Продажи'!AA49*'Вводные'!$B$20+'ОБЪЕКТЫ'!AA106</x:f>
      </x:c>
      <x:c r="AB68" s="117" t="n">
        <x:f>'Продажи'!AB49*'Вводные'!$B$20+'ОБЪЕКТЫ'!AB106</x:f>
      </x:c>
      <x:c r="AC68" s="117" t="n">
        <x:f>'Продажи'!AC49*'Вводные'!$B$20+'ОБЪЕКТЫ'!AC106</x:f>
      </x:c>
      <x:c r="AD68" s="117" t="n">
        <x:f>'Продажи'!AD49*'Вводные'!$B$20+'ОБЪЕКТЫ'!AD106</x:f>
      </x:c>
      <x:c r="AE68" s="117" t="n">
        <x:f>'Продажи'!AE49*'Вводные'!$B$20+'ОБЪЕКТЫ'!AE106</x:f>
      </x:c>
      <x:c r="AF68" s="117" t="n">
        <x:f>'Продажи'!AF49*'Вводные'!$B$20+'ОБЪЕКТЫ'!AF106</x:f>
      </x:c>
      <x:c r="AG68" s="117" t="n">
        <x:f>'Продажи'!AG49*'Вводные'!$B$20+'ОБЪЕКТЫ'!AG106</x:f>
      </x:c>
      <x:c r="AH68" s="117" t="n">
        <x:f>'Продажи'!AH49*'Вводные'!$B$20+'ОБЪЕКТЫ'!AH106</x:f>
      </x:c>
      <x:c r="AI68" s="117" t="n">
        <x:f>'Продажи'!AI49*'Вводные'!$B$20+'ОБЪЕКТЫ'!AI106</x:f>
      </x:c>
      <x:c r="AJ68" s="117" t="n">
        <x:f>'Продажи'!AJ49*'Вводные'!$B$20+'ОБЪЕКТЫ'!AJ106</x:f>
      </x:c>
      <x:c r="AK68" s="117" t="n">
        <x:f>'Продажи'!AK49*'Вводные'!$B$20+'ОБЪЕКТЫ'!AK106</x:f>
      </x:c>
      <x:c r="AL68" s="117" t="n">
        <x:f>'Продажи'!AL49*'Вводные'!$B$20+'ОБЪЕКТЫ'!AL106</x:f>
      </x:c>
      <x:c r="AM68" s="117" t="n">
        <x:f>'Продажи'!AM49*'Вводные'!$B$20+'ОБЪЕКТЫ'!AM106</x:f>
      </x:c>
      <x:c r="AN68" s="117" t="n">
        <x:f>'Продажи'!AN49*'Вводные'!$B$20+'ОБЪЕКТЫ'!AN106</x:f>
      </x:c>
      <x:c r="AO68" s="117" t="n">
        <x:f>'Продажи'!AO49*'Вводные'!$B$20+'ОБЪЕКТЫ'!AO106</x:f>
      </x:c>
      <x:c r="AP68" s="117" t="n">
        <x:f>'Продажи'!AP49*'Вводные'!$B$20+'ОБЪЕКТЫ'!AP106</x:f>
      </x:c>
      <x:c r="AQ68" s="117" t="n">
        <x:f>'Продажи'!AQ49*'Вводные'!$B$20+'ОБЪЕКТЫ'!AQ106</x:f>
      </x:c>
      <x:c r="AR68" s="117" t="n">
        <x:f>'Продажи'!AR49*'Вводные'!$B$20+'ОБЪЕКТЫ'!AR106</x:f>
      </x:c>
      <x:c r="AS68" s="117" t="n">
        <x:f>'Продажи'!AS49*'Вводные'!$B$20+'ОБЪЕКТЫ'!AS106</x:f>
      </x:c>
      <x:c r="AT68" s="117" t="n">
        <x:f>'Продажи'!AT49*'Вводные'!$B$20+'ОБЪЕКТЫ'!AT106</x:f>
      </x:c>
      <x:c r="AU68" s="117" t="n">
        <x:f>'Продажи'!AU49*'Вводные'!$B$20+'ОБЪЕКТЫ'!AU106</x:f>
      </x:c>
      <x:c r="AV68" s="117" t="n">
        <x:f>'Продажи'!AV49*'Вводные'!$B$20+'ОБЪЕКТЫ'!AV106</x:f>
      </x:c>
      <x:c r="AW68" s="117" t="n">
        <x:f>'Продажи'!AW49*'Вводные'!$B$20+'ОБЪЕКТЫ'!AW106</x:f>
      </x:c>
      <x:c r="AX68" s="117" t="n">
        <x:f>'Продажи'!AX49*'Вводные'!$B$20+'ОБЪЕКТЫ'!AX106</x:f>
      </x:c>
      <x:c r="AY68" s="117" t="n">
        <x:f>'Продажи'!AY49*'Вводные'!$B$20+'ОБЪЕКТЫ'!AY106</x:f>
      </x:c>
      <x:c r="AZ68" s="117" t="n">
        <x:f>'Продажи'!AZ49*'Вводные'!$B$20+'ОБЪЕКТЫ'!AZ106</x:f>
      </x:c>
      <x:c r="BA68" s="117" t="n">
        <x:f>'Продажи'!BA49*'Вводные'!$B$20+'ОБЪЕКТЫ'!BA106</x:f>
      </x:c>
      <x:c r="BB68" s="117" t="n">
        <x:f>'Продажи'!BB49*'Вводные'!$B$20+'ОБЪЕКТЫ'!BB106</x:f>
      </x:c>
      <x:c r="BC68" s="117" t="n">
        <x:f>'Продажи'!BC49*'Вводные'!$B$20+'ОБЪЕКТЫ'!BC106</x:f>
      </x:c>
      <x:c r="BD68" s="117" t="n">
        <x:f>'Продажи'!BD49*'Вводные'!$B$20+'ОБЪЕКТЫ'!BD106</x:f>
      </x:c>
      <x:c r="BE68" s="117" t="n">
        <x:f>'Продажи'!BE49*'Вводные'!$B$20+'ОБЪЕКТЫ'!BE106</x:f>
      </x:c>
      <x:c r="BF68" s="117" t="n">
        <x:f>'Продажи'!BF49*'Вводные'!$B$20+'ОБЪЕКТЫ'!BF106</x:f>
      </x:c>
      <x:c r="BG68" s="117" t="n">
        <x:f>'Продажи'!BG49*'Вводные'!$B$20+'ОБЪЕКТЫ'!BG106</x:f>
      </x:c>
      <x:c r="BH68" s="117" t="n">
        <x:f>'Продажи'!BH49*'Вводные'!$B$20+'ОБЪЕКТЫ'!BH106</x:f>
      </x:c>
      <x:c r="BI68" s="117" t="n">
        <x:f>'Продажи'!BI49*'Вводные'!$B$20+'ОБЪЕКТЫ'!BI106</x:f>
      </x:c>
      <x:c r="BJ68" s="117" t="n">
        <x:f>'Продажи'!BJ49*'Вводные'!$B$20+'ОБЪЕКТЫ'!BJ106</x:f>
      </x:c>
      <x:c r="BK68" s="117" t="n">
        <x:f>'Продажи'!BK49*'Вводные'!$B$20+'ОБЪЕКТЫ'!BK106</x:f>
      </x:c>
      <x:c r="BL68" s="117" t="n">
        <x:f>'Продажи'!BL49*'Вводные'!$B$20+'ОБЪЕКТЫ'!BL106</x:f>
      </x:c>
      <x:c r="BM68" s="117" t="n">
        <x:f>'Продажи'!BM49*'Вводные'!$B$20+'ОБЪЕКТЫ'!BM106</x:f>
      </x:c>
      <x:c r="BN68" s="117" t="n">
        <x:f>'Продажи'!BN49*'Вводные'!$B$20+'ОБЪЕКТЫ'!BN106</x:f>
      </x:c>
      <x:c r="BO68" s="117" t="n">
        <x:f>'Продажи'!BO49*'Вводные'!$B$20+'ОБЪЕКТЫ'!BO106</x:f>
      </x:c>
      <x:c r="BP68" s="117" t="n">
        <x:f>'Продажи'!BP49*'Вводные'!$B$20+'ОБЪЕКТЫ'!BP106</x:f>
      </x:c>
      <x:c r="BQ68" s="117" t="n">
        <x:f>'Продажи'!BQ49*'Вводные'!$B$20+'ОБЪЕКТЫ'!BQ106</x:f>
      </x:c>
      <x:c r="BR68" s="117" t="n">
        <x:f>'Продажи'!BR49*'Вводные'!$B$20+'ОБЪЕКТЫ'!BR106</x:f>
      </x:c>
      <x:c r="BS68" s="117" t="n">
        <x:f>'Продажи'!BS49*'Вводные'!$B$20+'ОБЪЕКТЫ'!BS106</x:f>
      </x:c>
      <x:c r="BT68" s="117" t="n">
        <x:f>'Продажи'!BT49*'Вводные'!$B$20+'ОБЪЕКТЫ'!BT106</x:f>
      </x:c>
      <x:c r="BU68" s="117" t="n">
        <x:f>'Продажи'!BU49*'Вводные'!$B$20+'ОБЪЕКТЫ'!BU106</x:f>
      </x:c>
      <x:c r="BV68" s="117" t="n">
        <x:f>'Продажи'!BV49*'Вводные'!$B$20+'ОБЪЕКТЫ'!BV106</x:f>
      </x:c>
      <x:c r="BW68" s="117" t="n">
        <x:f>'Продажи'!BW49*'Вводные'!$B$20+'ОБЪЕКТЫ'!BW106</x:f>
      </x:c>
      <x:c r="BX68" s="117" t="n">
        <x:f>'Продажи'!BX49*'Вводные'!$B$20+'ОБЪЕКТЫ'!BX106</x:f>
      </x:c>
      <x:c r="BY68" s="117" t="n">
        <x:f>'Продажи'!BY49*'Вводные'!$B$20+'ОБЪЕКТЫ'!BY106</x:f>
      </x:c>
      <x:c r="BZ68" s="117" t="n">
        <x:f>'Продажи'!BZ49*'Вводные'!$B$20+'ОБЪЕКТЫ'!BZ106</x:f>
      </x:c>
      <x:c r="CA68" s="117" t="n">
        <x:f>'Продажи'!CA49*'Вводные'!$B$20+'ОБЪЕКТЫ'!CA106</x:f>
      </x:c>
      <x:c r="CB68" s="117" t="n">
        <x:f>'Продажи'!CB49*'Вводные'!$B$20+'ОБЪЕКТЫ'!CB106</x:f>
      </x:c>
      <x:c r="CC68" s="117" t="n">
        <x:f>'Продажи'!CC49*'Вводные'!$B$20+'ОБЪЕКТЫ'!CC106</x:f>
      </x:c>
      <x:c r="CD68" s="117" t="n">
        <x:f>'Продажи'!CD49*'Вводные'!$B$20+'ОБЪЕКТЫ'!CD106</x:f>
      </x:c>
      <x:c r="CE68" s="117" t="n">
        <x:f>'Продажи'!CE49*'Вводные'!$B$20+'ОБЪЕКТЫ'!CE106</x:f>
      </x:c>
      <x:c r="CF68" s="117" t="n">
        <x:f>'Продажи'!CF49*'Вводные'!$B$20+'ОБЪЕКТЫ'!CF106</x:f>
      </x:c>
      <x:c r="CG68" s="117" t="n">
        <x:f>'Продажи'!CG49*'Вводные'!$B$20+'ОБЪЕКТЫ'!CG106</x:f>
      </x:c>
      <x:c r="CH68" s="117" t="n">
        <x:f>'Продажи'!CH49*'Вводные'!$B$20+'ОБЪЕКТЫ'!CH106</x:f>
      </x:c>
      <x:c r="CI68" s="117" t="n">
        <x:f>'Продажи'!CI49*'Вводные'!$B$20+'ОБЪЕКТЫ'!CI106</x:f>
      </x:c>
      <x:c r="CJ68" s="117" t="n">
        <x:f>'Продажи'!CJ49*'Вводные'!$B$20+'ОБЪЕКТЫ'!CJ106</x:f>
      </x:c>
      <x:c r="CK68" s="117" t="n">
        <x:f>'Продажи'!CK49*'Вводные'!$B$20+'ОБЪЕКТЫ'!CK106</x:f>
      </x:c>
      <x:c r="CL68" s="117" t="n">
        <x:f>'Продажи'!CL49*'Вводные'!$B$20+'ОБЪЕКТЫ'!CL106</x:f>
      </x:c>
      <x:c r="CM68" s="117" t="n">
        <x:f>'Продажи'!CM49*'Вводные'!$B$20+'ОБЪЕКТЫ'!CM106</x:f>
      </x:c>
      <x:c r="CN68" s="117" t="n">
        <x:f>'Продажи'!CN49*'Вводные'!$B$20+'ОБЪЕКТЫ'!CN106</x:f>
      </x:c>
      <x:c r="CO68" s="117" t="n">
        <x:f>'Продажи'!CO49*'Вводные'!$B$20+'ОБЪЕКТЫ'!CO106</x:f>
      </x:c>
      <x:c r="CP68" s="117" t="n">
        <x:f>'Продажи'!CP49*'Вводные'!$B$20+'ОБЪЕКТЫ'!CP106</x:f>
      </x:c>
      <x:c r="CQ68" s="117" t="n">
        <x:f>'Продажи'!CQ49*'Вводные'!$B$20+'ОБЪЕКТЫ'!CQ106</x:f>
      </x:c>
      <x:c r="CR68" s="117" t="n">
        <x:f>'Продажи'!CR49*'Вводные'!$B$20+'ОБЪЕКТЫ'!CR106</x:f>
      </x:c>
      <x:c r="CS68" s="117" t="n">
        <x:f>'Продажи'!CS49*'Вводные'!$B$20+'ОБЪЕКТЫ'!CS106</x:f>
      </x:c>
      <x:c r="CT68" s="117" t="n">
        <x:f>'Продажи'!CT49*'Вводные'!$B$20+'ОБЪЕКТЫ'!CT106</x:f>
      </x:c>
      <x:c r="CU68" s="117" t="n">
        <x:f>'Продажи'!CU49*'Вводные'!$B$20+'ОБЪЕКТЫ'!CU106</x:f>
      </x:c>
      <x:c r="CV68" s="117" t="n">
        <x:f>'Продажи'!CV49*'Вводные'!$B$20+'ОБЪЕКТЫ'!CV106</x:f>
      </x:c>
      <x:c r="CW68" s="117" t="n">
        <x:f>'Продажи'!CW49*'Вводные'!$B$20+'ОБЪЕКТЫ'!CW106</x:f>
      </x:c>
      <x:c r="CX68" s="117" t="n">
        <x:f>'Продажи'!CX49*'Вводные'!$B$20+'ОБЪЕКТЫ'!CX106</x:f>
      </x:c>
      <x:c r="CY68" s="117" t="n">
        <x:f>'Продажи'!CY49*'Вводные'!$B$20+'ОБЪЕКТЫ'!CY106</x:f>
      </x:c>
      <x:c r="CZ68" s="117" t="n">
        <x:f>'Продажи'!CZ49*'Вводные'!$B$20+'ОБЪЕКТЫ'!CZ106</x:f>
      </x:c>
      <x:c r="DA68" s="117" t="n">
        <x:f>'Продажи'!DA49*'Вводные'!$B$20+'ОБЪЕКТЫ'!DA106</x:f>
      </x:c>
      <x:c r="DB68" s="117" t="n">
        <x:f>'Продажи'!DB49*'Вводные'!$B$20+'ОБЪЕКТЫ'!DB106</x:f>
      </x:c>
      <x:c r="DC68" s="117" t="n">
        <x:f>'Продажи'!DC49*'Вводные'!$B$20+'ОБЪЕКТЫ'!DC106</x:f>
      </x:c>
      <x:c r="DD68" s="117" t="n">
        <x:f>'Продажи'!DD49*'Вводные'!$B$20+'ОБЪЕКТЫ'!DD106</x:f>
      </x:c>
      <x:c r="DE68" s="117" t="n">
        <x:f>'Продажи'!DE49*'Вводные'!$B$20+'ОБЪЕКТЫ'!DE106</x:f>
      </x:c>
      <x:c r="DF68" s="117" t="n">
        <x:f>'Продажи'!DF49*'Вводные'!$B$20+'ОБЪЕКТЫ'!DF106</x:f>
      </x:c>
      <x:c r="DG68" s="117" t="n">
        <x:f>'Продажи'!DG49*'Вводные'!$B$20+'ОБЪЕКТЫ'!DG106</x:f>
      </x:c>
      <x:c r="DH68" s="117" t="n">
        <x:f>'Продажи'!DH49*'Вводные'!$B$20+'ОБЪЕКТЫ'!DH106</x:f>
      </x:c>
      <x:c r="DI68" s="117" t="n">
        <x:f>'Продажи'!DI49*'Вводные'!$B$20+'ОБЪЕКТЫ'!DI106</x:f>
      </x:c>
      <x:c r="DJ68" s="117" t="n">
        <x:f>'Продажи'!DJ49*'Вводные'!$B$20+'ОБЪЕКТЫ'!DJ106</x:f>
      </x:c>
      <x:c r="DK68" s="117" t="n">
        <x:f>'Продажи'!DK49*'Вводные'!$B$20+'ОБЪЕКТЫ'!DK106</x:f>
      </x:c>
      <x:c r="DL68" s="117" t="n">
        <x:f>'Продажи'!DL49*'Вводные'!$B$20+'ОБЪЕКТЫ'!DL106</x:f>
      </x:c>
      <x:c r="DM68" s="117" t="n">
        <x:f>'Продажи'!DM49*'Вводные'!$B$20+'ОБЪЕКТЫ'!DM106</x:f>
      </x:c>
      <x:c r="DN68" s="117" t="n">
        <x:f>'Продажи'!DN49*'Вводные'!$B$20+'ОБЪЕКТЫ'!DN106</x:f>
      </x:c>
      <x:c r="DO68" s="117" t="n">
        <x:f>'Продажи'!DO49*'Вводные'!$B$20+'ОБЪЕКТЫ'!DO106</x:f>
      </x:c>
      <x:c r="DP68" s="117" t="n">
        <x:f>'Продажи'!DP49*'Вводные'!$B$20+'ОБЪЕКТЫ'!DP106</x:f>
      </x:c>
      <x:c r="DQ68" s="117" t="n">
        <x:f>'Продажи'!DQ49*'Вводные'!$B$20+'ОБЪЕКТЫ'!DQ106</x:f>
      </x:c>
      <x:c r="DR68" s="117" t="n">
        <x:f>'Продажи'!DR49*'Вводные'!$B$20+'ОБЪЕКТЫ'!DR106</x:f>
      </x:c>
      <x:c r="DS68" s="117" t="n">
        <x:f>'Продажи'!DS49*'Вводные'!$B$20+'ОБЪЕКТЫ'!DS106</x:f>
      </x:c>
    </x:row>
    <x:row r="69">
      <x:c r="A69" s="113" t="str">
        <x:v>РАСХОДЫ ПРОЕКТА ВСЕГО</x:v>
      </x:c>
      <x:c r="B69" s="113" t="n">
        <x:f>SUM(D69:DS69)</x:f>
      </x:c>
      <x:c r="C69" s="113" t="str">
        <x:v>млн ₽</x:v>
      </x:c>
      <x:c r="D69" s="120" t="n">
        <x:f>SUM(D66:D68)</x:f>
      </x:c>
      <x:c r="E69" s="120" t="n">
        <x:f>SUM(E66:E68)</x:f>
      </x:c>
      <x:c r="F69" s="120" t="n">
        <x:f>SUM(F66:F68)</x:f>
      </x:c>
      <x:c r="G69" s="120" t="n">
        <x:f>SUM(G66:G68)</x:f>
      </x:c>
      <x:c r="H69" s="120" t="n">
        <x:f>SUM(H66:H68)</x:f>
      </x:c>
      <x:c r="I69" s="120" t="n">
        <x:f>SUM(I66:I68)</x:f>
      </x:c>
      <x:c r="J69" s="120" t="n">
        <x:f>SUM(J66:J68)</x:f>
      </x:c>
      <x:c r="K69" s="120" t="n">
        <x:f>SUM(K66:K68)</x:f>
      </x:c>
      <x:c r="L69" s="120" t="n">
        <x:f>SUM(L66:L68)</x:f>
      </x:c>
      <x:c r="M69" s="120" t="n">
        <x:f>SUM(M66:M68)</x:f>
      </x:c>
      <x:c r="N69" s="120" t="n">
        <x:f>SUM(N66:N68)</x:f>
      </x:c>
      <x:c r="O69" s="120" t="n">
        <x:f>SUM(O66:O68)</x:f>
      </x:c>
      <x:c r="P69" s="120" t="n">
        <x:f>SUM(P66:P68)</x:f>
      </x:c>
      <x:c r="Q69" s="120" t="n">
        <x:f>SUM(Q66:Q68)</x:f>
      </x:c>
      <x:c r="R69" s="120" t="n">
        <x:f>SUM(R66:R68)</x:f>
      </x:c>
      <x:c r="S69" s="120" t="n">
        <x:f>SUM(S66:S68)</x:f>
      </x:c>
      <x:c r="T69" s="120" t="n">
        <x:f>SUM(T66:T68)</x:f>
      </x:c>
      <x:c r="U69" s="120" t="n">
        <x:f>SUM(U66:U68)</x:f>
      </x:c>
      <x:c r="V69" s="120" t="n">
        <x:f>SUM(V66:V68)</x:f>
      </x:c>
      <x:c r="W69" s="120" t="n">
        <x:f>SUM(W66:W68)</x:f>
      </x:c>
      <x:c r="X69" s="120" t="n">
        <x:f>SUM(X66:X68)</x:f>
      </x:c>
      <x:c r="Y69" s="120" t="n">
        <x:f>SUM(Y66:Y68)</x:f>
      </x:c>
      <x:c r="Z69" s="120" t="n">
        <x:f>SUM(Z66:Z68)</x:f>
      </x:c>
      <x:c r="AA69" s="120" t="n">
        <x:f>SUM(AA66:AA68)</x:f>
      </x:c>
      <x:c r="AB69" s="120" t="n">
        <x:f>SUM(AB66:AB68)</x:f>
      </x:c>
      <x:c r="AC69" s="120" t="n">
        <x:f>SUM(AC66:AC68)</x:f>
      </x:c>
      <x:c r="AD69" s="120" t="n">
        <x:f>SUM(AD66:AD68)</x:f>
      </x:c>
      <x:c r="AE69" s="120" t="n">
        <x:f>SUM(AE66:AE68)</x:f>
      </x:c>
      <x:c r="AF69" s="120" t="n">
        <x:f>SUM(AF66:AF68)</x:f>
      </x:c>
      <x:c r="AG69" s="120" t="n">
        <x:f>SUM(AG66:AG68)</x:f>
      </x:c>
      <x:c r="AH69" s="120" t="n">
        <x:f>SUM(AH66:AH68)</x:f>
      </x:c>
      <x:c r="AI69" s="120" t="n">
        <x:f>SUM(AI66:AI68)</x:f>
      </x:c>
      <x:c r="AJ69" s="120" t="n">
        <x:f>SUM(AJ66:AJ68)</x:f>
      </x:c>
      <x:c r="AK69" s="120" t="n">
        <x:f>SUM(AK66:AK68)</x:f>
      </x:c>
      <x:c r="AL69" s="120" t="n">
        <x:f>SUM(AL66:AL68)</x:f>
      </x:c>
      <x:c r="AM69" s="120" t="n">
        <x:f>SUM(AM66:AM68)</x:f>
      </x:c>
      <x:c r="AN69" s="120" t="n">
        <x:f>SUM(AN66:AN68)</x:f>
      </x:c>
      <x:c r="AO69" s="120" t="n">
        <x:f>SUM(AO66:AO68)</x:f>
      </x:c>
      <x:c r="AP69" s="120" t="n">
        <x:f>SUM(AP66:AP68)</x:f>
      </x:c>
      <x:c r="AQ69" s="120" t="n">
        <x:f>SUM(AQ66:AQ68)</x:f>
      </x:c>
      <x:c r="AR69" s="120" t="n">
        <x:f>SUM(AR66:AR68)</x:f>
      </x:c>
      <x:c r="AS69" s="120" t="n">
        <x:f>SUM(AS66:AS68)</x:f>
      </x:c>
      <x:c r="AT69" s="120" t="n">
        <x:f>SUM(AT66:AT68)</x:f>
      </x:c>
      <x:c r="AU69" s="120" t="n">
        <x:f>SUM(AU66:AU68)</x:f>
      </x:c>
      <x:c r="AV69" s="120" t="n">
        <x:f>SUM(AV66:AV68)</x:f>
      </x:c>
      <x:c r="AW69" s="120" t="n">
        <x:f>SUM(AW66:AW68)</x:f>
      </x:c>
      <x:c r="AX69" s="120" t="n">
        <x:f>SUM(AX66:AX68)</x:f>
      </x:c>
      <x:c r="AY69" s="120" t="n">
        <x:f>SUM(AY66:AY68)</x:f>
      </x:c>
      <x:c r="AZ69" s="120" t="n">
        <x:f>SUM(AZ66:AZ68)</x:f>
      </x:c>
      <x:c r="BA69" s="120" t="n">
        <x:f>SUM(BA66:BA68)</x:f>
      </x:c>
      <x:c r="BB69" s="120" t="n">
        <x:f>SUM(BB66:BB68)</x:f>
      </x:c>
      <x:c r="BC69" s="120" t="n">
        <x:f>SUM(BC66:BC68)</x:f>
      </x:c>
      <x:c r="BD69" s="120" t="n">
        <x:f>SUM(BD66:BD68)</x:f>
      </x:c>
      <x:c r="BE69" s="120" t="n">
        <x:f>SUM(BE66:BE68)</x:f>
      </x:c>
      <x:c r="BF69" s="120" t="n">
        <x:f>SUM(BF66:BF68)</x:f>
      </x:c>
      <x:c r="BG69" s="120" t="n">
        <x:f>SUM(BG66:BG68)</x:f>
      </x:c>
      <x:c r="BH69" s="120" t="n">
        <x:f>SUM(BH66:BH68)</x:f>
      </x:c>
      <x:c r="BI69" s="120" t="n">
        <x:f>SUM(BI66:BI68)</x:f>
      </x:c>
      <x:c r="BJ69" s="120" t="n">
        <x:f>SUM(BJ66:BJ68)</x:f>
      </x:c>
      <x:c r="BK69" s="120" t="n">
        <x:f>SUM(BK66:BK68)</x:f>
      </x:c>
      <x:c r="BL69" s="120" t="n">
        <x:f>SUM(BL66:BL68)</x:f>
      </x:c>
      <x:c r="BM69" s="120" t="n">
        <x:f>SUM(BM66:BM68)</x:f>
      </x:c>
      <x:c r="BN69" s="120" t="n">
        <x:f>SUM(BN66:BN68)</x:f>
      </x:c>
      <x:c r="BO69" s="120" t="n">
        <x:f>SUM(BO66:BO68)</x:f>
      </x:c>
      <x:c r="BP69" s="120" t="n">
        <x:f>SUM(BP66:BP68)</x:f>
      </x:c>
      <x:c r="BQ69" s="120" t="n">
        <x:f>SUM(BQ66:BQ68)</x:f>
      </x:c>
      <x:c r="BR69" s="120" t="n">
        <x:f>SUM(BR66:BR68)</x:f>
      </x:c>
      <x:c r="BS69" s="120" t="n">
        <x:f>SUM(BS66:BS68)</x:f>
      </x:c>
      <x:c r="BT69" s="120" t="n">
        <x:f>SUM(BT66:BT68)</x:f>
      </x:c>
      <x:c r="BU69" s="120" t="n">
        <x:f>SUM(BU66:BU68)</x:f>
      </x:c>
      <x:c r="BV69" s="120" t="n">
        <x:f>SUM(BV66:BV68)</x:f>
      </x:c>
      <x:c r="BW69" s="120" t="n">
        <x:f>SUM(BW66:BW68)</x:f>
      </x:c>
      <x:c r="BX69" s="120" t="n">
        <x:f>SUM(BX66:BX68)</x:f>
      </x:c>
      <x:c r="BY69" s="120" t="n">
        <x:f>SUM(BY66:BY68)</x:f>
      </x:c>
      <x:c r="BZ69" s="120" t="n">
        <x:f>SUM(BZ66:BZ68)</x:f>
      </x:c>
      <x:c r="CA69" s="120" t="n">
        <x:f>SUM(CA66:CA68)</x:f>
      </x:c>
      <x:c r="CB69" s="120" t="n">
        <x:f>SUM(CB66:CB68)</x:f>
      </x:c>
      <x:c r="CC69" s="120" t="n">
        <x:f>SUM(CC66:CC68)</x:f>
      </x:c>
      <x:c r="CD69" s="120" t="n">
        <x:f>SUM(CD66:CD68)</x:f>
      </x:c>
      <x:c r="CE69" s="120" t="n">
        <x:f>SUM(CE66:CE68)</x:f>
      </x:c>
      <x:c r="CF69" s="120" t="n">
        <x:f>SUM(CF66:CF68)</x:f>
      </x:c>
      <x:c r="CG69" s="120" t="n">
        <x:f>SUM(CG66:CG68)</x:f>
      </x:c>
      <x:c r="CH69" s="120" t="n">
        <x:f>SUM(CH66:CH68)</x:f>
      </x:c>
      <x:c r="CI69" s="120" t="n">
        <x:f>SUM(CI66:CI68)</x:f>
      </x:c>
      <x:c r="CJ69" s="120" t="n">
        <x:f>SUM(CJ66:CJ68)</x:f>
      </x:c>
      <x:c r="CK69" s="120" t="n">
        <x:f>SUM(CK66:CK68)</x:f>
      </x:c>
      <x:c r="CL69" s="120" t="n">
        <x:f>SUM(CL66:CL68)</x:f>
      </x:c>
      <x:c r="CM69" s="120" t="n">
        <x:f>SUM(CM66:CM68)</x:f>
      </x:c>
      <x:c r="CN69" s="120" t="n">
        <x:f>SUM(CN66:CN68)</x:f>
      </x:c>
      <x:c r="CO69" s="120" t="n">
        <x:f>SUM(CO66:CO68)</x:f>
      </x:c>
      <x:c r="CP69" s="120" t="n">
        <x:f>SUM(CP66:CP68)</x:f>
      </x:c>
      <x:c r="CQ69" s="120" t="n">
        <x:f>SUM(CQ66:CQ68)</x:f>
      </x:c>
      <x:c r="CR69" s="120" t="n">
        <x:f>SUM(CR66:CR68)</x:f>
      </x:c>
      <x:c r="CS69" s="120" t="n">
        <x:f>SUM(CS66:CS68)</x:f>
      </x:c>
      <x:c r="CT69" s="120" t="n">
        <x:f>SUM(CT66:CT68)</x:f>
      </x:c>
      <x:c r="CU69" s="120" t="n">
        <x:f>SUM(CU66:CU68)</x:f>
      </x:c>
      <x:c r="CV69" s="120" t="n">
        <x:f>SUM(CV66:CV68)</x:f>
      </x:c>
      <x:c r="CW69" s="120" t="n">
        <x:f>SUM(CW66:CW68)</x:f>
      </x:c>
      <x:c r="CX69" s="120" t="n">
        <x:f>SUM(CX66:CX68)</x:f>
      </x:c>
      <x:c r="CY69" s="120" t="n">
        <x:f>SUM(CY66:CY68)</x:f>
      </x:c>
      <x:c r="CZ69" s="120" t="n">
        <x:f>SUM(CZ66:CZ68)</x:f>
      </x:c>
      <x:c r="DA69" s="120" t="n">
        <x:f>SUM(DA66:DA68)</x:f>
      </x:c>
      <x:c r="DB69" s="120" t="n">
        <x:f>SUM(DB66:DB68)</x:f>
      </x:c>
      <x:c r="DC69" s="120" t="n">
        <x:f>SUM(DC66:DC68)</x:f>
      </x:c>
      <x:c r="DD69" s="120" t="n">
        <x:f>SUM(DD66:DD68)</x:f>
      </x:c>
      <x:c r="DE69" s="120" t="n">
        <x:f>SUM(DE66:DE68)</x:f>
      </x:c>
      <x:c r="DF69" s="120" t="n">
        <x:f>SUM(DF66:DF68)</x:f>
      </x:c>
      <x:c r="DG69" s="120" t="n">
        <x:f>SUM(DG66:DG68)</x:f>
      </x:c>
      <x:c r="DH69" s="120" t="n">
        <x:f>SUM(DH66:DH68)</x:f>
      </x:c>
      <x:c r="DI69" s="120" t="n">
        <x:f>SUM(DI66:DI68)</x:f>
      </x:c>
      <x:c r="DJ69" s="120" t="n">
        <x:f>SUM(DJ66:DJ68)</x:f>
      </x:c>
      <x:c r="DK69" s="120" t="n">
        <x:f>SUM(DK66:DK68)</x:f>
      </x:c>
      <x:c r="DL69" s="120" t="n">
        <x:f>SUM(DL66:DL68)</x:f>
      </x:c>
      <x:c r="DM69" s="120" t="n">
        <x:f>SUM(DM66:DM68)</x:f>
      </x:c>
      <x:c r="DN69" s="120" t="n">
        <x:f>SUM(DN66:DN68)</x:f>
      </x:c>
      <x:c r="DO69" s="120" t="n">
        <x:f>SUM(DO66:DO68)</x:f>
      </x:c>
      <x:c r="DP69" s="120" t="n">
        <x:f>SUM(DP66:DP68)</x:f>
      </x:c>
      <x:c r="DQ69" s="120" t="n">
        <x:f>SUM(DQ66:DQ68)</x:f>
      </x:c>
      <x:c r="DR69" s="120" t="n">
        <x:f>SUM(DR66:DR68)</x:f>
      </x:c>
      <x:c r="DS69" s="120" t="n">
        <x:f>SUM(DS66:DS68)</x:f>
      </x:c>
    </x:row>
    <x:row r="74" ht="21" customHeight="1">
      <x:c r="A74" s="52" t="str">
        <x:v>ОЧЕРЕДЬ 3</x:v>
      </x:c>
      <x:c r="B74" s="53" t="str">
        <x:v>ОЧЕРЕДЬ 3</x:v>
      </x:c>
      <x:c r="C74" s="53" t="str">
        <x:v>ОЧЕРЕДЬ 3</x:v>
      </x:c>
      <x:c r="D74" s="53" t="str">
        <x:v>ОЧЕРЕДЬ 3</x:v>
      </x:c>
      <x:c r="E74" s="53" t="str">
        <x:v>ОЧЕРЕДЬ 3</x:v>
      </x:c>
      <x:c r="F74" s="53" t="str">
        <x:v>ОЧЕРЕДЬ 3</x:v>
      </x:c>
      <x:c r="G74" s="53" t="str">
        <x:v>ОЧЕРЕДЬ 3</x:v>
      </x:c>
      <x:c r="H74" s="53" t="str">
        <x:v>ОЧЕРЕДЬ 3</x:v>
      </x:c>
      <x:c r="I74" s="53" t="str">
        <x:v>ОЧЕРЕДЬ 3</x:v>
      </x:c>
      <x:c r="J74" s="53" t="str">
        <x:v>ОЧЕРЕДЬ 3</x:v>
      </x:c>
      <x:c r="K74" s="53" t="str">
        <x:v>ОЧЕРЕДЬ 3</x:v>
      </x:c>
      <x:c r="L74" s="53" t="str">
        <x:v>ОЧЕРЕДЬ 3</x:v>
      </x:c>
      <x:c r="M74" s="53" t="str">
        <x:v>ОЧЕРЕДЬ 3</x:v>
      </x:c>
      <x:c r="N74" s="53" t="str">
        <x:v>ОЧЕРЕДЬ 3</x:v>
      </x:c>
      <x:c r="O74" s="53" t="str">
        <x:v>ОЧЕРЕДЬ 3</x:v>
      </x:c>
      <x:c r="P74" s="53" t="str">
        <x:v>ОЧЕРЕДЬ 3</x:v>
      </x:c>
      <x:c r="Q74" s="53" t="str">
        <x:v>ОЧЕРЕДЬ 3</x:v>
      </x:c>
      <x:c r="R74" s="53" t="str">
        <x:v>ОЧЕРЕДЬ 3</x:v>
      </x:c>
      <x:c r="S74" s="53" t="str">
        <x:v>ОЧЕРЕДЬ 3</x:v>
      </x:c>
      <x:c r="T74" s="53" t="str">
        <x:v>ОЧЕРЕДЬ 3</x:v>
      </x:c>
      <x:c r="U74" s="53" t="str">
        <x:v>ОЧЕРЕДЬ 3</x:v>
      </x:c>
      <x:c r="V74" s="53" t="str">
        <x:v>ОЧЕРЕДЬ 3</x:v>
      </x:c>
      <x:c r="W74" s="53" t="str">
        <x:v>ОЧЕРЕДЬ 3</x:v>
      </x:c>
      <x:c r="X74" s="53" t="str">
        <x:v>ОЧЕРЕДЬ 3</x:v>
      </x:c>
      <x:c r="Y74" s="53" t="str">
        <x:v>ОЧЕРЕДЬ 3</x:v>
      </x:c>
      <x:c r="Z74" s="53" t="str">
        <x:v>ОЧЕРЕДЬ 3</x:v>
      </x:c>
      <x:c r="AA74" s="53" t="str">
        <x:v>ОЧЕРЕДЬ 3</x:v>
      </x:c>
      <x:c r="AB74" s="53" t="str">
        <x:v>ОЧЕРЕДЬ 3</x:v>
      </x:c>
      <x:c r="AC74" s="53" t="str">
        <x:v>ОЧЕРЕДЬ 3</x:v>
      </x:c>
      <x:c r="AD74" s="53" t="str">
        <x:v>ОЧЕРЕДЬ 3</x:v>
      </x:c>
      <x:c r="AE74" s="53" t="str">
        <x:v>ОЧЕРЕДЬ 3</x:v>
      </x:c>
      <x:c r="AF74" s="53" t="str">
        <x:v>ОЧЕРЕДЬ 3</x:v>
      </x:c>
      <x:c r="AG74" s="53" t="str">
        <x:v>ОЧЕРЕДЬ 3</x:v>
      </x:c>
      <x:c r="AH74" s="53" t="str">
        <x:v>ОЧЕРЕДЬ 3</x:v>
      </x:c>
      <x:c r="AI74" s="53" t="str">
        <x:v>ОЧЕРЕДЬ 3</x:v>
      </x:c>
      <x:c r="AJ74" s="53" t="str">
        <x:v>ОЧЕРЕДЬ 3</x:v>
      </x:c>
      <x:c r="AK74" s="53" t="str">
        <x:v>ОЧЕРЕДЬ 3</x:v>
      </x:c>
      <x:c r="AL74" s="53" t="str">
        <x:v>ОЧЕРЕДЬ 3</x:v>
      </x:c>
      <x:c r="AM74" s="53" t="str">
        <x:v>ОЧЕРЕДЬ 3</x:v>
      </x:c>
      <x:c r="AN74" s="53" t="str">
        <x:v>ОЧЕРЕДЬ 3</x:v>
      </x:c>
      <x:c r="AO74" s="53" t="str">
        <x:v>ОЧЕРЕДЬ 3</x:v>
      </x:c>
      <x:c r="AP74" s="53" t="str">
        <x:v>ОЧЕРЕДЬ 3</x:v>
      </x:c>
      <x:c r="AQ74" s="53" t="str">
        <x:v>ОЧЕРЕДЬ 3</x:v>
      </x:c>
      <x:c r="AR74" s="53" t="str">
        <x:v>ОЧЕРЕДЬ 3</x:v>
      </x:c>
      <x:c r="AS74" s="53" t="str">
        <x:v>ОЧЕРЕДЬ 3</x:v>
      </x:c>
      <x:c r="AT74" s="53" t="str">
        <x:v>ОЧЕРЕДЬ 3</x:v>
      </x:c>
      <x:c r="AU74" s="53" t="str">
        <x:v>ОЧЕРЕДЬ 3</x:v>
      </x:c>
      <x:c r="AV74" s="53" t="str">
        <x:v>ОЧЕРЕДЬ 3</x:v>
      </x:c>
      <x:c r="AW74" s="53" t="str">
        <x:v>ОЧЕРЕДЬ 3</x:v>
      </x:c>
      <x:c r="AX74" s="53" t="str">
        <x:v>ОЧЕРЕДЬ 3</x:v>
      </x:c>
      <x:c r="AY74" s="53" t="str">
        <x:v>ОЧЕРЕДЬ 3</x:v>
      </x:c>
      <x:c r="AZ74" s="53" t="str">
        <x:v>ОЧЕРЕДЬ 3</x:v>
      </x:c>
      <x:c r="BA74" s="53" t="str">
        <x:v>ОЧЕРЕДЬ 3</x:v>
      </x:c>
      <x:c r="BB74" s="53" t="str">
        <x:v>ОЧЕРЕДЬ 3</x:v>
      </x:c>
      <x:c r="BC74" s="53" t="str">
        <x:v>ОЧЕРЕДЬ 3</x:v>
      </x:c>
      <x:c r="BD74" s="53" t="str">
        <x:v>ОЧЕРЕДЬ 3</x:v>
      </x:c>
      <x:c r="BE74" s="53" t="str">
        <x:v>ОЧЕРЕДЬ 3</x:v>
      </x:c>
      <x:c r="BF74" s="53" t="str">
        <x:v>ОЧЕРЕДЬ 3</x:v>
      </x:c>
      <x:c r="BG74" s="53" t="str">
        <x:v>ОЧЕРЕДЬ 3</x:v>
      </x:c>
      <x:c r="BH74" s="53" t="str">
        <x:v>ОЧЕРЕДЬ 3</x:v>
      </x:c>
      <x:c r="BI74" s="53" t="str">
        <x:v>ОЧЕРЕДЬ 3</x:v>
      </x:c>
      <x:c r="BJ74" s="53" t="str">
        <x:v>ОЧЕРЕДЬ 3</x:v>
      </x:c>
      <x:c r="BK74" s="53" t="str">
        <x:v>ОЧЕРЕДЬ 3</x:v>
      </x:c>
      <x:c r="BL74" s="53" t="str">
        <x:v>ОЧЕРЕДЬ 3</x:v>
      </x:c>
      <x:c r="BM74" s="53" t="str">
        <x:v>ОЧЕРЕДЬ 3</x:v>
      </x:c>
      <x:c r="BN74" s="53" t="str">
        <x:v>ОЧЕРЕДЬ 3</x:v>
      </x:c>
      <x:c r="BO74" s="53" t="str">
        <x:v>ОЧЕРЕДЬ 3</x:v>
      </x:c>
      <x:c r="BP74" s="53" t="str">
        <x:v>ОЧЕРЕДЬ 3</x:v>
      </x:c>
      <x:c r="BQ74" s="53" t="str">
        <x:v>ОЧЕРЕДЬ 3</x:v>
      </x:c>
      <x:c r="BR74" s="53" t="str">
        <x:v>ОЧЕРЕДЬ 3</x:v>
      </x:c>
      <x:c r="BS74" s="53" t="str">
        <x:v>ОЧЕРЕДЬ 3</x:v>
      </x:c>
      <x:c r="BT74" s="53" t="str">
        <x:v>ОЧЕРЕДЬ 3</x:v>
      </x:c>
      <x:c r="BU74" s="53" t="str">
        <x:v>ОЧЕРЕДЬ 3</x:v>
      </x:c>
      <x:c r="BV74" s="53" t="str">
        <x:v>ОЧЕРЕДЬ 3</x:v>
      </x:c>
      <x:c r="BW74" s="53" t="str">
        <x:v>ОЧЕРЕДЬ 3</x:v>
      </x:c>
      <x:c r="BX74" s="53" t="str">
        <x:v>ОЧЕРЕДЬ 3</x:v>
      </x:c>
      <x:c r="BY74" s="53" t="str">
        <x:v>ОЧЕРЕДЬ 3</x:v>
      </x:c>
      <x:c r="BZ74" s="53" t="str">
        <x:v>ОЧЕРЕДЬ 3</x:v>
      </x:c>
      <x:c r="CA74" s="53" t="str">
        <x:v>ОЧЕРЕДЬ 3</x:v>
      </x:c>
      <x:c r="CB74" s="53" t="str">
        <x:v>ОЧЕРЕДЬ 3</x:v>
      </x:c>
      <x:c r="CC74" s="53" t="str">
        <x:v>ОЧЕРЕДЬ 3</x:v>
      </x:c>
      <x:c r="CD74" s="53" t="str">
        <x:v>ОЧЕРЕДЬ 3</x:v>
      </x:c>
      <x:c r="CE74" s="53" t="str">
        <x:v>ОЧЕРЕДЬ 3</x:v>
      </x:c>
      <x:c r="CF74" s="53" t="str">
        <x:v>ОЧЕРЕДЬ 3</x:v>
      </x:c>
      <x:c r="CG74" s="53" t="str">
        <x:v>ОЧЕРЕДЬ 3</x:v>
      </x:c>
      <x:c r="CH74" s="53" t="str">
        <x:v>ОЧЕРЕДЬ 3</x:v>
      </x:c>
      <x:c r="CI74" s="53" t="str">
        <x:v>ОЧЕРЕДЬ 3</x:v>
      </x:c>
      <x:c r="CJ74" s="53" t="str">
        <x:v>ОЧЕРЕДЬ 3</x:v>
      </x:c>
      <x:c r="CK74" s="53" t="str">
        <x:v>ОЧЕРЕДЬ 3</x:v>
      </x:c>
      <x:c r="CL74" s="53" t="str">
        <x:v>ОЧЕРЕДЬ 3</x:v>
      </x:c>
      <x:c r="CM74" s="53" t="str">
        <x:v>ОЧЕРЕДЬ 3</x:v>
      </x:c>
      <x:c r="CN74" s="53" t="str">
        <x:v>ОЧЕРЕДЬ 3</x:v>
      </x:c>
      <x:c r="CO74" s="53" t="str">
        <x:v>ОЧЕРЕДЬ 3</x:v>
      </x:c>
      <x:c r="CP74" s="53" t="str">
        <x:v>ОЧЕРЕДЬ 3</x:v>
      </x:c>
      <x:c r="CQ74" s="53" t="str">
        <x:v>ОЧЕРЕДЬ 3</x:v>
      </x:c>
      <x:c r="CR74" s="53" t="str">
        <x:v>ОЧЕРЕДЬ 3</x:v>
      </x:c>
      <x:c r="CS74" s="53" t="str">
        <x:v>ОЧЕРЕДЬ 3</x:v>
      </x:c>
      <x:c r="CT74" s="53" t="str">
        <x:v>ОЧЕРЕДЬ 3</x:v>
      </x:c>
      <x:c r="CU74" s="53" t="str">
        <x:v>ОЧЕРЕДЬ 3</x:v>
      </x:c>
      <x:c r="CV74" s="53" t="str">
        <x:v>ОЧЕРЕДЬ 3</x:v>
      </x:c>
      <x:c r="CW74" s="53" t="str">
        <x:v>ОЧЕРЕДЬ 3</x:v>
      </x:c>
      <x:c r="CX74" s="53" t="str">
        <x:v>ОЧЕРЕДЬ 3</x:v>
      </x:c>
      <x:c r="CY74" s="53" t="str">
        <x:v>ОЧЕРЕДЬ 3</x:v>
      </x:c>
      <x:c r="CZ74" s="53" t="str">
        <x:v>ОЧЕРЕДЬ 3</x:v>
      </x:c>
      <x:c r="DA74" s="53" t="str">
        <x:v>ОЧЕРЕДЬ 3</x:v>
      </x:c>
      <x:c r="DB74" s="53" t="str">
        <x:v>ОЧЕРЕДЬ 3</x:v>
      </x:c>
      <x:c r="DC74" s="53" t="str">
        <x:v>ОЧЕРЕДЬ 3</x:v>
      </x:c>
      <x:c r="DD74" s="53" t="str">
        <x:v>ОЧЕРЕДЬ 3</x:v>
      </x:c>
      <x:c r="DE74" s="53" t="str">
        <x:v>ОЧЕРЕДЬ 3</x:v>
      </x:c>
      <x:c r="DF74" s="53" t="str">
        <x:v>ОЧЕРЕДЬ 3</x:v>
      </x:c>
      <x:c r="DG74" s="53" t="str">
        <x:v>ОЧЕРЕДЬ 3</x:v>
      </x:c>
      <x:c r="DH74" s="53" t="str">
        <x:v>ОЧЕРЕДЬ 3</x:v>
      </x:c>
      <x:c r="DI74" s="53" t="str">
        <x:v>ОЧЕРЕДЬ 3</x:v>
      </x:c>
      <x:c r="DJ74" s="53" t="str">
        <x:v>ОЧЕРЕДЬ 3</x:v>
      </x:c>
      <x:c r="DK74" s="53" t="str">
        <x:v>ОЧЕРЕДЬ 3</x:v>
      </x:c>
      <x:c r="DL74" s="53" t="str">
        <x:v>ОЧЕРЕДЬ 3</x:v>
      </x:c>
      <x:c r="DM74" s="53" t="str">
        <x:v>ОЧЕРЕДЬ 3</x:v>
      </x:c>
      <x:c r="DN74" s="53" t="str">
        <x:v>ОЧЕРЕДЬ 3</x:v>
      </x:c>
      <x:c r="DO74" s="53" t="str">
        <x:v>ОЧЕРЕДЬ 3</x:v>
      </x:c>
      <x:c r="DP74" s="53" t="str">
        <x:v>ОЧЕРЕДЬ 3</x:v>
      </x:c>
      <x:c r="DQ74" s="53" t="str">
        <x:v>ОЧЕРЕДЬ 3</x:v>
      </x:c>
      <x:c r="DR74" s="53" t="str">
        <x:v>ОЧЕРЕДЬ 3</x:v>
      </x:c>
      <x:c r="DS74" s="54" t="str">
        <x:v>ОЧЕРЕДЬ 3</x:v>
      </x:c>
    </x:row>
    <x:row r="75">
      <x:c r="A75" t="str">
        <x:v>РнС / открытие ПФ</x:v>
      </x:c>
      <x:c r="B75" s="106" t="n">
        <x:f>EDATE('Вводные'!$D$90,'Вводные'!$E$90+'Вводные'!$H$9)</x:f>
      </x:c>
      <x:c r="C75" t="str">
        <x:v>дата</x:v>
      </x:c>
    </x:row>
    <x:row r="76">
      <x:c r="A76" t="str">
        <x:v>РВЭ</x:v>
      </x:c>
      <x:c r="B76" s="106" t="n">
        <x:f>EDATE(B75,'Вводные'!$F$90)</x:f>
      </x:c>
      <x:c r="C76" t="str">
        <x:v>дата</x:v>
      </x:c>
    </x:row>
    <x:row r="77">
      <x:c r="A77" t="str">
        <x:v>Флаг проекта</x:v>
      </x:c>
      <x:c r="B77"/>
      <x:c r="C77" t="str">
        <x:v>0/1</x:v>
      </x:c>
      <x:c r="D77" t="n">
        <x:f>--AND(D$3&gt;=EDATE($B$75,-'Вводные'!$E$90),D$3&lt;$B$76,'Вводные'!$B$90="Да")</x:f>
      </x:c>
      <x:c r="E77" t="n">
        <x:f>--AND(E$3&gt;=EDATE($B$75,-'Вводные'!$E$90),E$3&lt;$B$76,'Вводные'!$B$90="Да")</x:f>
      </x:c>
      <x:c r="F77" t="n">
        <x:f>--AND(F$3&gt;=EDATE($B$75,-'Вводные'!$E$90),F$3&lt;$B$76,'Вводные'!$B$90="Да")</x:f>
      </x:c>
      <x:c r="G77" t="n">
        <x:f>--AND(G$3&gt;=EDATE($B$75,-'Вводные'!$E$90),G$3&lt;$B$76,'Вводные'!$B$90="Да")</x:f>
      </x:c>
      <x:c r="H77" t="n">
        <x:f>--AND(H$3&gt;=EDATE($B$75,-'Вводные'!$E$90),H$3&lt;$B$76,'Вводные'!$B$90="Да")</x:f>
      </x:c>
      <x:c r="I77" t="n">
        <x:f>--AND(I$3&gt;=EDATE($B$75,-'Вводные'!$E$90),I$3&lt;$B$76,'Вводные'!$B$90="Да")</x:f>
      </x:c>
      <x:c r="J77" t="n">
        <x:f>--AND(J$3&gt;=EDATE($B$75,-'Вводные'!$E$90),J$3&lt;$B$76,'Вводные'!$B$90="Да")</x:f>
      </x:c>
      <x:c r="K77" t="n">
        <x:f>--AND(K$3&gt;=EDATE($B$75,-'Вводные'!$E$90),K$3&lt;$B$76,'Вводные'!$B$90="Да")</x:f>
      </x:c>
      <x:c r="L77" t="n">
        <x:f>--AND(L$3&gt;=EDATE($B$75,-'Вводные'!$E$90),L$3&lt;$B$76,'Вводные'!$B$90="Да")</x:f>
      </x:c>
      <x:c r="M77" t="n">
        <x:f>--AND(M$3&gt;=EDATE($B$75,-'Вводные'!$E$90),M$3&lt;$B$76,'Вводные'!$B$90="Да")</x:f>
      </x:c>
      <x:c r="N77" t="n">
        <x:f>--AND(N$3&gt;=EDATE($B$75,-'Вводные'!$E$90),N$3&lt;$B$76,'Вводные'!$B$90="Да")</x:f>
      </x:c>
      <x:c r="O77" t="n">
        <x:f>--AND(O$3&gt;=EDATE($B$75,-'Вводные'!$E$90),O$3&lt;$B$76,'Вводные'!$B$90="Да")</x:f>
      </x:c>
      <x:c r="P77" t="n">
        <x:f>--AND(P$3&gt;=EDATE($B$75,-'Вводные'!$E$90),P$3&lt;$B$76,'Вводные'!$B$90="Да")</x:f>
      </x:c>
      <x:c r="Q77" t="n">
        <x:f>--AND(Q$3&gt;=EDATE($B$75,-'Вводные'!$E$90),Q$3&lt;$B$76,'Вводные'!$B$90="Да")</x:f>
      </x:c>
      <x:c r="R77" t="n">
        <x:f>--AND(R$3&gt;=EDATE($B$75,-'Вводные'!$E$90),R$3&lt;$B$76,'Вводные'!$B$90="Да")</x:f>
      </x:c>
      <x:c r="S77" t="n">
        <x:f>--AND(S$3&gt;=EDATE($B$75,-'Вводные'!$E$90),S$3&lt;$B$76,'Вводные'!$B$90="Да")</x:f>
      </x:c>
      <x:c r="T77" t="n">
        <x:f>--AND(T$3&gt;=EDATE($B$75,-'Вводные'!$E$90),T$3&lt;$B$76,'Вводные'!$B$90="Да")</x:f>
      </x:c>
      <x:c r="U77" t="n">
        <x:f>--AND(U$3&gt;=EDATE($B$75,-'Вводные'!$E$90),U$3&lt;$B$76,'Вводные'!$B$90="Да")</x:f>
      </x:c>
      <x:c r="V77" t="n">
        <x:f>--AND(V$3&gt;=EDATE($B$75,-'Вводные'!$E$90),V$3&lt;$B$76,'Вводные'!$B$90="Да")</x:f>
      </x:c>
      <x:c r="W77" t="n">
        <x:f>--AND(W$3&gt;=EDATE($B$75,-'Вводные'!$E$90),W$3&lt;$B$76,'Вводные'!$B$90="Да")</x:f>
      </x:c>
      <x:c r="X77" t="n">
        <x:f>--AND(X$3&gt;=EDATE($B$75,-'Вводные'!$E$90),X$3&lt;$B$76,'Вводные'!$B$90="Да")</x:f>
      </x:c>
      <x:c r="Y77" t="n">
        <x:f>--AND(Y$3&gt;=EDATE($B$75,-'Вводные'!$E$90),Y$3&lt;$B$76,'Вводные'!$B$90="Да")</x:f>
      </x:c>
      <x:c r="Z77" t="n">
        <x:f>--AND(Z$3&gt;=EDATE($B$75,-'Вводные'!$E$90),Z$3&lt;$B$76,'Вводные'!$B$90="Да")</x:f>
      </x:c>
      <x:c r="AA77" t="n">
        <x:f>--AND(AA$3&gt;=EDATE($B$75,-'Вводные'!$E$90),AA$3&lt;$B$76,'Вводные'!$B$90="Да")</x:f>
      </x:c>
      <x:c r="AB77" t="n">
        <x:f>--AND(AB$3&gt;=EDATE($B$75,-'Вводные'!$E$90),AB$3&lt;$B$76,'Вводные'!$B$90="Да")</x:f>
      </x:c>
      <x:c r="AC77" t="n">
        <x:f>--AND(AC$3&gt;=EDATE($B$75,-'Вводные'!$E$90),AC$3&lt;$B$76,'Вводные'!$B$90="Да")</x:f>
      </x:c>
      <x:c r="AD77" t="n">
        <x:f>--AND(AD$3&gt;=EDATE($B$75,-'Вводные'!$E$90),AD$3&lt;$B$76,'Вводные'!$B$90="Да")</x:f>
      </x:c>
      <x:c r="AE77" t="n">
        <x:f>--AND(AE$3&gt;=EDATE($B$75,-'Вводные'!$E$90),AE$3&lt;$B$76,'Вводные'!$B$90="Да")</x:f>
      </x:c>
      <x:c r="AF77" t="n">
        <x:f>--AND(AF$3&gt;=EDATE($B$75,-'Вводные'!$E$90),AF$3&lt;$B$76,'Вводные'!$B$90="Да")</x:f>
      </x:c>
      <x:c r="AG77" t="n">
        <x:f>--AND(AG$3&gt;=EDATE($B$75,-'Вводные'!$E$90),AG$3&lt;$B$76,'Вводные'!$B$90="Да")</x:f>
      </x:c>
      <x:c r="AH77" t="n">
        <x:f>--AND(AH$3&gt;=EDATE($B$75,-'Вводные'!$E$90),AH$3&lt;$B$76,'Вводные'!$B$90="Да")</x:f>
      </x:c>
      <x:c r="AI77" t="n">
        <x:f>--AND(AI$3&gt;=EDATE($B$75,-'Вводные'!$E$90),AI$3&lt;$B$76,'Вводные'!$B$90="Да")</x:f>
      </x:c>
      <x:c r="AJ77" t="n">
        <x:f>--AND(AJ$3&gt;=EDATE($B$75,-'Вводные'!$E$90),AJ$3&lt;$B$76,'Вводные'!$B$90="Да")</x:f>
      </x:c>
      <x:c r="AK77" t="n">
        <x:f>--AND(AK$3&gt;=EDATE($B$75,-'Вводные'!$E$90),AK$3&lt;$B$76,'Вводные'!$B$90="Да")</x:f>
      </x:c>
      <x:c r="AL77" t="n">
        <x:f>--AND(AL$3&gt;=EDATE($B$75,-'Вводные'!$E$90),AL$3&lt;$B$76,'Вводные'!$B$90="Да")</x:f>
      </x:c>
      <x:c r="AM77" t="n">
        <x:f>--AND(AM$3&gt;=EDATE($B$75,-'Вводные'!$E$90),AM$3&lt;$B$76,'Вводные'!$B$90="Да")</x:f>
      </x:c>
      <x:c r="AN77" t="n">
        <x:f>--AND(AN$3&gt;=EDATE($B$75,-'Вводные'!$E$90),AN$3&lt;$B$76,'Вводные'!$B$90="Да")</x:f>
      </x:c>
      <x:c r="AO77" t="n">
        <x:f>--AND(AO$3&gt;=EDATE($B$75,-'Вводные'!$E$90),AO$3&lt;$B$76,'Вводные'!$B$90="Да")</x:f>
      </x:c>
      <x:c r="AP77" t="n">
        <x:f>--AND(AP$3&gt;=EDATE($B$75,-'Вводные'!$E$90),AP$3&lt;$B$76,'Вводные'!$B$90="Да")</x:f>
      </x:c>
      <x:c r="AQ77" t="n">
        <x:f>--AND(AQ$3&gt;=EDATE($B$75,-'Вводные'!$E$90),AQ$3&lt;$B$76,'Вводные'!$B$90="Да")</x:f>
      </x:c>
      <x:c r="AR77" t="n">
        <x:f>--AND(AR$3&gt;=EDATE($B$75,-'Вводные'!$E$90),AR$3&lt;$B$76,'Вводные'!$B$90="Да")</x:f>
      </x:c>
      <x:c r="AS77" t="n">
        <x:f>--AND(AS$3&gt;=EDATE($B$75,-'Вводные'!$E$90),AS$3&lt;$B$76,'Вводные'!$B$90="Да")</x:f>
      </x:c>
      <x:c r="AT77" t="n">
        <x:f>--AND(AT$3&gt;=EDATE($B$75,-'Вводные'!$E$90),AT$3&lt;$B$76,'Вводные'!$B$90="Да")</x:f>
      </x:c>
      <x:c r="AU77" t="n">
        <x:f>--AND(AU$3&gt;=EDATE($B$75,-'Вводные'!$E$90),AU$3&lt;$B$76,'Вводные'!$B$90="Да")</x:f>
      </x:c>
      <x:c r="AV77" t="n">
        <x:f>--AND(AV$3&gt;=EDATE($B$75,-'Вводные'!$E$90),AV$3&lt;$B$76,'Вводные'!$B$90="Да")</x:f>
      </x:c>
      <x:c r="AW77" t="n">
        <x:f>--AND(AW$3&gt;=EDATE($B$75,-'Вводные'!$E$90),AW$3&lt;$B$76,'Вводные'!$B$90="Да")</x:f>
      </x:c>
      <x:c r="AX77" t="n">
        <x:f>--AND(AX$3&gt;=EDATE($B$75,-'Вводные'!$E$90),AX$3&lt;$B$76,'Вводные'!$B$90="Да")</x:f>
      </x:c>
      <x:c r="AY77" t="n">
        <x:f>--AND(AY$3&gt;=EDATE($B$75,-'Вводные'!$E$90),AY$3&lt;$B$76,'Вводные'!$B$90="Да")</x:f>
      </x:c>
      <x:c r="AZ77" t="n">
        <x:f>--AND(AZ$3&gt;=EDATE($B$75,-'Вводные'!$E$90),AZ$3&lt;$B$76,'Вводные'!$B$90="Да")</x:f>
      </x:c>
      <x:c r="BA77" t="n">
        <x:f>--AND(BA$3&gt;=EDATE($B$75,-'Вводные'!$E$90),BA$3&lt;$B$76,'Вводные'!$B$90="Да")</x:f>
      </x:c>
      <x:c r="BB77" t="n">
        <x:f>--AND(BB$3&gt;=EDATE($B$75,-'Вводные'!$E$90),BB$3&lt;$B$76,'Вводные'!$B$90="Да")</x:f>
      </x:c>
      <x:c r="BC77" t="n">
        <x:f>--AND(BC$3&gt;=EDATE($B$75,-'Вводные'!$E$90),BC$3&lt;$B$76,'Вводные'!$B$90="Да")</x:f>
      </x:c>
      <x:c r="BD77" t="n">
        <x:f>--AND(BD$3&gt;=EDATE($B$75,-'Вводные'!$E$90),BD$3&lt;$B$76,'Вводные'!$B$90="Да")</x:f>
      </x:c>
      <x:c r="BE77" t="n">
        <x:f>--AND(BE$3&gt;=EDATE($B$75,-'Вводные'!$E$90),BE$3&lt;$B$76,'Вводные'!$B$90="Да")</x:f>
      </x:c>
      <x:c r="BF77" t="n">
        <x:f>--AND(BF$3&gt;=EDATE($B$75,-'Вводные'!$E$90),BF$3&lt;$B$76,'Вводные'!$B$90="Да")</x:f>
      </x:c>
      <x:c r="BG77" t="n">
        <x:f>--AND(BG$3&gt;=EDATE($B$75,-'Вводные'!$E$90),BG$3&lt;$B$76,'Вводные'!$B$90="Да")</x:f>
      </x:c>
      <x:c r="BH77" t="n">
        <x:f>--AND(BH$3&gt;=EDATE($B$75,-'Вводные'!$E$90),BH$3&lt;$B$76,'Вводные'!$B$90="Да")</x:f>
      </x:c>
      <x:c r="BI77" t="n">
        <x:f>--AND(BI$3&gt;=EDATE($B$75,-'Вводные'!$E$90),BI$3&lt;$B$76,'Вводные'!$B$90="Да")</x:f>
      </x:c>
      <x:c r="BJ77" t="n">
        <x:f>--AND(BJ$3&gt;=EDATE($B$75,-'Вводные'!$E$90),BJ$3&lt;$B$76,'Вводные'!$B$90="Да")</x:f>
      </x:c>
      <x:c r="BK77" t="n">
        <x:f>--AND(BK$3&gt;=EDATE($B$75,-'Вводные'!$E$90),BK$3&lt;$B$76,'Вводные'!$B$90="Да")</x:f>
      </x:c>
      <x:c r="BL77" t="n">
        <x:f>--AND(BL$3&gt;=EDATE($B$75,-'Вводные'!$E$90),BL$3&lt;$B$76,'Вводные'!$B$90="Да")</x:f>
      </x:c>
      <x:c r="BM77" t="n">
        <x:f>--AND(BM$3&gt;=EDATE($B$75,-'Вводные'!$E$90),BM$3&lt;$B$76,'Вводные'!$B$90="Да")</x:f>
      </x:c>
      <x:c r="BN77" t="n">
        <x:f>--AND(BN$3&gt;=EDATE($B$75,-'Вводные'!$E$90),BN$3&lt;$B$76,'Вводные'!$B$90="Да")</x:f>
      </x:c>
      <x:c r="BO77" t="n">
        <x:f>--AND(BO$3&gt;=EDATE($B$75,-'Вводные'!$E$90),BO$3&lt;$B$76,'Вводные'!$B$90="Да")</x:f>
      </x:c>
      <x:c r="BP77" t="n">
        <x:f>--AND(BP$3&gt;=EDATE($B$75,-'Вводные'!$E$90),BP$3&lt;$B$76,'Вводные'!$B$90="Да")</x:f>
      </x:c>
      <x:c r="BQ77" t="n">
        <x:f>--AND(BQ$3&gt;=EDATE($B$75,-'Вводные'!$E$90),BQ$3&lt;$B$76,'Вводные'!$B$90="Да")</x:f>
      </x:c>
      <x:c r="BR77" t="n">
        <x:f>--AND(BR$3&gt;=EDATE($B$75,-'Вводные'!$E$90),BR$3&lt;$B$76,'Вводные'!$B$90="Да")</x:f>
      </x:c>
      <x:c r="BS77" t="n">
        <x:f>--AND(BS$3&gt;=EDATE($B$75,-'Вводные'!$E$90),BS$3&lt;$B$76,'Вводные'!$B$90="Да")</x:f>
      </x:c>
      <x:c r="BT77" t="n">
        <x:f>--AND(BT$3&gt;=EDATE($B$75,-'Вводные'!$E$90),BT$3&lt;$B$76,'Вводные'!$B$90="Да")</x:f>
      </x:c>
      <x:c r="BU77" t="n">
        <x:f>--AND(BU$3&gt;=EDATE($B$75,-'Вводные'!$E$90),BU$3&lt;$B$76,'Вводные'!$B$90="Да")</x:f>
      </x:c>
      <x:c r="BV77" t="n">
        <x:f>--AND(BV$3&gt;=EDATE($B$75,-'Вводные'!$E$90),BV$3&lt;$B$76,'Вводные'!$B$90="Да")</x:f>
      </x:c>
      <x:c r="BW77" t="n">
        <x:f>--AND(BW$3&gt;=EDATE($B$75,-'Вводные'!$E$90),BW$3&lt;$B$76,'Вводные'!$B$90="Да")</x:f>
      </x:c>
      <x:c r="BX77" t="n">
        <x:f>--AND(BX$3&gt;=EDATE($B$75,-'Вводные'!$E$90),BX$3&lt;$B$76,'Вводные'!$B$90="Да")</x:f>
      </x:c>
      <x:c r="BY77" t="n">
        <x:f>--AND(BY$3&gt;=EDATE($B$75,-'Вводные'!$E$90),BY$3&lt;$B$76,'Вводные'!$B$90="Да")</x:f>
      </x:c>
      <x:c r="BZ77" t="n">
        <x:f>--AND(BZ$3&gt;=EDATE($B$75,-'Вводные'!$E$90),BZ$3&lt;$B$76,'Вводные'!$B$90="Да")</x:f>
      </x:c>
      <x:c r="CA77" t="n">
        <x:f>--AND(CA$3&gt;=EDATE($B$75,-'Вводные'!$E$90),CA$3&lt;$B$76,'Вводные'!$B$90="Да")</x:f>
      </x:c>
      <x:c r="CB77" t="n">
        <x:f>--AND(CB$3&gt;=EDATE($B$75,-'Вводные'!$E$90),CB$3&lt;$B$76,'Вводные'!$B$90="Да")</x:f>
      </x:c>
      <x:c r="CC77" t="n">
        <x:f>--AND(CC$3&gt;=EDATE($B$75,-'Вводные'!$E$90),CC$3&lt;$B$76,'Вводные'!$B$90="Да")</x:f>
      </x:c>
      <x:c r="CD77" t="n">
        <x:f>--AND(CD$3&gt;=EDATE($B$75,-'Вводные'!$E$90),CD$3&lt;$B$76,'Вводные'!$B$90="Да")</x:f>
      </x:c>
      <x:c r="CE77" t="n">
        <x:f>--AND(CE$3&gt;=EDATE($B$75,-'Вводные'!$E$90),CE$3&lt;$B$76,'Вводные'!$B$90="Да")</x:f>
      </x:c>
      <x:c r="CF77" t="n">
        <x:f>--AND(CF$3&gt;=EDATE($B$75,-'Вводные'!$E$90),CF$3&lt;$B$76,'Вводные'!$B$90="Да")</x:f>
      </x:c>
      <x:c r="CG77" t="n">
        <x:f>--AND(CG$3&gt;=EDATE($B$75,-'Вводные'!$E$90),CG$3&lt;$B$76,'Вводные'!$B$90="Да")</x:f>
      </x:c>
      <x:c r="CH77" t="n">
        <x:f>--AND(CH$3&gt;=EDATE($B$75,-'Вводные'!$E$90),CH$3&lt;$B$76,'Вводные'!$B$90="Да")</x:f>
      </x:c>
      <x:c r="CI77" t="n">
        <x:f>--AND(CI$3&gt;=EDATE($B$75,-'Вводные'!$E$90),CI$3&lt;$B$76,'Вводные'!$B$90="Да")</x:f>
      </x:c>
      <x:c r="CJ77" t="n">
        <x:f>--AND(CJ$3&gt;=EDATE($B$75,-'Вводные'!$E$90),CJ$3&lt;$B$76,'Вводные'!$B$90="Да")</x:f>
      </x:c>
      <x:c r="CK77" t="n">
        <x:f>--AND(CK$3&gt;=EDATE($B$75,-'Вводные'!$E$90),CK$3&lt;$B$76,'Вводные'!$B$90="Да")</x:f>
      </x:c>
      <x:c r="CL77" t="n">
        <x:f>--AND(CL$3&gt;=EDATE($B$75,-'Вводные'!$E$90),CL$3&lt;$B$76,'Вводные'!$B$90="Да")</x:f>
      </x:c>
      <x:c r="CM77" t="n">
        <x:f>--AND(CM$3&gt;=EDATE($B$75,-'Вводные'!$E$90),CM$3&lt;$B$76,'Вводные'!$B$90="Да")</x:f>
      </x:c>
      <x:c r="CN77" t="n">
        <x:f>--AND(CN$3&gt;=EDATE($B$75,-'Вводные'!$E$90),CN$3&lt;$B$76,'Вводные'!$B$90="Да")</x:f>
      </x:c>
      <x:c r="CO77" t="n">
        <x:f>--AND(CO$3&gt;=EDATE($B$75,-'Вводные'!$E$90),CO$3&lt;$B$76,'Вводные'!$B$90="Да")</x:f>
      </x:c>
      <x:c r="CP77" t="n">
        <x:f>--AND(CP$3&gt;=EDATE($B$75,-'Вводные'!$E$90),CP$3&lt;$B$76,'Вводные'!$B$90="Да")</x:f>
      </x:c>
      <x:c r="CQ77" t="n">
        <x:f>--AND(CQ$3&gt;=EDATE($B$75,-'Вводные'!$E$90),CQ$3&lt;$B$76,'Вводные'!$B$90="Да")</x:f>
      </x:c>
      <x:c r="CR77" t="n">
        <x:f>--AND(CR$3&gt;=EDATE($B$75,-'Вводные'!$E$90),CR$3&lt;$B$76,'Вводные'!$B$90="Да")</x:f>
      </x:c>
      <x:c r="CS77" t="n">
        <x:f>--AND(CS$3&gt;=EDATE($B$75,-'Вводные'!$E$90),CS$3&lt;$B$76,'Вводные'!$B$90="Да")</x:f>
      </x:c>
      <x:c r="CT77" t="n">
        <x:f>--AND(CT$3&gt;=EDATE($B$75,-'Вводные'!$E$90),CT$3&lt;$B$76,'Вводные'!$B$90="Да")</x:f>
      </x:c>
      <x:c r="CU77" t="n">
        <x:f>--AND(CU$3&gt;=EDATE($B$75,-'Вводные'!$E$90),CU$3&lt;$B$76,'Вводные'!$B$90="Да")</x:f>
      </x:c>
      <x:c r="CV77" t="n">
        <x:f>--AND(CV$3&gt;=EDATE($B$75,-'Вводные'!$E$90),CV$3&lt;$B$76,'Вводные'!$B$90="Да")</x:f>
      </x:c>
      <x:c r="CW77" t="n">
        <x:f>--AND(CW$3&gt;=EDATE($B$75,-'Вводные'!$E$90),CW$3&lt;$B$76,'Вводные'!$B$90="Да")</x:f>
      </x:c>
      <x:c r="CX77" t="n">
        <x:f>--AND(CX$3&gt;=EDATE($B$75,-'Вводные'!$E$90),CX$3&lt;$B$76,'Вводные'!$B$90="Да")</x:f>
      </x:c>
      <x:c r="CY77" t="n">
        <x:f>--AND(CY$3&gt;=EDATE($B$75,-'Вводные'!$E$90),CY$3&lt;$B$76,'Вводные'!$B$90="Да")</x:f>
      </x:c>
      <x:c r="CZ77" t="n">
        <x:f>--AND(CZ$3&gt;=EDATE($B$75,-'Вводные'!$E$90),CZ$3&lt;$B$76,'Вводные'!$B$90="Да")</x:f>
      </x:c>
      <x:c r="DA77" t="n">
        <x:f>--AND(DA$3&gt;=EDATE($B$75,-'Вводные'!$E$90),DA$3&lt;$B$76,'Вводные'!$B$90="Да")</x:f>
      </x:c>
      <x:c r="DB77" t="n">
        <x:f>--AND(DB$3&gt;=EDATE($B$75,-'Вводные'!$E$90),DB$3&lt;$B$76,'Вводные'!$B$90="Да")</x:f>
      </x:c>
      <x:c r="DC77" t="n">
        <x:f>--AND(DC$3&gt;=EDATE($B$75,-'Вводные'!$E$90),DC$3&lt;$B$76,'Вводные'!$B$90="Да")</x:f>
      </x:c>
      <x:c r="DD77" t="n">
        <x:f>--AND(DD$3&gt;=EDATE($B$75,-'Вводные'!$E$90),DD$3&lt;$B$76,'Вводные'!$B$90="Да")</x:f>
      </x:c>
      <x:c r="DE77" t="n">
        <x:f>--AND(DE$3&gt;=EDATE($B$75,-'Вводные'!$E$90),DE$3&lt;$B$76,'Вводные'!$B$90="Да")</x:f>
      </x:c>
      <x:c r="DF77" t="n">
        <x:f>--AND(DF$3&gt;=EDATE($B$75,-'Вводные'!$E$90),DF$3&lt;$B$76,'Вводные'!$B$90="Да")</x:f>
      </x:c>
      <x:c r="DG77" t="n">
        <x:f>--AND(DG$3&gt;=EDATE($B$75,-'Вводные'!$E$90),DG$3&lt;$B$76,'Вводные'!$B$90="Да")</x:f>
      </x:c>
      <x:c r="DH77" t="n">
        <x:f>--AND(DH$3&gt;=EDATE($B$75,-'Вводные'!$E$90),DH$3&lt;$B$76,'Вводные'!$B$90="Да")</x:f>
      </x:c>
      <x:c r="DI77" t="n">
        <x:f>--AND(DI$3&gt;=EDATE($B$75,-'Вводные'!$E$90),DI$3&lt;$B$76,'Вводные'!$B$90="Да")</x:f>
      </x:c>
      <x:c r="DJ77" t="n">
        <x:f>--AND(DJ$3&gt;=EDATE($B$75,-'Вводные'!$E$90),DJ$3&lt;$B$76,'Вводные'!$B$90="Да")</x:f>
      </x:c>
      <x:c r="DK77" t="n">
        <x:f>--AND(DK$3&gt;=EDATE($B$75,-'Вводные'!$E$90),DK$3&lt;$B$76,'Вводные'!$B$90="Да")</x:f>
      </x:c>
      <x:c r="DL77" t="n">
        <x:f>--AND(DL$3&gt;=EDATE($B$75,-'Вводные'!$E$90),DL$3&lt;$B$76,'Вводные'!$B$90="Да")</x:f>
      </x:c>
      <x:c r="DM77" t="n">
        <x:f>--AND(DM$3&gt;=EDATE($B$75,-'Вводные'!$E$90),DM$3&lt;$B$76,'Вводные'!$B$90="Да")</x:f>
      </x:c>
      <x:c r="DN77" t="n">
        <x:f>--AND(DN$3&gt;=EDATE($B$75,-'Вводные'!$E$90),DN$3&lt;$B$76,'Вводные'!$B$90="Да")</x:f>
      </x:c>
      <x:c r="DO77" t="n">
        <x:f>--AND(DO$3&gt;=EDATE($B$75,-'Вводные'!$E$90),DO$3&lt;$B$76,'Вводные'!$B$90="Да")</x:f>
      </x:c>
      <x:c r="DP77" t="n">
        <x:f>--AND(DP$3&gt;=EDATE($B$75,-'Вводные'!$E$90),DP$3&lt;$B$76,'Вводные'!$B$90="Да")</x:f>
      </x:c>
      <x:c r="DQ77" t="n">
        <x:f>--AND(DQ$3&gt;=EDATE($B$75,-'Вводные'!$E$90),DQ$3&lt;$B$76,'Вводные'!$B$90="Да")</x:f>
      </x:c>
      <x:c r="DR77" t="n">
        <x:f>--AND(DR$3&gt;=EDATE($B$75,-'Вводные'!$E$90),DR$3&lt;$B$76,'Вводные'!$B$90="Да")</x:f>
      </x:c>
      <x:c r="DS77" t="n">
        <x:f>--AND(DS$3&gt;=EDATE($B$75,-'Вводные'!$E$90),DS$3&lt;$B$76,'Вводные'!$B$90="Да")</x:f>
      </x:c>
    </x:row>
    <x:row r="78">
      <x:c r="A78" t="str">
        <x:v>Нормированный вес проекта</x:v>
      </x:c>
      <x:c r="B78"/>
      <x:c r="C78" t="str">
        <x:v>%</x:v>
      </x:c>
      <x:c r="D78" s="35" t="n">
        <x:f>IFERROR(D77/SUM($D77:$DS77),0)</x:f>
      </x:c>
      <x:c r="E78" s="35" t="n">
        <x:f>IFERROR(E77/SUM($D77:$DS77),0)</x:f>
      </x:c>
      <x:c r="F78" s="35" t="n">
        <x:f>IFERROR(F77/SUM($D77:$DS77),0)</x:f>
      </x:c>
      <x:c r="G78" s="35" t="n">
        <x:f>IFERROR(G77/SUM($D77:$DS77),0)</x:f>
      </x:c>
      <x:c r="H78" s="35" t="n">
        <x:f>IFERROR(H77/SUM($D77:$DS77),0)</x:f>
      </x:c>
      <x:c r="I78" s="35" t="n">
        <x:f>IFERROR(I77/SUM($D77:$DS77),0)</x:f>
      </x:c>
      <x:c r="J78" s="35" t="n">
        <x:f>IFERROR(J77/SUM($D77:$DS77),0)</x:f>
      </x:c>
      <x:c r="K78" s="35" t="n">
        <x:f>IFERROR(K77/SUM($D77:$DS77),0)</x:f>
      </x:c>
      <x:c r="L78" s="35" t="n">
        <x:f>IFERROR(L77/SUM($D77:$DS77),0)</x:f>
      </x:c>
      <x:c r="M78" s="35" t="n">
        <x:f>IFERROR(M77/SUM($D77:$DS77),0)</x:f>
      </x:c>
      <x:c r="N78" s="35" t="n">
        <x:f>IFERROR(N77/SUM($D77:$DS77),0)</x:f>
      </x:c>
      <x:c r="O78" s="35" t="n">
        <x:f>IFERROR(O77/SUM($D77:$DS77),0)</x:f>
      </x:c>
      <x:c r="P78" s="35" t="n">
        <x:f>IFERROR(P77/SUM($D77:$DS77),0)</x:f>
      </x:c>
      <x:c r="Q78" s="35" t="n">
        <x:f>IFERROR(Q77/SUM($D77:$DS77),0)</x:f>
      </x:c>
      <x:c r="R78" s="35" t="n">
        <x:f>IFERROR(R77/SUM($D77:$DS77),0)</x:f>
      </x:c>
      <x:c r="S78" s="35" t="n">
        <x:f>IFERROR(S77/SUM($D77:$DS77),0)</x:f>
      </x:c>
      <x:c r="T78" s="35" t="n">
        <x:f>IFERROR(T77/SUM($D77:$DS77),0)</x:f>
      </x:c>
      <x:c r="U78" s="35" t="n">
        <x:f>IFERROR(U77/SUM($D77:$DS77),0)</x:f>
      </x:c>
      <x:c r="V78" s="35" t="n">
        <x:f>IFERROR(V77/SUM($D77:$DS77),0)</x:f>
      </x:c>
      <x:c r="W78" s="35" t="n">
        <x:f>IFERROR(W77/SUM($D77:$DS77),0)</x:f>
      </x:c>
      <x:c r="X78" s="35" t="n">
        <x:f>IFERROR(X77/SUM($D77:$DS77),0)</x:f>
      </x:c>
      <x:c r="Y78" s="35" t="n">
        <x:f>IFERROR(Y77/SUM($D77:$DS77),0)</x:f>
      </x:c>
      <x:c r="Z78" s="35" t="n">
        <x:f>IFERROR(Z77/SUM($D77:$DS77),0)</x:f>
      </x:c>
      <x:c r="AA78" s="35" t="n">
        <x:f>IFERROR(AA77/SUM($D77:$DS77),0)</x:f>
      </x:c>
      <x:c r="AB78" s="35" t="n">
        <x:f>IFERROR(AB77/SUM($D77:$DS77),0)</x:f>
      </x:c>
      <x:c r="AC78" s="35" t="n">
        <x:f>IFERROR(AC77/SUM($D77:$DS77),0)</x:f>
      </x:c>
      <x:c r="AD78" s="35" t="n">
        <x:f>IFERROR(AD77/SUM($D77:$DS77),0)</x:f>
      </x:c>
      <x:c r="AE78" s="35" t="n">
        <x:f>IFERROR(AE77/SUM($D77:$DS77),0)</x:f>
      </x:c>
      <x:c r="AF78" s="35" t="n">
        <x:f>IFERROR(AF77/SUM($D77:$DS77),0)</x:f>
      </x:c>
      <x:c r="AG78" s="35" t="n">
        <x:f>IFERROR(AG77/SUM($D77:$DS77),0)</x:f>
      </x:c>
      <x:c r="AH78" s="35" t="n">
        <x:f>IFERROR(AH77/SUM($D77:$DS77),0)</x:f>
      </x:c>
      <x:c r="AI78" s="35" t="n">
        <x:f>IFERROR(AI77/SUM($D77:$DS77),0)</x:f>
      </x:c>
      <x:c r="AJ78" s="35" t="n">
        <x:f>IFERROR(AJ77/SUM($D77:$DS77),0)</x:f>
      </x:c>
      <x:c r="AK78" s="35" t="n">
        <x:f>IFERROR(AK77/SUM($D77:$DS77),0)</x:f>
      </x:c>
      <x:c r="AL78" s="35" t="n">
        <x:f>IFERROR(AL77/SUM($D77:$DS77),0)</x:f>
      </x:c>
      <x:c r="AM78" s="35" t="n">
        <x:f>IFERROR(AM77/SUM($D77:$DS77),0)</x:f>
      </x:c>
      <x:c r="AN78" s="35" t="n">
        <x:f>IFERROR(AN77/SUM($D77:$DS77),0)</x:f>
      </x:c>
      <x:c r="AO78" s="35" t="n">
        <x:f>IFERROR(AO77/SUM($D77:$DS77),0)</x:f>
      </x:c>
      <x:c r="AP78" s="35" t="n">
        <x:f>IFERROR(AP77/SUM($D77:$DS77),0)</x:f>
      </x:c>
      <x:c r="AQ78" s="35" t="n">
        <x:f>IFERROR(AQ77/SUM($D77:$DS77),0)</x:f>
      </x:c>
      <x:c r="AR78" s="35" t="n">
        <x:f>IFERROR(AR77/SUM($D77:$DS77),0)</x:f>
      </x:c>
      <x:c r="AS78" s="35" t="n">
        <x:f>IFERROR(AS77/SUM($D77:$DS77),0)</x:f>
      </x:c>
      <x:c r="AT78" s="35" t="n">
        <x:f>IFERROR(AT77/SUM($D77:$DS77),0)</x:f>
      </x:c>
      <x:c r="AU78" s="35" t="n">
        <x:f>IFERROR(AU77/SUM($D77:$DS77),0)</x:f>
      </x:c>
      <x:c r="AV78" s="35" t="n">
        <x:f>IFERROR(AV77/SUM($D77:$DS77),0)</x:f>
      </x:c>
      <x:c r="AW78" s="35" t="n">
        <x:f>IFERROR(AW77/SUM($D77:$DS77),0)</x:f>
      </x:c>
      <x:c r="AX78" s="35" t="n">
        <x:f>IFERROR(AX77/SUM($D77:$DS77),0)</x:f>
      </x:c>
      <x:c r="AY78" s="35" t="n">
        <x:f>IFERROR(AY77/SUM($D77:$DS77),0)</x:f>
      </x:c>
      <x:c r="AZ78" s="35" t="n">
        <x:f>IFERROR(AZ77/SUM($D77:$DS77),0)</x:f>
      </x:c>
      <x:c r="BA78" s="35" t="n">
        <x:f>IFERROR(BA77/SUM($D77:$DS77),0)</x:f>
      </x:c>
      <x:c r="BB78" s="35" t="n">
        <x:f>IFERROR(BB77/SUM($D77:$DS77),0)</x:f>
      </x:c>
      <x:c r="BC78" s="35" t="n">
        <x:f>IFERROR(BC77/SUM($D77:$DS77),0)</x:f>
      </x:c>
      <x:c r="BD78" s="35" t="n">
        <x:f>IFERROR(BD77/SUM($D77:$DS77),0)</x:f>
      </x:c>
      <x:c r="BE78" s="35" t="n">
        <x:f>IFERROR(BE77/SUM($D77:$DS77),0)</x:f>
      </x:c>
      <x:c r="BF78" s="35" t="n">
        <x:f>IFERROR(BF77/SUM($D77:$DS77),0)</x:f>
      </x:c>
      <x:c r="BG78" s="35" t="n">
        <x:f>IFERROR(BG77/SUM($D77:$DS77),0)</x:f>
      </x:c>
      <x:c r="BH78" s="35" t="n">
        <x:f>IFERROR(BH77/SUM($D77:$DS77),0)</x:f>
      </x:c>
      <x:c r="BI78" s="35" t="n">
        <x:f>IFERROR(BI77/SUM($D77:$DS77),0)</x:f>
      </x:c>
      <x:c r="BJ78" s="35" t="n">
        <x:f>IFERROR(BJ77/SUM($D77:$DS77),0)</x:f>
      </x:c>
      <x:c r="BK78" s="35" t="n">
        <x:f>IFERROR(BK77/SUM($D77:$DS77),0)</x:f>
      </x:c>
      <x:c r="BL78" s="35" t="n">
        <x:f>IFERROR(BL77/SUM($D77:$DS77),0)</x:f>
      </x:c>
      <x:c r="BM78" s="35" t="n">
        <x:f>IFERROR(BM77/SUM($D77:$DS77),0)</x:f>
      </x:c>
      <x:c r="BN78" s="35" t="n">
        <x:f>IFERROR(BN77/SUM($D77:$DS77),0)</x:f>
      </x:c>
      <x:c r="BO78" s="35" t="n">
        <x:f>IFERROR(BO77/SUM($D77:$DS77),0)</x:f>
      </x:c>
      <x:c r="BP78" s="35" t="n">
        <x:f>IFERROR(BP77/SUM($D77:$DS77),0)</x:f>
      </x:c>
      <x:c r="BQ78" s="35" t="n">
        <x:f>IFERROR(BQ77/SUM($D77:$DS77),0)</x:f>
      </x:c>
      <x:c r="BR78" s="35" t="n">
        <x:f>IFERROR(BR77/SUM($D77:$DS77),0)</x:f>
      </x:c>
      <x:c r="BS78" s="35" t="n">
        <x:f>IFERROR(BS77/SUM($D77:$DS77),0)</x:f>
      </x:c>
      <x:c r="BT78" s="35" t="n">
        <x:f>IFERROR(BT77/SUM($D77:$DS77),0)</x:f>
      </x:c>
      <x:c r="BU78" s="35" t="n">
        <x:f>IFERROR(BU77/SUM($D77:$DS77),0)</x:f>
      </x:c>
      <x:c r="BV78" s="35" t="n">
        <x:f>IFERROR(BV77/SUM($D77:$DS77),0)</x:f>
      </x:c>
      <x:c r="BW78" s="35" t="n">
        <x:f>IFERROR(BW77/SUM($D77:$DS77),0)</x:f>
      </x:c>
      <x:c r="BX78" s="35" t="n">
        <x:f>IFERROR(BX77/SUM($D77:$DS77),0)</x:f>
      </x:c>
      <x:c r="BY78" s="35" t="n">
        <x:f>IFERROR(BY77/SUM($D77:$DS77),0)</x:f>
      </x:c>
      <x:c r="BZ78" s="35" t="n">
        <x:f>IFERROR(BZ77/SUM($D77:$DS77),0)</x:f>
      </x:c>
      <x:c r="CA78" s="35" t="n">
        <x:f>IFERROR(CA77/SUM($D77:$DS77),0)</x:f>
      </x:c>
      <x:c r="CB78" s="35" t="n">
        <x:f>IFERROR(CB77/SUM($D77:$DS77),0)</x:f>
      </x:c>
      <x:c r="CC78" s="35" t="n">
        <x:f>IFERROR(CC77/SUM($D77:$DS77),0)</x:f>
      </x:c>
      <x:c r="CD78" s="35" t="n">
        <x:f>IFERROR(CD77/SUM($D77:$DS77),0)</x:f>
      </x:c>
      <x:c r="CE78" s="35" t="n">
        <x:f>IFERROR(CE77/SUM($D77:$DS77),0)</x:f>
      </x:c>
      <x:c r="CF78" s="35" t="n">
        <x:f>IFERROR(CF77/SUM($D77:$DS77),0)</x:f>
      </x:c>
      <x:c r="CG78" s="35" t="n">
        <x:f>IFERROR(CG77/SUM($D77:$DS77),0)</x:f>
      </x:c>
      <x:c r="CH78" s="35" t="n">
        <x:f>IFERROR(CH77/SUM($D77:$DS77),0)</x:f>
      </x:c>
      <x:c r="CI78" s="35" t="n">
        <x:f>IFERROR(CI77/SUM($D77:$DS77),0)</x:f>
      </x:c>
      <x:c r="CJ78" s="35" t="n">
        <x:f>IFERROR(CJ77/SUM($D77:$DS77),0)</x:f>
      </x:c>
      <x:c r="CK78" s="35" t="n">
        <x:f>IFERROR(CK77/SUM($D77:$DS77),0)</x:f>
      </x:c>
      <x:c r="CL78" s="35" t="n">
        <x:f>IFERROR(CL77/SUM($D77:$DS77),0)</x:f>
      </x:c>
      <x:c r="CM78" s="35" t="n">
        <x:f>IFERROR(CM77/SUM($D77:$DS77),0)</x:f>
      </x:c>
      <x:c r="CN78" s="35" t="n">
        <x:f>IFERROR(CN77/SUM($D77:$DS77),0)</x:f>
      </x:c>
      <x:c r="CO78" s="35" t="n">
        <x:f>IFERROR(CO77/SUM($D77:$DS77),0)</x:f>
      </x:c>
      <x:c r="CP78" s="35" t="n">
        <x:f>IFERROR(CP77/SUM($D77:$DS77),0)</x:f>
      </x:c>
      <x:c r="CQ78" s="35" t="n">
        <x:f>IFERROR(CQ77/SUM($D77:$DS77),0)</x:f>
      </x:c>
      <x:c r="CR78" s="35" t="n">
        <x:f>IFERROR(CR77/SUM($D77:$DS77),0)</x:f>
      </x:c>
      <x:c r="CS78" s="35" t="n">
        <x:f>IFERROR(CS77/SUM($D77:$DS77),0)</x:f>
      </x:c>
      <x:c r="CT78" s="35" t="n">
        <x:f>IFERROR(CT77/SUM($D77:$DS77),0)</x:f>
      </x:c>
      <x:c r="CU78" s="35" t="n">
        <x:f>IFERROR(CU77/SUM($D77:$DS77),0)</x:f>
      </x:c>
      <x:c r="CV78" s="35" t="n">
        <x:f>IFERROR(CV77/SUM($D77:$DS77),0)</x:f>
      </x:c>
      <x:c r="CW78" s="35" t="n">
        <x:f>IFERROR(CW77/SUM($D77:$DS77),0)</x:f>
      </x:c>
      <x:c r="CX78" s="35" t="n">
        <x:f>IFERROR(CX77/SUM($D77:$DS77),0)</x:f>
      </x:c>
      <x:c r="CY78" s="35" t="n">
        <x:f>IFERROR(CY77/SUM($D77:$DS77),0)</x:f>
      </x:c>
      <x:c r="CZ78" s="35" t="n">
        <x:f>IFERROR(CZ77/SUM($D77:$DS77),0)</x:f>
      </x:c>
      <x:c r="DA78" s="35" t="n">
        <x:f>IFERROR(DA77/SUM($D77:$DS77),0)</x:f>
      </x:c>
      <x:c r="DB78" s="35" t="n">
        <x:f>IFERROR(DB77/SUM($D77:$DS77),0)</x:f>
      </x:c>
      <x:c r="DC78" s="35" t="n">
        <x:f>IFERROR(DC77/SUM($D77:$DS77),0)</x:f>
      </x:c>
      <x:c r="DD78" s="35" t="n">
        <x:f>IFERROR(DD77/SUM($D77:$DS77),0)</x:f>
      </x:c>
      <x:c r="DE78" s="35" t="n">
        <x:f>IFERROR(DE77/SUM($D77:$DS77),0)</x:f>
      </x:c>
      <x:c r="DF78" s="35" t="n">
        <x:f>IFERROR(DF77/SUM($D77:$DS77),0)</x:f>
      </x:c>
      <x:c r="DG78" s="35" t="n">
        <x:f>IFERROR(DG77/SUM($D77:$DS77),0)</x:f>
      </x:c>
      <x:c r="DH78" s="35" t="n">
        <x:f>IFERROR(DH77/SUM($D77:$DS77),0)</x:f>
      </x:c>
      <x:c r="DI78" s="35" t="n">
        <x:f>IFERROR(DI77/SUM($D77:$DS77),0)</x:f>
      </x:c>
      <x:c r="DJ78" s="35" t="n">
        <x:f>IFERROR(DJ77/SUM($D77:$DS77),0)</x:f>
      </x:c>
      <x:c r="DK78" s="35" t="n">
        <x:f>IFERROR(DK77/SUM($D77:$DS77),0)</x:f>
      </x:c>
      <x:c r="DL78" s="35" t="n">
        <x:f>IFERROR(DL77/SUM($D77:$DS77),0)</x:f>
      </x:c>
      <x:c r="DM78" s="35" t="n">
        <x:f>IFERROR(DM77/SUM($D77:$DS77),0)</x:f>
      </x:c>
      <x:c r="DN78" s="35" t="n">
        <x:f>IFERROR(DN77/SUM($D77:$DS77),0)</x:f>
      </x:c>
      <x:c r="DO78" s="35" t="n">
        <x:f>IFERROR(DO77/SUM($D77:$DS77),0)</x:f>
      </x:c>
      <x:c r="DP78" s="35" t="n">
        <x:f>IFERROR(DP77/SUM($D77:$DS77),0)</x:f>
      </x:c>
      <x:c r="DQ78" s="35" t="n">
        <x:f>IFERROR(DQ77/SUM($D77:$DS77),0)</x:f>
      </x:c>
      <x:c r="DR78" s="35" t="n">
        <x:f>IFERROR(DR77/SUM($D77:$DS77),0)</x:f>
      </x:c>
      <x:c r="DS78" s="35" t="n">
        <x:f>IFERROR(DS77/SUM($D77:$DS77),0)</x:f>
      </x:c>
    </x:row>
    <x:row r="79">
      <x:c r="A79" t="str">
        <x:v>Флаг строительства</x:v>
      </x:c>
      <x:c r="B79"/>
      <x:c r="C79" t="str">
        <x:v>0/1</x:v>
      </x:c>
      <x:c r="D79" s="35" t="n">
        <x:f>--AND(D$3&gt;=$B$75,D$3&lt;$B$76,'Вводные'!$B$90="Да")</x:f>
      </x:c>
      <x:c r="E79" s="35" t="n">
        <x:f>--AND(E$3&gt;=$B$75,E$3&lt;$B$76,'Вводные'!$B$90="Да")</x:f>
      </x:c>
      <x:c r="F79" s="35" t="n">
        <x:f>--AND(F$3&gt;=$B$75,F$3&lt;$B$76,'Вводные'!$B$90="Да")</x:f>
      </x:c>
      <x:c r="G79" s="35" t="n">
        <x:f>--AND(G$3&gt;=$B$75,G$3&lt;$B$76,'Вводные'!$B$90="Да")</x:f>
      </x:c>
      <x:c r="H79" s="35" t="n">
        <x:f>--AND(H$3&gt;=$B$75,H$3&lt;$B$76,'Вводные'!$B$90="Да")</x:f>
      </x:c>
      <x:c r="I79" s="35" t="n">
        <x:f>--AND(I$3&gt;=$B$75,I$3&lt;$B$76,'Вводные'!$B$90="Да")</x:f>
      </x:c>
      <x:c r="J79" s="35" t="n">
        <x:f>--AND(J$3&gt;=$B$75,J$3&lt;$B$76,'Вводные'!$B$90="Да")</x:f>
      </x:c>
      <x:c r="K79" s="35" t="n">
        <x:f>--AND(K$3&gt;=$B$75,K$3&lt;$B$76,'Вводные'!$B$90="Да")</x:f>
      </x:c>
      <x:c r="L79" s="35" t="n">
        <x:f>--AND(L$3&gt;=$B$75,L$3&lt;$B$76,'Вводные'!$B$90="Да")</x:f>
      </x:c>
      <x:c r="M79" s="35" t="n">
        <x:f>--AND(M$3&gt;=$B$75,M$3&lt;$B$76,'Вводные'!$B$90="Да")</x:f>
      </x:c>
      <x:c r="N79" s="35" t="n">
        <x:f>--AND(N$3&gt;=$B$75,N$3&lt;$B$76,'Вводные'!$B$90="Да")</x:f>
      </x:c>
      <x:c r="O79" s="35" t="n">
        <x:f>--AND(O$3&gt;=$B$75,O$3&lt;$B$76,'Вводные'!$B$90="Да")</x:f>
      </x:c>
      <x:c r="P79" s="35" t="n">
        <x:f>--AND(P$3&gt;=$B$75,P$3&lt;$B$76,'Вводные'!$B$90="Да")</x:f>
      </x:c>
      <x:c r="Q79" s="35" t="n">
        <x:f>--AND(Q$3&gt;=$B$75,Q$3&lt;$B$76,'Вводные'!$B$90="Да")</x:f>
      </x:c>
      <x:c r="R79" s="35" t="n">
        <x:f>--AND(R$3&gt;=$B$75,R$3&lt;$B$76,'Вводные'!$B$90="Да")</x:f>
      </x:c>
      <x:c r="S79" s="35" t="n">
        <x:f>--AND(S$3&gt;=$B$75,S$3&lt;$B$76,'Вводные'!$B$90="Да")</x:f>
      </x:c>
      <x:c r="T79" s="35" t="n">
        <x:f>--AND(T$3&gt;=$B$75,T$3&lt;$B$76,'Вводные'!$B$90="Да")</x:f>
      </x:c>
      <x:c r="U79" s="35" t="n">
        <x:f>--AND(U$3&gt;=$B$75,U$3&lt;$B$76,'Вводные'!$B$90="Да")</x:f>
      </x:c>
      <x:c r="V79" s="35" t="n">
        <x:f>--AND(V$3&gt;=$B$75,V$3&lt;$B$76,'Вводные'!$B$90="Да")</x:f>
      </x:c>
      <x:c r="W79" s="35" t="n">
        <x:f>--AND(W$3&gt;=$B$75,W$3&lt;$B$76,'Вводные'!$B$90="Да")</x:f>
      </x:c>
      <x:c r="X79" s="35" t="n">
        <x:f>--AND(X$3&gt;=$B$75,X$3&lt;$B$76,'Вводные'!$B$90="Да")</x:f>
      </x:c>
      <x:c r="Y79" s="35" t="n">
        <x:f>--AND(Y$3&gt;=$B$75,Y$3&lt;$B$76,'Вводные'!$B$90="Да")</x:f>
      </x:c>
      <x:c r="Z79" s="35" t="n">
        <x:f>--AND(Z$3&gt;=$B$75,Z$3&lt;$B$76,'Вводные'!$B$90="Да")</x:f>
      </x:c>
      <x:c r="AA79" s="35" t="n">
        <x:f>--AND(AA$3&gt;=$B$75,AA$3&lt;$B$76,'Вводные'!$B$90="Да")</x:f>
      </x:c>
      <x:c r="AB79" s="35" t="n">
        <x:f>--AND(AB$3&gt;=$B$75,AB$3&lt;$B$76,'Вводные'!$B$90="Да")</x:f>
      </x:c>
      <x:c r="AC79" s="35" t="n">
        <x:f>--AND(AC$3&gt;=$B$75,AC$3&lt;$B$76,'Вводные'!$B$90="Да")</x:f>
      </x:c>
      <x:c r="AD79" s="35" t="n">
        <x:f>--AND(AD$3&gt;=$B$75,AD$3&lt;$B$76,'Вводные'!$B$90="Да")</x:f>
      </x:c>
      <x:c r="AE79" s="35" t="n">
        <x:f>--AND(AE$3&gt;=$B$75,AE$3&lt;$B$76,'Вводные'!$B$90="Да")</x:f>
      </x:c>
      <x:c r="AF79" s="35" t="n">
        <x:f>--AND(AF$3&gt;=$B$75,AF$3&lt;$B$76,'Вводные'!$B$90="Да")</x:f>
      </x:c>
      <x:c r="AG79" s="35" t="n">
        <x:f>--AND(AG$3&gt;=$B$75,AG$3&lt;$B$76,'Вводные'!$B$90="Да")</x:f>
      </x:c>
      <x:c r="AH79" s="35" t="n">
        <x:f>--AND(AH$3&gt;=$B$75,AH$3&lt;$B$76,'Вводные'!$B$90="Да")</x:f>
      </x:c>
      <x:c r="AI79" s="35" t="n">
        <x:f>--AND(AI$3&gt;=$B$75,AI$3&lt;$B$76,'Вводные'!$B$90="Да")</x:f>
      </x:c>
      <x:c r="AJ79" s="35" t="n">
        <x:f>--AND(AJ$3&gt;=$B$75,AJ$3&lt;$B$76,'Вводные'!$B$90="Да")</x:f>
      </x:c>
      <x:c r="AK79" s="35" t="n">
        <x:f>--AND(AK$3&gt;=$B$75,AK$3&lt;$B$76,'Вводные'!$B$90="Да")</x:f>
      </x:c>
      <x:c r="AL79" s="35" t="n">
        <x:f>--AND(AL$3&gt;=$B$75,AL$3&lt;$B$76,'Вводные'!$B$90="Да")</x:f>
      </x:c>
      <x:c r="AM79" s="35" t="n">
        <x:f>--AND(AM$3&gt;=$B$75,AM$3&lt;$B$76,'Вводные'!$B$90="Да")</x:f>
      </x:c>
      <x:c r="AN79" s="35" t="n">
        <x:f>--AND(AN$3&gt;=$B$75,AN$3&lt;$B$76,'Вводные'!$B$90="Да")</x:f>
      </x:c>
      <x:c r="AO79" s="35" t="n">
        <x:f>--AND(AO$3&gt;=$B$75,AO$3&lt;$B$76,'Вводные'!$B$90="Да")</x:f>
      </x:c>
      <x:c r="AP79" s="35" t="n">
        <x:f>--AND(AP$3&gt;=$B$75,AP$3&lt;$B$76,'Вводные'!$B$90="Да")</x:f>
      </x:c>
      <x:c r="AQ79" s="35" t="n">
        <x:f>--AND(AQ$3&gt;=$B$75,AQ$3&lt;$B$76,'Вводные'!$B$90="Да")</x:f>
      </x:c>
      <x:c r="AR79" s="35" t="n">
        <x:f>--AND(AR$3&gt;=$B$75,AR$3&lt;$B$76,'Вводные'!$B$90="Да")</x:f>
      </x:c>
      <x:c r="AS79" s="35" t="n">
        <x:f>--AND(AS$3&gt;=$B$75,AS$3&lt;$B$76,'Вводные'!$B$90="Да")</x:f>
      </x:c>
      <x:c r="AT79" s="35" t="n">
        <x:f>--AND(AT$3&gt;=$B$75,AT$3&lt;$B$76,'Вводные'!$B$90="Да")</x:f>
      </x:c>
      <x:c r="AU79" s="35" t="n">
        <x:f>--AND(AU$3&gt;=$B$75,AU$3&lt;$B$76,'Вводные'!$B$90="Да")</x:f>
      </x:c>
      <x:c r="AV79" s="35" t="n">
        <x:f>--AND(AV$3&gt;=$B$75,AV$3&lt;$B$76,'Вводные'!$B$90="Да")</x:f>
      </x:c>
      <x:c r="AW79" s="35" t="n">
        <x:f>--AND(AW$3&gt;=$B$75,AW$3&lt;$B$76,'Вводные'!$B$90="Да")</x:f>
      </x:c>
      <x:c r="AX79" s="35" t="n">
        <x:f>--AND(AX$3&gt;=$B$75,AX$3&lt;$B$76,'Вводные'!$B$90="Да")</x:f>
      </x:c>
      <x:c r="AY79" s="35" t="n">
        <x:f>--AND(AY$3&gt;=$B$75,AY$3&lt;$B$76,'Вводные'!$B$90="Да")</x:f>
      </x:c>
      <x:c r="AZ79" s="35" t="n">
        <x:f>--AND(AZ$3&gt;=$B$75,AZ$3&lt;$B$76,'Вводные'!$B$90="Да")</x:f>
      </x:c>
      <x:c r="BA79" s="35" t="n">
        <x:f>--AND(BA$3&gt;=$B$75,BA$3&lt;$B$76,'Вводные'!$B$90="Да")</x:f>
      </x:c>
      <x:c r="BB79" s="35" t="n">
        <x:f>--AND(BB$3&gt;=$B$75,BB$3&lt;$B$76,'Вводные'!$B$90="Да")</x:f>
      </x:c>
      <x:c r="BC79" s="35" t="n">
        <x:f>--AND(BC$3&gt;=$B$75,BC$3&lt;$B$76,'Вводные'!$B$90="Да")</x:f>
      </x:c>
      <x:c r="BD79" s="35" t="n">
        <x:f>--AND(BD$3&gt;=$B$75,BD$3&lt;$B$76,'Вводные'!$B$90="Да")</x:f>
      </x:c>
      <x:c r="BE79" s="35" t="n">
        <x:f>--AND(BE$3&gt;=$B$75,BE$3&lt;$B$76,'Вводные'!$B$90="Да")</x:f>
      </x:c>
      <x:c r="BF79" s="35" t="n">
        <x:f>--AND(BF$3&gt;=$B$75,BF$3&lt;$B$76,'Вводные'!$B$90="Да")</x:f>
      </x:c>
      <x:c r="BG79" s="35" t="n">
        <x:f>--AND(BG$3&gt;=$B$75,BG$3&lt;$B$76,'Вводные'!$B$90="Да")</x:f>
      </x:c>
      <x:c r="BH79" s="35" t="n">
        <x:f>--AND(BH$3&gt;=$B$75,BH$3&lt;$B$76,'Вводные'!$B$90="Да")</x:f>
      </x:c>
      <x:c r="BI79" s="35" t="n">
        <x:f>--AND(BI$3&gt;=$B$75,BI$3&lt;$B$76,'Вводные'!$B$90="Да")</x:f>
      </x:c>
      <x:c r="BJ79" s="35" t="n">
        <x:f>--AND(BJ$3&gt;=$B$75,BJ$3&lt;$B$76,'Вводные'!$B$90="Да")</x:f>
      </x:c>
      <x:c r="BK79" s="35" t="n">
        <x:f>--AND(BK$3&gt;=$B$75,BK$3&lt;$B$76,'Вводные'!$B$90="Да")</x:f>
      </x:c>
      <x:c r="BL79" s="35" t="n">
        <x:f>--AND(BL$3&gt;=$B$75,BL$3&lt;$B$76,'Вводные'!$B$90="Да")</x:f>
      </x:c>
      <x:c r="BM79" s="35" t="n">
        <x:f>--AND(BM$3&gt;=$B$75,BM$3&lt;$B$76,'Вводные'!$B$90="Да")</x:f>
      </x:c>
      <x:c r="BN79" s="35" t="n">
        <x:f>--AND(BN$3&gt;=$B$75,BN$3&lt;$B$76,'Вводные'!$B$90="Да")</x:f>
      </x:c>
      <x:c r="BO79" s="35" t="n">
        <x:f>--AND(BO$3&gt;=$B$75,BO$3&lt;$B$76,'Вводные'!$B$90="Да")</x:f>
      </x:c>
      <x:c r="BP79" s="35" t="n">
        <x:f>--AND(BP$3&gt;=$B$75,BP$3&lt;$B$76,'Вводные'!$B$90="Да")</x:f>
      </x:c>
      <x:c r="BQ79" s="35" t="n">
        <x:f>--AND(BQ$3&gt;=$B$75,BQ$3&lt;$B$76,'Вводные'!$B$90="Да")</x:f>
      </x:c>
      <x:c r="BR79" s="35" t="n">
        <x:f>--AND(BR$3&gt;=$B$75,BR$3&lt;$B$76,'Вводные'!$B$90="Да")</x:f>
      </x:c>
      <x:c r="BS79" s="35" t="n">
        <x:f>--AND(BS$3&gt;=$B$75,BS$3&lt;$B$76,'Вводные'!$B$90="Да")</x:f>
      </x:c>
      <x:c r="BT79" s="35" t="n">
        <x:f>--AND(BT$3&gt;=$B$75,BT$3&lt;$B$76,'Вводные'!$B$90="Да")</x:f>
      </x:c>
      <x:c r="BU79" s="35" t="n">
        <x:f>--AND(BU$3&gt;=$B$75,BU$3&lt;$B$76,'Вводные'!$B$90="Да")</x:f>
      </x:c>
      <x:c r="BV79" s="35" t="n">
        <x:f>--AND(BV$3&gt;=$B$75,BV$3&lt;$B$76,'Вводные'!$B$90="Да")</x:f>
      </x:c>
      <x:c r="BW79" s="35" t="n">
        <x:f>--AND(BW$3&gt;=$B$75,BW$3&lt;$B$76,'Вводные'!$B$90="Да")</x:f>
      </x:c>
      <x:c r="BX79" s="35" t="n">
        <x:f>--AND(BX$3&gt;=$B$75,BX$3&lt;$B$76,'Вводные'!$B$90="Да")</x:f>
      </x:c>
      <x:c r="BY79" s="35" t="n">
        <x:f>--AND(BY$3&gt;=$B$75,BY$3&lt;$B$76,'Вводные'!$B$90="Да")</x:f>
      </x:c>
      <x:c r="BZ79" s="35" t="n">
        <x:f>--AND(BZ$3&gt;=$B$75,BZ$3&lt;$B$76,'Вводные'!$B$90="Да")</x:f>
      </x:c>
      <x:c r="CA79" s="35" t="n">
        <x:f>--AND(CA$3&gt;=$B$75,CA$3&lt;$B$76,'Вводные'!$B$90="Да")</x:f>
      </x:c>
      <x:c r="CB79" s="35" t="n">
        <x:f>--AND(CB$3&gt;=$B$75,CB$3&lt;$B$76,'Вводные'!$B$90="Да")</x:f>
      </x:c>
      <x:c r="CC79" s="35" t="n">
        <x:f>--AND(CC$3&gt;=$B$75,CC$3&lt;$B$76,'Вводные'!$B$90="Да")</x:f>
      </x:c>
      <x:c r="CD79" s="35" t="n">
        <x:f>--AND(CD$3&gt;=$B$75,CD$3&lt;$B$76,'Вводные'!$B$90="Да")</x:f>
      </x:c>
      <x:c r="CE79" s="35" t="n">
        <x:f>--AND(CE$3&gt;=$B$75,CE$3&lt;$B$76,'Вводные'!$B$90="Да")</x:f>
      </x:c>
      <x:c r="CF79" s="35" t="n">
        <x:f>--AND(CF$3&gt;=$B$75,CF$3&lt;$B$76,'Вводные'!$B$90="Да")</x:f>
      </x:c>
      <x:c r="CG79" s="35" t="n">
        <x:f>--AND(CG$3&gt;=$B$75,CG$3&lt;$B$76,'Вводные'!$B$90="Да")</x:f>
      </x:c>
      <x:c r="CH79" s="35" t="n">
        <x:f>--AND(CH$3&gt;=$B$75,CH$3&lt;$B$76,'Вводные'!$B$90="Да")</x:f>
      </x:c>
      <x:c r="CI79" s="35" t="n">
        <x:f>--AND(CI$3&gt;=$B$75,CI$3&lt;$B$76,'Вводные'!$B$90="Да")</x:f>
      </x:c>
      <x:c r="CJ79" s="35" t="n">
        <x:f>--AND(CJ$3&gt;=$B$75,CJ$3&lt;$B$76,'Вводные'!$B$90="Да")</x:f>
      </x:c>
      <x:c r="CK79" s="35" t="n">
        <x:f>--AND(CK$3&gt;=$B$75,CK$3&lt;$B$76,'Вводные'!$B$90="Да")</x:f>
      </x:c>
      <x:c r="CL79" s="35" t="n">
        <x:f>--AND(CL$3&gt;=$B$75,CL$3&lt;$B$76,'Вводные'!$B$90="Да")</x:f>
      </x:c>
      <x:c r="CM79" s="35" t="n">
        <x:f>--AND(CM$3&gt;=$B$75,CM$3&lt;$B$76,'Вводные'!$B$90="Да")</x:f>
      </x:c>
      <x:c r="CN79" s="35" t="n">
        <x:f>--AND(CN$3&gt;=$B$75,CN$3&lt;$B$76,'Вводные'!$B$90="Да")</x:f>
      </x:c>
      <x:c r="CO79" s="35" t="n">
        <x:f>--AND(CO$3&gt;=$B$75,CO$3&lt;$B$76,'Вводные'!$B$90="Да")</x:f>
      </x:c>
      <x:c r="CP79" s="35" t="n">
        <x:f>--AND(CP$3&gt;=$B$75,CP$3&lt;$B$76,'Вводные'!$B$90="Да")</x:f>
      </x:c>
      <x:c r="CQ79" s="35" t="n">
        <x:f>--AND(CQ$3&gt;=$B$75,CQ$3&lt;$B$76,'Вводные'!$B$90="Да")</x:f>
      </x:c>
      <x:c r="CR79" s="35" t="n">
        <x:f>--AND(CR$3&gt;=$B$75,CR$3&lt;$B$76,'Вводные'!$B$90="Да")</x:f>
      </x:c>
      <x:c r="CS79" s="35" t="n">
        <x:f>--AND(CS$3&gt;=$B$75,CS$3&lt;$B$76,'Вводные'!$B$90="Да")</x:f>
      </x:c>
      <x:c r="CT79" s="35" t="n">
        <x:f>--AND(CT$3&gt;=$B$75,CT$3&lt;$B$76,'Вводные'!$B$90="Да")</x:f>
      </x:c>
      <x:c r="CU79" s="35" t="n">
        <x:f>--AND(CU$3&gt;=$B$75,CU$3&lt;$B$76,'Вводные'!$B$90="Да")</x:f>
      </x:c>
      <x:c r="CV79" s="35" t="n">
        <x:f>--AND(CV$3&gt;=$B$75,CV$3&lt;$B$76,'Вводные'!$B$90="Да")</x:f>
      </x:c>
      <x:c r="CW79" s="35" t="n">
        <x:f>--AND(CW$3&gt;=$B$75,CW$3&lt;$B$76,'Вводные'!$B$90="Да")</x:f>
      </x:c>
      <x:c r="CX79" s="35" t="n">
        <x:f>--AND(CX$3&gt;=$B$75,CX$3&lt;$B$76,'Вводные'!$B$90="Да")</x:f>
      </x:c>
      <x:c r="CY79" s="35" t="n">
        <x:f>--AND(CY$3&gt;=$B$75,CY$3&lt;$B$76,'Вводные'!$B$90="Да")</x:f>
      </x:c>
      <x:c r="CZ79" s="35" t="n">
        <x:f>--AND(CZ$3&gt;=$B$75,CZ$3&lt;$B$76,'Вводные'!$B$90="Да")</x:f>
      </x:c>
      <x:c r="DA79" s="35" t="n">
        <x:f>--AND(DA$3&gt;=$B$75,DA$3&lt;$B$76,'Вводные'!$B$90="Да")</x:f>
      </x:c>
      <x:c r="DB79" s="35" t="n">
        <x:f>--AND(DB$3&gt;=$B$75,DB$3&lt;$B$76,'Вводные'!$B$90="Да")</x:f>
      </x:c>
      <x:c r="DC79" s="35" t="n">
        <x:f>--AND(DC$3&gt;=$B$75,DC$3&lt;$B$76,'Вводные'!$B$90="Да")</x:f>
      </x:c>
      <x:c r="DD79" s="35" t="n">
        <x:f>--AND(DD$3&gt;=$B$75,DD$3&lt;$B$76,'Вводные'!$B$90="Да")</x:f>
      </x:c>
      <x:c r="DE79" s="35" t="n">
        <x:f>--AND(DE$3&gt;=$B$75,DE$3&lt;$B$76,'Вводные'!$B$90="Да")</x:f>
      </x:c>
      <x:c r="DF79" s="35" t="n">
        <x:f>--AND(DF$3&gt;=$B$75,DF$3&lt;$B$76,'Вводные'!$B$90="Да")</x:f>
      </x:c>
      <x:c r="DG79" s="35" t="n">
        <x:f>--AND(DG$3&gt;=$B$75,DG$3&lt;$B$76,'Вводные'!$B$90="Да")</x:f>
      </x:c>
      <x:c r="DH79" s="35" t="n">
        <x:f>--AND(DH$3&gt;=$B$75,DH$3&lt;$B$76,'Вводные'!$B$90="Да")</x:f>
      </x:c>
      <x:c r="DI79" s="35" t="n">
        <x:f>--AND(DI$3&gt;=$B$75,DI$3&lt;$B$76,'Вводные'!$B$90="Да")</x:f>
      </x:c>
      <x:c r="DJ79" s="35" t="n">
        <x:f>--AND(DJ$3&gt;=$B$75,DJ$3&lt;$B$76,'Вводные'!$B$90="Да")</x:f>
      </x:c>
      <x:c r="DK79" s="35" t="n">
        <x:f>--AND(DK$3&gt;=$B$75,DK$3&lt;$B$76,'Вводные'!$B$90="Да")</x:f>
      </x:c>
      <x:c r="DL79" s="35" t="n">
        <x:f>--AND(DL$3&gt;=$B$75,DL$3&lt;$B$76,'Вводные'!$B$90="Да")</x:f>
      </x:c>
      <x:c r="DM79" s="35" t="n">
        <x:f>--AND(DM$3&gt;=$B$75,DM$3&lt;$B$76,'Вводные'!$B$90="Да")</x:f>
      </x:c>
      <x:c r="DN79" s="35" t="n">
        <x:f>--AND(DN$3&gt;=$B$75,DN$3&lt;$B$76,'Вводные'!$B$90="Да")</x:f>
      </x:c>
      <x:c r="DO79" s="35" t="n">
        <x:f>--AND(DO$3&gt;=$B$75,DO$3&lt;$B$76,'Вводные'!$B$90="Да")</x:f>
      </x:c>
      <x:c r="DP79" s="35" t="n">
        <x:f>--AND(DP$3&gt;=$B$75,DP$3&lt;$B$76,'Вводные'!$B$90="Да")</x:f>
      </x:c>
      <x:c r="DQ79" s="35" t="n">
        <x:f>--AND(DQ$3&gt;=$B$75,DQ$3&lt;$B$76,'Вводные'!$B$90="Да")</x:f>
      </x:c>
      <x:c r="DR79" s="35" t="n">
        <x:f>--AND(DR$3&gt;=$B$75,DR$3&lt;$B$76,'Вводные'!$B$90="Да")</x:f>
      </x:c>
      <x:c r="DS79" s="35" t="n">
        <x:f>--AND(DS$3&gt;=$B$75,DS$3&lt;$B$76,'Вводные'!$B$90="Да")</x:f>
      </x:c>
    </x:row>
    <x:row r="80">
      <x:c r="A80" t="str">
        <x:v>Вес S-кривой</x:v>
      </x:c>
      <x:c r="B80"/>
      <x:c r="C80" t="str">
        <x:v>вес</x:v>
      </x:c>
      <x:c r="D80" s="35" t="n">
        <x:f>IF(D79=0,0,IF((12*(YEAR(D$3)-YEAR($B$75))+MONTH(D$3)-MONTH($B$75)+1)/MAX(1,'Вводные'!$F$90)&lt;=0.2,0.6,IF((12*(YEAR(D$3)-YEAR($B$75))+MONTH(D$3)-MONTH($B$75)+1)/MAX(1,'Вводные'!$F$90)&lt;=0.8,1.2,0.8)))</x:f>
      </x:c>
      <x:c r="E80" s="35" t="n">
        <x:f>IF(E79=0,0,IF((12*(YEAR(E$3)-YEAR($B$75))+MONTH(E$3)-MONTH($B$75)+1)/MAX(1,'Вводные'!$F$90)&lt;=0.2,0.6,IF((12*(YEAR(E$3)-YEAR($B$75))+MONTH(E$3)-MONTH($B$75)+1)/MAX(1,'Вводные'!$F$90)&lt;=0.8,1.2,0.8)))</x:f>
      </x:c>
      <x:c r="F80" s="35" t="n">
        <x:f>IF(F79=0,0,IF((12*(YEAR(F$3)-YEAR($B$75))+MONTH(F$3)-MONTH($B$75)+1)/MAX(1,'Вводные'!$F$90)&lt;=0.2,0.6,IF((12*(YEAR(F$3)-YEAR($B$75))+MONTH(F$3)-MONTH($B$75)+1)/MAX(1,'Вводные'!$F$90)&lt;=0.8,1.2,0.8)))</x:f>
      </x:c>
      <x:c r="G80" s="35" t="n">
        <x:f>IF(G79=0,0,IF((12*(YEAR(G$3)-YEAR($B$75))+MONTH(G$3)-MONTH($B$75)+1)/MAX(1,'Вводные'!$F$90)&lt;=0.2,0.6,IF((12*(YEAR(G$3)-YEAR($B$75))+MONTH(G$3)-MONTH($B$75)+1)/MAX(1,'Вводные'!$F$90)&lt;=0.8,1.2,0.8)))</x:f>
      </x:c>
      <x:c r="H80" s="35" t="n">
        <x:f>IF(H79=0,0,IF((12*(YEAR(H$3)-YEAR($B$75))+MONTH(H$3)-MONTH($B$75)+1)/MAX(1,'Вводные'!$F$90)&lt;=0.2,0.6,IF((12*(YEAR(H$3)-YEAR($B$75))+MONTH(H$3)-MONTH($B$75)+1)/MAX(1,'Вводные'!$F$90)&lt;=0.8,1.2,0.8)))</x:f>
      </x:c>
      <x:c r="I80" s="35" t="n">
        <x:f>IF(I79=0,0,IF((12*(YEAR(I$3)-YEAR($B$75))+MONTH(I$3)-MONTH($B$75)+1)/MAX(1,'Вводные'!$F$90)&lt;=0.2,0.6,IF((12*(YEAR(I$3)-YEAR($B$75))+MONTH(I$3)-MONTH($B$75)+1)/MAX(1,'Вводные'!$F$90)&lt;=0.8,1.2,0.8)))</x:f>
      </x:c>
      <x:c r="J80" s="35" t="n">
        <x:f>IF(J79=0,0,IF((12*(YEAR(J$3)-YEAR($B$75))+MONTH(J$3)-MONTH($B$75)+1)/MAX(1,'Вводные'!$F$90)&lt;=0.2,0.6,IF((12*(YEAR(J$3)-YEAR($B$75))+MONTH(J$3)-MONTH($B$75)+1)/MAX(1,'Вводные'!$F$90)&lt;=0.8,1.2,0.8)))</x:f>
      </x:c>
      <x:c r="K80" s="35" t="n">
        <x:f>IF(K79=0,0,IF((12*(YEAR(K$3)-YEAR($B$75))+MONTH(K$3)-MONTH($B$75)+1)/MAX(1,'Вводные'!$F$90)&lt;=0.2,0.6,IF((12*(YEAR(K$3)-YEAR($B$75))+MONTH(K$3)-MONTH($B$75)+1)/MAX(1,'Вводные'!$F$90)&lt;=0.8,1.2,0.8)))</x:f>
      </x:c>
      <x:c r="L80" s="35" t="n">
        <x:f>IF(L79=0,0,IF((12*(YEAR(L$3)-YEAR($B$75))+MONTH(L$3)-MONTH($B$75)+1)/MAX(1,'Вводные'!$F$90)&lt;=0.2,0.6,IF((12*(YEAR(L$3)-YEAR($B$75))+MONTH(L$3)-MONTH($B$75)+1)/MAX(1,'Вводные'!$F$90)&lt;=0.8,1.2,0.8)))</x:f>
      </x:c>
      <x:c r="M80" s="35" t="n">
        <x:f>IF(M79=0,0,IF((12*(YEAR(M$3)-YEAR($B$75))+MONTH(M$3)-MONTH($B$75)+1)/MAX(1,'Вводные'!$F$90)&lt;=0.2,0.6,IF((12*(YEAR(M$3)-YEAR($B$75))+MONTH(M$3)-MONTH($B$75)+1)/MAX(1,'Вводные'!$F$90)&lt;=0.8,1.2,0.8)))</x:f>
      </x:c>
      <x:c r="N80" s="35" t="n">
        <x:f>IF(N79=0,0,IF((12*(YEAR(N$3)-YEAR($B$75))+MONTH(N$3)-MONTH($B$75)+1)/MAX(1,'Вводные'!$F$90)&lt;=0.2,0.6,IF((12*(YEAR(N$3)-YEAR($B$75))+MONTH(N$3)-MONTH($B$75)+1)/MAX(1,'Вводные'!$F$90)&lt;=0.8,1.2,0.8)))</x:f>
      </x:c>
      <x:c r="O80" s="35" t="n">
        <x:f>IF(O79=0,0,IF((12*(YEAR(O$3)-YEAR($B$75))+MONTH(O$3)-MONTH($B$75)+1)/MAX(1,'Вводные'!$F$90)&lt;=0.2,0.6,IF((12*(YEAR(O$3)-YEAR($B$75))+MONTH(O$3)-MONTH($B$75)+1)/MAX(1,'Вводные'!$F$90)&lt;=0.8,1.2,0.8)))</x:f>
      </x:c>
      <x:c r="P80" s="35" t="n">
        <x:f>IF(P79=0,0,IF((12*(YEAR(P$3)-YEAR($B$75))+MONTH(P$3)-MONTH($B$75)+1)/MAX(1,'Вводные'!$F$90)&lt;=0.2,0.6,IF((12*(YEAR(P$3)-YEAR($B$75))+MONTH(P$3)-MONTH($B$75)+1)/MAX(1,'Вводные'!$F$90)&lt;=0.8,1.2,0.8)))</x:f>
      </x:c>
      <x:c r="Q80" s="35" t="n">
        <x:f>IF(Q79=0,0,IF((12*(YEAR(Q$3)-YEAR($B$75))+MONTH(Q$3)-MONTH($B$75)+1)/MAX(1,'Вводные'!$F$90)&lt;=0.2,0.6,IF((12*(YEAR(Q$3)-YEAR($B$75))+MONTH(Q$3)-MONTH($B$75)+1)/MAX(1,'Вводные'!$F$90)&lt;=0.8,1.2,0.8)))</x:f>
      </x:c>
      <x:c r="R80" s="35" t="n">
        <x:f>IF(R79=0,0,IF((12*(YEAR(R$3)-YEAR($B$75))+MONTH(R$3)-MONTH($B$75)+1)/MAX(1,'Вводные'!$F$90)&lt;=0.2,0.6,IF((12*(YEAR(R$3)-YEAR($B$75))+MONTH(R$3)-MONTH($B$75)+1)/MAX(1,'Вводные'!$F$90)&lt;=0.8,1.2,0.8)))</x:f>
      </x:c>
      <x:c r="S80" s="35" t="n">
        <x:f>IF(S79=0,0,IF((12*(YEAR(S$3)-YEAR($B$75))+MONTH(S$3)-MONTH($B$75)+1)/MAX(1,'Вводные'!$F$90)&lt;=0.2,0.6,IF((12*(YEAR(S$3)-YEAR($B$75))+MONTH(S$3)-MONTH($B$75)+1)/MAX(1,'Вводные'!$F$90)&lt;=0.8,1.2,0.8)))</x:f>
      </x:c>
      <x:c r="T80" s="35" t="n">
        <x:f>IF(T79=0,0,IF((12*(YEAR(T$3)-YEAR($B$75))+MONTH(T$3)-MONTH($B$75)+1)/MAX(1,'Вводные'!$F$90)&lt;=0.2,0.6,IF((12*(YEAR(T$3)-YEAR($B$75))+MONTH(T$3)-MONTH($B$75)+1)/MAX(1,'Вводные'!$F$90)&lt;=0.8,1.2,0.8)))</x:f>
      </x:c>
      <x:c r="U80" s="35" t="n">
        <x:f>IF(U79=0,0,IF((12*(YEAR(U$3)-YEAR($B$75))+MONTH(U$3)-MONTH($B$75)+1)/MAX(1,'Вводные'!$F$90)&lt;=0.2,0.6,IF((12*(YEAR(U$3)-YEAR($B$75))+MONTH(U$3)-MONTH($B$75)+1)/MAX(1,'Вводные'!$F$90)&lt;=0.8,1.2,0.8)))</x:f>
      </x:c>
      <x:c r="V80" s="35" t="n">
        <x:f>IF(V79=0,0,IF((12*(YEAR(V$3)-YEAR($B$75))+MONTH(V$3)-MONTH($B$75)+1)/MAX(1,'Вводные'!$F$90)&lt;=0.2,0.6,IF((12*(YEAR(V$3)-YEAR($B$75))+MONTH(V$3)-MONTH($B$75)+1)/MAX(1,'Вводные'!$F$90)&lt;=0.8,1.2,0.8)))</x:f>
      </x:c>
      <x:c r="W80" s="35" t="n">
        <x:f>IF(W79=0,0,IF((12*(YEAR(W$3)-YEAR($B$75))+MONTH(W$3)-MONTH($B$75)+1)/MAX(1,'Вводные'!$F$90)&lt;=0.2,0.6,IF((12*(YEAR(W$3)-YEAR($B$75))+MONTH(W$3)-MONTH($B$75)+1)/MAX(1,'Вводные'!$F$90)&lt;=0.8,1.2,0.8)))</x:f>
      </x:c>
      <x:c r="X80" s="35" t="n">
        <x:f>IF(X79=0,0,IF((12*(YEAR(X$3)-YEAR($B$75))+MONTH(X$3)-MONTH($B$75)+1)/MAX(1,'Вводные'!$F$90)&lt;=0.2,0.6,IF((12*(YEAR(X$3)-YEAR($B$75))+MONTH(X$3)-MONTH($B$75)+1)/MAX(1,'Вводные'!$F$90)&lt;=0.8,1.2,0.8)))</x:f>
      </x:c>
      <x:c r="Y80" s="35" t="n">
        <x:f>IF(Y79=0,0,IF((12*(YEAR(Y$3)-YEAR($B$75))+MONTH(Y$3)-MONTH($B$75)+1)/MAX(1,'Вводные'!$F$90)&lt;=0.2,0.6,IF((12*(YEAR(Y$3)-YEAR($B$75))+MONTH(Y$3)-MONTH($B$75)+1)/MAX(1,'Вводные'!$F$90)&lt;=0.8,1.2,0.8)))</x:f>
      </x:c>
      <x:c r="Z80" s="35" t="n">
        <x:f>IF(Z79=0,0,IF((12*(YEAR(Z$3)-YEAR($B$75))+MONTH(Z$3)-MONTH($B$75)+1)/MAX(1,'Вводные'!$F$90)&lt;=0.2,0.6,IF((12*(YEAR(Z$3)-YEAR($B$75))+MONTH(Z$3)-MONTH($B$75)+1)/MAX(1,'Вводные'!$F$90)&lt;=0.8,1.2,0.8)))</x:f>
      </x:c>
      <x:c r="AA80" s="35" t="n">
        <x:f>IF(AA79=0,0,IF((12*(YEAR(AA$3)-YEAR($B$75))+MONTH(AA$3)-MONTH($B$75)+1)/MAX(1,'Вводные'!$F$90)&lt;=0.2,0.6,IF((12*(YEAR(AA$3)-YEAR($B$75))+MONTH(AA$3)-MONTH($B$75)+1)/MAX(1,'Вводные'!$F$90)&lt;=0.8,1.2,0.8)))</x:f>
      </x:c>
      <x:c r="AB80" s="35" t="n">
        <x:f>IF(AB79=0,0,IF((12*(YEAR(AB$3)-YEAR($B$75))+MONTH(AB$3)-MONTH($B$75)+1)/MAX(1,'Вводные'!$F$90)&lt;=0.2,0.6,IF((12*(YEAR(AB$3)-YEAR($B$75))+MONTH(AB$3)-MONTH($B$75)+1)/MAX(1,'Вводные'!$F$90)&lt;=0.8,1.2,0.8)))</x:f>
      </x:c>
      <x:c r="AC80" s="35" t="n">
        <x:f>IF(AC79=0,0,IF((12*(YEAR(AC$3)-YEAR($B$75))+MONTH(AC$3)-MONTH($B$75)+1)/MAX(1,'Вводные'!$F$90)&lt;=0.2,0.6,IF((12*(YEAR(AC$3)-YEAR($B$75))+MONTH(AC$3)-MONTH($B$75)+1)/MAX(1,'Вводные'!$F$90)&lt;=0.8,1.2,0.8)))</x:f>
      </x:c>
      <x:c r="AD80" s="35" t="n">
        <x:f>IF(AD79=0,0,IF((12*(YEAR(AD$3)-YEAR($B$75))+MONTH(AD$3)-MONTH($B$75)+1)/MAX(1,'Вводные'!$F$90)&lt;=0.2,0.6,IF((12*(YEAR(AD$3)-YEAR($B$75))+MONTH(AD$3)-MONTH($B$75)+1)/MAX(1,'Вводные'!$F$90)&lt;=0.8,1.2,0.8)))</x:f>
      </x:c>
      <x:c r="AE80" s="35" t="n">
        <x:f>IF(AE79=0,0,IF((12*(YEAR(AE$3)-YEAR($B$75))+MONTH(AE$3)-MONTH($B$75)+1)/MAX(1,'Вводные'!$F$90)&lt;=0.2,0.6,IF((12*(YEAR(AE$3)-YEAR($B$75))+MONTH(AE$3)-MONTH($B$75)+1)/MAX(1,'Вводные'!$F$90)&lt;=0.8,1.2,0.8)))</x:f>
      </x:c>
      <x:c r="AF80" s="35" t="n">
        <x:f>IF(AF79=0,0,IF((12*(YEAR(AF$3)-YEAR($B$75))+MONTH(AF$3)-MONTH($B$75)+1)/MAX(1,'Вводные'!$F$90)&lt;=0.2,0.6,IF((12*(YEAR(AF$3)-YEAR($B$75))+MONTH(AF$3)-MONTH($B$75)+1)/MAX(1,'Вводные'!$F$90)&lt;=0.8,1.2,0.8)))</x:f>
      </x:c>
      <x:c r="AG80" s="35" t="n">
        <x:f>IF(AG79=0,0,IF((12*(YEAR(AG$3)-YEAR($B$75))+MONTH(AG$3)-MONTH($B$75)+1)/MAX(1,'Вводные'!$F$90)&lt;=0.2,0.6,IF((12*(YEAR(AG$3)-YEAR($B$75))+MONTH(AG$3)-MONTH($B$75)+1)/MAX(1,'Вводные'!$F$90)&lt;=0.8,1.2,0.8)))</x:f>
      </x:c>
      <x:c r="AH80" s="35" t="n">
        <x:f>IF(AH79=0,0,IF((12*(YEAR(AH$3)-YEAR($B$75))+MONTH(AH$3)-MONTH($B$75)+1)/MAX(1,'Вводные'!$F$90)&lt;=0.2,0.6,IF((12*(YEAR(AH$3)-YEAR($B$75))+MONTH(AH$3)-MONTH($B$75)+1)/MAX(1,'Вводные'!$F$90)&lt;=0.8,1.2,0.8)))</x:f>
      </x:c>
      <x:c r="AI80" s="35" t="n">
        <x:f>IF(AI79=0,0,IF((12*(YEAR(AI$3)-YEAR($B$75))+MONTH(AI$3)-MONTH($B$75)+1)/MAX(1,'Вводные'!$F$90)&lt;=0.2,0.6,IF((12*(YEAR(AI$3)-YEAR($B$75))+MONTH(AI$3)-MONTH($B$75)+1)/MAX(1,'Вводные'!$F$90)&lt;=0.8,1.2,0.8)))</x:f>
      </x:c>
      <x:c r="AJ80" s="35" t="n">
        <x:f>IF(AJ79=0,0,IF((12*(YEAR(AJ$3)-YEAR($B$75))+MONTH(AJ$3)-MONTH($B$75)+1)/MAX(1,'Вводные'!$F$90)&lt;=0.2,0.6,IF((12*(YEAR(AJ$3)-YEAR($B$75))+MONTH(AJ$3)-MONTH($B$75)+1)/MAX(1,'Вводные'!$F$90)&lt;=0.8,1.2,0.8)))</x:f>
      </x:c>
      <x:c r="AK80" s="35" t="n">
        <x:f>IF(AK79=0,0,IF((12*(YEAR(AK$3)-YEAR($B$75))+MONTH(AK$3)-MONTH($B$75)+1)/MAX(1,'Вводные'!$F$90)&lt;=0.2,0.6,IF((12*(YEAR(AK$3)-YEAR($B$75))+MONTH(AK$3)-MONTH($B$75)+1)/MAX(1,'Вводные'!$F$90)&lt;=0.8,1.2,0.8)))</x:f>
      </x:c>
      <x:c r="AL80" s="35" t="n">
        <x:f>IF(AL79=0,0,IF((12*(YEAR(AL$3)-YEAR($B$75))+MONTH(AL$3)-MONTH($B$75)+1)/MAX(1,'Вводные'!$F$90)&lt;=0.2,0.6,IF((12*(YEAR(AL$3)-YEAR($B$75))+MONTH(AL$3)-MONTH($B$75)+1)/MAX(1,'Вводные'!$F$90)&lt;=0.8,1.2,0.8)))</x:f>
      </x:c>
      <x:c r="AM80" s="35" t="n">
        <x:f>IF(AM79=0,0,IF((12*(YEAR(AM$3)-YEAR($B$75))+MONTH(AM$3)-MONTH($B$75)+1)/MAX(1,'Вводные'!$F$90)&lt;=0.2,0.6,IF((12*(YEAR(AM$3)-YEAR($B$75))+MONTH(AM$3)-MONTH($B$75)+1)/MAX(1,'Вводные'!$F$90)&lt;=0.8,1.2,0.8)))</x:f>
      </x:c>
      <x:c r="AN80" s="35" t="n">
        <x:f>IF(AN79=0,0,IF((12*(YEAR(AN$3)-YEAR($B$75))+MONTH(AN$3)-MONTH($B$75)+1)/MAX(1,'Вводные'!$F$90)&lt;=0.2,0.6,IF((12*(YEAR(AN$3)-YEAR($B$75))+MONTH(AN$3)-MONTH($B$75)+1)/MAX(1,'Вводные'!$F$90)&lt;=0.8,1.2,0.8)))</x:f>
      </x:c>
      <x:c r="AO80" s="35" t="n">
        <x:f>IF(AO79=0,0,IF((12*(YEAR(AO$3)-YEAR($B$75))+MONTH(AO$3)-MONTH($B$75)+1)/MAX(1,'Вводные'!$F$90)&lt;=0.2,0.6,IF((12*(YEAR(AO$3)-YEAR($B$75))+MONTH(AO$3)-MONTH($B$75)+1)/MAX(1,'Вводные'!$F$90)&lt;=0.8,1.2,0.8)))</x:f>
      </x:c>
      <x:c r="AP80" s="35" t="n">
        <x:f>IF(AP79=0,0,IF((12*(YEAR(AP$3)-YEAR($B$75))+MONTH(AP$3)-MONTH($B$75)+1)/MAX(1,'Вводные'!$F$90)&lt;=0.2,0.6,IF((12*(YEAR(AP$3)-YEAR($B$75))+MONTH(AP$3)-MONTH($B$75)+1)/MAX(1,'Вводные'!$F$90)&lt;=0.8,1.2,0.8)))</x:f>
      </x:c>
      <x:c r="AQ80" s="35" t="n">
        <x:f>IF(AQ79=0,0,IF((12*(YEAR(AQ$3)-YEAR($B$75))+MONTH(AQ$3)-MONTH($B$75)+1)/MAX(1,'Вводные'!$F$90)&lt;=0.2,0.6,IF((12*(YEAR(AQ$3)-YEAR($B$75))+MONTH(AQ$3)-MONTH($B$75)+1)/MAX(1,'Вводные'!$F$90)&lt;=0.8,1.2,0.8)))</x:f>
      </x:c>
      <x:c r="AR80" s="35" t="n">
        <x:f>IF(AR79=0,0,IF((12*(YEAR(AR$3)-YEAR($B$75))+MONTH(AR$3)-MONTH($B$75)+1)/MAX(1,'Вводные'!$F$90)&lt;=0.2,0.6,IF((12*(YEAR(AR$3)-YEAR($B$75))+MONTH(AR$3)-MONTH($B$75)+1)/MAX(1,'Вводные'!$F$90)&lt;=0.8,1.2,0.8)))</x:f>
      </x:c>
      <x:c r="AS80" s="35" t="n">
        <x:f>IF(AS79=0,0,IF((12*(YEAR(AS$3)-YEAR($B$75))+MONTH(AS$3)-MONTH($B$75)+1)/MAX(1,'Вводные'!$F$90)&lt;=0.2,0.6,IF((12*(YEAR(AS$3)-YEAR($B$75))+MONTH(AS$3)-MONTH($B$75)+1)/MAX(1,'Вводные'!$F$90)&lt;=0.8,1.2,0.8)))</x:f>
      </x:c>
      <x:c r="AT80" s="35" t="n">
        <x:f>IF(AT79=0,0,IF((12*(YEAR(AT$3)-YEAR($B$75))+MONTH(AT$3)-MONTH($B$75)+1)/MAX(1,'Вводные'!$F$90)&lt;=0.2,0.6,IF((12*(YEAR(AT$3)-YEAR($B$75))+MONTH(AT$3)-MONTH($B$75)+1)/MAX(1,'Вводные'!$F$90)&lt;=0.8,1.2,0.8)))</x:f>
      </x:c>
      <x:c r="AU80" s="35" t="n">
        <x:f>IF(AU79=0,0,IF((12*(YEAR(AU$3)-YEAR($B$75))+MONTH(AU$3)-MONTH($B$75)+1)/MAX(1,'Вводные'!$F$90)&lt;=0.2,0.6,IF((12*(YEAR(AU$3)-YEAR($B$75))+MONTH(AU$3)-MONTH($B$75)+1)/MAX(1,'Вводные'!$F$90)&lt;=0.8,1.2,0.8)))</x:f>
      </x:c>
      <x:c r="AV80" s="35" t="n">
        <x:f>IF(AV79=0,0,IF((12*(YEAR(AV$3)-YEAR($B$75))+MONTH(AV$3)-MONTH($B$75)+1)/MAX(1,'Вводные'!$F$90)&lt;=0.2,0.6,IF((12*(YEAR(AV$3)-YEAR($B$75))+MONTH(AV$3)-MONTH($B$75)+1)/MAX(1,'Вводные'!$F$90)&lt;=0.8,1.2,0.8)))</x:f>
      </x:c>
      <x:c r="AW80" s="35" t="n">
        <x:f>IF(AW79=0,0,IF((12*(YEAR(AW$3)-YEAR($B$75))+MONTH(AW$3)-MONTH($B$75)+1)/MAX(1,'Вводные'!$F$90)&lt;=0.2,0.6,IF((12*(YEAR(AW$3)-YEAR($B$75))+MONTH(AW$3)-MONTH($B$75)+1)/MAX(1,'Вводные'!$F$90)&lt;=0.8,1.2,0.8)))</x:f>
      </x:c>
      <x:c r="AX80" s="35" t="n">
        <x:f>IF(AX79=0,0,IF((12*(YEAR(AX$3)-YEAR($B$75))+MONTH(AX$3)-MONTH($B$75)+1)/MAX(1,'Вводные'!$F$90)&lt;=0.2,0.6,IF((12*(YEAR(AX$3)-YEAR($B$75))+MONTH(AX$3)-MONTH($B$75)+1)/MAX(1,'Вводные'!$F$90)&lt;=0.8,1.2,0.8)))</x:f>
      </x:c>
      <x:c r="AY80" s="35" t="n">
        <x:f>IF(AY79=0,0,IF((12*(YEAR(AY$3)-YEAR($B$75))+MONTH(AY$3)-MONTH($B$75)+1)/MAX(1,'Вводные'!$F$90)&lt;=0.2,0.6,IF((12*(YEAR(AY$3)-YEAR($B$75))+MONTH(AY$3)-MONTH($B$75)+1)/MAX(1,'Вводные'!$F$90)&lt;=0.8,1.2,0.8)))</x:f>
      </x:c>
      <x:c r="AZ80" s="35" t="n">
        <x:f>IF(AZ79=0,0,IF((12*(YEAR(AZ$3)-YEAR($B$75))+MONTH(AZ$3)-MONTH($B$75)+1)/MAX(1,'Вводные'!$F$90)&lt;=0.2,0.6,IF((12*(YEAR(AZ$3)-YEAR($B$75))+MONTH(AZ$3)-MONTH($B$75)+1)/MAX(1,'Вводные'!$F$90)&lt;=0.8,1.2,0.8)))</x:f>
      </x:c>
      <x:c r="BA80" s="35" t="n">
        <x:f>IF(BA79=0,0,IF((12*(YEAR(BA$3)-YEAR($B$75))+MONTH(BA$3)-MONTH($B$75)+1)/MAX(1,'Вводные'!$F$90)&lt;=0.2,0.6,IF((12*(YEAR(BA$3)-YEAR($B$75))+MONTH(BA$3)-MONTH($B$75)+1)/MAX(1,'Вводные'!$F$90)&lt;=0.8,1.2,0.8)))</x:f>
      </x:c>
      <x:c r="BB80" s="35" t="n">
        <x:f>IF(BB79=0,0,IF((12*(YEAR(BB$3)-YEAR($B$75))+MONTH(BB$3)-MONTH($B$75)+1)/MAX(1,'Вводные'!$F$90)&lt;=0.2,0.6,IF((12*(YEAR(BB$3)-YEAR($B$75))+MONTH(BB$3)-MONTH($B$75)+1)/MAX(1,'Вводные'!$F$90)&lt;=0.8,1.2,0.8)))</x:f>
      </x:c>
      <x:c r="BC80" s="35" t="n">
        <x:f>IF(BC79=0,0,IF((12*(YEAR(BC$3)-YEAR($B$75))+MONTH(BC$3)-MONTH($B$75)+1)/MAX(1,'Вводные'!$F$90)&lt;=0.2,0.6,IF((12*(YEAR(BC$3)-YEAR($B$75))+MONTH(BC$3)-MONTH($B$75)+1)/MAX(1,'Вводные'!$F$90)&lt;=0.8,1.2,0.8)))</x:f>
      </x:c>
      <x:c r="BD80" s="35" t="n">
        <x:f>IF(BD79=0,0,IF((12*(YEAR(BD$3)-YEAR($B$75))+MONTH(BD$3)-MONTH($B$75)+1)/MAX(1,'Вводные'!$F$90)&lt;=0.2,0.6,IF((12*(YEAR(BD$3)-YEAR($B$75))+MONTH(BD$3)-MONTH($B$75)+1)/MAX(1,'Вводные'!$F$90)&lt;=0.8,1.2,0.8)))</x:f>
      </x:c>
      <x:c r="BE80" s="35" t="n">
        <x:f>IF(BE79=0,0,IF((12*(YEAR(BE$3)-YEAR($B$75))+MONTH(BE$3)-MONTH($B$75)+1)/MAX(1,'Вводные'!$F$90)&lt;=0.2,0.6,IF((12*(YEAR(BE$3)-YEAR($B$75))+MONTH(BE$3)-MONTH($B$75)+1)/MAX(1,'Вводные'!$F$90)&lt;=0.8,1.2,0.8)))</x:f>
      </x:c>
      <x:c r="BF80" s="35" t="n">
        <x:f>IF(BF79=0,0,IF((12*(YEAR(BF$3)-YEAR($B$75))+MONTH(BF$3)-MONTH($B$75)+1)/MAX(1,'Вводные'!$F$90)&lt;=0.2,0.6,IF((12*(YEAR(BF$3)-YEAR($B$75))+MONTH(BF$3)-MONTH($B$75)+1)/MAX(1,'Вводные'!$F$90)&lt;=0.8,1.2,0.8)))</x:f>
      </x:c>
      <x:c r="BG80" s="35" t="n">
        <x:f>IF(BG79=0,0,IF((12*(YEAR(BG$3)-YEAR($B$75))+MONTH(BG$3)-MONTH($B$75)+1)/MAX(1,'Вводные'!$F$90)&lt;=0.2,0.6,IF((12*(YEAR(BG$3)-YEAR($B$75))+MONTH(BG$3)-MONTH($B$75)+1)/MAX(1,'Вводные'!$F$90)&lt;=0.8,1.2,0.8)))</x:f>
      </x:c>
      <x:c r="BH80" s="35" t="n">
        <x:f>IF(BH79=0,0,IF((12*(YEAR(BH$3)-YEAR($B$75))+MONTH(BH$3)-MONTH($B$75)+1)/MAX(1,'Вводные'!$F$90)&lt;=0.2,0.6,IF((12*(YEAR(BH$3)-YEAR($B$75))+MONTH(BH$3)-MONTH($B$75)+1)/MAX(1,'Вводные'!$F$90)&lt;=0.8,1.2,0.8)))</x:f>
      </x:c>
      <x:c r="BI80" s="35" t="n">
        <x:f>IF(BI79=0,0,IF((12*(YEAR(BI$3)-YEAR($B$75))+MONTH(BI$3)-MONTH($B$75)+1)/MAX(1,'Вводные'!$F$90)&lt;=0.2,0.6,IF((12*(YEAR(BI$3)-YEAR($B$75))+MONTH(BI$3)-MONTH($B$75)+1)/MAX(1,'Вводные'!$F$90)&lt;=0.8,1.2,0.8)))</x:f>
      </x:c>
      <x:c r="BJ80" s="35" t="n">
        <x:f>IF(BJ79=0,0,IF((12*(YEAR(BJ$3)-YEAR($B$75))+MONTH(BJ$3)-MONTH($B$75)+1)/MAX(1,'Вводные'!$F$90)&lt;=0.2,0.6,IF((12*(YEAR(BJ$3)-YEAR($B$75))+MONTH(BJ$3)-MONTH($B$75)+1)/MAX(1,'Вводные'!$F$90)&lt;=0.8,1.2,0.8)))</x:f>
      </x:c>
      <x:c r="BK80" s="35" t="n">
        <x:f>IF(BK79=0,0,IF((12*(YEAR(BK$3)-YEAR($B$75))+MONTH(BK$3)-MONTH($B$75)+1)/MAX(1,'Вводные'!$F$90)&lt;=0.2,0.6,IF((12*(YEAR(BK$3)-YEAR($B$75))+MONTH(BK$3)-MONTH($B$75)+1)/MAX(1,'Вводные'!$F$90)&lt;=0.8,1.2,0.8)))</x:f>
      </x:c>
      <x:c r="BL80" s="35" t="n">
        <x:f>IF(BL79=0,0,IF((12*(YEAR(BL$3)-YEAR($B$75))+MONTH(BL$3)-MONTH($B$75)+1)/MAX(1,'Вводные'!$F$90)&lt;=0.2,0.6,IF((12*(YEAR(BL$3)-YEAR($B$75))+MONTH(BL$3)-MONTH($B$75)+1)/MAX(1,'Вводные'!$F$90)&lt;=0.8,1.2,0.8)))</x:f>
      </x:c>
      <x:c r="BM80" s="35" t="n">
        <x:f>IF(BM79=0,0,IF((12*(YEAR(BM$3)-YEAR($B$75))+MONTH(BM$3)-MONTH($B$75)+1)/MAX(1,'Вводные'!$F$90)&lt;=0.2,0.6,IF((12*(YEAR(BM$3)-YEAR($B$75))+MONTH(BM$3)-MONTH($B$75)+1)/MAX(1,'Вводные'!$F$90)&lt;=0.8,1.2,0.8)))</x:f>
      </x:c>
      <x:c r="BN80" s="35" t="n">
        <x:f>IF(BN79=0,0,IF((12*(YEAR(BN$3)-YEAR($B$75))+MONTH(BN$3)-MONTH($B$75)+1)/MAX(1,'Вводные'!$F$90)&lt;=0.2,0.6,IF((12*(YEAR(BN$3)-YEAR($B$75))+MONTH(BN$3)-MONTH($B$75)+1)/MAX(1,'Вводные'!$F$90)&lt;=0.8,1.2,0.8)))</x:f>
      </x:c>
      <x:c r="BO80" s="35" t="n">
        <x:f>IF(BO79=0,0,IF((12*(YEAR(BO$3)-YEAR($B$75))+MONTH(BO$3)-MONTH($B$75)+1)/MAX(1,'Вводные'!$F$90)&lt;=0.2,0.6,IF((12*(YEAR(BO$3)-YEAR($B$75))+MONTH(BO$3)-MONTH($B$75)+1)/MAX(1,'Вводные'!$F$90)&lt;=0.8,1.2,0.8)))</x:f>
      </x:c>
      <x:c r="BP80" s="35" t="n">
        <x:f>IF(BP79=0,0,IF((12*(YEAR(BP$3)-YEAR($B$75))+MONTH(BP$3)-MONTH($B$75)+1)/MAX(1,'Вводные'!$F$90)&lt;=0.2,0.6,IF((12*(YEAR(BP$3)-YEAR($B$75))+MONTH(BP$3)-MONTH($B$75)+1)/MAX(1,'Вводные'!$F$90)&lt;=0.8,1.2,0.8)))</x:f>
      </x:c>
      <x:c r="BQ80" s="35" t="n">
        <x:f>IF(BQ79=0,0,IF((12*(YEAR(BQ$3)-YEAR($B$75))+MONTH(BQ$3)-MONTH($B$75)+1)/MAX(1,'Вводные'!$F$90)&lt;=0.2,0.6,IF((12*(YEAR(BQ$3)-YEAR($B$75))+MONTH(BQ$3)-MONTH($B$75)+1)/MAX(1,'Вводные'!$F$90)&lt;=0.8,1.2,0.8)))</x:f>
      </x:c>
      <x:c r="BR80" s="35" t="n">
        <x:f>IF(BR79=0,0,IF((12*(YEAR(BR$3)-YEAR($B$75))+MONTH(BR$3)-MONTH($B$75)+1)/MAX(1,'Вводные'!$F$90)&lt;=0.2,0.6,IF((12*(YEAR(BR$3)-YEAR($B$75))+MONTH(BR$3)-MONTH($B$75)+1)/MAX(1,'Вводные'!$F$90)&lt;=0.8,1.2,0.8)))</x:f>
      </x:c>
      <x:c r="BS80" s="35" t="n">
        <x:f>IF(BS79=0,0,IF((12*(YEAR(BS$3)-YEAR($B$75))+MONTH(BS$3)-MONTH($B$75)+1)/MAX(1,'Вводные'!$F$90)&lt;=0.2,0.6,IF((12*(YEAR(BS$3)-YEAR($B$75))+MONTH(BS$3)-MONTH($B$75)+1)/MAX(1,'Вводные'!$F$90)&lt;=0.8,1.2,0.8)))</x:f>
      </x:c>
      <x:c r="BT80" s="35" t="n">
        <x:f>IF(BT79=0,0,IF((12*(YEAR(BT$3)-YEAR($B$75))+MONTH(BT$3)-MONTH($B$75)+1)/MAX(1,'Вводные'!$F$90)&lt;=0.2,0.6,IF((12*(YEAR(BT$3)-YEAR($B$75))+MONTH(BT$3)-MONTH($B$75)+1)/MAX(1,'Вводные'!$F$90)&lt;=0.8,1.2,0.8)))</x:f>
      </x:c>
      <x:c r="BU80" s="35" t="n">
        <x:f>IF(BU79=0,0,IF((12*(YEAR(BU$3)-YEAR($B$75))+MONTH(BU$3)-MONTH($B$75)+1)/MAX(1,'Вводные'!$F$90)&lt;=0.2,0.6,IF((12*(YEAR(BU$3)-YEAR($B$75))+MONTH(BU$3)-MONTH($B$75)+1)/MAX(1,'Вводные'!$F$90)&lt;=0.8,1.2,0.8)))</x:f>
      </x:c>
      <x:c r="BV80" s="35" t="n">
        <x:f>IF(BV79=0,0,IF((12*(YEAR(BV$3)-YEAR($B$75))+MONTH(BV$3)-MONTH($B$75)+1)/MAX(1,'Вводные'!$F$90)&lt;=0.2,0.6,IF((12*(YEAR(BV$3)-YEAR($B$75))+MONTH(BV$3)-MONTH($B$75)+1)/MAX(1,'Вводные'!$F$90)&lt;=0.8,1.2,0.8)))</x:f>
      </x:c>
      <x:c r="BW80" s="35" t="n">
        <x:f>IF(BW79=0,0,IF((12*(YEAR(BW$3)-YEAR($B$75))+MONTH(BW$3)-MONTH($B$75)+1)/MAX(1,'Вводные'!$F$90)&lt;=0.2,0.6,IF((12*(YEAR(BW$3)-YEAR($B$75))+MONTH(BW$3)-MONTH($B$75)+1)/MAX(1,'Вводные'!$F$90)&lt;=0.8,1.2,0.8)))</x:f>
      </x:c>
      <x:c r="BX80" s="35" t="n">
        <x:f>IF(BX79=0,0,IF((12*(YEAR(BX$3)-YEAR($B$75))+MONTH(BX$3)-MONTH($B$75)+1)/MAX(1,'Вводные'!$F$90)&lt;=0.2,0.6,IF((12*(YEAR(BX$3)-YEAR($B$75))+MONTH(BX$3)-MONTH($B$75)+1)/MAX(1,'Вводные'!$F$90)&lt;=0.8,1.2,0.8)))</x:f>
      </x:c>
      <x:c r="BY80" s="35" t="n">
        <x:f>IF(BY79=0,0,IF((12*(YEAR(BY$3)-YEAR($B$75))+MONTH(BY$3)-MONTH($B$75)+1)/MAX(1,'Вводные'!$F$90)&lt;=0.2,0.6,IF((12*(YEAR(BY$3)-YEAR($B$75))+MONTH(BY$3)-MONTH($B$75)+1)/MAX(1,'Вводные'!$F$90)&lt;=0.8,1.2,0.8)))</x:f>
      </x:c>
      <x:c r="BZ80" s="35" t="n">
        <x:f>IF(BZ79=0,0,IF((12*(YEAR(BZ$3)-YEAR($B$75))+MONTH(BZ$3)-MONTH($B$75)+1)/MAX(1,'Вводные'!$F$90)&lt;=0.2,0.6,IF((12*(YEAR(BZ$3)-YEAR($B$75))+MONTH(BZ$3)-MONTH($B$75)+1)/MAX(1,'Вводные'!$F$90)&lt;=0.8,1.2,0.8)))</x:f>
      </x:c>
      <x:c r="CA80" s="35" t="n">
        <x:f>IF(CA79=0,0,IF((12*(YEAR(CA$3)-YEAR($B$75))+MONTH(CA$3)-MONTH($B$75)+1)/MAX(1,'Вводные'!$F$90)&lt;=0.2,0.6,IF((12*(YEAR(CA$3)-YEAR($B$75))+MONTH(CA$3)-MONTH($B$75)+1)/MAX(1,'Вводные'!$F$90)&lt;=0.8,1.2,0.8)))</x:f>
      </x:c>
      <x:c r="CB80" s="35" t="n">
        <x:f>IF(CB79=0,0,IF((12*(YEAR(CB$3)-YEAR($B$75))+MONTH(CB$3)-MONTH($B$75)+1)/MAX(1,'Вводные'!$F$90)&lt;=0.2,0.6,IF((12*(YEAR(CB$3)-YEAR($B$75))+MONTH(CB$3)-MONTH($B$75)+1)/MAX(1,'Вводные'!$F$90)&lt;=0.8,1.2,0.8)))</x:f>
      </x:c>
      <x:c r="CC80" s="35" t="n">
        <x:f>IF(CC79=0,0,IF((12*(YEAR(CC$3)-YEAR($B$75))+MONTH(CC$3)-MONTH($B$75)+1)/MAX(1,'Вводные'!$F$90)&lt;=0.2,0.6,IF((12*(YEAR(CC$3)-YEAR($B$75))+MONTH(CC$3)-MONTH($B$75)+1)/MAX(1,'Вводные'!$F$90)&lt;=0.8,1.2,0.8)))</x:f>
      </x:c>
      <x:c r="CD80" s="35" t="n">
        <x:f>IF(CD79=0,0,IF((12*(YEAR(CD$3)-YEAR($B$75))+MONTH(CD$3)-MONTH($B$75)+1)/MAX(1,'Вводные'!$F$90)&lt;=0.2,0.6,IF((12*(YEAR(CD$3)-YEAR($B$75))+MONTH(CD$3)-MONTH($B$75)+1)/MAX(1,'Вводные'!$F$90)&lt;=0.8,1.2,0.8)))</x:f>
      </x:c>
      <x:c r="CE80" s="35" t="n">
        <x:f>IF(CE79=0,0,IF((12*(YEAR(CE$3)-YEAR($B$75))+MONTH(CE$3)-MONTH($B$75)+1)/MAX(1,'Вводные'!$F$90)&lt;=0.2,0.6,IF((12*(YEAR(CE$3)-YEAR($B$75))+MONTH(CE$3)-MONTH($B$75)+1)/MAX(1,'Вводные'!$F$90)&lt;=0.8,1.2,0.8)))</x:f>
      </x:c>
      <x:c r="CF80" s="35" t="n">
        <x:f>IF(CF79=0,0,IF((12*(YEAR(CF$3)-YEAR($B$75))+MONTH(CF$3)-MONTH($B$75)+1)/MAX(1,'Вводные'!$F$90)&lt;=0.2,0.6,IF((12*(YEAR(CF$3)-YEAR($B$75))+MONTH(CF$3)-MONTH($B$75)+1)/MAX(1,'Вводные'!$F$90)&lt;=0.8,1.2,0.8)))</x:f>
      </x:c>
      <x:c r="CG80" s="35" t="n">
        <x:f>IF(CG79=0,0,IF((12*(YEAR(CG$3)-YEAR($B$75))+MONTH(CG$3)-MONTH($B$75)+1)/MAX(1,'Вводные'!$F$90)&lt;=0.2,0.6,IF((12*(YEAR(CG$3)-YEAR($B$75))+MONTH(CG$3)-MONTH($B$75)+1)/MAX(1,'Вводные'!$F$90)&lt;=0.8,1.2,0.8)))</x:f>
      </x:c>
      <x:c r="CH80" s="35" t="n">
        <x:f>IF(CH79=0,0,IF((12*(YEAR(CH$3)-YEAR($B$75))+MONTH(CH$3)-MONTH($B$75)+1)/MAX(1,'Вводные'!$F$90)&lt;=0.2,0.6,IF((12*(YEAR(CH$3)-YEAR($B$75))+MONTH(CH$3)-MONTH($B$75)+1)/MAX(1,'Вводные'!$F$90)&lt;=0.8,1.2,0.8)))</x:f>
      </x:c>
      <x:c r="CI80" s="35" t="n">
        <x:f>IF(CI79=0,0,IF((12*(YEAR(CI$3)-YEAR($B$75))+MONTH(CI$3)-MONTH($B$75)+1)/MAX(1,'Вводные'!$F$90)&lt;=0.2,0.6,IF((12*(YEAR(CI$3)-YEAR($B$75))+MONTH(CI$3)-MONTH($B$75)+1)/MAX(1,'Вводные'!$F$90)&lt;=0.8,1.2,0.8)))</x:f>
      </x:c>
      <x:c r="CJ80" s="35" t="n">
        <x:f>IF(CJ79=0,0,IF((12*(YEAR(CJ$3)-YEAR($B$75))+MONTH(CJ$3)-MONTH($B$75)+1)/MAX(1,'Вводные'!$F$90)&lt;=0.2,0.6,IF((12*(YEAR(CJ$3)-YEAR($B$75))+MONTH(CJ$3)-MONTH($B$75)+1)/MAX(1,'Вводные'!$F$90)&lt;=0.8,1.2,0.8)))</x:f>
      </x:c>
      <x:c r="CK80" s="35" t="n">
        <x:f>IF(CK79=0,0,IF((12*(YEAR(CK$3)-YEAR($B$75))+MONTH(CK$3)-MONTH($B$75)+1)/MAX(1,'Вводные'!$F$90)&lt;=0.2,0.6,IF((12*(YEAR(CK$3)-YEAR($B$75))+MONTH(CK$3)-MONTH($B$75)+1)/MAX(1,'Вводные'!$F$90)&lt;=0.8,1.2,0.8)))</x:f>
      </x:c>
      <x:c r="CL80" s="35" t="n">
        <x:f>IF(CL79=0,0,IF((12*(YEAR(CL$3)-YEAR($B$75))+MONTH(CL$3)-MONTH($B$75)+1)/MAX(1,'Вводные'!$F$90)&lt;=0.2,0.6,IF((12*(YEAR(CL$3)-YEAR($B$75))+MONTH(CL$3)-MONTH($B$75)+1)/MAX(1,'Вводные'!$F$90)&lt;=0.8,1.2,0.8)))</x:f>
      </x:c>
      <x:c r="CM80" s="35" t="n">
        <x:f>IF(CM79=0,0,IF((12*(YEAR(CM$3)-YEAR($B$75))+MONTH(CM$3)-MONTH($B$75)+1)/MAX(1,'Вводные'!$F$90)&lt;=0.2,0.6,IF((12*(YEAR(CM$3)-YEAR($B$75))+MONTH(CM$3)-MONTH($B$75)+1)/MAX(1,'Вводные'!$F$90)&lt;=0.8,1.2,0.8)))</x:f>
      </x:c>
      <x:c r="CN80" s="35" t="n">
        <x:f>IF(CN79=0,0,IF((12*(YEAR(CN$3)-YEAR($B$75))+MONTH(CN$3)-MONTH($B$75)+1)/MAX(1,'Вводные'!$F$90)&lt;=0.2,0.6,IF((12*(YEAR(CN$3)-YEAR($B$75))+MONTH(CN$3)-MONTH($B$75)+1)/MAX(1,'Вводные'!$F$90)&lt;=0.8,1.2,0.8)))</x:f>
      </x:c>
      <x:c r="CO80" s="35" t="n">
        <x:f>IF(CO79=0,0,IF((12*(YEAR(CO$3)-YEAR($B$75))+MONTH(CO$3)-MONTH($B$75)+1)/MAX(1,'Вводные'!$F$90)&lt;=0.2,0.6,IF((12*(YEAR(CO$3)-YEAR($B$75))+MONTH(CO$3)-MONTH($B$75)+1)/MAX(1,'Вводные'!$F$90)&lt;=0.8,1.2,0.8)))</x:f>
      </x:c>
      <x:c r="CP80" s="35" t="n">
        <x:f>IF(CP79=0,0,IF((12*(YEAR(CP$3)-YEAR($B$75))+MONTH(CP$3)-MONTH($B$75)+1)/MAX(1,'Вводные'!$F$90)&lt;=0.2,0.6,IF((12*(YEAR(CP$3)-YEAR($B$75))+MONTH(CP$3)-MONTH($B$75)+1)/MAX(1,'Вводные'!$F$90)&lt;=0.8,1.2,0.8)))</x:f>
      </x:c>
      <x:c r="CQ80" s="35" t="n">
        <x:f>IF(CQ79=0,0,IF((12*(YEAR(CQ$3)-YEAR($B$75))+MONTH(CQ$3)-MONTH($B$75)+1)/MAX(1,'Вводные'!$F$90)&lt;=0.2,0.6,IF((12*(YEAR(CQ$3)-YEAR($B$75))+MONTH(CQ$3)-MONTH($B$75)+1)/MAX(1,'Вводные'!$F$90)&lt;=0.8,1.2,0.8)))</x:f>
      </x:c>
      <x:c r="CR80" s="35" t="n">
        <x:f>IF(CR79=0,0,IF((12*(YEAR(CR$3)-YEAR($B$75))+MONTH(CR$3)-MONTH($B$75)+1)/MAX(1,'Вводные'!$F$90)&lt;=0.2,0.6,IF((12*(YEAR(CR$3)-YEAR($B$75))+MONTH(CR$3)-MONTH($B$75)+1)/MAX(1,'Вводные'!$F$90)&lt;=0.8,1.2,0.8)))</x:f>
      </x:c>
      <x:c r="CS80" s="35" t="n">
        <x:f>IF(CS79=0,0,IF((12*(YEAR(CS$3)-YEAR($B$75))+MONTH(CS$3)-MONTH($B$75)+1)/MAX(1,'Вводные'!$F$90)&lt;=0.2,0.6,IF((12*(YEAR(CS$3)-YEAR($B$75))+MONTH(CS$3)-MONTH($B$75)+1)/MAX(1,'Вводные'!$F$90)&lt;=0.8,1.2,0.8)))</x:f>
      </x:c>
      <x:c r="CT80" s="35" t="n">
        <x:f>IF(CT79=0,0,IF((12*(YEAR(CT$3)-YEAR($B$75))+MONTH(CT$3)-MONTH($B$75)+1)/MAX(1,'Вводные'!$F$90)&lt;=0.2,0.6,IF((12*(YEAR(CT$3)-YEAR($B$75))+MONTH(CT$3)-MONTH($B$75)+1)/MAX(1,'Вводные'!$F$90)&lt;=0.8,1.2,0.8)))</x:f>
      </x:c>
      <x:c r="CU80" s="35" t="n">
        <x:f>IF(CU79=0,0,IF((12*(YEAR(CU$3)-YEAR($B$75))+MONTH(CU$3)-MONTH($B$75)+1)/MAX(1,'Вводные'!$F$90)&lt;=0.2,0.6,IF((12*(YEAR(CU$3)-YEAR($B$75))+MONTH(CU$3)-MONTH($B$75)+1)/MAX(1,'Вводные'!$F$90)&lt;=0.8,1.2,0.8)))</x:f>
      </x:c>
      <x:c r="CV80" s="35" t="n">
        <x:f>IF(CV79=0,0,IF((12*(YEAR(CV$3)-YEAR($B$75))+MONTH(CV$3)-MONTH($B$75)+1)/MAX(1,'Вводные'!$F$90)&lt;=0.2,0.6,IF((12*(YEAR(CV$3)-YEAR($B$75))+MONTH(CV$3)-MONTH($B$75)+1)/MAX(1,'Вводные'!$F$90)&lt;=0.8,1.2,0.8)))</x:f>
      </x:c>
      <x:c r="CW80" s="35" t="n">
        <x:f>IF(CW79=0,0,IF((12*(YEAR(CW$3)-YEAR($B$75))+MONTH(CW$3)-MONTH($B$75)+1)/MAX(1,'Вводные'!$F$90)&lt;=0.2,0.6,IF((12*(YEAR(CW$3)-YEAR($B$75))+MONTH(CW$3)-MONTH($B$75)+1)/MAX(1,'Вводные'!$F$90)&lt;=0.8,1.2,0.8)))</x:f>
      </x:c>
      <x:c r="CX80" s="35" t="n">
        <x:f>IF(CX79=0,0,IF((12*(YEAR(CX$3)-YEAR($B$75))+MONTH(CX$3)-MONTH($B$75)+1)/MAX(1,'Вводные'!$F$90)&lt;=0.2,0.6,IF((12*(YEAR(CX$3)-YEAR($B$75))+MONTH(CX$3)-MONTH($B$75)+1)/MAX(1,'Вводные'!$F$90)&lt;=0.8,1.2,0.8)))</x:f>
      </x:c>
      <x:c r="CY80" s="35" t="n">
        <x:f>IF(CY79=0,0,IF((12*(YEAR(CY$3)-YEAR($B$75))+MONTH(CY$3)-MONTH($B$75)+1)/MAX(1,'Вводные'!$F$90)&lt;=0.2,0.6,IF((12*(YEAR(CY$3)-YEAR($B$75))+MONTH(CY$3)-MONTH($B$75)+1)/MAX(1,'Вводные'!$F$90)&lt;=0.8,1.2,0.8)))</x:f>
      </x:c>
      <x:c r="CZ80" s="35" t="n">
        <x:f>IF(CZ79=0,0,IF((12*(YEAR(CZ$3)-YEAR($B$75))+MONTH(CZ$3)-MONTH($B$75)+1)/MAX(1,'Вводные'!$F$90)&lt;=0.2,0.6,IF((12*(YEAR(CZ$3)-YEAR($B$75))+MONTH(CZ$3)-MONTH($B$75)+1)/MAX(1,'Вводные'!$F$90)&lt;=0.8,1.2,0.8)))</x:f>
      </x:c>
      <x:c r="DA80" s="35" t="n">
        <x:f>IF(DA79=0,0,IF((12*(YEAR(DA$3)-YEAR($B$75))+MONTH(DA$3)-MONTH($B$75)+1)/MAX(1,'Вводные'!$F$90)&lt;=0.2,0.6,IF((12*(YEAR(DA$3)-YEAR($B$75))+MONTH(DA$3)-MONTH($B$75)+1)/MAX(1,'Вводные'!$F$90)&lt;=0.8,1.2,0.8)))</x:f>
      </x:c>
      <x:c r="DB80" s="35" t="n">
        <x:f>IF(DB79=0,0,IF((12*(YEAR(DB$3)-YEAR($B$75))+MONTH(DB$3)-MONTH($B$75)+1)/MAX(1,'Вводные'!$F$90)&lt;=0.2,0.6,IF((12*(YEAR(DB$3)-YEAR($B$75))+MONTH(DB$3)-MONTH($B$75)+1)/MAX(1,'Вводные'!$F$90)&lt;=0.8,1.2,0.8)))</x:f>
      </x:c>
      <x:c r="DC80" s="35" t="n">
        <x:f>IF(DC79=0,0,IF((12*(YEAR(DC$3)-YEAR($B$75))+MONTH(DC$3)-MONTH($B$75)+1)/MAX(1,'Вводные'!$F$90)&lt;=0.2,0.6,IF((12*(YEAR(DC$3)-YEAR($B$75))+MONTH(DC$3)-MONTH($B$75)+1)/MAX(1,'Вводные'!$F$90)&lt;=0.8,1.2,0.8)))</x:f>
      </x:c>
      <x:c r="DD80" s="35" t="n">
        <x:f>IF(DD79=0,0,IF((12*(YEAR(DD$3)-YEAR($B$75))+MONTH(DD$3)-MONTH($B$75)+1)/MAX(1,'Вводные'!$F$90)&lt;=0.2,0.6,IF((12*(YEAR(DD$3)-YEAR($B$75))+MONTH(DD$3)-MONTH($B$75)+1)/MAX(1,'Вводные'!$F$90)&lt;=0.8,1.2,0.8)))</x:f>
      </x:c>
      <x:c r="DE80" s="35" t="n">
        <x:f>IF(DE79=0,0,IF((12*(YEAR(DE$3)-YEAR($B$75))+MONTH(DE$3)-MONTH($B$75)+1)/MAX(1,'Вводные'!$F$90)&lt;=0.2,0.6,IF((12*(YEAR(DE$3)-YEAR($B$75))+MONTH(DE$3)-MONTH($B$75)+1)/MAX(1,'Вводные'!$F$90)&lt;=0.8,1.2,0.8)))</x:f>
      </x:c>
      <x:c r="DF80" s="35" t="n">
        <x:f>IF(DF79=0,0,IF((12*(YEAR(DF$3)-YEAR($B$75))+MONTH(DF$3)-MONTH($B$75)+1)/MAX(1,'Вводные'!$F$90)&lt;=0.2,0.6,IF((12*(YEAR(DF$3)-YEAR($B$75))+MONTH(DF$3)-MONTH($B$75)+1)/MAX(1,'Вводные'!$F$90)&lt;=0.8,1.2,0.8)))</x:f>
      </x:c>
      <x:c r="DG80" s="35" t="n">
        <x:f>IF(DG79=0,0,IF((12*(YEAR(DG$3)-YEAR($B$75))+MONTH(DG$3)-MONTH($B$75)+1)/MAX(1,'Вводные'!$F$90)&lt;=0.2,0.6,IF((12*(YEAR(DG$3)-YEAR($B$75))+MONTH(DG$3)-MONTH($B$75)+1)/MAX(1,'Вводные'!$F$90)&lt;=0.8,1.2,0.8)))</x:f>
      </x:c>
      <x:c r="DH80" s="35" t="n">
        <x:f>IF(DH79=0,0,IF((12*(YEAR(DH$3)-YEAR($B$75))+MONTH(DH$3)-MONTH($B$75)+1)/MAX(1,'Вводные'!$F$90)&lt;=0.2,0.6,IF((12*(YEAR(DH$3)-YEAR($B$75))+MONTH(DH$3)-MONTH($B$75)+1)/MAX(1,'Вводные'!$F$90)&lt;=0.8,1.2,0.8)))</x:f>
      </x:c>
      <x:c r="DI80" s="35" t="n">
        <x:f>IF(DI79=0,0,IF((12*(YEAR(DI$3)-YEAR($B$75))+MONTH(DI$3)-MONTH($B$75)+1)/MAX(1,'Вводные'!$F$90)&lt;=0.2,0.6,IF((12*(YEAR(DI$3)-YEAR($B$75))+MONTH(DI$3)-MONTH($B$75)+1)/MAX(1,'Вводные'!$F$90)&lt;=0.8,1.2,0.8)))</x:f>
      </x:c>
      <x:c r="DJ80" s="35" t="n">
        <x:f>IF(DJ79=0,0,IF((12*(YEAR(DJ$3)-YEAR($B$75))+MONTH(DJ$3)-MONTH($B$75)+1)/MAX(1,'Вводные'!$F$90)&lt;=0.2,0.6,IF((12*(YEAR(DJ$3)-YEAR($B$75))+MONTH(DJ$3)-MONTH($B$75)+1)/MAX(1,'Вводные'!$F$90)&lt;=0.8,1.2,0.8)))</x:f>
      </x:c>
      <x:c r="DK80" s="35" t="n">
        <x:f>IF(DK79=0,0,IF((12*(YEAR(DK$3)-YEAR($B$75))+MONTH(DK$3)-MONTH($B$75)+1)/MAX(1,'Вводные'!$F$90)&lt;=0.2,0.6,IF((12*(YEAR(DK$3)-YEAR($B$75))+MONTH(DK$3)-MONTH($B$75)+1)/MAX(1,'Вводные'!$F$90)&lt;=0.8,1.2,0.8)))</x:f>
      </x:c>
      <x:c r="DL80" s="35" t="n">
        <x:f>IF(DL79=0,0,IF((12*(YEAR(DL$3)-YEAR($B$75))+MONTH(DL$3)-MONTH($B$75)+1)/MAX(1,'Вводные'!$F$90)&lt;=0.2,0.6,IF((12*(YEAR(DL$3)-YEAR($B$75))+MONTH(DL$3)-MONTH($B$75)+1)/MAX(1,'Вводные'!$F$90)&lt;=0.8,1.2,0.8)))</x:f>
      </x:c>
      <x:c r="DM80" s="35" t="n">
        <x:f>IF(DM79=0,0,IF((12*(YEAR(DM$3)-YEAR($B$75))+MONTH(DM$3)-MONTH($B$75)+1)/MAX(1,'Вводные'!$F$90)&lt;=0.2,0.6,IF((12*(YEAR(DM$3)-YEAR($B$75))+MONTH(DM$3)-MONTH($B$75)+1)/MAX(1,'Вводные'!$F$90)&lt;=0.8,1.2,0.8)))</x:f>
      </x:c>
      <x:c r="DN80" s="35" t="n">
        <x:f>IF(DN79=0,0,IF((12*(YEAR(DN$3)-YEAR($B$75))+MONTH(DN$3)-MONTH($B$75)+1)/MAX(1,'Вводные'!$F$90)&lt;=0.2,0.6,IF((12*(YEAR(DN$3)-YEAR($B$75))+MONTH(DN$3)-MONTH($B$75)+1)/MAX(1,'Вводные'!$F$90)&lt;=0.8,1.2,0.8)))</x:f>
      </x:c>
      <x:c r="DO80" s="35" t="n">
        <x:f>IF(DO79=0,0,IF((12*(YEAR(DO$3)-YEAR($B$75))+MONTH(DO$3)-MONTH($B$75)+1)/MAX(1,'Вводные'!$F$90)&lt;=0.2,0.6,IF((12*(YEAR(DO$3)-YEAR($B$75))+MONTH(DO$3)-MONTH($B$75)+1)/MAX(1,'Вводные'!$F$90)&lt;=0.8,1.2,0.8)))</x:f>
      </x:c>
      <x:c r="DP80" s="35" t="n">
        <x:f>IF(DP79=0,0,IF((12*(YEAR(DP$3)-YEAR($B$75))+MONTH(DP$3)-MONTH($B$75)+1)/MAX(1,'Вводные'!$F$90)&lt;=0.2,0.6,IF((12*(YEAR(DP$3)-YEAR($B$75))+MONTH(DP$3)-MONTH($B$75)+1)/MAX(1,'Вводные'!$F$90)&lt;=0.8,1.2,0.8)))</x:f>
      </x:c>
      <x:c r="DQ80" s="35" t="n">
        <x:f>IF(DQ79=0,0,IF((12*(YEAR(DQ$3)-YEAR($B$75))+MONTH(DQ$3)-MONTH($B$75)+1)/MAX(1,'Вводные'!$F$90)&lt;=0.2,0.6,IF((12*(YEAR(DQ$3)-YEAR($B$75))+MONTH(DQ$3)-MONTH($B$75)+1)/MAX(1,'Вводные'!$F$90)&lt;=0.8,1.2,0.8)))</x:f>
      </x:c>
      <x:c r="DR80" s="35" t="n">
        <x:f>IF(DR79=0,0,IF((12*(YEAR(DR$3)-YEAR($B$75))+MONTH(DR$3)-MONTH($B$75)+1)/MAX(1,'Вводные'!$F$90)&lt;=0.2,0.6,IF((12*(YEAR(DR$3)-YEAR($B$75))+MONTH(DR$3)-MONTH($B$75)+1)/MAX(1,'Вводные'!$F$90)&lt;=0.8,1.2,0.8)))</x:f>
      </x:c>
      <x:c r="DS80" s="35" t="n">
        <x:f>IF(DS79=0,0,IF((12*(YEAR(DS$3)-YEAR($B$75))+MONTH(DS$3)-MONTH($B$75)+1)/MAX(1,'Вводные'!$F$90)&lt;=0.2,0.6,IF((12*(YEAR(DS$3)-YEAR($B$75))+MONTH(DS$3)-MONTH($B$75)+1)/MAX(1,'Вводные'!$F$90)&lt;=0.8,1.2,0.8)))</x:f>
      </x:c>
    </x:row>
    <x:row r="81">
      <x:c r="A81" t="str">
        <x:v>Нормированный вес строительства</x:v>
      </x:c>
      <x:c r="B81"/>
      <x:c r="C81" t="str">
        <x:v>%</x:v>
      </x:c>
      <x:c r="D81" s="35" t="n">
        <x:f>IFERROR(D80/SUM($D80:$DS80),0)</x:f>
      </x:c>
      <x:c r="E81" s="35" t="n">
        <x:f>IFERROR(E80/SUM($D80:$DS80),0)</x:f>
      </x:c>
      <x:c r="F81" s="35" t="n">
        <x:f>IFERROR(F80/SUM($D80:$DS80),0)</x:f>
      </x:c>
      <x:c r="G81" s="35" t="n">
        <x:f>IFERROR(G80/SUM($D80:$DS80),0)</x:f>
      </x:c>
      <x:c r="H81" s="35" t="n">
        <x:f>IFERROR(H80/SUM($D80:$DS80),0)</x:f>
      </x:c>
      <x:c r="I81" s="35" t="n">
        <x:f>IFERROR(I80/SUM($D80:$DS80),0)</x:f>
      </x:c>
      <x:c r="J81" s="35" t="n">
        <x:f>IFERROR(J80/SUM($D80:$DS80),0)</x:f>
      </x:c>
      <x:c r="K81" s="35" t="n">
        <x:f>IFERROR(K80/SUM($D80:$DS80),0)</x:f>
      </x:c>
      <x:c r="L81" s="35" t="n">
        <x:f>IFERROR(L80/SUM($D80:$DS80),0)</x:f>
      </x:c>
      <x:c r="M81" s="35" t="n">
        <x:f>IFERROR(M80/SUM($D80:$DS80),0)</x:f>
      </x:c>
      <x:c r="N81" s="35" t="n">
        <x:f>IFERROR(N80/SUM($D80:$DS80),0)</x:f>
      </x:c>
      <x:c r="O81" s="35" t="n">
        <x:f>IFERROR(O80/SUM($D80:$DS80),0)</x:f>
      </x:c>
      <x:c r="P81" s="35" t="n">
        <x:f>IFERROR(P80/SUM($D80:$DS80),0)</x:f>
      </x:c>
      <x:c r="Q81" s="35" t="n">
        <x:f>IFERROR(Q80/SUM($D80:$DS80),0)</x:f>
      </x:c>
      <x:c r="R81" s="35" t="n">
        <x:f>IFERROR(R80/SUM($D80:$DS80),0)</x:f>
      </x:c>
      <x:c r="S81" s="35" t="n">
        <x:f>IFERROR(S80/SUM($D80:$DS80),0)</x:f>
      </x:c>
      <x:c r="T81" s="35" t="n">
        <x:f>IFERROR(T80/SUM($D80:$DS80),0)</x:f>
      </x:c>
      <x:c r="U81" s="35" t="n">
        <x:f>IFERROR(U80/SUM($D80:$DS80),0)</x:f>
      </x:c>
      <x:c r="V81" s="35" t="n">
        <x:f>IFERROR(V80/SUM($D80:$DS80),0)</x:f>
      </x:c>
      <x:c r="W81" s="35" t="n">
        <x:f>IFERROR(W80/SUM($D80:$DS80),0)</x:f>
      </x:c>
      <x:c r="X81" s="35" t="n">
        <x:f>IFERROR(X80/SUM($D80:$DS80),0)</x:f>
      </x:c>
      <x:c r="Y81" s="35" t="n">
        <x:f>IFERROR(Y80/SUM($D80:$DS80),0)</x:f>
      </x:c>
      <x:c r="Z81" s="35" t="n">
        <x:f>IFERROR(Z80/SUM($D80:$DS80),0)</x:f>
      </x:c>
      <x:c r="AA81" s="35" t="n">
        <x:f>IFERROR(AA80/SUM($D80:$DS80),0)</x:f>
      </x:c>
      <x:c r="AB81" s="35" t="n">
        <x:f>IFERROR(AB80/SUM($D80:$DS80),0)</x:f>
      </x:c>
      <x:c r="AC81" s="35" t="n">
        <x:f>IFERROR(AC80/SUM($D80:$DS80),0)</x:f>
      </x:c>
      <x:c r="AD81" s="35" t="n">
        <x:f>IFERROR(AD80/SUM($D80:$DS80),0)</x:f>
      </x:c>
      <x:c r="AE81" s="35" t="n">
        <x:f>IFERROR(AE80/SUM($D80:$DS80),0)</x:f>
      </x:c>
      <x:c r="AF81" s="35" t="n">
        <x:f>IFERROR(AF80/SUM($D80:$DS80),0)</x:f>
      </x:c>
      <x:c r="AG81" s="35" t="n">
        <x:f>IFERROR(AG80/SUM($D80:$DS80),0)</x:f>
      </x:c>
      <x:c r="AH81" s="35" t="n">
        <x:f>IFERROR(AH80/SUM($D80:$DS80),0)</x:f>
      </x:c>
      <x:c r="AI81" s="35" t="n">
        <x:f>IFERROR(AI80/SUM($D80:$DS80),0)</x:f>
      </x:c>
      <x:c r="AJ81" s="35" t="n">
        <x:f>IFERROR(AJ80/SUM($D80:$DS80),0)</x:f>
      </x:c>
      <x:c r="AK81" s="35" t="n">
        <x:f>IFERROR(AK80/SUM($D80:$DS80),0)</x:f>
      </x:c>
      <x:c r="AL81" s="35" t="n">
        <x:f>IFERROR(AL80/SUM($D80:$DS80),0)</x:f>
      </x:c>
      <x:c r="AM81" s="35" t="n">
        <x:f>IFERROR(AM80/SUM($D80:$DS80),0)</x:f>
      </x:c>
      <x:c r="AN81" s="35" t="n">
        <x:f>IFERROR(AN80/SUM($D80:$DS80),0)</x:f>
      </x:c>
      <x:c r="AO81" s="35" t="n">
        <x:f>IFERROR(AO80/SUM($D80:$DS80),0)</x:f>
      </x:c>
      <x:c r="AP81" s="35" t="n">
        <x:f>IFERROR(AP80/SUM($D80:$DS80),0)</x:f>
      </x:c>
      <x:c r="AQ81" s="35" t="n">
        <x:f>IFERROR(AQ80/SUM($D80:$DS80),0)</x:f>
      </x:c>
      <x:c r="AR81" s="35" t="n">
        <x:f>IFERROR(AR80/SUM($D80:$DS80),0)</x:f>
      </x:c>
      <x:c r="AS81" s="35" t="n">
        <x:f>IFERROR(AS80/SUM($D80:$DS80),0)</x:f>
      </x:c>
      <x:c r="AT81" s="35" t="n">
        <x:f>IFERROR(AT80/SUM($D80:$DS80),0)</x:f>
      </x:c>
      <x:c r="AU81" s="35" t="n">
        <x:f>IFERROR(AU80/SUM($D80:$DS80),0)</x:f>
      </x:c>
      <x:c r="AV81" s="35" t="n">
        <x:f>IFERROR(AV80/SUM($D80:$DS80),0)</x:f>
      </x:c>
      <x:c r="AW81" s="35" t="n">
        <x:f>IFERROR(AW80/SUM($D80:$DS80),0)</x:f>
      </x:c>
      <x:c r="AX81" s="35" t="n">
        <x:f>IFERROR(AX80/SUM($D80:$DS80),0)</x:f>
      </x:c>
      <x:c r="AY81" s="35" t="n">
        <x:f>IFERROR(AY80/SUM($D80:$DS80),0)</x:f>
      </x:c>
      <x:c r="AZ81" s="35" t="n">
        <x:f>IFERROR(AZ80/SUM($D80:$DS80),0)</x:f>
      </x:c>
      <x:c r="BA81" s="35" t="n">
        <x:f>IFERROR(BA80/SUM($D80:$DS80),0)</x:f>
      </x:c>
      <x:c r="BB81" s="35" t="n">
        <x:f>IFERROR(BB80/SUM($D80:$DS80),0)</x:f>
      </x:c>
      <x:c r="BC81" s="35" t="n">
        <x:f>IFERROR(BC80/SUM($D80:$DS80),0)</x:f>
      </x:c>
      <x:c r="BD81" s="35" t="n">
        <x:f>IFERROR(BD80/SUM($D80:$DS80),0)</x:f>
      </x:c>
      <x:c r="BE81" s="35" t="n">
        <x:f>IFERROR(BE80/SUM($D80:$DS80),0)</x:f>
      </x:c>
      <x:c r="BF81" s="35" t="n">
        <x:f>IFERROR(BF80/SUM($D80:$DS80),0)</x:f>
      </x:c>
      <x:c r="BG81" s="35" t="n">
        <x:f>IFERROR(BG80/SUM($D80:$DS80),0)</x:f>
      </x:c>
      <x:c r="BH81" s="35" t="n">
        <x:f>IFERROR(BH80/SUM($D80:$DS80),0)</x:f>
      </x:c>
      <x:c r="BI81" s="35" t="n">
        <x:f>IFERROR(BI80/SUM($D80:$DS80),0)</x:f>
      </x:c>
      <x:c r="BJ81" s="35" t="n">
        <x:f>IFERROR(BJ80/SUM($D80:$DS80),0)</x:f>
      </x:c>
      <x:c r="BK81" s="35" t="n">
        <x:f>IFERROR(BK80/SUM($D80:$DS80),0)</x:f>
      </x:c>
      <x:c r="BL81" s="35" t="n">
        <x:f>IFERROR(BL80/SUM($D80:$DS80),0)</x:f>
      </x:c>
      <x:c r="BM81" s="35" t="n">
        <x:f>IFERROR(BM80/SUM($D80:$DS80),0)</x:f>
      </x:c>
      <x:c r="BN81" s="35" t="n">
        <x:f>IFERROR(BN80/SUM($D80:$DS80),0)</x:f>
      </x:c>
      <x:c r="BO81" s="35" t="n">
        <x:f>IFERROR(BO80/SUM($D80:$DS80),0)</x:f>
      </x:c>
      <x:c r="BP81" s="35" t="n">
        <x:f>IFERROR(BP80/SUM($D80:$DS80),0)</x:f>
      </x:c>
      <x:c r="BQ81" s="35" t="n">
        <x:f>IFERROR(BQ80/SUM($D80:$DS80),0)</x:f>
      </x:c>
      <x:c r="BR81" s="35" t="n">
        <x:f>IFERROR(BR80/SUM($D80:$DS80),0)</x:f>
      </x:c>
      <x:c r="BS81" s="35" t="n">
        <x:f>IFERROR(BS80/SUM($D80:$DS80),0)</x:f>
      </x:c>
      <x:c r="BT81" s="35" t="n">
        <x:f>IFERROR(BT80/SUM($D80:$DS80),0)</x:f>
      </x:c>
      <x:c r="BU81" s="35" t="n">
        <x:f>IFERROR(BU80/SUM($D80:$DS80),0)</x:f>
      </x:c>
      <x:c r="BV81" s="35" t="n">
        <x:f>IFERROR(BV80/SUM($D80:$DS80),0)</x:f>
      </x:c>
      <x:c r="BW81" s="35" t="n">
        <x:f>IFERROR(BW80/SUM($D80:$DS80),0)</x:f>
      </x:c>
      <x:c r="BX81" s="35" t="n">
        <x:f>IFERROR(BX80/SUM($D80:$DS80),0)</x:f>
      </x:c>
      <x:c r="BY81" s="35" t="n">
        <x:f>IFERROR(BY80/SUM($D80:$DS80),0)</x:f>
      </x:c>
      <x:c r="BZ81" s="35" t="n">
        <x:f>IFERROR(BZ80/SUM($D80:$DS80),0)</x:f>
      </x:c>
      <x:c r="CA81" s="35" t="n">
        <x:f>IFERROR(CA80/SUM($D80:$DS80),0)</x:f>
      </x:c>
      <x:c r="CB81" s="35" t="n">
        <x:f>IFERROR(CB80/SUM($D80:$DS80),0)</x:f>
      </x:c>
      <x:c r="CC81" s="35" t="n">
        <x:f>IFERROR(CC80/SUM($D80:$DS80),0)</x:f>
      </x:c>
      <x:c r="CD81" s="35" t="n">
        <x:f>IFERROR(CD80/SUM($D80:$DS80),0)</x:f>
      </x:c>
      <x:c r="CE81" s="35" t="n">
        <x:f>IFERROR(CE80/SUM($D80:$DS80),0)</x:f>
      </x:c>
      <x:c r="CF81" s="35" t="n">
        <x:f>IFERROR(CF80/SUM($D80:$DS80),0)</x:f>
      </x:c>
      <x:c r="CG81" s="35" t="n">
        <x:f>IFERROR(CG80/SUM($D80:$DS80),0)</x:f>
      </x:c>
      <x:c r="CH81" s="35" t="n">
        <x:f>IFERROR(CH80/SUM($D80:$DS80),0)</x:f>
      </x:c>
      <x:c r="CI81" s="35" t="n">
        <x:f>IFERROR(CI80/SUM($D80:$DS80),0)</x:f>
      </x:c>
      <x:c r="CJ81" s="35" t="n">
        <x:f>IFERROR(CJ80/SUM($D80:$DS80),0)</x:f>
      </x:c>
      <x:c r="CK81" s="35" t="n">
        <x:f>IFERROR(CK80/SUM($D80:$DS80),0)</x:f>
      </x:c>
      <x:c r="CL81" s="35" t="n">
        <x:f>IFERROR(CL80/SUM($D80:$DS80),0)</x:f>
      </x:c>
      <x:c r="CM81" s="35" t="n">
        <x:f>IFERROR(CM80/SUM($D80:$DS80),0)</x:f>
      </x:c>
      <x:c r="CN81" s="35" t="n">
        <x:f>IFERROR(CN80/SUM($D80:$DS80),0)</x:f>
      </x:c>
      <x:c r="CO81" s="35" t="n">
        <x:f>IFERROR(CO80/SUM($D80:$DS80),0)</x:f>
      </x:c>
      <x:c r="CP81" s="35" t="n">
        <x:f>IFERROR(CP80/SUM($D80:$DS80),0)</x:f>
      </x:c>
      <x:c r="CQ81" s="35" t="n">
        <x:f>IFERROR(CQ80/SUM($D80:$DS80),0)</x:f>
      </x:c>
      <x:c r="CR81" s="35" t="n">
        <x:f>IFERROR(CR80/SUM($D80:$DS80),0)</x:f>
      </x:c>
      <x:c r="CS81" s="35" t="n">
        <x:f>IFERROR(CS80/SUM($D80:$DS80),0)</x:f>
      </x:c>
      <x:c r="CT81" s="35" t="n">
        <x:f>IFERROR(CT80/SUM($D80:$DS80),0)</x:f>
      </x:c>
      <x:c r="CU81" s="35" t="n">
        <x:f>IFERROR(CU80/SUM($D80:$DS80),0)</x:f>
      </x:c>
      <x:c r="CV81" s="35" t="n">
        <x:f>IFERROR(CV80/SUM($D80:$DS80),0)</x:f>
      </x:c>
      <x:c r="CW81" s="35" t="n">
        <x:f>IFERROR(CW80/SUM($D80:$DS80),0)</x:f>
      </x:c>
      <x:c r="CX81" s="35" t="n">
        <x:f>IFERROR(CX80/SUM($D80:$DS80),0)</x:f>
      </x:c>
      <x:c r="CY81" s="35" t="n">
        <x:f>IFERROR(CY80/SUM($D80:$DS80),0)</x:f>
      </x:c>
      <x:c r="CZ81" s="35" t="n">
        <x:f>IFERROR(CZ80/SUM($D80:$DS80),0)</x:f>
      </x:c>
      <x:c r="DA81" s="35" t="n">
        <x:f>IFERROR(DA80/SUM($D80:$DS80),0)</x:f>
      </x:c>
      <x:c r="DB81" s="35" t="n">
        <x:f>IFERROR(DB80/SUM($D80:$DS80),0)</x:f>
      </x:c>
      <x:c r="DC81" s="35" t="n">
        <x:f>IFERROR(DC80/SUM($D80:$DS80),0)</x:f>
      </x:c>
      <x:c r="DD81" s="35" t="n">
        <x:f>IFERROR(DD80/SUM($D80:$DS80),0)</x:f>
      </x:c>
      <x:c r="DE81" s="35" t="n">
        <x:f>IFERROR(DE80/SUM($D80:$DS80),0)</x:f>
      </x:c>
      <x:c r="DF81" s="35" t="n">
        <x:f>IFERROR(DF80/SUM($D80:$DS80),0)</x:f>
      </x:c>
      <x:c r="DG81" s="35" t="n">
        <x:f>IFERROR(DG80/SUM($D80:$DS80),0)</x:f>
      </x:c>
      <x:c r="DH81" s="35" t="n">
        <x:f>IFERROR(DH80/SUM($D80:$DS80),0)</x:f>
      </x:c>
      <x:c r="DI81" s="35" t="n">
        <x:f>IFERROR(DI80/SUM($D80:$DS80),0)</x:f>
      </x:c>
      <x:c r="DJ81" s="35" t="n">
        <x:f>IFERROR(DJ80/SUM($D80:$DS80),0)</x:f>
      </x:c>
      <x:c r="DK81" s="35" t="n">
        <x:f>IFERROR(DK80/SUM($D80:$DS80),0)</x:f>
      </x:c>
      <x:c r="DL81" s="35" t="n">
        <x:f>IFERROR(DL80/SUM($D80:$DS80),0)</x:f>
      </x:c>
      <x:c r="DM81" s="35" t="n">
        <x:f>IFERROR(DM80/SUM($D80:$DS80),0)</x:f>
      </x:c>
      <x:c r="DN81" s="35" t="n">
        <x:f>IFERROR(DN80/SUM($D80:$DS80),0)</x:f>
      </x:c>
      <x:c r="DO81" s="35" t="n">
        <x:f>IFERROR(DO80/SUM($D80:$DS80),0)</x:f>
      </x:c>
      <x:c r="DP81" s="35" t="n">
        <x:f>IFERROR(DP80/SUM($D80:$DS80),0)</x:f>
      </x:c>
      <x:c r="DQ81" s="35" t="n">
        <x:f>IFERROR(DQ80/SUM($D80:$DS80),0)</x:f>
      </x:c>
      <x:c r="DR81" s="35" t="n">
        <x:f>IFERROR(DR80/SUM($D80:$DS80),0)</x:f>
      </x:c>
      <x:c r="DS81" s="35" t="n">
        <x:f>IFERROR(DS80/SUM($D80:$DS80),0)</x:f>
      </x:c>
    </x:row>
    <x:row r="82">
      <x:c r="A82" t="str">
        <x:v>Покупка / цена входа</x:v>
      </x:c>
      <x:c r="B82" s="107" t="n">
        <x:f>'Вводные'!$B$15*'Вводные'!$P$90*--('Вводные'!$B$90="Да")</x:f>
      </x:c>
      <x:c r="C82" t="str">
        <x:v>млн ₽</x:v>
      </x:c>
      <x:c r="D82" s="117" t="n">
        <x:f>IF(AND(YEAR(D$3)=YEAR(EDATE('Вводные'!$D$90,'Вводные'!$H$9)),MONTH(D$3)=MONTH(EDATE('Вводные'!$D$90,'Вводные'!$H$9))),$B$82,0)</x:f>
      </x:c>
      <x:c r="E82" s="117" t="n">
        <x:f>IF(AND(YEAR(E$3)=YEAR(EDATE('Вводные'!$D$90,'Вводные'!$H$9)),MONTH(E$3)=MONTH(EDATE('Вводные'!$D$90,'Вводные'!$H$9))),$B$82,0)</x:f>
      </x:c>
      <x:c r="F82" s="117" t="n">
        <x:f>IF(AND(YEAR(F$3)=YEAR(EDATE('Вводные'!$D$90,'Вводные'!$H$9)),MONTH(F$3)=MONTH(EDATE('Вводные'!$D$90,'Вводные'!$H$9))),$B$82,0)</x:f>
      </x:c>
      <x:c r="G82" s="117" t="n">
        <x:f>IF(AND(YEAR(G$3)=YEAR(EDATE('Вводные'!$D$90,'Вводные'!$H$9)),MONTH(G$3)=MONTH(EDATE('Вводные'!$D$90,'Вводные'!$H$9))),$B$82,0)</x:f>
      </x:c>
      <x:c r="H82" s="117" t="n">
        <x:f>IF(AND(YEAR(H$3)=YEAR(EDATE('Вводные'!$D$90,'Вводные'!$H$9)),MONTH(H$3)=MONTH(EDATE('Вводные'!$D$90,'Вводные'!$H$9))),$B$82,0)</x:f>
      </x:c>
      <x:c r="I82" s="117" t="n">
        <x:f>IF(AND(YEAR(I$3)=YEAR(EDATE('Вводные'!$D$90,'Вводные'!$H$9)),MONTH(I$3)=MONTH(EDATE('Вводные'!$D$90,'Вводные'!$H$9))),$B$82,0)</x:f>
      </x:c>
      <x:c r="J82" s="117" t="n">
        <x:f>IF(AND(YEAR(J$3)=YEAR(EDATE('Вводные'!$D$90,'Вводные'!$H$9)),MONTH(J$3)=MONTH(EDATE('Вводные'!$D$90,'Вводные'!$H$9))),$B$82,0)</x:f>
      </x:c>
      <x:c r="K82" s="117" t="n">
        <x:f>IF(AND(YEAR(K$3)=YEAR(EDATE('Вводные'!$D$90,'Вводные'!$H$9)),MONTH(K$3)=MONTH(EDATE('Вводные'!$D$90,'Вводные'!$H$9))),$B$82,0)</x:f>
      </x:c>
      <x:c r="L82" s="117" t="n">
        <x:f>IF(AND(YEAR(L$3)=YEAR(EDATE('Вводные'!$D$90,'Вводные'!$H$9)),MONTH(L$3)=MONTH(EDATE('Вводные'!$D$90,'Вводные'!$H$9))),$B$82,0)</x:f>
      </x:c>
      <x:c r="M82" s="117" t="n">
        <x:f>IF(AND(YEAR(M$3)=YEAR(EDATE('Вводные'!$D$90,'Вводные'!$H$9)),MONTH(M$3)=MONTH(EDATE('Вводные'!$D$90,'Вводные'!$H$9))),$B$82,0)</x:f>
      </x:c>
      <x:c r="N82" s="117" t="n">
        <x:f>IF(AND(YEAR(N$3)=YEAR(EDATE('Вводные'!$D$90,'Вводные'!$H$9)),MONTH(N$3)=MONTH(EDATE('Вводные'!$D$90,'Вводные'!$H$9))),$B$82,0)</x:f>
      </x:c>
      <x:c r="O82" s="117" t="n">
        <x:f>IF(AND(YEAR(O$3)=YEAR(EDATE('Вводные'!$D$90,'Вводные'!$H$9)),MONTH(O$3)=MONTH(EDATE('Вводные'!$D$90,'Вводные'!$H$9))),$B$82,0)</x:f>
      </x:c>
      <x:c r="P82" s="117" t="n">
        <x:f>IF(AND(YEAR(P$3)=YEAR(EDATE('Вводные'!$D$90,'Вводные'!$H$9)),MONTH(P$3)=MONTH(EDATE('Вводные'!$D$90,'Вводные'!$H$9))),$B$82,0)</x:f>
      </x:c>
      <x:c r="Q82" s="117" t="n">
        <x:f>IF(AND(YEAR(Q$3)=YEAR(EDATE('Вводные'!$D$90,'Вводные'!$H$9)),MONTH(Q$3)=MONTH(EDATE('Вводные'!$D$90,'Вводные'!$H$9))),$B$82,0)</x:f>
      </x:c>
      <x:c r="R82" s="117" t="n">
        <x:f>IF(AND(YEAR(R$3)=YEAR(EDATE('Вводные'!$D$90,'Вводные'!$H$9)),MONTH(R$3)=MONTH(EDATE('Вводные'!$D$90,'Вводные'!$H$9))),$B$82,0)</x:f>
      </x:c>
      <x:c r="S82" s="117" t="n">
        <x:f>IF(AND(YEAR(S$3)=YEAR(EDATE('Вводные'!$D$90,'Вводные'!$H$9)),MONTH(S$3)=MONTH(EDATE('Вводные'!$D$90,'Вводные'!$H$9))),$B$82,0)</x:f>
      </x:c>
      <x:c r="T82" s="117" t="n">
        <x:f>IF(AND(YEAR(T$3)=YEAR(EDATE('Вводные'!$D$90,'Вводные'!$H$9)),MONTH(T$3)=MONTH(EDATE('Вводные'!$D$90,'Вводные'!$H$9))),$B$82,0)</x:f>
      </x:c>
      <x:c r="U82" s="117" t="n">
        <x:f>IF(AND(YEAR(U$3)=YEAR(EDATE('Вводные'!$D$90,'Вводные'!$H$9)),MONTH(U$3)=MONTH(EDATE('Вводные'!$D$90,'Вводные'!$H$9))),$B$82,0)</x:f>
      </x:c>
      <x:c r="V82" s="117" t="n">
        <x:f>IF(AND(YEAR(V$3)=YEAR(EDATE('Вводные'!$D$90,'Вводные'!$H$9)),MONTH(V$3)=MONTH(EDATE('Вводные'!$D$90,'Вводные'!$H$9))),$B$82,0)</x:f>
      </x:c>
      <x:c r="W82" s="117" t="n">
        <x:f>IF(AND(YEAR(W$3)=YEAR(EDATE('Вводные'!$D$90,'Вводные'!$H$9)),MONTH(W$3)=MONTH(EDATE('Вводные'!$D$90,'Вводные'!$H$9))),$B$82,0)</x:f>
      </x:c>
      <x:c r="X82" s="117" t="n">
        <x:f>IF(AND(YEAR(X$3)=YEAR(EDATE('Вводные'!$D$90,'Вводные'!$H$9)),MONTH(X$3)=MONTH(EDATE('Вводные'!$D$90,'Вводные'!$H$9))),$B$82,0)</x:f>
      </x:c>
      <x:c r="Y82" s="117" t="n">
        <x:f>IF(AND(YEAR(Y$3)=YEAR(EDATE('Вводные'!$D$90,'Вводные'!$H$9)),MONTH(Y$3)=MONTH(EDATE('Вводные'!$D$90,'Вводные'!$H$9))),$B$82,0)</x:f>
      </x:c>
      <x:c r="Z82" s="117" t="n">
        <x:f>IF(AND(YEAR(Z$3)=YEAR(EDATE('Вводные'!$D$90,'Вводные'!$H$9)),MONTH(Z$3)=MONTH(EDATE('Вводные'!$D$90,'Вводные'!$H$9))),$B$82,0)</x:f>
      </x:c>
      <x:c r="AA82" s="117" t="n">
        <x:f>IF(AND(YEAR(AA$3)=YEAR(EDATE('Вводные'!$D$90,'Вводные'!$H$9)),MONTH(AA$3)=MONTH(EDATE('Вводные'!$D$90,'Вводные'!$H$9))),$B$82,0)</x:f>
      </x:c>
      <x:c r="AB82" s="117" t="n">
        <x:f>IF(AND(YEAR(AB$3)=YEAR(EDATE('Вводные'!$D$90,'Вводные'!$H$9)),MONTH(AB$3)=MONTH(EDATE('Вводные'!$D$90,'Вводные'!$H$9))),$B$82,0)</x:f>
      </x:c>
      <x:c r="AC82" s="117" t="n">
        <x:f>IF(AND(YEAR(AC$3)=YEAR(EDATE('Вводные'!$D$90,'Вводные'!$H$9)),MONTH(AC$3)=MONTH(EDATE('Вводные'!$D$90,'Вводные'!$H$9))),$B$82,0)</x:f>
      </x:c>
      <x:c r="AD82" s="117" t="n">
        <x:f>IF(AND(YEAR(AD$3)=YEAR(EDATE('Вводные'!$D$90,'Вводные'!$H$9)),MONTH(AD$3)=MONTH(EDATE('Вводные'!$D$90,'Вводные'!$H$9))),$B$82,0)</x:f>
      </x:c>
      <x:c r="AE82" s="117" t="n">
        <x:f>IF(AND(YEAR(AE$3)=YEAR(EDATE('Вводные'!$D$90,'Вводные'!$H$9)),MONTH(AE$3)=MONTH(EDATE('Вводные'!$D$90,'Вводные'!$H$9))),$B$82,0)</x:f>
      </x:c>
      <x:c r="AF82" s="117" t="n">
        <x:f>IF(AND(YEAR(AF$3)=YEAR(EDATE('Вводные'!$D$90,'Вводные'!$H$9)),MONTH(AF$3)=MONTH(EDATE('Вводные'!$D$90,'Вводные'!$H$9))),$B$82,0)</x:f>
      </x:c>
      <x:c r="AG82" s="117" t="n">
        <x:f>IF(AND(YEAR(AG$3)=YEAR(EDATE('Вводные'!$D$90,'Вводные'!$H$9)),MONTH(AG$3)=MONTH(EDATE('Вводные'!$D$90,'Вводные'!$H$9))),$B$82,0)</x:f>
      </x:c>
      <x:c r="AH82" s="117" t="n">
        <x:f>IF(AND(YEAR(AH$3)=YEAR(EDATE('Вводные'!$D$90,'Вводные'!$H$9)),MONTH(AH$3)=MONTH(EDATE('Вводные'!$D$90,'Вводные'!$H$9))),$B$82,0)</x:f>
      </x:c>
      <x:c r="AI82" s="117" t="n">
        <x:f>IF(AND(YEAR(AI$3)=YEAR(EDATE('Вводные'!$D$90,'Вводные'!$H$9)),MONTH(AI$3)=MONTH(EDATE('Вводные'!$D$90,'Вводные'!$H$9))),$B$82,0)</x:f>
      </x:c>
      <x:c r="AJ82" s="117" t="n">
        <x:f>IF(AND(YEAR(AJ$3)=YEAR(EDATE('Вводные'!$D$90,'Вводные'!$H$9)),MONTH(AJ$3)=MONTH(EDATE('Вводные'!$D$90,'Вводные'!$H$9))),$B$82,0)</x:f>
      </x:c>
      <x:c r="AK82" s="117" t="n">
        <x:f>IF(AND(YEAR(AK$3)=YEAR(EDATE('Вводные'!$D$90,'Вводные'!$H$9)),MONTH(AK$3)=MONTH(EDATE('Вводные'!$D$90,'Вводные'!$H$9))),$B$82,0)</x:f>
      </x:c>
      <x:c r="AL82" s="117" t="n">
        <x:f>IF(AND(YEAR(AL$3)=YEAR(EDATE('Вводные'!$D$90,'Вводные'!$H$9)),MONTH(AL$3)=MONTH(EDATE('Вводные'!$D$90,'Вводные'!$H$9))),$B$82,0)</x:f>
      </x:c>
      <x:c r="AM82" s="117" t="n">
        <x:f>IF(AND(YEAR(AM$3)=YEAR(EDATE('Вводные'!$D$90,'Вводные'!$H$9)),MONTH(AM$3)=MONTH(EDATE('Вводные'!$D$90,'Вводные'!$H$9))),$B$82,0)</x:f>
      </x:c>
      <x:c r="AN82" s="117" t="n">
        <x:f>IF(AND(YEAR(AN$3)=YEAR(EDATE('Вводные'!$D$90,'Вводные'!$H$9)),MONTH(AN$3)=MONTH(EDATE('Вводные'!$D$90,'Вводные'!$H$9))),$B$82,0)</x:f>
      </x:c>
      <x:c r="AO82" s="117" t="n">
        <x:f>IF(AND(YEAR(AO$3)=YEAR(EDATE('Вводные'!$D$90,'Вводные'!$H$9)),MONTH(AO$3)=MONTH(EDATE('Вводные'!$D$90,'Вводные'!$H$9))),$B$82,0)</x:f>
      </x:c>
      <x:c r="AP82" s="117" t="n">
        <x:f>IF(AND(YEAR(AP$3)=YEAR(EDATE('Вводные'!$D$90,'Вводные'!$H$9)),MONTH(AP$3)=MONTH(EDATE('Вводные'!$D$90,'Вводные'!$H$9))),$B$82,0)</x:f>
      </x:c>
      <x:c r="AQ82" s="117" t="n">
        <x:f>IF(AND(YEAR(AQ$3)=YEAR(EDATE('Вводные'!$D$90,'Вводные'!$H$9)),MONTH(AQ$3)=MONTH(EDATE('Вводные'!$D$90,'Вводные'!$H$9))),$B$82,0)</x:f>
      </x:c>
      <x:c r="AR82" s="117" t="n">
        <x:f>IF(AND(YEAR(AR$3)=YEAR(EDATE('Вводные'!$D$90,'Вводные'!$H$9)),MONTH(AR$3)=MONTH(EDATE('Вводные'!$D$90,'Вводные'!$H$9))),$B$82,0)</x:f>
      </x:c>
      <x:c r="AS82" s="117" t="n">
        <x:f>IF(AND(YEAR(AS$3)=YEAR(EDATE('Вводные'!$D$90,'Вводные'!$H$9)),MONTH(AS$3)=MONTH(EDATE('Вводные'!$D$90,'Вводные'!$H$9))),$B$82,0)</x:f>
      </x:c>
      <x:c r="AT82" s="117" t="n">
        <x:f>IF(AND(YEAR(AT$3)=YEAR(EDATE('Вводные'!$D$90,'Вводные'!$H$9)),MONTH(AT$3)=MONTH(EDATE('Вводные'!$D$90,'Вводные'!$H$9))),$B$82,0)</x:f>
      </x:c>
      <x:c r="AU82" s="117" t="n">
        <x:f>IF(AND(YEAR(AU$3)=YEAR(EDATE('Вводные'!$D$90,'Вводные'!$H$9)),MONTH(AU$3)=MONTH(EDATE('Вводные'!$D$90,'Вводные'!$H$9))),$B$82,0)</x:f>
      </x:c>
      <x:c r="AV82" s="117" t="n">
        <x:f>IF(AND(YEAR(AV$3)=YEAR(EDATE('Вводные'!$D$90,'Вводные'!$H$9)),MONTH(AV$3)=MONTH(EDATE('Вводные'!$D$90,'Вводные'!$H$9))),$B$82,0)</x:f>
      </x:c>
      <x:c r="AW82" s="117" t="n">
        <x:f>IF(AND(YEAR(AW$3)=YEAR(EDATE('Вводные'!$D$90,'Вводные'!$H$9)),MONTH(AW$3)=MONTH(EDATE('Вводные'!$D$90,'Вводные'!$H$9))),$B$82,0)</x:f>
      </x:c>
      <x:c r="AX82" s="117" t="n">
        <x:f>IF(AND(YEAR(AX$3)=YEAR(EDATE('Вводные'!$D$90,'Вводные'!$H$9)),MONTH(AX$3)=MONTH(EDATE('Вводные'!$D$90,'Вводные'!$H$9))),$B$82,0)</x:f>
      </x:c>
      <x:c r="AY82" s="117" t="n">
        <x:f>IF(AND(YEAR(AY$3)=YEAR(EDATE('Вводные'!$D$90,'Вводные'!$H$9)),MONTH(AY$3)=MONTH(EDATE('Вводные'!$D$90,'Вводные'!$H$9))),$B$82,0)</x:f>
      </x:c>
      <x:c r="AZ82" s="117" t="n">
        <x:f>IF(AND(YEAR(AZ$3)=YEAR(EDATE('Вводные'!$D$90,'Вводные'!$H$9)),MONTH(AZ$3)=MONTH(EDATE('Вводные'!$D$90,'Вводные'!$H$9))),$B$82,0)</x:f>
      </x:c>
      <x:c r="BA82" s="117" t="n">
        <x:f>IF(AND(YEAR(BA$3)=YEAR(EDATE('Вводные'!$D$90,'Вводные'!$H$9)),MONTH(BA$3)=MONTH(EDATE('Вводные'!$D$90,'Вводные'!$H$9))),$B$82,0)</x:f>
      </x:c>
      <x:c r="BB82" s="117" t="n">
        <x:f>IF(AND(YEAR(BB$3)=YEAR(EDATE('Вводные'!$D$90,'Вводные'!$H$9)),MONTH(BB$3)=MONTH(EDATE('Вводные'!$D$90,'Вводные'!$H$9))),$B$82,0)</x:f>
      </x:c>
      <x:c r="BC82" s="117" t="n">
        <x:f>IF(AND(YEAR(BC$3)=YEAR(EDATE('Вводные'!$D$90,'Вводные'!$H$9)),MONTH(BC$3)=MONTH(EDATE('Вводные'!$D$90,'Вводные'!$H$9))),$B$82,0)</x:f>
      </x:c>
      <x:c r="BD82" s="117" t="n">
        <x:f>IF(AND(YEAR(BD$3)=YEAR(EDATE('Вводные'!$D$90,'Вводные'!$H$9)),MONTH(BD$3)=MONTH(EDATE('Вводные'!$D$90,'Вводные'!$H$9))),$B$82,0)</x:f>
      </x:c>
      <x:c r="BE82" s="117" t="n">
        <x:f>IF(AND(YEAR(BE$3)=YEAR(EDATE('Вводные'!$D$90,'Вводные'!$H$9)),MONTH(BE$3)=MONTH(EDATE('Вводные'!$D$90,'Вводные'!$H$9))),$B$82,0)</x:f>
      </x:c>
      <x:c r="BF82" s="117" t="n">
        <x:f>IF(AND(YEAR(BF$3)=YEAR(EDATE('Вводные'!$D$90,'Вводные'!$H$9)),MONTH(BF$3)=MONTH(EDATE('Вводные'!$D$90,'Вводные'!$H$9))),$B$82,0)</x:f>
      </x:c>
      <x:c r="BG82" s="117" t="n">
        <x:f>IF(AND(YEAR(BG$3)=YEAR(EDATE('Вводные'!$D$90,'Вводные'!$H$9)),MONTH(BG$3)=MONTH(EDATE('Вводные'!$D$90,'Вводные'!$H$9))),$B$82,0)</x:f>
      </x:c>
      <x:c r="BH82" s="117" t="n">
        <x:f>IF(AND(YEAR(BH$3)=YEAR(EDATE('Вводные'!$D$90,'Вводные'!$H$9)),MONTH(BH$3)=MONTH(EDATE('Вводные'!$D$90,'Вводные'!$H$9))),$B$82,0)</x:f>
      </x:c>
      <x:c r="BI82" s="117" t="n">
        <x:f>IF(AND(YEAR(BI$3)=YEAR(EDATE('Вводные'!$D$90,'Вводные'!$H$9)),MONTH(BI$3)=MONTH(EDATE('Вводные'!$D$90,'Вводные'!$H$9))),$B$82,0)</x:f>
      </x:c>
      <x:c r="BJ82" s="117" t="n">
        <x:f>IF(AND(YEAR(BJ$3)=YEAR(EDATE('Вводные'!$D$90,'Вводные'!$H$9)),MONTH(BJ$3)=MONTH(EDATE('Вводные'!$D$90,'Вводные'!$H$9))),$B$82,0)</x:f>
      </x:c>
      <x:c r="BK82" s="117" t="n">
        <x:f>IF(AND(YEAR(BK$3)=YEAR(EDATE('Вводные'!$D$90,'Вводные'!$H$9)),MONTH(BK$3)=MONTH(EDATE('Вводные'!$D$90,'Вводные'!$H$9))),$B$82,0)</x:f>
      </x:c>
      <x:c r="BL82" s="117" t="n">
        <x:f>IF(AND(YEAR(BL$3)=YEAR(EDATE('Вводные'!$D$90,'Вводные'!$H$9)),MONTH(BL$3)=MONTH(EDATE('Вводные'!$D$90,'Вводные'!$H$9))),$B$82,0)</x:f>
      </x:c>
      <x:c r="BM82" s="117" t="n">
        <x:f>IF(AND(YEAR(BM$3)=YEAR(EDATE('Вводные'!$D$90,'Вводные'!$H$9)),MONTH(BM$3)=MONTH(EDATE('Вводные'!$D$90,'Вводные'!$H$9))),$B$82,0)</x:f>
      </x:c>
      <x:c r="BN82" s="117" t="n">
        <x:f>IF(AND(YEAR(BN$3)=YEAR(EDATE('Вводные'!$D$90,'Вводные'!$H$9)),MONTH(BN$3)=MONTH(EDATE('Вводные'!$D$90,'Вводные'!$H$9))),$B$82,0)</x:f>
      </x:c>
      <x:c r="BO82" s="117" t="n">
        <x:f>IF(AND(YEAR(BO$3)=YEAR(EDATE('Вводные'!$D$90,'Вводные'!$H$9)),MONTH(BO$3)=MONTH(EDATE('Вводные'!$D$90,'Вводные'!$H$9))),$B$82,0)</x:f>
      </x:c>
      <x:c r="BP82" s="117" t="n">
        <x:f>IF(AND(YEAR(BP$3)=YEAR(EDATE('Вводные'!$D$90,'Вводные'!$H$9)),MONTH(BP$3)=MONTH(EDATE('Вводные'!$D$90,'Вводные'!$H$9))),$B$82,0)</x:f>
      </x:c>
      <x:c r="BQ82" s="117" t="n">
        <x:f>IF(AND(YEAR(BQ$3)=YEAR(EDATE('Вводные'!$D$90,'Вводные'!$H$9)),MONTH(BQ$3)=MONTH(EDATE('Вводные'!$D$90,'Вводные'!$H$9))),$B$82,0)</x:f>
      </x:c>
      <x:c r="BR82" s="117" t="n">
        <x:f>IF(AND(YEAR(BR$3)=YEAR(EDATE('Вводные'!$D$90,'Вводные'!$H$9)),MONTH(BR$3)=MONTH(EDATE('Вводные'!$D$90,'Вводные'!$H$9))),$B$82,0)</x:f>
      </x:c>
      <x:c r="BS82" s="117" t="n">
        <x:f>IF(AND(YEAR(BS$3)=YEAR(EDATE('Вводные'!$D$90,'Вводные'!$H$9)),MONTH(BS$3)=MONTH(EDATE('Вводные'!$D$90,'Вводные'!$H$9))),$B$82,0)</x:f>
      </x:c>
      <x:c r="BT82" s="117" t="n">
        <x:f>IF(AND(YEAR(BT$3)=YEAR(EDATE('Вводные'!$D$90,'Вводные'!$H$9)),MONTH(BT$3)=MONTH(EDATE('Вводные'!$D$90,'Вводные'!$H$9))),$B$82,0)</x:f>
      </x:c>
      <x:c r="BU82" s="117" t="n">
        <x:f>IF(AND(YEAR(BU$3)=YEAR(EDATE('Вводные'!$D$90,'Вводные'!$H$9)),MONTH(BU$3)=MONTH(EDATE('Вводные'!$D$90,'Вводные'!$H$9))),$B$82,0)</x:f>
      </x:c>
      <x:c r="BV82" s="117" t="n">
        <x:f>IF(AND(YEAR(BV$3)=YEAR(EDATE('Вводные'!$D$90,'Вводные'!$H$9)),MONTH(BV$3)=MONTH(EDATE('Вводные'!$D$90,'Вводные'!$H$9))),$B$82,0)</x:f>
      </x:c>
      <x:c r="BW82" s="117" t="n">
        <x:f>IF(AND(YEAR(BW$3)=YEAR(EDATE('Вводные'!$D$90,'Вводные'!$H$9)),MONTH(BW$3)=MONTH(EDATE('Вводные'!$D$90,'Вводные'!$H$9))),$B$82,0)</x:f>
      </x:c>
      <x:c r="BX82" s="117" t="n">
        <x:f>IF(AND(YEAR(BX$3)=YEAR(EDATE('Вводные'!$D$90,'Вводные'!$H$9)),MONTH(BX$3)=MONTH(EDATE('Вводные'!$D$90,'Вводные'!$H$9))),$B$82,0)</x:f>
      </x:c>
      <x:c r="BY82" s="117" t="n">
        <x:f>IF(AND(YEAR(BY$3)=YEAR(EDATE('Вводные'!$D$90,'Вводные'!$H$9)),MONTH(BY$3)=MONTH(EDATE('Вводные'!$D$90,'Вводные'!$H$9))),$B$82,0)</x:f>
      </x:c>
      <x:c r="BZ82" s="117" t="n">
        <x:f>IF(AND(YEAR(BZ$3)=YEAR(EDATE('Вводные'!$D$90,'Вводные'!$H$9)),MONTH(BZ$3)=MONTH(EDATE('Вводные'!$D$90,'Вводные'!$H$9))),$B$82,0)</x:f>
      </x:c>
      <x:c r="CA82" s="117" t="n">
        <x:f>IF(AND(YEAR(CA$3)=YEAR(EDATE('Вводные'!$D$90,'Вводные'!$H$9)),MONTH(CA$3)=MONTH(EDATE('Вводные'!$D$90,'Вводные'!$H$9))),$B$82,0)</x:f>
      </x:c>
      <x:c r="CB82" s="117" t="n">
        <x:f>IF(AND(YEAR(CB$3)=YEAR(EDATE('Вводные'!$D$90,'Вводные'!$H$9)),MONTH(CB$3)=MONTH(EDATE('Вводные'!$D$90,'Вводные'!$H$9))),$B$82,0)</x:f>
      </x:c>
      <x:c r="CC82" s="117" t="n">
        <x:f>IF(AND(YEAR(CC$3)=YEAR(EDATE('Вводные'!$D$90,'Вводные'!$H$9)),MONTH(CC$3)=MONTH(EDATE('Вводные'!$D$90,'Вводные'!$H$9))),$B$82,0)</x:f>
      </x:c>
      <x:c r="CD82" s="117" t="n">
        <x:f>IF(AND(YEAR(CD$3)=YEAR(EDATE('Вводные'!$D$90,'Вводные'!$H$9)),MONTH(CD$3)=MONTH(EDATE('Вводные'!$D$90,'Вводные'!$H$9))),$B$82,0)</x:f>
      </x:c>
      <x:c r="CE82" s="117" t="n">
        <x:f>IF(AND(YEAR(CE$3)=YEAR(EDATE('Вводные'!$D$90,'Вводные'!$H$9)),MONTH(CE$3)=MONTH(EDATE('Вводные'!$D$90,'Вводные'!$H$9))),$B$82,0)</x:f>
      </x:c>
      <x:c r="CF82" s="117" t="n">
        <x:f>IF(AND(YEAR(CF$3)=YEAR(EDATE('Вводные'!$D$90,'Вводные'!$H$9)),MONTH(CF$3)=MONTH(EDATE('Вводные'!$D$90,'Вводные'!$H$9))),$B$82,0)</x:f>
      </x:c>
      <x:c r="CG82" s="117" t="n">
        <x:f>IF(AND(YEAR(CG$3)=YEAR(EDATE('Вводные'!$D$90,'Вводные'!$H$9)),MONTH(CG$3)=MONTH(EDATE('Вводные'!$D$90,'Вводные'!$H$9))),$B$82,0)</x:f>
      </x:c>
      <x:c r="CH82" s="117" t="n">
        <x:f>IF(AND(YEAR(CH$3)=YEAR(EDATE('Вводные'!$D$90,'Вводные'!$H$9)),MONTH(CH$3)=MONTH(EDATE('Вводные'!$D$90,'Вводные'!$H$9))),$B$82,0)</x:f>
      </x:c>
      <x:c r="CI82" s="117" t="n">
        <x:f>IF(AND(YEAR(CI$3)=YEAR(EDATE('Вводные'!$D$90,'Вводные'!$H$9)),MONTH(CI$3)=MONTH(EDATE('Вводные'!$D$90,'Вводные'!$H$9))),$B$82,0)</x:f>
      </x:c>
      <x:c r="CJ82" s="117" t="n">
        <x:f>IF(AND(YEAR(CJ$3)=YEAR(EDATE('Вводные'!$D$90,'Вводные'!$H$9)),MONTH(CJ$3)=MONTH(EDATE('Вводные'!$D$90,'Вводные'!$H$9))),$B$82,0)</x:f>
      </x:c>
      <x:c r="CK82" s="117" t="n">
        <x:f>IF(AND(YEAR(CK$3)=YEAR(EDATE('Вводные'!$D$90,'Вводные'!$H$9)),MONTH(CK$3)=MONTH(EDATE('Вводные'!$D$90,'Вводные'!$H$9))),$B$82,0)</x:f>
      </x:c>
      <x:c r="CL82" s="117" t="n">
        <x:f>IF(AND(YEAR(CL$3)=YEAR(EDATE('Вводные'!$D$90,'Вводные'!$H$9)),MONTH(CL$3)=MONTH(EDATE('Вводные'!$D$90,'Вводные'!$H$9))),$B$82,0)</x:f>
      </x:c>
      <x:c r="CM82" s="117" t="n">
        <x:f>IF(AND(YEAR(CM$3)=YEAR(EDATE('Вводные'!$D$90,'Вводные'!$H$9)),MONTH(CM$3)=MONTH(EDATE('Вводные'!$D$90,'Вводные'!$H$9))),$B$82,0)</x:f>
      </x:c>
      <x:c r="CN82" s="117" t="n">
        <x:f>IF(AND(YEAR(CN$3)=YEAR(EDATE('Вводные'!$D$90,'Вводные'!$H$9)),MONTH(CN$3)=MONTH(EDATE('Вводные'!$D$90,'Вводные'!$H$9))),$B$82,0)</x:f>
      </x:c>
      <x:c r="CO82" s="117" t="n">
        <x:f>IF(AND(YEAR(CO$3)=YEAR(EDATE('Вводные'!$D$90,'Вводные'!$H$9)),MONTH(CO$3)=MONTH(EDATE('Вводные'!$D$90,'Вводные'!$H$9))),$B$82,0)</x:f>
      </x:c>
      <x:c r="CP82" s="117" t="n">
        <x:f>IF(AND(YEAR(CP$3)=YEAR(EDATE('Вводные'!$D$90,'Вводные'!$H$9)),MONTH(CP$3)=MONTH(EDATE('Вводные'!$D$90,'Вводные'!$H$9))),$B$82,0)</x:f>
      </x:c>
      <x:c r="CQ82" s="117" t="n">
        <x:f>IF(AND(YEAR(CQ$3)=YEAR(EDATE('Вводные'!$D$90,'Вводные'!$H$9)),MONTH(CQ$3)=MONTH(EDATE('Вводные'!$D$90,'Вводные'!$H$9))),$B$82,0)</x:f>
      </x:c>
      <x:c r="CR82" s="117" t="n">
        <x:f>IF(AND(YEAR(CR$3)=YEAR(EDATE('Вводные'!$D$90,'Вводные'!$H$9)),MONTH(CR$3)=MONTH(EDATE('Вводные'!$D$90,'Вводные'!$H$9))),$B$82,0)</x:f>
      </x:c>
      <x:c r="CS82" s="117" t="n">
        <x:f>IF(AND(YEAR(CS$3)=YEAR(EDATE('Вводные'!$D$90,'Вводные'!$H$9)),MONTH(CS$3)=MONTH(EDATE('Вводные'!$D$90,'Вводные'!$H$9))),$B$82,0)</x:f>
      </x:c>
      <x:c r="CT82" s="117" t="n">
        <x:f>IF(AND(YEAR(CT$3)=YEAR(EDATE('Вводные'!$D$90,'Вводные'!$H$9)),MONTH(CT$3)=MONTH(EDATE('Вводные'!$D$90,'Вводные'!$H$9))),$B$82,0)</x:f>
      </x:c>
      <x:c r="CU82" s="117" t="n">
        <x:f>IF(AND(YEAR(CU$3)=YEAR(EDATE('Вводные'!$D$90,'Вводные'!$H$9)),MONTH(CU$3)=MONTH(EDATE('Вводные'!$D$90,'Вводные'!$H$9))),$B$82,0)</x:f>
      </x:c>
      <x:c r="CV82" s="117" t="n">
        <x:f>IF(AND(YEAR(CV$3)=YEAR(EDATE('Вводные'!$D$90,'Вводные'!$H$9)),MONTH(CV$3)=MONTH(EDATE('Вводные'!$D$90,'Вводные'!$H$9))),$B$82,0)</x:f>
      </x:c>
      <x:c r="CW82" s="117" t="n">
        <x:f>IF(AND(YEAR(CW$3)=YEAR(EDATE('Вводные'!$D$90,'Вводные'!$H$9)),MONTH(CW$3)=MONTH(EDATE('Вводные'!$D$90,'Вводные'!$H$9))),$B$82,0)</x:f>
      </x:c>
      <x:c r="CX82" s="117" t="n">
        <x:f>IF(AND(YEAR(CX$3)=YEAR(EDATE('Вводные'!$D$90,'Вводные'!$H$9)),MONTH(CX$3)=MONTH(EDATE('Вводные'!$D$90,'Вводные'!$H$9))),$B$82,0)</x:f>
      </x:c>
      <x:c r="CY82" s="117" t="n">
        <x:f>IF(AND(YEAR(CY$3)=YEAR(EDATE('Вводные'!$D$90,'Вводные'!$H$9)),MONTH(CY$3)=MONTH(EDATE('Вводные'!$D$90,'Вводные'!$H$9))),$B$82,0)</x:f>
      </x:c>
      <x:c r="CZ82" s="117" t="n">
        <x:f>IF(AND(YEAR(CZ$3)=YEAR(EDATE('Вводные'!$D$90,'Вводные'!$H$9)),MONTH(CZ$3)=MONTH(EDATE('Вводные'!$D$90,'Вводные'!$H$9))),$B$82,0)</x:f>
      </x:c>
      <x:c r="DA82" s="117" t="n">
        <x:f>IF(AND(YEAR(DA$3)=YEAR(EDATE('Вводные'!$D$90,'Вводные'!$H$9)),MONTH(DA$3)=MONTH(EDATE('Вводные'!$D$90,'Вводные'!$H$9))),$B$82,0)</x:f>
      </x:c>
      <x:c r="DB82" s="117" t="n">
        <x:f>IF(AND(YEAR(DB$3)=YEAR(EDATE('Вводные'!$D$90,'Вводные'!$H$9)),MONTH(DB$3)=MONTH(EDATE('Вводные'!$D$90,'Вводные'!$H$9))),$B$82,0)</x:f>
      </x:c>
      <x:c r="DC82" s="117" t="n">
        <x:f>IF(AND(YEAR(DC$3)=YEAR(EDATE('Вводные'!$D$90,'Вводные'!$H$9)),MONTH(DC$3)=MONTH(EDATE('Вводные'!$D$90,'Вводные'!$H$9))),$B$82,0)</x:f>
      </x:c>
      <x:c r="DD82" s="117" t="n">
        <x:f>IF(AND(YEAR(DD$3)=YEAR(EDATE('Вводные'!$D$90,'Вводные'!$H$9)),MONTH(DD$3)=MONTH(EDATE('Вводные'!$D$90,'Вводные'!$H$9))),$B$82,0)</x:f>
      </x:c>
      <x:c r="DE82" s="117" t="n">
        <x:f>IF(AND(YEAR(DE$3)=YEAR(EDATE('Вводные'!$D$90,'Вводные'!$H$9)),MONTH(DE$3)=MONTH(EDATE('Вводные'!$D$90,'Вводные'!$H$9))),$B$82,0)</x:f>
      </x:c>
      <x:c r="DF82" s="117" t="n">
        <x:f>IF(AND(YEAR(DF$3)=YEAR(EDATE('Вводные'!$D$90,'Вводные'!$H$9)),MONTH(DF$3)=MONTH(EDATE('Вводные'!$D$90,'Вводные'!$H$9))),$B$82,0)</x:f>
      </x:c>
      <x:c r="DG82" s="117" t="n">
        <x:f>IF(AND(YEAR(DG$3)=YEAR(EDATE('Вводные'!$D$90,'Вводные'!$H$9)),MONTH(DG$3)=MONTH(EDATE('Вводные'!$D$90,'Вводные'!$H$9))),$B$82,0)</x:f>
      </x:c>
      <x:c r="DH82" s="117" t="n">
        <x:f>IF(AND(YEAR(DH$3)=YEAR(EDATE('Вводные'!$D$90,'Вводные'!$H$9)),MONTH(DH$3)=MONTH(EDATE('Вводные'!$D$90,'Вводные'!$H$9))),$B$82,0)</x:f>
      </x:c>
      <x:c r="DI82" s="117" t="n">
        <x:f>IF(AND(YEAR(DI$3)=YEAR(EDATE('Вводные'!$D$90,'Вводные'!$H$9)),MONTH(DI$3)=MONTH(EDATE('Вводные'!$D$90,'Вводные'!$H$9))),$B$82,0)</x:f>
      </x:c>
      <x:c r="DJ82" s="117" t="n">
        <x:f>IF(AND(YEAR(DJ$3)=YEAR(EDATE('Вводные'!$D$90,'Вводные'!$H$9)),MONTH(DJ$3)=MONTH(EDATE('Вводные'!$D$90,'Вводные'!$H$9))),$B$82,0)</x:f>
      </x:c>
      <x:c r="DK82" s="117" t="n">
        <x:f>IF(AND(YEAR(DK$3)=YEAR(EDATE('Вводные'!$D$90,'Вводные'!$H$9)),MONTH(DK$3)=MONTH(EDATE('Вводные'!$D$90,'Вводные'!$H$9))),$B$82,0)</x:f>
      </x:c>
      <x:c r="DL82" s="117" t="n">
        <x:f>IF(AND(YEAR(DL$3)=YEAR(EDATE('Вводные'!$D$90,'Вводные'!$H$9)),MONTH(DL$3)=MONTH(EDATE('Вводные'!$D$90,'Вводные'!$H$9))),$B$82,0)</x:f>
      </x:c>
      <x:c r="DM82" s="117" t="n">
        <x:f>IF(AND(YEAR(DM$3)=YEAR(EDATE('Вводные'!$D$90,'Вводные'!$H$9)),MONTH(DM$3)=MONTH(EDATE('Вводные'!$D$90,'Вводные'!$H$9))),$B$82,0)</x:f>
      </x:c>
      <x:c r="DN82" s="117" t="n">
        <x:f>IF(AND(YEAR(DN$3)=YEAR(EDATE('Вводные'!$D$90,'Вводные'!$H$9)),MONTH(DN$3)=MONTH(EDATE('Вводные'!$D$90,'Вводные'!$H$9))),$B$82,0)</x:f>
      </x:c>
      <x:c r="DO82" s="117" t="n">
        <x:f>IF(AND(YEAR(DO$3)=YEAR(EDATE('Вводные'!$D$90,'Вводные'!$H$9)),MONTH(DO$3)=MONTH(EDATE('Вводные'!$D$90,'Вводные'!$H$9))),$B$82,0)</x:f>
      </x:c>
      <x:c r="DP82" s="117" t="n">
        <x:f>IF(AND(YEAR(DP$3)=YEAR(EDATE('Вводные'!$D$90,'Вводные'!$H$9)),MONTH(DP$3)=MONTH(EDATE('Вводные'!$D$90,'Вводные'!$H$9))),$B$82,0)</x:f>
      </x:c>
      <x:c r="DQ82" s="117" t="n">
        <x:f>IF(AND(YEAR(DQ$3)=YEAR(EDATE('Вводные'!$D$90,'Вводные'!$H$9)),MONTH(DQ$3)=MONTH(EDATE('Вводные'!$D$90,'Вводные'!$H$9))),$B$82,0)</x:f>
      </x:c>
      <x:c r="DR82" s="117" t="n">
        <x:f>IF(AND(YEAR(DR$3)=YEAR(EDATE('Вводные'!$D$90,'Вводные'!$H$9)),MONTH(DR$3)=MONTH(EDATE('Вводные'!$D$90,'Вводные'!$H$9))),$B$82,0)</x:f>
      </x:c>
      <x:c r="DS82" s="117" t="n">
        <x:f>IF(AND(YEAR(DS$3)=YEAR(EDATE('Вводные'!$D$90,'Вводные'!$H$9)),MONTH(DS$3)=MONTH(EDATE('Вводные'!$D$90,'Вводные'!$H$9))),$B$82,0)</x:f>
      </x:c>
    </x:row>
    <x:row r="83">
      <x:c r="A83" t="str">
        <x:v>Плата за ВРИ</x:v>
      </x:c>
      <x:c r="B83" s="107" t="n">
        <x:f>SUM('ВРИ'!D41:DS41)</x:f>
      </x:c>
      <x:c r="C83" t="str">
        <x:v>млн ₽</x:v>
      </x:c>
      <x:c r="D83" s="117" t="n">
        <x:f>'ВРИ'!D41</x:f>
      </x:c>
      <x:c r="E83" s="117" t="n">
        <x:f>'ВРИ'!E41</x:f>
      </x:c>
      <x:c r="F83" s="117" t="n">
        <x:f>'ВРИ'!F41</x:f>
      </x:c>
      <x:c r="G83" s="117" t="n">
        <x:f>'ВРИ'!G41</x:f>
      </x:c>
      <x:c r="H83" s="117" t="n">
        <x:f>'ВРИ'!H41</x:f>
      </x:c>
      <x:c r="I83" s="117" t="n">
        <x:f>'ВРИ'!I41</x:f>
      </x:c>
      <x:c r="J83" s="117" t="n">
        <x:f>'ВРИ'!J41</x:f>
      </x:c>
      <x:c r="K83" s="117" t="n">
        <x:f>'ВРИ'!K41</x:f>
      </x:c>
      <x:c r="L83" s="117" t="n">
        <x:f>'ВРИ'!L41</x:f>
      </x:c>
      <x:c r="M83" s="117" t="n">
        <x:f>'ВРИ'!M41</x:f>
      </x:c>
      <x:c r="N83" s="117" t="n">
        <x:f>'ВРИ'!N41</x:f>
      </x:c>
      <x:c r="O83" s="117" t="n">
        <x:f>'ВРИ'!O41</x:f>
      </x:c>
      <x:c r="P83" s="117" t="n">
        <x:f>'ВРИ'!P41</x:f>
      </x:c>
      <x:c r="Q83" s="117" t="n">
        <x:f>'ВРИ'!Q41</x:f>
      </x:c>
      <x:c r="R83" s="117" t="n">
        <x:f>'ВРИ'!R41</x:f>
      </x:c>
      <x:c r="S83" s="117" t="n">
        <x:f>'ВРИ'!S41</x:f>
      </x:c>
      <x:c r="T83" s="117" t="n">
        <x:f>'ВРИ'!T41</x:f>
      </x:c>
      <x:c r="U83" s="117" t="n">
        <x:f>'ВРИ'!U41</x:f>
      </x:c>
      <x:c r="V83" s="117" t="n">
        <x:f>'ВРИ'!V41</x:f>
      </x:c>
      <x:c r="W83" s="117" t="n">
        <x:f>'ВРИ'!W41</x:f>
      </x:c>
      <x:c r="X83" s="117" t="n">
        <x:f>'ВРИ'!X41</x:f>
      </x:c>
      <x:c r="Y83" s="117" t="n">
        <x:f>'ВРИ'!Y41</x:f>
      </x:c>
      <x:c r="Z83" s="117" t="n">
        <x:f>'ВРИ'!Z41</x:f>
      </x:c>
      <x:c r="AA83" s="117" t="n">
        <x:f>'ВРИ'!AA41</x:f>
      </x:c>
      <x:c r="AB83" s="117" t="n">
        <x:f>'ВРИ'!AB41</x:f>
      </x:c>
      <x:c r="AC83" s="117" t="n">
        <x:f>'ВРИ'!AC41</x:f>
      </x:c>
      <x:c r="AD83" s="117" t="n">
        <x:f>'ВРИ'!AD41</x:f>
      </x:c>
      <x:c r="AE83" s="117" t="n">
        <x:f>'ВРИ'!AE41</x:f>
      </x:c>
      <x:c r="AF83" s="117" t="n">
        <x:f>'ВРИ'!AF41</x:f>
      </x:c>
      <x:c r="AG83" s="117" t="n">
        <x:f>'ВРИ'!AG41</x:f>
      </x:c>
      <x:c r="AH83" s="117" t="n">
        <x:f>'ВРИ'!AH41</x:f>
      </x:c>
      <x:c r="AI83" s="117" t="n">
        <x:f>'ВРИ'!AI41</x:f>
      </x:c>
      <x:c r="AJ83" s="117" t="n">
        <x:f>'ВРИ'!AJ41</x:f>
      </x:c>
      <x:c r="AK83" s="117" t="n">
        <x:f>'ВРИ'!AK41</x:f>
      </x:c>
      <x:c r="AL83" s="117" t="n">
        <x:f>'ВРИ'!AL41</x:f>
      </x:c>
      <x:c r="AM83" s="117" t="n">
        <x:f>'ВРИ'!AM41</x:f>
      </x:c>
      <x:c r="AN83" s="117" t="n">
        <x:f>'ВРИ'!AN41</x:f>
      </x:c>
      <x:c r="AO83" s="117" t="n">
        <x:f>'ВРИ'!AO41</x:f>
      </x:c>
      <x:c r="AP83" s="117" t="n">
        <x:f>'ВРИ'!AP41</x:f>
      </x:c>
      <x:c r="AQ83" s="117" t="n">
        <x:f>'ВРИ'!AQ41</x:f>
      </x:c>
      <x:c r="AR83" s="117" t="n">
        <x:f>'ВРИ'!AR41</x:f>
      </x:c>
      <x:c r="AS83" s="117" t="n">
        <x:f>'ВРИ'!AS41</x:f>
      </x:c>
      <x:c r="AT83" s="117" t="n">
        <x:f>'ВРИ'!AT41</x:f>
      </x:c>
      <x:c r="AU83" s="117" t="n">
        <x:f>'ВРИ'!AU41</x:f>
      </x:c>
      <x:c r="AV83" s="117" t="n">
        <x:f>'ВРИ'!AV41</x:f>
      </x:c>
      <x:c r="AW83" s="117" t="n">
        <x:f>'ВРИ'!AW41</x:f>
      </x:c>
      <x:c r="AX83" s="117" t="n">
        <x:f>'ВРИ'!AX41</x:f>
      </x:c>
      <x:c r="AY83" s="117" t="n">
        <x:f>'ВРИ'!AY41</x:f>
      </x:c>
      <x:c r="AZ83" s="117" t="n">
        <x:f>'ВРИ'!AZ41</x:f>
      </x:c>
      <x:c r="BA83" s="117" t="n">
        <x:f>'ВРИ'!BA41</x:f>
      </x:c>
      <x:c r="BB83" s="117" t="n">
        <x:f>'ВРИ'!BB41</x:f>
      </x:c>
      <x:c r="BC83" s="117" t="n">
        <x:f>'ВРИ'!BC41</x:f>
      </x:c>
      <x:c r="BD83" s="117" t="n">
        <x:f>'ВРИ'!BD41</x:f>
      </x:c>
      <x:c r="BE83" s="117" t="n">
        <x:f>'ВРИ'!BE41</x:f>
      </x:c>
      <x:c r="BF83" s="117" t="n">
        <x:f>'ВРИ'!BF41</x:f>
      </x:c>
      <x:c r="BG83" s="117" t="n">
        <x:f>'ВРИ'!BG41</x:f>
      </x:c>
      <x:c r="BH83" s="117" t="n">
        <x:f>'ВРИ'!BH41</x:f>
      </x:c>
      <x:c r="BI83" s="117" t="n">
        <x:f>'ВРИ'!BI41</x:f>
      </x:c>
      <x:c r="BJ83" s="117" t="n">
        <x:f>'ВРИ'!BJ41</x:f>
      </x:c>
      <x:c r="BK83" s="117" t="n">
        <x:f>'ВРИ'!BK41</x:f>
      </x:c>
      <x:c r="BL83" s="117" t="n">
        <x:f>'ВРИ'!BL41</x:f>
      </x:c>
      <x:c r="BM83" s="117" t="n">
        <x:f>'ВРИ'!BM41</x:f>
      </x:c>
      <x:c r="BN83" s="117" t="n">
        <x:f>'ВРИ'!BN41</x:f>
      </x:c>
      <x:c r="BO83" s="117" t="n">
        <x:f>'ВРИ'!BO41</x:f>
      </x:c>
      <x:c r="BP83" s="117" t="n">
        <x:f>'ВРИ'!BP41</x:f>
      </x:c>
      <x:c r="BQ83" s="117" t="n">
        <x:f>'ВРИ'!BQ41</x:f>
      </x:c>
      <x:c r="BR83" s="117" t="n">
        <x:f>'ВРИ'!BR41</x:f>
      </x:c>
      <x:c r="BS83" s="117" t="n">
        <x:f>'ВРИ'!BS41</x:f>
      </x:c>
      <x:c r="BT83" s="117" t="n">
        <x:f>'ВРИ'!BT41</x:f>
      </x:c>
      <x:c r="BU83" s="117" t="n">
        <x:f>'ВРИ'!BU41</x:f>
      </x:c>
      <x:c r="BV83" s="117" t="n">
        <x:f>'ВРИ'!BV41</x:f>
      </x:c>
      <x:c r="BW83" s="117" t="n">
        <x:f>'ВРИ'!BW41</x:f>
      </x:c>
      <x:c r="BX83" s="117" t="n">
        <x:f>'ВРИ'!BX41</x:f>
      </x:c>
      <x:c r="BY83" s="117" t="n">
        <x:f>'ВРИ'!BY41</x:f>
      </x:c>
      <x:c r="BZ83" s="117" t="n">
        <x:f>'ВРИ'!BZ41</x:f>
      </x:c>
      <x:c r="CA83" s="117" t="n">
        <x:f>'ВРИ'!CA41</x:f>
      </x:c>
      <x:c r="CB83" s="117" t="n">
        <x:f>'ВРИ'!CB41</x:f>
      </x:c>
      <x:c r="CC83" s="117" t="n">
        <x:f>'ВРИ'!CC41</x:f>
      </x:c>
      <x:c r="CD83" s="117" t="n">
        <x:f>'ВРИ'!CD41</x:f>
      </x:c>
      <x:c r="CE83" s="117" t="n">
        <x:f>'ВРИ'!CE41</x:f>
      </x:c>
      <x:c r="CF83" s="117" t="n">
        <x:f>'ВРИ'!CF41</x:f>
      </x:c>
      <x:c r="CG83" s="117" t="n">
        <x:f>'ВРИ'!CG41</x:f>
      </x:c>
      <x:c r="CH83" s="117" t="n">
        <x:f>'ВРИ'!CH41</x:f>
      </x:c>
      <x:c r="CI83" s="117" t="n">
        <x:f>'ВРИ'!CI41</x:f>
      </x:c>
      <x:c r="CJ83" s="117" t="n">
        <x:f>'ВРИ'!CJ41</x:f>
      </x:c>
      <x:c r="CK83" s="117" t="n">
        <x:f>'ВРИ'!CK41</x:f>
      </x:c>
      <x:c r="CL83" s="117" t="n">
        <x:f>'ВРИ'!CL41</x:f>
      </x:c>
      <x:c r="CM83" s="117" t="n">
        <x:f>'ВРИ'!CM41</x:f>
      </x:c>
      <x:c r="CN83" s="117" t="n">
        <x:f>'ВРИ'!CN41</x:f>
      </x:c>
      <x:c r="CO83" s="117" t="n">
        <x:f>'ВРИ'!CO41</x:f>
      </x:c>
      <x:c r="CP83" s="117" t="n">
        <x:f>'ВРИ'!CP41</x:f>
      </x:c>
      <x:c r="CQ83" s="117" t="n">
        <x:f>'ВРИ'!CQ41</x:f>
      </x:c>
      <x:c r="CR83" s="117" t="n">
        <x:f>'ВРИ'!CR41</x:f>
      </x:c>
      <x:c r="CS83" s="117" t="n">
        <x:f>'ВРИ'!CS41</x:f>
      </x:c>
      <x:c r="CT83" s="117" t="n">
        <x:f>'ВРИ'!CT41</x:f>
      </x:c>
      <x:c r="CU83" s="117" t="n">
        <x:f>'ВРИ'!CU41</x:f>
      </x:c>
      <x:c r="CV83" s="117" t="n">
        <x:f>'ВРИ'!CV41</x:f>
      </x:c>
      <x:c r="CW83" s="117" t="n">
        <x:f>'ВРИ'!CW41</x:f>
      </x:c>
      <x:c r="CX83" s="117" t="n">
        <x:f>'ВРИ'!CX41</x:f>
      </x:c>
      <x:c r="CY83" s="117" t="n">
        <x:f>'ВРИ'!CY41</x:f>
      </x:c>
      <x:c r="CZ83" s="117" t="n">
        <x:f>'ВРИ'!CZ41</x:f>
      </x:c>
      <x:c r="DA83" s="117" t="n">
        <x:f>'ВРИ'!DA41</x:f>
      </x:c>
      <x:c r="DB83" s="117" t="n">
        <x:f>'ВРИ'!DB41</x:f>
      </x:c>
      <x:c r="DC83" s="117" t="n">
        <x:f>'ВРИ'!DC41</x:f>
      </x:c>
      <x:c r="DD83" s="117" t="n">
        <x:f>'ВРИ'!DD41</x:f>
      </x:c>
      <x:c r="DE83" s="117" t="n">
        <x:f>'ВРИ'!DE41</x:f>
      </x:c>
      <x:c r="DF83" s="117" t="n">
        <x:f>'ВРИ'!DF41</x:f>
      </x:c>
      <x:c r="DG83" s="117" t="n">
        <x:f>'ВРИ'!DG41</x:f>
      </x:c>
      <x:c r="DH83" s="117" t="n">
        <x:f>'ВРИ'!DH41</x:f>
      </x:c>
      <x:c r="DI83" s="117" t="n">
        <x:f>'ВРИ'!DI41</x:f>
      </x:c>
      <x:c r="DJ83" s="117" t="n">
        <x:f>'ВРИ'!DJ41</x:f>
      </x:c>
      <x:c r="DK83" s="117" t="n">
        <x:f>'ВРИ'!DK41</x:f>
      </x:c>
      <x:c r="DL83" s="117" t="n">
        <x:f>'ВРИ'!DL41</x:f>
      </x:c>
      <x:c r="DM83" s="117" t="n">
        <x:f>'ВРИ'!DM41</x:f>
      </x:c>
      <x:c r="DN83" s="117" t="n">
        <x:f>'ВРИ'!DN41</x:f>
      </x:c>
      <x:c r="DO83" s="117" t="n">
        <x:f>'ВРИ'!DO41</x:f>
      </x:c>
      <x:c r="DP83" s="117" t="n">
        <x:f>'ВРИ'!DP41</x:f>
      </x:c>
      <x:c r="DQ83" s="117" t="n">
        <x:f>'ВРИ'!DQ41</x:f>
      </x:c>
      <x:c r="DR83" s="117" t="n">
        <x:f>'ВРИ'!DR41</x:f>
      </x:c>
      <x:c r="DS83" s="117" t="n">
        <x:f>'ВРИ'!DS41</x:f>
      </x:c>
    </x:row>
    <x:row r="84">
      <x:c r="A84" t="str">
        <x:v>ИРД и согласования</x:v>
      </x:c>
      <x:c r="B84" s="107" t="n">
        <x:f>(('Вводные'!$I$90+'Вводные'!$J$90+'Вводные'!$K$90)*'Вводные'!$B$40/1000*'Вводные'!$H$6*'Вводные'!$T$90*--('Вводные'!$B$90="Да"))*'Вводные'!$AH$90</x:f>
      </x:c>
      <x:c r="C84" t="str">
        <x:v>млн ₽</x:v>
      </x:c>
      <x:c r="D84" s="117" t="n">
        <x:f>IF(AND(D$3&gt;=EDATE($B$75,-'Вводные'!$E$90),D$3&lt;$B$75),$B$84/MAX(1,'Вводные'!$E$90),0)</x:f>
      </x:c>
      <x:c r="E84" s="117" t="n">
        <x:f>IF(AND(E$3&gt;=EDATE($B$75,-'Вводные'!$E$90),E$3&lt;$B$75),$B$84/MAX(1,'Вводные'!$E$90),0)</x:f>
      </x:c>
      <x:c r="F84" s="117" t="n">
        <x:f>IF(AND(F$3&gt;=EDATE($B$75,-'Вводные'!$E$90),F$3&lt;$B$75),$B$84/MAX(1,'Вводные'!$E$90),0)</x:f>
      </x:c>
      <x:c r="G84" s="117" t="n">
        <x:f>IF(AND(G$3&gt;=EDATE($B$75,-'Вводные'!$E$90),G$3&lt;$B$75),$B$84/MAX(1,'Вводные'!$E$90),0)</x:f>
      </x:c>
      <x:c r="H84" s="117" t="n">
        <x:f>IF(AND(H$3&gt;=EDATE($B$75,-'Вводные'!$E$90),H$3&lt;$B$75),$B$84/MAX(1,'Вводные'!$E$90),0)</x:f>
      </x:c>
      <x:c r="I84" s="117" t="n">
        <x:f>IF(AND(I$3&gt;=EDATE($B$75,-'Вводные'!$E$90),I$3&lt;$B$75),$B$84/MAX(1,'Вводные'!$E$90),0)</x:f>
      </x:c>
      <x:c r="J84" s="117" t="n">
        <x:f>IF(AND(J$3&gt;=EDATE($B$75,-'Вводные'!$E$90),J$3&lt;$B$75),$B$84/MAX(1,'Вводные'!$E$90),0)</x:f>
      </x:c>
      <x:c r="K84" s="117" t="n">
        <x:f>IF(AND(K$3&gt;=EDATE($B$75,-'Вводные'!$E$90),K$3&lt;$B$75),$B$84/MAX(1,'Вводные'!$E$90),0)</x:f>
      </x:c>
      <x:c r="L84" s="117" t="n">
        <x:f>IF(AND(L$3&gt;=EDATE($B$75,-'Вводные'!$E$90),L$3&lt;$B$75),$B$84/MAX(1,'Вводные'!$E$90),0)</x:f>
      </x:c>
      <x:c r="M84" s="117" t="n">
        <x:f>IF(AND(M$3&gt;=EDATE($B$75,-'Вводные'!$E$90),M$3&lt;$B$75),$B$84/MAX(1,'Вводные'!$E$90),0)</x:f>
      </x:c>
      <x:c r="N84" s="117" t="n">
        <x:f>IF(AND(N$3&gt;=EDATE($B$75,-'Вводные'!$E$90),N$3&lt;$B$75),$B$84/MAX(1,'Вводные'!$E$90),0)</x:f>
      </x:c>
      <x:c r="O84" s="117" t="n">
        <x:f>IF(AND(O$3&gt;=EDATE($B$75,-'Вводные'!$E$90),O$3&lt;$B$75),$B$84/MAX(1,'Вводные'!$E$90),0)</x:f>
      </x:c>
      <x:c r="P84" s="117" t="n">
        <x:f>IF(AND(P$3&gt;=EDATE($B$75,-'Вводные'!$E$90),P$3&lt;$B$75),$B$84/MAX(1,'Вводные'!$E$90),0)</x:f>
      </x:c>
      <x:c r="Q84" s="117" t="n">
        <x:f>IF(AND(Q$3&gt;=EDATE($B$75,-'Вводные'!$E$90),Q$3&lt;$B$75),$B$84/MAX(1,'Вводные'!$E$90),0)</x:f>
      </x:c>
      <x:c r="R84" s="117" t="n">
        <x:f>IF(AND(R$3&gt;=EDATE($B$75,-'Вводные'!$E$90),R$3&lt;$B$75),$B$84/MAX(1,'Вводные'!$E$90),0)</x:f>
      </x:c>
      <x:c r="S84" s="117" t="n">
        <x:f>IF(AND(S$3&gt;=EDATE($B$75,-'Вводные'!$E$90),S$3&lt;$B$75),$B$84/MAX(1,'Вводные'!$E$90),0)</x:f>
      </x:c>
      <x:c r="T84" s="117" t="n">
        <x:f>IF(AND(T$3&gt;=EDATE($B$75,-'Вводные'!$E$90),T$3&lt;$B$75),$B$84/MAX(1,'Вводные'!$E$90),0)</x:f>
      </x:c>
      <x:c r="U84" s="117" t="n">
        <x:f>IF(AND(U$3&gt;=EDATE($B$75,-'Вводные'!$E$90),U$3&lt;$B$75),$B$84/MAX(1,'Вводные'!$E$90),0)</x:f>
      </x:c>
      <x:c r="V84" s="117" t="n">
        <x:f>IF(AND(V$3&gt;=EDATE($B$75,-'Вводные'!$E$90),V$3&lt;$B$75),$B$84/MAX(1,'Вводные'!$E$90),0)</x:f>
      </x:c>
      <x:c r="W84" s="117" t="n">
        <x:f>IF(AND(W$3&gt;=EDATE($B$75,-'Вводные'!$E$90),W$3&lt;$B$75),$B$84/MAX(1,'Вводные'!$E$90),0)</x:f>
      </x:c>
      <x:c r="X84" s="117" t="n">
        <x:f>IF(AND(X$3&gt;=EDATE($B$75,-'Вводные'!$E$90),X$3&lt;$B$75),$B$84/MAX(1,'Вводные'!$E$90),0)</x:f>
      </x:c>
      <x:c r="Y84" s="117" t="n">
        <x:f>IF(AND(Y$3&gt;=EDATE($B$75,-'Вводные'!$E$90),Y$3&lt;$B$75),$B$84/MAX(1,'Вводные'!$E$90),0)</x:f>
      </x:c>
      <x:c r="Z84" s="117" t="n">
        <x:f>IF(AND(Z$3&gt;=EDATE($B$75,-'Вводные'!$E$90),Z$3&lt;$B$75),$B$84/MAX(1,'Вводные'!$E$90),0)</x:f>
      </x:c>
      <x:c r="AA84" s="117" t="n">
        <x:f>IF(AND(AA$3&gt;=EDATE($B$75,-'Вводные'!$E$90),AA$3&lt;$B$75),$B$84/MAX(1,'Вводные'!$E$90),0)</x:f>
      </x:c>
      <x:c r="AB84" s="117" t="n">
        <x:f>IF(AND(AB$3&gt;=EDATE($B$75,-'Вводные'!$E$90),AB$3&lt;$B$75),$B$84/MAX(1,'Вводные'!$E$90),0)</x:f>
      </x:c>
      <x:c r="AC84" s="117" t="n">
        <x:f>IF(AND(AC$3&gt;=EDATE($B$75,-'Вводные'!$E$90),AC$3&lt;$B$75),$B$84/MAX(1,'Вводные'!$E$90),0)</x:f>
      </x:c>
      <x:c r="AD84" s="117" t="n">
        <x:f>IF(AND(AD$3&gt;=EDATE($B$75,-'Вводные'!$E$90),AD$3&lt;$B$75),$B$84/MAX(1,'Вводные'!$E$90),0)</x:f>
      </x:c>
      <x:c r="AE84" s="117" t="n">
        <x:f>IF(AND(AE$3&gt;=EDATE($B$75,-'Вводные'!$E$90),AE$3&lt;$B$75),$B$84/MAX(1,'Вводные'!$E$90),0)</x:f>
      </x:c>
      <x:c r="AF84" s="117" t="n">
        <x:f>IF(AND(AF$3&gt;=EDATE($B$75,-'Вводные'!$E$90),AF$3&lt;$B$75),$B$84/MAX(1,'Вводные'!$E$90),0)</x:f>
      </x:c>
      <x:c r="AG84" s="117" t="n">
        <x:f>IF(AND(AG$3&gt;=EDATE($B$75,-'Вводные'!$E$90),AG$3&lt;$B$75),$B$84/MAX(1,'Вводные'!$E$90),0)</x:f>
      </x:c>
      <x:c r="AH84" s="117" t="n">
        <x:f>IF(AND(AH$3&gt;=EDATE($B$75,-'Вводные'!$E$90),AH$3&lt;$B$75),$B$84/MAX(1,'Вводные'!$E$90),0)</x:f>
      </x:c>
      <x:c r="AI84" s="117" t="n">
        <x:f>IF(AND(AI$3&gt;=EDATE($B$75,-'Вводные'!$E$90),AI$3&lt;$B$75),$B$84/MAX(1,'Вводные'!$E$90),0)</x:f>
      </x:c>
      <x:c r="AJ84" s="117" t="n">
        <x:f>IF(AND(AJ$3&gt;=EDATE($B$75,-'Вводные'!$E$90),AJ$3&lt;$B$75),$B$84/MAX(1,'Вводные'!$E$90),0)</x:f>
      </x:c>
      <x:c r="AK84" s="117" t="n">
        <x:f>IF(AND(AK$3&gt;=EDATE($B$75,-'Вводные'!$E$90),AK$3&lt;$B$75),$B$84/MAX(1,'Вводные'!$E$90),0)</x:f>
      </x:c>
      <x:c r="AL84" s="117" t="n">
        <x:f>IF(AND(AL$3&gt;=EDATE($B$75,-'Вводные'!$E$90),AL$3&lt;$B$75),$B$84/MAX(1,'Вводные'!$E$90),0)</x:f>
      </x:c>
      <x:c r="AM84" s="117" t="n">
        <x:f>IF(AND(AM$3&gt;=EDATE($B$75,-'Вводные'!$E$90),AM$3&lt;$B$75),$B$84/MAX(1,'Вводные'!$E$90),0)</x:f>
      </x:c>
      <x:c r="AN84" s="117" t="n">
        <x:f>IF(AND(AN$3&gt;=EDATE($B$75,-'Вводные'!$E$90),AN$3&lt;$B$75),$B$84/MAX(1,'Вводные'!$E$90),0)</x:f>
      </x:c>
      <x:c r="AO84" s="117" t="n">
        <x:f>IF(AND(AO$3&gt;=EDATE($B$75,-'Вводные'!$E$90),AO$3&lt;$B$75),$B$84/MAX(1,'Вводные'!$E$90),0)</x:f>
      </x:c>
      <x:c r="AP84" s="117" t="n">
        <x:f>IF(AND(AP$3&gt;=EDATE($B$75,-'Вводные'!$E$90),AP$3&lt;$B$75),$B$84/MAX(1,'Вводные'!$E$90),0)</x:f>
      </x:c>
      <x:c r="AQ84" s="117" t="n">
        <x:f>IF(AND(AQ$3&gt;=EDATE($B$75,-'Вводные'!$E$90),AQ$3&lt;$B$75),$B$84/MAX(1,'Вводные'!$E$90),0)</x:f>
      </x:c>
      <x:c r="AR84" s="117" t="n">
        <x:f>IF(AND(AR$3&gt;=EDATE($B$75,-'Вводные'!$E$90),AR$3&lt;$B$75),$B$84/MAX(1,'Вводные'!$E$90),0)</x:f>
      </x:c>
      <x:c r="AS84" s="117" t="n">
        <x:f>IF(AND(AS$3&gt;=EDATE($B$75,-'Вводные'!$E$90),AS$3&lt;$B$75),$B$84/MAX(1,'Вводные'!$E$90),0)</x:f>
      </x:c>
      <x:c r="AT84" s="117" t="n">
        <x:f>IF(AND(AT$3&gt;=EDATE($B$75,-'Вводные'!$E$90),AT$3&lt;$B$75),$B$84/MAX(1,'Вводные'!$E$90),0)</x:f>
      </x:c>
      <x:c r="AU84" s="117" t="n">
        <x:f>IF(AND(AU$3&gt;=EDATE($B$75,-'Вводные'!$E$90),AU$3&lt;$B$75),$B$84/MAX(1,'Вводные'!$E$90),0)</x:f>
      </x:c>
      <x:c r="AV84" s="117" t="n">
        <x:f>IF(AND(AV$3&gt;=EDATE($B$75,-'Вводные'!$E$90),AV$3&lt;$B$75),$B$84/MAX(1,'Вводные'!$E$90),0)</x:f>
      </x:c>
      <x:c r="AW84" s="117" t="n">
        <x:f>IF(AND(AW$3&gt;=EDATE($B$75,-'Вводные'!$E$90),AW$3&lt;$B$75),$B$84/MAX(1,'Вводные'!$E$90),0)</x:f>
      </x:c>
      <x:c r="AX84" s="117" t="n">
        <x:f>IF(AND(AX$3&gt;=EDATE($B$75,-'Вводные'!$E$90),AX$3&lt;$B$75),$B$84/MAX(1,'Вводные'!$E$90),0)</x:f>
      </x:c>
      <x:c r="AY84" s="117" t="n">
        <x:f>IF(AND(AY$3&gt;=EDATE($B$75,-'Вводные'!$E$90),AY$3&lt;$B$75),$B$84/MAX(1,'Вводные'!$E$90),0)</x:f>
      </x:c>
      <x:c r="AZ84" s="117" t="n">
        <x:f>IF(AND(AZ$3&gt;=EDATE($B$75,-'Вводные'!$E$90),AZ$3&lt;$B$75),$B$84/MAX(1,'Вводные'!$E$90),0)</x:f>
      </x:c>
      <x:c r="BA84" s="117" t="n">
        <x:f>IF(AND(BA$3&gt;=EDATE($B$75,-'Вводные'!$E$90),BA$3&lt;$B$75),$B$84/MAX(1,'Вводные'!$E$90),0)</x:f>
      </x:c>
      <x:c r="BB84" s="117" t="n">
        <x:f>IF(AND(BB$3&gt;=EDATE($B$75,-'Вводные'!$E$90),BB$3&lt;$B$75),$B$84/MAX(1,'Вводные'!$E$90),0)</x:f>
      </x:c>
      <x:c r="BC84" s="117" t="n">
        <x:f>IF(AND(BC$3&gt;=EDATE($B$75,-'Вводные'!$E$90),BC$3&lt;$B$75),$B$84/MAX(1,'Вводные'!$E$90),0)</x:f>
      </x:c>
      <x:c r="BD84" s="117" t="n">
        <x:f>IF(AND(BD$3&gt;=EDATE($B$75,-'Вводные'!$E$90),BD$3&lt;$B$75),$B$84/MAX(1,'Вводные'!$E$90),0)</x:f>
      </x:c>
      <x:c r="BE84" s="117" t="n">
        <x:f>IF(AND(BE$3&gt;=EDATE($B$75,-'Вводные'!$E$90),BE$3&lt;$B$75),$B$84/MAX(1,'Вводные'!$E$90),0)</x:f>
      </x:c>
      <x:c r="BF84" s="117" t="n">
        <x:f>IF(AND(BF$3&gt;=EDATE($B$75,-'Вводные'!$E$90),BF$3&lt;$B$75),$B$84/MAX(1,'Вводные'!$E$90),0)</x:f>
      </x:c>
      <x:c r="BG84" s="117" t="n">
        <x:f>IF(AND(BG$3&gt;=EDATE($B$75,-'Вводные'!$E$90),BG$3&lt;$B$75),$B$84/MAX(1,'Вводные'!$E$90),0)</x:f>
      </x:c>
      <x:c r="BH84" s="117" t="n">
        <x:f>IF(AND(BH$3&gt;=EDATE($B$75,-'Вводные'!$E$90),BH$3&lt;$B$75),$B$84/MAX(1,'Вводные'!$E$90),0)</x:f>
      </x:c>
      <x:c r="BI84" s="117" t="n">
        <x:f>IF(AND(BI$3&gt;=EDATE($B$75,-'Вводные'!$E$90),BI$3&lt;$B$75),$B$84/MAX(1,'Вводные'!$E$90),0)</x:f>
      </x:c>
      <x:c r="BJ84" s="117" t="n">
        <x:f>IF(AND(BJ$3&gt;=EDATE($B$75,-'Вводные'!$E$90),BJ$3&lt;$B$75),$B$84/MAX(1,'Вводные'!$E$90),0)</x:f>
      </x:c>
      <x:c r="BK84" s="117" t="n">
        <x:f>IF(AND(BK$3&gt;=EDATE($B$75,-'Вводные'!$E$90),BK$3&lt;$B$75),$B$84/MAX(1,'Вводные'!$E$90),0)</x:f>
      </x:c>
      <x:c r="BL84" s="117" t="n">
        <x:f>IF(AND(BL$3&gt;=EDATE($B$75,-'Вводные'!$E$90),BL$3&lt;$B$75),$B$84/MAX(1,'Вводные'!$E$90),0)</x:f>
      </x:c>
      <x:c r="BM84" s="117" t="n">
        <x:f>IF(AND(BM$3&gt;=EDATE($B$75,-'Вводные'!$E$90),BM$3&lt;$B$75),$B$84/MAX(1,'Вводные'!$E$90),0)</x:f>
      </x:c>
      <x:c r="BN84" s="117" t="n">
        <x:f>IF(AND(BN$3&gt;=EDATE($B$75,-'Вводные'!$E$90),BN$3&lt;$B$75),$B$84/MAX(1,'Вводные'!$E$90),0)</x:f>
      </x:c>
      <x:c r="BO84" s="117" t="n">
        <x:f>IF(AND(BO$3&gt;=EDATE($B$75,-'Вводные'!$E$90),BO$3&lt;$B$75),$B$84/MAX(1,'Вводные'!$E$90),0)</x:f>
      </x:c>
      <x:c r="BP84" s="117" t="n">
        <x:f>IF(AND(BP$3&gt;=EDATE($B$75,-'Вводные'!$E$90),BP$3&lt;$B$75),$B$84/MAX(1,'Вводные'!$E$90),0)</x:f>
      </x:c>
      <x:c r="BQ84" s="117" t="n">
        <x:f>IF(AND(BQ$3&gt;=EDATE($B$75,-'Вводные'!$E$90),BQ$3&lt;$B$75),$B$84/MAX(1,'Вводные'!$E$90),0)</x:f>
      </x:c>
      <x:c r="BR84" s="117" t="n">
        <x:f>IF(AND(BR$3&gt;=EDATE($B$75,-'Вводные'!$E$90),BR$3&lt;$B$75),$B$84/MAX(1,'Вводные'!$E$90),0)</x:f>
      </x:c>
      <x:c r="BS84" s="117" t="n">
        <x:f>IF(AND(BS$3&gt;=EDATE($B$75,-'Вводные'!$E$90),BS$3&lt;$B$75),$B$84/MAX(1,'Вводные'!$E$90),0)</x:f>
      </x:c>
      <x:c r="BT84" s="117" t="n">
        <x:f>IF(AND(BT$3&gt;=EDATE($B$75,-'Вводные'!$E$90),BT$3&lt;$B$75),$B$84/MAX(1,'Вводные'!$E$90),0)</x:f>
      </x:c>
      <x:c r="BU84" s="117" t="n">
        <x:f>IF(AND(BU$3&gt;=EDATE($B$75,-'Вводные'!$E$90),BU$3&lt;$B$75),$B$84/MAX(1,'Вводные'!$E$90),0)</x:f>
      </x:c>
      <x:c r="BV84" s="117" t="n">
        <x:f>IF(AND(BV$3&gt;=EDATE($B$75,-'Вводные'!$E$90),BV$3&lt;$B$75),$B$84/MAX(1,'Вводные'!$E$90),0)</x:f>
      </x:c>
      <x:c r="BW84" s="117" t="n">
        <x:f>IF(AND(BW$3&gt;=EDATE($B$75,-'Вводные'!$E$90),BW$3&lt;$B$75),$B$84/MAX(1,'Вводные'!$E$90),0)</x:f>
      </x:c>
      <x:c r="BX84" s="117" t="n">
        <x:f>IF(AND(BX$3&gt;=EDATE($B$75,-'Вводные'!$E$90),BX$3&lt;$B$75),$B$84/MAX(1,'Вводные'!$E$90),0)</x:f>
      </x:c>
      <x:c r="BY84" s="117" t="n">
        <x:f>IF(AND(BY$3&gt;=EDATE($B$75,-'Вводные'!$E$90),BY$3&lt;$B$75),$B$84/MAX(1,'Вводные'!$E$90),0)</x:f>
      </x:c>
      <x:c r="BZ84" s="117" t="n">
        <x:f>IF(AND(BZ$3&gt;=EDATE($B$75,-'Вводные'!$E$90),BZ$3&lt;$B$75),$B$84/MAX(1,'Вводные'!$E$90),0)</x:f>
      </x:c>
      <x:c r="CA84" s="117" t="n">
        <x:f>IF(AND(CA$3&gt;=EDATE($B$75,-'Вводные'!$E$90),CA$3&lt;$B$75),$B$84/MAX(1,'Вводные'!$E$90),0)</x:f>
      </x:c>
      <x:c r="CB84" s="117" t="n">
        <x:f>IF(AND(CB$3&gt;=EDATE($B$75,-'Вводные'!$E$90),CB$3&lt;$B$75),$B$84/MAX(1,'Вводные'!$E$90),0)</x:f>
      </x:c>
      <x:c r="CC84" s="117" t="n">
        <x:f>IF(AND(CC$3&gt;=EDATE($B$75,-'Вводные'!$E$90),CC$3&lt;$B$75),$B$84/MAX(1,'Вводные'!$E$90),0)</x:f>
      </x:c>
      <x:c r="CD84" s="117" t="n">
        <x:f>IF(AND(CD$3&gt;=EDATE($B$75,-'Вводные'!$E$90),CD$3&lt;$B$75),$B$84/MAX(1,'Вводные'!$E$90),0)</x:f>
      </x:c>
      <x:c r="CE84" s="117" t="n">
        <x:f>IF(AND(CE$3&gt;=EDATE($B$75,-'Вводные'!$E$90),CE$3&lt;$B$75),$B$84/MAX(1,'Вводные'!$E$90),0)</x:f>
      </x:c>
      <x:c r="CF84" s="117" t="n">
        <x:f>IF(AND(CF$3&gt;=EDATE($B$75,-'Вводные'!$E$90),CF$3&lt;$B$75),$B$84/MAX(1,'Вводные'!$E$90),0)</x:f>
      </x:c>
      <x:c r="CG84" s="117" t="n">
        <x:f>IF(AND(CG$3&gt;=EDATE($B$75,-'Вводные'!$E$90),CG$3&lt;$B$75),$B$84/MAX(1,'Вводные'!$E$90),0)</x:f>
      </x:c>
      <x:c r="CH84" s="117" t="n">
        <x:f>IF(AND(CH$3&gt;=EDATE($B$75,-'Вводные'!$E$90),CH$3&lt;$B$75),$B$84/MAX(1,'Вводные'!$E$90),0)</x:f>
      </x:c>
      <x:c r="CI84" s="117" t="n">
        <x:f>IF(AND(CI$3&gt;=EDATE($B$75,-'Вводные'!$E$90),CI$3&lt;$B$75),$B$84/MAX(1,'Вводные'!$E$90),0)</x:f>
      </x:c>
      <x:c r="CJ84" s="117" t="n">
        <x:f>IF(AND(CJ$3&gt;=EDATE($B$75,-'Вводные'!$E$90),CJ$3&lt;$B$75),$B$84/MAX(1,'Вводные'!$E$90),0)</x:f>
      </x:c>
      <x:c r="CK84" s="117" t="n">
        <x:f>IF(AND(CK$3&gt;=EDATE($B$75,-'Вводные'!$E$90),CK$3&lt;$B$75),$B$84/MAX(1,'Вводные'!$E$90),0)</x:f>
      </x:c>
      <x:c r="CL84" s="117" t="n">
        <x:f>IF(AND(CL$3&gt;=EDATE($B$75,-'Вводные'!$E$90),CL$3&lt;$B$75),$B$84/MAX(1,'Вводные'!$E$90),0)</x:f>
      </x:c>
      <x:c r="CM84" s="117" t="n">
        <x:f>IF(AND(CM$3&gt;=EDATE($B$75,-'Вводные'!$E$90),CM$3&lt;$B$75),$B$84/MAX(1,'Вводные'!$E$90),0)</x:f>
      </x:c>
      <x:c r="CN84" s="117" t="n">
        <x:f>IF(AND(CN$3&gt;=EDATE($B$75,-'Вводные'!$E$90),CN$3&lt;$B$75),$B$84/MAX(1,'Вводные'!$E$90),0)</x:f>
      </x:c>
      <x:c r="CO84" s="117" t="n">
        <x:f>IF(AND(CO$3&gt;=EDATE($B$75,-'Вводные'!$E$90),CO$3&lt;$B$75),$B$84/MAX(1,'Вводные'!$E$90),0)</x:f>
      </x:c>
      <x:c r="CP84" s="117" t="n">
        <x:f>IF(AND(CP$3&gt;=EDATE($B$75,-'Вводные'!$E$90),CP$3&lt;$B$75),$B$84/MAX(1,'Вводные'!$E$90),0)</x:f>
      </x:c>
      <x:c r="CQ84" s="117" t="n">
        <x:f>IF(AND(CQ$3&gt;=EDATE($B$75,-'Вводные'!$E$90),CQ$3&lt;$B$75),$B$84/MAX(1,'Вводные'!$E$90),0)</x:f>
      </x:c>
      <x:c r="CR84" s="117" t="n">
        <x:f>IF(AND(CR$3&gt;=EDATE($B$75,-'Вводные'!$E$90),CR$3&lt;$B$75),$B$84/MAX(1,'Вводные'!$E$90),0)</x:f>
      </x:c>
      <x:c r="CS84" s="117" t="n">
        <x:f>IF(AND(CS$3&gt;=EDATE($B$75,-'Вводные'!$E$90),CS$3&lt;$B$75),$B$84/MAX(1,'Вводные'!$E$90),0)</x:f>
      </x:c>
      <x:c r="CT84" s="117" t="n">
        <x:f>IF(AND(CT$3&gt;=EDATE($B$75,-'Вводные'!$E$90),CT$3&lt;$B$75),$B$84/MAX(1,'Вводные'!$E$90),0)</x:f>
      </x:c>
      <x:c r="CU84" s="117" t="n">
        <x:f>IF(AND(CU$3&gt;=EDATE($B$75,-'Вводные'!$E$90),CU$3&lt;$B$75),$B$84/MAX(1,'Вводные'!$E$90),0)</x:f>
      </x:c>
      <x:c r="CV84" s="117" t="n">
        <x:f>IF(AND(CV$3&gt;=EDATE($B$75,-'Вводные'!$E$90),CV$3&lt;$B$75),$B$84/MAX(1,'Вводные'!$E$90),0)</x:f>
      </x:c>
      <x:c r="CW84" s="117" t="n">
        <x:f>IF(AND(CW$3&gt;=EDATE($B$75,-'Вводные'!$E$90),CW$3&lt;$B$75),$B$84/MAX(1,'Вводные'!$E$90),0)</x:f>
      </x:c>
      <x:c r="CX84" s="117" t="n">
        <x:f>IF(AND(CX$3&gt;=EDATE($B$75,-'Вводные'!$E$90),CX$3&lt;$B$75),$B$84/MAX(1,'Вводные'!$E$90),0)</x:f>
      </x:c>
      <x:c r="CY84" s="117" t="n">
        <x:f>IF(AND(CY$3&gt;=EDATE($B$75,-'Вводные'!$E$90),CY$3&lt;$B$75),$B$84/MAX(1,'Вводные'!$E$90),0)</x:f>
      </x:c>
      <x:c r="CZ84" s="117" t="n">
        <x:f>IF(AND(CZ$3&gt;=EDATE($B$75,-'Вводные'!$E$90),CZ$3&lt;$B$75),$B$84/MAX(1,'Вводные'!$E$90),0)</x:f>
      </x:c>
      <x:c r="DA84" s="117" t="n">
        <x:f>IF(AND(DA$3&gt;=EDATE($B$75,-'Вводные'!$E$90),DA$3&lt;$B$75),$B$84/MAX(1,'Вводные'!$E$90),0)</x:f>
      </x:c>
      <x:c r="DB84" s="117" t="n">
        <x:f>IF(AND(DB$3&gt;=EDATE($B$75,-'Вводные'!$E$90),DB$3&lt;$B$75),$B$84/MAX(1,'Вводные'!$E$90),0)</x:f>
      </x:c>
      <x:c r="DC84" s="117" t="n">
        <x:f>IF(AND(DC$3&gt;=EDATE($B$75,-'Вводные'!$E$90),DC$3&lt;$B$75),$B$84/MAX(1,'Вводные'!$E$90),0)</x:f>
      </x:c>
      <x:c r="DD84" s="117" t="n">
        <x:f>IF(AND(DD$3&gt;=EDATE($B$75,-'Вводные'!$E$90),DD$3&lt;$B$75),$B$84/MAX(1,'Вводные'!$E$90),0)</x:f>
      </x:c>
      <x:c r="DE84" s="117" t="n">
        <x:f>IF(AND(DE$3&gt;=EDATE($B$75,-'Вводные'!$E$90),DE$3&lt;$B$75),$B$84/MAX(1,'Вводные'!$E$90),0)</x:f>
      </x:c>
      <x:c r="DF84" s="117" t="n">
        <x:f>IF(AND(DF$3&gt;=EDATE($B$75,-'Вводные'!$E$90),DF$3&lt;$B$75),$B$84/MAX(1,'Вводные'!$E$90),0)</x:f>
      </x:c>
      <x:c r="DG84" s="117" t="n">
        <x:f>IF(AND(DG$3&gt;=EDATE($B$75,-'Вводные'!$E$90),DG$3&lt;$B$75),$B$84/MAX(1,'Вводные'!$E$90),0)</x:f>
      </x:c>
      <x:c r="DH84" s="117" t="n">
        <x:f>IF(AND(DH$3&gt;=EDATE($B$75,-'Вводные'!$E$90),DH$3&lt;$B$75),$B$84/MAX(1,'Вводные'!$E$90),0)</x:f>
      </x:c>
      <x:c r="DI84" s="117" t="n">
        <x:f>IF(AND(DI$3&gt;=EDATE($B$75,-'Вводные'!$E$90),DI$3&lt;$B$75),$B$84/MAX(1,'Вводные'!$E$90),0)</x:f>
      </x:c>
      <x:c r="DJ84" s="117" t="n">
        <x:f>IF(AND(DJ$3&gt;=EDATE($B$75,-'Вводные'!$E$90),DJ$3&lt;$B$75),$B$84/MAX(1,'Вводные'!$E$90),0)</x:f>
      </x:c>
      <x:c r="DK84" s="117" t="n">
        <x:f>IF(AND(DK$3&gt;=EDATE($B$75,-'Вводные'!$E$90),DK$3&lt;$B$75),$B$84/MAX(1,'Вводные'!$E$90),0)</x:f>
      </x:c>
      <x:c r="DL84" s="117" t="n">
        <x:f>IF(AND(DL$3&gt;=EDATE($B$75,-'Вводные'!$E$90),DL$3&lt;$B$75),$B$84/MAX(1,'Вводные'!$E$90),0)</x:f>
      </x:c>
      <x:c r="DM84" s="117" t="n">
        <x:f>IF(AND(DM$3&gt;=EDATE($B$75,-'Вводные'!$E$90),DM$3&lt;$B$75),$B$84/MAX(1,'Вводные'!$E$90),0)</x:f>
      </x:c>
      <x:c r="DN84" s="117" t="n">
        <x:f>IF(AND(DN$3&gt;=EDATE($B$75,-'Вводные'!$E$90),DN$3&lt;$B$75),$B$84/MAX(1,'Вводные'!$E$90),0)</x:f>
      </x:c>
      <x:c r="DO84" s="117" t="n">
        <x:f>IF(AND(DO$3&gt;=EDATE($B$75,-'Вводные'!$E$90),DO$3&lt;$B$75),$B$84/MAX(1,'Вводные'!$E$90),0)</x:f>
      </x:c>
      <x:c r="DP84" s="117" t="n">
        <x:f>IF(AND(DP$3&gt;=EDATE($B$75,-'Вводные'!$E$90),DP$3&lt;$B$75),$B$84/MAX(1,'Вводные'!$E$90),0)</x:f>
      </x:c>
      <x:c r="DQ84" s="117" t="n">
        <x:f>IF(AND(DQ$3&gt;=EDATE($B$75,-'Вводные'!$E$90),DQ$3&lt;$B$75),$B$84/MAX(1,'Вводные'!$E$90),0)</x:f>
      </x:c>
      <x:c r="DR84" s="117" t="n">
        <x:f>IF(AND(DR$3&gt;=EDATE($B$75,-'Вводные'!$E$90),DR$3&lt;$B$75),$B$84/MAX(1,'Вводные'!$E$90),0)</x:f>
      </x:c>
      <x:c r="DS84" s="117" t="n">
        <x:f>IF(AND(DS$3&gt;=EDATE($B$75,-'Вводные'!$E$90),DS$3&lt;$B$75),$B$84/MAX(1,'Вводные'!$E$90),0)</x:f>
      </x:c>
    </x:row>
    <x:row r="85">
      <x:c r="A85" t="str">
        <x:v>Проектирование, стадия П</x:v>
      </x:c>
      <x:c r="B85" s="107" t="n">
        <x:f>(('Вводные'!$I$90+'Вводные'!$J$90+'Вводные'!$K$90)*'Вводные'!$B$41/1000*'Вводные'!$H$6*'Вводные'!$T$90*--('Вводные'!$B$90="Да"))*'Вводные'!$AH$90</x:f>
      </x:c>
      <x:c r="C85" t="str">
        <x:v>млн ₽</x:v>
      </x:c>
      <x:c r="D85" s="117" t="n">
        <x:f>IF(AND(D$3&gt;=EDATE($B$75,-MIN(6,'Вводные'!$E$90)),D$3&lt;$B$75),$B$85/MAX(1,MIN(6,'Вводные'!$E$90)),0)</x:f>
      </x:c>
      <x:c r="E85" s="117" t="n">
        <x:f>IF(AND(E$3&gt;=EDATE($B$75,-MIN(6,'Вводные'!$E$90)),E$3&lt;$B$75),$B$85/MAX(1,MIN(6,'Вводные'!$E$90)),0)</x:f>
      </x:c>
      <x:c r="F85" s="117" t="n">
        <x:f>IF(AND(F$3&gt;=EDATE($B$75,-MIN(6,'Вводные'!$E$90)),F$3&lt;$B$75),$B$85/MAX(1,MIN(6,'Вводные'!$E$90)),0)</x:f>
      </x:c>
      <x:c r="G85" s="117" t="n">
        <x:f>IF(AND(G$3&gt;=EDATE($B$75,-MIN(6,'Вводные'!$E$90)),G$3&lt;$B$75),$B$85/MAX(1,MIN(6,'Вводные'!$E$90)),0)</x:f>
      </x:c>
      <x:c r="H85" s="117" t="n">
        <x:f>IF(AND(H$3&gt;=EDATE($B$75,-MIN(6,'Вводные'!$E$90)),H$3&lt;$B$75),$B$85/MAX(1,MIN(6,'Вводные'!$E$90)),0)</x:f>
      </x:c>
      <x:c r="I85" s="117" t="n">
        <x:f>IF(AND(I$3&gt;=EDATE($B$75,-MIN(6,'Вводные'!$E$90)),I$3&lt;$B$75),$B$85/MAX(1,MIN(6,'Вводные'!$E$90)),0)</x:f>
      </x:c>
      <x:c r="J85" s="117" t="n">
        <x:f>IF(AND(J$3&gt;=EDATE($B$75,-MIN(6,'Вводные'!$E$90)),J$3&lt;$B$75),$B$85/MAX(1,MIN(6,'Вводные'!$E$90)),0)</x:f>
      </x:c>
      <x:c r="K85" s="117" t="n">
        <x:f>IF(AND(K$3&gt;=EDATE($B$75,-MIN(6,'Вводные'!$E$90)),K$3&lt;$B$75),$B$85/MAX(1,MIN(6,'Вводные'!$E$90)),0)</x:f>
      </x:c>
      <x:c r="L85" s="117" t="n">
        <x:f>IF(AND(L$3&gt;=EDATE($B$75,-MIN(6,'Вводные'!$E$90)),L$3&lt;$B$75),$B$85/MAX(1,MIN(6,'Вводные'!$E$90)),0)</x:f>
      </x:c>
      <x:c r="M85" s="117" t="n">
        <x:f>IF(AND(M$3&gt;=EDATE($B$75,-MIN(6,'Вводные'!$E$90)),M$3&lt;$B$75),$B$85/MAX(1,MIN(6,'Вводные'!$E$90)),0)</x:f>
      </x:c>
      <x:c r="N85" s="117" t="n">
        <x:f>IF(AND(N$3&gt;=EDATE($B$75,-MIN(6,'Вводные'!$E$90)),N$3&lt;$B$75),$B$85/MAX(1,MIN(6,'Вводные'!$E$90)),0)</x:f>
      </x:c>
      <x:c r="O85" s="117" t="n">
        <x:f>IF(AND(O$3&gt;=EDATE($B$75,-MIN(6,'Вводные'!$E$90)),O$3&lt;$B$75),$B$85/MAX(1,MIN(6,'Вводные'!$E$90)),0)</x:f>
      </x:c>
      <x:c r="P85" s="117" t="n">
        <x:f>IF(AND(P$3&gt;=EDATE($B$75,-MIN(6,'Вводные'!$E$90)),P$3&lt;$B$75),$B$85/MAX(1,MIN(6,'Вводные'!$E$90)),0)</x:f>
      </x:c>
      <x:c r="Q85" s="117" t="n">
        <x:f>IF(AND(Q$3&gt;=EDATE($B$75,-MIN(6,'Вводные'!$E$90)),Q$3&lt;$B$75),$B$85/MAX(1,MIN(6,'Вводные'!$E$90)),0)</x:f>
      </x:c>
      <x:c r="R85" s="117" t="n">
        <x:f>IF(AND(R$3&gt;=EDATE($B$75,-MIN(6,'Вводные'!$E$90)),R$3&lt;$B$75),$B$85/MAX(1,MIN(6,'Вводные'!$E$90)),0)</x:f>
      </x:c>
      <x:c r="S85" s="117" t="n">
        <x:f>IF(AND(S$3&gt;=EDATE($B$75,-MIN(6,'Вводные'!$E$90)),S$3&lt;$B$75),$B$85/MAX(1,MIN(6,'Вводные'!$E$90)),0)</x:f>
      </x:c>
      <x:c r="T85" s="117" t="n">
        <x:f>IF(AND(T$3&gt;=EDATE($B$75,-MIN(6,'Вводные'!$E$90)),T$3&lt;$B$75),$B$85/MAX(1,MIN(6,'Вводные'!$E$90)),0)</x:f>
      </x:c>
      <x:c r="U85" s="117" t="n">
        <x:f>IF(AND(U$3&gt;=EDATE($B$75,-MIN(6,'Вводные'!$E$90)),U$3&lt;$B$75),$B$85/MAX(1,MIN(6,'Вводные'!$E$90)),0)</x:f>
      </x:c>
      <x:c r="V85" s="117" t="n">
        <x:f>IF(AND(V$3&gt;=EDATE($B$75,-MIN(6,'Вводные'!$E$90)),V$3&lt;$B$75),$B$85/MAX(1,MIN(6,'Вводные'!$E$90)),0)</x:f>
      </x:c>
      <x:c r="W85" s="117" t="n">
        <x:f>IF(AND(W$3&gt;=EDATE($B$75,-MIN(6,'Вводные'!$E$90)),W$3&lt;$B$75),$B$85/MAX(1,MIN(6,'Вводные'!$E$90)),0)</x:f>
      </x:c>
      <x:c r="X85" s="117" t="n">
        <x:f>IF(AND(X$3&gt;=EDATE($B$75,-MIN(6,'Вводные'!$E$90)),X$3&lt;$B$75),$B$85/MAX(1,MIN(6,'Вводные'!$E$90)),0)</x:f>
      </x:c>
      <x:c r="Y85" s="117" t="n">
        <x:f>IF(AND(Y$3&gt;=EDATE($B$75,-MIN(6,'Вводные'!$E$90)),Y$3&lt;$B$75),$B$85/MAX(1,MIN(6,'Вводные'!$E$90)),0)</x:f>
      </x:c>
      <x:c r="Z85" s="117" t="n">
        <x:f>IF(AND(Z$3&gt;=EDATE($B$75,-MIN(6,'Вводные'!$E$90)),Z$3&lt;$B$75),$B$85/MAX(1,MIN(6,'Вводные'!$E$90)),0)</x:f>
      </x:c>
      <x:c r="AA85" s="117" t="n">
        <x:f>IF(AND(AA$3&gt;=EDATE($B$75,-MIN(6,'Вводные'!$E$90)),AA$3&lt;$B$75),$B$85/MAX(1,MIN(6,'Вводные'!$E$90)),0)</x:f>
      </x:c>
      <x:c r="AB85" s="117" t="n">
        <x:f>IF(AND(AB$3&gt;=EDATE($B$75,-MIN(6,'Вводные'!$E$90)),AB$3&lt;$B$75),$B$85/MAX(1,MIN(6,'Вводные'!$E$90)),0)</x:f>
      </x:c>
      <x:c r="AC85" s="117" t="n">
        <x:f>IF(AND(AC$3&gt;=EDATE($B$75,-MIN(6,'Вводные'!$E$90)),AC$3&lt;$B$75),$B$85/MAX(1,MIN(6,'Вводные'!$E$90)),0)</x:f>
      </x:c>
      <x:c r="AD85" s="117" t="n">
        <x:f>IF(AND(AD$3&gt;=EDATE($B$75,-MIN(6,'Вводные'!$E$90)),AD$3&lt;$B$75),$B$85/MAX(1,MIN(6,'Вводные'!$E$90)),0)</x:f>
      </x:c>
      <x:c r="AE85" s="117" t="n">
        <x:f>IF(AND(AE$3&gt;=EDATE($B$75,-MIN(6,'Вводные'!$E$90)),AE$3&lt;$B$75),$B$85/MAX(1,MIN(6,'Вводные'!$E$90)),0)</x:f>
      </x:c>
      <x:c r="AF85" s="117" t="n">
        <x:f>IF(AND(AF$3&gt;=EDATE($B$75,-MIN(6,'Вводные'!$E$90)),AF$3&lt;$B$75),$B$85/MAX(1,MIN(6,'Вводные'!$E$90)),0)</x:f>
      </x:c>
      <x:c r="AG85" s="117" t="n">
        <x:f>IF(AND(AG$3&gt;=EDATE($B$75,-MIN(6,'Вводные'!$E$90)),AG$3&lt;$B$75),$B$85/MAX(1,MIN(6,'Вводные'!$E$90)),0)</x:f>
      </x:c>
      <x:c r="AH85" s="117" t="n">
        <x:f>IF(AND(AH$3&gt;=EDATE($B$75,-MIN(6,'Вводные'!$E$90)),AH$3&lt;$B$75),$B$85/MAX(1,MIN(6,'Вводные'!$E$90)),0)</x:f>
      </x:c>
      <x:c r="AI85" s="117" t="n">
        <x:f>IF(AND(AI$3&gt;=EDATE($B$75,-MIN(6,'Вводные'!$E$90)),AI$3&lt;$B$75),$B$85/MAX(1,MIN(6,'Вводные'!$E$90)),0)</x:f>
      </x:c>
      <x:c r="AJ85" s="117" t="n">
        <x:f>IF(AND(AJ$3&gt;=EDATE($B$75,-MIN(6,'Вводные'!$E$90)),AJ$3&lt;$B$75),$B$85/MAX(1,MIN(6,'Вводные'!$E$90)),0)</x:f>
      </x:c>
      <x:c r="AK85" s="117" t="n">
        <x:f>IF(AND(AK$3&gt;=EDATE($B$75,-MIN(6,'Вводные'!$E$90)),AK$3&lt;$B$75),$B$85/MAX(1,MIN(6,'Вводные'!$E$90)),0)</x:f>
      </x:c>
      <x:c r="AL85" s="117" t="n">
        <x:f>IF(AND(AL$3&gt;=EDATE($B$75,-MIN(6,'Вводные'!$E$90)),AL$3&lt;$B$75),$B$85/MAX(1,MIN(6,'Вводные'!$E$90)),0)</x:f>
      </x:c>
      <x:c r="AM85" s="117" t="n">
        <x:f>IF(AND(AM$3&gt;=EDATE($B$75,-MIN(6,'Вводные'!$E$90)),AM$3&lt;$B$75),$B$85/MAX(1,MIN(6,'Вводные'!$E$90)),0)</x:f>
      </x:c>
      <x:c r="AN85" s="117" t="n">
        <x:f>IF(AND(AN$3&gt;=EDATE($B$75,-MIN(6,'Вводные'!$E$90)),AN$3&lt;$B$75),$B$85/MAX(1,MIN(6,'Вводные'!$E$90)),0)</x:f>
      </x:c>
      <x:c r="AO85" s="117" t="n">
        <x:f>IF(AND(AO$3&gt;=EDATE($B$75,-MIN(6,'Вводные'!$E$90)),AO$3&lt;$B$75),$B$85/MAX(1,MIN(6,'Вводные'!$E$90)),0)</x:f>
      </x:c>
      <x:c r="AP85" s="117" t="n">
        <x:f>IF(AND(AP$3&gt;=EDATE($B$75,-MIN(6,'Вводные'!$E$90)),AP$3&lt;$B$75),$B$85/MAX(1,MIN(6,'Вводные'!$E$90)),0)</x:f>
      </x:c>
      <x:c r="AQ85" s="117" t="n">
        <x:f>IF(AND(AQ$3&gt;=EDATE($B$75,-MIN(6,'Вводные'!$E$90)),AQ$3&lt;$B$75),$B$85/MAX(1,MIN(6,'Вводные'!$E$90)),0)</x:f>
      </x:c>
      <x:c r="AR85" s="117" t="n">
        <x:f>IF(AND(AR$3&gt;=EDATE($B$75,-MIN(6,'Вводные'!$E$90)),AR$3&lt;$B$75),$B$85/MAX(1,MIN(6,'Вводные'!$E$90)),0)</x:f>
      </x:c>
      <x:c r="AS85" s="117" t="n">
        <x:f>IF(AND(AS$3&gt;=EDATE($B$75,-MIN(6,'Вводные'!$E$90)),AS$3&lt;$B$75),$B$85/MAX(1,MIN(6,'Вводные'!$E$90)),0)</x:f>
      </x:c>
      <x:c r="AT85" s="117" t="n">
        <x:f>IF(AND(AT$3&gt;=EDATE($B$75,-MIN(6,'Вводные'!$E$90)),AT$3&lt;$B$75),$B$85/MAX(1,MIN(6,'Вводные'!$E$90)),0)</x:f>
      </x:c>
      <x:c r="AU85" s="117" t="n">
        <x:f>IF(AND(AU$3&gt;=EDATE($B$75,-MIN(6,'Вводные'!$E$90)),AU$3&lt;$B$75),$B$85/MAX(1,MIN(6,'Вводные'!$E$90)),0)</x:f>
      </x:c>
      <x:c r="AV85" s="117" t="n">
        <x:f>IF(AND(AV$3&gt;=EDATE($B$75,-MIN(6,'Вводные'!$E$90)),AV$3&lt;$B$75),$B$85/MAX(1,MIN(6,'Вводные'!$E$90)),0)</x:f>
      </x:c>
      <x:c r="AW85" s="117" t="n">
        <x:f>IF(AND(AW$3&gt;=EDATE($B$75,-MIN(6,'Вводные'!$E$90)),AW$3&lt;$B$75),$B$85/MAX(1,MIN(6,'Вводные'!$E$90)),0)</x:f>
      </x:c>
      <x:c r="AX85" s="117" t="n">
        <x:f>IF(AND(AX$3&gt;=EDATE($B$75,-MIN(6,'Вводные'!$E$90)),AX$3&lt;$B$75),$B$85/MAX(1,MIN(6,'Вводные'!$E$90)),0)</x:f>
      </x:c>
      <x:c r="AY85" s="117" t="n">
        <x:f>IF(AND(AY$3&gt;=EDATE($B$75,-MIN(6,'Вводные'!$E$90)),AY$3&lt;$B$75),$B$85/MAX(1,MIN(6,'Вводные'!$E$90)),0)</x:f>
      </x:c>
      <x:c r="AZ85" s="117" t="n">
        <x:f>IF(AND(AZ$3&gt;=EDATE($B$75,-MIN(6,'Вводные'!$E$90)),AZ$3&lt;$B$75),$B$85/MAX(1,MIN(6,'Вводные'!$E$90)),0)</x:f>
      </x:c>
      <x:c r="BA85" s="117" t="n">
        <x:f>IF(AND(BA$3&gt;=EDATE($B$75,-MIN(6,'Вводные'!$E$90)),BA$3&lt;$B$75),$B$85/MAX(1,MIN(6,'Вводные'!$E$90)),0)</x:f>
      </x:c>
      <x:c r="BB85" s="117" t="n">
        <x:f>IF(AND(BB$3&gt;=EDATE($B$75,-MIN(6,'Вводные'!$E$90)),BB$3&lt;$B$75),$B$85/MAX(1,MIN(6,'Вводные'!$E$90)),0)</x:f>
      </x:c>
      <x:c r="BC85" s="117" t="n">
        <x:f>IF(AND(BC$3&gt;=EDATE($B$75,-MIN(6,'Вводные'!$E$90)),BC$3&lt;$B$75),$B$85/MAX(1,MIN(6,'Вводные'!$E$90)),0)</x:f>
      </x:c>
      <x:c r="BD85" s="117" t="n">
        <x:f>IF(AND(BD$3&gt;=EDATE($B$75,-MIN(6,'Вводные'!$E$90)),BD$3&lt;$B$75),$B$85/MAX(1,MIN(6,'Вводные'!$E$90)),0)</x:f>
      </x:c>
      <x:c r="BE85" s="117" t="n">
        <x:f>IF(AND(BE$3&gt;=EDATE($B$75,-MIN(6,'Вводные'!$E$90)),BE$3&lt;$B$75),$B$85/MAX(1,MIN(6,'Вводные'!$E$90)),0)</x:f>
      </x:c>
      <x:c r="BF85" s="117" t="n">
        <x:f>IF(AND(BF$3&gt;=EDATE($B$75,-MIN(6,'Вводные'!$E$90)),BF$3&lt;$B$75),$B$85/MAX(1,MIN(6,'Вводные'!$E$90)),0)</x:f>
      </x:c>
      <x:c r="BG85" s="117" t="n">
        <x:f>IF(AND(BG$3&gt;=EDATE($B$75,-MIN(6,'Вводные'!$E$90)),BG$3&lt;$B$75),$B$85/MAX(1,MIN(6,'Вводные'!$E$90)),0)</x:f>
      </x:c>
      <x:c r="BH85" s="117" t="n">
        <x:f>IF(AND(BH$3&gt;=EDATE($B$75,-MIN(6,'Вводные'!$E$90)),BH$3&lt;$B$75),$B$85/MAX(1,MIN(6,'Вводные'!$E$90)),0)</x:f>
      </x:c>
      <x:c r="BI85" s="117" t="n">
        <x:f>IF(AND(BI$3&gt;=EDATE($B$75,-MIN(6,'Вводные'!$E$90)),BI$3&lt;$B$75),$B$85/MAX(1,MIN(6,'Вводные'!$E$90)),0)</x:f>
      </x:c>
      <x:c r="BJ85" s="117" t="n">
        <x:f>IF(AND(BJ$3&gt;=EDATE($B$75,-MIN(6,'Вводные'!$E$90)),BJ$3&lt;$B$75),$B$85/MAX(1,MIN(6,'Вводные'!$E$90)),0)</x:f>
      </x:c>
      <x:c r="BK85" s="117" t="n">
        <x:f>IF(AND(BK$3&gt;=EDATE($B$75,-MIN(6,'Вводные'!$E$90)),BK$3&lt;$B$75),$B$85/MAX(1,MIN(6,'Вводные'!$E$90)),0)</x:f>
      </x:c>
      <x:c r="BL85" s="117" t="n">
        <x:f>IF(AND(BL$3&gt;=EDATE($B$75,-MIN(6,'Вводные'!$E$90)),BL$3&lt;$B$75),$B$85/MAX(1,MIN(6,'Вводные'!$E$90)),0)</x:f>
      </x:c>
      <x:c r="BM85" s="117" t="n">
        <x:f>IF(AND(BM$3&gt;=EDATE($B$75,-MIN(6,'Вводные'!$E$90)),BM$3&lt;$B$75),$B$85/MAX(1,MIN(6,'Вводные'!$E$90)),0)</x:f>
      </x:c>
      <x:c r="BN85" s="117" t="n">
        <x:f>IF(AND(BN$3&gt;=EDATE($B$75,-MIN(6,'Вводные'!$E$90)),BN$3&lt;$B$75),$B$85/MAX(1,MIN(6,'Вводные'!$E$90)),0)</x:f>
      </x:c>
      <x:c r="BO85" s="117" t="n">
        <x:f>IF(AND(BO$3&gt;=EDATE($B$75,-MIN(6,'Вводные'!$E$90)),BO$3&lt;$B$75),$B$85/MAX(1,MIN(6,'Вводные'!$E$90)),0)</x:f>
      </x:c>
      <x:c r="BP85" s="117" t="n">
        <x:f>IF(AND(BP$3&gt;=EDATE($B$75,-MIN(6,'Вводные'!$E$90)),BP$3&lt;$B$75),$B$85/MAX(1,MIN(6,'Вводные'!$E$90)),0)</x:f>
      </x:c>
      <x:c r="BQ85" s="117" t="n">
        <x:f>IF(AND(BQ$3&gt;=EDATE($B$75,-MIN(6,'Вводные'!$E$90)),BQ$3&lt;$B$75),$B$85/MAX(1,MIN(6,'Вводные'!$E$90)),0)</x:f>
      </x:c>
      <x:c r="BR85" s="117" t="n">
        <x:f>IF(AND(BR$3&gt;=EDATE($B$75,-MIN(6,'Вводные'!$E$90)),BR$3&lt;$B$75),$B$85/MAX(1,MIN(6,'Вводные'!$E$90)),0)</x:f>
      </x:c>
      <x:c r="BS85" s="117" t="n">
        <x:f>IF(AND(BS$3&gt;=EDATE($B$75,-MIN(6,'Вводные'!$E$90)),BS$3&lt;$B$75),$B$85/MAX(1,MIN(6,'Вводные'!$E$90)),0)</x:f>
      </x:c>
      <x:c r="BT85" s="117" t="n">
        <x:f>IF(AND(BT$3&gt;=EDATE($B$75,-MIN(6,'Вводные'!$E$90)),BT$3&lt;$B$75),$B$85/MAX(1,MIN(6,'Вводные'!$E$90)),0)</x:f>
      </x:c>
      <x:c r="BU85" s="117" t="n">
        <x:f>IF(AND(BU$3&gt;=EDATE($B$75,-MIN(6,'Вводные'!$E$90)),BU$3&lt;$B$75),$B$85/MAX(1,MIN(6,'Вводные'!$E$90)),0)</x:f>
      </x:c>
      <x:c r="BV85" s="117" t="n">
        <x:f>IF(AND(BV$3&gt;=EDATE($B$75,-MIN(6,'Вводные'!$E$90)),BV$3&lt;$B$75),$B$85/MAX(1,MIN(6,'Вводные'!$E$90)),0)</x:f>
      </x:c>
      <x:c r="BW85" s="117" t="n">
        <x:f>IF(AND(BW$3&gt;=EDATE($B$75,-MIN(6,'Вводные'!$E$90)),BW$3&lt;$B$75),$B$85/MAX(1,MIN(6,'Вводные'!$E$90)),0)</x:f>
      </x:c>
      <x:c r="BX85" s="117" t="n">
        <x:f>IF(AND(BX$3&gt;=EDATE($B$75,-MIN(6,'Вводные'!$E$90)),BX$3&lt;$B$75),$B$85/MAX(1,MIN(6,'Вводные'!$E$90)),0)</x:f>
      </x:c>
      <x:c r="BY85" s="117" t="n">
        <x:f>IF(AND(BY$3&gt;=EDATE($B$75,-MIN(6,'Вводные'!$E$90)),BY$3&lt;$B$75),$B$85/MAX(1,MIN(6,'Вводные'!$E$90)),0)</x:f>
      </x:c>
      <x:c r="BZ85" s="117" t="n">
        <x:f>IF(AND(BZ$3&gt;=EDATE($B$75,-MIN(6,'Вводные'!$E$90)),BZ$3&lt;$B$75),$B$85/MAX(1,MIN(6,'Вводные'!$E$90)),0)</x:f>
      </x:c>
      <x:c r="CA85" s="117" t="n">
        <x:f>IF(AND(CA$3&gt;=EDATE($B$75,-MIN(6,'Вводные'!$E$90)),CA$3&lt;$B$75),$B$85/MAX(1,MIN(6,'Вводные'!$E$90)),0)</x:f>
      </x:c>
      <x:c r="CB85" s="117" t="n">
        <x:f>IF(AND(CB$3&gt;=EDATE($B$75,-MIN(6,'Вводные'!$E$90)),CB$3&lt;$B$75),$B$85/MAX(1,MIN(6,'Вводные'!$E$90)),0)</x:f>
      </x:c>
      <x:c r="CC85" s="117" t="n">
        <x:f>IF(AND(CC$3&gt;=EDATE($B$75,-MIN(6,'Вводные'!$E$90)),CC$3&lt;$B$75),$B$85/MAX(1,MIN(6,'Вводные'!$E$90)),0)</x:f>
      </x:c>
      <x:c r="CD85" s="117" t="n">
        <x:f>IF(AND(CD$3&gt;=EDATE($B$75,-MIN(6,'Вводные'!$E$90)),CD$3&lt;$B$75),$B$85/MAX(1,MIN(6,'Вводные'!$E$90)),0)</x:f>
      </x:c>
      <x:c r="CE85" s="117" t="n">
        <x:f>IF(AND(CE$3&gt;=EDATE($B$75,-MIN(6,'Вводные'!$E$90)),CE$3&lt;$B$75),$B$85/MAX(1,MIN(6,'Вводные'!$E$90)),0)</x:f>
      </x:c>
      <x:c r="CF85" s="117" t="n">
        <x:f>IF(AND(CF$3&gt;=EDATE($B$75,-MIN(6,'Вводные'!$E$90)),CF$3&lt;$B$75),$B$85/MAX(1,MIN(6,'Вводные'!$E$90)),0)</x:f>
      </x:c>
      <x:c r="CG85" s="117" t="n">
        <x:f>IF(AND(CG$3&gt;=EDATE($B$75,-MIN(6,'Вводные'!$E$90)),CG$3&lt;$B$75),$B$85/MAX(1,MIN(6,'Вводные'!$E$90)),0)</x:f>
      </x:c>
      <x:c r="CH85" s="117" t="n">
        <x:f>IF(AND(CH$3&gt;=EDATE($B$75,-MIN(6,'Вводные'!$E$90)),CH$3&lt;$B$75),$B$85/MAX(1,MIN(6,'Вводные'!$E$90)),0)</x:f>
      </x:c>
      <x:c r="CI85" s="117" t="n">
        <x:f>IF(AND(CI$3&gt;=EDATE($B$75,-MIN(6,'Вводные'!$E$90)),CI$3&lt;$B$75),$B$85/MAX(1,MIN(6,'Вводные'!$E$90)),0)</x:f>
      </x:c>
      <x:c r="CJ85" s="117" t="n">
        <x:f>IF(AND(CJ$3&gt;=EDATE($B$75,-MIN(6,'Вводные'!$E$90)),CJ$3&lt;$B$75),$B$85/MAX(1,MIN(6,'Вводные'!$E$90)),0)</x:f>
      </x:c>
      <x:c r="CK85" s="117" t="n">
        <x:f>IF(AND(CK$3&gt;=EDATE($B$75,-MIN(6,'Вводные'!$E$90)),CK$3&lt;$B$75),$B$85/MAX(1,MIN(6,'Вводные'!$E$90)),0)</x:f>
      </x:c>
      <x:c r="CL85" s="117" t="n">
        <x:f>IF(AND(CL$3&gt;=EDATE($B$75,-MIN(6,'Вводные'!$E$90)),CL$3&lt;$B$75),$B$85/MAX(1,MIN(6,'Вводные'!$E$90)),0)</x:f>
      </x:c>
      <x:c r="CM85" s="117" t="n">
        <x:f>IF(AND(CM$3&gt;=EDATE($B$75,-MIN(6,'Вводные'!$E$90)),CM$3&lt;$B$75),$B$85/MAX(1,MIN(6,'Вводные'!$E$90)),0)</x:f>
      </x:c>
      <x:c r="CN85" s="117" t="n">
        <x:f>IF(AND(CN$3&gt;=EDATE($B$75,-MIN(6,'Вводные'!$E$90)),CN$3&lt;$B$75),$B$85/MAX(1,MIN(6,'Вводные'!$E$90)),0)</x:f>
      </x:c>
      <x:c r="CO85" s="117" t="n">
        <x:f>IF(AND(CO$3&gt;=EDATE($B$75,-MIN(6,'Вводные'!$E$90)),CO$3&lt;$B$75),$B$85/MAX(1,MIN(6,'Вводные'!$E$90)),0)</x:f>
      </x:c>
      <x:c r="CP85" s="117" t="n">
        <x:f>IF(AND(CP$3&gt;=EDATE($B$75,-MIN(6,'Вводные'!$E$90)),CP$3&lt;$B$75),$B$85/MAX(1,MIN(6,'Вводные'!$E$90)),0)</x:f>
      </x:c>
      <x:c r="CQ85" s="117" t="n">
        <x:f>IF(AND(CQ$3&gt;=EDATE($B$75,-MIN(6,'Вводные'!$E$90)),CQ$3&lt;$B$75),$B$85/MAX(1,MIN(6,'Вводные'!$E$90)),0)</x:f>
      </x:c>
      <x:c r="CR85" s="117" t="n">
        <x:f>IF(AND(CR$3&gt;=EDATE($B$75,-MIN(6,'Вводные'!$E$90)),CR$3&lt;$B$75),$B$85/MAX(1,MIN(6,'Вводные'!$E$90)),0)</x:f>
      </x:c>
      <x:c r="CS85" s="117" t="n">
        <x:f>IF(AND(CS$3&gt;=EDATE($B$75,-MIN(6,'Вводные'!$E$90)),CS$3&lt;$B$75),$B$85/MAX(1,MIN(6,'Вводные'!$E$90)),0)</x:f>
      </x:c>
      <x:c r="CT85" s="117" t="n">
        <x:f>IF(AND(CT$3&gt;=EDATE($B$75,-MIN(6,'Вводные'!$E$90)),CT$3&lt;$B$75),$B$85/MAX(1,MIN(6,'Вводные'!$E$90)),0)</x:f>
      </x:c>
      <x:c r="CU85" s="117" t="n">
        <x:f>IF(AND(CU$3&gt;=EDATE($B$75,-MIN(6,'Вводные'!$E$90)),CU$3&lt;$B$75),$B$85/MAX(1,MIN(6,'Вводные'!$E$90)),0)</x:f>
      </x:c>
      <x:c r="CV85" s="117" t="n">
        <x:f>IF(AND(CV$3&gt;=EDATE($B$75,-MIN(6,'Вводные'!$E$90)),CV$3&lt;$B$75),$B$85/MAX(1,MIN(6,'Вводные'!$E$90)),0)</x:f>
      </x:c>
      <x:c r="CW85" s="117" t="n">
        <x:f>IF(AND(CW$3&gt;=EDATE($B$75,-MIN(6,'Вводные'!$E$90)),CW$3&lt;$B$75),$B$85/MAX(1,MIN(6,'Вводные'!$E$90)),0)</x:f>
      </x:c>
      <x:c r="CX85" s="117" t="n">
        <x:f>IF(AND(CX$3&gt;=EDATE($B$75,-MIN(6,'Вводные'!$E$90)),CX$3&lt;$B$75),$B$85/MAX(1,MIN(6,'Вводные'!$E$90)),0)</x:f>
      </x:c>
      <x:c r="CY85" s="117" t="n">
        <x:f>IF(AND(CY$3&gt;=EDATE($B$75,-MIN(6,'Вводные'!$E$90)),CY$3&lt;$B$75),$B$85/MAX(1,MIN(6,'Вводные'!$E$90)),0)</x:f>
      </x:c>
      <x:c r="CZ85" s="117" t="n">
        <x:f>IF(AND(CZ$3&gt;=EDATE($B$75,-MIN(6,'Вводные'!$E$90)),CZ$3&lt;$B$75),$B$85/MAX(1,MIN(6,'Вводные'!$E$90)),0)</x:f>
      </x:c>
      <x:c r="DA85" s="117" t="n">
        <x:f>IF(AND(DA$3&gt;=EDATE($B$75,-MIN(6,'Вводные'!$E$90)),DA$3&lt;$B$75),$B$85/MAX(1,MIN(6,'Вводные'!$E$90)),0)</x:f>
      </x:c>
      <x:c r="DB85" s="117" t="n">
        <x:f>IF(AND(DB$3&gt;=EDATE($B$75,-MIN(6,'Вводные'!$E$90)),DB$3&lt;$B$75),$B$85/MAX(1,MIN(6,'Вводные'!$E$90)),0)</x:f>
      </x:c>
      <x:c r="DC85" s="117" t="n">
        <x:f>IF(AND(DC$3&gt;=EDATE($B$75,-MIN(6,'Вводные'!$E$90)),DC$3&lt;$B$75),$B$85/MAX(1,MIN(6,'Вводные'!$E$90)),0)</x:f>
      </x:c>
      <x:c r="DD85" s="117" t="n">
        <x:f>IF(AND(DD$3&gt;=EDATE($B$75,-MIN(6,'Вводные'!$E$90)),DD$3&lt;$B$75),$B$85/MAX(1,MIN(6,'Вводные'!$E$90)),0)</x:f>
      </x:c>
      <x:c r="DE85" s="117" t="n">
        <x:f>IF(AND(DE$3&gt;=EDATE($B$75,-MIN(6,'Вводные'!$E$90)),DE$3&lt;$B$75),$B$85/MAX(1,MIN(6,'Вводные'!$E$90)),0)</x:f>
      </x:c>
      <x:c r="DF85" s="117" t="n">
        <x:f>IF(AND(DF$3&gt;=EDATE($B$75,-MIN(6,'Вводные'!$E$90)),DF$3&lt;$B$75),$B$85/MAX(1,MIN(6,'Вводные'!$E$90)),0)</x:f>
      </x:c>
      <x:c r="DG85" s="117" t="n">
        <x:f>IF(AND(DG$3&gt;=EDATE($B$75,-MIN(6,'Вводные'!$E$90)),DG$3&lt;$B$75),$B$85/MAX(1,MIN(6,'Вводные'!$E$90)),0)</x:f>
      </x:c>
      <x:c r="DH85" s="117" t="n">
        <x:f>IF(AND(DH$3&gt;=EDATE($B$75,-MIN(6,'Вводные'!$E$90)),DH$3&lt;$B$75),$B$85/MAX(1,MIN(6,'Вводные'!$E$90)),0)</x:f>
      </x:c>
      <x:c r="DI85" s="117" t="n">
        <x:f>IF(AND(DI$3&gt;=EDATE($B$75,-MIN(6,'Вводные'!$E$90)),DI$3&lt;$B$75),$B$85/MAX(1,MIN(6,'Вводные'!$E$90)),0)</x:f>
      </x:c>
      <x:c r="DJ85" s="117" t="n">
        <x:f>IF(AND(DJ$3&gt;=EDATE($B$75,-MIN(6,'Вводные'!$E$90)),DJ$3&lt;$B$75),$B$85/MAX(1,MIN(6,'Вводные'!$E$90)),0)</x:f>
      </x:c>
      <x:c r="DK85" s="117" t="n">
        <x:f>IF(AND(DK$3&gt;=EDATE($B$75,-MIN(6,'Вводные'!$E$90)),DK$3&lt;$B$75),$B$85/MAX(1,MIN(6,'Вводные'!$E$90)),0)</x:f>
      </x:c>
      <x:c r="DL85" s="117" t="n">
        <x:f>IF(AND(DL$3&gt;=EDATE($B$75,-MIN(6,'Вводные'!$E$90)),DL$3&lt;$B$75),$B$85/MAX(1,MIN(6,'Вводные'!$E$90)),0)</x:f>
      </x:c>
      <x:c r="DM85" s="117" t="n">
        <x:f>IF(AND(DM$3&gt;=EDATE($B$75,-MIN(6,'Вводные'!$E$90)),DM$3&lt;$B$75),$B$85/MAX(1,MIN(6,'Вводные'!$E$90)),0)</x:f>
      </x:c>
      <x:c r="DN85" s="117" t="n">
        <x:f>IF(AND(DN$3&gt;=EDATE($B$75,-MIN(6,'Вводные'!$E$90)),DN$3&lt;$B$75),$B$85/MAX(1,MIN(6,'Вводные'!$E$90)),0)</x:f>
      </x:c>
      <x:c r="DO85" s="117" t="n">
        <x:f>IF(AND(DO$3&gt;=EDATE($B$75,-MIN(6,'Вводные'!$E$90)),DO$3&lt;$B$75),$B$85/MAX(1,MIN(6,'Вводные'!$E$90)),0)</x:f>
      </x:c>
      <x:c r="DP85" s="117" t="n">
        <x:f>IF(AND(DP$3&gt;=EDATE($B$75,-MIN(6,'Вводные'!$E$90)),DP$3&lt;$B$75),$B$85/MAX(1,MIN(6,'Вводные'!$E$90)),0)</x:f>
      </x:c>
      <x:c r="DQ85" s="117" t="n">
        <x:f>IF(AND(DQ$3&gt;=EDATE($B$75,-MIN(6,'Вводные'!$E$90)),DQ$3&lt;$B$75),$B$85/MAX(1,MIN(6,'Вводные'!$E$90)),0)</x:f>
      </x:c>
      <x:c r="DR85" s="117" t="n">
        <x:f>IF(AND(DR$3&gt;=EDATE($B$75,-MIN(6,'Вводные'!$E$90)),DR$3&lt;$B$75),$B$85/MAX(1,MIN(6,'Вводные'!$E$90)),0)</x:f>
      </x:c>
      <x:c r="DS85" s="117" t="n">
        <x:f>IF(AND(DS$3&gt;=EDATE($B$75,-MIN(6,'Вводные'!$E$90)),DS$3&lt;$B$75),$B$85/MAX(1,MIN(6,'Вводные'!$E$90)),0)</x:f>
      </x:c>
    </x:row>
    <x:row r="86">
      <x:c r="A86" t="str">
        <x:v>Проектирование, стадия РД</x:v>
      </x:c>
      <x:c r="B86" s="107" t="n">
        <x:f>(('Вводные'!$I$90+'Вводные'!$J$90+'Вводные'!$K$90)*'Вводные'!$B$42/1000*'Вводные'!$H$6*'Вводные'!$T$90*--('Вводные'!$B$90="Да"))*'Вводные'!$AH$90</x:f>
      </x:c>
      <x:c r="C86" t="str">
        <x:v>млн ₽</x:v>
      </x:c>
      <x:c r="D86" s="117" t="n">
        <x:f>IF(AND(D$3&gt;=EDATE($B$75,-MIN(6,'Вводные'!$E$90)),D$3&lt;$B$75),$B$86/MAX(1,MIN(6,'Вводные'!$E$90)),0)</x:f>
      </x:c>
      <x:c r="E86" s="117" t="n">
        <x:f>IF(AND(E$3&gt;=EDATE($B$75,-MIN(6,'Вводные'!$E$90)),E$3&lt;$B$75),$B$86/MAX(1,MIN(6,'Вводные'!$E$90)),0)</x:f>
      </x:c>
      <x:c r="F86" s="117" t="n">
        <x:f>IF(AND(F$3&gt;=EDATE($B$75,-MIN(6,'Вводные'!$E$90)),F$3&lt;$B$75),$B$86/MAX(1,MIN(6,'Вводные'!$E$90)),0)</x:f>
      </x:c>
      <x:c r="G86" s="117" t="n">
        <x:f>IF(AND(G$3&gt;=EDATE($B$75,-MIN(6,'Вводные'!$E$90)),G$3&lt;$B$75),$B$86/MAX(1,MIN(6,'Вводные'!$E$90)),0)</x:f>
      </x:c>
      <x:c r="H86" s="117" t="n">
        <x:f>IF(AND(H$3&gt;=EDATE($B$75,-MIN(6,'Вводные'!$E$90)),H$3&lt;$B$75),$B$86/MAX(1,MIN(6,'Вводные'!$E$90)),0)</x:f>
      </x:c>
      <x:c r="I86" s="117" t="n">
        <x:f>IF(AND(I$3&gt;=EDATE($B$75,-MIN(6,'Вводные'!$E$90)),I$3&lt;$B$75),$B$86/MAX(1,MIN(6,'Вводные'!$E$90)),0)</x:f>
      </x:c>
      <x:c r="J86" s="117" t="n">
        <x:f>IF(AND(J$3&gt;=EDATE($B$75,-MIN(6,'Вводные'!$E$90)),J$3&lt;$B$75),$B$86/MAX(1,MIN(6,'Вводные'!$E$90)),0)</x:f>
      </x:c>
      <x:c r="K86" s="117" t="n">
        <x:f>IF(AND(K$3&gt;=EDATE($B$75,-MIN(6,'Вводные'!$E$90)),K$3&lt;$B$75),$B$86/MAX(1,MIN(6,'Вводные'!$E$90)),0)</x:f>
      </x:c>
      <x:c r="L86" s="117" t="n">
        <x:f>IF(AND(L$3&gt;=EDATE($B$75,-MIN(6,'Вводные'!$E$90)),L$3&lt;$B$75),$B$86/MAX(1,MIN(6,'Вводные'!$E$90)),0)</x:f>
      </x:c>
      <x:c r="M86" s="117" t="n">
        <x:f>IF(AND(M$3&gt;=EDATE($B$75,-MIN(6,'Вводные'!$E$90)),M$3&lt;$B$75),$B$86/MAX(1,MIN(6,'Вводные'!$E$90)),0)</x:f>
      </x:c>
      <x:c r="N86" s="117" t="n">
        <x:f>IF(AND(N$3&gt;=EDATE($B$75,-MIN(6,'Вводные'!$E$90)),N$3&lt;$B$75),$B$86/MAX(1,MIN(6,'Вводные'!$E$90)),0)</x:f>
      </x:c>
      <x:c r="O86" s="117" t="n">
        <x:f>IF(AND(O$3&gt;=EDATE($B$75,-MIN(6,'Вводные'!$E$90)),O$3&lt;$B$75),$B$86/MAX(1,MIN(6,'Вводные'!$E$90)),0)</x:f>
      </x:c>
      <x:c r="P86" s="117" t="n">
        <x:f>IF(AND(P$3&gt;=EDATE($B$75,-MIN(6,'Вводные'!$E$90)),P$3&lt;$B$75),$B$86/MAX(1,MIN(6,'Вводные'!$E$90)),0)</x:f>
      </x:c>
      <x:c r="Q86" s="117" t="n">
        <x:f>IF(AND(Q$3&gt;=EDATE($B$75,-MIN(6,'Вводные'!$E$90)),Q$3&lt;$B$75),$B$86/MAX(1,MIN(6,'Вводные'!$E$90)),0)</x:f>
      </x:c>
      <x:c r="R86" s="117" t="n">
        <x:f>IF(AND(R$3&gt;=EDATE($B$75,-MIN(6,'Вводные'!$E$90)),R$3&lt;$B$75),$B$86/MAX(1,MIN(6,'Вводные'!$E$90)),0)</x:f>
      </x:c>
      <x:c r="S86" s="117" t="n">
        <x:f>IF(AND(S$3&gt;=EDATE($B$75,-MIN(6,'Вводные'!$E$90)),S$3&lt;$B$75),$B$86/MAX(1,MIN(6,'Вводные'!$E$90)),0)</x:f>
      </x:c>
      <x:c r="T86" s="117" t="n">
        <x:f>IF(AND(T$3&gt;=EDATE($B$75,-MIN(6,'Вводные'!$E$90)),T$3&lt;$B$75),$B$86/MAX(1,MIN(6,'Вводные'!$E$90)),0)</x:f>
      </x:c>
      <x:c r="U86" s="117" t="n">
        <x:f>IF(AND(U$3&gt;=EDATE($B$75,-MIN(6,'Вводные'!$E$90)),U$3&lt;$B$75),$B$86/MAX(1,MIN(6,'Вводные'!$E$90)),0)</x:f>
      </x:c>
      <x:c r="V86" s="117" t="n">
        <x:f>IF(AND(V$3&gt;=EDATE($B$75,-MIN(6,'Вводные'!$E$90)),V$3&lt;$B$75),$B$86/MAX(1,MIN(6,'Вводные'!$E$90)),0)</x:f>
      </x:c>
      <x:c r="W86" s="117" t="n">
        <x:f>IF(AND(W$3&gt;=EDATE($B$75,-MIN(6,'Вводные'!$E$90)),W$3&lt;$B$75),$B$86/MAX(1,MIN(6,'Вводные'!$E$90)),0)</x:f>
      </x:c>
      <x:c r="X86" s="117" t="n">
        <x:f>IF(AND(X$3&gt;=EDATE($B$75,-MIN(6,'Вводные'!$E$90)),X$3&lt;$B$75),$B$86/MAX(1,MIN(6,'Вводные'!$E$90)),0)</x:f>
      </x:c>
      <x:c r="Y86" s="117" t="n">
        <x:f>IF(AND(Y$3&gt;=EDATE($B$75,-MIN(6,'Вводные'!$E$90)),Y$3&lt;$B$75),$B$86/MAX(1,MIN(6,'Вводные'!$E$90)),0)</x:f>
      </x:c>
      <x:c r="Z86" s="117" t="n">
        <x:f>IF(AND(Z$3&gt;=EDATE($B$75,-MIN(6,'Вводные'!$E$90)),Z$3&lt;$B$75),$B$86/MAX(1,MIN(6,'Вводные'!$E$90)),0)</x:f>
      </x:c>
      <x:c r="AA86" s="117" t="n">
        <x:f>IF(AND(AA$3&gt;=EDATE($B$75,-MIN(6,'Вводные'!$E$90)),AA$3&lt;$B$75),$B$86/MAX(1,MIN(6,'Вводные'!$E$90)),0)</x:f>
      </x:c>
      <x:c r="AB86" s="117" t="n">
        <x:f>IF(AND(AB$3&gt;=EDATE($B$75,-MIN(6,'Вводные'!$E$90)),AB$3&lt;$B$75),$B$86/MAX(1,MIN(6,'Вводные'!$E$90)),0)</x:f>
      </x:c>
      <x:c r="AC86" s="117" t="n">
        <x:f>IF(AND(AC$3&gt;=EDATE($B$75,-MIN(6,'Вводные'!$E$90)),AC$3&lt;$B$75),$B$86/MAX(1,MIN(6,'Вводные'!$E$90)),0)</x:f>
      </x:c>
      <x:c r="AD86" s="117" t="n">
        <x:f>IF(AND(AD$3&gt;=EDATE($B$75,-MIN(6,'Вводные'!$E$90)),AD$3&lt;$B$75),$B$86/MAX(1,MIN(6,'Вводные'!$E$90)),0)</x:f>
      </x:c>
      <x:c r="AE86" s="117" t="n">
        <x:f>IF(AND(AE$3&gt;=EDATE($B$75,-MIN(6,'Вводные'!$E$90)),AE$3&lt;$B$75),$B$86/MAX(1,MIN(6,'Вводные'!$E$90)),0)</x:f>
      </x:c>
      <x:c r="AF86" s="117" t="n">
        <x:f>IF(AND(AF$3&gt;=EDATE($B$75,-MIN(6,'Вводные'!$E$90)),AF$3&lt;$B$75),$B$86/MAX(1,MIN(6,'Вводные'!$E$90)),0)</x:f>
      </x:c>
      <x:c r="AG86" s="117" t="n">
        <x:f>IF(AND(AG$3&gt;=EDATE($B$75,-MIN(6,'Вводные'!$E$90)),AG$3&lt;$B$75),$B$86/MAX(1,MIN(6,'Вводные'!$E$90)),0)</x:f>
      </x:c>
      <x:c r="AH86" s="117" t="n">
        <x:f>IF(AND(AH$3&gt;=EDATE($B$75,-MIN(6,'Вводные'!$E$90)),AH$3&lt;$B$75),$B$86/MAX(1,MIN(6,'Вводные'!$E$90)),0)</x:f>
      </x:c>
      <x:c r="AI86" s="117" t="n">
        <x:f>IF(AND(AI$3&gt;=EDATE($B$75,-MIN(6,'Вводные'!$E$90)),AI$3&lt;$B$75),$B$86/MAX(1,MIN(6,'Вводные'!$E$90)),0)</x:f>
      </x:c>
      <x:c r="AJ86" s="117" t="n">
        <x:f>IF(AND(AJ$3&gt;=EDATE($B$75,-MIN(6,'Вводные'!$E$90)),AJ$3&lt;$B$75),$B$86/MAX(1,MIN(6,'Вводные'!$E$90)),0)</x:f>
      </x:c>
      <x:c r="AK86" s="117" t="n">
        <x:f>IF(AND(AK$3&gt;=EDATE($B$75,-MIN(6,'Вводные'!$E$90)),AK$3&lt;$B$75),$B$86/MAX(1,MIN(6,'Вводные'!$E$90)),0)</x:f>
      </x:c>
      <x:c r="AL86" s="117" t="n">
        <x:f>IF(AND(AL$3&gt;=EDATE($B$75,-MIN(6,'Вводные'!$E$90)),AL$3&lt;$B$75),$B$86/MAX(1,MIN(6,'Вводные'!$E$90)),0)</x:f>
      </x:c>
      <x:c r="AM86" s="117" t="n">
        <x:f>IF(AND(AM$3&gt;=EDATE($B$75,-MIN(6,'Вводные'!$E$90)),AM$3&lt;$B$75),$B$86/MAX(1,MIN(6,'Вводные'!$E$90)),0)</x:f>
      </x:c>
      <x:c r="AN86" s="117" t="n">
        <x:f>IF(AND(AN$3&gt;=EDATE($B$75,-MIN(6,'Вводные'!$E$90)),AN$3&lt;$B$75),$B$86/MAX(1,MIN(6,'Вводные'!$E$90)),0)</x:f>
      </x:c>
      <x:c r="AO86" s="117" t="n">
        <x:f>IF(AND(AO$3&gt;=EDATE($B$75,-MIN(6,'Вводные'!$E$90)),AO$3&lt;$B$75),$B$86/MAX(1,MIN(6,'Вводные'!$E$90)),0)</x:f>
      </x:c>
      <x:c r="AP86" s="117" t="n">
        <x:f>IF(AND(AP$3&gt;=EDATE($B$75,-MIN(6,'Вводные'!$E$90)),AP$3&lt;$B$75),$B$86/MAX(1,MIN(6,'Вводные'!$E$90)),0)</x:f>
      </x:c>
      <x:c r="AQ86" s="117" t="n">
        <x:f>IF(AND(AQ$3&gt;=EDATE($B$75,-MIN(6,'Вводные'!$E$90)),AQ$3&lt;$B$75),$B$86/MAX(1,MIN(6,'Вводные'!$E$90)),0)</x:f>
      </x:c>
      <x:c r="AR86" s="117" t="n">
        <x:f>IF(AND(AR$3&gt;=EDATE($B$75,-MIN(6,'Вводные'!$E$90)),AR$3&lt;$B$75),$B$86/MAX(1,MIN(6,'Вводные'!$E$90)),0)</x:f>
      </x:c>
      <x:c r="AS86" s="117" t="n">
        <x:f>IF(AND(AS$3&gt;=EDATE($B$75,-MIN(6,'Вводные'!$E$90)),AS$3&lt;$B$75),$B$86/MAX(1,MIN(6,'Вводные'!$E$90)),0)</x:f>
      </x:c>
      <x:c r="AT86" s="117" t="n">
        <x:f>IF(AND(AT$3&gt;=EDATE($B$75,-MIN(6,'Вводные'!$E$90)),AT$3&lt;$B$75),$B$86/MAX(1,MIN(6,'Вводные'!$E$90)),0)</x:f>
      </x:c>
      <x:c r="AU86" s="117" t="n">
        <x:f>IF(AND(AU$3&gt;=EDATE($B$75,-MIN(6,'Вводные'!$E$90)),AU$3&lt;$B$75),$B$86/MAX(1,MIN(6,'Вводные'!$E$90)),0)</x:f>
      </x:c>
      <x:c r="AV86" s="117" t="n">
        <x:f>IF(AND(AV$3&gt;=EDATE($B$75,-MIN(6,'Вводные'!$E$90)),AV$3&lt;$B$75),$B$86/MAX(1,MIN(6,'Вводные'!$E$90)),0)</x:f>
      </x:c>
      <x:c r="AW86" s="117" t="n">
        <x:f>IF(AND(AW$3&gt;=EDATE($B$75,-MIN(6,'Вводные'!$E$90)),AW$3&lt;$B$75),$B$86/MAX(1,MIN(6,'Вводные'!$E$90)),0)</x:f>
      </x:c>
      <x:c r="AX86" s="117" t="n">
        <x:f>IF(AND(AX$3&gt;=EDATE($B$75,-MIN(6,'Вводные'!$E$90)),AX$3&lt;$B$75),$B$86/MAX(1,MIN(6,'Вводные'!$E$90)),0)</x:f>
      </x:c>
      <x:c r="AY86" s="117" t="n">
        <x:f>IF(AND(AY$3&gt;=EDATE($B$75,-MIN(6,'Вводные'!$E$90)),AY$3&lt;$B$75),$B$86/MAX(1,MIN(6,'Вводные'!$E$90)),0)</x:f>
      </x:c>
      <x:c r="AZ86" s="117" t="n">
        <x:f>IF(AND(AZ$3&gt;=EDATE($B$75,-MIN(6,'Вводные'!$E$90)),AZ$3&lt;$B$75),$B$86/MAX(1,MIN(6,'Вводные'!$E$90)),0)</x:f>
      </x:c>
      <x:c r="BA86" s="117" t="n">
        <x:f>IF(AND(BA$3&gt;=EDATE($B$75,-MIN(6,'Вводные'!$E$90)),BA$3&lt;$B$75),$B$86/MAX(1,MIN(6,'Вводные'!$E$90)),0)</x:f>
      </x:c>
      <x:c r="BB86" s="117" t="n">
        <x:f>IF(AND(BB$3&gt;=EDATE($B$75,-MIN(6,'Вводные'!$E$90)),BB$3&lt;$B$75),$B$86/MAX(1,MIN(6,'Вводные'!$E$90)),0)</x:f>
      </x:c>
      <x:c r="BC86" s="117" t="n">
        <x:f>IF(AND(BC$3&gt;=EDATE($B$75,-MIN(6,'Вводные'!$E$90)),BC$3&lt;$B$75),$B$86/MAX(1,MIN(6,'Вводные'!$E$90)),0)</x:f>
      </x:c>
      <x:c r="BD86" s="117" t="n">
        <x:f>IF(AND(BD$3&gt;=EDATE($B$75,-MIN(6,'Вводные'!$E$90)),BD$3&lt;$B$75),$B$86/MAX(1,MIN(6,'Вводные'!$E$90)),0)</x:f>
      </x:c>
      <x:c r="BE86" s="117" t="n">
        <x:f>IF(AND(BE$3&gt;=EDATE($B$75,-MIN(6,'Вводные'!$E$90)),BE$3&lt;$B$75),$B$86/MAX(1,MIN(6,'Вводные'!$E$90)),0)</x:f>
      </x:c>
      <x:c r="BF86" s="117" t="n">
        <x:f>IF(AND(BF$3&gt;=EDATE($B$75,-MIN(6,'Вводные'!$E$90)),BF$3&lt;$B$75),$B$86/MAX(1,MIN(6,'Вводные'!$E$90)),0)</x:f>
      </x:c>
      <x:c r="BG86" s="117" t="n">
        <x:f>IF(AND(BG$3&gt;=EDATE($B$75,-MIN(6,'Вводные'!$E$90)),BG$3&lt;$B$75),$B$86/MAX(1,MIN(6,'Вводные'!$E$90)),0)</x:f>
      </x:c>
      <x:c r="BH86" s="117" t="n">
        <x:f>IF(AND(BH$3&gt;=EDATE($B$75,-MIN(6,'Вводные'!$E$90)),BH$3&lt;$B$75),$B$86/MAX(1,MIN(6,'Вводные'!$E$90)),0)</x:f>
      </x:c>
      <x:c r="BI86" s="117" t="n">
        <x:f>IF(AND(BI$3&gt;=EDATE($B$75,-MIN(6,'Вводные'!$E$90)),BI$3&lt;$B$75),$B$86/MAX(1,MIN(6,'Вводные'!$E$90)),0)</x:f>
      </x:c>
      <x:c r="BJ86" s="117" t="n">
        <x:f>IF(AND(BJ$3&gt;=EDATE($B$75,-MIN(6,'Вводные'!$E$90)),BJ$3&lt;$B$75),$B$86/MAX(1,MIN(6,'Вводные'!$E$90)),0)</x:f>
      </x:c>
      <x:c r="BK86" s="117" t="n">
        <x:f>IF(AND(BK$3&gt;=EDATE($B$75,-MIN(6,'Вводные'!$E$90)),BK$3&lt;$B$75),$B$86/MAX(1,MIN(6,'Вводные'!$E$90)),0)</x:f>
      </x:c>
      <x:c r="BL86" s="117" t="n">
        <x:f>IF(AND(BL$3&gt;=EDATE($B$75,-MIN(6,'Вводные'!$E$90)),BL$3&lt;$B$75),$B$86/MAX(1,MIN(6,'Вводные'!$E$90)),0)</x:f>
      </x:c>
      <x:c r="BM86" s="117" t="n">
        <x:f>IF(AND(BM$3&gt;=EDATE($B$75,-MIN(6,'Вводные'!$E$90)),BM$3&lt;$B$75),$B$86/MAX(1,MIN(6,'Вводные'!$E$90)),0)</x:f>
      </x:c>
      <x:c r="BN86" s="117" t="n">
        <x:f>IF(AND(BN$3&gt;=EDATE($B$75,-MIN(6,'Вводные'!$E$90)),BN$3&lt;$B$75),$B$86/MAX(1,MIN(6,'Вводные'!$E$90)),0)</x:f>
      </x:c>
      <x:c r="BO86" s="117" t="n">
        <x:f>IF(AND(BO$3&gt;=EDATE($B$75,-MIN(6,'Вводные'!$E$90)),BO$3&lt;$B$75),$B$86/MAX(1,MIN(6,'Вводные'!$E$90)),0)</x:f>
      </x:c>
      <x:c r="BP86" s="117" t="n">
        <x:f>IF(AND(BP$3&gt;=EDATE($B$75,-MIN(6,'Вводные'!$E$90)),BP$3&lt;$B$75),$B$86/MAX(1,MIN(6,'Вводные'!$E$90)),0)</x:f>
      </x:c>
      <x:c r="BQ86" s="117" t="n">
        <x:f>IF(AND(BQ$3&gt;=EDATE($B$75,-MIN(6,'Вводные'!$E$90)),BQ$3&lt;$B$75),$B$86/MAX(1,MIN(6,'Вводные'!$E$90)),0)</x:f>
      </x:c>
      <x:c r="BR86" s="117" t="n">
        <x:f>IF(AND(BR$3&gt;=EDATE($B$75,-MIN(6,'Вводные'!$E$90)),BR$3&lt;$B$75),$B$86/MAX(1,MIN(6,'Вводные'!$E$90)),0)</x:f>
      </x:c>
      <x:c r="BS86" s="117" t="n">
        <x:f>IF(AND(BS$3&gt;=EDATE($B$75,-MIN(6,'Вводные'!$E$90)),BS$3&lt;$B$75),$B$86/MAX(1,MIN(6,'Вводные'!$E$90)),0)</x:f>
      </x:c>
      <x:c r="BT86" s="117" t="n">
        <x:f>IF(AND(BT$3&gt;=EDATE($B$75,-MIN(6,'Вводные'!$E$90)),BT$3&lt;$B$75),$B$86/MAX(1,MIN(6,'Вводные'!$E$90)),0)</x:f>
      </x:c>
      <x:c r="BU86" s="117" t="n">
        <x:f>IF(AND(BU$3&gt;=EDATE($B$75,-MIN(6,'Вводные'!$E$90)),BU$3&lt;$B$75),$B$86/MAX(1,MIN(6,'Вводные'!$E$90)),0)</x:f>
      </x:c>
      <x:c r="BV86" s="117" t="n">
        <x:f>IF(AND(BV$3&gt;=EDATE($B$75,-MIN(6,'Вводные'!$E$90)),BV$3&lt;$B$75),$B$86/MAX(1,MIN(6,'Вводные'!$E$90)),0)</x:f>
      </x:c>
      <x:c r="BW86" s="117" t="n">
        <x:f>IF(AND(BW$3&gt;=EDATE($B$75,-MIN(6,'Вводные'!$E$90)),BW$3&lt;$B$75),$B$86/MAX(1,MIN(6,'Вводные'!$E$90)),0)</x:f>
      </x:c>
      <x:c r="BX86" s="117" t="n">
        <x:f>IF(AND(BX$3&gt;=EDATE($B$75,-MIN(6,'Вводные'!$E$90)),BX$3&lt;$B$75),$B$86/MAX(1,MIN(6,'Вводные'!$E$90)),0)</x:f>
      </x:c>
      <x:c r="BY86" s="117" t="n">
        <x:f>IF(AND(BY$3&gt;=EDATE($B$75,-MIN(6,'Вводные'!$E$90)),BY$3&lt;$B$75),$B$86/MAX(1,MIN(6,'Вводные'!$E$90)),0)</x:f>
      </x:c>
      <x:c r="BZ86" s="117" t="n">
        <x:f>IF(AND(BZ$3&gt;=EDATE($B$75,-MIN(6,'Вводные'!$E$90)),BZ$3&lt;$B$75),$B$86/MAX(1,MIN(6,'Вводные'!$E$90)),0)</x:f>
      </x:c>
      <x:c r="CA86" s="117" t="n">
        <x:f>IF(AND(CA$3&gt;=EDATE($B$75,-MIN(6,'Вводные'!$E$90)),CA$3&lt;$B$75),$B$86/MAX(1,MIN(6,'Вводные'!$E$90)),0)</x:f>
      </x:c>
      <x:c r="CB86" s="117" t="n">
        <x:f>IF(AND(CB$3&gt;=EDATE($B$75,-MIN(6,'Вводные'!$E$90)),CB$3&lt;$B$75),$B$86/MAX(1,MIN(6,'Вводные'!$E$90)),0)</x:f>
      </x:c>
      <x:c r="CC86" s="117" t="n">
        <x:f>IF(AND(CC$3&gt;=EDATE($B$75,-MIN(6,'Вводные'!$E$90)),CC$3&lt;$B$75),$B$86/MAX(1,MIN(6,'Вводные'!$E$90)),0)</x:f>
      </x:c>
      <x:c r="CD86" s="117" t="n">
        <x:f>IF(AND(CD$3&gt;=EDATE($B$75,-MIN(6,'Вводные'!$E$90)),CD$3&lt;$B$75),$B$86/MAX(1,MIN(6,'Вводные'!$E$90)),0)</x:f>
      </x:c>
      <x:c r="CE86" s="117" t="n">
        <x:f>IF(AND(CE$3&gt;=EDATE($B$75,-MIN(6,'Вводные'!$E$90)),CE$3&lt;$B$75),$B$86/MAX(1,MIN(6,'Вводные'!$E$90)),0)</x:f>
      </x:c>
      <x:c r="CF86" s="117" t="n">
        <x:f>IF(AND(CF$3&gt;=EDATE($B$75,-MIN(6,'Вводные'!$E$90)),CF$3&lt;$B$75),$B$86/MAX(1,MIN(6,'Вводные'!$E$90)),0)</x:f>
      </x:c>
      <x:c r="CG86" s="117" t="n">
        <x:f>IF(AND(CG$3&gt;=EDATE($B$75,-MIN(6,'Вводные'!$E$90)),CG$3&lt;$B$75),$B$86/MAX(1,MIN(6,'Вводные'!$E$90)),0)</x:f>
      </x:c>
      <x:c r="CH86" s="117" t="n">
        <x:f>IF(AND(CH$3&gt;=EDATE($B$75,-MIN(6,'Вводные'!$E$90)),CH$3&lt;$B$75),$B$86/MAX(1,MIN(6,'Вводные'!$E$90)),0)</x:f>
      </x:c>
      <x:c r="CI86" s="117" t="n">
        <x:f>IF(AND(CI$3&gt;=EDATE($B$75,-MIN(6,'Вводные'!$E$90)),CI$3&lt;$B$75),$B$86/MAX(1,MIN(6,'Вводные'!$E$90)),0)</x:f>
      </x:c>
      <x:c r="CJ86" s="117" t="n">
        <x:f>IF(AND(CJ$3&gt;=EDATE($B$75,-MIN(6,'Вводные'!$E$90)),CJ$3&lt;$B$75),$B$86/MAX(1,MIN(6,'Вводные'!$E$90)),0)</x:f>
      </x:c>
      <x:c r="CK86" s="117" t="n">
        <x:f>IF(AND(CK$3&gt;=EDATE($B$75,-MIN(6,'Вводные'!$E$90)),CK$3&lt;$B$75),$B$86/MAX(1,MIN(6,'Вводные'!$E$90)),0)</x:f>
      </x:c>
      <x:c r="CL86" s="117" t="n">
        <x:f>IF(AND(CL$3&gt;=EDATE($B$75,-MIN(6,'Вводные'!$E$90)),CL$3&lt;$B$75),$B$86/MAX(1,MIN(6,'Вводные'!$E$90)),0)</x:f>
      </x:c>
      <x:c r="CM86" s="117" t="n">
        <x:f>IF(AND(CM$3&gt;=EDATE($B$75,-MIN(6,'Вводные'!$E$90)),CM$3&lt;$B$75),$B$86/MAX(1,MIN(6,'Вводные'!$E$90)),0)</x:f>
      </x:c>
      <x:c r="CN86" s="117" t="n">
        <x:f>IF(AND(CN$3&gt;=EDATE($B$75,-MIN(6,'Вводные'!$E$90)),CN$3&lt;$B$75),$B$86/MAX(1,MIN(6,'Вводные'!$E$90)),0)</x:f>
      </x:c>
      <x:c r="CO86" s="117" t="n">
        <x:f>IF(AND(CO$3&gt;=EDATE($B$75,-MIN(6,'Вводные'!$E$90)),CO$3&lt;$B$75),$B$86/MAX(1,MIN(6,'Вводные'!$E$90)),0)</x:f>
      </x:c>
      <x:c r="CP86" s="117" t="n">
        <x:f>IF(AND(CP$3&gt;=EDATE($B$75,-MIN(6,'Вводные'!$E$90)),CP$3&lt;$B$75),$B$86/MAX(1,MIN(6,'Вводные'!$E$90)),0)</x:f>
      </x:c>
      <x:c r="CQ86" s="117" t="n">
        <x:f>IF(AND(CQ$3&gt;=EDATE($B$75,-MIN(6,'Вводные'!$E$90)),CQ$3&lt;$B$75),$B$86/MAX(1,MIN(6,'Вводные'!$E$90)),0)</x:f>
      </x:c>
      <x:c r="CR86" s="117" t="n">
        <x:f>IF(AND(CR$3&gt;=EDATE($B$75,-MIN(6,'Вводные'!$E$90)),CR$3&lt;$B$75),$B$86/MAX(1,MIN(6,'Вводные'!$E$90)),0)</x:f>
      </x:c>
      <x:c r="CS86" s="117" t="n">
        <x:f>IF(AND(CS$3&gt;=EDATE($B$75,-MIN(6,'Вводные'!$E$90)),CS$3&lt;$B$75),$B$86/MAX(1,MIN(6,'Вводные'!$E$90)),0)</x:f>
      </x:c>
      <x:c r="CT86" s="117" t="n">
        <x:f>IF(AND(CT$3&gt;=EDATE($B$75,-MIN(6,'Вводные'!$E$90)),CT$3&lt;$B$75),$B$86/MAX(1,MIN(6,'Вводные'!$E$90)),0)</x:f>
      </x:c>
      <x:c r="CU86" s="117" t="n">
        <x:f>IF(AND(CU$3&gt;=EDATE($B$75,-MIN(6,'Вводные'!$E$90)),CU$3&lt;$B$75),$B$86/MAX(1,MIN(6,'Вводные'!$E$90)),0)</x:f>
      </x:c>
      <x:c r="CV86" s="117" t="n">
        <x:f>IF(AND(CV$3&gt;=EDATE($B$75,-MIN(6,'Вводные'!$E$90)),CV$3&lt;$B$75),$B$86/MAX(1,MIN(6,'Вводные'!$E$90)),0)</x:f>
      </x:c>
      <x:c r="CW86" s="117" t="n">
        <x:f>IF(AND(CW$3&gt;=EDATE($B$75,-MIN(6,'Вводные'!$E$90)),CW$3&lt;$B$75),$B$86/MAX(1,MIN(6,'Вводные'!$E$90)),0)</x:f>
      </x:c>
      <x:c r="CX86" s="117" t="n">
        <x:f>IF(AND(CX$3&gt;=EDATE($B$75,-MIN(6,'Вводные'!$E$90)),CX$3&lt;$B$75),$B$86/MAX(1,MIN(6,'Вводные'!$E$90)),0)</x:f>
      </x:c>
      <x:c r="CY86" s="117" t="n">
        <x:f>IF(AND(CY$3&gt;=EDATE($B$75,-MIN(6,'Вводные'!$E$90)),CY$3&lt;$B$75),$B$86/MAX(1,MIN(6,'Вводные'!$E$90)),0)</x:f>
      </x:c>
      <x:c r="CZ86" s="117" t="n">
        <x:f>IF(AND(CZ$3&gt;=EDATE($B$75,-MIN(6,'Вводные'!$E$90)),CZ$3&lt;$B$75),$B$86/MAX(1,MIN(6,'Вводные'!$E$90)),0)</x:f>
      </x:c>
      <x:c r="DA86" s="117" t="n">
        <x:f>IF(AND(DA$3&gt;=EDATE($B$75,-MIN(6,'Вводные'!$E$90)),DA$3&lt;$B$75),$B$86/MAX(1,MIN(6,'Вводные'!$E$90)),0)</x:f>
      </x:c>
      <x:c r="DB86" s="117" t="n">
        <x:f>IF(AND(DB$3&gt;=EDATE($B$75,-MIN(6,'Вводные'!$E$90)),DB$3&lt;$B$75),$B$86/MAX(1,MIN(6,'Вводные'!$E$90)),0)</x:f>
      </x:c>
      <x:c r="DC86" s="117" t="n">
        <x:f>IF(AND(DC$3&gt;=EDATE($B$75,-MIN(6,'Вводные'!$E$90)),DC$3&lt;$B$75),$B$86/MAX(1,MIN(6,'Вводные'!$E$90)),0)</x:f>
      </x:c>
      <x:c r="DD86" s="117" t="n">
        <x:f>IF(AND(DD$3&gt;=EDATE($B$75,-MIN(6,'Вводные'!$E$90)),DD$3&lt;$B$75),$B$86/MAX(1,MIN(6,'Вводные'!$E$90)),0)</x:f>
      </x:c>
      <x:c r="DE86" s="117" t="n">
        <x:f>IF(AND(DE$3&gt;=EDATE($B$75,-MIN(6,'Вводные'!$E$90)),DE$3&lt;$B$75),$B$86/MAX(1,MIN(6,'Вводные'!$E$90)),0)</x:f>
      </x:c>
      <x:c r="DF86" s="117" t="n">
        <x:f>IF(AND(DF$3&gt;=EDATE($B$75,-MIN(6,'Вводные'!$E$90)),DF$3&lt;$B$75),$B$86/MAX(1,MIN(6,'Вводные'!$E$90)),0)</x:f>
      </x:c>
      <x:c r="DG86" s="117" t="n">
        <x:f>IF(AND(DG$3&gt;=EDATE($B$75,-MIN(6,'Вводные'!$E$90)),DG$3&lt;$B$75),$B$86/MAX(1,MIN(6,'Вводные'!$E$90)),0)</x:f>
      </x:c>
      <x:c r="DH86" s="117" t="n">
        <x:f>IF(AND(DH$3&gt;=EDATE($B$75,-MIN(6,'Вводные'!$E$90)),DH$3&lt;$B$75),$B$86/MAX(1,MIN(6,'Вводные'!$E$90)),0)</x:f>
      </x:c>
      <x:c r="DI86" s="117" t="n">
        <x:f>IF(AND(DI$3&gt;=EDATE($B$75,-MIN(6,'Вводные'!$E$90)),DI$3&lt;$B$75),$B$86/MAX(1,MIN(6,'Вводные'!$E$90)),0)</x:f>
      </x:c>
      <x:c r="DJ86" s="117" t="n">
        <x:f>IF(AND(DJ$3&gt;=EDATE($B$75,-MIN(6,'Вводные'!$E$90)),DJ$3&lt;$B$75),$B$86/MAX(1,MIN(6,'Вводные'!$E$90)),0)</x:f>
      </x:c>
      <x:c r="DK86" s="117" t="n">
        <x:f>IF(AND(DK$3&gt;=EDATE($B$75,-MIN(6,'Вводные'!$E$90)),DK$3&lt;$B$75),$B$86/MAX(1,MIN(6,'Вводные'!$E$90)),0)</x:f>
      </x:c>
      <x:c r="DL86" s="117" t="n">
        <x:f>IF(AND(DL$3&gt;=EDATE($B$75,-MIN(6,'Вводные'!$E$90)),DL$3&lt;$B$75),$B$86/MAX(1,MIN(6,'Вводные'!$E$90)),0)</x:f>
      </x:c>
      <x:c r="DM86" s="117" t="n">
        <x:f>IF(AND(DM$3&gt;=EDATE($B$75,-MIN(6,'Вводные'!$E$90)),DM$3&lt;$B$75),$B$86/MAX(1,MIN(6,'Вводные'!$E$90)),0)</x:f>
      </x:c>
      <x:c r="DN86" s="117" t="n">
        <x:f>IF(AND(DN$3&gt;=EDATE($B$75,-MIN(6,'Вводные'!$E$90)),DN$3&lt;$B$75),$B$86/MAX(1,MIN(6,'Вводные'!$E$90)),0)</x:f>
      </x:c>
      <x:c r="DO86" s="117" t="n">
        <x:f>IF(AND(DO$3&gt;=EDATE($B$75,-MIN(6,'Вводные'!$E$90)),DO$3&lt;$B$75),$B$86/MAX(1,MIN(6,'Вводные'!$E$90)),0)</x:f>
      </x:c>
      <x:c r="DP86" s="117" t="n">
        <x:f>IF(AND(DP$3&gt;=EDATE($B$75,-MIN(6,'Вводные'!$E$90)),DP$3&lt;$B$75),$B$86/MAX(1,MIN(6,'Вводные'!$E$90)),0)</x:f>
      </x:c>
      <x:c r="DQ86" s="117" t="n">
        <x:f>IF(AND(DQ$3&gt;=EDATE($B$75,-MIN(6,'Вводные'!$E$90)),DQ$3&lt;$B$75),$B$86/MAX(1,MIN(6,'Вводные'!$E$90)),0)</x:f>
      </x:c>
      <x:c r="DR86" s="117" t="n">
        <x:f>IF(AND(DR$3&gt;=EDATE($B$75,-MIN(6,'Вводные'!$E$90)),DR$3&lt;$B$75),$B$86/MAX(1,MIN(6,'Вводные'!$E$90)),0)</x:f>
      </x:c>
      <x:c r="DS86" s="117" t="n">
        <x:f>IF(AND(DS$3&gt;=EDATE($B$75,-MIN(6,'Вводные'!$E$90)),DS$3&lt;$B$75),$B$86/MAX(1,MIN(6,'Вводные'!$E$90)),0)</x:f>
      </x:c>
    </x:row>
    <x:row r="87">
      <x:c r="A87" t="str">
        <x:v>Авторский надзор</x:v>
      </x:c>
      <x:c r="B87" s="107" t="n">
        <x:f>SUM(B85:B86)*'Вводные'!$B$51</x:f>
      </x:c>
      <x:c r="C87" t="str">
        <x:v>млн ₽</x:v>
      </x:c>
      <x:c r="D87" s="117" t="n">
        <x:f>$B$87*D81</x:f>
      </x:c>
      <x:c r="E87" s="117" t="n">
        <x:f>$B$87*E81</x:f>
      </x:c>
      <x:c r="F87" s="117" t="n">
        <x:f>$B$87*F81</x:f>
      </x:c>
      <x:c r="G87" s="117" t="n">
        <x:f>$B$87*G81</x:f>
      </x:c>
      <x:c r="H87" s="117" t="n">
        <x:f>$B$87*H81</x:f>
      </x:c>
      <x:c r="I87" s="117" t="n">
        <x:f>$B$87*I81</x:f>
      </x:c>
      <x:c r="J87" s="117" t="n">
        <x:f>$B$87*J81</x:f>
      </x:c>
      <x:c r="K87" s="117" t="n">
        <x:f>$B$87*K81</x:f>
      </x:c>
      <x:c r="L87" s="117" t="n">
        <x:f>$B$87*L81</x:f>
      </x:c>
      <x:c r="M87" s="117" t="n">
        <x:f>$B$87*M81</x:f>
      </x:c>
      <x:c r="N87" s="117" t="n">
        <x:f>$B$87*N81</x:f>
      </x:c>
      <x:c r="O87" s="117" t="n">
        <x:f>$B$87*O81</x:f>
      </x:c>
      <x:c r="P87" s="117" t="n">
        <x:f>$B$87*P81</x:f>
      </x:c>
      <x:c r="Q87" s="117" t="n">
        <x:f>$B$87*Q81</x:f>
      </x:c>
      <x:c r="R87" s="117" t="n">
        <x:f>$B$87*R81</x:f>
      </x:c>
      <x:c r="S87" s="117" t="n">
        <x:f>$B$87*S81</x:f>
      </x:c>
      <x:c r="T87" s="117" t="n">
        <x:f>$B$87*T81</x:f>
      </x:c>
      <x:c r="U87" s="117" t="n">
        <x:f>$B$87*U81</x:f>
      </x:c>
      <x:c r="V87" s="117" t="n">
        <x:f>$B$87*V81</x:f>
      </x:c>
      <x:c r="W87" s="117" t="n">
        <x:f>$B$87*W81</x:f>
      </x:c>
      <x:c r="X87" s="117" t="n">
        <x:f>$B$87*X81</x:f>
      </x:c>
      <x:c r="Y87" s="117" t="n">
        <x:f>$B$87*Y81</x:f>
      </x:c>
      <x:c r="Z87" s="117" t="n">
        <x:f>$B$87*Z81</x:f>
      </x:c>
      <x:c r="AA87" s="117" t="n">
        <x:f>$B$87*AA81</x:f>
      </x:c>
      <x:c r="AB87" s="117" t="n">
        <x:f>$B$87*AB81</x:f>
      </x:c>
      <x:c r="AC87" s="117" t="n">
        <x:f>$B$87*AC81</x:f>
      </x:c>
      <x:c r="AD87" s="117" t="n">
        <x:f>$B$87*AD81</x:f>
      </x:c>
      <x:c r="AE87" s="117" t="n">
        <x:f>$B$87*AE81</x:f>
      </x:c>
      <x:c r="AF87" s="117" t="n">
        <x:f>$B$87*AF81</x:f>
      </x:c>
      <x:c r="AG87" s="117" t="n">
        <x:f>$B$87*AG81</x:f>
      </x:c>
      <x:c r="AH87" s="117" t="n">
        <x:f>$B$87*AH81</x:f>
      </x:c>
      <x:c r="AI87" s="117" t="n">
        <x:f>$B$87*AI81</x:f>
      </x:c>
      <x:c r="AJ87" s="117" t="n">
        <x:f>$B$87*AJ81</x:f>
      </x:c>
      <x:c r="AK87" s="117" t="n">
        <x:f>$B$87*AK81</x:f>
      </x:c>
      <x:c r="AL87" s="117" t="n">
        <x:f>$B$87*AL81</x:f>
      </x:c>
      <x:c r="AM87" s="117" t="n">
        <x:f>$B$87*AM81</x:f>
      </x:c>
      <x:c r="AN87" s="117" t="n">
        <x:f>$B$87*AN81</x:f>
      </x:c>
      <x:c r="AO87" s="117" t="n">
        <x:f>$B$87*AO81</x:f>
      </x:c>
      <x:c r="AP87" s="117" t="n">
        <x:f>$B$87*AP81</x:f>
      </x:c>
      <x:c r="AQ87" s="117" t="n">
        <x:f>$B$87*AQ81</x:f>
      </x:c>
      <x:c r="AR87" s="117" t="n">
        <x:f>$B$87*AR81</x:f>
      </x:c>
      <x:c r="AS87" s="117" t="n">
        <x:f>$B$87*AS81</x:f>
      </x:c>
      <x:c r="AT87" s="117" t="n">
        <x:f>$B$87*AT81</x:f>
      </x:c>
      <x:c r="AU87" s="117" t="n">
        <x:f>$B$87*AU81</x:f>
      </x:c>
      <x:c r="AV87" s="117" t="n">
        <x:f>$B$87*AV81</x:f>
      </x:c>
      <x:c r="AW87" s="117" t="n">
        <x:f>$B$87*AW81</x:f>
      </x:c>
      <x:c r="AX87" s="117" t="n">
        <x:f>$B$87*AX81</x:f>
      </x:c>
      <x:c r="AY87" s="117" t="n">
        <x:f>$B$87*AY81</x:f>
      </x:c>
      <x:c r="AZ87" s="117" t="n">
        <x:f>$B$87*AZ81</x:f>
      </x:c>
      <x:c r="BA87" s="117" t="n">
        <x:f>$B$87*BA81</x:f>
      </x:c>
      <x:c r="BB87" s="117" t="n">
        <x:f>$B$87*BB81</x:f>
      </x:c>
      <x:c r="BC87" s="117" t="n">
        <x:f>$B$87*BC81</x:f>
      </x:c>
      <x:c r="BD87" s="117" t="n">
        <x:f>$B$87*BD81</x:f>
      </x:c>
      <x:c r="BE87" s="117" t="n">
        <x:f>$B$87*BE81</x:f>
      </x:c>
      <x:c r="BF87" s="117" t="n">
        <x:f>$B$87*BF81</x:f>
      </x:c>
      <x:c r="BG87" s="117" t="n">
        <x:f>$B$87*BG81</x:f>
      </x:c>
      <x:c r="BH87" s="117" t="n">
        <x:f>$B$87*BH81</x:f>
      </x:c>
      <x:c r="BI87" s="117" t="n">
        <x:f>$B$87*BI81</x:f>
      </x:c>
      <x:c r="BJ87" s="117" t="n">
        <x:f>$B$87*BJ81</x:f>
      </x:c>
      <x:c r="BK87" s="117" t="n">
        <x:f>$B$87*BK81</x:f>
      </x:c>
      <x:c r="BL87" s="117" t="n">
        <x:f>$B$87*BL81</x:f>
      </x:c>
      <x:c r="BM87" s="117" t="n">
        <x:f>$B$87*BM81</x:f>
      </x:c>
      <x:c r="BN87" s="117" t="n">
        <x:f>$B$87*BN81</x:f>
      </x:c>
      <x:c r="BO87" s="117" t="n">
        <x:f>$B$87*BO81</x:f>
      </x:c>
      <x:c r="BP87" s="117" t="n">
        <x:f>$B$87*BP81</x:f>
      </x:c>
      <x:c r="BQ87" s="117" t="n">
        <x:f>$B$87*BQ81</x:f>
      </x:c>
      <x:c r="BR87" s="117" t="n">
        <x:f>$B$87*BR81</x:f>
      </x:c>
      <x:c r="BS87" s="117" t="n">
        <x:f>$B$87*BS81</x:f>
      </x:c>
      <x:c r="BT87" s="117" t="n">
        <x:f>$B$87*BT81</x:f>
      </x:c>
      <x:c r="BU87" s="117" t="n">
        <x:f>$B$87*BU81</x:f>
      </x:c>
      <x:c r="BV87" s="117" t="n">
        <x:f>$B$87*BV81</x:f>
      </x:c>
      <x:c r="BW87" s="117" t="n">
        <x:f>$B$87*BW81</x:f>
      </x:c>
      <x:c r="BX87" s="117" t="n">
        <x:f>$B$87*BX81</x:f>
      </x:c>
      <x:c r="BY87" s="117" t="n">
        <x:f>$B$87*BY81</x:f>
      </x:c>
      <x:c r="BZ87" s="117" t="n">
        <x:f>$B$87*BZ81</x:f>
      </x:c>
      <x:c r="CA87" s="117" t="n">
        <x:f>$B$87*CA81</x:f>
      </x:c>
      <x:c r="CB87" s="117" t="n">
        <x:f>$B$87*CB81</x:f>
      </x:c>
      <x:c r="CC87" s="117" t="n">
        <x:f>$B$87*CC81</x:f>
      </x:c>
      <x:c r="CD87" s="117" t="n">
        <x:f>$B$87*CD81</x:f>
      </x:c>
      <x:c r="CE87" s="117" t="n">
        <x:f>$B$87*CE81</x:f>
      </x:c>
      <x:c r="CF87" s="117" t="n">
        <x:f>$B$87*CF81</x:f>
      </x:c>
      <x:c r="CG87" s="117" t="n">
        <x:f>$B$87*CG81</x:f>
      </x:c>
      <x:c r="CH87" s="117" t="n">
        <x:f>$B$87*CH81</x:f>
      </x:c>
      <x:c r="CI87" s="117" t="n">
        <x:f>$B$87*CI81</x:f>
      </x:c>
      <x:c r="CJ87" s="117" t="n">
        <x:f>$B$87*CJ81</x:f>
      </x:c>
      <x:c r="CK87" s="117" t="n">
        <x:f>$B$87*CK81</x:f>
      </x:c>
      <x:c r="CL87" s="117" t="n">
        <x:f>$B$87*CL81</x:f>
      </x:c>
      <x:c r="CM87" s="117" t="n">
        <x:f>$B$87*CM81</x:f>
      </x:c>
      <x:c r="CN87" s="117" t="n">
        <x:f>$B$87*CN81</x:f>
      </x:c>
      <x:c r="CO87" s="117" t="n">
        <x:f>$B$87*CO81</x:f>
      </x:c>
      <x:c r="CP87" s="117" t="n">
        <x:f>$B$87*CP81</x:f>
      </x:c>
      <x:c r="CQ87" s="117" t="n">
        <x:f>$B$87*CQ81</x:f>
      </x:c>
      <x:c r="CR87" s="117" t="n">
        <x:f>$B$87*CR81</x:f>
      </x:c>
      <x:c r="CS87" s="117" t="n">
        <x:f>$B$87*CS81</x:f>
      </x:c>
      <x:c r="CT87" s="117" t="n">
        <x:f>$B$87*CT81</x:f>
      </x:c>
      <x:c r="CU87" s="117" t="n">
        <x:f>$B$87*CU81</x:f>
      </x:c>
      <x:c r="CV87" s="117" t="n">
        <x:f>$B$87*CV81</x:f>
      </x:c>
      <x:c r="CW87" s="117" t="n">
        <x:f>$B$87*CW81</x:f>
      </x:c>
      <x:c r="CX87" s="117" t="n">
        <x:f>$B$87*CX81</x:f>
      </x:c>
      <x:c r="CY87" s="117" t="n">
        <x:f>$B$87*CY81</x:f>
      </x:c>
      <x:c r="CZ87" s="117" t="n">
        <x:f>$B$87*CZ81</x:f>
      </x:c>
      <x:c r="DA87" s="117" t="n">
        <x:f>$B$87*DA81</x:f>
      </x:c>
      <x:c r="DB87" s="117" t="n">
        <x:f>$B$87*DB81</x:f>
      </x:c>
      <x:c r="DC87" s="117" t="n">
        <x:f>$B$87*DC81</x:f>
      </x:c>
      <x:c r="DD87" s="117" t="n">
        <x:f>$B$87*DD81</x:f>
      </x:c>
      <x:c r="DE87" s="117" t="n">
        <x:f>$B$87*DE81</x:f>
      </x:c>
      <x:c r="DF87" s="117" t="n">
        <x:f>$B$87*DF81</x:f>
      </x:c>
      <x:c r="DG87" s="117" t="n">
        <x:f>$B$87*DG81</x:f>
      </x:c>
      <x:c r="DH87" s="117" t="n">
        <x:f>$B$87*DH81</x:f>
      </x:c>
      <x:c r="DI87" s="117" t="n">
        <x:f>$B$87*DI81</x:f>
      </x:c>
      <x:c r="DJ87" s="117" t="n">
        <x:f>$B$87*DJ81</x:f>
      </x:c>
      <x:c r="DK87" s="117" t="n">
        <x:f>$B$87*DK81</x:f>
      </x:c>
      <x:c r="DL87" s="117" t="n">
        <x:f>$B$87*DL81</x:f>
      </x:c>
      <x:c r="DM87" s="117" t="n">
        <x:f>$B$87*DM81</x:f>
      </x:c>
      <x:c r="DN87" s="117" t="n">
        <x:f>$B$87*DN81</x:f>
      </x:c>
      <x:c r="DO87" s="117" t="n">
        <x:f>$B$87*DO81</x:f>
      </x:c>
      <x:c r="DP87" s="117" t="n">
        <x:f>$B$87*DP81</x:f>
      </x:c>
      <x:c r="DQ87" s="117" t="n">
        <x:f>$B$87*DQ81</x:f>
      </x:c>
      <x:c r="DR87" s="117" t="n">
        <x:f>$B$87*DR81</x:f>
      </x:c>
      <x:c r="DS87" s="117" t="n">
        <x:f>$B$87*DS81</x:f>
      </x:c>
    </x:row>
    <x:row r="88">
      <x:c r="A88" t="str">
        <x:v>Подготовительные работы</x:v>
      </x:c>
      <x:c r="B88" s="107" t="n">
        <x:f>(('Вводные'!$I$90+'Вводные'!$J$90+'Вводные'!$K$90)*'Вводные'!$B$43/1000*'Вводные'!$H$6*'Вводные'!$T$90*--('Вводные'!$B$90="Да"))*'Вводные'!$AH$90</x:f>
      </x:c>
      <x:c r="C88" t="str">
        <x:v>млн ₽</x:v>
      </x:c>
      <x:c r="D88" s="117" t="n">
        <x:f>IF(AND(D$3&gt;=EDATE($B$75,-MIN(6,'Вводные'!$E$90)),D$3&lt;$B$75),$B$88/MAX(1,MIN(6,'Вводные'!$E$90)),0)</x:f>
      </x:c>
      <x:c r="E88" s="117" t="n">
        <x:f>IF(AND(E$3&gt;=EDATE($B$75,-MIN(6,'Вводные'!$E$90)),E$3&lt;$B$75),$B$88/MAX(1,MIN(6,'Вводные'!$E$90)),0)</x:f>
      </x:c>
      <x:c r="F88" s="117" t="n">
        <x:f>IF(AND(F$3&gt;=EDATE($B$75,-MIN(6,'Вводные'!$E$90)),F$3&lt;$B$75),$B$88/MAX(1,MIN(6,'Вводные'!$E$90)),0)</x:f>
      </x:c>
      <x:c r="G88" s="117" t="n">
        <x:f>IF(AND(G$3&gt;=EDATE($B$75,-MIN(6,'Вводные'!$E$90)),G$3&lt;$B$75),$B$88/MAX(1,MIN(6,'Вводные'!$E$90)),0)</x:f>
      </x:c>
      <x:c r="H88" s="117" t="n">
        <x:f>IF(AND(H$3&gt;=EDATE($B$75,-MIN(6,'Вводные'!$E$90)),H$3&lt;$B$75),$B$88/MAX(1,MIN(6,'Вводные'!$E$90)),0)</x:f>
      </x:c>
      <x:c r="I88" s="117" t="n">
        <x:f>IF(AND(I$3&gt;=EDATE($B$75,-MIN(6,'Вводные'!$E$90)),I$3&lt;$B$75),$B$88/MAX(1,MIN(6,'Вводные'!$E$90)),0)</x:f>
      </x:c>
      <x:c r="J88" s="117" t="n">
        <x:f>IF(AND(J$3&gt;=EDATE($B$75,-MIN(6,'Вводные'!$E$90)),J$3&lt;$B$75),$B$88/MAX(1,MIN(6,'Вводные'!$E$90)),0)</x:f>
      </x:c>
      <x:c r="K88" s="117" t="n">
        <x:f>IF(AND(K$3&gt;=EDATE($B$75,-MIN(6,'Вводные'!$E$90)),K$3&lt;$B$75),$B$88/MAX(1,MIN(6,'Вводные'!$E$90)),0)</x:f>
      </x:c>
      <x:c r="L88" s="117" t="n">
        <x:f>IF(AND(L$3&gt;=EDATE($B$75,-MIN(6,'Вводные'!$E$90)),L$3&lt;$B$75),$B$88/MAX(1,MIN(6,'Вводные'!$E$90)),0)</x:f>
      </x:c>
      <x:c r="M88" s="117" t="n">
        <x:f>IF(AND(M$3&gt;=EDATE($B$75,-MIN(6,'Вводные'!$E$90)),M$3&lt;$B$75),$B$88/MAX(1,MIN(6,'Вводные'!$E$90)),0)</x:f>
      </x:c>
      <x:c r="N88" s="117" t="n">
        <x:f>IF(AND(N$3&gt;=EDATE($B$75,-MIN(6,'Вводные'!$E$90)),N$3&lt;$B$75),$B$88/MAX(1,MIN(6,'Вводные'!$E$90)),0)</x:f>
      </x:c>
      <x:c r="O88" s="117" t="n">
        <x:f>IF(AND(O$3&gt;=EDATE($B$75,-MIN(6,'Вводные'!$E$90)),O$3&lt;$B$75),$B$88/MAX(1,MIN(6,'Вводные'!$E$90)),0)</x:f>
      </x:c>
      <x:c r="P88" s="117" t="n">
        <x:f>IF(AND(P$3&gt;=EDATE($B$75,-MIN(6,'Вводные'!$E$90)),P$3&lt;$B$75),$B$88/MAX(1,MIN(6,'Вводные'!$E$90)),0)</x:f>
      </x:c>
      <x:c r="Q88" s="117" t="n">
        <x:f>IF(AND(Q$3&gt;=EDATE($B$75,-MIN(6,'Вводные'!$E$90)),Q$3&lt;$B$75),$B$88/MAX(1,MIN(6,'Вводные'!$E$90)),0)</x:f>
      </x:c>
      <x:c r="R88" s="117" t="n">
        <x:f>IF(AND(R$3&gt;=EDATE($B$75,-MIN(6,'Вводные'!$E$90)),R$3&lt;$B$75),$B$88/MAX(1,MIN(6,'Вводные'!$E$90)),0)</x:f>
      </x:c>
      <x:c r="S88" s="117" t="n">
        <x:f>IF(AND(S$3&gt;=EDATE($B$75,-MIN(6,'Вводные'!$E$90)),S$3&lt;$B$75),$B$88/MAX(1,MIN(6,'Вводные'!$E$90)),0)</x:f>
      </x:c>
      <x:c r="T88" s="117" t="n">
        <x:f>IF(AND(T$3&gt;=EDATE($B$75,-MIN(6,'Вводные'!$E$90)),T$3&lt;$B$75),$B$88/MAX(1,MIN(6,'Вводные'!$E$90)),0)</x:f>
      </x:c>
      <x:c r="U88" s="117" t="n">
        <x:f>IF(AND(U$3&gt;=EDATE($B$75,-MIN(6,'Вводные'!$E$90)),U$3&lt;$B$75),$B$88/MAX(1,MIN(6,'Вводные'!$E$90)),0)</x:f>
      </x:c>
      <x:c r="V88" s="117" t="n">
        <x:f>IF(AND(V$3&gt;=EDATE($B$75,-MIN(6,'Вводные'!$E$90)),V$3&lt;$B$75),$B$88/MAX(1,MIN(6,'Вводные'!$E$90)),0)</x:f>
      </x:c>
      <x:c r="W88" s="117" t="n">
        <x:f>IF(AND(W$3&gt;=EDATE($B$75,-MIN(6,'Вводные'!$E$90)),W$3&lt;$B$75),$B$88/MAX(1,MIN(6,'Вводные'!$E$90)),0)</x:f>
      </x:c>
      <x:c r="X88" s="117" t="n">
        <x:f>IF(AND(X$3&gt;=EDATE($B$75,-MIN(6,'Вводные'!$E$90)),X$3&lt;$B$75),$B$88/MAX(1,MIN(6,'Вводные'!$E$90)),0)</x:f>
      </x:c>
      <x:c r="Y88" s="117" t="n">
        <x:f>IF(AND(Y$3&gt;=EDATE($B$75,-MIN(6,'Вводные'!$E$90)),Y$3&lt;$B$75),$B$88/MAX(1,MIN(6,'Вводные'!$E$90)),0)</x:f>
      </x:c>
      <x:c r="Z88" s="117" t="n">
        <x:f>IF(AND(Z$3&gt;=EDATE($B$75,-MIN(6,'Вводные'!$E$90)),Z$3&lt;$B$75),$B$88/MAX(1,MIN(6,'Вводные'!$E$90)),0)</x:f>
      </x:c>
      <x:c r="AA88" s="117" t="n">
        <x:f>IF(AND(AA$3&gt;=EDATE($B$75,-MIN(6,'Вводные'!$E$90)),AA$3&lt;$B$75),$B$88/MAX(1,MIN(6,'Вводные'!$E$90)),0)</x:f>
      </x:c>
      <x:c r="AB88" s="117" t="n">
        <x:f>IF(AND(AB$3&gt;=EDATE($B$75,-MIN(6,'Вводные'!$E$90)),AB$3&lt;$B$75),$B$88/MAX(1,MIN(6,'Вводные'!$E$90)),0)</x:f>
      </x:c>
      <x:c r="AC88" s="117" t="n">
        <x:f>IF(AND(AC$3&gt;=EDATE($B$75,-MIN(6,'Вводные'!$E$90)),AC$3&lt;$B$75),$B$88/MAX(1,MIN(6,'Вводные'!$E$90)),0)</x:f>
      </x:c>
      <x:c r="AD88" s="117" t="n">
        <x:f>IF(AND(AD$3&gt;=EDATE($B$75,-MIN(6,'Вводные'!$E$90)),AD$3&lt;$B$75),$B$88/MAX(1,MIN(6,'Вводные'!$E$90)),0)</x:f>
      </x:c>
      <x:c r="AE88" s="117" t="n">
        <x:f>IF(AND(AE$3&gt;=EDATE($B$75,-MIN(6,'Вводные'!$E$90)),AE$3&lt;$B$75),$B$88/MAX(1,MIN(6,'Вводные'!$E$90)),0)</x:f>
      </x:c>
      <x:c r="AF88" s="117" t="n">
        <x:f>IF(AND(AF$3&gt;=EDATE($B$75,-MIN(6,'Вводные'!$E$90)),AF$3&lt;$B$75),$B$88/MAX(1,MIN(6,'Вводные'!$E$90)),0)</x:f>
      </x:c>
      <x:c r="AG88" s="117" t="n">
        <x:f>IF(AND(AG$3&gt;=EDATE($B$75,-MIN(6,'Вводные'!$E$90)),AG$3&lt;$B$75),$B$88/MAX(1,MIN(6,'Вводные'!$E$90)),0)</x:f>
      </x:c>
      <x:c r="AH88" s="117" t="n">
        <x:f>IF(AND(AH$3&gt;=EDATE($B$75,-MIN(6,'Вводные'!$E$90)),AH$3&lt;$B$75),$B$88/MAX(1,MIN(6,'Вводные'!$E$90)),0)</x:f>
      </x:c>
      <x:c r="AI88" s="117" t="n">
        <x:f>IF(AND(AI$3&gt;=EDATE($B$75,-MIN(6,'Вводные'!$E$90)),AI$3&lt;$B$75),$B$88/MAX(1,MIN(6,'Вводные'!$E$90)),0)</x:f>
      </x:c>
      <x:c r="AJ88" s="117" t="n">
        <x:f>IF(AND(AJ$3&gt;=EDATE($B$75,-MIN(6,'Вводные'!$E$90)),AJ$3&lt;$B$75),$B$88/MAX(1,MIN(6,'Вводные'!$E$90)),0)</x:f>
      </x:c>
      <x:c r="AK88" s="117" t="n">
        <x:f>IF(AND(AK$3&gt;=EDATE($B$75,-MIN(6,'Вводные'!$E$90)),AK$3&lt;$B$75),$B$88/MAX(1,MIN(6,'Вводные'!$E$90)),0)</x:f>
      </x:c>
      <x:c r="AL88" s="117" t="n">
        <x:f>IF(AND(AL$3&gt;=EDATE($B$75,-MIN(6,'Вводные'!$E$90)),AL$3&lt;$B$75),$B$88/MAX(1,MIN(6,'Вводные'!$E$90)),0)</x:f>
      </x:c>
      <x:c r="AM88" s="117" t="n">
        <x:f>IF(AND(AM$3&gt;=EDATE($B$75,-MIN(6,'Вводные'!$E$90)),AM$3&lt;$B$75),$B$88/MAX(1,MIN(6,'Вводные'!$E$90)),0)</x:f>
      </x:c>
      <x:c r="AN88" s="117" t="n">
        <x:f>IF(AND(AN$3&gt;=EDATE($B$75,-MIN(6,'Вводные'!$E$90)),AN$3&lt;$B$75),$B$88/MAX(1,MIN(6,'Вводные'!$E$90)),0)</x:f>
      </x:c>
      <x:c r="AO88" s="117" t="n">
        <x:f>IF(AND(AO$3&gt;=EDATE($B$75,-MIN(6,'Вводные'!$E$90)),AO$3&lt;$B$75),$B$88/MAX(1,MIN(6,'Вводные'!$E$90)),0)</x:f>
      </x:c>
      <x:c r="AP88" s="117" t="n">
        <x:f>IF(AND(AP$3&gt;=EDATE($B$75,-MIN(6,'Вводные'!$E$90)),AP$3&lt;$B$75),$B$88/MAX(1,MIN(6,'Вводные'!$E$90)),0)</x:f>
      </x:c>
      <x:c r="AQ88" s="117" t="n">
        <x:f>IF(AND(AQ$3&gt;=EDATE($B$75,-MIN(6,'Вводные'!$E$90)),AQ$3&lt;$B$75),$B$88/MAX(1,MIN(6,'Вводные'!$E$90)),0)</x:f>
      </x:c>
      <x:c r="AR88" s="117" t="n">
        <x:f>IF(AND(AR$3&gt;=EDATE($B$75,-MIN(6,'Вводные'!$E$90)),AR$3&lt;$B$75),$B$88/MAX(1,MIN(6,'Вводные'!$E$90)),0)</x:f>
      </x:c>
      <x:c r="AS88" s="117" t="n">
        <x:f>IF(AND(AS$3&gt;=EDATE($B$75,-MIN(6,'Вводные'!$E$90)),AS$3&lt;$B$75),$B$88/MAX(1,MIN(6,'Вводные'!$E$90)),0)</x:f>
      </x:c>
      <x:c r="AT88" s="117" t="n">
        <x:f>IF(AND(AT$3&gt;=EDATE($B$75,-MIN(6,'Вводные'!$E$90)),AT$3&lt;$B$75),$B$88/MAX(1,MIN(6,'Вводные'!$E$90)),0)</x:f>
      </x:c>
      <x:c r="AU88" s="117" t="n">
        <x:f>IF(AND(AU$3&gt;=EDATE($B$75,-MIN(6,'Вводные'!$E$90)),AU$3&lt;$B$75),$B$88/MAX(1,MIN(6,'Вводные'!$E$90)),0)</x:f>
      </x:c>
      <x:c r="AV88" s="117" t="n">
        <x:f>IF(AND(AV$3&gt;=EDATE($B$75,-MIN(6,'Вводные'!$E$90)),AV$3&lt;$B$75),$B$88/MAX(1,MIN(6,'Вводные'!$E$90)),0)</x:f>
      </x:c>
      <x:c r="AW88" s="117" t="n">
        <x:f>IF(AND(AW$3&gt;=EDATE($B$75,-MIN(6,'Вводные'!$E$90)),AW$3&lt;$B$75),$B$88/MAX(1,MIN(6,'Вводные'!$E$90)),0)</x:f>
      </x:c>
      <x:c r="AX88" s="117" t="n">
        <x:f>IF(AND(AX$3&gt;=EDATE($B$75,-MIN(6,'Вводные'!$E$90)),AX$3&lt;$B$75),$B$88/MAX(1,MIN(6,'Вводные'!$E$90)),0)</x:f>
      </x:c>
      <x:c r="AY88" s="117" t="n">
        <x:f>IF(AND(AY$3&gt;=EDATE($B$75,-MIN(6,'Вводные'!$E$90)),AY$3&lt;$B$75),$B$88/MAX(1,MIN(6,'Вводные'!$E$90)),0)</x:f>
      </x:c>
      <x:c r="AZ88" s="117" t="n">
        <x:f>IF(AND(AZ$3&gt;=EDATE($B$75,-MIN(6,'Вводные'!$E$90)),AZ$3&lt;$B$75),$B$88/MAX(1,MIN(6,'Вводные'!$E$90)),0)</x:f>
      </x:c>
      <x:c r="BA88" s="117" t="n">
        <x:f>IF(AND(BA$3&gt;=EDATE($B$75,-MIN(6,'Вводные'!$E$90)),BA$3&lt;$B$75),$B$88/MAX(1,MIN(6,'Вводные'!$E$90)),0)</x:f>
      </x:c>
      <x:c r="BB88" s="117" t="n">
        <x:f>IF(AND(BB$3&gt;=EDATE($B$75,-MIN(6,'Вводные'!$E$90)),BB$3&lt;$B$75),$B$88/MAX(1,MIN(6,'Вводные'!$E$90)),0)</x:f>
      </x:c>
      <x:c r="BC88" s="117" t="n">
        <x:f>IF(AND(BC$3&gt;=EDATE($B$75,-MIN(6,'Вводные'!$E$90)),BC$3&lt;$B$75),$B$88/MAX(1,MIN(6,'Вводные'!$E$90)),0)</x:f>
      </x:c>
      <x:c r="BD88" s="117" t="n">
        <x:f>IF(AND(BD$3&gt;=EDATE($B$75,-MIN(6,'Вводные'!$E$90)),BD$3&lt;$B$75),$B$88/MAX(1,MIN(6,'Вводные'!$E$90)),0)</x:f>
      </x:c>
      <x:c r="BE88" s="117" t="n">
        <x:f>IF(AND(BE$3&gt;=EDATE($B$75,-MIN(6,'Вводные'!$E$90)),BE$3&lt;$B$75),$B$88/MAX(1,MIN(6,'Вводные'!$E$90)),0)</x:f>
      </x:c>
      <x:c r="BF88" s="117" t="n">
        <x:f>IF(AND(BF$3&gt;=EDATE($B$75,-MIN(6,'Вводные'!$E$90)),BF$3&lt;$B$75),$B$88/MAX(1,MIN(6,'Вводные'!$E$90)),0)</x:f>
      </x:c>
      <x:c r="BG88" s="117" t="n">
        <x:f>IF(AND(BG$3&gt;=EDATE($B$75,-MIN(6,'Вводные'!$E$90)),BG$3&lt;$B$75),$B$88/MAX(1,MIN(6,'Вводные'!$E$90)),0)</x:f>
      </x:c>
      <x:c r="BH88" s="117" t="n">
        <x:f>IF(AND(BH$3&gt;=EDATE($B$75,-MIN(6,'Вводные'!$E$90)),BH$3&lt;$B$75),$B$88/MAX(1,MIN(6,'Вводные'!$E$90)),0)</x:f>
      </x:c>
      <x:c r="BI88" s="117" t="n">
        <x:f>IF(AND(BI$3&gt;=EDATE($B$75,-MIN(6,'Вводные'!$E$90)),BI$3&lt;$B$75),$B$88/MAX(1,MIN(6,'Вводные'!$E$90)),0)</x:f>
      </x:c>
      <x:c r="BJ88" s="117" t="n">
        <x:f>IF(AND(BJ$3&gt;=EDATE($B$75,-MIN(6,'Вводные'!$E$90)),BJ$3&lt;$B$75),$B$88/MAX(1,MIN(6,'Вводные'!$E$90)),0)</x:f>
      </x:c>
      <x:c r="BK88" s="117" t="n">
        <x:f>IF(AND(BK$3&gt;=EDATE($B$75,-MIN(6,'Вводные'!$E$90)),BK$3&lt;$B$75),$B$88/MAX(1,MIN(6,'Вводные'!$E$90)),0)</x:f>
      </x:c>
      <x:c r="BL88" s="117" t="n">
        <x:f>IF(AND(BL$3&gt;=EDATE($B$75,-MIN(6,'Вводные'!$E$90)),BL$3&lt;$B$75),$B$88/MAX(1,MIN(6,'Вводные'!$E$90)),0)</x:f>
      </x:c>
      <x:c r="BM88" s="117" t="n">
        <x:f>IF(AND(BM$3&gt;=EDATE($B$75,-MIN(6,'Вводные'!$E$90)),BM$3&lt;$B$75),$B$88/MAX(1,MIN(6,'Вводные'!$E$90)),0)</x:f>
      </x:c>
      <x:c r="BN88" s="117" t="n">
        <x:f>IF(AND(BN$3&gt;=EDATE($B$75,-MIN(6,'Вводные'!$E$90)),BN$3&lt;$B$75),$B$88/MAX(1,MIN(6,'Вводные'!$E$90)),0)</x:f>
      </x:c>
      <x:c r="BO88" s="117" t="n">
        <x:f>IF(AND(BO$3&gt;=EDATE($B$75,-MIN(6,'Вводные'!$E$90)),BO$3&lt;$B$75),$B$88/MAX(1,MIN(6,'Вводные'!$E$90)),0)</x:f>
      </x:c>
      <x:c r="BP88" s="117" t="n">
        <x:f>IF(AND(BP$3&gt;=EDATE($B$75,-MIN(6,'Вводные'!$E$90)),BP$3&lt;$B$75),$B$88/MAX(1,MIN(6,'Вводные'!$E$90)),0)</x:f>
      </x:c>
      <x:c r="BQ88" s="117" t="n">
        <x:f>IF(AND(BQ$3&gt;=EDATE($B$75,-MIN(6,'Вводные'!$E$90)),BQ$3&lt;$B$75),$B$88/MAX(1,MIN(6,'Вводные'!$E$90)),0)</x:f>
      </x:c>
      <x:c r="BR88" s="117" t="n">
        <x:f>IF(AND(BR$3&gt;=EDATE($B$75,-MIN(6,'Вводные'!$E$90)),BR$3&lt;$B$75),$B$88/MAX(1,MIN(6,'Вводные'!$E$90)),0)</x:f>
      </x:c>
      <x:c r="BS88" s="117" t="n">
        <x:f>IF(AND(BS$3&gt;=EDATE($B$75,-MIN(6,'Вводные'!$E$90)),BS$3&lt;$B$75),$B$88/MAX(1,MIN(6,'Вводные'!$E$90)),0)</x:f>
      </x:c>
      <x:c r="BT88" s="117" t="n">
        <x:f>IF(AND(BT$3&gt;=EDATE($B$75,-MIN(6,'Вводные'!$E$90)),BT$3&lt;$B$75),$B$88/MAX(1,MIN(6,'Вводные'!$E$90)),0)</x:f>
      </x:c>
      <x:c r="BU88" s="117" t="n">
        <x:f>IF(AND(BU$3&gt;=EDATE($B$75,-MIN(6,'Вводные'!$E$90)),BU$3&lt;$B$75),$B$88/MAX(1,MIN(6,'Вводные'!$E$90)),0)</x:f>
      </x:c>
      <x:c r="BV88" s="117" t="n">
        <x:f>IF(AND(BV$3&gt;=EDATE($B$75,-MIN(6,'Вводные'!$E$90)),BV$3&lt;$B$75),$B$88/MAX(1,MIN(6,'Вводные'!$E$90)),0)</x:f>
      </x:c>
      <x:c r="BW88" s="117" t="n">
        <x:f>IF(AND(BW$3&gt;=EDATE($B$75,-MIN(6,'Вводные'!$E$90)),BW$3&lt;$B$75),$B$88/MAX(1,MIN(6,'Вводные'!$E$90)),0)</x:f>
      </x:c>
      <x:c r="BX88" s="117" t="n">
        <x:f>IF(AND(BX$3&gt;=EDATE($B$75,-MIN(6,'Вводные'!$E$90)),BX$3&lt;$B$75),$B$88/MAX(1,MIN(6,'Вводные'!$E$90)),0)</x:f>
      </x:c>
      <x:c r="BY88" s="117" t="n">
        <x:f>IF(AND(BY$3&gt;=EDATE($B$75,-MIN(6,'Вводные'!$E$90)),BY$3&lt;$B$75),$B$88/MAX(1,MIN(6,'Вводные'!$E$90)),0)</x:f>
      </x:c>
      <x:c r="BZ88" s="117" t="n">
        <x:f>IF(AND(BZ$3&gt;=EDATE($B$75,-MIN(6,'Вводные'!$E$90)),BZ$3&lt;$B$75),$B$88/MAX(1,MIN(6,'Вводные'!$E$90)),0)</x:f>
      </x:c>
      <x:c r="CA88" s="117" t="n">
        <x:f>IF(AND(CA$3&gt;=EDATE($B$75,-MIN(6,'Вводные'!$E$90)),CA$3&lt;$B$75),$B$88/MAX(1,MIN(6,'Вводные'!$E$90)),0)</x:f>
      </x:c>
      <x:c r="CB88" s="117" t="n">
        <x:f>IF(AND(CB$3&gt;=EDATE($B$75,-MIN(6,'Вводные'!$E$90)),CB$3&lt;$B$75),$B$88/MAX(1,MIN(6,'Вводные'!$E$90)),0)</x:f>
      </x:c>
      <x:c r="CC88" s="117" t="n">
        <x:f>IF(AND(CC$3&gt;=EDATE($B$75,-MIN(6,'Вводные'!$E$90)),CC$3&lt;$B$75),$B$88/MAX(1,MIN(6,'Вводные'!$E$90)),0)</x:f>
      </x:c>
      <x:c r="CD88" s="117" t="n">
        <x:f>IF(AND(CD$3&gt;=EDATE($B$75,-MIN(6,'Вводные'!$E$90)),CD$3&lt;$B$75),$B$88/MAX(1,MIN(6,'Вводные'!$E$90)),0)</x:f>
      </x:c>
      <x:c r="CE88" s="117" t="n">
        <x:f>IF(AND(CE$3&gt;=EDATE($B$75,-MIN(6,'Вводные'!$E$90)),CE$3&lt;$B$75),$B$88/MAX(1,MIN(6,'Вводные'!$E$90)),0)</x:f>
      </x:c>
      <x:c r="CF88" s="117" t="n">
        <x:f>IF(AND(CF$3&gt;=EDATE($B$75,-MIN(6,'Вводные'!$E$90)),CF$3&lt;$B$75),$B$88/MAX(1,MIN(6,'Вводные'!$E$90)),0)</x:f>
      </x:c>
      <x:c r="CG88" s="117" t="n">
        <x:f>IF(AND(CG$3&gt;=EDATE($B$75,-MIN(6,'Вводные'!$E$90)),CG$3&lt;$B$75),$B$88/MAX(1,MIN(6,'Вводные'!$E$90)),0)</x:f>
      </x:c>
      <x:c r="CH88" s="117" t="n">
        <x:f>IF(AND(CH$3&gt;=EDATE($B$75,-MIN(6,'Вводные'!$E$90)),CH$3&lt;$B$75),$B$88/MAX(1,MIN(6,'Вводные'!$E$90)),0)</x:f>
      </x:c>
      <x:c r="CI88" s="117" t="n">
        <x:f>IF(AND(CI$3&gt;=EDATE($B$75,-MIN(6,'Вводные'!$E$90)),CI$3&lt;$B$75),$B$88/MAX(1,MIN(6,'Вводные'!$E$90)),0)</x:f>
      </x:c>
      <x:c r="CJ88" s="117" t="n">
        <x:f>IF(AND(CJ$3&gt;=EDATE($B$75,-MIN(6,'Вводные'!$E$90)),CJ$3&lt;$B$75),$B$88/MAX(1,MIN(6,'Вводные'!$E$90)),0)</x:f>
      </x:c>
      <x:c r="CK88" s="117" t="n">
        <x:f>IF(AND(CK$3&gt;=EDATE($B$75,-MIN(6,'Вводные'!$E$90)),CK$3&lt;$B$75),$B$88/MAX(1,MIN(6,'Вводные'!$E$90)),0)</x:f>
      </x:c>
      <x:c r="CL88" s="117" t="n">
        <x:f>IF(AND(CL$3&gt;=EDATE($B$75,-MIN(6,'Вводные'!$E$90)),CL$3&lt;$B$75),$B$88/MAX(1,MIN(6,'Вводные'!$E$90)),0)</x:f>
      </x:c>
      <x:c r="CM88" s="117" t="n">
        <x:f>IF(AND(CM$3&gt;=EDATE($B$75,-MIN(6,'Вводные'!$E$90)),CM$3&lt;$B$75),$B$88/MAX(1,MIN(6,'Вводные'!$E$90)),0)</x:f>
      </x:c>
      <x:c r="CN88" s="117" t="n">
        <x:f>IF(AND(CN$3&gt;=EDATE($B$75,-MIN(6,'Вводные'!$E$90)),CN$3&lt;$B$75),$B$88/MAX(1,MIN(6,'Вводные'!$E$90)),0)</x:f>
      </x:c>
      <x:c r="CO88" s="117" t="n">
        <x:f>IF(AND(CO$3&gt;=EDATE($B$75,-MIN(6,'Вводные'!$E$90)),CO$3&lt;$B$75),$B$88/MAX(1,MIN(6,'Вводные'!$E$90)),0)</x:f>
      </x:c>
      <x:c r="CP88" s="117" t="n">
        <x:f>IF(AND(CP$3&gt;=EDATE($B$75,-MIN(6,'Вводные'!$E$90)),CP$3&lt;$B$75),$B$88/MAX(1,MIN(6,'Вводные'!$E$90)),0)</x:f>
      </x:c>
      <x:c r="CQ88" s="117" t="n">
        <x:f>IF(AND(CQ$3&gt;=EDATE($B$75,-MIN(6,'Вводные'!$E$90)),CQ$3&lt;$B$75),$B$88/MAX(1,MIN(6,'Вводные'!$E$90)),0)</x:f>
      </x:c>
      <x:c r="CR88" s="117" t="n">
        <x:f>IF(AND(CR$3&gt;=EDATE($B$75,-MIN(6,'Вводные'!$E$90)),CR$3&lt;$B$75),$B$88/MAX(1,MIN(6,'Вводные'!$E$90)),0)</x:f>
      </x:c>
      <x:c r="CS88" s="117" t="n">
        <x:f>IF(AND(CS$3&gt;=EDATE($B$75,-MIN(6,'Вводные'!$E$90)),CS$3&lt;$B$75),$B$88/MAX(1,MIN(6,'Вводные'!$E$90)),0)</x:f>
      </x:c>
      <x:c r="CT88" s="117" t="n">
        <x:f>IF(AND(CT$3&gt;=EDATE($B$75,-MIN(6,'Вводные'!$E$90)),CT$3&lt;$B$75),$B$88/MAX(1,MIN(6,'Вводные'!$E$90)),0)</x:f>
      </x:c>
      <x:c r="CU88" s="117" t="n">
        <x:f>IF(AND(CU$3&gt;=EDATE($B$75,-MIN(6,'Вводные'!$E$90)),CU$3&lt;$B$75),$B$88/MAX(1,MIN(6,'Вводные'!$E$90)),0)</x:f>
      </x:c>
      <x:c r="CV88" s="117" t="n">
        <x:f>IF(AND(CV$3&gt;=EDATE($B$75,-MIN(6,'Вводные'!$E$90)),CV$3&lt;$B$75),$B$88/MAX(1,MIN(6,'Вводные'!$E$90)),0)</x:f>
      </x:c>
      <x:c r="CW88" s="117" t="n">
        <x:f>IF(AND(CW$3&gt;=EDATE($B$75,-MIN(6,'Вводные'!$E$90)),CW$3&lt;$B$75),$B$88/MAX(1,MIN(6,'Вводные'!$E$90)),0)</x:f>
      </x:c>
      <x:c r="CX88" s="117" t="n">
        <x:f>IF(AND(CX$3&gt;=EDATE($B$75,-MIN(6,'Вводные'!$E$90)),CX$3&lt;$B$75),$B$88/MAX(1,MIN(6,'Вводные'!$E$90)),0)</x:f>
      </x:c>
      <x:c r="CY88" s="117" t="n">
        <x:f>IF(AND(CY$3&gt;=EDATE($B$75,-MIN(6,'Вводные'!$E$90)),CY$3&lt;$B$75),$B$88/MAX(1,MIN(6,'Вводные'!$E$90)),0)</x:f>
      </x:c>
      <x:c r="CZ88" s="117" t="n">
        <x:f>IF(AND(CZ$3&gt;=EDATE($B$75,-MIN(6,'Вводные'!$E$90)),CZ$3&lt;$B$75),$B$88/MAX(1,MIN(6,'Вводные'!$E$90)),0)</x:f>
      </x:c>
      <x:c r="DA88" s="117" t="n">
        <x:f>IF(AND(DA$3&gt;=EDATE($B$75,-MIN(6,'Вводные'!$E$90)),DA$3&lt;$B$75),$B$88/MAX(1,MIN(6,'Вводные'!$E$90)),0)</x:f>
      </x:c>
      <x:c r="DB88" s="117" t="n">
        <x:f>IF(AND(DB$3&gt;=EDATE($B$75,-MIN(6,'Вводные'!$E$90)),DB$3&lt;$B$75),$B$88/MAX(1,MIN(6,'Вводные'!$E$90)),0)</x:f>
      </x:c>
      <x:c r="DC88" s="117" t="n">
        <x:f>IF(AND(DC$3&gt;=EDATE($B$75,-MIN(6,'Вводные'!$E$90)),DC$3&lt;$B$75),$B$88/MAX(1,MIN(6,'Вводные'!$E$90)),0)</x:f>
      </x:c>
      <x:c r="DD88" s="117" t="n">
        <x:f>IF(AND(DD$3&gt;=EDATE($B$75,-MIN(6,'Вводные'!$E$90)),DD$3&lt;$B$75),$B$88/MAX(1,MIN(6,'Вводные'!$E$90)),0)</x:f>
      </x:c>
      <x:c r="DE88" s="117" t="n">
        <x:f>IF(AND(DE$3&gt;=EDATE($B$75,-MIN(6,'Вводные'!$E$90)),DE$3&lt;$B$75),$B$88/MAX(1,MIN(6,'Вводные'!$E$90)),0)</x:f>
      </x:c>
      <x:c r="DF88" s="117" t="n">
        <x:f>IF(AND(DF$3&gt;=EDATE($B$75,-MIN(6,'Вводные'!$E$90)),DF$3&lt;$B$75),$B$88/MAX(1,MIN(6,'Вводные'!$E$90)),0)</x:f>
      </x:c>
      <x:c r="DG88" s="117" t="n">
        <x:f>IF(AND(DG$3&gt;=EDATE($B$75,-MIN(6,'Вводные'!$E$90)),DG$3&lt;$B$75),$B$88/MAX(1,MIN(6,'Вводные'!$E$90)),0)</x:f>
      </x:c>
      <x:c r="DH88" s="117" t="n">
        <x:f>IF(AND(DH$3&gt;=EDATE($B$75,-MIN(6,'Вводные'!$E$90)),DH$3&lt;$B$75),$B$88/MAX(1,MIN(6,'Вводные'!$E$90)),0)</x:f>
      </x:c>
      <x:c r="DI88" s="117" t="n">
        <x:f>IF(AND(DI$3&gt;=EDATE($B$75,-MIN(6,'Вводные'!$E$90)),DI$3&lt;$B$75),$B$88/MAX(1,MIN(6,'Вводные'!$E$90)),0)</x:f>
      </x:c>
      <x:c r="DJ88" s="117" t="n">
        <x:f>IF(AND(DJ$3&gt;=EDATE($B$75,-MIN(6,'Вводные'!$E$90)),DJ$3&lt;$B$75),$B$88/MAX(1,MIN(6,'Вводные'!$E$90)),0)</x:f>
      </x:c>
      <x:c r="DK88" s="117" t="n">
        <x:f>IF(AND(DK$3&gt;=EDATE($B$75,-MIN(6,'Вводные'!$E$90)),DK$3&lt;$B$75),$B$88/MAX(1,MIN(6,'Вводные'!$E$90)),0)</x:f>
      </x:c>
      <x:c r="DL88" s="117" t="n">
        <x:f>IF(AND(DL$3&gt;=EDATE($B$75,-MIN(6,'Вводные'!$E$90)),DL$3&lt;$B$75),$B$88/MAX(1,MIN(6,'Вводные'!$E$90)),0)</x:f>
      </x:c>
      <x:c r="DM88" s="117" t="n">
        <x:f>IF(AND(DM$3&gt;=EDATE($B$75,-MIN(6,'Вводные'!$E$90)),DM$3&lt;$B$75),$B$88/MAX(1,MIN(6,'Вводные'!$E$90)),0)</x:f>
      </x:c>
      <x:c r="DN88" s="117" t="n">
        <x:f>IF(AND(DN$3&gt;=EDATE($B$75,-MIN(6,'Вводные'!$E$90)),DN$3&lt;$B$75),$B$88/MAX(1,MIN(6,'Вводные'!$E$90)),0)</x:f>
      </x:c>
      <x:c r="DO88" s="117" t="n">
        <x:f>IF(AND(DO$3&gt;=EDATE($B$75,-MIN(6,'Вводные'!$E$90)),DO$3&lt;$B$75),$B$88/MAX(1,MIN(6,'Вводные'!$E$90)),0)</x:f>
      </x:c>
      <x:c r="DP88" s="117" t="n">
        <x:f>IF(AND(DP$3&gt;=EDATE($B$75,-MIN(6,'Вводные'!$E$90)),DP$3&lt;$B$75),$B$88/MAX(1,MIN(6,'Вводные'!$E$90)),0)</x:f>
      </x:c>
      <x:c r="DQ88" s="117" t="n">
        <x:f>IF(AND(DQ$3&gt;=EDATE($B$75,-MIN(6,'Вводные'!$E$90)),DQ$3&lt;$B$75),$B$88/MAX(1,MIN(6,'Вводные'!$E$90)),0)</x:f>
      </x:c>
      <x:c r="DR88" s="117" t="n">
        <x:f>IF(AND(DR$3&gt;=EDATE($B$75,-MIN(6,'Вводные'!$E$90)),DR$3&lt;$B$75),$B$88/MAX(1,MIN(6,'Вводные'!$E$90)),0)</x:f>
      </x:c>
      <x:c r="DS88" s="117" t="n">
        <x:f>IF(AND(DS$3&gt;=EDATE($B$75,-MIN(6,'Вводные'!$E$90)),DS$3&lt;$B$75),$B$88/MAX(1,MIN(6,'Вводные'!$E$90)),0)</x:f>
      </x:c>
    </x:row>
    <x:row r="89">
      <x:c r="A89" t="str">
        <x:v>Основное строительство — наземная часть</x:v>
      </x:c>
      <x:c r="B89" s="107" t="n">
        <x:f>(('Вводные'!$I$90+'Вводные'!$J$90)*'Вводные'!$B$44/1000*'Вводные'!$H$6*'Вводные'!$T$90*--('Вводные'!$B$90="Да"))*'Вводные'!$AH$90</x:f>
      </x:c>
      <x:c r="C89" t="str">
        <x:v>млн ₽</x:v>
      </x:c>
      <x:c r="D89" s="117" t="n">
        <x:f>$B$89*D81</x:f>
      </x:c>
      <x:c r="E89" s="117" t="n">
        <x:f>$B$89*E81</x:f>
      </x:c>
      <x:c r="F89" s="117" t="n">
        <x:f>$B$89*F81</x:f>
      </x:c>
      <x:c r="G89" s="117" t="n">
        <x:f>$B$89*G81</x:f>
      </x:c>
      <x:c r="H89" s="117" t="n">
        <x:f>$B$89*H81</x:f>
      </x:c>
      <x:c r="I89" s="117" t="n">
        <x:f>$B$89*I81</x:f>
      </x:c>
      <x:c r="J89" s="117" t="n">
        <x:f>$B$89*J81</x:f>
      </x:c>
      <x:c r="K89" s="117" t="n">
        <x:f>$B$89*K81</x:f>
      </x:c>
      <x:c r="L89" s="117" t="n">
        <x:f>$B$89*L81</x:f>
      </x:c>
      <x:c r="M89" s="117" t="n">
        <x:f>$B$89*M81</x:f>
      </x:c>
      <x:c r="N89" s="117" t="n">
        <x:f>$B$89*N81</x:f>
      </x:c>
      <x:c r="O89" s="117" t="n">
        <x:f>$B$89*O81</x:f>
      </x:c>
      <x:c r="P89" s="117" t="n">
        <x:f>$B$89*P81</x:f>
      </x:c>
      <x:c r="Q89" s="117" t="n">
        <x:f>$B$89*Q81</x:f>
      </x:c>
      <x:c r="R89" s="117" t="n">
        <x:f>$B$89*R81</x:f>
      </x:c>
      <x:c r="S89" s="117" t="n">
        <x:f>$B$89*S81</x:f>
      </x:c>
      <x:c r="T89" s="117" t="n">
        <x:f>$B$89*T81</x:f>
      </x:c>
      <x:c r="U89" s="117" t="n">
        <x:f>$B$89*U81</x:f>
      </x:c>
      <x:c r="V89" s="117" t="n">
        <x:f>$B$89*V81</x:f>
      </x:c>
      <x:c r="W89" s="117" t="n">
        <x:f>$B$89*W81</x:f>
      </x:c>
      <x:c r="X89" s="117" t="n">
        <x:f>$B$89*X81</x:f>
      </x:c>
      <x:c r="Y89" s="117" t="n">
        <x:f>$B$89*Y81</x:f>
      </x:c>
      <x:c r="Z89" s="117" t="n">
        <x:f>$B$89*Z81</x:f>
      </x:c>
      <x:c r="AA89" s="117" t="n">
        <x:f>$B$89*AA81</x:f>
      </x:c>
      <x:c r="AB89" s="117" t="n">
        <x:f>$B$89*AB81</x:f>
      </x:c>
      <x:c r="AC89" s="117" t="n">
        <x:f>$B$89*AC81</x:f>
      </x:c>
      <x:c r="AD89" s="117" t="n">
        <x:f>$B$89*AD81</x:f>
      </x:c>
      <x:c r="AE89" s="117" t="n">
        <x:f>$B$89*AE81</x:f>
      </x:c>
      <x:c r="AF89" s="117" t="n">
        <x:f>$B$89*AF81</x:f>
      </x:c>
      <x:c r="AG89" s="117" t="n">
        <x:f>$B$89*AG81</x:f>
      </x:c>
      <x:c r="AH89" s="117" t="n">
        <x:f>$B$89*AH81</x:f>
      </x:c>
      <x:c r="AI89" s="117" t="n">
        <x:f>$B$89*AI81</x:f>
      </x:c>
      <x:c r="AJ89" s="117" t="n">
        <x:f>$B$89*AJ81</x:f>
      </x:c>
      <x:c r="AK89" s="117" t="n">
        <x:f>$B$89*AK81</x:f>
      </x:c>
      <x:c r="AL89" s="117" t="n">
        <x:f>$B$89*AL81</x:f>
      </x:c>
      <x:c r="AM89" s="117" t="n">
        <x:f>$B$89*AM81</x:f>
      </x:c>
      <x:c r="AN89" s="117" t="n">
        <x:f>$B$89*AN81</x:f>
      </x:c>
      <x:c r="AO89" s="117" t="n">
        <x:f>$B$89*AO81</x:f>
      </x:c>
      <x:c r="AP89" s="117" t="n">
        <x:f>$B$89*AP81</x:f>
      </x:c>
      <x:c r="AQ89" s="117" t="n">
        <x:f>$B$89*AQ81</x:f>
      </x:c>
      <x:c r="AR89" s="117" t="n">
        <x:f>$B$89*AR81</x:f>
      </x:c>
      <x:c r="AS89" s="117" t="n">
        <x:f>$B$89*AS81</x:f>
      </x:c>
      <x:c r="AT89" s="117" t="n">
        <x:f>$B$89*AT81</x:f>
      </x:c>
      <x:c r="AU89" s="117" t="n">
        <x:f>$B$89*AU81</x:f>
      </x:c>
      <x:c r="AV89" s="117" t="n">
        <x:f>$B$89*AV81</x:f>
      </x:c>
      <x:c r="AW89" s="117" t="n">
        <x:f>$B$89*AW81</x:f>
      </x:c>
      <x:c r="AX89" s="117" t="n">
        <x:f>$B$89*AX81</x:f>
      </x:c>
      <x:c r="AY89" s="117" t="n">
        <x:f>$B$89*AY81</x:f>
      </x:c>
      <x:c r="AZ89" s="117" t="n">
        <x:f>$B$89*AZ81</x:f>
      </x:c>
      <x:c r="BA89" s="117" t="n">
        <x:f>$B$89*BA81</x:f>
      </x:c>
      <x:c r="BB89" s="117" t="n">
        <x:f>$B$89*BB81</x:f>
      </x:c>
      <x:c r="BC89" s="117" t="n">
        <x:f>$B$89*BC81</x:f>
      </x:c>
      <x:c r="BD89" s="117" t="n">
        <x:f>$B$89*BD81</x:f>
      </x:c>
      <x:c r="BE89" s="117" t="n">
        <x:f>$B$89*BE81</x:f>
      </x:c>
      <x:c r="BF89" s="117" t="n">
        <x:f>$B$89*BF81</x:f>
      </x:c>
      <x:c r="BG89" s="117" t="n">
        <x:f>$B$89*BG81</x:f>
      </x:c>
      <x:c r="BH89" s="117" t="n">
        <x:f>$B$89*BH81</x:f>
      </x:c>
      <x:c r="BI89" s="117" t="n">
        <x:f>$B$89*BI81</x:f>
      </x:c>
      <x:c r="BJ89" s="117" t="n">
        <x:f>$B$89*BJ81</x:f>
      </x:c>
      <x:c r="BK89" s="117" t="n">
        <x:f>$B$89*BK81</x:f>
      </x:c>
      <x:c r="BL89" s="117" t="n">
        <x:f>$B$89*BL81</x:f>
      </x:c>
      <x:c r="BM89" s="117" t="n">
        <x:f>$B$89*BM81</x:f>
      </x:c>
      <x:c r="BN89" s="117" t="n">
        <x:f>$B$89*BN81</x:f>
      </x:c>
      <x:c r="BO89" s="117" t="n">
        <x:f>$B$89*BO81</x:f>
      </x:c>
      <x:c r="BP89" s="117" t="n">
        <x:f>$B$89*BP81</x:f>
      </x:c>
      <x:c r="BQ89" s="117" t="n">
        <x:f>$B$89*BQ81</x:f>
      </x:c>
      <x:c r="BR89" s="117" t="n">
        <x:f>$B$89*BR81</x:f>
      </x:c>
      <x:c r="BS89" s="117" t="n">
        <x:f>$B$89*BS81</x:f>
      </x:c>
      <x:c r="BT89" s="117" t="n">
        <x:f>$B$89*BT81</x:f>
      </x:c>
      <x:c r="BU89" s="117" t="n">
        <x:f>$B$89*BU81</x:f>
      </x:c>
      <x:c r="BV89" s="117" t="n">
        <x:f>$B$89*BV81</x:f>
      </x:c>
      <x:c r="BW89" s="117" t="n">
        <x:f>$B$89*BW81</x:f>
      </x:c>
      <x:c r="BX89" s="117" t="n">
        <x:f>$B$89*BX81</x:f>
      </x:c>
      <x:c r="BY89" s="117" t="n">
        <x:f>$B$89*BY81</x:f>
      </x:c>
      <x:c r="BZ89" s="117" t="n">
        <x:f>$B$89*BZ81</x:f>
      </x:c>
      <x:c r="CA89" s="117" t="n">
        <x:f>$B$89*CA81</x:f>
      </x:c>
      <x:c r="CB89" s="117" t="n">
        <x:f>$B$89*CB81</x:f>
      </x:c>
      <x:c r="CC89" s="117" t="n">
        <x:f>$B$89*CC81</x:f>
      </x:c>
      <x:c r="CD89" s="117" t="n">
        <x:f>$B$89*CD81</x:f>
      </x:c>
      <x:c r="CE89" s="117" t="n">
        <x:f>$B$89*CE81</x:f>
      </x:c>
      <x:c r="CF89" s="117" t="n">
        <x:f>$B$89*CF81</x:f>
      </x:c>
      <x:c r="CG89" s="117" t="n">
        <x:f>$B$89*CG81</x:f>
      </x:c>
      <x:c r="CH89" s="117" t="n">
        <x:f>$B$89*CH81</x:f>
      </x:c>
      <x:c r="CI89" s="117" t="n">
        <x:f>$B$89*CI81</x:f>
      </x:c>
      <x:c r="CJ89" s="117" t="n">
        <x:f>$B$89*CJ81</x:f>
      </x:c>
      <x:c r="CK89" s="117" t="n">
        <x:f>$B$89*CK81</x:f>
      </x:c>
      <x:c r="CL89" s="117" t="n">
        <x:f>$B$89*CL81</x:f>
      </x:c>
      <x:c r="CM89" s="117" t="n">
        <x:f>$B$89*CM81</x:f>
      </x:c>
      <x:c r="CN89" s="117" t="n">
        <x:f>$B$89*CN81</x:f>
      </x:c>
      <x:c r="CO89" s="117" t="n">
        <x:f>$B$89*CO81</x:f>
      </x:c>
      <x:c r="CP89" s="117" t="n">
        <x:f>$B$89*CP81</x:f>
      </x:c>
      <x:c r="CQ89" s="117" t="n">
        <x:f>$B$89*CQ81</x:f>
      </x:c>
      <x:c r="CR89" s="117" t="n">
        <x:f>$B$89*CR81</x:f>
      </x:c>
      <x:c r="CS89" s="117" t="n">
        <x:f>$B$89*CS81</x:f>
      </x:c>
      <x:c r="CT89" s="117" t="n">
        <x:f>$B$89*CT81</x:f>
      </x:c>
      <x:c r="CU89" s="117" t="n">
        <x:f>$B$89*CU81</x:f>
      </x:c>
      <x:c r="CV89" s="117" t="n">
        <x:f>$B$89*CV81</x:f>
      </x:c>
      <x:c r="CW89" s="117" t="n">
        <x:f>$B$89*CW81</x:f>
      </x:c>
      <x:c r="CX89" s="117" t="n">
        <x:f>$B$89*CX81</x:f>
      </x:c>
      <x:c r="CY89" s="117" t="n">
        <x:f>$B$89*CY81</x:f>
      </x:c>
      <x:c r="CZ89" s="117" t="n">
        <x:f>$B$89*CZ81</x:f>
      </x:c>
      <x:c r="DA89" s="117" t="n">
        <x:f>$B$89*DA81</x:f>
      </x:c>
      <x:c r="DB89" s="117" t="n">
        <x:f>$B$89*DB81</x:f>
      </x:c>
      <x:c r="DC89" s="117" t="n">
        <x:f>$B$89*DC81</x:f>
      </x:c>
      <x:c r="DD89" s="117" t="n">
        <x:f>$B$89*DD81</x:f>
      </x:c>
      <x:c r="DE89" s="117" t="n">
        <x:f>$B$89*DE81</x:f>
      </x:c>
      <x:c r="DF89" s="117" t="n">
        <x:f>$B$89*DF81</x:f>
      </x:c>
      <x:c r="DG89" s="117" t="n">
        <x:f>$B$89*DG81</x:f>
      </x:c>
      <x:c r="DH89" s="117" t="n">
        <x:f>$B$89*DH81</x:f>
      </x:c>
      <x:c r="DI89" s="117" t="n">
        <x:f>$B$89*DI81</x:f>
      </x:c>
      <x:c r="DJ89" s="117" t="n">
        <x:f>$B$89*DJ81</x:f>
      </x:c>
      <x:c r="DK89" s="117" t="n">
        <x:f>$B$89*DK81</x:f>
      </x:c>
      <x:c r="DL89" s="117" t="n">
        <x:f>$B$89*DL81</x:f>
      </x:c>
      <x:c r="DM89" s="117" t="n">
        <x:f>$B$89*DM81</x:f>
      </x:c>
      <x:c r="DN89" s="117" t="n">
        <x:f>$B$89*DN81</x:f>
      </x:c>
      <x:c r="DO89" s="117" t="n">
        <x:f>$B$89*DO81</x:f>
      </x:c>
      <x:c r="DP89" s="117" t="n">
        <x:f>$B$89*DP81</x:f>
      </x:c>
      <x:c r="DQ89" s="117" t="n">
        <x:f>$B$89*DQ81</x:f>
      </x:c>
      <x:c r="DR89" s="117" t="n">
        <x:f>$B$89*DR81</x:f>
      </x:c>
      <x:c r="DS89" s="117" t="n">
        <x:f>$B$89*DS81</x:f>
      </x:c>
    </x:row>
    <x:row r="90">
      <x:c r="A90" t="str">
        <x:v>Основное строительство — подземная часть</x:v>
      </x:c>
      <x:c r="B90" s="107" t="n">
        <x:f>('Вводные'!$K$90*'Вводные'!$B$45/1000*'Вводные'!$H$6*'Вводные'!$T$90*--('Вводные'!$B$90="Да"))*'Вводные'!$AH$90</x:f>
      </x:c>
      <x:c r="C90" t="str">
        <x:v>млн ₽</x:v>
      </x:c>
      <x:c r="D90" s="117" t="n">
        <x:f>$B$90*D81</x:f>
      </x:c>
      <x:c r="E90" s="117" t="n">
        <x:f>$B$90*E81</x:f>
      </x:c>
      <x:c r="F90" s="117" t="n">
        <x:f>$B$90*F81</x:f>
      </x:c>
      <x:c r="G90" s="117" t="n">
        <x:f>$B$90*G81</x:f>
      </x:c>
      <x:c r="H90" s="117" t="n">
        <x:f>$B$90*H81</x:f>
      </x:c>
      <x:c r="I90" s="117" t="n">
        <x:f>$B$90*I81</x:f>
      </x:c>
      <x:c r="J90" s="117" t="n">
        <x:f>$B$90*J81</x:f>
      </x:c>
      <x:c r="K90" s="117" t="n">
        <x:f>$B$90*K81</x:f>
      </x:c>
      <x:c r="L90" s="117" t="n">
        <x:f>$B$90*L81</x:f>
      </x:c>
      <x:c r="M90" s="117" t="n">
        <x:f>$B$90*M81</x:f>
      </x:c>
      <x:c r="N90" s="117" t="n">
        <x:f>$B$90*N81</x:f>
      </x:c>
      <x:c r="O90" s="117" t="n">
        <x:f>$B$90*O81</x:f>
      </x:c>
      <x:c r="P90" s="117" t="n">
        <x:f>$B$90*P81</x:f>
      </x:c>
      <x:c r="Q90" s="117" t="n">
        <x:f>$B$90*Q81</x:f>
      </x:c>
      <x:c r="R90" s="117" t="n">
        <x:f>$B$90*R81</x:f>
      </x:c>
      <x:c r="S90" s="117" t="n">
        <x:f>$B$90*S81</x:f>
      </x:c>
      <x:c r="T90" s="117" t="n">
        <x:f>$B$90*T81</x:f>
      </x:c>
      <x:c r="U90" s="117" t="n">
        <x:f>$B$90*U81</x:f>
      </x:c>
      <x:c r="V90" s="117" t="n">
        <x:f>$B$90*V81</x:f>
      </x:c>
      <x:c r="W90" s="117" t="n">
        <x:f>$B$90*W81</x:f>
      </x:c>
      <x:c r="X90" s="117" t="n">
        <x:f>$B$90*X81</x:f>
      </x:c>
      <x:c r="Y90" s="117" t="n">
        <x:f>$B$90*Y81</x:f>
      </x:c>
      <x:c r="Z90" s="117" t="n">
        <x:f>$B$90*Z81</x:f>
      </x:c>
      <x:c r="AA90" s="117" t="n">
        <x:f>$B$90*AA81</x:f>
      </x:c>
      <x:c r="AB90" s="117" t="n">
        <x:f>$B$90*AB81</x:f>
      </x:c>
      <x:c r="AC90" s="117" t="n">
        <x:f>$B$90*AC81</x:f>
      </x:c>
      <x:c r="AD90" s="117" t="n">
        <x:f>$B$90*AD81</x:f>
      </x:c>
      <x:c r="AE90" s="117" t="n">
        <x:f>$B$90*AE81</x:f>
      </x:c>
      <x:c r="AF90" s="117" t="n">
        <x:f>$B$90*AF81</x:f>
      </x:c>
      <x:c r="AG90" s="117" t="n">
        <x:f>$B$90*AG81</x:f>
      </x:c>
      <x:c r="AH90" s="117" t="n">
        <x:f>$B$90*AH81</x:f>
      </x:c>
      <x:c r="AI90" s="117" t="n">
        <x:f>$B$90*AI81</x:f>
      </x:c>
      <x:c r="AJ90" s="117" t="n">
        <x:f>$B$90*AJ81</x:f>
      </x:c>
      <x:c r="AK90" s="117" t="n">
        <x:f>$B$90*AK81</x:f>
      </x:c>
      <x:c r="AL90" s="117" t="n">
        <x:f>$B$90*AL81</x:f>
      </x:c>
      <x:c r="AM90" s="117" t="n">
        <x:f>$B$90*AM81</x:f>
      </x:c>
      <x:c r="AN90" s="117" t="n">
        <x:f>$B$90*AN81</x:f>
      </x:c>
      <x:c r="AO90" s="117" t="n">
        <x:f>$B$90*AO81</x:f>
      </x:c>
      <x:c r="AP90" s="117" t="n">
        <x:f>$B$90*AP81</x:f>
      </x:c>
      <x:c r="AQ90" s="117" t="n">
        <x:f>$B$90*AQ81</x:f>
      </x:c>
      <x:c r="AR90" s="117" t="n">
        <x:f>$B$90*AR81</x:f>
      </x:c>
      <x:c r="AS90" s="117" t="n">
        <x:f>$B$90*AS81</x:f>
      </x:c>
      <x:c r="AT90" s="117" t="n">
        <x:f>$B$90*AT81</x:f>
      </x:c>
      <x:c r="AU90" s="117" t="n">
        <x:f>$B$90*AU81</x:f>
      </x:c>
      <x:c r="AV90" s="117" t="n">
        <x:f>$B$90*AV81</x:f>
      </x:c>
      <x:c r="AW90" s="117" t="n">
        <x:f>$B$90*AW81</x:f>
      </x:c>
      <x:c r="AX90" s="117" t="n">
        <x:f>$B$90*AX81</x:f>
      </x:c>
      <x:c r="AY90" s="117" t="n">
        <x:f>$B$90*AY81</x:f>
      </x:c>
      <x:c r="AZ90" s="117" t="n">
        <x:f>$B$90*AZ81</x:f>
      </x:c>
      <x:c r="BA90" s="117" t="n">
        <x:f>$B$90*BA81</x:f>
      </x:c>
      <x:c r="BB90" s="117" t="n">
        <x:f>$B$90*BB81</x:f>
      </x:c>
      <x:c r="BC90" s="117" t="n">
        <x:f>$B$90*BC81</x:f>
      </x:c>
      <x:c r="BD90" s="117" t="n">
        <x:f>$B$90*BD81</x:f>
      </x:c>
      <x:c r="BE90" s="117" t="n">
        <x:f>$B$90*BE81</x:f>
      </x:c>
      <x:c r="BF90" s="117" t="n">
        <x:f>$B$90*BF81</x:f>
      </x:c>
      <x:c r="BG90" s="117" t="n">
        <x:f>$B$90*BG81</x:f>
      </x:c>
      <x:c r="BH90" s="117" t="n">
        <x:f>$B$90*BH81</x:f>
      </x:c>
      <x:c r="BI90" s="117" t="n">
        <x:f>$B$90*BI81</x:f>
      </x:c>
      <x:c r="BJ90" s="117" t="n">
        <x:f>$B$90*BJ81</x:f>
      </x:c>
      <x:c r="BK90" s="117" t="n">
        <x:f>$B$90*BK81</x:f>
      </x:c>
      <x:c r="BL90" s="117" t="n">
        <x:f>$B$90*BL81</x:f>
      </x:c>
      <x:c r="BM90" s="117" t="n">
        <x:f>$B$90*BM81</x:f>
      </x:c>
      <x:c r="BN90" s="117" t="n">
        <x:f>$B$90*BN81</x:f>
      </x:c>
      <x:c r="BO90" s="117" t="n">
        <x:f>$B$90*BO81</x:f>
      </x:c>
      <x:c r="BP90" s="117" t="n">
        <x:f>$B$90*BP81</x:f>
      </x:c>
      <x:c r="BQ90" s="117" t="n">
        <x:f>$B$90*BQ81</x:f>
      </x:c>
      <x:c r="BR90" s="117" t="n">
        <x:f>$B$90*BR81</x:f>
      </x:c>
      <x:c r="BS90" s="117" t="n">
        <x:f>$B$90*BS81</x:f>
      </x:c>
      <x:c r="BT90" s="117" t="n">
        <x:f>$B$90*BT81</x:f>
      </x:c>
      <x:c r="BU90" s="117" t="n">
        <x:f>$B$90*BU81</x:f>
      </x:c>
      <x:c r="BV90" s="117" t="n">
        <x:f>$B$90*BV81</x:f>
      </x:c>
      <x:c r="BW90" s="117" t="n">
        <x:f>$B$90*BW81</x:f>
      </x:c>
      <x:c r="BX90" s="117" t="n">
        <x:f>$B$90*BX81</x:f>
      </x:c>
      <x:c r="BY90" s="117" t="n">
        <x:f>$B$90*BY81</x:f>
      </x:c>
      <x:c r="BZ90" s="117" t="n">
        <x:f>$B$90*BZ81</x:f>
      </x:c>
      <x:c r="CA90" s="117" t="n">
        <x:f>$B$90*CA81</x:f>
      </x:c>
      <x:c r="CB90" s="117" t="n">
        <x:f>$B$90*CB81</x:f>
      </x:c>
      <x:c r="CC90" s="117" t="n">
        <x:f>$B$90*CC81</x:f>
      </x:c>
      <x:c r="CD90" s="117" t="n">
        <x:f>$B$90*CD81</x:f>
      </x:c>
      <x:c r="CE90" s="117" t="n">
        <x:f>$B$90*CE81</x:f>
      </x:c>
      <x:c r="CF90" s="117" t="n">
        <x:f>$B$90*CF81</x:f>
      </x:c>
      <x:c r="CG90" s="117" t="n">
        <x:f>$B$90*CG81</x:f>
      </x:c>
      <x:c r="CH90" s="117" t="n">
        <x:f>$B$90*CH81</x:f>
      </x:c>
      <x:c r="CI90" s="117" t="n">
        <x:f>$B$90*CI81</x:f>
      </x:c>
      <x:c r="CJ90" s="117" t="n">
        <x:f>$B$90*CJ81</x:f>
      </x:c>
      <x:c r="CK90" s="117" t="n">
        <x:f>$B$90*CK81</x:f>
      </x:c>
      <x:c r="CL90" s="117" t="n">
        <x:f>$B$90*CL81</x:f>
      </x:c>
      <x:c r="CM90" s="117" t="n">
        <x:f>$B$90*CM81</x:f>
      </x:c>
      <x:c r="CN90" s="117" t="n">
        <x:f>$B$90*CN81</x:f>
      </x:c>
      <x:c r="CO90" s="117" t="n">
        <x:f>$B$90*CO81</x:f>
      </x:c>
      <x:c r="CP90" s="117" t="n">
        <x:f>$B$90*CP81</x:f>
      </x:c>
      <x:c r="CQ90" s="117" t="n">
        <x:f>$B$90*CQ81</x:f>
      </x:c>
      <x:c r="CR90" s="117" t="n">
        <x:f>$B$90*CR81</x:f>
      </x:c>
      <x:c r="CS90" s="117" t="n">
        <x:f>$B$90*CS81</x:f>
      </x:c>
      <x:c r="CT90" s="117" t="n">
        <x:f>$B$90*CT81</x:f>
      </x:c>
      <x:c r="CU90" s="117" t="n">
        <x:f>$B$90*CU81</x:f>
      </x:c>
      <x:c r="CV90" s="117" t="n">
        <x:f>$B$90*CV81</x:f>
      </x:c>
      <x:c r="CW90" s="117" t="n">
        <x:f>$B$90*CW81</x:f>
      </x:c>
      <x:c r="CX90" s="117" t="n">
        <x:f>$B$90*CX81</x:f>
      </x:c>
      <x:c r="CY90" s="117" t="n">
        <x:f>$B$90*CY81</x:f>
      </x:c>
      <x:c r="CZ90" s="117" t="n">
        <x:f>$B$90*CZ81</x:f>
      </x:c>
      <x:c r="DA90" s="117" t="n">
        <x:f>$B$90*DA81</x:f>
      </x:c>
      <x:c r="DB90" s="117" t="n">
        <x:f>$B$90*DB81</x:f>
      </x:c>
      <x:c r="DC90" s="117" t="n">
        <x:f>$B$90*DC81</x:f>
      </x:c>
      <x:c r="DD90" s="117" t="n">
        <x:f>$B$90*DD81</x:f>
      </x:c>
      <x:c r="DE90" s="117" t="n">
        <x:f>$B$90*DE81</x:f>
      </x:c>
      <x:c r="DF90" s="117" t="n">
        <x:f>$B$90*DF81</x:f>
      </x:c>
      <x:c r="DG90" s="117" t="n">
        <x:f>$B$90*DG81</x:f>
      </x:c>
      <x:c r="DH90" s="117" t="n">
        <x:f>$B$90*DH81</x:f>
      </x:c>
      <x:c r="DI90" s="117" t="n">
        <x:f>$B$90*DI81</x:f>
      </x:c>
      <x:c r="DJ90" s="117" t="n">
        <x:f>$B$90*DJ81</x:f>
      </x:c>
      <x:c r="DK90" s="117" t="n">
        <x:f>$B$90*DK81</x:f>
      </x:c>
      <x:c r="DL90" s="117" t="n">
        <x:f>$B$90*DL81</x:f>
      </x:c>
      <x:c r="DM90" s="117" t="n">
        <x:f>$B$90*DM81</x:f>
      </x:c>
      <x:c r="DN90" s="117" t="n">
        <x:f>$B$90*DN81</x:f>
      </x:c>
      <x:c r="DO90" s="117" t="n">
        <x:f>$B$90*DO81</x:f>
      </x:c>
      <x:c r="DP90" s="117" t="n">
        <x:f>$B$90*DP81</x:f>
      </x:c>
      <x:c r="DQ90" s="117" t="n">
        <x:f>$B$90*DQ81</x:f>
      </x:c>
      <x:c r="DR90" s="117" t="n">
        <x:f>$B$90*DR81</x:f>
      </x:c>
      <x:c r="DS90" s="117" t="n">
        <x:f>$B$90*DS81</x:f>
      </x:c>
    </x:row>
    <x:row r="91">
      <x:c r="A91" t="str">
        <x:v>Наружные инженерные сети</x:v>
      </x:c>
      <x:c r="B91" s="107" t="n">
        <x:f>(('Вводные'!$I$90+'Вводные'!$J$90+'Вводные'!$K$90)*'Вводные'!$B$46/1000*'Вводные'!$H$6*'Вводные'!$T$90*--('Вводные'!$B$90="Да"))*'Вводные'!$AH$90</x:f>
      </x:c>
      <x:c r="C91" t="str">
        <x:v>млн ₽</x:v>
      </x:c>
      <x:c r="D91" s="117" t="n">
        <x:f>$B$91*D81</x:f>
      </x:c>
      <x:c r="E91" s="117" t="n">
        <x:f>$B$91*E81</x:f>
      </x:c>
      <x:c r="F91" s="117" t="n">
        <x:f>$B$91*F81</x:f>
      </x:c>
      <x:c r="G91" s="117" t="n">
        <x:f>$B$91*G81</x:f>
      </x:c>
      <x:c r="H91" s="117" t="n">
        <x:f>$B$91*H81</x:f>
      </x:c>
      <x:c r="I91" s="117" t="n">
        <x:f>$B$91*I81</x:f>
      </x:c>
      <x:c r="J91" s="117" t="n">
        <x:f>$B$91*J81</x:f>
      </x:c>
      <x:c r="K91" s="117" t="n">
        <x:f>$B$91*K81</x:f>
      </x:c>
      <x:c r="L91" s="117" t="n">
        <x:f>$B$91*L81</x:f>
      </x:c>
      <x:c r="M91" s="117" t="n">
        <x:f>$B$91*M81</x:f>
      </x:c>
      <x:c r="N91" s="117" t="n">
        <x:f>$B$91*N81</x:f>
      </x:c>
      <x:c r="O91" s="117" t="n">
        <x:f>$B$91*O81</x:f>
      </x:c>
      <x:c r="P91" s="117" t="n">
        <x:f>$B$91*P81</x:f>
      </x:c>
      <x:c r="Q91" s="117" t="n">
        <x:f>$B$91*Q81</x:f>
      </x:c>
      <x:c r="R91" s="117" t="n">
        <x:f>$B$91*R81</x:f>
      </x:c>
      <x:c r="S91" s="117" t="n">
        <x:f>$B$91*S81</x:f>
      </x:c>
      <x:c r="T91" s="117" t="n">
        <x:f>$B$91*T81</x:f>
      </x:c>
      <x:c r="U91" s="117" t="n">
        <x:f>$B$91*U81</x:f>
      </x:c>
      <x:c r="V91" s="117" t="n">
        <x:f>$B$91*V81</x:f>
      </x:c>
      <x:c r="W91" s="117" t="n">
        <x:f>$B$91*W81</x:f>
      </x:c>
      <x:c r="X91" s="117" t="n">
        <x:f>$B$91*X81</x:f>
      </x:c>
      <x:c r="Y91" s="117" t="n">
        <x:f>$B$91*Y81</x:f>
      </x:c>
      <x:c r="Z91" s="117" t="n">
        <x:f>$B$91*Z81</x:f>
      </x:c>
      <x:c r="AA91" s="117" t="n">
        <x:f>$B$91*AA81</x:f>
      </x:c>
      <x:c r="AB91" s="117" t="n">
        <x:f>$B$91*AB81</x:f>
      </x:c>
      <x:c r="AC91" s="117" t="n">
        <x:f>$B$91*AC81</x:f>
      </x:c>
      <x:c r="AD91" s="117" t="n">
        <x:f>$B$91*AD81</x:f>
      </x:c>
      <x:c r="AE91" s="117" t="n">
        <x:f>$B$91*AE81</x:f>
      </x:c>
      <x:c r="AF91" s="117" t="n">
        <x:f>$B$91*AF81</x:f>
      </x:c>
      <x:c r="AG91" s="117" t="n">
        <x:f>$B$91*AG81</x:f>
      </x:c>
      <x:c r="AH91" s="117" t="n">
        <x:f>$B$91*AH81</x:f>
      </x:c>
      <x:c r="AI91" s="117" t="n">
        <x:f>$B$91*AI81</x:f>
      </x:c>
      <x:c r="AJ91" s="117" t="n">
        <x:f>$B$91*AJ81</x:f>
      </x:c>
      <x:c r="AK91" s="117" t="n">
        <x:f>$B$91*AK81</x:f>
      </x:c>
      <x:c r="AL91" s="117" t="n">
        <x:f>$B$91*AL81</x:f>
      </x:c>
      <x:c r="AM91" s="117" t="n">
        <x:f>$B$91*AM81</x:f>
      </x:c>
      <x:c r="AN91" s="117" t="n">
        <x:f>$B$91*AN81</x:f>
      </x:c>
      <x:c r="AO91" s="117" t="n">
        <x:f>$B$91*AO81</x:f>
      </x:c>
      <x:c r="AP91" s="117" t="n">
        <x:f>$B$91*AP81</x:f>
      </x:c>
      <x:c r="AQ91" s="117" t="n">
        <x:f>$B$91*AQ81</x:f>
      </x:c>
      <x:c r="AR91" s="117" t="n">
        <x:f>$B$91*AR81</x:f>
      </x:c>
      <x:c r="AS91" s="117" t="n">
        <x:f>$B$91*AS81</x:f>
      </x:c>
      <x:c r="AT91" s="117" t="n">
        <x:f>$B$91*AT81</x:f>
      </x:c>
      <x:c r="AU91" s="117" t="n">
        <x:f>$B$91*AU81</x:f>
      </x:c>
      <x:c r="AV91" s="117" t="n">
        <x:f>$B$91*AV81</x:f>
      </x:c>
      <x:c r="AW91" s="117" t="n">
        <x:f>$B$91*AW81</x:f>
      </x:c>
      <x:c r="AX91" s="117" t="n">
        <x:f>$B$91*AX81</x:f>
      </x:c>
      <x:c r="AY91" s="117" t="n">
        <x:f>$B$91*AY81</x:f>
      </x:c>
      <x:c r="AZ91" s="117" t="n">
        <x:f>$B$91*AZ81</x:f>
      </x:c>
      <x:c r="BA91" s="117" t="n">
        <x:f>$B$91*BA81</x:f>
      </x:c>
      <x:c r="BB91" s="117" t="n">
        <x:f>$B$91*BB81</x:f>
      </x:c>
      <x:c r="BC91" s="117" t="n">
        <x:f>$B$91*BC81</x:f>
      </x:c>
      <x:c r="BD91" s="117" t="n">
        <x:f>$B$91*BD81</x:f>
      </x:c>
      <x:c r="BE91" s="117" t="n">
        <x:f>$B$91*BE81</x:f>
      </x:c>
      <x:c r="BF91" s="117" t="n">
        <x:f>$B$91*BF81</x:f>
      </x:c>
      <x:c r="BG91" s="117" t="n">
        <x:f>$B$91*BG81</x:f>
      </x:c>
      <x:c r="BH91" s="117" t="n">
        <x:f>$B$91*BH81</x:f>
      </x:c>
      <x:c r="BI91" s="117" t="n">
        <x:f>$B$91*BI81</x:f>
      </x:c>
      <x:c r="BJ91" s="117" t="n">
        <x:f>$B$91*BJ81</x:f>
      </x:c>
      <x:c r="BK91" s="117" t="n">
        <x:f>$B$91*BK81</x:f>
      </x:c>
      <x:c r="BL91" s="117" t="n">
        <x:f>$B$91*BL81</x:f>
      </x:c>
      <x:c r="BM91" s="117" t="n">
        <x:f>$B$91*BM81</x:f>
      </x:c>
      <x:c r="BN91" s="117" t="n">
        <x:f>$B$91*BN81</x:f>
      </x:c>
      <x:c r="BO91" s="117" t="n">
        <x:f>$B$91*BO81</x:f>
      </x:c>
      <x:c r="BP91" s="117" t="n">
        <x:f>$B$91*BP81</x:f>
      </x:c>
      <x:c r="BQ91" s="117" t="n">
        <x:f>$B$91*BQ81</x:f>
      </x:c>
      <x:c r="BR91" s="117" t="n">
        <x:f>$B$91*BR81</x:f>
      </x:c>
      <x:c r="BS91" s="117" t="n">
        <x:f>$B$91*BS81</x:f>
      </x:c>
      <x:c r="BT91" s="117" t="n">
        <x:f>$B$91*BT81</x:f>
      </x:c>
      <x:c r="BU91" s="117" t="n">
        <x:f>$B$91*BU81</x:f>
      </x:c>
      <x:c r="BV91" s="117" t="n">
        <x:f>$B$91*BV81</x:f>
      </x:c>
      <x:c r="BW91" s="117" t="n">
        <x:f>$B$91*BW81</x:f>
      </x:c>
      <x:c r="BX91" s="117" t="n">
        <x:f>$B$91*BX81</x:f>
      </x:c>
      <x:c r="BY91" s="117" t="n">
        <x:f>$B$91*BY81</x:f>
      </x:c>
      <x:c r="BZ91" s="117" t="n">
        <x:f>$B$91*BZ81</x:f>
      </x:c>
      <x:c r="CA91" s="117" t="n">
        <x:f>$B$91*CA81</x:f>
      </x:c>
      <x:c r="CB91" s="117" t="n">
        <x:f>$B$91*CB81</x:f>
      </x:c>
      <x:c r="CC91" s="117" t="n">
        <x:f>$B$91*CC81</x:f>
      </x:c>
      <x:c r="CD91" s="117" t="n">
        <x:f>$B$91*CD81</x:f>
      </x:c>
      <x:c r="CE91" s="117" t="n">
        <x:f>$B$91*CE81</x:f>
      </x:c>
      <x:c r="CF91" s="117" t="n">
        <x:f>$B$91*CF81</x:f>
      </x:c>
      <x:c r="CG91" s="117" t="n">
        <x:f>$B$91*CG81</x:f>
      </x:c>
      <x:c r="CH91" s="117" t="n">
        <x:f>$B$91*CH81</x:f>
      </x:c>
      <x:c r="CI91" s="117" t="n">
        <x:f>$B$91*CI81</x:f>
      </x:c>
      <x:c r="CJ91" s="117" t="n">
        <x:f>$B$91*CJ81</x:f>
      </x:c>
      <x:c r="CK91" s="117" t="n">
        <x:f>$B$91*CK81</x:f>
      </x:c>
      <x:c r="CL91" s="117" t="n">
        <x:f>$B$91*CL81</x:f>
      </x:c>
      <x:c r="CM91" s="117" t="n">
        <x:f>$B$91*CM81</x:f>
      </x:c>
      <x:c r="CN91" s="117" t="n">
        <x:f>$B$91*CN81</x:f>
      </x:c>
      <x:c r="CO91" s="117" t="n">
        <x:f>$B$91*CO81</x:f>
      </x:c>
      <x:c r="CP91" s="117" t="n">
        <x:f>$B$91*CP81</x:f>
      </x:c>
      <x:c r="CQ91" s="117" t="n">
        <x:f>$B$91*CQ81</x:f>
      </x:c>
      <x:c r="CR91" s="117" t="n">
        <x:f>$B$91*CR81</x:f>
      </x:c>
      <x:c r="CS91" s="117" t="n">
        <x:f>$B$91*CS81</x:f>
      </x:c>
      <x:c r="CT91" s="117" t="n">
        <x:f>$B$91*CT81</x:f>
      </x:c>
      <x:c r="CU91" s="117" t="n">
        <x:f>$B$91*CU81</x:f>
      </x:c>
      <x:c r="CV91" s="117" t="n">
        <x:f>$B$91*CV81</x:f>
      </x:c>
      <x:c r="CW91" s="117" t="n">
        <x:f>$B$91*CW81</x:f>
      </x:c>
      <x:c r="CX91" s="117" t="n">
        <x:f>$B$91*CX81</x:f>
      </x:c>
      <x:c r="CY91" s="117" t="n">
        <x:f>$B$91*CY81</x:f>
      </x:c>
      <x:c r="CZ91" s="117" t="n">
        <x:f>$B$91*CZ81</x:f>
      </x:c>
      <x:c r="DA91" s="117" t="n">
        <x:f>$B$91*DA81</x:f>
      </x:c>
      <x:c r="DB91" s="117" t="n">
        <x:f>$B$91*DB81</x:f>
      </x:c>
      <x:c r="DC91" s="117" t="n">
        <x:f>$B$91*DC81</x:f>
      </x:c>
      <x:c r="DD91" s="117" t="n">
        <x:f>$B$91*DD81</x:f>
      </x:c>
      <x:c r="DE91" s="117" t="n">
        <x:f>$B$91*DE81</x:f>
      </x:c>
      <x:c r="DF91" s="117" t="n">
        <x:f>$B$91*DF81</x:f>
      </x:c>
      <x:c r="DG91" s="117" t="n">
        <x:f>$B$91*DG81</x:f>
      </x:c>
      <x:c r="DH91" s="117" t="n">
        <x:f>$B$91*DH81</x:f>
      </x:c>
      <x:c r="DI91" s="117" t="n">
        <x:f>$B$91*DI81</x:f>
      </x:c>
      <x:c r="DJ91" s="117" t="n">
        <x:f>$B$91*DJ81</x:f>
      </x:c>
      <x:c r="DK91" s="117" t="n">
        <x:f>$B$91*DK81</x:f>
      </x:c>
      <x:c r="DL91" s="117" t="n">
        <x:f>$B$91*DL81</x:f>
      </x:c>
      <x:c r="DM91" s="117" t="n">
        <x:f>$B$91*DM81</x:f>
      </x:c>
      <x:c r="DN91" s="117" t="n">
        <x:f>$B$91*DN81</x:f>
      </x:c>
      <x:c r="DO91" s="117" t="n">
        <x:f>$B$91*DO81</x:f>
      </x:c>
      <x:c r="DP91" s="117" t="n">
        <x:f>$B$91*DP81</x:f>
      </x:c>
      <x:c r="DQ91" s="117" t="n">
        <x:f>$B$91*DQ81</x:f>
      </x:c>
      <x:c r="DR91" s="117" t="n">
        <x:f>$B$91*DR81</x:f>
      </x:c>
      <x:c r="DS91" s="117" t="n">
        <x:f>$B$91*DS81</x:f>
      </x:c>
    </x:row>
    <x:row r="92">
      <x:c r="A92" t="str">
        <x:v>Благоустройство</x:v>
      </x:c>
      <x:c r="B92" s="107" t="n">
        <x:f>(('Вводные'!$I$90+'Вводные'!$J$90+'Вводные'!$K$90)*'Вводные'!$B$47/1000*'Вводные'!$H$6*'Вводные'!$T$90*--('Вводные'!$B$90="Да"))*'Вводные'!$AH$90</x:f>
      </x:c>
      <x:c r="C92" t="str">
        <x:v>млн ₽</x:v>
      </x:c>
      <x:c r="D92" s="117" t="n">
        <x:f>IF(AND(D$3&gt;=EDATE($B$76,-3),D$3&lt;$B$76),$B$92/3,0)</x:f>
      </x:c>
      <x:c r="E92" s="117" t="n">
        <x:f>IF(AND(E$3&gt;=EDATE($B$76,-3),E$3&lt;$B$76),$B$92/3,0)</x:f>
      </x:c>
      <x:c r="F92" s="117" t="n">
        <x:f>IF(AND(F$3&gt;=EDATE($B$76,-3),F$3&lt;$B$76),$B$92/3,0)</x:f>
      </x:c>
      <x:c r="G92" s="117" t="n">
        <x:f>IF(AND(G$3&gt;=EDATE($B$76,-3),G$3&lt;$B$76),$B$92/3,0)</x:f>
      </x:c>
      <x:c r="H92" s="117" t="n">
        <x:f>IF(AND(H$3&gt;=EDATE($B$76,-3),H$3&lt;$B$76),$B$92/3,0)</x:f>
      </x:c>
      <x:c r="I92" s="117" t="n">
        <x:f>IF(AND(I$3&gt;=EDATE($B$76,-3),I$3&lt;$B$76),$B$92/3,0)</x:f>
      </x:c>
      <x:c r="J92" s="117" t="n">
        <x:f>IF(AND(J$3&gt;=EDATE($B$76,-3),J$3&lt;$B$76),$B$92/3,0)</x:f>
      </x:c>
      <x:c r="K92" s="117" t="n">
        <x:f>IF(AND(K$3&gt;=EDATE($B$76,-3),K$3&lt;$B$76),$B$92/3,0)</x:f>
      </x:c>
      <x:c r="L92" s="117" t="n">
        <x:f>IF(AND(L$3&gt;=EDATE($B$76,-3),L$3&lt;$B$76),$B$92/3,0)</x:f>
      </x:c>
      <x:c r="M92" s="117" t="n">
        <x:f>IF(AND(M$3&gt;=EDATE($B$76,-3),M$3&lt;$B$76),$B$92/3,0)</x:f>
      </x:c>
      <x:c r="N92" s="117" t="n">
        <x:f>IF(AND(N$3&gt;=EDATE($B$76,-3),N$3&lt;$B$76),$B$92/3,0)</x:f>
      </x:c>
      <x:c r="O92" s="117" t="n">
        <x:f>IF(AND(O$3&gt;=EDATE($B$76,-3),O$3&lt;$B$76),$B$92/3,0)</x:f>
      </x:c>
      <x:c r="P92" s="117" t="n">
        <x:f>IF(AND(P$3&gt;=EDATE($B$76,-3),P$3&lt;$B$76),$B$92/3,0)</x:f>
      </x:c>
      <x:c r="Q92" s="117" t="n">
        <x:f>IF(AND(Q$3&gt;=EDATE($B$76,-3),Q$3&lt;$B$76),$B$92/3,0)</x:f>
      </x:c>
      <x:c r="R92" s="117" t="n">
        <x:f>IF(AND(R$3&gt;=EDATE($B$76,-3),R$3&lt;$B$76),$B$92/3,0)</x:f>
      </x:c>
      <x:c r="S92" s="117" t="n">
        <x:f>IF(AND(S$3&gt;=EDATE($B$76,-3),S$3&lt;$B$76),$B$92/3,0)</x:f>
      </x:c>
      <x:c r="T92" s="117" t="n">
        <x:f>IF(AND(T$3&gt;=EDATE($B$76,-3),T$3&lt;$B$76),$B$92/3,0)</x:f>
      </x:c>
      <x:c r="U92" s="117" t="n">
        <x:f>IF(AND(U$3&gt;=EDATE($B$76,-3),U$3&lt;$B$76),$B$92/3,0)</x:f>
      </x:c>
      <x:c r="V92" s="117" t="n">
        <x:f>IF(AND(V$3&gt;=EDATE($B$76,-3),V$3&lt;$B$76),$B$92/3,0)</x:f>
      </x:c>
      <x:c r="W92" s="117" t="n">
        <x:f>IF(AND(W$3&gt;=EDATE($B$76,-3),W$3&lt;$B$76),$B$92/3,0)</x:f>
      </x:c>
      <x:c r="X92" s="117" t="n">
        <x:f>IF(AND(X$3&gt;=EDATE($B$76,-3),X$3&lt;$B$76),$B$92/3,0)</x:f>
      </x:c>
      <x:c r="Y92" s="117" t="n">
        <x:f>IF(AND(Y$3&gt;=EDATE($B$76,-3),Y$3&lt;$B$76),$B$92/3,0)</x:f>
      </x:c>
      <x:c r="Z92" s="117" t="n">
        <x:f>IF(AND(Z$3&gt;=EDATE($B$76,-3),Z$3&lt;$B$76),$B$92/3,0)</x:f>
      </x:c>
      <x:c r="AA92" s="117" t="n">
        <x:f>IF(AND(AA$3&gt;=EDATE($B$76,-3),AA$3&lt;$B$76),$B$92/3,0)</x:f>
      </x:c>
      <x:c r="AB92" s="117" t="n">
        <x:f>IF(AND(AB$3&gt;=EDATE($B$76,-3),AB$3&lt;$B$76),$B$92/3,0)</x:f>
      </x:c>
      <x:c r="AC92" s="117" t="n">
        <x:f>IF(AND(AC$3&gt;=EDATE($B$76,-3),AC$3&lt;$B$76),$B$92/3,0)</x:f>
      </x:c>
      <x:c r="AD92" s="117" t="n">
        <x:f>IF(AND(AD$3&gt;=EDATE($B$76,-3),AD$3&lt;$B$76),$B$92/3,0)</x:f>
      </x:c>
      <x:c r="AE92" s="117" t="n">
        <x:f>IF(AND(AE$3&gt;=EDATE($B$76,-3),AE$3&lt;$B$76),$B$92/3,0)</x:f>
      </x:c>
      <x:c r="AF92" s="117" t="n">
        <x:f>IF(AND(AF$3&gt;=EDATE($B$76,-3),AF$3&lt;$B$76),$B$92/3,0)</x:f>
      </x:c>
      <x:c r="AG92" s="117" t="n">
        <x:f>IF(AND(AG$3&gt;=EDATE($B$76,-3),AG$3&lt;$B$76),$B$92/3,0)</x:f>
      </x:c>
      <x:c r="AH92" s="117" t="n">
        <x:f>IF(AND(AH$3&gt;=EDATE($B$76,-3),AH$3&lt;$B$76),$B$92/3,0)</x:f>
      </x:c>
      <x:c r="AI92" s="117" t="n">
        <x:f>IF(AND(AI$3&gt;=EDATE($B$76,-3),AI$3&lt;$B$76),$B$92/3,0)</x:f>
      </x:c>
      <x:c r="AJ92" s="117" t="n">
        <x:f>IF(AND(AJ$3&gt;=EDATE($B$76,-3),AJ$3&lt;$B$76),$B$92/3,0)</x:f>
      </x:c>
      <x:c r="AK92" s="117" t="n">
        <x:f>IF(AND(AK$3&gt;=EDATE($B$76,-3),AK$3&lt;$B$76),$B$92/3,0)</x:f>
      </x:c>
      <x:c r="AL92" s="117" t="n">
        <x:f>IF(AND(AL$3&gt;=EDATE($B$76,-3),AL$3&lt;$B$76),$B$92/3,0)</x:f>
      </x:c>
      <x:c r="AM92" s="117" t="n">
        <x:f>IF(AND(AM$3&gt;=EDATE($B$76,-3),AM$3&lt;$B$76),$B$92/3,0)</x:f>
      </x:c>
      <x:c r="AN92" s="117" t="n">
        <x:f>IF(AND(AN$3&gt;=EDATE($B$76,-3),AN$3&lt;$B$76),$B$92/3,0)</x:f>
      </x:c>
      <x:c r="AO92" s="117" t="n">
        <x:f>IF(AND(AO$3&gt;=EDATE($B$76,-3),AO$3&lt;$B$76),$B$92/3,0)</x:f>
      </x:c>
      <x:c r="AP92" s="117" t="n">
        <x:f>IF(AND(AP$3&gt;=EDATE($B$76,-3),AP$3&lt;$B$76),$B$92/3,0)</x:f>
      </x:c>
      <x:c r="AQ92" s="117" t="n">
        <x:f>IF(AND(AQ$3&gt;=EDATE($B$76,-3),AQ$3&lt;$B$76),$B$92/3,0)</x:f>
      </x:c>
      <x:c r="AR92" s="117" t="n">
        <x:f>IF(AND(AR$3&gt;=EDATE($B$76,-3),AR$3&lt;$B$76),$B$92/3,0)</x:f>
      </x:c>
      <x:c r="AS92" s="117" t="n">
        <x:f>IF(AND(AS$3&gt;=EDATE($B$76,-3),AS$3&lt;$B$76),$B$92/3,0)</x:f>
      </x:c>
      <x:c r="AT92" s="117" t="n">
        <x:f>IF(AND(AT$3&gt;=EDATE($B$76,-3),AT$3&lt;$B$76),$B$92/3,0)</x:f>
      </x:c>
      <x:c r="AU92" s="117" t="n">
        <x:f>IF(AND(AU$3&gt;=EDATE($B$76,-3),AU$3&lt;$B$76),$B$92/3,0)</x:f>
      </x:c>
      <x:c r="AV92" s="117" t="n">
        <x:f>IF(AND(AV$3&gt;=EDATE($B$76,-3),AV$3&lt;$B$76),$B$92/3,0)</x:f>
      </x:c>
      <x:c r="AW92" s="117" t="n">
        <x:f>IF(AND(AW$3&gt;=EDATE($B$76,-3),AW$3&lt;$B$76),$B$92/3,0)</x:f>
      </x:c>
      <x:c r="AX92" s="117" t="n">
        <x:f>IF(AND(AX$3&gt;=EDATE($B$76,-3),AX$3&lt;$B$76),$B$92/3,0)</x:f>
      </x:c>
      <x:c r="AY92" s="117" t="n">
        <x:f>IF(AND(AY$3&gt;=EDATE($B$76,-3),AY$3&lt;$B$76),$B$92/3,0)</x:f>
      </x:c>
      <x:c r="AZ92" s="117" t="n">
        <x:f>IF(AND(AZ$3&gt;=EDATE($B$76,-3),AZ$3&lt;$B$76),$B$92/3,0)</x:f>
      </x:c>
      <x:c r="BA92" s="117" t="n">
        <x:f>IF(AND(BA$3&gt;=EDATE($B$76,-3),BA$3&lt;$B$76),$B$92/3,0)</x:f>
      </x:c>
      <x:c r="BB92" s="117" t="n">
        <x:f>IF(AND(BB$3&gt;=EDATE($B$76,-3),BB$3&lt;$B$76),$B$92/3,0)</x:f>
      </x:c>
      <x:c r="BC92" s="117" t="n">
        <x:f>IF(AND(BC$3&gt;=EDATE($B$76,-3),BC$3&lt;$B$76),$B$92/3,0)</x:f>
      </x:c>
      <x:c r="BD92" s="117" t="n">
        <x:f>IF(AND(BD$3&gt;=EDATE($B$76,-3),BD$3&lt;$B$76),$B$92/3,0)</x:f>
      </x:c>
      <x:c r="BE92" s="117" t="n">
        <x:f>IF(AND(BE$3&gt;=EDATE($B$76,-3),BE$3&lt;$B$76),$B$92/3,0)</x:f>
      </x:c>
      <x:c r="BF92" s="117" t="n">
        <x:f>IF(AND(BF$3&gt;=EDATE($B$76,-3),BF$3&lt;$B$76),$B$92/3,0)</x:f>
      </x:c>
      <x:c r="BG92" s="117" t="n">
        <x:f>IF(AND(BG$3&gt;=EDATE($B$76,-3),BG$3&lt;$B$76),$B$92/3,0)</x:f>
      </x:c>
      <x:c r="BH92" s="117" t="n">
        <x:f>IF(AND(BH$3&gt;=EDATE($B$76,-3),BH$3&lt;$B$76),$B$92/3,0)</x:f>
      </x:c>
      <x:c r="BI92" s="117" t="n">
        <x:f>IF(AND(BI$3&gt;=EDATE($B$76,-3),BI$3&lt;$B$76),$B$92/3,0)</x:f>
      </x:c>
      <x:c r="BJ92" s="117" t="n">
        <x:f>IF(AND(BJ$3&gt;=EDATE($B$76,-3),BJ$3&lt;$B$76),$B$92/3,0)</x:f>
      </x:c>
      <x:c r="BK92" s="117" t="n">
        <x:f>IF(AND(BK$3&gt;=EDATE($B$76,-3),BK$3&lt;$B$76),$B$92/3,0)</x:f>
      </x:c>
      <x:c r="BL92" s="117" t="n">
        <x:f>IF(AND(BL$3&gt;=EDATE($B$76,-3),BL$3&lt;$B$76),$B$92/3,0)</x:f>
      </x:c>
      <x:c r="BM92" s="117" t="n">
        <x:f>IF(AND(BM$3&gt;=EDATE($B$76,-3),BM$3&lt;$B$76),$B$92/3,0)</x:f>
      </x:c>
      <x:c r="BN92" s="117" t="n">
        <x:f>IF(AND(BN$3&gt;=EDATE($B$76,-3),BN$3&lt;$B$76),$B$92/3,0)</x:f>
      </x:c>
      <x:c r="BO92" s="117" t="n">
        <x:f>IF(AND(BO$3&gt;=EDATE($B$76,-3),BO$3&lt;$B$76),$B$92/3,0)</x:f>
      </x:c>
      <x:c r="BP92" s="117" t="n">
        <x:f>IF(AND(BP$3&gt;=EDATE($B$76,-3),BP$3&lt;$B$76),$B$92/3,0)</x:f>
      </x:c>
      <x:c r="BQ92" s="117" t="n">
        <x:f>IF(AND(BQ$3&gt;=EDATE($B$76,-3),BQ$3&lt;$B$76),$B$92/3,0)</x:f>
      </x:c>
      <x:c r="BR92" s="117" t="n">
        <x:f>IF(AND(BR$3&gt;=EDATE($B$76,-3),BR$3&lt;$B$76),$B$92/3,0)</x:f>
      </x:c>
      <x:c r="BS92" s="117" t="n">
        <x:f>IF(AND(BS$3&gt;=EDATE($B$76,-3),BS$3&lt;$B$76),$B$92/3,0)</x:f>
      </x:c>
      <x:c r="BT92" s="117" t="n">
        <x:f>IF(AND(BT$3&gt;=EDATE($B$76,-3),BT$3&lt;$B$76),$B$92/3,0)</x:f>
      </x:c>
      <x:c r="BU92" s="117" t="n">
        <x:f>IF(AND(BU$3&gt;=EDATE($B$76,-3),BU$3&lt;$B$76),$B$92/3,0)</x:f>
      </x:c>
      <x:c r="BV92" s="117" t="n">
        <x:f>IF(AND(BV$3&gt;=EDATE($B$76,-3),BV$3&lt;$B$76),$B$92/3,0)</x:f>
      </x:c>
      <x:c r="BW92" s="117" t="n">
        <x:f>IF(AND(BW$3&gt;=EDATE($B$76,-3),BW$3&lt;$B$76),$B$92/3,0)</x:f>
      </x:c>
      <x:c r="BX92" s="117" t="n">
        <x:f>IF(AND(BX$3&gt;=EDATE($B$76,-3),BX$3&lt;$B$76),$B$92/3,0)</x:f>
      </x:c>
      <x:c r="BY92" s="117" t="n">
        <x:f>IF(AND(BY$3&gt;=EDATE($B$76,-3),BY$3&lt;$B$76),$B$92/3,0)</x:f>
      </x:c>
      <x:c r="BZ92" s="117" t="n">
        <x:f>IF(AND(BZ$3&gt;=EDATE($B$76,-3),BZ$3&lt;$B$76),$B$92/3,0)</x:f>
      </x:c>
      <x:c r="CA92" s="117" t="n">
        <x:f>IF(AND(CA$3&gt;=EDATE($B$76,-3),CA$3&lt;$B$76),$B$92/3,0)</x:f>
      </x:c>
      <x:c r="CB92" s="117" t="n">
        <x:f>IF(AND(CB$3&gt;=EDATE($B$76,-3),CB$3&lt;$B$76),$B$92/3,0)</x:f>
      </x:c>
      <x:c r="CC92" s="117" t="n">
        <x:f>IF(AND(CC$3&gt;=EDATE($B$76,-3),CC$3&lt;$B$76),$B$92/3,0)</x:f>
      </x:c>
      <x:c r="CD92" s="117" t="n">
        <x:f>IF(AND(CD$3&gt;=EDATE($B$76,-3),CD$3&lt;$B$76),$B$92/3,0)</x:f>
      </x:c>
      <x:c r="CE92" s="117" t="n">
        <x:f>IF(AND(CE$3&gt;=EDATE($B$76,-3),CE$3&lt;$B$76),$B$92/3,0)</x:f>
      </x:c>
      <x:c r="CF92" s="117" t="n">
        <x:f>IF(AND(CF$3&gt;=EDATE($B$76,-3),CF$3&lt;$B$76),$B$92/3,0)</x:f>
      </x:c>
      <x:c r="CG92" s="117" t="n">
        <x:f>IF(AND(CG$3&gt;=EDATE($B$76,-3),CG$3&lt;$B$76),$B$92/3,0)</x:f>
      </x:c>
      <x:c r="CH92" s="117" t="n">
        <x:f>IF(AND(CH$3&gt;=EDATE($B$76,-3),CH$3&lt;$B$76),$B$92/3,0)</x:f>
      </x:c>
      <x:c r="CI92" s="117" t="n">
        <x:f>IF(AND(CI$3&gt;=EDATE($B$76,-3),CI$3&lt;$B$76),$B$92/3,0)</x:f>
      </x:c>
      <x:c r="CJ92" s="117" t="n">
        <x:f>IF(AND(CJ$3&gt;=EDATE($B$76,-3),CJ$3&lt;$B$76),$B$92/3,0)</x:f>
      </x:c>
      <x:c r="CK92" s="117" t="n">
        <x:f>IF(AND(CK$3&gt;=EDATE($B$76,-3),CK$3&lt;$B$76),$B$92/3,0)</x:f>
      </x:c>
      <x:c r="CL92" s="117" t="n">
        <x:f>IF(AND(CL$3&gt;=EDATE($B$76,-3),CL$3&lt;$B$76),$B$92/3,0)</x:f>
      </x:c>
      <x:c r="CM92" s="117" t="n">
        <x:f>IF(AND(CM$3&gt;=EDATE($B$76,-3),CM$3&lt;$B$76),$B$92/3,0)</x:f>
      </x:c>
      <x:c r="CN92" s="117" t="n">
        <x:f>IF(AND(CN$3&gt;=EDATE($B$76,-3),CN$3&lt;$B$76),$B$92/3,0)</x:f>
      </x:c>
      <x:c r="CO92" s="117" t="n">
        <x:f>IF(AND(CO$3&gt;=EDATE($B$76,-3),CO$3&lt;$B$76),$B$92/3,0)</x:f>
      </x:c>
      <x:c r="CP92" s="117" t="n">
        <x:f>IF(AND(CP$3&gt;=EDATE($B$76,-3),CP$3&lt;$B$76),$B$92/3,0)</x:f>
      </x:c>
      <x:c r="CQ92" s="117" t="n">
        <x:f>IF(AND(CQ$3&gt;=EDATE($B$76,-3),CQ$3&lt;$B$76),$B$92/3,0)</x:f>
      </x:c>
      <x:c r="CR92" s="117" t="n">
        <x:f>IF(AND(CR$3&gt;=EDATE($B$76,-3),CR$3&lt;$B$76),$B$92/3,0)</x:f>
      </x:c>
      <x:c r="CS92" s="117" t="n">
        <x:f>IF(AND(CS$3&gt;=EDATE($B$76,-3),CS$3&lt;$B$76),$B$92/3,0)</x:f>
      </x:c>
      <x:c r="CT92" s="117" t="n">
        <x:f>IF(AND(CT$3&gt;=EDATE($B$76,-3),CT$3&lt;$B$76),$B$92/3,0)</x:f>
      </x:c>
      <x:c r="CU92" s="117" t="n">
        <x:f>IF(AND(CU$3&gt;=EDATE($B$76,-3),CU$3&lt;$B$76),$B$92/3,0)</x:f>
      </x:c>
      <x:c r="CV92" s="117" t="n">
        <x:f>IF(AND(CV$3&gt;=EDATE($B$76,-3),CV$3&lt;$B$76),$B$92/3,0)</x:f>
      </x:c>
      <x:c r="CW92" s="117" t="n">
        <x:f>IF(AND(CW$3&gt;=EDATE($B$76,-3),CW$3&lt;$B$76),$B$92/3,0)</x:f>
      </x:c>
      <x:c r="CX92" s="117" t="n">
        <x:f>IF(AND(CX$3&gt;=EDATE($B$76,-3),CX$3&lt;$B$76),$B$92/3,0)</x:f>
      </x:c>
      <x:c r="CY92" s="117" t="n">
        <x:f>IF(AND(CY$3&gt;=EDATE($B$76,-3),CY$3&lt;$B$76),$B$92/3,0)</x:f>
      </x:c>
      <x:c r="CZ92" s="117" t="n">
        <x:f>IF(AND(CZ$3&gt;=EDATE($B$76,-3),CZ$3&lt;$B$76),$B$92/3,0)</x:f>
      </x:c>
      <x:c r="DA92" s="117" t="n">
        <x:f>IF(AND(DA$3&gt;=EDATE($B$76,-3),DA$3&lt;$B$76),$B$92/3,0)</x:f>
      </x:c>
      <x:c r="DB92" s="117" t="n">
        <x:f>IF(AND(DB$3&gt;=EDATE($B$76,-3),DB$3&lt;$B$76),$B$92/3,0)</x:f>
      </x:c>
      <x:c r="DC92" s="117" t="n">
        <x:f>IF(AND(DC$3&gt;=EDATE($B$76,-3),DC$3&lt;$B$76),$B$92/3,0)</x:f>
      </x:c>
      <x:c r="DD92" s="117" t="n">
        <x:f>IF(AND(DD$3&gt;=EDATE($B$76,-3),DD$3&lt;$B$76),$B$92/3,0)</x:f>
      </x:c>
      <x:c r="DE92" s="117" t="n">
        <x:f>IF(AND(DE$3&gt;=EDATE($B$76,-3),DE$3&lt;$B$76),$B$92/3,0)</x:f>
      </x:c>
      <x:c r="DF92" s="117" t="n">
        <x:f>IF(AND(DF$3&gt;=EDATE($B$76,-3),DF$3&lt;$B$76),$B$92/3,0)</x:f>
      </x:c>
      <x:c r="DG92" s="117" t="n">
        <x:f>IF(AND(DG$3&gt;=EDATE($B$76,-3),DG$3&lt;$B$76),$B$92/3,0)</x:f>
      </x:c>
      <x:c r="DH92" s="117" t="n">
        <x:f>IF(AND(DH$3&gt;=EDATE($B$76,-3),DH$3&lt;$B$76),$B$92/3,0)</x:f>
      </x:c>
      <x:c r="DI92" s="117" t="n">
        <x:f>IF(AND(DI$3&gt;=EDATE($B$76,-3),DI$3&lt;$B$76),$B$92/3,0)</x:f>
      </x:c>
      <x:c r="DJ92" s="117" t="n">
        <x:f>IF(AND(DJ$3&gt;=EDATE($B$76,-3),DJ$3&lt;$B$76),$B$92/3,0)</x:f>
      </x:c>
      <x:c r="DK92" s="117" t="n">
        <x:f>IF(AND(DK$3&gt;=EDATE($B$76,-3),DK$3&lt;$B$76),$B$92/3,0)</x:f>
      </x:c>
      <x:c r="DL92" s="117" t="n">
        <x:f>IF(AND(DL$3&gt;=EDATE($B$76,-3),DL$3&lt;$B$76),$B$92/3,0)</x:f>
      </x:c>
      <x:c r="DM92" s="117" t="n">
        <x:f>IF(AND(DM$3&gt;=EDATE($B$76,-3),DM$3&lt;$B$76),$B$92/3,0)</x:f>
      </x:c>
      <x:c r="DN92" s="117" t="n">
        <x:f>IF(AND(DN$3&gt;=EDATE($B$76,-3),DN$3&lt;$B$76),$B$92/3,0)</x:f>
      </x:c>
      <x:c r="DO92" s="117" t="n">
        <x:f>IF(AND(DO$3&gt;=EDATE($B$76,-3),DO$3&lt;$B$76),$B$92/3,0)</x:f>
      </x:c>
      <x:c r="DP92" s="117" t="n">
        <x:f>IF(AND(DP$3&gt;=EDATE($B$76,-3),DP$3&lt;$B$76),$B$92/3,0)</x:f>
      </x:c>
      <x:c r="DQ92" s="117" t="n">
        <x:f>IF(AND(DQ$3&gt;=EDATE($B$76,-3),DQ$3&lt;$B$76),$B$92/3,0)</x:f>
      </x:c>
      <x:c r="DR92" s="117" t="n">
        <x:f>IF(AND(DR$3&gt;=EDATE($B$76,-3),DR$3&lt;$B$76),$B$92/3,0)</x:f>
      </x:c>
      <x:c r="DS92" s="117" t="n">
        <x:f>IF(AND(DS$3&gt;=EDATE($B$76,-3),DS$3&lt;$B$76),$B$92/3,0)</x:f>
      </x:c>
    </x:row>
    <x:row r="93">
      <x:c r="A93" t="str">
        <x:v>Сдача и ввод</x:v>
      </x:c>
      <x:c r="B93" s="107" t="n">
        <x:f>(('Вводные'!$I$90+'Вводные'!$J$90+'Вводные'!$K$90)*'Вводные'!$B$48/1000*'Вводные'!$H$6*'Вводные'!$T$90*--('Вводные'!$B$90="Да"))*'Вводные'!$AH$90</x:f>
      </x:c>
      <x:c r="C93" t="str">
        <x:v>млн ₽</x:v>
      </x:c>
      <x:c r="D93" s="117" t="n">
        <x:f>IF(AND(D$3&gt;=EDATE($B$76,-3),D$3&lt;$B$76),$B$93/3,0)</x:f>
      </x:c>
      <x:c r="E93" s="117" t="n">
        <x:f>IF(AND(E$3&gt;=EDATE($B$76,-3),E$3&lt;$B$76),$B$93/3,0)</x:f>
      </x:c>
      <x:c r="F93" s="117" t="n">
        <x:f>IF(AND(F$3&gt;=EDATE($B$76,-3),F$3&lt;$B$76),$B$93/3,0)</x:f>
      </x:c>
      <x:c r="G93" s="117" t="n">
        <x:f>IF(AND(G$3&gt;=EDATE($B$76,-3),G$3&lt;$B$76),$B$93/3,0)</x:f>
      </x:c>
      <x:c r="H93" s="117" t="n">
        <x:f>IF(AND(H$3&gt;=EDATE($B$76,-3),H$3&lt;$B$76),$B$93/3,0)</x:f>
      </x:c>
      <x:c r="I93" s="117" t="n">
        <x:f>IF(AND(I$3&gt;=EDATE($B$76,-3),I$3&lt;$B$76),$B$93/3,0)</x:f>
      </x:c>
      <x:c r="J93" s="117" t="n">
        <x:f>IF(AND(J$3&gt;=EDATE($B$76,-3),J$3&lt;$B$76),$B$93/3,0)</x:f>
      </x:c>
      <x:c r="K93" s="117" t="n">
        <x:f>IF(AND(K$3&gt;=EDATE($B$76,-3),K$3&lt;$B$76),$B$93/3,0)</x:f>
      </x:c>
      <x:c r="L93" s="117" t="n">
        <x:f>IF(AND(L$3&gt;=EDATE($B$76,-3),L$3&lt;$B$76),$B$93/3,0)</x:f>
      </x:c>
      <x:c r="M93" s="117" t="n">
        <x:f>IF(AND(M$3&gt;=EDATE($B$76,-3),M$3&lt;$B$76),$B$93/3,0)</x:f>
      </x:c>
      <x:c r="N93" s="117" t="n">
        <x:f>IF(AND(N$3&gt;=EDATE($B$76,-3),N$3&lt;$B$76),$B$93/3,0)</x:f>
      </x:c>
      <x:c r="O93" s="117" t="n">
        <x:f>IF(AND(O$3&gt;=EDATE($B$76,-3),O$3&lt;$B$76),$B$93/3,0)</x:f>
      </x:c>
      <x:c r="P93" s="117" t="n">
        <x:f>IF(AND(P$3&gt;=EDATE($B$76,-3),P$3&lt;$B$76),$B$93/3,0)</x:f>
      </x:c>
      <x:c r="Q93" s="117" t="n">
        <x:f>IF(AND(Q$3&gt;=EDATE($B$76,-3),Q$3&lt;$B$76),$B$93/3,0)</x:f>
      </x:c>
      <x:c r="R93" s="117" t="n">
        <x:f>IF(AND(R$3&gt;=EDATE($B$76,-3),R$3&lt;$B$76),$B$93/3,0)</x:f>
      </x:c>
      <x:c r="S93" s="117" t="n">
        <x:f>IF(AND(S$3&gt;=EDATE($B$76,-3),S$3&lt;$B$76),$B$93/3,0)</x:f>
      </x:c>
      <x:c r="T93" s="117" t="n">
        <x:f>IF(AND(T$3&gt;=EDATE($B$76,-3),T$3&lt;$B$76),$B$93/3,0)</x:f>
      </x:c>
      <x:c r="U93" s="117" t="n">
        <x:f>IF(AND(U$3&gt;=EDATE($B$76,-3),U$3&lt;$B$76),$B$93/3,0)</x:f>
      </x:c>
      <x:c r="V93" s="117" t="n">
        <x:f>IF(AND(V$3&gt;=EDATE($B$76,-3),V$3&lt;$B$76),$B$93/3,0)</x:f>
      </x:c>
      <x:c r="W93" s="117" t="n">
        <x:f>IF(AND(W$3&gt;=EDATE($B$76,-3),W$3&lt;$B$76),$B$93/3,0)</x:f>
      </x:c>
      <x:c r="X93" s="117" t="n">
        <x:f>IF(AND(X$3&gt;=EDATE($B$76,-3),X$3&lt;$B$76),$B$93/3,0)</x:f>
      </x:c>
      <x:c r="Y93" s="117" t="n">
        <x:f>IF(AND(Y$3&gt;=EDATE($B$76,-3),Y$3&lt;$B$76),$B$93/3,0)</x:f>
      </x:c>
      <x:c r="Z93" s="117" t="n">
        <x:f>IF(AND(Z$3&gt;=EDATE($B$76,-3),Z$3&lt;$B$76),$B$93/3,0)</x:f>
      </x:c>
      <x:c r="AA93" s="117" t="n">
        <x:f>IF(AND(AA$3&gt;=EDATE($B$76,-3),AA$3&lt;$B$76),$B$93/3,0)</x:f>
      </x:c>
      <x:c r="AB93" s="117" t="n">
        <x:f>IF(AND(AB$3&gt;=EDATE($B$76,-3),AB$3&lt;$B$76),$B$93/3,0)</x:f>
      </x:c>
      <x:c r="AC93" s="117" t="n">
        <x:f>IF(AND(AC$3&gt;=EDATE($B$76,-3),AC$3&lt;$B$76),$B$93/3,0)</x:f>
      </x:c>
      <x:c r="AD93" s="117" t="n">
        <x:f>IF(AND(AD$3&gt;=EDATE($B$76,-3),AD$3&lt;$B$76),$B$93/3,0)</x:f>
      </x:c>
      <x:c r="AE93" s="117" t="n">
        <x:f>IF(AND(AE$3&gt;=EDATE($B$76,-3),AE$3&lt;$B$76),$B$93/3,0)</x:f>
      </x:c>
      <x:c r="AF93" s="117" t="n">
        <x:f>IF(AND(AF$3&gt;=EDATE($B$76,-3),AF$3&lt;$B$76),$B$93/3,0)</x:f>
      </x:c>
      <x:c r="AG93" s="117" t="n">
        <x:f>IF(AND(AG$3&gt;=EDATE($B$76,-3),AG$3&lt;$B$76),$B$93/3,0)</x:f>
      </x:c>
      <x:c r="AH93" s="117" t="n">
        <x:f>IF(AND(AH$3&gt;=EDATE($B$76,-3),AH$3&lt;$B$76),$B$93/3,0)</x:f>
      </x:c>
      <x:c r="AI93" s="117" t="n">
        <x:f>IF(AND(AI$3&gt;=EDATE($B$76,-3),AI$3&lt;$B$76),$B$93/3,0)</x:f>
      </x:c>
      <x:c r="AJ93" s="117" t="n">
        <x:f>IF(AND(AJ$3&gt;=EDATE($B$76,-3),AJ$3&lt;$B$76),$B$93/3,0)</x:f>
      </x:c>
      <x:c r="AK93" s="117" t="n">
        <x:f>IF(AND(AK$3&gt;=EDATE($B$76,-3),AK$3&lt;$B$76),$B$93/3,0)</x:f>
      </x:c>
      <x:c r="AL93" s="117" t="n">
        <x:f>IF(AND(AL$3&gt;=EDATE($B$76,-3),AL$3&lt;$B$76),$B$93/3,0)</x:f>
      </x:c>
      <x:c r="AM93" s="117" t="n">
        <x:f>IF(AND(AM$3&gt;=EDATE($B$76,-3),AM$3&lt;$B$76),$B$93/3,0)</x:f>
      </x:c>
      <x:c r="AN93" s="117" t="n">
        <x:f>IF(AND(AN$3&gt;=EDATE($B$76,-3),AN$3&lt;$B$76),$B$93/3,0)</x:f>
      </x:c>
      <x:c r="AO93" s="117" t="n">
        <x:f>IF(AND(AO$3&gt;=EDATE($B$76,-3),AO$3&lt;$B$76),$B$93/3,0)</x:f>
      </x:c>
      <x:c r="AP93" s="117" t="n">
        <x:f>IF(AND(AP$3&gt;=EDATE($B$76,-3),AP$3&lt;$B$76),$B$93/3,0)</x:f>
      </x:c>
      <x:c r="AQ93" s="117" t="n">
        <x:f>IF(AND(AQ$3&gt;=EDATE($B$76,-3),AQ$3&lt;$B$76),$B$93/3,0)</x:f>
      </x:c>
      <x:c r="AR93" s="117" t="n">
        <x:f>IF(AND(AR$3&gt;=EDATE($B$76,-3),AR$3&lt;$B$76),$B$93/3,0)</x:f>
      </x:c>
      <x:c r="AS93" s="117" t="n">
        <x:f>IF(AND(AS$3&gt;=EDATE($B$76,-3),AS$3&lt;$B$76),$B$93/3,0)</x:f>
      </x:c>
      <x:c r="AT93" s="117" t="n">
        <x:f>IF(AND(AT$3&gt;=EDATE($B$76,-3),AT$3&lt;$B$76),$B$93/3,0)</x:f>
      </x:c>
      <x:c r="AU93" s="117" t="n">
        <x:f>IF(AND(AU$3&gt;=EDATE($B$76,-3),AU$3&lt;$B$76),$B$93/3,0)</x:f>
      </x:c>
      <x:c r="AV93" s="117" t="n">
        <x:f>IF(AND(AV$3&gt;=EDATE($B$76,-3),AV$3&lt;$B$76),$B$93/3,0)</x:f>
      </x:c>
      <x:c r="AW93" s="117" t="n">
        <x:f>IF(AND(AW$3&gt;=EDATE($B$76,-3),AW$3&lt;$B$76),$B$93/3,0)</x:f>
      </x:c>
      <x:c r="AX93" s="117" t="n">
        <x:f>IF(AND(AX$3&gt;=EDATE($B$76,-3),AX$3&lt;$B$76),$B$93/3,0)</x:f>
      </x:c>
      <x:c r="AY93" s="117" t="n">
        <x:f>IF(AND(AY$3&gt;=EDATE($B$76,-3),AY$3&lt;$B$76),$B$93/3,0)</x:f>
      </x:c>
      <x:c r="AZ93" s="117" t="n">
        <x:f>IF(AND(AZ$3&gt;=EDATE($B$76,-3),AZ$3&lt;$B$76),$B$93/3,0)</x:f>
      </x:c>
      <x:c r="BA93" s="117" t="n">
        <x:f>IF(AND(BA$3&gt;=EDATE($B$76,-3),BA$3&lt;$B$76),$B$93/3,0)</x:f>
      </x:c>
      <x:c r="BB93" s="117" t="n">
        <x:f>IF(AND(BB$3&gt;=EDATE($B$76,-3),BB$3&lt;$B$76),$B$93/3,0)</x:f>
      </x:c>
      <x:c r="BC93" s="117" t="n">
        <x:f>IF(AND(BC$3&gt;=EDATE($B$76,-3),BC$3&lt;$B$76),$B$93/3,0)</x:f>
      </x:c>
      <x:c r="BD93" s="117" t="n">
        <x:f>IF(AND(BD$3&gt;=EDATE($B$76,-3),BD$3&lt;$B$76),$B$93/3,0)</x:f>
      </x:c>
      <x:c r="BE93" s="117" t="n">
        <x:f>IF(AND(BE$3&gt;=EDATE($B$76,-3),BE$3&lt;$B$76),$B$93/3,0)</x:f>
      </x:c>
      <x:c r="BF93" s="117" t="n">
        <x:f>IF(AND(BF$3&gt;=EDATE($B$76,-3),BF$3&lt;$B$76),$B$93/3,0)</x:f>
      </x:c>
      <x:c r="BG93" s="117" t="n">
        <x:f>IF(AND(BG$3&gt;=EDATE($B$76,-3),BG$3&lt;$B$76),$B$93/3,0)</x:f>
      </x:c>
      <x:c r="BH93" s="117" t="n">
        <x:f>IF(AND(BH$3&gt;=EDATE($B$76,-3),BH$3&lt;$B$76),$B$93/3,0)</x:f>
      </x:c>
      <x:c r="BI93" s="117" t="n">
        <x:f>IF(AND(BI$3&gt;=EDATE($B$76,-3),BI$3&lt;$B$76),$B$93/3,0)</x:f>
      </x:c>
      <x:c r="BJ93" s="117" t="n">
        <x:f>IF(AND(BJ$3&gt;=EDATE($B$76,-3),BJ$3&lt;$B$76),$B$93/3,0)</x:f>
      </x:c>
      <x:c r="BK93" s="117" t="n">
        <x:f>IF(AND(BK$3&gt;=EDATE($B$76,-3),BK$3&lt;$B$76),$B$93/3,0)</x:f>
      </x:c>
      <x:c r="BL93" s="117" t="n">
        <x:f>IF(AND(BL$3&gt;=EDATE($B$76,-3),BL$3&lt;$B$76),$B$93/3,0)</x:f>
      </x:c>
      <x:c r="BM93" s="117" t="n">
        <x:f>IF(AND(BM$3&gt;=EDATE($B$76,-3),BM$3&lt;$B$76),$B$93/3,0)</x:f>
      </x:c>
      <x:c r="BN93" s="117" t="n">
        <x:f>IF(AND(BN$3&gt;=EDATE($B$76,-3),BN$3&lt;$B$76),$B$93/3,0)</x:f>
      </x:c>
      <x:c r="BO93" s="117" t="n">
        <x:f>IF(AND(BO$3&gt;=EDATE($B$76,-3),BO$3&lt;$B$76),$B$93/3,0)</x:f>
      </x:c>
      <x:c r="BP93" s="117" t="n">
        <x:f>IF(AND(BP$3&gt;=EDATE($B$76,-3),BP$3&lt;$B$76),$B$93/3,0)</x:f>
      </x:c>
      <x:c r="BQ93" s="117" t="n">
        <x:f>IF(AND(BQ$3&gt;=EDATE($B$76,-3),BQ$3&lt;$B$76),$B$93/3,0)</x:f>
      </x:c>
      <x:c r="BR93" s="117" t="n">
        <x:f>IF(AND(BR$3&gt;=EDATE($B$76,-3),BR$3&lt;$B$76),$B$93/3,0)</x:f>
      </x:c>
      <x:c r="BS93" s="117" t="n">
        <x:f>IF(AND(BS$3&gt;=EDATE($B$76,-3),BS$3&lt;$B$76),$B$93/3,0)</x:f>
      </x:c>
      <x:c r="BT93" s="117" t="n">
        <x:f>IF(AND(BT$3&gt;=EDATE($B$76,-3),BT$3&lt;$B$76),$B$93/3,0)</x:f>
      </x:c>
      <x:c r="BU93" s="117" t="n">
        <x:f>IF(AND(BU$3&gt;=EDATE($B$76,-3),BU$3&lt;$B$76),$B$93/3,0)</x:f>
      </x:c>
      <x:c r="BV93" s="117" t="n">
        <x:f>IF(AND(BV$3&gt;=EDATE($B$76,-3),BV$3&lt;$B$76),$B$93/3,0)</x:f>
      </x:c>
      <x:c r="BW93" s="117" t="n">
        <x:f>IF(AND(BW$3&gt;=EDATE($B$76,-3),BW$3&lt;$B$76),$B$93/3,0)</x:f>
      </x:c>
      <x:c r="BX93" s="117" t="n">
        <x:f>IF(AND(BX$3&gt;=EDATE($B$76,-3),BX$3&lt;$B$76),$B$93/3,0)</x:f>
      </x:c>
      <x:c r="BY93" s="117" t="n">
        <x:f>IF(AND(BY$3&gt;=EDATE($B$76,-3),BY$3&lt;$B$76),$B$93/3,0)</x:f>
      </x:c>
      <x:c r="BZ93" s="117" t="n">
        <x:f>IF(AND(BZ$3&gt;=EDATE($B$76,-3),BZ$3&lt;$B$76),$B$93/3,0)</x:f>
      </x:c>
      <x:c r="CA93" s="117" t="n">
        <x:f>IF(AND(CA$3&gt;=EDATE($B$76,-3),CA$3&lt;$B$76),$B$93/3,0)</x:f>
      </x:c>
      <x:c r="CB93" s="117" t="n">
        <x:f>IF(AND(CB$3&gt;=EDATE($B$76,-3),CB$3&lt;$B$76),$B$93/3,0)</x:f>
      </x:c>
      <x:c r="CC93" s="117" t="n">
        <x:f>IF(AND(CC$3&gt;=EDATE($B$76,-3),CC$3&lt;$B$76),$B$93/3,0)</x:f>
      </x:c>
      <x:c r="CD93" s="117" t="n">
        <x:f>IF(AND(CD$3&gt;=EDATE($B$76,-3),CD$3&lt;$B$76),$B$93/3,0)</x:f>
      </x:c>
      <x:c r="CE93" s="117" t="n">
        <x:f>IF(AND(CE$3&gt;=EDATE($B$76,-3),CE$3&lt;$B$76),$B$93/3,0)</x:f>
      </x:c>
      <x:c r="CF93" s="117" t="n">
        <x:f>IF(AND(CF$3&gt;=EDATE($B$76,-3),CF$3&lt;$B$76),$B$93/3,0)</x:f>
      </x:c>
      <x:c r="CG93" s="117" t="n">
        <x:f>IF(AND(CG$3&gt;=EDATE($B$76,-3),CG$3&lt;$B$76),$B$93/3,0)</x:f>
      </x:c>
      <x:c r="CH93" s="117" t="n">
        <x:f>IF(AND(CH$3&gt;=EDATE($B$76,-3),CH$3&lt;$B$76),$B$93/3,0)</x:f>
      </x:c>
      <x:c r="CI93" s="117" t="n">
        <x:f>IF(AND(CI$3&gt;=EDATE($B$76,-3),CI$3&lt;$B$76),$B$93/3,0)</x:f>
      </x:c>
      <x:c r="CJ93" s="117" t="n">
        <x:f>IF(AND(CJ$3&gt;=EDATE($B$76,-3),CJ$3&lt;$B$76),$B$93/3,0)</x:f>
      </x:c>
      <x:c r="CK93" s="117" t="n">
        <x:f>IF(AND(CK$3&gt;=EDATE($B$76,-3),CK$3&lt;$B$76),$B$93/3,0)</x:f>
      </x:c>
      <x:c r="CL93" s="117" t="n">
        <x:f>IF(AND(CL$3&gt;=EDATE($B$76,-3),CL$3&lt;$B$76),$B$93/3,0)</x:f>
      </x:c>
      <x:c r="CM93" s="117" t="n">
        <x:f>IF(AND(CM$3&gt;=EDATE($B$76,-3),CM$3&lt;$B$76),$B$93/3,0)</x:f>
      </x:c>
      <x:c r="CN93" s="117" t="n">
        <x:f>IF(AND(CN$3&gt;=EDATE($B$76,-3),CN$3&lt;$B$76),$B$93/3,0)</x:f>
      </x:c>
      <x:c r="CO93" s="117" t="n">
        <x:f>IF(AND(CO$3&gt;=EDATE($B$76,-3),CO$3&lt;$B$76),$B$93/3,0)</x:f>
      </x:c>
      <x:c r="CP93" s="117" t="n">
        <x:f>IF(AND(CP$3&gt;=EDATE($B$76,-3),CP$3&lt;$B$76),$B$93/3,0)</x:f>
      </x:c>
      <x:c r="CQ93" s="117" t="n">
        <x:f>IF(AND(CQ$3&gt;=EDATE($B$76,-3),CQ$3&lt;$B$76),$B$93/3,0)</x:f>
      </x:c>
      <x:c r="CR93" s="117" t="n">
        <x:f>IF(AND(CR$3&gt;=EDATE($B$76,-3),CR$3&lt;$B$76),$B$93/3,0)</x:f>
      </x:c>
      <x:c r="CS93" s="117" t="n">
        <x:f>IF(AND(CS$3&gt;=EDATE($B$76,-3),CS$3&lt;$B$76),$B$93/3,0)</x:f>
      </x:c>
      <x:c r="CT93" s="117" t="n">
        <x:f>IF(AND(CT$3&gt;=EDATE($B$76,-3),CT$3&lt;$B$76),$B$93/3,0)</x:f>
      </x:c>
      <x:c r="CU93" s="117" t="n">
        <x:f>IF(AND(CU$3&gt;=EDATE($B$76,-3),CU$3&lt;$B$76),$B$93/3,0)</x:f>
      </x:c>
      <x:c r="CV93" s="117" t="n">
        <x:f>IF(AND(CV$3&gt;=EDATE($B$76,-3),CV$3&lt;$B$76),$B$93/3,0)</x:f>
      </x:c>
      <x:c r="CW93" s="117" t="n">
        <x:f>IF(AND(CW$3&gt;=EDATE($B$76,-3),CW$3&lt;$B$76),$B$93/3,0)</x:f>
      </x:c>
      <x:c r="CX93" s="117" t="n">
        <x:f>IF(AND(CX$3&gt;=EDATE($B$76,-3),CX$3&lt;$B$76),$B$93/3,0)</x:f>
      </x:c>
      <x:c r="CY93" s="117" t="n">
        <x:f>IF(AND(CY$3&gt;=EDATE($B$76,-3),CY$3&lt;$B$76),$B$93/3,0)</x:f>
      </x:c>
      <x:c r="CZ93" s="117" t="n">
        <x:f>IF(AND(CZ$3&gt;=EDATE($B$76,-3),CZ$3&lt;$B$76),$B$93/3,0)</x:f>
      </x:c>
      <x:c r="DA93" s="117" t="n">
        <x:f>IF(AND(DA$3&gt;=EDATE($B$76,-3),DA$3&lt;$B$76),$B$93/3,0)</x:f>
      </x:c>
      <x:c r="DB93" s="117" t="n">
        <x:f>IF(AND(DB$3&gt;=EDATE($B$76,-3),DB$3&lt;$B$76),$B$93/3,0)</x:f>
      </x:c>
      <x:c r="DC93" s="117" t="n">
        <x:f>IF(AND(DC$3&gt;=EDATE($B$76,-3),DC$3&lt;$B$76),$B$93/3,0)</x:f>
      </x:c>
      <x:c r="DD93" s="117" t="n">
        <x:f>IF(AND(DD$3&gt;=EDATE($B$76,-3),DD$3&lt;$B$76),$B$93/3,0)</x:f>
      </x:c>
      <x:c r="DE93" s="117" t="n">
        <x:f>IF(AND(DE$3&gt;=EDATE($B$76,-3),DE$3&lt;$B$76),$B$93/3,0)</x:f>
      </x:c>
      <x:c r="DF93" s="117" t="n">
        <x:f>IF(AND(DF$3&gt;=EDATE($B$76,-3),DF$3&lt;$B$76),$B$93/3,0)</x:f>
      </x:c>
      <x:c r="DG93" s="117" t="n">
        <x:f>IF(AND(DG$3&gt;=EDATE($B$76,-3),DG$3&lt;$B$76),$B$93/3,0)</x:f>
      </x:c>
      <x:c r="DH93" s="117" t="n">
        <x:f>IF(AND(DH$3&gt;=EDATE($B$76,-3),DH$3&lt;$B$76),$B$93/3,0)</x:f>
      </x:c>
      <x:c r="DI93" s="117" t="n">
        <x:f>IF(AND(DI$3&gt;=EDATE($B$76,-3),DI$3&lt;$B$76),$B$93/3,0)</x:f>
      </x:c>
      <x:c r="DJ93" s="117" t="n">
        <x:f>IF(AND(DJ$3&gt;=EDATE($B$76,-3),DJ$3&lt;$B$76),$B$93/3,0)</x:f>
      </x:c>
      <x:c r="DK93" s="117" t="n">
        <x:f>IF(AND(DK$3&gt;=EDATE($B$76,-3),DK$3&lt;$B$76),$B$93/3,0)</x:f>
      </x:c>
      <x:c r="DL93" s="117" t="n">
        <x:f>IF(AND(DL$3&gt;=EDATE($B$76,-3),DL$3&lt;$B$76),$B$93/3,0)</x:f>
      </x:c>
      <x:c r="DM93" s="117" t="n">
        <x:f>IF(AND(DM$3&gt;=EDATE($B$76,-3),DM$3&lt;$B$76),$B$93/3,0)</x:f>
      </x:c>
      <x:c r="DN93" s="117" t="n">
        <x:f>IF(AND(DN$3&gt;=EDATE($B$76,-3),DN$3&lt;$B$76),$B$93/3,0)</x:f>
      </x:c>
      <x:c r="DO93" s="117" t="n">
        <x:f>IF(AND(DO$3&gt;=EDATE($B$76,-3),DO$3&lt;$B$76),$B$93/3,0)</x:f>
      </x:c>
      <x:c r="DP93" s="117" t="n">
        <x:f>IF(AND(DP$3&gt;=EDATE($B$76,-3),DP$3&lt;$B$76),$B$93/3,0)</x:f>
      </x:c>
      <x:c r="DQ93" s="117" t="n">
        <x:f>IF(AND(DQ$3&gt;=EDATE($B$76,-3),DQ$3&lt;$B$76),$B$93/3,0)</x:f>
      </x:c>
      <x:c r="DR93" s="117" t="n">
        <x:f>IF(AND(DR$3&gt;=EDATE($B$76,-3),DR$3&lt;$B$76),$B$93/3,0)</x:f>
      </x:c>
      <x:c r="DS93" s="117" t="n">
        <x:f>IF(AND(DS$3&gt;=EDATE($B$76,-3),DS$3&lt;$B$76),$B$93/3,0)</x:f>
      </x:c>
    </x:row>
    <x:row r="94">
      <x:c r="A94" t="str">
        <x:v>Содержание стройплощадки</x:v>
      </x:c>
      <x:c r="B94" s="107" t="n">
        <x:f>(('Вводные'!$I$90+'Вводные'!$J$90+'Вводные'!$K$90)*'Вводные'!$B$49/1000*'Вводные'!$H$6*'Вводные'!$T$90*--('Вводные'!$B$90="Да"))*'Вводные'!$AH$90</x:f>
      </x:c>
      <x:c r="C94" t="str">
        <x:v>млн ₽</x:v>
      </x:c>
      <x:c r="D94" s="117" t="n">
        <x:f>$B$94*D81</x:f>
      </x:c>
      <x:c r="E94" s="117" t="n">
        <x:f>$B$94*E81</x:f>
      </x:c>
      <x:c r="F94" s="117" t="n">
        <x:f>$B$94*F81</x:f>
      </x:c>
      <x:c r="G94" s="117" t="n">
        <x:f>$B$94*G81</x:f>
      </x:c>
      <x:c r="H94" s="117" t="n">
        <x:f>$B$94*H81</x:f>
      </x:c>
      <x:c r="I94" s="117" t="n">
        <x:f>$B$94*I81</x:f>
      </x:c>
      <x:c r="J94" s="117" t="n">
        <x:f>$B$94*J81</x:f>
      </x:c>
      <x:c r="K94" s="117" t="n">
        <x:f>$B$94*K81</x:f>
      </x:c>
      <x:c r="L94" s="117" t="n">
        <x:f>$B$94*L81</x:f>
      </x:c>
      <x:c r="M94" s="117" t="n">
        <x:f>$B$94*M81</x:f>
      </x:c>
      <x:c r="N94" s="117" t="n">
        <x:f>$B$94*N81</x:f>
      </x:c>
      <x:c r="O94" s="117" t="n">
        <x:f>$B$94*O81</x:f>
      </x:c>
      <x:c r="P94" s="117" t="n">
        <x:f>$B$94*P81</x:f>
      </x:c>
      <x:c r="Q94" s="117" t="n">
        <x:f>$B$94*Q81</x:f>
      </x:c>
      <x:c r="R94" s="117" t="n">
        <x:f>$B$94*R81</x:f>
      </x:c>
      <x:c r="S94" s="117" t="n">
        <x:f>$B$94*S81</x:f>
      </x:c>
      <x:c r="T94" s="117" t="n">
        <x:f>$B$94*T81</x:f>
      </x:c>
      <x:c r="U94" s="117" t="n">
        <x:f>$B$94*U81</x:f>
      </x:c>
      <x:c r="V94" s="117" t="n">
        <x:f>$B$94*V81</x:f>
      </x:c>
      <x:c r="W94" s="117" t="n">
        <x:f>$B$94*W81</x:f>
      </x:c>
      <x:c r="X94" s="117" t="n">
        <x:f>$B$94*X81</x:f>
      </x:c>
      <x:c r="Y94" s="117" t="n">
        <x:f>$B$94*Y81</x:f>
      </x:c>
      <x:c r="Z94" s="117" t="n">
        <x:f>$B$94*Z81</x:f>
      </x:c>
      <x:c r="AA94" s="117" t="n">
        <x:f>$B$94*AA81</x:f>
      </x:c>
      <x:c r="AB94" s="117" t="n">
        <x:f>$B$94*AB81</x:f>
      </x:c>
      <x:c r="AC94" s="117" t="n">
        <x:f>$B$94*AC81</x:f>
      </x:c>
      <x:c r="AD94" s="117" t="n">
        <x:f>$B$94*AD81</x:f>
      </x:c>
      <x:c r="AE94" s="117" t="n">
        <x:f>$B$94*AE81</x:f>
      </x:c>
      <x:c r="AF94" s="117" t="n">
        <x:f>$B$94*AF81</x:f>
      </x:c>
      <x:c r="AG94" s="117" t="n">
        <x:f>$B$94*AG81</x:f>
      </x:c>
      <x:c r="AH94" s="117" t="n">
        <x:f>$B$94*AH81</x:f>
      </x:c>
      <x:c r="AI94" s="117" t="n">
        <x:f>$B$94*AI81</x:f>
      </x:c>
      <x:c r="AJ94" s="117" t="n">
        <x:f>$B$94*AJ81</x:f>
      </x:c>
      <x:c r="AK94" s="117" t="n">
        <x:f>$B$94*AK81</x:f>
      </x:c>
      <x:c r="AL94" s="117" t="n">
        <x:f>$B$94*AL81</x:f>
      </x:c>
      <x:c r="AM94" s="117" t="n">
        <x:f>$B$94*AM81</x:f>
      </x:c>
      <x:c r="AN94" s="117" t="n">
        <x:f>$B$94*AN81</x:f>
      </x:c>
      <x:c r="AO94" s="117" t="n">
        <x:f>$B$94*AO81</x:f>
      </x:c>
      <x:c r="AP94" s="117" t="n">
        <x:f>$B$94*AP81</x:f>
      </x:c>
      <x:c r="AQ94" s="117" t="n">
        <x:f>$B$94*AQ81</x:f>
      </x:c>
      <x:c r="AR94" s="117" t="n">
        <x:f>$B$94*AR81</x:f>
      </x:c>
      <x:c r="AS94" s="117" t="n">
        <x:f>$B$94*AS81</x:f>
      </x:c>
      <x:c r="AT94" s="117" t="n">
        <x:f>$B$94*AT81</x:f>
      </x:c>
      <x:c r="AU94" s="117" t="n">
        <x:f>$B$94*AU81</x:f>
      </x:c>
      <x:c r="AV94" s="117" t="n">
        <x:f>$B$94*AV81</x:f>
      </x:c>
      <x:c r="AW94" s="117" t="n">
        <x:f>$B$94*AW81</x:f>
      </x:c>
      <x:c r="AX94" s="117" t="n">
        <x:f>$B$94*AX81</x:f>
      </x:c>
      <x:c r="AY94" s="117" t="n">
        <x:f>$B$94*AY81</x:f>
      </x:c>
      <x:c r="AZ94" s="117" t="n">
        <x:f>$B$94*AZ81</x:f>
      </x:c>
      <x:c r="BA94" s="117" t="n">
        <x:f>$B$94*BA81</x:f>
      </x:c>
      <x:c r="BB94" s="117" t="n">
        <x:f>$B$94*BB81</x:f>
      </x:c>
      <x:c r="BC94" s="117" t="n">
        <x:f>$B$94*BC81</x:f>
      </x:c>
      <x:c r="BD94" s="117" t="n">
        <x:f>$B$94*BD81</x:f>
      </x:c>
      <x:c r="BE94" s="117" t="n">
        <x:f>$B$94*BE81</x:f>
      </x:c>
      <x:c r="BF94" s="117" t="n">
        <x:f>$B$94*BF81</x:f>
      </x:c>
      <x:c r="BG94" s="117" t="n">
        <x:f>$B$94*BG81</x:f>
      </x:c>
      <x:c r="BH94" s="117" t="n">
        <x:f>$B$94*BH81</x:f>
      </x:c>
      <x:c r="BI94" s="117" t="n">
        <x:f>$B$94*BI81</x:f>
      </x:c>
      <x:c r="BJ94" s="117" t="n">
        <x:f>$B$94*BJ81</x:f>
      </x:c>
      <x:c r="BK94" s="117" t="n">
        <x:f>$B$94*BK81</x:f>
      </x:c>
      <x:c r="BL94" s="117" t="n">
        <x:f>$B$94*BL81</x:f>
      </x:c>
      <x:c r="BM94" s="117" t="n">
        <x:f>$B$94*BM81</x:f>
      </x:c>
      <x:c r="BN94" s="117" t="n">
        <x:f>$B$94*BN81</x:f>
      </x:c>
      <x:c r="BO94" s="117" t="n">
        <x:f>$B$94*BO81</x:f>
      </x:c>
      <x:c r="BP94" s="117" t="n">
        <x:f>$B$94*BP81</x:f>
      </x:c>
      <x:c r="BQ94" s="117" t="n">
        <x:f>$B$94*BQ81</x:f>
      </x:c>
      <x:c r="BR94" s="117" t="n">
        <x:f>$B$94*BR81</x:f>
      </x:c>
      <x:c r="BS94" s="117" t="n">
        <x:f>$B$94*BS81</x:f>
      </x:c>
      <x:c r="BT94" s="117" t="n">
        <x:f>$B$94*BT81</x:f>
      </x:c>
      <x:c r="BU94" s="117" t="n">
        <x:f>$B$94*BU81</x:f>
      </x:c>
      <x:c r="BV94" s="117" t="n">
        <x:f>$B$94*BV81</x:f>
      </x:c>
      <x:c r="BW94" s="117" t="n">
        <x:f>$B$94*BW81</x:f>
      </x:c>
      <x:c r="BX94" s="117" t="n">
        <x:f>$B$94*BX81</x:f>
      </x:c>
      <x:c r="BY94" s="117" t="n">
        <x:f>$B$94*BY81</x:f>
      </x:c>
      <x:c r="BZ94" s="117" t="n">
        <x:f>$B$94*BZ81</x:f>
      </x:c>
      <x:c r="CA94" s="117" t="n">
        <x:f>$B$94*CA81</x:f>
      </x:c>
      <x:c r="CB94" s="117" t="n">
        <x:f>$B$94*CB81</x:f>
      </x:c>
      <x:c r="CC94" s="117" t="n">
        <x:f>$B$94*CC81</x:f>
      </x:c>
      <x:c r="CD94" s="117" t="n">
        <x:f>$B$94*CD81</x:f>
      </x:c>
      <x:c r="CE94" s="117" t="n">
        <x:f>$B$94*CE81</x:f>
      </x:c>
      <x:c r="CF94" s="117" t="n">
        <x:f>$B$94*CF81</x:f>
      </x:c>
      <x:c r="CG94" s="117" t="n">
        <x:f>$B$94*CG81</x:f>
      </x:c>
      <x:c r="CH94" s="117" t="n">
        <x:f>$B$94*CH81</x:f>
      </x:c>
      <x:c r="CI94" s="117" t="n">
        <x:f>$B$94*CI81</x:f>
      </x:c>
      <x:c r="CJ94" s="117" t="n">
        <x:f>$B$94*CJ81</x:f>
      </x:c>
      <x:c r="CK94" s="117" t="n">
        <x:f>$B$94*CK81</x:f>
      </x:c>
      <x:c r="CL94" s="117" t="n">
        <x:f>$B$94*CL81</x:f>
      </x:c>
      <x:c r="CM94" s="117" t="n">
        <x:f>$B$94*CM81</x:f>
      </x:c>
      <x:c r="CN94" s="117" t="n">
        <x:f>$B$94*CN81</x:f>
      </x:c>
      <x:c r="CO94" s="117" t="n">
        <x:f>$B$94*CO81</x:f>
      </x:c>
      <x:c r="CP94" s="117" t="n">
        <x:f>$B$94*CP81</x:f>
      </x:c>
      <x:c r="CQ94" s="117" t="n">
        <x:f>$B$94*CQ81</x:f>
      </x:c>
      <x:c r="CR94" s="117" t="n">
        <x:f>$B$94*CR81</x:f>
      </x:c>
      <x:c r="CS94" s="117" t="n">
        <x:f>$B$94*CS81</x:f>
      </x:c>
      <x:c r="CT94" s="117" t="n">
        <x:f>$B$94*CT81</x:f>
      </x:c>
      <x:c r="CU94" s="117" t="n">
        <x:f>$B$94*CU81</x:f>
      </x:c>
      <x:c r="CV94" s="117" t="n">
        <x:f>$B$94*CV81</x:f>
      </x:c>
      <x:c r="CW94" s="117" t="n">
        <x:f>$B$94*CW81</x:f>
      </x:c>
      <x:c r="CX94" s="117" t="n">
        <x:f>$B$94*CX81</x:f>
      </x:c>
      <x:c r="CY94" s="117" t="n">
        <x:f>$B$94*CY81</x:f>
      </x:c>
      <x:c r="CZ94" s="117" t="n">
        <x:f>$B$94*CZ81</x:f>
      </x:c>
      <x:c r="DA94" s="117" t="n">
        <x:f>$B$94*DA81</x:f>
      </x:c>
      <x:c r="DB94" s="117" t="n">
        <x:f>$B$94*DB81</x:f>
      </x:c>
      <x:c r="DC94" s="117" t="n">
        <x:f>$B$94*DC81</x:f>
      </x:c>
      <x:c r="DD94" s="117" t="n">
        <x:f>$B$94*DD81</x:f>
      </x:c>
      <x:c r="DE94" s="117" t="n">
        <x:f>$B$94*DE81</x:f>
      </x:c>
      <x:c r="DF94" s="117" t="n">
        <x:f>$B$94*DF81</x:f>
      </x:c>
      <x:c r="DG94" s="117" t="n">
        <x:f>$B$94*DG81</x:f>
      </x:c>
      <x:c r="DH94" s="117" t="n">
        <x:f>$B$94*DH81</x:f>
      </x:c>
      <x:c r="DI94" s="117" t="n">
        <x:f>$B$94*DI81</x:f>
      </x:c>
      <x:c r="DJ94" s="117" t="n">
        <x:f>$B$94*DJ81</x:f>
      </x:c>
      <x:c r="DK94" s="117" t="n">
        <x:f>$B$94*DK81</x:f>
      </x:c>
      <x:c r="DL94" s="117" t="n">
        <x:f>$B$94*DL81</x:f>
      </x:c>
      <x:c r="DM94" s="117" t="n">
        <x:f>$B$94*DM81</x:f>
      </x:c>
      <x:c r="DN94" s="117" t="n">
        <x:f>$B$94*DN81</x:f>
      </x:c>
      <x:c r="DO94" s="117" t="n">
        <x:f>$B$94*DO81</x:f>
      </x:c>
      <x:c r="DP94" s="117" t="n">
        <x:f>$B$94*DP81</x:f>
      </x:c>
      <x:c r="DQ94" s="117" t="n">
        <x:f>$B$94*DQ81</x:f>
      </x:c>
      <x:c r="DR94" s="117" t="n">
        <x:f>$B$94*DR81</x:f>
      </x:c>
      <x:c r="DS94" s="117" t="n">
        <x:f>$B$94*DS81</x:f>
      </x:c>
    </x:row>
    <x:row r="95">
      <x:c r="A95" t="str">
        <x:v>Техзаказчик / стройконтроль</x:v>
      </x:c>
      <x:c r="B95" s="107" t="n">
        <x:f>SUM(B84:B94)*'Вводные'!$B$53</x:f>
      </x:c>
      <x:c r="C95" t="str">
        <x:v>млн ₽</x:v>
      </x:c>
      <x:c r="D95" s="117" t="n">
        <x:f>$B$95*D81</x:f>
      </x:c>
      <x:c r="E95" s="117" t="n">
        <x:f>$B$95*E81</x:f>
      </x:c>
      <x:c r="F95" s="117" t="n">
        <x:f>$B$95*F81</x:f>
      </x:c>
      <x:c r="G95" s="117" t="n">
        <x:f>$B$95*G81</x:f>
      </x:c>
      <x:c r="H95" s="117" t="n">
        <x:f>$B$95*H81</x:f>
      </x:c>
      <x:c r="I95" s="117" t="n">
        <x:f>$B$95*I81</x:f>
      </x:c>
      <x:c r="J95" s="117" t="n">
        <x:f>$B$95*J81</x:f>
      </x:c>
      <x:c r="K95" s="117" t="n">
        <x:f>$B$95*K81</x:f>
      </x:c>
      <x:c r="L95" s="117" t="n">
        <x:f>$B$95*L81</x:f>
      </x:c>
      <x:c r="M95" s="117" t="n">
        <x:f>$B$95*M81</x:f>
      </x:c>
      <x:c r="N95" s="117" t="n">
        <x:f>$B$95*N81</x:f>
      </x:c>
      <x:c r="O95" s="117" t="n">
        <x:f>$B$95*O81</x:f>
      </x:c>
      <x:c r="P95" s="117" t="n">
        <x:f>$B$95*P81</x:f>
      </x:c>
      <x:c r="Q95" s="117" t="n">
        <x:f>$B$95*Q81</x:f>
      </x:c>
      <x:c r="R95" s="117" t="n">
        <x:f>$B$95*R81</x:f>
      </x:c>
      <x:c r="S95" s="117" t="n">
        <x:f>$B$95*S81</x:f>
      </x:c>
      <x:c r="T95" s="117" t="n">
        <x:f>$B$95*T81</x:f>
      </x:c>
      <x:c r="U95" s="117" t="n">
        <x:f>$B$95*U81</x:f>
      </x:c>
      <x:c r="V95" s="117" t="n">
        <x:f>$B$95*V81</x:f>
      </x:c>
      <x:c r="W95" s="117" t="n">
        <x:f>$B$95*W81</x:f>
      </x:c>
      <x:c r="X95" s="117" t="n">
        <x:f>$B$95*X81</x:f>
      </x:c>
      <x:c r="Y95" s="117" t="n">
        <x:f>$B$95*Y81</x:f>
      </x:c>
      <x:c r="Z95" s="117" t="n">
        <x:f>$B$95*Z81</x:f>
      </x:c>
      <x:c r="AA95" s="117" t="n">
        <x:f>$B$95*AA81</x:f>
      </x:c>
      <x:c r="AB95" s="117" t="n">
        <x:f>$B$95*AB81</x:f>
      </x:c>
      <x:c r="AC95" s="117" t="n">
        <x:f>$B$95*AC81</x:f>
      </x:c>
      <x:c r="AD95" s="117" t="n">
        <x:f>$B$95*AD81</x:f>
      </x:c>
      <x:c r="AE95" s="117" t="n">
        <x:f>$B$95*AE81</x:f>
      </x:c>
      <x:c r="AF95" s="117" t="n">
        <x:f>$B$95*AF81</x:f>
      </x:c>
      <x:c r="AG95" s="117" t="n">
        <x:f>$B$95*AG81</x:f>
      </x:c>
      <x:c r="AH95" s="117" t="n">
        <x:f>$B$95*AH81</x:f>
      </x:c>
      <x:c r="AI95" s="117" t="n">
        <x:f>$B$95*AI81</x:f>
      </x:c>
      <x:c r="AJ95" s="117" t="n">
        <x:f>$B$95*AJ81</x:f>
      </x:c>
      <x:c r="AK95" s="117" t="n">
        <x:f>$B$95*AK81</x:f>
      </x:c>
      <x:c r="AL95" s="117" t="n">
        <x:f>$B$95*AL81</x:f>
      </x:c>
      <x:c r="AM95" s="117" t="n">
        <x:f>$B$95*AM81</x:f>
      </x:c>
      <x:c r="AN95" s="117" t="n">
        <x:f>$B$95*AN81</x:f>
      </x:c>
      <x:c r="AO95" s="117" t="n">
        <x:f>$B$95*AO81</x:f>
      </x:c>
      <x:c r="AP95" s="117" t="n">
        <x:f>$B$95*AP81</x:f>
      </x:c>
      <x:c r="AQ95" s="117" t="n">
        <x:f>$B$95*AQ81</x:f>
      </x:c>
      <x:c r="AR95" s="117" t="n">
        <x:f>$B$95*AR81</x:f>
      </x:c>
      <x:c r="AS95" s="117" t="n">
        <x:f>$B$95*AS81</x:f>
      </x:c>
      <x:c r="AT95" s="117" t="n">
        <x:f>$B$95*AT81</x:f>
      </x:c>
      <x:c r="AU95" s="117" t="n">
        <x:f>$B$95*AU81</x:f>
      </x:c>
      <x:c r="AV95" s="117" t="n">
        <x:f>$B$95*AV81</x:f>
      </x:c>
      <x:c r="AW95" s="117" t="n">
        <x:f>$B$95*AW81</x:f>
      </x:c>
      <x:c r="AX95" s="117" t="n">
        <x:f>$B$95*AX81</x:f>
      </x:c>
      <x:c r="AY95" s="117" t="n">
        <x:f>$B$95*AY81</x:f>
      </x:c>
      <x:c r="AZ95" s="117" t="n">
        <x:f>$B$95*AZ81</x:f>
      </x:c>
      <x:c r="BA95" s="117" t="n">
        <x:f>$B$95*BA81</x:f>
      </x:c>
      <x:c r="BB95" s="117" t="n">
        <x:f>$B$95*BB81</x:f>
      </x:c>
      <x:c r="BC95" s="117" t="n">
        <x:f>$B$95*BC81</x:f>
      </x:c>
      <x:c r="BD95" s="117" t="n">
        <x:f>$B$95*BD81</x:f>
      </x:c>
      <x:c r="BE95" s="117" t="n">
        <x:f>$B$95*BE81</x:f>
      </x:c>
      <x:c r="BF95" s="117" t="n">
        <x:f>$B$95*BF81</x:f>
      </x:c>
      <x:c r="BG95" s="117" t="n">
        <x:f>$B$95*BG81</x:f>
      </x:c>
      <x:c r="BH95" s="117" t="n">
        <x:f>$B$95*BH81</x:f>
      </x:c>
      <x:c r="BI95" s="117" t="n">
        <x:f>$B$95*BI81</x:f>
      </x:c>
      <x:c r="BJ95" s="117" t="n">
        <x:f>$B$95*BJ81</x:f>
      </x:c>
      <x:c r="BK95" s="117" t="n">
        <x:f>$B$95*BK81</x:f>
      </x:c>
      <x:c r="BL95" s="117" t="n">
        <x:f>$B$95*BL81</x:f>
      </x:c>
      <x:c r="BM95" s="117" t="n">
        <x:f>$B$95*BM81</x:f>
      </x:c>
      <x:c r="BN95" s="117" t="n">
        <x:f>$B$95*BN81</x:f>
      </x:c>
      <x:c r="BO95" s="117" t="n">
        <x:f>$B$95*BO81</x:f>
      </x:c>
      <x:c r="BP95" s="117" t="n">
        <x:f>$B$95*BP81</x:f>
      </x:c>
      <x:c r="BQ95" s="117" t="n">
        <x:f>$B$95*BQ81</x:f>
      </x:c>
      <x:c r="BR95" s="117" t="n">
        <x:f>$B$95*BR81</x:f>
      </x:c>
      <x:c r="BS95" s="117" t="n">
        <x:f>$B$95*BS81</x:f>
      </x:c>
      <x:c r="BT95" s="117" t="n">
        <x:f>$B$95*BT81</x:f>
      </x:c>
      <x:c r="BU95" s="117" t="n">
        <x:f>$B$95*BU81</x:f>
      </x:c>
      <x:c r="BV95" s="117" t="n">
        <x:f>$B$95*BV81</x:f>
      </x:c>
      <x:c r="BW95" s="117" t="n">
        <x:f>$B$95*BW81</x:f>
      </x:c>
      <x:c r="BX95" s="117" t="n">
        <x:f>$B$95*BX81</x:f>
      </x:c>
      <x:c r="BY95" s="117" t="n">
        <x:f>$B$95*BY81</x:f>
      </x:c>
      <x:c r="BZ95" s="117" t="n">
        <x:f>$B$95*BZ81</x:f>
      </x:c>
      <x:c r="CA95" s="117" t="n">
        <x:f>$B$95*CA81</x:f>
      </x:c>
      <x:c r="CB95" s="117" t="n">
        <x:f>$B$95*CB81</x:f>
      </x:c>
      <x:c r="CC95" s="117" t="n">
        <x:f>$B$95*CC81</x:f>
      </x:c>
      <x:c r="CD95" s="117" t="n">
        <x:f>$B$95*CD81</x:f>
      </x:c>
      <x:c r="CE95" s="117" t="n">
        <x:f>$B$95*CE81</x:f>
      </x:c>
      <x:c r="CF95" s="117" t="n">
        <x:f>$B$95*CF81</x:f>
      </x:c>
      <x:c r="CG95" s="117" t="n">
        <x:f>$B$95*CG81</x:f>
      </x:c>
      <x:c r="CH95" s="117" t="n">
        <x:f>$B$95*CH81</x:f>
      </x:c>
      <x:c r="CI95" s="117" t="n">
        <x:f>$B$95*CI81</x:f>
      </x:c>
      <x:c r="CJ95" s="117" t="n">
        <x:f>$B$95*CJ81</x:f>
      </x:c>
      <x:c r="CK95" s="117" t="n">
        <x:f>$B$95*CK81</x:f>
      </x:c>
      <x:c r="CL95" s="117" t="n">
        <x:f>$B$95*CL81</x:f>
      </x:c>
      <x:c r="CM95" s="117" t="n">
        <x:f>$B$95*CM81</x:f>
      </x:c>
      <x:c r="CN95" s="117" t="n">
        <x:f>$B$95*CN81</x:f>
      </x:c>
      <x:c r="CO95" s="117" t="n">
        <x:f>$B$95*CO81</x:f>
      </x:c>
      <x:c r="CP95" s="117" t="n">
        <x:f>$B$95*CP81</x:f>
      </x:c>
      <x:c r="CQ95" s="117" t="n">
        <x:f>$B$95*CQ81</x:f>
      </x:c>
      <x:c r="CR95" s="117" t="n">
        <x:f>$B$95*CR81</x:f>
      </x:c>
      <x:c r="CS95" s="117" t="n">
        <x:f>$B$95*CS81</x:f>
      </x:c>
      <x:c r="CT95" s="117" t="n">
        <x:f>$B$95*CT81</x:f>
      </x:c>
      <x:c r="CU95" s="117" t="n">
        <x:f>$B$95*CU81</x:f>
      </x:c>
      <x:c r="CV95" s="117" t="n">
        <x:f>$B$95*CV81</x:f>
      </x:c>
      <x:c r="CW95" s="117" t="n">
        <x:f>$B$95*CW81</x:f>
      </x:c>
      <x:c r="CX95" s="117" t="n">
        <x:f>$B$95*CX81</x:f>
      </x:c>
      <x:c r="CY95" s="117" t="n">
        <x:f>$B$95*CY81</x:f>
      </x:c>
      <x:c r="CZ95" s="117" t="n">
        <x:f>$B$95*CZ81</x:f>
      </x:c>
      <x:c r="DA95" s="117" t="n">
        <x:f>$B$95*DA81</x:f>
      </x:c>
      <x:c r="DB95" s="117" t="n">
        <x:f>$B$95*DB81</x:f>
      </x:c>
      <x:c r="DC95" s="117" t="n">
        <x:f>$B$95*DC81</x:f>
      </x:c>
      <x:c r="DD95" s="117" t="n">
        <x:f>$B$95*DD81</x:f>
      </x:c>
      <x:c r="DE95" s="117" t="n">
        <x:f>$B$95*DE81</x:f>
      </x:c>
      <x:c r="DF95" s="117" t="n">
        <x:f>$B$95*DF81</x:f>
      </x:c>
      <x:c r="DG95" s="117" t="n">
        <x:f>$B$95*DG81</x:f>
      </x:c>
      <x:c r="DH95" s="117" t="n">
        <x:f>$B$95*DH81</x:f>
      </x:c>
      <x:c r="DI95" s="117" t="n">
        <x:f>$B$95*DI81</x:f>
      </x:c>
      <x:c r="DJ95" s="117" t="n">
        <x:f>$B$95*DJ81</x:f>
      </x:c>
      <x:c r="DK95" s="117" t="n">
        <x:f>$B$95*DK81</x:f>
      </x:c>
      <x:c r="DL95" s="117" t="n">
        <x:f>$B$95*DL81</x:f>
      </x:c>
      <x:c r="DM95" s="117" t="n">
        <x:f>$B$95*DM81</x:f>
      </x:c>
      <x:c r="DN95" s="117" t="n">
        <x:f>$B$95*DN81</x:f>
      </x:c>
      <x:c r="DO95" s="117" t="n">
        <x:f>$B$95*DO81</x:f>
      </x:c>
      <x:c r="DP95" s="117" t="n">
        <x:f>$B$95*DP81</x:f>
      </x:c>
      <x:c r="DQ95" s="117" t="n">
        <x:f>$B$95*DQ81</x:f>
      </x:c>
      <x:c r="DR95" s="117" t="n">
        <x:f>$B$95*DR81</x:f>
      </x:c>
      <x:c r="DS95" s="117" t="n">
        <x:f>$B$95*DS81</x:f>
      </x:c>
    </x:row>
    <x:row r="96">
      <x:c r="A96" t="str">
        <x:v>Управление проектом</x:v>
      </x:c>
      <x:c r="B96" s="107" t="n">
        <x:f>SUM(B84:B94)*'Вводные'!$B$52</x:f>
      </x:c>
      <x:c r="C96" t="str">
        <x:v>млн ₽</x:v>
      </x:c>
      <x:c r="D96" s="117" t="n">
        <x:f>$B$96*D78</x:f>
      </x:c>
      <x:c r="E96" s="117" t="n">
        <x:f>$B$96*E78</x:f>
      </x:c>
      <x:c r="F96" s="117" t="n">
        <x:f>$B$96*F78</x:f>
      </x:c>
      <x:c r="G96" s="117" t="n">
        <x:f>$B$96*G78</x:f>
      </x:c>
      <x:c r="H96" s="117" t="n">
        <x:f>$B$96*H78</x:f>
      </x:c>
      <x:c r="I96" s="117" t="n">
        <x:f>$B$96*I78</x:f>
      </x:c>
      <x:c r="J96" s="117" t="n">
        <x:f>$B$96*J78</x:f>
      </x:c>
      <x:c r="K96" s="117" t="n">
        <x:f>$B$96*K78</x:f>
      </x:c>
      <x:c r="L96" s="117" t="n">
        <x:f>$B$96*L78</x:f>
      </x:c>
      <x:c r="M96" s="117" t="n">
        <x:f>$B$96*M78</x:f>
      </x:c>
      <x:c r="N96" s="117" t="n">
        <x:f>$B$96*N78</x:f>
      </x:c>
      <x:c r="O96" s="117" t="n">
        <x:f>$B$96*O78</x:f>
      </x:c>
      <x:c r="P96" s="117" t="n">
        <x:f>$B$96*P78</x:f>
      </x:c>
      <x:c r="Q96" s="117" t="n">
        <x:f>$B$96*Q78</x:f>
      </x:c>
      <x:c r="R96" s="117" t="n">
        <x:f>$B$96*R78</x:f>
      </x:c>
      <x:c r="S96" s="117" t="n">
        <x:f>$B$96*S78</x:f>
      </x:c>
      <x:c r="T96" s="117" t="n">
        <x:f>$B$96*T78</x:f>
      </x:c>
      <x:c r="U96" s="117" t="n">
        <x:f>$B$96*U78</x:f>
      </x:c>
      <x:c r="V96" s="117" t="n">
        <x:f>$B$96*V78</x:f>
      </x:c>
      <x:c r="W96" s="117" t="n">
        <x:f>$B$96*W78</x:f>
      </x:c>
      <x:c r="X96" s="117" t="n">
        <x:f>$B$96*X78</x:f>
      </x:c>
      <x:c r="Y96" s="117" t="n">
        <x:f>$B$96*Y78</x:f>
      </x:c>
      <x:c r="Z96" s="117" t="n">
        <x:f>$B$96*Z78</x:f>
      </x:c>
      <x:c r="AA96" s="117" t="n">
        <x:f>$B$96*AA78</x:f>
      </x:c>
      <x:c r="AB96" s="117" t="n">
        <x:f>$B$96*AB78</x:f>
      </x:c>
      <x:c r="AC96" s="117" t="n">
        <x:f>$B$96*AC78</x:f>
      </x:c>
      <x:c r="AD96" s="117" t="n">
        <x:f>$B$96*AD78</x:f>
      </x:c>
      <x:c r="AE96" s="117" t="n">
        <x:f>$B$96*AE78</x:f>
      </x:c>
      <x:c r="AF96" s="117" t="n">
        <x:f>$B$96*AF78</x:f>
      </x:c>
      <x:c r="AG96" s="117" t="n">
        <x:f>$B$96*AG78</x:f>
      </x:c>
      <x:c r="AH96" s="117" t="n">
        <x:f>$B$96*AH78</x:f>
      </x:c>
      <x:c r="AI96" s="117" t="n">
        <x:f>$B$96*AI78</x:f>
      </x:c>
      <x:c r="AJ96" s="117" t="n">
        <x:f>$B$96*AJ78</x:f>
      </x:c>
      <x:c r="AK96" s="117" t="n">
        <x:f>$B$96*AK78</x:f>
      </x:c>
      <x:c r="AL96" s="117" t="n">
        <x:f>$B$96*AL78</x:f>
      </x:c>
      <x:c r="AM96" s="117" t="n">
        <x:f>$B$96*AM78</x:f>
      </x:c>
      <x:c r="AN96" s="117" t="n">
        <x:f>$B$96*AN78</x:f>
      </x:c>
      <x:c r="AO96" s="117" t="n">
        <x:f>$B$96*AO78</x:f>
      </x:c>
      <x:c r="AP96" s="117" t="n">
        <x:f>$B$96*AP78</x:f>
      </x:c>
      <x:c r="AQ96" s="117" t="n">
        <x:f>$B$96*AQ78</x:f>
      </x:c>
      <x:c r="AR96" s="117" t="n">
        <x:f>$B$96*AR78</x:f>
      </x:c>
      <x:c r="AS96" s="117" t="n">
        <x:f>$B$96*AS78</x:f>
      </x:c>
      <x:c r="AT96" s="117" t="n">
        <x:f>$B$96*AT78</x:f>
      </x:c>
      <x:c r="AU96" s="117" t="n">
        <x:f>$B$96*AU78</x:f>
      </x:c>
      <x:c r="AV96" s="117" t="n">
        <x:f>$B$96*AV78</x:f>
      </x:c>
      <x:c r="AW96" s="117" t="n">
        <x:f>$B$96*AW78</x:f>
      </x:c>
      <x:c r="AX96" s="117" t="n">
        <x:f>$B$96*AX78</x:f>
      </x:c>
      <x:c r="AY96" s="117" t="n">
        <x:f>$B$96*AY78</x:f>
      </x:c>
      <x:c r="AZ96" s="117" t="n">
        <x:f>$B$96*AZ78</x:f>
      </x:c>
      <x:c r="BA96" s="117" t="n">
        <x:f>$B$96*BA78</x:f>
      </x:c>
      <x:c r="BB96" s="117" t="n">
        <x:f>$B$96*BB78</x:f>
      </x:c>
      <x:c r="BC96" s="117" t="n">
        <x:f>$B$96*BC78</x:f>
      </x:c>
      <x:c r="BD96" s="117" t="n">
        <x:f>$B$96*BD78</x:f>
      </x:c>
      <x:c r="BE96" s="117" t="n">
        <x:f>$B$96*BE78</x:f>
      </x:c>
      <x:c r="BF96" s="117" t="n">
        <x:f>$B$96*BF78</x:f>
      </x:c>
      <x:c r="BG96" s="117" t="n">
        <x:f>$B$96*BG78</x:f>
      </x:c>
      <x:c r="BH96" s="117" t="n">
        <x:f>$B$96*BH78</x:f>
      </x:c>
      <x:c r="BI96" s="117" t="n">
        <x:f>$B$96*BI78</x:f>
      </x:c>
      <x:c r="BJ96" s="117" t="n">
        <x:f>$B$96*BJ78</x:f>
      </x:c>
      <x:c r="BK96" s="117" t="n">
        <x:f>$B$96*BK78</x:f>
      </x:c>
      <x:c r="BL96" s="117" t="n">
        <x:f>$B$96*BL78</x:f>
      </x:c>
      <x:c r="BM96" s="117" t="n">
        <x:f>$B$96*BM78</x:f>
      </x:c>
      <x:c r="BN96" s="117" t="n">
        <x:f>$B$96*BN78</x:f>
      </x:c>
      <x:c r="BO96" s="117" t="n">
        <x:f>$B$96*BO78</x:f>
      </x:c>
      <x:c r="BP96" s="117" t="n">
        <x:f>$B$96*BP78</x:f>
      </x:c>
      <x:c r="BQ96" s="117" t="n">
        <x:f>$B$96*BQ78</x:f>
      </x:c>
      <x:c r="BR96" s="117" t="n">
        <x:f>$B$96*BR78</x:f>
      </x:c>
      <x:c r="BS96" s="117" t="n">
        <x:f>$B$96*BS78</x:f>
      </x:c>
      <x:c r="BT96" s="117" t="n">
        <x:f>$B$96*BT78</x:f>
      </x:c>
      <x:c r="BU96" s="117" t="n">
        <x:f>$B$96*BU78</x:f>
      </x:c>
      <x:c r="BV96" s="117" t="n">
        <x:f>$B$96*BV78</x:f>
      </x:c>
      <x:c r="BW96" s="117" t="n">
        <x:f>$B$96*BW78</x:f>
      </x:c>
      <x:c r="BX96" s="117" t="n">
        <x:f>$B$96*BX78</x:f>
      </x:c>
      <x:c r="BY96" s="117" t="n">
        <x:f>$B$96*BY78</x:f>
      </x:c>
      <x:c r="BZ96" s="117" t="n">
        <x:f>$B$96*BZ78</x:f>
      </x:c>
      <x:c r="CA96" s="117" t="n">
        <x:f>$B$96*CA78</x:f>
      </x:c>
      <x:c r="CB96" s="117" t="n">
        <x:f>$B$96*CB78</x:f>
      </x:c>
      <x:c r="CC96" s="117" t="n">
        <x:f>$B$96*CC78</x:f>
      </x:c>
      <x:c r="CD96" s="117" t="n">
        <x:f>$B$96*CD78</x:f>
      </x:c>
      <x:c r="CE96" s="117" t="n">
        <x:f>$B$96*CE78</x:f>
      </x:c>
      <x:c r="CF96" s="117" t="n">
        <x:f>$B$96*CF78</x:f>
      </x:c>
      <x:c r="CG96" s="117" t="n">
        <x:f>$B$96*CG78</x:f>
      </x:c>
      <x:c r="CH96" s="117" t="n">
        <x:f>$B$96*CH78</x:f>
      </x:c>
      <x:c r="CI96" s="117" t="n">
        <x:f>$B$96*CI78</x:f>
      </x:c>
      <x:c r="CJ96" s="117" t="n">
        <x:f>$B$96*CJ78</x:f>
      </x:c>
      <x:c r="CK96" s="117" t="n">
        <x:f>$B$96*CK78</x:f>
      </x:c>
      <x:c r="CL96" s="117" t="n">
        <x:f>$B$96*CL78</x:f>
      </x:c>
      <x:c r="CM96" s="117" t="n">
        <x:f>$B$96*CM78</x:f>
      </x:c>
      <x:c r="CN96" s="117" t="n">
        <x:f>$B$96*CN78</x:f>
      </x:c>
      <x:c r="CO96" s="117" t="n">
        <x:f>$B$96*CO78</x:f>
      </x:c>
      <x:c r="CP96" s="117" t="n">
        <x:f>$B$96*CP78</x:f>
      </x:c>
      <x:c r="CQ96" s="117" t="n">
        <x:f>$B$96*CQ78</x:f>
      </x:c>
      <x:c r="CR96" s="117" t="n">
        <x:f>$B$96*CR78</x:f>
      </x:c>
      <x:c r="CS96" s="117" t="n">
        <x:f>$B$96*CS78</x:f>
      </x:c>
      <x:c r="CT96" s="117" t="n">
        <x:f>$B$96*CT78</x:f>
      </x:c>
      <x:c r="CU96" s="117" t="n">
        <x:f>$B$96*CU78</x:f>
      </x:c>
      <x:c r="CV96" s="117" t="n">
        <x:f>$B$96*CV78</x:f>
      </x:c>
      <x:c r="CW96" s="117" t="n">
        <x:f>$B$96*CW78</x:f>
      </x:c>
      <x:c r="CX96" s="117" t="n">
        <x:f>$B$96*CX78</x:f>
      </x:c>
      <x:c r="CY96" s="117" t="n">
        <x:f>$B$96*CY78</x:f>
      </x:c>
      <x:c r="CZ96" s="117" t="n">
        <x:f>$B$96*CZ78</x:f>
      </x:c>
      <x:c r="DA96" s="117" t="n">
        <x:f>$B$96*DA78</x:f>
      </x:c>
      <x:c r="DB96" s="117" t="n">
        <x:f>$B$96*DB78</x:f>
      </x:c>
      <x:c r="DC96" s="117" t="n">
        <x:f>$B$96*DC78</x:f>
      </x:c>
      <x:c r="DD96" s="117" t="n">
        <x:f>$B$96*DD78</x:f>
      </x:c>
      <x:c r="DE96" s="117" t="n">
        <x:f>$B$96*DE78</x:f>
      </x:c>
      <x:c r="DF96" s="117" t="n">
        <x:f>$B$96*DF78</x:f>
      </x:c>
      <x:c r="DG96" s="117" t="n">
        <x:f>$B$96*DG78</x:f>
      </x:c>
      <x:c r="DH96" s="117" t="n">
        <x:f>$B$96*DH78</x:f>
      </x:c>
      <x:c r="DI96" s="117" t="n">
        <x:f>$B$96*DI78</x:f>
      </x:c>
      <x:c r="DJ96" s="117" t="n">
        <x:f>$B$96*DJ78</x:f>
      </x:c>
      <x:c r="DK96" s="117" t="n">
        <x:f>$B$96*DK78</x:f>
      </x:c>
      <x:c r="DL96" s="117" t="n">
        <x:f>$B$96*DL78</x:f>
      </x:c>
      <x:c r="DM96" s="117" t="n">
        <x:f>$B$96*DM78</x:f>
      </x:c>
      <x:c r="DN96" s="117" t="n">
        <x:f>$B$96*DN78</x:f>
      </x:c>
      <x:c r="DO96" s="117" t="n">
        <x:f>$B$96*DO78</x:f>
      </x:c>
      <x:c r="DP96" s="117" t="n">
        <x:f>$B$96*DP78</x:f>
      </x:c>
      <x:c r="DQ96" s="117" t="n">
        <x:f>$B$96*DQ78</x:f>
      </x:c>
      <x:c r="DR96" s="117" t="n">
        <x:f>$B$96*DR78</x:f>
      </x:c>
      <x:c r="DS96" s="117" t="n">
        <x:f>$B$96*DS78</x:f>
      </x:c>
    </x:row>
    <x:row r="97">
      <x:c r="A97" t="str">
        <x:v>Вознаграждение генподрядчика</x:v>
      </x:c>
      <x:c r="B97" s="107" t="n">
        <x:f>SUM(B84:B94)*'Вводные'!$B$50</x:f>
      </x:c>
      <x:c r="C97" t="str">
        <x:v>млн ₽</x:v>
      </x:c>
      <x:c r="D97" s="117" t="n">
        <x:f>$B$97*D81</x:f>
      </x:c>
      <x:c r="E97" s="117" t="n">
        <x:f>$B$97*E81</x:f>
      </x:c>
      <x:c r="F97" s="117" t="n">
        <x:f>$B$97*F81</x:f>
      </x:c>
      <x:c r="G97" s="117" t="n">
        <x:f>$B$97*G81</x:f>
      </x:c>
      <x:c r="H97" s="117" t="n">
        <x:f>$B$97*H81</x:f>
      </x:c>
      <x:c r="I97" s="117" t="n">
        <x:f>$B$97*I81</x:f>
      </x:c>
      <x:c r="J97" s="117" t="n">
        <x:f>$B$97*J81</x:f>
      </x:c>
      <x:c r="K97" s="117" t="n">
        <x:f>$B$97*K81</x:f>
      </x:c>
      <x:c r="L97" s="117" t="n">
        <x:f>$B$97*L81</x:f>
      </x:c>
      <x:c r="M97" s="117" t="n">
        <x:f>$B$97*M81</x:f>
      </x:c>
      <x:c r="N97" s="117" t="n">
        <x:f>$B$97*N81</x:f>
      </x:c>
      <x:c r="O97" s="117" t="n">
        <x:f>$B$97*O81</x:f>
      </x:c>
      <x:c r="P97" s="117" t="n">
        <x:f>$B$97*P81</x:f>
      </x:c>
      <x:c r="Q97" s="117" t="n">
        <x:f>$B$97*Q81</x:f>
      </x:c>
      <x:c r="R97" s="117" t="n">
        <x:f>$B$97*R81</x:f>
      </x:c>
      <x:c r="S97" s="117" t="n">
        <x:f>$B$97*S81</x:f>
      </x:c>
      <x:c r="T97" s="117" t="n">
        <x:f>$B$97*T81</x:f>
      </x:c>
      <x:c r="U97" s="117" t="n">
        <x:f>$B$97*U81</x:f>
      </x:c>
      <x:c r="V97" s="117" t="n">
        <x:f>$B$97*V81</x:f>
      </x:c>
      <x:c r="W97" s="117" t="n">
        <x:f>$B$97*W81</x:f>
      </x:c>
      <x:c r="X97" s="117" t="n">
        <x:f>$B$97*X81</x:f>
      </x:c>
      <x:c r="Y97" s="117" t="n">
        <x:f>$B$97*Y81</x:f>
      </x:c>
      <x:c r="Z97" s="117" t="n">
        <x:f>$B$97*Z81</x:f>
      </x:c>
      <x:c r="AA97" s="117" t="n">
        <x:f>$B$97*AA81</x:f>
      </x:c>
      <x:c r="AB97" s="117" t="n">
        <x:f>$B$97*AB81</x:f>
      </x:c>
      <x:c r="AC97" s="117" t="n">
        <x:f>$B$97*AC81</x:f>
      </x:c>
      <x:c r="AD97" s="117" t="n">
        <x:f>$B$97*AD81</x:f>
      </x:c>
      <x:c r="AE97" s="117" t="n">
        <x:f>$B$97*AE81</x:f>
      </x:c>
      <x:c r="AF97" s="117" t="n">
        <x:f>$B$97*AF81</x:f>
      </x:c>
      <x:c r="AG97" s="117" t="n">
        <x:f>$B$97*AG81</x:f>
      </x:c>
      <x:c r="AH97" s="117" t="n">
        <x:f>$B$97*AH81</x:f>
      </x:c>
      <x:c r="AI97" s="117" t="n">
        <x:f>$B$97*AI81</x:f>
      </x:c>
      <x:c r="AJ97" s="117" t="n">
        <x:f>$B$97*AJ81</x:f>
      </x:c>
      <x:c r="AK97" s="117" t="n">
        <x:f>$B$97*AK81</x:f>
      </x:c>
      <x:c r="AL97" s="117" t="n">
        <x:f>$B$97*AL81</x:f>
      </x:c>
      <x:c r="AM97" s="117" t="n">
        <x:f>$B$97*AM81</x:f>
      </x:c>
      <x:c r="AN97" s="117" t="n">
        <x:f>$B$97*AN81</x:f>
      </x:c>
      <x:c r="AO97" s="117" t="n">
        <x:f>$B$97*AO81</x:f>
      </x:c>
      <x:c r="AP97" s="117" t="n">
        <x:f>$B$97*AP81</x:f>
      </x:c>
      <x:c r="AQ97" s="117" t="n">
        <x:f>$B$97*AQ81</x:f>
      </x:c>
      <x:c r="AR97" s="117" t="n">
        <x:f>$B$97*AR81</x:f>
      </x:c>
      <x:c r="AS97" s="117" t="n">
        <x:f>$B$97*AS81</x:f>
      </x:c>
      <x:c r="AT97" s="117" t="n">
        <x:f>$B$97*AT81</x:f>
      </x:c>
      <x:c r="AU97" s="117" t="n">
        <x:f>$B$97*AU81</x:f>
      </x:c>
      <x:c r="AV97" s="117" t="n">
        <x:f>$B$97*AV81</x:f>
      </x:c>
      <x:c r="AW97" s="117" t="n">
        <x:f>$B$97*AW81</x:f>
      </x:c>
      <x:c r="AX97" s="117" t="n">
        <x:f>$B$97*AX81</x:f>
      </x:c>
      <x:c r="AY97" s="117" t="n">
        <x:f>$B$97*AY81</x:f>
      </x:c>
      <x:c r="AZ97" s="117" t="n">
        <x:f>$B$97*AZ81</x:f>
      </x:c>
      <x:c r="BA97" s="117" t="n">
        <x:f>$B$97*BA81</x:f>
      </x:c>
      <x:c r="BB97" s="117" t="n">
        <x:f>$B$97*BB81</x:f>
      </x:c>
      <x:c r="BC97" s="117" t="n">
        <x:f>$B$97*BC81</x:f>
      </x:c>
      <x:c r="BD97" s="117" t="n">
        <x:f>$B$97*BD81</x:f>
      </x:c>
      <x:c r="BE97" s="117" t="n">
        <x:f>$B$97*BE81</x:f>
      </x:c>
      <x:c r="BF97" s="117" t="n">
        <x:f>$B$97*BF81</x:f>
      </x:c>
      <x:c r="BG97" s="117" t="n">
        <x:f>$B$97*BG81</x:f>
      </x:c>
      <x:c r="BH97" s="117" t="n">
        <x:f>$B$97*BH81</x:f>
      </x:c>
      <x:c r="BI97" s="117" t="n">
        <x:f>$B$97*BI81</x:f>
      </x:c>
      <x:c r="BJ97" s="117" t="n">
        <x:f>$B$97*BJ81</x:f>
      </x:c>
      <x:c r="BK97" s="117" t="n">
        <x:f>$B$97*BK81</x:f>
      </x:c>
      <x:c r="BL97" s="117" t="n">
        <x:f>$B$97*BL81</x:f>
      </x:c>
      <x:c r="BM97" s="117" t="n">
        <x:f>$B$97*BM81</x:f>
      </x:c>
      <x:c r="BN97" s="117" t="n">
        <x:f>$B$97*BN81</x:f>
      </x:c>
      <x:c r="BO97" s="117" t="n">
        <x:f>$B$97*BO81</x:f>
      </x:c>
      <x:c r="BP97" s="117" t="n">
        <x:f>$B$97*BP81</x:f>
      </x:c>
      <x:c r="BQ97" s="117" t="n">
        <x:f>$B$97*BQ81</x:f>
      </x:c>
      <x:c r="BR97" s="117" t="n">
        <x:f>$B$97*BR81</x:f>
      </x:c>
      <x:c r="BS97" s="117" t="n">
        <x:f>$B$97*BS81</x:f>
      </x:c>
      <x:c r="BT97" s="117" t="n">
        <x:f>$B$97*BT81</x:f>
      </x:c>
      <x:c r="BU97" s="117" t="n">
        <x:f>$B$97*BU81</x:f>
      </x:c>
      <x:c r="BV97" s="117" t="n">
        <x:f>$B$97*BV81</x:f>
      </x:c>
      <x:c r="BW97" s="117" t="n">
        <x:f>$B$97*BW81</x:f>
      </x:c>
      <x:c r="BX97" s="117" t="n">
        <x:f>$B$97*BX81</x:f>
      </x:c>
      <x:c r="BY97" s="117" t="n">
        <x:f>$B$97*BY81</x:f>
      </x:c>
      <x:c r="BZ97" s="117" t="n">
        <x:f>$B$97*BZ81</x:f>
      </x:c>
      <x:c r="CA97" s="117" t="n">
        <x:f>$B$97*CA81</x:f>
      </x:c>
      <x:c r="CB97" s="117" t="n">
        <x:f>$B$97*CB81</x:f>
      </x:c>
      <x:c r="CC97" s="117" t="n">
        <x:f>$B$97*CC81</x:f>
      </x:c>
      <x:c r="CD97" s="117" t="n">
        <x:f>$B$97*CD81</x:f>
      </x:c>
      <x:c r="CE97" s="117" t="n">
        <x:f>$B$97*CE81</x:f>
      </x:c>
      <x:c r="CF97" s="117" t="n">
        <x:f>$B$97*CF81</x:f>
      </x:c>
      <x:c r="CG97" s="117" t="n">
        <x:f>$B$97*CG81</x:f>
      </x:c>
      <x:c r="CH97" s="117" t="n">
        <x:f>$B$97*CH81</x:f>
      </x:c>
      <x:c r="CI97" s="117" t="n">
        <x:f>$B$97*CI81</x:f>
      </x:c>
      <x:c r="CJ97" s="117" t="n">
        <x:f>$B$97*CJ81</x:f>
      </x:c>
      <x:c r="CK97" s="117" t="n">
        <x:f>$B$97*CK81</x:f>
      </x:c>
      <x:c r="CL97" s="117" t="n">
        <x:f>$B$97*CL81</x:f>
      </x:c>
      <x:c r="CM97" s="117" t="n">
        <x:f>$B$97*CM81</x:f>
      </x:c>
      <x:c r="CN97" s="117" t="n">
        <x:f>$B$97*CN81</x:f>
      </x:c>
      <x:c r="CO97" s="117" t="n">
        <x:f>$B$97*CO81</x:f>
      </x:c>
      <x:c r="CP97" s="117" t="n">
        <x:f>$B$97*CP81</x:f>
      </x:c>
      <x:c r="CQ97" s="117" t="n">
        <x:f>$B$97*CQ81</x:f>
      </x:c>
      <x:c r="CR97" s="117" t="n">
        <x:f>$B$97*CR81</x:f>
      </x:c>
      <x:c r="CS97" s="117" t="n">
        <x:f>$B$97*CS81</x:f>
      </x:c>
      <x:c r="CT97" s="117" t="n">
        <x:f>$B$97*CT81</x:f>
      </x:c>
      <x:c r="CU97" s="117" t="n">
        <x:f>$B$97*CU81</x:f>
      </x:c>
      <x:c r="CV97" s="117" t="n">
        <x:f>$B$97*CV81</x:f>
      </x:c>
      <x:c r="CW97" s="117" t="n">
        <x:f>$B$97*CW81</x:f>
      </x:c>
      <x:c r="CX97" s="117" t="n">
        <x:f>$B$97*CX81</x:f>
      </x:c>
      <x:c r="CY97" s="117" t="n">
        <x:f>$B$97*CY81</x:f>
      </x:c>
      <x:c r="CZ97" s="117" t="n">
        <x:f>$B$97*CZ81</x:f>
      </x:c>
      <x:c r="DA97" s="117" t="n">
        <x:f>$B$97*DA81</x:f>
      </x:c>
      <x:c r="DB97" s="117" t="n">
        <x:f>$B$97*DB81</x:f>
      </x:c>
      <x:c r="DC97" s="117" t="n">
        <x:f>$B$97*DC81</x:f>
      </x:c>
      <x:c r="DD97" s="117" t="n">
        <x:f>$B$97*DD81</x:f>
      </x:c>
      <x:c r="DE97" s="117" t="n">
        <x:f>$B$97*DE81</x:f>
      </x:c>
      <x:c r="DF97" s="117" t="n">
        <x:f>$B$97*DF81</x:f>
      </x:c>
      <x:c r="DG97" s="117" t="n">
        <x:f>$B$97*DG81</x:f>
      </x:c>
      <x:c r="DH97" s="117" t="n">
        <x:f>$B$97*DH81</x:f>
      </x:c>
      <x:c r="DI97" s="117" t="n">
        <x:f>$B$97*DI81</x:f>
      </x:c>
      <x:c r="DJ97" s="117" t="n">
        <x:f>$B$97*DJ81</x:f>
      </x:c>
      <x:c r="DK97" s="117" t="n">
        <x:f>$B$97*DK81</x:f>
      </x:c>
      <x:c r="DL97" s="117" t="n">
        <x:f>$B$97*DL81</x:f>
      </x:c>
      <x:c r="DM97" s="117" t="n">
        <x:f>$B$97*DM81</x:f>
      </x:c>
      <x:c r="DN97" s="117" t="n">
        <x:f>$B$97*DN81</x:f>
      </x:c>
      <x:c r="DO97" s="117" t="n">
        <x:f>$B$97*DO81</x:f>
      </x:c>
      <x:c r="DP97" s="117" t="n">
        <x:f>$B$97*DP81</x:f>
      </x:c>
      <x:c r="DQ97" s="117" t="n">
        <x:f>$B$97*DQ81</x:f>
      </x:c>
      <x:c r="DR97" s="117" t="n">
        <x:f>$B$97*DR81</x:f>
      </x:c>
      <x:c r="DS97" s="117" t="n">
        <x:f>$B$97*DS81</x:f>
      </x:c>
    </x:row>
    <x:row r="98">
      <x:c r="A98" t="str">
        <x:v>Резерв</x:v>
      </x:c>
      <x:c r="B98" s="107" t="n">
        <x:f>(SUM(B83:B97)+B99)*'Вводные'!$B$54</x:f>
      </x:c>
      <x:c r="C98" t="str">
        <x:v>млн ₽</x:v>
      </x:c>
      <x:c r="D98" s="117" t="n">
        <x:f>$B$98*D81</x:f>
      </x:c>
      <x:c r="E98" s="117" t="n">
        <x:f>$B$98*E81</x:f>
      </x:c>
      <x:c r="F98" s="117" t="n">
        <x:f>$B$98*F81</x:f>
      </x:c>
      <x:c r="G98" s="117" t="n">
        <x:f>$B$98*G81</x:f>
      </x:c>
      <x:c r="H98" s="117" t="n">
        <x:f>$B$98*H81</x:f>
      </x:c>
      <x:c r="I98" s="117" t="n">
        <x:f>$B$98*I81</x:f>
      </x:c>
      <x:c r="J98" s="117" t="n">
        <x:f>$B$98*J81</x:f>
      </x:c>
      <x:c r="K98" s="117" t="n">
        <x:f>$B$98*K81</x:f>
      </x:c>
      <x:c r="L98" s="117" t="n">
        <x:f>$B$98*L81</x:f>
      </x:c>
      <x:c r="M98" s="117" t="n">
        <x:f>$B$98*M81</x:f>
      </x:c>
      <x:c r="N98" s="117" t="n">
        <x:f>$B$98*N81</x:f>
      </x:c>
      <x:c r="O98" s="117" t="n">
        <x:f>$B$98*O81</x:f>
      </x:c>
      <x:c r="P98" s="117" t="n">
        <x:f>$B$98*P81</x:f>
      </x:c>
      <x:c r="Q98" s="117" t="n">
        <x:f>$B$98*Q81</x:f>
      </x:c>
      <x:c r="R98" s="117" t="n">
        <x:f>$B$98*R81</x:f>
      </x:c>
      <x:c r="S98" s="117" t="n">
        <x:f>$B$98*S81</x:f>
      </x:c>
      <x:c r="T98" s="117" t="n">
        <x:f>$B$98*T81</x:f>
      </x:c>
      <x:c r="U98" s="117" t="n">
        <x:f>$B$98*U81</x:f>
      </x:c>
      <x:c r="V98" s="117" t="n">
        <x:f>$B$98*V81</x:f>
      </x:c>
      <x:c r="W98" s="117" t="n">
        <x:f>$B$98*W81</x:f>
      </x:c>
      <x:c r="X98" s="117" t="n">
        <x:f>$B$98*X81</x:f>
      </x:c>
      <x:c r="Y98" s="117" t="n">
        <x:f>$B$98*Y81</x:f>
      </x:c>
      <x:c r="Z98" s="117" t="n">
        <x:f>$B$98*Z81</x:f>
      </x:c>
      <x:c r="AA98" s="117" t="n">
        <x:f>$B$98*AA81</x:f>
      </x:c>
      <x:c r="AB98" s="117" t="n">
        <x:f>$B$98*AB81</x:f>
      </x:c>
      <x:c r="AC98" s="117" t="n">
        <x:f>$B$98*AC81</x:f>
      </x:c>
      <x:c r="AD98" s="117" t="n">
        <x:f>$B$98*AD81</x:f>
      </x:c>
      <x:c r="AE98" s="117" t="n">
        <x:f>$B$98*AE81</x:f>
      </x:c>
      <x:c r="AF98" s="117" t="n">
        <x:f>$B$98*AF81</x:f>
      </x:c>
      <x:c r="AG98" s="117" t="n">
        <x:f>$B$98*AG81</x:f>
      </x:c>
      <x:c r="AH98" s="117" t="n">
        <x:f>$B$98*AH81</x:f>
      </x:c>
      <x:c r="AI98" s="117" t="n">
        <x:f>$B$98*AI81</x:f>
      </x:c>
      <x:c r="AJ98" s="117" t="n">
        <x:f>$B$98*AJ81</x:f>
      </x:c>
      <x:c r="AK98" s="117" t="n">
        <x:f>$B$98*AK81</x:f>
      </x:c>
      <x:c r="AL98" s="117" t="n">
        <x:f>$B$98*AL81</x:f>
      </x:c>
      <x:c r="AM98" s="117" t="n">
        <x:f>$B$98*AM81</x:f>
      </x:c>
      <x:c r="AN98" s="117" t="n">
        <x:f>$B$98*AN81</x:f>
      </x:c>
      <x:c r="AO98" s="117" t="n">
        <x:f>$B$98*AO81</x:f>
      </x:c>
      <x:c r="AP98" s="117" t="n">
        <x:f>$B$98*AP81</x:f>
      </x:c>
      <x:c r="AQ98" s="117" t="n">
        <x:f>$B$98*AQ81</x:f>
      </x:c>
      <x:c r="AR98" s="117" t="n">
        <x:f>$B$98*AR81</x:f>
      </x:c>
      <x:c r="AS98" s="117" t="n">
        <x:f>$B$98*AS81</x:f>
      </x:c>
      <x:c r="AT98" s="117" t="n">
        <x:f>$B$98*AT81</x:f>
      </x:c>
      <x:c r="AU98" s="117" t="n">
        <x:f>$B$98*AU81</x:f>
      </x:c>
      <x:c r="AV98" s="117" t="n">
        <x:f>$B$98*AV81</x:f>
      </x:c>
      <x:c r="AW98" s="117" t="n">
        <x:f>$B$98*AW81</x:f>
      </x:c>
      <x:c r="AX98" s="117" t="n">
        <x:f>$B$98*AX81</x:f>
      </x:c>
      <x:c r="AY98" s="117" t="n">
        <x:f>$B$98*AY81</x:f>
      </x:c>
      <x:c r="AZ98" s="117" t="n">
        <x:f>$B$98*AZ81</x:f>
      </x:c>
      <x:c r="BA98" s="117" t="n">
        <x:f>$B$98*BA81</x:f>
      </x:c>
      <x:c r="BB98" s="117" t="n">
        <x:f>$B$98*BB81</x:f>
      </x:c>
      <x:c r="BC98" s="117" t="n">
        <x:f>$B$98*BC81</x:f>
      </x:c>
      <x:c r="BD98" s="117" t="n">
        <x:f>$B$98*BD81</x:f>
      </x:c>
      <x:c r="BE98" s="117" t="n">
        <x:f>$B$98*BE81</x:f>
      </x:c>
      <x:c r="BF98" s="117" t="n">
        <x:f>$B$98*BF81</x:f>
      </x:c>
      <x:c r="BG98" s="117" t="n">
        <x:f>$B$98*BG81</x:f>
      </x:c>
      <x:c r="BH98" s="117" t="n">
        <x:f>$B$98*BH81</x:f>
      </x:c>
      <x:c r="BI98" s="117" t="n">
        <x:f>$B$98*BI81</x:f>
      </x:c>
      <x:c r="BJ98" s="117" t="n">
        <x:f>$B$98*BJ81</x:f>
      </x:c>
      <x:c r="BK98" s="117" t="n">
        <x:f>$B$98*BK81</x:f>
      </x:c>
      <x:c r="BL98" s="117" t="n">
        <x:f>$B$98*BL81</x:f>
      </x:c>
      <x:c r="BM98" s="117" t="n">
        <x:f>$B$98*BM81</x:f>
      </x:c>
      <x:c r="BN98" s="117" t="n">
        <x:f>$B$98*BN81</x:f>
      </x:c>
      <x:c r="BO98" s="117" t="n">
        <x:f>$B$98*BO81</x:f>
      </x:c>
      <x:c r="BP98" s="117" t="n">
        <x:f>$B$98*BP81</x:f>
      </x:c>
      <x:c r="BQ98" s="117" t="n">
        <x:f>$B$98*BQ81</x:f>
      </x:c>
      <x:c r="BR98" s="117" t="n">
        <x:f>$B$98*BR81</x:f>
      </x:c>
      <x:c r="BS98" s="117" t="n">
        <x:f>$B$98*BS81</x:f>
      </x:c>
      <x:c r="BT98" s="117" t="n">
        <x:f>$B$98*BT81</x:f>
      </x:c>
      <x:c r="BU98" s="117" t="n">
        <x:f>$B$98*BU81</x:f>
      </x:c>
      <x:c r="BV98" s="117" t="n">
        <x:f>$B$98*BV81</x:f>
      </x:c>
      <x:c r="BW98" s="117" t="n">
        <x:f>$B$98*BW81</x:f>
      </x:c>
      <x:c r="BX98" s="117" t="n">
        <x:f>$B$98*BX81</x:f>
      </x:c>
      <x:c r="BY98" s="117" t="n">
        <x:f>$B$98*BY81</x:f>
      </x:c>
      <x:c r="BZ98" s="117" t="n">
        <x:f>$B$98*BZ81</x:f>
      </x:c>
      <x:c r="CA98" s="117" t="n">
        <x:f>$B$98*CA81</x:f>
      </x:c>
      <x:c r="CB98" s="117" t="n">
        <x:f>$B$98*CB81</x:f>
      </x:c>
      <x:c r="CC98" s="117" t="n">
        <x:f>$B$98*CC81</x:f>
      </x:c>
      <x:c r="CD98" s="117" t="n">
        <x:f>$B$98*CD81</x:f>
      </x:c>
      <x:c r="CE98" s="117" t="n">
        <x:f>$B$98*CE81</x:f>
      </x:c>
      <x:c r="CF98" s="117" t="n">
        <x:f>$B$98*CF81</x:f>
      </x:c>
      <x:c r="CG98" s="117" t="n">
        <x:f>$B$98*CG81</x:f>
      </x:c>
      <x:c r="CH98" s="117" t="n">
        <x:f>$B$98*CH81</x:f>
      </x:c>
      <x:c r="CI98" s="117" t="n">
        <x:f>$B$98*CI81</x:f>
      </x:c>
      <x:c r="CJ98" s="117" t="n">
        <x:f>$B$98*CJ81</x:f>
      </x:c>
      <x:c r="CK98" s="117" t="n">
        <x:f>$B$98*CK81</x:f>
      </x:c>
      <x:c r="CL98" s="117" t="n">
        <x:f>$B$98*CL81</x:f>
      </x:c>
      <x:c r="CM98" s="117" t="n">
        <x:f>$B$98*CM81</x:f>
      </x:c>
      <x:c r="CN98" s="117" t="n">
        <x:f>$B$98*CN81</x:f>
      </x:c>
      <x:c r="CO98" s="117" t="n">
        <x:f>$B$98*CO81</x:f>
      </x:c>
      <x:c r="CP98" s="117" t="n">
        <x:f>$B$98*CP81</x:f>
      </x:c>
      <x:c r="CQ98" s="117" t="n">
        <x:f>$B$98*CQ81</x:f>
      </x:c>
      <x:c r="CR98" s="117" t="n">
        <x:f>$B$98*CR81</x:f>
      </x:c>
      <x:c r="CS98" s="117" t="n">
        <x:f>$B$98*CS81</x:f>
      </x:c>
      <x:c r="CT98" s="117" t="n">
        <x:f>$B$98*CT81</x:f>
      </x:c>
      <x:c r="CU98" s="117" t="n">
        <x:f>$B$98*CU81</x:f>
      </x:c>
      <x:c r="CV98" s="117" t="n">
        <x:f>$B$98*CV81</x:f>
      </x:c>
      <x:c r="CW98" s="117" t="n">
        <x:f>$B$98*CW81</x:f>
      </x:c>
      <x:c r="CX98" s="117" t="n">
        <x:f>$B$98*CX81</x:f>
      </x:c>
      <x:c r="CY98" s="117" t="n">
        <x:f>$B$98*CY81</x:f>
      </x:c>
      <x:c r="CZ98" s="117" t="n">
        <x:f>$B$98*CZ81</x:f>
      </x:c>
      <x:c r="DA98" s="117" t="n">
        <x:f>$B$98*DA81</x:f>
      </x:c>
      <x:c r="DB98" s="117" t="n">
        <x:f>$B$98*DB81</x:f>
      </x:c>
      <x:c r="DC98" s="117" t="n">
        <x:f>$B$98*DC81</x:f>
      </x:c>
      <x:c r="DD98" s="117" t="n">
        <x:f>$B$98*DD81</x:f>
      </x:c>
      <x:c r="DE98" s="117" t="n">
        <x:f>$B$98*DE81</x:f>
      </x:c>
      <x:c r="DF98" s="117" t="n">
        <x:f>$B$98*DF81</x:f>
      </x:c>
      <x:c r="DG98" s="117" t="n">
        <x:f>$B$98*DG81</x:f>
      </x:c>
      <x:c r="DH98" s="117" t="n">
        <x:f>$B$98*DH81</x:f>
      </x:c>
      <x:c r="DI98" s="117" t="n">
        <x:f>$B$98*DI81</x:f>
      </x:c>
      <x:c r="DJ98" s="117" t="n">
        <x:f>$B$98*DJ81</x:f>
      </x:c>
      <x:c r="DK98" s="117" t="n">
        <x:f>$B$98*DK81</x:f>
      </x:c>
      <x:c r="DL98" s="117" t="n">
        <x:f>$B$98*DL81</x:f>
      </x:c>
      <x:c r="DM98" s="117" t="n">
        <x:f>$B$98*DM81</x:f>
      </x:c>
      <x:c r="DN98" s="117" t="n">
        <x:f>$B$98*DN81</x:f>
      </x:c>
      <x:c r="DO98" s="117" t="n">
        <x:f>$B$98*DO81</x:f>
      </x:c>
      <x:c r="DP98" s="117" t="n">
        <x:f>$B$98*DP81</x:f>
      </x:c>
      <x:c r="DQ98" s="117" t="n">
        <x:f>$B$98*DQ81</x:f>
      </x:c>
      <x:c r="DR98" s="117" t="n">
        <x:f>$B$98*DR81</x:f>
      </x:c>
      <x:c r="DS98" s="117" t="n">
        <x:f>$B$98*DS81</x:f>
      </x:c>
    </x:row>
    <x:row r="99">
      <x:c r="A99" t="str">
        <x:v>Социальная нагрузка</x:v>
      </x:c>
      <x:c r="B99" s="107" t="n">
        <x:f>'Вводные'!$B$17*'Вводные'!$R$90*'Вводные'!$H$6*--('Вводные'!$B$90="Да")</x:f>
      </x:c>
      <x:c r="C99" t="str">
        <x:v>млн ₽</x:v>
      </x:c>
      <x:c r="D99" s="117" t="n">
        <x:f>IF(AND(D$3&gt;='Вводные'!$B$18,D$3&lt;EDATE('Вводные'!$B$18,MAX(1,'Вводные'!$E$18))),$B$99/MAX(1,'Вводные'!$E$18),0)</x:f>
      </x:c>
      <x:c r="E99" s="117" t="n">
        <x:f>IF(AND(E$3&gt;='Вводные'!$B$18,E$3&lt;EDATE('Вводные'!$B$18,MAX(1,'Вводные'!$E$18))),$B$99/MAX(1,'Вводные'!$E$18),0)</x:f>
      </x:c>
      <x:c r="F99" s="117" t="n">
        <x:f>IF(AND(F$3&gt;='Вводные'!$B$18,F$3&lt;EDATE('Вводные'!$B$18,MAX(1,'Вводные'!$E$18))),$B$99/MAX(1,'Вводные'!$E$18),0)</x:f>
      </x:c>
      <x:c r="G99" s="117" t="n">
        <x:f>IF(AND(G$3&gt;='Вводные'!$B$18,G$3&lt;EDATE('Вводные'!$B$18,MAX(1,'Вводные'!$E$18))),$B$99/MAX(1,'Вводные'!$E$18),0)</x:f>
      </x:c>
      <x:c r="H99" s="117" t="n">
        <x:f>IF(AND(H$3&gt;='Вводные'!$B$18,H$3&lt;EDATE('Вводные'!$B$18,MAX(1,'Вводные'!$E$18))),$B$99/MAX(1,'Вводные'!$E$18),0)</x:f>
      </x:c>
      <x:c r="I99" s="117" t="n">
        <x:f>IF(AND(I$3&gt;='Вводные'!$B$18,I$3&lt;EDATE('Вводные'!$B$18,MAX(1,'Вводные'!$E$18))),$B$99/MAX(1,'Вводные'!$E$18),0)</x:f>
      </x:c>
      <x:c r="J99" s="117" t="n">
        <x:f>IF(AND(J$3&gt;='Вводные'!$B$18,J$3&lt;EDATE('Вводные'!$B$18,MAX(1,'Вводные'!$E$18))),$B$99/MAX(1,'Вводные'!$E$18),0)</x:f>
      </x:c>
      <x:c r="K99" s="117" t="n">
        <x:f>IF(AND(K$3&gt;='Вводные'!$B$18,K$3&lt;EDATE('Вводные'!$B$18,MAX(1,'Вводные'!$E$18))),$B$99/MAX(1,'Вводные'!$E$18),0)</x:f>
      </x:c>
      <x:c r="L99" s="117" t="n">
        <x:f>IF(AND(L$3&gt;='Вводные'!$B$18,L$3&lt;EDATE('Вводные'!$B$18,MAX(1,'Вводные'!$E$18))),$B$99/MAX(1,'Вводные'!$E$18),0)</x:f>
      </x:c>
      <x:c r="M99" s="117" t="n">
        <x:f>IF(AND(M$3&gt;='Вводные'!$B$18,M$3&lt;EDATE('Вводные'!$B$18,MAX(1,'Вводные'!$E$18))),$B$99/MAX(1,'Вводные'!$E$18),0)</x:f>
      </x:c>
      <x:c r="N99" s="117" t="n">
        <x:f>IF(AND(N$3&gt;='Вводные'!$B$18,N$3&lt;EDATE('Вводные'!$B$18,MAX(1,'Вводные'!$E$18))),$B$99/MAX(1,'Вводные'!$E$18),0)</x:f>
      </x:c>
      <x:c r="O99" s="117" t="n">
        <x:f>IF(AND(O$3&gt;='Вводные'!$B$18,O$3&lt;EDATE('Вводные'!$B$18,MAX(1,'Вводные'!$E$18))),$B$99/MAX(1,'Вводные'!$E$18),0)</x:f>
      </x:c>
      <x:c r="P99" s="117" t="n">
        <x:f>IF(AND(P$3&gt;='Вводные'!$B$18,P$3&lt;EDATE('Вводные'!$B$18,MAX(1,'Вводные'!$E$18))),$B$99/MAX(1,'Вводные'!$E$18),0)</x:f>
      </x:c>
      <x:c r="Q99" s="117" t="n">
        <x:f>IF(AND(Q$3&gt;='Вводные'!$B$18,Q$3&lt;EDATE('Вводные'!$B$18,MAX(1,'Вводные'!$E$18))),$B$99/MAX(1,'Вводные'!$E$18),0)</x:f>
      </x:c>
      <x:c r="R99" s="117" t="n">
        <x:f>IF(AND(R$3&gt;='Вводные'!$B$18,R$3&lt;EDATE('Вводные'!$B$18,MAX(1,'Вводные'!$E$18))),$B$99/MAX(1,'Вводные'!$E$18),0)</x:f>
      </x:c>
      <x:c r="S99" s="117" t="n">
        <x:f>IF(AND(S$3&gt;='Вводные'!$B$18,S$3&lt;EDATE('Вводные'!$B$18,MAX(1,'Вводные'!$E$18))),$B$99/MAX(1,'Вводные'!$E$18),0)</x:f>
      </x:c>
      <x:c r="T99" s="117" t="n">
        <x:f>IF(AND(T$3&gt;='Вводные'!$B$18,T$3&lt;EDATE('Вводные'!$B$18,MAX(1,'Вводные'!$E$18))),$B$99/MAX(1,'Вводные'!$E$18),0)</x:f>
      </x:c>
      <x:c r="U99" s="117" t="n">
        <x:f>IF(AND(U$3&gt;='Вводные'!$B$18,U$3&lt;EDATE('Вводные'!$B$18,MAX(1,'Вводные'!$E$18))),$B$99/MAX(1,'Вводные'!$E$18),0)</x:f>
      </x:c>
      <x:c r="V99" s="117" t="n">
        <x:f>IF(AND(V$3&gt;='Вводные'!$B$18,V$3&lt;EDATE('Вводные'!$B$18,MAX(1,'Вводные'!$E$18))),$B$99/MAX(1,'Вводные'!$E$18),0)</x:f>
      </x:c>
      <x:c r="W99" s="117" t="n">
        <x:f>IF(AND(W$3&gt;='Вводные'!$B$18,W$3&lt;EDATE('Вводные'!$B$18,MAX(1,'Вводные'!$E$18))),$B$99/MAX(1,'Вводные'!$E$18),0)</x:f>
      </x:c>
      <x:c r="X99" s="117" t="n">
        <x:f>IF(AND(X$3&gt;='Вводные'!$B$18,X$3&lt;EDATE('Вводные'!$B$18,MAX(1,'Вводные'!$E$18))),$B$99/MAX(1,'Вводные'!$E$18),0)</x:f>
      </x:c>
      <x:c r="Y99" s="117" t="n">
        <x:f>IF(AND(Y$3&gt;='Вводные'!$B$18,Y$3&lt;EDATE('Вводные'!$B$18,MAX(1,'Вводные'!$E$18))),$B$99/MAX(1,'Вводные'!$E$18),0)</x:f>
      </x:c>
      <x:c r="Z99" s="117" t="n">
        <x:f>IF(AND(Z$3&gt;='Вводные'!$B$18,Z$3&lt;EDATE('Вводные'!$B$18,MAX(1,'Вводные'!$E$18))),$B$99/MAX(1,'Вводные'!$E$18),0)</x:f>
      </x:c>
      <x:c r="AA99" s="117" t="n">
        <x:f>IF(AND(AA$3&gt;='Вводные'!$B$18,AA$3&lt;EDATE('Вводные'!$B$18,MAX(1,'Вводные'!$E$18))),$B$99/MAX(1,'Вводные'!$E$18),0)</x:f>
      </x:c>
      <x:c r="AB99" s="117" t="n">
        <x:f>IF(AND(AB$3&gt;='Вводные'!$B$18,AB$3&lt;EDATE('Вводные'!$B$18,MAX(1,'Вводные'!$E$18))),$B$99/MAX(1,'Вводные'!$E$18),0)</x:f>
      </x:c>
      <x:c r="AC99" s="117" t="n">
        <x:f>IF(AND(AC$3&gt;='Вводные'!$B$18,AC$3&lt;EDATE('Вводные'!$B$18,MAX(1,'Вводные'!$E$18))),$B$99/MAX(1,'Вводные'!$E$18),0)</x:f>
      </x:c>
      <x:c r="AD99" s="117" t="n">
        <x:f>IF(AND(AD$3&gt;='Вводные'!$B$18,AD$3&lt;EDATE('Вводные'!$B$18,MAX(1,'Вводные'!$E$18))),$B$99/MAX(1,'Вводные'!$E$18),0)</x:f>
      </x:c>
      <x:c r="AE99" s="117" t="n">
        <x:f>IF(AND(AE$3&gt;='Вводные'!$B$18,AE$3&lt;EDATE('Вводные'!$B$18,MAX(1,'Вводные'!$E$18))),$B$99/MAX(1,'Вводные'!$E$18),0)</x:f>
      </x:c>
      <x:c r="AF99" s="117" t="n">
        <x:f>IF(AND(AF$3&gt;='Вводные'!$B$18,AF$3&lt;EDATE('Вводные'!$B$18,MAX(1,'Вводные'!$E$18))),$B$99/MAX(1,'Вводные'!$E$18),0)</x:f>
      </x:c>
      <x:c r="AG99" s="117" t="n">
        <x:f>IF(AND(AG$3&gt;='Вводные'!$B$18,AG$3&lt;EDATE('Вводные'!$B$18,MAX(1,'Вводные'!$E$18))),$B$99/MAX(1,'Вводные'!$E$18),0)</x:f>
      </x:c>
      <x:c r="AH99" s="117" t="n">
        <x:f>IF(AND(AH$3&gt;='Вводные'!$B$18,AH$3&lt;EDATE('Вводные'!$B$18,MAX(1,'Вводные'!$E$18))),$B$99/MAX(1,'Вводные'!$E$18),0)</x:f>
      </x:c>
      <x:c r="AI99" s="117" t="n">
        <x:f>IF(AND(AI$3&gt;='Вводные'!$B$18,AI$3&lt;EDATE('Вводные'!$B$18,MAX(1,'Вводные'!$E$18))),$B$99/MAX(1,'Вводные'!$E$18),0)</x:f>
      </x:c>
      <x:c r="AJ99" s="117" t="n">
        <x:f>IF(AND(AJ$3&gt;='Вводные'!$B$18,AJ$3&lt;EDATE('Вводные'!$B$18,MAX(1,'Вводные'!$E$18))),$B$99/MAX(1,'Вводные'!$E$18),0)</x:f>
      </x:c>
      <x:c r="AK99" s="117" t="n">
        <x:f>IF(AND(AK$3&gt;='Вводные'!$B$18,AK$3&lt;EDATE('Вводные'!$B$18,MAX(1,'Вводные'!$E$18))),$B$99/MAX(1,'Вводные'!$E$18),0)</x:f>
      </x:c>
      <x:c r="AL99" s="117" t="n">
        <x:f>IF(AND(AL$3&gt;='Вводные'!$B$18,AL$3&lt;EDATE('Вводные'!$B$18,MAX(1,'Вводные'!$E$18))),$B$99/MAX(1,'Вводные'!$E$18),0)</x:f>
      </x:c>
      <x:c r="AM99" s="117" t="n">
        <x:f>IF(AND(AM$3&gt;='Вводные'!$B$18,AM$3&lt;EDATE('Вводные'!$B$18,MAX(1,'Вводные'!$E$18))),$B$99/MAX(1,'Вводные'!$E$18),0)</x:f>
      </x:c>
      <x:c r="AN99" s="117" t="n">
        <x:f>IF(AND(AN$3&gt;='Вводные'!$B$18,AN$3&lt;EDATE('Вводные'!$B$18,MAX(1,'Вводные'!$E$18))),$B$99/MAX(1,'Вводные'!$E$18),0)</x:f>
      </x:c>
      <x:c r="AO99" s="117" t="n">
        <x:f>IF(AND(AO$3&gt;='Вводные'!$B$18,AO$3&lt;EDATE('Вводные'!$B$18,MAX(1,'Вводные'!$E$18))),$B$99/MAX(1,'Вводные'!$E$18),0)</x:f>
      </x:c>
      <x:c r="AP99" s="117" t="n">
        <x:f>IF(AND(AP$3&gt;='Вводные'!$B$18,AP$3&lt;EDATE('Вводные'!$B$18,MAX(1,'Вводные'!$E$18))),$B$99/MAX(1,'Вводные'!$E$18),0)</x:f>
      </x:c>
      <x:c r="AQ99" s="117" t="n">
        <x:f>IF(AND(AQ$3&gt;='Вводные'!$B$18,AQ$3&lt;EDATE('Вводные'!$B$18,MAX(1,'Вводные'!$E$18))),$B$99/MAX(1,'Вводные'!$E$18),0)</x:f>
      </x:c>
      <x:c r="AR99" s="117" t="n">
        <x:f>IF(AND(AR$3&gt;='Вводные'!$B$18,AR$3&lt;EDATE('Вводные'!$B$18,MAX(1,'Вводные'!$E$18))),$B$99/MAX(1,'Вводные'!$E$18),0)</x:f>
      </x:c>
      <x:c r="AS99" s="117" t="n">
        <x:f>IF(AND(AS$3&gt;='Вводные'!$B$18,AS$3&lt;EDATE('Вводные'!$B$18,MAX(1,'Вводные'!$E$18))),$B$99/MAX(1,'Вводные'!$E$18),0)</x:f>
      </x:c>
      <x:c r="AT99" s="117" t="n">
        <x:f>IF(AND(AT$3&gt;='Вводные'!$B$18,AT$3&lt;EDATE('Вводные'!$B$18,MAX(1,'Вводные'!$E$18))),$B$99/MAX(1,'Вводные'!$E$18),0)</x:f>
      </x:c>
      <x:c r="AU99" s="117" t="n">
        <x:f>IF(AND(AU$3&gt;='Вводные'!$B$18,AU$3&lt;EDATE('Вводные'!$B$18,MAX(1,'Вводные'!$E$18))),$B$99/MAX(1,'Вводные'!$E$18),0)</x:f>
      </x:c>
      <x:c r="AV99" s="117" t="n">
        <x:f>IF(AND(AV$3&gt;='Вводные'!$B$18,AV$3&lt;EDATE('Вводные'!$B$18,MAX(1,'Вводные'!$E$18))),$B$99/MAX(1,'Вводные'!$E$18),0)</x:f>
      </x:c>
      <x:c r="AW99" s="117" t="n">
        <x:f>IF(AND(AW$3&gt;='Вводные'!$B$18,AW$3&lt;EDATE('Вводные'!$B$18,MAX(1,'Вводные'!$E$18))),$B$99/MAX(1,'Вводные'!$E$18),0)</x:f>
      </x:c>
      <x:c r="AX99" s="117" t="n">
        <x:f>IF(AND(AX$3&gt;='Вводные'!$B$18,AX$3&lt;EDATE('Вводные'!$B$18,MAX(1,'Вводные'!$E$18))),$B$99/MAX(1,'Вводные'!$E$18),0)</x:f>
      </x:c>
      <x:c r="AY99" s="117" t="n">
        <x:f>IF(AND(AY$3&gt;='Вводные'!$B$18,AY$3&lt;EDATE('Вводные'!$B$18,MAX(1,'Вводные'!$E$18))),$B$99/MAX(1,'Вводные'!$E$18),0)</x:f>
      </x:c>
      <x:c r="AZ99" s="117" t="n">
        <x:f>IF(AND(AZ$3&gt;='Вводные'!$B$18,AZ$3&lt;EDATE('Вводные'!$B$18,MAX(1,'Вводные'!$E$18))),$B$99/MAX(1,'Вводные'!$E$18),0)</x:f>
      </x:c>
      <x:c r="BA99" s="117" t="n">
        <x:f>IF(AND(BA$3&gt;='Вводные'!$B$18,BA$3&lt;EDATE('Вводные'!$B$18,MAX(1,'Вводные'!$E$18))),$B$99/MAX(1,'Вводные'!$E$18),0)</x:f>
      </x:c>
      <x:c r="BB99" s="117" t="n">
        <x:f>IF(AND(BB$3&gt;='Вводные'!$B$18,BB$3&lt;EDATE('Вводные'!$B$18,MAX(1,'Вводные'!$E$18))),$B$99/MAX(1,'Вводные'!$E$18),0)</x:f>
      </x:c>
      <x:c r="BC99" s="117" t="n">
        <x:f>IF(AND(BC$3&gt;='Вводные'!$B$18,BC$3&lt;EDATE('Вводные'!$B$18,MAX(1,'Вводные'!$E$18))),$B$99/MAX(1,'Вводные'!$E$18),0)</x:f>
      </x:c>
      <x:c r="BD99" s="117" t="n">
        <x:f>IF(AND(BD$3&gt;='Вводные'!$B$18,BD$3&lt;EDATE('Вводные'!$B$18,MAX(1,'Вводные'!$E$18))),$B$99/MAX(1,'Вводные'!$E$18),0)</x:f>
      </x:c>
      <x:c r="BE99" s="117" t="n">
        <x:f>IF(AND(BE$3&gt;='Вводные'!$B$18,BE$3&lt;EDATE('Вводные'!$B$18,MAX(1,'Вводные'!$E$18))),$B$99/MAX(1,'Вводные'!$E$18),0)</x:f>
      </x:c>
      <x:c r="BF99" s="117" t="n">
        <x:f>IF(AND(BF$3&gt;='Вводные'!$B$18,BF$3&lt;EDATE('Вводные'!$B$18,MAX(1,'Вводные'!$E$18))),$B$99/MAX(1,'Вводные'!$E$18),0)</x:f>
      </x:c>
      <x:c r="BG99" s="117" t="n">
        <x:f>IF(AND(BG$3&gt;='Вводные'!$B$18,BG$3&lt;EDATE('Вводные'!$B$18,MAX(1,'Вводные'!$E$18))),$B$99/MAX(1,'Вводные'!$E$18),0)</x:f>
      </x:c>
      <x:c r="BH99" s="117" t="n">
        <x:f>IF(AND(BH$3&gt;='Вводные'!$B$18,BH$3&lt;EDATE('Вводные'!$B$18,MAX(1,'Вводные'!$E$18))),$B$99/MAX(1,'Вводные'!$E$18),0)</x:f>
      </x:c>
      <x:c r="BI99" s="117" t="n">
        <x:f>IF(AND(BI$3&gt;='Вводные'!$B$18,BI$3&lt;EDATE('Вводные'!$B$18,MAX(1,'Вводные'!$E$18))),$B$99/MAX(1,'Вводные'!$E$18),0)</x:f>
      </x:c>
      <x:c r="BJ99" s="117" t="n">
        <x:f>IF(AND(BJ$3&gt;='Вводные'!$B$18,BJ$3&lt;EDATE('Вводные'!$B$18,MAX(1,'Вводные'!$E$18))),$B$99/MAX(1,'Вводные'!$E$18),0)</x:f>
      </x:c>
      <x:c r="BK99" s="117" t="n">
        <x:f>IF(AND(BK$3&gt;='Вводные'!$B$18,BK$3&lt;EDATE('Вводные'!$B$18,MAX(1,'Вводные'!$E$18))),$B$99/MAX(1,'Вводные'!$E$18),0)</x:f>
      </x:c>
      <x:c r="BL99" s="117" t="n">
        <x:f>IF(AND(BL$3&gt;='Вводные'!$B$18,BL$3&lt;EDATE('Вводные'!$B$18,MAX(1,'Вводные'!$E$18))),$B$99/MAX(1,'Вводные'!$E$18),0)</x:f>
      </x:c>
      <x:c r="BM99" s="117" t="n">
        <x:f>IF(AND(BM$3&gt;='Вводные'!$B$18,BM$3&lt;EDATE('Вводные'!$B$18,MAX(1,'Вводные'!$E$18))),$B$99/MAX(1,'Вводные'!$E$18),0)</x:f>
      </x:c>
      <x:c r="BN99" s="117" t="n">
        <x:f>IF(AND(BN$3&gt;='Вводные'!$B$18,BN$3&lt;EDATE('Вводные'!$B$18,MAX(1,'Вводные'!$E$18))),$B$99/MAX(1,'Вводные'!$E$18),0)</x:f>
      </x:c>
      <x:c r="BO99" s="117" t="n">
        <x:f>IF(AND(BO$3&gt;='Вводные'!$B$18,BO$3&lt;EDATE('Вводные'!$B$18,MAX(1,'Вводные'!$E$18))),$B$99/MAX(1,'Вводные'!$E$18),0)</x:f>
      </x:c>
      <x:c r="BP99" s="117" t="n">
        <x:f>IF(AND(BP$3&gt;='Вводные'!$B$18,BP$3&lt;EDATE('Вводные'!$B$18,MAX(1,'Вводные'!$E$18))),$B$99/MAX(1,'Вводные'!$E$18),0)</x:f>
      </x:c>
      <x:c r="BQ99" s="117" t="n">
        <x:f>IF(AND(BQ$3&gt;='Вводные'!$B$18,BQ$3&lt;EDATE('Вводные'!$B$18,MAX(1,'Вводные'!$E$18))),$B$99/MAX(1,'Вводные'!$E$18),0)</x:f>
      </x:c>
      <x:c r="BR99" s="117" t="n">
        <x:f>IF(AND(BR$3&gt;='Вводные'!$B$18,BR$3&lt;EDATE('Вводные'!$B$18,MAX(1,'Вводные'!$E$18))),$B$99/MAX(1,'Вводные'!$E$18),0)</x:f>
      </x:c>
      <x:c r="BS99" s="117" t="n">
        <x:f>IF(AND(BS$3&gt;='Вводные'!$B$18,BS$3&lt;EDATE('Вводные'!$B$18,MAX(1,'Вводные'!$E$18))),$B$99/MAX(1,'Вводные'!$E$18),0)</x:f>
      </x:c>
      <x:c r="BT99" s="117" t="n">
        <x:f>IF(AND(BT$3&gt;='Вводные'!$B$18,BT$3&lt;EDATE('Вводные'!$B$18,MAX(1,'Вводные'!$E$18))),$B$99/MAX(1,'Вводные'!$E$18),0)</x:f>
      </x:c>
      <x:c r="BU99" s="117" t="n">
        <x:f>IF(AND(BU$3&gt;='Вводные'!$B$18,BU$3&lt;EDATE('Вводные'!$B$18,MAX(1,'Вводные'!$E$18))),$B$99/MAX(1,'Вводные'!$E$18),0)</x:f>
      </x:c>
      <x:c r="BV99" s="117" t="n">
        <x:f>IF(AND(BV$3&gt;='Вводные'!$B$18,BV$3&lt;EDATE('Вводные'!$B$18,MAX(1,'Вводные'!$E$18))),$B$99/MAX(1,'Вводные'!$E$18),0)</x:f>
      </x:c>
      <x:c r="BW99" s="117" t="n">
        <x:f>IF(AND(BW$3&gt;='Вводные'!$B$18,BW$3&lt;EDATE('Вводные'!$B$18,MAX(1,'Вводные'!$E$18))),$B$99/MAX(1,'Вводные'!$E$18),0)</x:f>
      </x:c>
      <x:c r="BX99" s="117" t="n">
        <x:f>IF(AND(BX$3&gt;='Вводные'!$B$18,BX$3&lt;EDATE('Вводные'!$B$18,MAX(1,'Вводные'!$E$18))),$B$99/MAX(1,'Вводные'!$E$18),0)</x:f>
      </x:c>
      <x:c r="BY99" s="117" t="n">
        <x:f>IF(AND(BY$3&gt;='Вводные'!$B$18,BY$3&lt;EDATE('Вводные'!$B$18,MAX(1,'Вводные'!$E$18))),$B$99/MAX(1,'Вводные'!$E$18),0)</x:f>
      </x:c>
      <x:c r="BZ99" s="117" t="n">
        <x:f>IF(AND(BZ$3&gt;='Вводные'!$B$18,BZ$3&lt;EDATE('Вводные'!$B$18,MAX(1,'Вводные'!$E$18))),$B$99/MAX(1,'Вводные'!$E$18),0)</x:f>
      </x:c>
      <x:c r="CA99" s="117" t="n">
        <x:f>IF(AND(CA$3&gt;='Вводные'!$B$18,CA$3&lt;EDATE('Вводные'!$B$18,MAX(1,'Вводные'!$E$18))),$B$99/MAX(1,'Вводные'!$E$18),0)</x:f>
      </x:c>
      <x:c r="CB99" s="117" t="n">
        <x:f>IF(AND(CB$3&gt;='Вводные'!$B$18,CB$3&lt;EDATE('Вводные'!$B$18,MAX(1,'Вводные'!$E$18))),$B$99/MAX(1,'Вводные'!$E$18),0)</x:f>
      </x:c>
      <x:c r="CC99" s="117" t="n">
        <x:f>IF(AND(CC$3&gt;='Вводные'!$B$18,CC$3&lt;EDATE('Вводные'!$B$18,MAX(1,'Вводные'!$E$18))),$B$99/MAX(1,'Вводные'!$E$18),0)</x:f>
      </x:c>
      <x:c r="CD99" s="117" t="n">
        <x:f>IF(AND(CD$3&gt;='Вводные'!$B$18,CD$3&lt;EDATE('Вводные'!$B$18,MAX(1,'Вводные'!$E$18))),$B$99/MAX(1,'Вводные'!$E$18),0)</x:f>
      </x:c>
      <x:c r="CE99" s="117" t="n">
        <x:f>IF(AND(CE$3&gt;='Вводные'!$B$18,CE$3&lt;EDATE('Вводные'!$B$18,MAX(1,'Вводные'!$E$18))),$B$99/MAX(1,'Вводные'!$E$18),0)</x:f>
      </x:c>
      <x:c r="CF99" s="117" t="n">
        <x:f>IF(AND(CF$3&gt;='Вводные'!$B$18,CF$3&lt;EDATE('Вводные'!$B$18,MAX(1,'Вводные'!$E$18))),$B$99/MAX(1,'Вводные'!$E$18),0)</x:f>
      </x:c>
      <x:c r="CG99" s="117" t="n">
        <x:f>IF(AND(CG$3&gt;='Вводные'!$B$18,CG$3&lt;EDATE('Вводные'!$B$18,MAX(1,'Вводные'!$E$18))),$B$99/MAX(1,'Вводные'!$E$18),0)</x:f>
      </x:c>
      <x:c r="CH99" s="117" t="n">
        <x:f>IF(AND(CH$3&gt;='Вводные'!$B$18,CH$3&lt;EDATE('Вводные'!$B$18,MAX(1,'Вводные'!$E$18))),$B$99/MAX(1,'Вводные'!$E$18),0)</x:f>
      </x:c>
      <x:c r="CI99" s="117" t="n">
        <x:f>IF(AND(CI$3&gt;='Вводные'!$B$18,CI$3&lt;EDATE('Вводные'!$B$18,MAX(1,'Вводные'!$E$18))),$B$99/MAX(1,'Вводные'!$E$18),0)</x:f>
      </x:c>
      <x:c r="CJ99" s="117" t="n">
        <x:f>IF(AND(CJ$3&gt;='Вводные'!$B$18,CJ$3&lt;EDATE('Вводные'!$B$18,MAX(1,'Вводные'!$E$18))),$B$99/MAX(1,'Вводные'!$E$18),0)</x:f>
      </x:c>
      <x:c r="CK99" s="117" t="n">
        <x:f>IF(AND(CK$3&gt;='Вводные'!$B$18,CK$3&lt;EDATE('Вводные'!$B$18,MAX(1,'Вводные'!$E$18))),$B$99/MAX(1,'Вводные'!$E$18),0)</x:f>
      </x:c>
      <x:c r="CL99" s="117" t="n">
        <x:f>IF(AND(CL$3&gt;='Вводные'!$B$18,CL$3&lt;EDATE('Вводные'!$B$18,MAX(1,'Вводные'!$E$18))),$B$99/MAX(1,'Вводные'!$E$18),0)</x:f>
      </x:c>
      <x:c r="CM99" s="117" t="n">
        <x:f>IF(AND(CM$3&gt;='Вводные'!$B$18,CM$3&lt;EDATE('Вводные'!$B$18,MAX(1,'Вводные'!$E$18))),$B$99/MAX(1,'Вводные'!$E$18),0)</x:f>
      </x:c>
      <x:c r="CN99" s="117" t="n">
        <x:f>IF(AND(CN$3&gt;='Вводные'!$B$18,CN$3&lt;EDATE('Вводные'!$B$18,MAX(1,'Вводные'!$E$18))),$B$99/MAX(1,'Вводные'!$E$18),0)</x:f>
      </x:c>
      <x:c r="CO99" s="117" t="n">
        <x:f>IF(AND(CO$3&gt;='Вводные'!$B$18,CO$3&lt;EDATE('Вводные'!$B$18,MAX(1,'Вводные'!$E$18))),$B$99/MAX(1,'Вводные'!$E$18),0)</x:f>
      </x:c>
      <x:c r="CP99" s="117" t="n">
        <x:f>IF(AND(CP$3&gt;='Вводные'!$B$18,CP$3&lt;EDATE('Вводные'!$B$18,MAX(1,'Вводные'!$E$18))),$B$99/MAX(1,'Вводные'!$E$18),0)</x:f>
      </x:c>
      <x:c r="CQ99" s="117" t="n">
        <x:f>IF(AND(CQ$3&gt;='Вводные'!$B$18,CQ$3&lt;EDATE('Вводные'!$B$18,MAX(1,'Вводные'!$E$18))),$B$99/MAX(1,'Вводные'!$E$18),0)</x:f>
      </x:c>
      <x:c r="CR99" s="117" t="n">
        <x:f>IF(AND(CR$3&gt;='Вводные'!$B$18,CR$3&lt;EDATE('Вводные'!$B$18,MAX(1,'Вводные'!$E$18))),$B$99/MAX(1,'Вводные'!$E$18),0)</x:f>
      </x:c>
      <x:c r="CS99" s="117" t="n">
        <x:f>IF(AND(CS$3&gt;='Вводные'!$B$18,CS$3&lt;EDATE('Вводные'!$B$18,MAX(1,'Вводные'!$E$18))),$B$99/MAX(1,'Вводные'!$E$18),0)</x:f>
      </x:c>
      <x:c r="CT99" s="117" t="n">
        <x:f>IF(AND(CT$3&gt;='Вводные'!$B$18,CT$3&lt;EDATE('Вводные'!$B$18,MAX(1,'Вводные'!$E$18))),$B$99/MAX(1,'Вводные'!$E$18),0)</x:f>
      </x:c>
      <x:c r="CU99" s="117" t="n">
        <x:f>IF(AND(CU$3&gt;='Вводные'!$B$18,CU$3&lt;EDATE('Вводные'!$B$18,MAX(1,'Вводные'!$E$18))),$B$99/MAX(1,'Вводные'!$E$18),0)</x:f>
      </x:c>
      <x:c r="CV99" s="117" t="n">
        <x:f>IF(AND(CV$3&gt;='Вводные'!$B$18,CV$3&lt;EDATE('Вводные'!$B$18,MAX(1,'Вводные'!$E$18))),$B$99/MAX(1,'Вводные'!$E$18),0)</x:f>
      </x:c>
      <x:c r="CW99" s="117" t="n">
        <x:f>IF(AND(CW$3&gt;='Вводные'!$B$18,CW$3&lt;EDATE('Вводные'!$B$18,MAX(1,'Вводные'!$E$18))),$B$99/MAX(1,'Вводные'!$E$18),0)</x:f>
      </x:c>
      <x:c r="CX99" s="117" t="n">
        <x:f>IF(AND(CX$3&gt;='Вводные'!$B$18,CX$3&lt;EDATE('Вводные'!$B$18,MAX(1,'Вводные'!$E$18))),$B$99/MAX(1,'Вводные'!$E$18),0)</x:f>
      </x:c>
      <x:c r="CY99" s="117" t="n">
        <x:f>IF(AND(CY$3&gt;='Вводные'!$B$18,CY$3&lt;EDATE('Вводные'!$B$18,MAX(1,'Вводные'!$E$18))),$B$99/MAX(1,'Вводные'!$E$18),0)</x:f>
      </x:c>
      <x:c r="CZ99" s="117" t="n">
        <x:f>IF(AND(CZ$3&gt;='Вводные'!$B$18,CZ$3&lt;EDATE('Вводные'!$B$18,MAX(1,'Вводные'!$E$18))),$B$99/MAX(1,'Вводные'!$E$18),0)</x:f>
      </x:c>
      <x:c r="DA99" s="117" t="n">
        <x:f>IF(AND(DA$3&gt;='Вводные'!$B$18,DA$3&lt;EDATE('Вводные'!$B$18,MAX(1,'Вводные'!$E$18))),$B$99/MAX(1,'Вводные'!$E$18),0)</x:f>
      </x:c>
      <x:c r="DB99" s="117" t="n">
        <x:f>IF(AND(DB$3&gt;='Вводные'!$B$18,DB$3&lt;EDATE('Вводные'!$B$18,MAX(1,'Вводные'!$E$18))),$B$99/MAX(1,'Вводные'!$E$18),0)</x:f>
      </x:c>
      <x:c r="DC99" s="117" t="n">
        <x:f>IF(AND(DC$3&gt;='Вводные'!$B$18,DC$3&lt;EDATE('Вводные'!$B$18,MAX(1,'Вводные'!$E$18))),$B$99/MAX(1,'Вводные'!$E$18),0)</x:f>
      </x:c>
      <x:c r="DD99" s="117" t="n">
        <x:f>IF(AND(DD$3&gt;='Вводные'!$B$18,DD$3&lt;EDATE('Вводные'!$B$18,MAX(1,'Вводные'!$E$18))),$B$99/MAX(1,'Вводные'!$E$18),0)</x:f>
      </x:c>
      <x:c r="DE99" s="117" t="n">
        <x:f>IF(AND(DE$3&gt;='Вводные'!$B$18,DE$3&lt;EDATE('Вводные'!$B$18,MAX(1,'Вводные'!$E$18))),$B$99/MAX(1,'Вводные'!$E$18),0)</x:f>
      </x:c>
      <x:c r="DF99" s="117" t="n">
        <x:f>IF(AND(DF$3&gt;='Вводные'!$B$18,DF$3&lt;EDATE('Вводные'!$B$18,MAX(1,'Вводные'!$E$18))),$B$99/MAX(1,'Вводные'!$E$18),0)</x:f>
      </x:c>
      <x:c r="DG99" s="117" t="n">
        <x:f>IF(AND(DG$3&gt;='Вводные'!$B$18,DG$3&lt;EDATE('Вводные'!$B$18,MAX(1,'Вводные'!$E$18))),$B$99/MAX(1,'Вводные'!$E$18),0)</x:f>
      </x:c>
      <x:c r="DH99" s="117" t="n">
        <x:f>IF(AND(DH$3&gt;='Вводные'!$B$18,DH$3&lt;EDATE('Вводные'!$B$18,MAX(1,'Вводные'!$E$18))),$B$99/MAX(1,'Вводные'!$E$18),0)</x:f>
      </x:c>
      <x:c r="DI99" s="117" t="n">
        <x:f>IF(AND(DI$3&gt;='Вводные'!$B$18,DI$3&lt;EDATE('Вводные'!$B$18,MAX(1,'Вводные'!$E$18))),$B$99/MAX(1,'Вводные'!$E$18),0)</x:f>
      </x:c>
      <x:c r="DJ99" s="117" t="n">
        <x:f>IF(AND(DJ$3&gt;='Вводные'!$B$18,DJ$3&lt;EDATE('Вводные'!$B$18,MAX(1,'Вводные'!$E$18))),$B$99/MAX(1,'Вводные'!$E$18),0)</x:f>
      </x:c>
      <x:c r="DK99" s="117" t="n">
        <x:f>IF(AND(DK$3&gt;='Вводные'!$B$18,DK$3&lt;EDATE('Вводные'!$B$18,MAX(1,'Вводные'!$E$18))),$B$99/MAX(1,'Вводные'!$E$18),0)</x:f>
      </x:c>
      <x:c r="DL99" s="117" t="n">
        <x:f>IF(AND(DL$3&gt;='Вводные'!$B$18,DL$3&lt;EDATE('Вводные'!$B$18,MAX(1,'Вводные'!$E$18))),$B$99/MAX(1,'Вводные'!$E$18),0)</x:f>
      </x:c>
      <x:c r="DM99" s="117" t="n">
        <x:f>IF(AND(DM$3&gt;='Вводные'!$B$18,DM$3&lt;EDATE('Вводные'!$B$18,MAX(1,'Вводные'!$E$18))),$B$99/MAX(1,'Вводные'!$E$18),0)</x:f>
      </x:c>
      <x:c r="DN99" s="117" t="n">
        <x:f>IF(AND(DN$3&gt;='Вводные'!$B$18,DN$3&lt;EDATE('Вводные'!$B$18,MAX(1,'Вводные'!$E$18))),$B$99/MAX(1,'Вводные'!$E$18),0)</x:f>
      </x:c>
      <x:c r="DO99" s="117" t="n">
        <x:f>IF(AND(DO$3&gt;='Вводные'!$B$18,DO$3&lt;EDATE('Вводные'!$B$18,MAX(1,'Вводные'!$E$18))),$B$99/MAX(1,'Вводные'!$E$18),0)</x:f>
      </x:c>
      <x:c r="DP99" s="117" t="n">
        <x:f>IF(AND(DP$3&gt;='Вводные'!$B$18,DP$3&lt;EDATE('Вводные'!$B$18,MAX(1,'Вводные'!$E$18))),$B$99/MAX(1,'Вводные'!$E$18),0)</x:f>
      </x:c>
      <x:c r="DQ99" s="117" t="n">
        <x:f>IF(AND(DQ$3&gt;='Вводные'!$B$18,DQ$3&lt;EDATE('Вводные'!$B$18,MAX(1,'Вводные'!$E$18))),$B$99/MAX(1,'Вводные'!$E$18),0)</x:f>
      </x:c>
      <x:c r="DR99" s="117" t="n">
        <x:f>IF(AND(DR$3&gt;='Вводные'!$B$18,DR$3&lt;EDATE('Вводные'!$B$18,MAX(1,'Вводные'!$E$18))),$B$99/MAX(1,'Вводные'!$E$18),0)</x:f>
      </x:c>
      <x:c r="DS99" s="117" t="n">
        <x:f>IF(AND(DS$3&gt;='Вводные'!$B$18,DS$3&lt;EDATE('Вводные'!$B$18,MAX(1,'Вводные'!$E$18))),$B$99/MAX(1,'Вводные'!$E$18),0)</x:f>
      </x:c>
    </x:row>
    <x:row r="100">
      <x:c r="A100" s="113" t="str">
        <x:v>CAPEX ВСЕГО</x:v>
      </x:c>
      <x:c r="B100" s="113" t="n">
        <x:f>SUM(D100:DS100)</x:f>
      </x:c>
      <x:c r="C100" s="113" t="str">
        <x:v>млн ₽</x:v>
      </x:c>
      <x:c r="D100" s="120" t="n">
        <x:f>SUM(D82:D99)+'ОБЪЕКТЫ'!D112</x:f>
      </x:c>
      <x:c r="E100" s="120" t="n">
        <x:f>SUM(E82:E99)+'ОБЪЕКТЫ'!E112</x:f>
      </x:c>
      <x:c r="F100" s="120" t="n">
        <x:f>SUM(F82:F99)+'ОБЪЕКТЫ'!F112</x:f>
      </x:c>
      <x:c r="G100" s="120" t="n">
        <x:f>SUM(G82:G99)+'ОБЪЕКТЫ'!G112</x:f>
      </x:c>
      <x:c r="H100" s="120" t="n">
        <x:f>SUM(H82:H99)+'ОБЪЕКТЫ'!H112</x:f>
      </x:c>
      <x:c r="I100" s="120" t="n">
        <x:f>SUM(I82:I99)+'ОБЪЕКТЫ'!I112</x:f>
      </x:c>
      <x:c r="J100" s="120" t="n">
        <x:f>SUM(J82:J99)+'ОБЪЕКТЫ'!J112</x:f>
      </x:c>
      <x:c r="K100" s="120" t="n">
        <x:f>SUM(K82:K99)+'ОБЪЕКТЫ'!K112</x:f>
      </x:c>
      <x:c r="L100" s="120" t="n">
        <x:f>SUM(L82:L99)+'ОБЪЕКТЫ'!L112</x:f>
      </x:c>
      <x:c r="M100" s="120" t="n">
        <x:f>SUM(M82:M99)+'ОБЪЕКТЫ'!M112</x:f>
      </x:c>
      <x:c r="N100" s="120" t="n">
        <x:f>SUM(N82:N99)+'ОБЪЕКТЫ'!N112</x:f>
      </x:c>
      <x:c r="O100" s="120" t="n">
        <x:f>SUM(O82:O99)+'ОБЪЕКТЫ'!O112</x:f>
      </x:c>
      <x:c r="P100" s="120" t="n">
        <x:f>SUM(P82:P99)+'ОБЪЕКТЫ'!P112</x:f>
      </x:c>
      <x:c r="Q100" s="120" t="n">
        <x:f>SUM(Q82:Q99)+'ОБЪЕКТЫ'!Q112</x:f>
      </x:c>
      <x:c r="R100" s="120" t="n">
        <x:f>SUM(R82:R99)+'ОБЪЕКТЫ'!R112</x:f>
      </x:c>
      <x:c r="S100" s="120" t="n">
        <x:f>SUM(S82:S99)+'ОБЪЕКТЫ'!S112</x:f>
      </x:c>
      <x:c r="T100" s="120" t="n">
        <x:f>SUM(T82:T99)+'ОБЪЕКТЫ'!T112</x:f>
      </x:c>
      <x:c r="U100" s="120" t="n">
        <x:f>SUM(U82:U99)+'ОБЪЕКТЫ'!U112</x:f>
      </x:c>
      <x:c r="V100" s="120" t="n">
        <x:f>SUM(V82:V99)+'ОБЪЕКТЫ'!V112</x:f>
      </x:c>
      <x:c r="W100" s="120" t="n">
        <x:f>SUM(W82:W99)+'ОБЪЕКТЫ'!W112</x:f>
      </x:c>
      <x:c r="X100" s="120" t="n">
        <x:f>SUM(X82:X99)+'ОБЪЕКТЫ'!X112</x:f>
      </x:c>
      <x:c r="Y100" s="120" t="n">
        <x:f>SUM(Y82:Y99)+'ОБЪЕКТЫ'!Y112</x:f>
      </x:c>
      <x:c r="Z100" s="120" t="n">
        <x:f>SUM(Z82:Z99)+'ОБЪЕКТЫ'!Z112</x:f>
      </x:c>
      <x:c r="AA100" s="120" t="n">
        <x:f>SUM(AA82:AA99)+'ОБЪЕКТЫ'!AA112</x:f>
      </x:c>
      <x:c r="AB100" s="120" t="n">
        <x:f>SUM(AB82:AB99)+'ОБЪЕКТЫ'!AB112</x:f>
      </x:c>
      <x:c r="AC100" s="120" t="n">
        <x:f>SUM(AC82:AC99)+'ОБЪЕКТЫ'!AC112</x:f>
      </x:c>
      <x:c r="AD100" s="120" t="n">
        <x:f>SUM(AD82:AD99)+'ОБЪЕКТЫ'!AD112</x:f>
      </x:c>
      <x:c r="AE100" s="120" t="n">
        <x:f>SUM(AE82:AE99)+'ОБЪЕКТЫ'!AE112</x:f>
      </x:c>
      <x:c r="AF100" s="120" t="n">
        <x:f>SUM(AF82:AF99)+'ОБЪЕКТЫ'!AF112</x:f>
      </x:c>
      <x:c r="AG100" s="120" t="n">
        <x:f>SUM(AG82:AG99)+'ОБЪЕКТЫ'!AG112</x:f>
      </x:c>
      <x:c r="AH100" s="120" t="n">
        <x:f>SUM(AH82:AH99)+'ОБЪЕКТЫ'!AH112</x:f>
      </x:c>
      <x:c r="AI100" s="120" t="n">
        <x:f>SUM(AI82:AI99)+'ОБЪЕКТЫ'!AI112</x:f>
      </x:c>
      <x:c r="AJ100" s="120" t="n">
        <x:f>SUM(AJ82:AJ99)+'ОБЪЕКТЫ'!AJ112</x:f>
      </x:c>
      <x:c r="AK100" s="120" t="n">
        <x:f>SUM(AK82:AK99)+'ОБЪЕКТЫ'!AK112</x:f>
      </x:c>
      <x:c r="AL100" s="120" t="n">
        <x:f>SUM(AL82:AL99)+'ОБЪЕКТЫ'!AL112</x:f>
      </x:c>
      <x:c r="AM100" s="120" t="n">
        <x:f>SUM(AM82:AM99)+'ОБЪЕКТЫ'!AM112</x:f>
      </x:c>
      <x:c r="AN100" s="120" t="n">
        <x:f>SUM(AN82:AN99)+'ОБЪЕКТЫ'!AN112</x:f>
      </x:c>
      <x:c r="AO100" s="120" t="n">
        <x:f>SUM(AO82:AO99)+'ОБЪЕКТЫ'!AO112</x:f>
      </x:c>
      <x:c r="AP100" s="120" t="n">
        <x:f>SUM(AP82:AP99)+'ОБЪЕКТЫ'!AP112</x:f>
      </x:c>
      <x:c r="AQ100" s="120" t="n">
        <x:f>SUM(AQ82:AQ99)+'ОБЪЕКТЫ'!AQ112</x:f>
      </x:c>
      <x:c r="AR100" s="120" t="n">
        <x:f>SUM(AR82:AR99)+'ОБЪЕКТЫ'!AR112</x:f>
      </x:c>
      <x:c r="AS100" s="120" t="n">
        <x:f>SUM(AS82:AS99)+'ОБЪЕКТЫ'!AS112</x:f>
      </x:c>
      <x:c r="AT100" s="120" t="n">
        <x:f>SUM(AT82:AT99)+'ОБЪЕКТЫ'!AT112</x:f>
      </x:c>
      <x:c r="AU100" s="120" t="n">
        <x:f>SUM(AU82:AU99)+'ОБЪЕКТЫ'!AU112</x:f>
      </x:c>
      <x:c r="AV100" s="120" t="n">
        <x:f>SUM(AV82:AV99)+'ОБЪЕКТЫ'!AV112</x:f>
      </x:c>
      <x:c r="AW100" s="120" t="n">
        <x:f>SUM(AW82:AW99)+'ОБЪЕКТЫ'!AW112</x:f>
      </x:c>
      <x:c r="AX100" s="120" t="n">
        <x:f>SUM(AX82:AX99)+'ОБЪЕКТЫ'!AX112</x:f>
      </x:c>
      <x:c r="AY100" s="120" t="n">
        <x:f>SUM(AY82:AY99)+'ОБЪЕКТЫ'!AY112</x:f>
      </x:c>
      <x:c r="AZ100" s="120" t="n">
        <x:f>SUM(AZ82:AZ99)+'ОБЪЕКТЫ'!AZ112</x:f>
      </x:c>
      <x:c r="BA100" s="120" t="n">
        <x:f>SUM(BA82:BA99)+'ОБЪЕКТЫ'!BA112</x:f>
      </x:c>
      <x:c r="BB100" s="120" t="n">
        <x:f>SUM(BB82:BB99)+'ОБЪЕКТЫ'!BB112</x:f>
      </x:c>
      <x:c r="BC100" s="120" t="n">
        <x:f>SUM(BC82:BC99)+'ОБЪЕКТЫ'!BC112</x:f>
      </x:c>
      <x:c r="BD100" s="120" t="n">
        <x:f>SUM(BD82:BD99)+'ОБЪЕКТЫ'!BD112</x:f>
      </x:c>
      <x:c r="BE100" s="120" t="n">
        <x:f>SUM(BE82:BE99)+'ОБЪЕКТЫ'!BE112</x:f>
      </x:c>
      <x:c r="BF100" s="120" t="n">
        <x:f>SUM(BF82:BF99)+'ОБЪЕКТЫ'!BF112</x:f>
      </x:c>
      <x:c r="BG100" s="120" t="n">
        <x:f>SUM(BG82:BG99)+'ОБЪЕКТЫ'!BG112</x:f>
      </x:c>
      <x:c r="BH100" s="120" t="n">
        <x:f>SUM(BH82:BH99)+'ОБЪЕКТЫ'!BH112</x:f>
      </x:c>
      <x:c r="BI100" s="120" t="n">
        <x:f>SUM(BI82:BI99)+'ОБЪЕКТЫ'!BI112</x:f>
      </x:c>
      <x:c r="BJ100" s="120" t="n">
        <x:f>SUM(BJ82:BJ99)+'ОБЪЕКТЫ'!BJ112</x:f>
      </x:c>
      <x:c r="BK100" s="120" t="n">
        <x:f>SUM(BK82:BK99)+'ОБЪЕКТЫ'!BK112</x:f>
      </x:c>
      <x:c r="BL100" s="120" t="n">
        <x:f>SUM(BL82:BL99)+'ОБЪЕКТЫ'!BL112</x:f>
      </x:c>
      <x:c r="BM100" s="120" t="n">
        <x:f>SUM(BM82:BM99)+'ОБЪЕКТЫ'!BM112</x:f>
      </x:c>
      <x:c r="BN100" s="120" t="n">
        <x:f>SUM(BN82:BN99)+'ОБЪЕКТЫ'!BN112</x:f>
      </x:c>
      <x:c r="BO100" s="120" t="n">
        <x:f>SUM(BO82:BO99)+'ОБЪЕКТЫ'!BO112</x:f>
      </x:c>
      <x:c r="BP100" s="120" t="n">
        <x:f>SUM(BP82:BP99)+'ОБЪЕКТЫ'!BP112</x:f>
      </x:c>
      <x:c r="BQ100" s="120" t="n">
        <x:f>SUM(BQ82:BQ99)+'ОБЪЕКТЫ'!BQ112</x:f>
      </x:c>
      <x:c r="BR100" s="120" t="n">
        <x:f>SUM(BR82:BR99)+'ОБЪЕКТЫ'!BR112</x:f>
      </x:c>
      <x:c r="BS100" s="120" t="n">
        <x:f>SUM(BS82:BS99)+'ОБЪЕКТЫ'!BS112</x:f>
      </x:c>
      <x:c r="BT100" s="120" t="n">
        <x:f>SUM(BT82:BT99)+'ОБЪЕКТЫ'!BT112</x:f>
      </x:c>
      <x:c r="BU100" s="120" t="n">
        <x:f>SUM(BU82:BU99)+'ОБЪЕКТЫ'!BU112</x:f>
      </x:c>
      <x:c r="BV100" s="120" t="n">
        <x:f>SUM(BV82:BV99)+'ОБЪЕКТЫ'!BV112</x:f>
      </x:c>
      <x:c r="BW100" s="120" t="n">
        <x:f>SUM(BW82:BW99)+'ОБЪЕКТЫ'!BW112</x:f>
      </x:c>
      <x:c r="BX100" s="120" t="n">
        <x:f>SUM(BX82:BX99)+'ОБЪЕКТЫ'!BX112</x:f>
      </x:c>
      <x:c r="BY100" s="120" t="n">
        <x:f>SUM(BY82:BY99)+'ОБЪЕКТЫ'!BY112</x:f>
      </x:c>
      <x:c r="BZ100" s="120" t="n">
        <x:f>SUM(BZ82:BZ99)+'ОБЪЕКТЫ'!BZ112</x:f>
      </x:c>
      <x:c r="CA100" s="120" t="n">
        <x:f>SUM(CA82:CA99)+'ОБЪЕКТЫ'!CA112</x:f>
      </x:c>
      <x:c r="CB100" s="120" t="n">
        <x:f>SUM(CB82:CB99)+'ОБЪЕКТЫ'!CB112</x:f>
      </x:c>
      <x:c r="CC100" s="120" t="n">
        <x:f>SUM(CC82:CC99)+'ОБЪЕКТЫ'!CC112</x:f>
      </x:c>
      <x:c r="CD100" s="120" t="n">
        <x:f>SUM(CD82:CD99)+'ОБЪЕКТЫ'!CD112</x:f>
      </x:c>
      <x:c r="CE100" s="120" t="n">
        <x:f>SUM(CE82:CE99)+'ОБЪЕКТЫ'!CE112</x:f>
      </x:c>
      <x:c r="CF100" s="120" t="n">
        <x:f>SUM(CF82:CF99)+'ОБЪЕКТЫ'!CF112</x:f>
      </x:c>
      <x:c r="CG100" s="120" t="n">
        <x:f>SUM(CG82:CG99)+'ОБЪЕКТЫ'!CG112</x:f>
      </x:c>
      <x:c r="CH100" s="120" t="n">
        <x:f>SUM(CH82:CH99)+'ОБЪЕКТЫ'!CH112</x:f>
      </x:c>
      <x:c r="CI100" s="120" t="n">
        <x:f>SUM(CI82:CI99)+'ОБЪЕКТЫ'!CI112</x:f>
      </x:c>
      <x:c r="CJ100" s="120" t="n">
        <x:f>SUM(CJ82:CJ99)+'ОБЪЕКТЫ'!CJ112</x:f>
      </x:c>
      <x:c r="CK100" s="120" t="n">
        <x:f>SUM(CK82:CK99)+'ОБЪЕКТЫ'!CK112</x:f>
      </x:c>
      <x:c r="CL100" s="120" t="n">
        <x:f>SUM(CL82:CL99)+'ОБЪЕКТЫ'!CL112</x:f>
      </x:c>
      <x:c r="CM100" s="120" t="n">
        <x:f>SUM(CM82:CM99)+'ОБЪЕКТЫ'!CM112</x:f>
      </x:c>
      <x:c r="CN100" s="120" t="n">
        <x:f>SUM(CN82:CN99)+'ОБЪЕКТЫ'!CN112</x:f>
      </x:c>
      <x:c r="CO100" s="120" t="n">
        <x:f>SUM(CO82:CO99)+'ОБЪЕКТЫ'!CO112</x:f>
      </x:c>
      <x:c r="CP100" s="120" t="n">
        <x:f>SUM(CP82:CP99)+'ОБЪЕКТЫ'!CP112</x:f>
      </x:c>
      <x:c r="CQ100" s="120" t="n">
        <x:f>SUM(CQ82:CQ99)+'ОБЪЕКТЫ'!CQ112</x:f>
      </x:c>
      <x:c r="CR100" s="120" t="n">
        <x:f>SUM(CR82:CR99)+'ОБЪЕКТЫ'!CR112</x:f>
      </x:c>
      <x:c r="CS100" s="120" t="n">
        <x:f>SUM(CS82:CS99)+'ОБЪЕКТЫ'!CS112</x:f>
      </x:c>
      <x:c r="CT100" s="120" t="n">
        <x:f>SUM(CT82:CT99)+'ОБЪЕКТЫ'!CT112</x:f>
      </x:c>
      <x:c r="CU100" s="120" t="n">
        <x:f>SUM(CU82:CU99)+'ОБЪЕКТЫ'!CU112</x:f>
      </x:c>
      <x:c r="CV100" s="120" t="n">
        <x:f>SUM(CV82:CV99)+'ОБЪЕКТЫ'!CV112</x:f>
      </x:c>
      <x:c r="CW100" s="120" t="n">
        <x:f>SUM(CW82:CW99)+'ОБЪЕКТЫ'!CW112</x:f>
      </x:c>
      <x:c r="CX100" s="120" t="n">
        <x:f>SUM(CX82:CX99)+'ОБЪЕКТЫ'!CX112</x:f>
      </x:c>
      <x:c r="CY100" s="120" t="n">
        <x:f>SUM(CY82:CY99)+'ОБЪЕКТЫ'!CY112</x:f>
      </x:c>
      <x:c r="CZ100" s="120" t="n">
        <x:f>SUM(CZ82:CZ99)+'ОБЪЕКТЫ'!CZ112</x:f>
      </x:c>
      <x:c r="DA100" s="120" t="n">
        <x:f>SUM(DA82:DA99)+'ОБЪЕКТЫ'!DA112</x:f>
      </x:c>
      <x:c r="DB100" s="120" t="n">
        <x:f>SUM(DB82:DB99)+'ОБЪЕКТЫ'!DB112</x:f>
      </x:c>
      <x:c r="DC100" s="120" t="n">
        <x:f>SUM(DC82:DC99)+'ОБЪЕКТЫ'!DC112</x:f>
      </x:c>
      <x:c r="DD100" s="120" t="n">
        <x:f>SUM(DD82:DD99)+'ОБЪЕКТЫ'!DD112</x:f>
      </x:c>
      <x:c r="DE100" s="120" t="n">
        <x:f>SUM(DE82:DE99)+'ОБЪЕКТЫ'!DE112</x:f>
      </x:c>
      <x:c r="DF100" s="120" t="n">
        <x:f>SUM(DF82:DF99)+'ОБЪЕКТЫ'!DF112</x:f>
      </x:c>
      <x:c r="DG100" s="120" t="n">
        <x:f>SUM(DG82:DG99)+'ОБЪЕКТЫ'!DG112</x:f>
      </x:c>
      <x:c r="DH100" s="120" t="n">
        <x:f>SUM(DH82:DH99)+'ОБЪЕКТЫ'!DH112</x:f>
      </x:c>
      <x:c r="DI100" s="120" t="n">
        <x:f>SUM(DI82:DI99)+'ОБЪЕКТЫ'!DI112</x:f>
      </x:c>
      <x:c r="DJ100" s="120" t="n">
        <x:f>SUM(DJ82:DJ99)+'ОБЪЕКТЫ'!DJ112</x:f>
      </x:c>
      <x:c r="DK100" s="120" t="n">
        <x:f>SUM(DK82:DK99)+'ОБЪЕКТЫ'!DK112</x:f>
      </x:c>
      <x:c r="DL100" s="120" t="n">
        <x:f>SUM(DL82:DL99)+'ОБЪЕКТЫ'!DL112</x:f>
      </x:c>
      <x:c r="DM100" s="120" t="n">
        <x:f>SUM(DM82:DM99)+'ОБЪЕКТЫ'!DM112</x:f>
      </x:c>
      <x:c r="DN100" s="120" t="n">
        <x:f>SUM(DN82:DN99)+'ОБЪЕКТЫ'!DN112</x:f>
      </x:c>
      <x:c r="DO100" s="120" t="n">
        <x:f>SUM(DO82:DO99)+'ОБЪЕКТЫ'!DO112</x:f>
      </x:c>
      <x:c r="DP100" s="120" t="n">
        <x:f>SUM(DP82:DP99)+'ОБЪЕКТЫ'!DP112</x:f>
      </x:c>
      <x:c r="DQ100" s="120" t="n">
        <x:f>SUM(DQ82:DQ99)+'ОБЪЕКТЫ'!DQ112</x:f>
      </x:c>
      <x:c r="DR100" s="120" t="n">
        <x:f>SUM(DR82:DR99)+'ОБЪЕКТЫ'!DR112</x:f>
      </x:c>
      <x:c r="DS100" s="120" t="n">
        <x:f>SUM(DS82:DS99)+'ОБЪЕКТЫ'!DS112</x:f>
      </x:c>
    </x:row>
    <x:row r="101">
      <x:c r="A101" t="str">
        <x:v>Маркетинг</x:v>
      </x:c>
      <x:c r="B101" s="107" t="n">
        <x:f>SUM(D101:DS101)</x:f>
      </x:c>
      <x:c r="C101" t="str">
        <x:v>млн ₽</x:v>
      </x:c>
      <x:c r="D101" s="117" t="n">
        <x:f>'Продажи'!D72*'Вводные'!$B$19+'ОБЪЕКТЫ'!D113</x:f>
      </x:c>
      <x:c r="E101" s="117" t="n">
        <x:f>'Продажи'!E72*'Вводные'!$B$19+'ОБЪЕКТЫ'!E113</x:f>
      </x:c>
      <x:c r="F101" s="117" t="n">
        <x:f>'Продажи'!F72*'Вводные'!$B$19+'ОБЪЕКТЫ'!F113</x:f>
      </x:c>
      <x:c r="G101" s="117" t="n">
        <x:f>'Продажи'!G72*'Вводные'!$B$19+'ОБЪЕКТЫ'!G113</x:f>
      </x:c>
      <x:c r="H101" s="117" t="n">
        <x:f>'Продажи'!H72*'Вводные'!$B$19+'ОБЪЕКТЫ'!H113</x:f>
      </x:c>
      <x:c r="I101" s="117" t="n">
        <x:f>'Продажи'!I72*'Вводные'!$B$19+'ОБЪЕКТЫ'!I113</x:f>
      </x:c>
      <x:c r="J101" s="117" t="n">
        <x:f>'Продажи'!J72*'Вводные'!$B$19+'ОБЪЕКТЫ'!J113</x:f>
      </x:c>
      <x:c r="K101" s="117" t="n">
        <x:f>'Продажи'!K72*'Вводные'!$B$19+'ОБЪЕКТЫ'!K113</x:f>
      </x:c>
      <x:c r="L101" s="117" t="n">
        <x:f>'Продажи'!L72*'Вводные'!$B$19+'ОБЪЕКТЫ'!L113</x:f>
      </x:c>
      <x:c r="M101" s="117" t="n">
        <x:f>'Продажи'!M72*'Вводные'!$B$19+'ОБЪЕКТЫ'!M113</x:f>
      </x:c>
      <x:c r="N101" s="117" t="n">
        <x:f>'Продажи'!N72*'Вводные'!$B$19+'ОБЪЕКТЫ'!N113</x:f>
      </x:c>
      <x:c r="O101" s="117" t="n">
        <x:f>'Продажи'!O72*'Вводные'!$B$19+'ОБЪЕКТЫ'!O113</x:f>
      </x:c>
      <x:c r="P101" s="117" t="n">
        <x:f>'Продажи'!P72*'Вводные'!$B$19+'ОБЪЕКТЫ'!P113</x:f>
      </x:c>
      <x:c r="Q101" s="117" t="n">
        <x:f>'Продажи'!Q72*'Вводные'!$B$19+'ОБЪЕКТЫ'!Q113</x:f>
      </x:c>
      <x:c r="R101" s="117" t="n">
        <x:f>'Продажи'!R72*'Вводные'!$B$19+'ОБЪЕКТЫ'!R113</x:f>
      </x:c>
      <x:c r="S101" s="117" t="n">
        <x:f>'Продажи'!S72*'Вводные'!$B$19+'ОБЪЕКТЫ'!S113</x:f>
      </x:c>
      <x:c r="T101" s="117" t="n">
        <x:f>'Продажи'!T72*'Вводные'!$B$19+'ОБЪЕКТЫ'!T113</x:f>
      </x:c>
      <x:c r="U101" s="117" t="n">
        <x:f>'Продажи'!U72*'Вводные'!$B$19+'ОБЪЕКТЫ'!U113</x:f>
      </x:c>
      <x:c r="V101" s="117" t="n">
        <x:f>'Продажи'!V72*'Вводные'!$B$19+'ОБЪЕКТЫ'!V113</x:f>
      </x:c>
      <x:c r="W101" s="117" t="n">
        <x:f>'Продажи'!W72*'Вводные'!$B$19+'ОБЪЕКТЫ'!W113</x:f>
      </x:c>
      <x:c r="X101" s="117" t="n">
        <x:f>'Продажи'!X72*'Вводные'!$B$19+'ОБЪЕКТЫ'!X113</x:f>
      </x:c>
      <x:c r="Y101" s="117" t="n">
        <x:f>'Продажи'!Y72*'Вводные'!$B$19+'ОБЪЕКТЫ'!Y113</x:f>
      </x:c>
      <x:c r="Z101" s="117" t="n">
        <x:f>'Продажи'!Z72*'Вводные'!$B$19+'ОБЪЕКТЫ'!Z113</x:f>
      </x:c>
      <x:c r="AA101" s="117" t="n">
        <x:f>'Продажи'!AA72*'Вводные'!$B$19+'ОБЪЕКТЫ'!AA113</x:f>
      </x:c>
      <x:c r="AB101" s="117" t="n">
        <x:f>'Продажи'!AB72*'Вводные'!$B$19+'ОБЪЕКТЫ'!AB113</x:f>
      </x:c>
      <x:c r="AC101" s="117" t="n">
        <x:f>'Продажи'!AC72*'Вводные'!$B$19+'ОБЪЕКТЫ'!AC113</x:f>
      </x:c>
      <x:c r="AD101" s="117" t="n">
        <x:f>'Продажи'!AD72*'Вводные'!$B$19+'ОБЪЕКТЫ'!AD113</x:f>
      </x:c>
      <x:c r="AE101" s="117" t="n">
        <x:f>'Продажи'!AE72*'Вводные'!$B$19+'ОБЪЕКТЫ'!AE113</x:f>
      </x:c>
      <x:c r="AF101" s="117" t="n">
        <x:f>'Продажи'!AF72*'Вводные'!$B$19+'ОБЪЕКТЫ'!AF113</x:f>
      </x:c>
      <x:c r="AG101" s="117" t="n">
        <x:f>'Продажи'!AG72*'Вводные'!$B$19+'ОБЪЕКТЫ'!AG113</x:f>
      </x:c>
      <x:c r="AH101" s="117" t="n">
        <x:f>'Продажи'!AH72*'Вводные'!$B$19+'ОБЪЕКТЫ'!AH113</x:f>
      </x:c>
      <x:c r="AI101" s="117" t="n">
        <x:f>'Продажи'!AI72*'Вводные'!$B$19+'ОБЪЕКТЫ'!AI113</x:f>
      </x:c>
      <x:c r="AJ101" s="117" t="n">
        <x:f>'Продажи'!AJ72*'Вводные'!$B$19+'ОБЪЕКТЫ'!AJ113</x:f>
      </x:c>
      <x:c r="AK101" s="117" t="n">
        <x:f>'Продажи'!AK72*'Вводные'!$B$19+'ОБЪЕКТЫ'!AK113</x:f>
      </x:c>
      <x:c r="AL101" s="117" t="n">
        <x:f>'Продажи'!AL72*'Вводные'!$B$19+'ОБЪЕКТЫ'!AL113</x:f>
      </x:c>
      <x:c r="AM101" s="117" t="n">
        <x:f>'Продажи'!AM72*'Вводные'!$B$19+'ОБЪЕКТЫ'!AM113</x:f>
      </x:c>
      <x:c r="AN101" s="117" t="n">
        <x:f>'Продажи'!AN72*'Вводные'!$B$19+'ОБЪЕКТЫ'!AN113</x:f>
      </x:c>
      <x:c r="AO101" s="117" t="n">
        <x:f>'Продажи'!AO72*'Вводные'!$B$19+'ОБЪЕКТЫ'!AO113</x:f>
      </x:c>
      <x:c r="AP101" s="117" t="n">
        <x:f>'Продажи'!AP72*'Вводные'!$B$19+'ОБЪЕКТЫ'!AP113</x:f>
      </x:c>
      <x:c r="AQ101" s="117" t="n">
        <x:f>'Продажи'!AQ72*'Вводные'!$B$19+'ОБЪЕКТЫ'!AQ113</x:f>
      </x:c>
      <x:c r="AR101" s="117" t="n">
        <x:f>'Продажи'!AR72*'Вводные'!$B$19+'ОБЪЕКТЫ'!AR113</x:f>
      </x:c>
      <x:c r="AS101" s="117" t="n">
        <x:f>'Продажи'!AS72*'Вводные'!$B$19+'ОБЪЕКТЫ'!AS113</x:f>
      </x:c>
      <x:c r="AT101" s="117" t="n">
        <x:f>'Продажи'!AT72*'Вводные'!$B$19+'ОБЪЕКТЫ'!AT113</x:f>
      </x:c>
      <x:c r="AU101" s="117" t="n">
        <x:f>'Продажи'!AU72*'Вводные'!$B$19+'ОБЪЕКТЫ'!AU113</x:f>
      </x:c>
      <x:c r="AV101" s="117" t="n">
        <x:f>'Продажи'!AV72*'Вводные'!$B$19+'ОБЪЕКТЫ'!AV113</x:f>
      </x:c>
      <x:c r="AW101" s="117" t="n">
        <x:f>'Продажи'!AW72*'Вводные'!$B$19+'ОБЪЕКТЫ'!AW113</x:f>
      </x:c>
      <x:c r="AX101" s="117" t="n">
        <x:f>'Продажи'!AX72*'Вводные'!$B$19+'ОБЪЕКТЫ'!AX113</x:f>
      </x:c>
      <x:c r="AY101" s="117" t="n">
        <x:f>'Продажи'!AY72*'Вводные'!$B$19+'ОБЪЕКТЫ'!AY113</x:f>
      </x:c>
      <x:c r="AZ101" s="117" t="n">
        <x:f>'Продажи'!AZ72*'Вводные'!$B$19+'ОБЪЕКТЫ'!AZ113</x:f>
      </x:c>
      <x:c r="BA101" s="117" t="n">
        <x:f>'Продажи'!BA72*'Вводные'!$B$19+'ОБЪЕКТЫ'!BA113</x:f>
      </x:c>
      <x:c r="BB101" s="117" t="n">
        <x:f>'Продажи'!BB72*'Вводные'!$B$19+'ОБЪЕКТЫ'!BB113</x:f>
      </x:c>
      <x:c r="BC101" s="117" t="n">
        <x:f>'Продажи'!BC72*'Вводные'!$B$19+'ОБЪЕКТЫ'!BC113</x:f>
      </x:c>
      <x:c r="BD101" s="117" t="n">
        <x:f>'Продажи'!BD72*'Вводные'!$B$19+'ОБЪЕКТЫ'!BD113</x:f>
      </x:c>
      <x:c r="BE101" s="117" t="n">
        <x:f>'Продажи'!BE72*'Вводные'!$B$19+'ОБЪЕКТЫ'!BE113</x:f>
      </x:c>
      <x:c r="BF101" s="117" t="n">
        <x:f>'Продажи'!BF72*'Вводные'!$B$19+'ОБЪЕКТЫ'!BF113</x:f>
      </x:c>
      <x:c r="BG101" s="117" t="n">
        <x:f>'Продажи'!BG72*'Вводные'!$B$19+'ОБЪЕКТЫ'!BG113</x:f>
      </x:c>
      <x:c r="BH101" s="117" t="n">
        <x:f>'Продажи'!BH72*'Вводные'!$B$19+'ОБЪЕКТЫ'!BH113</x:f>
      </x:c>
      <x:c r="BI101" s="117" t="n">
        <x:f>'Продажи'!BI72*'Вводные'!$B$19+'ОБЪЕКТЫ'!BI113</x:f>
      </x:c>
      <x:c r="BJ101" s="117" t="n">
        <x:f>'Продажи'!BJ72*'Вводные'!$B$19+'ОБЪЕКТЫ'!BJ113</x:f>
      </x:c>
      <x:c r="BK101" s="117" t="n">
        <x:f>'Продажи'!BK72*'Вводные'!$B$19+'ОБЪЕКТЫ'!BK113</x:f>
      </x:c>
      <x:c r="BL101" s="117" t="n">
        <x:f>'Продажи'!BL72*'Вводные'!$B$19+'ОБЪЕКТЫ'!BL113</x:f>
      </x:c>
      <x:c r="BM101" s="117" t="n">
        <x:f>'Продажи'!BM72*'Вводные'!$B$19+'ОБЪЕКТЫ'!BM113</x:f>
      </x:c>
      <x:c r="BN101" s="117" t="n">
        <x:f>'Продажи'!BN72*'Вводные'!$B$19+'ОБЪЕКТЫ'!BN113</x:f>
      </x:c>
      <x:c r="BO101" s="117" t="n">
        <x:f>'Продажи'!BO72*'Вводные'!$B$19+'ОБЪЕКТЫ'!BO113</x:f>
      </x:c>
      <x:c r="BP101" s="117" t="n">
        <x:f>'Продажи'!BP72*'Вводные'!$B$19+'ОБЪЕКТЫ'!BP113</x:f>
      </x:c>
      <x:c r="BQ101" s="117" t="n">
        <x:f>'Продажи'!BQ72*'Вводные'!$B$19+'ОБЪЕКТЫ'!BQ113</x:f>
      </x:c>
      <x:c r="BR101" s="117" t="n">
        <x:f>'Продажи'!BR72*'Вводные'!$B$19+'ОБЪЕКТЫ'!BR113</x:f>
      </x:c>
      <x:c r="BS101" s="117" t="n">
        <x:f>'Продажи'!BS72*'Вводные'!$B$19+'ОБЪЕКТЫ'!BS113</x:f>
      </x:c>
      <x:c r="BT101" s="117" t="n">
        <x:f>'Продажи'!BT72*'Вводные'!$B$19+'ОБЪЕКТЫ'!BT113</x:f>
      </x:c>
      <x:c r="BU101" s="117" t="n">
        <x:f>'Продажи'!BU72*'Вводные'!$B$19+'ОБЪЕКТЫ'!BU113</x:f>
      </x:c>
      <x:c r="BV101" s="117" t="n">
        <x:f>'Продажи'!BV72*'Вводные'!$B$19+'ОБЪЕКТЫ'!BV113</x:f>
      </x:c>
      <x:c r="BW101" s="117" t="n">
        <x:f>'Продажи'!BW72*'Вводные'!$B$19+'ОБЪЕКТЫ'!BW113</x:f>
      </x:c>
      <x:c r="BX101" s="117" t="n">
        <x:f>'Продажи'!BX72*'Вводные'!$B$19+'ОБЪЕКТЫ'!BX113</x:f>
      </x:c>
      <x:c r="BY101" s="117" t="n">
        <x:f>'Продажи'!BY72*'Вводные'!$B$19+'ОБЪЕКТЫ'!BY113</x:f>
      </x:c>
      <x:c r="BZ101" s="117" t="n">
        <x:f>'Продажи'!BZ72*'Вводные'!$B$19+'ОБЪЕКТЫ'!BZ113</x:f>
      </x:c>
      <x:c r="CA101" s="117" t="n">
        <x:f>'Продажи'!CA72*'Вводные'!$B$19+'ОБЪЕКТЫ'!CA113</x:f>
      </x:c>
      <x:c r="CB101" s="117" t="n">
        <x:f>'Продажи'!CB72*'Вводные'!$B$19+'ОБЪЕКТЫ'!CB113</x:f>
      </x:c>
      <x:c r="CC101" s="117" t="n">
        <x:f>'Продажи'!CC72*'Вводные'!$B$19+'ОБЪЕКТЫ'!CC113</x:f>
      </x:c>
      <x:c r="CD101" s="117" t="n">
        <x:f>'Продажи'!CD72*'Вводные'!$B$19+'ОБЪЕКТЫ'!CD113</x:f>
      </x:c>
      <x:c r="CE101" s="117" t="n">
        <x:f>'Продажи'!CE72*'Вводные'!$B$19+'ОБЪЕКТЫ'!CE113</x:f>
      </x:c>
      <x:c r="CF101" s="117" t="n">
        <x:f>'Продажи'!CF72*'Вводные'!$B$19+'ОБЪЕКТЫ'!CF113</x:f>
      </x:c>
      <x:c r="CG101" s="117" t="n">
        <x:f>'Продажи'!CG72*'Вводные'!$B$19+'ОБЪЕКТЫ'!CG113</x:f>
      </x:c>
      <x:c r="CH101" s="117" t="n">
        <x:f>'Продажи'!CH72*'Вводные'!$B$19+'ОБЪЕКТЫ'!CH113</x:f>
      </x:c>
      <x:c r="CI101" s="117" t="n">
        <x:f>'Продажи'!CI72*'Вводные'!$B$19+'ОБЪЕКТЫ'!CI113</x:f>
      </x:c>
      <x:c r="CJ101" s="117" t="n">
        <x:f>'Продажи'!CJ72*'Вводные'!$B$19+'ОБЪЕКТЫ'!CJ113</x:f>
      </x:c>
      <x:c r="CK101" s="117" t="n">
        <x:f>'Продажи'!CK72*'Вводные'!$B$19+'ОБЪЕКТЫ'!CK113</x:f>
      </x:c>
      <x:c r="CL101" s="117" t="n">
        <x:f>'Продажи'!CL72*'Вводные'!$B$19+'ОБЪЕКТЫ'!CL113</x:f>
      </x:c>
      <x:c r="CM101" s="117" t="n">
        <x:f>'Продажи'!CM72*'Вводные'!$B$19+'ОБЪЕКТЫ'!CM113</x:f>
      </x:c>
      <x:c r="CN101" s="117" t="n">
        <x:f>'Продажи'!CN72*'Вводные'!$B$19+'ОБЪЕКТЫ'!CN113</x:f>
      </x:c>
      <x:c r="CO101" s="117" t="n">
        <x:f>'Продажи'!CO72*'Вводные'!$B$19+'ОБЪЕКТЫ'!CO113</x:f>
      </x:c>
      <x:c r="CP101" s="117" t="n">
        <x:f>'Продажи'!CP72*'Вводные'!$B$19+'ОБЪЕКТЫ'!CP113</x:f>
      </x:c>
      <x:c r="CQ101" s="117" t="n">
        <x:f>'Продажи'!CQ72*'Вводные'!$B$19+'ОБЪЕКТЫ'!CQ113</x:f>
      </x:c>
      <x:c r="CR101" s="117" t="n">
        <x:f>'Продажи'!CR72*'Вводные'!$B$19+'ОБЪЕКТЫ'!CR113</x:f>
      </x:c>
      <x:c r="CS101" s="117" t="n">
        <x:f>'Продажи'!CS72*'Вводные'!$B$19+'ОБЪЕКТЫ'!CS113</x:f>
      </x:c>
      <x:c r="CT101" s="117" t="n">
        <x:f>'Продажи'!CT72*'Вводные'!$B$19+'ОБЪЕКТЫ'!CT113</x:f>
      </x:c>
      <x:c r="CU101" s="117" t="n">
        <x:f>'Продажи'!CU72*'Вводные'!$B$19+'ОБЪЕКТЫ'!CU113</x:f>
      </x:c>
      <x:c r="CV101" s="117" t="n">
        <x:f>'Продажи'!CV72*'Вводные'!$B$19+'ОБЪЕКТЫ'!CV113</x:f>
      </x:c>
      <x:c r="CW101" s="117" t="n">
        <x:f>'Продажи'!CW72*'Вводные'!$B$19+'ОБЪЕКТЫ'!CW113</x:f>
      </x:c>
      <x:c r="CX101" s="117" t="n">
        <x:f>'Продажи'!CX72*'Вводные'!$B$19+'ОБЪЕКТЫ'!CX113</x:f>
      </x:c>
      <x:c r="CY101" s="117" t="n">
        <x:f>'Продажи'!CY72*'Вводные'!$B$19+'ОБЪЕКТЫ'!CY113</x:f>
      </x:c>
      <x:c r="CZ101" s="117" t="n">
        <x:f>'Продажи'!CZ72*'Вводные'!$B$19+'ОБЪЕКТЫ'!CZ113</x:f>
      </x:c>
      <x:c r="DA101" s="117" t="n">
        <x:f>'Продажи'!DA72*'Вводные'!$B$19+'ОБЪЕКТЫ'!DA113</x:f>
      </x:c>
      <x:c r="DB101" s="117" t="n">
        <x:f>'Продажи'!DB72*'Вводные'!$B$19+'ОБЪЕКТЫ'!DB113</x:f>
      </x:c>
      <x:c r="DC101" s="117" t="n">
        <x:f>'Продажи'!DC72*'Вводные'!$B$19+'ОБЪЕКТЫ'!DC113</x:f>
      </x:c>
      <x:c r="DD101" s="117" t="n">
        <x:f>'Продажи'!DD72*'Вводные'!$B$19+'ОБЪЕКТЫ'!DD113</x:f>
      </x:c>
      <x:c r="DE101" s="117" t="n">
        <x:f>'Продажи'!DE72*'Вводные'!$B$19+'ОБЪЕКТЫ'!DE113</x:f>
      </x:c>
      <x:c r="DF101" s="117" t="n">
        <x:f>'Продажи'!DF72*'Вводные'!$B$19+'ОБЪЕКТЫ'!DF113</x:f>
      </x:c>
      <x:c r="DG101" s="117" t="n">
        <x:f>'Продажи'!DG72*'Вводные'!$B$19+'ОБЪЕКТЫ'!DG113</x:f>
      </x:c>
      <x:c r="DH101" s="117" t="n">
        <x:f>'Продажи'!DH72*'Вводные'!$B$19+'ОБЪЕКТЫ'!DH113</x:f>
      </x:c>
      <x:c r="DI101" s="117" t="n">
        <x:f>'Продажи'!DI72*'Вводные'!$B$19+'ОБЪЕКТЫ'!DI113</x:f>
      </x:c>
      <x:c r="DJ101" s="117" t="n">
        <x:f>'Продажи'!DJ72*'Вводные'!$B$19+'ОБЪЕКТЫ'!DJ113</x:f>
      </x:c>
      <x:c r="DK101" s="117" t="n">
        <x:f>'Продажи'!DK72*'Вводные'!$B$19+'ОБЪЕКТЫ'!DK113</x:f>
      </x:c>
      <x:c r="DL101" s="117" t="n">
        <x:f>'Продажи'!DL72*'Вводные'!$B$19+'ОБЪЕКТЫ'!DL113</x:f>
      </x:c>
      <x:c r="DM101" s="117" t="n">
        <x:f>'Продажи'!DM72*'Вводные'!$B$19+'ОБЪЕКТЫ'!DM113</x:f>
      </x:c>
      <x:c r="DN101" s="117" t="n">
        <x:f>'Продажи'!DN72*'Вводные'!$B$19+'ОБЪЕКТЫ'!DN113</x:f>
      </x:c>
      <x:c r="DO101" s="117" t="n">
        <x:f>'Продажи'!DO72*'Вводные'!$B$19+'ОБЪЕКТЫ'!DO113</x:f>
      </x:c>
      <x:c r="DP101" s="117" t="n">
        <x:f>'Продажи'!DP72*'Вводные'!$B$19+'ОБЪЕКТЫ'!DP113</x:f>
      </x:c>
      <x:c r="DQ101" s="117" t="n">
        <x:f>'Продажи'!DQ72*'Вводные'!$B$19+'ОБЪЕКТЫ'!DQ113</x:f>
      </x:c>
      <x:c r="DR101" s="117" t="n">
        <x:f>'Продажи'!DR72*'Вводные'!$B$19+'ОБЪЕКТЫ'!DR113</x:f>
      </x:c>
      <x:c r="DS101" s="117" t="n">
        <x:f>'Продажи'!DS72*'Вводные'!$B$19+'ОБЪЕКТЫ'!DS113</x:f>
      </x:c>
    </x:row>
    <x:row r="102">
      <x:c r="A102" t="str">
        <x:v>Расходы на продажи</x:v>
      </x:c>
      <x:c r="B102" s="107" t="n">
        <x:f>SUM(D102:DS102)</x:f>
      </x:c>
      <x:c r="C102" t="str">
        <x:v>млн ₽</x:v>
      </x:c>
      <x:c r="D102" s="117" t="n">
        <x:f>'Продажи'!D72*'Вводные'!$B$20+'ОБЪЕКТЫ'!D114</x:f>
      </x:c>
      <x:c r="E102" s="117" t="n">
        <x:f>'Продажи'!E72*'Вводные'!$B$20+'ОБЪЕКТЫ'!E114</x:f>
      </x:c>
      <x:c r="F102" s="117" t="n">
        <x:f>'Продажи'!F72*'Вводные'!$B$20+'ОБЪЕКТЫ'!F114</x:f>
      </x:c>
      <x:c r="G102" s="117" t="n">
        <x:f>'Продажи'!G72*'Вводные'!$B$20+'ОБЪЕКТЫ'!G114</x:f>
      </x:c>
      <x:c r="H102" s="117" t="n">
        <x:f>'Продажи'!H72*'Вводные'!$B$20+'ОБЪЕКТЫ'!H114</x:f>
      </x:c>
      <x:c r="I102" s="117" t="n">
        <x:f>'Продажи'!I72*'Вводные'!$B$20+'ОБЪЕКТЫ'!I114</x:f>
      </x:c>
      <x:c r="J102" s="117" t="n">
        <x:f>'Продажи'!J72*'Вводные'!$B$20+'ОБЪЕКТЫ'!J114</x:f>
      </x:c>
      <x:c r="K102" s="117" t="n">
        <x:f>'Продажи'!K72*'Вводные'!$B$20+'ОБЪЕКТЫ'!K114</x:f>
      </x:c>
      <x:c r="L102" s="117" t="n">
        <x:f>'Продажи'!L72*'Вводные'!$B$20+'ОБЪЕКТЫ'!L114</x:f>
      </x:c>
      <x:c r="M102" s="117" t="n">
        <x:f>'Продажи'!M72*'Вводные'!$B$20+'ОБЪЕКТЫ'!M114</x:f>
      </x:c>
      <x:c r="N102" s="117" t="n">
        <x:f>'Продажи'!N72*'Вводные'!$B$20+'ОБЪЕКТЫ'!N114</x:f>
      </x:c>
      <x:c r="O102" s="117" t="n">
        <x:f>'Продажи'!O72*'Вводные'!$B$20+'ОБЪЕКТЫ'!O114</x:f>
      </x:c>
      <x:c r="P102" s="117" t="n">
        <x:f>'Продажи'!P72*'Вводные'!$B$20+'ОБЪЕКТЫ'!P114</x:f>
      </x:c>
      <x:c r="Q102" s="117" t="n">
        <x:f>'Продажи'!Q72*'Вводные'!$B$20+'ОБЪЕКТЫ'!Q114</x:f>
      </x:c>
      <x:c r="R102" s="117" t="n">
        <x:f>'Продажи'!R72*'Вводные'!$B$20+'ОБЪЕКТЫ'!R114</x:f>
      </x:c>
      <x:c r="S102" s="117" t="n">
        <x:f>'Продажи'!S72*'Вводные'!$B$20+'ОБЪЕКТЫ'!S114</x:f>
      </x:c>
      <x:c r="T102" s="117" t="n">
        <x:f>'Продажи'!T72*'Вводные'!$B$20+'ОБЪЕКТЫ'!T114</x:f>
      </x:c>
      <x:c r="U102" s="117" t="n">
        <x:f>'Продажи'!U72*'Вводные'!$B$20+'ОБЪЕКТЫ'!U114</x:f>
      </x:c>
      <x:c r="V102" s="117" t="n">
        <x:f>'Продажи'!V72*'Вводные'!$B$20+'ОБЪЕКТЫ'!V114</x:f>
      </x:c>
      <x:c r="W102" s="117" t="n">
        <x:f>'Продажи'!W72*'Вводные'!$B$20+'ОБЪЕКТЫ'!W114</x:f>
      </x:c>
      <x:c r="X102" s="117" t="n">
        <x:f>'Продажи'!X72*'Вводные'!$B$20+'ОБЪЕКТЫ'!X114</x:f>
      </x:c>
      <x:c r="Y102" s="117" t="n">
        <x:f>'Продажи'!Y72*'Вводные'!$B$20+'ОБЪЕКТЫ'!Y114</x:f>
      </x:c>
      <x:c r="Z102" s="117" t="n">
        <x:f>'Продажи'!Z72*'Вводные'!$B$20+'ОБЪЕКТЫ'!Z114</x:f>
      </x:c>
      <x:c r="AA102" s="117" t="n">
        <x:f>'Продажи'!AA72*'Вводные'!$B$20+'ОБЪЕКТЫ'!AA114</x:f>
      </x:c>
      <x:c r="AB102" s="117" t="n">
        <x:f>'Продажи'!AB72*'Вводные'!$B$20+'ОБЪЕКТЫ'!AB114</x:f>
      </x:c>
      <x:c r="AC102" s="117" t="n">
        <x:f>'Продажи'!AC72*'Вводные'!$B$20+'ОБЪЕКТЫ'!AC114</x:f>
      </x:c>
      <x:c r="AD102" s="117" t="n">
        <x:f>'Продажи'!AD72*'Вводные'!$B$20+'ОБЪЕКТЫ'!AD114</x:f>
      </x:c>
      <x:c r="AE102" s="117" t="n">
        <x:f>'Продажи'!AE72*'Вводные'!$B$20+'ОБЪЕКТЫ'!AE114</x:f>
      </x:c>
      <x:c r="AF102" s="117" t="n">
        <x:f>'Продажи'!AF72*'Вводные'!$B$20+'ОБЪЕКТЫ'!AF114</x:f>
      </x:c>
      <x:c r="AG102" s="117" t="n">
        <x:f>'Продажи'!AG72*'Вводные'!$B$20+'ОБЪЕКТЫ'!AG114</x:f>
      </x:c>
      <x:c r="AH102" s="117" t="n">
        <x:f>'Продажи'!AH72*'Вводные'!$B$20+'ОБЪЕКТЫ'!AH114</x:f>
      </x:c>
      <x:c r="AI102" s="117" t="n">
        <x:f>'Продажи'!AI72*'Вводные'!$B$20+'ОБЪЕКТЫ'!AI114</x:f>
      </x:c>
      <x:c r="AJ102" s="117" t="n">
        <x:f>'Продажи'!AJ72*'Вводные'!$B$20+'ОБЪЕКТЫ'!AJ114</x:f>
      </x:c>
      <x:c r="AK102" s="117" t="n">
        <x:f>'Продажи'!AK72*'Вводные'!$B$20+'ОБЪЕКТЫ'!AK114</x:f>
      </x:c>
      <x:c r="AL102" s="117" t="n">
        <x:f>'Продажи'!AL72*'Вводные'!$B$20+'ОБЪЕКТЫ'!AL114</x:f>
      </x:c>
      <x:c r="AM102" s="117" t="n">
        <x:f>'Продажи'!AM72*'Вводные'!$B$20+'ОБЪЕКТЫ'!AM114</x:f>
      </x:c>
      <x:c r="AN102" s="117" t="n">
        <x:f>'Продажи'!AN72*'Вводные'!$B$20+'ОБЪЕКТЫ'!AN114</x:f>
      </x:c>
      <x:c r="AO102" s="117" t="n">
        <x:f>'Продажи'!AO72*'Вводные'!$B$20+'ОБЪЕКТЫ'!AO114</x:f>
      </x:c>
      <x:c r="AP102" s="117" t="n">
        <x:f>'Продажи'!AP72*'Вводные'!$B$20+'ОБЪЕКТЫ'!AP114</x:f>
      </x:c>
      <x:c r="AQ102" s="117" t="n">
        <x:f>'Продажи'!AQ72*'Вводные'!$B$20+'ОБЪЕКТЫ'!AQ114</x:f>
      </x:c>
      <x:c r="AR102" s="117" t="n">
        <x:f>'Продажи'!AR72*'Вводные'!$B$20+'ОБЪЕКТЫ'!AR114</x:f>
      </x:c>
      <x:c r="AS102" s="117" t="n">
        <x:f>'Продажи'!AS72*'Вводные'!$B$20+'ОБЪЕКТЫ'!AS114</x:f>
      </x:c>
      <x:c r="AT102" s="117" t="n">
        <x:f>'Продажи'!AT72*'Вводные'!$B$20+'ОБЪЕКТЫ'!AT114</x:f>
      </x:c>
      <x:c r="AU102" s="117" t="n">
        <x:f>'Продажи'!AU72*'Вводные'!$B$20+'ОБЪЕКТЫ'!AU114</x:f>
      </x:c>
      <x:c r="AV102" s="117" t="n">
        <x:f>'Продажи'!AV72*'Вводные'!$B$20+'ОБЪЕКТЫ'!AV114</x:f>
      </x:c>
      <x:c r="AW102" s="117" t="n">
        <x:f>'Продажи'!AW72*'Вводные'!$B$20+'ОБЪЕКТЫ'!AW114</x:f>
      </x:c>
      <x:c r="AX102" s="117" t="n">
        <x:f>'Продажи'!AX72*'Вводные'!$B$20+'ОБЪЕКТЫ'!AX114</x:f>
      </x:c>
      <x:c r="AY102" s="117" t="n">
        <x:f>'Продажи'!AY72*'Вводные'!$B$20+'ОБЪЕКТЫ'!AY114</x:f>
      </x:c>
      <x:c r="AZ102" s="117" t="n">
        <x:f>'Продажи'!AZ72*'Вводные'!$B$20+'ОБЪЕКТЫ'!AZ114</x:f>
      </x:c>
      <x:c r="BA102" s="117" t="n">
        <x:f>'Продажи'!BA72*'Вводные'!$B$20+'ОБЪЕКТЫ'!BA114</x:f>
      </x:c>
      <x:c r="BB102" s="117" t="n">
        <x:f>'Продажи'!BB72*'Вводные'!$B$20+'ОБЪЕКТЫ'!BB114</x:f>
      </x:c>
      <x:c r="BC102" s="117" t="n">
        <x:f>'Продажи'!BC72*'Вводные'!$B$20+'ОБЪЕКТЫ'!BC114</x:f>
      </x:c>
      <x:c r="BD102" s="117" t="n">
        <x:f>'Продажи'!BD72*'Вводные'!$B$20+'ОБЪЕКТЫ'!BD114</x:f>
      </x:c>
      <x:c r="BE102" s="117" t="n">
        <x:f>'Продажи'!BE72*'Вводные'!$B$20+'ОБЪЕКТЫ'!BE114</x:f>
      </x:c>
      <x:c r="BF102" s="117" t="n">
        <x:f>'Продажи'!BF72*'Вводные'!$B$20+'ОБЪЕКТЫ'!BF114</x:f>
      </x:c>
      <x:c r="BG102" s="117" t="n">
        <x:f>'Продажи'!BG72*'Вводные'!$B$20+'ОБЪЕКТЫ'!BG114</x:f>
      </x:c>
      <x:c r="BH102" s="117" t="n">
        <x:f>'Продажи'!BH72*'Вводные'!$B$20+'ОБЪЕКТЫ'!BH114</x:f>
      </x:c>
      <x:c r="BI102" s="117" t="n">
        <x:f>'Продажи'!BI72*'Вводные'!$B$20+'ОБЪЕКТЫ'!BI114</x:f>
      </x:c>
      <x:c r="BJ102" s="117" t="n">
        <x:f>'Продажи'!BJ72*'Вводные'!$B$20+'ОБЪЕКТЫ'!BJ114</x:f>
      </x:c>
      <x:c r="BK102" s="117" t="n">
        <x:f>'Продажи'!BK72*'Вводные'!$B$20+'ОБЪЕКТЫ'!BK114</x:f>
      </x:c>
      <x:c r="BL102" s="117" t="n">
        <x:f>'Продажи'!BL72*'Вводные'!$B$20+'ОБЪЕКТЫ'!BL114</x:f>
      </x:c>
      <x:c r="BM102" s="117" t="n">
        <x:f>'Продажи'!BM72*'Вводные'!$B$20+'ОБЪЕКТЫ'!BM114</x:f>
      </x:c>
      <x:c r="BN102" s="117" t="n">
        <x:f>'Продажи'!BN72*'Вводные'!$B$20+'ОБЪЕКТЫ'!BN114</x:f>
      </x:c>
      <x:c r="BO102" s="117" t="n">
        <x:f>'Продажи'!BO72*'Вводные'!$B$20+'ОБЪЕКТЫ'!BO114</x:f>
      </x:c>
      <x:c r="BP102" s="117" t="n">
        <x:f>'Продажи'!BP72*'Вводные'!$B$20+'ОБЪЕКТЫ'!BP114</x:f>
      </x:c>
      <x:c r="BQ102" s="117" t="n">
        <x:f>'Продажи'!BQ72*'Вводные'!$B$20+'ОБЪЕКТЫ'!BQ114</x:f>
      </x:c>
      <x:c r="BR102" s="117" t="n">
        <x:f>'Продажи'!BR72*'Вводные'!$B$20+'ОБЪЕКТЫ'!BR114</x:f>
      </x:c>
      <x:c r="BS102" s="117" t="n">
        <x:f>'Продажи'!BS72*'Вводные'!$B$20+'ОБЪЕКТЫ'!BS114</x:f>
      </x:c>
      <x:c r="BT102" s="117" t="n">
        <x:f>'Продажи'!BT72*'Вводные'!$B$20+'ОБЪЕКТЫ'!BT114</x:f>
      </x:c>
      <x:c r="BU102" s="117" t="n">
        <x:f>'Продажи'!BU72*'Вводные'!$B$20+'ОБЪЕКТЫ'!BU114</x:f>
      </x:c>
      <x:c r="BV102" s="117" t="n">
        <x:f>'Продажи'!BV72*'Вводные'!$B$20+'ОБЪЕКТЫ'!BV114</x:f>
      </x:c>
      <x:c r="BW102" s="117" t="n">
        <x:f>'Продажи'!BW72*'Вводные'!$B$20+'ОБЪЕКТЫ'!BW114</x:f>
      </x:c>
      <x:c r="BX102" s="117" t="n">
        <x:f>'Продажи'!BX72*'Вводные'!$B$20+'ОБЪЕКТЫ'!BX114</x:f>
      </x:c>
      <x:c r="BY102" s="117" t="n">
        <x:f>'Продажи'!BY72*'Вводные'!$B$20+'ОБЪЕКТЫ'!BY114</x:f>
      </x:c>
      <x:c r="BZ102" s="117" t="n">
        <x:f>'Продажи'!BZ72*'Вводные'!$B$20+'ОБЪЕКТЫ'!BZ114</x:f>
      </x:c>
      <x:c r="CA102" s="117" t="n">
        <x:f>'Продажи'!CA72*'Вводные'!$B$20+'ОБЪЕКТЫ'!CA114</x:f>
      </x:c>
      <x:c r="CB102" s="117" t="n">
        <x:f>'Продажи'!CB72*'Вводные'!$B$20+'ОБЪЕКТЫ'!CB114</x:f>
      </x:c>
      <x:c r="CC102" s="117" t="n">
        <x:f>'Продажи'!CC72*'Вводные'!$B$20+'ОБЪЕКТЫ'!CC114</x:f>
      </x:c>
      <x:c r="CD102" s="117" t="n">
        <x:f>'Продажи'!CD72*'Вводные'!$B$20+'ОБЪЕКТЫ'!CD114</x:f>
      </x:c>
      <x:c r="CE102" s="117" t="n">
        <x:f>'Продажи'!CE72*'Вводные'!$B$20+'ОБЪЕКТЫ'!CE114</x:f>
      </x:c>
      <x:c r="CF102" s="117" t="n">
        <x:f>'Продажи'!CF72*'Вводные'!$B$20+'ОБЪЕКТЫ'!CF114</x:f>
      </x:c>
      <x:c r="CG102" s="117" t="n">
        <x:f>'Продажи'!CG72*'Вводные'!$B$20+'ОБЪЕКТЫ'!CG114</x:f>
      </x:c>
      <x:c r="CH102" s="117" t="n">
        <x:f>'Продажи'!CH72*'Вводные'!$B$20+'ОБЪЕКТЫ'!CH114</x:f>
      </x:c>
      <x:c r="CI102" s="117" t="n">
        <x:f>'Продажи'!CI72*'Вводные'!$B$20+'ОБЪЕКТЫ'!CI114</x:f>
      </x:c>
      <x:c r="CJ102" s="117" t="n">
        <x:f>'Продажи'!CJ72*'Вводные'!$B$20+'ОБЪЕКТЫ'!CJ114</x:f>
      </x:c>
      <x:c r="CK102" s="117" t="n">
        <x:f>'Продажи'!CK72*'Вводные'!$B$20+'ОБЪЕКТЫ'!CK114</x:f>
      </x:c>
      <x:c r="CL102" s="117" t="n">
        <x:f>'Продажи'!CL72*'Вводные'!$B$20+'ОБЪЕКТЫ'!CL114</x:f>
      </x:c>
      <x:c r="CM102" s="117" t="n">
        <x:f>'Продажи'!CM72*'Вводные'!$B$20+'ОБЪЕКТЫ'!CM114</x:f>
      </x:c>
      <x:c r="CN102" s="117" t="n">
        <x:f>'Продажи'!CN72*'Вводные'!$B$20+'ОБЪЕКТЫ'!CN114</x:f>
      </x:c>
      <x:c r="CO102" s="117" t="n">
        <x:f>'Продажи'!CO72*'Вводные'!$B$20+'ОБЪЕКТЫ'!CO114</x:f>
      </x:c>
      <x:c r="CP102" s="117" t="n">
        <x:f>'Продажи'!CP72*'Вводные'!$B$20+'ОБЪЕКТЫ'!CP114</x:f>
      </x:c>
      <x:c r="CQ102" s="117" t="n">
        <x:f>'Продажи'!CQ72*'Вводные'!$B$20+'ОБЪЕКТЫ'!CQ114</x:f>
      </x:c>
      <x:c r="CR102" s="117" t="n">
        <x:f>'Продажи'!CR72*'Вводные'!$B$20+'ОБЪЕКТЫ'!CR114</x:f>
      </x:c>
      <x:c r="CS102" s="117" t="n">
        <x:f>'Продажи'!CS72*'Вводные'!$B$20+'ОБЪЕКТЫ'!CS114</x:f>
      </x:c>
      <x:c r="CT102" s="117" t="n">
        <x:f>'Продажи'!CT72*'Вводные'!$B$20+'ОБЪЕКТЫ'!CT114</x:f>
      </x:c>
      <x:c r="CU102" s="117" t="n">
        <x:f>'Продажи'!CU72*'Вводные'!$B$20+'ОБЪЕКТЫ'!CU114</x:f>
      </x:c>
      <x:c r="CV102" s="117" t="n">
        <x:f>'Продажи'!CV72*'Вводные'!$B$20+'ОБЪЕКТЫ'!CV114</x:f>
      </x:c>
      <x:c r="CW102" s="117" t="n">
        <x:f>'Продажи'!CW72*'Вводные'!$B$20+'ОБЪЕКТЫ'!CW114</x:f>
      </x:c>
      <x:c r="CX102" s="117" t="n">
        <x:f>'Продажи'!CX72*'Вводные'!$B$20+'ОБЪЕКТЫ'!CX114</x:f>
      </x:c>
      <x:c r="CY102" s="117" t="n">
        <x:f>'Продажи'!CY72*'Вводные'!$B$20+'ОБЪЕКТЫ'!CY114</x:f>
      </x:c>
      <x:c r="CZ102" s="117" t="n">
        <x:f>'Продажи'!CZ72*'Вводные'!$B$20+'ОБЪЕКТЫ'!CZ114</x:f>
      </x:c>
      <x:c r="DA102" s="117" t="n">
        <x:f>'Продажи'!DA72*'Вводные'!$B$20+'ОБЪЕКТЫ'!DA114</x:f>
      </x:c>
      <x:c r="DB102" s="117" t="n">
        <x:f>'Продажи'!DB72*'Вводные'!$B$20+'ОБЪЕКТЫ'!DB114</x:f>
      </x:c>
      <x:c r="DC102" s="117" t="n">
        <x:f>'Продажи'!DC72*'Вводные'!$B$20+'ОБЪЕКТЫ'!DC114</x:f>
      </x:c>
      <x:c r="DD102" s="117" t="n">
        <x:f>'Продажи'!DD72*'Вводные'!$B$20+'ОБЪЕКТЫ'!DD114</x:f>
      </x:c>
      <x:c r="DE102" s="117" t="n">
        <x:f>'Продажи'!DE72*'Вводные'!$B$20+'ОБЪЕКТЫ'!DE114</x:f>
      </x:c>
      <x:c r="DF102" s="117" t="n">
        <x:f>'Продажи'!DF72*'Вводные'!$B$20+'ОБЪЕКТЫ'!DF114</x:f>
      </x:c>
      <x:c r="DG102" s="117" t="n">
        <x:f>'Продажи'!DG72*'Вводные'!$B$20+'ОБЪЕКТЫ'!DG114</x:f>
      </x:c>
      <x:c r="DH102" s="117" t="n">
        <x:f>'Продажи'!DH72*'Вводные'!$B$20+'ОБЪЕКТЫ'!DH114</x:f>
      </x:c>
      <x:c r="DI102" s="117" t="n">
        <x:f>'Продажи'!DI72*'Вводные'!$B$20+'ОБЪЕКТЫ'!DI114</x:f>
      </x:c>
      <x:c r="DJ102" s="117" t="n">
        <x:f>'Продажи'!DJ72*'Вводные'!$B$20+'ОБЪЕКТЫ'!DJ114</x:f>
      </x:c>
      <x:c r="DK102" s="117" t="n">
        <x:f>'Продажи'!DK72*'Вводные'!$B$20+'ОБЪЕКТЫ'!DK114</x:f>
      </x:c>
      <x:c r="DL102" s="117" t="n">
        <x:f>'Продажи'!DL72*'Вводные'!$B$20+'ОБЪЕКТЫ'!DL114</x:f>
      </x:c>
      <x:c r="DM102" s="117" t="n">
        <x:f>'Продажи'!DM72*'Вводные'!$B$20+'ОБЪЕКТЫ'!DM114</x:f>
      </x:c>
      <x:c r="DN102" s="117" t="n">
        <x:f>'Продажи'!DN72*'Вводные'!$B$20+'ОБЪЕКТЫ'!DN114</x:f>
      </x:c>
      <x:c r="DO102" s="117" t="n">
        <x:f>'Продажи'!DO72*'Вводные'!$B$20+'ОБЪЕКТЫ'!DO114</x:f>
      </x:c>
      <x:c r="DP102" s="117" t="n">
        <x:f>'Продажи'!DP72*'Вводные'!$B$20+'ОБЪЕКТЫ'!DP114</x:f>
      </x:c>
      <x:c r="DQ102" s="117" t="n">
        <x:f>'Продажи'!DQ72*'Вводные'!$B$20+'ОБЪЕКТЫ'!DQ114</x:f>
      </x:c>
      <x:c r="DR102" s="117" t="n">
        <x:f>'Продажи'!DR72*'Вводные'!$B$20+'ОБЪЕКТЫ'!DR114</x:f>
      </x:c>
      <x:c r="DS102" s="117" t="n">
        <x:f>'Продажи'!DS72*'Вводные'!$B$20+'ОБЪЕКТЫ'!DS114</x:f>
      </x:c>
    </x:row>
    <x:row r="103">
      <x:c r="A103" s="113" t="str">
        <x:v>РАСХОДЫ ПРОЕКТА ВСЕГО</x:v>
      </x:c>
      <x:c r="B103" s="113" t="n">
        <x:f>SUM(D103:DS103)</x:f>
      </x:c>
      <x:c r="C103" s="113" t="str">
        <x:v>млн ₽</x:v>
      </x:c>
      <x:c r="D103" s="120" t="n">
        <x:f>SUM(D100:D102)</x:f>
      </x:c>
      <x:c r="E103" s="120" t="n">
        <x:f>SUM(E100:E102)</x:f>
      </x:c>
      <x:c r="F103" s="120" t="n">
        <x:f>SUM(F100:F102)</x:f>
      </x:c>
      <x:c r="G103" s="120" t="n">
        <x:f>SUM(G100:G102)</x:f>
      </x:c>
      <x:c r="H103" s="120" t="n">
        <x:f>SUM(H100:H102)</x:f>
      </x:c>
      <x:c r="I103" s="120" t="n">
        <x:f>SUM(I100:I102)</x:f>
      </x:c>
      <x:c r="J103" s="120" t="n">
        <x:f>SUM(J100:J102)</x:f>
      </x:c>
      <x:c r="K103" s="120" t="n">
        <x:f>SUM(K100:K102)</x:f>
      </x:c>
      <x:c r="L103" s="120" t="n">
        <x:f>SUM(L100:L102)</x:f>
      </x:c>
      <x:c r="M103" s="120" t="n">
        <x:f>SUM(M100:M102)</x:f>
      </x:c>
      <x:c r="N103" s="120" t="n">
        <x:f>SUM(N100:N102)</x:f>
      </x:c>
      <x:c r="O103" s="120" t="n">
        <x:f>SUM(O100:O102)</x:f>
      </x:c>
      <x:c r="P103" s="120" t="n">
        <x:f>SUM(P100:P102)</x:f>
      </x:c>
      <x:c r="Q103" s="120" t="n">
        <x:f>SUM(Q100:Q102)</x:f>
      </x:c>
      <x:c r="R103" s="120" t="n">
        <x:f>SUM(R100:R102)</x:f>
      </x:c>
      <x:c r="S103" s="120" t="n">
        <x:f>SUM(S100:S102)</x:f>
      </x:c>
      <x:c r="T103" s="120" t="n">
        <x:f>SUM(T100:T102)</x:f>
      </x:c>
      <x:c r="U103" s="120" t="n">
        <x:f>SUM(U100:U102)</x:f>
      </x:c>
      <x:c r="V103" s="120" t="n">
        <x:f>SUM(V100:V102)</x:f>
      </x:c>
      <x:c r="W103" s="120" t="n">
        <x:f>SUM(W100:W102)</x:f>
      </x:c>
      <x:c r="X103" s="120" t="n">
        <x:f>SUM(X100:X102)</x:f>
      </x:c>
      <x:c r="Y103" s="120" t="n">
        <x:f>SUM(Y100:Y102)</x:f>
      </x:c>
      <x:c r="Z103" s="120" t="n">
        <x:f>SUM(Z100:Z102)</x:f>
      </x:c>
      <x:c r="AA103" s="120" t="n">
        <x:f>SUM(AA100:AA102)</x:f>
      </x:c>
      <x:c r="AB103" s="120" t="n">
        <x:f>SUM(AB100:AB102)</x:f>
      </x:c>
      <x:c r="AC103" s="120" t="n">
        <x:f>SUM(AC100:AC102)</x:f>
      </x:c>
      <x:c r="AD103" s="120" t="n">
        <x:f>SUM(AD100:AD102)</x:f>
      </x:c>
      <x:c r="AE103" s="120" t="n">
        <x:f>SUM(AE100:AE102)</x:f>
      </x:c>
      <x:c r="AF103" s="120" t="n">
        <x:f>SUM(AF100:AF102)</x:f>
      </x:c>
      <x:c r="AG103" s="120" t="n">
        <x:f>SUM(AG100:AG102)</x:f>
      </x:c>
      <x:c r="AH103" s="120" t="n">
        <x:f>SUM(AH100:AH102)</x:f>
      </x:c>
      <x:c r="AI103" s="120" t="n">
        <x:f>SUM(AI100:AI102)</x:f>
      </x:c>
      <x:c r="AJ103" s="120" t="n">
        <x:f>SUM(AJ100:AJ102)</x:f>
      </x:c>
      <x:c r="AK103" s="120" t="n">
        <x:f>SUM(AK100:AK102)</x:f>
      </x:c>
      <x:c r="AL103" s="120" t="n">
        <x:f>SUM(AL100:AL102)</x:f>
      </x:c>
      <x:c r="AM103" s="120" t="n">
        <x:f>SUM(AM100:AM102)</x:f>
      </x:c>
      <x:c r="AN103" s="120" t="n">
        <x:f>SUM(AN100:AN102)</x:f>
      </x:c>
      <x:c r="AO103" s="120" t="n">
        <x:f>SUM(AO100:AO102)</x:f>
      </x:c>
      <x:c r="AP103" s="120" t="n">
        <x:f>SUM(AP100:AP102)</x:f>
      </x:c>
      <x:c r="AQ103" s="120" t="n">
        <x:f>SUM(AQ100:AQ102)</x:f>
      </x:c>
      <x:c r="AR103" s="120" t="n">
        <x:f>SUM(AR100:AR102)</x:f>
      </x:c>
      <x:c r="AS103" s="120" t="n">
        <x:f>SUM(AS100:AS102)</x:f>
      </x:c>
      <x:c r="AT103" s="120" t="n">
        <x:f>SUM(AT100:AT102)</x:f>
      </x:c>
      <x:c r="AU103" s="120" t="n">
        <x:f>SUM(AU100:AU102)</x:f>
      </x:c>
      <x:c r="AV103" s="120" t="n">
        <x:f>SUM(AV100:AV102)</x:f>
      </x:c>
      <x:c r="AW103" s="120" t="n">
        <x:f>SUM(AW100:AW102)</x:f>
      </x:c>
      <x:c r="AX103" s="120" t="n">
        <x:f>SUM(AX100:AX102)</x:f>
      </x:c>
      <x:c r="AY103" s="120" t="n">
        <x:f>SUM(AY100:AY102)</x:f>
      </x:c>
      <x:c r="AZ103" s="120" t="n">
        <x:f>SUM(AZ100:AZ102)</x:f>
      </x:c>
      <x:c r="BA103" s="120" t="n">
        <x:f>SUM(BA100:BA102)</x:f>
      </x:c>
      <x:c r="BB103" s="120" t="n">
        <x:f>SUM(BB100:BB102)</x:f>
      </x:c>
      <x:c r="BC103" s="120" t="n">
        <x:f>SUM(BC100:BC102)</x:f>
      </x:c>
      <x:c r="BD103" s="120" t="n">
        <x:f>SUM(BD100:BD102)</x:f>
      </x:c>
      <x:c r="BE103" s="120" t="n">
        <x:f>SUM(BE100:BE102)</x:f>
      </x:c>
      <x:c r="BF103" s="120" t="n">
        <x:f>SUM(BF100:BF102)</x:f>
      </x:c>
      <x:c r="BG103" s="120" t="n">
        <x:f>SUM(BG100:BG102)</x:f>
      </x:c>
      <x:c r="BH103" s="120" t="n">
        <x:f>SUM(BH100:BH102)</x:f>
      </x:c>
      <x:c r="BI103" s="120" t="n">
        <x:f>SUM(BI100:BI102)</x:f>
      </x:c>
      <x:c r="BJ103" s="120" t="n">
        <x:f>SUM(BJ100:BJ102)</x:f>
      </x:c>
      <x:c r="BK103" s="120" t="n">
        <x:f>SUM(BK100:BK102)</x:f>
      </x:c>
      <x:c r="BL103" s="120" t="n">
        <x:f>SUM(BL100:BL102)</x:f>
      </x:c>
      <x:c r="BM103" s="120" t="n">
        <x:f>SUM(BM100:BM102)</x:f>
      </x:c>
      <x:c r="BN103" s="120" t="n">
        <x:f>SUM(BN100:BN102)</x:f>
      </x:c>
      <x:c r="BO103" s="120" t="n">
        <x:f>SUM(BO100:BO102)</x:f>
      </x:c>
      <x:c r="BP103" s="120" t="n">
        <x:f>SUM(BP100:BP102)</x:f>
      </x:c>
      <x:c r="BQ103" s="120" t="n">
        <x:f>SUM(BQ100:BQ102)</x:f>
      </x:c>
      <x:c r="BR103" s="120" t="n">
        <x:f>SUM(BR100:BR102)</x:f>
      </x:c>
      <x:c r="BS103" s="120" t="n">
        <x:f>SUM(BS100:BS102)</x:f>
      </x:c>
      <x:c r="BT103" s="120" t="n">
        <x:f>SUM(BT100:BT102)</x:f>
      </x:c>
      <x:c r="BU103" s="120" t="n">
        <x:f>SUM(BU100:BU102)</x:f>
      </x:c>
      <x:c r="BV103" s="120" t="n">
        <x:f>SUM(BV100:BV102)</x:f>
      </x:c>
      <x:c r="BW103" s="120" t="n">
        <x:f>SUM(BW100:BW102)</x:f>
      </x:c>
      <x:c r="BX103" s="120" t="n">
        <x:f>SUM(BX100:BX102)</x:f>
      </x:c>
      <x:c r="BY103" s="120" t="n">
        <x:f>SUM(BY100:BY102)</x:f>
      </x:c>
      <x:c r="BZ103" s="120" t="n">
        <x:f>SUM(BZ100:BZ102)</x:f>
      </x:c>
      <x:c r="CA103" s="120" t="n">
        <x:f>SUM(CA100:CA102)</x:f>
      </x:c>
      <x:c r="CB103" s="120" t="n">
        <x:f>SUM(CB100:CB102)</x:f>
      </x:c>
      <x:c r="CC103" s="120" t="n">
        <x:f>SUM(CC100:CC102)</x:f>
      </x:c>
      <x:c r="CD103" s="120" t="n">
        <x:f>SUM(CD100:CD102)</x:f>
      </x:c>
      <x:c r="CE103" s="120" t="n">
        <x:f>SUM(CE100:CE102)</x:f>
      </x:c>
      <x:c r="CF103" s="120" t="n">
        <x:f>SUM(CF100:CF102)</x:f>
      </x:c>
      <x:c r="CG103" s="120" t="n">
        <x:f>SUM(CG100:CG102)</x:f>
      </x:c>
      <x:c r="CH103" s="120" t="n">
        <x:f>SUM(CH100:CH102)</x:f>
      </x:c>
      <x:c r="CI103" s="120" t="n">
        <x:f>SUM(CI100:CI102)</x:f>
      </x:c>
      <x:c r="CJ103" s="120" t="n">
        <x:f>SUM(CJ100:CJ102)</x:f>
      </x:c>
      <x:c r="CK103" s="120" t="n">
        <x:f>SUM(CK100:CK102)</x:f>
      </x:c>
      <x:c r="CL103" s="120" t="n">
        <x:f>SUM(CL100:CL102)</x:f>
      </x:c>
      <x:c r="CM103" s="120" t="n">
        <x:f>SUM(CM100:CM102)</x:f>
      </x:c>
      <x:c r="CN103" s="120" t="n">
        <x:f>SUM(CN100:CN102)</x:f>
      </x:c>
      <x:c r="CO103" s="120" t="n">
        <x:f>SUM(CO100:CO102)</x:f>
      </x:c>
      <x:c r="CP103" s="120" t="n">
        <x:f>SUM(CP100:CP102)</x:f>
      </x:c>
      <x:c r="CQ103" s="120" t="n">
        <x:f>SUM(CQ100:CQ102)</x:f>
      </x:c>
      <x:c r="CR103" s="120" t="n">
        <x:f>SUM(CR100:CR102)</x:f>
      </x:c>
      <x:c r="CS103" s="120" t="n">
        <x:f>SUM(CS100:CS102)</x:f>
      </x:c>
      <x:c r="CT103" s="120" t="n">
        <x:f>SUM(CT100:CT102)</x:f>
      </x:c>
      <x:c r="CU103" s="120" t="n">
        <x:f>SUM(CU100:CU102)</x:f>
      </x:c>
      <x:c r="CV103" s="120" t="n">
        <x:f>SUM(CV100:CV102)</x:f>
      </x:c>
      <x:c r="CW103" s="120" t="n">
        <x:f>SUM(CW100:CW102)</x:f>
      </x:c>
      <x:c r="CX103" s="120" t="n">
        <x:f>SUM(CX100:CX102)</x:f>
      </x:c>
      <x:c r="CY103" s="120" t="n">
        <x:f>SUM(CY100:CY102)</x:f>
      </x:c>
      <x:c r="CZ103" s="120" t="n">
        <x:f>SUM(CZ100:CZ102)</x:f>
      </x:c>
      <x:c r="DA103" s="120" t="n">
        <x:f>SUM(DA100:DA102)</x:f>
      </x:c>
      <x:c r="DB103" s="120" t="n">
        <x:f>SUM(DB100:DB102)</x:f>
      </x:c>
      <x:c r="DC103" s="120" t="n">
        <x:f>SUM(DC100:DC102)</x:f>
      </x:c>
      <x:c r="DD103" s="120" t="n">
        <x:f>SUM(DD100:DD102)</x:f>
      </x:c>
      <x:c r="DE103" s="120" t="n">
        <x:f>SUM(DE100:DE102)</x:f>
      </x:c>
      <x:c r="DF103" s="120" t="n">
        <x:f>SUM(DF100:DF102)</x:f>
      </x:c>
      <x:c r="DG103" s="120" t="n">
        <x:f>SUM(DG100:DG102)</x:f>
      </x:c>
      <x:c r="DH103" s="120" t="n">
        <x:f>SUM(DH100:DH102)</x:f>
      </x:c>
      <x:c r="DI103" s="120" t="n">
        <x:f>SUM(DI100:DI102)</x:f>
      </x:c>
      <x:c r="DJ103" s="120" t="n">
        <x:f>SUM(DJ100:DJ102)</x:f>
      </x:c>
      <x:c r="DK103" s="120" t="n">
        <x:f>SUM(DK100:DK102)</x:f>
      </x:c>
      <x:c r="DL103" s="120" t="n">
        <x:f>SUM(DL100:DL102)</x:f>
      </x:c>
      <x:c r="DM103" s="120" t="n">
        <x:f>SUM(DM100:DM102)</x:f>
      </x:c>
      <x:c r="DN103" s="120" t="n">
        <x:f>SUM(DN100:DN102)</x:f>
      </x:c>
      <x:c r="DO103" s="120" t="n">
        <x:f>SUM(DO100:DO102)</x:f>
      </x:c>
      <x:c r="DP103" s="120" t="n">
        <x:f>SUM(DP100:DP102)</x:f>
      </x:c>
      <x:c r="DQ103" s="120" t="n">
        <x:f>SUM(DQ100:DQ102)</x:f>
      </x:c>
      <x:c r="DR103" s="120" t="n">
        <x:f>SUM(DR100:DR102)</x:f>
      </x:c>
      <x:c r="DS103" s="120" t="n">
        <x:f>SUM(DS100:DS102)</x:f>
      </x:c>
    </x:row>
    <x:row r="108" ht="21" customHeight="1">
      <x:c r="A108" s="52" t="str">
        <x:v>ОЧЕРЕДЬ 4</x:v>
      </x:c>
      <x:c r="B108" s="53" t="str">
        <x:v>ОЧЕРЕДЬ 4</x:v>
      </x:c>
      <x:c r="C108" s="53" t="str">
        <x:v>ОЧЕРЕДЬ 4</x:v>
      </x:c>
      <x:c r="D108" s="53" t="str">
        <x:v>ОЧЕРЕДЬ 4</x:v>
      </x:c>
      <x:c r="E108" s="53" t="str">
        <x:v>ОЧЕРЕДЬ 4</x:v>
      </x:c>
      <x:c r="F108" s="53" t="str">
        <x:v>ОЧЕРЕДЬ 4</x:v>
      </x:c>
      <x:c r="G108" s="53" t="str">
        <x:v>ОЧЕРЕДЬ 4</x:v>
      </x:c>
      <x:c r="H108" s="53" t="str">
        <x:v>ОЧЕРЕДЬ 4</x:v>
      </x:c>
      <x:c r="I108" s="53" t="str">
        <x:v>ОЧЕРЕДЬ 4</x:v>
      </x:c>
      <x:c r="J108" s="53" t="str">
        <x:v>ОЧЕРЕДЬ 4</x:v>
      </x:c>
      <x:c r="K108" s="53" t="str">
        <x:v>ОЧЕРЕДЬ 4</x:v>
      </x:c>
      <x:c r="L108" s="53" t="str">
        <x:v>ОЧЕРЕДЬ 4</x:v>
      </x:c>
      <x:c r="M108" s="53" t="str">
        <x:v>ОЧЕРЕДЬ 4</x:v>
      </x:c>
      <x:c r="N108" s="53" t="str">
        <x:v>ОЧЕРЕДЬ 4</x:v>
      </x:c>
      <x:c r="O108" s="53" t="str">
        <x:v>ОЧЕРЕДЬ 4</x:v>
      </x:c>
      <x:c r="P108" s="53" t="str">
        <x:v>ОЧЕРЕДЬ 4</x:v>
      </x:c>
      <x:c r="Q108" s="53" t="str">
        <x:v>ОЧЕРЕДЬ 4</x:v>
      </x:c>
      <x:c r="R108" s="53" t="str">
        <x:v>ОЧЕРЕДЬ 4</x:v>
      </x:c>
      <x:c r="S108" s="53" t="str">
        <x:v>ОЧЕРЕДЬ 4</x:v>
      </x:c>
      <x:c r="T108" s="53" t="str">
        <x:v>ОЧЕРЕДЬ 4</x:v>
      </x:c>
      <x:c r="U108" s="53" t="str">
        <x:v>ОЧЕРЕДЬ 4</x:v>
      </x:c>
      <x:c r="V108" s="53" t="str">
        <x:v>ОЧЕРЕДЬ 4</x:v>
      </x:c>
      <x:c r="W108" s="53" t="str">
        <x:v>ОЧЕРЕДЬ 4</x:v>
      </x:c>
      <x:c r="X108" s="53" t="str">
        <x:v>ОЧЕРЕДЬ 4</x:v>
      </x:c>
      <x:c r="Y108" s="53" t="str">
        <x:v>ОЧЕРЕДЬ 4</x:v>
      </x:c>
      <x:c r="Z108" s="53" t="str">
        <x:v>ОЧЕРЕДЬ 4</x:v>
      </x:c>
      <x:c r="AA108" s="53" t="str">
        <x:v>ОЧЕРЕДЬ 4</x:v>
      </x:c>
      <x:c r="AB108" s="53" t="str">
        <x:v>ОЧЕРЕДЬ 4</x:v>
      </x:c>
      <x:c r="AC108" s="53" t="str">
        <x:v>ОЧЕРЕДЬ 4</x:v>
      </x:c>
      <x:c r="AD108" s="53" t="str">
        <x:v>ОЧЕРЕДЬ 4</x:v>
      </x:c>
      <x:c r="AE108" s="53" t="str">
        <x:v>ОЧЕРЕДЬ 4</x:v>
      </x:c>
      <x:c r="AF108" s="53" t="str">
        <x:v>ОЧЕРЕДЬ 4</x:v>
      </x:c>
      <x:c r="AG108" s="53" t="str">
        <x:v>ОЧЕРЕДЬ 4</x:v>
      </x:c>
      <x:c r="AH108" s="53" t="str">
        <x:v>ОЧЕРЕДЬ 4</x:v>
      </x:c>
      <x:c r="AI108" s="53" t="str">
        <x:v>ОЧЕРЕДЬ 4</x:v>
      </x:c>
      <x:c r="AJ108" s="53" t="str">
        <x:v>ОЧЕРЕДЬ 4</x:v>
      </x:c>
      <x:c r="AK108" s="53" t="str">
        <x:v>ОЧЕРЕДЬ 4</x:v>
      </x:c>
      <x:c r="AL108" s="53" t="str">
        <x:v>ОЧЕРЕДЬ 4</x:v>
      </x:c>
      <x:c r="AM108" s="53" t="str">
        <x:v>ОЧЕРЕДЬ 4</x:v>
      </x:c>
      <x:c r="AN108" s="53" t="str">
        <x:v>ОЧЕРЕДЬ 4</x:v>
      </x:c>
      <x:c r="AO108" s="53" t="str">
        <x:v>ОЧЕРЕДЬ 4</x:v>
      </x:c>
      <x:c r="AP108" s="53" t="str">
        <x:v>ОЧЕРЕДЬ 4</x:v>
      </x:c>
      <x:c r="AQ108" s="53" t="str">
        <x:v>ОЧЕРЕДЬ 4</x:v>
      </x:c>
      <x:c r="AR108" s="53" t="str">
        <x:v>ОЧЕРЕДЬ 4</x:v>
      </x:c>
      <x:c r="AS108" s="53" t="str">
        <x:v>ОЧЕРЕДЬ 4</x:v>
      </x:c>
      <x:c r="AT108" s="53" t="str">
        <x:v>ОЧЕРЕДЬ 4</x:v>
      </x:c>
      <x:c r="AU108" s="53" t="str">
        <x:v>ОЧЕРЕДЬ 4</x:v>
      </x:c>
      <x:c r="AV108" s="53" t="str">
        <x:v>ОЧЕРЕДЬ 4</x:v>
      </x:c>
      <x:c r="AW108" s="53" t="str">
        <x:v>ОЧЕРЕДЬ 4</x:v>
      </x:c>
      <x:c r="AX108" s="53" t="str">
        <x:v>ОЧЕРЕДЬ 4</x:v>
      </x:c>
      <x:c r="AY108" s="53" t="str">
        <x:v>ОЧЕРЕДЬ 4</x:v>
      </x:c>
      <x:c r="AZ108" s="53" t="str">
        <x:v>ОЧЕРЕДЬ 4</x:v>
      </x:c>
      <x:c r="BA108" s="53" t="str">
        <x:v>ОЧЕРЕДЬ 4</x:v>
      </x:c>
      <x:c r="BB108" s="53" t="str">
        <x:v>ОЧЕРЕДЬ 4</x:v>
      </x:c>
      <x:c r="BC108" s="53" t="str">
        <x:v>ОЧЕРЕДЬ 4</x:v>
      </x:c>
      <x:c r="BD108" s="53" t="str">
        <x:v>ОЧЕРЕДЬ 4</x:v>
      </x:c>
      <x:c r="BE108" s="53" t="str">
        <x:v>ОЧЕРЕДЬ 4</x:v>
      </x:c>
      <x:c r="BF108" s="53" t="str">
        <x:v>ОЧЕРЕДЬ 4</x:v>
      </x:c>
      <x:c r="BG108" s="53" t="str">
        <x:v>ОЧЕРЕДЬ 4</x:v>
      </x:c>
      <x:c r="BH108" s="53" t="str">
        <x:v>ОЧЕРЕДЬ 4</x:v>
      </x:c>
      <x:c r="BI108" s="53" t="str">
        <x:v>ОЧЕРЕДЬ 4</x:v>
      </x:c>
      <x:c r="BJ108" s="53" t="str">
        <x:v>ОЧЕРЕДЬ 4</x:v>
      </x:c>
      <x:c r="BK108" s="53" t="str">
        <x:v>ОЧЕРЕДЬ 4</x:v>
      </x:c>
      <x:c r="BL108" s="53" t="str">
        <x:v>ОЧЕРЕДЬ 4</x:v>
      </x:c>
      <x:c r="BM108" s="53" t="str">
        <x:v>ОЧЕРЕДЬ 4</x:v>
      </x:c>
      <x:c r="BN108" s="53" t="str">
        <x:v>ОЧЕРЕДЬ 4</x:v>
      </x:c>
      <x:c r="BO108" s="53" t="str">
        <x:v>ОЧЕРЕДЬ 4</x:v>
      </x:c>
      <x:c r="BP108" s="53" t="str">
        <x:v>ОЧЕРЕДЬ 4</x:v>
      </x:c>
      <x:c r="BQ108" s="53" t="str">
        <x:v>ОЧЕРЕДЬ 4</x:v>
      </x:c>
      <x:c r="BR108" s="53" t="str">
        <x:v>ОЧЕРЕДЬ 4</x:v>
      </x:c>
      <x:c r="BS108" s="53" t="str">
        <x:v>ОЧЕРЕДЬ 4</x:v>
      </x:c>
      <x:c r="BT108" s="53" t="str">
        <x:v>ОЧЕРЕДЬ 4</x:v>
      </x:c>
      <x:c r="BU108" s="53" t="str">
        <x:v>ОЧЕРЕДЬ 4</x:v>
      </x:c>
      <x:c r="BV108" s="53" t="str">
        <x:v>ОЧЕРЕДЬ 4</x:v>
      </x:c>
      <x:c r="BW108" s="53" t="str">
        <x:v>ОЧЕРЕДЬ 4</x:v>
      </x:c>
      <x:c r="BX108" s="53" t="str">
        <x:v>ОЧЕРЕДЬ 4</x:v>
      </x:c>
      <x:c r="BY108" s="53" t="str">
        <x:v>ОЧЕРЕДЬ 4</x:v>
      </x:c>
      <x:c r="BZ108" s="53" t="str">
        <x:v>ОЧЕРЕДЬ 4</x:v>
      </x:c>
      <x:c r="CA108" s="53" t="str">
        <x:v>ОЧЕРЕДЬ 4</x:v>
      </x:c>
      <x:c r="CB108" s="53" t="str">
        <x:v>ОЧЕРЕДЬ 4</x:v>
      </x:c>
      <x:c r="CC108" s="53" t="str">
        <x:v>ОЧЕРЕДЬ 4</x:v>
      </x:c>
      <x:c r="CD108" s="53" t="str">
        <x:v>ОЧЕРЕДЬ 4</x:v>
      </x:c>
      <x:c r="CE108" s="53" t="str">
        <x:v>ОЧЕРЕДЬ 4</x:v>
      </x:c>
      <x:c r="CF108" s="53" t="str">
        <x:v>ОЧЕРЕДЬ 4</x:v>
      </x:c>
      <x:c r="CG108" s="53" t="str">
        <x:v>ОЧЕРЕДЬ 4</x:v>
      </x:c>
      <x:c r="CH108" s="53" t="str">
        <x:v>ОЧЕРЕДЬ 4</x:v>
      </x:c>
      <x:c r="CI108" s="53" t="str">
        <x:v>ОЧЕРЕДЬ 4</x:v>
      </x:c>
      <x:c r="CJ108" s="53" t="str">
        <x:v>ОЧЕРЕДЬ 4</x:v>
      </x:c>
      <x:c r="CK108" s="53" t="str">
        <x:v>ОЧЕРЕДЬ 4</x:v>
      </x:c>
      <x:c r="CL108" s="53" t="str">
        <x:v>ОЧЕРЕДЬ 4</x:v>
      </x:c>
      <x:c r="CM108" s="53" t="str">
        <x:v>ОЧЕРЕДЬ 4</x:v>
      </x:c>
      <x:c r="CN108" s="53" t="str">
        <x:v>ОЧЕРЕДЬ 4</x:v>
      </x:c>
      <x:c r="CO108" s="53" t="str">
        <x:v>ОЧЕРЕДЬ 4</x:v>
      </x:c>
      <x:c r="CP108" s="53" t="str">
        <x:v>ОЧЕРЕДЬ 4</x:v>
      </x:c>
      <x:c r="CQ108" s="53" t="str">
        <x:v>ОЧЕРЕДЬ 4</x:v>
      </x:c>
      <x:c r="CR108" s="53" t="str">
        <x:v>ОЧЕРЕДЬ 4</x:v>
      </x:c>
      <x:c r="CS108" s="53" t="str">
        <x:v>ОЧЕРЕДЬ 4</x:v>
      </x:c>
      <x:c r="CT108" s="53" t="str">
        <x:v>ОЧЕРЕДЬ 4</x:v>
      </x:c>
      <x:c r="CU108" s="53" t="str">
        <x:v>ОЧЕРЕДЬ 4</x:v>
      </x:c>
      <x:c r="CV108" s="53" t="str">
        <x:v>ОЧЕРЕДЬ 4</x:v>
      </x:c>
      <x:c r="CW108" s="53" t="str">
        <x:v>ОЧЕРЕДЬ 4</x:v>
      </x:c>
      <x:c r="CX108" s="53" t="str">
        <x:v>ОЧЕРЕДЬ 4</x:v>
      </x:c>
      <x:c r="CY108" s="53" t="str">
        <x:v>ОЧЕРЕДЬ 4</x:v>
      </x:c>
      <x:c r="CZ108" s="53" t="str">
        <x:v>ОЧЕРЕДЬ 4</x:v>
      </x:c>
      <x:c r="DA108" s="53" t="str">
        <x:v>ОЧЕРЕДЬ 4</x:v>
      </x:c>
      <x:c r="DB108" s="53" t="str">
        <x:v>ОЧЕРЕДЬ 4</x:v>
      </x:c>
      <x:c r="DC108" s="53" t="str">
        <x:v>ОЧЕРЕДЬ 4</x:v>
      </x:c>
      <x:c r="DD108" s="53" t="str">
        <x:v>ОЧЕРЕДЬ 4</x:v>
      </x:c>
      <x:c r="DE108" s="53" t="str">
        <x:v>ОЧЕРЕДЬ 4</x:v>
      </x:c>
      <x:c r="DF108" s="53" t="str">
        <x:v>ОЧЕРЕДЬ 4</x:v>
      </x:c>
      <x:c r="DG108" s="53" t="str">
        <x:v>ОЧЕРЕДЬ 4</x:v>
      </x:c>
      <x:c r="DH108" s="53" t="str">
        <x:v>ОЧЕРЕДЬ 4</x:v>
      </x:c>
      <x:c r="DI108" s="53" t="str">
        <x:v>ОЧЕРЕДЬ 4</x:v>
      </x:c>
      <x:c r="DJ108" s="53" t="str">
        <x:v>ОЧЕРЕДЬ 4</x:v>
      </x:c>
      <x:c r="DK108" s="53" t="str">
        <x:v>ОЧЕРЕДЬ 4</x:v>
      </x:c>
      <x:c r="DL108" s="53" t="str">
        <x:v>ОЧЕРЕДЬ 4</x:v>
      </x:c>
      <x:c r="DM108" s="53" t="str">
        <x:v>ОЧЕРЕДЬ 4</x:v>
      </x:c>
      <x:c r="DN108" s="53" t="str">
        <x:v>ОЧЕРЕДЬ 4</x:v>
      </x:c>
      <x:c r="DO108" s="53" t="str">
        <x:v>ОЧЕРЕДЬ 4</x:v>
      </x:c>
      <x:c r="DP108" s="53" t="str">
        <x:v>ОЧЕРЕДЬ 4</x:v>
      </x:c>
      <x:c r="DQ108" s="53" t="str">
        <x:v>ОЧЕРЕДЬ 4</x:v>
      </x:c>
      <x:c r="DR108" s="53" t="str">
        <x:v>ОЧЕРЕДЬ 4</x:v>
      </x:c>
      <x:c r="DS108" s="54" t="str">
        <x:v>ОЧЕРЕДЬ 4</x:v>
      </x:c>
    </x:row>
    <x:row r="109">
      <x:c r="A109" t="str">
        <x:v>РнС / открытие ПФ</x:v>
      </x:c>
      <x:c r="B109" s="106" t="n">
        <x:f>EDATE('Вводные'!$D$91,'Вводные'!$E$91+'Вводные'!$H$9)</x:f>
      </x:c>
      <x:c r="C109" t="str">
        <x:v>дата</x:v>
      </x:c>
    </x:row>
    <x:row r="110">
      <x:c r="A110" t="str">
        <x:v>РВЭ</x:v>
      </x:c>
      <x:c r="B110" s="106" t="n">
        <x:f>EDATE(B109,'Вводные'!$F$91)</x:f>
      </x:c>
      <x:c r="C110" t="str">
        <x:v>дата</x:v>
      </x:c>
    </x:row>
    <x:row r="111">
      <x:c r="A111" t="str">
        <x:v>Флаг проекта</x:v>
      </x:c>
      <x:c r="B111"/>
      <x:c r="C111" t="str">
        <x:v>0/1</x:v>
      </x:c>
      <x:c r="D111" t="n">
        <x:f>--AND(D$3&gt;=EDATE($B$109,-'Вводные'!$E$91),D$3&lt;$B$110,'Вводные'!$B$91="Да")</x:f>
      </x:c>
      <x:c r="E111" t="n">
        <x:f>--AND(E$3&gt;=EDATE($B$109,-'Вводные'!$E$91),E$3&lt;$B$110,'Вводные'!$B$91="Да")</x:f>
      </x:c>
      <x:c r="F111" t="n">
        <x:f>--AND(F$3&gt;=EDATE($B$109,-'Вводные'!$E$91),F$3&lt;$B$110,'Вводные'!$B$91="Да")</x:f>
      </x:c>
      <x:c r="G111" t="n">
        <x:f>--AND(G$3&gt;=EDATE($B$109,-'Вводные'!$E$91),G$3&lt;$B$110,'Вводные'!$B$91="Да")</x:f>
      </x:c>
      <x:c r="H111" t="n">
        <x:f>--AND(H$3&gt;=EDATE($B$109,-'Вводные'!$E$91),H$3&lt;$B$110,'Вводные'!$B$91="Да")</x:f>
      </x:c>
      <x:c r="I111" t="n">
        <x:f>--AND(I$3&gt;=EDATE($B$109,-'Вводные'!$E$91),I$3&lt;$B$110,'Вводные'!$B$91="Да")</x:f>
      </x:c>
      <x:c r="J111" t="n">
        <x:f>--AND(J$3&gt;=EDATE($B$109,-'Вводные'!$E$91),J$3&lt;$B$110,'Вводные'!$B$91="Да")</x:f>
      </x:c>
      <x:c r="K111" t="n">
        <x:f>--AND(K$3&gt;=EDATE($B$109,-'Вводные'!$E$91),K$3&lt;$B$110,'Вводные'!$B$91="Да")</x:f>
      </x:c>
      <x:c r="L111" t="n">
        <x:f>--AND(L$3&gt;=EDATE($B$109,-'Вводные'!$E$91),L$3&lt;$B$110,'Вводные'!$B$91="Да")</x:f>
      </x:c>
      <x:c r="M111" t="n">
        <x:f>--AND(M$3&gt;=EDATE($B$109,-'Вводные'!$E$91),M$3&lt;$B$110,'Вводные'!$B$91="Да")</x:f>
      </x:c>
      <x:c r="N111" t="n">
        <x:f>--AND(N$3&gt;=EDATE($B$109,-'Вводные'!$E$91),N$3&lt;$B$110,'Вводные'!$B$91="Да")</x:f>
      </x:c>
      <x:c r="O111" t="n">
        <x:f>--AND(O$3&gt;=EDATE($B$109,-'Вводные'!$E$91),O$3&lt;$B$110,'Вводные'!$B$91="Да")</x:f>
      </x:c>
      <x:c r="P111" t="n">
        <x:f>--AND(P$3&gt;=EDATE($B$109,-'Вводные'!$E$91),P$3&lt;$B$110,'Вводные'!$B$91="Да")</x:f>
      </x:c>
      <x:c r="Q111" t="n">
        <x:f>--AND(Q$3&gt;=EDATE($B$109,-'Вводные'!$E$91),Q$3&lt;$B$110,'Вводные'!$B$91="Да")</x:f>
      </x:c>
      <x:c r="R111" t="n">
        <x:f>--AND(R$3&gt;=EDATE($B$109,-'Вводные'!$E$91),R$3&lt;$B$110,'Вводные'!$B$91="Да")</x:f>
      </x:c>
      <x:c r="S111" t="n">
        <x:f>--AND(S$3&gt;=EDATE($B$109,-'Вводные'!$E$91),S$3&lt;$B$110,'Вводные'!$B$91="Да")</x:f>
      </x:c>
      <x:c r="T111" t="n">
        <x:f>--AND(T$3&gt;=EDATE($B$109,-'Вводные'!$E$91),T$3&lt;$B$110,'Вводные'!$B$91="Да")</x:f>
      </x:c>
      <x:c r="U111" t="n">
        <x:f>--AND(U$3&gt;=EDATE($B$109,-'Вводные'!$E$91),U$3&lt;$B$110,'Вводные'!$B$91="Да")</x:f>
      </x:c>
      <x:c r="V111" t="n">
        <x:f>--AND(V$3&gt;=EDATE($B$109,-'Вводные'!$E$91),V$3&lt;$B$110,'Вводные'!$B$91="Да")</x:f>
      </x:c>
      <x:c r="W111" t="n">
        <x:f>--AND(W$3&gt;=EDATE($B$109,-'Вводные'!$E$91),W$3&lt;$B$110,'Вводные'!$B$91="Да")</x:f>
      </x:c>
      <x:c r="X111" t="n">
        <x:f>--AND(X$3&gt;=EDATE($B$109,-'Вводные'!$E$91),X$3&lt;$B$110,'Вводные'!$B$91="Да")</x:f>
      </x:c>
      <x:c r="Y111" t="n">
        <x:f>--AND(Y$3&gt;=EDATE($B$109,-'Вводные'!$E$91),Y$3&lt;$B$110,'Вводные'!$B$91="Да")</x:f>
      </x:c>
      <x:c r="Z111" t="n">
        <x:f>--AND(Z$3&gt;=EDATE($B$109,-'Вводные'!$E$91),Z$3&lt;$B$110,'Вводные'!$B$91="Да")</x:f>
      </x:c>
      <x:c r="AA111" t="n">
        <x:f>--AND(AA$3&gt;=EDATE($B$109,-'Вводные'!$E$91),AA$3&lt;$B$110,'Вводные'!$B$91="Да")</x:f>
      </x:c>
      <x:c r="AB111" t="n">
        <x:f>--AND(AB$3&gt;=EDATE($B$109,-'Вводные'!$E$91),AB$3&lt;$B$110,'Вводные'!$B$91="Да")</x:f>
      </x:c>
      <x:c r="AC111" t="n">
        <x:f>--AND(AC$3&gt;=EDATE($B$109,-'Вводные'!$E$91),AC$3&lt;$B$110,'Вводные'!$B$91="Да")</x:f>
      </x:c>
      <x:c r="AD111" t="n">
        <x:f>--AND(AD$3&gt;=EDATE($B$109,-'Вводные'!$E$91),AD$3&lt;$B$110,'Вводные'!$B$91="Да")</x:f>
      </x:c>
      <x:c r="AE111" t="n">
        <x:f>--AND(AE$3&gt;=EDATE($B$109,-'Вводные'!$E$91),AE$3&lt;$B$110,'Вводные'!$B$91="Да")</x:f>
      </x:c>
      <x:c r="AF111" t="n">
        <x:f>--AND(AF$3&gt;=EDATE($B$109,-'Вводные'!$E$91),AF$3&lt;$B$110,'Вводные'!$B$91="Да")</x:f>
      </x:c>
      <x:c r="AG111" t="n">
        <x:f>--AND(AG$3&gt;=EDATE($B$109,-'Вводные'!$E$91),AG$3&lt;$B$110,'Вводные'!$B$91="Да")</x:f>
      </x:c>
      <x:c r="AH111" t="n">
        <x:f>--AND(AH$3&gt;=EDATE($B$109,-'Вводные'!$E$91),AH$3&lt;$B$110,'Вводные'!$B$91="Да")</x:f>
      </x:c>
      <x:c r="AI111" t="n">
        <x:f>--AND(AI$3&gt;=EDATE($B$109,-'Вводные'!$E$91),AI$3&lt;$B$110,'Вводные'!$B$91="Да")</x:f>
      </x:c>
      <x:c r="AJ111" t="n">
        <x:f>--AND(AJ$3&gt;=EDATE($B$109,-'Вводные'!$E$91),AJ$3&lt;$B$110,'Вводные'!$B$91="Да")</x:f>
      </x:c>
      <x:c r="AK111" t="n">
        <x:f>--AND(AK$3&gt;=EDATE($B$109,-'Вводные'!$E$91),AK$3&lt;$B$110,'Вводные'!$B$91="Да")</x:f>
      </x:c>
      <x:c r="AL111" t="n">
        <x:f>--AND(AL$3&gt;=EDATE($B$109,-'Вводные'!$E$91),AL$3&lt;$B$110,'Вводные'!$B$91="Да")</x:f>
      </x:c>
      <x:c r="AM111" t="n">
        <x:f>--AND(AM$3&gt;=EDATE($B$109,-'Вводные'!$E$91),AM$3&lt;$B$110,'Вводные'!$B$91="Да")</x:f>
      </x:c>
      <x:c r="AN111" t="n">
        <x:f>--AND(AN$3&gt;=EDATE($B$109,-'Вводные'!$E$91),AN$3&lt;$B$110,'Вводные'!$B$91="Да")</x:f>
      </x:c>
      <x:c r="AO111" t="n">
        <x:f>--AND(AO$3&gt;=EDATE($B$109,-'Вводные'!$E$91),AO$3&lt;$B$110,'Вводные'!$B$91="Да")</x:f>
      </x:c>
      <x:c r="AP111" t="n">
        <x:f>--AND(AP$3&gt;=EDATE($B$109,-'Вводные'!$E$91),AP$3&lt;$B$110,'Вводные'!$B$91="Да")</x:f>
      </x:c>
      <x:c r="AQ111" t="n">
        <x:f>--AND(AQ$3&gt;=EDATE($B$109,-'Вводные'!$E$91),AQ$3&lt;$B$110,'Вводные'!$B$91="Да")</x:f>
      </x:c>
      <x:c r="AR111" t="n">
        <x:f>--AND(AR$3&gt;=EDATE($B$109,-'Вводные'!$E$91),AR$3&lt;$B$110,'Вводные'!$B$91="Да")</x:f>
      </x:c>
      <x:c r="AS111" t="n">
        <x:f>--AND(AS$3&gt;=EDATE($B$109,-'Вводные'!$E$91),AS$3&lt;$B$110,'Вводные'!$B$91="Да")</x:f>
      </x:c>
      <x:c r="AT111" t="n">
        <x:f>--AND(AT$3&gt;=EDATE($B$109,-'Вводные'!$E$91),AT$3&lt;$B$110,'Вводные'!$B$91="Да")</x:f>
      </x:c>
      <x:c r="AU111" t="n">
        <x:f>--AND(AU$3&gt;=EDATE($B$109,-'Вводные'!$E$91),AU$3&lt;$B$110,'Вводные'!$B$91="Да")</x:f>
      </x:c>
      <x:c r="AV111" t="n">
        <x:f>--AND(AV$3&gt;=EDATE($B$109,-'Вводные'!$E$91),AV$3&lt;$B$110,'Вводные'!$B$91="Да")</x:f>
      </x:c>
      <x:c r="AW111" t="n">
        <x:f>--AND(AW$3&gt;=EDATE($B$109,-'Вводные'!$E$91),AW$3&lt;$B$110,'Вводные'!$B$91="Да")</x:f>
      </x:c>
      <x:c r="AX111" t="n">
        <x:f>--AND(AX$3&gt;=EDATE($B$109,-'Вводные'!$E$91),AX$3&lt;$B$110,'Вводные'!$B$91="Да")</x:f>
      </x:c>
      <x:c r="AY111" t="n">
        <x:f>--AND(AY$3&gt;=EDATE($B$109,-'Вводные'!$E$91),AY$3&lt;$B$110,'Вводные'!$B$91="Да")</x:f>
      </x:c>
      <x:c r="AZ111" t="n">
        <x:f>--AND(AZ$3&gt;=EDATE($B$109,-'Вводные'!$E$91),AZ$3&lt;$B$110,'Вводные'!$B$91="Да")</x:f>
      </x:c>
      <x:c r="BA111" t="n">
        <x:f>--AND(BA$3&gt;=EDATE($B$109,-'Вводные'!$E$91),BA$3&lt;$B$110,'Вводные'!$B$91="Да")</x:f>
      </x:c>
      <x:c r="BB111" t="n">
        <x:f>--AND(BB$3&gt;=EDATE($B$109,-'Вводные'!$E$91),BB$3&lt;$B$110,'Вводные'!$B$91="Да")</x:f>
      </x:c>
      <x:c r="BC111" t="n">
        <x:f>--AND(BC$3&gt;=EDATE($B$109,-'Вводные'!$E$91),BC$3&lt;$B$110,'Вводные'!$B$91="Да")</x:f>
      </x:c>
      <x:c r="BD111" t="n">
        <x:f>--AND(BD$3&gt;=EDATE($B$109,-'Вводные'!$E$91),BD$3&lt;$B$110,'Вводные'!$B$91="Да")</x:f>
      </x:c>
      <x:c r="BE111" t="n">
        <x:f>--AND(BE$3&gt;=EDATE($B$109,-'Вводные'!$E$91),BE$3&lt;$B$110,'Вводные'!$B$91="Да")</x:f>
      </x:c>
      <x:c r="BF111" t="n">
        <x:f>--AND(BF$3&gt;=EDATE($B$109,-'Вводные'!$E$91),BF$3&lt;$B$110,'Вводные'!$B$91="Да")</x:f>
      </x:c>
      <x:c r="BG111" t="n">
        <x:f>--AND(BG$3&gt;=EDATE($B$109,-'Вводные'!$E$91),BG$3&lt;$B$110,'Вводные'!$B$91="Да")</x:f>
      </x:c>
      <x:c r="BH111" t="n">
        <x:f>--AND(BH$3&gt;=EDATE($B$109,-'Вводные'!$E$91),BH$3&lt;$B$110,'Вводные'!$B$91="Да")</x:f>
      </x:c>
      <x:c r="BI111" t="n">
        <x:f>--AND(BI$3&gt;=EDATE($B$109,-'Вводные'!$E$91),BI$3&lt;$B$110,'Вводные'!$B$91="Да")</x:f>
      </x:c>
      <x:c r="BJ111" t="n">
        <x:f>--AND(BJ$3&gt;=EDATE($B$109,-'Вводные'!$E$91),BJ$3&lt;$B$110,'Вводные'!$B$91="Да")</x:f>
      </x:c>
      <x:c r="BK111" t="n">
        <x:f>--AND(BK$3&gt;=EDATE($B$109,-'Вводные'!$E$91),BK$3&lt;$B$110,'Вводные'!$B$91="Да")</x:f>
      </x:c>
      <x:c r="BL111" t="n">
        <x:f>--AND(BL$3&gt;=EDATE($B$109,-'Вводные'!$E$91),BL$3&lt;$B$110,'Вводные'!$B$91="Да")</x:f>
      </x:c>
      <x:c r="BM111" t="n">
        <x:f>--AND(BM$3&gt;=EDATE($B$109,-'Вводные'!$E$91),BM$3&lt;$B$110,'Вводные'!$B$91="Да")</x:f>
      </x:c>
      <x:c r="BN111" t="n">
        <x:f>--AND(BN$3&gt;=EDATE($B$109,-'Вводные'!$E$91),BN$3&lt;$B$110,'Вводные'!$B$91="Да")</x:f>
      </x:c>
      <x:c r="BO111" t="n">
        <x:f>--AND(BO$3&gt;=EDATE($B$109,-'Вводные'!$E$91),BO$3&lt;$B$110,'Вводные'!$B$91="Да")</x:f>
      </x:c>
      <x:c r="BP111" t="n">
        <x:f>--AND(BP$3&gt;=EDATE($B$109,-'Вводные'!$E$91),BP$3&lt;$B$110,'Вводные'!$B$91="Да")</x:f>
      </x:c>
      <x:c r="BQ111" t="n">
        <x:f>--AND(BQ$3&gt;=EDATE($B$109,-'Вводные'!$E$91),BQ$3&lt;$B$110,'Вводные'!$B$91="Да")</x:f>
      </x:c>
      <x:c r="BR111" t="n">
        <x:f>--AND(BR$3&gt;=EDATE($B$109,-'Вводные'!$E$91),BR$3&lt;$B$110,'Вводные'!$B$91="Да")</x:f>
      </x:c>
      <x:c r="BS111" t="n">
        <x:f>--AND(BS$3&gt;=EDATE($B$109,-'Вводные'!$E$91),BS$3&lt;$B$110,'Вводные'!$B$91="Да")</x:f>
      </x:c>
      <x:c r="BT111" t="n">
        <x:f>--AND(BT$3&gt;=EDATE($B$109,-'Вводные'!$E$91),BT$3&lt;$B$110,'Вводные'!$B$91="Да")</x:f>
      </x:c>
      <x:c r="BU111" t="n">
        <x:f>--AND(BU$3&gt;=EDATE($B$109,-'Вводные'!$E$91),BU$3&lt;$B$110,'Вводные'!$B$91="Да")</x:f>
      </x:c>
      <x:c r="BV111" t="n">
        <x:f>--AND(BV$3&gt;=EDATE($B$109,-'Вводные'!$E$91),BV$3&lt;$B$110,'Вводные'!$B$91="Да")</x:f>
      </x:c>
      <x:c r="BW111" t="n">
        <x:f>--AND(BW$3&gt;=EDATE($B$109,-'Вводные'!$E$91),BW$3&lt;$B$110,'Вводные'!$B$91="Да")</x:f>
      </x:c>
      <x:c r="BX111" t="n">
        <x:f>--AND(BX$3&gt;=EDATE($B$109,-'Вводные'!$E$91),BX$3&lt;$B$110,'Вводные'!$B$91="Да")</x:f>
      </x:c>
      <x:c r="BY111" t="n">
        <x:f>--AND(BY$3&gt;=EDATE($B$109,-'Вводные'!$E$91),BY$3&lt;$B$110,'Вводные'!$B$91="Да")</x:f>
      </x:c>
      <x:c r="BZ111" t="n">
        <x:f>--AND(BZ$3&gt;=EDATE($B$109,-'Вводные'!$E$91),BZ$3&lt;$B$110,'Вводные'!$B$91="Да")</x:f>
      </x:c>
      <x:c r="CA111" t="n">
        <x:f>--AND(CA$3&gt;=EDATE($B$109,-'Вводные'!$E$91),CA$3&lt;$B$110,'Вводные'!$B$91="Да")</x:f>
      </x:c>
      <x:c r="CB111" t="n">
        <x:f>--AND(CB$3&gt;=EDATE($B$109,-'Вводные'!$E$91),CB$3&lt;$B$110,'Вводные'!$B$91="Да")</x:f>
      </x:c>
      <x:c r="CC111" t="n">
        <x:f>--AND(CC$3&gt;=EDATE($B$109,-'Вводные'!$E$91),CC$3&lt;$B$110,'Вводные'!$B$91="Да")</x:f>
      </x:c>
      <x:c r="CD111" t="n">
        <x:f>--AND(CD$3&gt;=EDATE($B$109,-'Вводные'!$E$91),CD$3&lt;$B$110,'Вводные'!$B$91="Да")</x:f>
      </x:c>
      <x:c r="CE111" t="n">
        <x:f>--AND(CE$3&gt;=EDATE($B$109,-'Вводные'!$E$91),CE$3&lt;$B$110,'Вводные'!$B$91="Да")</x:f>
      </x:c>
      <x:c r="CF111" t="n">
        <x:f>--AND(CF$3&gt;=EDATE($B$109,-'Вводные'!$E$91),CF$3&lt;$B$110,'Вводные'!$B$91="Да")</x:f>
      </x:c>
      <x:c r="CG111" t="n">
        <x:f>--AND(CG$3&gt;=EDATE($B$109,-'Вводные'!$E$91),CG$3&lt;$B$110,'Вводные'!$B$91="Да")</x:f>
      </x:c>
      <x:c r="CH111" t="n">
        <x:f>--AND(CH$3&gt;=EDATE($B$109,-'Вводные'!$E$91),CH$3&lt;$B$110,'Вводные'!$B$91="Да")</x:f>
      </x:c>
      <x:c r="CI111" t="n">
        <x:f>--AND(CI$3&gt;=EDATE($B$109,-'Вводные'!$E$91),CI$3&lt;$B$110,'Вводные'!$B$91="Да")</x:f>
      </x:c>
      <x:c r="CJ111" t="n">
        <x:f>--AND(CJ$3&gt;=EDATE($B$109,-'Вводные'!$E$91),CJ$3&lt;$B$110,'Вводные'!$B$91="Да")</x:f>
      </x:c>
      <x:c r="CK111" t="n">
        <x:f>--AND(CK$3&gt;=EDATE($B$109,-'Вводные'!$E$91),CK$3&lt;$B$110,'Вводные'!$B$91="Да")</x:f>
      </x:c>
      <x:c r="CL111" t="n">
        <x:f>--AND(CL$3&gt;=EDATE($B$109,-'Вводные'!$E$91),CL$3&lt;$B$110,'Вводные'!$B$91="Да")</x:f>
      </x:c>
      <x:c r="CM111" t="n">
        <x:f>--AND(CM$3&gt;=EDATE($B$109,-'Вводные'!$E$91),CM$3&lt;$B$110,'Вводные'!$B$91="Да")</x:f>
      </x:c>
      <x:c r="CN111" t="n">
        <x:f>--AND(CN$3&gt;=EDATE($B$109,-'Вводные'!$E$91),CN$3&lt;$B$110,'Вводные'!$B$91="Да")</x:f>
      </x:c>
      <x:c r="CO111" t="n">
        <x:f>--AND(CO$3&gt;=EDATE($B$109,-'Вводные'!$E$91),CO$3&lt;$B$110,'Вводные'!$B$91="Да")</x:f>
      </x:c>
      <x:c r="CP111" t="n">
        <x:f>--AND(CP$3&gt;=EDATE($B$109,-'Вводные'!$E$91),CP$3&lt;$B$110,'Вводные'!$B$91="Да")</x:f>
      </x:c>
      <x:c r="CQ111" t="n">
        <x:f>--AND(CQ$3&gt;=EDATE($B$109,-'Вводные'!$E$91),CQ$3&lt;$B$110,'Вводные'!$B$91="Да")</x:f>
      </x:c>
      <x:c r="CR111" t="n">
        <x:f>--AND(CR$3&gt;=EDATE($B$109,-'Вводные'!$E$91),CR$3&lt;$B$110,'Вводные'!$B$91="Да")</x:f>
      </x:c>
      <x:c r="CS111" t="n">
        <x:f>--AND(CS$3&gt;=EDATE($B$109,-'Вводные'!$E$91),CS$3&lt;$B$110,'Вводные'!$B$91="Да")</x:f>
      </x:c>
      <x:c r="CT111" t="n">
        <x:f>--AND(CT$3&gt;=EDATE($B$109,-'Вводные'!$E$91),CT$3&lt;$B$110,'Вводные'!$B$91="Да")</x:f>
      </x:c>
      <x:c r="CU111" t="n">
        <x:f>--AND(CU$3&gt;=EDATE($B$109,-'Вводные'!$E$91),CU$3&lt;$B$110,'Вводные'!$B$91="Да")</x:f>
      </x:c>
      <x:c r="CV111" t="n">
        <x:f>--AND(CV$3&gt;=EDATE($B$109,-'Вводные'!$E$91),CV$3&lt;$B$110,'Вводные'!$B$91="Да")</x:f>
      </x:c>
      <x:c r="CW111" t="n">
        <x:f>--AND(CW$3&gt;=EDATE($B$109,-'Вводные'!$E$91),CW$3&lt;$B$110,'Вводные'!$B$91="Да")</x:f>
      </x:c>
      <x:c r="CX111" t="n">
        <x:f>--AND(CX$3&gt;=EDATE($B$109,-'Вводные'!$E$91),CX$3&lt;$B$110,'Вводные'!$B$91="Да")</x:f>
      </x:c>
      <x:c r="CY111" t="n">
        <x:f>--AND(CY$3&gt;=EDATE($B$109,-'Вводные'!$E$91),CY$3&lt;$B$110,'Вводные'!$B$91="Да")</x:f>
      </x:c>
      <x:c r="CZ111" t="n">
        <x:f>--AND(CZ$3&gt;=EDATE($B$109,-'Вводные'!$E$91),CZ$3&lt;$B$110,'Вводные'!$B$91="Да")</x:f>
      </x:c>
      <x:c r="DA111" t="n">
        <x:f>--AND(DA$3&gt;=EDATE($B$109,-'Вводные'!$E$91),DA$3&lt;$B$110,'Вводные'!$B$91="Да")</x:f>
      </x:c>
      <x:c r="DB111" t="n">
        <x:f>--AND(DB$3&gt;=EDATE($B$109,-'Вводные'!$E$91),DB$3&lt;$B$110,'Вводные'!$B$91="Да")</x:f>
      </x:c>
      <x:c r="DC111" t="n">
        <x:f>--AND(DC$3&gt;=EDATE($B$109,-'Вводные'!$E$91),DC$3&lt;$B$110,'Вводные'!$B$91="Да")</x:f>
      </x:c>
      <x:c r="DD111" t="n">
        <x:f>--AND(DD$3&gt;=EDATE($B$109,-'Вводные'!$E$91),DD$3&lt;$B$110,'Вводные'!$B$91="Да")</x:f>
      </x:c>
      <x:c r="DE111" t="n">
        <x:f>--AND(DE$3&gt;=EDATE($B$109,-'Вводные'!$E$91),DE$3&lt;$B$110,'Вводные'!$B$91="Да")</x:f>
      </x:c>
      <x:c r="DF111" t="n">
        <x:f>--AND(DF$3&gt;=EDATE($B$109,-'Вводные'!$E$91),DF$3&lt;$B$110,'Вводные'!$B$91="Да")</x:f>
      </x:c>
      <x:c r="DG111" t="n">
        <x:f>--AND(DG$3&gt;=EDATE($B$109,-'Вводные'!$E$91),DG$3&lt;$B$110,'Вводные'!$B$91="Да")</x:f>
      </x:c>
      <x:c r="DH111" t="n">
        <x:f>--AND(DH$3&gt;=EDATE($B$109,-'Вводные'!$E$91),DH$3&lt;$B$110,'Вводные'!$B$91="Да")</x:f>
      </x:c>
      <x:c r="DI111" t="n">
        <x:f>--AND(DI$3&gt;=EDATE($B$109,-'Вводные'!$E$91),DI$3&lt;$B$110,'Вводные'!$B$91="Да")</x:f>
      </x:c>
      <x:c r="DJ111" t="n">
        <x:f>--AND(DJ$3&gt;=EDATE($B$109,-'Вводные'!$E$91),DJ$3&lt;$B$110,'Вводные'!$B$91="Да")</x:f>
      </x:c>
      <x:c r="DK111" t="n">
        <x:f>--AND(DK$3&gt;=EDATE($B$109,-'Вводные'!$E$91),DK$3&lt;$B$110,'Вводные'!$B$91="Да")</x:f>
      </x:c>
      <x:c r="DL111" t="n">
        <x:f>--AND(DL$3&gt;=EDATE($B$109,-'Вводные'!$E$91),DL$3&lt;$B$110,'Вводные'!$B$91="Да")</x:f>
      </x:c>
      <x:c r="DM111" t="n">
        <x:f>--AND(DM$3&gt;=EDATE($B$109,-'Вводные'!$E$91),DM$3&lt;$B$110,'Вводные'!$B$91="Да")</x:f>
      </x:c>
      <x:c r="DN111" t="n">
        <x:f>--AND(DN$3&gt;=EDATE($B$109,-'Вводные'!$E$91),DN$3&lt;$B$110,'Вводные'!$B$91="Да")</x:f>
      </x:c>
      <x:c r="DO111" t="n">
        <x:f>--AND(DO$3&gt;=EDATE($B$109,-'Вводные'!$E$91),DO$3&lt;$B$110,'Вводные'!$B$91="Да")</x:f>
      </x:c>
      <x:c r="DP111" t="n">
        <x:f>--AND(DP$3&gt;=EDATE($B$109,-'Вводные'!$E$91),DP$3&lt;$B$110,'Вводные'!$B$91="Да")</x:f>
      </x:c>
      <x:c r="DQ111" t="n">
        <x:f>--AND(DQ$3&gt;=EDATE($B$109,-'Вводные'!$E$91),DQ$3&lt;$B$110,'Вводные'!$B$91="Да")</x:f>
      </x:c>
      <x:c r="DR111" t="n">
        <x:f>--AND(DR$3&gt;=EDATE($B$109,-'Вводные'!$E$91),DR$3&lt;$B$110,'Вводные'!$B$91="Да")</x:f>
      </x:c>
      <x:c r="DS111" t="n">
        <x:f>--AND(DS$3&gt;=EDATE($B$109,-'Вводные'!$E$91),DS$3&lt;$B$110,'Вводные'!$B$91="Да")</x:f>
      </x:c>
    </x:row>
    <x:row r="112">
      <x:c r="A112" t="str">
        <x:v>Нормированный вес проекта</x:v>
      </x:c>
      <x:c r="B112"/>
      <x:c r="C112" t="str">
        <x:v>%</x:v>
      </x:c>
      <x:c r="D112" s="35" t="n">
        <x:f>IFERROR(D111/SUM($D111:$DS111),0)</x:f>
      </x:c>
      <x:c r="E112" s="35" t="n">
        <x:f>IFERROR(E111/SUM($D111:$DS111),0)</x:f>
      </x:c>
      <x:c r="F112" s="35" t="n">
        <x:f>IFERROR(F111/SUM($D111:$DS111),0)</x:f>
      </x:c>
      <x:c r="G112" s="35" t="n">
        <x:f>IFERROR(G111/SUM($D111:$DS111),0)</x:f>
      </x:c>
      <x:c r="H112" s="35" t="n">
        <x:f>IFERROR(H111/SUM($D111:$DS111),0)</x:f>
      </x:c>
      <x:c r="I112" s="35" t="n">
        <x:f>IFERROR(I111/SUM($D111:$DS111),0)</x:f>
      </x:c>
      <x:c r="J112" s="35" t="n">
        <x:f>IFERROR(J111/SUM($D111:$DS111),0)</x:f>
      </x:c>
      <x:c r="K112" s="35" t="n">
        <x:f>IFERROR(K111/SUM($D111:$DS111),0)</x:f>
      </x:c>
      <x:c r="L112" s="35" t="n">
        <x:f>IFERROR(L111/SUM($D111:$DS111),0)</x:f>
      </x:c>
      <x:c r="M112" s="35" t="n">
        <x:f>IFERROR(M111/SUM($D111:$DS111),0)</x:f>
      </x:c>
      <x:c r="N112" s="35" t="n">
        <x:f>IFERROR(N111/SUM($D111:$DS111),0)</x:f>
      </x:c>
      <x:c r="O112" s="35" t="n">
        <x:f>IFERROR(O111/SUM($D111:$DS111),0)</x:f>
      </x:c>
      <x:c r="P112" s="35" t="n">
        <x:f>IFERROR(P111/SUM($D111:$DS111),0)</x:f>
      </x:c>
      <x:c r="Q112" s="35" t="n">
        <x:f>IFERROR(Q111/SUM($D111:$DS111),0)</x:f>
      </x:c>
      <x:c r="R112" s="35" t="n">
        <x:f>IFERROR(R111/SUM($D111:$DS111),0)</x:f>
      </x:c>
      <x:c r="S112" s="35" t="n">
        <x:f>IFERROR(S111/SUM($D111:$DS111),0)</x:f>
      </x:c>
      <x:c r="T112" s="35" t="n">
        <x:f>IFERROR(T111/SUM($D111:$DS111),0)</x:f>
      </x:c>
      <x:c r="U112" s="35" t="n">
        <x:f>IFERROR(U111/SUM($D111:$DS111),0)</x:f>
      </x:c>
      <x:c r="V112" s="35" t="n">
        <x:f>IFERROR(V111/SUM($D111:$DS111),0)</x:f>
      </x:c>
      <x:c r="W112" s="35" t="n">
        <x:f>IFERROR(W111/SUM($D111:$DS111),0)</x:f>
      </x:c>
      <x:c r="X112" s="35" t="n">
        <x:f>IFERROR(X111/SUM($D111:$DS111),0)</x:f>
      </x:c>
      <x:c r="Y112" s="35" t="n">
        <x:f>IFERROR(Y111/SUM($D111:$DS111),0)</x:f>
      </x:c>
      <x:c r="Z112" s="35" t="n">
        <x:f>IFERROR(Z111/SUM($D111:$DS111),0)</x:f>
      </x:c>
      <x:c r="AA112" s="35" t="n">
        <x:f>IFERROR(AA111/SUM($D111:$DS111),0)</x:f>
      </x:c>
      <x:c r="AB112" s="35" t="n">
        <x:f>IFERROR(AB111/SUM($D111:$DS111),0)</x:f>
      </x:c>
      <x:c r="AC112" s="35" t="n">
        <x:f>IFERROR(AC111/SUM($D111:$DS111),0)</x:f>
      </x:c>
      <x:c r="AD112" s="35" t="n">
        <x:f>IFERROR(AD111/SUM($D111:$DS111),0)</x:f>
      </x:c>
      <x:c r="AE112" s="35" t="n">
        <x:f>IFERROR(AE111/SUM($D111:$DS111),0)</x:f>
      </x:c>
      <x:c r="AF112" s="35" t="n">
        <x:f>IFERROR(AF111/SUM($D111:$DS111),0)</x:f>
      </x:c>
      <x:c r="AG112" s="35" t="n">
        <x:f>IFERROR(AG111/SUM($D111:$DS111),0)</x:f>
      </x:c>
      <x:c r="AH112" s="35" t="n">
        <x:f>IFERROR(AH111/SUM($D111:$DS111),0)</x:f>
      </x:c>
      <x:c r="AI112" s="35" t="n">
        <x:f>IFERROR(AI111/SUM($D111:$DS111),0)</x:f>
      </x:c>
      <x:c r="AJ112" s="35" t="n">
        <x:f>IFERROR(AJ111/SUM($D111:$DS111),0)</x:f>
      </x:c>
      <x:c r="AK112" s="35" t="n">
        <x:f>IFERROR(AK111/SUM($D111:$DS111),0)</x:f>
      </x:c>
      <x:c r="AL112" s="35" t="n">
        <x:f>IFERROR(AL111/SUM($D111:$DS111),0)</x:f>
      </x:c>
      <x:c r="AM112" s="35" t="n">
        <x:f>IFERROR(AM111/SUM($D111:$DS111),0)</x:f>
      </x:c>
      <x:c r="AN112" s="35" t="n">
        <x:f>IFERROR(AN111/SUM($D111:$DS111),0)</x:f>
      </x:c>
      <x:c r="AO112" s="35" t="n">
        <x:f>IFERROR(AO111/SUM($D111:$DS111),0)</x:f>
      </x:c>
      <x:c r="AP112" s="35" t="n">
        <x:f>IFERROR(AP111/SUM($D111:$DS111),0)</x:f>
      </x:c>
      <x:c r="AQ112" s="35" t="n">
        <x:f>IFERROR(AQ111/SUM($D111:$DS111),0)</x:f>
      </x:c>
      <x:c r="AR112" s="35" t="n">
        <x:f>IFERROR(AR111/SUM($D111:$DS111),0)</x:f>
      </x:c>
      <x:c r="AS112" s="35" t="n">
        <x:f>IFERROR(AS111/SUM($D111:$DS111),0)</x:f>
      </x:c>
      <x:c r="AT112" s="35" t="n">
        <x:f>IFERROR(AT111/SUM($D111:$DS111),0)</x:f>
      </x:c>
      <x:c r="AU112" s="35" t="n">
        <x:f>IFERROR(AU111/SUM($D111:$DS111),0)</x:f>
      </x:c>
      <x:c r="AV112" s="35" t="n">
        <x:f>IFERROR(AV111/SUM($D111:$DS111),0)</x:f>
      </x:c>
      <x:c r="AW112" s="35" t="n">
        <x:f>IFERROR(AW111/SUM($D111:$DS111),0)</x:f>
      </x:c>
      <x:c r="AX112" s="35" t="n">
        <x:f>IFERROR(AX111/SUM($D111:$DS111),0)</x:f>
      </x:c>
      <x:c r="AY112" s="35" t="n">
        <x:f>IFERROR(AY111/SUM($D111:$DS111),0)</x:f>
      </x:c>
      <x:c r="AZ112" s="35" t="n">
        <x:f>IFERROR(AZ111/SUM($D111:$DS111),0)</x:f>
      </x:c>
      <x:c r="BA112" s="35" t="n">
        <x:f>IFERROR(BA111/SUM($D111:$DS111),0)</x:f>
      </x:c>
      <x:c r="BB112" s="35" t="n">
        <x:f>IFERROR(BB111/SUM($D111:$DS111),0)</x:f>
      </x:c>
      <x:c r="BC112" s="35" t="n">
        <x:f>IFERROR(BC111/SUM($D111:$DS111),0)</x:f>
      </x:c>
      <x:c r="BD112" s="35" t="n">
        <x:f>IFERROR(BD111/SUM($D111:$DS111),0)</x:f>
      </x:c>
      <x:c r="BE112" s="35" t="n">
        <x:f>IFERROR(BE111/SUM($D111:$DS111),0)</x:f>
      </x:c>
      <x:c r="BF112" s="35" t="n">
        <x:f>IFERROR(BF111/SUM($D111:$DS111),0)</x:f>
      </x:c>
      <x:c r="BG112" s="35" t="n">
        <x:f>IFERROR(BG111/SUM($D111:$DS111),0)</x:f>
      </x:c>
      <x:c r="BH112" s="35" t="n">
        <x:f>IFERROR(BH111/SUM($D111:$DS111),0)</x:f>
      </x:c>
      <x:c r="BI112" s="35" t="n">
        <x:f>IFERROR(BI111/SUM($D111:$DS111),0)</x:f>
      </x:c>
      <x:c r="BJ112" s="35" t="n">
        <x:f>IFERROR(BJ111/SUM($D111:$DS111),0)</x:f>
      </x:c>
      <x:c r="BK112" s="35" t="n">
        <x:f>IFERROR(BK111/SUM($D111:$DS111),0)</x:f>
      </x:c>
      <x:c r="BL112" s="35" t="n">
        <x:f>IFERROR(BL111/SUM($D111:$DS111),0)</x:f>
      </x:c>
      <x:c r="BM112" s="35" t="n">
        <x:f>IFERROR(BM111/SUM($D111:$DS111),0)</x:f>
      </x:c>
      <x:c r="BN112" s="35" t="n">
        <x:f>IFERROR(BN111/SUM($D111:$DS111),0)</x:f>
      </x:c>
      <x:c r="BO112" s="35" t="n">
        <x:f>IFERROR(BO111/SUM($D111:$DS111),0)</x:f>
      </x:c>
      <x:c r="BP112" s="35" t="n">
        <x:f>IFERROR(BP111/SUM($D111:$DS111),0)</x:f>
      </x:c>
      <x:c r="BQ112" s="35" t="n">
        <x:f>IFERROR(BQ111/SUM($D111:$DS111),0)</x:f>
      </x:c>
      <x:c r="BR112" s="35" t="n">
        <x:f>IFERROR(BR111/SUM($D111:$DS111),0)</x:f>
      </x:c>
      <x:c r="BS112" s="35" t="n">
        <x:f>IFERROR(BS111/SUM($D111:$DS111),0)</x:f>
      </x:c>
      <x:c r="BT112" s="35" t="n">
        <x:f>IFERROR(BT111/SUM($D111:$DS111),0)</x:f>
      </x:c>
      <x:c r="BU112" s="35" t="n">
        <x:f>IFERROR(BU111/SUM($D111:$DS111),0)</x:f>
      </x:c>
      <x:c r="BV112" s="35" t="n">
        <x:f>IFERROR(BV111/SUM($D111:$DS111),0)</x:f>
      </x:c>
      <x:c r="BW112" s="35" t="n">
        <x:f>IFERROR(BW111/SUM($D111:$DS111),0)</x:f>
      </x:c>
      <x:c r="BX112" s="35" t="n">
        <x:f>IFERROR(BX111/SUM($D111:$DS111),0)</x:f>
      </x:c>
      <x:c r="BY112" s="35" t="n">
        <x:f>IFERROR(BY111/SUM($D111:$DS111),0)</x:f>
      </x:c>
      <x:c r="BZ112" s="35" t="n">
        <x:f>IFERROR(BZ111/SUM($D111:$DS111),0)</x:f>
      </x:c>
      <x:c r="CA112" s="35" t="n">
        <x:f>IFERROR(CA111/SUM($D111:$DS111),0)</x:f>
      </x:c>
      <x:c r="CB112" s="35" t="n">
        <x:f>IFERROR(CB111/SUM($D111:$DS111),0)</x:f>
      </x:c>
      <x:c r="CC112" s="35" t="n">
        <x:f>IFERROR(CC111/SUM($D111:$DS111),0)</x:f>
      </x:c>
      <x:c r="CD112" s="35" t="n">
        <x:f>IFERROR(CD111/SUM($D111:$DS111),0)</x:f>
      </x:c>
      <x:c r="CE112" s="35" t="n">
        <x:f>IFERROR(CE111/SUM($D111:$DS111),0)</x:f>
      </x:c>
      <x:c r="CF112" s="35" t="n">
        <x:f>IFERROR(CF111/SUM($D111:$DS111),0)</x:f>
      </x:c>
      <x:c r="CG112" s="35" t="n">
        <x:f>IFERROR(CG111/SUM($D111:$DS111),0)</x:f>
      </x:c>
      <x:c r="CH112" s="35" t="n">
        <x:f>IFERROR(CH111/SUM($D111:$DS111),0)</x:f>
      </x:c>
      <x:c r="CI112" s="35" t="n">
        <x:f>IFERROR(CI111/SUM($D111:$DS111),0)</x:f>
      </x:c>
      <x:c r="CJ112" s="35" t="n">
        <x:f>IFERROR(CJ111/SUM($D111:$DS111),0)</x:f>
      </x:c>
      <x:c r="CK112" s="35" t="n">
        <x:f>IFERROR(CK111/SUM($D111:$DS111),0)</x:f>
      </x:c>
      <x:c r="CL112" s="35" t="n">
        <x:f>IFERROR(CL111/SUM($D111:$DS111),0)</x:f>
      </x:c>
      <x:c r="CM112" s="35" t="n">
        <x:f>IFERROR(CM111/SUM($D111:$DS111),0)</x:f>
      </x:c>
      <x:c r="CN112" s="35" t="n">
        <x:f>IFERROR(CN111/SUM($D111:$DS111),0)</x:f>
      </x:c>
      <x:c r="CO112" s="35" t="n">
        <x:f>IFERROR(CO111/SUM($D111:$DS111),0)</x:f>
      </x:c>
      <x:c r="CP112" s="35" t="n">
        <x:f>IFERROR(CP111/SUM($D111:$DS111),0)</x:f>
      </x:c>
      <x:c r="CQ112" s="35" t="n">
        <x:f>IFERROR(CQ111/SUM($D111:$DS111),0)</x:f>
      </x:c>
      <x:c r="CR112" s="35" t="n">
        <x:f>IFERROR(CR111/SUM($D111:$DS111),0)</x:f>
      </x:c>
      <x:c r="CS112" s="35" t="n">
        <x:f>IFERROR(CS111/SUM($D111:$DS111),0)</x:f>
      </x:c>
      <x:c r="CT112" s="35" t="n">
        <x:f>IFERROR(CT111/SUM($D111:$DS111),0)</x:f>
      </x:c>
      <x:c r="CU112" s="35" t="n">
        <x:f>IFERROR(CU111/SUM($D111:$DS111),0)</x:f>
      </x:c>
      <x:c r="CV112" s="35" t="n">
        <x:f>IFERROR(CV111/SUM($D111:$DS111),0)</x:f>
      </x:c>
      <x:c r="CW112" s="35" t="n">
        <x:f>IFERROR(CW111/SUM($D111:$DS111),0)</x:f>
      </x:c>
      <x:c r="CX112" s="35" t="n">
        <x:f>IFERROR(CX111/SUM($D111:$DS111),0)</x:f>
      </x:c>
      <x:c r="CY112" s="35" t="n">
        <x:f>IFERROR(CY111/SUM($D111:$DS111),0)</x:f>
      </x:c>
      <x:c r="CZ112" s="35" t="n">
        <x:f>IFERROR(CZ111/SUM($D111:$DS111),0)</x:f>
      </x:c>
      <x:c r="DA112" s="35" t="n">
        <x:f>IFERROR(DA111/SUM($D111:$DS111),0)</x:f>
      </x:c>
      <x:c r="DB112" s="35" t="n">
        <x:f>IFERROR(DB111/SUM($D111:$DS111),0)</x:f>
      </x:c>
      <x:c r="DC112" s="35" t="n">
        <x:f>IFERROR(DC111/SUM($D111:$DS111),0)</x:f>
      </x:c>
      <x:c r="DD112" s="35" t="n">
        <x:f>IFERROR(DD111/SUM($D111:$DS111),0)</x:f>
      </x:c>
      <x:c r="DE112" s="35" t="n">
        <x:f>IFERROR(DE111/SUM($D111:$DS111),0)</x:f>
      </x:c>
      <x:c r="DF112" s="35" t="n">
        <x:f>IFERROR(DF111/SUM($D111:$DS111),0)</x:f>
      </x:c>
      <x:c r="DG112" s="35" t="n">
        <x:f>IFERROR(DG111/SUM($D111:$DS111),0)</x:f>
      </x:c>
      <x:c r="DH112" s="35" t="n">
        <x:f>IFERROR(DH111/SUM($D111:$DS111),0)</x:f>
      </x:c>
      <x:c r="DI112" s="35" t="n">
        <x:f>IFERROR(DI111/SUM($D111:$DS111),0)</x:f>
      </x:c>
      <x:c r="DJ112" s="35" t="n">
        <x:f>IFERROR(DJ111/SUM($D111:$DS111),0)</x:f>
      </x:c>
      <x:c r="DK112" s="35" t="n">
        <x:f>IFERROR(DK111/SUM($D111:$DS111),0)</x:f>
      </x:c>
      <x:c r="DL112" s="35" t="n">
        <x:f>IFERROR(DL111/SUM($D111:$DS111),0)</x:f>
      </x:c>
      <x:c r="DM112" s="35" t="n">
        <x:f>IFERROR(DM111/SUM($D111:$DS111),0)</x:f>
      </x:c>
      <x:c r="DN112" s="35" t="n">
        <x:f>IFERROR(DN111/SUM($D111:$DS111),0)</x:f>
      </x:c>
      <x:c r="DO112" s="35" t="n">
        <x:f>IFERROR(DO111/SUM($D111:$DS111),0)</x:f>
      </x:c>
      <x:c r="DP112" s="35" t="n">
        <x:f>IFERROR(DP111/SUM($D111:$DS111),0)</x:f>
      </x:c>
      <x:c r="DQ112" s="35" t="n">
        <x:f>IFERROR(DQ111/SUM($D111:$DS111),0)</x:f>
      </x:c>
      <x:c r="DR112" s="35" t="n">
        <x:f>IFERROR(DR111/SUM($D111:$DS111),0)</x:f>
      </x:c>
      <x:c r="DS112" s="35" t="n">
        <x:f>IFERROR(DS111/SUM($D111:$DS111),0)</x:f>
      </x:c>
    </x:row>
    <x:row r="113">
      <x:c r="A113" t="str">
        <x:v>Флаг строительства</x:v>
      </x:c>
      <x:c r="B113"/>
      <x:c r="C113" t="str">
        <x:v>0/1</x:v>
      </x:c>
      <x:c r="D113" s="35" t="n">
        <x:f>--AND(D$3&gt;=$B$109,D$3&lt;$B$110,'Вводные'!$B$91="Да")</x:f>
      </x:c>
      <x:c r="E113" s="35" t="n">
        <x:f>--AND(E$3&gt;=$B$109,E$3&lt;$B$110,'Вводные'!$B$91="Да")</x:f>
      </x:c>
      <x:c r="F113" s="35" t="n">
        <x:f>--AND(F$3&gt;=$B$109,F$3&lt;$B$110,'Вводные'!$B$91="Да")</x:f>
      </x:c>
      <x:c r="G113" s="35" t="n">
        <x:f>--AND(G$3&gt;=$B$109,G$3&lt;$B$110,'Вводные'!$B$91="Да")</x:f>
      </x:c>
      <x:c r="H113" s="35" t="n">
        <x:f>--AND(H$3&gt;=$B$109,H$3&lt;$B$110,'Вводные'!$B$91="Да")</x:f>
      </x:c>
      <x:c r="I113" s="35" t="n">
        <x:f>--AND(I$3&gt;=$B$109,I$3&lt;$B$110,'Вводные'!$B$91="Да")</x:f>
      </x:c>
      <x:c r="J113" s="35" t="n">
        <x:f>--AND(J$3&gt;=$B$109,J$3&lt;$B$110,'Вводные'!$B$91="Да")</x:f>
      </x:c>
      <x:c r="K113" s="35" t="n">
        <x:f>--AND(K$3&gt;=$B$109,K$3&lt;$B$110,'Вводные'!$B$91="Да")</x:f>
      </x:c>
      <x:c r="L113" s="35" t="n">
        <x:f>--AND(L$3&gt;=$B$109,L$3&lt;$B$110,'Вводные'!$B$91="Да")</x:f>
      </x:c>
      <x:c r="M113" s="35" t="n">
        <x:f>--AND(M$3&gt;=$B$109,M$3&lt;$B$110,'Вводные'!$B$91="Да")</x:f>
      </x:c>
      <x:c r="N113" s="35" t="n">
        <x:f>--AND(N$3&gt;=$B$109,N$3&lt;$B$110,'Вводные'!$B$91="Да")</x:f>
      </x:c>
      <x:c r="O113" s="35" t="n">
        <x:f>--AND(O$3&gt;=$B$109,O$3&lt;$B$110,'Вводные'!$B$91="Да")</x:f>
      </x:c>
      <x:c r="P113" s="35" t="n">
        <x:f>--AND(P$3&gt;=$B$109,P$3&lt;$B$110,'Вводные'!$B$91="Да")</x:f>
      </x:c>
      <x:c r="Q113" s="35" t="n">
        <x:f>--AND(Q$3&gt;=$B$109,Q$3&lt;$B$110,'Вводные'!$B$91="Да")</x:f>
      </x:c>
      <x:c r="R113" s="35" t="n">
        <x:f>--AND(R$3&gt;=$B$109,R$3&lt;$B$110,'Вводные'!$B$91="Да")</x:f>
      </x:c>
      <x:c r="S113" s="35" t="n">
        <x:f>--AND(S$3&gt;=$B$109,S$3&lt;$B$110,'Вводные'!$B$91="Да")</x:f>
      </x:c>
      <x:c r="T113" s="35" t="n">
        <x:f>--AND(T$3&gt;=$B$109,T$3&lt;$B$110,'Вводные'!$B$91="Да")</x:f>
      </x:c>
      <x:c r="U113" s="35" t="n">
        <x:f>--AND(U$3&gt;=$B$109,U$3&lt;$B$110,'Вводные'!$B$91="Да")</x:f>
      </x:c>
      <x:c r="V113" s="35" t="n">
        <x:f>--AND(V$3&gt;=$B$109,V$3&lt;$B$110,'Вводные'!$B$91="Да")</x:f>
      </x:c>
      <x:c r="W113" s="35" t="n">
        <x:f>--AND(W$3&gt;=$B$109,W$3&lt;$B$110,'Вводные'!$B$91="Да")</x:f>
      </x:c>
      <x:c r="X113" s="35" t="n">
        <x:f>--AND(X$3&gt;=$B$109,X$3&lt;$B$110,'Вводные'!$B$91="Да")</x:f>
      </x:c>
      <x:c r="Y113" s="35" t="n">
        <x:f>--AND(Y$3&gt;=$B$109,Y$3&lt;$B$110,'Вводные'!$B$91="Да")</x:f>
      </x:c>
      <x:c r="Z113" s="35" t="n">
        <x:f>--AND(Z$3&gt;=$B$109,Z$3&lt;$B$110,'Вводные'!$B$91="Да")</x:f>
      </x:c>
      <x:c r="AA113" s="35" t="n">
        <x:f>--AND(AA$3&gt;=$B$109,AA$3&lt;$B$110,'Вводные'!$B$91="Да")</x:f>
      </x:c>
      <x:c r="AB113" s="35" t="n">
        <x:f>--AND(AB$3&gt;=$B$109,AB$3&lt;$B$110,'Вводные'!$B$91="Да")</x:f>
      </x:c>
      <x:c r="AC113" s="35" t="n">
        <x:f>--AND(AC$3&gt;=$B$109,AC$3&lt;$B$110,'Вводные'!$B$91="Да")</x:f>
      </x:c>
      <x:c r="AD113" s="35" t="n">
        <x:f>--AND(AD$3&gt;=$B$109,AD$3&lt;$B$110,'Вводные'!$B$91="Да")</x:f>
      </x:c>
      <x:c r="AE113" s="35" t="n">
        <x:f>--AND(AE$3&gt;=$B$109,AE$3&lt;$B$110,'Вводные'!$B$91="Да")</x:f>
      </x:c>
      <x:c r="AF113" s="35" t="n">
        <x:f>--AND(AF$3&gt;=$B$109,AF$3&lt;$B$110,'Вводные'!$B$91="Да")</x:f>
      </x:c>
      <x:c r="AG113" s="35" t="n">
        <x:f>--AND(AG$3&gt;=$B$109,AG$3&lt;$B$110,'Вводные'!$B$91="Да")</x:f>
      </x:c>
      <x:c r="AH113" s="35" t="n">
        <x:f>--AND(AH$3&gt;=$B$109,AH$3&lt;$B$110,'Вводные'!$B$91="Да")</x:f>
      </x:c>
      <x:c r="AI113" s="35" t="n">
        <x:f>--AND(AI$3&gt;=$B$109,AI$3&lt;$B$110,'Вводные'!$B$91="Да")</x:f>
      </x:c>
      <x:c r="AJ113" s="35" t="n">
        <x:f>--AND(AJ$3&gt;=$B$109,AJ$3&lt;$B$110,'Вводные'!$B$91="Да")</x:f>
      </x:c>
      <x:c r="AK113" s="35" t="n">
        <x:f>--AND(AK$3&gt;=$B$109,AK$3&lt;$B$110,'Вводные'!$B$91="Да")</x:f>
      </x:c>
      <x:c r="AL113" s="35" t="n">
        <x:f>--AND(AL$3&gt;=$B$109,AL$3&lt;$B$110,'Вводные'!$B$91="Да")</x:f>
      </x:c>
      <x:c r="AM113" s="35" t="n">
        <x:f>--AND(AM$3&gt;=$B$109,AM$3&lt;$B$110,'Вводные'!$B$91="Да")</x:f>
      </x:c>
      <x:c r="AN113" s="35" t="n">
        <x:f>--AND(AN$3&gt;=$B$109,AN$3&lt;$B$110,'Вводные'!$B$91="Да")</x:f>
      </x:c>
      <x:c r="AO113" s="35" t="n">
        <x:f>--AND(AO$3&gt;=$B$109,AO$3&lt;$B$110,'Вводные'!$B$91="Да")</x:f>
      </x:c>
      <x:c r="AP113" s="35" t="n">
        <x:f>--AND(AP$3&gt;=$B$109,AP$3&lt;$B$110,'Вводные'!$B$91="Да")</x:f>
      </x:c>
      <x:c r="AQ113" s="35" t="n">
        <x:f>--AND(AQ$3&gt;=$B$109,AQ$3&lt;$B$110,'Вводные'!$B$91="Да")</x:f>
      </x:c>
      <x:c r="AR113" s="35" t="n">
        <x:f>--AND(AR$3&gt;=$B$109,AR$3&lt;$B$110,'Вводные'!$B$91="Да")</x:f>
      </x:c>
      <x:c r="AS113" s="35" t="n">
        <x:f>--AND(AS$3&gt;=$B$109,AS$3&lt;$B$110,'Вводные'!$B$91="Да")</x:f>
      </x:c>
      <x:c r="AT113" s="35" t="n">
        <x:f>--AND(AT$3&gt;=$B$109,AT$3&lt;$B$110,'Вводные'!$B$91="Да")</x:f>
      </x:c>
      <x:c r="AU113" s="35" t="n">
        <x:f>--AND(AU$3&gt;=$B$109,AU$3&lt;$B$110,'Вводные'!$B$91="Да")</x:f>
      </x:c>
      <x:c r="AV113" s="35" t="n">
        <x:f>--AND(AV$3&gt;=$B$109,AV$3&lt;$B$110,'Вводные'!$B$91="Да")</x:f>
      </x:c>
      <x:c r="AW113" s="35" t="n">
        <x:f>--AND(AW$3&gt;=$B$109,AW$3&lt;$B$110,'Вводные'!$B$91="Да")</x:f>
      </x:c>
      <x:c r="AX113" s="35" t="n">
        <x:f>--AND(AX$3&gt;=$B$109,AX$3&lt;$B$110,'Вводные'!$B$91="Да")</x:f>
      </x:c>
      <x:c r="AY113" s="35" t="n">
        <x:f>--AND(AY$3&gt;=$B$109,AY$3&lt;$B$110,'Вводные'!$B$91="Да")</x:f>
      </x:c>
      <x:c r="AZ113" s="35" t="n">
        <x:f>--AND(AZ$3&gt;=$B$109,AZ$3&lt;$B$110,'Вводные'!$B$91="Да")</x:f>
      </x:c>
      <x:c r="BA113" s="35" t="n">
        <x:f>--AND(BA$3&gt;=$B$109,BA$3&lt;$B$110,'Вводные'!$B$91="Да")</x:f>
      </x:c>
      <x:c r="BB113" s="35" t="n">
        <x:f>--AND(BB$3&gt;=$B$109,BB$3&lt;$B$110,'Вводные'!$B$91="Да")</x:f>
      </x:c>
      <x:c r="BC113" s="35" t="n">
        <x:f>--AND(BC$3&gt;=$B$109,BC$3&lt;$B$110,'Вводные'!$B$91="Да")</x:f>
      </x:c>
      <x:c r="BD113" s="35" t="n">
        <x:f>--AND(BD$3&gt;=$B$109,BD$3&lt;$B$110,'Вводные'!$B$91="Да")</x:f>
      </x:c>
      <x:c r="BE113" s="35" t="n">
        <x:f>--AND(BE$3&gt;=$B$109,BE$3&lt;$B$110,'Вводные'!$B$91="Да")</x:f>
      </x:c>
      <x:c r="BF113" s="35" t="n">
        <x:f>--AND(BF$3&gt;=$B$109,BF$3&lt;$B$110,'Вводные'!$B$91="Да")</x:f>
      </x:c>
      <x:c r="BG113" s="35" t="n">
        <x:f>--AND(BG$3&gt;=$B$109,BG$3&lt;$B$110,'Вводные'!$B$91="Да")</x:f>
      </x:c>
      <x:c r="BH113" s="35" t="n">
        <x:f>--AND(BH$3&gt;=$B$109,BH$3&lt;$B$110,'Вводные'!$B$91="Да")</x:f>
      </x:c>
      <x:c r="BI113" s="35" t="n">
        <x:f>--AND(BI$3&gt;=$B$109,BI$3&lt;$B$110,'Вводные'!$B$91="Да")</x:f>
      </x:c>
      <x:c r="BJ113" s="35" t="n">
        <x:f>--AND(BJ$3&gt;=$B$109,BJ$3&lt;$B$110,'Вводные'!$B$91="Да")</x:f>
      </x:c>
      <x:c r="BK113" s="35" t="n">
        <x:f>--AND(BK$3&gt;=$B$109,BK$3&lt;$B$110,'Вводные'!$B$91="Да")</x:f>
      </x:c>
      <x:c r="BL113" s="35" t="n">
        <x:f>--AND(BL$3&gt;=$B$109,BL$3&lt;$B$110,'Вводные'!$B$91="Да")</x:f>
      </x:c>
      <x:c r="BM113" s="35" t="n">
        <x:f>--AND(BM$3&gt;=$B$109,BM$3&lt;$B$110,'Вводные'!$B$91="Да")</x:f>
      </x:c>
      <x:c r="BN113" s="35" t="n">
        <x:f>--AND(BN$3&gt;=$B$109,BN$3&lt;$B$110,'Вводные'!$B$91="Да")</x:f>
      </x:c>
      <x:c r="BO113" s="35" t="n">
        <x:f>--AND(BO$3&gt;=$B$109,BO$3&lt;$B$110,'Вводные'!$B$91="Да")</x:f>
      </x:c>
      <x:c r="BP113" s="35" t="n">
        <x:f>--AND(BP$3&gt;=$B$109,BP$3&lt;$B$110,'Вводные'!$B$91="Да")</x:f>
      </x:c>
      <x:c r="BQ113" s="35" t="n">
        <x:f>--AND(BQ$3&gt;=$B$109,BQ$3&lt;$B$110,'Вводные'!$B$91="Да")</x:f>
      </x:c>
      <x:c r="BR113" s="35" t="n">
        <x:f>--AND(BR$3&gt;=$B$109,BR$3&lt;$B$110,'Вводные'!$B$91="Да")</x:f>
      </x:c>
      <x:c r="BS113" s="35" t="n">
        <x:f>--AND(BS$3&gt;=$B$109,BS$3&lt;$B$110,'Вводные'!$B$91="Да")</x:f>
      </x:c>
      <x:c r="BT113" s="35" t="n">
        <x:f>--AND(BT$3&gt;=$B$109,BT$3&lt;$B$110,'Вводные'!$B$91="Да")</x:f>
      </x:c>
      <x:c r="BU113" s="35" t="n">
        <x:f>--AND(BU$3&gt;=$B$109,BU$3&lt;$B$110,'Вводные'!$B$91="Да")</x:f>
      </x:c>
      <x:c r="BV113" s="35" t="n">
        <x:f>--AND(BV$3&gt;=$B$109,BV$3&lt;$B$110,'Вводные'!$B$91="Да")</x:f>
      </x:c>
      <x:c r="BW113" s="35" t="n">
        <x:f>--AND(BW$3&gt;=$B$109,BW$3&lt;$B$110,'Вводные'!$B$91="Да")</x:f>
      </x:c>
      <x:c r="BX113" s="35" t="n">
        <x:f>--AND(BX$3&gt;=$B$109,BX$3&lt;$B$110,'Вводные'!$B$91="Да")</x:f>
      </x:c>
      <x:c r="BY113" s="35" t="n">
        <x:f>--AND(BY$3&gt;=$B$109,BY$3&lt;$B$110,'Вводные'!$B$91="Да")</x:f>
      </x:c>
      <x:c r="BZ113" s="35" t="n">
        <x:f>--AND(BZ$3&gt;=$B$109,BZ$3&lt;$B$110,'Вводные'!$B$91="Да")</x:f>
      </x:c>
      <x:c r="CA113" s="35" t="n">
        <x:f>--AND(CA$3&gt;=$B$109,CA$3&lt;$B$110,'Вводные'!$B$91="Да")</x:f>
      </x:c>
      <x:c r="CB113" s="35" t="n">
        <x:f>--AND(CB$3&gt;=$B$109,CB$3&lt;$B$110,'Вводные'!$B$91="Да")</x:f>
      </x:c>
      <x:c r="CC113" s="35" t="n">
        <x:f>--AND(CC$3&gt;=$B$109,CC$3&lt;$B$110,'Вводные'!$B$91="Да")</x:f>
      </x:c>
      <x:c r="CD113" s="35" t="n">
        <x:f>--AND(CD$3&gt;=$B$109,CD$3&lt;$B$110,'Вводные'!$B$91="Да")</x:f>
      </x:c>
      <x:c r="CE113" s="35" t="n">
        <x:f>--AND(CE$3&gt;=$B$109,CE$3&lt;$B$110,'Вводные'!$B$91="Да")</x:f>
      </x:c>
      <x:c r="CF113" s="35" t="n">
        <x:f>--AND(CF$3&gt;=$B$109,CF$3&lt;$B$110,'Вводные'!$B$91="Да")</x:f>
      </x:c>
      <x:c r="CG113" s="35" t="n">
        <x:f>--AND(CG$3&gt;=$B$109,CG$3&lt;$B$110,'Вводные'!$B$91="Да")</x:f>
      </x:c>
      <x:c r="CH113" s="35" t="n">
        <x:f>--AND(CH$3&gt;=$B$109,CH$3&lt;$B$110,'Вводные'!$B$91="Да")</x:f>
      </x:c>
      <x:c r="CI113" s="35" t="n">
        <x:f>--AND(CI$3&gt;=$B$109,CI$3&lt;$B$110,'Вводные'!$B$91="Да")</x:f>
      </x:c>
      <x:c r="CJ113" s="35" t="n">
        <x:f>--AND(CJ$3&gt;=$B$109,CJ$3&lt;$B$110,'Вводные'!$B$91="Да")</x:f>
      </x:c>
      <x:c r="CK113" s="35" t="n">
        <x:f>--AND(CK$3&gt;=$B$109,CK$3&lt;$B$110,'Вводные'!$B$91="Да")</x:f>
      </x:c>
      <x:c r="CL113" s="35" t="n">
        <x:f>--AND(CL$3&gt;=$B$109,CL$3&lt;$B$110,'Вводные'!$B$91="Да")</x:f>
      </x:c>
      <x:c r="CM113" s="35" t="n">
        <x:f>--AND(CM$3&gt;=$B$109,CM$3&lt;$B$110,'Вводные'!$B$91="Да")</x:f>
      </x:c>
      <x:c r="CN113" s="35" t="n">
        <x:f>--AND(CN$3&gt;=$B$109,CN$3&lt;$B$110,'Вводные'!$B$91="Да")</x:f>
      </x:c>
      <x:c r="CO113" s="35" t="n">
        <x:f>--AND(CO$3&gt;=$B$109,CO$3&lt;$B$110,'Вводные'!$B$91="Да")</x:f>
      </x:c>
      <x:c r="CP113" s="35" t="n">
        <x:f>--AND(CP$3&gt;=$B$109,CP$3&lt;$B$110,'Вводные'!$B$91="Да")</x:f>
      </x:c>
      <x:c r="CQ113" s="35" t="n">
        <x:f>--AND(CQ$3&gt;=$B$109,CQ$3&lt;$B$110,'Вводные'!$B$91="Да")</x:f>
      </x:c>
      <x:c r="CR113" s="35" t="n">
        <x:f>--AND(CR$3&gt;=$B$109,CR$3&lt;$B$110,'Вводные'!$B$91="Да")</x:f>
      </x:c>
      <x:c r="CS113" s="35" t="n">
        <x:f>--AND(CS$3&gt;=$B$109,CS$3&lt;$B$110,'Вводные'!$B$91="Да")</x:f>
      </x:c>
      <x:c r="CT113" s="35" t="n">
        <x:f>--AND(CT$3&gt;=$B$109,CT$3&lt;$B$110,'Вводные'!$B$91="Да")</x:f>
      </x:c>
      <x:c r="CU113" s="35" t="n">
        <x:f>--AND(CU$3&gt;=$B$109,CU$3&lt;$B$110,'Вводные'!$B$91="Да")</x:f>
      </x:c>
      <x:c r="CV113" s="35" t="n">
        <x:f>--AND(CV$3&gt;=$B$109,CV$3&lt;$B$110,'Вводные'!$B$91="Да")</x:f>
      </x:c>
      <x:c r="CW113" s="35" t="n">
        <x:f>--AND(CW$3&gt;=$B$109,CW$3&lt;$B$110,'Вводные'!$B$91="Да")</x:f>
      </x:c>
      <x:c r="CX113" s="35" t="n">
        <x:f>--AND(CX$3&gt;=$B$109,CX$3&lt;$B$110,'Вводные'!$B$91="Да")</x:f>
      </x:c>
      <x:c r="CY113" s="35" t="n">
        <x:f>--AND(CY$3&gt;=$B$109,CY$3&lt;$B$110,'Вводные'!$B$91="Да")</x:f>
      </x:c>
      <x:c r="CZ113" s="35" t="n">
        <x:f>--AND(CZ$3&gt;=$B$109,CZ$3&lt;$B$110,'Вводные'!$B$91="Да")</x:f>
      </x:c>
      <x:c r="DA113" s="35" t="n">
        <x:f>--AND(DA$3&gt;=$B$109,DA$3&lt;$B$110,'Вводные'!$B$91="Да")</x:f>
      </x:c>
      <x:c r="DB113" s="35" t="n">
        <x:f>--AND(DB$3&gt;=$B$109,DB$3&lt;$B$110,'Вводные'!$B$91="Да")</x:f>
      </x:c>
      <x:c r="DC113" s="35" t="n">
        <x:f>--AND(DC$3&gt;=$B$109,DC$3&lt;$B$110,'Вводные'!$B$91="Да")</x:f>
      </x:c>
      <x:c r="DD113" s="35" t="n">
        <x:f>--AND(DD$3&gt;=$B$109,DD$3&lt;$B$110,'Вводные'!$B$91="Да")</x:f>
      </x:c>
      <x:c r="DE113" s="35" t="n">
        <x:f>--AND(DE$3&gt;=$B$109,DE$3&lt;$B$110,'Вводные'!$B$91="Да")</x:f>
      </x:c>
      <x:c r="DF113" s="35" t="n">
        <x:f>--AND(DF$3&gt;=$B$109,DF$3&lt;$B$110,'Вводные'!$B$91="Да")</x:f>
      </x:c>
      <x:c r="DG113" s="35" t="n">
        <x:f>--AND(DG$3&gt;=$B$109,DG$3&lt;$B$110,'Вводные'!$B$91="Да")</x:f>
      </x:c>
      <x:c r="DH113" s="35" t="n">
        <x:f>--AND(DH$3&gt;=$B$109,DH$3&lt;$B$110,'Вводные'!$B$91="Да")</x:f>
      </x:c>
      <x:c r="DI113" s="35" t="n">
        <x:f>--AND(DI$3&gt;=$B$109,DI$3&lt;$B$110,'Вводные'!$B$91="Да")</x:f>
      </x:c>
      <x:c r="DJ113" s="35" t="n">
        <x:f>--AND(DJ$3&gt;=$B$109,DJ$3&lt;$B$110,'Вводные'!$B$91="Да")</x:f>
      </x:c>
      <x:c r="DK113" s="35" t="n">
        <x:f>--AND(DK$3&gt;=$B$109,DK$3&lt;$B$110,'Вводные'!$B$91="Да")</x:f>
      </x:c>
      <x:c r="DL113" s="35" t="n">
        <x:f>--AND(DL$3&gt;=$B$109,DL$3&lt;$B$110,'Вводные'!$B$91="Да")</x:f>
      </x:c>
      <x:c r="DM113" s="35" t="n">
        <x:f>--AND(DM$3&gt;=$B$109,DM$3&lt;$B$110,'Вводные'!$B$91="Да")</x:f>
      </x:c>
      <x:c r="DN113" s="35" t="n">
        <x:f>--AND(DN$3&gt;=$B$109,DN$3&lt;$B$110,'Вводные'!$B$91="Да")</x:f>
      </x:c>
      <x:c r="DO113" s="35" t="n">
        <x:f>--AND(DO$3&gt;=$B$109,DO$3&lt;$B$110,'Вводные'!$B$91="Да")</x:f>
      </x:c>
      <x:c r="DP113" s="35" t="n">
        <x:f>--AND(DP$3&gt;=$B$109,DP$3&lt;$B$110,'Вводные'!$B$91="Да")</x:f>
      </x:c>
      <x:c r="DQ113" s="35" t="n">
        <x:f>--AND(DQ$3&gt;=$B$109,DQ$3&lt;$B$110,'Вводные'!$B$91="Да")</x:f>
      </x:c>
      <x:c r="DR113" s="35" t="n">
        <x:f>--AND(DR$3&gt;=$B$109,DR$3&lt;$B$110,'Вводные'!$B$91="Да")</x:f>
      </x:c>
      <x:c r="DS113" s="35" t="n">
        <x:f>--AND(DS$3&gt;=$B$109,DS$3&lt;$B$110,'Вводные'!$B$91="Да")</x:f>
      </x:c>
    </x:row>
    <x:row r="114">
      <x:c r="A114" t="str">
        <x:v>Вес S-кривой</x:v>
      </x:c>
      <x:c r="B114"/>
      <x:c r="C114" t="str">
        <x:v>вес</x:v>
      </x:c>
      <x:c r="D114" s="35" t="n">
        <x:f>IF(D113=0,0,IF((12*(YEAR(D$3)-YEAR($B$109))+MONTH(D$3)-MONTH($B$109)+1)/MAX(1,'Вводные'!$F$91)&lt;=0.2,0.6,IF((12*(YEAR(D$3)-YEAR($B$109))+MONTH(D$3)-MONTH($B$109)+1)/MAX(1,'Вводные'!$F$91)&lt;=0.8,1.2,0.8)))</x:f>
      </x:c>
      <x:c r="E114" s="35" t="n">
        <x:f>IF(E113=0,0,IF((12*(YEAR(E$3)-YEAR($B$109))+MONTH(E$3)-MONTH($B$109)+1)/MAX(1,'Вводные'!$F$91)&lt;=0.2,0.6,IF((12*(YEAR(E$3)-YEAR($B$109))+MONTH(E$3)-MONTH($B$109)+1)/MAX(1,'Вводные'!$F$91)&lt;=0.8,1.2,0.8)))</x:f>
      </x:c>
      <x:c r="F114" s="35" t="n">
        <x:f>IF(F113=0,0,IF((12*(YEAR(F$3)-YEAR($B$109))+MONTH(F$3)-MONTH($B$109)+1)/MAX(1,'Вводные'!$F$91)&lt;=0.2,0.6,IF((12*(YEAR(F$3)-YEAR($B$109))+MONTH(F$3)-MONTH($B$109)+1)/MAX(1,'Вводные'!$F$91)&lt;=0.8,1.2,0.8)))</x:f>
      </x:c>
      <x:c r="G114" s="35" t="n">
        <x:f>IF(G113=0,0,IF((12*(YEAR(G$3)-YEAR($B$109))+MONTH(G$3)-MONTH($B$109)+1)/MAX(1,'Вводные'!$F$91)&lt;=0.2,0.6,IF((12*(YEAR(G$3)-YEAR($B$109))+MONTH(G$3)-MONTH($B$109)+1)/MAX(1,'Вводные'!$F$91)&lt;=0.8,1.2,0.8)))</x:f>
      </x:c>
      <x:c r="H114" s="35" t="n">
        <x:f>IF(H113=0,0,IF((12*(YEAR(H$3)-YEAR($B$109))+MONTH(H$3)-MONTH($B$109)+1)/MAX(1,'Вводные'!$F$91)&lt;=0.2,0.6,IF((12*(YEAR(H$3)-YEAR($B$109))+MONTH(H$3)-MONTH($B$109)+1)/MAX(1,'Вводные'!$F$91)&lt;=0.8,1.2,0.8)))</x:f>
      </x:c>
      <x:c r="I114" s="35" t="n">
        <x:f>IF(I113=0,0,IF((12*(YEAR(I$3)-YEAR($B$109))+MONTH(I$3)-MONTH($B$109)+1)/MAX(1,'Вводные'!$F$91)&lt;=0.2,0.6,IF((12*(YEAR(I$3)-YEAR($B$109))+MONTH(I$3)-MONTH($B$109)+1)/MAX(1,'Вводные'!$F$91)&lt;=0.8,1.2,0.8)))</x:f>
      </x:c>
      <x:c r="J114" s="35" t="n">
        <x:f>IF(J113=0,0,IF((12*(YEAR(J$3)-YEAR($B$109))+MONTH(J$3)-MONTH($B$109)+1)/MAX(1,'Вводные'!$F$91)&lt;=0.2,0.6,IF((12*(YEAR(J$3)-YEAR($B$109))+MONTH(J$3)-MONTH($B$109)+1)/MAX(1,'Вводные'!$F$91)&lt;=0.8,1.2,0.8)))</x:f>
      </x:c>
      <x:c r="K114" s="35" t="n">
        <x:f>IF(K113=0,0,IF((12*(YEAR(K$3)-YEAR($B$109))+MONTH(K$3)-MONTH($B$109)+1)/MAX(1,'Вводные'!$F$91)&lt;=0.2,0.6,IF((12*(YEAR(K$3)-YEAR($B$109))+MONTH(K$3)-MONTH($B$109)+1)/MAX(1,'Вводные'!$F$91)&lt;=0.8,1.2,0.8)))</x:f>
      </x:c>
      <x:c r="L114" s="35" t="n">
        <x:f>IF(L113=0,0,IF((12*(YEAR(L$3)-YEAR($B$109))+MONTH(L$3)-MONTH($B$109)+1)/MAX(1,'Вводные'!$F$91)&lt;=0.2,0.6,IF((12*(YEAR(L$3)-YEAR($B$109))+MONTH(L$3)-MONTH($B$109)+1)/MAX(1,'Вводные'!$F$91)&lt;=0.8,1.2,0.8)))</x:f>
      </x:c>
      <x:c r="M114" s="35" t="n">
        <x:f>IF(M113=0,0,IF((12*(YEAR(M$3)-YEAR($B$109))+MONTH(M$3)-MONTH($B$109)+1)/MAX(1,'Вводные'!$F$91)&lt;=0.2,0.6,IF((12*(YEAR(M$3)-YEAR($B$109))+MONTH(M$3)-MONTH($B$109)+1)/MAX(1,'Вводные'!$F$91)&lt;=0.8,1.2,0.8)))</x:f>
      </x:c>
      <x:c r="N114" s="35" t="n">
        <x:f>IF(N113=0,0,IF((12*(YEAR(N$3)-YEAR($B$109))+MONTH(N$3)-MONTH($B$109)+1)/MAX(1,'Вводные'!$F$91)&lt;=0.2,0.6,IF((12*(YEAR(N$3)-YEAR($B$109))+MONTH(N$3)-MONTH($B$109)+1)/MAX(1,'Вводные'!$F$91)&lt;=0.8,1.2,0.8)))</x:f>
      </x:c>
      <x:c r="O114" s="35" t="n">
        <x:f>IF(O113=0,0,IF((12*(YEAR(O$3)-YEAR($B$109))+MONTH(O$3)-MONTH($B$109)+1)/MAX(1,'Вводные'!$F$91)&lt;=0.2,0.6,IF((12*(YEAR(O$3)-YEAR($B$109))+MONTH(O$3)-MONTH($B$109)+1)/MAX(1,'Вводные'!$F$91)&lt;=0.8,1.2,0.8)))</x:f>
      </x:c>
      <x:c r="P114" s="35" t="n">
        <x:f>IF(P113=0,0,IF((12*(YEAR(P$3)-YEAR($B$109))+MONTH(P$3)-MONTH($B$109)+1)/MAX(1,'Вводные'!$F$91)&lt;=0.2,0.6,IF((12*(YEAR(P$3)-YEAR($B$109))+MONTH(P$3)-MONTH($B$109)+1)/MAX(1,'Вводные'!$F$91)&lt;=0.8,1.2,0.8)))</x:f>
      </x:c>
      <x:c r="Q114" s="35" t="n">
        <x:f>IF(Q113=0,0,IF((12*(YEAR(Q$3)-YEAR($B$109))+MONTH(Q$3)-MONTH($B$109)+1)/MAX(1,'Вводные'!$F$91)&lt;=0.2,0.6,IF((12*(YEAR(Q$3)-YEAR($B$109))+MONTH(Q$3)-MONTH($B$109)+1)/MAX(1,'Вводные'!$F$91)&lt;=0.8,1.2,0.8)))</x:f>
      </x:c>
      <x:c r="R114" s="35" t="n">
        <x:f>IF(R113=0,0,IF((12*(YEAR(R$3)-YEAR($B$109))+MONTH(R$3)-MONTH($B$109)+1)/MAX(1,'Вводные'!$F$91)&lt;=0.2,0.6,IF((12*(YEAR(R$3)-YEAR($B$109))+MONTH(R$3)-MONTH($B$109)+1)/MAX(1,'Вводные'!$F$91)&lt;=0.8,1.2,0.8)))</x:f>
      </x:c>
      <x:c r="S114" s="35" t="n">
        <x:f>IF(S113=0,0,IF((12*(YEAR(S$3)-YEAR($B$109))+MONTH(S$3)-MONTH($B$109)+1)/MAX(1,'Вводные'!$F$91)&lt;=0.2,0.6,IF((12*(YEAR(S$3)-YEAR($B$109))+MONTH(S$3)-MONTH($B$109)+1)/MAX(1,'Вводные'!$F$91)&lt;=0.8,1.2,0.8)))</x:f>
      </x:c>
      <x:c r="T114" s="35" t="n">
        <x:f>IF(T113=0,0,IF((12*(YEAR(T$3)-YEAR($B$109))+MONTH(T$3)-MONTH($B$109)+1)/MAX(1,'Вводные'!$F$91)&lt;=0.2,0.6,IF((12*(YEAR(T$3)-YEAR($B$109))+MONTH(T$3)-MONTH($B$109)+1)/MAX(1,'Вводные'!$F$91)&lt;=0.8,1.2,0.8)))</x:f>
      </x:c>
      <x:c r="U114" s="35" t="n">
        <x:f>IF(U113=0,0,IF((12*(YEAR(U$3)-YEAR($B$109))+MONTH(U$3)-MONTH($B$109)+1)/MAX(1,'Вводные'!$F$91)&lt;=0.2,0.6,IF((12*(YEAR(U$3)-YEAR($B$109))+MONTH(U$3)-MONTH($B$109)+1)/MAX(1,'Вводные'!$F$91)&lt;=0.8,1.2,0.8)))</x:f>
      </x:c>
      <x:c r="V114" s="35" t="n">
        <x:f>IF(V113=0,0,IF((12*(YEAR(V$3)-YEAR($B$109))+MONTH(V$3)-MONTH($B$109)+1)/MAX(1,'Вводные'!$F$91)&lt;=0.2,0.6,IF((12*(YEAR(V$3)-YEAR($B$109))+MONTH(V$3)-MONTH($B$109)+1)/MAX(1,'Вводные'!$F$91)&lt;=0.8,1.2,0.8)))</x:f>
      </x:c>
      <x:c r="W114" s="35" t="n">
        <x:f>IF(W113=0,0,IF((12*(YEAR(W$3)-YEAR($B$109))+MONTH(W$3)-MONTH($B$109)+1)/MAX(1,'Вводные'!$F$91)&lt;=0.2,0.6,IF((12*(YEAR(W$3)-YEAR($B$109))+MONTH(W$3)-MONTH($B$109)+1)/MAX(1,'Вводные'!$F$91)&lt;=0.8,1.2,0.8)))</x:f>
      </x:c>
      <x:c r="X114" s="35" t="n">
        <x:f>IF(X113=0,0,IF((12*(YEAR(X$3)-YEAR($B$109))+MONTH(X$3)-MONTH($B$109)+1)/MAX(1,'Вводные'!$F$91)&lt;=0.2,0.6,IF((12*(YEAR(X$3)-YEAR($B$109))+MONTH(X$3)-MONTH($B$109)+1)/MAX(1,'Вводные'!$F$91)&lt;=0.8,1.2,0.8)))</x:f>
      </x:c>
      <x:c r="Y114" s="35" t="n">
        <x:f>IF(Y113=0,0,IF((12*(YEAR(Y$3)-YEAR($B$109))+MONTH(Y$3)-MONTH($B$109)+1)/MAX(1,'Вводные'!$F$91)&lt;=0.2,0.6,IF((12*(YEAR(Y$3)-YEAR($B$109))+MONTH(Y$3)-MONTH($B$109)+1)/MAX(1,'Вводные'!$F$91)&lt;=0.8,1.2,0.8)))</x:f>
      </x:c>
      <x:c r="Z114" s="35" t="n">
        <x:f>IF(Z113=0,0,IF((12*(YEAR(Z$3)-YEAR($B$109))+MONTH(Z$3)-MONTH($B$109)+1)/MAX(1,'Вводные'!$F$91)&lt;=0.2,0.6,IF((12*(YEAR(Z$3)-YEAR($B$109))+MONTH(Z$3)-MONTH($B$109)+1)/MAX(1,'Вводные'!$F$91)&lt;=0.8,1.2,0.8)))</x:f>
      </x:c>
      <x:c r="AA114" s="35" t="n">
        <x:f>IF(AA113=0,0,IF((12*(YEAR(AA$3)-YEAR($B$109))+MONTH(AA$3)-MONTH($B$109)+1)/MAX(1,'Вводные'!$F$91)&lt;=0.2,0.6,IF((12*(YEAR(AA$3)-YEAR($B$109))+MONTH(AA$3)-MONTH($B$109)+1)/MAX(1,'Вводные'!$F$91)&lt;=0.8,1.2,0.8)))</x:f>
      </x:c>
      <x:c r="AB114" s="35" t="n">
        <x:f>IF(AB113=0,0,IF((12*(YEAR(AB$3)-YEAR($B$109))+MONTH(AB$3)-MONTH($B$109)+1)/MAX(1,'Вводные'!$F$91)&lt;=0.2,0.6,IF((12*(YEAR(AB$3)-YEAR($B$109))+MONTH(AB$3)-MONTH($B$109)+1)/MAX(1,'Вводные'!$F$91)&lt;=0.8,1.2,0.8)))</x:f>
      </x:c>
      <x:c r="AC114" s="35" t="n">
        <x:f>IF(AC113=0,0,IF((12*(YEAR(AC$3)-YEAR($B$109))+MONTH(AC$3)-MONTH($B$109)+1)/MAX(1,'Вводные'!$F$91)&lt;=0.2,0.6,IF((12*(YEAR(AC$3)-YEAR($B$109))+MONTH(AC$3)-MONTH($B$109)+1)/MAX(1,'Вводные'!$F$91)&lt;=0.8,1.2,0.8)))</x:f>
      </x:c>
      <x:c r="AD114" s="35" t="n">
        <x:f>IF(AD113=0,0,IF((12*(YEAR(AD$3)-YEAR($B$109))+MONTH(AD$3)-MONTH($B$109)+1)/MAX(1,'Вводные'!$F$91)&lt;=0.2,0.6,IF((12*(YEAR(AD$3)-YEAR($B$109))+MONTH(AD$3)-MONTH($B$109)+1)/MAX(1,'Вводные'!$F$91)&lt;=0.8,1.2,0.8)))</x:f>
      </x:c>
      <x:c r="AE114" s="35" t="n">
        <x:f>IF(AE113=0,0,IF((12*(YEAR(AE$3)-YEAR($B$109))+MONTH(AE$3)-MONTH($B$109)+1)/MAX(1,'Вводные'!$F$91)&lt;=0.2,0.6,IF((12*(YEAR(AE$3)-YEAR($B$109))+MONTH(AE$3)-MONTH($B$109)+1)/MAX(1,'Вводные'!$F$91)&lt;=0.8,1.2,0.8)))</x:f>
      </x:c>
      <x:c r="AF114" s="35" t="n">
        <x:f>IF(AF113=0,0,IF((12*(YEAR(AF$3)-YEAR($B$109))+MONTH(AF$3)-MONTH($B$109)+1)/MAX(1,'Вводные'!$F$91)&lt;=0.2,0.6,IF((12*(YEAR(AF$3)-YEAR($B$109))+MONTH(AF$3)-MONTH($B$109)+1)/MAX(1,'Вводные'!$F$91)&lt;=0.8,1.2,0.8)))</x:f>
      </x:c>
      <x:c r="AG114" s="35" t="n">
        <x:f>IF(AG113=0,0,IF((12*(YEAR(AG$3)-YEAR($B$109))+MONTH(AG$3)-MONTH($B$109)+1)/MAX(1,'Вводные'!$F$91)&lt;=0.2,0.6,IF((12*(YEAR(AG$3)-YEAR($B$109))+MONTH(AG$3)-MONTH($B$109)+1)/MAX(1,'Вводные'!$F$91)&lt;=0.8,1.2,0.8)))</x:f>
      </x:c>
      <x:c r="AH114" s="35" t="n">
        <x:f>IF(AH113=0,0,IF((12*(YEAR(AH$3)-YEAR($B$109))+MONTH(AH$3)-MONTH($B$109)+1)/MAX(1,'Вводные'!$F$91)&lt;=0.2,0.6,IF((12*(YEAR(AH$3)-YEAR($B$109))+MONTH(AH$3)-MONTH($B$109)+1)/MAX(1,'Вводные'!$F$91)&lt;=0.8,1.2,0.8)))</x:f>
      </x:c>
      <x:c r="AI114" s="35" t="n">
        <x:f>IF(AI113=0,0,IF((12*(YEAR(AI$3)-YEAR($B$109))+MONTH(AI$3)-MONTH($B$109)+1)/MAX(1,'Вводные'!$F$91)&lt;=0.2,0.6,IF((12*(YEAR(AI$3)-YEAR($B$109))+MONTH(AI$3)-MONTH($B$109)+1)/MAX(1,'Вводные'!$F$91)&lt;=0.8,1.2,0.8)))</x:f>
      </x:c>
      <x:c r="AJ114" s="35" t="n">
        <x:f>IF(AJ113=0,0,IF((12*(YEAR(AJ$3)-YEAR($B$109))+MONTH(AJ$3)-MONTH($B$109)+1)/MAX(1,'Вводные'!$F$91)&lt;=0.2,0.6,IF((12*(YEAR(AJ$3)-YEAR($B$109))+MONTH(AJ$3)-MONTH($B$109)+1)/MAX(1,'Вводные'!$F$91)&lt;=0.8,1.2,0.8)))</x:f>
      </x:c>
      <x:c r="AK114" s="35" t="n">
        <x:f>IF(AK113=0,0,IF((12*(YEAR(AK$3)-YEAR($B$109))+MONTH(AK$3)-MONTH($B$109)+1)/MAX(1,'Вводные'!$F$91)&lt;=0.2,0.6,IF((12*(YEAR(AK$3)-YEAR($B$109))+MONTH(AK$3)-MONTH($B$109)+1)/MAX(1,'Вводные'!$F$91)&lt;=0.8,1.2,0.8)))</x:f>
      </x:c>
      <x:c r="AL114" s="35" t="n">
        <x:f>IF(AL113=0,0,IF((12*(YEAR(AL$3)-YEAR($B$109))+MONTH(AL$3)-MONTH($B$109)+1)/MAX(1,'Вводные'!$F$91)&lt;=0.2,0.6,IF((12*(YEAR(AL$3)-YEAR($B$109))+MONTH(AL$3)-MONTH($B$109)+1)/MAX(1,'Вводные'!$F$91)&lt;=0.8,1.2,0.8)))</x:f>
      </x:c>
      <x:c r="AM114" s="35" t="n">
        <x:f>IF(AM113=0,0,IF((12*(YEAR(AM$3)-YEAR($B$109))+MONTH(AM$3)-MONTH($B$109)+1)/MAX(1,'Вводные'!$F$91)&lt;=0.2,0.6,IF((12*(YEAR(AM$3)-YEAR($B$109))+MONTH(AM$3)-MONTH($B$109)+1)/MAX(1,'Вводные'!$F$91)&lt;=0.8,1.2,0.8)))</x:f>
      </x:c>
      <x:c r="AN114" s="35" t="n">
        <x:f>IF(AN113=0,0,IF((12*(YEAR(AN$3)-YEAR($B$109))+MONTH(AN$3)-MONTH($B$109)+1)/MAX(1,'Вводные'!$F$91)&lt;=0.2,0.6,IF((12*(YEAR(AN$3)-YEAR($B$109))+MONTH(AN$3)-MONTH($B$109)+1)/MAX(1,'Вводные'!$F$91)&lt;=0.8,1.2,0.8)))</x:f>
      </x:c>
      <x:c r="AO114" s="35" t="n">
        <x:f>IF(AO113=0,0,IF((12*(YEAR(AO$3)-YEAR($B$109))+MONTH(AO$3)-MONTH($B$109)+1)/MAX(1,'Вводные'!$F$91)&lt;=0.2,0.6,IF((12*(YEAR(AO$3)-YEAR($B$109))+MONTH(AO$3)-MONTH($B$109)+1)/MAX(1,'Вводные'!$F$91)&lt;=0.8,1.2,0.8)))</x:f>
      </x:c>
      <x:c r="AP114" s="35" t="n">
        <x:f>IF(AP113=0,0,IF((12*(YEAR(AP$3)-YEAR($B$109))+MONTH(AP$3)-MONTH($B$109)+1)/MAX(1,'Вводные'!$F$91)&lt;=0.2,0.6,IF((12*(YEAR(AP$3)-YEAR($B$109))+MONTH(AP$3)-MONTH($B$109)+1)/MAX(1,'Вводные'!$F$91)&lt;=0.8,1.2,0.8)))</x:f>
      </x:c>
      <x:c r="AQ114" s="35" t="n">
        <x:f>IF(AQ113=0,0,IF((12*(YEAR(AQ$3)-YEAR($B$109))+MONTH(AQ$3)-MONTH($B$109)+1)/MAX(1,'Вводные'!$F$91)&lt;=0.2,0.6,IF((12*(YEAR(AQ$3)-YEAR($B$109))+MONTH(AQ$3)-MONTH($B$109)+1)/MAX(1,'Вводные'!$F$91)&lt;=0.8,1.2,0.8)))</x:f>
      </x:c>
      <x:c r="AR114" s="35" t="n">
        <x:f>IF(AR113=0,0,IF((12*(YEAR(AR$3)-YEAR($B$109))+MONTH(AR$3)-MONTH($B$109)+1)/MAX(1,'Вводные'!$F$91)&lt;=0.2,0.6,IF((12*(YEAR(AR$3)-YEAR($B$109))+MONTH(AR$3)-MONTH($B$109)+1)/MAX(1,'Вводные'!$F$91)&lt;=0.8,1.2,0.8)))</x:f>
      </x:c>
      <x:c r="AS114" s="35" t="n">
        <x:f>IF(AS113=0,0,IF((12*(YEAR(AS$3)-YEAR($B$109))+MONTH(AS$3)-MONTH($B$109)+1)/MAX(1,'Вводные'!$F$91)&lt;=0.2,0.6,IF((12*(YEAR(AS$3)-YEAR($B$109))+MONTH(AS$3)-MONTH($B$109)+1)/MAX(1,'Вводные'!$F$91)&lt;=0.8,1.2,0.8)))</x:f>
      </x:c>
      <x:c r="AT114" s="35" t="n">
        <x:f>IF(AT113=0,0,IF((12*(YEAR(AT$3)-YEAR($B$109))+MONTH(AT$3)-MONTH($B$109)+1)/MAX(1,'Вводные'!$F$91)&lt;=0.2,0.6,IF((12*(YEAR(AT$3)-YEAR($B$109))+MONTH(AT$3)-MONTH($B$109)+1)/MAX(1,'Вводные'!$F$91)&lt;=0.8,1.2,0.8)))</x:f>
      </x:c>
      <x:c r="AU114" s="35" t="n">
        <x:f>IF(AU113=0,0,IF((12*(YEAR(AU$3)-YEAR($B$109))+MONTH(AU$3)-MONTH($B$109)+1)/MAX(1,'Вводные'!$F$91)&lt;=0.2,0.6,IF((12*(YEAR(AU$3)-YEAR($B$109))+MONTH(AU$3)-MONTH($B$109)+1)/MAX(1,'Вводные'!$F$91)&lt;=0.8,1.2,0.8)))</x:f>
      </x:c>
      <x:c r="AV114" s="35" t="n">
        <x:f>IF(AV113=0,0,IF((12*(YEAR(AV$3)-YEAR($B$109))+MONTH(AV$3)-MONTH($B$109)+1)/MAX(1,'Вводные'!$F$91)&lt;=0.2,0.6,IF((12*(YEAR(AV$3)-YEAR($B$109))+MONTH(AV$3)-MONTH($B$109)+1)/MAX(1,'Вводные'!$F$91)&lt;=0.8,1.2,0.8)))</x:f>
      </x:c>
      <x:c r="AW114" s="35" t="n">
        <x:f>IF(AW113=0,0,IF((12*(YEAR(AW$3)-YEAR($B$109))+MONTH(AW$3)-MONTH($B$109)+1)/MAX(1,'Вводные'!$F$91)&lt;=0.2,0.6,IF((12*(YEAR(AW$3)-YEAR($B$109))+MONTH(AW$3)-MONTH($B$109)+1)/MAX(1,'Вводные'!$F$91)&lt;=0.8,1.2,0.8)))</x:f>
      </x:c>
      <x:c r="AX114" s="35" t="n">
        <x:f>IF(AX113=0,0,IF((12*(YEAR(AX$3)-YEAR($B$109))+MONTH(AX$3)-MONTH($B$109)+1)/MAX(1,'Вводные'!$F$91)&lt;=0.2,0.6,IF((12*(YEAR(AX$3)-YEAR($B$109))+MONTH(AX$3)-MONTH($B$109)+1)/MAX(1,'Вводные'!$F$91)&lt;=0.8,1.2,0.8)))</x:f>
      </x:c>
      <x:c r="AY114" s="35" t="n">
        <x:f>IF(AY113=0,0,IF((12*(YEAR(AY$3)-YEAR($B$109))+MONTH(AY$3)-MONTH($B$109)+1)/MAX(1,'Вводные'!$F$91)&lt;=0.2,0.6,IF((12*(YEAR(AY$3)-YEAR($B$109))+MONTH(AY$3)-MONTH($B$109)+1)/MAX(1,'Вводные'!$F$91)&lt;=0.8,1.2,0.8)))</x:f>
      </x:c>
      <x:c r="AZ114" s="35" t="n">
        <x:f>IF(AZ113=0,0,IF((12*(YEAR(AZ$3)-YEAR($B$109))+MONTH(AZ$3)-MONTH($B$109)+1)/MAX(1,'Вводные'!$F$91)&lt;=0.2,0.6,IF((12*(YEAR(AZ$3)-YEAR($B$109))+MONTH(AZ$3)-MONTH($B$109)+1)/MAX(1,'Вводные'!$F$91)&lt;=0.8,1.2,0.8)))</x:f>
      </x:c>
      <x:c r="BA114" s="35" t="n">
        <x:f>IF(BA113=0,0,IF((12*(YEAR(BA$3)-YEAR($B$109))+MONTH(BA$3)-MONTH($B$109)+1)/MAX(1,'Вводные'!$F$91)&lt;=0.2,0.6,IF((12*(YEAR(BA$3)-YEAR($B$109))+MONTH(BA$3)-MONTH($B$109)+1)/MAX(1,'Вводные'!$F$91)&lt;=0.8,1.2,0.8)))</x:f>
      </x:c>
      <x:c r="BB114" s="35" t="n">
        <x:f>IF(BB113=0,0,IF((12*(YEAR(BB$3)-YEAR($B$109))+MONTH(BB$3)-MONTH($B$109)+1)/MAX(1,'Вводные'!$F$91)&lt;=0.2,0.6,IF((12*(YEAR(BB$3)-YEAR($B$109))+MONTH(BB$3)-MONTH($B$109)+1)/MAX(1,'Вводные'!$F$91)&lt;=0.8,1.2,0.8)))</x:f>
      </x:c>
      <x:c r="BC114" s="35" t="n">
        <x:f>IF(BC113=0,0,IF((12*(YEAR(BC$3)-YEAR($B$109))+MONTH(BC$3)-MONTH($B$109)+1)/MAX(1,'Вводные'!$F$91)&lt;=0.2,0.6,IF((12*(YEAR(BC$3)-YEAR($B$109))+MONTH(BC$3)-MONTH($B$109)+1)/MAX(1,'Вводные'!$F$91)&lt;=0.8,1.2,0.8)))</x:f>
      </x:c>
      <x:c r="BD114" s="35" t="n">
        <x:f>IF(BD113=0,0,IF((12*(YEAR(BD$3)-YEAR($B$109))+MONTH(BD$3)-MONTH($B$109)+1)/MAX(1,'Вводные'!$F$91)&lt;=0.2,0.6,IF((12*(YEAR(BD$3)-YEAR($B$109))+MONTH(BD$3)-MONTH($B$109)+1)/MAX(1,'Вводные'!$F$91)&lt;=0.8,1.2,0.8)))</x:f>
      </x:c>
      <x:c r="BE114" s="35" t="n">
        <x:f>IF(BE113=0,0,IF((12*(YEAR(BE$3)-YEAR($B$109))+MONTH(BE$3)-MONTH($B$109)+1)/MAX(1,'Вводные'!$F$91)&lt;=0.2,0.6,IF((12*(YEAR(BE$3)-YEAR($B$109))+MONTH(BE$3)-MONTH($B$109)+1)/MAX(1,'Вводные'!$F$91)&lt;=0.8,1.2,0.8)))</x:f>
      </x:c>
      <x:c r="BF114" s="35" t="n">
        <x:f>IF(BF113=0,0,IF((12*(YEAR(BF$3)-YEAR($B$109))+MONTH(BF$3)-MONTH($B$109)+1)/MAX(1,'Вводные'!$F$91)&lt;=0.2,0.6,IF((12*(YEAR(BF$3)-YEAR($B$109))+MONTH(BF$3)-MONTH($B$109)+1)/MAX(1,'Вводные'!$F$91)&lt;=0.8,1.2,0.8)))</x:f>
      </x:c>
      <x:c r="BG114" s="35" t="n">
        <x:f>IF(BG113=0,0,IF((12*(YEAR(BG$3)-YEAR($B$109))+MONTH(BG$3)-MONTH($B$109)+1)/MAX(1,'Вводные'!$F$91)&lt;=0.2,0.6,IF((12*(YEAR(BG$3)-YEAR($B$109))+MONTH(BG$3)-MONTH($B$109)+1)/MAX(1,'Вводные'!$F$91)&lt;=0.8,1.2,0.8)))</x:f>
      </x:c>
      <x:c r="BH114" s="35" t="n">
        <x:f>IF(BH113=0,0,IF((12*(YEAR(BH$3)-YEAR($B$109))+MONTH(BH$3)-MONTH($B$109)+1)/MAX(1,'Вводные'!$F$91)&lt;=0.2,0.6,IF((12*(YEAR(BH$3)-YEAR($B$109))+MONTH(BH$3)-MONTH($B$109)+1)/MAX(1,'Вводные'!$F$91)&lt;=0.8,1.2,0.8)))</x:f>
      </x:c>
      <x:c r="BI114" s="35" t="n">
        <x:f>IF(BI113=0,0,IF((12*(YEAR(BI$3)-YEAR($B$109))+MONTH(BI$3)-MONTH($B$109)+1)/MAX(1,'Вводные'!$F$91)&lt;=0.2,0.6,IF((12*(YEAR(BI$3)-YEAR($B$109))+MONTH(BI$3)-MONTH($B$109)+1)/MAX(1,'Вводные'!$F$91)&lt;=0.8,1.2,0.8)))</x:f>
      </x:c>
      <x:c r="BJ114" s="35" t="n">
        <x:f>IF(BJ113=0,0,IF((12*(YEAR(BJ$3)-YEAR($B$109))+MONTH(BJ$3)-MONTH($B$109)+1)/MAX(1,'Вводные'!$F$91)&lt;=0.2,0.6,IF((12*(YEAR(BJ$3)-YEAR($B$109))+MONTH(BJ$3)-MONTH($B$109)+1)/MAX(1,'Вводные'!$F$91)&lt;=0.8,1.2,0.8)))</x:f>
      </x:c>
      <x:c r="BK114" s="35" t="n">
        <x:f>IF(BK113=0,0,IF((12*(YEAR(BK$3)-YEAR($B$109))+MONTH(BK$3)-MONTH($B$109)+1)/MAX(1,'Вводные'!$F$91)&lt;=0.2,0.6,IF((12*(YEAR(BK$3)-YEAR($B$109))+MONTH(BK$3)-MONTH($B$109)+1)/MAX(1,'Вводные'!$F$91)&lt;=0.8,1.2,0.8)))</x:f>
      </x:c>
      <x:c r="BL114" s="35" t="n">
        <x:f>IF(BL113=0,0,IF((12*(YEAR(BL$3)-YEAR($B$109))+MONTH(BL$3)-MONTH($B$109)+1)/MAX(1,'Вводные'!$F$91)&lt;=0.2,0.6,IF((12*(YEAR(BL$3)-YEAR($B$109))+MONTH(BL$3)-MONTH($B$109)+1)/MAX(1,'Вводные'!$F$91)&lt;=0.8,1.2,0.8)))</x:f>
      </x:c>
      <x:c r="BM114" s="35" t="n">
        <x:f>IF(BM113=0,0,IF((12*(YEAR(BM$3)-YEAR($B$109))+MONTH(BM$3)-MONTH($B$109)+1)/MAX(1,'Вводные'!$F$91)&lt;=0.2,0.6,IF((12*(YEAR(BM$3)-YEAR($B$109))+MONTH(BM$3)-MONTH($B$109)+1)/MAX(1,'Вводные'!$F$91)&lt;=0.8,1.2,0.8)))</x:f>
      </x:c>
      <x:c r="BN114" s="35" t="n">
        <x:f>IF(BN113=0,0,IF((12*(YEAR(BN$3)-YEAR($B$109))+MONTH(BN$3)-MONTH($B$109)+1)/MAX(1,'Вводные'!$F$91)&lt;=0.2,0.6,IF((12*(YEAR(BN$3)-YEAR($B$109))+MONTH(BN$3)-MONTH($B$109)+1)/MAX(1,'Вводные'!$F$91)&lt;=0.8,1.2,0.8)))</x:f>
      </x:c>
      <x:c r="BO114" s="35" t="n">
        <x:f>IF(BO113=0,0,IF((12*(YEAR(BO$3)-YEAR($B$109))+MONTH(BO$3)-MONTH($B$109)+1)/MAX(1,'Вводные'!$F$91)&lt;=0.2,0.6,IF((12*(YEAR(BO$3)-YEAR($B$109))+MONTH(BO$3)-MONTH($B$109)+1)/MAX(1,'Вводные'!$F$91)&lt;=0.8,1.2,0.8)))</x:f>
      </x:c>
      <x:c r="BP114" s="35" t="n">
        <x:f>IF(BP113=0,0,IF((12*(YEAR(BP$3)-YEAR($B$109))+MONTH(BP$3)-MONTH($B$109)+1)/MAX(1,'Вводные'!$F$91)&lt;=0.2,0.6,IF((12*(YEAR(BP$3)-YEAR($B$109))+MONTH(BP$3)-MONTH($B$109)+1)/MAX(1,'Вводные'!$F$91)&lt;=0.8,1.2,0.8)))</x:f>
      </x:c>
      <x:c r="BQ114" s="35" t="n">
        <x:f>IF(BQ113=0,0,IF((12*(YEAR(BQ$3)-YEAR($B$109))+MONTH(BQ$3)-MONTH($B$109)+1)/MAX(1,'Вводные'!$F$91)&lt;=0.2,0.6,IF((12*(YEAR(BQ$3)-YEAR($B$109))+MONTH(BQ$3)-MONTH($B$109)+1)/MAX(1,'Вводные'!$F$91)&lt;=0.8,1.2,0.8)))</x:f>
      </x:c>
      <x:c r="BR114" s="35" t="n">
        <x:f>IF(BR113=0,0,IF((12*(YEAR(BR$3)-YEAR($B$109))+MONTH(BR$3)-MONTH($B$109)+1)/MAX(1,'Вводные'!$F$91)&lt;=0.2,0.6,IF((12*(YEAR(BR$3)-YEAR($B$109))+MONTH(BR$3)-MONTH($B$109)+1)/MAX(1,'Вводные'!$F$91)&lt;=0.8,1.2,0.8)))</x:f>
      </x:c>
      <x:c r="BS114" s="35" t="n">
        <x:f>IF(BS113=0,0,IF((12*(YEAR(BS$3)-YEAR($B$109))+MONTH(BS$3)-MONTH($B$109)+1)/MAX(1,'Вводные'!$F$91)&lt;=0.2,0.6,IF((12*(YEAR(BS$3)-YEAR($B$109))+MONTH(BS$3)-MONTH($B$109)+1)/MAX(1,'Вводные'!$F$91)&lt;=0.8,1.2,0.8)))</x:f>
      </x:c>
      <x:c r="BT114" s="35" t="n">
        <x:f>IF(BT113=0,0,IF((12*(YEAR(BT$3)-YEAR($B$109))+MONTH(BT$3)-MONTH($B$109)+1)/MAX(1,'Вводные'!$F$91)&lt;=0.2,0.6,IF((12*(YEAR(BT$3)-YEAR($B$109))+MONTH(BT$3)-MONTH($B$109)+1)/MAX(1,'Вводные'!$F$91)&lt;=0.8,1.2,0.8)))</x:f>
      </x:c>
      <x:c r="BU114" s="35" t="n">
        <x:f>IF(BU113=0,0,IF((12*(YEAR(BU$3)-YEAR($B$109))+MONTH(BU$3)-MONTH($B$109)+1)/MAX(1,'Вводные'!$F$91)&lt;=0.2,0.6,IF((12*(YEAR(BU$3)-YEAR($B$109))+MONTH(BU$3)-MONTH($B$109)+1)/MAX(1,'Вводные'!$F$91)&lt;=0.8,1.2,0.8)))</x:f>
      </x:c>
      <x:c r="BV114" s="35" t="n">
        <x:f>IF(BV113=0,0,IF((12*(YEAR(BV$3)-YEAR($B$109))+MONTH(BV$3)-MONTH($B$109)+1)/MAX(1,'Вводные'!$F$91)&lt;=0.2,0.6,IF((12*(YEAR(BV$3)-YEAR($B$109))+MONTH(BV$3)-MONTH($B$109)+1)/MAX(1,'Вводные'!$F$91)&lt;=0.8,1.2,0.8)))</x:f>
      </x:c>
      <x:c r="BW114" s="35" t="n">
        <x:f>IF(BW113=0,0,IF((12*(YEAR(BW$3)-YEAR($B$109))+MONTH(BW$3)-MONTH($B$109)+1)/MAX(1,'Вводные'!$F$91)&lt;=0.2,0.6,IF((12*(YEAR(BW$3)-YEAR($B$109))+MONTH(BW$3)-MONTH($B$109)+1)/MAX(1,'Вводные'!$F$91)&lt;=0.8,1.2,0.8)))</x:f>
      </x:c>
      <x:c r="BX114" s="35" t="n">
        <x:f>IF(BX113=0,0,IF((12*(YEAR(BX$3)-YEAR($B$109))+MONTH(BX$3)-MONTH($B$109)+1)/MAX(1,'Вводные'!$F$91)&lt;=0.2,0.6,IF((12*(YEAR(BX$3)-YEAR($B$109))+MONTH(BX$3)-MONTH($B$109)+1)/MAX(1,'Вводные'!$F$91)&lt;=0.8,1.2,0.8)))</x:f>
      </x:c>
      <x:c r="BY114" s="35" t="n">
        <x:f>IF(BY113=0,0,IF((12*(YEAR(BY$3)-YEAR($B$109))+MONTH(BY$3)-MONTH($B$109)+1)/MAX(1,'Вводные'!$F$91)&lt;=0.2,0.6,IF((12*(YEAR(BY$3)-YEAR($B$109))+MONTH(BY$3)-MONTH($B$109)+1)/MAX(1,'Вводные'!$F$91)&lt;=0.8,1.2,0.8)))</x:f>
      </x:c>
      <x:c r="BZ114" s="35" t="n">
        <x:f>IF(BZ113=0,0,IF((12*(YEAR(BZ$3)-YEAR($B$109))+MONTH(BZ$3)-MONTH($B$109)+1)/MAX(1,'Вводные'!$F$91)&lt;=0.2,0.6,IF((12*(YEAR(BZ$3)-YEAR($B$109))+MONTH(BZ$3)-MONTH($B$109)+1)/MAX(1,'Вводные'!$F$91)&lt;=0.8,1.2,0.8)))</x:f>
      </x:c>
      <x:c r="CA114" s="35" t="n">
        <x:f>IF(CA113=0,0,IF((12*(YEAR(CA$3)-YEAR($B$109))+MONTH(CA$3)-MONTH($B$109)+1)/MAX(1,'Вводные'!$F$91)&lt;=0.2,0.6,IF((12*(YEAR(CA$3)-YEAR($B$109))+MONTH(CA$3)-MONTH($B$109)+1)/MAX(1,'Вводные'!$F$91)&lt;=0.8,1.2,0.8)))</x:f>
      </x:c>
      <x:c r="CB114" s="35" t="n">
        <x:f>IF(CB113=0,0,IF((12*(YEAR(CB$3)-YEAR($B$109))+MONTH(CB$3)-MONTH($B$109)+1)/MAX(1,'Вводные'!$F$91)&lt;=0.2,0.6,IF((12*(YEAR(CB$3)-YEAR($B$109))+MONTH(CB$3)-MONTH($B$109)+1)/MAX(1,'Вводные'!$F$91)&lt;=0.8,1.2,0.8)))</x:f>
      </x:c>
      <x:c r="CC114" s="35" t="n">
        <x:f>IF(CC113=0,0,IF((12*(YEAR(CC$3)-YEAR($B$109))+MONTH(CC$3)-MONTH($B$109)+1)/MAX(1,'Вводные'!$F$91)&lt;=0.2,0.6,IF((12*(YEAR(CC$3)-YEAR($B$109))+MONTH(CC$3)-MONTH($B$109)+1)/MAX(1,'Вводные'!$F$91)&lt;=0.8,1.2,0.8)))</x:f>
      </x:c>
      <x:c r="CD114" s="35" t="n">
        <x:f>IF(CD113=0,0,IF((12*(YEAR(CD$3)-YEAR($B$109))+MONTH(CD$3)-MONTH($B$109)+1)/MAX(1,'Вводные'!$F$91)&lt;=0.2,0.6,IF((12*(YEAR(CD$3)-YEAR($B$109))+MONTH(CD$3)-MONTH($B$109)+1)/MAX(1,'Вводные'!$F$91)&lt;=0.8,1.2,0.8)))</x:f>
      </x:c>
      <x:c r="CE114" s="35" t="n">
        <x:f>IF(CE113=0,0,IF((12*(YEAR(CE$3)-YEAR($B$109))+MONTH(CE$3)-MONTH($B$109)+1)/MAX(1,'Вводные'!$F$91)&lt;=0.2,0.6,IF((12*(YEAR(CE$3)-YEAR($B$109))+MONTH(CE$3)-MONTH($B$109)+1)/MAX(1,'Вводные'!$F$91)&lt;=0.8,1.2,0.8)))</x:f>
      </x:c>
      <x:c r="CF114" s="35" t="n">
        <x:f>IF(CF113=0,0,IF((12*(YEAR(CF$3)-YEAR($B$109))+MONTH(CF$3)-MONTH($B$109)+1)/MAX(1,'Вводные'!$F$91)&lt;=0.2,0.6,IF((12*(YEAR(CF$3)-YEAR($B$109))+MONTH(CF$3)-MONTH($B$109)+1)/MAX(1,'Вводные'!$F$91)&lt;=0.8,1.2,0.8)))</x:f>
      </x:c>
      <x:c r="CG114" s="35" t="n">
        <x:f>IF(CG113=0,0,IF((12*(YEAR(CG$3)-YEAR($B$109))+MONTH(CG$3)-MONTH($B$109)+1)/MAX(1,'Вводные'!$F$91)&lt;=0.2,0.6,IF((12*(YEAR(CG$3)-YEAR($B$109))+MONTH(CG$3)-MONTH($B$109)+1)/MAX(1,'Вводные'!$F$91)&lt;=0.8,1.2,0.8)))</x:f>
      </x:c>
      <x:c r="CH114" s="35" t="n">
        <x:f>IF(CH113=0,0,IF((12*(YEAR(CH$3)-YEAR($B$109))+MONTH(CH$3)-MONTH($B$109)+1)/MAX(1,'Вводные'!$F$91)&lt;=0.2,0.6,IF((12*(YEAR(CH$3)-YEAR($B$109))+MONTH(CH$3)-MONTH($B$109)+1)/MAX(1,'Вводные'!$F$91)&lt;=0.8,1.2,0.8)))</x:f>
      </x:c>
      <x:c r="CI114" s="35" t="n">
        <x:f>IF(CI113=0,0,IF((12*(YEAR(CI$3)-YEAR($B$109))+MONTH(CI$3)-MONTH($B$109)+1)/MAX(1,'Вводные'!$F$91)&lt;=0.2,0.6,IF((12*(YEAR(CI$3)-YEAR($B$109))+MONTH(CI$3)-MONTH($B$109)+1)/MAX(1,'Вводные'!$F$91)&lt;=0.8,1.2,0.8)))</x:f>
      </x:c>
      <x:c r="CJ114" s="35" t="n">
        <x:f>IF(CJ113=0,0,IF((12*(YEAR(CJ$3)-YEAR($B$109))+MONTH(CJ$3)-MONTH($B$109)+1)/MAX(1,'Вводные'!$F$91)&lt;=0.2,0.6,IF((12*(YEAR(CJ$3)-YEAR($B$109))+MONTH(CJ$3)-MONTH($B$109)+1)/MAX(1,'Вводные'!$F$91)&lt;=0.8,1.2,0.8)))</x:f>
      </x:c>
      <x:c r="CK114" s="35" t="n">
        <x:f>IF(CK113=0,0,IF((12*(YEAR(CK$3)-YEAR($B$109))+MONTH(CK$3)-MONTH($B$109)+1)/MAX(1,'Вводные'!$F$91)&lt;=0.2,0.6,IF((12*(YEAR(CK$3)-YEAR($B$109))+MONTH(CK$3)-MONTH($B$109)+1)/MAX(1,'Вводные'!$F$91)&lt;=0.8,1.2,0.8)))</x:f>
      </x:c>
      <x:c r="CL114" s="35" t="n">
        <x:f>IF(CL113=0,0,IF((12*(YEAR(CL$3)-YEAR($B$109))+MONTH(CL$3)-MONTH($B$109)+1)/MAX(1,'Вводные'!$F$91)&lt;=0.2,0.6,IF((12*(YEAR(CL$3)-YEAR($B$109))+MONTH(CL$3)-MONTH($B$109)+1)/MAX(1,'Вводные'!$F$91)&lt;=0.8,1.2,0.8)))</x:f>
      </x:c>
      <x:c r="CM114" s="35" t="n">
        <x:f>IF(CM113=0,0,IF((12*(YEAR(CM$3)-YEAR($B$109))+MONTH(CM$3)-MONTH($B$109)+1)/MAX(1,'Вводные'!$F$91)&lt;=0.2,0.6,IF((12*(YEAR(CM$3)-YEAR($B$109))+MONTH(CM$3)-MONTH($B$109)+1)/MAX(1,'Вводные'!$F$91)&lt;=0.8,1.2,0.8)))</x:f>
      </x:c>
      <x:c r="CN114" s="35" t="n">
        <x:f>IF(CN113=0,0,IF((12*(YEAR(CN$3)-YEAR($B$109))+MONTH(CN$3)-MONTH($B$109)+1)/MAX(1,'Вводные'!$F$91)&lt;=0.2,0.6,IF((12*(YEAR(CN$3)-YEAR($B$109))+MONTH(CN$3)-MONTH($B$109)+1)/MAX(1,'Вводные'!$F$91)&lt;=0.8,1.2,0.8)))</x:f>
      </x:c>
      <x:c r="CO114" s="35" t="n">
        <x:f>IF(CO113=0,0,IF((12*(YEAR(CO$3)-YEAR($B$109))+MONTH(CO$3)-MONTH($B$109)+1)/MAX(1,'Вводные'!$F$91)&lt;=0.2,0.6,IF((12*(YEAR(CO$3)-YEAR($B$109))+MONTH(CO$3)-MONTH($B$109)+1)/MAX(1,'Вводные'!$F$91)&lt;=0.8,1.2,0.8)))</x:f>
      </x:c>
      <x:c r="CP114" s="35" t="n">
        <x:f>IF(CP113=0,0,IF((12*(YEAR(CP$3)-YEAR($B$109))+MONTH(CP$3)-MONTH($B$109)+1)/MAX(1,'Вводные'!$F$91)&lt;=0.2,0.6,IF((12*(YEAR(CP$3)-YEAR($B$109))+MONTH(CP$3)-MONTH($B$109)+1)/MAX(1,'Вводные'!$F$91)&lt;=0.8,1.2,0.8)))</x:f>
      </x:c>
      <x:c r="CQ114" s="35" t="n">
        <x:f>IF(CQ113=0,0,IF((12*(YEAR(CQ$3)-YEAR($B$109))+MONTH(CQ$3)-MONTH($B$109)+1)/MAX(1,'Вводные'!$F$91)&lt;=0.2,0.6,IF((12*(YEAR(CQ$3)-YEAR($B$109))+MONTH(CQ$3)-MONTH($B$109)+1)/MAX(1,'Вводные'!$F$91)&lt;=0.8,1.2,0.8)))</x:f>
      </x:c>
      <x:c r="CR114" s="35" t="n">
        <x:f>IF(CR113=0,0,IF((12*(YEAR(CR$3)-YEAR($B$109))+MONTH(CR$3)-MONTH($B$109)+1)/MAX(1,'Вводные'!$F$91)&lt;=0.2,0.6,IF((12*(YEAR(CR$3)-YEAR($B$109))+MONTH(CR$3)-MONTH($B$109)+1)/MAX(1,'Вводные'!$F$91)&lt;=0.8,1.2,0.8)))</x:f>
      </x:c>
      <x:c r="CS114" s="35" t="n">
        <x:f>IF(CS113=0,0,IF((12*(YEAR(CS$3)-YEAR($B$109))+MONTH(CS$3)-MONTH($B$109)+1)/MAX(1,'Вводные'!$F$91)&lt;=0.2,0.6,IF((12*(YEAR(CS$3)-YEAR($B$109))+MONTH(CS$3)-MONTH($B$109)+1)/MAX(1,'Вводные'!$F$91)&lt;=0.8,1.2,0.8)))</x:f>
      </x:c>
      <x:c r="CT114" s="35" t="n">
        <x:f>IF(CT113=0,0,IF((12*(YEAR(CT$3)-YEAR($B$109))+MONTH(CT$3)-MONTH($B$109)+1)/MAX(1,'Вводные'!$F$91)&lt;=0.2,0.6,IF((12*(YEAR(CT$3)-YEAR($B$109))+MONTH(CT$3)-MONTH($B$109)+1)/MAX(1,'Вводные'!$F$91)&lt;=0.8,1.2,0.8)))</x:f>
      </x:c>
      <x:c r="CU114" s="35" t="n">
        <x:f>IF(CU113=0,0,IF((12*(YEAR(CU$3)-YEAR($B$109))+MONTH(CU$3)-MONTH($B$109)+1)/MAX(1,'Вводные'!$F$91)&lt;=0.2,0.6,IF((12*(YEAR(CU$3)-YEAR($B$109))+MONTH(CU$3)-MONTH($B$109)+1)/MAX(1,'Вводные'!$F$91)&lt;=0.8,1.2,0.8)))</x:f>
      </x:c>
      <x:c r="CV114" s="35" t="n">
        <x:f>IF(CV113=0,0,IF((12*(YEAR(CV$3)-YEAR($B$109))+MONTH(CV$3)-MONTH($B$109)+1)/MAX(1,'Вводные'!$F$91)&lt;=0.2,0.6,IF((12*(YEAR(CV$3)-YEAR($B$109))+MONTH(CV$3)-MONTH($B$109)+1)/MAX(1,'Вводные'!$F$91)&lt;=0.8,1.2,0.8)))</x:f>
      </x:c>
      <x:c r="CW114" s="35" t="n">
        <x:f>IF(CW113=0,0,IF((12*(YEAR(CW$3)-YEAR($B$109))+MONTH(CW$3)-MONTH($B$109)+1)/MAX(1,'Вводные'!$F$91)&lt;=0.2,0.6,IF((12*(YEAR(CW$3)-YEAR($B$109))+MONTH(CW$3)-MONTH($B$109)+1)/MAX(1,'Вводные'!$F$91)&lt;=0.8,1.2,0.8)))</x:f>
      </x:c>
      <x:c r="CX114" s="35" t="n">
        <x:f>IF(CX113=0,0,IF((12*(YEAR(CX$3)-YEAR($B$109))+MONTH(CX$3)-MONTH($B$109)+1)/MAX(1,'Вводные'!$F$91)&lt;=0.2,0.6,IF((12*(YEAR(CX$3)-YEAR($B$109))+MONTH(CX$3)-MONTH($B$109)+1)/MAX(1,'Вводные'!$F$91)&lt;=0.8,1.2,0.8)))</x:f>
      </x:c>
      <x:c r="CY114" s="35" t="n">
        <x:f>IF(CY113=0,0,IF((12*(YEAR(CY$3)-YEAR($B$109))+MONTH(CY$3)-MONTH($B$109)+1)/MAX(1,'Вводные'!$F$91)&lt;=0.2,0.6,IF((12*(YEAR(CY$3)-YEAR($B$109))+MONTH(CY$3)-MONTH($B$109)+1)/MAX(1,'Вводные'!$F$91)&lt;=0.8,1.2,0.8)))</x:f>
      </x:c>
      <x:c r="CZ114" s="35" t="n">
        <x:f>IF(CZ113=0,0,IF((12*(YEAR(CZ$3)-YEAR($B$109))+MONTH(CZ$3)-MONTH($B$109)+1)/MAX(1,'Вводные'!$F$91)&lt;=0.2,0.6,IF((12*(YEAR(CZ$3)-YEAR($B$109))+MONTH(CZ$3)-MONTH($B$109)+1)/MAX(1,'Вводные'!$F$91)&lt;=0.8,1.2,0.8)))</x:f>
      </x:c>
      <x:c r="DA114" s="35" t="n">
        <x:f>IF(DA113=0,0,IF((12*(YEAR(DA$3)-YEAR($B$109))+MONTH(DA$3)-MONTH($B$109)+1)/MAX(1,'Вводные'!$F$91)&lt;=0.2,0.6,IF((12*(YEAR(DA$3)-YEAR($B$109))+MONTH(DA$3)-MONTH($B$109)+1)/MAX(1,'Вводные'!$F$91)&lt;=0.8,1.2,0.8)))</x:f>
      </x:c>
      <x:c r="DB114" s="35" t="n">
        <x:f>IF(DB113=0,0,IF((12*(YEAR(DB$3)-YEAR($B$109))+MONTH(DB$3)-MONTH($B$109)+1)/MAX(1,'Вводные'!$F$91)&lt;=0.2,0.6,IF((12*(YEAR(DB$3)-YEAR($B$109))+MONTH(DB$3)-MONTH($B$109)+1)/MAX(1,'Вводные'!$F$91)&lt;=0.8,1.2,0.8)))</x:f>
      </x:c>
      <x:c r="DC114" s="35" t="n">
        <x:f>IF(DC113=0,0,IF((12*(YEAR(DC$3)-YEAR($B$109))+MONTH(DC$3)-MONTH($B$109)+1)/MAX(1,'Вводные'!$F$91)&lt;=0.2,0.6,IF((12*(YEAR(DC$3)-YEAR($B$109))+MONTH(DC$3)-MONTH($B$109)+1)/MAX(1,'Вводные'!$F$91)&lt;=0.8,1.2,0.8)))</x:f>
      </x:c>
      <x:c r="DD114" s="35" t="n">
        <x:f>IF(DD113=0,0,IF((12*(YEAR(DD$3)-YEAR($B$109))+MONTH(DD$3)-MONTH($B$109)+1)/MAX(1,'Вводные'!$F$91)&lt;=0.2,0.6,IF((12*(YEAR(DD$3)-YEAR($B$109))+MONTH(DD$3)-MONTH($B$109)+1)/MAX(1,'Вводные'!$F$91)&lt;=0.8,1.2,0.8)))</x:f>
      </x:c>
      <x:c r="DE114" s="35" t="n">
        <x:f>IF(DE113=0,0,IF((12*(YEAR(DE$3)-YEAR($B$109))+MONTH(DE$3)-MONTH($B$109)+1)/MAX(1,'Вводные'!$F$91)&lt;=0.2,0.6,IF((12*(YEAR(DE$3)-YEAR($B$109))+MONTH(DE$3)-MONTH($B$109)+1)/MAX(1,'Вводные'!$F$91)&lt;=0.8,1.2,0.8)))</x:f>
      </x:c>
      <x:c r="DF114" s="35" t="n">
        <x:f>IF(DF113=0,0,IF((12*(YEAR(DF$3)-YEAR($B$109))+MONTH(DF$3)-MONTH($B$109)+1)/MAX(1,'Вводные'!$F$91)&lt;=0.2,0.6,IF((12*(YEAR(DF$3)-YEAR($B$109))+MONTH(DF$3)-MONTH($B$109)+1)/MAX(1,'Вводные'!$F$91)&lt;=0.8,1.2,0.8)))</x:f>
      </x:c>
      <x:c r="DG114" s="35" t="n">
        <x:f>IF(DG113=0,0,IF((12*(YEAR(DG$3)-YEAR($B$109))+MONTH(DG$3)-MONTH($B$109)+1)/MAX(1,'Вводные'!$F$91)&lt;=0.2,0.6,IF((12*(YEAR(DG$3)-YEAR($B$109))+MONTH(DG$3)-MONTH($B$109)+1)/MAX(1,'Вводные'!$F$91)&lt;=0.8,1.2,0.8)))</x:f>
      </x:c>
      <x:c r="DH114" s="35" t="n">
        <x:f>IF(DH113=0,0,IF((12*(YEAR(DH$3)-YEAR($B$109))+MONTH(DH$3)-MONTH($B$109)+1)/MAX(1,'Вводные'!$F$91)&lt;=0.2,0.6,IF((12*(YEAR(DH$3)-YEAR($B$109))+MONTH(DH$3)-MONTH($B$109)+1)/MAX(1,'Вводные'!$F$91)&lt;=0.8,1.2,0.8)))</x:f>
      </x:c>
      <x:c r="DI114" s="35" t="n">
        <x:f>IF(DI113=0,0,IF((12*(YEAR(DI$3)-YEAR($B$109))+MONTH(DI$3)-MONTH($B$109)+1)/MAX(1,'Вводные'!$F$91)&lt;=0.2,0.6,IF((12*(YEAR(DI$3)-YEAR($B$109))+MONTH(DI$3)-MONTH($B$109)+1)/MAX(1,'Вводные'!$F$91)&lt;=0.8,1.2,0.8)))</x:f>
      </x:c>
      <x:c r="DJ114" s="35" t="n">
        <x:f>IF(DJ113=0,0,IF((12*(YEAR(DJ$3)-YEAR($B$109))+MONTH(DJ$3)-MONTH($B$109)+1)/MAX(1,'Вводные'!$F$91)&lt;=0.2,0.6,IF((12*(YEAR(DJ$3)-YEAR($B$109))+MONTH(DJ$3)-MONTH($B$109)+1)/MAX(1,'Вводные'!$F$91)&lt;=0.8,1.2,0.8)))</x:f>
      </x:c>
      <x:c r="DK114" s="35" t="n">
        <x:f>IF(DK113=0,0,IF((12*(YEAR(DK$3)-YEAR($B$109))+MONTH(DK$3)-MONTH($B$109)+1)/MAX(1,'Вводные'!$F$91)&lt;=0.2,0.6,IF((12*(YEAR(DK$3)-YEAR($B$109))+MONTH(DK$3)-MONTH($B$109)+1)/MAX(1,'Вводные'!$F$91)&lt;=0.8,1.2,0.8)))</x:f>
      </x:c>
      <x:c r="DL114" s="35" t="n">
        <x:f>IF(DL113=0,0,IF((12*(YEAR(DL$3)-YEAR($B$109))+MONTH(DL$3)-MONTH($B$109)+1)/MAX(1,'Вводные'!$F$91)&lt;=0.2,0.6,IF((12*(YEAR(DL$3)-YEAR($B$109))+MONTH(DL$3)-MONTH($B$109)+1)/MAX(1,'Вводные'!$F$91)&lt;=0.8,1.2,0.8)))</x:f>
      </x:c>
      <x:c r="DM114" s="35" t="n">
        <x:f>IF(DM113=0,0,IF((12*(YEAR(DM$3)-YEAR($B$109))+MONTH(DM$3)-MONTH($B$109)+1)/MAX(1,'Вводные'!$F$91)&lt;=0.2,0.6,IF((12*(YEAR(DM$3)-YEAR($B$109))+MONTH(DM$3)-MONTH($B$109)+1)/MAX(1,'Вводные'!$F$91)&lt;=0.8,1.2,0.8)))</x:f>
      </x:c>
      <x:c r="DN114" s="35" t="n">
        <x:f>IF(DN113=0,0,IF((12*(YEAR(DN$3)-YEAR($B$109))+MONTH(DN$3)-MONTH($B$109)+1)/MAX(1,'Вводные'!$F$91)&lt;=0.2,0.6,IF((12*(YEAR(DN$3)-YEAR($B$109))+MONTH(DN$3)-MONTH($B$109)+1)/MAX(1,'Вводные'!$F$91)&lt;=0.8,1.2,0.8)))</x:f>
      </x:c>
      <x:c r="DO114" s="35" t="n">
        <x:f>IF(DO113=0,0,IF((12*(YEAR(DO$3)-YEAR($B$109))+MONTH(DO$3)-MONTH($B$109)+1)/MAX(1,'Вводные'!$F$91)&lt;=0.2,0.6,IF((12*(YEAR(DO$3)-YEAR($B$109))+MONTH(DO$3)-MONTH($B$109)+1)/MAX(1,'Вводные'!$F$91)&lt;=0.8,1.2,0.8)))</x:f>
      </x:c>
      <x:c r="DP114" s="35" t="n">
        <x:f>IF(DP113=0,0,IF((12*(YEAR(DP$3)-YEAR($B$109))+MONTH(DP$3)-MONTH($B$109)+1)/MAX(1,'Вводные'!$F$91)&lt;=0.2,0.6,IF((12*(YEAR(DP$3)-YEAR($B$109))+MONTH(DP$3)-MONTH($B$109)+1)/MAX(1,'Вводные'!$F$91)&lt;=0.8,1.2,0.8)))</x:f>
      </x:c>
      <x:c r="DQ114" s="35" t="n">
        <x:f>IF(DQ113=0,0,IF((12*(YEAR(DQ$3)-YEAR($B$109))+MONTH(DQ$3)-MONTH($B$109)+1)/MAX(1,'Вводные'!$F$91)&lt;=0.2,0.6,IF((12*(YEAR(DQ$3)-YEAR($B$109))+MONTH(DQ$3)-MONTH($B$109)+1)/MAX(1,'Вводные'!$F$91)&lt;=0.8,1.2,0.8)))</x:f>
      </x:c>
      <x:c r="DR114" s="35" t="n">
        <x:f>IF(DR113=0,0,IF((12*(YEAR(DR$3)-YEAR($B$109))+MONTH(DR$3)-MONTH($B$109)+1)/MAX(1,'Вводные'!$F$91)&lt;=0.2,0.6,IF((12*(YEAR(DR$3)-YEAR($B$109))+MONTH(DR$3)-MONTH($B$109)+1)/MAX(1,'Вводные'!$F$91)&lt;=0.8,1.2,0.8)))</x:f>
      </x:c>
      <x:c r="DS114" s="35" t="n">
        <x:f>IF(DS113=0,0,IF((12*(YEAR(DS$3)-YEAR($B$109))+MONTH(DS$3)-MONTH($B$109)+1)/MAX(1,'Вводные'!$F$91)&lt;=0.2,0.6,IF((12*(YEAR(DS$3)-YEAR($B$109))+MONTH(DS$3)-MONTH($B$109)+1)/MAX(1,'Вводные'!$F$91)&lt;=0.8,1.2,0.8)))</x:f>
      </x:c>
    </x:row>
    <x:row r="115">
      <x:c r="A115" t="str">
        <x:v>Нормированный вес строительства</x:v>
      </x:c>
      <x:c r="B115"/>
      <x:c r="C115" t="str">
        <x:v>%</x:v>
      </x:c>
      <x:c r="D115" s="35" t="n">
        <x:f>IFERROR(D114/SUM($D114:$DS114),0)</x:f>
      </x:c>
      <x:c r="E115" s="35" t="n">
        <x:f>IFERROR(E114/SUM($D114:$DS114),0)</x:f>
      </x:c>
      <x:c r="F115" s="35" t="n">
        <x:f>IFERROR(F114/SUM($D114:$DS114),0)</x:f>
      </x:c>
      <x:c r="G115" s="35" t="n">
        <x:f>IFERROR(G114/SUM($D114:$DS114),0)</x:f>
      </x:c>
      <x:c r="H115" s="35" t="n">
        <x:f>IFERROR(H114/SUM($D114:$DS114),0)</x:f>
      </x:c>
      <x:c r="I115" s="35" t="n">
        <x:f>IFERROR(I114/SUM($D114:$DS114),0)</x:f>
      </x:c>
      <x:c r="J115" s="35" t="n">
        <x:f>IFERROR(J114/SUM($D114:$DS114),0)</x:f>
      </x:c>
      <x:c r="K115" s="35" t="n">
        <x:f>IFERROR(K114/SUM($D114:$DS114),0)</x:f>
      </x:c>
      <x:c r="L115" s="35" t="n">
        <x:f>IFERROR(L114/SUM($D114:$DS114),0)</x:f>
      </x:c>
      <x:c r="M115" s="35" t="n">
        <x:f>IFERROR(M114/SUM($D114:$DS114),0)</x:f>
      </x:c>
      <x:c r="N115" s="35" t="n">
        <x:f>IFERROR(N114/SUM($D114:$DS114),0)</x:f>
      </x:c>
      <x:c r="O115" s="35" t="n">
        <x:f>IFERROR(O114/SUM($D114:$DS114),0)</x:f>
      </x:c>
      <x:c r="P115" s="35" t="n">
        <x:f>IFERROR(P114/SUM($D114:$DS114),0)</x:f>
      </x:c>
      <x:c r="Q115" s="35" t="n">
        <x:f>IFERROR(Q114/SUM($D114:$DS114),0)</x:f>
      </x:c>
      <x:c r="R115" s="35" t="n">
        <x:f>IFERROR(R114/SUM($D114:$DS114),0)</x:f>
      </x:c>
      <x:c r="S115" s="35" t="n">
        <x:f>IFERROR(S114/SUM($D114:$DS114),0)</x:f>
      </x:c>
      <x:c r="T115" s="35" t="n">
        <x:f>IFERROR(T114/SUM($D114:$DS114),0)</x:f>
      </x:c>
      <x:c r="U115" s="35" t="n">
        <x:f>IFERROR(U114/SUM($D114:$DS114),0)</x:f>
      </x:c>
      <x:c r="V115" s="35" t="n">
        <x:f>IFERROR(V114/SUM($D114:$DS114),0)</x:f>
      </x:c>
      <x:c r="W115" s="35" t="n">
        <x:f>IFERROR(W114/SUM($D114:$DS114),0)</x:f>
      </x:c>
      <x:c r="X115" s="35" t="n">
        <x:f>IFERROR(X114/SUM($D114:$DS114),0)</x:f>
      </x:c>
      <x:c r="Y115" s="35" t="n">
        <x:f>IFERROR(Y114/SUM($D114:$DS114),0)</x:f>
      </x:c>
      <x:c r="Z115" s="35" t="n">
        <x:f>IFERROR(Z114/SUM($D114:$DS114),0)</x:f>
      </x:c>
      <x:c r="AA115" s="35" t="n">
        <x:f>IFERROR(AA114/SUM($D114:$DS114),0)</x:f>
      </x:c>
      <x:c r="AB115" s="35" t="n">
        <x:f>IFERROR(AB114/SUM($D114:$DS114),0)</x:f>
      </x:c>
      <x:c r="AC115" s="35" t="n">
        <x:f>IFERROR(AC114/SUM($D114:$DS114),0)</x:f>
      </x:c>
      <x:c r="AD115" s="35" t="n">
        <x:f>IFERROR(AD114/SUM($D114:$DS114),0)</x:f>
      </x:c>
      <x:c r="AE115" s="35" t="n">
        <x:f>IFERROR(AE114/SUM($D114:$DS114),0)</x:f>
      </x:c>
      <x:c r="AF115" s="35" t="n">
        <x:f>IFERROR(AF114/SUM($D114:$DS114),0)</x:f>
      </x:c>
      <x:c r="AG115" s="35" t="n">
        <x:f>IFERROR(AG114/SUM($D114:$DS114),0)</x:f>
      </x:c>
      <x:c r="AH115" s="35" t="n">
        <x:f>IFERROR(AH114/SUM($D114:$DS114),0)</x:f>
      </x:c>
      <x:c r="AI115" s="35" t="n">
        <x:f>IFERROR(AI114/SUM($D114:$DS114),0)</x:f>
      </x:c>
      <x:c r="AJ115" s="35" t="n">
        <x:f>IFERROR(AJ114/SUM($D114:$DS114),0)</x:f>
      </x:c>
      <x:c r="AK115" s="35" t="n">
        <x:f>IFERROR(AK114/SUM($D114:$DS114),0)</x:f>
      </x:c>
      <x:c r="AL115" s="35" t="n">
        <x:f>IFERROR(AL114/SUM($D114:$DS114),0)</x:f>
      </x:c>
      <x:c r="AM115" s="35" t="n">
        <x:f>IFERROR(AM114/SUM($D114:$DS114),0)</x:f>
      </x:c>
      <x:c r="AN115" s="35" t="n">
        <x:f>IFERROR(AN114/SUM($D114:$DS114),0)</x:f>
      </x:c>
      <x:c r="AO115" s="35" t="n">
        <x:f>IFERROR(AO114/SUM($D114:$DS114),0)</x:f>
      </x:c>
      <x:c r="AP115" s="35" t="n">
        <x:f>IFERROR(AP114/SUM($D114:$DS114),0)</x:f>
      </x:c>
      <x:c r="AQ115" s="35" t="n">
        <x:f>IFERROR(AQ114/SUM($D114:$DS114),0)</x:f>
      </x:c>
      <x:c r="AR115" s="35" t="n">
        <x:f>IFERROR(AR114/SUM($D114:$DS114),0)</x:f>
      </x:c>
      <x:c r="AS115" s="35" t="n">
        <x:f>IFERROR(AS114/SUM($D114:$DS114),0)</x:f>
      </x:c>
      <x:c r="AT115" s="35" t="n">
        <x:f>IFERROR(AT114/SUM($D114:$DS114),0)</x:f>
      </x:c>
      <x:c r="AU115" s="35" t="n">
        <x:f>IFERROR(AU114/SUM($D114:$DS114),0)</x:f>
      </x:c>
      <x:c r="AV115" s="35" t="n">
        <x:f>IFERROR(AV114/SUM($D114:$DS114),0)</x:f>
      </x:c>
      <x:c r="AW115" s="35" t="n">
        <x:f>IFERROR(AW114/SUM($D114:$DS114),0)</x:f>
      </x:c>
      <x:c r="AX115" s="35" t="n">
        <x:f>IFERROR(AX114/SUM($D114:$DS114),0)</x:f>
      </x:c>
      <x:c r="AY115" s="35" t="n">
        <x:f>IFERROR(AY114/SUM($D114:$DS114),0)</x:f>
      </x:c>
      <x:c r="AZ115" s="35" t="n">
        <x:f>IFERROR(AZ114/SUM($D114:$DS114),0)</x:f>
      </x:c>
      <x:c r="BA115" s="35" t="n">
        <x:f>IFERROR(BA114/SUM($D114:$DS114),0)</x:f>
      </x:c>
      <x:c r="BB115" s="35" t="n">
        <x:f>IFERROR(BB114/SUM($D114:$DS114),0)</x:f>
      </x:c>
      <x:c r="BC115" s="35" t="n">
        <x:f>IFERROR(BC114/SUM($D114:$DS114),0)</x:f>
      </x:c>
      <x:c r="BD115" s="35" t="n">
        <x:f>IFERROR(BD114/SUM($D114:$DS114),0)</x:f>
      </x:c>
      <x:c r="BE115" s="35" t="n">
        <x:f>IFERROR(BE114/SUM($D114:$DS114),0)</x:f>
      </x:c>
      <x:c r="BF115" s="35" t="n">
        <x:f>IFERROR(BF114/SUM($D114:$DS114),0)</x:f>
      </x:c>
      <x:c r="BG115" s="35" t="n">
        <x:f>IFERROR(BG114/SUM($D114:$DS114),0)</x:f>
      </x:c>
      <x:c r="BH115" s="35" t="n">
        <x:f>IFERROR(BH114/SUM($D114:$DS114),0)</x:f>
      </x:c>
      <x:c r="BI115" s="35" t="n">
        <x:f>IFERROR(BI114/SUM($D114:$DS114),0)</x:f>
      </x:c>
      <x:c r="BJ115" s="35" t="n">
        <x:f>IFERROR(BJ114/SUM($D114:$DS114),0)</x:f>
      </x:c>
      <x:c r="BK115" s="35" t="n">
        <x:f>IFERROR(BK114/SUM($D114:$DS114),0)</x:f>
      </x:c>
      <x:c r="BL115" s="35" t="n">
        <x:f>IFERROR(BL114/SUM($D114:$DS114),0)</x:f>
      </x:c>
      <x:c r="BM115" s="35" t="n">
        <x:f>IFERROR(BM114/SUM($D114:$DS114),0)</x:f>
      </x:c>
      <x:c r="BN115" s="35" t="n">
        <x:f>IFERROR(BN114/SUM($D114:$DS114),0)</x:f>
      </x:c>
      <x:c r="BO115" s="35" t="n">
        <x:f>IFERROR(BO114/SUM($D114:$DS114),0)</x:f>
      </x:c>
      <x:c r="BP115" s="35" t="n">
        <x:f>IFERROR(BP114/SUM($D114:$DS114),0)</x:f>
      </x:c>
      <x:c r="BQ115" s="35" t="n">
        <x:f>IFERROR(BQ114/SUM($D114:$DS114),0)</x:f>
      </x:c>
      <x:c r="BR115" s="35" t="n">
        <x:f>IFERROR(BR114/SUM($D114:$DS114),0)</x:f>
      </x:c>
      <x:c r="BS115" s="35" t="n">
        <x:f>IFERROR(BS114/SUM($D114:$DS114),0)</x:f>
      </x:c>
      <x:c r="BT115" s="35" t="n">
        <x:f>IFERROR(BT114/SUM($D114:$DS114),0)</x:f>
      </x:c>
      <x:c r="BU115" s="35" t="n">
        <x:f>IFERROR(BU114/SUM($D114:$DS114),0)</x:f>
      </x:c>
      <x:c r="BV115" s="35" t="n">
        <x:f>IFERROR(BV114/SUM($D114:$DS114),0)</x:f>
      </x:c>
      <x:c r="BW115" s="35" t="n">
        <x:f>IFERROR(BW114/SUM($D114:$DS114),0)</x:f>
      </x:c>
      <x:c r="BX115" s="35" t="n">
        <x:f>IFERROR(BX114/SUM($D114:$DS114),0)</x:f>
      </x:c>
      <x:c r="BY115" s="35" t="n">
        <x:f>IFERROR(BY114/SUM($D114:$DS114),0)</x:f>
      </x:c>
      <x:c r="BZ115" s="35" t="n">
        <x:f>IFERROR(BZ114/SUM($D114:$DS114),0)</x:f>
      </x:c>
      <x:c r="CA115" s="35" t="n">
        <x:f>IFERROR(CA114/SUM($D114:$DS114),0)</x:f>
      </x:c>
      <x:c r="CB115" s="35" t="n">
        <x:f>IFERROR(CB114/SUM($D114:$DS114),0)</x:f>
      </x:c>
      <x:c r="CC115" s="35" t="n">
        <x:f>IFERROR(CC114/SUM($D114:$DS114),0)</x:f>
      </x:c>
      <x:c r="CD115" s="35" t="n">
        <x:f>IFERROR(CD114/SUM($D114:$DS114),0)</x:f>
      </x:c>
      <x:c r="CE115" s="35" t="n">
        <x:f>IFERROR(CE114/SUM($D114:$DS114),0)</x:f>
      </x:c>
      <x:c r="CF115" s="35" t="n">
        <x:f>IFERROR(CF114/SUM($D114:$DS114),0)</x:f>
      </x:c>
      <x:c r="CG115" s="35" t="n">
        <x:f>IFERROR(CG114/SUM($D114:$DS114),0)</x:f>
      </x:c>
      <x:c r="CH115" s="35" t="n">
        <x:f>IFERROR(CH114/SUM($D114:$DS114),0)</x:f>
      </x:c>
      <x:c r="CI115" s="35" t="n">
        <x:f>IFERROR(CI114/SUM($D114:$DS114),0)</x:f>
      </x:c>
      <x:c r="CJ115" s="35" t="n">
        <x:f>IFERROR(CJ114/SUM($D114:$DS114),0)</x:f>
      </x:c>
      <x:c r="CK115" s="35" t="n">
        <x:f>IFERROR(CK114/SUM($D114:$DS114),0)</x:f>
      </x:c>
      <x:c r="CL115" s="35" t="n">
        <x:f>IFERROR(CL114/SUM($D114:$DS114),0)</x:f>
      </x:c>
      <x:c r="CM115" s="35" t="n">
        <x:f>IFERROR(CM114/SUM($D114:$DS114),0)</x:f>
      </x:c>
      <x:c r="CN115" s="35" t="n">
        <x:f>IFERROR(CN114/SUM($D114:$DS114),0)</x:f>
      </x:c>
      <x:c r="CO115" s="35" t="n">
        <x:f>IFERROR(CO114/SUM($D114:$DS114),0)</x:f>
      </x:c>
      <x:c r="CP115" s="35" t="n">
        <x:f>IFERROR(CP114/SUM($D114:$DS114),0)</x:f>
      </x:c>
      <x:c r="CQ115" s="35" t="n">
        <x:f>IFERROR(CQ114/SUM($D114:$DS114),0)</x:f>
      </x:c>
      <x:c r="CR115" s="35" t="n">
        <x:f>IFERROR(CR114/SUM($D114:$DS114),0)</x:f>
      </x:c>
      <x:c r="CS115" s="35" t="n">
        <x:f>IFERROR(CS114/SUM($D114:$DS114),0)</x:f>
      </x:c>
      <x:c r="CT115" s="35" t="n">
        <x:f>IFERROR(CT114/SUM($D114:$DS114),0)</x:f>
      </x:c>
      <x:c r="CU115" s="35" t="n">
        <x:f>IFERROR(CU114/SUM($D114:$DS114),0)</x:f>
      </x:c>
      <x:c r="CV115" s="35" t="n">
        <x:f>IFERROR(CV114/SUM($D114:$DS114),0)</x:f>
      </x:c>
      <x:c r="CW115" s="35" t="n">
        <x:f>IFERROR(CW114/SUM($D114:$DS114),0)</x:f>
      </x:c>
      <x:c r="CX115" s="35" t="n">
        <x:f>IFERROR(CX114/SUM($D114:$DS114),0)</x:f>
      </x:c>
      <x:c r="CY115" s="35" t="n">
        <x:f>IFERROR(CY114/SUM($D114:$DS114),0)</x:f>
      </x:c>
      <x:c r="CZ115" s="35" t="n">
        <x:f>IFERROR(CZ114/SUM($D114:$DS114),0)</x:f>
      </x:c>
      <x:c r="DA115" s="35" t="n">
        <x:f>IFERROR(DA114/SUM($D114:$DS114),0)</x:f>
      </x:c>
      <x:c r="DB115" s="35" t="n">
        <x:f>IFERROR(DB114/SUM($D114:$DS114),0)</x:f>
      </x:c>
      <x:c r="DC115" s="35" t="n">
        <x:f>IFERROR(DC114/SUM($D114:$DS114),0)</x:f>
      </x:c>
      <x:c r="DD115" s="35" t="n">
        <x:f>IFERROR(DD114/SUM($D114:$DS114),0)</x:f>
      </x:c>
      <x:c r="DE115" s="35" t="n">
        <x:f>IFERROR(DE114/SUM($D114:$DS114),0)</x:f>
      </x:c>
      <x:c r="DF115" s="35" t="n">
        <x:f>IFERROR(DF114/SUM($D114:$DS114),0)</x:f>
      </x:c>
      <x:c r="DG115" s="35" t="n">
        <x:f>IFERROR(DG114/SUM($D114:$DS114),0)</x:f>
      </x:c>
      <x:c r="DH115" s="35" t="n">
        <x:f>IFERROR(DH114/SUM($D114:$DS114),0)</x:f>
      </x:c>
      <x:c r="DI115" s="35" t="n">
        <x:f>IFERROR(DI114/SUM($D114:$DS114),0)</x:f>
      </x:c>
      <x:c r="DJ115" s="35" t="n">
        <x:f>IFERROR(DJ114/SUM($D114:$DS114),0)</x:f>
      </x:c>
      <x:c r="DK115" s="35" t="n">
        <x:f>IFERROR(DK114/SUM($D114:$DS114),0)</x:f>
      </x:c>
      <x:c r="DL115" s="35" t="n">
        <x:f>IFERROR(DL114/SUM($D114:$DS114),0)</x:f>
      </x:c>
      <x:c r="DM115" s="35" t="n">
        <x:f>IFERROR(DM114/SUM($D114:$DS114),0)</x:f>
      </x:c>
      <x:c r="DN115" s="35" t="n">
        <x:f>IFERROR(DN114/SUM($D114:$DS114),0)</x:f>
      </x:c>
      <x:c r="DO115" s="35" t="n">
        <x:f>IFERROR(DO114/SUM($D114:$DS114),0)</x:f>
      </x:c>
      <x:c r="DP115" s="35" t="n">
        <x:f>IFERROR(DP114/SUM($D114:$DS114),0)</x:f>
      </x:c>
      <x:c r="DQ115" s="35" t="n">
        <x:f>IFERROR(DQ114/SUM($D114:$DS114),0)</x:f>
      </x:c>
      <x:c r="DR115" s="35" t="n">
        <x:f>IFERROR(DR114/SUM($D114:$DS114),0)</x:f>
      </x:c>
      <x:c r="DS115" s="35" t="n">
        <x:f>IFERROR(DS114/SUM($D114:$DS114),0)</x:f>
      </x:c>
    </x:row>
    <x:row r="116">
      <x:c r="A116" t="str">
        <x:v>Покупка / цена входа</x:v>
      </x:c>
      <x:c r="B116" s="107" t="n">
        <x:f>'Вводные'!$B$15*'Вводные'!$P$91*--('Вводные'!$B$91="Да")</x:f>
      </x:c>
      <x:c r="C116" t="str">
        <x:v>млн ₽</x:v>
      </x:c>
      <x:c r="D116" s="117" t="n">
        <x:f>IF(AND(YEAR(D$3)=YEAR(EDATE('Вводные'!$D$91,'Вводные'!$H$9)),MONTH(D$3)=MONTH(EDATE('Вводные'!$D$91,'Вводные'!$H$9))),$B$116,0)</x:f>
      </x:c>
      <x:c r="E116" s="117" t="n">
        <x:f>IF(AND(YEAR(E$3)=YEAR(EDATE('Вводные'!$D$91,'Вводные'!$H$9)),MONTH(E$3)=MONTH(EDATE('Вводные'!$D$91,'Вводные'!$H$9))),$B$116,0)</x:f>
      </x:c>
      <x:c r="F116" s="117" t="n">
        <x:f>IF(AND(YEAR(F$3)=YEAR(EDATE('Вводные'!$D$91,'Вводные'!$H$9)),MONTH(F$3)=MONTH(EDATE('Вводные'!$D$91,'Вводные'!$H$9))),$B$116,0)</x:f>
      </x:c>
      <x:c r="G116" s="117" t="n">
        <x:f>IF(AND(YEAR(G$3)=YEAR(EDATE('Вводные'!$D$91,'Вводные'!$H$9)),MONTH(G$3)=MONTH(EDATE('Вводные'!$D$91,'Вводные'!$H$9))),$B$116,0)</x:f>
      </x:c>
      <x:c r="H116" s="117" t="n">
        <x:f>IF(AND(YEAR(H$3)=YEAR(EDATE('Вводные'!$D$91,'Вводные'!$H$9)),MONTH(H$3)=MONTH(EDATE('Вводные'!$D$91,'Вводные'!$H$9))),$B$116,0)</x:f>
      </x:c>
      <x:c r="I116" s="117" t="n">
        <x:f>IF(AND(YEAR(I$3)=YEAR(EDATE('Вводные'!$D$91,'Вводные'!$H$9)),MONTH(I$3)=MONTH(EDATE('Вводные'!$D$91,'Вводные'!$H$9))),$B$116,0)</x:f>
      </x:c>
      <x:c r="J116" s="117" t="n">
        <x:f>IF(AND(YEAR(J$3)=YEAR(EDATE('Вводные'!$D$91,'Вводные'!$H$9)),MONTH(J$3)=MONTH(EDATE('Вводные'!$D$91,'Вводные'!$H$9))),$B$116,0)</x:f>
      </x:c>
      <x:c r="K116" s="117" t="n">
        <x:f>IF(AND(YEAR(K$3)=YEAR(EDATE('Вводные'!$D$91,'Вводные'!$H$9)),MONTH(K$3)=MONTH(EDATE('Вводные'!$D$91,'Вводные'!$H$9))),$B$116,0)</x:f>
      </x:c>
      <x:c r="L116" s="117" t="n">
        <x:f>IF(AND(YEAR(L$3)=YEAR(EDATE('Вводные'!$D$91,'Вводные'!$H$9)),MONTH(L$3)=MONTH(EDATE('Вводные'!$D$91,'Вводные'!$H$9))),$B$116,0)</x:f>
      </x:c>
      <x:c r="M116" s="117" t="n">
        <x:f>IF(AND(YEAR(M$3)=YEAR(EDATE('Вводные'!$D$91,'Вводные'!$H$9)),MONTH(M$3)=MONTH(EDATE('Вводные'!$D$91,'Вводные'!$H$9))),$B$116,0)</x:f>
      </x:c>
      <x:c r="N116" s="117" t="n">
        <x:f>IF(AND(YEAR(N$3)=YEAR(EDATE('Вводные'!$D$91,'Вводные'!$H$9)),MONTH(N$3)=MONTH(EDATE('Вводные'!$D$91,'Вводные'!$H$9))),$B$116,0)</x:f>
      </x:c>
      <x:c r="O116" s="117" t="n">
        <x:f>IF(AND(YEAR(O$3)=YEAR(EDATE('Вводные'!$D$91,'Вводные'!$H$9)),MONTH(O$3)=MONTH(EDATE('Вводные'!$D$91,'Вводные'!$H$9))),$B$116,0)</x:f>
      </x:c>
      <x:c r="P116" s="117" t="n">
        <x:f>IF(AND(YEAR(P$3)=YEAR(EDATE('Вводные'!$D$91,'Вводные'!$H$9)),MONTH(P$3)=MONTH(EDATE('Вводные'!$D$91,'Вводные'!$H$9))),$B$116,0)</x:f>
      </x:c>
      <x:c r="Q116" s="117" t="n">
        <x:f>IF(AND(YEAR(Q$3)=YEAR(EDATE('Вводные'!$D$91,'Вводные'!$H$9)),MONTH(Q$3)=MONTH(EDATE('Вводные'!$D$91,'Вводные'!$H$9))),$B$116,0)</x:f>
      </x:c>
      <x:c r="R116" s="117" t="n">
        <x:f>IF(AND(YEAR(R$3)=YEAR(EDATE('Вводные'!$D$91,'Вводные'!$H$9)),MONTH(R$3)=MONTH(EDATE('Вводные'!$D$91,'Вводные'!$H$9))),$B$116,0)</x:f>
      </x:c>
      <x:c r="S116" s="117" t="n">
        <x:f>IF(AND(YEAR(S$3)=YEAR(EDATE('Вводные'!$D$91,'Вводные'!$H$9)),MONTH(S$3)=MONTH(EDATE('Вводные'!$D$91,'Вводные'!$H$9))),$B$116,0)</x:f>
      </x:c>
      <x:c r="T116" s="117" t="n">
        <x:f>IF(AND(YEAR(T$3)=YEAR(EDATE('Вводные'!$D$91,'Вводные'!$H$9)),MONTH(T$3)=MONTH(EDATE('Вводные'!$D$91,'Вводные'!$H$9))),$B$116,0)</x:f>
      </x:c>
      <x:c r="U116" s="117" t="n">
        <x:f>IF(AND(YEAR(U$3)=YEAR(EDATE('Вводные'!$D$91,'Вводные'!$H$9)),MONTH(U$3)=MONTH(EDATE('Вводные'!$D$91,'Вводные'!$H$9))),$B$116,0)</x:f>
      </x:c>
      <x:c r="V116" s="117" t="n">
        <x:f>IF(AND(YEAR(V$3)=YEAR(EDATE('Вводные'!$D$91,'Вводные'!$H$9)),MONTH(V$3)=MONTH(EDATE('Вводные'!$D$91,'Вводные'!$H$9))),$B$116,0)</x:f>
      </x:c>
      <x:c r="W116" s="117" t="n">
        <x:f>IF(AND(YEAR(W$3)=YEAR(EDATE('Вводные'!$D$91,'Вводные'!$H$9)),MONTH(W$3)=MONTH(EDATE('Вводные'!$D$91,'Вводные'!$H$9))),$B$116,0)</x:f>
      </x:c>
      <x:c r="X116" s="117" t="n">
        <x:f>IF(AND(YEAR(X$3)=YEAR(EDATE('Вводные'!$D$91,'Вводные'!$H$9)),MONTH(X$3)=MONTH(EDATE('Вводные'!$D$91,'Вводные'!$H$9))),$B$116,0)</x:f>
      </x:c>
      <x:c r="Y116" s="117" t="n">
        <x:f>IF(AND(YEAR(Y$3)=YEAR(EDATE('Вводные'!$D$91,'Вводные'!$H$9)),MONTH(Y$3)=MONTH(EDATE('Вводные'!$D$91,'Вводные'!$H$9))),$B$116,0)</x:f>
      </x:c>
      <x:c r="Z116" s="117" t="n">
        <x:f>IF(AND(YEAR(Z$3)=YEAR(EDATE('Вводные'!$D$91,'Вводные'!$H$9)),MONTH(Z$3)=MONTH(EDATE('Вводные'!$D$91,'Вводные'!$H$9))),$B$116,0)</x:f>
      </x:c>
      <x:c r="AA116" s="117" t="n">
        <x:f>IF(AND(YEAR(AA$3)=YEAR(EDATE('Вводные'!$D$91,'Вводные'!$H$9)),MONTH(AA$3)=MONTH(EDATE('Вводные'!$D$91,'Вводные'!$H$9))),$B$116,0)</x:f>
      </x:c>
      <x:c r="AB116" s="117" t="n">
        <x:f>IF(AND(YEAR(AB$3)=YEAR(EDATE('Вводные'!$D$91,'Вводные'!$H$9)),MONTH(AB$3)=MONTH(EDATE('Вводные'!$D$91,'Вводные'!$H$9))),$B$116,0)</x:f>
      </x:c>
      <x:c r="AC116" s="117" t="n">
        <x:f>IF(AND(YEAR(AC$3)=YEAR(EDATE('Вводные'!$D$91,'Вводные'!$H$9)),MONTH(AC$3)=MONTH(EDATE('Вводные'!$D$91,'Вводные'!$H$9))),$B$116,0)</x:f>
      </x:c>
      <x:c r="AD116" s="117" t="n">
        <x:f>IF(AND(YEAR(AD$3)=YEAR(EDATE('Вводные'!$D$91,'Вводные'!$H$9)),MONTH(AD$3)=MONTH(EDATE('Вводные'!$D$91,'Вводные'!$H$9))),$B$116,0)</x:f>
      </x:c>
      <x:c r="AE116" s="117" t="n">
        <x:f>IF(AND(YEAR(AE$3)=YEAR(EDATE('Вводные'!$D$91,'Вводные'!$H$9)),MONTH(AE$3)=MONTH(EDATE('Вводные'!$D$91,'Вводные'!$H$9))),$B$116,0)</x:f>
      </x:c>
      <x:c r="AF116" s="117" t="n">
        <x:f>IF(AND(YEAR(AF$3)=YEAR(EDATE('Вводные'!$D$91,'Вводные'!$H$9)),MONTH(AF$3)=MONTH(EDATE('Вводные'!$D$91,'Вводные'!$H$9))),$B$116,0)</x:f>
      </x:c>
      <x:c r="AG116" s="117" t="n">
        <x:f>IF(AND(YEAR(AG$3)=YEAR(EDATE('Вводные'!$D$91,'Вводные'!$H$9)),MONTH(AG$3)=MONTH(EDATE('Вводные'!$D$91,'Вводные'!$H$9))),$B$116,0)</x:f>
      </x:c>
      <x:c r="AH116" s="117" t="n">
        <x:f>IF(AND(YEAR(AH$3)=YEAR(EDATE('Вводные'!$D$91,'Вводные'!$H$9)),MONTH(AH$3)=MONTH(EDATE('Вводные'!$D$91,'Вводные'!$H$9))),$B$116,0)</x:f>
      </x:c>
      <x:c r="AI116" s="117" t="n">
        <x:f>IF(AND(YEAR(AI$3)=YEAR(EDATE('Вводные'!$D$91,'Вводные'!$H$9)),MONTH(AI$3)=MONTH(EDATE('Вводные'!$D$91,'Вводные'!$H$9))),$B$116,0)</x:f>
      </x:c>
      <x:c r="AJ116" s="117" t="n">
        <x:f>IF(AND(YEAR(AJ$3)=YEAR(EDATE('Вводные'!$D$91,'Вводные'!$H$9)),MONTH(AJ$3)=MONTH(EDATE('Вводные'!$D$91,'Вводные'!$H$9))),$B$116,0)</x:f>
      </x:c>
      <x:c r="AK116" s="117" t="n">
        <x:f>IF(AND(YEAR(AK$3)=YEAR(EDATE('Вводные'!$D$91,'Вводные'!$H$9)),MONTH(AK$3)=MONTH(EDATE('Вводные'!$D$91,'Вводные'!$H$9))),$B$116,0)</x:f>
      </x:c>
      <x:c r="AL116" s="117" t="n">
        <x:f>IF(AND(YEAR(AL$3)=YEAR(EDATE('Вводные'!$D$91,'Вводные'!$H$9)),MONTH(AL$3)=MONTH(EDATE('Вводные'!$D$91,'Вводные'!$H$9))),$B$116,0)</x:f>
      </x:c>
      <x:c r="AM116" s="117" t="n">
        <x:f>IF(AND(YEAR(AM$3)=YEAR(EDATE('Вводные'!$D$91,'Вводные'!$H$9)),MONTH(AM$3)=MONTH(EDATE('Вводные'!$D$91,'Вводные'!$H$9))),$B$116,0)</x:f>
      </x:c>
      <x:c r="AN116" s="117" t="n">
        <x:f>IF(AND(YEAR(AN$3)=YEAR(EDATE('Вводные'!$D$91,'Вводные'!$H$9)),MONTH(AN$3)=MONTH(EDATE('Вводные'!$D$91,'Вводные'!$H$9))),$B$116,0)</x:f>
      </x:c>
      <x:c r="AO116" s="117" t="n">
        <x:f>IF(AND(YEAR(AO$3)=YEAR(EDATE('Вводные'!$D$91,'Вводные'!$H$9)),MONTH(AO$3)=MONTH(EDATE('Вводные'!$D$91,'Вводные'!$H$9))),$B$116,0)</x:f>
      </x:c>
      <x:c r="AP116" s="117" t="n">
        <x:f>IF(AND(YEAR(AP$3)=YEAR(EDATE('Вводные'!$D$91,'Вводные'!$H$9)),MONTH(AP$3)=MONTH(EDATE('Вводные'!$D$91,'Вводные'!$H$9))),$B$116,0)</x:f>
      </x:c>
      <x:c r="AQ116" s="117" t="n">
        <x:f>IF(AND(YEAR(AQ$3)=YEAR(EDATE('Вводные'!$D$91,'Вводные'!$H$9)),MONTH(AQ$3)=MONTH(EDATE('Вводные'!$D$91,'Вводные'!$H$9))),$B$116,0)</x:f>
      </x:c>
      <x:c r="AR116" s="117" t="n">
        <x:f>IF(AND(YEAR(AR$3)=YEAR(EDATE('Вводные'!$D$91,'Вводные'!$H$9)),MONTH(AR$3)=MONTH(EDATE('Вводные'!$D$91,'Вводные'!$H$9))),$B$116,0)</x:f>
      </x:c>
      <x:c r="AS116" s="117" t="n">
        <x:f>IF(AND(YEAR(AS$3)=YEAR(EDATE('Вводные'!$D$91,'Вводные'!$H$9)),MONTH(AS$3)=MONTH(EDATE('Вводные'!$D$91,'Вводные'!$H$9))),$B$116,0)</x:f>
      </x:c>
      <x:c r="AT116" s="117" t="n">
        <x:f>IF(AND(YEAR(AT$3)=YEAR(EDATE('Вводные'!$D$91,'Вводные'!$H$9)),MONTH(AT$3)=MONTH(EDATE('Вводные'!$D$91,'Вводные'!$H$9))),$B$116,0)</x:f>
      </x:c>
      <x:c r="AU116" s="117" t="n">
        <x:f>IF(AND(YEAR(AU$3)=YEAR(EDATE('Вводные'!$D$91,'Вводные'!$H$9)),MONTH(AU$3)=MONTH(EDATE('Вводные'!$D$91,'Вводные'!$H$9))),$B$116,0)</x:f>
      </x:c>
      <x:c r="AV116" s="117" t="n">
        <x:f>IF(AND(YEAR(AV$3)=YEAR(EDATE('Вводные'!$D$91,'Вводные'!$H$9)),MONTH(AV$3)=MONTH(EDATE('Вводные'!$D$91,'Вводные'!$H$9))),$B$116,0)</x:f>
      </x:c>
      <x:c r="AW116" s="117" t="n">
        <x:f>IF(AND(YEAR(AW$3)=YEAR(EDATE('Вводные'!$D$91,'Вводные'!$H$9)),MONTH(AW$3)=MONTH(EDATE('Вводные'!$D$91,'Вводные'!$H$9))),$B$116,0)</x:f>
      </x:c>
      <x:c r="AX116" s="117" t="n">
        <x:f>IF(AND(YEAR(AX$3)=YEAR(EDATE('Вводные'!$D$91,'Вводные'!$H$9)),MONTH(AX$3)=MONTH(EDATE('Вводные'!$D$91,'Вводные'!$H$9))),$B$116,0)</x:f>
      </x:c>
      <x:c r="AY116" s="117" t="n">
        <x:f>IF(AND(YEAR(AY$3)=YEAR(EDATE('Вводные'!$D$91,'Вводные'!$H$9)),MONTH(AY$3)=MONTH(EDATE('Вводные'!$D$91,'Вводные'!$H$9))),$B$116,0)</x:f>
      </x:c>
      <x:c r="AZ116" s="117" t="n">
        <x:f>IF(AND(YEAR(AZ$3)=YEAR(EDATE('Вводные'!$D$91,'Вводные'!$H$9)),MONTH(AZ$3)=MONTH(EDATE('Вводные'!$D$91,'Вводные'!$H$9))),$B$116,0)</x:f>
      </x:c>
      <x:c r="BA116" s="117" t="n">
        <x:f>IF(AND(YEAR(BA$3)=YEAR(EDATE('Вводные'!$D$91,'Вводные'!$H$9)),MONTH(BA$3)=MONTH(EDATE('Вводные'!$D$91,'Вводные'!$H$9))),$B$116,0)</x:f>
      </x:c>
      <x:c r="BB116" s="117" t="n">
        <x:f>IF(AND(YEAR(BB$3)=YEAR(EDATE('Вводные'!$D$91,'Вводные'!$H$9)),MONTH(BB$3)=MONTH(EDATE('Вводные'!$D$91,'Вводные'!$H$9))),$B$116,0)</x:f>
      </x:c>
      <x:c r="BC116" s="117" t="n">
        <x:f>IF(AND(YEAR(BC$3)=YEAR(EDATE('Вводные'!$D$91,'Вводные'!$H$9)),MONTH(BC$3)=MONTH(EDATE('Вводные'!$D$91,'Вводные'!$H$9))),$B$116,0)</x:f>
      </x:c>
      <x:c r="BD116" s="117" t="n">
        <x:f>IF(AND(YEAR(BD$3)=YEAR(EDATE('Вводные'!$D$91,'Вводные'!$H$9)),MONTH(BD$3)=MONTH(EDATE('Вводные'!$D$91,'Вводные'!$H$9))),$B$116,0)</x:f>
      </x:c>
      <x:c r="BE116" s="117" t="n">
        <x:f>IF(AND(YEAR(BE$3)=YEAR(EDATE('Вводные'!$D$91,'Вводные'!$H$9)),MONTH(BE$3)=MONTH(EDATE('Вводные'!$D$91,'Вводные'!$H$9))),$B$116,0)</x:f>
      </x:c>
      <x:c r="BF116" s="117" t="n">
        <x:f>IF(AND(YEAR(BF$3)=YEAR(EDATE('Вводные'!$D$91,'Вводные'!$H$9)),MONTH(BF$3)=MONTH(EDATE('Вводные'!$D$91,'Вводные'!$H$9))),$B$116,0)</x:f>
      </x:c>
      <x:c r="BG116" s="117" t="n">
        <x:f>IF(AND(YEAR(BG$3)=YEAR(EDATE('Вводные'!$D$91,'Вводные'!$H$9)),MONTH(BG$3)=MONTH(EDATE('Вводные'!$D$91,'Вводные'!$H$9))),$B$116,0)</x:f>
      </x:c>
      <x:c r="BH116" s="117" t="n">
        <x:f>IF(AND(YEAR(BH$3)=YEAR(EDATE('Вводные'!$D$91,'Вводные'!$H$9)),MONTH(BH$3)=MONTH(EDATE('Вводные'!$D$91,'Вводные'!$H$9))),$B$116,0)</x:f>
      </x:c>
      <x:c r="BI116" s="117" t="n">
        <x:f>IF(AND(YEAR(BI$3)=YEAR(EDATE('Вводные'!$D$91,'Вводные'!$H$9)),MONTH(BI$3)=MONTH(EDATE('Вводные'!$D$91,'Вводные'!$H$9))),$B$116,0)</x:f>
      </x:c>
      <x:c r="BJ116" s="117" t="n">
        <x:f>IF(AND(YEAR(BJ$3)=YEAR(EDATE('Вводные'!$D$91,'Вводные'!$H$9)),MONTH(BJ$3)=MONTH(EDATE('Вводные'!$D$91,'Вводные'!$H$9))),$B$116,0)</x:f>
      </x:c>
      <x:c r="BK116" s="117" t="n">
        <x:f>IF(AND(YEAR(BK$3)=YEAR(EDATE('Вводные'!$D$91,'Вводные'!$H$9)),MONTH(BK$3)=MONTH(EDATE('Вводные'!$D$91,'Вводные'!$H$9))),$B$116,0)</x:f>
      </x:c>
      <x:c r="BL116" s="117" t="n">
        <x:f>IF(AND(YEAR(BL$3)=YEAR(EDATE('Вводные'!$D$91,'Вводные'!$H$9)),MONTH(BL$3)=MONTH(EDATE('Вводные'!$D$91,'Вводные'!$H$9))),$B$116,0)</x:f>
      </x:c>
      <x:c r="BM116" s="117" t="n">
        <x:f>IF(AND(YEAR(BM$3)=YEAR(EDATE('Вводные'!$D$91,'Вводные'!$H$9)),MONTH(BM$3)=MONTH(EDATE('Вводные'!$D$91,'Вводные'!$H$9))),$B$116,0)</x:f>
      </x:c>
      <x:c r="BN116" s="117" t="n">
        <x:f>IF(AND(YEAR(BN$3)=YEAR(EDATE('Вводные'!$D$91,'Вводные'!$H$9)),MONTH(BN$3)=MONTH(EDATE('Вводные'!$D$91,'Вводные'!$H$9))),$B$116,0)</x:f>
      </x:c>
      <x:c r="BO116" s="117" t="n">
        <x:f>IF(AND(YEAR(BO$3)=YEAR(EDATE('Вводные'!$D$91,'Вводные'!$H$9)),MONTH(BO$3)=MONTH(EDATE('Вводные'!$D$91,'Вводные'!$H$9))),$B$116,0)</x:f>
      </x:c>
      <x:c r="BP116" s="117" t="n">
        <x:f>IF(AND(YEAR(BP$3)=YEAR(EDATE('Вводные'!$D$91,'Вводные'!$H$9)),MONTH(BP$3)=MONTH(EDATE('Вводные'!$D$91,'Вводные'!$H$9))),$B$116,0)</x:f>
      </x:c>
      <x:c r="BQ116" s="117" t="n">
        <x:f>IF(AND(YEAR(BQ$3)=YEAR(EDATE('Вводные'!$D$91,'Вводные'!$H$9)),MONTH(BQ$3)=MONTH(EDATE('Вводные'!$D$91,'Вводные'!$H$9))),$B$116,0)</x:f>
      </x:c>
      <x:c r="BR116" s="117" t="n">
        <x:f>IF(AND(YEAR(BR$3)=YEAR(EDATE('Вводные'!$D$91,'Вводные'!$H$9)),MONTH(BR$3)=MONTH(EDATE('Вводные'!$D$91,'Вводные'!$H$9))),$B$116,0)</x:f>
      </x:c>
      <x:c r="BS116" s="117" t="n">
        <x:f>IF(AND(YEAR(BS$3)=YEAR(EDATE('Вводные'!$D$91,'Вводные'!$H$9)),MONTH(BS$3)=MONTH(EDATE('Вводные'!$D$91,'Вводные'!$H$9))),$B$116,0)</x:f>
      </x:c>
      <x:c r="BT116" s="117" t="n">
        <x:f>IF(AND(YEAR(BT$3)=YEAR(EDATE('Вводные'!$D$91,'Вводные'!$H$9)),MONTH(BT$3)=MONTH(EDATE('Вводные'!$D$91,'Вводные'!$H$9))),$B$116,0)</x:f>
      </x:c>
      <x:c r="BU116" s="117" t="n">
        <x:f>IF(AND(YEAR(BU$3)=YEAR(EDATE('Вводные'!$D$91,'Вводные'!$H$9)),MONTH(BU$3)=MONTH(EDATE('Вводные'!$D$91,'Вводные'!$H$9))),$B$116,0)</x:f>
      </x:c>
      <x:c r="BV116" s="117" t="n">
        <x:f>IF(AND(YEAR(BV$3)=YEAR(EDATE('Вводные'!$D$91,'Вводные'!$H$9)),MONTH(BV$3)=MONTH(EDATE('Вводные'!$D$91,'Вводные'!$H$9))),$B$116,0)</x:f>
      </x:c>
      <x:c r="BW116" s="117" t="n">
        <x:f>IF(AND(YEAR(BW$3)=YEAR(EDATE('Вводные'!$D$91,'Вводные'!$H$9)),MONTH(BW$3)=MONTH(EDATE('Вводные'!$D$91,'Вводные'!$H$9))),$B$116,0)</x:f>
      </x:c>
      <x:c r="BX116" s="117" t="n">
        <x:f>IF(AND(YEAR(BX$3)=YEAR(EDATE('Вводные'!$D$91,'Вводные'!$H$9)),MONTH(BX$3)=MONTH(EDATE('Вводные'!$D$91,'Вводные'!$H$9))),$B$116,0)</x:f>
      </x:c>
      <x:c r="BY116" s="117" t="n">
        <x:f>IF(AND(YEAR(BY$3)=YEAR(EDATE('Вводные'!$D$91,'Вводные'!$H$9)),MONTH(BY$3)=MONTH(EDATE('Вводные'!$D$91,'Вводные'!$H$9))),$B$116,0)</x:f>
      </x:c>
      <x:c r="BZ116" s="117" t="n">
        <x:f>IF(AND(YEAR(BZ$3)=YEAR(EDATE('Вводные'!$D$91,'Вводные'!$H$9)),MONTH(BZ$3)=MONTH(EDATE('Вводные'!$D$91,'Вводные'!$H$9))),$B$116,0)</x:f>
      </x:c>
      <x:c r="CA116" s="117" t="n">
        <x:f>IF(AND(YEAR(CA$3)=YEAR(EDATE('Вводные'!$D$91,'Вводные'!$H$9)),MONTH(CA$3)=MONTH(EDATE('Вводные'!$D$91,'Вводные'!$H$9))),$B$116,0)</x:f>
      </x:c>
      <x:c r="CB116" s="117" t="n">
        <x:f>IF(AND(YEAR(CB$3)=YEAR(EDATE('Вводные'!$D$91,'Вводные'!$H$9)),MONTH(CB$3)=MONTH(EDATE('Вводные'!$D$91,'Вводные'!$H$9))),$B$116,0)</x:f>
      </x:c>
      <x:c r="CC116" s="117" t="n">
        <x:f>IF(AND(YEAR(CC$3)=YEAR(EDATE('Вводные'!$D$91,'Вводные'!$H$9)),MONTH(CC$3)=MONTH(EDATE('Вводные'!$D$91,'Вводные'!$H$9))),$B$116,0)</x:f>
      </x:c>
      <x:c r="CD116" s="117" t="n">
        <x:f>IF(AND(YEAR(CD$3)=YEAR(EDATE('Вводные'!$D$91,'Вводные'!$H$9)),MONTH(CD$3)=MONTH(EDATE('Вводные'!$D$91,'Вводные'!$H$9))),$B$116,0)</x:f>
      </x:c>
      <x:c r="CE116" s="117" t="n">
        <x:f>IF(AND(YEAR(CE$3)=YEAR(EDATE('Вводные'!$D$91,'Вводные'!$H$9)),MONTH(CE$3)=MONTH(EDATE('Вводные'!$D$91,'Вводные'!$H$9))),$B$116,0)</x:f>
      </x:c>
      <x:c r="CF116" s="117" t="n">
        <x:f>IF(AND(YEAR(CF$3)=YEAR(EDATE('Вводные'!$D$91,'Вводные'!$H$9)),MONTH(CF$3)=MONTH(EDATE('Вводные'!$D$91,'Вводные'!$H$9))),$B$116,0)</x:f>
      </x:c>
      <x:c r="CG116" s="117" t="n">
        <x:f>IF(AND(YEAR(CG$3)=YEAR(EDATE('Вводные'!$D$91,'Вводные'!$H$9)),MONTH(CG$3)=MONTH(EDATE('Вводные'!$D$91,'Вводные'!$H$9))),$B$116,0)</x:f>
      </x:c>
      <x:c r="CH116" s="117" t="n">
        <x:f>IF(AND(YEAR(CH$3)=YEAR(EDATE('Вводные'!$D$91,'Вводные'!$H$9)),MONTH(CH$3)=MONTH(EDATE('Вводные'!$D$91,'Вводные'!$H$9))),$B$116,0)</x:f>
      </x:c>
      <x:c r="CI116" s="117" t="n">
        <x:f>IF(AND(YEAR(CI$3)=YEAR(EDATE('Вводные'!$D$91,'Вводные'!$H$9)),MONTH(CI$3)=MONTH(EDATE('Вводные'!$D$91,'Вводные'!$H$9))),$B$116,0)</x:f>
      </x:c>
      <x:c r="CJ116" s="117" t="n">
        <x:f>IF(AND(YEAR(CJ$3)=YEAR(EDATE('Вводные'!$D$91,'Вводные'!$H$9)),MONTH(CJ$3)=MONTH(EDATE('Вводные'!$D$91,'Вводные'!$H$9))),$B$116,0)</x:f>
      </x:c>
      <x:c r="CK116" s="117" t="n">
        <x:f>IF(AND(YEAR(CK$3)=YEAR(EDATE('Вводные'!$D$91,'Вводные'!$H$9)),MONTH(CK$3)=MONTH(EDATE('Вводные'!$D$91,'Вводные'!$H$9))),$B$116,0)</x:f>
      </x:c>
      <x:c r="CL116" s="117" t="n">
        <x:f>IF(AND(YEAR(CL$3)=YEAR(EDATE('Вводные'!$D$91,'Вводные'!$H$9)),MONTH(CL$3)=MONTH(EDATE('Вводные'!$D$91,'Вводные'!$H$9))),$B$116,0)</x:f>
      </x:c>
      <x:c r="CM116" s="117" t="n">
        <x:f>IF(AND(YEAR(CM$3)=YEAR(EDATE('Вводные'!$D$91,'Вводные'!$H$9)),MONTH(CM$3)=MONTH(EDATE('Вводные'!$D$91,'Вводные'!$H$9))),$B$116,0)</x:f>
      </x:c>
      <x:c r="CN116" s="117" t="n">
        <x:f>IF(AND(YEAR(CN$3)=YEAR(EDATE('Вводные'!$D$91,'Вводные'!$H$9)),MONTH(CN$3)=MONTH(EDATE('Вводные'!$D$91,'Вводные'!$H$9))),$B$116,0)</x:f>
      </x:c>
      <x:c r="CO116" s="117" t="n">
        <x:f>IF(AND(YEAR(CO$3)=YEAR(EDATE('Вводные'!$D$91,'Вводные'!$H$9)),MONTH(CO$3)=MONTH(EDATE('Вводные'!$D$91,'Вводные'!$H$9))),$B$116,0)</x:f>
      </x:c>
      <x:c r="CP116" s="117" t="n">
        <x:f>IF(AND(YEAR(CP$3)=YEAR(EDATE('Вводные'!$D$91,'Вводные'!$H$9)),MONTH(CP$3)=MONTH(EDATE('Вводные'!$D$91,'Вводные'!$H$9))),$B$116,0)</x:f>
      </x:c>
      <x:c r="CQ116" s="117" t="n">
        <x:f>IF(AND(YEAR(CQ$3)=YEAR(EDATE('Вводные'!$D$91,'Вводные'!$H$9)),MONTH(CQ$3)=MONTH(EDATE('Вводные'!$D$91,'Вводные'!$H$9))),$B$116,0)</x:f>
      </x:c>
      <x:c r="CR116" s="117" t="n">
        <x:f>IF(AND(YEAR(CR$3)=YEAR(EDATE('Вводные'!$D$91,'Вводные'!$H$9)),MONTH(CR$3)=MONTH(EDATE('Вводные'!$D$91,'Вводные'!$H$9))),$B$116,0)</x:f>
      </x:c>
      <x:c r="CS116" s="117" t="n">
        <x:f>IF(AND(YEAR(CS$3)=YEAR(EDATE('Вводные'!$D$91,'Вводные'!$H$9)),MONTH(CS$3)=MONTH(EDATE('Вводные'!$D$91,'Вводные'!$H$9))),$B$116,0)</x:f>
      </x:c>
      <x:c r="CT116" s="117" t="n">
        <x:f>IF(AND(YEAR(CT$3)=YEAR(EDATE('Вводные'!$D$91,'Вводные'!$H$9)),MONTH(CT$3)=MONTH(EDATE('Вводные'!$D$91,'Вводные'!$H$9))),$B$116,0)</x:f>
      </x:c>
      <x:c r="CU116" s="117" t="n">
        <x:f>IF(AND(YEAR(CU$3)=YEAR(EDATE('Вводные'!$D$91,'Вводные'!$H$9)),MONTH(CU$3)=MONTH(EDATE('Вводные'!$D$91,'Вводные'!$H$9))),$B$116,0)</x:f>
      </x:c>
      <x:c r="CV116" s="117" t="n">
        <x:f>IF(AND(YEAR(CV$3)=YEAR(EDATE('Вводные'!$D$91,'Вводные'!$H$9)),MONTH(CV$3)=MONTH(EDATE('Вводные'!$D$91,'Вводные'!$H$9))),$B$116,0)</x:f>
      </x:c>
      <x:c r="CW116" s="117" t="n">
        <x:f>IF(AND(YEAR(CW$3)=YEAR(EDATE('Вводные'!$D$91,'Вводные'!$H$9)),MONTH(CW$3)=MONTH(EDATE('Вводные'!$D$91,'Вводные'!$H$9))),$B$116,0)</x:f>
      </x:c>
      <x:c r="CX116" s="117" t="n">
        <x:f>IF(AND(YEAR(CX$3)=YEAR(EDATE('Вводные'!$D$91,'Вводные'!$H$9)),MONTH(CX$3)=MONTH(EDATE('Вводные'!$D$91,'Вводные'!$H$9))),$B$116,0)</x:f>
      </x:c>
      <x:c r="CY116" s="117" t="n">
        <x:f>IF(AND(YEAR(CY$3)=YEAR(EDATE('Вводные'!$D$91,'Вводные'!$H$9)),MONTH(CY$3)=MONTH(EDATE('Вводные'!$D$91,'Вводные'!$H$9))),$B$116,0)</x:f>
      </x:c>
      <x:c r="CZ116" s="117" t="n">
        <x:f>IF(AND(YEAR(CZ$3)=YEAR(EDATE('Вводные'!$D$91,'Вводные'!$H$9)),MONTH(CZ$3)=MONTH(EDATE('Вводные'!$D$91,'Вводные'!$H$9))),$B$116,0)</x:f>
      </x:c>
      <x:c r="DA116" s="117" t="n">
        <x:f>IF(AND(YEAR(DA$3)=YEAR(EDATE('Вводные'!$D$91,'Вводные'!$H$9)),MONTH(DA$3)=MONTH(EDATE('Вводные'!$D$91,'Вводные'!$H$9))),$B$116,0)</x:f>
      </x:c>
      <x:c r="DB116" s="117" t="n">
        <x:f>IF(AND(YEAR(DB$3)=YEAR(EDATE('Вводные'!$D$91,'Вводные'!$H$9)),MONTH(DB$3)=MONTH(EDATE('Вводные'!$D$91,'Вводные'!$H$9))),$B$116,0)</x:f>
      </x:c>
      <x:c r="DC116" s="117" t="n">
        <x:f>IF(AND(YEAR(DC$3)=YEAR(EDATE('Вводные'!$D$91,'Вводные'!$H$9)),MONTH(DC$3)=MONTH(EDATE('Вводные'!$D$91,'Вводные'!$H$9))),$B$116,0)</x:f>
      </x:c>
      <x:c r="DD116" s="117" t="n">
        <x:f>IF(AND(YEAR(DD$3)=YEAR(EDATE('Вводные'!$D$91,'Вводные'!$H$9)),MONTH(DD$3)=MONTH(EDATE('Вводные'!$D$91,'Вводные'!$H$9))),$B$116,0)</x:f>
      </x:c>
      <x:c r="DE116" s="117" t="n">
        <x:f>IF(AND(YEAR(DE$3)=YEAR(EDATE('Вводные'!$D$91,'Вводные'!$H$9)),MONTH(DE$3)=MONTH(EDATE('Вводные'!$D$91,'Вводные'!$H$9))),$B$116,0)</x:f>
      </x:c>
      <x:c r="DF116" s="117" t="n">
        <x:f>IF(AND(YEAR(DF$3)=YEAR(EDATE('Вводные'!$D$91,'Вводные'!$H$9)),MONTH(DF$3)=MONTH(EDATE('Вводные'!$D$91,'Вводные'!$H$9))),$B$116,0)</x:f>
      </x:c>
      <x:c r="DG116" s="117" t="n">
        <x:f>IF(AND(YEAR(DG$3)=YEAR(EDATE('Вводные'!$D$91,'Вводные'!$H$9)),MONTH(DG$3)=MONTH(EDATE('Вводные'!$D$91,'Вводные'!$H$9))),$B$116,0)</x:f>
      </x:c>
      <x:c r="DH116" s="117" t="n">
        <x:f>IF(AND(YEAR(DH$3)=YEAR(EDATE('Вводные'!$D$91,'Вводные'!$H$9)),MONTH(DH$3)=MONTH(EDATE('Вводные'!$D$91,'Вводные'!$H$9))),$B$116,0)</x:f>
      </x:c>
      <x:c r="DI116" s="117" t="n">
        <x:f>IF(AND(YEAR(DI$3)=YEAR(EDATE('Вводные'!$D$91,'Вводные'!$H$9)),MONTH(DI$3)=MONTH(EDATE('Вводные'!$D$91,'Вводные'!$H$9))),$B$116,0)</x:f>
      </x:c>
      <x:c r="DJ116" s="117" t="n">
        <x:f>IF(AND(YEAR(DJ$3)=YEAR(EDATE('Вводные'!$D$91,'Вводные'!$H$9)),MONTH(DJ$3)=MONTH(EDATE('Вводные'!$D$91,'Вводные'!$H$9))),$B$116,0)</x:f>
      </x:c>
      <x:c r="DK116" s="117" t="n">
        <x:f>IF(AND(YEAR(DK$3)=YEAR(EDATE('Вводные'!$D$91,'Вводные'!$H$9)),MONTH(DK$3)=MONTH(EDATE('Вводные'!$D$91,'Вводные'!$H$9))),$B$116,0)</x:f>
      </x:c>
      <x:c r="DL116" s="117" t="n">
        <x:f>IF(AND(YEAR(DL$3)=YEAR(EDATE('Вводные'!$D$91,'Вводные'!$H$9)),MONTH(DL$3)=MONTH(EDATE('Вводные'!$D$91,'Вводные'!$H$9))),$B$116,0)</x:f>
      </x:c>
      <x:c r="DM116" s="117" t="n">
        <x:f>IF(AND(YEAR(DM$3)=YEAR(EDATE('Вводные'!$D$91,'Вводные'!$H$9)),MONTH(DM$3)=MONTH(EDATE('Вводные'!$D$91,'Вводные'!$H$9))),$B$116,0)</x:f>
      </x:c>
      <x:c r="DN116" s="117" t="n">
        <x:f>IF(AND(YEAR(DN$3)=YEAR(EDATE('Вводные'!$D$91,'Вводные'!$H$9)),MONTH(DN$3)=MONTH(EDATE('Вводные'!$D$91,'Вводные'!$H$9))),$B$116,0)</x:f>
      </x:c>
      <x:c r="DO116" s="117" t="n">
        <x:f>IF(AND(YEAR(DO$3)=YEAR(EDATE('Вводные'!$D$91,'Вводные'!$H$9)),MONTH(DO$3)=MONTH(EDATE('Вводные'!$D$91,'Вводные'!$H$9))),$B$116,0)</x:f>
      </x:c>
      <x:c r="DP116" s="117" t="n">
        <x:f>IF(AND(YEAR(DP$3)=YEAR(EDATE('Вводные'!$D$91,'Вводные'!$H$9)),MONTH(DP$3)=MONTH(EDATE('Вводные'!$D$91,'Вводные'!$H$9))),$B$116,0)</x:f>
      </x:c>
      <x:c r="DQ116" s="117" t="n">
        <x:f>IF(AND(YEAR(DQ$3)=YEAR(EDATE('Вводные'!$D$91,'Вводные'!$H$9)),MONTH(DQ$3)=MONTH(EDATE('Вводные'!$D$91,'Вводные'!$H$9))),$B$116,0)</x:f>
      </x:c>
      <x:c r="DR116" s="117" t="n">
        <x:f>IF(AND(YEAR(DR$3)=YEAR(EDATE('Вводные'!$D$91,'Вводные'!$H$9)),MONTH(DR$3)=MONTH(EDATE('Вводные'!$D$91,'Вводные'!$H$9))),$B$116,0)</x:f>
      </x:c>
      <x:c r="DS116" s="117" t="n">
        <x:f>IF(AND(YEAR(DS$3)=YEAR(EDATE('Вводные'!$D$91,'Вводные'!$H$9)),MONTH(DS$3)=MONTH(EDATE('Вводные'!$D$91,'Вводные'!$H$9))),$B$116,0)</x:f>
      </x:c>
    </x:row>
    <x:row r="117">
      <x:c r="A117" t="str">
        <x:v>Плата за ВРИ</x:v>
      </x:c>
      <x:c r="B117" s="107" t="n">
        <x:f>SUM('ВРИ'!D54:DS54)</x:f>
      </x:c>
      <x:c r="C117" t="str">
        <x:v>млн ₽</x:v>
      </x:c>
      <x:c r="D117" s="117" t="n">
        <x:f>'ВРИ'!D54</x:f>
      </x:c>
      <x:c r="E117" s="117" t="n">
        <x:f>'ВРИ'!E54</x:f>
      </x:c>
      <x:c r="F117" s="117" t="n">
        <x:f>'ВРИ'!F54</x:f>
      </x:c>
      <x:c r="G117" s="117" t="n">
        <x:f>'ВРИ'!G54</x:f>
      </x:c>
      <x:c r="H117" s="117" t="n">
        <x:f>'ВРИ'!H54</x:f>
      </x:c>
      <x:c r="I117" s="117" t="n">
        <x:f>'ВРИ'!I54</x:f>
      </x:c>
      <x:c r="J117" s="117" t="n">
        <x:f>'ВРИ'!J54</x:f>
      </x:c>
      <x:c r="K117" s="117" t="n">
        <x:f>'ВРИ'!K54</x:f>
      </x:c>
      <x:c r="L117" s="117" t="n">
        <x:f>'ВРИ'!L54</x:f>
      </x:c>
      <x:c r="M117" s="117" t="n">
        <x:f>'ВРИ'!M54</x:f>
      </x:c>
      <x:c r="N117" s="117" t="n">
        <x:f>'ВРИ'!N54</x:f>
      </x:c>
      <x:c r="O117" s="117" t="n">
        <x:f>'ВРИ'!O54</x:f>
      </x:c>
      <x:c r="P117" s="117" t="n">
        <x:f>'ВРИ'!P54</x:f>
      </x:c>
      <x:c r="Q117" s="117" t="n">
        <x:f>'ВРИ'!Q54</x:f>
      </x:c>
      <x:c r="R117" s="117" t="n">
        <x:f>'ВРИ'!R54</x:f>
      </x:c>
      <x:c r="S117" s="117" t="n">
        <x:f>'ВРИ'!S54</x:f>
      </x:c>
      <x:c r="T117" s="117" t="n">
        <x:f>'ВРИ'!T54</x:f>
      </x:c>
      <x:c r="U117" s="117" t="n">
        <x:f>'ВРИ'!U54</x:f>
      </x:c>
      <x:c r="V117" s="117" t="n">
        <x:f>'ВРИ'!V54</x:f>
      </x:c>
      <x:c r="W117" s="117" t="n">
        <x:f>'ВРИ'!W54</x:f>
      </x:c>
      <x:c r="X117" s="117" t="n">
        <x:f>'ВРИ'!X54</x:f>
      </x:c>
      <x:c r="Y117" s="117" t="n">
        <x:f>'ВРИ'!Y54</x:f>
      </x:c>
      <x:c r="Z117" s="117" t="n">
        <x:f>'ВРИ'!Z54</x:f>
      </x:c>
      <x:c r="AA117" s="117" t="n">
        <x:f>'ВРИ'!AA54</x:f>
      </x:c>
      <x:c r="AB117" s="117" t="n">
        <x:f>'ВРИ'!AB54</x:f>
      </x:c>
      <x:c r="AC117" s="117" t="n">
        <x:f>'ВРИ'!AC54</x:f>
      </x:c>
      <x:c r="AD117" s="117" t="n">
        <x:f>'ВРИ'!AD54</x:f>
      </x:c>
      <x:c r="AE117" s="117" t="n">
        <x:f>'ВРИ'!AE54</x:f>
      </x:c>
      <x:c r="AF117" s="117" t="n">
        <x:f>'ВРИ'!AF54</x:f>
      </x:c>
      <x:c r="AG117" s="117" t="n">
        <x:f>'ВРИ'!AG54</x:f>
      </x:c>
      <x:c r="AH117" s="117" t="n">
        <x:f>'ВРИ'!AH54</x:f>
      </x:c>
      <x:c r="AI117" s="117" t="n">
        <x:f>'ВРИ'!AI54</x:f>
      </x:c>
      <x:c r="AJ117" s="117" t="n">
        <x:f>'ВРИ'!AJ54</x:f>
      </x:c>
      <x:c r="AK117" s="117" t="n">
        <x:f>'ВРИ'!AK54</x:f>
      </x:c>
      <x:c r="AL117" s="117" t="n">
        <x:f>'ВРИ'!AL54</x:f>
      </x:c>
      <x:c r="AM117" s="117" t="n">
        <x:f>'ВРИ'!AM54</x:f>
      </x:c>
      <x:c r="AN117" s="117" t="n">
        <x:f>'ВРИ'!AN54</x:f>
      </x:c>
      <x:c r="AO117" s="117" t="n">
        <x:f>'ВРИ'!AO54</x:f>
      </x:c>
      <x:c r="AP117" s="117" t="n">
        <x:f>'ВРИ'!AP54</x:f>
      </x:c>
      <x:c r="AQ117" s="117" t="n">
        <x:f>'ВРИ'!AQ54</x:f>
      </x:c>
      <x:c r="AR117" s="117" t="n">
        <x:f>'ВРИ'!AR54</x:f>
      </x:c>
      <x:c r="AS117" s="117" t="n">
        <x:f>'ВРИ'!AS54</x:f>
      </x:c>
      <x:c r="AT117" s="117" t="n">
        <x:f>'ВРИ'!AT54</x:f>
      </x:c>
      <x:c r="AU117" s="117" t="n">
        <x:f>'ВРИ'!AU54</x:f>
      </x:c>
      <x:c r="AV117" s="117" t="n">
        <x:f>'ВРИ'!AV54</x:f>
      </x:c>
      <x:c r="AW117" s="117" t="n">
        <x:f>'ВРИ'!AW54</x:f>
      </x:c>
      <x:c r="AX117" s="117" t="n">
        <x:f>'ВРИ'!AX54</x:f>
      </x:c>
      <x:c r="AY117" s="117" t="n">
        <x:f>'ВРИ'!AY54</x:f>
      </x:c>
      <x:c r="AZ117" s="117" t="n">
        <x:f>'ВРИ'!AZ54</x:f>
      </x:c>
      <x:c r="BA117" s="117" t="n">
        <x:f>'ВРИ'!BA54</x:f>
      </x:c>
      <x:c r="BB117" s="117" t="n">
        <x:f>'ВРИ'!BB54</x:f>
      </x:c>
      <x:c r="BC117" s="117" t="n">
        <x:f>'ВРИ'!BC54</x:f>
      </x:c>
      <x:c r="BD117" s="117" t="n">
        <x:f>'ВРИ'!BD54</x:f>
      </x:c>
      <x:c r="BE117" s="117" t="n">
        <x:f>'ВРИ'!BE54</x:f>
      </x:c>
      <x:c r="BF117" s="117" t="n">
        <x:f>'ВРИ'!BF54</x:f>
      </x:c>
      <x:c r="BG117" s="117" t="n">
        <x:f>'ВРИ'!BG54</x:f>
      </x:c>
      <x:c r="BH117" s="117" t="n">
        <x:f>'ВРИ'!BH54</x:f>
      </x:c>
      <x:c r="BI117" s="117" t="n">
        <x:f>'ВРИ'!BI54</x:f>
      </x:c>
      <x:c r="BJ117" s="117" t="n">
        <x:f>'ВРИ'!BJ54</x:f>
      </x:c>
      <x:c r="BK117" s="117" t="n">
        <x:f>'ВРИ'!BK54</x:f>
      </x:c>
      <x:c r="BL117" s="117" t="n">
        <x:f>'ВРИ'!BL54</x:f>
      </x:c>
      <x:c r="BM117" s="117" t="n">
        <x:f>'ВРИ'!BM54</x:f>
      </x:c>
      <x:c r="BN117" s="117" t="n">
        <x:f>'ВРИ'!BN54</x:f>
      </x:c>
      <x:c r="BO117" s="117" t="n">
        <x:f>'ВРИ'!BO54</x:f>
      </x:c>
      <x:c r="BP117" s="117" t="n">
        <x:f>'ВРИ'!BP54</x:f>
      </x:c>
      <x:c r="BQ117" s="117" t="n">
        <x:f>'ВРИ'!BQ54</x:f>
      </x:c>
      <x:c r="BR117" s="117" t="n">
        <x:f>'ВРИ'!BR54</x:f>
      </x:c>
      <x:c r="BS117" s="117" t="n">
        <x:f>'ВРИ'!BS54</x:f>
      </x:c>
      <x:c r="BT117" s="117" t="n">
        <x:f>'ВРИ'!BT54</x:f>
      </x:c>
      <x:c r="BU117" s="117" t="n">
        <x:f>'ВРИ'!BU54</x:f>
      </x:c>
      <x:c r="BV117" s="117" t="n">
        <x:f>'ВРИ'!BV54</x:f>
      </x:c>
      <x:c r="BW117" s="117" t="n">
        <x:f>'ВРИ'!BW54</x:f>
      </x:c>
      <x:c r="BX117" s="117" t="n">
        <x:f>'ВРИ'!BX54</x:f>
      </x:c>
      <x:c r="BY117" s="117" t="n">
        <x:f>'ВРИ'!BY54</x:f>
      </x:c>
      <x:c r="BZ117" s="117" t="n">
        <x:f>'ВРИ'!BZ54</x:f>
      </x:c>
      <x:c r="CA117" s="117" t="n">
        <x:f>'ВРИ'!CA54</x:f>
      </x:c>
      <x:c r="CB117" s="117" t="n">
        <x:f>'ВРИ'!CB54</x:f>
      </x:c>
      <x:c r="CC117" s="117" t="n">
        <x:f>'ВРИ'!CC54</x:f>
      </x:c>
      <x:c r="CD117" s="117" t="n">
        <x:f>'ВРИ'!CD54</x:f>
      </x:c>
      <x:c r="CE117" s="117" t="n">
        <x:f>'ВРИ'!CE54</x:f>
      </x:c>
      <x:c r="CF117" s="117" t="n">
        <x:f>'ВРИ'!CF54</x:f>
      </x:c>
      <x:c r="CG117" s="117" t="n">
        <x:f>'ВРИ'!CG54</x:f>
      </x:c>
      <x:c r="CH117" s="117" t="n">
        <x:f>'ВРИ'!CH54</x:f>
      </x:c>
      <x:c r="CI117" s="117" t="n">
        <x:f>'ВРИ'!CI54</x:f>
      </x:c>
      <x:c r="CJ117" s="117" t="n">
        <x:f>'ВРИ'!CJ54</x:f>
      </x:c>
      <x:c r="CK117" s="117" t="n">
        <x:f>'ВРИ'!CK54</x:f>
      </x:c>
      <x:c r="CL117" s="117" t="n">
        <x:f>'ВРИ'!CL54</x:f>
      </x:c>
      <x:c r="CM117" s="117" t="n">
        <x:f>'ВРИ'!CM54</x:f>
      </x:c>
      <x:c r="CN117" s="117" t="n">
        <x:f>'ВРИ'!CN54</x:f>
      </x:c>
      <x:c r="CO117" s="117" t="n">
        <x:f>'ВРИ'!CO54</x:f>
      </x:c>
      <x:c r="CP117" s="117" t="n">
        <x:f>'ВРИ'!CP54</x:f>
      </x:c>
      <x:c r="CQ117" s="117" t="n">
        <x:f>'ВРИ'!CQ54</x:f>
      </x:c>
      <x:c r="CR117" s="117" t="n">
        <x:f>'ВРИ'!CR54</x:f>
      </x:c>
      <x:c r="CS117" s="117" t="n">
        <x:f>'ВРИ'!CS54</x:f>
      </x:c>
      <x:c r="CT117" s="117" t="n">
        <x:f>'ВРИ'!CT54</x:f>
      </x:c>
      <x:c r="CU117" s="117" t="n">
        <x:f>'ВРИ'!CU54</x:f>
      </x:c>
      <x:c r="CV117" s="117" t="n">
        <x:f>'ВРИ'!CV54</x:f>
      </x:c>
      <x:c r="CW117" s="117" t="n">
        <x:f>'ВРИ'!CW54</x:f>
      </x:c>
      <x:c r="CX117" s="117" t="n">
        <x:f>'ВРИ'!CX54</x:f>
      </x:c>
      <x:c r="CY117" s="117" t="n">
        <x:f>'ВРИ'!CY54</x:f>
      </x:c>
      <x:c r="CZ117" s="117" t="n">
        <x:f>'ВРИ'!CZ54</x:f>
      </x:c>
      <x:c r="DA117" s="117" t="n">
        <x:f>'ВРИ'!DA54</x:f>
      </x:c>
      <x:c r="DB117" s="117" t="n">
        <x:f>'ВРИ'!DB54</x:f>
      </x:c>
      <x:c r="DC117" s="117" t="n">
        <x:f>'ВРИ'!DC54</x:f>
      </x:c>
      <x:c r="DD117" s="117" t="n">
        <x:f>'ВРИ'!DD54</x:f>
      </x:c>
      <x:c r="DE117" s="117" t="n">
        <x:f>'ВРИ'!DE54</x:f>
      </x:c>
      <x:c r="DF117" s="117" t="n">
        <x:f>'ВРИ'!DF54</x:f>
      </x:c>
      <x:c r="DG117" s="117" t="n">
        <x:f>'ВРИ'!DG54</x:f>
      </x:c>
      <x:c r="DH117" s="117" t="n">
        <x:f>'ВРИ'!DH54</x:f>
      </x:c>
      <x:c r="DI117" s="117" t="n">
        <x:f>'ВРИ'!DI54</x:f>
      </x:c>
      <x:c r="DJ117" s="117" t="n">
        <x:f>'ВРИ'!DJ54</x:f>
      </x:c>
      <x:c r="DK117" s="117" t="n">
        <x:f>'ВРИ'!DK54</x:f>
      </x:c>
      <x:c r="DL117" s="117" t="n">
        <x:f>'ВРИ'!DL54</x:f>
      </x:c>
      <x:c r="DM117" s="117" t="n">
        <x:f>'ВРИ'!DM54</x:f>
      </x:c>
      <x:c r="DN117" s="117" t="n">
        <x:f>'ВРИ'!DN54</x:f>
      </x:c>
      <x:c r="DO117" s="117" t="n">
        <x:f>'ВРИ'!DO54</x:f>
      </x:c>
      <x:c r="DP117" s="117" t="n">
        <x:f>'ВРИ'!DP54</x:f>
      </x:c>
      <x:c r="DQ117" s="117" t="n">
        <x:f>'ВРИ'!DQ54</x:f>
      </x:c>
      <x:c r="DR117" s="117" t="n">
        <x:f>'ВРИ'!DR54</x:f>
      </x:c>
      <x:c r="DS117" s="117" t="n">
        <x:f>'ВРИ'!DS54</x:f>
      </x:c>
    </x:row>
    <x:row r="118">
      <x:c r="A118" t="str">
        <x:v>ИРД и согласования</x:v>
      </x:c>
      <x:c r="B118" s="107" t="n">
        <x:f>(('Вводные'!$I$91+'Вводные'!$J$91+'Вводные'!$K$91)*'Вводные'!$B$40/1000*'Вводные'!$H$6*'Вводные'!$T$91*--('Вводные'!$B$91="Да"))*'Вводные'!$AH$91</x:f>
      </x:c>
      <x:c r="C118" t="str">
        <x:v>млн ₽</x:v>
      </x:c>
      <x:c r="D118" s="117" t="n">
        <x:f>IF(AND(D$3&gt;=EDATE($B$109,-'Вводные'!$E$91),D$3&lt;$B$109),$B$118/MAX(1,'Вводные'!$E$91),0)</x:f>
      </x:c>
      <x:c r="E118" s="117" t="n">
        <x:f>IF(AND(E$3&gt;=EDATE($B$109,-'Вводные'!$E$91),E$3&lt;$B$109),$B$118/MAX(1,'Вводные'!$E$91),0)</x:f>
      </x:c>
      <x:c r="F118" s="117" t="n">
        <x:f>IF(AND(F$3&gt;=EDATE($B$109,-'Вводные'!$E$91),F$3&lt;$B$109),$B$118/MAX(1,'Вводные'!$E$91),0)</x:f>
      </x:c>
      <x:c r="G118" s="117" t="n">
        <x:f>IF(AND(G$3&gt;=EDATE($B$109,-'Вводные'!$E$91),G$3&lt;$B$109),$B$118/MAX(1,'Вводные'!$E$91),0)</x:f>
      </x:c>
      <x:c r="H118" s="117" t="n">
        <x:f>IF(AND(H$3&gt;=EDATE($B$109,-'Вводные'!$E$91),H$3&lt;$B$109),$B$118/MAX(1,'Вводные'!$E$91),0)</x:f>
      </x:c>
      <x:c r="I118" s="117" t="n">
        <x:f>IF(AND(I$3&gt;=EDATE($B$109,-'Вводные'!$E$91),I$3&lt;$B$109),$B$118/MAX(1,'Вводные'!$E$91),0)</x:f>
      </x:c>
      <x:c r="J118" s="117" t="n">
        <x:f>IF(AND(J$3&gt;=EDATE($B$109,-'Вводные'!$E$91),J$3&lt;$B$109),$B$118/MAX(1,'Вводные'!$E$91),0)</x:f>
      </x:c>
      <x:c r="K118" s="117" t="n">
        <x:f>IF(AND(K$3&gt;=EDATE($B$109,-'Вводные'!$E$91),K$3&lt;$B$109),$B$118/MAX(1,'Вводные'!$E$91),0)</x:f>
      </x:c>
      <x:c r="L118" s="117" t="n">
        <x:f>IF(AND(L$3&gt;=EDATE($B$109,-'Вводные'!$E$91),L$3&lt;$B$109),$B$118/MAX(1,'Вводные'!$E$91),0)</x:f>
      </x:c>
      <x:c r="M118" s="117" t="n">
        <x:f>IF(AND(M$3&gt;=EDATE($B$109,-'Вводные'!$E$91),M$3&lt;$B$109),$B$118/MAX(1,'Вводные'!$E$91),0)</x:f>
      </x:c>
      <x:c r="N118" s="117" t="n">
        <x:f>IF(AND(N$3&gt;=EDATE($B$109,-'Вводные'!$E$91),N$3&lt;$B$109),$B$118/MAX(1,'Вводные'!$E$91),0)</x:f>
      </x:c>
      <x:c r="O118" s="117" t="n">
        <x:f>IF(AND(O$3&gt;=EDATE($B$109,-'Вводные'!$E$91),O$3&lt;$B$109),$B$118/MAX(1,'Вводные'!$E$91),0)</x:f>
      </x:c>
      <x:c r="P118" s="117" t="n">
        <x:f>IF(AND(P$3&gt;=EDATE($B$109,-'Вводные'!$E$91),P$3&lt;$B$109),$B$118/MAX(1,'Вводные'!$E$91),0)</x:f>
      </x:c>
      <x:c r="Q118" s="117" t="n">
        <x:f>IF(AND(Q$3&gt;=EDATE($B$109,-'Вводные'!$E$91),Q$3&lt;$B$109),$B$118/MAX(1,'Вводные'!$E$91),0)</x:f>
      </x:c>
      <x:c r="R118" s="117" t="n">
        <x:f>IF(AND(R$3&gt;=EDATE($B$109,-'Вводные'!$E$91),R$3&lt;$B$109),$B$118/MAX(1,'Вводные'!$E$91),0)</x:f>
      </x:c>
      <x:c r="S118" s="117" t="n">
        <x:f>IF(AND(S$3&gt;=EDATE($B$109,-'Вводные'!$E$91),S$3&lt;$B$109),$B$118/MAX(1,'Вводные'!$E$91),0)</x:f>
      </x:c>
      <x:c r="T118" s="117" t="n">
        <x:f>IF(AND(T$3&gt;=EDATE($B$109,-'Вводные'!$E$91),T$3&lt;$B$109),$B$118/MAX(1,'Вводные'!$E$91),0)</x:f>
      </x:c>
      <x:c r="U118" s="117" t="n">
        <x:f>IF(AND(U$3&gt;=EDATE($B$109,-'Вводные'!$E$91),U$3&lt;$B$109),$B$118/MAX(1,'Вводные'!$E$91),0)</x:f>
      </x:c>
      <x:c r="V118" s="117" t="n">
        <x:f>IF(AND(V$3&gt;=EDATE($B$109,-'Вводные'!$E$91),V$3&lt;$B$109),$B$118/MAX(1,'Вводные'!$E$91),0)</x:f>
      </x:c>
      <x:c r="W118" s="117" t="n">
        <x:f>IF(AND(W$3&gt;=EDATE($B$109,-'Вводные'!$E$91),W$3&lt;$B$109),$B$118/MAX(1,'Вводные'!$E$91),0)</x:f>
      </x:c>
      <x:c r="X118" s="117" t="n">
        <x:f>IF(AND(X$3&gt;=EDATE($B$109,-'Вводные'!$E$91),X$3&lt;$B$109),$B$118/MAX(1,'Вводные'!$E$91),0)</x:f>
      </x:c>
      <x:c r="Y118" s="117" t="n">
        <x:f>IF(AND(Y$3&gt;=EDATE($B$109,-'Вводные'!$E$91),Y$3&lt;$B$109),$B$118/MAX(1,'Вводные'!$E$91),0)</x:f>
      </x:c>
      <x:c r="Z118" s="117" t="n">
        <x:f>IF(AND(Z$3&gt;=EDATE($B$109,-'Вводные'!$E$91),Z$3&lt;$B$109),$B$118/MAX(1,'Вводные'!$E$91),0)</x:f>
      </x:c>
      <x:c r="AA118" s="117" t="n">
        <x:f>IF(AND(AA$3&gt;=EDATE($B$109,-'Вводные'!$E$91),AA$3&lt;$B$109),$B$118/MAX(1,'Вводные'!$E$91),0)</x:f>
      </x:c>
      <x:c r="AB118" s="117" t="n">
        <x:f>IF(AND(AB$3&gt;=EDATE($B$109,-'Вводные'!$E$91),AB$3&lt;$B$109),$B$118/MAX(1,'Вводные'!$E$91),0)</x:f>
      </x:c>
      <x:c r="AC118" s="117" t="n">
        <x:f>IF(AND(AC$3&gt;=EDATE($B$109,-'Вводные'!$E$91),AC$3&lt;$B$109),$B$118/MAX(1,'Вводные'!$E$91),0)</x:f>
      </x:c>
      <x:c r="AD118" s="117" t="n">
        <x:f>IF(AND(AD$3&gt;=EDATE($B$109,-'Вводные'!$E$91),AD$3&lt;$B$109),$B$118/MAX(1,'Вводные'!$E$91),0)</x:f>
      </x:c>
      <x:c r="AE118" s="117" t="n">
        <x:f>IF(AND(AE$3&gt;=EDATE($B$109,-'Вводные'!$E$91),AE$3&lt;$B$109),$B$118/MAX(1,'Вводные'!$E$91),0)</x:f>
      </x:c>
      <x:c r="AF118" s="117" t="n">
        <x:f>IF(AND(AF$3&gt;=EDATE($B$109,-'Вводные'!$E$91),AF$3&lt;$B$109),$B$118/MAX(1,'Вводные'!$E$91),0)</x:f>
      </x:c>
      <x:c r="AG118" s="117" t="n">
        <x:f>IF(AND(AG$3&gt;=EDATE($B$109,-'Вводные'!$E$91),AG$3&lt;$B$109),$B$118/MAX(1,'Вводные'!$E$91),0)</x:f>
      </x:c>
      <x:c r="AH118" s="117" t="n">
        <x:f>IF(AND(AH$3&gt;=EDATE($B$109,-'Вводные'!$E$91),AH$3&lt;$B$109),$B$118/MAX(1,'Вводные'!$E$91),0)</x:f>
      </x:c>
      <x:c r="AI118" s="117" t="n">
        <x:f>IF(AND(AI$3&gt;=EDATE($B$109,-'Вводные'!$E$91),AI$3&lt;$B$109),$B$118/MAX(1,'Вводные'!$E$91),0)</x:f>
      </x:c>
      <x:c r="AJ118" s="117" t="n">
        <x:f>IF(AND(AJ$3&gt;=EDATE($B$109,-'Вводные'!$E$91),AJ$3&lt;$B$109),$B$118/MAX(1,'Вводные'!$E$91),0)</x:f>
      </x:c>
      <x:c r="AK118" s="117" t="n">
        <x:f>IF(AND(AK$3&gt;=EDATE($B$109,-'Вводные'!$E$91),AK$3&lt;$B$109),$B$118/MAX(1,'Вводные'!$E$91),0)</x:f>
      </x:c>
      <x:c r="AL118" s="117" t="n">
        <x:f>IF(AND(AL$3&gt;=EDATE($B$109,-'Вводные'!$E$91),AL$3&lt;$B$109),$B$118/MAX(1,'Вводные'!$E$91),0)</x:f>
      </x:c>
      <x:c r="AM118" s="117" t="n">
        <x:f>IF(AND(AM$3&gt;=EDATE($B$109,-'Вводные'!$E$91),AM$3&lt;$B$109),$B$118/MAX(1,'Вводные'!$E$91),0)</x:f>
      </x:c>
      <x:c r="AN118" s="117" t="n">
        <x:f>IF(AND(AN$3&gt;=EDATE($B$109,-'Вводные'!$E$91),AN$3&lt;$B$109),$B$118/MAX(1,'Вводные'!$E$91),0)</x:f>
      </x:c>
      <x:c r="AO118" s="117" t="n">
        <x:f>IF(AND(AO$3&gt;=EDATE($B$109,-'Вводные'!$E$91),AO$3&lt;$B$109),$B$118/MAX(1,'Вводные'!$E$91),0)</x:f>
      </x:c>
      <x:c r="AP118" s="117" t="n">
        <x:f>IF(AND(AP$3&gt;=EDATE($B$109,-'Вводные'!$E$91),AP$3&lt;$B$109),$B$118/MAX(1,'Вводные'!$E$91),0)</x:f>
      </x:c>
      <x:c r="AQ118" s="117" t="n">
        <x:f>IF(AND(AQ$3&gt;=EDATE($B$109,-'Вводные'!$E$91),AQ$3&lt;$B$109),$B$118/MAX(1,'Вводные'!$E$91),0)</x:f>
      </x:c>
      <x:c r="AR118" s="117" t="n">
        <x:f>IF(AND(AR$3&gt;=EDATE($B$109,-'Вводные'!$E$91),AR$3&lt;$B$109),$B$118/MAX(1,'Вводные'!$E$91),0)</x:f>
      </x:c>
      <x:c r="AS118" s="117" t="n">
        <x:f>IF(AND(AS$3&gt;=EDATE($B$109,-'Вводные'!$E$91),AS$3&lt;$B$109),$B$118/MAX(1,'Вводные'!$E$91),0)</x:f>
      </x:c>
      <x:c r="AT118" s="117" t="n">
        <x:f>IF(AND(AT$3&gt;=EDATE($B$109,-'Вводные'!$E$91),AT$3&lt;$B$109),$B$118/MAX(1,'Вводные'!$E$91),0)</x:f>
      </x:c>
      <x:c r="AU118" s="117" t="n">
        <x:f>IF(AND(AU$3&gt;=EDATE($B$109,-'Вводные'!$E$91),AU$3&lt;$B$109),$B$118/MAX(1,'Вводные'!$E$91),0)</x:f>
      </x:c>
      <x:c r="AV118" s="117" t="n">
        <x:f>IF(AND(AV$3&gt;=EDATE($B$109,-'Вводные'!$E$91),AV$3&lt;$B$109),$B$118/MAX(1,'Вводные'!$E$91),0)</x:f>
      </x:c>
      <x:c r="AW118" s="117" t="n">
        <x:f>IF(AND(AW$3&gt;=EDATE($B$109,-'Вводные'!$E$91),AW$3&lt;$B$109),$B$118/MAX(1,'Вводные'!$E$91),0)</x:f>
      </x:c>
      <x:c r="AX118" s="117" t="n">
        <x:f>IF(AND(AX$3&gt;=EDATE($B$109,-'Вводные'!$E$91),AX$3&lt;$B$109),$B$118/MAX(1,'Вводные'!$E$91),0)</x:f>
      </x:c>
      <x:c r="AY118" s="117" t="n">
        <x:f>IF(AND(AY$3&gt;=EDATE($B$109,-'Вводные'!$E$91),AY$3&lt;$B$109),$B$118/MAX(1,'Вводные'!$E$91),0)</x:f>
      </x:c>
      <x:c r="AZ118" s="117" t="n">
        <x:f>IF(AND(AZ$3&gt;=EDATE($B$109,-'Вводные'!$E$91),AZ$3&lt;$B$109),$B$118/MAX(1,'Вводные'!$E$91),0)</x:f>
      </x:c>
      <x:c r="BA118" s="117" t="n">
        <x:f>IF(AND(BA$3&gt;=EDATE($B$109,-'Вводные'!$E$91),BA$3&lt;$B$109),$B$118/MAX(1,'Вводные'!$E$91),0)</x:f>
      </x:c>
      <x:c r="BB118" s="117" t="n">
        <x:f>IF(AND(BB$3&gt;=EDATE($B$109,-'Вводные'!$E$91),BB$3&lt;$B$109),$B$118/MAX(1,'Вводные'!$E$91),0)</x:f>
      </x:c>
      <x:c r="BC118" s="117" t="n">
        <x:f>IF(AND(BC$3&gt;=EDATE($B$109,-'Вводные'!$E$91),BC$3&lt;$B$109),$B$118/MAX(1,'Вводные'!$E$91),0)</x:f>
      </x:c>
      <x:c r="BD118" s="117" t="n">
        <x:f>IF(AND(BD$3&gt;=EDATE($B$109,-'Вводные'!$E$91),BD$3&lt;$B$109),$B$118/MAX(1,'Вводные'!$E$91),0)</x:f>
      </x:c>
      <x:c r="BE118" s="117" t="n">
        <x:f>IF(AND(BE$3&gt;=EDATE($B$109,-'Вводные'!$E$91),BE$3&lt;$B$109),$B$118/MAX(1,'Вводные'!$E$91),0)</x:f>
      </x:c>
      <x:c r="BF118" s="117" t="n">
        <x:f>IF(AND(BF$3&gt;=EDATE($B$109,-'Вводные'!$E$91),BF$3&lt;$B$109),$B$118/MAX(1,'Вводные'!$E$91),0)</x:f>
      </x:c>
      <x:c r="BG118" s="117" t="n">
        <x:f>IF(AND(BG$3&gt;=EDATE($B$109,-'Вводные'!$E$91),BG$3&lt;$B$109),$B$118/MAX(1,'Вводные'!$E$91),0)</x:f>
      </x:c>
      <x:c r="BH118" s="117" t="n">
        <x:f>IF(AND(BH$3&gt;=EDATE($B$109,-'Вводные'!$E$91),BH$3&lt;$B$109),$B$118/MAX(1,'Вводные'!$E$91),0)</x:f>
      </x:c>
      <x:c r="BI118" s="117" t="n">
        <x:f>IF(AND(BI$3&gt;=EDATE($B$109,-'Вводные'!$E$91),BI$3&lt;$B$109),$B$118/MAX(1,'Вводные'!$E$91),0)</x:f>
      </x:c>
      <x:c r="BJ118" s="117" t="n">
        <x:f>IF(AND(BJ$3&gt;=EDATE($B$109,-'Вводные'!$E$91),BJ$3&lt;$B$109),$B$118/MAX(1,'Вводные'!$E$91),0)</x:f>
      </x:c>
      <x:c r="BK118" s="117" t="n">
        <x:f>IF(AND(BK$3&gt;=EDATE($B$109,-'Вводные'!$E$91),BK$3&lt;$B$109),$B$118/MAX(1,'Вводные'!$E$91),0)</x:f>
      </x:c>
      <x:c r="BL118" s="117" t="n">
        <x:f>IF(AND(BL$3&gt;=EDATE($B$109,-'Вводные'!$E$91),BL$3&lt;$B$109),$B$118/MAX(1,'Вводные'!$E$91),0)</x:f>
      </x:c>
      <x:c r="BM118" s="117" t="n">
        <x:f>IF(AND(BM$3&gt;=EDATE($B$109,-'Вводные'!$E$91),BM$3&lt;$B$109),$B$118/MAX(1,'Вводные'!$E$91),0)</x:f>
      </x:c>
      <x:c r="BN118" s="117" t="n">
        <x:f>IF(AND(BN$3&gt;=EDATE($B$109,-'Вводные'!$E$91),BN$3&lt;$B$109),$B$118/MAX(1,'Вводные'!$E$91),0)</x:f>
      </x:c>
      <x:c r="BO118" s="117" t="n">
        <x:f>IF(AND(BO$3&gt;=EDATE($B$109,-'Вводные'!$E$91),BO$3&lt;$B$109),$B$118/MAX(1,'Вводные'!$E$91),0)</x:f>
      </x:c>
      <x:c r="BP118" s="117" t="n">
        <x:f>IF(AND(BP$3&gt;=EDATE($B$109,-'Вводные'!$E$91),BP$3&lt;$B$109),$B$118/MAX(1,'Вводные'!$E$91),0)</x:f>
      </x:c>
      <x:c r="BQ118" s="117" t="n">
        <x:f>IF(AND(BQ$3&gt;=EDATE($B$109,-'Вводные'!$E$91),BQ$3&lt;$B$109),$B$118/MAX(1,'Вводные'!$E$91),0)</x:f>
      </x:c>
      <x:c r="BR118" s="117" t="n">
        <x:f>IF(AND(BR$3&gt;=EDATE($B$109,-'Вводные'!$E$91),BR$3&lt;$B$109),$B$118/MAX(1,'Вводные'!$E$91),0)</x:f>
      </x:c>
      <x:c r="BS118" s="117" t="n">
        <x:f>IF(AND(BS$3&gt;=EDATE($B$109,-'Вводные'!$E$91),BS$3&lt;$B$109),$B$118/MAX(1,'Вводные'!$E$91),0)</x:f>
      </x:c>
      <x:c r="BT118" s="117" t="n">
        <x:f>IF(AND(BT$3&gt;=EDATE($B$109,-'Вводные'!$E$91),BT$3&lt;$B$109),$B$118/MAX(1,'Вводные'!$E$91),0)</x:f>
      </x:c>
      <x:c r="BU118" s="117" t="n">
        <x:f>IF(AND(BU$3&gt;=EDATE($B$109,-'Вводные'!$E$91),BU$3&lt;$B$109),$B$118/MAX(1,'Вводные'!$E$91),0)</x:f>
      </x:c>
      <x:c r="BV118" s="117" t="n">
        <x:f>IF(AND(BV$3&gt;=EDATE($B$109,-'Вводные'!$E$91),BV$3&lt;$B$109),$B$118/MAX(1,'Вводные'!$E$91),0)</x:f>
      </x:c>
      <x:c r="BW118" s="117" t="n">
        <x:f>IF(AND(BW$3&gt;=EDATE($B$109,-'Вводные'!$E$91),BW$3&lt;$B$109),$B$118/MAX(1,'Вводные'!$E$91),0)</x:f>
      </x:c>
      <x:c r="BX118" s="117" t="n">
        <x:f>IF(AND(BX$3&gt;=EDATE($B$109,-'Вводные'!$E$91),BX$3&lt;$B$109),$B$118/MAX(1,'Вводные'!$E$91),0)</x:f>
      </x:c>
      <x:c r="BY118" s="117" t="n">
        <x:f>IF(AND(BY$3&gt;=EDATE($B$109,-'Вводные'!$E$91),BY$3&lt;$B$109),$B$118/MAX(1,'Вводные'!$E$91),0)</x:f>
      </x:c>
      <x:c r="BZ118" s="117" t="n">
        <x:f>IF(AND(BZ$3&gt;=EDATE($B$109,-'Вводные'!$E$91),BZ$3&lt;$B$109),$B$118/MAX(1,'Вводные'!$E$91),0)</x:f>
      </x:c>
      <x:c r="CA118" s="117" t="n">
        <x:f>IF(AND(CA$3&gt;=EDATE($B$109,-'Вводные'!$E$91),CA$3&lt;$B$109),$B$118/MAX(1,'Вводные'!$E$91),0)</x:f>
      </x:c>
      <x:c r="CB118" s="117" t="n">
        <x:f>IF(AND(CB$3&gt;=EDATE($B$109,-'Вводные'!$E$91),CB$3&lt;$B$109),$B$118/MAX(1,'Вводные'!$E$91),0)</x:f>
      </x:c>
      <x:c r="CC118" s="117" t="n">
        <x:f>IF(AND(CC$3&gt;=EDATE($B$109,-'Вводные'!$E$91),CC$3&lt;$B$109),$B$118/MAX(1,'Вводные'!$E$91),0)</x:f>
      </x:c>
      <x:c r="CD118" s="117" t="n">
        <x:f>IF(AND(CD$3&gt;=EDATE($B$109,-'Вводные'!$E$91),CD$3&lt;$B$109),$B$118/MAX(1,'Вводные'!$E$91),0)</x:f>
      </x:c>
      <x:c r="CE118" s="117" t="n">
        <x:f>IF(AND(CE$3&gt;=EDATE($B$109,-'Вводные'!$E$91),CE$3&lt;$B$109),$B$118/MAX(1,'Вводные'!$E$91),0)</x:f>
      </x:c>
      <x:c r="CF118" s="117" t="n">
        <x:f>IF(AND(CF$3&gt;=EDATE($B$109,-'Вводные'!$E$91),CF$3&lt;$B$109),$B$118/MAX(1,'Вводные'!$E$91),0)</x:f>
      </x:c>
      <x:c r="CG118" s="117" t="n">
        <x:f>IF(AND(CG$3&gt;=EDATE($B$109,-'Вводные'!$E$91),CG$3&lt;$B$109),$B$118/MAX(1,'Вводные'!$E$91),0)</x:f>
      </x:c>
      <x:c r="CH118" s="117" t="n">
        <x:f>IF(AND(CH$3&gt;=EDATE($B$109,-'Вводные'!$E$91),CH$3&lt;$B$109),$B$118/MAX(1,'Вводные'!$E$91),0)</x:f>
      </x:c>
      <x:c r="CI118" s="117" t="n">
        <x:f>IF(AND(CI$3&gt;=EDATE($B$109,-'Вводные'!$E$91),CI$3&lt;$B$109),$B$118/MAX(1,'Вводные'!$E$91),0)</x:f>
      </x:c>
      <x:c r="CJ118" s="117" t="n">
        <x:f>IF(AND(CJ$3&gt;=EDATE($B$109,-'Вводные'!$E$91),CJ$3&lt;$B$109),$B$118/MAX(1,'Вводные'!$E$91),0)</x:f>
      </x:c>
      <x:c r="CK118" s="117" t="n">
        <x:f>IF(AND(CK$3&gt;=EDATE($B$109,-'Вводные'!$E$91),CK$3&lt;$B$109),$B$118/MAX(1,'Вводные'!$E$91),0)</x:f>
      </x:c>
      <x:c r="CL118" s="117" t="n">
        <x:f>IF(AND(CL$3&gt;=EDATE($B$109,-'Вводные'!$E$91),CL$3&lt;$B$109),$B$118/MAX(1,'Вводные'!$E$91),0)</x:f>
      </x:c>
      <x:c r="CM118" s="117" t="n">
        <x:f>IF(AND(CM$3&gt;=EDATE($B$109,-'Вводные'!$E$91),CM$3&lt;$B$109),$B$118/MAX(1,'Вводные'!$E$91),0)</x:f>
      </x:c>
      <x:c r="CN118" s="117" t="n">
        <x:f>IF(AND(CN$3&gt;=EDATE($B$109,-'Вводные'!$E$91),CN$3&lt;$B$109),$B$118/MAX(1,'Вводные'!$E$91),0)</x:f>
      </x:c>
      <x:c r="CO118" s="117" t="n">
        <x:f>IF(AND(CO$3&gt;=EDATE($B$109,-'Вводные'!$E$91),CO$3&lt;$B$109),$B$118/MAX(1,'Вводные'!$E$91),0)</x:f>
      </x:c>
      <x:c r="CP118" s="117" t="n">
        <x:f>IF(AND(CP$3&gt;=EDATE($B$109,-'Вводные'!$E$91),CP$3&lt;$B$109),$B$118/MAX(1,'Вводные'!$E$91),0)</x:f>
      </x:c>
      <x:c r="CQ118" s="117" t="n">
        <x:f>IF(AND(CQ$3&gt;=EDATE($B$109,-'Вводные'!$E$91),CQ$3&lt;$B$109),$B$118/MAX(1,'Вводные'!$E$91),0)</x:f>
      </x:c>
      <x:c r="CR118" s="117" t="n">
        <x:f>IF(AND(CR$3&gt;=EDATE($B$109,-'Вводные'!$E$91),CR$3&lt;$B$109),$B$118/MAX(1,'Вводные'!$E$91),0)</x:f>
      </x:c>
      <x:c r="CS118" s="117" t="n">
        <x:f>IF(AND(CS$3&gt;=EDATE($B$109,-'Вводные'!$E$91),CS$3&lt;$B$109),$B$118/MAX(1,'Вводные'!$E$91),0)</x:f>
      </x:c>
      <x:c r="CT118" s="117" t="n">
        <x:f>IF(AND(CT$3&gt;=EDATE($B$109,-'Вводные'!$E$91),CT$3&lt;$B$109),$B$118/MAX(1,'Вводные'!$E$91),0)</x:f>
      </x:c>
      <x:c r="CU118" s="117" t="n">
        <x:f>IF(AND(CU$3&gt;=EDATE($B$109,-'Вводные'!$E$91),CU$3&lt;$B$109),$B$118/MAX(1,'Вводные'!$E$91),0)</x:f>
      </x:c>
      <x:c r="CV118" s="117" t="n">
        <x:f>IF(AND(CV$3&gt;=EDATE($B$109,-'Вводные'!$E$91),CV$3&lt;$B$109),$B$118/MAX(1,'Вводные'!$E$91),0)</x:f>
      </x:c>
      <x:c r="CW118" s="117" t="n">
        <x:f>IF(AND(CW$3&gt;=EDATE($B$109,-'Вводные'!$E$91),CW$3&lt;$B$109),$B$118/MAX(1,'Вводные'!$E$91),0)</x:f>
      </x:c>
      <x:c r="CX118" s="117" t="n">
        <x:f>IF(AND(CX$3&gt;=EDATE($B$109,-'Вводные'!$E$91),CX$3&lt;$B$109),$B$118/MAX(1,'Вводные'!$E$91),0)</x:f>
      </x:c>
      <x:c r="CY118" s="117" t="n">
        <x:f>IF(AND(CY$3&gt;=EDATE($B$109,-'Вводные'!$E$91),CY$3&lt;$B$109),$B$118/MAX(1,'Вводные'!$E$91),0)</x:f>
      </x:c>
      <x:c r="CZ118" s="117" t="n">
        <x:f>IF(AND(CZ$3&gt;=EDATE($B$109,-'Вводные'!$E$91),CZ$3&lt;$B$109),$B$118/MAX(1,'Вводные'!$E$91),0)</x:f>
      </x:c>
      <x:c r="DA118" s="117" t="n">
        <x:f>IF(AND(DA$3&gt;=EDATE($B$109,-'Вводные'!$E$91),DA$3&lt;$B$109),$B$118/MAX(1,'Вводные'!$E$91),0)</x:f>
      </x:c>
      <x:c r="DB118" s="117" t="n">
        <x:f>IF(AND(DB$3&gt;=EDATE($B$109,-'Вводные'!$E$91),DB$3&lt;$B$109),$B$118/MAX(1,'Вводные'!$E$91),0)</x:f>
      </x:c>
      <x:c r="DC118" s="117" t="n">
        <x:f>IF(AND(DC$3&gt;=EDATE($B$109,-'Вводные'!$E$91),DC$3&lt;$B$109),$B$118/MAX(1,'Вводные'!$E$91),0)</x:f>
      </x:c>
      <x:c r="DD118" s="117" t="n">
        <x:f>IF(AND(DD$3&gt;=EDATE($B$109,-'Вводные'!$E$91),DD$3&lt;$B$109),$B$118/MAX(1,'Вводные'!$E$91),0)</x:f>
      </x:c>
      <x:c r="DE118" s="117" t="n">
        <x:f>IF(AND(DE$3&gt;=EDATE($B$109,-'Вводные'!$E$91),DE$3&lt;$B$109),$B$118/MAX(1,'Вводные'!$E$91),0)</x:f>
      </x:c>
      <x:c r="DF118" s="117" t="n">
        <x:f>IF(AND(DF$3&gt;=EDATE($B$109,-'Вводные'!$E$91),DF$3&lt;$B$109),$B$118/MAX(1,'Вводные'!$E$91),0)</x:f>
      </x:c>
      <x:c r="DG118" s="117" t="n">
        <x:f>IF(AND(DG$3&gt;=EDATE($B$109,-'Вводные'!$E$91),DG$3&lt;$B$109),$B$118/MAX(1,'Вводные'!$E$91),0)</x:f>
      </x:c>
      <x:c r="DH118" s="117" t="n">
        <x:f>IF(AND(DH$3&gt;=EDATE($B$109,-'Вводные'!$E$91),DH$3&lt;$B$109),$B$118/MAX(1,'Вводные'!$E$91),0)</x:f>
      </x:c>
      <x:c r="DI118" s="117" t="n">
        <x:f>IF(AND(DI$3&gt;=EDATE($B$109,-'Вводные'!$E$91),DI$3&lt;$B$109),$B$118/MAX(1,'Вводные'!$E$91),0)</x:f>
      </x:c>
      <x:c r="DJ118" s="117" t="n">
        <x:f>IF(AND(DJ$3&gt;=EDATE($B$109,-'Вводные'!$E$91),DJ$3&lt;$B$109),$B$118/MAX(1,'Вводные'!$E$91),0)</x:f>
      </x:c>
      <x:c r="DK118" s="117" t="n">
        <x:f>IF(AND(DK$3&gt;=EDATE($B$109,-'Вводные'!$E$91),DK$3&lt;$B$109),$B$118/MAX(1,'Вводные'!$E$91),0)</x:f>
      </x:c>
      <x:c r="DL118" s="117" t="n">
        <x:f>IF(AND(DL$3&gt;=EDATE($B$109,-'Вводные'!$E$91),DL$3&lt;$B$109),$B$118/MAX(1,'Вводные'!$E$91),0)</x:f>
      </x:c>
      <x:c r="DM118" s="117" t="n">
        <x:f>IF(AND(DM$3&gt;=EDATE($B$109,-'Вводные'!$E$91),DM$3&lt;$B$109),$B$118/MAX(1,'Вводные'!$E$91),0)</x:f>
      </x:c>
      <x:c r="DN118" s="117" t="n">
        <x:f>IF(AND(DN$3&gt;=EDATE($B$109,-'Вводные'!$E$91),DN$3&lt;$B$109),$B$118/MAX(1,'Вводные'!$E$91),0)</x:f>
      </x:c>
      <x:c r="DO118" s="117" t="n">
        <x:f>IF(AND(DO$3&gt;=EDATE($B$109,-'Вводные'!$E$91),DO$3&lt;$B$109),$B$118/MAX(1,'Вводные'!$E$91),0)</x:f>
      </x:c>
      <x:c r="DP118" s="117" t="n">
        <x:f>IF(AND(DP$3&gt;=EDATE($B$109,-'Вводные'!$E$91),DP$3&lt;$B$109),$B$118/MAX(1,'Вводные'!$E$91),0)</x:f>
      </x:c>
      <x:c r="DQ118" s="117" t="n">
        <x:f>IF(AND(DQ$3&gt;=EDATE($B$109,-'Вводные'!$E$91),DQ$3&lt;$B$109),$B$118/MAX(1,'Вводные'!$E$91),0)</x:f>
      </x:c>
      <x:c r="DR118" s="117" t="n">
        <x:f>IF(AND(DR$3&gt;=EDATE($B$109,-'Вводные'!$E$91),DR$3&lt;$B$109),$B$118/MAX(1,'Вводные'!$E$91),0)</x:f>
      </x:c>
      <x:c r="DS118" s="117" t="n">
        <x:f>IF(AND(DS$3&gt;=EDATE($B$109,-'Вводные'!$E$91),DS$3&lt;$B$109),$B$118/MAX(1,'Вводные'!$E$91),0)</x:f>
      </x:c>
    </x:row>
    <x:row r="119">
      <x:c r="A119" t="str">
        <x:v>Проектирование, стадия П</x:v>
      </x:c>
      <x:c r="B119" s="107" t="n">
        <x:f>(('Вводные'!$I$91+'Вводные'!$J$91+'Вводные'!$K$91)*'Вводные'!$B$41/1000*'Вводные'!$H$6*'Вводные'!$T$91*--('Вводные'!$B$91="Да"))*'Вводные'!$AH$91</x:f>
      </x:c>
      <x:c r="C119" t="str">
        <x:v>млн ₽</x:v>
      </x:c>
      <x:c r="D119" s="117" t="n">
        <x:f>IF(AND(D$3&gt;=EDATE($B$109,-MIN(6,'Вводные'!$E$91)),D$3&lt;$B$109),$B$119/MAX(1,MIN(6,'Вводные'!$E$91)),0)</x:f>
      </x:c>
      <x:c r="E119" s="117" t="n">
        <x:f>IF(AND(E$3&gt;=EDATE($B$109,-MIN(6,'Вводные'!$E$91)),E$3&lt;$B$109),$B$119/MAX(1,MIN(6,'Вводные'!$E$91)),0)</x:f>
      </x:c>
      <x:c r="F119" s="117" t="n">
        <x:f>IF(AND(F$3&gt;=EDATE($B$109,-MIN(6,'Вводные'!$E$91)),F$3&lt;$B$109),$B$119/MAX(1,MIN(6,'Вводные'!$E$91)),0)</x:f>
      </x:c>
      <x:c r="G119" s="117" t="n">
        <x:f>IF(AND(G$3&gt;=EDATE($B$109,-MIN(6,'Вводные'!$E$91)),G$3&lt;$B$109),$B$119/MAX(1,MIN(6,'Вводные'!$E$91)),0)</x:f>
      </x:c>
      <x:c r="H119" s="117" t="n">
        <x:f>IF(AND(H$3&gt;=EDATE($B$109,-MIN(6,'Вводные'!$E$91)),H$3&lt;$B$109),$B$119/MAX(1,MIN(6,'Вводные'!$E$91)),0)</x:f>
      </x:c>
      <x:c r="I119" s="117" t="n">
        <x:f>IF(AND(I$3&gt;=EDATE($B$109,-MIN(6,'Вводные'!$E$91)),I$3&lt;$B$109),$B$119/MAX(1,MIN(6,'Вводные'!$E$91)),0)</x:f>
      </x:c>
      <x:c r="J119" s="117" t="n">
        <x:f>IF(AND(J$3&gt;=EDATE($B$109,-MIN(6,'Вводные'!$E$91)),J$3&lt;$B$109),$B$119/MAX(1,MIN(6,'Вводные'!$E$91)),0)</x:f>
      </x:c>
      <x:c r="K119" s="117" t="n">
        <x:f>IF(AND(K$3&gt;=EDATE($B$109,-MIN(6,'Вводные'!$E$91)),K$3&lt;$B$109),$B$119/MAX(1,MIN(6,'Вводные'!$E$91)),0)</x:f>
      </x:c>
      <x:c r="L119" s="117" t="n">
        <x:f>IF(AND(L$3&gt;=EDATE($B$109,-MIN(6,'Вводные'!$E$91)),L$3&lt;$B$109),$B$119/MAX(1,MIN(6,'Вводные'!$E$91)),0)</x:f>
      </x:c>
      <x:c r="M119" s="117" t="n">
        <x:f>IF(AND(M$3&gt;=EDATE($B$109,-MIN(6,'Вводные'!$E$91)),M$3&lt;$B$109),$B$119/MAX(1,MIN(6,'Вводные'!$E$91)),0)</x:f>
      </x:c>
      <x:c r="N119" s="117" t="n">
        <x:f>IF(AND(N$3&gt;=EDATE($B$109,-MIN(6,'Вводные'!$E$91)),N$3&lt;$B$109),$B$119/MAX(1,MIN(6,'Вводные'!$E$91)),0)</x:f>
      </x:c>
      <x:c r="O119" s="117" t="n">
        <x:f>IF(AND(O$3&gt;=EDATE($B$109,-MIN(6,'Вводные'!$E$91)),O$3&lt;$B$109),$B$119/MAX(1,MIN(6,'Вводные'!$E$91)),0)</x:f>
      </x:c>
      <x:c r="P119" s="117" t="n">
        <x:f>IF(AND(P$3&gt;=EDATE($B$109,-MIN(6,'Вводные'!$E$91)),P$3&lt;$B$109),$B$119/MAX(1,MIN(6,'Вводные'!$E$91)),0)</x:f>
      </x:c>
      <x:c r="Q119" s="117" t="n">
        <x:f>IF(AND(Q$3&gt;=EDATE($B$109,-MIN(6,'Вводные'!$E$91)),Q$3&lt;$B$109),$B$119/MAX(1,MIN(6,'Вводные'!$E$91)),0)</x:f>
      </x:c>
      <x:c r="R119" s="117" t="n">
        <x:f>IF(AND(R$3&gt;=EDATE($B$109,-MIN(6,'Вводные'!$E$91)),R$3&lt;$B$109),$B$119/MAX(1,MIN(6,'Вводные'!$E$91)),0)</x:f>
      </x:c>
      <x:c r="S119" s="117" t="n">
        <x:f>IF(AND(S$3&gt;=EDATE($B$109,-MIN(6,'Вводные'!$E$91)),S$3&lt;$B$109),$B$119/MAX(1,MIN(6,'Вводные'!$E$91)),0)</x:f>
      </x:c>
      <x:c r="T119" s="117" t="n">
        <x:f>IF(AND(T$3&gt;=EDATE($B$109,-MIN(6,'Вводные'!$E$91)),T$3&lt;$B$109),$B$119/MAX(1,MIN(6,'Вводные'!$E$91)),0)</x:f>
      </x:c>
      <x:c r="U119" s="117" t="n">
        <x:f>IF(AND(U$3&gt;=EDATE($B$109,-MIN(6,'Вводные'!$E$91)),U$3&lt;$B$109),$B$119/MAX(1,MIN(6,'Вводные'!$E$91)),0)</x:f>
      </x:c>
      <x:c r="V119" s="117" t="n">
        <x:f>IF(AND(V$3&gt;=EDATE($B$109,-MIN(6,'Вводные'!$E$91)),V$3&lt;$B$109),$B$119/MAX(1,MIN(6,'Вводные'!$E$91)),0)</x:f>
      </x:c>
      <x:c r="W119" s="117" t="n">
        <x:f>IF(AND(W$3&gt;=EDATE($B$109,-MIN(6,'Вводные'!$E$91)),W$3&lt;$B$109),$B$119/MAX(1,MIN(6,'Вводные'!$E$91)),0)</x:f>
      </x:c>
      <x:c r="X119" s="117" t="n">
        <x:f>IF(AND(X$3&gt;=EDATE($B$109,-MIN(6,'Вводные'!$E$91)),X$3&lt;$B$109),$B$119/MAX(1,MIN(6,'Вводные'!$E$91)),0)</x:f>
      </x:c>
      <x:c r="Y119" s="117" t="n">
        <x:f>IF(AND(Y$3&gt;=EDATE($B$109,-MIN(6,'Вводные'!$E$91)),Y$3&lt;$B$109),$B$119/MAX(1,MIN(6,'Вводные'!$E$91)),0)</x:f>
      </x:c>
      <x:c r="Z119" s="117" t="n">
        <x:f>IF(AND(Z$3&gt;=EDATE($B$109,-MIN(6,'Вводные'!$E$91)),Z$3&lt;$B$109),$B$119/MAX(1,MIN(6,'Вводные'!$E$91)),0)</x:f>
      </x:c>
      <x:c r="AA119" s="117" t="n">
        <x:f>IF(AND(AA$3&gt;=EDATE($B$109,-MIN(6,'Вводные'!$E$91)),AA$3&lt;$B$109),$B$119/MAX(1,MIN(6,'Вводные'!$E$91)),0)</x:f>
      </x:c>
      <x:c r="AB119" s="117" t="n">
        <x:f>IF(AND(AB$3&gt;=EDATE($B$109,-MIN(6,'Вводные'!$E$91)),AB$3&lt;$B$109),$B$119/MAX(1,MIN(6,'Вводные'!$E$91)),0)</x:f>
      </x:c>
      <x:c r="AC119" s="117" t="n">
        <x:f>IF(AND(AC$3&gt;=EDATE($B$109,-MIN(6,'Вводные'!$E$91)),AC$3&lt;$B$109),$B$119/MAX(1,MIN(6,'Вводные'!$E$91)),0)</x:f>
      </x:c>
      <x:c r="AD119" s="117" t="n">
        <x:f>IF(AND(AD$3&gt;=EDATE($B$109,-MIN(6,'Вводные'!$E$91)),AD$3&lt;$B$109),$B$119/MAX(1,MIN(6,'Вводные'!$E$91)),0)</x:f>
      </x:c>
      <x:c r="AE119" s="117" t="n">
        <x:f>IF(AND(AE$3&gt;=EDATE($B$109,-MIN(6,'Вводные'!$E$91)),AE$3&lt;$B$109),$B$119/MAX(1,MIN(6,'Вводные'!$E$91)),0)</x:f>
      </x:c>
      <x:c r="AF119" s="117" t="n">
        <x:f>IF(AND(AF$3&gt;=EDATE($B$109,-MIN(6,'Вводные'!$E$91)),AF$3&lt;$B$109),$B$119/MAX(1,MIN(6,'Вводные'!$E$91)),0)</x:f>
      </x:c>
      <x:c r="AG119" s="117" t="n">
        <x:f>IF(AND(AG$3&gt;=EDATE($B$109,-MIN(6,'Вводные'!$E$91)),AG$3&lt;$B$109),$B$119/MAX(1,MIN(6,'Вводные'!$E$91)),0)</x:f>
      </x:c>
      <x:c r="AH119" s="117" t="n">
        <x:f>IF(AND(AH$3&gt;=EDATE($B$109,-MIN(6,'Вводные'!$E$91)),AH$3&lt;$B$109),$B$119/MAX(1,MIN(6,'Вводные'!$E$91)),0)</x:f>
      </x:c>
      <x:c r="AI119" s="117" t="n">
        <x:f>IF(AND(AI$3&gt;=EDATE($B$109,-MIN(6,'Вводные'!$E$91)),AI$3&lt;$B$109),$B$119/MAX(1,MIN(6,'Вводные'!$E$91)),0)</x:f>
      </x:c>
      <x:c r="AJ119" s="117" t="n">
        <x:f>IF(AND(AJ$3&gt;=EDATE($B$109,-MIN(6,'Вводные'!$E$91)),AJ$3&lt;$B$109),$B$119/MAX(1,MIN(6,'Вводные'!$E$91)),0)</x:f>
      </x:c>
      <x:c r="AK119" s="117" t="n">
        <x:f>IF(AND(AK$3&gt;=EDATE($B$109,-MIN(6,'Вводные'!$E$91)),AK$3&lt;$B$109),$B$119/MAX(1,MIN(6,'Вводные'!$E$91)),0)</x:f>
      </x:c>
      <x:c r="AL119" s="117" t="n">
        <x:f>IF(AND(AL$3&gt;=EDATE($B$109,-MIN(6,'Вводные'!$E$91)),AL$3&lt;$B$109),$B$119/MAX(1,MIN(6,'Вводные'!$E$91)),0)</x:f>
      </x:c>
      <x:c r="AM119" s="117" t="n">
        <x:f>IF(AND(AM$3&gt;=EDATE($B$109,-MIN(6,'Вводные'!$E$91)),AM$3&lt;$B$109),$B$119/MAX(1,MIN(6,'Вводные'!$E$91)),0)</x:f>
      </x:c>
      <x:c r="AN119" s="117" t="n">
        <x:f>IF(AND(AN$3&gt;=EDATE($B$109,-MIN(6,'Вводные'!$E$91)),AN$3&lt;$B$109),$B$119/MAX(1,MIN(6,'Вводные'!$E$91)),0)</x:f>
      </x:c>
      <x:c r="AO119" s="117" t="n">
        <x:f>IF(AND(AO$3&gt;=EDATE($B$109,-MIN(6,'Вводные'!$E$91)),AO$3&lt;$B$109),$B$119/MAX(1,MIN(6,'Вводные'!$E$91)),0)</x:f>
      </x:c>
      <x:c r="AP119" s="117" t="n">
        <x:f>IF(AND(AP$3&gt;=EDATE($B$109,-MIN(6,'Вводные'!$E$91)),AP$3&lt;$B$109),$B$119/MAX(1,MIN(6,'Вводные'!$E$91)),0)</x:f>
      </x:c>
      <x:c r="AQ119" s="117" t="n">
        <x:f>IF(AND(AQ$3&gt;=EDATE($B$109,-MIN(6,'Вводные'!$E$91)),AQ$3&lt;$B$109),$B$119/MAX(1,MIN(6,'Вводные'!$E$91)),0)</x:f>
      </x:c>
      <x:c r="AR119" s="117" t="n">
        <x:f>IF(AND(AR$3&gt;=EDATE($B$109,-MIN(6,'Вводные'!$E$91)),AR$3&lt;$B$109),$B$119/MAX(1,MIN(6,'Вводные'!$E$91)),0)</x:f>
      </x:c>
      <x:c r="AS119" s="117" t="n">
        <x:f>IF(AND(AS$3&gt;=EDATE($B$109,-MIN(6,'Вводные'!$E$91)),AS$3&lt;$B$109),$B$119/MAX(1,MIN(6,'Вводные'!$E$91)),0)</x:f>
      </x:c>
      <x:c r="AT119" s="117" t="n">
        <x:f>IF(AND(AT$3&gt;=EDATE($B$109,-MIN(6,'Вводные'!$E$91)),AT$3&lt;$B$109),$B$119/MAX(1,MIN(6,'Вводные'!$E$91)),0)</x:f>
      </x:c>
      <x:c r="AU119" s="117" t="n">
        <x:f>IF(AND(AU$3&gt;=EDATE($B$109,-MIN(6,'Вводные'!$E$91)),AU$3&lt;$B$109),$B$119/MAX(1,MIN(6,'Вводные'!$E$91)),0)</x:f>
      </x:c>
      <x:c r="AV119" s="117" t="n">
        <x:f>IF(AND(AV$3&gt;=EDATE($B$109,-MIN(6,'Вводные'!$E$91)),AV$3&lt;$B$109),$B$119/MAX(1,MIN(6,'Вводные'!$E$91)),0)</x:f>
      </x:c>
      <x:c r="AW119" s="117" t="n">
        <x:f>IF(AND(AW$3&gt;=EDATE($B$109,-MIN(6,'Вводные'!$E$91)),AW$3&lt;$B$109),$B$119/MAX(1,MIN(6,'Вводные'!$E$91)),0)</x:f>
      </x:c>
      <x:c r="AX119" s="117" t="n">
        <x:f>IF(AND(AX$3&gt;=EDATE($B$109,-MIN(6,'Вводные'!$E$91)),AX$3&lt;$B$109),$B$119/MAX(1,MIN(6,'Вводные'!$E$91)),0)</x:f>
      </x:c>
      <x:c r="AY119" s="117" t="n">
        <x:f>IF(AND(AY$3&gt;=EDATE($B$109,-MIN(6,'Вводные'!$E$91)),AY$3&lt;$B$109),$B$119/MAX(1,MIN(6,'Вводные'!$E$91)),0)</x:f>
      </x:c>
      <x:c r="AZ119" s="117" t="n">
        <x:f>IF(AND(AZ$3&gt;=EDATE($B$109,-MIN(6,'Вводные'!$E$91)),AZ$3&lt;$B$109),$B$119/MAX(1,MIN(6,'Вводные'!$E$91)),0)</x:f>
      </x:c>
      <x:c r="BA119" s="117" t="n">
        <x:f>IF(AND(BA$3&gt;=EDATE($B$109,-MIN(6,'Вводные'!$E$91)),BA$3&lt;$B$109),$B$119/MAX(1,MIN(6,'Вводные'!$E$91)),0)</x:f>
      </x:c>
      <x:c r="BB119" s="117" t="n">
        <x:f>IF(AND(BB$3&gt;=EDATE($B$109,-MIN(6,'Вводные'!$E$91)),BB$3&lt;$B$109),$B$119/MAX(1,MIN(6,'Вводные'!$E$91)),0)</x:f>
      </x:c>
      <x:c r="BC119" s="117" t="n">
        <x:f>IF(AND(BC$3&gt;=EDATE($B$109,-MIN(6,'Вводные'!$E$91)),BC$3&lt;$B$109),$B$119/MAX(1,MIN(6,'Вводные'!$E$91)),0)</x:f>
      </x:c>
      <x:c r="BD119" s="117" t="n">
        <x:f>IF(AND(BD$3&gt;=EDATE($B$109,-MIN(6,'Вводные'!$E$91)),BD$3&lt;$B$109),$B$119/MAX(1,MIN(6,'Вводные'!$E$91)),0)</x:f>
      </x:c>
      <x:c r="BE119" s="117" t="n">
        <x:f>IF(AND(BE$3&gt;=EDATE($B$109,-MIN(6,'Вводные'!$E$91)),BE$3&lt;$B$109),$B$119/MAX(1,MIN(6,'Вводные'!$E$91)),0)</x:f>
      </x:c>
      <x:c r="BF119" s="117" t="n">
        <x:f>IF(AND(BF$3&gt;=EDATE($B$109,-MIN(6,'Вводные'!$E$91)),BF$3&lt;$B$109),$B$119/MAX(1,MIN(6,'Вводные'!$E$91)),0)</x:f>
      </x:c>
      <x:c r="BG119" s="117" t="n">
        <x:f>IF(AND(BG$3&gt;=EDATE($B$109,-MIN(6,'Вводные'!$E$91)),BG$3&lt;$B$109),$B$119/MAX(1,MIN(6,'Вводные'!$E$91)),0)</x:f>
      </x:c>
      <x:c r="BH119" s="117" t="n">
        <x:f>IF(AND(BH$3&gt;=EDATE($B$109,-MIN(6,'Вводные'!$E$91)),BH$3&lt;$B$109),$B$119/MAX(1,MIN(6,'Вводные'!$E$91)),0)</x:f>
      </x:c>
      <x:c r="BI119" s="117" t="n">
        <x:f>IF(AND(BI$3&gt;=EDATE($B$109,-MIN(6,'Вводные'!$E$91)),BI$3&lt;$B$109),$B$119/MAX(1,MIN(6,'Вводные'!$E$91)),0)</x:f>
      </x:c>
      <x:c r="BJ119" s="117" t="n">
        <x:f>IF(AND(BJ$3&gt;=EDATE($B$109,-MIN(6,'Вводные'!$E$91)),BJ$3&lt;$B$109),$B$119/MAX(1,MIN(6,'Вводные'!$E$91)),0)</x:f>
      </x:c>
      <x:c r="BK119" s="117" t="n">
        <x:f>IF(AND(BK$3&gt;=EDATE($B$109,-MIN(6,'Вводные'!$E$91)),BK$3&lt;$B$109),$B$119/MAX(1,MIN(6,'Вводные'!$E$91)),0)</x:f>
      </x:c>
      <x:c r="BL119" s="117" t="n">
        <x:f>IF(AND(BL$3&gt;=EDATE($B$109,-MIN(6,'Вводные'!$E$91)),BL$3&lt;$B$109),$B$119/MAX(1,MIN(6,'Вводные'!$E$91)),0)</x:f>
      </x:c>
      <x:c r="BM119" s="117" t="n">
        <x:f>IF(AND(BM$3&gt;=EDATE($B$109,-MIN(6,'Вводные'!$E$91)),BM$3&lt;$B$109),$B$119/MAX(1,MIN(6,'Вводные'!$E$91)),0)</x:f>
      </x:c>
      <x:c r="BN119" s="117" t="n">
        <x:f>IF(AND(BN$3&gt;=EDATE($B$109,-MIN(6,'Вводные'!$E$91)),BN$3&lt;$B$109),$B$119/MAX(1,MIN(6,'Вводные'!$E$91)),0)</x:f>
      </x:c>
      <x:c r="BO119" s="117" t="n">
        <x:f>IF(AND(BO$3&gt;=EDATE($B$109,-MIN(6,'Вводные'!$E$91)),BO$3&lt;$B$109),$B$119/MAX(1,MIN(6,'Вводные'!$E$91)),0)</x:f>
      </x:c>
      <x:c r="BP119" s="117" t="n">
        <x:f>IF(AND(BP$3&gt;=EDATE($B$109,-MIN(6,'Вводные'!$E$91)),BP$3&lt;$B$109),$B$119/MAX(1,MIN(6,'Вводные'!$E$91)),0)</x:f>
      </x:c>
      <x:c r="BQ119" s="117" t="n">
        <x:f>IF(AND(BQ$3&gt;=EDATE($B$109,-MIN(6,'Вводные'!$E$91)),BQ$3&lt;$B$109),$B$119/MAX(1,MIN(6,'Вводные'!$E$91)),0)</x:f>
      </x:c>
      <x:c r="BR119" s="117" t="n">
        <x:f>IF(AND(BR$3&gt;=EDATE($B$109,-MIN(6,'Вводные'!$E$91)),BR$3&lt;$B$109),$B$119/MAX(1,MIN(6,'Вводные'!$E$91)),0)</x:f>
      </x:c>
      <x:c r="BS119" s="117" t="n">
        <x:f>IF(AND(BS$3&gt;=EDATE($B$109,-MIN(6,'Вводные'!$E$91)),BS$3&lt;$B$109),$B$119/MAX(1,MIN(6,'Вводные'!$E$91)),0)</x:f>
      </x:c>
      <x:c r="BT119" s="117" t="n">
        <x:f>IF(AND(BT$3&gt;=EDATE($B$109,-MIN(6,'Вводные'!$E$91)),BT$3&lt;$B$109),$B$119/MAX(1,MIN(6,'Вводные'!$E$91)),0)</x:f>
      </x:c>
      <x:c r="BU119" s="117" t="n">
        <x:f>IF(AND(BU$3&gt;=EDATE($B$109,-MIN(6,'Вводные'!$E$91)),BU$3&lt;$B$109),$B$119/MAX(1,MIN(6,'Вводные'!$E$91)),0)</x:f>
      </x:c>
      <x:c r="BV119" s="117" t="n">
        <x:f>IF(AND(BV$3&gt;=EDATE($B$109,-MIN(6,'Вводные'!$E$91)),BV$3&lt;$B$109),$B$119/MAX(1,MIN(6,'Вводные'!$E$91)),0)</x:f>
      </x:c>
      <x:c r="BW119" s="117" t="n">
        <x:f>IF(AND(BW$3&gt;=EDATE($B$109,-MIN(6,'Вводные'!$E$91)),BW$3&lt;$B$109),$B$119/MAX(1,MIN(6,'Вводные'!$E$91)),0)</x:f>
      </x:c>
      <x:c r="BX119" s="117" t="n">
        <x:f>IF(AND(BX$3&gt;=EDATE($B$109,-MIN(6,'Вводные'!$E$91)),BX$3&lt;$B$109),$B$119/MAX(1,MIN(6,'Вводные'!$E$91)),0)</x:f>
      </x:c>
      <x:c r="BY119" s="117" t="n">
        <x:f>IF(AND(BY$3&gt;=EDATE($B$109,-MIN(6,'Вводные'!$E$91)),BY$3&lt;$B$109),$B$119/MAX(1,MIN(6,'Вводные'!$E$91)),0)</x:f>
      </x:c>
      <x:c r="BZ119" s="117" t="n">
        <x:f>IF(AND(BZ$3&gt;=EDATE($B$109,-MIN(6,'Вводные'!$E$91)),BZ$3&lt;$B$109),$B$119/MAX(1,MIN(6,'Вводные'!$E$91)),0)</x:f>
      </x:c>
      <x:c r="CA119" s="117" t="n">
        <x:f>IF(AND(CA$3&gt;=EDATE($B$109,-MIN(6,'Вводные'!$E$91)),CA$3&lt;$B$109),$B$119/MAX(1,MIN(6,'Вводные'!$E$91)),0)</x:f>
      </x:c>
      <x:c r="CB119" s="117" t="n">
        <x:f>IF(AND(CB$3&gt;=EDATE($B$109,-MIN(6,'Вводные'!$E$91)),CB$3&lt;$B$109),$B$119/MAX(1,MIN(6,'Вводные'!$E$91)),0)</x:f>
      </x:c>
      <x:c r="CC119" s="117" t="n">
        <x:f>IF(AND(CC$3&gt;=EDATE($B$109,-MIN(6,'Вводные'!$E$91)),CC$3&lt;$B$109),$B$119/MAX(1,MIN(6,'Вводные'!$E$91)),0)</x:f>
      </x:c>
      <x:c r="CD119" s="117" t="n">
        <x:f>IF(AND(CD$3&gt;=EDATE($B$109,-MIN(6,'Вводные'!$E$91)),CD$3&lt;$B$109),$B$119/MAX(1,MIN(6,'Вводные'!$E$91)),0)</x:f>
      </x:c>
      <x:c r="CE119" s="117" t="n">
        <x:f>IF(AND(CE$3&gt;=EDATE($B$109,-MIN(6,'Вводные'!$E$91)),CE$3&lt;$B$109),$B$119/MAX(1,MIN(6,'Вводные'!$E$91)),0)</x:f>
      </x:c>
      <x:c r="CF119" s="117" t="n">
        <x:f>IF(AND(CF$3&gt;=EDATE($B$109,-MIN(6,'Вводные'!$E$91)),CF$3&lt;$B$109),$B$119/MAX(1,MIN(6,'Вводные'!$E$91)),0)</x:f>
      </x:c>
      <x:c r="CG119" s="117" t="n">
        <x:f>IF(AND(CG$3&gt;=EDATE($B$109,-MIN(6,'Вводные'!$E$91)),CG$3&lt;$B$109),$B$119/MAX(1,MIN(6,'Вводные'!$E$91)),0)</x:f>
      </x:c>
      <x:c r="CH119" s="117" t="n">
        <x:f>IF(AND(CH$3&gt;=EDATE($B$109,-MIN(6,'Вводные'!$E$91)),CH$3&lt;$B$109),$B$119/MAX(1,MIN(6,'Вводные'!$E$91)),0)</x:f>
      </x:c>
      <x:c r="CI119" s="117" t="n">
        <x:f>IF(AND(CI$3&gt;=EDATE($B$109,-MIN(6,'Вводные'!$E$91)),CI$3&lt;$B$109),$B$119/MAX(1,MIN(6,'Вводные'!$E$91)),0)</x:f>
      </x:c>
      <x:c r="CJ119" s="117" t="n">
        <x:f>IF(AND(CJ$3&gt;=EDATE($B$109,-MIN(6,'Вводные'!$E$91)),CJ$3&lt;$B$109),$B$119/MAX(1,MIN(6,'Вводные'!$E$91)),0)</x:f>
      </x:c>
      <x:c r="CK119" s="117" t="n">
        <x:f>IF(AND(CK$3&gt;=EDATE($B$109,-MIN(6,'Вводные'!$E$91)),CK$3&lt;$B$109),$B$119/MAX(1,MIN(6,'Вводные'!$E$91)),0)</x:f>
      </x:c>
      <x:c r="CL119" s="117" t="n">
        <x:f>IF(AND(CL$3&gt;=EDATE($B$109,-MIN(6,'Вводные'!$E$91)),CL$3&lt;$B$109),$B$119/MAX(1,MIN(6,'Вводные'!$E$91)),0)</x:f>
      </x:c>
      <x:c r="CM119" s="117" t="n">
        <x:f>IF(AND(CM$3&gt;=EDATE($B$109,-MIN(6,'Вводные'!$E$91)),CM$3&lt;$B$109),$B$119/MAX(1,MIN(6,'Вводные'!$E$91)),0)</x:f>
      </x:c>
      <x:c r="CN119" s="117" t="n">
        <x:f>IF(AND(CN$3&gt;=EDATE($B$109,-MIN(6,'Вводные'!$E$91)),CN$3&lt;$B$109),$B$119/MAX(1,MIN(6,'Вводные'!$E$91)),0)</x:f>
      </x:c>
      <x:c r="CO119" s="117" t="n">
        <x:f>IF(AND(CO$3&gt;=EDATE($B$109,-MIN(6,'Вводные'!$E$91)),CO$3&lt;$B$109),$B$119/MAX(1,MIN(6,'Вводные'!$E$91)),0)</x:f>
      </x:c>
      <x:c r="CP119" s="117" t="n">
        <x:f>IF(AND(CP$3&gt;=EDATE($B$109,-MIN(6,'Вводные'!$E$91)),CP$3&lt;$B$109),$B$119/MAX(1,MIN(6,'Вводные'!$E$91)),0)</x:f>
      </x:c>
      <x:c r="CQ119" s="117" t="n">
        <x:f>IF(AND(CQ$3&gt;=EDATE($B$109,-MIN(6,'Вводные'!$E$91)),CQ$3&lt;$B$109),$B$119/MAX(1,MIN(6,'Вводные'!$E$91)),0)</x:f>
      </x:c>
      <x:c r="CR119" s="117" t="n">
        <x:f>IF(AND(CR$3&gt;=EDATE($B$109,-MIN(6,'Вводные'!$E$91)),CR$3&lt;$B$109),$B$119/MAX(1,MIN(6,'Вводные'!$E$91)),0)</x:f>
      </x:c>
      <x:c r="CS119" s="117" t="n">
        <x:f>IF(AND(CS$3&gt;=EDATE($B$109,-MIN(6,'Вводные'!$E$91)),CS$3&lt;$B$109),$B$119/MAX(1,MIN(6,'Вводные'!$E$91)),0)</x:f>
      </x:c>
      <x:c r="CT119" s="117" t="n">
        <x:f>IF(AND(CT$3&gt;=EDATE($B$109,-MIN(6,'Вводные'!$E$91)),CT$3&lt;$B$109),$B$119/MAX(1,MIN(6,'Вводные'!$E$91)),0)</x:f>
      </x:c>
      <x:c r="CU119" s="117" t="n">
        <x:f>IF(AND(CU$3&gt;=EDATE($B$109,-MIN(6,'Вводные'!$E$91)),CU$3&lt;$B$109),$B$119/MAX(1,MIN(6,'Вводные'!$E$91)),0)</x:f>
      </x:c>
      <x:c r="CV119" s="117" t="n">
        <x:f>IF(AND(CV$3&gt;=EDATE($B$109,-MIN(6,'Вводные'!$E$91)),CV$3&lt;$B$109),$B$119/MAX(1,MIN(6,'Вводные'!$E$91)),0)</x:f>
      </x:c>
      <x:c r="CW119" s="117" t="n">
        <x:f>IF(AND(CW$3&gt;=EDATE($B$109,-MIN(6,'Вводные'!$E$91)),CW$3&lt;$B$109),$B$119/MAX(1,MIN(6,'Вводные'!$E$91)),0)</x:f>
      </x:c>
      <x:c r="CX119" s="117" t="n">
        <x:f>IF(AND(CX$3&gt;=EDATE($B$109,-MIN(6,'Вводные'!$E$91)),CX$3&lt;$B$109),$B$119/MAX(1,MIN(6,'Вводные'!$E$91)),0)</x:f>
      </x:c>
      <x:c r="CY119" s="117" t="n">
        <x:f>IF(AND(CY$3&gt;=EDATE($B$109,-MIN(6,'Вводные'!$E$91)),CY$3&lt;$B$109),$B$119/MAX(1,MIN(6,'Вводные'!$E$91)),0)</x:f>
      </x:c>
      <x:c r="CZ119" s="117" t="n">
        <x:f>IF(AND(CZ$3&gt;=EDATE($B$109,-MIN(6,'Вводные'!$E$91)),CZ$3&lt;$B$109),$B$119/MAX(1,MIN(6,'Вводные'!$E$91)),0)</x:f>
      </x:c>
      <x:c r="DA119" s="117" t="n">
        <x:f>IF(AND(DA$3&gt;=EDATE($B$109,-MIN(6,'Вводные'!$E$91)),DA$3&lt;$B$109),$B$119/MAX(1,MIN(6,'Вводные'!$E$91)),0)</x:f>
      </x:c>
      <x:c r="DB119" s="117" t="n">
        <x:f>IF(AND(DB$3&gt;=EDATE($B$109,-MIN(6,'Вводные'!$E$91)),DB$3&lt;$B$109),$B$119/MAX(1,MIN(6,'Вводные'!$E$91)),0)</x:f>
      </x:c>
      <x:c r="DC119" s="117" t="n">
        <x:f>IF(AND(DC$3&gt;=EDATE($B$109,-MIN(6,'Вводные'!$E$91)),DC$3&lt;$B$109),$B$119/MAX(1,MIN(6,'Вводные'!$E$91)),0)</x:f>
      </x:c>
      <x:c r="DD119" s="117" t="n">
        <x:f>IF(AND(DD$3&gt;=EDATE($B$109,-MIN(6,'Вводные'!$E$91)),DD$3&lt;$B$109),$B$119/MAX(1,MIN(6,'Вводные'!$E$91)),0)</x:f>
      </x:c>
      <x:c r="DE119" s="117" t="n">
        <x:f>IF(AND(DE$3&gt;=EDATE($B$109,-MIN(6,'Вводные'!$E$91)),DE$3&lt;$B$109),$B$119/MAX(1,MIN(6,'Вводные'!$E$91)),0)</x:f>
      </x:c>
      <x:c r="DF119" s="117" t="n">
        <x:f>IF(AND(DF$3&gt;=EDATE($B$109,-MIN(6,'Вводные'!$E$91)),DF$3&lt;$B$109),$B$119/MAX(1,MIN(6,'Вводные'!$E$91)),0)</x:f>
      </x:c>
      <x:c r="DG119" s="117" t="n">
        <x:f>IF(AND(DG$3&gt;=EDATE($B$109,-MIN(6,'Вводные'!$E$91)),DG$3&lt;$B$109),$B$119/MAX(1,MIN(6,'Вводные'!$E$91)),0)</x:f>
      </x:c>
      <x:c r="DH119" s="117" t="n">
        <x:f>IF(AND(DH$3&gt;=EDATE($B$109,-MIN(6,'Вводные'!$E$91)),DH$3&lt;$B$109),$B$119/MAX(1,MIN(6,'Вводные'!$E$91)),0)</x:f>
      </x:c>
      <x:c r="DI119" s="117" t="n">
        <x:f>IF(AND(DI$3&gt;=EDATE($B$109,-MIN(6,'Вводные'!$E$91)),DI$3&lt;$B$109),$B$119/MAX(1,MIN(6,'Вводные'!$E$91)),0)</x:f>
      </x:c>
      <x:c r="DJ119" s="117" t="n">
        <x:f>IF(AND(DJ$3&gt;=EDATE($B$109,-MIN(6,'Вводные'!$E$91)),DJ$3&lt;$B$109),$B$119/MAX(1,MIN(6,'Вводные'!$E$91)),0)</x:f>
      </x:c>
      <x:c r="DK119" s="117" t="n">
        <x:f>IF(AND(DK$3&gt;=EDATE($B$109,-MIN(6,'Вводные'!$E$91)),DK$3&lt;$B$109),$B$119/MAX(1,MIN(6,'Вводные'!$E$91)),0)</x:f>
      </x:c>
      <x:c r="DL119" s="117" t="n">
        <x:f>IF(AND(DL$3&gt;=EDATE($B$109,-MIN(6,'Вводные'!$E$91)),DL$3&lt;$B$109),$B$119/MAX(1,MIN(6,'Вводные'!$E$91)),0)</x:f>
      </x:c>
      <x:c r="DM119" s="117" t="n">
        <x:f>IF(AND(DM$3&gt;=EDATE($B$109,-MIN(6,'Вводные'!$E$91)),DM$3&lt;$B$109),$B$119/MAX(1,MIN(6,'Вводные'!$E$91)),0)</x:f>
      </x:c>
      <x:c r="DN119" s="117" t="n">
        <x:f>IF(AND(DN$3&gt;=EDATE($B$109,-MIN(6,'Вводные'!$E$91)),DN$3&lt;$B$109),$B$119/MAX(1,MIN(6,'Вводные'!$E$91)),0)</x:f>
      </x:c>
      <x:c r="DO119" s="117" t="n">
        <x:f>IF(AND(DO$3&gt;=EDATE($B$109,-MIN(6,'Вводные'!$E$91)),DO$3&lt;$B$109),$B$119/MAX(1,MIN(6,'Вводные'!$E$91)),0)</x:f>
      </x:c>
      <x:c r="DP119" s="117" t="n">
        <x:f>IF(AND(DP$3&gt;=EDATE($B$109,-MIN(6,'Вводные'!$E$91)),DP$3&lt;$B$109),$B$119/MAX(1,MIN(6,'Вводные'!$E$91)),0)</x:f>
      </x:c>
      <x:c r="DQ119" s="117" t="n">
        <x:f>IF(AND(DQ$3&gt;=EDATE($B$109,-MIN(6,'Вводные'!$E$91)),DQ$3&lt;$B$109),$B$119/MAX(1,MIN(6,'Вводные'!$E$91)),0)</x:f>
      </x:c>
      <x:c r="DR119" s="117" t="n">
        <x:f>IF(AND(DR$3&gt;=EDATE($B$109,-MIN(6,'Вводные'!$E$91)),DR$3&lt;$B$109),$B$119/MAX(1,MIN(6,'Вводные'!$E$91)),0)</x:f>
      </x:c>
      <x:c r="DS119" s="117" t="n">
        <x:f>IF(AND(DS$3&gt;=EDATE($B$109,-MIN(6,'Вводные'!$E$91)),DS$3&lt;$B$109),$B$119/MAX(1,MIN(6,'Вводные'!$E$91)),0)</x:f>
      </x:c>
    </x:row>
    <x:row r="120">
      <x:c r="A120" t="str">
        <x:v>Проектирование, стадия РД</x:v>
      </x:c>
      <x:c r="B120" s="107" t="n">
        <x:f>(('Вводные'!$I$91+'Вводные'!$J$91+'Вводные'!$K$91)*'Вводные'!$B$42/1000*'Вводные'!$H$6*'Вводные'!$T$91*--('Вводные'!$B$91="Да"))*'Вводные'!$AH$91</x:f>
      </x:c>
      <x:c r="C120" t="str">
        <x:v>млн ₽</x:v>
      </x:c>
      <x:c r="D120" s="117" t="n">
        <x:f>IF(AND(D$3&gt;=EDATE($B$109,-MIN(6,'Вводные'!$E$91)),D$3&lt;$B$109),$B$120/MAX(1,MIN(6,'Вводные'!$E$91)),0)</x:f>
      </x:c>
      <x:c r="E120" s="117" t="n">
        <x:f>IF(AND(E$3&gt;=EDATE($B$109,-MIN(6,'Вводные'!$E$91)),E$3&lt;$B$109),$B$120/MAX(1,MIN(6,'Вводные'!$E$91)),0)</x:f>
      </x:c>
      <x:c r="F120" s="117" t="n">
        <x:f>IF(AND(F$3&gt;=EDATE($B$109,-MIN(6,'Вводные'!$E$91)),F$3&lt;$B$109),$B$120/MAX(1,MIN(6,'Вводные'!$E$91)),0)</x:f>
      </x:c>
      <x:c r="G120" s="117" t="n">
        <x:f>IF(AND(G$3&gt;=EDATE($B$109,-MIN(6,'Вводные'!$E$91)),G$3&lt;$B$109),$B$120/MAX(1,MIN(6,'Вводные'!$E$91)),0)</x:f>
      </x:c>
      <x:c r="H120" s="117" t="n">
        <x:f>IF(AND(H$3&gt;=EDATE($B$109,-MIN(6,'Вводные'!$E$91)),H$3&lt;$B$109),$B$120/MAX(1,MIN(6,'Вводные'!$E$91)),0)</x:f>
      </x:c>
      <x:c r="I120" s="117" t="n">
        <x:f>IF(AND(I$3&gt;=EDATE($B$109,-MIN(6,'Вводные'!$E$91)),I$3&lt;$B$109),$B$120/MAX(1,MIN(6,'Вводные'!$E$91)),0)</x:f>
      </x:c>
      <x:c r="J120" s="117" t="n">
        <x:f>IF(AND(J$3&gt;=EDATE($B$109,-MIN(6,'Вводные'!$E$91)),J$3&lt;$B$109),$B$120/MAX(1,MIN(6,'Вводные'!$E$91)),0)</x:f>
      </x:c>
      <x:c r="K120" s="117" t="n">
        <x:f>IF(AND(K$3&gt;=EDATE($B$109,-MIN(6,'Вводные'!$E$91)),K$3&lt;$B$109),$B$120/MAX(1,MIN(6,'Вводные'!$E$91)),0)</x:f>
      </x:c>
      <x:c r="L120" s="117" t="n">
        <x:f>IF(AND(L$3&gt;=EDATE($B$109,-MIN(6,'Вводные'!$E$91)),L$3&lt;$B$109),$B$120/MAX(1,MIN(6,'Вводные'!$E$91)),0)</x:f>
      </x:c>
      <x:c r="M120" s="117" t="n">
        <x:f>IF(AND(M$3&gt;=EDATE($B$109,-MIN(6,'Вводные'!$E$91)),M$3&lt;$B$109),$B$120/MAX(1,MIN(6,'Вводные'!$E$91)),0)</x:f>
      </x:c>
      <x:c r="N120" s="117" t="n">
        <x:f>IF(AND(N$3&gt;=EDATE($B$109,-MIN(6,'Вводные'!$E$91)),N$3&lt;$B$109),$B$120/MAX(1,MIN(6,'Вводные'!$E$91)),0)</x:f>
      </x:c>
      <x:c r="O120" s="117" t="n">
        <x:f>IF(AND(O$3&gt;=EDATE($B$109,-MIN(6,'Вводные'!$E$91)),O$3&lt;$B$109),$B$120/MAX(1,MIN(6,'Вводные'!$E$91)),0)</x:f>
      </x:c>
      <x:c r="P120" s="117" t="n">
        <x:f>IF(AND(P$3&gt;=EDATE($B$109,-MIN(6,'Вводные'!$E$91)),P$3&lt;$B$109),$B$120/MAX(1,MIN(6,'Вводные'!$E$91)),0)</x:f>
      </x:c>
      <x:c r="Q120" s="117" t="n">
        <x:f>IF(AND(Q$3&gt;=EDATE($B$109,-MIN(6,'Вводные'!$E$91)),Q$3&lt;$B$109),$B$120/MAX(1,MIN(6,'Вводные'!$E$91)),0)</x:f>
      </x:c>
      <x:c r="R120" s="117" t="n">
        <x:f>IF(AND(R$3&gt;=EDATE($B$109,-MIN(6,'Вводные'!$E$91)),R$3&lt;$B$109),$B$120/MAX(1,MIN(6,'Вводные'!$E$91)),0)</x:f>
      </x:c>
      <x:c r="S120" s="117" t="n">
        <x:f>IF(AND(S$3&gt;=EDATE($B$109,-MIN(6,'Вводные'!$E$91)),S$3&lt;$B$109),$B$120/MAX(1,MIN(6,'Вводные'!$E$91)),0)</x:f>
      </x:c>
      <x:c r="T120" s="117" t="n">
        <x:f>IF(AND(T$3&gt;=EDATE($B$109,-MIN(6,'Вводные'!$E$91)),T$3&lt;$B$109),$B$120/MAX(1,MIN(6,'Вводные'!$E$91)),0)</x:f>
      </x:c>
      <x:c r="U120" s="117" t="n">
        <x:f>IF(AND(U$3&gt;=EDATE($B$109,-MIN(6,'Вводные'!$E$91)),U$3&lt;$B$109),$B$120/MAX(1,MIN(6,'Вводные'!$E$91)),0)</x:f>
      </x:c>
      <x:c r="V120" s="117" t="n">
        <x:f>IF(AND(V$3&gt;=EDATE($B$109,-MIN(6,'Вводные'!$E$91)),V$3&lt;$B$109),$B$120/MAX(1,MIN(6,'Вводные'!$E$91)),0)</x:f>
      </x:c>
      <x:c r="W120" s="117" t="n">
        <x:f>IF(AND(W$3&gt;=EDATE($B$109,-MIN(6,'Вводные'!$E$91)),W$3&lt;$B$109),$B$120/MAX(1,MIN(6,'Вводные'!$E$91)),0)</x:f>
      </x:c>
      <x:c r="X120" s="117" t="n">
        <x:f>IF(AND(X$3&gt;=EDATE($B$109,-MIN(6,'Вводные'!$E$91)),X$3&lt;$B$109),$B$120/MAX(1,MIN(6,'Вводные'!$E$91)),0)</x:f>
      </x:c>
      <x:c r="Y120" s="117" t="n">
        <x:f>IF(AND(Y$3&gt;=EDATE($B$109,-MIN(6,'Вводные'!$E$91)),Y$3&lt;$B$109),$B$120/MAX(1,MIN(6,'Вводные'!$E$91)),0)</x:f>
      </x:c>
      <x:c r="Z120" s="117" t="n">
        <x:f>IF(AND(Z$3&gt;=EDATE($B$109,-MIN(6,'Вводные'!$E$91)),Z$3&lt;$B$109),$B$120/MAX(1,MIN(6,'Вводные'!$E$91)),0)</x:f>
      </x:c>
      <x:c r="AA120" s="117" t="n">
        <x:f>IF(AND(AA$3&gt;=EDATE($B$109,-MIN(6,'Вводные'!$E$91)),AA$3&lt;$B$109),$B$120/MAX(1,MIN(6,'Вводные'!$E$91)),0)</x:f>
      </x:c>
      <x:c r="AB120" s="117" t="n">
        <x:f>IF(AND(AB$3&gt;=EDATE($B$109,-MIN(6,'Вводные'!$E$91)),AB$3&lt;$B$109),$B$120/MAX(1,MIN(6,'Вводные'!$E$91)),0)</x:f>
      </x:c>
      <x:c r="AC120" s="117" t="n">
        <x:f>IF(AND(AC$3&gt;=EDATE($B$109,-MIN(6,'Вводные'!$E$91)),AC$3&lt;$B$109),$B$120/MAX(1,MIN(6,'Вводные'!$E$91)),0)</x:f>
      </x:c>
      <x:c r="AD120" s="117" t="n">
        <x:f>IF(AND(AD$3&gt;=EDATE($B$109,-MIN(6,'Вводные'!$E$91)),AD$3&lt;$B$109),$B$120/MAX(1,MIN(6,'Вводные'!$E$91)),0)</x:f>
      </x:c>
      <x:c r="AE120" s="117" t="n">
        <x:f>IF(AND(AE$3&gt;=EDATE($B$109,-MIN(6,'Вводные'!$E$91)),AE$3&lt;$B$109),$B$120/MAX(1,MIN(6,'Вводные'!$E$91)),0)</x:f>
      </x:c>
      <x:c r="AF120" s="117" t="n">
        <x:f>IF(AND(AF$3&gt;=EDATE($B$109,-MIN(6,'Вводные'!$E$91)),AF$3&lt;$B$109),$B$120/MAX(1,MIN(6,'Вводные'!$E$91)),0)</x:f>
      </x:c>
      <x:c r="AG120" s="117" t="n">
        <x:f>IF(AND(AG$3&gt;=EDATE($B$109,-MIN(6,'Вводные'!$E$91)),AG$3&lt;$B$109),$B$120/MAX(1,MIN(6,'Вводные'!$E$91)),0)</x:f>
      </x:c>
      <x:c r="AH120" s="117" t="n">
        <x:f>IF(AND(AH$3&gt;=EDATE($B$109,-MIN(6,'Вводные'!$E$91)),AH$3&lt;$B$109),$B$120/MAX(1,MIN(6,'Вводные'!$E$91)),0)</x:f>
      </x:c>
      <x:c r="AI120" s="117" t="n">
        <x:f>IF(AND(AI$3&gt;=EDATE($B$109,-MIN(6,'Вводные'!$E$91)),AI$3&lt;$B$109),$B$120/MAX(1,MIN(6,'Вводные'!$E$91)),0)</x:f>
      </x:c>
      <x:c r="AJ120" s="117" t="n">
        <x:f>IF(AND(AJ$3&gt;=EDATE($B$109,-MIN(6,'Вводные'!$E$91)),AJ$3&lt;$B$109),$B$120/MAX(1,MIN(6,'Вводные'!$E$91)),0)</x:f>
      </x:c>
      <x:c r="AK120" s="117" t="n">
        <x:f>IF(AND(AK$3&gt;=EDATE($B$109,-MIN(6,'Вводные'!$E$91)),AK$3&lt;$B$109),$B$120/MAX(1,MIN(6,'Вводные'!$E$91)),0)</x:f>
      </x:c>
      <x:c r="AL120" s="117" t="n">
        <x:f>IF(AND(AL$3&gt;=EDATE($B$109,-MIN(6,'Вводные'!$E$91)),AL$3&lt;$B$109),$B$120/MAX(1,MIN(6,'Вводные'!$E$91)),0)</x:f>
      </x:c>
      <x:c r="AM120" s="117" t="n">
        <x:f>IF(AND(AM$3&gt;=EDATE($B$109,-MIN(6,'Вводные'!$E$91)),AM$3&lt;$B$109),$B$120/MAX(1,MIN(6,'Вводные'!$E$91)),0)</x:f>
      </x:c>
      <x:c r="AN120" s="117" t="n">
        <x:f>IF(AND(AN$3&gt;=EDATE($B$109,-MIN(6,'Вводные'!$E$91)),AN$3&lt;$B$109),$B$120/MAX(1,MIN(6,'Вводные'!$E$91)),0)</x:f>
      </x:c>
      <x:c r="AO120" s="117" t="n">
        <x:f>IF(AND(AO$3&gt;=EDATE($B$109,-MIN(6,'Вводные'!$E$91)),AO$3&lt;$B$109),$B$120/MAX(1,MIN(6,'Вводные'!$E$91)),0)</x:f>
      </x:c>
      <x:c r="AP120" s="117" t="n">
        <x:f>IF(AND(AP$3&gt;=EDATE($B$109,-MIN(6,'Вводные'!$E$91)),AP$3&lt;$B$109),$B$120/MAX(1,MIN(6,'Вводные'!$E$91)),0)</x:f>
      </x:c>
      <x:c r="AQ120" s="117" t="n">
        <x:f>IF(AND(AQ$3&gt;=EDATE($B$109,-MIN(6,'Вводные'!$E$91)),AQ$3&lt;$B$109),$B$120/MAX(1,MIN(6,'Вводные'!$E$91)),0)</x:f>
      </x:c>
      <x:c r="AR120" s="117" t="n">
        <x:f>IF(AND(AR$3&gt;=EDATE($B$109,-MIN(6,'Вводные'!$E$91)),AR$3&lt;$B$109),$B$120/MAX(1,MIN(6,'Вводные'!$E$91)),0)</x:f>
      </x:c>
      <x:c r="AS120" s="117" t="n">
        <x:f>IF(AND(AS$3&gt;=EDATE($B$109,-MIN(6,'Вводные'!$E$91)),AS$3&lt;$B$109),$B$120/MAX(1,MIN(6,'Вводные'!$E$91)),0)</x:f>
      </x:c>
      <x:c r="AT120" s="117" t="n">
        <x:f>IF(AND(AT$3&gt;=EDATE($B$109,-MIN(6,'Вводные'!$E$91)),AT$3&lt;$B$109),$B$120/MAX(1,MIN(6,'Вводные'!$E$91)),0)</x:f>
      </x:c>
      <x:c r="AU120" s="117" t="n">
        <x:f>IF(AND(AU$3&gt;=EDATE($B$109,-MIN(6,'Вводные'!$E$91)),AU$3&lt;$B$109),$B$120/MAX(1,MIN(6,'Вводные'!$E$91)),0)</x:f>
      </x:c>
      <x:c r="AV120" s="117" t="n">
        <x:f>IF(AND(AV$3&gt;=EDATE($B$109,-MIN(6,'Вводные'!$E$91)),AV$3&lt;$B$109),$B$120/MAX(1,MIN(6,'Вводные'!$E$91)),0)</x:f>
      </x:c>
      <x:c r="AW120" s="117" t="n">
        <x:f>IF(AND(AW$3&gt;=EDATE($B$109,-MIN(6,'Вводные'!$E$91)),AW$3&lt;$B$109),$B$120/MAX(1,MIN(6,'Вводные'!$E$91)),0)</x:f>
      </x:c>
      <x:c r="AX120" s="117" t="n">
        <x:f>IF(AND(AX$3&gt;=EDATE($B$109,-MIN(6,'Вводные'!$E$91)),AX$3&lt;$B$109),$B$120/MAX(1,MIN(6,'Вводные'!$E$91)),0)</x:f>
      </x:c>
      <x:c r="AY120" s="117" t="n">
        <x:f>IF(AND(AY$3&gt;=EDATE($B$109,-MIN(6,'Вводные'!$E$91)),AY$3&lt;$B$109),$B$120/MAX(1,MIN(6,'Вводные'!$E$91)),0)</x:f>
      </x:c>
      <x:c r="AZ120" s="117" t="n">
        <x:f>IF(AND(AZ$3&gt;=EDATE($B$109,-MIN(6,'Вводные'!$E$91)),AZ$3&lt;$B$109),$B$120/MAX(1,MIN(6,'Вводные'!$E$91)),0)</x:f>
      </x:c>
      <x:c r="BA120" s="117" t="n">
        <x:f>IF(AND(BA$3&gt;=EDATE($B$109,-MIN(6,'Вводные'!$E$91)),BA$3&lt;$B$109),$B$120/MAX(1,MIN(6,'Вводные'!$E$91)),0)</x:f>
      </x:c>
      <x:c r="BB120" s="117" t="n">
        <x:f>IF(AND(BB$3&gt;=EDATE($B$109,-MIN(6,'Вводные'!$E$91)),BB$3&lt;$B$109),$B$120/MAX(1,MIN(6,'Вводные'!$E$91)),0)</x:f>
      </x:c>
      <x:c r="BC120" s="117" t="n">
        <x:f>IF(AND(BC$3&gt;=EDATE($B$109,-MIN(6,'Вводные'!$E$91)),BC$3&lt;$B$109),$B$120/MAX(1,MIN(6,'Вводные'!$E$91)),0)</x:f>
      </x:c>
      <x:c r="BD120" s="117" t="n">
        <x:f>IF(AND(BD$3&gt;=EDATE($B$109,-MIN(6,'Вводные'!$E$91)),BD$3&lt;$B$109),$B$120/MAX(1,MIN(6,'Вводные'!$E$91)),0)</x:f>
      </x:c>
      <x:c r="BE120" s="117" t="n">
        <x:f>IF(AND(BE$3&gt;=EDATE($B$109,-MIN(6,'Вводные'!$E$91)),BE$3&lt;$B$109),$B$120/MAX(1,MIN(6,'Вводные'!$E$91)),0)</x:f>
      </x:c>
      <x:c r="BF120" s="117" t="n">
        <x:f>IF(AND(BF$3&gt;=EDATE($B$109,-MIN(6,'Вводные'!$E$91)),BF$3&lt;$B$109),$B$120/MAX(1,MIN(6,'Вводные'!$E$91)),0)</x:f>
      </x:c>
      <x:c r="BG120" s="117" t="n">
        <x:f>IF(AND(BG$3&gt;=EDATE($B$109,-MIN(6,'Вводные'!$E$91)),BG$3&lt;$B$109),$B$120/MAX(1,MIN(6,'Вводные'!$E$91)),0)</x:f>
      </x:c>
      <x:c r="BH120" s="117" t="n">
        <x:f>IF(AND(BH$3&gt;=EDATE($B$109,-MIN(6,'Вводные'!$E$91)),BH$3&lt;$B$109),$B$120/MAX(1,MIN(6,'Вводные'!$E$91)),0)</x:f>
      </x:c>
      <x:c r="BI120" s="117" t="n">
        <x:f>IF(AND(BI$3&gt;=EDATE($B$109,-MIN(6,'Вводные'!$E$91)),BI$3&lt;$B$109),$B$120/MAX(1,MIN(6,'Вводные'!$E$91)),0)</x:f>
      </x:c>
      <x:c r="BJ120" s="117" t="n">
        <x:f>IF(AND(BJ$3&gt;=EDATE($B$109,-MIN(6,'Вводные'!$E$91)),BJ$3&lt;$B$109),$B$120/MAX(1,MIN(6,'Вводные'!$E$91)),0)</x:f>
      </x:c>
      <x:c r="BK120" s="117" t="n">
        <x:f>IF(AND(BK$3&gt;=EDATE($B$109,-MIN(6,'Вводные'!$E$91)),BK$3&lt;$B$109),$B$120/MAX(1,MIN(6,'Вводные'!$E$91)),0)</x:f>
      </x:c>
      <x:c r="BL120" s="117" t="n">
        <x:f>IF(AND(BL$3&gt;=EDATE($B$109,-MIN(6,'Вводные'!$E$91)),BL$3&lt;$B$109),$B$120/MAX(1,MIN(6,'Вводные'!$E$91)),0)</x:f>
      </x:c>
      <x:c r="BM120" s="117" t="n">
        <x:f>IF(AND(BM$3&gt;=EDATE($B$109,-MIN(6,'Вводные'!$E$91)),BM$3&lt;$B$109),$B$120/MAX(1,MIN(6,'Вводные'!$E$91)),0)</x:f>
      </x:c>
      <x:c r="BN120" s="117" t="n">
        <x:f>IF(AND(BN$3&gt;=EDATE($B$109,-MIN(6,'Вводные'!$E$91)),BN$3&lt;$B$109),$B$120/MAX(1,MIN(6,'Вводные'!$E$91)),0)</x:f>
      </x:c>
      <x:c r="BO120" s="117" t="n">
        <x:f>IF(AND(BO$3&gt;=EDATE($B$109,-MIN(6,'Вводные'!$E$91)),BO$3&lt;$B$109),$B$120/MAX(1,MIN(6,'Вводные'!$E$91)),0)</x:f>
      </x:c>
      <x:c r="BP120" s="117" t="n">
        <x:f>IF(AND(BP$3&gt;=EDATE($B$109,-MIN(6,'Вводные'!$E$91)),BP$3&lt;$B$109),$B$120/MAX(1,MIN(6,'Вводные'!$E$91)),0)</x:f>
      </x:c>
      <x:c r="BQ120" s="117" t="n">
        <x:f>IF(AND(BQ$3&gt;=EDATE($B$109,-MIN(6,'Вводные'!$E$91)),BQ$3&lt;$B$109),$B$120/MAX(1,MIN(6,'Вводные'!$E$91)),0)</x:f>
      </x:c>
      <x:c r="BR120" s="117" t="n">
        <x:f>IF(AND(BR$3&gt;=EDATE($B$109,-MIN(6,'Вводные'!$E$91)),BR$3&lt;$B$109),$B$120/MAX(1,MIN(6,'Вводные'!$E$91)),0)</x:f>
      </x:c>
      <x:c r="BS120" s="117" t="n">
        <x:f>IF(AND(BS$3&gt;=EDATE($B$109,-MIN(6,'Вводные'!$E$91)),BS$3&lt;$B$109),$B$120/MAX(1,MIN(6,'Вводные'!$E$91)),0)</x:f>
      </x:c>
      <x:c r="BT120" s="117" t="n">
        <x:f>IF(AND(BT$3&gt;=EDATE($B$109,-MIN(6,'Вводные'!$E$91)),BT$3&lt;$B$109),$B$120/MAX(1,MIN(6,'Вводные'!$E$91)),0)</x:f>
      </x:c>
      <x:c r="BU120" s="117" t="n">
        <x:f>IF(AND(BU$3&gt;=EDATE($B$109,-MIN(6,'Вводные'!$E$91)),BU$3&lt;$B$109),$B$120/MAX(1,MIN(6,'Вводные'!$E$91)),0)</x:f>
      </x:c>
      <x:c r="BV120" s="117" t="n">
        <x:f>IF(AND(BV$3&gt;=EDATE($B$109,-MIN(6,'Вводные'!$E$91)),BV$3&lt;$B$109),$B$120/MAX(1,MIN(6,'Вводные'!$E$91)),0)</x:f>
      </x:c>
      <x:c r="BW120" s="117" t="n">
        <x:f>IF(AND(BW$3&gt;=EDATE($B$109,-MIN(6,'Вводные'!$E$91)),BW$3&lt;$B$109),$B$120/MAX(1,MIN(6,'Вводные'!$E$91)),0)</x:f>
      </x:c>
      <x:c r="BX120" s="117" t="n">
        <x:f>IF(AND(BX$3&gt;=EDATE($B$109,-MIN(6,'Вводные'!$E$91)),BX$3&lt;$B$109),$B$120/MAX(1,MIN(6,'Вводные'!$E$91)),0)</x:f>
      </x:c>
      <x:c r="BY120" s="117" t="n">
        <x:f>IF(AND(BY$3&gt;=EDATE($B$109,-MIN(6,'Вводные'!$E$91)),BY$3&lt;$B$109),$B$120/MAX(1,MIN(6,'Вводные'!$E$91)),0)</x:f>
      </x:c>
      <x:c r="BZ120" s="117" t="n">
        <x:f>IF(AND(BZ$3&gt;=EDATE($B$109,-MIN(6,'Вводные'!$E$91)),BZ$3&lt;$B$109),$B$120/MAX(1,MIN(6,'Вводные'!$E$91)),0)</x:f>
      </x:c>
      <x:c r="CA120" s="117" t="n">
        <x:f>IF(AND(CA$3&gt;=EDATE($B$109,-MIN(6,'Вводные'!$E$91)),CA$3&lt;$B$109),$B$120/MAX(1,MIN(6,'Вводные'!$E$91)),0)</x:f>
      </x:c>
      <x:c r="CB120" s="117" t="n">
        <x:f>IF(AND(CB$3&gt;=EDATE($B$109,-MIN(6,'Вводные'!$E$91)),CB$3&lt;$B$109),$B$120/MAX(1,MIN(6,'Вводные'!$E$91)),0)</x:f>
      </x:c>
      <x:c r="CC120" s="117" t="n">
        <x:f>IF(AND(CC$3&gt;=EDATE($B$109,-MIN(6,'Вводные'!$E$91)),CC$3&lt;$B$109),$B$120/MAX(1,MIN(6,'Вводные'!$E$91)),0)</x:f>
      </x:c>
      <x:c r="CD120" s="117" t="n">
        <x:f>IF(AND(CD$3&gt;=EDATE($B$109,-MIN(6,'Вводные'!$E$91)),CD$3&lt;$B$109),$B$120/MAX(1,MIN(6,'Вводные'!$E$91)),0)</x:f>
      </x:c>
      <x:c r="CE120" s="117" t="n">
        <x:f>IF(AND(CE$3&gt;=EDATE($B$109,-MIN(6,'Вводные'!$E$91)),CE$3&lt;$B$109),$B$120/MAX(1,MIN(6,'Вводные'!$E$91)),0)</x:f>
      </x:c>
      <x:c r="CF120" s="117" t="n">
        <x:f>IF(AND(CF$3&gt;=EDATE($B$109,-MIN(6,'Вводные'!$E$91)),CF$3&lt;$B$109),$B$120/MAX(1,MIN(6,'Вводные'!$E$91)),0)</x:f>
      </x:c>
      <x:c r="CG120" s="117" t="n">
        <x:f>IF(AND(CG$3&gt;=EDATE($B$109,-MIN(6,'Вводные'!$E$91)),CG$3&lt;$B$109),$B$120/MAX(1,MIN(6,'Вводные'!$E$91)),0)</x:f>
      </x:c>
      <x:c r="CH120" s="117" t="n">
        <x:f>IF(AND(CH$3&gt;=EDATE($B$109,-MIN(6,'Вводные'!$E$91)),CH$3&lt;$B$109),$B$120/MAX(1,MIN(6,'Вводные'!$E$91)),0)</x:f>
      </x:c>
      <x:c r="CI120" s="117" t="n">
        <x:f>IF(AND(CI$3&gt;=EDATE($B$109,-MIN(6,'Вводные'!$E$91)),CI$3&lt;$B$109),$B$120/MAX(1,MIN(6,'Вводные'!$E$91)),0)</x:f>
      </x:c>
      <x:c r="CJ120" s="117" t="n">
        <x:f>IF(AND(CJ$3&gt;=EDATE($B$109,-MIN(6,'Вводные'!$E$91)),CJ$3&lt;$B$109),$B$120/MAX(1,MIN(6,'Вводные'!$E$91)),0)</x:f>
      </x:c>
      <x:c r="CK120" s="117" t="n">
        <x:f>IF(AND(CK$3&gt;=EDATE($B$109,-MIN(6,'Вводные'!$E$91)),CK$3&lt;$B$109),$B$120/MAX(1,MIN(6,'Вводные'!$E$91)),0)</x:f>
      </x:c>
      <x:c r="CL120" s="117" t="n">
        <x:f>IF(AND(CL$3&gt;=EDATE($B$109,-MIN(6,'Вводные'!$E$91)),CL$3&lt;$B$109),$B$120/MAX(1,MIN(6,'Вводные'!$E$91)),0)</x:f>
      </x:c>
      <x:c r="CM120" s="117" t="n">
        <x:f>IF(AND(CM$3&gt;=EDATE($B$109,-MIN(6,'Вводные'!$E$91)),CM$3&lt;$B$109),$B$120/MAX(1,MIN(6,'Вводные'!$E$91)),0)</x:f>
      </x:c>
      <x:c r="CN120" s="117" t="n">
        <x:f>IF(AND(CN$3&gt;=EDATE($B$109,-MIN(6,'Вводные'!$E$91)),CN$3&lt;$B$109),$B$120/MAX(1,MIN(6,'Вводные'!$E$91)),0)</x:f>
      </x:c>
      <x:c r="CO120" s="117" t="n">
        <x:f>IF(AND(CO$3&gt;=EDATE($B$109,-MIN(6,'Вводные'!$E$91)),CO$3&lt;$B$109),$B$120/MAX(1,MIN(6,'Вводные'!$E$91)),0)</x:f>
      </x:c>
      <x:c r="CP120" s="117" t="n">
        <x:f>IF(AND(CP$3&gt;=EDATE($B$109,-MIN(6,'Вводные'!$E$91)),CP$3&lt;$B$109),$B$120/MAX(1,MIN(6,'Вводные'!$E$91)),0)</x:f>
      </x:c>
      <x:c r="CQ120" s="117" t="n">
        <x:f>IF(AND(CQ$3&gt;=EDATE($B$109,-MIN(6,'Вводные'!$E$91)),CQ$3&lt;$B$109),$B$120/MAX(1,MIN(6,'Вводные'!$E$91)),0)</x:f>
      </x:c>
      <x:c r="CR120" s="117" t="n">
        <x:f>IF(AND(CR$3&gt;=EDATE($B$109,-MIN(6,'Вводные'!$E$91)),CR$3&lt;$B$109),$B$120/MAX(1,MIN(6,'Вводные'!$E$91)),0)</x:f>
      </x:c>
      <x:c r="CS120" s="117" t="n">
        <x:f>IF(AND(CS$3&gt;=EDATE($B$109,-MIN(6,'Вводные'!$E$91)),CS$3&lt;$B$109),$B$120/MAX(1,MIN(6,'Вводные'!$E$91)),0)</x:f>
      </x:c>
      <x:c r="CT120" s="117" t="n">
        <x:f>IF(AND(CT$3&gt;=EDATE($B$109,-MIN(6,'Вводные'!$E$91)),CT$3&lt;$B$109),$B$120/MAX(1,MIN(6,'Вводные'!$E$91)),0)</x:f>
      </x:c>
      <x:c r="CU120" s="117" t="n">
        <x:f>IF(AND(CU$3&gt;=EDATE($B$109,-MIN(6,'Вводные'!$E$91)),CU$3&lt;$B$109),$B$120/MAX(1,MIN(6,'Вводные'!$E$91)),0)</x:f>
      </x:c>
      <x:c r="CV120" s="117" t="n">
        <x:f>IF(AND(CV$3&gt;=EDATE($B$109,-MIN(6,'Вводные'!$E$91)),CV$3&lt;$B$109),$B$120/MAX(1,MIN(6,'Вводные'!$E$91)),0)</x:f>
      </x:c>
      <x:c r="CW120" s="117" t="n">
        <x:f>IF(AND(CW$3&gt;=EDATE($B$109,-MIN(6,'Вводные'!$E$91)),CW$3&lt;$B$109),$B$120/MAX(1,MIN(6,'Вводные'!$E$91)),0)</x:f>
      </x:c>
      <x:c r="CX120" s="117" t="n">
        <x:f>IF(AND(CX$3&gt;=EDATE($B$109,-MIN(6,'Вводные'!$E$91)),CX$3&lt;$B$109),$B$120/MAX(1,MIN(6,'Вводные'!$E$91)),0)</x:f>
      </x:c>
      <x:c r="CY120" s="117" t="n">
        <x:f>IF(AND(CY$3&gt;=EDATE($B$109,-MIN(6,'Вводные'!$E$91)),CY$3&lt;$B$109),$B$120/MAX(1,MIN(6,'Вводные'!$E$91)),0)</x:f>
      </x:c>
      <x:c r="CZ120" s="117" t="n">
        <x:f>IF(AND(CZ$3&gt;=EDATE($B$109,-MIN(6,'Вводные'!$E$91)),CZ$3&lt;$B$109),$B$120/MAX(1,MIN(6,'Вводные'!$E$91)),0)</x:f>
      </x:c>
      <x:c r="DA120" s="117" t="n">
        <x:f>IF(AND(DA$3&gt;=EDATE($B$109,-MIN(6,'Вводные'!$E$91)),DA$3&lt;$B$109),$B$120/MAX(1,MIN(6,'Вводные'!$E$91)),0)</x:f>
      </x:c>
      <x:c r="DB120" s="117" t="n">
        <x:f>IF(AND(DB$3&gt;=EDATE($B$109,-MIN(6,'Вводные'!$E$91)),DB$3&lt;$B$109),$B$120/MAX(1,MIN(6,'Вводные'!$E$91)),0)</x:f>
      </x:c>
      <x:c r="DC120" s="117" t="n">
        <x:f>IF(AND(DC$3&gt;=EDATE($B$109,-MIN(6,'Вводные'!$E$91)),DC$3&lt;$B$109),$B$120/MAX(1,MIN(6,'Вводные'!$E$91)),0)</x:f>
      </x:c>
      <x:c r="DD120" s="117" t="n">
        <x:f>IF(AND(DD$3&gt;=EDATE($B$109,-MIN(6,'Вводные'!$E$91)),DD$3&lt;$B$109),$B$120/MAX(1,MIN(6,'Вводные'!$E$91)),0)</x:f>
      </x:c>
      <x:c r="DE120" s="117" t="n">
        <x:f>IF(AND(DE$3&gt;=EDATE($B$109,-MIN(6,'Вводные'!$E$91)),DE$3&lt;$B$109),$B$120/MAX(1,MIN(6,'Вводные'!$E$91)),0)</x:f>
      </x:c>
      <x:c r="DF120" s="117" t="n">
        <x:f>IF(AND(DF$3&gt;=EDATE($B$109,-MIN(6,'Вводные'!$E$91)),DF$3&lt;$B$109),$B$120/MAX(1,MIN(6,'Вводные'!$E$91)),0)</x:f>
      </x:c>
      <x:c r="DG120" s="117" t="n">
        <x:f>IF(AND(DG$3&gt;=EDATE($B$109,-MIN(6,'Вводные'!$E$91)),DG$3&lt;$B$109),$B$120/MAX(1,MIN(6,'Вводные'!$E$91)),0)</x:f>
      </x:c>
      <x:c r="DH120" s="117" t="n">
        <x:f>IF(AND(DH$3&gt;=EDATE($B$109,-MIN(6,'Вводные'!$E$91)),DH$3&lt;$B$109),$B$120/MAX(1,MIN(6,'Вводные'!$E$91)),0)</x:f>
      </x:c>
      <x:c r="DI120" s="117" t="n">
        <x:f>IF(AND(DI$3&gt;=EDATE($B$109,-MIN(6,'Вводные'!$E$91)),DI$3&lt;$B$109),$B$120/MAX(1,MIN(6,'Вводные'!$E$91)),0)</x:f>
      </x:c>
      <x:c r="DJ120" s="117" t="n">
        <x:f>IF(AND(DJ$3&gt;=EDATE($B$109,-MIN(6,'Вводные'!$E$91)),DJ$3&lt;$B$109),$B$120/MAX(1,MIN(6,'Вводные'!$E$91)),0)</x:f>
      </x:c>
      <x:c r="DK120" s="117" t="n">
        <x:f>IF(AND(DK$3&gt;=EDATE($B$109,-MIN(6,'Вводные'!$E$91)),DK$3&lt;$B$109),$B$120/MAX(1,MIN(6,'Вводные'!$E$91)),0)</x:f>
      </x:c>
      <x:c r="DL120" s="117" t="n">
        <x:f>IF(AND(DL$3&gt;=EDATE($B$109,-MIN(6,'Вводные'!$E$91)),DL$3&lt;$B$109),$B$120/MAX(1,MIN(6,'Вводные'!$E$91)),0)</x:f>
      </x:c>
      <x:c r="DM120" s="117" t="n">
        <x:f>IF(AND(DM$3&gt;=EDATE($B$109,-MIN(6,'Вводные'!$E$91)),DM$3&lt;$B$109),$B$120/MAX(1,MIN(6,'Вводные'!$E$91)),0)</x:f>
      </x:c>
      <x:c r="DN120" s="117" t="n">
        <x:f>IF(AND(DN$3&gt;=EDATE($B$109,-MIN(6,'Вводные'!$E$91)),DN$3&lt;$B$109),$B$120/MAX(1,MIN(6,'Вводные'!$E$91)),0)</x:f>
      </x:c>
      <x:c r="DO120" s="117" t="n">
        <x:f>IF(AND(DO$3&gt;=EDATE($B$109,-MIN(6,'Вводные'!$E$91)),DO$3&lt;$B$109),$B$120/MAX(1,MIN(6,'Вводные'!$E$91)),0)</x:f>
      </x:c>
      <x:c r="DP120" s="117" t="n">
        <x:f>IF(AND(DP$3&gt;=EDATE($B$109,-MIN(6,'Вводные'!$E$91)),DP$3&lt;$B$109),$B$120/MAX(1,MIN(6,'Вводные'!$E$91)),0)</x:f>
      </x:c>
      <x:c r="DQ120" s="117" t="n">
        <x:f>IF(AND(DQ$3&gt;=EDATE($B$109,-MIN(6,'Вводные'!$E$91)),DQ$3&lt;$B$109),$B$120/MAX(1,MIN(6,'Вводные'!$E$91)),0)</x:f>
      </x:c>
      <x:c r="DR120" s="117" t="n">
        <x:f>IF(AND(DR$3&gt;=EDATE($B$109,-MIN(6,'Вводные'!$E$91)),DR$3&lt;$B$109),$B$120/MAX(1,MIN(6,'Вводные'!$E$91)),0)</x:f>
      </x:c>
      <x:c r="DS120" s="117" t="n">
        <x:f>IF(AND(DS$3&gt;=EDATE($B$109,-MIN(6,'Вводные'!$E$91)),DS$3&lt;$B$109),$B$120/MAX(1,MIN(6,'Вводные'!$E$91)),0)</x:f>
      </x:c>
    </x:row>
    <x:row r="121">
      <x:c r="A121" t="str">
        <x:v>Авторский надзор</x:v>
      </x:c>
      <x:c r="B121" s="107" t="n">
        <x:f>SUM(B119:B120)*'Вводные'!$B$51</x:f>
      </x:c>
      <x:c r="C121" t="str">
        <x:v>млн ₽</x:v>
      </x:c>
      <x:c r="D121" s="117" t="n">
        <x:f>$B$121*D115</x:f>
      </x:c>
      <x:c r="E121" s="117" t="n">
        <x:f>$B$121*E115</x:f>
      </x:c>
      <x:c r="F121" s="117" t="n">
        <x:f>$B$121*F115</x:f>
      </x:c>
      <x:c r="G121" s="117" t="n">
        <x:f>$B$121*G115</x:f>
      </x:c>
      <x:c r="H121" s="117" t="n">
        <x:f>$B$121*H115</x:f>
      </x:c>
      <x:c r="I121" s="117" t="n">
        <x:f>$B$121*I115</x:f>
      </x:c>
      <x:c r="J121" s="117" t="n">
        <x:f>$B$121*J115</x:f>
      </x:c>
      <x:c r="K121" s="117" t="n">
        <x:f>$B$121*K115</x:f>
      </x:c>
      <x:c r="L121" s="117" t="n">
        <x:f>$B$121*L115</x:f>
      </x:c>
      <x:c r="M121" s="117" t="n">
        <x:f>$B$121*M115</x:f>
      </x:c>
      <x:c r="N121" s="117" t="n">
        <x:f>$B$121*N115</x:f>
      </x:c>
      <x:c r="O121" s="117" t="n">
        <x:f>$B$121*O115</x:f>
      </x:c>
      <x:c r="P121" s="117" t="n">
        <x:f>$B$121*P115</x:f>
      </x:c>
      <x:c r="Q121" s="117" t="n">
        <x:f>$B$121*Q115</x:f>
      </x:c>
      <x:c r="R121" s="117" t="n">
        <x:f>$B$121*R115</x:f>
      </x:c>
      <x:c r="S121" s="117" t="n">
        <x:f>$B$121*S115</x:f>
      </x:c>
      <x:c r="T121" s="117" t="n">
        <x:f>$B$121*T115</x:f>
      </x:c>
      <x:c r="U121" s="117" t="n">
        <x:f>$B$121*U115</x:f>
      </x:c>
      <x:c r="V121" s="117" t="n">
        <x:f>$B$121*V115</x:f>
      </x:c>
      <x:c r="W121" s="117" t="n">
        <x:f>$B$121*W115</x:f>
      </x:c>
      <x:c r="X121" s="117" t="n">
        <x:f>$B$121*X115</x:f>
      </x:c>
      <x:c r="Y121" s="117" t="n">
        <x:f>$B$121*Y115</x:f>
      </x:c>
      <x:c r="Z121" s="117" t="n">
        <x:f>$B$121*Z115</x:f>
      </x:c>
      <x:c r="AA121" s="117" t="n">
        <x:f>$B$121*AA115</x:f>
      </x:c>
      <x:c r="AB121" s="117" t="n">
        <x:f>$B$121*AB115</x:f>
      </x:c>
      <x:c r="AC121" s="117" t="n">
        <x:f>$B$121*AC115</x:f>
      </x:c>
      <x:c r="AD121" s="117" t="n">
        <x:f>$B$121*AD115</x:f>
      </x:c>
      <x:c r="AE121" s="117" t="n">
        <x:f>$B$121*AE115</x:f>
      </x:c>
      <x:c r="AF121" s="117" t="n">
        <x:f>$B$121*AF115</x:f>
      </x:c>
      <x:c r="AG121" s="117" t="n">
        <x:f>$B$121*AG115</x:f>
      </x:c>
      <x:c r="AH121" s="117" t="n">
        <x:f>$B$121*AH115</x:f>
      </x:c>
      <x:c r="AI121" s="117" t="n">
        <x:f>$B$121*AI115</x:f>
      </x:c>
      <x:c r="AJ121" s="117" t="n">
        <x:f>$B$121*AJ115</x:f>
      </x:c>
      <x:c r="AK121" s="117" t="n">
        <x:f>$B$121*AK115</x:f>
      </x:c>
      <x:c r="AL121" s="117" t="n">
        <x:f>$B$121*AL115</x:f>
      </x:c>
      <x:c r="AM121" s="117" t="n">
        <x:f>$B$121*AM115</x:f>
      </x:c>
      <x:c r="AN121" s="117" t="n">
        <x:f>$B$121*AN115</x:f>
      </x:c>
      <x:c r="AO121" s="117" t="n">
        <x:f>$B$121*AO115</x:f>
      </x:c>
      <x:c r="AP121" s="117" t="n">
        <x:f>$B$121*AP115</x:f>
      </x:c>
      <x:c r="AQ121" s="117" t="n">
        <x:f>$B$121*AQ115</x:f>
      </x:c>
      <x:c r="AR121" s="117" t="n">
        <x:f>$B$121*AR115</x:f>
      </x:c>
      <x:c r="AS121" s="117" t="n">
        <x:f>$B$121*AS115</x:f>
      </x:c>
      <x:c r="AT121" s="117" t="n">
        <x:f>$B$121*AT115</x:f>
      </x:c>
      <x:c r="AU121" s="117" t="n">
        <x:f>$B$121*AU115</x:f>
      </x:c>
      <x:c r="AV121" s="117" t="n">
        <x:f>$B$121*AV115</x:f>
      </x:c>
      <x:c r="AW121" s="117" t="n">
        <x:f>$B$121*AW115</x:f>
      </x:c>
      <x:c r="AX121" s="117" t="n">
        <x:f>$B$121*AX115</x:f>
      </x:c>
      <x:c r="AY121" s="117" t="n">
        <x:f>$B$121*AY115</x:f>
      </x:c>
      <x:c r="AZ121" s="117" t="n">
        <x:f>$B$121*AZ115</x:f>
      </x:c>
      <x:c r="BA121" s="117" t="n">
        <x:f>$B$121*BA115</x:f>
      </x:c>
      <x:c r="BB121" s="117" t="n">
        <x:f>$B$121*BB115</x:f>
      </x:c>
      <x:c r="BC121" s="117" t="n">
        <x:f>$B$121*BC115</x:f>
      </x:c>
      <x:c r="BD121" s="117" t="n">
        <x:f>$B$121*BD115</x:f>
      </x:c>
      <x:c r="BE121" s="117" t="n">
        <x:f>$B$121*BE115</x:f>
      </x:c>
      <x:c r="BF121" s="117" t="n">
        <x:f>$B$121*BF115</x:f>
      </x:c>
      <x:c r="BG121" s="117" t="n">
        <x:f>$B$121*BG115</x:f>
      </x:c>
      <x:c r="BH121" s="117" t="n">
        <x:f>$B$121*BH115</x:f>
      </x:c>
      <x:c r="BI121" s="117" t="n">
        <x:f>$B$121*BI115</x:f>
      </x:c>
      <x:c r="BJ121" s="117" t="n">
        <x:f>$B$121*BJ115</x:f>
      </x:c>
      <x:c r="BK121" s="117" t="n">
        <x:f>$B$121*BK115</x:f>
      </x:c>
      <x:c r="BL121" s="117" t="n">
        <x:f>$B$121*BL115</x:f>
      </x:c>
      <x:c r="BM121" s="117" t="n">
        <x:f>$B$121*BM115</x:f>
      </x:c>
      <x:c r="BN121" s="117" t="n">
        <x:f>$B$121*BN115</x:f>
      </x:c>
      <x:c r="BO121" s="117" t="n">
        <x:f>$B$121*BO115</x:f>
      </x:c>
      <x:c r="BP121" s="117" t="n">
        <x:f>$B$121*BP115</x:f>
      </x:c>
      <x:c r="BQ121" s="117" t="n">
        <x:f>$B$121*BQ115</x:f>
      </x:c>
      <x:c r="BR121" s="117" t="n">
        <x:f>$B$121*BR115</x:f>
      </x:c>
      <x:c r="BS121" s="117" t="n">
        <x:f>$B$121*BS115</x:f>
      </x:c>
      <x:c r="BT121" s="117" t="n">
        <x:f>$B$121*BT115</x:f>
      </x:c>
      <x:c r="BU121" s="117" t="n">
        <x:f>$B$121*BU115</x:f>
      </x:c>
      <x:c r="BV121" s="117" t="n">
        <x:f>$B$121*BV115</x:f>
      </x:c>
      <x:c r="BW121" s="117" t="n">
        <x:f>$B$121*BW115</x:f>
      </x:c>
      <x:c r="BX121" s="117" t="n">
        <x:f>$B$121*BX115</x:f>
      </x:c>
      <x:c r="BY121" s="117" t="n">
        <x:f>$B$121*BY115</x:f>
      </x:c>
      <x:c r="BZ121" s="117" t="n">
        <x:f>$B$121*BZ115</x:f>
      </x:c>
      <x:c r="CA121" s="117" t="n">
        <x:f>$B$121*CA115</x:f>
      </x:c>
      <x:c r="CB121" s="117" t="n">
        <x:f>$B$121*CB115</x:f>
      </x:c>
      <x:c r="CC121" s="117" t="n">
        <x:f>$B$121*CC115</x:f>
      </x:c>
      <x:c r="CD121" s="117" t="n">
        <x:f>$B$121*CD115</x:f>
      </x:c>
      <x:c r="CE121" s="117" t="n">
        <x:f>$B$121*CE115</x:f>
      </x:c>
      <x:c r="CF121" s="117" t="n">
        <x:f>$B$121*CF115</x:f>
      </x:c>
      <x:c r="CG121" s="117" t="n">
        <x:f>$B$121*CG115</x:f>
      </x:c>
      <x:c r="CH121" s="117" t="n">
        <x:f>$B$121*CH115</x:f>
      </x:c>
      <x:c r="CI121" s="117" t="n">
        <x:f>$B$121*CI115</x:f>
      </x:c>
      <x:c r="CJ121" s="117" t="n">
        <x:f>$B$121*CJ115</x:f>
      </x:c>
      <x:c r="CK121" s="117" t="n">
        <x:f>$B$121*CK115</x:f>
      </x:c>
      <x:c r="CL121" s="117" t="n">
        <x:f>$B$121*CL115</x:f>
      </x:c>
      <x:c r="CM121" s="117" t="n">
        <x:f>$B$121*CM115</x:f>
      </x:c>
      <x:c r="CN121" s="117" t="n">
        <x:f>$B$121*CN115</x:f>
      </x:c>
      <x:c r="CO121" s="117" t="n">
        <x:f>$B$121*CO115</x:f>
      </x:c>
      <x:c r="CP121" s="117" t="n">
        <x:f>$B$121*CP115</x:f>
      </x:c>
      <x:c r="CQ121" s="117" t="n">
        <x:f>$B$121*CQ115</x:f>
      </x:c>
      <x:c r="CR121" s="117" t="n">
        <x:f>$B$121*CR115</x:f>
      </x:c>
      <x:c r="CS121" s="117" t="n">
        <x:f>$B$121*CS115</x:f>
      </x:c>
      <x:c r="CT121" s="117" t="n">
        <x:f>$B$121*CT115</x:f>
      </x:c>
      <x:c r="CU121" s="117" t="n">
        <x:f>$B$121*CU115</x:f>
      </x:c>
      <x:c r="CV121" s="117" t="n">
        <x:f>$B$121*CV115</x:f>
      </x:c>
      <x:c r="CW121" s="117" t="n">
        <x:f>$B$121*CW115</x:f>
      </x:c>
      <x:c r="CX121" s="117" t="n">
        <x:f>$B$121*CX115</x:f>
      </x:c>
      <x:c r="CY121" s="117" t="n">
        <x:f>$B$121*CY115</x:f>
      </x:c>
      <x:c r="CZ121" s="117" t="n">
        <x:f>$B$121*CZ115</x:f>
      </x:c>
      <x:c r="DA121" s="117" t="n">
        <x:f>$B$121*DA115</x:f>
      </x:c>
      <x:c r="DB121" s="117" t="n">
        <x:f>$B$121*DB115</x:f>
      </x:c>
      <x:c r="DC121" s="117" t="n">
        <x:f>$B$121*DC115</x:f>
      </x:c>
      <x:c r="DD121" s="117" t="n">
        <x:f>$B$121*DD115</x:f>
      </x:c>
      <x:c r="DE121" s="117" t="n">
        <x:f>$B$121*DE115</x:f>
      </x:c>
      <x:c r="DF121" s="117" t="n">
        <x:f>$B$121*DF115</x:f>
      </x:c>
      <x:c r="DG121" s="117" t="n">
        <x:f>$B$121*DG115</x:f>
      </x:c>
      <x:c r="DH121" s="117" t="n">
        <x:f>$B$121*DH115</x:f>
      </x:c>
      <x:c r="DI121" s="117" t="n">
        <x:f>$B$121*DI115</x:f>
      </x:c>
      <x:c r="DJ121" s="117" t="n">
        <x:f>$B$121*DJ115</x:f>
      </x:c>
      <x:c r="DK121" s="117" t="n">
        <x:f>$B$121*DK115</x:f>
      </x:c>
      <x:c r="DL121" s="117" t="n">
        <x:f>$B$121*DL115</x:f>
      </x:c>
      <x:c r="DM121" s="117" t="n">
        <x:f>$B$121*DM115</x:f>
      </x:c>
      <x:c r="DN121" s="117" t="n">
        <x:f>$B$121*DN115</x:f>
      </x:c>
      <x:c r="DO121" s="117" t="n">
        <x:f>$B$121*DO115</x:f>
      </x:c>
      <x:c r="DP121" s="117" t="n">
        <x:f>$B$121*DP115</x:f>
      </x:c>
      <x:c r="DQ121" s="117" t="n">
        <x:f>$B$121*DQ115</x:f>
      </x:c>
      <x:c r="DR121" s="117" t="n">
        <x:f>$B$121*DR115</x:f>
      </x:c>
      <x:c r="DS121" s="117" t="n">
        <x:f>$B$121*DS115</x:f>
      </x:c>
    </x:row>
    <x:row r="122">
      <x:c r="A122" t="str">
        <x:v>Подготовительные работы</x:v>
      </x:c>
      <x:c r="B122" s="107" t="n">
        <x:f>(('Вводные'!$I$91+'Вводные'!$J$91+'Вводные'!$K$91)*'Вводные'!$B$43/1000*'Вводные'!$H$6*'Вводные'!$T$91*--('Вводные'!$B$91="Да"))*'Вводные'!$AH$91</x:f>
      </x:c>
      <x:c r="C122" t="str">
        <x:v>млн ₽</x:v>
      </x:c>
      <x:c r="D122" s="117" t="n">
        <x:f>IF(AND(D$3&gt;=EDATE($B$109,-MIN(6,'Вводные'!$E$91)),D$3&lt;$B$109),$B$122/MAX(1,MIN(6,'Вводные'!$E$91)),0)</x:f>
      </x:c>
      <x:c r="E122" s="117" t="n">
        <x:f>IF(AND(E$3&gt;=EDATE($B$109,-MIN(6,'Вводные'!$E$91)),E$3&lt;$B$109),$B$122/MAX(1,MIN(6,'Вводные'!$E$91)),0)</x:f>
      </x:c>
      <x:c r="F122" s="117" t="n">
        <x:f>IF(AND(F$3&gt;=EDATE($B$109,-MIN(6,'Вводные'!$E$91)),F$3&lt;$B$109),$B$122/MAX(1,MIN(6,'Вводные'!$E$91)),0)</x:f>
      </x:c>
      <x:c r="G122" s="117" t="n">
        <x:f>IF(AND(G$3&gt;=EDATE($B$109,-MIN(6,'Вводные'!$E$91)),G$3&lt;$B$109),$B$122/MAX(1,MIN(6,'Вводные'!$E$91)),0)</x:f>
      </x:c>
      <x:c r="H122" s="117" t="n">
        <x:f>IF(AND(H$3&gt;=EDATE($B$109,-MIN(6,'Вводные'!$E$91)),H$3&lt;$B$109),$B$122/MAX(1,MIN(6,'Вводные'!$E$91)),0)</x:f>
      </x:c>
      <x:c r="I122" s="117" t="n">
        <x:f>IF(AND(I$3&gt;=EDATE($B$109,-MIN(6,'Вводные'!$E$91)),I$3&lt;$B$109),$B$122/MAX(1,MIN(6,'Вводные'!$E$91)),0)</x:f>
      </x:c>
      <x:c r="J122" s="117" t="n">
        <x:f>IF(AND(J$3&gt;=EDATE($B$109,-MIN(6,'Вводные'!$E$91)),J$3&lt;$B$109),$B$122/MAX(1,MIN(6,'Вводные'!$E$91)),0)</x:f>
      </x:c>
      <x:c r="K122" s="117" t="n">
        <x:f>IF(AND(K$3&gt;=EDATE($B$109,-MIN(6,'Вводные'!$E$91)),K$3&lt;$B$109),$B$122/MAX(1,MIN(6,'Вводные'!$E$91)),0)</x:f>
      </x:c>
      <x:c r="L122" s="117" t="n">
        <x:f>IF(AND(L$3&gt;=EDATE($B$109,-MIN(6,'Вводные'!$E$91)),L$3&lt;$B$109),$B$122/MAX(1,MIN(6,'Вводные'!$E$91)),0)</x:f>
      </x:c>
      <x:c r="M122" s="117" t="n">
        <x:f>IF(AND(M$3&gt;=EDATE($B$109,-MIN(6,'Вводные'!$E$91)),M$3&lt;$B$109),$B$122/MAX(1,MIN(6,'Вводные'!$E$91)),0)</x:f>
      </x:c>
      <x:c r="N122" s="117" t="n">
        <x:f>IF(AND(N$3&gt;=EDATE($B$109,-MIN(6,'Вводные'!$E$91)),N$3&lt;$B$109),$B$122/MAX(1,MIN(6,'Вводные'!$E$91)),0)</x:f>
      </x:c>
      <x:c r="O122" s="117" t="n">
        <x:f>IF(AND(O$3&gt;=EDATE($B$109,-MIN(6,'Вводные'!$E$91)),O$3&lt;$B$109),$B$122/MAX(1,MIN(6,'Вводные'!$E$91)),0)</x:f>
      </x:c>
      <x:c r="P122" s="117" t="n">
        <x:f>IF(AND(P$3&gt;=EDATE($B$109,-MIN(6,'Вводные'!$E$91)),P$3&lt;$B$109),$B$122/MAX(1,MIN(6,'Вводные'!$E$91)),0)</x:f>
      </x:c>
      <x:c r="Q122" s="117" t="n">
        <x:f>IF(AND(Q$3&gt;=EDATE($B$109,-MIN(6,'Вводные'!$E$91)),Q$3&lt;$B$109),$B$122/MAX(1,MIN(6,'Вводные'!$E$91)),0)</x:f>
      </x:c>
      <x:c r="R122" s="117" t="n">
        <x:f>IF(AND(R$3&gt;=EDATE($B$109,-MIN(6,'Вводные'!$E$91)),R$3&lt;$B$109),$B$122/MAX(1,MIN(6,'Вводные'!$E$91)),0)</x:f>
      </x:c>
      <x:c r="S122" s="117" t="n">
        <x:f>IF(AND(S$3&gt;=EDATE($B$109,-MIN(6,'Вводные'!$E$91)),S$3&lt;$B$109),$B$122/MAX(1,MIN(6,'Вводные'!$E$91)),0)</x:f>
      </x:c>
      <x:c r="T122" s="117" t="n">
        <x:f>IF(AND(T$3&gt;=EDATE($B$109,-MIN(6,'Вводные'!$E$91)),T$3&lt;$B$109),$B$122/MAX(1,MIN(6,'Вводные'!$E$91)),0)</x:f>
      </x:c>
      <x:c r="U122" s="117" t="n">
        <x:f>IF(AND(U$3&gt;=EDATE($B$109,-MIN(6,'Вводные'!$E$91)),U$3&lt;$B$109),$B$122/MAX(1,MIN(6,'Вводные'!$E$91)),0)</x:f>
      </x:c>
      <x:c r="V122" s="117" t="n">
        <x:f>IF(AND(V$3&gt;=EDATE($B$109,-MIN(6,'Вводные'!$E$91)),V$3&lt;$B$109),$B$122/MAX(1,MIN(6,'Вводные'!$E$91)),0)</x:f>
      </x:c>
      <x:c r="W122" s="117" t="n">
        <x:f>IF(AND(W$3&gt;=EDATE($B$109,-MIN(6,'Вводные'!$E$91)),W$3&lt;$B$109),$B$122/MAX(1,MIN(6,'Вводные'!$E$91)),0)</x:f>
      </x:c>
      <x:c r="X122" s="117" t="n">
        <x:f>IF(AND(X$3&gt;=EDATE($B$109,-MIN(6,'Вводные'!$E$91)),X$3&lt;$B$109),$B$122/MAX(1,MIN(6,'Вводные'!$E$91)),0)</x:f>
      </x:c>
      <x:c r="Y122" s="117" t="n">
        <x:f>IF(AND(Y$3&gt;=EDATE($B$109,-MIN(6,'Вводные'!$E$91)),Y$3&lt;$B$109),$B$122/MAX(1,MIN(6,'Вводные'!$E$91)),0)</x:f>
      </x:c>
      <x:c r="Z122" s="117" t="n">
        <x:f>IF(AND(Z$3&gt;=EDATE($B$109,-MIN(6,'Вводные'!$E$91)),Z$3&lt;$B$109),$B$122/MAX(1,MIN(6,'Вводные'!$E$91)),0)</x:f>
      </x:c>
      <x:c r="AA122" s="117" t="n">
        <x:f>IF(AND(AA$3&gt;=EDATE($B$109,-MIN(6,'Вводные'!$E$91)),AA$3&lt;$B$109),$B$122/MAX(1,MIN(6,'Вводные'!$E$91)),0)</x:f>
      </x:c>
      <x:c r="AB122" s="117" t="n">
        <x:f>IF(AND(AB$3&gt;=EDATE($B$109,-MIN(6,'Вводные'!$E$91)),AB$3&lt;$B$109),$B$122/MAX(1,MIN(6,'Вводные'!$E$91)),0)</x:f>
      </x:c>
      <x:c r="AC122" s="117" t="n">
        <x:f>IF(AND(AC$3&gt;=EDATE($B$109,-MIN(6,'Вводные'!$E$91)),AC$3&lt;$B$109),$B$122/MAX(1,MIN(6,'Вводные'!$E$91)),0)</x:f>
      </x:c>
      <x:c r="AD122" s="117" t="n">
        <x:f>IF(AND(AD$3&gt;=EDATE($B$109,-MIN(6,'Вводные'!$E$91)),AD$3&lt;$B$109),$B$122/MAX(1,MIN(6,'Вводные'!$E$91)),0)</x:f>
      </x:c>
      <x:c r="AE122" s="117" t="n">
        <x:f>IF(AND(AE$3&gt;=EDATE($B$109,-MIN(6,'Вводные'!$E$91)),AE$3&lt;$B$109),$B$122/MAX(1,MIN(6,'Вводные'!$E$91)),0)</x:f>
      </x:c>
      <x:c r="AF122" s="117" t="n">
        <x:f>IF(AND(AF$3&gt;=EDATE($B$109,-MIN(6,'Вводные'!$E$91)),AF$3&lt;$B$109),$B$122/MAX(1,MIN(6,'Вводные'!$E$91)),0)</x:f>
      </x:c>
      <x:c r="AG122" s="117" t="n">
        <x:f>IF(AND(AG$3&gt;=EDATE($B$109,-MIN(6,'Вводные'!$E$91)),AG$3&lt;$B$109),$B$122/MAX(1,MIN(6,'Вводные'!$E$91)),0)</x:f>
      </x:c>
      <x:c r="AH122" s="117" t="n">
        <x:f>IF(AND(AH$3&gt;=EDATE($B$109,-MIN(6,'Вводные'!$E$91)),AH$3&lt;$B$109),$B$122/MAX(1,MIN(6,'Вводные'!$E$91)),0)</x:f>
      </x:c>
      <x:c r="AI122" s="117" t="n">
        <x:f>IF(AND(AI$3&gt;=EDATE($B$109,-MIN(6,'Вводные'!$E$91)),AI$3&lt;$B$109),$B$122/MAX(1,MIN(6,'Вводные'!$E$91)),0)</x:f>
      </x:c>
      <x:c r="AJ122" s="117" t="n">
        <x:f>IF(AND(AJ$3&gt;=EDATE($B$109,-MIN(6,'Вводные'!$E$91)),AJ$3&lt;$B$109),$B$122/MAX(1,MIN(6,'Вводные'!$E$91)),0)</x:f>
      </x:c>
      <x:c r="AK122" s="117" t="n">
        <x:f>IF(AND(AK$3&gt;=EDATE($B$109,-MIN(6,'Вводные'!$E$91)),AK$3&lt;$B$109),$B$122/MAX(1,MIN(6,'Вводные'!$E$91)),0)</x:f>
      </x:c>
      <x:c r="AL122" s="117" t="n">
        <x:f>IF(AND(AL$3&gt;=EDATE($B$109,-MIN(6,'Вводные'!$E$91)),AL$3&lt;$B$109),$B$122/MAX(1,MIN(6,'Вводные'!$E$91)),0)</x:f>
      </x:c>
      <x:c r="AM122" s="117" t="n">
        <x:f>IF(AND(AM$3&gt;=EDATE($B$109,-MIN(6,'Вводные'!$E$91)),AM$3&lt;$B$109),$B$122/MAX(1,MIN(6,'Вводные'!$E$91)),0)</x:f>
      </x:c>
      <x:c r="AN122" s="117" t="n">
        <x:f>IF(AND(AN$3&gt;=EDATE($B$109,-MIN(6,'Вводные'!$E$91)),AN$3&lt;$B$109),$B$122/MAX(1,MIN(6,'Вводные'!$E$91)),0)</x:f>
      </x:c>
      <x:c r="AO122" s="117" t="n">
        <x:f>IF(AND(AO$3&gt;=EDATE($B$109,-MIN(6,'Вводные'!$E$91)),AO$3&lt;$B$109),$B$122/MAX(1,MIN(6,'Вводные'!$E$91)),0)</x:f>
      </x:c>
      <x:c r="AP122" s="117" t="n">
        <x:f>IF(AND(AP$3&gt;=EDATE($B$109,-MIN(6,'Вводные'!$E$91)),AP$3&lt;$B$109),$B$122/MAX(1,MIN(6,'Вводные'!$E$91)),0)</x:f>
      </x:c>
      <x:c r="AQ122" s="117" t="n">
        <x:f>IF(AND(AQ$3&gt;=EDATE($B$109,-MIN(6,'Вводные'!$E$91)),AQ$3&lt;$B$109),$B$122/MAX(1,MIN(6,'Вводные'!$E$91)),0)</x:f>
      </x:c>
      <x:c r="AR122" s="117" t="n">
        <x:f>IF(AND(AR$3&gt;=EDATE($B$109,-MIN(6,'Вводные'!$E$91)),AR$3&lt;$B$109),$B$122/MAX(1,MIN(6,'Вводные'!$E$91)),0)</x:f>
      </x:c>
      <x:c r="AS122" s="117" t="n">
        <x:f>IF(AND(AS$3&gt;=EDATE($B$109,-MIN(6,'Вводные'!$E$91)),AS$3&lt;$B$109),$B$122/MAX(1,MIN(6,'Вводные'!$E$91)),0)</x:f>
      </x:c>
      <x:c r="AT122" s="117" t="n">
        <x:f>IF(AND(AT$3&gt;=EDATE($B$109,-MIN(6,'Вводные'!$E$91)),AT$3&lt;$B$109),$B$122/MAX(1,MIN(6,'Вводные'!$E$91)),0)</x:f>
      </x:c>
      <x:c r="AU122" s="117" t="n">
        <x:f>IF(AND(AU$3&gt;=EDATE($B$109,-MIN(6,'Вводные'!$E$91)),AU$3&lt;$B$109),$B$122/MAX(1,MIN(6,'Вводные'!$E$91)),0)</x:f>
      </x:c>
      <x:c r="AV122" s="117" t="n">
        <x:f>IF(AND(AV$3&gt;=EDATE($B$109,-MIN(6,'Вводные'!$E$91)),AV$3&lt;$B$109),$B$122/MAX(1,MIN(6,'Вводные'!$E$91)),0)</x:f>
      </x:c>
      <x:c r="AW122" s="117" t="n">
        <x:f>IF(AND(AW$3&gt;=EDATE($B$109,-MIN(6,'Вводные'!$E$91)),AW$3&lt;$B$109),$B$122/MAX(1,MIN(6,'Вводные'!$E$91)),0)</x:f>
      </x:c>
      <x:c r="AX122" s="117" t="n">
        <x:f>IF(AND(AX$3&gt;=EDATE($B$109,-MIN(6,'Вводные'!$E$91)),AX$3&lt;$B$109),$B$122/MAX(1,MIN(6,'Вводные'!$E$91)),0)</x:f>
      </x:c>
      <x:c r="AY122" s="117" t="n">
        <x:f>IF(AND(AY$3&gt;=EDATE($B$109,-MIN(6,'Вводные'!$E$91)),AY$3&lt;$B$109),$B$122/MAX(1,MIN(6,'Вводные'!$E$91)),0)</x:f>
      </x:c>
      <x:c r="AZ122" s="117" t="n">
        <x:f>IF(AND(AZ$3&gt;=EDATE($B$109,-MIN(6,'Вводные'!$E$91)),AZ$3&lt;$B$109),$B$122/MAX(1,MIN(6,'Вводные'!$E$91)),0)</x:f>
      </x:c>
      <x:c r="BA122" s="117" t="n">
        <x:f>IF(AND(BA$3&gt;=EDATE($B$109,-MIN(6,'Вводные'!$E$91)),BA$3&lt;$B$109),$B$122/MAX(1,MIN(6,'Вводные'!$E$91)),0)</x:f>
      </x:c>
      <x:c r="BB122" s="117" t="n">
        <x:f>IF(AND(BB$3&gt;=EDATE($B$109,-MIN(6,'Вводные'!$E$91)),BB$3&lt;$B$109),$B$122/MAX(1,MIN(6,'Вводные'!$E$91)),0)</x:f>
      </x:c>
      <x:c r="BC122" s="117" t="n">
        <x:f>IF(AND(BC$3&gt;=EDATE($B$109,-MIN(6,'Вводные'!$E$91)),BC$3&lt;$B$109),$B$122/MAX(1,MIN(6,'Вводные'!$E$91)),0)</x:f>
      </x:c>
      <x:c r="BD122" s="117" t="n">
        <x:f>IF(AND(BD$3&gt;=EDATE($B$109,-MIN(6,'Вводные'!$E$91)),BD$3&lt;$B$109),$B$122/MAX(1,MIN(6,'Вводные'!$E$91)),0)</x:f>
      </x:c>
      <x:c r="BE122" s="117" t="n">
        <x:f>IF(AND(BE$3&gt;=EDATE($B$109,-MIN(6,'Вводные'!$E$91)),BE$3&lt;$B$109),$B$122/MAX(1,MIN(6,'Вводные'!$E$91)),0)</x:f>
      </x:c>
      <x:c r="BF122" s="117" t="n">
        <x:f>IF(AND(BF$3&gt;=EDATE($B$109,-MIN(6,'Вводные'!$E$91)),BF$3&lt;$B$109),$B$122/MAX(1,MIN(6,'Вводные'!$E$91)),0)</x:f>
      </x:c>
      <x:c r="BG122" s="117" t="n">
        <x:f>IF(AND(BG$3&gt;=EDATE($B$109,-MIN(6,'Вводные'!$E$91)),BG$3&lt;$B$109),$B$122/MAX(1,MIN(6,'Вводные'!$E$91)),0)</x:f>
      </x:c>
      <x:c r="BH122" s="117" t="n">
        <x:f>IF(AND(BH$3&gt;=EDATE($B$109,-MIN(6,'Вводные'!$E$91)),BH$3&lt;$B$109),$B$122/MAX(1,MIN(6,'Вводные'!$E$91)),0)</x:f>
      </x:c>
      <x:c r="BI122" s="117" t="n">
        <x:f>IF(AND(BI$3&gt;=EDATE($B$109,-MIN(6,'Вводные'!$E$91)),BI$3&lt;$B$109),$B$122/MAX(1,MIN(6,'Вводные'!$E$91)),0)</x:f>
      </x:c>
      <x:c r="BJ122" s="117" t="n">
        <x:f>IF(AND(BJ$3&gt;=EDATE($B$109,-MIN(6,'Вводные'!$E$91)),BJ$3&lt;$B$109),$B$122/MAX(1,MIN(6,'Вводные'!$E$91)),0)</x:f>
      </x:c>
      <x:c r="BK122" s="117" t="n">
        <x:f>IF(AND(BK$3&gt;=EDATE($B$109,-MIN(6,'Вводные'!$E$91)),BK$3&lt;$B$109),$B$122/MAX(1,MIN(6,'Вводные'!$E$91)),0)</x:f>
      </x:c>
      <x:c r="BL122" s="117" t="n">
        <x:f>IF(AND(BL$3&gt;=EDATE($B$109,-MIN(6,'Вводные'!$E$91)),BL$3&lt;$B$109),$B$122/MAX(1,MIN(6,'Вводные'!$E$91)),0)</x:f>
      </x:c>
      <x:c r="BM122" s="117" t="n">
        <x:f>IF(AND(BM$3&gt;=EDATE($B$109,-MIN(6,'Вводные'!$E$91)),BM$3&lt;$B$109),$B$122/MAX(1,MIN(6,'Вводные'!$E$91)),0)</x:f>
      </x:c>
      <x:c r="BN122" s="117" t="n">
        <x:f>IF(AND(BN$3&gt;=EDATE($B$109,-MIN(6,'Вводные'!$E$91)),BN$3&lt;$B$109),$B$122/MAX(1,MIN(6,'Вводные'!$E$91)),0)</x:f>
      </x:c>
      <x:c r="BO122" s="117" t="n">
        <x:f>IF(AND(BO$3&gt;=EDATE($B$109,-MIN(6,'Вводные'!$E$91)),BO$3&lt;$B$109),$B$122/MAX(1,MIN(6,'Вводные'!$E$91)),0)</x:f>
      </x:c>
      <x:c r="BP122" s="117" t="n">
        <x:f>IF(AND(BP$3&gt;=EDATE($B$109,-MIN(6,'Вводные'!$E$91)),BP$3&lt;$B$109),$B$122/MAX(1,MIN(6,'Вводные'!$E$91)),0)</x:f>
      </x:c>
      <x:c r="BQ122" s="117" t="n">
        <x:f>IF(AND(BQ$3&gt;=EDATE($B$109,-MIN(6,'Вводные'!$E$91)),BQ$3&lt;$B$109),$B$122/MAX(1,MIN(6,'Вводные'!$E$91)),0)</x:f>
      </x:c>
      <x:c r="BR122" s="117" t="n">
        <x:f>IF(AND(BR$3&gt;=EDATE($B$109,-MIN(6,'Вводные'!$E$91)),BR$3&lt;$B$109),$B$122/MAX(1,MIN(6,'Вводные'!$E$91)),0)</x:f>
      </x:c>
      <x:c r="BS122" s="117" t="n">
        <x:f>IF(AND(BS$3&gt;=EDATE($B$109,-MIN(6,'Вводные'!$E$91)),BS$3&lt;$B$109),$B$122/MAX(1,MIN(6,'Вводные'!$E$91)),0)</x:f>
      </x:c>
      <x:c r="BT122" s="117" t="n">
        <x:f>IF(AND(BT$3&gt;=EDATE($B$109,-MIN(6,'Вводные'!$E$91)),BT$3&lt;$B$109),$B$122/MAX(1,MIN(6,'Вводные'!$E$91)),0)</x:f>
      </x:c>
      <x:c r="BU122" s="117" t="n">
        <x:f>IF(AND(BU$3&gt;=EDATE($B$109,-MIN(6,'Вводные'!$E$91)),BU$3&lt;$B$109),$B$122/MAX(1,MIN(6,'Вводные'!$E$91)),0)</x:f>
      </x:c>
      <x:c r="BV122" s="117" t="n">
        <x:f>IF(AND(BV$3&gt;=EDATE($B$109,-MIN(6,'Вводные'!$E$91)),BV$3&lt;$B$109),$B$122/MAX(1,MIN(6,'Вводные'!$E$91)),0)</x:f>
      </x:c>
      <x:c r="BW122" s="117" t="n">
        <x:f>IF(AND(BW$3&gt;=EDATE($B$109,-MIN(6,'Вводные'!$E$91)),BW$3&lt;$B$109),$B$122/MAX(1,MIN(6,'Вводные'!$E$91)),0)</x:f>
      </x:c>
      <x:c r="BX122" s="117" t="n">
        <x:f>IF(AND(BX$3&gt;=EDATE($B$109,-MIN(6,'Вводные'!$E$91)),BX$3&lt;$B$109),$B$122/MAX(1,MIN(6,'Вводные'!$E$91)),0)</x:f>
      </x:c>
      <x:c r="BY122" s="117" t="n">
        <x:f>IF(AND(BY$3&gt;=EDATE($B$109,-MIN(6,'Вводные'!$E$91)),BY$3&lt;$B$109),$B$122/MAX(1,MIN(6,'Вводные'!$E$91)),0)</x:f>
      </x:c>
      <x:c r="BZ122" s="117" t="n">
        <x:f>IF(AND(BZ$3&gt;=EDATE($B$109,-MIN(6,'Вводные'!$E$91)),BZ$3&lt;$B$109),$B$122/MAX(1,MIN(6,'Вводные'!$E$91)),0)</x:f>
      </x:c>
      <x:c r="CA122" s="117" t="n">
        <x:f>IF(AND(CA$3&gt;=EDATE($B$109,-MIN(6,'Вводные'!$E$91)),CA$3&lt;$B$109),$B$122/MAX(1,MIN(6,'Вводные'!$E$91)),0)</x:f>
      </x:c>
      <x:c r="CB122" s="117" t="n">
        <x:f>IF(AND(CB$3&gt;=EDATE($B$109,-MIN(6,'Вводные'!$E$91)),CB$3&lt;$B$109),$B$122/MAX(1,MIN(6,'Вводные'!$E$91)),0)</x:f>
      </x:c>
      <x:c r="CC122" s="117" t="n">
        <x:f>IF(AND(CC$3&gt;=EDATE($B$109,-MIN(6,'Вводные'!$E$91)),CC$3&lt;$B$109),$B$122/MAX(1,MIN(6,'Вводные'!$E$91)),0)</x:f>
      </x:c>
      <x:c r="CD122" s="117" t="n">
        <x:f>IF(AND(CD$3&gt;=EDATE($B$109,-MIN(6,'Вводные'!$E$91)),CD$3&lt;$B$109),$B$122/MAX(1,MIN(6,'Вводные'!$E$91)),0)</x:f>
      </x:c>
      <x:c r="CE122" s="117" t="n">
        <x:f>IF(AND(CE$3&gt;=EDATE($B$109,-MIN(6,'Вводные'!$E$91)),CE$3&lt;$B$109),$B$122/MAX(1,MIN(6,'Вводные'!$E$91)),0)</x:f>
      </x:c>
      <x:c r="CF122" s="117" t="n">
        <x:f>IF(AND(CF$3&gt;=EDATE($B$109,-MIN(6,'Вводные'!$E$91)),CF$3&lt;$B$109),$B$122/MAX(1,MIN(6,'Вводные'!$E$91)),0)</x:f>
      </x:c>
      <x:c r="CG122" s="117" t="n">
        <x:f>IF(AND(CG$3&gt;=EDATE($B$109,-MIN(6,'Вводные'!$E$91)),CG$3&lt;$B$109),$B$122/MAX(1,MIN(6,'Вводные'!$E$91)),0)</x:f>
      </x:c>
      <x:c r="CH122" s="117" t="n">
        <x:f>IF(AND(CH$3&gt;=EDATE($B$109,-MIN(6,'Вводные'!$E$91)),CH$3&lt;$B$109),$B$122/MAX(1,MIN(6,'Вводные'!$E$91)),0)</x:f>
      </x:c>
      <x:c r="CI122" s="117" t="n">
        <x:f>IF(AND(CI$3&gt;=EDATE($B$109,-MIN(6,'Вводные'!$E$91)),CI$3&lt;$B$109),$B$122/MAX(1,MIN(6,'Вводные'!$E$91)),0)</x:f>
      </x:c>
      <x:c r="CJ122" s="117" t="n">
        <x:f>IF(AND(CJ$3&gt;=EDATE($B$109,-MIN(6,'Вводные'!$E$91)),CJ$3&lt;$B$109),$B$122/MAX(1,MIN(6,'Вводные'!$E$91)),0)</x:f>
      </x:c>
      <x:c r="CK122" s="117" t="n">
        <x:f>IF(AND(CK$3&gt;=EDATE($B$109,-MIN(6,'Вводные'!$E$91)),CK$3&lt;$B$109),$B$122/MAX(1,MIN(6,'Вводные'!$E$91)),0)</x:f>
      </x:c>
      <x:c r="CL122" s="117" t="n">
        <x:f>IF(AND(CL$3&gt;=EDATE($B$109,-MIN(6,'Вводные'!$E$91)),CL$3&lt;$B$109),$B$122/MAX(1,MIN(6,'Вводные'!$E$91)),0)</x:f>
      </x:c>
      <x:c r="CM122" s="117" t="n">
        <x:f>IF(AND(CM$3&gt;=EDATE($B$109,-MIN(6,'Вводные'!$E$91)),CM$3&lt;$B$109),$B$122/MAX(1,MIN(6,'Вводные'!$E$91)),0)</x:f>
      </x:c>
      <x:c r="CN122" s="117" t="n">
        <x:f>IF(AND(CN$3&gt;=EDATE($B$109,-MIN(6,'Вводные'!$E$91)),CN$3&lt;$B$109),$B$122/MAX(1,MIN(6,'Вводные'!$E$91)),0)</x:f>
      </x:c>
      <x:c r="CO122" s="117" t="n">
        <x:f>IF(AND(CO$3&gt;=EDATE($B$109,-MIN(6,'Вводные'!$E$91)),CO$3&lt;$B$109),$B$122/MAX(1,MIN(6,'Вводные'!$E$91)),0)</x:f>
      </x:c>
      <x:c r="CP122" s="117" t="n">
        <x:f>IF(AND(CP$3&gt;=EDATE($B$109,-MIN(6,'Вводные'!$E$91)),CP$3&lt;$B$109),$B$122/MAX(1,MIN(6,'Вводные'!$E$91)),0)</x:f>
      </x:c>
      <x:c r="CQ122" s="117" t="n">
        <x:f>IF(AND(CQ$3&gt;=EDATE($B$109,-MIN(6,'Вводные'!$E$91)),CQ$3&lt;$B$109),$B$122/MAX(1,MIN(6,'Вводные'!$E$91)),0)</x:f>
      </x:c>
      <x:c r="CR122" s="117" t="n">
        <x:f>IF(AND(CR$3&gt;=EDATE($B$109,-MIN(6,'Вводные'!$E$91)),CR$3&lt;$B$109),$B$122/MAX(1,MIN(6,'Вводные'!$E$91)),0)</x:f>
      </x:c>
      <x:c r="CS122" s="117" t="n">
        <x:f>IF(AND(CS$3&gt;=EDATE($B$109,-MIN(6,'Вводные'!$E$91)),CS$3&lt;$B$109),$B$122/MAX(1,MIN(6,'Вводные'!$E$91)),0)</x:f>
      </x:c>
      <x:c r="CT122" s="117" t="n">
        <x:f>IF(AND(CT$3&gt;=EDATE($B$109,-MIN(6,'Вводные'!$E$91)),CT$3&lt;$B$109),$B$122/MAX(1,MIN(6,'Вводные'!$E$91)),0)</x:f>
      </x:c>
      <x:c r="CU122" s="117" t="n">
        <x:f>IF(AND(CU$3&gt;=EDATE($B$109,-MIN(6,'Вводные'!$E$91)),CU$3&lt;$B$109),$B$122/MAX(1,MIN(6,'Вводные'!$E$91)),0)</x:f>
      </x:c>
      <x:c r="CV122" s="117" t="n">
        <x:f>IF(AND(CV$3&gt;=EDATE($B$109,-MIN(6,'Вводные'!$E$91)),CV$3&lt;$B$109),$B$122/MAX(1,MIN(6,'Вводные'!$E$91)),0)</x:f>
      </x:c>
      <x:c r="CW122" s="117" t="n">
        <x:f>IF(AND(CW$3&gt;=EDATE($B$109,-MIN(6,'Вводные'!$E$91)),CW$3&lt;$B$109),$B$122/MAX(1,MIN(6,'Вводные'!$E$91)),0)</x:f>
      </x:c>
      <x:c r="CX122" s="117" t="n">
        <x:f>IF(AND(CX$3&gt;=EDATE($B$109,-MIN(6,'Вводные'!$E$91)),CX$3&lt;$B$109),$B$122/MAX(1,MIN(6,'Вводные'!$E$91)),0)</x:f>
      </x:c>
      <x:c r="CY122" s="117" t="n">
        <x:f>IF(AND(CY$3&gt;=EDATE($B$109,-MIN(6,'Вводные'!$E$91)),CY$3&lt;$B$109),$B$122/MAX(1,MIN(6,'Вводные'!$E$91)),0)</x:f>
      </x:c>
      <x:c r="CZ122" s="117" t="n">
        <x:f>IF(AND(CZ$3&gt;=EDATE($B$109,-MIN(6,'Вводные'!$E$91)),CZ$3&lt;$B$109),$B$122/MAX(1,MIN(6,'Вводные'!$E$91)),0)</x:f>
      </x:c>
      <x:c r="DA122" s="117" t="n">
        <x:f>IF(AND(DA$3&gt;=EDATE($B$109,-MIN(6,'Вводные'!$E$91)),DA$3&lt;$B$109),$B$122/MAX(1,MIN(6,'Вводные'!$E$91)),0)</x:f>
      </x:c>
      <x:c r="DB122" s="117" t="n">
        <x:f>IF(AND(DB$3&gt;=EDATE($B$109,-MIN(6,'Вводные'!$E$91)),DB$3&lt;$B$109),$B$122/MAX(1,MIN(6,'Вводные'!$E$91)),0)</x:f>
      </x:c>
      <x:c r="DC122" s="117" t="n">
        <x:f>IF(AND(DC$3&gt;=EDATE($B$109,-MIN(6,'Вводные'!$E$91)),DC$3&lt;$B$109),$B$122/MAX(1,MIN(6,'Вводные'!$E$91)),0)</x:f>
      </x:c>
      <x:c r="DD122" s="117" t="n">
        <x:f>IF(AND(DD$3&gt;=EDATE($B$109,-MIN(6,'Вводные'!$E$91)),DD$3&lt;$B$109),$B$122/MAX(1,MIN(6,'Вводные'!$E$91)),0)</x:f>
      </x:c>
      <x:c r="DE122" s="117" t="n">
        <x:f>IF(AND(DE$3&gt;=EDATE($B$109,-MIN(6,'Вводные'!$E$91)),DE$3&lt;$B$109),$B$122/MAX(1,MIN(6,'Вводные'!$E$91)),0)</x:f>
      </x:c>
      <x:c r="DF122" s="117" t="n">
        <x:f>IF(AND(DF$3&gt;=EDATE($B$109,-MIN(6,'Вводные'!$E$91)),DF$3&lt;$B$109),$B$122/MAX(1,MIN(6,'Вводные'!$E$91)),0)</x:f>
      </x:c>
      <x:c r="DG122" s="117" t="n">
        <x:f>IF(AND(DG$3&gt;=EDATE($B$109,-MIN(6,'Вводные'!$E$91)),DG$3&lt;$B$109),$B$122/MAX(1,MIN(6,'Вводные'!$E$91)),0)</x:f>
      </x:c>
      <x:c r="DH122" s="117" t="n">
        <x:f>IF(AND(DH$3&gt;=EDATE($B$109,-MIN(6,'Вводные'!$E$91)),DH$3&lt;$B$109),$B$122/MAX(1,MIN(6,'Вводные'!$E$91)),0)</x:f>
      </x:c>
      <x:c r="DI122" s="117" t="n">
        <x:f>IF(AND(DI$3&gt;=EDATE($B$109,-MIN(6,'Вводные'!$E$91)),DI$3&lt;$B$109),$B$122/MAX(1,MIN(6,'Вводные'!$E$91)),0)</x:f>
      </x:c>
      <x:c r="DJ122" s="117" t="n">
        <x:f>IF(AND(DJ$3&gt;=EDATE($B$109,-MIN(6,'Вводные'!$E$91)),DJ$3&lt;$B$109),$B$122/MAX(1,MIN(6,'Вводные'!$E$91)),0)</x:f>
      </x:c>
      <x:c r="DK122" s="117" t="n">
        <x:f>IF(AND(DK$3&gt;=EDATE($B$109,-MIN(6,'Вводные'!$E$91)),DK$3&lt;$B$109),$B$122/MAX(1,MIN(6,'Вводные'!$E$91)),0)</x:f>
      </x:c>
      <x:c r="DL122" s="117" t="n">
        <x:f>IF(AND(DL$3&gt;=EDATE($B$109,-MIN(6,'Вводные'!$E$91)),DL$3&lt;$B$109),$B$122/MAX(1,MIN(6,'Вводные'!$E$91)),0)</x:f>
      </x:c>
      <x:c r="DM122" s="117" t="n">
        <x:f>IF(AND(DM$3&gt;=EDATE($B$109,-MIN(6,'Вводные'!$E$91)),DM$3&lt;$B$109),$B$122/MAX(1,MIN(6,'Вводные'!$E$91)),0)</x:f>
      </x:c>
      <x:c r="DN122" s="117" t="n">
        <x:f>IF(AND(DN$3&gt;=EDATE($B$109,-MIN(6,'Вводные'!$E$91)),DN$3&lt;$B$109),$B$122/MAX(1,MIN(6,'Вводные'!$E$91)),0)</x:f>
      </x:c>
      <x:c r="DO122" s="117" t="n">
        <x:f>IF(AND(DO$3&gt;=EDATE($B$109,-MIN(6,'Вводные'!$E$91)),DO$3&lt;$B$109),$B$122/MAX(1,MIN(6,'Вводные'!$E$91)),0)</x:f>
      </x:c>
      <x:c r="DP122" s="117" t="n">
        <x:f>IF(AND(DP$3&gt;=EDATE($B$109,-MIN(6,'Вводные'!$E$91)),DP$3&lt;$B$109),$B$122/MAX(1,MIN(6,'Вводные'!$E$91)),0)</x:f>
      </x:c>
      <x:c r="DQ122" s="117" t="n">
        <x:f>IF(AND(DQ$3&gt;=EDATE($B$109,-MIN(6,'Вводные'!$E$91)),DQ$3&lt;$B$109),$B$122/MAX(1,MIN(6,'Вводные'!$E$91)),0)</x:f>
      </x:c>
      <x:c r="DR122" s="117" t="n">
        <x:f>IF(AND(DR$3&gt;=EDATE($B$109,-MIN(6,'Вводные'!$E$91)),DR$3&lt;$B$109),$B$122/MAX(1,MIN(6,'Вводные'!$E$91)),0)</x:f>
      </x:c>
      <x:c r="DS122" s="117" t="n">
        <x:f>IF(AND(DS$3&gt;=EDATE($B$109,-MIN(6,'Вводные'!$E$91)),DS$3&lt;$B$109),$B$122/MAX(1,MIN(6,'Вводные'!$E$91)),0)</x:f>
      </x:c>
    </x:row>
    <x:row r="123">
      <x:c r="A123" t="str">
        <x:v>Основное строительство — наземная часть</x:v>
      </x:c>
      <x:c r="B123" s="107" t="n">
        <x:f>(('Вводные'!$I$91+'Вводные'!$J$91)*'Вводные'!$B$44/1000*'Вводные'!$H$6*'Вводные'!$T$91*--('Вводные'!$B$91="Да"))*'Вводные'!$AH$91</x:f>
      </x:c>
      <x:c r="C123" t="str">
        <x:v>млн ₽</x:v>
      </x:c>
      <x:c r="D123" s="117" t="n">
        <x:f>$B$123*D115</x:f>
      </x:c>
      <x:c r="E123" s="117" t="n">
        <x:f>$B$123*E115</x:f>
      </x:c>
      <x:c r="F123" s="117" t="n">
        <x:f>$B$123*F115</x:f>
      </x:c>
      <x:c r="G123" s="117" t="n">
        <x:f>$B$123*G115</x:f>
      </x:c>
      <x:c r="H123" s="117" t="n">
        <x:f>$B$123*H115</x:f>
      </x:c>
      <x:c r="I123" s="117" t="n">
        <x:f>$B$123*I115</x:f>
      </x:c>
      <x:c r="J123" s="117" t="n">
        <x:f>$B$123*J115</x:f>
      </x:c>
      <x:c r="K123" s="117" t="n">
        <x:f>$B$123*K115</x:f>
      </x:c>
      <x:c r="L123" s="117" t="n">
        <x:f>$B$123*L115</x:f>
      </x:c>
      <x:c r="M123" s="117" t="n">
        <x:f>$B$123*M115</x:f>
      </x:c>
      <x:c r="N123" s="117" t="n">
        <x:f>$B$123*N115</x:f>
      </x:c>
      <x:c r="O123" s="117" t="n">
        <x:f>$B$123*O115</x:f>
      </x:c>
      <x:c r="P123" s="117" t="n">
        <x:f>$B$123*P115</x:f>
      </x:c>
      <x:c r="Q123" s="117" t="n">
        <x:f>$B$123*Q115</x:f>
      </x:c>
      <x:c r="R123" s="117" t="n">
        <x:f>$B$123*R115</x:f>
      </x:c>
      <x:c r="S123" s="117" t="n">
        <x:f>$B$123*S115</x:f>
      </x:c>
      <x:c r="T123" s="117" t="n">
        <x:f>$B$123*T115</x:f>
      </x:c>
      <x:c r="U123" s="117" t="n">
        <x:f>$B$123*U115</x:f>
      </x:c>
      <x:c r="V123" s="117" t="n">
        <x:f>$B$123*V115</x:f>
      </x:c>
      <x:c r="W123" s="117" t="n">
        <x:f>$B$123*W115</x:f>
      </x:c>
      <x:c r="X123" s="117" t="n">
        <x:f>$B$123*X115</x:f>
      </x:c>
      <x:c r="Y123" s="117" t="n">
        <x:f>$B$123*Y115</x:f>
      </x:c>
      <x:c r="Z123" s="117" t="n">
        <x:f>$B$123*Z115</x:f>
      </x:c>
      <x:c r="AA123" s="117" t="n">
        <x:f>$B$123*AA115</x:f>
      </x:c>
      <x:c r="AB123" s="117" t="n">
        <x:f>$B$123*AB115</x:f>
      </x:c>
      <x:c r="AC123" s="117" t="n">
        <x:f>$B$123*AC115</x:f>
      </x:c>
      <x:c r="AD123" s="117" t="n">
        <x:f>$B$123*AD115</x:f>
      </x:c>
      <x:c r="AE123" s="117" t="n">
        <x:f>$B$123*AE115</x:f>
      </x:c>
      <x:c r="AF123" s="117" t="n">
        <x:f>$B$123*AF115</x:f>
      </x:c>
      <x:c r="AG123" s="117" t="n">
        <x:f>$B$123*AG115</x:f>
      </x:c>
      <x:c r="AH123" s="117" t="n">
        <x:f>$B$123*AH115</x:f>
      </x:c>
      <x:c r="AI123" s="117" t="n">
        <x:f>$B$123*AI115</x:f>
      </x:c>
      <x:c r="AJ123" s="117" t="n">
        <x:f>$B$123*AJ115</x:f>
      </x:c>
      <x:c r="AK123" s="117" t="n">
        <x:f>$B$123*AK115</x:f>
      </x:c>
      <x:c r="AL123" s="117" t="n">
        <x:f>$B$123*AL115</x:f>
      </x:c>
      <x:c r="AM123" s="117" t="n">
        <x:f>$B$123*AM115</x:f>
      </x:c>
      <x:c r="AN123" s="117" t="n">
        <x:f>$B$123*AN115</x:f>
      </x:c>
      <x:c r="AO123" s="117" t="n">
        <x:f>$B$123*AO115</x:f>
      </x:c>
      <x:c r="AP123" s="117" t="n">
        <x:f>$B$123*AP115</x:f>
      </x:c>
      <x:c r="AQ123" s="117" t="n">
        <x:f>$B$123*AQ115</x:f>
      </x:c>
      <x:c r="AR123" s="117" t="n">
        <x:f>$B$123*AR115</x:f>
      </x:c>
      <x:c r="AS123" s="117" t="n">
        <x:f>$B$123*AS115</x:f>
      </x:c>
      <x:c r="AT123" s="117" t="n">
        <x:f>$B$123*AT115</x:f>
      </x:c>
      <x:c r="AU123" s="117" t="n">
        <x:f>$B$123*AU115</x:f>
      </x:c>
      <x:c r="AV123" s="117" t="n">
        <x:f>$B$123*AV115</x:f>
      </x:c>
      <x:c r="AW123" s="117" t="n">
        <x:f>$B$123*AW115</x:f>
      </x:c>
      <x:c r="AX123" s="117" t="n">
        <x:f>$B$123*AX115</x:f>
      </x:c>
      <x:c r="AY123" s="117" t="n">
        <x:f>$B$123*AY115</x:f>
      </x:c>
      <x:c r="AZ123" s="117" t="n">
        <x:f>$B$123*AZ115</x:f>
      </x:c>
      <x:c r="BA123" s="117" t="n">
        <x:f>$B$123*BA115</x:f>
      </x:c>
      <x:c r="BB123" s="117" t="n">
        <x:f>$B$123*BB115</x:f>
      </x:c>
      <x:c r="BC123" s="117" t="n">
        <x:f>$B$123*BC115</x:f>
      </x:c>
      <x:c r="BD123" s="117" t="n">
        <x:f>$B$123*BD115</x:f>
      </x:c>
      <x:c r="BE123" s="117" t="n">
        <x:f>$B$123*BE115</x:f>
      </x:c>
      <x:c r="BF123" s="117" t="n">
        <x:f>$B$123*BF115</x:f>
      </x:c>
      <x:c r="BG123" s="117" t="n">
        <x:f>$B$123*BG115</x:f>
      </x:c>
      <x:c r="BH123" s="117" t="n">
        <x:f>$B$123*BH115</x:f>
      </x:c>
      <x:c r="BI123" s="117" t="n">
        <x:f>$B$123*BI115</x:f>
      </x:c>
      <x:c r="BJ123" s="117" t="n">
        <x:f>$B$123*BJ115</x:f>
      </x:c>
      <x:c r="BK123" s="117" t="n">
        <x:f>$B$123*BK115</x:f>
      </x:c>
      <x:c r="BL123" s="117" t="n">
        <x:f>$B$123*BL115</x:f>
      </x:c>
      <x:c r="BM123" s="117" t="n">
        <x:f>$B$123*BM115</x:f>
      </x:c>
      <x:c r="BN123" s="117" t="n">
        <x:f>$B$123*BN115</x:f>
      </x:c>
      <x:c r="BO123" s="117" t="n">
        <x:f>$B$123*BO115</x:f>
      </x:c>
      <x:c r="BP123" s="117" t="n">
        <x:f>$B$123*BP115</x:f>
      </x:c>
      <x:c r="BQ123" s="117" t="n">
        <x:f>$B$123*BQ115</x:f>
      </x:c>
      <x:c r="BR123" s="117" t="n">
        <x:f>$B$123*BR115</x:f>
      </x:c>
      <x:c r="BS123" s="117" t="n">
        <x:f>$B$123*BS115</x:f>
      </x:c>
      <x:c r="BT123" s="117" t="n">
        <x:f>$B$123*BT115</x:f>
      </x:c>
      <x:c r="BU123" s="117" t="n">
        <x:f>$B$123*BU115</x:f>
      </x:c>
      <x:c r="BV123" s="117" t="n">
        <x:f>$B$123*BV115</x:f>
      </x:c>
      <x:c r="BW123" s="117" t="n">
        <x:f>$B$123*BW115</x:f>
      </x:c>
      <x:c r="BX123" s="117" t="n">
        <x:f>$B$123*BX115</x:f>
      </x:c>
      <x:c r="BY123" s="117" t="n">
        <x:f>$B$123*BY115</x:f>
      </x:c>
      <x:c r="BZ123" s="117" t="n">
        <x:f>$B$123*BZ115</x:f>
      </x:c>
      <x:c r="CA123" s="117" t="n">
        <x:f>$B$123*CA115</x:f>
      </x:c>
      <x:c r="CB123" s="117" t="n">
        <x:f>$B$123*CB115</x:f>
      </x:c>
      <x:c r="CC123" s="117" t="n">
        <x:f>$B$123*CC115</x:f>
      </x:c>
      <x:c r="CD123" s="117" t="n">
        <x:f>$B$123*CD115</x:f>
      </x:c>
      <x:c r="CE123" s="117" t="n">
        <x:f>$B$123*CE115</x:f>
      </x:c>
      <x:c r="CF123" s="117" t="n">
        <x:f>$B$123*CF115</x:f>
      </x:c>
      <x:c r="CG123" s="117" t="n">
        <x:f>$B$123*CG115</x:f>
      </x:c>
      <x:c r="CH123" s="117" t="n">
        <x:f>$B$123*CH115</x:f>
      </x:c>
      <x:c r="CI123" s="117" t="n">
        <x:f>$B$123*CI115</x:f>
      </x:c>
      <x:c r="CJ123" s="117" t="n">
        <x:f>$B$123*CJ115</x:f>
      </x:c>
      <x:c r="CK123" s="117" t="n">
        <x:f>$B$123*CK115</x:f>
      </x:c>
      <x:c r="CL123" s="117" t="n">
        <x:f>$B$123*CL115</x:f>
      </x:c>
      <x:c r="CM123" s="117" t="n">
        <x:f>$B$123*CM115</x:f>
      </x:c>
      <x:c r="CN123" s="117" t="n">
        <x:f>$B$123*CN115</x:f>
      </x:c>
      <x:c r="CO123" s="117" t="n">
        <x:f>$B$123*CO115</x:f>
      </x:c>
      <x:c r="CP123" s="117" t="n">
        <x:f>$B$123*CP115</x:f>
      </x:c>
      <x:c r="CQ123" s="117" t="n">
        <x:f>$B$123*CQ115</x:f>
      </x:c>
      <x:c r="CR123" s="117" t="n">
        <x:f>$B$123*CR115</x:f>
      </x:c>
      <x:c r="CS123" s="117" t="n">
        <x:f>$B$123*CS115</x:f>
      </x:c>
      <x:c r="CT123" s="117" t="n">
        <x:f>$B$123*CT115</x:f>
      </x:c>
      <x:c r="CU123" s="117" t="n">
        <x:f>$B$123*CU115</x:f>
      </x:c>
      <x:c r="CV123" s="117" t="n">
        <x:f>$B$123*CV115</x:f>
      </x:c>
      <x:c r="CW123" s="117" t="n">
        <x:f>$B$123*CW115</x:f>
      </x:c>
      <x:c r="CX123" s="117" t="n">
        <x:f>$B$123*CX115</x:f>
      </x:c>
      <x:c r="CY123" s="117" t="n">
        <x:f>$B$123*CY115</x:f>
      </x:c>
      <x:c r="CZ123" s="117" t="n">
        <x:f>$B$123*CZ115</x:f>
      </x:c>
      <x:c r="DA123" s="117" t="n">
        <x:f>$B$123*DA115</x:f>
      </x:c>
      <x:c r="DB123" s="117" t="n">
        <x:f>$B$123*DB115</x:f>
      </x:c>
      <x:c r="DC123" s="117" t="n">
        <x:f>$B$123*DC115</x:f>
      </x:c>
      <x:c r="DD123" s="117" t="n">
        <x:f>$B$123*DD115</x:f>
      </x:c>
      <x:c r="DE123" s="117" t="n">
        <x:f>$B$123*DE115</x:f>
      </x:c>
      <x:c r="DF123" s="117" t="n">
        <x:f>$B$123*DF115</x:f>
      </x:c>
      <x:c r="DG123" s="117" t="n">
        <x:f>$B$123*DG115</x:f>
      </x:c>
      <x:c r="DH123" s="117" t="n">
        <x:f>$B$123*DH115</x:f>
      </x:c>
      <x:c r="DI123" s="117" t="n">
        <x:f>$B$123*DI115</x:f>
      </x:c>
      <x:c r="DJ123" s="117" t="n">
        <x:f>$B$123*DJ115</x:f>
      </x:c>
      <x:c r="DK123" s="117" t="n">
        <x:f>$B$123*DK115</x:f>
      </x:c>
      <x:c r="DL123" s="117" t="n">
        <x:f>$B$123*DL115</x:f>
      </x:c>
      <x:c r="DM123" s="117" t="n">
        <x:f>$B$123*DM115</x:f>
      </x:c>
      <x:c r="DN123" s="117" t="n">
        <x:f>$B$123*DN115</x:f>
      </x:c>
      <x:c r="DO123" s="117" t="n">
        <x:f>$B$123*DO115</x:f>
      </x:c>
      <x:c r="DP123" s="117" t="n">
        <x:f>$B$123*DP115</x:f>
      </x:c>
      <x:c r="DQ123" s="117" t="n">
        <x:f>$B$123*DQ115</x:f>
      </x:c>
      <x:c r="DR123" s="117" t="n">
        <x:f>$B$123*DR115</x:f>
      </x:c>
      <x:c r="DS123" s="117" t="n">
        <x:f>$B$123*DS115</x:f>
      </x:c>
    </x:row>
    <x:row r="124">
      <x:c r="A124" t="str">
        <x:v>Основное строительство — подземная часть</x:v>
      </x:c>
      <x:c r="B124" s="107" t="n">
        <x:f>('Вводные'!$K$91*'Вводные'!$B$45/1000*'Вводные'!$H$6*'Вводные'!$T$91*--('Вводные'!$B$91="Да"))*'Вводные'!$AH$91</x:f>
      </x:c>
      <x:c r="C124" t="str">
        <x:v>млн ₽</x:v>
      </x:c>
      <x:c r="D124" s="117" t="n">
        <x:f>$B$124*D115</x:f>
      </x:c>
      <x:c r="E124" s="117" t="n">
        <x:f>$B$124*E115</x:f>
      </x:c>
      <x:c r="F124" s="117" t="n">
        <x:f>$B$124*F115</x:f>
      </x:c>
      <x:c r="G124" s="117" t="n">
        <x:f>$B$124*G115</x:f>
      </x:c>
      <x:c r="H124" s="117" t="n">
        <x:f>$B$124*H115</x:f>
      </x:c>
      <x:c r="I124" s="117" t="n">
        <x:f>$B$124*I115</x:f>
      </x:c>
      <x:c r="J124" s="117" t="n">
        <x:f>$B$124*J115</x:f>
      </x:c>
      <x:c r="K124" s="117" t="n">
        <x:f>$B$124*K115</x:f>
      </x:c>
      <x:c r="L124" s="117" t="n">
        <x:f>$B$124*L115</x:f>
      </x:c>
      <x:c r="M124" s="117" t="n">
        <x:f>$B$124*M115</x:f>
      </x:c>
      <x:c r="N124" s="117" t="n">
        <x:f>$B$124*N115</x:f>
      </x:c>
      <x:c r="O124" s="117" t="n">
        <x:f>$B$124*O115</x:f>
      </x:c>
      <x:c r="P124" s="117" t="n">
        <x:f>$B$124*P115</x:f>
      </x:c>
      <x:c r="Q124" s="117" t="n">
        <x:f>$B$124*Q115</x:f>
      </x:c>
      <x:c r="R124" s="117" t="n">
        <x:f>$B$124*R115</x:f>
      </x:c>
      <x:c r="S124" s="117" t="n">
        <x:f>$B$124*S115</x:f>
      </x:c>
      <x:c r="T124" s="117" t="n">
        <x:f>$B$124*T115</x:f>
      </x:c>
      <x:c r="U124" s="117" t="n">
        <x:f>$B$124*U115</x:f>
      </x:c>
      <x:c r="V124" s="117" t="n">
        <x:f>$B$124*V115</x:f>
      </x:c>
      <x:c r="W124" s="117" t="n">
        <x:f>$B$124*W115</x:f>
      </x:c>
      <x:c r="X124" s="117" t="n">
        <x:f>$B$124*X115</x:f>
      </x:c>
      <x:c r="Y124" s="117" t="n">
        <x:f>$B$124*Y115</x:f>
      </x:c>
      <x:c r="Z124" s="117" t="n">
        <x:f>$B$124*Z115</x:f>
      </x:c>
      <x:c r="AA124" s="117" t="n">
        <x:f>$B$124*AA115</x:f>
      </x:c>
      <x:c r="AB124" s="117" t="n">
        <x:f>$B$124*AB115</x:f>
      </x:c>
      <x:c r="AC124" s="117" t="n">
        <x:f>$B$124*AC115</x:f>
      </x:c>
      <x:c r="AD124" s="117" t="n">
        <x:f>$B$124*AD115</x:f>
      </x:c>
      <x:c r="AE124" s="117" t="n">
        <x:f>$B$124*AE115</x:f>
      </x:c>
      <x:c r="AF124" s="117" t="n">
        <x:f>$B$124*AF115</x:f>
      </x:c>
      <x:c r="AG124" s="117" t="n">
        <x:f>$B$124*AG115</x:f>
      </x:c>
      <x:c r="AH124" s="117" t="n">
        <x:f>$B$124*AH115</x:f>
      </x:c>
      <x:c r="AI124" s="117" t="n">
        <x:f>$B$124*AI115</x:f>
      </x:c>
      <x:c r="AJ124" s="117" t="n">
        <x:f>$B$124*AJ115</x:f>
      </x:c>
      <x:c r="AK124" s="117" t="n">
        <x:f>$B$124*AK115</x:f>
      </x:c>
      <x:c r="AL124" s="117" t="n">
        <x:f>$B$124*AL115</x:f>
      </x:c>
      <x:c r="AM124" s="117" t="n">
        <x:f>$B$124*AM115</x:f>
      </x:c>
      <x:c r="AN124" s="117" t="n">
        <x:f>$B$124*AN115</x:f>
      </x:c>
      <x:c r="AO124" s="117" t="n">
        <x:f>$B$124*AO115</x:f>
      </x:c>
      <x:c r="AP124" s="117" t="n">
        <x:f>$B$124*AP115</x:f>
      </x:c>
      <x:c r="AQ124" s="117" t="n">
        <x:f>$B$124*AQ115</x:f>
      </x:c>
      <x:c r="AR124" s="117" t="n">
        <x:f>$B$124*AR115</x:f>
      </x:c>
      <x:c r="AS124" s="117" t="n">
        <x:f>$B$124*AS115</x:f>
      </x:c>
      <x:c r="AT124" s="117" t="n">
        <x:f>$B$124*AT115</x:f>
      </x:c>
      <x:c r="AU124" s="117" t="n">
        <x:f>$B$124*AU115</x:f>
      </x:c>
      <x:c r="AV124" s="117" t="n">
        <x:f>$B$124*AV115</x:f>
      </x:c>
      <x:c r="AW124" s="117" t="n">
        <x:f>$B$124*AW115</x:f>
      </x:c>
      <x:c r="AX124" s="117" t="n">
        <x:f>$B$124*AX115</x:f>
      </x:c>
      <x:c r="AY124" s="117" t="n">
        <x:f>$B$124*AY115</x:f>
      </x:c>
      <x:c r="AZ124" s="117" t="n">
        <x:f>$B$124*AZ115</x:f>
      </x:c>
      <x:c r="BA124" s="117" t="n">
        <x:f>$B$124*BA115</x:f>
      </x:c>
      <x:c r="BB124" s="117" t="n">
        <x:f>$B$124*BB115</x:f>
      </x:c>
      <x:c r="BC124" s="117" t="n">
        <x:f>$B$124*BC115</x:f>
      </x:c>
      <x:c r="BD124" s="117" t="n">
        <x:f>$B$124*BD115</x:f>
      </x:c>
      <x:c r="BE124" s="117" t="n">
        <x:f>$B$124*BE115</x:f>
      </x:c>
      <x:c r="BF124" s="117" t="n">
        <x:f>$B$124*BF115</x:f>
      </x:c>
      <x:c r="BG124" s="117" t="n">
        <x:f>$B$124*BG115</x:f>
      </x:c>
      <x:c r="BH124" s="117" t="n">
        <x:f>$B$124*BH115</x:f>
      </x:c>
      <x:c r="BI124" s="117" t="n">
        <x:f>$B$124*BI115</x:f>
      </x:c>
      <x:c r="BJ124" s="117" t="n">
        <x:f>$B$124*BJ115</x:f>
      </x:c>
      <x:c r="BK124" s="117" t="n">
        <x:f>$B$124*BK115</x:f>
      </x:c>
      <x:c r="BL124" s="117" t="n">
        <x:f>$B$124*BL115</x:f>
      </x:c>
      <x:c r="BM124" s="117" t="n">
        <x:f>$B$124*BM115</x:f>
      </x:c>
      <x:c r="BN124" s="117" t="n">
        <x:f>$B$124*BN115</x:f>
      </x:c>
      <x:c r="BO124" s="117" t="n">
        <x:f>$B$124*BO115</x:f>
      </x:c>
      <x:c r="BP124" s="117" t="n">
        <x:f>$B$124*BP115</x:f>
      </x:c>
      <x:c r="BQ124" s="117" t="n">
        <x:f>$B$124*BQ115</x:f>
      </x:c>
      <x:c r="BR124" s="117" t="n">
        <x:f>$B$124*BR115</x:f>
      </x:c>
      <x:c r="BS124" s="117" t="n">
        <x:f>$B$124*BS115</x:f>
      </x:c>
      <x:c r="BT124" s="117" t="n">
        <x:f>$B$124*BT115</x:f>
      </x:c>
      <x:c r="BU124" s="117" t="n">
        <x:f>$B$124*BU115</x:f>
      </x:c>
      <x:c r="BV124" s="117" t="n">
        <x:f>$B$124*BV115</x:f>
      </x:c>
      <x:c r="BW124" s="117" t="n">
        <x:f>$B$124*BW115</x:f>
      </x:c>
      <x:c r="BX124" s="117" t="n">
        <x:f>$B$124*BX115</x:f>
      </x:c>
      <x:c r="BY124" s="117" t="n">
        <x:f>$B$124*BY115</x:f>
      </x:c>
      <x:c r="BZ124" s="117" t="n">
        <x:f>$B$124*BZ115</x:f>
      </x:c>
      <x:c r="CA124" s="117" t="n">
        <x:f>$B$124*CA115</x:f>
      </x:c>
      <x:c r="CB124" s="117" t="n">
        <x:f>$B$124*CB115</x:f>
      </x:c>
      <x:c r="CC124" s="117" t="n">
        <x:f>$B$124*CC115</x:f>
      </x:c>
      <x:c r="CD124" s="117" t="n">
        <x:f>$B$124*CD115</x:f>
      </x:c>
      <x:c r="CE124" s="117" t="n">
        <x:f>$B$124*CE115</x:f>
      </x:c>
      <x:c r="CF124" s="117" t="n">
        <x:f>$B$124*CF115</x:f>
      </x:c>
      <x:c r="CG124" s="117" t="n">
        <x:f>$B$124*CG115</x:f>
      </x:c>
      <x:c r="CH124" s="117" t="n">
        <x:f>$B$124*CH115</x:f>
      </x:c>
      <x:c r="CI124" s="117" t="n">
        <x:f>$B$124*CI115</x:f>
      </x:c>
      <x:c r="CJ124" s="117" t="n">
        <x:f>$B$124*CJ115</x:f>
      </x:c>
      <x:c r="CK124" s="117" t="n">
        <x:f>$B$124*CK115</x:f>
      </x:c>
      <x:c r="CL124" s="117" t="n">
        <x:f>$B$124*CL115</x:f>
      </x:c>
      <x:c r="CM124" s="117" t="n">
        <x:f>$B$124*CM115</x:f>
      </x:c>
      <x:c r="CN124" s="117" t="n">
        <x:f>$B$124*CN115</x:f>
      </x:c>
      <x:c r="CO124" s="117" t="n">
        <x:f>$B$124*CO115</x:f>
      </x:c>
      <x:c r="CP124" s="117" t="n">
        <x:f>$B$124*CP115</x:f>
      </x:c>
      <x:c r="CQ124" s="117" t="n">
        <x:f>$B$124*CQ115</x:f>
      </x:c>
      <x:c r="CR124" s="117" t="n">
        <x:f>$B$124*CR115</x:f>
      </x:c>
      <x:c r="CS124" s="117" t="n">
        <x:f>$B$124*CS115</x:f>
      </x:c>
      <x:c r="CT124" s="117" t="n">
        <x:f>$B$124*CT115</x:f>
      </x:c>
      <x:c r="CU124" s="117" t="n">
        <x:f>$B$124*CU115</x:f>
      </x:c>
      <x:c r="CV124" s="117" t="n">
        <x:f>$B$124*CV115</x:f>
      </x:c>
      <x:c r="CW124" s="117" t="n">
        <x:f>$B$124*CW115</x:f>
      </x:c>
      <x:c r="CX124" s="117" t="n">
        <x:f>$B$124*CX115</x:f>
      </x:c>
      <x:c r="CY124" s="117" t="n">
        <x:f>$B$124*CY115</x:f>
      </x:c>
      <x:c r="CZ124" s="117" t="n">
        <x:f>$B$124*CZ115</x:f>
      </x:c>
      <x:c r="DA124" s="117" t="n">
        <x:f>$B$124*DA115</x:f>
      </x:c>
      <x:c r="DB124" s="117" t="n">
        <x:f>$B$124*DB115</x:f>
      </x:c>
      <x:c r="DC124" s="117" t="n">
        <x:f>$B$124*DC115</x:f>
      </x:c>
      <x:c r="DD124" s="117" t="n">
        <x:f>$B$124*DD115</x:f>
      </x:c>
      <x:c r="DE124" s="117" t="n">
        <x:f>$B$124*DE115</x:f>
      </x:c>
      <x:c r="DF124" s="117" t="n">
        <x:f>$B$124*DF115</x:f>
      </x:c>
      <x:c r="DG124" s="117" t="n">
        <x:f>$B$124*DG115</x:f>
      </x:c>
      <x:c r="DH124" s="117" t="n">
        <x:f>$B$124*DH115</x:f>
      </x:c>
      <x:c r="DI124" s="117" t="n">
        <x:f>$B$124*DI115</x:f>
      </x:c>
      <x:c r="DJ124" s="117" t="n">
        <x:f>$B$124*DJ115</x:f>
      </x:c>
      <x:c r="DK124" s="117" t="n">
        <x:f>$B$124*DK115</x:f>
      </x:c>
      <x:c r="DL124" s="117" t="n">
        <x:f>$B$124*DL115</x:f>
      </x:c>
      <x:c r="DM124" s="117" t="n">
        <x:f>$B$124*DM115</x:f>
      </x:c>
      <x:c r="DN124" s="117" t="n">
        <x:f>$B$124*DN115</x:f>
      </x:c>
      <x:c r="DO124" s="117" t="n">
        <x:f>$B$124*DO115</x:f>
      </x:c>
      <x:c r="DP124" s="117" t="n">
        <x:f>$B$124*DP115</x:f>
      </x:c>
      <x:c r="DQ124" s="117" t="n">
        <x:f>$B$124*DQ115</x:f>
      </x:c>
      <x:c r="DR124" s="117" t="n">
        <x:f>$B$124*DR115</x:f>
      </x:c>
      <x:c r="DS124" s="117" t="n">
        <x:f>$B$124*DS115</x:f>
      </x:c>
    </x:row>
    <x:row r="125">
      <x:c r="A125" t="str">
        <x:v>Наружные инженерные сети</x:v>
      </x:c>
      <x:c r="B125" s="107" t="n">
        <x:f>(('Вводные'!$I$91+'Вводные'!$J$91+'Вводные'!$K$91)*'Вводные'!$B$46/1000*'Вводные'!$H$6*'Вводные'!$T$91*--('Вводные'!$B$91="Да"))*'Вводные'!$AH$91</x:f>
      </x:c>
      <x:c r="C125" t="str">
        <x:v>млн ₽</x:v>
      </x:c>
      <x:c r="D125" s="117" t="n">
        <x:f>$B$125*D115</x:f>
      </x:c>
      <x:c r="E125" s="117" t="n">
        <x:f>$B$125*E115</x:f>
      </x:c>
      <x:c r="F125" s="117" t="n">
        <x:f>$B$125*F115</x:f>
      </x:c>
      <x:c r="G125" s="117" t="n">
        <x:f>$B$125*G115</x:f>
      </x:c>
      <x:c r="H125" s="117" t="n">
        <x:f>$B$125*H115</x:f>
      </x:c>
      <x:c r="I125" s="117" t="n">
        <x:f>$B$125*I115</x:f>
      </x:c>
      <x:c r="J125" s="117" t="n">
        <x:f>$B$125*J115</x:f>
      </x:c>
      <x:c r="K125" s="117" t="n">
        <x:f>$B$125*K115</x:f>
      </x:c>
      <x:c r="L125" s="117" t="n">
        <x:f>$B$125*L115</x:f>
      </x:c>
      <x:c r="M125" s="117" t="n">
        <x:f>$B$125*M115</x:f>
      </x:c>
      <x:c r="N125" s="117" t="n">
        <x:f>$B$125*N115</x:f>
      </x:c>
      <x:c r="O125" s="117" t="n">
        <x:f>$B$125*O115</x:f>
      </x:c>
      <x:c r="P125" s="117" t="n">
        <x:f>$B$125*P115</x:f>
      </x:c>
      <x:c r="Q125" s="117" t="n">
        <x:f>$B$125*Q115</x:f>
      </x:c>
      <x:c r="R125" s="117" t="n">
        <x:f>$B$125*R115</x:f>
      </x:c>
      <x:c r="S125" s="117" t="n">
        <x:f>$B$125*S115</x:f>
      </x:c>
      <x:c r="T125" s="117" t="n">
        <x:f>$B$125*T115</x:f>
      </x:c>
      <x:c r="U125" s="117" t="n">
        <x:f>$B$125*U115</x:f>
      </x:c>
      <x:c r="V125" s="117" t="n">
        <x:f>$B$125*V115</x:f>
      </x:c>
      <x:c r="W125" s="117" t="n">
        <x:f>$B$125*W115</x:f>
      </x:c>
      <x:c r="X125" s="117" t="n">
        <x:f>$B$125*X115</x:f>
      </x:c>
      <x:c r="Y125" s="117" t="n">
        <x:f>$B$125*Y115</x:f>
      </x:c>
      <x:c r="Z125" s="117" t="n">
        <x:f>$B$125*Z115</x:f>
      </x:c>
      <x:c r="AA125" s="117" t="n">
        <x:f>$B$125*AA115</x:f>
      </x:c>
      <x:c r="AB125" s="117" t="n">
        <x:f>$B$125*AB115</x:f>
      </x:c>
      <x:c r="AC125" s="117" t="n">
        <x:f>$B$125*AC115</x:f>
      </x:c>
      <x:c r="AD125" s="117" t="n">
        <x:f>$B$125*AD115</x:f>
      </x:c>
      <x:c r="AE125" s="117" t="n">
        <x:f>$B$125*AE115</x:f>
      </x:c>
      <x:c r="AF125" s="117" t="n">
        <x:f>$B$125*AF115</x:f>
      </x:c>
      <x:c r="AG125" s="117" t="n">
        <x:f>$B$125*AG115</x:f>
      </x:c>
      <x:c r="AH125" s="117" t="n">
        <x:f>$B$125*AH115</x:f>
      </x:c>
      <x:c r="AI125" s="117" t="n">
        <x:f>$B$125*AI115</x:f>
      </x:c>
      <x:c r="AJ125" s="117" t="n">
        <x:f>$B$125*AJ115</x:f>
      </x:c>
      <x:c r="AK125" s="117" t="n">
        <x:f>$B$125*AK115</x:f>
      </x:c>
      <x:c r="AL125" s="117" t="n">
        <x:f>$B$125*AL115</x:f>
      </x:c>
      <x:c r="AM125" s="117" t="n">
        <x:f>$B$125*AM115</x:f>
      </x:c>
      <x:c r="AN125" s="117" t="n">
        <x:f>$B$125*AN115</x:f>
      </x:c>
      <x:c r="AO125" s="117" t="n">
        <x:f>$B$125*AO115</x:f>
      </x:c>
      <x:c r="AP125" s="117" t="n">
        <x:f>$B$125*AP115</x:f>
      </x:c>
      <x:c r="AQ125" s="117" t="n">
        <x:f>$B$125*AQ115</x:f>
      </x:c>
      <x:c r="AR125" s="117" t="n">
        <x:f>$B$125*AR115</x:f>
      </x:c>
      <x:c r="AS125" s="117" t="n">
        <x:f>$B$125*AS115</x:f>
      </x:c>
      <x:c r="AT125" s="117" t="n">
        <x:f>$B$125*AT115</x:f>
      </x:c>
      <x:c r="AU125" s="117" t="n">
        <x:f>$B$125*AU115</x:f>
      </x:c>
      <x:c r="AV125" s="117" t="n">
        <x:f>$B$125*AV115</x:f>
      </x:c>
      <x:c r="AW125" s="117" t="n">
        <x:f>$B$125*AW115</x:f>
      </x:c>
      <x:c r="AX125" s="117" t="n">
        <x:f>$B$125*AX115</x:f>
      </x:c>
      <x:c r="AY125" s="117" t="n">
        <x:f>$B$125*AY115</x:f>
      </x:c>
      <x:c r="AZ125" s="117" t="n">
        <x:f>$B$125*AZ115</x:f>
      </x:c>
      <x:c r="BA125" s="117" t="n">
        <x:f>$B$125*BA115</x:f>
      </x:c>
      <x:c r="BB125" s="117" t="n">
        <x:f>$B$125*BB115</x:f>
      </x:c>
      <x:c r="BC125" s="117" t="n">
        <x:f>$B$125*BC115</x:f>
      </x:c>
      <x:c r="BD125" s="117" t="n">
        <x:f>$B$125*BD115</x:f>
      </x:c>
      <x:c r="BE125" s="117" t="n">
        <x:f>$B$125*BE115</x:f>
      </x:c>
      <x:c r="BF125" s="117" t="n">
        <x:f>$B$125*BF115</x:f>
      </x:c>
      <x:c r="BG125" s="117" t="n">
        <x:f>$B$125*BG115</x:f>
      </x:c>
      <x:c r="BH125" s="117" t="n">
        <x:f>$B$125*BH115</x:f>
      </x:c>
      <x:c r="BI125" s="117" t="n">
        <x:f>$B$125*BI115</x:f>
      </x:c>
      <x:c r="BJ125" s="117" t="n">
        <x:f>$B$125*BJ115</x:f>
      </x:c>
      <x:c r="BK125" s="117" t="n">
        <x:f>$B$125*BK115</x:f>
      </x:c>
      <x:c r="BL125" s="117" t="n">
        <x:f>$B$125*BL115</x:f>
      </x:c>
      <x:c r="BM125" s="117" t="n">
        <x:f>$B$125*BM115</x:f>
      </x:c>
      <x:c r="BN125" s="117" t="n">
        <x:f>$B$125*BN115</x:f>
      </x:c>
      <x:c r="BO125" s="117" t="n">
        <x:f>$B$125*BO115</x:f>
      </x:c>
      <x:c r="BP125" s="117" t="n">
        <x:f>$B$125*BP115</x:f>
      </x:c>
      <x:c r="BQ125" s="117" t="n">
        <x:f>$B$125*BQ115</x:f>
      </x:c>
      <x:c r="BR125" s="117" t="n">
        <x:f>$B$125*BR115</x:f>
      </x:c>
      <x:c r="BS125" s="117" t="n">
        <x:f>$B$125*BS115</x:f>
      </x:c>
      <x:c r="BT125" s="117" t="n">
        <x:f>$B$125*BT115</x:f>
      </x:c>
      <x:c r="BU125" s="117" t="n">
        <x:f>$B$125*BU115</x:f>
      </x:c>
      <x:c r="BV125" s="117" t="n">
        <x:f>$B$125*BV115</x:f>
      </x:c>
      <x:c r="BW125" s="117" t="n">
        <x:f>$B$125*BW115</x:f>
      </x:c>
      <x:c r="BX125" s="117" t="n">
        <x:f>$B$125*BX115</x:f>
      </x:c>
      <x:c r="BY125" s="117" t="n">
        <x:f>$B$125*BY115</x:f>
      </x:c>
      <x:c r="BZ125" s="117" t="n">
        <x:f>$B$125*BZ115</x:f>
      </x:c>
      <x:c r="CA125" s="117" t="n">
        <x:f>$B$125*CA115</x:f>
      </x:c>
      <x:c r="CB125" s="117" t="n">
        <x:f>$B$125*CB115</x:f>
      </x:c>
      <x:c r="CC125" s="117" t="n">
        <x:f>$B$125*CC115</x:f>
      </x:c>
      <x:c r="CD125" s="117" t="n">
        <x:f>$B$125*CD115</x:f>
      </x:c>
      <x:c r="CE125" s="117" t="n">
        <x:f>$B$125*CE115</x:f>
      </x:c>
      <x:c r="CF125" s="117" t="n">
        <x:f>$B$125*CF115</x:f>
      </x:c>
      <x:c r="CG125" s="117" t="n">
        <x:f>$B$125*CG115</x:f>
      </x:c>
      <x:c r="CH125" s="117" t="n">
        <x:f>$B$125*CH115</x:f>
      </x:c>
      <x:c r="CI125" s="117" t="n">
        <x:f>$B$125*CI115</x:f>
      </x:c>
      <x:c r="CJ125" s="117" t="n">
        <x:f>$B$125*CJ115</x:f>
      </x:c>
      <x:c r="CK125" s="117" t="n">
        <x:f>$B$125*CK115</x:f>
      </x:c>
      <x:c r="CL125" s="117" t="n">
        <x:f>$B$125*CL115</x:f>
      </x:c>
      <x:c r="CM125" s="117" t="n">
        <x:f>$B$125*CM115</x:f>
      </x:c>
      <x:c r="CN125" s="117" t="n">
        <x:f>$B$125*CN115</x:f>
      </x:c>
      <x:c r="CO125" s="117" t="n">
        <x:f>$B$125*CO115</x:f>
      </x:c>
      <x:c r="CP125" s="117" t="n">
        <x:f>$B$125*CP115</x:f>
      </x:c>
      <x:c r="CQ125" s="117" t="n">
        <x:f>$B$125*CQ115</x:f>
      </x:c>
      <x:c r="CR125" s="117" t="n">
        <x:f>$B$125*CR115</x:f>
      </x:c>
      <x:c r="CS125" s="117" t="n">
        <x:f>$B$125*CS115</x:f>
      </x:c>
      <x:c r="CT125" s="117" t="n">
        <x:f>$B$125*CT115</x:f>
      </x:c>
      <x:c r="CU125" s="117" t="n">
        <x:f>$B$125*CU115</x:f>
      </x:c>
      <x:c r="CV125" s="117" t="n">
        <x:f>$B$125*CV115</x:f>
      </x:c>
      <x:c r="CW125" s="117" t="n">
        <x:f>$B$125*CW115</x:f>
      </x:c>
      <x:c r="CX125" s="117" t="n">
        <x:f>$B$125*CX115</x:f>
      </x:c>
      <x:c r="CY125" s="117" t="n">
        <x:f>$B$125*CY115</x:f>
      </x:c>
      <x:c r="CZ125" s="117" t="n">
        <x:f>$B$125*CZ115</x:f>
      </x:c>
      <x:c r="DA125" s="117" t="n">
        <x:f>$B$125*DA115</x:f>
      </x:c>
      <x:c r="DB125" s="117" t="n">
        <x:f>$B$125*DB115</x:f>
      </x:c>
      <x:c r="DC125" s="117" t="n">
        <x:f>$B$125*DC115</x:f>
      </x:c>
      <x:c r="DD125" s="117" t="n">
        <x:f>$B$125*DD115</x:f>
      </x:c>
      <x:c r="DE125" s="117" t="n">
        <x:f>$B$125*DE115</x:f>
      </x:c>
      <x:c r="DF125" s="117" t="n">
        <x:f>$B$125*DF115</x:f>
      </x:c>
      <x:c r="DG125" s="117" t="n">
        <x:f>$B$125*DG115</x:f>
      </x:c>
      <x:c r="DH125" s="117" t="n">
        <x:f>$B$125*DH115</x:f>
      </x:c>
      <x:c r="DI125" s="117" t="n">
        <x:f>$B$125*DI115</x:f>
      </x:c>
      <x:c r="DJ125" s="117" t="n">
        <x:f>$B$125*DJ115</x:f>
      </x:c>
      <x:c r="DK125" s="117" t="n">
        <x:f>$B$125*DK115</x:f>
      </x:c>
      <x:c r="DL125" s="117" t="n">
        <x:f>$B$125*DL115</x:f>
      </x:c>
      <x:c r="DM125" s="117" t="n">
        <x:f>$B$125*DM115</x:f>
      </x:c>
      <x:c r="DN125" s="117" t="n">
        <x:f>$B$125*DN115</x:f>
      </x:c>
      <x:c r="DO125" s="117" t="n">
        <x:f>$B$125*DO115</x:f>
      </x:c>
      <x:c r="DP125" s="117" t="n">
        <x:f>$B$125*DP115</x:f>
      </x:c>
      <x:c r="DQ125" s="117" t="n">
        <x:f>$B$125*DQ115</x:f>
      </x:c>
      <x:c r="DR125" s="117" t="n">
        <x:f>$B$125*DR115</x:f>
      </x:c>
      <x:c r="DS125" s="117" t="n">
        <x:f>$B$125*DS115</x:f>
      </x:c>
    </x:row>
    <x:row r="126">
      <x:c r="A126" t="str">
        <x:v>Благоустройство</x:v>
      </x:c>
      <x:c r="B126" s="107" t="n">
        <x:f>(('Вводные'!$I$91+'Вводные'!$J$91+'Вводные'!$K$91)*'Вводные'!$B$47/1000*'Вводные'!$H$6*'Вводные'!$T$91*--('Вводные'!$B$91="Да"))*'Вводные'!$AH$91</x:f>
      </x:c>
      <x:c r="C126" t="str">
        <x:v>млн ₽</x:v>
      </x:c>
      <x:c r="D126" s="117" t="n">
        <x:f>IF(AND(D$3&gt;=EDATE($B$110,-3),D$3&lt;$B$110),$B$126/3,0)</x:f>
      </x:c>
      <x:c r="E126" s="117" t="n">
        <x:f>IF(AND(E$3&gt;=EDATE($B$110,-3),E$3&lt;$B$110),$B$126/3,0)</x:f>
      </x:c>
      <x:c r="F126" s="117" t="n">
        <x:f>IF(AND(F$3&gt;=EDATE($B$110,-3),F$3&lt;$B$110),$B$126/3,0)</x:f>
      </x:c>
      <x:c r="G126" s="117" t="n">
        <x:f>IF(AND(G$3&gt;=EDATE($B$110,-3),G$3&lt;$B$110),$B$126/3,0)</x:f>
      </x:c>
      <x:c r="H126" s="117" t="n">
        <x:f>IF(AND(H$3&gt;=EDATE($B$110,-3),H$3&lt;$B$110),$B$126/3,0)</x:f>
      </x:c>
      <x:c r="I126" s="117" t="n">
        <x:f>IF(AND(I$3&gt;=EDATE($B$110,-3),I$3&lt;$B$110),$B$126/3,0)</x:f>
      </x:c>
      <x:c r="J126" s="117" t="n">
        <x:f>IF(AND(J$3&gt;=EDATE($B$110,-3),J$3&lt;$B$110),$B$126/3,0)</x:f>
      </x:c>
      <x:c r="K126" s="117" t="n">
        <x:f>IF(AND(K$3&gt;=EDATE($B$110,-3),K$3&lt;$B$110),$B$126/3,0)</x:f>
      </x:c>
      <x:c r="L126" s="117" t="n">
        <x:f>IF(AND(L$3&gt;=EDATE($B$110,-3),L$3&lt;$B$110),$B$126/3,0)</x:f>
      </x:c>
      <x:c r="M126" s="117" t="n">
        <x:f>IF(AND(M$3&gt;=EDATE($B$110,-3),M$3&lt;$B$110),$B$126/3,0)</x:f>
      </x:c>
      <x:c r="N126" s="117" t="n">
        <x:f>IF(AND(N$3&gt;=EDATE($B$110,-3),N$3&lt;$B$110),$B$126/3,0)</x:f>
      </x:c>
      <x:c r="O126" s="117" t="n">
        <x:f>IF(AND(O$3&gt;=EDATE($B$110,-3),O$3&lt;$B$110),$B$126/3,0)</x:f>
      </x:c>
      <x:c r="P126" s="117" t="n">
        <x:f>IF(AND(P$3&gt;=EDATE($B$110,-3),P$3&lt;$B$110),$B$126/3,0)</x:f>
      </x:c>
      <x:c r="Q126" s="117" t="n">
        <x:f>IF(AND(Q$3&gt;=EDATE($B$110,-3),Q$3&lt;$B$110),$B$126/3,0)</x:f>
      </x:c>
      <x:c r="R126" s="117" t="n">
        <x:f>IF(AND(R$3&gt;=EDATE($B$110,-3),R$3&lt;$B$110),$B$126/3,0)</x:f>
      </x:c>
      <x:c r="S126" s="117" t="n">
        <x:f>IF(AND(S$3&gt;=EDATE($B$110,-3),S$3&lt;$B$110),$B$126/3,0)</x:f>
      </x:c>
      <x:c r="T126" s="117" t="n">
        <x:f>IF(AND(T$3&gt;=EDATE($B$110,-3),T$3&lt;$B$110),$B$126/3,0)</x:f>
      </x:c>
      <x:c r="U126" s="117" t="n">
        <x:f>IF(AND(U$3&gt;=EDATE($B$110,-3),U$3&lt;$B$110),$B$126/3,0)</x:f>
      </x:c>
      <x:c r="V126" s="117" t="n">
        <x:f>IF(AND(V$3&gt;=EDATE($B$110,-3),V$3&lt;$B$110),$B$126/3,0)</x:f>
      </x:c>
      <x:c r="W126" s="117" t="n">
        <x:f>IF(AND(W$3&gt;=EDATE($B$110,-3),W$3&lt;$B$110),$B$126/3,0)</x:f>
      </x:c>
      <x:c r="X126" s="117" t="n">
        <x:f>IF(AND(X$3&gt;=EDATE($B$110,-3),X$3&lt;$B$110),$B$126/3,0)</x:f>
      </x:c>
      <x:c r="Y126" s="117" t="n">
        <x:f>IF(AND(Y$3&gt;=EDATE($B$110,-3),Y$3&lt;$B$110),$B$126/3,0)</x:f>
      </x:c>
      <x:c r="Z126" s="117" t="n">
        <x:f>IF(AND(Z$3&gt;=EDATE($B$110,-3),Z$3&lt;$B$110),$B$126/3,0)</x:f>
      </x:c>
      <x:c r="AA126" s="117" t="n">
        <x:f>IF(AND(AA$3&gt;=EDATE($B$110,-3),AA$3&lt;$B$110),$B$126/3,0)</x:f>
      </x:c>
      <x:c r="AB126" s="117" t="n">
        <x:f>IF(AND(AB$3&gt;=EDATE($B$110,-3),AB$3&lt;$B$110),$B$126/3,0)</x:f>
      </x:c>
      <x:c r="AC126" s="117" t="n">
        <x:f>IF(AND(AC$3&gt;=EDATE($B$110,-3),AC$3&lt;$B$110),$B$126/3,0)</x:f>
      </x:c>
      <x:c r="AD126" s="117" t="n">
        <x:f>IF(AND(AD$3&gt;=EDATE($B$110,-3),AD$3&lt;$B$110),$B$126/3,0)</x:f>
      </x:c>
      <x:c r="AE126" s="117" t="n">
        <x:f>IF(AND(AE$3&gt;=EDATE($B$110,-3),AE$3&lt;$B$110),$B$126/3,0)</x:f>
      </x:c>
      <x:c r="AF126" s="117" t="n">
        <x:f>IF(AND(AF$3&gt;=EDATE($B$110,-3),AF$3&lt;$B$110),$B$126/3,0)</x:f>
      </x:c>
      <x:c r="AG126" s="117" t="n">
        <x:f>IF(AND(AG$3&gt;=EDATE($B$110,-3),AG$3&lt;$B$110),$B$126/3,0)</x:f>
      </x:c>
      <x:c r="AH126" s="117" t="n">
        <x:f>IF(AND(AH$3&gt;=EDATE($B$110,-3),AH$3&lt;$B$110),$B$126/3,0)</x:f>
      </x:c>
      <x:c r="AI126" s="117" t="n">
        <x:f>IF(AND(AI$3&gt;=EDATE($B$110,-3),AI$3&lt;$B$110),$B$126/3,0)</x:f>
      </x:c>
      <x:c r="AJ126" s="117" t="n">
        <x:f>IF(AND(AJ$3&gt;=EDATE($B$110,-3),AJ$3&lt;$B$110),$B$126/3,0)</x:f>
      </x:c>
      <x:c r="AK126" s="117" t="n">
        <x:f>IF(AND(AK$3&gt;=EDATE($B$110,-3),AK$3&lt;$B$110),$B$126/3,0)</x:f>
      </x:c>
      <x:c r="AL126" s="117" t="n">
        <x:f>IF(AND(AL$3&gt;=EDATE($B$110,-3),AL$3&lt;$B$110),$B$126/3,0)</x:f>
      </x:c>
      <x:c r="AM126" s="117" t="n">
        <x:f>IF(AND(AM$3&gt;=EDATE($B$110,-3),AM$3&lt;$B$110),$B$126/3,0)</x:f>
      </x:c>
      <x:c r="AN126" s="117" t="n">
        <x:f>IF(AND(AN$3&gt;=EDATE($B$110,-3),AN$3&lt;$B$110),$B$126/3,0)</x:f>
      </x:c>
      <x:c r="AO126" s="117" t="n">
        <x:f>IF(AND(AO$3&gt;=EDATE($B$110,-3),AO$3&lt;$B$110),$B$126/3,0)</x:f>
      </x:c>
      <x:c r="AP126" s="117" t="n">
        <x:f>IF(AND(AP$3&gt;=EDATE($B$110,-3),AP$3&lt;$B$110),$B$126/3,0)</x:f>
      </x:c>
      <x:c r="AQ126" s="117" t="n">
        <x:f>IF(AND(AQ$3&gt;=EDATE($B$110,-3),AQ$3&lt;$B$110),$B$126/3,0)</x:f>
      </x:c>
      <x:c r="AR126" s="117" t="n">
        <x:f>IF(AND(AR$3&gt;=EDATE($B$110,-3),AR$3&lt;$B$110),$B$126/3,0)</x:f>
      </x:c>
      <x:c r="AS126" s="117" t="n">
        <x:f>IF(AND(AS$3&gt;=EDATE($B$110,-3),AS$3&lt;$B$110),$B$126/3,0)</x:f>
      </x:c>
      <x:c r="AT126" s="117" t="n">
        <x:f>IF(AND(AT$3&gt;=EDATE($B$110,-3),AT$3&lt;$B$110),$B$126/3,0)</x:f>
      </x:c>
      <x:c r="AU126" s="117" t="n">
        <x:f>IF(AND(AU$3&gt;=EDATE($B$110,-3),AU$3&lt;$B$110),$B$126/3,0)</x:f>
      </x:c>
      <x:c r="AV126" s="117" t="n">
        <x:f>IF(AND(AV$3&gt;=EDATE($B$110,-3),AV$3&lt;$B$110),$B$126/3,0)</x:f>
      </x:c>
      <x:c r="AW126" s="117" t="n">
        <x:f>IF(AND(AW$3&gt;=EDATE($B$110,-3),AW$3&lt;$B$110),$B$126/3,0)</x:f>
      </x:c>
      <x:c r="AX126" s="117" t="n">
        <x:f>IF(AND(AX$3&gt;=EDATE($B$110,-3),AX$3&lt;$B$110),$B$126/3,0)</x:f>
      </x:c>
      <x:c r="AY126" s="117" t="n">
        <x:f>IF(AND(AY$3&gt;=EDATE($B$110,-3),AY$3&lt;$B$110),$B$126/3,0)</x:f>
      </x:c>
      <x:c r="AZ126" s="117" t="n">
        <x:f>IF(AND(AZ$3&gt;=EDATE($B$110,-3),AZ$3&lt;$B$110),$B$126/3,0)</x:f>
      </x:c>
      <x:c r="BA126" s="117" t="n">
        <x:f>IF(AND(BA$3&gt;=EDATE($B$110,-3),BA$3&lt;$B$110),$B$126/3,0)</x:f>
      </x:c>
      <x:c r="BB126" s="117" t="n">
        <x:f>IF(AND(BB$3&gt;=EDATE($B$110,-3),BB$3&lt;$B$110),$B$126/3,0)</x:f>
      </x:c>
      <x:c r="BC126" s="117" t="n">
        <x:f>IF(AND(BC$3&gt;=EDATE($B$110,-3),BC$3&lt;$B$110),$B$126/3,0)</x:f>
      </x:c>
      <x:c r="BD126" s="117" t="n">
        <x:f>IF(AND(BD$3&gt;=EDATE($B$110,-3),BD$3&lt;$B$110),$B$126/3,0)</x:f>
      </x:c>
      <x:c r="BE126" s="117" t="n">
        <x:f>IF(AND(BE$3&gt;=EDATE($B$110,-3),BE$3&lt;$B$110),$B$126/3,0)</x:f>
      </x:c>
      <x:c r="BF126" s="117" t="n">
        <x:f>IF(AND(BF$3&gt;=EDATE($B$110,-3),BF$3&lt;$B$110),$B$126/3,0)</x:f>
      </x:c>
      <x:c r="BG126" s="117" t="n">
        <x:f>IF(AND(BG$3&gt;=EDATE($B$110,-3),BG$3&lt;$B$110),$B$126/3,0)</x:f>
      </x:c>
      <x:c r="BH126" s="117" t="n">
        <x:f>IF(AND(BH$3&gt;=EDATE($B$110,-3),BH$3&lt;$B$110),$B$126/3,0)</x:f>
      </x:c>
      <x:c r="BI126" s="117" t="n">
        <x:f>IF(AND(BI$3&gt;=EDATE($B$110,-3),BI$3&lt;$B$110),$B$126/3,0)</x:f>
      </x:c>
      <x:c r="BJ126" s="117" t="n">
        <x:f>IF(AND(BJ$3&gt;=EDATE($B$110,-3),BJ$3&lt;$B$110),$B$126/3,0)</x:f>
      </x:c>
      <x:c r="BK126" s="117" t="n">
        <x:f>IF(AND(BK$3&gt;=EDATE($B$110,-3),BK$3&lt;$B$110),$B$126/3,0)</x:f>
      </x:c>
      <x:c r="BL126" s="117" t="n">
        <x:f>IF(AND(BL$3&gt;=EDATE($B$110,-3),BL$3&lt;$B$110),$B$126/3,0)</x:f>
      </x:c>
      <x:c r="BM126" s="117" t="n">
        <x:f>IF(AND(BM$3&gt;=EDATE($B$110,-3),BM$3&lt;$B$110),$B$126/3,0)</x:f>
      </x:c>
      <x:c r="BN126" s="117" t="n">
        <x:f>IF(AND(BN$3&gt;=EDATE($B$110,-3),BN$3&lt;$B$110),$B$126/3,0)</x:f>
      </x:c>
      <x:c r="BO126" s="117" t="n">
        <x:f>IF(AND(BO$3&gt;=EDATE($B$110,-3),BO$3&lt;$B$110),$B$126/3,0)</x:f>
      </x:c>
      <x:c r="BP126" s="117" t="n">
        <x:f>IF(AND(BP$3&gt;=EDATE($B$110,-3),BP$3&lt;$B$110),$B$126/3,0)</x:f>
      </x:c>
      <x:c r="BQ126" s="117" t="n">
        <x:f>IF(AND(BQ$3&gt;=EDATE($B$110,-3),BQ$3&lt;$B$110),$B$126/3,0)</x:f>
      </x:c>
      <x:c r="BR126" s="117" t="n">
        <x:f>IF(AND(BR$3&gt;=EDATE($B$110,-3),BR$3&lt;$B$110),$B$126/3,0)</x:f>
      </x:c>
      <x:c r="BS126" s="117" t="n">
        <x:f>IF(AND(BS$3&gt;=EDATE($B$110,-3),BS$3&lt;$B$110),$B$126/3,0)</x:f>
      </x:c>
      <x:c r="BT126" s="117" t="n">
        <x:f>IF(AND(BT$3&gt;=EDATE($B$110,-3),BT$3&lt;$B$110),$B$126/3,0)</x:f>
      </x:c>
      <x:c r="BU126" s="117" t="n">
        <x:f>IF(AND(BU$3&gt;=EDATE($B$110,-3),BU$3&lt;$B$110),$B$126/3,0)</x:f>
      </x:c>
      <x:c r="BV126" s="117" t="n">
        <x:f>IF(AND(BV$3&gt;=EDATE($B$110,-3),BV$3&lt;$B$110),$B$126/3,0)</x:f>
      </x:c>
      <x:c r="BW126" s="117" t="n">
        <x:f>IF(AND(BW$3&gt;=EDATE($B$110,-3),BW$3&lt;$B$110),$B$126/3,0)</x:f>
      </x:c>
      <x:c r="BX126" s="117" t="n">
        <x:f>IF(AND(BX$3&gt;=EDATE($B$110,-3),BX$3&lt;$B$110),$B$126/3,0)</x:f>
      </x:c>
      <x:c r="BY126" s="117" t="n">
        <x:f>IF(AND(BY$3&gt;=EDATE($B$110,-3),BY$3&lt;$B$110),$B$126/3,0)</x:f>
      </x:c>
      <x:c r="BZ126" s="117" t="n">
        <x:f>IF(AND(BZ$3&gt;=EDATE($B$110,-3),BZ$3&lt;$B$110),$B$126/3,0)</x:f>
      </x:c>
      <x:c r="CA126" s="117" t="n">
        <x:f>IF(AND(CA$3&gt;=EDATE($B$110,-3),CA$3&lt;$B$110),$B$126/3,0)</x:f>
      </x:c>
      <x:c r="CB126" s="117" t="n">
        <x:f>IF(AND(CB$3&gt;=EDATE($B$110,-3),CB$3&lt;$B$110),$B$126/3,0)</x:f>
      </x:c>
      <x:c r="CC126" s="117" t="n">
        <x:f>IF(AND(CC$3&gt;=EDATE($B$110,-3),CC$3&lt;$B$110),$B$126/3,0)</x:f>
      </x:c>
      <x:c r="CD126" s="117" t="n">
        <x:f>IF(AND(CD$3&gt;=EDATE($B$110,-3),CD$3&lt;$B$110),$B$126/3,0)</x:f>
      </x:c>
      <x:c r="CE126" s="117" t="n">
        <x:f>IF(AND(CE$3&gt;=EDATE($B$110,-3),CE$3&lt;$B$110),$B$126/3,0)</x:f>
      </x:c>
      <x:c r="CF126" s="117" t="n">
        <x:f>IF(AND(CF$3&gt;=EDATE($B$110,-3),CF$3&lt;$B$110),$B$126/3,0)</x:f>
      </x:c>
      <x:c r="CG126" s="117" t="n">
        <x:f>IF(AND(CG$3&gt;=EDATE($B$110,-3),CG$3&lt;$B$110),$B$126/3,0)</x:f>
      </x:c>
      <x:c r="CH126" s="117" t="n">
        <x:f>IF(AND(CH$3&gt;=EDATE($B$110,-3),CH$3&lt;$B$110),$B$126/3,0)</x:f>
      </x:c>
      <x:c r="CI126" s="117" t="n">
        <x:f>IF(AND(CI$3&gt;=EDATE($B$110,-3),CI$3&lt;$B$110),$B$126/3,0)</x:f>
      </x:c>
      <x:c r="CJ126" s="117" t="n">
        <x:f>IF(AND(CJ$3&gt;=EDATE($B$110,-3),CJ$3&lt;$B$110),$B$126/3,0)</x:f>
      </x:c>
      <x:c r="CK126" s="117" t="n">
        <x:f>IF(AND(CK$3&gt;=EDATE($B$110,-3),CK$3&lt;$B$110),$B$126/3,0)</x:f>
      </x:c>
      <x:c r="CL126" s="117" t="n">
        <x:f>IF(AND(CL$3&gt;=EDATE($B$110,-3),CL$3&lt;$B$110),$B$126/3,0)</x:f>
      </x:c>
      <x:c r="CM126" s="117" t="n">
        <x:f>IF(AND(CM$3&gt;=EDATE($B$110,-3),CM$3&lt;$B$110),$B$126/3,0)</x:f>
      </x:c>
      <x:c r="CN126" s="117" t="n">
        <x:f>IF(AND(CN$3&gt;=EDATE($B$110,-3),CN$3&lt;$B$110),$B$126/3,0)</x:f>
      </x:c>
      <x:c r="CO126" s="117" t="n">
        <x:f>IF(AND(CO$3&gt;=EDATE($B$110,-3),CO$3&lt;$B$110),$B$126/3,0)</x:f>
      </x:c>
      <x:c r="CP126" s="117" t="n">
        <x:f>IF(AND(CP$3&gt;=EDATE($B$110,-3),CP$3&lt;$B$110),$B$126/3,0)</x:f>
      </x:c>
      <x:c r="CQ126" s="117" t="n">
        <x:f>IF(AND(CQ$3&gt;=EDATE($B$110,-3),CQ$3&lt;$B$110),$B$126/3,0)</x:f>
      </x:c>
      <x:c r="CR126" s="117" t="n">
        <x:f>IF(AND(CR$3&gt;=EDATE($B$110,-3),CR$3&lt;$B$110),$B$126/3,0)</x:f>
      </x:c>
      <x:c r="CS126" s="117" t="n">
        <x:f>IF(AND(CS$3&gt;=EDATE($B$110,-3),CS$3&lt;$B$110),$B$126/3,0)</x:f>
      </x:c>
      <x:c r="CT126" s="117" t="n">
        <x:f>IF(AND(CT$3&gt;=EDATE($B$110,-3),CT$3&lt;$B$110),$B$126/3,0)</x:f>
      </x:c>
      <x:c r="CU126" s="117" t="n">
        <x:f>IF(AND(CU$3&gt;=EDATE($B$110,-3),CU$3&lt;$B$110),$B$126/3,0)</x:f>
      </x:c>
      <x:c r="CV126" s="117" t="n">
        <x:f>IF(AND(CV$3&gt;=EDATE($B$110,-3),CV$3&lt;$B$110),$B$126/3,0)</x:f>
      </x:c>
      <x:c r="CW126" s="117" t="n">
        <x:f>IF(AND(CW$3&gt;=EDATE($B$110,-3),CW$3&lt;$B$110),$B$126/3,0)</x:f>
      </x:c>
      <x:c r="CX126" s="117" t="n">
        <x:f>IF(AND(CX$3&gt;=EDATE($B$110,-3),CX$3&lt;$B$110),$B$126/3,0)</x:f>
      </x:c>
      <x:c r="CY126" s="117" t="n">
        <x:f>IF(AND(CY$3&gt;=EDATE($B$110,-3),CY$3&lt;$B$110),$B$126/3,0)</x:f>
      </x:c>
      <x:c r="CZ126" s="117" t="n">
        <x:f>IF(AND(CZ$3&gt;=EDATE($B$110,-3),CZ$3&lt;$B$110),$B$126/3,0)</x:f>
      </x:c>
      <x:c r="DA126" s="117" t="n">
        <x:f>IF(AND(DA$3&gt;=EDATE($B$110,-3),DA$3&lt;$B$110),$B$126/3,0)</x:f>
      </x:c>
      <x:c r="DB126" s="117" t="n">
        <x:f>IF(AND(DB$3&gt;=EDATE($B$110,-3),DB$3&lt;$B$110),$B$126/3,0)</x:f>
      </x:c>
      <x:c r="DC126" s="117" t="n">
        <x:f>IF(AND(DC$3&gt;=EDATE($B$110,-3),DC$3&lt;$B$110),$B$126/3,0)</x:f>
      </x:c>
      <x:c r="DD126" s="117" t="n">
        <x:f>IF(AND(DD$3&gt;=EDATE($B$110,-3),DD$3&lt;$B$110),$B$126/3,0)</x:f>
      </x:c>
      <x:c r="DE126" s="117" t="n">
        <x:f>IF(AND(DE$3&gt;=EDATE($B$110,-3),DE$3&lt;$B$110),$B$126/3,0)</x:f>
      </x:c>
      <x:c r="DF126" s="117" t="n">
        <x:f>IF(AND(DF$3&gt;=EDATE($B$110,-3),DF$3&lt;$B$110),$B$126/3,0)</x:f>
      </x:c>
      <x:c r="DG126" s="117" t="n">
        <x:f>IF(AND(DG$3&gt;=EDATE($B$110,-3),DG$3&lt;$B$110),$B$126/3,0)</x:f>
      </x:c>
      <x:c r="DH126" s="117" t="n">
        <x:f>IF(AND(DH$3&gt;=EDATE($B$110,-3),DH$3&lt;$B$110),$B$126/3,0)</x:f>
      </x:c>
      <x:c r="DI126" s="117" t="n">
        <x:f>IF(AND(DI$3&gt;=EDATE($B$110,-3),DI$3&lt;$B$110),$B$126/3,0)</x:f>
      </x:c>
      <x:c r="DJ126" s="117" t="n">
        <x:f>IF(AND(DJ$3&gt;=EDATE($B$110,-3),DJ$3&lt;$B$110),$B$126/3,0)</x:f>
      </x:c>
      <x:c r="DK126" s="117" t="n">
        <x:f>IF(AND(DK$3&gt;=EDATE($B$110,-3),DK$3&lt;$B$110),$B$126/3,0)</x:f>
      </x:c>
      <x:c r="DL126" s="117" t="n">
        <x:f>IF(AND(DL$3&gt;=EDATE($B$110,-3),DL$3&lt;$B$110),$B$126/3,0)</x:f>
      </x:c>
      <x:c r="DM126" s="117" t="n">
        <x:f>IF(AND(DM$3&gt;=EDATE($B$110,-3),DM$3&lt;$B$110),$B$126/3,0)</x:f>
      </x:c>
      <x:c r="DN126" s="117" t="n">
        <x:f>IF(AND(DN$3&gt;=EDATE($B$110,-3),DN$3&lt;$B$110),$B$126/3,0)</x:f>
      </x:c>
      <x:c r="DO126" s="117" t="n">
        <x:f>IF(AND(DO$3&gt;=EDATE($B$110,-3),DO$3&lt;$B$110),$B$126/3,0)</x:f>
      </x:c>
      <x:c r="DP126" s="117" t="n">
        <x:f>IF(AND(DP$3&gt;=EDATE($B$110,-3),DP$3&lt;$B$110),$B$126/3,0)</x:f>
      </x:c>
      <x:c r="DQ126" s="117" t="n">
        <x:f>IF(AND(DQ$3&gt;=EDATE($B$110,-3),DQ$3&lt;$B$110),$B$126/3,0)</x:f>
      </x:c>
      <x:c r="DR126" s="117" t="n">
        <x:f>IF(AND(DR$3&gt;=EDATE($B$110,-3),DR$3&lt;$B$110),$B$126/3,0)</x:f>
      </x:c>
      <x:c r="DS126" s="117" t="n">
        <x:f>IF(AND(DS$3&gt;=EDATE($B$110,-3),DS$3&lt;$B$110),$B$126/3,0)</x:f>
      </x:c>
    </x:row>
    <x:row r="127">
      <x:c r="A127" t="str">
        <x:v>Сдача и ввод</x:v>
      </x:c>
      <x:c r="B127" s="107" t="n">
        <x:f>(('Вводные'!$I$91+'Вводные'!$J$91+'Вводные'!$K$91)*'Вводные'!$B$48/1000*'Вводные'!$H$6*'Вводные'!$T$91*--('Вводные'!$B$91="Да"))*'Вводные'!$AH$91</x:f>
      </x:c>
      <x:c r="C127" t="str">
        <x:v>млн ₽</x:v>
      </x:c>
      <x:c r="D127" s="117" t="n">
        <x:f>IF(AND(D$3&gt;=EDATE($B$110,-3),D$3&lt;$B$110),$B$127/3,0)</x:f>
      </x:c>
      <x:c r="E127" s="117" t="n">
        <x:f>IF(AND(E$3&gt;=EDATE($B$110,-3),E$3&lt;$B$110),$B$127/3,0)</x:f>
      </x:c>
      <x:c r="F127" s="117" t="n">
        <x:f>IF(AND(F$3&gt;=EDATE($B$110,-3),F$3&lt;$B$110),$B$127/3,0)</x:f>
      </x:c>
      <x:c r="G127" s="117" t="n">
        <x:f>IF(AND(G$3&gt;=EDATE($B$110,-3),G$3&lt;$B$110),$B$127/3,0)</x:f>
      </x:c>
      <x:c r="H127" s="117" t="n">
        <x:f>IF(AND(H$3&gt;=EDATE($B$110,-3),H$3&lt;$B$110),$B$127/3,0)</x:f>
      </x:c>
      <x:c r="I127" s="117" t="n">
        <x:f>IF(AND(I$3&gt;=EDATE($B$110,-3),I$3&lt;$B$110),$B$127/3,0)</x:f>
      </x:c>
      <x:c r="J127" s="117" t="n">
        <x:f>IF(AND(J$3&gt;=EDATE($B$110,-3),J$3&lt;$B$110),$B$127/3,0)</x:f>
      </x:c>
      <x:c r="K127" s="117" t="n">
        <x:f>IF(AND(K$3&gt;=EDATE($B$110,-3),K$3&lt;$B$110),$B$127/3,0)</x:f>
      </x:c>
      <x:c r="L127" s="117" t="n">
        <x:f>IF(AND(L$3&gt;=EDATE($B$110,-3),L$3&lt;$B$110),$B$127/3,0)</x:f>
      </x:c>
      <x:c r="M127" s="117" t="n">
        <x:f>IF(AND(M$3&gt;=EDATE($B$110,-3),M$3&lt;$B$110),$B$127/3,0)</x:f>
      </x:c>
      <x:c r="N127" s="117" t="n">
        <x:f>IF(AND(N$3&gt;=EDATE($B$110,-3),N$3&lt;$B$110),$B$127/3,0)</x:f>
      </x:c>
      <x:c r="O127" s="117" t="n">
        <x:f>IF(AND(O$3&gt;=EDATE($B$110,-3),O$3&lt;$B$110),$B$127/3,0)</x:f>
      </x:c>
      <x:c r="P127" s="117" t="n">
        <x:f>IF(AND(P$3&gt;=EDATE($B$110,-3),P$3&lt;$B$110),$B$127/3,0)</x:f>
      </x:c>
      <x:c r="Q127" s="117" t="n">
        <x:f>IF(AND(Q$3&gt;=EDATE($B$110,-3),Q$3&lt;$B$110),$B$127/3,0)</x:f>
      </x:c>
      <x:c r="R127" s="117" t="n">
        <x:f>IF(AND(R$3&gt;=EDATE($B$110,-3),R$3&lt;$B$110),$B$127/3,0)</x:f>
      </x:c>
      <x:c r="S127" s="117" t="n">
        <x:f>IF(AND(S$3&gt;=EDATE($B$110,-3),S$3&lt;$B$110),$B$127/3,0)</x:f>
      </x:c>
      <x:c r="T127" s="117" t="n">
        <x:f>IF(AND(T$3&gt;=EDATE($B$110,-3),T$3&lt;$B$110),$B$127/3,0)</x:f>
      </x:c>
      <x:c r="U127" s="117" t="n">
        <x:f>IF(AND(U$3&gt;=EDATE($B$110,-3),U$3&lt;$B$110),$B$127/3,0)</x:f>
      </x:c>
      <x:c r="V127" s="117" t="n">
        <x:f>IF(AND(V$3&gt;=EDATE($B$110,-3),V$3&lt;$B$110),$B$127/3,0)</x:f>
      </x:c>
      <x:c r="W127" s="117" t="n">
        <x:f>IF(AND(W$3&gt;=EDATE($B$110,-3),W$3&lt;$B$110),$B$127/3,0)</x:f>
      </x:c>
      <x:c r="X127" s="117" t="n">
        <x:f>IF(AND(X$3&gt;=EDATE($B$110,-3),X$3&lt;$B$110),$B$127/3,0)</x:f>
      </x:c>
      <x:c r="Y127" s="117" t="n">
        <x:f>IF(AND(Y$3&gt;=EDATE($B$110,-3),Y$3&lt;$B$110),$B$127/3,0)</x:f>
      </x:c>
      <x:c r="Z127" s="117" t="n">
        <x:f>IF(AND(Z$3&gt;=EDATE($B$110,-3),Z$3&lt;$B$110),$B$127/3,0)</x:f>
      </x:c>
      <x:c r="AA127" s="117" t="n">
        <x:f>IF(AND(AA$3&gt;=EDATE($B$110,-3),AA$3&lt;$B$110),$B$127/3,0)</x:f>
      </x:c>
      <x:c r="AB127" s="117" t="n">
        <x:f>IF(AND(AB$3&gt;=EDATE($B$110,-3),AB$3&lt;$B$110),$B$127/3,0)</x:f>
      </x:c>
      <x:c r="AC127" s="117" t="n">
        <x:f>IF(AND(AC$3&gt;=EDATE($B$110,-3),AC$3&lt;$B$110),$B$127/3,0)</x:f>
      </x:c>
      <x:c r="AD127" s="117" t="n">
        <x:f>IF(AND(AD$3&gt;=EDATE($B$110,-3),AD$3&lt;$B$110),$B$127/3,0)</x:f>
      </x:c>
      <x:c r="AE127" s="117" t="n">
        <x:f>IF(AND(AE$3&gt;=EDATE($B$110,-3),AE$3&lt;$B$110),$B$127/3,0)</x:f>
      </x:c>
      <x:c r="AF127" s="117" t="n">
        <x:f>IF(AND(AF$3&gt;=EDATE($B$110,-3),AF$3&lt;$B$110),$B$127/3,0)</x:f>
      </x:c>
      <x:c r="AG127" s="117" t="n">
        <x:f>IF(AND(AG$3&gt;=EDATE($B$110,-3),AG$3&lt;$B$110),$B$127/3,0)</x:f>
      </x:c>
      <x:c r="AH127" s="117" t="n">
        <x:f>IF(AND(AH$3&gt;=EDATE($B$110,-3),AH$3&lt;$B$110),$B$127/3,0)</x:f>
      </x:c>
      <x:c r="AI127" s="117" t="n">
        <x:f>IF(AND(AI$3&gt;=EDATE($B$110,-3),AI$3&lt;$B$110),$B$127/3,0)</x:f>
      </x:c>
      <x:c r="AJ127" s="117" t="n">
        <x:f>IF(AND(AJ$3&gt;=EDATE($B$110,-3),AJ$3&lt;$B$110),$B$127/3,0)</x:f>
      </x:c>
      <x:c r="AK127" s="117" t="n">
        <x:f>IF(AND(AK$3&gt;=EDATE($B$110,-3),AK$3&lt;$B$110),$B$127/3,0)</x:f>
      </x:c>
      <x:c r="AL127" s="117" t="n">
        <x:f>IF(AND(AL$3&gt;=EDATE($B$110,-3),AL$3&lt;$B$110),$B$127/3,0)</x:f>
      </x:c>
      <x:c r="AM127" s="117" t="n">
        <x:f>IF(AND(AM$3&gt;=EDATE($B$110,-3),AM$3&lt;$B$110),$B$127/3,0)</x:f>
      </x:c>
      <x:c r="AN127" s="117" t="n">
        <x:f>IF(AND(AN$3&gt;=EDATE($B$110,-3),AN$3&lt;$B$110),$B$127/3,0)</x:f>
      </x:c>
      <x:c r="AO127" s="117" t="n">
        <x:f>IF(AND(AO$3&gt;=EDATE($B$110,-3),AO$3&lt;$B$110),$B$127/3,0)</x:f>
      </x:c>
      <x:c r="AP127" s="117" t="n">
        <x:f>IF(AND(AP$3&gt;=EDATE($B$110,-3),AP$3&lt;$B$110),$B$127/3,0)</x:f>
      </x:c>
      <x:c r="AQ127" s="117" t="n">
        <x:f>IF(AND(AQ$3&gt;=EDATE($B$110,-3),AQ$3&lt;$B$110),$B$127/3,0)</x:f>
      </x:c>
      <x:c r="AR127" s="117" t="n">
        <x:f>IF(AND(AR$3&gt;=EDATE($B$110,-3),AR$3&lt;$B$110),$B$127/3,0)</x:f>
      </x:c>
      <x:c r="AS127" s="117" t="n">
        <x:f>IF(AND(AS$3&gt;=EDATE($B$110,-3),AS$3&lt;$B$110),$B$127/3,0)</x:f>
      </x:c>
      <x:c r="AT127" s="117" t="n">
        <x:f>IF(AND(AT$3&gt;=EDATE($B$110,-3),AT$3&lt;$B$110),$B$127/3,0)</x:f>
      </x:c>
      <x:c r="AU127" s="117" t="n">
        <x:f>IF(AND(AU$3&gt;=EDATE($B$110,-3),AU$3&lt;$B$110),$B$127/3,0)</x:f>
      </x:c>
      <x:c r="AV127" s="117" t="n">
        <x:f>IF(AND(AV$3&gt;=EDATE($B$110,-3),AV$3&lt;$B$110),$B$127/3,0)</x:f>
      </x:c>
      <x:c r="AW127" s="117" t="n">
        <x:f>IF(AND(AW$3&gt;=EDATE($B$110,-3),AW$3&lt;$B$110),$B$127/3,0)</x:f>
      </x:c>
      <x:c r="AX127" s="117" t="n">
        <x:f>IF(AND(AX$3&gt;=EDATE($B$110,-3),AX$3&lt;$B$110),$B$127/3,0)</x:f>
      </x:c>
      <x:c r="AY127" s="117" t="n">
        <x:f>IF(AND(AY$3&gt;=EDATE($B$110,-3),AY$3&lt;$B$110),$B$127/3,0)</x:f>
      </x:c>
      <x:c r="AZ127" s="117" t="n">
        <x:f>IF(AND(AZ$3&gt;=EDATE($B$110,-3),AZ$3&lt;$B$110),$B$127/3,0)</x:f>
      </x:c>
      <x:c r="BA127" s="117" t="n">
        <x:f>IF(AND(BA$3&gt;=EDATE($B$110,-3),BA$3&lt;$B$110),$B$127/3,0)</x:f>
      </x:c>
      <x:c r="BB127" s="117" t="n">
        <x:f>IF(AND(BB$3&gt;=EDATE($B$110,-3),BB$3&lt;$B$110),$B$127/3,0)</x:f>
      </x:c>
      <x:c r="BC127" s="117" t="n">
        <x:f>IF(AND(BC$3&gt;=EDATE($B$110,-3),BC$3&lt;$B$110),$B$127/3,0)</x:f>
      </x:c>
      <x:c r="BD127" s="117" t="n">
        <x:f>IF(AND(BD$3&gt;=EDATE($B$110,-3),BD$3&lt;$B$110),$B$127/3,0)</x:f>
      </x:c>
      <x:c r="BE127" s="117" t="n">
        <x:f>IF(AND(BE$3&gt;=EDATE($B$110,-3),BE$3&lt;$B$110),$B$127/3,0)</x:f>
      </x:c>
      <x:c r="BF127" s="117" t="n">
        <x:f>IF(AND(BF$3&gt;=EDATE($B$110,-3),BF$3&lt;$B$110),$B$127/3,0)</x:f>
      </x:c>
      <x:c r="BG127" s="117" t="n">
        <x:f>IF(AND(BG$3&gt;=EDATE($B$110,-3),BG$3&lt;$B$110),$B$127/3,0)</x:f>
      </x:c>
      <x:c r="BH127" s="117" t="n">
        <x:f>IF(AND(BH$3&gt;=EDATE($B$110,-3),BH$3&lt;$B$110),$B$127/3,0)</x:f>
      </x:c>
      <x:c r="BI127" s="117" t="n">
        <x:f>IF(AND(BI$3&gt;=EDATE($B$110,-3),BI$3&lt;$B$110),$B$127/3,0)</x:f>
      </x:c>
      <x:c r="BJ127" s="117" t="n">
        <x:f>IF(AND(BJ$3&gt;=EDATE($B$110,-3),BJ$3&lt;$B$110),$B$127/3,0)</x:f>
      </x:c>
      <x:c r="BK127" s="117" t="n">
        <x:f>IF(AND(BK$3&gt;=EDATE($B$110,-3),BK$3&lt;$B$110),$B$127/3,0)</x:f>
      </x:c>
      <x:c r="BL127" s="117" t="n">
        <x:f>IF(AND(BL$3&gt;=EDATE($B$110,-3),BL$3&lt;$B$110),$B$127/3,0)</x:f>
      </x:c>
      <x:c r="BM127" s="117" t="n">
        <x:f>IF(AND(BM$3&gt;=EDATE($B$110,-3),BM$3&lt;$B$110),$B$127/3,0)</x:f>
      </x:c>
      <x:c r="BN127" s="117" t="n">
        <x:f>IF(AND(BN$3&gt;=EDATE($B$110,-3),BN$3&lt;$B$110),$B$127/3,0)</x:f>
      </x:c>
      <x:c r="BO127" s="117" t="n">
        <x:f>IF(AND(BO$3&gt;=EDATE($B$110,-3),BO$3&lt;$B$110),$B$127/3,0)</x:f>
      </x:c>
      <x:c r="BP127" s="117" t="n">
        <x:f>IF(AND(BP$3&gt;=EDATE($B$110,-3),BP$3&lt;$B$110),$B$127/3,0)</x:f>
      </x:c>
      <x:c r="BQ127" s="117" t="n">
        <x:f>IF(AND(BQ$3&gt;=EDATE($B$110,-3),BQ$3&lt;$B$110),$B$127/3,0)</x:f>
      </x:c>
      <x:c r="BR127" s="117" t="n">
        <x:f>IF(AND(BR$3&gt;=EDATE($B$110,-3),BR$3&lt;$B$110),$B$127/3,0)</x:f>
      </x:c>
      <x:c r="BS127" s="117" t="n">
        <x:f>IF(AND(BS$3&gt;=EDATE($B$110,-3),BS$3&lt;$B$110),$B$127/3,0)</x:f>
      </x:c>
      <x:c r="BT127" s="117" t="n">
        <x:f>IF(AND(BT$3&gt;=EDATE($B$110,-3),BT$3&lt;$B$110),$B$127/3,0)</x:f>
      </x:c>
      <x:c r="BU127" s="117" t="n">
        <x:f>IF(AND(BU$3&gt;=EDATE($B$110,-3),BU$3&lt;$B$110),$B$127/3,0)</x:f>
      </x:c>
      <x:c r="BV127" s="117" t="n">
        <x:f>IF(AND(BV$3&gt;=EDATE($B$110,-3),BV$3&lt;$B$110),$B$127/3,0)</x:f>
      </x:c>
      <x:c r="BW127" s="117" t="n">
        <x:f>IF(AND(BW$3&gt;=EDATE($B$110,-3),BW$3&lt;$B$110),$B$127/3,0)</x:f>
      </x:c>
      <x:c r="BX127" s="117" t="n">
        <x:f>IF(AND(BX$3&gt;=EDATE($B$110,-3),BX$3&lt;$B$110),$B$127/3,0)</x:f>
      </x:c>
      <x:c r="BY127" s="117" t="n">
        <x:f>IF(AND(BY$3&gt;=EDATE($B$110,-3),BY$3&lt;$B$110),$B$127/3,0)</x:f>
      </x:c>
      <x:c r="BZ127" s="117" t="n">
        <x:f>IF(AND(BZ$3&gt;=EDATE($B$110,-3),BZ$3&lt;$B$110),$B$127/3,0)</x:f>
      </x:c>
      <x:c r="CA127" s="117" t="n">
        <x:f>IF(AND(CA$3&gt;=EDATE($B$110,-3),CA$3&lt;$B$110),$B$127/3,0)</x:f>
      </x:c>
      <x:c r="CB127" s="117" t="n">
        <x:f>IF(AND(CB$3&gt;=EDATE($B$110,-3),CB$3&lt;$B$110),$B$127/3,0)</x:f>
      </x:c>
      <x:c r="CC127" s="117" t="n">
        <x:f>IF(AND(CC$3&gt;=EDATE($B$110,-3),CC$3&lt;$B$110),$B$127/3,0)</x:f>
      </x:c>
      <x:c r="CD127" s="117" t="n">
        <x:f>IF(AND(CD$3&gt;=EDATE($B$110,-3),CD$3&lt;$B$110),$B$127/3,0)</x:f>
      </x:c>
      <x:c r="CE127" s="117" t="n">
        <x:f>IF(AND(CE$3&gt;=EDATE($B$110,-3),CE$3&lt;$B$110),$B$127/3,0)</x:f>
      </x:c>
      <x:c r="CF127" s="117" t="n">
        <x:f>IF(AND(CF$3&gt;=EDATE($B$110,-3),CF$3&lt;$B$110),$B$127/3,0)</x:f>
      </x:c>
      <x:c r="CG127" s="117" t="n">
        <x:f>IF(AND(CG$3&gt;=EDATE($B$110,-3),CG$3&lt;$B$110),$B$127/3,0)</x:f>
      </x:c>
      <x:c r="CH127" s="117" t="n">
        <x:f>IF(AND(CH$3&gt;=EDATE($B$110,-3),CH$3&lt;$B$110),$B$127/3,0)</x:f>
      </x:c>
      <x:c r="CI127" s="117" t="n">
        <x:f>IF(AND(CI$3&gt;=EDATE($B$110,-3),CI$3&lt;$B$110),$B$127/3,0)</x:f>
      </x:c>
      <x:c r="CJ127" s="117" t="n">
        <x:f>IF(AND(CJ$3&gt;=EDATE($B$110,-3),CJ$3&lt;$B$110),$B$127/3,0)</x:f>
      </x:c>
      <x:c r="CK127" s="117" t="n">
        <x:f>IF(AND(CK$3&gt;=EDATE($B$110,-3),CK$3&lt;$B$110),$B$127/3,0)</x:f>
      </x:c>
      <x:c r="CL127" s="117" t="n">
        <x:f>IF(AND(CL$3&gt;=EDATE($B$110,-3),CL$3&lt;$B$110),$B$127/3,0)</x:f>
      </x:c>
      <x:c r="CM127" s="117" t="n">
        <x:f>IF(AND(CM$3&gt;=EDATE($B$110,-3),CM$3&lt;$B$110),$B$127/3,0)</x:f>
      </x:c>
      <x:c r="CN127" s="117" t="n">
        <x:f>IF(AND(CN$3&gt;=EDATE($B$110,-3),CN$3&lt;$B$110),$B$127/3,0)</x:f>
      </x:c>
      <x:c r="CO127" s="117" t="n">
        <x:f>IF(AND(CO$3&gt;=EDATE($B$110,-3),CO$3&lt;$B$110),$B$127/3,0)</x:f>
      </x:c>
      <x:c r="CP127" s="117" t="n">
        <x:f>IF(AND(CP$3&gt;=EDATE($B$110,-3),CP$3&lt;$B$110),$B$127/3,0)</x:f>
      </x:c>
      <x:c r="CQ127" s="117" t="n">
        <x:f>IF(AND(CQ$3&gt;=EDATE($B$110,-3),CQ$3&lt;$B$110),$B$127/3,0)</x:f>
      </x:c>
      <x:c r="CR127" s="117" t="n">
        <x:f>IF(AND(CR$3&gt;=EDATE($B$110,-3),CR$3&lt;$B$110),$B$127/3,0)</x:f>
      </x:c>
      <x:c r="CS127" s="117" t="n">
        <x:f>IF(AND(CS$3&gt;=EDATE($B$110,-3),CS$3&lt;$B$110),$B$127/3,0)</x:f>
      </x:c>
      <x:c r="CT127" s="117" t="n">
        <x:f>IF(AND(CT$3&gt;=EDATE($B$110,-3),CT$3&lt;$B$110),$B$127/3,0)</x:f>
      </x:c>
      <x:c r="CU127" s="117" t="n">
        <x:f>IF(AND(CU$3&gt;=EDATE($B$110,-3),CU$3&lt;$B$110),$B$127/3,0)</x:f>
      </x:c>
      <x:c r="CV127" s="117" t="n">
        <x:f>IF(AND(CV$3&gt;=EDATE($B$110,-3),CV$3&lt;$B$110),$B$127/3,0)</x:f>
      </x:c>
      <x:c r="CW127" s="117" t="n">
        <x:f>IF(AND(CW$3&gt;=EDATE($B$110,-3),CW$3&lt;$B$110),$B$127/3,0)</x:f>
      </x:c>
      <x:c r="CX127" s="117" t="n">
        <x:f>IF(AND(CX$3&gt;=EDATE($B$110,-3),CX$3&lt;$B$110),$B$127/3,0)</x:f>
      </x:c>
      <x:c r="CY127" s="117" t="n">
        <x:f>IF(AND(CY$3&gt;=EDATE($B$110,-3),CY$3&lt;$B$110),$B$127/3,0)</x:f>
      </x:c>
      <x:c r="CZ127" s="117" t="n">
        <x:f>IF(AND(CZ$3&gt;=EDATE($B$110,-3),CZ$3&lt;$B$110),$B$127/3,0)</x:f>
      </x:c>
      <x:c r="DA127" s="117" t="n">
        <x:f>IF(AND(DA$3&gt;=EDATE($B$110,-3),DA$3&lt;$B$110),$B$127/3,0)</x:f>
      </x:c>
      <x:c r="DB127" s="117" t="n">
        <x:f>IF(AND(DB$3&gt;=EDATE($B$110,-3),DB$3&lt;$B$110),$B$127/3,0)</x:f>
      </x:c>
      <x:c r="DC127" s="117" t="n">
        <x:f>IF(AND(DC$3&gt;=EDATE($B$110,-3),DC$3&lt;$B$110),$B$127/3,0)</x:f>
      </x:c>
      <x:c r="DD127" s="117" t="n">
        <x:f>IF(AND(DD$3&gt;=EDATE($B$110,-3),DD$3&lt;$B$110),$B$127/3,0)</x:f>
      </x:c>
      <x:c r="DE127" s="117" t="n">
        <x:f>IF(AND(DE$3&gt;=EDATE($B$110,-3),DE$3&lt;$B$110),$B$127/3,0)</x:f>
      </x:c>
      <x:c r="DF127" s="117" t="n">
        <x:f>IF(AND(DF$3&gt;=EDATE($B$110,-3),DF$3&lt;$B$110),$B$127/3,0)</x:f>
      </x:c>
      <x:c r="DG127" s="117" t="n">
        <x:f>IF(AND(DG$3&gt;=EDATE($B$110,-3),DG$3&lt;$B$110),$B$127/3,0)</x:f>
      </x:c>
      <x:c r="DH127" s="117" t="n">
        <x:f>IF(AND(DH$3&gt;=EDATE($B$110,-3),DH$3&lt;$B$110),$B$127/3,0)</x:f>
      </x:c>
      <x:c r="DI127" s="117" t="n">
        <x:f>IF(AND(DI$3&gt;=EDATE($B$110,-3),DI$3&lt;$B$110),$B$127/3,0)</x:f>
      </x:c>
      <x:c r="DJ127" s="117" t="n">
        <x:f>IF(AND(DJ$3&gt;=EDATE($B$110,-3),DJ$3&lt;$B$110),$B$127/3,0)</x:f>
      </x:c>
      <x:c r="DK127" s="117" t="n">
        <x:f>IF(AND(DK$3&gt;=EDATE($B$110,-3),DK$3&lt;$B$110),$B$127/3,0)</x:f>
      </x:c>
      <x:c r="DL127" s="117" t="n">
        <x:f>IF(AND(DL$3&gt;=EDATE($B$110,-3),DL$3&lt;$B$110),$B$127/3,0)</x:f>
      </x:c>
      <x:c r="DM127" s="117" t="n">
        <x:f>IF(AND(DM$3&gt;=EDATE($B$110,-3),DM$3&lt;$B$110),$B$127/3,0)</x:f>
      </x:c>
      <x:c r="DN127" s="117" t="n">
        <x:f>IF(AND(DN$3&gt;=EDATE($B$110,-3),DN$3&lt;$B$110),$B$127/3,0)</x:f>
      </x:c>
      <x:c r="DO127" s="117" t="n">
        <x:f>IF(AND(DO$3&gt;=EDATE($B$110,-3),DO$3&lt;$B$110),$B$127/3,0)</x:f>
      </x:c>
      <x:c r="DP127" s="117" t="n">
        <x:f>IF(AND(DP$3&gt;=EDATE($B$110,-3),DP$3&lt;$B$110),$B$127/3,0)</x:f>
      </x:c>
      <x:c r="DQ127" s="117" t="n">
        <x:f>IF(AND(DQ$3&gt;=EDATE($B$110,-3),DQ$3&lt;$B$110),$B$127/3,0)</x:f>
      </x:c>
      <x:c r="DR127" s="117" t="n">
        <x:f>IF(AND(DR$3&gt;=EDATE($B$110,-3),DR$3&lt;$B$110),$B$127/3,0)</x:f>
      </x:c>
      <x:c r="DS127" s="117" t="n">
        <x:f>IF(AND(DS$3&gt;=EDATE($B$110,-3),DS$3&lt;$B$110),$B$127/3,0)</x:f>
      </x:c>
    </x:row>
    <x:row r="128">
      <x:c r="A128" t="str">
        <x:v>Содержание стройплощадки</x:v>
      </x:c>
      <x:c r="B128" s="107" t="n">
        <x:f>(('Вводные'!$I$91+'Вводные'!$J$91+'Вводные'!$K$91)*'Вводные'!$B$49/1000*'Вводные'!$H$6*'Вводные'!$T$91*--('Вводные'!$B$91="Да"))*'Вводные'!$AH$91</x:f>
      </x:c>
      <x:c r="C128" t="str">
        <x:v>млн ₽</x:v>
      </x:c>
      <x:c r="D128" s="117" t="n">
        <x:f>$B$128*D115</x:f>
      </x:c>
      <x:c r="E128" s="117" t="n">
        <x:f>$B$128*E115</x:f>
      </x:c>
      <x:c r="F128" s="117" t="n">
        <x:f>$B$128*F115</x:f>
      </x:c>
      <x:c r="G128" s="117" t="n">
        <x:f>$B$128*G115</x:f>
      </x:c>
      <x:c r="H128" s="117" t="n">
        <x:f>$B$128*H115</x:f>
      </x:c>
      <x:c r="I128" s="117" t="n">
        <x:f>$B$128*I115</x:f>
      </x:c>
      <x:c r="J128" s="117" t="n">
        <x:f>$B$128*J115</x:f>
      </x:c>
      <x:c r="K128" s="117" t="n">
        <x:f>$B$128*K115</x:f>
      </x:c>
      <x:c r="L128" s="117" t="n">
        <x:f>$B$128*L115</x:f>
      </x:c>
      <x:c r="M128" s="117" t="n">
        <x:f>$B$128*M115</x:f>
      </x:c>
      <x:c r="N128" s="117" t="n">
        <x:f>$B$128*N115</x:f>
      </x:c>
      <x:c r="O128" s="117" t="n">
        <x:f>$B$128*O115</x:f>
      </x:c>
      <x:c r="P128" s="117" t="n">
        <x:f>$B$128*P115</x:f>
      </x:c>
      <x:c r="Q128" s="117" t="n">
        <x:f>$B$128*Q115</x:f>
      </x:c>
      <x:c r="R128" s="117" t="n">
        <x:f>$B$128*R115</x:f>
      </x:c>
      <x:c r="S128" s="117" t="n">
        <x:f>$B$128*S115</x:f>
      </x:c>
      <x:c r="T128" s="117" t="n">
        <x:f>$B$128*T115</x:f>
      </x:c>
      <x:c r="U128" s="117" t="n">
        <x:f>$B$128*U115</x:f>
      </x:c>
      <x:c r="V128" s="117" t="n">
        <x:f>$B$128*V115</x:f>
      </x:c>
      <x:c r="W128" s="117" t="n">
        <x:f>$B$128*W115</x:f>
      </x:c>
      <x:c r="X128" s="117" t="n">
        <x:f>$B$128*X115</x:f>
      </x:c>
      <x:c r="Y128" s="117" t="n">
        <x:f>$B$128*Y115</x:f>
      </x:c>
      <x:c r="Z128" s="117" t="n">
        <x:f>$B$128*Z115</x:f>
      </x:c>
      <x:c r="AA128" s="117" t="n">
        <x:f>$B$128*AA115</x:f>
      </x:c>
      <x:c r="AB128" s="117" t="n">
        <x:f>$B$128*AB115</x:f>
      </x:c>
      <x:c r="AC128" s="117" t="n">
        <x:f>$B$128*AC115</x:f>
      </x:c>
      <x:c r="AD128" s="117" t="n">
        <x:f>$B$128*AD115</x:f>
      </x:c>
      <x:c r="AE128" s="117" t="n">
        <x:f>$B$128*AE115</x:f>
      </x:c>
      <x:c r="AF128" s="117" t="n">
        <x:f>$B$128*AF115</x:f>
      </x:c>
      <x:c r="AG128" s="117" t="n">
        <x:f>$B$128*AG115</x:f>
      </x:c>
      <x:c r="AH128" s="117" t="n">
        <x:f>$B$128*AH115</x:f>
      </x:c>
      <x:c r="AI128" s="117" t="n">
        <x:f>$B$128*AI115</x:f>
      </x:c>
      <x:c r="AJ128" s="117" t="n">
        <x:f>$B$128*AJ115</x:f>
      </x:c>
      <x:c r="AK128" s="117" t="n">
        <x:f>$B$128*AK115</x:f>
      </x:c>
      <x:c r="AL128" s="117" t="n">
        <x:f>$B$128*AL115</x:f>
      </x:c>
      <x:c r="AM128" s="117" t="n">
        <x:f>$B$128*AM115</x:f>
      </x:c>
      <x:c r="AN128" s="117" t="n">
        <x:f>$B$128*AN115</x:f>
      </x:c>
      <x:c r="AO128" s="117" t="n">
        <x:f>$B$128*AO115</x:f>
      </x:c>
      <x:c r="AP128" s="117" t="n">
        <x:f>$B$128*AP115</x:f>
      </x:c>
      <x:c r="AQ128" s="117" t="n">
        <x:f>$B$128*AQ115</x:f>
      </x:c>
      <x:c r="AR128" s="117" t="n">
        <x:f>$B$128*AR115</x:f>
      </x:c>
      <x:c r="AS128" s="117" t="n">
        <x:f>$B$128*AS115</x:f>
      </x:c>
      <x:c r="AT128" s="117" t="n">
        <x:f>$B$128*AT115</x:f>
      </x:c>
      <x:c r="AU128" s="117" t="n">
        <x:f>$B$128*AU115</x:f>
      </x:c>
      <x:c r="AV128" s="117" t="n">
        <x:f>$B$128*AV115</x:f>
      </x:c>
      <x:c r="AW128" s="117" t="n">
        <x:f>$B$128*AW115</x:f>
      </x:c>
      <x:c r="AX128" s="117" t="n">
        <x:f>$B$128*AX115</x:f>
      </x:c>
      <x:c r="AY128" s="117" t="n">
        <x:f>$B$128*AY115</x:f>
      </x:c>
      <x:c r="AZ128" s="117" t="n">
        <x:f>$B$128*AZ115</x:f>
      </x:c>
      <x:c r="BA128" s="117" t="n">
        <x:f>$B$128*BA115</x:f>
      </x:c>
      <x:c r="BB128" s="117" t="n">
        <x:f>$B$128*BB115</x:f>
      </x:c>
      <x:c r="BC128" s="117" t="n">
        <x:f>$B$128*BC115</x:f>
      </x:c>
      <x:c r="BD128" s="117" t="n">
        <x:f>$B$128*BD115</x:f>
      </x:c>
      <x:c r="BE128" s="117" t="n">
        <x:f>$B$128*BE115</x:f>
      </x:c>
      <x:c r="BF128" s="117" t="n">
        <x:f>$B$128*BF115</x:f>
      </x:c>
      <x:c r="BG128" s="117" t="n">
        <x:f>$B$128*BG115</x:f>
      </x:c>
      <x:c r="BH128" s="117" t="n">
        <x:f>$B$128*BH115</x:f>
      </x:c>
      <x:c r="BI128" s="117" t="n">
        <x:f>$B$128*BI115</x:f>
      </x:c>
      <x:c r="BJ128" s="117" t="n">
        <x:f>$B$128*BJ115</x:f>
      </x:c>
      <x:c r="BK128" s="117" t="n">
        <x:f>$B$128*BK115</x:f>
      </x:c>
      <x:c r="BL128" s="117" t="n">
        <x:f>$B$128*BL115</x:f>
      </x:c>
      <x:c r="BM128" s="117" t="n">
        <x:f>$B$128*BM115</x:f>
      </x:c>
      <x:c r="BN128" s="117" t="n">
        <x:f>$B$128*BN115</x:f>
      </x:c>
      <x:c r="BO128" s="117" t="n">
        <x:f>$B$128*BO115</x:f>
      </x:c>
      <x:c r="BP128" s="117" t="n">
        <x:f>$B$128*BP115</x:f>
      </x:c>
      <x:c r="BQ128" s="117" t="n">
        <x:f>$B$128*BQ115</x:f>
      </x:c>
      <x:c r="BR128" s="117" t="n">
        <x:f>$B$128*BR115</x:f>
      </x:c>
      <x:c r="BS128" s="117" t="n">
        <x:f>$B$128*BS115</x:f>
      </x:c>
      <x:c r="BT128" s="117" t="n">
        <x:f>$B$128*BT115</x:f>
      </x:c>
      <x:c r="BU128" s="117" t="n">
        <x:f>$B$128*BU115</x:f>
      </x:c>
      <x:c r="BV128" s="117" t="n">
        <x:f>$B$128*BV115</x:f>
      </x:c>
      <x:c r="BW128" s="117" t="n">
        <x:f>$B$128*BW115</x:f>
      </x:c>
      <x:c r="BX128" s="117" t="n">
        <x:f>$B$128*BX115</x:f>
      </x:c>
      <x:c r="BY128" s="117" t="n">
        <x:f>$B$128*BY115</x:f>
      </x:c>
      <x:c r="BZ128" s="117" t="n">
        <x:f>$B$128*BZ115</x:f>
      </x:c>
      <x:c r="CA128" s="117" t="n">
        <x:f>$B$128*CA115</x:f>
      </x:c>
      <x:c r="CB128" s="117" t="n">
        <x:f>$B$128*CB115</x:f>
      </x:c>
      <x:c r="CC128" s="117" t="n">
        <x:f>$B$128*CC115</x:f>
      </x:c>
      <x:c r="CD128" s="117" t="n">
        <x:f>$B$128*CD115</x:f>
      </x:c>
      <x:c r="CE128" s="117" t="n">
        <x:f>$B$128*CE115</x:f>
      </x:c>
      <x:c r="CF128" s="117" t="n">
        <x:f>$B$128*CF115</x:f>
      </x:c>
      <x:c r="CG128" s="117" t="n">
        <x:f>$B$128*CG115</x:f>
      </x:c>
      <x:c r="CH128" s="117" t="n">
        <x:f>$B$128*CH115</x:f>
      </x:c>
      <x:c r="CI128" s="117" t="n">
        <x:f>$B$128*CI115</x:f>
      </x:c>
      <x:c r="CJ128" s="117" t="n">
        <x:f>$B$128*CJ115</x:f>
      </x:c>
      <x:c r="CK128" s="117" t="n">
        <x:f>$B$128*CK115</x:f>
      </x:c>
      <x:c r="CL128" s="117" t="n">
        <x:f>$B$128*CL115</x:f>
      </x:c>
      <x:c r="CM128" s="117" t="n">
        <x:f>$B$128*CM115</x:f>
      </x:c>
      <x:c r="CN128" s="117" t="n">
        <x:f>$B$128*CN115</x:f>
      </x:c>
      <x:c r="CO128" s="117" t="n">
        <x:f>$B$128*CO115</x:f>
      </x:c>
      <x:c r="CP128" s="117" t="n">
        <x:f>$B$128*CP115</x:f>
      </x:c>
      <x:c r="CQ128" s="117" t="n">
        <x:f>$B$128*CQ115</x:f>
      </x:c>
      <x:c r="CR128" s="117" t="n">
        <x:f>$B$128*CR115</x:f>
      </x:c>
      <x:c r="CS128" s="117" t="n">
        <x:f>$B$128*CS115</x:f>
      </x:c>
      <x:c r="CT128" s="117" t="n">
        <x:f>$B$128*CT115</x:f>
      </x:c>
      <x:c r="CU128" s="117" t="n">
        <x:f>$B$128*CU115</x:f>
      </x:c>
      <x:c r="CV128" s="117" t="n">
        <x:f>$B$128*CV115</x:f>
      </x:c>
      <x:c r="CW128" s="117" t="n">
        <x:f>$B$128*CW115</x:f>
      </x:c>
      <x:c r="CX128" s="117" t="n">
        <x:f>$B$128*CX115</x:f>
      </x:c>
      <x:c r="CY128" s="117" t="n">
        <x:f>$B$128*CY115</x:f>
      </x:c>
      <x:c r="CZ128" s="117" t="n">
        <x:f>$B$128*CZ115</x:f>
      </x:c>
      <x:c r="DA128" s="117" t="n">
        <x:f>$B$128*DA115</x:f>
      </x:c>
      <x:c r="DB128" s="117" t="n">
        <x:f>$B$128*DB115</x:f>
      </x:c>
      <x:c r="DC128" s="117" t="n">
        <x:f>$B$128*DC115</x:f>
      </x:c>
      <x:c r="DD128" s="117" t="n">
        <x:f>$B$128*DD115</x:f>
      </x:c>
      <x:c r="DE128" s="117" t="n">
        <x:f>$B$128*DE115</x:f>
      </x:c>
      <x:c r="DF128" s="117" t="n">
        <x:f>$B$128*DF115</x:f>
      </x:c>
      <x:c r="DG128" s="117" t="n">
        <x:f>$B$128*DG115</x:f>
      </x:c>
      <x:c r="DH128" s="117" t="n">
        <x:f>$B$128*DH115</x:f>
      </x:c>
      <x:c r="DI128" s="117" t="n">
        <x:f>$B$128*DI115</x:f>
      </x:c>
      <x:c r="DJ128" s="117" t="n">
        <x:f>$B$128*DJ115</x:f>
      </x:c>
      <x:c r="DK128" s="117" t="n">
        <x:f>$B$128*DK115</x:f>
      </x:c>
      <x:c r="DL128" s="117" t="n">
        <x:f>$B$128*DL115</x:f>
      </x:c>
      <x:c r="DM128" s="117" t="n">
        <x:f>$B$128*DM115</x:f>
      </x:c>
      <x:c r="DN128" s="117" t="n">
        <x:f>$B$128*DN115</x:f>
      </x:c>
      <x:c r="DO128" s="117" t="n">
        <x:f>$B$128*DO115</x:f>
      </x:c>
      <x:c r="DP128" s="117" t="n">
        <x:f>$B$128*DP115</x:f>
      </x:c>
      <x:c r="DQ128" s="117" t="n">
        <x:f>$B$128*DQ115</x:f>
      </x:c>
      <x:c r="DR128" s="117" t="n">
        <x:f>$B$128*DR115</x:f>
      </x:c>
      <x:c r="DS128" s="117" t="n">
        <x:f>$B$128*DS115</x:f>
      </x:c>
    </x:row>
    <x:row r="129">
      <x:c r="A129" t="str">
        <x:v>Техзаказчик / стройконтроль</x:v>
      </x:c>
      <x:c r="B129" s="107" t="n">
        <x:f>SUM(B118:B128)*'Вводные'!$B$53</x:f>
      </x:c>
      <x:c r="C129" t="str">
        <x:v>млн ₽</x:v>
      </x:c>
      <x:c r="D129" s="117" t="n">
        <x:f>$B$129*D115</x:f>
      </x:c>
      <x:c r="E129" s="117" t="n">
        <x:f>$B$129*E115</x:f>
      </x:c>
      <x:c r="F129" s="117" t="n">
        <x:f>$B$129*F115</x:f>
      </x:c>
      <x:c r="G129" s="117" t="n">
        <x:f>$B$129*G115</x:f>
      </x:c>
      <x:c r="H129" s="117" t="n">
        <x:f>$B$129*H115</x:f>
      </x:c>
      <x:c r="I129" s="117" t="n">
        <x:f>$B$129*I115</x:f>
      </x:c>
      <x:c r="J129" s="117" t="n">
        <x:f>$B$129*J115</x:f>
      </x:c>
      <x:c r="K129" s="117" t="n">
        <x:f>$B$129*K115</x:f>
      </x:c>
      <x:c r="L129" s="117" t="n">
        <x:f>$B$129*L115</x:f>
      </x:c>
      <x:c r="M129" s="117" t="n">
        <x:f>$B$129*M115</x:f>
      </x:c>
      <x:c r="N129" s="117" t="n">
        <x:f>$B$129*N115</x:f>
      </x:c>
      <x:c r="O129" s="117" t="n">
        <x:f>$B$129*O115</x:f>
      </x:c>
      <x:c r="P129" s="117" t="n">
        <x:f>$B$129*P115</x:f>
      </x:c>
      <x:c r="Q129" s="117" t="n">
        <x:f>$B$129*Q115</x:f>
      </x:c>
      <x:c r="R129" s="117" t="n">
        <x:f>$B$129*R115</x:f>
      </x:c>
      <x:c r="S129" s="117" t="n">
        <x:f>$B$129*S115</x:f>
      </x:c>
      <x:c r="T129" s="117" t="n">
        <x:f>$B$129*T115</x:f>
      </x:c>
      <x:c r="U129" s="117" t="n">
        <x:f>$B$129*U115</x:f>
      </x:c>
      <x:c r="V129" s="117" t="n">
        <x:f>$B$129*V115</x:f>
      </x:c>
      <x:c r="W129" s="117" t="n">
        <x:f>$B$129*W115</x:f>
      </x:c>
      <x:c r="X129" s="117" t="n">
        <x:f>$B$129*X115</x:f>
      </x:c>
      <x:c r="Y129" s="117" t="n">
        <x:f>$B$129*Y115</x:f>
      </x:c>
      <x:c r="Z129" s="117" t="n">
        <x:f>$B$129*Z115</x:f>
      </x:c>
      <x:c r="AA129" s="117" t="n">
        <x:f>$B$129*AA115</x:f>
      </x:c>
      <x:c r="AB129" s="117" t="n">
        <x:f>$B$129*AB115</x:f>
      </x:c>
      <x:c r="AC129" s="117" t="n">
        <x:f>$B$129*AC115</x:f>
      </x:c>
      <x:c r="AD129" s="117" t="n">
        <x:f>$B$129*AD115</x:f>
      </x:c>
      <x:c r="AE129" s="117" t="n">
        <x:f>$B$129*AE115</x:f>
      </x:c>
      <x:c r="AF129" s="117" t="n">
        <x:f>$B$129*AF115</x:f>
      </x:c>
      <x:c r="AG129" s="117" t="n">
        <x:f>$B$129*AG115</x:f>
      </x:c>
      <x:c r="AH129" s="117" t="n">
        <x:f>$B$129*AH115</x:f>
      </x:c>
      <x:c r="AI129" s="117" t="n">
        <x:f>$B$129*AI115</x:f>
      </x:c>
      <x:c r="AJ129" s="117" t="n">
        <x:f>$B$129*AJ115</x:f>
      </x:c>
      <x:c r="AK129" s="117" t="n">
        <x:f>$B$129*AK115</x:f>
      </x:c>
      <x:c r="AL129" s="117" t="n">
        <x:f>$B$129*AL115</x:f>
      </x:c>
      <x:c r="AM129" s="117" t="n">
        <x:f>$B$129*AM115</x:f>
      </x:c>
      <x:c r="AN129" s="117" t="n">
        <x:f>$B$129*AN115</x:f>
      </x:c>
      <x:c r="AO129" s="117" t="n">
        <x:f>$B$129*AO115</x:f>
      </x:c>
      <x:c r="AP129" s="117" t="n">
        <x:f>$B$129*AP115</x:f>
      </x:c>
      <x:c r="AQ129" s="117" t="n">
        <x:f>$B$129*AQ115</x:f>
      </x:c>
      <x:c r="AR129" s="117" t="n">
        <x:f>$B$129*AR115</x:f>
      </x:c>
      <x:c r="AS129" s="117" t="n">
        <x:f>$B$129*AS115</x:f>
      </x:c>
      <x:c r="AT129" s="117" t="n">
        <x:f>$B$129*AT115</x:f>
      </x:c>
      <x:c r="AU129" s="117" t="n">
        <x:f>$B$129*AU115</x:f>
      </x:c>
      <x:c r="AV129" s="117" t="n">
        <x:f>$B$129*AV115</x:f>
      </x:c>
      <x:c r="AW129" s="117" t="n">
        <x:f>$B$129*AW115</x:f>
      </x:c>
      <x:c r="AX129" s="117" t="n">
        <x:f>$B$129*AX115</x:f>
      </x:c>
      <x:c r="AY129" s="117" t="n">
        <x:f>$B$129*AY115</x:f>
      </x:c>
      <x:c r="AZ129" s="117" t="n">
        <x:f>$B$129*AZ115</x:f>
      </x:c>
      <x:c r="BA129" s="117" t="n">
        <x:f>$B$129*BA115</x:f>
      </x:c>
      <x:c r="BB129" s="117" t="n">
        <x:f>$B$129*BB115</x:f>
      </x:c>
      <x:c r="BC129" s="117" t="n">
        <x:f>$B$129*BC115</x:f>
      </x:c>
      <x:c r="BD129" s="117" t="n">
        <x:f>$B$129*BD115</x:f>
      </x:c>
      <x:c r="BE129" s="117" t="n">
        <x:f>$B$129*BE115</x:f>
      </x:c>
      <x:c r="BF129" s="117" t="n">
        <x:f>$B$129*BF115</x:f>
      </x:c>
      <x:c r="BG129" s="117" t="n">
        <x:f>$B$129*BG115</x:f>
      </x:c>
      <x:c r="BH129" s="117" t="n">
        <x:f>$B$129*BH115</x:f>
      </x:c>
      <x:c r="BI129" s="117" t="n">
        <x:f>$B$129*BI115</x:f>
      </x:c>
      <x:c r="BJ129" s="117" t="n">
        <x:f>$B$129*BJ115</x:f>
      </x:c>
      <x:c r="BK129" s="117" t="n">
        <x:f>$B$129*BK115</x:f>
      </x:c>
      <x:c r="BL129" s="117" t="n">
        <x:f>$B$129*BL115</x:f>
      </x:c>
      <x:c r="BM129" s="117" t="n">
        <x:f>$B$129*BM115</x:f>
      </x:c>
      <x:c r="BN129" s="117" t="n">
        <x:f>$B$129*BN115</x:f>
      </x:c>
      <x:c r="BO129" s="117" t="n">
        <x:f>$B$129*BO115</x:f>
      </x:c>
      <x:c r="BP129" s="117" t="n">
        <x:f>$B$129*BP115</x:f>
      </x:c>
      <x:c r="BQ129" s="117" t="n">
        <x:f>$B$129*BQ115</x:f>
      </x:c>
      <x:c r="BR129" s="117" t="n">
        <x:f>$B$129*BR115</x:f>
      </x:c>
      <x:c r="BS129" s="117" t="n">
        <x:f>$B$129*BS115</x:f>
      </x:c>
      <x:c r="BT129" s="117" t="n">
        <x:f>$B$129*BT115</x:f>
      </x:c>
      <x:c r="BU129" s="117" t="n">
        <x:f>$B$129*BU115</x:f>
      </x:c>
      <x:c r="BV129" s="117" t="n">
        <x:f>$B$129*BV115</x:f>
      </x:c>
      <x:c r="BW129" s="117" t="n">
        <x:f>$B$129*BW115</x:f>
      </x:c>
      <x:c r="BX129" s="117" t="n">
        <x:f>$B$129*BX115</x:f>
      </x:c>
      <x:c r="BY129" s="117" t="n">
        <x:f>$B$129*BY115</x:f>
      </x:c>
      <x:c r="BZ129" s="117" t="n">
        <x:f>$B$129*BZ115</x:f>
      </x:c>
      <x:c r="CA129" s="117" t="n">
        <x:f>$B$129*CA115</x:f>
      </x:c>
      <x:c r="CB129" s="117" t="n">
        <x:f>$B$129*CB115</x:f>
      </x:c>
      <x:c r="CC129" s="117" t="n">
        <x:f>$B$129*CC115</x:f>
      </x:c>
      <x:c r="CD129" s="117" t="n">
        <x:f>$B$129*CD115</x:f>
      </x:c>
      <x:c r="CE129" s="117" t="n">
        <x:f>$B$129*CE115</x:f>
      </x:c>
      <x:c r="CF129" s="117" t="n">
        <x:f>$B$129*CF115</x:f>
      </x:c>
      <x:c r="CG129" s="117" t="n">
        <x:f>$B$129*CG115</x:f>
      </x:c>
      <x:c r="CH129" s="117" t="n">
        <x:f>$B$129*CH115</x:f>
      </x:c>
      <x:c r="CI129" s="117" t="n">
        <x:f>$B$129*CI115</x:f>
      </x:c>
      <x:c r="CJ129" s="117" t="n">
        <x:f>$B$129*CJ115</x:f>
      </x:c>
      <x:c r="CK129" s="117" t="n">
        <x:f>$B$129*CK115</x:f>
      </x:c>
      <x:c r="CL129" s="117" t="n">
        <x:f>$B$129*CL115</x:f>
      </x:c>
      <x:c r="CM129" s="117" t="n">
        <x:f>$B$129*CM115</x:f>
      </x:c>
      <x:c r="CN129" s="117" t="n">
        <x:f>$B$129*CN115</x:f>
      </x:c>
      <x:c r="CO129" s="117" t="n">
        <x:f>$B$129*CO115</x:f>
      </x:c>
      <x:c r="CP129" s="117" t="n">
        <x:f>$B$129*CP115</x:f>
      </x:c>
      <x:c r="CQ129" s="117" t="n">
        <x:f>$B$129*CQ115</x:f>
      </x:c>
      <x:c r="CR129" s="117" t="n">
        <x:f>$B$129*CR115</x:f>
      </x:c>
      <x:c r="CS129" s="117" t="n">
        <x:f>$B$129*CS115</x:f>
      </x:c>
      <x:c r="CT129" s="117" t="n">
        <x:f>$B$129*CT115</x:f>
      </x:c>
      <x:c r="CU129" s="117" t="n">
        <x:f>$B$129*CU115</x:f>
      </x:c>
      <x:c r="CV129" s="117" t="n">
        <x:f>$B$129*CV115</x:f>
      </x:c>
      <x:c r="CW129" s="117" t="n">
        <x:f>$B$129*CW115</x:f>
      </x:c>
      <x:c r="CX129" s="117" t="n">
        <x:f>$B$129*CX115</x:f>
      </x:c>
      <x:c r="CY129" s="117" t="n">
        <x:f>$B$129*CY115</x:f>
      </x:c>
      <x:c r="CZ129" s="117" t="n">
        <x:f>$B$129*CZ115</x:f>
      </x:c>
      <x:c r="DA129" s="117" t="n">
        <x:f>$B$129*DA115</x:f>
      </x:c>
      <x:c r="DB129" s="117" t="n">
        <x:f>$B$129*DB115</x:f>
      </x:c>
      <x:c r="DC129" s="117" t="n">
        <x:f>$B$129*DC115</x:f>
      </x:c>
      <x:c r="DD129" s="117" t="n">
        <x:f>$B$129*DD115</x:f>
      </x:c>
      <x:c r="DE129" s="117" t="n">
        <x:f>$B$129*DE115</x:f>
      </x:c>
      <x:c r="DF129" s="117" t="n">
        <x:f>$B$129*DF115</x:f>
      </x:c>
      <x:c r="DG129" s="117" t="n">
        <x:f>$B$129*DG115</x:f>
      </x:c>
      <x:c r="DH129" s="117" t="n">
        <x:f>$B$129*DH115</x:f>
      </x:c>
      <x:c r="DI129" s="117" t="n">
        <x:f>$B$129*DI115</x:f>
      </x:c>
      <x:c r="DJ129" s="117" t="n">
        <x:f>$B$129*DJ115</x:f>
      </x:c>
      <x:c r="DK129" s="117" t="n">
        <x:f>$B$129*DK115</x:f>
      </x:c>
      <x:c r="DL129" s="117" t="n">
        <x:f>$B$129*DL115</x:f>
      </x:c>
      <x:c r="DM129" s="117" t="n">
        <x:f>$B$129*DM115</x:f>
      </x:c>
      <x:c r="DN129" s="117" t="n">
        <x:f>$B$129*DN115</x:f>
      </x:c>
      <x:c r="DO129" s="117" t="n">
        <x:f>$B$129*DO115</x:f>
      </x:c>
      <x:c r="DP129" s="117" t="n">
        <x:f>$B$129*DP115</x:f>
      </x:c>
      <x:c r="DQ129" s="117" t="n">
        <x:f>$B$129*DQ115</x:f>
      </x:c>
      <x:c r="DR129" s="117" t="n">
        <x:f>$B$129*DR115</x:f>
      </x:c>
      <x:c r="DS129" s="117" t="n">
        <x:f>$B$129*DS115</x:f>
      </x:c>
    </x:row>
    <x:row r="130">
      <x:c r="A130" t="str">
        <x:v>Управление проектом</x:v>
      </x:c>
      <x:c r="B130" s="107" t="n">
        <x:f>SUM(B118:B128)*'Вводные'!$B$52</x:f>
      </x:c>
      <x:c r="C130" t="str">
        <x:v>млн ₽</x:v>
      </x:c>
      <x:c r="D130" s="117" t="n">
        <x:f>$B$130*D112</x:f>
      </x:c>
      <x:c r="E130" s="117" t="n">
        <x:f>$B$130*E112</x:f>
      </x:c>
      <x:c r="F130" s="117" t="n">
        <x:f>$B$130*F112</x:f>
      </x:c>
      <x:c r="G130" s="117" t="n">
        <x:f>$B$130*G112</x:f>
      </x:c>
      <x:c r="H130" s="117" t="n">
        <x:f>$B$130*H112</x:f>
      </x:c>
      <x:c r="I130" s="117" t="n">
        <x:f>$B$130*I112</x:f>
      </x:c>
      <x:c r="J130" s="117" t="n">
        <x:f>$B$130*J112</x:f>
      </x:c>
      <x:c r="K130" s="117" t="n">
        <x:f>$B$130*K112</x:f>
      </x:c>
      <x:c r="L130" s="117" t="n">
        <x:f>$B$130*L112</x:f>
      </x:c>
      <x:c r="M130" s="117" t="n">
        <x:f>$B$130*M112</x:f>
      </x:c>
      <x:c r="N130" s="117" t="n">
        <x:f>$B$130*N112</x:f>
      </x:c>
      <x:c r="O130" s="117" t="n">
        <x:f>$B$130*O112</x:f>
      </x:c>
      <x:c r="P130" s="117" t="n">
        <x:f>$B$130*P112</x:f>
      </x:c>
      <x:c r="Q130" s="117" t="n">
        <x:f>$B$130*Q112</x:f>
      </x:c>
      <x:c r="R130" s="117" t="n">
        <x:f>$B$130*R112</x:f>
      </x:c>
      <x:c r="S130" s="117" t="n">
        <x:f>$B$130*S112</x:f>
      </x:c>
      <x:c r="T130" s="117" t="n">
        <x:f>$B$130*T112</x:f>
      </x:c>
      <x:c r="U130" s="117" t="n">
        <x:f>$B$130*U112</x:f>
      </x:c>
      <x:c r="V130" s="117" t="n">
        <x:f>$B$130*V112</x:f>
      </x:c>
      <x:c r="W130" s="117" t="n">
        <x:f>$B$130*W112</x:f>
      </x:c>
      <x:c r="X130" s="117" t="n">
        <x:f>$B$130*X112</x:f>
      </x:c>
      <x:c r="Y130" s="117" t="n">
        <x:f>$B$130*Y112</x:f>
      </x:c>
      <x:c r="Z130" s="117" t="n">
        <x:f>$B$130*Z112</x:f>
      </x:c>
      <x:c r="AA130" s="117" t="n">
        <x:f>$B$130*AA112</x:f>
      </x:c>
      <x:c r="AB130" s="117" t="n">
        <x:f>$B$130*AB112</x:f>
      </x:c>
      <x:c r="AC130" s="117" t="n">
        <x:f>$B$130*AC112</x:f>
      </x:c>
      <x:c r="AD130" s="117" t="n">
        <x:f>$B$130*AD112</x:f>
      </x:c>
      <x:c r="AE130" s="117" t="n">
        <x:f>$B$130*AE112</x:f>
      </x:c>
      <x:c r="AF130" s="117" t="n">
        <x:f>$B$130*AF112</x:f>
      </x:c>
      <x:c r="AG130" s="117" t="n">
        <x:f>$B$130*AG112</x:f>
      </x:c>
      <x:c r="AH130" s="117" t="n">
        <x:f>$B$130*AH112</x:f>
      </x:c>
      <x:c r="AI130" s="117" t="n">
        <x:f>$B$130*AI112</x:f>
      </x:c>
      <x:c r="AJ130" s="117" t="n">
        <x:f>$B$130*AJ112</x:f>
      </x:c>
      <x:c r="AK130" s="117" t="n">
        <x:f>$B$130*AK112</x:f>
      </x:c>
      <x:c r="AL130" s="117" t="n">
        <x:f>$B$130*AL112</x:f>
      </x:c>
      <x:c r="AM130" s="117" t="n">
        <x:f>$B$130*AM112</x:f>
      </x:c>
      <x:c r="AN130" s="117" t="n">
        <x:f>$B$130*AN112</x:f>
      </x:c>
      <x:c r="AO130" s="117" t="n">
        <x:f>$B$130*AO112</x:f>
      </x:c>
      <x:c r="AP130" s="117" t="n">
        <x:f>$B$130*AP112</x:f>
      </x:c>
      <x:c r="AQ130" s="117" t="n">
        <x:f>$B$130*AQ112</x:f>
      </x:c>
      <x:c r="AR130" s="117" t="n">
        <x:f>$B$130*AR112</x:f>
      </x:c>
      <x:c r="AS130" s="117" t="n">
        <x:f>$B$130*AS112</x:f>
      </x:c>
      <x:c r="AT130" s="117" t="n">
        <x:f>$B$130*AT112</x:f>
      </x:c>
      <x:c r="AU130" s="117" t="n">
        <x:f>$B$130*AU112</x:f>
      </x:c>
      <x:c r="AV130" s="117" t="n">
        <x:f>$B$130*AV112</x:f>
      </x:c>
      <x:c r="AW130" s="117" t="n">
        <x:f>$B$130*AW112</x:f>
      </x:c>
      <x:c r="AX130" s="117" t="n">
        <x:f>$B$130*AX112</x:f>
      </x:c>
      <x:c r="AY130" s="117" t="n">
        <x:f>$B$130*AY112</x:f>
      </x:c>
      <x:c r="AZ130" s="117" t="n">
        <x:f>$B$130*AZ112</x:f>
      </x:c>
      <x:c r="BA130" s="117" t="n">
        <x:f>$B$130*BA112</x:f>
      </x:c>
      <x:c r="BB130" s="117" t="n">
        <x:f>$B$130*BB112</x:f>
      </x:c>
      <x:c r="BC130" s="117" t="n">
        <x:f>$B$130*BC112</x:f>
      </x:c>
      <x:c r="BD130" s="117" t="n">
        <x:f>$B$130*BD112</x:f>
      </x:c>
      <x:c r="BE130" s="117" t="n">
        <x:f>$B$130*BE112</x:f>
      </x:c>
      <x:c r="BF130" s="117" t="n">
        <x:f>$B$130*BF112</x:f>
      </x:c>
      <x:c r="BG130" s="117" t="n">
        <x:f>$B$130*BG112</x:f>
      </x:c>
      <x:c r="BH130" s="117" t="n">
        <x:f>$B$130*BH112</x:f>
      </x:c>
      <x:c r="BI130" s="117" t="n">
        <x:f>$B$130*BI112</x:f>
      </x:c>
      <x:c r="BJ130" s="117" t="n">
        <x:f>$B$130*BJ112</x:f>
      </x:c>
      <x:c r="BK130" s="117" t="n">
        <x:f>$B$130*BK112</x:f>
      </x:c>
      <x:c r="BL130" s="117" t="n">
        <x:f>$B$130*BL112</x:f>
      </x:c>
      <x:c r="BM130" s="117" t="n">
        <x:f>$B$130*BM112</x:f>
      </x:c>
      <x:c r="BN130" s="117" t="n">
        <x:f>$B$130*BN112</x:f>
      </x:c>
      <x:c r="BO130" s="117" t="n">
        <x:f>$B$130*BO112</x:f>
      </x:c>
      <x:c r="BP130" s="117" t="n">
        <x:f>$B$130*BP112</x:f>
      </x:c>
      <x:c r="BQ130" s="117" t="n">
        <x:f>$B$130*BQ112</x:f>
      </x:c>
      <x:c r="BR130" s="117" t="n">
        <x:f>$B$130*BR112</x:f>
      </x:c>
      <x:c r="BS130" s="117" t="n">
        <x:f>$B$130*BS112</x:f>
      </x:c>
      <x:c r="BT130" s="117" t="n">
        <x:f>$B$130*BT112</x:f>
      </x:c>
      <x:c r="BU130" s="117" t="n">
        <x:f>$B$130*BU112</x:f>
      </x:c>
      <x:c r="BV130" s="117" t="n">
        <x:f>$B$130*BV112</x:f>
      </x:c>
      <x:c r="BW130" s="117" t="n">
        <x:f>$B$130*BW112</x:f>
      </x:c>
      <x:c r="BX130" s="117" t="n">
        <x:f>$B$130*BX112</x:f>
      </x:c>
      <x:c r="BY130" s="117" t="n">
        <x:f>$B$130*BY112</x:f>
      </x:c>
      <x:c r="BZ130" s="117" t="n">
        <x:f>$B$130*BZ112</x:f>
      </x:c>
      <x:c r="CA130" s="117" t="n">
        <x:f>$B$130*CA112</x:f>
      </x:c>
      <x:c r="CB130" s="117" t="n">
        <x:f>$B$130*CB112</x:f>
      </x:c>
      <x:c r="CC130" s="117" t="n">
        <x:f>$B$130*CC112</x:f>
      </x:c>
      <x:c r="CD130" s="117" t="n">
        <x:f>$B$130*CD112</x:f>
      </x:c>
      <x:c r="CE130" s="117" t="n">
        <x:f>$B$130*CE112</x:f>
      </x:c>
      <x:c r="CF130" s="117" t="n">
        <x:f>$B$130*CF112</x:f>
      </x:c>
      <x:c r="CG130" s="117" t="n">
        <x:f>$B$130*CG112</x:f>
      </x:c>
      <x:c r="CH130" s="117" t="n">
        <x:f>$B$130*CH112</x:f>
      </x:c>
      <x:c r="CI130" s="117" t="n">
        <x:f>$B$130*CI112</x:f>
      </x:c>
      <x:c r="CJ130" s="117" t="n">
        <x:f>$B$130*CJ112</x:f>
      </x:c>
      <x:c r="CK130" s="117" t="n">
        <x:f>$B$130*CK112</x:f>
      </x:c>
      <x:c r="CL130" s="117" t="n">
        <x:f>$B$130*CL112</x:f>
      </x:c>
      <x:c r="CM130" s="117" t="n">
        <x:f>$B$130*CM112</x:f>
      </x:c>
      <x:c r="CN130" s="117" t="n">
        <x:f>$B$130*CN112</x:f>
      </x:c>
      <x:c r="CO130" s="117" t="n">
        <x:f>$B$130*CO112</x:f>
      </x:c>
      <x:c r="CP130" s="117" t="n">
        <x:f>$B$130*CP112</x:f>
      </x:c>
      <x:c r="CQ130" s="117" t="n">
        <x:f>$B$130*CQ112</x:f>
      </x:c>
      <x:c r="CR130" s="117" t="n">
        <x:f>$B$130*CR112</x:f>
      </x:c>
      <x:c r="CS130" s="117" t="n">
        <x:f>$B$130*CS112</x:f>
      </x:c>
      <x:c r="CT130" s="117" t="n">
        <x:f>$B$130*CT112</x:f>
      </x:c>
      <x:c r="CU130" s="117" t="n">
        <x:f>$B$130*CU112</x:f>
      </x:c>
      <x:c r="CV130" s="117" t="n">
        <x:f>$B$130*CV112</x:f>
      </x:c>
      <x:c r="CW130" s="117" t="n">
        <x:f>$B$130*CW112</x:f>
      </x:c>
      <x:c r="CX130" s="117" t="n">
        <x:f>$B$130*CX112</x:f>
      </x:c>
      <x:c r="CY130" s="117" t="n">
        <x:f>$B$130*CY112</x:f>
      </x:c>
      <x:c r="CZ130" s="117" t="n">
        <x:f>$B$130*CZ112</x:f>
      </x:c>
      <x:c r="DA130" s="117" t="n">
        <x:f>$B$130*DA112</x:f>
      </x:c>
      <x:c r="DB130" s="117" t="n">
        <x:f>$B$130*DB112</x:f>
      </x:c>
      <x:c r="DC130" s="117" t="n">
        <x:f>$B$130*DC112</x:f>
      </x:c>
      <x:c r="DD130" s="117" t="n">
        <x:f>$B$130*DD112</x:f>
      </x:c>
      <x:c r="DE130" s="117" t="n">
        <x:f>$B$130*DE112</x:f>
      </x:c>
      <x:c r="DF130" s="117" t="n">
        <x:f>$B$130*DF112</x:f>
      </x:c>
      <x:c r="DG130" s="117" t="n">
        <x:f>$B$130*DG112</x:f>
      </x:c>
      <x:c r="DH130" s="117" t="n">
        <x:f>$B$130*DH112</x:f>
      </x:c>
      <x:c r="DI130" s="117" t="n">
        <x:f>$B$130*DI112</x:f>
      </x:c>
      <x:c r="DJ130" s="117" t="n">
        <x:f>$B$130*DJ112</x:f>
      </x:c>
      <x:c r="DK130" s="117" t="n">
        <x:f>$B$130*DK112</x:f>
      </x:c>
      <x:c r="DL130" s="117" t="n">
        <x:f>$B$130*DL112</x:f>
      </x:c>
      <x:c r="DM130" s="117" t="n">
        <x:f>$B$130*DM112</x:f>
      </x:c>
      <x:c r="DN130" s="117" t="n">
        <x:f>$B$130*DN112</x:f>
      </x:c>
      <x:c r="DO130" s="117" t="n">
        <x:f>$B$130*DO112</x:f>
      </x:c>
      <x:c r="DP130" s="117" t="n">
        <x:f>$B$130*DP112</x:f>
      </x:c>
      <x:c r="DQ130" s="117" t="n">
        <x:f>$B$130*DQ112</x:f>
      </x:c>
      <x:c r="DR130" s="117" t="n">
        <x:f>$B$130*DR112</x:f>
      </x:c>
      <x:c r="DS130" s="117" t="n">
        <x:f>$B$130*DS112</x:f>
      </x:c>
    </x:row>
    <x:row r="131">
      <x:c r="A131" t="str">
        <x:v>Вознаграждение генподрядчика</x:v>
      </x:c>
      <x:c r="B131" s="107" t="n">
        <x:f>SUM(B118:B128)*'Вводные'!$B$50</x:f>
      </x:c>
      <x:c r="C131" t="str">
        <x:v>млн ₽</x:v>
      </x:c>
      <x:c r="D131" s="117" t="n">
        <x:f>$B$131*D115</x:f>
      </x:c>
      <x:c r="E131" s="117" t="n">
        <x:f>$B$131*E115</x:f>
      </x:c>
      <x:c r="F131" s="117" t="n">
        <x:f>$B$131*F115</x:f>
      </x:c>
      <x:c r="G131" s="117" t="n">
        <x:f>$B$131*G115</x:f>
      </x:c>
      <x:c r="H131" s="117" t="n">
        <x:f>$B$131*H115</x:f>
      </x:c>
      <x:c r="I131" s="117" t="n">
        <x:f>$B$131*I115</x:f>
      </x:c>
      <x:c r="J131" s="117" t="n">
        <x:f>$B$131*J115</x:f>
      </x:c>
      <x:c r="K131" s="117" t="n">
        <x:f>$B$131*K115</x:f>
      </x:c>
      <x:c r="L131" s="117" t="n">
        <x:f>$B$131*L115</x:f>
      </x:c>
      <x:c r="M131" s="117" t="n">
        <x:f>$B$131*M115</x:f>
      </x:c>
      <x:c r="N131" s="117" t="n">
        <x:f>$B$131*N115</x:f>
      </x:c>
      <x:c r="O131" s="117" t="n">
        <x:f>$B$131*O115</x:f>
      </x:c>
      <x:c r="P131" s="117" t="n">
        <x:f>$B$131*P115</x:f>
      </x:c>
      <x:c r="Q131" s="117" t="n">
        <x:f>$B$131*Q115</x:f>
      </x:c>
      <x:c r="R131" s="117" t="n">
        <x:f>$B$131*R115</x:f>
      </x:c>
      <x:c r="S131" s="117" t="n">
        <x:f>$B$131*S115</x:f>
      </x:c>
      <x:c r="T131" s="117" t="n">
        <x:f>$B$131*T115</x:f>
      </x:c>
      <x:c r="U131" s="117" t="n">
        <x:f>$B$131*U115</x:f>
      </x:c>
      <x:c r="V131" s="117" t="n">
        <x:f>$B$131*V115</x:f>
      </x:c>
      <x:c r="W131" s="117" t="n">
        <x:f>$B$131*W115</x:f>
      </x:c>
      <x:c r="X131" s="117" t="n">
        <x:f>$B$131*X115</x:f>
      </x:c>
      <x:c r="Y131" s="117" t="n">
        <x:f>$B$131*Y115</x:f>
      </x:c>
      <x:c r="Z131" s="117" t="n">
        <x:f>$B$131*Z115</x:f>
      </x:c>
      <x:c r="AA131" s="117" t="n">
        <x:f>$B$131*AA115</x:f>
      </x:c>
      <x:c r="AB131" s="117" t="n">
        <x:f>$B$131*AB115</x:f>
      </x:c>
      <x:c r="AC131" s="117" t="n">
        <x:f>$B$131*AC115</x:f>
      </x:c>
      <x:c r="AD131" s="117" t="n">
        <x:f>$B$131*AD115</x:f>
      </x:c>
      <x:c r="AE131" s="117" t="n">
        <x:f>$B$131*AE115</x:f>
      </x:c>
      <x:c r="AF131" s="117" t="n">
        <x:f>$B$131*AF115</x:f>
      </x:c>
      <x:c r="AG131" s="117" t="n">
        <x:f>$B$131*AG115</x:f>
      </x:c>
      <x:c r="AH131" s="117" t="n">
        <x:f>$B$131*AH115</x:f>
      </x:c>
      <x:c r="AI131" s="117" t="n">
        <x:f>$B$131*AI115</x:f>
      </x:c>
      <x:c r="AJ131" s="117" t="n">
        <x:f>$B$131*AJ115</x:f>
      </x:c>
      <x:c r="AK131" s="117" t="n">
        <x:f>$B$131*AK115</x:f>
      </x:c>
      <x:c r="AL131" s="117" t="n">
        <x:f>$B$131*AL115</x:f>
      </x:c>
      <x:c r="AM131" s="117" t="n">
        <x:f>$B$131*AM115</x:f>
      </x:c>
      <x:c r="AN131" s="117" t="n">
        <x:f>$B$131*AN115</x:f>
      </x:c>
      <x:c r="AO131" s="117" t="n">
        <x:f>$B$131*AO115</x:f>
      </x:c>
      <x:c r="AP131" s="117" t="n">
        <x:f>$B$131*AP115</x:f>
      </x:c>
      <x:c r="AQ131" s="117" t="n">
        <x:f>$B$131*AQ115</x:f>
      </x:c>
      <x:c r="AR131" s="117" t="n">
        <x:f>$B$131*AR115</x:f>
      </x:c>
      <x:c r="AS131" s="117" t="n">
        <x:f>$B$131*AS115</x:f>
      </x:c>
      <x:c r="AT131" s="117" t="n">
        <x:f>$B$131*AT115</x:f>
      </x:c>
      <x:c r="AU131" s="117" t="n">
        <x:f>$B$131*AU115</x:f>
      </x:c>
      <x:c r="AV131" s="117" t="n">
        <x:f>$B$131*AV115</x:f>
      </x:c>
      <x:c r="AW131" s="117" t="n">
        <x:f>$B$131*AW115</x:f>
      </x:c>
      <x:c r="AX131" s="117" t="n">
        <x:f>$B$131*AX115</x:f>
      </x:c>
      <x:c r="AY131" s="117" t="n">
        <x:f>$B$131*AY115</x:f>
      </x:c>
      <x:c r="AZ131" s="117" t="n">
        <x:f>$B$131*AZ115</x:f>
      </x:c>
      <x:c r="BA131" s="117" t="n">
        <x:f>$B$131*BA115</x:f>
      </x:c>
      <x:c r="BB131" s="117" t="n">
        <x:f>$B$131*BB115</x:f>
      </x:c>
      <x:c r="BC131" s="117" t="n">
        <x:f>$B$131*BC115</x:f>
      </x:c>
      <x:c r="BD131" s="117" t="n">
        <x:f>$B$131*BD115</x:f>
      </x:c>
      <x:c r="BE131" s="117" t="n">
        <x:f>$B$131*BE115</x:f>
      </x:c>
      <x:c r="BF131" s="117" t="n">
        <x:f>$B$131*BF115</x:f>
      </x:c>
      <x:c r="BG131" s="117" t="n">
        <x:f>$B$131*BG115</x:f>
      </x:c>
      <x:c r="BH131" s="117" t="n">
        <x:f>$B$131*BH115</x:f>
      </x:c>
      <x:c r="BI131" s="117" t="n">
        <x:f>$B$131*BI115</x:f>
      </x:c>
      <x:c r="BJ131" s="117" t="n">
        <x:f>$B$131*BJ115</x:f>
      </x:c>
      <x:c r="BK131" s="117" t="n">
        <x:f>$B$131*BK115</x:f>
      </x:c>
      <x:c r="BL131" s="117" t="n">
        <x:f>$B$131*BL115</x:f>
      </x:c>
      <x:c r="BM131" s="117" t="n">
        <x:f>$B$131*BM115</x:f>
      </x:c>
      <x:c r="BN131" s="117" t="n">
        <x:f>$B$131*BN115</x:f>
      </x:c>
      <x:c r="BO131" s="117" t="n">
        <x:f>$B$131*BO115</x:f>
      </x:c>
      <x:c r="BP131" s="117" t="n">
        <x:f>$B$131*BP115</x:f>
      </x:c>
      <x:c r="BQ131" s="117" t="n">
        <x:f>$B$131*BQ115</x:f>
      </x:c>
      <x:c r="BR131" s="117" t="n">
        <x:f>$B$131*BR115</x:f>
      </x:c>
      <x:c r="BS131" s="117" t="n">
        <x:f>$B$131*BS115</x:f>
      </x:c>
      <x:c r="BT131" s="117" t="n">
        <x:f>$B$131*BT115</x:f>
      </x:c>
      <x:c r="BU131" s="117" t="n">
        <x:f>$B$131*BU115</x:f>
      </x:c>
      <x:c r="BV131" s="117" t="n">
        <x:f>$B$131*BV115</x:f>
      </x:c>
      <x:c r="BW131" s="117" t="n">
        <x:f>$B$131*BW115</x:f>
      </x:c>
      <x:c r="BX131" s="117" t="n">
        <x:f>$B$131*BX115</x:f>
      </x:c>
      <x:c r="BY131" s="117" t="n">
        <x:f>$B$131*BY115</x:f>
      </x:c>
      <x:c r="BZ131" s="117" t="n">
        <x:f>$B$131*BZ115</x:f>
      </x:c>
      <x:c r="CA131" s="117" t="n">
        <x:f>$B$131*CA115</x:f>
      </x:c>
      <x:c r="CB131" s="117" t="n">
        <x:f>$B$131*CB115</x:f>
      </x:c>
      <x:c r="CC131" s="117" t="n">
        <x:f>$B$131*CC115</x:f>
      </x:c>
      <x:c r="CD131" s="117" t="n">
        <x:f>$B$131*CD115</x:f>
      </x:c>
      <x:c r="CE131" s="117" t="n">
        <x:f>$B$131*CE115</x:f>
      </x:c>
      <x:c r="CF131" s="117" t="n">
        <x:f>$B$131*CF115</x:f>
      </x:c>
      <x:c r="CG131" s="117" t="n">
        <x:f>$B$131*CG115</x:f>
      </x:c>
      <x:c r="CH131" s="117" t="n">
        <x:f>$B$131*CH115</x:f>
      </x:c>
      <x:c r="CI131" s="117" t="n">
        <x:f>$B$131*CI115</x:f>
      </x:c>
      <x:c r="CJ131" s="117" t="n">
        <x:f>$B$131*CJ115</x:f>
      </x:c>
      <x:c r="CK131" s="117" t="n">
        <x:f>$B$131*CK115</x:f>
      </x:c>
      <x:c r="CL131" s="117" t="n">
        <x:f>$B$131*CL115</x:f>
      </x:c>
      <x:c r="CM131" s="117" t="n">
        <x:f>$B$131*CM115</x:f>
      </x:c>
      <x:c r="CN131" s="117" t="n">
        <x:f>$B$131*CN115</x:f>
      </x:c>
      <x:c r="CO131" s="117" t="n">
        <x:f>$B$131*CO115</x:f>
      </x:c>
      <x:c r="CP131" s="117" t="n">
        <x:f>$B$131*CP115</x:f>
      </x:c>
      <x:c r="CQ131" s="117" t="n">
        <x:f>$B$131*CQ115</x:f>
      </x:c>
      <x:c r="CR131" s="117" t="n">
        <x:f>$B$131*CR115</x:f>
      </x:c>
      <x:c r="CS131" s="117" t="n">
        <x:f>$B$131*CS115</x:f>
      </x:c>
      <x:c r="CT131" s="117" t="n">
        <x:f>$B$131*CT115</x:f>
      </x:c>
      <x:c r="CU131" s="117" t="n">
        <x:f>$B$131*CU115</x:f>
      </x:c>
      <x:c r="CV131" s="117" t="n">
        <x:f>$B$131*CV115</x:f>
      </x:c>
      <x:c r="CW131" s="117" t="n">
        <x:f>$B$131*CW115</x:f>
      </x:c>
      <x:c r="CX131" s="117" t="n">
        <x:f>$B$131*CX115</x:f>
      </x:c>
      <x:c r="CY131" s="117" t="n">
        <x:f>$B$131*CY115</x:f>
      </x:c>
      <x:c r="CZ131" s="117" t="n">
        <x:f>$B$131*CZ115</x:f>
      </x:c>
      <x:c r="DA131" s="117" t="n">
        <x:f>$B$131*DA115</x:f>
      </x:c>
      <x:c r="DB131" s="117" t="n">
        <x:f>$B$131*DB115</x:f>
      </x:c>
      <x:c r="DC131" s="117" t="n">
        <x:f>$B$131*DC115</x:f>
      </x:c>
      <x:c r="DD131" s="117" t="n">
        <x:f>$B$131*DD115</x:f>
      </x:c>
      <x:c r="DE131" s="117" t="n">
        <x:f>$B$131*DE115</x:f>
      </x:c>
      <x:c r="DF131" s="117" t="n">
        <x:f>$B$131*DF115</x:f>
      </x:c>
      <x:c r="DG131" s="117" t="n">
        <x:f>$B$131*DG115</x:f>
      </x:c>
      <x:c r="DH131" s="117" t="n">
        <x:f>$B$131*DH115</x:f>
      </x:c>
      <x:c r="DI131" s="117" t="n">
        <x:f>$B$131*DI115</x:f>
      </x:c>
      <x:c r="DJ131" s="117" t="n">
        <x:f>$B$131*DJ115</x:f>
      </x:c>
      <x:c r="DK131" s="117" t="n">
        <x:f>$B$131*DK115</x:f>
      </x:c>
      <x:c r="DL131" s="117" t="n">
        <x:f>$B$131*DL115</x:f>
      </x:c>
      <x:c r="DM131" s="117" t="n">
        <x:f>$B$131*DM115</x:f>
      </x:c>
      <x:c r="DN131" s="117" t="n">
        <x:f>$B$131*DN115</x:f>
      </x:c>
      <x:c r="DO131" s="117" t="n">
        <x:f>$B$131*DO115</x:f>
      </x:c>
      <x:c r="DP131" s="117" t="n">
        <x:f>$B$131*DP115</x:f>
      </x:c>
      <x:c r="DQ131" s="117" t="n">
        <x:f>$B$131*DQ115</x:f>
      </x:c>
      <x:c r="DR131" s="117" t="n">
        <x:f>$B$131*DR115</x:f>
      </x:c>
      <x:c r="DS131" s="117" t="n">
        <x:f>$B$131*DS115</x:f>
      </x:c>
    </x:row>
    <x:row r="132">
      <x:c r="A132" t="str">
        <x:v>Резерв</x:v>
      </x:c>
      <x:c r="B132" s="107" t="n">
        <x:f>(SUM(B117:B131)+B133)*'Вводные'!$B$54</x:f>
      </x:c>
      <x:c r="C132" t="str">
        <x:v>млн ₽</x:v>
      </x:c>
      <x:c r="D132" s="117" t="n">
        <x:f>$B$132*D115</x:f>
      </x:c>
      <x:c r="E132" s="117" t="n">
        <x:f>$B$132*E115</x:f>
      </x:c>
      <x:c r="F132" s="117" t="n">
        <x:f>$B$132*F115</x:f>
      </x:c>
      <x:c r="G132" s="117" t="n">
        <x:f>$B$132*G115</x:f>
      </x:c>
      <x:c r="H132" s="117" t="n">
        <x:f>$B$132*H115</x:f>
      </x:c>
      <x:c r="I132" s="117" t="n">
        <x:f>$B$132*I115</x:f>
      </x:c>
      <x:c r="J132" s="117" t="n">
        <x:f>$B$132*J115</x:f>
      </x:c>
      <x:c r="K132" s="117" t="n">
        <x:f>$B$132*K115</x:f>
      </x:c>
      <x:c r="L132" s="117" t="n">
        <x:f>$B$132*L115</x:f>
      </x:c>
      <x:c r="M132" s="117" t="n">
        <x:f>$B$132*M115</x:f>
      </x:c>
      <x:c r="N132" s="117" t="n">
        <x:f>$B$132*N115</x:f>
      </x:c>
      <x:c r="O132" s="117" t="n">
        <x:f>$B$132*O115</x:f>
      </x:c>
      <x:c r="P132" s="117" t="n">
        <x:f>$B$132*P115</x:f>
      </x:c>
      <x:c r="Q132" s="117" t="n">
        <x:f>$B$132*Q115</x:f>
      </x:c>
      <x:c r="R132" s="117" t="n">
        <x:f>$B$132*R115</x:f>
      </x:c>
      <x:c r="S132" s="117" t="n">
        <x:f>$B$132*S115</x:f>
      </x:c>
      <x:c r="T132" s="117" t="n">
        <x:f>$B$132*T115</x:f>
      </x:c>
      <x:c r="U132" s="117" t="n">
        <x:f>$B$132*U115</x:f>
      </x:c>
      <x:c r="V132" s="117" t="n">
        <x:f>$B$132*V115</x:f>
      </x:c>
      <x:c r="W132" s="117" t="n">
        <x:f>$B$132*W115</x:f>
      </x:c>
      <x:c r="X132" s="117" t="n">
        <x:f>$B$132*X115</x:f>
      </x:c>
      <x:c r="Y132" s="117" t="n">
        <x:f>$B$132*Y115</x:f>
      </x:c>
      <x:c r="Z132" s="117" t="n">
        <x:f>$B$132*Z115</x:f>
      </x:c>
      <x:c r="AA132" s="117" t="n">
        <x:f>$B$132*AA115</x:f>
      </x:c>
      <x:c r="AB132" s="117" t="n">
        <x:f>$B$132*AB115</x:f>
      </x:c>
      <x:c r="AC132" s="117" t="n">
        <x:f>$B$132*AC115</x:f>
      </x:c>
      <x:c r="AD132" s="117" t="n">
        <x:f>$B$132*AD115</x:f>
      </x:c>
      <x:c r="AE132" s="117" t="n">
        <x:f>$B$132*AE115</x:f>
      </x:c>
      <x:c r="AF132" s="117" t="n">
        <x:f>$B$132*AF115</x:f>
      </x:c>
      <x:c r="AG132" s="117" t="n">
        <x:f>$B$132*AG115</x:f>
      </x:c>
      <x:c r="AH132" s="117" t="n">
        <x:f>$B$132*AH115</x:f>
      </x:c>
      <x:c r="AI132" s="117" t="n">
        <x:f>$B$132*AI115</x:f>
      </x:c>
      <x:c r="AJ132" s="117" t="n">
        <x:f>$B$132*AJ115</x:f>
      </x:c>
      <x:c r="AK132" s="117" t="n">
        <x:f>$B$132*AK115</x:f>
      </x:c>
      <x:c r="AL132" s="117" t="n">
        <x:f>$B$132*AL115</x:f>
      </x:c>
      <x:c r="AM132" s="117" t="n">
        <x:f>$B$132*AM115</x:f>
      </x:c>
      <x:c r="AN132" s="117" t="n">
        <x:f>$B$132*AN115</x:f>
      </x:c>
      <x:c r="AO132" s="117" t="n">
        <x:f>$B$132*AO115</x:f>
      </x:c>
      <x:c r="AP132" s="117" t="n">
        <x:f>$B$132*AP115</x:f>
      </x:c>
      <x:c r="AQ132" s="117" t="n">
        <x:f>$B$132*AQ115</x:f>
      </x:c>
      <x:c r="AR132" s="117" t="n">
        <x:f>$B$132*AR115</x:f>
      </x:c>
      <x:c r="AS132" s="117" t="n">
        <x:f>$B$132*AS115</x:f>
      </x:c>
      <x:c r="AT132" s="117" t="n">
        <x:f>$B$132*AT115</x:f>
      </x:c>
      <x:c r="AU132" s="117" t="n">
        <x:f>$B$132*AU115</x:f>
      </x:c>
      <x:c r="AV132" s="117" t="n">
        <x:f>$B$132*AV115</x:f>
      </x:c>
      <x:c r="AW132" s="117" t="n">
        <x:f>$B$132*AW115</x:f>
      </x:c>
      <x:c r="AX132" s="117" t="n">
        <x:f>$B$132*AX115</x:f>
      </x:c>
      <x:c r="AY132" s="117" t="n">
        <x:f>$B$132*AY115</x:f>
      </x:c>
      <x:c r="AZ132" s="117" t="n">
        <x:f>$B$132*AZ115</x:f>
      </x:c>
      <x:c r="BA132" s="117" t="n">
        <x:f>$B$132*BA115</x:f>
      </x:c>
      <x:c r="BB132" s="117" t="n">
        <x:f>$B$132*BB115</x:f>
      </x:c>
      <x:c r="BC132" s="117" t="n">
        <x:f>$B$132*BC115</x:f>
      </x:c>
      <x:c r="BD132" s="117" t="n">
        <x:f>$B$132*BD115</x:f>
      </x:c>
      <x:c r="BE132" s="117" t="n">
        <x:f>$B$132*BE115</x:f>
      </x:c>
      <x:c r="BF132" s="117" t="n">
        <x:f>$B$132*BF115</x:f>
      </x:c>
      <x:c r="BG132" s="117" t="n">
        <x:f>$B$132*BG115</x:f>
      </x:c>
      <x:c r="BH132" s="117" t="n">
        <x:f>$B$132*BH115</x:f>
      </x:c>
      <x:c r="BI132" s="117" t="n">
        <x:f>$B$132*BI115</x:f>
      </x:c>
      <x:c r="BJ132" s="117" t="n">
        <x:f>$B$132*BJ115</x:f>
      </x:c>
      <x:c r="BK132" s="117" t="n">
        <x:f>$B$132*BK115</x:f>
      </x:c>
      <x:c r="BL132" s="117" t="n">
        <x:f>$B$132*BL115</x:f>
      </x:c>
      <x:c r="BM132" s="117" t="n">
        <x:f>$B$132*BM115</x:f>
      </x:c>
      <x:c r="BN132" s="117" t="n">
        <x:f>$B$132*BN115</x:f>
      </x:c>
      <x:c r="BO132" s="117" t="n">
        <x:f>$B$132*BO115</x:f>
      </x:c>
      <x:c r="BP132" s="117" t="n">
        <x:f>$B$132*BP115</x:f>
      </x:c>
      <x:c r="BQ132" s="117" t="n">
        <x:f>$B$132*BQ115</x:f>
      </x:c>
      <x:c r="BR132" s="117" t="n">
        <x:f>$B$132*BR115</x:f>
      </x:c>
      <x:c r="BS132" s="117" t="n">
        <x:f>$B$132*BS115</x:f>
      </x:c>
      <x:c r="BT132" s="117" t="n">
        <x:f>$B$132*BT115</x:f>
      </x:c>
      <x:c r="BU132" s="117" t="n">
        <x:f>$B$132*BU115</x:f>
      </x:c>
      <x:c r="BV132" s="117" t="n">
        <x:f>$B$132*BV115</x:f>
      </x:c>
      <x:c r="BW132" s="117" t="n">
        <x:f>$B$132*BW115</x:f>
      </x:c>
      <x:c r="BX132" s="117" t="n">
        <x:f>$B$132*BX115</x:f>
      </x:c>
      <x:c r="BY132" s="117" t="n">
        <x:f>$B$132*BY115</x:f>
      </x:c>
      <x:c r="BZ132" s="117" t="n">
        <x:f>$B$132*BZ115</x:f>
      </x:c>
      <x:c r="CA132" s="117" t="n">
        <x:f>$B$132*CA115</x:f>
      </x:c>
      <x:c r="CB132" s="117" t="n">
        <x:f>$B$132*CB115</x:f>
      </x:c>
      <x:c r="CC132" s="117" t="n">
        <x:f>$B$132*CC115</x:f>
      </x:c>
      <x:c r="CD132" s="117" t="n">
        <x:f>$B$132*CD115</x:f>
      </x:c>
      <x:c r="CE132" s="117" t="n">
        <x:f>$B$132*CE115</x:f>
      </x:c>
      <x:c r="CF132" s="117" t="n">
        <x:f>$B$132*CF115</x:f>
      </x:c>
      <x:c r="CG132" s="117" t="n">
        <x:f>$B$132*CG115</x:f>
      </x:c>
      <x:c r="CH132" s="117" t="n">
        <x:f>$B$132*CH115</x:f>
      </x:c>
      <x:c r="CI132" s="117" t="n">
        <x:f>$B$132*CI115</x:f>
      </x:c>
      <x:c r="CJ132" s="117" t="n">
        <x:f>$B$132*CJ115</x:f>
      </x:c>
      <x:c r="CK132" s="117" t="n">
        <x:f>$B$132*CK115</x:f>
      </x:c>
      <x:c r="CL132" s="117" t="n">
        <x:f>$B$132*CL115</x:f>
      </x:c>
      <x:c r="CM132" s="117" t="n">
        <x:f>$B$132*CM115</x:f>
      </x:c>
      <x:c r="CN132" s="117" t="n">
        <x:f>$B$132*CN115</x:f>
      </x:c>
      <x:c r="CO132" s="117" t="n">
        <x:f>$B$132*CO115</x:f>
      </x:c>
      <x:c r="CP132" s="117" t="n">
        <x:f>$B$132*CP115</x:f>
      </x:c>
      <x:c r="CQ132" s="117" t="n">
        <x:f>$B$132*CQ115</x:f>
      </x:c>
      <x:c r="CR132" s="117" t="n">
        <x:f>$B$132*CR115</x:f>
      </x:c>
      <x:c r="CS132" s="117" t="n">
        <x:f>$B$132*CS115</x:f>
      </x:c>
      <x:c r="CT132" s="117" t="n">
        <x:f>$B$132*CT115</x:f>
      </x:c>
      <x:c r="CU132" s="117" t="n">
        <x:f>$B$132*CU115</x:f>
      </x:c>
      <x:c r="CV132" s="117" t="n">
        <x:f>$B$132*CV115</x:f>
      </x:c>
      <x:c r="CW132" s="117" t="n">
        <x:f>$B$132*CW115</x:f>
      </x:c>
      <x:c r="CX132" s="117" t="n">
        <x:f>$B$132*CX115</x:f>
      </x:c>
      <x:c r="CY132" s="117" t="n">
        <x:f>$B$132*CY115</x:f>
      </x:c>
      <x:c r="CZ132" s="117" t="n">
        <x:f>$B$132*CZ115</x:f>
      </x:c>
      <x:c r="DA132" s="117" t="n">
        <x:f>$B$132*DA115</x:f>
      </x:c>
      <x:c r="DB132" s="117" t="n">
        <x:f>$B$132*DB115</x:f>
      </x:c>
      <x:c r="DC132" s="117" t="n">
        <x:f>$B$132*DC115</x:f>
      </x:c>
      <x:c r="DD132" s="117" t="n">
        <x:f>$B$132*DD115</x:f>
      </x:c>
      <x:c r="DE132" s="117" t="n">
        <x:f>$B$132*DE115</x:f>
      </x:c>
      <x:c r="DF132" s="117" t="n">
        <x:f>$B$132*DF115</x:f>
      </x:c>
      <x:c r="DG132" s="117" t="n">
        <x:f>$B$132*DG115</x:f>
      </x:c>
      <x:c r="DH132" s="117" t="n">
        <x:f>$B$132*DH115</x:f>
      </x:c>
      <x:c r="DI132" s="117" t="n">
        <x:f>$B$132*DI115</x:f>
      </x:c>
      <x:c r="DJ132" s="117" t="n">
        <x:f>$B$132*DJ115</x:f>
      </x:c>
      <x:c r="DK132" s="117" t="n">
        <x:f>$B$132*DK115</x:f>
      </x:c>
      <x:c r="DL132" s="117" t="n">
        <x:f>$B$132*DL115</x:f>
      </x:c>
      <x:c r="DM132" s="117" t="n">
        <x:f>$B$132*DM115</x:f>
      </x:c>
      <x:c r="DN132" s="117" t="n">
        <x:f>$B$132*DN115</x:f>
      </x:c>
      <x:c r="DO132" s="117" t="n">
        <x:f>$B$132*DO115</x:f>
      </x:c>
      <x:c r="DP132" s="117" t="n">
        <x:f>$B$132*DP115</x:f>
      </x:c>
      <x:c r="DQ132" s="117" t="n">
        <x:f>$B$132*DQ115</x:f>
      </x:c>
      <x:c r="DR132" s="117" t="n">
        <x:f>$B$132*DR115</x:f>
      </x:c>
      <x:c r="DS132" s="117" t="n">
        <x:f>$B$132*DS115</x:f>
      </x:c>
    </x:row>
    <x:row r="133">
      <x:c r="A133" t="str">
        <x:v>Социальная нагрузка</x:v>
      </x:c>
      <x:c r="B133" s="107" t="n">
        <x:f>'Вводные'!$B$17*'Вводные'!$R$91*'Вводные'!$H$6*--('Вводные'!$B$91="Да")</x:f>
      </x:c>
      <x:c r="C133" t="str">
        <x:v>млн ₽</x:v>
      </x:c>
      <x:c r="D133" s="117" t="n">
        <x:f>IF(AND(D$3&gt;='Вводные'!$B$18,D$3&lt;EDATE('Вводные'!$B$18,MAX(1,'Вводные'!$E$18))),$B$133/MAX(1,'Вводные'!$E$18),0)</x:f>
      </x:c>
      <x:c r="E133" s="117" t="n">
        <x:f>IF(AND(E$3&gt;='Вводные'!$B$18,E$3&lt;EDATE('Вводные'!$B$18,MAX(1,'Вводные'!$E$18))),$B$133/MAX(1,'Вводные'!$E$18),0)</x:f>
      </x:c>
      <x:c r="F133" s="117" t="n">
        <x:f>IF(AND(F$3&gt;='Вводные'!$B$18,F$3&lt;EDATE('Вводные'!$B$18,MAX(1,'Вводные'!$E$18))),$B$133/MAX(1,'Вводные'!$E$18),0)</x:f>
      </x:c>
      <x:c r="G133" s="117" t="n">
        <x:f>IF(AND(G$3&gt;='Вводные'!$B$18,G$3&lt;EDATE('Вводные'!$B$18,MAX(1,'Вводные'!$E$18))),$B$133/MAX(1,'Вводные'!$E$18),0)</x:f>
      </x:c>
      <x:c r="H133" s="117" t="n">
        <x:f>IF(AND(H$3&gt;='Вводные'!$B$18,H$3&lt;EDATE('Вводные'!$B$18,MAX(1,'Вводные'!$E$18))),$B$133/MAX(1,'Вводные'!$E$18),0)</x:f>
      </x:c>
      <x:c r="I133" s="117" t="n">
        <x:f>IF(AND(I$3&gt;='Вводные'!$B$18,I$3&lt;EDATE('Вводные'!$B$18,MAX(1,'Вводные'!$E$18))),$B$133/MAX(1,'Вводные'!$E$18),0)</x:f>
      </x:c>
      <x:c r="J133" s="117" t="n">
        <x:f>IF(AND(J$3&gt;='Вводные'!$B$18,J$3&lt;EDATE('Вводные'!$B$18,MAX(1,'Вводные'!$E$18))),$B$133/MAX(1,'Вводные'!$E$18),0)</x:f>
      </x:c>
      <x:c r="K133" s="117" t="n">
        <x:f>IF(AND(K$3&gt;='Вводные'!$B$18,K$3&lt;EDATE('Вводные'!$B$18,MAX(1,'Вводные'!$E$18))),$B$133/MAX(1,'Вводные'!$E$18),0)</x:f>
      </x:c>
      <x:c r="L133" s="117" t="n">
        <x:f>IF(AND(L$3&gt;='Вводные'!$B$18,L$3&lt;EDATE('Вводные'!$B$18,MAX(1,'Вводные'!$E$18))),$B$133/MAX(1,'Вводные'!$E$18),0)</x:f>
      </x:c>
      <x:c r="M133" s="117" t="n">
        <x:f>IF(AND(M$3&gt;='Вводные'!$B$18,M$3&lt;EDATE('Вводные'!$B$18,MAX(1,'Вводные'!$E$18))),$B$133/MAX(1,'Вводные'!$E$18),0)</x:f>
      </x:c>
      <x:c r="N133" s="117" t="n">
        <x:f>IF(AND(N$3&gt;='Вводные'!$B$18,N$3&lt;EDATE('Вводные'!$B$18,MAX(1,'Вводные'!$E$18))),$B$133/MAX(1,'Вводные'!$E$18),0)</x:f>
      </x:c>
      <x:c r="O133" s="117" t="n">
        <x:f>IF(AND(O$3&gt;='Вводные'!$B$18,O$3&lt;EDATE('Вводные'!$B$18,MAX(1,'Вводные'!$E$18))),$B$133/MAX(1,'Вводные'!$E$18),0)</x:f>
      </x:c>
      <x:c r="P133" s="117" t="n">
        <x:f>IF(AND(P$3&gt;='Вводные'!$B$18,P$3&lt;EDATE('Вводные'!$B$18,MAX(1,'Вводные'!$E$18))),$B$133/MAX(1,'Вводные'!$E$18),0)</x:f>
      </x:c>
      <x:c r="Q133" s="117" t="n">
        <x:f>IF(AND(Q$3&gt;='Вводные'!$B$18,Q$3&lt;EDATE('Вводные'!$B$18,MAX(1,'Вводные'!$E$18))),$B$133/MAX(1,'Вводные'!$E$18),0)</x:f>
      </x:c>
      <x:c r="R133" s="117" t="n">
        <x:f>IF(AND(R$3&gt;='Вводные'!$B$18,R$3&lt;EDATE('Вводные'!$B$18,MAX(1,'Вводные'!$E$18))),$B$133/MAX(1,'Вводные'!$E$18),0)</x:f>
      </x:c>
      <x:c r="S133" s="117" t="n">
        <x:f>IF(AND(S$3&gt;='Вводные'!$B$18,S$3&lt;EDATE('Вводные'!$B$18,MAX(1,'Вводные'!$E$18))),$B$133/MAX(1,'Вводные'!$E$18),0)</x:f>
      </x:c>
      <x:c r="T133" s="117" t="n">
        <x:f>IF(AND(T$3&gt;='Вводные'!$B$18,T$3&lt;EDATE('Вводные'!$B$18,MAX(1,'Вводные'!$E$18))),$B$133/MAX(1,'Вводные'!$E$18),0)</x:f>
      </x:c>
      <x:c r="U133" s="117" t="n">
        <x:f>IF(AND(U$3&gt;='Вводные'!$B$18,U$3&lt;EDATE('Вводные'!$B$18,MAX(1,'Вводные'!$E$18))),$B$133/MAX(1,'Вводные'!$E$18),0)</x:f>
      </x:c>
      <x:c r="V133" s="117" t="n">
        <x:f>IF(AND(V$3&gt;='Вводные'!$B$18,V$3&lt;EDATE('Вводные'!$B$18,MAX(1,'Вводные'!$E$18))),$B$133/MAX(1,'Вводные'!$E$18),0)</x:f>
      </x:c>
      <x:c r="W133" s="117" t="n">
        <x:f>IF(AND(W$3&gt;='Вводные'!$B$18,W$3&lt;EDATE('Вводные'!$B$18,MAX(1,'Вводные'!$E$18))),$B$133/MAX(1,'Вводные'!$E$18),0)</x:f>
      </x:c>
      <x:c r="X133" s="117" t="n">
        <x:f>IF(AND(X$3&gt;='Вводные'!$B$18,X$3&lt;EDATE('Вводные'!$B$18,MAX(1,'Вводные'!$E$18))),$B$133/MAX(1,'Вводные'!$E$18),0)</x:f>
      </x:c>
      <x:c r="Y133" s="117" t="n">
        <x:f>IF(AND(Y$3&gt;='Вводные'!$B$18,Y$3&lt;EDATE('Вводные'!$B$18,MAX(1,'Вводные'!$E$18))),$B$133/MAX(1,'Вводные'!$E$18),0)</x:f>
      </x:c>
      <x:c r="Z133" s="117" t="n">
        <x:f>IF(AND(Z$3&gt;='Вводные'!$B$18,Z$3&lt;EDATE('Вводные'!$B$18,MAX(1,'Вводные'!$E$18))),$B$133/MAX(1,'Вводные'!$E$18),0)</x:f>
      </x:c>
      <x:c r="AA133" s="117" t="n">
        <x:f>IF(AND(AA$3&gt;='Вводные'!$B$18,AA$3&lt;EDATE('Вводные'!$B$18,MAX(1,'Вводные'!$E$18))),$B$133/MAX(1,'Вводные'!$E$18),0)</x:f>
      </x:c>
      <x:c r="AB133" s="117" t="n">
        <x:f>IF(AND(AB$3&gt;='Вводные'!$B$18,AB$3&lt;EDATE('Вводные'!$B$18,MAX(1,'Вводные'!$E$18))),$B$133/MAX(1,'Вводные'!$E$18),0)</x:f>
      </x:c>
      <x:c r="AC133" s="117" t="n">
        <x:f>IF(AND(AC$3&gt;='Вводные'!$B$18,AC$3&lt;EDATE('Вводные'!$B$18,MAX(1,'Вводные'!$E$18))),$B$133/MAX(1,'Вводные'!$E$18),0)</x:f>
      </x:c>
      <x:c r="AD133" s="117" t="n">
        <x:f>IF(AND(AD$3&gt;='Вводные'!$B$18,AD$3&lt;EDATE('Вводные'!$B$18,MAX(1,'Вводные'!$E$18))),$B$133/MAX(1,'Вводные'!$E$18),0)</x:f>
      </x:c>
      <x:c r="AE133" s="117" t="n">
        <x:f>IF(AND(AE$3&gt;='Вводные'!$B$18,AE$3&lt;EDATE('Вводные'!$B$18,MAX(1,'Вводные'!$E$18))),$B$133/MAX(1,'Вводные'!$E$18),0)</x:f>
      </x:c>
      <x:c r="AF133" s="117" t="n">
        <x:f>IF(AND(AF$3&gt;='Вводные'!$B$18,AF$3&lt;EDATE('Вводные'!$B$18,MAX(1,'Вводные'!$E$18))),$B$133/MAX(1,'Вводные'!$E$18),0)</x:f>
      </x:c>
      <x:c r="AG133" s="117" t="n">
        <x:f>IF(AND(AG$3&gt;='Вводные'!$B$18,AG$3&lt;EDATE('Вводные'!$B$18,MAX(1,'Вводные'!$E$18))),$B$133/MAX(1,'Вводные'!$E$18),0)</x:f>
      </x:c>
      <x:c r="AH133" s="117" t="n">
        <x:f>IF(AND(AH$3&gt;='Вводные'!$B$18,AH$3&lt;EDATE('Вводные'!$B$18,MAX(1,'Вводные'!$E$18))),$B$133/MAX(1,'Вводные'!$E$18),0)</x:f>
      </x:c>
      <x:c r="AI133" s="117" t="n">
        <x:f>IF(AND(AI$3&gt;='Вводные'!$B$18,AI$3&lt;EDATE('Вводные'!$B$18,MAX(1,'Вводные'!$E$18))),$B$133/MAX(1,'Вводные'!$E$18),0)</x:f>
      </x:c>
      <x:c r="AJ133" s="117" t="n">
        <x:f>IF(AND(AJ$3&gt;='Вводные'!$B$18,AJ$3&lt;EDATE('Вводные'!$B$18,MAX(1,'Вводные'!$E$18))),$B$133/MAX(1,'Вводные'!$E$18),0)</x:f>
      </x:c>
      <x:c r="AK133" s="117" t="n">
        <x:f>IF(AND(AK$3&gt;='Вводные'!$B$18,AK$3&lt;EDATE('Вводные'!$B$18,MAX(1,'Вводные'!$E$18))),$B$133/MAX(1,'Вводные'!$E$18),0)</x:f>
      </x:c>
      <x:c r="AL133" s="117" t="n">
        <x:f>IF(AND(AL$3&gt;='Вводные'!$B$18,AL$3&lt;EDATE('Вводные'!$B$18,MAX(1,'Вводные'!$E$18))),$B$133/MAX(1,'Вводные'!$E$18),0)</x:f>
      </x:c>
      <x:c r="AM133" s="117" t="n">
        <x:f>IF(AND(AM$3&gt;='Вводные'!$B$18,AM$3&lt;EDATE('Вводные'!$B$18,MAX(1,'Вводные'!$E$18))),$B$133/MAX(1,'Вводные'!$E$18),0)</x:f>
      </x:c>
      <x:c r="AN133" s="117" t="n">
        <x:f>IF(AND(AN$3&gt;='Вводные'!$B$18,AN$3&lt;EDATE('Вводные'!$B$18,MAX(1,'Вводные'!$E$18))),$B$133/MAX(1,'Вводные'!$E$18),0)</x:f>
      </x:c>
      <x:c r="AO133" s="117" t="n">
        <x:f>IF(AND(AO$3&gt;='Вводные'!$B$18,AO$3&lt;EDATE('Вводные'!$B$18,MAX(1,'Вводные'!$E$18))),$B$133/MAX(1,'Вводные'!$E$18),0)</x:f>
      </x:c>
      <x:c r="AP133" s="117" t="n">
        <x:f>IF(AND(AP$3&gt;='Вводные'!$B$18,AP$3&lt;EDATE('Вводные'!$B$18,MAX(1,'Вводные'!$E$18))),$B$133/MAX(1,'Вводные'!$E$18),0)</x:f>
      </x:c>
      <x:c r="AQ133" s="117" t="n">
        <x:f>IF(AND(AQ$3&gt;='Вводные'!$B$18,AQ$3&lt;EDATE('Вводные'!$B$18,MAX(1,'Вводные'!$E$18))),$B$133/MAX(1,'Вводные'!$E$18),0)</x:f>
      </x:c>
      <x:c r="AR133" s="117" t="n">
        <x:f>IF(AND(AR$3&gt;='Вводные'!$B$18,AR$3&lt;EDATE('Вводные'!$B$18,MAX(1,'Вводные'!$E$18))),$B$133/MAX(1,'Вводные'!$E$18),0)</x:f>
      </x:c>
      <x:c r="AS133" s="117" t="n">
        <x:f>IF(AND(AS$3&gt;='Вводные'!$B$18,AS$3&lt;EDATE('Вводные'!$B$18,MAX(1,'Вводные'!$E$18))),$B$133/MAX(1,'Вводные'!$E$18),0)</x:f>
      </x:c>
      <x:c r="AT133" s="117" t="n">
        <x:f>IF(AND(AT$3&gt;='Вводные'!$B$18,AT$3&lt;EDATE('Вводные'!$B$18,MAX(1,'Вводные'!$E$18))),$B$133/MAX(1,'Вводные'!$E$18),0)</x:f>
      </x:c>
      <x:c r="AU133" s="117" t="n">
        <x:f>IF(AND(AU$3&gt;='Вводные'!$B$18,AU$3&lt;EDATE('Вводные'!$B$18,MAX(1,'Вводные'!$E$18))),$B$133/MAX(1,'Вводные'!$E$18),0)</x:f>
      </x:c>
      <x:c r="AV133" s="117" t="n">
        <x:f>IF(AND(AV$3&gt;='Вводные'!$B$18,AV$3&lt;EDATE('Вводные'!$B$18,MAX(1,'Вводные'!$E$18))),$B$133/MAX(1,'Вводные'!$E$18),0)</x:f>
      </x:c>
      <x:c r="AW133" s="117" t="n">
        <x:f>IF(AND(AW$3&gt;='Вводные'!$B$18,AW$3&lt;EDATE('Вводные'!$B$18,MAX(1,'Вводные'!$E$18))),$B$133/MAX(1,'Вводные'!$E$18),0)</x:f>
      </x:c>
      <x:c r="AX133" s="117" t="n">
        <x:f>IF(AND(AX$3&gt;='Вводные'!$B$18,AX$3&lt;EDATE('Вводные'!$B$18,MAX(1,'Вводные'!$E$18))),$B$133/MAX(1,'Вводные'!$E$18),0)</x:f>
      </x:c>
      <x:c r="AY133" s="117" t="n">
        <x:f>IF(AND(AY$3&gt;='Вводные'!$B$18,AY$3&lt;EDATE('Вводные'!$B$18,MAX(1,'Вводные'!$E$18))),$B$133/MAX(1,'Вводные'!$E$18),0)</x:f>
      </x:c>
      <x:c r="AZ133" s="117" t="n">
        <x:f>IF(AND(AZ$3&gt;='Вводные'!$B$18,AZ$3&lt;EDATE('Вводные'!$B$18,MAX(1,'Вводные'!$E$18))),$B$133/MAX(1,'Вводные'!$E$18),0)</x:f>
      </x:c>
      <x:c r="BA133" s="117" t="n">
        <x:f>IF(AND(BA$3&gt;='Вводные'!$B$18,BA$3&lt;EDATE('Вводные'!$B$18,MAX(1,'Вводные'!$E$18))),$B$133/MAX(1,'Вводные'!$E$18),0)</x:f>
      </x:c>
      <x:c r="BB133" s="117" t="n">
        <x:f>IF(AND(BB$3&gt;='Вводные'!$B$18,BB$3&lt;EDATE('Вводные'!$B$18,MAX(1,'Вводные'!$E$18))),$B$133/MAX(1,'Вводные'!$E$18),0)</x:f>
      </x:c>
      <x:c r="BC133" s="117" t="n">
        <x:f>IF(AND(BC$3&gt;='Вводные'!$B$18,BC$3&lt;EDATE('Вводные'!$B$18,MAX(1,'Вводные'!$E$18))),$B$133/MAX(1,'Вводные'!$E$18),0)</x:f>
      </x:c>
      <x:c r="BD133" s="117" t="n">
        <x:f>IF(AND(BD$3&gt;='Вводные'!$B$18,BD$3&lt;EDATE('Вводные'!$B$18,MAX(1,'Вводные'!$E$18))),$B$133/MAX(1,'Вводные'!$E$18),0)</x:f>
      </x:c>
      <x:c r="BE133" s="117" t="n">
        <x:f>IF(AND(BE$3&gt;='Вводные'!$B$18,BE$3&lt;EDATE('Вводные'!$B$18,MAX(1,'Вводные'!$E$18))),$B$133/MAX(1,'Вводные'!$E$18),0)</x:f>
      </x:c>
      <x:c r="BF133" s="117" t="n">
        <x:f>IF(AND(BF$3&gt;='Вводные'!$B$18,BF$3&lt;EDATE('Вводные'!$B$18,MAX(1,'Вводные'!$E$18))),$B$133/MAX(1,'Вводные'!$E$18),0)</x:f>
      </x:c>
      <x:c r="BG133" s="117" t="n">
        <x:f>IF(AND(BG$3&gt;='Вводные'!$B$18,BG$3&lt;EDATE('Вводные'!$B$18,MAX(1,'Вводные'!$E$18))),$B$133/MAX(1,'Вводные'!$E$18),0)</x:f>
      </x:c>
      <x:c r="BH133" s="117" t="n">
        <x:f>IF(AND(BH$3&gt;='Вводные'!$B$18,BH$3&lt;EDATE('Вводные'!$B$18,MAX(1,'Вводные'!$E$18))),$B$133/MAX(1,'Вводные'!$E$18),0)</x:f>
      </x:c>
      <x:c r="BI133" s="117" t="n">
        <x:f>IF(AND(BI$3&gt;='Вводные'!$B$18,BI$3&lt;EDATE('Вводные'!$B$18,MAX(1,'Вводные'!$E$18))),$B$133/MAX(1,'Вводные'!$E$18),0)</x:f>
      </x:c>
      <x:c r="BJ133" s="117" t="n">
        <x:f>IF(AND(BJ$3&gt;='Вводные'!$B$18,BJ$3&lt;EDATE('Вводные'!$B$18,MAX(1,'Вводные'!$E$18))),$B$133/MAX(1,'Вводные'!$E$18),0)</x:f>
      </x:c>
      <x:c r="BK133" s="117" t="n">
        <x:f>IF(AND(BK$3&gt;='Вводные'!$B$18,BK$3&lt;EDATE('Вводные'!$B$18,MAX(1,'Вводные'!$E$18))),$B$133/MAX(1,'Вводные'!$E$18),0)</x:f>
      </x:c>
      <x:c r="BL133" s="117" t="n">
        <x:f>IF(AND(BL$3&gt;='Вводные'!$B$18,BL$3&lt;EDATE('Вводные'!$B$18,MAX(1,'Вводные'!$E$18))),$B$133/MAX(1,'Вводные'!$E$18),0)</x:f>
      </x:c>
      <x:c r="BM133" s="117" t="n">
        <x:f>IF(AND(BM$3&gt;='Вводные'!$B$18,BM$3&lt;EDATE('Вводные'!$B$18,MAX(1,'Вводные'!$E$18))),$B$133/MAX(1,'Вводные'!$E$18),0)</x:f>
      </x:c>
      <x:c r="BN133" s="117" t="n">
        <x:f>IF(AND(BN$3&gt;='Вводные'!$B$18,BN$3&lt;EDATE('Вводные'!$B$18,MAX(1,'Вводные'!$E$18))),$B$133/MAX(1,'Вводные'!$E$18),0)</x:f>
      </x:c>
      <x:c r="BO133" s="117" t="n">
        <x:f>IF(AND(BO$3&gt;='Вводные'!$B$18,BO$3&lt;EDATE('Вводные'!$B$18,MAX(1,'Вводные'!$E$18))),$B$133/MAX(1,'Вводные'!$E$18),0)</x:f>
      </x:c>
      <x:c r="BP133" s="117" t="n">
        <x:f>IF(AND(BP$3&gt;='Вводные'!$B$18,BP$3&lt;EDATE('Вводные'!$B$18,MAX(1,'Вводные'!$E$18))),$B$133/MAX(1,'Вводные'!$E$18),0)</x:f>
      </x:c>
      <x:c r="BQ133" s="117" t="n">
        <x:f>IF(AND(BQ$3&gt;='Вводные'!$B$18,BQ$3&lt;EDATE('Вводные'!$B$18,MAX(1,'Вводные'!$E$18))),$B$133/MAX(1,'Вводные'!$E$18),0)</x:f>
      </x:c>
      <x:c r="BR133" s="117" t="n">
        <x:f>IF(AND(BR$3&gt;='Вводные'!$B$18,BR$3&lt;EDATE('Вводные'!$B$18,MAX(1,'Вводные'!$E$18))),$B$133/MAX(1,'Вводные'!$E$18),0)</x:f>
      </x:c>
      <x:c r="BS133" s="117" t="n">
        <x:f>IF(AND(BS$3&gt;='Вводные'!$B$18,BS$3&lt;EDATE('Вводные'!$B$18,MAX(1,'Вводные'!$E$18))),$B$133/MAX(1,'Вводные'!$E$18),0)</x:f>
      </x:c>
      <x:c r="BT133" s="117" t="n">
        <x:f>IF(AND(BT$3&gt;='Вводные'!$B$18,BT$3&lt;EDATE('Вводные'!$B$18,MAX(1,'Вводные'!$E$18))),$B$133/MAX(1,'Вводные'!$E$18),0)</x:f>
      </x:c>
      <x:c r="BU133" s="117" t="n">
        <x:f>IF(AND(BU$3&gt;='Вводные'!$B$18,BU$3&lt;EDATE('Вводные'!$B$18,MAX(1,'Вводные'!$E$18))),$B$133/MAX(1,'Вводные'!$E$18),0)</x:f>
      </x:c>
      <x:c r="BV133" s="117" t="n">
        <x:f>IF(AND(BV$3&gt;='Вводные'!$B$18,BV$3&lt;EDATE('Вводные'!$B$18,MAX(1,'Вводные'!$E$18))),$B$133/MAX(1,'Вводные'!$E$18),0)</x:f>
      </x:c>
      <x:c r="BW133" s="117" t="n">
        <x:f>IF(AND(BW$3&gt;='Вводные'!$B$18,BW$3&lt;EDATE('Вводные'!$B$18,MAX(1,'Вводные'!$E$18))),$B$133/MAX(1,'Вводные'!$E$18),0)</x:f>
      </x:c>
      <x:c r="BX133" s="117" t="n">
        <x:f>IF(AND(BX$3&gt;='Вводные'!$B$18,BX$3&lt;EDATE('Вводные'!$B$18,MAX(1,'Вводные'!$E$18))),$B$133/MAX(1,'Вводные'!$E$18),0)</x:f>
      </x:c>
      <x:c r="BY133" s="117" t="n">
        <x:f>IF(AND(BY$3&gt;='Вводные'!$B$18,BY$3&lt;EDATE('Вводные'!$B$18,MAX(1,'Вводные'!$E$18))),$B$133/MAX(1,'Вводные'!$E$18),0)</x:f>
      </x:c>
      <x:c r="BZ133" s="117" t="n">
        <x:f>IF(AND(BZ$3&gt;='Вводные'!$B$18,BZ$3&lt;EDATE('Вводные'!$B$18,MAX(1,'Вводные'!$E$18))),$B$133/MAX(1,'Вводные'!$E$18),0)</x:f>
      </x:c>
      <x:c r="CA133" s="117" t="n">
        <x:f>IF(AND(CA$3&gt;='Вводные'!$B$18,CA$3&lt;EDATE('Вводные'!$B$18,MAX(1,'Вводные'!$E$18))),$B$133/MAX(1,'Вводные'!$E$18),0)</x:f>
      </x:c>
      <x:c r="CB133" s="117" t="n">
        <x:f>IF(AND(CB$3&gt;='Вводные'!$B$18,CB$3&lt;EDATE('Вводные'!$B$18,MAX(1,'Вводные'!$E$18))),$B$133/MAX(1,'Вводные'!$E$18),0)</x:f>
      </x:c>
      <x:c r="CC133" s="117" t="n">
        <x:f>IF(AND(CC$3&gt;='Вводные'!$B$18,CC$3&lt;EDATE('Вводные'!$B$18,MAX(1,'Вводные'!$E$18))),$B$133/MAX(1,'Вводные'!$E$18),0)</x:f>
      </x:c>
      <x:c r="CD133" s="117" t="n">
        <x:f>IF(AND(CD$3&gt;='Вводные'!$B$18,CD$3&lt;EDATE('Вводные'!$B$18,MAX(1,'Вводные'!$E$18))),$B$133/MAX(1,'Вводные'!$E$18),0)</x:f>
      </x:c>
      <x:c r="CE133" s="117" t="n">
        <x:f>IF(AND(CE$3&gt;='Вводные'!$B$18,CE$3&lt;EDATE('Вводные'!$B$18,MAX(1,'Вводные'!$E$18))),$B$133/MAX(1,'Вводные'!$E$18),0)</x:f>
      </x:c>
      <x:c r="CF133" s="117" t="n">
        <x:f>IF(AND(CF$3&gt;='Вводные'!$B$18,CF$3&lt;EDATE('Вводные'!$B$18,MAX(1,'Вводные'!$E$18))),$B$133/MAX(1,'Вводные'!$E$18),0)</x:f>
      </x:c>
      <x:c r="CG133" s="117" t="n">
        <x:f>IF(AND(CG$3&gt;='Вводные'!$B$18,CG$3&lt;EDATE('Вводные'!$B$18,MAX(1,'Вводные'!$E$18))),$B$133/MAX(1,'Вводные'!$E$18),0)</x:f>
      </x:c>
      <x:c r="CH133" s="117" t="n">
        <x:f>IF(AND(CH$3&gt;='Вводные'!$B$18,CH$3&lt;EDATE('Вводные'!$B$18,MAX(1,'Вводные'!$E$18))),$B$133/MAX(1,'Вводные'!$E$18),0)</x:f>
      </x:c>
      <x:c r="CI133" s="117" t="n">
        <x:f>IF(AND(CI$3&gt;='Вводные'!$B$18,CI$3&lt;EDATE('Вводные'!$B$18,MAX(1,'Вводные'!$E$18))),$B$133/MAX(1,'Вводные'!$E$18),0)</x:f>
      </x:c>
      <x:c r="CJ133" s="117" t="n">
        <x:f>IF(AND(CJ$3&gt;='Вводные'!$B$18,CJ$3&lt;EDATE('Вводные'!$B$18,MAX(1,'Вводные'!$E$18))),$B$133/MAX(1,'Вводные'!$E$18),0)</x:f>
      </x:c>
      <x:c r="CK133" s="117" t="n">
        <x:f>IF(AND(CK$3&gt;='Вводные'!$B$18,CK$3&lt;EDATE('Вводные'!$B$18,MAX(1,'Вводные'!$E$18))),$B$133/MAX(1,'Вводные'!$E$18),0)</x:f>
      </x:c>
      <x:c r="CL133" s="117" t="n">
        <x:f>IF(AND(CL$3&gt;='Вводные'!$B$18,CL$3&lt;EDATE('Вводные'!$B$18,MAX(1,'Вводные'!$E$18))),$B$133/MAX(1,'Вводные'!$E$18),0)</x:f>
      </x:c>
      <x:c r="CM133" s="117" t="n">
        <x:f>IF(AND(CM$3&gt;='Вводные'!$B$18,CM$3&lt;EDATE('Вводные'!$B$18,MAX(1,'Вводные'!$E$18))),$B$133/MAX(1,'Вводные'!$E$18),0)</x:f>
      </x:c>
      <x:c r="CN133" s="117" t="n">
        <x:f>IF(AND(CN$3&gt;='Вводные'!$B$18,CN$3&lt;EDATE('Вводные'!$B$18,MAX(1,'Вводные'!$E$18))),$B$133/MAX(1,'Вводные'!$E$18),0)</x:f>
      </x:c>
      <x:c r="CO133" s="117" t="n">
        <x:f>IF(AND(CO$3&gt;='Вводные'!$B$18,CO$3&lt;EDATE('Вводные'!$B$18,MAX(1,'Вводные'!$E$18))),$B$133/MAX(1,'Вводные'!$E$18),0)</x:f>
      </x:c>
      <x:c r="CP133" s="117" t="n">
        <x:f>IF(AND(CP$3&gt;='Вводные'!$B$18,CP$3&lt;EDATE('Вводные'!$B$18,MAX(1,'Вводные'!$E$18))),$B$133/MAX(1,'Вводные'!$E$18),0)</x:f>
      </x:c>
      <x:c r="CQ133" s="117" t="n">
        <x:f>IF(AND(CQ$3&gt;='Вводные'!$B$18,CQ$3&lt;EDATE('Вводные'!$B$18,MAX(1,'Вводные'!$E$18))),$B$133/MAX(1,'Вводные'!$E$18),0)</x:f>
      </x:c>
      <x:c r="CR133" s="117" t="n">
        <x:f>IF(AND(CR$3&gt;='Вводные'!$B$18,CR$3&lt;EDATE('Вводные'!$B$18,MAX(1,'Вводные'!$E$18))),$B$133/MAX(1,'Вводные'!$E$18),0)</x:f>
      </x:c>
      <x:c r="CS133" s="117" t="n">
        <x:f>IF(AND(CS$3&gt;='Вводные'!$B$18,CS$3&lt;EDATE('Вводные'!$B$18,MAX(1,'Вводные'!$E$18))),$B$133/MAX(1,'Вводные'!$E$18),0)</x:f>
      </x:c>
      <x:c r="CT133" s="117" t="n">
        <x:f>IF(AND(CT$3&gt;='Вводные'!$B$18,CT$3&lt;EDATE('Вводные'!$B$18,MAX(1,'Вводные'!$E$18))),$B$133/MAX(1,'Вводные'!$E$18),0)</x:f>
      </x:c>
      <x:c r="CU133" s="117" t="n">
        <x:f>IF(AND(CU$3&gt;='Вводные'!$B$18,CU$3&lt;EDATE('Вводные'!$B$18,MAX(1,'Вводные'!$E$18))),$B$133/MAX(1,'Вводные'!$E$18),0)</x:f>
      </x:c>
      <x:c r="CV133" s="117" t="n">
        <x:f>IF(AND(CV$3&gt;='Вводные'!$B$18,CV$3&lt;EDATE('Вводные'!$B$18,MAX(1,'Вводные'!$E$18))),$B$133/MAX(1,'Вводные'!$E$18),0)</x:f>
      </x:c>
      <x:c r="CW133" s="117" t="n">
        <x:f>IF(AND(CW$3&gt;='Вводные'!$B$18,CW$3&lt;EDATE('Вводные'!$B$18,MAX(1,'Вводные'!$E$18))),$B$133/MAX(1,'Вводные'!$E$18),0)</x:f>
      </x:c>
      <x:c r="CX133" s="117" t="n">
        <x:f>IF(AND(CX$3&gt;='Вводные'!$B$18,CX$3&lt;EDATE('Вводные'!$B$18,MAX(1,'Вводные'!$E$18))),$B$133/MAX(1,'Вводные'!$E$18),0)</x:f>
      </x:c>
      <x:c r="CY133" s="117" t="n">
        <x:f>IF(AND(CY$3&gt;='Вводные'!$B$18,CY$3&lt;EDATE('Вводные'!$B$18,MAX(1,'Вводные'!$E$18))),$B$133/MAX(1,'Вводные'!$E$18),0)</x:f>
      </x:c>
      <x:c r="CZ133" s="117" t="n">
        <x:f>IF(AND(CZ$3&gt;='Вводные'!$B$18,CZ$3&lt;EDATE('Вводные'!$B$18,MAX(1,'Вводные'!$E$18))),$B$133/MAX(1,'Вводные'!$E$18),0)</x:f>
      </x:c>
      <x:c r="DA133" s="117" t="n">
        <x:f>IF(AND(DA$3&gt;='Вводные'!$B$18,DA$3&lt;EDATE('Вводные'!$B$18,MAX(1,'Вводные'!$E$18))),$B$133/MAX(1,'Вводные'!$E$18),0)</x:f>
      </x:c>
      <x:c r="DB133" s="117" t="n">
        <x:f>IF(AND(DB$3&gt;='Вводные'!$B$18,DB$3&lt;EDATE('Вводные'!$B$18,MAX(1,'Вводные'!$E$18))),$B$133/MAX(1,'Вводные'!$E$18),0)</x:f>
      </x:c>
      <x:c r="DC133" s="117" t="n">
        <x:f>IF(AND(DC$3&gt;='Вводные'!$B$18,DC$3&lt;EDATE('Вводные'!$B$18,MAX(1,'Вводные'!$E$18))),$B$133/MAX(1,'Вводные'!$E$18),0)</x:f>
      </x:c>
      <x:c r="DD133" s="117" t="n">
        <x:f>IF(AND(DD$3&gt;='Вводные'!$B$18,DD$3&lt;EDATE('Вводные'!$B$18,MAX(1,'Вводные'!$E$18))),$B$133/MAX(1,'Вводные'!$E$18),0)</x:f>
      </x:c>
      <x:c r="DE133" s="117" t="n">
        <x:f>IF(AND(DE$3&gt;='Вводные'!$B$18,DE$3&lt;EDATE('Вводные'!$B$18,MAX(1,'Вводные'!$E$18))),$B$133/MAX(1,'Вводные'!$E$18),0)</x:f>
      </x:c>
      <x:c r="DF133" s="117" t="n">
        <x:f>IF(AND(DF$3&gt;='Вводные'!$B$18,DF$3&lt;EDATE('Вводные'!$B$18,MAX(1,'Вводные'!$E$18))),$B$133/MAX(1,'Вводные'!$E$18),0)</x:f>
      </x:c>
      <x:c r="DG133" s="117" t="n">
        <x:f>IF(AND(DG$3&gt;='Вводные'!$B$18,DG$3&lt;EDATE('Вводные'!$B$18,MAX(1,'Вводные'!$E$18))),$B$133/MAX(1,'Вводные'!$E$18),0)</x:f>
      </x:c>
      <x:c r="DH133" s="117" t="n">
        <x:f>IF(AND(DH$3&gt;='Вводные'!$B$18,DH$3&lt;EDATE('Вводные'!$B$18,MAX(1,'Вводные'!$E$18))),$B$133/MAX(1,'Вводные'!$E$18),0)</x:f>
      </x:c>
      <x:c r="DI133" s="117" t="n">
        <x:f>IF(AND(DI$3&gt;='Вводные'!$B$18,DI$3&lt;EDATE('Вводные'!$B$18,MAX(1,'Вводные'!$E$18))),$B$133/MAX(1,'Вводные'!$E$18),0)</x:f>
      </x:c>
      <x:c r="DJ133" s="117" t="n">
        <x:f>IF(AND(DJ$3&gt;='Вводные'!$B$18,DJ$3&lt;EDATE('Вводные'!$B$18,MAX(1,'Вводные'!$E$18))),$B$133/MAX(1,'Вводные'!$E$18),0)</x:f>
      </x:c>
      <x:c r="DK133" s="117" t="n">
        <x:f>IF(AND(DK$3&gt;='Вводные'!$B$18,DK$3&lt;EDATE('Вводные'!$B$18,MAX(1,'Вводные'!$E$18))),$B$133/MAX(1,'Вводные'!$E$18),0)</x:f>
      </x:c>
      <x:c r="DL133" s="117" t="n">
        <x:f>IF(AND(DL$3&gt;='Вводные'!$B$18,DL$3&lt;EDATE('Вводные'!$B$18,MAX(1,'Вводные'!$E$18))),$B$133/MAX(1,'Вводные'!$E$18),0)</x:f>
      </x:c>
      <x:c r="DM133" s="117" t="n">
        <x:f>IF(AND(DM$3&gt;='Вводные'!$B$18,DM$3&lt;EDATE('Вводные'!$B$18,MAX(1,'Вводные'!$E$18))),$B$133/MAX(1,'Вводные'!$E$18),0)</x:f>
      </x:c>
      <x:c r="DN133" s="117" t="n">
        <x:f>IF(AND(DN$3&gt;='Вводные'!$B$18,DN$3&lt;EDATE('Вводные'!$B$18,MAX(1,'Вводные'!$E$18))),$B$133/MAX(1,'Вводные'!$E$18),0)</x:f>
      </x:c>
      <x:c r="DO133" s="117" t="n">
        <x:f>IF(AND(DO$3&gt;='Вводные'!$B$18,DO$3&lt;EDATE('Вводные'!$B$18,MAX(1,'Вводные'!$E$18))),$B$133/MAX(1,'Вводные'!$E$18),0)</x:f>
      </x:c>
      <x:c r="DP133" s="117" t="n">
        <x:f>IF(AND(DP$3&gt;='Вводные'!$B$18,DP$3&lt;EDATE('Вводные'!$B$18,MAX(1,'Вводные'!$E$18))),$B$133/MAX(1,'Вводные'!$E$18),0)</x:f>
      </x:c>
      <x:c r="DQ133" s="117" t="n">
        <x:f>IF(AND(DQ$3&gt;='Вводные'!$B$18,DQ$3&lt;EDATE('Вводные'!$B$18,MAX(1,'Вводные'!$E$18))),$B$133/MAX(1,'Вводные'!$E$18),0)</x:f>
      </x:c>
      <x:c r="DR133" s="117" t="n">
        <x:f>IF(AND(DR$3&gt;='Вводные'!$B$18,DR$3&lt;EDATE('Вводные'!$B$18,MAX(1,'Вводные'!$E$18))),$B$133/MAX(1,'Вводные'!$E$18),0)</x:f>
      </x:c>
      <x:c r="DS133" s="117" t="n">
        <x:f>IF(AND(DS$3&gt;='Вводные'!$B$18,DS$3&lt;EDATE('Вводные'!$B$18,MAX(1,'Вводные'!$E$18))),$B$133/MAX(1,'Вводные'!$E$18),0)</x:f>
      </x:c>
    </x:row>
    <x:row r="134">
      <x:c r="A134" s="113" t="str">
        <x:v>CAPEX ВСЕГО</x:v>
      </x:c>
      <x:c r="B134" s="113" t="n">
        <x:f>SUM(D134:DS134)</x:f>
      </x:c>
      <x:c r="C134" s="113" t="str">
        <x:v>млн ₽</x:v>
      </x:c>
      <x:c r="D134" s="120" t="n">
        <x:f>SUM(D116:D133)+'ОБЪЕКТЫ'!D120</x:f>
      </x:c>
      <x:c r="E134" s="120" t="n">
        <x:f>SUM(E116:E133)+'ОБЪЕКТЫ'!E120</x:f>
      </x:c>
      <x:c r="F134" s="120" t="n">
        <x:f>SUM(F116:F133)+'ОБЪЕКТЫ'!F120</x:f>
      </x:c>
      <x:c r="G134" s="120" t="n">
        <x:f>SUM(G116:G133)+'ОБЪЕКТЫ'!G120</x:f>
      </x:c>
      <x:c r="H134" s="120" t="n">
        <x:f>SUM(H116:H133)+'ОБЪЕКТЫ'!H120</x:f>
      </x:c>
      <x:c r="I134" s="120" t="n">
        <x:f>SUM(I116:I133)+'ОБЪЕКТЫ'!I120</x:f>
      </x:c>
      <x:c r="J134" s="120" t="n">
        <x:f>SUM(J116:J133)+'ОБЪЕКТЫ'!J120</x:f>
      </x:c>
      <x:c r="K134" s="120" t="n">
        <x:f>SUM(K116:K133)+'ОБЪЕКТЫ'!K120</x:f>
      </x:c>
      <x:c r="L134" s="120" t="n">
        <x:f>SUM(L116:L133)+'ОБЪЕКТЫ'!L120</x:f>
      </x:c>
      <x:c r="M134" s="120" t="n">
        <x:f>SUM(M116:M133)+'ОБЪЕКТЫ'!M120</x:f>
      </x:c>
      <x:c r="N134" s="120" t="n">
        <x:f>SUM(N116:N133)+'ОБЪЕКТЫ'!N120</x:f>
      </x:c>
      <x:c r="O134" s="120" t="n">
        <x:f>SUM(O116:O133)+'ОБЪЕКТЫ'!O120</x:f>
      </x:c>
      <x:c r="P134" s="120" t="n">
        <x:f>SUM(P116:P133)+'ОБЪЕКТЫ'!P120</x:f>
      </x:c>
      <x:c r="Q134" s="120" t="n">
        <x:f>SUM(Q116:Q133)+'ОБЪЕКТЫ'!Q120</x:f>
      </x:c>
      <x:c r="R134" s="120" t="n">
        <x:f>SUM(R116:R133)+'ОБЪЕКТЫ'!R120</x:f>
      </x:c>
      <x:c r="S134" s="120" t="n">
        <x:f>SUM(S116:S133)+'ОБЪЕКТЫ'!S120</x:f>
      </x:c>
      <x:c r="T134" s="120" t="n">
        <x:f>SUM(T116:T133)+'ОБЪЕКТЫ'!T120</x:f>
      </x:c>
      <x:c r="U134" s="120" t="n">
        <x:f>SUM(U116:U133)+'ОБЪЕКТЫ'!U120</x:f>
      </x:c>
      <x:c r="V134" s="120" t="n">
        <x:f>SUM(V116:V133)+'ОБЪЕКТЫ'!V120</x:f>
      </x:c>
      <x:c r="W134" s="120" t="n">
        <x:f>SUM(W116:W133)+'ОБЪЕКТЫ'!W120</x:f>
      </x:c>
      <x:c r="X134" s="120" t="n">
        <x:f>SUM(X116:X133)+'ОБЪЕКТЫ'!X120</x:f>
      </x:c>
      <x:c r="Y134" s="120" t="n">
        <x:f>SUM(Y116:Y133)+'ОБЪЕКТЫ'!Y120</x:f>
      </x:c>
      <x:c r="Z134" s="120" t="n">
        <x:f>SUM(Z116:Z133)+'ОБЪЕКТЫ'!Z120</x:f>
      </x:c>
      <x:c r="AA134" s="120" t="n">
        <x:f>SUM(AA116:AA133)+'ОБЪЕКТЫ'!AA120</x:f>
      </x:c>
      <x:c r="AB134" s="120" t="n">
        <x:f>SUM(AB116:AB133)+'ОБЪЕКТЫ'!AB120</x:f>
      </x:c>
      <x:c r="AC134" s="120" t="n">
        <x:f>SUM(AC116:AC133)+'ОБЪЕКТЫ'!AC120</x:f>
      </x:c>
      <x:c r="AD134" s="120" t="n">
        <x:f>SUM(AD116:AD133)+'ОБЪЕКТЫ'!AD120</x:f>
      </x:c>
      <x:c r="AE134" s="120" t="n">
        <x:f>SUM(AE116:AE133)+'ОБЪЕКТЫ'!AE120</x:f>
      </x:c>
      <x:c r="AF134" s="120" t="n">
        <x:f>SUM(AF116:AF133)+'ОБЪЕКТЫ'!AF120</x:f>
      </x:c>
      <x:c r="AG134" s="120" t="n">
        <x:f>SUM(AG116:AG133)+'ОБЪЕКТЫ'!AG120</x:f>
      </x:c>
      <x:c r="AH134" s="120" t="n">
        <x:f>SUM(AH116:AH133)+'ОБЪЕКТЫ'!AH120</x:f>
      </x:c>
      <x:c r="AI134" s="120" t="n">
        <x:f>SUM(AI116:AI133)+'ОБЪЕКТЫ'!AI120</x:f>
      </x:c>
      <x:c r="AJ134" s="120" t="n">
        <x:f>SUM(AJ116:AJ133)+'ОБЪЕКТЫ'!AJ120</x:f>
      </x:c>
      <x:c r="AK134" s="120" t="n">
        <x:f>SUM(AK116:AK133)+'ОБЪЕКТЫ'!AK120</x:f>
      </x:c>
      <x:c r="AL134" s="120" t="n">
        <x:f>SUM(AL116:AL133)+'ОБЪЕКТЫ'!AL120</x:f>
      </x:c>
      <x:c r="AM134" s="120" t="n">
        <x:f>SUM(AM116:AM133)+'ОБЪЕКТЫ'!AM120</x:f>
      </x:c>
      <x:c r="AN134" s="120" t="n">
        <x:f>SUM(AN116:AN133)+'ОБЪЕКТЫ'!AN120</x:f>
      </x:c>
      <x:c r="AO134" s="120" t="n">
        <x:f>SUM(AO116:AO133)+'ОБЪЕКТЫ'!AO120</x:f>
      </x:c>
      <x:c r="AP134" s="120" t="n">
        <x:f>SUM(AP116:AP133)+'ОБЪЕКТЫ'!AP120</x:f>
      </x:c>
      <x:c r="AQ134" s="120" t="n">
        <x:f>SUM(AQ116:AQ133)+'ОБЪЕКТЫ'!AQ120</x:f>
      </x:c>
      <x:c r="AR134" s="120" t="n">
        <x:f>SUM(AR116:AR133)+'ОБЪЕКТЫ'!AR120</x:f>
      </x:c>
      <x:c r="AS134" s="120" t="n">
        <x:f>SUM(AS116:AS133)+'ОБЪЕКТЫ'!AS120</x:f>
      </x:c>
      <x:c r="AT134" s="120" t="n">
        <x:f>SUM(AT116:AT133)+'ОБЪЕКТЫ'!AT120</x:f>
      </x:c>
      <x:c r="AU134" s="120" t="n">
        <x:f>SUM(AU116:AU133)+'ОБЪЕКТЫ'!AU120</x:f>
      </x:c>
      <x:c r="AV134" s="120" t="n">
        <x:f>SUM(AV116:AV133)+'ОБЪЕКТЫ'!AV120</x:f>
      </x:c>
      <x:c r="AW134" s="120" t="n">
        <x:f>SUM(AW116:AW133)+'ОБЪЕКТЫ'!AW120</x:f>
      </x:c>
      <x:c r="AX134" s="120" t="n">
        <x:f>SUM(AX116:AX133)+'ОБЪЕКТЫ'!AX120</x:f>
      </x:c>
      <x:c r="AY134" s="120" t="n">
        <x:f>SUM(AY116:AY133)+'ОБЪЕКТЫ'!AY120</x:f>
      </x:c>
      <x:c r="AZ134" s="120" t="n">
        <x:f>SUM(AZ116:AZ133)+'ОБЪЕКТЫ'!AZ120</x:f>
      </x:c>
      <x:c r="BA134" s="120" t="n">
        <x:f>SUM(BA116:BA133)+'ОБЪЕКТЫ'!BA120</x:f>
      </x:c>
      <x:c r="BB134" s="120" t="n">
        <x:f>SUM(BB116:BB133)+'ОБЪЕКТЫ'!BB120</x:f>
      </x:c>
      <x:c r="BC134" s="120" t="n">
        <x:f>SUM(BC116:BC133)+'ОБЪЕКТЫ'!BC120</x:f>
      </x:c>
      <x:c r="BD134" s="120" t="n">
        <x:f>SUM(BD116:BD133)+'ОБЪЕКТЫ'!BD120</x:f>
      </x:c>
      <x:c r="BE134" s="120" t="n">
        <x:f>SUM(BE116:BE133)+'ОБЪЕКТЫ'!BE120</x:f>
      </x:c>
      <x:c r="BF134" s="120" t="n">
        <x:f>SUM(BF116:BF133)+'ОБЪЕКТЫ'!BF120</x:f>
      </x:c>
      <x:c r="BG134" s="120" t="n">
        <x:f>SUM(BG116:BG133)+'ОБЪЕКТЫ'!BG120</x:f>
      </x:c>
      <x:c r="BH134" s="120" t="n">
        <x:f>SUM(BH116:BH133)+'ОБЪЕКТЫ'!BH120</x:f>
      </x:c>
      <x:c r="BI134" s="120" t="n">
        <x:f>SUM(BI116:BI133)+'ОБЪЕКТЫ'!BI120</x:f>
      </x:c>
      <x:c r="BJ134" s="120" t="n">
        <x:f>SUM(BJ116:BJ133)+'ОБЪЕКТЫ'!BJ120</x:f>
      </x:c>
      <x:c r="BK134" s="120" t="n">
        <x:f>SUM(BK116:BK133)+'ОБЪЕКТЫ'!BK120</x:f>
      </x:c>
      <x:c r="BL134" s="120" t="n">
        <x:f>SUM(BL116:BL133)+'ОБЪЕКТЫ'!BL120</x:f>
      </x:c>
      <x:c r="BM134" s="120" t="n">
        <x:f>SUM(BM116:BM133)+'ОБЪЕКТЫ'!BM120</x:f>
      </x:c>
      <x:c r="BN134" s="120" t="n">
        <x:f>SUM(BN116:BN133)+'ОБЪЕКТЫ'!BN120</x:f>
      </x:c>
      <x:c r="BO134" s="120" t="n">
        <x:f>SUM(BO116:BO133)+'ОБЪЕКТЫ'!BO120</x:f>
      </x:c>
      <x:c r="BP134" s="120" t="n">
        <x:f>SUM(BP116:BP133)+'ОБЪЕКТЫ'!BP120</x:f>
      </x:c>
      <x:c r="BQ134" s="120" t="n">
        <x:f>SUM(BQ116:BQ133)+'ОБЪЕКТЫ'!BQ120</x:f>
      </x:c>
      <x:c r="BR134" s="120" t="n">
        <x:f>SUM(BR116:BR133)+'ОБЪЕКТЫ'!BR120</x:f>
      </x:c>
      <x:c r="BS134" s="120" t="n">
        <x:f>SUM(BS116:BS133)+'ОБЪЕКТЫ'!BS120</x:f>
      </x:c>
      <x:c r="BT134" s="120" t="n">
        <x:f>SUM(BT116:BT133)+'ОБЪЕКТЫ'!BT120</x:f>
      </x:c>
      <x:c r="BU134" s="120" t="n">
        <x:f>SUM(BU116:BU133)+'ОБЪЕКТЫ'!BU120</x:f>
      </x:c>
      <x:c r="BV134" s="120" t="n">
        <x:f>SUM(BV116:BV133)+'ОБЪЕКТЫ'!BV120</x:f>
      </x:c>
      <x:c r="BW134" s="120" t="n">
        <x:f>SUM(BW116:BW133)+'ОБЪЕКТЫ'!BW120</x:f>
      </x:c>
      <x:c r="BX134" s="120" t="n">
        <x:f>SUM(BX116:BX133)+'ОБЪЕКТЫ'!BX120</x:f>
      </x:c>
      <x:c r="BY134" s="120" t="n">
        <x:f>SUM(BY116:BY133)+'ОБЪЕКТЫ'!BY120</x:f>
      </x:c>
      <x:c r="BZ134" s="120" t="n">
        <x:f>SUM(BZ116:BZ133)+'ОБЪЕКТЫ'!BZ120</x:f>
      </x:c>
      <x:c r="CA134" s="120" t="n">
        <x:f>SUM(CA116:CA133)+'ОБЪЕКТЫ'!CA120</x:f>
      </x:c>
      <x:c r="CB134" s="120" t="n">
        <x:f>SUM(CB116:CB133)+'ОБЪЕКТЫ'!CB120</x:f>
      </x:c>
      <x:c r="CC134" s="120" t="n">
        <x:f>SUM(CC116:CC133)+'ОБЪЕКТЫ'!CC120</x:f>
      </x:c>
      <x:c r="CD134" s="120" t="n">
        <x:f>SUM(CD116:CD133)+'ОБЪЕКТЫ'!CD120</x:f>
      </x:c>
      <x:c r="CE134" s="120" t="n">
        <x:f>SUM(CE116:CE133)+'ОБЪЕКТЫ'!CE120</x:f>
      </x:c>
      <x:c r="CF134" s="120" t="n">
        <x:f>SUM(CF116:CF133)+'ОБЪЕКТЫ'!CF120</x:f>
      </x:c>
      <x:c r="CG134" s="120" t="n">
        <x:f>SUM(CG116:CG133)+'ОБЪЕКТЫ'!CG120</x:f>
      </x:c>
      <x:c r="CH134" s="120" t="n">
        <x:f>SUM(CH116:CH133)+'ОБЪЕКТЫ'!CH120</x:f>
      </x:c>
      <x:c r="CI134" s="120" t="n">
        <x:f>SUM(CI116:CI133)+'ОБЪЕКТЫ'!CI120</x:f>
      </x:c>
      <x:c r="CJ134" s="120" t="n">
        <x:f>SUM(CJ116:CJ133)+'ОБЪЕКТЫ'!CJ120</x:f>
      </x:c>
      <x:c r="CK134" s="120" t="n">
        <x:f>SUM(CK116:CK133)+'ОБЪЕКТЫ'!CK120</x:f>
      </x:c>
      <x:c r="CL134" s="120" t="n">
        <x:f>SUM(CL116:CL133)+'ОБЪЕКТЫ'!CL120</x:f>
      </x:c>
      <x:c r="CM134" s="120" t="n">
        <x:f>SUM(CM116:CM133)+'ОБЪЕКТЫ'!CM120</x:f>
      </x:c>
      <x:c r="CN134" s="120" t="n">
        <x:f>SUM(CN116:CN133)+'ОБЪЕКТЫ'!CN120</x:f>
      </x:c>
      <x:c r="CO134" s="120" t="n">
        <x:f>SUM(CO116:CO133)+'ОБЪЕКТЫ'!CO120</x:f>
      </x:c>
      <x:c r="CP134" s="120" t="n">
        <x:f>SUM(CP116:CP133)+'ОБЪЕКТЫ'!CP120</x:f>
      </x:c>
      <x:c r="CQ134" s="120" t="n">
        <x:f>SUM(CQ116:CQ133)+'ОБЪЕКТЫ'!CQ120</x:f>
      </x:c>
      <x:c r="CR134" s="120" t="n">
        <x:f>SUM(CR116:CR133)+'ОБЪЕКТЫ'!CR120</x:f>
      </x:c>
      <x:c r="CS134" s="120" t="n">
        <x:f>SUM(CS116:CS133)+'ОБЪЕКТЫ'!CS120</x:f>
      </x:c>
      <x:c r="CT134" s="120" t="n">
        <x:f>SUM(CT116:CT133)+'ОБЪЕКТЫ'!CT120</x:f>
      </x:c>
      <x:c r="CU134" s="120" t="n">
        <x:f>SUM(CU116:CU133)+'ОБЪЕКТЫ'!CU120</x:f>
      </x:c>
      <x:c r="CV134" s="120" t="n">
        <x:f>SUM(CV116:CV133)+'ОБЪЕКТЫ'!CV120</x:f>
      </x:c>
      <x:c r="CW134" s="120" t="n">
        <x:f>SUM(CW116:CW133)+'ОБЪЕКТЫ'!CW120</x:f>
      </x:c>
      <x:c r="CX134" s="120" t="n">
        <x:f>SUM(CX116:CX133)+'ОБЪЕКТЫ'!CX120</x:f>
      </x:c>
      <x:c r="CY134" s="120" t="n">
        <x:f>SUM(CY116:CY133)+'ОБЪЕКТЫ'!CY120</x:f>
      </x:c>
      <x:c r="CZ134" s="120" t="n">
        <x:f>SUM(CZ116:CZ133)+'ОБЪЕКТЫ'!CZ120</x:f>
      </x:c>
      <x:c r="DA134" s="120" t="n">
        <x:f>SUM(DA116:DA133)+'ОБЪЕКТЫ'!DA120</x:f>
      </x:c>
      <x:c r="DB134" s="120" t="n">
        <x:f>SUM(DB116:DB133)+'ОБЪЕКТЫ'!DB120</x:f>
      </x:c>
      <x:c r="DC134" s="120" t="n">
        <x:f>SUM(DC116:DC133)+'ОБЪЕКТЫ'!DC120</x:f>
      </x:c>
      <x:c r="DD134" s="120" t="n">
        <x:f>SUM(DD116:DD133)+'ОБЪЕКТЫ'!DD120</x:f>
      </x:c>
      <x:c r="DE134" s="120" t="n">
        <x:f>SUM(DE116:DE133)+'ОБЪЕКТЫ'!DE120</x:f>
      </x:c>
      <x:c r="DF134" s="120" t="n">
        <x:f>SUM(DF116:DF133)+'ОБЪЕКТЫ'!DF120</x:f>
      </x:c>
      <x:c r="DG134" s="120" t="n">
        <x:f>SUM(DG116:DG133)+'ОБЪЕКТЫ'!DG120</x:f>
      </x:c>
      <x:c r="DH134" s="120" t="n">
        <x:f>SUM(DH116:DH133)+'ОБЪЕКТЫ'!DH120</x:f>
      </x:c>
      <x:c r="DI134" s="120" t="n">
        <x:f>SUM(DI116:DI133)+'ОБЪЕКТЫ'!DI120</x:f>
      </x:c>
      <x:c r="DJ134" s="120" t="n">
        <x:f>SUM(DJ116:DJ133)+'ОБЪЕКТЫ'!DJ120</x:f>
      </x:c>
      <x:c r="DK134" s="120" t="n">
        <x:f>SUM(DK116:DK133)+'ОБЪЕКТЫ'!DK120</x:f>
      </x:c>
      <x:c r="DL134" s="120" t="n">
        <x:f>SUM(DL116:DL133)+'ОБЪЕКТЫ'!DL120</x:f>
      </x:c>
      <x:c r="DM134" s="120" t="n">
        <x:f>SUM(DM116:DM133)+'ОБЪЕКТЫ'!DM120</x:f>
      </x:c>
      <x:c r="DN134" s="120" t="n">
        <x:f>SUM(DN116:DN133)+'ОБЪЕКТЫ'!DN120</x:f>
      </x:c>
      <x:c r="DO134" s="120" t="n">
        <x:f>SUM(DO116:DO133)+'ОБЪЕКТЫ'!DO120</x:f>
      </x:c>
      <x:c r="DP134" s="120" t="n">
        <x:f>SUM(DP116:DP133)+'ОБЪЕКТЫ'!DP120</x:f>
      </x:c>
      <x:c r="DQ134" s="120" t="n">
        <x:f>SUM(DQ116:DQ133)+'ОБЪЕКТЫ'!DQ120</x:f>
      </x:c>
      <x:c r="DR134" s="120" t="n">
        <x:f>SUM(DR116:DR133)+'ОБЪЕКТЫ'!DR120</x:f>
      </x:c>
      <x:c r="DS134" s="120" t="n">
        <x:f>SUM(DS116:DS133)+'ОБЪЕКТЫ'!DS120</x:f>
      </x:c>
    </x:row>
    <x:row r="135">
      <x:c r="A135" t="str">
        <x:v>Маркетинг</x:v>
      </x:c>
      <x:c r="B135" s="107" t="n">
        <x:f>SUM(D135:DS135)</x:f>
      </x:c>
      <x:c r="C135" t="str">
        <x:v>млн ₽</x:v>
      </x:c>
      <x:c r="D135" s="117" t="n">
        <x:f>'Продажи'!D95*'Вводные'!$B$19+'ОБЪЕКТЫ'!D121</x:f>
      </x:c>
      <x:c r="E135" s="117" t="n">
        <x:f>'Продажи'!E95*'Вводные'!$B$19+'ОБЪЕКТЫ'!E121</x:f>
      </x:c>
      <x:c r="F135" s="117" t="n">
        <x:f>'Продажи'!F95*'Вводные'!$B$19+'ОБЪЕКТЫ'!F121</x:f>
      </x:c>
      <x:c r="G135" s="117" t="n">
        <x:f>'Продажи'!G95*'Вводные'!$B$19+'ОБЪЕКТЫ'!G121</x:f>
      </x:c>
      <x:c r="H135" s="117" t="n">
        <x:f>'Продажи'!H95*'Вводные'!$B$19+'ОБЪЕКТЫ'!H121</x:f>
      </x:c>
      <x:c r="I135" s="117" t="n">
        <x:f>'Продажи'!I95*'Вводные'!$B$19+'ОБЪЕКТЫ'!I121</x:f>
      </x:c>
      <x:c r="J135" s="117" t="n">
        <x:f>'Продажи'!J95*'Вводные'!$B$19+'ОБЪЕКТЫ'!J121</x:f>
      </x:c>
      <x:c r="K135" s="117" t="n">
        <x:f>'Продажи'!K95*'Вводные'!$B$19+'ОБЪЕКТЫ'!K121</x:f>
      </x:c>
      <x:c r="L135" s="117" t="n">
        <x:f>'Продажи'!L95*'Вводные'!$B$19+'ОБЪЕКТЫ'!L121</x:f>
      </x:c>
      <x:c r="M135" s="117" t="n">
        <x:f>'Продажи'!M95*'Вводные'!$B$19+'ОБЪЕКТЫ'!M121</x:f>
      </x:c>
      <x:c r="N135" s="117" t="n">
        <x:f>'Продажи'!N95*'Вводные'!$B$19+'ОБЪЕКТЫ'!N121</x:f>
      </x:c>
      <x:c r="O135" s="117" t="n">
        <x:f>'Продажи'!O95*'Вводные'!$B$19+'ОБЪЕКТЫ'!O121</x:f>
      </x:c>
      <x:c r="P135" s="117" t="n">
        <x:f>'Продажи'!P95*'Вводные'!$B$19+'ОБЪЕКТЫ'!P121</x:f>
      </x:c>
      <x:c r="Q135" s="117" t="n">
        <x:f>'Продажи'!Q95*'Вводные'!$B$19+'ОБЪЕКТЫ'!Q121</x:f>
      </x:c>
      <x:c r="R135" s="117" t="n">
        <x:f>'Продажи'!R95*'Вводные'!$B$19+'ОБЪЕКТЫ'!R121</x:f>
      </x:c>
      <x:c r="S135" s="117" t="n">
        <x:f>'Продажи'!S95*'Вводные'!$B$19+'ОБЪЕКТЫ'!S121</x:f>
      </x:c>
      <x:c r="T135" s="117" t="n">
        <x:f>'Продажи'!T95*'Вводные'!$B$19+'ОБЪЕКТЫ'!T121</x:f>
      </x:c>
      <x:c r="U135" s="117" t="n">
        <x:f>'Продажи'!U95*'Вводные'!$B$19+'ОБЪЕКТЫ'!U121</x:f>
      </x:c>
      <x:c r="V135" s="117" t="n">
        <x:f>'Продажи'!V95*'Вводные'!$B$19+'ОБЪЕКТЫ'!V121</x:f>
      </x:c>
      <x:c r="W135" s="117" t="n">
        <x:f>'Продажи'!W95*'Вводные'!$B$19+'ОБЪЕКТЫ'!W121</x:f>
      </x:c>
      <x:c r="X135" s="117" t="n">
        <x:f>'Продажи'!X95*'Вводные'!$B$19+'ОБЪЕКТЫ'!X121</x:f>
      </x:c>
      <x:c r="Y135" s="117" t="n">
        <x:f>'Продажи'!Y95*'Вводные'!$B$19+'ОБЪЕКТЫ'!Y121</x:f>
      </x:c>
      <x:c r="Z135" s="117" t="n">
        <x:f>'Продажи'!Z95*'Вводные'!$B$19+'ОБЪЕКТЫ'!Z121</x:f>
      </x:c>
      <x:c r="AA135" s="117" t="n">
        <x:f>'Продажи'!AA95*'Вводные'!$B$19+'ОБЪЕКТЫ'!AA121</x:f>
      </x:c>
      <x:c r="AB135" s="117" t="n">
        <x:f>'Продажи'!AB95*'Вводные'!$B$19+'ОБЪЕКТЫ'!AB121</x:f>
      </x:c>
      <x:c r="AC135" s="117" t="n">
        <x:f>'Продажи'!AC95*'Вводные'!$B$19+'ОБЪЕКТЫ'!AC121</x:f>
      </x:c>
      <x:c r="AD135" s="117" t="n">
        <x:f>'Продажи'!AD95*'Вводные'!$B$19+'ОБЪЕКТЫ'!AD121</x:f>
      </x:c>
      <x:c r="AE135" s="117" t="n">
        <x:f>'Продажи'!AE95*'Вводные'!$B$19+'ОБЪЕКТЫ'!AE121</x:f>
      </x:c>
      <x:c r="AF135" s="117" t="n">
        <x:f>'Продажи'!AF95*'Вводные'!$B$19+'ОБЪЕКТЫ'!AF121</x:f>
      </x:c>
      <x:c r="AG135" s="117" t="n">
        <x:f>'Продажи'!AG95*'Вводные'!$B$19+'ОБЪЕКТЫ'!AG121</x:f>
      </x:c>
      <x:c r="AH135" s="117" t="n">
        <x:f>'Продажи'!AH95*'Вводные'!$B$19+'ОБЪЕКТЫ'!AH121</x:f>
      </x:c>
      <x:c r="AI135" s="117" t="n">
        <x:f>'Продажи'!AI95*'Вводные'!$B$19+'ОБЪЕКТЫ'!AI121</x:f>
      </x:c>
      <x:c r="AJ135" s="117" t="n">
        <x:f>'Продажи'!AJ95*'Вводные'!$B$19+'ОБЪЕКТЫ'!AJ121</x:f>
      </x:c>
      <x:c r="AK135" s="117" t="n">
        <x:f>'Продажи'!AK95*'Вводные'!$B$19+'ОБЪЕКТЫ'!AK121</x:f>
      </x:c>
      <x:c r="AL135" s="117" t="n">
        <x:f>'Продажи'!AL95*'Вводные'!$B$19+'ОБЪЕКТЫ'!AL121</x:f>
      </x:c>
      <x:c r="AM135" s="117" t="n">
        <x:f>'Продажи'!AM95*'Вводные'!$B$19+'ОБЪЕКТЫ'!AM121</x:f>
      </x:c>
      <x:c r="AN135" s="117" t="n">
        <x:f>'Продажи'!AN95*'Вводные'!$B$19+'ОБЪЕКТЫ'!AN121</x:f>
      </x:c>
      <x:c r="AO135" s="117" t="n">
        <x:f>'Продажи'!AO95*'Вводные'!$B$19+'ОБЪЕКТЫ'!AO121</x:f>
      </x:c>
      <x:c r="AP135" s="117" t="n">
        <x:f>'Продажи'!AP95*'Вводные'!$B$19+'ОБЪЕКТЫ'!AP121</x:f>
      </x:c>
      <x:c r="AQ135" s="117" t="n">
        <x:f>'Продажи'!AQ95*'Вводные'!$B$19+'ОБЪЕКТЫ'!AQ121</x:f>
      </x:c>
      <x:c r="AR135" s="117" t="n">
        <x:f>'Продажи'!AR95*'Вводные'!$B$19+'ОБЪЕКТЫ'!AR121</x:f>
      </x:c>
      <x:c r="AS135" s="117" t="n">
        <x:f>'Продажи'!AS95*'Вводные'!$B$19+'ОБЪЕКТЫ'!AS121</x:f>
      </x:c>
      <x:c r="AT135" s="117" t="n">
        <x:f>'Продажи'!AT95*'Вводные'!$B$19+'ОБЪЕКТЫ'!AT121</x:f>
      </x:c>
      <x:c r="AU135" s="117" t="n">
        <x:f>'Продажи'!AU95*'Вводные'!$B$19+'ОБЪЕКТЫ'!AU121</x:f>
      </x:c>
      <x:c r="AV135" s="117" t="n">
        <x:f>'Продажи'!AV95*'Вводные'!$B$19+'ОБЪЕКТЫ'!AV121</x:f>
      </x:c>
      <x:c r="AW135" s="117" t="n">
        <x:f>'Продажи'!AW95*'Вводные'!$B$19+'ОБЪЕКТЫ'!AW121</x:f>
      </x:c>
      <x:c r="AX135" s="117" t="n">
        <x:f>'Продажи'!AX95*'Вводные'!$B$19+'ОБЪЕКТЫ'!AX121</x:f>
      </x:c>
      <x:c r="AY135" s="117" t="n">
        <x:f>'Продажи'!AY95*'Вводные'!$B$19+'ОБЪЕКТЫ'!AY121</x:f>
      </x:c>
      <x:c r="AZ135" s="117" t="n">
        <x:f>'Продажи'!AZ95*'Вводные'!$B$19+'ОБЪЕКТЫ'!AZ121</x:f>
      </x:c>
      <x:c r="BA135" s="117" t="n">
        <x:f>'Продажи'!BA95*'Вводные'!$B$19+'ОБЪЕКТЫ'!BA121</x:f>
      </x:c>
      <x:c r="BB135" s="117" t="n">
        <x:f>'Продажи'!BB95*'Вводные'!$B$19+'ОБЪЕКТЫ'!BB121</x:f>
      </x:c>
      <x:c r="BC135" s="117" t="n">
        <x:f>'Продажи'!BC95*'Вводные'!$B$19+'ОБЪЕКТЫ'!BC121</x:f>
      </x:c>
      <x:c r="BD135" s="117" t="n">
        <x:f>'Продажи'!BD95*'Вводные'!$B$19+'ОБЪЕКТЫ'!BD121</x:f>
      </x:c>
      <x:c r="BE135" s="117" t="n">
        <x:f>'Продажи'!BE95*'Вводные'!$B$19+'ОБЪЕКТЫ'!BE121</x:f>
      </x:c>
      <x:c r="BF135" s="117" t="n">
        <x:f>'Продажи'!BF95*'Вводные'!$B$19+'ОБЪЕКТЫ'!BF121</x:f>
      </x:c>
      <x:c r="BG135" s="117" t="n">
        <x:f>'Продажи'!BG95*'Вводные'!$B$19+'ОБЪЕКТЫ'!BG121</x:f>
      </x:c>
      <x:c r="BH135" s="117" t="n">
        <x:f>'Продажи'!BH95*'Вводные'!$B$19+'ОБЪЕКТЫ'!BH121</x:f>
      </x:c>
      <x:c r="BI135" s="117" t="n">
        <x:f>'Продажи'!BI95*'Вводные'!$B$19+'ОБЪЕКТЫ'!BI121</x:f>
      </x:c>
      <x:c r="BJ135" s="117" t="n">
        <x:f>'Продажи'!BJ95*'Вводные'!$B$19+'ОБЪЕКТЫ'!BJ121</x:f>
      </x:c>
      <x:c r="BK135" s="117" t="n">
        <x:f>'Продажи'!BK95*'Вводные'!$B$19+'ОБЪЕКТЫ'!BK121</x:f>
      </x:c>
      <x:c r="BL135" s="117" t="n">
        <x:f>'Продажи'!BL95*'Вводные'!$B$19+'ОБЪЕКТЫ'!BL121</x:f>
      </x:c>
      <x:c r="BM135" s="117" t="n">
        <x:f>'Продажи'!BM95*'Вводные'!$B$19+'ОБЪЕКТЫ'!BM121</x:f>
      </x:c>
      <x:c r="BN135" s="117" t="n">
        <x:f>'Продажи'!BN95*'Вводные'!$B$19+'ОБЪЕКТЫ'!BN121</x:f>
      </x:c>
      <x:c r="BO135" s="117" t="n">
        <x:f>'Продажи'!BO95*'Вводные'!$B$19+'ОБЪЕКТЫ'!BO121</x:f>
      </x:c>
      <x:c r="BP135" s="117" t="n">
        <x:f>'Продажи'!BP95*'Вводные'!$B$19+'ОБЪЕКТЫ'!BP121</x:f>
      </x:c>
      <x:c r="BQ135" s="117" t="n">
        <x:f>'Продажи'!BQ95*'Вводные'!$B$19+'ОБЪЕКТЫ'!BQ121</x:f>
      </x:c>
      <x:c r="BR135" s="117" t="n">
        <x:f>'Продажи'!BR95*'Вводные'!$B$19+'ОБЪЕКТЫ'!BR121</x:f>
      </x:c>
      <x:c r="BS135" s="117" t="n">
        <x:f>'Продажи'!BS95*'Вводные'!$B$19+'ОБЪЕКТЫ'!BS121</x:f>
      </x:c>
      <x:c r="BT135" s="117" t="n">
        <x:f>'Продажи'!BT95*'Вводные'!$B$19+'ОБЪЕКТЫ'!BT121</x:f>
      </x:c>
      <x:c r="BU135" s="117" t="n">
        <x:f>'Продажи'!BU95*'Вводные'!$B$19+'ОБЪЕКТЫ'!BU121</x:f>
      </x:c>
      <x:c r="BV135" s="117" t="n">
        <x:f>'Продажи'!BV95*'Вводные'!$B$19+'ОБЪЕКТЫ'!BV121</x:f>
      </x:c>
      <x:c r="BW135" s="117" t="n">
        <x:f>'Продажи'!BW95*'Вводные'!$B$19+'ОБЪЕКТЫ'!BW121</x:f>
      </x:c>
      <x:c r="BX135" s="117" t="n">
        <x:f>'Продажи'!BX95*'Вводные'!$B$19+'ОБЪЕКТЫ'!BX121</x:f>
      </x:c>
      <x:c r="BY135" s="117" t="n">
        <x:f>'Продажи'!BY95*'Вводные'!$B$19+'ОБЪЕКТЫ'!BY121</x:f>
      </x:c>
      <x:c r="BZ135" s="117" t="n">
        <x:f>'Продажи'!BZ95*'Вводные'!$B$19+'ОБЪЕКТЫ'!BZ121</x:f>
      </x:c>
      <x:c r="CA135" s="117" t="n">
        <x:f>'Продажи'!CA95*'Вводные'!$B$19+'ОБЪЕКТЫ'!CA121</x:f>
      </x:c>
      <x:c r="CB135" s="117" t="n">
        <x:f>'Продажи'!CB95*'Вводные'!$B$19+'ОБЪЕКТЫ'!CB121</x:f>
      </x:c>
      <x:c r="CC135" s="117" t="n">
        <x:f>'Продажи'!CC95*'Вводные'!$B$19+'ОБЪЕКТЫ'!CC121</x:f>
      </x:c>
      <x:c r="CD135" s="117" t="n">
        <x:f>'Продажи'!CD95*'Вводные'!$B$19+'ОБЪЕКТЫ'!CD121</x:f>
      </x:c>
      <x:c r="CE135" s="117" t="n">
        <x:f>'Продажи'!CE95*'Вводные'!$B$19+'ОБЪЕКТЫ'!CE121</x:f>
      </x:c>
      <x:c r="CF135" s="117" t="n">
        <x:f>'Продажи'!CF95*'Вводные'!$B$19+'ОБЪЕКТЫ'!CF121</x:f>
      </x:c>
      <x:c r="CG135" s="117" t="n">
        <x:f>'Продажи'!CG95*'Вводные'!$B$19+'ОБЪЕКТЫ'!CG121</x:f>
      </x:c>
      <x:c r="CH135" s="117" t="n">
        <x:f>'Продажи'!CH95*'Вводные'!$B$19+'ОБЪЕКТЫ'!CH121</x:f>
      </x:c>
      <x:c r="CI135" s="117" t="n">
        <x:f>'Продажи'!CI95*'Вводные'!$B$19+'ОБЪЕКТЫ'!CI121</x:f>
      </x:c>
      <x:c r="CJ135" s="117" t="n">
        <x:f>'Продажи'!CJ95*'Вводные'!$B$19+'ОБЪЕКТЫ'!CJ121</x:f>
      </x:c>
      <x:c r="CK135" s="117" t="n">
        <x:f>'Продажи'!CK95*'Вводные'!$B$19+'ОБЪЕКТЫ'!CK121</x:f>
      </x:c>
      <x:c r="CL135" s="117" t="n">
        <x:f>'Продажи'!CL95*'Вводные'!$B$19+'ОБЪЕКТЫ'!CL121</x:f>
      </x:c>
      <x:c r="CM135" s="117" t="n">
        <x:f>'Продажи'!CM95*'Вводные'!$B$19+'ОБЪЕКТЫ'!CM121</x:f>
      </x:c>
      <x:c r="CN135" s="117" t="n">
        <x:f>'Продажи'!CN95*'Вводные'!$B$19+'ОБЪЕКТЫ'!CN121</x:f>
      </x:c>
      <x:c r="CO135" s="117" t="n">
        <x:f>'Продажи'!CO95*'Вводные'!$B$19+'ОБЪЕКТЫ'!CO121</x:f>
      </x:c>
      <x:c r="CP135" s="117" t="n">
        <x:f>'Продажи'!CP95*'Вводные'!$B$19+'ОБЪЕКТЫ'!CP121</x:f>
      </x:c>
      <x:c r="CQ135" s="117" t="n">
        <x:f>'Продажи'!CQ95*'Вводные'!$B$19+'ОБЪЕКТЫ'!CQ121</x:f>
      </x:c>
      <x:c r="CR135" s="117" t="n">
        <x:f>'Продажи'!CR95*'Вводные'!$B$19+'ОБЪЕКТЫ'!CR121</x:f>
      </x:c>
      <x:c r="CS135" s="117" t="n">
        <x:f>'Продажи'!CS95*'Вводные'!$B$19+'ОБЪЕКТЫ'!CS121</x:f>
      </x:c>
      <x:c r="CT135" s="117" t="n">
        <x:f>'Продажи'!CT95*'Вводные'!$B$19+'ОБЪЕКТЫ'!CT121</x:f>
      </x:c>
      <x:c r="CU135" s="117" t="n">
        <x:f>'Продажи'!CU95*'Вводные'!$B$19+'ОБЪЕКТЫ'!CU121</x:f>
      </x:c>
      <x:c r="CV135" s="117" t="n">
        <x:f>'Продажи'!CV95*'Вводные'!$B$19+'ОБЪЕКТЫ'!CV121</x:f>
      </x:c>
      <x:c r="CW135" s="117" t="n">
        <x:f>'Продажи'!CW95*'Вводные'!$B$19+'ОБЪЕКТЫ'!CW121</x:f>
      </x:c>
      <x:c r="CX135" s="117" t="n">
        <x:f>'Продажи'!CX95*'Вводные'!$B$19+'ОБЪЕКТЫ'!CX121</x:f>
      </x:c>
      <x:c r="CY135" s="117" t="n">
        <x:f>'Продажи'!CY95*'Вводные'!$B$19+'ОБЪЕКТЫ'!CY121</x:f>
      </x:c>
      <x:c r="CZ135" s="117" t="n">
        <x:f>'Продажи'!CZ95*'Вводные'!$B$19+'ОБЪЕКТЫ'!CZ121</x:f>
      </x:c>
      <x:c r="DA135" s="117" t="n">
        <x:f>'Продажи'!DA95*'Вводные'!$B$19+'ОБЪЕКТЫ'!DA121</x:f>
      </x:c>
      <x:c r="DB135" s="117" t="n">
        <x:f>'Продажи'!DB95*'Вводные'!$B$19+'ОБЪЕКТЫ'!DB121</x:f>
      </x:c>
      <x:c r="DC135" s="117" t="n">
        <x:f>'Продажи'!DC95*'Вводные'!$B$19+'ОБЪЕКТЫ'!DC121</x:f>
      </x:c>
      <x:c r="DD135" s="117" t="n">
        <x:f>'Продажи'!DD95*'Вводные'!$B$19+'ОБЪЕКТЫ'!DD121</x:f>
      </x:c>
      <x:c r="DE135" s="117" t="n">
        <x:f>'Продажи'!DE95*'Вводные'!$B$19+'ОБЪЕКТЫ'!DE121</x:f>
      </x:c>
      <x:c r="DF135" s="117" t="n">
        <x:f>'Продажи'!DF95*'Вводные'!$B$19+'ОБЪЕКТЫ'!DF121</x:f>
      </x:c>
      <x:c r="DG135" s="117" t="n">
        <x:f>'Продажи'!DG95*'Вводные'!$B$19+'ОБЪЕКТЫ'!DG121</x:f>
      </x:c>
      <x:c r="DH135" s="117" t="n">
        <x:f>'Продажи'!DH95*'Вводные'!$B$19+'ОБЪЕКТЫ'!DH121</x:f>
      </x:c>
      <x:c r="DI135" s="117" t="n">
        <x:f>'Продажи'!DI95*'Вводные'!$B$19+'ОБЪЕКТЫ'!DI121</x:f>
      </x:c>
      <x:c r="DJ135" s="117" t="n">
        <x:f>'Продажи'!DJ95*'Вводные'!$B$19+'ОБЪЕКТЫ'!DJ121</x:f>
      </x:c>
      <x:c r="DK135" s="117" t="n">
        <x:f>'Продажи'!DK95*'Вводные'!$B$19+'ОБЪЕКТЫ'!DK121</x:f>
      </x:c>
      <x:c r="DL135" s="117" t="n">
        <x:f>'Продажи'!DL95*'Вводные'!$B$19+'ОБЪЕКТЫ'!DL121</x:f>
      </x:c>
      <x:c r="DM135" s="117" t="n">
        <x:f>'Продажи'!DM95*'Вводные'!$B$19+'ОБЪЕКТЫ'!DM121</x:f>
      </x:c>
      <x:c r="DN135" s="117" t="n">
        <x:f>'Продажи'!DN95*'Вводные'!$B$19+'ОБЪЕКТЫ'!DN121</x:f>
      </x:c>
      <x:c r="DO135" s="117" t="n">
        <x:f>'Продажи'!DO95*'Вводные'!$B$19+'ОБЪЕКТЫ'!DO121</x:f>
      </x:c>
      <x:c r="DP135" s="117" t="n">
        <x:f>'Продажи'!DP95*'Вводные'!$B$19+'ОБЪЕКТЫ'!DP121</x:f>
      </x:c>
      <x:c r="DQ135" s="117" t="n">
        <x:f>'Продажи'!DQ95*'Вводные'!$B$19+'ОБЪЕКТЫ'!DQ121</x:f>
      </x:c>
      <x:c r="DR135" s="117" t="n">
        <x:f>'Продажи'!DR95*'Вводные'!$B$19+'ОБЪЕКТЫ'!DR121</x:f>
      </x:c>
      <x:c r="DS135" s="117" t="n">
        <x:f>'Продажи'!DS95*'Вводные'!$B$19+'ОБЪЕКТЫ'!DS121</x:f>
      </x:c>
    </x:row>
    <x:row r="136">
      <x:c r="A136" t="str">
        <x:v>Расходы на продажи</x:v>
      </x:c>
      <x:c r="B136" s="107" t="n">
        <x:f>SUM(D136:DS136)</x:f>
      </x:c>
      <x:c r="C136" t="str">
        <x:v>млн ₽</x:v>
      </x:c>
      <x:c r="D136" s="117" t="n">
        <x:f>'Продажи'!D95*'Вводные'!$B$20+'ОБЪЕКТЫ'!D122</x:f>
      </x:c>
      <x:c r="E136" s="117" t="n">
        <x:f>'Продажи'!E95*'Вводные'!$B$20+'ОБЪЕКТЫ'!E122</x:f>
      </x:c>
      <x:c r="F136" s="117" t="n">
        <x:f>'Продажи'!F95*'Вводные'!$B$20+'ОБЪЕКТЫ'!F122</x:f>
      </x:c>
      <x:c r="G136" s="117" t="n">
        <x:f>'Продажи'!G95*'Вводные'!$B$20+'ОБЪЕКТЫ'!G122</x:f>
      </x:c>
      <x:c r="H136" s="117" t="n">
        <x:f>'Продажи'!H95*'Вводные'!$B$20+'ОБЪЕКТЫ'!H122</x:f>
      </x:c>
      <x:c r="I136" s="117" t="n">
        <x:f>'Продажи'!I95*'Вводные'!$B$20+'ОБЪЕКТЫ'!I122</x:f>
      </x:c>
      <x:c r="J136" s="117" t="n">
        <x:f>'Продажи'!J95*'Вводные'!$B$20+'ОБЪЕКТЫ'!J122</x:f>
      </x:c>
      <x:c r="K136" s="117" t="n">
        <x:f>'Продажи'!K95*'Вводные'!$B$20+'ОБЪЕКТЫ'!K122</x:f>
      </x:c>
      <x:c r="L136" s="117" t="n">
        <x:f>'Продажи'!L95*'Вводные'!$B$20+'ОБЪЕКТЫ'!L122</x:f>
      </x:c>
      <x:c r="M136" s="117" t="n">
        <x:f>'Продажи'!M95*'Вводные'!$B$20+'ОБЪЕКТЫ'!M122</x:f>
      </x:c>
      <x:c r="N136" s="117" t="n">
        <x:f>'Продажи'!N95*'Вводные'!$B$20+'ОБЪЕКТЫ'!N122</x:f>
      </x:c>
      <x:c r="O136" s="117" t="n">
        <x:f>'Продажи'!O95*'Вводные'!$B$20+'ОБЪЕКТЫ'!O122</x:f>
      </x:c>
      <x:c r="P136" s="117" t="n">
        <x:f>'Продажи'!P95*'Вводные'!$B$20+'ОБЪЕКТЫ'!P122</x:f>
      </x:c>
      <x:c r="Q136" s="117" t="n">
        <x:f>'Продажи'!Q95*'Вводные'!$B$20+'ОБЪЕКТЫ'!Q122</x:f>
      </x:c>
      <x:c r="R136" s="117" t="n">
        <x:f>'Продажи'!R95*'Вводные'!$B$20+'ОБЪЕКТЫ'!R122</x:f>
      </x:c>
      <x:c r="S136" s="117" t="n">
        <x:f>'Продажи'!S95*'Вводные'!$B$20+'ОБЪЕКТЫ'!S122</x:f>
      </x:c>
      <x:c r="T136" s="117" t="n">
        <x:f>'Продажи'!T95*'Вводные'!$B$20+'ОБЪЕКТЫ'!T122</x:f>
      </x:c>
      <x:c r="U136" s="117" t="n">
        <x:f>'Продажи'!U95*'Вводные'!$B$20+'ОБЪЕКТЫ'!U122</x:f>
      </x:c>
      <x:c r="V136" s="117" t="n">
        <x:f>'Продажи'!V95*'Вводные'!$B$20+'ОБЪЕКТЫ'!V122</x:f>
      </x:c>
      <x:c r="W136" s="117" t="n">
        <x:f>'Продажи'!W95*'Вводные'!$B$20+'ОБЪЕКТЫ'!W122</x:f>
      </x:c>
      <x:c r="X136" s="117" t="n">
        <x:f>'Продажи'!X95*'Вводные'!$B$20+'ОБЪЕКТЫ'!X122</x:f>
      </x:c>
      <x:c r="Y136" s="117" t="n">
        <x:f>'Продажи'!Y95*'Вводные'!$B$20+'ОБЪЕКТЫ'!Y122</x:f>
      </x:c>
      <x:c r="Z136" s="117" t="n">
        <x:f>'Продажи'!Z95*'Вводные'!$B$20+'ОБЪЕКТЫ'!Z122</x:f>
      </x:c>
      <x:c r="AA136" s="117" t="n">
        <x:f>'Продажи'!AA95*'Вводные'!$B$20+'ОБЪЕКТЫ'!AA122</x:f>
      </x:c>
      <x:c r="AB136" s="117" t="n">
        <x:f>'Продажи'!AB95*'Вводные'!$B$20+'ОБЪЕКТЫ'!AB122</x:f>
      </x:c>
      <x:c r="AC136" s="117" t="n">
        <x:f>'Продажи'!AC95*'Вводные'!$B$20+'ОБЪЕКТЫ'!AC122</x:f>
      </x:c>
      <x:c r="AD136" s="117" t="n">
        <x:f>'Продажи'!AD95*'Вводные'!$B$20+'ОБЪЕКТЫ'!AD122</x:f>
      </x:c>
      <x:c r="AE136" s="117" t="n">
        <x:f>'Продажи'!AE95*'Вводные'!$B$20+'ОБЪЕКТЫ'!AE122</x:f>
      </x:c>
      <x:c r="AF136" s="117" t="n">
        <x:f>'Продажи'!AF95*'Вводные'!$B$20+'ОБЪЕКТЫ'!AF122</x:f>
      </x:c>
      <x:c r="AG136" s="117" t="n">
        <x:f>'Продажи'!AG95*'Вводные'!$B$20+'ОБЪЕКТЫ'!AG122</x:f>
      </x:c>
      <x:c r="AH136" s="117" t="n">
        <x:f>'Продажи'!AH95*'Вводные'!$B$20+'ОБЪЕКТЫ'!AH122</x:f>
      </x:c>
      <x:c r="AI136" s="117" t="n">
        <x:f>'Продажи'!AI95*'Вводные'!$B$20+'ОБЪЕКТЫ'!AI122</x:f>
      </x:c>
      <x:c r="AJ136" s="117" t="n">
        <x:f>'Продажи'!AJ95*'Вводные'!$B$20+'ОБЪЕКТЫ'!AJ122</x:f>
      </x:c>
      <x:c r="AK136" s="117" t="n">
        <x:f>'Продажи'!AK95*'Вводные'!$B$20+'ОБЪЕКТЫ'!AK122</x:f>
      </x:c>
      <x:c r="AL136" s="117" t="n">
        <x:f>'Продажи'!AL95*'Вводные'!$B$20+'ОБЪЕКТЫ'!AL122</x:f>
      </x:c>
      <x:c r="AM136" s="117" t="n">
        <x:f>'Продажи'!AM95*'Вводные'!$B$20+'ОБЪЕКТЫ'!AM122</x:f>
      </x:c>
      <x:c r="AN136" s="117" t="n">
        <x:f>'Продажи'!AN95*'Вводные'!$B$20+'ОБЪЕКТЫ'!AN122</x:f>
      </x:c>
      <x:c r="AO136" s="117" t="n">
        <x:f>'Продажи'!AO95*'Вводные'!$B$20+'ОБЪЕКТЫ'!AO122</x:f>
      </x:c>
      <x:c r="AP136" s="117" t="n">
        <x:f>'Продажи'!AP95*'Вводные'!$B$20+'ОБЪЕКТЫ'!AP122</x:f>
      </x:c>
      <x:c r="AQ136" s="117" t="n">
        <x:f>'Продажи'!AQ95*'Вводные'!$B$20+'ОБЪЕКТЫ'!AQ122</x:f>
      </x:c>
      <x:c r="AR136" s="117" t="n">
        <x:f>'Продажи'!AR95*'Вводные'!$B$20+'ОБЪЕКТЫ'!AR122</x:f>
      </x:c>
      <x:c r="AS136" s="117" t="n">
        <x:f>'Продажи'!AS95*'Вводные'!$B$20+'ОБЪЕКТЫ'!AS122</x:f>
      </x:c>
      <x:c r="AT136" s="117" t="n">
        <x:f>'Продажи'!AT95*'Вводные'!$B$20+'ОБЪЕКТЫ'!AT122</x:f>
      </x:c>
      <x:c r="AU136" s="117" t="n">
        <x:f>'Продажи'!AU95*'Вводные'!$B$20+'ОБЪЕКТЫ'!AU122</x:f>
      </x:c>
      <x:c r="AV136" s="117" t="n">
        <x:f>'Продажи'!AV95*'Вводные'!$B$20+'ОБЪЕКТЫ'!AV122</x:f>
      </x:c>
      <x:c r="AW136" s="117" t="n">
        <x:f>'Продажи'!AW95*'Вводные'!$B$20+'ОБЪЕКТЫ'!AW122</x:f>
      </x:c>
      <x:c r="AX136" s="117" t="n">
        <x:f>'Продажи'!AX95*'Вводные'!$B$20+'ОБЪЕКТЫ'!AX122</x:f>
      </x:c>
      <x:c r="AY136" s="117" t="n">
        <x:f>'Продажи'!AY95*'Вводные'!$B$20+'ОБЪЕКТЫ'!AY122</x:f>
      </x:c>
      <x:c r="AZ136" s="117" t="n">
        <x:f>'Продажи'!AZ95*'Вводные'!$B$20+'ОБЪЕКТЫ'!AZ122</x:f>
      </x:c>
      <x:c r="BA136" s="117" t="n">
        <x:f>'Продажи'!BA95*'Вводные'!$B$20+'ОБЪЕКТЫ'!BA122</x:f>
      </x:c>
      <x:c r="BB136" s="117" t="n">
        <x:f>'Продажи'!BB95*'Вводные'!$B$20+'ОБЪЕКТЫ'!BB122</x:f>
      </x:c>
      <x:c r="BC136" s="117" t="n">
        <x:f>'Продажи'!BC95*'Вводные'!$B$20+'ОБЪЕКТЫ'!BC122</x:f>
      </x:c>
      <x:c r="BD136" s="117" t="n">
        <x:f>'Продажи'!BD95*'Вводные'!$B$20+'ОБЪЕКТЫ'!BD122</x:f>
      </x:c>
      <x:c r="BE136" s="117" t="n">
        <x:f>'Продажи'!BE95*'Вводные'!$B$20+'ОБЪЕКТЫ'!BE122</x:f>
      </x:c>
      <x:c r="BF136" s="117" t="n">
        <x:f>'Продажи'!BF95*'Вводные'!$B$20+'ОБЪЕКТЫ'!BF122</x:f>
      </x:c>
      <x:c r="BG136" s="117" t="n">
        <x:f>'Продажи'!BG95*'Вводные'!$B$20+'ОБЪЕКТЫ'!BG122</x:f>
      </x:c>
      <x:c r="BH136" s="117" t="n">
        <x:f>'Продажи'!BH95*'Вводные'!$B$20+'ОБЪЕКТЫ'!BH122</x:f>
      </x:c>
      <x:c r="BI136" s="117" t="n">
        <x:f>'Продажи'!BI95*'Вводные'!$B$20+'ОБЪЕКТЫ'!BI122</x:f>
      </x:c>
      <x:c r="BJ136" s="117" t="n">
        <x:f>'Продажи'!BJ95*'Вводные'!$B$20+'ОБЪЕКТЫ'!BJ122</x:f>
      </x:c>
      <x:c r="BK136" s="117" t="n">
        <x:f>'Продажи'!BK95*'Вводные'!$B$20+'ОБЪЕКТЫ'!BK122</x:f>
      </x:c>
      <x:c r="BL136" s="117" t="n">
        <x:f>'Продажи'!BL95*'Вводные'!$B$20+'ОБЪЕКТЫ'!BL122</x:f>
      </x:c>
      <x:c r="BM136" s="117" t="n">
        <x:f>'Продажи'!BM95*'Вводные'!$B$20+'ОБЪЕКТЫ'!BM122</x:f>
      </x:c>
      <x:c r="BN136" s="117" t="n">
        <x:f>'Продажи'!BN95*'Вводные'!$B$20+'ОБЪЕКТЫ'!BN122</x:f>
      </x:c>
      <x:c r="BO136" s="117" t="n">
        <x:f>'Продажи'!BO95*'Вводные'!$B$20+'ОБЪЕКТЫ'!BO122</x:f>
      </x:c>
      <x:c r="BP136" s="117" t="n">
        <x:f>'Продажи'!BP95*'Вводные'!$B$20+'ОБЪЕКТЫ'!BP122</x:f>
      </x:c>
      <x:c r="BQ136" s="117" t="n">
        <x:f>'Продажи'!BQ95*'Вводные'!$B$20+'ОБЪЕКТЫ'!BQ122</x:f>
      </x:c>
      <x:c r="BR136" s="117" t="n">
        <x:f>'Продажи'!BR95*'Вводные'!$B$20+'ОБЪЕКТЫ'!BR122</x:f>
      </x:c>
      <x:c r="BS136" s="117" t="n">
        <x:f>'Продажи'!BS95*'Вводные'!$B$20+'ОБЪЕКТЫ'!BS122</x:f>
      </x:c>
      <x:c r="BT136" s="117" t="n">
        <x:f>'Продажи'!BT95*'Вводные'!$B$20+'ОБЪЕКТЫ'!BT122</x:f>
      </x:c>
      <x:c r="BU136" s="117" t="n">
        <x:f>'Продажи'!BU95*'Вводные'!$B$20+'ОБЪЕКТЫ'!BU122</x:f>
      </x:c>
      <x:c r="BV136" s="117" t="n">
        <x:f>'Продажи'!BV95*'Вводные'!$B$20+'ОБЪЕКТЫ'!BV122</x:f>
      </x:c>
      <x:c r="BW136" s="117" t="n">
        <x:f>'Продажи'!BW95*'Вводные'!$B$20+'ОБЪЕКТЫ'!BW122</x:f>
      </x:c>
      <x:c r="BX136" s="117" t="n">
        <x:f>'Продажи'!BX95*'Вводные'!$B$20+'ОБЪЕКТЫ'!BX122</x:f>
      </x:c>
      <x:c r="BY136" s="117" t="n">
        <x:f>'Продажи'!BY95*'Вводные'!$B$20+'ОБЪЕКТЫ'!BY122</x:f>
      </x:c>
      <x:c r="BZ136" s="117" t="n">
        <x:f>'Продажи'!BZ95*'Вводные'!$B$20+'ОБЪЕКТЫ'!BZ122</x:f>
      </x:c>
      <x:c r="CA136" s="117" t="n">
        <x:f>'Продажи'!CA95*'Вводные'!$B$20+'ОБЪЕКТЫ'!CA122</x:f>
      </x:c>
      <x:c r="CB136" s="117" t="n">
        <x:f>'Продажи'!CB95*'Вводные'!$B$20+'ОБЪЕКТЫ'!CB122</x:f>
      </x:c>
      <x:c r="CC136" s="117" t="n">
        <x:f>'Продажи'!CC95*'Вводные'!$B$20+'ОБЪЕКТЫ'!CC122</x:f>
      </x:c>
      <x:c r="CD136" s="117" t="n">
        <x:f>'Продажи'!CD95*'Вводные'!$B$20+'ОБЪЕКТЫ'!CD122</x:f>
      </x:c>
      <x:c r="CE136" s="117" t="n">
        <x:f>'Продажи'!CE95*'Вводные'!$B$20+'ОБЪЕКТЫ'!CE122</x:f>
      </x:c>
      <x:c r="CF136" s="117" t="n">
        <x:f>'Продажи'!CF95*'Вводные'!$B$20+'ОБЪЕКТЫ'!CF122</x:f>
      </x:c>
      <x:c r="CG136" s="117" t="n">
        <x:f>'Продажи'!CG95*'Вводные'!$B$20+'ОБЪЕКТЫ'!CG122</x:f>
      </x:c>
      <x:c r="CH136" s="117" t="n">
        <x:f>'Продажи'!CH95*'Вводные'!$B$20+'ОБЪЕКТЫ'!CH122</x:f>
      </x:c>
      <x:c r="CI136" s="117" t="n">
        <x:f>'Продажи'!CI95*'Вводные'!$B$20+'ОБЪЕКТЫ'!CI122</x:f>
      </x:c>
      <x:c r="CJ136" s="117" t="n">
        <x:f>'Продажи'!CJ95*'Вводные'!$B$20+'ОБЪЕКТЫ'!CJ122</x:f>
      </x:c>
      <x:c r="CK136" s="117" t="n">
        <x:f>'Продажи'!CK95*'Вводные'!$B$20+'ОБЪЕКТЫ'!CK122</x:f>
      </x:c>
      <x:c r="CL136" s="117" t="n">
        <x:f>'Продажи'!CL95*'Вводные'!$B$20+'ОБЪЕКТЫ'!CL122</x:f>
      </x:c>
      <x:c r="CM136" s="117" t="n">
        <x:f>'Продажи'!CM95*'Вводные'!$B$20+'ОБЪЕКТЫ'!CM122</x:f>
      </x:c>
      <x:c r="CN136" s="117" t="n">
        <x:f>'Продажи'!CN95*'Вводные'!$B$20+'ОБЪЕКТЫ'!CN122</x:f>
      </x:c>
      <x:c r="CO136" s="117" t="n">
        <x:f>'Продажи'!CO95*'Вводные'!$B$20+'ОБЪЕКТЫ'!CO122</x:f>
      </x:c>
      <x:c r="CP136" s="117" t="n">
        <x:f>'Продажи'!CP95*'Вводные'!$B$20+'ОБЪЕКТЫ'!CP122</x:f>
      </x:c>
      <x:c r="CQ136" s="117" t="n">
        <x:f>'Продажи'!CQ95*'Вводные'!$B$20+'ОБЪЕКТЫ'!CQ122</x:f>
      </x:c>
      <x:c r="CR136" s="117" t="n">
        <x:f>'Продажи'!CR95*'Вводные'!$B$20+'ОБЪЕКТЫ'!CR122</x:f>
      </x:c>
      <x:c r="CS136" s="117" t="n">
        <x:f>'Продажи'!CS95*'Вводные'!$B$20+'ОБЪЕКТЫ'!CS122</x:f>
      </x:c>
      <x:c r="CT136" s="117" t="n">
        <x:f>'Продажи'!CT95*'Вводные'!$B$20+'ОБЪЕКТЫ'!CT122</x:f>
      </x:c>
      <x:c r="CU136" s="117" t="n">
        <x:f>'Продажи'!CU95*'Вводные'!$B$20+'ОБЪЕКТЫ'!CU122</x:f>
      </x:c>
      <x:c r="CV136" s="117" t="n">
        <x:f>'Продажи'!CV95*'Вводные'!$B$20+'ОБЪЕКТЫ'!CV122</x:f>
      </x:c>
      <x:c r="CW136" s="117" t="n">
        <x:f>'Продажи'!CW95*'Вводные'!$B$20+'ОБЪЕКТЫ'!CW122</x:f>
      </x:c>
      <x:c r="CX136" s="117" t="n">
        <x:f>'Продажи'!CX95*'Вводные'!$B$20+'ОБЪЕКТЫ'!CX122</x:f>
      </x:c>
      <x:c r="CY136" s="117" t="n">
        <x:f>'Продажи'!CY95*'Вводные'!$B$20+'ОБЪЕКТЫ'!CY122</x:f>
      </x:c>
      <x:c r="CZ136" s="117" t="n">
        <x:f>'Продажи'!CZ95*'Вводные'!$B$20+'ОБЪЕКТЫ'!CZ122</x:f>
      </x:c>
      <x:c r="DA136" s="117" t="n">
        <x:f>'Продажи'!DA95*'Вводные'!$B$20+'ОБЪЕКТЫ'!DA122</x:f>
      </x:c>
      <x:c r="DB136" s="117" t="n">
        <x:f>'Продажи'!DB95*'Вводные'!$B$20+'ОБЪЕКТЫ'!DB122</x:f>
      </x:c>
      <x:c r="DC136" s="117" t="n">
        <x:f>'Продажи'!DC95*'Вводные'!$B$20+'ОБЪЕКТЫ'!DC122</x:f>
      </x:c>
      <x:c r="DD136" s="117" t="n">
        <x:f>'Продажи'!DD95*'Вводные'!$B$20+'ОБЪЕКТЫ'!DD122</x:f>
      </x:c>
      <x:c r="DE136" s="117" t="n">
        <x:f>'Продажи'!DE95*'Вводные'!$B$20+'ОБЪЕКТЫ'!DE122</x:f>
      </x:c>
      <x:c r="DF136" s="117" t="n">
        <x:f>'Продажи'!DF95*'Вводные'!$B$20+'ОБЪЕКТЫ'!DF122</x:f>
      </x:c>
      <x:c r="DG136" s="117" t="n">
        <x:f>'Продажи'!DG95*'Вводные'!$B$20+'ОБЪЕКТЫ'!DG122</x:f>
      </x:c>
      <x:c r="DH136" s="117" t="n">
        <x:f>'Продажи'!DH95*'Вводные'!$B$20+'ОБЪЕКТЫ'!DH122</x:f>
      </x:c>
      <x:c r="DI136" s="117" t="n">
        <x:f>'Продажи'!DI95*'Вводные'!$B$20+'ОБЪЕКТЫ'!DI122</x:f>
      </x:c>
      <x:c r="DJ136" s="117" t="n">
        <x:f>'Продажи'!DJ95*'Вводные'!$B$20+'ОБЪЕКТЫ'!DJ122</x:f>
      </x:c>
      <x:c r="DK136" s="117" t="n">
        <x:f>'Продажи'!DK95*'Вводные'!$B$20+'ОБЪЕКТЫ'!DK122</x:f>
      </x:c>
      <x:c r="DL136" s="117" t="n">
        <x:f>'Продажи'!DL95*'Вводные'!$B$20+'ОБЪЕКТЫ'!DL122</x:f>
      </x:c>
      <x:c r="DM136" s="117" t="n">
        <x:f>'Продажи'!DM95*'Вводные'!$B$20+'ОБЪЕКТЫ'!DM122</x:f>
      </x:c>
      <x:c r="DN136" s="117" t="n">
        <x:f>'Продажи'!DN95*'Вводные'!$B$20+'ОБЪЕКТЫ'!DN122</x:f>
      </x:c>
      <x:c r="DO136" s="117" t="n">
        <x:f>'Продажи'!DO95*'Вводные'!$B$20+'ОБЪЕКТЫ'!DO122</x:f>
      </x:c>
      <x:c r="DP136" s="117" t="n">
        <x:f>'Продажи'!DP95*'Вводные'!$B$20+'ОБЪЕКТЫ'!DP122</x:f>
      </x:c>
      <x:c r="DQ136" s="117" t="n">
        <x:f>'Продажи'!DQ95*'Вводные'!$B$20+'ОБЪЕКТЫ'!DQ122</x:f>
      </x:c>
      <x:c r="DR136" s="117" t="n">
        <x:f>'Продажи'!DR95*'Вводные'!$B$20+'ОБЪЕКТЫ'!DR122</x:f>
      </x:c>
      <x:c r="DS136" s="117" t="n">
        <x:f>'Продажи'!DS95*'Вводные'!$B$20+'ОБЪЕКТЫ'!DS122</x:f>
      </x:c>
    </x:row>
    <x:row r="137">
      <x:c r="A137" s="113" t="str">
        <x:v>РАСХОДЫ ПРОЕКТА ВСЕГО</x:v>
      </x:c>
      <x:c r="B137" s="113" t="n">
        <x:f>SUM(D137:DS137)</x:f>
      </x:c>
      <x:c r="C137" s="113" t="str">
        <x:v>млн ₽</x:v>
      </x:c>
      <x:c r="D137" s="120" t="n">
        <x:f>SUM(D134:D136)</x:f>
      </x:c>
      <x:c r="E137" s="120" t="n">
        <x:f>SUM(E134:E136)</x:f>
      </x:c>
      <x:c r="F137" s="120" t="n">
        <x:f>SUM(F134:F136)</x:f>
      </x:c>
      <x:c r="G137" s="120" t="n">
        <x:f>SUM(G134:G136)</x:f>
      </x:c>
      <x:c r="H137" s="120" t="n">
        <x:f>SUM(H134:H136)</x:f>
      </x:c>
      <x:c r="I137" s="120" t="n">
        <x:f>SUM(I134:I136)</x:f>
      </x:c>
      <x:c r="J137" s="120" t="n">
        <x:f>SUM(J134:J136)</x:f>
      </x:c>
      <x:c r="K137" s="120" t="n">
        <x:f>SUM(K134:K136)</x:f>
      </x:c>
      <x:c r="L137" s="120" t="n">
        <x:f>SUM(L134:L136)</x:f>
      </x:c>
      <x:c r="M137" s="120" t="n">
        <x:f>SUM(M134:M136)</x:f>
      </x:c>
      <x:c r="N137" s="120" t="n">
        <x:f>SUM(N134:N136)</x:f>
      </x:c>
      <x:c r="O137" s="120" t="n">
        <x:f>SUM(O134:O136)</x:f>
      </x:c>
      <x:c r="P137" s="120" t="n">
        <x:f>SUM(P134:P136)</x:f>
      </x:c>
      <x:c r="Q137" s="120" t="n">
        <x:f>SUM(Q134:Q136)</x:f>
      </x:c>
      <x:c r="R137" s="120" t="n">
        <x:f>SUM(R134:R136)</x:f>
      </x:c>
      <x:c r="S137" s="120" t="n">
        <x:f>SUM(S134:S136)</x:f>
      </x:c>
      <x:c r="T137" s="120" t="n">
        <x:f>SUM(T134:T136)</x:f>
      </x:c>
      <x:c r="U137" s="120" t="n">
        <x:f>SUM(U134:U136)</x:f>
      </x:c>
      <x:c r="V137" s="120" t="n">
        <x:f>SUM(V134:V136)</x:f>
      </x:c>
      <x:c r="W137" s="120" t="n">
        <x:f>SUM(W134:W136)</x:f>
      </x:c>
      <x:c r="X137" s="120" t="n">
        <x:f>SUM(X134:X136)</x:f>
      </x:c>
      <x:c r="Y137" s="120" t="n">
        <x:f>SUM(Y134:Y136)</x:f>
      </x:c>
      <x:c r="Z137" s="120" t="n">
        <x:f>SUM(Z134:Z136)</x:f>
      </x:c>
      <x:c r="AA137" s="120" t="n">
        <x:f>SUM(AA134:AA136)</x:f>
      </x:c>
      <x:c r="AB137" s="120" t="n">
        <x:f>SUM(AB134:AB136)</x:f>
      </x:c>
      <x:c r="AC137" s="120" t="n">
        <x:f>SUM(AC134:AC136)</x:f>
      </x:c>
      <x:c r="AD137" s="120" t="n">
        <x:f>SUM(AD134:AD136)</x:f>
      </x:c>
      <x:c r="AE137" s="120" t="n">
        <x:f>SUM(AE134:AE136)</x:f>
      </x:c>
      <x:c r="AF137" s="120" t="n">
        <x:f>SUM(AF134:AF136)</x:f>
      </x:c>
      <x:c r="AG137" s="120" t="n">
        <x:f>SUM(AG134:AG136)</x:f>
      </x:c>
      <x:c r="AH137" s="120" t="n">
        <x:f>SUM(AH134:AH136)</x:f>
      </x:c>
      <x:c r="AI137" s="120" t="n">
        <x:f>SUM(AI134:AI136)</x:f>
      </x:c>
      <x:c r="AJ137" s="120" t="n">
        <x:f>SUM(AJ134:AJ136)</x:f>
      </x:c>
      <x:c r="AK137" s="120" t="n">
        <x:f>SUM(AK134:AK136)</x:f>
      </x:c>
      <x:c r="AL137" s="120" t="n">
        <x:f>SUM(AL134:AL136)</x:f>
      </x:c>
      <x:c r="AM137" s="120" t="n">
        <x:f>SUM(AM134:AM136)</x:f>
      </x:c>
      <x:c r="AN137" s="120" t="n">
        <x:f>SUM(AN134:AN136)</x:f>
      </x:c>
      <x:c r="AO137" s="120" t="n">
        <x:f>SUM(AO134:AO136)</x:f>
      </x:c>
      <x:c r="AP137" s="120" t="n">
        <x:f>SUM(AP134:AP136)</x:f>
      </x:c>
      <x:c r="AQ137" s="120" t="n">
        <x:f>SUM(AQ134:AQ136)</x:f>
      </x:c>
      <x:c r="AR137" s="120" t="n">
        <x:f>SUM(AR134:AR136)</x:f>
      </x:c>
      <x:c r="AS137" s="120" t="n">
        <x:f>SUM(AS134:AS136)</x:f>
      </x:c>
      <x:c r="AT137" s="120" t="n">
        <x:f>SUM(AT134:AT136)</x:f>
      </x:c>
      <x:c r="AU137" s="120" t="n">
        <x:f>SUM(AU134:AU136)</x:f>
      </x:c>
      <x:c r="AV137" s="120" t="n">
        <x:f>SUM(AV134:AV136)</x:f>
      </x:c>
      <x:c r="AW137" s="120" t="n">
        <x:f>SUM(AW134:AW136)</x:f>
      </x:c>
      <x:c r="AX137" s="120" t="n">
        <x:f>SUM(AX134:AX136)</x:f>
      </x:c>
      <x:c r="AY137" s="120" t="n">
        <x:f>SUM(AY134:AY136)</x:f>
      </x:c>
      <x:c r="AZ137" s="120" t="n">
        <x:f>SUM(AZ134:AZ136)</x:f>
      </x:c>
      <x:c r="BA137" s="120" t="n">
        <x:f>SUM(BA134:BA136)</x:f>
      </x:c>
      <x:c r="BB137" s="120" t="n">
        <x:f>SUM(BB134:BB136)</x:f>
      </x:c>
      <x:c r="BC137" s="120" t="n">
        <x:f>SUM(BC134:BC136)</x:f>
      </x:c>
      <x:c r="BD137" s="120" t="n">
        <x:f>SUM(BD134:BD136)</x:f>
      </x:c>
      <x:c r="BE137" s="120" t="n">
        <x:f>SUM(BE134:BE136)</x:f>
      </x:c>
      <x:c r="BF137" s="120" t="n">
        <x:f>SUM(BF134:BF136)</x:f>
      </x:c>
      <x:c r="BG137" s="120" t="n">
        <x:f>SUM(BG134:BG136)</x:f>
      </x:c>
      <x:c r="BH137" s="120" t="n">
        <x:f>SUM(BH134:BH136)</x:f>
      </x:c>
      <x:c r="BI137" s="120" t="n">
        <x:f>SUM(BI134:BI136)</x:f>
      </x:c>
      <x:c r="BJ137" s="120" t="n">
        <x:f>SUM(BJ134:BJ136)</x:f>
      </x:c>
      <x:c r="BK137" s="120" t="n">
        <x:f>SUM(BK134:BK136)</x:f>
      </x:c>
      <x:c r="BL137" s="120" t="n">
        <x:f>SUM(BL134:BL136)</x:f>
      </x:c>
      <x:c r="BM137" s="120" t="n">
        <x:f>SUM(BM134:BM136)</x:f>
      </x:c>
      <x:c r="BN137" s="120" t="n">
        <x:f>SUM(BN134:BN136)</x:f>
      </x:c>
      <x:c r="BO137" s="120" t="n">
        <x:f>SUM(BO134:BO136)</x:f>
      </x:c>
      <x:c r="BP137" s="120" t="n">
        <x:f>SUM(BP134:BP136)</x:f>
      </x:c>
      <x:c r="BQ137" s="120" t="n">
        <x:f>SUM(BQ134:BQ136)</x:f>
      </x:c>
      <x:c r="BR137" s="120" t="n">
        <x:f>SUM(BR134:BR136)</x:f>
      </x:c>
      <x:c r="BS137" s="120" t="n">
        <x:f>SUM(BS134:BS136)</x:f>
      </x:c>
      <x:c r="BT137" s="120" t="n">
        <x:f>SUM(BT134:BT136)</x:f>
      </x:c>
      <x:c r="BU137" s="120" t="n">
        <x:f>SUM(BU134:BU136)</x:f>
      </x:c>
      <x:c r="BV137" s="120" t="n">
        <x:f>SUM(BV134:BV136)</x:f>
      </x:c>
      <x:c r="BW137" s="120" t="n">
        <x:f>SUM(BW134:BW136)</x:f>
      </x:c>
      <x:c r="BX137" s="120" t="n">
        <x:f>SUM(BX134:BX136)</x:f>
      </x:c>
      <x:c r="BY137" s="120" t="n">
        <x:f>SUM(BY134:BY136)</x:f>
      </x:c>
      <x:c r="BZ137" s="120" t="n">
        <x:f>SUM(BZ134:BZ136)</x:f>
      </x:c>
      <x:c r="CA137" s="120" t="n">
        <x:f>SUM(CA134:CA136)</x:f>
      </x:c>
      <x:c r="CB137" s="120" t="n">
        <x:f>SUM(CB134:CB136)</x:f>
      </x:c>
      <x:c r="CC137" s="120" t="n">
        <x:f>SUM(CC134:CC136)</x:f>
      </x:c>
      <x:c r="CD137" s="120" t="n">
        <x:f>SUM(CD134:CD136)</x:f>
      </x:c>
      <x:c r="CE137" s="120" t="n">
        <x:f>SUM(CE134:CE136)</x:f>
      </x:c>
      <x:c r="CF137" s="120" t="n">
        <x:f>SUM(CF134:CF136)</x:f>
      </x:c>
      <x:c r="CG137" s="120" t="n">
        <x:f>SUM(CG134:CG136)</x:f>
      </x:c>
      <x:c r="CH137" s="120" t="n">
        <x:f>SUM(CH134:CH136)</x:f>
      </x:c>
      <x:c r="CI137" s="120" t="n">
        <x:f>SUM(CI134:CI136)</x:f>
      </x:c>
      <x:c r="CJ137" s="120" t="n">
        <x:f>SUM(CJ134:CJ136)</x:f>
      </x:c>
      <x:c r="CK137" s="120" t="n">
        <x:f>SUM(CK134:CK136)</x:f>
      </x:c>
      <x:c r="CL137" s="120" t="n">
        <x:f>SUM(CL134:CL136)</x:f>
      </x:c>
      <x:c r="CM137" s="120" t="n">
        <x:f>SUM(CM134:CM136)</x:f>
      </x:c>
      <x:c r="CN137" s="120" t="n">
        <x:f>SUM(CN134:CN136)</x:f>
      </x:c>
      <x:c r="CO137" s="120" t="n">
        <x:f>SUM(CO134:CO136)</x:f>
      </x:c>
      <x:c r="CP137" s="120" t="n">
        <x:f>SUM(CP134:CP136)</x:f>
      </x:c>
      <x:c r="CQ137" s="120" t="n">
        <x:f>SUM(CQ134:CQ136)</x:f>
      </x:c>
      <x:c r="CR137" s="120" t="n">
        <x:f>SUM(CR134:CR136)</x:f>
      </x:c>
      <x:c r="CS137" s="120" t="n">
        <x:f>SUM(CS134:CS136)</x:f>
      </x:c>
      <x:c r="CT137" s="120" t="n">
        <x:f>SUM(CT134:CT136)</x:f>
      </x:c>
      <x:c r="CU137" s="120" t="n">
        <x:f>SUM(CU134:CU136)</x:f>
      </x:c>
      <x:c r="CV137" s="120" t="n">
        <x:f>SUM(CV134:CV136)</x:f>
      </x:c>
      <x:c r="CW137" s="120" t="n">
        <x:f>SUM(CW134:CW136)</x:f>
      </x:c>
      <x:c r="CX137" s="120" t="n">
        <x:f>SUM(CX134:CX136)</x:f>
      </x:c>
      <x:c r="CY137" s="120" t="n">
        <x:f>SUM(CY134:CY136)</x:f>
      </x:c>
      <x:c r="CZ137" s="120" t="n">
        <x:f>SUM(CZ134:CZ136)</x:f>
      </x:c>
      <x:c r="DA137" s="120" t="n">
        <x:f>SUM(DA134:DA136)</x:f>
      </x:c>
      <x:c r="DB137" s="120" t="n">
        <x:f>SUM(DB134:DB136)</x:f>
      </x:c>
      <x:c r="DC137" s="120" t="n">
        <x:f>SUM(DC134:DC136)</x:f>
      </x:c>
      <x:c r="DD137" s="120" t="n">
        <x:f>SUM(DD134:DD136)</x:f>
      </x:c>
      <x:c r="DE137" s="120" t="n">
        <x:f>SUM(DE134:DE136)</x:f>
      </x:c>
      <x:c r="DF137" s="120" t="n">
        <x:f>SUM(DF134:DF136)</x:f>
      </x:c>
      <x:c r="DG137" s="120" t="n">
        <x:f>SUM(DG134:DG136)</x:f>
      </x:c>
      <x:c r="DH137" s="120" t="n">
        <x:f>SUM(DH134:DH136)</x:f>
      </x:c>
      <x:c r="DI137" s="120" t="n">
        <x:f>SUM(DI134:DI136)</x:f>
      </x:c>
      <x:c r="DJ137" s="120" t="n">
        <x:f>SUM(DJ134:DJ136)</x:f>
      </x:c>
      <x:c r="DK137" s="120" t="n">
        <x:f>SUM(DK134:DK136)</x:f>
      </x:c>
      <x:c r="DL137" s="120" t="n">
        <x:f>SUM(DL134:DL136)</x:f>
      </x:c>
      <x:c r="DM137" s="120" t="n">
        <x:f>SUM(DM134:DM136)</x:f>
      </x:c>
      <x:c r="DN137" s="120" t="n">
        <x:f>SUM(DN134:DN136)</x:f>
      </x:c>
      <x:c r="DO137" s="120" t="n">
        <x:f>SUM(DO134:DO136)</x:f>
      </x:c>
      <x:c r="DP137" s="120" t="n">
        <x:f>SUM(DP134:DP136)</x:f>
      </x:c>
      <x:c r="DQ137" s="120" t="n">
        <x:f>SUM(DQ134:DQ136)</x:f>
      </x:c>
      <x:c r="DR137" s="120" t="n">
        <x:f>SUM(DR134:DR136)</x:f>
      </x:c>
      <x:c r="DS137" s="120" t="n">
        <x:f>SUM(DS134:DS136)</x:f>
      </x:c>
    </x:row>
  </x:sheetData>
  <x:mergeCells>
    <x:mergeCell ref="A1:DS1"/>
    <x:mergeCell ref="A6:DS6"/>
    <x:mergeCell ref="A40:DS40"/>
    <x:mergeCell ref="A74:DS74"/>
    <x:mergeCell ref="A108:DS10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1</x:v>
      </x:c>
      <x:c r="B1" s="4" t="str">
        <x:v>ДЕНЕЖНЫЙ ПОТОК · ОЧЕРЕДЬ 1</x:v>
      </x:c>
      <x:c r="C1" s="4" t="str">
        <x:v>ДЕНЕЖНЫЙ ПОТОК · ОЧЕРЕДЬ 1</x:v>
      </x:c>
      <x:c r="D1" s="4" t="str">
        <x:v>ДЕНЕЖНЫЙ ПОТОК · ОЧЕРЕДЬ 1</x:v>
      </x:c>
      <x:c r="E1" s="4" t="str">
        <x:v>ДЕНЕЖНЫЙ ПОТОК · ОЧЕРЕДЬ 1</x:v>
      </x:c>
      <x:c r="F1" s="4" t="str">
        <x:v>ДЕНЕЖНЫЙ ПОТОК · ОЧЕРЕДЬ 1</x:v>
      </x:c>
      <x:c r="G1" s="4" t="str">
        <x:v>ДЕНЕЖНЫЙ ПОТОК · ОЧЕРЕДЬ 1</x:v>
      </x:c>
      <x:c r="H1" s="4" t="str">
        <x:v>ДЕНЕЖНЫЙ ПОТОК · ОЧЕРЕДЬ 1</x:v>
      </x:c>
      <x:c r="I1" s="4" t="str">
        <x:v>ДЕНЕЖНЫЙ ПОТОК · ОЧЕРЕДЬ 1</x:v>
      </x:c>
      <x:c r="J1" s="4" t="str">
        <x:v>ДЕНЕЖНЫЙ ПОТОК · ОЧЕРЕДЬ 1</x:v>
      </x:c>
      <x:c r="K1" s="4" t="str">
        <x:v>ДЕНЕЖНЫЙ ПОТОК · ОЧЕРЕДЬ 1</x:v>
      </x:c>
      <x:c r="L1" s="4" t="str">
        <x:v>ДЕНЕЖНЫЙ ПОТОК · ОЧЕРЕДЬ 1</x:v>
      </x:c>
      <x:c r="M1" s="4" t="str">
        <x:v>ДЕНЕЖНЫЙ ПОТОК · ОЧЕРЕДЬ 1</x:v>
      </x:c>
      <x:c r="N1" s="4" t="str">
        <x:v>ДЕНЕЖНЫЙ ПОТОК · ОЧЕРЕДЬ 1</x:v>
      </x:c>
      <x:c r="O1" s="4" t="str">
        <x:v>ДЕНЕЖНЫЙ ПОТОК · ОЧЕРЕДЬ 1</x:v>
      </x:c>
      <x:c r="P1" s="4" t="str">
        <x:v>ДЕНЕЖНЫЙ ПОТОК · ОЧЕРЕДЬ 1</x:v>
      </x:c>
      <x:c r="Q1" s="4" t="str">
        <x:v>ДЕНЕЖНЫЙ ПОТОК · ОЧЕРЕДЬ 1</x:v>
      </x:c>
      <x:c r="R1" s="4" t="str">
        <x:v>ДЕНЕЖНЫЙ ПОТОК · ОЧЕРЕДЬ 1</x:v>
      </x:c>
      <x:c r="S1" s="4" t="str">
        <x:v>ДЕНЕЖНЫЙ ПОТОК · ОЧЕРЕДЬ 1</x:v>
      </x:c>
      <x:c r="T1" s="4" t="str">
        <x:v>ДЕНЕЖНЫЙ ПОТОК · ОЧЕРЕДЬ 1</x:v>
      </x:c>
      <x:c r="U1" s="4" t="str">
        <x:v>ДЕНЕЖНЫЙ ПОТОК · ОЧЕРЕДЬ 1</x:v>
      </x:c>
      <x:c r="V1" s="4" t="str">
        <x:v>ДЕНЕЖНЫЙ ПОТОК · ОЧЕРЕДЬ 1</x:v>
      </x:c>
      <x:c r="W1" s="4" t="str">
        <x:v>ДЕНЕЖНЫЙ ПОТОК · ОЧЕРЕДЬ 1</x:v>
      </x:c>
      <x:c r="X1" s="4" t="str">
        <x:v>ДЕНЕЖНЫЙ ПОТОК · ОЧЕРЕДЬ 1</x:v>
      </x:c>
      <x:c r="Y1" s="4" t="str">
        <x:v>ДЕНЕЖНЫЙ ПОТОК · ОЧЕРЕДЬ 1</x:v>
      </x:c>
      <x:c r="Z1" s="4" t="str">
        <x:v>ДЕНЕЖНЫЙ ПОТОК · ОЧЕРЕДЬ 1</x:v>
      </x:c>
      <x:c r="AA1" s="4" t="str">
        <x:v>ДЕНЕЖНЫЙ ПОТОК · ОЧЕРЕДЬ 1</x:v>
      </x:c>
      <x:c r="AB1" s="4" t="str">
        <x:v>ДЕНЕЖНЫЙ ПОТОК · ОЧЕРЕДЬ 1</x:v>
      </x:c>
      <x:c r="AC1" s="4" t="str">
        <x:v>ДЕНЕЖНЫЙ ПОТОК · ОЧЕРЕДЬ 1</x:v>
      </x:c>
      <x:c r="AD1" s="4" t="str">
        <x:v>ДЕНЕЖНЫЙ ПОТОК · ОЧЕРЕДЬ 1</x:v>
      </x:c>
      <x:c r="AE1" s="4" t="str">
        <x:v>ДЕНЕЖНЫЙ ПОТОК · ОЧЕРЕДЬ 1</x:v>
      </x:c>
      <x:c r="AF1" s="4" t="str">
        <x:v>ДЕНЕЖНЫЙ ПОТОК · ОЧЕРЕДЬ 1</x:v>
      </x:c>
      <x:c r="AG1" s="4" t="str">
        <x:v>ДЕНЕЖНЫЙ ПОТОК · ОЧЕРЕДЬ 1</x:v>
      </x:c>
      <x:c r="AH1" s="4" t="str">
        <x:v>ДЕНЕЖНЫЙ ПОТОК · ОЧЕРЕДЬ 1</x:v>
      </x:c>
      <x:c r="AI1" s="4" t="str">
        <x:v>ДЕНЕЖНЫЙ ПОТОК · ОЧЕРЕДЬ 1</x:v>
      </x:c>
      <x:c r="AJ1" s="4" t="str">
        <x:v>ДЕНЕЖНЫЙ ПОТОК · ОЧЕРЕДЬ 1</x:v>
      </x:c>
      <x:c r="AK1" s="4" t="str">
        <x:v>ДЕНЕЖНЫЙ ПОТОК · ОЧЕРЕДЬ 1</x:v>
      </x:c>
      <x:c r="AL1" s="4" t="str">
        <x:v>ДЕНЕЖНЫЙ ПОТОК · ОЧЕРЕДЬ 1</x:v>
      </x:c>
      <x:c r="AM1" s="4" t="str">
        <x:v>ДЕНЕЖНЫЙ ПОТОК · ОЧЕРЕДЬ 1</x:v>
      </x:c>
      <x:c r="AN1" s="4" t="str">
        <x:v>ДЕНЕЖНЫЙ ПОТОК · ОЧЕРЕДЬ 1</x:v>
      </x:c>
      <x:c r="AO1" s="4" t="str">
        <x:v>ДЕНЕЖНЫЙ ПОТОК · ОЧЕРЕДЬ 1</x:v>
      </x:c>
      <x:c r="AP1" s="4" t="str">
        <x:v>ДЕНЕЖНЫЙ ПОТОК · ОЧЕРЕДЬ 1</x:v>
      </x:c>
      <x:c r="AQ1" s="4" t="str">
        <x:v>ДЕНЕЖНЫЙ ПОТОК · ОЧЕРЕДЬ 1</x:v>
      </x:c>
      <x:c r="AR1" s="4" t="str">
        <x:v>ДЕНЕЖНЫЙ ПОТОК · ОЧЕРЕДЬ 1</x:v>
      </x:c>
      <x:c r="AS1" s="4" t="str">
        <x:v>ДЕНЕЖНЫЙ ПОТОК · ОЧЕРЕДЬ 1</x:v>
      </x:c>
      <x:c r="AT1" s="4" t="str">
        <x:v>ДЕНЕЖНЫЙ ПОТОК · ОЧЕРЕДЬ 1</x:v>
      </x:c>
      <x:c r="AU1" s="4" t="str">
        <x:v>ДЕНЕЖНЫЙ ПОТОК · ОЧЕРЕДЬ 1</x:v>
      </x:c>
      <x:c r="AV1" s="4" t="str">
        <x:v>ДЕНЕЖНЫЙ ПОТОК · ОЧЕРЕДЬ 1</x:v>
      </x:c>
      <x:c r="AW1" s="4" t="str">
        <x:v>ДЕНЕЖНЫЙ ПОТОК · ОЧЕРЕДЬ 1</x:v>
      </x:c>
      <x:c r="AX1" s="4" t="str">
        <x:v>ДЕНЕЖНЫЙ ПОТОК · ОЧЕРЕДЬ 1</x:v>
      </x:c>
      <x:c r="AY1" s="4" t="str">
        <x:v>ДЕНЕЖНЫЙ ПОТОК · ОЧЕРЕДЬ 1</x:v>
      </x:c>
      <x:c r="AZ1" s="4" t="str">
        <x:v>ДЕНЕЖНЫЙ ПОТОК · ОЧЕРЕДЬ 1</x:v>
      </x:c>
      <x:c r="BA1" s="4" t="str">
        <x:v>ДЕНЕЖНЫЙ ПОТОК · ОЧЕРЕДЬ 1</x:v>
      </x:c>
      <x:c r="BB1" s="4" t="str">
        <x:v>ДЕНЕЖНЫЙ ПОТОК · ОЧЕРЕДЬ 1</x:v>
      </x:c>
      <x:c r="BC1" s="4" t="str">
        <x:v>ДЕНЕЖНЫЙ ПОТОК · ОЧЕРЕДЬ 1</x:v>
      </x:c>
      <x:c r="BD1" s="4" t="str">
        <x:v>ДЕНЕЖНЫЙ ПОТОК · ОЧЕРЕДЬ 1</x:v>
      </x:c>
      <x:c r="BE1" s="4" t="str">
        <x:v>ДЕНЕЖНЫЙ ПОТОК · ОЧЕРЕДЬ 1</x:v>
      </x:c>
      <x:c r="BF1" s="4" t="str">
        <x:v>ДЕНЕЖНЫЙ ПОТОК · ОЧЕРЕДЬ 1</x:v>
      </x:c>
      <x:c r="BG1" s="4" t="str">
        <x:v>ДЕНЕЖНЫЙ ПОТОК · ОЧЕРЕДЬ 1</x:v>
      </x:c>
      <x:c r="BH1" s="4" t="str">
        <x:v>ДЕНЕЖНЫЙ ПОТОК · ОЧЕРЕДЬ 1</x:v>
      </x:c>
      <x:c r="BI1" s="4" t="str">
        <x:v>ДЕНЕЖНЫЙ ПОТОК · ОЧЕРЕДЬ 1</x:v>
      </x:c>
      <x:c r="BJ1" s="4" t="str">
        <x:v>ДЕНЕЖНЫЙ ПОТОК · ОЧЕРЕДЬ 1</x:v>
      </x:c>
      <x:c r="BK1" s="4" t="str">
        <x:v>ДЕНЕЖНЫЙ ПОТОК · ОЧЕРЕДЬ 1</x:v>
      </x:c>
      <x:c r="BL1" s="4" t="str">
        <x:v>ДЕНЕЖНЫЙ ПОТОК · ОЧЕРЕДЬ 1</x:v>
      </x:c>
      <x:c r="BM1" s="4" t="str">
        <x:v>ДЕНЕЖНЫЙ ПОТОК · ОЧЕРЕДЬ 1</x:v>
      </x:c>
      <x:c r="BN1" s="4" t="str">
        <x:v>ДЕНЕЖНЫЙ ПОТОК · ОЧЕРЕДЬ 1</x:v>
      </x:c>
      <x:c r="BO1" s="4" t="str">
        <x:v>ДЕНЕЖНЫЙ ПОТОК · ОЧЕРЕДЬ 1</x:v>
      </x:c>
      <x:c r="BP1" s="4" t="str">
        <x:v>ДЕНЕЖНЫЙ ПОТОК · ОЧЕРЕДЬ 1</x:v>
      </x:c>
      <x:c r="BQ1" s="4" t="str">
        <x:v>ДЕНЕЖНЫЙ ПОТОК · ОЧЕРЕДЬ 1</x:v>
      </x:c>
      <x:c r="BR1" s="4" t="str">
        <x:v>ДЕНЕЖНЫЙ ПОТОК · ОЧЕРЕДЬ 1</x:v>
      </x:c>
      <x:c r="BS1" s="4" t="str">
        <x:v>ДЕНЕЖНЫЙ ПОТОК · ОЧЕРЕДЬ 1</x:v>
      </x:c>
      <x:c r="BT1" s="4" t="str">
        <x:v>ДЕНЕЖНЫЙ ПОТОК · ОЧЕРЕДЬ 1</x:v>
      </x:c>
      <x:c r="BU1" s="4" t="str">
        <x:v>ДЕНЕЖНЫЙ ПОТОК · ОЧЕРЕДЬ 1</x:v>
      </x:c>
      <x:c r="BV1" s="4" t="str">
        <x:v>ДЕНЕЖНЫЙ ПОТОК · ОЧЕРЕДЬ 1</x:v>
      </x:c>
      <x:c r="BW1" s="4" t="str">
        <x:v>ДЕНЕЖНЫЙ ПОТОК · ОЧЕРЕДЬ 1</x:v>
      </x:c>
      <x:c r="BX1" s="4" t="str">
        <x:v>ДЕНЕЖНЫЙ ПОТОК · ОЧЕРЕДЬ 1</x:v>
      </x:c>
      <x:c r="BY1" s="4" t="str">
        <x:v>ДЕНЕЖНЫЙ ПОТОК · ОЧЕРЕДЬ 1</x:v>
      </x:c>
      <x:c r="BZ1" s="4" t="str">
        <x:v>ДЕНЕЖНЫЙ ПОТОК · ОЧЕРЕДЬ 1</x:v>
      </x:c>
      <x:c r="CA1" s="4" t="str">
        <x:v>ДЕНЕЖНЫЙ ПОТОК · ОЧЕРЕДЬ 1</x:v>
      </x:c>
      <x:c r="CB1" s="4" t="str">
        <x:v>ДЕНЕЖНЫЙ ПОТОК · ОЧЕРЕДЬ 1</x:v>
      </x:c>
      <x:c r="CC1" s="4" t="str">
        <x:v>ДЕНЕЖНЫЙ ПОТОК · ОЧЕРЕДЬ 1</x:v>
      </x:c>
      <x:c r="CD1" s="4" t="str">
        <x:v>ДЕНЕЖНЫЙ ПОТОК · ОЧЕРЕДЬ 1</x:v>
      </x:c>
      <x:c r="CE1" s="4" t="str">
        <x:v>ДЕНЕЖНЫЙ ПОТОК · ОЧЕРЕДЬ 1</x:v>
      </x:c>
      <x:c r="CF1" s="4" t="str">
        <x:v>ДЕНЕЖНЫЙ ПОТОК · ОЧЕРЕДЬ 1</x:v>
      </x:c>
      <x:c r="CG1" s="4" t="str">
        <x:v>ДЕНЕЖНЫЙ ПОТОК · ОЧЕРЕДЬ 1</x:v>
      </x:c>
      <x:c r="CH1" s="4" t="str">
        <x:v>ДЕНЕЖНЫЙ ПОТОК · ОЧЕРЕДЬ 1</x:v>
      </x:c>
      <x:c r="CI1" s="4" t="str">
        <x:v>ДЕНЕЖНЫЙ ПОТОК · ОЧЕРЕДЬ 1</x:v>
      </x:c>
      <x:c r="CJ1" s="4" t="str">
        <x:v>ДЕНЕЖНЫЙ ПОТОК · ОЧЕРЕДЬ 1</x:v>
      </x:c>
      <x:c r="CK1" s="4" t="str">
        <x:v>ДЕНЕЖНЫЙ ПОТОК · ОЧЕРЕДЬ 1</x:v>
      </x:c>
      <x:c r="CL1" s="4" t="str">
        <x:v>ДЕНЕЖНЫЙ ПОТОК · ОЧЕРЕДЬ 1</x:v>
      </x:c>
      <x:c r="CM1" s="4" t="str">
        <x:v>ДЕНЕЖНЫЙ ПОТОК · ОЧЕРЕДЬ 1</x:v>
      </x:c>
      <x:c r="CN1" s="4" t="str">
        <x:v>ДЕНЕЖНЫЙ ПОТОК · ОЧЕРЕДЬ 1</x:v>
      </x:c>
      <x:c r="CO1" s="4" t="str">
        <x:v>ДЕНЕЖНЫЙ ПОТОК · ОЧЕРЕДЬ 1</x:v>
      </x:c>
      <x:c r="CP1" s="4" t="str">
        <x:v>ДЕНЕЖНЫЙ ПОТОК · ОЧЕРЕДЬ 1</x:v>
      </x:c>
      <x:c r="CQ1" s="4" t="str">
        <x:v>ДЕНЕЖНЫЙ ПОТОК · ОЧЕРЕДЬ 1</x:v>
      </x:c>
      <x:c r="CR1" s="4" t="str">
        <x:v>ДЕНЕЖНЫЙ ПОТОК · ОЧЕРЕДЬ 1</x:v>
      </x:c>
      <x:c r="CS1" s="4" t="str">
        <x:v>ДЕНЕЖНЫЙ ПОТОК · ОЧЕРЕДЬ 1</x:v>
      </x:c>
      <x:c r="CT1" s="4" t="str">
        <x:v>ДЕНЕЖНЫЙ ПОТОК · ОЧЕРЕДЬ 1</x:v>
      </x:c>
      <x:c r="CU1" s="4" t="str">
        <x:v>ДЕНЕЖНЫЙ ПОТОК · ОЧЕРЕДЬ 1</x:v>
      </x:c>
      <x:c r="CV1" s="4" t="str">
        <x:v>ДЕНЕЖНЫЙ ПОТОК · ОЧЕРЕДЬ 1</x:v>
      </x:c>
      <x:c r="CW1" s="4" t="str">
        <x:v>ДЕНЕЖНЫЙ ПОТОК · ОЧЕРЕДЬ 1</x:v>
      </x:c>
      <x:c r="CX1" s="4" t="str">
        <x:v>ДЕНЕЖНЫЙ ПОТОК · ОЧЕРЕДЬ 1</x:v>
      </x:c>
      <x:c r="CY1" s="4" t="str">
        <x:v>ДЕНЕЖНЫЙ ПОТОК · ОЧЕРЕДЬ 1</x:v>
      </x:c>
      <x:c r="CZ1" s="4" t="str">
        <x:v>ДЕНЕЖНЫЙ ПОТОК · ОЧЕРЕДЬ 1</x:v>
      </x:c>
      <x:c r="DA1" s="4" t="str">
        <x:v>ДЕНЕЖНЫЙ ПОТОК · ОЧЕРЕДЬ 1</x:v>
      </x:c>
      <x:c r="DB1" s="4" t="str">
        <x:v>ДЕНЕЖНЫЙ ПОТОК · ОЧЕРЕДЬ 1</x:v>
      </x:c>
      <x:c r="DC1" s="4" t="str">
        <x:v>ДЕНЕЖНЫЙ ПОТОК · ОЧЕРЕДЬ 1</x:v>
      </x:c>
      <x:c r="DD1" s="4" t="str">
        <x:v>ДЕНЕЖНЫЙ ПОТОК · ОЧЕРЕДЬ 1</x:v>
      </x:c>
      <x:c r="DE1" s="4" t="str">
        <x:v>ДЕНЕЖНЫЙ ПОТОК · ОЧЕРЕДЬ 1</x:v>
      </x:c>
      <x:c r="DF1" s="4" t="str">
        <x:v>ДЕНЕЖНЫЙ ПОТОК · ОЧЕРЕДЬ 1</x:v>
      </x:c>
      <x:c r="DG1" s="4" t="str">
        <x:v>ДЕНЕЖНЫЙ ПОТОК · ОЧЕРЕДЬ 1</x:v>
      </x:c>
      <x:c r="DH1" s="4" t="str">
        <x:v>ДЕНЕЖНЫЙ ПОТОК · ОЧЕРЕДЬ 1</x:v>
      </x:c>
      <x:c r="DI1" s="4" t="str">
        <x:v>ДЕНЕЖНЫЙ ПОТОК · ОЧЕРЕДЬ 1</x:v>
      </x:c>
      <x:c r="DJ1" s="4" t="str">
        <x:v>ДЕНЕЖНЫЙ ПОТОК · ОЧЕРЕДЬ 1</x:v>
      </x:c>
      <x:c r="DK1" s="4" t="str">
        <x:v>ДЕНЕЖНЫЙ ПОТОК · ОЧЕРЕДЬ 1</x:v>
      </x:c>
      <x:c r="DL1" s="4" t="str">
        <x:v>ДЕНЕЖНЫЙ ПОТОК · ОЧЕРЕДЬ 1</x:v>
      </x:c>
      <x:c r="DM1" s="4" t="str">
        <x:v>ДЕНЕЖНЫЙ ПОТОК · ОЧЕРЕДЬ 1</x:v>
      </x:c>
      <x:c r="DN1" s="4" t="str">
        <x:v>ДЕНЕЖНЫЙ ПОТОК · ОЧЕРЕДЬ 1</x:v>
      </x:c>
      <x:c r="DO1" s="4" t="str">
        <x:v>ДЕНЕЖНЫЙ ПОТОК · ОЧЕРЕДЬ 1</x:v>
      </x:c>
      <x:c r="DP1" s="4" t="str">
        <x:v>ДЕНЕЖНЫЙ ПОТОК · ОЧЕРЕДЬ 1</x:v>
      </x:c>
      <x:c r="DQ1" s="4" t="str">
        <x:v>ДЕНЕЖНЫЙ ПОТОК · ОЧЕРЕДЬ 1</x:v>
      </x:c>
      <x:c r="DR1" s="4" t="str">
        <x:v>ДЕНЕЖНЫЙ ПОТОК · ОЧЕРЕДЬ 1</x:v>
      </x:c>
      <x:c r="DS1" s="4" t="str">
        <x:v>ДЕНЕЖНЫЙ ПОТОК · ОЧЕРЕДЬ 1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--('Вводные'!$B$88="Да")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EDATE('Вводные'!$D$88,'Вводные'!$H$9)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EDATE(B6,'Вводные'!$E$88)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'Продажи'!D26+'ОБЪЕКТЫ'!D92</x:f>
      </x:c>
      <x:c r="E10" s="117" t="n">
        <x:f>'Продажи'!E26+'ОБЪЕКТЫ'!E92</x:f>
      </x:c>
      <x:c r="F10" s="117" t="n">
        <x:f>'Продажи'!F26+'ОБЪЕКТЫ'!F92</x:f>
      </x:c>
      <x:c r="G10" s="117" t="n">
        <x:f>'Продажи'!G26+'ОБЪЕКТЫ'!G92</x:f>
      </x:c>
      <x:c r="H10" s="117" t="n">
        <x:f>'Продажи'!H26+'ОБЪЕКТЫ'!H92</x:f>
      </x:c>
      <x:c r="I10" s="117" t="n">
        <x:f>'Продажи'!I26+'ОБЪЕКТЫ'!I92</x:f>
      </x:c>
      <x:c r="J10" s="117" t="n">
        <x:f>'Продажи'!J26+'ОБЪЕКТЫ'!J92</x:f>
      </x:c>
      <x:c r="K10" s="117" t="n">
        <x:f>'Продажи'!K26+'ОБЪЕКТЫ'!K92</x:f>
      </x:c>
      <x:c r="L10" s="117" t="n">
        <x:f>'Продажи'!L26+'ОБЪЕКТЫ'!L92</x:f>
      </x:c>
      <x:c r="M10" s="117" t="n">
        <x:f>'Продажи'!M26+'ОБЪЕКТЫ'!M92</x:f>
      </x:c>
      <x:c r="N10" s="117" t="n">
        <x:f>'Продажи'!N26+'ОБЪЕКТЫ'!N92</x:f>
      </x:c>
      <x:c r="O10" s="117" t="n">
        <x:f>'Продажи'!O26+'ОБЪЕКТЫ'!O92</x:f>
      </x:c>
      <x:c r="P10" s="117" t="n">
        <x:f>'Продажи'!P26+'ОБЪЕКТЫ'!P92</x:f>
      </x:c>
      <x:c r="Q10" s="117" t="n">
        <x:f>'Продажи'!Q26+'ОБЪЕКТЫ'!Q92</x:f>
      </x:c>
      <x:c r="R10" s="117" t="n">
        <x:f>'Продажи'!R26+'ОБЪЕКТЫ'!R92</x:f>
      </x:c>
      <x:c r="S10" s="117" t="n">
        <x:f>'Продажи'!S26+'ОБЪЕКТЫ'!S92</x:f>
      </x:c>
      <x:c r="T10" s="117" t="n">
        <x:f>'Продажи'!T26+'ОБЪЕКТЫ'!T92</x:f>
      </x:c>
      <x:c r="U10" s="117" t="n">
        <x:f>'Продажи'!U26+'ОБЪЕКТЫ'!U92</x:f>
      </x:c>
      <x:c r="V10" s="117" t="n">
        <x:f>'Продажи'!V26+'ОБЪЕКТЫ'!V92</x:f>
      </x:c>
      <x:c r="W10" s="117" t="n">
        <x:f>'Продажи'!W26+'ОБЪЕКТЫ'!W92</x:f>
      </x:c>
      <x:c r="X10" s="117" t="n">
        <x:f>'Продажи'!X26+'ОБЪЕКТЫ'!X92</x:f>
      </x:c>
      <x:c r="Y10" s="117" t="n">
        <x:f>'Продажи'!Y26+'ОБЪЕКТЫ'!Y92</x:f>
      </x:c>
      <x:c r="Z10" s="117" t="n">
        <x:f>'Продажи'!Z26+'ОБЪЕКТЫ'!Z92</x:f>
      </x:c>
      <x:c r="AA10" s="117" t="n">
        <x:f>'Продажи'!AA26+'ОБЪЕКТЫ'!AA92</x:f>
      </x:c>
      <x:c r="AB10" s="117" t="n">
        <x:f>'Продажи'!AB26+'ОБЪЕКТЫ'!AB92</x:f>
      </x:c>
      <x:c r="AC10" s="117" t="n">
        <x:f>'Продажи'!AC26+'ОБЪЕКТЫ'!AC92</x:f>
      </x:c>
      <x:c r="AD10" s="117" t="n">
        <x:f>'Продажи'!AD26+'ОБЪЕКТЫ'!AD92</x:f>
      </x:c>
      <x:c r="AE10" s="117" t="n">
        <x:f>'Продажи'!AE26+'ОБЪЕКТЫ'!AE92</x:f>
      </x:c>
      <x:c r="AF10" s="117" t="n">
        <x:f>'Продажи'!AF26+'ОБЪЕКТЫ'!AF92</x:f>
      </x:c>
      <x:c r="AG10" s="117" t="n">
        <x:f>'Продажи'!AG26+'ОБЪЕКТЫ'!AG92</x:f>
      </x:c>
      <x:c r="AH10" s="117" t="n">
        <x:f>'Продажи'!AH26+'ОБЪЕКТЫ'!AH92</x:f>
      </x:c>
      <x:c r="AI10" s="117" t="n">
        <x:f>'Продажи'!AI26+'ОБЪЕКТЫ'!AI92</x:f>
      </x:c>
      <x:c r="AJ10" s="117" t="n">
        <x:f>'Продажи'!AJ26+'ОБЪЕКТЫ'!AJ92</x:f>
      </x:c>
      <x:c r="AK10" s="117" t="n">
        <x:f>'Продажи'!AK26+'ОБЪЕКТЫ'!AK92</x:f>
      </x:c>
      <x:c r="AL10" s="117" t="n">
        <x:f>'Продажи'!AL26+'ОБЪЕКТЫ'!AL92</x:f>
      </x:c>
      <x:c r="AM10" s="117" t="n">
        <x:f>'Продажи'!AM26+'ОБЪЕКТЫ'!AM92</x:f>
      </x:c>
      <x:c r="AN10" s="117" t="n">
        <x:f>'Продажи'!AN26+'ОБЪЕКТЫ'!AN92</x:f>
      </x:c>
      <x:c r="AO10" s="117" t="n">
        <x:f>'Продажи'!AO26+'ОБЪЕКТЫ'!AO92</x:f>
      </x:c>
      <x:c r="AP10" s="117" t="n">
        <x:f>'Продажи'!AP26+'ОБЪЕКТЫ'!AP92</x:f>
      </x:c>
      <x:c r="AQ10" s="117" t="n">
        <x:f>'Продажи'!AQ26+'ОБЪЕКТЫ'!AQ92</x:f>
      </x:c>
      <x:c r="AR10" s="117" t="n">
        <x:f>'Продажи'!AR26+'ОБЪЕКТЫ'!AR92</x:f>
      </x:c>
      <x:c r="AS10" s="117" t="n">
        <x:f>'Продажи'!AS26+'ОБЪЕКТЫ'!AS92</x:f>
      </x:c>
      <x:c r="AT10" s="117" t="n">
        <x:f>'Продажи'!AT26+'ОБЪЕКТЫ'!AT92</x:f>
      </x:c>
      <x:c r="AU10" s="117" t="n">
        <x:f>'Продажи'!AU26+'ОБЪЕКТЫ'!AU92</x:f>
      </x:c>
      <x:c r="AV10" s="117" t="n">
        <x:f>'Продажи'!AV26+'ОБЪЕКТЫ'!AV92</x:f>
      </x:c>
      <x:c r="AW10" s="117" t="n">
        <x:f>'Продажи'!AW26+'ОБЪЕКТЫ'!AW92</x:f>
      </x:c>
      <x:c r="AX10" s="117" t="n">
        <x:f>'Продажи'!AX26+'ОБЪЕКТЫ'!AX92</x:f>
      </x:c>
      <x:c r="AY10" s="117" t="n">
        <x:f>'Продажи'!AY26+'ОБЪЕКТЫ'!AY92</x:f>
      </x:c>
      <x:c r="AZ10" s="117" t="n">
        <x:f>'Продажи'!AZ26+'ОБЪЕКТЫ'!AZ92</x:f>
      </x:c>
      <x:c r="BA10" s="117" t="n">
        <x:f>'Продажи'!BA26+'ОБЪЕКТЫ'!BA92</x:f>
      </x:c>
      <x:c r="BB10" s="117" t="n">
        <x:f>'Продажи'!BB26+'ОБЪЕКТЫ'!BB92</x:f>
      </x:c>
      <x:c r="BC10" s="117" t="n">
        <x:f>'Продажи'!BC26+'ОБЪЕКТЫ'!BC92</x:f>
      </x:c>
      <x:c r="BD10" s="117" t="n">
        <x:f>'Продажи'!BD26+'ОБЪЕКТЫ'!BD92</x:f>
      </x:c>
      <x:c r="BE10" s="117" t="n">
        <x:f>'Продажи'!BE26+'ОБЪЕКТЫ'!BE92</x:f>
      </x:c>
      <x:c r="BF10" s="117" t="n">
        <x:f>'Продажи'!BF26+'ОБЪЕКТЫ'!BF92</x:f>
      </x:c>
      <x:c r="BG10" s="117" t="n">
        <x:f>'Продажи'!BG26+'ОБЪЕКТЫ'!BG92</x:f>
      </x:c>
      <x:c r="BH10" s="117" t="n">
        <x:f>'Продажи'!BH26+'ОБЪЕКТЫ'!BH92</x:f>
      </x:c>
      <x:c r="BI10" s="117" t="n">
        <x:f>'Продажи'!BI26+'ОБЪЕКТЫ'!BI92</x:f>
      </x:c>
      <x:c r="BJ10" s="117" t="n">
        <x:f>'Продажи'!BJ26+'ОБЪЕКТЫ'!BJ92</x:f>
      </x:c>
      <x:c r="BK10" s="117" t="n">
        <x:f>'Продажи'!BK26+'ОБЪЕКТЫ'!BK92</x:f>
      </x:c>
      <x:c r="BL10" s="117" t="n">
        <x:f>'Продажи'!BL26+'ОБЪЕКТЫ'!BL92</x:f>
      </x:c>
      <x:c r="BM10" s="117" t="n">
        <x:f>'Продажи'!BM26+'ОБЪЕКТЫ'!BM92</x:f>
      </x:c>
      <x:c r="BN10" s="117" t="n">
        <x:f>'Продажи'!BN26+'ОБЪЕКТЫ'!BN92</x:f>
      </x:c>
      <x:c r="BO10" s="117" t="n">
        <x:f>'Продажи'!BO26+'ОБЪЕКТЫ'!BO92</x:f>
      </x:c>
      <x:c r="BP10" s="117" t="n">
        <x:f>'Продажи'!BP26+'ОБЪЕКТЫ'!BP92</x:f>
      </x:c>
      <x:c r="BQ10" s="117" t="n">
        <x:f>'Продажи'!BQ26+'ОБЪЕКТЫ'!BQ92</x:f>
      </x:c>
      <x:c r="BR10" s="117" t="n">
        <x:f>'Продажи'!BR26+'ОБЪЕКТЫ'!BR92</x:f>
      </x:c>
      <x:c r="BS10" s="117" t="n">
        <x:f>'Продажи'!BS26+'ОБЪЕКТЫ'!BS92</x:f>
      </x:c>
      <x:c r="BT10" s="117" t="n">
        <x:f>'Продажи'!BT26+'ОБЪЕКТЫ'!BT92</x:f>
      </x:c>
      <x:c r="BU10" s="117" t="n">
        <x:f>'Продажи'!BU26+'ОБЪЕКТЫ'!BU92</x:f>
      </x:c>
      <x:c r="BV10" s="117" t="n">
        <x:f>'Продажи'!BV26+'ОБЪЕКТЫ'!BV92</x:f>
      </x:c>
      <x:c r="BW10" s="117" t="n">
        <x:f>'Продажи'!BW26+'ОБЪЕКТЫ'!BW92</x:f>
      </x:c>
      <x:c r="BX10" s="117" t="n">
        <x:f>'Продажи'!BX26+'ОБЪЕКТЫ'!BX92</x:f>
      </x:c>
      <x:c r="BY10" s="117" t="n">
        <x:f>'Продажи'!BY26+'ОБЪЕКТЫ'!BY92</x:f>
      </x:c>
      <x:c r="BZ10" s="117" t="n">
        <x:f>'Продажи'!BZ26+'ОБЪЕКТЫ'!BZ92</x:f>
      </x:c>
      <x:c r="CA10" s="117" t="n">
        <x:f>'Продажи'!CA26+'ОБЪЕКТЫ'!CA92</x:f>
      </x:c>
      <x:c r="CB10" s="117" t="n">
        <x:f>'Продажи'!CB26+'ОБЪЕКТЫ'!CB92</x:f>
      </x:c>
      <x:c r="CC10" s="117" t="n">
        <x:f>'Продажи'!CC26+'ОБЪЕКТЫ'!CC92</x:f>
      </x:c>
      <x:c r="CD10" s="117" t="n">
        <x:f>'Продажи'!CD26+'ОБЪЕКТЫ'!CD92</x:f>
      </x:c>
      <x:c r="CE10" s="117" t="n">
        <x:f>'Продажи'!CE26+'ОБЪЕКТЫ'!CE92</x:f>
      </x:c>
      <x:c r="CF10" s="117" t="n">
        <x:f>'Продажи'!CF26+'ОБЪЕКТЫ'!CF92</x:f>
      </x:c>
      <x:c r="CG10" s="117" t="n">
        <x:f>'Продажи'!CG26+'ОБЪЕКТЫ'!CG92</x:f>
      </x:c>
      <x:c r="CH10" s="117" t="n">
        <x:f>'Продажи'!CH26+'ОБЪЕКТЫ'!CH92</x:f>
      </x:c>
      <x:c r="CI10" s="117" t="n">
        <x:f>'Продажи'!CI26+'ОБЪЕКТЫ'!CI92</x:f>
      </x:c>
      <x:c r="CJ10" s="117" t="n">
        <x:f>'Продажи'!CJ26+'ОБЪЕКТЫ'!CJ92</x:f>
      </x:c>
      <x:c r="CK10" s="117" t="n">
        <x:f>'Продажи'!CK26+'ОБЪЕКТЫ'!CK92</x:f>
      </x:c>
      <x:c r="CL10" s="117" t="n">
        <x:f>'Продажи'!CL26+'ОБЪЕКТЫ'!CL92</x:f>
      </x:c>
      <x:c r="CM10" s="117" t="n">
        <x:f>'Продажи'!CM26+'ОБЪЕКТЫ'!CM92</x:f>
      </x:c>
      <x:c r="CN10" s="117" t="n">
        <x:f>'Продажи'!CN26+'ОБЪЕКТЫ'!CN92</x:f>
      </x:c>
      <x:c r="CO10" s="117" t="n">
        <x:f>'Продажи'!CO26+'ОБЪЕКТЫ'!CO92</x:f>
      </x:c>
      <x:c r="CP10" s="117" t="n">
        <x:f>'Продажи'!CP26+'ОБЪЕКТЫ'!CP92</x:f>
      </x:c>
      <x:c r="CQ10" s="117" t="n">
        <x:f>'Продажи'!CQ26+'ОБЪЕКТЫ'!CQ92</x:f>
      </x:c>
      <x:c r="CR10" s="117" t="n">
        <x:f>'Продажи'!CR26+'ОБЪЕКТЫ'!CR92</x:f>
      </x:c>
      <x:c r="CS10" s="117" t="n">
        <x:f>'Продажи'!CS26+'ОБЪЕКТЫ'!CS92</x:f>
      </x:c>
      <x:c r="CT10" s="117" t="n">
        <x:f>'Продажи'!CT26+'ОБЪЕКТЫ'!CT92</x:f>
      </x:c>
      <x:c r="CU10" s="117" t="n">
        <x:f>'Продажи'!CU26+'ОБЪЕКТЫ'!CU92</x:f>
      </x:c>
      <x:c r="CV10" s="117" t="n">
        <x:f>'Продажи'!CV26+'ОБЪЕКТЫ'!CV92</x:f>
      </x:c>
      <x:c r="CW10" s="117" t="n">
        <x:f>'Продажи'!CW26+'ОБЪЕКТЫ'!CW92</x:f>
      </x:c>
      <x:c r="CX10" s="117" t="n">
        <x:f>'Продажи'!CX26+'ОБЪЕКТЫ'!CX92</x:f>
      </x:c>
      <x:c r="CY10" s="117" t="n">
        <x:f>'Продажи'!CY26+'ОБЪЕКТЫ'!CY92</x:f>
      </x:c>
      <x:c r="CZ10" s="117" t="n">
        <x:f>'Продажи'!CZ26+'ОБЪЕКТЫ'!CZ92</x:f>
      </x:c>
      <x:c r="DA10" s="117" t="n">
        <x:f>'Продажи'!DA26+'ОБЪЕКТЫ'!DA92</x:f>
      </x:c>
      <x:c r="DB10" s="117" t="n">
        <x:f>'Продажи'!DB26+'ОБЪЕКТЫ'!DB92</x:f>
      </x:c>
      <x:c r="DC10" s="117" t="n">
        <x:f>'Продажи'!DC26+'ОБЪЕКТЫ'!DC92</x:f>
      </x:c>
      <x:c r="DD10" s="117" t="n">
        <x:f>'Продажи'!DD26+'ОБЪЕКТЫ'!DD92</x:f>
      </x:c>
      <x:c r="DE10" s="117" t="n">
        <x:f>'Продажи'!DE26+'ОБЪЕКТЫ'!DE92</x:f>
      </x:c>
      <x:c r="DF10" s="117" t="n">
        <x:f>'Продажи'!DF26+'ОБЪЕКТЫ'!DF92</x:f>
      </x:c>
      <x:c r="DG10" s="117" t="n">
        <x:f>'Продажи'!DG26+'ОБЪЕКТЫ'!DG92</x:f>
      </x:c>
      <x:c r="DH10" s="117" t="n">
        <x:f>'Продажи'!DH26+'ОБЪЕКТЫ'!DH92</x:f>
      </x:c>
      <x:c r="DI10" s="117" t="n">
        <x:f>'Продажи'!DI26+'ОБЪЕКТЫ'!DI92</x:f>
      </x:c>
      <x:c r="DJ10" s="117" t="n">
        <x:f>'Продажи'!DJ26+'ОБЪЕКТЫ'!DJ92</x:f>
      </x:c>
      <x:c r="DK10" s="117" t="n">
        <x:f>'Продажи'!DK26+'ОБЪЕКТЫ'!DK92</x:f>
      </x:c>
      <x:c r="DL10" s="117" t="n">
        <x:f>'Продажи'!DL26+'ОБЪЕКТЫ'!DL92</x:f>
      </x:c>
      <x:c r="DM10" s="117" t="n">
        <x:f>'Продажи'!DM26+'ОБЪЕКТЫ'!DM92</x:f>
      </x:c>
      <x:c r="DN10" s="117" t="n">
        <x:f>'Продажи'!DN26+'ОБЪЕКТЫ'!DN92</x:f>
      </x:c>
      <x:c r="DO10" s="117" t="n">
        <x:f>'Продажи'!DO26+'ОБЪЕКТЫ'!DO92</x:f>
      </x:c>
      <x:c r="DP10" s="117" t="n">
        <x:f>'Продажи'!DP26+'ОБЪЕКТЫ'!DP92</x:f>
      </x:c>
      <x:c r="DQ10" s="117" t="n">
        <x:f>'Продажи'!DQ26+'ОБЪЕКТЫ'!DQ92</x:f>
      </x:c>
      <x:c r="DR10" s="117" t="n">
        <x:f>'Продажи'!DR26+'ОБЪЕКТЫ'!DR92</x:f>
      </x:c>
      <x:c r="DS10" s="117" t="n">
        <x:f>'Продажи'!DS26+'ОБЪЕКТЫ'!DS92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IF(D$3&lt;$B$8,'Продажи'!D26,0)+'ОБЪЕКТЫ'!D93</x:f>
      </x:c>
      <x:c r="E11" s="117" t="n">
        <x:f>IF(E$3&lt;$B$8,'Продажи'!E26,0)+'ОБЪЕКТЫ'!E93</x:f>
      </x:c>
      <x:c r="F11" s="117" t="n">
        <x:f>IF(F$3&lt;$B$8,'Продажи'!F26,0)+'ОБЪЕКТЫ'!F93</x:f>
      </x:c>
      <x:c r="G11" s="117" t="n">
        <x:f>IF(G$3&lt;$B$8,'Продажи'!G26,0)+'ОБЪЕКТЫ'!G93</x:f>
      </x:c>
      <x:c r="H11" s="117" t="n">
        <x:f>IF(H$3&lt;$B$8,'Продажи'!H26,0)+'ОБЪЕКТЫ'!H93</x:f>
      </x:c>
      <x:c r="I11" s="117" t="n">
        <x:f>IF(I$3&lt;$B$8,'Продажи'!I26,0)+'ОБЪЕКТЫ'!I93</x:f>
      </x:c>
      <x:c r="J11" s="117" t="n">
        <x:f>IF(J$3&lt;$B$8,'Продажи'!J26,0)+'ОБЪЕКТЫ'!J93</x:f>
      </x:c>
      <x:c r="K11" s="117" t="n">
        <x:f>IF(K$3&lt;$B$8,'Продажи'!K26,0)+'ОБЪЕКТЫ'!K93</x:f>
      </x:c>
      <x:c r="L11" s="117" t="n">
        <x:f>IF(L$3&lt;$B$8,'Продажи'!L26,0)+'ОБЪЕКТЫ'!L93</x:f>
      </x:c>
      <x:c r="M11" s="117" t="n">
        <x:f>IF(M$3&lt;$B$8,'Продажи'!M26,0)+'ОБЪЕКТЫ'!M93</x:f>
      </x:c>
      <x:c r="N11" s="117" t="n">
        <x:f>IF(N$3&lt;$B$8,'Продажи'!N26,0)+'ОБЪЕКТЫ'!N93</x:f>
      </x:c>
      <x:c r="O11" s="117" t="n">
        <x:f>IF(O$3&lt;$B$8,'Продажи'!O26,0)+'ОБЪЕКТЫ'!O93</x:f>
      </x:c>
      <x:c r="P11" s="117" t="n">
        <x:f>IF(P$3&lt;$B$8,'Продажи'!P26,0)+'ОБЪЕКТЫ'!P93</x:f>
      </x:c>
      <x:c r="Q11" s="117" t="n">
        <x:f>IF(Q$3&lt;$B$8,'Продажи'!Q26,0)+'ОБЪЕКТЫ'!Q93</x:f>
      </x:c>
      <x:c r="R11" s="117" t="n">
        <x:f>IF(R$3&lt;$B$8,'Продажи'!R26,0)+'ОБЪЕКТЫ'!R93</x:f>
      </x:c>
      <x:c r="S11" s="117" t="n">
        <x:f>IF(S$3&lt;$B$8,'Продажи'!S26,0)+'ОБЪЕКТЫ'!S93</x:f>
      </x:c>
      <x:c r="T11" s="117" t="n">
        <x:f>IF(T$3&lt;$B$8,'Продажи'!T26,0)+'ОБЪЕКТЫ'!T93</x:f>
      </x:c>
      <x:c r="U11" s="117" t="n">
        <x:f>IF(U$3&lt;$B$8,'Продажи'!U26,0)+'ОБЪЕКТЫ'!U93</x:f>
      </x:c>
      <x:c r="V11" s="117" t="n">
        <x:f>IF(V$3&lt;$B$8,'Продажи'!V26,0)+'ОБЪЕКТЫ'!V93</x:f>
      </x:c>
      <x:c r="W11" s="117" t="n">
        <x:f>IF(W$3&lt;$B$8,'Продажи'!W26,0)+'ОБЪЕКТЫ'!W93</x:f>
      </x:c>
      <x:c r="X11" s="117" t="n">
        <x:f>IF(X$3&lt;$B$8,'Продажи'!X26,0)+'ОБЪЕКТЫ'!X93</x:f>
      </x:c>
      <x:c r="Y11" s="117" t="n">
        <x:f>IF(Y$3&lt;$B$8,'Продажи'!Y26,0)+'ОБЪЕКТЫ'!Y93</x:f>
      </x:c>
      <x:c r="Z11" s="117" t="n">
        <x:f>IF(Z$3&lt;$B$8,'Продажи'!Z26,0)+'ОБЪЕКТЫ'!Z93</x:f>
      </x:c>
      <x:c r="AA11" s="117" t="n">
        <x:f>IF(AA$3&lt;$B$8,'Продажи'!AA26,0)+'ОБЪЕКТЫ'!AA93</x:f>
      </x:c>
      <x:c r="AB11" s="117" t="n">
        <x:f>IF(AB$3&lt;$B$8,'Продажи'!AB26,0)+'ОБЪЕКТЫ'!AB93</x:f>
      </x:c>
      <x:c r="AC11" s="117" t="n">
        <x:f>IF(AC$3&lt;$B$8,'Продажи'!AC26,0)+'ОБЪЕКТЫ'!AC93</x:f>
      </x:c>
      <x:c r="AD11" s="117" t="n">
        <x:f>IF(AD$3&lt;$B$8,'Продажи'!AD26,0)+'ОБЪЕКТЫ'!AD93</x:f>
      </x:c>
      <x:c r="AE11" s="117" t="n">
        <x:f>IF(AE$3&lt;$B$8,'Продажи'!AE26,0)+'ОБЪЕКТЫ'!AE93</x:f>
      </x:c>
      <x:c r="AF11" s="117" t="n">
        <x:f>IF(AF$3&lt;$B$8,'Продажи'!AF26,0)+'ОБЪЕКТЫ'!AF93</x:f>
      </x:c>
      <x:c r="AG11" s="117" t="n">
        <x:f>IF(AG$3&lt;$B$8,'Продажи'!AG26,0)+'ОБЪЕКТЫ'!AG93</x:f>
      </x:c>
      <x:c r="AH11" s="117" t="n">
        <x:f>IF(AH$3&lt;$B$8,'Продажи'!AH26,0)+'ОБЪЕКТЫ'!AH93</x:f>
      </x:c>
      <x:c r="AI11" s="117" t="n">
        <x:f>IF(AI$3&lt;$B$8,'Продажи'!AI26,0)+'ОБЪЕКТЫ'!AI93</x:f>
      </x:c>
      <x:c r="AJ11" s="117" t="n">
        <x:f>IF(AJ$3&lt;$B$8,'Продажи'!AJ26,0)+'ОБЪЕКТЫ'!AJ93</x:f>
      </x:c>
      <x:c r="AK11" s="117" t="n">
        <x:f>IF(AK$3&lt;$B$8,'Продажи'!AK26,0)+'ОБЪЕКТЫ'!AK93</x:f>
      </x:c>
      <x:c r="AL11" s="117" t="n">
        <x:f>IF(AL$3&lt;$B$8,'Продажи'!AL26,0)+'ОБЪЕКТЫ'!AL93</x:f>
      </x:c>
      <x:c r="AM11" s="117" t="n">
        <x:f>IF(AM$3&lt;$B$8,'Продажи'!AM26,0)+'ОБЪЕКТЫ'!AM93</x:f>
      </x:c>
      <x:c r="AN11" s="117" t="n">
        <x:f>IF(AN$3&lt;$B$8,'Продажи'!AN26,0)+'ОБЪЕКТЫ'!AN93</x:f>
      </x:c>
      <x:c r="AO11" s="117" t="n">
        <x:f>IF(AO$3&lt;$B$8,'Продажи'!AO26,0)+'ОБЪЕКТЫ'!AO93</x:f>
      </x:c>
      <x:c r="AP11" s="117" t="n">
        <x:f>IF(AP$3&lt;$B$8,'Продажи'!AP26,0)+'ОБЪЕКТЫ'!AP93</x:f>
      </x:c>
      <x:c r="AQ11" s="117" t="n">
        <x:f>IF(AQ$3&lt;$B$8,'Продажи'!AQ26,0)+'ОБЪЕКТЫ'!AQ93</x:f>
      </x:c>
      <x:c r="AR11" s="117" t="n">
        <x:f>IF(AR$3&lt;$B$8,'Продажи'!AR26,0)+'ОБЪЕКТЫ'!AR93</x:f>
      </x:c>
      <x:c r="AS11" s="117" t="n">
        <x:f>IF(AS$3&lt;$B$8,'Продажи'!AS26,0)+'ОБЪЕКТЫ'!AS93</x:f>
      </x:c>
      <x:c r="AT11" s="117" t="n">
        <x:f>IF(AT$3&lt;$B$8,'Продажи'!AT26,0)+'ОБЪЕКТЫ'!AT93</x:f>
      </x:c>
      <x:c r="AU11" s="117" t="n">
        <x:f>IF(AU$3&lt;$B$8,'Продажи'!AU26,0)+'ОБЪЕКТЫ'!AU93</x:f>
      </x:c>
      <x:c r="AV11" s="117" t="n">
        <x:f>IF(AV$3&lt;$B$8,'Продажи'!AV26,0)+'ОБЪЕКТЫ'!AV93</x:f>
      </x:c>
      <x:c r="AW11" s="117" t="n">
        <x:f>IF(AW$3&lt;$B$8,'Продажи'!AW26,0)+'ОБЪЕКТЫ'!AW93</x:f>
      </x:c>
      <x:c r="AX11" s="117" t="n">
        <x:f>IF(AX$3&lt;$B$8,'Продажи'!AX26,0)+'ОБЪЕКТЫ'!AX93</x:f>
      </x:c>
      <x:c r="AY11" s="117" t="n">
        <x:f>IF(AY$3&lt;$B$8,'Продажи'!AY26,0)+'ОБЪЕКТЫ'!AY93</x:f>
      </x:c>
      <x:c r="AZ11" s="117" t="n">
        <x:f>IF(AZ$3&lt;$B$8,'Продажи'!AZ26,0)+'ОБЪЕКТЫ'!AZ93</x:f>
      </x:c>
      <x:c r="BA11" s="117" t="n">
        <x:f>IF(BA$3&lt;$B$8,'Продажи'!BA26,0)+'ОБЪЕКТЫ'!BA93</x:f>
      </x:c>
      <x:c r="BB11" s="117" t="n">
        <x:f>IF(BB$3&lt;$B$8,'Продажи'!BB26,0)+'ОБЪЕКТЫ'!BB93</x:f>
      </x:c>
      <x:c r="BC11" s="117" t="n">
        <x:f>IF(BC$3&lt;$B$8,'Продажи'!BC26,0)+'ОБЪЕКТЫ'!BC93</x:f>
      </x:c>
      <x:c r="BD11" s="117" t="n">
        <x:f>IF(BD$3&lt;$B$8,'Продажи'!BD26,0)+'ОБЪЕКТЫ'!BD93</x:f>
      </x:c>
      <x:c r="BE11" s="117" t="n">
        <x:f>IF(BE$3&lt;$B$8,'Продажи'!BE26,0)+'ОБЪЕКТЫ'!BE93</x:f>
      </x:c>
      <x:c r="BF11" s="117" t="n">
        <x:f>IF(BF$3&lt;$B$8,'Продажи'!BF26,0)+'ОБЪЕКТЫ'!BF93</x:f>
      </x:c>
      <x:c r="BG11" s="117" t="n">
        <x:f>IF(BG$3&lt;$B$8,'Продажи'!BG26,0)+'ОБЪЕКТЫ'!BG93</x:f>
      </x:c>
      <x:c r="BH11" s="117" t="n">
        <x:f>IF(BH$3&lt;$B$8,'Продажи'!BH26,0)+'ОБЪЕКТЫ'!BH93</x:f>
      </x:c>
      <x:c r="BI11" s="117" t="n">
        <x:f>IF(BI$3&lt;$B$8,'Продажи'!BI26,0)+'ОБЪЕКТЫ'!BI93</x:f>
      </x:c>
      <x:c r="BJ11" s="117" t="n">
        <x:f>IF(BJ$3&lt;$B$8,'Продажи'!BJ26,0)+'ОБЪЕКТЫ'!BJ93</x:f>
      </x:c>
      <x:c r="BK11" s="117" t="n">
        <x:f>IF(BK$3&lt;$B$8,'Продажи'!BK26,0)+'ОБЪЕКТЫ'!BK93</x:f>
      </x:c>
      <x:c r="BL11" s="117" t="n">
        <x:f>IF(BL$3&lt;$B$8,'Продажи'!BL26,0)+'ОБЪЕКТЫ'!BL93</x:f>
      </x:c>
      <x:c r="BM11" s="117" t="n">
        <x:f>IF(BM$3&lt;$B$8,'Продажи'!BM26,0)+'ОБЪЕКТЫ'!BM93</x:f>
      </x:c>
      <x:c r="BN11" s="117" t="n">
        <x:f>IF(BN$3&lt;$B$8,'Продажи'!BN26,0)+'ОБЪЕКТЫ'!BN93</x:f>
      </x:c>
      <x:c r="BO11" s="117" t="n">
        <x:f>IF(BO$3&lt;$B$8,'Продажи'!BO26,0)+'ОБЪЕКТЫ'!BO93</x:f>
      </x:c>
      <x:c r="BP11" s="117" t="n">
        <x:f>IF(BP$3&lt;$B$8,'Продажи'!BP26,0)+'ОБЪЕКТЫ'!BP93</x:f>
      </x:c>
      <x:c r="BQ11" s="117" t="n">
        <x:f>IF(BQ$3&lt;$B$8,'Продажи'!BQ26,0)+'ОБЪЕКТЫ'!BQ93</x:f>
      </x:c>
      <x:c r="BR11" s="117" t="n">
        <x:f>IF(BR$3&lt;$B$8,'Продажи'!BR26,0)+'ОБЪЕКТЫ'!BR93</x:f>
      </x:c>
      <x:c r="BS11" s="117" t="n">
        <x:f>IF(BS$3&lt;$B$8,'Продажи'!BS26,0)+'ОБЪЕКТЫ'!BS93</x:f>
      </x:c>
      <x:c r="BT11" s="117" t="n">
        <x:f>IF(BT$3&lt;$B$8,'Продажи'!BT26,0)+'ОБЪЕКТЫ'!BT93</x:f>
      </x:c>
      <x:c r="BU11" s="117" t="n">
        <x:f>IF(BU$3&lt;$B$8,'Продажи'!BU26,0)+'ОБЪЕКТЫ'!BU93</x:f>
      </x:c>
      <x:c r="BV11" s="117" t="n">
        <x:f>IF(BV$3&lt;$B$8,'Продажи'!BV26,0)+'ОБЪЕКТЫ'!BV93</x:f>
      </x:c>
      <x:c r="BW11" s="117" t="n">
        <x:f>IF(BW$3&lt;$B$8,'Продажи'!BW26,0)+'ОБЪЕКТЫ'!BW93</x:f>
      </x:c>
      <x:c r="BX11" s="117" t="n">
        <x:f>IF(BX$3&lt;$B$8,'Продажи'!BX26,0)+'ОБЪЕКТЫ'!BX93</x:f>
      </x:c>
      <x:c r="BY11" s="117" t="n">
        <x:f>IF(BY$3&lt;$B$8,'Продажи'!BY26,0)+'ОБЪЕКТЫ'!BY93</x:f>
      </x:c>
      <x:c r="BZ11" s="117" t="n">
        <x:f>IF(BZ$3&lt;$B$8,'Продажи'!BZ26,0)+'ОБЪЕКТЫ'!BZ93</x:f>
      </x:c>
      <x:c r="CA11" s="117" t="n">
        <x:f>IF(CA$3&lt;$B$8,'Продажи'!CA26,0)+'ОБЪЕКТЫ'!CA93</x:f>
      </x:c>
      <x:c r="CB11" s="117" t="n">
        <x:f>IF(CB$3&lt;$B$8,'Продажи'!CB26,0)+'ОБЪЕКТЫ'!CB93</x:f>
      </x:c>
      <x:c r="CC11" s="117" t="n">
        <x:f>IF(CC$3&lt;$B$8,'Продажи'!CC26,0)+'ОБЪЕКТЫ'!CC93</x:f>
      </x:c>
      <x:c r="CD11" s="117" t="n">
        <x:f>IF(CD$3&lt;$B$8,'Продажи'!CD26,0)+'ОБЪЕКТЫ'!CD93</x:f>
      </x:c>
      <x:c r="CE11" s="117" t="n">
        <x:f>IF(CE$3&lt;$B$8,'Продажи'!CE26,0)+'ОБЪЕКТЫ'!CE93</x:f>
      </x:c>
      <x:c r="CF11" s="117" t="n">
        <x:f>IF(CF$3&lt;$B$8,'Продажи'!CF26,0)+'ОБЪЕКТЫ'!CF93</x:f>
      </x:c>
      <x:c r="CG11" s="117" t="n">
        <x:f>IF(CG$3&lt;$B$8,'Продажи'!CG26,0)+'ОБЪЕКТЫ'!CG93</x:f>
      </x:c>
      <x:c r="CH11" s="117" t="n">
        <x:f>IF(CH$3&lt;$B$8,'Продажи'!CH26,0)+'ОБЪЕКТЫ'!CH93</x:f>
      </x:c>
      <x:c r="CI11" s="117" t="n">
        <x:f>IF(CI$3&lt;$B$8,'Продажи'!CI26,0)+'ОБЪЕКТЫ'!CI93</x:f>
      </x:c>
      <x:c r="CJ11" s="117" t="n">
        <x:f>IF(CJ$3&lt;$B$8,'Продажи'!CJ26,0)+'ОБЪЕКТЫ'!CJ93</x:f>
      </x:c>
      <x:c r="CK11" s="117" t="n">
        <x:f>IF(CK$3&lt;$B$8,'Продажи'!CK26,0)+'ОБЪЕКТЫ'!CK93</x:f>
      </x:c>
      <x:c r="CL11" s="117" t="n">
        <x:f>IF(CL$3&lt;$B$8,'Продажи'!CL26,0)+'ОБЪЕКТЫ'!CL93</x:f>
      </x:c>
      <x:c r="CM11" s="117" t="n">
        <x:f>IF(CM$3&lt;$B$8,'Продажи'!CM26,0)+'ОБЪЕКТЫ'!CM93</x:f>
      </x:c>
      <x:c r="CN11" s="117" t="n">
        <x:f>IF(CN$3&lt;$B$8,'Продажи'!CN26,0)+'ОБЪЕКТЫ'!CN93</x:f>
      </x:c>
      <x:c r="CO11" s="117" t="n">
        <x:f>IF(CO$3&lt;$B$8,'Продажи'!CO26,0)+'ОБЪЕКТЫ'!CO93</x:f>
      </x:c>
      <x:c r="CP11" s="117" t="n">
        <x:f>IF(CP$3&lt;$B$8,'Продажи'!CP26,0)+'ОБЪЕКТЫ'!CP93</x:f>
      </x:c>
      <x:c r="CQ11" s="117" t="n">
        <x:f>IF(CQ$3&lt;$B$8,'Продажи'!CQ26,0)+'ОБЪЕКТЫ'!CQ93</x:f>
      </x:c>
      <x:c r="CR11" s="117" t="n">
        <x:f>IF(CR$3&lt;$B$8,'Продажи'!CR26,0)+'ОБЪЕКТЫ'!CR93</x:f>
      </x:c>
      <x:c r="CS11" s="117" t="n">
        <x:f>IF(CS$3&lt;$B$8,'Продажи'!CS26,0)+'ОБЪЕКТЫ'!CS93</x:f>
      </x:c>
      <x:c r="CT11" s="117" t="n">
        <x:f>IF(CT$3&lt;$B$8,'Продажи'!CT26,0)+'ОБЪЕКТЫ'!CT93</x:f>
      </x:c>
      <x:c r="CU11" s="117" t="n">
        <x:f>IF(CU$3&lt;$B$8,'Продажи'!CU26,0)+'ОБЪЕКТЫ'!CU93</x:f>
      </x:c>
      <x:c r="CV11" s="117" t="n">
        <x:f>IF(CV$3&lt;$B$8,'Продажи'!CV26,0)+'ОБЪЕКТЫ'!CV93</x:f>
      </x:c>
      <x:c r="CW11" s="117" t="n">
        <x:f>IF(CW$3&lt;$B$8,'Продажи'!CW26,0)+'ОБЪЕКТЫ'!CW93</x:f>
      </x:c>
      <x:c r="CX11" s="117" t="n">
        <x:f>IF(CX$3&lt;$B$8,'Продажи'!CX26,0)+'ОБЪЕКТЫ'!CX93</x:f>
      </x:c>
      <x:c r="CY11" s="117" t="n">
        <x:f>IF(CY$3&lt;$B$8,'Продажи'!CY26,0)+'ОБЪЕКТЫ'!CY93</x:f>
      </x:c>
      <x:c r="CZ11" s="117" t="n">
        <x:f>IF(CZ$3&lt;$B$8,'Продажи'!CZ26,0)+'ОБЪЕКТЫ'!CZ93</x:f>
      </x:c>
      <x:c r="DA11" s="117" t="n">
        <x:f>IF(DA$3&lt;$B$8,'Продажи'!DA26,0)+'ОБЪЕКТЫ'!DA93</x:f>
      </x:c>
      <x:c r="DB11" s="117" t="n">
        <x:f>IF(DB$3&lt;$B$8,'Продажи'!DB26,0)+'ОБЪЕКТЫ'!DB93</x:f>
      </x:c>
      <x:c r="DC11" s="117" t="n">
        <x:f>IF(DC$3&lt;$B$8,'Продажи'!DC26,0)+'ОБЪЕКТЫ'!DC93</x:f>
      </x:c>
      <x:c r="DD11" s="117" t="n">
        <x:f>IF(DD$3&lt;$B$8,'Продажи'!DD26,0)+'ОБЪЕКТЫ'!DD93</x:f>
      </x:c>
      <x:c r="DE11" s="117" t="n">
        <x:f>IF(DE$3&lt;$B$8,'Продажи'!DE26,0)+'ОБЪЕКТЫ'!DE93</x:f>
      </x:c>
      <x:c r="DF11" s="117" t="n">
        <x:f>IF(DF$3&lt;$B$8,'Продажи'!DF26,0)+'ОБЪЕКТЫ'!DF93</x:f>
      </x:c>
      <x:c r="DG11" s="117" t="n">
        <x:f>IF(DG$3&lt;$B$8,'Продажи'!DG26,0)+'ОБЪЕКТЫ'!DG93</x:f>
      </x:c>
      <x:c r="DH11" s="117" t="n">
        <x:f>IF(DH$3&lt;$B$8,'Продажи'!DH26,0)+'ОБЪЕКТЫ'!DH93</x:f>
      </x:c>
      <x:c r="DI11" s="117" t="n">
        <x:f>IF(DI$3&lt;$B$8,'Продажи'!DI26,0)+'ОБЪЕКТЫ'!DI93</x:f>
      </x:c>
      <x:c r="DJ11" s="117" t="n">
        <x:f>IF(DJ$3&lt;$B$8,'Продажи'!DJ26,0)+'ОБЪЕКТЫ'!DJ93</x:f>
      </x:c>
      <x:c r="DK11" s="117" t="n">
        <x:f>IF(DK$3&lt;$B$8,'Продажи'!DK26,0)+'ОБЪЕКТЫ'!DK93</x:f>
      </x:c>
      <x:c r="DL11" s="117" t="n">
        <x:f>IF(DL$3&lt;$B$8,'Продажи'!DL26,0)+'ОБЪЕКТЫ'!DL93</x:f>
      </x:c>
      <x:c r="DM11" s="117" t="n">
        <x:f>IF(DM$3&lt;$B$8,'Продажи'!DM26,0)+'ОБЪЕКТЫ'!DM93</x:f>
      </x:c>
      <x:c r="DN11" s="117" t="n">
        <x:f>IF(DN$3&lt;$B$8,'Продажи'!DN26,0)+'ОБЪЕКТЫ'!DN93</x:f>
      </x:c>
      <x:c r="DO11" s="117" t="n">
        <x:f>IF(DO$3&lt;$B$8,'Продажи'!DO26,0)+'ОБЪЕКТЫ'!DO93</x:f>
      </x:c>
      <x:c r="DP11" s="117" t="n">
        <x:f>IF(DP$3&lt;$B$8,'Продажи'!DP26,0)+'ОБЪЕКТЫ'!DP93</x:f>
      </x:c>
      <x:c r="DQ11" s="117" t="n">
        <x:f>IF(DQ$3&lt;$B$8,'Продажи'!DQ26,0)+'ОБЪЕКТЫ'!DQ93</x:f>
      </x:c>
      <x:c r="DR11" s="117" t="n">
        <x:f>IF(DR$3&lt;$B$8,'Продажи'!DR26,0)+'ОБЪЕКТЫ'!DR93</x:f>
      </x:c>
      <x:c r="DS11" s="117" t="n">
        <x:f>IF(DS$3&lt;$B$8,'Продажи'!DS26,0)+'ОБЪЕКТЫ'!DS93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IF(D$3&gt;=$B$8,'Продажи'!D26,0)+'ОБЪЕКТЫ'!D94</x:f>
      </x:c>
      <x:c r="E12" s="117" t="n">
        <x:f>IF(E$3&gt;=$B$8,'Продажи'!E26,0)+'ОБЪЕКТЫ'!E94</x:f>
      </x:c>
      <x:c r="F12" s="117" t="n">
        <x:f>IF(F$3&gt;=$B$8,'Продажи'!F26,0)+'ОБЪЕКТЫ'!F94</x:f>
      </x:c>
      <x:c r="G12" s="117" t="n">
        <x:f>IF(G$3&gt;=$B$8,'Продажи'!G26,0)+'ОБЪЕКТЫ'!G94</x:f>
      </x:c>
      <x:c r="H12" s="117" t="n">
        <x:f>IF(H$3&gt;=$B$8,'Продажи'!H26,0)+'ОБЪЕКТЫ'!H94</x:f>
      </x:c>
      <x:c r="I12" s="117" t="n">
        <x:f>IF(I$3&gt;=$B$8,'Продажи'!I26,0)+'ОБЪЕКТЫ'!I94</x:f>
      </x:c>
      <x:c r="J12" s="117" t="n">
        <x:f>IF(J$3&gt;=$B$8,'Продажи'!J26,0)+'ОБЪЕКТЫ'!J94</x:f>
      </x:c>
      <x:c r="K12" s="117" t="n">
        <x:f>IF(K$3&gt;=$B$8,'Продажи'!K26,0)+'ОБЪЕКТЫ'!K94</x:f>
      </x:c>
      <x:c r="L12" s="117" t="n">
        <x:f>IF(L$3&gt;=$B$8,'Продажи'!L26,0)+'ОБЪЕКТЫ'!L94</x:f>
      </x:c>
      <x:c r="M12" s="117" t="n">
        <x:f>IF(M$3&gt;=$B$8,'Продажи'!M26,0)+'ОБЪЕКТЫ'!M94</x:f>
      </x:c>
      <x:c r="N12" s="117" t="n">
        <x:f>IF(N$3&gt;=$B$8,'Продажи'!N26,0)+'ОБЪЕКТЫ'!N94</x:f>
      </x:c>
      <x:c r="O12" s="117" t="n">
        <x:f>IF(O$3&gt;=$B$8,'Продажи'!O26,0)+'ОБЪЕКТЫ'!O94</x:f>
      </x:c>
      <x:c r="P12" s="117" t="n">
        <x:f>IF(P$3&gt;=$B$8,'Продажи'!P26,0)+'ОБЪЕКТЫ'!P94</x:f>
      </x:c>
      <x:c r="Q12" s="117" t="n">
        <x:f>IF(Q$3&gt;=$B$8,'Продажи'!Q26,0)+'ОБЪЕКТЫ'!Q94</x:f>
      </x:c>
      <x:c r="R12" s="117" t="n">
        <x:f>IF(R$3&gt;=$B$8,'Продажи'!R26,0)+'ОБЪЕКТЫ'!R94</x:f>
      </x:c>
      <x:c r="S12" s="117" t="n">
        <x:f>IF(S$3&gt;=$B$8,'Продажи'!S26,0)+'ОБЪЕКТЫ'!S94</x:f>
      </x:c>
      <x:c r="T12" s="117" t="n">
        <x:f>IF(T$3&gt;=$B$8,'Продажи'!T26,0)+'ОБЪЕКТЫ'!T94</x:f>
      </x:c>
      <x:c r="U12" s="117" t="n">
        <x:f>IF(U$3&gt;=$B$8,'Продажи'!U26,0)+'ОБЪЕКТЫ'!U94</x:f>
      </x:c>
      <x:c r="V12" s="117" t="n">
        <x:f>IF(V$3&gt;=$B$8,'Продажи'!V26,0)+'ОБЪЕКТЫ'!V94</x:f>
      </x:c>
      <x:c r="W12" s="117" t="n">
        <x:f>IF(W$3&gt;=$B$8,'Продажи'!W26,0)+'ОБЪЕКТЫ'!W94</x:f>
      </x:c>
      <x:c r="X12" s="117" t="n">
        <x:f>IF(X$3&gt;=$B$8,'Продажи'!X26,0)+'ОБЪЕКТЫ'!X94</x:f>
      </x:c>
      <x:c r="Y12" s="117" t="n">
        <x:f>IF(Y$3&gt;=$B$8,'Продажи'!Y26,0)+'ОБЪЕКТЫ'!Y94</x:f>
      </x:c>
      <x:c r="Z12" s="117" t="n">
        <x:f>IF(Z$3&gt;=$B$8,'Продажи'!Z26,0)+'ОБЪЕКТЫ'!Z94</x:f>
      </x:c>
      <x:c r="AA12" s="117" t="n">
        <x:f>IF(AA$3&gt;=$B$8,'Продажи'!AA26,0)+'ОБЪЕКТЫ'!AA94</x:f>
      </x:c>
      <x:c r="AB12" s="117" t="n">
        <x:f>IF(AB$3&gt;=$B$8,'Продажи'!AB26,0)+'ОБЪЕКТЫ'!AB94</x:f>
      </x:c>
      <x:c r="AC12" s="117" t="n">
        <x:f>IF(AC$3&gt;=$B$8,'Продажи'!AC26,0)+'ОБЪЕКТЫ'!AC94</x:f>
      </x:c>
      <x:c r="AD12" s="117" t="n">
        <x:f>IF(AD$3&gt;=$B$8,'Продажи'!AD26,0)+'ОБЪЕКТЫ'!AD94</x:f>
      </x:c>
      <x:c r="AE12" s="117" t="n">
        <x:f>IF(AE$3&gt;=$B$8,'Продажи'!AE26,0)+'ОБЪЕКТЫ'!AE94</x:f>
      </x:c>
      <x:c r="AF12" s="117" t="n">
        <x:f>IF(AF$3&gt;=$B$8,'Продажи'!AF26,0)+'ОБЪЕКТЫ'!AF94</x:f>
      </x:c>
      <x:c r="AG12" s="117" t="n">
        <x:f>IF(AG$3&gt;=$B$8,'Продажи'!AG26,0)+'ОБЪЕКТЫ'!AG94</x:f>
      </x:c>
      <x:c r="AH12" s="117" t="n">
        <x:f>IF(AH$3&gt;=$B$8,'Продажи'!AH26,0)+'ОБЪЕКТЫ'!AH94</x:f>
      </x:c>
      <x:c r="AI12" s="117" t="n">
        <x:f>IF(AI$3&gt;=$B$8,'Продажи'!AI26,0)+'ОБЪЕКТЫ'!AI94</x:f>
      </x:c>
      <x:c r="AJ12" s="117" t="n">
        <x:f>IF(AJ$3&gt;=$B$8,'Продажи'!AJ26,0)+'ОБЪЕКТЫ'!AJ94</x:f>
      </x:c>
      <x:c r="AK12" s="117" t="n">
        <x:f>IF(AK$3&gt;=$B$8,'Продажи'!AK26,0)+'ОБЪЕКТЫ'!AK94</x:f>
      </x:c>
      <x:c r="AL12" s="117" t="n">
        <x:f>IF(AL$3&gt;=$B$8,'Продажи'!AL26,0)+'ОБЪЕКТЫ'!AL94</x:f>
      </x:c>
      <x:c r="AM12" s="117" t="n">
        <x:f>IF(AM$3&gt;=$B$8,'Продажи'!AM26,0)+'ОБЪЕКТЫ'!AM94</x:f>
      </x:c>
      <x:c r="AN12" s="117" t="n">
        <x:f>IF(AN$3&gt;=$B$8,'Продажи'!AN26,0)+'ОБЪЕКТЫ'!AN94</x:f>
      </x:c>
      <x:c r="AO12" s="117" t="n">
        <x:f>IF(AO$3&gt;=$B$8,'Продажи'!AO26,0)+'ОБЪЕКТЫ'!AO94</x:f>
      </x:c>
      <x:c r="AP12" s="117" t="n">
        <x:f>IF(AP$3&gt;=$B$8,'Продажи'!AP26,0)+'ОБЪЕКТЫ'!AP94</x:f>
      </x:c>
      <x:c r="AQ12" s="117" t="n">
        <x:f>IF(AQ$3&gt;=$B$8,'Продажи'!AQ26,0)+'ОБЪЕКТЫ'!AQ94</x:f>
      </x:c>
      <x:c r="AR12" s="117" t="n">
        <x:f>IF(AR$3&gt;=$B$8,'Продажи'!AR26,0)+'ОБЪЕКТЫ'!AR94</x:f>
      </x:c>
      <x:c r="AS12" s="117" t="n">
        <x:f>IF(AS$3&gt;=$B$8,'Продажи'!AS26,0)+'ОБЪЕКТЫ'!AS94</x:f>
      </x:c>
      <x:c r="AT12" s="117" t="n">
        <x:f>IF(AT$3&gt;=$B$8,'Продажи'!AT26,0)+'ОБЪЕКТЫ'!AT94</x:f>
      </x:c>
      <x:c r="AU12" s="117" t="n">
        <x:f>IF(AU$3&gt;=$B$8,'Продажи'!AU26,0)+'ОБЪЕКТЫ'!AU94</x:f>
      </x:c>
      <x:c r="AV12" s="117" t="n">
        <x:f>IF(AV$3&gt;=$B$8,'Продажи'!AV26,0)+'ОБЪЕКТЫ'!AV94</x:f>
      </x:c>
      <x:c r="AW12" s="117" t="n">
        <x:f>IF(AW$3&gt;=$B$8,'Продажи'!AW26,0)+'ОБЪЕКТЫ'!AW94</x:f>
      </x:c>
      <x:c r="AX12" s="117" t="n">
        <x:f>IF(AX$3&gt;=$B$8,'Продажи'!AX26,0)+'ОБЪЕКТЫ'!AX94</x:f>
      </x:c>
      <x:c r="AY12" s="117" t="n">
        <x:f>IF(AY$3&gt;=$B$8,'Продажи'!AY26,0)+'ОБЪЕКТЫ'!AY94</x:f>
      </x:c>
      <x:c r="AZ12" s="117" t="n">
        <x:f>IF(AZ$3&gt;=$B$8,'Продажи'!AZ26,0)+'ОБЪЕКТЫ'!AZ94</x:f>
      </x:c>
      <x:c r="BA12" s="117" t="n">
        <x:f>IF(BA$3&gt;=$B$8,'Продажи'!BA26,0)+'ОБЪЕКТЫ'!BA94</x:f>
      </x:c>
      <x:c r="BB12" s="117" t="n">
        <x:f>IF(BB$3&gt;=$B$8,'Продажи'!BB26,0)+'ОБЪЕКТЫ'!BB94</x:f>
      </x:c>
      <x:c r="BC12" s="117" t="n">
        <x:f>IF(BC$3&gt;=$B$8,'Продажи'!BC26,0)+'ОБЪЕКТЫ'!BC94</x:f>
      </x:c>
      <x:c r="BD12" s="117" t="n">
        <x:f>IF(BD$3&gt;=$B$8,'Продажи'!BD26,0)+'ОБЪЕКТЫ'!BD94</x:f>
      </x:c>
      <x:c r="BE12" s="117" t="n">
        <x:f>IF(BE$3&gt;=$B$8,'Продажи'!BE26,0)+'ОБЪЕКТЫ'!BE94</x:f>
      </x:c>
      <x:c r="BF12" s="117" t="n">
        <x:f>IF(BF$3&gt;=$B$8,'Продажи'!BF26,0)+'ОБЪЕКТЫ'!BF94</x:f>
      </x:c>
      <x:c r="BG12" s="117" t="n">
        <x:f>IF(BG$3&gt;=$B$8,'Продажи'!BG26,0)+'ОБЪЕКТЫ'!BG94</x:f>
      </x:c>
      <x:c r="BH12" s="117" t="n">
        <x:f>IF(BH$3&gt;=$B$8,'Продажи'!BH26,0)+'ОБЪЕКТЫ'!BH94</x:f>
      </x:c>
      <x:c r="BI12" s="117" t="n">
        <x:f>IF(BI$3&gt;=$B$8,'Продажи'!BI26,0)+'ОБЪЕКТЫ'!BI94</x:f>
      </x:c>
      <x:c r="BJ12" s="117" t="n">
        <x:f>IF(BJ$3&gt;=$B$8,'Продажи'!BJ26,0)+'ОБЪЕКТЫ'!BJ94</x:f>
      </x:c>
      <x:c r="BK12" s="117" t="n">
        <x:f>IF(BK$3&gt;=$B$8,'Продажи'!BK26,0)+'ОБЪЕКТЫ'!BK94</x:f>
      </x:c>
      <x:c r="BL12" s="117" t="n">
        <x:f>IF(BL$3&gt;=$B$8,'Продажи'!BL26,0)+'ОБЪЕКТЫ'!BL94</x:f>
      </x:c>
      <x:c r="BM12" s="117" t="n">
        <x:f>IF(BM$3&gt;=$B$8,'Продажи'!BM26,0)+'ОБЪЕКТЫ'!BM94</x:f>
      </x:c>
      <x:c r="BN12" s="117" t="n">
        <x:f>IF(BN$3&gt;=$B$8,'Продажи'!BN26,0)+'ОБЪЕКТЫ'!BN94</x:f>
      </x:c>
      <x:c r="BO12" s="117" t="n">
        <x:f>IF(BO$3&gt;=$B$8,'Продажи'!BO26,0)+'ОБЪЕКТЫ'!BO94</x:f>
      </x:c>
      <x:c r="BP12" s="117" t="n">
        <x:f>IF(BP$3&gt;=$B$8,'Продажи'!BP26,0)+'ОБЪЕКТЫ'!BP94</x:f>
      </x:c>
      <x:c r="BQ12" s="117" t="n">
        <x:f>IF(BQ$3&gt;=$B$8,'Продажи'!BQ26,0)+'ОБЪЕКТЫ'!BQ94</x:f>
      </x:c>
      <x:c r="BR12" s="117" t="n">
        <x:f>IF(BR$3&gt;=$B$8,'Продажи'!BR26,0)+'ОБЪЕКТЫ'!BR94</x:f>
      </x:c>
      <x:c r="BS12" s="117" t="n">
        <x:f>IF(BS$3&gt;=$B$8,'Продажи'!BS26,0)+'ОБЪЕКТЫ'!BS94</x:f>
      </x:c>
      <x:c r="BT12" s="117" t="n">
        <x:f>IF(BT$3&gt;=$B$8,'Продажи'!BT26,0)+'ОБЪЕКТЫ'!BT94</x:f>
      </x:c>
      <x:c r="BU12" s="117" t="n">
        <x:f>IF(BU$3&gt;=$B$8,'Продажи'!BU26,0)+'ОБЪЕКТЫ'!BU94</x:f>
      </x:c>
      <x:c r="BV12" s="117" t="n">
        <x:f>IF(BV$3&gt;=$B$8,'Продажи'!BV26,0)+'ОБЪЕКТЫ'!BV94</x:f>
      </x:c>
      <x:c r="BW12" s="117" t="n">
        <x:f>IF(BW$3&gt;=$B$8,'Продажи'!BW26,0)+'ОБЪЕКТЫ'!BW94</x:f>
      </x:c>
      <x:c r="BX12" s="117" t="n">
        <x:f>IF(BX$3&gt;=$B$8,'Продажи'!BX26,0)+'ОБЪЕКТЫ'!BX94</x:f>
      </x:c>
      <x:c r="BY12" s="117" t="n">
        <x:f>IF(BY$3&gt;=$B$8,'Продажи'!BY26,0)+'ОБЪЕКТЫ'!BY94</x:f>
      </x:c>
      <x:c r="BZ12" s="117" t="n">
        <x:f>IF(BZ$3&gt;=$B$8,'Продажи'!BZ26,0)+'ОБЪЕКТЫ'!BZ94</x:f>
      </x:c>
      <x:c r="CA12" s="117" t="n">
        <x:f>IF(CA$3&gt;=$B$8,'Продажи'!CA26,0)+'ОБЪЕКТЫ'!CA94</x:f>
      </x:c>
      <x:c r="CB12" s="117" t="n">
        <x:f>IF(CB$3&gt;=$B$8,'Продажи'!CB26,0)+'ОБЪЕКТЫ'!CB94</x:f>
      </x:c>
      <x:c r="CC12" s="117" t="n">
        <x:f>IF(CC$3&gt;=$B$8,'Продажи'!CC26,0)+'ОБЪЕКТЫ'!CC94</x:f>
      </x:c>
      <x:c r="CD12" s="117" t="n">
        <x:f>IF(CD$3&gt;=$B$8,'Продажи'!CD26,0)+'ОБЪЕКТЫ'!CD94</x:f>
      </x:c>
      <x:c r="CE12" s="117" t="n">
        <x:f>IF(CE$3&gt;=$B$8,'Продажи'!CE26,0)+'ОБЪЕКТЫ'!CE94</x:f>
      </x:c>
      <x:c r="CF12" s="117" t="n">
        <x:f>IF(CF$3&gt;=$B$8,'Продажи'!CF26,0)+'ОБЪЕКТЫ'!CF94</x:f>
      </x:c>
      <x:c r="CG12" s="117" t="n">
        <x:f>IF(CG$3&gt;=$B$8,'Продажи'!CG26,0)+'ОБЪЕКТЫ'!CG94</x:f>
      </x:c>
      <x:c r="CH12" s="117" t="n">
        <x:f>IF(CH$3&gt;=$B$8,'Продажи'!CH26,0)+'ОБЪЕКТЫ'!CH94</x:f>
      </x:c>
      <x:c r="CI12" s="117" t="n">
        <x:f>IF(CI$3&gt;=$B$8,'Продажи'!CI26,0)+'ОБЪЕКТЫ'!CI94</x:f>
      </x:c>
      <x:c r="CJ12" s="117" t="n">
        <x:f>IF(CJ$3&gt;=$B$8,'Продажи'!CJ26,0)+'ОБЪЕКТЫ'!CJ94</x:f>
      </x:c>
      <x:c r="CK12" s="117" t="n">
        <x:f>IF(CK$3&gt;=$B$8,'Продажи'!CK26,0)+'ОБЪЕКТЫ'!CK94</x:f>
      </x:c>
      <x:c r="CL12" s="117" t="n">
        <x:f>IF(CL$3&gt;=$B$8,'Продажи'!CL26,0)+'ОБЪЕКТЫ'!CL94</x:f>
      </x:c>
      <x:c r="CM12" s="117" t="n">
        <x:f>IF(CM$3&gt;=$B$8,'Продажи'!CM26,0)+'ОБЪЕКТЫ'!CM94</x:f>
      </x:c>
      <x:c r="CN12" s="117" t="n">
        <x:f>IF(CN$3&gt;=$B$8,'Продажи'!CN26,0)+'ОБЪЕКТЫ'!CN94</x:f>
      </x:c>
      <x:c r="CO12" s="117" t="n">
        <x:f>IF(CO$3&gt;=$B$8,'Продажи'!CO26,0)+'ОБЪЕКТЫ'!CO94</x:f>
      </x:c>
      <x:c r="CP12" s="117" t="n">
        <x:f>IF(CP$3&gt;=$B$8,'Продажи'!CP26,0)+'ОБЪЕКТЫ'!CP94</x:f>
      </x:c>
      <x:c r="CQ12" s="117" t="n">
        <x:f>IF(CQ$3&gt;=$B$8,'Продажи'!CQ26,0)+'ОБЪЕКТЫ'!CQ94</x:f>
      </x:c>
      <x:c r="CR12" s="117" t="n">
        <x:f>IF(CR$3&gt;=$B$8,'Продажи'!CR26,0)+'ОБЪЕКТЫ'!CR94</x:f>
      </x:c>
      <x:c r="CS12" s="117" t="n">
        <x:f>IF(CS$3&gt;=$B$8,'Продажи'!CS26,0)+'ОБЪЕКТЫ'!CS94</x:f>
      </x:c>
      <x:c r="CT12" s="117" t="n">
        <x:f>IF(CT$3&gt;=$B$8,'Продажи'!CT26,0)+'ОБЪЕКТЫ'!CT94</x:f>
      </x:c>
      <x:c r="CU12" s="117" t="n">
        <x:f>IF(CU$3&gt;=$B$8,'Продажи'!CU26,0)+'ОБЪЕКТЫ'!CU94</x:f>
      </x:c>
      <x:c r="CV12" s="117" t="n">
        <x:f>IF(CV$3&gt;=$B$8,'Продажи'!CV26,0)+'ОБЪЕКТЫ'!CV94</x:f>
      </x:c>
      <x:c r="CW12" s="117" t="n">
        <x:f>IF(CW$3&gt;=$B$8,'Продажи'!CW26,0)+'ОБЪЕКТЫ'!CW94</x:f>
      </x:c>
      <x:c r="CX12" s="117" t="n">
        <x:f>IF(CX$3&gt;=$B$8,'Продажи'!CX26,0)+'ОБЪЕКТЫ'!CX94</x:f>
      </x:c>
      <x:c r="CY12" s="117" t="n">
        <x:f>IF(CY$3&gt;=$B$8,'Продажи'!CY26,0)+'ОБЪЕКТЫ'!CY94</x:f>
      </x:c>
      <x:c r="CZ12" s="117" t="n">
        <x:f>IF(CZ$3&gt;=$B$8,'Продажи'!CZ26,0)+'ОБЪЕКТЫ'!CZ94</x:f>
      </x:c>
      <x:c r="DA12" s="117" t="n">
        <x:f>IF(DA$3&gt;=$B$8,'Продажи'!DA26,0)+'ОБЪЕКТЫ'!DA94</x:f>
      </x:c>
      <x:c r="DB12" s="117" t="n">
        <x:f>IF(DB$3&gt;=$B$8,'Продажи'!DB26,0)+'ОБЪЕКТЫ'!DB94</x:f>
      </x:c>
      <x:c r="DC12" s="117" t="n">
        <x:f>IF(DC$3&gt;=$B$8,'Продажи'!DC26,0)+'ОБЪЕКТЫ'!DC94</x:f>
      </x:c>
      <x:c r="DD12" s="117" t="n">
        <x:f>IF(DD$3&gt;=$B$8,'Продажи'!DD26,0)+'ОБЪЕКТЫ'!DD94</x:f>
      </x:c>
      <x:c r="DE12" s="117" t="n">
        <x:f>IF(DE$3&gt;=$B$8,'Продажи'!DE26,0)+'ОБЪЕКТЫ'!DE94</x:f>
      </x:c>
      <x:c r="DF12" s="117" t="n">
        <x:f>IF(DF$3&gt;=$B$8,'Продажи'!DF26,0)+'ОБЪЕКТЫ'!DF94</x:f>
      </x:c>
      <x:c r="DG12" s="117" t="n">
        <x:f>IF(DG$3&gt;=$B$8,'Продажи'!DG26,0)+'ОБЪЕКТЫ'!DG94</x:f>
      </x:c>
      <x:c r="DH12" s="117" t="n">
        <x:f>IF(DH$3&gt;=$B$8,'Продажи'!DH26,0)+'ОБЪЕКТЫ'!DH94</x:f>
      </x:c>
      <x:c r="DI12" s="117" t="n">
        <x:f>IF(DI$3&gt;=$B$8,'Продажи'!DI26,0)+'ОБЪЕКТЫ'!DI94</x:f>
      </x:c>
      <x:c r="DJ12" s="117" t="n">
        <x:f>IF(DJ$3&gt;=$B$8,'Продажи'!DJ26,0)+'ОБЪЕКТЫ'!DJ94</x:f>
      </x:c>
      <x:c r="DK12" s="117" t="n">
        <x:f>IF(DK$3&gt;=$B$8,'Продажи'!DK26,0)+'ОБЪЕКТЫ'!DK94</x:f>
      </x:c>
      <x:c r="DL12" s="117" t="n">
        <x:f>IF(DL$3&gt;=$B$8,'Продажи'!DL26,0)+'ОБЪЕКТЫ'!DL94</x:f>
      </x:c>
      <x:c r="DM12" s="117" t="n">
        <x:f>IF(DM$3&gt;=$B$8,'Продажи'!DM26,0)+'ОБЪЕКТЫ'!DM94</x:f>
      </x:c>
      <x:c r="DN12" s="117" t="n">
        <x:f>IF(DN$3&gt;=$B$8,'Продажи'!DN26,0)+'ОБЪЕКТЫ'!DN94</x:f>
      </x:c>
      <x:c r="DO12" s="117" t="n">
        <x:f>IF(DO$3&gt;=$B$8,'Продажи'!DO26,0)+'ОБЪЕКТЫ'!DO94</x:f>
      </x:c>
      <x:c r="DP12" s="117" t="n">
        <x:f>IF(DP$3&gt;=$B$8,'Продажи'!DP26,0)+'ОБЪЕКТЫ'!DP94</x:f>
      </x:c>
      <x:c r="DQ12" s="117" t="n">
        <x:f>IF(DQ$3&gt;=$B$8,'Продажи'!DQ26,0)+'ОБЪЕКТЫ'!DQ94</x:f>
      </x:c>
      <x:c r="DR12" s="117" t="n">
        <x:f>IF(DR$3&gt;=$B$8,'Продажи'!DR26,0)+'ОБЪЕКТЫ'!DR94</x:f>
      </x:c>
      <x:c r="DS12" s="117" t="n">
        <x:f>IF(DS$3&gt;=$B$8,'Продажи'!DS26,0)+'ОБЪЕКТЫ'!DS94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0+'ОБЪЕКТЫ'!D95</x:f>
      </x:c>
      <x:c r="E14" s="117" t="n">
        <x:f>IF(AND(YEAR(E$3)=YEAR($B$8),MONTH(E$3)=MONTH($B$8)),SUM('Продажи'!$D$26:'Продажи'!D$26),0)+'ОБЪЕКТЫ'!E95</x:f>
      </x:c>
      <x:c r="F14" s="117" t="n">
        <x:f>IF(AND(YEAR(F$3)=YEAR($B$8),MONTH(F$3)=MONTH($B$8)),SUM('Продажи'!$D$26:'Продажи'!E$26),0)+'ОБЪЕКТЫ'!F95</x:f>
      </x:c>
      <x:c r="G14" s="117" t="n">
        <x:f>IF(AND(YEAR(G$3)=YEAR($B$8),MONTH(G$3)=MONTH($B$8)),SUM('Продажи'!$D$26:'Продажи'!F$26),0)+'ОБЪЕКТЫ'!G95</x:f>
      </x:c>
      <x:c r="H14" s="117" t="n">
        <x:f>IF(AND(YEAR(H$3)=YEAR($B$8),MONTH(H$3)=MONTH($B$8)),SUM('Продажи'!$D$26:'Продажи'!G$26),0)+'ОБЪЕКТЫ'!H95</x:f>
      </x:c>
      <x:c r="I14" s="117" t="n">
        <x:f>IF(AND(YEAR(I$3)=YEAR($B$8),MONTH(I$3)=MONTH($B$8)),SUM('Продажи'!$D$26:'Продажи'!H$26),0)+'ОБЪЕКТЫ'!I95</x:f>
      </x:c>
      <x:c r="J14" s="117" t="n">
        <x:f>IF(AND(YEAR(J$3)=YEAR($B$8),MONTH(J$3)=MONTH($B$8)),SUM('Продажи'!$D$26:'Продажи'!I$26),0)+'ОБЪЕКТЫ'!J95</x:f>
      </x:c>
      <x:c r="K14" s="117" t="n">
        <x:f>IF(AND(YEAR(K$3)=YEAR($B$8),MONTH(K$3)=MONTH($B$8)),SUM('Продажи'!$D$26:'Продажи'!J$26),0)+'ОБЪЕКТЫ'!K95</x:f>
      </x:c>
      <x:c r="L14" s="117" t="n">
        <x:f>IF(AND(YEAR(L$3)=YEAR($B$8),MONTH(L$3)=MONTH($B$8)),SUM('Продажи'!$D$26:'Продажи'!K$26),0)+'ОБЪЕКТЫ'!L95</x:f>
      </x:c>
      <x:c r="M14" s="117" t="n">
        <x:f>IF(AND(YEAR(M$3)=YEAR($B$8),MONTH(M$3)=MONTH($B$8)),SUM('Продажи'!$D$26:'Продажи'!L$26),0)+'ОБЪЕКТЫ'!M95</x:f>
      </x:c>
      <x:c r="N14" s="117" t="n">
        <x:f>IF(AND(YEAR(N$3)=YEAR($B$8),MONTH(N$3)=MONTH($B$8)),SUM('Продажи'!$D$26:'Продажи'!M$26),0)+'ОБЪЕКТЫ'!N95</x:f>
      </x:c>
      <x:c r="O14" s="117" t="n">
        <x:f>IF(AND(YEAR(O$3)=YEAR($B$8),MONTH(O$3)=MONTH($B$8)),SUM('Продажи'!$D$26:'Продажи'!N$26),0)+'ОБЪЕКТЫ'!O95</x:f>
      </x:c>
      <x:c r="P14" s="117" t="n">
        <x:f>IF(AND(YEAR(P$3)=YEAR($B$8),MONTH(P$3)=MONTH($B$8)),SUM('Продажи'!$D$26:'Продажи'!O$26),0)+'ОБЪЕКТЫ'!P95</x:f>
      </x:c>
      <x:c r="Q14" s="117" t="n">
        <x:f>IF(AND(YEAR(Q$3)=YEAR($B$8),MONTH(Q$3)=MONTH($B$8)),SUM('Продажи'!$D$26:'Продажи'!P$26),0)+'ОБЪЕКТЫ'!Q95</x:f>
      </x:c>
      <x:c r="R14" s="117" t="n">
        <x:f>IF(AND(YEAR(R$3)=YEAR($B$8),MONTH(R$3)=MONTH($B$8)),SUM('Продажи'!$D$26:'Продажи'!Q$26),0)+'ОБЪЕКТЫ'!R95</x:f>
      </x:c>
      <x:c r="S14" s="117" t="n">
        <x:f>IF(AND(YEAR(S$3)=YEAR($B$8),MONTH(S$3)=MONTH($B$8)),SUM('Продажи'!$D$26:'Продажи'!R$26),0)+'ОБЪЕКТЫ'!S95</x:f>
      </x:c>
      <x:c r="T14" s="117" t="n">
        <x:f>IF(AND(YEAR(T$3)=YEAR($B$8),MONTH(T$3)=MONTH($B$8)),SUM('Продажи'!$D$26:'Продажи'!S$26),0)+'ОБЪЕКТЫ'!T95</x:f>
      </x:c>
      <x:c r="U14" s="117" t="n">
        <x:f>IF(AND(YEAR(U$3)=YEAR($B$8),MONTH(U$3)=MONTH($B$8)),SUM('Продажи'!$D$26:'Продажи'!T$26),0)+'ОБЪЕКТЫ'!U95</x:f>
      </x:c>
      <x:c r="V14" s="117" t="n">
        <x:f>IF(AND(YEAR(V$3)=YEAR($B$8),MONTH(V$3)=MONTH($B$8)),SUM('Продажи'!$D$26:'Продажи'!U$26),0)+'ОБЪЕКТЫ'!V95</x:f>
      </x:c>
      <x:c r="W14" s="117" t="n">
        <x:f>IF(AND(YEAR(W$3)=YEAR($B$8),MONTH(W$3)=MONTH($B$8)),SUM('Продажи'!$D$26:'Продажи'!V$26),0)+'ОБЪЕКТЫ'!W95</x:f>
      </x:c>
      <x:c r="X14" s="117" t="n">
        <x:f>IF(AND(YEAR(X$3)=YEAR($B$8),MONTH(X$3)=MONTH($B$8)),SUM('Продажи'!$D$26:'Продажи'!W$26),0)+'ОБЪЕКТЫ'!X95</x:f>
      </x:c>
      <x:c r="Y14" s="117" t="n">
        <x:f>IF(AND(YEAR(Y$3)=YEAR($B$8),MONTH(Y$3)=MONTH($B$8)),SUM('Продажи'!$D$26:'Продажи'!X$26),0)+'ОБЪЕКТЫ'!Y95</x:f>
      </x:c>
      <x:c r="Z14" s="117" t="n">
        <x:f>IF(AND(YEAR(Z$3)=YEAR($B$8),MONTH(Z$3)=MONTH($B$8)),SUM('Продажи'!$D$26:'Продажи'!Y$26),0)+'ОБЪЕКТЫ'!Z95</x:f>
      </x:c>
      <x:c r="AA14" s="117" t="n">
        <x:f>IF(AND(YEAR(AA$3)=YEAR($B$8),MONTH(AA$3)=MONTH($B$8)),SUM('Продажи'!$D$26:'Продажи'!Z$26),0)+'ОБЪЕКТЫ'!AA95</x:f>
      </x:c>
      <x:c r="AB14" s="117" t="n">
        <x:f>IF(AND(YEAR(AB$3)=YEAR($B$8),MONTH(AB$3)=MONTH($B$8)),SUM('Продажи'!$D$26:'Продажи'!AA$26),0)+'ОБЪЕКТЫ'!AB95</x:f>
      </x:c>
      <x:c r="AC14" s="117" t="n">
        <x:f>IF(AND(YEAR(AC$3)=YEAR($B$8),MONTH(AC$3)=MONTH($B$8)),SUM('Продажи'!$D$26:'Продажи'!AB$26),0)+'ОБЪЕКТЫ'!AC95</x:f>
      </x:c>
      <x:c r="AD14" s="117" t="n">
        <x:f>IF(AND(YEAR(AD$3)=YEAR($B$8),MONTH(AD$3)=MONTH($B$8)),SUM('Продажи'!$D$26:'Продажи'!AC$26),0)+'ОБЪЕКТЫ'!AD95</x:f>
      </x:c>
      <x:c r="AE14" s="117" t="n">
        <x:f>IF(AND(YEAR(AE$3)=YEAR($B$8),MONTH(AE$3)=MONTH($B$8)),SUM('Продажи'!$D$26:'Продажи'!AD$26),0)+'ОБЪЕКТЫ'!AE95</x:f>
      </x:c>
      <x:c r="AF14" s="117" t="n">
        <x:f>IF(AND(YEAR(AF$3)=YEAR($B$8),MONTH(AF$3)=MONTH($B$8)),SUM('Продажи'!$D$26:'Продажи'!AE$26),0)+'ОБЪЕКТЫ'!AF95</x:f>
      </x:c>
      <x:c r="AG14" s="117" t="n">
        <x:f>IF(AND(YEAR(AG$3)=YEAR($B$8),MONTH(AG$3)=MONTH($B$8)),SUM('Продажи'!$D$26:'Продажи'!AF$26),0)+'ОБЪЕКТЫ'!AG95</x:f>
      </x:c>
      <x:c r="AH14" s="117" t="n">
        <x:f>IF(AND(YEAR(AH$3)=YEAR($B$8),MONTH(AH$3)=MONTH($B$8)),SUM('Продажи'!$D$26:'Продажи'!AG$26),0)+'ОБЪЕКТЫ'!AH95</x:f>
      </x:c>
      <x:c r="AI14" s="117" t="n">
        <x:f>IF(AND(YEAR(AI$3)=YEAR($B$8),MONTH(AI$3)=MONTH($B$8)),SUM('Продажи'!$D$26:'Продажи'!AH$26),0)+'ОБЪЕКТЫ'!AI95</x:f>
      </x:c>
      <x:c r="AJ14" s="117" t="n">
        <x:f>IF(AND(YEAR(AJ$3)=YEAR($B$8),MONTH(AJ$3)=MONTH($B$8)),SUM('Продажи'!$D$26:'Продажи'!AI$26),0)+'ОБЪЕКТЫ'!AJ95</x:f>
      </x:c>
      <x:c r="AK14" s="117" t="n">
        <x:f>IF(AND(YEAR(AK$3)=YEAR($B$8),MONTH(AK$3)=MONTH($B$8)),SUM('Продажи'!$D$26:'Продажи'!AJ$26),0)+'ОБЪЕКТЫ'!AK95</x:f>
      </x:c>
      <x:c r="AL14" s="117" t="n">
        <x:f>IF(AND(YEAR(AL$3)=YEAR($B$8),MONTH(AL$3)=MONTH($B$8)),SUM('Продажи'!$D$26:'Продажи'!AK$26),0)+'ОБЪЕКТЫ'!AL95</x:f>
      </x:c>
      <x:c r="AM14" s="117" t="n">
        <x:f>IF(AND(YEAR(AM$3)=YEAR($B$8),MONTH(AM$3)=MONTH($B$8)),SUM('Продажи'!$D$26:'Продажи'!AL$26),0)+'ОБЪЕКТЫ'!AM95</x:f>
      </x:c>
      <x:c r="AN14" s="117" t="n">
        <x:f>IF(AND(YEAR(AN$3)=YEAR($B$8),MONTH(AN$3)=MONTH($B$8)),SUM('Продажи'!$D$26:'Продажи'!AM$26),0)+'ОБЪЕКТЫ'!AN95</x:f>
      </x:c>
      <x:c r="AO14" s="117" t="n">
        <x:f>IF(AND(YEAR(AO$3)=YEAR($B$8),MONTH(AO$3)=MONTH($B$8)),SUM('Продажи'!$D$26:'Продажи'!AN$26),0)+'ОБЪЕКТЫ'!AO95</x:f>
      </x:c>
      <x:c r="AP14" s="117" t="n">
        <x:f>IF(AND(YEAR(AP$3)=YEAR($B$8),MONTH(AP$3)=MONTH($B$8)),SUM('Продажи'!$D$26:'Продажи'!AO$26),0)+'ОБЪЕКТЫ'!AP95</x:f>
      </x:c>
      <x:c r="AQ14" s="117" t="n">
        <x:f>IF(AND(YEAR(AQ$3)=YEAR($B$8),MONTH(AQ$3)=MONTH($B$8)),SUM('Продажи'!$D$26:'Продажи'!AP$26),0)+'ОБЪЕКТЫ'!AQ95</x:f>
      </x:c>
      <x:c r="AR14" s="117" t="n">
        <x:f>IF(AND(YEAR(AR$3)=YEAR($B$8),MONTH(AR$3)=MONTH($B$8)),SUM('Продажи'!$D$26:'Продажи'!AQ$26),0)+'ОБЪЕКТЫ'!AR95</x:f>
      </x:c>
      <x:c r="AS14" s="117" t="n">
        <x:f>IF(AND(YEAR(AS$3)=YEAR($B$8),MONTH(AS$3)=MONTH($B$8)),SUM('Продажи'!$D$26:'Продажи'!AR$26),0)+'ОБЪЕКТЫ'!AS95</x:f>
      </x:c>
      <x:c r="AT14" s="117" t="n">
        <x:f>IF(AND(YEAR(AT$3)=YEAR($B$8),MONTH(AT$3)=MONTH($B$8)),SUM('Продажи'!$D$26:'Продажи'!AS$26),0)+'ОБЪЕКТЫ'!AT95</x:f>
      </x:c>
      <x:c r="AU14" s="117" t="n">
        <x:f>IF(AND(YEAR(AU$3)=YEAR($B$8),MONTH(AU$3)=MONTH($B$8)),SUM('Продажи'!$D$26:'Продажи'!AT$26),0)+'ОБЪЕКТЫ'!AU95</x:f>
      </x:c>
      <x:c r="AV14" s="117" t="n">
        <x:f>IF(AND(YEAR(AV$3)=YEAR($B$8),MONTH(AV$3)=MONTH($B$8)),SUM('Продажи'!$D$26:'Продажи'!AU$26),0)+'ОБЪЕКТЫ'!AV95</x:f>
      </x:c>
      <x:c r="AW14" s="117" t="n">
        <x:f>IF(AND(YEAR(AW$3)=YEAR($B$8),MONTH(AW$3)=MONTH($B$8)),SUM('Продажи'!$D$26:'Продажи'!AV$26),0)+'ОБЪЕКТЫ'!AW95</x:f>
      </x:c>
      <x:c r="AX14" s="117" t="n">
        <x:f>IF(AND(YEAR(AX$3)=YEAR($B$8),MONTH(AX$3)=MONTH($B$8)),SUM('Продажи'!$D$26:'Продажи'!AW$26),0)+'ОБЪЕКТЫ'!AX95</x:f>
      </x:c>
      <x:c r="AY14" s="117" t="n">
        <x:f>IF(AND(YEAR(AY$3)=YEAR($B$8),MONTH(AY$3)=MONTH($B$8)),SUM('Продажи'!$D$26:'Продажи'!AX$26),0)+'ОБЪЕКТЫ'!AY95</x:f>
      </x:c>
      <x:c r="AZ14" s="117" t="n">
        <x:f>IF(AND(YEAR(AZ$3)=YEAR($B$8),MONTH(AZ$3)=MONTH($B$8)),SUM('Продажи'!$D$26:'Продажи'!AY$26),0)+'ОБЪЕКТЫ'!AZ95</x:f>
      </x:c>
      <x:c r="BA14" s="117" t="n">
        <x:f>IF(AND(YEAR(BA$3)=YEAR($B$8),MONTH(BA$3)=MONTH($B$8)),SUM('Продажи'!$D$26:'Продажи'!AZ$26),0)+'ОБЪЕКТЫ'!BA95</x:f>
      </x:c>
      <x:c r="BB14" s="117" t="n">
        <x:f>IF(AND(YEAR(BB$3)=YEAR($B$8),MONTH(BB$3)=MONTH($B$8)),SUM('Продажи'!$D$26:'Продажи'!BA$26),0)+'ОБЪЕКТЫ'!BB95</x:f>
      </x:c>
      <x:c r="BC14" s="117" t="n">
        <x:f>IF(AND(YEAR(BC$3)=YEAR($B$8),MONTH(BC$3)=MONTH($B$8)),SUM('Продажи'!$D$26:'Продажи'!BB$26),0)+'ОБЪЕКТЫ'!BC95</x:f>
      </x:c>
      <x:c r="BD14" s="117" t="n">
        <x:f>IF(AND(YEAR(BD$3)=YEAR($B$8),MONTH(BD$3)=MONTH($B$8)),SUM('Продажи'!$D$26:'Продажи'!BC$26),0)+'ОБЪЕКТЫ'!BD95</x:f>
      </x:c>
      <x:c r="BE14" s="117" t="n">
        <x:f>IF(AND(YEAR(BE$3)=YEAR($B$8),MONTH(BE$3)=MONTH($B$8)),SUM('Продажи'!$D$26:'Продажи'!BD$26),0)+'ОБЪЕКТЫ'!BE95</x:f>
      </x:c>
      <x:c r="BF14" s="117" t="n">
        <x:f>IF(AND(YEAR(BF$3)=YEAR($B$8),MONTH(BF$3)=MONTH($B$8)),SUM('Продажи'!$D$26:'Продажи'!BE$26),0)+'ОБЪЕКТЫ'!BF95</x:f>
      </x:c>
      <x:c r="BG14" s="117" t="n">
        <x:f>IF(AND(YEAR(BG$3)=YEAR($B$8),MONTH(BG$3)=MONTH($B$8)),SUM('Продажи'!$D$26:'Продажи'!BF$26),0)+'ОБЪЕКТЫ'!BG95</x:f>
      </x:c>
      <x:c r="BH14" s="117" t="n">
        <x:f>IF(AND(YEAR(BH$3)=YEAR($B$8),MONTH(BH$3)=MONTH($B$8)),SUM('Продажи'!$D$26:'Продажи'!BG$26),0)+'ОБЪЕКТЫ'!BH95</x:f>
      </x:c>
      <x:c r="BI14" s="117" t="n">
        <x:f>IF(AND(YEAR(BI$3)=YEAR($B$8),MONTH(BI$3)=MONTH($B$8)),SUM('Продажи'!$D$26:'Продажи'!BH$26),0)+'ОБЪЕКТЫ'!BI95</x:f>
      </x:c>
      <x:c r="BJ14" s="117" t="n">
        <x:f>IF(AND(YEAR(BJ$3)=YEAR($B$8),MONTH(BJ$3)=MONTH($B$8)),SUM('Продажи'!$D$26:'Продажи'!BI$26),0)+'ОБЪЕКТЫ'!BJ95</x:f>
      </x:c>
      <x:c r="BK14" s="117" t="n">
        <x:f>IF(AND(YEAR(BK$3)=YEAR($B$8),MONTH(BK$3)=MONTH($B$8)),SUM('Продажи'!$D$26:'Продажи'!BJ$26),0)+'ОБЪЕКТЫ'!BK95</x:f>
      </x:c>
      <x:c r="BL14" s="117" t="n">
        <x:f>IF(AND(YEAR(BL$3)=YEAR($B$8),MONTH(BL$3)=MONTH($B$8)),SUM('Продажи'!$D$26:'Продажи'!BK$26),0)+'ОБЪЕКТЫ'!BL95</x:f>
      </x:c>
      <x:c r="BM14" s="117" t="n">
        <x:f>IF(AND(YEAR(BM$3)=YEAR($B$8),MONTH(BM$3)=MONTH($B$8)),SUM('Продажи'!$D$26:'Продажи'!BL$26),0)+'ОБЪЕКТЫ'!BM95</x:f>
      </x:c>
      <x:c r="BN14" s="117" t="n">
        <x:f>IF(AND(YEAR(BN$3)=YEAR($B$8),MONTH(BN$3)=MONTH($B$8)),SUM('Продажи'!$D$26:'Продажи'!BM$26),0)+'ОБЪЕКТЫ'!BN95</x:f>
      </x:c>
      <x:c r="BO14" s="117" t="n">
        <x:f>IF(AND(YEAR(BO$3)=YEAR($B$8),MONTH(BO$3)=MONTH($B$8)),SUM('Продажи'!$D$26:'Продажи'!BN$26),0)+'ОБЪЕКТЫ'!BO95</x:f>
      </x:c>
      <x:c r="BP14" s="117" t="n">
        <x:f>IF(AND(YEAR(BP$3)=YEAR($B$8),MONTH(BP$3)=MONTH($B$8)),SUM('Продажи'!$D$26:'Продажи'!BO$26),0)+'ОБЪЕКТЫ'!BP95</x:f>
      </x:c>
      <x:c r="BQ14" s="117" t="n">
        <x:f>IF(AND(YEAR(BQ$3)=YEAR($B$8),MONTH(BQ$3)=MONTH($B$8)),SUM('Продажи'!$D$26:'Продажи'!BP$26),0)+'ОБЪЕКТЫ'!BQ95</x:f>
      </x:c>
      <x:c r="BR14" s="117" t="n">
        <x:f>IF(AND(YEAR(BR$3)=YEAR($B$8),MONTH(BR$3)=MONTH($B$8)),SUM('Продажи'!$D$26:'Продажи'!BQ$26),0)+'ОБЪЕКТЫ'!BR95</x:f>
      </x:c>
      <x:c r="BS14" s="117" t="n">
        <x:f>IF(AND(YEAR(BS$3)=YEAR($B$8),MONTH(BS$3)=MONTH($B$8)),SUM('Продажи'!$D$26:'Продажи'!BR$26),0)+'ОБЪЕКТЫ'!BS95</x:f>
      </x:c>
      <x:c r="BT14" s="117" t="n">
        <x:f>IF(AND(YEAR(BT$3)=YEAR($B$8),MONTH(BT$3)=MONTH($B$8)),SUM('Продажи'!$D$26:'Продажи'!BS$26),0)+'ОБЪЕКТЫ'!BT95</x:f>
      </x:c>
      <x:c r="BU14" s="117" t="n">
        <x:f>IF(AND(YEAR(BU$3)=YEAR($B$8),MONTH(BU$3)=MONTH($B$8)),SUM('Продажи'!$D$26:'Продажи'!BT$26),0)+'ОБЪЕКТЫ'!BU95</x:f>
      </x:c>
      <x:c r="BV14" s="117" t="n">
        <x:f>IF(AND(YEAR(BV$3)=YEAR($B$8),MONTH(BV$3)=MONTH($B$8)),SUM('Продажи'!$D$26:'Продажи'!BU$26),0)+'ОБЪЕКТЫ'!BV95</x:f>
      </x:c>
      <x:c r="BW14" s="117" t="n">
        <x:f>IF(AND(YEAR(BW$3)=YEAR($B$8),MONTH(BW$3)=MONTH($B$8)),SUM('Продажи'!$D$26:'Продажи'!BV$26),0)+'ОБЪЕКТЫ'!BW95</x:f>
      </x:c>
      <x:c r="BX14" s="117" t="n">
        <x:f>IF(AND(YEAR(BX$3)=YEAR($B$8),MONTH(BX$3)=MONTH($B$8)),SUM('Продажи'!$D$26:'Продажи'!BW$26),0)+'ОБЪЕКТЫ'!BX95</x:f>
      </x:c>
      <x:c r="BY14" s="117" t="n">
        <x:f>IF(AND(YEAR(BY$3)=YEAR($B$8),MONTH(BY$3)=MONTH($B$8)),SUM('Продажи'!$D$26:'Продажи'!BX$26),0)+'ОБЪЕКТЫ'!BY95</x:f>
      </x:c>
      <x:c r="BZ14" s="117" t="n">
        <x:f>IF(AND(YEAR(BZ$3)=YEAR($B$8),MONTH(BZ$3)=MONTH($B$8)),SUM('Продажи'!$D$26:'Продажи'!BY$26),0)+'ОБЪЕКТЫ'!BZ95</x:f>
      </x:c>
      <x:c r="CA14" s="117" t="n">
        <x:f>IF(AND(YEAR(CA$3)=YEAR($B$8),MONTH(CA$3)=MONTH($B$8)),SUM('Продажи'!$D$26:'Продажи'!BZ$26),0)+'ОБЪЕКТЫ'!CA95</x:f>
      </x:c>
      <x:c r="CB14" s="117" t="n">
        <x:f>IF(AND(YEAR(CB$3)=YEAR($B$8),MONTH(CB$3)=MONTH($B$8)),SUM('Продажи'!$D$26:'Продажи'!CA$26),0)+'ОБЪЕКТЫ'!CB95</x:f>
      </x:c>
      <x:c r="CC14" s="117" t="n">
        <x:f>IF(AND(YEAR(CC$3)=YEAR($B$8),MONTH(CC$3)=MONTH($B$8)),SUM('Продажи'!$D$26:'Продажи'!CB$26),0)+'ОБЪЕКТЫ'!CC95</x:f>
      </x:c>
      <x:c r="CD14" s="117" t="n">
        <x:f>IF(AND(YEAR(CD$3)=YEAR($B$8),MONTH(CD$3)=MONTH($B$8)),SUM('Продажи'!$D$26:'Продажи'!CC$26),0)+'ОБЪЕКТЫ'!CD95</x:f>
      </x:c>
      <x:c r="CE14" s="117" t="n">
        <x:f>IF(AND(YEAR(CE$3)=YEAR($B$8),MONTH(CE$3)=MONTH($B$8)),SUM('Продажи'!$D$26:'Продажи'!CD$26),0)+'ОБЪЕКТЫ'!CE95</x:f>
      </x:c>
      <x:c r="CF14" s="117" t="n">
        <x:f>IF(AND(YEAR(CF$3)=YEAR($B$8),MONTH(CF$3)=MONTH($B$8)),SUM('Продажи'!$D$26:'Продажи'!CE$26),0)+'ОБЪЕКТЫ'!CF95</x:f>
      </x:c>
      <x:c r="CG14" s="117" t="n">
        <x:f>IF(AND(YEAR(CG$3)=YEAR($B$8),MONTH(CG$3)=MONTH($B$8)),SUM('Продажи'!$D$26:'Продажи'!CF$26),0)+'ОБЪЕКТЫ'!CG95</x:f>
      </x:c>
      <x:c r="CH14" s="117" t="n">
        <x:f>IF(AND(YEAR(CH$3)=YEAR($B$8),MONTH(CH$3)=MONTH($B$8)),SUM('Продажи'!$D$26:'Продажи'!CG$26),0)+'ОБЪЕКТЫ'!CH95</x:f>
      </x:c>
      <x:c r="CI14" s="117" t="n">
        <x:f>IF(AND(YEAR(CI$3)=YEAR($B$8),MONTH(CI$3)=MONTH($B$8)),SUM('Продажи'!$D$26:'Продажи'!CH$26),0)+'ОБЪЕКТЫ'!CI95</x:f>
      </x:c>
      <x:c r="CJ14" s="117" t="n">
        <x:f>IF(AND(YEAR(CJ$3)=YEAR($B$8),MONTH(CJ$3)=MONTH($B$8)),SUM('Продажи'!$D$26:'Продажи'!CI$26),0)+'ОБЪЕКТЫ'!CJ95</x:f>
      </x:c>
      <x:c r="CK14" s="117" t="n">
        <x:f>IF(AND(YEAR(CK$3)=YEAR($B$8),MONTH(CK$3)=MONTH($B$8)),SUM('Продажи'!$D$26:'Продажи'!CJ$26),0)+'ОБЪЕКТЫ'!CK95</x:f>
      </x:c>
      <x:c r="CL14" s="117" t="n">
        <x:f>IF(AND(YEAR(CL$3)=YEAR($B$8),MONTH(CL$3)=MONTH($B$8)),SUM('Продажи'!$D$26:'Продажи'!CK$26),0)+'ОБЪЕКТЫ'!CL95</x:f>
      </x:c>
      <x:c r="CM14" s="117" t="n">
        <x:f>IF(AND(YEAR(CM$3)=YEAR($B$8),MONTH(CM$3)=MONTH($B$8)),SUM('Продажи'!$D$26:'Продажи'!CL$26),0)+'ОБЪЕКТЫ'!CM95</x:f>
      </x:c>
      <x:c r="CN14" s="117" t="n">
        <x:f>IF(AND(YEAR(CN$3)=YEAR($B$8),MONTH(CN$3)=MONTH($B$8)),SUM('Продажи'!$D$26:'Продажи'!CM$26),0)+'ОБЪЕКТЫ'!CN95</x:f>
      </x:c>
      <x:c r="CO14" s="117" t="n">
        <x:f>IF(AND(YEAR(CO$3)=YEAR($B$8),MONTH(CO$3)=MONTH($B$8)),SUM('Продажи'!$D$26:'Продажи'!CN$26),0)+'ОБЪЕКТЫ'!CO95</x:f>
      </x:c>
      <x:c r="CP14" s="117" t="n">
        <x:f>IF(AND(YEAR(CP$3)=YEAR($B$8),MONTH(CP$3)=MONTH($B$8)),SUM('Продажи'!$D$26:'Продажи'!CO$26),0)+'ОБЪЕКТЫ'!CP95</x:f>
      </x:c>
      <x:c r="CQ14" s="117" t="n">
        <x:f>IF(AND(YEAR(CQ$3)=YEAR($B$8),MONTH(CQ$3)=MONTH($B$8)),SUM('Продажи'!$D$26:'Продажи'!CP$26),0)+'ОБЪЕКТЫ'!CQ95</x:f>
      </x:c>
      <x:c r="CR14" s="117" t="n">
        <x:f>IF(AND(YEAR(CR$3)=YEAR($B$8),MONTH(CR$3)=MONTH($B$8)),SUM('Продажи'!$D$26:'Продажи'!CQ$26),0)+'ОБЪЕКТЫ'!CR95</x:f>
      </x:c>
      <x:c r="CS14" s="117" t="n">
        <x:f>IF(AND(YEAR(CS$3)=YEAR($B$8),MONTH(CS$3)=MONTH($B$8)),SUM('Продажи'!$D$26:'Продажи'!CR$26),0)+'ОБЪЕКТЫ'!CS95</x:f>
      </x:c>
      <x:c r="CT14" s="117" t="n">
        <x:f>IF(AND(YEAR(CT$3)=YEAR($B$8),MONTH(CT$3)=MONTH($B$8)),SUM('Продажи'!$D$26:'Продажи'!CS$26),0)+'ОБЪЕКТЫ'!CT95</x:f>
      </x:c>
      <x:c r="CU14" s="117" t="n">
        <x:f>IF(AND(YEAR(CU$3)=YEAR($B$8),MONTH(CU$3)=MONTH($B$8)),SUM('Продажи'!$D$26:'Продажи'!CT$26),0)+'ОБЪЕКТЫ'!CU95</x:f>
      </x:c>
      <x:c r="CV14" s="117" t="n">
        <x:f>IF(AND(YEAR(CV$3)=YEAR($B$8),MONTH(CV$3)=MONTH($B$8)),SUM('Продажи'!$D$26:'Продажи'!CU$26),0)+'ОБЪЕКТЫ'!CV95</x:f>
      </x:c>
      <x:c r="CW14" s="117" t="n">
        <x:f>IF(AND(YEAR(CW$3)=YEAR($B$8),MONTH(CW$3)=MONTH($B$8)),SUM('Продажи'!$D$26:'Продажи'!CV$26),0)+'ОБЪЕКТЫ'!CW95</x:f>
      </x:c>
      <x:c r="CX14" s="117" t="n">
        <x:f>IF(AND(YEAR(CX$3)=YEAR($B$8),MONTH(CX$3)=MONTH($B$8)),SUM('Продажи'!$D$26:'Продажи'!CW$26),0)+'ОБЪЕКТЫ'!CX95</x:f>
      </x:c>
      <x:c r="CY14" s="117" t="n">
        <x:f>IF(AND(YEAR(CY$3)=YEAR($B$8),MONTH(CY$3)=MONTH($B$8)),SUM('Продажи'!$D$26:'Продажи'!CX$26),0)+'ОБЪЕКТЫ'!CY95</x:f>
      </x:c>
      <x:c r="CZ14" s="117" t="n">
        <x:f>IF(AND(YEAR(CZ$3)=YEAR($B$8),MONTH(CZ$3)=MONTH($B$8)),SUM('Продажи'!$D$26:'Продажи'!CY$26),0)+'ОБЪЕКТЫ'!CZ95</x:f>
      </x:c>
      <x:c r="DA14" s="117" t="n">
        <x:f>IF(AND(YEAR(DA$3)=YEAR($B$8),MONTH(DA$3)=MONTH($B$8)),SUM('Продажи'!$D$26:'Продажи'!CZ$26),0)+'ОБЪЕКТЫ'!DA95</x:f>
      </x:c>
      <x:c r="DB14" s="117" t="n">
        <x:f>IF(AND(YEAR(DB$3)=YEAR($B$8),MONTH(DB$3)=MONTH($B$8)),SUM('Продажи'!$D$26:'Продажи'!DA$26),0)+'ОБЪЕКТЫ'!DB95</x:f>
      </x:c>
      <x:c r="DC14" s="117" t="n">
        <x:f>IF(AND(YEAR(DC$3)=YEAR($B$8),MONTH(DC$3)=MONTH($B$8)),SUM('Продажи'!$D$26:'Продажи'!DB$26),0)+'ОБЪЕКТЫ'!DC95</x:f>
      </x:c>
      <x:c r="DD14" s="117" t="n">
        <x:f>IF(AND(YEAR(DD$3)=YEAR($B$8),MONTH(DD$3)=MONTH($B$8)),SUM('Продажи'!$D$26:'Продажи'!DC$26),0)+'ОБЪЕКТЫ'!DD95</x:f>
      </x:c>
      <x:c r="DE14" s="117" t="n">
        <x:f>IF(AND(YEAR(DE$3)=YEAR($B$8),MONTH(DE$3)=MONTH($B$8)),SUM('Продажи'!$D$26:'Продажи'!DD$26),0)+'ОБЪЕКТЫ'!DE95</x:f>
      </x:c>
      <x:c r="DF14" s="117" t="n">
        <x:f>IF(AND(YEAR(DF$3)=YEAR($B$8),MONTH(DF$3)=MONTH($B$8)),SUM('Продажи'!$D$26:'Продажи'!DE$26),0)+'ОБЪЕКТЫ'!DF95</x:f>
      </x:c>
      <x:c r="DG14" s="117" t="n">
        <x:f>IF(AND(YEAR(DG$3)=YEAR($B$8),MONTH(DG$3)=MONTH($B$8)),SUM('Продажи'!$D$26:'Продажи'!DF$26),0)+'ОБЪЕКТЫ'!DG95</x:f>
      </x:c>
      <x:c r="DH14" s="117" t="n">
        <x:f>IF(AND(YEAR(DH$3)=YEAR($B$8),MONTH(DH$3)=MONTH($B$8)),SUM('Продажи'!$D$26:'Продажи'!DG$26),0)+'ОБЪЕКТЫ'!DH95</x:f>
      </x:c>
      <x:c r="DI14" s="117" t="n">
        <x:f>IF(AND(YEAR(DI$3)=YEAR($B$8),MONTH(DI$3)=MONTH($B$8)),SUM('Продажи'!$D$26:'Продажи'!DH$26),0)+'ОБЪЕКТЫ'!DI95</x:f>
      </x:c>
      <x:c r="DJ14" s="117" t="n">
        <x:f>IF(AND(YEAR(DJ$3)=YEAR($B$8),MONTH(DJ$3)=MONTH($B$8)),SUM('Продажи'!$D$26:'Продажи'!DI$26),0)+'ОБЪЕКТЫ'!DJ95</x:f>
      </x:c>
      <x:c r="DK14" s="117" t="n">
        <x:f>IF(AND(YEAR(DK$3)=YEAR($B$8),MONTH(DK$3)=MONTH($B$8)),SUM('Продажи'!$D$26:'Продажи'!DJ$26),0)+'ОБЪЕКТЫ'!DK95</x:f>
      </x:c>
      <x:c r="DL14" s="117" t="n">
        <x:f>IF(AND(YEAR(DL$3)=YEAR($B$8),MONTH(DL$3)=MONTH($B$8)),SUM('Продажи'!$D$26:'Продажи'!DK$26),0)+'ОБЪЕКТЫ'!DL95</x:f>
      </x:c>
      <x:c r="DM14" s="117" t="n">
        <x:f>IF(AND(YEAR(DM$3)=YEAR($B$8),MONTH(DM$3)=MONTH($B$8)),SUM('Продажи'!$D$26:'Продажи'!DL$26),0)+'ОБЪЕКТЫ'!DM95</x:f>
      </x:c>
      <x:c r="DN14" s="117" t="n">
        <x:f>IF(AND(YEAR(DN$3)=YEAR($B$8),MONTH(DN$3)=MONTH($B$8)),SUM('Продажи'!$D$26:'Продажи'!DM$26),0)+'ОБЪЕКТЫ'!DN95</x:f>
      </x:c>
      <x:c r="DO14" s="117" t="n">
        <x:f>IF(AND(YEAR(DO$3)=YEAR($B$8),MONTH(DO$3)=MONTH($B$8)),SUM('Продажи'!$D$26:'Продажи'!DN$26),0)+'ОБЪЕКТЫ'!DO95</x:f>
      </x:c>
      <x:c r="DP14" s="117" t="n">
        <x:f>IF(AND(YEAR(DP$3)=YEAR($B$8),MONTH(DP$3)=MONTH($B$8)),SUM('Продажи'!$D$26:'Продажи'!DO$26),0)+'ОБЪЕКТЫ'!DP95</x:f>
      </x:c>
      <x:c r="DQ14" s="117" t="n">
        <x:f>IF(AND(YEAR(DQ$3)=YEAR($B$8),MONTH(DQ$3)=MONTH($B$8)),SUM('Продажи'!$D$26:'Продажи'!DP$26),0)+'ОБЪЕКТЫ'!DQ95</x:f>
      </x:c>
      <x:c r="DR14" s="117" t="n">
        <x:f>IF(AND(YEAR(DR$3)=YEAR($B$8),MONTH(DR$3)=MONTH($B$8)),SUM('Продажи'!$D$26:'Продажи'!DQ$26),0)+'ОБЪЕКТЫ'!DR95</x:f>
      </x:c>
      <x:c r="DS14" s="117" t="n">
        <x:f>IF(AND(YEAR(DS$3)=YEAR($B$8),MONTH(DS$3)=MONTH($B$8)),SUM('Продажи'!$D$26:'Продажи'!DR$26),0)+'ОБЪЕКТЫ'!DS95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'CAPEX'!D32</x:f>
      </x:c>
      <x:c r="E17" s="117" t="n">
        <x:f>'CAPEX'!E32</x:f>
      </x:c>
      <x:c r="F17" s="117" t="n">
        <x:f>'CAPEX'!F32</x:f>
      </x:c>
      <x:c r="G17" s="117" t="n">
        <x:f>'CAPEX'!G32</x:f>
      </x:c>
      <x:c r="H17" s="117" t="n">
        <x:f>'CAPEX'!H32</x:f>
      </x:c>
      <x:c r="I17" s="117" t="n">
        <x:f>'CAPEX'!I32</x:f>
      </x:c>
      <x:c r="J17" s="117" t="n">
        <x:f>'CAPEX'!J32</x:f>
      </x:c>
      <x:c r="K17" s="117" t="n">
        <x:f>'CAPEX'!K32</x:f>
      </x:c>
      <x:c r="L17" s="117" t="n">
        <x:f>'CAPEX'!L32</x:f>
      </x:c>
      <x:c r="M17" s="117" t="n">
        <x:f>'CAPEX'!M32</x:f>
      </x:c>
      <x:c r="N17" s="117" t="n">
        <x:f>'CAPEX'!N32</x:f>
      </x:c>
      <x:c r="O17" s="117" t="n">
        <x:f>'CAPEX'!O32</x:f>
      </x:c>
      <x:c r="P17" s="117" t="n">
        <x:f>'CAPEX'!P32</x:f>
      </x:c>
      <x:c r="Q17" s="117" t="n">
        <x:f>'CAPEX'!Q32</x:f>
      </x:c>
      <x:c r="R17" s="117" t="n">
        <x:f>'CAPEX'!R32</x:f>
      </x:c>
      <x:c r="S17" s="117" t="n">
        <x:f>'CAPEX'!S32</x:f>
      </x:c>
      <x:c r="T17" s="117" t="n">
        <x:f>'CAPEX'!T32</x:f>
      </x:c>
      <x:c r="U17" s="117" t="n">
        <x:f>'CAPEX'!U32</x:f>
      </x:c>
      <x:c r="V17" s="117" t="n">
        <x:f>'CAPEX'!V32</x:f>
      </x:c>
      <x:c r="W17" s="117" t="n">
        <x:f>'CAPEX'!W32</x:f>
      </x:c>
      <x:c r="X17" s="117" t="n">
        <x:f>'CAPEX'!X32</x:f>
      </x:c>
      <x:c r="Y17" s="117" t="n">
        <x:f>'CAPEX'!Y32</x:f>
      </x:c>
      <x:c r="Z17" s="117" t="n">
        <x:f>'CAPEX'!Z32</x:f>
      </x:c>
      <x:c r="AA17" s="117" t="n">
        <x:f>'CAPEX'!AA32</x:f>
      </x:c>
      <x:c r="AB17" s="117" t="n">
        <x:f>'CAPEX'!AB32</x:f>
      </x:c>
      <x:c r="AC17" s="117" t="n">
        <x:f>'CAPEX'!AC32</x:f>
      </x:c>
      <x:c r="AD17" s="117" t="n">
        <x:f>'CAPEX'!AD32</x:f>
      </x:c>
      <x:c r="AE17" s="117" t="n">
        <x:f>'CAPEX'!AE32</x:f>
      </x:c>
      <x:c r="AF17" s="117" t="n">
        <x:f>'CAPEX'!AF32</x:f>
      </x:c>
      <x:c r="AG17" s="117" t="n">
        <x:f>'CAPEX'!AG32</x:f>
      </x:c>
      <x:c r="AH17" s="117" t="n">
        <x:f>'CAPEX'!AH32</x:f>
      </x:c>
      <x:c r="AI17" s="117" t="n">
        <x:f>'CAPEX'!AI32</x:f>
      </x:c>
      <x:c r="AJ17" s="117" t="n">
        <x:f>'CAPEX'!AJ32</x:f>
      </x:c>
      <x:c r="AK17" s="117" t="n">
        <x:f>'CAPEX'!AK32</x:f>
      </x:c>
      <x:c r="AL17" s="117" t="n">
        <x:f>'CAPEX'!AL32</x:f>
      </x:c>
      <x:c r="AM17" s="117" t="n">
        <x:f>'CAPEX'!AM32</x:f>
      </x:c>
      <x:c r="AN17" s="117" t="n">
        <x:f>'CAPEX'!AN32</x:f>
      </x:c>
      <x:c r="AO17" s="117" t="n">
        <x:f>'CAPEX'!AO32</x:f>
      </x:c>
      <x:c r="AP17" s="117" t="n">
        <x:f>'CAPEX'!AP32</x:f>
      </x:c>
      <x:c r="AQ17" s="117" t="n">
        <x:f>'CAPEX'!AQ32</x:f>
      </x:c>
      <x:c r="AR17" s="117" t="n">
        <x:f>'CAPEX'!AR32</x:f>
      </x:c>
      <x:c r="AS17" s="117" t="n">
        <x:f>'CAPEX'!AS32</x:f>
      </x:c>
      <x:c r="AT17" s="117" t="n">
        <x:f>'CAPEX'!AT32</x:f>
      </x:c>
      <x:c r="AU17" s="117" t="n">
        <x:f>'CAPEX'!AU32</x:f>
      </x:c>
      <x:c r="AV17" s="117" t="n">
        <x:f>'CAPEX'!AV32</x:f>
      </x:c>
      <x:c r="AW17" s="117" t="n">
        <x:f>'CAPEX'!AW32</x:f>
      </x:c>
      <x:c r="AX17" s="117" t="n">
        <x:f>'CAPEX'!AX32</x:f>
      </x:c>
      <x:c r="AY17" s="117" t="n">
        <x:f>'CAPEX'!AY32</x:f>
      </x:c>
      <x:c r="AZ17" s="117" t="n">
        <x:f>'CAPEX'!AZ32</x:f>
      </x:c>
      <x:c r="BA17" s="117" t="n">
        <x:f>'CAPEX'!BA32</x:f>
      </x:c>
      <x:c r="BB17" s="117" t="n">
        <x:f>'CAPEX'!BB32</x:f>
      </x:c>
      <x:c r="BC17" s="117" t="n">
        <x:f>'CAPEX'!BC32</x:f>
      </x:c>
      <x:c r="BD17" s="117" t="n">
        <x:f>'CAPEX'!BD32</x:f>
      </x:c>
      <x:c r="BE17" s="117" t="n">
        <x:f>'CAPEX'!BE32</x:f>
      </x:c>
      <x:c r="BF17" s="117" t="n">
        <x:f>'CAPEX'!BF32</x:f>
      </x:c>
      <x:c r="BG17" s="117" t="n">
        <x:f>'CAPEX'!BG32</x:f>
      </x:c>
      <x:c r="BH17" s="117" t="n">
        <x:f>'CAPEX'!BH32</x:f>
      </x:c>
      <x:c r="BI17" s="117" t="n">
        <x:f>'CAPEX'!BI32</x:f>
      </x:c>
      <x:c r="BJ17" s="117" t="n">
        <x:f>'CAPEX'!BJ32</x:f>
      </x:c>
      <x:c r="BK17" s="117" t="n">
        <x:f>'CAPEX'!BK32</x:f>
      </x:c>
      <x:c r="BL17" s="117" t="n">
        <x:f>'CAPEX'!BL32</x:f>
      </x:c>
      <x:c r="BM17" s="117" t="n">
        <x:f>'CAPEX'!BM32</x:f>
      </x:c>
      <x:c r="BN17" s="117" t="n">
        <x:f>'CAPEX'!BN32</x:f>
      </x:c>
      <x:c r="BO17" s="117" t="n">
        <x:f>'CAPEX'!BO32</x:f>
      </x:c>
      <x:c r="BP17" s="117" t="n">
        <x:f>'CAPEX'!BP32</x:f>
      </x:c>
      <x:c r="BQ17" s="117" t="n">
        <x:f>'CAPEX'!BQ32</x:f>
      </x:c>
      <x:c r="BR17" s="117" t="n">
        <x:f>'CAPEX'!BR32</x:f>
      </x:c>
      <x:c r="BS17" s="117" t="n">
        <x:f>'CAPEX'!BS32</x:f>
      </x:c>
      <x:c r="BT17" s="117" t="n">
        <x:f>'CAPEX'!BT32</x:f>
      </x:c>
      <x:c r="BU17" s="117" t="n">
        <x:f>'CAPEX'!BU32</x:f>
      </x:c>
      <x:c r="BV17" s="117" t="n">
        <x:f>'CAPEX'!BV32</x:f>
      </x:c>
      <x:c r="BW17" s="117" t="n">
        <x:f>'CAPEX'!BW32</x:f>
      </x:c>
      <x:c r="BX17" s="117" t="n">
        <x:f>'CAPEX'!BX32</x:f>
      </x:c>
      <x:c r="BY17" s="117" t="n">
        <x:f>'CAPEX'!BY32</x:f>
      </x:c>
      <x:c r="BZ17" s="117" t="n">
        <x:f>'CAPEX'!BZ32</x:f>
      </x:c>
      <x:c r="CA17" s="117" t="n">
        <x:f>'CAPEX'!CA32</x:f>
      </x:c>
      <x:c r="CB17" s="117" t="n">
        <x:f>'CAPEX'!CB32</x:f>
      </x:c>
      <x:c r="CC17" s="117" t="n">
        <x:f>'CAPEX'!CC32</x:f>
      </x:c>
      <x:c r="CD17" s="117" t="n">
        <x:f>'CAPEX'!CD32</x:f>
      </x:c>
      <x:c r="CE17" s="117" t="n">
        <x:f>'CAPEX'!CE32</x:f>
      </x:c>
      <x:c r="CF17" s="117" t="n">
        <x:f>'CAPEX'!CF32</x:f>
      </x:c>
      <x:c r="CG17" s="117" t="n">
        <x:f>'CAPEX'!CG32</x:f>
      </x:c>
      <x:c r="CH17" s="117" t="n">
        <x:f>'CAPEX'!CH32</x:f>
      </x:c>
      <x:c r="CI17" s="117" t="n">
        <x:f>'CAPEX'!CI32</x:f>
      </x:c>
      <x:c r="CJ17" s="117" t="n">
        <x:f>'CAPEX'!CJ32</x:f>
      </x:c>
      <x:c r="CK17" s="117" t="n">
        <x:f>'CAPEX'!CK32</x:f>
      </x:c>
      <x:c r="CL17" s="117" t="n">
        <x:f>'CAPEX'!CL32</x:f>
      </x:c>
      <x:c r="CM17" s="117" t="n">
        <x:f>'CAPEX'!CM32</x:f>
      </x:c>
      <x:c r="CN17" s="117" t="n">
        <x:f>'CAPEX'!CN32</x:f>
      </x:c>
      <x:c r="CO17" s="117" t="n">
        <x:f>'CAPEX'!CO32</x:f>
      </x:c>
      <x:c r="CP17" s="117" t="n">
        <x:f>'CAPEX'!CP32</x:f>
      </x:c>
      <x:c r="CQ17" s="117" t="n">
        <x:f>'CAPEX'!CQ32</x:f>
      </x:c>
      <x:c r="CR17" s="117" t="n">
        <x:f>'CAPEX'!CR32</x:f>
      </x:c>
      <x:c r="CS17" s="117" t="n">
        <x:f>'CAPEX'!CS32</x:f>
      </x:c>
      <x:c r="CT17" s="117" t="n">
        <x:f>'CAPEX'!CT32</x:f>
      </x:c>
      <x:c r="CU17" s="117" t="n">
        <x:f>'CAPEX'!CU32</x:f>
      </x:c>
      <x:c r="CV17" s="117" t="n">
        <x:f>'CAPEX'!CV32</x:f>
      </x:c>
      <x:c r="CW17" s="117" t="n">
        <x:f>'CAPEX'!CW32</x:f>
      </x:c>
      <x:c r="CX17" s="117" t="n">
        <x:f>'CAPEX'!CX32</x:f>
      </x:c>
      <x:c r="CY17" s="117" t="n">
        <x:f>'CAPEX'!CY32</x:f>
      </x:c>
      <x:c r="CZ17" s="117" t="n">
        <x:f>'CAPEX'!CZ32</x:f>
      </x:c>
      <x:c r="DA17" s="117" t="n">
        <x:f>'CAPEX'!DA32</x:f>
      </x:c>
      <x:c r="DB17" s="117" t="n">
        <x:f>'CAPEX'!DB32</x:f>
      </x:c>
      <x:c r="DC17" s="117" t="n">
        <x:f>'CAPEX'!DC32</x:f>
      </x:c>
      <x:c r="DD17" s="117" t="n">
        <x:f>'CAPEX'!DD32</x:f>
      </x:c>
      <x:c r="DE17" s="117" t="n">
        <x:f>'CAPEX'!DE32</x:f>
      </x:c>
      <x:c r="DF17" s="117" t="n">
        <x:f>'CAPEX'!DF32</x:f>
      </x:c>
      <x:c r="DG17" s="117" t="n">
        <x:f>'CAPEX'!DG32</x:f>
      </x:c>
      <x:c r="DH17" s="117" t="n">
        <x:f>'CAPEX'!DH32</x:f>
      </x:c>
      <x:c r="DI17" s="117" t="n">
        <x:f>'CAPEX'!DI32</x:f>
      </x:c>
      <x:c r="DJ17" s="117" t="n">
        <x:f>'CAPEX'!DJ32</x:f>
      </x:c>
      <x:c r="DK17" s="117" t="n">
        <x:f>'CAPEX'!DK32</x:f>
      </x:c>
      <x:c r="DL17" s="117" t="n">
        <x:f>'CAPEX'!DL32</x:f>
      </x:c>
      <x:c r="DM17" s="117" t="n">
        <x:f>'CAPEX'!DM32</x:f>
      </x:c>
      <x:c r="DN17" s="117" t="n">
        <x:f>'CAPEX'!DN32</x:f>
      </x:c>
      <x:c r="DO17" s="117" t="n">
        <x:f>'CAPEX'!DO32</x:f>
      </x:c>
      <x:c r="DP17" s="117" t="n">
        <x:f>'CAPEX'!DP32</x:f>
      </x:c>
      <x:c r="DQ17" s="117" t="n">
        <x:f>'CAPEX'!DQ32</x:f>
      </x:c>
      <x:c r="DR17" s="117" t="n">
        <x:f>'CAPEX'!DR32</x:f>
      </x:c>
      <x:c r="DS17" s="117" t="n">
        <x:f>'CAPEX'!DS32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'CAPEX'!D33</x:f>
      </x:c>
      <x:c r="E18" s="117" t="n">
        <x:f>'CAPEX'!E33</x:f>
      </x:c>
      <x:c r="F18" s="117" t="n">
        <x:f>'CAPEX'!F33</x:f>
      </x:c>
      <x:c r="G18" s="117" t="n">
        <x:f>'CAPEX'!G33</x:f>
      </x:c>
      <x:c r="H18" s="117" t="n">
        <x:f>'CAPEX'!H33</x:f>
      </x:c>
      <x:c r="I18" s="117" t="n">
        <x:f>'CAPEX'!I33</x:f>
      </x:c>
      <x:c r="J18" s="117" t="n">
        <x:f>'CAPEX'!J33</x:f>
      </x:c>
      <x:c r="K18" s="117" t="n">
        <x:f>'CAPEX'!K33</x:f>
      </x:c>
      <x:c r="L18" s="117" t="n">
        <x:f>'CAPEX'!L33</x:f>
      </x:c>
      <x:c r="M18" s="117" t="n">
        <x:f>'CAPEX'!M33</x:f>
      </x:c>
      <x:c r="N18" s="117" t="n">
        <x:f>'CAPEX'!N33</x:f>
      </x:c>
      <x:c r="O18" s="117" t="n">
        <x:f>'CAPEX'!O33</x:f>
      </x:c>
      <x:c r="P18" s="117" t="n">
        <x:f>'CAPEX'!P33</x:f>
      </x:c>
      <x:c r="Q18" s="117" t="n">
        <x:f>'CAPEX'!Q33</x:f>
      </x:c>
      <x:c r="R18" s="117" t="n">
        <x:f>'CAPEX'!R33</x:f>
      </x:c>
      <x:c r="S18" s="117" t="n">
        <x:f>'CAPEX'!S33</x:f>
      </x:c>
      <x:c r="T18" s="117" t="n">
        <x:f>'CAPEX'!T33</x:f>
      </x:c>
      <x:c r="U18" s="117" t="n">
        <x:f>'CAPEX'!U33</x:f>
      </x:c>
      <x:c r="V18" s="117" t="n">
        <x:f>'CAPEX'!V33</x:f>
      </x:c>
      <x:c r="W18" s="117" t="n">
        <x:f>'CAPEX'!W33</x:f>
      </x:c>
      <x:c r="X18" s="117" t="n">
        <x:f>'CAPEX'!X33</x:f>
      </x:c>
      <x:c r="Y18" s="117" t="n">
        <x:f>'CAPEX'!Y33</x:f>
      </x:c>
      <x:c r="Z18" s="117" t="n">
        <x:f>'CAPEX'!Z33</x:f>
      </x:c>
      <x:c r="AA18" s="117" t="n">
        <x:f>'CAPEX'!AA33</x:f>
      </x:c>
      <x:c r="AB18" s="117" t="n">
        <x:f>'CAPEX'!AB33</x:f>
      </x:c>
      <x:c r="AC18" s="117" t="n">
        <x:f>'CAPEX'!AC33</x:f>
      </x:c>
      <x:c r="AD18" s="117" t="n">
        <x:f>'CAPEX'!AD33</x:f>
      </x:c>
      <x:c r="AE18" s="117" t="n">
        <x:f>'CAPEX'!AE33</x:f>
      </x:c>
      <x:c r="AF18" s="117" t="n">
        <x:f>'CAPEX'!AF33</x:f>
      </x:c>
      <x:c r="AG18" s="117" t="n">
        <x:f>'CAPEX'!AG33</x:f>
      </x:c>
      <x:c r="AH18" s="117" t="n">
        <x:f>'CAPEX'!AH33</x:f>
      </x:c>
      <x:c r="AI18" s="117" t="n">
        <x:f>'CAPEX'!AI33</x:f>
      </x:c>
      <x:c r="AJ18" s="117" t="n">
        <x:f>'CAPEX'!AJ33</x:f>
      </x:c>
      <x:c r="AK18" s="117" t="n">
        <x:f>'CAPEX'!AK33</x:f>
      </x:c>
      <x:c r="AL18" s="117" t="n">
        <x:f>'CAPEX'!AL33</x:f>
      </x:c>
      <x:c r="AM18" s="117" t="n">
        <x:f>'CAPEX'!AM33</x:f>
      </x:c>
      <x:c r="AN18" s="117" t="n">
        <x:f>'CAPEX'!AN33</x:f>
      </x:c>
      <x:c r="AO18" s="117" t="n">
        <x:f>'CAPEX'!AO33</x:f>
      </x:c>
      <x:c r="AP18" s="117" t="n">
        <x:f>'CAPEX'!AP33</x:f>
      </x:c>
      <x:c r="AQ18" s="117" t="n">
        <x:f>'CAPEX'!AQ33</x:f>
      </x:c>
      <x:c r="AR18" s="117" t="n">
        <x:f>'CAPEX'!AR33</x:f>
      </x:c>
      <x:c r="AS18" s="117" t="n">
        <x:f>'CAPEX'!AS33</x:f>
      </x:c>
      <x:c r="AT18" s="117" t="n">
        <x:f>'CAPEX'!AT33</x:f>
      </x:c>
      <x:c r="AU18" s="117" t="n">
        <x:f>'CAPEX'!AU33</x:f>
      </x:c>
      <x:c r="AV18" s="117" t="n">
        <x:f>'CAPEX'!AV33</x:f>
      </x:c>
      <x:c r="AW18" s="117" t="n">
        <x:f>'CAPEX'!AW33</x:f>
      </x:c>
      <x:c r="AX18" s="117" t="n">
        <x:f>'CAPEX'!AX33</x:f>
      </x:c>
      <x:c r="AY18" s="117" t="n">
        <x:f>'CAPEX'!AY33</x:f>
      </x:c>
      <x:c r="AZ18" s="117" t="n">
        <x:f>'CAPEX'!AZ33</x:f>
      </x:c>
      <x:c r="BA18" s="117" t="n">
        <x:f>'CAPEX'!BA33</x:f>
      </x:c>
      <x:c r="BB18" s="117" t="n">
        <x:f>'CAPEX'!BB33</x:f>
      </x:c>
      <x:c r="BC18" s="117" t="n">
        <x:f>'CAPEX'!BC33</x:f>
      </x:c>
      <x:c r="BD18" s="117" t="n">
        <x:f>'CAPEX'!BD33</x:f>
      </x:c>
      <x:c r="BE18" s="117" t="n">
        <x:f>'CAPEX'!BE33</x:f>
      </x:c>
      <x:c r="BF18" s="117" t="n">
        <x:f>'CAPEX'!BF33</x:f>
      </x:c>
      <x:c r="BG18" s="117" t="n">
        <x:f>'CAPEX'!BG33</x:f>
      </x:c>
      <x:c r="BH18" s="117" t="n">
        <x:f>'CAPEX'!BH33</x:f>
      </x:c>
      <x:c r="BI18" s="117" t="n">
        <x:f>'CAPEX'!BI33</x:f>
      </x:c>
      <x:c r="BJ18" s="117" t="n">
        <x:f>'CAPEX'!BJ33</x:f>
      </x:c>
      <x:c r="BK18" s="117" t="n">
        <x:f>'CAPEX'!BK33</x:f>
      </x:c>
      <x:c r="BL18" s="117" t="n">
        <x:f>'CAPEX'!BL33</x:f>
      </x:c>
      <x:c r="BM18" s="117" t="n">
        <x:f>'CAPEX'!BM33</x:f>
      </x:c>
      <x:c r="BN18" s="117" t="n">
        <x:f>'CAPEX'!BN33</x:f>
      </x:c>
      <x:c r="BO18" s="117" t="n">
        <x:f>'CAPEX'!BO33</x:f>
      </x:c>
      <x:c r="BP18" s="117" t="n">
        <x:f>'CAPEX'!BP33</x:f>
      </x:c>
      <x:c r="BQ18" s="117" t="n">
        <x:f>'CAPEX'!BQ33</x:f>
      </x:c>
      <x:c r="BR18" s="117" t="n">
        <x:f>'CAPEX'!BR33</x:f>
      </x:c>
      <x:c r="BS18" s="117" t="n">
        <x:f>'CAPEX'!BS33</x:f>
      </x:c>
      <x:c r="BT18" s="117" t="n">
        <x:f>'CAPEX'!BT33</x:f>
      </x:c>
      <x:c r="BU18" s="117" t="n">
        <x:f>'CAPEX'!BU33</x:f>
      </x:c>
      <x:c r="BV18" s="117" t="n">
        <x:f>'CAPEX'!BV33</x:f>
      </x:c>
      <x:c r="BW18" s="117" t="n">
        <x:f>'CAPEX'!BW33</x:f>
      </x:c>
      <x:c r="BX18" s="117" t="n">
        <x:f>'CAPEX'!BX33</x:f>
      </x:c>
      <x:c r="BY18" s="117" t="n">
        <x:f>'CAPEX'!BY33</x:f>
      </x:c>
      <x:c r="BZ18" s="117" t="n">
        <x:f>'CAPEX'!BZ33</x:f>
      </x:c>
      <x:c r="CA18" s="117" t="n">
        <x:f>'CAPEX'!CA33</x:f>
      </x:c>
      <x:c r="CB18" s="117" t="n">
        <x:f>'CAPEX'!CB33</x:f>
      </x:c>
      <x:c r="CC18" s="117" t="n">
        <x:f>'CAPEX'!CC33</x:f>
      </x:c>
      <x:c r="CD18" s="117" t="n">
        <x:f>'CAPEX'!CD33</x:f>
      </x:c>
      <x:c r="CE18" s="117" t="n">
        <x:f>'CAPEX'!CE33</x:f>
      </x:c>
      <x:c r="CF18" s="117" t="n">
        <x:f>'CAPEX'!CF33</x:f>
      </x:c>
      <x:c r="CG18" s="117" t="n">
        <x:f>'CAPEX'!CG33</x:f>
      </x:c>
      <x:c r="CH18" s="117" t="n">
        <x:f>'CAPEX'!CH33</x:f>
      </x:c>
      <x:c r="CI18" s="117" t="n">
        <x:f>'CAPEX'!CI33</x:f>
      </x:c>
      <x:c r="CJ18" s="117" t="n">
        <x:f>'CAPEX'!CJ33</x:f>
      </x:c>
      <x:c r="CK18" s="117" t="n">
        <x:f>'CAPEX'!CK33</x:f>
      </x:c>
      <x:c r="CL18" s="117" t="n">
        <x:f>'CAPEX'!CL33</x:f>
      </x:c>
      <x:c r="CM18" s="117" t="n">
        <x:f>'CAPEX'!CM33</x:f>
      </x:c>
      <x:c r="CN18" s="117" t="n">
        <x:f>'CAPEX'!CN33</x:f>
      </x:c>
      <x:c r="CO18" s="117" t="n">
        <x:f>'CAPEX'!CO33</x:f>
      </x:c>
      <x:c r="CP18" s="117" t="n">
        <x:f>'CAPEX'!CP33</x:f>
      </x:c>
      <x:c r="CQ18" s="117" t="n">
        <x:f>'CAPEX'!CQ33</x:f>
      </x:c>
      <x:c r="CR18" s="117" t="n">
        <x:f>'CAPEX'!CR33</x:f>
      </x:c>
      <x:c r="CS18" s="117" t="n">
        <x:f>'CAPEX'!CS33</x:f>
      </x:c>
      <x:c r="CT18" s="117" t="n">
        <x:f>'CAPEX'!CT33</x:f>
      </x:c>
      <x:c r="CU18" s="117" t="n">
        <x:f>'CAPEX'!CU33</x:f>
      </x:c>
      <x:c r="CV18" s="117" t="n">
        <x:f>'CAPEX'!CV33</x:f>
      </x:c>
      <x:c r="CW18" s="117" t="n">
        <x:f>'CAPEX'!CW33</x:f>
      </x:c>
      <x:c r="CX18" s="117" t="n">
        <x:f>'CAPEX'!CX33</x:f>
      </x:c>
      <x:c r="CY18" s="117" t="n">
        <x:f>'CAPEX'!CY33</x:f>
      </x:c>
      <x:c r="CZ18" s="117" t="n">
        <x:f>'CAPEX'!CZ33</x:f>
      </x:c>
      <x:c r="DA18" s="117" t="n">
        <x:f>'CAPEX'!DA33</x:f>
      </x:c>
      <x:c r="DB18" s="117" t="n">
        <x:f>'CAPEX'!DB33</x:f>
      </x:c>
      <x:c r="DC18" s="117" t="n">
        <x:f>'CAPEX'!DC33</x:f>
      </x:c>
      <x:c r="DD18" s="117" t="n">
        <x:f>'CAPEX'!DD33</x:f>
      </x:c>
      <x:c r="DE18" s="117" t="n">
        <x:f>'CAPEX'!DE33</x:f>
      </x:c>
      <x:c r="DF18" s="117" t="n">
        <x:f>'CAPEX'!DF33</x:f>
      </x:c>
      <x:c r="DG18" s="117" t="n">
        <x:f>'CAPEX'!DG33</x:f>
      </x:c>
      <x:c r="DH18" s="117" t="n">
        <x:f>'CAPEX'!DH33</x:f>
      </x:c>
      <x:c r="DI18" s="117" t="n">
        <x:f>'CAPEX'!DI33</x:f>
      </x:c>
      <x:c r="DJ18" s="117" t="n">
        <x:f>'CAPEX'!DJ33</x:f>
      </x:c>
      <x:c r="DK18" s="117" t="n">
        <x:f>'CAPEX'!DK33</x:f>
      </x:c>
      <x:c r="DL18" s="117" t="n">
        <x:f>'CAPEX'!DL33</x:f>
      </x:c>
      <x:c r="DM18" s="117" t="n">
        <x:f>'CAPEX'!DM33</x:f>
      </x:c>
      <x:c r="DN18" s="117" t="n">
        <x:f>'CAPEX'!DN33</x:f>
      </x:c>
      <x:c r="DO18" s="117" t="n">
        <x:f>'CAPEX'!DO33</x:f>
      </x:c>
      <x:c r="DP18" s="117" t="n">
        <x:f>'CAPEX'!DP33</x:f>
      </x:c>
      <x:c r="DQ18" s="117" t="n">
        <x:f>'CAPEX'!DQ33</x:f>
      </x:c>
      <x:c r="DR18" s="117" t="n">
        <x:f>'CAPEX'!DR33</x:f>
      </x:c>
      <x:c r="DS18" s="117" t="n">
        <x:f>'CAPEX'!DS33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'CAPEX'!D34</x:f>
      </x:c>
      <x:c r="E19" s="117" t="n">
        <x:f>'CAPEX'!E34</x:f>
      </x:c>
      <x:c r="F19" s="117" t="n">
        <x:f>'CAPEX'!F34</x:f>
      </x:c>
      <x:c r="G19" s="117" t="n">
        <x:f>'CAPEX'!G34</x:f>
      </x:c>
      <x:c r="H19" s="117" t="n">
        <x:f>'CAPEX'!H34</x:f>
      </x:c>
      <x:c r="I19" s="117" t="n">
        <x:f>'CAPEX'!I34</x:f>
      </x:c>
      <x:c r="J19" s="117" t="n">
        <x:f>'CAPEX'!J34</x:f>
      </x:c>
      <x:c r="K19" s="117" t="n">
        <x:f>'CAPEX'!K34</x:f>
      </x:c>
      <x:c r="L19" s="117" t="n">
        <x:f>'CAPEX'!L34</x:f>
      </x:c>
      <x:c r="M19" s="117" t="n">
        <x:f>'CAPEX'!M34</x:f>
      </x:c>
      <x:c r="N19" s="117" t="n">
        <x:f>'CAPEX'!N34</x:f>
      </x:c>
      <x:c r="O19" s="117" t="n">
        <x:f>'CAPEX'!O34</x:f>
      </x:c>
      <x:c r="P19" s="117" t="n">
        <x:f>'CAPEX'!P34</x:f>
      </x:c>
      <x:c r="Q19" s="117" t="n">
        <x:f>'CAPEX'!Q34</x:f>
      </x:c>
      <x:c r="R19" s="117" t="n">
        <x:f>'CAPEX'!R34</x:f>
      </x:c>
      <x:c r="S19" s="117" t="n">
        <x:f>'CAPEX'!S34</x:f>
      </x:c>
      <x:c r="T19" s="117" t="n">
        <x:f>'CAPEX'!T34</x:f>
      </x:c>
      <x:c r="U19" s="117" t="n">
        <x:f>'CAPEX'!U34</x:f>
      </x:c>
      <x:c r="V19" s="117" t="n">
        <x:f>'CAPEX'!V34</x:f>
      </x:c>
      <x:c r="W19" s="117" t="n">
        <x:f>'CAPEX'!W34</x:f>
      </x:c>
      <x:c r="X19" s="117" t="n">
        <x:f>'CAPEX'!X34</x:f>
      </x:c>
      <x:c r="Y19" s="117" t="n">
        <x:f>'CAPEX'!Y34</x:f>
      </x:c>
      <x:c r="Z19" s="117" t="n">
        <x:f>'CAPEX'!Z34</x:f>
      </x:c>
      <x:c r="AA19" s="117" t="n">
        <x:f>'CAPEX'!AA34</x:f>
      </x:c>
      <x:c r="AB19" s="117" t="n">
        <x:f>'CAPEX'!AB34</x:f>
      </x:c>
      <x:c r="AC19" s="117" t="n">
        <x:f>'CAPEX'!AC34</x:f>
      </x:c>
      <x:c r="AD19" s="117" t="n">
        <x:f>'CAPEX'!AD34</x:f>
      </x:c>
      <x:c r="AE19" s="117" t="n">
        <x:f>'CAPEX'!AE34</x:f>
      </x:c>
      <x:c r="AF19" s="117" t="n">
        <x:f>'CAPEX'!AF34</x:f>
      </x:c>
      <x:c r="AG19" s="117" t="n">
        <x:f>'CAPEX'!AG34</x:f>
      </x:c>
      <x:c r="AH19" s="117" t="n">
        <x:f>'CAPEX'!AH34</x:f>
      </x:c>
      <x:c r="AI19" s="117" t="n">
        <x:f>'CAPEX'!AI34</x:f>
      </x:c>
      <x:c r="AJ19" s="117" t="n">
        <x:f>'CAPEX'!AJ34</x:f>
      </x:c>
      <x:c r="AK19" s="117" t="n">
        <x:f>'CAPEX'!AK34</x:f>
      </x:c>
      <x:c r="AL19" s="117" t="n">
        <x:f>'CAPEX'!AL34</x:f>
      </x:c>
      <x:c r="AM19" s="117" t="n">
        <x:f>'CAPEX'!AM34</x:f>
      </x:c>
      <x:c r="AN19" s="117" t="n">
        <x:f>'CAPEX'!AN34</x:f>
      </x:c>
      <x:c r="AO19" s="117" t="n">
        <x:f>'CAPEX'!AO34</x:f>
      </x:c>
      <x:c r="AP19" s="117" t="n">
        <x:f>'CAPEX'!AP34</x:f>
      </x:c>
      <x:c r="AQ19" s="117" t="n">
        <x:f>'CAPEX'!AQ34</x:f>
      </x:c>
      <x:c r="AR19" s="117" t="n">
        <x:f>'CAPEX'!AR34</x:f>
      </x:c>
      <x:c r="AS19" s="117" t="n">
        <x:f>'CAPEX'!AS34</x:f>
      </x:c>
      <x:c r="AT19" s="117" t="n">
        <x:f>'CAPEX'!AT34</x:f>
      </x:c>
      <x:c r="AU19" s="117" t="n">
        <x:f>'CAPEX'!AU34</x:f>
      </x:c>
      <x:c r="AV19" s="117" t="n">
        <x:f>'CAPEX'!AV34</x:f>
      </x:c>
      <x:c r="AW19" s="117" t="n">
        <x:f>'CAPEX'!AW34</x:f>
      </x:c>
      <x:c r="AX19" s="117" t="n">
        <x:f>'CAPEX'!AX34</x:f>
      </x:c>
      <x:c r="AY19" s="117" t="n">
        <x:f>'CAPEX'!AY34</x:f>
      </x:c>
      <x:c r="AZ19" s="117" t="n">
        <x:f>'CAPEX'!AZ34</x:f>
      </x:c>
      <x:c r="BA19" s="117" t="n">
        <x:f>'CAPEX'!BA34</x:f>
      </x:c>
      <x:c r="BB19" s="117" t="n">
        <x:f>'CAPEX'!BB34</x:f>
      </x:c>
      <x:c r="BC19" s="117" t="n">
        <x:f>'CAPEX'!BC34</x:f>
      </x:c>
      <x:c r="BD19" s="117" t="n">
        <x:f>'CAPEX'!BD34</x:f>
      </x:c>
      <x:c r="BE19" s="117" t="n">
        <x:f>'CAPEX'!BE34</x:f>
      </x:c>
      <x:c r="BF19" s="117" t="n">
        <x:f>'CAPEX'!BF34</x:f>
      </x:c>
      <x:c r="BG19" s="117" t="n">
        <x:f>'CAPEX'!BG34</x:f>
      </x:c>
      <x:c r="BH19" s="117" t="n">
        <x:f>'CAPEX'!BH34</x:f>
      </x:c>
      <x:c r="BI19" s="117" t="n">
        <x:f>'CAPEX'!BI34</x:f>
      </x:c>
      <x:c r="BJ19" s="117" t="n">
        <x:f>'CAPEX'!BJ34</x:f>
      </x:c>
      <x:c r="BK19" s="117" t="n">
        <x:f>'CAPEX'!BK34</x:f>
      </x:c>
      <x:c r="BL19" s="117" t="n">
        <x:f>'CAPEX'!BL34</x:f>
      </x:c>
      <x:c r="BM19" s="117" t="n">
        <x:f>'CAPEX'!BM34</x:f>
      </x:c>
      <x:c r="BN19" s="117" t="n">
        <x:f>'CAPEX'!BN34</x:f>
      </x:c>
      <x:c r="BO19" s="117" t="n">
        <x:f>'CAPEX'!BO34</x:f>
      </x:c>
      <x:c r="BP19" s="117" t="n">
        <x:f>'CAPEX'!BP34</x:f>
      </x:c>
      <x:c r="BQ19" s="117" t="n">
        <x:f>'CAPEX'!BQ34</x:f>
      </x:c>
      <x:c r="BR19" s="117" t="n">
        <x:f>'CAPEX'!BR34</x:f>
      </x:c>
      <x:c r="BS19" s="117" t="n">
        <x:f>'CAPEX'!BS34</x:f>
      </x:c>
      <x:c r="BT19" s="117" t="n">
        <x:f>'CAPEX'!BT34</x:f>
      </x:c>
      <x:c r="BU19" s="117" t="n">
        <x:f>'CAPEX'!BU34</x:f>
      </x:c>
      <x:c r="BV19" s="117" t="n">
        <x:f>'CAPEX'!BV34</x:f>
      </x:c>
      <x:c r="BW19" s="117" t="n">
        <x:f>'CAPEX'!BW34</x:f>
      </x:c>
      <x:c r="BX19" s="117" t="n">
        <x:f>'CAPEX'!BX34</x:f>
      </x:c>
      <x:c r="BY19" s="117" t="n">
        <x:f>'CAPEX'!BY34</x:f>
      </x:c>
      <x:c r="BZ19" s="117" t="n">
        <x:f>'CAPEX'!BZ34</x:f>
      </x:c>
      <x:c r="CA19" s="117" t="n">
        <x:f>'CAPEX'!CA34</x:f>
      </x:c>
      <x:c r="CB19" s="117" t="n">
        <x:f>'CAPEX'!CB34</x:f>
      </x:c>
      <x:c r="CC19" s="117" t="n">
        <x:f>'CAPEX'!CC34</x:f>
      </x:c>
      <x:c r="CD19" s="117" t="n">
        <x:f>'CAPEX'!CD34</x:f>
      </x:c>
      <x:c r="CE19" s="117" t="n">
        <x:f>'CAPEX'!CE34</x:f>
      </x:c>
      <x:c r="CF19" s="117" t="n">
        <x:f>'CAPEX'!CF34</x:f>
      </x:c>
      <x:c r="CG19" s="117" t="n">
        <x:f>'CAPEX'!CG34</x:f>
      </x:c>
      <x:c r="CH19" s="117" t="n">
        <x:f>'CAPEX'!CH34</x:f>
      </x:c>
      <x:c r="CI19" s="117" t="n">
        <x:f>'CAPEX'!CI34</x:f>
      </x:c>
      <x:c r="CJ19" s="117" t="n">
        <x:f>'CAPEX'!CJ34</x:f>
      </x:c>
      <x:c r="CK19" s="117" t="n">
        <x:f>'CAPEX'!CK34</x:f>
      </x:c>
      <x:c r="CL19" s="117" t="n">
        <x:f>'CAPEX'!CL34</x:f>
      </x:c>
      <x:c r="CM19" s="117" t="n">
        <x:f>'CAPEX'!CM34</x:f>
      </x:c>
      <x:c r="CN19" s="117" t="n">
        <x:f>'CAPEX'!CN34</x:f>
      </x:c>
      <x:c r="CO19" s="117" t="n">
        <x:f>'CAPEX'!CO34</x:f>
      </x:c>
      <x:c r="CP19" s="117" t="n">
        <x:f>'CAPEX'!CP34</x:f>
      </x:c>
      <x:c r="CQ19" s="117" t="n">
        <x:f>'CAPEX'!CQ34</x:f>
      </x:c>
      <x:c r="CR19" s="117" t="n">
        <x:f>'CAPEX'!CR34</x:f>
      </x:c>
      <x:c r="CS19" s="117" t="n">
        <x:f>'CAPEX'!CS34</x:f>
      </x:c>
      <x:c r="CT19" s="117" t="n">
        <x:f>'CAPEX'!CT34</x:f>
      </x:c>
      <x:c r="CU19" s="117" t="n">
        <x:f>'CAPEX'!CU34</x:f>
      </x:c>
      <x:c r="CV19" s="117" t="n">
        <x:f>'CAPEX'!CV34</x:f>
      </x:c>
      <x:c r="CW19" s="117" t="n">
        <x:f>'CAPEX'!CW34</x:f>
      </x:c>
      <x:c r="CX19" s="117" t="n">
        <x:f>'CAPEX'!CX34</x:f>
      </x:c>
      <x:c r="CY19" s="117" t="n">
        <x:f>'CAPEX'!CY34</x:f>
      </x:c>
      <x:c r="CZ19" s="117" t="n">
        <x:f>'CAPEX'!CZ34</x:f>
      </x:c>
      <x:c r="DA19" s="117" t="n">
        <x:f>'CAPEX'!DA34</x:f>
      </x:c>
      <x:c r="DB19" s="117" t="n">
        <x:f>'CAPEX'!DB34</x:f>
      </x:c>
      <x:c r="DC19" s="117" t="n">
        <x:f>'CAPEX'!DC34</x:f>
      </x:c>
      <x:c r="DD19" s="117" t="n">
        <x:f>'CAPEX'!DD34</x:f>
      </x:c>
      <x:c r="DE19" s="117" t="n">
        <x:f>'CAPEX'!DE34</x:f>
      </x:c>
      <x:c r="DF19" s="117" t="n">
        <x:f>'CAPEX'!DF34</x:f>
      </x:c>
      <x:c r="DG19" s="117" t="n">
        <x:f>'CAPEX'!DG34</x:f>
      </x:c>
      <x:c r="DH19" s="117" t="n">
        <x:f>'CAPEX'!DH34</x:f>
      </x:c>
      <x:c r="DI19" s="117" t="n">
        <x:f>'CAPEX'!DI34</x:f>
      </x:c>
      <x:c r="DJ19" s="117" t="n">
        <x:f>'CAPEX'!DJ34</x:f>
      </x:c>
      <x:c r="DK19" s="117" t="n">
        <x:f>'CAPEX'!DK34</x:f>
      </x:c>
      <x:c r="DL19" s="117" t="n">
        <x:f>'CAPEX'!DL34</x:f>
      </x:c>
      <x:c r="DM19" s="117" t="n">
        <x:f>'CAPEX'!DM34</x:f>
      </x:c>
      <x:c r="DN19" s="117" t="n">
        <x:f>'CAPEX'!DN34</x:f>
      </x:c>
      <x:c r="DO19" s="117" t="n">
        <x:f>'CAPEX'!DO34</x:f>
      </x:c>
      <x:c r="DP19" s="117" t="n">
        <x:f>'CAPEX'!DP34</x:f>
      </x:c>
      <x:c r="DQ19" s="117" t="n">
        <x:f>'CAPEX'!DQ34</x:f>
      </x:c>
      <x:c r="DR19" s="117" t="n">
        <x:f>'CAPEX'!DR34</x:f>
      </x:c>
      <x:c r="DS19" s="117" t="n">
        <x:f>'CAPEX'!DS34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MIN(MAX(0,'Вводные'!$B$24*'Вводные'!$U$88-D30),D33)</x:f>
      </x:c>
      <x:c r="E34" s="117" t="n">
        <x:f>MIN(MAX(0,'Вводные'!$B$24*'Вводные'!$U$88-E30),E33)</x:f>
      </x:c>
      <x:c r="F34" s="117" t="n">
        <x:f>MIN(MAX(0,'Вводные'!$B$24*'Вводные'!$U$88-F30),F33)</x:f>
      </x:c>
      <x:c r="G34" s="117" t="n">
        <x:f>MIN(MAX(0,'Вводные'!$B$24*'Вводные'!$U$88-G30),G33)</x:f>
      </x:c>
      <x:c r="H34" s="117" t="n">
        <x:f>MIN(MAX(0,'Вводные'!$B$24*'Вводные'!$U$88-H30),H33)</x:f>
      </x:c>
      <x:c r="I34" s="117" t="n">
        <x:f>MIN(MAX(0,'Вводные'!$B$24*'Вводные'!$U$88-I30),I33)</x:f>
      </x:c>
      <x:c r="J34" s="117" t="n">
        <x:f>MIN(MAX(0,'Вводные'!$B$24*'Вводные'!$U$88-J30),J33)</x:f>
      </x:c>
      <x:c r="K34" s="117" t="n">
        <x:f>MIN(MAX(0,'Вводные'!$B$24*'Вводные'!$U$88-K30),K33)</x:f>
      </x:c>
      <x:c r="L34" s="117" t="n">
        <x:f>MIN(MAX(0,'Вводные'!$B$24*'Вводные'!$U$88-L30),L33)</x:f>
      </x:c>
      <x:c r="M34" s="117" t="n">
        <x:f>MIN(MAX(0,'Вводные'!$B$24*'Вводные'!$U$88-M30),M33)</x:f>
      </x:c>
      <x:c r="N34" s="117" t="n">
        <x:f>MIN(MAX(0,'Вводные'!$B$24*'Вводные'!$U$88-N30),N33)</x:f>
      </x:c>
      <x:c r="O34" s="117" t="n">
        <x:f>MIN(MAX(0,'Вводные'!$B$24*'Вводные'!$U$88-O30),O33)</x:f>
      </x:c>
      <x:c r="P34" s="117" t="n">
        <x:f>MIN(MAX(0,'Вводные'!$B$24*'Вводные'!$U$88-P30),P33)</x:f>
      </x:c>
      <x:c r="Q34" s="117" t="n">
        <x:f>MIN(MAX(0,'Вводные'!$B$24*'Вводные'!$U$88-Q30),Q33)</x:f>
      </x:c>
      <x:c r="R34" s="117" t="n">
        <x:f>MIN(MAX(0,'Вводные'!$B$24*'Вводные'!$U$88-R30),R33)</x:f>
      </x:c>
      <x:c r="S34" s="117" t="n">
        <x:f>MIN(MAX(0,'Вводные'!$B$24*'Вводные'!$U$88-S30),S33)</x:f>
      </x:c>
      <x:c r="T34" s="117" t="n">
        <x:f>MIN(MAX(0,'Вводные'!$B$24*'Вводные'!$U$88-T30),T33)</x:f>
      </x:c>
      <x:c r="U34" s="117" t="n">
        <x:f>MIN(MAX(0,'Вводные'!$B$24*'Вводные'!$U$88-U30),U33)</x:f>
      </x:c>
      <x:c r="V34" s="117" t="n">
        <x:f>MIN(MAX(0,'Вводные'!$B$24*'Вводные'!$U$88-V30),V33)</x:f>
      </x:c>
      <x:c r="W34" s="117" t="n">
        <x:f>MIN(MAX(0,'Вводные'!$B$24*'Вводные'!$U$88-W30),W33)</x:f>
      </x:c>
      <x:c r="X34" s="117" t="n">
        <x:f>MIN(MAX(0,'Вводные'!$B$24*'Вводные'!$U$88-X30),X33)</x:f>
      </x:c>
      <x:c r="Y34" s="117" t="n">
        <x:f>MIN(MAX(0,'Вводные'!$B$24*'Вводные'!$U$88-Y30),Y33)</x:f>
      </x:c>
      <x:c r="Z34" s="117" t="n">
        <x:f>MIN(MAX(0,'Вводные'!$B$24*'Вводные'!$U$88-Z30),Z33)</x:f>
      </x:c>
      <x:c r="AA34" s="117" t="n">
        <x:f>MIN(MAX(0,'Вводные'!$B$24*'Вводные'!$U$88-AA30),AA33)</x:f>
      </x:c>
      <x:c r="AB34" s="117" t="n">
        <x:f>MIN(MAX(0,'Вводные'!$B$24*'Вводные'!$U$88-AB30),AB33)</x:f>
      </x:c>
      <x:c r="AC34" s="117" t="n">
        <x:f>MIN(MAX(0,'Вводные'!$B$24*'Вводные'!$U$88-AC30),AC33)</x:f>
      </x:c>
      <x:c r="AD34" s="117" t="n">
        <x:f>MIN(MAX(0,'Вводные'!$B$24*'Вводные'!$U$88-AD30),AD33)</x:f>
      </x:c>
      <x:c r="AE34" s="117" t="n">
        <x:f>MIN(MAX(0,'Вводные'!$B$24*'Вводные'!$U$88-AE30),AE33)</x:f>
      </x:c>
      <x:c r="AF34" s="117" t="n">
        <x:f>MIN(MAX(0,'Вводные'!$B$24*'Вводные'!$U$88-AF30),AF33)</x:f>
      </x:c>
      <x:c r="AG34" s="117" t="n">
        <x:f>MIN(MAX(0,'Вводные'!$B$24*'Вводные'!$U$88-AG30),AG33)</x:f>
      </x:c>
      <x:c r="AH34" s="117" t="n">
        <x:f>MIN(MAX(0,'Вводные'!$B$24*'Вводные'!$U$88-AH30),AH33)</x:f>
      </x:c>
      <x:c r="AI34" s="117" t="n">
        <x:f>MIN(MAX(0,'Вводные'!$B$24*'Вводные'!$U$88-AI30),AI33)</x:f>
      </x:c>
      <x:c r="AJ34" s="117" t="n">
        <x:f>MIN(MAX(0,'Вводные'!$B$24*'Вводные'!$U$88-AJ30),AJ33)</x:f>
      </x:c>
      <x:c r="AK34" s="117" t="n">
        <x:f>MIN(MAX(0,'Вводные'!$B$24*'Вводные'!$U$88-AK30),AK33)</x:f>
      </x:c>
      <x:c r="AL34" s="117" t="n">
        <x:f>MIN(MAX(0,'Вводные'!$B$24*'Вводные'!$U$88-AL30),AL33)</x:f>
      </x:c>
      <x:c r="AM34" s="117" t="n">
        <x:f>MIN(MAX(0,'Вводные'!$B$24*'Вводные'!$U$88-AM30),AM33)</x:f>
      </x:c>
      <x:c r="AN34" s="117" t="n">
        <x:f>MIN(MAX(0,'Вводные'!$B$24*'Вводные'!$U$88-AN30),AN33)</x:f>
      </x:c>
      <x:c r="AO34" s="117" t="n">
        <x:f>MIN(MAX(0,'Вводные'!$B$24*'Вводные'!$U$88-AO30),AO33)</x:f>
      </x:c>
      <x:c r="AP34" s="117" t="n">
        <x:f>MIN(MAX(0,'Вводные'!$B$24*'Вводные'!$U$88-AP30),AP33)</x:f>
      </x:c>
      <x:c r="AQ34" s="117" t="n">
        <x:f>MIN(MAX(0,'Вводные'!$B$24*'Вводные'!$U$88-AQ30),AQ33)</x:f>
      </x:c>
      <x:c r="AR34" s="117" t="n">
        <x:f>MIN(MAX(0,'Вводные'!$B$24*'Вводные'!$U$88-AR30),AR33)</x:f>
      </x:c>
      <x:c r="AS34" s="117" t="n">
        <x:f>MIN(MAX(0,'Вводные'!$B$24*'Вводные'!$U$88-AS30),AS33)</x:f>
      </x:c>
      <x:c r="AT34" s="117" t="n">
        <x:f>MIN(MAX(0,'Вводные'!$B$24*'Вводные'!$U$88-AT30),AT33)</x:f>
      </x:c>
      <x:c r="AU34" s="117" t="n">
        <x:f>MIN(MAX(0,'Вводные'!$B$24*'Вводные'!$U$88-AU30),AU33)</x:f>
      </x:c>
      <x:c r="AV34" s="117" t="n">
        <x:f>MIN(MAX(0,'Вводные'!$B$24*'Вводные'!$U$88-AV30),AV33)</x:f>
      </x:c>
      <x:c r="AW34" s="117" t="n">
        <x:f>MIN(MAX(0,'Вводные'!$B$24*'Вводные'!$U$88-AW30),AW33)</x:f>
      </x:c>
      <x:c r="AX34" s="117" t="n">
        <x:f>MIN(MAX(0,'Вводные'!$B$24*'Вводные'!$U$88-AX30),AX33)</x:f>
      </x:c>
      <x:c r="AY34" s="117" t="n">
        <x:f>MIN(MAX(0,'Вводные'!$B$24*'Вводные'!$U$88-AY30),AY33)</x:f>
      </x:c>
      <x:c r="AZ34" s="117" t="n">
        <x:f>MIN(MAX(0,'Вводные'!$B$24*'Вводные'!$U$88-AZ30),AZ33)</x:f>
      </x:c>
      <x:c r="BA34" s="117" t="n">
        <x:f>MIN(MAX(0,'Вводные'!$B$24*'Вводные'!$U$88-BA30),BA33)</x:f>
      </x:c>
      <x:c r="BB34" s="117" t="n">
        <x:f>MIN(MAX(0,'Вводные'!$B$24*'Вводные'!$U$88-BB30),BB33)</x:f>
      </x:c>
      <x:c r="BC34" s="117" t="n">
        <x:f>MIN(MAX(0,'Вводные'!$B$24*'Вводные'!$U$88-BC30),BC33)</x:f>
      </x:c>
      <x:c r="BD34" s="117" t="n">
        <x:f>MIN(MAX(0,'Вводные'!$B$24*'Вводные'!$U$88-BD30),BD33)</x:f>
      </x:c>
      <x:c r="BE34" s="117" t="n">
        <x:f>MIN(MAX(0,'Вводные'!$B$24*'Вводные'!$U$88-BE30),BE33)</x:f>
      </x:c>
      <x:c r="BF34" s="117" t="n">
        <x:f>MIN(MAX(0,'Вводные'!$B$24*'Вводные'!$U$88-BF30),BF33)</x:f>
      </x:c>
      <x:c r="BG34" s="117" t="n">
        <x:f>MIN(MAX(0,'Вводные'!$B$24*'Вводные'!$U$88-BG30),BG33)</x:f>
      </x:c>
      <x:c r="BH34" s="117" t="n">
        <x:f>MIN(MAX(0,'Вводные'!$B$24*'Вводные'!$U$88-BH30),BH33)</x:f>
      </x:c>
      <x:c r="BI34" s="117" t="n">
        <x:f>MIN(MAX(0,'Вводные'!$B$24*'Вводные'!$U$88-BI30),BI33)</x:f>
      </x:c>
      <x:c r="BJ34" s="117" t="n">
        <x:f>MIN(MAX(0,'Вводные'!$B$24*'Вводные'!$U$88-BJ30),BJ33)</x:f>
      </x:c>
      <x:c r="BK34" s="117" t="n">
        <x:f>MIN(MAX(0,'Вводные'!$B$24*'Вводные'!$U$88-BK30),BK33)</x:f>
      </x:c>
      <x:c r="BL34" s="117" t="n">
        <x:f>MIN(MAX(0,'Вводные'!$B$24*'Вводные'!$U$88-BL30),BL33)</x:f>
      </x:c>
      <x:c r="BM34" s="117" t="n">
        <x:f>MIN(MAX(0,'Вводные'!$B$24*'Вводные'!$U$88-BM30),BM33)</x:f>
      </x:c>
      <x:c r="BN34" s="117" t="n">
        <x:f>MIN(MAX(0,'Вводные'!$B$24*'Вводные'!$U$88-BN30),BN33)</x:f>
      </x:c>
      <x:c r="BO34" s="117" t="n">
        <x:f>MIN(MAX(0,'Вводные'!$B$24*'Вводные'!$U$88-BO30),BO33)</x:f>
      </x:c>
      <x:c r="BP34" s="117" t="n">
        <x:f>MIN(MAX(0,'Вводные'!$B$24*'Вводные'!$U$88-BP30),BP33)</x:f>
      </x:c>
      <x:c r="BQ34" s="117" t="n">
        <x:f>MIN(MAX(0,'Вводные'!$B$24*'Вводные'!$U$88-BQ30),BQ33)</x:f>
      </x:c>
      <x:c r="BR34" s="117" t="n">
        <x:f>MIN(MAX(0,'Вводные'!$B$24*'Вводные'!$U$88-BR30),BR33)</x:f>
      </x:c>
      <x:c r="BS34" s="117" t="n">
        <x:f>MIN(MAX(0,'Вводные'!$B$24*'Вводные'!$U$88-BS30),BS33)</x:f>
      </x:c>
      <x:c r="BT34" s="117" t="n">
        <x:f>MIN(MAX(0,'Вводные'!$B$24*'Вводные'!$U$88-BT30),BT33)</x:f>
      </x:c>
      <x:c r="BU34" s="117" t="n">
        <x:f>MIN(MAX(0,'Вводные'!$B$24*'Вводные'!$U$88-BU30),BU33)</x:f>
      </x:c>
      <x:c r="BV34" s="117" t="n">
        <x:f>MIN(MAX(0,'Вводные'!$B$24*'Вводные'!$U$88-BV30),BV33)</x:f>
      </x:c>
      <x:c r="BW34" s="117" t="n">
        <x:f>MIN(MAX(0,'Вводные'!$B$24*'Вводные'!$U$88-BW30),BW33)</x:f>
      </x:c>
      <x:c r="BX34" s="117" t="n">
        <x:f>MIN(MAX(0,'Вводные'!$B$24*'Вводные'!$U$88-BX30),BX33)</x:f>
      </x:c>
      <x:c r="BY34" s="117" t="n">
        <x:f>MIN(MAX(0,'Вводные'!$B$24*'Вводные'!$U$88-BY30),BY33)</x:f>
      </x:c>
      <x:c r="BZ34" s="117" t="n">
        <x:f>MIN(MAX(0,'Вводные'!$B$24*'Вводные'!$U$88-BZ30),BZ33)</x:f>
      </x:c>
      <x:c r="CA34" s="117" t="n">
        <x:f>MIN(MAX(0,'Вводные'!$B$24*'Вводные'!$U$88-CA30),CA33)</x:f>
      </x:c>
      <x:c r="CB34" s="117" t="n">
        <x:f>MIN(MAX(0,'Вводные'!$B$24*'Вводные'!$U$88-CB30),CB33)</x:f>
      </x:c>
      <x:c r="CC34" s="117" t="n">
        <x:f>MIN(MAX(0,'Вводные'!$B$24*'Вводные'!$U$88-CC30),CC33)</x:f>
      </x:c>
      <x:c r="CD34" s="117" t="n">
        <x:f>MIN(MAX(0,'Вводные'!$B$24*'Вводные'!$U$88-CD30),CD33)</x:f>
      </x:c>
      <x:c r="CE34" s="117" t="n">
        <x:f>MIN(MAX(0,'Вводные'!$B$24*'Вводные'!$U$88-CE30),CE33)</x:f>
      </x:c>
      <x:c r="CF34" s="117" t="n">
        <x:f>MIN(MAX(0,'Вводные'!$B$24*'Вводные'!$U$88-CF30),CF33)</x:f>
      </x:c>
      <x:c r="CG34" s="117" t="n">
        <x:f>MIN(MAX(0,'Вводные'!$B$24*'Вводные'!$U$88-CG30),CG33)</x:f>
      </x:c>
      <x:c r="CH34" s="117" t="n">
        <x:f>MIN(MAX(0,'Вводные'!$B$24*'Вводные'!$U$88-CH30),CH33)</x:f>
      </x:c>
      <x:c r="CI34" s="117" t="n">
        <x:f>MIN(MAX(0,'Вводные'!$B$24*'Вводные'!$U$88-CI30),CI33)</x:f>
      </x:c>
      <x:c r="CJ34" s="117" t="n">
        <x:f>MIN(MAX(0,'Вводные'!$B$24*'Вводные'!$U$88-CJ30),CJ33)</x:f>
      </x:c>
      <x:c r="CK34" s="117" t="n">
        <x:f>MIN(MAX(0,'Вводные'!$B$24*'Вводные'!$U$88-CK30),CK33)</x:f>
      </x:c>
      <x:c r="CL34" s="117" t="n">
        <x:f>MIN(MAX(0,'Вводные'!$B$24*'Вводные'!$U$88-CL30),CL33)</x:f>
      </x:c>
      <x:c r="CM34" s="117" t="n">
        <x:f>MIN(MAX(0,'Вводные'!$B$24*'Вводные'!$U$88-CM30),CM33)</x:f>
      </x:c>
      <x:c r="CN34" s="117" t="n">
        <x:f>MIN(MAX(0,'Вводные'!$B$24*'Вводные'!$U$88-CN30),CN33)</x:f>
      </x:c>
      <x:c r="CO34" s="117" t="n">
        <x:f>MIN(MAX(0,'Вводные'!$B$24*'Вводные'!$U$88-CO30),CO33)</x:f>
      </x:c>
      <x:c r="CP34" s="117" t="n">
        <x:f>MIN(MAX(0,'Вводные'!$B$24*'Вводные'!$U$88-CP30),CP33)</x:f>
      </x:c>
      <x:c r="CQ34" s="117" t="n">
        <x:f>MIN(MAX(0,'Вводные'!$B$24*'Вводные'!$U$88-CQ30),CQ33)</x:f>
      </x:c>
      <x:c r="CR34" s="117" t="n">
        <x:f>MIN(MAX(0,'Вводные'!$B$24*'Вводные'!$U$88-CR30),CR33)</x:f>
      </x:c>
      <x:c r="CS34" s="117" t="n">
        <x:f>MIN(MAX(0,'Вводные'!$B$24*'Вводные'!$U$88-CS30),CS33)</x:f>
      </x:c>
      <x:c r="CT34" s="117" t="n">
        <x:f>MIN(MAX(0,'Вводные'!$B$24*'Вводные'!$U$88-CT30),CT33)</x:f>
      </x:c>
      <x:c r="CU34" s="117" t="n">
        <x:f>MIN(MAX(0,'Вводные'!$B$24*'Вводные'!$U$88-CU30),CU33)</x:f>
      </x:c>
      <x:c r="CV34" s="117" t="n">
        <x:f>MIN(MAX(0,'Вводные'!$B$24*'Вводные'!$U$88-CV30),CV33)</x:f>
      </x:c>
      <x:c r="CW34" s="117" t="n">
        <x:f>MIN(MAX(0,'Вводные'!$B$24*'Вводные'!$U$88-CW30),CW33)</x:f>
      </x:c>
      <x:c r="CX34" s="117" t="n">
        <x:f>MIN(MAX(0,'Вводные'!$B$24*'Вводные'!$U$88-CX30),CX33)</x:f>
      </x:c>
      <x:c r="CY34" s="117" t="n">
        <x:f>MIN(MAX(0,'Вводные'!$B$24*'Вводные'!$U$88-CY30),CY33)</x:f>
      </x:c>
      <x:c r="CZ34" s="117" t="n">
        <x:f>MIN(MAX(0,'Вводные'!$B$24*'Вводные'!$U$88-CZ30),CZ33)</x:f>
      </x:c>
      <x:c r="DA34" s="117" t="n">
        <x:f>MIN(MAX(0,'Вводные'!$B$24*'Вводные'!$U$88-DA30),DA33)</x:f>
      </x:c>
      <x:c r="DB34" s="117" t="n">
        <x:f>MIN(MAX(0,'Вводные'!$B$24*'Вводные'!$U$88-DB30),DB33)</x:f>
      </x:c>
      <x:c r="DC34" s="117" t="n">
        <x:f>MIN(MAX(0,'Вводные'!$B$24*'Вводные'!$U$88-DC30),DC33)</x:f>
      </x:c>
      <x:c r="DD34" s="117" t="n">
        <x:f>MIN(MAX(0,'Вводные'!$B$24*'Вводные'!$U$88-DD30),DD33)</x:f>
      </x:c>
      <x:c r="DE34" s="117" t="n">
        <x:f>MIN(MAX(0,'Вводные'!$B$24*'Вводные'!$U$88-DE30),DE33)</x:f>
      </x:c>
      <x:c r="DF34" s="117" t="n">
        <x:f>MIN(MAX(0,'Вводные'!$B$24*'Вводные'!$U$88-DF30),DF33)</x:f>
      </x:c>
      <x:c r="DG34" s="117" t="n">
        <x:f>MIN(MAX(0,'Вводные'!$B$24*'Вводные'!$U$88-DG30),DG33)</x:f>
      </x:c>
      <x:c r="DH34" s="117" t="n">
        <x:f>MIN(MAX(0,'Вводные'!$B$24*'Вводные'!$U$88-DH30),DH33)</x:f>
      </x:c>
      <x:c r="DI34" s="117" t="n">
        <x:f>MIN(MAX(0,'Вводные'!$B$24*'Вводные'!$U$88-DI30),DI33)</x:f>
      </x:c>
      <x:c r="DJ34" s="117" t="n">
        <x:f>MIN(MAX(0,'Вводные'!$B$24*'Вводные'!$U$88-DJ30),DJ33)</x:f>
      </x:c>
      <x:c r="DK34" s="117" t="n">
        <x:f>MIN(MAX(0,'Вводные'!$B$24*'Вводные'!$U$88-DK30),DK33)</x:f>
      </x:c>
      <x:c r="DL34" s="117" t="n">
        <x:f>MIN(MAX(0,'Вводные'!$B$24*'Вводные'!$U$88-DL30),DL33)</x:f>
      </x:c>
      <x:c r="DM34" s="117" t="n">
        <x:f>MIN(MAX(0,'Вводные'!$B$24*'Вводные'!$U$88-DM30),DM33)</x:f>
      </x:c>
      <x:c r="DN34" s="117" t="n">
        <x:f>MIN(MAX(0,'Вводные'!$B$24*'Вводные'!$U$88-DN30),DN33)</x:f>
      </x:c>
      <x:c r="DO34" s="117" t="n">
        <x:f>MIN(MAX(0,'Вводные'!$B$24*'Вводные'!$U$88-DO30),DO33)</x:f>
      </x:c>
      <x:c r="DP34" s="117" t="n">
        <x:f>MIN(MAX(0,'Вводные'!$B$24*'Вводные'!$U$88-DP30),DP33)</x:f>
      </x:c>
      <x:c r="DQ34" s="117" t="n">
        <x:f>MIN(MAX(0,'Вводные'!$B$24*'Вводные'!$U$88-DQ30),DQ33)</x:f>
      </x:c>
      <x:c r="DR34" s="117" t="n">
        <x:f>MIN(MAX(0,'Вводные'!$B$24*'Вводные'!$U$88-DR30),DR33)</x:f>
      </x:c>
      <x:c r="DS34" s="117" t="n">
        <x:f>MIN(MAX(0,'Вводные'!$B$24*'Вводные'!$U$88-DS30),DS33)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IF(AND(D38&gt;0,D$3&lt;EDATE($B$8,'Вводные'!$H$88)),D38*D41/12,0)</x:f>
      </x:c>
      <x:c r="E42" s="117" t="n">
        <x:f>IF(AND(E38&gt;0,E$3&lt;EDATE($B$8,'Вводные'!$H$88)),E38*E41/12,0)</x:f>
      </x:c>
      <x:c r="F42" s="117" t="n">
        <x:f>IF(AND(F38&gt;0,F$3&lt;EDATE($B$8,'Вводные'!$H$88)),F38*F41/12,0)</x:f>
      </x:c>
      <x:c r="G42" s="117" t="n">
        <x:f>IF(AND(G38&gt;0,G$3&lt;EDATE($B$8,'Вводные'!$H$88)),G38*G41/12,0)</x:f>
      </x:c>
      <x:c r="H42" s="117" t="n">
        <x:f>IF(AND(H38&gt;0,H$3&lt;EDATE($B$8,'Вводные'!$H$88)),H38*H41/12,0)</x:f>
      </x:c>
      <x:c r="I42" s="117" t="n">
        <x:f>IF(AND(I38&gt;0,I$3&lt;EDATE($B$8,'Вводные'!$H$88)),I38*I41/12,0)</x:f>
      </x:c>
      <x:c r="J42" s="117" t="n">
        <x:f>IF(AND(J38&gt;0,J$3&lt;EDATE($B$8,'Вводные'!$H$88)),J38*J41/12,0)</x:f>
      </x:c>
      <x:c r="K42" s="117" t="n">
        <x:f>IF(AND(K38&gt;0,K$3&lt;EDATE($B$8,'Вводные'!$H$88)),K38*K41/12,0)</x:f>
      </x:c>
      <x:c r="L42" s="117" t="n">
        <x:f>IF(AND(L38&gt;0,L$3&lt;EDATE($B$8,'Вводные'!$H$88)),L38*L41/12,0)</x:f>
      </x:c>
      <x:c r="M42" s="117" t="n">
        <x:f>IF(AND(M38&gt;0,M$3&lt;EDATE($B$8,'Вводные'!$H$88)),M38*M41/12,0)</x:f>
      </x:c>
      <x:c r="N42" s="117" t="n">
        <x:f>IF(AND(N38&gt;0,N$3&lt;EDATE($B$8,'Вводные'!$H$88)),N38*N41/12,0)</x:f>
      </x:c>
      <x:c r="O42" s="117" t="n">
        <x:f>IF(AND(O38&gt;0,O$3&lt;EDATE($B$8,'Вводные'!$H$88)),O38*O41/12,0)</x:f>
      </x:c>
      <x:c r="P42" s="117" t="n">
        <x:f>IF(AND(P38&gt;0,P$3&lt;EDATE($B$8,'Вводные'!$H$88)),P38*P41/12,0)</x:f>
      </x:c>
      <x:c r="Q42" s="117" t="n">
        <x:f>IF(AND(Q38&gt;0,Q$3&lt;EDATE($B$8,'Вводные'!$H$88)),Q38*Q41/12,0)</x:f>
      </x:c>
      <x:c r="R42" s="117" t="n">
        <x:f>IF(AND(R38&gt;0,R$3&lt;EDATE($B$8,'Вводные'!$H$88)),R38*R41/12,0)</x:f>
      </x:c>
      <x:c r="S42" s="117" t="n">
        <x:f>IF(AND(S38&gt;0,S$3&lt;EDATE($B$8,'Вводные'!$H$88)),S38*S41/12,0)</x:f>
      </x:c>
      <x:c r="T42" s="117" t="n">
        <x:f>IF(AND(T38&gt;0,T$3&lt;EDATE($B$8,'Вводные'!$H$88)),T38*T41/12,0)</x:f>
      </x:c>
      <x:c r="U42" s="117" t="n">
        <x:f>IF(AND(U38&gt;0,U$3&lt;EDATE($B$8,'Вводные'!$H$88)),U38*U41/12,0)</x:f>
      </x:c>
      <x:c r="V42" s="117" t="n">
        <x:f>IF(AND(V38&gt;0,V$3&lt;EDATE($B$8,'Вводные'!$H$88)),V38*V41/12,0)</x:f>
      </x:c>
      <x:c r="W42" s="117" t="n">
        <x:f>IF(AND(W38&gt;0,W$3&lt;EDATE($B$8,'Вводные'!$H$88)),W38*W41/12,0)</x:f>
      </x:c>
      <x:c r="X42" s="117" t="n">
        <x:f>IF(AND(X38&gt;0,X$3&lt;EDATE($B$8,'Вводные'!$H$88)),X38*X41/12,0)</x:f>
      </x:c>
      <x:c r="Y42" s="117" t="n">
        <x:f>IF(AND(Y38&gt;0,Y$3&lt;EDATE($B$8,'Вводные'!$H$88)),Y38*Y41/12,0)</x:f>
      </x:c>
      <x:c r="Z42" s="117" t="n">
        <x:f>IF(AND(Z38&gt;0,Z$3&lt;EDATE($B$8,'Вводные'!$H$88)),Z38*Z41/12,0)</x:f>
      </x:c>
      <x:c r="AA42" s="117" t="n">
        <x:f>IF(AND(AA38&gt;0,AA$3&lt;EDATE($B$8,'Вводные'!$H$88)),AA38*AA41/12,0)</x:f>
      </x:c>
      <x:c r="AB42" s="117" t="n">
        <x:f>IF(AND(AB38&gt;0,AB$3&lt;EDATE($B$8,'Вводные'!$H$88)),AB38*AB41/12,0)</x:f>
      </x:c>
      <x:c r="AC42" s="117" t="n">
        <x:f>IF(AND(AC38&gt;0,AC$3&lt;EDATE($B$8,'Вводные'!$H$88)),AC38*AC41/12,0)</x:f>
      </x:c>
      <x:c r="AD42" s="117" t="n">
        <x:f>IF(AND(AD38&gt;0,AD$3&lt;EDATE($B$8,'Вводные'!$H$88)),AD38*AD41/12,0)</x:f>
      </x:c>
      <x:c r="AE42" s="117" t="n">
        <x:f>IF(AND(AE38&gt;0,AE$3&lt;EDATE($B$8,'Вводные'!$H$88)),AE38*AE41/12,0)</x:f>
      </x:c>
      <x:c r="AF42" s="117" t="n">
        <x:f>IF(AND(AF38&gt;0,AF$3&lt;EDATE($B$8,'Вводные'!$H$88)),AF38*AF41/12,0)</x:f>
      </x:c>
      <x:c r="AG42" s="117" t="n">
        <x:f>IF(AND(AG38&gt;0,AG$3&lt;EDATE($B$8,'Вводные'!$H$88)),AG38*AG41/12,0)</x:f>
      </x:c>
      <x:c r="AH42" s="117" t="n">
        <x:f>IF(AND(AH38&gt;0,AH$3&lt;EDATE($B$8,'Вводные'!$H$88)),AH38*AH41/12,0)</x:f>
      </x:c>
      <x:c r="AI42" s="117" t="n">
        <x:f>IF(AND(AI38&gt;0,AI$3&lt;EDATE($B$8,'Вводные'!$H$88)),AI38*AI41/12,0)</x:f>
      </x:c>
      <x:c r="AJ42" s="117" t="n">
        <x:f>IF(AND(AJ38&gt;0,AJ$3&lt;EDATE($B$8,'Вводные'!$H$88)),AJ38*AJ41/12,0)</x:f>
      </x:c>
      <x:c r="AK42" s="117" t="n">
        <x:f>IF(AND(AK38&gt;0,AK$3&lt;EDATE($B$8,'Вводные'!$H$88)),AK38*AK41/12,0)</x:f>
      </x:c>
      <x:c r="AL42" s="117" t="n">
        <x:f>IF(AND(AL38&gt;0,AL$3&lt;EDATE($B$8,'Вводные'!$H$88)),AL38*AL41/12,0)</x:f>
      </x:c>
      <x:c r="AM42" s="117" t="n">
        <x:f>IF(AND(AM38&gt;0,AM$3&lt;EDATE($B$8,'Вводные'!$H$88)),AM38*AM41/12,0)</x:f>
      </x:c>
      <x:c r="AN42" s="117" t="n">
        <x:f>IF(AND(AN38&gt;0,AN$3&lt;EDATE($B$8,'Вводные'!$H$88)),AN38*AN41/12,0)</x:f>
      </x:c>
      <x:c r="AO42" s="117" t="n">
        <x:f>IF(AND(AO38&gt;0,AO$3&lt;EDATE($B$8,'Вводные'!$H$88)),AO38*AO41/12,0)</x:f>
      </x:c>
      <x:c r="AP42" s="117" t="n">
        <x:f>IF(AND(AP38&gt;0,AP$3&lt;EDATE($B$8,'Вводные'!$H$88)),AP38*AP41/12,0)</x:f>
      </x:c>
      <x:c r="AQ42" s="117" t="n">
        <x:f>IF(AND(AQ38&gt;0,AQ$3&lt;EDATE($B$8,'Вводные'!$H$88)),AQ38*AQ41/12,0)</x:f>
      </x:c>
      <x:c r="AR42" s="117" t="n">
        <x:f>IF(AND(AR38&gt;0,AR$3&lt;EDATE($B$8,'Вводные'!$H$88)),AR38*AR41/12,0)</x:f>
      </x:c>
      <x:c r="AS42" s="117" t="n">
        <x:f>IF(AND(AS38&gt;0,AS$3&lt;EDATE($B$8,'Вводные'!$H$88)),AS38*AS41/12,0)</x:f>
      </x:c>
      <x:c r="AT42" s="117" t="n">
        <x:f>IF(AND(AT38&gt;0,AT$3&lt;EDATE($B$8,'Вводные'!$H$88)),AT38*AT41/12,0)</x:f>
      </x:c>
      <x:c r="AU42" s="117" t="n">
        <x:f>IF(AND(AU38&gt;0,AU$3&lt;EDATE($B$8,'Вводные'!$H$88)),AU38*AU41/12,0)</x:f>
      </x:c>
      <x:c r="AV42" s="117" t="n">
        <x:f>IF(AND(AV38&gt;0,AV$3&lt;EDATE($B$8,'Вводные'!$H$88)),AV38*AV41/12,0)</x:f>
      </x:c>
      <x:c r="AW42" s="117" t="n">
        <x:f>IF(AND(AW38&gt;0,AW$3&lt;EDATE($B$8,'Вводные'!$H$88)),AW38*AW41/12,0)</x:f>
      </x:c>
      <x:c r="AX42" s="117" t="n">
        <x:f>IF(AND(AX38&gt;0,AX$3&lt;EDATE($B$8,'Вводные'!$H$88)),AX38*AX41/12,0)</x:f>
      </x:c>
      <x:c r="AY42" s="117" t="n">
        <x:f>IF(AND(AY38&gt;0,AY$3&lt;EDATE($B$8,'Вводные'!$H$88)),AY38*AY41/12,0)</x:f>
      </x:c>
      <x:c r="AZ42" s="117" t="n">
        <x:f>IF(AND(AZ38&gt;0,AZ$3&lt;EDATE($B$8,'Вводные'!$H$88)),AZ38*AZ41/12,0)</x:f>
      </x:c>
      <x:c r="BA42" s="117" t="n">
        <x:f>IF(AND(BA38&gt;0,BA$3&lt;EDATE($B$8,'Вводные'!$H$88)),BA38*BA41/12,0)</x:f>
      </x:c>
      <x:c r="BB42" s="117" t="n">
        <x:f>IF(AND(BB38&gt;0,BB$3&lt;EDATE($B$8,'Вводные'!$H$88)),BB38*BB41/12,0)</x:f>
      </x:c>
      <x:c r="BC42" s="117" t="n">
        <x:f>IF(AND(BC38&gt;0,BC$3&lt;EDATE($B$8,'Вводные'!$H$88)),BC38*BC41/12,0)</x:f>
      </x:c>
      <x:c r="BD42" s="117" t="n">
        <x:f>IF(AND(BD38&gt;0,BD$3&lt;EDATE($B$8,'Вводные'!$H$88)),BD38*BD41/12,0)</x:f>
      </x:c>
      <x:c r="BE42" s="117" t="n">
        <x:f>IF(AND(BE38&gt;0,BE$3&lt;EDATE($B$8,'Вводные'!$H$88)),BE38*BE41/12,0)</x:f>
      </x:c>
      <x:c r="BF42" s="117" t="n">
        <x:f>IF(AND(BF38&gt;0,BF$3&lt;EDATE($B$8,'Вводные'!$H$88)),BF38*BF41/12,0)</x:f>
      </x:c>
      <x:c r="BG42" s="117" t="n">
        <x:f>IF(AND(BG38&gt;0,BG$3&lt;EDATE($B$8,'Вводные'!$H$88)),BG38*BG41/12,0)</x:f>
      </x:c>
      <x:c r="BH42" s="117" t="n">
        <x:f>IF(AND(BH38&gt;0,BH$3&lt;EDATE($B$8,'Вводные'!$H$88)),BH38*BH41/12,0)</x:f>
      </x:c>
      <x:c r="BI42" s="117" t="n">
        <x:f>IF(AND(BI38&gt;0,BI$3&lt;EDATE($B$8,'Вводные'!$H$88)),BI38*BI41/12,0)</x:f>
      </x:c>
      <x:c r="BJ42" s="117" t="n">
        <x:f>IF(AND(BJ38&gt;0,BJ$3&lt;EDATE($B$8,'Вводные'!$H$88)),BJ38*BJ41/12,0)</x:f>
      </x:c>
      <x:c r="BK42" s="117" t="n">
        <x:f>IF(AND(BK38&gt;0,BK$3&lt;EDATE($B$8,'Вводные'!$H$88)),BK38*BK41/12,0)</x:f>
      </x:c>
      <x:c r="BL42" s="117" t="n">
        <x:f>IF(AND(BL38&gt;0,BL$3&lt;EDATE($B$8,'Вводные'!$H$88)),BL38*BL41/12,0)</x:f>
      </x:c>
      <x:c r="BM42" s="117" t="n">
        <x:f>IF(AND(BM38&gt;0,BM$3&lt;EDATE($B$8,'Вводные'!$H$88)),BM38*BM41/12,0)</x:f>
      </x:c>
      <x:c r="BN42" s="117" t="n">
        <x:f>IF(AND(BN38&gt;0,BN$3&lt;EDATE($B$8,'Вводные'!$H$88)),BN38*BN41/12,0)</x:f>
      </x:c>
      <x:c r="BO42" s="117" t="n">
        <x:f>IF(AND(BO38&gt;0,BO$3&lt;EDATE($B$8,'Вводные'!$H$88)),BO38*BO41/12,0)</x:f>
      </x:c>
      <x:c r="BP42" s="117" t="n">
        <x:f>IF(AND(BP38&gt;0,BP$3&lt;EDATE($B$8,'Вводные'!$H$88)),BP38*BP41/12,0)</x:f>
      </x:c>
      <x:c r="BQ42" s="117" t="n">
        <x:f>IF(AND(BQ38&gt;0,BQ$3&lt;EDATE($B$8,'Вводные'!$H$88)),BQ38*BQ41/12,0)</x:f>
      </x:c>
      <x:c r="BR42" s="117" t="n">
        <x:f>IF(AND(BR38&gt;0,BR$3&lt;EDATE($B$8,'Вводные'!$H$88)),BR38*BR41/12,0)</x:f>
      </x:c>
      <x:c r="BS42" s="117" t="n">
        <x:f>IF(AND(BS38&gt;0,BS$3&lt;EDATE($B$8,'Вводные'!$H$88)),BS38*BS41/12,0)</x:f>
      </x:c>
      <x:c r="BT42" s="117" t="n">
        <x:f>IF(AND(BT38&gt;0,BT$3&lt;EDATE($B$8,'Вводные'!$H$88)),BT38*BT41/12,0)</x:f>
      </x:c>
      <x:c r="BU42" s="117" t="n">
        <x:f>IF(AND(BU38&gt;0,BU$3&lt;EDATE($B$8,'Вводные'!$H$88)),BU38*BU41/12,0)</x:f>
      </x:c>
      <x:c r="BV42" s="117" t="n">
        <x:f>IF(AND(BV38&gt;0,BV$3&lt;EDATE($B$8,'Вводные'!$H$88)),BV38*BV41/12,0)</x:f>
      </x:c>
      <x:c r="BW42" s="117" t="n">
        <x:f>IF(AND(BW38&gt;0,BW$3&lt;EDATE($B$8,'Вводные'!$H$88)),BW38*BW41/12,0)</x:f>
      </x:c>
      <x:c r="BX42" s="117" t="n">
        <x:f>IF(AND(BX38&gt;0,BX$3&lt;EDATE($B$8,'Вводные'!$H$88)),BX38*BX41/12,0)</x:f>
      </x:c>
      <x:c r="BY42" s="117" t="n">
        <x:f>IF(AND(BY38&gt;0,BY$3&lt;EDATE($B$8,'Вводные'!$H$88)),BY38*BY41/12,0)</x:f>
      </x:c>
      <x:c r="BZ42" s="117" t="n">
        <x:f>IF(AND(BZ38&gt;0,BZ$3&lt;EDATE($B$8,'Вводные'!$H$88)),BZ38*BZ41/12,0)</x:f>
      </x:c>
      <x:c r="CA42" s="117" t="n">
        <x:f>IF(AND(CA38&gt;0,CA$3&lt;EDATE($B$8,'Вводные'!$H$88)),CA38*CA41/12,0)</x:f>
      </x:c>
      <x:c r="CB42" s="117" t="n">
        <x:f>IF(AND(CB38&gt;0,CB$3&lt;EDATE($B$8,'Вводные'!$H$88)),CB38*CB41/12,0)</x:f>
      </x:c>
      <x:c r="CC42" s="117" t="n">
        <x:f>IF(AND(CC38&gt;0,CC$3&lt;EDATE($B$8,'Вводные'!$H$88)),CC38*CC41/12,0)</x:f>
      </x:c>
      <x:c r="CD42" s="117" t="n">
        <x:f>IF(AND(CD38&gt;0,CD$3&lt;EDATE($B$8,'Вводные'!$H$88)),CD38*CD41/12,0)</x:f>
      </x:c>
      <x:c r="CE42" s="117" t="n">
        <x:f>IF(AND(CE38&gt;0,CE$3&lt;EDATE($B$8,'Вводные'!$H$88)),CE38*CE41/12,0)</x:f>
      </x:c>
      <x:c r="CF42" s="117" t="n">
        <x:f>IF(AND(CF38&gt;0,CF$3&lt;EDATE($B$8,'Вводные'!$H$88)),CF38*CF41/12,0)</x:f>
      </x:c>
      <x:c r="CG42" s="117" t="n">
        <x:f>IF(AND(CG38&gt;0,CG$3&lt;EDATE($B$8,'Вводные'!$H$88)),CG38*CG41/12,0)</x:f>
      </x:c>
      <x:c r="CH42" s="117" t="n">
        <x:f>IF(AND(CH38&gt;0,CH$3&lt;EDATE($B$8,'Вводные'!$H$88)),CH38*CH41/12,0)</x:f>
      </x:c>
      <x:c r="CI42" s="117" t="n">
        <x:f>IF(AND(CI38&gt;0,CI$3&lt;EDATE($B$8,'Вводные'!$H$88)),CI38*CI41/12,0)</x:f>
      </x:c>
      <x:c r="CJ42" s="117" t="n">
        <x:f>IF(AND(CJ38&gt;0,CJ$3&lt;EDATE($B$8,'Вводные'!$H$88)),CJ38*CJ41/12,0)</x:f>
      </x:c>
      <x:c r="CK42" s="117" t="n">
        <x:f>IF(AND(CK38&gt;0,CK$3&lt;EDATE($B$8,'Вводные'!$H$88)),CK38*CK41/12,0)</x:f>
      </x:c>
      <x:c r="CL42" s="117" t="n">
        <x:f>IF(AND(CL38&gt;0,CL$3&lt;EDATE($B$8,'Вводные'!$H$88)),CL38*CL41/12,0)</x:f>
      </x:c>
      <x:c r="CM42" s="117" t="n">
        <x:f>IF(AND(CM38&gt;0,CM$3&lt;EDATE($B$8,'Вводные'!$H$88)),CM38*CM41/12,0)</x:f>
      </x:c>
      <x:c r="CN42" s="117" t="n">
        <x:f>IF(AND(CN38&gt;0,CN$3&lt;EDATE($B$8,'Вводные'!$H$88)),CN38*CN41/12,0)</x:f>
      </x:c>
      <x:c r="CO42" s="117" t="n">
        <x:f>IF(AND(CO38&gt;0,CO$3&lt;EDATE($B$8,'Вводные'!$H$88)),CO38*CO41/12,0)</x:f>
      </x:c>
      <x:c r="CP42" s="117" t="n">
        <x:f>IF(AND(CP38&gt;0,CP$3&lt;EDATE($B$8,'Вводные'!$H$88)),CP38*CP41/12,0)</x:f>
      </x:c>
      <x:c r="CQ42" s="117" t="n">
        <x:f>IF(AND(CQ38&gt;0,CQ$3&lt;EDATE($B$8,'Вводные'!$H$88)),CQ38*CQ41/12,0)</x:f>
      </x:c>
      <x:c r="CR42" s="117" t="n">
        <x:f>IF(AND(CR38&gt;0,CR$3&lt;EDATE($B$8,'Вводные'!$H$88)),CR38*CR41/12,0)</x:f>
      </x:c>
      <x:c r="CS42" s="117" t="n">
        <x:f>IF(AND(CS38&gt;0,CS$3&lt;EDATE($B$8,'Вводные'!$H$88)),CS38*CS41/12,0)</x:f>
      </x:c>
      <x:c r="CT42" s="117" t="n">
        <x:f>IF(AND(CT38&gt;0,CT$3&lt;EDATE($B$8,'Вводные'!$H$88)),CT38*CT41/12,0)</x:f>
      </x:c>
      <x:c r="CU42" s="117" t="n">
        <x:f>IF(AND(CU38&gt;0,CU$3&lt;EDATE($B$8,'Вводные'!$H$88)),CU38*CU41/12,0)</x:f>
      </x:c>
      <x:c r="CV42" s="117" t="n">
        <x:f>IF(AND(CV38&gt;0,CV$3&lt;EDATE($B$8,'Вводные'!$H$88)),CV38*CV41/12,0)</x:f>
      </x:c>
      <x:c r="CW42" s="117" t="n">
        <x:f>IF(AND(CW38&gt;0,CW$3&lt;EDATE($B$8,'Вводные'!$H$88)),CW38*CW41/12,0)</x:f>
      </x:c>
      <x:c r="CX42" s="117" t="n">
        <x:f>IF(AND(CX38&gt;0,CX$3&lt;EDATE($B$8,'Вводные'!$H$88)),CX38*CX41/12,0)</x:f>
      </x:c>
      <x:c r="CY42" s="117" t="n">
        <x:f>IF(AND(CY38&gt;0,CY$3&lt;EDATE($B$8,'Вводные'!$H$88)),CY38*CY41/12,0)</x:f>
      </x:c>
      <x:c r="CZ42" s="117" t="n">
        <x:f>IF(AND(CZ38&gt;0,CZ$3&lt;EDATE($B$8,'Вводные'!$H$88)),CZ38*CZ41/12,0)</x:f>
      </x:c>
      <x:c r="DA42" s="117" t="n">
        <x:f>IF(AND(DA38&gt;0,DA$3&lt;EDATE($B$8,'Вводные'!$H$88)),DA38*DA41/12,0)</x:f>
      </x:c>
      <x:c r="DB42" s="117" t="n">
        <x:f>IF(AND(DB38&gt;0,DB$3&lt;EDATE($B$8,'Вводные'!$H$88)),DB38*DB41/12,0)</x:f>
      </x:c>
      <x:c r="DC42" s="117" t="n">
        <x:f>IF(AND(DC38&gt;0,DC$3&lt;EDATE($B$8,'Вводные'!$H$88)),DC38*DC41/12,0)</x:f>
      </x:c>
      <x:c r="DD42" s="117" t="n">
        <x:f>IF(AND(DD38&gt;0,DD$3&lt;EDATE($B$8,'Вводные'!$H$88)),DD38*DD41/12,0)</x:f>
      </x:c>
      <x:c r="DE42" s="117" t="n">
        <x:f>IF(AND(DE38&gt;0,DE$3&lt;EDATE($B$8,'Вводные'!$H$88)),DE38*DE41/12,0)</x:f>
      </x:c>
      <x:c r="DF42" s="117" t="n">
        <x:f>IF(AND(DF38&gt;0,DF$3&lt;EDATE($B$8,'Вводные'!$H$88)),DF38*DF41/12,0)</x:f>
      </x:c>
      <x:c r="DG42" s="117" t="n">
        <x:f>IF(AND(DG38&gt;0,DG$3&lt;EDATE($B$8,'Вводные'!$H$88)),DG38*DG41/12,0)</x:f>
      </x:c>
      <x:c r="DH42" s="117" t="n">
        <x:f>IF(AND(DH38&gt;0,DH$3&lt;EDATE($B$8,'Вводные'!$H$88)),DH38*DH41/12,0)</x:f>
      </x:c>
      <x:c r="DI42" s="117" t="n">
        <x:f>IF(AND(DI38&gt;0,DI$3&lt;EDATE($B$8,'Вводные'!$H$88)),DI38*DI41/12,0)</x:f>
      </x:c>
      <x:c r="DJ42" s="117" t="n">
        <x:f>IF(AND(DJ38&gt;0,DJ$3&lt;EDATE($B$8,'Вводные'!$H$88)),DJ38*DJ41/12,0)</x:f>
      </x:c>
      <x:c r="DK42" s="117" t="n">
        <x:f>IF(AND(DK38&gt;0,DK$3&lt;EDATE($B$8,'Вводные'!$H$88)),DK38*DK41/12,0)</x:f>
      </x:c>
      <x:c r="DL42" s="117" t="n">
        <x:f>IF(AND(DL38&gt;0,DL$3&lt;EDATE($B$8,'Вводные'!$H$88)),DL38*DL41/12,0)</x:f>
      </x:c>
      <x:c r="DM42" s="117" t="n">
        <x:f>IF(AND(DM38&gt;0,DM$3&lt;EDATE($B$8,'Вводные'!$H$88)),DM38*DM41/12,0)</x:f>
      </x:c>
      <x:c r="DN42" s="117" t="n">
        <x:f>IF(AND(DN38&gt;0,DN$3&lt;EDATE($B$8,'Вводные'!$H$88)),DN38*DN41/12,0)</x:f>
      </x:c>
      <x:c r="DO42" s="117" t="n">
        <x:f>IF(AND(DO38&gt;0,DO$3&lt;EDATE($B$8,'Вводные'!$H$88)),DO38*DO41/12,0)</x:f>
      </x:c>
      <x:c r="DP42" s="117" t="n">
        <x:f>IF(AND(DP38&gt;0,DP$3&lt;EDATE($B$8,'Вводные'!$H$88)),DP38*DP41/12,0)</x:f>
      </x:c>
      <x:c r="DQ42" s="117" t="n">
        <x:f>IF(AND(DQ38&gt;0,DQ$3&lt;EDATE($B$8,'Вводные'!$H$88)),DQ38*DQ41/12,0)</x:f>
      </x:c>
      <x:c r="DR42" s="117" t="n">
        <x:f>IF(AND(DR38&gt;0,DR$3&lt;EDATE($B$8,'Вводные'!$H$88)),DR38*DR41/12,0)</x:f>
      </x:c>
      <x:c r="DS42" s="117" t="n">
        <x:f>IF(AND(DS38&gt;0,DS$3&lt;EDATE($B$8,'Вводные'!$H$88)),DS38*DS41/12,0)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OR(D38&gt;0,D$3&lt;=$B$8),D$3&gt;=$B$7,D$3&lt;EDATE($B$8,'Вводные'!$H$88)),MAX(0,'Вводные'!$B$26*'Вводные'!$V$88-D38)*'Вводные'!$B$29/12,0)+IF(AND(YEAR(D$3)=YEAR($B$7),MONTH(D$3)=MONTH($B$7)),'Вводные'!$B$26*'Вводные'!$V$88*'Вводные'!$B$30,0)</x:f>
      </x:c>
      <x:c r="E43" s="117" t="n">
        <x:f>IF(AND(OR(E38&gt;0,E$3&lt;=$B$8),E$3&gt;=$B$7,E$3&lt;EDATE($B$8,'Вводные'!$H$88)),MAX(0,'Вводные'!$B$26*'Вводные'!$V$88-E38)*'Вводные'!$B$29/12,0)+IF(AND(YEAR(E$3)=YEAR($B$7),MONTH(E$3)=MONTH($B$7)),'Вводные'!$B$26*'Вводные'!$V$88*'Вводные'!$B$30,0)</x:f>
      </x:c>
      <x:c r="F43" s="117" t="n">
        <x:f>IF(AND(OR(F38&gt;0,F$3&lt;=$B$8),F$3&gt;=$B$7,F$3&lt;EDATE($B$8,'Вводные'!$H$88)),MAX(0,'Вводные'!$B$26*'Вводные'!$V$88-F38)*'Вводные'!$B$29/12,0)+IF(AND(YEAR(F$3)=YEAR($B$7),MONTH(F$3)=MONTH($B$7)),'Вводные'!$B$26*'Вводные'!$V$88*'Вводные'!$B$30,0)</x:f>
      </x:c>
      <x:c r="G43" s="117" t="n">
        <x:f>IF(AND(OR(G38&gt;0,G$3&lt;=$B$8),G$3&gt;=$B$7,G$3&lt;EDATE($B$8,'Вводные'!$H$88)),MAX(0,'Вводные'!$B$26*'Вводные'!$V$88-G38)*'Вводные'!$B$29/12,0)+IF(AND(YEAR(G$3)=YEAR($B$7),MONTH(G$3)=MONTH($B$7)),'Вводные'!$B$26*'Вводные'!$V$88*'Вводные'!$B$30,0)</x:f>
      </x:c>
      <x:c r="H43" s="117" t="n">
        <x:f>IF(AND(OR(H38&gt;0,H$3&lt;=$B$8),H$3&gt;=$B$7,H$3&lt;EDATE($B$8,'Вводные'!$H$88)),MAX(0,'Вводные'!$B$26*'Вводные'!$V$88-H38)*'Вводные'!$B$29/12,0)+IF(AND(YEAR(H$3)=YEAR($B$7),MONTH(H$3)=MONTH($B$7)),'Вводные'!$B$26*'Вводные'!$V$88*'Вводные'!$B$30,0)</x:f>
      </x:c>
      <x:c r="I43" s="117" t="n">
        <x:f>IF(AND(OR(I38&gt;0,I$3&lt;=$B$8),I$3&gt;=$B$7,I$3&lt;EDATE($B$8,'Вводные'!$H$88)),MAX(0,'Вводные'!$B$26*'Вводные'!$V$88-I38)*'Вводные'!$B$29/12,0)+IF(AND(YEAR(I$3)=YEAR($B$7),MONTH(I$3)=MONTH($B$7)),'Вводные'!$B$26*'Вводные'!$V$88*'Вводные'!$B$30,0)</x:f>
      </x:c>
      <x:c r="J43" s="117" t="n">
        <x:f>IF(AND(OR(J38&gt;0,J$3&lt;=$B$8),J$3&gt;=$B$7,J$3&lt;EDATE($B$8,'Вводные'!$H$88)),MAX(0,'Вводные'!$B$26*'Вводные'!$V$88-J38)*'Вводные'!$B$29/12,0)+IF(AND(YEAR(J$3)=YEAR($B$7),MONTH(J$3)=MONTH($B$7)),'Вводные'!$B$26*'Вводные'!$V$88*'Вводные'!$B$30,0)</x:f>
      </x:c>
      <x:c r="K43" s="117" t="n">
        <x:f>IF(AND(OR(K38&gt;0,K$3&lt;=$B$8),K$3&gt;=$B$7,K$3&lt;EDATE($B$8,'Вводные'!$H$88)),MAX(0,'Вводные'!$B$26*'Вводные'!$V$88-K38)*'Вводные'!$B$29/12,0)+IF(AND(YEAR(K$3)=YEAR($B$7),MONTH(K$3)=MONTH($B$7)),'Вводные'!$B$26*'Вводные'!$V$88*'Вводные'!$B$30,0)</x:f>
      </x:c>
      <x:c r="L43" s="117" t="n">
        <x:f>IF(AND(OR(L38&gt;0,L$3&lt;=$B$8),L$3&gt;=$B$7,L$3&lt;EDATE($B$8,'Вводные'!$H$88)),MAX(0,'Вводные'!$B$26*'Вводные'!$V$88-L38)*'Вводные'!$B$29/12,0)+IF(AND(YEAR(L$3)=YEAR($B$7),MONTH(L$3)=MONTH($B$7)),'Вводные'!$B$26*'Вводные'!$V$88*'Вводные'!$B$30,0)</x:f>
      </x:c>
      <x:c r="M43" s="117" t="n">
        <x:f>IF(AND(OR(M38&gt;0,M$3&lt;=$B$8),M$3&gt;=$B$7,M$3&lt;EDATE($B$8,'Вводные'!$H$88)),MAX(0,'Вводные'!$B$26*'Вводные'!$V$88-M38)*'Вводные'!$B$29/12,0)+IF(AND(YEAR(M$3)=YEAR($B$7),MONTH(M$3)=MONTH($B$7)),'Вводные'!$B$26*'Вводные'!$V$88*'Вводные'!$B$30,0)</x:f>
      </x:c>
      <x:c r="N43" s="117" t="n">
        <x:f>IF(AND(OR(N38&gt;0,N$3&lt;=$B$8),N$3&gt;=$B$7,N$3&lt;EDATE($B$8,'Вводные'!$H$88)),MAX(0,'Вводные'!$B$26*'Вводные'!$V$88-N38)*'Вводные'!$B$29/12,0)+IF(AND(YEAR(N$3)=YEAR($B$7),MONTH(N$3)=MONTH($B$7)),'Вводные'!$B$26*'Вводные'!$V$88*'Вводные'!$B$30,0)</x:f>
      </x:c>
      <x:c r="O43" s="117" t="n">
        <x:f>IF(AND(OR(O38&gt;0,O$3&lt;=$B$8),O$3&gt;=$B$7,O$3&lt;EDATE($B$8,'Вводные'!$H$88)),MAX(0,'Вводные'!$B$26*'Вводные'!$V$88-O38)*'Вводные'!$B$29/12,0)+IF(AND(YEAR(O$3)=YEAR($B$7),MONTH(O$3)=MONTH($B$7)),'Вводные'!$B$26*'Вводные'!$V$88*'Вводные'!$B$30,0)</x:f>
      </x:c>
      <x:c r="P43" s="117" t="n">
        <x:f>IF(AND(OR(P38&gt;0,P$3&lt;=$B$8),P$3&gt;=$B$7,P$3&lt;EDATE($B$8,'Вводные'!$H$88)),MAX(0,'Вводные'!$B$26*'Вводные'!$V$88-P38)*'Вводные'!$B$29/12,0)+IF(AND(YEAR(P$3)=YEAR($B$7),MONTH(P$3)=MONTH($B$7)),'Вводные'!$B$26*'Вводные'!$V$88*'Вводные'!$B$30,0)</x:f>
      </x:c>
      <x:c r="Q43" s="117" t="n">
        <x:f>IF(AND(OR(Q38&gt;0,Q$3&lt;=$B$8),Q$3&gt;=$B$7,Q$3&lt;EDATE($B$8,'Вводные'!$H$88)),MAX(0,'Вводные'!$B$26*'Вводные'!$V$88-Q38)*'Вводные'!$B$29/12,0)+IF(AND(YEAR(Q$3)=YEAR($B$7),MONTH(Q$3)=MONTH($B$7)),'Вводные'!$B$26*'Вводные'!$V$88*'Вводные'!$B$30,0)</x:f>
      </x:c>
      <x:c r="R43" s="117" t="n">
        <x:f>IF(AND(OR(R38&gt;0,R$3&lt;=$B$8),R$3&gt;=$B$7,R$3&lt;EDATE($B$8,'Вводные'!$H$88)),MAX(0,'Вводные'!$B$26*'Вводные'!$V$88-R38)*'Вводные'!$B$29/12,0)+IF(AND(YEAR(R$3)=YEAR($B$7),MONTH(R$3)=MONTH($B$7)),'Вводные'!$B$26*'Вводные'!$V$88*'Вводные'!$B$30,0)</x:f>
      </x:c>
      <x:c r="S43" s="117" t="n">
        <x:f>IF(AND(OR(S38&gt;0,S$3&lt;=$B$8),S$3&gt;=$B$7,S$3&lt;EDATE($B$8,'Вводные'!$H$88)),MAX(0,'Вводные'!$B$26*'Вводные'!$V$88-S38)*'Вводные'!$B$29/12,0)+IF(AND(YEAR(S$3)=YEAR($B$7),MONTH(S$3)=MONTH($B$7)),'Вводные'!$B$26*'Вводные'!$V$88*'Вводные'!$B$30,0)</x:f>
      </x:c>
      <x:c r="T43" s="117" t="n">
        <x:f>IF(AND(OR(T38&gt;0,T$3&lt;=$B$8),T$3&gt;=$B$7,T$3&lt;EDATE($B$8,'Вводные'!$H$88)),MAX(0,'Вводные'!$B$26*'Вводные'!$V$88-T38)*'Вводные'!$B$29/12,0)+IF(AND(YEAR(T$3)=YEAR($B$7),MONTH(T$3)=MONTH($B$7)),'Вводные'!$B$26*'Вводные'!$V$88*'Вводные'!$B$30,0)</x:f>
      </x:c>
      <x:c r="U43" s="117" t="n">
        <x:f>IF(AND(OR(U38&gt;0,U$3&lt;=$B$8),U$3&gt;=$B$7,U$3&lt;EDATE($B$8,'Вводные'!$H$88)),MAX(0,'Вводные'!$B$26*'Вводные'!$V$88-U38)*'Вводные'!$B$29/12,0)+IF(AND(YEAR(U$3)=YEAR($B$7),MONTH(U$3)=MONTH($B$7)),'Вводные'!$B$26*'Вводные'!$V$88*'Вводные'!$B$30,0)</x:f>
      </x:c>
      <x:c r="V43" s="117" t="n">
        <x:f>IF(AND(OR(V38&gt;0,V$3&lt;=$B$8),V$3&gt;=$B$7,V$3&lt;EDATE($B$8,'Вводные'!$H$88)),MAX(0,'Вводные'!$B$26*'Вводные'!$V$88-V38)*'Вводные'!$B$29/12,0)+IF(AND(YEAR(V$3)=YEAR($B$7),MONTH(V$3)=MONTH($B$7)),'Вводные'!$B$26*'Вводные'!$V$88*'Вводные'!$B$30,0)</x:f>
      </x:c>
      <x:c r="W43" s="117" t="n">
        <x:f>IF(AND(OR(W38&gt;0,W$3&lt;=$B$8),W$3&gt;=$B$7,W$3&lt;EDATE($B$8,'Вводные'!$H$88)),MAX(0,'Вводные'!$B$26*'Вводные'!$V$88-W38)*'Вводные'!$B$29/12,0)+IF(AND(YEAR(W$3)=YEAR($B$7),MONTH(W$3)=MONTH($B$7)),'Вводные'!$B$26*'Вводные'!$V$88*'Вводные'!$B$30,0)</x:f>
      </x:c>
      <x:c r="X43" s="117" t="n">
        <x:f>IF(AND(OR(X38&gt;0,X$3&lt;=$B$8),X$3&gt;=$B$7,X$3&lt;EDATE($B$8,'Вводные'!$H$88)),MAX(0,'Вводные'!$B$26*'Вводные'!$V$88-X38)*'Вводные'!$B$29/12,0)+IF(AND(YEAR(X$3)=YEAR($B$7),MONTH(X$3)=MONTH($B$7)),'Вводные'!$B$26*'Вводные'!$V$88*'Вводные'!$B$30,0)</x:f>
      </x:c>
      <x:c r="Y43" s="117" t="n">
        <x:f>IF(AND(OR(Y38&gt;0,Y$3&lt;=$B$8),Y$3&gt;=$B$7,Y$3&lt;EDATE($B$8,'Вводные'!$H$88)),MAX(0,'Вводные'!$B$26*'Вводные'!$V$88-Y38)*'Вводные'!$B$29/12,0)+IF(AND(YEAR(Y$3)=YEAR($B$7),MONTH(Y$3)=MONTH($B$7)),'Вводные'!$B$26*'Вводные'!$V$88*'Вводные'!$B$30,0)</x:f>
      </x:c>
      <x:c r="Z43" s="117" t="n">
        <x:f>IF(AND(OR(Z38&gt;0,Z$3&lt;=$B$8),Z$3&gt;=$B$7,Z$3&lt;EDATE($B$8,'Вводные'!$H$88)),MAX(0,'Вводные'!$B$26*'Вводные'!$V$88-Z38)*'Вводные'!$B$29/12,0)+IF(AND(YEAR(Z$3)=YEAR($B$7),MONTH(Z$3)=MONTH($B$7)),'Вводные'!$B$26*'Вводные'!$V$88*'Вводные'!$B$30,0)</x:f>
      </x:c>
      <x:c r="AA43" s="117" t="n">
        <x:f>IF(AND(OR(AA38&gt;0,AA$3&lt;=$B$8),AA$3&gt;=$B$7,AA$3&lt;EDATE($B$8,'Вводные'!$H$88)),MAX(0,'Вводные'!$B$26*'Вводные'!$V$88-AA38)*'Вводные'!$B$29/12,0)+IF(AND(YEAR(AA$3)=YEAR($B$7),MONTH(AA$3)=MONTH($B$7)),'Вводные'!$B$26*'Вводные'!$V$88*'Вводные'!$B$30,0)</x:f>
      </x:c>
      <x:c r="AB43" s="117" t="n">
        <x:f>IF(AND(OR(AB38&gt;0,AB$3&lt;=$B$8),AB$3&gt;=$B$7,AB$3&lt;EDATE($B$8,'Вводные'!$H$88)),MAX(0,'Вводные'!$B$26*'Вводные'!$V$88-AB38)*'Вводные'!$B$29/12,0)+IF(AND(YEAR(AB$3)=YEAR($B$7),MONTH(AB$3)=MONTH($B$7)),'Вводные'!$B$26*'Вводные'!$V$88*'Вводные'!$B$30,0)</x:f>
      </x:c>
      <x:c r="AC43" s="117" t="n">
        <x:f>IF(AND(OR(AC38&gt;0,AC$3&lt;=$B$8),AC$3&gt;=$B$7,AC$3&lt;EDATE($B$8,'Вводные'!$H$88)),MAX(0,'Вводные'!$B$26*'Вводные'!$V$88-AC38)*'Вводные'!$B$29/12,0)+IF(AND(YEAR(AC$3)=YEAR($B$7),MONTH(AC$3)=MONTH($B$7)),'Вводные'!$B$26*'Вводные'!$V$88*'Вводные'!$B$30,0)</x:f>
      </x:c>
      <x:c r="AD43" s="117" t="n">
        <x:f>IF(AND(OR(AD38&gt;0,AD$3&lt;=$B$8),AD$3&gt;=$B$7,AD$3&lt;EDATE($B$8,'Вводные'!$H$88)),MAX(0,'Вводные'!$B$26*'Вводные'!$V$88-AD38)*'Вводные'!$B$29/12,0)+IF(AND(YEAR(AD$3)=YEAR($B$7),MONTH(AD$3)=MONTH($B$7)),'Вводные'!$B$26*'Вводные'!$V$88*'Вводные'!$B$30,0)</x:f>
      </x:c>
      <x:c r="AE43" s="117" t="n">
        <x:f>IF(AND(OR(AE38&gt;0,AE$3&lt;=$B$8),AE$3&gt;=$B$7,AE$3&lt;EDATE($B$8,'Вводные'!$H$88)),MAX(0,'Вводные'!$B$26*'Вводные'!$V$88-AE38)*'Вводные'!$B$29/12,0)+IF(AND(YEAR(AE$3)=YEAR($B$7),MONTH(AE$3)=MONTH($B$7)),'Вводные'!$B$26*'Вводные'!$V$88*'Вводные'!$B$30,0)</x:f>
      </x:c>
      <x:c r="AF43" s="117" t="n">
        <x:f>IF(AND(OR(AF38&gt;0,AF$3&lt;=$B$8),AF$3&gt;=$B$7,AF$3&lt;EDATE($B$8,'Вводные'!$H$88)),MAX(0,'Вводные'!$B$26*'Вводные'!$V$88-AF38)*'Вводные'!$B$29/12,0)+IF(AND(YEAR(AF$3)=YEAR($B$7),MONTH(AF$3)=MONTH($B$7)),'Вводные'!$B$26*'Вводные'!$V$88*'Вводные'!$B$30,0)</x:f>
      </x:c>
      <x:c r="AG43" s="117" t="n">
        <x:f>IF(AND(OR(AG38&gt;0,AG$3&lt;=$B$8),AG$3&gt;=$B$7,AG$3&lt;EDATE($B$8,'Вводные'!$H$88)),MAX(0,'Вводные'!$B$26*'Вводные'!$V$88-AG38)*'Вводные'!$B$29/12,0)+IF(AND(YEAR(AG$3)=YEAR($B$7),MONTH(AG$3)=MONTH($B$7)),'Вводные'!$B$26*'Вводные'!$V$88*'Вводные'!$B$30,0)</x:f>
      </x:c>
      <x:c r="AH43" s="117" t="n">
        <x:f>IF(AND(OR(AH38&gt;0,AH$3&lt;=$B$8),AH$3&gt;=$B$7,AH$3&lt;EDATE($B$8,'Вводные'!$H$88)),MAX(0,'Вводные'!$B$26*'Вводные'!$V$88-AH38)*'Вводные'!$B$29/12,0)+IF(AND(YEAR(AH$3)=YEAR($B$7),MONTH(AH$3)=MONTH($B$7)),'Вводные'!$B$26*'Вводные'!$V$88*'Вводные'!$B$30,0)</x:f>
      </x:c>
      <x:c r="AI43" s="117" t="n">
        <x:f>IF(AND(OR(AI38&gt;0,AI$3&lt;=$B$8),AI$3&gt;=$B$7,AI$3&lt;EDATE($B$8,'Вводные'!$H$88)),MAX(0,'Вводные'!$B$26*'Вводные'!$V$88-AI38)*'Вводные'!$B$29/12,0)+IF(AND(YEAR(AI$3)=YEAR($B$7),MONTH(AI$3)=MONTH($B$7)),'Вводные'!$B$26*'Вводные'!$V$88*'Вводные'!$B$30,0)</x:f>
      </x:c>
      <x:c r="AJ43" s="117" t="n">
        <x:f>IF(AND(OR(AJ38&gt;0,AJ$3&lt;=$B$8),AJ$3&gt;=$B$7,AJ$3&lt;EDATE($B$8,'Вводные'!$H$88)),MAX(0,'Вводные'!$B$26*'Вводные'!$V$88-AJ38)*'Вводные'!$B$29/12,0)+IF(AND(YEAR(AJ$3)=YEAR($B$7),MONTH(AJ$3)=MONTH($B$7)),'Вводные'!$B$26*'Вводные'!$V$88*'Вводные'!$B$30,0)</x:f>
      </x:c>
      <x:c r="AK43" s="117" t="n">
        <x:f>IF(AND(OR(AK38&gt;0,AK$3&lt;=$B$8),AK$3&gt;=$B$7,AK$3&lt;EDATE($B$8,'Вводные'!$H$88)),MAX(0,'Вводные'!$B$26*'Вводные'!$V$88-AK38)*'Вводные'!$B$29/12,0)+IF(AND(YEAR(AK$3)=YEAR($B$7),MONTH(AK$3)=MONTH($B$7)),'Вводные'!$B$26*'Вводные'!$V$88*'Вводные'!$B$30,0)</x:f>
      </x:c>
      <x:c r="AL43" s="117" t="n">
        <x:f>IF(AND(OR(AL38&gt;0,AL$3&lt;=$B$8),AL$3&gt;=$B$7,AL$3&lt;EDATE($B$8,'Вводные'!$H$88)),MAX(0,'Вводные'!$B$26*'Вводные'!$V$88-AL38)*'Вводные'!$B$29/12,0)+IF(AND(YEAR(AL$3)=YEAR($B$7),MONTH(AL$3)=MONTH($B$7)),'Вводные'!$B$26*'Вводные'!$V$88*'Вводные'!$B$30,0)</x:f>
      </x:c>
      <x:c r="AM43" s="117" t="n">
        <x:f>IF(AND(OR(AM38&gt;0,AM$3&lt;=$B$8),AM$3&gt;=$B$7,AM$3&lt;EDATE($B$8,'Вводные'!$H$88)),MAX(0,'Вводные'!$B$26*'Вводные'!$V$88-AM38)*'Вводные'!$B$29/12,0)+IF(AND(YEAR(AM$3)=YEAR($B$7),MONTH(AM$3)=MONTH($B$7)),'Вводные'!$B$26*'Вводные'!$V$88*'Вводные'!$B$30,0)</x:f>
      </x:c>
      <x:c r="AN43" s="117" t="n">
        <x:f>IF(AND(OR(AN38&gt;0,AN$3&lt;=$B$8),AN$3&gt;=$B$7,AN$3&lt;EDATE($B$8,'Вводные'!$H$88)),MAX(0,'Вводные'!$B$26*'Вводные'!$V$88-AN38)*'Вводные'!$B$29/12,0)+IF(AND(YEAR(AN$3)=YEAR($B$7),MONTH(AN$3)=MONTH($B$7)),'Вводные'!$B$26*'Вводные'!$V$88*'Вводные'!$B$30,0)</x:f>
      </x:c>
      <x:c r="AO43" s="117" t="n">
        <x:f>IF(AND(OR(AO38&gt;0,AO$3&lt;=$B$8),AO$3&gt;=$B$7,AO$3&lt;EDATE($B$8,'Вводные'!$H$88)),MAX(0,'Вводные'!$B$26*'Вводные'!$V$88-AO38)*'Вводные'!$B$29/12,0)+IF(AND(YEAR(AO$3)=YEAR($B$7),MONTH(AO$3)=MONTH($B$7)),'Вводные'!$B$26*'Вводные'!$V$88*'Вводные'!$B$30,0)</x:f>
      </x:c>
      <x:c r="AP43" s="117" t="n">
        <x:f>IF(AND(OR(AP38&gt;0,AP$3&lt;=$B$8),AP$3&gt;=$B$7,AP$3&lt;EDATE($B$8,'Вводные'!$H$88)),MAX(0,'Вводные'!$B$26*'Вводные'!$V$88-AP38)*'Вводные'!$B$29/12,0)+IF(AND(YEAR(AP$3)=YEAR($B$7),MONTH(AP$3)=MONTH($B$7)),'Вводные'!$B$26*'Вводные'!$V$88*'Вводные'!$B$30,0)</x:f>
      </x:c>
      <x:c r="AQ43" s="117" t="n">
        <x:f>IF(AND(OR(AQ38&gt;0,AQ$3&lt;=$B$8),AQ$3&gt;=$B$7,AQ$3&lt;EDATE($B$8,'Вводные'!$H$88)),MAX(0,'Вводные'!$B$26*'Вводные'!$V$88-AQ38)*'Вводные'!$B$29/12,0)+IF(AND(YEAR(AQ$3)=YEAR($B$7),MONTH(AQ$3)=MONTH($B$7)),'Вводные'!$B$26*'Вводные'!$V$88*'Вводные'!$B$30,0)</x:f>
      </x:c>
      <x:c r="AR43" s="117" t="n">
        <x:f>IF(AND(OR(AR38&gt;0,AR$3&lt;=$B$8),AR$3&gt;=$B$7,AR$3&lt;EDATE($B$8,'Вводные'!$H$88)),MAX(0,'Вводные'!$B$26*'Вводные'!$V$88-AR38)*'Вводные'!$B$29/12,0)+IF(AND(YEAR(AR$3)=YEAR($B$7),MONTH(AR$3)=MONTH($B$7)),'Вводные'!$B$26*'Вводные'!$V$88*'Вводные'!$B$30,0)</x:f>
      </x:c>
      <x:c r="AS43" s="117" t="n">
        <x:f>IF(AND(OR(AS38&gt;0,AS$3&lt;=$B$8),AS$3&gt;=$B$7,AS$3&lt;EDATE($B$8,'Вводные'!$H$88)),MAX(0,'Вводные'!$B$26*'Вводные'!$V$88-AS38)*'Вводные'!$B$29/12,0)+IF(AND(YEAR(AS$3)=YEAR($B$7),MONTH(AS$3)=MONTH($B$7)),'Вводные'!$B$26*'Вводные'!$V$88*'Вводные'!$B$30,0)</x:f>
      </x:c>
      <x:c r="AT43" s="117" t="n">
        <x:f>IF(AND(OR(AT38&gt;0,AT$3&lt;=$B$8),AT$3&gt;=$B$7,AT$3&lt;EDATE($B$8,'Вводные'!$H$88)),MAX(0,'Вводные'!$B$26*'Вводные'!$V$88-AT38)*'Вводные'!$B$29/12,0)+IF(AND(YEAR(AT$3)=YEAR($B$7),MONTH(AT$3)=MONTH($B$7)),'Вводные'!$B$26*'Вводные'!$V$88*'Вводные'!$B$30,0)</x:f>
      </x:c>
      <x:c r="AU43" s="117" t="n">
        <x:f>IF(AND(OR(AU38&gt;0,AU$3&lt;=$B$8),AU$3&gt;=$B$7,AU$3&lt;EDATE($B$8,'Вводные'!$H$88)),MAX(0,'Вводные'!$B$26*'Вводные'!$V$88-AU38)*'Вводные'!$B$29/12,0)+IF(AND(YEAR(AU$3)=YEAR($B$7),MONTH(AU$3)=MONTH($B$7)),'Вводные'!$B$26*'Вводные'!$V$88*'Вводные'!$B$30,0)</x:f>
      </x:c>
      <x:c r="AV43" s="117" t="n">
        <x:f>IF(AND(OR(AV38&gt;0,AV$3&lt;=$B$8),AV$3&gt;=$B$7,AV$3&lt;EDATE($B$8,'Вводные'!$H$88)),MAX(0,'Вводные'!$B$26*'Вводные'!$V$88-AV38)*'Вводные'!$B$29/12,0)+IF(AND(YEAR(AV$3)=YEAR($B$7),MONTH(AV$3)=MONTH($B$7)),'Вводные'!$B$26*'Вводные'!$V$88*'Вводные'!$B$30,0)</x:f>
      </x:c>
      <x:c r="AW43" s="117" t="n">
        <x:f>IF(AND(OR(AW38&gt;0,AW$3&lt;=$B$8),AW$3&gt;=$B$7,AW$3&lt;EDATE($B$8,'Вводные'!$H$88)),MAX(0,'Вводные'!$B$26*'Вводные'!$V$88-AW38)*'Вводные'!$B$29/12,0)+IF(AND(YEAR(AW$3)=YEAR($B$7),MONTH(AW$3)=MONTH($B$7)),'Вводные'!$B$26*'Вводные'!$V$88*'Вводные'!$B$30,0)</x:f>
      </x:c>
      <x:c r="AX43" s="117" t="n">
        <x:f>IF(AND(OR(AX38&gt;0,AX$3&lt;=$B$8),AX$3&gt;=$B$7,AX$3&lt;EDATE($B$8,'Вводные'!$H$88)),MAX(0,'Вводные'!$B$26*'Вводные'!$V$88-AX38)*'Вводные'!$B$29/12,0)+IF(AND(YEAR(AX$3)=YEAR($B$7),MONTH(AX$3)=MONTH($B$7)),'Вводные'!$B$26*'Вводные'!$V$88*'Вводные'!$B$30,0)</x:f>
      </x:c>
      <x:c r="AY43" s="117" t="n">
        <x:f>IF(AND(OR(AY38&gt;0,AY$3&lt;=$B$8),AY$3&gt;=$B$7,AY$3&lt;EDATE($B$8,'Вводные'!$H$88)),MAX(0,'Вводные'!$B$26*'Вводные'!$V$88-AY38)*'Вводные'!$B$29/12,0)+IF(AND(YEAR(AY$3)=YEAR($B$7),MONTH(AY$3)=MONTH($B$7)),'Вводные'!$B$26*'Вводные'!$V$88*'Вводные'!$B$30,0)</x:f>
      </x:c>
      <x:c r="AZ43" s="117" t="n">
        <x:f>IF(AND(OR(AZ38&gt;0,AZ$3&lt;=$B$8),AZ$3&gt;=$B$7,AZ$3&lt;EDATE($B$8,'Вводные'!$H$88)),MAX(0,'Вводные'!$B$26*'Вводные'!$V$88-AZ38)*'Вводные'!$B$29/12,0)+IF(AND(YEAR(AZ$3)=YEAR($B$7),MONTH(AZ$3)=MONTH($B$7)),'Вводные'!$B$26*'Вводные'!$V$88*'Вводные'!$B$30,0)</x:f>
      </x:c>
      <x:c r="BA43" s="117" t="n">
        <x:f>IF(AND(OR(BA38&gt;0,BA$3&lt;=$B$8),BA$3&gt;=$B$7,BA$3&lt;EDATE($B$8,'Вводные'!$H$88)),MAX(0,'Вводные'!$B$26*'Вводные'!$V$88-BA38)*'Вводные'!$B$29/12,0)+IF(AND(YEAR(BA$3)=YEAR($B$7),MONTH(BA$3)=MONTH($B$7)),'Вводные'!$B$26*'Вводные'!$V$88*'Вводные'!$B$30,0)</x:f>
      </x:c>
      <x:c r="BB43" s="117" t="n">
        <x:f>IF(AND(OR(BB38&gt;0,BB$3&lt;=$B$8),BB$3&gt;=$B$7,BB$3&lt;EDATE($B$8,'Вводные'!$H$88)),MAX(0,'Вводные'!$B$26*'Вводные'!$V$88-BB38)*'Вводные'!$B$29/12,0)+IF(AND(YEAR(BB$3)=YEAR($B$7),MONTH(BB$3)=MONTH($B$7)),'Вводные'!$B$26*'Вводные'!$V$88*'Вводные'!$B$30,0)</x:f>
      </x:c>
      <x:c r="BC43" s="117" t="n">
        <x:f>IF(AND(OR(BC38&gt;0,BC$3&lt;=$B$8),BC$3&gt;=$B$7,BC$3&lt;EDATE($B$8,'Вводные'!$H$88)),MAX(0,'Вводные'!$B$26*'Вводные'!$V$88-BC38)*'Вводные'!$B$29/12,0)+IF(AND(YEAR(BC$3)=YEAR($B$7),MONTH(BC$3)=MONTH($B$7)),'Вводные'!$B$26*'Вводные'!$V$88*'Вводные'!$B$30,0)</x:f>
      </x:c>
      <x:c r="BD43" s="117" t="n">
        <x:f>IF(AND(OR(BD38&gt;0,BD$3&lt;=$B$8),BD$3&gt;=$B$7,BD$3&lt;EDATE($B$8,'Вводные'!$H$88)),MAX(0,'Вводные'!$B$26*'Вводные'!$V$88-BD38)*'Вводные'!$B$29/12,0)+IF(AND(YEAR(BD$3)=YEAR($B$7),MONTH(BD$3)=MONTH($B$7)),'Вводные'!$B$26*'Вводные'!$V$88*'Вводные'!$B$30,0)</x:f>
      </x:c>
      <x:c r="BE43" s="117" t="n">
        <x:f>IF(AND(OR(BE38&gt;0,BE$3&lt;=$B$8),BE$3&gt;=$B$7,BE$3&lt;EDATE($B$8,'Вводные'!$H$88)),MAX(0,'Вводные'!$B$26*'Вводные'!$V$88-BE38)*'Вводные'!$B$29/12,0)+IF(AND(YEAR(BE$3)=YEAR($B$7),MONTH(BE$3)=MONTH($B$7)),'Вводные'!$B$26*'Вводные'!$V$88*'Вводные'!$B$30,0)</x:f>
      </x:c>
      <x:c r="BF43" s="117" t="n">
        <x:f>IF(AND(OR(BF38&gt;0,BF$3&lt;=$B$8),BF$3&gt;=$B$7,BF$3&lt;EDATE($B$8,'Вводные'!$H$88)),MAX(0,'Вводные'!$B$26*'Вводные'!$V$88-BF38)*'Вводные'!$B$29/12,0)+IF(AND(YEAR(BF$3)=YEAR($B$7),MONTH(BF$3)=MONTH($B$7)),'Вводные'!$B$26*'Вводные'!$V$88*'Вводные'!$B$30,0)</x:f>
      </x:c>
      <x:c r="BG43" s="117" t="n">
        <x:f>IF(AND(OR(BG38&gt;0,BG$3&lt;=$B$8),BG$3&gt;=$B$7,BG$3&lt;EDATE($B$8,'Вводные'!$H$88)),MAX(0,'Вводные'!$B$26*'Вводные'!$V$88-BG38)*'Вводные'!$B$29/12,0)+IF(AND(YEAR(BG$3)=YEAR($B$7),MONTH(BG$3)=MONTH($B$7)),'Вводные'!$B$26*'Вводные'!$V$88*'Вводные'!$B$30,0)</x:f>
      </x:c>
      <x:c r="BH43" s="117" t="n">
        <x:f>IF(AND(OR(BH38&gt;0,BH$3&lt;=$B$8),BH$3&gt;=$B$7,BH$3&lt;EDATE($B$8,'Вводные'!$H$88)),MAX(0,'Вводные'!$B$26*'Вводные'!$V$88-BH38)*'Вводные'!$B$29/12,0)+IF(AND(YEAR(BH$3)=YEAR($B$7),MONTH(BH$3)=MONTH($B$7)),'Вводные'!$B$26*'Вводные'!$V$88*'Вводные'!$B$30,0)</x:f>
      </x:c>
      <x:c r="BI43" s="117" t="n">
        <x:f>IF(AND(OR(BI38&gt;0,BI$3&lt;=$B$8),BI$3&gt;=$B$7,BI$3&lt;EDATE($B$8,'Вводные'!$H$88)),MAX(0,'Вводные'!$B$26*'Вводные'!$V$88-BI38)*'Вводные'!$B$29/12,0)+IF(AND(YEAR(BI$3)=YEAR($B$7),MONTH(BI$3)=MONTH($B$7)),'Вводные'!$B$26*'Вводные'!$V$88*'Вводные'!$B$30,0)</x:f>
      </x:c>
      <x:c r="BJ43" s="117" t="n">
        <x:f>IF(AND(OR(BJ38&gt;0,BJ$3&lt;=$B$8),BJ$3&gt;=$B$7,BJ$3&lt;EDATE($B$8,'Вводные'!$H$88)),MAX(0,'Вводные'!$B$26*'Вводные'!$V$88-BJ38)*'Вводные'!$B$29/12,0)+IF(AND(YEAR(BJ$3)=YEAR($B$7),MONTH(BJ$3)=MONTH($B$7)),'Вводные'!$B$26*'Вводные'!$V$88*'Вводные'!$B$30,0)</x:f>
      </x:c>
      <x:c r="BK43" s="117" t="n">
        <x:f>IF(AND(OR(BK38&gt;0,BK$3&lt;=$B$8),BK$3&gt;=$B$7,BK$3&lt;EDATE($B$8,'Вводные'!$H$88)),MAX(0,'Вводные'!$B$26*'Вводные'!$V$88-BK38)*'Вводные'!$B$29/12,0)+IF(AND(YEAR(BK$3)=YEAR($B$7),MONTH(BK$3)=MONTH($B$7)),'Вводные'!$B$26*'Вводные'!$V$88*'Вводные'!$B$30,0)</x:f>
      </x:c>
      <x:c r="BL43" s="117" t="n">
        <x:f>IF(AND(OR(BL38&gt;0,BL$3&lt;=$B$8),BL$3&gt;=$B$7,BL$3&lt;EDATE($B$8,'Вводные'!$H$88)),MAX(0,'Вводные'!$B$26*'Вводные'!$V$88-BL38)*'Вводные'!$B$29/12,0)+IF(AND(YEAR(BL$3)=YEAR($B$7),MONTH(BL$3)=MONTH($B$7)),'Вводные'!$B$26*'Вводные'!$V$88*'Вводные'!$B$30,0)</x:f>
      </x:c>
      <x:c r="BM43" s="117" t="n">
        <x:f>IF(AND(OR(BM38&gt;0,BM$3&lt;=$B$8),BM$3&gt;=$B$7,BM$3&lt;EDATE($B$8,'Вводные'!$H$88)),MAX(0,'Вводные'!$B$26*'Вводные'!$V$88-BM38)*'Вводные'!$B$29/12,0)+IF(AND(YEAR(BM$3)=YEAR($B$7),MONTH(BM$3)=MONTH($B$7)),'Вводные'!$B$26*'Вводные'!$V$88*'Вводные'!$B$30,0)</x:f>
      </x:c>
      <x:c r="BN43" s="117" t="n">
        <x:f>IF(AND(OR(BN38&gt;0,BN$3&lt;=$B$8),BN$3&gt;=$B$7,BN$3&lt;EDATE($B$8,'Вводные'!$H$88)),MAX(0,'Вводные'!$B$26*'Вводные'!$V$88-BN38)*'Вводные'!$B$29/12,0)+IF(AND(YEAR(BN$3)=YEAR($B$7),MONTH(BN$3)=MONTH($B$7)),'Вводные'!$B$26*'Вводные'!$V$88*'Вводные'!$B$30,0)</x:f>
      </x:c>
      <x:c r="BO43" s="117" t="n">
        <x:f>IF(AND(OR(BO38&gt;0,BO$3&lt;=$B$8),BO$3&gt;=$B$7,BO$3&lt;EDATE($B$8,'Вводные'!$H$88)),MAX(0,'Вводные'!$B$26*'Вводные'!$V$88-BO38)*'Вводные'!$B$29/12,0)+IF(AND(YEAR(BO$3)=YEAR($B$7),MONTH(BO$3)=MONTH($B$7)),'Вводные'!$B$26*'Вводные'!$V$88*'Вводные'!$B$30,0)</x:f>
      </x:c>
      <x:c r="BP43" s="117" t="n">
        <x:f>IF(AND(OR(BP38&gt;0,BP$3&lt;=$B$8),BP$3&gt;=$B$7,BP$3&lt;EDATE($B$8,'Вводные'!$H$88)),MAX(0,'Вводные'!$B$26*'Вводные'!$V$88-BP38)*'Вводные'!$B$29/12,0)+IF(AND(YEAR(BP$3)=YEAR($B$7),MONTH(BP$3)=MONTH($B$7)),'Вводные'!$B$26*'Вводные'!$V$88*'Вводные'!$B$30,0)</x:f>
      </x:c>
      <x:c r="BQ43" s="117" t="n">
        <x:f>IF(AND(OR(BQ38&gt;0,BQ$3&lt;=$B$8),BQ$3&gt;=$B$7,BQ$3&lt;EDATE($B$8,'Вводные'!$H$88)),MAX(0,'Вводные'!$B$26*'Вводные'!$V$88-BQ38)*'Вводные'!$B$29/12,0)+IF(AND(YEAR(BQ$3)=YEAR($B$7),MONTH(BQ$3)=MONTH($B$7)),'Вводные'!$B$26*'Вводные'!$V$88*'Вводные'!$B$30,0)</x:f>
      </x:c>
      <x:c r="BR43" s="117" t="n">
        <x:f>IF(AND(OR(BR38&gt;0,BR$3&lt;=$B$8),BR$3&gt;=$B$7,BR$3&lt;EDATE($B$8,'Вводные'!$H$88)),MAX(0,'Вводные'!$B$26*'Вводные'!$V$88-BR38)*'Вводные'!$B$29/12,0)+IF(AND(YEAR(BR$3)=YEAR($B$7),MONTH(BR$3)=MONTH($B$7)),'Вводные'!$B$26*'Вводные'!$V$88*'Вводные'!$B$30,0)</x:f>
      </x:c>
      <x:c r="BS43" s="117" t="n">
        <x:f>IF(AND(OR(BS38&gt;0,BS$3&lt;=$B$8),BS$3&gt;=$B$7,BS$3&lt;EDATE($B$8,'Вводные'!$H$88)),MAX(0,'Вводные'!$B$26*'Вводные'!$V$88-BS38)*'Вводные'!$B$29/12,0)+IF(AND(YEAR(BS$3)=YEAR($B$7),MONTH(BS$3)=MONTH($B$7)),'Вводные'!$B$26*'Вводные'!$V$88*'Вводные'!$B$30,0)</x:f>
      </x:c>
      <x:c r="BT43" s="117" t="n">
        <x:f>IF(AND(OR(BT38&gt;0,BT$3&lt;=$B$8),BT$3&gt;=$B$7,BT$3&lt;EDATE($B$8,'Вводные'!$H$88)),MAX(0,'Вводные'!$B$26*'Вводные'!$V$88-BT38)*'Вводные'!$B$29/12,0)+IF(AND(YEAR(BT$3)=YEAR($B$7),MONTH(BT$3)=MONTH($B$7)),'Вводные'!$B$26*'Вводные'!$V$88*'Вводные'!$B$30,0)</x:f>
      </x:c>
      <x:c r="BU43" s="117" t="n">
        <x:f>IF(AND(OR(BU38&gt;0,BU$3&lt;=$B$8),BU$3&gt;=$B$7,BU$3&lt;EDATE($B$8,'Вводные'!$H$88)),MAX(0,'Вводные'!$B$26*'Вводные'!$V$88-BU38)*'Вводные'!$B$29/12,0)+IF(AND(YEAR(BU$3)=YEAR($B$7),MONTH(BU$3)=MONTH($B$7)),'Вводные'!$B$26*'Вводные'!$V$88*'Вводные'!$B$30,0)</x:f>
      </x:c>
      <x:c r="BV43" s="117" t="n">
        <x:f>IF(AND(OR(BV38&gt;0,BV$3&lt;=$B$8),BV$3&gt;=$B$7,BV$3&lt;EDATE($B$8,'Вводные'!$H$88)),MAX(0,'Вводные'!$B$26*'Вводные'!$V$88-BV38)*'Вводные'!$B$29/12,0)+IF(AND(YEAR(BV$3)=YEAR($B$7),MONTH(BV$3)=MONTH($B$7)),'Вводные'!$B$26*'Вводные'!$V$88*'Вводные'!$B$30,0)</x:f>
      </x:c>
      <x:c r="BW43" s="117" t="n">
        <x:f>IF(AND(OR(BW38&gt;0,BW$3&lt;=$B$8),BW$3&gt;=$B$7,BW$3&lt;EDATE($B$8,'Вводные'!$H$88)),MAX(0,'Вводные'!$B$26*'Вводные'!$V$88-BW38)*'Вводные'!$B$29/12,0)+IF(AND(YEAR(BW$3)=YEAR($B$7),MONTH(BW$3)=MONTH($B$7)),'Вводные'!$B$26*'Вводные'!$V$88*'Вводные'!$B$30,0)</x:f>
      </x:c>
      <x:c r="BX43" s="117" t="n">
        <x:f>IF(AND(OR(BX38&gt;0,BX$3&lt;=$B$8),BX$3&gt;=$B$7,BX$3&lt;EDATE($B$8,'Вводные'!$H$88)),MAX(0,'Вводные'!$B$26*'Вводные'!$V$88-BX38)*'Вводные'!$B$29/12,0)+IF(AND(YEAR(BX$3)=YEAR($B$7),MONTH(BX$3)=MONTH($B$7)),'Вводные'!$B$26*'Вводные'!$V$88*'Вводные'!$B$30,0)</x:f>
      </x:c>
      <x:c r="BY43" s="117" t="n">
        <x:f>IF(AND(OR(BY38&gt;0,BY$3&lt;=$B$8),BY$3&gt;=$B$7,BY$3&lt;EDATE($B$8,'Вводные'!$H$88)),MAX(0,'Вводные'!$B$26*'Вводные'!$V$88-BY38)*'Вводные'!$B$29/12,0)+IF(AND(YEAR(BY$3)=YEAR($B$7),MONTH(BY$3)=MONTH($B$7)),'Вводные'!$B$26*'Вводные'!$V$88*'Вводные'!$B$30,0)</x:f>
      </x:c>
      <x:c r="BZ43" s="117" t="n">
        <x:f>IF(AND(OR(BZ38&gt;0,BZ$3&lt;=$B$8),BZ$3&gt;=$B$7,BZ$3&lt;EDATE($B$8,'Вводные'!$H$88)),MAX(0,'Вводные'!$B$26*'Вводные'!$V$88-BZ38)*'Вводные'!$B$29/12,0)+IF(AND(YEAR(BZ$3)=YEAR($B$7),MONTH(BZ$3)=MONTH($B$7)),'Вводные'!$B$26*'Вводные'!$V$88*'Вводные'!$B$30,0)</x:f>
      </x:c>
      <x:c r="CA43" s="117" t="n">
        <x:f>IF(AND(OR(CA38&gt;0,CA$3&lt;=$B$8),CA$3&gt;=$B$7,CA$3&lt;EDATE($B$8,'Вводные'!$H$88)),MAX(0,'Вводные'!$B$26*'Вводные'!$V$88-CA38)*'Вводные'!$B$29/12,0)+IF(AND(YEAR(CA$3)=YEAR($B$7),MONTH(CA$3)=MONTH($B$7)),'Вводные'!$B$26*'Вводные'!$V$88*'Вводные'!$B$30,0)</x:f>
      </x:c>
      <x:c r="CB43" s="117" t="n">
        <x:f>IF(AND(OR(CB38&gt;0,CB$3&lt;=$B$8),CB$3&gt;=$B$7,CB$3&lt;EDATE($B$8,'Вводные'!$H$88)),MAX(0,'Вводные'!$B$26*'Вводные'!$V$88-CB38)*'Вводные'!$B$29/12,0)+IF(AND(YEAR(CB$3)=YEAR($B$7),MONTH(CB$3)=MONTH($B$7)),'Вводные'!$B$26*'Вводные'!$V$88*'Вводные'!$B$30,0)</x:f>
      </x:c>
      <x:c r="CC43" s="117" t="n">
        <x:f>IF(AND(OR(CC38&gt;0,CC$3&lt;=$B$8),CC$3&gt;=$B$7,CC$3&lt;EDATE($B$8,'Вводные'!$H$88)),MAX(0,'Вводные'!$B$26*'Вводные'!$V$88-CC38)*'Вводные'!$B$29/12,0)+IF(AND(YEAR(CC$3)=YEAR($B$7),MONTH(CC$3)=MONTH($B$7)),'Вводные'!$B$26*'Вводные'!$V$88*'Вводные'!$B$30,0)</x:f>
      </x:c>
      <x:c r="CD43" s="117" t="n">
        <x:f>IF(AND(OR(CD38&gt;0,CD$3&lt;=$B$8),CD$3&gt;=$B$7,CD$3&lt;EDATE($B$8,'Вводные'!$H$88)),MAX(0,'Вводные'!$B$26*'Вводные'!$V$88-CD38)*'Вводные'!$B$29/12,0)+IF(AND(YEAR(CD$3)=YEAR($B$7),MONTH(CD$3)=MONTH($B$7)),'Вводные'!$B$26*'Вводные'!$V$88*'Вводные'!$B$30,0)</x:f>
      </x:c>
      <x:c r="CE43" s="117" t="n">
        <x:f>IF(AND(OR(CE38&gt;0,CE$3&lt;=$B$8),CE$3&gt;=$B$7,CE$3&lt;EDATE($B$8,'Вводные'!$H$88)),MAX(0,'Вводные'!$B$26*'Вводные'!$V$88-CE38)*'Вводные'!$B$29/12,0)+IF(AND(YEAR(CE$3)=YEAR($B$7),MONTH(CE$3)=MONTH($B$7)),'Вводные'!$B$26*'Вводные'!$V$88*'Вводные'!$B$30,0)</x:f>
      </x:c>
      <x:c r="CF43" s="117" t="n">
        <x:f>IF(AND(OR(CF38&gt;0,CF$3&lt;=$B$8),CF$3&gt;=$B$7,CF$3&lt;EDATE($B$8,'Вводные'!$H$88)),MAX(0,'Вводные'!$B$26*'Вводные'!$V$88-CF38)*'Вводные'!$B$29/12,0)+IF(AND(YEAR(CF$3)=YEAR($B$7),MONTH(CF$3)=MONTH($B$7)),'Вводные'!$B$26*'Вводные'!$V$88*'Вводные'!$B$30,0)</x:f>
      </x:c>
      <x:c r="CG43" s="117" t="n">
        <x:f>IF(AND(OR(CG38&gt;0,CG$3&lt;=$B$8),CG$3&gt;=$B$7,CG$3&lt;EDATE($B$8,'Вводные'!$H$88)),MAX(0,'Вводные'!$B$26*'Вводные'!$V$88-CG38)*'Вводные'!$B$29/12,0)+IF(AND(YEAR(CG$3)=YEAR($B$7),MONTH(CG$3)=MONTH($B$7)),'Вводные'!$B$26*'Вводные'!$V$88*'Вводные'!$B$30,0)</x:f>
      </x:c>
      <x:c r="CH43" s="117" t="n">
        <x:f>IF(AND(OR(CH38&gt;0,CH$3&lt;=$B$8),CH$3&gt;=$B$7,CH$3&lt;EDATE($B$8,'Вводные'!$H$88)),MAX(0,'Вводные'!$B$26*'Вводные'!$V$88-CH38)*'Вводные'!$B$29/12,0)+IF(AND(YEAR(CH$3)=YEAR($B$7),MONTH(CH$3)=MONTH($B$7)),'Вводные'!$B$26*'Вводные'!$V$88*'Вводные'!$B$30,0)</x:f>
      </x:c>
      <x:c r="CI43" s="117" t="n">
        <x:f>IF(AND(OR(CI38&gt;0,CI$3&lt;=$B$8),CI$3&gt;=$B$7,CI$3&lt;EDATE($B$8,'Вводные'!$H$88)),MAX(0,'Вводные'!$B$26*'Вводные'!$V$88-CI38)*'Вводные'!$B$29/12,0)+IF(AND(YEAR(CI$3)=YEAR($B$7),MONTH(CI$3)=MONTH($B$7)),'Вводные'!$B$26*'Вводные'!$V$88*'Вводные'!$B$30,0)</x:f>
      </x:c>
      <x:c r="CJ43" s="117" t="n">
        <x:f>IF(AND(OR(CJ38&gt;0,CJ$3&lt;=$B$8),CJ$3&gt;=$B$7,CJ$3&lt;EDATE($B$8,'Вводные'!$H$88)),MAX(0,'Вводные'!$B$26*'Вводные'!$V$88-CJ38)*'Вводные'!$B$29/12,0)+IF(AND(YEAR(CJ$3)=YEAR($B$7),MONTH(CJ$3)=MONTH($B$7)),'Вводные'!$B$26*'Вводные'!$V$88*'Вводные'!$B$30,0)</x:f>
      </x:c>
      <x:c r="CK43" s="117" t="n">
        <x:f>IF(AND(OR(CK38&gt;0,CK$3&lt;=$B$8),CK$3&gt;=$B$7,CK$3&lt;EDATE($B$8,'Вводные'!$H$88)),MAX(0,'Вводные'!$B$26*'Вводные'!$V$88-CK38)*'Вводные'!$B$29/12,0)+IF(AND(YEAR(CK$3)=YEAR($B$7),MONTH(CK$3)=MONTH($B$7)),'Вводные'!$B$26*'Вводные'!$V$88*'Вводные'!$B$30,0)</x:f>
      </x:c>
      <x:c r="CL43" s="117" t="n">
        <x:f>IF(AND(OR(CL38&gt;0,CL$3&lt;=$B$8),CL$3&gt;=$B$7,CL$3&lt;EDATE($B$8,'Вводные'!$H$88)),MAX(0,'Вводные'!$B$26*'Вводные'!$V$88-CL38)*'Вводные'!$B$29/12,0)+IF(AND(YEAR(CL$3)=YEAR($B$7),MONTH(CL$3)=MONTH($B$7)),'Вводные'!$B$26*'Вводные'!$V$88*'Вводные'!$B$30,0)</x:f>
      </x:c>
      <x:c r="CM43" s="117" t="n">
        <x:f>IF(AND(OR(CM38&gt;0,CM$3&lt;=$B$8),CM$3&gt;=$B$7,CM$3&lt;EDATE($B$8,'Вводные'!$H$88)),MAX(0,'Вводные'!$B$26*'Вводные'!$V$88-CM38)*'Вводные'!$B$29/12,0)+IF(AND(YEAR(CM$3)=YEAR($B$7),MONTH(CM$3)=MONTH($B$7)),'Вводные'!$B$26*'Вводные'!$V$88*'Вводные'!$B$30,0)</x:f>
      </x:c>
      <x:c r="CN43" s="117" t="n">
        <x:f>IF(AND(OR(CN38&gt;0,CN$3&lt;=$B$8),CN$3&gt;=$B$7,CN$3&lt;EDATE($B$8,'Вводные'!$H$88)),MAX(0,'Вводные'!$B$26*'Вводные'!$V$88-CN38)*'Вводные'!$B$29/12,0)+IF(AND(YEAR(CN$3)=YEAR($B$7),MONTH(CN$3)=MONTH($B$7)),'Вводные'!$B$26*'Вводные'!$V$88*'Вводные'!$B$30,0)</x:f>
      </x:c>
      <x:c r="CO43" s="117" t="n">
        <x:f>IF(AND(OR(CO38&gt;0,CO$3&lt;=$B$8),CO$3&gt;=$B$7,CO$3&lt;EDATE($B$8,'Вводные'!$H$88)),MAX(0,'Вводные'!$B$26*'Вводные'!$V$88-CO38)*'Вводные'!$B$29/12,0)+IF(AND(YEAR(CO$3)=YEAR($B$7),MONTH(CO$3)=MONTH($B$7)),'Вводные'!$B$26*'Вводные'!$V$88*'Вводные'!$B$30,0)</x:f>
      </x:c>
      <x:c r="CP43" s="117" t="n">
        <x:f>IF(AND(OR(CP38&gt;0,CP$3&lt;=$B$8),CP$3&gt;=$B$7,CP$3&lt;EDATE($B$8,'Вводные'!$H$88)),MAX(0,'Вводные'!$B$26*'Вводные'!$V$88-CP38)*'Вводные'!$B$29/12,0)+IF(AND(YEAR(CP$3)=YEAR($B$7),MONTH(CP$3)=MONTH($B$7)),'Вводные'!$B$26*'Вводные'!$V$88*'Вводные'!$B$30,0)</x:f>
      </x:c>
      <x:c r="CQ43" s="117" t="n">
        <x:f>IF(AND(OR(CQ38&gt;0,CQ$3&lt;=$B$8),CQ$3&gt;=$B$7,CQ$3&lt;EDATE($B$8,'Вводные'!$H$88)),MAX(0,'Вводные'!$B$26*'Вводные'!$V$88-CQ38)*'Вводные'!$B$29/12,0)+IF(AND(YEAR(CQ$3)=YEAR($B$7),MONTH(CQ$3)=MONTH($B$7)),'Вводные'!$B$26*'Вводные'!$V$88*'Вводные'!$B$30,0)</x:f>
      </x:c>
      <x:c r="CR43" s="117" t="n">
        <x:f>IF(AND(OR(CR38&gt;0,CR$3&lt;=$B$8),CR$3&gt;=$B$7,CR$3&lt;EDATE($B$8,'Вводные'!$H$88)),MAX(0,'Вводные'!$B$26*'Вводные'!$V$88-CR38)*'Вводные'!$B$29/12,0)+IF(AND(YEAR(CR$3)=YEAR($B$7),MONTH(CR$3)=MONTH($B$7)),'Вводные'!$B$26*'Вводные'!$V$88*'Вводные'!$B$30,0)</x:f>
      </x:c>
      <x:c r="CS43" s="117" t="n">
        <x:f>IF(AND(OR(CS38&gt;0,CS$3&lt;=$B$8),CS$3&gt;=$B$7,CS$3&lt;EDATE($B$8,'Вводные'!$H$88)),MAX(0,'Вводные'!$B$26*'Вводные'!$V$88-CS38)*'Вводные'!$B$29/12,0)+IF(AND(YEAR(CS$3)=YEAR($B$7),MONTH(CS$3)=MONTH($B$7)),'Вводные'!$B$26*'Вводные'!$V$88*'Вводные'!$B$30,0)</x:f>
      </x:c>
      <x:c r="CT43" s="117" t="n">
        <x:f>IF(AND(OR(CT38&gt;0,CT$3&lt;=$B$8),CT$3&gt;=$B$7,CT$3&lt;EDATE($B$8,'Вводные'!$H$88)),MAX(0,'Вводные'!$B$26*'Вводные'!$V$88-CT38)*'Вводные'!$B$29/12,0)+IF(AND(YEAR(CT$3)=YEAR($B$7),MONTH(CT$3)=MONTH($B$7)),'Вводные'!$B$26*'Вводные'!$V$88*'Вводные'!$B$30,0)</x:f>
      </x:c>
      <x:c r="CU43" s="117" t="n">
        <x:f>IF(AND(OR(CU38&gt;0,CU$3&lt;=$B$8),CU$3&gt;=$B$7,CU$3&lt;EDATE($B$8,'Вводные'!$H$88)),MAX(0,'Вводные'!$B$26*'Вводные'!$V$88-CU38)*'Вводные'!$B$29/12,0)+IF(AND(YEAR(CU$3)=YEAR($B$7),MONTH(CU$3)=MONTH($B$7)),'Вводные'!$B$26*'Вводные'!$V$88*'Вводные'!$B$30,0)</x:f>
      </x:c>
      <x:c r="CV43" s="117" t="n">
        <x:f>IF(AND(OR(CV38&gt;0,CV$3&lt;=$B$8),CV$3&gt;=$B$7,CV$3&lt;EDATE($B$8,'Вводные'!$H$88)),MAX(0,'Вводные'!$B$26*'Вводные'!$V$88-CV38)*'Вводные'!$B$29/12,0)+IF(AND(YEAR(CV$3)=YEAR($B$7),MONTH(CV$3)=MONTH($B$7)),'Вводные'!$B$26*'Вводные'!$V$88*'Вводные'!$B$30,0)</x:f>
      </x:c>
      <x:c r="CW43" s="117" t="n">
        <x:f>IF(AND(OR(CW38&gt;0,CW$3&lt;=$B$8),CW$3&gt;=$B$7,CW$3&lt;EDATE($B$8,'Вводные'!$H$88)),MAX(0,'Вводные'!$B$26*'Вводные'!$V$88-CW38)*'Вводные'!$B$29/12,0)+IF(AND(YEAR(CW$3)=YEAR($B$7),MONTH(CW$3)=MONTH($B$7)),'Вводные'!$B$26*'Вводные'!$V$88*'Вводные'!$B$30,0)</x:f>
      </x:c>
      <x:c r="CX43" s="117" t="n">
        <x:f>IF(AND(OR(CX38&gt;0,CX$3&lt;=$B$8),CX$3&gt;=$B$7,CX$3&lt;EDATE($B$8,'Вводные'!$H$88)),MAX(0,'Вводные'!$B$26*'Вводные'!$V$88-CX38)*'Вводные'!$B$29/12,0)+IF(AND(YEAR(CX$3)=YEAR($B$7),MONTH(CX$3)=MONTH($B$7)),'Вводные'!$B$26*'Вводные'!$V$88*'Вводные'!$B$30,0)</x:f>
      </x:c>
      <x:c r="CY43" s="117" t="n">
        <x:f>IF(AND(OR(CY38&gt;0,CY$3&lt;=$B$8),CY$3&gt;=$B$7,CY$3&lt;EDATE($B$8,'Вводные'!$H$88)),MAX(0,'Вводные'!$B$26*'Вводные'!$V$88-CY38)*'Вводные'!$B$29/12,0)+IF(AND(YEAR(CY$3)=YEAR($B$7),MONTH(CY$3)=MONTH($B$7)),'Вводные'!$B$26*'Вводные'!$V$88*'Вводные'!$B$30,0)</x:f>
      </x:c>
      <x:c r="CZ43" s="117" t="n">
        <x:f>IF(AND(OR(CZ38&gt;0,CZ$3&lt;=$B$8),CZ$3&gt;=$B$7,CZ$3&lt;EDATE($B$8,'Вводные'!$H$88)),MAX(0,'Вводные'!$B$26*'Вводные'!$V$88-CZ38)*'Вводные'!$B$29/12,0)+IF(AND(YEAR(CZ$3)=YEAR($B$7),MONTH(CZ$3)=MONTH($B$7)),'Вводные'!$B$26*'Вводные'!$V$88*'Вводные'!$B$30,0)</x:f>
      </x:c>
      <x:c r="DA43" s="117" t="n">
        <x:f>IF(AND(OR(DA38&gt;0,DA$3&lt;=$B$8),DA$3&gt;=$B$7,DA$3&lt;EDATE($B$8,'Вводные'!$H$88)),MAX(0,'Вводные'!$B$26*'Вводные'!$V$88-DA38)*'Вводные'!$B$29/12,0)+IF(AND(YEAR(DA$3)=YEAR($B$7),MONTH(DA$3)=MONTH($B$7)),'Вводные'!$B$26*'Вводные'!$V$88*'Вводные'!$B$30,0)</x:f>
      </x:c>
      <x:c r="DB43" s="117" t="n">
        <x:f>IF(AND(OR(DB38&gt;0,DB$3&lt;=$B$8),DB$3&gt;=$B$7,DB$3&lt;EDATE($B$8,'Вводные'!$H$88)),MAX(0,'Вводные'!$B$26*'Вводные'!$V$88-DB38)*'Вводные'!$B$29/12,0)+IF(AND(YEAR(DB$3)=YEAR($B$7),MONTH(DB$3)=MONTH($B$7)),'Вводные'!$B$26*'Вводные'!$V$88*'Вводные'!$B$30,0)</x:f>
      </x:c>
      <x:c r="DC43" s="117" t="n">
        <x:f>IF(AND(OR(DC38&gt;0,DC$3&lt;=$B$8),DC$3&gt;=$B$7,DC$3&lt;EDATE($B$8,'Вводные'!$H$88)),MAX(0,'Вводные'!$B$26*'Вводные'!$V$88-DC38)*'Вводные'!$B$29/12,0)+IF(AND(YEAR(DC$3)=YEAR($B$7),MONTH(DC$3)=MONTH($B$7)),'Вводные'!$B$26*'Вводные'!$V$88*'Вводные'!$B$30,0)</x:f>
      </x:c>
      <x:c r="DD43" s="117" t="n">
        <x:f>IF(AND(OR(DD38&gt;0,DD$3&lt;=$B$8),DD$3&gt;=$B$7,DD$3&lt;EDATE($B$8,'Вводные'!$H$88)),MAX(0,'Вводные'!$B$26*'Вводные'!$V$88-DD38)*'Вводные'!$B$29/12,0)+IF(AND(YEAR(DD$3)=YEAR($B$7),MONTH(DD$3)=MONTH($B$7)),'Вводные'!$B$26*'Вводные'!$V$88*'Вводные'!$B$30,0)</x:f>
      </x:c>
      <x:c r="DE43" s="117" t="n">
        <x:f>IF(AND(OR(DE38&gt;0,DE$3&lt;=$B$8),DE$3&gt;=$B$7,DE$3&lt;EDATE($B$8,'Вводные'!$H$88)),MAX(0,'Вводные'!$B$26*'Вводные'!$V$88-DE38)*'Вводные'!$B$29/12,0)+IF(AND(YEAR(DE$3)=YEAR($B$7),MONTH(DE$3)=MONTH($B$7)),'Вводные'!$B$26*'Вводные'!$V$88*'Вводные'!$B$30,0)</x:f>
      </x:c>
      <x:c r="DF43" s="117" t="n">
        <x:f>IF(AND(OR(DF38&gt;0,DF$3&lt;=$B$8),DF$3&gt;=$B$7,DF$3&lt;EDATE($B$8,'Вводные'!$H$88)),MAX(0,'Вводные'!$B$26*'Вводные'!$V$88-DF38)*'Вводные'!$B$29/12,0)+IF(AND(YEAR(DF$3)=YEAR($B$7),MONTH(DF$3)=MONTH($B$7)),'Вводные'!$B$26*'Вводные'!$V$88*'Вводные'!$B$30,0)</x:f>
      </x:c>
      <x:c r="DG43" s="117" t="n">
        <x:f>IF(AND(OR(DG38&gt;0,DG$3&lt;=$B$8),DG$3&gt;=$B$7,DG$3&lt;EDATE($B$8,'Вводные'!$H$88)),MAX(0,'Вводные'!$B$26*'Вводные'!$V$88-DG38)*'Вводные'!$B$29/12,0)+IF(AND(YEAR(DG$3)=YEAR($B$7),MONTH(DG$3)=MONTH($B$7)),'Вводные'!$B$26*'Вводные'!$V$88*'Вводные'!$B$30,0)</x:f>
      </x:c>
      <x:c r="DH43" s="117" t="n">
        <x:f>IF(AND(OR(DH38&gt;0,DH$3&lt;=$B$8),DH$3&gt;=$B$7,DH$3&lt;EDATE($B$8,'Вводные'!$H$88)),MAX(0,'Вводные'!$B$26*'Вводные'!$V$88-DH38)*'Вводные'!$B$29/12,0)+IF(AND(YEAR(DH$3)=YEAR($B$7),MONTH(DH$3)=MONTH($B$7)),'Вводные'!$B$26*'Вводные'!$V$88*'Вводные'!$B$30,0)</x:f>
      </x:c>
      <x:c r="DI43" s="117" t="n">
        <x:f>IF(AND(OR(DI38&gt;0,DI$3&lt;=$B$8),DI$3&gt;=$B$7,DI$3&lt;EDATE($B$8,'Вводные'!$H$88)),MAX(0,'Вводные'!$B$26*'Вводные'!$V$88-DI38)*'Вводные'!$B$29/12,0)+IF(AND(YEAR(DI$3)=YEAR($B$7),MONTH(DI$3)=MONTH($B$7)),'Вводные'!$B$26*'Вводные'!$V$88*'Вводные'!$B$30,0)</x:f>
      </x:c>
      <x:c r="DJ43" s="117" t="n">
        <x:f>IF(AND(OR(DJ38&gt;0,DJ$3&lt;=$B$8),DJ$3&gt;=$B$7,DJ$3&lt;EDATE($B$8,'Вводные'!$H$88)),MAX(0,'Вводные'!$B$26*'Вводные'!$V$88-DJ38)*'Вводные'!$B$29/12,0)+IF(AND(YEAR(DJ$3)=YEAR($B$7),MONTH(DJ$3)=MONTH($B$7)),'Вводные'!$B$26*'Вводные'!$V$88*'Вводные'!$B$30,0)</x:f>
      </x:c>
      <x:c r="DK43" s="117" t="n">
        <x:f>IF(AND(OR(DK38&gt;0,DK$3&lt;=$B$8),DK$3&gt;=$B$7,DK$3&lt;EDATE($B$8,'Вводные'!$H$88)),MAX(0,'Вводные'!$B$26*'Вводные'!$V$88-DK38)*'Вводные'!$B$29/12,0)+IF(AND(YEAR(DK$3)=YEAR($B$7),MONTH(DK$3)=MONTH($B$7)),'Вводные'!$B$26*'Вводные'!$V$88*'Вводные'!$B$30,0)</x:f>
      </x:c>
      <x:c r="DL43" s="117" t="n">
        <x:f>IF(AND(OR(DL38&gt;0,DL$3&lt;=$B$8),DL$3&gt;=$B$7,DL$3&lt;EDATE($B$8,'Вводные'!$H$88)),MAX(0,'Вводные'!$B$26*'Вводные'!$V$88-DL38)*'Вводные'!$B$29/12,0)+IF(AND(YEAR(DL$3)=YEAR($B$7),MONTH(DL$3)=MONTH($B$7)),'Вводные'!$B$26*'Вводные'!$V$88*'Вводные'!$B$30,0)</x:f>
      </x:c>
      <x:c r="DM43" s="117" t="n">
        <x:f>IF(AND(OR(DM38&gt;0,DM$3&lt;=$B$8),DM$3&gt;=$B$7,DM$3&lt;EDATE($B$8,'Вводные'!$H$88)),MAX(0,'Вводные'!$B$26*'Вводные'!$V$88-DM38)*'Вводные'!$B$29/12,0)+IF(AND(YEAR(DM$3)=YEAR($B$7),MONTH(DM$3)=MONTH($B$7)),'Вводные'!$B$26*'Вводные'!$V$88*'Вводные'!$B$30,0)</x:f>
      </x:c>
      <x:c r="DN43" s="117" t="n">
        <x:f>IF(AND(OR(DN38&gt;0,DN$3&lt;=$B$8),DN$3&gt;=$B$7,DN$3&lt;EDATE($B$8,'Вводные'!$H$88)),MAX(0,'Вводные'!$B$26*'Вводные'!$V$88-DN38)*'Вводные'!$B$29/12,0)+IF(AND(YEAR(DN$3)=YEAR($B$7),MONTH(DN$3)=MONTH($B$7)),'Вводные'!$B$26*'Вводные'!$V$88*'Вводные'!$B$30,0)</x:f>
      </x:c>
      <x:c r="DO43" s="117" t="n">
        <x:f>IF(AND(OR(DO38&gt;0,DO$3&lt;=$B$8),DO$3&gt;=$B$7,DO$3&lt;EDATE($B$8,'Вводные'!$H$88)),MAX(0,'Вводные'!$B$26*'Вводные'!$V$88-DO38)*'Вводные'!$B$29/12,0)+IF(AND(YEAR(DO$3)=YEAR($B$7),MONTH(DO$3)=MONTH($B$7)),'Вводные'!$B$26*'Вводные'!$V$88*'Вводные'!$B$30,0)</x:f>
      </x:c>
      <x:c r="DP43" s="117" t="n">
        <x:f>IF(AND(OR(DP38&gt;0,DP$3&lt;=$B$8),DP$3&gt;=$B$7,DP$3&lt;EDATE($B$8,'Вводные'!$H$88)),MAX(0,'Вводные'!$B$26*'Вводные'!$V$88-DP38)*'Вводные'!$B$29/12,0)+IF(AND(YEAR(DP$3)=YEAR($B$7),MONTH(DP$3)=MONTH($B$7)),'Вводные'!$B$26*'Вводные'!$V$88*'Вводные'!$B$30,0)</x:f>
      </x:c>
      <x:c r="DQ43" s="117" t="n">
        <x:f>IF(AND(OR(DQ38&gt;0,DQ$3&lt;=$B$8),DQ$3&gt;=$B$7,DQ$3&lt;EDATE($B$8,'Вводные'!$H$88)),MAX(0,'Вводные'!$B$26*'Вводные'!$V$88-DQ38)*'Вводные'!$B$29/12,0)+IF(AND(YEAR(DQ$3)=YEAR($B$7),MONTH(DQ$3)=MONTH($B$7)),'Вводные'!$B$26*'Вводные'!$V$88*'Вводные'!$B$30,0)</x:f>
      </x:c>
      <x:c r="DR43" s="117" t="n">
        <x:f>IF(AND(OR(DR38&gt;0,DR$3&lt;=$B$8),DR$3&gt;=$B$7,DR$3&lt;EDATE($B$8,'Вводные'!$H$88)),MAX(0,'Вводные'!$B$26*'Вводные'!$V$88-DR38)*'Вводные'!$B$29/12,0)+IF(AND(YEAR(DR$3)=YEAR($B$7),MONTH(DR$3)=MONTH($B$7)),'Вводные'!$B$26*'Вводные'!$V$88*'Вводные'!$B$30,0)</x:f>
      </x:c>
      <x:c r="DS43" s="117" t="n">
        <x:f>IF(AND(OR(DS38&gt;0,DS$3&lt;=$B$8),DS$3&gt;=$B$7,DS$3&lt;EDATE($B$8,'Вводные'!$H$88)),MAX(0,'Вводные'!$B$26*'Вводные'!$V$88-DS38)*'Вводные'!$B$29/12,0)+IF(AND(YEAR(DS$3)=YEAR($B$7),MONTH(DS$3)=MONTH($B$7)),'Вводные'!$B$26*'Вводные'!$V$88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1</x:v>
      </x:c>
      <x:c r="B66" s="53" t="str">
        <x:v>СВОДКА ОЧЕРЕДИ 1</x:v>
      </x:c>
      <x:c r="C66" s="54" t="str">
        <x:v>СВОДКА ОЧЕРЕДИ 1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n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2</x:v>
      </x:c>
      <x:c r="B1" s="4" t="str">
        <x:v>ДЕНЕЖНЫЙ ПОТОК · ОЧЕРЕДЬ 2</x:v>
      </x:c>
      <x:c r="C1" s="4" t="str">
        <x:v>ДЕНЕЖНЫЙ ПОТОК · ОЧЕРЕДЬ 2</x:v>
      </x:c>
      <x:c r="D1" s="4" t="str">
        <x:v>ДЕНЕЖНЫЙ ПОТОК · ОЧЕРЕДЬ 2</x:v>
      </x:c>
      <x:c r="E1" s="4" t="str">
        <x:v>ДЕНЕЖНЫЙ ПОТОК · ОЧЕРЕДЬ 2</x:v>
      </x:c>
      <x:c r="F1" s="4" t="str">
        <x:v>ДЕНЕЖНЫЙ ПОТОК · ОЧЕРЕДЬ 2</x:v>
      </x:c>
      <x:c r="G1" s="4" t="str">
        <x:v>ДЕНЕЖНЫЙ ПОТОК · ОЧЕРЕДЬ 2</x:v>
      </x:c>
      <x:c r="H1" s="4" t="str">
        <x:v>ДЕНЕЖНЫЙ ПОТОК · ОЧЕРЕДЬ 2</x:v>
      </x:c>
      <x:c r="I1" s="4" t="str">
        <x:v>ДЕНЕЖНЫЙ ПОТОК · ОЧЕРЕДЬ 2</x:v>
      </x:c>
      <x:c r="J1" s="4" t="str">
        <x:v>ДЕНЕЖНЫЙ ПОТОК · ОЧЕРЕДЬ 2</x:v>
      </x:c>
      <x:c r="K1" s="4" t="str">
        <x:v>ДЕНЕЖНЫЙ ПОТОК · ОЧЕРЕДЬ 2</x:v>
      </x:c>
      <x:c r="L1" s="4" t="str">
        <x:v>ДЕНЕЖНЫЙ ПОТОК · ОЧЕРЕДЬ 2</x:v>
      </x:c>
      <x:c r="M1" s="4" t="str">
        <x:v>ДЕНЕЖНЫЙ ПОТОК · ОЧЕРЕДЬ 2</x:v>
      </x:c>
      <x:c r="N1" s="4" t="str">
        <x:v>ДЕНЕЖНЫЙ ПОТОК · ОЧЕРЕДЬ 2</x:v>
      </x:c>
      <x:c r="O1" s="4" t="str">
        <x:v>ДЕНЕЖНЫЙ ПОТОК · ОЧЕРЕДЬ 2</x:v>
      </x:c>
      <x:c r="P1" s="4" t="str">
        <x:v>ДЕНЕЖНЫЙ ПОТОК · ОЧЕРЕДЬ 2</x:v>
      </x:c>
      <x:c r="Q1" s="4" t="str">
        <x:v>ДЕНЕЖНЫЙ ПОТОК · ОЧЕРЕДЬ 2</x:v>
      </x:c>
      <x:c r="R1" s="4" t="str">
        <x:v>ДЕНЕЖНЫЙ ПОТОК · ОЧЕРЕДЬ 2</x:v>
      </x:c>
      <x:c r="S1" s="4" t="str">
        <x:v>ДЕНЕЖНЫЙ ПОТОК · ОЧЕРЕДЬ 2</x:v>
      </x:c>
      <x:c r="T1" s="4" t="str">
        <x:v>ДЕНЕЖНЫЙ ПОТОК · ОЧЕРЕДЬ 2</x:v>
      </x:c>
      <x:c r="U1" s="4" t="str">
        <x:v>ДЕНЕЖНЫЙ ПОТОК · ОЧЕРЕДЬ 2</x:v>
      </x:c>
      <x:c r="V1" s="4" t="str">
        <x:v>ДЕНЕЖНЫЙ ПОТОК · ОЧЕРЕДЬ 2</x:v>
      </x:c>
      <x:c r="W1" s="4" t="str">
        <x:v>ДЕНЕЖНЫЙ ПОТОК · ОЧЕРЕДЬ 2</x:v>
      </x:c>
      <x:c r="X1" s="4" t="str">
        <x:v>ДЕНЕЖНЫЙ ПОТОК · ОЧЕРЕДЬ 2</x:v>
      </x:c>
      <x:c r="Y1" s="4" t="str">
        <x:v>ДЕНЕЖНЫЙ ПОТОК · ОЧЕРЕДЬ 2</x:v>
      </x:c>
      <x:c r="Z1" s="4" t="str">
        <x:v>ДЕНЕЖНЫЙ ПОТОК · ОЧЕРЕДЬ 2</x:v>
      </x:c>
      <x:c r="AA1" s="4" t="str">
        <x:v>ДЕНЕЖНЫЙ ПОТОК · ОЧЕРЕДЬ 2</x:v>
      </x:c>
      <x:c r="AB1" s="4" t="str">
        <x:v>ДЕНЕЖНЫЙ ПОТОК · ОЧЕРЕДЬ 2</x:v>
      </x:c>
      <x:c r="AC1" s="4" t="str">
        <x:v>ДЕНЕЖНЫЙ ПОТОК · ОЧЕРЕДЬ 2</x:v>
      </x:c>
      <x:c r="AD1" s="4" t="str">
        <x:v>ДЕНЕЖНЫЙ ПОТОК · ОЧЕРЕДЬ 2</x:v>
      </x:c>
      <x:c r="AE1" s="4" t="str">
        <x:v>ДЕНЕЖНЫЙ ПОТОК · ОЧЕРЕДЬ 2</x:v>
      </x:c>
      <x:c r="AF1" s="4" t="str">
        <x:v>ДЕНЕЖНЫЙ ПОТОК · ОЧЕРЕДЬ 2</x:v>
      </x:c>
      <x:c r="AG1" s="4" t="str">
        <x:v>ДЕНЕЖНЫЙ ПОТОК · ОЧЕРЕДЬ 2</x:v>
      </x:c>
      <x:c r="AH1" s="4" t="str">
        <x:v>ДЕНЕЖНЫЙ ПОТОК · ОЧЕРЕДЬ 2</x:v>
      </x:c>
      <x:c r="AI1" s="4" t="str">
        <x:v>ДЕНЕЖНЫЙ ПОТОК · ОЧЕРЕДЬ 2</x:v>
      </x:c>
      <x:c r="AJ1" s="4" t="str">
        <x:v>ДЕНЕЖНЫЙ ПОТОК · ОЧЕРЕДЬ 2</x:v>
      </x:c>
      <x:c r="AK1" s="4" t="str">
        <x:v>ДЕНЕЖНЫЙ ПОТОК · ОЧЕРЕДЬ 2</x:v>
      </x:c>
      <x:c r="AL1" s="4" t="str">
        <x:v>ДЕНЕЖНЫЙ ПОТОК · ОЧЕРЕДЬ 2</x:v>
      </x:c>
      <x:c r="AM1" s="4" t="str">
        <x:v>ДЕНЕЖНЫЙ ПОТОК · ОЧЕРЕДЬ 2</x:v>
      </x:c>
      <x:c r="AN1" s="4" t="str">
        <x:v>ДЕНЕЖНЫЙ ПОТОК · ОЧЕРЕДЬ 2</x:v>
      </x:c>
      <x:c r="AO1" s="4" t="str">
        <x:v>ДЕНЕЖНЫЙ ПОТОК · ОЧЕРЕДЬ 2</x:v>
      </x:c>
      <x:c r="AP1" s="4" t="str">
        <x:v>ДЕНЕЖНЫЙ ПОТОК · ОЧЕРЕДЬ 2</x:v>
      </x:c>
      <x:c r="AQ1" s="4" t="str">
        <x:v>ДЕНЕЖНЫЙ ПОТОК · ОЧЕРЕДЬ 2</x:v>
      </x:c>
      <x:c r="AR1" s="4" t="str">
        <x:v>ДЕНЕЖНЫЙ ПОТОК · ОЧЕРЕДЬ 2</x:v>
      </x:c>
      <x:c r="AS1" s="4" t="str">
        <x:v>ДЕНЕЖНЫЙ ПОТОК · ОЧЕРЕДЬ 2</x:v>
      </x:c>
      <x:c r="AT1" s="4" t="str">
        <x:v>ДЕНЕЖНЫЙ ПОТОК · ОЧЕРЕДЬ 2</x:v>
      </x:c>
      <x:c r="AU1" s="4" t="str">
        <x:v>ДЕНЕЖНЫЙ ПОТОК · ОЧЕРЕДЬ 2</x:v>
      </x:c>
      <x:c r="AV1" s="4" t="str">
        <x:v>ДЕНЕЖНЫЙ ПОТОК · ОЧЕРЕДЬ 2</x:v>
      </x:c>
      <x:c r="AW1" s="4" t="str">
        <x:v>ДЕНЕЖНЫЙ ПОТОК · ОЧЕРЕДЬ 2</x:v>
      </x:c>
      <x:c r="AX1" s="4" t="str">
        <x:v>ДЕНЕЖНЫЙ ПОТОК · ОЧЕРЕДЬ 2</x:v>
      </x:c>
      <x:c r="AY1" s="4" t="str">
        <x:v>ДЕНЕЖНЫЙ ПОТОК · ОЧЕРЕДЬ 2</x:v>
      </x:c>
      <x:c r="AZ1" s="4" t="str">
        <x:v>ДЕНЕЖНЫЙ ПОТОК · ОЧЕРЕДЬ 2</x:v>
      </x:c>
      <x:c r="BA1" s="4" t="str">
        <x:v>ДЕНЕЖНЫЙ ПОТОК · ОЧЕРЕДЬ 2</x:v>
      </x:c>
      <x:c r="BB1" s="4" t="str">
        <x:v>ДЕНЕЖНЫЙ ПОТОК · ОЧЕРЕДЬ 2</x:v>
      </x:c>
      <x:c r="BC1" s="4" t="str">
        <x:v>ДЕНЕЖНЫЙ ПОТОК · ОЧЕРЕДЬ 2</x:v>
      </x:c>
      <x:c r="BD1" s="4" t="str">
        <x:v>ДЕНЕЖНЫЙ ПОТОК · ОЧЕРЕДЬ 2</x:v>
      </x:c>
      <x:c r="BE1" s="4" t="str">
        <x:v>ДЕНЕЖНЫЙ ПОТОК · ОЧЕРЕДЬ 2</x:v>
      </x:c>
      <x:c r="BF1" s="4" t="str">
        <x:v>ДЕНЕЖНЫЙ ПОТОК · ОЧЕРЕДЬ 2</x:v>
      </x:c>
      <x:c r="BG1" s="4" t="str">
        <x:v>ДЕНЕЖНЫЙ ПОТОК · ОЧЕРЕДЬ 2</x:v>
      </x:c>
      <x:c r="BH1" s="4" t="str">
        <x:v>ДЕНЕЖНЫЙ ПОТОК · ОЧЕРЕДЬ 2</x:v>
      </x:c>
      <x:c r="BI1" s="4" t="str">
        <x:v>ДЕНЕЖНЫЙ ПОТОК · ОЧЕРЕДЬ 2</x:v>
      </x:c>
      <x:c r="BJ1" s="4" t="str">
        <x:v>ДЕНЕЖНЫЙ ПОТОК · ОЧЕРЕДЬ 2</x:v>
      </x:c>
      <x:c r="BK1" s="4" t="str">
        <x:v>ДЕНЕЖНЫЙ ПОТОК · ОЧЕРЕДЬ 2</x:v>
      </x:c>
      <x:c r="BL1" s="4" t="str">
        <x:v>ДЕНЕЖНЫЙ ПОТОК · ОЧЕРЕДЬ 2</x:v>
      </x:c>
      <x:c r="BM1" s="4" t="str">
        <x:v>ДЕНЕЖНЫЙ ПОТОК · ОЧЕРЕДЬ 2</x:v>
      </x:c>
      <x:c r="BN1" s="4" t="str">
        <x:v>ДЕНЕЖНЫЙ ПОТОК · ОЧЕРЕДЬ 2</x:v>
      </x:c>
      <x:c r="BO1" s="4" t="str">
        <x:v>ДЕНЕЖНЫЙ ПОТОК · ОЧЕРЕДЬ 2</x:v>
      </x:c>
      <x:c r="BP1" s="4" t="str">
        <x:v>ДЕНЕЖНЫЙ ПОТОК · ОЧЕРЕДЬ 2</x:v>
      </x:c>
      <x:c r="BQ1" s="4" t="str">
        <x:v>ДЕНЕЖНЫЙ ПОТОК · ОЧЕРЕДЬ 2</x:v>
      </x:c>
      <x:c r="BR1" s="4" t="str">
        <x:v>ДЕНЕЖНЫЙ ПОТОК · ОЧЕРЕДЬ 2</x:v>
      </x:c>
      <x:c r="BS1" s="4" t="str">
        <x:v>ДЕНЕЖНЫЙ ПОТОК · ОЧЕРЕДЬ 2</x:v>
      </x:c>
      <x:c r="BT1" s="4" t="str">
        <x:v>ДЕНЕЖНЫЙ ПОТОК · ОЧЕРЕДЬ 2</x:v>
      </x:c>
      <x:c r="BU1" s="4" t="str">
        <x:v>ДЕНЕЖНЫЙ ПОТОК · ОЧЕРЕДЬ 2</x:v>
      </x:c>
      <x:c r="BV1" s="4" t="str">
        <x:v>ДЕНЕЖНЫЙ ПОТОК · ОЧЕРЕДЬ 2</x:v>
      </x:c>
      <x:c r="BW1" s="4" t="str">
        <x:v>ДЕНЕЖНЫЙ ПОТОК · ОЧЕРЕДЬ 2</x:v>
      </x:c>
      <x:c r="BX1" s="4" t="str">
        <x:v>ДЕНЕЖНЫЙ ПОТОК · ОЧЕРЕДЬ 2</x:v>
      </x:c>
      <x:c r="BY1" s="4" t="str">
        <x:v>ДЕНЕЖНЫЙ ПОТОК · ОЧЕРЕДЬ 2</x:v>
      </x:c>
      <x:c r="BZ1" s="4" t="str">
        <x:v>ДЕНЕЖНЫЙ ПОТОК · ОЧЕРЕДЬ 2</x:v>
      </x:c>
      <x:c r="CA1" s="4" t="str">
        <x:v>ДЕНЕЖНЫЙ ПОТОК · ОЧЕРЕДЬ 2</x:v>
      </x:c>
      <x:c r="CB1" s="4" t="str">
        <x:v>ДЕНЕЖНЫЙ ПОТОК · ОЧЕРЕДЬ 2</x:v>
      </x:c>
      <x:c r="CC1" s="4" t="str">
        <x:v>ДЕНЕЖНЫЙ ПОТОК · ОЧЕРЕДЬ 2</x:v>
      </x:c>
      <x:c r="CD1" s="4" t="str">
        <x:v>ДЕНЕЖНЫЙ ПОТОК · ОЧЕРЕДЬ 2</x:v>
      </x:c>
      <x:c r="CE1" s="4" t="str">
        <x:v>ДЕНЕЖНЫЙ ПОТОК · ОЧЕРЕДЬ 2</x:v>
      </x:c>
      <x:c r="CF1" s="4" t="str">
        <x:v>ДЕНЕЖНЫЙ ПОТОК · ОЧЕРЕДЬ 2</x:v>
      </x:c>
      <x:c r="CG1" s="4" t="str">
        <x:v>ДЕНЕЖНЫЙ ПОТОК · ОЧЕРЕДЬ 2</x:v>
      </x:c>
      <x:c r="CH1" s="4" t="str">
        <x:v>ДЕНЕЖНЫЙ ПОТОК · ОЧЕРЕДЬ 2</x:v>
      </x:c>
      <x:c r="CI1" s="4" t="str">
        <x:v>ДЕНЕЖНЫЙ ПОТОК · ОЧЕРЕДЬ 2</x:v>
      </x:c>
      <x:c r="CJ1" s="4" t="str">
        <x:v>ДЕНЕЖНЫЙ ПОТОК · ОЧЕРЕДЬ 2</x:v>
      </x:c>
      <x:c r="CK1" s="4" t="str">
        <x:v>ДЕНЕЖНЫЙ ПОТОК · ОЧЕРЕДЬ 2</x:v>
      </x:c>
      <x:c r="CL1" s="4" t="str">
        <x:v>ДЕНЕЖНЫЙ ПОТОК · ОЧЕРЕДЬ 2</x:v>
      </x:c>
      <x:c r="CM1" s="4" t="str">
        <x:v>ДЕНЕЖНЫЙ ПОТОК · ОЧЕРЕДЬ 2</x:v>
      </x:c>
      <x:c r="CN1" s="4" t="str">
        <x:v>ДЕНЕЖНЫЙ ПОТОК · ОЧЕРЕДЬ 2</x:v>
      </x:c>
      <x:c r="CO1" s="4" t="str">
        <x:v>ДЕНЕЖНЫЙ ПОТОК · ОЧЕРЕДЬ 2</x:v>
      </x:c>
      <x:c r="CP1" s="4" t="str">
        <x:v>ДЕНЕЖНЫЙ ПОТОК · ОЧЕРЕДЬ 2</x:v>
      </x:c>
      <x:c r="CQ1" s="4" t="str">
        <x:v>ДЕНЕЖНЫЙ ПОТОК · ОЧЕРЕДЬ 2</x:v>
      </x:c>
      <x:c r="CR1" s="4" t="str">
        <x:v>ДЕНЕЖНЫЙ ПОТОК · ОЧЕРЕДЬ 2</x:v>
      </x:c>
      <x:c r="CS1" s="4" t="str">
        <x:v>ДЕНЕЖНЫЙ ПОТОК · ОЧЕРЕДЬ 2</x:v>
      </x:c>
      <x:c r="CT1" s="4" t="str">
        <x:v>ДЕНЕЖНЫЙ ПОТОК · ОЧЕРЕДЬ 2</x:v>
      </x:c>
      <x:c r="CU1" s="4" t="str">
        <x:v>ДЕНЕЖНЫЙ ПОТОК · ОЧЕРЕДЬ 2</x:v>
      </x:c>
      <x:c r="CV1" s="4" t="str">
        <x:v>ДЕНЕЖНЫЙ ПОТОК · ОЧЕРЕДЬ 2</x:v>
      </x:c>
      <x:c r="CW1" s="4" t="str">
        <x:v>ДЕНЕЖНЫЙ ПОТОК · ОЧЕРЕДЬ 2</x:v>
      </x:c>
      <x:c r="CX1" s="4" t="str">
        <x:v>ДЕНЕЖНЫЙ ПОТОК · ОЧЕРЕДЬ 2</x:v>
      </x:c>
      <x:c r="CY1" s="4" t="str">
        <x:v>ДЕНЕЖНЫЙ ПОТОК · ОЧЕРЕДЬ 2</x:v>
      </x:c>
      <x:c r="CZ1" s="4" t="str">
        <x:v>ДЕНЕЖНЫЙ ПОТОК · ОЧЕРЕДЬ 2</x:v>
      </x:c>
      <x:c r="DA1" s="4" t="str">
        <x:v>ДЕНЕЖНЫЙ ПОТОК · ОЧЕРЕДЬ 2</x:v>
      </x:c>
      <x:c r="DB1" s="4" t="str">
        <x:v>ДЕНЕЖНЫЙ ПОТОК · ОЧЕРЕДЬ 2</x:v>
      </x:c>
      <x:c r="DC1" s="4" t="str">
        <x:v>ДЕНЕЖНЫЙ ПОТОК · ОЧЕРЕДЬ 2</x:v>
      </x:c>
      <x:c r="DD1" s="4" t="str">
        <x:v>ДЕНЕЖНЫЙ ПОТОК · ОЧЕРЕДЬ 2</x:v>
      </x:c>
      <x:c r="DE1" s="4" t="str">
        <x:v>ДЕНЕЖНЫЙ ПОТОК · ОЧЕРЕДЬ 2</x:v>
      </x:c>
      <x:c r="DF1" s="4" t="str">
        <x:v>ДЕНЕЖНЫЙ ПОТОК · ОЧЕРЕДЬ 2</x:v>
      </x:c>
      <x:c r="DG1" s="4" t="str">
        <x:v>ДЕНЕЖНЫЙ ПОТОК · ОЧЕРЕДЬ 2</x:v>
      </x:c>
      <x:c r="DH1" s="4" t="str">
        <x:v>ДЕНЕЖНЫЙ ПОТОК · ОЧЕРЕДЬ 2</x:v>
      </x:c>
      <x:c r="DI1" s="4" t="str">
        <x:v>ДЕНЕЖНЫЙ ПОТОК · ОЧЕРЕДЬ 2</x:v>
      </x:c>
      <x:c r="DJ1" s="4" t="str">
        <x:v>ДЕНЕЖНЫЙ ПОТОК · ОЧЕРЕДЬ 2</x:v>
      </x:c>
      <x:c r="DK1" s="4" t="str">
        <x:v>ДЕНЕЖНЫЙ ПОТОК · ОЧЕРЕДЬ 2</x:v>
      </x:c>
      <x:c r="DL1" s="4" t="str">
        <x:v>ДЕНЕЖНЫЙ ПОТОК · ОЧЕРЕДЬ 2</x:v>
      </x:c>
      <x:c r="DM1" s="4" t="str">
        <x:v>ДЕНЕЖНЫЙ ПОТОК · ОЧЕРЕДЬ 2</x:v>
      </x:c>
      <x:c r="DN1" s="4" t="str">
        <x:v>ДЕНЕЖНЫЙ ПОТОК · ОЧЕРЕДЬ 2</x:v>
      </x:c>
      <x:c r="DO1" s="4" t="str">
        <x:v>ДЕНЕЖНЫЙ ПОТОК · ОЧЕРЕДЬ 2</x:v>
      </x:c>
      <x:c r="DP1" s="4" t="str">
        <x:v>ДЕНЕЖНЫЙ ПОТОК · ОЧЕРЕДЬ 2</x:v>
      </x:c>
      <x:c r="DQ1" s="4" t="str">
        <x:v>ДЕНЕЖНЫЙ ПОТОК · ОЧЕРЕДЬ 2</x:v>
      </x:c>
      <x:c r="DR1" s="4" t="str">
        <x:v>ДЕНЕЖНЫЙ ПОТОК · ОЧЕРЕДЬ 2</x:v>
      </x:c>
      <x:c r="DS1" s="4" t="str">
        <x:v>ДЕНЕЖНЫЙ ПОТОК · ОЧЕРЕДЬ 2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--('Вводные'!$B$89="Да")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EDATE('Вводные'!$D$89,'Вводные'!$H$9)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EDATE(B6,'Вводные'!$E$89)</x:f>
      </x:c>
      <x:c r="C7" t="str">
        <x:v>дата</x:v>
      </x:c>
    </x:row>
    <x:row r="8">
      <x:c r="A8" t="str">
        <x:v>РВЭ</x:v>
      </x:c>
      <x:c r="B8" s="106" t="n">
        <x:f>EDATE(B7,'Вводные'!$F$89)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'Продажи'!D49+'ОБЪЕКТЫ'!D100</x:f>
      </x:c>
      <x:c r="E10" s="117" t="n">
        <x:f>'Продажи'!E49+'ОБЪЕКТЫ'!E100</x:f>
      </x:c>
      <x:c r="F10" s="117" t="n">
        <x:f>'Продажи'!F49+'ОБЪЕКТЫ'!F100</x:f>
      </x:c>
      <x:c r="G10" s="117" t="n">
        <x:f>'Продажи'!G49+'ОБЪЕКТЫ'!G100</x:f>
      </x:c>
      <x:c r="H10" s="117" t="n">
        <x:f>'Продажи'!H49+'ОБЪЕКТЫ'!H100</x:f>
      </x:c>
      <x:c r="I10" s="117" t="n">
        <x:f>'Продажи'!I49+'ОБЪЕКТЫ'!I100</x:f>
      </x:c>
      <x:c r="J10" s="117" t="n">
        <x:f>'Продажи'!J49+'ОБЪЕКТЫ'!J100</x:f>
      </x:c>
      <x:c r="K10" s="117" t="n">
        <x:f>'Продажи'!K49+'ОБЪЕКТЫ'!K100</x:f>
      </x:c>
      <x:c r="L10" s="117" t="n">
        <x:f>'Продажи'!L49+'ОБЪЕКТЫ'!L100</x:f>
      </x:c>
      <x:c r="M10" s="117" t="n">
        <x:f>'Продажи'!M49+'ОБЪЕКТЫ'!M100</x:f>
      </x:c>
      <x:c r="N10" s="117" t="n">
        <x:f>'Продажи'!N49+'ОБЪЕКТЫ'!N100</x:f>
      </x:c>
      <x:c r="O10" s="117" t="n">
        <x:f>'Продажи'!O49+'ОБЪЕКТЫ'!O100</x:f>
      </x:c>
      <x:c r="P10" s="117" t="n">
        <x:f>'Продажи'!P49+'ОБЪЕКТЫ'!P100</x:f>
      </x:c>
      <x:c r="Q10" s="117" t="n">
        <x:f>'Продажи'!Q49+'ОБЪЕКТЫ'!Q100</x:f>
      </x:c>
      <x:c r="R10" s="117" t="n">
        <x:f>'Продажи'!R49+'ОБЪЕКТЫ'!R100</x:f>
      </x:c>
      <x:c r="S10" s="117" t="n">
        <x:f>'Продажи'!S49+'ОБЪЕКТЫ'!S100</x:f>
      </x:c>
      <x:c r="T10" s="117" t="n">
        <x:f>'Продажи'!T49+'ОБЪЕКТЫ'!T100</x:f>
      </x:c>
      <x:c r="U10" s="117" t="n">
        <x:f>'Продажи'!U49+'ОБЪЕКТЫ'!U100</x:f>
      </x:c>
      <x:c r="V10" s="117" t="n">
        <x:f>'Продажи'!V49+'ОБЪЕКТЫ'!V100</x:f>
      </x:c>
      <x:c r="W10" s="117" t="n">
        <x:f>'Продажи'!W49+'ОБЪЕКТЫ'!W100</x:f>
      </x:c>
      <x:c r="X10" s="117" t="n">
        <x:f>'Продажи'!X49+'ОБЪЕКТЫ'!X100</x:f>
      </x:c>
      <x:c r="Y10" s="117" t="n">
        <x:f>'Продажи'!Y49+'ОБЪЕКТЫ'!Y100</x:f>
      </x:c>
      <x:c r="Z10" s="117" t="n">
        <x:f>'Продажи'!Z49+'ОБЪЕКТЫ'!Z100</x:f>
      </x:c>
      <x:c r="AA10" s="117" t="n">
        <x:f>'Продажи'!AA49+'ОБЪЕКТЫ'!AA100</x:f>
      </x:c>
      <x:c r="AB10" s="117" t="n">
        <x:f>'Продажи'!AB49+'ОБЪЕКТЫ'!AB100</x:f>
      </x:c>
      <x:c r="AC10" s="117" t="n">
        <x:f>'Продажи'!AC49+'ОБЪЕКТЫ'!AC100</x:f>
      </x:c>
      <x:c r="AD10" s="117" t="n">
        <x:f>'Продажи'!AD49+'ОБЪЕКТЫ'!AD100</x:f>
      </x:c>
      <x:c r="AE10" s="117" t="n">
        <x:f>'Продажи'!AE49+'ОБЪЕКТЫ'!AE100</x:f>
      </x:c>
      <x:c r="AF10" s="117" t="n">
        <x:f>'Продажи'!AF49+'ОБЪЕКТЫ'!AF100</x:f>
      </x:c>
      <x:c r="AG10" s="117" t="n">
        <x:f>'Продажи'!AG49+'ОБЪЕКТЫ'!AG100</x:f>
      </x:c>
      <x:c r="AH10" s="117" t="n">
        <x:f>'Продажи'!AH49+'ОБЪЕКТЫ'!AH100</x:f>
      </x:c>
      <x:c r="AI10" s="117" t="n">
        <x:f>'Продажи'!AI49+'ОБЪЕКТЫ'!AI100</x:f>
      </x:c>
      <x:c r="AJ10" s="117" t="n">
        <x:f>'Продажи'!AJ49+'ОБЪЕКТЫ'!AJ100</x:f>
      </x:c>
      <x:c r="AK10" s="117" t="n">
        <x:f>'Продажи'!AK49+'ОБЪЕКТЫ'!AK100</x:f>
      </x:c>
      <x:c r="AL10" s="117" t="n">
        <x:f>'Продажи'!AL49+'ОБЪЕКТЫ'!AL100</x:f>
      </x:c>
      <x:c r="AM10" s="117" t="n">
        <x:f>'Продажи'!AM49+'ОБЪЕКТЫ'!AM100</x:f>
      </x:c>
      <x:c r="AN10" s="117" t="n">
        <x:f>'Продажи'!AN49+'ОБЪЕКТЫ'!AN100</x:f>
      </x:c>
      <x:c r="AO10" s="117" t="n">
        <x:f>'Продажи'!AO49+'ОБЪЕКТЫ'!AO100</x:f>
      </x:c>
      <x:c r="AP10" s="117" t="n">
        <x:f>'Продажи'!AP49+'ОБЪЕКТЫ'!AP100</x:f>
      </x:c>
      <x:c r="AQ10" s="117" t="n">
        <x:f>'Продажи'!AQ49+'ОБЪЕКТЫ'!AQ100</x:f>
      </x:c>
      <x:c r="AR10" s="117" t="n">
        <x:f>'Продажи'!AR49+'ОБЪЕКТЫ'!AR100</x:f>
      </x:c>
      <x:c r="AS10" s="117" t="n">
        <x:f>'Продажи'!AS49+'ОБЪЕКТЫ'!AS100</x:f>
      </x:c>
      <x:c r="AT10" s="117" t="n">
        <x:f>'Продажи'!AT49+'ОБЪЕКТЫ'!AT100</x:f>
      </x:c>
      <x:c r="AU10" s="117" t="n">
        <x:f>'Продажи'!AU49+'ОБЪЕКТЫ'!AU100</x:f>
      </x:c>
      <x:c r="AV10" s="117" t="n">
        <x:f>'Продажи'!AV49+'ОБЪЕКТЫ'!AV100</x:f>
      </x:c>
      <x:c r="AW10" s="117" t="n">
        <x:f>'Продажи'!AW49+'ОБЪЕКТЫ'!AW100</x:f>
      </x:c>
      <x:c r="AX10" s="117" t="n">
        <x:f>'Продажи'!AX49+'ОБЪЕКТЫ'!AX100</x:f>
      </x:c>
      <x:c r="AY10" s="117" t="n">
        <x:f>'Продажи'!AY49+'ОБЪЕКТЫ'!AY100</x:f>
      </x:c>
      <x:c r="AZ10" s="117" t="n">
        <x:f>'Продажи'!AZ49+'ОБЪЕКТЫ'!AZ100</x:f>
      </x:c>
      <x:c r="BA10" s="117" t="n">
        <x:f>'Продажи'!BA49+'ОБЪЕКТЫ'!BA100</x:f>
      </x:c>
      <x:c r="BB10" s="117" t="n">
        <x:f>'Продажи'!BB49+'ОБЪЕКТЫ'!BB100</x:f>
      </x:c>
      <x:c r="BC10" s="117" t="n">
        <x:f>'Продажи'!BC49+'ОБЪЕКТЫ'!BC100</x:f>
      </x:c>
      <x:c r="BD10" s="117" t="n">
        <x:f>'Продажи'!BD49+'ОБЪЕКТЫ'!BD100</x:f>
      </x:c>
      <x:c r="BE10" s="117" t="n">
        <x:f>'Продажи'!BE49+'ОБЪЕКТЫ'!BE100</x:f>
      </x:c>
      <x:c r="BF10" s="117" t="n">
        <x:f>'Продажи'!BF49+'ОБЪЕКТЫ'!BF100</x:f>
      </x:c>
      <x:c r="BG10" s="117" t="n">
        <x:f>'Продажи'!BG49+'ОБЪЕКТЫ'!BG100</x:f>
      </x:c>
      <x:c r="BH10" s="117" t="n">
        <x:f>'Продажи'!BH49+'ОБЪЕКТЫ'!BH100</x:f>
      </x:c>
      <x:c r="BI10" s="117" t="n">
        <x:f>'Продажи'!BI49+'ОБЪЕКТЫ'!BI100</x:f>
      </x:c>
      <x:c r="BJ10" s="117" t="n">
        <x:f>'Продажи'!BJ49+'ОБЪЕКТЫ'!BJ100</x:f>
      </x:c>
      <x:c r="BK10" s="117" t="n">
        <x:f>'Продажи'!BK49+'ОБЪЕКТЫ'!BK100</x:f>
      </x:c>
      <x:c r="BL10" s="117" t="n">
        <x:f>'Продажи'!BL49+'ОБЪЕКТЫ'!BL100</x:f>
      </x:c>
      <x:c r="BM10" s="117" t="n">
        <x:f>'Продажи'!BM49+'ОБЪЕКТЫ'!BM100</x:f>
      </x:c>
      <x:c r="BN10" s="117" t="n">
        <x:f>'Продажи'!BN49+'ОБЪЕКТЫ'!BN100</x:f>
      </x:c>
      <x:c r="BO10" s="117" t="n">
        <x:f>'Продажи'!BO49+'ОБЪЕКТЫ'!BO100</x:f>
      </x:c>
      <x:c r="BP10" s="117" t="n">
        <x:f>'Продажи'!BP49+'ОБЪЕКТЫ'!BP100</x:f>
      </x:c>
      <x:c r="BQ10" s="117" t="n">
        <x:f>'Продажи'!BQ49+'ОБЪЕКТЫ'!BQ100</x:f>
      </x:c>
      <x:c r="BR10" s="117" t="n">
        <x:f>'Продажи'!BR49+'ОБЪЕКТЫ'!BR100</x:f>
      </x:c>
      <x:c r="BS10" s="117" t="n">
        <x:f>'Продажи'!BS49+'ОБЪЕКТЫ'!BS100</x:f>
      </x:c>
      <x:c r="BT10" s="117" t="n">
        <x:f>'Продажи'!BT49+'ОБЪЕКТЫ'!BT100</x:f>
      </x:c>
      <x:c r="BU10" s="117" t="n">
        <x:f>'Продажи'!BU49+'ОБЪЕКТЫ'!BU100</x:f>
      </x:c>
      <x:c r="BV10" s="117" t="n">
        <x:f>'Продажи'!BV49+'ОБЪЕКТЫ'!BV100</x:f>
      </x:c>
      <x:c r="BW10" s="117" t="n">
        <x:f>'Продажи'!BW49+'ОБЪЕКТЫ'!BW100</x:f>
      </x:c>
      <x:c r="BX10" s="117" t="n">
        <x:f>'Продажи'!BX49+'ОБЪЕКТЫ'!BX100</x:f>
      </x:c>
      <x:c r="BY10" s="117" t="n">
        <x:f>'Продажи'!BY49+'ОБЪЕКТЫ'!BY100</x:f>
      </x:c>
      <x:c r="BZ10" s="117" t="n">
        <x:f>'Продажи'!BZ49+'ОБЪЕКТЫ'!BZ100</x:f>
      </x:c>
      <x:c r="CA10" s="117" t="n">
        <x:f>'Продажи'!CA49+'ОБЪЕКТЫ'!CA100</x:f>
      </x:c>
      <x:c r="CB10" s="117" t="n">
        <x:f>'Продажи'!CB49+'ОБЪЕКТЫ'!CB100</x:f>
      </x:c>
      <x:c r="CC10" s="117" t="n">
        <x:f>'Продажи'!CC49+'ОБЪЕКТЫ'!CC100</x:f>
      </x:c>
      <x:c r="CD10" s="117" t="n">
        <x:f>'Продажи'!CD49+'ОБЪЕКТЫ'!CD100</x:f>
      </x:c>
      <x:c r="CE10" s="117" t="n">
        <x:f>'Продажи'!CE49+'ОБЪЕКТЫ'!CE100</x:f>
      </x:c>
      <x:c r="CF10" s="117" t="n">
        <x:f>'Продажи'!CF49+'ОБЪЕКТЫ'!CF100</x:f>
      </x:c>
      <x:c r="CG10" s="117" t="n">
        <x:f>'Продажи'!CG49+'ОБЪЕКТЫ'!CG100</x:f>
      </x:c>
      <x:c r="CH10" s="117" t="n">
        <x:f>'Продажи'!CH49+'ОБЪЕКТЫ'!CH100</x:f>
      </x:c>
      <x:c r="CI10" s="117" t="n">
        <x:f>'Продажи'!CI49+'ОБЪЕКТЫ'!CI100</x:f>
      </x:c>
      <x:c r="CJ10" s="117" t="n">
        <x:f>'Продажи'!CJ49+'ОБЪЕКТЫ'!CJ100</x:f>
      </x:c>
      <x:c r="CK10" s="117" t="n">
        <x:f>'Продажи'!CK49+'ОБЪЕКТЫ'!CK100</x:f>
      </x:c>
      <x:c r="CL10" s="117" t="n">
        <x:f>'Продажи'!CL49+'ОБЪЕКТЫ'!CL100</x:f>
      </x:c>
      <x:c r="CM10" s="117" t="n">
        <x:f>'Продажи'!CM49+'ОБЪЕКТЫ'!CM100</x:f>
      </x:c>
      <x:c r="CN10" s="117" t="n">
        <x:f>'Продажи'!CN49+'ОБЪЕКТЫ'!CN100</x:f>
      </x:c>
      <x:c r="CO10" s="117" t="n">
        <x:f>'Продажи'!CO49+'ОБЪЕКТЫ'!CO100</x:f>
      </x:c>
      <x:c r="CP10" s="117" t="n">
        <x:f>'Продажи'!CP49+'ОБЪЕКТЫ'!CP100</x:f>
      </x:c>
      <x:c r="CQ10" s="117" t="n">
        <x:f>'Продажи'!CQ49+'ОБЪЕКТЫ'!CQ100</x:f>
      </x:c>
      <x:c r="CR10" s="117" t="n">
        <x:f>'Продажи'!CR49+'ОБЪЕКТЫ'!CR100</x:f>
      </x:c>
      <x:c r="CS10" s="117" t="n">
        <x:f>'Продажи'!CS49+'ОБЪЕКТЫ'!CS100</x:f>
      </x:c>
      <x:c r="CT10" s="117" t="n">
        <x:f>'Продажи'!CT49+'ОБЪЕКТЫ'!CT100</x:f>
      </x:c>
      <x:c r="CU10" s="117" t="n">
        <x:f>'Продажи'!CU49+'ОБЪЕКТЫ'!CU100</x:f>
      </x:c>
      <x:c r="CV10" s="117" t="n">
        <x:f>'Продажи'!CV49+'ОБЪЕКТЫ'!CV100</x:f>
      </x:c>
      <x:c r="CW10" s="117" t="n">
        <x:f>'Продажи'!CW49+'ОБЪЕКТЫ'!CW100</x:f>
      </x:c>
      <x:c r="CX10" s="117" t="n">
        <x:f>'Продажи'!CX49+'ОБЪЕКТЫ'!CX100</x:f>
      </x:c>
      <x:c r="CY10" s="117" t="n">
        <x:f>'Продажи'!CY49+'ОБЪЕКТЫ'!CY100</x:f>
      </x:c>
      <x:c r="CZ10" s="117" t="n">
        <x:f>'Продажи'!CZ49+'ОБЪЕКТЫ'!CZ100</x:f>
      </x:c>
      <x:c r="DA10" s="117" t="n">
        <x:f>'Продажи'!DA49+'ОБЪЕКТЫ'!DA100</x:f>
      </x:c>
      <x:c r="DB10" s="117" t="n">
        <x:f>'Продажи'!DB49+'ОБЪЕКТЫ'!DB100</x:f>
      </x:c>
      <x:c r="DC10" s="117" t="n">
        <x:f>'Продажи'!DC49+'ОБЪЕКТЫ'!DC100</x:f>
      </x:c>
      <x:c r="DD10" s="117" t="n">
        <x:f>'Продажи'!DD49+'ОБЪЕКТЫ'!DD100</x:f>
      </x:c>
      <x:c r="DE10" s="117" t="n">
        <x:f>'Продажи'!DE49+'ОБЪЕКТЫ'!DE100</x:f>
      </x:c>
      <x:c r="DF10" s="117" t="n">
        <x:f>'Продажи'!DF49+'ОБЪЕКТЫ'!DF100</x:f>
      </x:c>
      <x:c r="DG10" s="117" t="n">
        <x:f>'Продажи'!DG49+'ОБЪЕКТЫ'!DG100</x:f>
      </x:c>
      <x:c r="DH10" s="117" t="n">
        <x:f>'Продажи'!DH49+'ОБЪЕКТЫ'!DH100</x:f>
      </x:c>
      <x:c r="DI10" s="117" t="n">
        <x:f>'Продажи'!DI49+'ОБЪЕКТЫ'!DI100</x:f>
      </x:c>
      <x:c r="DJ10" s="117" t="n">
        <x:f>'Продажи'!DJ49+'ОБЪЕКТЫ'!DJ100</x:f>
      </x:c>
      <x:c r="DK10" s="117" t="n">
        <x:f>'Продажи'!DK49+'ОБЪЕКТЫ'!DK100</x:f>
      </x:c>
      <x:c r="DL10" s="117" t="n">
        <x:f>'Продажи'!DL49+'ОБЪЕКТЫ'!DL100</x:f>
      </x:c>
      <x:c r="DM10" s="117" t="n">
        <x:f>'Продажи'!DM49+'ОБЪЕКТЫ'!DM100</x:f>
      </x:c>
      <x:c r="DN10" s="117" t="n">
        <x:f>'Продажи'!DN49+'ОБЪЕКТЫ'!DN100</x:f>
      </x:c>
      <x:c r="DO10" s="117" t="n">
        <x:f>'Продажи'!DO49+'ОБЪЕКТЫ'!DO100</x:f>
      </x:c>
      <x:c r="DP10" s="117" t="n">
        <x:f>'Продажи'!DP49+'ОБЪЕКТЫ'!DP100</x:f>
      </x:c>
      <x:c r="DQ10" s="117" t="n">
        <x:f>'Продажи'!DQ49+'ОБЪЕКТЫ'!DQ100</x:f>
      </x:c>
      <x:c r="DR10" s="117" t="n">
        <x:f>'Продажи'!DR49+'ОБЪЕКТЫ'!DR100</x:f>
      </x:c>
      <x:c r="DS10" s="117" t="n">
        <x:f>'Продажи'!DS49+'ОБЪЕКТЫ'!DS100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IF(D$3&lt;$B$8,'Продажи'!D49,0)+'ОБЪЕКТЫ'!D101</x:f>
      </x:c>
      <x:c r="E11" s="117" t="n">
        <x:f>IF(E$3&lt;$B$8,'Продажи'!E49,0)+'ОБЪЕКТЫ'!E101</x:f>
      </x:c>
      <x:c r="F11" s="117" t="n">
        <x:f>IF(F$3&lt;$B$8,'Продажи'!F49,0)+'ОБЪЕКТЫ'!F101</x:f>
      </x:c>
      <x:c r="G11" s="117" t="n">
        <x:f>IF(G$3&lt;$B$8,'Продажи'!G49,0)+'ОБЪЕКТЫ'!G101</x:f>
      </x:c>
      <x:c r="H11" s="117" t="n">
        <x:f>IF(H$3&lt;$B$8,'Продажи'!H49,0)+'ОБЪЕКТЫ'!H101</x:f>
      </x:c>
      <x:c r="I11" s="117" t="n">
        <x:f>IF(I$3&lt;$B$8,'Продажи'!I49,0)+'ОБЪЕКТЫ'!I101</x:f>
      </x:c>
      <x:c r="J11" s="117" t="n">
        <x:f>IF(J$3&lt;$B$8,'Продажи'!J49,0)+'ОБЪЕКТЫ'!J101</x:f>
      </x:c>
      <x:c r="K11" s="117" t="n">
        <x:f>IF(K$3&lt;$B$8,'Продажи'!K49,0)+'ОБЪЕКТЫ'!K101</x:f>
      </x:c>
      <x:c r="L11" s="117" t="n">
        <x:f>IF(L$3&lt;$B$8,'Продажи'!L49,0)+'ОБЪЕКТЫ'!L101</x:f>
      </x:c>
      <x:c r="M11" s="117" t="n">
        <x:f>IF(M$3&lt;$B$8,'Продажи'!M49,0)+'ОБЪЕКТЫ'!M101</x:f>
      </x:c>
      <x:c r="N11" s="117" t="n">
        <x:f>IF(N$3&lt;$B$8,'Продажи'!N49,0)+'ОБЪЕКТЫ'!N101</x:f>
      </x:c>
      <x:c r="O11" s="117" t="n">
        <x:f>IF(O$3&lt;$B$8,'Продажи'!O49,0)+'ОБЪЕКТЫ'!O101</x:f>
      </x:c>
      <x:c r="P11" s="117" t="n">
        <x:f>IF(P$3&lt;$B$8,'Продажи'!P49,0)+'ОБЪЕКТЫ'!P101</x:f>
      </x:c>
      <x:c r="Q11" s="117" t="n">
        <x:f>IF(Q$3&lt;$B$8,'Продажи'!Q49,0)+'ОБЪЕКТЫ'!Q101</x:f>
      </x:c>
      <x:c r="R11" s="117" t="n">
        <x:f>IF(R$3&lt;$B$8,'Продажи'!R49,0)+'ОБЪЕКТЫ'!R101</x:f>
      </x:c>
      <x:c r="S11" s="117" t="n">
        <x:f>IF(S$3&lt;$B$8,'Продажи'!S49,0)+'ОБЪЕКТЫ'!S101</x:f>
      </x:c>
      <x:c r="T11" s="117" t="n">
        <x:f>IF(T$3&lt;$B$8,'Продажи'!T49,0)+'ОБЪЕКТЫ'!T101</x:f>
      </x:c>
      <x:c r="U11" s="117" t="n">
        <x:f>IF(U$3&lt;$B$8,'Продажи'!U49,0)+'ОБЪЕКТЫ'!U101</x:f>
      </x:c>
      <x:c r="V11" s="117" t="n">
        <x:f>IF(V$3&lt;$B$8,'Продажи'!V49,0)+'ОБЪЕКТЫ'!V101</x:f>
      </x:c>
      <x:c r="W11" s="117" t="n">
        <x:f>IF(W$3&lt;$B$8,'Продажи'!W49,0)+'ОБЪЕКТЫ'!W101</x:f>
      </x:c>
      <x:c r="X11" s="117" t="n">
        <x:f>IF(X$3&lt;$B$8,'Продажи'!X49,0)+'ОБЪЕКТЫ'!X101</x:f>
      </x:c>
      <x:c r="Y11" s="117" t="n">
        <x:f>IF(Y$3&lt;$B$8,'Продажи'!Y49,0)+'ОБЪЕКТЫ'!Y101</x:f>
      </x:c>
      <x:c r="Z11" s="117" t="n">
        <x:f>IF(Z$3&lt;$B$8,'Продажи'!Z49,0)+'ОБЪЕКТЫ'!Z101</x:f>
      </x:c>
      <x:c r="AA11" s="117" t="n">
        <x:f>IF(AA$3&lt;$B$8,'Продажи'!AA49,0)+'ОБЪЕКТЫ'!AA101</x:f>
      </x:c>
      <x:c r="AB11" s="117" t="n">
        <x:f>IF(AB$3&lt;$B$8,'Продажи'!AB49,0)+'ОБЪЕКТЫ'!AB101</x:f>
      </x:c>
      <x:c r="AC11" s="117" t="n">
        <x:f>IF(AC$3&lt;$B$8,'Продажи'!AC49,0)+'ОБЪЕКТЫ'!AC101</x:f>
      </x:c>
      <x:c r="AD11" s="117" t="n">
        <x:f>IF(AD$3&lt;$B$8,'Продажи'!AD49,0)+'ОБЪЕКТЫ'!AD101</x:f>
      </x:c>
      <x:c r="AE11" s="117" t="n">
        <x:f>IF(AE$3&lt;$B$8,'Продажи'!AE49,0)+'ОБЪЕКТЫ'!AE101</x:f>
      </x:c>
      <x:c r="AF11" s="117" t="n">
        <x:f>IF(AF$3&lt;$B$8,'Продажи'!AF49,0)+'ОБЪЕКТЫ'!AF101</x:f>
      </x:c>
      <x:c r="AG11" s="117" t="n">
        <x:f>IF(AG$3&lt;$B$8,'Продажи'!AG49,0)+'ОБЪЕКТЫ'!AG101</x:f>
      </x:c>
      <x:c r="AH11" s="117" t="n">
        <x:f>IF(AH$3&lt;$B$8,'Продажи'!AH49,0)+'ОБЪЕКТЫ'!AH101</x:f>
      </x:c>
      <x:c r="AI11" s="117" t="n">
        <x:f>IF(AI$3&lt;$B$8,'Продажи'!AI49,0)+'ОБЪЕКТЫ'!AI101</x:f>
      </x:c>
      <x:c r="AJ11" s="117" t="n">
        <x:f>IF(AJ$3&lt;$B$8,'Продажи'!AJ49,0)+'ОБЪЕКТЫ'!AJ101</x:f>
      </x:c>
      <x:c r="AK11" s="117" t="n">
        <x:f>IF(AK$3&lt;$B$8,'Продажи'!AK49,0)+'ОБЪЕКТЫ'!AK101</x:f>
      </x:c>
      <x:c r="AL11" s="117" t="n">
        <x:f>IF(AL$3&lt;$B$8,'Продажи'!AL49,0)+'ОБЪЕКТЫ'!AL101</x:f>
      </x:c>
      <x:c r="AM11" s="117" t="n">
        <x:f>IF(AM$3&lt;$B$8,'Продажи'!AM49,0)+'ОБЪЕКТЫ'!AM101</x:f>
      </x:c>
      <x:c r="AN11" s="117" t="n">
        <x:f>IF(AN$3&lt;$B$8,'Продажи'!AN49,0)+'ОБЪЕКТЫ'!AN101</x:f>
      </x:c>
      <x:c r="AO11" s="117" t="n">
        <x:f>IF(AO$3&lt;$B$8,'Продажи'!AO49,0)+'ОБЪЕКТЫ'!AO101</x:f>
      </x:c>
      <x:c r="AP11" s="117" t="n">
        <x:f>IF(AP$3&lt;$B$8,'Продажи'!AP49,0)+'ОБЪЕКТЫ'!AP101</x:f>
      </x:c>
      <x:c r="AQ11" s="117" t="n">
        <x:f>IF(AQ$3&lt;$B$8,'Продажи'!AQ49,0)+'ОБЪЕКТЫ'!AQ101</x:f>
      </x:c>
      <x:c r="AR11" s="117" t="n">
        <x:f>IF(AR$3&lt;$B$8,'Продажи'!AR49,0)+'ОБЪЕКТЫ'!AR101</x:f>
      </x:c>
      <x:c r="AS11" s="117" t="n">
        <x:f>IF(AS$3&lt;$B$8,'Продажи'!AS49,0)+'ОБЪЕКТЫ'!AS101</x:f>
      </x:c>
      <x:c r="AT11" s="117" t="n">
        <x:f>IF(AT$3&lt;$B$8,'Продажи'!AT49,0)+'ОБЪЕКТЫ'!AT101</x:f>
      </x:c>
      <x:c r="AU11" s="117" t="n">
        <x:f>IF(AU$3&lt;$B$8,'Продажи'!AU49,0)+'ОБЪЕКТЫ'!AU101</x:f>
      </x:c>
      <x:c r="AV11" s="117" t="n">
        <x:f>IF(AV$3&lt;$B$8,'Продажи'!AV49,0)+'ОБЪЕКТЫ'!AV101</x:f>
      </x:c>
      <x:c r="AW11" s="117" t="n">
        <x:f>IF(AW$3&lt;$B$8,'Продажи'!AW49,0)+'ОБЪЕКТЫ'!AW101</x:f>
      </x:c>
      <x:c r="AX11" s="117" t="n">
        <x:f>IF(AX$3&lt;$B$8,'Продажи'!AX49,0)+'ОБЪЕКТЫ'!AX101</x:f>
      </x:c>
      <x:c r="AY11" s="117" t="n">
        <x:f>IF(AY$3&lt;$B$8,'Продажи'!AY49,0)+'ОБЪЕКТЫ'!AY101</x:f>
      </x:c>
      <x:c r="AZ11" s="117" t="n">
        <x:f>IF(AZ$3&lt;$B$8,'Продажи'!AZ49,0)+'ОБЪЕКТЫ'!AZ101</x:f>
      </x:c>
      <x:c r="BA11" s="117" t="n">
        <x:f>IF(BA$3&lt;$B$8,'Продажи'!BA49,0)+'ОБЪЕКТЫ'!BA101</x:f>
      </x:c>
      <x:c r="BB11" s="117" t="n">
        <x:f>IF(BB$3&lt;$B$8,'Продажи'!BB49,0)+'ОБЪЕКТЫ'!BB101</x:f>
      </x:c>
      <x:c r="BC11" s="117" t="n">
        <x:f>IF(BC$3&lt;$B$8,'Продажи'!BC49,0)+'ОБЪЕКТЫ'!BC101</x:f>
      </x:c>
      <x:c r="BD11" s="117" t="n">
        <x:f>IF(BD$3&lt;$B$8,'Продажи'!BD49,0)+'ОБЪЕКТЫ'!BD101</x:f>
      </x:c>
      <x:c r="BE11" s="117" t="n">
        <x:f>IF(BE$3&lt;$B$8,'Продажи'!BE49,0)+'ОБЪЕКТЫ'!BE101</x:f>
      </x:c>
      <x:c r="BF11" s="117" t="n">
        <x:f>IF(BF$3&lt;$B$8,'Продажи'!BF49,0)+'ОБЪЕКТЫ'!BF101</x:f>
      </x:c>
      <x:c r="BG11" s="117" t="n">
        <x:f>IF(BG$3&lt;$B$8,'Продажи'!BG49,0)+'ОБЪЕКТЫ'!BG101</x:f>
      </x:c>
      <x:c r="BH11" s="117" t="n">
        <x:f>IF(BH$3&lt;$B$8,'Продажи'!BH49,0)+'ОБЪЕКТЫ'!BH101</x:f>
      </x:c>
      <x:c r="BI11" s="117" t="n">
        <x:f>IF(BI$3&lt;$B$8,'Продажи'!BI49,0)+'ОБЪЕКТЫ'!BI101</x:f>
      </x:c>
      <x:c r="BJ11" s="117" t="n">
        <x:f>IF(BJ$3&lt;$B$8,'Продажи'!BJ49,0)+'ОБЪЕКТЫ'!BJ101</x:f>
      </x:c>
      <x:c r="BK11" s="117" t="n">
        <x:f>IF(BK$3&lt;$B$8,'Продажи'!BK49,0)+'ОБЪЕКТЫ'!BK101</x:f>
      </x:c>
      <x:c r="BL11" s="117" t="n">
        <x:f>IF(BL$3&lt;$B$8,'Продажи'!BL49,0)+'ОБЪЕКТЫ'!BL101</x:f>
      </x:c>
      <x:c r="BM11" s="117" t="n">
        <x:f>IF(BM$3&lt;$B$8,'Продажи'!BM49,0)+'ОБЪЕКТЫ'!BM101</x:f>
      </x:c>
      <x:c r="BN11" s="117" t="n">
        <x:f>IF(BN$3&lt;$B$8,'Продажи'!BN49,0)+'ОБЪЕКТЫ'!BN101</x:f>
      </x:c>
      <x:c r="BO11" s="117" t="n">
        <x:f>IF(BO$3&lt;$B$8,'Продажи'!BO49,0)+'ОБЪЕКТЫ'!BO101</x:f>
      </x:c>
      <x:c r="BP11" s="117" t="n">
        <x:f>IF(BP$3&lt;$B$8,'Продажи'!BP49,0)+'ОБЪЕКТЫ'!BP101</x:f>
      </x:c>
      <x:c r="BQ11" s="117" t="n">
        <x:f>IF(BQ$3&lt;$B$8,'Продажи'!BQ49,0)+'ОБЪЕКТЫ'!BQ101</x:f>
      </x:c>
      <x:c r="BR11" s="117" t="n">
        <x:f>IF(BR$3&lt;$B$8,'Продажи'!BR49,0)+'ОБЪЕКТЫ'!BR101</x:f>
      </x:c>
      <x:c r="BS11" s="117" t="n">
        <x:f>IF(BS$3&lt;$B$8,'Продажи'!BS49,0)+'ОБЪЕКТЫ'!BS101</x:f>
      </x:c>
      <x:c r="BT11" s="117" t="n">
        <x:f>IF(BT$3&lt;$B$8,'Продажи'!BT49,0)+'ОБЪЕКТЫ'!BT101</x:f>
      </x:c>
      <x:c r="BU11" s="117" t="n">
        <x:f>IF(BU$3&lt;$B$8,'Продажи'!BU49,0)+'ОБЪЕКТЫ'!BU101</x:f>
      </x:c>
      <x:c r="BV11" s="117" t="n">
        <x:f>IF(BV$3&lt;$B$8,'Продажи'!BV49,0)+'ОБЪЕКТЫ'!BV101</x:f>
      </x:c>
      <x:c r="BW11" s="117" t="n">
        <x:f>IF(BW$3&lt;$B$8,'Продажи'!BW49,0)+'ОБЪЕКТЫ'!BW101</x:f>
      </x:c>
      <x:c r="BX11" s="117" t="n">
        <x:f>IF(BX$3&lt;$B$8,'Продажи'!BX49,0)+'ОБЪЕКТЫ'!BX101</x:f>
      </x:c>
      <x:c r="BY11" s="117" t="n">
        <x:f>IF(BY$3&lt;$B$8,'Продажи'!BY49,0)+'ОБЪЕКТЫ'!BY101</x:f>
      </x:c>
      <x:c r="BZ11" s="117" t="n">
        <x:f>IF(BZ$3&lt;$B$8,'Продажи'!BZ49,0)+'ОБЪЕКТЫ'!BZ101</x:f>
      </x:c>
      <x:c r="CA11" s="117" t="n">
        <x:f>IF(CA$3&lt;$B$8,'Продажи'!CA49,0)+'ОБЪЕКТЫ'!CA101</x:f>
      </x:c>
      <x:c r="CB11" s="117" t="n">
        <x:f>IF(CB$3&lt;$B$8,'Продажи'!CB49,0)+'ОБЪЕКТЫ'!CB101</x:f>
      </x:c>
      <x:c r="CC11" s="117" t="n">
        <x:f>IF(CC$3&lt;$B$8,'Продажи'!CC49,0)+'ОБЪЕКТЫ'!CC101</x:f>
      </x:c>
      <x:c r="CD11" s="117" t="n">
        <x:f>IF(CD$3&lt;$B$8,'Продажи'!CD49,0)+'ОБЪЕКТЫ'!CD101</x:f>
      </x:c>
      <x:c r="CE11" s="117" t="n">
        <x:f>IF(CE$3&lt;$B$8,'Продажи'!CE49,0)+'ОБЪЕКТЫ'!CE101</x:f>
      </x:c>
      <x:c r="CF11" s="117" t="n">
        <x:f>IF(CF$3&lt;$B$8,'Продажи'!CF49,0)+'ОБЪЕКТЫ'!CF101</x:f>
      </x:c>
      <x:c r="CG11" s="117" t="n">
        <x:f>IF(CG$3&lt;$B$8,'Продажи'!CG49,0)+'ОБЪЕКТЫ'!CG101</x:f>
      </x:c>
      <x:c r="CH11" s="117" t="n">
        <x:f>IF(CH$3&lt;$B$8,'Продажи'!CH49,0)+'ОБЪЕКТЫ'!CH101</x:f>
      </x:c>
      <x:c r="CI11" s="117" t="n">
        <x:f>IF(CI$3&lt;$B$8,'Продажи'!CI49,0)+'ОБЪЕКТЫ'!CI101</x:f>
      </x:c>
      <x:c r="CJ11" s="117" t="n">
        <x:f>IF(CJ$3&lt;$B$8,'Продажи'!CJ49,0)+'ОБЪЕКТЫ'!CJ101</x:f>
      </x:c>
      <x:c r="CK11" s="117" t="n">
        <x:f>IF(CK$3&lt;$B$8,'Продажи'!CK49,0)+'ОБЪЕКТЫ'!CK101</x:f>
      </x:c>
      <x:c r="CL11" s="117" t="n">
        <x:f>IF(CL$3&lt;$B$8,'Продажи'!CL49,0)+'ОБЪЕКТЫ'!CL101</x:f>
      </x:c>
      <x:c r="CM11" s="117" t="n">
        <x:f>IF(CM$3&lt;$B$8,'Продажи'!CM49,0)+'ОБЪЕКТЫ'!CM101</x:f>
      </x:c>
      <x:c r="CN11" s="117" t="n">
        <x:f>IF(CN$3&lt;$B$8,'Продажи'!CN49,0)+'ОБЪЕКТЫ'!CN101</x:f>
      </x:c>
      <x:c r="CO11" s="117" t="n">
        <x:f>IF(CO$3&lt;$B$8,'Продажи'!CO49,0)+'ОБЪЕКТЫ'!CO101</x:f>
      </x:c>
      <x:c r="CP11" s="117" t="n">
        <x:f>IF(CP$3&lt;$B$8,'Продажи'!CP49,0)+'ОБЪЕКТЫ'!CP101</x:f>
      </x:c>
      <x:c r="CQ11" s="117" t="n">
        <x:f>IF(CQ$3&lt;$B$8,'Продажи'!CQ49,0)+'ОБЪЕКТЫ'!CQ101</x:f>
      </x:c>
      <x:c r="CR11" s="117" t="n">
        <x:f>IF(CR$3&lt;$B$8,'Продажи'!CR49,0)+'ОБЪЕКТЫ'!CR101</x:f>
      </x:c>
      <x:c r="CS11" s="117" t="n">
        <x:f>IF(CS$3&lt;$B$8,'Продажи'!CS49,0)+'ОБЪЕКТЫ'!CS101</x:f>
      </x:c>
      <x:c r="CT11" s="117" t="n">
        <x:f>IF(CT$3&lt;$B$8,'Продажи'!CT49,0)+'ОБЪЕКТЫ'!CT101</x:f>
      </x:c>
      <x:c r="CU11" s="117" t="n">
        <x:f>IF(CU$3&lt;$B$8,'Продажи'!CU49,0)+'ОБЪЕКТЫ'!CU101</x:f>
      </x:c>
      <x:c r="CV11" s="117" t="n">
        <x:f>IF(CV$3&lt;$B$8,'Продажи'!CV49,0)+'ОБЪЕКТЫ'!CV101</x:f>
      </x:c>
      <x:c r="CW11" s="117" t="n">
        <x:f>IF(CW$3&lt;$B$8,'Продажи'!CW49,0)+'ОБЪЕКТЫ'!CW101</x:f>
      </x:c>
      <x:c r="CX11" s="117" t="n">
        <x:f>IF(CX$3&lt;$B$8,'Продажи'!CX49,0)+'ОБЪЕКТЫ'!CX101</x:f>
      </x:c>
      <x:c r="CY11" s="117" t="n">
        <x:f>IF(CY$3&lt;$B$8,'Продажи'!CY49,0)+'ОБЪЕКТЫ'!CY101</x:f>
      </x:c>
      <x:c r="CZ11" s="117" t="n">
        <x:f>IF(CZ$3&lt;$B$8,'Продажи'!CZ49,0)+'ОБЪЕКТЫ'!CZ101</x:f>
      </x:c>
      <x:c r="DA11" s="117" t="n">
        <x:f>IF(DA$3&lt;$B$8,'Продажи'!DA49,0)+'ОБЪЕКТЫ'!DA101</x:f>
      </x:c>
      <x:c r="DB11" s="117" t="n">
        <x:f>IF(DB$3&lt;$B$8,'Продажи'!DB49,0)+'ОБЪЕКТЫ'!DB101</x:f>
      </x:c>
      <x:c r="DC11" s="117" t="n">
        <x:f>IF(DC$3&lt;$B$8,'Продажи'!DC49,0)+'ОБЪЕКТЫ'!DC101</x:f>
      </x:c>
      <x:c r="DD11" s="117" t="n">
        <x:f>IF(DD$3&lt;$B$8,'Продажи'!DD49,0)+'ОБЪЕКТЫ'!DD101</x:f>
      </x:c>
      <x:c r="DE11" s="117" t="n">
        <x:f>IF(DE$3&lt;$B$8,'Продажи'!DE49,0)+'ОБЪЕКТЫ'!DE101</x:f>
      </x:c>
      <x:c r="DF11" s="117" t="n">
        <x:f>IF(DF$3&lt;$B$8,'Продажи'!DF49,0)+'ОБЪЕКТЫ'!DF101</x:f>
      </x:c>
      <x:c r="DG11" s="117" t="n">
        <x:f>IF(DG$3&lt;$B$8,'Продажи'!DG49,0)+'ОБЪЕКТЫ'!DG101</x:f>
      </x:c>
      <x:c r="DH11" s="117" t="n">
        <x:f>IF(DH$3&lt;$B$8,'Продажи'!DH49,0)+'ОБЪЕКТЫ'!DH101</x:f>
      </x:c>
      <x:c r="DI11" s="117" t="n">
        <x:f>IF(DI$3&lt;$B$8,'Продажи'!DI49,0)+'ОБЪЕКТЫ'!DI101</x:f>
      </x:c>
      <x:c r="DJ11" s="117" t="n">
        <x:f>IF(DJ$3&lt;$B$8,'Продажи'!DJ49,0)+'ОБЪЕКТЫ'!DJ101</x:f>
      </x:c>
      <x:c r="DK11" s="117" t="n">
        <x:f>IF(DK$3&lt;$B$8,'Продажи'!DK49,0)+'ОБЪЕКТЫ'!DK101</x:f>
      </x:c>
      <x:c r="DL11" s="117" t="n">
        <x:f>IF(DL$3&lt;$B$8,'Продажи'!DL49,0)+'ОБЪЕКТЫ'!DL101</x:f>
      </x:c>
      <x:c r="DM11" s="117" t="n">
        <x:f>IF(DM$3&lt;$B$8,'Продажи'!DM49,0)+'ОБЪЕКТЫ'!DM101</x:f>
      </x:c>
      <x:c r="DN11" s="117" t="n">
        <x:f>IF(DN$3&lt;$B$8,'Продажи'!DN49,0)+'ОБЪЕКТЫ'!DN101</x:f>
      </x:c>
      <x:c r="DO11" s="117" t="n">
        <x:f>IF(DO$3&lt;$B$8,'Продажи'!DO49,0)+'ОБЪЕКТЫ'!DO101</x:f>
      </x:c>
      <x:c r="DP11" s="117" t="n">
        <x:f>IF(DP$3&lt;$B$8,'Продажи'!DP49,0)+'ОБЪЕКТЫ'!DP101</x:f>
      </x:c>
      <x:c r="DQ11" s="117" t="n">
        <x:f>IF(DQ$3&lt;$B$8,'Продажи'!DQ49,0)+'ОБЪЕКТЫ'!DQ101</x:f>
      </x:c>
      <x:c r="DR11" s="117" t="n">
        <x:f>IF(DR$3&lt;$B$8,'Продажи'!DR49,0)+'ОБЪЕКТЫ'!DR101</x:f>
      </x:c>
      <x:c r="DS11" s="117" t="n">
        <x:f>IF(DS$3&lt;$B$8,'Продажи'!DS49,0)+'ОБЪЕКТЫ'!DS101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IF(D$3&gt;=$B$8,'Продажи'!D49,0)+'ОБЪЕКТЫ'!D102</x:f>
      </x:c>
      <x:c r="E12" s="117" t="n">
        <x:f>IF(E$3&gt;=$B$8,'Продажи'!E49,0)+'ОБЪЕКТЫ'!E102</x:f>
      </x:c>
      <x:c r="F12" s="117" t="n">
        <x:f>IF(F$3&gt;=$B$8,'Продажи'!F49,0)+'ОБЪЕКТЫ'!F102</x:f>
      </x:c>
      <x:c r="G12" s="117" t="n">
        <x:f>IF(G$3&gt;=$B$8,'Продажи'!G49,0)+'ОБЪЕКТЫ'!G102</x:f>
      </x:c>
      <x:c r="H12" s="117" t="n">
        <x:f>IF(H$3&gt;=$B$8,'Продажи'!H49,0)+'ОБЪЕКТЫ'!H102</x:f>
      </x:c>
      <x:c r="I12" s="117" t="n">
        <x:f>IF(I$3&gt;=$B$8,'Продажи'!I49,0)+'ОБЪЕКТЫ'!I102</x:f>
      </x:c>
      <x:c r="J12" s="117" t="n">
        <x:f>IF(J$3&gt;=$B$8,'Продажи'!J49,0)+'ОБЪЕКТЫ'!J102</x:f>
      </x:c>
      <x:c r="K12" s="117" t="n">
        <x:f>IF(K$3&gt;=$B$8,'Продажи'!K49,0)+'ОБЪЕКТЫ'!K102</x:f>
      </x:c>
      <x:c r="L12" s="117" t="n">
        <x:f>IF(L$3&gt;=$B$8,'Продажи'!L49,0)+'ОБЪЕКТЫ'!L102</x:f>
      </x:c>
      <x:c r="M12" s="117" t="n">
        <x:f>IF(M$3&gt;=$B$8,'Продажи'!M49,0)+'ОБЪЕКТЫ'!M102</x:f>
      </x:c>
      <x:c r="N12" s="117" t="n">
        <x:f>IF(N$3&gt;=$B$8,'Продажи'!N49,0)+'ОБЪЕКТЫ'!N102</x:f>
      </x:c>
      <x:c r="O12" s="117" t="n">
        <x:f>IF(O$3&gt;=$B$8,'Продажи'!O49,0)+'ОБЪЕКТЫ'!O102</x:f>
      </x:c>
      <x:c r="P12" s="117" t="n">
        <x:f>IF(P$3&gt;=$B$8,'Продажи'!P49,0)+'ОБЪЕКТЫ'!P102</x:f>
      </x:c>
      <x:c r="Q12" s="117" t="n">
        <x:f>IF(Q$3&gt;=$B$8,'Продажи'!Q49,0)+'ОБЪЕКТЫ'!Q102</x:f>
      </x:c>
      <x:c r="R12" s="117" t="n">
        <x:f>IF(R$3&gt;=$B$8,'Продажи'!R49,0)+'ОБЪЕКТЫ'!R102</x:f>
      </x:c>
      <x:c r="S12" s="117" t="n">
        <x:f>IF(S$3&gt;=$B$8,'Продажи'!S49,0)+'ОБЪЕКТЫ'!S102</x:f>
      </x:c>
      <x:c r="T12" s="117" t="n">
        <x:f>IF(T$3&gt;=$B$8,'Продажи'!T49,0)+'ОБЪЕКТЫ'!T102</x:f>
      </x:c>
      <x:c r="U12" s="117" t="n">
        <x:f>IF(U$3&gt;=$B$8,'Продажи'!U49,0)+'ОБЪЕКТЫ'!U102</x:f>
      </x:c>
      <x:c r="V12" s="117" t="n">
        <x:f>IF(V$3&gt;=$B$8,'Продажи'!V49,0)+'ОБЪЕКТЫ'!V102</x:f>
      </x:c>
      <x:c r="W12" s="117" t="n">
        <x:f>IF(W$3&gt;=$B$8,'Продажи'!W49,0)+'ОБЪЕКТЫ'!W102</x:f>
      </x:c>
      <x:c r="X12" s="117" t="n">
        <x:f>IF(X$3&gt;=$B$8,'Продажи'!X49,0)+'ОБЪЕКТЫ'!X102</x:f>
      </x:c>
      <x:c r="Y12" s="117" t="n">
        <x:f>IF(Y$3&gt;=$B$8,'Продажи'!Y49,0)+'ОБЪЕКТЫ'!Y102</x:f>
      </x:c>
      <x:c r="Z12" s="117" t="n">
        <x:f>IF(Z$3&gt;=$B$8,'Продажи'!Z49,0)+'ОБЪЕКТЫ'!Z102</x:f>
      </x:c>
      <x:c r="AA12" s="117" t="n">
        <x:f>IF(AA$3&gt;=$B$8,'Продажи'!AA49,0)+'ОБЪЕКТЫ'!AA102</x:f>
      </x:c>
      <x:c r="AB12" s="117" t="n">
        <x:f>IF(AB$3&gt;=$B$8,'Продажи'!AB49,0)+'ОБЪЕКТЫ'!AB102</x:f>
      </x:c>
      <x:c r="AC12" s="117" t="n">
        <x:f>IF(AC$3&gt;=$B$8,'Продажи'!AC49,0)+'ОБЪЕКТЫ'!AC102</x:f>
      </x:c>
      <x:c r="AD12" s="117" t="n">
        <x:f>IF(AD$3&gt;=$B$8,'Продажи'!AD49,0)+'ОБЪЕКТЫ'!AD102</x:f>
      </x:c>
      <x:c r="AE12" s="117" t="n">
        <x:f>IF(AE$3&gt;=$B$8,'Продажи'!AE49,0)+'ОБЪЕКТЫ'!AE102</x:f>
      </x:c>
      <x:c r="AF12" s="117" t="n">
        <x:f>IF(AF$3&gt;=$B$8,'Продажи'!AF49,0)+'ОБЪЕКТЫ'!AF102</x:f>
      </x:c>
      <x:c r="AG12" s="117" t="n">
        <x:f>IF(AG$3&gt;=$B$8,'Продажи'!AG49,0)+'ОБЪЕКТЫ'!AG102</x:f>
      </x:c>
      <x:c r="AH12" s="117" t="n">
        <x:f>IF(AH$3&gt;=$B$8,'Продажи'!AH49,0)+'ОБЪЕКТЫ'!AH102</x:f>
      </x:c>
      <x:c r="AI12" s="117" t="n">
        <x:f>IF(AI$3&gt;=$B$8,'Продажи'!AI49,0)+'ОБЪЕКТЫ'!AI102</x:f>
      </x:c>
      <x:c r="AJ12" s="117" t="n">
        <x:f>IF(AJ$3&gt;=$B$8,'Продажи'!AJ49,0)+'ОБЪЕКТЫ'!AJ102</x:f>
      </x:c>
      <x:c r="AK12" s="117" t="n">
        <x:f>IF(AK$3&gt;=$B$8,'Продажи'!AK49,0)+'ОБЪЕКТЫ'!AK102</x:f>
      </x:c>
      <x:c r="AL12" s="117" t="n">
        <x:f>IF(AL$3&gt;=$B$8,'Продажи'!AL49,0)+'ОБЪЕКТЫ'!AL102</x:f>
      </x:c>
      <x:c r="AM12" s="117" t="n">
        <x:f>IF(AM$3&gt;=$B$8,'Продажи'!AM49,0)+'ОБЪЕКТЫ'!AM102</x:f>
      </x:c>
      <x:c r="AN12" s="117" t="n">
        <x:f>IF(AN$3&gt;=$B$8,'Продажи'!AN49,0)+'ОБЪЕКТЫ'!AN102</x:f>
      </x:c>
      <x:c r="AO12" s="117" t="n">
        <x:f>IF(AO$3&gt;=$B$8,'Продажи'!AO49,0)+'ОБЪЕКТЫ'!AO102</x:f>
      </x:c>
      <x:c r="AP12" s="117" t="n">
        <x:f>IF(AP$3&gt;=$B$8,'Продажи'!AP49,0)+'ОБЪЕКТЫ'!AP102</x:f>
      </x:c>
      <x:c r="AQ12" s="117" t="n">
        <x:f>IF(AQ$3&gt;=$B$8,'Продажи'!AQ49,0)+'ОБЪЕКТЫ'!AQ102</x:f>
      </x:c>
      <x:c r="AR12" s="117" t="n">
        <x:f>IF(AR$3&gt;=$B$8,'Продажи'!AR49,0)+'ОБЪЕКТЫ'!AR102</x:f>
      </x:c>
      <x:c r="AS12" s="117" t="n">
        <x:f>IF(AS$3&gt;=$B$8,'Продажи'!AS49,0)+'ОБЪЕКТЫ'!AS102</x:f>
      </x:c>
      <x:c r="AT12" s="117" t="n">
        <x:f>IF(AT$3&gt;=$B$8,'Продажи'!AT49,0)+'ОБЪЕКТЫ'!AT102</x:f>
      </x:c>
      <x:c r="AU12" s="117" t="n">
        <x:f>IF(AU$3&gt;=$B$8,'Продажи'!AU49,0)+'ОБЪЕКТЫ'!AU102</x:f>
      </x:c>
      <x:c r="AV12" s="117" t="n">
        <x:f>IF(AV$3&gt;=$B$8,'Продажи'!AV49,0)+'ОБЪЕКТЫ'!AV102</x:f>
      </x:c>
      <x:c r="AW12" s="117" t="n">
        <x:f>IF(AW$3&gt;=$B$8,'Продажи'!AW49,0)+'ОБЪЕКТЫ'!AW102</x:f>
      </x:c>
      <x:c r="AX12" s="117" t="n">
        <x:f>IF(AX$3&gt;=$B$8,'Продажи'!AX49,0)+'ОБЪЕКТЫ'!AX102</x:f>
      </x:c>
      <x:c r="AY12" s="117" t="n">
        <x:f>IF(AY$3&gt;=$B$8,'Продажи'!AY49,0)+'ОБЪЕКТЫ'!AY102</x:f>
      </x:c>
      <x:c r="AZ12" s="117" t="n">
        <x:f>IF(AZ$3&gt;=$B$8,'Продажи'!AZ49,0)+'ОБЪЕКТЫ'!AZ102</x:f>
      </x:c>
      <x:c r="BA12" s="117" t="n">
        <x:f>IF(BA$3&gt;=$B$8,'Продажи'!BA49,0)+'ОБЪЕКТЫ'!BA102</x:f>
      </x:c>
      <x:c r="BB12" s="117" t="n">
        <x:f>IF(BB$3&gt;=$B$8,'Продажи'!BB49,0)+'ОБЪЕКТЫ'!BB102</x:f>
      </x:c>
      <x:c r="BC12" s="117" t="n">
        <x:f>IF(BC$3&gt;=$B$8,'Продажи'!BC49,0)+'ОБЪЕКТЫ'!BC102</x:f>
      </x:c>
      <x:c r="BD12" s="117" t="n">
        <x:f>IF(BD$3&gt;=$B$8,'Продажи'!BD49,0)+'ОБЪЕКТЫ'!BD102</x:f>
      </x:c>
      <x:c r="BE12" s="117" t="n">
        <x:f>IF(BE$3&gt;=$B$8,'Продажи'!BE49,0)+'ОБЪЕКТЫ'!BE102</x:f>
      </x:c>
      <x:c r="BF12" s="117" t="n">
        <x:f>IF(BF$3&gt;=$B$8,'Продажи'!BF49,0)+'ОБЪЕКТЫ'!BF102</x:f>
      </x:c>
      <x:c r="BG12" s="117" t="n">
        <x:f>IF(BG$3&gt;=$B$8,'Продажи'!BG49,0)+'ОБЪЕКТЫ'!BG102</x:f>
      </x:c>
      <x:c r="BH12" s="117" t="n">
        <x:f>IF(BH$3&gt;=$B$8,'Продажи'!BH49,0)+'ОБЪЕКТЫ'!BH102</x:f>
      </x:c>
      <x:c r="BI12" s="117" t="n">
        <x:f>IF(BI$3&gt;=$B$8,'Продажи'!BI49,0)+'ОБЪЕКТЫ'!BI102</x:f>
      </x:c>
      <x:c r="BJ12" s="117" t="n">
        <x:f>IF(BJ$3&gt;=$B$8,'Продажи'!BJ49,0)+'ОБЪЕКТЫ'!BJ102</x:f>
      </x:c>
      <x:c r="BK12" s="117" t="n">
        <x:f>IF(BK$3&gt;=$B$8,'Продажи'!BK49,0)+'ОБЪЕКТЫ'!BK102</x:f>
      </x:c>
      <x:c r="BL12" s="117" t="n">
        <x:f>IF(BL$3&gt;=$B$8,'Продажи'!BL49,0)+'ОБЪЕКТЫ'!BL102</x:f>
      </x:c>
      <x:c r="BM12" s="117" t="n">
        <x:f>IF(BM$3&gt;=$B$8,'Продажи'!BM49,0)+'ОБЪЕКТЫ'!BM102</x:f>
      </x:c>
      <x:c r="BN12" s="117" t="n">
        <x:f>IF(BN$3&gt;=$B$8,'Продажи'!BN49,0)+'ОБЪЕКТЫ'!BN102</x:f>
      </x:c>
      <x:c r="BO12" s="117" t="n">
        <x:f>IF(BO$3&gt;=$B$8,'Продажи'!BO49,0)+'ОБЪЕКТЫ'!BO102</x:f>
      </x:c>
      <x:c r="BP12" s="117" t="n">
        <x:f>IF(BP$3&gt;=$B$8,'Продажи'!BP49,0)+'ОБЪЕКТЫ'!BP102</x:f>
      </x:c>
      <x:c r="BQ12" s="117" t="n">
        <x:f>IF(BQ$3&gt;=$B$8,'Продажи'!BQ49,0)+'ОБЪЕКТЫ'!BQ102</x:f>
      </x:c>
      <x:c r="BR12" s="117" t="n">
        <x:f>IF(BR$3&gt;=$B$8,'Продажи'!BR49,0)+'ОБЪЕКТЫ'!BR102</x:f>
      </x:c>
      <x:c r="BS12" s="117" t="n">
        <x:f>IF(BS$3&gt;=$B$8,'Продажи'!BS49,0)+'ОБЪЕКТЫ'!BS102</x:f>
      </x:c>
      <x:c r="BT12" s="117" t="n">
        <x:f>IF(BT$3&gt;=$B$8,'Продажи'!BT49,0)+'ОБЪЕКТЫ'!BT102</x:f>
      </x:c>
      <x:c r="BU12" s="117" t="n">
        <x:f>IF(BU$3&gt;=$B$8,'Продажи'!BU49,0)+'ОБЪЕКТЫ'!BU102</x:f>
      </x:c>
      <x:c r="BV12" s="117" t="n">
        <x:f>IF(BV$3&gt;=$B$8,'Продажи'!BV49,0)+'ОБЪЕКТЫ'!BV102</x:f>
      </x:c>
      <x:c r="BW12" s="117" t="n">
        <x:f>IF(BW$3&gt;=$B$8,'Продажи'!BW49,0)+'ОБЪЕКТЫ'!BW102</x:f>
      </x:c>
      <x:c r="BX12" s="117" t="n">
        <x:f>IF(BX$3&gt;=$B$8,'Продажи'!BX49,0)+'ОБЪЕКТЫ'!BX102</x:f>
      </x:c>
      <x:c r="BY12" s="117" t="n">
        <x:f>IF(BY$3&gt;=$B$8,'Продажи'!BY49,0)+'ОБЪЕКТЫ'!BY102</x:f>
      </x:c>
      <x:c r="BZ12" s="117" t="n">
        <x:f>IF(BZ$3&gt;=$B$8,'Продажи'!BZ49,0)+'ОБЪЕКТЫ'!BZ102</x:f>
      </x:c>
      <x:c r="CA12" s="117" t="n">
        <x:f>IF(CA$3&gt;=$B$8,'Продажи'!CA49,0)+'ОБЪЕКТЫ'!CA102</x:f>
      </x:c>
      <x:c r="CB12" s="117" t="n">
        <x:f>IF(CB$3&gt;=$B$8,'Продажи'!CB49,0)+'ОБЪЕКТЫ'!CB102</x:f>
      </x:c>
      <x:c r="CC12" s="117" t="n">
        <x:f>IF(CC$3&gt;=$B$8,'Продажи'!CC49,0)+'ОБЪЕКТЫ'!CC102</x:f>
      </x:c>
      <x:c r="CD12" s="117" t="n">
        <x:f>IF(CD$3&gt;=$B$8,'Продажи'!CD49,0)+'ОБЪЕКТЫ'!CD102</x:f>
      </x:c>
      <x:c r="CE12" s="117" t="n">
        <x:f>IF(CE$3&gt;=$B$8,'Продажи'!CE49,0)+'ОБЪЕКТЫ'!CE102</x:f>
      </x:c>
      <x:c r="CF12" s="117" t="n">
        <x:f>IF(CF$3&gt;=$B$8,'Продажи'!CF49,0)+'ОБЪЕКТЫ'!CF102</x:f>
      </x:c>
      <x:c r="CG12" s="117" t="n">
        <x:f>IF(CG$3&gt;=$B$8,'Продажи'!CG49,0)+'ОБЪЕКТЫ'!CG102</x:f>
      </x:c>
      <x:c r="CH12" s="117" t="n">
        <x:f>IF(CH$3&gt;=$B$8,'Продажи'!CH49,0)+'ОБЪЕКТЫ'!CH102</x:f>
      </x:c>
      <x:c r="CI12" s="117" t="n">
        <x:f>IF(CI$3&gt;=$B$8,'Продажи'!CI49,0)+'ОБЪЕКТЫ'!CI102</x:f>
      </x:c>
      <x:c r="CJ12" s="117" t="n">
        <x:f>IF(CJ$3&gt;=$B$8,'Продажи'!CJ49,0)+'ОБЪЕКТЫ'!CJ102</x:f>
      </x:c>
      <x:c r="CK12" s="117" t="n">
        <x:f>IF(CK$3&gt;=$B$8,'Продажи'!CK49,0)+'ОБЪЕКТЫ'!CK102</x:f>
      </x:c>
      <x:c r="CL12" s="117" t="n">
        <x:f>IF(CL$3&gt;=$B$8,'Продажи'!CL49,0)+'ОБЪЕКТЫ'!CL102</x:f>
      </x:c>
      <x:c r="CM12" s="117" t="n">
        <x:f>IF(CM$3&gt;=$B$8,'Продажи'!CM49,0)+'ОБЪЕКТЫ'!CM102</x:f>
      </x:c>
      <x:c r="CN12" s="117" t="n">
        <x:f>IF(CN$3&gt;=$B$8,'Продажи'!CN49,0)+'ОБЪЕКТЫ'!CN102</x:f>
      </x:c>
      <x:c r="CO12" s="117" t="n">
        <x:f>IF(CO$3&gt;=$B$8,'Продажи'!CO49,0)+'ОБЪЕКТЫ'!CO102</x:f>
      </x:c>
      <x:c r="CP12" s="117" t="n">
        <x:f>IF(CP$3&gt;=$B$8,'Продажи'!CP49,0)+'ОБЪЕКТЫ'!CP102</x:f>
      </x:c>
      <x:c r="CQ12" s="117" t="n">
        <x:f>IF(CQ$3&gt;=$B$8,'Продажи'!CQ49,0)+'ОБЪЕКТЫ'!CQ102</x:f>
      </x:c>
      <x:c r="CR12" s="117" t="n">
        <x:f>IF(CR$3&gt;=$B$8,'Продажи'!CR49,0)+'ОБЪЕКТЫ'!CR102</x:f>
      </x:c>
      <x:c r="CS12" s="117" t="n">
        <x:f>IF(CS$3&gt;=$B$8,'Продажи'!CS49,0)+'ОБЪЕКТЫ'!CS102</x:f>
      </x:c>
      <x:c r="CT12" s="117" t="n">
        <x:f>IF(CT$3&gt;=$B$8,'Продажи'!CT49,0)+'ОБЪЕКТЫ'!CT102</x:f>
      </x:c>
      <x:c r="CU12" s="117" t="n">
        <x:f>IF(CU$3&gt;=$B$8,'Продажи'!CU49,0)+'ОБЪЕКТЫ'!CU102</x:f>
      </x:c>
      <x:c r="CV12" s="117" t="n">
        <x:f>IF(CV$3&gt;=$B$8,'Продажи'!CV49,0)+'ОБЪЕКТЫ'!CV102</x:f>
      </x:c>
      <x:c r="CW12" s="117" t="n">
        <x:f>IF(CW$3&gt;=$B$8,'Продажи'!CW49,0)+'ОБЪЕКТЫ'!CW102</x:f>
      </x:c>
      <x:c r="CX12" s="117" t="n">
        <x:f>IF(CX$3&gt;=$B$8,'Продажи'!CX49,0)+'ОБЪЕКТЫ'!CX102</x:f>
      </x:c>
      <x:c r="CY12" s="117" t="n">
        <x:f>IF(CY$3&gt;=$B$8,'Продажи'!CY49,0)+'ОБЪЕКТЫ'!CY102</x:f>
      </x:c>
      <x:c r="CZ12" s="117" t="n">
        <x:f>IF(CZ$3&gt;=$B$8,'Продажи'!CZ49,0)+'ОБЪЕКТЫ'!CZ102</x:f>
      </x:c>
      <x:c r="DA12" s="117" t="n">
        <x:f>IF(DA$3&gt;=$B$8,'Продажи'!DA49,0)+'ОБЪЕКТЫ'!DA102</x:f>
      </x:c>
      <x:c r="DB12" s="117" t="n">
        <x:f>IF(DB$3&gt;=$B$8,'Продажи'!DB49,0)+'ОБЪЕКТЫ'!DB102</x:f>
      </x:c>
      <x:c r="DC12" s="117" t="n">
        <x:f>IF(DC$3&gt;=$B$8,'Продажи'!DC49,0)+'ОБЪЕКТЫ'!DC102</x:f>
      </x:c>
      <x:c r="DD12" s="117" t="n">
        <x:f>IF(DD$3&gt;=$B$8,'Продажи'!DD49,0)+'ОБЪЕКТЫ'!DD102</x:f>
      </x:c>
      <x:c r="DE12" s="117" t="n">
        <x:f>IF(DE$3&gt;=$B$8,'Продажи'!DE49,0)+'ОБЪЕКТЫ'!DE102</x:f>
      </x:c>
      <x:c r="DF12" s="117" t="n">
        <x:f>IF(DF$3&gt;=$B$8,'Продажи'!DF49,0)+'ОБЪЕКТЫ'!DF102</x:f>
      </x:c>
      <x:c r="DG12" s="117" t="n">
        <x:f>IF(DG$3&gt;=$B$8,'Продажи'!DG49,0)+'ОБЪЕКТЫ'!DG102</x:f>
      </x:c>
      <x:c r="DH12" s="117" t="n">
        <x:f>IF(DH$3&gt;=$B$8,'Продажи'!DH49,0)+'ОБЪЕКТЫ'!DH102</x:f>
      </x:c>
      <x:c r="DI12" s="117" t="n">
        <x:f>IF(DI$3&gt;=$B$8,'Продажи'!DI49,0)+'ОБЪЕКТЫ'!DI102</x:f>
      </x:c>
      <x:c r="DJ12" s="117" t="n">
        <x:f>IF(DJ$3&gt;=$B$8,'Продажи'!DJ49,0)+'ОБЪЕКТЫ'!DJ102</x:f>
      </x:c>
      <x:c r="DK12" s="117" t="n">
        <x:f>IF(DK$3&gt;=$B$8,'Продажи'!DK49,0)+'ОБЪЕКТЫ'!DK102</x:f>
      </x:c>
      <x:c r="DL12" s="117" t="n">
        <x:f>IF(DL$3&gt;=$B$8,'Продажи'!DL49,0)+'ОБЪЕКТЫ'!DL102</x:f>
      </x:c>
      <x:c r="DM12" s="117" t="n">
        <x:f>IF(DM$3&gt;=$B$8,'Продажи'!DM49,0)+'ОБЪЕКТЫ'!DM102</x:f>
      </x:c>
      <x:c r="DN12" s="117" t="n">
        <x:f>IF(DN$3&gt;=$B$8,'Продажи'!DN49,0)+'ОБЪЕКТЫ'!DN102</x:f>
      </x:c>
      <x:c r="DO12" s="117" t="n">
        <x:f>IF(DO$3&gt;=$B$8,'Продажи'!DO49,0)+'ОБЪЕКТЫ'!DO102</x:f>
      </x:c>
      <x:c r="DP12" s="117" t="n">
        <x:f>IF(DP$3&gt;=$B$8,'Продажи'!DP49,0)+'ОБЪЕКТЫ'!DP102</x:f>
      </x:c>
      <x:c r="DQ12" s="117" t="n">
        <x:f>IF(DQ$3&gt;=$B$8,'Продажи'!DQ49,0)+'ОБЪЕКТЫ'!DQ102</x:f>
      </x:c>
      <x:c r="DR12" s="117" t="n">
        <x:f>IF(DR$3&gt;=$B$8,'Продажи'!DR49,0)+'ОБЪЕКТЫ'!DR102</x:f>
      </x:c>
      <x:c r="DS12" s="117" t="n">
        <x:f>IF(DS$3&gt;=$B$8,'Продажи'!DS49,0)+'ОБЪЕКТЫ'!DS102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0+'ОБЪЕКТЫ'!D103</x:f>
      </x:c>
      <x:c r="E14" s="117" t="n">
        <x:f>IF(AND(YEAR(E$3)=YEAR($B$8),MONTH(E$3)=MONTH($B$8)),SUM('Продажи'!$D$49:'Продажи'!D$49),0)+'ОБЪЕКТЫ'!E103</x:f>
      </x:c>
      <x:c r="F14" s="117" t="n">
        <x:f>IF(AND(YEAR(F$3)=YEAR($B$8),MONTH(F$3)=MONTH($B$8)),SUM('Продажи'!$D$49:'Продажи'!E$49),0)+'ОБЪЕКТЫ'!F103</x:f>
      </x:c>
      <x:c r="G14" s="117" t="n">
        <x:f>IF(AND(YEAR(G$3)=YEAR($B$8),MONTH(G$3)=MONTH($B$8)),SUM('Продажи'!$D$49:'Продажи'!F$49),0)+'ОБЪЕКТЫ'!G103</x:f>
      </x:c>
      <x:c r="H14" s="117" t="n">
        <x:f>IF(AND(YEAR(H$3)=YEAR($B$8),MONTH(H$3)=MONTH($B$8)),SUM('Продажи'!$D$49:'Продажи'!G$49),0)+'ОБЪЕКТЫ'!H103</x:f>
      </x:c>
      <x:c r="I14" s="117" t="n">
        <x:f>IF(AND(YEAR(I$3)=YEAR($B$8),MONTH(I$3)=MONTH($B$8)),SUM('Продажи'!$D$49:'Продажи'!H$49),0)+'ОБЪЕКТЫ'!I103</x:f>
      </x:c>
      <x:c r="J14" s="117" t="n">
        <x:f>IF(AND(YEAR(J$3)=YEAR($B$8),MONTH(J$3)=MONTH($B$8)),SUM('Продажи'!$D$49:'Продажи'!I$49),0)+'ОБЪЕКТЫ'!J103</x:f>
      </x:c>
      <x:c r="K14" s="117" t="n">
        <x:f>IF(AND(YEAR(K$3)=YEAR($B$8),MONTH(K$3)=MONTH($B$8)),SUM('Продажи'!$D$49:'Продажи'!J$49),0)+'ОБЪЕКТЫ'!K103</x:f>
      </x:c>
      <x:c r="L14" s="117" t="n">
        <x:f>IF(AND(YEAR(L$3)=YEAR($B$8),MONTH(L$3)=MONTH($B$8)),SUM('Продажи'!$D$49:'Продажи'!K$49),0)+'ОБЪЕКТЫ'!L103</x:f>
      </x:c>
      <x:c r="M14" s="117" t="n">
        <x:f>IF(AND(YEAR(M$3)=YEAR($B$8),MONTH(M$3)=MONTH($B$8)),SUM('Продажи'!$D$49:'Продажи'!L$49),0)+'ОБЪЕКТЫ'!M103</x:f>
      </x:c>
      <x:c r="N14" s="117" t="n">
        <x:f>IF(AND(YEAR(N$3)=YEAR($B$8),MONTH(N$3)=MONTH($B$8)),SUM('Продажи'!$D$49:'Продажи'!M$49),0)+'ОБЪЕКТЫ'!N103</x:f>
      </x:c>
      <x:c r="O14" s="117" t="n">
        <x:f>IF(AND(YEAR(O$3)=YEAR($B$8),MONTH(O$3)=MONTH($B$8)),SUM('Продажи'!$D$49:'Продажи'!N$49),0)+'ОБЪЕКТЫ'!O103</x:f>
      </x:c>
      <x:c r="P14" s="117" t="n">
        <x:f>IF(AND(YEAR(P$3)=YEAR($B$8),MONTH(P$3)=MONTH($B$8)),SUM('Продажи'!$D$49:'Продажи'!O$49),0)+'ОБЪЕКТЫ'!P103</x:f>
      </x:c>
      <x:c r="Q14" s="117" t="n">
        <x:f>IF(AND(YEAR(Q$3)=YEAR($B$8),MONTH(Q$3)=MONTH($B$8)),SUM('Продажи'!$D$49:'Продажи'!P$49),0)+'ОБЪЕКТЫ'!Q103</x:f>
      </x:c>
      <x:c r="R14" s="117" t="n">
        <x:f>IF(AND(YEAR(R$3)=YEAR($B$8),MONTH(R$3)=MONTH($B$8)),SUM('Продажи'!$D$49:'Продажи'!Q$49),0)+'ОБЪЕКТЫ'!R103</x:f>
      </x:c>
      <x:c r="S14" s="117" t="n">
        <x:f>IF(AND(YEAR(S$3)=YEAR($B$8),MONTH(S$3)=MONTH($B$8)),SUM('Продажи'!$D$49:'Продажи'!R$49),0)+'ОБЪЕКТЫ'!S103</x:f>
      </x:c>
      <x:c r="T14" s="117" t="n">
        <x:f>IF(AND(YEAR(T$3)=YEAR($B$8),MONTH(T$3)=MONTH($B$8)),SUM('Продажи'!$D$49:'Продажи'!S$49),0)+'ОБЪЕКТЫ'!T103</x:f>
      </x:c>
      <x:c r="U14" s="117" t="n">
        <x:f>IF(AND(YEAR(U$3)=YEAR($B$8),MONTH(U$3)=MONTH($B$8)),SUM('Продажи'!$D$49:'Продажи'!T$49),0)+'ОБЪЕКТЫ'!U103</x:f>
      </x:c>
      <x:c r="V14" s="117" t="n">
        <x:f>IF(AND(YEAR(V$3)=YEAR($B$8),MONTH(V$3)=MONTH($B$8)),SUM('Продажи'!$D$49:'Продажи'!U$49),0)+'ОБЪЕКТЫ'!V103</x:f>
      </x:c>
      <x:c r="W14" s="117" t="n">
        <x:f>IF(AND(YEAR(W$3)=YEAR($B$8),MONTH(W$3)=MONTH($B$8)),SUM('Продажи'!$D$49:'Продажи'!V$49),0)+'ОБЪЕКТЫ'!W103</x:f>
      </x:c>
      <x:c r="X14" s="117" t="n">
        <x:f>IF(AND(YEAR(X$3)=YEAR($B$8),MONTH(X$3)=MONTH($B$8)),SUM('Продажи'!$D$49:'Продажи'!W$49),0)+'ОБЪЕКТЫ'!X103</x:f>
      </x:c>
      <x:c r="Y14" s="117" t="n">
        <x:f>IF(AND(YEAR(Y$3)=YEAR($B$8),MONTH(Y$3)=MONTH($B$8)),SUM('Продажи'!$D$49:'Продажи'!X$49),0)+'ОБЪЕКТЫ'!Y103</x:f>
      </x:c>
      <x:c r="Z14" s="117" t="n">
        <x:f>IF(AND(YEAR(Z$3)=YEAR($B$8),MONTH(Z$3)=MONTH($B$8)),SUM('Продажи'!$D$49:'Продажи'!Y$49),0)+'ОБЪЕКТЫ'!Z103</x:f>
      </x:c>
      <x:c r="AA14" s="117" t="n">
        <x:f>IF(AND(YEAR(AA$3)=YEAR($B$8),MONTH(AA$3)=MONTH($B$8)),SUM('Продажи'!$D$49:'Продажи'!Z$49),0)+'ОБЪЕКТЫ'!AA103</x:f>
      </x:c>
      <x:c r="AB14" s="117" t="n">
        <x:f>IF(AND(YEAR(AB$3)=YEAR($B$8),MONTH(AB$3)=MONTH($B$8)),SUM('Продажи'!$D$49:'Продажи'!AA$49),0)+'ОБЪЕКТЫ'!AB103</x:f>
      </x:c>
      <x:c r="AC14" s="117" t="n">
        <x:f>IF(AND(YEAR(AC$3)=YEAR($B$8),MONTH(AC$3)=MONTH($B$8)),SUM('Продажи'!$D$49:'Продажи'!AB$49),0)+'ОБЪЕКТЫ'!AC103</x:f>
      </x:c>
      <x:c r="AD14" s="117" t="n">
        <x:f>IF(AND(YEAR(AD$3)=YEAR($B$8),MONTH(AD$3)=MONTH($B$8)),SUM('Продажи'!$D$49:'Продажи'!AC$49),0)+'ОБЪЕКТЫ'!AD103</x:f>
      </x:c>
      <x:c r="AE14" s="117" t="n">
        <x:f>IF(AND(YEAR(AE$3)=YEAR($B$8),MONTH(AE$3)=MONTH($B$8)),SUM('Продажи'!$D$49:'Продажи'!AD$49),0)+'ОБЪЕКТЫ'!AE103</x:f>
      </x:c>
      <x:c r="AF14" s="117" t="n">
        <x:f>IF(AND(YEAR(AF$3)=YEAR($B$8),MONTH(AF$3)=MONTH($B$8)),SUM('Продажи'!$D$49:'Продажи'!AE$49),0)+'ОБЪЕКТЫ'!AF103</x:f>
      </x:c>
      <x:c r="AG14" s="117" t="n">
        <x:f>IF(AND(YEAR(AG$3)=YEAR($B$8),MONTH(AG$3)=MONTH($B$8)),SUM('Продажи'!$D$49:'Продажи'!AF$49),0)+'ОБЪЕКТЫ'!AG103</x:f>
      </x:c>
      <x:c r="AH14" s="117" t="n">
        <x:f>IF(AND(YEAR(AH$3)=YEAR($B$8),MONTH(AH$3)=MONTH($B$8)),SUM('Продажи'!$D$49:'Продажи'!AG$49),0)+'ОБЪЕКТЫ'!AH103</x:f>
      </x:c>
      <x:c r="AI14" s="117" t="n">
        <x:f>IF(AND(YEAR(AI$3)=YEAR($B$8),MONTH(AI$3)=MONTH($B$8)),SUM('Продажи'!$D$49:'Продажи'!AH$49),0)+'ОБЪЕКТЫ'!AI103</x:f>
      </x:c>
      <x:c r="AJ14" s="117" t="n">
        <x:f>IF(AND(YEAR(AJ$3)=YEAR($B$8),MONTH(AJ$3)=MONTH($B$8)),SUM('Продажи'!$D$49:'Продажи'!AI$49),0)+'ОБЪЕКТЫ'!AJ103</x:f>
      </x:c>
      <x:c r="AK14" s="117" t="n">
        <x:f>IF(AND(YEAR(AK$3)=YEAR($B$8),MONTH(AK$3)=MONTH($B$8)),SUM('Продажи'!$D$49:'Продажи'!AJ$49),0)+'ОБЪЕКТЫ'!AK103</x:f>
      </x:c>
      <x:c r="AL14" s="117" t="n">
        <x:f>IF(AND(YEAR(AL$3)=YEAR($B$8),MONTH(AL$3)=MONTH($B$8)),SUM('Продажи'!$D$49:'Продажи'!AK$49),0)+'ОБЪЕКТЫ'!AL103</x:f>
      </x:c>
      <x:c r="AM14" s="117" t="n">
        <x:f>IF(AND(YEAR(AM$3)=YEAR($B$8),MONTH(AM$3)=MONTH($B$8)),SUM('Продажи'!$D$49:'Продажи'!AL$49),0)+'ОБЪЕКТЫ'!AM103</x:f>
      </x:c>
      <x:c r="AN14" s="117" t="n">
        <x:f>IF(AND(YEAR(AN$3)=YEAR($B$8),MONTH(AN$3)=MONTH($B$8)),SUM('Продажи'!$D$49:'Продажи'!AM$49),0)+'ОБЪЕКТЫ'!AN103</x:f>
      </x:c>
      <x:c r="AO14" s="117" t="n">
        <x:f>IF(AND(YEAR(AO$3)=YEAR($B$8),MONTH(AO$3)=MONTH($B$8)),SUM('Продажи'!$D$49:'Продажи'!AN$49),0)+'ОБЪЕКТЫ'!AO103</x:f>
      </x:c>
      <x:c r="AP14" s="117" t="n">
        <x:f>IF(AND(YEAR(AP$3)=YEAR($B$8),MONTH(AP$3)=MONTH($B$8)),SUM('Продажи'!$D$49:'Продажи'!AO$49),0)+'ОБЪЕКТЫ'!AP103</x:f>
      </x:c>
      <x:c r="AQ14" s="117" t="n">
        <x:f>IF(AND(YEAR(AQ$3)=YEAR($B$8),MONTH(AQ$3)=MONTH($B$8)),SUM('Продажи'!$D$49:'Продажи'!AP$49),0)+'ОБЪЕКТЫ'!AQ103</x:f>
      </x:c>
      <x:c r="AR14" s="117" t="n">
        <x:f>IF(AND(YEAR(AR$3)=YEAR($B$8),MONTH(AR$3)=MONTH($B$8)),SUM('Продажи'!$D$49:'Продажи'!AQ$49),0)+'ОБЪЕКТЫ'!AR103</x:f>
      </x:c>
      <x:c r="AS14" s="117" t="n">
        <x:f>IF(AND(YEAR(AS$3)=YEAR($B$8),MONTH(AS$3)=MONTH($B$8)),SUM('Продажи'!$D$49:'Продажи'!AR$49),0)+'ОБЪЕКТЫ'!AS103</x:f>
      </x:c>
      <x:c r="AT14" s="117" t="n">
        <x:f>IF(AND(YEAR(AT$3)=YEAR($B$8),MONTH(AT$3)=MONTH($B$8)),SUM('Продажи'!$D$49:'Продажи'!AS$49),0)+'ОБЪЕКТЫ'!AT103</x:f>
      </x:c>
      <x:c r="AU14" s="117" t="n">
        <x:f>IF(AND(YEAR(AU$3)=YEAR($B$8),MONTH(AU$3)=MONTH($B$8)),SUM('Продажи'!$D$49:'Продажи'!AT$49),0)+'ОБЪЕКТЫ'!AU103</x:f>
      </x:c>
      <x:c r="AV14" s="117" t="n">
        <x:f>IF(AND(YEAR(AV$3)=YEAR($B$8),MONTH(AV$3)=MONTH($B$8)),SUM('Продажи'!$D$49:'Продажи'!AU$49),0)+'ОБЪЕКТЫ'!AV103</x:f>
      </x:c>
      <x:c r="AW14" s="117" t="n">
        <x:f>IF(AND(YEAR(AW$3)=YEAR($B$8),MONTH(AW$3)=MONTH($B$8)),SUM('Продажи'!$D$49:'Продажи'!AV$49),0)+'ОБЪЕКТЫ'!AW103</x:f>
      </x:c>
      <x:c r="AX14" s="117" t="n">
        <x:f>IF(AND(YEAR(AX$3)=YEAR($B$8),MONTH(AX$3)=MONTH($B$8)),SUM('Продажи'!$D$49:'Продажи'!AW$49),0)+'ОБЪЕКТЫ'!AX103</x:f>
      </x:c>
      <x:c r="AY14" s="117" t="n">
        <x:f>IF(AND(YEAR(AY$3)=YEAR($B$8),MONTH(AY$3)=MONTH($B$8)),SUM('Продажи'!$D$49:'Продажи'!AX$49),0)+'ОБЪЕКТЫ'!AY103</x:f>
      </x:c>
      <x:c r="AZ14" s="117" t="n">
        <x:f>IF(AND(YEAR(AZ$3)=YEAR($B$8),MONTH(AZ$3)=MONTH($B$8)),SUM('Продажи'!$D$49:'Продажи'!AY$49),0)+'ОБЪЕКТЫ'!AZ103</x:f>
      </x:c>
      <x:c r="BA14" s="117" t="n">
        <x:f>IF(AND(YEAR(BA$3)=YEAR($B$8),MONTH(BA$3)=MONTH($B$8)),SUM('Продажи'!$D$49:'Продажи'!AZ$49),0)+'ОБЪЕКТЫ'!BA103</x:f>
      </x:c>
      <x:c r="BB14" s="117" t="n">
        <x:f>IF(AND(YEAR(BB$3)=YEAR($B$8),MONTH(BB$3)=MONTH($B$8)),SUM('Продажи'!$D$49:'Продажи'!BA$49),0)+'ОБЪЕКТЫ'!BB103</x:f>
      </x:c>
      <x:c r="BC14" s="117" t="n">
        <x:f>IF(AND(YEAR(BC$3)=YEAR($B$8),MONTH(BC$3)=MONTH($B$8)),SUM('Продажи'!$D$49:'Продажи'!BB$49),0)+'ОБЪЕКТЫ'!BC103</x:f>
      </x:c>
      <x:c r="BD14" s="117" t="n">
        <x:f>IF(AND(YEAR(BD$3)=YEAR($B$8),MONTH(BD$3)=MONTH($B$8)),SUM('Продажи'!$D$49:'Продажи'!BC$49),0)+'ОБЪЕКТЫ'!BD103</x:f>
      </x:c>
      <x:c r="BE14" s="117" t="n">
        <x:f>IF(AND(YEAR(BE$3)=YEAR($B$8),MONTH(BE$3)=MONTH($B$8)),SUM('Продажи'!$D$49:'Продажи'!BD$49),0)+'ОБЪЕКТЫ'!BE103</x:f>
      </x:c>
      <x:c r="BF14" s="117" t="n">
        <x:f>IF(AND(YEAR(BF$3)=YEAR($B$8),MONTH(BF$3)=MONTH($B$8)),SUM('Продажи'!$D$49:'Продажи'!BE$49),0)+'ОБЪЕКТЫ'!BF103</x:f>
      </x:c>
      <x:c r="BG14" s="117" t="n">
        <x:f>IF(AND(YEAR(BG$3)=YEAR($B$8),MONTH(BG$3)=MONTH($B$8)),SUM('Продажи'!$D$49:'Продажи'!BF$49),0)+'ОБЪЕКТЫ'!BG103</x:f>
      </x:c>
      <x:c r="BH14" s="117" t="n">
        <x:f>IF(AND(YEAR(BH$3)=YEAR($B$8),MONTH(BH$3)=MONTH($B$8)),SUM('Продажи'!$D$49:'Продажи'!BG$49),0)+'ОБЪЕКТЫ'!BH103</x:f>
      </x:c>
      <x:c r="BI14" s="117" t="n">
        <x:f>IF(AND(YEAR(BI$3)=YEAR($B$8),MONTH(BI$3)=MONTH($B$8)),SUM('Продажи'!$D$49:'Продажи'!BH$49),0)+'ОБЪЕКТЫ'!BI103</x:f>
      </x:c>
      <x:c r="BJ14" s="117" t="n">
        <x:f>IF(AND(YEAR(BJ$3)=YEAR($B$8),MONTH(BJ$3)=MONTH($B$8)),SUM('Продажи'!$D$49:'Продажи'!BI$49),0)+'ОБЪЕКТЫ'!BJ103</x:f>
      </x:c>
      <x:c r="BK14" s="117" t="n">
        <x:f>IF(AND(YEAR(BK$3)=YEAR($B$8),MONTH(BK$3)=MONTH($B$8)),SUM('Продажи'!$D$49:'Продажи'!BJ$49),0)+'ОБЪЕКТЫ'!BK103</x:f>
      </x:c>
      <x:c r="BL14" s="117" t="n">
        <x:f>IF(AND(YEAR(BL$3)=YEAR($B$8),MONTH(BL$3)=MONTH($B$8)),SUM('Продажи'!$D$49:'Продажи'!BK$49),0)+'ОБЪЕКТЫ'!BL103</x:f>
      </x:c>
      <x:c r="BM14" s="117" t="n">
        <x:f>IF(AND(YEAR(BM$3)=YEAR($B$8),MONTH(BM$3)=MONTH($B$8)),SUM('Продажи'!$D$49:'Продажи'!BL$49),0)+'ОБЪЕКТЫ'!BM103</x:f>
      </x:c>
      <x:c r="BN14" s="117" t="n">
        <x:f>IF(AND(YEAR(BN$3)=YEAR($B$8),MONTH(BN$3)=MONTH($B$8)),SUM('Продажи'!$D$49:'Продажи'!BM$49),0)+'ОБЪЕКТЫ'!BN103</x:f>
      </x:c>
      <x:c r="BO14" s="117" t="n">
        <x:f>IF(AND(YEAR(BO$3)=YEAR($B$8),MONTH(BO$3)=MONTH($B$8)),SUM('Продажи'!$D$49:'Продажи'!BN$49),0)+'ОБЪЕКТЫ'!BO103</x:f>
      </x:c>
      <x:c r="BP14" s="117" t="n">
        <x:f>IF(AND(YEAR(BP$3)=YEAR($B$8),MONTH(BP$3)=MONTH($B$8)),SUM('Продажи'!$D$49:'Продажи'!BO$49),0)+'ОБЪЕКТЫ'!BP103</x:f>
      </x:c>
      <x:c r="BQ14" s="117" t="n">
        <x:f>IF(AND(YEAR(BQ$3)=YEAR($B$8),MONTH(BQ$3)=MONTH($B$8)),SUM('Продажи'!$D$49:'Продажи'!BP$49),0)+'ОБЪЕКТЫ'!BQ103</x:f>
      </x:c>
      <x:c r="BR14" s="117" t="n">
        <x:f>IF(AND(YEAR(BR$3)=YEAR($B$8),MONTH(BR$3)=MONTH($B$8)),SUM('Продажи'!$D$49:'Продажи'!BQ$49),0)+'ОБЪЕКТЫ'!BR103</x:f>
      </x:c>
      <x:c r="BS14" s="117" t="n">
        <x:f>IF(AND(YEAR(BS$3)=YEAR($B$8),MONTH(BS$3)=MONTH($B$8)),SUM('Продажи'!$D$49:'Продажи'!BR$49),0)+'ОБЪЕКТЫ'!BS103</x:f>
      </x:c>
      <x:c r="BT14" s="117" t="n">
        <x:f>IF(AND(YEAR(BT$3)=YEAR($B$8),MONTH(BT$3)=MONTH($B$8)),SUM('Продажи'!$D$49:'Продажи'!BS$49),0)+'ОБЪЕКТЫ'!BT103</x:f>
      </x:c>
      <x:c r="BU14" s="117" t="n">
        <x:f>IF(AND(YEAR(BU$3)=YEAR($B$8),MONTH(BU$3)=MONTH($B$8)),SUM('Продажи'!$D$49:'Продажи'!BT$49),0)+'ОБЪЕКТЫ'!BU103</x:f>
      </x:c>
      <x:c r="BV14" s="117" t="n">
        <x:f>IF(AND(YEAR(BV$3)=YEAR($B$8),MONTH(BV$3)=MONTH($B$8)),SUM('Продажи'!$D$49:'Продажи'!BU$49),0)+'ОБЪЕКТЫ'!BV103</x:f>
      </x:c>
      <x:c r="BW14" s="117" t="n">
        <x:f>IF(AND(YEAR(BW$3)=YEAR($B$8),MONTH(BW$3)=MONTH($B$8)),SUM('Продажи'!$D$49:'Продажи'!BV$49),0)+'ОБЪЕКТЫ'!BW103</x:f>
      </x:c>
      <x:c r="BX14" s="117" t="n">
        <x:f>IF(AND(YEAR(BX$3)=YEAR($B$8),MONTH(BX$3)=MONTH($B$8)),SUM('Продажи'!$D$49:'Продажи'!BW$49),0)+'ОБЪЕКТЫ'!BX103</x:f>
      </x:c>
      <x:c r="BY14" s="117" t="n">
        <x:f>IF(AND(YEAR(BY$3)=YEAR($B$8),MONTH(BY$3)=MONTH($B$8)),SUM('Продажи'!$D$49:'Продажи'!BX$49),0)+'ОБЪЕКТЫ'!BY103</x:f>
      </x:c>
      <x:c r="BZ14" s="117" t="n">
        <x:f>IF(AND(YEAR(BZ$3)=YEAR($B$8),MONTH(BZ$3)=MONTH($B$8)),SUM('Продажи'!$D$49:'Продажи'!BY$49),0)+'ОБЪЕКТЫ'!BZ103</x:f>
      </x:c>
      <x:c r="CA14" s="117" t="n">
        <x:f>IF(AND(YEAR(CA$3)=YEAR($B$8),MONTH(CA$3)=MONTH($B$8)),SUM('Продажи'!$D$49:'Продажи'!BZ$49),0)+'ОБЪЕКТЫ'!CA103</x:f>
      </x:c>
      <x:c r="CB14" s="117" t="n">
        <x:f>IF(AND(YEAR(CB$3)=YEAR($B$8),MONTH(CB$3)=MONTH($B$8)),SUM('Продажи'!$D$49:'Продажи'!CA$49),0)+'ОБЪЕКТЫ'!CB103</x:f>
      </x:c>
      <x:c r="CC14" s="117" t="n">
        <x:f>IF(AND(YEAR(CC$3)=YEAR($B$8),MONTH(CC$3)=MONTH($B$8)),SUM('Продажи'!$D$49:'Продажи'!CB$49),0)+'ОБЪЕКТЫ'!CC103</x:f>
      </x:c>
      <x:c r="CD14" s="117" t="n">
        <x:f>IF(AND(YEAR(CD$3)=YEAR($B$8),MONTH(CD$3)=MONTH($B$8)),SUM('Продажи'!$D$49:'Продажи'!CC$49),0)+'ОБЪЕКТЫ'!CD103</x:f>
      </x:c>
      <x:c r="CE14" s="117" t="n">
        <x:f>IF(AND(YEAR(CE$3)=YEAR($B$8),MONTH(CE$3)=MONTH($B$8)),SUM('Продажи'!$D$49:'Продажи'!CD$49),0)+'ОБЪЕКТЫ'!CE103</x:f>
      </x:c>
      <x:c r="CF14" s="117" t="n">
        <x:f>IF(AND(YEAR(CF$3)=YEAR($B$8),MONTH(CF$3)=MONTH($B$8)),SUM('Продажи'!$D$49:'Продажи'!CE$49),0)+'ОБЪЕКТЫ'!CF103</x:f>
      </x:c>
      <x:c r="CG14" s="117" t="n">
        <x:f>IF(AND(YEAR(CG$3)=YEAR($B$8),MONTH(CG$3)=MONTH($B$8)),SUM('Продажи'!$D$49:'Продажи'!CF$49),0)+'ОБЪЕКТЫ'!CG103</x:f>
      </x:c>
      <x:c r="CH14" s="117" t="n">
        <x:f>IF(AND(YEAR(CH$3)=YEAR($B$8),MONTH(CH$3)=MONTH($B$8)),SUM('Продажи'!$D$49:'Продажи'!CG$49),0)+'ОБЪЕКТЫ'!CH103</x:f>
      </x:c>
      <x:c r="CI14" s="117" t="n">
        <x:f>IF(AND(YEAR(CI$3)=YEAR($B$8),MONTH(CI$3)=MONTH($B$8)),SUM('Продажи'!$D$49:'Продажи'!CH$49),0)+'ОБЪЕКТЫ'!CI103</x:f>
      </x:c>
      <x:c r="CJ14" s="117" t="n">
        <x:f>IF(AND(YEAR(CJ$3)=YEAR($B$8),MONTH(CJ$3)=MONTH($B$8)),SUM('Продажи'!$D$49:'Продажи'!CI$49),0)+'ОБЪЕКТЫ'!CJ103</x:f>
      </x:c>
      <x:c r="CK14" s="117" t="n">
        <x:f>IF(AND(YEAR(CK$3)=YEAR($B$8),MONTH(CK$3)=MONTH($B$8)),SUM('Продажи'!$D$49:'Продажи'!CJ$49),0)+'ОБЪЕКТЫ'!CK103</x:f>
      </x:c>
      <x:c r="CL14" s="117" t="n">
        <x:f>IF(AND(YEAR(CL$3)=YEAR($B$8),MONTH(CL$3)=MONTH($B$8)),SUM('Продажи'!$D$49:'Продажи'!CK$49),0)+'ОБЪЕКТЫ'!CL103</x:f>
      </x:c>
      <x:c r="CM14" s="117" t="n">
        <x:f>IF(AND(YEAR(CM$3)=YEAR($B$8),MONTH(CM$3)=MONTH($B$8)),SUM('Продажи'!$D$49:'Продажи'!CL$49),0)+'ОБЪЕКТЫ'!CM103</x:f>
      </x:c>
      <x:c r="CN14" s="117" t="n">
        <x:f>IF(AND(YEAR(CN$3)=YEAR($B$8),MONTH(CN$3)=MONTH($B$8)),SUM('Продажи'!$D$49:'Продажи'!CM$49),0)+'ОБЪЕКТЫ'!CN103</x:f>
      </x:c>
      <x:c r="CO14" s="117" t="n">
        <x:f>IF(AND(YEAR(CO$3)=YEAR($B$8),MONTH(CO$3)=MONTH($B$8)),SUM('Продажи'!$D$49:'Продажи'!CN$49),0)+'ОБЪЕКТЫ'!CO103</x:f>
      </x:c>
      <x:c r="CP14" s="117" t="n">
        <x:f>IF(AND(YEAR(CP$3)=YEAR($B$8),MONTH(CP$3)=MONTH($B$8)),SUM('Продажи'!$D$49:'Продажи'!CO$49),0)+'ОБЪЕКТЫ'!CP103</x:f>
      </x:c>
      <x:c r="CQ14" s="117" t="n">
        <x:f>IF(AND(YEAR(CQ$3)=YEAR($B$8),MONTH(CQ$3)=MONTH($B$8)),SUM('Продажи'!$D$49:'Продажи'!CP$49),0)+'ОБЪЕКТЫ'!CQ103</x:f>
      </x:c>
      <x:c r="CR14" s="117" t="n">
        <x:f>IF(AND(YEAR(CR$3)=YEAR($B$8),MONTH(CR$3)=MONTH($B$8)),SUM('Продажи'!$D$49:'Продажи'!CQ$49),0)+'ОБЪЕКТЫ'!CR103</x:f>
      </x:c>
      <x:c r="CS14" s="117" t="n">
        <x:f>IF(AND(YEAR(CS$3)=YEAR($B$8),MONTH(CS$3)=MONTH($B$8)),SUM('Продажи'!$D$49:'Продажи'!CR$49),0)+'ОБЪЕКТЫ'!CS103</x:f>
      </x:c>
      <x:c r="CT14" s="117" t="n">
        <x:f>IF(AND(YEAR(CT$3)=YEAR($B$8),MONTH(CT$3)=MONTH($B$8)),SUM('Продажи'!$D$49:'Продажи'!CS$49),0)+'ОБЪЕКТЫ'!CT103</x:f>
      </x:c>
      <x:c r="CU14" s="117" t="n">
        <x:f>IF(AND(YEAR(CU$3)=YEAR($B$8),MONTH(CU$3)=MONTH($B$8)),SUM('Продажи'!$D$49:'Продажи'!CT$49),0)+'ОБЪЕКТЫ'!CU103</x:f>
      </x:c>
      <x:c r="CV14" s="117" t="n">
        <x:f>IF(AND(YEAR(CV$3)=YEAR($B$8),MONTH(CV$3)=MONTH($B$8)),SUM('Продажи'!$D$49:'Продажи'!CU$49),0)+'ОБЪЕКТЫ'!CV103</x:f>
      </x:c>
      <x:c r="CW14" s="117" t="n">
        <x:f>IF(AND(YEAR(CW$3)=YEAR($B$8),MONTH(CW$3)=MONTH($B$8)),SUM('Продажи'!$D$49:'Продажи'!CV$49),0)+'ОБЪЕКТЫ'!CW103</x:f>
      </x:c>
      <x:c r="CX14" s="117" t="n">
        <x:f>IF(AND(YEAR(CX$3)=YEAR($B$8),MONTH(CX$3)=MONTH($B$8)),SUM('Продажи'!$D$49:'Продажи'!CW$49),0)+'ОБЪЕКТЫ'!CX103</x:f>
      </x:c>
      <x:c r="CY14" s="117" t="n">
        <x:f>IF(AND(YEAR(CY$3)=YEAR($B$8),MONTH(CY$3)=MONTH($B$8)),SUM('Продажи'!$D$49:'Продажи'!CX$49),0)+'ОБЪЕКТЫ'!CY103</x:f>
      </x:c>
      <x:c r="CZ14" s="117" t="n">
        <x:f>IF(AND(YEAR(CZ$3)=YEAR($B$8),MONTH(CZ$3)=MONTH($B$8)),SUM('Продажи'!$D$49:'Продажи'!CY$49),0)+'ОБЪЕКТЫ'!CZ103</x:f>
      </x:c>
      <x:c r="DA14" s="117" t="n">
        <x:f>IF(AND(YEAR(DA$3)=YEAR($B$8),MONTH(DA$3)=MONTH($B$8)),SUM('Продажи'!$D$49:'Продажи'!CZ$49),0)+'ОБЪЕКТЫ'!DA103</x:f>
      </x:c>
      <x:c r="DB14" s="117" t="n">
        <x:f>IF(AND(YEAR(DB$3)=YEAR($B$8),MONTH(DB$3)=MONTH($B$8)),SUM('Продажи'!$D$49:'Продажи'!DA$49),0)+'ОБЪЕКТЫ'!DB103</x:f>
      </x:c>
      <x:c r="DC14" s="117" t="n">
        <x:f>IF(AND(YEAR(DC$3)=YEAR($B$8),MONTH(DC$3)=MONTH($B$8)),SUM('Продажи'!$D$49:'Продажи'!DB$49),0)+'ОБЪЕКТЫ'!DC103</x:f>
      </x:c>
      <x:c r="DD14" s="117" t="n">
        <x:f>IF(AND(YEAR(DD$3)=YEAR($B$8),MONTH(DD$3)=MONTH($B$8)),SUM('Продажи'!$D$49:'Продажи'!DC$49),0)+'ОБЪЕКТЫ'!DD103</x:f>
      </x:c>
      <x:c r="DE14" s="117" t="n">
        <x:f>IF(AND(YEAR(DE$3)=YEAR($B$8),MONTH(DE$3)=MONTH($B$8)),SUM('Продажи'!$D$49:'Продажи'!DD$49),0)+'ОБЪЕКТЫ'!DE103</x:f>
      </x:c>
      <x:c r="DF14" s="117" t="n">
        <x:f>IF(AND(YEAR(DF$3)=YEAR($B$8),MONTH(DF$3)=MONTH($B$8)),SUM('Продажи'!$D$49:'Продажи'!DE$49),0)+'ОБЪЕКТЫ'!DF103</x:f>
      </x:c>
      <x:c r="DG14" s="117" t="n">
        <x:f>IF(AND(YEAR(DG$3)=YEAR($B$8),MONTH(DG$3)=MONTH($B$8)),SUM('Продажи'!$D$49:'Продажи'!DF$49),0)+'ОБЪЕКТЫ'!DG103</x:f>
      </x:c>
      <x:c r="DH14" s="117" t="n">
        <x:f>IF(AND(YEAR(DH$3)=YEAR($B$8),MONTH(DH$3)=MONTH($B$8)),SUM('Продажи'!$D$49:'Продажи'!DG$49),0)+'ОБЪЕКТЫ'!DH103</x:f>
      </x:c>
      <x:c r="DI14" s="117" t="n">
        <x:f>IF(AND(YEAR(DI$3)=YEAR($B$8),MONTH(DI$3)=MONTH($B$8)),SUM('Продажи'!$D$49:'Продажи'!DH$49),0)+'ОБЪЕКТЫ'!DI103</x:f>
      </x:c>
      <x:c r="DJ14" s="117" t="n">
        <x:f>IF(AND(YEAR(DJ$3)=YEAR($B$8),MONTH(DJ$3)=MONTH($B$8)),SUM('Продажи'!$D$49:'Продажи'!DI$49),0)+'ОБЪЕКТЫ'!DJ103</x:f>
      </x:c>
      <x:c r="DK14" s="117" t="n">
        <x:f>IF(AND(YEAR(DK$3)=YEAR($B$8),MONTH(DK$3)=MONTH($B$8)),SUM('Продажи'!$D$49:'Продажи'!DJ$49),0)+'ОБЪЕКТЫ'!DK103</x:f>
      </x:c>
      <x:c r="DL14" s="117" t="n">
        <x:f>IF(AND(YEAR(DL$3)=YEAR($B$8),MONTH(DL$3)=MONTH($B$8)),SUM('Продажи'!$D$49:'Продажи'!DK$49),0)+'ОБЪЕКТЫ'!DL103</x:f>
      </x:c>
      <x:c r="DM14" s="117" t="n">
        <x:f>IF(AND(YEAR(DM$3)=YEAR($B$8),MONTH(DM$3)=MONTH($B$8)),SUM('Продажи'!$D$49:'Продажи'!DL$49),0)+'ОБЪЕКТЫ'!DM103</x:f>
      </x:c>
      <x:c r="DN14" s="117" t="n">
        <x:f>IF(AND(YEAR(DN$3)=YEAR($B$8),MONTH(DN$3)=MONTH($B$8)),SUM('Продажи'!$D$49:'Продажи'!DM$49),0)+'ОБЪЕКТЫ'!DN103</x:f>
      </x:c>
      <x:c r="DO14" s="117" t="n">
        <x:f>IF(AND(YEAR(DO$3)=YEAR($B$8),MONTH(DO$3)=MONTH($B$8)),SUM('Продажи'!$D$49:'Продажи'!DN$49),0)+'ОБЪЕКТЫ'!DO103</x:f>
      </x:c>
      <x:c r="DP14" s="117" t="n">
        <x:f>IF(AND(YEAR(DP$3)=YEAR($B$8),MONTH(DP$3)=MONTH($B$8)),SUM('Продажи'!$D$49:'Продажи'!DO$49),0)+'ОБЪЕКТЫ'!DP103</x:f>
      </x:c>
      <x:c r="DQ14" s="117" t="n">
        <x:f>IF(AND(YEAR(DQ$3)=YEAR($B$8),MONTH(DQ$3)=MONTH($B$8)),SUM('Продажи'!$D$49:'Продажи'!DP$49),0)+'ОБЪЕКТЫ'!DQ103</x:f>
      </x:c>
      <x:c r="DR14" s="117" t="n">
        <x:f>IF(AND(YEAR(DR$3)=YEAR($B$8),MONTH(DR$3)=MONTH($B$8)),SUM('Продажи'!$D$49:'Продажи'!DQ$49),0)+'ОБЪЕКТЫ'!DR103</x:f>
      </x:c>
      <x:c r="DS14" s="117" t="n">
        <x:f>IF(AND(YEAR(DS$3)=YEAR($B$8),MONTH(DS$3)=MONTH($B$8)),SUM('Продажи'!$D$49:'Продажи'!DR$49),0)+'ОБЪЕКТЫ'!DS103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'CAPEX'!D66</x:f>
      </x:c>
      <x:c r="E17" s="117" t="n">
        <x:f>'CAPEX'!E66</x:f>
      </x:c>
      <x:c r="F17" s="117" t="n">
        <x:f>'CAPEX'!F66</x:f>
      </x:c>
      <x:c r="G17" s="117" t="n">
        <x:f>'CAPEX'!G66</x:f>
      </x:c>
      <x:c r="H17" s="117" t="n">
        <x:f>'CAPEX'!H66</x:f>
      </x:c>
      <x:c r="I17" s="117" t="n">
        <x:f>'CAPEX'!I66</x:f>
      </x:c>
      <x:c r="J17" s="117" t="n">
        <x:f>'CAPEX'!J66</x:f>
      </x:c>
      <x:c r="K17" s="117" t="n">
        <x:f>'CAPEX'!K66</x:f>
      </x:c>
      <x:c r="L17" s="117" t="n">
        <x:f>'CAPEX'!L66</x:f>
      </x:c>
      <x:c r="M17" s="117" t="n">
        <x:f>'CAPEX'!M66</x:f>
      </x:c>
      <x:c r="N17" s="117" t="n">
        <x:f>'CAPEX'!N66</x:f>
      </x:c>
      <x:c r="O17" s="117" t="n">
        <x:f>'CAPEX'!O66</x:f>
      </x:c>
      <x:c r="P17" s="117" t="n">
        <x:f>'CAPEX'!P66</x:f>
      </x:c>
      <x:c r="Q17" s="117" t="n">
        <x:f>'CAPEX'!Q66</x:f>
      </x:c>
      <x:c r="R17" s="117" t="n">
        <x:f>'CAPEX'!R66</x:f>
      </x:c>
      <x:c r="S17" s="117" t="n">
        <x:f>'CAPEX'!S66</x:f>
      </x:c>
      <x:c r="T17" s="117" t="n">
        <x:f>'CAPEX'!T66</x:f>
      </x:c>
      <x:c r="U17" s="117" t="n">
        <x:f>'CAPEX'!U66</x:f>
      </x:c>
      <x:c r="V17" s="117" t="n">
        <x:f>'CAPEX'!V66</x:f>
      </x:c>
      <x:c r="W17" s="117" t="n">
        <x:f>'CAPEX'!W66</x:f>
      </x:c>
      <x:c r="X17" s="117" t="n">
        <x:f>'CAPEX'!X66</x:f>
      </x:c>
      <x:c r="Y17" s="117" t="n">
        <x:f>'CAPEX'!Y66</x:f>
      </x:c>
      <x:c r="Z17" s="117" t="n">
        <x:f>'CAPEX'!Z66</x:f>
      </x:c>
      <x:c r="AA17" s="117" t="n">
        <x:f>'CAPEX'!AA66</x:f>
      </x:c>
      <x:c r="AB17" s="117" t="n">
        <x:f>'CAPEX'!AB66</x:f>
      </x:c>
      <x:c r="AC17" s="117" t="n">
        <x:f>'CAPEX'!AC66</x:f>
      </x:c>
      <x:c r="AD17" s="117" t="n">
        <x:f>'CAPEX'!AD66</x:f>
      </x:c>
      <x:c r="AE17" s="117" t="n">
        <x:f>'CAPEX'!AE66</x:f>
      </x:c>
      <x:c r="AF17" s="117" t="n">
        <x:f>'CAPEX'!AF66</x:f>
      </x:c>
      <x:c r="AG17" s="117" t="n">
        <x:f>'CAPEX'!AG66</x:f>
      </x:c>
      <x:c r="AH17" s="117" t="n">
        <x:f>'CAPEX'!AH66</x:f>
      </x:c>
      <x:c r="AI17" s="117" t="n">
        <x:f>'CAPEX'!AI66</x:f>
      </x:c>
      <x:c r="AJ17" s="117" t="n">
        <x:f>'CAPEX'!AJ66</x:f>
      </x:c>
      <x:c r="AK17" s="117" t="n">
        <x:f>'CAPEX'!AK66</x:f>
      </x:c>
      <x:c r="AL17" s="117" t="n">
        <x:f>'CAPEX'!AL66</x:f>
      </x:c>
      <x:c r="AM17" s="117" t="n">
        <x:f>'CAPEX'!AM66</x:f>
      </x:c>
      <x:c r="AN17" s="117" t="n">
        <x:f>'CAPEX'!AN66</x:f>
      </x:c>
      <x:c r="AO17" s="117" t="n">
        <x:f>'CAPEX'!AO66</x:f>
      </x:c>
      <x:c r="AP17" s="117" t="n">
        <x:f>'CAPEX'!AP66</x:f>
      </x:c>
      <x:c r="AQ17" s="117" t="n">
        <x:f>'CAPEX'!AQ66</x:f>
      </x:c>
      <x:c r="AR17" s="117" t="n">
        <x:f>'CAPEX'!AR66</x:f>
      </x:c>
      <x:c r="AS17" s="117" t="n">
        <x:f>'CAPEX'!AS66</x:f>
      </x:c>
      <x:c r="AT17" s="117" t="n">
        <x:f>'CAPEX'!AT66</x:f>
      </x:c>
      <x:c r="AU17" s="117" t="n">
        <x:f>'CAPEX'!AU66</x:f>
      </x:c>
      <x:c r="AV17" s="117" t="n">
        <x:f>'CAPEX'!AV66</x:f>
      </x:c>
      <x:c r="AW17" s="117" t="n">
        <x:f>'CAPEX'!AW66</x:f>
      </x:c>
      <x:c r="AX17" s="117" t="n">
        <x:f>'CAPEX'!AX66</x:f>
      </x:c>
      <x:c r="AY17" s="117" t="n">
        <x:f>'CAPEX'!AY66</x:f>
      </x:c>
      <x:c r="AZ17" s="117" t="n">
        <x:f>'CAPEX'!AZ66</x:f>
      </x:c>
      <x:c r="BA17" s="117" t="n">
        <x:f>'CAPEX'!BA66</x:f>
      </x:c>
      <x:c r="BB17" s="117" t="n">
        <x:f>'CAPEX'!BB66</x:f>
      </x:c>
      <x:c r="BC17" s="117" t="n">
        <x:f>'CAPEX'!BC66</x:f>
      </x:c>
      <x:c r="BD17" s="117" t="n">
        <x:f>'CAPEX'!BD66</x:f>
      </x:c>
      <x:c r="BE17" s="117" t="n">
        <x:f>'CAPEX'!BE66</x:f>
      </x:c>
      <x:c r="BF17" s="117" t="n">
        <x:f>'CAPEX'!BF66</x:f>
      </x:c>
      <x:c r="BG17" s="117" t="n">
        <x:f>'CAPEX'!BG66</x:f>
      </x:c>
      <x:c r="BH17" s="117" t="n">
        <x:f>'CAPEX'!BH66</x:f>
      </x:c>
      <x:c r="BI17" s="117" t="n">
        <x:f>'CAPEX'!BI66</x:f>
      </x:c>
      <x:c r="BJ17" s="117" t="n">
        <x:f>'CAPEX'!BJ66</x:f>
      </x:c>
      <x:c r="BK17" s="117" t="n">
        <x:f>'CAPEX'!BK66</x:f>
      </x:c>
      <x:c r="BL17" s="117" t="n">
        <x:f>'CAPEX'!BL66</x:f>
      </x:c>
      <x:c r="BM17" s="117" t="n">
        <x:f>'CAPEX'!BM66</x:f>
      </x:c>
      <x:c r="BN17" s="117" t="n">
        <x:f>'CAPEX'!BN66</x:f>
      </x:c>
      <x:c r="BO17" s="117" t="n">
        <x:f>'CAPEX'!BO66</x:f>
      </x:c>
      <x:c r="BP17" s="117" t="n">
        <x:f>'CAPEX'!BP66</x:f>
      </x:c>
      <x:c r="BQ17" s="117" t="n">
        <x:f>'CAPEX'!BQ66</x:f>
      </x:c>
      <x:c r="BR17" s="117" t="n">
        <x:f>'CAPEX'!BR66</x:f>
      </x:c>
      <x:c r="BS17" s="117" t="n">
        <x:f>'CAPEX'!BS66</x:f>
      </x:c>
      <x:c r="BT17" s="117" t="n">
        <x:f>'CAPEX'!BT66</x:f>
      </x:c>
      <x:c r="BU17" s="117" t="n">
        <x:f>'CAPEX'!BU66</x:f>
      </x:c>
      <x:c r="BV17" s="117" t="n">
        <x:f>'CAPEX'!BV66</x:f>
      </x:c>
      <x:c r="BW17" s="117" t="n">
        <x:f>'CAPEX'!BW66</x:f>
      </x:c>
      <x:c r="BX17" s="117" t="n">
        <x:f>'CAPEX'!BX66</x:f>
      </x:c>
      <x:c r="BY17" s="117" t="n">
        <x:f>'CAPEX'!BY66</x:f>
      </x:c>
      <x:c r="BZ17" s="117" t="n">
        <x:f>'CAPEX'!BZ66</x:f>
      </x:c>
      <x:c r="CA17" s="117" t="n">
        <x:f>'CAPEX'!CA66</x:f>
      </x:c>
      <x:c r="CB17" s="117" t="n">
        <x:f>'CAPEX'!CB66</x:f>
      </x:c>
      <x:c r="CC17" s="117" t="n">
        <x:f>'CAPEX'!CC66</x:f>
      </x:c>
      <x:c r="CD17" s="117" t="n">
        <x:f>'CAPEX'!CD66</x:f>
      </x:c>
      <x:c r="CE17" s="117" t="n">
        <x:f>'CAPEX'!CE66</x:f>
      </x:c>
      <x:c r="CF17" s="117" t="n">
        <x:f>'CAPEX'!CF66</x:f>
      </x:c>
      <x:c r="CG17" s="117" t="n">
        <x:f>'CAPEX'!CG66</x:f>
      </x:c>
      <x:c r="CH17" s="117" t="n">
        <x:f>'CAPEX'!CH66</x:f>
      </x:c>
      <x:c r="CI17" s="117" t="n">
        <x:f>'CAPEX'!CI66</x:f>
      </x:c>
      <x:c r="CJ17" s="117" t="n">
        <x:f>'CAPEX'!CJ66</x:f>
      </x:c>
      <x:c r="CK17" s="117" t="n">
        <x:f>'CAPEX'!CK66</x:f>
      </x:c>
      <x:c r="CL17" s="117" t="n">
        <x:f>'CAPEX'!CL66</x:f>
      </x:c>
      <x:c r="CM17" s="117" t="n">
        <x:f>'CAPEX'!CM66</x:f>
      </x:c>
      <x:c r="CN17" s="117" t="n">
        <x:f>'CAPEX'!CN66</x:f>
      </x:c>
      <x:c r="CO17" s="117" t="n">
        <x:f>'CAPEX'!CO66</x:f>
      </x:c>
      <x:c r="CP17" s="117" t="n">
        <x:f>'CAPEX'!CP66</x:f>
      </x:c>
      <x:c r="CQ17" s="117" t="n">
        <x:f>'CAPEX'!CQ66</x:f>
      </x:c>
      <x:c r="CR17" s="117" t="n">
        <x:f>'CAPEX'!CR66</x:f>
      </x:c>
      <x:c r="CS17" s="117" t="n">
        <x:f>'CAPEX'!CS66</x:f>
      </x:c>
      <x:c r="CT17" s="117" t="n">
        <x:f>'CAPEX'!CT66</x:f>
      </x:c>
      <x:c r="CU17" s="117" t="n">
        <x:f>'CAPEX'!CU66</x:f>
      </x:c>
      <x:c r="CV17" s="117" t="n">
        <x:f>'CAPEX'!CV66</x:f>
      </x:c>
      <x:c r="CW17" s="117" t="n">
        <x:f>'CAPEX'!CW66</x:f>
      </x:c>
      <x:c r="CX17" s="117" t="n">
        <x:f>'CAPEX'!CX66</x:f>
      </x:c>
      <x:c r="CY17" s="117" t="n">
        <x:f>'CAPEX'!CY66</x:f>
      </x:c>
      <x:c r="CZ17" s="117" t="n">
        <x:f>'CAPEX'!CZ66</x:f>
      </x:c>
      <x:c r="DA17" s="117" t="n">
        <x:f>'CAPEX'!DA66</x:f>
      </x:c>
      <x:c r="DB17" s="117" t="n">
        <x:f>'CAPEX'!DB66</x:f>
      </x:c>
      <x:c r="DC17" s="117" t="n">
        <x:f>'CAPEX'!DC66</x:f>
      </x:c>
      <x:c r="DD17" s="117" t="n">
        <x:f>'CAPEX'!DD66</x:f>
      </x:c>
      <x:c r="DE17" s="117" t="n">
        <x:f>'CAPEX'!DE66</x:f>
      </x:c>
      <x:c r="DF17" s="117" t="n">
        <x:f>'CAPEX'!DF66</x:f>
      </x:c>
      <x:c r="DG17" s="117" t="n">
        <x:f>'CAPEX'!DG66</x:f>
      </x:c>
      <x:c r="DH17" s="117" t="n">
        <x:f>'CAPEX'!DH66</x:f>
      </x:c>
      <x:c r="DI17" s="117" t="n">
        <x:f>'CAPEX'!DI66</x:f>
      </x:c>
      <x:c r="DJ17" s="117" t="n">
        <x:f>'CAPEX'!DJ66</x:f>
      </x:c>
      <x:c r="DK17" s="117" t="n">
        <x:f>'CAPEX'!DK66</x:f>
      </x:c>
      <x:c r="DL17" s="117" t="n">
        <x:f>'CAPEX'!DL66</x:f>
      </x:c>
      <x:c r="DM17" s="117" t="n">
        <x:f>'CAPEX'!DM66</x:f>
      </x:c>
      <x:c r="DN17" s="117" t="n">
        <x:f>'CAPEX'!DN66</x:f>
      </x:c>
      <x:c r="DO17" s="117" t="n">
        <x:f>'CAPEX'!DO66</x:f>
      </x:c>
      <x:c r="DP17" s="117" t="n">
        <x:f>'CAPEX'!DP66</x:f>
      </x:c>
      <x:c r="DQ17" s="117" t="n">
        <x:f>'CAPEX'!DQ66</x:f>
      </x:c>
      <x:c r="DR17" s="117" t="n">
        <x:f>'CAPEX'!DR66</x:f>
      </x:c>
      <x:c r="DS17" s="117" t="n">
        <x:f>'CAPEX'!DS66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'CAPEX'!D67</x:f>
      </x:c>
      <x:c r="E18" s="117" t="n">
        <x:f>'CAPEX'!E67</x:f>
      </x:c>
      <x:c r="F18" s="117" t="n">
        <x:f>'CAPEX'!F67</x:f>
      </x:c>
      <x:c r="G18" s="117" t="n">
        <x:f>'CAPEX'!G67</x:f>
      </x:c>
      <x:c r="H18" s="117" t="n">
        <x:f>'CAPEX'!H67</x:f>
      </x:c>
      <x:c r="I18" s="117" t="n">
        <x:f>'CAPEX'!I67</x:f>
      </x:c>
      <x:c r="J18" s="117" t="n">
        <x:f>'CAPEX'!J67</x:f>
      </x:c>
      <x:c r="K18" s="117" t="n">
        <x:f>'CAPEX'!K67</x:f>
      </x:c>
      <x:c r="L18" s="117" t="n">
        <x:f>'CAPEX'!L67</x:f>
      </x:c>
      <x:c r="M18" s="117" t="n">
        <x:f>'CAPEX'!M67</x:f>
      </x:c>
      <x:c r="N18" s="117" t="n">
        <x:f>'CAPEX'!N67</x:f>
      </x:c>
      <x:c r="O18" s="117" t="n">
        <x:f>'CAPEX'!O67</x:f>
      </x:c>
      <x:c r="P18" s="117" t="n">
        <x:f>'CAPEX'!P67</x:f>
      </x:c>
      <x:c r="Q18" s="117" t="n">
        <x:f>'CAPEX'!Q67</x:f>
      </x:c>
      <x:c r="R18" s="117" t="n">
        <x:f>'CAPEX'!R67</x:f>
      </x:c>
      <x:c r="S18" s="117" t="n">
        <x:f>'CAPEX'!S67</x:f>
      </x:c>
      <x:c r="T18" s="117" t="n">
        <x:f>'CAPEX'!T67</x:f>
      </x:c>
      <x:c r="U18" s="117" t="n">
        <x:f>'CAPEX'!U67</x:f>
      </x:c>
      <x:c r="V18" s="117" t="n">
        <x:f>'CAPEX'!V67</x:f>
      </x:c>
      <x:c r="W18" s="117" t="n">
        <x:f>'CAPEX'!W67</x:f>
      </x:c>
      <x:c r="X18" s="117" t="n">
        <x:f>'CAPEX'!X67</x:f>
      </x:c>
      <x:c r="Y18" s="117" t="n">
        <x:f>'CAPEX'!Y67</x:f>
      </x:c>
      <x:c r="Z18" s="117" t="n">
        <x:f>'CAPEX'!Z67</x:f>
      </x:c>
      <x:c r="AA18" s="117" t="n">
        <x:f>'CAPEX'!AA67</x:f>
      </x:c>
      <x:c r="AB18" s="117" t="n">
        <x:f>'CAPEX'!AB67</x:f>
      </x:c>
      <x:c r="AC18" s="117" t="n">
        <x:f>'CAPEX'!AC67</x:f>
      </x:c>
      <x:c r="AD18" s="117" t="n">
        <x:f>'CAPEX'!AD67</x:f>
      </x:c>
      <x:c r="AE18" s="117" t="n">
        <x:f>'CAPEX'!AE67</x:f>
      </x:c>
      <x:c r="AF18" s="117" t="n">
        <x:f>'CAPEX'!AF67</x:f>
      </x:c>
      <x:c r="AG18" s="117" t="n">
        <x:f>'CAPEX'!AG67</x:f>
      </x:c>
      <x:c r="AH18" s="117" t="n">
        <x:f>'CAPEX'!AH67</x:f>
      </x:c>
      <x:c r="AI18" s="117" t="n">
        <x:f>'CAPEX'!AI67</x:f>
      </x:c>
      <x:c r="AJ18" s="117" t="n">
        <x:f>'CAPEX'!AJ67</x:f>
      </x:c>
      <x:c r="AK18" s="117" t="n">
        <x:f>'CAPEX'!AK67</x:f>
      </x:c>
      <x:c r="AL18" s="117" t="n">
        <x:f>'CAPEX'!AL67</x:f>
      </x:c>
      <x:c r="AM18" s="117" t="n">
        <x:f>'CAPEX'!AM67</x:f>
      </x:c>
      <x:c r="AN18" s="117" t="n">
        <x:f>'CAPEX'!AN67</x:f>
      </x:c>
      <x:c r="AO18" s="117" t="n">
        <x:f>'CAPEX'!AO67</x:f>
      </x:c>
      <x:c r="AP18" s="117" t="n">
        <x:f>'CAPEX'!AP67</x:f>
      </x:c>
      <x:c r="AQ18" s="117" t="n">
        <x:f>'CAPEX'!AQ67</x:f>
      </x:c>
      <x:c r="AR18" s="117" t="n">
        <x:f>'CAPEX'!AR67</x:f>
      </x:c>
      <x:c r="AS18" s="117" t="n">
        <x:f>'CAPEX'!AS67</x:f>
      </x:c>
      <x:c r="AT18" s="117" t="n">
        <x:f>'CAPEX'!AT67</x:f>
      </x:c>
      <x:c r="AU18" s="117" t="n">
        <x:f>'CAPEX'!AU67</x:f>
      </x:c>
      <x:c r="AV18" s="117" t="n">
        <x:f>'CAPEX'!AV67</x:f>
      </x:c>
      <x:c r="AW18" s="117" t="n">
        <x:f>'CAPEX'!AW67</x:f>
      </x:c>
      <x:c r="AX18" s="117" t="n">
        <x:f>'CAPEX'!AX67</x:f>
      </x:c>
      <x:c r="AY18" s="117" t="n">
        <x:f>'CAPEX'!AY67</x:f>
      </x:c>
      <x:c r="AZ18" s="117" t="n">
        <x:f>'CAPEX'!AZ67</x:f>
      </x:c>
      <x:c r="BA18" s="117" t="n">
        <x:f>'CAPEX'!BA67</x:f>
      </x:c>
      <x:c r="BB18" s="117" t="n">
        <x:f>'CAPEX'!BB67</x:f>
      </x:c>
      <x:c r="BC18" s="117" t="n">
        <x:f>'CAPEX'!BC67</x:f>
      </x:c>
      <x:c r="BD18" s="117" t="n">
        <x:f>'CAPEX'!BD67</x:f>
      </x:c>
      <x:c r="BE18" s="117" t="n">
        <x:f>'CAPEX'!BE67</x:f>
      </x:c>
      <x:c r="BF18" s="117" t="n">
        <x:f>'CAPEX'!BF67</x:f>
      </x:c>
      <x:c r="BG18" s="117" t="n">
        <x:f>'CAPEX'!BG67</x:f>
      </x:c>
      <x:c r="BH18" s="117" t="n">
        <x:f>'CAPEX'!BH67</x:f>
      </x:c>
      <x:c r="BI18" s="117" t="n">
        <x:f>'CAPEX'!BI67</x:f>
      </x:c>
      <x:c r="BJ18" s="117" t="n">
        <x:f>'CAPEX'!BJ67</x:f>
      </x:c>
      <x:c r="BK18" s="117" t="n">
        <x:f>'CAPEX'!BK67</x:f>
      </x:c>
      <x:c r="BL18" s="117" t="n">
        <x:f>'CAPEX'!BL67</x:f>
      </x:c>
      <x:c r="BM18" s="117" t="n">
        <x:f>'CAPEX'!BM67</x:f>
      </x:c>
      <x:c r="BN18" s="117" t="n">
        <x:f>'CAPEX'!BN67</x:f>
      </x:c>
      <x:c r="BO18" s="117" t="n">
        <x:f>'CAPEX'!BO67</x:f>
      </x:c>
      <x:c r="BP18" s="117" t="n">
        <x:f>'CAPEX'!BP67</x:f>
      </x:c>
      <x:c r="BQ18" s="117" t="n">
        <x:f>'CAPEX'!BQ67</x:f>
      </x:c>
      <x:c r="BR18" s="117" t="n">
        <x:f>'CAPEX'!BR67</x:f>
      </x:c>
      <x:c r="BS18" s="117" t="n">
        <x:f>'CAPEX'!BS67</x:f>
      </x:c>
      <x:c r="BT18" s="117" t="n">
        <x:f>'CAPEX'!BT67</x:f>
      </x:c>
      <x:c r="BU18" s="117" t="n">
        <x:f>'CAPEX'!BU67</x:f>
      </x:c>
      <x:c r="BV18" s="117" t="n">
        <x:f>'CAPEX'!BV67</x:f>
      </x:c>
      <x:c r="BW18" s="117" t="n">
        <x:f>'CAPEX'!BW67</x:f>
      </x:c>
      <x:c r="BX18" s="117" t="n">
        <x:f>'CAPEX'!BX67</x:f>
      </x:c>
      <x:c r="BY18" s="117" t="n">
        <x:f>'CAPEX'!BY67</x:f>
      </x:c>
      <x:c r="BZ18" s="117" t="n">
        <x:f>'CAPEX'!BZ67</x:f>
      </x:c>
      <x:c r="CA18" s="117" t="n">
        <x:f>'CAPEX'!CA67</x:f>
      </x:c>
      <x:c r="CB18" s="117" t="n">
        <x:f>'CAPEX'!CB67</x:f>
      </x:c>
      <x:c r="CC18" s="117" t="n">
        <x:f>'CAPEX'!CC67</x:f>
      </x:c>
      <x:c r="CD18" s="117" t="n">
        <x:f>'CAPEX'!CD67</x:f>
      </x:c>
      <x:c r="CE18" s="117" t="n">
        <x:f>'CAPEX'!CE67</x:f>
      </x:c>
      <x:c r="CF18" s="117" t="n">
        <x:f>'CAPEX'!CF67</x:f>
      </x:c>
      <x:c r="CG18" s="117" t="n">
        <x:f>'CAPEX'!CG67</x:f>
      </x:c>
      <x:c r="CH18" s="117" t="n">
        <x:f>'CAPEX'!CH67</x:f>
      </x:c>
      <x:c r="CI18" s="117" t="n">
        <x:f>'CAPEX'!CI67</x:f>
      </x:c>
      <x:c r="CJ18" s="117" t="n">
        <x:f>'CAPEX'!CJ67</x:f>
      </x:c>
      <x:c r="CK18" s="117" t="n">
        <x:f>'CAPEX'!CK67</x:f>
      </x:c>
      <x:c r="CL18" s="117" t="n">
        <x:f>'CAPEX'!CL67</x:f>
      </x:c>
      <x:c r="CM18" s="117" t="n">
        <x:f>'CAPEX'!CM67</x:f>
      </x:c>
      <x:c r="CN18" s="117" t="n">
        <x:f>'CAPEX'!CN67</x:f>
      </x:c>
      <x:c r="CO18" s="117" t="n">
        <x:f>'CAPEX'!CO67</x:f>
      </x:c>
      <x:c r="CP18" s="117" t="n">
        <x:f>'CAPEX'!CP67</x:f>
      </x:c>
      <x:c r="CQ18" s="117" t="n">
        <x:f>'CAPEX'!CQ67</x:f>
      </x:c>
      <x:c r="CR18" s="117" t="n">
        <x:f>'CAPEX'!CR67</x:f>
      </x:c>
      <x:c r="CS18" s="117" t="n">
        <x:f>'CAPEX'!CS67</x:f>
      </x:c>
      <x:c r="CT18" s="117" t="n">
        <x:f>'CAPEX'!CT67</x:f>
      </x:c>
      <x:c r="CU18" s="117" t="n">
        <x:f>'CAPEX'!CU67</x:f>
      </x:c>
      <x:c r="CV18" s="117" t="n">
        <x:f>'CAPEX'!CV67</x:f>
      </x:c>
      <x:c r="CW18" s="117" t="n">
        <x:f>'CAPEX'!CW67</x:f>
      </x:c>
      <x:c r="CX18" s="117" t="n">
        <x:f>'CAPEX'!CX67</x:f>
      </x:c>
      <x:c r="CY18" s="117" t="n">
        <x:f>'CAPEX'!CY67</x:f>
      </x:c>
      <x:c r="CZ18" s="117" t="n">
        <x:f>'CAPEX'!CZ67</x:f>
      </x:c>
      <x:c r="DA18" s="117" t="n">
        <x:f>'CAPEX'!DA67</x:f>
      </x:c>
      <x:c r="DB18" s="117" t="n">
        <x:f>'CAPEX'!DB67</x:f>
      </x:c>
      <x:c r="DC18" s="117" t="n">
        <x:f>'CAPEX'!DC67</x:f>
      </x:c>
      <x:c r="DD18" s="117" t="n">
        <x:f>'CAPEX'!DD67</x:f>
      </x:c>
      <x:c r="DE18" s="117" t="n">
        <x:f>'CAPEX'!DE67</x:f>
      </x:c>
      <x:c r="DF18" s="117" t="n">
        <x:f>'CAPEX'!DF67</x:f>
      </x:c>
      <x:c r="DG18" s="117" t="n">
        <x:f>'CAPEX'!DG67</x:f>
      </x:c>
      <x:c r="DH18" s="117" t="n">
        <x:f>'CAPEX'!DH67</x:f>
      </x:c>
      <x:c r="DI18" s="117" t="n">
        <x:f>'CAPEX'!DI67</x:f>
      </x:c>
      <x:c r="DJ18" s="117" t="n">
        <x:f>'CAPEX'!DJ67</x:f>
      </x:c>
      <x:c r="DK18" s="117" t="n">
        <x:f>'CAPEX'!DK67</x:f>
      </x:c>
      <x:c r="DL18" s="117" t="n">
        <x:f>'CAPEX'!DL67</x:f>
      </x:c>
      <x:c r="DM18" s="117" t="n">
        <x:f>'CAPEX'!DM67</x:f>
      </x:c>
      <x:c r="DN18" s="117" t="n">
        <x:f>'CAPEX'!DN67</x:f>
      </x:c>
      <x:c r="DO18" s="117" t="n">
        <x:f>'CAPEX'!DO67</x:f>
      </x:c>
      <x:c r="DP18" s="117" t="n">
        <x:f>'CAPEX'!DP67</x:f>
      </x:c>
      <x:c r="DQ18" s="117" t="n">
        <x:f>'CAPEX'!DQ67</x:f>
      </x:c>
      <x:c r="DR18" s="117" t="n">
        <x:f>'CAPEX'!DR67</x:f>
      </x:c>
      <x:c r="DS18" s="117" t="n">
        <x:f>'CAPEX'!DS67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'CAPEX'!D68</x:f>
      </x:c>
      <x:c r="E19" s="117" t="n">
        <x:f>'CAPEX'!E68</x:f>
      </x:c>
      <x:c r="F19" s="117" t="n">
        <x:f>'CAPEX'!F68</x:f>
      </x:c>
      <x:c r="G19" s="117" t="n">
        <x:f>'CAPEX'!G68</x:f>
      </x:c>
      <x:c r="H19" s="117" t="n">
        <x:f>'CAPEX'!H68</x:f>
      </x:c>
      <x:c r="I19" s="117" t="n">
        <x:f>'CAPEX'!I68</x:f>
      </x:c>
      <x:c r="J19" s="117" t="n">
        <x:f>'CAPEX'!J68</x:f>
      </x:c>
      <x:c r="K19" s="117" t="n">
        <x:f>'CAPEX'!K68</x:f>
      </x:c>
      <x:c r="L19" s="117" t="n">
        <x:f>'CAPEX'!L68</x:f>
      </x:c>
      <x:c r="M19" s="117" t="n">
        <x:f>'CAPEX'!M68</x:f>
      </x:c>
      <x:c r="N19" s="117" t="n">
        <x:f>'CAPEX'!N68</x:f>
      </x:c>
      <x:c r="O19" s="117" t="n">
        <x:f>'CAPEX'!O68</x:f>
      </x:c>
      <x:c r="P19" s="117" t="n">
        <x:f>'CAPEX'!P68</x:f>
      </x:c>
      <x:c r="Q19" s="117" t="n">
        <x:f>'CAPEX'!Q68</x:f>
      </x:c>
      <x:c r="R19" s="117" t="n">
        <x:f>'CAPEX'!R68</x:f>
      </x:c>
      <x:c r="S19" s="117" t="n">
        <x:f>'CAPEX'!S68</x:f>
      </x:c>
      <x:c r="T19" s="117" t="n">
        <x:f>'CAPEX'!T68</x:f>
      </x:c>
      <x:c r="U19" s="117" t="n">
        <x:f>'CAPEX'!U68</x:f>
      </x:c>
      <x:c r="V19" s="117" t="n">
        <x:f>'CAPEX'!V68</x:f>
      </x:c>
      <x:c r="W19" s="117" t="n">
        <x:f>'CAPEX'!W68</x:f>
      </x:c>
      <x:c r="X19" s="117" t="n">
        <x:f>'CAPEX'!X68</x:f>
      </x:c>
      <x:c r="Y19" s="117" t="n">
        <x:f>'CAPEX'!Y68</x:f>
      </x:c>
      <x:c r="Z19" s="117" t="n">
        <x:f>'CAPEX'!Z68</x:f>
      </x:c>
      <x:c r="AA19" s="117" t="n">
        <x:f>'CAPEX'!AA68</x:f>
      </x:c>
      <x:c r="AB19" s="117" t="n">
        <x:f>'CAPEX'!AB68</x:f>
      </x:c>
      <x:c r="AC19" s="117" t="n">
        <x:f>'CAPEX'!AC68</x:f>
      </x:c>
      <x:c r="AD19" s="117" t="n">
        <x:f>'CAPEX'!AD68</x:f>
      </x:c>
      <x:c r="AE19" s="117" t="n">
        <x:f>'CAPEX'!AE68</x:f>
      </x:c>
      <x:c r="AF19" s="117" t="n">
        <x:f>'CAPEX'!AF68</x:f>
      </x:c>
      <x:c r="AG19" s="117" t="n">
        <x:f>'CAPEX'!AG68</x:f>
      </x:c>
      <x:c r="AH19" s="117" t="n">
        <x:f>'CAPEX'!AH68</x:f>
      </x:c>
      <x:c r="AI19" s="117" t="n">
        <x:f>'CAPEX'!AI68</x:f>
      </x:c>
      <x:c r="AJ19" s="117" t="n">
        <x:f>'CAPEX'!AJ68</x:f>
      </x:c>
      <x:c r="AK19" s="117" t="n">
        <x:f>'CAPEX'!AK68</x:f>
      </x:c>
      <x:c r="AL19" s="117" t="n">
        <x:f>'CAPEX'!AL68</x:f>
      </x:c>
      <x:c r="AM19" s="117" t="n">
        <x:f>'CAPEX'!AM68</x:f>
      </x:c>
      <x:c r="AN19" s="117" t="n">
        <x:f>'CAPEX'!AN68</x:f>
      </x:c>
      <x:c r="AO19" s="117" t="n">
        <x:f>'CAPEX'!AO68</x:f>
      </x:c>
      <x:c r="AP19" s="117" t="n">
        <x:f>'CAPEX'!AP68</x:f>
      </x:c>
      <x:c r="AQ19" s="117" t="n">
        <x:f>'CAPEX'!AQ68</x:f>
      </x:c>
      <x:c r="AR19" s="117" t="n">
        <x:f>'CAPEX'!AR68</x:f>
      </x:c>
      <x:c r="AS19" s="117" t="n">
        <x:f>'CAPEX'!AS68</x:f>
      </x:c>
      <x:c r="AT19" s="117" t="n">
        <x:f>'CAPEX'!AT68</x:f>
      </x:c>
      <x:c r="AU19" s="117" t="n">
        <x:f>'CAPEX'!AU68</x:f>
      </x:c>
      <x:c r="AV19" s="117" t="n">
        <x:f>'CAPEX'!AV68</x:f>
      </x:c>
      <x:c r="AW19" s="117" t="n">
        <x:f>'CAPEX'!AW68</x:f>
      </x:c>
      <x:c r="AX19" s="117" t="n">
        <x:f>'CAPEX'!AX68</x:f>
      </x:c>
      <x:c r="AY19" s="117" t="n">
        <x:f>'CAPEX'!AY68</x:f>
      </x:c>
      <x:c r="AZ19" s="117" t="n">
        <x:f>'CAPEX'!AZ68</x:f>
      </x:c>
      <x:c r="BA19" s="117" t="n">
        <x:f>'CAPEX'!BA68</x:f>
      </x:c>
      <x:c r="BB19" s="117" t="n">
        <x:f>'CAPEX'!BB68</x:f>
      </x:c>
      <x:c r="BC19" s="117" t="n">
        <x:f>'CAPEX'!BC68</x:f>
      </x:c>
      <x:c r="BD19" s="117" t="n">
        <x:f>'CAPEX'!BD68</x:f>
      </x:c>
      <x:c r="BE19" s="117" t="n">
        <x:f>'CAPEX'!BE68</x:f>
      </x:c>
      <x:c r="BF19" s="117" t="n">
        <x:f>'CAPEX'!BF68</x:f>
      </x:c>
      <x:c r="BG19" s="117" t="n">
        <x:f>'CAPEX'!BG68</x:f>
      </x:c>
      <x:c r="BH19" s="117" t="n">
        <x:f>'CAPEX'!BH68</x:f>
      </x:c>
      <x:c r="BI19" s="117" t="n">
        <x:f>'CAPEX'!BI68</x:f>
      </x:c>
      <x:c r="BJ19" s="117" t="n">
        <x:f>'CAPEX'!BJ68</x:f>
      </x:c>
      <x:c r="BK19" s="117" t="n">
        <x:f>'CAPEX'!BK68</x:f>
      </x:c>
      <x:c r="BL19" s="117" t="n">
        <x:f>'CAPEX'!BL68</x:f>
      </x:c>
      <x:c r="BM19" s="117" t="n">
        <x:f>'CAPEX'!BM68</x:f>
      </x:c>
      <x:c r="BN19" s="117" t="n">
        <x:f>'CAPEX'!BN68</x:f>
      </x:c>
      <x:c r="BO19" s="117" t="n">
        <x:f>'CAPEX'!BO68</x:f>
      </x:c>
      <x:c r="BP19" s="117" t="n">
        <x:f>'CAPEX'!BP68</x:f>
      </x:c>
      <x:c r="BQ19" s="117" t="n">
        <x:f>'CAPEX'!BQ68</x:f>
      </x:c>
      <x:c r="BR19" s="117" t="n">
        <x:f>'CAPEX'!BR68</x:f>
      </x:c>
      <x:c r="BS19" s="117" t="n">
        <x:f>'CAPEX'!BS68</x:f>
      </x:c>
      <x:c r="BT19" s="117" t="n">
        <x:f>'CAPEX'!BT68</x:f>
      </x:c>
      <x:c r="BU19" s="117" t="n">
        <x:f>'CAPEX'!BU68</x:f>
      </x:c>
      <x:c r="BV19" s="117" t="n">
        <x:f>'CAPEX'!BV68</x:f>
      </x:c>
      <x:c r="BW19" s="117" t="n">
        <x:f>'CAPEX'!BW68</x:f>
      </x:c>
      <x:c r="BX19" s="117" t="n">
        <x:f>'CAPEX'!BX68</x:f>
      </x:c>
      <x:c r="BY19" s="117" t="n">
        <x:f>'CAPEX'!BY68</x:f>
      </x:c>
      <x:c r="BZ19" s="117" t="n">
        <x:f>'CAPEX'!BZ68</x:f>
      </x:c>
      <x:c r="CA19" s="117" t="n">
        <x:f>'CAPEX'!CA68</x:f>
      </x:c>
      <x:c r="CB19" s="117" t="n">
        <x:f>'CAPEX'!CB68</x:f>
      </x:c>
      <x:c r="CC19" s="117" t="n">
        <x:f>'CAPEX'!CC68</x:f>
      </x:c>
      <x:c r="CD19" s="117" t="n">
        <x:f>'CAPEX'!CD68</x:f>
      </x:c>
      <x:c r="CE19" s="117" t="n">
        <x:f>'CAPEX'!CE68</x:f>
      </x:c>
      <x:c r="CF19" s="117" t="n">
        <x:f>'CAPEX'!CF68</x:f>
      </x:c>
      <x:c r="CG19" s="117" t="n">
        <x:f>'CAPEX'!CG68</x:f>
      </x:c>
      <x:c r="CH19" s="117" t="n">
        <x:f>'CAPEX'!CH68</x:f>
      </x:c>
      <x:c r="CI19" s="117" t="n">
        <x:f>'CAPEX'!CI68</x:f>
      </x:c>
      <x:c r="CJ19" s="117" t="n">
        <x:f>'CAPEX'!CJ68</x:f>
      </x:c>
      <x:c r="CK19" s="117" t="n">
        <x:f>'CAPEX'!CK68</x:f>
      </x:c>
      <x:c r="CL19" s="117" t="n">
        <x:f>'CAPEX'!CL68</x:f>
      </x:c>
      <x:c r="CM19" s="117" t="n">
        <x:f>'CAPEX'!CM68</x:f>
      </x:c>
      <x:c r="CN19" s="117" t="n">
        <x:f>'CAPEX'!CN68</x:f>
      </x:c>
      <x:c r="CO19" s="117" t="n">
        <x:f>'CAPEX'!CO68</x:f>
      </x:c>
      <x:c r="CP19" s="117" t="n">
        <x:f>'CAPEX'!CP68</x:f>
      </x:c>
      <x:c r="CQ19" s="117" t="n">
        <x:f>'CAPEX'!CQ68</x:f>
      </x:c>
      <x:c r="CR19" s="117" t="n">
        <x:f>'CAPEX'!CR68</x:f>
      </x:c>
      <x:c r="CS19" s="117" t="n">
        <x:f>'CAPEX'!CS68</x:f>
      </x:c>
      <x:c r="CT19" s="117" t="n">
        <x:f>'CAPEX'!CT68</x:f>
      </x:c>
      <x:c r="CU19" s="117" t="n">
        <x:f>'CAPEX'!CU68</x:f>
      </x:c>
      <x:c r="CV19" s="117" t="n">
        <x:f>'CAPEX'!CV68</x:f>
      </x:c>
      <x:c r="CW19" s="117" t="n">
        <x:f>'CAPEX'!CW68</x:f>
      </x:c>
      <x:c r="CX19" s="117" t="n">
        <x:f>'CAPEX'!CX68</x:f>
      </x:c>
      <x:c r="CY19" s="117" t="n">
        <x:f>'CAPEX'!CY68</x:f>
      </x:c>
      <x:c r="CZ19" s="117" t="n">
        <x:f>'CAPEX'!CZ68</x:f>
      </x:c>
      <x:c r="DA19" s="117" t="n">
        <x:f>'CAPEX'!DA68</x:f>
      </x:c>
      <x:c r="DB19" s="117" t="n">
        <x:f>'CAPEX'!DB68</x:f>
      </x:c>
      <x:c r="DC19" s="117" t="n">
        <x:f>'CAPEX'!DC68</x:f>
      </x:c>
      <x:c r="DD19" s="117" t="n">
        <x:f>'CAPEX'!DD68</x:f>
      </x:c>
      <x:c r="DE19" s="117" t="n">
        <x:f>'CAPEX'!DE68</x:f>
      </x:c>
      <x:c r="DF19" s="117" t="n">
        <x:f>'CAPEX'!DF68</x:f>
      </x:c>
      <x:c r="DG19" s="117" t="n">
        <x:f>'CAPEX'!DG68</x:f>
      </x:c>
      <x:c r="DH19" s="117" t="n">
        <x:f>'CAPEX'!DH68</x:f>
      </x:c>
      <x:c r="DI19" s="117" t="n">
        <x:f>'CAPEX'!DI68</x:f>
      </x:c>
      <x:c r="DJ19" s="117" t="n">
        <x:f>'CAPEX'!DJ68</x:f>
      </x:c>
      <x:c r="DK19" s="117" t="n">
        <x:f>'CAPEX'!DK68</x:f>
      </x:c>
      <x:c r="DL19" s="117" t="n">
        <x:f>'CAPEX'!DL68</x:f>
      </x:c>
      <x:c r="DM19" s="117" t="n">
        <x:f>'CAPEX'!DM68</x:f>
      </x:c>
      <x:c r="DN19" s="117" t="n">
        <x:f>'CAPEX'!DN68</x:f>
      </x:c>
      <x:c r="DO19" s="117" t="n">
        <x:f>'CAPEX'!DO68</x:f>
      </x:c>
      <x:c r="DP19" s="117" t="n">
        <x:f>'CAPEX'!DP68</x:f>
      </x:c>
      <x:c r="DQ19" s="117" t="n">
        <x:f>'CAPEX'!DQ68</x:f>
      </x:c>
      <x:c r="DR19" s="117" t="n">
        <x:f>'CAPEX'!DR68</x:f>
      </x:c>
      <x:c r="DS19" s="117" t="n">
        <x:f>'CAPEX'!DS68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MIN(MAX(0,'Вводные'!$B$24*'Вводные'!$U$89-D30),D33)</x:f>
      </x:c>
      <x:c r="E34" s="117" t="n">
        <x:f>MIN(MAX(0,'Вводные'!$B$24*'Вводные'!$U$89-E30),E33)</x:f>
      </x:c>
      <x:c r="F34" s="117" t="n">
        <x:f>MIN(MAX(0,'Вводные'!$B$24*'Вводные'!$U$89-F30),F33)</x:f>
      </x:c>
      <x:c r="G34" s="117" t="n">
        <x:f>MIN(MAX(0,'Вводные'!$B$24*'Вводные'!$U$89-G30),G33)</x:f>
      </x:c>
      <x:c r="H34" s="117" t="n">
        <x:f>MIN(MAX(0,'Вводные'!$B$24*'Вводные'!$U$89-H30),H33)</x:f>
      </x:c>
      <x:c r="I34" s="117" t="n">
        <x:f>MIN(MAX(0,'Вводные'!$B$24*'Вводные'!$U$89-I30),I33)</x:f>
      </x:c>
      <x:c r="J34" s="117" t="n">
        <x:f>MIN(MAX(0,'Вводные'!$B$24*'Вводные'!$U$89-J30),J33)</x:f>
      </x:c>
      <x:c r="K34" s="117" t="n">
        <x:f>MIN(MAX(0,'Вводные'!$B$24*'Вводные'!$U$89-K30),K33)</x:f>
      </x:c>
      <x:c r="L34" s="117" t="n">
        <x:f>MIN(MAX(0,'Вводные'!$B$24*'Вводные'!$U$89-L30),L33)</x:f>
      </x:c>
      <x:c r="M34" s="117" t="n">
        <x:f>MIN(MAX(0,'Вводные'!$B$24*'Вводные'!$U$89-M30),M33)</x:f>
      </x:c>
      <x:c r="N34" s="117" t="n">
        <x:f>MIN(MAX(0,'Вводные'!$B$24*'Вводные'!$U$89-N30),N33)</x:f>
      </x:c>
      <x:c r="O34" s="117" t="n">
        <x:f>MIN(MAX(0,'Вводные'!$B$24*'Вводные'!$U$89-O30),O33)</x:f>
      </x:c>
      <x:c r="P34" s="117" t="n">
        <x:f>MIN(MAX(0,'Вводные'!$B$24*'Вводные'!$U$89-P30),P33)</x:f>
      </x:c>
      <x:c r="Q34" s="117" t="n">
        <x:f>MIN(MAX(0,'Вводные'!$B$24*'Вводные'!$U$89-Q30),Q33)</x:f>
      </x:c>
      <x:c r="R34" s="117" t="n">
        <x:f>MIN(MAX(0,'Вводные'!$B$24*'Вводные'!$U$89-R30),R33)</x:f>
      </x:c>
      <x:c r="S34" s="117" t="n">
        <x:f>MIN(MAX(0,'Вводные'!$B$24*'Вводные'!$U$89-S30),S33)</x:f>
      </x:c>
      <x:c r="T34" s="117" t="n">
        <x:f>MIN(MAX(0,'Вводные'!$B$24*'Вводные'!$U$89-T30),T33)</x:f>
      </x:c>
      <x:c r="U34" s="117" t="n">
        <x:f>MIN(MAX(0,'Вводные'!$B$24*'Вводные'!$U$89-U30),U33)</x:f>
      </x:c>
      <x:c r="V34" s="117" t="n">
        <x:f>MIN(MAX(0,'Вводные'!$B$24*'Вводные'!$U$89-V30),V33)</x:f>
      </x:c>
      <x:c r="W34" s="117" t="n">
        <x:f>MIN(MAX(0,'Вводные'!$B$24*'Вводные'!$U$89-W30),W33)</x:f>
      </x:c>
      <x:c r="X34" s="117" t="n">
        <x:f>MIN(MAX(0,'Вводные'!$B$24*'Вводные'!$U$89-X30),X33)</x:f>
      </x:c>
      <x:c r="Y34" s="117" t="n">
        <x:f>MIN(MAX(0,'Вводные'!$B$24*'Вводные'!$U$89-Y30),Y33)</x:f>
      </x:c>
      <x:c r="Z34" s="117" t="n">
        <x:f>MIN(MAX(0,'Вводные'!$B$24*'Вводные'!$U$89-Z30),Z33)</x:f>
      </x:c>
      <x:c r="AA34" s="117" t="n">
        <x:f>MIN(MAX(0,'Вводные'!$B$24*'Вводные'!$U$89-AA30),AA33)</x:f>
      </x:c>
      <x:c r="AB34" s="117" t="n">
        <x:f>MIN(MAX(0,'Вводные'!$B$24*'Вводные'!$U$89-AB30),AB33)</x:f>
      </x:c>
      <x:c r="AC34" s="117" t="n">
        <x:f>MIN(MAX(0,'Вводные'!$B$24*'Вводные'!$U$89-AC30),AC33)</x:f>
      </x:c>
      <x:c r="AD34" s="117" t="n">
        <x:f>MIN(MAX(0,'Вводные'!$B$24*'Вводные'!$U$89-AD30),AD33)</x:f>
      </x:c>
      <x:c r="AE34" s="117" t="n">
        <x:f>MIN(MAX(0,'Вводные'!$B$24*'Вводные'!$U$89-AE30),AE33)</x:f>
      </x:c>
      <x:c r="AF34" s="117" t="n">
        <x:f>MIN(MAX(0,'Вводные'!$B$24*'Вводные'!$U$89-AF30),AF33)</x:f>
      </x:c>
      <x:c r="AG34" s="117" t="n">
        <x:f>MIN(MAX(0,'Вводные'!$B$24*'Вводные'!$U$89-AG30),AG33)</x:f>
      </x:c>
      <x:c r="AH34" s="117" t="n">
        <x:f>MIN(MAX(0,'Вводные'!$B$24*'Вводные'!$U$89-AH30),AH33)</x:f>
      </x:c>
      <x:c r="AI34" s="117" t="n">
        <x:f>MIN(MAX(0,'Вводные'!$B$24*'Вводные'!$U$89-AI30),AI33)</x:f>
      </x:c>
      <x:c r="AJ34" s="117" t="n">
        <x:f>MIN(MAX(0,'Вводные'!$B$24*'Вводные'!$U$89-AJ30),AJ33)</x:f>
      </x:c>
      <x:c r="AK34" s="117" t="n">
        <x:f>MIN(MAX(0,'Вводные'!$B$24*'Вводные'!$U$89-AK30),AK33)</x:f>
      </x:c>
      <x:c r="AL34" s="117" t="n">
        <x:f>MIN(MAX(0,'Вводные'!$B$24*'Вводные'!$U$89-AL30),AL33)</x:f>
      </x:c>
      <x:c r="AM34" s="117" t="n">
        <x:f>MIN(MAX(0,'Вводные'!$B$24*'Вводные'!$U$89-AM30),AM33)</x:f>
      </x:c>
      <x:c r="AN34" s="117" t="n">
        <x:f>MIN(MAX(0,'Вводные'!$B$24*'Вводные'!$U$89-AN30),AN33)</x:f>
      </x:c>
      <x:c r="AO34" s="117" t="n">
        <x:f>MIN(MAX(0,'Вводные'!$B$24*'Вводные'!$U$89-AO30),AO33)</x:f>
      </x:c>
      <x:c r="AP34" s="117" t="n">
        <x:f>MIN(MAX(0,'Вводные'!$B$24*'Вводные'!$U$89-AP30),AP33)</x:f>
      </x:c>
      <x:c r="AQ34" s="117" t="n">
        <x:f>MIN(MAX(0,'Вводные'!$B$24*'Вводные'!$U$89-AQ30),AQ33)</x:f>
      </x:c>
      <x:c r="AR34" s="117" t="n">
        <x:f>MIN(MAX(0,'Вводные'!$B$24*'Вводные'!$U$89-AR30),AR33)</x:f>
      </x:c>
      <x:c r="AS34" s="117" t="n">
        <x:f>MIN(MAX(0,'Вводные'!$B$24*'Вводные'!$U$89-AS30),AS33)</x:f>
      </x:c>
      <x:c r="AT34" s="117" t="n">
        <x:f>MIN(MAX(0,'Вводные'!$B$24*'Вводные'!$U$89-AT30),AT33)</x:f>
      </x:c>
      <x:c r="AU34" s="117" t="n">
        <x:f>MIN(MAX(0,'Вводные'!$B$24*'Вводные'!$U$89-AU30),AU33)</x:f>
      </x:c>
      <x:c r="AV34" s="117" t="n">
        <x:f>MIN(MAX(0,'Вводные'!$B$24*'Вводные'!$U$89-AV30),AV33)</x:f>
      </x:c>
      <x:c r="AW34" s="117" t="n">
        <x:f>MIN(MAX(0,'Вводные'!$B$24*'Вводные'!$U$89-AW30),AW33)</x:f>
      </x:c>
      <x:c r="AX34" s="117" t="n">
        <x:f>MIN(MAX(0,'Вводные'!$B$24*'Вводные'!$U$89-AX30),AX33)</x:f>
      </x:c>
      <x:c r="AY34" s="117" t="n">
        <x:f>MIN(MAX(0,'Вводные'!$B$24*'Вводные'!$U$89-AY30),AY33)</x:f>
      </x:c>
      <x:c r="AZ34" s="117" t="n">
        <x:f>MIN(MAX(0,'Вводные'!$B$24*'Вводные'!$U$89-AZ30),AZ33)</x:f>
      </x:c>
      <x:c r="BA34" s="117" t="n">
        <x:f>MIN(MAX(0,'Вводные'!$B$24*'Вводные'!$U$89-BA30),BA33)</x:f>
      </x:c>
      <x:c r="BB34" s="117" t="n">
        <x:f>MIN(MAX(0,'Вводные'!$B$24*'Вводные'!$U$89-BB30),BB33)</x:f>
      </x:c>
      <x:c r="BC34" s="117" t="n">
        <x:f>MIN(MAX(0,'Вводные'!$B$24*'Вводные'!$U$89-BC30),BC33)</x:f>
      </x:c>
      <x:c r="BD34" s="117" t="n">
        <x:f>MIN(MAX(0,'Вводные'!$B$24*'Вводные'!$U$89-BD30),BD33)</x:f>
      </x:c>
      <x:c r="BE34" s="117" t="n">
        <x:f>MIN(MAX(0,'Вводные'!$B$24*'Вводные'!$U$89-BE30),BE33)</x:f>
      </x:c>
      <x:c r="BF34" s="117" t="n">
        <x:f>MIN(MAX(0,'Вводные'!$B$24*'Вводные'!$U$89-BF30),BF33)</x:f>
      </x:c>
      <x:c r="BG34" s="117" t="n">
        <x:f>MIN(MAX(0,'Вводные'!$B$24*'Вводные'!$U$89-BG30),BG33)</x:f>
      </x:c>
      <x:c r="BH34" s="117" t="n">
        <x:f>MIN(MAX(0,'Вводные'!$B$24*'Вводные'!$U$89-BH30),BH33)</x:f>
      </x:c>
      <x:c r="BI34" s="117" t="n">
        <x:f>MIN(MAX(0,'Вводные'!$B$24*'Вводные'!$U$89-BI30),BI33)</x:f>
      </x:c>
      <x:c r="BJ34" s="117" t="n">
        <x:f>MIN(MAX(0,'Вводные'!$B$24*'Вводные'!$U$89-BJ30),BJ33)</x:f>
      </x:c>
      <x:c r="BK34" s="117" t="n">
        <x:f>MIN(MAX(0,'Вводные'!$B$24*'Вводные'!$U$89-BK30),BK33)</x:f>
      </x:c>
      <x:c r="BL34" s="117" t="n">
        <x:f>MIN(MAX(0,'Вводные'!$B$24*'Вводные'!$U$89-BL30),BL33)</x:f>
      </x:c>
      <x:c r="BM34" s="117" t="n">
        <x:f>MIN(MAX(0,'Вводные'!$B$24*'Вводные'!$U$89-BM30),BM33)</x:f>
      </x:c>
      <x:c r="BN34" s="117" t="n">
        <x:f>MIN(MAX(0,'Вводные'!$B$24*'Вводные'!$U$89-BN30),BN33)</x:f>
      </x:c>
      <x:c r="BO34" s="117" t="n">
        <x:f>MIN(MAX(0,'Вводные'!$B$24*'Вводные'!$U$89-BO30),BO33)</x:f>
      </x:c>
      <x:c r="BP34" s="117" t="n">
        <x:f>MIN(MAX(0,'Вводные'!$B$24*'Вводные'!$U$89-BP30),BP33)</x:f>
      </x:c>
      <x:c r="BQ34" s="117" t="n">
        <x:f>MIN(MAX(0,'Вводные'!$B$24*'Вводные'!$U$89-BQ30),BQ33)</x:f>
      </x:c>
      <x:c r="BR34" s="117" t="n">
        <x:f>MIN(MAX(0,'Вводные'!$B$24*'Вводные'!$U$89-BR30),BR33)</x:f>
      </x:c>
      <x:c r="BS34" s="117" t="n">
        <x:f>MIN(MAX(0,'Вводные'!$B$24*'Вводные'!$U$89-BS30),BS33)</x:f>
      </x:c>
      <x:c r="BT34" s="117" t="n">
        <x:f>MIN(MAX(0,'Вводные'!$B$24*'Вводные'!$U$89-BT30),BT33)</x:f>
      </x:c>
      <x:c r="BU34" s="117" t="n">
        <x:f>MIN(MAX(0,'Вводные'!$B$24*'Вводные'!$U$89-BU30),BU33)</x:f>
      </x:c>
      <x:c r="BV34" s="117" t="n">
        <x:f>MIN(MAX(0,'Вводные'!$B$24*'Вводные'!$U$89-BV30),BV33)</x:f>
      </x:c>
      <x:c r="BW34" s="117" t="n">
        <x:f>MIN(MAX(0,'Вводные'!$B$24*'Вводные'!$U$89-BW30),BW33)</x:f>
      </x:c>
      <x:c r="BX34" s="117" t="n">
        <x:f>MIN(MAX(0,'Вводные'!$B$24*'Вводные'!$U$89-BX30),BX33)</x:f>
      </x:c>
      <x:c r="BY34" s="117" t="n">
        <x:f>MIN(MAX(0,'Вводные'!$B$24*'Вводные'!$U$89-BY30),BY33)</x:f>
      </x:c>
      <x:c r="BZ34" s="117" t="n">
        <x:f>MIN(MAX(0,'Вводные'!$B$24*'Вводные'!$U$89-BZ30),BZ33)</x:f>
      </x:c>
      <x:c r="CA34" s="117" t="n">
        <x:f>MIN(MAX(0,'Вводные'!$B$24*'Вводные'!$U$89-CA30),CA33)</x:f>
      </x:c>
      <x:c r="CB34" s="117" t="n">
        <x:f>MIN(MAX(0,'Вводные'!$B$24*'Вводные'!$U$89-CB30),CB33)</x:f>
      </x:c>
      <x:c r="CC34" s="117" t="n">
        <x:f>MIN(MAX(0,'Вводные'!$B$24*'Вводные'!$U$89-CC30),CC33)</x:f>
      </x:c>
      <x:c r="CD34" s="117" t="n">
        <x:f>MIN(MAX(0,'Вводные'!$B$24*'Вводные'!$U$89-CD30),CD33)</x:f>
      </x:c>
      <x:c r="CE34" s="117" t="n">
        <x:f>MIN(MAX(0,'Вводные'!$B$24*'Вводные'!$U$89-CE30),CE33)</x:f>
      </x:c>
      <x:c r="CF34" s="117" t="n">
        <x:f>MIN(MAX(0,'Вводные'!$B$24*'Вводные'!$U$89-CF30),CF33)</x:f>
      </x:c>
      <x:c r="CG34" s="117" t="n">
        <x:f>MIN(MAX(0,'Вводные'!$B$24*'Вводные'!$U$89-CG30),CG33)</x:f>
      </x:c>
      <x:c r="CH34" s="117" t="n">
        <x:f>MIN(MAX(0,'Вводные'!$B$24*'Вводные'!$U$89-CH30),CH33)</x:f>
      </x:c>
      <x:c r="CI34" s="117" t="n">
        <x:f>MIN(MAX(0,'Вводные'!$B$24*'Вводные'!$U$89-CI30),CI33)</x:f>
      </x:c>
      <x:c r="CJ34" s="117" t="n">
        <x:f>MIN(MAX(0,'Вводные'!$B$24*'Вводные'!$U$89-CJ30),CJ33)</x:f>
      </x:c>
      <x:c r="CK34" s="117" t="n">
        <x:f>MIN(MAX(0,'Вводные'!$B$24*'Вводные'!$U$89-CK30),CK33)</x:f>
      </x:c>
      <x:c r="CL34" s="117" t="n">
        <x:f>MIN(MAX(0,'Вводные'!$B$24*'Вводные'!$U$89-CL30),CL33)</x:f>
      </x:c>
      <x:c r="CM34" s="117" t="n">
        <x:f>MIN(MAX(0,'Вводные'!$B$24*'Вводные'!$U$89-CM30),CM33)</x:f>
      </x:c>
      <x:c r="CN34" s="117" t="n">
        <x:f>MIN(MAX(0,'Вводные'!$B$24*'Вводные'!$U$89-CN30),CN33)</x:f>
      </x:c>
      <x:c r="CO34" s="117" t="n">
        <x:f>MIN(MAX(0,'Вводные'!$B$24*'Вводные'!$U$89-CO30),CO33)</x:f>
      </x:c>
      <x:c r="CP34" s="117" t="n">
        <x:f>MIN(MAX(0,'Вводные'!$B$24*'Вводные'!$U$89-CP30),CP33)</x:f>
      </x:c>
      <x:c r="CQ34" s="117" t="n">
        <x:f>MIN(MAX(0,'Вводные'!$B$24*'Вводные'!$U$89-CQ30),CQ33)</x:f>
      </x:c>
      <x:c r="CR34" s="117" t="n">
        <x:f>MIN(MAX(0,'Вводные'!$B$24*'Вводные'!$U$89-CR30),CR33)</x:f>
      </x:c>
      <x:c r="CS34" s="117" t="n">
        <x:f>MIN(MAX(0,'Вводные'!$B$24*'Вводные'!$U$89-CS30),CS33)</x:f>
      </x:c>
      <x:c r="CT34" s="117" t="n">
        <x:f>MIN(MAX(0,'Вводные'!$B$24*'Вводные'!$U$89-CT30),CT33)</x:f>
      </x:c>
      <x:c r="CU34" s="117" t="n">
        <x:f>MIN(MAX(0,'Вводные'!$B$24*'Вводные'!$U$89-CU30),CU33)</x:f>
      </x:c>
      <x:c r="CV34" s="117" t="n">
        <x:f>MIN(MAX(0,'Вводные'!$B$24*'Вводные'!$U$89-CV30),CV33)</x:f>
      </x:c>
      <x:c r="CW34" s="117" t="n">
        <x:f>MIN(MAX(0,'Вводные'!$B$24*'Вводные'!$U$89-CW30),CW33)</x:f>
      </x:c>
      <x:c r="CX34" s="117" t="n">
        <x:f>MIN(MAX(0,'Вводные'!$B$24*'Вводные'!$U$89-CX30),CX33)</x:f>
      </x:c>
      <x:c r="CY34" s="117" t="n">
        <x:f>MIN(MAX(0,'Вводные'!$B$24*'Вводные'!$U$89-CY30),CY33)</x:f>
      </x:c>
      <x:c r="CZ34" s="117" t="n">
        <x:f>MIN(MAX(0,'Вводные'!$B$24*'Вводные'!$U$89-CZ30),CZ33)</x:f>
      </x:c>
      <x:c r="DA34" s="117" t="n">
        <x:f>MIN(MAX(0,'Вводные'!$B$24*'Вводные'!$U$89-DA30),DA33)</x:f>
      </x:c>
      <x:c r="DB34" s="117" t="n">
        <x:f>MIN(MAX(0,'Вводные'!$B$24*'Вводные'!$U$89-DB30),DB33)</x:f>
      </x:c>
      <x:c r="DC34" s="117" t="n">
        <x:f>MIN(MAX(0,'Вводные'!$B$24*'Вводные'!$U$89-DC30),DC33)</x:f>
      </x:c>
      <x:c r="DD34" s="117" t="n">
        <x:f>MIN(MAX(0,'Вводные'!$B$24*'Вводные'!$U$89-DD30),DD33)</x:f>
      </x:c>
      <x:c r="DE34" s="117" t="n">
        <x:f>MIN(MAX(0,'Вводные'!$B$24*'Вводные'!$U$89-DE30),DE33)</x:f>
      </x:c>
      <x:c r="DF34" s="117" t="n">
        <x:f>MIN(MAX(0,'Вводные'!$B$24*'Вводные'!$U$89-DF30),DF33)</x:f>
      </x:c>
      <x:c r="DG34" s="117" t="n">
        <x:f>MIN(MAX(0,'Вводные'!$B$24*'Вводные'!$U$89-DG30),DG33)</x:f>
      </x:c>
      <x:c r="DH34" s="117" t="n">
        <x:f>MIN(MAX(0,'Вводные'!$B$24*'Вводные'!$U$89-DH30),DH33)</x:f>
      </x:c>
      <x:c r="DI34" s="117" t="n">
        <x:f>MIN(MAX(0,'Вводные'!$B$24*'Вводные'!$U$89-DI30),DI33)</x:f>
      </x:c>
      <x:c r="DJ34" s="117" t="n">
        <x:f>MIN(MAX(0,'Вводные'!$B$24*'Вводные'!$U$89-DJ30),DJ33)</x:f>
      </x:c>
      <x:c r="DK34" s="117" t="n">
        <x:f>MIN(MAX(0,'Вводные'!$B$24*'Вводные'!$U$89-DK30),DK33)</x:f>
      </x:c>
      <x:c r="DL34" s="117" t="n">
        <x:f>MIN(MAX(0,'Вводные'!$B$24*'Вводные'!$U$89-DL30),DL33)</x:f>
      </x:c>
      <x:c r="DM34" s="117" t="n">
        <x:f>MIN(MAX(0,'Вводные'!$B$24*'Вводные'!$U$89-DM30),DM33)</x:f>
      </x:c>
      <x:c r="DN34" s="117" t="n">
        <x:f>MIN(MAX(0,'Вводные'!$B$24*'Вводные'!$U$89-DN30),DN33)</x:f>
      </x:c>
      <x:c r="DO34" s="117" t="n">
        <x:f>MIN(MAX(0,'Вводные'!$B$24*'Вводные'!$U$89-DO30),DO33)</x:f>
      </x:c>
      <x:c r="DP34" s="117" t="n">
        <x:f>MIN(MAX(0,'Вводные'!$B$24*'Вводные'!$U$89-DP30),DP33)</x:f>
      </x:c>
      <x:c r="DQ34" s="117" t="n">
        <x:f>MIN(MAX(0,'Вводные'!$B$24*'Вводные'!$U$89-DQ30),DQ33)</x:f>
      </x:c>
      <x:c r="DR34" s="117" t="n">
        <x:f>MIN(MAX(0,'Вводные'!$B$24*'Вводные'!$U$89-DR30),DR33)</x:f>
      </x:c>
      <x:c r="DS34" s="117" t="n">
        <x:f>MIN(MAX(0,'Вводные'!$B$24*'Вводные'!$U$89-DS30),DS33)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IF(AND(D38&gt;0,D$3&lt;EDATE($B$8,'Вводные'!$H$89)),D38*D41/12,0)</x:f>
      </x:c>
      <x:c r="E42" s="117" t="n">
        <x:f>IF(AND(E38&gt;0,E$3&lt;EDATE($B$8,'Вводные'!$H$89)),E38*E41/12,0)</x:f>
      </x:c>
      <x:c r="F42" s="117" t="n">
        <x:f>IF(AND(F38&gt;0,F$3&lt;EDATE($B$8,'Вводные'!$H$89)),F38*F41/12,0)</x:f>
      </x:c>
      <x:c r="G42" s="117" t="n">
        <x:f>IF(AND(G38&gt;0,G$3&lt;EDATE($B$8,'Вводные'!$H$89)),G38*G41/12,0)</x:f>
      </x:c>
      <x:c r="H42" s="117" t="n">
        <x:f>IF(AND(H38&gt;0,H$3&lt;EDATE($B$8,'Вводные'!$H$89)),H38*H41/12,0)</x:f>
      </x:c>
      <x:c r="I42" s="117" t="n">
        <x:f>IF(AND(I38&gt;0,I$3&lt;EDATE($B$8,'Вводные'!$H$89)),I38*I41/12,0)</x:f>
      </x:c>
      <x:c r="J42" s="117" t="n">
        <x:f>IF(AND(J38&gt;0,J$3&lt;EDATE($B$8,'Вводные'!$H$89)),J38*J41/12,0)</x:f>
      </x:c>
      <x:c r="K42" s="117" t="n">
        <x:f>IF(AND(K38&gt;0,K$3&lt;EDATE($B$8,'Вводные'!$H$89)),K38*K41/12,0)</x:f>
      </x:c>
      <x:c r="L42" s="117" t="n">
        <x:f>IF(AND(L38&gt;0,L$3&lt;EDATE($B$8,'Вводные'!$H$89)),L38*L41/12,0)</x:f>
      </x:c>
      <x:c r="M42" s="117" t="n">
        <x:f>IF(AND(M38&gt;0,M$3&lt;EDATE($B$8,'Вводные'!$H$89)),M38*M41/12,0)</x:f>
      </x:c>
      <x:c r="N42" s="117" t="n">
        <x:f>IF(AND(N38&gt;0,N$3&lt;EDATE($B$8,'Вводные'!$H$89)),N38*N41/12,0)</x:f>
      </x:c>
      <x:c r="O42" s="117" t="n">
        <x:f>IF(AND(O38&gt;0,O$3&lt;EDATE($B$8,'Вводные'!$H$89)),O38*O41/12,0)</x:f>
      </x:c>
      <x:c r="P42" s="117" t="n">
        <x:f>IF(AND(P38&gt;0,P$3&lt;EDATE($B$8,'Вводные'!$H$89)),P38*P41/12,0)</x:f>
      </x:c>
      <x:c r="Q42" s="117" t="n">
        <x:f>IF(AND(Q38&gt;0,Q$3&lt;EDATE($B$8,'Вводные'!$H$89)),Q38*Q41/12,0)</x:f>
      </x:c>
      <x:c r="R42" s="117" t="n">
        <x:f>IF(AND(R38&gt;0,R$3&lt;EDATE($B$8,'Вводные'!$H$89)),R38*R41/12,0)</x:f>
      </x:c>
      <x:c r="S42" s="117" t="n">
        <x:f>IF(AND(S38&gt;0,S$3&lt;EDATE($B$8,'Вводные'!$H$89)),S38*S41/12,0)</x:f>
      </x:c>
      <x:c r="T42" s="117" t="n">
        <x:f>IF(AND(T38&gt;0,T$3&lt;EDATE($B$8,'Вводные'!$H$89)),T38*T41/12,0)</x:f>
      </x:c>
      <x:c r="U42" s="117" t="n">
        <x:f>IF(AND(U38&gt;0,U$3&lt;EDATE($B$8,'Вводные'!$H$89)),U38*U41/12,0)</x:f>
      </x:c>
      <x:c r="V42" s="117" t="n">
        <x:f>IF(AND(V38&gt;0,V$3&lt;EDATE($B$8,'Вводные'!$H$89)),V38*V41/12,0)</x:f>
      </x:c>
      <x:c r="W42" s="117" t="n">
        <x:f>IF(AND(W38&gt;0,W$3&lt;EDATE($B$8,'Вводные'!$H$89)),W38*W41/12,0)</x:f>
      </x:c>
      <x:c r="X42" s="117" t="n">
        <x:f>IF(AND(X38&gt;0,X$3&lt;EDATE($B$8,'Вводные'!$H$89)),X38*X41/12,0)</x:f>
      </x:c>
      <x:c r="Y42" s="117" t="n">
        <x:f>IF(AND(Y38&gt;0,Y$3&lt;EDATE($B$8,'Вводные'!$H$89)),Y38*Y41/12,0)</x:f>
      </x:c>
      <x:c r="Z42" s="117" t="n">
        <x:f>IF(AND(Z38&gt;0,Z$3&lt;EDATE($B$8,'Вводные'!$H$89)),Z38*Z41/12,0)</x:f>
      </x:c>
      <x:c r="AA42" s="117" t="n">
        <x:f>IF(AND(AA38&gt;0,AA$3&lt;EDATE($B$8,'Вводные'!$H$89)),AA38*AA41/12,0)</x:f>
      </x:c>
      <x:c r="AB42" s="117" t="n">
        <x:f>IF(AND(AB38&gt;0,AB$3&lt;EDATE($B$8,'Вводные'!$H$89)),AB38*AB41/12,0)</x:f>
      </x:c>
      <x:c r="AC42" s="117" t="n">
        <x:f>IF(AND(AC38&gt;0,AC$3&lt;EDATE($B$8,'Вводные'!$H$89)),AC38*AC41/12,0)</x:f>
      </x:c>
      <x:c r="AD42" s="117" t="n">
        <x:f>IF(AND(AD38&gt;0,AD$3&lt;EDATE($B$8,'Вводные'!$H$89)),AD38*AD41/12,0)</x:f>
      </x:c>
      <x:c r="AE42" s="117" t="n">
        <x:f>IF(AND(AE38&gt;0,AE$3&lt;EDATE($B$8,'Вводные'!$H$89)),AE38*AE41/12,0)</x:f>
      </x:c>
      <x:c r="AF42" s="117" t="n">
        <x:f>IF(AND(AF38&gt;0,AF$3&lt;EDATE($B$8,'Вводные'!$H$89)),AF38*AF41/12,0)</x:f>
      </x:c>
      <x:c r="AG42" s="117" t="n">
        <x:f>IF(AND(AG38&gt;0,AG$3&lt;EDATE($B$8,'Вводные'!$H$89)),AG38*AG41/12,0)</x:f>
      </x:c>
      <x:c r="AH42" s="117" t="n">
        <x:f>IF(AND(AH38&gt;0,AH$3&lt;EDATE($B$8,'Вводные'!$H$89)),AH38*AH41/12,0)</x:f>
      </x:c>
      <x:c r="AI42" s="117" t="n">
        <x:f>IF(AND(AI38&gt;0,AI$3&lt;EDATE($B$8,'Вводные'!$H$89)),AI38*AI41/12,0)</x:f>
      </x:c>
      <x:c r="AJ42" s="117" t="n">
        <x:f>IF(AND(AJ38&gt;0,AJ$3&lt;EDATE($B$8,'Вводные'!$H$89)),AJ38*AJ41/12,0)</x:f>
      </x:c>
      <x:c r="AK42" s="117" t="n">
        <x:f>IF(AND(AK38&gt;0,AK$3&lt;EDATE($B$8,'Вводные'!$H$89)),AK38*AK41/12,0)</x:f>
      </x:c>
      <x:c r="AL42" s="117" t="n">
        <x:f>IF(AND(AL38&gt;0,AL$3&lt;EDATE($B$8,'Вводные'!$H$89)),AL38*AL41/12,0)</x:f>
      </x:c>
      <x:c r="AM42" s="117" t="n">
        <x:f>IF(AND(AM38&gt;0,AM$3&lt;EDATE($B$8,'Вводные'!$H$89)),AM38*AM41/12,0)</x:f>
      </x:c>
      <x:c r="AN42" s="117" t="n">
        <x:f>IF(AND(AN38&gt;0,AN$3&lt;EDATE($B$8,'Вводные'!$H$89)),AN38*AN41/12,0)</x:f>
      </x:c>
      <x:c r="AO42" s="117" t="n">
        <x:f>IF(AND(AO38&gt;0,AO$3&lt;EDATE($B$8,'Вводные'!$H$89)),AO38*AO41/12,0)</x:f>
      </x:c>
      <x:c r="AP42" s="117" t="n">
        <x:f>IF(AND(AP38&gt;0,AP$3&lt;EDATE($B$8,'Вводные'!$H$89)),AP38*AP41/12,0)</x:f>
      </x:c>
      <x:c r="AQ42" s="117" t="n">
        <x:f>IF(AND(AQ38&gt;0,AQ$3&lt;EDATE($B$8,'Вводные'!$H$89)),AQ38*AQ41/12,0)</x:f>
      </x:c>
      <x:c r="AR42" s="117" t="n">
        <x:f>IF(AND(AR38&gt;0,AR$3&lt;EDATE($B$8,'Вводные'!$H$89)),AR38*AR41/12,0)</x:f>
      </x:c>
      <x:c r="AS42" s="117" t="n">
        <x:f>IF(AND(AS38&gt;0,AS$3&lt;EDATE($B$8,'Вводные'!$H$89)),AS38*AS41/12,0)</x:f>
      </x:c>
      <x:c r="AT42" s="117" t="n">
        <x:f>IF(AND(AT38&gt;0,AT$3&lt;EDATE($B$8,'Вводные'!$H$89)),AT38*AT41/12,0)</x:f>
      </x:c>
      <x:c r="AU42" s="117" t="n">
        <x:f>IF(AND(AU38&gt;0,AU$3&lt;EDATE($B$8,'Вводные'!$H$89)),AU38*AU41/12,0)</x:f>
      </x:c>
      <x:c r="AV42" s="117" t="n">
        <x:f>IF(AND(AV38&gt;0,AV$3&lt;EDATE($B$8,'Вводные'!$H$89)),AV38*AV41/12,0)</x:f>
      </x:c>
      <x:c r="AW42" s="117" t="n">
        <x:f>IF(AND(AW38&gt;0,AW$3&lt;EDATE($B$8,'Вводные'!$H$89)),AW38*AW41/12,0)</x:f>
      </x:c>
      <x:c r="AX42" s="117" t="n">
        <x:f>IF(AND(AX38&gt;0,AX$3&lt;EDATE($B$8,'Вводные'!$H$89)),AX38*AX41/12,0)</x:f>
      </x:c>
      <x:c r="AY42" s="117" t="n">
        <x:f>IF(AND(AY38&gt;0,AY$3&lt;EDATE($B$8,'Вводные'!$H$89)),AY38*AY41/12,0)</x:f>
      </x:c>
      <x:c r="AZ42" s="117" t="n">
        <x:f>IF(AND(AZ38&gt;0,AZ$3&lt;EDATE($B$8,'Вводные'!$H$89)),AZ38*AZ41/12,0)</x:f>
      </x:c>
      <x:c r="BA42" s="117" t="n">
        <x:f>IF(AND(BA38&gt;0,BA$3&lt;EDATE($B$8,'Вводные'!$H$89)),BA38*BA41/12,0)</x:f>
      </x:c>
      <x:c r="BB42" s="117" t="n">
        <x:f>IF(AND(BB38&gt;0,BB$3&lt;EDATE($B$8,'Вводные'!$H$89)),BB38*BB41/12,0)</x:f>
      </x:c>
      <x:c r="BC42" s="117" t="n">
        <x:f>IF(AND(BC38&gt;0,BC$3&lt;EDATE($B$8,'Вводные'!$H$89)),BC38*BC41/12,0)</x:f>
      </x:c>
      <x:c r="BD42" s="117" t="n">
        <x:f>IF(AND(BD38&gt;0,BD$3&lt;EDATE($B$8,'Вводные'!$H$89)),BD38*BD41/12,0)</x:f>
      </x:c>
      <x:c r="BE42" s="117" t="n">
        <x:f>IF(AND(BE38&gt;0,BE$3&lt;EDATE($B$8,'Вводные'!$H$89)),BE38*BE41/12,0)</x:f>
      </x:c>
      <x:c r="BF42" s="117" t="n">
        <x:f>IF(AND(BF38&gt;0,BF$3&lt;EDATE($B$8,'Вводные'!$H$89)),BF38*BF41/12,0)</x:f>
      </x:c>
      <x:c r="BG42" s="117" t="n">
        <x:f>IF(AND(BG38&gt;0,BG$3&lt;EDATE($B$8,'Вводные'!$H$89)),BG38*BG41/12,0)</x:f>
      </x:c>
      <x:c r="BH42" s="117" t="n">
        <x:f>IF(AND(BH38&gt;0,BH$3&lt;EDATE($B$8,'Вводные'!$H$89)),BH38*BH41/12,0)</x:f>
      </x:c>
      <x:c r="BI42" s="117" t="n">
        <x:f>IF(AND(BI38&gt;0,BI$3&lt;EDATE($B$8,'Вводные'!$H$89)),BI38*BI41/12,0)</x:f>
      </x:c>
      <x:c r="BJ42" s="117" t="n">
        <x:f>IF(AND(BJ38&gt;0,BJ$3&lt;EDATE($B$8,'Вводные'!$H$89)),BJ38*BJ41/12,0)</x:f>
      </x:c>
      <x:c r="BK42" s="117" t="n">
        <x:f>IF(AND(BK38&gt;0,BK$3&lt;EDATE($B$8,'Вводные'!$H$89)),BK38*BK41/12,0)</x:f>
      </x:c>
      <x:c r="BL42" s="117" t="n">
        <x:f>IF(AND(BL38&gt;0,BL$3&lt;EDATE($B$8,'Вводные'!$H$89)),BL38*BL41/12,0)</x:f>
      </x:c>
      <x:c r="BM42" s="117" t="n">
        <x:f>IF(AND(BM38&gt;0,BM$3&lt;EDATE($B$8,'Вводные'!$H$89)),BM38*BM41/12,0)</x:f>
      </x:c>
      <x:c r="BN42" s="117" t="n">
        <x:f>IF(AND(BN38&gt;0,BN$3&lt;EDATE($B$8,'Вводные'!$H$89)),BN38*BN41/12,0)</x:f>
      </x:c>
      <x:c r="BO42" s="117" t="n">
        <x:f>IF(AND(BO38&gt;0,BO$3&lt;EDATE($B$8,'Вводные'!$H$89)),BO38*BO41/12,0)</x:f>
      </x:c>
      <x:c r="BP42" s="117" t="n">
        <x:f>IF(AND(BP38&gt;0,BP$3&lt;EDATE($B$8,'Вводные'!$H$89)),BP38*BP41/12,0)</x:f>
      </x:c>
      <x:c r="BQ42" s="117" t="n">
        <x:f>IF(AND(BQ38&gt;0,BQ$3&lt;EDATE($B$8,'Вводные'!$H$89)),BQ38*BQ41/12,0)</x:f>
      </x:c>
      <x:c r="BR42" s="117" t="n">
        <x:f>IF(AND(BR38&gt;0,BR$3&lt;EDATE($B$8,'Вводные'!$H$89)),BR38*BR41/12,0)</x:f>
      </x:c>
      <x:c r="BS42" s="117" t="n">
        <x:f>IF(AND(BS38&gt;0,BS$3&lt;EDATE($B$8,'Вводные'!$H$89)),BS38*BS41/12,0)</x:f>
      </x:c>
      <x:c r="BT42" s="117" t="n">
        <x:f>IF(AND(BT38&gt;0,BT$3&lt;EDATE($B$8,'Вводные'!$H$89)),BT38*BT41/12,0)</x:f>
      </x:c>
      <x:c r="BU42" s="117" t="n">
        <x:f>IF(AND(BU38&gt;0,BU$3&lt;EDATE($B$8,'Вводные'!$H$89)),BU38*BU41/12,0)</x:f>
      </x:c>
      <x:c r="BV42" s="117" t="n">
        <x:f>IF(AND(BV38&gt;0,BV$3&lt;EDATE($B$8,'Вводные'!$H$89)),BV38*BV41/12,0)</x:f>
      </x:c>
      <x:c r="BW42" s="117" t="n">
        <x:f>IF(AND(BW38&gt;0,BW$3&lt;EDATE($B$8,'Вводные'!$H$89)),BW38*BW41/12,0)</x:f>
      </x:c>
      <x:c r="BX42" s="117" t="n">
        <x:f>IF(AND(BX38&gt;0,BX$3&lt;EDATE($B$8,'Вводные'!$H$89)),BX38*BX41/12,0)</x:f>
      </x:c>
      <x:c r="BY42" s="117" t="n">
        <x:f>IF(AND(BY38&gt;0,BY$3&lt;EDATE($B$8,'Вводные'!$H$89)),BY38*BY41/12,0)</x:f>
      </x:c>
      <x:c r="BZ42" s="117" t="n">
        <x:f>IF(AND(BZ38&gt;0,BZ$3&lt;EDATE($B$8,'Вводные'!$H$89)),BZ38*BZ41/12,0)</x:f>
      </x:c>
      <x:c r="CA42" s="117" t="n">
        <x:f>IF(AND(CA38&gt;0,CA$3&lt;EDATE($B$8,'Вводные'!$H$89)),CA38*CA41/12,0)</x:f>
      </x:c>
      <x:c r="CB42" s="117" t="n">
        <x:f>IF(AND(CB38&gt;0,CB$3&lt;EDATE($B$8,'Вводные'!$H$89)),CB38*CB41/12,0)</x:f>
      </x:c>
      <x:c r="CC42" s="117" t="n">
        <x:f>IF(AND(CC38&gt;0,CC$3&lt;EDATE($B$8,'Вводные'!$H$89)),CC38*CC41/12,0)</x:f>
      </x:c>
      <x:c r="CD42" s="117" t="n">
        <x:f>IF(AND(CD38&gt;0,CD$3&lt;EDATE($B$8,'Вводные'!$H$89)),CD38*CD41/12,0)</x:f>
      </x:c>
      <x:c r="CE42" s="117" t="n">
        <x:f>IF(AND(CE38&gt;0,CE$3&lt;EDATE($B$8,'Вводные'!$H$89)),CE38*CE41/12,0)</x:f>
      </x:c>
      <x:c r="CF42" s="117" t="n">
        <x:f>IF(AND(CF38&gt;0,CF$3&lt;EDATE($B$8,'Вводные'!$H$89)),CF38*CF41/12,0)</x:f>
      </x:c>
      <x:c r="CG42" s="117" t="n">
        <x:f>IF(AND(CG38&gt;0,CG$3&lt;EDATE($B$8,'Вводные'!$H$89)),CG38*CG41/12,0)</x:f>
      </x:c>
      <x:c r="CH42" s="117" t="n">
        <x:f>IF(AND(CH38&gt;0,CH$3&lt;EDATE($B$8,'Вводные'!$H$89)),CH38*CH41/12,0)</x:f>
      </x:c>
      <x:c r="CI42" s="117" t="n">
        <x:f>IF(AND(CI38&gt;0,CI$3&lt;EDATE($B$8,'Вводные'!$H$89)),CI38*CI41/12,0)</x:f>
      </x:c>
      <x:c r="CJ42" s="117" t="n">
        <x:f>IF(AND(CJ38&gt;0,CJ$3&lt;EDATE($B$8,'Вводные'!$H$89)),CJ38*CJ41/12,0)</x:f>
      </x:c>
      <x:c r="CK42" s="117" t="n">
        <x:f>IF(AND(CK38&gt;0,CK$3&lt;EDATE($B$8,'Вводные'!$H$89)),CK38*CK41/12,0)</x:f>
      </x:c>
      <x:c r="CL42" s="117" t="n">
        <x:f>IF(AND(CL38&gt;0,CL$3&lt;EDATE($B$8,'Вводные'!$H$89)),CL38*CL41/12,0)</x:f>
      </x:c>
      <x:c r="CM42" s="117" t="n">
        <x:f>IF(AND(CM38&gt;0,CM$3&lt;EDATE($B$8,'Вводные'!$H$89)),CM38*CM41/12,0)</x:f>
      </x:c>
      <x:c r="CN42" s="117" t="n">
        <x:f>IF(AND(CN38&gt;0,CN$3&lt;EDATE($B$8,'Вводные'!$H$89)),CN38*CN41/12,0)</x:f>
      </x:c>
      <x:c r="CO42" s="117" t="n">
        <x:f>IF(AND(CO38&gt;0,CO$3&lt;EDATE($B$8,'Вводные'!$H$89)),CO38*CO41/12,0)</x:f>
      </x:c>
      <x:c r="CP42" s="117" t="n">
        <x:f>IF(AND(CP38&gt;0,CP$3&lt;EDATE($B$8,'Вводные'!$H$89)),CP38*CP41/12,0)</x:f>
      </x:c>
      <x:c r="CQ42" s="117" t="n">
        <x:f>IF(AND(CQ38&gt;0,CQ$3&lt;EDATE($B$8,'Вводные'!$H$89)),CQ38*CQ41/12,0)</x:f>
      </x:c>
      <x:c r="CR42" s="117" t="n">
        <x:f>IF(AND(CR38&gt;0,CR$3&lt;EDATE($B$8,'Вводные'!$H$89)),CR38*CR41/12,0)</x:f>
      </x:c>
      <x:c r="CS42" s="117" t="n">
        <x:f>IF(AND(CS38&gt;0,CS$3&lt;EDATE($B$8,'Вводные'!$H$89)),CS38*CS41/12,0)</x:f>
      </x:c>
      <x:c r="CT42" s="117" t="n">
        <x:f>IF(AND(CT38&gt;0,CT$3&lt;EDATE($B$8,'Вводные'!$H$89)),CT38*CT41/12,0)</x:f>
      </x:c>
      <x:c r="CU42" s="117" t="n">
        <x:f>IF(AND(CU38&gt;0,CU$3&lt;EDATE($B$8,'Вводные'!$H$89)),CU38*CU41/12,0)</x:f>
      </x:c>
      <x:c r="CV42" s="117" t="n">
        <x:f>IF(AND(CV38&gt;0,CV$3&lt;EDATE($B$8,'Вводные'!$H$89)),CV38*CV41/12,0)</x:f>
      </x:c>
      <x:c r="CW42" s="117" t="n">
        <x:f>IF(AND(CW38&gt;0,CW$3&lt;EDATE($B$8,'Вводные'!$H$89)),CW38*CW41/12,0)</x:f>
      </x:c>
      <x:c r="CX42" s="117" t="n">
        <x:f>IF(AND(CX38&gt;0,CX$3&lt;EDATE($B$8,'Вводные'!$H$89)),CX38*CX41/12,0)</x:f>
      </x:c>
      <x:c r="CY42" s="117" t="n">
        <x:f>IF(AND(CY38&gt;0,CY$3&lt;EDATE($B$8,'Вводные'!$H$89)),CY38*CY41/12,0)</x:f>
      </x:c>
      <x:c r="CZ42" s="117" t="n">
        <x:f>IF(AND(CZ38&gt;0,CZ$3&lt;EDATE($B$8,'Вводные'!$H$89)),CZ38*CZ41/12,0)</x:f>
      </x:c>
      <x:c r="DA42" s="117" t="n">
        <x:f>IF(AND(DA38&gt;0,DA$3&lt;EDATE($B$8,'Вводные'!$H$89)),DA38*DA41/12,0)</x:f>
      </x:c>
      <x:c r="DB42" s="117" t="n">
        <x:f>IF(AND(DB38&gt;0,DB$3&lt;EDATE($B$8,'Вводные'!$H$89)),DB38*DB41/12,0)</x:f>
      </x:c>
      <x:c r="DC42" s="117" t="n">
        <x:f>IF(AND(DC38&gt;0,DC$3&lt;EDATE($B$8,'Вводные'!$H$89)),DC38*DC41/12,0)</x:f>
      </x:c>
      <x:c r="DD42" s="117" t="n">
        <x:f>IF(AND(DD38&gt;0,DD$3&lt;EDATE($B$8,'Вводные'!$H$89)),DD38*DD41/12,0)</x:f>
      </x:c>
      <x:c r="DE42" s="117" t="n">
        <x:f>IF(AND(DE38&gt;0,DE$3&lt;EDATE($B$8,'Вводные'!$H$89)),DE38*DE41/12,0)</x:f>
      </x:c>
      <x:c r="DF42" s="117" t="n">
        <x:f>IF(AND(DF38&gt;0,DF$3&lt;EDATE($B$8,'Вводные'!$H$89)),DF38*DF41/12,0)</x:f>
      </x:c>
      <x:c r="DG42" s="117" t="n">
        <x:f>IF(AND(DG38&gt;0,DG$3&lt;EDATE($B$8,'Вводные'!$H$89)),DG38*DG41/12,0)</x:f>
      </x:c>
      <x:c r="DH42" s="117" t="n">
        <x:f>IF(AND(DH38&gt;0,DH$3&lt;EDATE($B$8,'Вводные'!$H$89)),DH38*DH41/12,0)</x:f>
      </x:c>
      <x:c r="DI42" s="117" t="n">
        <x:f>IF(AND(DI38&gt;0,DI$3&lt;EDATE($B$8,'Вводные'!$H$89)),DI38*DI41/12,0)</x:f>
      </x:c>
      <x:c r="DJ42" s="117" t="n">
        <x:f>IF(AND(DJ38&gt;0,DJ$3&lt;EDATE($B$8,'Вводные'!$H$89)),DJ38*DJ41/12,0)</x:f>
      </x:c>
      <x:c r="DK42" s="117" t="n">
        <x:f>IF(AND(DK38&gt;0,DK$3&lt;EDATE($B$8,'Вводные'!$H$89)),DK38*DK41/12,0)</x:f>
      </x:c>
      <x:c r="DL42" s="117" t="n">
        <x:f>IF(AND(DL38&gt;0,DL$3&lt;EDATE($B$8,'Вводные'!$H$89)),DL38*DL41/12,0)</x:f>
      </x:c>
      <x:c r="DM42" s="117" t="n">
        <x:f>IF(AND(DM38&gt;0,DM$3&lt;EDATE($B$8,'Вводные'!$H$89)),DM38*DM41/12,0)</x:f>
      </x:c>
      <x:c r="DN42" s="117" t="n">
        <x:f>IF(AND(DN38&gt;0,DN$3&lt;EDATE($B$8,'Вводные'!$H$89)),DN38*DN41/12,0)</x:f>
      </x:c>
      <x:c r="DO42" s="117" t="n">
        <x:f>IF(AND(DO38&gt;0,DO$3&lt;EDATE($B$8,'Вводные'!$H$89)),DO38*DO41/12,0)</x:f>
      </x:c>
      <x:c r="DP42" s="117" t="n">
        <x:f>IF(AND(DP38&gt;0,DP$3&lt;EDATE($B$8,'Вводные'!$H$89)),DP38*DP41/12,0)</x:f>
      </x:c>
      <x:c r="DQ42" s="117" t="n">
        <x:f>IF(AND(DQ38&gt;0,DQ$3&lt;EDATE($B$8,'Вводные'!$H$89)),DQ38*DQ41/12,0)</x:f>
      </x:c>
      <x:c r="DR42" s="117" t="n">
        <x:f>IF(AND(DR38&gt;0,DR$3&lt;EDATE($B$8,'Вводные'!$H$89)),DR38*DR41/12,0)</x:f>
      </x:c>
      <x:c r="DS42" s="117" t="n">
        <x:f>IF(AND(DS38&gt;0,DS$3&lt;EDATE($B$8,'Вводные'!$H$89)),DS38*DS41/12,0)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OR(D38&gt;0,D$3&lt;=$B$8),D$3&gt;=$B$7,D$3&lt;EDATE($B$8,'Вводные'!$H$89)),MAX(0,'Вводные'!$B$26*'Вводные'!$V$89-D38)*'Вводные'!$B$29/12,0)+IF(AND(YEAR(D$3)=YEAR($B$7),MONTH(D$3)=MONTH($B$7)),'Вводные'!$B$26*'Вводные'!$V$89*'Вводные'!$B$30,0)</x:f>
      </x:c>
      <x:c r="E43" s="117" t="n">
        <x:f>IF(AND(OR(E38&gt;0,E$3&lt;=$B$8),E$3&gt;=$B$7,E$3&lt;EDATE($B$8,'Вводные'!$H$89)),MAX(0,'Вводные'!$B$26*'Вводные'!$V$89-E38)*'Вводные'!$B$29/12,0)+IF(AND(YEAR(E$3)=YEAR($B$7),MONTH(E$3)=MONTH($B$7)),'Вводные'!$B$26*'Вводные'!$V$89*'Вводные'!$B$30,0)</x:f>
      </x:c>
      <x:c r="F43" s="117" t="n">
        <x:f>IF(AND(OR(F38&gt;0,F$3&lt;=$B$8),F$3&gt;=$B$7,F$3&lt;EDATE($B$8,'Вводные'!$H$89)),MAX(0,'Вводные'!$B$26*'Вводные'!$V$89-F38)*'Вводные'!$B$29/12,0)+IF(AND(YEAR(F$3)=YEAR($B$7),MONTH(F$3)=MONTH($B$7)),'Вводные'!$B$26*'Вводные'!$V$89*'Вводные'!$B$30,0)</x:f>
      </x:c>
      <x:c r="G43" s="117" t="n">
        <x:f>IF(AND(OR(G38&gt;0,G$3&lt;=$B$8),G$3&gt;=$B$7,G$3&lt;EDATE($B$8,'Вводные'!$H$89)),MAX(0,'Вводные'!$B$26*'Вводные'!$V$89-G38)*'Вводные'!$B$29/12,0)+IF(AND(YEAR(G$3)=YEAR($B$7),MONTH(G$3)=MONTH($B$7)),'Вводные'!$B$26*'Вводные'!$V$89*'Вводные'!$B$30,0)</x:f>
      </x:c>
      <x:c r="H43" s="117" t="n">
        <x:f>IF(AND(OR(H38&gt;0,H$3&lt;=$B$8),H$3&gt;=$B$7,H$3&lt;EDATE($B$8,'Вводные'!$H$89)),MAX(0,'Вводные'!$B$26*'Вводные'!$V$89-H38)*'Вводные'!$B$29/12,0)+IF(AND(YEAR(H$3)=YEAR($B$7),MONTH(H$3)=MONTH($B$7)),'Вводные'!$B$26*'Вводные'!$V$89*'Вводные'!$B$30,0)</x:f>
      </x:c>
      <x:c r="I43" s="117" t="n">
        <x:f>IF(AND(OR(I38&gt;0,I$3&lt;=$B$8),I$3&gt;=$B$7,I$3&lt;EDATE($B$8,'Вводные'!$H$89)),MAX(0,'Вводные'!$B$26*'Вводные'!$V$89-I38)*'Вводные'!$B$29/12,0)+IF(AND(YEAR(I$3)=YEAR($B$7),MONTH(I$3)=MONTH($B$7)),'Вводные'!$B$26*'Вводные'!$V$89*'Вводные'!$B$30,0)</x:f>
      </x:c>
      <x:c r="J43" s="117" t="n">
        <x:f>IF(AND(OR(J38&gt;0,J$3&lt;=$B$8),J$3&gt;=$B$7,J$3&lt;EDATE($B$8,'Вводные'!$H$89)),MAX(0,'Вводные'!$B$26*'Вводные'!$V$89-J38)*'Вводные'!$B$29/12,0)+IF(AND(YEAR(J$3)=YEAR($B$7),MONTH(J$3)=MONTH($B$7)),'Вводные'!$B$26*'Вводные'!$V$89*'Вводные'!$B$30,0)</x:f>
      </x:c>
      <x:c r="K43" s="117" t="n">
        <x:f>IF(AND(OR(K38&gt;0,K$3&lt;=$B$8),K$3&gt;=$B$7,K$3&lt;EDATE($B$8,'Вводные'!$H$89)),MAX(0,'Вводные'!$B$26*'Вводные'!$V$89-K38)*'Вводные'!$B$29/12,0)+IF(AND(YEAR(K$3)=YEAR($B$7),MONTH(K$3)=MONTH($B$7)),'Вводные'!$B$26*'Вводные'!$V$89*'Вводные'!$B$30,0)</x:f>
      </x:c>
      <x:c r="L43" s="117" t="n">
        <x:f>IF(AND(OR(L38&gt;0,L$3&lt;=$B$8),L$3&gt;=$B$7,L$3&lt;EDATE($B$8,'Вводные'!$H$89)),MAX(0,'Вводные'!$B$26*'Вводные'!$V$89-L38)*'Вводные'!$B$29/12,0)+IF(AND(YEAR(L$3)=YEAR($B$7),MONTH(L$3)=MONTH($B$7)),'Вводные'!$B$26*'Вводные'!$V$89*'Вводные'!$B$30,0)</x:f>
      </x:c>
      <x:c r="M43" s="117" t="n">
        <x:f>IF(AND(OR(M38&gt;0,M$3&lt;=$B$8),M$3&gt;=$B$7,M$3&lt;EDATE($B$8,'Вводные'!$H$89)),MAX(0,'Вводные'!$B$26*'Вводные'!$V$89-M38)*'Вводные'!$B$29/12,0)+IF(AND(YEAR(M$3)=YEAR($B$7),MONTH(M$3)=MONTH($B$7)),'Вводные'!$B$26*'Вводные'!$V$89*'Вводные'!$B$30,0)</x:f>
      </x:c>
      <x:c r="N43" s="117" t="n">
        <x:f>IF(AND(OR(N38&gt;0,N$3&lt;=$B$8),N$3&gt;=$B$7,N$3&lt;EDATE($B$8,'Вводные'!$H$89)),MAX(0,'Вводные'!$B$26*'Вводные'!$V$89-N38)*'Вводные'!$B$29/12,0)+IF(AND(YEAR(N$3)=YEAR($B$7),MONTH(N$3)=MONTH($B$7)),'Вводные'!$B$26*'Вводные'!$V$89*'Вводные'!$B$30,0)</x:f>
      </x:c>
      <x:c r="O43" s="117" t="n">
        <x:f>IF(AND(OR(O38&gt;0,O$3&lt;=$B$8),O$3&gt;=$B$7,O$3&lt;EDATE($B$8,'Вводные'!$H$89)),MAX(0,'Вводные'!$B$26*'Вводные'!$V$89-O38)*'Вводные'!$B$29/12,0)+IF(AND(YEAR(O$3)=YEAR($B$7),MONTH(O$3)=MONTH($B$7)),'Вводные'!$B$26*'Вводные'!$V$89*'Вводные'!$B$30,0)</x:f>
      </x:c>
      <x:c r="P43" s="117" t="n">
        <x:f>IF(AND(OR(P38&gt;0,P$3&lt;=$B$8),P$3&gt;=$B$7,P$3&lt;EDATE($B$8,'Вводные'!$H$89)),MAX(0,'Вводные'!$B$26*'Вводные'!$V$89-P38)*'Вводные'!$B$29/12,0)+IF(AND(YEAR(P$3)=YEAR($B$7),MONTH(P$3)=MONTH($B$7)),'Вводные'!$B$26*'Вводные'!$V$89*'Вводные'!$B$30,0)</x:f>
      </x:c>
      <x:c r="Q43" s="117" t="n">
        <x:f>IF(AND(OR(Q38&gt;0,Q$3&lt;=$B$8),Q$3&gt;=$B$7,Q$3&lt;EDATE($B$8,'Вводные'!$H$89)),MAX(0,'Вводные'!$B$26*'Вводные'!$V$89-Q38)*'Вводные'!$B$29/12,0)+IF(AND(YEAR(Q$3)=YEAR($B$7),MONTH(Q$3)=MONTH($B$7)),'Вводные'!$B$26*'Вводные'!$V$89*'Вводные'!$B$30,0)</x:f>
      </x:c>
      <x:c r="R43" s="117" t="n">
        <x:f>IF(AND(OR(R38&gt;0,R$3&lt;=$B$8),R$3&gt;=$B$7,R$3&lt;EDATE($B$8,'Вводные'!$H$89)),MAX(0,'Вводные'!$B$26*'Вводные'!$V$89-R38)*'Вводные'!$B$29/12,0)+IF(AND(YEAR(R$3)=YEAR($B$7),MONTH(R$3)=MONTH($B$7)),'Вводные'!$B$26*'Вводные'!$V$89*'Вводные'!$B$30,0)</x:f>
      </x:c>
      <x:c r="S43" s="117" t="n">
        <x:f>IF(AND(OR(S38&gt;0,S$3&lt;=$B$8),S$3&gt;=$B$7,S$3&lt;EDATE($B$8,'Вводные'!$H$89)),MAX(0,'Вводные'!$B$26*'Вводные'!$V$89-S38)*'Вводные'!$B$29/12,0)+IF(AND(YEAR(S$3)=YEAR($B$7),MONTH(S$3)=MONTH($B$7)),'Вводные'!$B$26*'Вводные'!$V$89*'Вводные'!$B$30,0)</x:f>
      </x:c>
      <x:c r="T43" s="117" t="n">
        <x:f>IF(AND(OR(T38&gt;0,T$3&lt;=$B$8),T$3&gt;=$B$7,T$3&lt;EDATE($B$8,'Вводные'!$H$89)),MAX(0,'Вводные'!$B$26*'Вводные'!$V$89-T38)*'Вводные'!$B$29/12,0)+IF(AND(YEAR(T$3)=YEAR($B$7),MONTH(T$3)=MONTH($B$7)),'Вводные'!$B$26*'Вводные'!$V$89*'Вводные'!$B$30,0)</x:f>
      </x:c>
      <x:c r="U43" s="117" t="n">
        <x:f>IF(AND(OR(U38&gt;0,U$3&lt;=$B$8),U$3&gt;=$B$7,U$3&lt;EDATE($B$8,'Вводные'!$H$89)),MAX(0,'Вводные'!$B$26*'Вводные'!$V$89-U38)*'Вводные'!$B$29/12,0)+IF(AND(YEAR(U$3)=YEAR($B$7),MONTH(U$3)=MONTH($B$7)),'Вводные'!$B$26*'Вводные'!$V$89*'Вводные'!$B$30,0)</x:f>
      </x:c>
      <x:c r="V43" s="117" t="n">
        <x:f>IF(AND(OR(V38&gt;0,V$3&lt;=$B$8),V$3&gt;=$B$7,V$3&lt;EDATE($B$8,'Вводные'!$H$89)),MAX(0,'Вводные'!$B$26*'Вводные'!$V$89-V38)*'Вводные'!$B$29/12,0)+IF(AND(YEAR(V$3)=YEAR($B$7),MONTH(V$3)=MONTH($B$7)),'Вводные'!$B$26*'Вводные'!$V$89*'Вводные'!$B$30,0)</x:f>
      </x:c>
      <x:c r="W43" s="117" t="n">
        <x:f>IF(AND(OR(W38&gt;0,W$3&lt;=$B$8),W$3&gt;=$B$7,W$3&lt;EDATE($B$8,'Вводные'!$H$89)),MAX(0,'Вводные'!$B$26*'Вводные'!$V$89-W38)*'Вводные'!$B$29/12,0)+IF(AND(YEAR(W$3)=YEAR($B$7),MONTH(W$3)=MONTH($B$7)),'Вводные'!$B$26*'Вводные'!$V$89*'Вводные'!$B$30,0)</x:f>
      </x:c>
      <x:c r="X43" s="117" t="n">
        <x:f>IF(AND(OR(X38&gt;0,X$3&lt;=$B$8),X$3&gt;=$B$7,X$3&lt;EDATE($B$8,'Вводные'!$H$89)),MAX(0,'Вводные'!$B$26*'Вводные'!$V$89-X38)*'Вводные'!$B$29/12,0)+IF(AND(YEAR(X$3)=YEAR($B$7),MONTH(X$3)=MONTH($B$7)),'Вводные'!$B$26*'Вводные'!$V$89*'Вводные'!$B$30,0)</x:f>
      </x:c>
      <x:c r="Y43" s="117" t="n">
        <x:f>IF(AND(OR(Y38&gt;0,Y$3&lt;=$B$8),Y$3&gt;=$B$7,Y$3&lt;EDATE($B$8,'Вводные'!$H$89)),MAX(0,'Вводные'!$B$26*'Вводные'!$V$89-Y38)*'Вводные'!$B$29/12,0)+IF(AND(YEAR(Y$3)=YEAR($B$7),MONTH(Y$3)=MONTH($B$7)),'Вводные'!$B$26*'Вводные'!$V$89*'Вводные'!$B$30,0)</x:f>
      </x:c>
      <x:c r="Z43" s="117" t="n">
        <x:f>IF(AND(OR(Z38&gt;0,Z$3&lt;=$B$8),Z$3&gt;=$B$7,Z$3&lt;EDATE($B$8,'Вводные'!$H$89)),MAX(0,'Вводные'!$B$26*'Вводные'!$V$89-Z38)*'Вводные'!$B$29/12,0)+IF(AND(YEAR(Z$3)=YEAR($B$7),MONTH(Z$3)=MONTH($B$7)),'Вводные'!$B$26*'Вводные'!$V$89*'Вводные'!$B$30,0)</x:f>
      </x:c>
      <x:c r="AA43" s="117" t="n">
        <x:f>IF(AND(OR(AA38&gt;0,AA$3&lt;=$B$8),AA$3&gt;=$B$7,AA$3&lt;EDATE($B$8,'Вводные'!$H$89)),MAX(0,'Вводные'!$B$26*'Вводные'!$V$89-AA38)*'Вводные'!$B$29/12,0)+IF(AND(YEAR(AA$3)=YEAR($B$7),MONTH(AA$3)=MONTH($B$7)),'Вводные'!$B$26*'Вводные'!$V$89*'Вводные'!$B$30,0)</x:f>
      </x:c>
      <x:c r="AB43" s="117" t="n">
        <x:f>IF(AND(OR(AB38&gt;0,AB$3&lt;=$B$8),AB$3&gt;=$B$7,AB$3&lt;EDATE($B$8,'Вводные'!$H$89)),MAX(0,'Вводные'!$B$26*'Вводные'!$V$89-AB38)*'Вводные'!$B$29/12,0)+IF(AND(YEAR(AB$3)=YEAR($B$7),MONTH(AB$3)=MONTH($B$7)),'Вводные'!$B$26*'Вводные'!$V$89*'Вводные'!$B$30,0)</x:f>
      </x:c>
      <x:c r="AC43" s="117" t="n">
        <x:f>IF(AND(OR(AC38&gt;0,AC$3&lt;=$B$8),AC$3&gt;=$B$7,AC$3&lt;EDATE($B$8,'Вводные'!$H$89)),MAX(0,'Вводные'!$B$26*'Вводные'!$V$89-AC38)*'Вводные'!$B$29/12,0)+IF(AND(YEAR(AC$3)=YEAR($B$7),MONTH(AC$3)=MONTH($B$7)),'Вводные'!$B$26*'Вводные'!$V$89*'Вводные'!$B$30,0)</x:f>
      </x:c>
      <x:c r="AD43" s="117" t="n">
        <x:f>IF(AND(OR(AD38&gt;0,AD$3&lt;=$B$8),AD$3&gt;=$B$7,AD$3&lt;EDATE($B$8,'Вводные'!$H$89)),MAX(0,'Вводные'!$B$26*'Вводные'!$V$89-AD38)*'Вводные'!$B$29/12,0)+IF(AND(YEAR(AD$3)=YEAR($B$7),MONTH(AD$3)=MONTH($B$7)),'Вводные'!$B$26*'Вводные'!$V$89*'Вводные'!$B$30,0)</x:f>
      </x:c>
      <x:c r="AE43" s="117" t="n">
        <x:f>IF(AND(OR(AE38&gt;0,AE$3&lt;=$B$8),AE$3&gt;=$B$7,AE$3&lt;EDATE($B$8,'Вводные'!$H$89)),MAX(0,'Вводные'!$B$26*'Вводные'!$V$89-AE38)*'Вводные'!$B$29/12,0)+IF(AND(YEAR(AE$3)=YEAR($B$7),MONTH(AE$3)=MONTH($B$7)),'Вводные'!$B$26*'Вводные'!$V$89*'Вводные'!$B$30,0)</x:f>
      </x:c>
      <x:c r="AF43" s="117" t="n">
        <x:f>IF(AND(OR(AF38&gt;0,AF$3&lt;=$B$8),AF$3&gt;=$B$7,AF$3&lt;EDATE($B$8,'Вводные'!$H$89)),MAX(0,'Вводные'!$B$26*'Вводные'!$V$89-AF38)*'Вводные'!$B$29/12,0)+IF(AND(YEAR(AF$3)=YEAR($B$7),MONTH(AF$3)=MONTH($B$7)),'Вводные'!$B$26*'Вводные'!$V$89*'Вводные'!$B$30,0)</x:f>
      </x:c>
      <x:c r="AG43" s="117" t="n">
        <x:f>IF(AND(OR(AG38&gt;0,AG$3&lt;=$B$8),AG$3&gt;=$B$7,AG$3&lt;EDATE($B$8,'Вводные'!$H$89)),MAX(0,'Вводные'!$B$26*'Вводные'!$V$89-AG38)*'Вводные'!$B$29/12,0)+IF(AND(YEAR(AG$3)=YEAR($B$7),MONTH(AG$3)=MONTH($B$7)),'Вводные'!$B$26*'Вводные'!$V$89*'Вводные'!$B$30,0)</x:f>
      </x:c>
      <x:c r="AH43" s="117" t="n">
        <x:f>IF(AND(OR(AH38&gt;0,AH$3&lt;=$B$8),AH$3&gt;=$B$7,AH$3&lt;EDATE($B$8,'Вводные'!$H$89)),MAX(0,'Вводные'!$B$26*'Вводные'!$V$89-AH38)*'Вводные'!$B$29/12,0)+IF(AND(YEAR(AH$3)=YEAR($B$7),MONTH(AH$3)=MONTH($B$7)),'Вводные'!$B$26*'Вводные'!$V$89*'Вводные'!$B$30,0)</x:f>
      </x:c>
      <x:c r="AI43" s="117" t="n">
        <x:f>IF(AND(OR(AI38&gt;0,AI$3&lt;=$B$8),AI$3&gt;=$B$7,AI$3&lt;EDATE($B$8,'Вводные'!$H$89)),MAX(0,'Вводные'!$B$26*'Вводные'!$V$89-AI38)*'Вводные'!$B$29/12,0)+IF(AND(YEAR(AI$3)=YEAR($B$7),MONTH(AI$3)=MONTH($B$7)),'Вводные'!$B$26*'Вводные'!$V$89*'Вводные'!$B$30,0)</x:f>
      </x:c>
      <x:c r="AJ43" s="117" t="n">
        <x:f>IF(AND(OR(AJ38&gt;0,AJ$3&lt;=$B$8),AJ$3&gt;=$B$7,AJ$3&lt;EDATE($B$8,'Вводные'!$H$89)),MAX(0,'Вводные'!$B$26*'Вводные'!$V$89-AJ38)*'Вводные'!$B$29/12,0)+IF(AND(YEAR(AJ$3)=YEAR($B$7),MONTH(AJ$3)=MONTH($B$7)),'Вводные'!$B$26*'Вводные'!$V$89*'Вводные'!$B$30,0)</x:f>
      </x:c>
      <x:c r="AK43" s="117" t="n">
        <x:f>IF(AND(OR(AK38&gt;0,AK$3&lt;=$B$8),AK$3&gt;=$B$7,AK$3&lt;EDATE($B$8,'Вводные'!$H$89)),MAX(0,'Вводные'!$B$26*'Вводные'!$V$89-AK38)*'Вводные'!$B$29/12,0)+IF(AND(YEAR(AK$3)=YEAR($B$7),MONTH(AK$3)=MONTH($B$7)),'Вводные'!$B$26*'Вводные'!$V$89*'Вводные'!$B$30,0)</x:f>
      </x:c>
      <x:c r="AL43" s="117" t="n">
        <x:f>IF(AND(OR(AL38&gt;0,AL$3&lt;=$B$8),AL$3&gt;=$B$7,AL$3&lt;EDATE($B$8,'Вводные'!$H$89)),MAX(0,'Вводные'!$B$26*'Вводные'!$V$89-AL38)*'Вводные'!$B$29/12,0)+IF(AND(YEAR(AL$3)=YEAR($B$7),MONTH(AL$3)=MONTH($B$7)),'Вводные'!$B$26*'Вводные'!$V$89*'Вводные'!$B$30,0)</x:f>
      </x:c>
      <x:c r="AM43" s="117" t="n">
        <x:f>IF(AND(OR(AM38&gt;0,AM$3&lt;=$B$8),AM$3&gt;=$B$7,AM$3&lt;EDATE($B$8,'Вводные'!$H$89)),MAX(0,'Вводные'!$B$26*'Вводные'!$V$89-AM38)*'Вводные'!$B$29/12,0)+IF(AND(YEAR(AM$3)=YEAR($B$7),MONTH(AM$3)=MONTH($B$7)),'Вводные'!$B$26*'Вводные'!$V$89*'Вводные'!$B$30,0)</x:f>
      </x:c>
      <x:c r="AN43" s="117" t="n">
        <x:f>IF(AND(OR(AN38&gt;0,AN$3&lt;=$B$8),AN$3&gt;=$B$7,AN$3&lt;EDATE($B$8,'Вводные'!$H$89)),MAX(0,'Вводные'!$B$26*'Вводные'!$V$89-AN38)*'Вводные'!$B$29/12,0)+IF(AND(YEAR(AN$3)=YEAR($B$7),MONTH(AN$3)=MONTH($B$7)),'Вводные'!$B$26*'Вводные'!$V$89*'Вводные'!$B$30,0)</x:f>
      </x:c>
      <x:c r="AO43" s="117" t="n">
        <x:f>IF(AND(OR(AO38&gt;0,AO$3&lt;=$B$8),AO$3&gt;=$B$7,AO$3&lt;EDATE($B$8,'Вводные'!$H$89)),MAX(0,'Вводные'!$B$26*'Вводные'!$V$89-AO38)*'Вводные'!$B$29/12,0)+IF(AND(YEAR(AO$3)=YEAR($B$7),MONTH(AO$3)=MONTH($B$7)),'Вводные'!$B$26*'Вводные'!$V$89*'Вводные'!$B$30,0)</x:f>
      </x:c>
      <x:c r="AP43" s="117" t="n">
        <x:f>IF(AND(OR(AP38&gt;0,AP$3&lt;=$B$8),AP$3&gt;=$B$7,AP$3&lt;EDATE($B$8,'Вводные'!$H$89)),MAX(0,'Вводные'!$B$26*'Вводные'!$V$89-AP38)*'Вводные'!$B$29/12,0)+IF(AND(YEAR(AP$3)=YEAR($B$7),MONTH(AP$3)=MONTH($B$7)),'Вводные'!$B$26*'Вводные'!$V$89*'Вводные'!$B$30,0)</x:f>
      </x:c>
      <x:c r="AQ43" s="117" t="n">
        <x:f>IF(AND(OR(AQ38&gt;0,AQ$3&lt;=$B$8),AQ$3&gt;=$B$7,AQ$3&lt;EDATE($B$8,'Вводные'!$H$89)),MAX(0,'Вводные'!$B$26*'Вводные'!$V$89-AQ38)*'Вводные'!$B$29/12,0)+IF(AND(YEAR(AQ$3)=YEAR($B$7),MONTH(AQ$3)=MONTH($B$7)),'Вводные'!$B$26*'Вводные'!$V$89*'Вводные'!$B$30,0)</x:f>
      </x:c>
      <x:c r="AR43" s="117" t="n">
        <x:f>IF(AND(OR(AR38&gt;0,AR$3&lt;=$B$8),AR$3&gt;=$B$7,AR$3&lt;EDATE($B$8,'Вводные'!$H$89)),MAX(0,'Вводные'!$B$26*'Вводные'!$V$89-AR38)*'Вводные'!$B$29/12,0)+IF(AND(YEAR(AR$3)=YEAR($B$7),MONTH(AR$3)=MONTH($B$7)),'Вводные'!$B$26*'Вводные'!$V$89*'Вводные'!$B$30,0)</x:f>
      </x:c>
      <x:c r="AS43" s="117" t="n">
        <x:f>IF(AND(OR(AS38&gt;0,AS$3&lt;=$B$8),AS$3&gt;=$B$7,AS$3&lt;EDATE($B$8,'Вводные'!$H$89)),MAX(0,'Вводные'!$B$26*'Вводные'!$V$89-AS38)*'Вводные'!$B$29/12,0)+IF(AND(YEAR(AS$3)=YEAR($B$7),MONTH(AS$3)=MONTH($B$7)),'Вводные'!$B$26*'Вводные'!$V$89*'Вводные'!$B$30,0)</x:f>
      </x:c>
      <x:c r="AT43" s="117" t="n">
        <x:f>IF(AND(OR(AT38&gt;0,AT$3&lt;=$B$8),AT$3&gt;=$B$7,AT$3&lt;EDATE($B$8,'Вводные'!$H$89)),MAX(0,'Вводные'!$B$26*'Вводные'!$V$89-AT38)*'Вводные'!$B$29/12,0)+IF(AND(YEAR(AT$3)=YEAR($B$7),MONTH(AT$3)=MONTH($B$7)),'Вводные'!$B$26*'Вводные'!$V$89*'Вводные'!$B$30,0)</x:f>
      </x:c>
      <x:c r="AU43" s="117" t="n">
        <x:f>IF(AND(OR(AU38&gt;0,AU$3&lt;=$B$8),AU$3&gt;=$B$7,AU$3&lt;EDATE($B$8,'Вводные'!$H$89)),MAX(0,'Вводные'!$B$26*'Вводные'!$V$89-AU38)*'Вводные'!$B$29/12,0)+IF(AND(YEAR(AU$3)=YEAR($B$7),MONTH(AU$3)=MONTH($B$7)),'Вводные'!$B$26*'Вводные'!$V$89*'Вводные'!$B$30,0)</x:f>
      </x:c>
      <x:c r="AV43" s="117" t="n">
        <x:f>IF(AND(OR(AV38&gt;0,AV$3&lt;=$B$8),AV$3&gt;=$B$7,AV$3&lt;EDATE($B$8,'Вводные'!$H$89)),MAX(0,'Вводные'!$B$26*'Вводные'!$V$89-AV38)*'Вводные'!$B$29/12,0)+IF(AND(YEAR(AV$3)=YEAR($B$7),MONTH(AV$3)=MONTH($B$7)),'Вводные'!$B$26*'Вводные'!$V$89*'Вводные'!$B$30,0)</x:f>
      </x:c>
      <x:c r="AW43" s="117" t="n">
        <x:f>IF(AND(OR(AW38&gt;0,AW$3&lt;=$B$8),AW$3&gt;=$B$7,AW$3&lt;EDATE($B$8,'Вводные'!$H$89)),MAX(0,'Вводные'!$B$26*'Вводные'!$V$89-AW38)*'Вводные'!$B$29/12,0)+IF(AND(YEAR(AW$3)=YEAR($B$7),MONTH(AW$3)=MONTH($B$7)),'Вводные'!$B$26*'Вводные'!$V$89*'Вводные'!$B$30,0)</x:f>
      </x:c>
      <x:c r="AX43" s="117" t="n">
        <x:f>IF(AND(OR(AX38&gt;0,AX$3&lt;=$B$8),AX$3&gt;=$B$7,AX$3&lt;EDATE($B$8,'Вводные'!$H$89)),MAX(0,'Вводные'!$B$26*'Вводные'!$V$89-AX38)*'Вводные'!$B$29/12,0)+IF(AND(YEAR(AX$3)=YEAR($B$7),MONTH(AX$3)=MONTH($B$7)),'Вводные'!$B$26*'Вводные'!$V$89*'Вводные'!$B$30,0)</x:f>
      </x:c>
      <x:c r="AY43" s="117" t="n">
        <x:f>IF(AND(OR(AY38&gt;0,AY$3&lt;=$B$8),AY$3&gt;=$B$7,AY$3&lt;EDATE($B$8,'Вводные'!$H$89)),MAX(0,'Вводные'!$B$26*'Вводные'!$V$89-AY38)*'Вводные'!$B$29/12,0)+IF(AND(YEAR(AY$3)=YEAR($B$7),MONTH(AY$3)=MONTH($B$7)),'Вводные'!$B$26*'Вводные'!$V$89*'Вводные'!$B$30,0)</x:f>
      </x:c>
      <x:c r="AZ43" s="117" t="n">
        <x:f>IF(AND(OR(AZ38&gt;0,AZ$3&lt;=$B$8),AZ$3&gt;=$B$7,AZ$3&lt;EDATE($B$8,'Вводные'!$H$89)),MAX(0,'Вводные'!$B$26*'Вводные'!$V$89-AZ38)*'Вводные'!$B$29/12,0)+IF(AND(YEAR(AZ$3)=YEAR($B$7),MONTH(AZ$3)=MONTH($B$7)),'Вводные'!$B$26*'Вводные'!$V$89*'Вводные'!$B$30,0)</x:f>
      </x:c>
      <x:c r="BA43" s="117" t="n">
        <x:f>IF(AND(OR(BA38&gt;0,BA$3&lt;=$B$8),BA$3&gt;=$B$7,BA$3&lt;EDATE($B$8,'Вводные'!$H$89)),MAX(0,'Вводные'!$B$26*'Вводные'!$V$89-BA38)*'Вводные'!$B$29/12,0)+IF(AND(YEAR(BA$3)=YEAR($B$7),MONTH(BA$3)=MONTH($B$7)),'Вводные'!$B$26*'Вводные'!$V$89*'Вводные'!$B$30,0)</x:f>
      </x:c>
      <x:c r="BB43" s="117" t="n">
        <x:f>IF(AND(OR(BB38&gt;0,BB$3&lt;=$B$8),BB$3&gt;=$B$7,BB$3&lt;EDATE($B$8,'Вводные'!$H$89)),MAX(0,'Вводные'!$B$26*'Вводные'!$V$89-BB38)*'Вводные'!$B$29/12,0)+IF(AND(YEAR(BB$3)=YEAR($B$7),MONTH(BB$3)=MONTH($B$7)),'Вводные'!$B$26*'Вводные'!$V$89*'Вводные'!$B$30,0)</x:f>
      </x:c>
      <x:c r="BC43" s="117" t="n">
        <x:f>IF(AND(OR(BC38&gt;0,BC$3&lt;=$B$8),BC$3&gt;=$B$7,BC$3&lt;EDATE($B$8,'Вводные'!$H$89)),MAX(0,'Вводные'!$B$26*'Вводные'!$V$89-BC38)*'Вводные'!$B$29/12,0)+IF(AND(YEAR(BC$3)=YEAR($B$7),MONTH(BC$3)=MONTH($B$7)),'Вводные'!$B$26*'Вводные'!$V$89*'Вводные'!$B$30,0)</x:f>
      </x:c>
      <x:c r="BD43" s="117" t="n">
        <x:f>IF(AND(OR(BD38&gt;0,BD$3&lt;=$B$8),BD$3&gt;=$B$7,BD$3&lt;EDATE($B$8,'Вводные'!$H$89)),MAX(0,'Вводные'!$B$26*'Вводные'!$V$89-BD38)*'Вводные'!$B$29/12,0)+IF(AND(YEAR(BD$3)=YEAR($B$7),MONTH(BD$3)=MONTH($B$7)),'Вводные'!$B$26*'Вводные'!$V$89*'Вводные'!$B$30,0)</x:f>
      </x:c>
      <x:c r="BE43" s="117" t="n">
        <x:f>IF(AND(OR(BE38&gt;0,BE$3&lt;=$B$8),BE$3&gt;=$B$7,BE$3&lt;EDATE($B$8,'Вводные'!$H$89)),MAX(0,'Вводные'!$B$26*'Вводные'!$V$89-BE38)*'Вводные'!$B$29/12,0)+IF(AND(YEAR(BE$3)=YEAR($B$7),MONTH(BE$3)=MONTH($B$7)),'Вводные'!$B$26*'Вводные'!$V$89*'Вводные'!$B$30,0)</x:f>
      </x:c>
      <x:c r="BF43" s="117" t="n">
        <x:f>IF(AND(OR(BF38&gt;0,BF$3&lt;=$B$8),BF$3&gt;=$B$7,BF$3&lt;EDATE($B$8,'Вводные'!$H$89)),MAX(0,'Вводные'!$B$26*'Вводные'!$V$89-BF38)*'Вводные'!$B$29/12,0)+IF(AND(YEAR(BF$3)=YEAR($B$7),MONTH(BF$3)=MONTH($B$7)),'Вводные'!$B$26*'Вводные'!$V$89*'Вводные'!$B$30,0)</x:f>
      </x:c>
      <x:c r="BG43" s="117" t="n">
        <x:f>IF(AND(OR(BG38&gt;0,BG$3&lt;=$B$8),BG$3&gt;=$B$7,BG$3&lt;EDATE($B$8,'Вводные'!$H$89)),MAX(0,'Вводные'!$B$26*'Вводные'!$V$89-BG38)*'Вводные'!$B$29/12,0)+IF(AND(YEAR(BG$3)=YEAR($B$7),MONTH(BG$3)=MONTH($B$7)),'Вводные'!$B$26*'Вводные'!$V$89*'Вводные'!$B$30,0)</x:f>
      </x:c>
      <x:c r="BH43" s="117" t="n">
        <x:f>IF(AND(OR(BH38&gt;0,BH$3&lt;=$B$8),BH$3&gt;=$B$7,BH$3&lt;EDATE($B$8,'Вводные'!$H$89)),MAX(0,'Вводные'!$B$26*'Вводные'!$V$89-BH38)*'Вводные'!$B$29/12,0)+IF(AND(YEAR(BH$3)=YEAR($B$7),MONTH(BH$3)=MONTH($B$7)),'Вводные'!$B$26*'Вводные'!$V$89*'Вводные'!$B$30,0)</x:f>
      </x:c>
      <x:c r="BI43" s="117" t="n">
        <x:f>IF(AND(OR(BI38&gt;0,BI$3&lt;=$B$8),BI$3&gt;=$B$7,BI$3&lt;EDATE($B$8,'Вводные'!$H$89)),MAX(0,'Вводные'!$B$26*'Вводные'!$V$89-BI38)*'Вводные'!$B$29/12,0)+IF(AND(YEAR(BI$3)=YEAR($B$7),MONTH(BI$3)=MONTH($B$7)),'Вводные'!$B$26*'Вводные'!$V$89*'Вводные'!$B$30,0)</x:f>
      </x:c>
      <x:c r="BJ43" s="117" t="n">
        <x:f>IF(AND(OR(BJ38&gt;0,BJ$3&lt;=$B$8),BJ$3&gt;=$B$7,BJ$3&lt;EDATE($B$8,'Вводные'!$H$89)),MAX(0,'Вводные'!$B$26*'Вводные'!$V$89-BJ38)*'Вводные'!$B$29/12,0)+IF(AND(YEAR(BJ$3)=YEAR($B$7),MONTH(BJ$3)=MONTH($B$7)),'Вводные'!$B$26*'Вводные'!$V$89*'Вводные'!$B$30,0)</x:f>
      </x:c>
      <x:c r="BK43" s="117" t="n">
        <x:f>IF(AND(OR(BK38&gt;0,BK$3&lt;=$B$8),BK$3&gt;=$B$7,BK$3&lt;EDATE($B$8,'Вводные'!$H$89)),MAX(0,'Вводные'!$B$26*'Вводные'!$V$89-BK38)*'Вводные'!$B$29/12,0)+IF(AND(YEAR(BK$3)=YEAR($B$7),MONTH(BK$3)=MONTH($B$7)),'Вводные'!$B$26*'Вводные'!$V$89*'Вводные'!$B$30,0)</x:f>
      </x:c>
      <x:c r="BL43" s="117" t="n">
        <x:f>IF(AND(OR(BL38&gt;0,BL$3&lt;=$B$8),BL$3&gt;=$B$7,BL$3&lt;EDATE($B$8,'Вводные'!$H$89)),MAX(0,'Вводные'!$B$26*'Вводные'!$V$89-BL38)*'Вводные'!$B$29/12,0)+IF(AND(YEAR(BL$3)=YEAR($B$7),MONTH(BL$3)=MONTH($B$7)),'Вводные'!$B$26*'Вводные'!$V$89*'Вводные'!$B$30,0)</x:f>
      </x:c>
      <x:c r="BM43" s="117" t="n">
        <x:f>IF(AND(OR(BM38&gt;0,BM$3&lt;=$B$8),BM$3&gt;=$B$7,BM$3&lt;EDATE($B$8,'Вводные'!$H$89)),MAX(0,'Вводные'!$B$26*'Вводные'!$V$89-BM38)*'Вводные'!$B$29/12,0)+IF(AND(YEAR(BM$3)=YEAR($B$7),MONTH(BM$3)=MONTH($B$7)),'Вводные'!$B$26*'Вводные'!$V$89*'Вводные'!$B$30,0)</x:f>
      </x:c>
      <x:c r="BN43" s="117" t="n">
        <x:f>IF(AND(OR(BN38&gt;0,BN$3&lt;=$B$8),BN$3&gt;=$B$7,BN$3&lt;EDATE($B$8,'Вводные'!$H$89)),MAX(0,'Вводные'!$B$26*'Вводные'!$V$89-BN38)*'Вводные'!$B$29/12,0)+IF(AND(YEAR(BN$3)=YEAR($B$7),MONTH(BN$3)=MONTH($B$7)),'Вводные'!$B$26*'Вводные'!$V$89*'Вводные'!$B$30,0)</x:f>
      </x:c>
      <x:c r="BO43" s="117" t="n">
        <x:f>IF(AND(OR(BO38&gt;0,BO$3&lt;=$B$8),BO$3&gt;=$B$7,BO$3&lt;EDATE($B$8,'Вводные'!$H$89)),MAX(0,'Вводные'!$B$26*'Вводные'!$V$89-BO38)*'Вводные'!$B$29/12,0)+IF(AND(YEAR(BO$3)=YEAR($B$7),MONTH(BO$3)=MONTH($B$7)),'Вводные'!$B$26*'Вводные'!$V$89*'Вводные'!$B$30,0)</x:f>
      </x:c>
      <x:c r="BP43" s="117" t="n">
        <x:f>IF(AND(OR(BP38&gt;0,BP$3&lt;=$B$8),BP$3&gt;=$B$7,BP$3&lt;EDATE($B$8,'Вводные'!$H$89)),MAX(0,'Вводные'!$B$26*'Вводные'!$V$89-BP38)*'Вводные'!$B$29/12,0)+IF(AND(YEAR(BP$3)=YEAR($B$7),MONTH(BP$3)=MONTH($B$7)),'Вводные'!$B$26*'Вводные'!$V$89*'Вводные'!$B$30,0)</x:f>
      </x:c>
      <x:c r="BQ43" s="117" t="n">
        <x:f>IF(AND(OR(BQ38&gt;0,BQ$3&lt;=$B$8),BQ$3&gt;=$B$7,BQ$3&lt;EDATE($B$8,'Вводные'!$H$89)),MAX(0,'Вводные'!$B$26*'Вводные'!$V$89-BQ38)*'Вводные'!$B$29/12,0)+IF(AND(YEAR(BQ$3)=YEAR($B$7),MONTH(BQ$3)=MONTH($B$7)),'Вводные'!$B$26*'Вводные'!$V$89*'Вводные'!$B$30,0)</x:f>
      </x:c>
      <x:c r="BR43" s="117" t="n">
        <x:f>IF(AND(OR(BR38&gt;0,BR$3&lt;=$B$8),BR$3&gt;=$B$7,BR$3&lt;EDATE($B$8,'Вводные'!$H$89)),MAX(0,'Вводные'!$B$26*'Вводные'!$V$89-BR38)*'Вводные'!$B$29/12,0)+IF(AND(YEAR(BR$3)=YEAR($B$7),MONTH(BR$3)=MONTH($B$7)),'Вводные'!$B$26*'Вводные'!$V$89*'Вводные'!$B$30,0)</x:f>
      </x:c>
      <x:c r="BS43" s="117" t="n">
        <x:f>IF(AND(OR(BS38&gt;0,BS$3&lt;=$B$8),BS$3&gt;=$B$7,BS$3&lt;EDATE($B$8,'Вводные'!$H$89)),MAX(0,'Вводные'!$B$26*'Вводные'!$V$89-BS38)*'Вводные'!$B$29/12,0)+IF(AND(YEAR(BS$3)=YEAR($B$7),MONTH(BS$3)=MONTH($B$7)),'Вводные'!$B$26*'Вводные'!$V$89*'Вводные'!$B$30,0)</x:f>
      </x:c>
      <x:c r="BT43" s="117" t="n">
        <x:f>IF(AND(OR(BT38&gt;0,BT$3&lt;=$B$8),BT$3&gt;=$B$7,BT$3&lt;EDATE($B$8,'Вводные'!$H$89)),MAX(0,'Вводные'!$B$26*'Вводные'!$V$89-BT38)*'Вводные'!$B$29/12,0)+IF(AND(YEAR(BT$3)=YEAR($B$7),MONTH(BT$3)=MONTH($B$7)),'Вводные'!$B$26*'Вводные'!$V$89*'Вводные'!$B$30,0)</x:f>
      </x:c>
      <x:c r="BU43" s="117" t="n">
        <x:f>IF(AND(OR(BU38&gt;0,BU$3&lt;=$B$8),BU$3&gt;=$B$7,BU$3&lt;EDATE($B$8,'Вводные'!$H$89)),MAX(0,'Вводные'!$B$26*'Вводные'!$V$89-BU38)*'Вводные'!$B$29/12,0)+IF(AND(YEAR(BU$3)=YEAR($B$7),MONTH(BU$3)=MONTH($B$7)),'Вводные'!$B$26*'Вводные'!$V$89*'Вводные'!$B$30,0)</x:f>
      </x:c>
      <x:c r="BV43" s="117" t="n">
        <x:f>IF(AND(OR(BV38&gt;0,BV$3&lt;=$B$8),BV$3&gt;=$B$7,BV$3&lt;EDATE($B$8,'Вводные'!$H$89)),MAX(0,'Вводные'!$B$26*'Вводные'!$V$89-BV38)*'Вводные'!$B$29/12,0)+IF(AND(YEAR(BV$3)=YEAR($B$7),MONTH(BV$3)=MONTH($B$7)),'Вводные'!$B$26*'Вводные'!$V$89*'Вводные'!$B$30,0)</x:f>
      </x:c>
      <x:c r="BW43" s="117" t="n">
        <x:f>IF(AND(OR(BW38&gt;0,BW$3&lt;=$B$8),BW$3&gt;=$B$7,BW$3&lt;EDATE($B$8,'Вводные'!$H$89)),MAX(0,'Вводные'!$B$26*'Вводные'!$V$89-BW38)*'Вводные'!$B$29/12,0)+IF(AND(YEAR(BW$3)=YEAR($B$7),MONTH(BW$3)=MONTH($B$7)),'Вводные'!$B$26*'Вводные'!$V$89*'Вводные'!$B$30,0)</x:f>
      </x:c>
      <x:c r="BX43" s="117" t="n">
        <x:f>IF(AND(OR(BX38&gt;0,BX$3&lt;=$B$8),BX$3&gt;=$B$7,BX$3&lt;EDATE($B$8,'Вводные'!$H$89)),MAX(0,'Вводные'!$B$26*'Вводные'!$V$89-BX38)*'Вводные'!$B$29/12,0)+IF(AND(YEAR(BX$3)=YEAR($B$7),MONTH(BX$3)=MONTH($B$7)),'Вводные'!$B$26*'Вводные'!$V$89*'Вводные'!$B$30,0)</x:f>
      </x:c>
      <x:c r="BY43" s="117" t="n">
        <x:f>IF(AND(OR(BY38&gt;0,BY$3&lt;=$B$8),BY$3&gt;=$B$7,BY$3&lt;EDATE($B$8,'Вводные'!$H$89)),MAX(0,'Вводные'!$B$26*'Вводные'!$V$89-BY38)*'Вводные'!$B$29/12,0)+IF(AND(YEAR(BY$3)=YEAR($B$7),MONTH(BY$3)=MONTH($B$7)),'Вводные'!$B$26*'Вводные'!$V$89*'Вводные'!$B$30,0)</x:f>
      </x:c>
      <x:c r="BZ43" s="117" t="n">
        <x:f>IF(AND(OR(BZ38&gt;0,BZ$3&lt;=$B$8),BZ$3&gt;=$B$7,BZ$3&lt;EDATE($B$8,'Вводные'!$H$89)),MAX(0,'Вводные'!$B$26*'Вводные'!$V$89-BZ38)*'Вводные'!$B$29/12,0)+IF(AND(YEAR(BZ$3)=YEAR($B$7),MONTH(BZ$3)=MONTH($B$7)),'Вводные'!$B$26*'Вводные'!$V$89*'Вводные'!$B$30,0)</x:f>
      </x:c>
      <x:c r="CA43" s="117" t="n">
        <x:f>IF(AND(OR(CA38&gt;0,CA$3&lt;=$B$8),CA$3&gt;=$B$7,CA$3&lt;EDATE($B$8,'Вводные'!$H$89)),MAX(0,'Вводные'!$B$26*'Вводные'!$V$89-CA38)*'Вводные'!$B$29/12,0)+IF(AND(YEAR(CA$3)=YEAR($B$7),MONTH(CA$3)=MONTH($B$7)),'Вводные'!$B$26*'Вводные'!$V$89*'Вводные'!$B$30,0)</x:f>
      </x:c>
      <x:c r="CB43" s="117" t="n">
        <x:f>IF(AND(OR(CB38&gt;0,CB$3&lt;=$B$8),CB$3&gt;=$B$7,CB$3&lt;EDATE($B$8,'Вводные'!$H$89)),MAX(0,'Вводные'!$B$26*'Вводные'!$V$89-CB38)*'Вводные'!$B$29/12,0)+IF(AND(YEAR(CB$3)=YEAR($B$7),MONTH(CB$3)=MONTH($B$7)),'Вводные'!$B$26*'Вводные'!$V$89*'Вводные'!$B$30,0)</x:f>
      </x:c>
      <x:c r="CC43" s="117" t="n">
        <x:f>IF(AND(OR(CC38&gt;0,CC$3&lt;=$B$8),CC$3&gt;=$B$7,CC$3&lt;EDATE($B$8,'Вводные'!$H$89)),MAX(0,'Вводные'!$B$26*'Вводные'!$V$89-CC38)*'Вводные'!$B$29/12,0)+IF(AND(YEAR(CC$3)=YEAR($B$7),MONTH(CC$3)=MONTH($B$7)),'Вводные'!$B$26*'Вводные'!$V$89*'Вводные'!$B$30,0)</x:f>
      </x:c>
      <x:c r="CD43" s="117" t="n">
        <x:f>IF(AND(OR(CD38&gt;0,CD$3&lt;=$B$8),CD$3&gt;=$B$7,CD$3&lt;EDATE($B$8,'Вводные'!$H$89)),MAX(0,'Вводные'!$B$26*'Вводные'!$V$89-CD38)*'Вводные'!$B$29/12,0)+IF(AND(YEAR(CD$3)=YEAR($B$7),MONTH(CD$3)=MONTH($B$7)),'Вводные'!$B$26*'Вводные'!$V$89*'Вводные'!$B$30,0)</x:f>
      </x:c>
      <x:c r="CE43" s="117" t="n">
        <x:f>IF(AND(OR(CE38&gt;0,CE$3&lt;=$B$8),CE$3&gt;=$B$7,CE$3&lt;EDATE($B$8,'Вводные'!$H$89)),MAX(0,'Вводные'!$B$26*'Вводные'!$V$89-CE38)*'Вводные'!$B$29/12,0)+IF(AND(YEAR(CE$3)=YEAR($B$7),MONTH(CE$3)=MONTH($B$7)),'Вводные'!$B$26*'Вводные'!$V$89*'Вводные'!$B$30,0)</x:f>
      </x:c>
      <x:c r="CF43" s="117" t="n">
        <x:f>IF(AND(OR(CF38&gt;0,CF$3&lt;=$B$8),CF$3&gt;=$B$7,CF$3&lt;EDATE($B$8,'Вводные'!$H$89)),MAX(0,'Вводные'!$B$26*'Вводные'!$V$89-CF38)*'Вводные'!$B$29/12,0)+IF(AND(YEAR(CF$3)=YEAR($B$7),MONTH(CF$3)=MONTH($B$7)),'Вводные'!$B$26*'Вводные'!$V$89*'Вводные'!$B$30,0)</x:f>
      </x:c>
      <x:c r="CG43" s="117" t="n">
        <x:f>IF(AND(OR(CG38&gt;0,CG$3&lt;=$B$8),CG$3&gt;=$B$7,CG$3&lt;EDATE($B$8,'Вводные'!$H$89)),MAX(0,'Вводные'!$B$26*'Вводные'!$V$89-CG38)*'Вводные'!$B$29/12,0)+IF(AND(YEAR(CG$3)=YEAR($B$7),MONTH(CG$3)=MONTH($B$7)),'Вводные'!$B$26*'Вводные'!$V$89*'Вводные'!$B$30,0)</x:f>
      </x:c>
      <x:c r="CH43" s="117" t="n">
        <x:f>IF(AND(OR(CH38&gt;0,CH$3&lt;=$B$8),CH$3&gt;=$B$7,CH$3&lt;EDATE($B$8,'Вводные'!$H$89)),MAX(0,'Вводные'!$B$26*'Вводные'!$V$89-CH38)*'Вводные'!$B$29/12,0)+IF(AND(YEAR(CH$3)=YEAR($B$7),MONTH(CH$3)=MONTH($B$7)),'Вводные'!$B$26*'Вводные'!$V$89*'Вводные'!$B$30,0)</x:f>
      </x:c>
      <x:c r="CI43" s="117" t="n">
        <x:f>IF(AND(OR(CI38&gt;0,CI$3&lt;=$B$8),CI$3&gt;=$B$7,CI$3&lt;EDATE($B$8,'Вводные'!$H$89)),MAX(0,'Вводные'!$B$26*'Вводные'!$V$89-CI38)*'Вводные'!$B$29/12,0)+IF(AND(YEAR(CI$3)=YEAR($B$7),MONTH(CI$3)=MONTH($B$7)),'Вводные'!$B$26*'Вводные'!$V$89*'Вводные'!$B$30,0)</x:f>
      </x:c>
      <x:c r="CJ43" s="117" t="n">
        <x:f>IF(AND(OR(CJ38&gt;0,CJ$3&lt;=$B$8),CJ$3&gt;=$B$7,CJ$3&lt;EDATE($B$8,'Вводные'!$H$89)),MAX(0,'Вводные'!$B$26*'Вводные'!$V$89-CJ38)*'Вводные'!$B$29/12,0)+IF(AND(YEAR(CJ$3)=YEAR($B$7),MONTH(CJ$3)=MONTH($B$7)),'Вводные'!$B$26*'Вводные'!$V$89*'Вводные'!$B$30,0)</x:f>
      </x:c>
      <x:c r="CK43" s="117" t="n">
        <x:f>IF(AND(OR(CK38&gt;0,CK$3&lt;=$B$8),CK$3&gt;=$B$7,CK$3&lt;EDATE($B$8,'Вводные'!$H$89)),MAX(0,'Вводные'!$B$26*'Вводные'!$V$89-CK38)*'Вводные'!$B$29/12,0)+IF(AND(YEAR(CK$3)=YEAR($B$7),MONTH(CK$3)=MONTH($B$7)),'Вводные'!$B$26*'Вводные'!$V$89*'Вводные'!$B$30,0)</x:f>
      </x:c>
      <x:c r="CL43" s="117" t="n">
        <x:f>IF(AND(OR(CL38&gt;0,CL$3&lt;=$B$8),CL$3&gt;=$B$7,CL$3&lt;EDATE($B$8,'Вводные'!$H$89)),MAX(0,'Вводные'!$B$26*'Вводные'!$V$89-CL38)*'Вводные'!$B$29/12,0)+IF(AND(YEAR(CL$3)=YEAR($B$7),MONTH(CL$3)=MONTH($B$7)),'Вводные'!$B$26*'Вводные'!$V$89*'Вводные'!$B$30,0)</x:f>
      </x:c>
      <x:c r="CM43" s="117" t="n">
        <x:f>IF(AND(OR(CM38&gt;0,CM$3&lt;=$B$8),CM$3&gt;=$B$7,CM$3&lt;EDATE($B$8,'Вводные'!$H$89)),MAX(0,'Вводные'!$B$26*'Вводные'!$V$89-CM38)*'Вводные'!$B$29/12,0)+IF(AND(YEAR(CM$3)=YEAR($B$7),MONTH(CM$3)=MONTH($B$7)),'Вводные'!$B$26*'Вводные'!$V$89*'Вводные'!$B$30,0)</x:f>
      </x:c>
      <x:c r="CN43" s="117" t="n">
        <x:f>IF(AND(OR(CN38&gt;0,CN$3&lt;=$B$8),CN$3&gt;=$B$7,CN$3&lt;EDATE($B$8,'Вводные'!$H$89)),MAX(0,'Вводные'!$B$26*'Вводные'!$V$89-CN38)*'Вводные'!$B$29/12,0)+IF(AND(YEAR(CN$3)=YEAR($B$7),MONTH(CN$3)=MONTH($B$7)),'Вводные'!$B$26*'Вводные'!$V$89*'Вводные'!$B$30,0)</x:f>
      </x:c>
      <x:c r="CO43" s="117" t="n">
        <x:f>IF(AND(OR(CO38&gt;0,CO$3&lt;=$B$8),CO$3&gt;=$B$7,CO$3&lt;EDATE($B$8,'Вводные'!$H$89)),MAX(0,'Вводные'!$B$26*'Вводные'!$V$89-CO38)*'Вводные'!$B$29/12,0)+IF(AND(YEAR(CO$3)=YEAR($B$7),MONTH(CO$3)=MONTH($B$7)),'Вводные'!$B$26*'Вводные'!$V$89*'Вводные'!$B$30,0)</x:f>
      </x:c>
      <x:c r="CP43" s="117" t="n">
        <x:f>IF(AND(OR(CP38&gt;0,CP$3&lt;=$B$8),CP$3&gt;=$B$7,CP$3&lt;EDATE($B$8,'Вводные'!$H$89)),MAX(0,'Вводные'!$B$26*'Вводные'!$V$89-CP38)*'Вводные'!$B$29/12,0)+IF(AND(YEAR(CP$3)=YEAR($B$7),MONTH(CP$3)=MONTH($B$7)),'Вводные'!$B$26*'Вводные'!$V$89*'Вводные'!$B$30,0)</x:f>
      </x:c>
      <x:c r="CQ43" s="117" t="n">
        <x:f>IF(AND(OR(CQ38&gt;0,CQ$3&lt;=$B$8),CQ$3&gt;=$B$7,CQ$3&lt;EDATE($B$8,'Вводные'!$H$89)),MAX(0,'Вводные'!$B$26*'Вводные'!$V$89-CQ38)*'Вводные'!$B$29/12,0)+IF(AND(YEAR(CQ$3)=YEAR($B$7),MONTH(CQ$3)=MONTH($B$7)),'Вводные'!$B$26*'Вводные'!$V$89*'Вводные'!$B$30,0)</x:f>
      </x:c>
      <x:c r="CR43" s="117" t="n">
        <x:f>IF(AND(OR(CR38&gt;0,CR$3&lt;=$B$8),CR$3&gt;=$B$7,CR$3&lt;EDATE($B$8,'Вводные'!$H$89)),MAX(0,'Вводные'!$B$26*'Вводные'!$V$89-CR38)*'Вводные'!$B$29/12,0)+IF(AND(YEAR(CR$3)=YEAR($B$7),MONTH(CR$3)=MONTH($B$7)),'Вводные'!$B$26*'Вводные'!$V$89*'Вводные'!$B$30,0)</x:f>
      </x:c>
      <x:c r="CS43" s="117" t="n">
        <x:f>IF(AND(OR(CS38&gt;0,CS$3&lt;=$B$8),CS$3&gt;=$B$7,CS$3&lt;EDATE($B$8,'Вводные'!$H$89)),MAX(0,'Вводные'!$B$26*'Вводные'!$V$89-CS38)*'Вводные'!$B$29/12,0)+IF(AND(YEAR(CS$3)=YEAR($B$7),MONTH(CS$3)=MONTH($B$7)),'Вводные'!$B$26*'Вводные'!$V$89*'Вводные'!$B$30,0)</x:f>
      </x:c>
      <x:c r="CT43" s="117" t="n">
        <x:f>IF(AND(OR(CT38&gt;0,CT$3&lt;=$B$8),CT$3&gt;=$B$7,CT$3&lt;EDATE($B$8,'Вводные'!$H$89)),MAX(0,'Вводные'!$B$26*'Вводные'!$V$89-CT38)*'Вводные'!$B$29/12,0)+IF(AND(YEAR(CT$3)=YEAR($B$7),MONTH(CT$3)=MONTH($B$7)),'Вводные'!$B$26*'Вводные'!$V$89*'Вводные'!$B$30,0)</x:f>
      </x:c>
      <x:c r="CU43" s="117" t="n">
        <x:f>IF(AND(OR(CU38&gt;0,CU$3&lt;=$B$8),CU$3&gt;=$B$7,CU$3&lt;EDATE($B$8,'Вводные'!$H$89)),MAX(0,'Вводные'!$B$26*'Вводные'!$V$89-CU38)*'Вводные'!$B$29/12,0)+IF(AND(YEAR(CU$3)=YEAR($B$7),MONTH(CU$3)=MONTH($B$7)),'Вводные'!$B$26*'Вводные'!$V$89*'Вводные'!$B$30,0)</x:f>
      </x:c>
      <x:c r="CV43" s="117" t="n">
        <x:f>IF(AND(OR(CV38&gt;0,CV$3&lt;=$B$8),CV$3&gt;=$B$7,CV$3&lt;EDATE($B$8,'Вводные'!$H$89)),MAX(0,'Вводные'!$B$26*'Вводные'!$V$89-CV38)*'Вводные'!$B$29/12,0)+IF(AND(YEAR(CV$3)=YEAR($B$7),MONTH(CV$3)=MONTH($B$7)),'Вводные'!$B$26*'Вводные'!$V$89*'Вводные'!$B$30,0)</x:f>
      </x:c>
      <x:c r="CW43" s="117" t="n">
        <x:f>IF(AND(OR(CW38&gt;0,CW$3&lt;=$B$8),CW$3&gt;=$B$7,CW$3&lt;EDATE($B$8,'Вводные'!$H$89)),MAX(0,'Вводные'!$B$26*'Вводные'!$V$89-CW38)*'Вводные'!$B$29/12,0)+IF(AND(YEAR(CW$3)=YEAR($B$7),MONTH(CW$3)=MONTH($B$7)),'Вводные'!$B$26*'Вводные'!$V$89*'Вводные'!$B$30,0)</x:f>
      </x:c>
      <x:c r="CX43" s="117" t="n">
        <x:f>IF(AND(OR(CX38&gt;0,CX$3&lt;=$B$8),CX$3&gt;=$B$7,CX$3&lt;EDATE($B$8,'Вводные'!$H$89)),MAX(0,'Вводные'!$B$26*'Вводные'!$V$89-CX38)*'Вводные'!$B$29/12,0)+IF(AND(YEAR(CX$3)=YEAR($B$7),MONTH(CX$3)=MONTH($B$7)),'Вводные'!$B$26*'Вводные'!$V$89*'Вводные'!$B$30,0)</x:f>
      </x:c>
      <x:c r="CY43" s="117" t="n">
        <x:f>IF(AND(OR(CY38&gt;0,CY$3&lt;=$B$8),CY$3&gt;=$B$7,CY$3&lt;EDATE($B$8,'Вводные'!$H$89)),MAX(0,'Вводные'!$B$26*'Вводные'!$V$89-CY38)*'Вводные'!$B$29/12,0)+IF(AND(YEAR(CY$3)=YEAR($B$7),MONTH(CY$3)=MONTH($B$7)),'Вводные'!$B$26*'Вводные'!$V$89*'Вводные'!$B$30,0)</x:f>
      </x:c>
      <x:c r="CZ43" s="117" t="n">
        <x:f>IF(AND(OR(CZ38&gt;0,CZ$3&lt;=$B$8),CZ$3&gt;=$B$7,CZ$3&lt;EDATE($B$8,'Вводные'!$H$89)),MAX(0,'Вводные'!$B$26*'Вводные'!$V$89-CZ38)*'Вводные'!$B$29/12,0)+IF(AND(YEAR(CZ$3)=YEAR($B$7),MONTH(CZ$3)=MONTH($B$7)),'Вводные'!$B$26*'Вводные'!$V$89*'Вводные'!$B$30,0)</x:f>
      </x:c>
      <x:c r="DA43" s="117" t="n">
        <x:f>IF(AND(OR(DA38&gt;0,DA$3&lt;=$B$8),DA$3&gt;=$B$7,DA$3&lt;EDATE($B$8,'Вводные'!$H$89)),MAX(0,'Вводные'!$B$26*'Вводные'!$V$89-DA38)*'Вводные'!$B$29/12,0)+IF(AND(YEAR(DA$3)=YEAR($B$7),MONTH(DA$3)=MONTH($B$7)),'Вводные'!$B$26*'Вводные'!$V$89*'Вводные'!$B$30,0)</x:f>
      </x:c>
      <x:c r="DB43" s="117" t="n">
        <x:f>IF(AND(OR(DB38&gt;0,DB$3&lt;=$B$8),DB$3&gt;=$B$7,DB$3&lt;EDATE($B$8,'Вводные'!$H$89)),MAX(0,'Вводные'!$B$26*'Вводные'!$V$89-DB38)*'Вводные'!$B$29/12,0)+IF(AND(YEAR(DB$3)=YEAR($B$7),MONTH(DB$3)=MONTH($B$7)),'Вводные'!$B$26*'Вводные'!$V$89*'Вводные'!$B$30,0)</x:f>
      </x:c>
      <x:c r="DC43" s="117" t="n">
        <x:f>IF(AND(OR(DC38&gt;0,DC$3&lt;=$B$8),DC$3&gt;=$B$7,DC$3&lt;EDATE($B$8,'Вводные'!$H$89)),MAX(0,'Вводные'!$B$26*'Вводные'!$V$89-DC38)*'Вводные'!$B$29/12,0)+IF(AND(YEAR(DC$3)=YEAR($B$7),MONTH(DC$3)=MONTH($B$7)),'Вводные'!$B$26*'Вводные'!$V$89*'Вводные'!$B$30,0)</x:f>
      </x:c>
      <x:c r="DD43" s="117" t="n">
        <x:f>IF(AND(OR(DD38&gt;0,DD$3&lt;=$B$8),DD$3&gt;=$B$7,DD$3&lt;EDATE($B$8,'Вводные'!$H$89)),MAX(0,'Вводные'!$B$26*'Вводные'!$V$89-DD38)*'Вводные'!$B$29/12,0)+IF(AND(YEAR(DD$3)=YEAR($B$7),MONTH(DD$3)=MONTH($B$7)),'Вводные'!$B$26*'Вводные'!$V$89*'Вводные'!$B$30,0)</x:f>
      </x:c>
      <x:c r="DE43" s="117" t="n">
        <x:f>IF(AND(OR(DE38&gt;0,DE$3&lt;=$B$8),DE$3&gt;=$B$7,DE$3&lt;EDATE($B$8,'Вводные'!$H$89)),MAX(0,'Вводные'!$B$26*'Вводные'!$V$89-DE38)*'Вводные'!$B$29/12,0)+IF(AND(YEAR(DE$3)=YEAR($B$7),MONTH(DE$3)=MONTH($B$7)),'Вводные'!$B$26*'Вводные'!$V$89*'Вводные'!$B$30,0)</x:f>
      </x:c>
      <x:c r="DF43" s="117" t="n">
        <x:f>IF(AND(OR(DF38&gt;0,DF$3&lt;=$B$8),DF$3&gt;=$B$7,DF$3&lt;EDATE($B$8,'Вводные'!$H$89)),MAX(0,'Вводные'!$B$26*'Вводные'!$V$89-DF38)*'Вводные'!$B$29/12,0)+IF(AND(YEAR(DF$3)=YEAR($B$7),MONTH(DF$3)=MONTH($B$7)),'Вводные'!$B$26*'Вводные'!$V$89*'Вводные'!$B$30,0)</x:f>
      </x:c>
      <x:c r="DG43" s="117" t="n">
        <x:f>IF(AND(OR(DG38&gt;0,DG$3&lt;=$B$8),DG$3&gt;=$B$7,DG$3&lt;EDATE($B$8,'Вводные'!$H$89)),MAX(0,'Вводные'!$B$26*'Вводные'!$V$89-DG38)*'Вводные'!$B$29/12,0)+IF(AND(YEAR(DG$3)=YEAR($B$7),MONTH(DG$3)=MONTH($B$7)),'Вводные'!$B$26*'Вводные'!$V$89*'Вводные'!$B$30,0)</x:f>
      </x:c>
      <x:c r="DH43" s="117" t="n">
        <x:f>IF(AND(OR(DH38&gt;0,DH$3&lt;=$B$8),DH$3&gt;=$B$7,DH$3&lt;EDATE($B$8,'Вводные'!$H$89)),MAX(0,'Вводные'!$B$26*'Вводные'!$V$89-DH38)*'Вводные'!$B$29/12,0)+IF(AND(YEAR(DH$3)=YEAR($B$7),MONTH(DH$3)=MONTH($B$7)),'Вводные'!$B$26*'Вводные'!$V$89*'Вводные'!$B$30,0)</x:f>
      </x:c>
      <x:c r="DI43" s="117" t="n">
        <x:f>IF(AND(OR(DI38&gt;0,DI$3&lt;=$B$8),DI$3&gt;=$B$7,DI$3&lt;EDATE($B$8,'Вводные'!$H$89)),MAX(0,'Вводные'!$B$26*'Вводные'!$V$89-DI38)*'Вводные'!$B$29/12,0)+IF(AND(YEAR(DI$3)=YEAR($B$7),MONTH(DI$3)=MONTH($B$7)),'Вводные'!$B$26*'Вводные'!$V$89*'Вводные'!$B$30,0)</x:f>
      </x:c>
      <x:c r="DJ43" s="117" t="n">
        <x:f>IF(AND(OR(DJ38&gt;0,DJ$3&lt;=$B$8),DJ$3&gt;=$B$7,DJ$3&lt;EDATE($B$8,'Вводные'!$H$89)),MAX(0,'Вводные'!$B$26*'Вводные'!$V$89-DJ38)*'Вводные'!$B$29/12,0)+IF(AND(YEAR(DJ$3)=YEAR($B$7),MONTH(DJ$3)=MONTH($B$7)),'Вводные'!$B$26*'Вводные'!$V$89*'Вводные'!$B$30,0)</x:f>
      </x:c>
      <x:c r="DK43" s="117" t="n">
        <x:f>IF(AND(OR(DK38&gt;0,DK$3&lt;=$B$8),DK$3&gt;=$B$7,DK$3&lt;EDATE($B$8,'Вводные'!$H$89)),MAX(0,'Вводные'!$B$26*'Вводные'!$V$89-DK38)*'Вводные'!$B$29/12,0)+IF(AND(YEAR(DK$3)=YEAR($B$7),MONTH(DK$3)=MONTH($B$7)),'Вводные'!$B$26*'Вводные'!$V$89*'Вводные'!$B$30,0)</x:f>
      </x:c>
      <x:c r="DL43" s="117" t="n">
        <x:f>IF(AND(OR(DL38&gt;0,DL$3&lt;=$B$8),DL$3&gt;=$B$7,DL$3&lt;EDATE($B$8,'Вводные'!$H$89)),MAX(0,'Вводные'!$B$26*'Вводные'!$V$89-DL38)*'Вводные'!$B$29/12,0)+IF(AND(YEAR(DL$3)=YEAR($B$7),MONTH(DL$3)=MONTH($B$7)),'Вводные'!$B$26*'Вводные'!$V$89*'Вводные'!$B$30,0)</x:f>
      </x:c>
      <x:c r="DM43" s="117" t="n">
        <x:f>IF(AND(OR(DM38&gt;0,DM$3&lt;=$B$8),DM$3&gt;=$B$7,DM$3&lt;EDATE($B$8,'Вводные'!$H$89)),MAX(0,'Вводные'!$B$26*'Вводные'!$V$89-DM38)*'Вводные'!$B$29/12,0)+IF(AND(YEAR(DM$3)=YEAR($B$7),MONTH(DM$3)=MONTH($B$7)),'Вводные'!$B$26*'Вводные'!$V$89*'Вводные'!$B$30,0)</x:f>
      </x:c>
      <x:c r="DN43" s="117" t="n">
        <x:f>IF(AND(OR(DN38&gt;0,DN$3&lt;=$B$8),DN$3&gt;=$B$7,DN$3&lt;EDATE($B$8,'Вводные'!$H$89)),MAX(0,'Вводные'!$B$26*'Вводные'!$V$89-DN38)*'Вводные'!$B$29/12,0)+IF(AND(YEAR(DN$3)=YEAR($B$7),MONTH(DN$3)=MONTH($B$7)),'Вводные'!$B$26*'Вводные'!$V$89*'Вводные'!$B$30,0)</x:f>
      </x:c>
      <x:c r="DO43" s="117" t="n">
        <x:f>IF(AND(OR(DO38&gt;0,DO$3&lt;=$B$8),DO$3&gt;=$B$7,DO$3&lt;EDATE($B$8,'Вводные'!$H$89)),MAX(0,'Вводные'!$B$26*'Вводные'!$V$89-DO38)*'Вводные'!$B$29/12,0)+IF(AND(YEAR(DO$3)=YEAR($B$7),MONTH(DO$3)=MONTH($B$7)),'Вводные'!$B$26*'Вводные'!$V$89*'Вводные'!$B$30,0)</x:f>
      </x:c>
      <x:c r="DP43" s="117" t="n">
        <x:f>IF(AND(OR(DP38&gt;0,DP$3&lt;=$B$8),DP$3&gt;=$B$7,DP$3&lt;EDATE($B$8,'Вводные'!$H$89)),MAX(0,'Вводные'!$B$26*'Вводные'!$V$89-DP38)*'Вводные'!$B$29/12,0)+IF(AND(YEAR(DP$3)=YEAR($B$7),MONTH(DP$3)=MONTH($B$7)),'Вводные'!$B$26*'Вводные'!$V$89*'Вводные'!$B$30,0)</x:f>
      </x:c>
      <x:c r="DQ43" s="117" t="n">
        <x:f>IF(AND(OR(DQ38&gt;0,DQ$3&lt;=$B$8),DQ$3&gt;=$B$7,DQ$3&lt;EDATE($B$8,'Вводные'!$H$89)),MAX(0,'Вводные'!$B$26*'Вводные'!$V$89-DQ38)*'Вводные'!$B$29/12,0)+IF(AND(YEAR(DQ$3)=YEAR($B$7),MONTH(DQ$3)=MONTH($B$7)),'Вводные'!$B$26*'Вводные'!$V$89*'Вводные'!$B$30,0)</x:f>
      </x:c>
      <x:c r="DR43" s="117" t="n">
        <x:f>IF(AND(OR(DR38&gt;0,DR$3&lt;=$B$8),DR$3&gt;=$B$7,DR$3&lt;EDATE($B$8,'Вводные'!$H$89)),MAX(0,'Вводные'!$B$26*'Вводные'!$V$89-DR38)*'Вводные'!$B$29/12,0)+IF(AND(YEAR(DR$3)=YEAR($B$7),MONTH(DR$3)=MONTH($B$7)),'Вводные'!$B$26*'Вводные'!$V$89*'Вводные'!$B$30,0)</x:f>
      </x:c>
      <x:c r="DS43" s="117" t="n">
        <x:f>IF(AND(OR(DS38&gt;0,DS$3&lt;=$B$8),DS$3&gt;=$B$7,DS$3&lt;EDATE($B$8,'Вводные'!$H$89)),MAX(0,'Вводные'!$B$26*'Вводные'!$V$89-DS38)*'Вводные'!$B$29/12,0)+IF(AND(YEAR(DS$3)=YEAR($B$7),MONTH(DS$3)=MONTH($B$7)),'Вводные'!$B$26*'Вводные'!$V$89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2</x:v>
      </x:c>
      <x:c r="B66" s="53" t="str">
        <x:v>СВОДКА ОЧЕРЕДИ 2</x:v>
      </x:c>
      <x:c r="C66" s="54" t="str">
        <x:v>СВОДКА ОЧЕРЕДИ 2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3</x:v>
      </x:c>
      <x:c r="B1" s="4" t="str">
        <x:v>ДЕНЕЖНЫЙ ПОТОК · ОЧЕРЕДЬ 3</x:v>
      </x:c>
      <x:c r="C1" s="4" t="str">
        <x:v>ДЕНЕЖНЫЙ ПОТОК · ОЧЕРЕДЬ 3</x:v>
      </x:c>
      <x:c r="D1" s="4" t="str">
        <x:v>ДЕНЕЖНЫЙ ПОТОК · ОЧЕРЕДЬ 3</x:v>
      </x:c>
      <x:c r="E1" s="4" t="str">
        <x:v>ДЕНЕЖНЫЙ ПОТОК · ОЧЕРЕДЬ 3</x:v>
      </x:c>
      <x:c r="F1" s="4" t="str">
        <x:v>ДЕНЕЖНЫЙ ПОТОК · ОЧЕРЕДЬ 3</x:v>
      </x:c>
      <x:c r="G1" s="4" t="str">
        <x:v>ДЕНЕЖНЫЙ ПОТОК · ОЧЕРЕДЬ 3</x:v>
      </x:c>
      <x:c r="H1" s="4" t="str">
        <x:v>ДЕНЕЖНЫЙ ПОТОК · ОЧЕРЕДЬ 3</x:v>
      </x:c>
      <x:c r="I1" s="4" t="str">
        <x:v>ДЕНЕЖНЫЙ ПОТОК · ОЧЕРЕДЬ 3</x:v>
      </x:c>
      <x:c r="J1" s="4" t="str">
        <x:v>ДЕНЕЖНЫЙ ПОТОК · ОЧЕРЕДЬ 3</x:v>
      </x:c>
      <x:c r="K1" s="4" t="str">
        <x:v>ДЕНЕЖНЫЙ ПОТОК · ОЧЕРЕДЬ 3</x:v>
      </x:c>
      <x:c r="L1" s="4" t="str">
        <x:v>ДЕНЕЖНЫЙ ПОТОК · ОЧЕРЕДЬ 3</x:v>
      </x:c>
      <x:c r="M1" s="4" t="str">
        <x:v>ДЕНЕЖНЫЙ ПОТОК · ОЧЕРЕДЬ 3</x:v>
      </x:c>
      <x:c r="N1" s="4" t="str">
        <x:v>ДЕНЕЖНЫЙ ПОТОК · ОЧЕРЕДЬ 3</x:v>
      </x:c>
      <x:c r="O1" s="4" t="str">
        <x:v>ДЕНЕЖНЫЙ ПОТОК · ОЧЕРЕДЬ 3</x:v>
      </x:c>
      <x:c r="P1" s="4" t="str">
        <x:v>ДЕНЕЖНЫЙ ПОТОК · ОЧЕРЕДЬ 3</x:v>
      </x:c>
      <x:c r="Q1" s="4" t="str">
        <x:v>ДЕНЕЖНЫЙ ПОТОК · ОЧЕРЕДЬ 3</x:v>
      </x:c>
      <x:c r="R1" s="4" t="str">
        <x:v>ДЕНЕЖНЫЙ ПОТОК · ОЧЕРЕДЬ 3</x:v>
      </x:c>
      <x:c r="S1" s="4" t="str">
        <x:v>ДЕНЕЖНЫЙ ПОТОК · ОЧЕРЕДЬ 3</x:v>
      </x:c>
      <x:c r="T1" s="4" t="str">
        <x:v>ДЕНЕЖНЫЙ ПОТОК · ОЧЕРЕДЬ 3</x:v>
      </x:c>
      <x:c r="U1" s="4" t="str">
        <x:v>ДЕНЕЖНЫЙ ПОТОК · ОЧЕРЕДЬ 3</x:v>
      </x:c>
      <x:c r="V1" s="4" t="str">
        <x:v>ДЕНЕЖНЫЙ ПОТОК · ОЧЕРЕДЬ 3</x:v>
      </x:c>
      <x:c r="W1" s="4" t="str">
        <x:v>ДЕНЕЖНЫЙ ПОТОК · ОЧЕРЕДЬ 3</x:v>
      </x:c>
      <x:c r="X1" s="4" t="str">
        <x:v>ДЕНЕЖНЫЙ ПОТОК · ОЧЕРЕДЬ 3</x:v>
      </x:c>
      <x:c r="Y1" s="4" t="str">
        <x:v>ДЕНЕЖНЫЙ ПОТОК · ОЧЕРЕДЬ 3</x:v>
      </x:c>
      <x:c r="Z1" s="4" t="str">
        <x:v>ДЕНЕЖНЫЙ ПОТОК · ОЧЕРЕДЬ 3</x:v>
      </x:c>
      <x:c r="AA1" s="4" t="str">
        <x:v>ДЕНЕЖНЫЙ ПОТОК · ОЧЕРЕДЬ 3</x:v>
      </x:c>
      <x:c r="AB1" s="4" t="str">
        <x:v>ДЕНЕЖНЫЙ ПОТОК · ОЧЕРЕДЬ 3</x:v>
      </x:c>
      <x:c r="AC1" s="4" t="str">
        <x:v>ДЕНЕЖНЫЙ ПОТОК · ОЧЕРЕДЬ 3</x:v>
      </x:c>
      <x:c r="AD1" s="4" t="str">
        <x:v>ДЕНЕЖНЫЙ ПОТОК · ОЧЕРЕДЬ 3</x:v>
      </x:c>
      <x:c r="AE1" s="4" t="str">
        <x:v>ДЕНЕЖНЫЙ ПОТОК · ОЧЕРЕДЬ 3</x:v>
      </x:c>
      <x:c r="AF1" s="4" t="str">
        <x:v>ДЕНЕЖНЫЙ ПОТОК · ОЧЕРЕДЬ 3</x:v>
      </x:c>
      <x:c r="AG1" s="4" t="str">
        <x:v>ДЕНЕЖНЫЙ ПОТОК · ОЧЕРЕДЬ 3</x:v>
      </x:c>
      <x:c r="AH1" s="4" t="str">
        <x:v>ДЕНЕЖНЫЙ ПОТОК · ОЧЕРЕДЬ 3</x:v>
      </x:c>
      <x:c r="AI1" s="4" t="str">
        <x:v>ДЕНЕЖНЫЙ ПОТОК · ОЧЕРЕДЬ 3</x:v>
      </x:c>
      <x:c r="AJ1" s="4" t="str">
        <x:v>ДЕНЕЖНЫЙ ПОТОК · ОЧЕРЕДЬ 3</x:v>
      </x:c>
      <x:c r="AK1" s="4" t="str">
        <x:v>ДЕНЕЖНЫЙ ПОТОК · ОЧЕРЕДЬ 3</x:v>
      </x:c>
      <x:c r="AL1" s="4" t="str">
        <x:v>ДЕНЕЖНЫЙ ПОТОК · ОЧЕРЕДЬ 3</x:v>
      </x:c>
      <x:c r="AM1" s="4" t="str">
        <x:v>ДЕНЕЖНЫЙ ПОТОК · ОЧЕРЕДЬ 3</x:v>
      </x:c>
      <x:c r="AN1" s="4" t="str">
        <x:v>ДЕНЕЖНЫЙ ПОТОК · ОЧЕРЕДЬ 3</x:v>
      </x:c>
      <x:c r="AO1" s="4" t="str">
        <x:v>ДЕНЕЖНЫЙ ПОТОК · ОЧЕРЕДЬ 3</x:v>
      </x:c>
      <x:c r="AP1" s="4" t="str">
        <x:v>ДЕНЕЖНЫЙ ПОТОК · ОЧЕРЕДЬ 3</x:v>
      </x:c>
      <x:c r="AQ1" s="4" t="str">
        <x:v>ДЕНЕЖНЫЙ ПОТОК · ОЧЕРЕДЬ 3</x:v>
      </x:c>
      <x:c r="AR1" s="4" t="str">
        <x:v>ДЕНЕЖНЫЙ ПОТОК · ОЧЕРЕДЬ 3</x:v>
      </x:c>
      <x:c r="AS1" s="4" t="str">
        <x:v>ДЕНЕЖНЫЙ ПОТОК · ОЧЕРЕДЬ 3</x:v>
      </x:c>
      <x:c r="AT1" s="4" t="str">
        <x:v>ДЕНЕЖНЫЙ ПОТОК · ОЧЕРЕДЬ 3</x:v>
      </x:c>
      <x:c r="AU1" s="4" t="str">
        <x:v>ДЕНЕЖНЫЙ ПОТОК · ОЧЕРЕДЬ 3</x:v>
      </x:c>
      <x:c r="AV1" s="4" t="str">
        <x:v>ДЕНЕЖНЫЙ ПОТОК · ОЧЕРЕДЬ 3</x:v>
      </x:c>
      <x:c r="AW1" s="4" t="str">
        <x:v>ДЕНЕЖНЫЙ ПОТОК · ОЧЕРЕДЬ 3</x:v>
      </x:c>
      <x:c r="AX1" s="4" t="str">
        <x:v>ДЕНЕЖНЫЙ ПОТОК · ОЧЕРЕДЬ 3</x:v>
      </x:c>
      <x:c r="AY1" s="4" t="str">
        <x:v>ДЕНЕЖНЫЙ ПОТОК · ОЧЕРЕДЬ 3</x:v>
      </x:c>
      <x:c r="AZ1" s="4" t="str">
        <x:v>ДЕНЕЖНЫЙ ПОТОК · ОЧЕРЕДЬ 3</x:v>
      </x:c>
      <x:c r="BA1" s="4" t="str">
        <x:v>ДЕНЕЖНЫЙ ПОТОК · ОЧЕРЕДЬ 3</x:v>
      </x:c>
      <x:c r="BB1" s="4" t="str">
        <x:v>ДЕНЕЖНЫЙ ПОТОК · ОЧЕРЕДЬ 3</x:v>
      </x:c>
      <x:c r="BC1" s="4" t="str">
        <x:v>ДЕНЕЖНЫЙ ПОТОК · ОЧЕРЕДЬ 3</x:v>
      </x:c>
      <x:c r="BD1" s="4" t="str">
        <x:v>ДЕНЕЖНЫЙ ПОТОК · ОЧЕРЕДЬ 3</x:v>
      </x:c>
      <x:c r="BE1" s="4" t="str">
        <x:v>ДЕНЕЖНЫЙ ПОТОК · ОЧЕРЕДЬ 3</x:v>
      </x:c>
      <x:c r="BF1" s="4" t="str">
        <x:v>ДЕНЕЖНЫЙ ПОТОК · ОЧЕРЕДЬ 3</x:v>
      </x:c>
      <x:c r="BG1" s="4" t="str">
        <x:v>ДЕНЕЖНЫЙ ПОТОК · ОЧЕРЕДЬ 3</x:v>
      </x:c>
      <x:c r="BH1" s="4" t="str">
        <x:v>ДЕНЕЖНЫЙ ПОТОК · ОЧЕРЕДЬ 3</x:v>
      </x:c>
      <x:c r="BI1" s="4" t="str">
        <x:v>ДЕНЕЖНЫЙ ПОТОК · ОЧЕРЕДЬ 3</x:v>
      </x:c>
      <x:c r="BJ1" s="4" t="str">
        <x:v>ДЕНЕЖНЫЙ ПОТОК · ОЧЕРЕДЬ 3</x:v>
      </x:c>
      <x:c r="BK1" s="4" t="str">
        <x:v>ДЕНЕЖНЫЙ ПОТОК · ОЧЕРЕДЬ 3</x:v>
      </x:c>
      <x:c r="BL1" s="4" t="str">
        <x:v>ДЕНЕЖНЫЙ ПОТОК · ОЧЕРЕДЬ 3</x:v>
      </x:c>
      <x:c r="BM1" s="4" t="str">
        <x:v>ДЕНЕЖНЫЙ ПОТОК · ОЧЕРЕДЬ 3</x:v>
      </x:c>
      <x:c r="BN1" s="4" t="str">
        <x:v>ДЕНЕЖНЫЙ ПОТОК · ОЧЕРЕДЬ 3</x:v>
      </x:c>
      <x:c r="BO1" s="4" t="str">
        <x:v>ДЕНЕЖНЫЙ ПОТОК · ОЧЕРЕДЬ 3</x:v>
      </x:c>
      <x:c r="BP1" s="4" t="str">
        <x:v>ДЕНЕЖНЫЙ ПОТОК · ОЧЕРЕДЬ 3</x:v>
      </x:c>
      <x:c r="BQ1" s="4" t="str">
        <x:v>ДЕНЕЖНЫЙ ПОТОК · ОЧЕРЕДЬ 3</x:v>
      </x:c>
      <x:c r="BR1" s="4" t="str">
        <x:v>ДЕНЕЖНЫЙ ПОТОК · ОЧЕРЕДЬ 3</x:v>
      </x:c>
      <x:c r="BS1" s="4" t="str">
        <x:v>ДЕНЕЖНЫЙ ПОТОК · ОЧЕРЕДЬ 3</x:v>
      </x:c>
      <x:c r="BT1" s="4" t="str">
        <x:v>ДЕНЕЖНЫЙ ПОТОК · ОЧЕРЕДЬ 3</x:v>
      </x:c>
      <x:c r="BU1" s="4" t="str">
        <x:v>ДЕНЕЖНЫЙ ПОТОК · ОЧЕРЕДЬ 3</x:v>
      </x:c>
      <x:c r="BV1" s="4" t="str">
        <x:v>ДЕНЕЖНЫЙ ПОТОК · ОЧЕРЕДЬ 3</x:v>
      </x:c>
      <x:c r="BW1" s="4" t="str">
        <x:v>ДЕНЕЖНЫЙ ПОТОК · ОЧЕРЕДЬ 3</x:v>
      </x:c>
      <x:c r="BX1" s="4" t="str">
        <x:v>ДЕНЕЖНЫЙ ПОТОК · ОЧЕРЕДЬ 3</x:v>
      </x:c>
      <x:c r="BY1" s="4" t="str">
        <x:v>ДЕНЕЖНЫЙ ПОТОК · ОЧЕРЕДЬ 3</x:v>
      </x:c>
      <x:c r="BZ1" s="4" t="str">
        <x:v>ДЕНЕЖНЫЙ ПОТОК · ОЧЕРЕДЬ 3</x:v>
      </x:c>
      <x:c r="CA1" s="4" t="str">
        <x:v>ДЕНЕЖНЫЙ ПОТОК · ОЧЕРЕДЬ 3</x:v>
      </x:c>
      <x:c r="CB1" s="4" t="str">
        <x:v>ДЕНЕЖНЫЙ ПОТОК · ОЧЕРЕДЬ 3</x:v>
      </x:c>
      <x:c r="CC1" s="4" t="str">
        <x:v>ДЕНЕЖНЫЙ ПОТОК · ОЧЕРЕДЬ 3</x:v>
      </x:c>
      <x:c r="CD1" s="4" t="str">
        <x:v>ДЕНЕЖНЫЙ ПОТОК · ОЧЕРЕДЬ 3</x:v>
      </x:c>
      <x:c r="CE1" s="4" t="str">
        <x:v>ДЕНЕЖНЫЙ ПОТОК · ОЧЕРЕДЬ 3</x:v>
      </x:c>
      <x:c r="CF1" s="4" t="str">
        <x:v>ДЕНЕЖНЫЙ ПОТОК · ОЧЕРЕДЬ 3</x:v>
      </x:c>
      <x:c r="CG1" s="4" t="str">
        <x:v>ДЕНЕЖНЫЙ ПОТОК · ОЧЕРЕДЬ 3</x:v>
      </x:c>
      <x:c r="CH1" s="4" t="str">
        <x:v>ДЕНЕЖНЫЙ ПОТОК · ОЧЕРЕДЬ 3</x:v>
      </x:c>
      <x:c r="CI1" s="4" t="str">
        <x:v>ДЕНЕЖНЫЙ ПОТОК · ОЧЕРЕДЬ 3</x:v>
      </x:c>
      <x:c r="CJ1" s="4" t="str">
        <x:v>ДЕНЕЖНЫЙ ПОТОК · ОЧЕРЕДЬ 3</x:v>
      </x:c>
      <x:c r="CK1" s="4" t="str">
        <x:v>ДЕНЕЖНЫЙ ПОТОК · ОЧЕРЕДЬ 3</x:v>
      </x:c>
      <x:c r="CL1" s="4" t="str">
        <x:v>ДЕНЕЖНЫЙ ПОТОК · ОЧЕРЕДЬ 3</x:v>
      </x:c>
      <x:c r="CM1" s="4" t="str">
        <x:v>ДЕНЕЖНЫЙ ПОТОК · ОЧЕРЕДЬ 3</x:v>
      </x:c>
      <x:c r="CN1" s="4" t="str">
        <x:v>ДЕНЕЖНЫЙ ПОТОК · ОЧЕРЕДЬ 3</x:v>
      </x:c>
      <x:c r="CO1" s="4" t="str">
        <x:v>ДЕНЕЖНЫЙ ПОТОК · ОЧЕРЕДЬ 3</x:v>
      </x:c>
      <x:c r="CP1" s="4" t="str">
        <x:v>ДЕНЕЖНЫЙ ПОТОК · ОЧЕРЕДЬ 3</x:v>
      </x:c>
      <x:c r="CQ1" s="4" t="str">
        <x:v>ДЕНЕЖНЫЙ ПОТОК · ОЧЕРЕДЬ 3</x:v>
      </x:c>
      <x:c r="CR1" s="4" t="str">
        <x:v>ДЕНЕЖНЫЙ ПОТОК · ОЧЕРЕДЬ 3</x:v>
      </x:c>
      <x:c r="CS1" s="4" t="str">
        <x:v>ДЕНЕЖНЫЙ ПОТОК · ОЧЕРЕДЬ 3</x:v>
      </x:c>
      <x:c r="CT1" s="4" t="str">
        <x:v>ДЕНЕЖНЫЙ ПОТОК · ОЧЕРЕДЬ 3</x:v>
      </x:c>
      <x:c r="CU1" s="4" t="str">
        <x:v>ДЕНЕЖНЫЙ ПОТОК · ОЧЕРЕДЬ 3</x:v>
      </x:c>
      <x:c r="CV1" s="4" t="str">
        <x:v>ДЕНЕЖНЫЙ ПОТОК · ОЧЕРЕДЬ 3</x:v>
      </x:c>
      <x:c r="CW1" s="4" t="str">
        <x:v>ДЕНЕЖНЫЙ ПОТОК · ОЧЕРЕДЬ 3</x:v>
      </x:c>
      <x:c r="CX1" s="4" t="str">
        <x:v>ДЕНЕЖНЫЙ ПОТОК · ОЧЕРЕДЬ 3</x:v>
      </x:c>
      <x:c r="CY1" s="4" t="str">
        <x:v>ДЕНЕЖНЫЙ ПОТОК · ОЧЕРЕДЬ 3</x:v>
      </x:c>
      <x:c r="CZ1" s="4" t="str">
        <x:v>ДЕНЕЖНЫЙ ПОТОК · ОЧЕРЕДЬ 3</x:v>
      </x:c>
      <x:c r="DA1" s="4" t="str">
        <x:v>ДЕНЕЖНЫЙ ПОТОК · ОЧЕРЕДЬ 3</x:v>
      </x:c>
      <x:c r="DB1" s="4" t="str">
        <x:v>ДЕНЕЖНЫЙ ПОТОК · ОЧЕРЕДЬ 3</x:v>
      </x:c>
      <x:c r="DC1" s="4" t="str">
        <x:v>ДЕНЕЖНЫЙ ПОТОК · ОЧЕРЕДЬ 3</x:v>
      </x:c>
      <x:c r="DD1" s="4" t="str">
        <x:v>ДЕНЕЖНЫЙ ПОТОК · ОЧЕРЕДЬ 3</x:v>
      </x:c>
      <x:c r="DE1" s="4" t="str">
        <x:v>ДЕНЕЖНЫЙ ПОТОК · ОЧЕРЕДЬ 3</x:v>
      </x:c>
      <x:c r="DF1" s="4" t="str">
        <x:v>ДЕНЕЖНЫЙ ПОТОК · ОЧЕРЕДЬ 3</x:v>
      </x:c>
      <x:c r="DG1" s="4" t="str">
        <x:v>ДЕНЕЖНЫЙ ПОТОК · ОЧЕРЕДЬ 3</x:v>
      </x:c>
      <x:c r="DH1" s="4" t="str">
        <x:v>ДЕНЕЖНЫЙ ПОТОК · ОЧЕРЕДЬ 3</x:v>
      </x:c>
      <x:c r="DI1" s="4" t="str">
        <x:v>ДЕНЕЖНЫЙ ПОТОК · ОЧЕРЕДЬ 3</x:v>
      </x:c>
      <x:c r="DJ1" s="4" t="str">
        <x:v>ДЕНЕЖНЫЙ ПОТОК · ОЧЕРЕДЬ 3</x:v>
      </x:c>
      <x:c r="DK1" s="4" t="str">
        <x:v>ДЕНЕЖНЫЙ ПОТОК · ОЧЕРЕДЬ 3</x:v>
      </x:c>
      <x:c r="DL1" s="4" t="str">
        <x:v>ДЕНЕЖНЫЙ ПОТОК · ОЧЕРЕДЬ 3</x:v>
      </x:c>
      <x:c r="DM1" s="4" t="str">
        <x:v>ДЕНЕЖНЫЙ ПОТОК · ОЧЕРЕДЬ 3</x:v>
      </x:c>
      <x:c r="DN1" s="4" t="str">
        <x:v>ДЕНЕЖНЫЙ ПОТОК · ОЧЕРЕДЬ 3</x:v>
      </x:c>
      <x:c r="DO1" s="4" t="str">
        <x:v>ДЕНЕЖНЫЙ ПОТОК · ОЧЕРЕДЬ 3</x:v>
      </x:c>
      <x:c r="DP1" s="4" t="str">
        <x:v>ДЕНЕЖНЫЙ ПОТОК · ОЧЕРЕДЬ 3</x:v>
      </x:c>
      <x:c r="DQ1" s="4" t="str">
        <x:v>ДЕНЕЖНЫЙ ПОТОК · ОЧЕРЕДЬ 3</x:v>
      </x:c>
      <x:c r="DR1" s="4" t="str">
        <x:v>ДЕНЕЖНЫЙ ПОТОК · ОЧЕРЕДЬ 3</x:v>
      </x:c>
      <x:c r="DS1" s="4" t="str">
        <x:v>ДЕНЕЖНЫЙ ПОТОК · ОЧЕРЕДЬ 3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--('Вводные'!$B$90="Да")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EDATE('Вводные'!$D$90,'Вводные'!$H$9)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EDATE(B6,'Вводные'!$E$90)</x:f>
      </x:c>
      <x:c r="C7" t="str">
        <x:v>дата</x:v>
      </x:c>
    </x:row>
    <x:row r="8">
      <x:c r="A8" t="str">
        <x:v>РВЭ</x:v>
      </x:c>
      <x:c r="B8" s="106" t="n">
        <x:f>EDATE(B7,'Вводные'!$F$90)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'Продажи'!D72+'ОБЪЕКТЫ'!D108</x:f>
      </x:c>
      <x:c r="E10" s="117" t="n">
        <x:f>'Продажи'!E72+'ОБЪЕКТЫ'!E108</x:f>
      </x:c>
      <x:c r="F10" s="117" t="n">
        <x:f>'Продажи'!F72+'ОБЪЕКТЫ'!F108</x:f>
      </x:c>
      <x:c r="G10" s="117" t="n">
        <x:f>'Продажи'!G72+'ОБЪЕКТЫ'!G108</x:f>
      </x:c>
      <x:c r="H10" s="117" t="n">
        <x:f>'Продажи'!H72+'ОБЪЕКТЫ'!H108</x:f>
      </x:c>
      <x:c r="I10" s="117" t="n">
        <x:f>'Продажи'!I72+'ОБЪЕКТЫ'!I108</x:f>
      </x:c>
      <x:c r="J10" s="117" t="n">
        <x:f>'Продажи'!J72+'ОБЪЕКТЫ'!J108</x:f>
      </x:c>
      <x:c r="K10" s="117" t="n">
        <x:f>'Продажи'!K72+'ОБЪЕКТЫ'!K108</x:f>
      </x:c>
      <x:c r="L10" s="117" t="n">
        <x:f>'Продажи'!L72+'ОБЪЕКТЫ'!L108</x:f>
      </x:c>
      <x:c r="M10" s="117" t="n">
        <x:f>'Продажи'!M72+'ОБЪЕКТЫ'!M108</x:f>
      </x:c>
      <x:c r="N10" s="117" t="n">
        <x:f>'Продажи'!N72+'ОБЪЕКТЫ'!N108</x:f>
      </x:c>
      <x:c r="O10" s="117" t="n">
        <x:f>'Продажи'!O72+'ОБЪЕКТЫ'!O108</x:f>
      </x:c>
      <x:c r="P10" s="117" t="n">
        <x:f>'Продажи'!P72+'ОБЪЕКТЫ'!P108</x:f>
      </x:c>
      <x:c r="Q10" s="117" t="n">
        <x:f>'Продажи'!Q72+'ОБЪЕКТЫ'!Q108</x:f>
      </x:c>
      <x:c r="R10" s="117" t="n">
        <x:f>'Продажи'!R72+'ОБЪЕКТЫ'!R108</x:f>
      </x:c>
      <x:c r="S10" s="117" t="n">
        <x:f>'Продажи'!S72+'ОБЪЕКТЫ'!S108</x:f>
      </x:c>
      <x:c r="T10" s="117" t="n">
        <x:f>'Продажи'!T72+'ОБЪЕКТЫ'!T108</x:f>
      </x:c>
      <x:c r="U10" s="117" t="n">
        <x:f>'Продажи'!U72+'ОБЪЕКТЫ'!U108</x:f>
      </x:c>
      <x:c r="V10" s="117" t="n">
        <x:f>'Продажи'!V72+'ОБЪЕКТЫ'!V108</x:f>
      </x:c>
      <x:c r="W10" s="117" t="n">
        <x:f>'Продажи'!W72+'ОБЪЕКТЫ'!W108</x:f>
      </x:c>
      <x:c r="X10" s="117" t="n">
        <x:f>'Продажи'!X72+'ОБЪЕКТЫ'!X108</x:f>
      </x:c>
      <x:c r="Y10" s="117" t="n">
        <x:f>'Продажи'!Y72+'ОБЪЕКТЫ'!Y108</x:f>
      </x:c>
      <x:c r="Z10" s="117" t="n">
        <x:f>'Продажи'!Z72+'ОБЪЕКТЫ'!Z108</x:f>
      </x:c>
      <x:c r="AA10" s="117" t="n">
        <x:f>'Продажи'!AA72+'ОБЪЕКТЫ'!AA108</x:f>
      </x:c>
      <x:c r="AB10" s="117" t="n">
        <x:f>'Продажи'!AB72+'ОБЪЕКТЫ'!AB108</x:f>
      </x:c>
      <x:c r="AC10" s="117" t="n">
        <x:f>'Продажи'!AC72+'ОБЪЕКТЫ'!AC108</x:f>
      </x:c>
      <x:c r="AD10" s="117" t="n">
        <x:f>'Продажи'!AD72+'ОБЪЕКТЫ'!AD108</x:f>
      </x:c>
      <x:c r="AE10" s="117" t="n">
        <x:f>'Продажи'!AE72+'ОБЪЕКТЫ'!AE108</x:f>
      </x:c>
      <x:c r="AF10" s="117" t="n">
        <x:f>'Продажи'!AF72+'ОБЪЕКТЫ'!AF108</x:f>
      </x:c>
      <x:c r="AG10" s="117" t="n">
        <x:f>'Продажи'!AG72+'ОБЪЕКТЫ'!AG108</x:f>
      </x:c>
      <x:c r="AH10" s="117" t="n">
        <x:f>'Продажи'!AH72+'ОБЪЕКТЫ'!AH108</x:f>
      </x:c>
      <x:c r="AI10" s="117" t="n">
        <x:f>'Продажи'!AI72+'ОБЪЕКТЫ'!AI108</x:f>
      </x:c>
      <x:c r="AJ10" s="117" t="n">
        <x:f>'Продажи'!AJ72+'ОБЪЕКТЫ'!AJ108</x:f>
      </x:c>
      <x:c r="AK10" s="117" t="n">
        <x:f>'Продажи'!AK72+'ОБЪЕКТЫ'!AK108</x:f>
      </x:c>
      <x:c r="AL10" s="117" t="n">
        <x:f>'Продажи'!AL72+'ОБЪЕКТЫ'!AL108</x:f>
      </x:c>
      <x:c r="AM10" s="117" t="n">
        <x:f>'Продажи'!AM72+'ОБЪЕКТЫ'!AM108</x:f>
      </x:c>
      <x:c r="AN10" s="117" t="n">
        <x:f>'Продажи'!AN72+'ОБЪЕКТЫ'!AN108</x:f>
      </x:c>
      <x:c r="AO10" s="117" t="n">
        <x:f>'Продажи'!AO72+'ОБЪЕКТЫ'!AO108</x:f>
      </x:c>
      <x:c r="AP10" s="117" t="n">
        <x:f>'Продажи'!AP72+'ОБЪЕКТЫ'!AP108</x:f>
      </x:c>
      <x:c r="AQ10" s="117" t="n">
        <x:f>'Продажи'!AQ72+'ОБЪЕКТЫ'!AQ108</x:f>
      </x:c>
      <x:c r="AR10" s="117" t="n">
        <x:f>'Продажи'!AR72+'ОБЪЕКТЫ'!AR108</x:f>
      </x:c>
      <x:c r="AS10" s="117" t="n">
        <x:f>'Продажи'!AS72+'ОБЪЕКТЫ'!AS108</x:f>
      </x:c>
      <x:c r="AT10" s="117" t="n">
        <x:f>'Продажи'!AT72+'ОБЪЕКТЫ'!AT108</x:f>
      </x:c>
      <x:c r="AU10" s="117" t="n">
        <x:f>'Продажи'!AU72+'ОБЪЕКТЫ'!AU108</x:f>
      </x:c>
      <x:c r="AV10" s="117" t="n">
        <x:f>'Продажи'!AV72+'ОБЪЕКТЫ'!AV108</x:f>
      </x:c>
      <x:c r="AW10" s="117" t="n">
        <x:f>'Продажи'!AW72+'ОБЪЕКТЫ'!AW108</x:f>
      </x:c>
      <x:c r="AX10" s="117" t="n">
        <x:f>'Продажи'!AX72+'ОБЪЕКТЫ'!AX108</x:f>
      </x:c>
      <x:c r="AY10" s="117" t="n">
        <x:f>'Продажи'!AY72+'ОБЪЕКТЫ'!AY108</x:f>
      </x:c>
      <x:c r="AZ10" s="117" t="n">
        <x:f>'Продажи'!AZ72+'ОБЪЕКТЫ'!AZ108</x:f>
      </x:c>
      <x:c r="BA10" s="117" t="n">
        <x:f>'Продажи'!BA72+'ОБЪЕКТЫ'!BA108</x:f>
      </x:c>
      <x:c r="BB10" s="117" t="n">
        <x:f>'Продажи'!BB72+'ОБЪЕКТЫ'!BB108</x:f>
      </x:c>
      <x:c r="BC10" s="117" t="n">
        <x:f>'Продажи'!BC72+'ОБЪЕКТЫ'!BC108</x:f>
      </x:c>
      <x:c r="BD10" s="117" t="n">
        <x:f>'Продажи'!BD72+'ОБЪЕКТЫ'!BD108</x:f>
      </x:c>
      <x:c r="BE10" s="117" t="n">
        <x:f>'Продажи'!BE72+'ОБЪЕКТЫ'!BE108</x:f>
      </x:c>
      <x:c r="BF10" s="117" t="n">
        <x:f>'Продажи'!BF72+'ОБЪЕКТЫ'!BF108</x:f>
      </x:c>
      <x:c r="BG10" s="117" t="n">
        <x:f>'Продажи'!BG72+'ОБЪЕКТЫ'!BG108</x:f>
      </x:c>
      <x:c r="BH10" s="117" t="n">
        <x:f>'Продажи'!BH72+'ОБЪЕКТЫ'!BH108</x:f>
      </x:c>
      <x:c r="BI10" s="117" t="n">
        <x:f>'Продажи'!BI72+'ОБЪЕКТЫ'!BI108</x:f>
      </x:c>
      <x:c r="BJ10" s="117" t="n">
        <x:f>'Продажи'!BJ72+'ОБЪЕКТЫ'!BJ108</x:f>
      </x:c>
      <x:c r="BK10" s="117" t="n">
        <x:f>'Продажи'!BK72+'ОБЪЕКТЫ'!BK108</x:f>
      </x:c>
      <x:c r="BL10" s="117" t="n">
        <x:f>'Продажи'!BL72+'ОБЪЕКТЫ'!BL108</x:f>
      </x:c>
      <x:c r="BM10" s="117" t="n">
        <x:f>'Продажи'!BM72+'ОБЪЕКТЫ'!BM108</x:f>
      </x:c>
      <x:c r="BN10" s="117" t="n">
        <x:f>'Продажи'!BN72+'ОБЪЕКТЫ'!BN108</x:f>
      </x:c>
      <x:c r="BO10" s="117" t="n">
        <x:f>'Продажи'!BO72+'ОБЪЕКТЫ'!BO108</x:f>
      </x:c>
      <x:c r="BP10" s="117" t="n">
        <x:f>'Продажи'!BP72+'ОБЪЕКТЫ'!BP108</x:f>
      </x:c>
      <x:c r="BQ10" s="117" t="n">
        <x:f>'Продажи'!BQ72+'ОБЪЕКТЫ'!BQ108</x:f>
      </x:c>
      <x:c r="BR10" s="117" t="n">
        <x:f>'Продажи'!BR72+'ОБЪЕКТЫ'!BR108</x:f>
      </x:c>
      <x:c r="BS10" s="117" t="n">
        <x:f>'Продажи'!BS72+'ОБЪЕКТЫ'!BS108</x:f>
      </x:c>
      <x:c r="BT10" s="117" t="n">
        <x:f>'Продажи'!BT72+'ОБЪЕКТЫ'!BT108</x:f>
      </x:c>
      <x:c r="BU10" s="117" t="n">
        <x:f>'Продажи'!BU72+'ОБЪЕКТЫ'!BU108</x:f>
      </x:c>
      <x:c r="BV10" s="117" t="n">
        <x:f>'Продажи'!BV72+'ОБЪЕКТЫ'!BV108</x:f>
      </x:c>
      <x:c r="BW10" s="117" t="n">
        <x:f>'Продажи'!BW72+'ОБЪЕКТЫ'!BW108</x:f>
      </x:c>
      <x:c r="BX10" s="117" t="n">
        <x:f>'Продажи'!BX72+'ОБЪЕКТЫ'!BX108</x:f>
      </x:c>
      <x:c r="BY10" s="117" t="n">
        <x:f>'Продажи'!BY72+'ОБЪЕКТЫ'!BY108</x:f>
      </x:c>
      <x:c r="BZ10" s="117" t="n">
        <x:f>'Продажи'!BZ72+'ОБЪЕКТЫ'!BZ108</x:f>
      </x:c>
      <x:c r="CA10" s="117" t="n">
        <x:f>'Продажи'!CA72+'ОБЪЕКТЫ'!CA108</x:f>
      </x:c>
      <x:c r="CB10" s="117" t="n">
        <x:f>'Продажи'!CB72+'ОБЪЕКТЫ'!CB108</x:f>
      </x:c>
      <x:c r="CC10" s="117" t="n">
        <x:f>'Продажи'!CC72+'ОБЪЕКТЫ'!CC108</x:f>
      </x:c>
      <x:c r="CD10" s="117" t="n">
        <x:f>'Продажи'!CD72+'ОБЪЕКТЫ'!CD108</x:f>
      </x:c>
      <x:c r="CE10" s="117" t="n">
        <x:f>'Продажи'!CE72+'ОБЪЕКТЫ'!CE108</x:f>
      </x:c>
      <x:c r="CF10" s="117" t="n">
        <x:f>'Продажи'!CF72+'ОБЪЕКТЫ'!CF108</x:f>
      </x:c>
      <x:c r="CG10" s="117" t="n">
        <x:f>'Продажи'!CG72+'ОБЪЕКТЫ'!CG108</x:f>
      </x:c>
      <x:c r="CH10" s="117" t="n">
        <x:f>'Продажи'!CH72+'ОБЪЕКТЫ'!CH108</x:f>
      </x:c>
      <x:c r="CI10" s="117" t="n">
        <x:f>'Продажи'!CI72+'ОБЪЕКТЫ'!CI108</x:f>
      </x:c>
      <x:c r="CJ10" s="117" t="n">
        <x:f>'Продажи'!CJ72+'ОБЪЕКТЫ'!CJ108</x:f>
      </x:c>
      <x:c r="CK10" s="117" t="n">
        <x:f>'Продажи'!CK72+'ОБЪЕКТЫ'!CK108</x:f>
      </x:c>
      <x:c r="CL10" s="117" t="n">
        <x:f>'Продажи'!CL72+'ОБЪЕКТЫ'!CL108</x:f>
      </x:c>
      <x:c r="CM10" s="117" t="n">
        <x:f>'Продажи'!CM72+'ОБЪЕКТЫ'!CM108</x:f>
      </x:c>
      <x:c r="CN10" s="117" t="n">
        <x:f>'Продажи'!CN72+'ОБЪЕКТЫ'!CN108</x:f>
      </x:c>
      <x:c r="CO10" s="117" t="n">
        <x:f>'Продажи'!CO72+'ОБЪЕКТЫ'!CO108</x:f>
      </x:c>
      <x:c r="CP10" s="117" t="n">
        <x:f>'Продажи'!CP72+'ОБЪЕКТЫ'!CP108</x:f>
      </x:c>
      <x:c r="CQ10" s="117" t="n">
        <x:f>'Продажи'!CQ72+'ОБЪЕКТЫ'!CQ108</x:f>
      </x:c>
      <x:c r="CR10" s="117" t="n">
        <x:f>'Продажи'!CR72+'ОБЪЕКТЫ'!CR108</x:f>
      </x:c>
      <x:c r="CS10" s="117" t="n">
        <x:f>'Продажи'!CS72+'ОБЪЕКТЫ'!CS108</x:f>
      </x:c>
      <x:c r="CT10" s="117" t="n">
        <x:f>'Продажи'!CT72+'ОБЪЕКТЫ'!CT108</x:f>
      </x:c>
      <x:c r="CU10" s="117" t="n">
        <x:f>'Продажи'!CU72+'ОБЪЕКТЫ'!CU108</x:f>
      </x:c>
      <x:c r="CV10" s="117" t="n">
        <x:f>'Продажи'!CV72+'ОБЪЕКТЫ'!CV108</x:f>
      </x:c>
      <x:c r="CW10" s="117" t="n">
        <x:f>'Продажи'!CW72+'ОБЪЕКТЫ'!CW108</x:f>
      </x:c>
      <x:c r="CX10" s="117" t="n">
        <x:f>'Продажи'!CX72+'ОБЪЕКТЫ'!CX108</x:f>
      </x:c>
      <x:c r="CY10" s="117" t="n">
        <x:f>'Продажи'!CY72+'ОБЪЕКТЫ'!CY108</x:f>
      </x:c>
      <x:c r="CZ10" s="117" t="n">
        <x:f>'Продажи'!CZ72+'ОБЪЕКТЫ'!CZ108</x:f>
      </x:c>
      <x:c r="DA10" s="117" t="n">
        <x:f>'Продажи'!DA72+'ОБЪЕКТЫ'!DA108</x:f>
      </x:c>
      <x:c r="DB10" s="117" t="n">
        <x:f>'Продажи'!DB72+'ОБЪЕКТЫ'!DB108</x:f>
      </x:c>
      <x:c r="DC10" s="117" t="n">
        <x:f>'Продажи'!DC72+'ОБЪЕКТЫ'!DC108</x:f>
      </x:c>
      <x:c r="DD10" s="117" t="n">
        <x:f>'Продажи'!DD72+'ОБЪЕКТЫ'!DD108</x:f>
      </x:c>
      <x:c r="DE10" s="117" t="n">
        <x:f>'Продажи'!DE72+'ОБЪЕКТЫ'!DE108</x:f>
      </x:c>
      <x:c r="DF10" s="117" t="n">
        <x:f>'Продажи'!DF72+'ОБЪЕКТЫ'!DF108</x:f>
      </x:c>
      <x:c r="DG10" s="117" t="n">
        <x:f>'Продажи'!DG72+'ОБЪЕКТЫ'!DG108</x:f>
      </x:c>
      <x:c r="DH10" s="117" t="n">
        <x:f>'Продажи'!DH72+'ОБЪЕКТЫ'!DH108</x:f>
      </x:c>
      <x:c r="DI10" s="117" t="n">
        <x:f>'Продажи'!DI72+'ОБЪЕКТЫ'!DI108</x:f>
      </x:c>
      <x:c r="DJ10" s="117" t="n">
        <x:f>'Продажи'!DJ72+'ОБЪЕКТЫ'!DJ108</x:f>
      </x:c>
      <x:c r="DK10" s="117" t="n">
        <x:f>'Продажи'!DK72+'ОБЪЕКТЫ'!DK108</x:f>
      </x:c>
      <x:c r="DL10" s="117" t="n">
        <x:f>'Продажи'!DL72+'ОБЪЕКТЫ'!DL108</x:f>
      </x:c>
      <x:c r="DM10" s="117" t="n">
        <x:f>'Продажи'!DM72+'ОБЪЕКТЫ'!DM108</x:f>
      </x:c>
      <x:c r="DN10" s="117" t="n">
        <x:f>'Продажи'!DN72+'ОБЪЕКТЫ'!DN108</x:f>
      </x:c>
      <x:c r="DO10" s="117" t="n">
        <x:f>'Продажи'!DO72+'ОБЪЕКТЫ'!DO108</x:f>
      </x:c>
      <x:c r="DP10" s="117" t="n">
        <x:f>'Продажи'!DP72+'ОБЪЕКТЫ'!DP108</x:f>
      </x:c>
      <x:c r="DQ10" s="117" t="n">
        <x:f>'Продажи'!DQ72+'ОБЪЕКТЫ'!DQ108</x:f>
      </x:c>
      <x:c r="DR10" s="117" t="n">
        <x:f>'Продажи'!DR72+'ОБЪЕКТЫ'!DR108</x:f>
      </x:c>
      <x:c r="DS10" s="117" t="n">
        <x:f>'Продажи'!DS72+'ОБЪЕКТЫ'!DS108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IF(D$3&lt;$B$8,'Продажи'!D72,0)+'ОБЪЕКТЫ'!D109</x:f>
      </x:c>
      <x:c r="E11" s="117" t="n">
        <x:f>IF(E$3&lt;$B$8,'Продажи'!E72,0)+'ОБЪЕКТЫ'!E109</x:f>
      </x:c>
      <x:c r="F11" s="117" t="n">
        <x:f>IF(F$3&lt;$B$8,'Продажи'!F72,0)+'ОБЪЕКТЫ'!F109</x:f>
      </x:c>
      <x:c r="G11" s="117" t="n">
        <x:f>IF(G$3&lt;$B$8,'Продажи'!G72,0)+'ОБЪЕКТЫ'!G109</x:f>
      </x:c>
      <x:c r="H11" s="117" t="n">
        <x:f>IF(H$3&lt;$B$8,'Продажи'!H72,0)+'ОБЪЕКТЫ'!H109</x:f>
      </x:c>
      <x:c r="I11" s="117" t="n">
        <x:f>IF(I$3&lt;$B$8,'Продажи'!I72,0)+'ОБЪЕКТЫ'!I109</x:f>
      </x:c>
      <x:c r="J11" s="117" t="n">
        <x:f>IF(J$3&lt;$B$8,'Продажи'!J72,0)+'ОБЪЕКТЫ'!J109</x:f>
      </x:c>
      <x:c r="K11" s="117" t="n">
        <x:f>IF(K$3&lt;$B$8,'Продажи'!K72,0)+'ОБЪЕКТЫ'!K109</x:f>
      </x:c>
      <x:c r="L11" s="117" t="n">
        <x:f>IF(L$3&lt;$B$8,'Продажи'!L72,0)+'ОБЪЕКТЫ'!L109</x:f>
      </x:c>
      <x:c r="M11" s="117" t="n">
        <x:f>IF(M$3&lt;$B$8,'Продажи'!M72,0)+'ОБЪЕКТЫ'!M109</x:f>
      </x:c>
      <x:c r="N11" s="117" t="n">
        <x:f>IF(N$3&lt;$B$8,'Продажи'!N72,0)+'ОБЪЕКТЫ'!N109</x:f>
      </x:c>
      <x:c r="O11" s="117" t="n">
        <x:f>IF(O$3&lt;$B$8,'Продажи'!O72,0)+'ОБЪЕКТЫ'!O109</x:f>
      </x:c>
      <x:c r="P11" s="117" t="n">
        <x:f>IF(P$3&lt;$B$8,'Продажи'!P72,0)+'ОБЪЕКТЫ'!P109</x:f>
      </x:c>
      <x:c r="Q11" s="117" t="n">
        <x:f>IF(Q$3&lt;$B$8,'Продажи'!Q72,0)+'ОБЪЕКТЫ'!Q109</x:f>
      </x:c>
      <x:c r="R11" s="117" t="n">
        <x:f>IF(R$3&lt;$B$8,'Продажи'!R72,0)+'ОБЪЕКТЫ'!R109</x:f>
      </x:c>
      <x:c r="S11" s="117" t="n">
        <x:f>IF(S$3&lt;$B$8,'Продажи'!S72,0)+'ОБЪЕКТЫ'!S109</x:f>
      </x:c>
      <x:c r="T11" s="117" t="n">
        <x:f>IF(T$3&lt;$B$8,'Продажи'!T72,0)+'ОБЪЕКТЫ'!T109</x:f>
      </x:c>
      <x:c r="U11" s="117" t="n">
        <x:f>IF(U$3&lt;$B$8,'Продажи'!U72,0)+'ОБЪЕКТЫ'!U109</x:f>
      </x:c>
      <x:c r="V11" s="117" t="n">
        <x:f>IF(V$3&lt;$B$8,'Продажи'!V72,0)+'ОБЪЕКТЫ'!V109</x:f>
      </x:c>
      <x:c r="W11" s="117" t="n">
        <x:f>IF(W$3&lt;$B$8,'Продажи'!W72,0)+'ОБЪЕКТЫ'!W109</x:f>
      </x:c>
      <x:c r="X11" s="117" t="n">
        <x:f>IF(X$3&lt;$B$8,'Продажи'!X72,0)+'ОБЪЕКТЫ'!X109</x:f>
      </x:c>
      <x:c r="Y11" s="117" t="n">
        <x:f>IF(Y$3&lt;$B$8,'Продажи'!Y72,0)+'ОБЪЕКТЫ'!Y109</x:f>
      </x:c>
      <x:c r="Z11" s="117" t="n">
        <x:f>IF(Z$3&lt;$B$8,'Продажи'!Z72,0)+'ОБЪЕКТЫ'!Z109</x:f>
      </x:c>
      <x:c r="AA11" s="117" t="n">
        <x:f>IF(AA$3&lt;$B$8,'Продажи'!AA72,0)+'ОБЪЕКТЫ'!AA109</x:f>
      </x:c>
      <x:c r="AB11" s="117" t="n">
        <x:f>IF(AB$3&lt;$B$8,'Продажи'!AB72,0)+'ОБЪЕКТЫ'!AB109</x:f>
      </x:c>
      <x:c r="AC11" s="117" t="n">
        <x:f>IF(AC$3&lt;$B$8,'Продажи'!AC72,0)+'ОБЪЕКТЫ'!AC109</x:f>
      </x:c>
      <x:c r="AD11" s="117" t="n">
        <x:f>IF(AD$3&lt;$B$8,'Продажи'!AD72,0)+'ОБЪЕКТЫ'!AD109</x:f>
      </x:c>
      <x:c r="AE11" s="117" t="n">
        <x:f>IF(AE$3&lt;$B$8,'Продажи'!AE72,0)+'ОБЪЕКТЫ'!AE109</x:f>
      </x:c>
      <x:c r="AF11" s="117" t="n">
        <x:f>IF(AF$3&lt;$B$8,'Продажи'!AF72,0)+'ОБЪЕКТЫ'!AF109</x:f>
      </x:c>
      <x:c r="AG11" s="117" t="n">
        <x:f>IF(AG$3&lt;$B$8,'Продажи'!AG72,0)+'ОБЪЕКТЫ'!AG109</x:f>
      </x:c>
      <x:c r="AH11" s="117" t="n">
        <x:f>IF(AH$3&lt;$B$8,'Продажи'!AH72,0)+'ОБЪЕКТЫ'!AH109</x:f>
      </x:c>
      <x:c r="AI11" s="117" t="n">
        <x:f>IF(AI$3&lt;$B$8,'Продажи'!AI72,0)+'ОБЪЕКТЫ'!AI109</x:f>
      </x:c>
      <x:c r="AJ11" s="117" t="n">
        <x:f>IF(AJ$3&lt;$B$8,'Продажи'!AJ72,0)+'ОБЪЕКТЫ'!AJ109</x:f>
      </x:c>
      <x:c r="AK11" s="117" t="n">
        <x:f>IF(AK$3&lt;$B$8,'Продажи'!AK72,0)+'ОБЪЕКТЫ'!AK109</x:f>
      </x:c>
      <x:c r="AL11" s="117" t="n">
        <x:f>IF(AL$3&lt;$B$8,'Продажи'!AL72,0)+'ОБЪЕКТЫ'!AL109</x:f>
      </x:c>
      <x:c r="AM11" s="117" t="n">
        <x:f>IF(AM$3&lt;$B$8,'Продажи'!AM72,0)+'ОБЪЕКТЫ'!AM109</x:f>
      </x:c>
      <x:c r="AN11" s="117" t="n">
        <x:f>IF(AN$3&lt;$B$8,'Продажи'!AN72,0)+'ОБЪЕКТЫ'!AN109</x:f>
      </x:c>
      <x:c r="AO11" s="117" t="n">
        <x:f>IF(AO$3&lt;$B$8,'Продажи'!AO72,0)+'ОБЪЕКТЫ'!AO109</x:f>
      </x:c>
      <x:c r="AP11" s="117" t="n">
        <x:f>IF(AP$3&lt;$B$8,'Продажи'!AP72,0)+'ОБЪЕКТЫ'!AP109</x:f>
      </x:c>
      <x:c r="AQ11" s="117" t="n">
        <x:f>IF(AQ$3&lt;$B$8,'Продажи'!AQ72,0)+'ОБЪЕКТЫ'!AQ109</x:f>
      </x:c>
      <x:c r="AR11" s="117" t="n">
        <x:f>IF(AR$3&lt;$B$8,'Продажи'!AR72,0)+'ОБЪЕКТЫ'!AR109</x:f>
      </x:c>
      <x:c r="AS11" s="117" t="n">
        <x:f>IF(AS$3&lt;$B$8,'Продажи'!AS72,0)+'ОБЪЕКТЫ'!AS109</x:f>
      </x:c>
      <x:c r="AT11" s="117" t="n">
        <x:f>IF(AT$3&lt;$B$8,'Продажи'!AT72,0)+'ОБЪЕКТЫ'!AT109</x:f>
      </x:c>
      <x:c r="AU11" s="117" t="n">
        <x:f>IF(AU$3&lt;$B$8,'Продажи'!AU72,0)+'ОБЪЕКТЫ'!AU109</x:f>
      </x:c>
      <x:c r="AV11" s="117" t="n">
        <x:f>IF(AV$3&lt;$B$8,'Продажи'!AV72,0)+'ОБЪЕКТЫ'!AV109</x:f>
      </x:c>
      <x:c r="AW11" s="117" t="n">
        <x:f>IF(AW$3&lt;$B$8,'Продажи'!AW72,0)+'ОБЪЕКТЫ'!AW109</x:f>
      </x:c>
      <x:c r="AX11" s="117" t="n">
        <x:f>IF(AX$3&lt;$B$8,'Продажи'!AX72,0)+'ОБЪЕКТЫ'!AX109</x:f>
      </x:c>
      <x:c r="AY11" s="117" t="n">
        <x:f>IF(AY$3&lt;$B$8,'Продажи'!AY72,0)+'ОБЪЕКТЫ'!AY109</x:f>
      </x:c>
      <x:c r="AZ11" s="117" t="n">
        <x:f>IF(AZ$3&lt;$B$8,'Продажи'!AZ72,0)+'ОБЪЕКТЫ'!AZ109</x:f>
      </x:c>
      <x:c r="BA11" s="117" t="n">
        <x:f>IF(BA$3&lt;$B$8,'Продажи'!BA72,0)+'ОБЪЕКТЫ'!BA109</x:f>
      </x:c>
      <x:c r="BB11" s="117" t="n">
        <x:f>IF(BB$3&lt;$B$8,'Продажи'!BB72,0)+'ОБЪЕКТЫ'!BB109</x:f>
      </x:c>
      <x:c r="BC11" s="117" t="n">
        <x:f>IF(BC$3&lt;$B$8,'Продажи'!BC72,0)+'ОБЪЕКТЫ'!BC109</x:f>
      </x:c>
      <x:c r="BD11" s="117" t="n">
        <x:f>IF(BD$3&lt;$B$8,'Продажи'!BD72,0)+'ОБЪЕКТЫ'!BD109</x:f>
      </x:c>
      <x:c r="BE11" s="117" t="n">
        <x:f>IF(BE$3&lt;$B$8,'Продажи'!BE72,0)+'ОБЪЕКТЫ'!BE109</x:f>
      </x:c>
      <x:c r="BF11" s="117" t="n">
        <x:f>IF(BF$3&lt;$B$8,'Продажи'!BF72,0)+'ОБЪЕКТЫ'!BF109</x:f>
      </x:c>
      <x:c r="BG11" s="117" t="n">
        <x:f>IF(BG$3&lt;$B$8,'Продажи'!BG72,0)+'ОБЪЕКТЫ'!BG109</x:f>
      </x:c>
      <x:c r="BH11" s="117" t="n">
        <x:f>IF(BH$3&lt;$B$8,'Продажи'!BH72,0)+'ОБЪЕКТЫ'!BH109</x:f>
      </x:c>
      <x:c r="BI11" s="117" t="n">
        <x:f>IF(BI$3&lt;$B$8,'Продажи'!BI72,0)+'ОБЪЕКТЫ'!BI109</x:f>
      </x:c>
      <x:c r="BJ11" s="117" t="n">
        <x:f>IF(BJ$3&lt;$B$8,'Продажи'!BJ72,0)+'ОБЪЕКТЫ'!BJ109</x:f>
      </x:c>
      <x:c r="BK11" s="117" t="n">
        <x:f>IF(BK$3&lt;$B$8,'Продажи'!BK72,0)+'ОБЪЕКТЫ'!BK109</x:f>
      </x:c>
      <x:c r="BL11" s="117" t="n">
        <x:f>IF(BL$3&lt;$B$8,'Продажи'!BL72,0)+'ОБЪЕКТЫ'!BL109</x:f>
      </x:c>
      <x:c r="BM11" s="117" t="n">
        <x:f>IF(BM$3&lt;$B$8,'Продажи'!BM72,0)+'ОБЪЕКТЫ'!BM109</x:f>
      </x:c>
      <x:c r="BN11" s="117" t="n">
        <x:f>IF(BN$3&lt;$B$8,'Продажи'!BN72,0)+'ОБЪЕКТЫ'!BN109</x:f>
      </x:c>
      <x:c r="BO11" s="117" t="n">
        <x:f>IF(BO$3&lt;$B$8,'Продажи'!BO72,0)+'ОБЪЕКТЫ'!BO109</x:f>
      </x:c>
      <x:c r="BP11" s="117" t="n">
        <x:f>IF(BP$3&lt;$B$8,'Продажи'!BP72,0)+'ОБЪЕКТЫ'!BP109</x:f>
      </x:c>
      <x:c r="BQ11" s="117" t="n">
        <x:f>IF(BQ$3&lt;$B$8,'Продажи'!BQ72,0)+'ОБЪЕКТЫ'!BQ109</x:f>
      </x:c>
      <x:c r="BR11" s="117" t="n">
        <x:f>IF(BR$3&lt;$B$8,'Продажи'!BR72,0)+'ОБЪЕКТЫ'!BR109</x:f>
      </x:c>
      <x:c r="BS11" s="117" t="n">
        <x:f>IF(BS$3&lt;$B$8,'Продажи'!BS72,0)+'ОБЪЕКТЫ'!BS109</x:f>
      </x:c>
      <x:c r="BT11" s="117" t="n">
        <x:f>IF(BT$3&lt;$B$8,'Продажи'!BT72,0)+'ОБЪЕКТЫ'!BT109</x:f>
      </x:c>
      <x:c r="BU11" s="117" t="n">
        <x:f>IF(BU$3&lt;$B$8,'Продажи'!BU72,0)+'ОБЪЕКТЫ'!BU109</x:f>
      </x:c>
      <x:c r="BV11" s="117" t="n">
        <x:f>IF(BV$3&lt;$B$8,'Продажи'!BV72,0)+'ОБЪЕКТЫ'!BV109</x:f>
      </x:c>
      <x:c r="BW11" s="117" t="n">
        <x:f>IF(BW$3&lt;$B$8,'Продажи'!BW72,0)+'ОБЪЕКТЫ'!BW109</x:f>
      </x:c>
      <x:c r="BX11" s="117" t="n">
        <x:f>IF(BX$3&lt;$B$8,'Продажи'!BX72,0)+'ОБЪЕКТЫ'!BX109</x:f>
      </x:c>
      <x:c r="BY11" s="117" t="n">
        <x:f>IF(BY$3&lt;$B$8,'Продажи'!BY72,0)+'ОБЪЕКТЫ'!BY109</x:f>
      </x:c>
      <x:c r="BZ11" s="117" t="n">
        <x:f>IF(BZ$3&lt;$B$8,'Продажи'!BZ72,0)+'ОБЪЕКТЫ'!BZ109</x:f>
      </x:c>
      <x:c r="CA11" s="117" t="n">
        <x:f>IF(CA$3&lt;$B$8,'Продажи'!CA72,0)+'ОБЪЕКТЫ'!CA109</x:f>
      </x:c>
      <x:c r="CB11" s="117" t="n">
        <x:f>IF(CB$3&lt;$B$8,'Продажи'!CB72,0)+'ОБЪЕКТЫ'!CB109</x:f>
      </x:c>
      <x:c r="CC11" s="117" t="n">
        <x:f>IF(CC$3&lt;$B$8,'Продажи'!CC72,0)+'ОБЪЕКТЫ'!CC109</x:f>
      </x:c>
      <x:c r="CD11" s="117" t="n">
        <x:f>IF(CD$3&lt;$B$8,'Продажи'!CD72,0)+'ОБЪЕКТЫ'!CD109</x:f>
      </x:c>
      <x:c r="CE11" s="117" t="n">
        <x:f>IF(CE$3&lt;$B$8,'Продажи'!CE72,0)+'ОБЪЕКТЫ'!CE109</x:f>
      </x:c>
      <x:c r="CF11" s="117" t="n">
        <x:f>IF(CF$3&lt;$B$8,'Продажи'!CF72,0)+'ОБЪЕКТЫ'!CF109</x:f>
      </x:c>
      <x:c r="CG11" s="117" t="n">
        <x:f>IF(CG$3&lt;$B$8,'Продажи'!CG72,0)+'ОБЪЕКТЫ'!CG109</x:f>
      </x:c>
      <x:c r="CH11" s="117" t="n">
        <x:f>IF(CH$3&lt;$B$8,'Продажи'!CH72,0)+'ОБЪЕКТЫ'!CH109</x:f>
      </x:c>
      <x:c r="CI11" s="117" t="n">
        <x:f>IF(CI$3&lt;$B$8,'Продажи'!CI72,0)+'ОБЪЕКТЫ'!CI109</x:f>
      </x:c>
      <x:c r="CJ11" s="117" t="n">
        <x:f>IF(CJ$3&lt;$B$8,'Продажи'!CJ72,0)+'ОБЪЕКТЫ'!CJ109</x:f>
      </x:c>
      <x:c r="CK11" s="117" t="n">
        <x:f>IF(CK$3&lt;$B$8,'Продажи'!CK72,0)+'ОБЪЕКТЫ'!CK109</x:f>
      </x:c>
      <x:c r="CL11" s="117" t="n">
        <x:f>IF(CL$3&lt;$B$8,'Продажи'!CL72,0)+'ОБЪЕКТЫ'!CL109</x:f>
      </x:c>
      <x:c r="CM11" s="117" t="n">
        <x:f>IF(CM$3&lt;$B$8,'Продажи'!CM72,0)+'ОБЪЕКТЫ'!CM109</x:f>
      </x:c>
      <x:c r="CN11" s="117" t="n">
        <x:f>IF(CN$3&lt;$B$8,'Продажи'!CN72,0)+'ОБЪЕКТЫ'!CN109</x:f>
      </x:c>
      <x:c r="CO11" s="117" t="n">
        <x:f>IF(CO$3&lt;$B$8,'Продажи'!CO72,0)+'ОБЪЕКТЫ'!CO109</x:f>
      </x:c>
      <x:c r="CP11" s="117" t="n">
        <x:f>IF(CP$3&lt;$B$8,'Продажи'!CP72,0)+'ОБЪЕКТЫ'!CP109</x:f>
      </x:c>
      <x:c r="CQ11" s="117" t="n">
        <x:f>IF(CQ$3&lt;$B$8,'Продажи'!CQ72,0)+'ОБЪЕКТЫ'!CQ109</x:f>
      </x:c>
      <x:c r="CR11" s="117" t="n">
        <x:f>IF(CR$3&lt;$B$8,'Продажи'!CR72,0)+'ОБЪЕКТЫ'!CR109</x:f>
      </x:c>
      <x:c r="CS11" s="117" t="n">
        <x:f>IF(CS$3&lt;$B$8,'Продажи'!CS72,0)+'ОБЪЕКТЫ'!CS109</x:f>
      </x:c>
      <x:c r="CT11" s="117" t="n">
        <x:f>IF(CT$3&lt;$B$8,'Продажи'!CT72,0)+'ОБЪЕКТЫ'!CT109</x:f>
      </x:c>
      <x:c r="CU11" s="117" t="n">
        <x:f>IF(CU$3&lt;$B$8,'Продажи'!CU72,0)+'ОБЪЕКТЫ'!CU109</x:f>
      </x:c>
      <x:c r="CV11" s="117" t="n">
        <x:f>IF(CV$3&lt;$B$8,'Продажи'!CV72,0)+'ОБЪЕКТЫ'!CV109</x:f>
      </x:c>
      <x:c r="CW11" s="117" t="n">
        <x:f>IF(CW$3&lt;$B$8,'Продажи'!CW72,0)+'ОБЪЕКТЫ'!CW109</x:f>
      </x:c>
      <x:c r="CX11" s="117" t="n">
        <x:f>IF(CX$3&lt;$B$8,'Продажи'!CX72,0)+'ОБЪЕКТЫ'!CX109</x:f>
      </x:c>
      <x:c r="CY11" s="117" t="n">
        <x:f>IF(CY$3&lt;$B$8,'Продажи'!CY72,0)+'ОБЪЕКТЫ'!CY109</x:f>
      </x:c>
      <x:c r="CZ11" s="117" t="n">
        <x:f>IF(CZ$3&lt;$B$8,'Продажи'!CZ72,0)+'ОБЪЕКТЫ'!CZ109</x:f>
      </x:c>
      <x:c r="DA11" s="117" t="n">
        <x:f>IF(DA$3&lt;$B$8,'Продажи'!DA72,0)+'ОБЪЕКТЫ'!DA109</x:f>
      </x:c>
      <x:c r="DB11" s="117" t="n">
        <x:f>IF(DB$3&lt;$B$8,'Продажи'!DB72,0)+'ОБЪЕКТЫ'!DB109</x:f>
      </x:c>
      <x:c r="DC11" s="117" t="n">
        <x:f>IF(DC$3&lt;$B$8,'Продажи'!DC72,0)+'ОБЪЕКТЫ'!DC109</x:f>
      </x:c>
      <x:c r="DD11" s="117" t="n">
        <x:f>IF(DD$3&lt;$B$8,'Продажи'!DD72,0)+'ОБЪЕКТЫ'!DD109</x:f>
      </x:c>
      <x:c r="DE11" s="117" t="n">
        <x:f>IF(DE$3&lt;$B$8,'Продажи'!DE72,0)+'ОБЪЕКТЫ'!DE109</x:f>
      </x:c>
      <x:c r="DF11" s="117" t="n">
        <x:f>IF(DF$3&lt;$B$8,'Продажи'!DF72,0)+'ОБЪЕКТЫ'!DF109</x:f>
      </x:c>
      <x:c r="DG11" s="117" t="n">
        <x:f>IF(DG$3&lt;$B$8,'Продажи'!DG72,0)+'ОБЪЕКТЫ'!DG109</x:f>
      </x:c>
      <x:c r="DH11" s="117" t="n">
        <x:f>IF(DH$3&lt;$B$8,'Продажи'!DH72,0)+'ОБЪЕКТЫ'!DH109</x:f>
      </x:c>
      <x:c r="DI11" s="117" t="n">
        <x:f>IF(DI$3&lt;$B$8,'Продажи'!DI72,0)+'ОБЪЕКТЫ'!DI109</x:f>
      </x:c>
      <x:c r="DJ11" s="117" t="n">
        <x:f>IF(DJ$3&lt;$B$8,'Продажи'!DJ72,0)+'ОБЪЕКТЫ'!DJ109</x:f>
      </x:c>
      <x:c r="DK11" s="117" t="n">
        <x:f>IF(DK$3&lt;$B$8,'Продажи'!DK72,0)+'ОБЪЕКТЫ'!DK109</x:f>
      </x:c>
      <x:c r="DL11" s="117" t="n">
        <x:f>IF(DL$3&lt;$B$8,'Продажи'!DL72,0)+'ОБЪЕКТЫ'!DL109</x:f>
      </x:c>
      <x:c r="DM11" s="117" t="n">
        <x:f>IF(DM$3&lt;$B$8,'Продажи'!DM72,0)+'ОБЪЕКТЫ'!DM109</x:f>
      </x:c>
      <x:c r="DN11" s="117" t="n">
        <x:f>IF(DN$3&lt;$B$8,'Продажи'!DN72,0)+'ОБЪЕКТЫ'!DN109</x:f>
      </x:c>
      <x:c r="DO11" s="117" t="n">
        <x:f>IF(DO$3&lt;$B$8,'Продажи'!DO72,0)+'ОБЪЕКТЫ'!DO109</x:f>
      </x:c>
      <x:c r="DP11" s="117" t="n">
        <x:f>IF(DP$3&lt;$B$8,'Продажи'!DP72,0)+'ОБЪЕКТЫ'!DP109</x:f>
      </x:c>
      <x:c r="DQ11" s="117" t="n">
        <x:f>IF(DQ$3&lt;$B$8,'Продажи'!DQ72,0)+'ОБЪЕКТЫ'!DQ109</x:f>
      </x:c>
      <x:c r="DR11" s="117" t="n">
        <x:f>IF(DR$3&lt;$B$8,'Продажи'!DR72,0)+'ОБЪЕКТЫ'!DR109</x:f>
      </x:c>
      <x:c r="DS11" s="117" t="n">
        <x:f>IF(DS$3&lt;$B$8,'Продажи'!DS72,0)+'ОБЪЕКТЫ'!DS109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IF(D$3&gt;=$B$8,'Продажи'!D72,0)+'ОБЪЕКТЫ'!D110</x:f>
      </x:c>
      <x:c r="E12" s="117" t="n">
        <x:f>IF(E$3&gt;=$B$8,'Продажи'!E72,0)+'ОБЪЕКТЫ'!E110</x:f>
      </x:c>
      <x:c r="F12" s="117" t="n">
        <x:f>IF(F$3&gt;=$B$8,'Продажи'!F72,0)+'ОБЪЕКТЫ'!F110</x:f>
      </x:c>
      <x:c r="G12" s="117" t="n">
        <x:f>IF(G$3&gt;=$B$8,'Продажи'!G72,0)+'ОБЪЕКТЫ'!G110</x:f>
      </x:c>
      <x:c r="H12" s="117" t="n">
        <x:f>IF(H$3&gt;=$B$8,'Продажи'!H72,0)+'ОБЪЕКТЫ'!H110</x:f>
      </x:c>
      <x:c r="I12" s="117" t="n">
        <x:f>IF(I$3&gt;=$B$8,'Продажи'!I72,0)+'ОБЪЕКТЫ'!I110</x:f>
      </x:c>
      <x:c r="J12" s="117" t="n">
        <x:f>IF(J$3&gt;=$B$8,'Продажи'!J72,0)+'ОБЪЕКТЫ'!J110</x:f>
      </x:c>
      <x:c r="K12" s="117" t="n">
        <x:f>IF(K$3&gt;=$B$8,'Продажи'!K72,0)+'ОБЪЕКТЫ'!K110</x:f>
      </x:c>
      <x:c r="L12" s="117" t="n">
        <x:f>IF(L$3&gt;=$B$8,'Продажи'!L72,0)+'ОБЪЕКТЫ'!L110</x:f>
      </x:c>
      <x:c r="M12" s="117" t="n">
        <x:f>IF(M$3&gt;=$B$8,'Продажи'!M72,0)+'ОБЪЕКТЫ'!M110</x:f>
      </x:c>
      <x:c r="N12" s="117" t="n">
        <x:f>IF(N$3&gt;=$B$8,'Продажи'!N72,0)+'ОБЪЕКТЫ'!N110</x:f>
      </x:c>
      <x:c r="O12" s="117" t="n">
        <x:f>IF(O$3&gt;=$B$8,'Продажи'!O72,0)+'ОБЪЕКТЫ'!O110</x:f>
      </x:c>
      <x:c r="P12" s="117" t="n">
        <x:f>IF(P$3&gt;=$B$8,'Продажи'!P72,0)+'ОБЪЕКТЫ'!P110</x:f>
      </x:c>
      <x:c r="Q12" s="117" t="n">
        <x:f>IF(Q$3&gt;=$B$8,'Продажи'!Q72,0)+'ОБЪЕКТЫ'!Q110</x:f>
      </x:c>
      <x:c r="R12" s="117" t="n">
        <x:f>IF(R$3&gt;=$B$8,'Продажи'!R72,0)+'ОБЪЕКТЫ'!R110</x:f>
      </x:c>
      <x:c r="S12" s="117" t="n">
        <x:f>IF(S$3&gt;=$B$8,'Продажи'!S72,0)+'ОБЪЕКТЫ'!S110</x:f>
      </x:c>
      <x:c r="T12" s="117" t="n">
        <x:f>IF(T$3&gt;=$B$8,'Продажи'!T72,0)+'ОБЪЕКТЫ'!T110</x:f>
      </x:c>
      <x:c r="U12" s="117" t="n">
        <x:f>IF(U$3&gt;=$B$8,'Продажи'!U72,0)+'ОБЪЕКТЫ'!U110</x:f>
      </x:c>
      <x:c r="V12" s="117" t="n">
        <x:f>IF(V$3&gt;=$B$8,'Продажи'!V72,0)+'ОБЪЕКТЫ'!V110</x:f>
      </x:c>
      <x:c r="W12" s="117" t="n">
        <x:f>IF(W$3&gt;=$B$8,'Продажи'!W72,0)+'ОБЪЕКТЫ'!W110</x:f>
      </x:c>
      <x:c r="X12" s="117" t="n">
        <x:f>IF(X$3&gt;=$B$8,'Продажи'!X72,0)+'ОБЪЕКТЫ'!X110</x:f>
      </x:c>
      <x:c r="Y12" s="117" t="n">
        <x:f>IF(Y$3&gt;=$B$8,'Продажи'!Y72,0)+'ОБЪЕКТЫ'!Y110</x:f>
      </x:c>
      <x:c r="Z12" s="117" t="n">
        <x:f>IF(Z$3&gt;=$B$8,'Продажи'!Z72,0)+'ОБЪЕКТЫ'!Z110</x:f>
      </x:c>
      <x:c r="AA12" s="117" t="n">
        <x:f>IF(AA$3&gt;=$B$8,'Продажи'!AA72,0)+'ОБЪЕКТЫ'!AA110</x:f>
      </x:c>
      <x:c r="AB12" s="117" t="n">
        <x:f>IF(AB$3&gt;=$B$8,'Продажи'!AB72,0)+'ОБЪЕКТЫ'!AB110</x:f>
      </x:c>
      <x:c r="AC12" s="117" t="n">
        <x:f>IF(AC$3&gt;=$B$8,'Продажи'!AC72,0)+'ОБЪЕКТЫ'!AC110</x:f>
      </x:c>
      <x:c r="AD12" s="117" t="n">
        <x:f>IF(AD$3&gt;=$B$8,'Продажи'!AD72,0)+'ОБЪЕКТЫ'!AD110</x:f>
      </x:c>
      <x:c r="AE12" s="117" t="n">
        <x:f>IF(AE$3&gt;=$B$8,'Продажи'!AE72,0)+'ОБЪЕКТЫ'!AE110</x:f>
      </x:c>
      <x:c r="AF12" s="117" t="n">
        <x:f>IF(AF$3&gt;=$B$8,'Продажи'!AF72,0)+'ОБЪЕКТЫ'!AF110</x:f>
      </x:c>
      <x:c r="AG12" s="117" t="n">
        <x:f>IF(AG$3&gt;=$B$8,'Продажи'!AG72,0)+'ОБЪЕКТЫ'!AG110</x:f>
      </x:c>
      <x:c r="AH12" s="117" t="n">
        <x:f>IF(AH$3&gt;=$B$8,'Продажи'!AH72,0)+'ОБЪЕКТЫ'!AH110</x:f>
      </x:c>
      <x:c r="AI12" s="117" t="n">
        <x:f>IF(AI$3&gt;=$B$8,'Продажи'!AI72,0)+'ОБЪЕКТЫ'!AI110</x:f>
      </x:c>
      <x:c r="AJ12" s="117" t="n">
        <x:f>IF(AJ$3&gt;=$B$8,'Продажи'!AJ72,0)+'ОБЪЕКТЫ'!AJ110</x:f>
      </x:c>
      <x:c r="AK12" s="117" t="n">
        <x:f>IF(AK$3&gt;=$B$8,'Продажи'!AK72,0)+'ОБЪЕКТЫ'!AK110</x:f>
      </x:c>
      <x:c r="AL12" s="117" t="n">
        <x:f>IF(AL$3&gt;=$B$8,'Продажи'!AL72,0)+'ОБЪЕКТЫ'!AL110</x:f>
      </x:c>
      <x:c r="AM12" s="117" t="n">
        <x:f>IF(AM$3&gt;=$B$8,'Продажи'!AM72,0)+'ОБЪЕКТЫ'!AM110</x:f>
      </x:c>
      <x:c r="AN12" s="117" t="n">
        <x:f>IF(AN$3&gt;=$B$8,'Продажи'!AN72,0)+'ОБЪЕКТЫ'!AN110</x:f>
      </x:c>
      <x:c r="AO12" s="117" t="n">
        <x:f>IF(AO$3&gt;=$B$8,'Продажи'!AO72,0)+'ОБЪЕКТЫ'!AO110</x:f>
      </x:c>
      <x:c r="AP12" s="117" t="n">
        <x:f>IF(AP$3&gt;=$B$8,'Продажи'!AP72,0)+'ОБЪЕКТЫ'!AP110</x:f>
      </x:c>
      <x:c r="AQ12" s="117" t="n">
        <x:f>IF(AQ$3&gt;=$B$8,'Продажи'!AQ72,0)+'ОБЪЕКТЫ'!AQ110</x:f>
      </x:c>
      <x:c r="AR12" s="117" t="n">
        <x:f>IF(AR$3&gt;=$B$8,'Продажи'!AR72,0)+'ОБЪЕКТЫ'!AR110</x:f>
      </x:c>
      <x:c r="AS12" s="117" t="n">
        <x:f>IF(AS$3&gt;=$B$8,'Продажи'!AS72,0)+'ОБЪЕКТЫ'!AS110</x:f>
      </x:c>
      <x:c r="AT12" s="117" t="n">
        <x:f>IF(AT$3&gt;=$B$8,'Продажи'!AT72,0)+'ОБЪЕКТЫ'!AT110</x:f>
      </x:c>
      <x:c r="AU12" s="117" t="n">
        <x:f>IF(AU$3&gt;=$B$8,'Продажи'!AU72,0)+'ОБЪЕКТЫ'!AU110</x:f>
      </x:c>
      <x:c r="AV12" s="117" t="n">
        <x:f>IF(AV$3&gt;=$B$8,'Продажи'!AV72,0)+'ОБЪЕКТЫ'!AV110</x:f>
      </x:c>
      <x:c r="AW12" s="117" t="n">
        <x:f>IF(AW$3&gt;=$B$8,'Продажи'!AW72,0)+'ОБЪЕКТЫ'!AW110</x:f>
      </x:c>
      <x:c r="AX12" s="117" t="n">
        <x:f>IF(AX$3&gt;=$B$8,'Продажи'!AX72,0)+'ОБЪЕКТЫ'!AX110</x:f>
      </x:c>
      <x:c r="AY12" s="117" t="n">
        <x:f>IF(AY$3&gt;=$B$8,'Продажи'!AY72,0)+'ОБЪЕКТЫ'!AY110</x:f>
      </x:c>
      <x:c r="AZ12" s="117" t="n">
        <x:f>IF(AZ$3&gt;=$B$8,'Продажи'!AZ72,0)+'ОБЪЕКТЫ'!AZ110</x:f>
      </x:c>
      <x:c r="BA12" s="117" t="n">
        <x:f>IF(BA$3&gt;=$B$8,'Продажи'!BA72,0)+'ОБЪЕКТЫ'!BA110</x:f>
      </x:c>
      <x:c r="BB12" s="117" t="n">
        <x:f>IF(BB$3&gt;=$B$8,'Продажи'!BB72,0)+'ОБЪЕКТЫ'!BB110</x:f>
      </x:c>
      <x:c r="BC12" s="117" t="n">
        <x:f>IF(BC$3&gt;=$B$8,'Продажи'!BC72,0)+'ОБЪЕКТЫ'!BC110</x:f>
      </x:c>
      <x:c r="BD12" s="117" t="n">
        <x:f>IF(BD$3&gt;=$B$8,'Продажи'!BD72,0)+'ОБЪЕКТЫ'!BD110</x:f>
      </x:c>
      <x:c r="BE12" s="117" t="n">
        <x:f>IF(BE$3&gt;=$B$8,'Продажи'!BE72,0)+'ОБЪЕКТЫ'!BE110</x:f>
      </x:c>
      <x:c r="BF12" s="117" t="n">
        <x:f>IF(BF$3&gt;=$B$8,'Продажи'!BF72,0)+'ОБЪЕКТЫ'!BF110</x:f>
      </x:c>
      <x:c r="BG12" s="117" t="n">
        <x:f>IF(BG$3&gt;=$B$8,'Продажи'!BG72,0)+'ОБЪЕКТЫ'!BG110</x:f>
      </x:c>
      <x:c r="BH12" s="117" t="n">
        <x:f>IF(BH$3&gt;=$B$8,'Продажи'!BH72,0)+'ОБЪЕКТЫ'!BH110</x:f>
      </x:c>
      <x:c r="BI12" s="117" t="n">
        <x:f>IF(BI$3&gt;=$B$8,'Продажи'!BI72,0)+'ОБЪЕКТЫ'!BI110</x:f>
      </x:c>
      <x:c r="BJ12" s="117" t="n">
        <x:f>IF(BJ$3&gt;=$B$8,'Продажи'!BJ72,0)+'ОБЪЕКТЫ'!BJ110</x:f>
      </x:c>
      <x:c r="BK12" s="117" t="n">
        <x:f>IF(BK$3&gt;=$B$8,'Продажи'!BK72,0)+'ОБЪЕКТЫ'!BK110</x:f>
      </x:c>
      <x:c r="BL12" s="117" t="n">
        <x:f>IF(BL$3&gt;=$B$8,'Продажи'!BL72,0)+'ОБЪЕКТЫ'!BL110</x:f>
      </x:c>
      <x:c r="BM12" s="117" t="n">
        <x:f>IF(BM$3&gt;=$B$8,'Продажи'!BM72,0)+'ОБЪЕКТЫ'!BM110</x:f>
      </x:c>
      <x:c r="BN12" s="117" t="n">
        <x:f>IF(BN$3&gt;=$B$8,'Продажи'!BN72,0)+'ОБЪЕКТЫ'!BN110</x:f>
      </x:c>
      <x:c r="BO12" s="117" t="n">
        <x:f>IF(BO$3&gt;=$B$8,'Продажи'!BO72,0)+'ОБЪЕКТЫ'!BO110</x:f>
      </x:c>
      <x:c r="BP12" s="117" t="n">
        <x:f>IF(BP$3&gt;=$B$8,'Продажи'!BP72,0)+'ОБЪЕКТЫ'!BP110</x:f>
      </x:c>
      <x:c r="BQ12" s="117" t="n">
        <x:f>IF(BQ$3&gt;=$B$8,'Продажи'!BQ72,0)+'ОБЪЕКТЫ'!BQ110</x:f>
      </x:c>
      <x:c r="BR12" s="117" t="n">
        <x:f>IF(BR$3&gt;=$B$8,'Продажи'!BR72,0)+'ОБЪЕКТЫ'!BR110</x:f>
      </x:c>
      <x:c r="BS12" s="117" t="n">
        <x:f>IF(BS$3&gt;=$B$8,'Продажи'!BS72,0)+'ОБЪЕКТЫ'!BS110</x:f>
      </x:c>
      <x:c r="BT12" s="117" t="n">
        <x:f>IF(BT$3&gt;=$B$8,'Продажи'!BT72,0)+'ОБЪЕКТЫ'!BT110</x:f>
      </x:c>
      <x:c r="BU12" s="117" t="n">
        <x:f>IF(BU$3&gt;=$B$8,'Продажи'!BU72,0)+'ОБЪЕКТЫ'!BU110</x:f>
      </x:c>
      <x:c r="BV12" s="117" t="n">
        <x:f>IF(BV$3&gt;=$B$8,'Продажи'!BV72,0)+'ОБЪЕКТЫ'!BV110</x:f>
      </x:c>
      <x:c r="BW12" s="117" t="n">
        <x:f>IF(BW$3&gt;=$B$8,'Продажи'!BW72,0)+'ОБЪЕКТЫ'!BW110</x:f>
      </x:c>
      <x:c r="BX12" s="117" t="n">
        <x:f>IF(BX$3&gt;=$B$8,'Продажи'!BX72,0)+'ОБЪЕКТЫ'!BX110</x:f>
      </x:c>
      <x:c r="BY12" s="117" t="n">
        <x:f>IF(BY$3&gt;=$B$8,'Продажи'!BY72,0)+'ОБЪЕКТЫ'!BY110</x:f>
      </x:c>
      <x:c r="BZ12" s="117" t="n">
        <x:f>IF(BZ$3&gt;=$B$8,'Продажи'!BZ72,0)+'ОБЪЕКТЫ'!BZ110</x:f>
      </x:c>
      <x:c r="CA12" s="117" t="n">
        <x:f>IF(CA$3&gt;=$B$8,'Продажи'!CA72,0)+'ОБЪЕКТЫ'!CA110</x:f>
      </x:c>
      <x:c r="CB12" s="117" t="n">
        <x:f>IF(CB$3&gt;=$B$8,'Продажи'!CB72,0)+'ОБЪЕКТЫ'!CB110</x:f>
      </x:c>
      <x:c r="CC12" s="117" t="n">
        <x:f>IF(CC$3&gt;=$B$8,'Продажи'!CC72,0)+'ОБЪЕКТЫ'!CC110</x:f>
      </x:c>
      <x:c r="CD12" s="117" t="n">
        <x:f>IF(CD$3&gt;=$B$8,'Продажи'!CD72,0)+'ОБЪЕКТЫ'!CD110</x:f>
      </x:c>
      <x:c r="CE12" s="117" t="n">
        <x:f>IF(CE$3&gt;=$B$8,'Продажи'!CE72,0)+'ОБЪЕКТЫ'!CE110</x:f>
      </x:c>
      <x:c r="CF12" s="117" t="n">
        <x:f>IF(CF$3&gt;=$B$8,'Продажи'!CF72,0)+'ОБЪЕКТЫ'!CF110</x:f>
      </x:c>
      <x:c r="CG12" s="117" t="n">
        <x:f>IF(CG$3&gt;=$B$8,'Продажи'!CG72,0)+'ОБЪЕКТЫ'!CG110</x:f>
      </x:c>
      <x:c r="CH12" s="117" t="n">
        <x:f>IF(CH$3&gt;=$B$8,'Продажи'!CH72,0)+'ОБЪЕКТЫ'!CH110</x:f>
      </x:c>
      <x:c r="CI12" s="117" t="n">
        <x:f>IF(CI$3&gt;=$B$8,'Продажи'!CI72,0)+'ОБЪЕКТЫ'!CI110</x:f>
      </x:c>
      <x:c r="CJ12" s="117" t="n">
        <x:f>IF(CJ$3&gt;=$B$8,'Продажи'!CJ72,0)+'ОБЪЕКТЫ'!CJ110</x:f>
      </x:c>
      <x:c r="CK12" s="117" t="n">
        <x:f>IF(CK$3&gt;=$B$8,'Продажи'!CK72,0)+'ОБЪЕКТЫ'!CK110</x:f>
      </x:c>
      <x:c r="CL12" s="117" t="n">
        <x:f>IF(CL$3&gt;=$B$8,'Продажи'!CL72,0)+'ОБЪЕКТЫ'!CL110</x:f>
      </x:c>
      <x:c r="CM12" s="117" t="n">
        <x:f>IF(CM$3&gt;=$B$8,'Продажи'!CM72,0)+'ОБЪЕКТЫ'!CM110</x:f>
      </x:c>
      <x:c r="CN12" s="117" t="n">
        <x:f>IF(CN$3&gt;=$B$8,'Продажи'!CN72,0)+'ОБЪЕКТЫ'!CN110</x:f>
      </x:c>
      <x:c r="CO12" s="117" t="n">
        <x:f>IF(CO$3&gt;=$B$8,'Продажи'!CO72,0)+'ОБЪЕКТЫ'!CO110</x:f>
      </x:c>
      <x:c r="CP12" s="117" t="n">
        <x:f>IF(CP$3&gt;=$B$8,'Продажи'!CP72,0)+'ОБЪЕКТЫ'!CP110</x:f>
      </x:c>
      <x:c r="CQ12" s="117" t="n">
        <x:f>IF(CQ$3&gt;=$B$8,'Продажи'!CQ72,0)+'ОБЪЕКТЫ'!CQ110</x:f>
      </x:c>
      <x:c r="CR12" s="117" t="n">
        <x:f>IF(CR$3&gt;=$B$8,'Продажи'!CR72,0)+'ОБЪЕКТЫ'!CR110</x:f>
      </x:c>
      <x:c r="CS12" s="117" t="n">
        <x:f>IF(CS$3&gt;=$B$8,'Продажи'!CS72,0)+'ОБЪЕКТЫ'!CS110</x:f>
      </x:c>
      <x:c r="CT12" s="117" t="n">
        <x:f>IF(CT$3&gt;=$B$8,'Продажи'!CT72,0)+'ОБЪЕКТЫ'!CT110</x:f>
      </x:c>
      <x:c r="CU12" s="117" t="n">
        <x:f>IF(CU$3&gt;=$B$8,'Продажи'!CU72,0)+'ОБЪЕКТЫ'!CU110</x:f>
      </x:c>
      <x:c r="CV12" s="117" t="n">
        <x:f>IF(CV$3&gt;=$B$8,'Продажи'!CV72,0)+'ОБЪЕКТЫ'!CV110</x:f>
      </x:c>
      <x:c r="CW12" s="117" t="n">
        <x:f>IF(CW$3&gt;=$B$8,'Продажи'!CW72,0)+'ОБЪЕКТЫ'!CW110</x:f>
      </x:c>
      <x:c r="CX12" s="117" t="n">
        <x:f>IF(CX$3&gt;=$B$8,'Продажи'!CX72,0)+'ОБЪЕКТЫ'!CX110</x:f>
      </x:c>
      <x:c r="CY12" s="117" t="n">
        <x:f>IF(CY$3&gt;=$B$8,'Продажи'!CY72,0)+'ОБЪЕКТЫ'!CY110</x:f>
      </x:c>
      <x:c r="CZ12" s="117" t="n">
        <x:f>IF(CZ$3&gt;=$B$8,'Продажи'!CZ72,0)+'ОБЪЕКТЫ'!CZ110</x:f>
      </x:c>
      <x:c r="DA12" s="117" t="n">
        <x:f>IF(DA$3&gt;=$B$8,'Продажи'!DA72,0)+'ОБЪЕКТЫ'!DA110</x:f>
      </x:c>
      <x:c r="DB12" s="117" t="n">
        <x:f>IF(DB$3&gt;=$B$8,'Продажи'!DB72,0)+'ОБЪЕКТЫ'!DB110</x:f>
      </x:c>
      <x:c r="DC12" s="117" t="n">
        <x:f>IF(DC$3&gt;=$B$8,'Продажи'!DC72,0)+'ОБЪЕКТЫ'!DC110</x:f>
      </x:c>
      <x:c r="DD12" s="117" t="n">
        <x:f>IF(DD$3&gt;=$B$8,'Продажи'!DD72,0)+'ОБЪЕКТЫ'!DD110</x:f>
      </x:c>
      <x:c r="DE12" s="117" t="n">
        <x:f>IF(DE$3&gt;=$B$8,'Продажи'!DE72,0)+'ОБЪЕКТЫ'!DE110</x:f>
      </x:c>
      <x:c r="DF12" s="117" t="n">
        <x:f>IF(DF$3&gt;=$B$8,'Продажи'!DF72,0)+'ОБЪЕКТЫ'!DF110</x:f>
      </x:c>
      <x:c r="DG12" s="117" t="n">
        <x:f>IF(DG$3&gt;=$B$8,'Продажи'!DG72,0)+'ОБЪЕКТЫ'!DG110</x:f>
      </x:c>
      <x:c r="DH12" s="117" t="n">
        <x:f>IF(DH$3&gt;=$B$8,'Продажи'!DH72,0)+'ОБЪЕКТЫ'!DH110</x:f>
      </x:c>
      <x:c r="DI12" s="117" t="n">
        <x:f>IF(DI$3&gt;=$B$8,'Продажи'!DI72,0)+'ОБЪЕКТЫ'!DI110</x:f>
      </x:c>
      <x:c r="DJ12" s="117" t="n">
        <x:f>IF(DJ$3&gt;=$B$8,'Продажи'!DJ72,0)+'ОБЪЕКТЫ'!DJ110</x:f>
      </x:c>
      <x:c r="DK12" s="117" t="n">
        <x:f>IF(DK$3&gt;=$B$8,'Продажи'!DK72,0)+'ОБЪЕКТЫ'!DK110</x:f>
      </x:c>
      <x:c r="DL12" s="117" t="n">
        <x:f>IF(DL$3&gt;=$B$8,'Продажи'!DL72,0)+'ОБЪЕКТЫ'!DL110</x:f>
      </x:c>
      <x:c r="DM12" s="117" t="n">
        <x:f>IF(DM$3&gt;=$B$8,'Продажи'!DM72,0)+'ОБЪЕКТЫ'!DM110</x:f>
      </x:c>
      <x:c r="DN12" s="117" t="n">
        <x:f>IF(DN$3&gt;=$B$8,'Продажи'!DN72,0)+'ОБЪЕКТЫ'!DN110</x:f>
      </x:c>
      <x:c r="DO12" s="117" t="n">
        <x:f>IF(DO$3&gt;=$B$8,'Продажи'!DO72,0)+'ОБЪЕКТЫ'!DO110</x:f>
      </x:c>
      <x:c r="DP12" s="117" t="n">
        <x:f>IF(DP$3&gt;=$B$8,'Продажи'!DP72,0)+'ОБЪЕКТЫ'!DP110</x:f>
      </x:c>
      <x:c r="DQ12" s="117" t="n">
        <x:f>IF(DQ$3&gt;=$B$8,'Продажи'!DQ72,0)+'ОБЪЕКТЫ'!DQ110</x:f>
      </x:c>
      <x:c r="DR12" s="117" t="n">
        <x:f>IF(DR$3&gt;=$B$8,'Продажи'!DR72,0)+'ОБЪЕКТЫ'!DR110</x:f>
      </x:c>
      <x:c r="DS12" s="117" t="n">
        <x:f>IF(DS$3&gt;=$B$8,'Продажи'!DS72,0)+'ОБЪЕКТЫ'!DS110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0+'ОБЪЕКТЫ'!D111</x:f>
      </x:c>
      <x:c r="E14" s="117" t="n">
        <x:f>IF(AND(YEAR(E$3)=YEAR($B$8),MONTH(E$3)=MONTH($B$8)),SUM('Продажи'!$D$72:'Продажи'!D$72),0)+'ОБЪЕКТЫ'!E111</x:f>
      </x:c>
      <x:c r="F14" s="117" t="n">
        <x:f>IF(AND(YEAR(F$3)=YEAR($B$8),MONTH(F$3)=MONTH($B$8)),SUM('Продажи'!$D$72:'Продажи'!E$72),0)+'ОБЪЕКТЫ'!F111</x:f>
      </x:c>
      <x:c r="G14" s="117" t="n">
        <x:f>IF(AND(YEAR(G$3)=YEAR($B$8),MONTH(G$3)=MONTH($B$8)),SUM('Продажи'!$D$72:'Продажи'!F$72),0)+'ОБЪЕКТЫ'!G111</x:f>
      </x:c>
      <x:c r="H14" s="117" t="n">
        <x:f>IF(AND(YEAR(H$3)=YEAR($B$8),MONTH(H$3)=MONTH($B$8)),SUM('Продажи'!$D$72:'Продажи'!G$72),0)+'ОБЪЕКТЫ'!H111</x:f>
      </x:c>
      <x:c r="I14" s="117" t="n">
        <x:f>IF(AND(YEAR(I$3)=YEAR($B$8),MONTH(I$3)=MONTH($B$8)),SUM('Продажи'!$D$72:'Продажи'!H$72),0)+'ОБЪЕКТЫ'!I111</x:f>
      </x:c>
      <x:c r="J14" s="117" t="n">
        <x:f>IF(AND(YEAR(J$3)=YEAR($B$8),MONTH(J$3)=MONTH($B$8)),SUM('Продажи'!$D$72:'Продажи'!I$72),0)+'ОБЪЕКТЫ'!J111</x:f>
      </x:c>
      <x:c r="K14" s="117" t="n">
        <x:f>IF(AND(YEAR(K$3)=YEAR($B$8),MONTH(K$3)=MONTH($B$8)),SUM('Продажи'!$D$72:'Продажи'!J$72),0)+'ОБЪЕКТЫ'!K111</x:f>
      </x:c>
      <x:c r="L14" s="117" t="n">
        <x:f>IF(AND(YEAR(L$3)=YEAR($B$8),MONTH(L$3)=MONTH($B$8)),SUM('Продажи'!$D$72:'Продажи'!K$72),0)+'ОБЪЕКТЫ'!L111</x:f>
      </x:c>
      <x:c r="M14" s="117" t="n">
        <x:f>IF(AND(YEAR(M$3)=YEAR($B$8),MONTH(M$3)=MONTH($B$8)),SUM('Продажи'!$D$72:'Продажи'!L$72),0)+'ОБЪЕКТЫ'!M111</x:f>
      </x:c>
      <x:c r="N14" s="117" t="n">
        <x:f>IF(AND(YEAR(N$3)=YEAR($B$8),MONTH(N$3)=MONTH($B$8)),SUM('Продажи'!$D$72:'Продажи'!M$72),0)+'ОБЪЕКТЫ'!N111</x:f>
      </x:c>
      <x:c r="O14" s="117" t="n">
        <x:f>IF(AND(YEAR(O$3)=YEAR($B$8),MONTH(O$3)=MONTH($B$8)),SUM('Продажи'!$D$72:'Продажи'!N$72),0)+'ОБЪЕКТЫ'!O111</x:f>
      </x:c>
      <x:c r="P14" s="117" t="n">
        <x:f>IF(AND(YEAR(P$3)=YEAR($B$8),MONTH(P$3)=MONTH($B$8)),SUM('Продажи'!$D$72:'Продажи'!O$72),0)+'ОБЪЕКТЫ'!P111</x:f>
      </x:c>
      <x:c r="Q14" s="117" t="n">
        <x:f>IF(AND(YEAR(Q$3)=YEAR($B$8),MONTH(Q$3)=MONTH($B$8)),SUM('Продажи'!$D$72:'Продажи'!P$72),0)+'ОБЪЕКТЫ'!Q111</x:f>
      </x:c>
      <x:c r="R14" s="117" t="n">
        <x:f>IF(AND(YEAR(R$3)=YEAR($B$8),MONTH(R$3)=MONTH($B$8)),SUM('Продажи'!$D$72:'Продажи'!Q$72),0)+'ОБЪЕКТЫ'!R111</x:f>
      </x:c>
      <x:c r="S14" s="117" t="n">
        <x:f>IF(AND(YEAR(S$3)=YEAR($B$8),MONTH(S$3)=MONTH($B$8)),SUM('Продажи'!$D$72:'Продажи'!R$72),0)+'ОБЪЕКТЫ'!S111</x:f>
      </x:c>
      <x:c r="T14" s="117" t="n">
        <x:f>IF(AND(YEAR(T$3)=YEAR($B$8),MONTH(T$3)=MONTH($B$8)),SUM('Продажи'!$D$72:'Продажи'!S$72),0)+'ОБЪЕКТЫ'!T111</x:f>
      </x:c>
      <x:c r="U14" s="117" t="n">
        <x:f>IF(AND(YEAR(U$3)=YEAR($B$8),MONTH(U$3)=MONTH($B$8)),SUM('Продажи'!$D$72:'Продажи'!T$72),0)+'ОБЪЕКТЫ'!U111</x:f>
      </x:c>
      <x:c r="V14" s="117" t="n">
        <x:f>IF(AND(YEAR(V$3)=YEAR($B$8),MONTH(V$3)=MONTH($B$8)),SUM('Продажи'!$D$72:'Продажи'!U$72),0)+'ОБЪЕКТЫ'!V111</x:f>
      </x:c>
      <x:c r="W14" s="117" t="n">
        <x:f>IF(AND(YEAR(W$3)=YEAR($B$8),MONTH(W$3)=MONTH($B$8)),SUM('Продажи'!$D$72:'Продажи'!V$72),0)+'ОБЪЕКТЫ'!W111</x:f>
      </x:c>
      <x:c r="X14" s="117" t="n">
        <x:f>IF(AND(YEAR(X$3)=YEAR($B$8),MONTH(X$3)=MONTH($B$8)),SUM('Продажи'!$D$72:'Продажи'!W$72),0)+'ОБЪЕКТЫ'!X111</x:f>
      </x:c>
      <x:c r="Y14" s="117" t="n">
        <x:f>IF(AND(YEAR(Y$3)=YEAR($B$8),MONTH(Y$3)=MONTH($B$8)),SUM('Продажи'!$D$72:'Продажи'!X$72),0)+'ОБЪЕКТЫ'!Y111</x:f>
      </x:c>
      <x:c r="Z14" s="117" t="n">
        <x:f>IF(AND(YEAR(Z$3)=YEAR($B$8),MONTH(Z$3)=MONTH($B$8)),SUM('Продажи'!$D$72:'Продажи'!Y$72),0)+'ОБЪЕКТЫ'!Z111</x:f>
      </x:c>
      <x:c r="AA14" s="117" t="n">
        <x:f>IF(AND(YEAR(AA$3)=YEAR($B$8),MONTH(AA$3)=MONTH($B$8)),SUM('Продажи'!$D$72:'Продажи'!Z$72),0)+'ОБЪЕКТЫ'!AA111</x:f>
      </x:c>
      <x:c r="AB14" s="117" t="n">
        <x:f>IF(AND(YEAR(AB$3)=YEAR($B$8),MONTH(AB$3)=MONTH($B$8)),SUM('Продажи'!$D$72:'Продажи'!AA$72),0)+'ОБЪЕКТЫ'!AB111</x:f>
      </x:c>
      <x:c r="AC14" s="117" t="n">
        <x:f>IF(AND(YEAR(AC$3)=YEAR($B$8),MONTH(AC$3)=MONTH($B$8)),SUM('Продажи'!$D$72:'Продажи'!AB$72),0)+'ОБЪЕКТЫ'!AC111</x:f>
      </x:c>
      <x:c r="AD14" s="117" t="n">
        <x:f>IF(AND(YEAR(AD$3)=YEAR($B$8),MONTH(AD$3)=MONTH($B$8)),SUM('Продажи'!$D$72:'Продажи'!AC$72),0)+'ОБЪЕКТЫ'!AD111</x:f>
      </x:c>
      <x:c r="AE14" s="117" t="n">
        <x:f>IF(AND(YEAR(AE$3)=YEAR($B$8),MONTH(AE$3)=MONTH($B$8)),SUM('Продажи'!$D$72:'Продажи'!AD$72),0)+'ОБЪЕКТЫ'!AE111</x:f>
      </x:c>
      <x:c r="AF14" s="117" t="n">
        <x:f>IF(AND(YEAR(AF$3)=YEAR($B$8),MONTH(AF$3)=MONTH($B$8)),SUM('Продажи'!$D$72:'Продажи'!AE$72),0)+'ОБЪЕКТЫ'!AF111</x:f>
      </x:c>
      <x:c r="AG14" s="117" t="n">
        <x:f>IF(AND(YEAR(AG$3)=YEAR($B$8),MONTH(AG$3)=MONTH($B$8)),SUM('Продажи'!$D$72:'Продажи'!AF$72),0)+'ОБЪЕКТЫ'!AG111</x:f>
      </x:c>
      <x:c r="AH14" s="117" t="n">
        <x:f>IF(AND(YEAR(AH$3)=YEAR($B$8),MONTH(AH$3)=MONTH($B$8)),SUM('Продажи'!$D$72:'Продажи'!AG$72),0)+'ОБЪЕКТЫ'!AH111</x:f>
      </x:c>
      <x:c r="AI14" s="117" t="n">
        <x:f>IF(AND(YEAR(AI$3)=YEAR($B$8),MONTH(AI$3)=MONTH($B$8)),SUM('Продажи'!$D$72:'Продажи'!AH$72),0)+'ОБЪЕКТЫ'!AI111</x:f>
      </x:c>
      <x:c r="AJ14" s="117" t="n">
        <x:f>IF(AND(YEAR(AJ$3)=YEAR($B$8),MONTH(AJ$3)=MONTH($B$8)),SUM('Продажи'!$D$72:'Продажи'!AI$72),0)+'ОБЪЕКТЫ'!AJ111</x:f>
      </x:c>
      <x:c r="AK14" s="117" t="n">
        <x:f>IF(AND(YEAR(AK$3)=YEAR($B$8),MONTH(AK$3)=MONTH($B$8)),SUM('Продажи'!$D$72:'Продажи'!AJ$72),0)+'ОБЪЕКТЫ'!AK111</x:f>
      </x:c>
      <x:c r="AL14" s="117" t="n">
        <x:f>IF(AND(YEAR(AL$3)=YEAR($B$8),MONTH(AL$3)=MONTH($B$8)),SUM('Продажи'!$D$72:'Продажи'!AK$72),0)+'ОБЪЕКТЫ'!AL111</x:f>
      </x:c>
      <x:c r="AM14" s="117" t="n">
        <x:f>IF(AND(YEAR(AM$3)=YEAR($B$8),MONTH(AM$3)=MONTH($B$8)),SUM('Продажи'!$D$72:'Продажи'!AL$72),0)+'ОБЪЕКТЫ'!AM111</x:f>
      </x:c>
      <x:c r="AN14" s="117" t="n">
        <x:f>IF(AND(YEAR(AN$3)=YEAR($B$8),MONTH(AN$3)=MONTH($B$8)),SUM('Продажи'!$D$72:'Продажи'!AM$72),0)+'ОБЪЕКТЫ'!AN111</x:f>
      </x:c>
      <x:c r="AO14" s="117" t="n">
        <x:f>IF(AND(YEAR(AO$3)=YEAR($B$8),MONTH(AO$3)=MONTH($B$8)),SUM('Продажи'!$D$72:'Продажи'!AN$72),0)+'ОБЪЕКТЫ'!AO111</x:f>
      </x:c>
      <x:c r="AP14" s="117" t="n">
        <x:f>IF(AND(YEAR(AP$3)=YEAR($B$8),MONTH(AP$3)=MONTH($B$8)),SUM('Продажи'!$D$72:'Продажи'!AO$72),0)+'ОБЪЕКТЫ'!AP111</x:f>
      </x:c>
      <x:c r="AQ14" s="117" t="n">
        <x:f>IF(AND(YEAR(AQ$3)=YEAR($B$8),MONTH(AQ$3)=MONTH($B$8)),SUM('Продажи'!$D$72:'Продажи'!AP$72),0)+'ОБЪЕКТЫ'!AQ111</x:f>
      </x:c>
      <x:c r="AR14" s="117" t="n">
        <x:f>IF(AND(YEAR(AR$3)=YEAR($B$8),MONTH(AR$3)=MONTH($B$8)),SUM('Продажи'!$D$72:'Продажи'!AQ$72),0)+'ОБЪЕКТЫ'!AR111</x:f>
      </x:c>
      <x:c r="AS14" s="117" t="n">
        <x:f>IF(AND(YEAR(AS$3)=YEAR($B$8),MONTH(AS$3)=MONTH($B$8)),SUM('Продажи'!$D$72:'Продажи'!AR$72),0)+'ОБЪЕКТЫ'!AS111</x:f>
      </x:c>
      <x:c r="AT14" s="117" t="n">
        <x:f>IF(AND(YEAR(AT$3)=YEAR($B$8),MONTH(AT$3)=MONTH($B$8)),SUM('Продажи'!$D$72:'Продажи'!AS$72),0)+'ОБЪЕКТЫ'!AT111</x:f>
      </x:c>
      <x:c r="AU14" s="117" t="n">
        <x:f>IF(AND(YEAR(AU$3)=YEAR($B$8),MONTH(AU$3)=MONTH($B$8)),SUM('Продажи'!$D$72:'Продажи'!AT$72),0)+'ОБЪЕКТЫ'!AU111</x:f>
      </x:c>
      <x:c r="AV14" s="117" t="n">
        <x:f>IF(AND(YEAR(AV$3)=YEAR($B$8),MONTH(AV$3)=MONTH($B$8)),SUM('Продажи'!$D$72:'Продажи'!AU$72),0)+'ОБЪЕКТЫ'!AV111</x:f>
      </x:c>
      <x:c r="AW14" s="117" t="n">
        <x:f>IF(AND(YEAR(AW$3)=YEAR($B$8),MONTH(AW$3)=MONTH($B$8)),SUM('Продажи'!$D$72:'Продажи'!AV$72),0)+'ОБЪЕКТЫ'!AW111</x:f>
      </x:c>
      <x:c r="AX14" s="117" t="n">
        <x:f>IF(AND(YEAR(AX$3)=YEAR($B$8),MONTH(AX$3)=MONTH($B$8)),SUM('Продажи'!$D$72:'Продажи'!AW$72),0)+'ОБЪЕКТЫ'!AX111</x:f>
      </x:c>
      <x:c r="AY14" s="117" t="n">
        <x:f>IF(AND(YEAR(AY$3)=YEAR($B$8),MONTH(AY$3)=MONTH($B$8)),SUM('Продажи'!$D$72:'Продажи'!AX$72),0)+'ОБЪЕКТЫ'!AY111</x:f>
      </x:c>
      <x:c r="AZ14" s="117" t="n">
        <x:f>IF(AND(YEAR(AZ$3)=YEAR($B$8),MONTH(AZ$3)=MONTH($B$8)),SUM('Продажи'!$D$72:'Продажи'!AY$72),0)+'ОБЪЕКТЫ'!AZ111</x:f>
      </x:c>
      <x:c r="BA14" s="117" t="n">
        <x:f>IF(AND(YEAR(BA$3)=YEAR($B$8),MONTH(BA$3)=MONTH($B$8)),SUM('Продажи'!$D$72:'Продажи'!AZ$72),0)+'ОБЪЕКТЫ'!BA111</x:f>
      </x:c>
      <x:c r="BB14" s="117" t="n">
        <x:f>IF(AND(YEAR(BB$3)=YEAR($B$8),MONTH(BB$3)=MONTH($B$8)),SUM('Продажи'!$D$72:'Продажи'!BA$72),0)+'ОБЪЕКТЫ'!BB111</x:f>
      </x:c>
      <x:c r="BC14" s="117" t="n">
        <x:f>IF(AND(YEAR(BC$3)=YEAR($B$8),MONTH(BC$3)=MONTH($B$8)),SUM('Продажи'!$D$72:'Продажи'!BB$72),0)+'ОБЪЕКТЫ'!BC111</x:f>
      </x:c>
      <x:c r="BD14" s="117" t="n">
        <x:f>IF(AND(YEAR(BD$3)=YEAR($B$8),MONTH(BD$3)=MONTH($B$8)),SUM('Продажи'!$D$72:'Продажи'!BC$72),0)+'ОБЪЕКТЫ'!BD111</x:f>
      </x:c>
      <x:c r="BE14" s="117" t="n">
        <x:f>IF(AND(YEAR(BE$3)=YEAR($B$8),MONTH(BE$3)=MONTH($B$8)),SUM('Продажи'!$D$72:'Продажи'!BD$72),0)+'ОБЪЕКТЫ'!BE111</x:f>
      </x:c>
      <x:c r="BF14" s="117" t="n">
        <x:f>IF(AND(YEAR(BF$3)=YEAR($B$8),MONTH(BF$3)=MONTH($B$8)),SUM('Продажи'!$D$72:'Продажи'!BE$72),0)+'ОБЪЕКТЫ'!BF111</x:f>
      </x:c>
      <x:c r="BG14" s="117" t="n">
        <x:f>IF(AND(YEAR(BG$3)=YEAR($B$8),MONTH(BG$3)=MONTH($B$8)),SUM('Продажи'!$D$72:'Продажи'!BF$72),0)+'ОБЪЕКТЫ'!BG111</x:f>
      </x:c>
      <x:c r="BH14" s="117" t="n">
        <x:f>IF(AND(YEAR(BH$3)=YEAR($B$8),MONTH(BH$3)=MONTH($B$8)),SUM('Продажи'!$D$72:'Продажи'!BG$72),0)+'ОБЪЕКТЫ'!BH111</x:f>
      </x:c>
      <x:c r="BI14" s="117" t="n">
        <x:f>IF(AND(YEAR(BI$3)=YEAR($B$8),MONTH(BI$3)=MONTH($B$8)),SUM('Продажи'!$D$72:'Продажи'!BH$72),0)+'ОБЪЕКТЫ'!BI111</x:f>
      </x:c>
      <x:c r="BJ14" s="117" t="n">
        <x:f>IF(AND(YEAR(BJ$3)=YEAR($B$8),MONTH(BJ$3)=MONTH($B$8)),SUM('Продажи'!$D$72:'Продажи'!BI$72),0)+'ОБЪЕКТЫ'!BJ111</x:f>
      </x:c>
      <x:c r="BK14" s="117" t="n">
        <x:f>IF(AND(YEAR(BK$3)=YEAR($B$8),MONTH(BK$3)=MONTH($B$8)),SUM('Продажи'!$D$72:'Продажи'!BJ$72),0)+'ОБЪЕКТЫ'!BK111</x:f>
      </x:c>
      <x:c r="BL14" s="117" t="n">
        <x:f>IF(AND(YEAR(BL$3)=YEAR($B$8),MONTH(BL$3)=MONTH($B$8)),SUM('Продажи'!$D$72:'Продажи'!BK$72),0)+'ОБЪЕКТЫ'!BL111</x:f>
      </x:c>
      <x:c r="BM14" s="117" t="n">
        <x:f>IF(AND(YEAR(BM$3)=YEAR($B$8),MONTH(BM$3)=MONTH($B$8)),SUM('Продажи'!$D$72:'Продажи'!BL$72),0)+'ОБЪЕКТЫ'!BM111</x:f>
      </x:c>
      <x:c r="BN14" s="117" t="n">
        <x:f>IF(AND(YEAR(BN$3)=YEAR($B$8),MONTH(BN$3)=MONTH($B$8)),SUM('Продажи'!$D$72:'Продажи'!BM$72),0)+'ОБЪЕКТЫ'!BN111</x:f>
      </x:c>
      <x:c r="BO14" s="117" t="n">
        <x:f>IF(AND(YEAR(BO$3)=YEAR($B$8),MONTH(BO$3)=MONTH($B$8)),SUM('Продажи'!$D$72:'Продажи'!BN$72),0)+'ОБЪЕКТЫ'!BO111</x:f>
      </x:c>
      <x:c r="BP14" s="117" t="n">
        <x:f>IF(AND(YEAR(BP$3)=YEAR($B$8),MONTH(BP$3)=MONTH($B$8)),SUM('Продажи'!$D$72:'Продажи'!BO$72),0)+'ОБЪЕКТЫ'!BP111</x:f>
      </x:c>
      <x:c r="BQ14" s="117" t="n">
        <x:f>IF(AND(YEAR(BQ$3)=YEAR($B$8),MONTH(BQ$3)=MONTH($B$8)),SUM('Продажи'!$D$72:'Продажи'!BP$72),0)+'ОБЪЕКТЫ'!BQ111</x:f>
      </x:c>
      <x:c r="BR14" s="117" t="n">
        <x:f>IF(AND(YEAR(BR$3)=YEAR($B$8),MONTH(BR$3)=MONTH($B$8)),SUM('Продажи'!$D$72:'Продажи'!BQ$72),0)+'ОБЪЕКТЫ'!BR111</x:f>
      </x:c>
      <x:c r="BS14" s="117" t="n">
        <x:f>IF(AND(YEAR(BS$3)=YEAR($B$8),MONTH(BS$3)=MONTH($B$8)),SUM('Продажи'!$D$72:'Продажи'!BR$72),0)+'ОБЪЕКТЫ'!BS111</x:f>
      </x:c>
      <x:c r="BT14" s="117" t="n">
        <x:f>IF(AND(YEAR(BT$3)=YEAR($B$8),MONTH(BT$3)=MONTH($B$8)),SUM('Продажи'!$D$72:'Продажи'!BS$72),0)+'ОБЪЕКТЫ'!BT111</x:f>
      </x:c>
      <x:c r="BU14" s="117" t="n">
        <x:f>IF(AND(YEAR(BU$3)=YEAR($B$8),MONTH(BU$3)=MONTH($B$8)),SUM('Продажи'!$D$72:'Продажи'!BT$72),0)+'ОБЪЕКТЫ'!BU111</x:f>
      </x:c>
      <x:c r="BV14" s="117" t="n">
        <x:f>IF(AND(YEAR(BV$3)=YEAR($B$8),MONTH(BV$3)=MONTH($B$8)),SUM('Продажи'!$D$72:'Продажи'!BU$72),0)+'ОБЪЕКТЫ'!BV111</x:f>
      </x:c>
      <x:c r="BW14" s="117" t="n">
        <x:f>IF(AND(YEAR(BW$3)=YEAR($B$8),MONTH(BW$3)=MONTH($B$8)),SUM('Продажи'!$D$72:'Продажи'!BV$72),0)+'ОБЪЕКТЫ'!BW111</x:f>
      </x:c>
      <x:c r="BX14" s="117" t="n">
        <x:f>IF(AND(YEAR(BX$3)=YEAR($B$8),MONTH(BX$3)=MONTH($B$8)),SUM('Продажи'!$D$72:'Продажи'!BW$72),0)+'ОБЪЕКТЫ'!BX111</x:f>
      </x:c>
      <x:c r="BY14" s="117" t="n">
        <x:f>IF(AND(YEAR(BY$3)=YEAR($B$8),MONTH(BY$3)=MONTH($B$8)),SUM('Продажи'!$D$72:'Продажи'!BX$72),0)+'ОБЪЕКТЫ'!BY111</x:f>
      </x:c>
      <x:c r="BZ14" s="117" t="n">
        <x:f>IF(AND(YEAR(BZ$3)=YEAR($B$8),MONTH(BZ$3)=MONTH($B$8)),SUM('Продажи'!$D$72:'Продажи'!BY$72),0)+'ОБЪЕКТЫ'!BZ111</x:f>
      </x:c>
      <x:c r="CA14" s="117" t="n">
        <x:f>IF(AND(YEAR(CA$3)=YEAR($B$8),MONTH(CA$3)=MONTH($B$8)),SUM('Продажи'!$D$72:'Продажи'!BZ$72),0)+'ОБЪЕКТЫ'!CA111</x:f>
      </x:c>
      <x:c r="CB14" s="117" t="n">
        <x:f>IF(AND(YEAR(CB$3)=YEAR($B$8),MONTH(CB$3)=MONTH($B$8)),SUM('Продажи'!$D$72:'Продажи'!CA$72),0)+'ОБЪЕКТЫ'!CB111</x:f>
      </x:c>
      <x:c r="CC14" s="117" t="n">
        <x:f>IF(AND(YEAR(CC$3)=YEAR($B$8),MONTH(CC$3)=MONTH($B$8)),SUM('Продажи'!$D$72:'Продажи'!CB$72),0)+'ОБЪЕКТЫ'!CC111</x:f>
      </x:c>
      <x:c r="CD14" s="117" t="n">
        <x:f>IF(AND(YEAR(CD$3)=YEAR($B$8),MONTH(CD$3)=MONTH($B$8)),SUM('Продажи'!$D$72:'Продажи'!CC$72),0)+'ОБЪЕКТЫ'!CD111</x:f>
      </x:c>
      <x:c r="CE14" s="117" t="n">
        <x:f>IF(AND(YEAR(CE$3)=YEAR($B$8),MONTH(CE$3)=MONTH($B$8)),SUM('Продажи'!$D$72:'Продажи'!CD$72),0)+'ОБЪЕКТЫ'!CE111</x:f>
      </x:c>
      <x:c r="CF14" s="117" t="n">
        <x:f>IF(AND(YEAR(CF$3)=YEAR($B$8),MONTH(CF$3)=MONTH($B$8)),SUM('Продажи'!$D$72:'Продажи'!CE$72),0)+'ОБЪЕКТЫ'!CF111</x:f>
      </x:c>
      <x:c r="CG14" s="117" t="n">
        <x:f>IF(AND(YEAR(CG$3)=YEAR($B$8),MONTH(CG$3)=MONTH($B$8)),SUM('Продажи'!$D$72:'Продажи'!CF$72),0)+'ОБЪЕКТЫ'!CG111</x:f>
      </x:c>
      <x:c r="CH14" s="117" t="n">
        <x:f>IF(AND(YEAR(CH$3)=YEAR($B$8),MONTH(CH$3)=MONTH($B$8)),SUM('Продажи'!$D$72:'Продажи'!CG$72),0)+'ОБЪЕКТЫ'!CH111</x:f>
      </x:c>
      <x:c r="CI14" s="117" t="n">
        <x:f>IF(AND(YEAR(CI$3)=YEAR($B$8),MONTH(CI$3)=MONTH($B$8)),SUM('Продажи'!$D$72:'Продажи'!CH$72),0)+'ОБЪЕКТЫ'!CI111</x:f>
      </x:c>
      <x:c r="CJ14" s="117" t="n">
        <x:f>IF(AND(YEAR(CJ$3)=YEAR($B$8),MONTH(CJ$3)=MONTH($B$8)),SUM('Продажи'!$D$72:'Продажи'!CI$72),0)+'ОБЪЕКТЫ'!CJ111</x:f>
      </x:c>
      <x:c r="CK14" s="117" t="n">
        <x:f>IF(AND(YEAR(CK$3)=YEAR($B$8),MONTH(CK$3)=MONTH($B$8)),SUM('Продажи'!$D$72:'Продажи'!CJ$72),0)+'ОБЪЕКТЫ'!CK111</x:f>
      </x:c>
      <x:c r="CL14" s="117" t="n">
        <x:f>IF(AND(YEAR(CL$3)=YEAR($B$8),MONTH(CL$3)=MONTH($B$8)),SUM('Продажи'!$D$72:'Продажи'!CK$72),0)+'ОБЪЕКТЫ'!CL111</x:f>
      </x:c>
      <x:c r="CM14" s="117" t="n">
        <x:f>IF(AND(YEAR(CM$3)=YEAR($B$8),MONTH(CM$3)=MONTH($B$8)),SUM('Продажи'!$D$72:'Продажи'!CL$72),0)+'ОБЪЕКТЫ'!CM111</x:f>
      </x:c>
      <x:c r="CN14" s="117" t="n">
        <x:f>IF(AND(YEAR(CN$3)=YEAR($B$8),MONTH(CN$3)=MONTH($B$8)),SUM('Продажи'!$D$72:'Продажи'!CM$72),0)+'ОБЪЕКТЫ'!CN111</x:f>
      </x:c>
      <x:c r="CO14" s="117" t="n">
        <x:f>IF(AND(YEAR(CO$3)=YEAR($B$8),MONTH(CO$3)=MONTH($B$8)),SUM('Продажи'!$D$72:'Продажи'!CN$72),0)+'ОБЪЕКТЫ'!CO111</x:f>
      </x:c>
      <x:c r="CP14" s="117" t="n">
        <x:f>IF(AND(YEAR(CP$3)=YEAR($B$8),MONTH(CP$3)=MONTH($B$8)),SUM('Продажи'!$D$72:'Продажи'!CO$72),0)+'ОБЪЕКТЫ'!CP111</x:f>
      </x:c>
      <x:c r="CQ14" s="117" t="n">
        <x:f>IF(AND(YEAR(CQ$3)=YEAR($B$8),MONTH(CQ$3)=MONTH($B$8)),SUM('Продажи'!$D$72:'Продажи'!CP$72),0)+'ОБЪЕКТЫ'!CQ111</x:f>
      </x:c>
      <x:c r="CR14" s="117" t="n">
        <x:f>IF(AND(YEAR(CR$3)=YEAR($B$8),MONTH(CR$3)=MONTH($B$8)),SUM('Продажи'!$D$72:'Продажи'!CQ$72),0)+'ОБЪЕКТЫ'!CR111</x:f>
      </x:c>
      <x:c r="CS14" s="117" t="n">
        <x:f>IF(AND(YEAR(CS$3)=YEAR($B$8),MONTH(CS$3)=MONTH($B$8)),SUM('Продажи'!$D$72:'Продажи'!CR$72),0)+'ОБЪЕКТЫ'!CS111</x:f>
      </x:c>
      <x:c r="CT14" s="117" t="n">
        <x:f>IF(AND(YEAR(CT$3)=YEAR($B$8),MONTH(CT$3)=MONTH($B$8)),SUM('Продажи'!$D$72:'Продажи'!CS$72),0)+'ОБЪЕКТЫ'!CT111</x:f>
      </x:c>
      <x:c r="CU14" s="117" t="n">
        <x:f>IF(AND(YEAR(CU$3)=YEAR($B$8),MONTH(CU$3)=MONTH($B$8)),SUM('Продажи'!$D$72:'Продажи'!CT$72),0)+'ОБЪЕКТЫ'!CU111</x:f>
      </x:c>
      <x:c r="CV14" s="117" t="n">
        <x:f>IF(AND(YEAR(CV$3)=YEAR($B$8),MONTH(CV$3)=MONTH($B$8)),SUM('Продажи'!$D$72:'Продажи'!CU$72),0)+'ОБЪЕКТЫ'!CV111</x:f>
      </x:c>
      <x:c r="CW14" s="117" t="n">
        <x:f>IF(AND(YEAR(CW$3)=YEAR($B$8),MONTH(CW$3)=MONTH($B$8)),SUM('Продажи'!$D$72:'Продажи'!CV$72),0)+'ОБЪЕКТЫ'!CW111</x:f>
      </x:c>
      <x:c r="CX14" s="117" t="n">
        <x:f>IF(AND(YEAR(CX$3)=YEAR($B$8),MONTH(CX$3)=MONTH($B$8)),SUM('Продажи'!$D$72:'Продажи'!CW$72),0)+'ОБЪЕКТЫ'!CX111</x:f>
      </x:c>
      <x:c r="CY14" s="117" t="n">
        <x:f>IF(AND(YEAR(CY$3)=YEAR($B$8),MONTH(CY$3)=MONTH($B$8)),SUM('Продажи'!$D$72:'Продажи'!CX$72),0)+'ОБЪЕКТЫ'!CY111</x:f>
      </x:c>
      <x:c r="CZ14" s="117" t="n">
        <x:f>IF(AND(YEAR(CZ$3)=YEAR($B$8),MONTH(CZ$3)=MONTH($B$8)),SUM('Продажи'!$D$72:'Продажи'!CY$72),0)+'ОБЪЕКТЫ'!CZ111</x:f>
      </x:c>
      <x:c r="DA14" s="117" t="n">
        <x:f>IF(AND(YEAR(DA$3)=YEAR($B$8),MONTH(DA$3)=MONTH($B$8)),SUM('Продажи'!$D$72:'Продажи'!CZ$72),0)+'ОБЪЕКТЫ'!DA111</x:f>
      </x:c>
      <x:c r="DB14" s="117" t="n">
        <x:f>IF(AND(YEAR(DB$3)=YEAR($B$8),MONTH(DB$3)=MONTH($B$8)),SUM('Продажи'!$D$72:'Продажи'!DA$72),0)+'ОБЪЕКТЫ'!DB111</x:f>
      </x:c>
      <x:c r="DC14" s="117" t="n">
        <x:f>IF(AND(YEAR(DC$3)=YEAR($B$8),MONTH(DC$3)=MONTH($B$8)),SUM('Продажи'!$D$72:'Продажи'!DB$72),0)+'ОБЪЕКТЫ'!DC111</x:f>
      </x:c>
      <x:c r="DD14" s="117" t="n">
        <x:f>IF(AND(YEAR(DD$3)=YEAR($B$8),MONTH(DD$3)=MONTH($B$8)),SUM('Продажи'!$D$72:'Продажи'!DC$72),0)+'ОБЪЕКТЫ'!DD111</x:f>
      </x:c>
      <x:c r="DE14" s="117" t="n">
        <x:f>IF(AND(YEAR(DE$3)=YEAR($B$8),MONTH(DE$3)=MONTH($B$8)),SUM('Продажи'!$D$72:'Продажи'!DD$72),0)+'ОБЪЕКТЫ'!DE111</x:f>
      </x:c>
      <x:c r="DF14" s="117" t="n">
        <x:f>IF(AND(YEAR(DF$3)=YEAR($B$8),MONTH(DF$3)=MONTH($B$8)),SUM('Продажи'!$D$72:'Продажи'!DE$72),0)+'ОБЪЕКТЫ'!DF111</x:f>
      </x:c>
      <x:c r="DG14" s="117" t="n">
        <x:f>IF(AND(YEAR(DG$3)=YEAR($B$8),MONTH(DG$3)=MONTH($B$8)),SUM('Продажи'!$D$72:'Продажи'!DF$72),0)+'ОБЪЕКТЫ'!DG111</x:f>
      </x:c>
      <x:c r="DH14" s="117" t="n">
        <x:f>IF(AND(YEAR(DH$3)=YEAR($B$8),MONTH(DH$3)=MONTH($B$8)),SUM('Продажи'!$D$72:'Продажи'!DG$72),0)+'ОБЪЕКТЫ'!DH111</x:f>
      </x:c>
      <x:c r="DI14" s="117" t="n">
        <x:f>IF(AND(YEAR(DI$3)=YEAR($B$8),MONTH(DI$3)=MONTH($B$8)),SUM('Продажи'!$D$72:'Продажи'!DH$72),0)+'ОБЪЕКТЫ'!DI111</x:f>
      </x:c>
      <x:c r="DJ14" s="117" t="n">
        <x:f>IF(AND(YEAR(DJ$3)=YEAR($B$8),MONTH(DJ$3)=MONTH($B$8)),SUM('Продажи'!$D$72:'Продажи'!DI$72),0)+'ОБЪЕКТЫ'!DJ111</x:f>
      </x:c>
      <x:c r="DK14" s="117" t="n">
        <x:f>IF(AND(YEAR(DK$3)=YEAR($B$8),MONTH(DK$3)=MONTH($B$8)),SUM('Продажи'!$D$72:'Продажи'!DJ$72),0)+'ОБЪЕКТЫ'!DK111</x:f>
      </x:c>
      <x:c r="DL14" s="117" t="n">
        <x:f>IF(AND(YEAR(DL$3)=YEAR($B$8),MONTH(DL$3)=MONTH($B$8)),SUM('Продажи'!$D$72:'Продажи'!DK$72),0)+'ОБЪЕКТЫ'!DL111</x:f>
      </x:c>
      <x:c r="DM14" s="117" t="n">
        <x:f>IF(AND(YEAR(DM$3)=YEAR($B$8),MONTH(DM$3)=MONTH($B$8)),SUM('Продажи'!$D$72:'Продажи'!DL$72),0)+'ОБЪЕКТЫ'!DM111</x:f>
      </x:c>
      <x:c r="DN14" s="117" t="n">
        <x:f>IF(AND(YEAR(DN$3)=YEAR($B$8),MONTH(DN$3)=MONTH($B$8)),SUM('Продажи'!$D$72:'Продажи'!DM$72),0)+'ОБЪЕКТЫ'!DN111</x:f>
      </x:c>
      <x:c r="DO14" s="117" t="n">
        <x:f>IF(AND(YEAR(DO$3)=YEAR($B$8),MONTH(DO$3)=MONTH($B$8)),SUM('Продажи'!$D$72:'Продажи'!DN$72),0)+'ОБЪЕКТЫ'!DO111</x:f>
      </x:c>
      <x:c r="DP14" s="117" t="n">
        <x:f>IF(AND(YEAR(DP$3)=YEAR($B$8),MONTH(DP$3)=MONTH($B$8)),SUM('Продажи'!$D$72:'Продажи'!DO$72),0)+'ОБЪЕКТЫ'!DP111</x:f>
      </x:c>
      <x:c r="DQ14" s="117" t="n">
        <x:f>IF(AND(YEAR(DQ$3)=YEAR($B$8),MONTH(DQ$3)=MONTH($B$8)),SUM('Продажи'!$D$72:'Продажи'!DP$72),0)+'ОБЪЕКТЫ'!DQ111</x:f>
      </x:c>
      <x:c r="DR14" s="117" t="n">
        <x:f>IF(AND(YEAR(DR$3)=YEAR($B$8),MONTH(DR$3)=MONTH($B$8)),SUM('Продажи'!$D$72:'Продажи'!DQ$72),0)+'ОБЪЕКТЫ'!DR111</x:f>
      </x:c>
      <x:c r="DS14" s="117" t="n">
        <x:f>IF(AND(YEAR(DS$3)=YEAR($B$8),MONTH(DS$3)=MONTH($B$8)),SUM('Продажи'!$D$72:'Продажи'!DR$72),0)+'ОБЪЕКТЫ'!DS111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'CAPEX'!D100</x:f>
      </x:c>
      <x:c r="E17" s="117" t="n">
        <x:f>'CAPEX'!E100</x:f>
      </x:c>
      <x:c r="F17" s="117" t="n">
        <x:f>'CAPEX'!F100</x:f>
      </x:c>
      <x:c r="G17" s="117" t="n">
        <x:f>'CAPEX'!G100</x:f>
      </x:c>
      <x:c r="H17" s="117" t="n">
        <x:f>'CAPEX'!H100</x:f>
      </x:c>
      <x:c r="I17" s="117" t="n">
        <x:f>'CAPEX'!I100</x:f>
      </x:c>
      <x:c r="J17" s="117" t="n">
        <x:f>'CAPEX'!J100</x:f>
      </x:c>
      <x:c r="K17" s="117" t="n">
        <x:f>'CAPEX'!K100</x:f>
      </x:c>
      <x:c r="L17" s="117" t="n">
        <x:f>'CAPEX'!L100</x:f>
      </x:c>
      <x:c r="M17" s="117" t="n">
        <x:f>'CAPEX'!M100</x:f>
      </x:c>
      <x:c r="N17" s="117" t="n">
        <x:f>'CAPEX'!N100</x:f>
      </x:c>
      <x:c r="O17" s="117" t="n">
        <x:f>'CAPEX'!O100</x:f>
      </x:c>
      <x:c r="P17" s="117" t="n">
        <x:f>'CAPEX'!P100</x:f>
      </x:c>
      <x:c r="Q17" s="117" t="n">
        <x:f>'CAPEX'!Q100</x:f>
      </x:c>
      <x:c r="R17" s="117" t="n">
        <x:f>'CAPEX'!R100</x:f>
      </x:c>
      <x:c r="S17" s="117" t="n">
        <x:f>'CAPEX'!S100</x:f>
      </x:c>
      <x:c r="T17" s="117" t="n">
        <x:f>'CAPEX'!T100</x:f>
      </x:c>
      <x:c r="U17" s="117" t="n">
        <x:f>'CAPEX'!U100</x:f>
      </x:c>
      <x:c r="V17" s="117" t="n">
        <x:f>'CAPEX'!V100</x:f>
      </x:c>
      <x:c r="W17" s="117" t="n">
        <x:f>'CAPEX'!W100</x:f>
      </x:c>
      <x:c r="X17" s="117" t="n">
        <x:f>'CAPEX'!X100</x:f>
      </x:c>
      <x:c r="Y17" s="117" t="n">
        <x:f>'CAPEX'!Y100</x:f>
      </x:c>
      <x:c r="Z17" s="117" t="n">
        <x:f>'CAPEX'!Z100</x:f>
      </x:c>
      <x:c r="AA17" s="117" t="n">
        <x:f>'CAPEX'!AA100</x:f>
      </x:c>
      <x:c r="AB17" s="117" t="n">
        <x:f>'CAPEX'!AB100</x:f>
      </x:c>
      <x:c r="AC17" s="117" t="n">
        <x:f>'CAPEX'!AC100</x:f>
      </x:c>
      <x:c r="AD17" s="117" t="n">
        <x:f>'CAPEX'!AD100</x:f>
      </x:c>
      <x:c r="AE17" s="117" t="n">
        <x:f>'CAPEX'!AE100</x:f>
      </x:c>
      <x:c r="AF17" s="117" t="n">
        <x:f>'CAPEX'!AF100</x:f>
      </x:c>
      <x:c r="AG17" s="117" t="n">
        <x:f>'CAPEX'!AG100</x:f>
      </x:c>
      <x:c r="AH17" s="117" t="n">
        <x:f>'CAPEX'!AH100</x:f>
      </x:c>
      <x:c r="AI17" s="117" t="n">
        <x:f>'CAPEX'!AI100</x:f>
      </x:c>
      <x:c r="AJ17" s="117" t="n">
        <x:f>'CAPEX'!AJ100</x:f>
      </x:c>
      <x:c r="AK17" s="117" t="n">
        <x:f>'CAPEX'!AK100</x:f>
      </x:c>
      <x:c r="AL17" s="117" t="n">
        <x:f>'CAPEX'!AL100</x:f>
      </x:c>
      <x:c r="AM17" s="117" t="n">
        <x:f>'CAPEX'!AM100</x:f>
      </x:c>
      <x:c r="AN17" s="117" t="n">
        <x:f>'CAPEX'!AN100</x:f>
      </x:c>
      <x:c r="AO17" s="117" t="n">
        <x:f>'CAPEX'!AO100</x:f>
      </x:c>
      <x:c r="AP17" s="117" t="n">
        <x:f>'CAPEX'!AP100</x:f>
      </x:c>
      <x:c r="AQ17" s="117" t="n">
        <x:f>'CAPEX'!AQ100</x:f>
      </x:c>
      <x:c r="AR17" s="117" t="n">
        <x:f>'CAPEX'!AR100</x:f>
      </x:c>
      <x:c r="AS17" s="117" t="n">
        <x:f>'CAPEX'!AS100</x:f>
      </x:c>
      <x:c r="AT17" s="117" t="n">
        <x:f>'CAPEX'!AT100</x:f>
      </x:c>
      <x:c r="AU17" s="117" t="n">
        <x:f>'CAPEX'!AU100</x:f>
      </x:c>
      <x:c r="AV17" s="117" t="n">
        <x:f>'CAPEX'!AV100</x:f>
      </x:c>
      <x:c r="AW17" s="117" t="n">
        <x:f>'CAPEX'!AW100</x:f>
      </x:c>
      <x:c r="AX17" s="117" t="n">
        <x:f>'CAPEX'!AX100</x:f>
      </x:c>
      <x:c r="AY17" s="117" t="n">
        <x:f>'CAPEX'!AY100</x:f>
      </x:c>
      <x:c r="AZ17" s="117" t="n">
        <x:f>'CAPEX'!AZ100</x:f>
      </x:c>
      <x:c r="BA17" s="117" t="n">
        <x:f>'CAPEX'!BA100</x:f>
      </x:c>
      <x:c r="BB17" s="117" t="n">
        <x:f>'CAPEX'!BB100</x:f>
      </x:c>
      <x:c r="BC17" s="117" t="n">
        <x:f>'CAPEX'!BC100</x:f>
      </x:c>
      <x:c r="BD17" s="117" t="n">
        <x:f>'CAPEX'!BD100</x:f>
      </x:c>
      <x:c r="BE17" s="117" t="n">
        <x:f>'CAPEX'!BE100</x:f>
      </x:c>
      <x:c r="BF17" s="117" t="n">
        <x:f>'CAPEX'!BF100</x:f>
      </x:c>
      <x:c r="BG17" s="117" t="n">
        <x:f>'CAPEX'!BG100</x:f>
      </x:c>
      <x:c r="BH17" s="117" t="n">
        <x:f>'CAPEX'!BH100</x:f>
      </x:c>
      <x:c r="BI17" s="117" t="n">
        <x:f>'CAPEX'!BI100</x:f>
      </x:c>
      <x:c r="BJ17" s="117" t="n">
        <x:f>'CAPEX'!BJ100</x:f>
      </x:c>
      <x:c r="BK17" s="117" t="n">
        <x:f>'CAPEX'!BK100</x:f>
      </x:c>
      <x:c r="BL17" s="117" t="n">
        <x:f>'CAPEX'!BL100</x:f>
      </x:c>
      <x:c r="BM17" s="117" t="n">
        <x:f>'CAPEX'!BM100</x:f>
      </x:c>
      <x:c r="BN17" s="117" t="n">
        <x:f>'CAPEX'!BN100</x:f>
      </x:c>
      <x:c r="BO17" s="117" t="n">
        <x:f>'CAPEX'!BO100</x:f>
      </x:c>
      <x:c r="BP17" s="117" t="n">
        <x:f>'CAPEX'!BP100</x:f>
      </x:c>
      <x:c r="BQ17" s="117" t="n">
        <x:f>'CAPEX'!BQ100</x:f>
      </x:c>
      <x:c r="BR17" s="117" t="n">
        <x:f>'CAPEX'!BR100</x:f>
      </x:c>
      <x:c r="BS17" s="117" t="n">
        <x:f>'CAPEX'!BS100</x:f>
      </x:c>
      <x:c r="BT17" s="117" t="n">
        <x:f>'CAPEX'!BT100</x:f>
      </x:c>
      <x:c r="BU17" s="117" t="n">
        <x:f>'CAPEX'!BU100</x:f>
      </x:c>
      <x:c r="BV17" s="117" t="n">
        <x:f>'CAPEX'!BV100</x:f>
      </x:c>
      <x:c r="BW17" s="117" t="n">
        <x:f>'CAPEX'!BW100</x:f>
      </x:c>
      <x:c r="BX17" s="117" t="n">
        <x:f>'CAPEX'!BX100</x:f>
      </x:c>
      <x:c r="BY17" s="117" t="n">
        <x:f>'CAPEX'!BY100</x:f>
      </x:c>
      <x:c r="BZ17" s="117" t="n">
        <x:f>'CAPEX'!BZ100</x:f>
      </x:c>
      <x:c r="CA17" s="117" t="n">
        <x:f>'CAPEX'!CA100</x:f>
      </x:c>
      <x:c r="CB17" s="117" t="n">
        <x:f>'CAPEX'!CB100</x:f>
      </x:c>
      <x:c r="CC17" s="117" t="n">
        <x:f>'CAPEX'!CC100</x:f>
      </x:c>
      <x:c r="CD17" s="117" t="n">
        <x:f>'CAPEX'!CD100</x:f>
      </x:c>
      <x:c r="CE17" s="117" t="n">
        <x:f>'CAPEX'!CE100</x:f>
      </x:c>
      <x:c r="CF17" s="117" t="n">
        <x:f>'CAPEX'!CF100</x:f>
      </x:c>
      <x:c r="CG17" s="117" t="n">
        <x:f>'CAPEX'!CG100</x:f>
      </x:c>
      <x:c r="CH17" s="117" t="n">
        <x:f>'CAPEX'!CH100</x:f>
      </x:c>
      <x:c r="CI17" s="117" t="n">
        <x:f>'CAPEX'!CI100</x:f>
      </x:c>
      <x:c r="CJ17" s="117" t="n">
        <x:f>'CAPEX'!CJ100</x:f>
      </x:c>
      <x:c r="CK17" s="117" t="n">
        <x:f>'CAPEX'!CK100</x:f>
      </x:c>
      <x:c r="CL17" s="117" t="n">
        <x:f>'CAPEX'!CL100</x:f>
      </x:c>
      <x:c r="CM17" s="117" t="n">
        <x:f>'CAPEX'!CM100</x:f>
      </x:c>
      <x:c r="CN17" s="117" t="n">
        <x:f>'CAPEX'!CN100</x:f>
      </x:c>
      <x:c r="CO17" s="117" t="n">
        <x:f>'CAPEX'!CO100</x:f>
      </x:c>
      <x:c r="CP17" s="117" t="n">
        <x:f>'CAPEX'!CP100</x:f>
      </x:c>
      <x:c r="CQ17" s="117" t="n">
        <x:f>'CAPEX'!CQ100</x:f>
      </x:c>
      <x:c r="CR17" s="117" t="n">
        <x:f>'CAPEX'!CR100</x:f>
      </x:c>
      <x:c r="CS17" s="117" t="n">
        <x:f>'CAPEX'!CS100</x:f>
      </x:c>
      <x:c r="CT17" s="117" t="n">
        <x:f>'CAPEX'!CT100</x:f>
      </x:c>
      <x:c r="CU17" s="117" t="n">
        <x:f>'CAPEX'!CU100</x:f>
      </x:c>
      <x:c r="CV17" s="117" t="n">
        <x:f>'CAPEX'!CV100</x:f>
      </x:c>
      <x:c r="CW17" s="117" t="n">
        <x:f>'CAPEX'!CW100</x:f>
      </x:c>
      <x:c r="CX17" s="117" t="n">
        <x:f>'CAPEX'!CX100</x:f>
      </x:c>
      <x:c r="CY17" s="117" t="n">
        <x:f>'CAPEX'!CY100</x:f>
      </x:c>
      <x:c r="CZ17" s="117" t="n">
        <x:f>'CAPEX'!CZ100</x:f>
      </x:c>
      <x:c r="DA17" s="117" t="n">
        <x:f>'CAPEX'!DA100</x:f>
      </x:c>
      <x:c r="DB17" s="117" t="n">
        <x:f>'CAPEX'!DB100</x:f>
      </x:c>
      <x:c r="DC17" s="117" t="n">
        <x:f>'CAPEX'!DC100</x:f>
      </x:c>
      <x:c r="DD17" s="117" t="n">
        <x:f>'CAPEX'!DD100</x:f>
      </x:c>
      <x:c r="DE17" s="117" t="n">
        <x:f>'CAPEX'!DE100</x:f>
      </x:c>
      <x:c r="DF17" s="117" t="n">
        <x:f>'CAPEX'!DF100</x:f>
      </x:c>
      <x:c r="DG17" s="117" t="n">
        <x:f>'CAPEX'!DG100</x:f>
      </x:c>
      <x:c r="DH17" s="117" t="n">
        <x:f>'CAPEX'!DH100</x:f>
      </x:c>
      <x:c r="DI17" s="117" t="n">
        <x:f>'CAPEX'!DI100</x:f>
      </x:c>
      <x:c r="DJ17" s="117" t="n">
        <x:f>'CAPEX'!DJ100</x:f>
      </x:c>
      <x:c r="DK17" s="117" t="n">
        <x:f>'CAPEX'!DK100</x:f>
      </x:c>
      <x:c r="DL17" s="117" t="n">
        <x:f>'CAPEX'!DL100</x:f>
      </x:c>
      <x:c r="DM17" s="117" t="n">
        <x:f>'CAPEX'!DM100</x:f>
      </x:c>
      <x:c r="DN17" s="117" t="n">
        <x:f>'CAPEX'!DN100</x:f>
      </x:c>
      <x:c r="DO17" s="117" t="n">
        <x:f>'CAPEX'!DO100</x:f>
      </x:c>
      <x:c r="DP17" s="117" t="n">
        <x:f>'CAPEX'!DP100</x:f>
      </x:c>
      <x:c r="DQ17" s="117" t="n">
        <x:f>'CAPEX'!DQ100</x:f>
      </x:c>
      <x:c r="DR17" s="117" t="n">
        <x:f>'CAPEX'!DR100</x:f>
      </x:c>
      <x:c r="DS17" s="117" t="n">
        <x:f>'CAPEX'!DS100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'CAPEX'!D101</x:f>
      </x:c>
      <x:c r="E18" s="117" t="n">
        <x:f>'CAPEX'!E101</x:f>
      </x:c>
      <x:c r="F18" s="117" t="n">
        <x:f>'CAPEX'!F101</x:f>
      </x:c>
      <x:c r="G18" s="117" t="n">
        <x:f>'CAPEX'!G101</x:f>
      </x:c>
      <x:c r="H18" s="117" t="n">
        <x:f>'CAPEX'!H101</x:f>
      </x:c>
      <x:c r="I18" s="117" t="n">
        <x:f>'CAPEX'!I101</x:f>
      </x:c>
      <x:c r="J18" s="117" t="n">
        <x:f>'CAPEX'!J101</x:f>
      </x:c>
      <x:c r="K18" s="117" t="n">
        <x:f>'CAPEX'!K101</x:f>
      </x:c>
      <x:c r="L18" s="117" t="n">
        <x:f>'CAPEX'!L101</x:f>
      </x:c>
      <x:c r="M18" s="117" t="n">
        <x:f>'CAPEX'!M101</x:f>
      </x:c>
      <x:c r="N18" s="117" t="n">
        <x:f>'CAPEX'!N101</x:f>
      </x:c>
      <x:c r="O18" s="117" t="n">
        <x:f>'CAPEX'!O101</x:f>
      </x:c>
      <x:c r="P18" s="117" t="n">
        <x:f>'CAPEX'!P101</x:f>
      </x:c>
      <x:c r="Q18" s="117" t="n">
        <x:f>'CAPEX'!Q101</x:f>
      </x:c>
      <x:c r="R18" s="117" t="n">
        <x:f>'CAPEX'!R101</x:f>
      </x:c>
      <x:c r="S18" s="117" t="n">
        <x:f>'CAPEX'!S101</x:f>
      </x:c>
      <x:c r="T18" s="117" t="n">
        <x:f>'CAPEX'!T101</x:f>
      </x:c>
      <x:c r="U18" s="117" t="n">
        <x:f>'CAPEX'!U101</x:f>
      </x:c>
      <x:c r="V18" s="117" t="n">
        <x:f>'CAPEX'!V101</x:f>
      </x:c>
      <x:c r="W18" s="117" t="n">
        <x:f>'CAPEX'!W101</x:f>
      </x:c>
      <x:c r="X18" s="117" t="n">
        <x:f>'CAPEX'!X101</x:f>
      </x:c>
      <x:c r="Y18" s="117" t="n">
        <x:f>'CAPEX'!Y101</x:f>
      </x:c>
      <x:c r="Z18" s="117" t="n">
        <x:f>'CAPEX'!Z101</x:f>
      </x:c>
      <x:c r="AA18" s="117" t="n">
        <x:f>'CAPEX'!AA101</x:f>
      </x:c>
      <x:c r="AB18" s="117" t="n">
        <x:f>'CAPEX'!AB101</x:f>
      </x:c>
      <x:c r="AC18" s="117" t="n">
        <x:f>'CAPEX'!AC101</x:f>
      </x:c>
      <x:c r="AD18" s="117" t="n">
        <x:f>'CAPEX'!AD101</x:f>
      </x:c>
      <x:c r="AE18" s="117" t="n">
        <x:f>'CAPEX'!AE101</x:f>
      </x:c>
      <x:c r="AF18" s="117" t="n">
        <x:f>'CAPEX'!AF101</x:f>
      </x:c>
      <x:c r="AG18" s="117" t="n">
        <x:f>'CAPEX'!AG101</x:f>
      </x:c>
      <x:c r="AH18" s="117" t="n">
        <x:f>'CAPEX'!AH101</x:f>
      </x:c>
      <x:c r="AI18" s="117" t="n">
        <x:f>'CAPEX'!AI101</x:f>
      </x:c>
      <x:c r="AJ18" s="117" t="n">
        <x:f>'CAPEX'!AJ101</x:f>
      </x:c>
      <x:c r="AK18" s="117" t="n">
        <x:f>'CAPEX'!AK101</x:f>
      </x:c>
      <x:c r="AL18" s="117" t="n">
        <x:f>'CAPEX'!AL101</x:f>
      </x:c>
      <x:c r="AM18" s="117" t="n">
        <x:f>'CAPEX'!AM101</x:f>
      </x:c>
      <x:c r="AN18" s="117" t="n">
        <x:f>'CAPEX'!AN101</x:f>
      </x:c>
      <x:c r="AO18" s="117" t="n">
        <x:f>'CAPEX'!AO101</x:f>
      </x:c>
      <x:c r="AP18" s="117" t="n">
        <x:f>'CAPEX'!AP101</x:f>
      </x:c>
      <x:c r="AQ18" s="117" t="n">
        <x:f>'CAPEX'!AQ101</x:f>
      </x:c>
      <x:c r="AR18" s="117" t="n">
        <x:f>'CAPEX'!AR101</x:f>
      </x:c>
      <x:c r="AS18" s="117" t="n">
        <x:f>'CAPEX'!AS101</x:f>
      </x:c>
      <x:c r="AT18" s="117" t="n">
        <x:f>'CAPEX'!AT101</x:f>
      </x:c>
      <x:c r="AU18" s="117" t="n">
        <x:f>'CAPEX'!AU101</x:f>
      </x:c>
      <x:c r="AV18" s="117" t="n">
        <x:f>'CAPEX'!AV101</x:f>
      </x:c>
      <x:c r="AW18" s="117" t="n">
        <x:f>'CAPEX'!AW101</x:f>
      </x:c>
      <x:c r="AX18" s="117" t="n">
        <x:f>'CAPEX'!AX101</x:f>
      </x:c>
      <x:c r="AY18" s="117" t="n">
        <x:f>'CAPEX'!AY101</x:f>
      </x:c>
      <x:c r="AZ18" s="117" t="n">
        <x:f>'CAPEX'!AZ101</x:f>
      </x:c>
      <x:c r="BA18" s="117" t="n">
        <x:f>'CAPEX'!BA101</x:f>
      </x:c>
      <x:c r="BB18" s="117" t="n">
        <x:f>'CAPEX'!BB101</x:f>
      </x:c>
      <x:c r="BC18" s="117" t="n">
        <x:f>'CAPEX'!BC101</x:f>
      </x:c>
      <x:c r="BD18" s="117" t="n">
        <x:f>'CAPEX'!BD101</x:f>
      </x:c>
      <x:c r="BE18" s="117" t="n">
        <x:f>'CAPEX'!BE101</x:f>
      </x:c>
      <x:c r="BF18" s="117" t="n">
        <x:f>'CAPEX'!BF101</x:f>
      </x:c>
      <x:c r="BG18" s="117" t="n">
        <x:f>'CAPEX'!BG101</x:f>
      </x:c>
      <x:c r="BH18" s="117" t="n">
        <x:f>'CAPEX'!BH101</x:f>
      </x:c>
      <x:c r="BI18" s="117" t="n">
        <x:f>'CAPEX'!BI101</x:f>
      </x:c>
      <x:c r="BJ18" s="117" t="n">
        <x:f>'CAPEX'!BJ101</x:f>
      </x:c>
      <x:c r="BK18" s="117" t="n">
        <x:f>'CAPEX'!BK101</x:f>
      </x:c>
      <x:c r="BL18" s="117" t="n">
        <x:f>'CAPEX'!BL101</x:f>
      </x:c>
      <x:c r="BM18" s="117" t="n">
        <x:f>'CAPEX'!BM101</x:f>
      </x:c>
      <x:c r="BN18" s="117" t="n">
        <x:f>'CAPEX'!BN101</x:f>
      </x:c>
      <x:c r="BO18" s="117" t="n">
        <x:f>'CAPEX'!BO101</x:f>
      </x:c>
      <x:c r="BP18" s="117" t="n">
        <x:f>'CAPEX'!BP101</x:f>
      </x:c>
      <x:c r="BQ18" s="117" t="n">
        <x:f>'CAPEX'!BQ101</x:f>
      </x:c>
      <x:c r="BR18" s="117" t="n">
        <x:f>'CAPEX'!BR101</x:f>
      </x:c>
      <x:c r="BS18" s="117" t="n">
        <x:f>'CAPEX'!BS101</x:f>
      </x:c>
      <x:c r="BT18" s="117" t="n">
        <x:f>'CAPEX'!BT101</x:f>
      </x:c>
      <x:c r="BU18" s="117" t="n">
        <x:f>'CAPEX'!BU101</x:f>
      </x:c>
      <x:c r="BV18" s="117" t="n">
        <x:f>'CAPEX'!BV101</x:f>
      </x:c>
      <x:c r="BW18" s="117" t="n">
        <x:f>'CAPEX'!BW101</x:f>
      </x:c>
      <x:c r="BX18" s="117" t="n">
        <x:f>'CAPEX'!BX101</x:f>
      </x:c>
      <x:c r="BY18" s="117" t="n">
        <x:f>'CAPEX'!BY101</x:f>
      </x:c>
      <x:c r="BZ18" s="117" t="n">
        <x:f>'CAPEX'!BZ101</x:f>
      </x:c>
      <x:c r="CA18" s="117" t="n">
        <x:f>'CAPEX'!CA101</x:f>
      </x:c>
      <x:c r="CB18" s="117" t="n">
        <x:f>'CAPEX'!CB101</x:f>
      </x:c>
      <x:c r="CC18" s="117" t="n">
        <x:f>'CAPEX'!CC101</x:f>
      </x:c>
      <x:c r="CD18" s="117" t="n">
        <x:f>'CAPEX'!CD101</x:f>
      </x:c>
      <x:c r="CE18" s="117" t="n">
        <x:f>'CAPEX'!CE101</x:f>
      </x:c>
      <x:c r="CF18" s="117" t="n">
        <x:f>'CAPEX'!CF101</x:f>
      </x:c>
      <x:c r="CG18" s="117" t="n">
        <x:f>'CAPEX'!CG101</x:f>
      </x:c>
      <x:c r="CH18" s="117" t="n">
        <x:f>'CAPEX'!CH101</x:f>
      </x:c>
      <x:c r="CI18" s="117" t="n">
        <x:f>'CAPEX'!CI101</x:f>
      </x:c>
      <x:c r="CJ18" s="117" t="n">
        <x:f>'CAPEX'!CJ101</x:f>
      </x:c>
      <x:c r="CK18" s="117" t="n">
        <x:f>'CAPEX'!CK101</x:f>
      </x:c>
      <x:c r="CL18" s="117" t="n">
        <x:f>'CAPEX'!CL101</x:f>
      </x:c>
      <x:c r="CM18" s="117" t="n">
        <x:f>'CAPEX'!CM101</x:f>
      </x:c>
      <x:c r="CN18" s="117" t="n">
        <x:f>'CAPEX'!CN101</x:f>
      </x:c>
      <x:c r="CO18" s="117" t="n">
        <x:f>'CAPEX'!CO101</x:f>
      </x:c>
      <x:c r="CP18" s="117" t="n">
        <x:f>'CAPEX'!CP101</x:f>
      </x:c>
      <x:c r="CQ18" s="117" t="n">
        <x:f>'CAPEX'!CQ101</x:f>
      </x:c>
      <x:c r="CR18" s="117" t="n">
        <x:f>'CAPEX'!CR101</x:f>
      </x:c>
      <x:c r="CS18" s="117" t="n">
        <x:f>'CAPEX'!CS101</x:f>
      </x:c>
      <x:c r="CT18" s="117" t="n">
        <x:f>'CAPEX'!CT101</x:f>
      </x:c>
      <x:c r="CU18" s="117" t="n">
        <x:f>'CAPEX'!CU101</x:f>
      </x:c>
      <x:c r="CV18" s="117" t="n">
        <x:f>'CAPEX'!CV101</x:f>
      </x:c>
      <x:c r="CW18" s="117" t="n">
        <x:f>'CAPEX'!CW101</x:f>
      </x:c>
      <x:c r="CX18" s="117" t="n">
        <x:f>'CAPEX'!CX101</x:f>
      </x:c>
      <x:c r="CY18" s="117" t="n">
        <x:f>'CAPEX'!CY101</x:f>
      </x:c>
      <x:c r="CZ18" s="117" t="n">
        <x:f>'CAPEX'!CZ101</x:f>
      </x:c>
      <x:c r="DA18" s="117" t="n">
        <x:f>'CAPEX'!DA101</x:f>
      </x:c>
      <x:c r="DB18" s="117" t="n">
        <x:f>'CAPEX'!DB101</x:f>
      </x:c>
      <x:c r="DC18" s="117" t="n">
        <x:f>'CAPEX'!DC101</x:f>
      </x:c>
      <x:c r="DD18" s="117" t="n">
        <x:f>'CAPEX'!DD101</x:f>
      </x:c>
      <x:c r="DE18" s="117" t="n">
        <x:f>'CAPEX'!DE101</x:f>
      </x:c>
      <x:c r="DF18" s="117" t="n">
        <x:f>'CAPEX'!DF101</x:f>
      </x:c>
      <x:c r="DG18" s="117" t="n">
        <x:f>'CAPEX'!DG101</x:f>
      </x:c>
      <x:c r="DH18" s="117" t="n">
        <x:f>'CAPEX'!DH101</x:f>
      </x:c>
      <x:c r="DI18" s="117" t="n">
        <x:f>'CAPEX'!DI101</x:f>
      </x:c>
      <x:c r="DJ18" s="117" t="n">
        <x:f>'CAPEX'!DJ101</x:f>
      </x:c>
      <x:c r="DK18" s="117" t="n">
        <x:f>'CAPEX'!DK101</x:f>
      </x:c>
      <x:c r="DL18" s="117" t="n">
        <x:f>'CAPEX'!DL101</x:f>
      </x:c>
      <x:c r="DM18" s="117" t="n">
        <x:f>'CAPEX'!DM101</x:f>
      </x:c>
      <x:c r="DN18" s="117" t="n">
        <x:f>'CAPEX'!DN101</x:f>
      </x:c>
      <x:c r="DO18" s="117" t="n">
        <x:f>'CAPEX'!DO101</x:f>
      </x:c>
      <x:c r="DP18" s="117" t="n">
        <x:f>'CAPEX'!DP101</x:f>
      </x:c>
      <x:c r="DQ18" s="117" t="n">
        <x:f>'CAPEX'!DQ101</x:f>
      </x:c>
      <x:c r="DR18" s="117" t="n">
        <x:f>'CAPEX'!DR101</x:f>
      </x:c>
      <x:c r="DS18" s="117" t="n">
        <x:f>'CAPEX'!DS101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'CAPEX'!D102</x:f>
      </x:c>
      <x:c r="E19" s="117" t="n">
        <x:f>'CAPEX'!E102</x:f>
      </x:c>
      <x:c r="F19" s="117" t="n">
        <x:f>'CAPEX'!F102</x:f>
      </x:c>
      <x:c r="G19" s="117" t="n">
        <x:f>'CAPEX'!G102</x:f>
      </x:c>
      <x:c r="H19" s="117" t="n">
        <x:f>'CAPEX'!H102</x:f>
      </x:c>
      <x:c r="I19" s="117" t="n">
        <x:f>'CAPEX'!I102</x:f>
      </x:c>
      <x:c r="J19" s="117" t="n">
        <x:f>'CAPEX'!J102</x:f>
      </x:c>
      <x:c r="K19" s="117" t="n">
        <x:f>'CAPEX'!K102</x:f>
      </x:c>
      <x:c r="L19" s="117" t="n">
        <x:f>'CAPEX'!L102</x:f>
      </x:c>
      <x:c r="M19" s="117" t="n">
        <x:f>'CAPEX'!M102</x:f>
      </x:c>
      <x:c r="N19" s="117" t="n">
        <x:f>'CAPEX'!N102</x:f>
      </x:c>
      <x:c r="O19" s="117" t="n">
        <x:f>'CAPEX'!O102</x:f>
      </x:c>
      <x:c r="P19" s="117" t="n">
        <x:f>'CAPEX'!P102</x:f>
      </x:c>
      <x:c r="Q19" s="117" t="n">
        <x:f>'CAPEX'!Q102</x:f>
      </x:c>
      <x:c r="R19" s="117" t="n">
        <x:f>'CAPEX'!R102</x:f>
      </x:c>
      <x:c r="S19" s="117" t="n">
        <x:f>'CAPEX'!S102</x:f>
      </x:c>
      <x:c r="T19" s="117" t="n">
        <x:f>'CAPEX'!T102</x:f>
      </x:c>
      <x:c r="U19" s="117" t="n">
        <x:f>'CAPEX'!U102</x:f>
      </x:c>
      <x:c r="V19" s="117" t="n">
        <x:f>'CAPEX'!V102</x:f>
      </x:c>
      <x:c r="W19" s="117" t="n">
        <x:f>'CAPEX'!W102</x:f>
      </x:c>
      <x:c r="X19" s="117" t="n">
        <x:f>'CAPEX'!X102</x:f>
      </x:c>
      <x:c r="Y19" s="117" t="n">
        <x:f>'CAPEX'!Y102</x:f>
      </x:c>
      <x:c r="Z19" s="117" t="n">
        <x:f>'CAPEX'!Z102</x:f>
      </x:c>
      <x:c r="AA19" s="117" t="n">
        <x:f>'CAPEX'!AA102</x:f>
      </x:c>
      <x:c r="AB19" s="117" t="n">
        <x:f>'CAPEX'!AB102</x:f>
      </x:c>
      <x:c r="AC19" s="117" t="n">
        <x:f>'CAPEX'!AC102</x:f>
      </x:c>
      <x:c r="AD19" s="117" t="n">
        <x:f>'CAPEX'!AD102</x:f>
      </x:c>
      <x:c r="AE19" s="117" t="n">
        <x:f>'CAPEX'!AE102</x:f>
      </x:c>
      <x:c r="AF19" s="117" t="n">
        <x:f>'CAPEX'!AF102</x:f>
      </x:c>
      <x:c r="AG19" s="117" t="n">
        <x:f>'CAPEX'!AG102</x:f>
      </x:c>
      <x:c r="AH19" s="117" t="n">
        <x:f>'CAPEX'!AH102</x:f>
      </x:c>
      <x:c r="AI19" s="117" t="n">
        <x:f>'CAPEX'!AI102</x:f>
      </x:c>
      <x:c r="AJ19" s="117" t="n">
        <x:f>'CAPEX'!AJ102</x:f>
      </x:c>
      <x:c r="AK19" s="117" t="n">
        <x:f>'CAPEX'!AK102</x:f>
      </x:c>
      <x:c r="AL19" s="117" t="n">
        <x:f>'CAPEX'!AL102</x:f>
      </x:c>
      <x:c r="AM19" s="117" t="n">
        <x:f>'CAPEX'!AM102</x:f>
      </x:c>
      <x:c r="AN19" s="117" t="n">
        <x:f>'CAPEX'!AN102</x:f>
      </x:c>
      <x:c r="AO19" s="117" t="n">
        <x:f>'CAPEX'!AO102</x:f>
      </x:c>
      <x:c r="AP19" s="117" t="n">
        <x:f>'CAPEX'!AP102</x:f>
      </x:c>
      <x:c r="AQ19" s="117" t="n">
        <x:f>'CAPEX'!AQ102</x:f>
      </x:c>
      <x:c r="AR19" s="117" t="n">
        <x:f>'CAPEX'!AR102</x:f>
      </x:c>
      <x:c r="AS19" s="117" t="n">
        <x:f>'CAPEX'!AS102</x:f>
      </x:c>
      <x:c r="AT19" s="117" t="n">
        <x:f>'CAPEX'!AT102</x:f>
      </x:c>
      <x:c r="AU19" s="117" t="n">
        <x:f>'CAPEX'!AU102</x:f>
      </x:c>
      <x:c r="AV19" s="117" t="n">
        <x:f>'CAPEX'!AV102</x:f>
      </x:c>
      <x:c r="AW19" s="117" t="n">
        <x:f>'CAPEX'!AW102</x:f>
      </x:c>
      <x:c r="AX19" s="117" t="n">
        <x:f>'CAPEX'!AX102</x:f>
      </x:c>
      <x:c r="AY19" s="117" t="n">
        <x:f>'CAPEX'!AY102</x:f>
      </x:c>
      <x:c r="AZ19" s="117" t="n">
        <x:f>'CAPEX'!AZ102</x:f>
      </x:c>
      <x:c r="BA19" s="117" t="n">
        <x:f>'CAPEX'!BA102</x:f>
      </x:c>
      <x:c r="BB19" s="117" t="n">
        <x:f>'CAPEX'!BB102</x:f>
      </x:c>
      <x:c r="BC19" s="117" t="n">
        <x:f>'CAPEX'!BC102</x:f>
      </x:c>
      <x:c r="BD19" s="117" t="n">
        <x:f>'CAPEX'!BD102</x:f>
      </x:c>
      <x:c r="BE19" s="117" t="n">
        <x:f>'CAPEX'!BE102</x:f>
      </x:c>
      <x:c r="BF19" s="117" t="n">
        <x:f>'CAPEX'!BF102</x:f>
      </x:c>
      <x:c r="BG19" s="117" t="n">
        <x:f>'CAPEX'!BG102</x:f>
      </x:c>
      <x:c r="BH19" s="117" t="n">
        <x:f>'CAPEX'!BH102</x:f>
      </x:c>
      <x:c r="BI19" s="117" t="n">
        <x:f>'CAPEX'!BI102</x:f>
      </x:c>
      <x:c r="BJ19" s="117" t="n">
        <x:f>'CAPEX'!BJ102</x:f>
      </x:c>
      <x:c r="BK19" s="117" t="n">
        <x:f>'CAPEX'!BK102</x:f>
      </x:c>
      <x:c r="BL19" s="117" t="n">
        <x:f>'CAPEX'!BL102</x:f>
      </x:c>
      <x:c r="BM19" s="117" t="n">
        <x:f>'CAPEX'!BM102</x:f>
      </x:c>
      <x:c r="BN19" s="117" t="n">
        <x:f>'CAPEX'!BN102</x:f>
      </x:c>
      <x:c r="BO19" s="117" t="n">
        <x:f>'CAPEX'!BO102</x:f>
      </x:c>
      <x:c r="BP19" s="117" t="n">
        <x:f>'CAPEX'!BP102</x:f>
      </x:c>
      <x:c r="BQ19" s="117" t="n">
        <x:f>'CAPEX'!BQ102</x:f>
      </x:c>
      <x:c r="BR19" s="117" t="n">
        <x:f>'CAPEX'!BR102</x:f>
      </x:c>
      <x:c r="BS19" s="117" t="n">
        <x:f>'CAPEX'!BS102</x:f>
      </x:c>
      <x:c r="BT19" s="117" t="n">
        <x:f>'CAPEX'!BT102</x:f>
      </x:c>
      <x:c r="BU19" s="117" t="n">
        <x:f>'CAPEX'!BU102</x:f>
      </x:c>
      <x:c r="BV19" s="117" t="n">
        <x:f>'CAPEX'!BV102</x:f>
      </x:c>
      <x:c r="BW19" s="117" t="n">
        <x:f>'CAPEX'!BW102</x:f>
      </x:c>
      <x:c r="BX19" s="117" t="n">
        <x:f>'CAPEX'!BX102</x:f>
      </x:c>
      <x:c r="BY19" s="117" t="n">
        <x:f>'CAPEX'!BY102</x:f>
      </x:c>
      <x:c r="BZ19" s="117" t="n">
        <x:f>'CAPEX'!BZ102</x:f>
      </x:c>
      <x:c r="CA19" s="117" t="n">
        <x:f>'CAPEX'!CA102</x:f>
      </x:c>
      <x:c r="CB19" s="117" t="n">
        <x:f>'CAPEX'!CB102</x:f>
      </x:c>
      <x:c r="CC19" s="117" t="n">
        <x:f>'CAPEX'!CC102</x:f>
      </x:c>
      <x:c r="CD19" s="117" t="n">
        <x:f>'CAPEX'!CD102</x:f>
      </x:c>
      <x:c r="CE19" s="117" t="n">
        <x:f>'CAPEX'!CE102</x:f>
      </x:c>
      <x:c r="CF19" s="117" t="n">
        <x:f>'CAPEX'!CF102</x:f>
      </x:c>
      <x:c r="CG19" s="117" t="n">
        <x:f>'CAPEX'!CG102</x:f>
      </x:c>
      <x:c r="CH19" s="117" t="n">
        <x:f>'CAPEX'!CH102</x:f>
      </x:c>
      <x:c r="CI19" s="117" t="n">
        <x:f>'CAPEX'!CI102</x:f>
      </x:c>
      <x:c r="CJ19" s="117" t="n">
        <x:f>'CAPEX'!CJ102</x:f>
      </x:c>
      <x:c r="CK19" s="117" t="n">
        <x:f>'CAPEX'!CK102</x:f>
      </x:c>
      <x:c r="CL19" s="117" t="n">
        <x:f>'CAPEX'!CL102</x:f>
      </x:c>
      <x:c r="CM19" s="117" t="n">
        <x:f>'CAPEX'!CM102</x:f>
      </x:c>
      <x:c r="CN19" s="117" t="n">
        <x:f>'CAPEX'!CN102</x:f>
      </x:c>
      <x:c r="CO19" s="117" t="n">
        <x:f>'CAPEX'!CO102</x:f>
      </x:c>
      <x:c r="CP19" s="117" t="n">
        <x:f>'CAPEX'!CP102</x:f>
      </x:c>
      <x:c r="CQ19" s="117" t="n">
        <x:f>'CAPEX'!CQ102</x:f>
      </x:c>
      <x:c r="CR19" s="117" t="n">
        <x:f>'CAPEX'!CR102</x:f>
      </x:c>
      <x:c r="CS19" s="117" t="n">
        <x:f>'CAPEX'!CS102</x:f>
      </x:c>
      <x:c r="CT19" s="117" t="n">
        <x:f>'CAPEX'!CT102</x:f>
      </x:c>
      <x:c r="CU19" s="117" t="n">
        <x:f>'CAPEX'!CU102</x:f>
      </x:c>
      <x:c r="CV19" s="117" t="n">
        <x:f>'CAPEX'!CV102</x:f>
      </x:c>
      <x:c r="CW19" s="117" t="n">
        <x:f>'CAPEX'!CW102</x:f>
      </x:c>
      <x:c r="CX19" s="117" t="n">
        <x:f>'CAPEX'!CX102</x:f>
      </x:c>
      <x:c r="CY19" s="117" t="n">
        <x:f>'CAPEX'!CY102</x:f>
      </x:c>
      <x:c r="CZ19" s="117" t="n">
        <x:f>'CAPEX'!CZ102</x:f>
      </x:c>
      <x:c r="DA19" s="117" t="n">
        <x:f>'CAPEX'!DA102</x:f>
      </x:c>
      <x:c r="DB19" s="117" t="n">
        <x:f>'CAPEX'!DB102</x:f>
      </x:c>
      <x:c r="DC19" s="117" t="n">
        <x:f>'CAPEX'!DC102</x:f>
      </x:c>
      <x:c r="DD19" s="117" t="n">
        <x:f>'CAPEX'!DD102</x:f>
      </x:c>
      <x:c r="DE19" s="117" t="n">
        <x:f>'CAPEX'!DE102</x:f>
      </x:c>
      <x:c r="DF19" s="117" t="n">
        <x:f>'CAPEX'!DF102</x:f>
      </x:c>
      <x:c r="DG19" s="117" t="n">
        <x:f>'CAPEX'!DG102</x:f>
      </x:c>
      <x:c r="DH19" s="117" t="n">
        <x:f>'CAPEX'!DH102</x:f>
      </x:c>
      <x:c r="DI19" s="117" t="n">
        <x:f>'CAPEX'!DI102</x:f>
      </x:c>
      <x:c r="DJ19" s="117" t="n">
        <x:f>'CAPEX'!DJ102</x:f>
      </x:c>
      <x:c r="DK19" s="117" t="n">
        <x:f>'CAPEX'!DK102</x:f>
      </x:c>
      <x:c r="DL19" s="117" t="n">
        <x:f>'CAPEX'!DL102</x:f>
      </x:c>
      <x:c r="DM19" s="117" t="n">
        <x:f>'CAPEX'!DM102</x:f>
      </x:c>
      <x:c r="DN19" s="117" t="n">
        <x:f>'CAPEX'!DN102</x:f>
      </x:c>
      <x:c r="DO19" s="117" t="n">
        <x:f>'CAPEX'!DO102</x:f>
      </x:c>
      <x:c r="DP19" s="117" t="n">
        <x:f>'CAPEX'!DP102</x:f>
      </x:c>
      <x:c r="DQ19" s="117" t="n">
        <x:f>'CAPEX'!DQ102</x:f>
      </x:c>
      <x:c r="DR19" s="117" t="n">
        <x:f>'CAPEX'!DR102</x:f>
      </x:c>
      <x:c r="DS19" s="117" t="n">
        <x:f>'CAPEX'!DS102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MIN(MAX(0,'Вводные'!$B$24*'Вводные'!$U$90-D30),D33)</x:f>
      </x:c>
      <x:c r="E34" s="117" t="n">
        <x:f>MIN(MAX(0,'Вводные'!$B$24*'Вводные'!$U$90-E30),E33)</x:f>
      </x:c>
      <x:c r="F34" s="117" t="n">
        <x:f>MIN(MAX(0,'Вводные'!$B$24*'Вводные'!$U$90-F30),F33)</x:f>
      </x:c>
      <x:c r="G34" s="117" t="n">
        <x:f>MIN(MAX(0,'Вводные'!$B$24*'Вводные'!$U$90-G30),G33)</x:f>
      </x:c>
      <x:c r="H34" s="117" t="n">
        <x:f>MIN(MAX(0,'Вводные'!$B$24*'Вводные'!$U$90-H30),H33)</x:f>
      </x:c>
      <x:c r="I34" s="117" t="n">
        <x:f>MIN(MAX(0,'Вводные'!$B$24*'Вводные'!$U$90-I30),I33)</x:f>
      </x:c>
      <x:c r="J34" s="117" t="n">
        <x:f>MIN(MAX(0,'Вводные'!$B$24*'Вводные'!$U$90-J30),J33)</x:f>
      </x:c>
      <x:c r="K34" s="117" t="n">
        <x:f>MIN(MAX(0,'Вводные'!$B$24*'Вводные'!$U$90-K30),K33)</x:f>
      </x:c>
      <x:c r="L34" s="117" t="n">
        <x:f>MIN(MAX(0,'Вводные'!$B$24*'Вводные'!$U$90-L30),L33)</x:f>
      </x:c>
      <x:c r="M34" s="117" t="n">
        <x:f>MIN(MAX(0,'Вводные'!$B$24*'Вводные'!$U$90-M30),M33)</x:f>
      </x:c>
      <x:c r="N34" s="117" t="n">
        <x:f>MIN(MAX(0,'Вводные'!$B$24*'Вводные'!$U$90-N30),N33)</x:f>
      </x:c>
      <x:c r="O34" s="117" t="n">
        <x:f>MIN(MAX(0,'Вводные'!$B$24*'Вводные'!$U$90-O30),O33)</x:f>
      </x:c>
      <x:c r="P34" s="117" t="n">
        <x:f>MIN(MAX(0,'Вводные'!$B$24*'Вводные'!$U$90-P30),P33)</x:f>
      </x:c>
      <x:c r="Q34" s="117" t="n">
        <x:f>MIN(MAX(0,'Вводные'!$B$24*'Вводные'!$U$90-Q30),Q33)</x:f>
      </x:c>
      <x:c r="R34" s="117" t="n">
        <x:f>MIN(MAX(0,'Вводные'!$B$24*'Вводные'!$U$90-R30),R33)</x:f>
      </x:c>
      <x:c r="S34" s="117" t="n">
        <x:f>MIN(MAX(0,'Вводные'!$B$24*'Вводные'!$U$90-S30),S33)</x:f>
      </x:c>
      <x:c r="T34" s="117" t="n">
        <x:f>MIN(MAX(0,'Вводные'!$B$24*'Вводные'!$U$90-T30),T33)</x:f>
      </x:c>
      <x:c r="U34" s="117" t="n">
        <x:f>MIN(MAX(0,'Вводные'!$B$24*'Вводные'!$U$90-U30),U33)</x:f>
      </x:c>
      <x:c r="V34" s="117" t="n">
        <x:f>MIN(MAX(0,'Вводные'!$B$24*'Вводные'!$U$90-V30),V33)</x:f>
      </x:c>
      <x:c r="W34" s="117" t="n">
        <x:f>MIN(MAX(0,'Вводные'!$B$24*'Вводные'!$U$90-W30),W33)</x:f>
      </x:c>
      <x:c r="X34" s="117" t="n">
        <x:f>MIN(MAX(0,'Вводные'!$B$24*'Вводные'!$U$90-X30),X33)</x:f>
      </x:c>
      <x:c r="Y34" s="117" t="n">
        <x:f>MIN(MAX(0,'Вводные'!$B$24*'Вводные'!$U$90-Y30),Y33)</x:f>
      </x:c>
      <x:c r="Z34" s="117" t="n">
        <x:f>MIN(MAX(0,'Вводные'!$B$24*'Вводные'!$U$90-Z30),Z33)</x:f>
      </x:c>
      <x:c r="AA34" s="117" t="n">
        <x:f>MIN(MAX(0,'Вводные'!$B$24*'Вводные'!$U$90-AA30),AA33)</x:f>
      </x:c>
      <x:c r="AB34" s="117" t="n">
        <x:f>MIN(MAX(0,'Вводные'!$B$24*'Вводные'!$U$90-AB30),AB33)</x:f>
      </x:c>
      <x:c r="AC34" s="117" t="n">
        <x:f>MIN(MAX(0,'Вводные'!$B$24*'Вводные'!$U$90-AC30),AC33)</x:f>
      </x:c>
      <x:c r="AD34" s="117" t="n">
        <x:f>MIN(MAX(0,'Вводные'!$B$24*'Вводные'!$U$90-AD30),AD33)</x:f>
      </x:c>
      <x:c r="AE34" s="117" t="n">
        <x:f>MIN(MAX(0,'Вводные'!$B$24*'Вводные'!$U$90-AE30),AE33)</x:f>
      </x:c>
      <x:c r="AF34" s="117" t="n">
        <x:f>MIN(MAX(0,'Вводные'!$B$24*'Вводные'!$U$90-AF30),AF33)</x:f>
      </x:c>
      <x:c r="AG34" s="117" t="n">
        <x:f>MIN(MAX(0,'Вводные'!$B$24*'Вводные'!$U$90-AG30),AG33)</x:f>
      </x:c>
      <x:c r="AH34" s="117" t="n">
        <x:f>MIN(MAX(0,'Вводные'!$B$24*'Вводные'!$U$90-AH30),AH33)</x:f>
      </x:c>
      <x:c r="AI34" s="117" t="n">
        <x:f>MIN(MAX(0,'Вводные'!$B$24*'Вводные'!$U$90-AI30),AI33)</x:f>
      </x:c>
      <x:c r="AJ34" s="117" t="n">
        <x:f>MIN(MAX(0,'Вводные'!$B$24*'Вводные'!$U$90-AJ30),AJ33)</x:f>
      </x:c>
      <x:c r="AK34" s="117" t="n">
        <x:f>MIN(MAX(0,'Вводные'!$B$24*'Вводные'!$U$90-AK30),AK33)</x:f>
      </x:c>
      <x:c r="AL34" s="117" t="n">
        <x:f>MIN(MAX(0,'Вводные'!$B$24*'Вводные'!$U$90-AL30),AL33)</x:f>
      </x:c>
      <x:c r="AM34" s="117" t="n">
        <x:f>MIN(MAX(0,'Вводные'!$B$24*'Вводные'!$U$90-AM30),AM33)</x:f>
      </x:c>
      <x:c r="AN34" s="117" t="n">
        <x:f>MIN(MAX(0,'Вводные'!$B$24*'Вводные'!$U$90-AN30),AN33)</x:f>
      </x:c>
      <x:c r="AO34" s="117" t="n">
        <x:f>MIN(MAX(0,'Вводные'!$B$24*'Вводные'!$U$90-AO30),AO33)</x:f>
      </x:c>
      <x:c r="AP34" s="117" t="n">
        <x:f>MIN(MAX(0,'Вводные'!$B$24*'Вводные'!$U$90-AP30),AP33)</x:f>
      </x:c>
      <x:c r="AQ34" s="117" t="n">
        <x:f>MIN(MAX(0,'Вводные'!$B$24*'Вводные'!$U$90-AQ30),AQ33)</x:f>
      </x:c>
      <x:c r="AR34" s="117" t="n">
        <x:f>MIN(MAX(0,'Вводные'!$B$24*'Вводные'!$U$90-AR30),AR33)</x:f>
      </x:c>
      <x:c r="AS34" s="117" t="n">
        <x:f>MIN(MAX(0,'Вводные'!$B$24*'Вводные'!$U$90-AS30),AS33)</x:f>
      </x:c>
      <x:c r="AT34" s="117" t="n">
        <x:f>MIN(MAX(0,'Вводные'!$B$24*'Вводные'!$U$90-AT30),AT33)</x:f>
      </x:c>
      <x:c r="AU34" s="117" t="n">
        <x:f>MIN(MAX(0,'Вводные'!$B$24*'Вводные'!$U$90-AU30),AU33)</x:f>
      </x:c>
      <x:c r="AV34" s="117" t="n">
        <x:f>MIN(MAX(0,'Вводные'!$B$24*'Вводные'!$U$90-AV30),AV33)</x:f>
      </x:c>
      <x:c r="AW34" s="117" t="n">
        <x:f>MIN(MAX(0,'Вводные'!$B$24*'Вводные'!$U$90-AW30),AW33)</x:f>
      </x:c>
      <x:c r="AX34" s="117" t="n">
        <x:f>MIN(MAX(0,'Вводные'!$B$24*'Вводные'!$U$90-AX30),AX33)</x:f>
      </x:c>
      <x:c r="AY34" s="117" t="n">
        <x:f>MIN(MAX(0,'Вводные'!$B$24*'Вводные'!$U$90-AY30),AY33)</x:f>
      </x:c>
      <x:c r="AZ34" s="117" t="n">
        <x:f>MIN(MAX(0,'Вводные'!$B$24*'Вводные'!$U$90-AZ30),AZ33)</x:f>
      </x:c>
      <x:c r="BA34" s="117" t="n">
        <x:f>MIN(MAX(0,'Вводные'!$B$24*'Вводные'!$U$90-BA30),BA33)</x:f>
      </x:c>
      <x:c r="BB34" s="117" t="n">
        <x:f>MIN(MAX(0,'Вводные'!$B$24*'Вводные'!$U$90-BB30),BB33)</x:f>
      </x:c>
      <x:c r="BC34" s="117" t="n">
        <x:f>MIN(MAX(0,'Вводные'!$B$24*'Вводные'!$U$90-BC30),BC33)</x:f>
      </x:c>
      <x:c r="BD34" s="117" t="n">
        <x:f>MIN(MAX(0,'Вводные'!$B$24*'Вводные'!$U$90-BD30),BD33)</x:f>
      </x:c>
      <x:c r="BE34" s="117" t="n">
        <x:f>MIN(MAX(0,'Вводные'!$B$24*'Вводные'!$U$90-BE30),BE33)</x:f>
      </x:c>
      <x:c r="BF34" s="117" t="n">
        <x:f>MIN(MAX(0,'Вводные'!$B$24*'Вводные'!$U$90-BF30),BF33)</x:f>
      </x:c>
      <x:c r="BG34" s="117" t="n">
        <x:f>MIN(MAX(0,'Вводные'!$B$24*'Вводные'!$U$90-BG30),BG33)</x:f>
      </x:c>
      <x:c r="BH34" s="117" t="n">
        <x:f>MIN(MAX(0,'Вводные'!$B$24*'Вводные'!$U$90-BH30),BH33)</x:f>
      </x:c>
      <x:c r="BI34" s="117" t="n">
        <x:f>MIN(MAX(0,'Вводные'!$B$24*'Вводные'!$U$90-BI30),BI33)</x:f>
      </x:c>
      <x:c r="BJ34" s="117" t="n">
        <x:f>MIN(MAX(0,'Вводные'!$B$24*'Вводные'!$U$90-BJ30),BJ33)</x:f>
      </x:c>
      <x:c r="BK34" s="117" t="n">
        <x:f>MIN(MAX(0,'Вводные'!$B$24*'Вводные'!$U$90-BK30),BK33)</x:f>
      </x:c>
      <x:c r="BL34" s="117" t="n">
        <x:f>MIN(MAX(0,'Вводные'!$B$24*'Вводные'!$U$90-BL30),BL33)</x:f>
      </x:c>
      <x:c r="BM34" s="117" t="n">
        <x:f>MIN(MAX(0,'Вводные'!$B$24*'Вводные'!$U$90-BM30),BM33)</x:f>
      </x:c>
      <x:c r="BN34" s="117" t="n">
        <x:f>MIN(MAX(0,'Вводные'!$B$24*'Вводные'!$U$90-BN30),BN33)</x:f>
      </x:c>
      <x:c r="BO34" s="117" t="n">
        <x:f>MIN(MAX(0,'Вводные'!$B$24*'Вводные'!$U$90-BO30),BO33)</x:f>
      </x:c>
      <x:c r="BP34" s="117" t="n">
        <x:f>MIN(MAX(0,'Вводные'!$B$24*'Вводные'!$U$90-BP30),BP33)</x:f>
      </x:c>
      <x:c r="BQ34" s="117" t="n">
        <x:f>MIN(MAX(0,'Вводные'!$B$24*'Вводные'!$U$90-BQ30),BQ33)</x:f>
      </x:c>
      <x:c r="BR34" s="117" t="n">
        <x:f>MIN(MAX(0,'Вводные'!$B$24*'Вводные'!$U$90-BR30),BR33)</x:f>
      </x:c>
      <x:c r="BS34" s="117" t="n">
        <x:f>MIN(MAX(0,'Вводные'!$B$24*'Вводные'!$U$90-BS30),BS33)</x:f>
      </x:c>
      <x:c r="BT34" s="117" t="n">
        <x:f>MIN(MAX(0,'Вводные'!$B$24*'Вводные'!$U$90-BT30),BT33)</x:f>
      </x:c>
      <x:c r="BU34" s="117" t="n">
        <x:f>MIN(MAX(0,'Вводные'!$B$24*'Вводные'!$U$90-BU30),BU33)</x:f>
      </x:c>
      <x:c r="BV34" s="117" t="n">
        <x:f>MIN(MAX(0,'Вводные'!$B$24*'Вводные'!$U$90-BV30),BV33)</x:f>
      </x:c>
      <x:c r="BW34" s="117" t="n">
        <x:f>MIN(MAX(0,'Вводные'!$B$24*'Вводные'!$U$90-BW30),BW33)</x:f>
      </x:c>
      <x:c r="BX34" s="117" t="n">
        <x:f>MIN(MAX(0,'Вводные'!$B$24*'Вводные'!$U$90-BX30),BX33)</x:f>
      </x:c>
      <x:c r="BY34" s="117" t="n">
        <x:f>MIN(MAX(0,'Вводные'!$B$24*'Вводные'!$U$90-BY30),BY33)</x:f>
      </x:c>
      <x:c r="BZ34" s="117" t="n">
        <x:f>MIN(MAX(0,'Вводные'!$B$24*'Вводные'!$U$90-BZ30),BZ33)</x:f>
      </x:c>
      <x:c r="CA34" s="117" t="n">
        <x:f>MIN(MAX(0,'Вводные'!$B$24*'Вводные'!$U$90-CA30),CA33)</x:f>
      </x:c>
      <x:c r="CB34" s="117" t="n">
        <x:f>MIN(MAX(0,'Вводные'!$B$24*'Вводные'!$U$90-CB30),CB33)</x:f>
      </x:c>
      <x:c r="CC34" s="117" t="n">
        <x:f>MIN(MAX(0,'Вводные'!$B$24*'Вводные'!$U$90-CC30),CC33)</x:f>
      </x:c>
      <x:c r="CD34" s="117" t="n">
        <x:f>MIN(MAX(0,'Вводные'!$B$24*'Вводные'!$U$90-CD30),CD33)</x:f>
      </x:c>
      <x:c r="CE34" s="117" t="n">
        <x:f>MIN(MAX(0,'Вводные'!$B$24*'Вводные'!$U$90-CE30),CE33)</x:f>
      </x:c>
      <x:c r="CF34" s="117" t="n">
        <x:f>MIN(MAX(0,'Вводные'!$B$24*'Вводные'!$U$90-CF30),CF33)</x:f>
      </x:c>
      <x:c r="CG34" s="117" t="n">
        <x:f>MIN(MAX(0,'Вводные'!$B$24*'Вводные'!$U$90-CG30),CG33)</x:f>
      </x:c>
      <x:c r="CH34" s="117" t="n">
        <x:f>MIN(MAX(0,'Вводные'!$B$24*'Вводные'!$U$90-CH30),CH33)</x:f>
      </x:c>
      <x:c r="CI34" s="117" t="n">
        <x:f>MIN(MAX(0,'Вводные'!$B$24*'Вводные'!$U$90-CI30),CI33)</x:f>
      </x:c>
      <x:c r="CJ34" s="117" t="n">
        <x:f>MIN(MAX(0,'Вводные'!$B$24*'Вводные'!$U$90-CJ30),CJ33)</x:f>
      </x:c>
      <x:c r="CK34" s="117" t="n">
        <x:f>MIN(MAX(0,'Вводные'!$B$24*'Вводные'!$U$90-CK30),CK33)</x:f>
      </x:c>
      <x:c r="CL34" s="117" t="n">
        <x:f>MIN(MAX(0,'Вводные'!$B$24*'Вводные'!$U$90-CL30),CL33)</x:f>
      </x:c>
      <x:c r="CM34" s="117" t="n">
        <x:f>MIN(MAX(0,'Вводные'!$B$24*'Вводные'!$U$90-CM30),CM33)</x:f>
      </x:c>
      <x:c r="CN34" s="117" t="n">
        <x:f>MIN(MAX(0,'Вводные'!$B$24*'Вводные'!$U$90-CN30),CN33)</x:f>
      </x:c>
      <x:c r="CO34" s="117" t="n">
        <x:f>MIN(MAX(0,'Вводные'!$B$24*'Вводные'!$U$90-CO30),CO33)</x:f>
      </x:c>
      <x:c r="CP34" s="117" t="n">
        <x:f>MIN(MAX(0,'Вводные'!$B$24*'Вводные'!$U$90-CP30),CP33)</x:f>
      </x:c>
      <x:c r="CQ34" s="117" t="n">
        <x:f>MIN(MAX(0,'Вводные'!$B$24*'Вводные'!$U$90-CQ30),CQ33)</x:f>
      </x:c>
      <x:c r="CR34" s="117" t="n">
        <x:f>MIN(MAX(0,'Вводные'!$B$24*'Вводные'!$U$90-CR30),CR33)</x:f>
      </x:c>
      <x:c r="CS34" s="117" t="n">
        <x:f>MIN(MAX(0,'Вводные'!$B$24*'Вводные'!$U$90-CS30),CS33)</x:f>
      </x:c>
      <x:c r="CT34" s="117" t="n">
        <x:f>MIN(MAX(0,'Вводные'!$B$24*'Вводные'!$U$90-CT30),CT33)</x:f>
      </x:c>
      <x:c r="CU34" s="117" t="n">
        <x:f>MIN(MAX(0,'Вводные'!$B$24*'Вводные'!$U$90-CU30),CU33)</x:f>
      </x:c>
      <x:c r="CV34" s="117" t="n">
        <x:f>MIN(MAX(0,'Вводные'!$B$24*'Вводные'!$U$90-CV30),CV33)</x:f>
      </x:c>
      <x:c r="CW34" s="117" t="n">
        <x:f>MIN(MAX(0,'Вводные'!$B$24*'Вводные'!$U$90-CW30),CW33)</x:f>
      </x:c>
      <x:c r="CX34" s="117" t="n">
        <x:f>MIN(MAX(0,'Вводные'!$B$24*'Вводные'!$U$90-CX30),CX33)</x:f>
      </x:c>
      <x:c r="CY34" s="117" t="n">
        <x:f>MIN(MAX(0,'Вводные'!$B$24*'Вводные'!$U$90-CY30),CY33)</x:f>
      </x:c>
      <x:c r="CZ34" s="117" t="n">
        <x:f>MIN(MAX(0,'Вводные'!$B$24*'Вводные'!$U$90-CZ30),CZ33)</x:f>
      </x:c>
      <x:c r="DA34" s="117" t="n">
        <x:f>MIN(MAX(0,'Вводные'!$B$24*'Вводные'!$U$90-DA30),DA33)</x:f>
      </x:c>
      <x:c r="DB34" s="117" t="n">
        <x:f>MIN(MAX(0,'Вводные'!$B$24*'Вводные'!$U$90-DB30),DB33)</x:f>
      </x:c>
      <x:c r="DC34" s="117" t="n">
        <x:f>MIN(MAX(0,'Вводные'!$B$24*'Вводные'!$U$90-DC30),DC33)</x:f>
      </x:c>
      <x:c r="DD34" s="117" t="n">
        <x:f>MIN(MAX(0,'Вводные'!$B$24*'Вводные'!$U$90-DD30),DD33)</x:f>
      </x:c>
      <x:c r="DE34" s="117" t="n">
        <x:f>MIN(MAX(0,'Вводные'!$B$24*'Вводные'!$U$90-DE30),DE33)</x:f>
      </x:c>
      <x:c r="DF34" s="117" t="n">
        <x:f>MIN(MAX(0,'Вводные'!$B$24*'Вводные'!$U$90-DF30),DF33)</x:f>
      </x:c>
      <x:c r="DG34" s="117" t="n">
        <x:f>MIN(MAX(0,'Вводные'!$B$24*'Вводные'!$U$90-DG30),DG33)</x:f>
      </x:c>
      <x:c r="DH34" s="117" t="n">
        <x:f>MIN(MAX(0,'Вводные'!$B$24*'Вводные'!$U$90-DH30),DH33)</x:f>
      </x:c>
      <x:c r="DI34" s="117" t="n">
        <x:f>MIN(MAX(0,'Вводные'!$B$24*'Вводные'!$U$90-DI30),DI33)</x:f>
      </x:c>
      <x:c r="DJ34" s="117" t="n">
        <x:f>MIN(MAX(0,'Вводные'!$B$24*'Вводные'!$U$90-DJ30),DJ33)</x:f>
      </x:c>
      <x:c r="DK34" s="117" t="n">
        <x:f>MIN(MAX(0,'Вводные'!$B$24*'Вводные'!$U$90-DK30),DK33)</x:f>
      </x:c>
      <x:c r="DL34" s="117" t="n">
        <x:f>MIN(MAX(0,'Вводные'!$B$24*'Вводные'!$U$90-DL30),DL33)</x:f>
      </x:c>
      <x:c r="DM34" s="117" t="n">
        <x:f>MIN(MAX(0,'Вводные'!$B$24*'Вводные'!$U$90-DM30),DM33)</x:f>
      </x:c>
      <x:c r="DN34" s="117" t="n">
        <x:f>MIN(MAX(0,'Вводные'!$B$24*'Вводные'!$U$90-DN30),DN33)</x:f>
      </x:c>
      <x:c r="DO34" s="117" t="n">
        <x:f>MIN(MAX(0,'Вводные'!$B$24*'Вводные'!$U$90-DO30),DO33)</x:f>
      </x:c>
      <x:c r="DP34" s="117" t="n">
        <x:f>MIN(MAX(0,'Вводные'!$B$24*'Вводные'!$U$90-DP30),DP33)</x:f>
      </x:c>
      <x:c r="DQ34" s="117" t="n">
        <x:f>MIN(MAX(0,'Вводные'!$B$24*'Вводные'!$U$90-DQ30),DQ33)</x:f>
      </x:c>
      <x:c r="DR34" s="117" t="n">
        <x:f>MIN(MAX(0,'Вводные'!$B$24*'Вводные'!$U$90-DR30),DR33)</x:f>
      </x:c>
      <x:c r="DS34" s="117" t="n">
        <x:f>MIN(MAX(0,'Вводные'!$B$24*'Вводные'!$U$90-DS30),DS33)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IF(AND(D38&gt;0,D$3&lt;EDATE($B$8,'Вводные'!$H$90)),D38*D41/12,0)</x:f>
      </x:c>
      <x:c r="E42" s="117" t="n">
        <x:f>IF(AND(E38&gt;0,E$3&lt;EDATE($B$8,'Вводные'!$H$90)),E38*E41/12,0)</x:f>
      </x:c>
      <x:c r="F42" s="117" t="n">
        <x:f>IF(AND(F38&gt;0,F$3&lt;EDATE($B$8,'Вводные'!$H$90)),F38*F41/12,0)</x:f>
      </x:c>
      <x:c r="G42" s="117" t="n">
        <x:f>IF(AND(G38&gt;0,G$3&lt;EDATE($B$8,'Вводные'!$H$90)),G38*G41/12,0)</x:f>
      </x:c>
      <x:c r="H42" s="117" t="n">
        <x:f>IF(AND(H38&gt;0,H$3&lt;EDATE($B$8,'Вводные'!$H$90)),H38*H41/12,0)</x:f>
      </x:c>
      <x:c r="I42" s="117" t="n">
        <x:f>IF(AND(I38&gt;0,I$3&lt;EDATE($B$8,'Вводные'!$H$90)),I38*I41/12,0)</x:f>
      </x:c>
      <x:c r="J42" s="117" t="n">
        <x:f>IF(AND(J38&gt;0,J$3&lt;EDATE($B$8,'Вводные'!$H$90)),J38*J41/12,0)</x:f>
      </x:c>
      <x:c r="K42" s="117" t="n">
        <x:f>IF(AND(K38&gt;0,K$3&lt;EDATE($B$8,'Вводные'!$H$90)),K38*K41/12,0)</x:f>
      </x:c>
      <x:c r="L42" s="117" t="n">
        <x:f>IF(AND(L38&gt;0,L$3&lt;EDATE($B$8,'Вводные'!$H$90)),L38*L41/12,0)</x:f>
      </x:c>
      <x:c r="M42" s="117" t="n">
        <x:f>IF(AND(M38&gt;0,M$3&lt;EDATE($B$8,'Вводные'!$H$90)),M38*M41/12,0)</x:f>
      </x:c>
      <x:c r="N42" s="117" t="n">
        <x:f>IF(AND(N38&gt;0,N$3&lt;EDATE($B$8,'Вводные'!$H$90)),N38*N41/12,0)</x:f>
      </x:c>
      <x:c r="O42" s="117" t="n">
        <x:f>IF(AND(O38&gt;0,O$3&lt;EDATE($B$8,'Вводные'!$H$90)),O38*O41/12,0)</x:f>
      </x:c>
      <x:c r="P42" s="117" t="n">
        <x:f>IF(AND(P38&gt;0,P$3&lt;EDATE($B$8,'Вводные'!$H$90)),P38*P41/12,0)</x:f>
      </x:c>
      <x:c r="Q42" s="117" t="n">
        <x:f>IF(AND(Q38&gt;0,Q$3&lt;EDATE($B$8,'Вводные'!$H$90)),Q38*Q41/12,0)</x:f>
      </x:c>
      <x:c r="R42" s="117" t="n">
        <x:f>IF(AND(R38&gt;0,R$3&lt;EDATE($B$8,'Вводные'!$H$90)),R38*R41/12,0)</x:f>
      </x:c>
      <x:c r="S42" s="117" t="n">
        <x:f>IF(AND(S38&gt;0,S$3&lt;EDATE($B$8,'Вводные'!$H$90)),S38*S41/12,0)</x:f>
      </x:c>
      <x:c r="T42" s="117" t="n">
        <x:f>IF(AND(T38&gt;0,T$3&lt;EDATE($B$8,'Вводные'!$H$90)),T38*T41/12,0)</x:f>
      </x:c>
      <x:c r="U42" s="117" t="n">
        <x:f>IF(AND(U38&gt;0,U$3&lt;EDATE($B$8,'Вводные'!$H$90)),U38*U41/12,0)</x:f>
      </x:c>
      <x:c r="V42" s="117" t="n">
        <x:f>IF(AND(V38&gt;0,V$3&lt;EDATE($B$8,'Вводные'!$H$90)),V38*V41/12,0)</x:f>
      </x:c>
      <x:c r="W42" s="117" t="n">
        <x:f>IF(AND(W38&gt;0,W$3&lt;EDATE($B$8,'Вводные'!$H$90)),W38*W41/12,0)</x:f>
      </x:c>
      <x:c r="X42" s="117" t="n">
        <x:f>IF(AND(X38&gt;0,X$3&lt;EDATE($B$8,'Вводные'!$H$90)),X38*X41/12,0)</x:f>
      </x:c>
      <x:c r="Y42" s="117" t="n">
        <x:f>IF(AND(Y38&gt;0,Y$3&lt;EDATE($B$8,'Вводные'!$H$90)),Y38*Y41/12,0)</x:f>
      </x:c>
      <x:c r="Z42" s="117" t="n">
        <x:f>IF(AND(Z38&gt;0,Z$3&lt;EDATE($B$8,'Вводные'!$H$90)),Z38*Z41/12,0)</x:f>
      </x:c>
      <x:c r="AA42" s="117" t="n">
        <x:f>IF(AND(AA38&gt;0,AA$3&lt;EDATE($B$8,'Вводные'!$H$90)),AA38*AA41/12,0)</x:f>
      </x:c>
      <x:c r="AB42" s="117" t="n">
        <x:f>IF(AND(AB38&gt;0,AB$3&lt;EDATE($B$8,'Вводные'!$H$90)),AB38*AB41/12,0)</x:f>
      </x:c>
      <x:c r="AC42" s="117" t="n">
        <x:f>IF(AND(AC38&gt;0,AC$3&lt;EDATE($B$8,'Вводные'!$H$90)),AC38*AC41/12,0)</x:f>
      </x:c>
      <x:c r="AD42" s="117" t="n">
        <x:f>IF(AND(AD38&gt;0,AD$3&lt;EDATE($B$8,'Вводные'!$H$90)),AD38*AD41/12,0)</x:f>
      </x:c>
      <x:c r="AE42" s="117" t="n">
        <x:f>IF(AND(AE38&gt;0,AE$3&lt;EDATE($B$8,'Вводные'!$H$90)),AE38*AE41/12,0)</x:f>
      </x:c>
      <x:c r="AF42" s="117" t="n">
        <x:f>IF(AND(AF38&gt;0,AF$3&lt;EDATE($B$8,'Вводные'!$H$90)),AF38*AF41/12,0)</x:f>
      </x:c>
      <x:c r="AG42" s="117" t="n">
        <x:f>IF(AND(AG38&gt;0,AG$3&lt;EDATE($B$8,'Вводные'!$H$90)),AG38*AG41/12,0)</x:f>
      </x:c>
      <x:c r="AH42" s="117" t="n">
        <x:f>IF(AND(AH38&gt;0,AH$3&lt;EDATE($B$8,'Вводные'!$H$90)),AH38*AH41/12,0)</x:f>
      </x:c>
      <x:c r="AI42" s="117" t="n">
        <x:f>IF(AND(AI38&gt;0,AI$3&lt;EDATE($B$8,'Вводные'!$H$90)),AI38*AI41/12,0)</x:f>
      </x:c>
      <x:c r="AJ42" s="117" t="n">
        <x:f>IF(AND(AJ38&gt;0,AJ$3&lt;EDATE($B$8,'Вводные'!$H$90)),AJ38*AJ41/12,0)</x:f>
      </x:c>
      <x:c r="AK42" s="117" t="n">
        <x:f>IF(AND(AK38&gt;0,AK$3&lt;EDATE($B$8,'Вводные'!$H$90)),AK38*AK41/12,0)</x:f>
      </x:c>
      <x:c r="AL42" s="117" t="n">
        <x:f>IF(AND(AL38&gt;0,AL$3&lt;EDATE($B$8,'Вводные'!$H$90)),AL38*AL41/12,0)</x:f>
      </x:c>
      <x:c r="AM42" s="117" t="n">
        <x:f>IF(AND(AM38&gt;0,AM$3&lt;EDATE($B$8,'Вводные'!$H$90)),AM38*AM41/12,0)</x:f>
      </x:c>
      <x:c r="AN42" s="117" t="n">
        <x:f>IF(AND(AN38&gt;0,AN$3&lt;EDATE($B$8,'Вводные'!$H$90)),AN38*AN41/12,0)</x:f>
      </x:c>
      <x:c r="AO42" s="117" t="n">
        <x:f>IF(AND(AO38&gt;0,AO$3&lt;EDATE($B$8,'Вводные'!$H$90)),AO38*AO41/12,0)</x:f>
      </x:c>
      <x:c r="AP42" s="117" t="n">
        <x:f>IF(AND(AP38&gt;0,AP$3&lt;EDATE($B$8,'Вводные'!$H$90)),AP38*AP41/12,0)</x:f>
      </x:c>
      <x:c r="AQ42" s="117" t="n">
        <x:f>IF(AND(AQ38&gt;0,AQ$3&lt;EDATE($B$8,'Вводные'!$H$90)),AQ38*AQ41/12,0)</x:f>
      </x:c>
      <x:c r="AR42" s="117" t="n">
        <x:f>IF(AND(AR38&gt;0,AR$3&lt;EDATE($B$8,'Вводные'!$H$90)),AR38*AR41/12,0)</x:f>
      </x:c>
      <x:c r="AS42" s="117" t="n">
        <x:f>IF(AND(AS38&gt;0,AS$3&lt;EDATE($B$8,'Вводные'!$H$90)),AS38*AS41/12,0)</x:f>
      </x:c>
      <x:c r="AT42" s="117" t="n">
        <x:f>IF(AND(AT38&gt;0,AT$3&lt;EDATE($B$8,'Вводные'!$H$90)),AT38*AT41/12,0)</x:f>
      </x:c>
      <x:c r="AU42" s="117" t="n">
        <x:f>IF(AND(AU38&gt;0,AU$3&lt;EDATE($B$8,'Вводные'!$H$90)),AU38*AU41/12,0)</x:f>
      </x:c>
      <x:c r="AV42" s="117" t="n">
        <x:f>IF(AND(AV38&gt;0,AV$3&lt;EDATE($B$8,'Вводные'!$H$90)),AV38*AV41/12,0)</x:f>
      </x:c>
      <x:c r="AW42" s="117" t="n">
        <x:f>IF(AND(AW38&gt;0,AW$3&lt;EDATE($B$8,'Вводные'!$H$90)),AW38*AW41/12,0)</x:f>
      </x:c>
      <x:c r="AX42" s="117" t="n">
        <x:f>IF(AND(AX38&gt;0,AX$3&lt;EDATE($B$8,'Вводные'!$H$90)),AX38*AX41/12,0)</x:f>
      </x:c>
      <x:c r="AY42" s="117" t="n">
        <x:f>IF(AND(AY38&gt;0,AY$3&lt;EDATE($B$8,'Вводные'!$H$90)),AY38*AY41/12,0)</x:f>
      </x:c>
      <x:c r="AZ42" s="117" t="n">
        <x:f>IF(AND(AZ38&gt;0,AZ$3&lt;EDATE($B$8,'Вводные'!$H$90)),AZ38*AZ41/12,0)</x:f>
      </x:c>
      <x:c r="BA42" s="117" t="n">
        <x:f>IF(AND(BA38&gt;0,BA$3&lt;EDATE($B$8,'Вводные'!$H$90)),BA38*BA41/12,0)</x:f>
      </x:c>
      <x:c r="BB42" s="117" t="n">
        <x:f>IF(AND(BB38&gt;0,BB$3&lt;EDATE($B$8,'Вводные'!$H$90)),BB38*BB41/12,0)</x:f>
      </x:c>
      <x:c r="BC42" s="117" t="n">
        <x:f>IF(AND(BC38&gt;0,BC$3&lt;EDATE($B$8,'Вводные'!$H$90)),BC38*BC41/12,0)</x:f>
      </x:c>
      <x:c r="BD42" s="117" t="n">
        <x:f>IF(AND(BD38&gt;0,BD$3&lt;EDATE($B$8,'Вводные'!$H$90)),BD38*BD41/12,0)</x:f>
      </x:c>
      <x:c r="BE42" s="117" t="n">
        <x:f>IF(AND(BE38&gt;0,BE$3&lt;EDATE($B$8,'Вводные'!$H$90)),BE38*BE41/12,0)</x:f>
      </x:c>
      <x:c r="BF42" s="117" t="n">
        <x:f>IF(AND(BF38&gt;0,BF$3&lt;EDATE($B$8,'Вводные'!$H$90)),BF38*BF41/12,0)</x:f>
      </x:c>
      <x:c r="BG42" s="117" t="n">
        <x:f>IF(AND(BG38&gt;0,BG$3&lt;EDATE($B$8,'Вводные'!$H$90)),BG38*BG41/12,0)</x:f>
      </x:c>
      <x:c r="BH42" s="117" t="n">
        <x:f>IF(AND(BH38&gt;0,BH$3&lt;EDATE($B$8,'Вводные'!$H$90)),BH38*BH41/12,0)</x:f>
      </x:c>
      <x:c r="BI42" s="117" t="n">
        <x:f>IF(AND(BI38&gt;0,BI$3&lt;EDATE($B$8,'Вводные'!$H$90)),BI38*BI41/12,0)</x:f>
      </x:c>
      <x:c r="BJ42" s="117" t="n">
        <x:f>IF(AND(BJ38&gt;0,BJ$3&lt;EDATE($B$8,'Вводные'!$H$90)),BJ38*BJ41/12,0)</x:f>
      </x:c>
      <x:c r="BK42" s="117" t="n">
        <x:f>IF(AND(BK38&gt;0,BK$3&lt;EDATE($B$8,'Вводные'!$H$90)),BK38*BK41/12,0)</x:f>
      </x:c>
      <x:c r="BL42" s="117" t="n">
        <x:f>IF(AND(BL38&gt;0,BL$3&lt;EDATE($B$8,'Вводные'!$H$90)),BL38*BL41/12,0)</x:f>
      </x:c>
      <x:c r="BM42" s="117" t="n">
        <x:f>IF(AND(BM38&gt;0,BM$3&lt;EDATE($B$8,'Вводные'!$H$90)),BM38*BM41/12,0)</x:f>
      </x:c>
      <x:c r="BN42" s="117" t="n">
        <x:f>IF(AND(BN38&gt;0,BN$3&lt;EDATE($B$8,'Вводные'!$H$90)),BN38*BN41/12,0)</x:f>
      </x:c>
      <x:c r="BO42" s="117" t="n">
        <x:f>IF(AND(BO38&gt;0,BO$3&lt;EDATE($B$8,'Вводные'!$H$90)),BO38*BO41/12,0)</x:f>
      </x:c>
      <x:c r="BP42" s="117" t="n">
        <x:f>IF(AND(BP38&gt;0,BP$3&lt;EDATE($B$8,'Вводные'!$H$90)),BP38*BP41/12,0)</x:f>
      </x:c>
      <x:c r="BQ42" s="117" t="n">
        <x:f>IF(AND(BQ38&gt;0,BQ$3&lt;EDATE($B$8,'Вводные'!$H$90)),BQ38*BQ41/12,0)</x:f>
      </x:c>
      <x:c r="BR42" s="117" t="n">
        <x:f>IF(AND(BR38&gt;0,BR$3&lt;EDATE($B$8,'Вводные'!$H$90)),BR38*BR41/12,0)</x:f>
      </x:c>
      <x:c r="BS42" s="117" t="n">
        <x:f>IF(AND(BS38&gt;0,BS$3&lt;EDATE($B$8,'Вводные'!$H$90)),BS38*BS41/12,0)</x:f>
      </x:c>
      <x:c r="BT42" s="117" t="n">
        <x:f>IF(AND(BT38&gt;0,BT$3&lt;EDATE($B$8,'Вводные'!$H$90)),BT38*BT41/12,0)</x:f>
      </x:c>
      <x:c r="BU42" s="117" t="n">
        <x:f>IF(AND(BU38&gt;0,BU$3&lt;EDATE($B$8,'Вводные'!$H$90)),BU38*BU41/12,0)</x:f>
      </x:c>
      <x:c r="BV42" s="117" t="n">
        <x:f>IF(AND(BV38&gt;0,BV$3&lt;EDATE($B$8,'Вводные'!$H$90)),BV38*BV41/12,0)</x:f>
      </x:c>
      <x:c r="BW42" s="117" t="n">
        <x:f>IF(AND(BW38&gt;0,BW$3&lt;EDATE($B$8,'Вводные'!$H$90)),BW38*BW41/12,0)</x:f>
      </x:c>
      <x:c r="BX42" s="117" t="n">
        <x:f>IF(AND(BX38&gt;0,BX$3&lt;EDATE($B$8,'Вводные'!$H$90)),BX38*BX41/12,0)</x:f>
      </x:c>
      <x:c r="BY42" s="117" t="n">
        <x:f>IF(AND(BY38&gt;0,BY$3&lt;EDATE($B$8,'Вводные'!$H$90)),BY38*BY41/12,0)</x:f>
      </x:c>
      <x:c r="BZ42" s="117" t="n">
        <x:f>IF(AND(BZ38&gt;0,BZ$3&lt;EDATE($B$8,'Вводные'!$H$90)),BZ38*BZ41/12,0)</x:f>
      </x:c>
      <x:c r="CA42" s="117" t="n">
        <x:f>IF(AND(CA38&gt;0,CA$3&lt;EDATE($B$8,'Вводные'!$H$90)),CA38*CA41/12,0)</x:f>
      </x:c>
      <x:c r="CB42" s="117" t="n">
        <x:f>IF(AND(CB38&gt;0,CB$3&lt;EDATE($B$8,'Вводные'!$H$90)),CB38*CB41/12,0)</x:f>
      </x:c>
      <x:c r="CC42" s="117" t="n">
        <x:f>IF(AND(CC38&gt;0,CC$3&lt;EDATE($B$8,'Вводные'!$H$90)),CC38*CC41/12,0)</x:f>
      </x:c>
      <x:c r="CD42" s="117" t="n">
        <x:f>IF(AND(CD38&gt;0,CD$3&lt;EDATE($B$8,'Вводные'!$H$90)),CD38*CD41/12,0)</x:f>
      </x:c>
      <x:c r="CE42" s="117" t="n">
        <x:f>IF(AND(CE38&gt;0,CE$3&lt;EDATE($B$8,'Вводные'!$H$90)),CE38*CE41/12,0)</x:f>
      </x:c>
      <x:c r="CF42" s="117" t="n">
        <x:f>IF(AND(CF38&gt;0,CF$3&lt;EDATE($B$8,'Вводные'!$H$90)),CF38*CF41/12,0)</x:f>
      </x:c>
      <x:c r="CG42" s="117" t="n">
        <x:f>IF(AND(CG38&gt;0,CG$3&lt;EDATE($B$8,'Вводные'!$H$90)),CG38*CG41/12,0)</x:f>
      </x:c>
      <x:c r="CH42" s="117" t="n">
        <x:f>IF(AND(CH38&gt;0,CH$3&lt;EDATE($B$8,'Вводные'!$H$90)),CH38*CH41/12,0)</x:f>
      </x:c>
      <x:c r="CI42" s="117" t="n">
        <x:f>IF(AND(CI38&gt;0,CI$3&lt;EDATE($B$8,'Вводные'!$H$90)),CI38*CI41/12,0)</x:f>
      </x:c>
      <x:c r="CJ42" s="117" t="n">
        <x:f>IF(AND(CJ38&gt;0,CJ$3&lt;EDATE($B$8,'Вводные'!$H$90)),CJ38*CJ41/12,0)</x:f>
      </x:c>
      <x:c r="CK42" s="117" t="n">
        <x:f>IF(AND(CK38&gt;0,CK$3&lt;EDATE($B$8,'Вводные'!$H$90)),CK38*CK41/12,0)</x:f>
      </x:c>
      <x:c r="CL42" s="117" t="n">
        <x:f>IF(AND(CL38&gt;0,CL$3&lt;EDATE($B$8,'Вводные'!$H$90)),CL38*CL41/12,0)</x:f>
      </x:c>
      <x:c r="CM42" s="117" t="n">
        <x:f>IF(AND(CM38&gt;0,CM$3&lt;EDATE($B$8,'Вводные'!$H$90)),CM38*CM41/12,0)</x:f>
      </x:c>
      <x:c r="CN42" s="117" t="n">
        <x:f>IF(AND(CN38&gt;0,CN$3&lt;EDATE($B$8,'Вводные'!$H$90)),CN38*CN41/12,0)</x:f>
      </x:c>
      <x:c r="CO42" s="117" t="n">
        <x:f>IF(AND(CO38&gt;0,CO$3&lt;EDATE($B$8,'Вводные'!$H$90)),CO38*CO41/12,0)</x:f>
      </x:c>
      <x:c r="CP42" s="117" t="n">
        <x:f>IF(AND(CP38&gt;0,CP$3&lt;EDATE($B$8,'Вводные'!$H$90)),CP38*CP41/12,0)</x:f>
      </x:c>
      <x:c r="CQ42" s="117" t="n">
        <x:f>IF(AND(CQ38&gt;0,CQ$3&lt;EDATE($B$8,'Вводные'!$H$90)),CQ38*CQ41/12,0)</x:f>
      </x:c>
      <x:c r="CR42" s="117" t="n">
        <x:f>IF(AND(CR38&gt;0,CR$3&lt;EDATE($B$8,'Вводные'!$H$90)),CR38*CR41/12,0)</x:f>
      </x:c>
      <x:c r="CS42" s="117" t="n">
        <x:f>IF(AND(CS38&gt;0,CS$3&lt;EDATE($B$8,'Вводные'!$H$90)),CS38*CS41/12,0)</x:f>
      </x:c>
      <x:c r="CT42" s="117" t="n">
        <x:f>IF(AND(CT38&gt;0,CT$3&lt;EDATE($B$8,'Вводные'!$H$90)),CT38*CT41/12,0)</x:f>
      </x:c>
      <x:c r="CU42" s="117" t="n">
        <x:f>IF(AND(CU38&gt;0,CU$3&lt;EDATE($B$8,'Вводные'!$H$90)),CU38*CU41/12,0)</x:f>
      </x:c>
      <x:c r="CV42" s="117" t="n">
        <x:f>IF(AND(CV38&gt;0,CV$3&lt;EDATE($B$8,'Вводные'!$H$90)),CV38*CV41/12,0)</x:f>
      </x:c>
      <x:c r="CW42" s="117" t="n">
        <x:f>IF(AND(CW38&gt;0,CW$3&lt;EDATE($B$8,'Вводные'!$H$90)),CW38*CW41/12,0)</x:f>
      </x:c>
      <x:c r="CX42" s="117" t="n">
        <x:f>IF(AND(CX38&gt;0,CX$3&lt;EDATE($B$8,'Вводные'!$H$90)),CX38*CX41/12,0)</x:f>
      </x:c>
      <x:c r="CY42" s="117" t="n">
        <x:f>IF(AND(CY38&gt;0,CY$3&lt;EDATE($B$8,'Вводные'!$H$90)),CY38*CY41/12,0)</x:f>
      </x:c>
      <x:c r="CZ42" s="117" t="n">
        <x:f>IF(AND(CZ38&gt;0,CZ$3&lt;EDATE($B$8,'Вводные'!$H$90)),CZ38*CZ41/12,0)</x:f>
      </x:c>
      <x:c r="DA42" s="117" t="n">
        <x:f>IF(AND(DA38&gt;0,DA$3&lt;EDATE($B$8,'Вводные'!$H$90)),DA38*DA41/12,0)</x:f>
      </x:c>
      <x:c r="DB42" s="117" t="n">
        <x:f>IF(AND(DB38&gt;0,DB$3&lt;EDATE($B$8,'Вводные'!$H$90)),DB38*DB41/12,0)</x:f>
      </x:c>
      <x:c r="DC42" s="117" t="n">
        <x:f>IF(AND(DC38&gt;0,DC$3&lt;EDATE($B$8,'Вводные'!$H$90)),DC38*DC41/12,0)</x:f>
      </x:c>
      <x:c r="DD42" s="117" t="n">
        <x:f>IF(AND(DD38&gt;0,DD$3&lt;EDATE($B$8,'Вводные'!$H$90)),DD38*DD41/12,0)</x:f>
      </x:c>
      <x:c r="DE42" s="117" t="n">
        <x:f>IF(AND(DE38&gt;0,DE$3&lt;EDATE($B$8,'Вводные'!$H$90)),DE38*DE41/12,0)</x:f>
      </x:c>
      <x:c r="DF42" s="117" t="n">
        <x:f>IF(AND(DF38&gt;0,DF$3&lt;EDATE($B$8,'Вводные'!$H$90)),DF38*DF41/12,0)</x:f>
      </x:c>
      <x:c r="DG42" s="117" t="n">
        <x:f>IF(AND(DG38&gt;0,DG$3&lt;EDATE($B$8,'Вводные'!$H$90)),DG38*DG41/12,0)</x:f>
      </x:c>
      <x:c r="DH42" s="117" t="n">
        <x:f>IF(AND(DH38&gt;0,DH$3&lt;EDATE($B$8,'Вводные'!$H$90)),DH38*DH41/12,0)</x:f>
      </x:c>
      <x:c r="DI42" s="117" t="n">
        <x:f>IF(AND(DI38&gt;0,DI$3&lt;EDATE($B$8,'Вводные'!$H$90)),DI38*DI41/12,0)</x:f>
      </x:c>
      <x:c r="DJ42" s="117" t="n">
        <x:f>IF(AND(DJ38&gt;0,DJ$3&lt;EDATE($B$8,'Вводные'!$H$90)),DJ38*DJ41/12,0)</x:f>
      </x:c>
      <x:c r="DK42" s="117" t="n">
        <x:f>IF(AND(DK38&gt;0,DK$3&lt;EDATE($B$8,'Вводные'!$H$90)),DK38*DK41/12,0)</x:f>
      </x:c>
      <x:c r="DL42" s="117" t="n">
        <x:f>IF(AND(DL38&gt;0,DL$3&lt;EDATE($B$8,'Вводные'!$H$90)),DL38*DL41/12,0)</x:f>
      </x:c>
      <x:c r="DM42" s="117" t="n">
        <x:f>IF(AND(DM38&gt;0,DM$3&lt;EDATE($B$8,'Вводные'!$H$90)),DM38*DM41/12,0)</x:f>
      </x:c>
      <x:c r="DN42" s="117" t="n">
        <x:f>IF(AND(DN38&gt;0,DN$3&lt;EDATE($B$8,'Вводные'!$H$90)),DN38*DN41/12,0)</x:f>
      </x:c>
      <x:c r="DO42" s="117" t="n">
        <x:f>IF(AND(DO38&gt;0,DO$3&lt;EDATE($B$8,'Вводные'!$H$90)),DO38*DO41/12,0)</x:f>
      </x:c>
      <x:c r="DP42" s="117" t="n">
        <x:f>IF(AND(DP38&gt;0,DP$3&lt;EDATE($B$8,'Вводные'!$H$90)),DP38*DP41/12,0)</x:f>
      </x:c>
      <x:c r="DQ42" s="117" t="n">
        <x:f>IF(AND(DQ38&gt;0,DQ$3&lt;EDATE($B$8,'Вводные'!$H$90)),DQ38*DQ41/12,0)</x:f>
      </x:c>
      <x:c r="DR42" s="117" t="n">
        <x:f>IF(AND(DR38&gt;0,DR$3&lt;EDATE($B$8,'Вводные'!$H$90)),DR38*DR41/12,0)</x:f>
      </x:c>
      <x:c r="DS42" s="117" t="n">
        <x:f>IF(AND(DS38&gt;0,DS$3&lt;EDATE($B$8,'Вводные'!$H$90)),DS38*DS41/12,0)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OR(D38&gt;0,D$3&lt;=$B$8),D$3&gt;=$B$7,D$3&lt;EDATE($B$8,'Вводные'!$H$90)),MAX(0,'Вводные'!$B$26*'Вводные'!$V$90-D38)*'Вводные'!$B$29/12,0)+IF(AND(YEAR(D$3)=YEAR($B$7),MONTH(D$3)=MONTH($B$7)),'Вводные'!$B$26*'Вводные'!$V$90*'Вводные'!$B$30,0)</x:f>
      </x:c>
      <x:c r="E43" s="117" t="n">
        <x:f>IF(AND(OR(E38&gt;0,E$3&lt;=$B$8),E$3&gt;=$B$7,E$3&lt;EDATE($B$8,'Вводные'!$H$90)),MAX(0,'Вводные'!$B$26*'Вводные'!$V$90-E38)*'Вводные'!$B$29/12,0)+IF(AND(YEAR(E$3)=YEAR($B$7),MONTH(E$3)=MONTH($B$7)),'Вводные'!$B$26*'Вводные'!$V$90*'Вводные'!$B$30,0)</x:f>
      </x:c>
      <x:c r="F43" s="117" t="n">
        <x:f>IF(AND(OR(F38&gt;0,F$3&lt;=$B$8),F$3&gt;=$B$7,F$3&lt;EDATE($B$8,'Вводные'!$H$90)),MAX(0,'Вводные'!$B$26*'Вводные'!$V$90-F38)*'Вводные'!$B$29/12,0)+IF(AND(YEAR(F$3)=YEAR($B$7),MONTH(F$3)=MONTH($B$7)),'Вводные'!$B$26*'Вводные'!$V$90*'Вводные'!$B$30,0)</x:f>
      </x:c>
      <x:c r="G43" s="117" t="n">
        <x:f>IF(AND(OR(G38&gt;0,G$3&lt;=$B$8),G$3&gt;=$B$7,G$3&lt;EDATE($B$8,'Вводные'!$H$90)),MAX(0,'Вводные'!$B$26*'Вводные'!$V$90-G38)*'Вводные'!$B$29/12,0)+IF(AND(YEAR(G$3)=YEAR($B$7),MONTH(G$3)=MONTH($B$7)),'Вводные'!$B$26*'Вводные'!$V$90*'Вводные'!$B$30,0)</x:f>
      </x:c>
      <x:c r="H43" s="117" t="n">
        <x:f>IF(AND(OR(H38&gt;0,H$3&lt;=$B$8),H$3&gt;=$B$7,H$3&lt;EDATE($B$8,'Вводные'!$H$90)),MAX(0,'Вводные'!$B$26*'Вводные'!$V$90-H38)*'Вводные'!$B$29/12,0)+IF(AND(YEAR(H$3)=YEAR($B$7),MONTH(H$3)=MONTH($B$7)),'Вводные'!$B$26*'Вводные'!$V$90*'Вводные'!$B$30,0)</x:f>
      </x:c>
      <x:c r="I43" s="117" t="n">
        <x:f>IF(AND(OR(I38&gt;0,I$3&lt;=$B$8),I$3&gt;=$B$7,I$3&lt;EDATE($B$8,'Вводные'!$H$90)),MAX(0,'Вводные'!$B$26*'Вводные'!$V$90-I38)*'Вводные'!$B$29/12,0)+IF(AND(YEAR(I$3)=YEAR($B$7),MONTH(I$3)=MONTH($B$7)),'Вводные'!$B$26*'Вводные'!$V$90*'Вводные'!$B$30,0)</x:f>
      </x:c>
      <x:c r="J43" s="117" t="n">
        <x:f>IF(AND(OR(J38&gt;0,J$3&lt;=$B$8),J$3&gt;=$B$7,J$3&lt;EDATE($B$8,'Вводные'!$H$90)),MAX(0,'Вводные'!$B$26*'Вводные'!$V$90-J38)*'Вводные'!$B$29/12,0)+IF(AND(YEAR(J$3)=YEAR($B$7),MONTH(J$3)=MONTH($B$7)),'Вводные'!$B$26*'Вводные'!$V$90*'Вводные'!$B$30,0)</x:f>
      </x:c>
      <x:c r="K43" s="117" t="n">
        <x:f>IF(AND(OR(K38&gt;0,K$3&lt;=$B$8),K$3&gt;=$B$7,K$3&lt;EDATE($B$8,'Вводные'!$H$90)),MAX(0,'Вводные'!$B$26*'Вводные'!$V$90-K38)*'Вводные'!$B$29/12,0)+IF(AND(YEAR(K$3)=YEAR($B$7),MONTH(K$3)=MONTH($B$7)),'Вводные'!$B$26*'Вводные'!$V$90*'Вводные'!$B$30,0)</x:f>
      </x:c>
      <x:c r="L43" s="117" t="n">
        <x:f>IF(AND(OR(L38&gt;0,L$3&lt;=$B$8),L$3&gt;=$B$7,L$3&lt;EDATE($B$8,'Вводные'!$H$90)),MAX(0,'Вводные'!$B$26*'Вводные'!$V$90-L38)*'Вводные'!$B$29/12,0)+IF(AND(YEAR(L$3)=YEAR($B$7),MONTH(L$3)=MONTH($B$7)),'Вводные'!$B$26*'Вводные'!$V$90*'Вводные'!$B$30,0)</x:f>
      </x:c>
      <x:c r="M43" s="117" t="n">
        <x:f>IF(AND(OR(M38&gt;0,M$3&lt;=$B$8),M$3&gt;=$B$7,M$3&lt;EDATE($B$8,'Вводные'!$H$90)),MAX(0,'Вводные'!$B$26*'Вводные'!$V$90-M38)*'Вводные'!$B$29/12,0)+IF(AND(YEAR(M$3)=YEAR($B$7),MONTH(M$3)=MONTH($B$7)),'Вводные'!$B$26*'Вводные'!$V$90*'Вводные'!$B$30,0)</x:f>
      </x:c>
      <x:c r="N43" s="117" t="n">
        <x:f>IF(AND(OR(N38&gt;0,N$3&lt;=$B$8),N$3&gt;=$B$7,N$3&lt;EDATE($B$8,'Вводные'!$H$90)),MAX(0,'Вводные'!$B$26*'Вводные'!$V$90-N38)*'Вводные'!$B$29/12,0)+IF(AND(YEAR(N$3)=YEAR($B$7),MONTH(N$3)=MONTH($B$7)),'Вводные'!$B$26*'Вводные'!$V$90*'Вводные'!$B$30,0)</x:f>
      </x:c>
      <x:c r="O43" s="117" t="n">
        <x:f>IF(AND(OR(O38&gt;0,O$3&lt;=$B$8),O$3&gt;=$B$7,O$3&lt;EDATE($B$8,'Вводные'!$H$90)),MAX(0,'Вводные'!$B$26*'Вводные'!$V$90-O38)*'Вводные'!$B$29/12,0)+IF(AND(YEAR(O$3)=YEAR($B$7),MONTH(O$3)=MONTH($B$7)),'Вводные'!$B$26*'Вводные'!$V$90*'Вводные'!$B$30,0)</x:f>
      </x:c>
      <x:c r="P43" s="117" t="n">
        <x:f>IF(AND(OR(P38&gt;0,P$3&lt;=$B$8),P$3&gt;=$B$7,P$3&lt;EDATE($B$8,'Вводные'!$H$90)),MAX(0,'Вводные'!$B$26*'Вводные'!$V$90-P38)*'Вводные'!$B$29/12,0)+IF(AND(YEAR(P$3)=YEAR($B$7),MONTH(P$3)=MONTH($B$7)),'Вводные'!$B$26*'Вводные'!$V$90*'Вводные'!$B$30,0)</x:f>
      </x:c>
      <x:c r="Q43" s="117" t="n">
        <x:f>IF(AND(OR(Q38&gt;0,Q$3&lt;=$B$8),Q$3&gt;=$B$7,Q$3&lt;EDATE($B$8,'Вводные'!$H$90)),MAX(0,'Вводные'!$B$26*'Вводные'!$V$90-Q38)*'Вводные'!$B$29/12,0)+IF(AND(YEAR(Q$3)=YEAR($B$7),MONTH(Q$3)=MONTH($B$7)),'Вводные'!$B$26*'Вводные'!$V$90*'Вводные'!$B$30,0)</x:f>
      </x:c>
      <x:c r="R43" s="117" t="n">
        <x:f>IF(AND(OR(R38&gt;0,R$3&lt;=$B$8),R$3&gt;=$B$7,R$3&lt;EDATE($B$8,'Вводные'!$H$90)),MAX(0,'Вводные'!$B$26*'Вводные'!$V$90-R38)*'Вводные'!$B$29/12,0)+IF(AND(YEAR(R$3)=YEAR($B$7),MONTH(R$3)=MONTH($B$7)),'Вводные'!$B$26*'Вводные'!$V$90*'Вводные'!$B$30,0)</x:f>
      </x:c>
      <x:c r="S43" s="117" t="n">
        <x:f>IF(AND(OR(S38&gt;0,S$3&lt;=$B$8),S$3&gt;=$B$7,S$3&lt;EDATE($B$8,'Вводные'!$H$90)),MAX(0,'Вводные'!$B$26*'Вводные'!$V$90-S38)*'Вводные'!$B$29/12,0)+IF(AND(YEAR(S$3)=YEAR($B$7),MONTH(S$3)=MONTH($B$7)),'Вводные'!$B$26*'Вводные'!$V$90*'Вводные'!$B$30,0)</x:f>
      </x:c>
      <x:c r="T43" s="117" t="n">
        <x:f>IF(AND(OR(T38&gt;0,T$3&lt;=$B$8),T$3&gt;=$B$7,T$3&lt;EDATE($B$8,'Вводные'!$H$90)),MAX(0,'Вводные'!$B$26*'Вводные'!$V$90-T38)*'Вводные'!$B$29/12,0)+IF(AND(YEAR(T$3)=YEAR($B$7),MONTH(T$3)=MONTH($B$7)),'Вводные'!$B$26*'Вводные'!$V$90*'Вводные'!$B$30,0)</x:f>
      </x:c>
      <x:c r="U43" s="117" t="n">
        <x:f>IF(AND(OR(U38&gt;0,U$3&lt;=$B$8),U$3&gt;=$B$7,U$3&lt;EDATE($B$8,'Вводные'!$H$90)),MAX(0,'Вводные'!$B$26*'Вводные'!$V$90-U38)*'Вводные'!$B$29/12,0)+IF(AND(YEAR(U$3)=YEAR($B$7),MONTH(U$3)=MONTH($B$7)),'Вводные'!$B$26*'Вводные'!$V$90*'Вводные'!$B$30,0)</x:f>
      </x:c>
      <x:c r="V43" s="117" t="n">
        <x:f>IF(AND(OR(V38&gt;0,V$3&lt;=$B$8),V$3&gt;=$B$7,V$3&lt;EDATE($B$8,'Вводные'!$H$90)),MAX(0,'Вводные'!$B$26*'Вводные'!$V$90-V38)*'Вводные'!$B$29/12,0)+IF(AND(YEAR(V$3)=YEAR($B$7),MONTH(V$3)=MONTH($B$7)),'Вводные'!$B$26*'Вводные'!$V$90*'Вводные'!$B$30,0)</x:f>
      </x:c>
      <x:c r="W43" s="117" t="n">
        <x:f>IF(AND(OR(W38&gt;0,W$3&lt;=$B$8),W$3&gt;=$B$7,W$3&lt;EDATE($B$8,'Вводные'!$H$90)),MAX(0,'Вводные'!$B$26*'Вводные'!$V$90-W38)*'Вводные'!$B$29/12,0)+IF(AND(YEAR(W$3)=YEAR($B$7),MONTH(W$3)=MONTH($B$7)),'Вводные'!$B$26*'Вводные'!$V$90*'Вводные'!$B$30,0)</x:f>
      </x:c>
      <x:c r="X43" s="117" t="n">
        <x:f>IF(AND(OR(X38&gt;0,X$3&lt;=$B$8),X$3&gt;=$B$7,X$3&lt;EDATE($B$8,'Вводные'!$H$90)),MAX(0,'Вводные'!$B$26*'Вводные'!$V$90-X38)*'Вводные'!$B$29/12,0)+IF(AND(YEAR(X$3)=YEAR($B$7),MONTH(X$3)=MONTH($B$7)),'Вводные'!$B$26*'Вводные'!$V$90*'Вводные'!$B$30,0)</x:f>
      </x:c>
      <x:c r="Y43" s="117" t="n">
        <x:f>IF(AND(OR(Y38&gt;0,Y$3&lt;=$B$8),Y$3&gt;=$B$7,Y$3&lt;EDATE($B$8,'Вводные'!$H$90)),MAX(0,'Вводные'!$B$26*'Вводные'!$V$90-Y38)*'Вводные'!$B$29/12,0)+IF(AND(YEAR(Y$3)=YEAR($B$7),MONTH(Y$3)=MONTH($B$7)),'Вводные'!$B$26*'Вводные'!$V$90*'Вводные'!$B$30,0)</x:f>
      </x:c>
      <x:c r="Z43" s="117" t="n">
        <x:f>IF(AND(OR(Z38&gt;0,Z$3&lt;=$B$8),Z$3&gt;=$B$7,Z$3&lt;EDATE($B$8,'Вводные'!$H$90)),MAX(0,'Вводные'!$B$26*'Вводные'!$V$90-Z38)*'Вводные'!$B$29/12,0)+IF(AND(YEAR(Z$3)=YEAR($B$7),MONTH(Z$3)=MONTH($B$7)),'Вводные'!$B$26*'Вводные'!$V$90*'Вводные'!$B$30,0)</x:f>
      </x:c>
      <x:c r="AA43" s="117" t="n">
        <x:f>IF(AND(OR(AA38&gt;0,AA$3&lt;=$B$8),AA$3&gt;=$B$7,AA$3&lt;EDATE($B$8,'Вводные'!$H$90)),MAX(0,'Вводные'!$B$26*'Вводные'!$V$90-AA38)*'Вводные'!$B$29/12,0)+IF(AND(YEAR(AA$3)=YEAR($B$7),MONTH(AA$3)=MONTH($B$7)),'Вводные'!$B$26*'Вводные'!$V$90*'Вводные'!$B$30,0)</x:f>
      </x:c>
      <x:c r="AB43" s="117" t="n">
        <x:f>IF(AND(OR(AB38&gt;0,AB$3&lt;=$B$8),AB$3&gt;=$B$7,AB$3&lt;EDATE($B$8,'Вводные'!$H$90)),MAX(0,'Вводные'!$B$26*'Вводные'!$V$90-AB38)*'Вводные'!$B$29/12,0)+IF(AND(YEAR(AB$3)=YEAR($B$7),MONTH(AB$3)=MONTH($B$7)),'Вводные'!$B$26*'Вводные'!$V$90*'Вводные'!$B$30,0)</x:f>
      </x:c>
      <x:c r="AC43" s="117" t="n">
        <x:f>IF(AND(OR(AC38&gt;0,AC$3&lt;=$B$8),AC$3&gt;=$B$7,AC$3&lt;EDATE($B$8,'Вводные'!$H$90)),MAX(0,'Вводные'!$B$26*'Вводные'!$V$90-AC38)*'Вводные'!$B$29/12,0)+IF(AND(YEAR(AC$3)=YEAR($B$7),MONTH(AC$3)=MONTH($B$7)),'Вводные'!$B$26*'Вводные'!$V$90*'Вводные'!$B$30,0)</x:f>
      </x:c>
      <x:c r="AD43" s="117" t="n">
        <x:f>IF(AND(OR(AD38&gt;0,AD$3&lt;=$B$8),AD$3&gt;=$B$7,AD$3&lt;EDATE($B$8,'Вводные'!$H$90)),MAX(0,'Вводные'!$B$26*'Вводные'!$V$90-AD38)*'Вводные'!$B$29/12,0)+IF(AND(YEAR(AD$3)=YEAR($B$7),MONTH(AD$3)=MONTH($B$7)),'Вводные'!$B$26*'Вводные'!$V$90*'Вводные'!$B$30,0)</x:f>
      </x:c>
      <x:c r="AE43" s="117" t="n">
        <x:f>IF(AND(OR(AE38&gt;0,AE$3&lt;=$B$8),AE$3&gt;=$B$7,AE$3&lt;EDATE($B$8,'Вводные'!$H$90)),MAX(0,'Вводные'!$B$26*'Вводные'!$V$90-AE38)*'Вводные'!$B$29/12,0)+IF(AND(YEAR(AE$3)=YEAR($B$7),MONTH(AE$3)=MONTH($B$7)),'Вводные'!$B$26*'Вводные'!$V$90*'Вводные'!$B$30,0)</x:f>
      </x:c>
      <x:c r="AF43" s="117" t="n">
        <x:f>IF(AND(OR(AF38&gt;0,AF$3&lt;=$B$8),AF$3&gt;=$B$7,AF$3&lt;EDATE($B$8,'Вводные'!$H$90)),MAX(0,'Вводные'!$B$26*'Вводные'!$V$90-AF38)*'Вводные'!$B$29/12,0)+IF(AND(YEAR(AF$3)=YEAR($B$7),MONTH(AF$3)=MONTH($B$7)),'Вводные'!$B$26*'Вводные'!$V$90*'Вводные'!$B$30,0)</x:f>
      </x:c>
      <x:c r="AG43" s="117" t="n">
        <x:f>IF(AND(OR(AG38&gt;0,AG$3&lt;=$B$8),AG$3&gt;=$B$7,AG$3&lt;EDATE($B$8,'Вводные'!$H$90)),MAX(0,'Вводные'!$B$26*'Вводные'!$V$90-AG38)*'Вводные'!$B$29/12,0)+IF(AND(YEAR(AG$3)=YEAR($B$7),MONTH(AG$3)=MONTH($B$7)),'Вводные'!$B$26*'Вводные'!$V$90*'Вводные'!$B$30,0)</x:f>
      </x:c>
      <x:c r="AH43" s="117" t="n">
        <x:f>IF(AND(OR(AH38&gt;0,AH$3&lt;=$B$8),AH$3&gt;=$B$7,AH$3&lt;EDATE($B$8,'Вводные'!$H$90)),MAX(0,'Вводные'!$B$26*'Вводные'!$V$90-AH38)*'Вводные'!$B$29/12,0)+IF(AND(YEAR(AH$3)=YEAR($B$7),MONTH(AH$3)=MONTH($B$7)),'Вводные'!$B$26*'Вводные'!$V$90*'Вводные'!$B$30,0)</x:f>
      </x:c>
      <x:c r="AI43" s="117" t="n">
        <x:f>IF(AND(OR(AI38&gt;0,AI$3&lt;=$B$8),AI$3&gt;=$B$7,AI$3&lt;EDATE($B$8,'Вводные'!$H$90)),MAX(0,'Вводные'!$B$26*'Вводные'!$V$90-AI38)*'Вводные'!$B$29/12,0)+IF(AND(YEAR(AI$3)=YEAR($B$7),MONTH(AI$3)=MONTH($B$7)),'Вводные'!$B$26*'Вводные'!$V$90*'Вводные'!$B$30,0)</x:f>
      </x:c>
      <x:c r="AJ43" s="117" t="n">
        <x:f>IF(AND(OR(AJ38&gt;0,AJ$3&lt;=$B$8),AJ$3&gt;=$B$7,AJ$3&lt;EDATE($B$8,'Вводные'!$H$90)),MAX(0,'Вводные'!$B$26*'Вводные'!$V$90-AJ38)*'Вводные'!$B$29/12,0)+IF(AND(YEAR(AJ$3)=YEAR($B$7),MONTH(AJ$3)=MONTH($B$7)),'Вводные'!$B$26*'Вводные'!$V$90*'Вводные'!$B$30,0)</x:f>
      </x:c>
      <x:c r="AK43" s="117" t="n">
        <x:f>IF(AND(OR(AK38&gt;0,AK$3&lt;=$B$8),AK$3&gt;=$B$7,AK$3&lt;EDATE($B$8,'Вводные'!$H$90)),MAX(0,'Вводные'!$B$26*'Вводные'!$V$90-AK38)*'Вводные'!$B$29/12,0)+IF(AND(YEAR(AK$3)=YEAR($B$7),MONTH(AK$3)=MONTH($B$7)),'Вводные'!$B$26*'Вводные'!$V$90*'Вводные'!$B$30,0)</x:f>
      </x:c>
      <x:c r="AL43" s="117" t="n">
        <x:f>IF(AND(OR(AL38&gt;0,AL$3&lt;=$B$8),AL$3&gt;=$B$7,AL$3&lt;EDATE($B$8,'Вводные'!$H$90)),MAX(0,'Вводные'!$B$26*'Вводные'!$V$90-AL38)*'Вводные'!$B$29/12,0)+IF(AND(YEAR(AL$3)=YEAR($B$7),MONTH(AL$3)=MONTH($B$7)),'Вводные'!$B$26*'Вводные'!$V$90*'Вводные'!$B$30,0)</x:f>
      </x:c>
      <x:c r="AM43" s="117" t="n">
        <x:f>IF(AND(OR(AM38&gt;0,AM$3&lt;=$B$8),AM$3&gt;=$B$7,AM$3&lt;EDATE($B$8,'Вводные'!$H$90)),MAX(0,'Вводные'!$B$26*'Вводные'!$V$90-AM38)*'Вводные'!$B$29/12,0)+IF(AND(YEAR(AM$3)=YEAR($B$7),MONTH(AM$3)=MONTH($B$7)),'Вводные'!$B$26*'Вводные'!$V$90*'Вводные'!$B$30,0)</x:f>
      </x:c>
      <x:c r="AN43" s="117" t="n">
        <x:f>IF(AND(OR(AN38&gt;0,AN$3&lt;=$B$8),AN$3&gt;=$B$7,AN$3&lt;EDATE($B$8,'Вводные'!$H$90)),MAX(0,'Вводные'!$B$26*'Вводные'!$V$90-AN38)*'Вводные'!$B$29/12,0)+IF(AND(YEAR(AN$3)=YEAR($B$7),MONTH(AN$3)=MONTH($B$7)),'Вводные'!$B$26*'Вводные'!$V$90*'Вводные'!$B$30,0)</x:f>
      </x:c>
      <x:c r="AO43" s="117" t="n">
        <x:f>IF(AND(OR(AO38&gt;0,AO$3&lt;=$B$8),AO$3&gt;=$B$7,AO$3&lt;EDATE($B$8,'Вводные'!$H$90)),MAX(0,'Вводные'!$B$26*'Вводные'!$V$90-AO38)*'Вводные'!$B$29/12,0)+IF(AND(YEAR(AO$3)=YEAR($B$7),MONTH(AO$3)=MONTH($B$7)),'Вводные'!$B$26*'Вводные'!$V$90*'Вводные'!$B$30,0)</x:f>
      </x:c>
      <x:c r="AP43" s="117" t="n">
        <x:f>IF(AND(OR(AP38&gt;0,AP$3&lt;=$B$8),AP$3&gt;=$B$7,AP$3&lt;EDATE($B$8,'Вводные'!$H$90)),MAX(0,'Вводные'!$B$26*'Вводные'!$V$90-AP38)*'Вводные'!$B$29/12,0)+IF(AND(YEAR(AP$3)=YEAR($B$7),MONTH(AP$3)=MONTH($B$7)),'Вводные'!$B$26*'Вводные'!$V$90*'Вводные'!$B$30,0)</x:f>
      </x:c>
      <x:c r="AQ43" s="117" t="n">
        <x:f>IF(AND(OR(AQ38&gt;0,AQ$3&lt;=$B$8),AQ$3&gt;=$B$7,AQ$3&lt;EDATE($B$8,'Вводные'!$H$90)),MAX(0,'Вводные'!$B$26*'Вводные'!$V$90-AQ38)*'Вводные'!$B$29/12,0)+IF(AND(YEAR(AQ$3)=YEAR($B$7),MONTH(AQ$3)=MONTH($B$7)),'Вводные'!$B$26*'Вводные'!$V$90*'Вводные'!$B$30,0)</x:f>
      </x:c>
      <x:c r="AR43" s="117" t="n">
        <x:f>IF(AND(OR(AR38&gt;0,AR$3&lt;=$B$8),AR$3&gt;=$B$7,AR$3&lt;EDATE($B$8,'Вводные'!$H$90)),MAX(0,'Вводные'!$B$26*'Вводные'!$V$90-AR38)*'Вводные'!$B$29/12,0)+IF(AND(YEAR(AR$3)=YEAR($B$7),MONTH(AR$3)=MONTH($B$7)),'Вводные'!$B$26*'Вводные'!$V$90*'Вводные'!$B$30,0)</x:f>
      </x:c>
      <x:c r="AS43" s="117" t="n">
        <x:f>IF(AND(OR(AS38&gt;0,AS$3&lt;=$B$8),AS$3&gt;=$B$7,AS$3&lt;EDATE($B$8,'Вводные'!$H$90)),MAX(0,'Вводные'!$B$26*'Вводные'!$V$90-AS38)*'Вводные'!$B$29/12,0)+IF(AND(YEAR(AS$3)=YEAR($B$7),MONTH(AS$3)=MONTH($B$7)),'Вводные'!$B$26*'Вводные'!$V$90*'Вводные'!$B$30,0)</x:f>
      </x:c>
      <x:c r="AT43" s="117" t="n">
        <x:f>IF(AND(OR(AT38&gt;0,AT$3&lt;=$B$8),AT$3&gt;=$B$7,AT$3&lt;EDATE($B$8,'Вводные'!$H$90)),MAX(0,'Вводные'!$B$26*'Вводные'!$V$90-AT38)*'Вводные'!$B$29/12,0)+IF(AND(YEAR(AT$3)=YEAR($B$7),MONTH(AT$3)=MONTH($B$7)),'Вводные'!$B$26*'Вводные'!$V$90*'Вводные'!$B$30,0)</x:f>
      </x:c>
      <x:c r="AU43" s="117" t="n">
        <x:f>IF(AND(OR(AU38&gt;0,AU$3&lt;=$B$8),AU$3&gt;=$B$7,AU$3&lt;EDATE($B$8,'Вводные'!$H$90)),MAX(0,'Вводные'!$B$26*'Вводные'!$V$90-AU38)*'Вводные'!$B$29/12,0)+IF(AND(YEAR(AU$3)=YEAR($B$7),MONTH(AU$3)=MONTH($B$7)),'Вводные'!$B$26*'Вводные'!$V$90*'Вводные'!$B$30,0)</x:f>
      </x:c>
      <x:c r="AV43" s="117" t="n">
        <x:f>IF(AND(OR(AV38&gt;0,AV$3&lt;=$B$8),AV$3&gt;=$B$7,AV$3&lt;EDATE($B$8,'Вводные'!$H$90)),MAX(0,'Вводные'!$B$26*'Вводные'!$V$90-AV38)*'Вводные'!$B$29/12,0)+IF(AND(YEAR(AV$3)=YEAR($B$7),MONTH(AV$3)=MONTH($B$7)),'Вводные'!$B$26*'Вводные'!$V$90*'Вводные'!$B$30,0)</x:f>
      </x:c>
      <x:c r="AW43" s="117" t="n">
        <x:f>IF(AND(OR(AW38&gt;0,AW$3&lt;=$B$8),AW$3&gt;=$B$7,AW$3&lt;EDATE($B$8,'Вводные'!$H$90)),MAX(0,'Вводные'!$B$26*'Вводные'!$V$90-AW38)*'Вводные'!$B$29/12,0)+IF(AND(YEAR(AW$3)=YEAR($B$7),MONTH(AW$3)=MONTH($B$7)),'Вводные'!$B$26*'Вводные'!$V$90*'Вводные'!$B$30,0)</x:f>
      </x:c>
      <x:c r="AX43" s="117" t="n">
        <x:f>IF(AND(OR(AX38&gt;0,AX$3&lt;=$B$8),AX$3&gt;=$B$7,AX$3&lt;EDATE($B$8,'Вводные'!$H$90)),MAX(0,'Вводные'!$B$26*'Вводные'!$V$90-AX38)*'Вводные'!$B$29/12,0)+IF(AND(YEAR(AX$3)=YEAR($B$7),MONTH(AX$3)=MONTH($B$7)),'Вводные'!$B$26*'Вводные'!$V$90*'Вводные'!$B$30,0)</x:f>
      </x:c>
      <x:c r="AY43" s="117" t="n">
        <x:f>IF(AND(OR(AY38&gt;0,AY$3&lt;=$B$8),AY$3&gt;=$B$7,AY$3&lt;EDATE($B$8,'Вводные'!$H$90)),MAX(0,'Вводные'!$B$26*'Вводные'!$V$90-AY38)*'Вводные'!$B$29/12,0)+IF(AND(YEAR(AY$3)=YEAR($B$7),MONTH(AY$3)=MONTH($B$7)),'Вводные'!$B$26*'Вводные'!$V$90*'Вводные'!$B$30,0)</x:f>
      </x:c>
      <x:c r="AZ43" s="117" t="n">
        <x:f>IF(AND(OR(AZ38&gt;0,AZ$3&lt;=$B$8),AZ$3&gt;=$B$7,AZ$3&lt;EDATE($B$8,'Вводные'!$H$90)),MAX(0,'Вводные'!$B$26*'Вводные'!$V$90-AZ38)*'Вводные'!$B$29/12,0)+IF(AND(YEAR(AZ$3)=YEAR($B$7),MONTH(AZ$3)=MONTH($B$7)),'Вводные'!$B$26*'Вводные'!$V$90*'Вводные'!$B$30,0)</x:f>
      </x:c>
      <x:c r="BA43" s="117" t="n">
        <x:f>IF(AND(OR(BA38&gt;0,BA$3&lt;=$B$8),BA$3&gt;=$B$7,BA$3&lt;EDATE($B$8,'Вводные'!$H$90)),MAX(0,'Вводные'!$B$26*'Вводные'!$V$90-BA38)*'Вводные'!$B$29/12,0)+IF(AND(YEAR(BA$3)=YEAR($B$7),MONTH(BA$3)=MONTH($B$7)),'Вводные'!$B$26*'Вводные'!$V$90*'Вводные'!$B$30,0)</x:f>
      </x:c>
      <x:c r="BB43" s="117" t="n">
        <x:f>IF(AND(OR(BB38&gt;0,BB$3&lt;=$B$8),BB$3&gt;=$B$7,BB$3&lt;EDATE($B$8,'Вводные'!$H$90)),MAX(0,'Вводные'!$B$26*'Вводные'!$V$90-BB38)*'Вводные'!$B$29/12,0)+IF(AND(YEAR(BB$3)=YEAR($B$7),MONTH(BB$3)=MONTH($B$7)),'Вводные'!$B$26*'Вводные'!$V$90*'Вводные'!$B$30,0)</x:f>
      </x:c>
      <x:c r="BC43" s="117" t="n">
        <x:f>IF(AND(OR(BC38&gt;0,BC$3&lt;=$B$8),BC$3&gt;=$B$7,BC$3&lt;EDATE($B$8,'Вводные'!$H$90)),MAX(0,'Вводные'!$B$26*'Вводные'!$V$90-BC38)*'Вводные'!$B$29/12,0)+IF(AND(YEAR(BC$3)=YEAR($B$7),MONTH(BC$3)=MONTH($B$7)),'Вводные'!$B$26*'Вводные'!$V$90*'Вводные'!$B$30,0)</x:f>
      </x:c>
      <x:c r="BD43" s="117" t="n">
        <x:f>IF(AND(OR(BD38&gt;0,BD$3&lt;=$B$8),BD$3&gt;=$B$7,BD$3&lt;EDATE($B$8,'Вводные'!$H$90)),MAX(0,'Вводные'!$B$26*'Вводные'!$V$90-BD38)*'Вводные'!$B$29/12,0)+IF(AND(YEAR(BD$3)=YEAR($B$7),MONTH(BD$3)=MONTH($B$7)),'Вводные'!$B$26*'Вводные'!$V$90*'Вводные'!$B$30,0)</x:f>
      </x:c>
      <x:c r="BE43" s="117" t="n">
        <x:f>IF(AND(OR(BE38&gt;0,BE$3&lt;=$B$8),BE$3&gt;=$B$7,BE$3&lt;EDATE($B$8,'Вводные'!$H$90)),MAX(0,'Вводные'!$B$26*'Вводные'!$V$90-BE38)*'Вводные'!$B$29/12,0)+IF(AND(YEAR(BE$3)=YEAR($B$7),MONTH(BE$3)=MONTH($B$7)),'Вводные'!$B$26*'Вводные'!$V$90*'Вводные'!$B$30,0)</x:f>
      </x:c>
      <x:c r="BF43" s="117" t="n">
        <x:f>IF(AND(OR(BF38&gt;0,BF$3&lt;=$B$8),BF$3&gt;=$B$7,BF$3&lt;EDATE($B$8,'Вводные'!$H$90)),MAX(0,'Вводные'!$B$26*'Вводные'!$V$90-BF38)*'Вводные'!$B$29/12,0)+IF(AND(YEAR(BF$3)=YEAR($B$7),MONTH(BF$3)=MONTH($B$7)),'Вводные'!$B$26*'Вводные'!$V$90*'Вводные'!$B$30,0)</x:f>
      </x:c>
      <x:c r="BG43" s="117" t="n">
        <x:f>IF(AND(OR(BG38&gt;0,BG$3&lt;=$B$8),BG$3&gt;=$B$7,BG$3&lt;EDATE($B$8,'Вводные'!$H$90)),MAX(0,'Вводные'!$B$26*'Вводные'!$V$90-BG38)*'Вводные'!$B$29/12,0)+IF(AND(YEAR(BG$3)=YEAR($B$7),MONTH(BG$3)=MONTH($B$7)),'Вводные'!$B$26*'Вводные'!$V$90*'Вводные'!$B$30,0)</x:f>
      </x:c>
      <x:c r="BH43" s="117" t="n">
        <x:f>IF(AND(OR(BH38&gt;0,BH$3&lt;=$B$8),BH$3&gt;=$B$7,BH$3&lt;EDATE($B$8,'Вводные'!$H$90)),MAX(0,'Вводные'!$B$26*'Вводные'!$V$90-BH38)*'Вводные'!$B$29/12,0)+IF(AND(YEAR(BH$3)=YEAR($B$7),MONTH(BH$3)=MONTH($B$7)),'Вводные'!$B$26*'Вводные'!$V$90*'Вводные'!$B$30,0)</x:f>
      </x:c>
      <x:c r="BI43" s="117" t="n">
        <x:f>IF(AND(OR(BI38&gt;0,BI$3&lt;=$B$8),BI$3&gt;=$B$7,BI$3&lt;EDATE($B$8,'Вводные'!$H$90)),MAX(0,'Вводные'!$B$26*'Вводные'!$V$90-BI38)*'Вводные'!$B$29/12,0)+IF(AND(YEAR(BI$3)=YEAR($B$7),MONTH(BI$3)=MONTH($B$7)),'Вводные'!$B$26*'Вводные'!$V$90*'Вводные'!$B$30,0)</x:f>
      </x:c>
      <x:c r="BJ43" s="117" t="n">
        <x:f>IF(AND(OR(BJ38&gt;0,BJ$3&lt;=$B$8),BJ$3&gt;=$B$7,BJ$3&lt;EDATE($B$8,'Вводные'!$H$90)),MAX(0,'Вводные'!$B$26*'Вводные'!$V$90-BJ38)*'Вводные'!$B$29/12,0)+IF(AND(YEAR(BJ$3)=YEAR($B$7),MONTH(BJ$3)=MONTH($B$7)),'Вводные'!$B$26*'Вводные'!$V$90*'Вводные'!$B$30,0)</x:f>
      </x:c>
      <x:c r="BK43" s="117" t="n">
        <x:f>IF(AND(OR(BK38&gt;0,BK$3&lt;=$B$8),BK$3&gt;=$B$7,BK$3&lt;EDATE($B$8,'Вводные'!$H$90)),MAX(0,'Вводные'!$B$26*'Вводные'!$V$90-BK38)*'Вводные'!$B$29/12,0)+IF(AND(YEAR(BK$3)=YEAR($B$7),MONTH(BK$3)=MONTH($B$7)),'Вводные'!$B$26*'Вводные'!$V$90*'Вводные'!$B$30,0)</x:f>
      </x:c>
      <x:c r="BL43" s="117" t="n">
        <x:f>IF(AND(OR(BL38&gt;0,BL$3&lt;=$B$8),BL$3&gt;=$B$7,BL$3&lt;EDATE($B$8,'Вводные'!$H$90)),MAX(0,'Вводные'!$B$26*'Вводные'!$V$90-BL38)*'Вводные'!$B$29/12,0)+IF(AND(YEAR(BL$3)=YEAR($B$7),MONTH(BL$3)=MONTH($B$7)),'Вводные'!$B$26*'Вводные'!$V$90*'Вводные'!$B$30,0)</x:f>
      </x:c>
      <x:c r="BM43" s="117" t="n">
        <x:f>IF(AND(OR(BM38&gt;0,BM$3&lt;=$B$8),BM$3&gt;=$B$7,BM$3&lt;EDATE($B$8,'Вводные'!$H$90)),MAX(0,'Вводные'!$B$26*'Вводные'!$V$90-BM38)*'Вводные'!$B$29/12,0)+IF(AND(YEAR(BM$3)=YEAR($B$7),MONTH(BM$3)=MONTH($B$7)),'Вводные'!$B$26*'Вводные'!$V$90*'Вводные'!$B$30,0)</x:f>
      </x:c>
      <x:c r="BN43" s="117" t="n">
        <x:f>IF(AND(OR(BN38&gt;0,BN$3&lt;=$B$8),BN$3&gt;=$B$7,BN$3&lt;EDATE($B$8,'Вводные'!$H$90)),MAX(0,'Вводные'!$B$26*'Вводные'!$V$90-BN38)*'Вводные'!$B$29/12,0)+IF(AND(YEAR(BN$3)=YEAR($B$7),MONTH(BN$3)=MONTH($B$7)),'Вводные'!$B$26*'Вводные'!$V$90*'Вводные'!$B$30,0)</x:f>
      </x:c>
      <x:c r="BO43" s="117" t="n">
        <x:f>IF(AND(OR(BO38&gt;0,BO$3&lt;=$B$8),BO$3&gt;=$B$7,BO$3&lt;EDATE($B$8,'Вводные'!$H$90)),MAX(0,'Вводные'!$B$26*'Вводные'!$V$90-BO38)*'Вводные'!$B$29/12,0)+IF(AND(YEAR(BO$3)=YEAR($B$7),MONTH(BO$3)=MONTH($B$7)),'Вводные'!$B$26*'Вводные'!$V$90*'Вводные'!$B$30,0)</x:f>
      </x:c>
      <x:c r="BP43" s="117" t="n">
        <x:f>IF(AND(OR(BP38&gt;0,BP$3&lt;=$B$8),BP$3&gt;=$B$7,BP$3&lt;EDATE($B$8,'Вводные'!$H$90)),MAX(0,'Вводные'!$B$26*'Вводные'!$V$90-BP38)*'Вводные'!$B$29/12,0)+IF(AND(YEAR(BP$3)=YEAR($B$7),MONTH(BP$3)=MONTH($B$7)),'Вводные'!$B$26*'Вводные'!$V$90*'Вводные'!$B$30,0)</x:f>
      </x:c>
      <x:c r="BQ43" s="117" t="n">
        <x:f>IF(AND(OR(BQ38&gt;0,BQ$3&lt;=$B$8),BQ$3&gt;=$B$7,BQ$3&lt;EDATE($B$8,'Вводные'!$H$90)),MAX(0,'Вводные'!$B$26*'Вводные'!$V$90-BQ38)*'Вводные'!$B$29/12,0)+IF(AND(YEAR(BQ$3)=YEAR($B$7),MONTH(BQ$3)=MONTH($B$7)),'Вводные'!$B$26*'Вводные'!$V$90*'Вводные'!$B$30,0)</x:f>
      </x:c>
      <x:c r="BR43" s="117" t="n">
        <x:f>IF(AND(OR(BR38&gt;0,BR$3&lt;=$B$8),BR$3&gt;=$B$7,BR$3&lt;EDATE($B$8,'Вводные'!$H$90)),MAX(0,'Вводные'!$B$26*'Вводные'!$V$90-BR38)*'Вводные'!$B$29/12,0)+IF(AND(YEAR(BR$3)=YEAR($B$7),MONTH(BR$3)=MONTH($B$7)),'Вводные'!$B$26*'Вводные'!$V$90*'Вводные'!$B$30,0)</x:f>
      </x:c>
      <x:c r="BS43" s="117" t="n">
        <x:f>IF(AND(OR(BS38&gt;0,BS$3&lt;=$B$8),BS$3&gt;=$B$7,BS$3&lt;EDATE($B$8,'Вводные'!$H$90)),MAX(0,'Вводные'!$B$26*'Вводные'!$V$90-BS38)*'Вводные'!$B$29/12,0)+IF(AND(YEAR(BS$3)=YEAR($B$7),MONTH(BS$3)=MONTH($B$7)),'Вводные'!$B$26*'Вводные'!$V$90*'Вводные'!$B$30,0)</x:f>
      </x:c>
      <x:c r="BT43" s="117" t="n">
        <x:f>IF(AND(OR(BT38&gt;0,BT$3&lt;=$B$8),BT$3&gt;=$B$7,BT$3&lt;EDATE($B$8,'Вводные'!$H$90)),MAX(0,'Вводные'!$B$26*'Вводные'!$V$90-BT38)*'Вводные'!$B$29/12,0)+IF(AND(YEAR(BT$3)=YEAR($B$7),MONTH(BT$3)=MONTH($B$7)),'Вводные'!$B$26*'Вводные'!$V$90*'Вводные'!$B$30,0)</x:f>
      </x:c>
      <x:c r="BU43" s="117" t="n">
        <x:f>IF(AND(OR(BU38&gt;0,BU$3&lt;=$B$8),BU$3&gt;=$B$7,BU$3&lt;EDATE($B$8,'Вводные'!$H$90)),MAX(0,'Вводные'!$B$26*'Вводные'!$V$90-BU38)*'Вводные'!$B$29/12,0)+IF(AND(YEAR(BU$3)=YEAR($B$7),MONTH(BU$3)=MONTH($B$7)),'Вводные'!$B$26*'Вводные'!$V$90*'Вводные'!$B$30,0)</x:f>
      </x:c>
      <x:c r="BV43" s="117" t="n">
        <x:f>IF(AND(OR(BV38&gt;0,BV$3&lt;=$B$8),BV$3&gt;=$B$7,BV$3&lt;EDATE($B$8,'Вводные'!$H$90)),MAX(0,'Вводные'!$B$26*'Вводные'!$V$90-BV38)*'Вводные'!$B$29/12,0)+IF(AND(YEAR(BV$3)=YEAR($B$7),MONTH(BV$3)=MONTH($B$7)),'Вводные'!$B$26*'Вводные'!$V$90*'Вводные'!$B$30,0)</x:f>
      </x:c>
      <x:c r="BW43" s="117" t="n">
        <x:f>IF(AND(OR(BW38&gt;0,BW$3&lt;=$B$8),BW$3&gt;=$B$7,BW$3&lt;EDATE($B$8,'Вводные'!$H$90)),MAX(0,'Вводные'!$B$26*'Вводные'!$V$90-BW38)*'Вводные'!$B$29/12,0)+IF(AND(YEAR(BW$3)=YEAR($B$7),MONTH(BW$3)=MONTH($B$7)),'Вводные'!$B$26*'Вводные'!$V$90*'Вводные'!$B$30,0)</x:f>
      </x:c>
      <x:c r="BX43" s="117" t="n">
        <x:f>IF(AND(OR(BX38&gt;0,BX$3&lt;=$B$8),BX$3&gt;=$B$7,BX$3&lt;EDATE($B$8,'Вводные'!$H$90)),MAX(0,'Вводные'!$B$26*'Вводные'!$V$90-BX38)*'Вводные'!$B$29/12,0)+IF(AND(YEAR(BX$3)=YEAR($B$7),MONTH(BX$3)=MONTH($B$7)),'Вводные'!$B$26*'Вводные'!$V$90*'Вводные'!$B$30,0)</x:f>
      </x:c>
      <x:c r="BY43" s="117" t="n">
        <x:f>IF(AND(OR(BY38&gt;0,BY$3&lt;=$B$8),BY$3&gt;=$B$7,BY$3&lt;EDATE($B$8,'Вводные'!$H$90)),MAX(0,'Вводные'!$B$26*'Вводные'!$V$90-BY38)*'Вводные'!$B$29/12,0)+IF(AND(YEAR(BY$3)=YEAR($B$7),MONTH(BY$3)=MONTH($B$7)),'Вводные'!$B$26*'Вводные'!$V$90*'Вводные'!$B$30,0)</x:f>
      </x:c>
      <x:c r="BZ43" s="117" t="n">
        <x:f>IF(AND(OR(BZ38&gt;0,BZ$3&lt;=$B$8),BZ$3&gt;=$B$7,BZ$3&lt;EDATE($B$8,'Вводные'!$H$90)),MAX(0,'Вводные'!$B$26*'Вводные'!$V$90-BZ38)*'Вводные'!$B$29/12,0)+IF(AND(YEAR(BZ$3)=YEAR($B$7),MONTH(BZ$3)=MONTH($B$7)),'Вводные'!$B$26*'Вводные'!$V$90*'Вводные'!$B$30,0)</x:f>
      </x:c>
      <x:c r="CA43" s="117" t="n">
        <x:f>IF(AND(OR(CA38&gt;0,CA$3&lt;=$B$8),CA$3&gt;=$B$7,CA$3&lt;EDATE($B$8,'Вводные'!$H$90)),MAX(0,'Вводные'!$B$26*'Вводные'!$V$90-CA38)*'Вводные'!$B$29/12,0)+IF(AND(YEAR(CA$3)=YEAR($B$7),MONTH(CA$3)=MONTH($B$7)),'Вводные'!$B$26*'Вводные'!$V$90*'Вводные'!$B$30,0)</x:f>
      </x:c>
      <x:c r="CB43" s="117" t="n">
        <x:f>IF(AND(OR(CB38&gt;0,CB$3&lt;=$B$8),CB$3&gt;=$B$7,CB$3&lt;EDATE($B$8,'Вводные'!$H$90)),MAX(0,'Вводные'!$B$26*'Вводные'!$V$90-CB38)*'Вводные'!$B$29/12,0)+IF(AND(YEAR(CB$3)=YEAR($B$7),MONTH(CB$3)=MONTH($B$7)),'Вводные'!$B$26*'Вводные'!$V$90*'Вводные'!$B$30,0)</x:f>
      </x:c>
      <x:c r="CC43" s="117" t="n">
        <x:f>IF(AND(OR(CC38&gt;0,CC$3&lt;=$B$8),CC$3&gt;=$B$7,CC$3&lt;EDATE($B$8,'Вводные'!$H$90)),MAX(0,'Вводные'!$B$26*'Вводные'!$V$90-CC38)*'Вводные'!$B$29/12,0)+IF(AND(YEAR(CC$3)=YEAR($B$7),MONTH(CC$3)=MONTH($B$7)),'Вводные'!$B$26*'Вводные'!$V$90*'Вводные'!$B$30,0)</x:f>
      </x:c>
      <x:c r="CD43" s="117" t="n">
        <x:f>IF(AND(OR(CD38&gt;0,CD$3&lt;=$B$8),CD$3&gt;=$B$7,CD$3&lt;EDATE($B$8,'Вводные'!$H$90)),MAX(0,'Вводные'!$B$26*'Вводные'!$V$90-CD38)*'Вводные'!$B$29/12,0)+IF(AND(YEAR(CD$3)=YEAR($B$7),MONTH(CD$3)=MONTH($B$7)),'Вводные'!$B$26*'Вводные'!$V$90*'Вводные'!$B$30,0)</x:f>
      </x:c>
      <x:c r="CE43" s="117" t="n">
        <x:f>IF(AND(OR(CE38&gt;0,CE$3&lt;=$B$8),CE$3&gt;=$B$7,CE$3&lt;EDATE($B$8,'Вводные'!$H$90)),MAX(0,'Вводные'!$B$26*'Вводные'!$V$90-CE38)*'Вводные'!$B$29/12,0)+IF(AND(YEAR(CE$3)=YEAR($B$7),MONTH(CE$3)=MONTH($B$7)),'Вводные'!$B$26*'Вводные'!$V$90*'Вводные'!$B$30,0)</x:f>
      </x:c>
      <x:c r="CF43" s="117" t="n">
        <x:f>IF(AND(OR(CF38&gt;0,CF$3&lt;=$B$8),CF$3&gt;=$B$7,CF$3&lt;EDATE($B$8,'Вводные'!$H$90)),MAX(0,'Вводные'!$B$26*'Вводные'!$V$90-CF38)*'Вводные'!$B$29/12,0)+IF(AND(YEAR(CF$3)=YEAR($B$7),MONTH(CF$3)=MONTH($B$7)),'Вводные'!$B$26*'Вводные'!$V$90*'Вводные'!$B$30,0)</x:f>
      </x:c>
      <x:c r="CG43" s="117" t="n">
        <x:f>IF(AND(OR(CG38&gt;0,CG$3&lt;=$B$8),CG$3&gt;=$B$7,CG$3&lt;EDATE($B$8,'Вводные'!$H$90)),MAX(0,'Вводные'!$B$26*'Вводные'!$V$90-CG38)*'Вводные'!$B$29/12,0)+IF(AND(YEAR(CG$3)=YEAR($B$7),MONTH(CG$3)=MONTH($B$7)),'Вводные'!$B$26*'Вводные'!$V$90*'Вводные'!$B$30,0)</x:f>
      </x:c>
      <x:c r="CH43" s="117" t="n">
        <x:f>IF(AND(OR(CH38&gt;0,CH$3&lt;=$B$8),CH$3&gt;=$B$7,CH$3&lt;EDATE($B$8,'Вводные'!$H$90)),MAX(0,'Вводные'!$B$26*'Вводные'!$V$90-CH38)*'Вводные'!$B$29/12,0)+IF(AND(YEAR(CH$3)=YEAR($B$7),MONTH(CH$3)=MONTH($B$7)),'Вводные'!$B$26*'Вводные'!$V$90*'Вводные'!$B$30,0)</x:f>
      </x:c>
      <x:c r="CI43" s="117" t="n">
        <x:f>IF(AND(OR(CI38&gt;0,CI$3&lt;=$B$8),CI$3&gt;=$B$7,CI$3&lt;EDATE($B$8,'Вводные'!$H$90)),MAX(0,'Вводные'!$B$26*'Вводные'!$V$90-CI38)*'Вводные'!$B$29/12,0)+IF(AND(YEAR(CI$3)=YEAR($B$7),MONTH(CI$3)=MONTH($B$7)),'Вводные'!$B$26*'Вводные'!$V$90*'Вводные'!$B$30,0)</x:f>
      </x:c>
      <x:c r="CJ43" s="117" t="n">
        <x:f>IF(AND(OR(CJ38&gt;0,CJ$3&lt;=$B$8),CJ$3&gt;=$B$7,CJ$3&lt;EDATE($B$8,'Вводные'!$H$90)),MAX(0,'Вводные'!$B$26*'Вводные'!$V$90-CJ38)*'Вводные'!$B$29/12,0)+IF(AND(YEAR(CJ$3)=YEAR($B$7),MONTH(CJ$3)=MONTH($B$7)),'Вводные'!$B$26*'Вводные'!$V$90*'Вводные'!$B$30,0)</x:f>
      </x:c>
      <x:c r="CK43" s="117" t="n">
        <x:f>IF(AND(OR(CK38&gt;0,CK$3&lt;=$B$8),CK$3&gt;=$B$7,CK$3&lt;EDATE($B$8,'Вводные'!$H$90)),MAX(0,'Вводные'!$B$26*'Вводные'!$V$90-CK38)*'Вводные'!$B$29/12,0)+IF(AND(YEAR(CK$3)=YEAR($B$7),MONTH(CK$3)=MONTH($B$7)),'Вводные'!$B$26*'Вводные'!$V$90*'Вводные'!$B$30,0)</x:f>
      </x:c>
      <x:c r="CL43" s="117" t="n">
        <x:f>IF(AND(OR(CL38&gt;0,CL$3&lt;=$B$8),CL$3&gt;=$B$7,CL$3&lt;EDATE($B$8,'Вводные'!$H$90)),MAX(0,'Вводные'!$B$26*'Вводные'!$V$90-CL38)*'Вводные'!$B$29/12,0)+IF(AND(YEAR(CL$3)=YEAR($B$7),MONTH(CL$3)=MONTH($B$7)),'Вводные'!$B$26*'Вводные'!$V$90*'Вводные'!$B$30,0)</x:f>
      </x:c>
      <x:c r="CM43" s="117" t="n">
        <x:f>IF(AND(OR(CM38&gt;0,CM$3&lt;=$B$8),CM$3&gt;=$B$7,CM$3&lt;EDATE($B$8,'Вводные'!$H$90)),MAX(0,'Вводные'!$B$26*'Вводные'!$V$90-CM38)*'Вводные'!$B$29/12,0)+IF(AND(YEAR(CM$3)=YEAR($B$7),MONTH(CM$3)=MONTH($B$7)),'Вводные'!$B$26*'Вводные'!$V$90*'Вводные'!$B$30,0)</x:f>
      </x:c>
      <x:c r="CN43" s="117" t="n">
        <x:f>IF(AND(OR(CN38&gt;0,CN$3&lt;=$B$8),CN$3&gt;=$B$7,CN$3&lt;EDATE($B$8,'Вводные'!$H$90)),MAX(0,'Вводные'!$B$26*'Вводные'!$V$90-CN38)*'Вводные'!$B$29/12,0)+IF(AND(YEAR(CN$3)=YEAR($B$7),MONTH(CN$3)=MONTH($B$7)),'Вводные'!$B$26*'Вводные'!$V$90*'Вводные'!$B$30,0)</x:f>
      </x:c>
      <x:c r="CO43" s="117" t="n">
        <x:f>IF(AND(OR(CO38&gt;0,CO$3&lt;=$B$8),CO$3&gt;=$B$7,CO$3&lt;EDATE($B$8,'Вводные'!$H$90)),MAX(0,'Вводные'!$B$26*'Вводные'!$V$90-CO38)*'Вводные'!$B$29/12,0)+IF(AND(YEAR(CO$3)=YEAR($B$7),MONTH(CO$3)=MONTH($B$7)),'Вводные'!$B$26*'Вводные'!$V$90*'Вводные'!$B$30,0)</x:f>
      </x:c>
      <x:c r="CP43" s="117" t="n">
        <x:f>IF(AND(OR(CP38&gt;0,CP$3&lt;=$B$8),CP$3&gt;=$B$7,CP$3&lt;EDATE($B$8,'Вводные'!$H$90)),MAX(0,'Вводные'!$B$26*'Вводные'!$V$90-CP38)*'Вводные'!$B$29/12,0)+IF(AND(YEAR(CP$3)=YEAR($B$7),MONTH(CP$3)=MONTH($B$7)),'Вводные'!$B$26*'Вводные'!$V$90*'Вводные'!$B$30,0)</x:f>
      </x:c>
      <x:c r="CQ43" s="117" t="n">
        <x:f>IF(AND(OR(CQ38&gt;0,CQ$3&lt;=$B$8),CQ$3&gt;=$B$7,CQ$3&lt;EDATE($B$8,'Вводные'!$H$90)),MAX(0,'Вводные'!$B$26*'Вводные'!$V$90-CQ38)*'Вводные'!$B$29/12,0)+IF(AND(YEAR(CQ$3)=YEAR($B$7),MONTH(CQ$3)=MONTH($B$7)),'Вводные'!$B$26*'Вводные'!$V$90*'Вводные'!$B$30,0)</x:f>
      </x:c>
      <x:c r="CR43" s="117" t="n">
        <x:f>IF(AND(OR(CR38&gt;0,CR$3&lt;=$B$8),CR$3&gt;=$B$7,CR$3&lt;EDATE($B$8,'Вводные'!$H$90)),MAX(0,'Вводные'!$B$26*'Вводные'!$V$90-CR38)*'Вводные'!$B$29/12,0)+IF(AND(YEAR(CR$3)=YEAR($B$7),MONTH(CR$3)=MONTH($B$7)),'Вводные'!$B$26*'Вводные'!$V$90*'Вводные'!$B$30,0)</x:f>
      </x:c>
      <x:c r="CS43" s="117" t="n">
        <x:f>IF(AND(OR(CS38&gt;0,CS$3&lt;=$B$8),CS$3&gt;=$B$7,CS$3&lt;EDATE($B$8,'Вводные'!$H$90)),MAX(0,'Вводные'!$B$26*'Вводные'!$V$90-CS38)*'Вводные'!$B$29/12,0)+IF(AND(YEAR(CS$3)=YEAR($B$7),MONTH(CS$3)=MONTH($B$7)),'Вводные'!$B$26*'Вводные'!$V$90*'Вводные'!$B$30,0)</x:f>
      </x:c>
      <x:c r="CT43" s="117" t="n">
        <x:f>IF(AND(OR(CT38&gt;0,CT$3&lt;=$B$8),CT$3&gt;=$B$7,CT$3&lt;EDATE($B$8,'Вводные'!$H$90)),MAX(0,'Вводные'!$B$26*'Вводные'!$V$90-CT38)*'Вводные'!$B$29/12,0)+IF(AND(YEAR(CT$3)=YEAR($B$7),MONTH(CT$3)=MONTH($B$7)),'Вводные'!$B$26*'Вводные'!$V$90*'Вводные'!$B$30,0)</x:f>
      </x:c>
      <x:c r="CU43" s="117" t="n">
        <x:f>IF(AND(OR(CU38&gt;0,CU$3&lt;=$B$8),CU$3&gt;=$B$7,CU$3&lt;EDATE($B$8,'Вводные'!$H$90)),MAX(0,'Вводные'!$B$26*'Вводные'!$V$90-CU38)*'Вводные'!$B$29/12,0)+IF(AND(YEAR(CU$3)=YEAR($B$7),MONTH(CU$3)=MONTH($B$7)),'Вводные'!$B$26*'Вводные'!$V$90*'Вводные'!$B$30,0)</x:f>
      </x:c>
      <x:c r="CV43" s="117" t="n">
        <x:f>IF(AND(OR(CV38&gt;0,CV$3&lt;=$B$8),CV$3&gt;=$B$7,CV$3&lt;EDATE($B$8,'Вводные'!$H$90)),MAX(0,'Вводные'!$B$26*'Вводные'!$V$90-CV38)*'Вводные'!$B$29/12,0)+IF(AND(YEAR(CV$3)=YEAR($B$7),MONTH(CV$3)=MONTH($B$7)),'Вводные'!$B$26*'Вводные'!$V$90*'Вводные'!$B$30,0)</x:f>
      </x:c>
      <x:c r="CW43" s="117" t="n">
        <x:f>IF(AND(OR(CW38&gt;0,CW$3&lt;=$B$8),CW$3&gt;=$B$7,CW$3&lt;EDATE($B$8,'Вводные'!$H$90)),MAX(0,'Вводные'!$B$26*'Вводные'!$V$90-CW38)*'Вводные'!$B$29/12,0)+IF(AND(YEAR(CW$3)=YEAR($B$7),MONTH(CW$3)=MONTH($B$7)),'Вводные'!$B$26*'Вводные'!$V$90*'Вводные'!$B$30,0)</x:f>
      </x:c>
      <x:c r="CX43" s="117" t="n">
        <x:f>IF(AND(OR(CX38&gt;0,CX$3&lt;=$B$8),CX$3&gt;=$B$7,CX$3&lt;EDATE($B$8,'Вводные'!$H$90)),MAX(0,'Вводные'!$B$26*'Вводные'!$V$90-CX38)*'Вводные'!$B$29/12,0)+IF(AND(YEAR(CX$3)=YEAR($B$7),MONTH(CX$3)=MONTH($B$7)),'Вводные'!$B$26*'Вводные'!$V$90*'Вводные'!$B$30,0)</x:f>
      </x:c>
      <x:c r="CY43" s="117" t="n">
        <x:f>IF(AND(OR(CY38&gt;0,CY$3&lt;=$B$8),CY$3&gt;=$B$7,CY$3&lt;EDATE($B$8,'Вводные'!$H$90)),MAX(0,'Вводные'!$B$26*'Вводные'!$V$90-CY38)*'Вводные'!$B$29/12,0)+IF(AND(YEAR(CY$3)=YEAR($B$7),MONTH(CY$3)=MONTH($B$7)),'Вводные'!$B$26*'Вводные'!$V$90*'Вводные'!$B$30,0)</x:f>
      </x:c>
      <x:c r="CZ43" s="117" t="n">
        <x:f>IF(AND(OR(CZ38&gt;0,CZ$3&lt;=$B$8),CZ$3&gt;=$B$7,CZ$3&lt;EDATE($B$8,'Вводные'!$H$90)),MAX(0,'Вводные'!$B$26*'Вводные'!$V$90-CZ38)*'Вводные'!$B$29/12,0)+IF(AND(YEAR(CZ$3)=YEAR($B$7),MONTH(CZ$3)=MONTH($B$7)),'Вводные'!$B$26*'Вводные'!$V$90*'Вводные'!$B$30,0)</x:f>
      </x:c>
      <x:c r="DA43" s="117" t="n">
        <x:f>IF(AND(OR(DA38&gt;0,DA$3&lt;=$B$8),DA$3&gt;=$B$7,DA$3&lt;EDATE($B$8,'Вводные'!$H$90)),MAX(0,'Вводные'!$B$26*'Вводные'!$V$90-DA38)*'Вводные'!$B$29/12,0)+IF(AND(YEAR(DA$3)=YEAR($B$7),MONTH(DA$3)=MONTH($B$7)),'Вводные'!$B$26*'Вводные'!$V$90*'Вводные'!$B$30,0)</x:f>
      </x:c>
      <x:c r="DB43" s="117" t="n">
        <x:f>IF(AND(OR(DB38&gt;0,DB$3&lt;=$B$8),DB$3&gt;=$B$7,DB$3&lt;EDATE($B$8,'Вводные'!$H$90)),MAX(0,'Вводные'!$B$26*'Вводные'!$V$90-DB38)*'Вводные'!$B$29/12,0)+IF(AND(YEAR(DB$3)=YEAR($B$7),MONTH(DB$3)=MONTH($B$7)),'Вводные'!$B$26*'Вводные'!$V$90*'Вводные'!$B$30,0)</x:f>
      </x:c>
      <x:c r="DC43" s="117" t="n">
        <x:f>IF(AND(OR(DC38&gt;0,DC$3&lt;=$B$8),DC$3&gt;=$B$7,DC$3&lt;EDATE($B$8,'Вводные'!$H$90)),MAX(0,'Вводные'!$B$26*'Вводные'!$V$90-DC38)*'Вводные'!$B$29/12,0)+IF(AND(YEAR(DC$3)=YEAR($B$7),MONTH(DC$3)=MONTH($B$7)),'Вводные'!$B$26*'Вводные'!$V$90*'Вводные'!$B$30,0)</x:f>
      </x:c>
      <x:c r="DD43" s="117" t="n">
        <x:f>IF(AND(OR(DD38&gt;0,DD$3&lt;=$B$8),DD$3&gt;=$B$7,DD$3&lt;EDATE($B$8,'Вводные'!$H$90)),MAX(0,'Вводные'!$B$26*'Вводные'!$V$90-DD38)*'Вводные'!$B$29/12,0)+IF(AND(YEAR(DD$3)=YEAR($B$7),MONTH(DD$3)=MONTH($B$7)),'Вводные'!$B$26*'Вводные'!$V$90*'Вводные'!$B$30,0)</x:f>
      </x:c>
      <x:c r="DE43" s="117" t="n">
        <x:f>IF(AND(OR(DE38&gt;0,DE$3&lt;=$B$8),DE$3&gt;=$B$7,DE$3&lt;EDATE($B$8,'Вводные'!$H$90)),MAX(0,'Вводные'!$B$26*'Вводные'!$V$90-DE38)*'Вводные'!$B$29/12,0)+IF(AND(YEAR(DE$3)=YEAR($B$7),MONTH(DE$3)=MONTH($B$7)),'Вводные'!$B$26*'Вводные'!$V$90*'Вводные'!$B$30,0)</x:f>
      </x:c>
      <x:c r="DF43" s="117" t="n">
        <x:f>IF(AND(OR(DF38&gt;0,DF$3&lt;=$B$8),DF$3&gt;=$B$7,DF$3&lt;EDATE($B$8,'Вводные'!$H$90)),MAX(0,'Вводные'!$B$26*'Вводные'!$V$90-DF38)*'Вводные'!$B$29/12,0)+IF(AND(YEAR(DF$3)=YEAR($B$7),MONTH(DF$3)=MONTH($B$7)),'Вводные'!$B$26*'Вводные'!$V$90*'Вводные'!$B$30,0)</x:f>
      </x:c>
      <x:c r="DG43" s="117" t="n">
        <x:f>IF(AND(OR(DG38&gt;0,DG$3&lt;=$B$8),DG$3&gt;=$B$7,DG$3&lt;EDATE($B$8,'Вводные'!$H$90)),MAX(0,'Вводные'!$B$26*'Вводные'!$V$90-DG38)*'Вводные'!$B$29/12,0)+IF(AND(YEAR(DG$3)=YEAR($B$7),MONTH(DG$3)=MONTH($B$7)),'Вводные'!$B$26*'Вводные'!$V$90*'Вводные'!$B$30,0)</x:f>
      </x:c>
      <x:c r="DH43" s="117" t="n">
        <x:f>IF(AND(OR(DH38&gt;0,DH$3&lt;=$B$8),DH$3&gt;=$B$7,DH$3&lt;EDATE($B$8,'Вводные'!$H$90)),MAX(0,'Вводные'!$B$26*'Вводные'!$V$90-DH38)*'Вводные'!$B$29/12,0)+IF(AND(YEAR(DH$3)=YEAR($B$7),MONTH(DH$3)=MONTH($B$7)),'Вводные'!$B$26*'Вводные'!$V$90*'Вводные'!$B$30,0)</x:f>
      </x:c>
      <x:c r="DI43" s="117" t="n">
        <x:f>IF(AND(OR(DI38&gt;0,DI$3&lt;=$B$8),DI$3&gt;=$B$7,DI$3&lt;EDATE($B$8,'Вводные'!$H$90)),MAX(0,'Вводные'!$B$26*'Вводные'!$V$90-DI38)*'Вводные'!$B$29/12,0)+IF(AND(YEAR(DI$3)=YEAR($B$7),MONTH(DI$3)=MONTH($B$7)),'Вводные'!$B$26*'Вводные'!$V$90*'Вводные'!$B$30,0)</x:f>
      </x:c>
      <x:c r="DJ43" s="117" t="n">
        <x:f>IF(AND(OR(DJ38&gt;0,DJ$3&lt;=$B$8),DJ$3&gt;=$B$7,DJ$3&lt;EDATE($B$8,'Вводные'!$H$90)),MAX(0,'Вводные'!$B$26*'Вводные'!$V$90-DJ38)*'Вводные'!$B$29/12,0)+IF(AND(YEAR(DJ$3)=YEAR($B$7),MONTH(DJ$3)=MONTH($B$7)),'Вводные'!$B$26*'Вводные'!$V$90*'Вводные'!$B$30,0)</x:f>
      </x:c>
      <x:c r="DK43" s="117" t="n">
        <x:f>IF(AND(OR(DK38&gt;0,DK$3&lt;=$B$8),DK$3&gt;=$B$7,DK$3&lt;EDATE($B$8,'Вводные'!$H$90)),MAX(0,'Вводные'!$B$26*'Вводные'!$V$90-DK38)*'Вводные'!$B$29/12,0)+IF(AND(YEAR(DK$3)=YEAR($B$7),MONTH(DK$3)=MONTH($B$7)),'Вводные'!$B$26*'Вводные'!$V$90*'Вводные'!$B$30,0)</x:f>
      </x:c>
      <x:c r="DL43" s="117" t="n">
        <x:f>IF(AND(OR(DL38&gt;0,DL$3&lt;=$B$8),DL$3&gt;=$B$7,DL$3&lt;EDATE($B$8,'Вводные'!$H$90)),MAX(0,'Вводные'!$B$26*'Вводные'!$V$90-DL38)*'Вводные'!$B$29/12,0)+IF(AND(YEAR(DL$3)=YEAR($B$7),MONTH(DL$3)=MONTH($B$7)),'Вводные'!$B$26*'Вводные'!$V$90*'Вводные'!$B$30,0)</x:f>
      </x:c>
      <x:c r="DM43" s="117" t="n">
        <x:f>IF(AND(OR(DM38&gt;0,DM$3&lt;=$B$8),DM$3&gt;=$B$7,DM$3&lt;EDATE($B$8,'Вводные'!$H$90)),MAX(0,'Вводные'!$B$26*'Вводные'!$V$90-DM38)*'Вводные'!$B$29/12,0)+IF(AND(YEAR(DM$3)=YEAR($B$7),MONTH(DM$3)=MONTH($B$7)),'Вводные'!$B$26*'Вводные'!$V$90*'Вводные'!$B$30,0)</x:f>
      </x:c>
      <x:c r="DN43" s="117" t="n">
        <x:f>IF(AND(OR(DN38&gt;0,DN$3&lt;=$B$8),DN$3&gt;=$B$7,DN$3&lt;EDATE($B$8,'Вводные'!$H$90)),MAX(0,'Вводные'!$B$26*'Вводные'!$V$90-DN38)*'Вводные'!$B$29/12,0)+IF(AND(YEAR(DN$3)=YEAR($B$7),MONTH(DN$3)=MONTH($B$7)),'Вводные'!$B$26*'Вводные'!$V$90*'Вводные'!$B$30,0)</x:f>
      </x:c>
      <x:c r="DO43" s="117" t="n">
        <x:f>IF(AND(OR(DO38&gt;0,DO$3&lt;=$B$8),DO$3&gt;=$B$7,DO$3&lt;EDATE($B$8,'Вводные'!$H$90)),MAX(0,'Вводные'!$B$26*'Вводные'!$V$90-DO38)*'Вводные'!$B$29/12,0)+IF(AND(YEAR(DO$3)=YEAR($B$7),MONTH(DO$3)=MONTH($B$7)),'Вводные'!$B$26*'Вводные'!$V$90*'Вводные'!$B$30,0)</x:f>
      </x:c>
      <x:c r="DP43" s="117" t="n">
        <x:f>IF(AND(OR(DP38&gt;0,DP$3&lt;=$B$8),DP$3&gt;=$B$7,DP$3&lt;EDATE($B$8,'Вводные'!$H$90)),MAX(0,'Вводные'!$B$26*'Вводные'!$V$90-DP38)*'Вводные'!$B$29/12,0)+IF(AND(YEAR(DP$3)=YEAR($B$7),MONTH(DP$3)=MONTH($B$7)),'Вводные'!$B$26*'Вводные'!$V$90*'Вводные'!$B$30,0)</x:f>
      </x:c>
      <x:c r="DQ43" s="117" t="n">
        <x:f>IF(AND(OR(DQ38&gt;0,DQ$3&lt;=$B$8),DQ$3&gt;=$B$7,DQ$3&lt;EDATE($B$8,'Вводные'!$H$90)),MAX(0,'Вводные'!$B$26*'Вводные'!$V$90-DQ38)*'Вводные'!$B$29/12,0)+IF(AND(YEAR(DQ$3)=YEAR($B$7),MONTH(DQ$3)=MONTH($B$7)),'Вводные'!$B$26*'Вводные'!$V$90*'Вводные'!$B$30,0)</x:f>
      </x:c>
      <x:c r="DR43" s="117" t="n">
        <x:f>IF(AND(OR(DR38&gt;0,DR$3&lt;=$B$8),DR$3&gt;=$B$7,DR$3&lt;EDATE($B$8,'Вводные'!$H$90)),MAX(0,'Вводные'!$B$26*'Вводные'!$V$90-DR38)*'Вводные'!$B$29/12,0)+IF(AND(YEAR(DR$3)=YEAR($B$7),MONTH(DR$3)=MONTH($B$7)),'Вводные'!$B$26*'Вводные'!$V$90*'Вводные'!$B$30,0)</x:f>
      </x:c>
      <x:c r="DS43" s="117" t="n">
        <x:f>IF(AND(OR(DS38&gt;0,DS$3&lt;=$B$8),DS$3&gt;=$B$7,DS$3&lt;EDATE($B$8,'Вводные'!$H$90)),MAX(0,'Вводные'!$B$26*'Вводные'!$V$90-DS38)*'Вводные'!$B$29/12,0)+IF(AND(YEAR(DS$3)=YEAR($B$7),MONTH(DS$3)=MONTH($B$7)),'Вводные'!$B$26*'Вводные'!$V$90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3</x:v>
      </x:c>
      <x:c r="B66" s="53" t="str">
        <x:v>СВОДКА ОЧЕРЕДИ 3</x:v>
      </x:c>
      <x:c r="C66" s="54" t="str">
        <x:v>СВОДКА ОЧЕРЕДИ 3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КОНСОЛИДИРОВАННЫЙ ДЕНЕЖНЫЙ ПОТОК</x:v>
      </x:c>
      <x:c r="B1" s="4" t="str">
        <x:v>КОНСОЛИДИРОВАННЫЙ ДЕНЕЖНЫЙ ПОТОК</x:v>
      </x:c>
      <x:c r="C1" s="4" t="str">
        <x:v>КОНСОЛИДИРОВАННЫЙ ДЕНЕЖНЫЙ ПОТОК</x:v>
      </x:c>
      <x:c r="D1" s="4" t="str">
        <x:v>КОНСОЛИДИРОВАННЫЙ ДЕНЕЖНЫЙ ПОТОК</x:v>
      </x:c>
      <x:c r="E1" s="4" t="str">
        <x:v>КОНСОЛИДИРОВАННЫЙ ДЕНЕЖНЫЙ ПОТОК</x:v>
      </x:c>
      <x:c r="F1" s="4" t="str">
        <x:v>КОНСОЛИДИРОВАННЫЙ ДЕНЕЖНЫЙ ПОТОК</x:v>
      </x:c>
      <x:c r="G1" s="4" t="str">
        <x:v>КОНСОЛИДИРОВАННЫЙ ДЕНЕЖНЫЙ ПОТОК</x:v>
      </x:c>
      <x:c r="H1" s="4" t="str">
        <x:v>КОНСОЛИДИРОВАННЫЙ ДЕНЕЖНЫЙ ПОТОК</x:v>
      </x:c>
      <x:c r="I1" s="4" t="str">
        <x:v>КОНСОЛИДИРОВАННЫЙ ДЕНЕЖНЫЙ ПОТОК</x:v>
      </x:c>
      <x:c r="J1" s="4" t="str">
        <x:v>КОНСОЛИДИРОВАННЫЙ ДЕНЕЖНЫЙ ПОТОК</x:v>
      </x:c>
      <x:c r="K1" s="4" t="str">
        <x:v>КОНСОЛИДИРОВАННЫЙ ДЕНЕЖНЫЙ ПОТОК</x:v>
      </x:c>
      <x:c r="L1" s="4" t="str">
        <x:v>КОНСОЛИДИРОВАННЫЙ ДЕНЕЖНЫЙ ПОТОК</x:v>
      </x:c>
      <x:c r="M1" s="4" t="str">
        <x:v>КОНСОЛИДИРОВАННЫЙ ДЕНЕЖНЫЙ ПОТОК</x:v>
      </x:c>
      <x:c r="N1" s="4" t="str">
        <x:v>КОНСОЛИДИРОВАННЫЙ ДЕНЕЖНЫЙ ПОТОК</x:v>
      </x:c>
      <x:c r="O1" s="4" t="str">
        <x:v>КОНСОЛИДИРОВАННЫЙ ДЕНЕЖНЫЙ ПОТОК</x:v>
      </x:c>
      <x:c r="P1" s="4" t="str">
        <x:v>КОНСОЛИДИРОВАННЫЙ ДЕНЕЖНЫЙ ПОТОК</x:v>
      </x:c>
      <x:c r="Q1" s="4" t="str">
        <x:v>КОНСОЛИДИРОВАННЫЙ ДЕНЕЖНЫЙ ПОТОК</x:v>
      </x:c>
      <x:c r="R1" s="4" t="str">
        <x:v>КОНСОЛИДИРОВАННЫЙ ДЕНЕЖНЫЙ ПОТОК</x:v>
      </x:c>
      <x:c r="S1" s="4" t="str">
        <x:v>КОНСОЛИДИРОВАННЫЙ ДЕНЕЖНЫЙ ПОТОК</x:v>
      </x:c>
      <x:c r="T1" s="4" t="str">
        <x:v>КОНСОЛИДИРОВАННЫЙ ДЕНЕЖНЫЙ ПОТОК</x:v>
      </x:c>
      <x:c r="U1" s="4" t="str">
        <x:v>КОНСОЛИДИРОВАННЫЙ ДЕНЕЖНЫЙ ПОТОК</x:v>
      </x:c>
      <x:c r="V1" s="4" t="str">
        <x:v>КОНСОЛИДИРОВАННЫЙ ДЕНЕЖНЫЙ ПОТОК</x:v>
      </x:c>
      <x:c r="W1" s="4" t="str">
        <x:v>КОНСОЛИДИРОВАННЫЙ ДЕНЕЖНЫЙ ПОТОК</x:v>
      </x:c>
      <x:c r="X1" s="4" t="str">
        <x:v>КОНСОЛИДИРОВАННЫЙ ДЕНЕЖНЫЙ ПОТОК</x:v>
      </x:c>
      <x:c r="Y1" s="4" t="str">
        <x:v>КОНСОЛИДИРОВАННЫЙ ДЕНЕЖНЫЙ ПОТОК</x:v>
      </x:c>
      <x:c r="Z1" s="4" t="str">
        <x:v>КОНСОЛИДИРОВАННЫЙ ДЕНЕЖНЫЙ ПОТОК</x:v>
      </x:c>
      <x:c r="AA1" s="4" t="str">
        <x:v>КОНСОЛИДИРОВАННЫЙ ДЕНЕЖНЫЙ ПОТОК</x:v>
      </x:c>
      <x:c r="AB1" s="4" t="str">
        <x:v>КОНСОЛИДИРОВАННЫЙ ДЕНЕЖНЫЙ ПОТОК</x:v>
      </x:c>
      <x:c r="AC1" s="4" t="str">
        <x:v>КОНСОЛИДИРОВАННЫЙ ДЕНЕЖНЫЙ ПОТОК</x:v>
      </x:c>
      <x:c r="AD1" s="4" t="str">
        <x:v>КОНСОЛИДИРОВАННЫЙ ДЕНЕЖНЫЙ ПОТОК</x:v>
      </x:c>
      <x:c r="AE1" s="4" t="str">
        <x:v>КОНСОЛИДИРОВАННЫЙ ДЕНЕЖНЫЙ ПОТОК</x:v>
      </x:c>
      <x:c r="AF1" s="4" t="str">
        <x:v>КОНСОЛИДИРОВАННЫЙ ДЕНЕЖНЫЙ ПОТОК</x:v>
      </x:c>
      <x:c r="AG1" s="4" t="str">
        <x:v>КОНСОЛИДИРОВАННЫЙ ДЕНЕЖНЫЙ ПОТОК</x:v>
      </x:c>
      <x:c r="AH1" s="4" t="str">
        <x:v>КОНСОЛИДИРОВАННЫЙ ДЕНЕЖНЫЙ ПОТОК</x:v>
      </x:c>
      <x:c r="AI1" s="4" t="str">
        <x:v>КОНСОЛИДИРОВАННЫЙ ДЕНЕЖНЫЙ ПОТОК</x:v>
      </x:c>
      <x:c r="AJ1" s="4" t="str">
        <x:v>КОНСОЛИДИРОВАННЫЙ ДЕНЕЖНЫЙ ПОТОК</x:v>
      </x:c>
      <x:c r="AK1" s="4" t="str">
        <x:v>КОНСОЛИДИРОВАННЫЙ ДЕНЕЖНЫЙ ПОТОК</x:v>
      </x:c>
      <x:c r="AL1" s="4" t="str">
        <x:v>КОНСОЛИДИРОВАННЫЙ ДЕНЕЖНЫЙ ПОТОК</x:v>
      </x:c>
      <x:c r="AM1" s="4" t="str">
        <x:v>КОНСОЛИДИРОВАННЫЙ ДЕНЕЖНЫЙ ПОТОК</x:v>
      </x:c>
      <x:c r="AN1" s="4" t="str">
        <x:v>КОНСОЛИДИРОВАННЫЙ ДЕНЕЖНЫЙ ПОТОК</x:v>
      </x:c>
      <x:c r="AO1" s="4" t="str">
        <x:v>КОНСОЛИДИРОВАННЫЙ ДЕНЕЖНЫЙ ПОТОК</x:v>
      </x:c>
      <x:c r="AP1" s="4" t="str">
        <x:v>КОНСОЛИДИРОВАННЫЙ ДЕНЕЖНЫЙ ПОТОК</x:v>
      </x:c>
      <x:c r="AQ1" s="4" t="str">
        <x:v>КОНСОЛИДИРОВАННЫЙ ДЕНЕЖНЫЙ ПОТОК</x:v>
      </x:c>
      <x:c r="AR1" s="4" t="str">
        <x:v>КОНСОЛИДИРОВАННЫЙ ДЕНЕЖНЫЙ ПОТОК</x:v>
      </x:c>
      <x:c r="AS1" s="4" t="str">
        <x:v>КОНСОЛИДИРОВАННЫЙ ДЕНЕЖНЫЙ ПОТОК</x:v>
      </x:c>
      <x:c r="AT1" s="4" t="str">
        <x:v>КОНСОЛИДИРОВАННЫЙ ДЕНЕЖНЫЙ ПОТОК</x:v>
      </x:c>
      <x:c r="AU1" s="4" t="str">
        <x:v>КОНСОЛИДИРОВАННЫЙ ДЕНЕЖНЫЙ ПОТОК</x:v>
      </x:c>
      <x:c r="AV1" s="4" t="str">
        <x:v>КОНСОЛИДИРОВАННЫЙ ДЕНЕЖНЫЙ ПОТОК</x:v>
      </x:c>
      <x:c r="AW1" s="4" t="str">
        <x:v>КОНСОЛИДИРОВАННЫЙ ДЕНЕЖНЫЙ ПОТОК</x:v>
      </x:c>
      <x:c r="AX1" s="4" t="str">
        <x:v>КОНСОЛИДИРОВАННЫЙ ДЕНЕЖНЫЙ ПОТОК</x:v>
      </x:c>
      <x:c r="AY1" s="4" t="str">
        <x:v>КОНСОЛИДИРОВАННЫЙ ДЕНЕЖНЫЙ ПОТОК</x:v>
      </x:c>
      <x:c r="AZ1" s="4" t="str">
        <x:v>КОНСОЛИДИРОВАННЫЙ ДЕНЕЖНЫЙ ПОТОК</x:v>
      </x:c>
      <x:c r="BA1" s="4" t="str">
        <x:v>КОНСОЛИДИРОВАННЫЙ ДЕНЕЖНЫЙ ПОТОК</x:v>
      </x:c>
      <x:c r="BB1" s="4" t="str">
        <x:v>КОНСОЛИДИРОВАННЫЙ ДЕНЕЖНЫЙ ПОТОК</x:v>
      </x:c>
      <x:c r="BC1" s="4" t="str">
        <x:v>КОНСОЛИДИРОВАННЫЙ ДЕНЕЖНЫЙ ПОТОК</x:v>
      </x:c>
      <x:c r="BD1" s="4" t="str">
        <x:v>КОНСОЛИДИРОВАННЫЙ ДЕНЕЖНЫЙ ПОТОК</x:v>
      </x:c>
      <x:c r="BE1" s="4" t="str">
        <x:v>КОНСОЛИДИРОВАННЫЙ ДЕНЕЖНЫЙ ПОТОК</x:v>
      </x:c>
      <x:c r="BF1" s="4" t="str">
        <x:v>КОНСОЛИДИРОВАННЫЙ ДЕНЕЖНЫЙ ПОТОК</x:v>
      </x:c>
      <x:c r="BG1" s="4" t="str">
        <x:v>КОНСОЛИДИРОВАННЫЙ ДЕНЕЖНЫЙ ПОТОК</x:v>
      </x:c>
      <x:c r="BH1" s="4" t="str">
        <x:v>КОНСОЛИДИРОВАННЫЙ ДЕНЕЖНЫЙ ПОТОК</x:v>
      </x:c>
      <x:c r="BI1" s="4" t="str">
        <x:v>КОНСОЛИДИРОВАННЫЙ ДЕНЕЖНЫЙ ПОТОК</x:v>
      </x:c>
      <x:c r="BJ1" s="4" t="str">
        <x:v>КОНСОЛИДИРОВАННЫЙ ДЕНЕЖНЫЙ ПОТОК</x:v>
      </x:c>
      <x:c r="BK1" s="4" t="str">
        <x:v>КОНСОЛИДИРОВАННЫЙ ДЕНЕЖНЫЙ ПОТОК</x:v>
      </x:c>
      <x:c r="BL1" s="4" t="str">
        <x:v>КОНСОЛИДИРОВАННЫЙ ДЕНЕЖНЫЙ ПОТОК</x:v>
      </x:c>
      <x:c r="BM1" s="4" t="str">
        <x:v>КОНСОЛИДИРОВАННЫЙ ДЕНЕЖНЫЙ ПОТОК</x:v>
      </x:c>
      <x:c r="BN1" s="4" t="str">
        <x:v>КОНСОЛИДИРОВАННЫЙ ДЕНЕЖНЫЙ ПОТОК</x:v>
      </x:c>
      <x:c r="BO1" s="4" t="str">
        <x:v>КОНСОЛИДИРОВАННЫЙ ДЕНЕЖНЫЙ ПОТОК</x:v>
      </x:c>
      <x:c r="BP1" s="4" t="str">
        <x:v>КОНСОЛИДИРОВАННЫЙ ДЕНЕЖНЫЙ ПОТОК</x:v>
      </x:c>
      <x:c r="BQ1" s="4" t="str">
        <x:v>КОНСОЛИДИРОВАННЫЙ ДЕНЕЖНЫЙ ПОТОК</x:v>
      </x:c>
      <x:c r="BR1" s="4" t="str">
        <x:v>КОНСОЛИДИРОВАННЫЙ ДЕНЕЖНЫЙ ПОТОК</x:v>
      </x:c>
      <x:c r="BS1" s="4" t="str">
        <x:v>КОНСОЛИДИРОВАННЫЙ ДЕНЕЖНЫЙ ПОТОК</x:v>
      </x:c>
      <x:c r="BT1" s="4" t="str">
        <x:v>КОНСОЛИДИРОВАННЫЙ ДЕНЕЖНЫЙ ПОТОК</x:v>
      </x:c>
      <x:c r="BU1" s="4" t="str">
        <x:v>КОНСОЛИДИРОВАННЫЙ ДЕНЕЖНЫЙ ПОТОК</x:v>
      </x:c>
      <x:c r="BV1" s="4" t="str">
        <x:v>КОНСОЛИДИРОВАННЫЙ ДЕНЕЖНЫЙ ПОТОК</x:v>
      </x:c>
      <x:c r="BW1" s="4" t="str">
        <x:v>КОНСОЛИДИРОВАННЫЙ ДЕНЕЖНЫЙ ПОТОК</x:v>
      </x:c>
      <x:c r="BX1" s="4" t="str">
        <x:v>КОНСОЛИДИРОВАННЫЙ ДЕНЕЖНЫЙ ПОТОК</x:v>
      </x:c>
      <x:c r="BY1" s="4" t="str">
        <x:v>КОНСОЛИДИРОВАННЫЙ ДЕНЕЖНЫЙ ПОТОК</x:v>
      </x:c>
      <x:c r="BZ1" s="4" t="str">
        <x:v>КОНСОЛИДИРОВАННЫЙ ДЕНЕЖНЫЙ ПОТОК</x:v>
      </x:c>
      <x:c r="CA1" s="4" t="str">
        <x:v>КОНСОЛИДИРОВАННЫЙ ДЕНЕЖНЫЙ ПОТОК</x:v>
      </x:c>
      <x:c r="CB1" s="4" t="str">
        <x:v>КОНСОЛИДИРОВАННЫЙ ДЕНЕЖНЫЙ ПОТОК</x:v>
      </x:c>
      <x:c r="CC1" s="4" t="str">
        <x:v>КОНСОЛИДИРОВАННЫЙ ДЕНЕЖНЫЙ ПОТОК</x:v>
      </x:c>
      <x:c r="CD1" s="4" t="str">
        <x:v>КОНСОЛИДИРОВАННЫЙ ДЕНЕЖНЫЙ ПОТОК</x:v>
      </x:c>
      <x:c r="CE1" s="4" t="str">
        <x:v>КОНСОЛИДИРОВАННЫЙ ДЕНЕЖНЫЙ ПОТОК</x:v>
      </x:c>
      <x:c r="CF1" s="4" t="str">
        <x:v>КОНСОЛИДИРОВАННЫЙ ДЕНЕЖНЫЙ ПОТОК</x:v>
      </x:c>
      <x:c r="CG1" s="4" t="str">
        <x:v>КОНСОЛИДИРОВАННЫЙ ДЕНЕЖНЫЙ ПОТОК</x:v>
      </x:c>
      <x:c r="CH1" s="4" t="str">
        <x:v>КОНСОЛИДИРОВАННЫЙ ДЕНЕЖНЫЙ ПОТОК</x:v>
      </x:c>
      <x:c r="CI1" s="4" t="str">
        <x:v>КОНСОЛИДИРОВАННЫЙ ДЕНЕЖНЫЙ ПОТОК</x:v>
      </x:c>
      <x:c r="CJ1" s="4" t="str">
        <x:v>КОНСОЛИДИРОВАННЫЙ ДЕНЕЖНЫЙ ПОТОК</x:v>
      </x:c>
      <x:c r="CK1" s="4" t="str">
        <x:v>КОНСОЛИДИРОВАННЫЙ ДЕНЕЖНЫЙ ПОТОК</x:v>
      </x:c>
      <x:c r="CL1" s="4" t="str">
        <x:v>КОНСОЛИДИРОВАННЫЙ ДЕНЕЖНЫЙ ПОТОК</x:v>
      </x:c>
      <x:c r="CM1" s="4" t="str">
        <x:v>КОНСОЛИДИРОВАННЫЙ ДЕНЕЖНЫЙ ПОТОК</x:v>
      </x:c>
      <x:c r="CN1" s="4" t="str">
        <x:v>КОНСОЛИДИРОВАННЫЙ ДЕНЕЖНЫЙ ПОТОК</x:v>
      </x:c>
      <x:c r="CO1" s="4" t="str">
        <x:v>КОНСОЛИДИРОВАННЫЙ ДЕНЕЖНЫЙ ПОТОК</x:v>
      </x:c>
      <x:c r="CP1" s="4" t="str">
        <x:v>КОНСОЛИДИРОВАННЫЙ ДЕНЕЖНЫЙ ПОТОК</x:v>
      </x:c>
      <x:c r="CQ1" s="4" t="str">
        <x:v>КОНСОЛИДИРОВАННЫЙ ДЕНЕЖНЫЙ ПОТОК</x:v>
      </x:c>
      <x:c r="CR1" s="4" t="str">
        <x:v>КОНСОЛИДИРОВАННЫЙ ДЕНЕЖНЫЙ ПОТОК</x:v>
      </x:c>
      <x:c r="CS1" s="4" t="str">
        <x:v>КОНСОЛИДИРОВАННЫЙ ДЕНЕЖНЫЙ ПОТОК</x:v>
      </x:c>
      <x:c r="CT1" s="4" t="str">
        <x:v>КОНСОЛИДИРОВАННЫЙ ДЕНЕЖНЫЙ ПОТОК</x:v>
      </x:c>
      <x:c r="CU1" s="4" t="str">
        <x:v>КОНСОЛИДИРОВАННЫЙ ДЕНЕЖНЫЙ ПОТОК</x:v>
      </x:c>
      <x:c r="CV1" s="4" t="str">
        <x:v>КОНСОЛИДИРОВАННЫЙ ДЕНЕЖНЫЙ ПОТОК</x:v>
      </x:c>
      <x:c r="CW1" s="4" t="str">
        <x:v>КОНСОЛИДИРОВАННЫЙ ДЕНЕЖНЫЙ ПОТОК</x:v>
      </x:c>
      <x:c r="CX1" s="4" t="str">
        <x:v>КОНСОЛИДИРОВАННЫЙ ДЕНЕЖНЫЙ ПОТОК</x:v>
      </x:c>
      <x:c r="CY1" s="4" t="str">
        <x:v>КОНСОЛИДИРОВАННЫЙ ДЕНЕЖНЫЙ ПОТОК</x:v>
      </x:c>
      <x:c r="CZ1" s="4" t="str">
        <x:v>КОНСОЛИДИРОВАННЫЙ ДЕНЕЖНЫЙ ПОТОК</x:v>
      </x:c>
      <x:c r="DA1" s="4" t="str">
        <x:v>КОНСОЛИДИРОВАННЫЙ ДЕНЕЖНЫЙ ПОТОК</x:v>
      </x:c>
      <x:c r="DB1" s="4" t="str">
        <x:v>КОНСОЛИДИРОВАННЫЙ ДЕНЕЖНЫЙ ПОТОК</x:v>
      </x:c>
      <x:c r="DC1" s="4" t="str">
        <x:v>КОНСОЛИДИРОВАННЫЙ ДЕНЕЖНЫЙ ПОТОК</x:v>
      </x:c>
      <x:c r="DD1" s="4" t="str">
        <x:v>КОНСОЛИДИРОВАННЫЙ ДЕНЕЖНЫЙ ПОТОК</x:v>
      </x:c>
      <x:c r="DE1" s="4" t="str">
        <x:v>КОНСОЛИДИРОВАННЫЙ ДЕНЕЖНЫЙ ПОТОК</x:v>
      </x:c>
      <x:c r="DF1" s="4" t="str">
        <x:v>КОНСОЛИДИРОВАННЫЙ ДЕНЕЖНЫЙ ПОТОК</x:v>
      </x:c>
      <x:c r="DG1" s="4" t="str">
        <x:v>КОНСОЛИДИРОВАННЫЙ ДЕНЕЖНЫЙ ПОТОК</x:v>
      </x:c>
      <x:c r="DH1" s="4" t="str">
        <x:v>КОНСОЛИДИРОВАННЫЙ ДЕНЕЖНЫЙ ПОТОК</x:v>
      </x:c>
      <x:c r="DI1" s="4" t="str">
        <x:v>КОНСОЛИДИРОВАННЫЙ ДЕНЕЖНЫЙ ПОТОК</x:v>
      </x:c>
      <x:c r="DJ1" s="4" t="str">
        <x:v>КОНСОЛИДИРОВАННЫЙ ДЕНЕЖНЫЙ ПОТОК</x:v>
      </x:c>
      <x:c r="DK1" s="4" t="str">
        <x:v>КОНСОЛИДИРОВАННЫЙ ДЕНЕЖНЫЙ ПОТОК</x:v>
      </x:c>
      <x:c r="DL1" s="4" t="str">
        <x:v>КОНСОЛИДИРОВАННЫЙ ДЕНЕЖНЫЙ ПОТОК</x:v>
      </x:c>
      <x:c r="DM1" s="4" t="str">
        <x:v>КОНСОЛИДИРОВАННЫЙ ДЕНЕЖНЫЙ ПОТОК</x:v>
      </x:c>
      <x:c r="DN1" s="4" t="str">
        <x:v>КОНСОЛИДИРОВАННЫЙ ДЕНЕЖНЫЙ ПОТОК</x:v>
      </x:c>
      <x:c r="DO1" s="4" t="str">
        <x:v>КОНСОЛИДИРОВАННЫЙ ДЕНЕЖНЫЙ ПОТОК</x:v>
      </x:c>
      <x:c r="DP1" s="4" t="str">
        <x:v>КОНСОЛИДИРОВАННЫЙ ДЕНЕЖНЫЙ ПОТОК</x:v>
      </x:c>
      <x:c r="DQ1" s="4" t="str">
        <x:v>КОНСОЛИДИРОВАННЫЙ ДЕНЕЖНЫЙ ПОТОК</x:v>
      </x:c>
      <x:c r="DR1" s="4" t="str">
        <x:v>КОНСОЛИДИРОВАННЫЙ ДЕНЕЖНЫЙ ПОТОК</x:v>
      </x:c>
      <x:c r="DS1" s="4" t="str">
        <x:v>КОНСОЛИДИРОВАННЫЙ ДЕНЕЖНЫЙ ПОТОК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Продажи по договорам</x:v>
      </x:c>
      <x:c r="B6" t="n">
        <x:f>SUM(D6:DS6)</x:f>
      </x:c>
      <x:c r="C6" t="str">
        <x:v>млн ₽</x:v>
      </x:c>
      <x:c r="D6" s="117" t="n">
        <x:f>SUM('CF_1'!D10,'CF_2'!D10,'CF_3'!D10,'CF_4'!D10)</x:f>
      </x:c>
      <x:c r="E6" s="117" t="n">
        <x:f>SUM('CF_1'!E10,'CF_2'!E10,'CF_3'!E10,'CF_4'!E10)</x:f>
      </x:c>
      <x:c r="F6" s="117" t="n">
        <x:f>SUM('CF_1'!F10,'CF_2'!F10,'CF_3'!F10,'CF_4'!F10)</x:f>
      </x:c>
      <x:c r="G6" s="117" t="n">
        <x:f>SUM('CF_1'!G10,'CF_2'!G10,'CF_3'!G10,'CF_4'!G10)</x:f>
      </x:c>
      <x:c r="H6" s="117" t="n">
        <x:f>SUM('CF_1'!H10,'CF_2'!H10,'CF_3'!H10,'CF_4'!H10)</x:f>
      </x:c>
      <x:c r="I6" s="117" t="n">
        <x:f>SUM('CF_1'!I10,'CF_2'!I10,'CF_3'!I10,'CF_4'!I10)</x:f>
      </x:c>
      <x:c r="J6" s="117" t="n">
        <x:f>SUM('CF_1'!J10,'CF_2'!J10,'CF_3'!J10,'CF_4'!J10)</x:f>
      </x:c>
      <x:c r="K6" s="117" t="n">
        <x:f>SUM('CF_1'!K10,'CF_2'!K10,'CF_3'!K10,'CF_4'!K10)</x:f>
      </x:c>
      <x:c r="L6" s="117" t="n">
        <x:f>SUM('CF_1'!L10,'CF_2'!L10,'CF_3'!L10,'CF_4'!L10)</x:f>
      </x:c>
      <x:c r="M6" s="117" t="n">
        <x:f>SUM('CF_1'!M10,'CF_2'!M10,'CF_3'!M10,'CF_4'!M10)</x:f>
      </x:c>
      <x:c r="N6" s="117" t="n">
        <x:f>SUM('CF_1'!N10,'CF_2'!N10,'CF_3'!N10,'CF_4'!N10)</x:f>
      </x:c>
      <x:c r="O6" s="117" t="n">
        <x:f>SUM('CF_1'!O10,'CF_2'!O10,'CF_3'!O10,'CF_4'!O10)</x:f>
      </x:c>
      <x:c r="P6" s="117" t="n">
        <x:f>SUM('CF_1'!P10,'CF_2'!P10,'CF_3'!P10,'CF_4'!P10)</x:f>
      </x:c>
      <x:c r="Q6" s="117" t="n">
        <x:f>SUM('CF_1'!Q10,'CF_2'!Q10,'CF_3'!Q10,'CF_4'!Q10)</x:f>
      </x:c>
      <x:c r="R6" s="117" t="n">
        <x:f>SUM('CF_1'!R10,'CF_2'!R10,'CF_3'!R10,'CF_4'!R10)</x:f>
      </x:c>
      <x:c r="S6" s="117" t="n">
        <x:f>SUM('CF_1'!S10,'CF_2'!S10,'CF_3'!S10,'CF_4'!S10)</x:f>
      </x:c>
      <x:c r="T6" s="117" t="n">
        <x:f>SUM('CF_1'!T10,'CF_2'!T10,'CF_3'!T10,'CF_4'!T10)</x:f>
      </x:c>
      <x:c r="U6" s="117" t="n">
        <x:f>SUM('CF_1'!U10,'CF_2'!U10,'CF_3'!U10,'CF_4'!U10)</x:f>
      </x:c>
      <x:c r="V6" s="117" t="n">
        <x:f>SUM('CF_1'!V10,'CF_2'!V10,'CF_3'!V10,'CF_4'!V10)</x:f>
      </x:c>
      <x:c r="W6" s="117" t="n">
        <x:f>SUM('CF_1'!W10,'CF_2'!W10,'CF_3'!W10,'CF_4'!W10)</x:f>
      </x:c>
      <x:c r="X6" s="117" t="n">
        <x:f>SUM('CF_1'!X10,'CF_2'!X10,'CF_3'!X10,'CF_4'!X10)</x:f>
      </x:c>
      <x:c r="Y6" s="117" t="n">
        <x:f>SUM('CF_1'!Y10,'CF_2'!Y10,'CF_3'!Y10,'CF_4'!Y10)</x:f>
      </x:c>
      <x:c r="Z6" s="117" t="n">
        <x:f>SUM('CF_1'!Z10,'CF_2'!Z10,'CF_3'!Z10,'CF_4'!Z10)</x:f>
      </x:c>
      <x:c r="AA6" s="117" t="n">
        <x:f>SUM('CF_1'!AA10,'CF_2'!AA10,'CF_3'!AA10,'CF_4'!AA10)</x:f>
      </x:c>
      <x:c r="AB6" s="117" t="n">
        <x:f>SUM('CF_1'!AB10,'CF_2'!AB10,'CF_3'!AB10,'CF_4'!AB10)</x:f>
      </x:c>
      <x:c r="AC6" s="117" t="n">
        <x:f>SUM('CF_1'!AC10,'CF_2'!AC10,'CF_3'!AC10,'CF_4'!AC10)</x:f>
      </x:c>
      <x:c r="AD6" s="117" t="n">
        <x:f>SUM('CF_1'!AD10,'CF_2'!AD10,'CF_3'!AD10,'CF_4'!AD10)</x:f>
      </x:c>
      <x:c r="AE6" s="117" t="n">
        <x:f>SUM('CF_1'!AE10,'CF_2'!AE10,'CF_3'!AE10,'CF_4'!AE10)</x:f>
      </x:c>
      <x:c r="AF6" s="117" t="n">
        <x:f>SUM('CF_1'!AF10,'CF_2'!AF10,'CF_3'!AF10,'CF_4'!AF10)</x:f>
      </x:c>
      <x:c r="AG6" s="117" t="n">
        <x:f>SUM('CF_1'!AG10,'CF_2'!AG10,'CF_3'!AG10,'CF_4'!AG10)</x:f>
      </x:c>
      <x:c r="AH6" s="117" t="n">
        <x:f>SUM('CF_1'!AH10,'CF_2'!AH10,'CF_3'!AH10,'CF_4'!AH10)</x:f>
      </x:c>
      <x:c r="AI6" s="117" t="n">
        <x:f>SUM('CF_1'!AI10,'CF_2'!AI10,'CF_3'!AI10,'CF_4'!AI10)</x:f>
      </x:c>
      <x:c r="AJ6" s="117" t="n">
        <x:f>SUM('CF_1'!AJ10,'CF_2'!AJ10,'CF_3'!AJ10,'CF_4'!AJ10)</x:f>
      </x:c>
      <x:c r="AK6" s="117" t="n">
        <x:f>SUM('CF_1'!AK10,'CF_2'!AK10,'CF_3'!AK10,'CF_4'!AK10)</x:f>
      </x:c>
      <x:c r="AL6" s="117" t="n">
        <x:f>SUM('CF_1'!AL10,'CF_2'!AL10,'CF_3'!AL10,'CF_4'!AL10)</x:f>
      </x:c>
      <x:c r="AM6" s="117" t="n">
        <x:f>SUM('CF_1'!AM10,'CF_2'!AM10,'CF_3'!AM10,'CF_4'!AM10)</x:f>
      </x:c>
      <x:c r="AN6" s="117" t="n">
        <x:f>SUM('CF_1'!AN10,'CF_2'!AN10,'CF_3'!AN10,'CF_4'!AN10)</x:f>
      </x:c>
      <x:c r="AO6" s="117" t="n">
        <x:f>SUM('CF_1'!AO10,'CF_2'!AO10,'CF_3'!AO10,'CF_4'!AO10)</x:f>
      </x:c>
      <x:c r="AP6" s="117" t="n">
        <x:f>SUM('CF_1'!AP10,'CF_2'!AP10,'CF_3'!AP10,'CF_4'!AP10)</x:f>
      </x:c>
      <x:c r="AQ6" s="117" t="n">
        <x:f>SUM('CF_1'!AQ10,'CF_2'!AQ10,'CF_3'!AQ10,'CF_4'!AQ10)</x:f>
      </x:c>
      <x:c r="AR6" s="117" t="n">
        <x:f>SUM('CF_1'!AR10,'CF_2'!AR10,'CF_3'!AR10,'CF_4'!AR10)</x:f>
      </x:c>
      <x:c r="AS6" s="117" t="n">
        <x:f>SUM('CF_1'!AS10,'CF_2'!AS10,'CF_3'!AS10,'CF_4'!AS10)</x:f>
      </x:c>
      <x:c r="AT6" s="117" t="n">
        <x:f>SUM('CF_1'!AT10,'CF_2'!AT10,'CF_3'!AT10,'CF_4'!AT10)</x:f>
      </x:c>
      <x:c r="AU6" s="117" t="n">
        <x:f>SUM('CF_1'!AU10,'CF_2'!AU10,'CF_3'!AU10,'CF_4'!AU10)</x:f>
      </x:c>
      <x:c r="AV6" s="117" t="n">
        <x:f>SUM('CF_1'!AV10,'CF_2'!AV10,'CF_3'!AV10,'CF_4'!AV10)</x:f>
      </x:c>
      <x:c r="AW6" s="117" t="n">
        <x:f>SUM('CF_1'!AW10,'CF_2'!AW10,'CF_3'!AW10,'CF_4'!AW10)</x:f>
      </x:c>
      <x:c r="AX6" s="117" t="n">
        <x:f>SUM('CF_1'!AX10,'CF_2'!AX10,'CF_3'!AX10,'CF_4'!AX10)</x:f>
      </x:c>
      <x:c r="AY6" s="117" t="n">
        <x:f>SUM('CF_1'!AY10,'CF_2'!AY10,'CF_3'!AY10,'CF_4'!AY10)</x:f>
      </x:c>
      <x:c r="AZ6" s="117" t="n">
        <x:f>SUM('CF_1'!AZ10,'CF_2'!AZ10,'CF_3'!AZ10,'CF_4'!AZ10)</x:f>
      </x:c>
      <x:c r="BA6" s="117" t="n">
        <x:f>SUM('CF_1'!BA10,'CF_2'!BA10,'CF_3'!BA10,'CF_4'!BA10)</x:f>
      </x:c>
      <x:c r="BB6" s="117" t="n">
        <x:f>SUM('CF_1'!BB10,'CF_2'!BB10,'CF_3'!BB10,'CF_4'!BB10)</x:f>
      </x:c>
      <x:c r="BC6" s="117" t="n">
        <x:f>SUM('CF_1'!BC10,'CF_2'!BC10,'CF_3'!BC10,'CF_4'!BC10)</x:f>
      </x:c>
      <x:c r="BD6" s="117" t="n">
        <x:f>SUM('CF_1'!BD10,'CF_2'!BD10,'CF_3'!BD10,'CF_4'!BD10)</x:f>
      </x:c>
      <x:c r="BE6" s="117" t="n">
        <x:f>SUM('CF_1'!BE10,'CF_2'!BE10,'CF_3'!BE10,'CF_4'!BE10)</x:f>
      </x:c>
      <x:c r="BF6" s="117" t="n">
        <x:f>SUM('CF_1'!BF10,'CF_2'!BF10,'CF_3'!BF10,'CF_4'!BF10)</x:f>
      </x:c>
      <x:c r="BG6" s="117" t="n">
        <x:f>SUM('CF_1'!BG10,'CF_2'!BG10,'CF_3'!BG10,'CF_4'!BG10)</x:f>
      </x:c>
      <x:c r="BH6" s="117" t="n">
        <x:f>SUM('CF_1'!BH10,'CF_2'!BH10,'CF_3'!BH10,'CF_4'!BH10)</x:f>
      </x:c>
      <x:c r="BI6" s="117" t="n">
        <x:f>SUM('CF_1'!BI10,'CF_2'!BI10,'CF_3'!BI10,'CF_4'!BI10)</x:f>
      </x:c>
      <x:c r="BJ6" s="117" t="n">
        <x:f>SUM('CF_1'!BJ10,'CF_2'!BJ10,'CF_3'!BJ10,'CF_4'!BJ10)</x:f>
      </x:c>
      <x:c r="BK6" s="117" t="n">
        <x:f>SUM('CF_1'!BK10,'CF_2'!BK10,'CF_3'!BK10,'CF_4'!BK10)</x:f>
      </x:c>
      <x:c r="BL6" s="117" t="n">
        <x:f>SUM('CF_1'!BL10,'CF_2'!BL10,'CF_3'!BL10,'CF_4'!BL10)</x:f>
      </x:c>
      <x:c r="BM6" s="117" t="n">
        <x:f>SUM('CF_1'!BM10,'CF_2'!BM10,'CF_3'!BM10,'CF_4'!BM10)</x:f>
      </x:c>
      <x:c r="BN6" s="117" t="n">
        <x:f>SUM('CF_1'!BN10,'CF_2'!BN10,'CF_3'!BN10,'CF_4'!BN10)</x:f>
      </x:c>
      <x:c r="BO6" s="117" t="n">
        <x:f>SUM('CF_1'!BO10,'CF_2'!BO10,'CF_3'!BO10,'CF_4'!BO10)</x:f>
      </x:c>
      <x:c r="BP6" s="117" t="n">
        <x:f>SUM('CF_1'!BP10,'CF_2'!BP10,'CF_3'!BP10,'CF_4'!BP10)</x:f>
      </x:c>
      <x:c r="BQ6" s="117" t="n">
        <x:f>SUM('CF_1'!BQ10,'CF_2'!BQ10,'CF_3'!BQ10,'CF_4'!BQ10)</x:f>
      </x:c>
      <x:c r="BR6" s="117" t="n">
        <x:f>SUM('CF_1'!BR10,'CF_2'!BR10,'CF_3'!BR10,'CF_4'!BR10)</x:f>
      </x:c>
      <x:c r="BS6" s="117" t="n">
        <x:f>SUM('CF_1'!BS10,'CF_2'!BS10,'CF_3'!BS10,'CF_4'!BS10)</x:f>
      </x:c>
      <x:c r="BT6" s="117" t="n">
        <x:f>SUM('CF_1'!BT10,'CF_2'!BT10,'CF_3'!BT10,'CF_4'!BT10)</x:f>
      </x:c>
      <x:c r="BU6" s="117" t="n">
        <x:f>SUM('CF_1'!BU10,'CF_2'!BU10,'CF_3'!BU10,'CF_4'!BU10)</x:f>
      </x:c>
      <x:c r="BV6" s="117" t="n">
        <x:f>SUM('CF_1'!BV10,'CF_2'!BV10,'CF_3'!BV10,'CF_4'!BV10)</x:f>
      </x:c>
      <x:c r="BW6" s="117" t="n">
        <x:f>SUM('CF_1'!BW10,'CF_2'!BW10,'CF_3'!BW10,'CF_4'!BW10)</x:f>
      </x:c>
      <x:c r="BX6" s="117" t="n">
        <x:f>SUM('CF_1'!BX10,'CF_2'!BX10,'CF_3'!BX10,'CF_4'!BX10)</x:f>
      </x:c>
      <x:c r="BY6" s="117" t="n">
        <x:f>SUM('CF_1'!BY10,'CF_2'!BY10,'CF_3'!BY10,'CF_4'!BY10)</x:f>
      </x:c>
      <x:c r="BZ6" s="117" t="n">
        <x:f>SUM('CF_1'!BZ10,'CF_2'!BZ10,'CF_3'!BZ10,'CF_4'!BZ10)</x:f>
      </x:c>
      <x:c r="CA6" s="117" t="n">
        <x:f>SUM('CF_1'!CA10,'CF_2'!CA10,'CF_3'!CA10,'CF_4'!CA10)</x:f>
      </x:c>
      <x:c r="CB6" s="117" t="n">
        <x:f>SUM('CF_1'!CB10,'CF_2'!CB10,'CF_3'!CB10,'CF_4'!CB10)</x:f>
      </x:c>
      <x:c r="CC6" s="117" t="n">
        <x:f>SUM('CF_1'!CC10,'CF_2'!CC10,'CF_3'!CC10,'CF_4'!CC10)</x:f>
      </x:c>
      <x:c r="CD6" s="117" t="n">
        <x:f>SUM('CF_1'!CD10,'CF_2'!CD10,'CF_3'!CD10,'CF_4'!CD10)</x:f>
      </x:c>
      <x:c r="CE6" s="117" t="n">
        <x:f>SUM('CF_1'!CE10,'CF_2'!CE10,'CF_3'!CE10,'CF_4'!CE10)</x:f>
      </x:c>
      <x:c r="CF6" s="117" t="n">
        <x:f>SUM('CF_1'!CF10,'CF_2'!CF10,'CF_3'!CF10,'CF_4'!CF10)</x:f>
      </x:c>
      <x:c r="CG6" s="117" t="n">
        <x:f>SUM('CF_1'!CG10,'CF_2'!CG10,'CF_3'!CG10,'CF_4'!CG10)</x:f>
      </x:c>
      <x:c r="CH6" s="117" t="n">
        <x:f>SUM('CF_1'!CH10,'CF_2'!CH10,'CF_3'!CH10,'CF_4'!CH10)</x:f>
      </x:c>
      <x:c r="CI6" s="117" t="n">
        <x:f>SUM('CF_1'!CI10,'CF_2'!CI10,'CF_3'!CI10,'CF_4'!CI10)</x:f>
      </x:c>
      <x:c r="CJ6" s="117" t="n">
        <x:f>SUM('CF_1'!CJ10,'CF_2'!CJ10,'CF_3'!CJ10,'CF_4'!CJ10)</x:f>
      </x:c>
      <x:c r="CK6" s="117" t="n">
        <x:f>SUM('CF_1'!CK10,'CF_2'!CK10,'CF_3'!CK10,'CF_4'!CK10)</x:f>
      </x:c>
      <x:c r="CL6" s="117" t="n">
        <x:f>SUM('CF_1'!CL10,'CF_2'!CL10,'CF_3'!CL10,'CF_4'!CL10)</x:f>
      </x:c>
      <x:c r="CM6" s="117" t="n">
        <x:f>SUM('CF_1'!CM10,'CF_2'!CM10,'CF_3'!CM10,'CF_4'!CM10)</x:f>
      </x:c>
      <x:c r="CN6" s="117" t="n">
        <x:f>SUM('CF_1'!CN10,'CF_2'!CN10,'CF_3'!CN10,'CF_4'!CN10)</x:f>
      </x:c>
      <x:c r="CO6" s="117" t="n">
        <x:f>SUM('CF_1'!CO10,'CF_2'!CO10,'CF_3'!CO10,'CF_4'!CO10)</x:f>
      </x:c>
      <x:c r="CP6" s="117" t="n">
        <x:f>SUM('CF_1'!CP10,'CF_2'!CP10,'CF_3'!CP10,'CF_4'!CP10)</x:f>
      </x:c>
      <x:c r="CQ6" s="117" t="n">
        <x:f>SUM('CF_1'!CQ10,'CF_2'!CQ10,'CF_3'!CQ10,'CF_4'!CQ10)</x:f>
      </x:c>
      <x:c r="CR6" s="117" t="n">
        <x:f>SUM('CF_1'!CR10,'CF_2'!CR10,'CF_3'!CR10,'CF_4'!CR10)</x:f>
      </x:c>
      <x:c r="CS6" s="117" t="n">
        <x:f>SUM('CF_1'!CS10,'CF_2'!CS10,'CF_3'!CS10,'CF_4'!CS10)</x:f>
      </x:c>
      <x:c r="CT6" s="117" t="n">
        <x:f>SUM('CF_1'!CT10,'CF_2'!CT10,'CF_3'!CT10,'CF_4'!CT10)</x:f>
      </x:c>
      <x:c r="CU6" s="117" t="n">
        <x:f>SUM('CF_1'!CU10,'CF_2'!CU10,'CF_3'!CU10,'CF_4'!CU10)</x:f>
      </x:c>
      <x:c r="CV6" s="117" t="n">
        <x:f>SUM('CF_1'!CV10,'CF_2'!CV10,'CF_3'!CV10,'CF_4'!CV10)</x:f>
      </x:c>
      <x:c r="CW6" s="117" t="n">
        <x:f>SUM('CF_1'!CW10,'CF_2'!CW10,'CF_3'!CW10,'CF_4'!CW10)</x:f>
      </x:c>
      <x:c r="CX6" s="117" t="n">
        <x:f>SUM('CF_1'!CX10,'CF_2'!CX10,'CF_3'!CX10,'CF_4'!CX10)</x:f>
      </x:c>
      <x:c r="CY6" s="117" t="n">
        <x:f>SUM('CF_1'!CY10,'CF_2'!CY10,'CF_3'!CY10,'CF_4'!CY10)</x:f>
      </x:c>
      <x:c r="CZ6" s="117" t="n">
        <x:f>SUM('CF_1'!CZ10,'CF_2'!CZ10,'CF_3'!CZ10,'CF_4'!CZ10)</x:f>
      </x:c>
      <x:c r="DA6" s="117" t="n">
        <x:f>SUM('CF_1'!DA10,'CF_2'!DA10,'CF_3'!DA10,'CF_4'!DA10)</x:f>
      </x:c>
      <x:c r="DB6" s="117" t="n">
        <x:f>SUM('CF_1'!DB10,'CF_2'!DB10,'CF_3'!DB10,'CF_4'!DB10)</x:f>
      </x:c>
      <x:c r="DC6" s="117" t="n">
        <x:f>SUM('CF_1'!DC10,'CF_2'!DC10,'CF_3'!DC10,'CF_4'!DC10)</x:f>
      </x:c>
      <x:c r="DD6" s="117" t="n">
        <x:f>SUM('CF_1'!DD10,'CF_2'!DD10,'CF_3'!DD10,'CF_4'!DD10)</x:f>
      </x:c>
      <x:c r="DE6" s="117" t="n">
        <x:f>SUM('CF_1'!DE10,'CF_2'!DE10,'CF_3'!DE10,'CF_4'!DE10)</x:f>
      </x:c>
      <x:c r="DF6" s="117" t="n">
        <x:f>SUM('CF_1'!DF10,'CF_2'!DF10,'CF_3'!DF10,'CF_4'!DF10)</x:f>
      </x:c>
      <x:c r="DG6" s="117" t="n">
        <x:f>SUM('CF_1'!DG10,'CF_2'!DG10,'CF_3'!DG10,'CF_4'!DG10)</x:f>
      </x:c>
      <x:c r="DH6" s="117" t="n">
        <x:f>SUM('CF_1'!DH10,'CF_2'!DH10,'CF_3'!DH10,'CF_4'!DH10)</x:f>
      </x:c>
      <x:c r="DI6" s="117" t="n">
        <x:f>SUM('CF_1'!DI10,'CF_2'!DI10,'CF_3'!DI10,'CF_4'!DI10)</x:f>
      </x:c>
      <x:c r="DJ6" s="117" t="n">
        <x:f>SUM('CF_1'!DJ10,'CF_2'!DJ10,'CF_3'!DJ10,'CF_4'!DJ10)</x:f>
      </x:c>
      <x:c r="DK6" s="117" t="n">
        <x:f>SUM('CF_1'!DK10,'CF_2'!DK10,'CF_3'!DK10,'CF_4'!DK10)</x:f>
      </x:c>
      <x:c r="DL6" s="117" t="n">
        <x:f>SUM('CF_1'!DL10,'CF_2'!DL10,'CF_3'!DL10,'CF_4'!DL10)</x:f>
      </x:c>
      <x:c r="DM6" s="117" t="n">
        <x:f>SUM('CF_1'!DM10,'CF_2'!DM10,'CF_3'!DM10,'CF_4'!DM10)</x:f>
      </x:c>
      <x:c r="DN6" s="117" t="n">
        <x:f>SUM('CF_1'!DN10,'CF_2'!DN10,'CF_3'!DN10,'CF_4'!DN10)</x:f>
      </x:c>
      <x:c r="DO6" s="117" t="n">
        <x:f>SUM('CF_1'!DO10,'CF_2'!DO10,'CF_3'!DO10,'CF_4'!DO10)</x:f>
      </x:c>
      <x:c r="DP6" s="117" t="n">
        <x:f>SUM('CF_1'!DP10,'CF_2'!DP10,'CF_3'!DP10,'CF_4'!DP10)</x:f>
      </x:c>
      <x:c r="DQ6" s="117" t="n">
        <x:f>SUM('CF_1'!DQ10,'CF_2'!DQ10,'CF_3'!DQ10,'CF_4'!DQ10)</x:f>
      </x:c>
      <x:c r="DR6" s="117" t="n">
        <x:f>SUM('CF_1'!DR10,'CF_2'!DR10,'CF_3'!DR10,'CF_4'!DR10)</x:f>
      </x:c>
      <x:c r="DS6" s="117" t="n">
        <x:f>SUM('CF_1'!DS10,'CF_2'!DS10,'CF_3'!DS10,'CF_4'!DS10)</x:f>
      </x:c>
    </x:row>
    <x:row r="7">
      <x:c r="A7" t="str">
        <x:v>Поступления на эскроу</x:v>
      </x:c>
      <x:c r="B7" t="n">
        <x:f>SUM(D7:DS7)</x:f>
      </x:c>
      <x:c r="C7" t="str">
        <x:v>млн ₽</x:v>
      </x:c>
      <x:c r="D7" s="117" t="n">
        <x:f>SUM('CF_1'!D11,'CF_2'!D11,'CF_3'!D11,'CF_4'!D11)</x:f>
      </x:c>
      <x:c r="E7" s="117" t="n">
        <x:f>SUM('CF_1'!E11,'CF_2'!E11,'CF_3'!E11,'CF_4'!E11)</x:f>
      </x:c>
      <x:c r="F7" s="117" t="n">
        <x:f>SUM('CF_1'!F11,'CF_2'!F11,'CF_3'!F11,'CF_4'!F11)</x:f>
      </x:c>
      <x:c r="G7" s="117" t="n">
        <x:f>SUM('CF_1'!G11,'CF_2'!G11,'CF_3'!G11,'CF_4'!G11)</x:f>
      </x:c>
      <x:c r="H7" s="117" t="n">
        <x:f>SUM('CF_1'!H11,'CF_2'!H11,'CF_3'!H11,'CF_4'!H11)</x:f>
      </x:c>
      <x:c r="I7" s="117" t="n">
        <x:f>SUM('CF_1'!I11,'CF_2'!I11,'CF_3'!I11,'CF_4'!I11)</x:f>
      </x:c>
      <x:c r="J7" s="117" t="n">
        <x:f>SUM('CF_1'!J11,'CF_2'!J11,'CF_3'!J11,'CF_4'!J11)</x:f>
      </x:c>
      <x:c r="K7" s="117" t="n">
        <x:f>SUM('CF_1'!K11,'CF_2'!K11,'CF_3'!K11,'CF_4'!K11)</x:f>
      </x:c>
      <x:c r="L7" s="117" t="n">
        <x:f>SUM('CF_1'!L11,'CF_2'!L11,'CF_3'!L11,'CF_4'!L11)</x:f>
      </x:c>
      <x:c r="M7" s="117" t="n">
        <x:f>SUM('CF_1'!M11,'CF_2'!M11,'CF_3'!M11,'CF_4'!M11)</x:f>
      </x:c>
      <x:c r="N7" s="117" t="n">
        <x:f>SUM('CF_1'!N11,'CF_2'!N11,'CF_3'!N11,'CF_4'!N11)</x:f>
      </x:c>
      <x:c r="O7" s="117" t="n">
        <x:f>SUM('CF_1'!O11,'CF_2'!O11,'CF_3'!O11,'CF_4'!O11)</x:f>
      </x:c>
      <x:c r="P7" s="117" t="n">
        <x:f>SUM('CF_1'!P11,'CF_2'!P11,'CF_3'!P11,'CF_4'!P11)</x:f>
      </x:c>
      <x:c r="Q7" s="117" t="n">
        <x:f>SUM('CF_1'!Q11,'CF_2'!Q11,'CF_3'!Q11,'CF_4'!Q11)</x:f>
      </x:c>
      <x:c r="R7" s="117" t="n">
        <x:f>SUM('CF_1'!R11,'CF_2'!R11,'CF_3'!R11,'CF_4'!R11)</x:f>
      </x:c>
      <x:c r="S7" s="117" t="n">
        <x:f>SUM('CF_1'!S11,'CF_2'!S11,'CF_3'!S11,'CF_4'!S11)</x:f>
      </x:c>
      <x:c r="T7" s="117" t="n">
        <x:f>SUM('CF_1'!T11,'CF_2'!T11,'CF_3'!T11,'CF_4'!T11)</x:f>
      </x:c>
      <x:c r="U7" s="117" t="n">
        <x:f>SUM('CF_1'!U11,'CF_2'!U11,'CF_3'!U11,'CF_4'!U11)</x:f>
      </x:c>
      <x:c r="V7" s="117" t="n">
        <x:f>SUM('CF_1'!V11,'CF_2'!V11,'CF_3'!V11,'CF_4'!V11)</x:f>
      </x:c>
      <x:c r="W7" s="117" t="n">
        <x:f>SUM('CF_1'!W11,'CF_2'!W11,'CF_3'!W11,'CF_4'!W11)</x:f>
      </x:c>
      <x:c r="X7" s="117" t="n">
        <x:f>SUM('CF_1'!X11,'CF_2'!X11,'CF_3'!X11,'CF_4'!X11)</x:f>
      </x:c>
      <x:c r="Y7" s="117" t="n">
        <x:f>SUM('CF_1'!Y11,'CF_2'!Y11,'CF_3'!Y11,'CF_4'!Y11)</x:f>
      </x:c>
      <x:c r="Z7" s="117" t="n">
        <x:f>SUM('CF_1'!Z11,'CF_2'!Z11,'CF_3'!Z11,'CF_4'!Z11)</x:f>
      </x:c>
      <x:c r="AA7" s="117" t="n">
        <x:f>SUM('CF_1'!AA11,'CF_2'!AA11,'CF_3'!AA11,'CF_4'!AA11)</x:f>
      </x:c>
      <x:c r="AB7" s="117" t="n">
        <x:f>SUM('CF_1'!AB11,'CF_2'!AB11,'CF_3'!AB11,'CF_4'!AB11)</x:f>
      </x:c>
      <x:c r="AC7" s="117" t="n">
        <x:f>SUM('CF_1'!AC11,'CF_2'!AC11,'CF_3'!AC11,'CF_4'!AC11)</x:f>
      </x:c>
      <x:c r="AD7" s="117" t="n">
        <x:f>SUM('CF_1'!AD11,'CF_2'!AD11,'CF_3'!AD11,'CF_4'!AD11)</x:f>
      </x:c>
      <x:c r="AE7" s="117" t="n">
        <x:f>SUM('CF_1'!AE11,'CF_2'!AE11,'CF_3'!AE11,'CF_4'!AE11)</x:f>
      </x:c>
      <x:c r="AF7" s="117" t="n">
        <x:f>SUM('CF_1'!AF11,'CF_2'!AF11,'CF_3'!AF11,'CF_4'!AF11)</x:f>
      </x:c>
      <x:c r="AG7" s="117" t="n">
        <x:f>SUM('CF_1'!AG11,'CF_2'!AG11,'CF_3'!AG11,'CF_4'!AG11)</x:f>
      </x:c>
      <x:c r="AH7" s="117" t="n">
        <x:f>SUM('CF_1'!AH11,'CF_2'!AH11,'CF_3'!AH11,'CF_4'!AH11)</x:f>
      </x:c>
      <x:c r="AI7" s="117" t="n">
        <x:f>SUM('CF_1'!AI11,'CF_2'!AI11,'CF_3'!AI11,'CF_4'!AI11)</x:f>
      </x:c>
      <x:c r="AJ7" s="117" t="n">
        <x:f>SUM('CF_1'!AJ11,'CF_2'!AJ11,'CF_3'!AJ11,'CF_4'!AJ11)</x:f>
      </x:c>
      <x:c r="AK7" s="117" t="n">
        <x:f>SUM('CF_1'!AK11,'CF_2'!AK11,'CF_3'!AK11,'CF_4'!AK11)</x:f>
      </x:c>
      <x:c r="AL7" s="117" t="n">
        <x:f>SUM('CF_1'!AL11,'CF_2'!AL11,'CF_3'!AL11,'CF_4'!AL11)</x:f>
      </x:c>
      <x:c r="AM7" s="117" t="n">
        <x:f>SUM('CF_1'!AM11,'CF_2'!AM11,'CF_3'!AM11,'CF_4'!AM11)</x:f>
      </x:c>
      <x:c r="AN7" s="117" t="n">
        <x:f>SUM('CF_1'!AN11,'CF_2'!AN11,'CF_3'!AN11,'CF_4'!AN11)</x:f>
      </x:c>
      <x:c r="AO7" s="117" t="n">
        <x:f>SUM('CF_1'!AO11,'CF_2'!AO11,'CF_3'!AO11,'CF_4'!AO11)</x:f>
      </x:c>
      <x:c r="AP7" s="117" t="n">
        <x:f>SUM('CF_1'!AP11,'CF_2'!AP11,'CF_3'!AP11,'CF_4'!AP11)</x:f>
      </x:c>
      <x:c r="AQ7" s="117" t="n">
        <x:f>SUM('CF_1'!AQ11,'CF_2'!AQ11,'CF_3'!AQ11,'CF_4'!AQ11)</x:f>
      </x:c>
      <x:c r="AR7" s="117" t="n">
        <x:f>SUM('CF_1'!AR11,'CF_2'!AR11,'CF_3'!AR11,'CF_4'!AR11)</x:f>
      </x:c>
      <x:c r="AS7" s="117" t="n">
        <x:f>SUM('CF_1'!AS11,'CF_2'!AS11,'CF_3'!AS11,'CF_4'!AS11)</x:f>
      </x:c>
      <x:c r="AT7" s="117" t="n">
        <x:f>SUM('CF_1'!AT11,'CF_2'!AT11,'CF_3'!AT11,'CF_4'!AT11)</x:f>
      </x:c>
      <x:c r="AU7" s="117" t="n">
        <x:f>SUM('CF_1'!AU11,'CF_2'!AU11,'CF_3'!AU11,'CF_4'!AU11)</x:f>
      </x:c>
      <x:c r="AV7" s="117" t="n">
        <x:f>SUM('CF_1'!AV11,'CF_2'!AV11,'CF_3'!AV11,'CF_4'!AV11)</x:f>
      </x:c>
      <x:c r="AW7" s="117" t="n">
        <x:f>SUM('CF_1'!AW11,'CF_2'!AW11,'CF_3'!AW11,'CF_4'!AW11)</x:f>
      </x:c>
      <x:c r="AX7" s="117" t="n">
        <x:f>SUM('CF_1'!AX11,'CF_2'!AX11,'CF_3'!AX11,'CF_4'!AX11)</x:f>
      </x:c>
      <x:c r="AY7" s="117" t="n">
        <x:f>SUM('CF_1'!AY11,'CF_2'!AY11,'CF_3'!AY11,'CF_4'!AY11)</x:f>
      </x:c>
      <x:c r="AZ7" s="117" t="n">
        <x:f>SUM('CF_1'!AZ11,'CF_2'!AZ11,'CF_3'!AZ11,'CF_4'!AZ11)</x:f>
      </x:c>
      <x:c r="BA7" s="117" t="n">
        <x:f>SUM('CF_1'!BA11,'CF_2'!BA11,'CF_3'!BA11,'CF_4'!BA11)</x:f>
      </x:c>
      <x:c r="BB7" s="117" t="n">
        <x:f>SUM('CF_1'!BB11,'CF_2'!BB11,'CF_3'!BB11,'CF_4'!BB11)</x:f>
      </x:c>
      <x:c r="BC7" s="117" t="n">
        <x:f>SUM('CF_1'!BC11,'CF_2'!BC11,'CF_3'!BC11,'CF_4'!BC11)</x:f>
      </x:c>
      <x:c r="BD7" s="117" t="n">
        <x:f>SUM('CF_1'!BD11,'CF_2'!BD11,'CF_3'!BD11,'CF_4'!BD11)</x:f>
      </x:c>
      <x:c r="BE7" s="117" t="n">
        <x:f>SUM('CF_1'!BE11,'CF_2'!BE11,'CF_3'!BE11,'CF_4'!BE11)</x:f>
      </x:c>
      <x:c r="BF7" s="117" t="n">
        <x:f>SUM('CF_1'!BF11,'CF_2'!BF11,'CF_3'!BF11,'CF_4'!BF11)</x:f>
      </x:c>
      <x:c r="BG7" s="117" t="n">
        <x:f>SUM('CF_1'!BG11,'CF_2'!BG11,'CF_3'!BG11,'CF_4'!BG11)</x:f>
      </x:c>
      <x:c r="BH7" s="117" t="n">
        <x:f>SUM('CF_1'!BH11,'CF_2'!BH11,'CF_3'!BH11,'CF_4'!BH11)</x:f>
      </x:c>
      <x:c r="BI7" s="117" t="n">
        <x:f>SUM('CF_1'!BI11,'CF_2'!BI11,'CF_3'!BI11,'CF_4'!BI11)</x:f>
      </x:c>
      <x:c r="BJ7" s="117" t="n">
        <x:f>SUM('CF_1'!BJ11,'CF_2'!BJ11,'CF_3'!BJ11,'CF_4'!BJ11)</x:f>
      </x:c>
      <x:c r="BK7" s="117" t="n">
        <x:f>SUM('CF_1'!BK11,'CF_2'!BK11,'CF_3'!BK11,'CF_4'!BK11)</x:f>
      </x:c>
      <x:c r="BL7" s="117" t="n">
        <x:f>SUM('CF_1'!BL11,'CF_2'!BL11,'CF_3'!BL11,'CF_4'!BL11)</x:f>
      </x:c>
      <x:c r="BM7" s="117" t="n">
        <x:f>SUM('CF_1'!BM11,'CF_2'!BM11,'CF_3'!BM11,'CF_4'!BM11)</x:f>
      </x:c>
      <x:c r="BN7" s="117" t="n">
        <x:f>SUM('CF_1'!BN11,'CF_2'!BN11,'CF_3'!BN11,'CF_4'!BN11)</x:f>
      </x:c>
      <x:c r="BO7" s="117" t="n">
        <x:f>SUM('CF_1'!BO11,'CF_2'!BO11,'CF_3'!BO11,'CF_4'!BO11)</x:f>
      </x:c>
      <x:c r="BP7" s="117" t="n">
        <x:f>SUM('CF_1'!BP11,'CF_2'!BP11,'CF_3'!BP11,'CF_4'!BP11)</x:f>
      </x:c>
      <x:c r="BQ7" s="117" t="n">
        <x:f>SUM('CF_1'!BQ11,'CF_2'!BQ11,'CF_3'!BQ11,'CF_4'!BQ11)</x:f>
      </x:c>
      <x:c r="BR7" s="117" t="n">
        <x:f>SUM('CF_1'!BR11,'CF_2'!BR11,'CF_3'!BR11,'CF_4'!BR11)</x:f>
      </x:c>
      <x:c r="BS7" s="117" t="n">
        <x:f>SUM('CF_1'!BS11,'CF_2'!BS11,'CF_3'!BS11,'CF_4'!BS11)</x:f>
      </x:c>
      <x:c r="BT7" s="117" t="n">
        <x:f>SUM('CF_1'!BT11,'CF_2'!BT11,'CF_3'!BT11,'CF_4'!BT11)</x:f>
      </x:c>
      <x:c r="BU7" s="117" t="n">
        <x:f>SUM('CF_1'!BU11,'CF_2'!BU11,'CF_3'!BU11,'CF_4'!BU11)</x:f>
      </x:c>
      <x:c r="BV7" s="117" t="n">
        <x:f>SUM('CF_1'!BV11,'CF_2'!BV11,'CF_3'!BV11,'CF_4'!BV11)</x:f>
      </x:c>
      <x:c r="BW7" s="117" t="n">
        <x:f>SUM('CF_1'!BW11,'CF_2'!BW11,'CF_3'!BW11,'CF_4'!BW11)</x:f>
      </x:c>
      <x:c r="BX7" s="117" t="n">
        <x:f>SUM('CF_1'!BX11,'CF_2'!BX11,'CF_3'!BX11,'CF_4'!BX11)</x:f>
      </x:c>
      <x:c r="BY7" s="117" t="n">
        <x:f>SUM('CF_1'!BY11,'CF_2'!BY11,'CF_3'!BY11,'CF_4'!BY11)</x:f>
      </x:c>
      <x:c r="BZ7" s="117" t="n">
        <x:f>SUM('CF_1'!BZ11,'CF_2'!BZ11,'CF_3'!BZ11,'CF_4'!BZ11)</x:f>
      </x:c>
      <x:c r="CA7" s="117" t="n">
        <x:f>SUM('CF_1'!CA11,'CF_2'!CA11,'CF_3'!CA11,'CF_4'!CA11)</x:f>
      </x:c>
      <x:c r="CB7" s="117" t="n">
        <x:f>SUM('CF_1'!CB11,'CF_2'!CB11,'CF_3'!CB11,'CF_4'!CB11)</x:f>
      </x:c>
      <x:c r="CC7" s="117" t="n">
        <x:f>SUM('CF_1'!CC11,'CF_2'!CC11,'CF_3'!CC11,'CF_4'!CC11)</x:f>
      </x:c>
      <x:c r="CD7" s="117" t="n">
        <x:f>SUM('CF_1'!CD11,'CF_2'!CD11,'CF_3'!CD11,'CF_4'!CD11)</x:f>
      </x:c>
      <x:c r="CE7" s="117" t="n">
        <x:f>SUM('CF_1'!CE11,'CF_2'!CE11,'CF_3'!CE11,'CF_4'!CE11)</x:f>
      </x:c>
      <x:c r="CF7" s="117" t="n">
        <x:f>SUM('CF_1'!CF11,'CF_2'!CF11,'CF_3'!CF11,'CF_4'!CF11)</x:f>
      </x:c>
      <x:c r="CG7" s="117" t="n">
        <x:f>SUM('CF_1'!CG11,'CF_2'!CG11,'CF_3'!CG11,'CF_4'!CG11)</x:f>
      </x:c>
      <x:c r="CH7" s="117" t="n">
        <x:f>SUM('CF_1'!CH11,'CF_2'!CH11,'CF_3'!CH11,'CF_4'!CH11)</x:f>
      </x:c>
      <x:c r="CI7" s="117" t="n">
        <x:f>SUM('CF_1'!CI11,'CF_2'!CI11,'CF_3'!CI11,'CF_4'!CI11)</x:f>
      </x:c>
      <x:c r="CJ7" s="117" t="n">
        <x:f>SUM('CF_1'!CJ11,'CF_2'!CJ11,'CF_3'!CJ11,'CF_4'!CJ11)</x:f>
      </x:c>
      <x:c r="CK7" s="117" t="n">
        <x:f>SUM('CF_1'!CK11,'CF_2'!CK11,'CF_3'!CK11,'CF_4'!CK11)</x:f>
      </x:c>
      <x:c r="CL7" s="117" t="n">
        <x:f>SUM('CF_1'!CL11,'CF_2'!CL11,'CF_3'!CL11,'CF_4'!CL11)</x:f>
      </x:c>
      <x:c r="CM7" s="117" t="n">
        <x:f>SUM('CF_1'!CM11,'CF_2'!CM11,'CF_3'!CM11,'CF_4'!CM11)</x:f>
      </x:c>
      <x:c r="CN7" s="117" t="n">
        <x:f>SUM('CF_1'!CN11,'CF_2'!CN11,'CF_3'!CN11,'CF_4'!CN11)</x:f>
      </x:c>
      <x:c r="CO7" s="117" t="n">
        <x:f>SUM('CF_1'!CO11,'CF_2'!CO11,'CF_3'!CO11,'CF_4'!CO11)</x:f>
      </x:c>
      <x:c r="CP7" s="117" t="n">
        <x:f>SUM('CF_1'!CP11,'CF_2'!CP11,'CF_3'!CP11,'CF_4'!CP11)</x:f>
      </x:c>
      <x:c r="CQ7" s="117" t="n">
        <x:f>SUM('CF_1'!CQ11,'CF_2'!CQ11,'CF_3'!CQ11,'CF_4'!CQ11)</x:f>
      </x:c>
      <x:c r="CR7" s="117" t="n">
        <x:f>SUM('CF_1'!CR11,'CF_2'!CR11,'CF_3'!CR11,'CF_4'!CR11)</x:f>
      </x:c>
      <x:c r="CS7" s="117" t="n">
        <x:f>SUM('CF_1'!CS11,'CF_2'!CS11,'CF_3'!CS11,'CF_4'!CS11)</x:f>
      </x:c>
      <x:c r="CT7" s="117" t="n">
        <x:f>SUM('CF_1'!CT11,'CF_2'!CT11,'CF_3'!CT11,'CF_4'!CT11)</x:f>
      </x:c>
      <x:c r="CU7" s="117" t="n">
        <x:f>SUM('CF_1'!CU11,'CF_2'!CU11,'CF_3'!CU11,'CF_4'!CU11)</x:f>
      </x:c>
      <x:c r="CV7" s="117" t="n">
        <x:f>SUM('CF_1'!CV11,'CF_2'!CV11,'CF_3'!CV11,'CF_4'!CV11)</x:f>
      </x:c>
      <x:c r="CW7" s="117" t="n">
        <x:f>SUM('CF_1'!CW11,'CF_2'!CW11,'CF_3'!CW11,'CF_4'!CW11)</x:f>
      </x:c>
      <x:c r="CX7" s="117" t="n">
        <x:f>SUM('CF_1'!CX11,'CF_2'!CX11,'CF_3'!CX11,'CF_4'!CX11)</x:f>
      </x:c>
      <x:c r="CY7" s="117" t="n">
        <x:f>SUM('CF_1'!CY11,'CF_2'!CY11,'CF_3'!CY11,'CF_4'!CY11)</x:f>
      </x:c>
      <x:c r="CZ7" s="117" t="n">
        <x:f>SUM('CF_1'!CZ11,'CF_2'!CZ11,'CF_3'!CZ11,'CF_4'!CZ11)</x:f>
      </x:c>
      <x:c r="DA7" s="117" t="n">
        <x:f>SUM('CF_1'!DA11,'CF_2'!DA11,'CF_3'!DA11,'CF_4'!DA11)</x:f>
      </x:c>
      <x:c r="DB7" s="117" t="n">
        <x:f>SUM('CF_1'!DB11,'CF_2'!DB11,'CF_3'!DB11,'CF_4'!DB11)</x:f>
      </x:c>
      <x:c r="DC7" s="117" t="n">
        <x:f>SUM('CF_1'!DC11,'CF_2'!DC11,'CF_3'!DC11,'CF_4'!DC11)</x:f>
      </x:c>
      <x:c r="DD7" s="117" t="n">
        <x:f>SUM('CF_1'!DD11,'CF_2'!DD11,'CF_3'!DD11,'CF_4'!DD11)</x:f>
      </x:c>
      <x:c r="DE7" s="117" t="n">
        <x:f>SUM('CF_1'!DE11,'CF_2'!DE11,'CF_3'!DE11,'CF_4'!DE11)</x:f>
      </x:c>
      <x:c r="DF7" s="117" t="n">
        <x:f>SUM('CF_1'!DF11,'CF_2'!DF11,'CF_3'!DF11,'CF_4'!DF11)</x:f>
      </x:c>
      <x:c r="DG7" s="117" t="n">
        <x:f>SUM('CF_1'!DG11,'CF_2'!DG11,'CF_3'!DG11,'CF_4'!DG11)</x:f>
      </x:c>
      <x:c r="DH7" s="117" t="n">
        <x:f>SUM('CF_1'!DH11,'CF_2'!DH11,'CF_3'!DH11,'CF_4'!DH11)</x:f>
      </x:c>
      <x:c r="DI7" s="117" t="n">
        <x:f>SUM('CF_1'!DI11,'CF_2'!DI11,'CF_3'!DI11,'CF_4'!DI11)</x:f>
      </x:c>
      <x:c r="DJ7" s="117" t="n">
        <x:f>SUM('CF_1'!DJ11,'CF_2'!DJ11,'CF_3'!DJ11,'CF_4'!DJ11)</x:f>
      </x:c>
      <x:c r="DK7" s="117" t="n">
        <x:f>SUM('CF_1'!DK11,'CF_2'!DK11,'CF_3'!DK11,'CF_4'!DK11)</x:f>
      </x:c>
      <x:c r="DL7" s="117" t="n">
        <x:f>SUM('CF_1'!DL11,'CF_2'!DL11,'CF_3'!DL11,'CF_4'!DL11)</x:f>
      </x:c>
      <x:c r="DM7" s="117" t="n">
        <x:f>SUM('CF_1'!DM11,'CF_2'!DM11,'CF_3'!DM11,'CF_4'!DM11)</x:f>
      </x:c>
      <x:c r="DN7" s="117" t="n">
        <x:f>SUM('CF_1'!DN11,'CF_2'!DN11,'CF_3'!DN11,'CF_4'!DN11)</x:f>
      </x:c>
      <x:c r="DO7" s="117" t="n">
        <x:f>SUM('CF_1'!DO11,'CF_2'!DO11,'CF_3'!DO11,'CF_4'!DO11)</x:f>
      </x:c>
      <x:c r="DP7" s="117" t="n">
        <x:f>SUM('CF_1'!DP11,'CF_2'!DP11,'CF_3'!DP11,'CF_4'!DP11)</x:f>
      </x:c>
      <x:c r="DQ7" s="117" t="n">
        <x:f>SUM('CF_1'!DQ11,'CF_2'!DQ11,'CF_3'!DQ11,'CF_4'!DQ11)</x:f>
      </x:c>
      <x:c r="DR7" s="117" t="n">
        <x:f>SUM('CF_1'!DR11,'CF_2'!DR11,'CF_3'!DR11,'CF_4'!DR11)</x:f>
      </x:c>
      <x:c r="DS7" s="117" t="n">
        <x:f>SUM('CF_1'!DS11,'CF_2'!DS11,'CF_3'!DS11,'CF_4'!DS11)</x:f>
      </x:c>
    </x:row>
    <x:row r="8">
      <x:c r="A8" t="str">
        <x:v>Раскрытие эскроу</x:v>
      </x:c>
      <x:c r="B8" t="n">
        <x:f>SUM(D8:DS8)</x:f>
      </x:c>
      <x:c r="C8" t="str">
        <x:v>млн ₽</x:v>
      </x:c>
      <x:c r="D8" s="117" t="n">
        <x:f>SUM('CF_1'!D14,'CF_2'!D14,'CF_3'!D14,'CF_4'!D14)</x:f>
      </x:c>
      <x:c r="E8" s="117" t="n">
        <x:f>SUM('CF_1'!E14,'CF_2'!E14,'CF_3'!E14,'CF_4'!E14)</x:f>
      </x:c>
      <x:c r="F8" s="117" t="n">
        <x:f>SUM('CF_1'!F14,'CF_2'!F14,'CF_3'!F14,'CF_4'!F14)</x:f>
      </x:c>
      <x:c r="G8" s="117" t="n">
        <x:f>SUM('CF_1'!G14,'CF_2'!G14,'CF_3'!G14,'CF_4'!G14)</x:f>
      </x:c>
      <x:c r="H8" s="117" t="n">
        <x:f>SUM('CF_1'!H14,'CF_2'!H14,'CF_3'!H14,'CF_4'!H14)</x:f>
      </x:c>
      <x:c r="I8" s="117" t="n">
        <x:f>SUM('CF_1'!I14,'CF_2'!I14,'CF_3'!I14,'CF_4'!I14)</x:f>
      </x:c>
      <x:c r="J8" s="117" t="n">
        <x:f>SUM('CF_1'!J14,'CF_2'!J14,'CF_3'!J14,'CF_4'!J14)</x:f>
      </x:c>
      <x:c r="K8" s="117" t="n">
        <x:f>SUM('CF_1'!K14,'CF_2'!K14,'CF_3'!K14,'CF_4'!K14)</x:f>
      </x:c>
      <x:c r="L8" s="117" t="n">
        <x:f>SUM('CF_1'!L14,'CF_2'!L14,'CF_3'!L14,'CF_4'!L14)</x:f>
      </x:c>
      <x:c r="M8" s="117" t="n">
        <x:f>SUM('CF_1'!M14,'CF_2'!M14,'CF_3'!M14,'CF_4'!M14)</x:f>
      </x:c>
      <x:c r="N8" s="117" t="n">
        <x:f>SUM('CF_1'!N14,'CF_2'!N14,'CF_3'!N14,'CF_4'!N14)</x:f>
      </x:c>
      <x:c r="O8" s="117" t="n">
        <x:f>SUM('CF_1'!O14,'CF_2'!O14,'CF_3'!O14,'CF_4'!O14)</x:f>
      </x:c>
      <x:c r="P8" s="117" t="n">
        <x:f>SUM('CF_1'!P14,'CF_2'!P14,'CF_3'!P14,'CF_4'!P14)</x:f>
      </x:c>
      <x:c r="Q8" s="117" t="n">
        <x:f>SUM('CF_1'!Q14,'CF_2'!Q14,'CF_3'!Q14,'CF_4'!Q14)</x:f>
      </x:c>
      <x:c r="R8" s="117" t="n">
        <x:f>SUM('CF_1'!R14,'CF_2'!R14,'CF_3'!R14,'CF_4'!R14)</x:f>
      </x:c>
      <x:c r="S8" s="117" t="n">
        <x:f>SUM('CF_1'!S14,'CF_2'!S14,'CF_3'!S14,'CF_4'!S14)</x:f>
      </x:c>
      <x:c r="T8" s="117" t="n">
        <x:f>SUM('CF_1'!T14,'CF_2'!T14,'CF_3'!T14,'CF_4'!T14)</x:f>
      </x:c>
      <x:c r="U8" s="117" t="n">
        <x:f>SUM('CF_1'!U14,'CF_2'!U14,'CF_3'!U14,'CF_4'!U14)</x:f>
      </x:c>
      <x:c r="V8" s="117" t="n">
        <x:f>SUM('CF_1'!V14,'CF_2'!V14,'CF_3'!V14,'CF_4'!V14)</x:f>
      </x:c>
      <x:c r="W8" s="117" t="n">
        <x:f>SUM('CF_1'!W14,'CF_2'!W14,'CF_3'!W14,'CF_4'!W14)</x:f>
      </x:c>
      <x:c r="X8" s="117" t="n">
        <x:f>SUM('CF_1'!X14,'CF_2'!X14,'CF_3'!X14,'CF_4'!X14)</x:f>
      </x:c>
      <x:c r="Y8" s="117" t="n">
        <x:f>SUM('CF_1'!Y14,'CF_2'!Y14,'CF_3'!Y14,'CF_4'!Y14)</x:f>
      </x:c>
      <x:c r="Z8" s="117" t="n">
        <x:f>SUM('CF_1'!Z14,'CF_2'!Z14,'CF_3'!Z14,'CF_4'!Z14)</x:f>
      </x:c>
      <x:c r="AA8" s="117" t="n">
        <x:f>SUM('CF_1'!AA14,'CF_2'!AA14,'CF_3'!AA14,'CF_4'!AA14)</x:f>
      </x:c>
      <x:c r="AB8" s="117" t="n">
        <x:f>SUM('CF_1'!AB14,'CF_2'!AB14,'CF_3'!AB14,'CF_4'!AB14)</x:f>
      </x:c>
      <x:c r="AC8" s="117" t="n">
        <x:f>SUM('CF_1'!AC14,'CF_2'!AC14,'CF_3'!AC14,'CF_4'!AC14)</x:f>
      </x:c>
      <x:c r="AD8" s="117" t="n">
        <x:f>SUM('CF_1'!AD14,'CF_2'!AD14,'CF_3'!AD14,'CF_4'!AD14)</x:f>
      </x:c>
      <x:c r="AE8" s="117" t="n">
        <x:f>SUM('CF_1'!AE14,'CF_2'!AE14,'CF_3'!AE14,'CF_4'!AE14)</x:f>
      </x:c>
      <x:c r="AF8" s="117" t="n">
        <x:f>SUM('CF_1'!AF14,'CF_2'!AF14,'CF_3'!AF14,'CF_4'!AF14)</x:f>
      </x:c>
      <x:c r="AG8" s="117" t="n">
        <x:f>SUM('CF_1'!AG14,'CF_2'!AG14,'CF_3'!AG14,'CF_4'!AG14)</x:f>
      </x:c>
      <x:c r="AH8" s="117" t="n">
        <x:f>SUM('CF_1'!AH14,'CF_2'!AH14,'CF_3'!AH14,'CF_4'!AH14)</x:f>
      </x:c>
      <x:c r="AI8" s="117" t="n">
        <x:f>SUM('CF_1'!AI14,'CF_2'!AI14,'CF_3'!AI14,'CF_4'!AI14)</x:f>
      </x:c>
      <x:c r="AJ8" s="117" t="n">
        <x:f>SUM('CF_1'!AJ14,'CF_2'!AJ14,'CF_3'!AJ14,'CF_4'!AJ14)</x:f>
      </x:c>
      <x:c r="AK8" s="117" t="n">
        <x:f>SUM('CF_1'!AK14,'CF_2'!AK14,'CF_3'!AK14,'CF_4'!AK14)</x:f>
      </x:c>
      <x:c r="AL8" s="117" t="n">
        <x:f>SUM('CF_1'!AL14,'CF_2'!AL14,'CF_3'!AL14,'CF_4'!AL14)</x:f>
      </x:c>
      <x:c r="AM8" s="117" t="n">
        <x:f>SUM('CF_1'!AM14,'CF_2'!AM14,'CF_3'!AM14,'CF_4'!AM14)</x:f>
      </x:c>
      <x:c r="AN8" s="117" t="n">
        <x:f>SUM('CF_1'!AN14,'CF_2'!AN14,'CF_3'!AN14,'CF_4'!AN14)</x:f>
      </x:c>
      <x:c r="AO8" s="117" t="n">
        <x:f>SUM('CF_1'!AO14,'CF_2'!AO14,'CF_3'!AO14,'CF_4'!AO14)</x:f>
      </x:c>
      <x:c r="AP8" s="117" t="n">
        <x:f>SUM('CF_1'!AP14,'CF_2'!AP14,'CF_3'!AP14,'CF_4'!AP14)</x:f>
      </x:c>
      <x:c r="AQ8" s="117" t="n">
        <x:f>SUM('CF_1'!AQ14,'CF_2'!AQ14,'CF_3'!AQ14,'CF_4'!AQ14)</x:f>
      </x:c>
      <x:c r="AR8" s="117" t="n">
        <x:f>SUM('CF_1'!AR14,'CF_2'!AR14,'CF_3'!AR14,'CF_4'!AR14)</x:f>
      </x:c>
      <x:c r="AS8" s="117" t="n">
        <x:f>SUM('CF_1'!AS14,'CF_2'!AS14,'CF_3'!AS14,'CF_4'!AS14)</x:f>
      </x:c>
      <x:c r="AT8" s="117" t="n">
        <x:f>SUM('CF_1'!AT14,'CF_2'!AT14,'CF_3'!AT14,'CF_4'!AT14)</x:f>
      </x:c>
      <x:c r="AU8" s="117" t="n">
        <x:f>SUM('CF_1'!AU14,'CF_2'!AU14,'CF_3'!AU14,'CF_4'!AU14)</x:f>
      </x:c>
      <x:c r="AV8" s="117" t="n">
        <x:f>SUM('CF_1'!AV14,'CF_2'!AV14,'CF_3'!AV14,'CF_4'!AV14)</x:f>
      </x:c>
      <x:c r="AW8" s="117" t="n">
        <x:f>SUM('CF_1'!AW14,'CF_2'!AW14,'CF_3'!AW14,'CF_4'!AW14)</x:f>
      </x:c>
      <x:c r="AX8" s="117" t="n">
        <x:f>SUM('CF_1'!AX14,'CF_2'!AX14,'CF_3'!AX14,'CF_4'!AX14)</x:f>
      </x:c>
      <x:c r="AY8" s="117" t="n">
        <x:f>SUM('CF_1'!AY14,'CF_2'!AY14,'CF_3'!AY14,'CF_4'!AY14)</x:f>
      </x:c>
      <x:c r="AZ8" s="117" t="n">
        <x:f>SUM('CF_1'!AZ14,'CF_2'!AZ14,'CF_3'!AZ14,'CF_4'!AZ14)</x:f>
      </x:c>
      <x:c r="BA8" s="117" t="n">
        <x:f>SUM('CF_1'!BA14,'CF_2'!BA14,'CF_3'!BA14,'CF_4'!BA14)</x:f>
      </x:c>
      <x:c r="BB8" s="117" t="n">
        <x:f>SUM('CF_1'!BB14,'CF_2'!BB14,'CF_3'!BB14,'CF_4'!BB14)</x:f>
      </x:c>
      <x:c r="BC8" s="117" t="n">
        <x:f>SUM('CF_1'!BC14,'CF_2'!BC14,'CF_3'!BC14,'CF_4'!BC14)</x:f>
      </x:c>
      <x:c r="BD8" s="117" t="n">
        <x:f>SUM('CF_1'!BD14,'CF_2'!BD14,'CF_3'!BD14,'CF_4'!BD14)</x:f>
      </x:c>
      <x:c r="BE8" s="117" t="n">
        <x:f>SUM('CF_1'!BE14,'CF_2'!BE14,'CF_3'!BE14,'CF_4'!BE14)</x:f>
      </x:c>
      <x:c r="BF8" s="117" t="n">
        <x:f>SUM('CF_1'!BF14,'CF_2'!BF14,'CF_3'!BF14,'CF_4'!BF14)</x:f>
      </x:c>
      <x:c r="BG8" s="117" t="n">
        <x:f>SUM('CF_1'!BG14,'CF_2'!BG14,'CF_3'!BG14,'CF_4'!BG14)</x:f>
      </x:c>
      <x:c r="BH8" s="117" t="n">
        <x:f>SUM('CF_1'!BH14,'CF_2'!BH14,'CF_3'!BH14,'CF_4'!BH14)</x:f>
      </x:c>
      <x:c r="BI8" s="117" t="n">
        <x:f>SUM('CF_1'!BI14,'CF_2'!BI14,'CF_3'!BI14,'CF_4'!BI14)</x:f>
      </x:c>
      <x:c r="BJ8" s="117" t="n">
        <x:f>SUM('CF_1'!BJ14,'CF_2'!BJ14,'CF_3'!BJ14,'CF_4'!BJ14)</x:f>
      </x:c>
      <x:c r="BK8" s="117" t="n">
        <x:f>SUM('CF_1'!BK14,'CF_2'!BK14,'CF_3'!BK14,'CF_4'!BK14)</x:f>
      </x:c>
      <x:c r="BL8" s="117" t="n">
        <x:f>SUM('CF_1'!BL14,'CF_2'!BL14,'CF_3'!BL14,'CF_4'!BL14)</x:f>
      </x:c>
      <x:c r="BM8" s="117" t="n">
        <x:f>SUM('CF_1'!BM14,'CF_2'!BM14,'CF_3'!BM14,'CF_4'!BM14)</x:f>
      </x:c>
      <x:c r="BN8" s="117" t="n">
        <x:f>SUM('CF_1'!BN14,'CF_2'!BN14,'CF_3'!BN14,'CF_4'!BN14)</x:f>
      </x:c>
      <x:c r="BO8" s="117" t="n">
        <x:f>SUM('CF_1'!BO14,'CF_2'!BO14,'CF_3'!BO14,'CF_4'!BO14)</x:f>
      </x:c>
      <x:c r="BP8" s="117" t="n">
        <x:f>SUM('CF_1'!BP14,'CF_2'!BP14,'CF_3'!BP14,'CF_4'!BP14)</x:f>
      </x:c>
      <x:c r="BQ8" s="117" t="n">
        <x:f>SUM('CF_1'!BQ14,'CF_2'!BQ14,'CF_3'!BQ14,'CF_4'!BQ14)</x:f>
      </x:c>
      <x:c r="BR8" s="117" t="n">
        <x:f>SUM('CF_1'!BR14,'CF_2'!BR14,'CF_3'!BR14,'CF_4'!BR14)</x:f>
      </x:c>
      <x:c r="BS8" s="117" t="n">
        <x:f>SUM('CF_1'!BS14,'CF_2'!BS14,'CF_3'!BS14,'CF_4'!BS14)</x:f>
      </x:c>
      <x:c r="BT8" s="117" t="n">
        <x:f>SUM('CF_1'!BT14,'CF_2'!BT14,'CF_3'!BT14,'CF_4'!BT14)</x:f>
      </x:c>
      <x:c r="BU8" s="117" t="n">
        <x:f>SUM('CF_1'!BU14,'CF_2'!BU14,'CF_3'!BU14,'CF_4'!BU14)</x:f>
      </x:c>
      <x:c r="BV8" s="117" t="n">
        <x:f>SUM('CF_1'!BV14,'CF_2'!BV14,'CF_3'!BV14,'CF_4'!BV14)</x:f>
      </x:c>
      <x:c r="BW8" s="117" t="n">
        <x:f>SUM('CF_1'!BW14,'CF_2'!BW14,'CF_3'!BW14,'CF_4'!BW14)</x:f>
      </x:c>
      <x:c r="BX8" s="117" t="n">
        <x:f>SUM('CF_1'!BX14,'CF_2'!BX14,'CF_3'!BX14,'CF_4'!BX14)</x:f>
      </x:c>
      <x:c r="BY8" s="117" t="n">
        <x:f>SUM('CF_1'!BY14,'CF_2'!BY14,'CF_3'!BY14,'CF_4'!BY14)</x:f>
      </x:c>
      <x:c r="BZ8" s="117" t="n">
        <x:f>SUM('CF_1'!BZ14,'CF_2'!BZ14,'CF_3'!BZ14,'CF_4'!BZ14)</x:f>
      </x:c>
      <x:c r="CA8" s="117" t="n">
        <x:f>SUM('CF_1'!CA14,'CF_2'!CA14,'CF_3'!CA14,'CF_4'!CA14)</x:f>
      </x:c>
      <x:c r="CB8" s="117" t="n">
        <x:f>SUM('CF_1'!CB14,'CF_2'!CB14,'CF_3'!CB14,'CF_4'!CB14)</x:f>
      </x:c>
      <x:c r="CC8" s="117" t="n">
        <x:f>SUM('CF_1'!CC14,'CF_2'!CC14,'CF_3'!CC14,'CF_4'!CC14)</x:f>
      </x:c>
      <x:c r="CD8" s="117" t="n">
        <x:f>SUM('CF_1'!CD14,'CF_2'!CD14,'CF_3'!CD14,'CF_4'!CD14)</x:f>
      </x:c>
      <x:c r="CE8" s="117" t="n">
        <x:f>SUM('CF_1'!CE14,'CF_2'!CE14,'CF_3'!CE14,'CF_4'!CE14)</x:f>
      </x:c>
      <x:c r="CF8" s="117" t="n">
        <x:f>SUM('CF_1'!CF14,'CF_2'!CF14,'CF_3'!CF14,'CF_4'!CF14)</x:f>
      </x:c>
      <x:c r="CG8" s="117" t="n">
        <x:f>SUM('CF_1'!CG14,'CF_2'!CG14,'CF_3'!CG14,'CF_4'!CG14)</x:f>
      </x:c>
      <x:c r="CH8" s="117" t="n">
        <x:f>SUM('CF_1'!CH14,'CF_2'!CH14,'CF_3'!CH14,'CF_4'!CH14)</x:f>
      </x:c>
      <x:c r="CI8" s="117" t="n">
        <x:f>SUM('CF_1'!CI14,'CF_2'!CI14,'CF_3'!CI14,'CF_4'!CI14)</x:f>
      </x:c>
      <x:c r="CJ8" s="117" t="n">
        <x:f>SUM('CF_1'!CJ14,'CF_2'!CJ14,'CF_3'!CJ14,'CF_4'!CJ14)</x:f>
      </x:c>
      <x:c r="CK8" s="117" t="n">
        <x:f>SUM('CF_1'!CK14,'CF_2'!CK14,'CF_3'!CK14,'CF_4'!CK14)</x:f>
      </x:c>
      <x:c r="CL8" s="117" t="n">
        <x:f>SUM('CF_1'!CL14,'CF_2'!CL14,'CF_3'!CL14,'CF_4'!CL14)</x:f>
      </x:c>
      <x:c r="CM8" s="117" t="n">
        <x:f>SUM('CF_1'!CM14,'CF_2'!CM14,'CF_3'!CM14,'CF_4'!CM14)</x:f>
      </x:c>
      <x:c r="CN8" s="117" t="n">
        <x:f>SUM('CF_1'!CN14,'CF_2'!CN14,'CF_3'!CN14,'CF_4'!CN14)</x:f>
      </x:c>
      <x:c r="CO8" s="117" t="n">
        <x:f>SUM('CF_1'!CO14,'CF_2'!CO14,'CF_3'!CO14,'CF_4'!CO14)</x:f>
      </x:c>
      <x:c r="CP8" s="117" t="n">
        <x:f>SUM('CF_1'!CP14,'CF_2'!CP14,'CF_3'!CP14,'CF_4'!CP14)</x:f>
      </x:c>
      <x:c r="CQ8" s="117" t="n">
        <x:f>SUM('CF_1'!CQ14,'CF_2'!CQ14,'CF_3'!CQ14,'CF_4'!CQ14)</x:f>
      </x:c>
      <x:c r="CR8" s="117" t="n">
        <x:f>SUM('CF_1'!CR14,'CF_2'!CR14,'CF_3'!CR14,'CF_4'!CR14)</x:f>
      </x:c>
      <x:c r="CS8" s="117" t="n">
        <x:f>SUM('CF_1'!CS14,'CF_2'!CS14,'CF_3'!CS14,'CF_4'!CS14)</x:f>
      </x:c>
      <x:c r="CT8" s="117" t="n">
        <x:f>SUM('CF_1'!CT14,'CF_2'!CT14,'CF_3'!CT14,'CF_4'!CT14)</x:f>
      </x:c>
      <x:c r="CU8" s="117" t="n">
        <x:f>SUM('CF_1'!CU14,'CF_2'!CU14,'CF_3'!CU14,'CF_4'!CU14)</x:f>
      </x:c>
      <x:c r="CV8" s="117" t="n">
        <x:f>SUM('CF_1'!CV14,'CF_2'!CV14,'CF_3'!CV14,'CF_4'!CV14)</x:f>
      </x:c>
      <x:c r="CW8" s="117" t="n">
        <x:f>SUM('CF_1'!CW14,'CF_2'!CW14,'CF_3'!CW14,'CF_4'!CW14)</x:f>
      </x:c>
      <x:c r="CX8" s="117" t="n">
        <x:f>SUM('CF_1'!CX14,'CF_2'!CX14,'CF_3'!CX14,'CF_4'!CX14)</x:f>
      </x:c>
      <x:c r="CY8" s="117" t="n">
        <x:f>SUM('CF_1'!CY14,'CF_2'!CY14,'CF_3'!CY14,'CF_4'!CY14)</x:f>
      </x:c>
      <x:c r="CZ8" s="117" t="n">
        <x:f>SUM('CF_1'!CZ14,'CF_2'!CZ14,'CF_3'!CZ14,'CF_4'!CZ14)</x:f>
      </x:c>
      <x:c r="DA8" s="117" t="n">
        <x:f>SUM('CF_1'!DA14,'CF_2'!DA14,'CF_3'!DA14,'CF_4'!DA14)</x:f>
      </x:c>
      <x:c r="DB8" s="117" t="n">
        <x:f>SUM('CF_1'!DB14,'CF_2'!DB14,'CF_3'!DB14,'CF_4'!DB14)</x:f>
      </x:c>
      <x:c r="DC8" s="117" t="n">
        <x:f>SUM('CF_1'!DC14,'CF_2'!DC14,'CF_3'!DC14,'CF_4'!DC14)</x:f>
      </x:c>
      <x:c r="DD8" s="117" t="n">
        <x:f>SUM('CF_1'!DD14,'CF_2'!DD14,'CF_3'!DD14,'CF_4'!DD14)</x:f>
      </x:c>
      <x:c r="DE8" s="117" t="n">
        <x:f>SUM('CF_1'!DE14,'CF_2'!DE14,'CF_3'!DE14,'CF_4'!DE14)</x:f>
      </x:c>
      <x:c r="DF8" s="117" t="n">
        <x:f>SUM('CF_1'!DF14,'CF_2'!DF14,'CF_3'!DF14,'CF_4'!DF14)</x:f>
      </x:c>
      <x:c r="DG8" s="117" t="n">
        <x:f>SUM('CF_1'!DG14,'CF_2'!DG14,'CF_3'!DG14,'CF_4'!DG14)</x:f>
      </x:c>
      <x:c r="DH8" s="117" t="n">
        <x:f>SUM('CF_1'!DH14,'CF_2'!DH14,'CF_3'!DH14,'CF_4'!DH14)</x:f>
      </x:c>
      <x:c r="DI8" s="117" t="n">
        <x:f>SUM('CF_1'!DI14,'CF_2'!DI14,'CF_3'!DI14,'CF_4'!DI14)</x:f>
      </x:c>
      <x:c r="DJ8" s="117" t="n">
        <x:f>SUM('CF_1'!DJ14,'CF_2'!DJ14,'CF_3'!DJ14,'CF_4'!DJ14)</x:f>
      </x:c>
      <x:c r="DK8" s="117" t="n">
        <x:f>SUM('CF_1'!DK14,'CF_2'!DK14,'CF_3'!DK14,'CF_4'!DK14)</x:f>
      </x:c>
      <x:c r="DL8" s="117" t="n">
        <x:f>SUM('CF_1'!DL14,'CF_2'!DL14,'CF_3'!DL14,'CF_4'!DL14)</x:f>
      </x:c>
      <x:c r="DM8" s="117" t="n">
        <x:f>SUM('CF_1'!DM14,'CF_2'!DM14,'CF_3'!DM14,'CF_4'!DM14)</x:f>
      </x:c>
      <x:c r="DN8" s="117" t="n">
        <x:f>SUM('CF_1'!DN14,'CF_2'!DN14,'CF_3'!DN14,'CF_4'!DN14)</x:f>
      </x:c>
      <x:c r="DO8" s="117" t="n">
        <x:f>SUM('CF_1'!DO14,'CF_2'!DO14,'CF_3'!DO14,'CF_4'!DO14)</x:f>
      </x:c>
      <x:c r="DP8" s="117" t="n">
        <x:f>SUM('CF_1'!DP14,'CF_2'!DP14,'CF_3'!DP14,'CF_4'!DP14)</x:f>
      </x:c>
      <x:c r="DQ8" s="117" t="n">
        <x:f>SUM('CF_1'!DQ14,'CF_2'!DQ14,'CF_3'!DQ14,'CF_4'!DQ14)</x:f>
      </x:c>
      <x:c r="DR8" s="117" t="n">
        <x:f>SUM('CF_1'!DR14,'CF_2'!DR14,'CF_3'!DR14,'CF_4'!DR14)</x:f>
      </x:c>
      <x:c r="DS8" s="117" t="n">
        <x:f>SUM('CF_1'!DS14,'CF_2'!DS14,'CF_3'!DS14,'CF_4'!DS14)</x:f>
      </x:c>
    </x:row>
    <x:row r="9">
      <x:c r="A9" t="str">
        <x:v>Эскроу на конец</x:v>
      </x:c>
      <x:c r="B9" t="n">
        <x:f>DS9</x:f>
      </x:c>
      <x:c r="C9" t="str">
        <x:v>млн ₽</x:v>
      </x:c>
      <x:c r="D9" s="117" t="n">
        <x:f>SUM('CF_1'!D15,'CF_2'!D15,'CF_3'!D15,'CF_4'!D15)</x:f>
      </x:c>
      <x:c r="E9" s="117" t="n">
        <x:f>SUM('CF_1'!E15,'CF_2'!E15,'CF_3'!E15,'CF_4'!E15)</x:f>
      </x:c>
      <x:c r="F9" s="117" t="n">
        <x:f>SUM('CF_1'!F15,'CF_2'!F15,'CF_3'!F15,'CF_4'!F15)</x:f>
      </x:c>
      <x:c r="G9" s="117" t="n">
        <x:f>SUM('CF_1'!G15,'CF_2'!G15,'CF_3'!G15,'CF_4'!G15)</x:f>
      </x:c>
      <x:c r="H9" s="117" t="n">
        <x:f>SUM('CF_1'!H15,'CF_2'!H15,'CF_3'!H15,'CF_4'!H15)</x:f>
      </x:c>
      <x:c r="I9" s="117" t="n">
        <x:f>SUM('CF_1'!I15,'CF_2'!I15,'CF_3'!I15,'CF_4'!I15)</x:f>
      </x:c>
      <x:c r="J9" s="117" t="n">
        <x:f>SUM('CF_1'!J15,'CF_2'!J15,'CF_3'!J15,'CF_4'!J15)</x:f>
      </x:c>
      <x:c r="K9" s="117" t="n">
        <x:f>SUM('CF_1'!K15,'CF_2'!K15,'CF_3'!K15,'CF_4'!K15)</x:f>
      </x:c>
      <x:c r="L9" s="117" t="n">
        <x:f>SUM('CF_1'!L15,'CF_2'!L15,'CF_3'!L15,'CF_4'!L15)</x:f>
      </x:c>
      <x:c r="M9" s="117" t="n">
        <x:f>SUM('CF_1'!M15,'CF_2'!M15,'CF_3'!M15,'CF_4'!M15)</x:f>
      </x:c>
      <x:c r="N9" s="117" t="n">
        <x:f>SUM('CF_1'!N15,'CF_2'!N15,'CF_3'!N15,'CF_4'!N15)</x:f>
      </x:c>
      <x:c r="O9" s="117" t="n">
        <x:f>SUM('CF_1'!O15,'CF_2'!O15,'CF_3'!O15,'CF_4'!O15)</x:f>
      </x:c>
      <x:c r="P9" s="117" t="n">
        <x:f>SUM('CF_1'!P15,'CF_2'!P15,'CF_3'!P15,'CF_4'!P15)</x:f>
      </x:c>
      <x:c r="Q9" s="117" t="n">
        <x:f>SUM('CF_1'!Q15,'CF_2'!Q15,'CF_3'!Q15,'CF_4'!Q15)</x:f>
      </x:c>
      <x:c r="R9" s="117" t="n">
        <x:f>SUM('CF_1'!R15,'CF_2'!R15,'CF_3'!R15,'CF_4'!R15)</x:f>
      </x:c>
      <x:c r="S9" s="117" t="n">
        <x:f>SUM('CF_1'!S15,'CF_2'!S15,'CF_3'!S15,'CF_4'!S15)</x:f>
      </x:c>
      <x:c r="T9" s="117" t="n">
        <x:f>SUM('CF_1'!T15,'CF_2'!T15,'CF_3'!T15,'CF_4'!T15)</x:f>
      </x:c>
      <x:c r="U9" s="117" t="n">
        <x:f>SUM('CF_1'!U15,'CF_2'!U15,'CF_3'!U15,'CF_4'!U15)</x:f>
      </x:c>
      <x:c r="V9" s="117" t="n">
        <x:f>SUM('CF_1'!V15,'CF_2'!V15,'CF_3'!V15,'CF_4'!V15)</x:f>
      </x:c>
      <x:c r="W9" s="117" t="n">
        <x:f>SUM('CF_1'!W15,'CF_2'!W15,'CF_3'!W15,'CF_4'!W15)</x:f>
      </x:c>
      <x:c r="X9" s="117" t="n">
        <x:f>SUM('CF_1'!X15,'CF_2'!X15,'CF_3'!X15,'CF_4'!X15)</x:f>
      </x:c>
      <x:c r="Y9" s="117" t="n">
        <x:f>SUM('CF_1'!Y15,'CF_2'!Y15,'CF_3'!Y15,'CF_4'!Y15)</x:f>
      </x:c>
      <x:c r="Z9" s="117" t="n">
        <x:f>SUM('CF_1'!Z15,'CF_2'!Z15,'CF_3'!Z15,'CF_4'!Z15)</x:f>
      </x:c>
      <x:c r="AA9" s="117" t="n">
        <x:f>SUM('CF_1'!AA15,'CF_2'!AA15,'CF_3'!AA15,'CF_4'!AA15)</x:f>
      </x:c>
      <x:c r="AB9" s="117" t="n">
        <x:f>SUM('CF_1'!AB15,'CF_2'!AB15,'CF_3'!AB15,'CF_4'!AB15)</x:f>
      </x:c>
      <x:c r="AC9" s="117" t="n">
        <x:f>SUM('CF_1'!AC15,'CF_2'!AC15,'CF_3'!AC15,'CF_4'!AC15)</x:f>
      </x:c>
      <x:c r="AD9" s="117" t="n">
        <x:f>SUM('CF_1'!AD15,'CF_2'!AD15,'CF_3'!AD15,'CF_4'!AD15)</x:f>
      </x:c>
      <x:c r="AE9" s="117" t="n">
        <x:f>SUM('CF_1'!AE15,'CF_2'!AE15,'CF_3'!AE15,'CF_4'!AE15)</x:f>
      </x:c>
      <x:c r="AF9" s="117" t="n">
        <x:f>SUM('CF_1'!AF15,'CF_2'!AF15,'CF_3'!AF15,'CF_4'!AF15)</x:f>
      </x:c>
      <x:c r="AG9" s="117" t="n">
        <x:f>SUM('CF_1'!AG15,'CF_2'!AG15,'CF_3'!AG15,'CF_4'!AG15)</x:f>
      </x:c>
      <x:c r="AH9" s="117" t="n">
        <x:f>SUM('CF_1'!AH15,'CF_2'!AH15,'CF_3'!AH15,'CF_4'!AH15)</x:f>
      </x:c>
      <x:c r="AI9" s="117" t="n">
        <x:f>SUM('CF_1'!AI15,'CF_2'!AI15,'CF_3'!AI15,'CF_4'!AI15)</x:f>
      </x:c>
      <x:c r="AJ9" s="117" t="n">
        <x:f>SUM('CF_1'!AJ15,'CF_2'!AJ15,'CF_3'!AJ15,'CF_4'!AJ15)</x:f>
      </x:c>
      <x:c r="AK9" s="117" t="n">
        <x:f>SUM('CF_1'!AK15,'CF_2'!AK15,'CF_3'!AK15,'CF_4'!AK15)</x:f>
      </x:c>
      <x:c r="AL9" s="117" t="n">
        <x:f>SUM('CF_1'!AL15,'CF_2'!AL15,'CF_3'!AL15,'CF_4'!AL15)</x:f>
      </x:c>
      <x:c r="AM9" s="117" t="n">
        <x:f>SUM('CF_1'!AM15,'CF_2'!AM15,'CF_3'!AM15,'CF_4'!AM15)</x:f>
      </x:c>
      <x:c r="AN9" s="117" t="n">
        <x:f>SUM('CF_1'!AN15,'CF_2'!AN15,'CF_3'!AN15,'CF_4'!AN15)</x:f>
      </x:c>
      <x:c r="AO9" s="117" t="n">
        <x:f>SUM('CF_1'!AO15,'CF_2'!AO15,'CF_3'!AO15,'CF_4'!AO15)</x:f>
      </x:c>
      <x:c r="AP9" s="117" t="n">
        <x:f>SUM('CF_1'!AP15,'CF_2'!AP15,'CF_3'!AP15,'CF_4'!AP15)</x:f>
      </x:c>
      <x:c r="AQ9" s="117" t="n">
        <x:f>SUM('CF_1'!AQ15,'CF_2'!AQ15,'CF_3'!AQ15,'CF_4'!AQ15)</x:f>
      </x:c>
      <x:c r="AR9" s="117" t="n">
        <x:f>SUM('CF_1'!AR15,'CF_2'!AR15,'CF_3'!AR15,'CF_4'!AR15)</x:f>
      </x:c>
      <x:c r="AS9" s="117" t="n">
        <x:f>SUM('CF_1'!AS15,'CF_2'!AS15,'CF_3'!AS15,'CF_4'!AS15)</x:f>
      </x:c>
      <x:c r="AT9" s="117" t="n">
        <x:f>SUM('CF_1'!AT15,'CF_2'!AT15,'CF_3'!AT15,'CF_4'!AT15)</x:f>
      </x:c>
      <x:c r="AU9" s="117" t="n">
        <x:f>SUM('CF_1'!AU15,'CF_2'!AU15,'CF_3'!AU15,'CF_4'!AU15)</x:f>
      </x:c>
      <x:c r="AV9" s="117" t="n">
        <x:f>SUM('CF_1'!AV15,'CF_2'!AV15,'CF_3'!AV15,'CF_4'!AV15)</x:f>
      </x:c>
      <x:c r="AW9" s="117" t="n">
        <x:f>SUM('CF_1'!AW15,'CF_2'!AW15,'CF_3'!AW15,'CF_4'!AW15)</x:f>
      </x:c>
      <x:c r="AX9" s="117" t="n">
        <x:f>SUM('CF_1'!AX15,'CF_2'!AX15,'CF_3'!AX15,'CF_4'!AX15)</x:f>
      </x:c>
      <x:c r="AY9" s="117" t="n">
        <x:f>SUM('CF_1'!AY15,'CF_2'!AY15,'CF_3'!AY15,'CF_4'!AY15)</x:f>
      </x:c>
      <x:c r="AZ9" s="117" t="n">
        <x:f>SUM('CF_1'!AZ15,'CF_2'!AZ15,'CF_3'!AZ15,'CF_4'!AZ15)</x:f>
      </x:c>
      <x:c r="BA9" s="117" t="n">
        <x:f>SUM('CF_1'!BA15,'CF_2'!BA15,'CF_3'!BA15,'CF_4'!BA15)</x:f>
      </x:c>
      <x:c r="BB9" s="117" t="n">
        <x:f>SUM('CF_1'!BB15,'CF_2'!BB15,'CF_3'!BB15,'CF_4'!BB15)</x:f>
      </x:c>
      <x:c r="BC9" s="117" t="n">
        <x:f>SUM('CF_1'!BC15,'CF_2'!BC15,'CF_3'!BC15,'CF_4'!BC15)</x:f>
      </x:c>
      <x:c r="BD9" s="117" t="n">
        <x:f>SUM('CF_1'!BD15,'CF_2'!BD15,'CF_3'!BD15,'CF_4'!BD15)</x:f>
      </x:c>
      <x:c r="BE9" s="117" t="n">
        <x:f>SUM('CF_1'!BE15,'CF_2'!BE15,'CF_3'!BE15,'CF_4'!BE15)</x:f>
      </x:c>
      <x:c r="BF9" s="117" t="n">
        <x:f>SUM('CF_1'!BF15,'CF_2'!BF15,'CF_3'!BF15,'CF_4'!BF15)</x:f>
      </x:c>
      <x:c r="BG9" s="117" t="n">
        <x:f>SUM('CF_1'!BG15,'CF_2'!BG15,'CF_3'!BG15,'CF_4'!BG15)</x:f>
      </x:c>
      <x:c r="BH9" s="117" t="n">
        <x:f>SUM('CF_1'!BH15,'CF_2'!BH15,'CF_3'!BH15,'CF_4'!BH15)</x:f>
      </x:c>
      <x:c r="BI9" s="117" t="n">
        <x:f>SUM('CF_1'!BI15,'CF_2'!BI15,'CF_3'!BI15,'CF_4'!BI15)</x:f>
      </x:c>
      <x:c r="BJ9" s="117" t="n">
        <x:f>SUM('CF_1'!BJ15,'CF_2'!BJ15,'CF_3'!BJ15,'CF_4'!BJ15)</x:f>
      </x:c>
      <x:c r="BK9" s="117" t="n">
        <x:f>SUM('CF_1'!BK15,'CF_2'!BK15,'CF_3'!BK15,'CF_4'!BK15)</x:f>
      </x:c>
      <x:c r="BL9" s="117" t="n">
        <x:f>SUM('CF_1'!BL15,'CF_2'!BL15,'CF_3'!BL15,'CF_4'!BL15)</x:f>
      </x:c>
      <x:c r="BM9" s="117" t="n">
        <x:f>SUM('CF_1'!BM15,'CF_2'!BM15,'CF_3'!BM15,'CF_4'!BM15)</x:f>
      </x:c>
      <x:c r="BN9" s="117" t="n">
        <x:f>SUM('CF_1'!BN15,'CF_2'!BN15,'CF_3'!BN15,'CF_4'!BN15)</x:f>
      </x:c>
      <x:c r="BO9" s="117" t="n">
        <x:f>SUM('CF_1'!BO15,'CF_2'!BO15,'CF_3'!BO15,'CF_4'!BO15)</x:f>
      </x:c>
      <x:c r="BP9" s="117" t="n">
        <x:f>SUM('CF_1'!BP15,'CF_2'!BP15,'CF_3'!BP15,'CF_4'!BP15)</x:f>
      </x:c>
      <x:c r="BQ9" s="117" t="n">
        <x:f>SUM('CF_1'!BQ15,'CF_2'!BQ15,'CF_3'!BQ15,'CF_4'!BQ15)</x:f>
      </x:c>
      <x:c r="BR9" s="117" t="n">
        <x:f>SUM('CF_1'!BR15,'CF_2'!BR15,'CF_3'!BR15,'CF_4'!BR15)</x:f>
      </x:c>
      <x:c r="BS9" s="117" t="n">
        <x:f>SUM('CF_1'!BS15,'CF_2'!BS15,'CF_3'!BS15,'CF_4'!BS15)</x:f>
      </x:c>
      <x:c r="BT9" s="117" t="n">
        <x:f>SUM('CF_1'!BT15,'CF_2'!BT15,'CF_3'!BT15,'CF_4'!BT15)</x:f>
      </x:c>
      <x:c r="BU9" s="117" t="n">
        <x:f>SUM('CF_1'!BU15,'CF_2'!BU15,'CF_3'!BU15,'CF_4'!BU15)</x:f>
      </x:c>
      <x:c r="BV9" s="117" t="n">
        <x:f>SUM('CF_1'!BV15,'CF_2'!BV15,'CF_3'!BV15,'CF_4'!BV15)</x:f>
      </x:c>
      <x:c r="BW9" s="117" t="n">
        <x:f>SUM('CF_1'!BW15,'CF_2'!BW15,'CF_3'!BW15,'CF_4'!BW15)</x:f>
      </x:c>
      <x:c r="BX9" s="117" t="n">
        <x:f>SUM('CF_1'!BX15,'CF_2'!BX15,'CF_3'!BX15,'CF_4'!BX15)</x:f>
      </x:c>
      <x:c r="BY9" s="117" t="n">
        <x:f>SUM('CF_1'!BY15,'CF_2'!BY15,'CF_3'!BY15,'CF_4'!BY15)</x:f>
      </x:c>
      <x:c r="BZ9" s="117" t="n">
        <x:f>SUM('CF_1'!BZ15,'CF_2'!BZ15,'CF_3'!BZ15,'CF_4'!BZ15)</x:f>
      </x:c>
      <x:c r="CA9" s="117" t="n">
        <x:f>SUM('CF_1'!CA15,'CF_2'!CA15,'CF_3'!CA15,'CF_4'!CA15)</x:f>
      </x:c>
      <x:c r="CB9" s="117" t="n">
        <x:f>SUM('CF_1'!CB15,'CF_2'!CB15,'CF_3'!CB15,'CF_4'!CB15)</x:f>
      </x:c>
      <x:c r="CC9" s="117" t="n">
        <x:f>SUM('CF_1'!CC15,'CF_2'!CC15,'CF_3'!CC15,'CF_4'!CC15)</x:f>
      </x:c>
      <x:c r="CD9" s="117" t="n">
        <x:f>SUM('CF_1'!CD15,'CF_2'!CD15,'CF_3'!CD15,'CF_4'!CD15)</x:f>
      </x:c>
      <x:c r="CE9" s="117" t="n">
        <x:f>SUM('CF_1'!CE15,'CF_2'!CE15,'CF_3'!CE15,'CF_4'!CE15)</x:f>
      </x:c>
      <x:c r="CF9" s="117" t="n">
        <x:f>SUM('CF_1'!CF15,'CF_2'!CF15,'CF_3'!CF15,'CF_4'!CF15)</x:f>
      </x:c>
      <x:c r="CG9" s="117" t="n">
        <x:f>SUM('CF_1'!CG15,'CF_2'!CG15,'CF_3'!CG15,'CF_4'!CG15)</x:f>
      </x:c>
      <x:c r="CH9" s="117" t="n">
        <x:f>SUM('CF_1'!CH15,'CF_2'!CH15,'CF_3'!CH15,'CF_4'!CH15)</x:f>
      </x:c>
      <x:c r="CI9" s="117" t="n">
        <x:f>SUM('CF_1'!CI15,'CF_2'!CI15,'CF_3'!CI15,'CF_4'!CI15)</x:f>
      </x:c>
      <x:c r="CJ9" s="117" t="n">
        <x:f>SUM('CF_1'!CJ15,'CF_2'!CJ15,'CF_3'!CJ15,'CF_4'!CJ15)</x:f>
      </x:c>
      <x:c r="CK9" s="117" t="n">
        <x:f>SUM('CF_1'!CK15,'CF_2'!CK15,'CF_3'!CK15,'CF_4'!CK15)</x:f>
      </x:c>
      <x:c r="CL9" s="117" t="n">
        <x:f>SUM('CF_1'!CL15,'CF_2'!CL15,'CF_3'!CL15,'CF_4'!CL15)</x:f>
      </x:c>
      <x:c r="CM9" s="117" t="n">
        <x:f>SUM('CF_1'!CM15,'CF_2'!CM15,'CF_3'!CM15,'CF_4'!CM15)</x:f>
      </x:c>
      <x:c r="CN9" s="117" t="n">
        <x:f>SUM('CF_1'!CN15,'CF_2'!CN15,'CF_3'!CN15,'CF_4'!CN15)</x:f>
      </x:c>
      <x:c r="CO9" s="117" t="n">
        <x:f>SUM('CF_1'!CO15,'CF_2'!CO15,'CF_3'!CO15,'CF_4'!CO15)</x:f>
      </x:c>
      <x:c r="CP9" s="117" t="n">
        <x:f>SUM('CF_1'!CP15,'CF_2'!CP15,'CF_3'!CP15,'CF_4'!CP15)</x:f>
      </x:c>
      <x:c r="CQ9" s="117" t="n">
        <x:f>SUM('CF_1'!CQ15,'CF_2'!CQ15,'CF_3'!CQ15,'CF_4'!CQ15)</x:f>
      </x:c>
      <x:c r="CR9" s="117" t="n">
        <x:f>SUM('CF_1'!CR15,'CF_2'!CR15,'CF_3'!CR15,'CF_4'!CR15)</x:f>
      </x:c>
      <x:c r="CS9" s="117" t="n">
        <x:f>SUM('CF_1'!CS15,'CF_2'!CS15,'CF_3'!CS15,'CF_4'!CS15)</x:f>
      </x:c>
      <x:c r="CT9" s="117" t="n">
        <x:f>SUM('CF_1'!CT15,'CF_2'!CT15,'CF_3'!CT15,'CF_4'!CT15)</x:f>
      </x:c>
      <x:c r="CU9" s="117" t="n">
        <x:f>SUM('CF_1'!CU15,'CF_2'!CU15,'CF_3'!CU15,'CF_4'!CU15)</x:f>
      </x:c>
      <x:c r="CV9" s="117" t="n">
        <x:f>SUM('CF_1'!CV15,'CF_2'!CV15,'CF_3'!CV15,'CF_4'!CV15)</x:f>
      </x:c>
      <x:c r="CW9" s="117" t="n">
        <x:f>SUM('CF_1'!CW15,'CF_2'!CW15,'CF_3'!CW15,'CF_4'!CW15)</x:f>
      </x:c>
      <x:c r="CX9" s="117" t="n">
        <x:f>SUM('CF_1'!CX15,'CF_2'!CX15,'CF_3'!CX15,'CF_4'!CX15)</x:f>
      </x:c>
      <x:c r="CY9" s="117" t="n">
        <x:f>SUM('CF_1'!CY15,'CF_2'!CY15,'CF_3'!CY15,'CF_4'!CY15)</x:f>
      </x:c>
      <x:c r="CZ9" s="117" t="n">
        <x:f>SUM('CF_1'!CZ15,'CF_2'!CZ15,'CF_3'!CZ15,'CF_4'!CZ15)</x:f>
      </x:c>
      <x:c r="DA9" s="117" t="n">
        <x:f>SUM('CF_1'!DA15,'CF_2'!DA15,'CF_3'!DA15,'CF_4'!DA15)</x:f>
      </x:c>
      <x:c r="DB9" s="117" t="n">
        <x:f>SUM('CF_1'!DB15,'CF_2'!DB15,'CF_3'!DB15,'CF_4'!DB15)</x:f>
      </x:c>
      <x:c r="DC9" s="117" t="n">
        <x:f>SUM('CF_1'!DC15,'CF_2'!DC15,'CF_3'!DC15,'CF_4'!DC15)</x:f>
      </x:c>
      <x:c r="DD9" s="117" t="n">
        <x:f>SUM('CF_1'!DD15,'CF_2'!DD15,'CF_3'!DD15,'CF_4'!DD15)</x:f>
      </x:c>
      <x:c r="DE9" s="117" t="n">
        <x:f>SUM('CF_1'!DE15,'CF_2'!DE15,'CF_3'!DE15,'CF_4'!DE15)</x:f>
      </x:c>
      <x:c r="DF9" s="117" t="n">
        <x:f>SUM('CF_1'!DF15,'CF_2'!DF15,'CF_3'!DF15,'CF_4'!DF15)</x:f>
      </x:c>
      <x:c r="DG9" s="117" t="n">
        <x:f>SUM('CF_1'!DG15,'CF_2'!DG15,'CF_3'!DG15,'CF_4'!DG15)</x:f>
      </x:c>
      <x:c r="DH9" s="117" t="n">
        <x:f>SUM('CF_1'!DH15,'CF_2'!DH15,'CF_3'!DH15,'CF_4'!DH15)</x:f>
      </x:c>
      <x:c r="DI9" s="117" t="n">
        <x:f>SUM('CF_1'!DI15,'CF_2'!DI15,'CF_3'!DI15,'CF_4'!DI15)</x:f>
      </x:c>
      <x:c r="DJ9" s="117" t="n">
        <x:f>SUM('CF_1'!DJ15,'CF_2'!DJ15,'CF_3'!DJ15,'CF_4'!DJ15)</x:f>
      </x:c>
      <x:c r="DK9" s="117" t="n">
        <x:f>SUM('CF_1'!DK15,'CF_2'!DK15,'CF_3'!DK15,'CF_4'!DK15)</x:f>
      </x:c>
      <x:c r="DL9" s="117" t="n">
        <x:f>SUM('CF_1'!DL15,'CF_2'!DL15,'CF_3'!DL15,'CF_4'!DL15)</x:f>
      </x:c>
      <x:c r="DM9" s="117" t="n">
        <x:f>SUM('CF_1'!DM15,'CF_2'!DM15,'CF_3'!DM15,'CF_4'!DM15)</x:f>
      </x:c>
      <x:c r="DN9" s="117" t="n">
        <x:f>SUM('CF_1'!DN15,'CF_2'!DN15,'CF_3'!DN15,'CF_4'!DN15)</x:f>
      </x:c>
      <x:c r="DO9" s="117" t="n">
        <x:f>SUM('CF_1'!DO15,'CF_2'!DO15,'CF_3'!DO15,'CF_4'!DO15)</x:f>
      </x:c>
      <x:c r="DP9" s="117" t="n">
        <x:f>SUM('CF_1'!DP15,'CF_2'!DP15,'CF_3'!DP15,'CF_4'!DP15)</x:f>
      </x:c>
      <x:c r="DQ9" s="117" t="n">
        <x:f>SUM('CF_1'!DQ15,'CF_2'!DQ15,'CF_3'!DQ15,'CF_4'!DQ15)</x:f>
      </x:c>
      <x:c r="DR9" s="117" t="n">
        <x:f>SUM('CF_1'!DR15,'CF_2'!DR15,'CF_3'!DR15,'CF_4'!DR15)</x:f>
      </x:c>
      <x:c r="DS9" s="117" t="n">
        <x:f>SUM('CF_1'!DS15,'CF_2'!DS15,'CF_3'!DS15,'CF_4'!DS15)</x:f>
      </x:c>
    </x:row>
    <x:row r="10">
      <x:c r="D10" s="117"/>
      <x:c r="E10" s="117"/>
      <x:c r="F10" s="117"/>
      <x:c r="G10" s="117"/>
      <x:c r="H10" s="117"/>
      <x:c r="I10" s="117"/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  <x:c r="AE10" s="117"/>
      <x:c r="AF10" s="117"/>
      <x:c r="AG10" s="117"/>
      <x:c r="AH10" s="117"/>
      <x:c r="AI10" s="117"/>
      <x:c r="AJ10" s="117"/>
      <x:c r="AK10" s="117"/>
      <x:c r="AL10" s="117"/>
      <x:c r="AM10" s="117"/>
      <x:c r="AN10" s="117"/>
      <x:c r="AO10" s="117"/>
      <x:c r="AP10" s="117"/>
      <x:c r="AQ10" s="117"/>
      <x:c r="AR10" s="117"/>
      <x:c r="AS10" s="117"/>
      <x:c r="AT10" s="117"/>
      <x:c r="AU10" s="117"/>
      <x:c r="AV10" s="117"/>
      <x:c r="AW10" s="117"/>
      <x:c r="AX10" s="117"/>
      <x:c r="AY10" s="117"/>
      <x:c r="AZ10" s="117"/>
      <x:c r="BA10" s="117"/>
      <x:c r="BB10" s="117"/>
      <x:c r="BC10" s="117"/>
      <x:c r="BD10" s="117"/>
      <x:c r="BE10" s="117"/>
      <x:c r="BF10" s="117"/>
      <x:c r="BG10" s="117"/>
      <x:c r="BH10" s="117"/>
      <x:c r="BI10" s="117"/>
      <x:c r="BJ10" s="117"/>
      <x:c r="BK10" s="117"/>
      <x:c r="BL10" s="117"/>
      <x:c r="BM10" s="117"/>
      <x:c r="BN10" s="117"/>
      <x:c r="BO10" s="117"/>
      <x:c r="BP10" s="117"/>
      <x:c r="BQ10" s="117"/>
      <x:c r="BR10" s="117"/>
      <x:c r="BS10" s="117"/>
      <x:c r="BT10" s="117"/>
      <x:c r="BU10" s="117"/>
      <x:c r="BV10" s="117"/>
      <x:c r="BW10" s="117"/>
      <x:c r="BX10" s="117"/>
      <x:c r="BY10" s="117"/>
      <x:c r="BZ10" s="117"/>
      <x:c r="CA10" s="117"/>
      <x:c r="CB10" s="117"/>
      <x:c r="CC10" s="117"/>
      <x:c r="CD10" s="117"/>
      <x:c r="CE10" s="117"/>
      <x:c r="CF10" s="117"/>
      <x:c r="CG10" s="117"/>
      <x:c r="CH10" s="117"/>
      <x:c r="CI10" s="117"/>
      <x:c r="CJ10" s="117"/>
      <x:c r="CK10" s="117"/>
      <x:c r="CL10" s="117"/>
      <x:c r="CM10" s="117"/>
      <x:c r="CN10" s="117"/>
      <x:c r="CO10" s="117"/>
      <x:c r="CP10" s="117"/>
      <x:c r="CQ10" s="117"/>
      <x:c r="CR10" s="117"/>
      <x:c r="CS10" s="117"/>
      <x:c r="CT10" s="117"/>
      <x:c r="CU10" s="117"/>
      <x:c r="CV10" s="117"/>
      <x:c r="CW10" s="117"/>
      <x:c r="CX10" s="117"/>
      <x:c r="CY10" s="117"/>
      <x:c r="CZ10" s="117"/>
      <x:c r="DA10" s="117"/>
      <x:c r="DB10" s="117"/>
      <x:c r="DC10" s="117"/>
      <x:c r="DD10" s="117"/>
      <x:c r="DE10" s="117"/>
      <x:c r="DF10" s="117"/>
      <x:c r="DG10" s="117"/>
      <x:c r="DH10" s="117"/>
      <x:c r="DI10" s="117"/>
      <x:c r="DJ10" s="117"/>
      <x:c r="DK10" s="117"/>
      <x:c r="DL10" s="117"/>
      <x:c r="DM10" s="117"/>
      <x:c r="DN10" s="117"/>
      <x:c r="DO10" s="117"/>
      <x:c r="DP10" s="117"/>
      <x:c r="DQ10" s="117"/>
      <x:c r="DR10" s="117"/>
      <x:c r="DS10" s="117"/>
    </x:row>
    <x:row r="11">
      <x:c r="A11" t="str">
        <x:v>CAPEX</x:v>
      </x:c>
      <x:c r="B11" t="n">
        <x:f>SUM(D11:DS11)</x:f>
      </x:c>
      <x:c r="C11" t="str">
        <x:v>млн ₽</x:v>
      </x:c>
      <x:c r="D11" s="117" t="n">
        <x:f>SUM('CF_1'!D17,'CF_2'!D17,'CF_3'!D17,'CF_4'!D17)</x:f>
      </x:c>
      <x:c r="E11" s="117" t="n">
        <x:f>SUM('CF_1'!E17,'CF_2'!E17,'CF_3'!E17,'CF_4'!E17)</x:f>
      </x:c>
      <x:c r="F11" s="117" t="n">
        <x:f>SUM('CF_1'!F17,'CF_2'!F17,'CF_3'!F17,'CF_4'!F17)</x:f>
      </x:c>
      <x:c r="G11" s="117" t="n">
        <x:f>SUM('CF_1'!G17,'CF_2'!G17,'CF_3'!G17,'CF_4'!G17)</x:f>
      </x:c>
      <x:c r="H11" s="117" t="n">
        <x:f>SUM('CF_1'!H17,'CF_2'!H17,'CF_3'!H17,'CF_4'!H17)</x:f>
      </x:c>
      <x:c r="I11" s="117" t="n">
        <x:f>SUM('CF_1'!I17,'CF_2'!I17,'CF_3'!I17,'CF_4'!I17)</x:f>
      </x:c>
      <x:c r="J11" s="117" t="n">
        <x:f>SUM('CF_1'!J17,'CF_2'!J17,'CF_3'!J17,'CF_4'!J17)</x:f>
      </x:c>
      <x:c r="K11" s="117" t="n">
        <x:f>SUM('CF_1'!K17,'CF_2'!K17,'CF_3'!K17,'CF_4'!K17)</x:f>
      </x:c>
      <x:c r="L11" s="117" t="n">
        <x:f>SUM('CF_1'!L17,'CF_2'!L17,'CF_3'!L17,'CF_4'!L17)</x:f>
      </x:c>
      <x:c r="M11" s="117" t="n">
        <x:f>SUM('CF_1'!M17,'CF_2'!M17,'CF_3'!M17,'CF_4'!M17)</x:f>
      </x:c>
      <x:c r="N11" s="117" t="n">
        <x:f>SUM('CF_1'!N17,'CF_2'!N17,'CF_3'!N17,'CF_4'!N17)</x:f>
      </x:c>
      <x:c r="O11" s="117" t="n">
        <x:f>SUM('CF_1'!O17,'CF_2'!O17,'CF_3'!O17,'CF_4'!O17)</x:f>
      </x:c>
      <x:c r="P11" s="117" t="n">
        <x:f>SUM('CF_1'!P17,'CF_2'!P17,'CF_3'!P17,'CF_4'!P17)</x:f>
      </x:c>
      <x:c r="Q11" s="117" t="n">
        <x:f>SUM('CF_1'!Q17,'CF_2'!Q17,'CF_3'!Q17,'CF_4'!Q17)</x:f>
      </x:c>
      <x:c r="R11" s="117" t="n">
        <x:f>SUM('CF_1'!R17,'CF_2'!R17,'CF_3'!R17,'CF_4'!R17)</x:f>
      </x:c>
      <x:c r="S11" s="117" t="n">
        <x:f>SUM('CF_1'!S17,'CF_2'!S17,'CF_3'!S17,'CF_4'!S17)</x:f>
      </x:c>
      <x:c r="T11" s="117" t="n">
        <x:f>SUM('CF_1'!T17,'CF_2'!T17,'CF_3'!T17,'CF_4'!T17)</x:f>
      </x:c>
      <x:c r="U11" s="117" t="n">
        <x:f>SUM('CF_1'!U17,'CF_2'!U17,'CF_3'!U17,'CF_4'!U17)</x:f>
      </x:c>
      <x:c r="V11" s="117" t="n">
        <x:f>SUM('CF_1'!V17,'CF_2'!V17,'CF_3'!V17,'CF_4'!V17)</x:f>
      </x:c>
      <x:c r="W11" s="117" t="n">
        <x:f>SUM('CF_1'!W17,'CF_2'!W17,'CF_3'!W17,'CF_4'!W17)</x:f>
      </x:c>
      <x:c r="X11" s="117" t="n">
        <x:f>SUM('CF_1'!X17,'CF_2'!X17,'CF_3'!X17,'CF_4'!X17)</x:f>
      </x:c>
      <x:c r="Y11" s="117" t="n">
        <x:f>SUM('CF_1'!Y17,'CF_2'!Y17,'CF_3'!Y17,'CF_4'!Y17)</x:f>
      </x:c>
      <x:c r="Z11" s="117" t="n">
        <x:f>SUM('CF_1'!Z17,'CF_2'!Z17,'CF_3'!Z17,'CF_4'!Z17)</x:f>
      </x:c>
      <x:c r="AA11" s="117" t="n">
        <x:f>SUM('CF_1'!AA17,'CF_2'!AA17,'CF_3'!AA17,'CF_4'!AA17)</x:f>
      </x:c>
      <x:c r="AB11" s="117" t="n">
        <x:f>SUM('CF_1'!AB17,'CF_2'!AB17,'CF_3'!AB17,'CF_4'!AB17)</x:f>
      </x:c>
      <x:c r="AC11" s="117" t="n">
        <x:f>SUM('CF_1'!AC17,'CF_2'!AC17,'CF_3'!AC17,'CF_4'!AC17)</x:f>
      </x:c>
      <x:c r="AD11" s="117" t="n">
        <x:f>SUM('CF_1'!AD17,'CF_2'!AD17,'CF_3'!AD17,'CF_4'!AD17)</x:f>
      </x:c>
      <x:c r="AE11" s="117" t="n">
        <x:f>SUM('CF_1'!AE17,'CF_2'!AE17,'CF_3'!AE17,'CF_4'!AE17)</x:f>
      </x:c>
      <x:c r="AF11" s="117" t="n">
        <x:f>SUM('CF_1'!AF17,'CF_2'!AF17,'CF_3'!AF17,'CF_4'!AF17)</x:f>
      </x:c>
      <x:c r="AG11" s="117" t="n">
        <x:f>SUM('CF_1'!AG17,'CF_2'!AG17,'CF_3'!AG17,'CF_4'!AG17)</x:f>
      </x:c>
      <x:c r="AH11" s="117" t="n">
        <x:f>SUM('CF_1'!AH17,'CF_2'!AH17,'CF_3'!AH17,'CF_4'!AH17)</x:f>
      </x:c>
      <x:c r="AI11" s="117" t="n">
        <x:f>SUM('CF_1'!AI17,'CF_2'!AI17,'CF_3'!AI17,'CF_4'!AI17)</x:f>
      </x:c>
      <x:c r="AJ11" s="117" t="n">
        <x:f>SUM('CF_1'!AJ17,'CF_2'!AJ17,'CF_3'!AJ17,'CF_4'!AJ17)</x:f>
      </x:c>
      <x:c r="AK11" s="117" t="n">
        <x:f>SUM('CF_1'!AK17,'CF_2'!AK17,'CF_3'!AK17,'CF_4'!AK17)</x:f>
      </x:c>
      <x:c r="AL11" s="117" t="n">
        <x:f>SUM('CF_1'!AL17,'CF_2'!AL17,'CF_3'!AL17,'CF_4'!AL17)</x:f>
      </x:c>
      <x:c r="AM11" s="117" t="n">
        <x:f>SUM('CF_1'!AM17,'CF_2'!AM17,'CF_3'!AM17,'CF_4'!AM17)</x:f>
      </x:c>
      <x:c r="AN11" s="117" t="n">
        <x:f>SUM('CF_1'!AN17,'CF_2'!AN17,'CF_3'!AN17,'CF_4'!AN17)</x:f>
      </x:c>
      <x:c r="AO11" s="117" t="n">
        <x:f>SUM('CF_1'!AO17,'CF_2'!AO17,'CF_3'!AO17,'CF_4'!AO17)</x:f>
      </x:c>
      <x:c r="AP11" s="117" t="n">
        <x:f>SUM('CF_1'!AP17,'CF_2'!AP17,'CF_3'!AP17,'CF_4'!AP17)</x:f>
      </x:c>
      <x:c r="AQ11" s="117" t="n">
        <x:f>SUM('CF_1'!AQ17,'CF_2'!AQ17,'CF_3'!AQ17,'CF_4'!AQ17)</x:f>
      </x:c>
      <x:c r="AR11" s="117" t="n">
        <x:f>SUM('CF_1'!AR17,'CF_2'!AR17,'CF_3'!AR17,'CF_4'!AR17)</x:f>
      </x:c>
      <x:c r="AS11" s="117" t="n">
        <x:f>SUM('CF_1'!AS17,'CF_2'!AS17,'CF_3'!AS17,'CF_4'!AS17)</x:f>
      </x:c>
      <x:c r="AT11" s="117" t="n">
        <x:f>SUM('CF_1'!AT17,'CF_2'!AT17,'CF_3'!AT17,'CF_4'!AT17)</x:f>
      </x:c>
      <x:c r="AU11" s="117" t="n">
        <x:f>SUM('CF_1'!AU17,'CF_2'!AU17,'CF_3'!AU17,'CF_4'!AU17)</x:f>
      </x:c>
      <x:c r="AV11" s="117" t="n">
        <x:f>SUM('CF_1'!AV17,'CF_2'!AV17,'CF_3'!AV17,'CF_4'!AV17)</x:f>
      </x:c>
      <x:c r="AW11" s="117" t="n">
        <x:f>SUM('CF_1'!AW17,'CF_2'!AW17,'CF_3'!AW17,'CF_4'!AW17)</x:f>
      </x:c>
      <x:c r="AX11" s="117" t="n">
        <x:f>SUM('CF_1'!AX17,'CF_2'!AX17,'CF_3'!AX17,'CF_4'!AX17)</x:f>
      </x:c>
      <x:c r="AY11" s="117" t="n">
        <x:f>SUM('CF_1'!AY17,'CF_2'!AY17,'CF_3'!AY17,'CF_4'!AY17)</x:f>
      </x:c>
      <x:c r="AZ11" s="117" t="n">
        <x:f>SUM('CF_1'!AZ17,'CF_2'!AZ17,'CF_3'!AZ17,'CF_4'!AZ17)</x:f>
      </x:c>
      <x:c r="BA11" s="117" t="n">
        <x:f>SUM('CF_1'!BA17,'CF_2'!BA17,'CF_3'!BA17,'CF_4'!BA17)</x:f>
      </x:c>
      <x:c r="BB11" s="117" t="n">
        <x:f>SUM('CF_1'!BB17,'CF_2'!BB17,'CF_3'!BB17,'CF_4'!BB17)</x:f>
      </x:c>
      <x:c r="BC11" s="117" t="n">
        <x:f>SUM('CF_1'!BC17,'CF_2'!BC17,'CF_3'!BC17,'CF_4'!BC17)</x:f>
      </x:c>
      <x:c r="BD11" s="117" t="n">
        <x:f>SUM('CF_1'!BD17,'CF_2'!BD17,'CF_3'!BD17,'CF_4'!BD17)</x:f>
      </x:c>
      <x:c r="BE11" s="117" t="n">
        <x:f>SUM('CF_1'!BE17,'CF_2'!BE17,'CF_3'!BE17,'CF_4'!BE17)</x:f>
      </x:c>
      <x:c r="BF11" s="117" t="n">
        <x:f>SUM('CF_1'!BF17,'CF_2'!BF17,'CF_3'!BF17,'CF_4'!BF17)</x:f>
      </x:c>
      <x:c r="BG11" s="117" t="n">
        <x:f>SUM('CF_1'!BG17,'CF_2'!BG17,'CF_3'!BG17,'CF_4'!BG17)</x:f>
      </x:c>
      <x:c r="BH11" s="117" t="n">
        <x:f>SUM('CF_1'!BH17,'CF_2'!BH17,'CF_3'!BH17,'CF_4'!BH17)</x:f>
      </x:c>
      <x:c r="BI11" s="117" t="n">
        <x:f>SUM('CF_1'!BI17,'CF_2'!BI17,'CF_3'!BI17,'CF_4'!BI17)</x:f>
      </x:c>
      <x:c r="BJ11" s="117" t="n">
        <x:f>SUM('CF_1'!BJ17,'CF_2'!BJ17,'CF_3'!BJ17,'CF_4'!BJ17)</x:f>
      </x:c>
      <x:c r="BK11" s="117" t="n">
        <x:f>SUM('CF_1'!BK17,'CF_2'!BK17,'CF_3'!BK17,'CF_4'!BK17)</x:f>
      </x:c>
      <x:c r="BL11" s="117" t="n">
        <x:f>SUM('CF_1'!BL17,'CF_2'!BL17,'CF_3'!BL17,'CF_4'!BL17)</x:f>
      </x:c>
      <x:c r="BM11" s="117" t="n">
        <x:f>SUM('CF_1'!BM17,'CF_2'!BM17,'CF_3'!BM17,'CF_4'!BM17)</x:f>
      </x:c>
      <x:c r="BN11" s="117" t="n">
        <x:f>SUM('CF_1'!BN17,'CF_2'!BN17,'CF_3'!BN17,'CF_4'!BN17)</x:f>
      </x:c>
      <x:c r="BO11" s="117" t="n">
        <x:f>SUM('CF_1'!BO17,'CF_2'!BO17,'CF_3'!BO17,'CF_4'!BO17)</x:f>
      </x:c>
      <x:c r="BP11" s="117" t="n">
        <x:f>SUM('CF_1'!BP17,'CF_2'!BP17,'CF_3'!BP17,'CF_4'!BP17)</x:f>
      </x:c>
      <x:c r="BQ11" s="117" t="n">
        <x:f>SUM('CF_1'!BQ17,'CF_2'!BQ17,'CF_3'!BQ17,'CF_4'!BQ17)</x:f>
      </x:c>
      <x:c r="BR11" s="117" t="n">
        <x:f>SUM('CF_1'!BR17,'CF_2'!BR17,'CF_3'!BR17,'CF_4'!BR17)</x:f>
      </x:c>
      <x:c r="BS11" s="117" t="n">
        <x:f>SUM('CF_1'!BS17,'CF_2'!BS17,'CF_3'!BS17,'CF_4'!BS17)</x:f>
      </x:c>
      <x:c r="BT11" s="117" t="n">
        <x:f>SUM('CF_1'!BT17,'CF_2'!BT17,'CF_3'!BT17,'CF_4'!BT17)</x:f>
      </x:c>
      <x:c r="BU11" s="117" t="n">
        <x:f>SUM('CF_1'!BU17,'CF_2'!BU17,'CF_3'!BU17,'CF_4'!BU17)</x:f>
      </x:c>
      <x:c r="BV11" s="117" t="n">
        <x:f>SUM('CF_1'!BV17,'CF_2'!BV17,'CF_3'!BV17,'CF_4'!BV17)</x:f>
      </x:c>
      <x:c r="BW11" s="117" t="n">
        <x:f>SUM('CF_1'!BW17,'CF_2'!BW17,'CF_3'!BW17,'CF_4'!BW17)</x:f>
      </x:c>
      <x:c r="BX11" s="117" t="n">
        <x:f>SUM('CF_1'!BX17,'CF_2'!BX17,'CF_3'!BX17,'CF_4'!BX17)</x:f>
      </x:c>
      <x:c r="BY11" s="117" t="n">
        <x:f>SUM('CF_1'!BY17,'CF_2'!BY17,'CF_3'!BY17,'CF_4'!BY17)</x:f>
      </x:c>
      <x:c r="BZ11" s="117" t="n">
        <x:f>SUM('CF_1'!BZ17,'CF_2'!BZ17,'CF_3'!BZ17,'CF_4'!BZ17)</x:f>
      </x:c>
      <x:c r="CA11" s="117" t="n">
        <x:f>SUM('CF_1'!CA17,'CF_2'!CA17,'CF_3'!CA17,'CF_4'!CA17)</x:f>
      </x:c>
      <x:c r="CB11" s="117" t="n">
        <x:f>SUM('CF_1'!CB17,'CF_2'!CB17,'CF_3'!CB17,'CF_4'!CB17)</x:f>
      </x:c>
      <x:c r="CC11" s="117" t="n">
        <x:f>SUM('CF_1'!CC17,'CF_2'!CC17,'CF_3'!CC17,'CF_4'!CC17)</x:f>
      </x:c>
      <x:c r="CD11" s="117" t="n">
        <x:f>SUM('CF_1'!CD17,'CF_2'!CD17,'CF_3'!CD17,'CF_4'!CD17)</x:f>
      </x:c>
      <x:c r="CE11" s="117" t="n">
        <x:f>SUM('CF_1'!CE17,'CF_2'!CE17,'CF_3'!CE17,'CF_4'!CE17)</x:f>
      </x:c>
      <x:c r="CF11" s="117" t="n">
        <x:f>SUM('CF_1'!CF17,'CF_2'!CF17,'CF_3'!CF17,'CF_4'!CF17)</x:f>
      </x:c>
      <x:c r="CG11" s="117" t="n">
        <x:f>SUM('CF_1'!CG17,'CF_2'!CG17,'CF_3'!CG17,'CF_4'!CG17)</x:f>
      </x:c>
      <x:c r="CH11" s="117" t="n">
        <x:f>SUM('CF_1'!CH17,'CF_2'!CH17,'CF_3'!CH17,'CF_4'!CH17)</x:f>
      </x:c>
      <x:c r="CI11" s="117" t="n">
        <x:f>SUM('CF_1'!CI17,'CF_2'!CI17,'CF_3'!CI17,'CF_4'!CI17)</x:f>
      </x:c>
      <x:c r="CJ11" s="117" t="n">
        <x:f>SUM('CF_1'!CJ17,'CF_2'!CJ17,'CF_3'!CJ17,'CF_4'!CJ17)</x:f>
      </x:c>
      <x:c r="CK11" s="117" t="n">
        <x:f>SUM('CF_1'!CK17,'CF_2'!CK17,'CF_3'!CK17,'CF_4'!CK17)</x:f>
      </x:c>
      <x:c r="CL11" s="117" t="n">
        <x:f>SUM('CF_1'!CL17,'CF_2'!CL17,'CF_3'!CL17,'CF_4'!CL17)</x:f>
      </x:c>
      <x:c r="CM11" s="117" t="n">
        <x:f>SUM('CF_1'!CM17,'CF_2'!CM17,'CF_3'!CM17,'CF_4'!CM17)</x:f>
      </x:c>
      <x:c r="CN11" s="117" t="n">
        <x:f>SUM('CF_1'!CN17,'CF_2'!CN17,'CF_3'!CN17,'CF_4'!CN17)</x:f>
      </x:c>
      <x:c r="CO11" s="117" t="n">
        <x:f>SUM('CF_1'!CO17,'CF_2'!CO17,'CF_3'!CO17,'CF_4'!CO17)</x:f>
      </x:c>
      <x:c r="CP11" s="117" t="n">
        <x:f>SUM('CF_1'!CP17,'CF_2'!CP17,'CF_3'!CP17,'CF_4'!CP17)</x:f>
      </x:c>
      <x:c r="CQ11" s="117" t="n">
        <x:f>SUM('CF_1'!CQ17,'CF_2'!CQ17,'CF_3'!CQ17,'CF_4'!CQ17)</x:f>
      </x:c>
      <x:c r="CR11" s="117" t="n">
        <x:f>SUM('CF_1'!CR17,'CF_2'!CR17,'CF_3'!CR17,'CF_4'!CR17)</x:f>
      </x:c>
      <x:c r="CS11" s="117" t="n">
        <x:f>SUM('CF_1'!CS17,'CF_2'!CS17,'CF_3'!CS17,'CF_4'!CS17)</x:f>
      </x:c>
      <x:c r="CT11" s="117" t="n">
        <x:f>SUM('CF_1'!CT17,'CF_2'!CT17,'CF_3'!CT17,'CF_4'!CT17)</x:f>
      </x:c>
      <x:c r="CU11" s="117" t="n">
        <x:f>SUM('CF_1'!CU17,'CF_2'!CU17,'CF_3'!CU17,'CF_4'!CU17)</x:f>
      </x:c>
      <x:c r="CV11" s="117" t="n">
        <x:f>SUM('CF_1'!CV17,'CF_2'!CV17,'CF_3'!CV17,'CF_4'!CV17)</x:f>
      </x:c>
      <x:c r="CW11" s="117" t="n">
        <x:f>SUM('CF_1'!CW17,'CF_2'!CW17,'CF_3'!CW17,'CF_4'!CW17)</x:f>
      </x:c>
      <x:c r="CX11" s="117" t="n">
        <x:f>SUM('CF_1'!CX17,'CF_2'!CX17,'CF_3'!CX17,'CF_4'!CX17)</x:f>
      </x:c>
      <x:c r="CY11" s="117" t="n">
        <x:f>SUM('CF_1'!CY17,'CF_2'!CY17,'CF_3'!CY17,'CF_4'!CY17)</x:f>
      </x:c>
      <x:c r="CZ11" s="117" t="n">
        <x:f>SUM('CF_1'!CZ17,'CF_2'!CZ17,'CF_3'!CZ17,'CF_4'!CZ17)</x:f>
      </x:c>
      <x:c r="DA11" s="117" t="n">
        <x:f>SUM('CF_1'!DA17,'CF_2'!DA17,'CF_3'!DA17,'CF_4'!DA17)</x:f>
      </x:c>
      <x:c r="DB11" s="117" t="n">
        <x:f>SUM('CF_1'!DB17,'CF_2'!DB17,'CF_3'!DB17,'CF_4'!DB17)</x:f>
      </x:c>
      <x:c r="DC11" s="117" t="n">
        <x:f>SUM('CF_1'!DC17,'CF_2'!DC17,'CF_3'!DC17,'CF_4'!DC17)</x:f>
      </x:c>
      <x:c r="DD11" s="117" t="n">
        <x:f>SUM('CF_1'!DD17,'CF_2'!DD17,'CF_3'!DD17,'CF_4'!DD17)</x:f>
      </x:c>
      <x:c r="DE11" s="117" t="n">
        <x:f>SUM('CF_1'!DE17,'CF_2'!DE17,'CF_3'!DE17,'CF_4'!DE17)</x:f>
      </x:c>
      <x:c r="DF11" s="117" t="n">
        <x:f>SUM('CF_1'!DF17,'CF_2'!DF17,'CF_3'!DF17,'CF_4'!DF17)</x:f>
      </x:c>
      <x:c r="DG11" s="117" t="n">
        <x:f>SUM('CF_1'!DG17,'CF_2'!DG17,'CF_3'!DG17,'CF_4'!DG17)</x:f>
      </x:c>
      <x:c r="DH11" s="117" t="n">
        <x:f>SUM('CF_1'!DH17,'CF_2'!DH17,'CF_3'!DH17,'CF_4'!DH17)</x:f>
      </x:c>
      <x:c r="DI11" s="117" t="n">
        <x:f>SUM('CF_1'!DI17,'CF_2'!DI17,'CF_3'!DI17,'CF_4'!DI17)</x:f>
      </x:c>
      <x:c r="DJ11" s="117" t="n">
        <x:f>SUM('CF_1'!DJ17,'CF_2'!DJ17,'CF_3'!DJ17,'CF_4'!DJ17)</x:f>
      </x:c>
      <x:c r="DK11" s="117" t="n">
        <x:f>SUM('CF_1'!DK17,'CF_2'!DK17,'CF_3'!DK17,'CF_4'!DK17)</x:f>
      </x:c>
      <x:c r="DL11" s="117" t="n">
        <x:f>SUM('CF_1'!DL17,'CF_2'!DL17,'CF_3'!DL17,'CF_4'!DL17)</x:f>
      </x:c>
      <x:c r="DM11" s="117" t="n">
        <x:f>SUM('CF_1'!DM17,'CF_2'!DM17,'CF_3'!DM17,'CF_4'!DM17)</x:f>
      </x:c>
      <x:c r="DN11" s="117" t="n">
        <x:f>SUM('CF_1'!DN17,'CF_2'!DN17,'CF_3'!DN17,'CF_4'!DN17)</x:f>
      </x:c>
      <x:c r="DO11" s="117" t="n">
        <x:f>SUM('CF_1'!DO17,'CF_2'!DO17,'CF_3'!DO17,'CF_4'!DO17)</x:f>
      </x:c>
      <x:c r="DP11" s="117" t="n">
        <x:f>SUM('CF_1'!DP17,'CF_2'!DP17,'CF_3'!DP17,'CF_4'!DP17)</x:f>
      </x:c>
      <x:c r="DQ11" s="117" t="n">
        <x:f>SUM('CF_1'!DQ17,'CF_2'!DQ17,'CF_3'!DQ17,'CF_4'!DQ17)</x:f>
      </x:c>
      <x:c r="DR11" s="117" t="n">
        <x:f>SUM('CF_1'!DR17,'CF_2'!DR17,'CF_3'!DR17,'CF_4'!DR17)</x:f>
      </x:c>
      <x:c r="DS11" s="117" t="n">
        <x:f>SUM('CF_1'!DS17,'CF_2'!DS17,'CF_3'!DS17,'CF_4'!DS17)</x:f>
      </x:c>
    </x:row>
    <x:row r="12">
      <x:c r="A12" t="str">
        <x:v>Коммерческие расходы</x:v>
      </x:c>
      <x:c r="B12" t="n">
        <x:f>SUM(D12:DS12)</x:f>
      </x:c>
      <x:c r="C12" t="str">
        <x:v>млн ₽</x:v>
      </x:c>
      <x:c r="D12" s="117" t="n">
        <x:f>SUM('CF_1'!D18+'CF_1'!D19,'CF_2'!D18+'CF_2'!D19,'CF_3'!D18+'CF_3'!D19,'CF_4'!D18+'CF_4'!D19)</x:f>
      </x:c>
      <x:c r="E12" s="117" t="n">
        <x:f>SUM('CF_1'!E18+'CF_1'!E19,'CF_2'!E18+'CF_2'!E19,'CF_3'!E18+'CF_3'!E19,'CF_4'!E18+'CF_4'!E19)</x:f>
      </x:c>
      <x:c r="F12" s="117" t="n">
        <x:f>SUM('CF_1'!F18+'CF_1'!F19,'CF_2'!F18+'CF_2'!F19,'CF_3'!F18+'CF_3'!F19,'CF_4'!F18+'CF_4'!F19)</x:f>
      </x:c>
      <x:c r="G12" s="117" t="n">
        <x:f>SUM('CF_1'!G18+'CF_1'!G19,'CF_2'!G18+'CF_2'!G19,'CF_3'!G18+'CF_3'!G19,'CF_4'!G18+'CF_4'!G19)</x:f>
      </x:c>
      <x:c r="H12" s="117" t="n">
        <x:f>SUM('CF_1'!H18+'CF_1'!H19,'CF_2'!H18+'CF_2'!H19,'CF_3'!H18+'CF_3'!H19,'CF_4'!H18+'CF_4'!H19)</x:f>
      </x:c>
      <x:c r="I12" s="117" t="n">
        <x:f>SUM('CF_1'!I18+'CF_1'!I19,'CF_2'!I18+'CF_2'!I19,'CF_3'!I18+'CF_3'!I19,'CF_4'!I18+'CF_4'!I19)</x:f>
      </x:c>
      <x:c r="J12" s="117" t="n">
        <x:f>SUM('CF_1'!J18+'CF_1'!J19,'CF_2'!J18+'CF_2'!J19,'CF_3'!J18+'CF_3'!J19,'CF_4'!J18+'CF_4'!J19)</x:f>
      </x:c>
      <x:c r="K12" s="117" t="n">
        <x:f>SUM('CF_1'!K18+'CF_1'!K19,'CF_2'!K18+'CF_2'!K19,'CF_3'!K18+'CF_3'!K19,'CF_4'!K18+'CF_4'!K19)</x:f>
      </x:c>
      <x:c r="L12" s="117" t="n">
        <x:f>SUM('CF_1'!L18+'CF_1'!L19,'CF_2'!L18+'CF_2'!L19,'CF_3'!L18+'CF_3'!L19,'CF_4'!L18+'CF_4'!L19)</x:f>
      </x:c>
      <x:c r="M12" s="117" t="n">
        <x:f>SUM('CF_1'!M18+'CF_1'!M19,'CF_2'!M18+'CF_2'!M19,'CF_3'!M18+'CF_3'!M19,'CF_4'!M18+'CF_4'!M19)</x:f>
      </x:c>
      <x:c r="N12" s="117" t="n">
        <x:f>SUM('CF_1'!N18+'CF_1'!N19,'CF_2'!N18+'CF_2'!N19,'CF_3'!N18+'CF_3'!N19,'CF_4'!N18+'CF_4'!N19)</x:f>
      </x:c>
      <x:c r="O12" s="117" t="n">
        <x:f>SUM('CF_1'!O18+'CF_1'!O19,'CF_2'!O18+'CF_2'!O19,'CF_3'!O18+'CF_3'!O19,'CF_4'!O18+'CF_4'!O19)</x:f>
      </x:c>
      <x:c r="P12" s="117" t="n">
        <x:f>SUM('CF_1'!P18+'CF_1'!P19,'CF_2'!P18+'CF_2'!P19,'CF_3'!P18+'CF_3'!P19,'CF_4'!P18+'CF_4'!P19)</x:f>
      </x:c>
      <x:c r="Q12" s="117" t="n">
        <x:f>SUM('CF_1'!Q18+'CF_1'!Q19,'CF_2'!Q18+'CF_2'!Q19,'CF_3'!Q18+'CF_3'!Q19,'CF_4'!Q18+'CF_4'!Q19)</x:f>
      </x:c>
      <x:c r="R12" s="117" t="n">
        <x:f>SUM('CF_1'!R18+'CF_1'!R19,'CF_2'!R18+'CF_2'!R19,'CF_3'!R18+'CF_3'!R19,'CF_4'!R18+'CF_4'!R19)</x:f>
      </x:c>
      <x:c r="S12" s="117" t="n">
        <x:f>SUM('CF_1'!S18+'CF_1'!S19,'CF_2'!S18+'CF_2'!S19,'CF_3'!S18+'CF_3'!S19,'CF_4'!S18+'CF_4'!S19)</x:f>
      </x:c>
      <x:c r="T12" s="117" t="n">
        <x:f>SUM('CF_1'!T18+'CF_1'!T19,'CF_2'!T18+'CF_2'!T19,'CF_3'!T18+'CF_3'!T19,'CF_4'!T18+'CF_4'!T19)</x:f>
      </x:c>
      <x:c r="U12" s="117" t="n">
        <x:f>SUM('CF_1'!U18+'CF_1'!U19,'CF_2'!U18+'CF_2'!U19,'CF_3'!U18+'CF_3'!U19,'CF_4'!U18+'CF_4'!U19)</x:f>
      </x:c>
      <x:c r="V12" s="117" t="n">
        <x:f>SUM('CF_1'!V18+'CF_1'!V19,'CF_2'!V18+'CF_2'!V19,'CF_3'!V18+'CF_3'!V19,'CF_4'!V18+'CF_4'!V19)</x:f>
      </x:c>
      <x:c r="W12" s="117" t="n">
        <x:f>SUM('CF_1'!W18+'CF_1'!W19,'CF_2'!W18+'CF_2'!W19,'CF_3'!W18+'CF_3'!W19,'CF_4'!W18+'CF_4'!W19)</x:f>
      </x:c>
      <x:c r="X12" s="117" t="n">
        <x:f>SUM('CF_1'!X18+'CF_1'!X19,'CF_2'!X18+'CF_2'!X19,'CF_3'!X18+'CF_3'!X19,'CF_4'!X18+'CF_4'!X19)</x:f>
      </x:c>
      <x:c r="Y12" s="117" t="n">
        <x:f>SUM('CF_1'!Y18+'CF_1'!Y19,'CF_2'!Y18+'CF_2'!Y19,'CF_3'!Y18+'CF_3'!Y19,'CF_4'!Y18+'CF_4'!Y19)</x:f>
      </x:c>
      <x:c r="Z12" s="117" t="n">
        <x:f>SUM('CF_1'!Z18+'CF_1'!Z19,'CF_2'!Z18+'CF_2'!Z19,'CF_3'!Z18+'CF_3'!Z19,'CF_4'!Z18+'CF_4'!Z19)</x:f>
      </x:c>
      <x:c r="AA12" s="117" t="n">
        <x:f>SUM('CF_1'!AA18+'CF_1'!AA19,'CF_2'!AA18+'CF_2'!AA19,'CF_3'!AA18+'CF_3'!AA19,'CF_4'!AA18+'CF_4'!AA19)</x:f>
      </x:c>
      <x:c r="AB12" s="117" t="n">
        <x:f>SUM('CF_1'!AB18+'CF_1'!AB19,'CF_2'!AB18+'CF_2'!AB19,'CF_3'!AB18+'CF_3'!AB19,'CF_4'!AB18+'CF_4'!AB19)</x:f>
      </x:c>
      <x:c r="AC12" s="117" t="n">
        <x:f>SUM('CF_1'!AC18+'CF_1'!AC19,'CF_2'!AC18+'CF_2'!AC19,'CF_3'!AC18+'CF_3'!AC19,'CF_4'!AC18+'CF_4'!AC19)</x:f>
      </x:c>
      <x:c r="AD12" s="117" t="n">
        <x:f>SUM('CF_1'!AD18+'CF_1'!AD19,'CF_2'!AD18+'CF_2'!AD19,'CF_3'!AD18+'CF_3'!AD19,'CF_4'!AD18+'CF_4'!AD19)</x:f>
      </x:c>
      <x:c r="AE12" s="117" t="n">
        <x:f>SUM('CF_1'!AE18+'CF_1'!AE19,'CF_2'!AE18+'CF_2'!AE19,'CF_3'!AE18+'CF_3'!AE19,'CF_4'!AE18+'CF_4'!AE19)</x:f>
      </x:c>
      <x:c r="AF12" s="117" t="n">
        <x:f>SUM('CF_1'!AF18+'CF_1'!AF19,'CF_2'!AF18+'CF_2'!AF19,'CF_3'!AF18+'CF_3'!AF19,'CF_4'!AF18+'CF_4'!AF19)</x:f>
      </x:c>
      <x:c r="AG12" s="117" t="n">
        <x:f>SUM('CF_1'!AG18+'CF_1'!AG19,'CF_2'!AG18+'CF_2'!AG19,'CF_3'!AG18+'CF_3'!AG19,'CF_4'!AG18+'CF_4'!AG19)</x:f>
      </x:c>
      <x:c r="AH12" s="117" t="n">
        <x:f>SUM('CF_1'!AH18+'CF_1'!AH19,'CF_2'!AH18+'CF_2'!AH19,'CF_3'!AH18+'CF_3'!AH19,'CF_4'!AH18+'CF_4'!AH19)</x:f>
      </x:c>
      <x:c r="AI12" s="117" t="n">
        <x:f>SUM('CF_1'!AI18+'CF_1'!AI19,'CF_2'!AI18+'CF_2'!AI19,'CF_3'!AI18+'CF_3'!AI19,'CF_4'!AI18+'CF_4'!AI19)</x:f>
      </x:c>
      <x:c r="AJ12" s="117" t="n">
        <x:f>SUM('CF_1'!AJ18+'CF_1'!AJ19,'CF_2'!AJ18+'CF_2'!AJ19,'CF_3'!AJ18+'CF_3'!AJ19,'CF_4'!AJ18+'CF_4'!AJ19)</x:f>
      </x:c>
      <x:c r="AK12" s="117" t="n">
        <x:f>SUM('CF_1'!AK18+'CF_1'!AK19,'CF_2'!AK18+'CF_2'!AK19,'CF_3'!AK18+'CF_3'!AK19,'CF_4'!AK18+'CF_4'!AK19)</x:f>
      </x:c>
      <x:c r="AL12" s="117" t="n">
        <x:f>SUM('CF_1'!AL18+'CF_1'!AL19,'CF_2'!AL18+'CF_2'!AL19,'CF_3'!AL18+'CF_3'!AL19,'CF_4'!AL18+'CF_4'!AL19)</x:f>
      </x:c>
      <x:c r="AM12" s="117" t="n">
        <x:f>SUM('CF_1'!AM18+'CF_1'!AM19,'CF_2'!AM18+'CF_2'!AM19,'CF_3'!AM18+'CF_3'!AM19,'CF_4'!AM18+'CF_4'!AM19)</x:f>
      </x:c>
      <x:c r="AN12" s="117" t="n">
        <x:f>SUM('CF_1'!AN18+'CF_1'!AN19,'CF_2'!AN18+'CF_2'!AN19,'CF_3'!AN18+'CF_3'!AN19,'CF_4'!AN18+'CF_4'!AN19)</x:f>
      </x:c>
      <x:c r="AO12" s="117" t="n">
        <x:f>SUM('CF_1'!AO18+'CF_1'!AO19,'CF_2'!AO18+'CF_2'!AO19,'CF_3'!AO18+'CF_3'!AO19,'CF_4'!AO18+'CF_4'!AO19)</x:f>
      </x:c>
      <x:c r="AP12" s="117" t="n">
        <x:f>SUM('CF_1'!AP18+'CF_1'!AP19,'CF_2'!AP18+'CF_2'!AP19,'CF_3'!AP18+'CF_3'!AP19,'CF_4'!AP18+'CF_4'!AP19)</x:f>
      </x:c>
      <x:c r="AQ12" s="117" t="n">
        <x:f>SUM('CF_1'!AQ18+'CF_1'!AQ19,'CF_2'!AQ18+'CF_2'!AQ19,'CF_3'!AQ18+'CF_3'!AQ19,'CF_4'!AQ18+'CF_4'!AQ19)</x:f>
      </x:c>
      <x:c r="AR12" s="117" t="n">
        <x:f>SUM('CF_1'!AR18+'CF_1'!AR19,'CF_2'!AR18+'CF_2'!AR19,'CF_3'!AR18+'CF_3'!AR19,'CF_4'!AR18+'CF_4'!AR19)</x:f>
      </x:c>
      <x:c r="AS12" s="117" t="n">
        <x:f>SUM('CF_1'!AS18+'CF_1'!AS19,'CF_2'!AS18+'CF_2'!AS19,'CF_3'!AS18+'CF_3'!AS19,'CF_4'!AS18+'CF_4'!AS19)</x:f>
      </x:c>
      <x:c r="AT12" s="117" t="n">
        <x:f>SUM('CF_1'!AT18+'CF_1'!AT19,'CF_2'!AT18+'CF_2'!AT19,'CF_3'!AT18+'CF_3'!AT19,'CF_4'!AT18+'CF_4'!AT19)</x:f>
      </x:c>
      <x:c r="AU12" s="117" t="n">
        <x:f>SUM('CF_1'!AU18+'CF_1'!AU19,'CF_2'!AU18+'CF_2'!AU19,'CF_3'!AU18+'CF_3'!AU19,'CF_4'!AU18+'CF_4'!AU19)</x:f>
      </x:c>
      <x:c r="AV12" s="117" t="n">
        <x:f>SUM('CF_1'!AV18+'CF_1'!AV19,'CF_2'!AV18+'CF_2'!AV19,'CF_3'!AV18+'CF_3'!AV19,'CF_4'!AV18+'CF_4'!AV19)</x:f>
      </x:c>
      <x:c r="AW12" s="117" t="n">
        <x:f>SUM('CF_1'!AW18+'CF_1'!AW19,'CF_2'!AW18+'CF_2'!AW19,'CF_3'!AW18+'CF_3'!AW19,'CF_4'!AW18+'CF_4'!AW19)</x:f>
      </x:c>
      <x:c r="AX12" s="117" t="n">
        <x:f>SUM('CF_1'!AX18+'CF_1'!AX19,'CF_2'!AX18+'CF_2'!AX19,'CF_3'!AX18+'CF_3'!AX19,'CF_4'!AX18+'CF_4'!AX19)</x:f>
      </x:c>
      <x:c r="AY12" s="117" t="n">
        <x:f>SUM('CF_1'!AY18+'CF_1'!AY19,'CF_2'!AY18+'CF_2'!AY19,'CF_3'!AY18+'CF_3'!AY19,'CF_4'!AY18+'CF_4'!AY19)</x:f>
      </x:c>
      <x:c r="AZ12" s="117" t="n">
        <x:f>SUM('CF_1'!AZ18+'CF_1'!AZ19,'CF_2'!AZ18+'CF_2'!AZ19,'CF_3'!AZ18+'CF_3'!AZ19,'CF_4'!AZ18+'CF_4'!AZ19)</x:f>
      </x:c>
      <x:c r="BA12" s="117" t="n">
        <x:f>SUM('CF_1'!BA18+'CF_1'!BA19,'CF_2'!BA18+'CF_2'!BA19,'CF_3'!BA18+'CF_3'!BA19,'CF_4'!BA18+'CF_4'!BA19)</x:f>
      </x:c>
      <x:c r="BB12" s="117" t="n">
        <x:f>SUM('CF_1'!BB18+'CF_1'!BB19,'CF_2'!BB18+'CF_2'!BB19,'CF_3'!BB18+'CF_3'!BB19,'CF_4'!BB18+'CF_4'!BB19)</x:f>
      </x:c>
      <x:c r="BC12" s="117" t="n">
        <x:f>SUM('CF_1'!BC18+'CF_1'!BC19,'CF_2'!BC18+'CF_2'!BC19,'CF_3'!BC18+'CF_3'!BC19,'CF_4'!BC18+'CF_4'!BC19)</x:f>
      </x:c>
      <x:c r="BD12" s="117" t="n">
        <x:f>SUM('CF_1'!BD18+'CF_1'!BD19,'CF_2'!BD18+'CF_2'!BD19,'CF_3'!BD18+'CF_3'!BD19,'CF_4'!BD18+'CF_4'!BD19)</x:f>
      </x:c>
      <x:c r="BE12" s="117" t="n">
        <x:f>SUM('CF_1'!BE18+'CF_1'!BE19,'CF_2'!BE18+'CF_2'!BE19,'CF_3'!BE18+'CF_3'!BE19,'CF_4'!BE18+'CF_4'!BE19)</x:f>
      </x:c>
      <x:c r="BF12" s="117" t="n">
        <x:f>SUM('CF_1'!BF18+'CF_1'!BF19,'CF_2'!BF18+'CF_2'!BF19,'CF_3'!BF18+'CF_3'!BF19,'CF_4'!BF18+'CF_4'!BF19)</x:f>
      </x:c>
      <x:c r="BG12" s="117" t="n">
        <x:f>SUM('CF_1'!BG18+'CF_1'!BG19,'CF_2'!BG18+'CF_2'!BG19,'CF_3'!BG18+'CF_3'!BG19,'CF_4'!BG18+'CF_4'!BG19)</x:f>
      </x:c>
      <x:c r="BH12" s="117" t="n">
        <x:f>SUM('CF_1'!BH18+'CF_1'!BH19,'CF_2'!BH18+'CF_2'!BH19,'CF_3'!BH18+'CF_3'!BH19,'CF_4'!BH18+'CF_4'!BH19)</x:f>
      </x:c>
      <x:c r="BI12" s="117" t="n">
        <x:f>SUM('CF_1'!BI18+'CF_1'!BI19,'CF_2'!BI18+'CF_2'!BI19,'CF_3'!BI18+'CF_3'!BI19,'CF_4'!BI18+'CF_4'!BI19)</x:f>
      </x:c>
      <x:c r="BJ12" s="117" t="n">
        <x:f>SUM('CF_1'!BJ18+'CF_1'!BJ19,'CF_2'!BJ18+'CF_2'!BJ19,'CF_3'!BJ18+'CF_3'!BJ19,'CF_4'!BJ18+'CF_4'!BJ19)</x:f>
      </x:c>
      <x:c r="BK12" s="117" t="n">
        <x:f>SUM('CF_1'!BK18+'CF_1'!BK19,'CF_2'!BK18+'CF_2'!BK19,'CF_3'!BK18+'CF_3'!BK19,'CF_4'!BK18+'CF_4'!BK19)</x:f>
      </x:c>
      <x:c r="BL12" s="117" t="n">
        <x:f>SUM('CF_1'!BL18+'CF_1'!BL19,'CF_2'!BL18+'CF_2'!BL19,'CF_3'!BL18+'CF_3'!BL19,'CF_4'!BL18+'CF_4'!BL19)</x:f>
      </x:c>
      <x:c r="BM12" s="117" t="n">
        <x:f>SUM('CF_1'!BM18+'CF_1'!BM19,'CF_2'!BM18+'CF_2'!BM19,'CF_3'!BM18+'CF_3'!BM19,'CF_4'!BM18+'CF_4'!BM19)</x:f>
      </x:c>
      <x:c r="BN12" s="117" t="n">
        <x:f>SUM('CF_1'!BN18+'CF_1'!BN19,'CF_2'!BN18+'CF_2'!BN19,'CF_3'!BN18+'CF_3'!BN19,'CF_4'!BN18+'CF_4'!BN19)</x:f>
      </x:c>
      <x:c r="BO12" s="117" t="n">
        <x:f>SUM('CF_1'!BO18+'CF_1'!BO19,'CF_2'!BO18+'CF_2'!BO19,'CF_3'!BO18+'CF_3'!BO19,'CF_4'!BO18+'CF_4'!BO19)</x:f>
      </x:c>
      <x:c r="BP12" s="117" t="n">
        <x:f>SUM('CF_1'!BP18+'CF_1'!BP19,'CF_2'!BP18+'CF_2'!BP19,'CF_3'!BP18+'CF_3'!BP19,'CF_4'!BP18+'CF_4'!BP19)</x:f>
      </x:c>
      <x:c r="BQ12" s="117" t="n">
        <x:f>SUM('CF_1'!BQ18+'CF_1'!BQ19,'CF_2'!BQ18+'CF_2'!BQ19,'CF_3'!BQ18+'CF_3'!BQ19,'CF_4'!BQ18+'CF_4'!BQ19)</x:f>
      </x:c>
      <x:c r="BR12" s="117" t="n">
        <x:f>SUM('CF_1'!BR18+'CF_1'!BR19,'CF_2'!BR18+'CF_2'!BR19,'CF_3'!BR18+'CF_3'!BR19,'CF_4'!BR18+'CF_4'!BR19)</x:f>
      </x:c>
      <x:c r="BS12" s="117" t="n">
        <x:f>SUM('CF_1'!BS18+'CF_1'!BS19,'CF_2'!BS18+'CF_2'!BS19,'CF_3'!BS18+'CF_3'!BS19,'CF_4'!BS18+'CF_4'!BS19)</x:f>
      </x:c>
      <x:c r="BT12" s="117" t="n">
        <x:f>SUM('CF_1'!BT18+'CF_1'!BT19,'CF_2'!BT18+'CF_2'!BT19,'CF_3'!BT18+'CF_3'!BT19,'CF_4'!BT18+'CF_4'!BT19)</x:f>
      </x:c>
      <x:c r="BU12" s="117" t="n">
        <x:f>SUM('CF_1'!BU18+'CF_1'!BU19,'CF_2'!BU18+'CF_2'!BU19,'CF_3'!BU18+'CF_3'!BU19,'CF_4'!BU18+'CF_4'!BU19)</x:f>
      </x:c>
      <x:c r="BV12" s="117" t="n">
        <x:f>SUM('CF_1'!BV18+'CF_1'!BV19,'CF_2'!BV18+'CF_2'!BV19,'CF_3'!BV18+'CF_3'!BV19,'CF_4'!BV18+'CF_4'!BV19)</x:f>
      </x:c>
      <x:c r="BW12" s="117" t="n">
        <x:f>SUM('CF_1'!BW18+'CF_1'!BW19,'CF_2'!BW18+'CF_2'!BW19,'CF_3'!BW18+'CF_3'!BW19,'CF_4'!BW18+'CF_4'!BW19)</x:f>
      </x:c>
      <x:c r="BX12" s="117" t="n">
        <x:f>SUM('CF_1'!BX18+'CF_1'!BX19,'CF_2'!BX18+'CF_2'!BX19,'CF_3'!BX18+'CF_3'!BX19,'CF_4'!BX18+'CF_4'!BX19)</x:f>
      </x:c>
      <x:c r="BY12" s="117" t="n">
        <x:f>SUM('CF_1'!BY18+'CF_1'!BY19,'CF_2'!BY18+'CF_2'!BY19,'CF_3'!BY18+'CF_3'!BY19,'CF_4'!BY18+'CF_4'!BY19)</x:f>
      </x:c>
      <x:c r="BZ12" s="117" t="n">
        <x:f>SUM('CF_1'!BZ18+'CF_1'!BZ19,'CF_2'!BZ18+'CF_2'!BZ19,'CF_3'!BZ18+'CF_3'!BZ19,'CF_4'!BZ18+'CF_4'!BZ19)</x:f>
      </x:c>
      <x:c r="CA12" s="117" t="n">
        <x:f>SUM('CF_1'!CA18+'CF_1'!CA19,'CF_2'!CA18+'CF_2'!CA19,'CF_3'!CA18+'CF_3'!CA19,'CF_4'!CA18+'CF_4'!CA19)</x:f>
      </x:c>
      <x:c r="CB12" s="117" t="n">
        <x:f>SUM('CF_1'!CB18+'CF_1'!CB19,'CF_2'!CB18+'CF_2'!CB19,'CF_3'!CB18+'CF_3'!CB19,'CF_4'!CB18+'CF_4'!CB19)</x:f>
      </x:c>
      <x:c r="CC12" s="117" t="n">
        <x:f>SUM('CF_1'!CC18+'CF_1'!CC19,'CF_2'!CC18+'CF_2'!CC19,'CF_3'!CC18+'CF_3'!CC19,'CF_4'!CC18+'CF_4'!CC19)</x:f>
      </x:c>
      <x:c r="CD12" s="117" t="n">
        <x:f>SUM('CF_1'!CD18+'CF_1'!CD19,'CF_2'!CD18+'CF_2'!CD19,'CF_3'!CD18+'CF_3'!CD19,'CF_4'!CD18+'CF_4'!CD19)</x:f>
      </x:c>
      <x:c r="CE12" s="117" t="n">
        <x:f>SUM('CF_1'!CE18+'CF_1'!CE19,'CF_2'!CE18+'CF_2'!CE19,'CF_3'!CE18+'CF_3'!CE19,'CF_4'!CE18+'CF_4'!CE19)</x:f>
      </x:c>
      <x:c r="CF12" s="117" t="n">
        <x:f>SUM('CF_1'!CF18+'CF_1'!CF19,'CF_2'!CF18+'CF_2'!CF19,'CF_3'!CF18+'CF_3'!CF19,'CF_4'!CF18+'CF_4'!CF19)</x:f>
      </x:c>
      <x:c r="CG12" s="117" t="n">
        <x:f>SUM('CF_1'!CG18+'CF_1'!CG19,'CF_2'!CG18+'CF_2'!CG19,'CF_3'!CG18+'CF_3'!CG19,'CF_4'!CG18+'CF_4'!CG19)</x:f>
      </x:c>
      <x:c r="CH12" s="117" t="n">
        <x:f>SUM('CF_1'!CH18+'CF_1'!CH19,'CF_2'!CH18+'CF_2'!CH19,'CF_3'!CH18+'CF_3'!CH19,'CF_4'!CH18+'CF_4'!CH19)</x:f>
      </x:c>
      <x:c r="CI12" s="117" t="n">
        <x:f>SUM('CF_1'!CI18+'CF_1'!CI19,'CF_2'!CI18+'CF_2'!CI19,'CF_3'!CI18+'CF_3'!CI19,'CF_4'!CI18+'CF_4'!CI19)</x:f>
      </x:c>
      <x:c r="CJ12" s="117" t="n">
        <x:f>SUM('CF_1'!CJ18+'CF_1'!CJ19,'CF_2'!CJ18+'CF_2'!CJ19,'CF_3'!CJ18+'CF_3'!CJ19,'CF_4'!CJ18+'CF_4'!CJ19)</x:f>
      </x:c>
      <x:c r="CK12" s="117" t="n">
        <x:f>SUM('CF_1'!CK18+'CF_1'!CK19,'CF_2'!CK18+'CF_2'!CK19,'CF_3'!CK18+'CF_3'!CK19,'CF_4'!CK18+'CF_4'!CK19)</x:f>
      </x:c>
      <x:c r="CL12" s="117" t="n">
        <x:f>SUM('CF_1'!CL18+'CF_1'!CL19,'CF_2'!CL18+'CF_2'!CL19,'CF_3'!CL18+'CF_3'!CL19,'CF_4'!CL18+'CF_4'!CL19)</x:f>
      </x:c>
      <x:c r="CM12" s="117" t="n">
        <x:f>SUM('CF_1'!CM18+'CF_1'!CM19,'CF_2'!CM18+'CF_2'!CM19,'CF_3'!CM18+'CF_3'!CM19,'CF_4'!CM18+'CF_4'!CM19)</x:f>
      </x:c>
      <x:c r="CN12" s="117" t="n">
        <x:f>SUM('CF_1'!CN18+'CF_1'!CN19,'CF_2'!CN18+'CF_2'!CN19,'CF_3'!CN18+'CF_3'!CN19,'CF_4'!CN18+'CF_4'!CN19)</x:f>
      </x:c>
      <x:c r="CO12" s="117" t="n">
        <x:f>SUM('CF_1'!CO18+'CF_1'!CO19,'CF_2'!CO18+'CF_2'!CO19,'CF_3'!CO18+'CF_3'!CO19,'CF_4'!CO18+'CF_4'!CO19)</x:f>
      </x:c>
      <x:c r="CP12" s="117" t="n">
        <x:f>SUM('CF_1'!CP18+'CF_1'!CP19,'CF_2'!CP18+'CF_2'!CP19,'CF_3'!CP18+'CF_3'!CP19,'CF_4'!CP18+'CF_4'!CP19)</x:f>
      </x:c>
      <x:c r="CQ12" s="117" t="n">
        <x:f>SUM('CF_1'!CQ18+'CF_1'!CQ19,'CF_2'!CQ18+'CF_2'!CQ19,'CF_3'!CQ18+'CF_3'!CQ19,'CF_4'!CQ18+'CF_4'!CQ19)</x:f>
      </x:c>
      <x:c r="CR12" s="117" t="n">
        <x:f>SUM('CF_1'!CR18+'CF_1'!CR19,'CF_2'!CR18+'CF_2'!CR19,'CF_3'!CR18+'CF_3'!CR19,'CF_4'!CR18+'CF_4'!CR19)</x:f>
      </x:c>
      <x:c r="CS12" s="117" t="n">
        <x:f>SUM('CF_1'!CS18+'CF_1'!CS19,'CF_2'!CS18+'CF_2'!CS19,'CF_3'!CS18+'CF_3'!CS19,'CF_4'!CS18+'CF_4'!CS19)</x:f>
      </x:c>
      <x:c r="CT12" s="117" t="n">
        <x:f>SUM('CF_1'!CT18+'CF_1'!CT19,'CF_2'!CT18+'CF_2'!CT19,'CF_3'!CT18+'CF_3'!CT19,'CF_4'!CT18+'CF_4'!CT19)</x:f>
      </x:c>
      <x:c r="CU12" s="117" t="n">
        <x:f>SUM('CF_1'!CU18+'CF_1'!CU19,'CF_2'!CU18+'CF_2'!CU19,'CF_3'!CU18+'CF_3'!CU19,'CF_4'!CU18+'CF_4'!CU19)</x:f>
      </x:c>
      <x:c r="CV12" s="117" t="n">
        <x:f>SUM('CF_1'!CV18+'CF_1'!CV19,'CF_2'!CV18+'CF_2'!CV19,'CF_3'!CV18+'CF_3'!CV19,'CF_4'!CV18+'CF_4'!CV19)</x:f>
      </x:c>
      <x:c r="CW12" s="117" t="n">
        <x:f>SUM('CF_1'!CW18+'CF_1'!CW19,'CF_2'!CW18+'CF_2'!CW19,'CF_3'!CW18+'CF_3'!CW19,'CF_4'!CW18+'CF_4'!CW19)</x:f>
      </x:c>
      <x:c r="CX12" s="117" t="n">
        <x:f>SUM('CF_1'!CX18+'CF_1'!CX19,'CF_2'!CX18+'CF_2'!CX19,'CF_3'!CX18+'CF_3'!CX19,'CF_4'!CX18+'CF_4'!CX19)</x:f>
      </x:c>
      <x:c r="CY12" s="117" t="n">
        <x:f>SUM('CF_1'!CY18+'CF_1'!CY19,'CF_2'!CY18+'CF_2'!CY19,'CF_3'!CY18+'CF_3'!CY19,'CF_4'!CY18+'CF_4'!CY19)</x:f>
      </x:c>
      <x:c r="CZ12" s="117" t="n">
        <x:f>SUM('CF_1'!CZ18+'CF_1'!CZ19,'CF_2'!CZ18+'CF_2'!CZ19,'CF_3'!CZ18+'CF_3'!CZ19,'CF_4'!CZ18+'CF_4'!CZ19)</x:f>
      </x:c>
      <x:c r="DA12" s="117" t="n">
        <x:f>SUM('CF_1'!DA18+'CF_1'!DA19,'CF_2'!DA18+'CF_2'!DA19,'CF_3'!DA18+'CF_3'!DA19,'CF_4'!DA18+'CF_4'!DA19)</x:f>
      </x:c>
      <x:c r="DB12" s="117" t="n">
        <x:f>SUM('CF_1'!DB18+'CF_1'!DB19,'CF_2'!DB18+'CF_2'!DB19,'CF_3'!DB18+'CF_3'!DB19,'CF_4'!DB18+'CF_4'!DB19)</x:f>
      </x:c>
      <x:c r="DC12" s="117" t="n">
        <x:f>SUM('CF_1'!DC18+'CF_1'!DC19,'CF_2'!DC18+'CF_2'!DC19,'CF_3'!DC18+'CF_3'!DC19,'CF_4'!DC18+'CF_4'!DC19)</x:f>
      </x:c>
      <x:c r="DD12" s="117" t="n">
        <x:f>SUM('CF_1'!DD18+'CF_1'!DD19,'CF_2'!DD18+'CF_2'!DD19,'CF_3'!DD18+'CF_3'!DD19,'CF_4'!DD18+'CF_4'!DD19)</x:f>
      </x:c>
      <x:c r="DE12" s="117" t="n">
        <x:f>SUM('CF_1'!DE18+'CF_1'!DE19,'CF_2'!DE18+'CF_2'!DE19,'CF_3'!DE18+'CF_3'!DE19,'CF_4'!DE18+'CF_4'!DE19)</x:f>
      </x:c>
      <x:c r="DF12" s="117" t="n">
        <x:f>SUM('CF_1'!DF18+'CF_1'!DF19,'CF_2'!DF18+'CF_2'!DF19,'CF_3'!DF18+'CF_3'!DF19,'CF_4'!DF18+'CF_4'!DF19)</x:f>
      </x:c>
      <x:c r="DG12" s="117" t="n">
        <x:f>SUM('CF_1'!DG18+'CF_1'!DG19,'CF_2'!DG18+'CF_2'!DG19,'CF_3'!DG18+'CF_3'!DG19,'CF_4'!DG18+'CF_4'!DG19)</x:f>
      </x:c>
      <x:c r="DH12" s="117" t="n">
        <x:f>SUM('CF_1'!DH18+'CF_1'!DH19,'CF_2'!DH18+'CF_2'!DH19,'CF_3'!DH18+'CF_3'!DH19,'CF_4'!DH18+'CF_4'!DH19)</x:f>
      </x:c>
      <x:c r="DI12" s="117" t="n">
        <x:f>SUM('CF_1'!DI18+'CF_1'!DI19,'CF_2'!DI18+'CF_2'!DI19,'CF_3'!DI18+'CF_3'!DI19,'CF_4'!DI18+'CF_4'!DI19)</x:f>
      </x:c>
      <x:c r="DJ12" s="117" t="n">
        <x:f>SUM('CF_1'!DJ18+'CF_1'!DJ19,'CF_2'!DJ18+'CF_2'!DJ19,'CF_3'!DJ18+'CF_3'!DJ19,'CF_4'!DJ18+'CF_4'!DJ19)</x:f>
      </x:c>
      <x:c r="DK12" s="117" t="n">
        <x:f>SUM('CF_1'!DK18+'CF_1'!DK19,'CF_2'!DK18+'CF_2'!DK19,'CF_3'!DK18+'CF_3'!DK19,'CF_4'!DK18+'CF_4'!DK19)</x:f>
      </x:c>
      <x:c r="DL12" s="117" t="n">
        <x:f>SUM('CF_1'!DL18+'CF_1'!DL19,'CF_2'!DL18+'CF_2'!DL19,'CF_3'!DL18+'CF_3'!DL19,'CF_4'!DL18+'CF_4'!DL19)</x:f>
      </x:c>
      <x:c r="DM12" s="117" t="n">
        <x:f>SUM('CF_1'!DM18+'CF_1'!DM19,'CF_2'!DM18+'CF_2'!DM19,'CF_3'!DM18+'CF_3'!DM19,'CF_4'!DM18+'CF_4'!DM19)</x:f>
      </x:c>
      <x:c r="DN12" s="117" t="n">
        <x:f>SUM('CF_1'!DN18+'CF_1'!DN19,'CF_2'!DN18+'CF_2'!DN19,'CF_3'!DN18+'CF_3'!DN19,'CF_4'!DN18+'CF_4'!DN19)</x:f>
      </x:c>
      <x:c r="DO12" s="117" t="n">
        <x:f>SUM('CF_1'!DO18+'CF_1'!DO19,'CF_2'!DO18+'CF_2'!DO19,'CF_3'!DO18+'CF_3'!DO19,'CF_4'!DO18+'CF_4'!DO19)</x:f>
      </x:c>
      <x:c r="DP12" s="117" t="n">
        <x:f>SUM('CF_1'!DP18+'CF_1'!DP19,'CF_2'!DP18+'CF_2'!DP19,'CF_3'!DP18+'CF_3'!DP19,'CF_4'!DP18+'CF_4'!DP19)</x:f>
      </x:c>
      <x:c r="DQ12" s="117" t="n">
        <x:f>SUM('CF_1'!DQ18+'CF_1'!DQ19,'CF_2'!DQ18+'CF_2'!DQ19,'CF_3'!DQ18+'CF_3'!DQ19,'CF_4'!DQ18+'CF_4'!DQ19)</x:f>
      </x:c>
      <x:c r="DR12" s="117" t="n">
        <x:f>SUM('CF_1'!DR18+'CF_1'!DR19,'CF_2'!DR18+'CF_2'!DR19,'CF_3'!DR18+'CF_3'!DR19,'CF_4'!DR18+'CF_4'!DR19)</x:f>
      </x:c>
      <x:c r="DS12" s="117" t="n">
        <x:f>SUM('CF_1'!DS18+'CF_1'!DS19,'CF_2'!DS18+'CF_2'!DS19,'CF_3'!DS18+'CF_3'!DS19,'CF_4'!DS18+'CF_4'!DS19)</x:f>
      </x:c>
    </x:row>
    <x:row r="13">
      <x:c r="A13" s="113" t="str">
        <x:v>Расходы проекта всего</x:v>
      </x:c>
      <x:c r="B13" s="113" t="n">
        <x:f>SUM(D13:DS13)</x:f>
      </x:c>
      <x:c r="C13" s="113" t="str">
        <x:v>млн ₽</x:v>
      </x:c>
      <x:c r="D13" s="120" t="n">
        <x:f>SUM('CF_1'!D20,'CF_2'!D20,'CF_3'!D20,'CF_4'!D20)</x:f>
      </x:c>
      <x:c r="E13" s="120" t="n">
        <x:f>SUM('CF_1'!E20,'CF_2'!E20,'CF_3'!E20,'CF_4'!E20)</x:f>
      </x:c>
      <x:c r="F13" s="120" t="n">
        <x:f>SUM('CF_1'!F20,'CF_2'!F20,'CF_3'!F20,'CF_4'!F20)</x:f>
      </x:c>
      <x:c r="G13" s="120" t="n">
        <x:f>SUM('CF_1'!G20,'CF_2'!G20,'CF_3'!G20,'CF_4'!G20)</x:f>
      </x:c>
      <x:c r="H13" s="120" t="n">
        <x:f>SUM('CF_1'!H20,'CF_2'!H20,'CF_3'!H20,'CF_4'!H20)</x:f>
      </x:c>
      <x:c r="I13" s="120" t="n">
        <x:f>SUM('CF_1'!I20,'CF_2'!I20,'CF_3'!I20,'CF_4'!I20)</x:f>
      </x:c>
      <x:c r="J13" s="120" t="n">
        <x:f>SUM('CF_1'!J20,'CF_2'!J20,'CF_3'!J20,'CF_4'!J20)</x:f>
      </x:c>
      <x:c r="K13" s="120" t="n">
        <x:f>SUM('CF_1'!K20,'CF_2'!K20,'CF_3'!K20,'CF_4'!K20)</x:f>
      </x:c>
      <x:c r="L13" s="120" t="n">
        <x:f>SUM('CF_1'!L20,'CF_2'!L20,'CF_3'!L20,'CF_4'!L20)</x:f>
      </x:c>
      <x:c r="M13" s="120" t="n">
        <x:f>SUM('CF_1'!M20,'CF_2'!M20,'CF_3'!M20,'CF_4'!M20)</x:f>
      </x:c>
      <x:c r="N13" s="120" t="n">
        <x:f>SUM('CF_1'!N20,'CF_2'!N20,'CF_3'!N20,'CF_4'!N20)</x:f>
      </x:c>
      <x:c r="O13" s="120" t="n">
        <x:f>SUM('CF_1'!O20,'CF_2'!O20,'CF_3'!O20,'CF_4'!O20)</x:f>
      </x:c>
      <x:c r="P13" s="120" t="n">
        <x:f>SUM('CF_1'!P20,'CF_2'!P20,'CF_3'!P20,'CF_4'!P20)</x:f>
      </x:c>
      <x:c r="Q13" s="120" t="n">
        <x:f>SUM('CF_1'!Q20,'CF_2'!Q20,'CF_3'!Q20,'CF_4'!Q20)</x:f>
      </x:c>
      <x:c r="R13" s="120" t="n">
        <x:f>SUM('CF_1'!R20,'CF_2'!R20,'CF_3'!R20,'CF_4'!R20)</x:f>
      </x:c>
      <x:c r="S13" s="120" t="n">
        <x:f>SUM('CF_1'!S20,'CF_2'!S20,'CF_3'!S20,'CF_4'!S20)</x:f>
      </x:c>
      <x:c r="T13" s="120" t="n">
        <x:f>SUM('CF_1'!T20,'CF_2'!T20,'CF_3'!T20,'CF_4'!T20)</x:f>
      </x:c>
      <x:c r="U13" s="120" t="n">
        <x:f>SUM('CF_1'!U20,'CF_2'!U20,'CF_3'!U20,'CF_4'!U20)</x:f>
      </x:c>
      <x:c r="V13" s="120" t="n">
        <x:f>SUM('CF_1'!V20,'CF_2'!V20,'CF_3'!V20,'CF_4'!V20)</x:f>
      </x:c>
      <x:c r="W13" s="120" t="n">
        <x:f>SUM('CF_1'!W20,'CF_2'!W20,'CF_3'!W20,'CF_4'!W20)</x:f>
      </x:c>
      <x:c r="X13" s="120" t="n">
        <x:f>SUM('CF_1'!X20,'CF_2'!X20,'CF_3'!X20,'CF_4'!X20)</x:f>
      </x:c>
      <x:c r="Y13" s="120" t="n">
        <x:f>SUM('CF_1'!Y20,'CF_2'!Y20,'CF_3'!Y20,'CF_4'!Y20)</x:f>
      </x:c>
      <x:c r="Z13" s="120" t="n">
        <x:f>SUM('CF_1'!Z20,'CF_2'!Z20,'CF_3'!Z20,'CF_4'!Z20)</x:f>
      </x:c>
      <x:c r="AA13" s="120" t="n">
        <x:f>SUM('CF_1'!AA20,'CF_2'!AA20,'CF_3'!AA20,'CF_4'!AA20)</x:f>
      </x:c>
      <x:c r="AB13" s="120" t="n">
        <x:f>SUM('CF_1'!AB20,'CF_2'!AB20,'CF_3'!AB20,'CF_4'!AB20)</x:f>
      </x:c>
      <x:c r="AC13" s="120" t="n">
        <x:f>SUM('CF_1'!AC20,'CF_2'!AC20,'CF_3'!AC20,'CF_4'!AC20)</x:f>
      </x:c>
      <x:c r="AD13" s="120" t="n">
        <x:f>SUM('CF_1'!AD20,'CF_2'!AD20,'CF_3'!AD20,'CF_4'!AD20)</x:f>
      </x:c>
      <x:c r="AE13" s="120" t="n">
        <x:f>SUM('CF_1'!AE20,'CF_2'!AE20,'CF_3'!AE20,'CF_4'!AE20)</x:f>
      </x:c>
      <x:c r="AF13" s="120" t="n">
        <x:f>SUM('CF_1'!AF20,'CF_2'!AF20,'CF_3'!AF20,'CF_4'!AF20)</x:f>
      </x:c>
      <x:c r="AG13" s="120" t="n">
        <x:f>SUM('CF_1'!AG20,'CF_2'!AG20,'CF_3'!AG20,'CF_4'!AG20)</x:f>
      </x:c>
      <x:c r="AH13" s="120" t="n">
        <x:f>SUM('CF_1'!AH20,'CF_2'!AH20,'CF_3'!AH20,'CF_4'!AH20)</x:f>
      </x:c>
      <x:c r="AI13" s="120" t="n">
        <x:f>SUM('CF_1'!AI20,'CF_2'!AI20,'CF_3'!AI20,'CF_4'!AI20)</x:f>
      </x:c>
      <x:c r="AJ13" s="120" t="n">
        <x:f>SUM('CF_1'!AJ20,'CF_2'!AJ20,'CF_3'!AJ20,'CF_4'!AJ20)</x:f>
      </x:c>
      <x:c r="AK13" s="120" t="n">
        <x:f>SUM('CF_1'!AK20,'CF_2'!AK20,'CF_3'!AK20,'CF_4'!AK20)</x:f>
      </x:c>
      <x:c r="AL13" s="120" t="n">
        <x:f>SUM('CF_1'!AL20,'CF_2'!AL20,'CF_3'!AL20,'CF_4'!AL20)</x:f>
      </x:c>
      <x:c r="AM13" s="120" t="n">
        <x:f>SUM('CF_1'!AM20,'CF_2'!AM20,'CF_3'!AM20,'CF_4'!AM20)</x:f>
      </x:c>
      <x:c r="AN13" s="120" t="n">
        <x:f>SUM('CF_1'!AN20,'CF_2'!AN20,'CF_3'!AN20,'CF_4'!AN20)</x:f>
      </x:c>
      <x:c r="AO13" s="120" t="n">
        <x:f>SUM('CF_1'!AO20,'CF_2'!AO20,'CF_3'!AO20,'CF_4'!AO20)</x:f>
      </x:c>
      <x:c r="AP13" s="120" t="n">
        <x:f>SUM('CF_1'!AP20,'CF_2'!AP20,'CF_3'!AP20,'CF_4'!AP20)</x:f>
      </x:c>
      <x:c r="AQ13" s="120" t="n">
        <x:f>SUM('CF_1'!AQ20,'CF_2'!AQ20,'CF_3'!AQ20,'CF_4'!AQ20)</x:f>
      </x:c>
      <x:c r="AR13" s="120" t="n">
        <x:f>SUM('CF_1'!AR20,'CF_2'!AR20,'CF_3'!AR20,'CF_4'!AR20)</x:f>
      </x:c>
      <x:c r="AS13" s="120" t="n">
        <x:f>SUM('CF_1'!AS20,'CF_2'!AS20,'CF_3'!AS20,'CF_4'!AS20)</x:f>
      </x:c>
      <x:c r="AT13" s="120" t="n">
        <x:f>SUM('CF_1'!AT20,'CF_2'!AT20,'CF_3'!AT20,'CF_4'!AT20)</x:f>
      </x:c>
      <x:c r="AU13" s="120" t="n">
        <x:f>SUM('CF_1'!AU20,'CF_2'!AU20,'CF_3'!AU20,'CF_4'!AU20)</x:f>
      </x:c>
      <x:c r="AV13" s="120" t="n">
        <x:f>SUM('CF_1'!AV20,'CF_2'!AV20,'CF_3'!AV20,'CF_4'!AV20)</x:f>
      </x:c>
      <x:c r="AW13" s="120" t="n">
        <x:f>SUM('CF_1'!AW20,'CF_2'!AW20,'CF_3'!AW20,'CF_4'!AW20)</x:f>
      </x:c>
      <x:c r="AX13" s="120" t="n">
        <x:f>SUM('CF_1'!AX20,'CF_2'!AX20,'CF_3'!AX20,'CF_4'!AX20)</x:f>
      </x:c>
      <x:c r="AY13" s="120" t="n">
        <x:f>SUM('CF_1'!AY20,'CF_2'!AY20,'CF_3'!AY20,'CF_4'!AY20)</x:f>
      </x:c>
      <x:c r="AZ13" s="120" t="n">
        <x:f>SUM('CF_1'!AZ20,'CF_2'!AZ20,'CF_3'!AZ20,'CF_4'!AZ20)</x:f>
      </x:c>
      <x:c r="BA13" s="120" t="n">
        <x:f>SUM('CF_1'!BA20,'CF_2'!BA20,'CF_3'!BA20,'CF_4'!BA20)</x:f>
      </x:c>
      <x:c r="BB13" s="120" t="n">
        <x:f>SUM('CF_1'!BB20,'CF_2'!BB20,'CF_3'!BB20,'CF_4'!BB20)</x:f>
      </x:c>
      <x:c r="BC13" s="120" t="n">
        <x:f>SUM('CF_1'!BC20,'CF_2'!BC20,'CF_3'!BC20,'CF_4'!BC20)</x:f>
      </x:c>
      <x:c r="BD13" s="120" t="n">
        <x:f>SUM('CF_1'!BD20,'CF_2'!BD20,'CF_3'!BD20,'CF_4'!BD20)</x:f>
      </x:c>
      <x:c r="BE13" s="120" t="n">
        <x:f>SUM('CF_1'!BE20,'CF_2'!BE20,'CF_3'!BE20,'CF_4'!BE20)</x:f>
      </x:c>
      <x:c r="BF13" s="120" t="n">
        <x:f>SUM('CF_1'!BF20,'CF_2'!BF20,'CF_3'!BF20,'CF_4'!BF20)</x:f>
      </x:c>
      <x:c r="BG13" s="120" t="n">
        <x:f>SUM('CF_1'!BG20,'CF_2'!BG20,'CF_3'!BG20,'CF_4'!BG20)</x:f>
      </x:c>
      <x:c r="BH13" s="120" t="n">
        <x:f>SUM('CF_1'!BH20,'CF_2'!BH20,'CF_3'!BH20,'CF_4'!BH20)</x:f>
      </x:c>
      <x:c r="BI13" s="120" t="n">
        <x:f>SUM('CF_1'!BI20,'CF_2'!BI20,'CF_3'!BI20,'CF_4'!BI20)</x:f>
      </x:c>
      <x:c r="BJ13" s="120" t="n">
        <x:f>SUM('CF_1'!BJ20,'CF_2'!BJ20,'CF_3'!BJ20,'CF_4'!BJ20)</x:f>
      </x:c>
      <x:c r="BK13" s="120" t="n">
        <x:f>SUM('CF_1'!BK20,'CF_2'!BK20,'CF_3'!BK20,'CF_4'!BK20)</x:f>
      </x:c>
      <x:c r="BL13" s="120" t="n">
        <x:f>SUM('CF_1'!BL20,'CF_2'!BL20,'CF_3'!BL20,'CF_4'!BL20)</x:f>
      </x:c>
      <x:c r="BM13" s="120" t="n">
        <x:f>SUM('CF_1'!BM20,'CF_2'!BM20,'CF_3'!BM20,'CF_4'!BM20)</x:f>
      </x:c>
      <x:c r="BN13" s="120" t="n">
        <x:f>SUM('CF_1'!BN20,'CF_2'!BN20,'CF_3'!BN20,'CF_4'!BN20)</x:f>
      </x:c>
      <x:c r="BO13" s="120" t="n">
        <x:f>SUM('CF_1'!BO20,'CF_2'!BO20,'CF_3'!BO20,'CF_4'!BO20)</x:f>
      </x:c>
      <x:c r="BP13" s="120" t="n">
        <x:f>SUM('CF_1'!BP20,'CF_2'!BP20,'CF_3'!BP20,'CF_4'!BP20)</x:f>
      </x:c>
      <x:c r="BQ13" s="120" t="n">
        <x:f>SUM('CF_1'!BQ20,'CF_2'!BQ20,'CF_3'!BQ20,'CF_4'!BQ20)</x:f>
      </x:c>
      <x:c r="BR13" s="120" t="n">
        <x:f>SUM('CF_1'!BR20,'CF_2'!BR20,'CF_3'!BR20,'CF_4'!BR20)</x:f>
      </x:c>
      <x:c r="BS13" s="120" t="n">
        <x:f>SUM('CF_1'!BS20,'CF_2'!BS20,'CF_3'!BS20,'CF_4'!BS20)</x:f>
      </x:c>
      <x:c r="BT13" s="120" t="n">
        <x:f>SUM('CF_1'!BT20,'CF_2'!BT20,'CF_3'!BT20,'CF_4'!BT20)</x:f>
      </x:c>
      <x:c r="BU13" s="120" t="n">
        <x:f>SUM('CF_1'!BU20,'CF_2'!BU20,'CF_3'!BU20,'CF_4'!BU20)</x:f>
      </x:c>
      <x:c r="BV13" s="120" t="n">
        <x:f>SUM('CF_1'!BV20,'CF_2'!BV20,'CF_3'!BV20,'CF_4'!BV20)</x:f>
      </x:c>
      <x:c r="BW13" s="120" t="n">
        <x:f>SUM('CF_1'!BW20,'CF_2'!BW20,'CF_3'!BW20,'CF_4'!BW20)</x:f>
      </x:c>
      <x:c r="BX13" s="120" t="n">
        <x:f>SUM('CF_1'!BX20,'CF_2'!BX20,'CF_3'!BX20,'CF_4'!BX20)</x:f>
      </x:c>
      <x:c r="BY13" s="120" t="n">
        <x:f>SUM('CF_1'!BY20,'CF_2'!BY20,'CF_3'!BY20,'CF_4'!BY20)</x:f>
      </x:c>
      <x:c r="BZ13" s="120" t="n">
        <x:f>SUM('CF_1'!BZ20,'CF_2'!BZ20,'CF_3'!BZ20,'CF_4'!BZ20)</x:f>
      </x:c>
      <x:c r="CA13" s="120" t="n">
        <x:f>SUM('CF_1'!CA20,'CF_2'!CA20,'CF_3'!CA20,'CF_4'!CA20)</x:f>
      </x:c>
      <x:c r="CB13" s="120" t="n">
        <x:f>SUM('CF_1'!CB20,'CF_2'!CB20,'CF_3'!CB20,'CF_4'!CB20)</x:f>
      </x:c>
      <x:c r="CC13" s="120" t="n">
        <x:f>SUM('CF_1'!CC20,'CF_2'!CC20,'CF_3'!CC20,'CF_4'!CC20)</x:f>
      </x:c>
      <x:c r="CD13" s="120" t="n">
        <x:f>SUM('CF_1'!CD20,'CF_2'!CD20,'CF_3'!CD20,'CF_4'!CD20)</x:f>
      </x:c>
      <x:c r="CE13" s="120" t="n">
        <x:f>SUM('CF_1'!CE20,'CF_2'!CE20,'CF_3'!CE20,'CF_4'!CE20)</x:f>
      </x:c>
      <x:c r="CF13" s="120" t="n">
        <x:f>SUM('CF_1'!CF20,'CF_2'!CF20,'CF_3'!CF20,'CF_4'!CF20)</x:f>
      </x:c>
      <x:c r="CG13" s="120" t="n">
        <x:f>SUM('CF_1'!CG20,'CF_2'!CG20,'CF_3'!CG20,'CF_4'!CG20)</x:f>
      </x:c>
      <x:c r="CH13" s="120" t="n">
        <x:f>SUM('CF_1'!CH20,'CF_2'!CH20,'CF_3'!CH20,'CF_4'!CH20)</x:f>
      </x:c>
      <x:c r="CI13" s="120" t="n">
        <x:f>SUM('CF_1'!CI20,'CF_2'!CI20,'CF_3'!CI20,'CF_4'!CI20)</x:f>
      </x:c>
      <x:c r="CJ13" s="120" t="n">
        <x:f>SUM('CF_1'!CJ20,'CF_2'!CJ20,'CF_3'!CJ20,'CF_4'!CJ20)</x:f>
      </x:c>
      <x:c r="CK13" s="120" t="n">
        <x:f>SUM('CF_1'!CK20,'CF_2'!CK20,'CF_3'!CK20,'CF_4'!CK20)</x:f>
      </x:c>
      <x:c r="CL13" s="120" t="n">
        <x:f>SUM('CF_1'!CL20,'CF_2'!CL20,'CF_3'!CL20,'CF_4'!CL20)</x:f>
      </x:c>
      <x:c r="CM13" s="120" t="n">
        <x:f>SUM('CF_1'!CM20,'CF_2'!CM20,'CF_3'!CM20,'CF_4'!CM20)</x:f>
      </x:c>
      <x:c r="CN13" s="120" t="n">
        <x:f>SUM('CF_1'!CN20,'CF_2'!CN20,'CF_3'!CN20,'CF_4'!CN20)</x:f>
      </x:c>
      <x:c r="CO13" s="120" t="n">
        <x:f>SUM('CF_1'!CO20,'CF_2'!CO20,'CF_3'!CO20,'CF_4'!CO20)</x:f>
      </x:c>
      <x:c r="CP13" s="120" t="n">
        <x:f>SUM('CF_1'!CP20,'CF_2'!CP20,'CF_3'!CP20,'CF_4'!CP20)</x:f>
      </x:c>
      <x:c r="CQ13" s="120" t="n">
        <x:f>SUM('CF_1'!CQ20,'CF_2'!CQ20,'CF_3'!CQ20,'CF_4'!CQ20)</x:f>
      </x:c>
      <x:c r="CR13" s="120" t="n">
        <x:f>SUM('CF_1'!CR20,'CF_2'!CR20,'CF_3'!CR20,'CF_4'!CR20)</x:f>
      </x:c>
      <x:c r="CS13" s="120" t="n">
        <x:f>SUM('CF_1'!CS20,'CF_2'!CS20,'CF_3'!CS20,'CF_4'!CS20)</x:f>
      </x:c>
      <x:c r="CT13" s="120" t="n">
        <x:f>SUM('CF_1'!CT20,'CF_2'!CT20,'CF_3'!CT20,'CF_4'!CT20)</x:f>
      </x:c>
      <x:c r="CU13" s="120" t="n">
        <x:f>SUM('CF_1'!CU20,'CF_2'!CU20,'CF_3'!CU20,'CF_4'!CU20)</x:f>
      </x:c>
      <x:c r="CV13" s="120" t="n">
        <x:f>SUM('CF_1'!CV20,'CF_2'!CV20,'CF_3'!CV20,'CF_4'!CV20)</x:f>
      </x:c>
      <x:c r="CW13" s="120" t="n">
        <x:f>SUM('CF_1'!CW20,'CF_2'!CW20,'CF_3'!CW20,'CF_4'!CW20)</x:f>
      </x:c>
      <x:c r="CX13" s="120" t="n">
        <x:f>SUM('CF_1'!CX20,'CF_2'!CX20,'CF_3'!CX20,'CF_4'!CX20)</x:f>
      </x:c>
      <x:c r="CY13" s="120" t="n">
        <x:f>SUM('CF_1'!CY20,'CF_2'!CY20,'CF_3'!CY20,'CF_4'!CY20)</x:f>
      </x:c>
      <x:c r="CZ13" s="120" t="n">
        <x:f>SUM('CF_1'!CZ20,'CF_2'!CZ20,'CF_3'!CZ20,'CF_4'!CZ20)</x:f>
      </x:c>
      <x:c r="DA13" s="120" t="n">
        <x:f>SUM('CF_1'!DA20,'CF_2'!DA20,'CF_3'!DA20,'CF_4'!DA20)</x:f>
      </x:c>
      <x:c r="DB13" s="120" t="n">
        <x:f>SUM('CF_1'!DB20,'CF_2'!DB20,'CF_3'!DB20,'CF_4'!DB20)</x:f>
      </x:c>
      <x:c r="DC13" s="120" t="n">
        <x:f>SUM('CF_1'!DC20,'CF_2'!DC20,'CF_3'!DC20,'CF_4'!DC20)</x:f>
      </x:c>
      <x:c r="DD13" s="120" t="n">
        <x:f>SUM('CF_1'!DD20,'CF_2'!DD20,'CF_3'!DD20,'CF_4'!DD20)</x:f>
      </x:c>
      <x:c r="DE13" s="120" t="n">
        <x:f>SUM('CF_1'!DE20,'CF_2'!DE20,'CF_3'!DE20,'CF_4'!DE20)</x:f>
      </x:c>
      <x:c r="DF13" s="120" t="n">
        <x:f>SUM('CF_1'!DF20,'CF_2'!DF20,'CF_3'!DF20,'CF_4'!DF20)</x:f>
      </x:c>
      <x:c r="DG13" s="120" t="n">
        <x:f>SUM('CF_1'!DG20,'CF_2'!DG20,'CF_3'!DG20,'CF_4'!DG20)</x:f>
      </x:c>
      <x:c r="DH13" s="120" t="n">
        <x:f>SUM('CF_1'!DH20,'CF_2'!DH20,'CF_3'!DH20,'CF_4'!DH20)</x:f>
      </x:c>
      <x:c r="DI13" s="120" t="n">
        <x:f>SUM('CF_1'!DI20,'CF_2'!DI20,'CF_3'!DI20,'CF_4'!DI20)</x:f>
      </x:c>
      <x:c r="DJ13" s="120" t="n">
        <x:f>SUM('CF_1'!DJ20,'CF_2'!DJ20,'CF_3'!DJ20,'CF_4'!DJ20)</x:f>
      </x:c>
      <x:c r="DK13" s="120" t="n">
        <x:f>SUM('CF_1'!DK20,'CF_2'!DK20,'CF_3'!DK20,'CF_4'!DK20)</x:f>
      </x:c>
      <x:c r="DL13" s="120" t="n">
        <x:f>SUM('CF_1'!DL20,'CF_2'!DL20,'CF_3'!DL20,'CF_4'!DL20)</x:f>
      </x:c>
      <x:c r="DM13" s="120" t="n">
        <x:f>SUM('CF_1'!DM20,'CF_2'!DM20,'CF_3'!DM20,'CF_4'!DM20)</x:f>
      </x:c>
      <x:c r="DN13" s="120" t="n">
        <x:f>SUM('CF_1'!DN20,'CF_2'!DN20,'CF_3'!DN20,'CF_4'!DN20)</x:f>
      </x:c>
      <x:c r="DO13" s="120" t="n">
        <x:f>SUM('CF_1'!DO20,'CF_2'!DO20,'CF_3'!DO20,'CF_4'!DO20)</x:f>
      </x:c>
      <x:c r="DP13" s="120" t="n">
        <x:f>SUM('CF_1'!DP20,'CF_2'!DP20,'CF_3'!DP20,'CF_4'!DP20)</x:f>
      </x:c>
      <x:c r="DQ13" s="120" t="n">
        <x:f>SUM('CF_1'!DQ20,'CF_2'!DQ20,'CF_3'!DQ20,'CF_4'!DQ20)</x:f>
      </x:c>
      <x:c r="DR13" s="120" t="n">
        <x:f>SUM('CF_1'!DR20,'CF_2'!DR20,'CF_3'!DR20,'CF_4'!DR20)</x:f>
      </x:c>
      <x:c r="DS13" s="120" t="n">
        <x:f>SUM('CF_1'!DS20,'CF_2'!DS20,'CF_3'!DS20,'CF_4'!DS20)</x:f>
      </x:c>
    </x:row>
    <x:row r="14">
      <x:c r="A14" t="str">
        <x:v>Налог на прибыль</x:v>
      </x:c>
      <x:c r="B14" t="n">
        <x:f>SUM(D14:DS14)</x:f>
      </x:c>
      <x:c r="C14" t="str">
        <x:v>млн ₽</x:v>
      </x:c>
      <x:c r="D14" s="117" t="n">
        <x:f>SUM('CF_1'!D24,'CF_2'!D24,'CF_3'!D24,'CF_4'!D24)</x:f>
      </x:c>
      <x:c r="E14" s="117" t="n">
        <x:f>SUM('CF_1'!E24,'CF_2'!E24,'CF_3'!E24,'CF_4'!E24)</x:f>
      </x:c>
      <x:c r="F14" s="117" t="n">
        <x:f>SUM('CF_1'!F24,'CF_2'!F24,'CF_3'!F24,'CF_4'!F24)</x:f>
      </x:c>
      <x:c r="G14" s="117" t="n">
        <x:f>SUM('CF_1'!G24,'CF_2'!G24,'CF_3'!G24,'CF_4'!G24)</x:f>
      </x:c>
      <x:c r="H14" s="117" t="n">
        <x:f>SUM('CF_1'!H24,'CF_2'!H24,'CF_3'!H24,'CF_4'!H24)</x:f>
      </x:c>
      <x:c r="I14" s="117" t="n">
        <x:f>SUM('CF_1'!I24,'CF_2'!I24,'CF_3'!I24,'CF_4'!I24)</x:f>
      </x:c>
      <x:c r="J14" s="117" t="n">
        <x:f>SUM('CF_1'!J24,'CF_2'!J24,'CF_3'!J24,'CF_4'!J24)</x:f>
      </x:c>
      <x:c r="K14" s="117" t="n">
        <x:f>SUM('CF_1'!K24,'CF_2'!K24,'CF_3'!K24,'CF_4'!K24)</x:f>
      </x:c>
      <x:c r="L14" s="117" t="n">
        <x:f>SUM('CF_1'!L24,'CF_2'!L24,'CF_3'!L24,'CF_4'!L24)</x:f>
      </x:c>
      <x:c r="M14" s="117" t="n">
        <x:f>SUM('CF_1'!M24,'CF_2'!M24,'CF_3'!M24,'CF_4'!M24)</x:f>
      </x:c>
      <x:c r="N14" s="117" t="n">
        <x:f>SUM('CF_1'!N24,'CF_2'!N24,'CF_3'!N24,'CF_4'!N24)</x:f>
      </x:c>
      <x:c r="O14" s="117" t="n">
        <x:f>SUM('CF_1'!O24,'CF_2'!O24,'CF_3'!O24,'CF_4'!O24)</x:f>
      </x:c>
      <x:c r="P14" s="117" t="n">
        <x:f>SUM('CF_1'!P24,'CF_2'!P24,'CF_3'!P24,'CF_4'!P24)</x:f>
      </x:c>
      <x:c r="Q14" s="117" t="n">
        <x:f>SUM('CF_1'!Q24,'CF_2'!Q24,'CF_3'!Q24,'CF_4'!Q24)</x:f>
      </x:c>
      <x:c r="R14" s="117" t="n">
        <x:f>SUM('CF_1'!R24,'CF_2'!R24,'CF_3'!R24,'CF_4'!R24)</x:f>
      </x:c>
      <x:c r="S14" s="117" t="n">
        <x:f>SUM('CF_1'!S24,'CF_2'!S24,'CF_3'!S24,'CF_4'!S24)</x:f>
      </x:c>
      <x:c r="T14" s="117" t="n">
        <x:f>SUM('CF_1'!T24,'CF_2'!T24,'CF_3'!T24,'CF_4'!T24)</x:f>
      </x:c>
      <x:c r="U14" s="117" t="n">
        <x:f>SUM('CF_1'!U24,'CF_2'!U24,'CF_3'!U24,'CF_4'!U24)</x:f>
      </x:c>
      <x:c r="V14" s="117" t="n">
        <x:f>SUM('CF_1'!V24,'CF_2'!V24,'CF_3'!V24,'CF_4'!V24)</x:f>
      </x:c>
      <x:c r="W14" s="117" t="n">
        <x:f>SUM('CF_1'!W24,'CF_2'!W24,'CF_3'!W24,'CF_4'!W24)</x:f>
      </x:c>
      <x:c r="X14" s="117" t="n">
        <x:f>SUM('CF_1'!X24,'CF_2'!X24,'CF_3'!X24,'CF_4'!X24)</x:f>
      </x:c>
      <x:c r="Y14" s="117" t="n">
        <x:f>SUM('CF_1'!Y24,'CF_2'!Y24,'CF_3'!Y24,'CF_4'!Y24)</x:f>
      </x:c>
      <x:c r="Z14" s="117" t="n">
        <x:f>SUM('CF_1'!Z24,'CF_2'!Z24,'CF_3'!Z24,'CF_4'!Z24)</x:f>
      </x:c>
      <x:c r="AA14" s="117" t="n">
        <x:f>SUM('CF_1'!AA24,'CF_2'!AA24,'CF_3'!AA24,'CF_4'!AA24)</x:f>
      </x:c>
      <x:c r="AB14" s="117" t="n">
        <x:f>SUM('CF_1'!AB24,'CF_2'!AB24,'CF_3'!AB24,'CF_4'!AB24)</x:f>
      </x:c>
      <x:c r="AC14" s="117" t="n">
        <x:f>SUM('CF_1'!AC24,'CF_2'!AC24,'CF_3'!AC24,'CF_4'!AC24)</x:f>
      </x:c>
      <x:c r="AD14" s="117" t="n">
        <x:f>SUM('CF_1'!AD24,'CF_2'!AD24,'CF_3'!AD24,'CF_4'!AD24)</x:f>
      </x:c>
      <x:c r="AE14" s="117" t="n">
        <x:f>SUM('CF_1'!AE24,'CF_2'!AE24,'CF_3'!AE24,'CF_4'!AE24)</x:f>
      </x:c>
      <x:c r="AF14" s="117" t="n">
        <x:f>SUM('CF_1'!AF24,'CF_2'!AF24,'CF_3'!AF24,'CF_4'!AF24)</x:f>
      </x:c>
      <x:c r="AG14" s="117" t="n">
        <x:f>SUM('CF_1'!AG24,'CF_2'!AG24,'CF_3'!AG24,'CF_4'!AG24)</x:f>
      </x:c>
      <x:c r="AH14" s="117" t="n">
        <x:f>SUM('CF_1'!AH24,'CF_2'!AH24,'CF_3'!AH24,'CF_4'!AH24)</x:f>
      </x:c>
      <x:c r="AI14" s="117" t="n">
        <x:f>SUM('CF_1'!AI24,'CF_2'!AI24,'CF_3'!AI24,'CF_4'!AI24)</x:f>
      </x:c>
      <x:c r="AJ14" s="117" t="n">
        <x:f>SUM('CF_1'!AJ24,'CF_2'!AJ24,'CF_3'!AJ24,'CF_4'!AJ24)</x:f>
      </x:c>
      <x:c r="AK14" s="117" t="n">
        <x:f>SUM('CF_1'!AK24,'CF_2'!AK24,'CF_3'!AK24,'CF_4'!AK24)</x:f>
      </x:c>
      <x:c r="AL14" s="117" t="n">
        <x:f>SUM('CF_1'!AL24,'CF_2'!AL24,'CF_3'!AL24,'CF_4'!AL24)</x:f>
      </x:c>
      <x:c r="AM14" s="117" t="n">
        <x:f>SUM('CF_1'!AM24,'CF_2'!AM24,'CF_3'!AM24,'CF_4'!AM24)</x:f>
      </x:c>
      <x:c r="AN14" s="117" t="n">
        <x:f>SUM('CF_1'!AN24,'CF_2'!AN24,'CF_3'!AN24,'CF_4'!AN24)</x:f>
      </x:c>
      <x:c r="AO14" s="117" t="n">
        <x:f>SUM('CF_1'!AO24,'CF_2'!AO24,'CF_3'!AO24,'CF_4'!AO24)</x:f>
      </x:c>
      <x:c r="AP14" s="117" t="n">
        <x:f>SUM('CF_1'!AP24,'CF_2'!AP24,'CF_3'!AP24,'CF_4'!AP24)</x:f>
      </x:c>
      <x:c r="AQ14" s="117" t="n">
        <x:f>SUM('CF_1'!AQ24,'CF_2'!AQ24,'CF_3'!AQ24,'CF_4'!AQ24)</x:f>
      </x:c>
      <x:c r="AR14" s="117" t="n">
        <x:f>SUM('CF_1'!AR24,'CF_2'!AR24,'CF_3'!AR24,'CF_4'!AR24)</x:f>
      </x:c>
      <x:c r="AS14" s="117" t="n">
        <x:f>SUM('CF_1'!AS24,'CF_2'!AS24,'CF_3'!AS24,'CF_4'!AS24)</x:f>
      </x:c>
      <x:c r="AT14" s="117" t="n">
        <x:f>SUM('CF_1'!AT24,'CF_2'!AT24,'CF_3'!AT24,'CF_4'!AT24)</x:f>
      </x:c>
      <x:c r="AU14" s="117" t="n">
        <x:f>SUM('CF_1'!AU24,'CF_2'!AU24,'CF_3'!AU24,'CF_4'!AU24)</x:f>
      </x:c>
      <x:c r="AV14" s="117" t="n">
        <x:f>SUM('CF_1'!AV24,'CF_2'!AV24,'CF_3'!AV24,'CF_4'!AV24)</x:f>
      </x:c>
      <x:c r="AW14" s="117" t="n">
        <x:f>SUM('CF_1'!AW24,'CF_2'!AW24,'CF_3'!AW24,'CF_4'!AW24)</x:f>
      </x:c>
      <x:c r="AX14" s="117" t="n">
        <x:f>SUM('CF_1'!AX24,'CF_2'!AX24,'CF_3'!AX24,'CF_4'!AX24)</x:f>
      </x:c>
      <x:c r="AY14" s="117" t="n">
        <x:f>SUM('CF_1'!AY24,'CF_2'!AY24,'CF_3'!AY24,'CF_4'!AY24)</x:f>
      </x:c>
      <x:c r="AZ14" s="117" t="n">
        <x:f>SUM('CF_1'!AZ24,'CF_2'!AZ24,'CF_3'!AZ24,'CF_4'!AZ24)</x:f>
      </x:c>
      <x:c r="BA14" s="117" t="n">
        <x:f>SUM('CF_1'!BA24,'CF_2'!BA24,'CF_3'!BA24,'CF_4'!BA24)</x:f>
      </x:c>
      <x:c r="BB14" s="117" t="n">
        <x:f>SUM('CF_1'!BB24,'CF_2'!BB24,'CF_3'!BB24,'CF_4'!BB24)</x:f>
      </x:c>
      <x:c r="BC14" s="117" t="n">
        <x:f>SUM('CF_1'!BC24,'CF_2'!BC24,'CF_3'!BC24,'CF_4'!BC24)</x:f>
      </x:c>
      <x:c r="BD14" s="117" t="n">
        <x:f>SUM('CF_1'!BD24,'CF_2'!BD24,'CF_3'!BD24,'CF_4'!BD24)</x:f>
      </x:c>
      <x:c r="BE14" s="117" t="n">
        <x:f>SUM('CF_1'!BE24,'CF_2'!BE24,'CF_3'!BE24,'CF_4'!BE24)</x:f>
      </x:c>
      <x:c r="BF14" s="117" t="n">
        <x:f>SUM('CF_1'!BF24,'CF_2'!BF24,'CF_3'!BF24,'CF_4'!BF24)</x:f>
      </x:c>
      <x:c r="BG14" s="117" t="n">
        <x:f>SUM('CF_1'!BG24,'CF_2'!BG24,'CF_3'!BG24,'CF_4'!BG24)</x:f>
      </x:c>
      <x:c r="BH14" s="117" t="n">
        <x:f>SUM('CF_1'!BH24,'CF_2'!BH24,'CF_3'!BH24,'CF_4'!BH24)</x:f>
      </x:c>
      <x:c r="BI14" s="117" t="n">
        <x:f>SUM('CF_1'!BI24,'CF_2'!BI24,'CF_3'!BI24,'CF_4'!BI24)</x:f>
      </x:c>
      <x:c r="BJ14" s="117" t="n">
        <x:f>SUM('CF_1'!BJ24,'CF_2'!BJ24,'CF_3'!BJ24,'CF_4'!BJ24)</x:f>
      </x:c>
      <x:c r="BK14" s="117" t="n">
        <x:f>SUM('CF_1'!BK24,'CF_2'!BK24,'CF_3'!BK24,'CF_4'!BK24)</x:f>
      </x:c>
      <x:c r="BL14" s="117" t="n">
        <x:f>SUM('CF_1'!BL24,'CF_2'!BL24,'CF_3'!BL24,'CF_4'!BL24)</x:f>
      </x:c>
      <x:c r="BM14" s="117" t="n">
        <x:f>SUM('CF_1'!BM24,'CF_2'!BM24,'CF_3'!BM24,'CF_4'!BM24)</x:f>
      </x:c>
      <x:c r="BN14" s="117" t="n">
        <x:f>SUM('CF_1'!BN24,'CF_2'!BN24,'CF_3'!BN24,'CF_4'!BN24)</x:f>
      </x:c>
      <x:c r="BO14" s="117" t="n">
        <x:f>SUM('CF_1'!BO24,'CF_2'!BO24,'CF_3'!BO24,'CF_4'!BO24)</x:f>
      </x:c>
      <x:c r="BP14" s="117" t="n">
        <x:f>SUM('CF_1'!BP24,'CF_2'!BP24,'CF_3'!BP24,'CF_4'!BP24)</x:f>
      </x:c>
      <x:c r="BQ14" s="117" t="n">
        <x:f>SUM('CF_1'!BQ24,'CF_2'!BQ24,'CF_3'!BQ24,'CF_4'!BQ24)</x:f>
      </x:c>
      <x:c r="BR14" s="117" t="n">
        <x:f>SUM('CF_1'!BR24,'CF_2'!BR24,'CF_3'!BR24,'CF_4'!BR24)</x:f>
      </x:c>
      <x:c r="BS14" s="117" t="n">
        <x:f>SUM('CF_1'!BS24,'CF_2'!BS24,'CF_3'!BS24,'CF_4'!BS24)</x:f>
      </x:c>
      <x:c r="BT14" s="117" t="n">
        <x:f>SUM('CF_1'!BT24,'CF_2'!BT24,'CF_3'!BT24,'CF_4'!BT24)</x:f>
      </x:c>
      <x:c r="BU14" s="117" t="n">
        <x:f>SUM('CF_1'!BU24,'CF_2'!BU24,'CF_3'!BU24,'CF_4'!BU24)</x:f>
      </x:c>
      <x:c r="BV14" s="117" t="n">
        <x:f>SUM('CF_1'!BV24,'CF_2'!BV24,'CF_3'!BV24,'CF_4'!BV24)</x:f>
      </x:c>
      <x:c r="BW14" s="117" t="n">
        <x:f>SUM('CF_1'!BW24,'CF_2'!BW24,'CF_3'!BW24,'CF_4'!BW24)</x:f>
      </x:c>
      <x:c r="BX14" s="117" t="n">
        <x:f>SUM('CF_1'!BX24,'CF_2'!BX24,'CF_3'!BX24,'CF_4'!BX24)</x:f>
      </x:c>
      <x:c r="BY14" s="117" t="n">
        <x:f>SUM('CF_1'!BY24,'CF_2'!BY24,'CF_3'!BY24,'CF_4'!BY24)</x:f>
      </x:c>
      <x:c r="BZ14" s="117" t="n">
        <x:f>SUM('CF_1'!BZ24,'CF_2'!BZ24,'CF_3'!BZ24,'CF_4'!BZ24)</x:f>
      </x:c>
      <x:c r="CA14" s="117" t="n">
        <x:f>SUM('CF_1'!CA24,'CF_2'!CA24,'CF_3'!CA24,'CF_4'!CA24)</x:f>
      </x:c>
      <x:c r="CB14" s="117" t="n">
        <x:f>SUM('CF_1'!CB24,'CF_2'!CB24,'CF_3'!CB24,'CF_4'!CB24)</x:f>
      </x:c>
      <x:c r="CC14" s="117" t="n">
        <x:f>SUM('CF_1'!CC24,'CF_2'!CC24,'CF_3'!CC24,'CF_4'!CC24)</x:f>
      </x:c>
      <x:c r="CD14" s="117" t="n">
        <x:f>SUM('CF_1'!CD24,'CF_2'!CD24,'CF_3'!CD24,'CF_4'!CD24)</x:f>
      </x:c>
      <x:c r="CE14" s="117" t="n">
        <x:f>SUM('CF_1'!CE24,'CF_2'!CE24,'CF_3'!CE24,'CF_4'!CE24)</x:f>
      </x:c>
      <x:c r="CF14" s="117" t="n">
        <x:f>SUM('CF_1'!CF24,'CF_2'!CF24,'CF_3'!CF24,'CF_4'!CF24)</x:f>
      </x:c>
      <x:c r="CG14" s="117" t="n">
        <x:f>SUM('CF_1'!CG24,'CF_2'!CG24,'CF_3'!CG24,'CF_4'!CG24)</x:f>
      </x:c>
      <x:c r="CH14" s="117" t="n">
        <x:f>SUM('CF_1'!CH24,'CF_2'!CH24,'CF_3'!CH24,'CF_4'!CH24)</x:f>
      </x:c>
      <x:c r="CI14" s="117" t="n">
        <x:f>SUM('CF_1'!CI24,'CF_2'!CI24,'CF_3'!CI24,'CF_4'!CI24)</x:f>
      </x:c>
      <x:c r="CJ14" s="117" t="n">
        <x:f>SUM('CF_1'!CJ24,'CF_2'!CJ24,'CF_3'!CJ24,'CF_4'!CJ24)</x:f>
      </x:c>
      <x:c r="CK14" s="117" t="n">
        <x:f>SUM('CF_1'!CK24,'CF_2'!CK24,'CF_3'!CK24,'CF_4'!CK24)</x:f>
      </x:c>
      <x:c r="CL14" s="117" t="n">
        <x:f>SUM('CF_1'!CL24,'CF_2'!CL24,'CF_3'!CL24,'CF_4'!CL24)</x:f>
      </x:c>
      <x:c r="CM14" s="117" t="n">
        <x:f>SUM('CF_1'!CM24,'CF_2'!CM24,'CF_3'!CM24,'CF_4'!CM24)</x:f>
      </x:c>
      <x:c r="CN14" s="117" t="n">
        <x:f>SUM('CF_1'!CN24,'CF_2'!CN24,'CF_3'!CN24,'CF_4'!CN24)</x:f>
      </x:c>
      <x:c r="CO14" s="117" t="n">
        <x:f>SUM('CF_1'!CO24,'CF_2'!CO24,'CF_3'!CO24,'CF_4'!CO24)</x:f>
      </x:c>
      <x:c r="CP14" s="117" t="n">
        <x:f>SUM('CF_1'!CP24,'CF_2'!CP24,'CF_3'!CP24,'CF_4'!CP24)</x:f>
      </x:c>
      <x:c r="CQ14" s="117" t="n">
        <x:f>SUM('CF_1'!CQ24,'CF_2'!CQ24,'CF_3'!CQ24,'CF_4'!CQ24)</x:f>
      </x:c>
      <x:c r="CR14" s="117" t="n">
        <x:f>SUM('CF_1'!CR24,'CF_2'!CR24,'CF_3'!CR24,'CF_4'!CR24)</x:f>
      </x:c>
      <x:c r="CS14" s="117" t="n">
        <x:f>SUM('CF_1'!CS24,'CF_2'!CS24,'CF_3'!CS24,'CF_4'!CS24)</x:f>
      </x:c>
      <x:c r="CT14" s="117" t="n">
        <x:f>SUM('CF_1'!CT24,'CF_2'!CT24,'CF_3'!CT24,'CF_4'!CT24)</x:f>
      </x:c>
      <x:c r="CU14" s="117" t="n">
        <x:f>SUM('CF_1'!CU24,'CF_2'!CU24,'CF_3'!CU24,'CF_4'!CU24)</x:f>
      </x:c>
      <x:c r="CV14" s="117" t="n">
        <x:f>SUM('CF_1'!CV24,'CF_2'!CV24,'CF_3'!CV24,'CF_4'!CV24)</x:f>
      </x:c>
      <x:c r="CW14" s="117" t="n">
        <x:f>SUM('CF_1'!CW24,'CF_2'!CW24,'CF_3'!CW24,'CF_4'!CW24)</x:f>
      </x:c>
      <x:c r="CX14" s="117" t="n">
        <x:f>SUM('CF_1'!CX24,'CF_2'!CX24,'CF_3'!CX24,'CF_4'!CX24)</x:f>
      </x:c>
      <x:c r="CY14" s="117" t="n">
        <x:f>SUM('CF_1'!CY24,'CF_2'!CY24,'CF_3'!CY24,'CF_4'!CY24)</x:f>
      </x:c>
      <x:c r="CZ14" s="117" t="n">
        <x:f>SUM('CF_1'!CZ24,'CF_2'!CZ24,'CF_3'!CZ24,'CF_4'!CZ24)</x:f>
      </x:c>
      <x:c r="DA14" s="117" t="n">
        <x:f>SUM('CF_1'!DA24,'CF_2'!DA24,'CF_3'!DA24,'CF_4'!DA24)</x:f>
      </x:c>
      <x:c r="DB14" s="117" t="n">
        <x:f>SUM('CF_1'!DB24,'CF_2'!DB24,'CF_3'!DB24,'CF_4'!DB24)</x:f>
      </x:c>
      <x:c r="DC14" s="117" t="n">
        <x:f>SUM('CF_1'!DC24,'CF_2'!DC24,'CF_3'!DC24,'CF_4'!DC24)</x:f>
      </x:c>
      <x:c r="DD14" s="117" t="n">
        <x:f>SUM('CF_1'!DD24,'CF_2'!DD24,'CF_3'!DD24,'CF_4'!DD24)</x:f>
      </x:c>
      <x:c r="DE14" s="117" t="n">
        <x:f>SUM('CF_1'!DE24,'CF_2'!DE24,'CF_3'!DE24,'CF_4'!DE24)</x:f>
      </x:c>
      <x:c r="DF14" s="117" t="n">
        <x:f>SUM('CF_1'!DF24,'CF_2'!DF24,'CF_3'!DF24,'CF_4'!DF24)</x:f>
      </x:c>
      <x:c r="DG14" s="117" t="n">
        <x:f>SUM('CF_1'!DG24,'CF_2'!DG24,'CF_3'!DG24,'CF_4'!DG24)</x:f>
      </x:c>
      <x:c r="DH14" s="117" t="n">
        <x:f>SUM('CF_1'!DH24,'CF_2'!DH24,'CF_3'!DH24,'CF_4'!DH24)</x:f>
      </x:c>
      <x:c r="DI14" s="117" t="n">
        <x:f>SUM('CF_1'!DI24,'CF_2'!DI24,'CF_3'!DI24,'CF_4'!DI24)</x:f>
      </x:c>
      <x:c r="DJ14" s="117" t="n">
        <x:f>SUM('CF_1'!DJ24,'CF_2'!DJ24,'CF_3'!DJ24,'CF_4'!DJ24)</x:f>
      </x:c>
      <x:c r="DK14" s="117" t="n">
        <x:f>SUM('CF_1'!DK24,'CF_2'!DK24,'CF_3'!DK24,'CF_4'!DK24)</x:f>
      </x:c>
      <x:c r="DL14" s="117" t="n">
        <x:f>SUM('CF_1'!DL24,'CF_2'!DL24,'CF_3'!DL24,'CF_4'!DL24)</x:f>
      </x:c>
      <x:c r="DM14" s="117" t="n">
        <x:f>SUM('CF_1'!DM24,'CF_2'!DM24,'CF_3'!DM24,'CF_4'!DM24)</x:f>
      </x:c>
      <x:c r="DN14" s="117" t="n">
        <x:f>SUM('CF_1'!DN24,'CF_2'!DN24,'CF_3'!DN24,'CF_4'!DN24)</x:f>
      </x:c>
      <x:c r="DO14" s="117" t="n">
        <x:f>SUM('CF_1'!DO24,'CF_2'!DO24,'CF_3'!DO24,'CF_4'!DO24)</x:f>
      </x:c>
      <x:c r="DP14" s="117" t="n">
        <x:f>SUM('CF_1'!DP24,'CF_2'!DP24,'CF_3'!DP24,'CF_4'!DP24)</x:f>
      </x:c>
      <x:c r="DQ14" s="117" t="n">
        <x:f>SUM('CF_1'!DQ24,'CF_2'!DQ24,'CF_3'!DQ24,'CF_4'!DQ24)</x:f>
      </x:c>
      <x:c r="DR14" s="117" t="n">
        <x:f>SUM('CF_1'!DR24,'CF_2'!DR24,'CF_3'!DR24,'CF_4'!DR24)</x:f>
      </x:c>
      <x:c r="DS14" s="117" t="n">
        <x:f>SUM('CF_1'!DS24,'CF_2'!DS24,'CF_3'!DS24,'CF_4'!DS24)</x:f>
      </x:c>
    </x:row>
    <x:row r="15">
      <x:c r="A15" s="113" t="str">
        <x:v>CFADS</x:v>
      </x:c>
      <x:c r="B15" s="113" t="n">
        <x:f>SUM(D15:DS15)</x:f>
      </x:c>
      <x:c r="C15" s="113" t="str">
        <x:v>млн ₽</x:v>
      </x:c>
      <x:c r="D15" s="120" t="n">
        <x:f>SUM('CF_1'!D28,'CF_2'!D28,'CF_3'!D28,'CF_4'!D28)</x:f>
      </x:c>
      <x:c r="E15" s="120" t="n">
        <x:f>SUM('CF_1'!E28,'CF_2'!E28,'CF_3'!E28,'CF_4'!E28)</x:f>
      </x:c>
      <x:c r="F15" s="120" t="n">
        <x:f>SUM('CF_1'!F28,'CF_2'!F28,'CF_3'!F28,'CF_4'!F28)</x:f>
      </x:c>
      <x:c r="G15" s="120" t="n">
        <x:f>SUM('CF_1'!G28,'CF_2'!G28,'CF_3'!G28,'CF_4'!G28)</x:f>
      </x:c>
      <x:c r="H15" s="120" t="n">
        <x:f>SUM('CF_1'!H28,'CF_2'!H28,'CF_3'!H28,'CF_4'!H28)</x:f>
      </x:c>
      <x:c r="I15" s="120" t="n">
        <x:f>SUM('CF_1'!I28,'CF_2'!I28,'CF_3'!I28,'CF_4'!I28)</x:f>
      </x:c>
      <x:c r="J15" s="120" t="n">
        <x:f>SUM('CF_1'!J28,'CF_2'!J28,'CF_3'!J28,'CF_4'!J28)</x:f>
      </x:c>
      <x:c r="K15" s="120" t="n">
        <x:f>SUM('CF_1'!K28,'CF_2'!K28,'CF_3'!K28,'CF_4'!K28)</x:f>
      </x:c>
      <x:c r="L15" s="120" t="n">
        <x:f>SUM('CF_1'!L28,'CF_2'!L28,'CF_3'!L28,'CF_4'!L28)</x:f>
      </x:c>
      <x:c r="M15" s="120" t="n">
        <x:f>SUM('CF_1'!M28,'CF_2'!M28,'CF_3'!M28,'CF_4'!M28)</x:f>
      </x:c>
      <x:c r="N15" s="120" t="n">
        <x:f>SUM('CF_1'!N28,'CF_2'!N28,'CF_3'!N28,'CF_4'!N28)</x:f>
      </x:c>
      <x:c r="O15" s="120" t="n">
        <x:f>SUM('CF_1'!O28,'CF_2'!O28,'CF_3'!O28,'CF_4'!O28)</x:f>
      </x:c>
      <x:c r="P15" s="120" t="n">
        <x:f>SUM('CF_1'!P28,'CF_2'!P28,'CF_3'!P28,'CF_4'!P28)</x:f>
      </x:c>
      <x:c r="Q15" s="120" t="n">
        <x:f>SUM('CF_1'!Q28,'CF_2'!Q28,'CF_3'!Q28,'CF_4'!Q28)</x:f>
      </x:c>
      <x:c r="R15" s="120" t="n">
        <x:f>SUM('CF_1'!R28,'CF_2'!R28,'CF_3'!R28,'CF_4'!R28)</x:f>
      </x:c>
      <x:c r="S15" s="120" t="n">
        <x:f>SUM('CF_1'!S28,'CF_2'!S28,'CF_3'!S28,'CF_4'!S28)</x:f>
      </x:c>
      <x:c r="T15" s="120" t="n">
        <x:f>SUM('CF_1'!T28,'CF_2'!T28,'CF_3'!T28,'CF_4'!T28)</x:f>
      </x:c>
      <x:c r="U15" s="120" t="n">
        <x:f>SUM('CF_1'!U28,'CF_2'!U28,'CF_3'!U28,'CF_4'!U28)</x:f>
      </x:c>
      <x:c r="V15" s="120" t="n">
        <x:f>SUM('CF_1'!V28,'CF_2'!V28,'CF_3'!V28,'CF_4'!V28)</x:f>
      </x:c>
      <x:c r="W15" s="120" t="n">
        <x:f>SUM('CF_1'!W28,'CF_2'!W28,'CF_3'!W28,'CF_4'!W28)</x:f>
      </x:c>
      <x:c r="X15" s="120" t="n">
        <x:f>SUM('CF_1'!X28,'CF_2'!X28,'CF_3'!X28,'CF_4'!X28)</x:f>
      </x:c>
      <x:c r="Y15" s="120" t="n">
        <x:f>SUM('CF_1'!Y28,'CF_2'!Y28,'CF_3'!Y28,'CF_4'!Y28)</x:f>
      </x:c>
      <x:c r="Z15" s="120" t="n">
        <x:f>SUM('CF_1'!Z28,'CF_2'!Z28,'CF_3'!Z28,'CF_4'!Z28)</x:f>
      </x:c>
      <x:c r="AA15" s="120" t="n">
        <x:f>SUM('CF_1'!AA28,'CF_2'!AA28,'CF_3'!AA28,'CF_4'!AA28)</x:f>
      </x:c>
      <x:c r="AB15" s="120" t="n">
        <x:f>SUM('CF_1'!AB28,'CF_2'!AB28,'CF_3'!AB28,'CF_4'!AB28)</x:f>
      </x:c>
      <x:c r="AC15" s="120" t="n">
        <x:f>SUM('CF_1'!AC28,'CF_2'!AC28,'CF_3'!AC28,'CF_4'!AC28)</x:f>
      </x:c>
      <x:c r="AD15" s="120" t="n">
        <x:f>SUM('CF_1'!AD28,'CF_2'!AD28,'CF_3'!AD28,'CF_4'!AD28)</x:f>
      </x:c>
      <x:c r="AE15" s="120" t="n">
        <x:f>SUM('CF_1'!AE28,'CF_2'!AE28,'CF_3'!AE28,'CF_4'!AE28)</x:f>
      </x:c>
      <x:c r="AF15" s="120" t="n">
        <x:f>SUM('CF_1'!AF28,'CF_2'!AF28,'CF_3'!AF28,'CF_4'!AF28)</x:f>
      </x:c>
      <x:c r="AG15" s="120" t="n">
        <x:f>SUM('CF_1'!AG28,'CF_2'!AG28,'CF_3'!AG28,'CF_4'!AG28)</x:f>
      </x:c>
      <x:c r="AH15" s="120" t="n">
        <x:f>SUM('CF_1'!AH28,'CF_2'!AH28,'CF_3'!AH28,'CF_4'!AH28)</x:f>
      </x:c>
      <x:c r="AI15" s="120" t="n">
        <x:f>SUM('CF_1'!AI28,'CF_2'!AI28,'CF_3'!AI28,'CF_4'!AI28)</x:f>
      </x:c>
      <x:c r="AJ15" s="120" t="n">
        <x:f>SUM('CF_1'!AJ28,'CF_2'!AJ28,'CF_3'!AJ28,'CF_4'!AJ28)</x:f>
      </x:c>
      <x:c r="AK15" s="120" t="n">
        <x:f>SUM('CF_1'!AK28,'CF_2'!AK28,'CF_3'!AK28,'CF_4'!AK28)</x:f>
      </x:c>
      <x:c r="AL15" s="120" t="n">
        <x:f>SUM('CF_1'!AL28,'CF_2'!AL28,'CF_3'!AL28,'CF_4'!AL28)</x:f>
      </x:c>
      <x:c r="AM15" s="120" t="n">
        <x:f>SUM('CF_1'!AM28,'CF_2'!AM28,'CF_3'!AM28,'CF_4'!AM28)</x:f>
      </x:c>
      <x:c r="AN15" s="120" t="n">
        <x:f>SUM('CF_1'!AN28,'CF_2'!AN28,'CF_3'!AN28,'CF_4'!AN28)</x:f>
      </x:c>
      <x:c r="AO15" s="120" t="n">
        <x:f>SUM('CF_1'!AO28,'CF_2'!AO28,'CF_3'!AO28,'CF_4'!AO28)</x:f>
      </x:c>
      <x:c r="AP15" s="120" t="n">
        <x:f>SUM('CF_1'!AP28,'CF_2'!AP28,'CF_3'!AP28,'CF_4'!AP28)</x:f>
      </x:c>
      <x:c r="AQ15" s="120" t="n">
        <x:f>SUM('CF_1'!AQ28,'CF_2'!AQ28,'CF_3'!AQ28,'CF_4'!AQ28)</x:f>
      </x:c>
      <x:c r="AR15" s="120" t="n">
        <x:f>SUM('CF_1'!AR28,'CF_2'!AR28,'CF_3'!AR28,'CF_4'!AR28)</x:f>
      </x:c>
      <x:c r="AS15" s="120" t="n">
        <x:f>SUM('CF_1'!AS28,'CF_2'!AS28,'CF_3'!AS28,'CF_4'!AS28)</x:f>
      </x:c>
      <x:c r="AT15" s="120" t="n">
        <x:f>SUM('CF_1'!AT28,'CF_2'!AT28,'CF_3'!AT28,'CF_4'!AT28)</x:f>
      </x:c>
      <x:c r="AU15" s="120" t="n">
        <x:f>SUM('CF_1'!AU28,'CF_2'!AU28,'CF_3'!AU28,'CF_4'!AU28)</x:f>
      </x:c>
      <x:c r="AV15" s="120" t="n">
        <x:f>SUM('CF_1'!AV28,'CF_2'!AV28,'CF_3'!AV28,'CF_4'!AV28)</x:f>
      </x:c>
      <x:c r="AW15" s="120" t="n">
        <x:f>SUM('CF_1'!AW28,'CF_2'!AW28,'CF_3'!AW28,'CF_4'!AW28)</x:f>
      </x:c>
      <x:c r="AX15" s="120" t="n">
        <x:f>SUM('CF_1'!AX28,'CF_2'!AX28,'CF_3'!AX28,'CF_4'!AX28)</x:f>
      </x:c>
      <x:c r="AY15" s="120" t="n">
        <x:f>SUM('CF_1'!AY28,'CF_2'!AY28,'CF_3'!AY28,'CF_4'!AY28)</x:f>
      </x:c>
      <x:c r="AZ15" s="120" t="n">
        <x:f>SUM('CF_1'!AZ28,'CF_2'!AZ28,'CF_3'!AZ28,'CF_4'!AZ28)</x:f>
      </x:c>
      <x:c r="BA15" s="120" t="n">
        <x:f>SUM('CF_1'!BA28,'CF_2'!BA28,'CF_3'!BA28,'CF_4'!BA28)</x:f>
      </x:c>
      <x:c r="BB15" s="120" t="n">
        <x:f>SUM('CF_1'!BB28,'CF_2'!BB28,'CF_3'!BB28,'CF_4'!BB28)</x:f>
      </x:c>
      <x:c r="BC15" s="120" t="n">
        <x:f>SUM('CF_1'!BC28,'CF_2'!BC28,'CF_3'!BC28,'CF_4'!BC28)</x:f>
      </x:c>
      <x:c r="BD15" s="120" t="n">
        <x:f>SUM('CF_1'!BD28,'CF_2'!BD28,'CF_3'!BD28,'CF_4'!BD28)</x:f>
      </x:c>
      <x:c r="BE15" s="120" t="n">
        <x:f>SUM('CF_1'!BE28,'CF_2'!BE28,'CF_3'!BE28,'CF_4'!BE28)</x:f>
      </x:c>
      <x:c r="BF15" s="120" t="n">
        <x:f>SUM('CF_1'!BF28,'CF_2'!BF28,'CF_3'!BF28,'CF_4'!BF28)</x:f>
      </x:c>
      <x:c r="BG15" s="120" t="n">
        <x:f>SUM('CF_1'!BG28,'CF_2'!BG28,'CF_3'!BG28,'CF_4'!BG28)</x:f>
      </x:c>
      <x:c r="BH15" s="120" t="n">
        <x:f>SUM('CF_1'!BH28,'CF_2'!BH28,'CF_3'!BH28,'CF_4'!BH28)</x:f>
      </x:c>
      <x:c r="BI15" s="120" t="n">
        <x:f>SUM('CF_1'!BI28,'CF_2'!BI28,'CF_3'!BI28,'CF_4'!BI28)</x:f>
      </x:c>
      <x:c r="BJ15" s="120" t="n">
        <x:f>SUM('CF_1'!BJ28,'CF_2'!BJ28,'CF_3'!BJ28,'CF_4'!BJ28)</x:f>
      </x:c>
      <x:c r="BK15" s="120" t="n">
        <x:f>SUM('CF_1'!BK28,'CF_2'!BK28,'CF_3'!BK28,'CF_4'!BK28)</x:f>
      </x:c>
      <x:c r="BL15" s="120" t="n">
        <x:f>SUM('CF_1'!BL28,'CF_2'!BL28,'CF_3'!BL28,'CF_4'!BL28)</x:f>
      </x:c>
      <x:c r="BM15" s="120" t="n">
        <x:f>SUM('CF_1'!BM28,'CF_2'!BM28,'CF_3'!BM28,'CF_4'!BM28)</x:f>
      </x:c>
      <x:c r="BN15" s="120" t="n">
        <x:f>SUM('CF_1'!BN28,'CF_2'!BN28,'CF_3'!BN28,'CF_4'!BN28)</x:f>
      </x:c>
      <x:c r="BO15" s="120" t="n">
        <x:f>SUM('CF_1'!BO28,'CF_2'!BO28,'CF_3'!BO28,'CF_4'!BO28)</x:f>
      </x:c>
      <x:c r="BP15" s="120" t="n">
        <x:f>SUM('CF_1'!BP28,'CF_2'!BP28,'CF_3'!BP28,'CF_4'!BP28)</x:f>
      </x:c>
      <x:c r="BQ15" s="120" t="n">
        <x:f>SUM('CF_1'!BQ28,'CF_2'!BQ28,'CF_3'!BQ28,'CF_4'!BQ28)</x:f>
      </x:c>
      <x:c r="BR15" s="120" t="n">
        <x:f>SUM('CF_1'!BR28,'CF_2'!BR28,'CF_3'!BR28,'CF_4'!BR28)</x:f>
      </x:c>
      <x:c r="BS15" s="120" t="n">
        <x:f>SUM('CF_1'!BS28,'CF_2'!BS28,'CF_3'!BS28,'CF_4'!BS28)</x:f>
      </x:c>
      <x:c r="BT15" s="120" t="n">
        <x:f>SUM('CF_1'!BT28,'CF_2'!BT28,'CF_3'!BT28,'CF_4'!BT28)</x:f>
      </x:c>
      <x:c r="BU15" s="120" t="n">
        <x:f>SUM('CF_1'!BU28,'CF_2'!BU28,'CF_3'!BU28,'CF_4'!BU28)</x:f>
      </x:c>
      <x:c r="BV15" s="120" t="n">
        <x:f>SUM('CF_1'!BV28,'CF_2'!BV28,'CF_3'!BV28,'CF_4'!BV28)</x:f>
      </x:c>
      <x:c r="BW15" s="120" t="n">
        <x:f>SUM('CF_1'!BW28,'CF_2'!BW28,'CF_3'!BW28,'CF_4'!BW28)</x:f>
      </x:c>
      <x:c r="BX15" s="120" t="n">
        <x:f>SUM('CF_1'!BX28,'CF_2'!BX28,'CF_3'!BX28,'CF_4'!BX28)</x:f>
      </x:c>
      <x:c r="BY15" s="120" t="n">
        <x:f>SUM('CF_1'!BY28,'CF_2'!BY28,'CF_3'!BY28,'CF_4'!BY28)</x:f>
      </x:c>
      <x:c r="BZ15" s="120" t="n">
        <x:f>SUM('CF_1'!BZ28,'CF_2'!BZ28,'CF_3'!BZ28,'CF_4'!BZ28)</x:f>
      </x:c>
      <x:c r="CA15" s="120" t="n">
        <x:f>SUM('CF_1'!CA28,'CF_2'!CA28,'CF_3'!CA28,'CF_4'!CA28)</x:f>
      </x:c>
      <x:c r="CB15" s="120" t="n">
        <x:f>SUM('CF_1'!CB28,'CF_2'!CB28,'CF_3'!CB28,'CF_4'!CB28)</x:f>
      </x:c>
      <x:c r="CC15" s="120" t="n">
        <x:f>SUM('CF_1'!CC28,'CF_2'!CC28,'CF_3'!CC28,'CF_4'!CC28)</x:f>
      </x:c>
      <x:c r="CD15" s="120" t="n">
        <x:f>SUM('CF_1'!CD28,'CF_2'!CD28,'CF_3'!CD28,'CF_4'!CD28)</x:f>
      </x:c>
      <x:c r="CE15" s="120" t="n">
        <x:f>SUM('CF_1'!CE28,'CF_2'!CE28,'CF_3'!CE28,'CF_4'!CE28)</x:f>
      </x:c>
      <x:c r="CF15" s="120" t="n">
        <x:f>SUM('CF_1'!CF28,'CF_2'!CF28,'CF_3'!CF28,'CF_4'!CF28)</x:f>
      </x:c>
      <x:c r="CG15" s="120" t="n">
        <x:f>SUM('CF_1'!CG28,'CF_2'!CG28,'CF_3'!CG28,'CF_4'!CG28)</x:f>
      </x:c>
      <x:c r="CH15" s="120" t="n">
        <x:f>SUM('CF_1'!CH28,'CF_2'!CH28,'CF_3'!CH28,'CF_4'!CH28)</x:f>
      </x:c>
      <x:c r="CI15" s="120" t="n">
        <x:f>SUM('CF_1'!CI28,'CF_2'!CI28,'CF_3'!CI28,'CF_4'!CI28)</x:f>
      </x:c>
      <x:c r="CJ15" s="120" t="n">
        <x:f>SUM('CF_1'!CJ28,'CF_2'!CJ28,'CF_3'!CJ28,'CF_4'!CJ28)</x:f>
      </x:c>
      <x:c r="CK15" s="120" t="n">
        <x:f>SUM('CF_1'!CK28,'CF_2'!CK28,'CF_3'!CK28,'CF_4'!CK28)</x:f>
      </x:c>
      <x:c r="CL15" s="120" t="n">
        <x:f>SUM('CF_1'!CL28,'CF_2'!CL28,'CF_3'!CL28,'CF_4'!CL28)</x:f>
      </x:c>
      <x:c r="CM15" s="120" t="n">
        <x:f>SUM('CF_1'!CM28,'CF_2'!CM28,'CF_3'!CM28,'CF_4'!CM28)</x:f>
      </x:c>
      <x:c r="CN15" s="120" t="n">
        <x:f>SUM('CF_1'!CN28,'CF_2'!CN28,'CF_3'!CN28,'CF_4'!CN28)</x:f>
      </x:c>
      <x:c r="CO15" s="120" t="n">
        <x:f>SUM('CF_1'!CO28,'CF_2'!CO28,'CF_3'!CO28,'CF_4'!CO28)</x:f>
      </x:c>
      <x:c r="CP15" s="120" t="n">
        <x:f>SUM('CF_1'!CP28,'CF_2'!CP28,'CF_3'!CP28,'CF_4'!CP28)</x:f>
      </x:c>
      <x:c r="CQ15" s="120" t="n">
        <x:f>SUM('CF_1'!CQ28,'CF_2'!CQ28,'CF_3'!CQ28,'CF_4'!CQ28)</x:f>
      </x:c>
      <x:c r="CR15" s="120" t="n">
        <x:f>SUM('CF_1'!CR28,'CF_2'!CR28,'CF_3'!CR28,'CF_4'!CR28)</x:f>
      </x:c>
      <x:c r="CS15" s="120" t="n">
        <x:f>SUM('CF_1'!CS28,'CF_2'!CS28,'CF_3'!CS28,'CF_4'!CS28)</x:f>
      </x:c>
      <x:c r="CT15" s="120" t="n">
        <x:f>SUM('CF_1'!CT28,'CF_2'!CT28,'CF_3'!CT28,'CF_4'!CT28)</x:f>
      </x:c>
      <x:c r="CU15" s="120" t="n">
        <x:f>SUM('CF_1'!CU28,'CF_2'!CU28,'CF_3'!CU28,'CF_4'!CU28)</x:f>
      </x:c>
      <x:c r="CV15" s="120" t="n">
        <x:f>SUM('CF_1'!CV28,'CF_2'!CV28,'CF_3'!CV28,'CF_4'!CV28)</x:f>
      </x:c>
      <x:c r="CW15" s="120" t="n">
        <x:f>SUM('CF_1'!CW28,'CF_2'!CW28,'CF_3'!CW28,'CF_4'!CW28)</x:f>
      </x:c>
      <x:c r="CX15" s="120" t="n">
        <x:f>SUM('CF_1'!CX28,'CF_2'!CX28,'CF_3'!CX28,'CF_4'!CX28)</x:f>
      </x:c>
      <x:c r="CY15" s="120" t="n">
        <x:f>SUM('CF_1'!CY28,'CF_2'!CY28,'CF_3'!CY28,'CF_4'!CY28)</x:f>
      </x:c>
      <x:c r="CZ15" s="120" t="n">
        <x:f>SUM('CF_1'!CZ28,'CF_2'!CZ28,'CF_3'!CZ28,'CF_4'!CZ28)</x:f>
      </x:c>
      <x:c r="DA15" s="120" t="n">
        <x:f>SUM('CF_1'!DA28,'CF_2'!DA28,'CF_3'!DA28,'CF_4'!DA28)</x:f>
      </x:c>
      <x:c r="DB15" s="120" t="n">
        <x:f>SUM('CF_1'!DB28,'CF_2'!DB28,'CF_3'!DB28,'CF_4'!DB28)</x:f>
      </x:c>
      <x:c r="DC15" s="120" t="n">
        <x:f>SUM('CF_1'!DC28,'CF_2'!DC28,'CF_3'!DC28,'CF_4'!DC28)</x:f>
      </x:c>
      <x:c r="DD15" s="120" t="n">
        <x:f>SUM('CF_1'!DD28,'CF_2'!DD28,'CF_3'!DD28,'CF_4'!DD28)</x:f>
      </x:c>
      <x:c r="DE15" s="120" t="n">
        <x:f>SUM('CF_1'!DE28,'CF_2'!DE28,'CF_3'!DE28,'CF_4'!DE28)</x:f>
      </x:c>
      <x:c r="DF15" s="120" t="n">
        <x:f>SUM('CF_1'!DF28,'CF_2'!DF28,'CF_3'!DF28,'CF_4'!DF28)</x:f>
      </x:c>
      <x:c r="DG15" s="120" t="n">
        <x:f>SUM('CF_1'!DG28,'CF_2'!DG28,'CF_3'!DG28,'CF_4'!DG28)</x:f>
      </x:c>
      <x:c r="DH15" s="120" t="n">
        <x:f>SUM('CF_1'!DH28,'CF_2'!DH28,'CF_3'!DH28,'CF_4'!DH28)</x:f>
      </x:c>
      <x:c r="DI15" s="120" t="n">
        <x:f>SUM('CF_1'!DI28,'CF_2'!DI28,'CF_3'!DI28,'CF_4'!DI28)</x:f>
      </x:c>
      <x:c r="DJ15" s="120" t="n">
        <x:f>SUM('CF_1'!DJ28,'CF_2'!DJ28,'CF_3'!DJ28,'CF_4'!DJ28)</x:f>
      </x:c>
      <x:c r="DK15" s="120" t="n">
        <x:f>SUM('CF_1'!DK28,'CF_2'!DK28,'CF_3'!DK28,'CF_4'!DK28)</x:f>
      </x:c>
      <x:c r="DL15" s="120" t="n">
        <x:f>SUM('CF_1'!DL28,'CF_2'!DL28,'CF_3'!DL28,'CF_4'!DL28)</x:f>
      </x:c>
      <x:c r="DM15" s="120" t="n">
        <x:f>SUM('CF_1'!DM28,'CF_2'!DM28,'CF_3'!DM28,'CF_4'!DM28)</x:f>
      </x:c>
      <x:c r="DN15" s="120" t="n">
        <x:f>SUM('CF_1'!DN28,'CF_2'!DN28,'CF_3'!DN28,'CF_4'!DN28)</x:f>
      </x:c>
      <x:c r="DO15" s="120" t="n">
        <x:f>SUM('CF_1'!DO28,'CF_2'!DO28,'CF_3'!DO28,'CF_4'!DO28)</x:f>
      </x:c>
      <x:c r="DP15" s="120" t="n">
        <x:f>SUM('CF_1'!DP28,'CF_2'!DP28,'CF_3'!DP28,'CF_4'!DP28)</x:f>
      </x:c>
      <x:c r="DQ15" s="120" t="n">
        <x:f>SUM('CF_1'!DQ28,'CF_2'!DQ28,'CF_3'!DQ28,'CF_4'!DQ28)</x:f>
      </x:c>
      <x:c r="DR15" s="120" t="n">
        <x:f>SUM('CF_1'!DR28,'CF_2'!DR28,'CF_3'!DR28,'CF_4'!DR28)</x:f>
      </x:c>
      <x:c r="DS15" s="120" t="n">
        <x:f>SUM('CF_1'!DS28,'CF_2'!DS28,'CF_3'!DS28,'CF_4'!DS28)</x:f>
      </x:c>
    </x:row>
    <x:row r="16"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Долг БРИДЖ</x:v>
      </x:c>
      <x:c r="B17" t="n">
        <x:f>DS17</x:f>
      </x:c>
      <x:c r="C17" t="str">
        <x:v>млн ₽</x:v>
      </x:c>
      <x:c r="D17" s="117" t="n">
        <x:f>SUM('CF_1'!D36,'CF_2'!D36,'CF_3'!D36,'CF_4'!D36)</x:f>
      </x:c>
      <x:c r="E17" s="117" t="n">
        <x:f>SUM('CF_1'!E36,'CF_2'!E36,'CF_3'!E36,'CF_4'!E36)</x:f>
      </x:c>
      <x:c r="F17" s="117" t="n">
        <x:f>SUM('CF_1'!F36,'CF_2'!F36,'CF_3'!F36,'CF_4'!F36)</x:f>
      </x:c>
      <x:c r="G17" s="117" t="n">
        <x:f>SUM('CF_1'!G36,'CF_2'!G36,'CF_3'!G36,'CF_4'!G36)</x:f>
      </x:c>
      <x:c r="H17" s="117" t="n">
        <x:f>SUM('CF_1'!H36,'CF_2'!H36,'CF_3'!H36,'CF_4'!H36)</x:f>
      </x:c>
      <x:c r="I17" s="117" t="n">
        <x:f>SUM('CF_1'!I36,'CF_2'!I36,'CF_3'!I36,'CF_4'!I36)</x:f>
      </x:c>
      <x:c r="J17" s="117" t="n">
        <x:f>SUM('CF_1'!J36,'CF_2'!J36,'CF_3'!J36,'CF_4'!J36)</x:f>
      </x:c>
      <x:c r="K17" s="117" t="n">
        <x:f>SUM('CF_1'!K36,'CF_2'!K36,'CF_3'!K36,'CF_4'!K36)</x:f>
      </x:c>
      <x:c r="L17" s="117" t="n">
        <x:f>SUM('CF_1'!L36,'CF_2'!L36,'CF_3'!L36,'CF_4'!L36)</x:f>
      </x:c>
      <x:c r="M17" s="117" t="n">
        <x:f>SUM('CF_1'!M36,'CF_2'!M36,'CF_3'!M36,'CF_4'!M36)</x:f>
      </x:c>
      <x:c r="N17" s="117" t="n">
        <x:f>SUM('CF_1'!N36,'CF_2'!N36,'CF_3'!N36,'CF_4'!N36)</x:f>
      </x:c>
      <x:c r="O17" s="117" t="n">
        <x:f>SUM('CF_1'!O36,'CF_2'!O36,'CF_3'!O36,'CF_4'!O36)</x:f>
      </x:c>
      <x:c r="P17" s="117" t="n">
        <x:f>SUM('CF_1'!P36,'CF_2'!P36,'CF_3'!P36,'CF_4'!P36)</x:f>
      </x:c>
      <x:c r="Q17" s="117" t="n">
        <x:f>SUM('CF_1'!Q36,'CF_2'!Q36,'CF_3'!Q36,'CF_4'!Q36)</x:f>
      </x:c>
      <x:c r="R17" s="117" t="n">
        <x:f>SUM('CF_1'!R36,'CF_2'!R36,'CF_3'!R36,'CF_4'!R36)</x:f>
      </x:c>
      <x:c r="S17" s="117" t="n">
        <x:f>SUM('CF_1'!S36,'CF_2'!S36,'CF_3'!S36,'CF_4'!S36)</x:f>
      </x:c>
      <x:c r="T17" s="117" t="n">
        <x:f>SUM('CF_1'!T36,'CF_2'!T36,'CF_3'!T36,'CF_4'!T36)</x:f>
      </x:c>
      <x:c r="U17" s="117" t="n">
        <x:f>SUM('CF_1'!U36,'CF_2'!U36,'CF_3'!U36,'CF_4'!U36)</x:f>
      </x:c>
      <x:c r="V17" s="117" t="n">
        <x:f>SUM('CF_1'!V36,'CF_2'!V36,'CF_3'!V36,'CF_4'!V36)</x:f>
      </x:c>
      <x:c r="W17" s="117" t="n">
        <x:f>SUM('CF_1'!W36,'CF_2'!W36,'CF_3'!W36,'CF_4'!W36)</x:f>
      </x:c>
      <x:c r="X17" s="117" t="n">
        <x:f>SUM('CF_1'!X36,'CF_2'!X36,'CF_3'!X36,'CF_4'!X36)</x:f>
      </x:c>
      <x:c r="Y17" s="117" t="n">
        <x:f>SUM('CF_1'!Y36,'CF_2'!Y36,'CF_3'!Y36,'CF_4'!Y36)</x:f>
      </x:c>
      <x:c r="Z17" s="117" t="n">
        <x:f>SUM('CF_1'!Z36,'CF_2'!Z36,'CF_3'!Z36,'CF_4'!Z36)</x:f>
      </x:c>
      <x:c r="AA17" s="117" t="n">
        <x:f>SUM('CF_1'!AA36,'CF_2'!AA36,'CF_3'!AA36,'CF_4'!AA36)</x:f>
      </x:c>
      <x:c r="AB17" s="117" t="n">
        <x:f>SUM('CF_1'!AB36,'CF_2'!AB36,'CF_3'!AB36,'CF_4'!AB36)</x:f>
      </x:c>
      <x:c r="AC17" s="117" t="n">
        <x:f>SUM('CF_1'!AC36,'CF_2'!AC36,'CF_3'!AC36,'CF_4'!AC36)</x:f>
      </x:c>
      <x:c r="AD17" s="117" t="n">
        <x:f>SUM('CF_1'!AD36,'CF_2'!AD36,'CF_3'!AD36,'CF_4'!AD36)</x:f>
      </x:c>
      <x:c r="AE17" s="117" t="n">
        <x:f>SUM('CF_1'!AE36,'CF_2'!AE36,'CF_3'!AE36,'CF_4'!AE36)</x:f>
      </x:c>
      <x:c r="AF17" s="117" t="n">
        <x:f>SUM('CF_1'!AF36,'CF_2'!AF36,'CF_3'!AF36,'CF_4'!AF36)</x:f>
      </x:c>
      <x:c r="AG17" s="117" t="n">
        <x:f>SUM('CF_1'!AG36,'CF_2'!AG36,'CF_3'!AG36,'CF_4'!AG36)</x:f>
      </x:c>
      <x:c r="AH17" s="117" t="n">
        <x:f>SUM('CF_1'!AH36,'CF_2'!AH36,'CF_3'!AH36,'CF_4'!AH36)</x:f>
      </x:c>
      <x:c r="AI17" s="117" t="n">
        <x:f>SUM('CF_1'!AI36,'CF_2'!AI36,'CF_3'!AI36,'CF_4'!AI36)</x:f>
      </x:c>
      <x:c r="AJ17" s="117" t="n">
        <x:f>SUM('CF_1'!AJ36,'CF_2'!AJ36,'CF_3'!AJ36,'CF_4'!AJ36)</x:f>
      </x:c>
      <x:c r="AK17" s="117" t="n">
        <x:f>SUM('CF_1'!AK36,'CF_2'!AK36,'CF_3'!AK36,'CF_4'!AK36)</x:f>
      </x:c>
      <x:c r="AL17" s="117" t="n">
        <x:f>SUM('CF_1'!AL36,'CF_2'!AL36,'CF_3'!AL36,'CF_4'!AL36)</x:f>
      </x:c>
      <x:c r="AM17" s="117" t="n">
        <x:f>SUM('CF_1'!AM36,'CF_2'!AM36,'CF_3'!AM36,'CF_4'!AM36)</x:f>
      </x:c>
      <x:c r="AN17" s="117" t="n">
        <x:f>SUM('CF_1'!AN36,'CF_2'!AN36,'CF_3'!AN36,'CF_4'!AN36)</x:f>
      </x:c>
      <x:c r="AO17" s="117" t="n">
        <x:f>SUM('CF_1'!AO36,'CF_2'!AO36,'CF_3'!AO36,'CF_4'!AO36)</x:f>
      </x:c>
      <x:c r="AP17" s="117" t="n">
        <x:f>SUM('CF_1'!AP36,'CF_2'!AP36,'CF_3'!AP36,'CF_4'!AP36)</x:f>
      </x:c>
      <x:c r="AQ17" s="117" t="n">
        <x:f>SUM('CF_1'!AQ36,'CF_2'!AQ36,'CF_3'!AQ36,'CF_4'!AQ36)</x:f>
      </x:c>
      <x:c r="AR17" s="117" t="n">
        <x:f>SUM('CF_1'!AR36,'CF_2'!AR36,'CF_3'!AR36,'CF_4'!AR36)</x:f>
      </x:c>
      <x:c r="AS17" s="117" t="n">
        <x:f>SUM('CF_1'!AS36,'CF_2'!AS36,'CF_3'!AS36,'CF_4'!AS36)</x:f>
      </x:c>
      <x:c r="AT17" s="117" t="n">
        <x:f>SUM('CF_1'!AT36,'CF_2'!AT36,'CF_3'!AT36,'CF_4'!AT36)</x:f>
      </x:c>
      <x:c r="AU17" s="117" t="n">
        <x:f>SUM('CF_1'!AU36,'CF_2'!AU36,'CF_3'!AU36,'CF_4'!AU36)</x:f>
      </x:c>
      <x:c r="AV17" s="117" t="n">
        <x:f>SUM('CF_1'!AV36,'CF_2'!AV36,'CF_3'!AV36,'CF_4'!AV36)</x:f>
      </x:c>
      <x:c r="AW17" s="117" t="n">
        <x:f>SUM('CF_1'!AW36,'CF_2'!AW36,'CF_3'!AW36,'CF_4'!AW36)</x:f>
      </x:c>
      <x:c r="AX17" s="117" t="n">
        <x:f>SUM('CF_1'!AX36,'CF_2'!AX36,'CF_3'!AX36,'CF_4'!AX36)</x:f>
      </x:c>
      <x:c r="AY17" s="117" t="n">
        <x:f>SUM('CF_1'!AY36,'CF_2'!AY36,'CF_3'!AY36,'CF_4'!AY36)</x:f>
      </x:c>
      <x:c r="AZ17" s="117" t="n">
        <x:f>SUM('CF_1'!AZ36,'CF_2'!AZ36,'CF_3'!AZ36,'CF_4'!AZ36)</x:f>
      </x:c>
      <x:c r="BA17" s="117" t="n">
        <x:f>SUM('CF_1'!BA36,'CF_2'!BA36,'CF_3'!BA36,'CF_4'!BA36)</x:f>
      </x:c>
      <x:c r="BB17" s="117" t="n">
        <x:f>SUM('CF_1'!BB36,'CF_2'!BB36,'CF_3'!BB36,'CF_4'!BB36)</x:f>
      </x:c>
      <x:c r="BC17" s="117" t="n">
        <x:f>SUM('CF_1'!BC36,'CF_2'!BC36,'CF_3'!BC36,'CF_4'!BC36)</x:f>
      </x:c>
      <x:c r="BD17" s="117" t="n">
        <x:f>SUM('CF_1'!BD36,'CF_2'!BD36,'CF_3'!BD36,'CF_4'!BD36)</x:f>
      </x:c>
      <x:c r="BE17" s="117" t="n">
        <x:f>SUM('CF_1'!BE36,'CF_2'!BE36,'CF_3'!BE36,'CF_4'!BE36)</x:f>
      </x:c>
      <x:c r="BF17" s="117" t="n">
        <x:f>SUM('CF_1'!BF36,'CF_2'!BF36,'CF_3'!BF36,'CF_4'!BF36)</x:f>
      </x:c>
      <x:c r="BG17" s="117" t="n">
        <x:f>SUM('CF_1'!BG36,'CF_2'!BG36,'CF_3'!BG36,'CF_4'!BG36)</x:f>
      </x:c>
      <x:c r="BH17" s="117" t="n">
        <x:f>SUM('CF_1'!BH36,'CF_2'!BH36,'CF_3'!BH36,'CF_4'!BH36)</x:f>
      </x:c>
      <x:c r="BI17" s="117" t="n">
        <x:f>SUM('CF_1'!BI36,'CF_2'!BI36,'CF_3'!BI36,'CF_4'!BI36)</x:f>
      </x:c>
      <x:c r="BJ17" s="117" t="n">
        <x:f>SUM('CF_1'!BJ36,'CF_2'!BJ36,'CF_3'!BJ36,'CF_4'!BJ36)</x:f>
      </x:c>
      <x:c r="BK17" s="117" t="n">
        <x:f>SUM('CF_1'!BK36,'CF_2'!BK36,'CF_3'!BK36,'CF_4'!BK36)</x:f>
      </x:c>
      <x:c r="BL17" s="117" t="n">
        <x:f>SUM('CF_1'!BL36,'CF_2'!BL36,'CF_3'!BL36,'CF_4'!BL36)</x:f>
      </x:c>
      <x:c r="BM17" s="117" t="n">
        <x:f>SUM('CF_1'!BM36,'CF_2'!BM36,'CF_3'!BM36,'CF_4'!BM36)</x:f>
      </x:c>
      <x:c r="BN17" s="117" t="n">
        <x:f>SUM('CF_1'!BN36,'CF_2'!BN36,'CF_3'!BN36,'CF_4'!BN36)</x:f>
      </x:c>
      <x:c r="BO17" s="117" t="n">
        <x:f>SUM('CF_1'!BO36,'CF_2'!BO36,'CF_3'!BO36,'CF_4'!BO36)</x:f>
      </x:c>
      <x:c r="BP17" s="117" t="n">
        <x:f>SUM('CF_1'!BP36,'CF_2'!BP36,'CF_3'!BP36,'CF_4'!BP36)</x:f>
      </x:c>
      <x:c r="BQ17" s="117" t="n">
        <x:f>SUM('CF_1'!BQ36,'CF_2'!BQ36,'CF_3'!BQ36,'CF_4'!BQ36)</x:f>
      </x:c>
      <x:c r="BR17" s="117" t="n">
        <x:f>SUM('CF_1'!BR36,'CF_2'!BR36,'CF_3'!BR36,'CF_4'!BR36)</x:f>
      </x:c>
      <x:c r="BS17" s="117" t="n">
        <x:f>SUM('CF_1'!BS36,'CF_2'!BS36,'CF_3'!BS36,'CF_4'!BS36)</x:f>
      </x:c>
      <x:c r="BT17" s="117" t="n">
        <x:f>SUM('CF_1'!BT36,'CF_2'!BT36,'CF_3'!BT36,'CF_4'!BT36)</x:f>
      </x:c>
      <x:c r="BU17" s="117" t="n">
        <x:f>SUM('CF_1'!BU36,'CF_2'!BU36,'CF_3'!BU36,'CF_4'!BU36)</x:f>
      </x:c>
      <x:c r="BV17" s="117" t="n">
        <x:f>SUM('CF_1'!BV36,'CF_2'!BV36,'CF_3'!BV36,'CF_4'!BV36)</x:f>
      </x:c>
      <x:c r="BW17" s="117" t="n">
        <x:f>SUM('CF_1'!BW36,'CF_2'!BW36,'CF_3'!BW36,'CF_4'!BW36)</x:f>
      </x:c>
      <x:c r="BX17" s="117" t="n">
        <x:f>SUM('CF_1'!BX36,'CF_2'!BX36,'CF_3'!BX36,'CF_4'!BX36)</x:f>
      </x:c>
      <x:c r="BY17" s="117" t="n">
        <x:f>SUM('CF_1'!BY36,'CF_2'!BY36,'CF_3'!BY36,'CF_4'!BY36)</x:f>
      </x:c>
      <x:c r="BZ17" s="117" t="n">
        <x:f>SUM('CF_1'!BZ36,'CF_2'!BZ36,'CF_3'!BZ36,'CF_4'!BZ36)</x:f>
      </x:c>
      <x:c r="CA17" s="117" t="n">
        <x:f>SUM('CF_1'!CA36,'CF_2'!CA36,'CF_3'!CA36,'CF_4'!CA36)</x:f>
      </x:c>
      <x:c r="CB17" s="117" t="n">
        <x:f>SUM('CF_1'!CB36,'CF_2'!CB36,'CF_3'!CB36,'CF_4'!CB36)</x:f>
      </x:c>
      <x:c r="CC17" s="117" t="n">
        <x:f>SUM('CF_1'!CC36,'CF_2'!CC36,'CF_3'!CC36,'CF_4'!CC36)</x:f>
      </x:c>
      <x:c r="CD17" s="117" t="n">
        <x:f>SUM('CF_1'!CD36,'CF_2'!CD36,'CF_3'!CD36,'CF_4'!CD36)</x:f>
      </x:c>
      <x:c r="CE17" s="117" t="n">
        <x:f>SUM('CF_1'!CE36,'CF_2'!CE36,'CF_3'!CE36,'CF_4'!CE36)</x:f>
      </x:c>
      <x:c r="CF17" s="117" t="n">
        <x:f>SUM('CF_1'!CF36,'CF_2'!CF36,'CF_3'!CF36,'CF_4'!CF36)</x:f>
      </x:c>
      <x:c r="CG17" s="117" t="n">
        <x:f>SUM('CF_1'!CG36,'CF_2'!CG36,'CF_3'!CG36,'CF_4'!CG36)</x:f>
      </x:c>
      <x:c r="CH17" s="117" t="n">
        <x:f>SUM('CF_1'!CH36,'CF_2'!CH36,'CF_3'!CH36,'CF_4'!CH36)</x:f>
      </x:c>
      <x:c r="CI17" s="117" t="n">
        <x:f>SUM('CF_1'!CI36,'CF_2'!CI36,'CF_3'!CI36,'CF_4'!CI36)</x:f>
      </x:c>
      <x:c r="CJ17" s="117" t="n">
        <x:f>SUM('CF_1'!CJ36,'CF_2'!CJ36,'CF_3'!CJ36,'CF_4'!CJ36)</x:f>
      </x:c>
      <x:c r="CK17" s="117" t="n">
        <x:f>SUM('CF_1'!CK36,'CF_2'!CK36,'CF_3'!CK36,'CF_4'!CK36)</x:f>
      </x:c>
      <x:c r="CL17" s="117" t="n">
        <x:f>SUM('CF_1'!CL36,'CF_2'!CL36,'CF_3'!CL36,'CF_4'!CL36)</x:f>
      </x:c>
      <x:c r="CM17" s="117" t="n">
        <x:f>SUM('CF_1'!CM36,'CF_2'!CM36,'CF_3'!CM36,'CF_4'!CM36)</x:f>
      </x:c>
      <x:c r="CN17" s="117" t="n">
        <x:f>SUM('CF_1'!CN36,'CF_2'!CN36,'CF_3'!CN36,'CF_4'!CN36)</x:f>
      </x:c>
      <x:c r="CO17" s="117" t="n">
        <x:f>SUM('CF_1'!CO36,'CF_2'!CO36,'CF_3'!CO36,'CF_4'!CO36)</x:f>
      </x:c>
      <x:c r="CP17" s="117" t="n">
        <x:f>SUM('CF_1'!CP36,'CF_2'!CP36,'CF_3'!CP36,'CF_4'!CP36)</x:f>
      </x:c>
      <x:c r="CQ17" s="117" t="n">
        <x:f>SUM('CF_1'!CQ36,'CF_2'!CQ36,'CF_3'!CQ36,'CF_4'!CQ36)</x:f>
      </x:c>
      <x:c r="CR17" s="117" t="n">
        <x:f>SUM('CF_1'!CR36,'CF_2'!CR36,'CF_3'!CR36,'CF_4'!CR36)</x:f>
      </x:c>
      <x:c r="CS17" s="117" t="n">
        <x:f>SUM('CF_1'!CS36,'CF_2'!CS36,'CF_3'!CS36,'CF_4'!CS36)</x:f>
      </x:c>
      <x:c r="CT17" s="117" t="n">
        <x:f>SUM('CF_1'!CT36,'CF_2'!CT36,'CF_3'!CT36,'CF_4'!CT36)</x:f>
      </x:c>
      <x:c r="CU17" s="117" t="n">
        <x:f>SUM('CF_1'!CU36,'CF_2'!CU36,'CF_3'!CU36,'CF_4'!CU36)</x:f>
      </x:c>
      <x:c r="CV17" s="117" t="n">
        <x:f>SUM('CF_1'!CV36,'CF_2'!CV36,'CF_3'!CV36,'CF_4'!CV36)</x:f>
      </x:c>
      <x:c r="CW17" s="117" t="n">
        <x:f>SUM('CF_1'!CW36,'CF_2'!CW36,'CF_3'!CW36,'CF_4'!CW36)</x:f>
      </x:c>
      <x:c r="CX17" s="117" t="n">
        <x:f>SUM('CF_1'!CX36,'CF_2'!CX36,'CF_3'!CX36,'CF_4'!CX36)</x:f>
      </x:c>
      <x:c r="CY17" s="117" t="n">
        <x:f>SUM('CF_1'!CY36,'CF_2'!CY36,'CF_3'!CY36,'CF_4'!CY36)</x:f>
      </x:c>
      <x:c r="CZ17" s="117" t="n">
        <x:f>SUM('CF_1'!CZ36,'CF_2'!CZ36,'CF_3'!CZ36,'CF_4'!CZ36)</x:f>
      </x:c>
      <x:c r="DA17" s="117" t="n">
        <x:f>SUM('CF_1'!DA36,'CF_2'!DA36,'CF_3'!DA36,'CF_4'!DA36)</x:f>
      </x:c>
      <x:c r="DB17" s="117" t="n">
        <x:f>SUM('CF_1'!DB36,'CF_2'!DB36,'CF_3'!DB36,'CF_4'!DB36)</x:f>
      </x:c>
      <x:c r="DC17" s="117" t="n">
        <x:f>SUM('CF_1'!DC36,'CF_2'!DC36,'CF_3'!DC36,'CF_4'!DC36)</x:f>
      </x:c>
      <x:c r="DD17" s="117" t="n">
        <x:f>SUM('CF_1'!DD36,'CF_2'!DD36,'CF_3'!DD36,'CF_4'!DD36)</x:f>
      </x:c>
      <x:c r="DE17" s="117" t="n">
        <x:f>SUM('CF_1'!DE36,'CF_2'!DE36,'CF_3'!DE36,'CF_4'!DE36)</x:f>
      </x:c>
      <x:c r="DF17" s="117" t="n">
        <x:f>SUM('CF_1'!DF36,'CF_2'!DF36,'CF_3'!DF36,'CF_4'!DF36)</x:f>
      </x:c>
      <x:c r="DG17" s="117" t="n">
        <x:f>SUM('CF_1'!DG36,'CF_2'!DG36,'CF_3'!DG36,'CF_4'!DG36)</x:f>
      </x:c>
      <x:c r="DH17" s="117" t="n">
        <x:f>SUM('CF_1'!DH36,'CF_2'!DH36,'CF_3'!DH36,'CF_4'!DH36)</x:f>
      </x:c>
      <x:c r="DI17" s="117" t="n">
        <x:f>SUM('CF_1'!DI36,'CF_2'!DI36,'CF_3'!DI36,'CF_4'!DI36)</x:f>
      </x:c>
      <x:c r="DJ17" s="117" t="n">
        <x:f>SUM('CF_1'!DJ36,'CF_2'!DJ36,'CF_3'!DJ36,'CF_4'!DJ36)</x:f>
      </x:c>
      <x:c r="DK17" s="117" t="n">
        <x:f>SUM('CF_1'!DK36,'CF_2'!DK36,'CF_3'!DK36,'CF_4'!DK36)</x:f>
      </x:c>
      <x:c r="DL17" s="117" t="n">
        <x:f>SUM('CF_1'!DL36,'CF_2'!DL36,'CF_3'!DL36,'CF_4'!DL36)</x:f>
      </x:c>
      <x:c r="DM17" s="117" t="n">
        <x:f>SUM('CF_1'!DM36,'CF_2'!DM36,'CF_3'!DM36,'CF_4'!DM36)</x:f>
      </x:c>
      <x:c r="DN17" s="117" t="n">
        <x:f>SUM('CF_1'!DN36,'CF_2'!DN36,'CF_3'!DN36,'CF_4'!DN36)</x:f>
      </x:c>
      <x:c r="DO17" s="117" t="n">
        <x:f>SUM('CF_1'!DO36,'CF_2'!DO36,'CF_3'!DO36,'CF_4'!DO36)</x:f>
      </x:c>
      <x:c r="DP17" s="117" t="n">
        <x:f>SUM('CF_1'!DP36,'CF_2'!DP36,'CF_3'!DP36,'CF_4'!DP36)</x:f>
      </x:c>
      <x:c r="DQ17" s="117" t="n">
        <x:f>SUM('CF_1'!DQ36,'CF_2'!DQ36,'CF_3'!DQ36,'CF_4'!DQ36)</x:f>
      </x:c>
      <x:c r="DR17" s="117" t="n">
        <x:f>SUM('CF_1'!DR36,'CF_2'!DR36,'CF_3'!DR36,'CF_4'!DR36)</x:f>
      </x:c>
      <x:c r="DS17" s="117" t="n">
        <x:f>SUM('CF_1'!DS36,'CF_2'!DS36,'CF_3'!DS36,'CF_4'!DS36)</x:f>
      </x:c>
    </x:row>
    <x:row r="18">
      <x:c r="A18" t="str">
        <x:v>Долг ПФ</x:v>
      </x:c>
      <x:c r="B18" t="n">
        <x:f>DS18</x:f>
      </x:c>
      <x:c r="C18" t="str">
        <x:v>млн ₽</x:v>
      </x:c>
      <x:c r="D18" s="117" t="n">
        <x:f>SUM('CF_1'!D47,'CF_2'!D47,'CF_3'!D47,'CF_4'!D47)</x:f>
      </x:c>
      <x:c r="E18" s="117" t="n">
        <x:f>SUM('CF_1'!E47,'CF_2'!E47,'CF_3'!E47,'CF_4'!E47)</x:f>
      </x:c>
      <x:c r="F18" s="117" t="n">
        <x:f>SUM('CF_1'!F47,'CF_2'!F47,'CF_3'!F47,'CF_4'!F47)</x:f>
      </x:c>
      <x:c r="G18" s="117" t="n">
        <x:f>SUM('CF_1'!G47,'CF_2'!G47,'CF_3'!G47,'CF_4'!G47)</x:f>
      </x:c>
      <x:c r="H18" s="117" t="n">
        <x:f>SUM('CF_1'!H47,'CF_2'!H47,'CF_3'!H47,'CF_4'!H47)</x:f>
      </x:c>
      <x:c r="I18" s="117" t="n">
        <x:f>SUM('CF_1'!I47,'CF_2'!I47,'CF_3'!I47,'CF_4'!I47)</x:f>
      </x:c>
      <x:c r="J18" s="117" t="n">
        <x:f>SUM('CF_1'!J47,'CF_2'!J47,'CF_3'!J47,'CF_4'!J47)</x:f>
      </x:c>
      <x:c r="K18" s="117" t="n">
        <x:f>SUM('CF_1'!K47,'CF_2'!K47,'CF_3'!K47,'CF_4'!K47)</x:f>
      </x:c>
      <x:c r="L18" s="117" t="n">
        <x:f>SUM('CF_1'!L47,'CF_2'!L47,'CF_3'!L47,'CF_4'!L47)</x:f>
      </x:c>
      <x:c r="M18" s="117" t="n">
        <x:f>SUM('CF_1'!M47,'CF_2'!M47,'CF_3'!M47,'CF_4'!M47)</x:f>
      </x:c>
      <x:c r="N18" s="117" t="n">
        <x:f>SUM('CF_1'!N47,'CF_2'!N47,'CF_3'!N47,'CF_4'!N47)</x:f>
      </x:c>
      <x:c r="O18" s="117" t="n">
        <x:f>SUM('CF_1'!O47,'CF_2'!O47,'CF_3'!O47,'CF_4'!O47)</x:f>
      </x:c>
      <x:c r="P18" s="117" t="n">
        <x:f>SUM('CF_1'!P47,'CF_2'!P47,'CF_3'!P47,'CF_4'!P47)</x:f>
      </x:c>
      <x:c r="Q18" s="117" t="n">
        <x:f>SUM('CF_1'!Q47,'CF_2'!Q47,'CF_3'!Q47,'CF_4'!Q47)</x:f>
      </x:c>
      <x:c r="R18" s="117" t="n">
        <x:f>SUM('CF_1'!R47,'CF_2'!R47,'CF_3'!R47,'CF_4'!R47)</x:f>
      </x:c>
      <x:c r="S18" s="117" t="n">
        <x:f>SUM('CF_1'!S47,'CF_2'!S47,'CF_3'!S47,'CF_4'!S47)</x:f>
      </x:c>
      <x:c r="T18" s="117" t="n">
        <x:f>SUM('CF_1'!T47,'CF_2'!T47,'CF_3'!T47,'CF_4'!T47)</x:f>
      </x:c>
      <x:c r="U18" s="117" t="n">
        <x:f>SUM('CF_1'!U47,'CF_2'!U47,'CF_3'!U47,'CF_4'!U47)</x:f>
      </x:c>
      <x:c r="V18" s="117" t="n">
        <x:f>SUM('CF_1'!V47,'CF_2'!V47,'CF_3'!V47,'CF_4'!V47)</x:f>
      </x:c>
      <x:c r="W18" s="117" t="n">
        <x:f>SUM('CF_1'!W47,'CF_2'!W47,'CF_3'!W47,'CF_4'!W47)</x:f>
      </x:c>
      <x:c r="X18" s="117" t="n">
        <x:f>SUM('CF_1'!X47,'CF_2'!X47,'CF_3'!X47,'CF_4'!X47)</x:f>
      </x:c>
      <x:c r="Y18" s="117" t="n">
        <x:f>SUM('CF_1'!Y47,'CF_2'!Y47,'CF_3'!Y47,'CF_4'!Y47)</x:f>
      </x:c>
      <x:c r="Z18" s="117" t="n">
        <x:f>SUM('CF_1'!Z47,'CF_2'!Z47,'CF_3'!Z47,'CF_4'!Z47)</x:f>
      </x:c>
      <x:c r="AA18" s="117" t="n">
        <x:f>SUM('CF_1'!AA47,'CF_2'!AA47,'CF_3'!AA47,'CF_4'!AA47)</x:f>
      </x:c>
      <x:c r="AB18" s="117" t="n">
        <x:f>SUM('CF_1'!AB47,'CF_2'!AB47,'CF_3'!AB47,'CF_4'!AB47)</x:f>
      </x:c>
      <x:c r="AC18" s="117" t="n">
        <x:f>SUM('CF_1'!AC47,'CF_2'!AC47,'CF_3'!AC47,'CF_4'!AC47)</x:f>
      </x:c>
      <x:c r="AD18" s="117" t="n">
        <x:f>SUM('CF_1'!AD47,'CF_2'!AD47,'CF_3'!AD47,'CF_4'!AD47)</x:f>
      </x:c>
      <x:c r="AE18" s="117" t="n">
        <x:f>SUM('CF_1'!AE47,'CF_2'!AE47,'CF_3'!AE47,'CF_4'!AE47)</x:f>
      </x:c>
      <x:c r="AF18" s="117" t="n">
        <x:f>SUM('CF_1'!AF47,'CF_2'!AF47,'CF_3'!AF47,'CF_4'!AF47)</x:f>
      </x:c>
      <x:c r="AG18" s="117" t="n">
        <x:f>SUM('CF_1'!AG47,'CF_2'!AG47,'CF_3'!AG47,'CF_4'!AG47)</x:f>
      </x:c>
      <x:c r="AH18" s="117" t="n">
        <x:f>SUM('CF_1'!AH47,'CF_2'!AH47,'CF_3'!AH47,'CF_4'!AH47)</x:f>
      </x:c>
      <x:c r="AI18" s="117" t="n">
        <x:f>SUM('CF_1'!AI47,'CF_2'!AI47,'CF_3'!AI47,'CF_4'!AI47)</x:f>
      </x:c>
      <x:c r="AJ18" s="117" t="n">
        <x:f>SUM('CF_1'!AJ47,'CF_2'!AJ47,'CF_3'!AJ47,'CF_4'!AJ47)</x:f>
      </x:c>
      <x:c r="AK18" s="117" t="n">
        <x:f>SUM('CF_1'!AK47,'CF_2'!AK47,'CF_3'!AK47,'CF_4'!AK47)</x:f>
      </x:c>
      <x:c r="AL18" s="117" t="n">
        <x:f>SUM('CF_1'!AL47,'CF_2'!AL47,'CF_3'!AL47,'CF_4'!AL47)</x:f>
      </x:c>
      <x:c r="AM18" s="117" t="n">
        <x:f>SUM('CF_1'!AM47,'CF_2'!AM47,'CF_3'!AM47,'CF_4'!AM47)</x:f>
      </x:c>
      <x:c r="AN18" s="117" t="n">
        <x:f>SUM('CF_1'!AN47,'CF_2'!AN47,'CF_3'!AN47,'CF_4'!AN47)</x:f>
      </x:c>
      <x:c r="AO18" s="117" t="n">
        <x:f>SUM('CF_1'!AO47,'CF_2'!AO47,'CF_3'!AO47,'CF_4'!AO47)</x:f>
      </x:c>
      <x:c r="AP18" s="117" t="n">
        <x:f>SUM('CF_1'!AP47,'CF_2'!AP47,'CF_3'!AP47,'CF_4'!AP47)</x:f>
      </x:c>
      <x:c r="AQ18" s="117" t="n">
        <x:f>SUM('CF_1'!AQ47,'CF_2'!AQ47,'CF_3'!AQ47,'CF_4'!AQ47)</x:f>
      </x:c>
      <x:c r="AR18" s="117" t="n">
        <x:f>SUM('CF_1'!AR47,'CF_2'!AR47,'CF_3'!AR47,'CF_4'!AR47)</x:f>
      </x:c>
      <x:c r="AS18" s="117" t="n">
        <x:f>SUM('CF_1'!AS47,'CF_2'!AS47,'CF_3'!AS47,'CF_4'!AS47)</x:f>
      </x:c>
      <x:c r="AT18" s="117" t="n">
        <x:f>SUM('CF_1'!AT47,'CF_2'!AT47,'CF_3'!AT47,'CF_4'!AT47)</x:f>
      </x:c>
      <x:c r="AU18" s="117" t="n">
        <x:f>SUM('CF_1'!AU47,'CF_2'!AU47,'CF_3'!AU47,'CF_4'!AU47)</x:f>
      </x:c>
      <x:c r="AV18" s="117" t="n">
        <x:f>SUM('CF_1'!AV47,'CF_2'!AV47,'CF_3'!AV47,'CF_4'!AV47)</x:f>
      </x:c>
      <x:c r="AW18" s="117" t="n">
        <x:f>SUM('CF_1'!AW47,'CF_2'!AW47,'CF_3'!AW47,'CF_4'!AW47)</x:f>
      </x:c>
      <x:c r="AX18" s="117" t="n">
        <x:f>SUM('CF_1'!AX47,'CF_2'!AX47,'CF_3'!AX47,'CF_4'!AX47)</x:f>
      </x:c>
      <x:c r="AY18" s="117" t="n">
        <x:f>SUM('CF_1'!AY47,'CF_2'!AY47,'CF_3'!AY47,'CF_4'!AY47)</x:f>
      </x:c>
      <x:c r="AZ18" s="117" t="n">
        <x:f>SUM('CF_1'!AZ47,'CF_2'!AZ47,'CF_3'!AZ47,'CF_4'!AZ47)</x:f>
      </x:c>
      <x:c r="BA18" s="117" t="n">
        <x:f>SUM('CF_1'!BA47,'CF_2'!BA47,'CF_3'!BA47,'CF_4'!BA47)</x:f>
      </x:c>
      <x:c r="BB18" s="117" t="n">
        <x:f>SUM('CF_1'!BB47,'CF_2'!BB47,'CF_3'!BB47,'CF_4'!BB47)</x:f>
      </x:c>
      <x:c r="BC18" s="117" t="n">
        <x:f>SUM('CF_1'!BC47,'CF_2'!BC47,'CF_3'!BC47,'CF_4'!BC47)</x:f>
      </x:c>
      <x:c r="BD18" s="117" t="n">
        <x:f>SUM('CF_1'!BD47,'CF_2'!BD47,'CF_3'!BD47,'CF_4'!BD47)</x:f>
      </x:c>
      <x:c r="BE18" s="117" t="n">
        <x:f>SUM('CF_1'!BE47,'CF_2'!BE47,'CF_3'!BE47,'CF_4'!BE47)</x:f>
      </x:c>
      <x:c r="BF18" s="117" t="n">
        <x:f>SUM('CF_1'!BF47,'CF_2'!BF47,'CF_3'!BF47,'CF_4'!BF47)</x:f>
      </x:c>
      <x:c r="BG18" s="117" t="n">
        <x:f>SUM('CF_1'!BG47,'CF_2'!BG47,'CF_3'!BG47,'CF_4'!BG47)</x:f>
      </x:c>
      <x:c r="BH18" s="117" t="n">
        <x:f>SUM('CF_1'!BH47,'CF_2'!BH47,'CF_3'!BH47,'CF_4'!BH47)</x:f>
      </x:c>
      <x:c r="BI18" s="117" t="n">
        <x:f>SUM('CF_1'!BI47,'CF_2'!BI47,'CF_3'!BI47,'CF_4'!BI47)</x:f>
      </x:c>
      <x:c r="BJ18" s="117" t="n">
        <x:f>SUM('CF_1'!BJ47,'CF_2'!BJ47,'CF_3'!BJ47,'CF_4'!BJ47)</x:f>
      </x:c>
      <x:c r="BK18" s="117" t="n">
        <x:f>SUM('CF_1'!BK47,'CF_2'!BK47,'CF_3'!BK47,'CF_4'!BK47)</x:f>
      </x:c>
      <x:c r="BL18" s="117" t="n">
        <x:f>SUM('CF_1'!BL47,'CF_2'!BL47,'CF_3'!BL47,'CF_4'!BL47)</x:f>
      </x:c>
      <x:c r="BM18" s="117" t="n">
        <x:f>SUM('CF_1'!BM47,'CF_2'!BM47,'CF_3'!BM47,'CF_4'!BM47)</x:f>
      </x:c>
      <x:c r="BN18" s="117" t="n">
        <x:f>SUM('CF_1'!BN47,'CF_2'!BN47,'CF_3'!BN47,'CF_4'!BN47)</x:f>
      </x:c>
      <x:c r="BO18" s="117" t="n">
        <x:f>SUM('CF_1'!BO47,'CF_2'!BO47,'CF_3'!BO47,'CF_4'!BO47)</x:f>
      </x:c>
      <x:c r="BP18" s="117" t="n">
        <x:f>SUM('CF_1'!BP47,'CF_2'!BP47,'CF_3'!BP47,'CF_4'!BP47)</x:f>
      </x:c>
      <x:c r="BQ18" s="117" t="n">
        <x:f>SUM('CF_1'!BQ47,'CF_2'!BQ47,'CF_3'!BQ47,'CF_4'!BQ47)</x:f>
      </x:c>
      <x:c r="BR18" s="117" t="n">
        <x:f>SUM('CF_1'!BR47,'CF_2'!BR47,'CF_3'!BR47,'CF_4'!BR47)</x:f>
      </x:c>
      <x:c r="BS18" s="117" t="n">
        <x:f>SUM('CF_1'!BS47,'CF_2'!BS47,'CF_3'!BS47,'CF_4'!BS47)</x:f>
      </x:c>
      <x:c r="BT18" s="117" t="n">
        <x:f>SUM('CF_1'!BT47,'CF_2'!BT47,'CF_3'!BT47,'CF_4'!BT47)</x:f>
      </x:c>
      <x:c r="BU18" s="117" t="n">
        <x:f>SUM('CF_1'!BU47,'CF_2'!BU47,'CF_3'!BU47,'CF_4'!BU47)</x:f>
      </x:c>
      <x:c r="BV18" s="117" t="n">
        <x:f>SUM('CF_1'!BV47,'CF_2'!BV47,'CF_3'!BV47,'CF_4'!BV47)</x:f>
      </x:c>
      <x:c r="BW18" s="117" t="n">
        <x:f>SUM('CF_1'!BW47,'CF_2'!BW47,'CF_3'!BW47,'CF_4'!BW47)</x:f>
      </x:c>
      <x:c r="BX18" s="117" t="n">
        <x:f>SUM('CF_1'!BX47,'CF_2'!BX47,'CF_3'!BX47,'CF_4'!BX47)</x:f>
      </x:c>
      <x:c r="BY18" s="117" t="n">
        <x:f>SUM('CF_1'!BY47,'CF_2'!BY47,'CF_3'!BY47,'CF_4'!BY47)</x:f>
      </x:c>
      <x:c r="BZ18" s="117" t="n">
        <x:f>SUM('CF_1'!BZ47,'CF_2'!BZ47,'CF_3'!BZ47,'CF_4'!BZ47)</x:f>
      </x:c>
      <x:c r="CA18" s="117" t="n">
        <x:f>SUM('CF_1'!CA47,'CF_2'!CA47,'CF_3'!CA47,'CF_4'!CA47)</x:f>
      </x:c>
      <x:c r="CB18" s="117" t="n">
        <x:f>SUM('CF_1'!CB47,'CF_2'!CB47,'CF_3'!CB47,'CF_4'!CB47)</x:f>
      </x:c>
      <x:c r="CC18" s="117" t="n">
        <x:f>SUM('CF_1'!CC47,'CF_2'!CC47,'CF_3'!CC47,'CF_4'!CC47)</x:f>
      </x:c>
      <x:c r="CD18" s="117" t="n">
        <x:f>SUM('CF_1'!CD47,'CF_2'!CD47,'CF_3'!CD47,'CF_4'!CD47)</x:f>
      </x:c>
      <x:c r="CE18" s="117" t="n">
        <x:f>SUM('CF_1'!CE47,'CF_2'!CE47,'CF_3'!CE47,'CF_4'!CE47)</x:f>
      </x:c>
      <x:c r="CF18" s="117" t="n">
        <x:f>SUM('CF_1'!CF47,'CF_2'!CF47,'CF_3'!CF47,'CF_4'!CF47)</x:f>
      </x:c>
      <x:c r="CG18" s="117" t="n">
        <x:f>SUM('CF_1'!CG47,'CF_2'!CG47,'CF_3'!CG47,'CF_4'!CG47)</x:f>
      </x:c>
      <x:c r="CH18" s="117" t="n">
        <x:f>SUM('CF_1'!CH47,'CF_2'!CH47,'CF_3'!CH47,'CF_4'!CH47)</x:f>
      </x:c>
      <x:c r="CI18" s="117" t="n">
        <x:f>SUM('CF_1'!CI47,'CF_2'!CI47,'CF_3'!CI47,'CF_4'!CI47)</x:f>
      </x:c>
      <x:c r="CJ18" s="117" t="n">
        <x:f>SUM('CF_1'!CJ47,'CF_2'!CJ47,'CF_3'!CJ47,'CF_4'!CJ47)</x:f>
      </x:c>
      <x:c r="CK18" s="117" t="n">
        <x:f>SUM('CF_1'!CK47,'CF_2'!CK47,'CF_3'!CK47,'CF_4'!CK47)</x:f>
      </x:c>
      <x:c r="CL18" s="117" t="n">
        <x:f>SUM('CF_1'!CL47,'CF_2'!CL47,'CF_3'!CL47,'CF_4'!CL47)</x:f>
      </x:c>
      <x:c r="CM18" s="117" t="n">
        <x:f>SUM('CF_1'!CM47,'CF_2'!CM47,'CF_3'!CM47,'CF_4'!CM47)</x:f>
      </x:c>
      <x:c r="CN18" s="117" t="n">
        <x:f>SUM('CF_1'!CN47,'CF_2'!CN47,'CF_3'!CN47,'CF_4'!CN47)</x:f>
      </x:c>
      <x:c r="CO18" s="117" t="n">
        <x:f>SUM('CF_1'!CO47,'CF_2'!CO47,'CF_3'!CO47,'CF_4'!CO47)</x:f>
      </x:c>
      <x:c r="CP18" s="117" t="n">
        <x:f>SUM('CF_1'!CP47,'CF_2'!CP47,'CF_3'!CP47,'CF_4'!CP47)</x:f>
      </x:c>
      <x:c r="CQ18" s="117" t="n">
        <x:f>SUM('CF_1'!CQ47,'CF_2'!CQ47,'CF_3'!CQ47,'CF_4'!CQ47)</x:f>
      </x:c>
      <x:c r="CR18" s="117" t="n">
        <x:f>SUM('CF_1'!CR47,'CF_2'!CR47,'CF_3'!CR47,'CF_4'!CR47)</x:f>
      </x:c>
      <x:c r="CS18" s="117" t="n">
        <x:f>SUM('CF_1'!CS47,'CF_2'!CS47,'CF_3'!CS47,'CF_4'!CS47)</x:f>
      </x:c>
      <x:c r="CT18" s="117" t="n">
        <x:f>SUM('CF_1'!CT47,'CF_2'!CT47,'CF_3'!CT47,'CF_4'!CT47)</x:f>
      </x:c>
      <x:c r="CU18" s="117" t="n">
        <x:f>SUM('CF_1'!CU47,'CF_2'!CU47,'CF_3'!CU47,'CF_4'!CU47)</x:f>
      </x:c>
      <x:c r="CV18" s="117" t="n">
        <x:f>SUM('CF_1'!CV47,'CF_2'!CV47,'CF_3'!CV47,'CF_4'!CV47)</x:f>
      </x:c>
      <x:c r="CW18" s="117" t="n">
        <x:f>SUM('CF_1'!CW47,'CF_2'!CW47,'CF_3'!CW47,'CF_4'!CW47)</x:f>
      </x:c>
      <x:c r="CX18" s="117" t="n">
        <x:f>SUM('CF_1'!CX47,'CF_2'!CX47,'CF_3'!CX47,'CF_4'!CX47)</x:f>
      </x:c>
      <x:c r="CY18" s="117" t="n">
        <x:f>SUM('CF_1'!CY47,'CF_2'!CY47,'CF_3'!CY47,'CF_4'!CY47)</x:f>
      </x:c>
      <x:c r="CZ18" s="117" t="n">
        <x:f>SUM('CF_1'!CZ47,'CF_2'!CZ47,'CF_3'!CZ47,'CF_4'!CZ47)</x:f>
      </x:c>
      <x:c r="DA18" s="117" t="n">
        <x:f>SUM('CF_1'!DA47,'CF_2'!DA47,'CF_3'!DA47,'CF_4'!DA47)</x:f>
      </x:c>
      <x:c r="DB18" s="117" t="n">
        <x:f>SUM('CF_1'!DB47,'CF_2'!DB47,'CF_3'!DB47,'CF_4'!DB47)</x:f>
      </x:c>
      <x:c r="DC18" s="117" t="n">
        <x:f>SUM('CF_1'!DC47,'CF_2'!DC47,'CF_3'!DC47,'CF_4'!DC47)</x:f>
      </x:c>
      <x:c r="DD18" s="117" t="n">
        <x:f>SUM('CF_1'!DD47,'CF_2'!DD47,'CF_3'!DD47,'CF_4'!DD47)</x:f>
      </x:c>
      <x:c r="DE18" s="117" t="n">
        <x:f>SUM('CF_1'!DE47,'CF_2'!DE47,'CF_3'!DE47,'CF_4'!DE47)</x:f>
      </x:c>
      <x:c r="DF18" s="117" t="n">
        <x:f>SUM('CF_1'!DF47,'CF_2'!DF47,'CF_3'!DF47,'CF_4'!DF47)</x:f>
      </x:c>
      <x:c r="DG18" s="117" t="n">
        <x:f>SUM('CF_1'!DG47,'CF_2'!DG47,'CF_3'!DG47,'CF_4'!DG47)</x:f>
      </x:c>
      <x:c r="DH18" s="117" t="n">
        <x:f>SUM('CF_1'!DH47,'CF_2'!DH47,'CF_3'!DH47,'CF_4'!DH47)</x:f>
      </x:c>
      <x:c r="DI18" s="117" t="n">
        <x:f>SUM('CF_1'!DI47,'CF_2'!DI47,'CF_3'!DI47,'CF_4'!DI47)</x:f>
      </x:c>
      <x:c r="DJ18" s="117" t="n">
        <x:f>SUM('CF_1'!DJ47,'CF_2'!DJ47,'CF_3'!DJ47,'CF_4'!DJ47)</x:f>
      </x:c>
      <x:c r="DK18" s="117" t="n">
        <x:f>SUM('CF_1'!DK47,'CF_2'!DK47,'CF_3'!DK47,'CF_4'!DK47)</x:f>
      </x:c>
      <x:c r="DL18" s="117" t="n">
        <x:f>SUM('CF_1'!DL47,'CF_2'!DL47,'CF_3'!DL47,'CF_4'!DL47)</x:f>
      </x:c>
      <x:c r="DM18" s="117" t="n">
        <x:f>SUM('CF_1'!DM47,'CF_2'!DM47,'CF_3'!DM47,'CF_4'!DM47)</x:f>
      </x:c>
      <x:c r="DN18" s="117" t="n">
        <x:f>SUM('CF_1'!DN47,'CF_2'!DN47,'CF_3'!DN47,'CF_4'!DN47)</x:f>
      </x:c>
      <x:c r="DO18" s="117" t="n">
        <x:f>SUM('CF_1'!DO47,'CF_2'!DO47,'CF_3'!DO47,'CF_4'!DO47)</x:f>
      </x:c>
      <x:c r="DP18" s="117" t="n">
        <x:f>SUM('CF_1'!DP47,'CF_2'!DP47,'CF_3'!DP47,'CF_4'!DP47)</x:f>
      </x:c>
      <x:c r="DQ18" s="117" t="n">
        <x:f>SUM('CF_1'!DQ47,'CF_2'!DQ47,'CF_3'!DQ47,'CF_4'!DQ47)</x:f>
      </x:c>
      <x:c r="DR18" s="117" t="n">
        <x:f>SUM('CF_1'!DR47,'CF_2'!DR47,'CF_3'!DR47,'CF_4'!DR47)</x:f>
      </x:c>
      <x:c r="DS18" s="117" t="n">
        <x:f>SUM('CF_1'!DS47,'CF_2'!DS47,'CF_3'!DS47,'CF_4'!DS47)</x:f>
      </x:c>
    </x:row>
    <x:row r="19">
      <x:c r="A19" s="113" t="str">
        <x:v>Долг всего</x:v>
      </x:c>
      <x:c r="B19" s="113" t="n">
        <x:f>DS19</x:f>
      </x:c>
      <x:c r="C19" s="113" t="str">
        <x:v>млн ₽</x:v>
      </x:c>
      <x:c r="D19" s="120" t="n">
        <x:f>SUM(D17:D18)</x:f>
      </x:c>
      <x:c r="E19" s="120" t="n">
        <x:f>SUM(E17:E18)</x:f>
      </x:c>
      <x:c r="F19" s="120" t="n">
        <x:f>SUM(F17:F18)</x:f>
      </x:c>
      <x:c r="G19" s="120" t="n">
        <x:f>SUM(G17:G18)</x:f>
      </x:c>
      <x:c r="H19" s="120" t="n">
        <x:f>SUM(H17:H18)</x:f>
      </x:c>
      <x:c r="I19" s="120" t="n">
        <x:f>SUM(I17:I18)</x:f>
      </x:c>
      <x:c r="J19" s="120" t="n">
        <x:f>SUM(J17:J18)</x:f>
      </x:c>
      <x:c r="K19" s="120" t="n">
        <x:f>SUM(K17:K18)</x:f>
      </x:c>
      <x:c r="L19" s="120" t="n">
        <x:f>SUM(L17:L18)</x:f>
      </x:c>
      <x:c r="M19" s="120" t="n">
        <x:f>SUM(M17:M18)</x:f>
      </x:c>
      <x:c r="N19" s="120" t="n">
        <x:f>SUM(N17:N18)</x:f>
      </x:c>
      <x:c r="O19" s="120" t="n">
        <x:f>SUM(O17:O18)</x:f>
      </x:c>
      <x:c r="P19" s="120" t="n">
        <x:f>SUM(P17:P18)</x:f>
      </x:c>
      <x:c r="Q19" s="120" t="n">
        <x:f>SUM(Q17:Q18)</x:f>
      </x:c>
      <x:c r="R19" s="120" t="n">
        <x:f>SUM(R17:R18)</x:f>
      </x:c>
      <x:c r="S19" s="120" t="n">
        <x:f>SUM(S17:S18)</x:f>
      </x:c>
      <x:c r="T19" s="120" t="n">
        <x:f>SUM(T17:T18)</x:f>
      </x:c>
      <x:c r="U19" s="120" t="n">
        <x:f>SUM(U17:U18)</x:f>
      </x:c>
      <x:c r="V19" s="120" t="n">
        <x:f>SUM(V17:V18)</x:f>
      </x:c>
      <x:c r="W19" s="120" t="n">
        <x:f>SUM(W17:W18)</x:f>
      </x:c>
      <x:c r="X19" s="120" t="n">
        <x:f>SUM(X17:X18)</x:f>
      </x:c>
      <x:c r="Y19" s="120" t="n">
        <x:f>SUM(Y17:Y18)</x:f>
      </x:c>
      <x:c r="Z19" s="120" t="n">
        <x:f>SUM(Z17:Z18)</x:f>
      </x:c>
      <x:c r="AA19" s="120" t="n">
        <x:f>SUM(AA17:AA18)</x:f>
      </x:c>
      <x:c r="AB19" s="120" t="n">
        <x:f>SUM(AB17:AB18)</x:f>
      </x:c>
      <x:c r="AC19" s="120" t="n">
        <x:f>SUM(AC17:AC18)</x:f>
      </x:c>
      <x:c r="AD19" s="120" t="n">
        <x:f>SUM(AD17:AD18)</x:f>
      </x:c>
      <x:c r="AE19" s="120" t="n">
        <x:f>SUM(AE17:AE18)</x:f>
      </x:c>
      <x:c r="AF19" s="120" t="n">
        <x:f>SUM(AF17:AF18)</x:f>
      </x:c>
      <x:c r="AG19" s="120" t="n">
        <x:f>SUM(AG17:AG18)</x:f>
      </x:c>
      <x:c r="AH19" s="120" t="n">
        <x:f>SUM(AH17:AH18)</x:f>
      </x:c>
      <x:c r="AI19" s="120" t="n">
        <x:f>SUM(AI17:AI18)</x:f>
      </x:c>
      <x:c r="AJ19" s="120" t="n">
        <x:f>SUM(AJ17:AJ18)</x:f>
      </x:c>
      <x:c r="AK19" s="120" t="n">
        <x:f>SUM(AK17:AK18)</x:f>
      </x:c>
      <x:c r="AL19" s="120" t="n">
        <x:f>SUM(AL17:AL18)</x:f>
      </x:c>
      <x:c r="AM19" s="120" t="n">
        <x:f>SUM(AM17:AM18)</x:f>
      </x:c>
      <x:c r="AN19" s="120" t="n">
        <x:f>SUM(AN17:AN18)</x:f>
      </x:c>
      <x:c r="AO19" s="120" t="n">
        <x:f>SUM(AO17:AO18)</x:f>
      </x:c>
      <x:c r="AP19" s="120" t="n">
        <x:f>SUM(AP17:AP18)</x:f>
      </x:c>
      <x:c r="AQ19" s="120" t="n">
        <x:f>SUM(AQ17:AQ18)</x:f>
      </x:c>
      <x:c r="AR19" s="120" t="n">
        <x:f>SUM(AR17:AR18)</x:f>
      </x:c>
      <x:c r="AS19" s="120" t="n">
        <x:f>SUM(AS17:AS18)</x:f>
      </x:c>
      <x:c r="AT19" s="120" t="n">
        <x:f>SUM(AT17:AT18)</x:f>
      </x:c>
      <x:c r="AU19" s="120" t="n">
        <x:f>SUM(AU17:AU18)</x:f>
      </x:c>
      <x:c r="AV19" s="120" t="n">
        <x:f>SUM(AV17:AV18)</x:f>
      </x:c>
      <x:c r="AW19" s="120" t="n">
        <x:f>SUM(AW17:AW18)</x:f>
      </x:c>
      <x:c r="AX19" s="120" t="n">
        <x:f>SUM(AX17:AX18)</x:f>
      </x:c>
      <x:c r="AY19" s="120" t="n">
        <x:f>SUM(AY17:AY18)</x:f>
      </x:c>
      <x:c r="AZ19" s="120" t="n">
        <x:f>SUM(AZ17:AZ18)</x:f>
      </x:c>
      <x:c r="BA19" s="120" t="n">
        <x:f>SUM(BA17:BA18)</x:f>
      </x:c>
      <x:c r="BB19" s="120" t="n">
        <x:f>SUM(BB17:BB18)</x:f>
      </x:c>
      <x:c r="BC19" s="120" t="n">
        <x:f>SUM(BC17:BC18)</x:f>
      </x:c>
      <x:c r="BD19" s="120" t="n">
        <x:f>SUM(BD17:BD18)</x:f>
      </x:c>
      <x:c r="BE19" s="120" t="n">
        <x:f>SUM(BE17:BE18)</x:f>
      </x:c>
      <x:c r="BF19" s="120" t="n">
        <x:f>SUM(BF17:BF18)</x:f>
      </x:c>
      <x:c r="BG19" s="120" t="n">
        <x:f>SUM(BG17:BG18)</x:f>
      </x:c>
      <x:c r="BH19" s="120" t="n">
        <x:f>SUM(BH17:BH18)</x:f>
      </x:c>
      <x:c r="BI19" s="120" t="n">
        <x:f>SUM(BI17:BI18)</x:f>
      </x:c>
      <x:c r="BJ19" s="120" t="n">
        <x:f>SUM(BJ17:BJ18)</x:f>
      </x:c>
      <x:c r="BK19" s="120" t="n">
        <x:f>SUM(BK17:BK18)</x:f>
      </x:c>
      <x:c r="BL19" s="120" t="n">
        <x:f>SUM(BL17:BL18)</x:f>
      </x:c>
      <x:c r="BM19" s="120" t="n">
        <x:f>SUM(BM17:BM18)</x:f>
      </x:c>
      <x:c r="BN19" s="120" t="n">
        <x:f>SUM(BN17:BN18)</x:f>
      </x:c>
      <x:c r="BO19" s="120" t="n">
        <x:f>SUM(BO17:BO18)</x:f>
      </x:c>
      <x:c r="BP19" s="120" t="n">
        <x:f>SUM(BP17:BP18)</x:f>
      </x:c>
      <x:c r="BQ19" s="120" t="n">
        <x:f>SUM(BQ17:BQ18)</x:f>
      </x:c>
      <x:c r="BR19" s="120" t="n">
        <x:f>SUM(BR17:BR18)</x:f>
      </x:c>
      <x:c r="BS19" s="120" t="n">
        <x:f>SUM(BS17:BS18)</x:f>
      </x:c>
      <x:c r="BT19" s="120" t="n">
        <x:f>SUM(BT17:BT18)</x:f>
      </x:c>
      <x:c r="BU19" s="120" t="n">
        <x:f>SUM(BU17:BU18)</x:f>
      </x:c>
      <x:c r="BV19" s="120" t="n">
        <x:f>SUM(BV17:BV18)</x:f>
      </x:c>
      <x:c r="BW19" s="120" t="n">
        <x:f>SUM(BW17:BW18)</x:f>
      </x:c>
      <x:c r="BX19" s="120" t="n">
        <x:f>SUM(BX17:BX18)</x:f>
      </x:c>
      <x:c r="BY19" s="120" t="n">
        <x:f>SUM(BY17:BY18)</x:f>
      </x:c>
      <x:c r="BZ19" s="120" t="n">
        <x:f>SUM(BZ17:BZ18)</x:f>
      </x:c>
      <x:c r="CA19" s="120" t="n">
        <x:f>SUM(CA17:CA18)</x:f>
      </x:c>
      <x:c r="CB19" s="120" t="n">
        <x:f>SUM(CB17:CB18)</x:f>
      </x:c>
      <x:c r="CC19" s="120" t="n">
        <x:f>SUM(CC17:CC18)</x:f>
      </x:c>
      <x:c r="CD19" s="120" t="n">
        <x:f>SUM(CD17:CD18)</x:f>
      </x:c>
      <x:c r="CE19" s="120" t="n">
        <x:f>SUM(CE17:CE18)</x:f>
      </x:c>
      <x:c r="CF19" s="120" t="n">
        <x:f>SUM(CF17:CF18)</x:f>
      </x:c>
      <x:c r="CG19" s="120" t="n">
        <x:f>SUM(CG17:CG18)</x:f>
      </x:c>
      <x:c r="CH19" s="120" t="n">
        <x:f>SUM(CH17:CH18)</x:f>
      </x:c>
      <x:c r="CI19" s="120" t="n">
        <x:f>SUM(CI17:CI18)</x:f>
      </x:c>
      <x:c r="CJ19" s="120" t="n">
        <x:f>SUM(CJ17:CJ18)</x:f>
      </x:c>
      <x:c r="CK19" s="120" t="n">
        <x:f>SUM(CK17:CK18)</x:f>
      </x:c>
      <x:c r="CL19" s="120" t="n">
        <x:f>SUM(CL17:CL18)</x:f>
      </x:c>
      <x:c r="CM19" s="120" t="n">
        <x:f>SUM(CM17:CM18)</x:f>
      </x:c>
      <x:c r="CN19" s="120" t="n">
        <x:f>SUM(CN17:CN18)</x:f>
      </x:c>
      <x:c r="CO19" s="120" t="n">
        <x:f>SUM(CO17:CO18)</x:f>
      </x:c>
      <x:c r="CP19" s="120" t="n">
        <x:f>SUM(CP17:CP18)</x:f>
      </x:c>
      <x:c r="CQ19" s="120" t="n">
        <x:f>SUM(CQ17:CQ18)</x:f>
      </x:c>
      <x:c r="CR19" s="120" t="n">
        <x:f>SUM(CR17:CR18)</x:f>
      </x:c>
      <x:c r="CS19" s="120" t="n">
        <x:f>SUM(CS17:CS18)</x:f>
      </x:c>
      <x:c r="CT19" s="120" t="n">
        <x:f>SUM(CT17:CT18)</x:f>
      </x:c>
      <x:c r="CU19" s="120" t="n">
        <x:f>SUM(CU17:CU18)</x:f>
      </x:c>
      <x:c r="CV19" s="120" t="n">
        <x:f>SUM(CV17:CV18)</x:f>
      </x:c>
      <x:c r="CW19" s="120" t="n">
        <x:f>SUM(CW17:CW18)</x:f>
      </x:c>
      <x:c r="CX19" s="120" t="n">
        <x:f>SUM(CX17:CX18)</x:f>
      </x:c>
      <x:c r="CY19" s="120" t="n">
        <x:f>SUM(CY17:CY18)</x:f>
      </x:c>
      <x:c r="CZ19" s="120" t="n">
        <x:f>SUM(CZ17:CZ18)</x:f>
      </x:c>
      <x:c r="DA19" s="120" t="n">
        <x:f>SUM(DA17:DA18)</x:f>
      </x:c>
      <x:c r="DB19" s="120" t="n">
        <x:f>SUM(DB17:DB18)</x:f>
      </x:c>
      <x:c r="DC19" s="120" t="n">
        <x:f>SUM(DC17:DC18)</x:f>
      </x:c>
      <x:c r="DD19" s="120" t="n">
        <x:f>SUM(DD17:DD18)</x:f>
      </x:c>
      <x:c r="DE19" s="120" t="n">
        <x:f>SUM(DE17:DE18)</x:f>
      </x:c>
      <x:c r="DF19" s="120" t="n">
        <x:f>SUM(DF17:DF18)</x:f>
      </x:c>
      <x:c r="DG19" s="120" t="n">
        <x:f>SUM(DG17:DG18)</x:f>
      </x:c>
      <x:c r="DH19" s="120" t="n">
        <x:f>SUM(DH17:DH18)</x:f>
      </x:c>
      <x:c r="DI19" s="120" t="n">
        <x:f>SUM(DI17:DI18)</x:f>
      </x:c>
      <x:c r="DJ19" s="120" t="n">
        <x:f>SUM(DJ17:DJ18)</x:f>
      </x:c>
      <x:c r="DK19" s="120" t="n">
        <x:f>SUM(DK17:DK18)</x:f>
      </x:c>
      <x:c r="DL19" s="120" t="n">
        <x:f>SUM(DL17:DL18)</x:f>
      </x:c>
      <x:c r="DM19" s="120" t="n">
        <x:f>SUM(DM17:DM18)</x:f>
      </x:c>
      <x:c r="DN19" s="120" t="n">
        <x:f>SUM(DN17:DN18)</x:f>
      </x:c>
      <x:c r="DO19" s="120" t="n">
        <x:f>SUM(DO17:DO18)</x:f>
      </x:c>
      <x:c r="DP19" s="120" t="n">
        <x:f>SUM(DP17:DP18)</x:f>
      </x:c>
      <x:c r="DQ19" s="120" t="n">
        <x:f>SUM(DQ17:DQ18)</x:f>
      </x:c>
      <x:c r="DR19" s="120" t="n">
        <x:f>SUM(DR17:DR18)</x:f>
      </x:c>
      <x:c r="DS19" s="120" t="n">
        <x:f>SUM(DS17:DS18)</x:f>
      </x:c>
    </x:row>
    <x:row r="20">
      <x:c r="A20" t="str">
        <x:v>Проценты</x:v>
      </x:c>
      <x:c r="B20" t="n">
        <x:f>SUM(D20:DS20)</x:f>
      </x:c>
      <x:c r="C20" t="str">
        <x:v>млн ₽</x:v>
      </x:c>
      <x:c r="D20" s="117" t="n">
        <x:f>SUM('CF_1'!D32+'CF_1'!D42,'CF_2'!D32+'CF_2'!D42,'CF_3'!D32+'CF_3'!D42,'CF_4'!D32+'CF_4'!D42)</x:f>
      </x:c>
      <x:c r="E20" s="117" t="n">
        <x:f>SUM('CF_1'!E32+'CF_1'!E42,'CF_2'!E32+'CF_2'!E42,'CF_3'!E32+'CF_3'!E42,'CF_4'!E32+'CF_4'!E42)</x:f>
      </x:c>
      <x:c r="F20" s="117" t="n">
        <x:f>SUM('CF_1'!F32+'CF_1'!F42,'CF_2'!F32+'CF_2'!F42,'CF_3'!F32+'CF_3'!F42,'CF_4'!F32+'CF_4'!F42)</x:f>
      </x:c>
      <x:c r="G20" s="117" t="n">
        <x:f>SUM('CF_1'!G32+'CF_1'!G42,'CF_2'!G32+'CF_2'!G42,'CF_3'!G32+'CF_3'!G42,'CF_4'!G32+'CF_4'!G42)</x:f>
      </x:c>
      <x:c r="H20" s="117" t="n">
        <x:f>SUM('CF_1'!H32+'CF_1'!H42,'CF_2'!H32+'CF_2'!H42,'CF_3'!H32+'CF_3'!H42,'CF_4'!H32+'CF_4'!H42)</x:f>
      </x:c>
      <x:c r="I20" s="117" t="n">
        <x:f>SUM('CF_1'!I32+'CF_1'!I42,'CF_2'!I32+'CF_2'!I42,'CF_3'!I32+'CF_3'!I42,'CF_4'!I32+'CF_4'!I42)</x:f>
      </x:c>
      <x:c r="J20" s="117" t="n">
        <x:f>SUM('CF_1'!J32+'CF_1'!J42,'CF_2'!J32+'CF_2'!J42,'CF_3'!J32+'CF_3'!J42,'CF_4'!J32+'CF_4'!J42)</x:f>
      </x:c>
      <x:c r="K20" s="117" t="n">
        <x:f>SUM('CF_1'!K32+'CF_1'!K42,'CF_2'!K32+'CF_2'!K42,'CF_3'!K32+'CF_3'!K42,'CF_4'!K32+'CF_4'!K42)</x:f>
      </x:c>
      <x:c r="L20" s="117" t="n">
        <x:f>SUM('CF_1'!L32+'CF_1'!L42,'CF_2'!L32+'CF_2'!L42,'CF_3'!L32+'CF_3'!L42,'CF_4'!L32+'CF_4'!L42)</x:f>
      </x:c>
      <x:c r="M20" s="117" t="n">
        <x:f>SUM('CF_1'!M32+'CF_1'!M42,'CF_2'!M32+'CF_2'!M42,'CF_3'!M32+'CF_3'!M42,'CF_4'!M32+'CF_4'!M42)</x:f>
      </x:c>
      <x:c r="N20" s="117" t="n">
        <x:f>SUM('CF_1'!N32+'CF_1'!N42,'CF_2'!N32+'CF_2'!N42,'CF_3'!N32+'CF_3'!N42,'CF_4'!N32+'CF_4'!N42)</x:f>
      </x:c>
      <x:c r="O20" s="117" t="n">
        <x:f>SUM('CF_1'!O32+'CF_1'!O42,'CF_2'!O32+'CF_2'!O42,'CF_3'!O32+'CF_3'!O42,'CF_4'!O32+'CF_4'!O42)</x:f>
      </x:c>
      <x:c r="P20" s="117" t="n">
        <x:f>SUM('CF_1'!P32+'CF_1'!P42,'CF_2'!P32+'CF_2'!P42,'CF_3'!P32+'CF_3'!P42,'CF_4'!P32+'CF_4'!P42)</x:f>
      </x:c>
      <x:c r="Q20" s="117" t="n">
        <x:f>SUM('CF_1'!Q32+'CF_1'!Q42,'CF_2'!Q32+'CF_2'!Q42,'CF_3'!Q32+'CF_3'!Q42,'CF_4'!Q32+'CF_4'!Q42)</x:f>
      </x:c>
      <x:c r="R20" s="117" t="n">
        <x:f>SUM('CF_1'!R32+'CF_1'!R42,'CF_2'!R32+'CF_2'!R42,'CF_3'!R32+'CF_3'!R42,'CF_4'!R32+'CF_4'!R42)</x:f>
      </x:c>
      <x:c r="S20" s="117" t="n">
        <x:f>SUM('CF_1'!S32+'CF_1'!S42,'CF_2'!S32+'CF_2'!S42,'CF_3'!S32+'CF_3'!S42,'CF_4'!S32+'CF_4'!S42)</x:f>
      </x:c>
      <x:c r="T20" s="117" t="n">
        <x:f>SUM('CF_1'!T32+'CF_1'!T42,'CF_2'!T32+'CF_2'!T42,'CF_3'!T32+'CF_3'!T42,'CF_4'!T32+'CF_4'!T42)</x:f>
      </x:c>
      <x:c r="U20" s="117" t="n">
        <x:f>SUM('CF_1'!U32+'CF_1'!U42,'CF_2'!U32+'CF_2'!U42,'CF_3'!U32+'CF_3'!U42,'CF_4'!U32+'CF_4'!U42)</x:f>
      </x:c>
      <x:c r="V20" s="117" t="n">
        <x:f>SUM('CF_1'!V32+'CF_1'!V42,'CF_2'!V32+'CF_2'!V42,'CF_3'!V32+'CF_3'!V42,'CF_4'!V32+'CF_4'!V42)</x:f>
      </x:c>
      <x:c r="W20" s="117" t="n">
        <x:f>SUM('CF_1'!W32+'CF_1'!W42,'CF_2'!W32+'CF_2'!W42,'CF_3'!W32+'CF_3'!W42,'CF_4'!W32+'CF_4'!W42)</x:f>
      </x:c>
      <x:c r="X20" s="117" t="n">
        <x:f>SUM('CF_1'!X32+'CF_1'!X42,'CF_2'!X32+'CF_2'!X42,'CF_3'!X32+'CF_3'!X42,'CF_4'!X32+'CF_4'!X42)</x:f>
      </x:c>
      <x:c r="Y20" s="117" t="n">
        <x:f>SUM('CF_1'!Y32+'CF_1'!Y42,'CF_2'!Y32+'CF_2'!Y42,'CF_3'!Y32+'CF_3'!Y42,'CF_4'!Y32+'CF_4'!Y42)</x:f>
      </x:c>
      <x:c r="Z20" s="117" t="n">
        <x:f>SUM('CF_1'!Z32+'CF_1'!Z42,'CF_2'!Z32+'CF_2'!Z42,'CF_3'!Z32+'CF_3'!Z42,'CF_4'!Z32+'CF_4'!Z42)</x:f>
      </x:c>
      <x:c r="AA20" s="117" t="n">
        <x:f>SUM('CF_1'!AA32+'CF_1'!AA42,'CF_2'!AA32+'CF_2'!AA42,'CF_3'!AA32+'CF_3'!AA42,'CF_4'!AA32+'CF_4'!AA42)</x:f>
      </x:c>
      <x:c r="AB20" s="117" t="n">
        <x:f>SUM('CF_1'!AB32+'CF_1'!AB42,'CF_2'!AB32+'CF_2'!AB42,'CF_3'!AB32+'CF_3'!AB42,'CF_4'!AB32+'CF_4'!AB42)</x:f>
      </x:c>
      <x:c r="AC20" s="117" t="n">
        <x:f>SUM('CF_1'!AC32+'CF_1'!AC42,'CF_2'!AC32+'CF_2'!AC42,'CF_3'!AC32+'CF_3'!AC42,'CF_4'!AC32+'CF_4'!AC42)</x:f>
      </x:c>
      <x:c r="AD20" s="117" t="n">
        <x:f>SUM('CF_1'!AD32+'CF_1'!AD42,'CF_2'!AD32+'CF_2'!AD42,'CF_3'!AD32+'CF_3'!AD42,'CF_4'!AD32+'CF_4'!AD42)</x:f>
      </x:c>
      <x:c r="AE20" s="117" t="n">
        <x:f>SUM('CF_1'!AE32+'CF_1'!AE42,'CF_2'!AE32+'CF_2'!AE42,'CF_3'!AE32+'CF_3'!AE42,'CF_4'!AE32+'CF_4'!AE42)</x:f>
      </x:c>
      <x:c r="AF20" s="117" t="n">
        <x:f>SUM('CF_1'!AF32+'CF_1'!AF42,'CF_2'!AF32+'CF_2'!AF42,'CF_3'!AF32+'CF_3'!AF42,'CF_4'!AF32+'CF_4'!AF42)</x:f>
      </x:c>
      <x:c r="AG20" s="117" t="n">
        <x:f>SUM('CF_1'!AG32+'CF_1'!AG42,'CF_2'!AG32+'CF_2'!AG42,'CF_3'!AG32+'CF_3'!AG42,'CF_4'!AG32+'CF_4'!AG42)</x:f>
      </x:c>
      <x:c r="AH20" s="117" t="n">
        <x:f>SUM('CF_1'!AH32+'CF_1'!AH42,'CF_2'!AH32+'CF_2'!AH42,'CF_3'!AH32+'CF_3'!AH42,'CF_4'!AH32+'CF_4'!AH42)</x:f>
      </x:c>
      <x:c r="AI20" s="117" t="n">
        <x:f>SUM('CF_1'!AI32+'CF_1'!AI42,'CF_2'!AI32+'CF_2'!AI42,'CF_3'!AI32+'CF_3'!AI42,'CF_4'!AI32+'CF_4'!AI42)</x:f>
      </x:c>
      <x:c r="AJ20" s="117" t="n">
        <x:f>SUM('CF_1'!AJ32+'CF_1'!AJ42,'CF_2'!AJ32+'CF_2'!AJ42,'CF_3'!AJ32+'CF_3'!AJ42,'CF_4'!AJ32+'CF_4'!AJ42)</x:f>
      </x:c>
      <x:c r="AK20" s="117" t="n">
        <x:f>SUM('CF_1'!AK32+'CF_1'!AK42,'CF_2'!AK32+'CF_2'!AK42,'CF_3'!AK32+'CF_3'!AK42,'CF_4'!AK32+'CF_4'!AK42)</x:f>
      </x:c>
      <x:c r="AL20" s="117" t="n">
        <x:f>SUM('CF_1'!AL32+'CF_1'!AL42,'CF_2'!AL32+'CF_2'!AL42,'CF_3'!AL32+'CF_3'!AL42,'CF_4'!AL32+'CF_4'!AL42)</x:f>
      </x:c>
      <x:c r="AM20" s="117" t="n">
        <x:f>SUM('CF_1'!AM32+'CF_1'!AM42,'CF_2'!AM32+'CF_2'!AM42,'CF_3'!AM32+'CF_3'!AM42,'CF_4'!AM32+'CF_4'!AM42)</x:f>
      </x:c>
      <x:c r="AN20" s="117" t="n">
        <x:f>SUM('CF_1'!AN32+'CF_1'!AN42,'CF_2'!AN32+'CF_2'!AN42,'CF_3'!AN32+'CF_3'!AN42,'CF_4'!AN32+'CF_4'!AN42)</x:f>
      </x:c>
      <x:c r="AO20" s="117" t="n">
        <x:f>SUM('CF_1'!AO32+'CF_1'!AO42,'CF_2'!AO32+'CF_2'!AO42,'CF_3'!AO32+'CF_3'!AO42,'CF_4'!AO32+'CF_4'!AO42)</x:f>
      </x:c>
      <x:c r="AP20" s="117" t="n">
        <x:f>SUM('CF_1'!AP32+'CF_1'!AP42,'CF_2'!AP32+'CF_2'!AP42,'CF_3'!AP32+'CF_3'!AP42,'CF_4'!AP32+'CF_4'!AP42)</x:f>
      </x:c>
      <x:c r="AQ20" s="117" t="n">
        <x:f>SUM('CF_1'!AQ32+'CF_1'!AQ42,'CF_2'!AQ32+'CF_2'!AQ42,'CF_3'!AQ32+'CF_3'!AQ42,'CF_4'!AQ32+'CF_4'!AQ42)</x:f>
      </x:c>
      <x:c r="AR20" s="117" t="n">
        <x:f>SUM('CF_1'!AR32+'CF_1'!AR42,'CF_2'!AR32+'CF_2'!AR42,'CF_3'!AR32+'CF_3'!AR42,'CF_4'!AR32+'CF_4'!AR42)</x:f>
      </x:c>
      <x:c r="AS20" s="117" t="n">
        <x:f>SUM('CF_1'!AS32+'CF_1'!AS42,'CF_2'!AS32+'CF_2'!AS42,'CF_3'!AS32+'CF_3'!AS42,'CF_4'!AS32+'CF_4'!AS42)</x:f>
      </x:c>
      <x:c r="AT20" s="117" t="n">
        <x:f>SUM('CF_1'!AT32+'CF_1'!AT42,'CF_2'!AT32+'CF_2'!AT42,'CF_3'!AT32+'CF_3'!AT42,'CF_4'!AT32+'CF_4'!AT42)</x:f>
      </x:c>
      <x:c r="AU20" s="117" t="n">
        <x:f>SUM('CF_1'!AU32+'CF_1'!AU42,'CF_2'!AU32+'CF_2'!AU42,'CF_3'!AU32+'CF_3'!AU42,'CF_4'!AU32+'CF_4'!AU42)</x:f>
      </x:c>
      <x:c r="AV20" s="117" t="n">
        <x:f>SUM('CF_1'!AV32+'CF_1'!AV42,'CF_2'!AV32+'CF_2'!AV42,'CF_3'!AV32+'CF_3'!AV42,'CF_4'!AV32+'CF_4'!AV42)</x:f>
      </x:c>
      <x:c r="AW20" s="117" t="n">
        <x:f>SUM('CF_1'!AW32+'CF_1'!AW42,'CF_2'!AW32+'CF_2'!AW42,'CF_3'!AW32+'CF_3'!AW42,'CF_4'!AW32+'CF_4'!AW42)</x:f>
      </x:c>
      <x:c r="AX20" s="117" t="n">
        <x:f>SUM('CF_1'!AX32+'CF_1'!AX42,'CF_2'!AX32+'CF_2'!AX42,'CF_3'!AX32+'CF_3'!AX42,'CF_4'!AX32+'CF_4'!AX42)</x:f>
      </x:c>
      <x:c r="AY20" s="117" t="n">
        <x:f>SUM('CF_1'!AY32+'CF_1'!AY42,'CF_2'!AY32+'CF_2'!AY42,'CF_3'!AY32+'CF_3'!AY42,'CF_4'!AY32+'CF_4'!AY42)</x:f>
      </x:c>
      <x:c r="AZ20" s="117" t="n">
        <x:f>SUM('CF_1'!AZ32+'CF_1'!AZ42,'CF_2'!AZ32+'CF_2'!AZ42,'CF_3'!AZ32+'CF_3'!AZ42,'CF_4'!AZ32+'CF_4'!AZ42)</x:f>
      </x:c>
      <x:c r="BA20" s="117" t="n">
        <x:f>SUM('CF_1'!BA32+'CF_1'!BA42,'CF_2'!BA32+'CF_2'!BA42,'CF_3'!BA32+'CF_3'!BA42,'CF_4'!BA32+'CF_4'!BA42)</x:f>
      </x:c>
      <x:c r="BB20" s="117" t="n">
        <x:f>SUM('CF_1'!BB32+'CF_1'!BB42,'CF_2'!BB32+'CF_2'!BB42,'CF_3'!BB32+'CF_3'!BB42,'CF_4'!BB32+'CF_4'!BB42)</x:f>
      </x:c>
      <x:c r="BC20" s="117" t="n">
        <x:f>SUM('CF_1'!BC32+'CF_1'!BC42,'CF_2'!BC32+'CF_2'!BC42,'CF_3'!BC32+'CF_3'!BC42,'CF_4'!BC32+'CF_4'!BC42)</x:f>
      </x:c>
      <x:c r="BD20" s="117" t="n">
        <x:f>SUM('CF_1'!BD32+'CF_1'!BD42,'CF_2'!BD32+'CF_2'!BD42,'CF_3'!BD32+'CF_3'!BD42,'CF_4'!BD32+'CF_4'!BD42)</x:f>
      </x:c>
      <x:c r="BE20" s="117" t="n">
        <x:f>SUM('CF_1'!BE32+'CF_1'!BE42,'CF_2'!BE32+'CF_2'!BE42,'CF_3'!BE32+'CF_3'!BE42,'CF_4'!BE32+'CF_4'!BE42)</x:f>
      </x:c>
      <x:c r="BF20" s="117" t="n">
        <x:f>SUM('CF_1'!BF32+'CF_1'!BF42,'CF_2'!BF32+'CF_2'!BF42,'CF_3'!BF32+'CF_3'!BF42,'CF_4'!BF32+'CF_4'!BF42)</x:f>
      </x:c>
      <x:c r="BG20" s="117" t="n">
        <x:f>SUM('CF_1'!BG32+'CF_1'!BG42,'CF_2'!BG32+'CF_2'!BG42,'CF_3'!BG32+'CF_3'!BG42,'CF_4'!BG32+'CF_4'!BG42)</x:f>
      </x:c>
      <x:c r="BH20" s="117" t="n">
        <x:f>SUM('CF_1'!BH32+'CF_1'!BH42,'CF_2'!BH32+'CF_2'!BH42,'CF_3'!BH32+'CF_3'!BH42,'CF_4'!BH32+'CF_4'!BH42)</x:f>
      </x:c>
      <x:c r="BI20" s="117" t="n">
        <x:f>SUM('CF_1'!BI32+'CF_1'!BI42,'CF_2'!BI32+'CF_2'!BI42,'CF_3'!BI32+'CF_3'!BI42,'CF_4'!BI32+'CF_4'!BI42)</x:f>
      </x:c>
      <x:c r="BJ20" s="117" t="n">
        <x:f>SUM('CF_1'!BJ32+'CF_1'!BJ42,'CF_2'!BJ32+'CF_2'!BJ42,'CF_3'!BJ32+'CF_3'!BJ42,'CF_4'!BJ32+'CF_4'!BJ42)</x:f>
      </x:c>
      <x:c r="BK20" s="117" t="n">
        <x:f>SUM('CF_1'!BK32+'CF_1'!BK42,'CF_2'!BK32+'CF_2'!BK42,'CF_3'!BK32+'CF_3'!BK42,'CF_4'!BK32+'CF_4'!BK42)</x:f>
      </x:c>
      <x:c r="BL20" s="117" t="n">
        <x:f>SUM('CF_1'!BL32+'CF_1'!BL42,'CF_2'!BL32+'CF_2'!BL42,'CF_3'!BL32+'CF_3'!BL42,'CF_4'!BL32+'CF_4'!BL42)</x:f>
      </x:c>
      <x:c r="BM20" s="117" t="n">
        <x:f>SUM('CF_1'!BM32+'CF_1'!BM42,'CF_2'!BM32+'CF_2'!BM42,'CF_3'!BM32+'CF_3'!BM42,'CF_4'!BM32+'CF_4'!BM42)</x:f>
      </x:c>
      <x:c r="BN20" s="117" t="n">
        <x:f>SUM('CF_1'!BN32+'CF_1'!BN42,'CF_2'!BN32+'CF_2'!BN42,'CF_3'!BN32+'CF_3'!BN42,'CF_4'!BN32+'CF_4'!BN42)</x:f>
      </x:c>
      <x:c r="BO20" s="117" t="n">
        <x:f>SUM('CF_1'!BO32+'CF_1'!BO42,'CF_2'!BO32+'CF_2'!BO42,'CF_3'!BO32+'CF_3'!BO42,'CF_4'!BO32+'CF_4'!BO42)</x:f>
      </x:c>
      <x:c r="BP20" s="117" t="n">
        <x:f>SUM('CF_1'!BP32+'CF_1'!BP42,'CF_2'!BP32+'CF_2'!BP42,'CF_3'!BP32+'CF_3'!BP42,'CF_4'!BP32+'CF_4'!BP42)</x:f>
      </x:c>
      <x:c r="BQ20" s="117" t="n">
        <x:f>SUM('CF_1'!BQ32+'CF_1'!BQ42,'CF_2'!BQ32+'CF_2'!BQ42,'CF_3'!BQ32+'CF_3'!BQ42,'CF_4'!BQ32+'CF_4'!BQ42)</x:f>
      </x:c>
      <x:c r="BR20" s="117" t="n">
        <x:f>SUM('CF_1'!BR32+'CF_1'!BR42,'CF_2'!BR32+'CF_2'!BR42,'CF_3'!BR32+'CF_3'!BR42,'CF_4'!BR32+'CF_4'!BR42)</x:f>
      </x:c>
      <x:c r="BS20" s="117" t="n">
        <x:f>SUM('CF_1'!BS32+'CF_1'!BS42,'CF_2'!BS32+'CF_2'!BS42,'CF_3'!BS32+'CF_3'!BS42,'CF_4'!BS32+'CF_4'!BS42)</x:f>
      </x:c>
      <x:c r="BT20" s="117" t="n">
        <x:f>SUM('CF_1'!BT32+'CF_1'!BT42,'CF_2'!BT32+'CF_2'!BT42,'CF_3'!BT32+'CF_3'!BT42,'CF_4'!BT32+'CF_4'!BT42)</x:f>
      </x:c>
      <x:c r="BU20" s="117" t="n">
        <x:f>SUM('CF_1'!BU32+'CF_1'!BU42,'CF_2'!BU32+'CF_2'!BU42,'CF_3'!BU32+'CF_3'!BU42,'CF_4'!BU32+'CF_4'!BU42)</x:f>
      </x:c>
      <x:c r="BV20" s="117" t="n">
        <x:f>SUM('CF_1'!BV32+'CF_1'!BV42,'CF_2'!BV32+'CF_2'!BV42,'CF_3'!BV32+'CF_3'!BV42,'CF_4'!BV32+'CF_4'!BV42)</x:f>
      </x:c>
      <x:c r="BW20" s="117" t="n">
        <x:f>SUM('CF_1'!BW32+'CF_1'!BW42,'CF_2'!BW32+'CF_2'!BW42,'CF_3'!BW32+'CF_3'!BW42,'CF_4'!BW32+'CF_4'!BW42)</x:f>
      </x:c>
      <x:c r="BX20" s="117" t="n">
        <x:f>SUM('CF_1'!BX32+'CF_1'!BX42,'CF_2'!BX32+'CF_2'!BX42,'CF_3'!BX32+'CF_3'!BX42,'CF_4'!BX32+'CF_4'!BX42)</x:f>
      </x:c>
      <x:c r="BY20" s="117" t="n">
        <x:f>SUM('CF_1'!BY32+'CF_1'!BY42,'CF_2'!BY32+'CF_2'!BY42,'CF_3'!BY32+'CF_3'!BY42,'CF_4'!BY32+'CF_4'!BY42)</x:f>
      </x:c>
      <x:c r="BZ20" s="117" t="n">
        <x:f>SUM('CF_1'!BZ32+'CF_1'!BZ42,'CF_2'!BZ32+'CF_2'!BZ42,'CF_3'!BZ32+'CF_3'!BZ42,'CF_4'!BZ32+'CF_4'!BZ42)</x:f>
      </x:c>
      <x:c r="CA20" s="117" t="n">
        <x:f>SUM('CF_1'!CA32+'CF_1'!CA42,'CF_2'!CA32+'CF_2'!CA42,'CF_3'!CA32+'CF_3'!CA42,'CF_4'!CA32+'CF_4'!CA42)</x:f>
      </x:c>
      <x:c r="CB20" s="117" t="n">
        <x:f>SUM('CF_1'!CB32+'CF_1'!CB42,'CF_2'!CB32+'CF_2'!CB42,'CF_3'!CB32+'CF_3'!CB42,'CF_4'!CB32+'CF_4'!CB42)</x:f>
      </x:c>
      <x:c r="CC20" s="117" t="n">
        <x:f>SUM('CF_1'!CC32+'CF_1'!CC42,'CF_2'!CC32+'CF_2'!CC42,'CF_3'!CC32+'CF_3'!CC42,'CF_4'!CC32+'CF_4'!CC42)</x:f>
      </x:c>
      <x:c r="CD20" s="117" t="n">
        <x:f>SUM('CF_1'!CD32+'CF_1'!CD42,'CF_2'!CD32+'CF_2'!CD42,'CF_3'!CD32+'CF_3'!CD42,'CF_4'!CD32+'CF_4'!CD42)</x:f>
      </x:c>
      <x:c r="CE20" s="117" t="n">
        <x:f>SUM('CF_1'!CE32+'CF_1'!CE42,'CF_2'!CE32+'CF_2'!CE42,'CF_3'!CE32+'CF_3'!CE42,'CF_4'!CE32+'CF_4'!CE42)</x:f>
      </x:c>
      <x:c r="CF20" s="117" t="n">
        <x:f>SUM('CF_1'!CF32+'CF_1'!CF42,'CF_2'!CF32+'CF_2'!CF42,'CF_3'!CF32+'CF_3'!CF42,'CF_4'!CF32+'CF_4'!CF42)</x:f>
      </x:c>
      <x:c r="CG20" s="117" t="n">
        <x:f>SUM('CF_1'!CG32+'CF_1'!CG42,'CF_2'!CG32+'CF_2'!CG42,'CF_3'!CG32+'CF_3'!CG42,'CF_4'!CG32+'CF_4'!CG42)</x:f>
      </x:c>
      <x:c r="CH20" s="117" t="n">
        <x:f>SUM('CF_1'!CH32+'CF_1'!CH42,'CF_2'!CH32+'CF_2'!CH42,'CF_3'!CH32+'CF_3'!CH42,'CF_4'!CH32+'CF_4'!CH42)</x:f>
      </x:c>
      <x:c r="CI20" s="117" t="n">
        <x:f>SUM('CF_1'!CI32+'CF_1'!CI42,'CF_2'!CI32+'CF_2'!CI42,'CF_3'!CI32+'CF_3'!CI42,'CF_4'!CI32+'CF_4'!CI42)</x:f>
      </x:c>
      <x:c r="CJ20" s="117" t="n">
        <x:f>SUM('CF_1'!CJ32+'CF_1'!CJ42,'CF_2'!CJ32+'CF_2'!CJ42,'CF_3'!CJ32+'CF_3'!CJ42,'CF_4'!CJ32+'CF_4'!CJ42)</x:f>
      </x:c>
      <x:c r="CK20" s="117" t="n">
        <x:f>SUM('CF_1'!CK32+'CF_1'!CK42,'CF_2'!CK32+'CF_2'!CK42,'CF_3'!CK32+'CF_3'!CK42,'CF_4'!CK32+'CF_4'!CK42)</x:f>
      </x:c>
      <x:c r="CL20" s="117" t="n">
        <x:f>SUM('CF_1'!CL32+'CF_1'!CL42,'CF_2'!CL32+'CF_2'!CL42,'CF_3'!CL32+'CF_3'!CL42,'CF_4'!CL32+'CF_4'!CL42)</x:f>
      </x:c>
      <x:c r="CM20" s="117" t="n">
        <x:f>SUM('CF_1'!CM32+'CF_1'!CM42,'CF_2'!CM32+'CF_2'!CM42,'CF_3'!CM32+'CF_3'!CM42,'CF_4'!CM32+'CF_4'!CM42)</x:f>
      </x:c>
      <x:c r="CN20" s="117" t="n">
        <x:f>SUM('CF_1'!CN32+'CF_1'!CN42,'CF_2'!CN32+'CF_2'!CN42,'CF_3'!CN32+'CF_3'!CN42,'CF_4'!CN32+'CF_4'!CN42)</x:f>
      </x:c>
      <x:c r="CO20" s="117" t="n">
        <x:f>SUM('CF_1'!CO32+'CF_1'!CO42,'CF_2'!CO32+'CF_2'!CO42,'CF_3'!CO32+'CF_3'!CO42,'CF_4'!CO32+'CF_4'!CO42)</x:f>
      </x:c>
      <x:c r="CP20" s="117" t="n">
        <x:f>SUM('CF_1'!CP32+'CF_1'!CP42,'CF_2'!CP32+'CF_2'!CP42,'CF_3'!CP32+'CF_3'!CP42,'CF_4'!CP32+'CF_4'!CP42)</x:f>
      </x:c>
      <x:c r="CQ20" s="117" t="n">
        <x:f>SUM('CF_1'!CQ32+'CF_1'!CQ42,'CF_2'!CQ32+'CF_2'!CQ42,'CF_3'!CQ32+'CF_3'!CQ42,'CF_4'!CQ32+'CF_4'!CQ42)</x:f>
      </x:c>
      <x:c r="CR20" s="117" t="n">
        <x:f>SUM('CF_1'!CR32+'CF_1'!CR42,'CF_2'!CR32+'CF_2'!CR42,'CF_3'!CR32+'CF_3'!CR42,'CF_4'!CR32+'CF_4'!CR42)</x:f>
      </x:c>
      <x:c r="CS20" s="117" t="n">
        <x:f>SUM('CF_1'!CS32+'CF_1'!CS42,'CF_2'!CS32+'CF_2'!CS42,'CF_3'!CS32+'CF_3'!CS42,'CF_4'!CS32+'CF_4'!CS42)</x:f>
      </x:c>
      <x:c r="CT20" s="117" t="n">
        <x:f>SUM('CF_1'!CT32+'CF_1'!CT42,'CF_2'!CT32+'CF_2'!CT42,'CF_3'!CT32+'CF_3'!CT42,'CF_4'!CT32+'CF_4'!CT42)</x:f>
      </x:c>
      <x:c r="CU20" s="117" t="n">
        <x:f>SUM('CF_1'!CU32+'CF_1'!CU42,'CF_2'!CU32+'CF_2'!CU42,'CF_3'!CU32+'CF_3'!CU42,'CF_4'!CU32+'CF_4'!CU42)</x:f>
      </x:c>
      <x:c r="CV20" s="117" t="n">
        <x:f>SUM('CF_1'!CV32+'CF_1'!CV42,'CF_2'!CV32+'CF_2'!CV42,'CF_3'!CV32+'CF_3'!CV42,'CF_4'!CV32+'CF_4'!CV42)</x:f>
      </x:c>
      <x:c r="CW20" s="117" t="n">
        <x:f>SUM('CF_1'!CW32+'CF_1'!CW42,'CF_2'!CW32+'CF_2'!CW42,'CF_3'!CW32+'CF_3'!CW42,'CF_4'!CW32+'CF_4'!CW42)</x:f>
      </x:c>
      <x:c r="CX20" s="117" t="n">
        <x:f>SUM('CF_1'!CX32+'CF_1'!CX42,'CF_2'!CX32+'CF_2'!CX42,'CF_3'!CX32+'CF_3'!CX42,'CF_4'!CX32+'CF_4'!CX42)</x:f>
      </x:c>
      <x:c r="CY20" s="117" t="n">
        <x:f>SUM('CF_1'!CY32+'CF_1'!CY42,'CF_2'!CY32+'CF_2'!CY42,'CF_3'!CY32+'CF_3'!CY42,'CF_4'!CY32+'CF_4'!CY42)</x:f>
      </x:c>
      <x:c r="CZ20" s="117" t="n">
        <x:f>SUM('CF_1'!CZ32+'CF_1'!CZ42,'CF_2'!CZ32+'CF_2'!CZ42,'CF_3'!CZ32+'CF_3'!CZ42,'CF_4'!CZ32+'CF_4'!CZ42)</x:f>
      </x:c>
      <x:c r="DA20" s="117" t="n">
        <x:f>SUM('CF_1'!DA32+'CF_1'!DA42,'CF_2'!DA32+'CF_2'!DA42,'CF_3'!DA32+'CF_3'!DA42,'CF_4'!DA32+'CF_4'!DA42)</x:f>
      </x:c>
      <x:c r="DB20" s="117" t="n">
        <x:f>SUM('CF_1'!DB32+'CF_1'!DB42,'CF_2'!DB32+'CF_2'!DB42,'CF_3'!DB32+'CF_3'!DB42,'CF_4'!DB32+'CF_4'!DB42)</x:f>
      </x:c>
      <x:c r="DC20" s="117" t="n">
        <x:f>SUM('CF_1'!DC32+'CF_1'!DC42,'CF_2'!DC32+'CF_2'!DC42,'CF_3'!DC32+'CF_3'!DC42,'CF_4'!DC32+'CF_4'!DC42)</x:f>
      </x:c>
      <x:c r="DD20" s="117" t="n">
        <x:f>SUM('CF_1'!DD32+'CF_1'!DD42,'CF_2'!DD32+'CF_2'!DD42,'CF_3'!DD32+'CF_3'!DD42,'CF_4'!DD32+'CF_4'!DD42)</x:f>
      </x:c>
      <x:c r="DE20" s="117" t="n">
        <x:f>SUM('CF_1'!DE32+'CF_1'!DE42,'CF_2'!DE32+'CF_2'!DE42,'CF_3'!DE32+'CF_3'!DE42,'CF_4'!DE32+'CF_4'!DE42)</x:f>
      </x:c>
      <x:c r="DF20" s="117" t="n">
        <x:f>SUM('CF_1'!DF32+'CF_1'!DF42,'CF_2'!DF32+'CF_2'!DF42,'CF_3'!DF32+'CF_3'!DF42,'CF_4'!DF32+'CF_4'!DF42)</x:f>
      </x:c>
      <x:c r="DG20" s="117" t="n">
        <x:f>SUM('CF_1'!DG32+'CF_1'!DG42,'CF_2'!DG32+'CF_2'!DG42,'CF_3'!DG32+'CF_3'!DG42,'CF_4'!DG32+'CF_4'!DG42)</x:f>
      </x:c>
      <x:c r="DH20" s="117" t="n">
        <x:f>SUM('CF_1'!DH32+'CF_1'!DH42,'CF_2'!DH32+'CF_2'!DH42,'CF_3'!DH32+'CF_3'!DH42,'CF_4'!DH32+'CF_4'!DH42)</x:f>
      </x:c>
      <x:c r="DI20" s="117" t="n">
        <x:f>SUM('CF_1'!DI32+'CF_1'!DI42,'CF_2'!DI32+'CF_2'!DI42,'CF_3'!DI32+'CF_3'!DI42,'CF_4'!DI32+'CF_4'!DI42)</x:f>
      </x:c>
      <x:c r="DJ20" s="117" t="n">
        <x:f>SUM('CF_1'!DJ32+'CF_1'!DJ42,'CF_2'!DJ32+'CF_2'!DJ42,'CF_3'!DJ32+'CF_3'!DJ42,'CF_4'!DJ32+'CF_4'!DJ42)</x:f>
      </x:c>
      <x:c r="DK20" s="117" t="n">
        <x:f>SUM('CF_1'!DK32+'CF_1'!DK42,'CF_2'!DK32+'CF_2'!DK42,'CF_3'!DK32+'CF_3'!DK42,'CF_4'!DK32+'CF_4'!DK42)</x:f>
      </x:c>
      <x:c r="DL20" s="117" t="n">
        <x:f>SUM('CF_1'!DL32+'CF_1'!DL42,'CF_2'!DL32+'CF_2'!DL42,'CF_3'!DL32+'CF_3'!DL42,'CF_4'!DL32+'CF_4'!DL42)</x:f>
      </x:c>
      <x:c r="DM20" s="117" t="n">
        <x:f>SUM('CF_1'!DM32+'CF_1'!DM42,'CF_2'!DM32+'CF_2'!DM42,'CF_3'!DM32+'CF_3'!DM42,'CF_4'!DM32+'CF_4'!DM42)</x:f>
      </x:c>
      <x:c r="DN20" s="117" t="n">
        <x:f>SUM('CF_1'!DN32+'CF_1'!DN42,'CF_2'!DN32+'CF_2'!DN42,'CF_3'!DN32+'CF_3'!DN42,'CF_4'!DN32+'CF_4'!DN42)</x:f>
      </x:c>
      <x:c r="DO20" s="117" t="n">
        <x:f>SUM('CF_1'!DO32+'CF_1'!DO42,'CF_2'!DO32+'CF_2'!DO42,'CF_3'!DO32+'CF_3'!DO42,'CF_4'!DO32+'CF_4'!DO42)</x:f>
      </x:c>
      <x:c r="DP20" s="117" t="n">
        <x:f>SUM('CF_1'!DP32+'CF_1'!DP42,'CF_2'!DP32+'CF_2'!DP42,'CF_3'!DP32+'CF_3'!DP42,'CF_4'!DP32+'CF_4'!DP42)</x:f>
      </x:c>
      <x:c r="DQ20" s="117" t="n">
        <x:f>SUM('CF_1'!DQ32+'CF_1'!DQ42,'CF_2'!DQ32+'CF_2'!DQ42,'CF_3'!DQ32+'CF_3'!DQ42,'CF_4'!DQ32+'CF_4'!DQ42)</x:f>
      </x:c>
      <x:c r="DR20" s="117" t="n">
        <x:f>SUM('CF_1'!DR32+'CF_1'!DR42,'CF_2'!DR32+'CF_2'!DR42,'CF_3'!DR32+'CF_3'!DR42,'CF_4'!DR32+'CF_4'!DR42)</x:f>
      </x:c>
      <x:c r="DS20" s="117" t="n">
        <x:f>SUM('CF_1'!DS32+'CF_1'!DS42,'CF_2'!DS32+'CF_2'!DS42,'CF_3'!DS32+'CF_3'!DS42,'CF_4'!DS32+'CF_4'!DS42)</x:f>
      </x:c>
    </x:row>
    <x:row r="21">
      <x:c r="A21" t="str">
        <x:v>Комиссии</x:v>
      </x:c>
      <x:c r="B21" t="n">
        <x:f>SUM(D21:DS21)</x:f>
      </x:c>
      <x:c r="C21" t="str">
        <x:v>млн ₽</x:v>
      </x:c>
      <x:c r="D21" s="117" t="n">
        <x:f>SUM('CF_1'!D43,'CF_2'!D43,'CF_3'!D43,'CF_4'!D43)</x:f>
      </x:c>
      <x:c r="E21" s="117" t="n">
        <x:f>SUM('CF_1'!E43,'CF_2'!E43,'CF_3'!E43,'CF_4'!E43)</x:f>
      </x:c>
      <x:c r="F21" s="117" t="n">
        <x:f>SUM('CF_1'!F43,'CF_2'!F43,'CF_3'!F43,'CF_4'!F43)</x:f>
      </x:c>
      <x:c r="G21" s="117" t="n">
        <x:f>SUM('CF_1'!G43,'CF_2'!G43,'CF_3'!G43,'CF_4'!G43)</x:f>
      </x:c>
      <x:c r="H21" s="117" t="n">
        <x:f>SUM('CF_1'!H43,'CF_2'!H43,'CF_3'!H43,'CF_4'!H43)</x:f>
      </x:c>
      <x:c r="I21" s="117" t="n">
        <x:f>SUM('CF_1'!I43,'CF_2'!I43,'CF_3'!I43,'CF_4'!I43)</x:f>
      </x:c>
      <x:c r="J21" s="117" t="n">
        <x:f>SUM('CF_1'!J43,'CF_2'!J43,'CF_3'!J43,'CF_4'!J43)</x:f>
      </x:c>
      <x:c r="K21" s="117" t="n">
        <x:f>SUM('CF_1'!K43,'CF_2'!K43,'CF_3'!K43,'CF_4'!K43)</x:f>
      </x:c>
      <x:c r="L21" s="117" t="n">
        <x:f>SUM('CF_1'!L43,'CF_2'!L43,'CF_3'!L43,'CF_4'!L43)</x:f>
      </x:c>
      <x:c r="M21" s="117" t="n">
        <x:f>SUM('CF_1'!M43,'CF_2'!M43,'CF_3'!M43,'CF_4'!M43)</x:f>
      </x:c>
      <x:c r="N21" s="117" t="n">
        <x:f>SUM('CF_1'!N43,'CF_2'!N43,'CF_3'!N43,'CF_4'!N43)</x:f>
      </x:c>
      <x:c r="O21" s="117" t="n">
        <x:f>SUM('CF_1'!O43,'CF_2'!O43,'CF_3'!O43,'CF_4'!O43)</x:f>
      </x:c>
      <x:c r="P21" s="117" t="n">
        <x:f>SUM('CF_1'!P43,'CF_2'!P43,'CF_3'!P43,'CF_4'!P43)</x:f>
      </x:c>
      <x:c r="Q21" s="117" t="n">
        <x:f>SUM('CF_1'!Q43,'CF_2'!Q43,'CF_3'!Q43,'CF_4'!Q43)</x:f>
      </x:c>
      <x:c r="R21" s="117" t="n">
        <x:f>SUM('CF_1'!R43,'CF_2'!R43,'CF_3'!R43,'CF_4'!R43)</x:f>
      </x:c>
      <x:c r="S21" s="117" t="n">
        <x:f>SUM('CF_1'!S43,'CF_2'!S43,'CF_3'!S43,'CF_4'!S43)</x:f>
      </x:c>
      <x:c r="T21" s="117" t="n">
        <x:f>SUM('CF_1'!T43,'CF_2'!T43,'CF_3'!T43,'CF_4'!T43)</x:f>
      </x:c>
      <x:c r="U21" s="117" t="n">
        <x:f>SUM('CF_1'!U43,'CF_2'!U43,'CF_3'!U43,'CF_4'!U43)</x:f>
      </x:c>
      <x:c r="V21" s="117" t="n">
        <x:f>SUM('CF_1'!V43,'CF_2'!V43,'CF_3'!V43,'CF_4'!V43)</x:f>
      </x:c>
      <x:c r="W21" s="117" t="n">
        <x:f>SUM('CF_1'!W43,'CF_2'!W43,'CF_3'!W43,'CF_4'!W43)</x:f>
      </x:c>
      <x:c r="X21" s="117" t="n">
        <x:f>SUM('CF_1'!X43,'CF_2'!X43,'CF_3'!X43,'CF_4'!X43)</x:f>
      </x:c>
      <x:c r="Y21" s="117" t="n">
        <x:f>SUM('CF_1'!Y43,'CF_2'!Y43,'CF_3'!Y43,'CF_4'!Y43)</x:f>
      </x:c>
      <x:c r="Z21" s="117" t="n">
        <x:f>SUM('CF_1'!Z43,'CF_2'!Z43,'CF_3'!Z43,'CF_4'!Z43)</x:f>
      </x:c>
      <x:c r="AA21" s="117" t="n">
        <x:f>SUM('CF_1'!AA43,'CF_2'!AA43,'CF_3'!AA43,'CF_4'!AA43)</x:f>
      </x:c>
      <x:c r="AB21" s="117" t="n">
        <x:f>SUM('CF_1'!AB43,'CF_2'!AB43,'CF_3'!AB43,'CF_4'!AB43)</x:f>
      </x:c>
      <x:c r="AC21" s="117" t="n">
        <x:f>SUM('CF_1'!AC43,'CF_2'!AC43,'CF_3'!AC43,'CF_4'!AC43)</x:f>
      </x:c>
      <x:c r="AD21" s="117" t="n">
        <x:f>SUM('CF_1'!AD43,'CF_2'!AD43,'CF_3'!AD43,'CF_4'!AD43)</x:f>
      </x:c>
      <x:c r="AE21" s="117" t="n">
        <x:f>SUM('CF_1'!AE43,'CF_2'!AE43,'CF_3'!AE43,'CF_4'!AE43)</x:f>
      </x:c>
      <x:c r="AF21" s="117" t="n">
        <x:f>SUM('CF_1'!AF43,'CF_2'!AF43,'CF_3'!AF43,'CF_4'!AF43)</x:f>
      </x:c>
      <x:c r="AG21" s="117" t="n">
        <x:f>SUM('CF_1'!AG43,'CF_2'!AG43,'CF_3'!AG43,'CF_4'!AG43)</x:f>
      </x:c>
      <x:c r="AH21" s="117" t="n">
        <x:f>SUM('CF_1'!AH43,'CF_2'!AH43,'CF_3'!AH43,'CF_4'!AH43)</x:f>
      </x:c>
      <x:c r="AI21" s="117" t="n">
        <x:f>SUM('CF_1'!AI43,'CF_2'!AI43,'CF_3'!AI43,'CF_4'!AI43)</x:f>
      </x:c>
      <x:c r="AJ21" s="117" t="n">
        <x:f>SUM('CF_1'!AJ43,'CF_2'!AJ43,'CF_3'!AJ43,'CF_4'!AJ43)</x:f>
      </x:c>
      <x:c r="AK21" s="117" t="n">
        <x:f>SUM('CF_1'!AK43,'CF_2'!AK43,'CF_3'!AK43,'CF_4'!AK43)</x:f>
      </x:c>
      <x:c r="AL21" s="117" t="n">
        <x:f>SUM('CF_1'!AL43,'CF_2'!AL43,'CF_3'!AL43,'CF_4'!AL43)</x:f>
      </x:c>
      <x:c r="AM21" s="117" t="n">
        <x:f>SUM('CF_1'!AM43,'CF_2'!AM43,'CF_3'!AM43,'CF_4'!AM43)</x:f>
      </x:c>
      <x:c r="AN21" s="117" t="n">
        <x:f>SUM('CF_1'!AN43,'CF_2'!AN43,'CF_3'!AN43,'CF_4'!AN43)</x:f>
      </x:c>
      <x:c r="AO21" s="117" t="n">
        <x:f>SUM('CF_1'!AO43,'CF_2'!AO43,'CF_3'!AO43,'CF_4'!AO43)</x:f>
      </x:c>
      <x:c r="AP21" s="117" t="n">
        <x:f>SUM('CF_1'!AP43,'CF_2'!AP43,'CF_3'!AP43,'CF_4'!AP43)</x:f>
      </x:c>
      <x:c r="AQ21" s="117" t="n">
        <x:f>SUM('CF_1'!AQ43,'CF_2'!AQ43,'CF_3'!AQ43,'CF_4'!AQ43)</x:f>
      </x:c>
      <x:c r="AR21" s="117" t="n">
        <x:f>SUM('CF_1'!AR43,'CF_2'!AR43,'CF_3'!AR43,'CF_4'!AR43)</x:f>
      </x:c>
      <x:c r="AS21" s="117" t="n">
        <x:f>SUM('CF_1'!AS43,'CF_2'!AS43,'CF_3'!AS43,'CF_4'!AS43)</x:f>
      </x:c>
      <x:c r="AT21" s="117" t="n">
        <x:f>SUM('CF_1'!AT43,'CF_2'!AT43,'CF_3'!AT43,'CF_4'!AT43)</x:f>
      </x:c>
      <x:c r="AU21" s="117" t="n">
        <x:f>SUM('CF_1'!AU43,'CF_2'!AU43,'CF_3'!AU43,'CF_4'!AU43)</x:f>
      </x:c>
      <x:c r="AV21" s="117" t="n">
        <x:f>SUM('CF_1'!AV43,'CF_2'!AV43,'CF_3'!AV43,'CF_4'!AV43)</x:f>
      </x:c>
      <x:c r="AW21" s="117" t="n">
        <x:f>SUM('CF_1'!AW43,'CF_2'!AW43,'CF_3'!AW43,'CF_4'!AW43)</x:f>
      </x:c>
      <x:c r="AX21" s="117" t="n">
        <x:f>SUM('CF_1'!AX43,'CF_2'!AX43,'CF_3'!AX43,'CF_4'!AX43)</x:f>
      </x:c>
      <x:c r="AY21" s="117" t="n">
        <x:f>SUM('CF_1'!AY43,'CF_2'!AY43,'CF_3'!AY43,'CF_4'!AY43)</x:f>
      </x:c>
      <x:c r="AZ21" s="117" t="n">
        <x:f>SUM('CF_1'!AZ43,'CF_2'!AZ43,'CF_3'!AZ43,'CF_4'!AZ43)</x:f>
      </x:c>
      <x:c r="BA21" s="117" t="n">
        <x:f>SUM('CF_1'!BA43,'CF_2'!BA43,'CF_3'!BA43,'CF_4'!BA43)</x:f>
      </x:c>
      <x:c r="BB21" s="117" t="n">
        <x:f>SUM('CF_1'!BB43,'CF_2'!BB43,'CF_3'!BB43,'CF_4'!BB43)</x:f>
      </x:c>
      <x:c r="BC21" s="117" t="n">
        <x:f>SUM('CF_1'!BC43,'CF_2'!BC43,'CF_3'!BC43,'CF_4'!BC43)</x:f>
      </x:c>
      <x:c r="BD21" s="117" t="n">
        <x:f>SUM('CF_1'!BD43,'CF_2'!BD43,'CF_3'!BD43,'CF_4'!BD43)</x:f>
      </x:c>
      <x:c r="BE21" s="117" t="n">
        <x:f>SUM('CF_1'!BE43,'CF_2'!BE43,'CF_3'!BE43,'CF_4'!BE43)</x:f>
      </x:c>
      <x:c r="BF21" s="117" t="n">
        <x:f>SUM('CF_1'!BF43,'CF_2'!BF43,'CF_3'!BF43,'CF_4'!BF43)</x:f>
      </x:c>
      <x:c r="BG21" s="117" t="n">
        <x:f>SUM('CF_1'!BG43,'CF_2'!BG43,'CF_3'!BG43,'CF_4'!BG43)</x:f>
      </x:c>
      <x:c r="BH21" s="117" t="n">
        <x:f>SUM('CF_1'!BH43,'CF_2'!BH43,'CF_3'!BH43,'CF_4'!BH43)</x:f>
      </x:c>
      <x:c r="BI21" s="117" t="n">
        <x:f>SUM('CF_1'!BI43,'CF_2'!BI43,'CF_3'!BI43,'CF_4'!BI43)</x:f>
      </x:c>
      <x:c r="BJ21" s="117" t="n">
        <x:f>SUM('CF_1'!BJ43,'CF_2'!BJ43,'CF_3'!BJ43,'CF_4'!BJ43)</x:f>
      </x:c>
      <x:c r="BK21" s="117" t="n">
        <x:f>SUM('CF_1'!BK43,'CF_2'!BK43,'CF_3'!BK43,'CF_4'!BK43)</x:f>
      </x:c>
      <x:c r="BL21" s="117" t="n">
        <x:f>SUM('CF_1'!BL43,'CF_2'!BL43,'CF_3'!BL43,'CF_4'!BL43)</x:f>
      </x:c>
      <x:c r="BM21" s="117" t="n">
        <x:f>SUM('CF_1'!BM43,'CF_2'!BM43,'CF_3'!BM43,'CF_4'!BM43)</x:f>
      </x:c>
      <x:c r="BN21" s="117" t="n">
        <x:f>SUM('CF_1'!BN43,'CF_2'!BN43,'CF_3'!BN43,'CF_4'!BN43)</x:f>
      </x:c>
      <x:c r="BO21" s="117" t="n">
        <x:f>SUM('CF_1'!BO43,'CF_2'!BO43,'CF_3'!BO43,'CF_4'!BO43)</x:f>
      </x:c>
      <x:c r="BP21" s="117" t="n">
        <x:f>SUM('CF_1'!BP43,'CF_2'!BP43,'CF_3'!BP43,'CF_4'!BP43)</x:f>
      </x:c>
      <x:c r="BQ21" s="117" t="n">
        <x:f>SUM('CF_1'!BQ43,'CF_2'!BQ43,'CF_3'!BQ43,'CF_4'!BQ43)</x:f>
      </x:c>
      <x:c r="BR21" s="117" t="n">
        <x:f>SUM('CF_1'!BR43,'CF_2'!BR43,'CF_3'!BR43,'CF_4'!BR43)</x:f>
      </x:c>
      <x:c r="BS21" s="117" t="n">
        <x:f>SUM('CF_1'!BS43,'CF_2'!BS43,'CF_3'!BS43,'CF_4'!BS43)</x:f>
      </x:c>
      <x:c r="BT21" s="117" t="n">
        <x:f>SUM('CF_1'!BT43,'CF_2'!BT43,'CF_3'!BT43,'CF_4'!BT43)</x:f>
      </x:c>
      <x:c r="BU21" s="117" t="n">
        <x:f>SUM('CF_1'!BU43,'CF_2'!BU43,'CF_3'!BU43,'CF_4'!BU43)</x:f>
      </x:c>
      <x:c r="BV21" s="117" t="n">
        <x:f>SUM('CF_1'!BV43,'CF_2'!BV43,'CF_3'!BV43,'CF_4'!BV43)</x:f>
      </x:c>
      <x:c r="BW21" s="117" t="n">
        <x:f>SUM('CF_1'!BW43,'CF_2'!BW43,'CF_3'!BW43,'CF_4'!BW43)</x:f>
      </x:c>
      <x:c r="BX21" s="117" t="n">
        <x:f>SUM('CF_1'!BX43,'CF_2'!BX43,'CF_3'!BX43,'CF_4'!BX43)</x:f>
      </x:c>
      <x:c r="BY21" s="117" t="n">
        <x:f>SUM('CF_1'!BY43,'CF_2'!BY43,'CF_3'!BY43,'CF_4'!BY43)</x:f>
      </x:c>
      <x:c r="BZ21" s="117" t="n">
        <x:f>SUM('CF_1'!BZ43,'CF_2'!BZ43,'CF_3'!BZ43,'CF_4'!BZ43)</x:f>
      </x:c>
      <x:c r="CA21" s="117" t="n">
        <x:f>SUM('CF_1'!CA43,'CF_2'!CA43,'CF_3'!CA43,'CF_4'!CA43)</x:f>
      </x:c>
      <x:c r="CB21" s="117" t="n">
        <x:f>SUM('CF_1'!CB43,'CF_2'!CB43,'CF_3'!CB43,'CF_4'!CB43)</x:f>
      </x:c>
      <x:c r="CC21" s="117" t="n">
        <x:f>SUM('CF_1'!CC43,'CF_2'!CC43,'CF_3'!CC43,'CF_4'!CC43)</x:f>
      </x:c>
      <x:c r="CD21" s="117" t="n">
        <x:f>SUM('CF_1'!CD43,'CF_2'!CD43,'CF_3'!CD43,'CF_4'!CD43)</x:f>
      </x:c>
      <x:c r="CE21" s="117" t="n">
        <x:f>SUM('CF_1'!CE43,'CF_2'!CE43,'CF_3'!CE43,'CF_4'!CE43)</x:f>
      </x:c>
      <x:c r="CF21" s="117" t="n">
        <x:f>SUM('CF_1'!CF43,'CF_2'!CF43,'CF_3'!CF43,'CF_4'!CF43)</x:f>
      </x:c>
      <x:c r="CG21" s="117" t="n">
        <x:f>SUM('CF_1'!CG43,'CF_2'!CG43,'CF_3'!CG43,'CF_4'!CG43)</x:f>
      </x:c>
      <x:c r="CH21" s="117" t="n">
        <x:f>SUM('CF_1'!CH43,'CF_2'!CH43,'CF_3'!CH43,'CF_4'!CH43)</x:f>
      </x:c>
      <x:c r="CI21" s="117" t="n">
        <x:f>SUM('CF_1'!CI43,'CF_2'!CI43,'CF_3'!CI43,'CF_4'!CI43)</x:f>
      </x:c>
      <x:c r="CJ21" s="117" t="n">
        <x:f>SUM('CF_1'!CJ43,'CF_2'!CJ43,'CF_3'!CJ43,'CF_4'!CJ43)</x:f>
      </x:c>
      <x:c r="CK21" s="117" t="n">
        <x:f>SUM('CF_1'!CK43,'CF_2'!CK43,'CF_3'!CK43,'CF_4'!CK43)</x:f>
      </x:c>
      <x:c r="CL21" s="117" t="n">
        <x:f>SUM('CF_1'!CL43,'CF_2'!CL43,'CF_3'!CL43,'CF_4'!CL43)</x:f>
      </x:c>
      <x:c r="CM21" s="117" t="n">
        <x:f>SUM('CF_1'!CM43,'CF_2'!CM43,'CF_3'!CM43,'CF_4'!CM43)</x:f>
      </x:c>
      <x:c r="CN21" s="117" t="n">
        <x:f>SUM('CF_1'!CN43,'CF_2'!CN43,'CF_3'!CN43,'CF_4'!CN43)</x:f>
      </x:c>
      <x:c r="CO21" s="117" t="n">
        <x:f>SUM('CF_1'!CO43,'CF_2'!CO43,'CF_3'!CO43,'CF_4'!CO43)</x:f>
      </x:c>
      <x:c r="CP21" s="117" t="n">
        <x:f>SUM('CF_1'!CP43,'CF_2'!CP43,'CF_3'!CP43,'CF_4'!CP43)</x:f>
      </x:c>
      <x:c r="CQ21" s="117" t="n">
        <x:f>SUM('CF_1'!CQ43,'CF_2'!CQ43,'CF_3'!CQ43,'CF_4'!CQ43)</x:f>
      </x:c>
      <x:c r="CR21" s="117" t="n">
        <x:f>SUM('CF_1'!CR43,'CF_2'!CR43,'CF_3'!CR43,'CF_4'!CR43)</x:f>
      </x:c>
      <x:c r="CS21" s="117" t="n">
        <x:f>SUM('CF_1'!CS43,'CF_2'!CS43,'CF_3'!CS43,'CF_4'!CS43)</x:f>
      </x:c>
      <x:c r="CT21" s="117" t="n">
        <x:f>SUM('CF_1'!CT43,'CF_2'!CT43,'CF_3'!CT43,'CF_4'!CT43)</x:f>
      </x:c>
      <x:c r="CU21" s="117" t="n">
        <x:f>SUM('CF_1'!CU43,'CF_2'!CU43,'CF_3'!CU43,'CF_4'!CU43)</x:f>
      </x:c>
      <x:c r="CV21" s="117" t="n">
        <x:f>SUM('CF_1'!CV43,'CF_2'!CV43,'CF_3'!CV43,'CF_4'!CV43)</x:f>
      </x:c>
      <x:c r="CW21" s="117" t="n">
        <x:f>SUM('CF_1'!CW43,'CF_2'!CW43,'CF_3'!CW43,'CF_4'!CW43)</x:f>
      </x:c>
      <x:c r="CX21" s="117" t="n">
        <x:f>SUM('CF_1'!CX43,'CF_2'!CX43,'CF_3'!CX43,'CF_4'!CX43)</x:f>
      </x:c>
      <x:c r="CY21" s="117" t="n">
        <x:f>SUM('CF_1'!CY43,'CF_2'!CY43,'CF_3'!CY43,'CF_4'!CY43)</x:f>
      </x:c>
      <x:c r="CZ21" s="117" t="n">
        <x:f>SUM('CF_1'!CZ43,'CF_2'!CZ43,'CF_3'!CZ43,'CF_4'!CZ43)</x:f>
      </x:c>
      <x:c r="DA21" s="117" t="n">
        <x:f>SUM('CF_1'!DA43,'CF_2'!DA43,'CF_3'!DA43,'CF_4'!DA43)</x:f>
      </x:c>
      <x:c r="DB21" s="117" t="n">
        <x:f>SUM('CF_1'!DB43,'CF_2'!DB43,'CF_3'!DB43,'CF_4'!DB43)</x:f>
      </x:c>
      <x:c r="DC21" s="117" t="n">
        <x:f>SUM('CF_1'!DC43,'CF_2'!DC43,'CF_3'!DC43,'CF_4'!DC43)</x:f>
      </x:c>
      <x:c r="DD21" s="117" t="n">
        <x:f>SUM('CF_1'!DD43,'CF_2'!DD43,'CF_3'!DD43,'CF_4'!DD43)</x:f>
      </x:c>
      <x:c r="DE21" s="117" t="n">
        <x:f>SUM('CF_1'!DE43,'CF_2'!DE43,'CF_3'!DE43,'CF_4'!DE43)</x:f>
      </x:c>
      <x:c r="DF21" s="117" t="n">
        <x:f>SUM('CF_1'!DF43,'CF_2'!DF43,'CF_3'!DF43,'CF_4'!DF43)</x:f>
      </x:c>
      <x:c r="DG21" s="117" t="n">
        <x:f>SUM('CF_1'!DG43,'CF_2'!DG43,'CF_3'!DG43,'CF_4'!DG43)</x:f>
      </x:c>
      <x:c r="DH21" s="117" t="n">
        <x:f>SUM('CF_1'!DH43,'CF_2'!DH43,'CF_3'!DH43,'CF_4'!DH43)</x:f>
      </x:c>
      <x:c r="DI21" s="117" t="n">
        <x:f>SUM('CF_1'!DI43,'CF_2'!DI43,'CF_3'!DI43,'CF_4'!DI43)</x:f>
      </x:c>
      <x:c r="DJ21" s="117" t="n">
        <x:f>SUM('CF_1'!DJ43,'CF_2'!DJ43,'CF_3'!DJ43,'CF_4'!DJ43)</x:f>
      </x:c>
      <x:c r="DK21" s="117" t="n">
        <x:f>SUM('CF_1'!DK43,'CF_2'!DK43,'CF_3'!DK43,'CF_4'!DK43)</x:f>
      </x:c>
      <x:c r="DL21" s="117" t="n">
        <x:f>SUM('CF_1'!DL43,'CF_2'!DL43,'CF_3'!DL43,'CF_4'!DL43)</x:f>
      </x:c>
      <x:c r="DM21" s="117" t="n">
        <x:f>SUM('CF_1'!DM43,'CF_2'!DM43,'CF_3'!DM43,'CF_4'!DM43)</x:f>
      </x:c>
      <x:c r="DN21" s="117" t="n">
        <x:f>SUM('CF_1'!DN43,'CF_2'!DN43,'CF_3'!DN43,'CF_4'!DN43)</x:f>
      </x:c>
      <x:c r="DO21" s="117" t="n">
        <x:f>SUM('CF_1'!DO43,'CF_2'!DO43,'CF_3'!DO43,'CF_4'!DO43)</x:f>
      </x:c>
      <x:c r="DP21" s="117" t="n">
        <x:f>SUM('CF_1'!DP43,'CF_2'!DP43,'CF_3'!DP43,'CF_4'!DP43)</x:f>
      </x:c>
      <x:c r="DQ21" s="117" t="n">
        <x:f>SUM('CF_1'!DQ43,'CF_2'!DQ43,'CF_3'!DQ43,'CF_4'!DQ43)</x:f>
      </x:c>
      <x:c r="DR21" s="117" t="n">
        <x:f>SUM('CF_1'!DR43,'CF_2'!DR43,'CF_3'!DR43,'CF_4'!DR43)</x:f>
      </x:c>
      <x:c r="DS21" s="117" t="n">
        <x:f>SUM('CF_1'!DS43,'CF_2'!DS43,'CF_3'!DS43,'CF_4'!DS43)</x:f>
      </x:c>
    </x:row>
    <x:row r="22">
      <x:c r="D22" s="117"/>
      <x:c r="E22" s="117"/>
      <x:c r="F22" s="117"/>
      <x:c r="G22" s="117"/>
      <x:c r="H22" s="117"/>
      <x:c r="I22" s="117"/>
      <x:c r="J22" s="117"/>
      <x:c r="K22" s="117"/>
      <x:c r="L22" s="117"/>
      <x:c r="M22" s="117"/>
      <x:c r="N22" s="117"/>
      <x:c r="O22" s="117"/>
      <x:c r="P22" s="117"/>
      <x:c r="Q22" s="117"/>
      <x:c r="R22" s="117"/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7"/>
      <x:c r="AE22" s="117"/>
      <x:c r="AF22" s="117"/>
      <x:c r="AG22" s="117"/>
      <x:c r="AH22" s="117"/>
      <x:c r="AI22" s="117"/>
      <x:c r="AJ22" s="117"/>
      <x:c r="AK22" s="117"/>
      <x:c r="AL22" s="117"/>
      <x:c r="AM22" s="117"/>
      <x:c r="AN22" s="117"/>
      <x:c r="AO22" s="117"/>
      <x:c r="AP22" s="117"/>
      <x:c r="AQ22" s="117"/>
      <x:c r="AR22" s="117"/>
      <x:c r="AS22" s="117"/>
      <x:c r="AT22" s="117"/>
      <x:c r="AU22" s="117"/>
      <x:c r="AV22" s="117"/>
      <x:c r="AW22" s="117"/>
      <x:c r="AX22" s="117"/>
      <x:c r="AY22" s="117"/>
      <x:c r="AZ22" s="117"/>
      <x:c r="BA22" s="117"/>
      <x:c r="BB22" s="117"/>
      <x:c r="BC22" s="117"/>
      <x:c r="BD22" s="117"/>
      <x:c r="BE22" s="117"/>
      <x:c r="BF22" s="117"/>
      <x:c r="BG22" s="117"/>
      <x:c r="BH22" s="117"/>
      <x:c r="BI22" s="117"/>
      <x:c r="BJ22" s="117"/>
      <x:c r="BK22" s="117"/>
      <x:c r="BL22" s="117"/>
      <x:c r="BM22" s="117"/>
      <x:c r="BN22" s="117"/>
      <x:c r="BO22" s="117"/>
      <x:c r="BP22" s="117"/>
      <x:c r="BQ22" s="117"/>
      <x:c r="BR22" s="117"/>
      <x:c r="BS22" s="117"/>
      <x:c r="BT22" s="117"/>
      <x:c r="BU22" s="117"/>
      <x:c r="BV22" s="117"/>
      <x:c r="BW22" s="117"/>
      <x:c r="BX22" s="117"/>
      <x:c r="BY22" s="117"/>
      <x:c r="BZ22" s="117"/>
      <x:c r="CA22" s="117"/>
      <x:c r="CB22" s="117"/>
      <x:c r="CC22" s="117"/>
      <x:c r="CD22" s="117"/>
      <x:c r="CE22" s="117"/>
      <x:c r="CF22" s="117"/>
      <x:c r="CG22" s="117"/>
      <x:c r="CH22" s="117"/>
      <x:c r="CI22" s="117"/>
      <x:c r="CJ22" s="117"/>
      <x:c r="CK22" s="117"/>
      <x:c r="CL22" s="117"/>
      <x:c r="CM22" s="117"/>
      <x:c r="CN22" s="117"/>
      <x:c r="CO22" s="117"/>
      <x:c r="CP22" s="117"/>
      <x:c r="CQ22" s="117"/>
      <x:c r="CR22" s="117"/>
      <x:c r="CS22" s="117"/>
      <x:c r="CT22" s="117"/>
      <x:c r="CU22" s="117"/>
      <x:c r="CV22" s="117"/>
      <x:c r="CW22" s="117"/>
      <x:c r="CX22" s="117"/>
      <x:c r="CY22" s="117"/>
      <x:c r="CZ22" s="117"/>
      <x:c r="DA22" s="117"/>
      <x:c r="DB22" s="117"/>
      <x:c r="DC22" s="117"/>
      <x:c r="DD22" s="117"/>
      <x:c r="DE22" s="117"/>
      <x:c r="DF22" s="117"/>
      <x:c r="DG22" s="117"/>
      <x:c r="DH22" s="117"/>
      <x:c r="DI22" s="117"/>
      <x:c r="DJ22" s="117"/>
      <x:c r="DK22" s="117"/>
      <x:c r="DL22" s="117"/>
      <x:c r="DM22" s="117"/>
      <x:c r="DN22" s="117"/>
      <x:c r="DO22" s="117"/>
      <x:c r="DP22" s="117"/>
      <x:c r="DQ22" s="117"/>
      <x:c r="DR22" s="117"/>
      <x:c r="DS22" s="117"/>
    </x:row>
    <x:row r="23">
      <x:c r="A23" t="str">
        <x:v>Вклад собственного капитала</x:v>
      </x:c>
      <x:c r="B23" t="n">
        <x:f>SUM(D23:DS23)</x:f>
      </x:c>
      <x:c r="C23" t="str">
        <x:v>млн ₽</x:v>
      </x:c>
      <x:c r="D23" s="117" t="n">
        <x:f>SUM('CF_1'!D49,'CF_2'!D49,'CF_3'!D49,'CF_4'!D49)</x:f>
      </x:c>
      <x:c r="E23" s="117" t="n">
        <x:f>SUM('CF_1'!E49,'CF_2'!E49,'CF_3'!E49,'CF_4'!E49)</x:f>
      </x:c>
      <x:c r="F23" s="117" t="n">
        <x:f>SUM('CF_1'!F49,'CF_2'!F49,'CF_3'!F49,'CF_4'!F49)</x:f>
      </x:c>
      <x:c r="G23" s="117" t="n">
        <x:f>SUM('CF_1'!G49,'CF_2'!G49,'CF_3'!G49,'CF_4'!G49)</x:f>
      </x:c>
      <x:c r="H23" s="117" t="n">
        <x:f>SUM('CF_1'!H49,'CF_2'!H49,'CF_3'!H49,'CF_4'!H49)</x:f>
      </x:c>
      <x:c r="I23" s="117" t="n">
        <x:f>SUM('CF_1'!I49,'CF_2'!I49,'CF_3'!I49,'CF_4'!I49)</x:f>
      </x:c>
      <x:c r="J23" s="117" t="n">
        <x:f>SUM('CF_1'!J49,'CF_2'!J49,'CF_3'!J49,'CF_4'!J49)</x:f>
      </x:c>
      <x:c r="K23" s="117" t="n">
        <x:f>SUM('CF_1'!K49,'CF_2'!K49,'CF_3'!K49,'CF_4'!K49)</x:f>
      </x:c>
      <x:c r="L23" s="117" t="n">
        <x:f>SUM('CF_1'!L49,'CF_2'!L49,'CF_3'!L49,'CF_4'!L49)</x:f>
      </x:c>
      <x:c r="M23" s="117" t="n">
        <x:f>SUM('CF_1'!M49,'CF_2'!M49,'CF_3'!M49,'CF_4'!M49)</x:f>
      </x:c>
      <x:c r="N23" s="117" t="n">
        <x:f>SUM('CF_1'!N49,'CF_2'!N49,'CF_3'!N49,'CF_4'!N49)</x:f>
      </x:c>
      <x:c r="O23" s="117" t="n">
        <x:f>SUM('CF_1'!O49,'CF_2'!O49,'CF_3'!O49,'CF_4'!O49)</x:f>
      </x:c>
      <x:c r="P23" s="117" t="n">
        <x:f>SUM('CF_1'!P49,'CF_2'!P49,'CF_3'!P49,'CF_4'!P49)</x:f>
      </x:c>
      <x:c r="Q23" s="117" t="n">
        <x:f>SUM('CF_1'!Q49,'CF_2'!Q49,'CF_3'!Q49,'CF_4'!Q49)</x:f>
      </x:c>
      <x:c r="R23" s="117" t="n">
        <x:f>SUM('CF_1'!R49,'CF_2'!R49,'CF_3'!R49,'CF_4'!R49)</x:f>
      </x:c>
      <x:c r="S23" s="117" t="n">
        <x:f>SUM('CF_1'!S49,'CF_2'!S49,'CF_3'!S49,'CF_4'!S49)</x:f>
      </x:c>
      <x:c r="T23" s="117" t="n">
        <x:f>SUM('CF_1'!T49,'CF_2'!T49,'CF_3'!T49,'CF_4'!T49)</x:f>
      </x:c>
      <x:c r="U23" s="117" t="n">
        <x:f>SUM('CF_1'!U49,'CF_2'!U49,'CF_3'!U49,'CF_4'!U49)</x:f>
      </x:c>
      <x:c r="V23" s="117" t="n">
        <x:f>SUM('CF_1'!V49,'CF_2'!V49,'CF_3'!V49,'CF_4'!V49)</x:f>
      </x:c>
      <x:c r="W23" s="117" t="n">
        <x:f>SUM('CF_1'!W49,'CF_2'!W49,'CF_3'!W49,'CF_4'!W49)</x:f>
      </x:c>
      <x:c r="X23" s="117" t="n">
        <x:f>SUM('CF_1'!X49,'CF_2'!X49,'CF_3'!X49,'CF_4'!X49)</x:f>
      </x:c>
      <x:c r="Y23" s="117" t="n">
        <x:f>SUM('CF_1'!Y49,'CF_2'!Y49,'CF_3'!Y49,'CF_4'!Y49)</x:f>
      </x:c>
      <x:c r="Z23" s="117" t="n">
        <x:f>SUM('CF_1'!Z49,'CF_2'!Z49,'CF_3'!Z49,'CF_4'!Z49)</x:f>
      </x:c>
      <x:c r="AA23" s="117" t="n">
        <x:f>SUM('CF_1'!AA49,'CF_2'!AA49,'CF_3'!AA49,'CF_4'!AA49)</x:f>
      </x:c>
      <x:c r="AB23" s="117" t="n">
        <x:f>SUM('CF_1'!AB49,'CF_2'!AB49,'CF_3'!AB49,'CF_4'!AB49)</x:f>
      </x:c>
      <x:c r="AC23" s="117" t="n">
        <x:f>SUM('CF_1'!AC49,'CF_2'!AC49,'CF_3'!AC49,'CF_4'!AC49)</x:f>
      </x:c>
      <x:c r="AD23" s="117" t="n">
        <x:f>SUM('CF_1'!AD49,'CF_2'!AD49,'CF_3'!AD49,'CF_4'!AD49)</x:f>
      </x:c>
      <x:c r="AE23" s="117" t="n">
        <x:f>SUM('CF_1'!AE49,'CF_2'!AE49,'CF_3'!AE49,'CF_4'!AE49)</x:f>
      </x:c>
      <x:c r="AF23" s="117" t="n">
        <x:f>SUM('CF_1'!AF49,'CF_2'!AF49,'CF_3'!AF49,'CF_4'!AF49)</x:f>
      </x:c>
      <x:c r="AG23" s="117" t="n">
        <x:f>SUM('CF_1'!AG49,'CF_2'!AG49,'CF_3'!AG49,'CF_4'!AG49)</x:f>
      </x:c>
      <x:c r="AH23" s="117" t="n">
        <x:f>SUM('CF_1'!AH49,'CF_2'!AH49,'CF_3'!AH49,'CF_4'!AH49)</x:f>
      </x:c>
      <x:c r="AI23" s="117" t="n">
        <x:f>SUM('CF_1'!AI49,'CF_2'!AI49,'CF_3'!AI49,'CF_4'!AI49)</x:f>
      </x:c>
      <x:c r="AJ23" s="117" t="n">
        <x:f>SUM('CF_1'!AJ49,'CF_2'!AJ49,'CF_3'!AJ49,'CF_4'!AJ49)</x:f>
      </x:c>
      <x:c r="AK23" s="117" t="n">
        <x:f>SUM('CF_1'!AK49,'CF_2'!AK49,'CF_3'!AK49,'CF_4'!AK49)</x:f>
      </x:c>
      <x:c r="AL23" s="117" t="n">
        <x:f>SUM('CF_1'!AL49,'CF_2'!AL49,'CF_3'!AL49,'CF_4'!AL49)</x:f>
      </x:c>
      <x:c r="AM23" s="117" t="n">
        <x:f>SUM('CF_1'!AM49,'CF_2'!AM49,'CF_3'!AM49,'CF_4'!AM49)</x:f>
      </x:c>
      <x:c r="AN23" s="117" t="n">
        <x:f>SUM('CF_1'!AN49,'CF_2'!AN49,'CF_3'!AN49,'CF_4'!AN49)</x:f>
      </x:c>
      <x:c r="AO23" s="117" t="n">
        <x:f>SUM('CF_1'!AO49,'CF_2'!AO49,'CF_3'!AO49,'CF_4'!AO49)</x:f>
      </x:c>
      <x:c r="AP23" s="117" t="n">
        <x:f>SUM('CF_1'!AP49,'CF_2'!AP49,'CF_3'!AP49,'CF_4'!AP49)</x:f>
      </x:c>
      <x:c r="AQ23" s="117" t="n">
        <x:f>SUM('CF_1'!AQ49,'CF_2'!AQ49,'CF_3'!AQ49,'CF_4'!AQ49)</x:f>
      </x:c>
      <x:c r="AR23" s="117" t="n">
        <x:f>SUM('CF_1'!AR49,'CF_2'!AR49,'CF_3'!AR49,'CF_4'!AR49)</x:f>
      </x:c>
      <x:c r="AS23" s="117" t="n">
        <x:f>SUM('CF_1'!AS49,'CF_2'!AS49,'CF_3'!AS49,'CF_4'!AS49)</x:f>
      </x:c>
      <x:c r="AT23" s="117" t="n">
        <x:f>SUM('CF_1'!AT49,'CF_2'!AT49,'CF_3'!AT49,'CF_4'!AT49)</x:f>
      </x:c>
      <x:c r="AU23" s="117" t="n">
        <x:f>SUM('CF_1'!AU49,'CF_2'!AU49,'CF_3'!AU49,'CF_4'!AU49)</x:f>
      </x:c>
      <x:c r="AV23" s="117" t="n">
        <x:f>SUM('CF_1'!AV49,'CF_2'!AV49,'CF_3'!AV49,'CF_4'!AV49)</x:f>
      </x:c>
      <x:c r="AW23" s="117" t="n">
        <x:f>SUM('CF_1'!AW49,'CF_2'!AW49,'CF_3'!AW49,'CF_4'!AW49)</x:f>
      </x:c>
      <x:c r="AX23" s="117" t="n">
        <x:f>SUM('CF_1'!AX49,'CF_2'!AX49,'CF_3'!AX49,'CF_4'!AX49)</x:f>
      </x:c>
      <x:c r="AY23" s="117" t="n">
        <x:f>SUM('CF_1'!AY49,'CF_2'!AY49,'CF_3'!AY49,'CF_4'!AY49)</x:f>
      </x:c>
      <x:c r="AZ23" s="117" t="n">
        <x:f>SUM('CF_1'!AZ49,'CF_2'!AZ49,'CF_3'!AZ49,'CF_4'!AZ49)</x:f>
      </x:c>
      <x:c r="BA23" s="117" t="n">
        <x:f>SUM('CF_1'!BA49,'CF_2'!BA49,'CF_3'!BA49,'CF_4'!BA49)</x:f>
      </x:c>
      <x:c r="BB23" s="117" t="n">
        <x:f>SUM('CF_1'!BB49,'CF_2'!BB49,'CF_3'!BB49,'CF_4'!BB49)</x:f>
      </x:c>
      <x:c r="BC23" s="117" t="n">
        <x:f>SUM('CF_1'!BC49,'CF_2'!BC49,'CF_3'!BC49,'CF_4'!BC49)</x:f>
      </x:c>
      <x:c r="BD23" s="117" t="n">
        <x:f>SUM('CF_1'!BD49,'CF_2'!BD49,'CF_3'!BD49,'CF_4'!BD49)</x:f>
      </x:c>
      <x:c r="BE23" s="117" t="n">
        <x:f>SUM('CF_1'!BE49,'CF_2'!BE49,'CF_3'!BE49,'CF_4'!BE49)</x:f>
      </x:c>
      <x:c r="BF23" s="117" t="n">
        <x:f>SUM('CF_1'!BF49,'CF_2'!BF49,'CF_3'!BF49,'CF_4'!BF49)</x:f>
      </x:c>
      <x:c r="BG23" s="117" t="n">
        <x:f>SUM('CF_1'!BG49,'CF_2'!BG49,'CF_3'!BG49,'CF_4'!BG49)</x:f>
      </x:c>
      <x:c r="BH23" s="117" t="n">
        <x:f>SUM('CF_1'!BH49,'CF_2'!BH49,'CF_3'!BH49,'CF_4'!BH49)</x:f>
      </x:c>
      <x:c r="BI23" s="117" t="n">
        <x:f>SUM('CF_1'!BI49,'CF_2'!BI49,'CF_3'!BI49,'CF_4'!BI49)</x:f>
      </x:c>
      <x:c r="BJ23" s="117" t="n">
        <x:f>SUM('CF_1'!BJ49,'CF_2'!BJ49,'CF_3'!BJ49,'CF_4'!BJ49)</x:f>
      </x:c>
      <x:c r="BK23" s="117" t="n">
        <x:f>SUM('CF_1'!BK49,'CF_2'!BK49,'CF_3'!BK49,'CF_4'!BK49)</x:f>
      </x:c>
      <x:c r="BL23" s="117" t="n">
        <x:f>SUM('CF_1'!BL49,'CF_2'!BL49,'CF_3'!BL49,'CF_4'!BL49)</x:f>
      </x:c>
      <x:c r="BM23" s="117" t="n">
        <x:f>SUM('CF_1'!BM49,'CF_2'!BM49,'CF_3'!BM49,'CF_4'!BM49)</x:f>
      </x:c>
      <x:c r="BN23" s="117" t="n">
        <x:f>SUM('CF_1'!BN49,'CF_2'!BN49,'CF_3'!BN49,'CF_4'!BN49)</x:f>
      </x:c>
      <x:c r="BO23" s="117" t="n">
        <x:f>SUM('CF_1'!BO49,'CF_2'!BO49,'CF_3'!BO49,'CF_4'!BO49)</x:f>
      </x:c>
      <x:c r="BP23" s="117" t="n">
        <x:f>SUM('CF_1'!BP49,'CF_2'!BP49,'CF_3'!BP49,'CF_4'!BP49)</x:f>
      </x:c>
      <x:c r="BQ23" s="117" t="n">
        <x:f>SUM('CF_1'!BQ49,'CF_2'!BQ49,'CF_3'!BQ49,'CF_4'!BQ49)</x:f>
      </x:c>
      <x:c r="BR23" s="117" t="n">
        <x:f>SUM('CF_1'!BR49,'CF_2'!BR49,'CF_3'!BR49,'CF_4'!BR49)</x:f>
      </x:c>
      <x:c r="BS23" s="117" t="n">
        <x:f>SUM('CF_1'!BS49,'CF_2'!BS49,'CF_3'!BS49,'CF_4'!BS49)</x:f>
      </x:c>
      <x:c r="BT23" s="117" t="n">
        <x:f>SUM('CF_1'!BT49,'CF_2'!BT49,'CF_3'!BT49,'CF_4'!BT49)</x:f>
      </x:c>
      <x:c r="BU23" s="117" t="n">
        <x:f>SUM('CF_1'!BU49,'CF_2'!BU49,'CF_3'!BU49,'CF_4'!BU49)</x:f>
      </x:c>
      <x:c r="BV23" s="117" t="n">
        <x:f>SUM('CF_1'!BV49,'CF_2'!BV49,'CF_3'!BV49,'CF_4'!BV49)</x:f>
      </x:c>
      <x:c r="BW23" s="117" t="n">
        <x:f>SUM('CF_1'!BW49,'CF_2'!BW49,'CF_3'!BW49,'CF_4'!BW49)</x:f>
      </x:c>
      <x:c r="BX23" s="117" t="n">
        <x:f>SUM('CF_1'!BX49,'CF_2'!BX49,'CF_3'!BX49,'CF_4'!BX49)</x:f>
      </x:c>
      <x:c r="BY23" s="117" t="n">
        <x:f>SUM('CF_1'!BY49,'CF_2'!BY49,'CF_3'!BY49,'CF_4'!BY49)</x:f>
      </x:c>
      <x:c r="BZ23" s="117" t="n">
        <x:f>SUM('CF_1'!BZ49,'CF_2'!BZ49,'CF_3'!BZ49,'CF_4'!BZ49)</x:f>
      </x:c>
      <x:c r="CA23" s="117" t="n">
        <x:f>SUM('CF_1'!CA49,'CF_2'!CA49,'CF_3'!CA49,'CF_4'!CA49)</x:f>
      </x:c>
      <x:c r="CB23" s="117" t="n">
        <x:f>SUM('CF_1'!CB49,'CF_2'!CB49,'CF_3'!CB49,'CF_4'!CB49)</x:f>
      </x:c>
      <x:c r="CC23" s="117" t="n">
        <x:f>SUM('CF_1'!CC49,'CF_2'!CC49,'CF_3'!CC49,'CF_4'!CC49)</x:f>
      </x:c>
      <x:c r="CD23" s="117" t="n">
        <x:f>SUM('CF_1'!CD49,'CF_2'!CD49,'CF_3'!CD49,'CF_4'!CD49)</x:f>
      </x:c>
      <x:c r="CE23" s="117" t="n">
        <x:f>SUM('CF_1'!CE49,'CF_2'!CE49,'CF_3'!CE49,'CF_4'!CE49)</x:f>
      </x:c>
      <x:c r="CF23" s="117" t="n">
        <x:f>SUM('CF_1'!CF49,'CF_2'!CF49,'CF_3'!CF49,'CF_4'!CF49)</x:f>
      </x:c>
      <x:c r="CG23" s="117" t="n">
        <x:f>SUM('CF_1'!CG49,'CF_2'!CG49,'CF_3'!CG49,'CF_4'!CG49)</x:f>
      </x:c>
      <x:c r="CH23" s="117" t="n">
        <x:f>SUM('CF_1'!CH49,'CF_2'!CH49,'CF_3'!CH49,'CF_4'!CH49)</x:f>
      </x:c>
      <x:c r="CI23" s="117" t="n">
        <x:f>SUM('CF_1'!CI49,'CF_2'!CI49,'CF_3'!CI49,'CF_4'!CI49)</x:f>
      </x:c>
      <x:c r="CJ23" s="117" t="n">
        <x:f>SUM('CF_1'!CJ49,'CF_2'!CJ49,'CF_3'!CJ49,'CF_4'!CJ49)</x:f>
      </x:c>
      <x:c r="CK23" s="117" t="n">
        <x:f>SUM('CF_1'!CK49,'CF_2'!CK49,'CF_3'!CK49,'CF_4'!CK49)</x:f>
      </x:c>
      <x:c r="CL23" s="117" t="n">
        <x:f>SUM('CF_1'!CL49,'CF_2'!CL49,'CF_3'!CL49,'CF_4'!CL49)</x:f>
      </x:c>
      <x:c r="CM23" s="117" t="n">
        <x:f>SUM('CF_1'!CM49,'CF_2'!CM49,'CF_3'!CM49,'CF_4'!CM49)</x:f>
      </x:c>
      <x:c r="CN23" s="117" t="n">
        <x:f>SUM('CF_1'!CN49,'CF_2'!CN49,'CF_3'!CN49,'CF_4'!CN49)</x:f>
      </x:c>
      <x:c r="CO23" s="117" t="n">
        <x:f>SUM('CF_1'!CO49,'CF_2'!CO49,'CF_3'!CO49,'CF_4'!CO49)</x:f>
      </x:c>
      <x:c r="CP23" s="117" t="n">
        <x:f>SUM('CF_1'!CP49,'CF_2'!CP49,'CF_3'!CP49,'CF_4'!CP49)</x:f>
      </x:c>
      <x:c r="CQ23" s="117" t="n">
        <x:f>SUM('CF_1'!CQ49,'CF_2'!CQ49,'CF_3'!CQ49,'CF_4'!CQ49)</x:f>
      </x:c>
      <x:c r="CR23" s="117" t="n">
        <x:f>SUM('CF_1'!CR49,'CF_2'!CR49,'CF_3'!CR49,'CF_4'!CR49)</x:f>
      </x:c>
      <x:c r="CS23" s="117" t="n">
        <x:f>SUM('CF_1'!CS49,'CF_2'!CS49,'CF_3'!CS49,'CF_4'!CS49)</x:f>
      </x:c>
      <x:c r="CT23" s="117" t="n">
        <x:f>SUM('CF_1'!CT49,'CF_2'!CT49,'CF_3'!CT49,'CF_4'!CT49)</x:f>
      </x:c>
      <x:c r="CU23" s="117" t="n">
        <x:f>SUM('CF_1'!CU49,'CF_2'!CU49,'CF_3'!CU49,'CF_4'!CU49)</x:f>
      </x:c>
      <x:c r="CV23" s="117" t="n">
        <x:f>SUM('CF_1'!CV49,'CF_2'!CV49,'CF_3'!CV49,'CF_4'!CV49)</x:f>
      </x:c>
      <x:c r="CW23" s="117" t="n">
        <x:f>SUM('CF_1'!CW49,'CF_2'!CW49,'CF_3'!CW49,'CF_4'!CW49)</x:f>
      </x:c>
      <x:c r="CX23" s="117" t="n">
        <x:f>SUM('CF_1'!CX49,'CF_2'!CX49,'CF_3'!CX49,'CF_4'!CX49)</x:f>
      </x:c>
      <x:c r="CY23" s="117" t="n">
        <x:f>SUM('CF_1'!CY49,'CF_2'!CY49,'CF_3'!CY49,'CF_4'!CY49)</x:f>
      </x:c>
      <x:c r="CZ23" s="117" t="n">
        <x:f>SUM('CF_1'!CZ49,'CF_2'!CZ49,'CF_3'!CZ49,'CF_4'!CZ49)</x:f>
      </x:c>
      <x:c r="DA23" s="117" t="n">
        <x:f>SUM('CF_1'!DA49,'CF_2'!DA49,'CF_3'!DA49,'CF_4'!DA49)</x:f>
      </x:c>
      <x:c r="DB23" s="117" t="n">
        <x:f>SUM('CF_1'!DB49,'CF_2'!DB49,'CF_3'!DB49,'CF_4'!DB49)</x:f>
      </x:c>
      <x:c r="DC23" s="117" t="n">
        <x:f>SUM('CF_1'!DC49,'CF_2'!DC49,'CF_3'!DC49,'CF_4'!DC49)</x:f>
      </x:c>
      <x:c r="DD23" s="117" t="n">
        <x:f>SUM('CF_1'!DD49,'CF_2'!DD49,'CF_3'!DD49,'CF_4'!DD49)</x:f>
      </x:c>
      <x:c r="DE23" s="117" t="n">
        <x:f>SUM('CF_1'!DE49,'CF_2'!DE49,'CF_3'!DE49,'CF_4'!DE49)</x:f>
      </x:c>
      <x:c r="DF23" s="117" t="n">
        <x:f>SUM('CF_1'!DF49,'CF_2'!DF49,'CF_3'!DF49,'CF_4'!DF49)</x:f>
      </x:c>
      <x:c r="DG23" s="117" t="n">
        <x:f>SUM('CF_1'!DG49,'CF_2'!DG49,'CF_3'!DG49,'CF_4'!DG49)</x:f>
      </x:c>
      <x:c r="DH23" s="117" t="n">
        <x:f>SUM('CF_1'!DH49,'CF_2'!DH49,'CF_3'!DH49,'CF_4'!DH49)</x:f>
      </x:c>
      <x:c r="DI23" s="117" t="n">
        <x:f>SUM('CF_1'!DI49,'CF_2'!DI49,'CF_3'!DI49,'CF_4'!DI49)</x:f>
      </x:c>
      <x:c r="DJ23" s="117" t="n">
        <x:f>SUM('CF_1'!DJ49,'CF_2'!DJ49,'CF_3'!DJ49,'CF_4'!DJ49)</x:f>
      </x:c>
      <x:c r="DK23" s="117" t="n">
        <x:f>SUM('CF_1'!DK49,'CF_2'!DK49,'CF_3'!DK49,'CF_4'!DK49)</x:f>
      </x:c>
      <x:c r="DL23" s="117" t="n">
        <x:f>SUM('CF_1'!DL49,'CF_2'!DL49,'CF_3'!DL49,'CF_4'!DL49)</x:f>
      </x:c>
      <x:c r="DM23" s="117" t="n">
        <x:f>SUM('CF_1'!DM49,'CF_2'!DM49,'CF_3'!DM49,'CF_4'!DM49)</x:f>
      </x:c>
      <x:c r="DN23" s="117" t="n">
        <x:f>SUM('CF_1'!DN49,'CF_2'!DN49,'CF_3'!DN49,'CF_4'!DN49)</x:f>
      </x:c>
      <x:c r="DO23" s="117" t="n">
        <x:f>SUM('CF_1'!DO49,'CF_2'!DO49,'CF_3'!DO49,'CF_4'!DO49)</x:f>
      </x:c>
      <x:c r="DP23" s="117" t="n">
        <x:f>SUM('CF_1'!DP49,'CF_2'!DP49,'CF_3'!DP49,'CF_4'!DP49)</x:f>
      </x:c>
      <x:c r="DQ23" s="117" t="n">
        <x:f>SUM('CF_1'!DQ49,'CF_2'!DQ49,'CF_3'!DQ49,'CF_4'!DQ49)</x:f>
      </x:c>
      <x:c r="DR23" s="117" t="n">
        <x:f>SUM('CF_1'!DR49,'CF_2'!DR49,'CF_3'!DR49,'CF_4'!DR49)</x:f>
      </x:c>
      <x:c r="DS23" s="117" t="n">
        <x:f>SUM('CF_1'!DS49,'CF_2'!DS49,'CF_3'!DS49,'CF_4'!DS49)</x:f>
      </x:c>
    </x:row>
    <x:row r="24">
      <x:c r="A24" t="str">
        <x:v>Распределение собственнику</x:v>
      </x:c>
      <x:c r="B24" t="n">
        <x:f>SUM(D24:DS24)</x:f>
      </x:c>
      <x:c r="C24" t="str">
        <x:v>млн ₽</x:v>
      </x:c>
      <x:c r="D24" s="117" t="n">
        <x:f>SUM('CF_1'!D50,'CF_2'!D50,'CF_3'!D50,'CF_4'!D50)</x:f>
      </x:c>
      <x:c r="E24" s="117" t="n">
        <x:f>SUM('CF_1'!E50,'CF_2'!E50,'CF_3'!E50,'CF_4'!E50)</x:f>
      </x:c>
      <x:c r="F24" s="117" t="n">
        <x:f>SUM('CF_1'!F50,'CF_2'!F50,'CF_3'!F50,'CF_4'!F50)</x:f>
      </x:c>
      <x:c r="G24" s="117" t="n">
        <x:f>SUM('CF_1'!G50,'CF_2'!G50,'CF_3'!G50,'CF_4'!G50)</x:f>
      </x:c>
      <x:c r="H24" s="117" t="n">
        <x:f>SUM('CF_1'!H50,'CF_2'!H50,'CF_3'!H50,'CF_4'!H50)</x:f>
      </x:c>
      <x:c r="I24" s="117" t="n">
        <x:f>SUM('CF_1'!I50,'CF_2'!I50,'CF_3'!I50,'CF_4'!I50)</x:f>
      </x:c>
      <x:c r="J24" s="117" t="n">
        <x:f>SUM('CF_1'!J50,'CF_2'!J50,'CF_3'!J50,'CF_4'!J50)</x:f>
      </x:c>
      <x:c r="K24" s="117" t="n">
        <x:f>SUM('CF_1'!K50,'CF_2'!K50,'CF_3'!K50,'CF_4'!K50)</x:f>
      </x:c>
      <x:c r="L24" s="117" t="n">
        <x:f>SUM('CF_1'!L50,'CF_2'!L50,'CF_3'!L50,'CF_4'!L50)</x:f>
      </x:c>
      <x:c r="M24" s="117" t="n">
        <x:f>SUM('CF_1'!M50,'CF_2'!M50,'CF_3'!M50,'CF_4'!M50)</x:f>
      </x:c>
      <x:c r="N24" s="117" t="n">
        <x:f>SUM('CF_1'!N50,'CF_2'!N50,'CF_3'!N50,'CF_4'!N50)</x:f>
      </x:c>
      <x:c r="O24" s="117" t="n">
        <x:f>SUM('CF_1'!O50,'CF_2'!O50,'CF_3'!O50,'CF_4'!O50)</x:f>
      </x:c>
      <x:c r="P24" s="117" t="n">
        <x:f>SUM('CF_1'!P50,'CF_2'!P50,'CF_3'!P50,'CF_4'!P50)</x:f>
      </x:c>
      <x:c r="Q24" s="117" t="n">
        <x:f>SUM('CF_1'!Q50,'CF_2'!Q50,'CF_3'!Q50,'CF_4'!Q50)</x:f>
      </x:c>
      <x:c r="R24" s="117" t="n">
        <x:f>SUM('CF_1'!R50,'CF_2'!R50,'CF_3'!R50,'CF_4'!R50)</x:f>
      </x:c>
      <x:c r="S24" s="117" t="n">
        <x:f>SUM('CF_1'!S50,'CF_2'!S50,'CF_3'!S50,'CF_4'!S50)</x:f>
      </x:c>
      <x:c r="T24" s="117" t="n">
        <x:f>SUM('CF_1'!T50,'CF_2'!T50,'CF_3'!T50,'CF_4'!T50)</x:f>
      </x:c>
      <x:c r="U24" s="117" t="n">
        <x:f>SUM('CF_1'!U50,'CF_2'!U50,'CF_3'!U50,'CF_4'!U50)</x:f>
      </x:c>
      <x:c r="V24" s="117" t="n">
        <x:f>SUM('CF_1'!V50,'CF_2'!V50,'CF_3'!V50,'CF_4'!V50)</x:f>
      </x:c>
      <x:c r="W24" s="117" t="n">
        <x:f>SUM('CF_1'!W50,'CF_2'!W50,'CF_3'!W50,'CF_4'!W50)</x:f>
      </x:c>
      <x:c r="X24" s="117" t="n">
        <x:f>SUM('CF_1'!X50,'CF_2'!X50,'CF_3'!X50,'CF_4'!X50)</x:f>
      </x:c>
      <x:c r="Y24" s="117" t="n">
        <x:f>SUM('CF_1'!Y50,'CF_2'!Y50,'CF_3'!Y50,'CF_4'!Y50)</x:f>
      </x:c>
      <x:c r="Z24" s="117" t="n">
        <x:f>SUM('CF_1'!Z50,'CF_2'!Z50,'CF_3'!Z50,'CF_4'!Z50)</x:f>
      </x:c>
      <x:c r="AA24" s="117" t="n">
        <x:f>SUM('CF_1'!AA50,'CF_2'!AA50,'CF_3'!AA50,'CF_4'!AA50)</x:f>
      </x:c>
      <x:c r="AB24" s="117" t="n">
        <x:f>SUM('CF_1'!AB50,'CF_2'!AB50,'CF_3'!AB50,'CF_4'!AB50)</x:f>
      </x:c>
      <x:c r="AC24" s="117" t="n">
        <x:f>SUM('CF_1'!AC50,'CF_2'!AC50,'CF_3'!AC50,'CF_4'!AC50)</x:f>
      </x:c>
      <x:c r="AD24" s="117" t="n">
        <x:f>SUM('CF_1'!AD50,'CF_2'!AD50,'CF_3'!AD50,'CF_4'!AD50)</x:f>
      </x:c>
      <x:c r="AE24" s="117" t="n">
        <x:f>SUM('CF_1'!AE50,'CF_2'!AE50,'CF_3'!AE50,'CF_4'!AE50)</x:f>
      </x:c>
      <x:c r="AF24" s="117" t="n">
        <x:f>SUM('CF_1'!AF50,'CF_2'!AF50,'CF_3'!AF50,'CF_4'!AF50)</x:f>
      </x:c>
      <x:c r="AG24" s="117" t="n">
        <x:f>SUM('CF_1'!AG50,'CF_2'!AG50,'CF_3'!AG50,'CF_4'!AG50)</x:f>
      </x:c>
      <x:c r="AH24" s="117" t="n">
        <x:f>SUM('CF_1'!AH50,'CF_2'!AH50,'CF_3'!AH50,'CF_4'!AH50)</x:f>
      </x:c>
      <x:c r="AI24" s="117" t="n">
        <x:f>SUM('CF_1'!AI50,'CF_2'!AI50,'CF_3'!AI50,'CF_4'!AI50)</x:f>
      </x:c>
      <x:c r="AJ24" s="117" t="n">
        <x:f>SUM('CF_1'!AJ50,'CF_2'!AJ50,'CF_3'!AJ50,'CF_4'!AJ50)</x:f>
      </x:c>
      <x:c r="AK24" s="117" t="n">
        <x:f>SUM('CF_1'!AK50,'CF_2'!AK50,'CF_3'!AK50,'CF_4'!AK50)</x:f>
      </x:c>
      <x:c r="AL24" s="117" t="n">
        <x:f>SUM('CF_1'!AL50,'CF_2'!AL50,'CF_3'!AL50,'CF_4'!AL50)</x:f>
      </x:c>
      <x:c r="AM24" s="117" t="n">
        <x:f>SUM('CF_1'!AM50,'CF_2'!AM50,'CF_3'!AM50,'CF_4'!AM50)</x:f>
      </x:c>
      <x:c r="AN24" s="117" t="n">
        <x:f>SUM('CF_1'!AN50,'CF_2'!AN50,'CF_3'!AN50,'CF_4'!AN50)</x:f>
      </x:c>
      <x:c r="AO24" s="117" t="n">
        <x:f>SUM('CF_1'!AO50,'CF_2'!AO50,'CF_3'!AO50,'CF_4'!AO50)</x:f>
      </x:c>
      <x:c r="AP24" s="117" t="n">
        <x:f>SUM('CF_1'!AP50,'CF_2'!AP50,'CF_3'!AP50,'CF_4'!AP50)</x:f>
      </x:c>
      <x:c r="AQ24" s="117" t="n">
        <x:f>SUM('CF_1'!AQ50,'CF_2'!AQ50,'CF_3'!AQ50,'CF_4'!AQ50)</x:f>
      </x:c>
      <x:c r="AR24" s="117" t="n">
        <x:f>SUM('CF_1'!AR50,'CF_2'!AR50,'CF_3'!AR50,'CF_4'!AR50)</x:f>
      </x:c>
      <x:c r="AS24" s="117" t="n">
        <x:f>SUM('CF_1'!AS50,'CF_2'!AS50,'CF_3'!AS50,'CF_4'!AS50)</x:f>
      </x:c>
      <x:c r="AT24" s="117" t="n">
        <x:f>SUM('CF_1'!AT50,'CF_2'!AT50,'CF_3'!AT50,'CF_4'!AT50)</x:f>
      </x:c>
      <x:c r="AU24" s="117" t="n">
        <x:f>SUM('CF_1'!AU50,'CF_2'!AU50,'CF_3'!AU50,'CF_4'!AU50)</x:f>
      </x:c>
      <x:c r="AV24" s="117" t="n">
        <x:f>SUM('CF_1'!AV50,'CF_2'!AV50,'CF_3'!AV50,'CF_4'!AV50)</x:f>
      </x:c>
      <x:c r="AW24" s="117" t="n">
        <x:f>SUM('CF_1'!AW50,'CF_2'!AW50,'CF_3'!AW50,'CF_4'!AW50)</x:f>
      </x:c>
      <x:c r="AX24" s="117" t="n">
        <x:f>SUM('CF_1'!AX50,'CF_2'!AX50,'CF_3'!AX50,'CF_4'!AX50)</x:f>
      </x:c>
      <x:c r="AY24" s="117" t="n">
        <x:f>SUM('CF_1'!AY50,'CF_2'!AY50,'CF_3'!AY50,'CF_4'!AY50)</x:f>
      </x:c>
      <x:c r="AZ24" s="117" t="n">
        <x:f>SUM('CF_1'!AZ50,'CF_2'!AZ50,'CF_3'!AZ50,'CF_4'!AZ50)</x:f>
      </x:c>
      <x:c r="BA24" s="117" t="n">
        <x:f>SUM('CF_1'!BA50,'CF_2'!BA50,'CF_3'!BA50,'CF_4'!BA50)</x:f>
      </x:c>
      <x:c r="BB24" s="117" t="n">
        <x:f>SUM('CF_1'!BB50,'CF_2'!BB50,'CF_3'!BB50,'CF_4'!BB50)</x:f>
      </x:c>
      <x:c r="BC24" s="117" t="n">
        <x:f>SUM('CF_1'!BC50,'CF_2'!BC50,'CF_3'!BC50,'CF_4'!BC50)</x:f>
      </x:c>
      <x:c r="BD24" s="117" t="n">
        <x:f>SUM('CF_1'!BD50,'CF_2'!BD50,'CF_3'!BD50,'CF_4'!BD50)</x:f>
      </x:c>
      <x:c r="BE24" s="117" t="n">
        <x:f>SUM('CF_1'!BE50,'CF_2'!BE50,'CF_3'!BE50,'CF_4'!BE50)</x:f>
      </x:c>
      <x:c r="BF24" s="117" t="n">
        <x:f>SUM('CF_1'!BF50,'CF_2'!BF50,'CF_3'!BF50,'CF_4'!BF50)</x:f>
      </x:c>
      <x:c r="BG24" s="117" t="n">
        <x:f>SUM('CF_1'!BG50,'CF_2'!BG50,'CF_3'!BG50,'CF_4'!BG50)</x:f>
      </x:c>
      <x:c r="BH24" s="117" t="n">
        <x:f>SUM('CF_1'!BH50,'CF_2'!BH50,'CF_3'!BH50,'CF_4'!BH50)</x:f>
      </x:c>
      <x:c r="BI24" s="117" t="n">
        <x:f>SUM('CF_1'!BI50,'CF_2'!BI50,'CF_3'!BI50,'CF_4'!BI50)</x:f>
      </x:c>
      <x:c r="BJ24" s="117" t="n">
        <x:f>SUM('CF_1'!BJ50,'CF_2'!BJ50,'CF_3'!BJ50,'CF_4'!BJ50)</x:f>
      </x:c>
      <x:c r="BK24" s="117" t="n">
        <x:f>SUM('CF_1'!BK50,'CF_2'!BK50,'CF_3'!BK50,'CF_4'!BK50)</x:f>
      </x:c>
      <x:c r="BL24" s="117" t="n">
        <x:f>SUM('CF_1'!BL50,'CF_2'!BL50,'CF_3'!BL50,'CF_4'!BL50)</x:f>
      </x:c>
      <x:c r="BM24" s="117" t="n">
        <x:f>SUM('CF_1'!BM50,'CF_2'!BM50,'CF_3'!BM50,'CF_4'!BM50)</x:f>
      </x:c>
      <x:c r="BN24" s="117" t="n">
        <x:f>SUM('CF_1'!BN50,'CF_2'!BN50,'CF_3'!BN50,'CF_4'!BN50)</x:f>
      </x:c>
      <x:c r="BO24" s="117" t="n">
        <x:f>SUM('CF_1'!BO50,'CF_2'!BO50,'CF_3'!BO50,'CF_4'!BO50)</x:f>
      </x:c>
      <x:c r="BP24" s="117" t="n">
        <x:f>SUM('CF_1'!BP50,'CF_2'!BP50,'CF_3'!BP50,'CF_4'!BP50)</x:f>
      </x:c>
      <x:c r="BQ24" s="117" t="n">
        <x:f>SUM('CF_1'!BQ50,'CF_2'!BQ50,'CF_3'!BQ50,'CF_4'!BQ50)</x:f>
      </x:c>
      <x:c r="BR24" s="117" t="n">
        <x:f>SUM('CF_1'!BR50,'CF_2'!BR50,'CF_3'!BR50,'CF_4'!BR50)</x:f>
      </x:c>
      <x:c r="BS24" s="117" t="n">
        <x:f>SUM('CF_1'!BS50,'CF_2'!BS50,'CF_3'!BS50,'CF_4'!BS50)</x:f>
      </x:c>
      <x:c r="BT24" s="117" t="n">
        <x:f>SUM('CF_1'!BT50,'CF_2'!BT50,'CF_3'!BT50,'CF_4'!BT50)</x:f>
      </x:c>
      <x:c r="BU24" s="117" t="n">
        <x:f>SUM('CF_1'!BU50,'CF_2'!BU50,'CF_3'!BU50,'CF_4'!BU50)</x:f>
      </x:c>
      <x:c r="BV24" s="117" t="n">
        <x:f>SUM('CF_1'!BV50,'CF_2'!BV50,'CF_3'!BV50,'CF_4'!BV50)</x:f>
      </x:c>
      <x:c r="BW24" s="117" t="n">
        <x:f>SUM('CF_1'!BW50,'CF_2'!BW50,'CF_3'!BW50,'CF_4'!BW50)</x:f>
      </x:c>
      <x:c r="BX24" s="117" t="n">
        <x:f>SUM('CF_1'!BX50,'CF_2'!BX50,'CF_3'!BX50,'CF_4'!BX50)</x:f>
      </x:c>
      <x:c r="BY24" s="117" t="n">
        <x:f>SUM('CF_1'!BY50,'CF_2'!BY50,'CF_3'!BY50,'CF_4'!BY50)</x:f>
      </x:c>
      <x:c r="BZ24" s="117" t="n">
        <x:f>SUM('CF_1'!BZ50,'CF_2'!BZ50,'CF_3'!BZ50,'CF_4'!BZ50)</x:f>
      </x:c>
      <x:c r="CA24" s="117" t="n">
        <x:f>SUM('CF_1'!CA50,'CF_2'!CA50,'CF_3'!CA50,'CF_4'!CA50)</x:f>
      </x:c>
      <x:c r="CB24" s="117" t="n">
        <x:f>SUM('CF_1'!CB50,'CF_2'!CB50,'CF_3'!CB50,'CF_4'!CB50)</x:f>
      </x:c>
      <x:c r="CC24" s="117" t="n">
        <x:f>SUM('CF_1'!CC50,'CF_2'!CC50,'CF_3'!CC50,'CF_4'!CC50)</x:f>
      </x:c>
      <x:c r="CD24" s="117" t="n">
        <x:f>SUM('CF_1'!CD50,'CF_2'!CD50,'CF_3'!CD50,'CF_4'!CD50)</x:f>
      </x:c>
      <x:c r="CE24" s="117" t="n">
        <x:f>SUM('CF_1'!CE50,'CF_2'!CE50,'CF_3'!CE50,'CF_4'!CE50)</x:f>
      </x:c>
      <x:c r="CF24" s="117" t="n">
        <x:f>SUM('CF_1'!CF50,'CF_2'!CF50,'CF_3'!CF50,'CF_4'!CF50)</x:f>
      </x:c>
      <x:c r="CG24" s="117" t="n">
        <x:f>SUM('CF_1'!CG50,'CF_2'!CG50,'CF_3'!CG50,'CF_4'!CG50)</x:f>
      </x:c>
      <x:c r="CH24" s="117" t="n">
        <x:f>SUM('CF_1'!CH50,'CF_2'!CH50,'CF_3'!CH50,'CF_4'!CH50)</x:f>
      </x:c>
      <x:c r="CI24" s="117" t="n">
        <x:f>SUM('CF_1'!CI50,'CF_2'!CI50,'CF_3'!CI50,'CF_4'!CI50)</x:f>
      </x:c>
      <x:c r="CJ24" s="117" t="n">
        <x:f>SUM('CF_1'!CJ50,'CF_2'!CJ50,'CF_3'!CJ50,'CF_4'!CJ50)</x:f>
      </x:c>
      <x:c r="CK24" s="117" t="n">
        <x:f>SUM('CF_1'!CK50,'CF_2'!CK50,'CF_3'!CK50,'CF_4'!CK50)</x:f>
      </x:c>
      <x:c r="CL24" s="117" t="n">
        <x:f>SUM('CF_1'!CL50,'CF_2'!CL50,'CF_3'!CL50,'CF_4'!CL50)</x:f>
      </x:c>
      <x:c r="CM24" s="117" t="n">
        <x:f>SUM('CF_1'!CM50,'CF_2'!CM50,'CF_3'!CM50,'CF_4'!CM50)</x:f>
      </x:c>
      <x:c r="CN24" s="117" t="n">
        <x:f>SUM('CF_1'!CN50,'CF_2'!CN50,'CF_3'!CN50,'CF_4'!CN50)</x:f>
      </x:c>
      <x:c r="CO24" s="117" t="n">
        <x:f>SUM('CF_1'!CO50,'CF_2'!CO50,'CF_3'!CO50,'CF_4'!CO50)</x:f>
      </x:c>
      <x:c r="CP24" s="117" t="n">
        <x:f>SUM('CF_1'!CP50,'CF_2'!CP50,'CF_3'!CP50,'CF_4'!CP50)</x:f>
      </x:c>
      <x:c r="CQ24" s="117" t="n">
        <x:f>SUM('CF_1'!CQ50,'CF_2'!CQ50,'CF_3'!CQ50,'CF_4'!CQ50)</x:f>
      </x:c>
      <x:c r="CR24" s="117" t="n">
        <x:f>SUM('CF_1'!CR50,'CF_2'!CR50,'CF_3'!CR50,'CF_4'!CR50)</x:f>
      </x:c>
      <x:c r="CS24" s="117" t="n">
        <x:f>SUM('CF_1'!CS50,'CF_2'!CS50,'CF_3'!CS50,'CF_4'!CS50)</x:f>
      </x:c>
      <x:c r="CT24" s="117" t="n">
        <x:f>SUM('CF_1'!CT50,'CF_2'!CT50,'CF_3'!CT50,'CF_4'!CT50)</x:f>
      </x:c>
      <x:c r="CU24" s="117" t="n">
        <x:f>SUM('CF_1'!CU50,'CF_2'!CU50,'CF_3'!CU50,'CF_4'!CU50)</x:f>
      </x:c>
      <x:c r="CV24" s="117" t="n">
        <x:f>SUM('CF_1'!CV50,'CF_2'!CV50,'CF_3'!CV50,'CF_4'!CV50)</x:f>
      </x:c>
      <x:c r="CW24" s="117" t="n">
        <x:f>SUM('CF_1'!CW50,'CF_2'!CW50,'CF_3'!CW50,'CF_4'!CW50)</x:f>
      </x:c>
      <x:c r="CX24" s="117" t="n">
        <x:f>SUM('CF_1'!CX50,'CF_2'!CX50,'CF_3'!CX50,'CF_4'!CX50)</x:f>
      </x:c>
      <x:c r="CY24" s="117" t="n">
        <x:f>SUM('CF_1'!CY50,'CF_2'!CY50,'CF_3'!CY50,'CF_4'!CY50)</x:f>
      </x:c>
      <x:c r="CZ24" s="117" t="n">
        <x:f>SUM('CF_1'!CZ50,'CF_2'!CZ50,'CF_3'!CZ50,'CF_4'!CZ50)</x:f>
      </x:c>
      <x:c r="DA24" s="117" t="n">
        <x:f>SUM('CF_1'!DA50,'CF_2'!DA50,'CF_3'!DA50,'CF_4'!DA50)</x:f>
      </x:c>
      <x:c r="DB24" s="117" t="n">
        <x:f>SUM('CF_1'!DB50,'CF_2'!DB50,'CF_3'!DB50,'CF_4'!DB50)</x:f>
      </x:c>
      <x:c r="DC24" s="117" t="n">
        <x:f>SUM('CF_1'!DC50,'CF_2'!DC50,'CF_3'!DC50,'CF_4'!DC50)</x:f>
      </x:c>
      <x:c r="DD24" s="117" t="n">
        <x:f>SUM('CF_1'!DD50,'CF_2'!DD50,'CF_3'!DD50,'CF_4'!DD50)</x:f>
      </x:c>
      <x:c r="DE24" s="117" t="n">
        <x:f>SUM('CF_1'!DE50,'CF_2'!DE50,'CF_3'!DE50,'CF_4'!DE50)</x:f>
      </x:c>
      <x:c r="DF24" s="117" t="n">
        <x:f>SUM('CF_1'!DF50,'CF_2'!DF50,'CF_3'!DF50,'CF_4'!DF50)</x:f>
      </x:c>
      <x:c r="DG24" s="117" t="n">
        <x:f>SUM('CF_1'!DG50,'CF_2'!DG50,'CF_3'!DG50,'CF_4'!DG50)</x:f>
      </x:c>
      <x:c r="DH24" s="117" t="n">
        <x:f>SUM('CF_1'!DH50,'CF_2'!DH50,'CF_3'!DH50,'CF_4'!DH50)</x:f>
      </x:c>
      <x:c r="DI24" s="117" t="n">
        <x:f>SUM('CF_1'!DI50,'CF_2'!DI50,'CF_3'!DI50,'CF_4'!DI50)</x:f>
      </x:c>
      <x:c r="DJ24" s="117" t="n">
        <x:f>SUM('CF_1'!DJ50,'CF_2'!DJ50,'CF_3'!DJ50,'CF_4'!DJ50)</x:f>
      </x:c>
      <x:c r="DK24" s="117" t="n">
        <x:f>SUM('CF_1'!DK50,'CF_2'!DK50,'CF_3'!DK50,'CF_4'!DK50)</x:f>
      </x:c>
      <x:c r="DL24" s="117" t="n">
        <x:f>SUM('CF_1'!DL50,'CF_2'!DL50,'CF_3'!DL50,'CF_4'!DL50)</x:f>
      </x:c>
      <x:c r="DM24" s="117" t="n">
        <x:f>SUM('CF_1'!DM50,'CF_2'!DM50,'CF_3'!DM50,'CF_4'!DM50)</x:f>
      </x:c>
      <x:c r="DN24" s="117" t="n">
        <x:f>SUM('CF_1'!DN50,'CF_2'!DN50,'CF_3'!DN50,'CF_4'!DN50)</x:f>
      </x:c>
      <x:c r="DO24" s="117" t="n">
        <x:f>SUM('CF_1'!DO50,'CF_2'!DO50,'CF_3'!DO50,'CF_4'!DO50)</x:f>
      </x:c>
      <x:c r="DP24" s="117" t="n">
        <x:f>SUM('CF_1'!DP50,'CF_2'!DP50,'CF_3'!DP50,'CF_4'!DP50)</x:f>
      </x:c>
      <x:c r="DQ24" s="117" t="n">
        <x:f>SUM('CF_1'!DQ50,'CF_2'!DQ50,'CF_3'!DQ50,'CF_4'!DQ50)</x:f>
      </x:c>
      <x:c r="DR24" s="117" t="n">
        <x:f>SUM('CF_1'!DR50,'CF_2'!DR50,'CF_3'!DR50,'CF_4'!DR50)</x:f>
      </x:c>
      <x:c r="DS24" s="117" t="n">
        <x:f>SUM('CF_1'!DS50,'CF_2'!DS50,'CF_3'!DS50,'CF_4'!DS50)</x:f>
      </x:c>
    </x:row>
    <x:row r="25">
      <x:c r="A25" s="113" t="str">
        <x:v>Чистый CF собственного капитала</x:v>
      </x:c>
      <x:c r="B25" s="113" t="n">
        <x:f>SUM(D25:DS25)</x:f>
      </x:c>
      <x:c r="C25" s="113" t="str">
        <x:v>млн ₽</x:v>
      </x:c>
      <x:c r="D25" s="120" t="n">
        <x:f>SUM('CF_1'!D51,'CF_2'!D51,'CF_3'!D51,'CF_4'!D51)</x:f>
      </x:c>
      <x:c r="E25" s="120" t="n">
        <x:f>SUM('CF_1'!E51,'CF_2'!E51,'CF_3'!E51,'CF_4'!E51)</x:f>
      </x:c>
      <x:c r="F25" s="120" t="n">
        <x:f>SUM('CF_1'!F51,'CF_2'!F51,'CF_3'!F51,'CF_4'!F51)</x:f>
      </x:c>
      <x:c r="G25" s="120" t="n">
        <x:f>SUM('CF_1'!G51,'CF_2'!G51,'CF_3'!G51,'CF_4'!G51)</x:f>
      </x:c>
      <x:c r="H25" s="120" t="n">
        <x:f>SUM('CF_1'!H51,'CF_2'!H51,'CF_3'!H51,'CF_4'!H51)</x:f>
      </x:c>
      <x:c r="I25" s="120" t="n">
        <x:f>SUM('CF_1'!I51,'CF_2'!I51,'CF_3'!I51,'CF_4'!I51)</x:f>
      </x:c>
      <x:c r="J25" s="120" t="n">
        <x:f>SUM('CF_1'!J51,'CF_2'!J51,'CF_3'!J51,'CF_4'!J51)</x:f>
      </x:c>
      <x:c r="K25" s="120" t="n">
        <x:f>SUM('CF_1'!K51,'CF_2'!K51,'CF_3'!K51,'CF_4'!K51)</x:f>
      </x:c>
      <x:c r="L25" s="120" t="n">
        <x:f>SUM('CF_1'!L51,'CF_2'!L51,'CF_3'!L51,'CF_4'!L51)</x:f>
      </x:c>
      <x:c r="M25" s="120" t="n">
        <x:f>SUM('CF_1'!M51,'CF_2'!M51,'CF_3'!M51,'CF_4'!M51)</x:f>
      </x:c>
      <x:c r="N25" s="120" t="n">
        <x:f>SUM('CF_1'!N51,'CF_2'!N51,'CF_3'!N51,'CF_4'!N51)</x:f>
      </x:c>
      <x:c r="O25" s="120" t="n">
        <x:f>SUM('CF_1'!O51,'CF_2'!O51,'CF_3'!O51,'CF_4'!O51)</x:f>
      </x:c>
      <x:c r="P25" s="120" t="n">
        <x:f>SUM('CF_1'!P51,'CF_2'!P51,'CF_3'!P51,'CF_4'!P51)</x:f>
      </x:c>
      <x:c r="Q25" s="120" t="n">
        <x:f>SUM('CF_1'!Q51,'CF_2'!Q51,'CF_3'!Q51,'CF_4'!Q51)</x:f>
      </x:c>
      <x:c r="R25" s="120" t="n">
        <x:f>SUM('CF_1'!R51,'CF_2'!R51,'CF_3'!R51,'CF_4'!R51)</x:f>
      </x:c>
      <x:c r="S25" s="120" t="n">
        <x:f>SUM('CF_1'!S51,'CF_2'!S51,'CF_3'!S51,'CF_4'!S51)</x:f>
      </x:c>
      <x:c r="T25" s="120" t="n">
        <x:f>SUM('CF_1'!T51,'CF_2'!T51,'CF_3'!T51,'CF_4'!T51)</x:f>
      </x:c>
      <x:c r="U25" s="120" t="n">
        <x:f>SUM('CF_1'!U51,'CF_2'!U51,'CF_3'!U51,'CF_4'!U51)</x:f>
      </x:c>
      <x:c r="V25" s="120" t="n">
        <x:f>SUM('CF_1'!V51,'CF_2'!V51,'CF_3'!V51,'CF_4'!V51)</x:f>
      </x:c>
      <x:c r="W25" s="120" t="n">
        <x:f>SUM('CF_1'!W51,'CF_2'!W51,'CF_3'!W51,'CF_4'!W51)</x:f>
      </x:c>
      <x:c r="X25" s="120" t="n">
        <x:f>SUM('CF_1'!X51,'CF_2'!X51,'CF_3'!X51,'CF_4'!X51)</x:f>
      </x:c>
      <x:c r="Y25" s="120" t="n">
        <x:f>SUM('CF_1'!Y51,'CF_2'!Y51,'CF_3'!Y51,'CF_4'!Y51)</x:f>
      </x:c>
      <x:c r="Z25" s="120" t="n">
        <x:f>SUM('CF_1'!Z51,'CF_2'!Z51,'CF_3'!Z51,'CF_4'!Z51)</x:f>
      </x:c>
      <x:c r="AA25" s="120" t="n">
        <x:f>SUM('CF_1'!AA51,'CF_2'!AA51,'CF_3'!AA51,'CF_4'!AA51)</x:f>
      </x:c>
      <x:c r="AB25" s="120" t="n">
        <x:f>SUM('CF_1'!AB51,'CF_2'!AB51,'CF_3'!AB51,'CF_4'!AB51)</x:f>
      </x:c>
      <x:c r="AC25" s="120" t="n">
        <x:f>SUM('CF_1'!AC51,'CF_2'!AC51,'CF_3'!AC51,'CF_4'!AC51)</x:f>
      </x:c>
      <x:c r="AD25" s="120" t="n">
        <x:f>SUM('CF_1'!AD51,'CF_2'!AD51,'CF_3'!AD51,'CF_4'!AD51)</x:f>
      </x:c>
      <x:c r="AE25" s="120" t="n">
        <x:f>SUM('CF_1'!AE51,'CF_2'!AE51,'CF_3'!AE51,'CF_4'!AE51)</x:f>
      </x:c>
      <x:c r="AF25" s="120" t="n">
        <x:f>SUM('CF_1'!AF51,'CF_2'!AF51,'CF_3'!AF51,'CF_4'!AF51)</x:f>
      </x:c>
      <x:c r="AG25" s="120" t="n">
        <x:f>SUM('CF_1'!AG51,'CF_2'!AG51,'CF_3'!AG51,'CF_4'!AG51)</x:f>
      </x:c>
      <x:c r="AH25" s="120" t="n">
        <x:f>SUM('CF_1'!AH51,'CF_2'!AH51,'CF_3'!AH51,'CF_4'!AH51)</x:f>
      </x:c>
      <x:c r="AI25" s="120" t="n">
        <x:f>SUM('CF_1'!AI51,'CF_2'!AI51,'CF_3'!AI51,'CF_4'!AI51)</x:f>
      </x:c>
      <x:c r="AJ25" s="120" t="n">
        <x:f>SUM('CF_1'!AJ51,'CF_2'!AJ51,'CF_3'!AJ51,'CF_4'!AJ51)</x:f>
      </x:c>
      <x:c r="AK25" s="120" t="n">
        <x:f>SUM('CF_1'!AK51,'CF_2'!AK51,'CF_3'!AK51,'CF_4'!AK51)</x:f>
      </x:c>
      <x:c r="AL25" s="120" t="n">
        <x:f>SUM('CF_1'!AL51,'CF_2'!AL51,'CF_3'!AL51,'CF_4'!AL51)</x:f>
      </x:c>
      <x:c r="AM25" s="120" t="n">
        <x:f>SUM('CF_1'!AM51,'CF_2'!AM51,'CF_3'!AM51,'CF_4'!AM51)</x:f>
      </x:c>
      <x:c r="AN25" s="120" t="n">
        <x:f>SUM('CF_1'!AN51,'CF_2'!AN51,'CF_3'!AN51,'CF_4'!AN51)</x:f>
      </x:c>
      <x:c r="AO25" s="120" t="n">
        <x:f>SUM('CF_1'!AO51,'CF_2'!AO51,'CF_3'!AO51,'CF_4'!AO51)</x:f>
      </x:c>
      <x:c r="AP25" s="120" t="n">
        <x:f>SUM('CF_1'!AP51,'CF_2'!AP51,'CF_3'!AP51,'CF_4'!AP51)</x:f>
      </x:c>
      <x:c r="AQ25" s="120" t="n">
        <x:f>SUM('CF_1'!AQ51,'CF_2'!AQ51,'CF_3'!AQ51,'CF_4'!AQ51)</x:f>
      </x:c>
      <x:c r="AR25" s="120" t="n">
        <x:f>SUM('CF_1'!AR51,'CF_2'!AR51,'CF_3'!AR51,'CF_4'!AR51)</x:f>
      </x:c>
      <x:c r="AS25" s="120" t="n">
        <x:f>SUM('CF_1'!AS51,'CF_2'!AS51,'CF_3'!AS51,'CF_4'!AS51)</x:f>
      </x:c>
      <x:c r="AT25" s="120" t="n">
        <x:f>SUM('CF_1'!AT51,'CF_2'!AT51,'CF_3'!AT51,'CF_4'!AT51)</x:f>
      </x:c>
      <x:c r="AU25" s="120" t="n">
        <x:f>SUM('CF_1'!AU51,'CF_2'!AU51,'CF_3'!AU51,'CF_4'!AU51)</x:f>
      </x:c>
      <x:c r="AV25" s="120" t="n">
        <x:f>SUM('CF_1'!AV51,'CF_2'!AV51,'CF_3'!AV51,'CF_4'!AV51)</x:f>
      </x:c>
      <x:c r="AW25" s="120" t="n">
        <x:f>SUM('CF_1'!AW51,'CF_2'!AW51,'CF_3'!AW51,'CF_4'!AW51)</x:f>
      </x:c>
      <x:c r="AX25" s="120" t="n">
        <x:f>SUM('CF_1'!AX51,'CF_2'!AX51,'CF_3'!AX51,'CF_4'!AX51)</x:f>
      </x:c>
      <x:c r="AY25" s="120" t="n">
        <x:f>SUM('CF_1'!AY51,'CF_2'!AY51,'CF_3'!AY51,'CF_4'!AY51)</x:f>
      </x:c>
      <x:c r="AZ25" s="120" t="n">
        <x:f>SUM('CF_1'!AZ51,'CF_2'!AZ51,'CF_3'!AZ51,'CF_4'!AZ51)</x:f>
      </x:c>
      <x:c r="BA25" s="120" t="n">
        <x:f>SUM('CF_1'!BA51,'CF_2'!BA51,'CF_3'!BA51,'CF_4'!BA51)</x:f>
      </x:c>
      <x:c r="BB25" s="120" t="n">
        <x:f>SUM('CF_1'!BB51,'CF_2'!BB51,'CF_3'!BB51,'CF_4'!BB51)</x:f>
      </x:c>
      <x:c r="BC25" s="120" t="n">
        <x:f>SUM('CF_1'!BC51,'CF_2'!BC51,'CF_3'!BC51,'CF_4'!BC51)</x:f>
      </x:c>
      <x:c r="BD25" s="120" t="n">
        <x:f>SUM('CF_1'!BD51,'CF_2'!BD51,'CF_3'!BD51,'CF_4'!BD51)</x:f>
      </x:c>
      <x:c r="BE25" s="120" t="n">
        <x:f>SUM('CF_1'!BE51,'CF_2'!BE51,'CF_3'!BE51,'CF_4'!BE51)</x:f>
      </x:c>
      <x:c r="BF25" s="120" t="n">
        <x:f>SUM('CF_1'!BF51,'CF_2'!BF51,'CF_3'!BF51,'CF_4'!BF51)</x:f>
      </x:c>
      <x:c r="BG25" s="120" t="n">
        <x:f>SUM('CF_1'!BG51,'CF_2'!BG51,'CF_3'!BG51,'CF_4'!BG51)</x:f>
      </x:c>
      <x:c r="BH25" s="120" t="n">
        <x:f>SUM('CF_1'!BH51,'CF_2'!BH51,'CF_3'!BH51,'CF_4'!BH51)</x:f>
      </x:c>
      <x:c r="BI25" s="120" t="n">
        <x:f>SUM('CF_1'!BI51,'CF_2'!BI51,'CF_3'!BI51,'CF_4'!BI51)</x:f>
      </x:c>
      <x:c r="BJ25" s="120" t="n">
        <x:f>SUM('CF_1'!BJ51,'CF_2'!BJ51,'CF_3'!BJ51,'CF_4'!BJ51)</x:f>
      </x:c>
      <x:c r="BK25" s="120" t="n">
        <x:f>SUM('CF_1'!BK51,'CF_2'!BK51,'CF_3'!BK51,'CF_4'!BK51)</x:f>
      </x:c>
      <x:c r="BL25" s="120" t="n">
        <x:f>SUM('CF_1'!BL51,'CF_2'!BL51,'CF_3'!BL51,'CF_4'!BL51)</x:f>
      </x:c>
      <x:c r="BM25" s="120" t="n">
        <x:f>SUM('CF_1'!BM51,'CF_2'!BM51,'CF_3'!BM51,'CF_4'!BM51)</x:f>
      </x:c>
      <x:c r="BN25" s="120" t="n">
        <x:f>SUM('CF_1'!BN51,'CF_2'!BN51,'CF_3'!BN51,'CF_4'!BN51)</x:f>
      </x:c>
      <x:c r="BO25" s="120" t="n">
        <x:f>SUM('CF_1'!BO51,'CF_2'!BO51,'CF_3'!BO51,'CF_4'!BO51)</x:f>
      </x:c>
      <x:c r="BP25" s="120" t="n">
        <x:f>SUM('CF_1'!BP51,'CF_2'!BP51,'CF_3'!BP51,'CF_4'!BP51)</x:f>
      </x:c>
      <x:c r="BQ25" s="120" t="n">
        <x:f>SUM('CF_1'!BQ51,'CF_2'!BQ51,'CF_3'!BQ51,'CF_4'!BQ51)</x:f>
      </x:c>
      <x:c r="BR25" s="120" t="n">
        <x:f>SUM('CF_1'!BR51,'CF_2'!BR51,'CF_3'!BR51,'CF_4'!BR51)</x:f>
      </x:c>
      <x:c r="BS25" s="120" t="n">
        <x:f>SUM('CF_1'!BS51,'CF_2'!BS51,'CF_3'!BS51,'CF_4'!BS51)</x:f>
      </x:c>
      <x:c r="BT25" s="120" t="n">
        <x:f>SUM('CF_1'!BT51,'CF_2'!BT51,'CF_3'!BT51,'CF_4'!BT51)</x:f>
      </x:c>
      <x:c r="BU25" s="120" t="n">
        <x:f>SUM('CF_1'!BU51,'CF_2'!BU51,'CF_3'!BU51,'CF_4'!BU51)</x:f>
      </x:c>
      <x:c r="BV25" s="120" t="n">
        <x:f>SUM('CF_1'!BV51,'CF_2'!BV51,'CF_3'!BV51,'CF_4'!BV51)</x:f>
      </x:c>
      <x:c r="BW25" s="120" t="n">
        <x:f>SUM('CF_1'!BW51,'CF_2'!BW51,'CF_3'!BW51,'CF_4'!BW51)</x:f>
      </x:c>
      <x:c r="BX25" s="120" t="n">
        <x:f>SUM('CF_1'!BX51,'CF_2'!BX51,'CF_3'!BX51,'CF_4'!BX51)</x:f>
      </x:c>
      <x:c r="BY25" s="120" t="n">
        <x:f>SUM('CF_1'!BY51,'CF_2'!BY51,'CF_3'!BY51,'CF_4'!BY51)</x:f>
      </x:c>
      <x:c r="BZ25" s="120" t="n">
        <x:f>SUM('CF_1'!BZ51,'CF_2'!BZ51,'CF_3'!BZ51,'CF_4'!BZ51)</x:f>
      </x:c>
      <x:c r="CA25" s="120" t="n">
        <x:f>SUM('CF_1'!CA51,'CF_2'!CA51,'CF_3'!CA51,'CF_4'!CA51)</x:f>
      </x:c>
      <x:c r="CB25" s="120" t="n">
        <x:f>SUM('CF_1'!CB51,'CF_2'!CB51,'CF_3'!CB51,'CF_4'!CB51)</x:f>
      </x:c>
      <x:c r="CC25" s="120" t="n">
        <x:f>SUM('CF_1'!CC51,'CF_2'!CC51,'CF_3'!CC51,'CF_4'!CC51)</x:f>
      </x:c>
      <x:c r="CD25" s="120" t="n">
        <x:f>SUM('CF_1'!CD51,'CF_2'!CD51,'CF_3'!CD51,'CF_4'!CD51)</x:f>
      </x:c>
      <x:c r="CE25" s="120" t="n">
        <x:f>SUM('CF_1'!CE51,'CF_2'!CE51,'CF_3'!CE51,'CF_4'!CE51)</x:f>
      </x:c>
      <x:c r="CF25" s="120" t="n">
        <x:f>SUM('CF_1'!CF51,'CF_2'!CF51,'CF_3'!CF51,'CF_4'!CF51)</x:f>
      </x:c>
      <x:c r="CG25" s="120" t="n">
        <x:f>SUM('CF_1'!CG51,'CF_2'!CG51,'CF_3'!CG51,'CF_4'!CG51)</x:f>
      </x:c>
      <x:c r="CH25" s="120" t="n">
        <x:f>SUM('CF_1'!CH51,'CF_2'!CH51,'CF_3'!CH51,'CF_4'!CH51)</x:f>
      </x:c>
      <x:c r="CI25" s="120" t="n">
        <x:f>SUM('CF_1'!CI51,'CF_2'!CI51,'CF_3'!CI51,'CF_4'!CI51)</x:f>
      </x:c>
      <x:c r="CJ25" s="120" t="n">
        <x:f>SUM('CF_1'!CJ51,'CF_2'!CJ51,'CF_3'!CJ51,'CF_4'!CJ51)</x:f>
      </x:c>
      <x:c r="CK25" s="120" t="n">
        <x:f>SUM('CF_1'!CK51,'CF_2'!CK51,'CF_3'!CK51,'CF_4'!CK51)</x:f>
      </x:c>
      <x:c r="CL25" s="120" t="n">
        <x:f>SUM('CF_1'!CL51,'CF_2'!CL51,'CF_3'!CL51,'CF_4'!CL51)</x:f>
      </x:c>
      <x:c r="CM25" s="120" t="n">
        <x:f>SUM('CF_1'!CM51,'CF_2'!CM51,'CF_3'!CM51,'CF_4'!CM51)</x:f>
      </x:c>
      <x:c r="CN25" s="120" t="n">
        <x:f>SUM('CF_1'!CN51,'CF_2'!CN51,'CF_3'!CN51,'CF_4'!CN51)</x:f>
      </x:c>
      <x:c r="CO25" s="120" t="n">
        <x:f>SUM('CF_1'!CO51,'CF_2'!CO51,'CF_3'!CO51,'CF_4'!CO51)</x:f>
      </x:c>
      <x:c r="CP25" s="120" t="n">
        <x:f>SUM('CF_1'!CP51,'CF_2'!CP51,'CF_3'!CP51,'CF_4'!CP51)</x:f>
      </x:c>
      <x:c r="CQ25" s="120" t="n">
        <x:f>SUM('CF_1'!CQ51,'CF_2'!CQ51,'CF_3'!CQ51,'CF_4'!CQ51)</x:f>
      </x:c>
      <x:c r="CR25" s="120" t="n">
        <x:f>SUM('CF_1'!CR51,'CF_2'!CR51,'CF_3'!CR51,'CF_4'!CR51)</x:f>
      </x:c>
      <x:c r="CS25" s="120" t="n">
        <x:f>SUM('CF_1'!CS51,'CF_2'!CS51,'CF_3'!CS51,'CF_4'!CS51)</x:f>
      </x:c>
      <x:c r="CT25" s="120" t="n">
        <x:f>SUM('CF_1'!CT51,'CF_2'!CT51,'CF_3'!CT51,'CF_4'!CT51)</x:f>
      </x:c>
      <x:c r="CU25" s="120" t="n">
        <x:f>SUM('CF_1'!CU51,'CF_2'!CU51,'CF_3'!CU51,'CF_4'!CU51)</x:f>
      </x:c>
      <x:c r="CV25" s="120" t="n">
        <x:f>SUM('CF_1'!CV51,'CF_2'!CV51,'CF_3'!CV51,'CF_4'!CV51)</x:f>
      </x:c>
      <x:c r="CW25" s="120" t="n">
        <x:f>SUM('CF_1'!CW51,'CF_2'!CW51,'CF_3'!CW51,'CF_4'!CW51)</x:f>
      </x:c>
      <x:c r="CX25" s="120" t="n">
        <x:f>SUM('CF_1'!CX51,'CF_2'!CX51,'CF_3'!CX51,'CF_4'!CX51)</x:f>
      </x:c>
      <x:c r="CY25" s="120" t="n">
        <x:f>SUM('CF_1'!CY51,'CF_2'!CY51,'CF_3'!CY51,'CF_4'!CY51)</x:f>
      </x:c>
      <x:c r="CZ25" s="120" t="n">
        <x:f>SUM('CF_1'!CZ51,'CF_2'!CZ51,'CF_3'!CZ51,'CF_4'!CZ51)</x:f>
      </x:c>
      <x:c r="DA25" s="120" t="n">
        <x:f>SUM('CF_1'!DA51,'CF_2'!DA51,'CF_3'!DA51,'CF_4'!DA51)</x:f>
      </x:c>
      <x:c r="DB25" s="120" t="n">
        <x:f>SUM('CF_1'!DB51,'CF_2'!DB51,'CF_3'!DB51,'CF_4'!DB51)</x:f>
      </x:c>
      <x:c r="DC25" s="120" t="n">
        <x:f>SUM('CF_1'!DC51,'CF_2'!DC51,'CF_3'!DC51,'CF_4'!DC51)</x:f>
      </x:c>
      <x:c r="DD25" s="120" t="n">
        <x:f>SUM('CF_1'!DD51,'CF_2'!DD51,'CF_3'!DD51,'CF_4'!DD51)</x:f>
      </x:c>
      <x:c r="DE25" s="120" t="n">
        <x:f>SUM('CF_1'!DE51,'CF_2'!DE51,'CF_3'!DE51,'CF_4'!DE51)</x:f>
      </x:c>
      <x:c r="DF25" s="120" t="n">
        <x:f>SUM('CF_1'!DF51,'CF_2'!DF51,'CF_3'!DF51,'CF_4'!DF51)</x:f>
      </x:c>
      <x:c r="DG25" s="120" t="n">
        <x:f>SUM('CF_1'!DG51,'CF_2'!DG51,'CF_3'!DG51,'CF_4'!DG51)</x:f>
      </x:c>
      <x:c r="DH25" s="120" t="n">
        <x:f>SUM('CF_1'!DH51,'CF_2'!DH51,'CF_3'!DH51,'CF_4'!DH51)</x:f>
      </x:c>
      <x:c r="DI25" s="120" t="n">
        <x:f>SUM('CF_1'!DI51,'CF_2'!DI51,'CF_3'!DI51,'CF_4'!DI51)</x:f>
      </x:c>
      <x:c r="DJ25" s="120" t="n">
        <x:f>SUM('CF_1'!DJ51,'CF_2'!DJ51,'CF_3'!DJ51,'CF_4'!DJ51)</x:f>
      </x:c>
      <x:c r="DK25" s="120" t="n">
        <x:f>SUM('CF_1'!DK51,'CF_2'!DK51,'CF_3'!DK51,'CF_4'!DK51)</x:f>
      </x:c>
      <x:c r="DL25" s="120" t="n">
        <x:f>SUM('CF_1'!DL51,'CF_2'!DL51,'CF_3'!DL51,'CF_4'!DL51)</x:f>
      </x:c>
      <x:c r="DM25" s="120" t="n">
        <x:f>SUM('CF_1'!DM51,'CF_2'!DM51,'CF_3'!DM51,'CF_4'!DM51)</x:f>
      </x:c>
      <x:c r="DN25" s="120" t="n">
        <x:f>SUM('CF_1'!DN51,'CF_2'!DN51,'CF_3'!DN51,'CF_4'!DN51)</x:f>
      </x:c>
      <x:c r="DO25" s="120" t="n">
        <x:f>SUM('CF_1'!DO51,'CF_2'!DO51,'CF_3'!DO51,'CF_4'!DO51)</x:f>
      </x:c>
      <x:c r="DP25" s="120" t="n">
        <x:f>SUM('CF_1'!DP51,'CF_2'!DP51,'CF_3'!DP51,'CF_4'!DP51)</x:f>
      </x:c>
      <x:c r="DQ25" s="120" t="n">
        <x:f>SUM('CF_1'!DQ51,'CF_2'!DQ51,'CF_3'!DQ51,'CF_4'!DQ51)</x:f>
      </x:c>
      <x:c r="DR25" s="120" t="n">
        <x:f>SUM('CF_1'!DR51,'CF_2'!DR51,'CF_3'!DR51,'CF_4'!DR51)</x:f>
      </x:c>
      <x:c r="DS25" s="120" t="n">
        <x:f>SUM('CF_1'!DS51,'CF_2'!DS51,'CF_3'!DS51,'CF_4'!DS51)</x:f>
      </x:c>
    </x:row>
    <x:row r="26">
      <x:c r="A26" t="str">
        <x:v>Накопленный CF капитала</x:v>
      </x:c>
      <x:c r="B26" t="n">
        <x:f>DS26</x:f>
      </x:c>
      <x:c r="C26" t="str">
        <x:v>млн ₽</x:v>
      </x:c>
      <x:c r="D26" s="117" t="n">
        <x:f>D25</x:f>
      </x:c>
      <x:c r="E26" s="117" t="n">
        <x:f>D26+E25</x:f>
      </x:c>
      <x:c r="F26" s="117" t="n">
        <x:f>E26+F25</x:f>
      </x:c>
      <x:c r="G26" s="117" t="n">
        <x:f>F26+G25</x:f>
      </x:c>
      <x:c r="H26" s="117" t="n">
        <x:f>G26+H25</x:f>
      </x:c>
      <x:c r="I26" s="117" t="n">
        <x:f>H26+I25</x:f>
      </x:c>
      <x:c r="J26" s="117" t="n">
        <x:f>I26+J25</x:f>
      </x:c>
      <x:c r="K26" s="117" t="n">
        <x:f>J26+K25</x:f>
      </x:c>
      <x:c r="L26" s="117" t="n">
        <x:f>K26+L25</x:f>
      </x:c>
      <x:c r="M26" s="117" t="n">
        <x:f>L26+M25</x:f>
      </x:c>
      <x:c r="N26" s="117" t="n">
        <x:f>M26+N25</x:f>
      </x:c>
      <x:c r="O26" s="117" t="n">
        <x:f>N26+O25</x:f>
      </x:c>
      <x:c r="P26" s="117" t="n">
        <x:f>O26+P25</x:f>
      </x:c>
      <x:c r="Q26" s="117" t="n">
        <x:f>P26+Q25</x:f>
      </x:c>
      <x:c r="R26" s="117" t="n">
        <x:f>Q26+R25</x:f>
      </x:c>
      <x:c r="S26" s="117" t="n">
        <x:f>R26+S25</x:f>
      </x:c>
      <x:c r="T26" s="117" t="n">
        <x:f>S26+T25</x:f>
      </x:c>
      <x:c r="U26" s="117" t="n">
        <x:f>T26+U25</x:f>
      </x:c>
      <x:c r="V26" s="117" t="n">
        <x:f>U26+V25</x:f>
      </x:c>
      <x:c r="W26" s="117" t="n">
        <x:f>V26+W25</x:f>
      </x:c>
      <x:c r="X26" s="117" t="n">
        <x:f>W26+X25</x:f>
      </x:c>
      <x:c r="Y26" s="117" t="n">
        <x:f>X26+Y25</x:f>
      </x:c>
      <x:c r="Z26" s="117" t="n">
        <x:f>Y26+Z25</x:f>
      </x:c>
      <x:c r="AA26" s="117" t="n">
        <x:f>Z26+AA25</x:f>
      </x:c>
      <x:c r="AB26" s="117" t="n">
        <x:f>AA26+AB25</x:f>
      </x:c>
      <x:c r="AC26" s="117" t="n">
        <x:f>AB26+AC25</x:f>
      </x:c>
      <x:c r="AD26" s="117" t="n">
        <x:f>AC26+AD25</x:f>
      </x:c>
      <x:c r="AE26" s="117" t="n">
        <x:f>AD26+AE25</x:f>
      </x:c>
      <x:c r="AF26" s="117" t="n">
        <x:f>AE26+AF25</x:f>
      </x:c>
      <x:c r="AG26" s="117" t="n">
        <x:f>AF26+AG25</x:f>
      </x:c>
      <x:c r="AH26" s="117" t="n">
        <x:f>AG26+AH25</x:f>
      </x:c>
      <x:c r="AI26" s="117" t="n">
        <x:f>AH26+AI25</x:f>
      </x:c>
      <x:c r="AJ26" s="117" t="n">
        <x:f>AI26+AJ25</x:f>
      </x:c>
      <x:c r="AK26" s="117" t="n">
        <x:f>AJ26+AK25</x:f>
      </x:c>
      <x:c r="AL26" s="117" t="n">
        <x:f>AK26+AL25</x:f>
      </x:c>
      <x:c r="AM26" s="117" t="n">
        <x:f>AL26+AM25</x:f>
      </x:c>
      <x:c r="AN26" s="117" t="n">
        <x:f>AM26+AN25</x:f>
      </x:c>
      <x:c r="AO26" s="117" t="n">
        <x:f>AN26+AO25</x:f>
      </x:c>
      <x:c r="AP26" s="117" t="n">
        <x:f>AO26+AP25</x:f>
      </x:c>
      <x:c r="AQ26" s="117" t="n">
        <x:f>AP26+AQ25</x:f>
      </x:c>
      <x:c r="AR26" s="117" t="n">
        <x:f>AQ26+AR25</x:f>
      </x:c>
      <x:c r="AS26" s="117" t="n">
        <x:f>AR26+AS25</x:f>
      </x:c>
      <x:c r="AT26" s="117" t="n">
        <x:f>AS26+AT25</x:f>
      </x:c>
      <x:c r="AU26" s="117" t="n">
        <x:f>AT26+AU25</x:f>
      </x:c>
      <x:c r="AV26" s="117" t="n">
        <x:f>AU26+AV25</x:f>
      </x:c>
      <x:c r="AW26" s="117" t="n">
        <x:f>AV26+AW25</x:f>
      </x:c>
      <x:c r="AX26" s="117" t="n">
        <x:f>AW26+AX25</x:f>
      </x:c>
      <x:c r="AY26" s="117" t="n">
        <x:f>AX26+AY25</x:f>
      </x:c>
      <x:c r="AZ26" s="117" t="n">
        <x:f>AY26+AZ25</x:f>
      </x:c>
      <x:c r="BA26" s="117" t="n">
        <x:f>AZ26+BA25</x:f>
      </x:c>
      <x:c r="BB26" s="117" t="n">
        <x:f>BA26+BB25</x:f>
      </x:c>
      <x:c r="BC26" s="117" t="n">
        <x:f>BB26+BC25</x:f>
      </x:c>
      <x:c r="BD26" s="117" t="n">
        <x:f>BC26+BD25</x:f>
      </x:c>
      <x:c r="BE26" s="117" t="n">
        <x:f>BD26+BE25</x:f>
      </x:c>
      <x:c r="BF26" s="117" t="n">
        <x:f>BE26+BF25</x:f>
      </x:c>
      <x:c r="BG26" s="117" t="n">
        <x:f>BF26+BG25</x:f>
      </x:c>
      <x:c r="BH26" s="117" t="n">
        <x:f>BG26+BH25</x:f>
      </x:c>
      <x:c r="BI26" s="117" t="n">
        <x:f>BH26+BI25</x:f>
      </x:c>
      <x:c r="BJ26" s="117" t="n">
        <x:f>BI26+BJ25</x:f>
      </x:c>
      <x:c r="BK26" s="117" t="n">
        <x:f>BJ26+BK25</x:f>
      </x:c>
      <x:c r="BL26" s="117" t="n">
        <x:f>BK26+BL25</x:f>
      </x:c>
      <x:c r="BM26" s="117" t="n">
        <x:f>BL26+BM25</x:f>
      </x:c>
      <x:c r="BN26" s="117" t="n">
        <x:f>BM26+BN25</x:f>
      </x:c>
      <x:c r="BO26" s="117" t="n">
        <x:f>BN26+BO25</x:f>
      </x:c>
      <x:c r="BP26" s="117" t="n">
        <x:f>BO26+BP25</x:f>
      </x:c>
      <x:c r="BQ26" s="117" t="n">
        <x:f>BP26+BQ25</x:f>
      </x:c>
      <x:c r="BR26" s="117" t="n">
        <x:f>BQ26+BR25</x:f>
      </x:c>
      <x:c r="BS26" s="117" t="n">
        <x:f>BR26+BS25</x:f>
      </x:c>
      <x:c r="BT26" s="117" t="n">
        <x:f>BS26+BT25</x:f>
      </x:c>
      <x:c r="BU26" s="117" t="n">
        <x:f>BT26+BU25</x:f>
      </x:c>
      <x:c r="BV26" s="117" t="n">
        <x:f>BU26+BV25</x:f>
      </x:c>
      <x:c r="BW26" s="117" t="n">
        <x:f>BV26+BW25</x:f>
      </x:c>
      <x:c r="BX26" s="117" t="n">
        <x:f>BW26+BX25</x:f>
      </x:c>
      <x:c r="BY26" s="117" t="n">
        <x:f>BX26+BY25</x:f>
      </x:c>
      <x:c r="BZ26" s="117" t="n">
        <x:f>BY26+BZ25</x:f>
      </x:c>
      <x:c r="CA26" s="117" t="n">
        <x:f>BZ26+CA25</x:f>
      </x:c>
      <x:c r="CB26" s="117" t="n">
        <x:f>CA26+CB25</x:f>
      </x:c>
      <x:c r="CC26" s="117" t="n">
        <x:f>CB26+CC25</x:f>
      </x:c>
      <x:c r="CD26" s="117" t="n">
        <x:f>CC26+CD25</x:f>
      </x:c>
      <x:c r="CE26" s="117" t="n">
        <x:f>CD26+CE25</x:f>
      </x:c>
      <x:c r="CF26" s="117" t="n">
        <x:f>CE26+CF25</x:f>
      </x:c>
      <x:c r="CG26" s="117" t="n">
        <x:f>CF26+CG25</x:f>
      </x:c>
      <x:c r="CH26" s="117" t="n">
        <x:f>CG26+CH25</x:f>
      </x:c>
      <x:c r="CI26" s="117" t="n">
        <x:f>CH26+CI25</x:f>
      </x:c>
      <x:c r="CJ26" s="117" t="n">
        <x:f>CI26+CJ25</x:f>
      </x:c>
      <x:c r="CK26" s="117" t="n">
        <x:f>CJ26+CK25</x:f>
      </x:c>
      <x:c r="CL26" s="117" t="n">
        <x:f>CK26+CL25</x:f>
      </x:c>
      <x:c r="CM26" s="117" t="n">
        <x:f>CL26+CM25</x:f>
      </x:c>
      <x:c r="CN26" s="117" t="n">
        <x:f>CM26+CN25</x:f>
      </x:c>
      <x:c r="CO26" s="117" t="n">
        <x:f>CN26+CO25</x:f>
      </x:c>
      <x:c r="CP26" s="117" t="n">
        <x:f>CO26+CP25</x:f>
      </x:c>
      <x:c r="CQ26" s="117" t="n">
        <x:f>CP26+CQ25</x:f>
      </x:c>
      <x:c r="CR26" s="117" t="n">
        <x:f>CQ26+CR25</x:f>
      </x:c>
      <x:c r="CS26" s="117" t="n">
        <x:f>CR26+CS25</x:f>
      </x:c>
      <x:c r="CT26" s="117" t="n">
        <x:f>CS26+CT25</x:f>
      </x:c>
      <x:c r="CU26" s="117" t="n">
        <x:f>CT26+CU25</x:f>
      </x:c>
      <x:c r="CV26" s="117" t="n">
        <x:f>CU26+CV25</x:f>
      </x:c>
      <x:c r="CW26" s="117" t="n">
        <x:f>CV26+CW25</x:f>
      </x:c>
      <x:c r="CX26" s="117" t="n">
        <x:f>CW26+CX25</x:f>
      </x:c>
      <x:c r="CY26" s="117" t="n">
        <x:f>CX26+CY25</x:f>
      </x:c>
      <x:c r="CZ26" s="117" t="n">
        <x:f>CY26+CZ25</x:f>
      </x:c>
      <x:c r="DA26" s="117" t="n">
        <x:f>CZ26+DA25</x:f>
      </x:c>
      <x:c r="DB26" s="117" t="n">
        <x:f>DA26+DB25</x:f>
      </x:c>
      <x:c r="DC26" s="117" t="n">
        <x:f>DB26+DC25</x:f>
      </x:c>
      <x:c r="DD26" s="117" t="n">
        <x:f>DC26+DD25</x:f>
      </x:c>
      <x:c r="DE26" s="117" t="n">
        <x:f>DD26+DE25</x:f>
      </x:c>
      <x:c r="DF26" s="117" t="n">
        <x:f>DE26+DF25</x:f>
      </x:c>
      <x:c r="DG26" s="117" t="n">
        <x:f>DF26+DG25</x:f>
      </x:c>
      <x:c r="DH26" s="117" t="n">
        <x:f>DG26+DH25</x:f>
      </x:c>
      <x:c r="DI26" s="117" t="n">
        <x:f>DH26+DI25</x:f>
      </x:c>
      <x:c r="DJ26" s="117" t="n">
        <x:f>DI26+DJ25</x:f>
      </x:c>
      <x:c r="DK26" s="117" t="n">
        <x:f>DJ26+DK25</x:f>
      </x:c>
      <x:c r="DL26" s="117" t="n">
        <x:f>DK26+DL25</x:f>
      </x:c>
      <x:c r="DM26" s="117" t="n">
        <x:f>DL26+DM25</x:f>
      </x:c>
      <x:c r="DN26" s="117" t="n">
        <x:f>DM26+DN25</x:f>
      </x:c>
      <x:c r="DO26" s="117" t="n">
        <x:f>DN26+DO25</x:f>
      </x:c>
      <x:c r="DP26" s="117" t="n">
        <x:f>DO26+DP25</x:f>
      </x:c>
      <x:c r="DQ26" s="117" t="n">
        <x:f>DP26+DQ25</x:f>
      </x:c>
      <x:c r="DR26" s="117" t="n">
        <x:f>DQ26+DR25</x:f>
      </x:c>
      <x:c r="DS26" s="117" t="n">
        <x:f>DR26+DS25</x:f>
      </x:c>
    </x:row>
    <x:row r="27">
      <x:c r="D27" s="117"/>
      <x:c r="E27" s="117"/>
      <x:c r="F27" s="117"/>
      <x:c r="G27" s="117"/>
      <x:c r="H27" s="117"/>
      <x:c r="I27" s="117"/>
      <x:c r="J27" s="117"/>
      <x:c r="K27" s="117"/>
      <x:c r="L27" s="117"/>
      <x:c r="M27" s="117"/>
      <x:c r="N27" s="117"/>
      <x:c r="O27" s="117"/>
      <x:c r="P27" s="117"/>
      <x:c r="Q27" s="117"/>
      <x:c r="R27" s="117"/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7"/>
      <x:c r="AE27" s="117"/>
      <x:c r="AF27" s="117"/>
      <x:c r="AG27" s="117"/>
      <x:c r="AH27" s="117"/>
      <x:c r="AI27" s="117"/>
      <x:c r="AJ27" s="117"/>
      <x:c r="AK27" s="117"/>
      <x:c r="AL27" s="117"/>
      <x:c r="AM27" s="117"/>
      <x:c r="AN27" s="117"/>
      <x:c r="AO27" s="117"/>
      <x:c r="AP27" s="117"/>
      <x:c r="AQ27" s="117"/>
      <x:c r="AR27" s="117"/>
      <x:c r="AS27" s="117"/>
      <x:c r="AT27" s="117"/>
      <x:c r="AU27" s="117"/>
      <x:c r="AV27" s="117"/>
      <x:c r="AW27" s="117"/>
      <x:c r="AX27" s="117"/>
      <x:c r="AY27" s="117"/>
      <x:c r="AZ27" s="117"/>
      <x:c r="BA27" s="117"/>
      <x:c r="BB27" s="117"/>
      <x:c r="BC27" s="117"/>
      <x:c r="BD27" s="117"/>
      <x:c r="BE27" s="117"/>
      <x:c r="BF27" s="117"/>
      <x:c r="BG27" s="117"/>
      <x:c r="BH27" s="117"/>
      <x:c r="BI27" s="117"/>
      <x:c r="BJ27" s="117"/>
      <x:c r="BK27" s="117"/>
      <x:c r="BL27" s="117"/>
      <x:c r="BM27" s="117"/>
      <x:c r="BN27" s="117"/>
      <x:c r="BO27" s="117"/>
      <x:c r="BP27" s="117"/>
      <x:c r="BQ27" s="117"/>
      <x:c r="BR27" s="117"/>
      <x:c r="BS27" s="117"/>
      <x:c r="BT27" s="117"/>
      <x:c r="BU27" s="117"/>
      <x:c r="BV27" s="117"/>
      <x:c r="BW27" s="117"/>
      <x:c r="BX27" s="117"/>
      <x:c r="BY27" s="117"/>
      <x:c r="BZ27" s="117"/>
      <x:c r="CA27" s="117"/>
      <x:c r="CB27" s="117"/>
      <x:c r="CC27" s="117"/>
      <x:c r="CD27" s="117"/>
      <x:c r="CE27" s="117"/>
      <x:c r="CF27" s="117"/>
      <x:c r="CG27" s="117"/>
      <x:c r="CH27" s="117"/>
      <x:c r="CI27" s="117"/>
      <x:c r="CJ27" s="117"/>
      <x:c r="CK27" s="117"/>
      <x:c r="CL27" s="117"/>
      <x:c r="CM27" s="117"/>
      <x:c r="CN27" s="117"/>
      <x:c r="CO27" s="117"/>
      <x:c r="CP27" s="117"/>
      <x:c r="CQ27" s="117"/>
      <x:c r="CR27" s="117"/>
      <x:c r="CS27" s="117"/>
      <x:c r="CT27" s="117"/>
      <x:c r="CU27" s="117"/>
      <x:c r="CV27" s="117"/>
      <x:c r="CW27" s="117"/>
      <x:c r="CX27" s="117"/>
      <x:c r="CY27" s="117"/>
      <x:c r="CZ27" s="117"/>
      <x:c r="DA27" s="117"/>
      <x:c r="DB27" s="117"/>
      <x:c r="DC27" s="117"/>
      <x:c r="DD27" s="117"/>
      <x:c r="DE27" s="117"/>
      <x:c r="DF27" s="117"/>
      <x:c r="DG27" s="117"/>
      <x:c r="DH27" s="117"/>
      <x:c r="DI27" s="117"/>
      <x:c r="DJ27" s="117"/>
      <x:c r="DK27" s="117"/>
      <x:c r="DL27" s="117"/>
      <x:c r="DM27" s="117"/>
      <x:c r="DN27" s="117"/>
      <x:c r="DO27" s="117"/>
      <x:c r="DP27" s="117"/>
      <x:c r="DQ27" s="117"/>
      <x:c r="DR27" s="117"/>
      <x:c r="DS27" s="117"/>
    </x:row>
    <x:row r="28">
      <x:c r="A28" s="113" t="str">
        <x:v>Проектный CF до финансирования</x:v>
      </x:c>
      <x:c r="B28" s="113" t="n">
        <x:f>SUM(D28:DS28)</x:f>
      </x:c>
      <x:c r="C28" s="113" t="str">
        <x:v>млн ₽</x:v>
      </x:c>
      <x:c r="D28" s="120" t="n">
        <x:f>SUM('CF_1'!D54,'CF_2'!D54,'CF_3'!D54,'CF_4'!D54)</x:f>
      </x:c>
      <x:c r="E28" s="120" t="n">
        <x:f>SUM('CF_1'!E54,'CF_2'!E54,'CF_3'!E54,'CF_4'!E54)</x:f>
      </x:c>
      <x:c r="F28" s="120" t="n">
        <x:f>SUM('CF_1'!F54,'CF_2'!F54,'CF_3'!F54,'CF_4'!F54)</x:f>
      </x:c>
      <x:c r="G28" s="120" t="n">
        <x:f>SUM('CF_1'!G54,'CF_2'!G54,'CF_3'!G54,'CF_4'!G54)</x:f>
      </x:c>
      <x:c r="H28" s="120" t="n">
        <x:f>SUM('CF_1'!H54,'CF_2'!H54,'CF_3'!H54,'CF_4'!H54)</x:f>
      </x:c>
      <x:c r="I28" s="120" t="n">
        <x:f>SUM('CF_1'!I54,'CF_2'!I54,'CF_3'!I54,'CF_4'!I54)</x:f>
      </x:c>
      <x:c r="J28" s="120" t="n">
        <x:f>SUM('CF_1'!J54,'CF_2'!J54,'CF_3'!J54,'CF_4'!J54)</x:f>
      </x:c>
      <x:c r="K28" s="120" t="n">
        <x:f>SUM('CF_1'!K54,'CF_2'!K54,'CF_3'!K54,'CF_4'!K54)</x:f>
      </x:c>
      <x:c r="L28" s="120" t="n">
        <x:f>SUM('CF_1'!L54,'CF_2'!L54,'CF_3'!L54,'CF_4'!L54)</x:f>
      </x:c>
      <x:c r="M28" s="120" t="n">
        <x:f>SUM('CF_1'!M54,'CF_2'!M54,'CF_3'!M54,'CF_4'!M54)</x:f>
      </x:c>
      <x:c r="N28" s="120" t="n">
        <x:f>SUM('CF_1'!N54,'CF_2'!N54,'CF_3'!N54,'CF_4'!N54)</x:f>
      </x:c>
      <x:c r="O28" s="120" t="n">
        <x:f>SUM('CF_1'!O54,'CF_2'!O54,'CF_3'!O54,'CF_4'!O54)</x:f>
      </x:c>
      <x:c r="P28" s="120" t="n">
        <x:f>SUM('CF_1'!P54,'CF_2'!P54,'CF_3'!P54,'CF_4'!P54)</x:f>
      </x:c>
      <x:c r="Q28" s="120" t="n">
        <x:f>SUM('CF_1'!Q54,'CF_2'!Q54,'CF_3'!Q54,'CF_4'!Q54)</x:f>
      </x:c>
      <x:c r="R28" s="120" t="n">
        <x:f>SUM('CF_1'!R54,'CF_2'!R54,'CF_3'!R54,'CF_4'!R54)</x:f>
      </x:c>
      <x:c r="S28" s="120" t="n">
        <x:f>SUM('CF_1'!S54,'CF_2'!S54,'CF_3'!S54,'CF_4'!S54)</x:f>
      </x:c>
      <x:c r="T28" s="120" t="n">
        <x:f>SUM('CF_1'!T54,'CF_2'!T54,'CF_3'!T54,'CF_4'!T54)</x:f>
      </x:c>
      <x:c r="U28" s="120" t="n">
        <x:f>SUM('CF_1'!U54,'CF_2'!U54,'CF_3'!U54,'CF_4'!U54)</x:f>
      </x:c>
      <x:c r="V28" s="120" t="n">
        <x:f>SUM('CF_1'!V54,'CF_2'!V54,'CF_3'!V54,'CF_4'!V54)</x:f>
      </x:c>
      <x:c r="W28" s="120" t="n">
        <x:f>SUM('CF_1'!W54,'CF_2'!W54,'CF_3'!W54,'CF_4'!W54)</x:f>
      </x:c>
      <x:c r="X28" s="120" t="n">
        <x:f>SUM('CF_1'!X54,'CF_2'!X54,'CF_3'!X54,'CF_4'!X54)</x:f>
      </x:c>
      <x:c r="Y28" s="120" t="n">
        <x:f>SUM('CF_1'!Y54,'CF_2'!Y54,'CF_3'!Y54,'CF_4'!Y54)</x:f>
      </x:c>
      <x:c r="Z28" s="120" t="n">
        <x:f>SUM('CF_1'!Z54,'CF_2'!Z54,'CF_3'!Z54,'CF_4'!Z54)</x:f>
      </x:c>
      <x:c r="AA28" s="120" t="n">
        <x:f>SUM('CF_1'!AA54,'CF_2'!AA54,'CF_3'!AA54,'CF_4'!AA54)</x:f>
      </x:c>
      <x:c r="AB28" s="120" t="n">
        <x:f>SUM('CF_1'!AB54,'CF_2'!AB54,'CF_3'!AB54,'CF_4'!AB54)</x:f>
      </x:c>
      <x:c r="AC28" s="120" t="n">
        <x:f>SUM('CF_1'!AC54,'CF_2'!AC54,'CF_3'!AC54,'CF_4'!AC54)</x:f>
      </x:c>
      <x:c r="AD28" s="120" t="n">
        <x:f>SUM('CF_1'!AD54,'CF_2'!AD54,'CF_3'!AD54,'CF_4'!AD54)</x:f>
      </x:c>
      <x:c r="AE28" s="120" t="n">
        <x:f>SUM('CF_1'!AE54,'CF_2'!AE54,'CF_3'!AE54,'CF_4'!AE54)</x:f>
      </x:c>
      <x:c r="AF28" s="120" t="n">
        <x:f>SUM('CF_1'!AF54,'CF_2'!AF54,'CF_3'!AF54,'CF_4'!AF54)</x:f>
      </x:c>
      <x:c r="AG28" s="120" t="n">
        <x:f>SUM('CF_1'!AG54,'CF_2'!AG54,'CF_3'!AG54,'CF_4'!AG54)</x:f>
      </x:c>
      <x:c r="AH28" s="120" t="n">
        <x:f>SUM('CF_1'!AH54,'CF_2'!AH54,'CF_3'!AH54,'CF_4'!AH54)</x:f>
      </x:c>
      <x:c r="AI28" s="120" t="n">
        <x:f>SUM('CF_1'!AI54,'CF_2'!AI54,'CF_3'!AI54,'CF_4'!AI54)</x:f>
      </x:c>
      <x:c r="AJ28" s="120" t="n">
        <x:f>SUM('CF_1'!AJ54,'CF_2'!AJ54,'CF_3'!AJ54,'CF_4'!AJ54)</x:f>
      </x:c>
      <x:c r="AK28" s="120" t="n">
        <x:f>SUM('CF_1'!AK54,'CF_2'!AK54,'CF_3'!AK54,'CF_4'!AK54)</x:f>
      </x:c>
      <x:c r="AL28" s="120" t="n">
        <x:f>SUM('CF_1'!AL54,'CF_2'!AL54,'CF_3'!AL54,'CF_4'!AL54)</x:f>
      </x:c>
      <x:c r="AM28" s="120" t="n">
        <x:f>SUM('CF_1'!AM54,'CF_2'!AM54,'CF_3'!AM54,'CF_4'!AM54)</x:f>
      </x:c>
      <x:c r="AN28" s="120" t="n">
        <x:f>SUM('CF_1'!AN54,'CF_2'!AN54,'CF_3'!AN54,'CF_4'!AN54)</x:f>
      </x:c>
      <x:c r="AO28" s="120" t="n">
        <x:f>SUM('CF_1'!AO54,'CF_2'!AO54,'CF_3'!AO54,'CF_4'!AO54)</x:f>
      </x:c>
      <x:c r="AP28" s="120" t="n">
        <x:f>SUM('CF_1'!AP54,'CF_2'!AP54,'CF_3'!AP54,'CF_4'!AP54)</x:f>
      </x:c>
      <x:c r="AQ28" s="120" t="n">
        <x:f>SUM('CF_1'!AQ54,'CF_2'!AQ54,'CF_3'!AQ54,'CF_4'!AQ54)</x:f>
      </x:c>
      <x:c r="AR28" s="120" t="n">
        <x:f>SUM('CF_1'!AR54,'CF_2'!AR54,'CF_3'!AR54,'CF_4'!AR54)</x:f>
      </x:c>
      <x:c r="AS28" s="120" t="n">
        <x:f>SUM('CF_1'!AS54,'CF_2'!AS54,'CF_3'!AS54,'CF_4'!AS54)</x:f>
      </x:c>
      <x:c r="AT28" s="120" t="n">
        <x:f>SUM('CF_1'!AT54,'CF_2'!AT54,'CF_3'!AT54,'CF_4'!AT54)</x:f>
      </x:c>
      <x:c r="AU28" s="120" t="n">
        <x:f>SUM('CF_1'!AU54,'CF_2'!AU54,'CF_3'!AU54,'CF_4'!AU54)</x:f>
      </x:c>
      <x:c r="AV28" s="120" t="n">
        <x:f>SUM('CF_1'!AV54,'CF_2'!AV54,'CF_3'!AV54,'CF_4'!AV54)</x:f>
      </x:c>
      <x:c r="AW28" s="120" t="n">
        <x:f>SUM('CF_1'!AW54,'CF_2'!AW54,'CF_3'!AW54,'CF_4'!AW54)</x:f>
      </x:c>
      <x:c r="AX28" s="120" t="n">
        <x:f>SUM('CF_1'!AX54,'CF_2'!AX54,'CF_3'!AX54,'CF_4'!AX54)</x:f>
      </x:c>
      <x:c r="AY28" s="120" t="n">
        <x:f>SUM('CF_1'!AY54,'CF_2'!AY54,'CF_3'!AY54,'CF_4'!AY54)</x:f>
      </x:c>
      <x:c r="AZ28" s="120" t="n">
        <x:f>SUM('CF_1'!AZ54,'CF_2'!AZ54,'CF_3'!AZ54,'CF_4'!AZ54)</x:f>
      </x:c>
      <x:c r="BA28" s="120" t="n">
        <x:f>SUM('CF_1'!BA54,'CF_2'!BA54,'CF_3'!BA54,'CF_4'!BA54)</x:f>
      </x:c>
      <x:c r="BB28" s="120" t="n">
        <x:f>SUM('CF_1'!BB54,'CF_2'!BB54,'CF_3'!BB54,'CF_4'!BB54)</x:f>
      </x:c>
      <x:c r="BC28" s="120" t="n">
        <x:f>SUM('CF_1'!BC54,'CF_2'!BC54,'CF_3'!BC54,'CF_4'!BC54)</x:f>
      </x:c>
      <x:c r="BD28" s="120" t="n">
        <x:f>SUM('CF_1'!BD54,'CF_2'!BD54,'CF_3'!BD54,'CF_4'!BD54)</x:f>
      </x:c>
      <x:c r="BE28" s="120" t="n">
        <x:f>SUM('CF_1'!BE54,'CF_2'!BE54,'CF_3'!BE54,'CF_4'!BE54)</x:f>
      </x:c>
      <x:c r="BF28" s="120" t="n">
        <x:f>SUM('CF_1'!BF54,'CF_2'!BF54,'CF_3'!BF54,'CF_4'!BF54)</x:f>
      </x:c>
      <x:c r="BG28" s="120" t="n">
        <x:f>SUM('CF_1'!BG54,'CF_2'!BG54,'CF_3'!BG54,'CF_4'!BG54)</x:f>
      </x:c>
      <x:c r="BH28" s="120" t="n">
        <x:f>SUM('CF_1'!BH54,'CF_2'!BH54,'CF_3'!BH54,'CF_4'!BH54)</x:f>
      </x:c>
      <x:c r="BI28" s="120" t="n">
        <x:f>SUM('CF_1'!BI54,'CF_2'!BI54,'CF_3'!BI54,'CF_4'!BI54)</x:f>
      </x:c>
      <x:c r="BJ28" s="120" t="n">
        <x:f>SUM('CF_1'!BJ54,'CF_2'!BJ54,'CF_3'!BJ54,'CF_4'!BJ54)</x:f>
      </x:c>
      <x:c r="BK28" s="120" t="n">
        <x:f>SUM('CF_1'!BK54,'CF_2'!BK54,'CF_3'!BK54,'CF_4'!BK54)</x:f>
      </x:c>
      <x:c r="BL28" s="120" t="n">
        <x:f>SUM('CF_1'!BL54,'CF_2'!BL54,'CF_3'!BL54,'CF_4'!BL54)</x:f>
      </x:c>
      <x:c r="BM28" s="120" t="n">
        <x:f>SUM('CF_1'!BM54,'CF_2'!BM54,'CF_3'!BM54,'CF_4'!BM54)</x:f>
      </x:c>
      <x:c r="BN28" s="120" t="n">
        <x:f>SUM('CF_1'!BN54,'CF_2'!BN54,'CF_3'!BN54,'CF_4'!BN54)</x:f>
      </x:c>
      <x:c r="BO28" s="120" t="n">
        <x:f>SUM('CF_1'!BO54,'CF_2'!BO54,'CF_3'!BO54,'CF_4'!BO54)</x:f>
      </x:c>
      <x:c r="BP28" s="120" t="n">
        <x:f>SUM('CF_1'!BP54,'CF_2'!BP54,'CF_3'!BP54,'CF_4'!BP54)</x:f>
      </x:c>
      <x:c r="BQ28" s="120" t="n">
        <x:f>SUM('CF_1'!BQ54,'CF_2'!BQ54,'CF_3'!BQ54,'CF_4'!BQ54)</x:f>
      </x:c>
      <x:c r="BR28" s="120" t="n">
        <x:f>SUM('CF_1'!BR54,'CF_2'!BR54,'CF_3'!BR54,'CF_4'!BR54)</x:f>
      </x:c>
      <x:c r="BS28" s="120" t="n">
        <x:f>SUM('CF_1'!BS54,'CF_2'!BS54,'CF_3'!BS54,'CF_4'!BS54)</x:f>
      </x:c>
      <x:c r="BT28" s="120" t="n">
        <x:f>SUM('CF_1'!BT54,'CF_2'!BT54,'CF_3'!BT54,'CF_4'!BT54)</x:f>
      </x:c>
      <x:c r="BU28" s="120" t="n">
        <x:f>SUM('CF_1'!BU54,'CF_2'!BU54,'CF_3'!BU54,'CF_4'!BU54)</x:f>
      </x:c>
      <x:c r="BV28" s="120" t="n">
        <x:f>SUM('CF_1'!BV54,'CF_2'!BV54,'CF_3'!BV54,'CF_4'!BV54)</x:f>
      </x:c>
      <x:c r="BW28" s="120" t="n">
        <x:f>SUM('CF_1'!BW54,'CF_2'!BW54,'CF_3'!BW54,'CF_4'!BW54)</x:f>
      </x:c>
      <x:c r="BX28" s="120" t="n">
        <x:f>SUM('CF_1'!BX54,'CF_2'!BX54,'CF_3'!BX54,'CF_4'!BX54)</x:f>
      </x:c>
      <x:c r="BY28" s="120" t="n">
        <x:f>SUM('CF_1'!BY54,'CF_2'!BY54,'CF_3'!BY54,'CF_4'!BY54)</x:f>
      </x:c>
      <x:c r="BZ28" s="120" t="n">
        <x:f>SUM('CF_1'!BZ54,'CF_2'!BZ54,'CF_3'!BZ54,'CF_4'!BZ54)</x:f>
      </x:c>
      <x:c r="CA28" s="120" t="n">
        <x:f>SUM('CF_1'!CA54,'CF_2'!CA54,'CF_3'!CA54,'CF_4'!CA54)</x:f>
      </x:c>
      <x:c r="CB28" s="120" t="n">
        <x:f>SUM('CF_1'!CB54,'CF_2'!CB54,'CF_3'!CB54,'CF_4'!CB54)</x:f>
      </x:c>
      <x:c r="CC28" s="120" t="n">
        <x:f>SUM('CF_1'!CC54,'CF_2'!CC54,'CF_3'!CC54,'CF_4'!CC54)</x:f>
      </x:c>
      <x:c r="CD28" s="120" t="n">
        <x:f>SUM('CF_1'!CD54,'CF_2'!CD54,'CF_3'!CD54,'CF_4'!CD54)</x:f>
      </x:c>
      <x:c r="CE28" s="120" t="n">
        <x:f>SUM('CF_1'!CE54,'CF_2'!CE54,'CF_3'!CE54,'CF_4'!CE54)</x:f>
      </x:c>
      <x:c r="CF28" s="120" t="n">
        <x:f>SUM('CF_1'!CF54,'CF_2'!CF54,'CF_3'!CF54,'CF_4'!CF54)</x:f>
      </x:c>
      <x:c r="CG28" s="120" t="n">
        <x:f>SUM('CF_1'!CG54,'CF_2'!CG54,'CF_3'!CG54,'CF_4'!CG54)</x:f>
      </x:c>
      <x:c r="CH28" s="120" t="n">
        <x:f>SUM('CF_1'!CH54,'CF_2'!CH54,'CF_3'!CH54,'CF_4'!CH54)</x:f>
      </x:c>
      <x:c r="CI28" s="120" t="n">
        <x:f>SUM('CF_1'!CI54,'CF_2'!CI54,'CF_3'!CI54,'CF_4'!CI54)</x:f>
      </x:c>
      <x:c r="CJ28" s="120" t="n">
        <x:f>SUM('CF_1'!CJ54,'CF_2'!CJ54,'CF_3'!CJ54,'CF_4'!CJ54)</x:f>
      </x:c>
      <x:c r="CK28" s="120" t="n">
        <x:f>SUM('CF_1'!CK54,'CF_2'!CK54,'CF_3'!CK54,'CF_4'!CK54)</x:f>
      </x:c>
      <x:c r="CL28" s="120" t="n">
        <x:f>SUM('CF_1'!CL54,'CF_2'!CL54,'CF_3'!CL54,'CF_4'!CL54)</x:f>
      </x:c>
      <x:c r="CM28" s="120" t="n">
        <x:f>SUM('CF_1'!CM54,'CF_2'!CM54,'CF_3'!CM54,'CF_4'!CM54)</x:f>
      </x:c>
      <x:c r="CN28" s="120" t="n">
        <x:f>SUM('CF_1'!CN54,'CF_2'!CN54,'CF_3'!CN54,'CF_4'!CN54)</x:f>
      </x:c>
      <x:c r="CO28" s="120" t="n">
        <x:f>SUM('CF_1'!CO54,'CF_2'!CO54,'CF_3'!CO54,'CF_4'!CO54)</x:f>
      </x:c>
      <x:c r="CP28" s="120" t="n">
        <x:f>SUM('CF_1'!CP54,'CF_2'!CP54,'CF_3'!CP54,'CF_4'!CP54)</x:f>
      </x:c>
      <x:c r="CQ28" s="120" t="n">
        <x:f>SUM('CF_1'!CQ54,'CF_2'!CQ54,'CF_3'!CQ54,'CF_4'!CQ54)</x:f>
      </x:c>
      <x:c r="CR28" s="120" t="n">
        <x:f>SUM('CF_1'!CR54,'CF_2'!CR54,'CF_3'!CR54,'CF_4'!CR54)</x:f>
      </x:c>
      <x:c r="CS28" s="120" t="n">
        <x:f>SUM('CF_1'!CS54,'CF_2'!CS54,'CF_3'!CS54,'CF_4'!CS54)</x:f>
      </x:c>
      <x:c r="CT28" s="120" t="n">
        <x:f>SUM('CF_1'!CT54,'CF_2'!CT54,'CF_3'!CT54,'CF_4'!CT54)</x:f>
      </x:c>
      <x:c r="CU28" s="120" t="n">
        <x:f>SUM('CF_1'!CU54,'CF_2'!CU54,'CF_3'!CU54,'CF_4'!CU54)</x:f>
      </x:c>
      <x:c r="CV28" s="120" t="n">
        <x:f>SUM('CF_1'!CV54,'CF_2'!CV54,'CF_3'!CV54,'CF_4'!CV54)</x:f>
      </x:c>
      <x:c r="CW28" s="120" t="n">
        <x:f>SUM('CF_1'!CW54,'CF_2'!CW54,'CF_3'!CW54,'CF_4'!CW54)</x:f>
      </x:c>
      <x:c r="CX28" s="120" t="n">
        <x:f>SUM('CF_1'!CX54,'CF_2'!CX54,'CF_3'!CX54,'CF_4'!CX54)</x:f>
      </x:c>
      <x:c r="CY28" s="120" t="n">
        <x:f>SUM('CF_1'!CY54,'CF_2'!CY54,'CF_3'!CY54,'CF_4'!CY54)</x:f>
      </x:c>
      <x:c r="CZ28" s="120" t="n">
        <x:f>SUM('CF_1'!CZ54,'CF_2'!CZ54,'CF_3'!CZ54,'CF_4'!CZ54)</x:f>
      </x:c>
      <x:c r="DA28" s="120" t="n">
        <x:f>SUM('CF_1'!DA54,'CF_2'!DA54,'CF_3'!DA54,'CF_4'!DA54)</x:f>
      </x:c>
      <x:c r="DB28" s="120" t="n">
        <x:f>SUM('CF_1'!DB54,'CF_2'!DB54,'CF_3'!DB54,'CF_4'!DB54)</x:f>
      </x:c>
      <x:c r="DC28" s="120" t="n">
        <x:f>SUM('CF_1'!DC54,'CF_2'!DC54,'CF_3'!DC54,'CF_4'!DC54)</x:f>
      </x:c>
      <x:c r="DD28" s="120" t="n">
        <x:f>SUM('CF_1'!DD54,'CF_2'!DD54,'CF_3'!DD54,'CF_4'!DD54)</x:f>
      </x:c>
      <x:c r="DE28" s="120" t="n">
        <x:f>SUM('CF_1'!DE54,'CF_2'!DE54,'CF_3'!DE54,'CF_4'!DE54)</x:f>
      </x:c>
      <x:c r="DF28" s="120" t="n">
        <x:f>SUM('CF_1'!DF54,'CF_2'!DF54,'CF_3'!DF54,'CF_4'!DF54)</x:f>
      </x:c>
      <x:c r="DG28" s="120" t="n">
        <x:f>SUM('CF_1'!DG54,'CF_2'!DG54,'CF_3'!DG54,'CF_4'!DG54)</x:f>
      </x:c>
      <x:c r="DH28" s="120" t="n">
        <x:f>SUM('CF_1'!DH54,'CF_2'!DH54,'CF_3'!DH54,'CF_4'!DH54)</x:f>
      </x:c>
      <x:c r="DI28" s="120" t="n">
        <x:f>SUM('CF_1'!DI54,'CF_2'!DI54,'CF_3'!DI54,'CF_4'!DI54)</x:f>
      </x:c>
      <x:c r="DJ28" s="120" t="n">
        <x:f>SUM('CF_1'!DJ54,'CF_2'!DJ54,'CF_3'!DJ54,'CF_4'!DJ54)</x:f>
      </x:c>
      <x:c r="DK28" s="120" t="n">
        <x:f>SUM('CF_1'!DK54,'CF_2'!DK54,'CF_3'!DK54,'CF_4'!DK54)</x:f>
      </x:c>
      <x:c r="DL28" s="120" t="n">
        <x:f>SUM('CF_1'!DL54,'CF_2'!DL54,'CF_3'!DL54,'CF_4'!DL54)</x:f>
      </x:c>
      <x:c r="DM28" s="120" t="n">
        <x:f>SUM('CF_1'!DM54,'CF_2'!DM54,'CF_3'!DM54,'CF_4'!DM54)</x:f>
      </x:c>
      <x:c r="DN28" s="120" t="n">
        <x:f>SUM('CF_1'!DN54,'CF_2'!DN54,'CF_3'!DN54,'CF_4'!DN54)</x:f>
      </x:c>
      <x:c r="DO28" s="120" t="n">
        <x:f>SUM('CF_1'!DO54,'CF_2'!DO54,'CF_3'!DO54,'CF_4'!DO54)</x:f>
      </x:c>
      <x:c r="DP28" s="120" t="n">
        <x:f>SUM('CF_1'!DP54,'CF_2'!DP54,'CF_3'!DP54,'CF_4'!DP54)</x:f>
      </x:c>
      <x:c r="DQ28" s="120" t="n">
        <x:f>SUM('CF_1'!DQ54,'CF_2'!DQ54,'CF_3'!DQ54,'CF_4'!DQ54)</x:f>
      </x:c>
      <x:c r="DR28" s="120" t="n">
        <x:f>SUM('CF_1'!DR54,'CF_2'!DR54,'CF_3'!DR54,'CF_4'!DR54)</x:f>
      </x:c>
      <x:c r="DS28" s="120" t="n">
        <x:f>SUM('CF_1'!DS54,'CF_2'!DS54,'CF_3'!DS54,'CF_4'!DS54)</x:f>
      </x:c>
    </x:row>
    <x:row r="29">
      <x:c r="A29" t="inlineStr">
        <x:is>
          <x:t/>
        </x:is>
      </x:c>
      <x:c r="B29"/>
      <x:c r="C29" t="str">
        <x:v>млн ₽</x:v>
      </x:c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inlineStr">
        <x:is>
          <x:t>LLCR проекта (за весь срок, методика DevelopAid)</x:t>
        </x:is>
      </x:c>
      <x:c r="B30" s="126" t="n">
        <x:f>IFERROR((SUM(D6:DS6)-SUM(D11:DS11)-SUM(D12:DS12)-SUM(D14:DS14)+SUM('CF_1'!D45:DS45,'CF_2'!D45:DS45,'CF_3'!D45:DS45,'CF_4'!D45:DS45))/(SUM('CF_1'!D45:DS45,'CF_2'!D45:DS45,'CF_3'!D45:DS45,'CF_4'!D45:DS45)+SUM(D20:DS20)+SUM(D21:DS21)),0)</x:f>
      </x:c>
      <x:c r="C30" s="126" t="str">
        <x:v>×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5"/>
      <x:c r="X30" s="125"/>
      <x:c r="Y30" s="125"/>
      <x:c r="Z30" s="125"/>
      <x:c r="AA30" s="125"/>
      <x:c r="AB30" s="125"/>
      <x:c r="AC30" s="125"/>
      <x:c r="AD30" s="125"/>
      <x:c r="AE30" s="125"/>
      <x:c r="AF30" s="125"/>
      <x:c r="AG30" s="125"/>
      <x:c r="AH30" s="125"/>
      <x:c r="AI30" s="125"/>
      <x:c r="AJ30" s="125"/>
      <x:c r="AK30" s="125"/>
      <x:c r="AL30" s="125"/>
      <x:c r="AM30" s="125"/>
      <x:c r="AN30" s="125"/>
      <x:c r="AO30" s="125"/>
      <x:c r="AP30" s="125"/>
      <x:c r="AQ30" s="125"/>
      <x:c r="AR30" s="125"/>
      <x:c r="AS30" s="125"/>
      <x:c r="AT30" s="125"/>
      <x:c r="AU30" s="125"/>
      <x:c r="AV30" s="125"/>
      <x:c r="AW30" s="125"/>
      <x:c r="AX30" s="125"/>
      <x:c r="AY30" s="125"/>
      <x:c r="AZ30" s="125"/>
      <x:c r="BA30" s="125"/>
      <x:c r="BB30" s="125"/>
      <x:c r="BC30" s="125"/>
      <x:c r="BD30" s="125"/>
      <x:c r="BE30" s="125"/>
      <x:c r="BF30" s="125"/>
      <x:c r="BG30" s="125"/>
      <x:c r="BH30" s="125"/>
      <x:c r="BI30" s="125"/>
      <x:c r="BJ30" s="125"/>
      <x:c r="BK30" s="125"/>
      <x:c r="BL30" s="125"/>
      <x:c r="BM30" s="125"/>
      <x:c r="BN30" s="125"/>
      <x:c r="BO30" s="125"/>
      <x:c r="BP30" s="125"/>
      <x:c r="BQ30" s="125"/>
      <x:c r="BR30" s="125"/>
      <x:c r="BS30" s="125"/>
      <x:c r="BT30" s="125"/>
      <x:c r="BU30" s="125"/>
      <x:c r="BV30" s="125"/>
      <x:c r="BW30" s="125"/>
      <x:c r="BX30" s="125"/>
      <x:c r="BY30" s="125"/>
      <x:c r="BZ30" s="125"/>
      <x:c r="CA30" s="125"/>
      <x:c r="CB30" s="125"/>
      <x:c r="CC30" s="125"/>
      <x:c r="CD30" s="125"/>
      <x:c r="CE30" s="125"/>
      <x:c r="CF30" s="125"/>
      <x:c r="CG30" s="125"/>
      <x:c r="CH30" s="125"/>
      <x:c r="CI30" s="125"/>
      <x:c r="CJ30" s="125"/>
      <x:c r="CK30" s="125"/>
      <x:c r="CL30" s="125"/>
      <x:c r="CM30" s="125"/>
      <x:c r="CN30" s="125"/>
      <x:c r="CO30" s="125"/>
      <x:c r="CP30" s="125"/>
      <x:c r="CQ30" s="125"/>
      <x:c r="CR30" s="125"/>
      <x:c r="CS30" s="125"/>
      <x:c r="CT30" s="125"/>
      <x:c r="CU30" s="125"/>
      <x:c r="CV30" s="125"/>
      <x:c r="CW30" s="125"/>
      <x:c r="CX30" s="125"/>
      <x:c r="CY30" s="125"/>
      <x:c r="CZ30" s="125"/>
      <x:c r="DA30" s="125"/>
      <x:c r="DB30" s="125"/>
      <x:c r="DC30" s="125"/>
      <x:c r="DD30" s="125"/>
      <x:c r="DE30" s="125"/>
      <x:c r="DF30" s="125"/>
      <x:c r="DG30" s="125"/>
      <x:c r="DH30" s="125"/>
      <x:c r="DI30" s="125"/>
      <x:c r="DJ30" s="125"/>
      <x:c r="DK30" s="125"/>
      <x:c r="DL30" s="125"/>
      <x:c r="DM30" s="125"/>
      <x:c r="DN30" s="125"/>
      <x:c r="DO30" s="125"/>
      <x:c r="DP30" s="125"/>
      <x:c r="DQ30" s="125"/>
      <x:c r="DR30" s="125"/>
      <x:c r="DS30" s="125"/>
    </x:row>
  </x:sheetData>
  <x:mergeCells>
    <x:mergeCell ref="A1:DS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КРЕДИТЫ · БРИДЖ, ПРОЕКТНОЕ ФИНАНСИРОВАНИЕ И ЭСКРОУ</x:v>
      </x:c>
      <x:c r="B1" s="4" t="str">
        <x:v>КРЕДИТЫ · БРИДЖ, ПРОЕКТНОЕ ФИНАНСИРОВАНИЕ И ЭСКРОУ</x:v>
      </x:c>
      <x:c r="C1" s="4" t="str">
        <x:v>КРЕДИТЫ · БРИДЖ, ПРОЕКТНОЕ ФИНАНСИРОВАНИЕ И ЭСКРОУ</x:v>
      </x:c>
      <x:c r="D1" s="4" t="str">
        <x:v>КРЕДИТЫ · БРИДЖ, ПРОЕКТНОЕ ФИНАНСИРОВАНИЕ И ЭСКРОУ</x:v>
      </x:c>
      <x:c r="E1" s="4" t="str">
        <x:v>КРЕДИТЫ · БРИДЖ, ПРОЕКТНОЕ ФИНАНСИРОВАНИЕ И ЭСКРОУ</x:v>
      </x:c>
      <x:c r="F1" s="4" t="str">
        <x:v>КРЕДИТЫ · БРИДЖ, ПРОЕКТНОЕ ФИНАНСИРОВАНИЕ И ЭСКРОУ</x:v>
      </x:c>
      <x:c r="G1" s="4" t="str">
        <x:v>КРЕДИТЫ · БРИДЖ, ПРОЕКТНОЕ ФИНАНСИРОВАНИЕ И ЭСКРОУ</x:v>
      </x:c>
      <x:c r="H1" s="4" t="str">
        <x:v>КРЕДИТЫ · БРИДЖ, ПРОЕКТНОЕ ФИНАНСИРОВАНИЕ И ЭСКРОУ</x:v>
      </x:c>
      <x:c r="I1" s="4" t="str">
        <x:v>КРЕДИТЫ · БРИДЖ, ПРОЕКТНОЕ ФИНАНСИРОВАНИЕ И ЭСКРОУ</x:v>
      </x:c>
      <x:c r="J1" s="4" t="str">
        <x:v>КРЕДИТЫ · БРИДЖ, ПРОЕКТНОЕ ФИНАНСИРОВАНИЕ И ЭСКРОУ</x:v>
      </x:c>
      <x:c r="K1" s="4" t="str">
        <x:v>КРЕДИТЫ · БРИДЖ, ПРОЕКТНОЕ ФИНАНСИРОВАНИЕ И ЭСКРОУ</x:v>
      </x:c>
      <x:c r="L1" s="4" t="str">
        <x:v>КРЕДИТЫ · БРИДЖ, ПРОЕКТНОЕ ФИНАНСИРОВАНИЕ И ЭСКРОУ</x:v>
      </x:c>
      <x:c r="M1" s="4" t="str">
        <x:v>КРЕДИТЫ · БРИДЖ, ПРОЕКТНОЕ ФИНАНСИРОВАНИЕ И ЭСКРОУ</x:v>
      </x:c>
      <x:c r="N1" s="4" t="str">
        <x:v>КРЕДИТЫ · БРИДЖ, ПРОЕКТНОЕ ФИНАНСИРОВАНИЕ И ЭСКРОУ</x:v>
      </x:c>
      <x:c r="O1" s="4" t="str">
        <x:v>КРЕДИТЫ · БРИДЖ, ПРОЕКТНОЕ ФИНАНСИРОВАНИЕ И ЭСКРОУ</x:v>
      </x:c>
      <x:c r="P1" s="4" t="str">
        <x:v>КРЕДИТЫ · БРИДЖ, ПРОЕКТНОЕ ФИНАНСИРОВАНИЕ И ЭСКРОУ</x:v>
      </x:c>
      <x:c r="Q1" s="4" t="str">
        <x:v>КРЕДИТЫ · БРИДЖ, ПРОЕКТНОЕ ФИНАНСИРОВАНИЕ И ЭСКРОУ</x:v>
      </x:c>
      <x:c r="R1" s="4" t="str">
        <x:v>КРЕДИТЫ · БРИДЖ, ПРОЕКТНОЕ ФИНАНСИРОВАНИЕ И ЭСКРОУ</x:v>
      </x:c>
      <x:c r="S1" s="4" t="str">
        <x:v>КРЕДИТЫ · БРИДЖ, ПРОЕКТНОЕ ФИНАНСИРОВАНИЕ И ЭСКРОУ</x:v>
      </x:c>
      <x:c r="T1" s="4" t="str">
        <x:v>КРЕДИТЫ · БРИДЖ, ПРОЕКТНОЕ ФИНАНСИРОВАНИЕ И ЭСКРОУ</x:v>
      </x:c>
      <x:c r="U1" s="4" t="str">
        <x:v>КРЕДИТЫ · БРИДЖ, ПРОЕКТНОЕ ФИНАНСИРОВАНИЕ И ЭСКРОУ</x:v>
      </x:c>
      <x:c r="V1" s="4" t="str">
        <x:v>КРЕДИТЫ · БРИДЖ, ПРОЕКТНОЕ ФИНАНСИРОВАНИЕ И ЭСКРОУ</x:v>
      </x:c>
      <x:c r="W1" s="4" t="str">
        <x:v>КРЕДИТЫ · БРИДЖ, ПРОЕКТНОЕ ФИНАНСИРОВАНИЕ И ЭСКРОУ</x:v>
      </x:c>
      <x:c r="X1" s="4" t="str">
        <x:v>КРЕДИТЫ · БРИДЖ, ПРОЕКТНОЕ ФИНАНСИРОВАНИЕ И ЭСКРОУ</x:v>
      </x:c>
      <x:c r="Y1" s="4" t="str">
        <x:v>КРЕДИТЫ · БРИДЖ, ПРОЕКТНОЕ ФИНАНСИРОВАНИЕ И ЭСКРОУ</x:v>
      </x:c>
      <x:c r="Z1" s="4" t="str">
        <x:v>КРЕДИТЫ · БРИДЖ, ПРОЕКТНОЕ ФИНАНСИРОВАНИЕ И ЭСКРОУ</x:v>
      </x:c>
      <x:c r="AA1" s="4" t="str">
        <x:v>КРЕДИТЫ · БРИДЖ, ПРОЕКТНОЕ ФИНАНСИРОВАНИЕ И ЭСКРОУ</x:v>
      </x:c>
      <x:c r="AB1" s="4" t="str">
        <x:v>КРЕДИТЫ · БРИДЖ, ПРОЕКТНОЕ ФИНАНСИРОВАНИЕ И ЭСКРОУ</x:v>
      </x:c>
      <x:c r="AC1" s="4" t="str">
        <x:v>КРЕДИТЫ · БРИДЖ, ПРОЕКТНОЕ ФИНАНСИРОВАНИЕ И ЭСКРОУ</x:v>
      </x:c>
      <x:c r="AD1" s="4" t="str">
        <x:v>КРЕДИТЫ · БРИДЖ, ПРОЕКТНОЕ ФИНАНСИРОВАНИЕ И ЭСКРОУ</x:v>
      </x:c>
      <x:c r="AE1" s="4" t="str">
        <x:v>КРЕДИТЫ · БРИДЖ, ПРОЕКТНОЕ ФИНАНСИРОВАНИЕ И ЭСКРОУ</x:v>
      </x:c>
      <x:c r="AF1" s="4" t="str">
        <x:v>КРЕДИТЫ · БРИДЖ, ПРОЕКТНОЕ ФИНАНСИРОВАНИЕ И ЭСКРОУ</x:v>
      </x:c>
      <x:c r="AG1" s="4" t="str">
        <x:v>КРЕДИТЫ · БРИДЖ, ПРОЕКТНОЕ ФИНАНСИРОВАНИЕ И ЭСКРОУ</x:v>
      </x:c>
      <x:c r="AH1" s="4" t="str">
        <x:v>КРЕДИТЫ · БРИДЖ, ПРОЕКТНОЕ ФИНАНСИРОВАНИЕ И ЭСКРОУ</x:v>
      </x:c>
      <x:c r="AI1" s="4" t="str">
        <x:v>КРЕДИТЫ · БРИДЖ, ПРОЕКТНОЕ ФИНАНСИРОВАНИЕ И ЭСКРОУ</x:v>
      </x:c>
      <x:c r="AJ1" s="4" t="str">
        <x:v>КРЕДИТЫ · БРИДЖ, ПРОЕКТНОЕ ФИНАНСИРОВАНИЕ И ЭСКРОУ</x:v>
      </x:c>
      <x:c r="AK1" s="4" t="str">
        <x:v>КРЕДИТЫ · БРИДЖ, ПРОЕКТНОЕ ФИНАНСИРОВАНИЕ И ЭСКРОУ</x:v>
      </x:c>
      <x:c r="AL1" s="4" t="str">
        <x:v>КРЕДИТЫ · БРИДЖ, ПРОЕКТНОЕ ФИНАНСИРОВАНИЕ И ЭСКРОУ</x:v>
      </x:c>
      <x:c r="AM1" s="4" t="str">
        <x:v>КРЕДИТЫ · БРИДЖ, ПРОЕКТНОЕ ФИНАНСИРОВАНИЕ И ЭСКРОУ</x:v>
      </x:c>
      <x:c r="AN1" s="4" t="str">
        <x:v>КРЕДИТЫ · БРИДЖ, ПРОЕКТНОЕ ФИНАНСИРОВАНИЕ И ЭСКРОУ</x:v>
      </x:c>
      <x:c r="AO1" s="4" t="str">
        <x:v>КРЕДИТЫ · БРИДЖ, ПРОЕКТНОЕ ФИНАНСИРОВАНИЕ И ЭСКРОУ</x:v>
      </x:c>
      <x:c r="AP1" s="4" t="str">
        <x:v>КРЕДИТЫ · БРИДЖ, ПРОЕКТНОЕ ФИНАНСИРОВАНИЕ И ЭСКРОУ</x:v>
      </x:c>
      <x:c r="AQ1" s="4" t="str">
        <x:v>КРЕДИТЫ · БРИДЖ, ПРОЕКТНОЕ ФИНАНСИРОВАНИЕ И ЭСКРОУ</x:v>
      </x:c>
      <x:c r="AR1" s="4" t="str">
        <x:v>КРЕДИТЫ · БРИДЖ, ПРОЕКТНОЕ ФИНАНСИРОВАНИЕ И ЭСКРОУ</x:v>
      </x:c>
      <x:c r="AS1" s="4" t="str">
        <x:v>КРЕДИТЫ · БРИДЖ, ПРОЕКТНОЕ ФИНАНСИРОВАНИЕ И ЭСКРОУ</x:v>
      </x:c>
      <x:c r="AT1" s="4" t="str">
        <x:v>КРЕДИТЫ · БРИДЖ, ПРОЕКТНОЕ ФИНАНСИРОВАНИЕ И ЭСКРОУ</x:v>
      </x:c>
      <x:c r="AU1" s="4" t="str">
        <x:v>КРЕДИТЫ · БРИДЖ, ПРОЕКТНОЕ ФИНАНСИРОВАНИЕ И ЭСКРОУ</x:v>
      </x:c>
      <x:c r="AV1" s="4" t="str">
        <x:v>КРЕДИТЫ · БРИДЖ, ПРОЕКТНОЕ ФИНАНСИРОВАНИЕ И ЭСКРОУ</x:v>
      </x:c>
      <x:c r="AW1" s="4" t="str">
        <x:v>КРЕДИТЫ · БРИДЖ, ПРОЕКТНОЕ ФИНАНСИРОВАНИЕ И ЭСКРОУ</x:v>
      </x:c>
      <x:c r="AX1" s="4" t="str">
        <x:v>КРЕДИТЫ · БРИДЖ, ПРОЕКТНОЕ ФИНАНСИРОВАНИЕ И ЭСКРОУ</x:v>
      </x:c>
      <x:c r="AY1" s="4" t="str">
        <x:v>КРЕДИТЫ · БРИДЖ, ПРОЕКТНОЕ ФИНАНСИРОВАНИЕ И ЭСКРОУ</x:v>
      </x:c>
      <x:c r="AZ1" s="4" t="str">
        <x:v>КРЕДИТЫ · БРИДЖ, ПРОЕКТНОЕ ФИНАНСИРОВАНИЕ И ЭСКРОУ</x:v>
      </x:c>
      <x:c r="BA1" s="4" t="str">
        <x:v>КРЕДИТЫ · БРИДЖ, ПРОЕКТНОЕ ФИНАНСИРОВАНИЕ И ЭСКРОУ</x:v>
      </x:c>
      <x:c r="BB1" s="4" t="str">
        <x:v>КРЕДИТЫ · БРИДЖ, ПРОЕКТНОЕ ФИНАНСИРОВАНИЕ И ЭСКРОУ</x:v>
      </x:c>
      <x:c r="BC1" s="4" t="str">
        <x:v>КРЕДИТЫ · БРИДЖ, ПРОЕКТНОЕ ФИНАНСИРОВАНИЕ И ЭСКРОУ</x:v>
      </x:c>
      <x:c r="BD1" s="4" t="str">
        <x:v>КРЕДИТЫ · БРИДЖ, ПРОЕКТНОЕ ФИНАНСИРОВАНИЕ И ЭСКРОУ</x:v>
      </x:c>
      <x:c r="BE1" s="4" t="str">
        <x:v>КРЕДИТЫ · БРИДЖ, ПРОЕКТНОЕ ФИНАНСИРОВАНИЕ И ЭСКРОУ</x:v>
      </x:c>
      <x:c r="BF1" s="4" t="str">
        <x:v>КРЕДИТЫ · БРИДЖ, ПРОЕКТНОЕ ФИНАНСИРОВАНИЕ И ЭСКРОУ</x:v>
      </x:c>
      <x:c r="BG1" s="4" t="str">
        <x:v>КРЕДИТЫ · БРИДЖ, ПРОЕКТНОЕ ФИНАНСИРОВАНИЕ И ЭСКРОУ</x:v>
      </x:c>
      <x:c r="BH1" s="4" t="str">
        <x:v>КРЕДИТЫ · БРИДЖ, ПРОЕКТНОЕ ФИНАНСИРОВАНИЕ И ЭСКРОУ</x:v>
      </x:c>
      <x:c r="BI1" s="4" t="str">
        <x:v>КРЕДИТЫ · БРИДЖ, ПРОЕКТНОЕ ФИНАНСИРОВАНИЕ И ЭСКРОУ</x:v>
      </x:c>
      <x:c r="BJ1" s="4" t="str">
        <x:v>КРЕДИТЫ · БРИДЖ, ПРОЕКТНОЕ ФИНАНСИРОВАНИЕ И ЭСКРОУ</x:v>
      </x:c>
      <x:c r="BK1" s="4" t="str">
        <x:v>КРЕДИТЫ · БРИДЖ, ПРОЕКТНОЕ ФИНАНСИРОВАНИЕ И ЭСКРОУ</x:v>
      </x:c>
      <x:c r="BL1" s="4" t="str">
        <x:v>КРЕДИТЫ · БРИДЖ, ПРОЕКТНОЕ ФИНАНСИРОВАНИЕ И ЭСКРОУ</x:v>
      </x:c>
      <x:c r="BM1" s="4" t="str">
        <x:v>КРЕДИТЫ · БРИДЖ, ПРОЕКТНОЕ ФИНАНСИРОВАНИЕ И ЭСКРОУ</x:v>
      </x:c>
      <x:c r="BN1" s="4" t="str">
        <x:v>КРЕДИТЫ · БРИДЖ, ПРОЕКТНОЕ ФИНАНСИРОВАНИЕ И ЭСКРОУ</x:v>
      </x:c>
      <x:c r="BO1" s="4" t="str">
        <x:v>КРЕДИТЫ · БРИДЖ, ПРОЕКТНОЕ ФИНАНСИРОВАНИЕ И ЭСКРОУ</x:v>
      </x:c>
      <x:c r="BP1" s="4" t="str">
        <x:v>КРЕДИТЫ · БРИДЖ, ПРОЕКТНОЕ ФИНАНСИРОВАНИЕ И ЭСКРОУ</x:v>
      </x:c>
      <x:c r="BQ1" s="4" t="str">
        <x:v>КРЕДИТЫ · БРИДЖ, ПРОЕКТНОЕ ФИНАНСИРОВАНИЕ И ЭСКРОУ</x:v>
      </x:c>
      <x:c r="BR1" s="4" t="str">
        <x:v>КРЕДИТЫ · БРИДЖ, ПРОЕКТНОЕ ФИНАНСИРОВАНИЕ И ЭСКРОУ</x:v>
      </x:c>
      <x:c r="BS1" s="4" t="str">
        <x:v>КРЕДИТЫ · БРИДЖ, ПРОЕКТНОЕ ФИНАНСИРОВАНИЕ И ЭСКРОУ</x:v>
      </x:c>
      <x:c r="BT1" s="4" t="str">
        <x:v>КРЕДИТЫ · БРИДЖ, ПРОЕКТНОЕ ФИНАНСИРОВАНИЕ И ЭСКРОУ</x:v>
      </x:c>
      <x:c r="BU1" s="4" t="str">
        <x:v>КРЕДИТЫ · БРИДЖ, ПРОЕКТНОЕ ФИНАНСИРОВАНИЕ И ЭСКРОУ</x:v>
      </x:c>
      <x:c r="BV1" s="4" t="str">
        <x:v>КРЕДИТЫ · БРИДЖ, ПРОЕКТНОЕ ФИНАНСИРОВАНИЕ И ЭСКРОУ</x:v>
      </x:c>
      <x:c r="BW1" s="4" t="str">
        <x:v>КРЕДИТЫ · БРИДЖ, ПРОЕКТНОЕ ФИНАНСИРОВАНИЕ И ЭСКРОУ</x:v>
      </x:c>
      <x:c r="BX1" s="4" t="str">
        <x:v>КРЕДИТЫ · БРИДЖ, ПРОЕКТНОЕ ФИНАНСИРОВАНИЕ И ЭСКРОУ</x:v>
      </x:c>
      <x:c r="BY1" s="4" t="str">
        <x:v>КРЕДИТЫ · БРИДЖ, ПРОЕКТНОЕ ФИНАНСИРОВАНИЕ И ЭСКРОУ</x:v>
      </x:c>
      <x:c r="BZ1" s="4" t="str">
        <x:v>КРЕДИТЫ · БРИДЖ, ПРОЕКТНОЕ ФИНАНСИРОВАНИЕ И ЭСКРОУ</x:v>
      </x:c>
      <x:c r="CA1" s="4" t="str">
        <x:v>КРЕДИТЫ · БРИДЖ, ПРОЕКТНОЕ ФИНАНСИРОВАНИЕ И ЭСКРОУ</x:v>
      </x:c>
      <x:c r="CB1" s="4" t="str">
        <x:v>КРЕДИТЫ · БРИДЖ, ПРОЕКТНОЕ ФИНАНСИРОВАНИЕ И ЭСКРОУ</x:v>
      </x:c>
      <x:c r="CC1" s="4" t="str">
        <x:v>КРЕДИТЫ · БРИДЖ, ПРОЕКТНОЕ ФИНАНСИРОВАНИЕ И ЭСКРОУ</x:v>
      </x:c>
      <x:c r="CD1" s="4" t="str">
        <x:v>КРЕДИТЫ · БРИДЖ, ПРОЕКТНОЕ ФИНАНСИРОВАНИЕ И ЭСКРОУ</x:v>
      </x:c>
      <x:c r="CE1" s="4" t="str">
        <x:v>КРЕДИТЫ · БРИДЖ, ПРОЕКТНОЕ ФИНАНСИРОВАНИЕ И ЭСКРОУ</x:v>
      </x:c>
      <x:c r="CF1" s="4" t="str">
        <x:v>КРЕДИТЫ · БРИДЖ, ПРОЕКТНОЕ ФИНАНСИРОВАНИЕ И ЭСКРОУ</x:v>
      </x:c>
      <x:c r="CG1" s="4" t="str">
        <x:v>КРЕДИТЫ · БРИДЖ, ПРОЕКТНОЕ ФИНАНСИРОВАНИЕ И ЭСКРОУ</x:v>
      </x:c>
      <x:c r="CH1" s="4" t="str">
        <x:v>КРЕДИТЫ · БРИДЖ, ПРОЕКТНОЕ ФИНАНСИРОВАНИЕ И ЭСКРОУ</x:v>
      </x:c>
      <x:c r="CI1" s="4" t="str">
        <x:v>КРЕДИТЫ · БРИДЖ, ПРОЕКТНОЕ ФИНАНСИРОВАНИЕ И ЭСКРОУ</x:v>
      </x:c>
      <x:c r="CJ1" s="4" t="str">
        <x:v>КРЕДИТЫ · БРИДЖ, ПРОЕКТНОЕ ФИНАНСИРОВАНИЕ И ЭСКРОУ</x:v>
      </x:c>
      <x:c r="CK1" s="4" t="str">
        <x:v>КРЕДИТЫ · БРИДЖ, ПРОЕКТНОЕ ФИНАНСИРОВАНИЕ И ЭСКРОУ</x:v>
      </x:c>
      <x:c r="CL1" s="4" t="str">
        <x:v>КРЕДИТЫ · БРИДЖ, ПРОЕКТНОЕ ФИНАНСИРОВАНИЕ И ЭСКРОУ</x:v>
      </x:c>
      <x:c r="CM1" s="4" t="str">
        <x:v>КРЕДИТЫ · БРИДЖ, ПРОЕКТНОЕ ФИНАНСИРОВАНИЕ И ЭСКРОУ</x:v>
      </x:c>
      <x:c r="CN1" s="4" t="str">
        <x:v>КРЕДИТЫ · БРИДЖ, ПРОЕКТНОЕ ФИНАНСИРОВАНИЕ И ЭСКРОУ</x:v>
      </x:c>
      <x:c r="CO1" s="4" t="str">
        <x:v>КРЕДИТЫ · БРИДЖ, ПРОЕКТНОЕ ФИНАНСИРОВАНИЕ И ЭСКРОУ</x:v>
      </x:c>
      <x:c r="CP1" s="4" t="str">
        <x:v>КРЕДИТЫ · БРИДЖ, ПРОЕКТНОЕ ФИНАНСИРОВАНИЕ И ЭСКРОУ</x:v>
      </x:c>
      <x:c r="CQ1" s="4" t="str">
        <x:v>КРЕДИТЫ · БРИДЖ, ПРОЕКТНОЕ ФИНАНСИРОВАНИЕ И ЭСКРОУ</x:v>
      </x:c>
      <x:c r="CR1" s="4" t="str">
        <x:v>КРЕДИТЫ · БРИДЖ, ПРОЕКТНОЕ ФИНАНСИРОВАНИЕ И ЭСКРОУ</x:v>
      </x:c>
      <x:c r="CS1" s="4" t="str">
        <x:v>КРЕДИТЫ · БРИДЖ, ПРОЕКТНОЕ ФИНАНСИРОВАНИЕ И ЭСКРОУ</x:v>
      </x:c>
      <x:c r="CT1" s="4" t="str">
        <x:v>КРЕДИТЫ · БРИДЖ, ПРОЕКТНОЕ ФИНАНСИРОВАНИЕ И ЭСКРОУ</x:v>
      </x:c>
      <x:c r="CU1" s="4" t="str">
        <x:v>КРЕДИТЫ · БРИДЖ, ПРОЕКТНОЕ ФИНАНСИРОВАНИЕ И ЭСКРОУ</x:v>
      </x:c>
      <x:c r="CV1" s="4" t="str">
        <x:v>КРЕДИТЫ · БРИДЖ, ПРОЕКТНОЕ ФИНАНСИРОВАНИЕ И ЭСКРОУ</x:v>
      </x:c>
      <x:c r="CW1" s="4" t="str">
        <x:v>КРЕДИТЫ · БРИДЖ, ПРОЕКТНОЕ ФИНАНСИРОВАНИЕ И ЭСКРОУ</x:v>
      </x:c>
      <x:c r="CX1" s="4" t="str">
        <x:v>КРЕДИТЫ · БРИДЖ, ПРОЕКТНОЕ ФИНАНСИРОВАНИЕ И ЭСКРОУ</x:v>
      </x:c>
      <x:c r="CY1" s="4" t="str">
        <x:v>КРЕДИТЫ · БРИДЖ, ПРОЕКТНОЕ ФИНАНСИРОВАНИЕ И ЭСКРОУ</x:v>
      </x:c>
      <x:c r="CZ1" s="4" t="str">
        <x:v>КРЕДИТЫ · БРИДЖ, ПРОЕКТНОЕ ФИНАНСИРОВАНИЕ И ЭСКРОУ</x:v>
      </x:c>
      <x:c r="DA1" s="4" t="str">
        <x:v>КРЕДИТЫ · БРИДЖ, ПРОЕКТНОЕ ФИНАНСИРОВАНИЕ И ЭСКРОУ</x:v>
      </x:c>
      <x:c r="DB1" s="4" t="str">
        <x:v>КРЕДИТЫ · БРИДЖ, ПРОЕКТНОЕ ФИНАНСИРОВАНИЕ И ЭСКРОУ</x:v>
      </x:c>
      <x:c r="DC1" s="4" t="str">
        <x:v>КРЕДИТЫ · БРИДЖ, ПРОЕКТНОЕ ФИНАНСИРОВАНИЕ И ЭСКРОУ</x:v>
      </x:c>
      <x:c r="DD1" s="4" t="str">
        <x:v>КРЕДИТЫ · БРИДЖ, ПРОЕКТНОЕ ФИНАНСИРОВАНИЕ И ЭСКРОУ</x:v>
      </x:c>
      <x:c r="DE1" s="4" t="str">
        <x:v>КРЕДИТЫ · БРИДЖ, ПРОЕКТНОЕ ФИНАНСИРОВАНИЕ И ЭСКРОУ</x:v>
      </x:c>
      <x:c r="DF1" s="4" t="str">
        <x:v>КРЕДИТЫ · БРИДЖ, ПРОЕКТНОЕ ФИНАНСИРОВАНИЕ И ЭСКРОУ</x:v>
      </x:c>
      <x:c r="DG1" s="4" t="str">
        <x:v>КРЕДИТЫ · БРИДЖ, ПРОЕКТНОЕ ФИНАНСИРОВАНИЕ И ЭСКРОУ</x:v>
      </x:c>
      <x:c r="DH1" s="4" t="str">
        <x:v>КРЕДИТЫ · БРИДЖ, ПРОЕКТНОЕ ФИНАНСИРОВАНИЕ И ЭСКРОУ</x:v>
      </x:c>
      <x:c r="DI1" s="4" t="str">
        <x:v>КРЕДИТЫ · БРИДЖ, ПРОЕКТНОЕ ФИНАНСИРОВАНИЕ И ЭСКРОУ</x:v>
      </x:c>
      <x:c r="DJ1" s="4" t="str">
        <x:v>КРЕДИТЫ · БРИДЖ, ПРОЕКТНОЕ ФИНАНСИРОВАНИЕ И ЭСКРОУ</x:v>
      </x:c>
      <x:c r="DK1" s="4" t="str">
        <x:v>КРЕДИТЫ · БРИДЖ, ПРОЕКТНОЕ ФИНАНСИРОВАНИЕ И ЭСКРОУ</x:v>
      </x:c>
      <x:c r="DL1" s="4" t="str">
        <x:v>КРЕДИТЫ · БРИДЖ, ПРОЕКТНОЕ ФИНАНСИРОВАНИЕ И ЭСКРОУ</x:v>
      </x:c>
      <x:c r="DM1" s="4" t="str">
        <x:v>КРЕДИТЫ · БРИДЖ, ПРОЕКТНОЕ ФИНАНСИРОВАНИЕ И ЭСКРОУ</x:v>
      </x:c>
      <x:c r="DN1" s="4" t="str">
        <x:v>КРЕДИТЫ · БРИДЖ, ПРОЕКТНОЕ ФИНАНСИРОВАНИЕ И ЭСКРОУ</x:v>
      </x:c>
      <x:c r="DO1" s="4" t="str">
        <x:v>КРЕДИТЫ · БРИДЖ, ПРОЕКТНОЕ ФИНАНСИРОВАНИЕ И ЭСКРОУ</x:v>
      </x:c>
      <x:c r="DP1" s="4" t="str">
        <x:v>КРЕДИТЫ · БРИДЖ, ПРОЕКТНОЕ ФИНАНСИРОВАНИЕ И ЭСКРОУ</x:v>
      </x:c>
      <x:c r="DQ1" s="4" t="str">
        <x:v>КРЕДИТЫ · БРИДЖ, ПРОЕКТНОЕ ФИНАНСИРОВАНИЕ И ЭСКРОУ</x:v>
      </x:c>
      <x:c r="DR1" s="4" t="str">
        <x:v>КРЕДИТЫ · БРИДЖ, ПРОЕКТНОЕ ФИНАНСИРОВАНИЕ И ЭСКРОУ</x:v>
      </x:c>
      <x:c r="DS1" s="4" t="str">
        <x:v>КРЕДИТЫ · БРИДЖ, ПРОЕКТНОЕ ФИНАНСИРОВАНИЕ И ЭСКРОУ</x:v>
      </x:c>
    </x:row>
    <x:row r="3">
      <x:c r="A3" s="23" t="str">
        <x:v>Показатель</x:v>
      </x:c>
      <x:c r="B3" s="23" t="str">
        <x:v>Максимум / сумма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БРИДЖ — выборка</x:v>
      </x:c>
      <x:c r="B6" s="107" t="n">
        <x:f>SUM(D6:DS6)</x:f>
      </x:c>
      <x:c r="C6" t="str">
        <x:v>млн ₽</x:v>
      </x:c>
      <x:c r="D6" s="117" t="n">
        <x:f>SUM('CF_1'!D34,'CF_2'!D34,'CF_3'!D34,'CF_4'!D34)</x:f>
      </x:c>
      <x:c r="E6" s="117" t="n">
        <x:f>SUM('CF_1'!E34,'CF_2'!E34,'CF_3'!E34,'CF_4'!E34)</x:f>
      </x:c>
      <x:c r="F6" s="117" t="n">
        <x:f>SUM('CF_1'!F34,'CF_2'!F34,'CF_3'!F34,'CF_4'!F34)</x:f>
      </x:c>
      <x:c r="G6" s="117" t="n">
        <x:f>SUM('CF_1'!G34,'CF_2'!G34,'CF_3'!G34,'CF_4'!G34)</x:f>
      </x:c>
      <x:c r="H6" s="117" t="n">
        <x:f>SUM('CF_1'!H34,'CF_2'!H34,'CF_3'!H34,'CF_4'!H34)</x:f>
      </x:c>
      <x:c r="I6" s="117" t="n">
        <x:f>SUM('CF_1'!I34,'CF_2'!I34,'CF_3'!I34,'CF_4'!I34)</x:f>
      </x:c>
      <x:c r="J6" s="117" t="n">
        <x:f>SUM('CF_1'!J34,'CF_2'!J34,'CF_3'!J34,'CF_4'!J34)</x:f>
      </x:c>
      <x:c r="K6" s="117" t="n">
        <x:f>SUM('CF_1'!K34,'CF_2'!K34,'CF_3'!K34,'CF_4'!K34)</x:f>
      </x:c>
      <x:c r="L6" s="117" t="n">
        <x:f>SUM('CF_1'!L34,'CF_2'!L34,'CF_3'!L34,'CF_4'!L34)</x:f>
      </x:c>
      <x:c r="M6" s="117" t="n">
        <x:f>SUM('CF_1'!M34,'CF_2'!M34,'CF_3'!M34,'CF_4'!M34)</x:f>
      </x:c>
      <x:c r="N6" s="117" t="n">
        <x:f>SUM('CF_1'!N34,'CF_2'!N34,'CF_3'!N34,'CF_4'!N34)</x:f>
      </x:c>
      <x:c r="O6" s="117" t="n">
        <x:f>SUM('CF_1'!O34,'CF_2'!O34,'CF_3'!O34,'CF_4'!O34)</x:f>
      </x:c>
      <x:c r="P6" s="117" t="n">
        <x:f>SUM('CF_1'!P34,'CF_2'!P34,'CF_3'!P34,'CF_4'!P34)</x:f>
      </x:c>
      <x:c r="Q6" s="117" t="n">
        <x:f>SUM('CF_1'!Q34,'CF_2'!Q34,'CF_3'!Q34,'CF_4'!Q34)</x:f>
      </x:c>
      <x:c r="R6" s="117" t="n">
        <x:f>SUM('CF_1'!R34,'CF_2'!R34,'CF_3'!R34,'CF_4'!R34)</x:f>
      </x:c>
      <x:c r="S6" s="117" t="n">
        <x:f>SUM('CF_1'!S34,'CF_2'!S34,'CF_3'!S34,'CF_4'!S34)</x:f>
      </x:c>
      <x:c r="T6" s="117" t="n">
        <x:f>SUM('CF_1'!T34,'CF_2'!T34,'CF_3'!T34,'CF_4'!T34)</x:f>
      </x:c>
      <x:c r="U6" s="117" t="n">
        <x:f>SUM('CF_1'!U34,'CF_2'!U34,'CF_3'!U34,'CF_4'!U34)</x:f>
      </x:c>
      <x:c r="V6" s="117" t="n">
        <x:f>SUM('CF_1'!V34,'CF_2'!V34,'CF_3'!V34,'CF_4'!V34)</x:f>
      </x:c>
      <x:c r="W6" s="117" t="n">
        <x:f>SUM('CF_1'!W34,'CF_2'!W34,'CF_3'!W34,'CF_4'!W34)</x:f>
      </x:c>
      <x:c r="X6" s="117" t="n">
        <x:f>SUM('CF_1'!X34,'CF_2'!X34,'CF_3'!X34,'CF_4'!X34)</x:f>
      </x:c>
      <x:c r="Y6" s="117" t="n">
        <x:f>SUM('CF_1'!Y34,'CF_2'!Y34,'CF_3'!Y34,'CF_4'!Y34)</x:f>
      </x:c>
      <x:c r="Z6" s="117" t="n">
        <x:f>SUM('CF_1'!Z34,'CF_2'!Z34,'CF_3'!Z34,'CF_4'!Z34)</x:f>
      </x:c>
      <x:c r="AA6" s="117" t="n">
        <x:f>SUM('CF_1'!AA34,'CF_2'!AA34,'CF_3'!AA34,'CF_4'!AA34)</x:f>
      </x:c>
      <x:c r="AB6" s="117" t="n">
        <x:f>SUM('CF_1'!AB34,'CF_2'!AB34,'CF_3'!AB34,'CF_4'!AB34)</x:f>
      </x:c>
      <x:c r="AC6" s="117" t="n">
        <x:f>SUM('CF_1'!AC34,'CF_2'!AC34,'CF_3'!AC34,'CF_4'!AC34)</x:f>
      </x:c>
      <x:c r="AD6" s="117" t="n">
        <x:f>SUM('CF_1'!AD34,'CF_2'!AD34,'CF_3'!AD34,'CF_4'!AD34)</x:f>
      </x:c>
      <x:c r="AE6" s="117" t="n">
        <x:f>SUM('CF_1'!AE34,'CF_2'!AE34,'CF_3'!AE34,'CF_4'!AE34)</x:f>
      </x:c>
      <x:c r="AF6" s="117" t="n">
        <x:f>SUM('CF_1'!AF34,'CF_2'!AF34,'CF_3'!AF34,'CF_4'!AF34)</x:f>
      </x:c>
      <x:c r="AG6" s="117" t="n">
        <x:f>SUM('CF_1'!AG34,'CF_2'!AG34,'CF_3'!AG34,'CF_4'!AG34)</x:f>
      </x:c>
      <x:c r="AH6" s="117" t="n">
        <x:f>SUM('CF_1'!AH34,'CF_2'!AH34,'CF_3'!AH34,'CF_4'!AH34)</x:f>
      </x:c>
      <x:c r="AI6" s="117" t="n">
        <x:f>SUM('CF_1'!AI34,'CF_2'!AI34,'CF_3'!AI34,'CF_4'!AI34)</x:f>
      </x:c>
      <x:c r="AJ6" s="117" t="n">
        <x:f>SUM('CF_1'!AJ34,'CF_2'!AJ34,'CF_3'!AJ34,'CF_4'!AJ34)</x:f>
      </x:c>
      <x:c r="AK6" s="117" t="n">
        <x:f>SUM('CF_1'!AK34,'CF_2'!AK34,'CF_3'!AK34,'CF_4'!AK34)</x:f>
      </x:c>
      <x:c r="AL6" s="117" t="n">
        <x:f>SUM('CF_1'!AL34,'CF_2'!AL34,'CF_3'!AL34,'CF_4'!AL34)</x:f>
      </x:c>
      <x:c r="AM6" s="117" t="n">
        <x:f>SUM('CF_1'!AM34,'CF_2'!AM34,'CF_3'!AM34,'CF_4'!AM34)</x:f>
      </x:c>
      <x:c r="AN6" s="117" t="n">
        <x:f>SUM('CF_1'!AN34,'CF_2'!AN34,'CF_3'!AN34,'CF_4'!AN34)</x:f>
      </x:c>
      <x:c r="AO6" s="117" t="n">
        <x:f>SUM('CF_1'!AO34,'CF_2'!AO34,'CF_3'!AO34,'CF_4'!AO34)</x:f>
      </x:c>
      <x:c r="AP6" s="117" t="n">
        <x:f>SUM('CF_1'!AP34,'CF_2'!AP34,'CF_3'!AP34,'CF_4'!AP34)</x:f>
      </x:c>
      <x:c r="AQ6" s="117" t="n">
        <x:f>SUM('CF_1'!AQ34,'CF_2'!AQ34,'CF_3'!AQ34,'CF_4'!AQ34)</x:f>
      </x:c>
      <x:c r="AR6" s="117" t="n">
        <x:f>SUM('CF_1'!AR34,'CF_2'!AR34,'CF_3'!AR34,'CF_4'!AR34)</x:f>
      </x:c>
      <x:c r="AS6" s="117" t="n">
        <x:f>SUM('CF_1'!AS34,'CF_2'!AS34,'CF_3'!AS34,'CF_4'!AS34)</x:f>
      </x:c>
      <x:c r="AT6" s="117" t="n">
        <x:f>SUM('CF_1'!AT34,'CF_2'!AT34,'CF_3'!AT34,'CF_4'!AT34)</x:f>
      </x:c>
      <x:c r="AU6" s="117" t="n">
        <x:f>SUM('CF_1'!AU34,'CF_2'!AU34,'CF_3'!AU34,'CF_4'!AU34)</x:f>
      </x:c>
      <x:c r="AV6" s="117" t="n">
        <x:f>SUM('CF_1'!AV34,'CF_2'!AV34,'CF_3'!AV34,'CF_4'!AV34)</x:f>
      </x:c>
      <x:c r="AW6" s="117" t="n">
        <x:f>SUM('CF_1'!AW34,'CF_2'!AW34,'CF_3'!AW34,'CF_4'!AW34)</x:f>
      </x:c>
      <x:c r="AX6" s="117" t="n">
        <x:f>SUM('CF_1'!AX34,'CF_2'!AX34,'CF_3'!AX34,'CF_4'!AX34)</x:f>
      </x:c>
      <x:c r="AY6" s="117" t="n">
        <x:f>SUM('CF_1'!AY34,'CF_2'!AY34,'CF_3'!AY34,'CF_4'!AY34)</x:f>
      </x:c>
      <x:c r="AZ6" s="117" t="n">
        <x:f>SUM('CF_1'!AZ34,'CF_2'!AZ34,'CF_3'!AZ34,'CF_4'!AZ34)</x:f>
      </x:c>
      <x:c r="BA6" s="117" t="n">
        <x:f>SUM('CF_1'!BA34,'CF_2'!BA34,'CF_3'!BA34,'CF_4'!BA34)</x:f>
      </x:c>
      <x:c r="BB6" s="117" t="n">
        <x:f>SUM('CF_1'!BB34,'CF_2'!BB34,'CF_3'!BB34,'CF_4'!BB34)</x:f>
      </x:c>
      <x:c r="BC6" s="117" t="n">
        <x:f>SUM('CF_1'!BC34,'CF_2'!BC34,'CF_3'!BC34,'CF_4'!BC34)</x:f>
      </x:c>
      <x:c r="BD6" s="117" t="n">
        <x:f>SUM('CF_1'!BD34,'CF_2'!BD34,'CF_3'!BD34,'CF_4'!BD34)</x:f>
      </x:c>
      <x:c r="BE6" s="117" t="n">
        <x:f>SUM('CF_1'!BE34,'CF_2'!BE34,'CF_3'!BE34,'CF_4'!BE34)</x:f>
      </x:c>
      <x:c r="BF6" s="117" t="n">
        <x:f>SUM('CF_1'!BF34,'CF_2'!BF34,'CF_3'!BF34,'CF_4'!BF34)</x:f>
      </x:c>
      <x:c r="BG6" s="117" t="n">
        <x:f>SUM('CF_1'!BG34,'CF_2'!BG34,'CF_3'!BG34,'CF_4'!BG34)</x:f>
      </x:c>
      <x:c r="BH6" s="117" t="n">
        <x:f>SUM('CF_1'!BH34,'CF_2'!BH34,'CF_3'!BH34,'CF_4'!BH34)</x:f>
      </x:c>
      <x:c r="BI6" s="117" t="n">
        <x:f>SUM('CF_1'!BI34,'CF_2'!BI34,'CF_3'!BI34,'CF_4'!BI34)</x:f>
      </x:c>
      <x:c r="BJ6" s="117" t="n">
        <x:f>SUM('CF_1'!BJ34,'CF_2'!BJ34,'CF_3'!BJ34,'CF_4'!BJ34)</x:f>
      </x:c>
      <x:c r="BK6" s="117" t="n">
        <x:f>SUM('CF_1'!BK34,'CF_2'!BK34,'CF_3'!BK34,'CF_4'!BK34)</x:f>
      </x:c>
      <x:c r="BL6" s="117" t="n">
        <x:f>SUM('CF_1'!BL34,'CF_2'!BL34,'CF_3'!BL34,'CF_4'!BL34)</x:f>
      </x:c>
      <x:c r="BM6" s="117" t="n">
        <x:f>SUM('CF_1'!BM34,'CF_2'!BM34,'CF_3'!BM34,'CF_4'!BM34)</x:f>
      </x:c>
      <x:c r="BN6" s="117" t="n">
        <x:f>SUM('CF_1'!BN34,'CF_2'!BN34,'CF_3'!BN34,'CF_4'!BN34)</x:f>
      </x:c>
      <x:c r="BO6" s="117" t="n">
        <x:f>SUM('CF_1'!BO34,'CF_2'!BO34,'CF_3'!BO34,'CF_4'!BO34)</x:f>
      </x:c>
      <x:c r="BP6" s="117" t="n">
        <x:f>SUM('CF_1'!BP34,'CF_2'!BP34,'CF_3'!BP34,'CF_4'!BP34)</x:f>
      </x:c>
      <x:c r="BQ6" s="117" t="n">
        <x:f>SUM('CF_1'!BQ34,'CF_2'!BQ34,'CF_3'!BQ34,'CF_4'!BQ34)</x:f>
      </x:c>
      <x:c r="BR6" s="117" t="n">
        <x:f>SUM('CF_1'!BR34,'CF_2'!BR34,'CF_3'!BR34,'CF_4'!BR34)</x:f>
      </x:c>
      <x:c r="BS6" s="117" t="n">
        <x:f>SUM('CF_1'!BS34,'CF_2'!BS34,'CF_3'!BS34,'CF_4'!BS34)</x:f>
      </x:c>
      <x:c r="BT6" s="117" t="n">
        <x:f>SUM('CF_1'!BT34,'CF_2'!BT34,'CF_3'!BT34,'CF_4'!BT34)</x:f>
      </x:c>
      <x:c r="BU6" s="117" t="n">
        <x:f>SUM('CF_1'!BU34,'CF_2'!BU34,'CF_3'!BU34,'CF_4'!BU34)</x:f>
      </x:c>
      <x:c r="BV6" s="117" t="n">
        <x:f>SUM('CF_1'!BV34,'CF_2'!BV34,'CF_3'!BV34,'CF_4'!BV34)</x:f>
      </x:c>
      <x:c r="BW6" s="117" t="n">
        <x:f>SUM('CF_1'!BW34,'CF_2'!BW34,'CF_3'!BW34,'CF_4'!BW34)</x:f>
      </x:c>
      <x:c r="BX6" s="117" t="n">
        <x:f>SUM('CF_1'!BX34,'CF_2'!BX34,'CF_3'!BX34,'CF_4'!BX34)</x:f>
      </x:c>
      <x:c r="BY6" s="117" t="n">
        <x:f>SUM('CF_1'!BY34,'CF_2'!BY34,'CF_3'!BY34,'CF_4'!BY34)</x:f>
      </x:c>
      <x:c r="BZ6" s="117" t="n">
        <x:f>SUM('CF_1'!BZ34,'CF_2'!BZ34,'CF_3'!BZ34,'CF_4'!BZ34)</x:f>
      </x:c>
      <x:c r="CA6" s="117" t="n">
        <x:f>SUM('CF_1'!CA34,'CF_2'!CA34,'CF_3'!CA34,'CF_4'!CA34)</x:f>
      </x:c>
      <x:c r="CB6" s="117" t="n">
        <x:f>SUM('CF_1'!CB34,'CF_2'!CB34,'CF_3'!CB34,'CF_4'!CB34)</x:f>
      </x:c>
      <x:c r="CC6" s="117" t="n">
        <x:f>SUM('CF_1'!CC34,'CF_2'!CC34,'CF_3'!CC34,'CF_4'!CC34)</x:f>
      </x:c>
      <x:c r="CD6" s="117" t="n">
        <x:f>SUM('CF_1'!CD34,'CF_2'!CD34,'CF_3'!CD34,'CF_4'!CD34)</x:f>
      </x:c>
      <x:c r="CE6" s="117" t="n">
        <x:f>SUM('CF_1'!CE34,'CF_2'!CE34,'CF_3'!CE34,'CF_4'!CE34)</x:f>
      </x:c>
      <x:c r="CF6" s="117" t="n">
        <x:f>SUM('CF_1'!CF34,'CF_2'!CF34,'CF_3'!CF34,'CF_4'!CF34)</x:f>
      </x:c>
      <x:c r="CG6" s="117" t="n">
        <x:f>SUM('CF_1'!CG34,'CF_2'!CG34,'CF_3'!CG34,'CF_4'!CG34)</x:f>
      </x:c>
      <x:c r="CH6" s="117" t="n">
        <x:f>SUM('CF_1'!CH34,'CF_2'!CH34,'CF_3'!CH34,'CF_4'!CH34)</x:f>
      </x:c>
      <x:c r="CI6" s="117" t="n">
        <x:f>SUM('CF_1'!CI34,'CF_2'!CI34,'CF_3'!CI34,'CF_4'!CI34)</x:f>
      </x:c>
      <x:c r="CJ6" s="117" t="n">
        <x:f>SUM('CF_1'!CJ34,'CF_2'!CJ34,'CF_3'!CJ34,'CF_4'!CJ34)</x:f>
      </x:c>
      <x:c r="CK6" s="117" t="n">
        <x:f>SUM('CF_1'!CK34,'CF_2'!CK34,'CF_3'!CK34,'CF_4'!CK34)</x:f>
      </x:c>
      <x:c r="CL6" s="117" t="n">
        <x:f>SUM('CF_1'!CL34,'CF_2'!CL34,'CF_3'!CL34,'CF_4'!CL34)</x:f>
      </x:c>
      <x:c r="CM6" s="117" t="n">
        <x:f>SUM('CF_1'!CM34,'CF_2'!CM34,'CF_3'!CM34,'CF_4'!CM34)</x:f>
      </x:c>
      <x:c r="CN6" s="117" t="n">
        <x:f>SUM('CF_1'!CN34,'CF_2'!CN34,'CF_3'!CN34,'CF_4'!CN34)</x:f>
      </x:c>
      <x:c r="CO6" s="117" t="n">
        <x:f>SUM('CF_1'!CO34,'CF_2'!CO34,'CF_3'!CO34,'CF_4'!CO34)</x:f>
      </x:c>
      <x:c r="CP6" s="117" t="n">
        <x:f>SUM('CF_1'!CP34,'CF_2'!CP34,'CF_3'!CP34,'CF_4'!CP34)</x:f>
      </x:c>
      <x:c r="CQ6" s="117" t="n">
        <x:f>SUM('CF_1'!CQ34,'CF_2'!CQ34,'CF_3'!CQ34,'CF_4'!CQ34)</x:f>
      </x:c>
      <x:c r="CR6" s="117" t="n">
        <x:f>SUM('CF_1'!CR34,'CF_2'!CR34,'CF_3'!CR34,'CF_4'!CR34)</x:f>
      </x:c>
      <x:c r="CS6" s="117" t="n">
        <x:f>SUM('CF_1'!CS34,'CF_2'!CS34,'CF_3'!CS34,'CF_4'!CS34)</x:f>
      </x:c>
      <x:c r="CT6" s="117" t="n">
        <x:f>SUM('CF_1'!CT34,'CF_2'!CT34,'CF_3'!CT34,'CF_4'!CT34)</x:f>
      </x:c>
      <x:c r="CU6" s="117" t="n">
        <x:f>SUM('CF_1'!CU34,'CF_2'!CU34,'CF_3'!CU34,'CF_4'!CU34)</x:f>
      </x:c>
      <x:c r="CV6" s="117" t="n">
        <x:f>SUM('CF_1'!CV34,'CF_2'!CV34,'CF_3'!CV34,'CF_4'!CV34)</x:f>
      </x:c>
      <x:c r="CW6" s="117" t="n">
        <x:f>SUM('CF_1'!CW34,'CF_2'!CW34,'CF_3'!CW34,'CF_4'!CW34)</x:f>
      </x:c>
      <x:c r="CX6" s="117" t="n">
        <x:f>SUM('CF_1'!CX34,'CF_2'!CX34,'CF_3'!CX34,'CF_4'!CX34)</x:f>
      </x:c>
      <x:c r="CY6" s="117" t="n">
        <x:f>SUM('CF_1'!CY34,'CF_2'!CY34,'CF_3'!CY34,'CF_4'!CY34)</x:f>
      </x:c>
      <x:c r="CZ6" s="117" t="n">
        <x:f>SUM('CF_1'!CZ34,'CF_2'!CZ34,'CF_3'!CZ34,'CF_4'!CZ34)</x:f>
      </x:c>
      <x:c r="DA6" s="117" t="n">
        <x:f>SUM('CF_1'!DA34,'CF_2'!DA34,'CF_3'!DA34,'CF_4'!DA34)</x:f>
      </x:c>
      <x:c r="DB6" s="117" t="n">
        <x:f>SUM('CF_1'!DB34,'CF_2'!DB34,'CF_3'!DB34,'CF_4'!DB34)</x:f>
      </x:c>
      <x:c r="DC6" s="117" t="n">
        <x:f>SUM('CF_1'!DC34,'CF_2'!DC34,'CF_3'!DC34,'CF_4'!DC34)</x:f>
      </x:c>
      <x:c r="DD6" s="117" t="n">
        <x:f>SUM('CF_1'!DD34,'CF_2'!DD34,'CF_3'!DD34,'CF_4'!DD34)</x:f>
      </x:c>
      <x:c r="DE6" s="117" t="n">
        <x:f>SUM('CF_1'!DE34,'CF_2'!DE34,'CF_3'!DE34,'CF_4'!DE34)</x:f>
      </x:c>
      <x:c r="DF6" s="117" t="n">
        <x:f>SUM('CF_1'!DF34,'CF_2'!DF34,'CF_3'!DF34,'CF_4'!DF34)</x:f>
      </x:c>
      <x:c r="DG6" s="117" t="n">
        <x:f>SUM('CF_1'!DG34,'CF_2'!DG34,'CF_3'!DG34,'CF_4'!DG34)</x:f>
      </x:c>
      <x:c r="DH6" s="117" t="n">
        <x:f>SUM('CF_1'!DH34,'CF_2'!DH34,'CF_3'!DH34,'CF_4'!DH34)</x:f>
      </x:c>
      <x:c r="DI6" s="117" t="n">
        <x:f>SUM('CF_1'!DI34,'CF_2'!DI34,'CF_3'!DI34,'CF_4'!DI34)</x:f>
      </x:c>
      <x:c r="DJ6" s="117" t="n">
        <x:f>SUM('CF_1'!DJ34,'CF_2'!DJ34,'CF_3'!DJ34,'CF_4'!DJ34)</x:f>
      </x:c>
      <x:c r="DK6" s="117" t="n">
        <x:f>SUM('CF_1'!DK34,'CF_2'!DK34,'CF_3'!DK34,'CF_4'!DK34)</x:f>
      </x:c>
      <x:c r="DL6" s="117" t="n">
        <x:f>SUM('CF_1'!DL34,'CF_2'!DL34,'CF_3'!DL34,'CF_4'!DL34)</x:f>
      </x:c>
      <x:c r="DM6" s="117" t="n">
        <x:f>SUM('CF_1'!DM34,'CF_2'!DM34,'CF_3'!DM34,'CF_4'!DM34)</x:f>
      </x:c>
      <x:c r="DN6" s="117" t="n">
        <x:f>SUM('CF_1'!DN34,'CF_2'!DN34,'CF_3'!DN34,'CF_4'!DN34)</x:f>
      </x:c>
      <x:c r="DO6" s="117" t="n">
        <x:f>SUM('CF_1'!DO34,'CF_2'!DO34,'CF_3'!DO34,'CF_4'!DO34)</x:f>
      </x:c>
      <x:c r="DP6" s="117" t="n">
        <x:f>SUM('CF_1'!DP34,'CF_2'!DP34,'CF_3'!DP34,'CF_4'!DP34)</x:f>
      </x:c>
      <x:c r="DQ6" s="117" t="n">
        <x:f>SUM('CF_1'!DQ34,'CF_2'!DQ34,'CF_3'!DQ34,'CF_4'!DQ34)</x:f>
      </x:c>
      <x:c r="DR6" s="117" t="n">
        <x:f>SUM('CF_1'!DR34,'CF_2'!DR34,'CF_3'!DR34,'CF_4'!DR34)</x:f>
      </x:c>
      <x:c r="DS6" s="117" t="n">
        <x:f>SUM('CF_1'!DS34,'CF_2'!DS34,'CF_3'!DS34,'CF_4'!DS34)</x:f>
      </x:c>
    </x:row>
    <x:row r="7">
      <x:c r="A7" t="str">
        <x:v>БРИДЖ — проценты</x:v>
      </x:c>
      <x:c r="B7" s="107" t="n">
        <x:f>SUM(D7:DS7)</x:f>
      </x:c>
      <x:c r="C7" t="str">
        <x:v>млн ₽</x:v>
      </x:c>
      <x:c r="D7" s="117" t="n">
        <x:f>SUM('CF_1'!D32,'CF_2'!D32,'CF_3'!D32,'CF_4'!D32)</x:f>
      </x:c>
      <x:c r="E7" s="117" t="n">
        <x:f>SUM('CF_1'!E32,'CF_2'!E32,'CF_3'!E32,'CF_4'!E32)</x:f>
      </x:c>
      <x:c r="F7" s="117" t="n">
        <x:f>SUM('CF_1'!F32,'CF_2'!F32,'CF_3'!F32,'CF_4'!F32)</x:f>
      </x:c>
      <x:c r="G7" s="117" t="n">
        <x:f>SUM('CF_1'!G32,'CF_2'!G32,'CF_3'!G32,'CF_4'!G32)</x:f>
      </x:c>
      <x:c r="H7" s="117" t="n">
        <x:f>SUM('CF_1'!H32,'CF_2'!H32,'CF_3'!H32,'CF_4'!H32)</x:f>
      </x:c>
      <x:c r="I7" s="117" t="n">
        <x:f>SUM('CF_1'!I32,'CF_2'!I32,'CF_3'!I32,'CF_4'!I32)</x:f>
      </x:c>
      <x:c r="J7" s="117" t="n">
        <x:f>SUM('CF_1'!J32,'CF_2'!J32,'CF_3'!J32,'CF_4'!J32)</x:f>
      </x:c>
      <x:c r="K7" s="117" t="n">
        <x:f>SUM('CF_1'!K32,'CF_2'!K32,'CF_3'!K32,'CF_4'!K32)</x:f>
      </x:c>
      <x:c r="L7" s="117" t="n">
        <x:f>SUM('CF_1'!L32,'CF_2'!L32,'CF_3'!L32,'CF_4'!L32)</x:f>
      </x:c>
      <x:c r="M7" s="117" t="n">
        <x:f>SUM('CF_1'!M32,'CF_2'!M32,'CF_3'!M32,'CF_4'!M32)</x:f>
      </x:c>
      <x:c r="N7" s="117" t="n">
        <x:f>SUM('CF_1'!N32,'CF_2'!N32,'CF_3'!N32,'CF_4'!N32)</x:f>
      </x:c>
      <x:c r="O7" s="117" t="n">
        <x:f>SUM('CF_1'!O32,'CF_2'!O32,'CF_3'!O32,'CF_4'!O32)</x:f>
      </x:c>
      <x:c r="P7" s="117" t="n">
        <x:f>SUM('CF_1'!P32,'CF_2'!P32,'CF_3'!P32,'CF_4'!P32)</x:f>
      </x:c>
      <x:c r="Q7" s="117" t="n">
        <x:f>SUM('CF_1'!Q32,'CF_2'!Q32,'CF_3'!Q32,'CF_4'!Q32)</x:f>
      </x:c>
      <x:c r="R7" s="117" t="n">
        <x:f>SUM('CF_1'!R32,'CF_2'!R32,'CF_3'!R32,'CF_4'!R32)</x:f>
      </x:c>
      <x:c r="S7" s="117" t="n">
        <x:f>SUM('CF_1'!S32,'CF_2'!S32,'CF_3'!S32,'CF_4'!S32)</x:f>
      </x:c>
      <x:c r="T7" s="117" t="n">
        <x:f>SUM('CF_1'!T32,'CF_2'!T32,'CF_3'!T32,'CF_4'!T32)</x:f>
      </x:c>
      <x:c r="U7" s="117" t="n">
        <x:f>SUM('CF_1'!U32,'CF_2'!U32,'CF_3'!U32,'CF_4'!U32)</x:f>
      </x:c>
      <x:c r="V7" s="117" t="n">
        <x:f>SUM('CF_1'!V32,'CF_2'!V32,'CF_3'!V32,'CF_4'!V32)</x:f>
      </x:c>
      <x:c r="W7" s="117" t="n">
        <x:f>SUM('CF_1'!W32,'CF_2'!W32,'CF_3'!W32,'CF_4'!W32)</x:f>
      </x:c>
      <x:c r="X7" s="117" t="n">
        <x:f>SUM('CF_1'!X32,'CF_2'!X32,'CF_3'!X32,'CF_4'!X32)</x:f>
      </x:c>
      <x:c r="Y7" s="117" t="n">
        <x:f>SUM('CF_1'!Y32,'CF_2'!Y32,'CF_3'!Y32,'CF_4'!Y32)</x:f>
      </x:c>
      <x:c r="Z7" s="117" t="n">
        <x:f>SUM('CF_1'!Z32,'CF_2'!Z32,'CF_3'!Z32,'CF_4'!Z32)</x:f>
      </x:c>
      <x:c r="AA7" s="117" t="n">
        <x:f>SUM('CF_1'!AA32,'CF_2'!AA32,'CF_3'!AA32,'CF_4'!AA32)</x:f>
      </x:c>
      <x:c r="AB7" s="117" t="n">
        <x:f>SUM('CF_1'!AB32,'CF_2'!AB32,'CF_3'!AB32,'CF_4'!AB32)</x:f>
      </x:c>
      <x:c r="AC7" s="117" t="n">
        <x:f>SUM('CF_1'!AC32,'CF_2'!AC32,'CF_3'!AC32,'CF_4'!AC32)</x:f>
      </x:c>
      <x:c r="AD7" s="117" t="n">
        <x:f>SUM('CF_1'!AD32,'CF_2'!AD32,'CF_3'!AD32,'CF_4'!AD32)</x:f>
      </x:c>
      <x:c r="AE7" s="117" t="n">
        <x:f>SUM('CF_1'!AE32,'CF_2'!AE32,'CF_3'!AE32,'CF_4'!AE32)</x:f>
      </x:c>
      <x:c r="AF7" s="117" t="n">
        <x:f>SUM('CF_1'!AF32,'CF_2'!AF32,'CF_3'!AF32,'CF_4'!AF32)</x:f>
      </x:c>
      <x:c r="AG7" s="117" t="n">
        <x:f>SUM('CF_1'!AG32,'CF_2'!AG32,'CF_3'!AG32,'CF_4'!AG32)</x:f>
      </x:c>
      <x:c r="AH7" s="117" t="n">
        <x:f>SUM('CF_1'!AH32,'CF_2'!AH32,'CF_3'!AH32,'CF_4'!AH32)</x:f>
      </x:c>
      <x:c r="AI7" s="117" t="n">
        <x:f>SUM('CF_1'!AI32,'CF_2'!AI32,'CF_3'!AI32,'CF_4'!AI32)</x:f>
      </x:c>
      <x:c r="AJ7" s="117" t="n">
        <x:f>SUM('CF_1'!AJ32,'CF_2'!AJ32,'CF_3'!AJ32,'CF_4'!AJ32)</x:f>
      </x:c>
      <x:c r="AK7" s="117" t="n">
        <x:f>SUM('CF_1'!AK32,'CF_2'!AK32,'CF_3'!AK32,'CF_4'!AK32)</x:f>
      </x:c>
      <x:c r="AL7" s="117" t="n">
        <x:f>SUM('CF_1'!AL32,'CF_2'!AL32,'CF_3'!AL32,'CF_4'!AL32)</x:f>
      </x:c>
      <x:c r="AM7" s="117" t="n">
        <x:f>SUM('CF_1'!AM32,'CF_2'!AM32,'CF_3'!AM32,'CF_4'!AM32)</x:f>
      </x:c>
      <x:c r="AN7" s="117" t="n">
        <x:f>SUM('CF_1'!AN32,'CF_2'!AN32,'CF_3'!AN32,'CF_4'!AN32)</x:f>
      </x:c>
      <x:c r="AO7" s="117" t="n">
        <x:f>SUM('CF_1'!AO32,'CF_2'!AO32,'CF_3'!AO32,'CF_4'!AO32)</x:f>
      </x:c>
      <x:c r="AP7" s="117" t="n">
        <x:f>SUM('CF_1'!AP32,'CF_2'!AP32,'CF_3'!AP32,'CF_4'!AP32)</x:f>
      </x:c>
      <x:c r="AQ7" s="117" t="n">
        <x:f>SUM('CF_1'!AQ32,'CF_2'!AQ32,'CF_3'!AQ32,'CF_4'!AQ32)</x:f>
      </x:c>
      <x:c r="AR7" s="117" t="n">
        <x:f>SUM('CF_1'!AR32,'CF_2'!AR32,'CF_3'!AR32,'CF_4'!AR32)</x:f>
      </x:c>
      <x:c r="AS7" s="117" t="n">
        <x:f>SUM('CF_1'!AS32,'CF_2'!AS32,'CF_3'!AS32,'CF_4'!AS32)</x:f>
      </x:c>
      <x:c r="AT7" s="117" t="n">
        <x:f>SUM('CF_1'!AT32,'CF_2'!AT32,'CF_3'!AT32,'CF_4'!AT32)</x:f>
      </x:c>
      <x:c r="AU7" s="117" t="n">
        <x:f>SUM('CF_1'!AU32,'CF_2'!AU32,'CF_3'!AU32,'CF_4'!AU32)</x:f>
      </x:c>
      <x:c r="AV7" s="117" t="n">
        <x:f>SUM('CF_1'!AV32,'CF_2'!AV32,'CF_3'!AV32,'CF_4'!AV32)</x:f>
      </x:c>
      <x:c r="AW7" s="117" t="n">
        <x:f>SUM('CF_1'!AW32,'CF_2'!AW32,'CF_3'!AW32,'CF_4'!AW32)</x:f>
      </x:c>
      <x:c r="AX7" s="117" t="n">
        <x:f>SUM('CF_1'!AX32,'CF_2'!AX32,'CF_3'!AX32,'CF_4'!AX32)</x:f>
      </x:c>
      <x:c r="AY7" s="117" t="n">
        <x:f>SUM('CF_1'!AY32,'CF_2'!AY32,'CF_3'!AY32,'CF_4'!AY32)</x:f>
      </x:c>
      <x:c r="AZ7" s="117" t="n">
        <x:f>SUM('CF_1'!AZ32,'CF_2'!AZ32,'CF_3'!AZ32,'CF_4'!AZ32)</x:f>
      </x:c>
      <x:c r="BA7" s="117" t="n">
        <x:f>SUM('CF_1'!BA32,'CF_2'!BA32,'CF_3'!BA32,'CF_4'!BA32)</x:f>
      </x:c>
      <x:c r="BB7" s="117" t="n">
        <x:f>SUM('CF_1'!BB32,'CF_2'!BB32,'CF_3'!BB32,'CF_4'!BB32)</x:f>
      </x:c>
      <x:c r="BC7" s="117" t="n">
        <x:f>SUM('CF_1'!BC32,'CF_2'!BC32,'CF_3'!BC32,'CF_4'!BC32)</x:f>
      </x:c>
      <x:c r="BD7" s="117" t="n">
        <x:f>SUM('CF_1'!BD32,'CF_2'!BD32,'CF_3'!BD32,'CF_4'!BD32)</x:f>
      </x:c>
      <x:c r="BE7" s="117" t="n">
        <x:f>SUM('CF_1'!BE32,'CF_2'!BE32,'CF_3'!BE32,'CF_4'!BE32)</x:f>
      </x:c>
      <x:c r="BF7" s="117" t="n">
        <x:f>SUM('CF_1'!BF32,'CF_2'!BF32,'CF_3'!BF32,'CF_4'!BF32)</x:f>
      </x:c>
      <x:c r="BG7" s="117" t="n">
        <x:f>SUM('CF_1'!BG32,'CF_2'!BG32,'CF_3'!BG32,'CF_4'!BG32)</x:f>
      </x:c>
      <x:c r="BH7" s="117" t="n">
        <x:f>SUM('CF_1'!BH32,'CF_2'!BH32,'CF_3'!BH32,'CF_4'!BH32)</x:f>
      </x:c>
      <x:c r="BI7" s="117" t="n">
        <x:f>SUM('CF_1'!BI32,'CF_2'!BI32,'CF_3'!BI32,'CF_4'!BI32)</x:f>
      </x:c>
      <x:c r="BJ7" s="117" t="n">
        <x:f>SUM('CF_1'!BJ32,'CF_2'!BJ32,'CF_3'!BJ32,'CF_4'!BJ32)</x:f>
      </x:c>
      <x:c r="BK7" s="117" t="n">
        <x:f>SUM('CF_1'!BK32,'CF_2'!BK32,'CF_3'!BK32,'CF_4'!BK32)</x:f>
      </x:c>
      <x:c r="BL7" s="117" t="n">
        <x:f>SUM('CF_1'!BL32,'CF_2'!BL32,'CF_3'!BL32,'CF_4'!BL32)</x:f>
      </x:c>
      <x:c r="BM7" s="117" t="n">
        <x:f>SUM('CF_1'!BM32,'CF_2'!BM32,'CF_3'!BM32,'CF_4'!BM32)</x:f>
      </x:c>
      <x:c r="BN7" s="117" t="n">
        <x:f>SUM('CF_1'!BN32,'CF_2'!BN32,'CF_3'!BN32,'CF_4'!BN32)</x:f>
      </x:c>
      <x:c r="BO7" s="117" t="n">
        <x:f>SUM('CF_1'!BO32,'CF_2'!BO32,'CF_3'!BO32,'CF_4'!BO32)</x:f>
      </x:c>
      <x:c r="BP7" s="117" t="n">
        <x:f>SUM('CF_1'!BP32,'CF_2'!BP32,'CF_3'!BP32,'CF_4'!BP32)</x:f>
      </x:c>
      <x:c r="BQ7" s="117" t="n">
        <x:f>SUM('CF_1'!BQ32,'CF_2'!BQ32,'CF_3'!BQ32,'CF_4'!BQ32)</x:f>
      </x:c>
      <x:c r="BR7" s="117" t="n">
        <x:f>SUM('CF_1'!BR32,'CF_2'!BR32,'CF_3'!BR32,'CF_4'!BR32)</x:f>
      </x:c>
      <x:c r="BS7" s="117" t="n">
        <x:f>SUM('CF_1'!BS32,'CF_2'!BS32,'CF_3'!BS32,'CF_4'!BS32)</x:f>
      </x:c>
      <x:c r="BT7" s="117" t="n">
        <x:f>SUM('CF_1'!BT32,'CF_2'!BT32,'CF_3'!BT32,'CF_4'!BT32)</x:f>
      </x:c>
      <x:c r="BU7" s="117" t="n">
        <x:f>SUM('CF_1'!BU32,'CF_2'!BU32,'CF_3'!BU32,'CF_4'!BU32)</x:f>
      </x:c>
      <x:c r="BV7" s="117" t="n">
        <x:f>SUM('CF_1'!BV32,'CF_2'!BV32,'CF_3'!BV32,'CF_4'!BV32)</x:f>
      </x:c>
      <x:c r="BW7" s="117" t="n">
        <x:f>SUM('CF_1'!BW32,'CF_2'!BW32,'CF_3'!BW32,'CF_4'!BW32)</x:f>
      </x:c>
      <x:c r="BX7" s="117" t="n">
        <x:f>SUM('CF_1'!BX32,'CF_2'!BX32,'CF_3'!BX32,'CF_4'!BX32)</x:f>
      </x:c>
      <x:c r="BY7" s="117" t="n">
        <x:f>SUM('CF_1'!BY32,'CF_2'!BY32,'CF_3'!BY32,'CF_4'!BY32)</x:f>
      </x:c>
      <x:c r="BZ7" s="117" t="n">
        <x:f>SUM('CF_1'!BZ32,'CF_2'!BZ32,'CF_3'!BZ32,'CF_4'!BZ32)</x:f>
      </x:c>
      <x:c r="CA7" s="117" t="n">
        <x:f>SUM('CF_1'!CA32,'CF_2'!CA32,'CF_3'!CA32,'CF_4'!CA32)</x:f>
      </x:c>
      <x:c r="CB7" s="117" t="n">
        <x:f>SUM('CF_1'!CB32,'CF_2'!CB32,'CF_3'!CB32,'CF_4'!CB32)</x:f>
      </x:c>
      <x:c r="CC7" s="117" t="n">
        <x:f>SUM('CF_1'!CC32,'CF_2'!CC32,'CF_3'!CC32,'CF_4'!CC32)</x:f>
      </x:c>
      <x:c r="CD7" s="117" t="n">
        <x:f>SUM('CF_1'!CD32,'CF_2'!CD32,'CF_3'!CD32,'CF_4'!CD32)</x:f>
      </x:c>
      <x:c r="CE7" s="117" t="n">
        <x:f>SUM('CF_1'!CE32,'CF_2'!CE32,'CF_3'!CE32,'CF_4'!CE32)</x:f>
      </x:c>
      <x:c r="CF7" s="117" t="n">
        <x:f>SUM('CF_1'!CF32,'CF_2'!CF32,'CF_3'!CF32,'CF_4'!CF32)</x:f>
      </x:c>
      <x:c r="CG7" s="117" t="n">
        <x:f>SUM('CF_1'!CG32,'CF_2'!CG32,'CF_3'!CG32,'CF_4'!CG32)</x:f>
      </x:c>
      <x:c r="CH7" s="117" t="n">
        <x:f>SUM('CF_1'!CH32,'CF_2'!CH32,'CF_3'!CH32,'CF_4'!CH32)</x:f>
      </x:c>
      <x:c r="CI7" s="117" t="n">
        <x:f>SUM('CF_1'!CI32,'CF_2'!CI32,'CF_3'!CI32,'CF_4'!CI32)</x:f>
      </x:c>
      <x:c r="CJ7" s="117" t="n">
        <x:f>SUM('CF_1'!CJ32,'CF_2'!CJ32,'CF_3'!CJ32,'CF_4'!CJ32)</x:f>
      </x:c>
      <x:c r="CK7" s="117" t="n">
        <x:f>SUM('CF_1'!CK32,'CF_2'!CK32,'CF_3'!CK32,'CF_4'!CK32)</x:f>
      </x:c>
      <x:c r="CL7" s="117" t="n">
        <x:f>SUM('CF_1'!CL32,'CF_2'!CL32,'CF_3'!CL32,'CF_4'!CL32)</x:f>
      </x:c>
      <x:c r="CM7" s="117" t="n">
        <x:f>SUM('CF_1'!CM32,'CF_2'!CM32,'CF_3'!CM32,'CF_4'!CM32)</x:f>
      </x:c>
      <x:c r="CN7" s="117" t="n">
        <x:f>SUM('CF_1'!CN32,'CF_2'!CN32,'CF_3'!CN32,'CF_4'!CN32)</x:f>
      </x:c>
      <x:c r="CO7" s="117" t="n">
        <x:f>SUM('CF_1'!CO32,'CF_2'!CO32,'CF_3'!CO32,'CF_4'!CO32)</x:f>
      </x:c>
      <x:c r="CP7" s="117" t="n">
        <x:f>SUM('CF_1'!CP32,'CF_2'!CP32,'CF_3'!CP32,'CF_4'!CP32)</x:f>
      </x:c>
      <x:c r="CQ7" s="117" t="n">
        <x:f>SUM('CF_1'!CQ32,'CF_2'!CQ32,'CF_3'!CQ32,'CF_4'!CQ32)</x:f>
      </x:c>
      <x:c r="CR7" s="117" t="n">
        <x:f>SUM('CF_1'!CR32,'CF_2'!CR32,'CF_3'!CR32,'CF_4'!CR32)</x:f>
      </x:c>
      <x:c r="CS7" s="117" t="n">
        <x:f>SUM('CF_1'!CS32,'CF_2'!CS32,'CF_3'!CS32,'CF_4'!CS32)</x:f>
      </x:c>
      <x:c r="CT7" s="117" t="n">
        <x:f>SUM('CF_1'!CT32,'CF_2'!CT32,'CF_3'!CT32,'CF_4'!CT32)</x:f>
      </x:c>
      <x:c r="CU7" s="117" t="n">
        <x:f>SUM('CF_1'!CU32,'CF_2'!CU32,'CF_3'!CU32,'CF_4'!CU32)</x:f>
      </x:c>
      <x:c r="CV7" s="117" t="n">
        <x:f>SUM('CF_1'!CV32,'CF_2'!CV32,'CF_3'!CV32,'CF_4'!CV32)</x:f>
      </x:c>
      <x:c r="CW7" s="117" t="n">
        <x:f>SUM('CF_1'!CW32,'CF_2'!CW32,'CF_3'!CW32,'CF_4'!CW32)</x:f>
      </x:c>
      <x:c r="CX7" s="117" t="n">
        <x:f>SUM('CF_1'!CX32,'CF_2'!CX32,'CF_3'!CX32,'CF_4'!CX32)</x:f>
      </x:c>
      <x:c r="CY7" s="117" t="n">
        <x:f>SUM('CF_1'!CY32,'CF_2'!CY32,'CF_3'!CY32,'CF_4'!CY32)</x:f>
      </x:c>
      <x:c r="CZ7" s="117" t="n">
        <x:f>SUM('CF_1'!CZ32,'CF_2'!CZ32,'CF_3'!CZ32,'CF_4'!CZ32)</x:f>
      </x:c>
      <x:c r="DA7" s="117" t="n">
        <x:f>SUM('CF_1'!DA32,'CF_2'!DA32,'CF_3'!DA32,'CF_4'!DA32)</x:f>
      </x:c>
      <x:c r="DB7" s="117" t="n">
        <x:f>SUM('CF_1'!DB32,'CF_2'!DB32,'CF_3'!DB32,'CF_4'!DB32)</x:f>
      </x:c>
      <x:c r="DC7" s="117" t="n">
        <x:f>SUM('CF_1'!DC32,'CF_2'!DC32,'CF_3'!DC32,'CF_4'!DC32)</x:f>
      </x:c>
      <x:c r="DD7" s="117" t="n">
        <x:f>SUM('CF_1'!DD32,'CF_2'!DD32,'CF_3'!DD32,'CF_4'!DD32)</x:f>
      </x:c>
      <x:c r="DE7" s="117" t="n">
        <x:f>SUM('CF_1'!DE32,'CF_2'!DE32,'CF_3'!DE32,'CF_4'!DE32)</x:f>
      </x:c>
      <x:c r="DF7" s="117" t="n">
        <x:f>SUM('CF_1'!DF32,'CF_2'!DF32,'CF_3'!DF32,'CF_4'!DF32)</x:f>
      </x:c>
      <x:c r="DG7" s="117" t="n">
        <x:f>SUM('CF_1'!DG32,'CF_2'!DG32,'CF_3'!DG32,'CF_4'!DG32)</x:f>
      </x:c>
      <x:c r="DH7" s="117" t="n">
        <x:f>SUM('CF_1'!DH32,'CF_2'!DH32,'CF_3'!DH32,'CF_4'!DH32)</x:f>
      </x:c>
      <x:c r="DI7" s="117" t="n">
        <x:f>SUM('CF_1'!DI32,'CF_2'!DI32,'CF_3'!DI32,'CF_4'!DI32)</x:f>
      </x:c>
      <x:c r="DJ7" s="117" t="n">
        <x:f>SUM('CF_1'!DJ32,'CF_2'!DJ32,'CF_3'!DJ32,'CF_4'!DJ32)</x:f>
      </x:c>
      <x:c r="DK7" s="117" t="n">
        <x:f>SUM('CF_1'!DK32,'CF_2'!DK32,'CF_3'!DK32,'CF_4'!DK32)</x:f>
      </x:c>
      <x:c r="DL7" s="117" t="n">
        <x:f>SUM('CF_1'!DL32,'CF_2'!DL32,'CF_3'!DL32,'CF_4'!DL32)</x:f>
      </x:c>
      <x:c r="DM7" s="117" t="n">
        <x:f>SUM('CF_1'!DM32,'CF_2'!DM32,'CF_3'!DM32,'CF_4'!DM32)</x:f>
      </x:c>
      <x:c r="DN7" s="117" t="n">
        <x:f>SUM('CF_1'!DN32,'CF_2'!DN32,'CF_3'!DN32,'CF_4'!DN32)</x:f>
      </x:c>
      <x:c r="DO7" s="117" t="n">
        <x:f>SUM('CF_1'!DO32,'CF_2'!DO32,'CF_3'!DO32,'CF_4'!DO32)</x:f>
      </x:c>
      <x:c r="DP7" s="117" t="n">
        <x:f>SUM('CF_1'!DP32,'CF_2'!DP32,'CF_3'!DP32,'CF_4'!DP32)</x:f>
      </x:c>
      <x:c r="DQ7" s="117" t="n">
        <x:f>SUM('CF_1'!DQ32,'CF_2'!DQ32,'CF_3'!DQ32,'CF_4'!DQ32)</x:f>
      </x:c>
      <x:c r="DR7" s="117" t="n">
        <x:f>SUM('CF_1'!DR32,'CF_2'!DR32,'CF_3'!DR32,'CF_4'!DR32)</x:f>
      </x:c>
      <x:c r="DS7" s="117" t="n">
        <x:f>SUM('CF_1'!DS32,'CF_2'!DS32,'CF_3'!DS32,'CF_4'!DS32)</x:f>
      </x:c>
    </x:row>
    <x:row r="8">
      <x:c r="A8" t="str">
        <x:v>БРИДЖ — погашение</x:v>
      </x:c>
      <x:c r="B8" s="107" t="n">
        <x:f>SUM(D8:DS8)</x:f>
      </x:c>
      <x:c r="C8" t="str">
        <x:v>млн ₽</x:v>
      </x:c>
      <x:c r="D8" s="117" t="n">
        <x:f>SUM('CF_1'!D35,'CF_2'!D35,'CF_3'!D35,'CF_4'!D35)</x:f>
      </x:c>
      <x:c r="E8" s="117" t="n">
        <x:f>SUM('CF_1'!E35,'CF_2'!E35,'CF_3'!E35,'CF_4'!E35)</x:f>
      </x:c>
      <x:c r="F8" s="117" t="n">
        <x:f>SUM('CF_1'!F35,'CF_2'!F35,'CF_3'!F35,'CF_4'!F35)</x:f>
      </x:c>
      <x:c r="G8" s="117" t="n">
        <x:f>SUM('CF_1'!G35,'CF_2'!G35,'CF_3'!G35,'CF_4'!G35)</x:f>
      </x:c>
      <x:c r="H8" s="117" t="n">
        <x:f>SUM('CF_1'!H35,'CF_2'!H35,'CF_3'!H35,'CF_4'!H35)</x:f>
      </x:c>
      <x:c r="I8" s="117" t="n">
        <x:f>SUM('CF_1'!I35,'CF_2'!I35,'CF_3'!I35,'CF_4'!I35)</x:f>
      </x:c>
      <x:c r="J8" s="117" t="n">
        <x:f>SUM('CF_1'!J35,'CF_2'!J35,'CF_3'!J35,'CF_4'!J35)</x:f>
      </x:c>
      <x:c r="K8" s="117" t="n">
        <x:f>SUM('CF_1'!K35,'CF_2'!K35,'CF_3'!K35,'CF_4'!K35)</x:f>
      </x:c>
      <x:c r="L8" s="117" t="n">
        <x:f>SUM('CF_1'!L35,'CF_2'!L35,'CF_3'!L35,'CF_4'!L35)</x:f>
      </x:c>
      <x:c r="M8" s="117" t="n">
        <x:f>SUM('CF_1'!M35,'CF_2'!M35,'CF_3'!M35,'CF_4'!M35)</x:f>
      </x:c>
      <x:c r="N8" s="117" t="n">
        <x:f>SUM('CF_1'!N35,'CF_2'!N35,'CF_3'!N35,'CF_4'!N35)</x:f>
      </x:c>
      <x:c r="O8" s="117" t="n">
        <x:f>SUM('CF_1'!O35,'CF_2'!O35,'CF_3'!O35,'CF_4'!O35)</x:f>
      </x:c>
      <x:c r="P8" s="117" t="n">
        <x:f>SUM('CF_1'!P35,'CF_2'!P35,'CF_3'!P35,'CF_4'!P35)</x:f>
      </x:c>
      <x:c r="Q8" s="117" t="n">
        <x:f>SUM('CF_1'!Q35,'CF_2'!Q35,'CF_3'!Q35,'CF_4'!Q35)</x:f>
      </x:c>
      <x:c r="R8" s="117" t="n">
        <x:f>SUM('CF_1'!R35,'CF_2'!R35,'CF_3'!R35,'CF_4'!R35)</x:f>
      </x:c>
      <x:c r="S8" s="117" t="n">
        <x:f>SUM('CF_1'!S35,'CF_2'!S35,'CF_3'!S35,'CF_4'!S35)</x:f>
      </x:c>
      <x:c r="T8" s="117" t="n">
        <x:f>SUM('CF_1'!T35,'CF_2'!T35,'CF_3'!T35,'CF_4'!T35)</x:f>
      </x:c>
      <x:c r="U8" s="117" t="n">
        <x:f>SUM('CF_1'!U35,'CF_2'!U35,'CF_3'!U35,'CF_4'!U35)</x:f>
      </x:c>
      <x:c r="V8" s="117" t="n">
        <x:f>SUM('CF_1'!V35,'CF_2'!V35,'CF_3'!V35,'CF_4'!V35)</x:f>
      </x:c>
      <x:c r="W8" s="117" t="n">
        <x:f>SUM('CF_1'!W35,'CF_2'!W35,'CF_3'!W35,'CF_4'!W35)</x:f>
      </x:c>
      <x:c r="X8" s="117" t="n">
        <x:f>SUM('CF_1'!X35,'CF_2'!X35,'CF_3'!X35,'CF_4'!X35)</x:f>
      </x:c>
      <x:c r="Y8" s="117" t="n">
        <x:f>SUM('CF_1'!Y35,'CF_2'!Y35,'CF_3'!Y35,'CF_4'!Y35)</x:f>
      </x:c>
      <x:c r="Z8" s="117" t="n">
        <x:f>SUM('CF_1'!Z35,'CF_2'!Z35,'CF_3'!Z35,'CF_4'!Z35)</x:f>
      </x:c>
      <x:c r="AA8" s="117" t="n">
        <x:f>SUM('CF_1'!AA35,'CF_2'!AA35,'CF_3'!AA35,'CF_4'!AA35)</x:f>
      </x:c>
      <x:c r="AB8" s="117" t="n">
        <x:f>SUM('CF_1'!AB35,'CF_2'!AB35,'CF_3'!AB35,'CF_4'!AB35)</x:f>
      </x:c>
      <x:c r="AC8" s="117" t="n">
        <x:f>SUM('CF_1'!AC35,'CF_2'!AC35,'CF_3'!AC35,'CF_4'!AC35)</x:f>
      </x:c>
      <x:c r="AD8" s="117" t="n">
        <x:f>SUM('CF_1'!AD35,'CF_2'!AD35,'CF_3'!AD35,'CF_4'!AD35)</x:f>
      </x:c>
      <x:c r="AE8" s="117" t="n">
        <x:f>SUM('CF_1'!AE35,'CF_2'!AE35,'CF_3'!AE35,'CF_4'!AE35)</x:f>
      </x:c>
      <x:c r="AF8" s="117" t="n">
        <x:f>SUM('CF_1'!AF35,'CF_2'!AF35,'CF_3'!AF35,'CF_4'!AF35)</x:f>
      </x:c>
      <x:c r="AG8" s="117" t="n">
        <x:f>SUM('CF_1'!AG35,'CF_2'!AG35,'CF_3'!AG35,'CF_4'!AG35)</x:f>
      </x:c>
      <x:c r="AH8" s="117" t="n">
        <x:f>SUM('CF_1'!AH35,'CF_2'!AH35,'CF_3'!AH35,'CF_4'!AH35)</x:f>
      </x:c>
      <x:c r="AI8" s="117" t="n">
        <x:f>SUM('CF_1'!AI35,'CF_2'!AI35,'CF_3'!AI35,'CF_4'!AI35)</x:f>
      </x:c>
      <x:c r="AJ8" s="117" t="n">
        <x:f>SUM('CF_1'!AJ35,'CF_2'!AJ35,'CF_3'!AJ35,'CF_4'!AJ35)</x:f>
      </x:c>
      <x:c r="AK8" s="117" t="n">
        <x:f>SUM('CF_1'!AK35,'CF_2'!AK35,'CF_3'!AK35,'CF_4'!AK35)</x:f>
      </x:c>
      <x:c r="AL8" s="117" t="n">
        <x:f>SUM('CF_1'!AL35,'CF_2'!AL35,'CF_3'!AL35,'CF_4'!AL35)</x:f>
      </x:c>
      <x:c r="AM8" s="117" t="n">
        <x:f>SUM('CF_1'!AM35,'CF_2'!AM35,'CF_3'!AM35,'CF_4'!AM35)</x:f>
      </x:c>
      <x:c r="AN8" s="117" t="n">
        <x:f>SUM('CF_1'!AN35,'CF_2'!AN35,'CF_3'!AN35,'CF_4'!AN35)</x:f>
      </x:c>
      <x:c r="AO8" s="117" t="n">
        <x:f>SUM('CF_1'!AO35,'CF_2'!AO35,'CF_3'!AO35,'CF_4'!AO35)</x:f>
      </x:c>
      <x:c r="AP8" s="117" t="n">
        <x:f>SUM('CF_1'!AP35,'CF_2'!AP35,'CF_3'!AP35,'CF_4'!AP35)</x:f>
      </x:c>
      <x:c r="AQ8" s="117" t="n">
        <x:f>SUM('CF_1'!AQ35,'CF_2'!AQ35,'CF_3'!AQ35,'CF_4'!AQ35)</x:f>
      </x:c>
      <x:c r="AR8" s="117" t="n">
        <x:f>SUM('CF_1'!AR35,'CF_2'!AR35,'CF_3'!AR35,'CF_4'!AR35)</x:f>
      </x:c>
      <x:c r="AS8" s="117" t="n">
        <x:f>SUM('CF_1'!AS35,'CF_2'!AS35,'CF_3'!AS35,'CF_4'!AS35)</x:f>
      </x:c>
      <x:c r="AT8" s="117" t="n">
        <x:f>SUM('CF_1'!AT35,'CF_2'!AT35,'CF_3'!AT35,'CF_4'!AT35)</x:f>
      </x:c>
      <x:c r="AU8" s="117" t="n">
        <x:f>SUM('CF_1'!AU35,'CF_2'!AU35,'CF_3'!AU35,'CF_4'!AU35)</x:f>
      </x:c>
      <x:c r="AV8" s="117" t="n">
        <x:f>SUM('CF_1'!AV35,'CF_2'!AV35,'CF_3'!AV35,'CF_4'!AV35)</x:f>
      </x:c>
      <x:c r="AW8" s="117" t="n">
        <x:f>SUM('CF_1'!AW35,'CF_2'!AW35,'CF_3'!AW35,'CF_4'!AW35)</x:f>
      </x:c>
      <x:c r="AX8" s="117" t="n">
        <x:f>SUM('CF_1'!AX35,'CF_2'!AX35,'CF_3'!AX35,'CF_4'!AX35)</x:f>
      </x:c>
      <x:c r="AY8" s="117" t="n">
        <x:f>SUM('CF_1'!AY35,'CF_2'!AY35,'CF_3'!AY35,'CF_4'!AY35)</x:f>
      </x:c>
      <x:c r="AZ8" s="117" t="n">
        <x:f>SUM('CF_1'!AZ35,'CF_2'!AZ35,'CF_3'!AZ35,'CF_4'!AZ35)</x:f>
      </x:c>
      <x:c r="BA8" s="117" t="n">
        <x:f>SUM('CF_1'!BA35,'CF_2'!BA35,'CF_3'!BA35,'CF_4'!BA35)</x:f>
      </x:c>
      <x:c r="BB8" s="117" t="n">
        <x:f>SUM('CF_1'!BB35,'CF_2'!BB35,'CF_3'!BB35,'CF_4'!BB35)</x:f>
      </x:c>
      <x:c r="BC8" s="117" t="n">
        <x:f>SUM('CF_1'!BC35,'CF_2'!BC35,'CF_3'!BC35,'CF_4'!BC35)</x:f>
      </x:c>
      <x:c r="BD8" s="117" t="n">
        <x:f>SUM('CF_1'!BD35,'CF_2'!BD35,'CF_3'!BD35,'CF_4'!BD35)</x:f>
      </x:c>
      <x:c r="BE8" s="117" t="n">
        <x:f>SUM('CF_1'!BE35,'CF_2'!BE35,'CF_3'!BE35,'CF_4'!BE35)</x:f>
      </x:c>
      <x:c r="BF8" s="117" t="n">
        <x:f>SUM('CF_1'!BF35,'CF_2'!BF35,'CF_3'!BF35,'CF_4'!BF35)</x:f>
      </x:c>
      <x:c r="BG8" s="117" t="n">
        <x:f>SUM('CF_1'!BG35,'CF_2'!BG35,'CF_3'!BG35,'CF_4'!BG35)</x:f>
      </x:c>
      <x:c r="BH8" s="117" t="n">
        <x:f>SUM('CF_1'!BH35,'CF_2'!BH35,'CF_3'!BH35,'CF_4'!BH35)</x:f>
      </x:c>
      <x:c r="BI8" s="117" t="n">
        <x:f>SUM('CF_1'!BI35,'CF_2'!BI35,'CF_3'!BI35,'CF_4'!BI35)</x:f>
      </x:c>
      <x:c r="BJ8" s="117" t="n">
        <x:f>SUM('CF_1'!BJ35,'CF_2'!BJ35,'CF_3'!BJ35,'CF_4'!BJ35)</x:f>
      </x:c>
      <x:c r="BK8" s="117" t="n">
        <x:f>SUM('CF_1'!BK35,'CF_2'!BK35,'CF_3'!BK35,'CF_4'!BK35)</x:f>
      </x:c>
      <x:c r="BL8" s="117" t="n">
        <x:f>SUM('CF_1'!BL35,'CF_2'!BL35,'CF_3'!BL35,'CF_4'!BL35)</x:f>
      </x:c>
      <x:c r="BM8" s="117" t="n">
        <x:f>SUM('CF_1'!BM35,'CF_2'!BM35,'CF_3'!BM35,'CF_4'!BM35)</x:f>
      </x:c>
      <x:c r="BN8" s="117" t="n">
        <x:f>SUM('CF_1'!BN35,'CF_2'!BN35,'CF_3'!BN35,'CF_4'!BN35)</x:f>
      </x:c>
      <x:c r="BO8" s="117" t="n">
        <x:f>SUM('CF_1'!BO35,'CF_2'!BO35,'CF_3'!BO35,'CF_4'!BO35)</x:f>
      </x:c>
      <x:c r="BP8" s="117" t="n">
        <x:f>SUM('CF_1'!BP35,'CF_2'!BP35,'CF_3'!BP35,'CF_4'!BP35)</x:f>
      </x:c>
      <x:c r="BQ8" s="117" t="n">
        <x:f>SUM('CF_1'!BQ35,'CF_2'!BQ35,'CF_3'!BQ35,'CF_4'!BQ35)</x:f>
      </x:c>
      <x:c r="BR8" s="117" t="n">
        <x:f>SUM('CF_1'!BR35,'CF_2'!BR35,'CF_3'!BR35,'CF_4'!BR35)</x:f>
      </x:c>
      <x:c r="BS8" s="117" t="n">
        <x:f>SUM('CF_1'!BS35,'CF_2'!BS35,'CF_3'!BS35,'CF_4'!BS35)</x:f>
      </x:c>
      <x:c r="BT8" s="117" t="n">
        <x:f>SUM('CF_1'!BT35,'CF_2'!BT35,'CF_3'!BT35,'CF_4'!BT35)</x:f>
      </x:c>
      <x:c r="BU8" s="117" t="n">
        <x:f>SUM('CF_1'!BU35,'CF_2'!BU35,'CF_3'!BU35,'CF_4'!BU35)</x:f>
      </x:c>
      <x:c r="BV8" s="117" t="n">
        <x:f>SUM('CF_1'!BV35,'CF_2'!BV35,'CF_3'!BV35,'CF_4'!BV35)</x:f>
      </x:c>
      <x:c r="BW8" s="117" t="n">
        <x:f>SUM('CF_1'!BW35,'CF_2'!BW35,'CF_3'!BW35,'CF_4'!BW35)</x:f>
      </x:c>
      <x:c r="BX8" s="117" t="n">
        <x:f>SUM('CF_1'!BX35,'CF_2'!BX35,'CF_3'!BX35,'CF_4'!BX35)</x:f>
      </x:c>
      <x:c r="BY8" s="117" t="n">
        <x:f>SUM('CF_1'!BY35,'CF_2'!BY35,'CF_3'!BY35,'CF_4'!BY35)</x:f>
      </x:c>
      <x:c r="BZ8" s="117" t="n">
        <x:f>SUM('CF_1'!BZ35,'CF_2'!BZ35,'CF_3'!BZ35,'CF_4'!BZ35)</x:f>
      </x:c>
      <x:c r="CA8" s="117" t="n">
        <x:f>SUM('CF_1'!CA35,'CF_2'!CA35,'CF_3'!CA35,'CF_4'!CA35)</x:f>
      </x:c>
      <x:c r="CB8" s="117" t="n">
        <x:f>SUM('CF_1'!CB35,'CF_2'!CB35,'CF_3'!CB35,'CF_4'!CB35)</x:f>
      </x:c>
      <x:c r="CC8" s="117" t="n">
        <x:f>SUM('CF_1'!CC35,'CF_2'!CC35,'CF_3'!CC35,'CF_4'!CC35)</x:f>
      </x:c>
      <x:c r="CD8" s="117" t="n">
        <x:f>SUM('CF_1'!CD35,'CF_2'!CD35,'CF_3'!CD35,'CF_4'!CD35)</x:f>
      </x:c>
      <x:c r="CE8" s="117" t="n">
        <x:f>SUM('CF_1'!CE35,'CF_2'!CE35,'CF_3'!CE35,'CF_4'!CE35)</x:f>
      </x:c>
      <x:c r="CF8" s="117" t="n">
        <x:f>SUM('CF_1'!CF35,'CF_2'!CF35,'CF_3'!CF35,'CF_4'!CF35)</x:f>
      </x:c>
      <x:c r="CG8" s="117" t="n">
        <x:f>SUM('CF_1'!CG35,'CF_2'!CG35,'CF_3'!CG35,'CF_4'!CG35)</x:f>
      </x:c>
      <x:c r="CH8" s="117" t="n">
        <x:f>SUM('CF_1'!CH35,'CF_2'!CH35,'CF_3'!CH35,'CF_4'!CH35)</x:f>
      </x:c>
      <x:c r="CI8" s="117" t="n">
        <x:f>SUM('CF_1'!CI35,'CF_2'!CI35,'CF_3'!CI35,'CF_4'!CI35)</x:f>
      </x:c>
      <x:c r="CJ8" s="117" t="n">
        <x:f>SUM('CF_1'!CJ35,'CF_2'!CJ35,'CF_3'!CJ35,'CF_4'!CJ35)</x:f>
      </x:c>
      <x:c r="CK8" s="117" t="n">
        <x:f>SUM('CF_1'!CK35,'CF_2'!CK35,'CF_3'!CK35,'CF_4'!CK35)</x:f>
      </x:c>
      <x:c r="CL8" s="117" t="n">
        <x:f>SUM('CF_1'!CL35,'CF_2'!CL35,'CF_3'!CL35,'CF_4'!CL35)</x:f>
      </x:c>
      <x:c r="CM8" s="117" t="n">
        <x:f>SUM('CF_1'!CM35,'CF_2'!CM35,'CF_3'!CM35,'CF_4'!CM35)</x:f>
      </x:c>
      <x:c r="CN8" s="117" t="n">
        <x:f>SUM('CF_1'!CN35,'CF_2'!CN35,'CF_3'!CN35,'CF_4'!CN35)</x:f>
      </x:c>
      <x:c r="CO8" s="117" t="n">
        <x:f>SUM('CF_1'!CO35,'CF_2'!CO35,'CF_3'!CO35,'CF_4'!CO35)</x:f>
      </x:c>
      <x:c r="CP8" s="117" t="n">
        <x:f>SUM('CF_1'!CP35,'CF_2'!CP35,'CF_3'!CP35,'CF_4'!CP35)</x:f>
      </x:c>
      <x:c r="CQ8" s="117" t="n">
        <x:f>SUM('CF_1'!CQ35,'CF_2'!CQ35,'CF_3'!CQ35,'CF_4'!CQ35)</x:f>
      </x:c>
      <x:c r="CR8" s="117" t="n">
        <x:f>SUM('CF_1'!CR35,'CF_2'!CR35,'CF_3'!CR35,'CF_4'!CR35)</x:f>
      </x:c>
      <x:c r="CS8" s="117" t="n">
        <x:f>SUM('CF_1'!CS35,'CF_2'!CS35,'CF_3'!CS35,'CF_4'!CS35)</x:f>
      </x:c>
      <x:c r="CT8" s="117" t="n">
        <x:f>SUM('CF_1'!CT35,'CF_2'!CT35,'CF_3'!CT35,'CF_4'!CT35)</x:f>
      </x:c>
      <x:c r="CU8" s="117" t="n">
        <x:f>SUM('CF_1'!CU35,'CF_2'!CU35,'CF_3'!CU35,'CF_4'!CU35)</x:f>
      </x:c>
      <x:c r="CV8" s="117" t="n">
        <x:f>SUM('CF_1'!CV35,'CF_2'!CV35,'CF_3'!CV35,'CF_4'!CV35)</x:f>
      </x:c>
      <x:c r="CW8" s="117" t="n">
        <x:f>SUM('CF_1'!CW35,'CF_2'!CW35,'CF_3'!CW35,'CF_4'!CW35)</x:f>
      </x:c>
      <x:c r="CX8" s="117" t="n">
        <x:f>SUM('CF_1'!CX35,'CF_2'!CX35,'CF_3'!CX35,'CF_4'!CX35)</x:f>
      </x:c>
      <x:c r="CY8" s="117" t="n">
        <x:f>SUM('CF_1'!CY35,'CF_2'!CY35,'CF_3'!CY35,'CF_4'!CY35)</x:f>
      </x:c>
      <x:c r="CZ8" s="117" t="n">
        <x:f>SUM('CF_1'!CZ35,'CF_2'!CZ35,'CF_3'!CZ35,'CF_4'!CZ35)</x:f>
      </x:c>
      <x:c r="DA8" s="117" t="n">
        <x:f>SUM('CF_1'!DA35,'CF_2'!DA35,'CF_3'!DA35,'CF_4'!DA35)</x:f>
      </x:c>
      <x:c r="DB8" s="117" t="n">
        <x:f>SUM('CF_1'!DB35,'CF_2'!DB35,'CF_3'!DB35,'CF_4'!DB35)</x:f>
      </x:c>
      <x:c r="DC8" s="117" t="n">
        <x:f>SUM('CF_1'!DC35,'CF_2'!DC35,'CF_3'!DC35,'CF_4'!DC35)</x:f>
      </x:c>
      <x:c r="DD8" s="117" t="n">
        <x:f>SUM('CF_1'!DD35,'CF_2'!DD35,'CF_3'!DD35,'CF_4'!DD35)</x:f>
      </x:c>
      <x:c r="DE8" s="117" t="n">
        <x:f>SUM('CF_1'!DE35,'CF_2'!DE35,'CF_3'!DE35,'CF_4'!DE35)</x:f>
      </x:c>
      <x:c r="DF8" s="117" t="n">
        <x:f>SUM('CF_1'!DF35,'CF_2'!DF35,'CF_3'!DF35,'CF_4'!DF35)</x:f>
      </x:c>
      <x:c r="DG8" s="117" t="n">
        <x:f>SUM('CF_1'!DG35,'CF_2'!DG35,'CF_3'!DG35,'CF_4'!DG35)</x:f>
      </x:c>
      <x:c r="DH8" s="117" t="n">
        <x:f>SUM('CF_1'!DH35,'CF_2'!DH35,'CF_3'!DH35,'CF_4'!DH35)</x:f>
      </x:c>
      <x:c r="DI8" s="117" t="n">
        <x:f>SUM('CF_1'!DI35,'CF_2'!DI35,'CF_3'!DI35,'CF_4'!DI35)</x:f>
      </x:c>
      <x:c r="DJ8" s="117" t="n">
        <x:f>SUM('CF_1'!DJ35,'CF_2'!DJ35,'CF_3'!DJ35,'CF_4'!DJ35)</x:f>
      </x:c>
      <x:c r="DK8" s="117" t="n">
        <x:f>SUM('CF_1'!DK35,'CF_2'!DK35,'CF_3'!DK35,'CF_4'!DK35)</x:f>
      </x:c>
      <x:c r="DL8" s="117" t="n">
        <x:f>SUM('CF_1'!DL35,'CF_2'!DL35,'CF_3'!DL35,'CF_4'!DL35)</x:f>
      </x:c>
      <x:c r="DM8" s="117" t="n">
        <x:f>SUM('CF_1'!DM35,'CF_2'!DM35,'CF_3'!DM35,'CF_4'!DM35)</x:f>
      </x:c>
      <x:c r="DN8" s="117" t="n">
        <x:f>SUM('CF_1'!DN35,'CF_2'!DN35,'CF_3'!DN35,'CF_4'!DN35)</x:f>
      </x:c>
      <x:c r="DO8" s="117" t="n">
        <x:f>SUM('CF_1'!DO35,'CF_2'!DO35,'CF_3'!DO35,'CF_4'!DO35)</x:f>
      </x:c>
      <x:c r="DP8" s="117" t="n">
        <x:f>SUM('CF_1'!DP35,'CF_2'!DP35,'CF_3'!DP35,'CF_4'!DP35)</x:f>
      </x:c>
      <x:c r="DQ8" s="117" t="n">
        <x:f>SUM('CF_1'!DQ35,'CF_2'!DQ35,'CF_3'!DQ35,'CF_4'!DQ35)</x:f>
      </x:c>
      <x:c r="DR8" s="117" t="n">
        <x:f>SUM('CF_1'!DR35,'CF_2'!DR35,'CF_3'!DR35,'CF_4'!DR35)</x:f>
      </x:c>
      <x:c r="DS8" s="117" t="n">
        <x:f>SUM('CF_1'!DS35,'CF_2'!DS35,'CF_3'!DS35,'CF_4'!DS35)</x:f>
      </x:c>
    </x:row>
    <x:row r="9">
      <x:c r="A9" t="str">
        <x:v>БРИДЖ — долг</x:v>
      </x:c>
      <x:c r="B9" s="107" t="n">
        <x:f>MAX(D9:DS9)</x:f>
      </x:c>
      <x:c r="C9" t="str">
        <x:v>млн ₽</x:v>
      </x:c>
      <x:c r="D9" s="117" t="n">
        <x:f>SUM('CF_1'!D36,'CF_2'!D36,'CF_3'!D36,'CF_4'!D36)</x:f>
      </x:c>
      <x:c r="E9" s="117" t="n">
        <x:f>SUM('CF_1'!E36,'CF_2'!E36,'CF_3'!E36,'CF_4'!E36)</x:f>
      </x:c>
      <x:c r="F9" s="117" t="n">
        <x:f>SUM('CF_1'!F36,'CF_2'!F36,'CF_3'!F36,'CF_4'!F36)</x:f>
      </x:c>
      <x:c r="G9" s="117" t="n">
        <x:f>SUM('CF_1'!G36,'CF_2'!G36,'CF_3'!G36,'CF_4'!G36)</x:f>
      </x:c>
      <x:c r="H9" s="117" t="n">
        <x:f>SUM('CF_1'!H36,'CF_2'!H36,'CF_3'!H36,'CF_4'!H36)</x:f>
      </x:c>
      <x:c r="I9" s="117" t="n">
        <x:f>SUM('CF_1'!I36,'CF_2'!I36,'CF_3'!I36,'CF_4'!I36)</x:f>
      </x:c>
      <x:c r="J9" s="117" t="n">
        <x:f>SUM('CF_1'!J36,'CF_2'!J36,'CF_3'!J36,'CF_4'!J36)</x:f>
      </x:c>
      <x:c r="K9" s="117" t="n">
        <x:f>SUM('CF_1'!K36,'CF_2'!K36,'CF_3'!K36,'CF_4'!K36)</x:f>
      </x:c>
      <x:c r="L9" s="117" t="n">
        <x:f>SUM('CF_1'!L36,'CF_2'!L36,'CF_3'!L36,'CF_4'!L36)</x:f>
      </x:c>
      <x:c r="M9" s="117" t="n">
        <x:f>SUM('CF_1'!M36,'CF_2'!M36,'CF_3'!M36,'CF_4'!M36)</x:f>
      </x:c>
      <x:c r="N9" s="117" t="n">
        <x:f>SUM('CF_1'!N36,'CF_2'!N36,'CF_3'!N36,'CF_4'!N36)</x:f>
      </x:c>
      <x:c r="O9" s="117" t="n">
        <x:f>SUM('CF_1'!O36,'CF_2'!O36,'CF_3'!O36,'CF_4'!O36)</x:f>
      </x:c>
      <x:c r="P9" s="117" t="n">
        <x:f>SUM('CF_1'!P36,'CF_2'!P36,'CF_3'!P36,'CF_4'!P36)</x:f>
      </x:c>
      <x:c r="Q9" s="117" t="n">
        <x:f>SUM('CF_1'!Q36,'CF_2'!Q36,'CF_3'!Q36,'CF_4'!Q36)</x:f>
      </x:c>
      <x:c r="R9" s="117" t="n">
        <x:f>SUM('CF_1'!R36,'CF_2'!R36,'CF_3'!R36,'CF_4'!R36)</x:f>
      </x:c>
      <x:c r="S9" s="117" t="n">
        <x:f>SUM('CF_1'!S36,'CF_2'!S36,'CF_3'!S36,'CF_4'!S36)</x:f>
      </x:c>
      <x:c r="T9" s="117" t="n">
        <x:f>SUM('CF_1'!T36,'CF_2'!T36,'CF_3'!T36,'CF_4'!T36)</x:f>
      </x:c>
      <x:c r="U9" s="117" t="n">
        <x:f>SUM('CF_1'!U36,'CF_2'!U36,'CF_3'!U36,'CF_4'!U36)</x:f>
      </x:c>
      <x:c r="V9" s="117" t="n">
        <x:f>SUM('CF_1'!V36,'CF_2'!V36,'CF_3'!V36,'CF_4'!V36)</x:f>
      </x:c>
      <x:c r="W9" s="117" t="n">
        <x:f>SUM('CF_1'!W36,'CF_2'!W36,'CF_3'!W36,'CF_4'!W36)</x:f>
      </x:c>
      <x:c r="X9" s="117" t="n">
        <x:f>SUM('CF_1'!X36,'CF_2'!X36,'CF_3'!X36,'CF_4'!X36)</x:f>
      </x:c>
      <x:c r="Y9" s="117" t="n">
        <x:f>SUM('CF_1'!Y36,'CF_2'!Y36,'CF_3'!Y36,'CF_4'!Y36)</x:f>
      </x:c>
      <x:c r="Z9" s="117" t="n">
        <x:f>SUM('CF_1'!Z36,'CF_2'!Z36,'CF_3'!Z36,'CF_4'!Z36)</x:f>
      </x:c>
      <x:c r="AA9" s="117" t="n">
        <x:f>SUM('CF_1'!AA36,'CF_2'!AA36,'CF_3'!AA36,'CF_4'!AA36)</x:f>
      </x:c>
      <x:c r="AB9" s="117" t="n">
        <x:f>SUM('CF_1'!AB36,'CF_2'!AB36,'CF_3'!AB36,'CF_4'!AB36)</x:f>
      </x:c>
      <x:c r="AC9" s="117" t="n">
        <x:f>SUM('CF_1'!AC36,'CF_2'!AC36,'CF_3'!AC36,'CF_4'!AC36)</x:f>
      </x:c>
      <x:c r="AD9" s="117" t="n">
        <x:f>SUM('CF_1'!AD36,'CF_2'!AD36,'CF_3'!AD36,'CF_4'!AD36)</x:f>
      </x:c>
      <x:c r="AE9" s="117" t="n">
        <x:f>SUM('CF_1'!AE36,'CF_2'!AE36,'CF_3'!AE36,'CF_4'!AE36)</x:f>
      </x:c>
      <x:c r="AF9" s="117" t="n">
        <x:f>SUM('CF_1'!AF36,'CF_2'!AF36,'CF_3'!AF36,'CF_4'!AF36)</x:f>
      </x:c>
      <x:c r="AG9" s="117" t="n">
        <x:f>SUM('CF_1'!AG36,'CF_2'!AG36,'CF_3'!AG36,'CF_4'!AG36)</x:f>
      </x:c>
      <x:c r="AH9" s="117" t="n">
        <x:f>SUM('CF_1'!AH36,'CF_2'!AH36,'CF_3'!AH36,'CF_4'!AH36)</x:f>
      </x:c>
      <x:c r="AI9" s="117" t="n">
        <x:f>SUM('CF_1'!AI36,'CF_2'!AI36,'CF_3'!AI36,'CF_4'!AI36)</x:f>
      </x:c>
      <x:c r="AJ9" s="117" t="n">
        <x:f>SUM('CF_1'!AJ36,'CF_2'!AJ36,'CF_3'!AJ36,'CF_4'!AJ36)</x:f>
      </x:c>
      <x:c r="AK9" s="117" t="n">
        <x:f>SUM('CF_1'!AK36,'CF_2'!AK36,'CF_3'!AK36,'CF_4'!AK36)</x:f>
      </x:c>
      <x:c r="AL9" s="117" t="n">
        <x:f>SUM('CF_1'!AL36,'CF_2'!AL36,'CF_3'!AL36,'CF_4'!AL36)</x:f>
      </x:c>
      <x:c r="AM9" s="117" t="n">
        <x:f>SUM('CF_1'!AM36,'CF_2'!AM36,'CF_3'!AM36,'CF_4'!AM36)</x:f>
      </x:c>
      <x:c r="AN9" s="117" t="n">
        <x:f>SUM('CF_1'!AN36,'CF_2'!AN36,'CF_3'!AN36,'CF_4'!AN36)</x:f>
      </x:c>
      <x:c r="AO9" s="117" t="n">
        <x:f>SUM('CF_1'!AO36,'CF_2'!AO36,'CF_3'!AO36,'CF_4'!AO36)</x:f>
      </x:c>
      <x:c r="AP9" s="117" t="n">
        <x:f>SUM('CF_1'!AP36,'CF_2'!AP36,'CF_3'!AP36,'CF_4'!AP36)</x:f>
      </x:c>
      <x:c r="AQ9" s="117" t="n">
        <x:f>SUM('CF_1'!AQ36,'CF_2'!AQ36,'CF_3'!AQ36,'CF_4'!AQ36)</x:f>
      </x:c>
      <x:c r="AR9" s="117" t="n">
        <x:f>SUM('CF_1'!AR36,'CF_2'!AR36,'CF_3'!AR36,'CF_4'!AR36)</x:f>
      </x:c>
      <x:c r="AS9" s="117" t="n">
        <x:f>SUM('CF_1'!AS36,'CF_2'!AS36,'CF_3'!AS36,'CF_4'!AS36)</x:f>
      </x:c>
      <x:c r="AT9" s="117" t="n">
        <x:f>SUM('CF_1'!AT36,'CF_2'!AT36,'CF_3'!AT36,'CF_4'!AT36)</x:f>
      </x:c>
      <x:c r="AU9" s="117" t="n">
        <x:f>SUM('CF_1'!AU36,'CF_2'!AU36,'CF_3'!AU36,'CF_4'!AU36)</x:f>
      </x:c>
      <x:c r="AV9" s="117" t="n">
        <x:f>SUM('CF_1'!AV36,'CF_2'!AV36,'CF_3'!AV36,'CF_4'!AV36)</x:f>
      </x:c>
      <x:c r="AW9" s="117" t="n">
        <x:f>SUM('CF_1'!AW36,'CF_2'!AW36,'CF_3'!AW36,'CF_4'!AW36)</x:f>
      </x:c>
      <x:c r="AX9" s="117" t="n">
        <x:f>SUM('CF_1'!AX36,'CF_2'!AX36,'CF_3'!AX36,'CF_4'!AX36)</x:f>
      </x:c>
      <x:c r="AY9" s="117" t="n">
        <x:f>SUM('CF_1'!AY36,'CF_2'!AY36,'CF_3'!AY36,'CF_4'!AY36)</x:f>
      </x:c>
      <x:c r="AZ9" s="117" t="n">
        <x:f>SUM('CF_1'!AZ36,'CF_2'!AZ36,'CF_3'!AZ36,'CF_4'!AZ36)</x:f>
      </x:c>
      <x:c r="BA9" s="117" t="n">
        <x:f>SUM('CF_1'!BA36,'CF_2'!BA36,'CF_3'!BA36,'CF_4'!BA36)</x:f>
      </x:c>
      <x:c r="BB9" s="117" t="n">
        <x:f>SUM('CF_1'!BB36,'CF_2'!BB36,'CF_3'!BB36,'CF_4'!BB36)</x:f>
      </x:c>
      <x:c r="BC9" s="117" t="n">
        <x:f>SUM('CF_1'!BC36,'CF_2'!BC36,'CF_3'!BC36,'CF_4'!BC36)</x:f>
      </x:c>
      <x:c r="BD9" s="117" t="n">
        <x:f>SUM('CF_1'!BD36,'CF_2'!BD36,'CF_3'!BD36,'CF_4'!BD36)</x:f>
      </x:c>
      <x:c r="BE9" s="117" t="n">
        <x:f>SUM('CF_1'!BE36,'CF_2'!BE36,'CF_3'!BE36,'CF_4'!BE36)</x:f>
      </x:c>
      <x:c r="BF9" s="117" t="n">
        <x:f>SUM('CF_1'!BF36,'CF_2'!BF36,'CF_3'!BF36,'CF_4'!BF36)</x:f>
      </x:c>
      <x:c r="BG9" s="117" t="n">
        <x:f>SUM('CF_1'!BG36,'CF_2'!BG36,'CF_3'!BG36,'CF_4'!BG36)</x:f>
      </x:c>
      <x:c r="BH9" s="117" t="n">
        <x:f>SUM('CF_1'!BH36,'CF_2'!BH36,'CF_3'!BH36,'CF_4'!BH36)</x:f>
      </x:c>
      <x:c r="BI9" s="117" t="n">
        <x:f>SUM('CF_1'!BI36,'CF_2'!BI36,'CF_3'!BI36,'CF_4'!BI36)</x:f>
      </x:c>
      <x:c r="BJ9" s="117" t="n">
        <x:f>SUM('CF_1'!BJ36,'CF_2'!BJ36,'CF_3'!BJ36,'CF_4'!BJ36)</x:f>
      </x:c>
      <x:c r="BK9" s="117" t="n">
        <x:f>SUM('CF_1'!BK36,'CF_2'!BK36,'CF_3'!BK36,'CF_4'!BK36)</x:f>
      </x:c>
      <x:c r="BL9" s="117" t="n">
        <x:f>SUM('CF_1'!BL36,'CF_2'!BL36,'CF_3'!BL36,'CF_4'!BL36)</x:f>
      </x:c>
      <x:c r="BM9" s="117" t="n">
        <x:f>SUM('CF_1'!BM36,'CF_2'!BM36,'CF_3'!BM36,'CF_4'!BM36)</x:f>
      </x:c>
      <x:c r="BN9" s="117" t="n">
        <x:f>SUM('CF_1'!BN36,'CF_2'!BN36,'CF_3'!BN36,'CF_4'!BN36)</x:f>
      </x:c>
      <x:c r="BO9" s="117" t="n">
        <x:f>SUM('CF_1'!BO36,'CF_2'!BO36,'CF_3'!BO36,'CF_4'!BO36)</x:f>
      </x:c>
      <x:c r="BP9" s="117" t="n">
        <x:f>SUM('CF_1'!BP36,'CF_2'!BP36,'CF_3'!BP36,'CF_4'!BP36)</x:f>
      </x:c>
      <x:c r="BQ9" s="117" t="n">
        <x:f>SUM('CF_1'!BQ36,'CF_2'!BQ36,'CF_3'!BQ36,'CF_4'!BQ36)</x:f>
      </x:c>
      <x:c r="BR9" s="117" t="n">
        <x:f>SUM('CF_1'!BR36,'CF_2'!BR36,'CF_3'!BR36,'CF_4'!BR36)</x:f>
      </x:c>
      <x:c r="BS9" s="117" t="n">
        <x:f>SUM('CF_1'!BS36,'CF_2'!BS36,'CF_3'!BS36,'CF_4'!BS36)</x:f>
      </x:c>
      <x:c r="BT9" s="117" t="n">
        <x:f>SUM('CF_1'!BT36,'CF_2'!BT36,'CF_3'!BT36,'CF_4'!BT36)</x:f>
      </x:c>
      <x:c r="BU9" s="117" t="n">
        <x:f>SUM('CF_1'!BU36,'CF_2'!BU36,'CF_3'!BU36,'CF_4'!BU36)</x:f>
      </x:c>
      <x:c r="BV9" s="117" t="n">
        <x:f>SUM('CF_1'!BV36,'CF_2'!BV36,'CF_3'!BV36,'CF_4'!BV36)</x:f>
      </x:c>
      <x:c r="BW9" s="117" t="n">
        <x:f>SUM('CF_1'!BW36,'CF_2'!BW36,'CF_3'!BW36,'CF_4'!BW36)</x:f>
      </x:c>
      <x:c r="BX9" s="117" t="n">
        <x:f>SUM('CF_1'!BX36,'CF_2'!BX36,'CF_3'!BX36,'CF_4'!BX36)</x:f>
      </x:c>
      <x:c r="BY9" s="117" t="n">
        <x:f>SUM('CF_1'!BY36,'CF_2'!BY36,'CF_3'!BY36,'CF_4'!BY36)</x:f>
      </x:c>
      <x:c r="BZ9" s="117" t="n">
        <x:f>SUM('CF_1'!BZ36,'CF_2'!BZ36,'CF_3'!BZ36,'CF_4'!BZ36)</x:f>
      </x:c>
      <x:c r="CA9" s="117" t="n">
        <x:f>SUM('CF_1'!CA36,'CF_2'!CA36,'CF_3'!CA36,'CF_4'!CA36)</x:f>
      </x:c>
      <x:c r="CB9" s="117" t="n">
        <x:f>SUM('CF_1'!CB36,'CF_2'!CB36,'CF_3'!CB36,'CF_4'!CB36)</x:f>
      </x:c>
      <x:c r="CC9" s="117" t="n">
        <x:f>SUM('CF_1'!CC36,'CF_2'!CC36,'CF_3'!CC36,'CF_4'!CC36)</x:f>
      </x:c>
      <x:c r="CD9" s="117" t="n">
        <x:f>SUM('CF_1'!CD36,'CF_2'!CD36,'CF_3'!CD36,'CF_4'!CD36)</x:f>
      </x:c>
      <x:c r="CE9" s="117" t="n">
        <x:f>SUM('CF_1'!CE36,'CF_2'!CE36,'CF_3'!CE36,'CF_4'!CE36)</x:f>
      </x:c>
      <x:c r="CF9" s="117" t="n">
        <x:f>SUM('CF_1'!CF36,'CF_2'!CF36,'CF_3'!CF36,'CF_4'!CF36)</x:f>
      </x:c>
      <x:c r="CG9" s="117" t="n">
        <x:f>SUM('CF_1'!CG36,'CF_2'!CG36,'CF_3'!CG36,'CF_4'!CG36)</x:f>
      </x:c>
      <x:c r="CH9" s="117" t="n">
        <x:f>SUM('CF_1'!CH36,'CF_2'!CH36,'CF_3'!CH36,'CF_4'!CH36)</x:f>
      </x:c>
      <x:c r="CI9" s="117" t="n">
        <x:f>SUM('CF_1'!CI36,'CF_2'!CI36,'CF_3'!CI36,'CF_4'!CI36)</x:f>
      </x:c>
      <x:c r="CJ9" s="117" t="n">
        <x:f>SUM('CF_1'!CJ36,'CF_2'!CJ36,'CF_3'!CJ36,'CF_4'!CJ36)</x:f>
      </x:c>
      <x:c r="CK9" s="117" t="n">
        <x:f>SUM('CF_1'!CK36,'CF_2'!CK36,'CF_3'!CK36,'CF_4'!CK36)</x:f>
      </x:c>
      <x:c r="CL9" s="117" t="n">
        <x:f>SUM('CF_1'!CL36,'CF_2'!CL36,'CF_3'!CL36,'CF_4'!CL36)</x:f>
      </x:c>
      <x:c r="CM9" s="117" t="n">
        <x:f>SUM('CF_1'!CM36,'CF_2'!CM36,'CF_3'!CM36,'CF_4'!CM36)</x:f>
      </x:c>
      <x:c r="CN9" s="117" t="n">
        <x:f>SUM('CF_1'!CN36,'CF_2'!CN36,'CF_3'!CN36,'CF_4'!CN36)</x:f>
      </x:c>
      <x:c r="CO9" s="117" t="n">
        <x:f>SUM('CF_1'!CO36,'CF_2'!CO36,'CF_3'!CO36,'CF_4'!CO36)</x:f>
      </x:c>
      <x:c r="CP9" s="117" t="n">
        <x:f>SUM('CF_1'!CP36,'CF_2'!CP36,'CF_3'!CP36,'CF_4'!CP36)</x:f>
      </x:c>
      <x:c r="CQ9" s="117" t="n">
        <x:f>SUM('CF_1'!CQ36,'CF_2'!CQ36,'CF_3'!CQ36,'CF_4'!CQ36)</x:f>
      </x:c>
      <x:c r="CR9" s="117" t="n">
        <x:f>SUM('CF_1'!CR36,'CF_2'!CR36,'CF_3'!CR36,'CF_4'!CR36)</x:f>
      </x:c>
      <x:c r="CS9" s="117" t="n">
        <x:f>SUM('CF_1'!CS36,'CF_2'!CS36,'CF_3'!CS36,'CF_4'!CS36)</x:f>
      </x:c>
      <x:c r="CT9" s="117" t="n">
        <x:f>SUM('CF_1'!CT36,'CF_2'!CT36,'CF_3'!CT36,'CF_4'!CT36)</x:f>
      </x:c>
      <x:c r="CU9" s="117" t="n">
        <x:f>SUM('CF_1'!CU36,'CF_2'!CU36,'CF_3'!CU36,'CF_4'!CU36)</x:f>
      </x:c>
      <x:c r="CV9" s="117" t="n">
        <x:f>SUM('CF_1'!CV36,'CF_2'!CV36,'CF_3'!CV36,'CF_4'!CV36)</x:f>
      </x:c>
      <x:c r="CW9" s="117" t="n">
        <x:f>SUM('CF_1'!CW36,'CF_2'!CW36,'CF_3'!CW36,'CF_4'!CW36)</x:f>
      </x:c>
      <x:c r="CX9" s="117" t="n">
        <x:f>SUM('CF_1'!CX36,'CF_2'!CX36,'CF_3'!CX36,'CF_4'!CX36)</x:f>
      </x:c>
      <x:c r="CY9" s="117" t="n">
        <x:f>SUM('CF_1'!CY36,'CF_2'!CY36,'CF_3'!CY36,'CF_4'!CY36)</x:f>
      </x:c>
      <x:c r="CZ9" s="117" t="n">
        <x:f>SUM('CF_1'!CZ36,'CF_2'!CZ36,'CF_3'!CZ36,'CF_4'!CZ36)</x:f>
      </x:c>
      <x:c r="DA9" s="117" t="n">
        <x:f>SUM('CF_1'!DA36,'CF_2'!DA36,'CF_3'!DA36,'CF_4'!DA36)</x:f>
      </x:c>
      <x:c r="DB9" s="117" t="n">
        <x:f>SUM('CF_1'!DB36,'CF_2'!DB36,'CF_3'!DB36,'CF_4'!DB36)</x:f>
      </x:c>
      <x:c r="DC9" s="117" t="n">
        <x:f>SUM('CF_1'!DC36,'CF_2'!DC36,'CF_3'!DC36,'CF_4'!DC36)</x:f>
      </x:c>
      <x:c r="DD9" s="117" t="n">
        <x:f>SUM('CF_1'!DD36,'CF_2'!DD36,'CF_3'!DD36,'CF_4'!DD36)</x:f>
      </x:c>
      <x:c r="DE9" s="117" t="n">
        <x:f>SUM('CF_1'!DE36,'CF_2'!DE36,'CF_3'!DE36,'CF_4'!DE36)</x:f>
      </x:c>
      <x:c r="DF9" s="117" t="n">
        <x:f>SUM('CF_1'!DF36,'CF_2'!DF36,'CF_3'!DF36,'CF_4'!DF36)</x:f>
      </x:c>
      <x:c r="DG9" s="117" t="n">
        <x:f>SUM('CF_1'!DG36,'CF_2'!DG36,'CF_3'!DG36,'CF_4'!DG36)</x:f>
      </x:c>
      <x:c r="DH9" s="117" t="n">
        <x:f>SUM('CF_1'!DH36,'CF_2'!DH36,'CF_3'!DH36,'CF_4'!DH36)</x:f>
      </x:c>
      <x:c r="DI9" s="117" t="n">
        <x:f>SUM('CF_1'!DI36,'CF_2'!DI36,'CF_3'!DI36,'CF_4'!DI36)</x:f>
      </x:c>
      <x:c r="DJ9" s="117" t="n">
        <x:f>SUM('CF_1'!DJ36,'CF_2'!DJ36,'CF_3'!DJ36,'CF_4'!DJ36)</x:f>
      </x:c>
      <x:c r="DK9" s="117" t="n">
        <x:f>SUM('CF_1'!DK36,'CF_2'!DK36,'CF_3'!DK36,'CF_4'!DK36)</x:f>
      </x:c>
      <x:c r="DL9" s="117" t="n">
        <x:f>SUM('CF_1'!DL36,'CF_2'!DL36,'CF_3'!DL36,'CF_4'!DL36)</x:f>
      </x:c>
      <x:c r="DM9" s="117" t="n">
        <x:f>SUM('CF_1'!DM36,'CF_2'!DM36,'CF_3'!DM36,'CF_4'!DM36)</x:f>
      </x:c>
      <x:c r="DN9" s="117" t="n">
        <x:f>SUM('CF_1'!DN36,'CF_2'!DN36,'CF_3'!DN36,'CF_4'!DN36)</x:f>
      </x:c>
      <x:c r="DO9" s="117" t="n">
        <x:f>SUM('CF_1'!DO36,'CF_2'!DO36,'CF_3'!DO36,'CF_4'!DO36)</x:f>
      </x:c>
      <x:c r="DP9" s="117" t="n">
        <x:f>SUM('CF_1'!DP36,'CF_2'!DP36,'CF_3'!DP36,'CF_4'!DP36)</x:f>
      </x:c>
      <x:c r="DQ9" s="117" t="n">
        <x:f>SUM('CF_1'!DQ36,'CF_2'!DQ36,'CF_3'!DQ36,'CF_4'!DQ36)</x:f>
      </x:c>
      <x:c r="DR9" s="117" t="n">
        <x:f>SUM('CF_1'!DR36,'CF_2'!DR36,'CF_3'!DR36,'CF_4'!DR36)</x:f>
      </x:c>
      <x:c r="DS9" s="117" t="n">
        <x:f>SUM('CF_1'!DS36,'CF_2'!DS36,'CF_3'!DS36,'CF_4'!DS36)</x:f>
      </x:c>
    </x:row>
    <x:row r="10">
      <x:c r="A10" t="str">
        <x:v>ПФ — выборка</x:v>
      </x:c>
      <x:c r="B10" s="107" t="n">
        <x:f>SUM(D10:DS10)</x:f>
      </x:c>
      <x:c r="C10" t="str">
        <x:v>млн ₽</x:v>
      </x:c>
      <x:c r="D10" s="117" t="n">
        <x:f>SUM('CF_1'!D45,'CF_2'!D45,'CF_3'!D45,'CF_4'!D45)</x:f>
      </x:c>
      <x:c r="E10" s="117" t="n">
        <x:f>SUM('CF_1'!E45,'CF_2'!E45,'CF_3'!E45,'CF_4'!E45)</x:f>
      </x:c>
      <x:c r="F10" s="117" t="n">
        <x:f>SUM('CF_1'!F45,'CF_2'!F45,'CF_3'!F45,'CF_4'!F45)</x:f>
      </x:c>
      <x:c r="G10" s="117" t="n">
        <x:f>SUM('CF_1'!G45,'CF_2'!G45,'CF_3'!G45,'CF_4'!G45)</x:f>
      </x:c>
      <x:c r="H10" s="117" t="n">
        <x:f>SUM('CF_1'!H45,'CF_2'!H45,'CF_3'!H45,'CF_4'!H45)</x:f>
      </x:c>
      <x:c r="I10" s="117" t="n">
        <x:f>SUM('CF_1'!I45,'CF_2'!I45,'CF_3'!I45,'CF_4'!I45)</x:f>
      </x:c>
      <x:c r="J10" s="117" t="n">
        <x:f>SUM('CF_1'!J45,'CF_2'!J45,'CF_3'!J45,'CF_4'!J45)</x:f>
      </x:c>
      <x:c r="K10" s="117" t="n">
        <x:f>SUM('CF_1'!K45,'CF_2'!K45,'CF_3'!K45,'CF_4'!K45)</x:f>
      </x:c>
      <x:c r="L10" s="117" t="n">
        <x:f>SUM('CF_1'!L45,'CF_2'!L45,'CF_3'!L45,'CF_4'!L45)</x:f>
      </x:c>
      <x:c r="M10" s="117" t="n">
        <x:f>SUM('CF_1'!M45,'CF_2'!M45,'CF_3'!M45,'CF_4'!M45)</x:f>
      </x:c>
      <x:c r="N10" s="117" t="n">
        <x:f>SUM('CF_1'!N45,'CF_2'!N45,'CF_3'!N45,'CF_4'!N45)</x:f>
      </x:c>
      <x:c r="O10" s="117" t="n">
        <x:f>SUM('CF_1'!O45,'CF_2'!O45,'CF_3'!O45,'CF_4'!O45)</x:f>
      </x:c>
      <x:c r="P10" s="117" t="n">
        <x:f>SUM('CF_1'!P45,'CF_2'!P45,'CF_3'!P45,'CF_4'!P45)</x:f>
      </x:c>
      <x:c r="Q10" s="117" t="n">
        <x:f>SUM('CF_1'!Q45,'CF_2'!Q45,'CF_3'!Q45,'CF_4'!Q45)</x:f>
      </x:c>
      <x:c r="R10" s="117" t="n">
        <x:f>SUM('CF_1'!R45,'CF_2'!R45,'CF_3'!R45,'CF_4'!R45)</x:f>
      </x:c>
      <x:c r="S10" s="117" t="n">
        <x:f>SUM('CF_1'!S45,'CF_2'!S45,'CF_3'!S45,'CF_4'!S45)</x:f>
      </x:c>
      <x:c r="T10" s="117" t="n">
        <x:f>SUM('CF_1'!T45,'CF_2'!T45,'CF_3'!T45,'CF_4'!T45)</x:f>
      </x:c>
      <x:c r="U10" s="117" t="n">
        <x:f>SUM('CF_1'!U45,'CF_2'!U45,'CF_3'!U45,'CF_4'!U45)</x:f>
      </x:c>
      <x:c r="V10" s="117" t="n">
        <x:f>SUM('CF_1'!V45,'CF_2'!V45,'CF_3'!V45,'CF_4'!V45)</x:f>
      </x:c>
      <x:c r="W10" s="117" t="n">
        <x:f>SUM('CF_1'!W45,'CF_2'!W45,'CF_3'!W45,'CF_4'!W45)</x:f>
      </x:c>
      <x:c r="X10" s="117" t="n">
        <x:f>SUM('CF_1'!X45,'CF_2'!X45,'CF_3'!X45,'CF_4'!X45)</x:f>
      </x:c>
      <x:c r="Y10" s="117" t="n">
        <x:f>SUM('CF_1'!Y45,'CF_2'!Y45,'CF_3'!Y45,'CF_4'!Y45)</x:f>
      </x:c>
      <x:c r="Z10" s="117" t="n">
        <x:f>SUM('CF_1'!Z45,'CF_2'!Z45,'CF_3'!Z45,'CF_4'!Z45)</x:f>
      </x:c>
      <x:c r="AA10" s="117" t="n">
        <x:f>SUM('CF_1'!AA45,'CF_2'!AA45,'CF_3'!AA45,'CF_4'!AA45)</x:f>
      </x:c>
      <x:c r="AB10" s="117" t="n">
        <x:f>SUM('CF_1'!AB45,'CF_2'!AB45,'CF_3'!AB45,'CF_4'!AB45)</x:f>
      </x:c>
      <x:c r="AC10" s="117" t="n">
        <x:f>SUM('CF_1'!AC45,'CF_2'!AC45,'CF_3'!AC45,'CF_4'!AC45)</x:f>
      </x:c>
      <x:c r="AD10" s="117" t="n">
        <x:f>SUM('CF_1'!AD45,'CF_2'!AD45,'CF_3'!AD45,'CF_4'!AD45)</x:f>
      </x:c>
      <x:c r="AE10" s="117" t="n">
        <x:f>SUM('CF_1'!AE45,'CF_2'!AE45,'CF_3'!AE45,'CF_4'!AE45)</x:f>
      </x:c>
      <x:c r="AF10" s="117" t="n">
        <x:f>SUM('CF_1'!AF45,'CF_2'!AF45,'CF_3'!AF45,'CF_4'!AF45)</x:f>
      </x:c>
      <x:c r="AG10" s="117" t="n">
        <x:f>SUM('CF_1'!AG45,'CF_2'!AG45,'CF_3'!AG45,'CF_4'!AG45)</x:f>
      </x:c>
      <x:c r="AH10" s="117" t="n">
        <x:f>SUM('CF_1'!AH45,'CF_2'!AH45,'CF_3'!AH45,'CF_4'!AH45)</x:f>
      </x:c>
      <x:c r="AI10" s="117" t="n">
        <x:f>SUM('CF_1'!AI45,'CF_2'!AI45,'CF_3'!AI45,'CF_4'!AI45)</x:f>
      </x:c>
      <x:c r="AJ10" s="117" t="n">
        <x:f>SUM('CF_1'!AJ45,'CF_2'!AJ45,'CF_3'!AJ45,'CF_4'!AJ45)</x:f>
      </x:c>
      <x:c r="AK10" s="117" t="n">
        <x:f>SUM('CF_1'!AK45,'CF_2'!AK45,'CF_3'!AK45,'CF_4'!AK45)</x:f>
      </x:c>
      <x:c r="AL10" s="117" t="n">
        <x:f>SUM('CF_1'!AL45,'CF_2'!AL45,'CF_3'!AL45,'CF_4'!AL45)</x:f>
      </x:c>
      <x:c r="AM10" s="117" t="n">
        <x:f>SUM('CF_1'!AM45,'CF_2'!AM45,'CF_3'!AM45,'CF_4'!AM45)</x:f>
      </x:c>
      <x:c r="AN10" s="117" t="n">
        <x:f>SUM('CF_1'!AN45,'CF_2'!AN45,'CF_3'!AN45,'CF_4'!AN45)</x:f>
      </x:c>
      <x:c r="AO10" s="117" t="n">
        <x:f>SUM('CF_1'!AO45,'CF_2'!AO45,'CF_3'!AO45,'CF_4'!AO45)</x:f>
      </x:c>
      <x:c r="AP10" s="117" t="n">
        <x:f>SUM('CF_1'!AP45,'CF_2'!AP45,'CF_3'!AP45,'CF_4'!AP45)</x:f>
      </x:c>
      <x:c r="AQ10" s="117" t="n">
        <x:f>SUM('CF_1'!AQ45,'CF_2'!AQ45,'CF_3'!AQ45,'CF_4'!AQ45)</x:f>
      </x:c>
      <x:c r="AR10" s="117" t="n">
        <x:f>SUM('CF_1'!AR45,'CF_2'!AR45,'CF_3'!AR45,'CF_4'!AR45)</x:f>
      </x:c>
      <x:c r="AS10" s="117" t="n">
        <x:f>SUM('CF_1'!AS45,'CF_2'!AS45,'CF_3'!AS45,'CF_4'!AS45)</x:f>
      </x:c>
      <x:c r="AT10" s="117" t="n">
        <x:f>SUM('CF_1'!AT45,'CF_2'!AT45,'CF_3'!AT45,'CF_4'!AT45)</x:f>
      </x:c>
      <x:c r="AU10" s="117" t="n">
        <x:f>SUM('CF_1'!AU45,'CF_2'!AU45,'CF_3'!AU45,'CF_4'!AU45)</x:f>
      </x:c>
      <x:c r="AV10" s="117" t="n">
        <x:f>SUM('CF_1'!AV45,'CF_2'!AV45,'CF_3'!AV45,'CF_4'!AV45)</x:f>
      </x:c>
      <x:c r="AW10" s="117" t="n">
        <x:f>SUM('CF_1'!AW45,'CF_2'!AW45,'CF_3'!AW45,'CF_4'!AW45)</x:f>
      </x:c>
      <x:c r="AX10" s="117" t="n">
        <x:f>SUM('CF_1'!AX45,'CF_2'!AX45,'CF_3'!AX45,'CF_4'!AX45)</x:f>
      </x:c>
      <x:c r="AY10" s="117" t="n">
        <x:f>SUM('CF_1'!AY45,'CF_2'!AY45,'CF_3'!AY45,'CF_4'!AY45)</x:f>
      </x:c>
      <x:c r="AZ10" s="117" t="n">
        <x:f>SUM('CF_1'!AZ45,'CF_2'!AZ45,'CF_3'!AZ45,'CF_4'!AZ45)</x:f>
      </x:c>
      <x:c r="BA10" s="117" t="n">
        <x:f>SUM('CF_1'!BA45,'CF_2'!BA45,'CF_3'!BA45,'CF_4'!BA45)</x:f>
      </x:c>
      <x:c r="BB10" s="117" t="n">
        <x:f>SUM('CF_1'!BB45,'CF_2'!BB45,'CF_3'!BB45,'CF_4'!BB45)</x:f>
      </x:c>
      <x:c r="BC10" s="117" t="n">
        <x:f>SUM('CF_1'!BC45,'CF_2'!BC45,'CF_3'!BC45,'CF_4'!BC45)</x:f>
      </x:c>
      <x:c r="BD10" s="117" t="n">
        <x:f>SUM('CF_1'!BD45,'CF_2'!BD45,'CF_3'!BD45,'CF_4'!BD45)</x:f>
      </x:c>
      <x:c r="BE10" s="117" t="n">
        <x:f>SUM('CF_1'!BE45,'CF_2'!BE45,'CF_3'!BE45,'CF_4'!BE45)</x:f>
      </x:c>
      <x:c r="BF10" s="117" t="n">
        <x:f>SUM('CF_1'!BF45,'CF_2'!BF45,'CF_3'!BF45,'CF_4'!BF45)</x:f>
      </x:c>
      <x:c r="BG10" s="117" t="n">
        <x:f>SUM('CF_1'!BG45,'CF_2'!BG45,'CF_3'!BG45,'CF_4'!BG45)</x:f>
      </x:c>
      <x:c r="BH10" s="117" t="n">
        <x:f>SUM('CF_1'!BH45,'CF_2'!BH45,'CF_3'!BH45,'CF_4'!BH45)</x:f>
      </x:c>
      <x:c r="BI10" s="117" t="n">
        <x:f>SUM('CF_1'!BI45,'CF_2'!BI45,'CF_3'!BI45,'CF_4'!BI45)</x:f>
      </x:c>
      <x:c r="BJ10" s="117" t="n">
        <x:f>SUM('CF_1'!BJ45,'CF_2'!BJ45,'CF_3'!BJ45,'CF_4'!BJ45)</x:f>
      </x:c>
      <x:c r="BK10" s="117" t="n">
        <x:f>SUM('CF_1'!BK45,'CF_2'!BK45,'CF_3'!BK45,'CF_4'!BK45)</x:f>
      </x:c>
      <x:c r="BL10" s="117" t="n">
        <x:f>SUM('CF_1'!BL45,'CF_2'!BL45,'CF_3'!BL45,'CF_4'!BL45)</x:f>
      </x:c>
      <x:c r="BM10" s="117" t="n">
        <x:f>SUM('CF_1'!BM45,'CF_2'!BM45,'CF_3'!BM45,'CF_4'!BM45)</x:f>
      </x:c>
      <x:c r="BN10" s="117" t="n">
        <x:f>SUM('CF_1'!BN45,'CF_2'!BN45,'CF_3'!BN45,'CF_4'!BN45)</x:f>
      </x:c>
      <x:c r="BO10" s="117" t="n">
        <x:f>SUM('CF_1'!BO45,'CF_2'!BO45,'CF_3'!BO45,'CF_4'!BO45)</x:f>
      </x:c>
      <x:c r="BP10" s="117" t="n">
        <x:f>SUM('CF_1'!BP45,'CF_2'!BP45,'CF_3'!BP45,'CF_4'!BP45)</x:f>
      </x:c>
      <x:c r="BQ10" s="117" t="n">
        <x:f>SUM('CF_1'!BQ45,'CF_2'!BQ45,'CF_3'!BQ45,'CF_4'!BQ45)</x:f>
      </x:c>
      <x:c r="BR10" s="117" t="n">
        <x:f>SUM('CF_1'!BR45,'CF_2'!BR45,'CF_3'!BR45,'CF_4'!BR45)</x:f>
      </x:c>
      <x:c r="BS10" s="117" t="n">
        <x:f>SUM('CF_1'!BS45,'CF_2'!BS45,'CF_3'!BS45,'CF_4'!BS45)</x:f>
      </x:c>
      <x:c r="BT10" s="117" t="n">
        <x:f>SUM('CF_1'!BT45,'CF_2'!BT45,'CF_3'!BT45,'CF_4'!BT45)</x:f>
      </x:c>
      <x:c r="BU10" s="117" t="n">
        <x:f>SUM('CF_1'!BU45,'CF_2'!BU45,'CF_3'!BU45,'CF_4'!BU45)</x:f>
      </x:c>
      <x:c r="BV10" s="117" t="n">
        <x:f>SUM('CF_1'!BV45,'CF_2'!BV45,'CF_3'!BV45,'CF_4'!BV45)</x:f>
      </x:c>
      <x:c r="BW10" s="117" t="n">
        <x:f>SUM('CF_1'!BW45,'CF_2'!BW45,'CF_3'!BW45,'CF_4'!BW45)</x:f>
      </x:c>
      <x:c r="BX10" s="117" t="n">
        <x:f>SUM('CF_1'!BX45,'CF_2'!BX45,'CF_3'!BX45,'CF_4'!BX45)</x:f>
      </x:c>
      <x:c r="BY10" s="117" t="n">
        <x:f>SUM('CF_1'!BY45,'CF_2'!BY45,'CF_3'!BY45,'CF_4'!BY45)</x:f>
      </x:c>
      <x:c r="BZ10" s="117" t="n">
        <x:f>SUM('CF_1'!BZ45,'CF_2'!BZ45,'CF_3'!BZ45,'CF_4'!BZ45)</x:f>
      </x:c>
      <x:c r="CA10" s="117" t="n">
        <x:f>SUM('CF_1'!CA45,'CF_2'!CA45,'CF_3'!CA45,'CF_4'!CA45)</x:f>
      </x:c>
      <x:c r="CB10" s="117" t="n">
        <x:f>SUM('CF_1'!CB45,'CF_2'!CB45,'CF_3'!CB45,'CF_4'!CB45)</x:f>
      </x:c>
      <x:c r="CC10" s="117" t="n">
        <x:f>SUM('CF_1'!CC45,'CF_2'!CC45,'CF_3'!CC45,'CF_4'!CC45)</x:f>
      </x:c>
      <x:c r="CD10" s="117" t="n">
        <x:f>SUM('CF_1'!CD45,'CF_2'!CD45,'CF_3'!CD45,'CF_4'!CD45)</x:f>
      </x:c>
      <x:c r="CE10" s="117" t="n">
        <x:f>SUM('CF_1'!CE45,'CF_2'!CE45,'CF_3'!CE45,'CF_4'!CE45)</x:f>
      </x:c>
      <x:c r="CF10" s="117" t="n">
        <x:f>SUM('CF_1'!CF45,'CF_2'!CF45,'CF_3'!CF45,'CF_4'!CF45)</x:f>
      </x:c>
      <x:c r="CG10" s="117" t="n">
        <x:f>SUM('CF_1'!CG45,'CF_2'!CG45,'CF_3'!CG45,'CF_4'!CG45)</x:f>
      </x:c>
      <x:c r="CH10" s="117" t="n">
        <x:f>SUM('CF_1'!CH45,'CF_2'!CH45,'CF_3'!CH45,'CF_4'!CH45)</x:f>
      </x:c>
      <x:c r="CI10" s="117" t="n">
        <x:f>SUM('CF_1'!CI45,'CF_2'!CI45,'CF_3'!CI45,'CF_4'!CI45)</x:f>
      </x:c>
      <x:c r="CJ10" s="117" t="n">
        <x:f>SUM('CF_1'!CJ45,'CF_2'!CJ45,'CF_3'!CJ45,'CF_4'!CJ45)</x:f>
      </x:c>
      <x:c r="CK10" s="117" t="n">
        <x:f>SUM('CF_1'!CK45,'CF_2'!CK45,'CF_3'!CK45,'CF_4'!CK45)</x:f>
      </x:c>
      <x:c r="CL10" s="117" t="n">
        <x:f>SUM('CF_1'!CL45,'CF_2'!CL45,'CF_3'!CL45,'CF_4'!CL45)</x:f>
      </x:c>
      <x:c r="CM10" s="117" t="n">
        <x:f>SUM('CF_1'!CM45,'CF_2'!CM45,'CF_3'!CM45,'CF_4'!CM45)</x:f>
      </x:c>
      <x:c r="CN10" s="117" t="n">
        <x:f>SUM('CF_1'!CN45,'CF_2'!CN45,'CF_3'!CN45,'CF_4'!CN45)</x:f>
      </x:c>
      <x:c r="CO10" s="117" t="n">
        <x:f>SUM('CF_1'!CO45,'CF_2'!CO45,'CF_3'!CO45,'CF_4'!CO45)</x:f>
      </x:c>
      <x:c r="CP10" s="117" t="n">
        <x:f>SUM('CF_1'!CP45,'CF_2'!CP45,'CF_3'!CP45,'CF_4'!CP45)</x:f>
      </x:c>
      <x:c r="CQ10" s="117" t="n">
        <x:f>SUM('CF_1'!CQ45,'CF_2'!CQ45,'CF_3'!CQ45,'CF_4'!CQ45)</x:f>
      </x:c>
      <x:c r="CR10" s="117" t="n">
        <x:f>SUM('CF_1'!CR45,'CF_2'!CR45,'CF_3'!CR45,'CF_4'!CR45)</x:f>
      </x:c>
      <x:c r="CS10" s="117" t="n">
        <x:f>SUM('CF_1'!CS45,'CF_2'!CS45,'CF_3'!CS45,'CF_4'!CS45)</x:f>
      </x:c>
      <x:c r="CT10" s="117" t="n">
        <x:f>SUM('CF_1'!CT45,'CF_2'!CT45,'CF_3'!CT45,'CF_4'!CT45)</x:f>
      </x:c>
      <x:c r="CU10" s="117" t="n">
        <x:f>SUM('CF_1'!CU45,'CF_2'!CU45,'CF_3'!CU45,'CF_4'!CU45)</x:f>
      </x:c>
      <x:c r="CV10" s="117" t="n">
        <x:f>SUM('CF_1'!CV45,'CF_2'!CV45,'CF_3'!CV45,'CF_4'!CV45)</x:f>
      </x:c>
      <x:c r="CW10" s="117" t="n">
        <x:f>SUM('CF_1'!CW45,'CF_2'!CW45,'CF_3'!CW45,'CF_4'!CW45)</x:f>
      </x:c>
      <x:c r="CX10" s="117" t="n">
        <x:f>SUM('CF_1'!CX45,'CF_2'!CX45,'CF_3'!CX45,'CF_4'!CX45)</x:f>
      </x:c>
      <x:c r="CY10" s="117" t="n">
        <x:f>SUM('CF_1'!CY45,'CF_2'!CY45,'CF_3'!CY45,'CF_4'!CY45)</x:f>
      </x:c>
      <x:c r="CZ10" s="117" t="n">
        <x:f>SUM('CF_1'!CZ45,'CF_2'!CZ45,'CF_3'!CZ45,'CF_4'!CZ45)</x:f>
      </x:c>
      <x:c r="DA10" s="117" t="n">
        <x:f>SUM('CF_1'!DA45,'CF_2'!DA45,'CF_3'!DA45,'CF_4'!DA45)</x:f>
      </x:c>
      <x:c r="DB10" s="117" t="n">
        <x:f>SUM('CF_1'!DB45,'CF_2'!DB45,'CF_3'!DB45,'CF_4'!DB45)</x:f>
      </x:c>
      <x:c r="DC10" s="117" t="n">
        <x:f>SUM('CF_1'!DC45,'CF_2'!DC45,'CF_3'!DC45,'CF_4'!DC45)</x:f>
      </x:c>
      <x:c r="DD10" s="117" t="n">
        <x:f>SUM('CF_1'!DD45,'CF_2'!DD45,'CF_3'!DD45,'CF_4'!DD45)</x:f>
      </x:c>
      <x:c r="DE10" s="117" t="n">
        <x:f>SUM('CF_1'!DE45,'CF_2'!DE45,'CF_3'!DE45,'CF_4'!DE45)</x:f>
      </x:c>
      <x:c r="DF10" s="117" t="n">
        <x:f>SUM('CF_1'!DF45,'CF_2'!DF45,'CF_3'!DF45,'CF_4'!DF45)</x:f>
      </x:c>
      <x:c r="DG10" s="117" t="n">
        <x:f>SUM('CF_1'!DG45,'CF_2'!DG45,'CF_3'!DG45,'CF_4'!DG45)</x:f>
      </x:c>
      <x:c r="DH10" s="117" t="n">
        <x:f>SUM('CF_1'!DH45,'CF_2'!DH45,'CF_3'!DH45,'CF_4'!DH45)</x:f>
      </x:c>
      <x:c r="DI10" s="117" t="n">
        <x:f>SUM('CF_1'!DI45,'CF_2'!DI45,'CF_3'!DI45,'CF_4'!DI45)</x:f>
      </x:c>
      <x:c r="DJ10" s="117" t="n">
        <x:f>SUM('CF_1'!DJ45,'CF_2'!DJ45,'CF_3'!DJ45,'CF_4'!DJ45)</x:f>
      </x:c>
      <x:c r="DK10" s="117" t="n">
        <x:f>SUM('CF_1'!DK45,'CF_2'!DK45,'CF_3'!DK45,'CF_4'!DK45)</x:f>
      </x:c>
      <x:c r="DL10" s="117" t="n">
        <x:f>SUM('CF_1'!DL45,'CF_2'!DL45,'CF_3'!DL45,'CF_4'!DL45)</x:f>
      </x:c>
      <x:c r="DM10" s="117" t="n">
        <x:f>SUM('CF_1'!DM45,'CF_2'!DM45,'CF_3'!DM45,'CF_4'!DM45)</x:f>
      </x:c>
      <x:c r="DN10" s="117" t="n">
        <x:f>SUM('CF_1'!DN45,'CF_2'!DN45,'CF_3'!DN45,'CF_4'!DN45)</x:f>
      </x:c>
      <x:c r="DO10" s="117" t="n">
        <x:f>SUM('CF_1'!DO45,'CF_2'!DO45,'CF_3'!DO45,'CF_4'!DO45)</x:f>
      </x:c>
      <x:c r="DP10" s="117" t="n">
        <x:f>SUM('CF_1'!DP45,'CF_2'!DP45,'CF_3'!DP45,'CF_4'!DP45)</x:f>
      </x:c>
      <x:c r="DQ10" s="117" t="n">
        <x:f>SUM('CF_1'!DQ45,'CF_2'!DQ45,'CF_3'!DQ45,'CF_4'!DQ45)</x:f>
      </x:c>
      <x:c r="DR10" s="117" t="n">
        <x:f>SUM('CF_1'!DR45,'CF_2'!DR45,'CF_3'!DR45,'CF_4'!DR45)</x:f>
      </x:c>
      <x:c r="DS10" s="117" t="n">
        <x:f>SUM('CF_1'!DS45,'CF_2'!DS45,'CF_3'!DS45,'CF_4'!DS45)</x:f>
      </x:c>
    </x:row>
    <x:row r="11">
      <x:c r="A11" t="str">
        <x:v>ПФ — проценты</x:v>
      </x:c>
      <x:c r="B11" s="107" t="n">
        <x:f>SUM(D11:DS11)</x:f>
      </x:c>
      <x:c r="C11" t="str">
        <x:v>млн ₽</x:v>
      </x:c>
      <x:c r="D11" s="117" t="n">
        <x:f>SUM('CF_1'!D42,'CF_2'!D42,'CF_3'!D42,'CF_4'!D42)</x:f>
      </x:c>
      <x:c r="E11" s="117" t="n">
        <x:f>SUM('CF_1'!E42,'CF_2'!E42,'CF_3'!E42,'CF_4'!E42)</x:f>
      </x:c>
      <x:c r="F11" s="117" t="n">
        <x:f>SUM('CF_1'!F42,'CF_2'!F42,'CF_3'!F42,'CF_4'!F42)</x:f>
      </x:c>
      <x:c r="G11" s="117" t="n">
        <x:f>SUM('CF_1'!G42,'CF_2'!G42,'CF_3'!G42,'CF_4'!G42)</x:f>
      </x:c>
      <x:c r="H11" s="117" t="n">
        <x:f>SUM('CF_1'!H42,'CF_2'!H42,'CF_3'!H42,'CF_4'!H42)</x:f>
      </x:c>
      <x:c r="I11" s="117" t="n">
        <x:f>SUM('CF_1'!I42,'CF_2'!I42,'CF_3'!I42,'CF_4'!I42)</x:f>
      </x:c>
      <x:c r="J11" s="117" t="n">
        <x:f>SUM('CF_1'!J42,'CF_2'!J42,'CF_3'!J42,'CF_4'!J42)</x:f>
      </x:c>
      <x:c r="K11" s="117" t="n">
        <x:f>SUM('CF_1'!K42,'CF_2'!K42,'CF_3'!K42,'CF_4'!K42)</x:f>
      </x:c>
      <x:c r="L11" s="117" t="n">
        <x:f>SUM('CF_1'!L42,'CF_2'!L42,'CF_3'!L42,'CF_4'!L42)</x:f>
      </x:c>
      <x:c r="M11" s="117" t="n">
        <x:f>SUM('CF_1'!M42,'CF_2'!M42,'CF_3'!M42,'CF_4'!M42)</x:f>
      </x:c>
      <x:c r="N11" s="117" t="n">
        <x:f>SUM('CF_1'!N42,'CF_2'!N42,'CF_3'!N42,'CF_4'!N42)</x:f>
      </x:c>
      <x:c r="O11" s="117" t="n">
        <x:f>SUM('CF_1'!O42,'CF_2'!O42,'CF_3'!O42,'CF_4'!O42)</x:f>
      </x:c>
      <x:c r="P11" s="117" t="n">
        <x:f>SUM('CF_1'!P42,'CF_2'!P42,'CF_3'!P42,'CF_4'!P42)</x:f>
      </x:c>
      <x:c r="Q11" s="117" t="n">
        <x:f>SUM('CF_1'!Q42,'CF_2'!Q42,'CF_3'!Q42,'CF_4'!Q42)</x:f>
      </x:c>
      <x:c r="R11" s="117" t="n">
        <x:f>SUM('CF_1'!R42,'CF_2'!R42,'CF_3'!R42,'CF_4'!R42)</x:f>
      </x:c>
      <x:c r="S11" s="117" t="n">
        <x:f>SUM('CF_1'!S42,'CF_2'!S42,'CF_3'!S42,'CF_4'!S42)</x:f>
      </x:c>
      <x:c r="T11" s="117" t="n">
        <x:f>SUM('CF_1'!T42,'CF_2'!T42,'CF_3'!T42,'CF_4'!T42)</x:f>
      </x:c>
      <x:c r="U11" s="117" t="n">
        <x:f>SUM('CF_1'!U42,'CF_2'!U42,'CF_3'!U42,'CF_4'!U42)</x:f>
      </x:c>
      <x:c r="V11" s="117" t="n">
        <x:f>SUM('CF_1'!V42,'CF_2'!V42,'CF_3'!V42,'CF_4'!V42)</x:f>
      </x:c>
      <x:c r="W11" s="117" t="n">
        <x:f>SUM('CF_1'!W42,'CF_2'!W42,'CF_3'!W42,'CF_4'!W42)</x:f>
      </x:c>
      <x:c r="X11" s="117" t="n">
        <x:f>SUM('CF_1'!X42,'CF_2'!X42,'CF_3'!X42,'CF_4'!X42)</x:f>
      </x:c>
      <x:c r="Y11" s="117" t="n">
        <x:f>SUM('CF_1'!Y42,'CF_2'!Y42,'CF_3'!Y42,'CF_4'!Y42)</x:f>
      </x:c>
      <x:c r="Z11" s="117" t="n">
        <x:f>SUM('CF_1'!Z42,'CF_2'!Z42,'CF_3'!Z42,'CF_4'!Z42)</x:f>
      </x:c>
      <x:c r="AA11" s="117" t="n">
        <x:f>SUM('CF_1'!AA42,'CF_2'!AA42,'CF_3'!AA42,'CF_4'!AA42)</x:f>
      </x:c>
      <x:c r="AB11" s="117" t="n">
        <x:f>SUM('CF_1'!AB42,'CF_2'!AB42,'CF_3'!AB42,'CF_4'!AB42)</x:f>
      </x:c>
      <x:c r="AC11" s="117" t="n">
        <x:f>SUM('CF_1'!AC42,'CF_2'!AC42,'CF_3'!AC42,'CF_4'!AC42)</x:f>
      </x:c>
      <x:c r="AD11" s="117" t="n">
        <x:f>SUM('CF_1'!AD42,'CF_2'!AD42,'CF_3'!AD42,'CF_4'!AD42)</x:f>
      </x:c>
      <x:c r="AE11" s="117" t="n">
        <x:f>SUM('CF_1'!AE42,'CF_2'!AE42,'CF_3'!AE42,'CF_4'!AE42)</x:f>
      </x:c>
      <x:c r="AF11" s="117" t="n">
        <x:f>SUM('CF_1'!AF42,'CF_2'!AF42,'CF_3'!AF42,'CF_4'!AF42)</x:f>
      </x:c>
      <x:c r="AG11" s="117" t="n">
        <x:f>SUM('CF_1'!AG42,'CF_2'!AG42,'CF_3'!AG42,'CF_4'!AG42)</x:f>
      </x:c>
      <x:c r="AH11" s="117" t="n">
        <x:f>SUM('CF_1'!AH42,'CF_2'!AH42,'CF_3'!AH42,'CF_4'!AH42)</x:f>
      </x:c>
      <x:c r="AI11" s="117" t="n">
        <x:f>SUM('CF_1'!AI42,'CF_2'!AI42,'CF_3'!AI42,'CF_4'!AI42)</x:f>
      </x:c>
      <x:c r="AJ11" s="117" t="n">
        <x:f>SUM('CF_1'!AJ42,'CF_2'!AJ42,'CF_3'!AJ42,'CF_4'!AJ42)</x:f>
      </x:c>
      <x:c r="AK11" s="117" t="n">
        <x:f>SUM('CF_1'!AK42,'CF_2'!AK42,'CF_3'!AK42,'CF_4'!AK42)</x:f>
      </x:c>
      <x:c r="AL11" s="117" t="n">
        <x:f>SUM('CF_1'!AL42,'CF_2'!AL42,'CF_3'!AL42,'CF_4'!AL42)</x:f>
      </x:c>
      <x:c r="AM11" s="117" t="n">
        <x:f>SUM('CF_1'!AM42,'CF_2'!AM42,'CF_3'!AM42,'CF_4'!AM42)</x:f>
      </x:c>
      <x:c r="AN11" s="117" t="n">
        <x:f>SUM('CF_1'!AN42,'CF_2'!AN42,'CF_3'!AN42,'CF_4'!AN42)</x:f>
      </x:c>
      <x:c r="AO11" s="117" t="n">
        <x:f>SUM('CF_1'!AO42,'CF_2'!AO42,'CF_3'!AO42,'CF_4'!AO42)</x:f>
      </x:c>
      <x:c r="AP11" s="117" t="n">
        <x:f>SUM('CF_1'!AP42,'CF_2'!AP42,'CF_3'!AP42,'CF_4'!AP42)</x:f>
      </x:c>
      <x:c r="AQ11" s="117" t="n">
        <x:f>SUM('CF_1'!AQ42,'CF_2'!AQ42,'CF_3'!AQ42,'CF_4'!AQ42)</x:f>
      </x:c>
      <x:c r="AR11" s="117" t="n">
        <x:f>SUM('CF_1'!AR42,'CF_2'!AR42,'CF_3'!AR42,'CF_4'!AR42)</x:f>
      </x:c>
      <x:c r="AS11" s="117" t="n">
        <x:f>SUM('CF_1'!AS42,'CF_2'!AS42,'CF_3'!AS42,'CF_4'!AS42)</x:f>
      </x:c>
      <x:c r="AT11" s="117" t="n">
        <x:f>SUM('CF_1'!AT42,'CF_2'!AT42,'CF_3'!AT42,'CF_4'!AT42)</x:f>
      </x:c>
      <x:c r="AU11" s="117" t="n">
        <x:f>SUM('CF_1'!AU42,'CF_2'!AU42,'CF_3'!AU42,'CF_4'!AU42)</x:f>
      </x:c>
      <x:c r="AV11" s="117" t="n">
        <x:f>SUM('CF_1'!AV42,'CF_2'!AV42,'CF_3'!AV42,'CF_4'!AV42)</x:f>
      </x:c>
      <x:c r="AW11" s="117" t="n">
        <x:f>SUM('CF_1'!AW42,'CF_2'!AW42,'CF_3'!AW42,'CF_4'!AW42)</x:f>
      </x:c>
      <x:c r="AX11" s="117" t="n">
        <x:f>SUM('CF_1'!AX42,'CF_2'!AX42,'CF_3'!AX42,'CF_4'!AX42)</x:f>
      </x:c>
      <x:c r="AY11" s="117" t="n">
        <x:f>SUM('CF_1'!AY42,'CF_2'!AY42,'CF_3'!AY42,'CF_4'!AY42)</x:f>
      </x:c>
      <x:c r="AZ11" s="117" t="n">
        <x:f>SUM('CF_1'!AZ42,'CF_2'!AZ42,'CF_3'!AZ42,'CF_4'!AZ42)</x:f>
      </x:c>
      <x:c r="BA11" s="117" t="n">
        <x:f>SUM('CF_1'!BA42,'CF_2'!BA42,'CF_3'!BA42,'CF_4'!BA42)</x:f>
      </x:c>
      <x:c r="BB11" s="117" t="n">
        <x:f>SUM('CF_1'!BB42,'CF_2'!BB42,'CF_3'!BB42,'CF_4'!BB42)</x:f>
      </x:c>
      <x:c r="BC11" s="117" t="n">
        <x:f>SUM('CF_1'!BC42,'CF_2'!BC42,'CF_3'!BC42,'CF_4'!BC42)</x:f>
      </x:c>
      <x:c r="BD11" s="117" t="n">
        <x:f>SUM('CF_1'!BD42,'CF_2'!BD42,'CF_3'!BD42,'CF_4'!BD42)</x:f>
      </x:c>
      <x:c r="BE11" s="117" t="n">
        <x:f>SUM('CF_1'!BE42,'CF_2'!BE42,'CF_3'!BE42,'CF_4'!BE42)</x:f>
      </x:c>
      <x:c r="BF11" s="117" t="n">
        <x:f>SUM('CF_1'!BF42,'CF_2'!BF42,'CF_3'!BF42,'CF_4'!BF42)</x:f>
      </x:c>
      <x:c r="BG11" s="117" t="n">
        <x:f>SUM('CF_1'!BG42,'CF_2'!BG42,'CF_3'!BG42,'CF_4'!BG42)</x:f>
      </x:c>
      <x:c r="BH11" s="117" t="n">
        <x:f>SUM('CF_1'!BH42,'CF_2'!BH42,'CF_3'!BH42,'CF_4'!BH42)</x:f>
      </x:c>
      <x:c r="BI11" s="117" t="n">
        <x:f>SUM('CF_1'!BI42,'CF_2'!BI42,'CF_3'!BI42,'CF_4'!BI42)</x:f>
      </x:c>
      <x:c r="BJ11" s="117" t="n">
        <x:f>SUM('CF_1'!BJ42,'CF_2'!BJ42,'CF_3'!BJ42,'CF_4'!BJ42)</x:f>
      </x:c>
      <x:c r="BK11" s="117" t="n">
        <x:f>SUM('CF_1'!BK42,'CF_2'!BK42,'CF_3'!BK42,'CF_4'!BK42)</x:f>
      </x:c>
      <x:c r="BL11" s="117" t="n">
        <x:f>SUM('CF_1'!BL42,'CF_2'!BL42,'CF_3'!BL42,'CF_4'!BL42)</x:f>
      </x:c>
      <x:c r="BM11" s="117" t="n">
        <x:f>SUM('CF_1'!BM42,'CF_2'!BM42,'CF_3'!BM42,'CF_4'!BM42)</x:f>
      </x:c>
      <x:c r="BN11" s="117" t="n">
        <x:f>SUM('CF_1'!BN42,'CF_2'!BN42,'CF_3'!BN42,'CF_4'!BN42)</x:f>
      </x:c>
      <x:c r="BO11" s="117" t="n">
        <x:f>SUM('CF_1'!BO42,'CF_2'!BO42,'CF_3'!BO42,'CF_4'!BO42)</x:f>
      </x:c>
      <x:c r="BP11" s="117" t="n">
        <x:f>SUM('CF_1'!BP42,'CF_2'!BP42,'CF_3'!BP42,'CF_4'!BP42)</x:f>
      </x:c>
      <x:c r="BQ11" s="117" t="n">
        <x:f>SUM('CF_1'!BQ42,'CF_2'!BQ42,'CF_3'!BQ42,'CF_4'!BQ42)</x:f>
      </x:c>
      <x:c r="BR11" s="117" t="n">
        <x:f>SUM('CF_1'!BR42,'CF_2'!BR42,'CF_3'!BR42,'CF_4'!BR42)</x:f>
      </x:c>
      <x:c r="BS11" s="117" t="n">
        <x:f>SUM('CF_1'!BS42,'CF_2'!BS42,'CF_3'!BS42,'CF_4'!BS42)</x:f>
      </x:c>
      <x:c r="BT11" s="117" t="n">
        <x:f>SUM('CF_1'!BT42,'CF_2'!BT42,'CF_3'!BT42,'CF_4'!BT42)</x:f>
      </x:c>
      <x:c r="BU11" s="117" t="n">
        <x:f>SUM('CF_1'!BU42,'CF_2'!BU42,'CF_3'!BU42,'CF_4'!BU42)</x:f>
      </x:c>
      <x:c r="BV11" s="117" t="n">
        <x:f>SUM('CF_1'!BV42,'CF_2'!BV42,'CF_3'!BV42,'CF_4'!BV42)</x:f>
      </x:c>
      <x:c r="BW11" s="117" t="n">
        <x:f>SUM('CF_1'!BW42,'CF_2'!BW42,'CF_3'!BW42,'CF_4'!BW42)</x:f>
      </x:c>
      <x:c r="BX11" s="117" t="n">
        <x:f>SUM('CF_1'!BX42,'CF_2'!BX42,'CF_3'!BX42,'CF_4'!BX42)</x:f>
      </x:c>
      <x:c r="BY11" s="117" t="n">
        <x:f>SUM('CF_1'!BY42,'CF_2'!BY42,'CF_3'!BY42,'CF_4'!BY42)</x:f>
      </x:c>
      <x:c r="BZ11" s="117" t="n">
        <x:f>SUM('CF_1'!BZ42,'CF_2'!BZ42,'CF_3'!BZ42,'CF_4'!BZ42)</x:f>
      </x:c>
      <x:c r="CA11" s="117" t="n">
        <x:f>SUM('CF_1'!CA42,'CF_2'!CA42,'CF_3'!CA42,'CF_4'!CA42)</x:f>
      </x:c>
      <x:c r="CB11" s="117" t="n">
        <x:f>SUM('CF_1'!CB42,'CF_2'!CB42,'CF_3'!CB42,'CF_4'!CB42)</x:f>
      </x:c>
      <x:c r="CC11" s="117" t="n">
        <x:f>SUM('CF_1'!CC42,'CF_2'!CC42,'CF_3'!CC42,'CF_4'!CC42)</x:f>
      </x:c>
      <x:c r="CD11" s="117" t="n">
        <x:f>SUM('CF_1'!CD42,'CF_2'!CD42,'CF_3'!CD42,'CF_4'!CD42)</x:f>
      </x:c>
      <x:c r="CE11" s="117" t="n">
        <x:f>SUM('CF_1'!CE42,'CF_2'!CE42,'CF_3'!CE42,'CF_4'!CE42)</x:f>
      </x:c>
      <x:c r="CF11" s="117" t="n">
        <x:f>SUM('CF_1'!CF42,'CF_2'!CF42,'CF_3'!CF42,'CF_4'!CF42)</x:f>
      </x:c>
      <x:c r="CG11" s="117" t="n">
        <x:f>SUM('CF_1'!CG42,'CF_2'!CG42,'CF_3'!CG42,'CF_4'!CG42)</x:f>
      </x:c>
      <x:c r="CH11" s="117" t="n">
        <x:f>SUM('CF_1'!CH42,'CF_2'!CH42,'CF_3'!CH42,'CF_4'!CH42)</x:f>
      </x:c>
      <x:c r="CI11" s="117" t="n">
        <x:f>SUM('CF_1'!CI42,'CF_2'!CI42,'CF_3'!CI42,'CF_4'!CI42)</x:f>
      </x:c>
      <x:c r="CJ11" s="117" t="n">
        <x:f>SUM('CF_1'!CJ42,'CF_2'!CJ42,'CF_3'!CJ42,'CF_4'!CJ42)</x:f>
      </x:c>
      <x:c r="CK11" s="117" t="n">
        <x:f>SUM('CF_1'!CK42,'CF_2'!CK42,'CF_3'!CK42,'CF_4'!CK42)</x:f>
      </x:c>
      <x:c r="CL11" s="117" t="n">
        <x:f>SUM('CF_1'!CL42,'CF_2'!CL42,'CF_3'!CL42,'CF_4'!CL42)</x:f>
      </x:c>
      <x:c r="CM11" s="117" t="n">
        <x:f>SUM('CF_1'!CM42,'CF_2'!CM42,'CF_3'!CM42,'CF_4'!CM42)</x:f>
      </x:c>
      <x:c r="CN11" s="117" t="n">
        <x:f>SUM('CF_1'!CN42,'CF_2'!CN42,'CF_3'!CN42,'CF_4'!CN42)</x:f>
      </x:c>
      <x:c r="CO11" s="117" t="n">
        <x:f>SUM('CF_1'!CO42,'CF_2'!CO42,'CF_3'!CO42,'CF_4'!CO42)</x:f>
      </x:c>
      <x:c r="CP11" s="117" t="n">
        <x:f>SUM('CF_1'!CP42,'CF_2'!CP42,'CF_3'!CP42,'CF_4'!CP42)</x:f>
      </x:c>
      <x:c r="CQ11" s="117" t="n">
        <x:f>SUM('CF_1'!CQ42,'CF_2'!CQ42,'CF_3'!CQ42,'CF_4'!CQ42)</x:f>
      </x:c>
      <x:c r="CR11" s="117" t="n">
        <x:f>SUM('CF_1'!CR42,'CF_2'!CR42,'CF_3'!CR42,'CF_4'!CR42)</x:f>
      </x:c>
      <x:c r="CS11" s="117" t="n">
        <x:f>SUM('CF_1'!CS42,'CF_2'!CS42,'CF_3'!CS42,'CF_4'!CS42)</x:f>
      </x:c>
      <x:c r="CT11" s="117" t="n">
        <x:f>SUM('CF_1'!CT42,'CF_2'!CT42,'CF_3'!CT42,'CF_4'!CT42)</x:f>
      </x:c>
      <x:c r="CU11" s="117" t="n">
        <x:f>SUM('CF_1'!CU42,'CF_2'!CU42,'CF_3'!CU42,'CF_4'!CU42)</x:f>
      </x:c>
      <x:c r="CV11" s="117" t="n">
        <x:f>SUM('CF_1'!CV42,'CF_2'!CV42,'CF_3'!CV42,'CF_4'!CV42)</x:f>
      </x:c>
      <x:c r="CW11" s="117" t="n">
        <x:f>SUM('CF_1'!CW42,'CF_2'!CW42,'CF_3'!CW42,'CF_4'!CW42)</x:f>
      </x:c>
      <x:c r="CX11" s="117" t="n">
        <x:f>SUM('CF_1'!CX42,'CF_2'!CX42,'CF_3'!CX42,'CF_4'!CX42)</x:f>
      </x:c>
      <x:c r="CY11" s="117" t="n">
        <x:f>SUM('CF_1'!CY42,'CF_2'!CY42,'CF_3'!CY42,'CF_4'!CY42)</x:f>
      </x:c>
      <x:c r="CZ11" s="117" t="n">
        <x:f>SUM('CF_1'!CZ42,'CF_2'!CZ42,'CF_3'!CZ42,'CF_4'!CZ42)</x:f>
      </x:c>
      <x:c r="DA11" s="117" t="n">
        <x:f>SUM('CF_1'!DA42,'CF_2'!DA42,'CF_3'!DA42,'CF_4'!DA42)</x:f>
      </x:c>
      <x:c r="DB11" s="117" t="n">
        <x:f>SUM('CF_1'!DB42,'CF_2'!DB42,'CF_3'!DB42,'CF_4'!DB42)</x:f>
      </x:c>
      <x:c r="DC11" s="117" t="n">
        <x:f>SUM('CF_1'!DC42,'CF_2'!DC42,'CF_3'!DC42,'CF_4'!DC42)</x:f>
      </x:c>
      <x:c r="DD11" s="117" t="n">
        <x:f>SUM('CF_1'!DD42,'CF_2'!DD42,'CF_3'!DD42,'CF_4'!DD42)</x:f>
      </x:c>
      <x:c r="DE11" s="117" t="n">
        <x:f>SUM('CF_1'!DE42,'CF_2'!DE42,'CF_3'!DE42,'CF_4'!DE42)</x:f>
      </x:c>
      <x:c r="DF11" s="117" t="n">
        <x:f>SUM('CF_1'!DF42,'CF_2'!DF42,'CF_3'!DF42,'CF_4'!DF42)</x:f>
      </x:c>
      <x:c r="DG11" s="117" t="n">
        <x:f>SUM('CF_1'!DG42,'CF_2'!DG42,'CF_3'!DG42,'CF_4'!DG42)</x:f>
      </x:c>
      <x:c r="DH11" s="117" t="n">
        <x:f>SUM('CF_1'!DH42,'CF_2'!DH42,'CF_3'!DH42,'CF_4'!DH42)</x:f>
      </x:c>
      <x:c r="DI11" s="117" t="n">
        <x:f>SUM('CF_1'!DI42,'CF_2'!DI42,'CF_3'!DI42,'CF_4'!DI42)</x:f>
      </x:c>
      <x:c r="DJ11" s="117" t="n">
        <x:f>SUM('CF_1'!DJ42,'CF_2'!DJ42,'CF_3'!DJ42,'CF_4'!DJ42)</x:f>
      </x:c>
      <x:c r="DK11" s="117" t="n">
        <x:f>SUM('CF_1'!DK42,'CF_2'!DK42,'CF_3'!DK42,'CF_4'!DK42)</x:f>
      </x:c>
      <x:c r="DL11" s="117" t="n">
        <x:f>SUM('CF_1'!DL42,'CF_2'!DL42,'CF_3'!DL42,'CF_4'!DL42)</x:f>
      </x:c>
      <x:c r="DM11" s="117" t="n">
        <x:f>SUM('CF_1'!DM42,'CF_2'!DM42,'CF_3'!DM42,'CF_4'!DM42)</x:f>
      </x:c>
      <x:c r="DN11" s="117" t="n">
        <x:f>SUM('CF_1'!DN42,'CF_2'!DN42,'CF_3'!DN42,'CF_4'!DN42)</x:f>
      </x:c>
      <x:c r="DO11" s="117" t="n">
        <x:f>SUM('CF_1'!DO42,'CF_2'!DO42,'CF_3'!DO42,'CF_4'!DO42)</x:f>
      </x:c>
      <x:c r="DP11" s="117" t="n">
        <x:f>SUM('CF_1'!DP42,'CF_2'!DP42,'CF_3'!DP42,'CF_4'!DP42)</x:f>
      </x:c>
      <x:c r="DQ11" s="117" t="n">
        <x:f>SUM('CF_1'!DQ42,'CF_2'!DQ42,'CF_3'!DQ42,'CF_4'!DQ42)</x:f>
      </x:c>
      <x:c r="DR11" s="117" t="n">
        <x:f>SUM('CF_1'!DR42,'CF_2'!DR42,'CF_3'!DR42,'CF_4'!DR42)</x:f>
      </x:c>
      <x:c r="DS11" s="117" t="n">
        <x:f>SUM('CF_1'!DS42,'CF_2'!DS42,'CF_3'!DS42,'CF_4'!DS42)</x:f>
      </x:c>
    </x:row>
    <x:row r="12">
      <x:c r="A12" t="str">
        <x:v>ПФ — комиссия за лимит</x:v>
      </x:c>
      <x:c r="B12" s="107" t="n">
        <x:f>SUM(D12:DS12)</x:f>
      </x:c>
      <x:c r="C12" t="str">
        <x:v>млн ₽</x:v>
      </x:c>
      <x:c r="D12" s="117" t="n">
        <x:f>SUM('CF_1'!D43,'CF_2'!D43,'CF_3'!D43,'CF_4'!D43)</x:f>
      </x:c>
      <x:c r="E12" s="117" t="n">
        <x:f>SUM('CF_1'!E43,'CF_2'!E43,'CF_3'!E43,'CF_4'!E43)</x:f>
      </x:c>
      <x:c r="F12" s="117" t="n">
        <x:f>SUM('CF_1'!F43,'CF_2'!F43,'CF_3'!F43,'CF_4'!F43)</x:f>
      </x:c>
      <x:c r="G12" s="117" t="n">
        <x:f>SUM('CF_1'!G43,'CF_2'!G43,'CF_3'!G43,'CF_4'!G43)</x:f>
      </x:c>
      <x:c r="H12" s="117" t="n">
        <x:f>SUM('CF_1'!H43,'CF_2'!H43,'CF_3'!H43,'CF_4'!H43)</x:f>
      </x:c>
      <x:c r="I12" s="117" t="n">
        <x:f>SUM('CF_1'!I43,'CF_2'!I43,'CF_3'!I43,'CF_4'!I43)</x:f>
      </x:c>
      <x:c r="J12" s="117" t="n">
        <x:f>SUM('CF_1'!J43,'CF_2'!J43,'CF_3'!J43,'CF_4'!J43)</x:f>
      </x:c>
      <x:c r="K12" s="117" t="n">
        <x:f>SUM('CF_1'!K43,'CF_2'!K43,'CF_3'!K43,'CF_4'!K43)</x:f>
      </x:c>
      <x:c r="L12" s="117" t="n">
        <x:f>SUM('CF_1'!L43,'CF_2'!L43,'CF_3'!L43,'CF_4'!L43)</x:f>
      </x:c>
      <x:c r="M12" s="117" t="n">
        <x:f>SUM('CF_1'!M43,'CF_2'!M43,'CF_3'!M43,'CF_4'!M43)</x:f>
      </x:c>
      <x:c r="N12" s="117" t="n">
        <x:f>SUM('CF_1'!N43,'CF_2'!N43,'CF_3'!N43,'CF_4'!N43)</x:f>
      </x:c>
      <x:c r="O12" s="117" t="n">
        <x:f>SUM('CF_1'!O43,'CF_2'!O43,'CF_3'!O43,'CF_4'!O43)</x:f>
      </x:c>
      <x:c r="P12" s="117" t="n">
        <x:f>SUM('CF_1'!P43,'CF_2'!P43,'CF_3'!P43,'CF_4'!P43)</x:f>
      </x:c>
      <x:c r="Q12" s="117" t="n">
        <x:f>SUM('CF_1'!Q43,'CF_2'!Q43,'CF_3'!Q43,'CF_4'!Q43)</x:f>
      </x:c>
      <x:c r="R12" s="117" t="n">
        <x:f>SUM('CF_1'!R43,'CF_2'!R43,'CF_3'!R43,'CF_4'!R43)</x:f>
      </x:c>
      <x:c r="S12" s="117" t="n">
        <x:f>SUM('CF_1'!S43,'CF_2'!S43,'CF_3'!S43,'CF_4'!S43)</x:f>
      </x:c>
      <x:c r="T12" s="117" t="n">
        <x:f>SUM('CF_1'!T43,'CF_2'!T43,'CF_3'!T43,'CF_4'!T43)</x:f>
      </x:c>
      <x:c r="U12" s="117" t="n">
        <x:f>SUM('CF_1'!U43,'CF_2'!U43,'CF_3'!U43,'CF_4'!U43)</x:f>
      </x:c>
      <x:c r="V12" s="117" t="n">
        <x:f>SUM('CF_1'!V43,'CF_2'!V43,'CF_3'!V43,'CF_4'!V43)</x:f>
      </x:c>
      <x:c r="W12" s="117" t="n">
        <x:f>SUM('CF_1'!W43,'CF_2'!W43,'CF_3'!W43,'CF_4'!W43)</x:f>
      </x:c>
      <x:c r="X12" s="117" t="n">
        <x:f>SUM('CF_1'!X43,'CF_2'!X43,'CF_3'!X43,'CF_4'!X43)</x:f>
      </x:c>
      <x:c r="Y12" s="117" t="n">
        <x:f>SUM('CF_1'!Y43,'CF_2'!Y43,'CF_3'!Y43,'CF_4'!Y43)</x:f>
      </x:c>
      <x:c r="Z12" s="117" t="n">
        <x:f>SUM('CF_1'!Z43,'CF_2'!Z43,'CF_3'!Z43,'CF_4'!Z43)</x:f>
      </x:c>
      <x:c r="AA12" s="117" t="n">
        <x:f>SUM('CF_1'!AA43,'CF_2'!AA43,'CF_3'!AA43,'CF_4'!AA43)</x:f>
      </x:c>
      <x:c r="AB12" s="117" t="n">
        <x:f>SUM('CF_1'!AB43,'CF_2'!AB43,'CF_3'!AB43,'CF_4'!AB43)</x:f>
      </x:c>
      <x:c r="AC12" s="117" t="n">
        <x:f>SUM('CF_1'!AC43,'CF_2'!AC43,'CF_3'!AC43,'CF_4'!AC43)</x:f>
      </x:c>
      <x:c r="AD12" s="117" t="n">
        <x:f>SUM('CF_1'!AD43,'CF_2'!AD43,'CF_3'!AD43,'CF_4'!AD43)</x:f>
      </x:c>
      <x:c r="AE12" s="117" t="n">
        <x:f>SUM('CF_1'!AE43,'CF_2'!AE43,'CF_3'!AE43,'CF_4'!AE43)</x:f>
      </x:c>
      <x:c r="AF12" s="117" t="n">
        <x:f>SUM('CF_1'!AF43,'CF_2'!AF43,'CF_3'!AF43,'CF_4'!AF43)</x:f>
      </x:c>
      <x:c r="AG12" s="117" t="n">
        <x:f>SUM('CF_1'!AG43,'CF_2'!AG43,'CF_3'!AG43,'CF_4'!AG43)</x:f>
      </x:c>
      <x:c r="AH12" s="117" t="n">
        <x:f>SUM('CF_1'!AH43,'CF_2'!AH43,'CF_3'!AH43,'CF_4'!AH43)</x:f>
      </x:c>
      <x:c r="AI12" s="117" t="n">
        <x:f>SUM('CF_1'!AI43,'CF_2'!AI43,'CF_3'!AI43,'CF_4'!AI43)</x:f>
      </x:c>
      <x:c r="AJ12" s="117" t="n">
        <x:f>SUM('CF_1'!AJ43,'CF_2'!AJ43,'CF_3'!AJ43,'CF_4'!AJ43)</x:f>
      </x:c>
      <x:c r="AK12" s="117" t="n">
        <x:f>SUM('CF_1'!AK43,'CF_2'!AK43,'CF_3'!AK43,'CF_4'!AK43)</x:f>
      </x:c>
      <x:c r="AL12" s="117" t="n">
        <x:f>SUM('CF_1'!AL43,'CF_2'!AL43,'CF_3'!AL43,'CF_4'!AL43)</x:f>
      </x:c>
      <x:c r="AM12" s="117" t="n">
        <x:f>SUM('CF_1'!AM43,'CF_2'!AM43,'CF_3'!AM43,'CF_4'!AM43)</x:f>
      </x:c>
      <x:c r="AN12" s="117" t="n">
        <x:f>SUM('CF_1'!AN43,'CF_2'!AN43,'CF_3'!AN43,'CF_4'!AN43)</x:f>
      </x:c>
      <x:c r="AO12" s="117" t="n">
        <x:f>SUM('CF_1'!AO43,'CF_2'!AO43,'CF_3'!AO43,'CF_4'!AO43)</x:f>
      </x:c>
      <x:c r="AP12" s="117" t="n">
        <x:f>SUM('CF_1'!AP43,'CF_2'!AP43,'CF_3'!AP43,'CF_4'!AP43)</x:f>
      </x:c>
      <x:c r="AQ12" s="117" t="n">
        <x:f>SUM('CF_1'!AQ43,'CF_2'!AQ43,'CF_3'!AQ43,'CF_4'!AQ43)</x:f>
      </x:c>
      <x:c r="AR12" s="117" t="n">
        <x:f>SUM('CF_1'!AR43,'CF_2'!AR43,'CF_3'!AR43,'CF_4'!AR43)</x:f>
      </x:c>
      <x:c r="AS12" s="117" t="n">
        <x:f>SUM('CF_1'!AS43,'CF_2'!AS43,'CF_3'!AS43,'CF_4'!AS43)</x:f>
      </x:c>
      <x:c r="AT12" s="117" t="n">
        <x:f>SUM('CF_1'!AT43,'CF_2'!AT43,'CF_3'!AT43,'CF_4'!AT43)</x:f>
      </x:c>
      <x:c r="AU12" s="117" t="n">
        <x:f>SUM('CF_1'!AU43,'CF_2'!AU43,'CF_3'!AU43,'CF_4'!AU43)</x:f>
      </x:c>
      <x:c r="AV12" s="117" t="n">
        <x:f>SUM('CF_1'!AV43,'CF_2'!AV43,'CF_3'!AV43,'CF_4'!AV43)</x:f>
      </x:c>
      <x:c r="AW12" s="117" t="n">
        <x:f>SUM('CF_1'!AW43,'CF_2'!AW43,'CF_3'!AW43,'CF_4'!AW43)</x:f>
      </x:c>
      <x:c r="AX12" s="117" t="n">
        <x:f>SUM('CF_1'!AX43,'CF_2'!AX43,'CF_3'!AX43,'CF_4'!AX43)</x:f>
      </x:c>
      <x:c r="AY12" s="117" t="n">
        <x:f>SUM('CF_1'!AY43,'CF_2'!AY43,'CF_3'!AY43,'CF_4'!AY43)</x:f>
      </x:c>
      <x:c r="AZ12" s="117" t="n">
        <x:f>SUM('CF_1'!AZ43,'CF_2'!AZ43,'CF_3'!AZ43,'CF_4'!AZ43)</x:f>
      </x:c>
      <x:c r="BA12" s="117" t="n">
        <x:f>SUM('CF_1'!BA43,'CF_2'!BA43,'CF_3'!BA43,'CF_4'!BA43)</x:f>
      </x:c>
      <x:c r="BB12" s="117" t="n">
        <x:f>SUM('CF_1'!BB43,'CF_2'!BB43,'CF_3'!BB43,'CF_4'!BB43)</x:f>
      </x:c>
      <x:c r="BC12" s="117" t="n">
        <x:f>SUM('CF_1'!BC43,'CF_2'!BC43,'CF_3'!BC43,'CF_4'!BC43)</x:f>
      </x:c>
      <x:c r="BD12" s="117" t="n">
        <x:f>SUM('CF_1'!BD43,'CF_2'!BD43,'CF_3'!BD43,'CF_4'!BD43)</x:f>
      </x:c>
      <x:c r="BE12" s="117" t="n">
        <x:f>SUM('CF_1'!BE43,'CF_2'!BE43,'CF_3'!BE43,'CF_4'!BE43)</x:f>
      </x:c>
      <x:c r="BF12" s="117" t="n">
        <x:f>SUM('CF_1'!BF43,'CF_2'!BF43,'CF_3'!BF43,'CF_4'!BF43)</x:f>
      </x:c>
      <x:c r="BG12" s="117" t="n">
        <x:f>SUM('CF_1'!BG43,'CF_2'!BG43,'CF_3'!BG43,'CF_4'!BG43)</x:f>
      </x:c>
      <x:c r="BH12" s="117" t="n">
        <x:f>SUM('CF_1'!BH43,'CF_2'!BH43,'CF_3'!BH43,'CF_4'!BH43)</x:f>
      </x:c>
      <x:c r="BI12" s="117" t="n">
        <x:f>SUM('CF_1'!BI43,'CF_2'!BI43,'CF_3'!BI43,'CF_4'!BI43)</x:f>
      </x:c>
      <x:c r="BJ12" s="117" t="n">
        <x:f>SUM('CF_1'!BJ43,'CF_2'!BJ43,'CF_3'!BJ43,'CF_4'!BJ43)</x:f>
      </x:c>
      <x:c r="BK12" s="117" t="n">
        <x:f>SUM('CF_1'!BK43,'CF_2'!BK43,'CF_3'!BK43,'CF_4'!BK43)</x:f>
      </x:c>
      <x:c r="BL12" s="117" t="n">
        <x:f>SUM('CF_1'!BL43,'CF_2'!BL43,'CF_3'!BL43,'CF_4'!BL43)</x:f>
      </x:c>
      <x:c r="BM12" s="117" t="n">
        <x:f>SUM('CF_1'!BM43,'CF_2'!BM43,'CF_3'!BM43,'CF_4'!BM43)</x:f>
      </x:c>
      <x:c r="BN12" s="117" t="n">
        <x:f>SUM('CF_1'!BN43,'CF_2'!BN43,'CF_3'!BN43,'CF_4'!BN43)</x:f>
      </x:c>
      <x:c r="BO12" s="117" t="n">
        <x:f>SUM('CF_1'!BO43,'CF_2'!BO43,'CF_3'!BO43,'CF_4'!BO43)</x:f>
      </x:c>
      <x:c r="BP12" s="117" t="n">
        <x:f>SUM('CF_1'!BP43,'CF_2'!BP43,'CF_3'!BP43,'CF_4'!BP43)</x:f>
      </x:c>
      <x:c r="BQ12" s="117" t="n">
        <x:f>SUM('CF_1'!BQ43,'CF_2'!BQ43,'CF_3'!BQ43,'CF_4'!BQ43)</x:f>
      </x:c>
      <x:c r="BR12" s="117" t="n">
        <x:f>SUM('CF_1'!BR43,'CF_2'!BR43,'CF_3'!BR43,'CF_4'!BR43)</x:f>
      </x:c>
      <x:c r="BS12" s="117" t="n">
        <x:f>SUM('CF_1'!BS43,'CF_2'!BS43,'CF_3'!BS43,'CF_4'!BS43)</x:f>
      </x:c>
      <x:c r="BT12" s="117" t="n">
        <x:f>SUM('CF_1'!BT43,'CF_2'!BT43,'CF_3'!BT43,'CF_4'!BT43)</x:f>
      </x:c>
      <x:c r="BU12" s="117" t="n">
        <x:f>SUM('CF_1'!BU43,'CF_2'!BU43,'CF_3'!BU43,'CF_4'!BU43)</x:f>
      </x:c>
      <x:c r="BV12" s="117" t="n">
        <x:f>SUM('CF_1'!BV43,'CF_2'!BV43,'CF_3'!BV43,'CF_4'!BV43)</x:f>
      </x:c>
      <x:c r="BW12" s="117" t="n">
        <x:f>SUM('CF_1'!BW43,'CF_2'!BW43,'CF_3'!BW43,'CF_4'!BW43)</x:f>
      </x:c>
      <x:c r="BX12" s="117" t="n">
        <x:f>SUM('CF_1'!BX43,'CF_2'!BX43,'CF_3'!BX43,'CF_4'!BX43)</x:f>
      </x:c>
      <x:c r="BY12" s="117" t="n">
        <x:f>SUM('CF_1'!BY43,'CF_2'!BY43,'CF_3'!BY43,'CF_4'!BY43)</x:f>
      </x:c>
      <x:c r="BZ12" s="117" t="n">
        <x:f>SUM('CF_1'!BZ43,'CF_2'!BZ43,'CF_3'!BZ43,'CF_4'!BZ43)</x:f>
      </x:c>
      <x:c r="CA12" s="117" t="n">
        <x:f>SUM('CF_1'!CA43,'CF_2'!CA43,'CF_3'!CA43,'CF_4'!CA43)</x:f>
      </x:c>
      <x:c r="CB12" s="117" t="n">
        <x:f>SUM('CF_1'!CB43,'CF_2'!CB43,'CF_3'!CB43,'CF_4'!CB43)</x:f>
      </x:c>
      <x:c r="CC12" s="117" t="n">
        <x:f>SUM('CF_1'!CC43,'CF_2'!CC43,'CF_3'!CC43,'CF_4'!CC43)</x:f>
      </x:c>
      <x:c r="CD12" s="117" t="n">
        <x:f>SUM('CF_1'!CD43,'CF_2'!CD43,'CF_3'!CD43,'CF_4'!CD43)</x:f>
      </x:c>
      <x:c r="CE12" s="117" t="n">
        <x:f>SUM('CF_1'!CE43,'CF_2'!CE43,'CF_3'!CE43,'CF_4'!CE43)</x:f>
      </x:c>
      <x:c r="CF12" s="117" t="n">
        <x:f>SUM('CF_1'!CF43,'CF_2'!CF43,'CF_3'!CF43,'CF_4'!CF43)</x:f>
      </x:c>
      <x:c r="CG12" s="117" t="n">
        <x:f>SUM('CF_1'!CG43,'CF_2'!CG43,'CF_3'!CG43,'CF_4'!CG43)</x:f>
      </x:c>
      <x:c r="CH12" s="117" t="n">
        <x:f>SUM('CF_1'!CH43,'CF_2'!CH43,'CF_3'!CH43,'CF_4'!CH43)</x:f>
      </x:c>
      <x:c r="CI12" s="117" t="n">
        <x:f>SUM('CF_1'!CI43,'CF_2'!CI43,'CF_3'!CI43,'CF_4'!CI43)</x:f>
      </x:c>
      <x:c r="CJ12" s="117" t="n">
        <x:f>SUM('CF_1'!CJ43,'CF_2'!CJ43,'CF_3'!CJ43,'CF_4'!CJ43)</x:f>
      </x:c>
      <x:c r="CK12" s="117" t="n">
        <x:f>SUM('CF_1'!CK43,'CF_2'!CK43,'CF_3'!CK43,'CF_4'!CK43)</x:f>
      </x:c>
      <x:c r="CL12" s="117" t="n">
        <x:f>SUM('CF_1'!CL43,'CF_2'!CL43,'CF_3'!CL43,'CF_4'!CL43)</x:f>
      </x:c>
      <x:c r="CM12" s="117" t="n">
        <x:f>SUM('CF_1'!CM43,'CF_2'!CM43,'CF_3'!CM43,'CF_4'!CM43)</x:f>
      </x:c>
      <x:c r="CN12" s="117" t="n">
        <x:f>SUM('CF_1'!CN43,'CF_2'!CN43,'CF_3'!CN43,'CF_4'!CN43)</x:f>
      </x:c>
      <x:c r="CO12" s="117" t="n">
        <x:f>SUM('CF_1'!CO43,'CF_2'!CO43,'CF_3'!CO43,'CF_4'!CO43)</x:f>
      </x:c>
      <x:c r="CP12" s="117" t="n">
        <x:f>SUM('CF_1'!CP43,'CF_2'!CP43,'CF_3'!CP43,'CF_4'!CP43)</x:f>
      </x:c>
      <x:c r="CQ12" s="117" t="n">
        <x:f>SUM('CF_1'!CQ43,'CF_2'!CQ43,'CF_3'!CQ43,'CF_4'!CQ43)</x:f>
      </x:c>
      <x:c r="CR12" s="117" t="n">
        <x:f>SUM('CF_1'!CR43,'CF_2'!CR43,'CF_3'!CR43,'CF_4'!CR43)</x:f>
      </x:c>
      <x:c r="CS12" s="117" t="n">
        <x:f>SUM('CF_1'!CS43,'CF_2'!CS43,'CF_3'!CS43,'CF_4'!CS43)</x:f>
      </x:c>
      <x:c r="CT12" s="117" t="n">
        <x:f>SUM('CF_1'!CT43,'CF_2'!CT43,'CF_3'!CT43,'CF_4'!CT43)</x:f>
      </x:c>
      <x:c r="CU12" s="117" t="n">
        <x:f>SUM('CF_1'!CU43,'CF_2'!CU43,'CF_3'!CU43,'CF_4'!CU43)</x:f>
      </x:c>
      <x:c r="CV12" s="117" t="n">
        <x:f>SUM('CF_1'!CV43,'CF_2'!CV43,'CF_3'!CV43,'CF_4'!CV43)</x:f>
      </x:c>
      <x:c r="CW12" s="117" t="n">
        <x:f>SUM('CF_1'!CW43,'CF_2'!CW43,'CF_3'!CW43,'CF_4'!CW43)</x:f>
      </x:c>
      <x:c r="CX12" s="117" t="n">
        <x:f>SUM('CF_1'!CX43,'CF_2'!CX43,'CF_3'!CX43,'CF_4'!CX43)</x:f>
      </x:c>
      <x:c r="CY12" s="117" t="n">
        <x:f>SUM('CF_1'!CY43,'CF_2'!CY43,'CF_3'!CY43,'CF_4'!CY43)</x:f>
      </x:c>
      <x:c r="CZ12" s="117" t="n">
        <x:f>SUM('CF_1'!CZ43,'CF_2'!CZ43,'CF_3'!CZ43,'CF_4'!CZ43)</x:f>
      </x:c>
      <x:c r="DA12" s="117" t="n">
        <x:f>SUM('CF_1'!DA43,'CF_2'!DA43,'CF_3'!DA43,'CF_4'!DA43)</x:f>
      </x:c>
      <x:c r="DB12" s="117" t="n">
        <x:f>SUM('CF_1'!DB43,'CF_2'!DB43,'CF_3'!DB43,'CF_4'!DB43)</x:f>
      </x:c>
      <x:c r="DC12" s="117" t="n">
        <x:f>SUM('CF_1'!DC43,'CF_2'!DC43,'CF_3'!DC43,'CF_4'!DC43)</x:f>
      </x:c>
      <x:c r="DD12" s="117" t="n">
        <x:f>SUM('CF_1'!DD43,'CF_2'!DD43,'CF_3'!DD43,'CF_4'!DD43)</x:f>
      </x:c>
      <x:c r="DE12" s="117" t="n">
        <x:f>SUM('CF_1'!DE43,'CF_2'!DE43,'CF_3'!DE43,'CF_4'!DE43)</x:f>
      </x:c>
      <x:c r="DF12" s="117" t="n">
        <x:f>SUM('CF_1'!DF43,'CF_2'!DF43,'CF_3'!DF43,'CF_4'!DF43)</x:f>
      </x:c>
      <x:c r="DG12" s="117" t="n">
        <x:f>SUM('CF_1'!DG43,'CF_2'!DG43,'CF_3'!DG43,'CF_4'!DG43)</x:f>
      </x:c>
      <x:c r="DH12" s="117" t="n">
        <x:f>SUM('CF_1'!DH43,'CF_2'!DH43,'CF_3'!DH43,'CF_4'!DH43)</x:f>
      </x:c>
      <x:c r="DI12" s="117" t="n">
        <x:f>SUM('CF_1'!DI43,'CF_2'!DI43,'CF_3'!DI43,'CF_4'!DI43)</x:f>
      </x:c>
      <x:c r="DJ12" s="117" t="n">
        <x:f>SUM('CF_1'!DJ43,'CF_2'!DJ43,'CF_3'!DJ43,'CF_4'!DJ43)</x:f>
      </x:c>
      <x:c r="DK12" s="117" t="n">
        <x:f>SUM('CF_1'!DK43,'CF_2'!DK43,'CF_3'!DK43,'CF_4'!DK43)</x:f>
      </x:c>
      <x:c r="DL12" s="117" t="n">
        <x:f>SUM('CF_1'!DL43,'CF_2'!DL43,'CF_3'!DL43,'CF_4'!DL43)</x:f>
      </x:c>
      <x:c r="DM12" s="117" t="n">
        <x:f>SUM('CF_1'!DM43,'CF_2'!DM43,'CF_3'!DM43,'CF_4'!DM43)</x:f>
      </x:c>
      <x:c r="DN12" s="117" t="n">
        <x:f>SUM('CF_1'!DN43,'CF_2'!DN43,'CF_3'!DN43,'CF_4'!DN43)</x:f>
      </x:c>
      <x:c r="DO12" s="117" t="n">
        <x:f>SUM('CF_1'!DO43,'CF_2'!DO43,'CF_3'!DO43,'CF_4'!DO43)</x:f>
      </x:c>
      <x:c r="DP12" s="117" t="n">
        <x:f>SUM('CF_1'!DP43,'CF_2'!DP43,'CF_3'!DP43,'CF_4'!DP43)</x:f>
      </x:c>
      <x:c r="DQ12" s="117" t="n">
        <x:f>SUM('CF_1'!DQ43,'CF_2'!DQ43,'CF_3'!DQ43,'CF_4'!DQ43)</x:f>
      </x:c>
      <x:c r="DR12" s="117" t="n">
        <x:f>SUM('CF_1'!DR43,'CF_2'!DR43,'CF_3'!DR43,'CF_4'!DR43)</x:f>
      </x:c>
      <x:c r="DS12" s="117" t="n">
        <x:f>SUM('CF_1'!DS43,'CF_2'!DS43,'CF_3'!DS43,'CF_4'!DS43)</x:f>
      </x:c>
    </x:row>
    <x:row r="13">
      <x:c r="A13" t="str">
        <x:v>ПФ — погашение</x:v>
      </x:c>
      <x:c r="B13" s="107" t="n">
        <x:f>SUM(D13:DS13)</x:f>
      </x:c>
      <x:c r="C13" t="str">
        <x:v>млн ₽</x:v>
      </x:c>
      <x:c r="D13" s="117" t="n">
        <x:f>SUM('CF_1'!D46,'CF_2'!D46,'CF_3'!D46,'CF_4'!D46)</x:f>
      </x:c>
      <x:c r="E13" s="117" t="n">
        <x:f>SUM('CF_1'!E46,'CF_2'!E46,'CF_3'!E46,'CF_4'!E46)</x:f>
      </x:c>
      <x:c r="F13" s="117" t="n">
        <x:f>SUM('CF_1'!F46,'CF_2'!F46,'CF_3'!F46,'CF_4'!F46)</x:f>
      </x:c>
      <x:c r="G13" s="117" t="n">
        <x:f>SUM('CF_1'!G46,'CF_2'!G46,'CF_3'!G46,'CF_4'!G46)</x:f>
      </x:c>
      <x:c r="H13" s="117" t="n">
        <x:f>SUM('CF_1'!H46,'CF_2'!H46,'CF_3'!H46,'CF_4'!H46)</x:f>
      </x:c>
      <x:c r="I13" s="117" t="n">
        <x:f>SUM('CF_1'!I46,'CF_2'!I46,'CF_3'!I46,'CF_4'!I46)</x:f>
      </x:c>
      <x:c r="J13" s="117" t="n">
        <x:f>SUM('CF_1'!J46,'CF_2'!J46,'CF_3'!J46,'CF_4'!J46)</x:f>
      </x:c>
      <x:c r="K13" s="117" t="n">
        <x:f>SUM('CF_1'!K46,'CF_2'!K46,'CF_3'!K46,'CF_4'!K46)</x:f>
      </x:c>
      <x:c r="L13" s="117" t="n">
        <x:f>SUM('CF_1'!L46,'CF_2'!L46,'CF_3'!L46,'CF_4'!L46)</x:f>
      </x:c>
      <x:c r="M13" s="117" t="n">
        <x:f>SUM('CF_1'!M46,'CF_2'!M46,'CF_3'!M46,'CF_4'!M46)</x:f>
      </x:c>
      <x:c r="N13" s="117" t="n">
        <x:f>SUM('CF_1'!N46,'CF_2'!N46,'CF_3'!N46,'CF_4'!N46)</x:f>
      </x:c>
      <x:c r="O13" s="117" t="n">
        <x:f>SUM('CF_1'!O46,'CF_2'!O46,'CF_3'!O46,'CF_4'!O46)</x:f>
      </x:c>
      <x:c r="P13" s="117" t="n">
        <x:f>SUM('CF_1'!P46,'CF_2'!P46,'CF_3'!P46,'CF_4'!P46)</x:f>
      </x:c>
      <x:c r="Q13" s="117" t="n">
        <x:f>SUM('CF_1'!Q46,'CF_2'!Q46,'CF_3'!Q46,'CF_4'!Q46)</x:f>
      </x:c>
      <x:c r="R13" s="117" t="n">
        <x:f>SUM('CF_1'!R46,'CF_2'!R46,'CF_3'!R46,'CF_4'!R46)</x:f>
      </x:c>
      <x:c r="S13" s="117" t="n">
        <x:f>SUM('CF_1'!S46,'CF_2'!S46,'CF_3'!S46,'CF_4'!S46)</x:f>
      </x:c>
      <x:c r="T13" s="117" t="n">
        <x:f>SUM('CF_1'!T46,'CF_2'!T46,'CF_3'!T46,'CF_4'!T46)</x:f>
      </x:c>
      <x:c r="U13" s="117" t="n">
        <x:f>SUM('CF_1'!U46,'CF_2'!U46,'CF_3'!U46,'CF_4'!U46)</x:f>
      </x:c>
      <x:c r="V13" s="117" t="n">
        <x:f>SUM('CF_1'!V46,'CF_2'!V46,'CF_3'!V46,'CF_4'!V46)</x:f>
      </x:c>
      <x:c r="W13" s="117" t="n">
        <x:f>SUM('CF_1'!W46,'CF_2'!W46,'CF_3'!W46,'CF_4'!W46)</x:f>
      </x:c>
      <x:c r="X13" s="117" t="n">
        <x:f>SUM('CF_1'!X46,'CF_2'!X46,'CF_3'!X46,'CF_4'!X46)</x:f>
      </x:c>
      <x:c r="Y13" s="117" t="n">
        <x:f>SUM('CF_1'!Y46,'CF_2'!Y46,'CF_3'!Y46,'CF_4'!Y46)</x:f>
      </x:c>
      <x:c r="Z13" s="117" t="n">
        <x:f>SUM('CF_1'!Z46,'CF_2'!Z46,'CF_3'!Z46,'CF_4'!Z46)</x:f>
      </x:c>
      <x:c r="AA13" s="117" t="n">
        <x:f>SUM('CF_1'!AA46,'CF_2'!AA46,'CF_3'!AA46,'CF_4'!AA46)</x:f>
      </x:c>
      <x:c r="AB13" s="117" t="n">
        <x:f>SUM('CF_1'!AB46,'CF_2'!AB46,'CF_3'!AB46,'CF_4'!AB46)</x:f>
      </x:c>
      <x:c r="AC13" s="117" t="n">
        <x:f>SUM('CF_1'!AC46,'CF_2'!AC46,'CF_3'!AC46,'CF_4'!AC46)</x:f>
      </x:c>
      <x:c r="AD13" s="117" t="n">
        <x:f>SUM('CF_1'!AD46,'CF_2'!AD46,'CF_3'!AD46,'CF_4'!AD46)</x:f>
      </x:c>
      <x:c r="AE13" s="117" t="n">
        <x:f>SUM('CF_1'!AE46,'CF_2'!AE46,'CF_3'!AE46,'CF_4'!AE46)</x:f>
      </x:c>
      <x:c r="AF13" s="117" t="n">
        <x:f>SUM('CF_1'!AF46,'CF_2'!AF46,'CF_3'!AF46,'CF_4'!AF46)</x:f>
      </x:c>
      <x:c r="AG13" s="117" t="n">
        <x:f>SUM('CF_1'!AG46,'CF_2'!AG46,'CF_3'!AG46,'CF_4'!AG46)</x:f>
      </x:c>
      <x:c r="AH13" s="117" t="n">
        <x:f>SUM('CF_1'!AH46,'CF_2'!AH46,'CF_3'!AH46,'CF_4'!AH46)</x:f>
      </x:c>
      <x:c r="AI13" s="117" t="n">
        <x:f>SUM('CF_1'!AI46,'CF_2'!AI46,'CF_3'!AI46,'CF_4'!AI46)</x:f>
      </x:c>
      <x:c r="AJ13" s="117" t="n">
        <x:f>SUM('CF_1'!AJ46,'CF_2'!AJ46,'CF_3'!AJ46,'CF_4'!AJ46)</x:f>
      </x:c>
      <x:c r="AK13" s="117" t="n">
        <x:f>SUM('CF_1'!AK46,'CF_2'!AK46,'CF_3'!AK46,'CF_4'!AK46)</x:f>
      </x:c>
      <x:c r="AL13" s="117" t="n">
        <x:f>SUM('CF_1'!AL46,'CF_2'!AL46,'CF_3'!AL46,'CF_4'!AL46)</x:f>
      </x:c>
      <x:c r="AM13" s="117" t="n">
        <x:f>SUM('CF_1'!AM46,'CF_2'!AM46,'CF_3'!AM46,'CF_4'!AM46)</x:f>
      </x:c>
      <x:c r="AN13" s="117" t="n">
        <x:f>SUM('CF_1'!AN46,'CF_2'!AN46,'CF_3'!AN46,'CF_4'!AN46)</x:f>
      </x:c>
      <x:c r="AO13" s="117" t="n">
        <x:f>SUM('CF_1'!AO46,'CF_2'!AO46,'CF_3'!AO46,'CF_4'!AO46)</x:f>
      </x:c>
      <x:c r="AP13" s="117" t="n">
        <x:f>SUM('CF_1'!AP46,'CF_2'!AP46,'CF_3'!AP46,'CF_4'!AP46)</x:f>
      </x:c>
      <x:c r="AQ13" s="117" t="n">
        <x:f>SUM('CF_1'!AQ46,'CF_2'!AQ46,'CF_3'!AQ46,'CF_4'!AQ46)</x:f>
      </x:c>
      <x:c r="AR13" s="117" t="n">
        <x:f>SUM('CF_1'!AR46,'CF_2'!AR46,'CF_3'!AR46,'CF_4'!AR46)</x:f>
      </x:c>
      <x:c r="AS13" s="117" t="n">
        <x:f>SUM('CF_1'!AS46,'CF_2'!AS46,'CF_3'!AS46,'CF_4'!AS46)</x:f>
      </x:c>
      <x:c r="AT13" s="117" t="n">
        <x:f>SUM('CF_1'!AT46,'CF_2'!AT46,'CF_3'!AT46,'CF_4'!AT46)</x:f>
      </x:c>
      <x:c r="AU13" s="117" t="n">
        <x:f>SUM('CF_1'!AU46,'CF_2'!AU46,'CF_3'!AU46,'CF_4'!AU46)</x:f>
      </x:c>
      <x:c r="AV13" s="117" t="n">
        <x:f>SUM('CF_1'!AV46,'CF_2'!AV46,'CF_3'!AV46,'CF_4'!AV46)</x:f>
      </x:c>
      <x:c r="AW13" s="117" t="n">
        <x:f>SUM('CF_1'!AW46,'CF_2'!AW46,'CF_3'!AW46,'CF_4'!AW46)</x:f>
      </x:c>
      <x:c r="AX13" s="117" t="n">
        <x:f>SUM('CF_1'!AX46,'CF_2'!AX46,'CF_3'!AX46,'CF_4'!AX46)</x:f>
      </x:c>
      <x:c r="AY13" s="117" t="n">
        <x:f>SUM('CF_1'!AY46,'CF_2'!AY46,'CF_3'!AY46,'CF_4'!AY46)</x:f>
      </x:c>
      <x:c r="AZ13" s="117" t="n">
        <x:f>SUM('CF_1'!AZ46,'CF_2'!AZ46,'CF_3'!AZ46,'CF_4'!AZ46)</x:f>
      </x:c>
      <x:c r="BA13" s="117" t="n">
        <x:f>SUM('CF_1'!BA46,'CF_2'!BA46,'CF_3'!BA46,'CF_4'!BA46)</x:f>
      </x:c>
      <x:c r="BB13" s="117" t="n">
        <x:f>SUM('CF_1'!BB46,'CF_2'!BB46,'CF_3'!BB46,'CF_4'!BB46)</x:f>
      </x:c>
      <x:c r="BC13" s="117" t="n">
        <x:f>SUM('CF_1'!BC46,'CF_2'!BC46,'CF_3'!BC46,'CF_4'!BC46)</x:f>
      </x:c>
      <x:c r="BD13" s="117" t="n">
        <x:f>SUM('CF_1'!BD46,'CF_2'!BD46,'CF_3'!BD46,'CF_4'!BD46)</x:f>
      </x:c>
      <x:c r="BE13" s="117" t="n">
        <x:f>SUM('CF_1'!BE46,'CF_2'!BE46,'CF_3'!BE46,'CF_4'!BE46)</x:f>
      </x:c>
      <x:c r="BF13" s="117" t="n">
        <x:f>SUM('CF_1'!BF46,'CF_2'!BF46,'CF_3'!BF46,'CF_4'!BF46)</x:f>
      </x:c>
      <x:c r="BG13" s="117" t="n">
        <x:f>SUM('CF_1'!BG46,'CF_2'!BG46,'CF_3'!BG46,'CF_4'!BG46)</x:f>
      </x:c>
      <x:c r="BH13" s="117" t="n">
        <x:f>SUM('CF_1'!BH46,'CF_2'!BH46,'CF_3'!BH46,'CF_4'!BH46)</x:f>
      </x:c>
      <x:c r="BI13" s="117" t="n">
        <x:f>SUM('CF_1'!BI46,'CF_2'!BI46,'CF_3'!BI46,'CF_4'!BI46)</x:f>
      </x:c>
      <x:c r="BJ13" s="117" t="n">
        <x:f>SUM('CF_1'!BJ46,'CF_2'!BJ46,'CF_3'!BJ46,'CF_4'!BJ46)</x:f>
      </x:c>
      <x:c r="BK13" s="117" t="n">
        <x:f>SUM('CF_1'!BK46,'CF_2'!BK46,'CF_3'!BK46,'CF_4'!BK46)</x:f>
      </x:c>
      <x:c r="BL13" s="117" t="n">
        <x:f>SUM('CF_1'!BL46,'CF_2'!BL46,'CF_3'!BL46,'CF_4'!BL46)</x:f>
      </x:c>
      <x:c r="BM13" s="117" t="n">
        <x:f>SUM('CF_1'!BM46,'CF_2'!BM46,'CF_3'!BM46,'CF_4'!BM46)</x:f>
      </x:c>
      <x:c r="BN13" s="117" t="n">
        <x:f>SUM('CF_1'!BN46,'CF_2'!BN46,'CF_3'!BN46,'CF_4'!BN46)</x:f>
      </x:c>
      <x:c r="BO13" s="117" t="n">
        <x:f>SUM('CF_1'!BO46,'CF_2'!BO46,'CF_3'!BO46,'CF_4'!BO46)</x:f>
      </x:c>
      <x:c r="BP13" s="117" t="n">
        <x:f>SUM('CF_1'!BP46,'CF_2'!BP46,'CF_3'!BP46,'CF_4'!BP46)</x:f>
      </x:c>
      <x:c r="BQ13" s="117" t="n">
        <x:f>SUM('CF_1'!BQ46,'CF_2'!BQ46,'CF_3'!BQ46,'CF_4'!BQ46)</x:f>
      </x:c>
      <x:c r="BR13" s="117" t="n">
        <x:f>SUM('CF_1'!BR46,'CF_2'!BR46,'CF_3'!BR46,'CF_4'!BR46)</x:f>
      </x:c>
      <x:c r="BS13" s="117" t="n">
        <x:f>SUM('CF_1'!BS46,'CF_2'!BS46,'CF_3'!BS46,'CF_4'!BS46)</x:f>
      </x:c>
      <x:c r="BT13" s="117" t="n">
        <x:f>SUM('CF_1'!BT46,'CF_2'!BT46,'CF_3'!BT46,'CF_4'!BT46)</x:f>
      </x:c>
      <x:c r="BU13" s="117" t="n">
        <x:f>SUM('CF_1'!BU46,'CF_2'!BU46,'CF_3'!BU46,'CF_4'!BU46)</x:f>
      </x:c>
      <x:c r="BV13" s="117" t="n">
        <x:f>SUM('CF_1'!BV46,'CF_2'!BV46,'CF_3'!BV46,'CF_4'!BV46)</x:f>
      </x:c>
      <x:c r="BW13" s="117" t="n">
        <x:f>SUM('CF_1'!BW46,'CF_2'!BW46,'CF_3'!BW46,'CF_4'!BW46)</x:f>
      </x:c>
      <x:c r="BX13" s="117" t="n">
        <x:f>SUM('CF_1'!BX46,'CF_2'!BX46,'CF_3'!BX46,'CF_4'!BX46)</x:f>
      </x:c>
      <x:c r="BY13" s="117" t="n">
        <x:f>SUM('CF_1'!BY46,'CF_2'!BY46,'CF_3'!BY46,'CF_4'!BY46)</x:f>
      </x:c>
      <x:c r="BZ13" s="117" t="n">
        <x:f>SUM('CF_1'!BZ46,'CF_2'!BZ46,'CF_3'!BZ46,'CF_4'!BZ46)</x:f>
      </x:c>
      <x:c r="CA13" s="117" t="n">
        <x:f>SUM('CF_1'!CA46,'CF_2'!CA46,'CF_3'!CA46,'CF_4'!CA46)</x:f>
      </x:c>
      <x:c r="CB13" s="117" t="n">
        <x:f>SUM('CF_1'!CB46,'CF_2'!CB46,'CF_3'!CB46,'CF_4'!CB46)</x:f>
      </x:c>
      <x:c r="CC13" s="117" t="n">
        <x:f>SUM('CF_1'!CC46,'CF_2'!CC46,'CF_3'!CC46,'CF_4'!CC46)</x:f>
      </x:c>
      <x:c r="CD13" s="117" t="n">
        <x:f>SUM('CF_1'!CD46,'CF_2'!CD46,'CF_3'!CD46,'CF_4'!CD46)</x:f>
      </x:c>
      <x:c r="CE13" s="117" t="n">
        <x:f>SUM('CF_1'!CE46,'CF_2'!CE46,'CF_3'!CE46,'CF_4'!CE46)</x:f>
      </x:c>
      <x:c r="CF13" s="117" t="n">
        <x:f>SUM('CF_1'!CF46,'CF_2'!CF46,'CF_3'!CF46,'CF_4'!CF46)</x:f>
      </x:c>
      <x:c r="CG13" s="117" t="n">
        <x:f>SUM('CF_1'!CG46,'CF_2'!CG46,'CF_3'!CG46,'CF_4'!CG46)</x:f>
      </x:c>
      <x:c r="CH13" s="117" t="n">
        <x:f>SUM('CF_1'!CH46,'CF_2'!CH46,'CF_3'!CH46,'CF_4'!CH46)</x:f>
      </x:c>
      <x:c r="CI13" s="117" t="n">
        <x:f>SUM('CF_1'!CI46,'CF_2'!CI46,'CF_3'!CI46,'CF_4'!CI46)</x:f>
      </x:c>
      <x:c r="CJ13" s="117" t="n">
        <x:f>SUM('CF_1'!CJ46,'CF_2'!CJ46,'CF_3'!CJ46,'CF_4'!CJ46)</x:f>
      </x:c>
      <x:c r="CK13" s="117" t="n">
        <x:f>SUM('CF_1'!CK46,'CF_2'!CK46,'CF_3'!CK46,'CF_4'!CK46)</x:f>
      </x:c>
      <x:c r="CL13" s="117" t="n">
        <x:f>SUM('CF_1'!CL46,'CF_2'!CL46,'CF_3'!CL46,'CF_4'!CL46)</x:f>
      </x:c>
      <x:c r="CM13" s="117" t="n">
        <x:f>SUM('CF_1'!CM46,'CF_2'!CM46,'CF_3'!CM46,'CF_4'!CM46)</x:f>
      </x:c>
      <x:c r="CN13" s="117" t="n">
        <x:f>SUM('CF_1'!CN46,'CF_2'!CN46,'CF_3'!CN46,'CF_4'!CN46)</x:f>
      </x:c>
      <x:c r="CO13" s="117" t="n">
        <x:f>SUM('CF_1'!CO46,'CF_2'!CO46,'CF_3'!CO46,'CF_4'!CO46)</x:f>
      </x:c>
      <x:c r="CP13" s="117" t="n">
        <x:f>SUM('CF_1'!CP46,'CF_2'!CP46,'CF_3'!CP46,'CF_4'!CP46)</x:f>
      </x:c>
      <x:c r="CQ13" s="117" t="n">
        <x:f>SUM('CF_1'!CQ46,'CF_2'!CQ46,'CF_3'!CQ46,'CF_4'!CQ46)</x:f>
      </x:c>
      <x:c r="CR13" s="117" t="n">
        <x:f>SUM('CF_1'!CR46,'CF_2'!CR46,'CF_3'!CR46,'CF_4'!CR46)</x:f>
      </x:c>
      <x:c r="CS13" s="117" t="n">
        <x:f>SUM('CF_1'!CS46,'CF_2'!CS46,'CF_3'!CS46,'CF_4'!CS46)</x:f>
      </x:c>
      <x:c r="CT13" s="117" t="n">
        <x:f>SUM('CF_1'!CT46,'CF_2'!CT46,'CF_3'!CT46,'CF_4'!CT46)</x:f>
      </x:c>
      <x:c r="CU13" s="117" t="n">
        <x:f>SUM('CF_1'!CU46,'CF_2'!CU46,'CF_3'!CU46,'CF_4'!CU46)</x:f>
      </x:c>
      <x:c r="CV13" s="117" t="n">
        <x:f>SUM('CF_1'!CV46,'CF_2'!CV46,'CF_3'!CV46,'CF_4'!CV46)</x:f>
      </x:c>
      <x:c r="CW13" s="117" t="n">
        <x:f>SUM('CF_1'!CW46,'CF_2'!CW46,'CF_3'!CW46,'CF_4'!CW46)</x:f>
      </x:c>
      <x:c r="CX13" s="117" t="n">
        <x:f>SUM('CF_1'!CX46,'CF_2'!CX46,'CF_3'!CX46,'CF_4'!CX46)</x:f>
      </x:c>
      <x:c r="CY13" s="117" t="n">
        <x:f>SUM('CF_1'!CY46,'CF_2'!CY46,'CF_3'!CY46,'CF_4'!CY46)</x:f>
      </x:c>
      <x:c r="CZ13" s="117" t="n">
        <x:f>SUM('CF_1'!CZ46,'CF_2'!CZ46,'CF_3'!CZ46,'CF_4'!CZ46)</x:f>
      </x:c>
      <x:c r="DA13" s="117" t="n">
        <x:f>SUM('CF_1'!DA46,'CF_2'!DA46,'CF_3'!DA46,'CF_4'!DA46)</x:f>
      </x:c>
      <x:c r="DB13" s="117" t="n">
        <x:f>SUM('CF_1'!DB46,'CF_2'!DB46,'CF_3'!DB46,'CF_4'!DB46)</x:f>
      </x:c>
      <x:c r="DC13" s="117" t="n">
        <x:f>SUM('CF_1'!DC46,'CF_2'!DC46,'CF_3'!DC46,'CF_4'!DC46)</x:f>
      </x:c>
      <x:c r="DD13" s="117" t="n">
        <x:f>SUM('CF_1'!DD46,'CF_2'!DD46,'CF_3'!DD46,'CF_4'!DD46)</x:f>
      </x:c>
      <x:c r="DE13" s="117" t="n">
        <x:f>SUM('CF_1'!DE46,'CF_2'!DE46,'CF_3'!DE46,'CF_4'!DE46)</x:f>
      </x:c>
      <x:c r="DF13" s="117" t="n">
        <x:f>SUM('CF_1'!DF46,'CF_2'!DF46,'CF_3'!DF46,'CF_4'!DF46)</x:f>
      </x:c>
      <x:c r="DG13" s="117" t="n">
        <x:f>SUM('CF_1'!DG46,'CF_2'!DG46,'CF_3'!DG46,'CF_4'!DG46)</x:f>
      </x:c>
      <x:c r="DH13" s="117" t="n">
        <x:f>SUM('CF_1'!DH46,'CF_2'!DH46,'CF_3'!DH46,'CF_4'!DH46)</x:f>
      </x:c>
      <x:c r="DI13" s="117" t="n">
        <x:f>SUM('CF_1'!DI46,'CF_2'!DI46,'CF_3'!DI46,'CF_4'!DI46)</x:f>
      </x:c>
      <x:c r="DJ13" s="117" t="n">
        <x:f>SUM('CF_1'!DJ46,'CF_2'!DJ46,'CF_3'!DJ46,'CF_4'!DJ46)</x:f>
      </x:c>
      <x:c r="DK13" s="117" t="n">
        <x:f>SUM('CF_1'!DK46,'CF_2'!DK46,'CF_3'!DK46,'CF_4'!DK46)</x:f>
      </x:c>
      <x:c r="DL13" s="117" t="n">
        <x:f>SUM('CF_1'!DL46,'CF_2'!DL46,'CF_3'!DL46,'CF_4'!DL46)</x:f>
      </x:c>
      <x:c r="DM13" s="117" t="n">
        <x:f>SUM('CF_1'!DM46,'CF_2'!DM46,'CF_3'!DM46,'CF_4'!DM46)</x:f>
      </x:c>
      <x:c r="DN13" s="117" t="n">
        <x:f>SUM('CF_1'!DN46,'CF_2'!DN46,'CF_3'!DN46,'CF_4'!DN46)</x:f>
      </x:c>
      <x:c r="DO13" s="117" t="n">
        <x:f>SUM('CF_1'!DO46,'CF_2'!DO46,'CF_3'!DO46,'CF_4'!DO46)</x:f>
      </x:c>
      <x:c r="DP13" s="117" t="n">
        <x:f>SUM('CF_1'!DP46,'CF_2'!DP46,'CF_3'!DP46,'CF_4'!DP46)</x:f>
      </x:c>
      <x:c r="DQ13" s="117" t="n">
        <x:f>SUM('CF_1'!DQ46,'CF_2'!DQ46,'CF_3'!DQ46,'CF_4'!DQ46)</x:f>
      </x:c>
      <x:c r="DR13" s="117" t="n">
        <x:f>SUM('CF_1'!DR46,'CF_2'!DR46,'CF_3'!DR46,'CF_4'!DR46)</x:f>
      </x:c>
      <x:c r="DS13" s="117" t="n">
        <x:f>SUM('CF_1'!DS46,'CF_2'!DS46,'CF_3'!DS46,'CF_4'!DS46)</x:f>
      </x:c>
    </x:row>
    <x:row r="14">
      <x:c r="A14" t="str">
        <x:v>ПФ — долг</x:v>
      </x:c>
      <x:c r="B14" s="107" t="n">
        <x:f>MAX(D14:DS14)</x:f>
      </x:c>
      <x:c r="C14" t="str">
        <x:v>млн ₽</x:v>
      </x:c>
      <x:c r="D14" s="117" t="n">
        <x:f>SUM('CF_1'!D47,'CF_2'!D47,'CF_3'!D47,'CF_4'!D47)</x:f>
      </x:c>
      <x:c r="E14" s="117" t="n">
        <x:f>SUM('CF_1'!E47,'CF_2'!E47,'CF_3'!E47,'CF_4'!E47)</x:f>
      </x:c>
      <x:c r="F14" s="117" t="n">
        <x:f>SUM('CF_1'!F47,'CF_2'!F47,'CF_3'!F47,'CF_4'!F47)</x:f>
      </x:c>
      <x:c r="G14" s="117" t="n">
        <x:f>SUM('CF_1'!G47,'CF_2'!G47,'CF_3'!G47,'CF_4'!G47)</x:f>
      </x:c>
      <x:c r="H14" s="117" t="n">
        <x:f>SUM('CF_1'!H47,'CF_2'!H47,'CF_3'!H47,'CF_4'!H47)</x:f>
      </x:c>
      <x:c r="I14" s="117" t="n">
        <x:f>SUM('CF_1'!I47,'CF_2'!I47,'CF_3'!I47,'CF_4'!I47)</x:f>
      </x:c>
      <x:c r="J14" s="117" t="n">
        <x:f>SUM('CF_1'!J47,'CF_2'!J47,'CF_3'!J47,'CF_4'!J47)</x:f>
      </x:c>
      <x:c r="K14" s="117" t="n">
        <x:f>SUM('CF_1'!K47,'CF_2'!K47,'CF_3'!K47,'CF_4'!K47)</x:f>
      </x:c>
      <x:c r="L14" s="117" t="n">
        <x:f>SUM('CF_1'!L47,'CF_2'!L47,'CF_3'!L47,'CF_4'!L47)</x:f>
      </x:c>
      <x:c r="M14" s="117" t="n">
        <x:f>SUM('CF_1'!M47,'CF_2'!M47,'CF_3'!M47,'CF_4'!M47)</x:f>
      </x:c>
      <x:c r="N14" s="117" t="n">
        <x:f>SUM('CF_1'!N47,'CF_2'!N47,'CF_3'!N47,'CF_4'!N47)</x:f>
      </x:c>
      <x:c r="O14" s="117" t="n">
        <x:f>SUM('CF_1'!O47,'CF_2'!O47,'CF_3'!O47,'CF_4'!O47)</x:f>
      </x:c>
      <x:c r="P14" s="117" t="n">
        <x:f>SUM('CF_1'!P47,'CF_2'!P47,'CF_3'!P47,'CF_4'!P47)</x:f>
      </x:c>
      <x:c r="Q14" s="117" t="n">
        <x:f>SUM('CF_1'!Q47,'CF_2'!Q47,'CF_3'!Q47,'CF_4'!Q47)</x:f>
      </x:c>
      <x:c r="R14" s="117" t="n">
        <x:f>SUM('CF_1'!R47,'CF_2'!R47,'CF_3'!R47,'CF_4'!R47)</x:f>
      </x:c>
      <x:c r="S14" s="117" t="n">
        <x:f>SUM('CF_1'!S47,'CF_2'!S47,'CF_3'!S47,'CF_4'!S47)</x:f>
      </x:c>
      <x:c r="T14" s="117" t="n">
        <x:f>SUM('CF_1'!T47,'CF_2'!T47,'CF_3'!T47,'CF_4'!T47)</x:f>
      </x:c>
      <x:c r="U14" s="117" t="n">
        <x:f>SUM('CF_1'!U47,'CF_2'!U47,'CF_3'!U47,'CF_4'!U47)</x:f>
      </x:c>
      <x:c r="V14" s="117" t="n">
        <x:f>SUM('CF_1'!V47,'CF_2'!V47,'CF_3'!V47,'CF_4'!V47)</x:f>
      </x:c>
      <x:c r="W14" s="117" t="n">
        <x:f>SUM('CF_1'!W47,'CF_2'!W47,'CF_3'!W47,'CF_4'!W47)</x:f>
      </x:c>
      <x:c r="X14" s="117" t="n">
        <x:f>SUM('CF_1'!X47,'CF_2'!X47,'CF_3'!X47,'CF_4'!X47)</x:f>
      </x:c>
      <x:c r="Y14" s="117" t="n">
        <x:f>SUM('CF_1'!Y47,'CF_2'!Y47,'CF_3'!Y47,'CF_4'!Y47)</x:f>
      </x:c>
      <x:c r="Z14" s="117" t="n">
        <x:f>SUM('CF_1'!Z47,'CF_2'!Z47,'CF_3'!Z47,'CF_4'!Z47)</x:f>
      </x:c>
      <x:c r="AA14" s="117" t="n">
        <x:f>SUM('CF_1'!AA47,'CF_2'!AA47,'CF_3'!AA47,'CF_4'!AA47)</x:f>
      </x:c>
      <x:c r="AB14" s="117" t="n">
        <x:f>SUM('CF_1'!AB47,'CF_2'!AB47,'CF_3'!AB47,'CF_4'!AB47)</x:f>
      </x:c>
      <x:c r="AC14" s="117" t="n">
        <x:f>SUM('CF_1'!AC47,'CF_2'!AC47,'CF_3'!AC47,'CF_4'!AC47)</x:f>
      </x:c>
      <x:c r="AD14" s="117" t="n">
        <x:f>SUM('CF_1'!AD47,'CF_2'!AD47,'CF_3'!AD47,'CF_4'!AD47)</x:f>
      </x:c>
      <x:c r="AE14" s="117" t="n">
        <x:f>SUM('CF_1'!AE47,'CF_2'!AE47,'CF_3'!AE47,'CF_4'!AE47)</x:f>
      </x:c>
      <x:c r="AF14" s="117" t="n">
        <x:f>SUM('CF_1'!AF47,'CF_2'!AF47,'CF_3'!AF47,'CF_4'!AF47)</x:f>
      </x:c>
      <x:c r="AG14" s="117" t="n">
        <x:f>SUM('CF_1'!AG47,'CF_2'!AG47,'CF_3'!AG47,'CF_4'!AG47)</x:f>
      </x:c>
      <x:c r="AH14" s="117" t="n">
        <x:f>SUM('CF_1'!AH47,'CF_2'!AH47,'CF_3'!AH47,'CF_4'!AH47)</x:f>
      </x:c>
      <x:c r="AI14" s="117" t="n">
        <x:f>SUM('CF_1'!AI47,'CF_2'!AI47,'CF_3'!AI47,'CF_4'!AI47)</x:f>
      </x:c>
      <x:c r="AJ14" s="117" t="n">
        <x:f>SUM('CF_1'!AJ47,'CF_2'!AJ47,'CF_3'!AJ47,'CF_4'!AJ47)</x:f>
      </x:c>
      <x:c r="AK14" s="117" t="n">
        <x:f>SUM('CF_1'!AK47,'CF_2'!AK47,'CF_3'!AK47,'CF_4'!AK47)</x:f>
      </x:c>
      <x:c r="AL14" s="117" t="n">
        <x:f>SUM('CF_1'!AL47,'CF_2'!AL47,'CF_3'!AL47,'CF_4'!AL47)</x:f>
      </x:c>
      <x:c r="AM14" s="117" t="n">
        <x:f>SUM('CF_1'!AM47,'CF_2'!AM47,'CF_3'!AM47,'CF_4'!AM47)</x:f>
      </x:c>
      <x:c r="AN14" s="117" t="n">
        <x:f>SUM('CF_1'!AN47,'CF_2'!AN47,'CF_3'!AN47,'CF_4'!AN47)</x:f>
      </x:c>
      <x:c r="AO14" s="117" t="n">
        <x:f>SUM('CF_1'!AO47,'CF_2'!AO47,'CF_3'!AO47,'CF_4'!AO47)</x:f>
      </x:c>
      <x:c r="AP14" s="117" t="n">
        <x:f>SUM('CF_1'!AP47,'CF_2'!AP47,'CF_3'!AP47,'CF_4'!AP47)</x:f>
      </x:c>
      <x:c r="AQ14" s="117" t="n">
        <x:f>SUM('CF_1'!AQ47,'CF_2'!AQ47,'CF_3'!AQ47,'CF_4'!AQ47)</x:f>
      </x:c>
      <x:c r="AR14" s="117" t="n">
        <x:f>SUM('CF_1'!AR47,'CF_2'!AR47,'CF_3'!AR47,'CF_4'!AR47)</x:f>
      </x:c>
      <x:c r="AS14" s="117" t="n">
        <x:f>SUM('CF_1'!AS47,'CF_2'!AS47,'CF_3'!AS47,'CF_4'!AS47)</x:f>
      </x:c>
      <x:c r="AT14" s="117" t="n">
        <x:f>SUM('CF_1'!AT47,'CF_2'!AT47,'CF_3'!AT47,'CF_4'!AT47)</x:f>
      </x:c>
      <x:c r="AU14" s="117" t="n">
        <x:f>SUM('CF_1'!AU47,'CF_2'!AU47,'CF_3'!AU47,'CF_4'!AU47)</x:f>
      </x:c>
      <x:c r="AV14" s="117" t="n">
        <x:f>SUM('CF_1'!AV47,'CF_2'!AV47,'CF_3'!AV47,'CF_4'!AV47)</x:f>
      </x:c>
      <x:c r="AW14" s="117" t="n">
        <x:f>SUM('CF_1'!AW47,'CF_2'!AW47,'CF_3'!AW47,'CF_4'!AW47)</x:f>
      </x:c>
      <x:c r="AX14" s="117" t="n">
        <x:f>SUM('CF_1'!AX47,'CF_2'!AX47,'CF_3'!AX47,'CF_4'!AX47)</x:f>
      </x:c>
      <x:c r="AY14" s="117" t="n">
        <x:f>SUM('CF_1'!AY47,'CF_2'!AY47,'CF_3'!AY47,'CF_4'!AY47)</x:f>
      </x:c>
      <x:c r="AZ14" s="117" t="n">
        <x:f>SUM('CF_1'!AZ47,'CF_2'!AZ47,'CF_3'!AZ47,'CF_4'!AZ47)</x:f>
      </x:c>
      <x:c r="BA14" s="117" t="n">
        <x:f>SUM('CF_1'!BA47,'CF_2'!BA47,'CF_3'!BA47,'CF_4'!BA47)</x:f>
      </x:c>
      <x:c r="BB14" s="117" t="n">
        <x:f>SUM('CF_1'!BB47,'CF_2'!BB47,'CF_3'!BB47,'CF_4'!BB47)</x:f>
      </x:c>
      <x:c r="BC14" s="117" t="n">
        <x:f>SUM('CF_1'!BC47,'CF_2'!BC47,'CF_3'!BC47,'CF_4'!BC47)</x:f>
      </x:c>
      <x:c r="BD14" s="117" t="n">
        <x:f>SUM('CF_1'!BD47,'CF_2'!BD47,'CF_3'!BD47,'CF_4'!BD47)</x:f>
      </x:c>
      <x:c r="BE14" s="117" t="n">
        <x:f>SUM('CF_1'!BE47,'CF_2'!BE47,'CF_3'!BE47,'CF_4'!BE47)</x:f>
      </x:c>
      <x:c r="BF14" s="117" t="n">
        <x:f>SUM('CF_1'!BF47,'CF_2'!BF47,'CF_3'!BF47,'CF_4'!BF47)</x:f>
      </x:c>
      <x:c r="BG14" s="117" t="n">
        <x:f>SUM('CF_1'!BG47,'CF_2'!BG47,'CF_3'!BG47,'CF_4'!BG47)</x:f>
      </x:c>
      <x:c r="BH14" s="117" t="n">
        <x:f>SUM('CF_1'!BH47,'CF_2'!BH47,'CF_3'!BH47,'CF_4'!BH47)</x:f>
      </x:c>
      <x:c r="BI14" s="117" t="n">
        <x:f>SUM('CF_1'!BI47,'CF_2'!BI47,'CF_3'!BI47,'CF_4'!BI47)</x:f>
      </x:c>
      <x:c r="BJ14" s="117" t="n">
        <x:f>SUM('CF_1'!BJ47,'CF_2'!BJ47,'CF_3'!BJ47,'CF_4'!BJ47)</x:f>
      </x:c>
      <x:c r="BK14" s="117" t="n">
        <x:f>SUM('CF_1'!BK47,'CF_2'!BK47,'CF_3'!BK47,'CF_4'!BK47)</x:f>
      </x:c>
      <x:c r="BL14" s="117" t="n">
        <x:f>SUM('CF_1'!BL47,'CF_2'!BL47,'CF_3'!BL47,'CF_4'!BL47)</x:f>
      </x:c>
      <x:c r="BM14" s="117" t="n">
        <x:f>SUM('CF_1'!BM47,'CF_2'!BM47,'CF_3'!BM47,'CF_4'!BM47)</x:f>
      </x:c>
      <x:c r="BN14" s="117" t="n">
        <x:f>SUM('CF_1'!BN47,'CF_2'!BN47,'CF_3'!BN47,'CF_4'!BN47)</x:f>
      </x:c>
      <x:c r="BO14" s="117" t="n">
        <x:f>SUM('CF_1'!BO47,'CF_2'!BO47,'CF_3'!BO47,'CF_4'!BO47)</x:f>
      </x:c>
      <x:c r="BP14" s="117" t="n">
        <x:f>SUM('CF_1'!BP47,'CF_2'!BP47,'CF_3'!BP47,'CF_4'!BP47)</x:f>
      </x:c>
      <x:c r="BQ14" s="117" t="n">
        <x:f>SUM('CF_1'!BQ47,'CF_2'!BQ47,'CF_3'!BQ47,'CF_4'!BQ47)</x:f>
      </x:c>
      <x:c r="BR14" s="117" t="n">
        <x:f>SUM('CF_1'!BR47,'CF_2'!BR47,'CF_3'!BR47,'CF_4'!BR47)</x:f>
      </x:c>
      <x:c r="BS14" s="117" t="n">
        <x:f>SUM('CF_1'!BS47,'CF_2'!BS47,'CF_3'!BS47,'CF_4'!BS47)</x:f>
      </x:c>
      <x:c r="BT14" s="117" t="n">
        <x:f>SUM('CF_1'!BT47,'CF_2'!BT47,'CF_3'!BT47,'CF_4'!BT47)</x:f>
      </x:c>
      <x:c r="BU14" s="117" t="n">
        <x:f>SUM('CF_1'!BU47,'CF_2'!BU47,'CF_3'!BU47,'CF_4'!BU47)</x:f>
      </x:c>
      <x:c r="BV14" s="117" t="n">
        <x:f>SUM('CF_1'!BV47,'CF_2'!BV47,'CF_3'!BV47,'CF_4'!BV47)</x:f>
      </x:c>
      <x:c r="BW14" s="117" t="n">
        <x:f>SUM('CF_1'!BW47,'CF_2'!BW47,'CF_3'!BW47,'CF_4'!BW47)</x:f>
      </x:c>
      <x:c r="BX14" s="117" t="n">
        <x:f>SUM('CF_1'!BX47,'CF_2'!BX47,'CF_3'!BX47,'CF_4'!BX47)</x:f>
      </x:c>
      <x:c r="BY14" s="117" t="n">
        <x:f>SUM('CF_1'!BY47,'CF_2'!BY47,'CF_3'!BY47,'CF_4'!BY47)</x:f>
      </x:c>
      <x:c r="BZ14" s="117" t="n">
        <x:f>SUM('CF_1'!BZ47,'CF_2'!BZ47,'CF_3'!BZ47,'CF_4'!BZ47)</x:f>
      </x:c>
      <x:c r="CA14" s="117" t="n">
        <x:f>SUM('CF_1'!CA47,'CF_2'!CA47,'CF_3'!CA47,'CF_4'!CA47)</x:f>
      </x:c>
      <x:c r="CB14" s="117" t="n">
        <x:f>SUM('CF_1'!CB47,'CF_2'!CB47,'CF_3'!CB47,'CF_4'!CB47)</x:f>
      </x:c>
      <x:c r="CC14" s="117" t="n">
        <x:f>SUM('CF_1'!CC47,'CF_2'!CC47,'CF_3'!CC47,'CF_4'!CC47)</x:f>
      </x:c>
      <x:c r="CD14" s="117" t="n">
        <x:f>SUM('CF_1'!CD47,'CF_2'!CD47,'CF_3'!CD47,'CF_4'!CD47)</x:f>
      </x:c>
      <x:c r="CE14" s="117" t="n">
        <x:f>SUM('CF_1'!CE47,'CF_2'!CE47,'CF_3'!CE47,'CF_4'!CE47)</x:f>
      </x:c>
      <x:c r="CF14" s="117" t="n">
        <x:f>SUM('CF_1'!CF47,'CF_2'!CF47,'CF_3'!CF47,'CF_4'!CF47)</x:f>
      </x:c>
      <x:c r="CG14" s="117" t="n">
        <x:f>SUM('CF_1'!CG47,'CF_2'!CG47,'CF_3'!CG47,'CF_4'!CG47)</x:f>
      </x:c>
      <x:c r="CH14" s="117" t="n">
        <x:f>SUM('CF_1'!CH47,'CF_2'!CH47,'CF_3'!CH47,'CF_4'!CH47)</x:f>
      </x:c>
      <x:c r="CI14" s="117" t="n">
        <x:f>SUM('CF_1'!CI47,'CF_2'!CI47,'CF_3'!CI47,'CF_4'!CI47)</x:f>
      </x:c>
      <x:c r="CJ14" s="117" t="n">
        <x:f>SUM('CF_1'!CJ47,'CF_2'!CJ47,'CF_3'!CJ47,'CF_4'!CJ47)</x:f>
      </x:c>
      <x:c r="CK14" s="117" t="n">
        <x:f>SUM('CF_1'!CK47,'CF_2'!CK47,'CF_3'!CK47,'CF_4'!CK47)</x:f>
      </x:c>
      <x:c r="CL14" s="117" t="n">
        <x:f>SUM('CF_1'!CL47,'CF_2'!CL47,'CF_3'!CL47,'CF_4'!CL47)</x:f>
      </x:c>
      <x:c r="CM14" s="117" t="n">
        <x:f>SUM('CF_1'!CM47,'CF_2'!CM47,'CF_3'!CM47,'CF_4'!CM47)</x:f>
      </x:c>
      <x:c r="CN14" s="117" t="n">
        <x:f>SUM('CF_1'!CN47,'CF_2'!CN47,'CF_3'!CN47,'CF_4'!CN47)</x:f>
      </x:c>
      <x:c r="CO14" s="117" t="n">
        <x:f>SUM('CF_1'!CO47,'CF_2'!CO47,'CF_3'!CO47,'CF_4'!CO47)</x:f>
      </x:c>
      <x:c r="CP14" s="117" t="n">
        <x:f>SUM('CF_1'!CP47,'CF_2'!CP47,'CF_3'!CP47,'CF_4'!CP47)</x:f>
      </x:c>
      <x:c r="CQ14" s="117" t="n">
        <x:f>SUM('CF_1'!CQ47,'CF_2'!CQ47,'CF_3'!CQ47,'CF_4'!CQ47)</x:f>
      </x:c>
      <x:c r="CR14" s="117" t="n">
        <x:f>SUM('CF_1'!CR47,'CF_2'!CR47,'CF_3'!CR47,'CF_4'!CR47)</x:f>
      </x:c>
      <x:c r="CS14" s="117" t="n">
        <x:f>SUM('CF_1'!CS47,'CF_2'!CS47,'CF_3'!CS47,'CF_4'!CS47)</x:f>
      </x:c>
      <x:c r="CT14" s="117" t="n">
        <x:f>SUM('CF_1'!CT47,'CF_2'!CT47,'CF_3'!CT47,'CF_4'!CT47)</x:f>
      </x:c>
      <x:c r="CU14" s="117" t="n">
        <x:f>SUM('CF_1'!CU47,'CF_2'!CU47,'CF_3'!CU47,'CF_4'!CU47)</x:f>
      </x:c>
      <x:c r="CV14" s="117" t="n">
        <x:f>SUM('CF_1'!CV47,'CF_2'!CV47,'CF_3'!CV47,'CF_4'!CV47)</x:f>
      </x:c>
      <x:c r="CW14" s="117" t="n">
        <x:f>SUM('CF_1'!CW47,'CF_2'!CW47,'CF_3'!CW47,'CF_4'!CW47)</x:f>
      </x:c>
      <x:c r="CX14" s="117" t="n">
        <x:f>SUM('CF_1'!CX47,'CF_2'!CX47,'CF_3'!CX47,'CF_4'!CX47)</x:f>
      </x:c>
      <x:c r="CY14" s="117" t="n">
        <x:f>SUM('CF_1'!CY47,'CF_2'!CY47,'CF_3'!CY47,'CF_4'!CY47)</x:f>
      </x:c>
      <x:c r="CZ14" s="117" t="n">
        <x:f>SUM('CF_1'!CZ47,'CF_2'!CZ47,'CF_3'!CZ47,'CF_4'!CZ47)</x:f>
      </x:c>
      <x:c r="DA14" s="117" t="n">
        <x:f>SUM('CF_1'!DA47,'CF_2'!DA47,'CF_3'!DA47,'CF_4'!DA47)</x:f>
      </x:c>
      <x:c r="DB14" s="117" t="n">
        <x:f>SUM('CF_1'!DB47,'CF_2'!DB47,'CF_3'!DB47,'CF_4'!DB47)</x:f>
      </x:c>
      <x:c r="DC14" s="117" t="n">
        <x:f>SUM('CF_1'!DC47,'CF_2'!DC47,'CF_3'!DC47,'CF_4'!DC47)</x:f>
      </x:c>
      <x:c r="DD14" s="117" t="n">
        <x:f>SUM('CF_1'!DD47,'CF_2'!DD47,'CF_3'!DD47,'CF_4'!DD47)</x:f>
      </x:c>
      <x:c r="DE14" s="117" t="n">
        <x:f>SUM('CF_1'!DE47,'CF_2'!DE47,'CF_3'!DE47,'CF_4'!DE47)</x:f>
      </x:c>
      <x:c r="DF14" s="117" t="n">
        <x:f>SUM('CF_1'!DF47,'CF_2'!DF47,'CF_3'!DF47,'CF_4'!DF47)</x:f>
      </x:c>
      <x:c r="DG14" s="117" t="n">
        <x:f>SUM('CF_1'!DG47,'CF_2'!DG47,'CF_3'!DG47,'CF_4'!DG47)</x:f>
      </x:c>
      <x:c r="DH14" s="117" t="n">
        <x:f>SUM('CF_1'!DH47,'CF_2'!DH47,'CF_3'!DH47,'CF_4'!DH47)</x:f>
      </x:c>
      <x:c r="DI14" s="117" t="n">
        <x:f>SUM('CF_1'!DI47,'CF_2'!DI47,'CF_3'!DI47,'CF_4'!DI47)</x:f>
      </x:c>
      <x:c r="DJ14" s="117" t="n">
        <x:f>SUM('CF_1'!DJ47,'CF_2'!DJ47,'CF_3'!DJ47,'CF_4'!DJ47)</x:f>
      </x:c>
      <x:c r="DK14" s="117" t="n">
        <x:f>SUM('CF_1'!DK47,'CF_2'!DK47,'CF_3'!DK47,'CF_4'!DK47)</x:f>
      </x:c>
      <x:c r="DL14" s="117" t="n">
        <x:f>SUM('CF_1'!DL47,'CF_2'!DL47,'CF_3'!DL47,'CF_4'!DL47)</x:f>
      </x:c>
      <x:c r="DM14" s="117" t="n">
        <x:f>SUM('CF_1'!DM47,'CF_2'!DM47,'CF_3'!DM47,'CF_4'!DM47)</x:f>
      </x:c>
      <x:c r="DN14" s="117" t="n">
        <x:f>SUM('CF_1'!DN47,'CF_2'!DN47,'CF_3'!DN47,'CF_4'!DN47)</x:f>
      </x:c>
      <x:c r="DO14" s="117" t="n">
        <x:f>SUM('CF_1'!DO47,'CF_2'!DO47,'CF_3'!DO47,'CF_4'!DO47)</x:f>
      </x:c>
      <x:c r="DP14" s="117" t="n">
        <x:f>SUM('CF_1'!DP47,'CF_2'!DP47,'CF_3'!DP47,'CF_4'!DP47)</x:f>
      </x:c>
      <x:c r="DQ14" s="117" t="n">
        <x:f>SUM('CF_1'!DQ47,'CF_2'!DQ47,'CF_3'!DQ47,'CF_4'!DQ47)</x:f>
      </x:c>
      <x:c r="DR14" s="117" t="n">
        <x:f>SUM('CF_1'!DR47,'CF_2'!DR47,'CF_3'!DR47,'CF_4'!DR47)</x:f>
      </x:c>
      <x:c r="DS14" s="117" t="n">
        <x:f>SUM('CF_1'!DS47,'CF_2'!DS47,'CF_3'!DS47,'CF_4'!DS47)</x:f>
      </x:c>
    </x:row>
    <x:row r="15">
      <x:c r="A15" t="str">
        <x:v>Эскроу</x:v>
      </x:c>
      <x:c r="B15" s="107" t="n">
        <x:f>MAX(D15:DS15)</x:f>
      </x:c>
      <x:c r="C15" t="str">
        <x:v>млн ₽</x:v>
      </x:c>
      <x:c r="D15" s="117" t="n">
        <x:f>SUM('CF_1'!D15,'CF_2'!D15,'CF_3'!D15,'CF_4'!D15)</x:f>
      </x:c>
      <x:c r="E15" s="117" t="n">
        <x:f>SUM('CF_1'!E15,'CF_2'!E15,'CF_3'!E15,'CF_4'!E15)</x:f>
      </x:c>
      <x:c r="F15" s="117" t="n">
        <x:f>SUM('CF_1'!F15,'CF_2'!F15,'CF_3'!F15,'CF_4'!F15)</x:f>
      </x:c>
      <x:c r="G15" s="117" t="n">
        <x:f>SUM('CF_1'!G15,'CF_2'!G15,'CF_3'!G15,'CF_4'!G15)</x:f>
      </x:c>
      <x:c r="H15" s="117" t="n">
        <x:f>SUM('CF_1'!H15,'CF_2'!H15,'CF_3'!H15,'CF_4'!H15)</x:f>
      </x:c>
      <x:c r="I15" s="117" t="n">
        <x:f>SUM('CF_1'!I15,'CF_2'!I15,'CF_3'!I15,'CF_4'!I15)</x:f>
      </x:c>
      <x:c r="J15" s="117" t="n">
        <x:f>SUM('CF_1'!J15,'CF_2'!J15,'CF_3'!J15,'CF_4'!J15)</x:f>
      </x:c>
      <x:c r="K15" s="117" t="n">
        <x:f>SUM('CF_1'!K15,'CF_2'!K15,'CF_3'!K15,'CF_4'!K15)</x:f>
      </x:c>
      <x:c r="L15" s="117" t="n">
        <x:f>SUM('CF_1'!L15,'CF_2'!L15,'CF_3'!L15,'CF_4'!L15)</x:f>
      </x:c>
      <x:c r="M15" s="117" t="n">
        <x:f>SUM('CF_1'!M15,'CF_2'!M15,'CF_3'!M15,'CF_4'!M15)</x:f>
      </x:c>
      <x:c r="N15" s="117" t="n">
        <x:f>SUM('CF_1'!N15,'CF_2'!N15,'CF_3'!N15,'CF_4'!N15)</x:f>
      </x:c>
      <x:c r="O15" s="117" t="n">
        <x:f>SUM('CF_1'!O15,'CF_2'!O15,'CF_3'!O15,'CF_4'!O15)</x:f>
      </x:c>
      <x:c r="P15" s="117" t="n">
        <x:f>SUM('CF_1'!P15,'CF_2'!P15,'CF_3'!P15,'CF_4'!P15)</x:f>
      </x:c>
      <x:c r="Q15" s="117" t="n">
        <x:f>SUM('CF_1'!Q15,'CF_2'!Q15,'CF_3'!Q15,'CF_4'!Q15)</x:f>
      </x:c>
      <x:c r="R15" s="117" t="n">
        <x:f>SUM('CF_1'!R15,'CF_2'!R15,'CF_3'!R15,'CF_4'!R15)</x:f>
      </x:c>
      <x:c r="S15" s="117" t="n">
        <x:f>SUM('CF_1'!S15,'CF_2'!S15,'CF_3'!S15,'CF_4'!S15)</x:f>
      </x:c>
      <x:c r="T15" s="117" t="n">
        <x:f>SUM('CF_1'!T15,'CF_2'!T15,'CF_3'!T15,'CF_4'!T15)</x:f>
      </x:c>
      <x:c r="U15" s="117" t="n">
        <x:f>SUM('CF_1'!U15,'CF_2'!U15,'CF_3'!U15,'CF_4'!U15)</x:f>
      </x:c>
      <x:c r="V15" s="117" t="n">
        <x:f>SUM('CF_1'!V15,'CF_2'!V15,'CF_3'!V15,'CF_4'!V15)</x:f>
      </x:c>
      <x:c r="W15" s="117" t="n">
        <x:f>SUM('CF_1'!W15,'CF_2'!W15,'CF_3'!W15,'CF_4'!W15)</x:f>
      </x:c>
      <x:c r="X15" s="117" t="n">
        <x:f>SUM('CF_1'!X15,'CF_2'!X15,'CF_3'!X15,'CF_4'!X15)</x:f>
      </x:c>
      <x:c r="Y15" s="117" t="n">
        <x:f>SUM('CF_1'!Y15,'CF_2'!Y15,'CF_3'!Y15,'CF_4'!Y15)</x:f>
      </x:c>
      <x:c r="Z15" s="117" t="n">
        <x:f>SUM('CF_1'!Z15,'CF_2'!Z15,'CF_3'!Z15,'CF_4'!Z15)</x:f>
      </x:c>
      <x:c r="AA15" s="117" t="n">
        <x:f>SUM('CF_1'!AA15,'CF_2'!AA15,'CF_3'!AA15,'CF_4'!AA15)</x:f>
      </x:c>
      <x:c r="AB15" s="117" t="n">
        <x:f>SUM('CF_1'!AB15,'CF_2'!AB15,'CF_3'!AB15,'CF_4'!AB15)</x:f>
      </x:c>
      <x:c r="AC15" s="117" t="n">
        <x:f>SUM('CF_1'!AC15,'CF_2'!AC15,'CF_3'!AC15,'CF_4'!AC15)</x:f>
      </x:c>
      <x:c r="AD15" s="117" t="n">
        <x:f>SUM('CF_1'!AD15,'CF_2'!AD15,'CF_3'!AD15,'CF_4'!AD15)</x:f>
      </x:c>
      <x:c r="AE15" s="117" t="n">
        <x:f>SUM('CF_1'!AE15,'CF_2'!AE15,'CF_3'!AE15,'CF_4'!AE15)</x:f>
      </x:c>
      <x:c r="AF15" s="117" t="n">
        <x:f>SUM('CF_1'!AF15,'CF_2'!AF15,'CF_3'!AF15,'CF_4'!AF15)</x:f>
      </x:c>
      <x:c r="AG15" s="117" t="n">
        <x:f>SUM('CF_1'!AG15,'CF_2'!AG15,'CF_3'!AG15,'CF_4'!AG15)</x:f>
      </x:c>
      <x:c r="AH15" s="117" t="n">
        <x:f>SUM('CF_1'!AH15,'CF_2'!AH15,'CF_3'!AH15,'CF_4'!AH15)</x:f>
      </x:c>
      <x:c r="AI15" s="117" t="n">
        <x:f>SUM('CF_1'!AI15,'CF_2'!AI15,'CF_3'!AI15,'CF_4'!AI15)</x:f>
      </x:c>
      <x:c r="AJ15" s="117" t="n">
        <x:f>SUM('CF_1'!AJ15,'CF_2'!AJ15,'CF_3'!AJ15,'CF_4'!AJ15)</x:f>
      </x:c>
      <x:c r="AK15" s="117" t="n">
        <x:f>SUM('CF_1'!AK15,'CF_2'!AK15,'CF_3'!AK15,'CF_4'!AK15)</x:f>
      </x:c>
      <x:c r="AL15" s="117" t="n">
        <x:f>SUM('CF_1'!AL15,'CF_2'!AL15,'CF_3'!AL15,'CF_4'!AL15)</x:f>
      </x:c>
      <x:c r="AM15" s="117" t="n">
        <x:f>SUM('CF_1'!AM15,'CF_2'!AM15,'CF_3'!AM15,'CF_4'!AM15)</x:f>
      </x:c>
      <x:c r="AN15" s="117" t="n">
        <x:f>SUM('CF_1'!AN15,'CF_2'!AN15,'CF_3'!AN15,'CF_4'!AN15)</x:f>
      </x:c>
      <x:c r="AO15" s="117" t="n">
        <x:f>SUM('CF_1'!AO15,'CF_2'!AO15,'CF_3'!AO15,'CF_4'!AO15)</x:f>
      </x:c>
      <x:c r="AP15" s="117" t="n">
        <x:f>SUM('CF_1'!AP15,'CF_2'!AP15,'CF_3'!AP15,'CF_4'!AP15)</x:f>
      </x:c>
      <x:c r="AQ15" s="117" t="n">
        <x:f>SUM('CF_1'!AQ15,'CF_2'!AQ15,'CF_3'!AQ15,'CF_4'!AQ15)</x:f>
      </x:c>
      <x:c r="AR15" s="117" t="n">
        <x:f>SUM('CF_1'!AR15,'CF_2'!AR15,'CF_3'!AR15,'CF_4'!AR15)</x:f>
      </x:c>
      <x:c r="AS15" s="117" t="n">
        <x:f>SUM('CF_1'!AS15,'CF_2'!AS15,'CF_3'!AS15,'CF_4'!AS15)</x:f>
      </x:c>
      <x:c r="AT15" s="117" t="n">
        <x:f>SUM('CF_1'!AT15,'CF_2'!AT15,'CF_3'!AT15,'CF_4'!AT15)</x:f>
      </x:c>
      <x:c r="AU15" s="117" t="n">
        <x:f>SUM('CF_1'!AU15,'CF_2'!AU15,'CF_3'!AU15,'CF_4'!AU15)</x:f>
      </x:c>
      <x:c r="AV15" s="117" t="n">
        <x:f>SUM('CF_1'!AV15,'CF_2'!AV15,'CF_3'!AV15,'CF_4'!AV15)</x:f>
      </x:c>
      <x:c r="AW15" s="117" t="n">
        <x:f>SUM('CF_1'!AW15,'CF_2'!AW15,'CF_3'!AW15,'CF_4'!AW15)</x:f>
      </x:c>
      <x:c r="AX15" s="117" t="n">
        <x:f>SUM('CF_1'!AX15,'CF_2'!AX15,'CF_3'!AX15,'CF_4'!AX15)</x:f>
      </x:c>
      <x:c r="AY15" s="117" t="n">
        <x:f>SUM('CF_1'!AY15,'CF_2'!AY15,'CF_3'!AY15,'CF_4'!AY15)</x:f>
      </x:c>
      <x:c r="AZ15" s="117" t="n">
        <x:f>SUM('CF_1'!AZ15,'CF_2'!AZ15,'CF_3'!AZ15,'CF_4'!AZ15)</x:f>
      </x:c>
      <x:c r="BA15" s="117" t="n">
        <x:f>SUM('CF_1'!BA15,'CF_2'!BA15,'CF_3'!BA15,'CF_4'!BA15)</x:f>
      </x:c>
      <x:c r="BB15" s="117" t="n">
        <x:f>SUM('CF_1'!BB15,'CF_2'!BB15,'CF_3'!BB15,'CF_4'!BB15)</x:f>
      </x:c>
      <x:c r="BC15" s="117" t="n">
        <x:f>SUM('CF_1'!BC15,'CF_2'!BC15,'CF_3'!BC15,'CF_4'!BC15)</x:f>
      </x:c>
      <x:c r="BD15" s="117" t="n">
        <x:f>SUM('CF_1'!BD15,'CF_2'!BD15,'CF_3'!BD15,'CF_4'!BD15)</x:f>
      </x:c>
      <x:c r="BE15" s="117" t="n">
        <x:f>SUM('CF_1'!BE15,'CF_2'!BE15,'CF_3'!BE15,'CF_4'!BE15)</x:f>
      </x:c>
      <x:c r="BF15" s="117" t="n">
        <x:f>SUM('CF_1'!BF15,'CF_2'!BF15,'CF_3'!BF15,'CF_4'!BF15)</x:f>
      </x:c>
      <x:c r="BG15" s="117" t="n">
        <x:f>SUM('CF_1'!BG15,'CF_2'!BG15,'CF_3'!BG15,'CF_4'!BG15)</x:f>
      </x:c>
      <x:c r="BH15" s="117" t="n">
        <x:f>SUM('CF_1'!BH15,'CF_2'!BH15,'CF_3'!BH15,'CF_4'!BH15)</x:f>
      </x:c>
      <x:c r="BI15" s="117" t="n">
        <x:f>SUM('CF_1'!BI15,'CF_2'!BI15,'CF_3'!BI15,'CF_4'!BI15)</x:f>
      </x:c>
      <x:c r="BJ15" s="117" t="n">
        <x:f>SUM('CF_1'!BJ15,'CF_2'!BJ15,'CF_3'!BJ15,'CF_4'!BJ15)</x:f>
      </x:c>
      <x:c r="BK15" s="117" t="n">
        <x:f>SUM('CF_1'!BK15,'CF_2'!BK15,'CF_3'!BK15,'CF_4'!BK15)</x:f>
      </x:c>
      <x:c r="BL15" s="117" t="n">
        <x:f>SUM('CF_1'!BL15,'CF_2'!BL15,'CF_3'!BL15,'CF_4'!BL15)</x:f>
      </x:c>
      <x:c r="BM15" s="117" t="n">
        <x:f>SUM('CF_1'!BM15,'CF_2'!BM15,'CF_3'!BM15,'CF_4'!BM15)</x:f>
      </x:c>
      <x:c r="BN15" s="117" t="n">
        <x:f>SUM('CF_1'!BN15,'CF_2'!BN15,'CF_3'!BN15,'CF_4'!BN15)</x:f>
      </x:c>
      <x:c r="BO15" s="117" t="n">
        <x:f>SUM('CF_1'!BO15,'CF_2'!BO15,'CF_3'!BO15,'CF_4'!BO15)</x:f>
      </x:c>
      <x:c r="BP15" s="117" t="n">
        <x:f>SUM('CF_1'!BP15,'CF_2'!BP15,'CF_3'!BP15,'CF_4'!BP15)</x:f>
      </x:c>
      <x:c r="BQ15" s="117" t="n">
        <x:f>SUM('CF_1'!BQ15,'CF_2'!BQ15,'CF_3'!BQ15,'CF_4'!BQ15)</x:f>
      </x:c>
      <x:c r="BR15" s="117" t="n">
        <x:f>SUM('CF_1'!BR15,'CF_2'!BR15,'CF_3'!BR15,'CF_4'!BR15)</x:f>
      </x:c>
      <x:c r="BS15" s="117" t="n">
        <x:f>SUM('CF_1'!BS15,'CF_2'!BS15,'CF_3'!BS15,'CF_4'!BS15)</x:f>
      </x:c>
      <x:c r="BT15" s="117" t="n">
        <x:f>SUM('CF_1'!BT15,'CF_2'!BT15,'CF_3'!BT15,'CF_4'!BT15)</x:f>
      </x:c>
      <x:c r="BU15" s="117" t="n">
        <x:f>SUM('CF_1'!BU15,'CF_2'!BU15,'CF_3'!BU15,'CF_4'!BU15)</x:f>
      </x:c>
      <x:c r="BV15" s="117" t="n">
        <x:f>SUM('CF_1'!BV15,'CF_2'!BV15,'CF_3'!BV15,'CF_4'!BV15)</x:f>
      </x:c>
      <x:c r="BW15" s="117" t="n">
        <x:f>SUM('CF_1'!BW15,'CF_2'!BW15,'CF_3'!BW15,'CF_4'!BW15)</x:f>
      </x:c>
      <x:c r="BX15" s="117" t="n">
        <x:f>SUM('CF_1'!BX15,'CF_2'!BX15,'CF_3'!BX15,'CF_4'!BX15)</x:f>
      </x:c>
      <x:c r="BY15" s="117" t="n">
        <x:f>SUM('CF_1'!BY15,'CF_2'!BY15,'CF_3'!BY15,'CF_4'!BY15)</x:f>
      </x:c>
      <x:c r="BZ15" s="117" t="n">
        <x:f>SUM('CF_1'!BZ15,'CF_2'!BZ15,'CF_3'!BZ15,'CF_4'!BZ15)</x:f>
      </x:c>
      <x:c r="CA15" s="117" t="n">
        <x:f>SUM('CF_1'!CA15,'CF_2'!CA15,'CF_3'!CA15,'CF_4'!CA15)</x:f>
      </x:c>
      <x:c r="CB15" s="117" t="n">
        <x:f>SUM('CF_1'!CB15,'CF_2'!CB15,'CF_3'!CB15,'CF_4'!CB15)</x:f>
      </x:c>
      <x:c r="CC15" s="117" t="n">
        <x:f>SUM('CF_1'!CC15,'CF_2'!CC15,'CF_3'!CC15,'CF_4'!CC15)</x:f>
      </x:c>
      <x:c r="CD15" s="117" t="n">
        <x:f>SUM('CF_1'!CD15,'CF_2'!CD15,'CF_3'!CD15,'CF_4'!CD15)</x:f>
      </x:c>
      <x:c r="CE15" s="117" t="n">
        <x:f>SUM('CF_1'!CE15,'CF_2'!CE15,'CF_3'!CE15,'CF_4'!CE15)</x:f>
      </x:c>
      <x:c r="CF15" s="117" t="n">
        <x:f>SUM('CF_1'!CF15,'CF_2'!CF15,'CF_3'!CF15,'CF_4'!CF15)</x:f>
      </x:c>
      <x:c r="CG15" s="117" t="n">
        <x:f>SUM('CF_1'!CG15,'CF_2'!CG15,'CF_3'!CG15,'CF_4'!CG15)</x:f>
      </x:c>
      <x:c r="CH15" s="117" t="n">
        <x:f>SUM('CF_1'!CH15,'CF_2'!CH15,'CF_3'!CH15,'CF_4'!CH15)</x:f>
      </x:c>
      <x:c r="CI15" s="117" t="n">
        <x:f>SUM('CF_1'!CI15,'CF_2'!CI15,'CF_3'!CI15,'CF_4'!CI15)</x:f>
      </x:c>
      <x:c r="CJ15" s="117" t="n">
        <x:f>SUM('CF_1'!CJ15,'CF_2'!CJ15,'CF_3'!CJ15,'CF_4'!CJ15)</x:f>
      </x:c>
      <x:c r="CK15" s="117" t="n">
        <x:f>SUM('CF_1'!CK15,'CF_2'!CK15,'CF_3'!CK15,'CF_4'!CK15)</x:f>
      </x:c>
      <x:c r="CL15" s="117" t="n">
        <x:f>SUM('CF_1'!CL15,'CF_2'!CL15,'CF_3'!CL15,'CF_4'!CL15)</x:f>
      </x:c>
      <x:c r="CM15" s="117" t="n">
        <x:f>SUM('CF_1'!CM15,'CF_2'!CM15,'CF_3'!CM15,'CF_4'!CM15)</x:f>
      </x:c>
      <x:c r="CN15" s="117" t="n">
        <x:f>SUM('CF_1'!CN15,'CF_2'!CN15,'CF_3'!CN15,'CF_4'!CN15)</x:f>
      </x:c>
      <x:c r="CO15" s="117" t="n">
        <x:f>SUM('CF_1'!CO15,'CF_2'!CO15,'CF_3'!CO15,'CF_4'!CO15)</x:f>
      </x:c>
      <x:c r="CP15" s="117" t="n">
        <x:f>SUM('CF_1'!CP15,'CF_2'!CP15,'CF_3'!CP15,'CF_4'!CP15)</x:f>
      </x:c>
      <x:c r="CQ15" s="117" t="n">
        <x:f>SUM('CF_1'!CQ15,'CF_2'!CQ15,'CF_3'!CQ15,'CF_4'!CQ15)</x:f>
      </x:c>
      <x:c r="CR15" s="117" t="n">
        <x:f>SUM('CF_1'!CR15,'CF_2'!CR15,'CF_3'!CR15,'CF_4'!CR15)</x:f>
      </x:c>
      <x:c r="CS15" s="117" t="n">
        <x:f>SUM('CF_1'!CS15,'CF_2'!CS15,'CF_3'!CS15,'CF_4'!CS15)</x:f>
      </x:c>
      <x:c r="CT15" s="117" t="n">
        <x:f>SUM('CF_1'!CT15,'CF_2'!CT15,'CF_3'!CT15,'CF_4'!CT15)</x:f>
      </x:c>
      <x:c r="CU15" s="117" t="n">
        <x:f>SUM('CF_1'!CU15,'CF_2'!CU15,'CF_3'!CU15,'CF_4'!CU15)</x:f>
      </x:c>
      <x:c r="CV15" s="117" t="n">
        <x:f>SUM('CF_1'!CV15,'CF_2'!CV15,'CF_3'!CV15,'CF_4'!CV15)</x:f>
      </x:c>
      <x:c r="CW15" s="117" t="n">
        <x:f>SUM('CF_1'!CW15,'CF_2'!CW15,'CF_3'!CW15,'CF_4'!CW15)</x:f>
      </x:c>
      <x:c r="CX15" s="117" t="n">
        <x:f>SUM('CF_1'!CX15,'CF_2'!CX15,'CF_3'!CX15,'CF_4'!CX15)</x:f>
      </x:c>
      <x:c r="CY15" s="117" t="n">
        <x:f>SUM('CF_1'!CY15,'CF_2'!CY15,'CF_3'!CY15,'CF_4'!CY15)</x:f>
      </x:c>
      <x:c r="CZ15" s="117" t="n">
        <x:f>SUM('CF_1'!CZ15,'CF_2'!CZ15,'CF_3'!CZ15,'CF_4'!CZ15)</x:f>
      </x:c>
      <x:c r="DA15" s="117" t="n">
        <x:f>SUM('CF_1'!DA15,'CF_2'!DA15,'CF_3'!DA15,'CF_4'!DA15)</x:f>
      </x:c>
      <x:c r="DB15" s="117" t="n">
        <x:f>SUM('CF_1'!DB15,'CF_2'!DB15,'CF_3'!DB15,'CF_4'!DB15)</x:f>
      </x:c>
      <x:c r="DC15" s="117" t="n">
        <x:f>SUM('CF_1'!DC15,'CF_2'!DC15,'CF_3'!DC15,'CF_4'!DC15)</x:f>
      </x:c>
      <x:c r="DD15" s="117" t="n">
        <x:f>SUM('CF_1'!DD15,'CF_2'!DD15,'CF_3'!DD15,'CF_4'!DD15)</x:f>
      </x:c>
      <x:c r="DE15" s="117" t="n">
        <x:f>SUM('CF_1'!DE15,'CF_2'!DE15,'CF_3'!DE15,'CF_4'!DE15)</x:f>
      </x:c>
      <x:c r="DF15" s="117" t="n">
        <x:f>SUM('CF_1'!DF15,'CF_2'!DF15,'CF_3'!DF15,'CF_4'!DF15)</x:f>
      </x:c>
      <x:c r="DG15" s="117" t="n">
        <x:f>SUM('CF_1'!DG15,'CF_2'!DG15,'CF_3'!DG15,'CF_4'!DG15)</x:f>
      </x:c>
      <x:c r="DH15" s="117" t="n">
        <x:f>SUM('CF_1'!DH15,'CF_2'!DH15,'CF_3'!DH15,'CF_4'!DH15)</x:f>
      </x:c>
      <x:c r="DI15" s="117" t="n">
        <x:f>SUM('CF_1'!DI15,'CF_2'!DI15,'CF_3'!DI15,'CF_4'!DI15)</x:f>
      </x:c>
      <x:c r="DJ15" s="117" t="n">
        <x:f>SUM('CF_1'!DJ15,'CF_2'!DJ15,'CF_3'!DJ15,'CF_4'!DJ15)</x:f>
      </x:c>
      <x:c r="DK15" s="117" t="n">
        <x:f>SUM('CF_1'!DK15,'CF_2'!DK15,'CF_3'!DK15,'CF_4'!DK15)</x:f>
      </x:c>
      <x:c r="DL15" s="117" t="n">
        <x:f>SUM('CF_1'!DL15,'CF_2'!DL15,'CF_3'!DL15,'CF_4'!DL15)</x:f>
      </x:c>
      <x:c r="DM15" s="117" t="n">
        <x:f>SUM('CF_1'!DM15,'CF_2'!DM15,'CF_3'!DM15,'CF_4'!DM15)</x:f>
      </x:c>
      <x:c r="DN15" s="117" t="n">
        <x:f>SUM('CF_1'!DN15,'CF_2'!DN15,'CF_3'!DN15,'CF_4'!DN15)</x:f>
      </x:c>
      <x:c r="DO15" s="117" t="n">
        <x:f>SUM('CF_1'!DO15,'CF_2'!DO15,'CF_3'!DO15,'CF_4'!DO15)</x:f>
      </x:c>
      <x:c r="DP15" s="117" t="n">
        <x:f>SUM('CF_1'!DP15,'CF_2'!DP15,'CF_3'!DP15,'CF_4'!DP15)</x:f>
      </x:c>
      <x:c r="DQ15" s="117" t="n">
        <x:f>SUM('CF_1'!DQ15,'CF_2'!DQ15,'CF_3'!DQ15,'CF_4'!DQ15)</x:f>
      </x:c>
      <x:c r="DR15" s="117" t="n">
        <x:f>SUM('CF_1'!DR15,'CF_2'!DR15,'CF_3'!DR15,'CF_4'!DR15)</x:f>
      </x:c>
      <x:c r="DS15" s="117" t="n">
        <x:f>SUM('CF_1'!DS15,'CF_2'!DS15,'CF_3'!DS15,'CF_4'!DS15)</x:f>
      </x:c>
    </x:row>
    <x:row r="16">
      <x:c r="A16" s="113" t="str">
        <x:v>Долг всего</x:v>
      </x:c>
      <x:c r="B16" s="113" t="n">
        <x:f>MAX(D16:DS16)</x:f>
      </x:c>
      <x:c r="C16" s="113" t="str">
        <x:v>млн ₽</x:v>
      </x:c>
      <x:c r="D16" s="120" t="n">
        <x:f>SUM(D9,D14)</x:f>
      </x:c>
      <x:c r="E16" s="120" t="n">
        <x:f>SUM(E9,E14)</x:f>
      </x:c>
      <x:c r="F16" s="120" t="n">
        <x:f>SUM(F9,F14)</x:f>
      </x:c>
      <x:c r="G16" s="120" t="n">
        <x:f>SUM(G9,G14)</x:f>
      </x:c>
      <x:c r="H16" s="120" t="n">
        <x:f>SUM(H9,H14)</x:f>
      </x:c>
      <x:c r="I16" s="120" t="n">
        <x:f>SUM(I9,I14)</x:f>
      </x:c>
      <x:c r="J16" s="120" t="n">
        <x:f>SUM(J9,J14)</x:f>
      </x:c>
      <x:c r="K16" s="120" t="n">
        <x:f>SUM(K9,K14)</x:f>
      </x:c>
      <x:c r="L16" s="120" t="n">
        <x:f>SUM(L9,L14)</x:f>
      </x:c>
      <x:c r="M16" s="120" t="n">
        <x:f>SUM(M9,M14)</x:f>
      </x:c>
      <x:c r="N16" s="120" t="n">
        <x:f>SUM(N9,N14)</x:f>
      </x:c>
      <x:c r="O16" s="120" t="n">
        <x:f>SUM(O9,O14)</x:f>
      </x:c>
      <x:c r="P16" s="120" t="n">
        <x:f>SUM(P9,P14)</x:f>
      </x:c>
      <x:c r="Q16" s="120" t="n">
        <x:f>SUM(Q9,Q14)</x:f>
      </x:c>
      <x:c r="R16" s="120" t="n">
        <x:f>SUM(R9,R14)</x:f>
      </x:c>
      <x:c r="S16" s="120" t="n">
        <x:f>SUM(S9,S14)</x:f>
      </x:c>
      <x:c r="T16" s="120" t="n">
        <x:f>SUM(T9,T14)</x:f>
      </x:c>
      <x:c r="U16" s="120" t="n">
        <x:f>SUM(U9,U14)</x:f>
      </x:c>
      <x:c r="V16" s="120" t="n">
        <x:f>SUM(V9,V14)</x:f>
      </x:c>
      <x:c r="W16" s="120" t="n">
        <x:f>SUM(W9,W14)</x:f>
      </x:c>
      <x:c r="X16" s="120" t="n">
        <x:f>SUM(X9,X14)</x:f>
      </x:c>
      <x:c r="Y16" s="120" t="n">
        <x:f>SUM(Y9,Y14)</x:f>
      </x:c>
      <x:c r="Z16" s="120" t="n">
        <x:f>SUM(Z9,Z14)</x:f>
      </x:c>
      <x:c r="AA16" s="120" t="n">
        <x:f>SUM(AA9,AA14)</x:f>
      </x:c>
      <x:c r="AB16" s="120" t="n">
        <x:f>SUM(AB9,AB14)</x:f>
      </x:c>
      <x:c r="AC16" s="120" t="n">
        <x:f>SUM(AC9,AC14)</x:f>
      </x:c>
      <x:c r="AD16" s="120" t="n">
        <x:f>SUM(AD9,AD14)</x:f>
      </x:c>
      <x:c r="AE16" s="120" t="n">
        <x:f>SUM(AE9,AE14)</x:f>
      </x:c>
      <x:c r="AF16" s="120" t="n">
        <x:f>SUM(AF9,AF14)</x:f>
      </x:c>
      <x:c r="AG16" s="120" t="n">
        <x:f>SUM(AG9,AG14)</x:f>
      </x:c>
      <x:c r="AH16" s="120" t="n">
        <x:f>SUM(AH9,AH14)</x:f>
      </x:c>
      <x:c r="AI16" s="120" t="n">
        <x:f>SUM(AI9,AI14)</x:f>
      </x:c>
      <x:c r="AJ16" s="120" t="n">
        <x:f>SUM(AJ9,AJ14)</x:f>
      </x:c>
      <x:c r="AK16" s="120" t="n">
        <x:f>SUM(AK9,AK14)</x:f>
      </x:c>
      <x:c r="AL16" s="120" t="n">
        <x:f>SUM(AL9,AL14)</x:f>
      </x:c>
      <x:c r="AM16" s="120" t="n">
        <x:f>SUM(AM9,AM14)</x:f>
      </x:c>
      <x:c r="AN16" s="120" t="n">
        <x:f>SUM(AN9,AN14)</x:f>
      </x:c>
      <x:c r="AO16" s="120" t="n">
        <x:f>SUM(AO9,AO14)</x:f>
      </x:c>
      <x:c r="AP16" s="120" t="n">
        <x:f>SUM(AP9,AP14)</x:f>
      </x:c>
      <x:c r="AQ16" s="120" t="n">
        <x:f>SUM(AQ9,AQ14)</x:f>
      </x:c>
      <x:c r="AR16" s="120" t="n">
        <x:f>SUM(AR9,AR14)</x:f>
      </x:c>
      <x:c r="AS16" s="120" t="n">
        <x:f>SUM(AS9,AS14)</x:f>
      </x:c>
      <x:c r="AT16" s="120" t="n">
        <x:f>SUM(AT9,AT14)</x:f>
      </x:c>
      <x:c r="AU16" s="120" t="n">
        <x:f>SUM(AU9,AU14)</x:f>
      </x:c>
      <x:c r="AV16" s="120" t="n">
        <x:f>SUM(AV9,AV14)</x:f>
      </x:c>
      <x:c r="AW16" s="120" t="n">
        <x:f>SUM(AW9,AW14)</x:f>
      </x:c>
      <x:c r="AX16" s="120" t="n">
        <x:f>SUM(AX9,AX14)</x:f>
      </x:c>
      <x:c r="AY16" s="120" t="n">
        <x:f>SUM(AY9,AY14)</x:f>
      </x:c>
      <x:c r="AZ16" s="120" t="n">
        <x:f>SUM(AZ9,AZ14)</x:f>
      </x:c>
      <x:c r="BA16" s="120" t="n">
        <x:f>SUM(BA9,BA14)</x:f>
      </x:c>
      <x:c r="BB16" s="120" t="n">
        <x:f>SUM(BB9,BB14)</x:f>
      </x:c>
      <x:c r="BC16" s="120" t="n">
        <x:f>SUM(BC9,BC14)</x:f>
      </x:c>
      <x:c r="BD16" s="120" t="n">
        <x:f>SUM(BD9,BD14)</x:f>
      </x:c>
      <x:c r="BE16" s="120" t="n">
        <x:f>SUM(BE9,BE14)</x:f>
      </x:c>
      <x:c r="BF16" s="120" t="n">
        <x:f>SUM(BF9,BF14)</x:f>
      </x:c>
      <x:c r="BG16" s="120" t="n">
        <x:f>SUM(BG9,BG14)</x:f>
      </x:c>
      <x:c r="BH16" s="120" t="n">
        <x:f>SUM(BH9,BH14)</x:f>
      </x:c>
      <x:c r="BI16" s="120" t="n">
        <x:f>SUM(BI9,BI14)</x:f>
      </x:c>
      <x:c r="BJ16" s="120" t="n">
        <x:f>SUM(BJ9,BJ14)</x:f>
      </x:c>
      <x:c r="BK16" s="120" t="n">
        <x:f>SUM(BK9,BK14)</x:f>
      </x:c>
      <x:c r="BL16" s="120" t="n">
        <x:f>SUM(BL9,BL14)</x:f>
      </x:c>
      <x:c r="BM16" s="120" t="n">
        <x:f>SUM(BM9,BM14)</x:f>
      </x:c>
      <x:c r="BN16" s="120" t="n">
        <x:f>SUM(BN9,BN14)</x:f>
      </x:c>
      <x:c r="BO16" s="120" t="n">
        <x:f>SUM(BO9,BO14)</x:f>
      </x:c>
      <x:c r="BP16" s="120" t="n">
        <x:f>SUM(BP9,BP14)</x:f>
      </x:c>
      <x:c r="BQ16" s="120" t="n">
        <x:f>SUM(BQ9,BQ14)</x:f>
      </x:c>
      <x:c r="BR16" s="120" t="n">
        <x:f>SUM(BR9,BR14)</x:f>
      </x:c>
      <x:c r="BS16" s="120" t="n">
        <x:f>SUM(BS9,BS14)</x:f>
      </x:c>
      <x:c r="BT16" s="120" t="n">
        <x:f>SUM(BT9,BT14)</x:f>
      </x:c>
      <x:c r="BU16" s="120" t="n">
        <x:f>SUM(BU9,BU14)</x:f>
      </x:c>
      <x:c r="BV16" s="120" t="n">
        <x:f>SUM(BV9,BV14)</x:f>
      </x:c>
      <x:c r="BW16" s="120" t="n">
        <x:f>SUM(BW9,BW14)</x:f>
      </x:c>
      <x:c r="BX16" s="120" t="n">
        <x:f>SUM(BX9,BX14)</x:f>
      </x:c>
      <x:c r="BY16" s="120" t="n">
        <x:f>SUM(BY9,BY14)</x:f>
      </x:c>
      <x:c r="BZ16" s="120" t="n">
        <x:f>SUM(BZ9,BZ14)</x:f>
      </x:c>
      <x:c r="CA16" s="120" t="n">
        <x:f>SUM(CA9,CA14)</x:f>
      </x:c>
      <x:c r="CB16" s="120" t="n">
        <x:f>SUM(CB9,CB14)</x:f>
      </x:c>
      <x:c r="CC16" s="120" t="n">
        <x:f>SUM(CC9,CC14)</x:f>
      </x:c>
      <x:c r="CD16" s="120" t="n">
        <x:f>SUM(CD9,CD14)</x:f>
      </x:c>
      <x:c r="CE16" s="120" t="n">
        <x:f>SUM(CE9,CE14)</x:f>
      </x:c>
      <x:c r="CF16" s="120" t="n">
        <x:f>SUM(CF9,CF14)</x:f>
      </x:c>
      <x:c r="CG16" s="120" t="n">
        <x:f>SUM(CG9,CG14)</x:f>
      </x:c>
      <x:c r="CH16" s="120" t="n">
        <x:f>SUM(CH9,CH14)</x:f>
      </x:c>
      <x:c r="CI16" s="120" t="n">
        <x:f>SUM(CI9,CI14)</x:f>
      </x:c>
      <x:c r="CJ16" s="120" t="n">
        <x:f>SUM(CJ9,CJ14)</x:f>
      </x:c>
      <x:c r="CK16" s="120" t="n">
        <x:f>SUM(CK9,CK14)</x:f>
      </x:c>
      <x:c r="CL16" s="120" t="n">
        <x:f>SUM(CL9,CL14)</x:f>
      </x:c>
      <x:c r="CM16" s="120" t="n">
        <x:f>SUM(CM9,CM14)</x:f>
      </x:c>
      <x:c r="CN16" s="120" t="n">
        <x:f>SUM(CN9,CN14)</x:f>
      </x:c>
      <x:c r="CO16" s="120" t="n">
        <x:f>SUM(CO9,CO14)</x:f>
      </x:c>
      <x:c r="CP16" s="120" t="n">
        <x:f>SUM(CP9,CP14)</x:f>
      </x:c>
      <x:c r="CQ16" s="120" t="n">
        <x:f>SUM(CQ9,CQ14)</x:f>
      </x:c>
      <x:c r="CR16" s="120" t="n">
        <x:f>SUM(CR9,CR14)</x:f>
      </x:c>
      <x:c r="CS16" s="120" t="n">
        <x:f>SUM(CS9,CS14)</x:f>
      </x:c>
      <x:c r="CT16" s="120" t="n">
        <x:f>SUM(CT9,CT14)</x:f>
      </x:c>
      <x:c r="CU16" s="120" t="n">
        <x:f>SUM(CU9,CU14)</x:f>
      </x:c>
      <x:c r="CV16" s="120" t="n">
        <x:f>SUM(CV9,CV14)</x:f>
      </x:c>
      <x:c r="CW16" s="120" t="n">
        <x:f>SUM(CW9,CW14)</x:f>
      </x:c>
      <x:c r="CX16" s="120" t="n">
        <x:f>SUM(CX9,CX14)</x:f>
      </x:c>
      <x:c r="CY16" s="120" t="n">
        <x:f>SUM(CY9,CY14)</x:f>
      </x:c>
      <x:c r="CZ16" s="120" t="n">
        <x:f>SUM(CZ9,CZ14)</x:f>
      </x:c>
      <x:c r="DA16" s="120" t="n">
        <x:f>SUM(DA9,DA14)</x:f>
      </x:c>
      <x:c r="DB16" s="120" t="n">
        <x:f>SUM(DB9,DB14)</x:f>
      </x:c>
      <x:c r="DC16" s="120" t="n">
        <x:f>SUM(DC9,DC14)</x:f>
      </x:c>
      <x:c r="DD16" s="120" t="n">
        <x:f>SUM(DD9,DD14)</x:f>
      </x:c>
      <x:c r="DE16" s="120" t="n">
        <x:f>SUM(DE9,DE14)</x:f>
      </x:c>
      <x:c r="DF16" s="120" t="n">
        <x:f>SUM(DF9,DF14)</x:f>
      </x:c>
      <x:c r="DG16" s="120" t="n">
        <x:f>SUM(DG9,DG14)</x:f>
      </x:c>
      <x:c r="DH16" s="120" t="n">
        <x:f>SUM(DH9,DH14)</x:f>
      </x:c>
      <x:c r="DI16" s="120" t="n">
        <x:f>SUM(DI9,DI14)</x:f>
      </x:c>
      <x:c r="DJ16" s="120" t="n">
        <x:f>SUM(DJ9,DJ14)</x:f>
      </x:c>
      <x:c r="DK16" s="120" t="n">
        <x:f>SUM(DK9,DK14)</x:f>
      </x:c>
      <x:c r="DL16" s="120" t="n">
        <x:f>SUM(DL9,DL14)</x:f>
      </x:c>
      <x:c r="DM16" s="120" t="n">
        <x:f>SUM(DM9,DM14)</x:f>
      </x:c>
      <x:c r="DN16" s="120" t="n">
        <x:f>SUM(DN9,DN14)</x:f>
      </x:c>
      <x:c r="DO16" s="120" t="n">
        <x:f>SUM(DO9,DO14)</x:f>
      </x:c>
      <x:c r="DP16" s="120" t="n">
        <x:f>SUM(DP9,DP14)</x:f>
      </x:c>
      <x:c r="DQ16" s="120" t="n">
        <x:f>SUM(DQ9,DQ14)</x:f>
      </x:c>
      <x:c r="DR16" s="120" t="n">
        <x:f>SUM(DR9,DR14)</x:f>
      </x:c>
      <x:c r="DS16" s="120" t="n">
        <x:f>SUM(DS9,DS14)</x:f>
      </x:c>
    </x:row>
    <x:row r="17">
      <x:c r="A17" t="str">
        <x:v>Покрытие эскроу</x:v>
      </x:c>
      <x:c r="B17" s="129" t="n">
        <x:f>MAX(D17:DS17)</x:f>
      </x:c>
      <x:c r="C17" t="str">
        <x:v>×</x:v>
      </x:c>
      <x:c r="D17" s="129" t="n">
        <x:f>IFERROR(D15/MAX(1,D14),0)</x:f>
      </x:c>
      <x:c r="E17" s="129" t="n">
        <x:f>IFERROR(E15/MAX(1,E14),0)</x:f>
      </x:c>
      <x:c r="F17" s="129" t="n">
        <x:f>IFERROR(F15/MAX(1,F14),0)</x:f>
      </x:c>
      <x:c r="G17" s="129" t="n">
        <x:f>IFERROR(G15/MAX(1,G14),0)</x:f>
      </x:c>
      <x:c r="H17" s="129" t="n">
        <x:f>IFERROR(H15/MAX(1,H14),0)</x:f>
      </x:c>
      <x:c r="I17" s="129" t="n">
        <x:f>IFERROR(I15/MAX(1,I14),0)</x:f>
      </x:c>
      <x:c r="J17" s="129" t="n">
        <x:f>IFERROR(J15/MAX(1,J14),0)</x:f>
      </x:c>
      <x:c r="K17" s="129" t="n">
        <x:f>IFERROR(K15/MAX(1,K14),0)</x:f>
      </x:c>
      <x:c r="L17" s="129" t="n">
        <x:f>IFERROR(L15/MAX(1,L14),0)</x:f>
      </x:c>
      <x:c r="M17" s="129" t="n">
        <x:f>IFERROR(M15/MAX(1,M14),0)</x:f>
      </x:c>
      <x:c r="N17" s="129" t="n">
        <x:f>IFERROR(N15/MAX(1,N14),0)</x:f>
      </x:c>
      <x:c r="O17" s="129" t="n">
        <x:f>IFERROR(O15/MAX(1,O14),0)</x:f>
      </x:c>
      <x:c r="P17" s="129" t="n">
        <x:f>IFERROR(P15/MAX(1,P14),0)</x:f>
      </x:c>
      <x:c r="Q17" s="129" t="n">
        <x:f>IFERROR(Q15/MAX(1,Q14),0)</x:f>
      </x:c>
      <x:c r="R17" s="129" t="n">
        <x:f>IFERROR(R15/MAX(1,R14),0)</x:f>
      </x:c>
      <x:c r="S17" s="129" t="n">
        <x:f>IFERROR(S15/MAX(1,S14),0)</x:f>
      </x:c>
      <x:c r="T17" s="129" t="n">
        <x:f>IFERROR(T15/MAX(1,T14),0)</x:f>
      </x:c>
      <x:c r="U17" s="129" t="n">
        <x:f>IFERROR(U15/MAX(1,U14),0)</x:f>
      </x:c>
      <x:c r="V17" s="129" t="n">
        <x:f>IFERROR(V15/MAX(1,V14),0)</x:f>
      </x:c>
      <x:c r="W17" s="129" t="n">
        <x:f>IFERROR(W15/MAX(1,W14),0)</x:f>
      </x:c>
      <x:c r="X17" s="129" t="n">
        <x:f>IFERROR(X15/MAX(1,X14),0)</x:f>
      </x:c>
      <x:c r="Y17" s="129" t="n">
        <x:f>IFERROR(Y15/MAX(1,Y14),0)</x:f>
      </x:c>
      <x:c r="Z17" s="129" t="n">
        <x:f>IFERROR(Z15/MAX(1,Z14),0)</x:f>
      </x:c>
      <x:c r="AA17" s="129" t="n">
        <x:f>IFERROR(AA15/MAX(1,AA14),0)</x:f>
      </x:c>
      <x:c r="AB17" s="129" t="n">
        <x:f>IFERROR(AB15/MAX(1,AB14),0)</x:f>
      </x:c>
      <x:c r="AC17" s="129" t="n">
        <x:f>IFERROR(AC15/MAX(1,AC14),0)</x:f>
      </x:c>
      <x:c r="AD17" s="129" t="n">
        <x:f>IFERROR(AD15/MAX(1,AD14),0)</x:f>
      </x:c>
      <x:c r="AE17" s="129" t="n">
        <x:f>IFERROR(AE15/MAX(1,AE14),0)</x:f>
      </x:c>
      <x:c r="AF17" s="129" t="n">
        <x:f>IFERROR(AF15/MAX(1,AF14),0)</x:f>
      </x:c>
      <x:c r="AG17" s="129" t="n">
        <x:f>IFERROR(AG15/MAX(1,AG14),0)</x:f>
      </x:c>
      <x:c r="AH17" s="129" t="n">
        <x:f>IFERROR(AH15/MAX(1,AH14),0)</x:f>
      </x:c>
      <x:c r="AI17" s="129" t="n">
        <x:f>IFERROR(AI15/MAX(1,AI14),0)</x:f>
      </x:c>
      <x:c r="AJ17" s="129" t="n">
        <x:f>IFERROR(AJ15/MAX(1,AJ14),0)</x:f>
      </x:c>
      <x:c r="AK17" s="129" t="n">
        <x:f>IFERROR(AK15/MAX(1,AK14),0)</x:f>
      </x:c>
      <x:c r="AL17" s="129" t="n">
        <x:f>IFERROR(AL15/MAX(1,AL14),0)</x:f>
      </x:c>
      <x:c r="AM17" s="129" t="n">
        <x:f>IFERROR(AM15/MAX(1,AM14),0)</x:f>
      </x:c>
      <x:c r="AN17" s="129" t="n">
        <x:f>IFERROR(AN15/MAX(1,AN14),0)</x:f>
      </x:c>
      <x:c r="AO17" s="129" t="n">
        <x:f>IFERROR(AO15/MAX(1,AO14),0)</x:f>
      </x:c>
      <x:c r="AP17" s="129" t="n">
        <x:f>IFERROR(AP15/MAX(1,AP14),0)</x:f>
      </x:c>
      <x:c r="AQ17" s="129" t="n">
        <x:f>IFERROR(AQ15/MAX(1,AQ14),0)</x:f>
      </x:c>
      <x:c r="AR17" s="129" t="n">
        <x:f>IFERROR(AR15/MAX(1,AR14),0)</x:f>
      </x:c>
      <x:c r="AS17" s="129" t="n">
        <x:f>IFERROR(AS15/MAX(1,AS14),0)</x:f>
      </x:c>
      <x:c r="AT17" s="129" t="n">
        <x:f>IFERROR(AT15/MAX(1,AT14),0)</x:f>
      </x:c>
      <x:c r="AU17" s="129" t="n">
        <x:f>IFERROR(AU15/MAX(1,AU14),0)</x:f>
      </x:c>
      <x:c r="AV17" s="129" t="n">
        <x:f>IFERROR(AV15/MAX(1,AV14),0)</x:f>
      </x:c>
      <x:c r="AW17" s="129" t="n">
        <x:f>IFERROR(AW15/MAX(1,AW14),0)</x:f>
      </x:c>
      <x:c r="AX17" s="129" t="n">
        <x:f>IFERROR(AX15/MAX(1,AX14),0)</x:f>
      </x:c>
      <x:c r="AY17" s="129" t="n">
        <x:f>IFERROR(AY15/MAX(1,AY14),0)</x:f>
      </x:c>
      <x:c r="AZ17" s="129" t="n">
        <x:f>IFERROR(AZ15/MAX(1,AZ14),0)</x:f>
      </x:c>
      <x:c r="BA17" s="129" t="n">
        <x:f>IFERROR(BA15/MAX(1,BA14),0)</x:f>
      </x:c>
      <x:c r="BB17" s="129" t="n">
        <x:f>IFERROR(BB15/MAX(1,BB14),0)</x:f>
      </x:c>
      <x:c r="BC17" s="129" t="n">
        <x:f>IFERROR(BC15/MAX(1,BC14),0)</x:f>
      </x:c>
      <x:c r="BD17" s="129" t="n">
        <x:f>IFERROR(BD15/MAX(1,BD14),0)</x:f>
      </x:c>
      <x:c r="BE17" s="129" t="n">
        <x:f>IFERROR(BE15/MAX(1,BE14),0)</x:f>
      </x:c>
      <x:c r="BF17" s="129" t="n">
        <x:f>IFERROR(BF15/MAX(1,BF14),0)</x:f>
      </x:c>
      <x:c r="BG17" s="129" t="n">
        <x:f>IFERROR(BG15/MAX(1,BG14),0)</x:f>
      </x:c>
      <x:c r="BH17" s="129" t="n">
        <x:f>IFERROR(BH15/MAX(1,BH14),0)</x:f>
      </x:c>
      <x:c r="BI17" s="129" t="n">
        <x:f>IFERROR(BI15/MAX(1,BI14),0)</x:f>
      </x:c>
      <x:c r="BJ17" s="129" t="n">
        <x:f>IFERROR(BJ15/MAX(1,BJ14),0)</x:f>
      </x:c>
      <x:c r="BK17" s="129" t="n">
        <x:f>IFERROR(BK15/MAX(1,BK14),0)</x:f>
      </x:c>
      <x:c r="BL17" s="129" t="n">
        <x:f>IFERROR(BL15/MAX(1,BL14),0)</x:f>
      </x:c>
      <x:c r="BM17" s="129" t="n">
        <x:f>IFERROR(BM15/MAX(1,BM14),0)</x:f>
      </x:c>
      <x:c r="BN17" s="129" t="n">
        <x:f>IFERROR(BN15/MAX(1,BN14),0)</x:f>
      </x:c>
      <x:c r="BO17" s="129" t="n">
        <x:f>IFERROR(BO15/MAX(1,BO14),0)</x:f>
      </x:c>
      <x:c r="BP17" s="129" t="n">
        <x:f>IFERROR(BP15/MAX(1,BP14),0)</x:f>
      </x:c>
      <x:c r="BQ17" s="129" t="n">
        <x:f>IFERROR(BQ15/MAX(1,BQ14),0)</x:f>
      </x:c>
      <x:c r="BR17" s="129" t="n">
        <x:f>IFERROR(BR15/MAX(1,BR14),0)</x:f>
      </x:c>
      <x:c r="BS17" s="129" t="n">
        <x:f>IFERROR(BS15/MAX(1,BS14),0)</x:f>
      </x:c>
      <x:c r="BT17" s="129" t="n">
        <x:f>IFERROR(BT15/MAX(1,BT14),0)</x:f>
      </x:c>
      <x:c r="BU17" s="129" t="n">
        <x:f>IFERROR(BU15/MAX(1,BU14),0)</x:f>
      </x:c>
      <x:c r="BV17" s="129" t="n">
        <x:f>IFERROR(BV15/MAX(1,BV14),0)</x:f>
      </x:c>
      <x:c r="BW17" s="129" t="n">
        <x:f>IFERROR(BW15/MAX(1,BW14),0)</x:f>
      </x:c>
      <x:c r="BX17" s="129" t="n">
        <x:f>IFERROR(BX15/MAX(1,BX14),0)</x:f>
      </x:c>
      <x:c r="BY17" s="129" t="n">
        <x:f>IFERROR(BY15/MAX(1,BY14),0)</x:f>
      </x:c>
      <x:c r="BZ17" s="129" t="n">
        <x:f>IFERROR(BZ15/MAX(1,BZ14),0)</x:f>
      </x:c>
      <x:c r="CA17" s="129" t="n">
        <x:f>IFERROR(CA15/MAX(1,CA14),0)</x:f>
      </x:c>
      <x:c r="CB17" s="129" t="n">
        <x:f>IFERROR(CB15/MAX(1,CB14),0)</x:f>
      </x:c>
      <x:c r="CC17" s="129" t="n">
        <x:f>IFERROR(CC15/MAX(1,CC14),0)</x:f>
      </x:c>
      <x:c r="CD17" s="129" t="n">
        <x:f>IFERROR(CD15/MAX(1,CD14),0)</x:f>
      </x:c>
      <x:c r="CE17" s="129" t="n">
        <x:f>IFERROR(CE15/MAX(1,CE14),0)</x:f>
      </x:c>
      <x:c r="CF17" s="129" t="n">
        <x:f>IFERROR(CF15/MAX(1,CF14),0)</x:f>
      </x:c>
      <x:c r="CG17" s="129" t="n">
        <x:f>IFERROR(CG15/MAX(1,CG14),0)</x:f>
      </x:c>
      <x:c r="CH17" s="129" t="n">
        <x:f>IFERROR(CH15/MAX(1,CH14),0)</x:f>
      </x:c>
      <x:c r="CI17" s="129" t="n">
        <x:f>IFERROR(CI15/MAX(1,CI14),0)</x:f>
      </x:c>
      <x:c r="CJ17" s="129" t="n">
        <x:f>IFERROR(CJ15/MAX(1,CJ14),0)</x:f>
      </x:c>
      <x:c r="CK17" s="129" t="n">
        <x:f>IFERROR(CK15/MAX(1,CK14),0)</x:f>
      </x:c>
      <x:c r="CL17" s="129" t="n">
        <x:f>IFERROR(CL15/MAX(1,CL14),0)</x:f>
      </x:c>
      <x:c r="CM17" s="129" t="n">
        <x:f>IFERROR(CM15/MAX(1,CM14),0)</x:f>
      </x:c>
      <x:c r="CN17" s="129" t="n">
        <x:f>IFERROR(CN15/MAX(1,CN14),0)</x:f>
      </x:c>
      <x:c r="CO17" s="129" t="n">
        <x:f>IFERROR(CO15/MAX(1,CO14),0)</x:f>
      </x:c>
      <x:c r="CP17" s="129" t="n">
        <x:f>IFERROR(CP15/MAX(1,CP14),0)</x:f>
      </x:c>
      <x:c r="CQ17" s="129" t="n">
        <x:f>IFERROR(CQ15/MAX(1,CQ14),0)</x:f>
      </x:c>
      <x:c r="CR17" s="129" t="n">
        <x:f>IFERROR(CR15/MAX(1,CR14),0)</x:f>
      </x:c>
      <x:c r="CS17" s="129" t="n">
        <x:f>IFERROR(CS15/MAX(1,CS14),0)</x:f>
      </x:c>
      <x:c r="CT17" s="129" t="n">
        <x:f>IFERROR(CT15/MAX(1,CT14),0)</x:f>
      </x:c>
      <x:c r="CU17" s="129" t="n">
        <x:f>IFERROR(CU15/MAX(1,CU14),0)</x:f>
      </x:c>
      <x:c r="CV17" s="129" t="n">
        <x:f>IFERROR(CV15/MAX(1,CV14),0)</x:f>
      </x:c>
      <x:c r="CW17" s="129" t="n">
        <x:f>IFERROR(CW15/MAX(1,CW14),0)</x:f>
      </x:c>
      <x:c r="CX17" s="129" t="n">
        <x:f>IFERROR(CX15/MAX(1,CX14),0)</x:f>
      </x:c>
      <x:c r="CY17" s="129" t="n">
        <x:f>IFERROR(CY15/MAX(1,CY14),0)</x:f>
      </x:c>
      <x:c r="CZ17" s="129" t="n">
        <x:f>IFERROR(CZ15/MAX(1,CZ14),0)</x:f>
      </x:c>
      <x:c r="DA17" s="129" t="n">
        <x:f>IFERROR(DA15/MAX(1,DA14),0)</x:f>
      </x:c>
      <x:c r="DB17" s="129" t="n">
        <x:f>IFERROR(DB15/MAX(1,DB14),0)</x:f>
      </x:c>
      <x:c r="DC17" s="129" t="n">
        <x:f>IFERROR(DC15/MAX(1,DC14),0)</x:f>
      </x:c>
      <x:c r="DD17" s="129" t="n">
        <x:f>IFERROR(DD15/MAX(1,DD14),0)</x:f>
      </x:c>
      <x:c r="DE17" s="129" t="n">
        <x:f>IFERROR(DE15/MAX(1,DE14),0)</x:f>
      </x:c>
      <x:c r="DF17" s="129" t="n">
        <x:f>IFERROR(DF15/MAX(1,DF14),0)</x:f>
      </x:c>
      <x:c r="DG17" s="129" t="n">
        <x:f>IFERROR(DG15/MAX(1,DG14),0)</x:f>
      </x:c>
      <x:c r="DH17" s="129" t="n">
        <x:f>IFERROR(DH15/MAX(1,DH14),0)</x:f>
      </x:c>
      <x:c r="DI17" s="129" t="n">
        <x:f>IFERROR(DI15/MAX(1,DI14),0)</x:f>
      </x:c>
      <x:c r="DJ17" s="129" t="n">
        <x:f>IFERROR(DJ15/MAX(1,DJ14),0)</x:f>
      </x:c>
      <x:c r="DK17" s="129" t="n">
        <x:f>IFERROR(DK15/MAX(1,DK14),0)</x:f>
      </x:c>
      <x:c r="DL17" s="129" t="n">
        <x:f>IFERROR(DL15/MAX(1,DL14),0)</x:f>
      </x:c>
      <x:c r="DM17" s="129" t="n">
        <x:f>IFERROR(DM15/MAX(1,DM14),0)</x:f>
      </x:c>
      <x:c r="DN17" s="129" t="n">
        <x:f>IFERROR(DN15/MAX(1,DN14),0)</x:f>
      </x:c>
      <x:c r="DO17" s="129" t="n">
        <x:f>IFERROR(DO15/MAX(1,DO14),0)</x:f>
      </x:c>
      <x:c r="DP17" s="129" t="n">
        <x:f>IFERROR(DP15/MAX(1,DP14),0)</x:f>
      </x:c>
      <x:c r="DQ17" s="129" t="n">
        <x:f>IFERROR(DQ15/MAX(1,DQ14),0)</x:f>
      </x:c>
      <x:c r="DR17" s="129" t="n">
        <x:f>IFERROR(DR15/MAX(1,DR14),0)</x:f>
      </x:c>
      <x:c r="DS17" s="129" t="n">
        <x:f>IFERROR(DS15/MAX(1,DS14),0)</x:f>
      </x:c>
    </x:row>
  </x:sheetData>
  <x:mergeCells>
    <x:mergeCell ref="A1:DS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8" customHeight="1">
      <x:c r="A1" s="4" t="str">
        <x:v>КОНСОЛИДАТОР ОЧЕРЕДЕЙ</x:v>
      </x:c>
      <x:c r="B1" s="4" t="str">
        <x:v>КОНСОЛИДАТОР ОЧЕРЕДЕЙ</x:v>
      </x:c>
      <x:c r="C1" s="4" t="str">
        <x:v>КОНСОЛИДАТОР ОЧЕРЕДЕЙ</x:v>
      </x:c>
      <x:c r="D1" s="4" t="str">
        <x:v>КОНСОЛИДАТОР ОЧЕРЕДЕЙ</x:v>
      </x:c>
      <x:c r="E1" s="4" t="str">
        <x:v>КОНСОЛИДАТОР ОЧЕРЕДЕЙ</x:v>
      </x:c>
      <x:c r="F1" s="4" t="str">
        <x:v>КОНСОЛИДАТОР ОЧЕРЕДЕЙ</x:v>
      </x:c>
      <x:c r="G1" s="4" t="str">
        <x:v>КОНСОЛИДАТОР ОЧЕРЕДЕЙ</x:v>
      </x:c>
      <x:c r="H1" s="4" t="str">
        <x:v>КОНСОЛИДАТОР ОЧЕРЕДЕЙ</x:v>
      </x:c>
      <x:c r="I1" s="4" t="str">
        <x:v>КОНСОЛИДАТОР ОЧЕРЕДЕЙ</x:v>
      </x:c>
      <x:c r="J1" s="4" t="str">
        <x:v>КОНСОЛИДАТОР ОЧЕРЕДЕЙ</x:v>
      </x:c>
      <x:c r="K1" s="4" t="str">
        <x:v>КОНСОЛИДАТОР ОЧЕРЕДЕЙ</x:v>
      </x:c>
      <x:c r="L1" s="4" t="str">
        <x:v>КОНСОЛИДАТОР ОЧЕРЕДЕЙ</x:v>
      </x:c>
      <x:c r="M1" s="4" t="str">
        <x:v>КОНСОЛИДАТОР ОЧЕРЕДЕЙ</x:v>
      </x:c>
      <x:c r="N1" s="4" t="str">
        <x:v>КОНСОЛИДАТОР ОЧЕРЕДЕЙ</x:v>
      </x:c>
      <x:c r="O1" s="4" t="str">
        <x:v>КОНСОЛИДАТОР ОЧЕРЕДЕЙ</x:v>
      </x:c>
      <x:c r="P1" s="4" t="str">
        <x:v>КОНСОЛИДАТОР ОЧЕРЕДЕЙ</x:v>
      </x:c>
    </x:row>
    <x:row r="3">
      <x:c r="A3" s="23" t="str">
        <x:v>Очередь</x:v>
      </x:c>
      <x:c r="B3" s="23" t="str">
        <x:v>Вкл.</x:v>
      </x:c>
      <x:c r="C3" s="23" t="str">
        <x:v>Старт</x:v>
      </x:c>
      <x:c r="D3" s="23" t="str">
        <x:v>РнС</x:v>
      </x:c>
      <x:c r="E3" s="23" t="str">
        <x:v>РВЭ</x:v>
      </x:c>
      <x:c r="F3" s="23" t="str">
        <x:v>Прод. площадь</x:v>
      </x:c>
      <x:c r="G3" s="23" t="str">
        <x:v>Выручка</x:v>
      </x:c>
      <x:c r="H3" s="23" t="str">
        <x:v>CAPEX</x:v>
      </x:c>
      <x:c r="I3" s="23" t="str">
        <x:v>EBITDA</x:v>
      </x:c>
      <x:c r="J3" s="23" t="str">
        <x:v>Финансирование</x:v>
      </x:c>
      <x:c r="K3" s="23" t="str">
        <x:v>Налог</x:v>
      </x:c>
      <x:c r="L3" s="23" t="str">
        <x:v>Чистая прибыль</x:v>
      </x:c>
      <x:c r="M3" s="23" t="str">
        <x:v>Equity</x:v>
      </x:c>
      <x:c r="N3" s="23" t="str">
        <x:v>IRR</x:v>
      </x:c>
      <x:c r="O3" s="23" t="str">
        <x:v>NPV</x:v>
      </x:c>
      <x:c r="P3" s="23" t="str">
        <x:v>Min LLCR</x:v>
      </x:c>
    </x:row>
    <x:row r="4">
      <x:c r="A4" t="str">
        <x:f>'Вводные'!$C$88</x:f>
      </x:c>
      <x:c r="B4" t="str">
        <x:f>'Вводные'!$B$88</x:f>
      </x:c>
      <x:c r="C4" s="92" t="n">
        <x:f>IF('Вводные'!$B$88="Да",'CF_1'!B6,"")</x:f>
      </x:c>
      <x:c r="D4" s="92" t="n">
        <x:f>IF('Вводные'!$B$88="Да",'CF_1'!B7,"")</x:f>
      </x:c>
      <x:c r="E4" s="92" t="n">
        <x:f>IF('Вводные'!$B$88="Да",'CF_1'!B8,"")</x:f>
      </x:c>
      <x:c r="F4" s="107" t="n">
        <x:f>'Вводные'!$L$88+'Вводные'!$M$88+IF(AND('Вводные'!$K$21=1,'Вводные'!$B$88="Да"),'Вводные'!$K$26,0)+IF(AND('Вводные'!$K$41=1,'Вводные'!$B$88="Да"),'Вводные'!$K$46,0)</x:f>
      </x:c>
      <x:c r="G4" s="107" t="n">
        <x:f>'CF_1'!B67</x:f>
      </x:c>
      <x:c r="H4" s="107" t="n">
        <x:f>'CF_1'!B68</x:f>
      </x:c>
      <x:c r="I4" s="107" t="n">
        <x:f>'CF_1'!B70</x:f>
      </x:c>
      <x:c r="J4" s="107" t="n">
        <x:f>'CF_1'!B74</x:f>
      </x:c>
      <x:c r="K4" s="107" t="n">
        <x:f>'CF_1'!B76</x:f>
      </x:c>
      <x:c r="L4" s="107" t="n">
        <x:f>'CF_1'!B77</x:f>
      </x:c>
      <x:c r="M4" s="107" t="n">
        <x:f>'CF_1'!B78</x:f>
      </x:c>
      <x:c r="N4" s="35" t="n">
        <x:f>'CF_1'!B80</x:f>
      </x:c>
      <x:c r="O4" s="107" t="n">
        <x:f>'CF_1'!B81</x:f>
      </x:c>
      <x:c r="P4" s="129" t="n">
        <x:f>'CF_1'!B85</x:f>
      </x:c>
    </x:row>
    <x:row r="5">
      <x:c r="A5" t="str">
        <x:f>'Вводные'!$C$89</x:f>
      </x:c>
      <x:c r="B5" t="str">
        <x:f>'Вводные'!$B$89</x:f>
      </x:c>
      <x:c r="C5" s="92" t="n">
        <x:f>IF('Вводные'!$B$89="Да",'CF_2'!B6,"")</x:f>
      </x:c>
      <x:c r="D5" s="92" t="n">
        <x:f>IF('Вводные'!$B$89="Да",'CF_2'!B7,"")</x:f>
      </x:c>
      <x:c r="E5" s="92" t="n">
        <x:f>IF('Вводные'!$B$89="Да",'CF_2'!B8,"")</x:f>
      </x:c>
      <x:c r="F5" s="107" t="n">
        <x:f>'Вводные'!$L$89+'Вводные'!$M$89+IF(AND('Вводные'!$K$21=2,'Вводные'!$B$89="Да"),'Вводные'!$K$26,0)+IF(AND('Вводные'!$K$41=2,'Вводные'!$B$89="Да"),'Вводные'!$K$46,0)</x:f>
      </x:c>
      <x:c r="G5" s="107" t="n">
        <x:f>'CF_2'!B67</x:f>
      </x:c>
      <x:c r="H5" s="107" t="n">
        <x:f>'CF_2'!B68</x:f>
      </x:c>
      <x:c r="I5" s="107" t="n">
        <x:f>'CF_2'!B70</x:f>
      </x:c>
      <x:c r="J5" s="107" t="n">
        <x:f>'CF_2'!B74</x:f>
      </x:c>
      <x:c r="K5" s="107" t="n">
        <x:f>'CF_2'!B76</x:f>
      </x:c>
      <x:c r="L5" s="107" t="n">
        <x:f>'CF_2'!B77</x:f>
      </x:c>
      <x:c r="M5" s="107" t="n">
        <x:f>'CF_2'!B78</x:f>
      </x:c>
      <x:c r="N5" s="35" t="str">
        <x:f>'CF_2'!B80</x:f>
      </x:c>
      <x:c r="O5" s="107" t="n">
        <x:f>'CF_2'!B81</x:f>
      </x:c>
      <x:c r="P5" s="129" t="n">
        <x:f>'CF_2'!B85</x:f>
      </x:c>
    </x:row>
    <x:row r="6">
      <x:c r="A6" t="str">
        <x:f>'Вводные'!$C$90</x:f>
      </x:c>
      <x:c r="B6" t="str">
        <x:f>'Вводные'!$B$90</x:f>
      </x:c>
      <x:c r="C6" s="92" t="n">
        <x:f>IF('Вводные'!$B$90="Да",'CF_3'!B6,"")</x:f>
      </x:c>
      <x:c r="D6" s="92" t="n">
        <x:f>IF('Вводные'!$B$90="Да",'CF_3'!B7,"")</x:f>
      </x:c>
      <x:c r="E6" s="92" t="n">
        <x:f>IF('Вводные'!$B$90="Да",'CF_3'!B8,"")</x:f>
      </x:c>
      <x:c r="F6" s="107" t="n">
        <x:f>'Вводные'!$L$90+'Вводные'!$M$90+IF(AND('Вводные'!$K$21=3,'Вводные'!$B$90="Да"),'Вводные'!$K$26,0)+IF(AND('Вводные'!$K$41=3,'Вводные'!$B$90="Да"),'Вводные'!$K$46,0)</x:f>
      </x:c>
      <x:c r="G6" s="107" t="n">
        <x:f>'CF_3'!B67</x:f>
      </x:c>
      <x:c r="H6" s="107" t="n">
        <x:f>'CF_3'!B68</x:f>
      </x:c>
      <x:c r="I6" s="107" t="n">
        <x:f>'CF_3'!B70</x:f>
      </x:c>
      <x:c r="J6" s="107" t="n">
        <x:f>'CF_3'!B74</x:f>
      </x:c>
      <x:c r="K6" s="107" t="n">
        <x:f>'CF_3'!B76</x:f>
      </x:c>
      <x:c r="L6" s="107" t="n">
        <x:f>'CF_3'!B77</x:f>
      </x:c>
      <x:c r="M6" s="107" t="n">
        <x:f>'CF_3'!B78</x:f>
      </x:c>
      <x:c r="N6" s="35" t="str">
        <x:f>'CF_3'!B80</x:f>
      </x:c>
      <x:c r="O6" s="107" t="n">
        <x:f>'CF_3'!B81</x:f>
      </x:c>
      <x:c r="P6" s="129" t="n">
        <x:f>'CF_3'!B85</x:f>
      </x:c>
    </x:row>
    <x:row r="7">
      <x:c r="A7" t="str">
        <x:f>'Вводные'!$C$91</x:f>
      </x:c>
      <x:c r="B7" t="str">
        <x:f>'Вводные'!$B$91</x:f>
      </x:c>
      <x:c r="C7" s="92" t="n">
        <x:f>IF('Вводные'!$B$91="Да",'CF_4'!B6,"")</x:f>
      </x:c>
      <x:c r="D7" s="92" t="n">
        <x:f>IF('Вводные'!$B$91="Да",'CF_4'!B7,"")</x:f>
      </x:c>
      <x:c r="E7" s="92" t="n">
        <x:f>IF('Вводные'!$B$91="Да",'CF_4'!B8,"")</x:f>
      </x:c>
      <x:c r="F7" s="107" t="n">
        <x:f>'Вводные'!$L$91+'Вводные'!$M$91+IF(AND('Вводные'!$K$21=4,'Вводные'!$B$91="Да"),'Вводные'!$K$26,0)+IF(AND('Вводные'!$K$41=4,'Вводные'!$B$91="Да"),'Вводные'!$K$46,0)</x:f>
      </x:c>
      <x:c r="G7" s="107" t="n">
        <x:f>'CF_4'!B67</x:f>
      </x:c>
      <x:c r="H7" s="107" t="n">
        <x:f>'CF_4'!B68</x:f>
      </x:c>
      <x:c r="I7" s="107" t="n">
        <x:f>'CF_4'!B70</x:f>
      </x:c>
      <x:c r="J7" s="107" t="n">
        <x:f>'CF_4'!B74</x:f>
      </x:c>
      <x:c r="K7" s="107" t="n">
        <x:f>'CF_4'!B76</x:f>
      </x:c>
      <x:c r="L7" s="107" t="n">
        <x:f>'CF_4'!B77</x:f>
      </x:c>
      <x:c r="M7" s="107" t="n">
        <x:f>'CF_4'!B78</x:f>
      </x:c>
      <x:c r="N7" s="35" t="str">
        <x:f>'CF_4'!B80</x:f>
      </x:c>
      <x:c r="O7" s="107" t="n">
        <x:f>'CF_4'!B81</x:f>
      </x:c>
      <x:c r="P7" s="129" t="n">
        <x:f>'CF_4'!B85</x:f>
      </x:c>
    </x:row>
    <x:row r="8">
      <x:c r="A8" s="112" t="str">
        <x:v>КОНСОЛИДИРОВАНО</x:v>
      </x:c>
      <x:c r="B8" s="112" t="str">
        <x:v>—</x:v>
      </x:c>
      <x:c r="C8" s="142" t="n">
        <x:f>MIN(C4:C7)</x:f>
      </x:c>
      <x:c r="D8" s="142" t="n">
        <x:f>MIN(D4:D7)</x:f>
      </x:c>
      <x:c r="E8" s="142" t="n">
        <x:f>MAX(E4:E7)</x:f>
      </x:c>
      <x:c r="F8" s="113" t="n">
        <x:f>SUM(F4:F7)</x:f>
      </x:c>
      <x:c r="G8" s="113" t="n">
        <x:f>SUM(G4:G7)</x:f>
      </x:c>
      <x:c r="H8" s="113" t="n">
        <x:f>SUM(H4:H7)</x:f>
      </x:c>
      <x:c r="I8" s="113" t="n">
        <x:f>SUM(I4:I7)</x:f>
      </x:c>
      <x:c r="J8" s="113" t="n">
        <x:f>SUM(J4:J7)</x:f>
      </x:c>
      <x:c r="K8" s="113" t="n">
        <x:f>SUM(K4:K7)</x:f>
      </x:c>
      <x:c r="L8" s="113" t="n">
        <x:f>SUM(L4:L7)</x:f>
      </x:c>
      <x:c r="M8" s="113" t="n">
        <x:f>SUM(M4:M7)</x:f>
      </x:c>
      <x:c r="N8" s="143" t="n">
        <x:f>IF('CF'!B19&gt;0.5,"N/A (долг не погашен)",IF(AND(MIN('CF'!D25:DS25)&lt;0,MAX('CF'!D25:DS25)&gt;0),IFERROR(XIRR('CF'!D25:DS25,'CF'!D3:DS3,0.1),IFERROR(XIRR('CF'!D25:DS25,'CF'!D3:DS3,1),IFERROR(XIRR('CF'!D25:DS25,'CF'!D3:DS3,5),""))),""))</x:f>
      </x:c>
      <x:c r="O8" s="113" t="n">
        <x:f>IF('CF'!B19&gt;0.5,"N/A (долг не погашен)",'CF'!D25+NPV('Вводные'!$B$23/12,'CF'!E25:DS25))</x:f>
      </x:c>
      <x:c r="P8" s="126" t="n">
        <x:f>'CF'!B30</x:f>
      </x:c>
    </x:row>
    <x:row r="11" ht="21" customHeight="1">
      <x:c r="A11" s="52" t="str">
        <x:v>КОНСОЛИДИРОВАННЫЕ ПОТОКИ</x:v>
      </x:c>
      <x:c r="B11" s="53" t="str">
        <x:v>КОНСОЛИДИРОВАННЫЕ ПОТОКИ</x:v>
      </x:c>
      <x:c r="C11" s="53" t="str">
        <x:v>КОНСОЛИДИРОВАННЫЕ ПОТОКИ</x:v>
      </x:c>
      <x:c r="D11" s="53" t="str">
        <x:v>КОНСОЛИДИРОВАННЫЕ ПОТОКИ</x:v>
      </x:c>
      <x:c r="E11" s="53" t="str">
        <x:v>КОНСОЛИДИРОВАННЫЕ ПОТОКИ</x:v>
      </x:c>
      <x:c r="F11" s="53" t="str">
        <x:v>КОНСОЛИДИРОВАННЫЕ ПОТОКИ</x:v>
      </x:c>
      <x:c r="G11" s="53" t="str">
        <x:v>КОНСОЛИДИРОВАННЫЕ ПОТОКИ</x:v>
      </x:c>
      <x:c r="H11" s="53" t="str">
        <x:v>КОНСОЛИДИРОВАННЫЕ ПОТОКИ</x:v>
      </x:c>
      <x:c r="I11" s="53" t="str">
        <x:v>КОНСОЛИДИРОВАННЫЕ ПОТОКИ</x:v>
      </x:c>
      <x:c r="J11" s="53" t="str">
        <x:v>КОНСОЛИДИРОВАННЫЕ ПОТОКИ</x:v>
      </x:c>
      <x:c r="K11" s="53" t="str">
        <x:v>КОНСОЛИДИРОВАННЫЕ ПОТОКИ</x:v>
      </x:c>
      <x:c r="L11" s="53" t="str">
        <x:v>КОНСОЛИДИРОВАННЫЕ ПОТОКИ</x:v>
      </x:c>
      <x:c r="M11" s="53" t="str">
        <x:v>КОНСОЛИДИРОВАННЫЕ ПОТОКИ</x:v>
      </x:c>
      <x:c r="N11" s="53" t="str">
        <x:v>КОНСОЛИДИРОВАННЫЕ ПОТОКИ</x:v>
      </x:c>
      <x:c r="O11" s="53" t="str">
        <x:v>КОНСОЛИДИРОВАННЫЕ ПОТОКИ</x:v>
      </x:c>
      <x:c r="P11" s="54" t="str">
        <x:v>КОНСОЛИДИРОВАННЫЕ ПОТОКИ</x:v>
      </x:c>
    </x:row>
    <x:row r="12">
      <x:c r="A12" s="23" t="str">
        <x:v>Показатель</x:v>
      </x:c>
      <x:c r="B12" s="23" t="str">
        <x:v>Итого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>
      <x:c r="A13" t="str">
        <x:v>Выручка</x:v>
      </x:c>
      <x:c r="B13" s="107" t="n">
        <x:f>G8</x:f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>
      <x:c r="A14" t="str">
        <x:v>CAPEX</x:v>
      </x:c>
      <x:c r="B14" s="107" t="n">
        <x:f>H8</x:f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>
      <x:c r="A15" t="str">
        <x:v>Стоимость финансирования</x:v>
      </x:c>
      <x:c r="B15" s="107" t="n">
        <x:f>J8</x:f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>
      <x:c r="A16" t="str">
        <x:v>Чистая прибыль</x:v>
      </x:c>
      <x:c r="B16" s="107" t="n">
        <x:f>L8</x:f>
      </x:c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>
      <x:c r="A17" t="str">
        <x:v>Пиковый долг</x:v>
      </x:c>
      <x:c r="B17" s="107" t="n">
        <x:f>MAX('CF'!D19:DS19)</x:f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18">
      <x:c r="A18" t="inlineStr">
        <x:is>
          <x:t>LLCR проекта (за весь срок)</x:t>
        </x:is>
      </x:c>
      <x:c r="B18" s="129" t="n">
        <x:f>P8</x:f>
      </x:c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</x:row>
    <x:row r="21" ht="21" customHeight="1">
      <x:c r="A21" s="281" t="str">
        <x:v>ОТДЕЛЬНО СТОЯЩИЕ КОММЕРЧЕСКИЕ ОБЪЕКТЫ</x:v>
      </x:c>
      <x:c r="B21" s="282" t="str">
        <x:v>ОТДЕЛЬНО СТОЯЩИЕ КОММЕРЧЕСКИЕ ОБЪЕКТЫ</x:v>
      </x:c>
      <x:c r="C21" s="282" t="str">
        <x:v>ОТДЕЛЬНО СТОЯЩИЕ КОММЕРЧЕСКИЕ ОБЪЕКТЫ</x:v>
      </x:c>
      <x:c r="D21" s="282" t="str">
        <x:v>ОТДЕЛЬНО СТОЯЩИЕ КОММЕРЧЕСКИЕ ОБЪЕКТЫ</x:v>
      </x:c>
      <x:c r="E21" s="282" t="str">
        <x:v>ОТДЕЛЬНО СТОЯЩИЕ КОММЕРЧЕСКИЕ ОБЪЕКТЫ</x:v>
      </x:c>
      <x:c r="F21" s="282" t="str">
        <x:v>ОТДЕЛЬНО СТОЯЩИЕ КОММЕРЧЕСКИЕ ОБЪЕКТЫ</x:v>
      </x:c>
      <x:c r="G21" s="282" t="str">
        <x:v>ОТДЕЛЬНО СТОЯЩИЕ КОММЕРЧЕСКИЕ ОБЪЕКТЫ</x:v>
      </x:c>
      <x:c r="H21" s="282" t="str">
        <x:v>ОТДЕЛЬНО СТОЯЩИЕ КОММЕРЧЕСКИЕ ОБЪЕКТЫ</x:v>
      </x:c>
      <x:c r="I21" s="282" t="str">
        <x:v>ОТДЕЛЬНО СТОЯЩИЕ КОММЕРЧЕСКИЕ ОБЪЕКТЫ</x:v>
      </x:c>
      <x:c r="J21" s="282" t="str">
        <x:v>ОТДЕЛЬНО СТОЯЩИЕ КОММЕРЧЕСКИЕ ОБЪЕКТЫ</x:v>
      </x:c>
      <x:c r="K21" s="282" t="str">
        <x:v>ОТДЕЛЬНО СТОЯЩИЕ КОММЕРЧЕСКИЕ ОБЪЕКТЫ</x:v>
      </x:c>
      <x:c r="L21" s="282" t="str">
        <x:v>ОТДЕЛЬНО СТОЯЩИЕ КОММЕРЧЕСКИЕ ОБЪЕКТЫ</x:v>
      </x:c>
      <x:c r="M21" s="282" t="str">
        <x:v>ОТДЕЛЬНО СТОЯЩИЕ КОММЕРЧЕСКИЕ ОБЪЕКТЫ</x:v>
      </x:c>
      <x:c r="N21" s="282" t="str">
        <x:v>ОТДЕЛЬНО СТОЯЩИЕ КОММЕРЧЕСКИЕ ОБЪЕКТЫ</x:v>
      </x:c>
      <x:c r="O21" s="282" t="str">
        <x:v>ОТДЕЛЬНО СТОЯЩИЕ КОММЕРЧЕСКИЕ ОБЪЕКТЫ</x:v>
      </x:c>
      <x:c r="P21" s="283" t="str">
        <x:v>ОТДЕЛЬНО СТОЯЩИЕ КОММЕРЧЕСКИЕ ОБЪЕКТЫ</x:v>
      </x:c>
    </x:row>
    <x:row r="22">
      <x:c r="A22" s="289" t="str">
        <x:v>Объект</x:v>
      </x:c>
      <x:c r="B22" s="289" t="str">
        <x:v>Вкл.</x:v>
      </x:c>
      <x:c r="C22" s="289" t="str">
        <x:v>Очередь</x:v>
      </x:c>
      <x:c r="D22" s="289" t="str">
        <x:v>GBA</x:v>
      </x:c>
      <x:c r="E22" s="289" t="str">
        <x:v>Прод. площадь / места</x:v>
      </x:c>
      <x:c r="F22" s="289" t="str">
        <x:v>Выручка</x:v>
      </x:c>
      <x:c r="G22" s="289" t="str">
        <x:v>CAPEX</x:v>
      </x:c>
      <x:c r="H22" s="289" t="str">
        <x:v>Маржа до финансирования</x:v>
      </x:c>
    </x:row>
    <x:row r="23">
      <x:c r="A23" t="str">
        <x:v>МФОЦ / офисный центр</x:v>
      </x:c>
      <x:c r="B23" t="str">
        <x:f>'Вводные'!$K$20</x:f>
      </x:c>
      <x:c r="C23" t="n">
        <x:f>'Вводные'!$K$21</x:f>
      </x:c>
      <x:c r="D23" s="132" t="n">
        <x:f>'Вводные'!$K$25</x:f>
      </x:c>
      <x:c r="E23" s="132" t="n">
        <x:f>'Вводные'!$K$26</x:f>
      </x:c>
      <x:c r="F23" s="107" t="n">
        <x:f>'ОБЪЕКТЫ'!B24</x:f>
      </x:c>
      <x:c r="G23" s="107" t="n">
        <x:f>'ОБЪЕКТЫ'!B28</x:f>
      </x:c>
      <x:c r="H23" s="107" t="n">
        <x:f>'ОБЪЕКТЫ'!B24-'ОБЪЕКТЫ'!B31</x:f>
      </x:c>
    </x:row>
    <x:row r="24">
      <x:c r="A24" t="str">
        <x:v>Торговый центр / коммерция ОСЗ</x:v>
      </x:c>
      <x:c r="B24" t="str">
        <x:f>'Вводные'!$K$40</x:f>
      </x:c>
      <x:c r="C24" t="n">
        <x:f>'Вводные'!$K$41</x:f>
      </x:c>
      <x:c r="D24" s="132" t="n">
        <x:f>'Вводные'!$K$45</x:f>
      </x:c>
      <x:c r="E24" s="132" t="n">
        <x:f>'Вводные'!$K$46</x:f>
      </x:c>
      <x:c r="F24" s="107" t="n">
        <x:f>'ОБЪЕКТЫ'!B52</x:f>
      </x:c>
      <x:c r="G24" s="107" t="n">
        <x:f>'ОБЪЕКТЫ'!B56</x:f>
      </x:c>
      <x:c r="H24" s="107" t="n">
        <x:f>'ОБЪЕКТЫ'!B52-'ОБЪЕКТЫ'!B59</x:f>
      </x:c>
    </x:row>
    <x:row r="25">
      <x:c r="A25" t="str">
        <x:v>Наземный многоэтажный паркинг</x:v>
      </x:c>
      <x:c r="B25" t="str">
        <x:f>'Вводные'!$K$60</x:f>
      </x:c>
      <x:c r="C25" t="n">
        <x:f>'Вводные'!$K$61</x:f>
      </x:c>
      <x:c r="D25" s="132" t="n">
        <x:f>'Вводные'!$K$66</x:f>
      </x:c>
      <x:c r="E25" s="132" t="n">
        <x:f>'Вводные'!$K$65</x:f>
      </x:c>
      <x:c r="F25" s="107" t="n">
        <x:f>'ОБЪЕКТЫ'!B80</x:f>
      </x:c>
      <x:c r="G25" s="107" t="n">
        <x:f>'ОБЪЕКТЫ'!B84</x:f>
      </x:c>
      <x:c r="H25" s="107" t="n">
        <x:f>'ОБЪЕКТЫ'!B80-'ОБЪЕКТЫ'!B87</x:f>
      </x:c>
    </x:row>
    <x:row r="26">
      <x:c r="A26" s="348" t="str">
        <x:v>ИТОГО ОБЪЕКТЫ</x:v>
      </x:c>
      <x:c r="B26" s="348"/>
      <x:c r="C26" s="348"/>
      <x:c r="D26" s="351" t="n">
        <x:f>SUM(D23:D25)</x:f>
      </x:c>
      <x:c r="E26" s="351" t="n">
        <x:f>SUM(E23:E25)</x:f>
      </x:c>
      <x:c r="F26" s="348" t="n">
        <x:f>SUM(F23:F25)</x:f>
      </x:c>
      <x:c r="G26" s="348" t="n">
        <x:f>SUM(G23:G25)</x:f>
      </x:c>
      <x:c r="H26" s="348" t="n">
        <x:f>SUM(H23:H25)</x:f>
      </x:c>
    </x:row>
  </x:sheetData>
  <x:mergeCells>
    <x:mergeCell ref="A1:P1"/>
    <x:mergeCell ref="A11:P11"/>
    <x:mergeCell ref="A21:P2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5" hidden="0" customWidth="1"/>
    <x:col min="3" max="3" width="15" hidden="0" customWidth="1"/>
    <x:col min="4" max="4" width="15" hidden="0" customWidth="1"/>
    <x:col min="6" max="6" width="30" hidden="0" customWidth="1"/>
    <x:col min="7" max="7" width="4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5" max="5" width="15" hidden="0" customWidth="1"/>
  </x:cols>
  <x:sheetData>
    <x:row r="1" ht="28" customHeight="1">
      <x:c r="A1" s="4" t="str">
        <x:v>ИНВЕСТИЦИОННЫЙ ОТЧЁТ</x:v>
      </x:c>
      <x:c r="B1" s="4" t="str">
        <x:v>ИНВЕСТИЦИОННЫЙ ОТЧЁТ</x:v>
      </x:c>
      <x:c r="C1" s="4" t="str">
        <x:v>ИНВЕСТИЦИОННЫЙ ОТЧЁТ</x:v>
      </x:c>
      <x:c r="D1" s="4" t="str">
        <x:v>ИНВЕСТИЦИОННЫЙ ОТЧЁТ</x:v>
      </x:c>
      <x:c r="E1" s="4" t="str">
        <x:v>ИНВЕСТИЦИОННЫЙ ОТЧЁТ</x:v>
      </x:c>
      <x:c r="F1" s="4" t="str">
        <x:v>ИНВЕСТИЦИОННЫЙ ОТЧЁТ</x:v>
      </x:c>
      <x:c r="G1" s="4" t="str">
        <x:v>ИНВЕСТИЦИОННЫЙ ОТЧЁТ</x:v>
      </x:c>
      <x:c r="H1" s="4" t="str">
        <x:v>ИНВЕСТИЦИОННЫЙ ОТЧЁТ</x:v>
      </x:c>
      <x:c r="I1" s="4" t="str">
        <x:v>ИНВЕСТИЦИОННЫЙ ОТЧЁТ</x:v>
      </x:c>
      <x:c r="J1" s="4" t="str">
        <x:v>ИНВЕСТИЦИОННЫЙ ОТЧЁТ</x:v>
      </x:c>
      <x:c r="K1" s="4" t="str">
        <x:v>ИНВЕСТИЦИОННЫЙ ОТЧЁТ</x:v>
      </x:c>
      <x:c r="L1" s="4" t="str">
        <x:v>ИНВЕСТИЦИОННЫЙ ОТЧЁТ</x:v>
      </x:c>
      <x:c r="M1" s="4" t="str">
        <x:v>ИНВЕСТИЦИОННЫЙ ОТЧЁТ</x:v>
      </x:c>
      <x:c r="N1" s="4" t="str">
        <x:v>ИНВЕСТИЦИОННЫЙ ОТЧЁТ</x:v>
      </x:c>
    </x:row>
    <x:row r="2">
      <x:c r="A2" s="5" t="str">
        <x:f>"Проект: "&amp;'Вводные'!$B$4&amp;" | Сценарий: "&amp;'Вводные'!$B$6&amp;" | Версия: "&amp;'Вводные'!$B$5</x:f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1" customHeight="1">
      <x:c r="A4" s="52" t="str">
        <x:v>КЛЮЧЕВЫЕ ПОКАЗАТЕЛИ</x:v>
      </x:c>
      <x:c r="B4" s="53" t="str">
        <x:v>КЛЮЧЕВЫЕ ПОКАЗАТЕЛИ</x:v>
      </x:c>
      <x:c r="C4" s="53" t="str">
        <x:v>КЛЮЧЕВЫЕ ПОКАЗАТЕЛИ</x:v>
      </x:c>
      <x:c r="D4" s="54" t="str">
        <x:v>КЛЮЧЕВЫЕ ПОКАЗАТЕЛИ</x:v>
      </x:c>
      <x:c r="F4" s="52" t="str">
        <x:v>ЮНИТ-ЭКОНОМИКА И ФИНАНСИРОВАНИЕ</x:v>
      </x:c>
      <x:c r="G4" s="53" t="str">
        <x:v>ЮНИТ-ЭКОНОМИКА И ФИНАНСИРОВАНИЕ</x:v>
      </x:c>
      <x:c r="H4" s="53" t="str">
        <x:v>ЮНИТ-ЭКОНОМИКА И ФИНАНСИРОВАНИЕ</x:v>
      </x:c>
      <x:c r="I4" s="53" t="str">
        <x:v>ЮНИТ-ЭКОНОМИКА И ФИНАНСИРОВАНИЕ</x:v>
      </x:c>
      <x:c r="J4" s="53" t="str">
        <x:v>ЮНИТ-ЭКОНОМИКА И ФИНАНСИРОВАНИЕ</x:v>
      </x:c>
      <x:c r="K4" s="53" t="str">
        <x:v>ЮНИТ-ЭКОНОМИКА И ФИНАНСИРОВАНИЕ</x:v>
      </x:c>
      <x:c r="L4" s="53" t="str">
        <x:v>ЮНИТ-ЭКОНОМИКА И ФИНАНСИРОВАНИЕ</x:v>
      </x:c>
      <x:c r="M4" s="53" t="str">
        <x:v>ЮНИТ-ЭКОНОМИКА И ФИНАНСИРОВАНИЕ</x:v>
      </x:c>
      <x:c r="N4" s="54" t="str">
        <x:v>ЮНИТ-ЭКОНОМИКА И ФИНАНСИРОВАНИЕ</x:v>
      </x:c>
    </x:row>
    <x:row r="5">
      <x:c r="A5" s="7" t="str">
        <x:v>Выручка</x:v>
      </x:c>
      <x:c r="B5" s="107" t="n">
        <x:f>'КОНСОЛИДАТОР'!G8</x:f>
      </x:c>
      <x:c r="C5" t="str">
        <x:v>млн ₽</x:v>
      </x:c>
      <x:c r="D5" t="str"/>
      <x:c r="F5" s="23" t="str">
        <x:v>Показатель</x:v>
      </x:c>
      <x:c r="G5" s="23" t="str">
        <x:v>Значение</x:v>
      </x:c>
      <x:c r="H5" s="23" t="str">
        <x:v>Ед.</x:v>
      </x:c>
      <x:c r="I5" s="23" t="str"/>
    </x:row>
    <x:row r="6">
      <x:c r="A6" s="7" t="str">
        <x:v>CAPEX</x:v>
      </x:c>
      <x:c r="B6" s="107" t="n">
        <x:f>'КОНСОЛИДАТОР'!H8</x:f>
      </x:c>
      <x:c r="C6" t="str">
        <x:v>млн ₽</x:v>
      </x:c>
      <x:c r="D6" t="str"/>
      <x:c r="F6" t="str">
        <x:v>ГНС</x:v>
      </x:c>
      <x:c r="G6" s="132" t="n">
        <x:f>'ТЭП'!C36</x:f>
      </x:c>
      <x:c r="H6" t="str">
        <x:v>м²</x:v>
      </x:c>
      <x:c r="I6" t="str"/>
    </x:row>
    <x:row r="7">
      <x:c r="A7" s="7" t="str">
        <x:v>Коммерческие расходы</x:v>
      </x:c>
      <x:c r="B7" s="107" t="n">
        <x:f>'CF'!B12</x:f>
      </x:c>
      <x:c r="C7" t="str">
        <x:v>млн ₽</x:v>
      </x:c>
      <x:c r="D7" t="str"/>
      <x:c r="F7" t="str">
        <x:v>Продаваемая площадь</x:v>
      </x:c>
      <x:c r="G7" s="132" t="n">
        <x:f>'ТЭП'!D36</x:f>
      </x:c>
      <x:c r="H7" t="str">
        <x:v>м²</x:v>
      </x:c>
      <x:c r="I7" t="str"/>
    </x:row>
    <x:row r="8" ht="24" customHeight="1">
      <x:c r="A8" s="7" t="str">
        <x:v>EBITDA</x:v>
      </x:c>
      <x:c r="B8" s="107" t="n">
        <x:f>B5-B6-B7</x:f>
      </x:c>
      <x:c r="C8" t="str">
        <x:v>млн ₽</x:v>
      </x:c>
      <x:c r="D8" t="str"/>
      <x:c r="F8" s="93" t="str">
        <x:v>Средняя цена реализации</x:v>
      </x:c>
      <x:c r="G8" s="107" t="n">
        <x:f>F60</x:f>
      </x:c>
      <x:c r="H8" t="str">
        <x:v>тыс. ₽/м²</x:v>
      </x:c>
      <x:c r="I8" t="str"/>
    </x:row>
    <x:row r="9" ht="24" customHeight="1">
      <x:c r="A9" s="7" t="str">
        <x:v>Стоимость финансирования</x:v>
      </x:c>
      <x:c r="B9" s="107" t="n">
        <x:f>'КОНСОЛИДАТОР'!J8</x:f>
      </x:c>
      <x:c r="C9" t="str">
        <x:v>млн ₽</x:v>
      </x:c>
      <x:c r="D9" t="str"/>
      <x:c r="F9" s="93" t="str">
        <x:v>CAPEX на м² GBA</x:v>
      </x:c>
      <x:c r="G9" s="107" t="n">
        <x:f>F62</x:f>
      </x:c>
      <x:c r="H9" t="str">
        <x:v>тыс. ₽/м²</x:v>
      </x:c>
      <x:c r="I9" t="str"/>
    </x:row>
    <x:row r="10" ht="24" customHeight="1">
      <x:c r="A10" s="7" t="str">
        <x:v>Прибыль до налога</x:v>
      </x:c>
      <x:c r="B10" s="107" t="n">
        <x:f>B8-B9</x:f>
      </x:c>
      <x:c r="C10" t="str">
        <x:v>млн ₽</x:v>
      </x:c>
      <x:c r="D10" t="str"/>
      <x:c r="F10" s="93" t="str">
        <x:v>Полные расходы на м² продаж</x:v>
      </x:c>
      <x:c r="G10" s="107" t="n">
        <x:f>F63</x:f>
      </x:c>
      <x:c r="H10" t="str">
        <x:v>тыс. ₽/м²</x:v>
      </x:c>
      <x:c r="I10" t="str"/>
    </x:row>
    <x:row r="11" ht="24" customHeight="1">
      <x:c r="A11" s="7" t="str">
        <x:v>Налог на прибыль</x:v>
      </x:c>
      <x:c r="B11" s="107" t="n">
        <x:f>'КОНСОЛИДАТОР'!K8</x:f>
      </x:c>
      <x:c r="C11" t="str">
        <x:v>млн ₽</x:v>
      </x:c>
      <x:c r="D11" t="str"/>
      <x:c r="F11" s="93" t="str">
        <x:v>Пиковый БРИДЖ</x:v>
      </x:c>
      <x:c r="G11" s="107" t="n">
        <x:f>MAX('CF'!D17:DS17)</x:f>
      </x:c>
      <x:c r="H11" t="str">
        <x:v>млн ₽</x:v>
      </x:c>
      <x:c r="I11" t="str"/>
    </x:row>
    <x:row r="12" ht="24" customHeight="1">
      <x:c r="A12" s="7" t="str">
        <x:v>Чистая прибыль</x:v>
      </x:c>
      <x:c r="B12" s="107" t="n">
        <x:f>'КОНСОЛИДАТОР'!L8</x:f>
      </x:c>
      <x:c r="C12" t="str">
        <x:v>млн ₽</x:v>
      </x:c>
      <x:c r="D12" t="str"/>
      <x:c r="F12" s="93" t="str">
        <x:v>Пиковый ПФ</x:v>
      </x:c>
      <x:c r="G12" s="107" t="n">
        <x:f>MAX('CF'!D18:DS18)</x:f>
      </x:c>
      <x:c r="H12" t="str">
        <x:v>млн ₽</x:v>
      </x:c>
      <x:c r="I12" t="str"/>
    </x:row>
    <x:row r="13" ht="24" customHeight="1">
      <x:c r="A13" s="7" t="str">
        <x:v>Маржинальность</x:v>
      </x:c>
      <x:c r="B13" s="35" t="n">
        <x:f>IFERROR(B12/B5,0)</x:f>
      </x:c>
      <x:c r="C13" t="str">
        <x:v>%</x:v>
      </x:c>
      <x:c r="D13" t="str"/>
      <x:c r="F13" s="93" t="str">
        <x:v>Проценты БРИДЖ</x:v>
      </x:c>
      <x:c r="G13" s="107" t="n">
        <x:f>SUM('CF_1'!B32,'CF_2'!B32,'CF_3'!B32,'CF_4'!B32)</x:f>
      </x:c>
      <x:c r="H13" t="str">
        <x:v>млн ₽</x:v>
      </x:c>
      <x:c r="I13" t="str"/>
    </x:row>
    <x:row r="14" ht="24" customHeight="1">
      <x:c r="A14" s="7" t="str">
        <x:v>IRR собственного капитала</x:v>
      </x:c>
      <x:c r="B14" s="35" t="n">
        <x:f>'КОНСОЛИДАТОР'!N8</x:f>
      </x:c>
      <x:c r="C14" t="str">
        <x:v>% год</x:v>
      </x:c>
      <x:c r="D14" t="str"/>
      <x:c r="F14" s="93" t="str">
        <x:v>Проценты ПФ</x:v>
      </x:c>
      <x:c r="G14" s="107" t="n">
        <x:f>SUM('CF_1'!B42,'CF_2'!B42,'CF_3'!B42,'CF_4'!B42)</x:f>
      </x:c>
      <x:c r="H14" t="str">
        <x:v>млн ₽</x:v>
      </x:c>
      <x:c r="I14" t="str"/>
    </x:row>
    <x:row r="15" ht="24" customHeight="1">
      <x:c r="A15" s="7" t="str">
        <x:v>NPV собственного капитала</x:v>
      </x:c>
      <x:c r="B15" s="107" t="n">
        <x:f>'КОНСОЛИДАТОР'!O8</x:f>
      </x:c>
      <x:c r="C15" t="str">
        <x:v>млн ₽</x:v>
      </x:c>
      <x:c r="D15" t="str"/>
      <x:c r="F15" s="93" t="str">
        <x:v>Комиссии</x:v>
      </x:c>
      <x:c r="G15" s="107" t="n">
        <x:f>'CF'!B21</x:f>
      </x:c>
      <x:c r="H15" t="str">
        <x:v>млн ₽</x:v>
      </x:c>
      <x:c r="I15" t="str"/>
    </x:row>
    <x:row r="16" ht="24" customHeight="1">
      <x:c r="A16" s="7" t="str">
        <x:v>Вложено собственного капитала</x:v>
      </x:c>
      <x:c r="B16" s="107" t="n">
        <x:f>'КОНСОЛИДАТОР'!M8</x:f>
      </x:c>
      <x:c r="C16" t="str">
        <x:v>млн ₽</x:v>
      </x:c>
      <x:c r="D16" t="str"/>
      <x:c r="F16" s="93" t="str">
        <x:v>Ковенант LLCR</x:v>
      </x:c>
      <x:c r="G16" s="129" t="n">
        <x:f>'Вводные'!$B$32</x:f>
      </x:c>
      <x:c r="H16" t="str">
        <x:v>×</x:v>
      </x:c>
      <x:c r="I16" t="str"/>
    </x:row>
    <x:row r="17" ht="24" customHeight="1">
      <x:c r="A17" s="7" t="str">
        <x:v>Пиковый долг</x:v>
      </x:c>
      <x:c r="B17" s="107" t="n">
        <x:f>MAX('CF'!D19:DS19)</x:f>
      </x:c>
      <x:c r="C17" t="str">
        <x:v>млн ₽</x:v>
      </x:c>
      <x:c r="D17" t="str"/>
      <x:c r="F17" s="93" t="str">
        <x:v>Цена безубыточности площади</x:v>
      </x:c>
      <x:c r="G17" s="107" t="n">
        <x:f>F64</x:f>
      </x:c>
      <x:c r="H17" t="str">
        <x:v>тыс. ₽/м²</x:v>
      </x:c>
    </x:row>
    <x:row r="18" ht="24" customHeight="1">
      <x:c r="A18" s="7" t="str">
        <x:v>Пиковый эскроу</x:v>
      </x:c>
      <x:c r="B18" s="107" t="n">
        <x:f>MAX('CF'!D9:DS9)</x:f>
      </x:c>
      <x:c r="C18" t="str">
        <x:v>млн ₽</x:v>
      </x:c>
      <x:c r="D18" t="str"/>
      <x:c r="F18" s="93" t="str">
        <x:v>Средняя ставка ПФ без эскроу</x:v>
      </x:c>
      <x:c r="G18" s="352" t="n">
        <x:f>F71</x:f>
      </x:c>
      <x:c r="H18" t="str">
        <x:v>% год</x:v>
      </x:c>
    </x:row>
    <x:row r="19" ht="24" customHeight="1">
      <x:c r="A19" t="inlineStr">
        <x:is>
          <x:t>LLCR проекта (за весь срок)</x:t>
        </x:is>
      </x:c>
      <x:c r="B19" s="129" t="n">
        <x:f>'КОНСОЛИДАТОР'!P8</x:f>
      </x:c>
      <x:c r="C19" t="str">
        <x:v>×</x:v>
      </x:c>
      <x:c r="D19" t="str"/>
      <x:c r="F19" s="93" t="str">
        <x:v>Средняя фактическая ставка ПФ</x:v>
      </x:c>
      <x:c r="G19" s="352" t="n">
        <x:f>F72</x:f>
      </x:c>
      <x:c r="H19" t="str">
        <x:v>% год</x:v>
      </x:c>
    </x:row>
    <x:row r="20" ht="24" customHeight="1">
      <x:c r="A20" s="7" t="str">
        <x:v>Статус модели</x:v>
      </x:c>
      <x:c r="B20" t="str">
        <x:f>'ПРОВЕРКИ'!B3</x:f>
      </x:c>
      <x:c r="C20" t="str"/>
      <x:c r="D20" t="str"/>
      <x:c r="F20" s="93" t="str">
        <x:v>Темп продаж площади</x:v>
      </x:c>
      <x:c r="G20" s="107" t="n">
        <x:f>F67</x:f>
      </x:c>
      <x:c r="H20" t="str">
        <x:v>м²/мес.</x:v>
      </x:c>
    </x:row>
    <x:row r="21" ht="24" customHeight="1">
      <x:c r="A21"/>
      <x:c r="B21"/>
      <x:c r="C21"/>
      <x:c r="F21" s="93" t="str">
        <x:v>Темп продаж в штуках</x:v>
      </x:c>
      <x:c r="G21" s="107" t="n">
        <x:f>F70</x:f>
      </x:c>
      <x:c r="H21" t="str">
        <x:v>шт./мес.</x:v>
      </x:c>
    </x:row>
    <x:row r="22">
      <x:c r="A22" s="7" t="inlineStr">
        <x:is>
          <x:t>Непогашенный долг на конец проекта (дефолт, если &gt; 0)</x:t>
        </x:is>
      </x:c>
      <x:c r="B22" s="107">
        <x:f>'CF'!B19</x:f>
      </x:c>
    </x:row>
    <x:row r="23" ht="21" customHeight="1">
      <x:c r="A23" s="52" t="str">
        <x:v>СРАВНЕНИЕ ОЧЕРЕДЕЙ</x:v>
      </x:c>
      <x:c r="B23" s="53" t="str">
        <x:v>СРАВНЕНИЕ ОЧЕРЕДЕЙ</x:v>
      </x:c>
      <x:c r="C23" s="53" t="str">
        <x:v>СРАВНЕНИЕ ОЧЕРЕДЕЙ</x:v>
      </x:c>
      <x:c r="D23" s="53" t="str">
        <x:v>СРАВНЕНИЕ ОЧЕРЕДЕЙ</x:v>
      </x:c>
      <x:c r="E23" s="53" t="str">
        <x:v>СРАВНЕНИЕ ОЧЕРЕДЕЙ</x:v>
      </x:c>
      <x:c r="F23" s="53" t="str">
        <x:v>СРАВНЕНИЕ ОЧЕРЕДЕЙ</x:v>
      </x:c>
      <x:c r="G23" s="53" t="str">
        <x:v>СРАВНЕНИЕ ОЧЕРЕДЕЙ</x:v>
      </x:c>
      <x:c r="H23" s="53" t="str">
        <x:v>СРАВНЕНИЕ ОЧЕРЕДЕЙ</x:v>
      </x:c>
      <x:c r="I23" s="53" t="str">
        <x:v>СРАВНЕНИЕ ОЧЕРЕДЕЙ</x:v>
      </x:c>
      <x:c r="J23" s="53" t="str">
        <x:v>СРАВНЕНИЕ ОЧЕРЕДЕЙ</x:v>
      </x:c>
      <x:c r="K23" s="53" t="str">
        <x:v>СРАВНЕНИЕ ОЧЕРЕДЕЙ</x:v>
      </x:c>
      <x:c r="L23" s="53" t="str">
        <x:v>СРАВНЕНИЕ ОЧЕРЕДЕЙ</x:v>
      </x:c>
      <x:c r="M23" s="53" t="str">
        <x:v>СРАВНЕНИЕ ОЧЕРЕДЕЙ</x:v>
      </x:c>
      <x:c r="N23" s="54" t="str">
        <x:v>СРАВНЕНИЕ ОЧЕРЕДЕЙ</x:v>
      </x:c>
    </x:row>
    <x:row r="24">
      <x:c r="A24" s="23" t="str">
        <x:f>'КОНСОЛИДАТОР'!A3</x:f>
      </x:c>
      <x:c r="B24" s="23" t="str">
        <x:f>'КОНСОЛИДАТОР'!B3</x:f>
      </x:c>
      <x:c r="C24" s="23" t="str">
        <x:f>'КОНСОЛИДАТОР'!C3</x:f>
      </x:c>
      <x:c r="D24" s="23" t="str">
        <x:f>'КОНСОЛИДАТОР'!D3</x:f>
      </x:c>
      <x:c r="E24" s="23" t="str">
        <x:f>'КОНСОЛИДАТОР'!E3</x:f>
      </x:c>
      <x:c r="F24" s="23" t="str">
        <x:f>'КОНСОЛИДАТОР'!F3</x:f>
      </x:c>
      <x:c r="G24" s="23" t="str">
        <x:f>'КОНСОЛИДАТОР'!G3</x:f>
      </x:c>
      <x:c r="H24" s="23" t="str">
        <x:f>'КОНСОЛИДАТОР'!H3</x:f>
      </x:c>
      <x:c r="I24" s="23" t="str">
        <x:f>'КОНСОЛИДАТОР'!I3</x:f>
      </x:c>
      <x:c r="J24" s="23" t="str">
        <x:f>'КОНСОЛИДАТОР'!J3</x:f>
      </x:c>
      <x:c r="K24" s="23" t="str">
        <x:f>'КОНСОЛИДАТОР'!K3</x:f>
      </x:c>
      <x:c r="L24" s="23" t="str">
        <x:f>'КОНСОЛИДАТОР'!L3</x:f>
      </x:c>
      <x:c r="M24" s="23" t="str">
        <x:f>'КОНСОЛИДАТОР'!M3</x:f>
      </x:c>
      <x:c r="N24" s="23" t="str">
        <x:f>'КОНСОЛИДАТОР'!N3</x:f>
      </x:c>
    </x:row>
    <x:row r="25">
      <x:c r="A25" t="str">
        <x:f>'КОНСОЛИДАТОР'!A4</x:f>
      </x:c>
      <x:c r="B25" t="str">
        <x:f>'КОНСОЛИДАТОР'!B4</x:f>
      </x:c>
      <x:c r="C25" s="92" t="n">
        <x:f>'КОНСОЛИДАТОР'!C4</x:f>
      </x:c>
      <x:c r="D25" s="92" t="n">
        <x:f>'КОНСОЛИДАТОР'!D4</x:f>
      </x:c>
      <x:c r="E25" s="92" t="n">
        <x:f>'КОНСОЛИДАТОР'!E4</x:f>
      </x:c>
      <x:c r="F25" s="107" t="n">
        <x:f>'КОНСОЛИДАТОР'!F4</x:f>
      </x:c>
      <x:c r="G25" s="107" t="n">
        <x:f>'КОНСОЛИДАТОР'!G4</x:f>
      </x:c>
      <x:c r="H25" s="107" t="n">
        <x:f>'КОНСОЛИДАТОР'!H4</x:f>
      </x:c>
      <x:c r="I25" s="107" t="n">
        <x:f>'КОНСОЛИДАТОР'!I4</x:f>
      </x:c>
      <x:c r="J25" s="107" t="n">
        <x:f>'КОНСОЛИДАТОР'!J4</x:f>
      </x:c>
      <x:c r="K25" s="107" t="n">
        <x:f>'КОНСОЛИДАТОР'!K4</x:f>
      </x:c>
      <x:c r="L25" s="107" t="n">
        <x:f>'КОНСОЛИДАТОР'!L4</x:f>
      </x:c>
      <x:c r="M25" s="107" t="n">
        <x:f>'КОНСОЛИДАТОР'!M4</x:f>
      </x:c>
      <x:c r="N25" s="35" t="n">
        <x:f>'КОНСОЛИДАТОР'!N4</x:f>
      </x:c>
    </x:row>
    <x:row r="26">
      <x:c r="A26" t="str">
        <x:f>'КОНСОЛИДАТОР'!A5</x:f>
      </x:c>
      <x:c r="B26" t="str">
        <x:f>'КОНСОЛИДАТОР'!B5</x:f>
      </x:c>
      <x:c r="C26" s="92" t="n">
        <x:f>'КОНСОЛИДАТОР'!C5</x:f>
      </x:c>
      <x:c r="D26" s="92" t="n">
        <x:f>'КОНСОЛИДАТОР'!D5</x:f>
      </x:c>
      <x:c r="E26" s="92" t="n">
        <x:f>'КОНСОЛИДАТОР'!E5</x:f>
      </x:c>
      <x:c r="F26" s="107" t="n">
        <x:f>'КОНСОЛИДАТОР'!F5</x:f>
      </x:c>
      <x:c r="G26" s="107" t="n">
        <x:f>'КОНСОЛИДАТОР'!G5</x:f>
      </x:c>
      <x:c r="H26" s="107" t="n">
        <x:f>'КОНСОЛИДАТОР'!H5</x:f>
      </x:c>
      <x:c r="I26" s="107" t="n">
        <x:f>'КОНСОЛИДАТОР'!I5</x:f>
      </x:c>
      <x:c r="J26" s="107" t="n">
        <x:f>'КОНСОЛИДАТОР'!J5</x:f>
      </x:c>
      <x:c r="K26" s="107" t="n">
        <x:f>'КОНСОЛИДАТОР'!K5</x:f>
      </x:c>
      <x:c r="L26" s="107" t="n">
        <x:f>'КОНСОЛИДАТОР'!L5</x:f>
      </x:c>
      <x:c r="M26" s="107" t="n">
        <x:f>'КОНСОЛИДАТОР'!M5</x:f>
      </x:c>
      <x:c r="N26" s="35" t="str">
        <x:f>'КОНСОЛИДАТОР'!N5</x:f>
      </x:c>
    </x:row>
    <x:row r="27">
      <x:c r="A27" t="str">
        <x:f>'КОНСОЛИДАТОР'!A6</x:f>
      </x:c>
      <x:c r="B27" t="str">
        <x:f>'КОНСОЛИДАТОР'!B6</x:f>
      </x:c>
      <x:c r="C27" s="92" t="n">
        <x:f>'КОНСОЛИДАТОР'!C6</x:f>
      </x:c>
      <x:c r="D27" s="92" t="n">
        <x:f>'КОНСОЛИДАТОР'!D6</x:f>
      </x:c>
      <x:c r="E27" s="92" t="n">
        <x:f>'КОНСОЛИДАТОР'!E6</x:f>
      </x:c>
      <x:c r="F27" s="107" t="n">
        <x:f>'КОНСОЛИДАТОР'!F6</x:f>
      </x:c>
      <x:c r="G27" s="107" t="n">
        <x:f>'КОНСОЛИДАТОР'!G6</x:f>
      </x:c>
      <x:c r="H27" s="107" t="n">
        <x:f>'КОНСОЛИДАТОР'!H6</x:f>
      </x:c>
      <x:c r="I27" s="107" t="n">
        <x:f>'КОНСОЛИДАТОР'!I6</x:f>
      </x:c>
      <x:c r="J27" s="107" t="n">
        <x:f>'КОНСОЛИДАТОР'!J6</x:f>
      </x:c>
      <x:c r="K27" s="107" t="n">
        <x:f>'КОНСОЛИДАТОР'!K6</x:f>
      </x:c>
      <x:c r="L27" s="107" t="n">
        <x:f>'КОНСОЛИДАТОР'!L6</x:f>
      </x:c>
      <x:c r="M27" s="107" t="n">
        <x:f>'КОНСОЛИДАТОР'!M6</x:f>
      </x:c>
      <x:c r="N27" s="35" t="str">
        <x:f>'КОНСОЛИДАТОР'!N6</x:f>
      </x:c>
    </x:row>
    <x:row r="28">
      <x:c r="A28" t="str">
        <x:f>'КОНСОЛИДАТОР'!A7</x:f>
      </x:c>
      <x:c r="B28" t="str">
        <x:f>'КОНСОЛИДАТОР'!B7</x:f>
      </x:c>
      <x:c r="C28" s="92" t="n">
        <x:f>'КОНСОЛИДАТОР'!C7</x:f>
      </x:c>
      <x:c r="D28" s="92" t="n">
        <x:f>'КОНСОЛИДАТОР'!D7</x:f>
      </x:c>
      <x:c r="E28" s="92" t="n">
        <x:f>'КОНСОЛИДАТОР'!E7</x:f>
      </x:c>
      <x:c r="F28" s="107" t="n">
        <x:f>'КОНСОЛИДАТОР'!F7</x:f>
      </x:c>
      <x:c r="G28" s="107" t="n">
        <x:f>'КОНСОЛИДАТОР'!G7</x:f>
      </x:c>
      <x:c r="H28" s="107" t="n">
        <x:f>'КОНСОЛИДАТОР'!H7</x:f>
      </x:c>
      <x:c r="I28" s="107" t="n">
        <x:f>'КОНСОЛИДАТОР'!I7</x:f>
      </x:c>
      <x:c r="J28" s="107" t="n">
        <x:f>'КОНСОЛИДАТОР'!J7</x:f>
      </x:c>
      <x:c r="K28" s="107" t="n">
        <x:f>'КОНСОЛИДАТОР'!K7</x:f>
      </x:c>
      <x:c r="L28" s="107" t="n">
        <x:f>'КОНСОЛИДАТОР'!L7</x:f>
      </x:c>
      <x:c r="M28" s="107" t="n">
        <x:f>'КОНСОЛИДАТОР'!M7</x:f>
      </x:c>
      <x:c r="N28" s="35" t="n">
        <x:f>'КОНСОЛИДАТОР'!N7</x:f>
      </x:c>
    </x:row>
    <x:row r="29">
      <x:c r="A29" t="str">
        <x:f>'КОНСОЛИДАТОР'!A8</x:f>
      </x:c>
      <x:c r="B29" t="str">
        <x:f>'КОНСОЛИДАТОР'!B8</x:f>
      </x:c>
      <x:c r="C29" s="92" t="n">
        <x:f>'КОНСОЛИДАТОР'!C8</x:f>
      </x:c>
      <x:c r="D29" s="92" t="n">
        <x:f>'КОНСОЛИДАТОР'!D8</x:f>
      </x:c>
      <x:c r="E29" s="92" t="n">
        <x:f>'КОНСОЛИДАТОР'!E8</x:f>
      </x:c>
      <x:c r="F29" s="107" t="n">
        <x:f>'КОНСОЛИДАТОР'!F8</x:f>
      </x:c>
      <x:c r="G29" s="107" t="n">
        <x:f>'КОНСОЛИДАТОР'!G8</x:f>
      </x:c>
      <x:c r="H29" s="107" t="n">
        <x:f>'КОНСОЛИДАТОР'!H8</x:f>
      </x:c>
      <x:c r="I29" s="107" t="n">
        <x:f>'КОНСОЛИДАТОР'!I8</x:f>
      </x:c>
      <x:c r="J29" s="107" t="n">
        <x:f>'КОНСОЛИДАТОР'!J8</x:f>
      </x:c>
      <x:c r="K29" s="107" t="n">
        <x:f>'КОНСОЛИДАТОР'!K8</x:f>
      </x:c>
      <x:c r="L29" s="107" t="n">
        <x:f>'КОНСОЛИДАТОР'!L8</x:f>
      </x:c>
      <x:c r="M29" s="107" t="n">
        <x:f>'КОНСОЛИДАТОР'!M8</x:f>
      </x:c>
      <x:c r="N29" s="35" t="n">
        <x:f>'КОНСОЛИДАТОР'!N8</x:f>
      </x:c>
    </x:row>
    <x:row r="31" ht="21" customHeight="1">
      <x:c r="A31" s="52" t="str">
        <x:v>СТРУКТУРА РАСХОДОВ</x:v>
      </x:c>
      <x:c r="B31" s="53" t="str">
        <x:v>СТРУКТУРА РАСХОДОВ</x:v>
      </x:c>
      <x:c r="C31" s="53" t="str">
        <x:v>СТРУКТУРА РАСХОДОВ</x:v>
      </x:c>
      <x:c r="D31" s="53" t="str">
        <x:v>СТРУКТУРА РАСХОДОВ</x:v>
      </x:c>
      <x:c r="E31" s="53" t="str">
        <x:v>СТРУКТУРА РАСХОДОВ</x:v>
      </x:c>
      <x:c r="F31" s="53" t="str">
        <x:v>СТРУКТУРА РАСХОДОВ</x:v>
      </x:c>
      <x:c r="G31" s="53" t="str">
        <x:v>СТРУКТУРА РАСХОДОВ</x:v>
      </x:c>
      <x:c r="H31" s="53" t="str">
        <x:v>СТРУКТУРА РАСХОДОВ</x:v>
      </x:c>
      <x:c r="I31" s="53" t="str">
        <x:v>СТРУКТУРА РАСХОДОВ</x:v>
      </x:c>
      <x:c r="J31" s="53" t="str">
        <x:v>СТРУКТУРА РАСХОДОВ</x:v>
      </x:c>
      <x:c r="K31" s="53" t="str">
        <x:v>СТРУКТУРА РАСХОДОВ</x:v>
      </x:c>
      <x:c r="L31" s="53" t="str">
        <x:v>СТРУКТУРА РАСХОДОВ</x:v>
      </x:c>
      <x:c r="M31" s="53" t="str">
        <x:v>СТРУКТУРА РАСХОДОВ</x:v>
      </x:c>
      <x:c r="N31" s="54" t="str">
        <x:v>СТРУКТУРА РАСХОДОВ</x:v>
      </x:c>
    </x:row>
    <x:row r="32">
      <x:c r="A32" s="23" t="str">
        <x:v>Статья</x:v>
      </x:c>
      <x:c r="B32" s="23" t="str">
        <x:v>Сумма, млн ₽</x:v>
      </x:c>
      <x:c r="C32" s="23" t="str">
        <x:v>Доля</x:v>
      </x:c>
    </x:row>
    <x:row r="33">
      <x:c r="A33" t="str">
        <x:v>Покупка</x:v>
      </x:c>
      <x:c r="B33" s="107" t="n">
        <x:f>'Вводные'!$B$15</x:f>
      </x:c>
      <x:c r="C33" s="35" t="n">
        <x:f>IFERROR(B33/$B$40,0)</x:f>
      </x:c>
    </x:row>
    <x:row r="34">
      <x:c r="A34" t="str">
        <x:v>ВРИ</x:v>
      </x:c>
      <x:c r="B34" s="107" t="n">
        <x:f>'Вводные'!$B$16-'Вводные'!$B$82</x:f>
      </x:c>
      <x:c r="C34" s="35" t="n">
        <x:f>IFERROR(B34/$B$40,0)</x:f>
      </x:c>
    </x:row>
    <x:row r="35">
      <x:c r="A35" t="str">
        <x:v>Строительство и управление</x:v>
      </x:c>
      <x:c r="B35" s="107" t="n">
        <x:f>MAX(0,B6-B33-B34-B36)</x:f>
      </x:c>
      <x:c r="C35" s="35" t="n">
        <x:f>IFERROR(B35/$B$40,0)</x:f>
      </x:c>
    </x:row>
    <x:row r="36">
      <x:c r="A36" t="str">
        <x:v>Социальная нагрузка</x:v>
      </x:c>
      <x:c r="B36" s="107" t="n">
        <x:f>'Вводные'!$B$17</x:f>
      </x:c>
      <x:c r="C36" s="35" t="n">
        <x:f>IFERROR(B36/$B$40,0)</x:f>
      </x:c>
    </x:row>
    <x:row r="37">
      <x:c r="A37" t="str">
        <x:v>Маркетинг и продажи</x:v>
      </x:c>
      <x:c r="B37" s="107" t="n">
        <x:f>B7</x:f>
      </x:c>
      <x:c r="C37" s="35" t="n">
        <x:f>IFERROR(B37/$B$40,0)</x:f>
      </x:c>
    </x:row>
    <x:row r="38">
      <x:c r="A38" t="str">
        <x:v>Проценты и комиссии</x:v>
      </x:c>
      <x:c r="B38" s="107" t="n">
        <x:f>B9</x:f>
      </x:c>
      <x:c r="C38" s="35" t="n">
        <x:f>IFERROR(B38/$B$40,0)</x:f>
      </x:c>
    </x:row>
    <x:row r="39">
      <x:c r="A39" t="str">
        <x:v>Налог на прибыль</x:v>
      </x:c>
      <x:c r="B39" s="107" t="n">
        <x:f>B11</x:f>
      </x:c>
      <x:c r="C39" s="35" t="n">
        <x:f>IFERROR(B39/$B$40,0)</x:f>
      </x:c>
    </x:row>
    <x:row r="40">
      <x:c r="A40" s="113" t="str">
        <x:v>Итого</x:v>
      </x:c>
      <x:c r="B40" s="113" t="n">
        <x:f>SUM(B33:B39)</x:f>
      </x:c>
      <x:c r="C40" s="113" t="n">
        <x:f>SUM(C33:C39)</x:f>
      </x:c>
    </x:row>
    <x:row r="41">
      <x:c r="A41"/>
      <x:c r="B41" s="107"/>
      <x:c r="C41"/>
    </x:row>
    <x:row r="42">
      <x:c r="A42" t="str">
        <x:v>Контроль</x:v>
      </x:c>
      <x:c r="B42" s="107" t="n">
        <x:f>B40-(B6+B7+B9+B11)</x:f>
      </x:c>
      <x:c r="C42"/>
    </x:row>
    <x:row r="44" ht="21" customHeight="1">
      <x:c r="A44" s="281" t="str">
        <x:v>СТРУКТУРА ПРОДУКТА</x:v>
      </x:c>
      <x:c r="B44" s="282" t="str">
        <x:v>СТРУКТУРА ПРОДУКТА</x:v>
      </x:c>
      <x:c r="C44" s="282" t="str">
        <x:v>СТРУКТУРА ПРОДУКТА</x:v>
      </x:c>
      <x:c r="D44" s="282" t="str">
        <x:v>СТРУКТУРА ПРОДУКТА</x:v>
      </x:c>
      <x:c r="E44" s="282" t="str">
        <x:v>СТРУКТУРА ПРОДУКТА</x:v>
      </x:c>
      <x:c r="F44" s="282" t="str">
        <x:v>СТРУКТУРА ПРОДУКТА</x:v>
      </x:c>
      <x:c r="G44" s="282" t="str">
        <x:v>СТРУКТУРА ПРОДУКТА</x:v>
      </x:c>
      <x:c r="H44" s="282" t="str">
        <x:v>СТРУКТУРА ПРОДУКТА</x:v>
      </x:c>
      <x:c r="I44" s="282" t="str">
        <x:v>СТРУКТУРА ПРОДУКТА</x:v>
      </x:c>
      <x:c r="J44" s="282" t="str">
        <x:v>СТРУКТУРА ПРОДУКТА</x:v>
      </x:c>
      <x:c r="K44" s="282" t="str">
        <x:v>СТРУКТУРА ПРОДУКТА</x:v>
      </x:c>
      <x:c r="L44" s="282" t="str">
        <x:v>СТРУКТУРА ПРОДУКТА</x:v>
      </x:c>
      <x:c r="M44" s="282" t="str">
        <x:v>СТРУКТУРА ПРОДУКТА</x:v>
      </x:c>
      <x:c r="N44" s="283" t="str">
        <x:v>СТРУКТУРА ПРОДУКТА</x:v>
      </x:c>
    </x:row>
    <x:row r="45">
      <x:c r="A45" s="289" t="str">
        <x:v>Продукт</x:v>
      </x:c>
      <x:c r="B45" s="289" t="str">
        <x:v>ГНС, м²</x:v>
      </x:c>
      <x:c r="C45" s="289" t="str">
        <x:v>Прод. площадь, м²</x:v>
      </x:c>
      <x:c r="D45" s="289" t="str">
        <x:v>Единицы, шт.</x:v>
      </x:c>
      <x:c r="E45" s="289" t="str">
        <x:v>Выручка, млн ₽</x:v>
      </x:c>
      <x:c r="F45" s="289" t="str">
        <x:v>Статус</x:v>
      </x:c>
    </x:row>
    <x:row r="46">
      <x:c r="A46" t="str">
        <x:v>Квартиры</x:v>
      </x:c>
      <x:c r="B46" s="132" t="n">
        <x:f>SUM('Вводные'!I88:I91)</x:f>
      </x:c>
      <x:c r="C46" s="132" t="n">
        <x:f>SUM('Вводные'!L88:L91)</x:f>
      </x:c>
      <x:c r="D46" s="132"/>
      <x:c r="E46" s="107" t="n">
        <x:f>SUM('Продажи'!B16,'Продажи'!B39,'Продажи'!B62,'Продажи'!B85)</x:f>
      </x:c>
      <x:c r="F46" t="str">
        <x:v>Очереди</x:v>
      </x:c>
    </x:row>
    <x:row r="47">
      <x:c r="A47" t="str">
        <x:v>Коммерция первого этажа</x:v>
      </x:c>
      <x:c r="B47" s="132" t="n">
        <x:f>SUM('Вводные'!J88:J91)</x:f>
      </x:c>
      <x:c r="C47" s="132" t="n">
        <x:f>SUM('Вводные'!M88:M91)</x:f>
      </x:c>
      <x:c r="D47" s="132"/>
      <x:c r="E47" s="107" t="n">
        <x:f>SUM('Продажи'!B19,'Продажи'!B42,'Продажи'!B65,'Продажи'!B88)</x:f>
      </x:c>
      <x:c r="F47" t="str">
        <x:v>Очереди</x:v>
      </x:c>
    </x:row>
    <x:row r="48">
      <x:c r="A48" t="str">
        <x:v>Подземный паркинг</x:v>
      </x:c>
      <x:c r="B48" s="132" t="n">
        <x:f>SUM('Вводные'!K88:K91)</x:f>
      </x:c>
      <x:c r="C48" s="132"/>
      <x:c r="D48" s="132" t="n">
        <x:f>SUM('Вводные'!N88:N91)</x:f>
      </x:c>
      <x:c r="E48" s="107" t="n">
        <x:f>SUM('Продажи'!B22,'Продажи'!B45,'Продажи'!B68,'Продажи'!B91)</x:f>
      </x:c>
      <x:c r="F48" t="str">
        <x:v>Очереди</x:v>
      </x:c>
    </x:row>
    <x:row r="49">
      <x:c r="A49" t="str">
        <x:v>Кладовые</x:v>
      </x:c>
      <x:c r="B49" s="132"/>
      <x:c r="C49" s="132"/>
      <x:c r="D49" s="132" t="n">
        <x:f>SUM('Вводные'!O88:O91)</x:f>
      </x:c>
      <x:c r="E49" s="107" t="n">
        <x:f>SUM('Продажи'!B25,'Продажи'!B48,'Продажи'!B71,'Продажи'!B94)</x:f>
      </x:c>
      <x:c r="F49" t="str">
        <x:v>Очереди</x:v>
      </x:c>
    </x:row>
    <x:row r="50">
      <x:c r="A50" t="str">
        <x:v>МФОЦ / офисный центр</x:v>
      </x:c>
      <x:c r="B50" s="132" t="n">
        <x:f>'Вводные'!K25</x:f>
      </x:c>
      <x:c r="C50" s="132" t="n">
        <x:f>'Вводные'!K26</x:f>
      </x:c>
      <x:c r="D50" s="132"/>
      <x:c r="E50" s="107" t="n">
        <x:f>'ОБЪЕКТЫ'!B24</x:f>
      </x:c>
      <x:c r="F50" t="str">
        <x:v>Отдельный объект</x:v>
      </x:c>
    </x:row>
    <x:row r="51">
      <x:c r="A51" t="str">
        <x:v>Торговый центр / ОСЗ</x:v>
      </x:c>
      <x:c r="B51" s="132" t="n">
        <x:f>'Вводные'!K45</x:f>
      </x:c>
      <x:c r="C51" s="132" t="n">
        <x:f>'Вводные'!K46</x:f>
      </x:c>
      <x:c r="D51" s="132"/>
      <x:c r="E51" s="107" t="n">
        <x:f>'ОБЪЕКТЫ'!B52</x:f>
      </x:c>
      <x:c r="F51" t="str">
        <x:v>Отдельный объект</x:v>
      </x:c>
    </x:row>
    <x:row r="52">
      <x:c r="A52" t="str">
        <x:v>Наземный паркинг</x:v>
      </x:c>
      <x:c r="B52" s="132" t="n">
        <x:f>'Вводные'!K66</x:f>
      </x:c>
      <x:c r="C52" s="132"/>
      <x:c r="D52" s="132" t="n">
        <x:f>'Вводные'!K65</x:f>
      </x:c>
      <x:c r="E52" s="107" t="n">
        <x:f>'ОБЪЕКТЫ'!B80</x:f>
      </x:c>
      <x:c r="F52" t="str">
        <x:v>Отдельный объект</x:v>
      </x:c>
    </x:row>
    <x:row r="53">
      <x:c r="A53" s="348" t="str">
        <x:v>ИТОГО ПРОЕКТ</x:v>
      </x:c>
      <x:c r="B53" s="351" t="n">
        <x:f>SUM(B46:B52)</x:f>
      </x:c>
      <x:c r="C53" s="351" t="n">
        <x:f>SUM(C46:C52)</x:f>
      </x:c>
      <x:c r="D53" s="351" t="n">
        <x:f>SUM(D46:D52)</x:f>
      </x:c>
      <x:c r="E53" s="348" t="n">
        <x:f>SUM(E46:E52)</x:f>
      </x:c>
      <x:c r="F53" s="348"/>
    </x:row>
    <x:row r="55" ht="21" customHeight="1">
      <x:c r="A55" s="281" t="str">
        <x:v>УДЕЛЬНЫЕ ПОКАЗАТЕЛИ, СТАВКИ И ТЕМПЫ ПРОДАЖ</x:v>
      </x:c>
      <x:c r="B55" s="282" t="str">
        <x:v>УДЕЛЬНЫЕ ПОКАЗАТЕЛИ, СТАВКИ И ТЕМПЫ ПРОДАЖ</x:v>
      </x:c>
      <x:c r="C55" s="282" t="str">
        <x:v>УДЕЛЬНЫЕ ПОКАЗАТЕЛИ, СТАВКИ И ТЕМПЫ ПРОДАЖ</x:v>
      </x:c>
      <x:c r="D55" s="282" t="str">
        <x:v>УДЕЛЬНЫЕ ПОКАЗАТЕЛИ, СТАВКИ И ТЕМПЫ ПРОДАЖ</x:v>
      </x:c>
      <x:c r="E55" s="282" t="str">
        <x:v>УДЕЛЬНЫЕ ПОКАЗАТЕЛИ, СТАВКИ И ТЕМПЫ ПРОДАЖ</x:v>
      </x:c>
      <x:c r="F55" s="282" t="str">
        <x:v>УДЕЛЬНЫЕ ПОКАЗАТЕЛИ, СТАВКИ И ТЕМПЫ ПРОДАЖ</x:v>
      </x:c>
      <x:c r="G55" s="283" t="str">
        <x:v>УДЕЛЬНЫЕ ПОКАЗАТЕЛИ, СТАВКИ И ТЕМПЫ ПРОДАЖ</x:v>
      </x:c>
    </x:row>
    <x:row r="56">
      <x:c r="A56" s="289" t="str">
        <x:v>Показатель</x:v>
      </x:c>
      <x:c r="B56" s="289" t="str">
        <x:v>Очередь 1</x:v>
      </x:c>
      <x:c r="C56" s="289" t="str">
        <x:v>Очередь 2</x:v>
      </x:c>
      <x:c r="D56" s="289" t="str">
        <x:v>Очередь 3</x:v>
      </x:c>
      <x:c r="E56" s="289" t="inlineStr">
        <x:is>
          <x:t>Очередь 4</x:t>
        </x:is>
      </x:c>
      <x:c r="F56" s="289" t="str">
        <x:v>Проект</x:v>
      </x:c>
      <x:c r="G56" s="289" t="str">
        <x:v>Ед.</x:v>
      </x:c>
      <x:c r="H56" s="289" t="str">
        <x:v>Комментарий</x:v>
      </x:c>
    </x:row>
    <x:row r="57">
      <x:c r="A57" t="str">
        <x:v>Продаваемая площадь</x:v>
      </x:c>
      <x:c r="B57" s="132" t="n">
        <x:f>'КОНСОЛИДАТОР'!F4</x:f>
      </x:c>
      <x:c r="C57" s="132" t="n">
        <x:f>'КОНСОЛИДАТОР'!F5</x:f>
      </x:c>
      <x:c r="D57" s="132" t="n">
        <x:f>'КОНСОЛИДАТОР'!F6</x:f>
      </x:c>
      <x:c r="E57" s="132" t="n">
        <x:f>'КОНСОЛИДАТОР'!F7</x:f>
      </x:c>
      <x:c r="F57" s="132" t="n">
        <x:f>SUM(B57:$E$57)</x:f>
      </x:c>
      <x:c r="G57" t="str">
        <x:v>м²</x:v>
      </x:c>
      <x:c r="H57" s="93" t="str">
        <x:v>Площадные продукты; парковки и кладовые не смешиваются с м²</x:v>
      </x:c>
    </x:row>
    <x:row r="58">
      <x:c r="A58" t="str">
        <x:v>Общая площадь (GBA)</x:v>
      </x:c>
      <x:c r="B58" s="132" t="n">
        <x:f>SUM('Вводные'!$I$88:$K$88,IF('ОБЪЕКТЫ'!$B$8=1,'ОБЪЕКТЫ'!$B$12,0),IF('ОБЪЕКТЫ'!$B$36=1,'ОБЪЕКТЫ'!$B$40,0),IF('ОБЪЕКТЫ'!$B$64=1,'ОБЪЕКТЫ'!$B$68,0))</x:f>
      </x:c>
      <x:c r="C58" s="132" t="n">
        <x:f>SUM('Вводные'!$I$89:$K$89,IF('ОБЪЕКТЫ'!$B$8=2,'ОБЪЕКТЫ'!$B$12,0),IF('ОБЪЕКТЫ'!$B$36=2,'ОБЪЕКТЫ'!$B$40,0),IF('ОБЪЕКТЫ'!$B$64=2,'ОБЪЕКТЫ'!$B$68,0))</x:f>
      </x:c>
      <x:c r="D58" s="132" t="n">
        <x:f>SUM('Вводные'!$I$90:$K$90,IF('ОБЪЕКТЫ'!$B$8=3,'ОБЪЕКТЫ'!$B$12,0),IF('ОБЪЕКТЫ'!$B$36=3,'ОБЪЕКТЫ'!$B$40,0),IF('ОБЪЕКТЫ'!$B$64=3,'ОБЪЕКТЫ'!$B$68,0))</x:f>
      </x:c>
      <x:c r="E58" s="132" t="n">
        <x:f>SUM('Вводные'!$I$91:$K$91,IF('ОБЪЕКТЫ'!$B$8=4,'ОБЪЕКТЫ'!$B$12,0),IF('ОБЪЕКТЫ'!$B$36=4,'ОБЪЕКТЫ'!$B$40,0),IF('ОБЪЕКТЫ'!$B$64=4,'ОБЪЕКТЫ'!$B$68,0))</x:f>
      </x:c>
      <x:c r="F58" s="132" t="n">
        <x:f>SUM(B58:$E$58)</x:f>
      </x:c>
      <x:c r="G58" t="str">
        <x:v>м²</x:v>
      </x:c>
      <x:c r="H58" s="93" t="str">
        <x:v>Жилые очереди и отдельно стоящие объекты</x:v>
      </x:c>
    </x:row>
    <x:row r="59">
      <x:c r="A59" t="str">
        <x:v>Выручка площадных продуктов</x:v>
      </x:c>
      <x:c r="B59" s="107" t="n">
        <x:f>SUM('Продажи'!$B$16,'Продажи'!$B$19,IF('ОБЪЕКТЫ'!$B$8=1,'ОБЪЕКТЫ'!$B$24,0),IF('ОБЪЕКТЫ'!$B$36=1,'ОБЪЕКТЫ'!$B$52,0))</x:f>
      </x:c>
      <x:c r="C59" s="107" t="n">
        <x:f>SUM('Продажи'!$B$39,'Продажи'!$B$42,IF('ОБЪЕКТЫ'!$B$8=2,'ОБЪЕКТЫ'!$B$24,0),IF('ОБЪЕКТЫ'!$B$36=2,'ОБЪЕКТЫ'!$B$52,0))</x:f>
      </x:c>
      <x:c r="D59" s="107" t="n">
        <x:f>SUM('Продажи'!$B$62,'Продажи'!$B$65,IF('ОБЪЕКТЫ'!$B$8=3,'ОБЪЕКТЫ'!$B$24,0),IF('ОБЪЕКТЫ'!$B$36=3,'ОБЪЕКТЫ'!$B$52,0))</x:f>
      </x:c>
      <x:c r="E59" s="107" t="n">
        <x:f>SUM('Продажи'!$B$85,'Продажи'!$B$88,IF('ОБЪЕКТЫ'!$B$8=4,'ОБЪЕКТЫ'!$B$24,0),IF('ОБЪЕКТЫ'!$B$36=4,'ОБЪЕКТЫ'!$B$52,0))</x:f>
      </x:c>
      <x:c r="F59" s="107" t="n">
        <x:f>SUM(B59:$E$59)</x:f>
      </x:c>
      <x:c r="G59" t="str">
        <x:v>млн ₽</x:v>
      </x:c>
      <x:c r="H59" s="93" t="str">
        <x:v>Квартиры, коммерция, офисы и ТЦ; без парковок и кладовых</x:v>
      </x:c>
    </x:row>
    <x:row r="60">
      <x:c r="A60" t="str">
        <x:v>Средняя цена реализации</x:v>
      </x:c>
      <x:c r="B60" s="107" t="n">
        <x:f>IFERROR(B59*1000/B57,0)</x:f>
      </x:c>
      <x:c r="C60" s="107" t="n">
        <x:f>IFERROR(C59*1000/C57,0)</x:f>
      </x:c>
      <x:c r="D60" s="107" t="n">
        <x:f>IFERROR(D59*1000/D57,0)</x:f>
      </x:c>
      <x:c r="E60" s="107" t="n">
        <x:f>IFERROR(E59*1000/E57,0)</x:f>
      </x:c>
      <x:c r="F60" s="107" t="n">
        <x:f>IFERROR(F59*1000/F57,0)</x:f>
      </x:c>
      <x:c r="G60" t="str">
        <x:v>тыс. ₽/м²</x:v>
      </x:c>
      <x:c r="H60" s="93" t="str">
        <x:v>Выручка площадных продуктов / продаваемая площадь</x:v>
      </x:c>
    </x:row>
    <x:row r="61">
      <x:c r="A61" t="inlineStr">
        <x:is>
          <x:t>в т.ч. квартиры</x:t>
        </x:is>
      </x:c>
      <x:c r="B61" s="107">
        <x:f>IFERROR('Продажи'!B16*1000/'Вводные'!$L$88,0)</x:f>
      </x:c>
      <x:c r="C61" s="107">
        <x:f>IFERROR('Продажи'!B39*1000/'Вводные'!$L$89,0)</x:f>
      </x:c>
      <x:c r="D61" s="107">
        <x:f>IFERROR('Продажи'!B62*1000/'Вводные'!$L$90,0)</x:f>
      </x:c>
      <x:c r="E61" s="107">
        <x:f>IFERROR('Продажи'!B85*1000/'Вводные'!$L$91,0)</x:f>
      </x:c>
      <x:c r="F61" s="107">
        <x:f>IFERROR(SUM('Продажи'!B16,'Продажи'!B39,'Продажи'!B62,'Продажи'!B85)*1000/SUM('Вводные'!$L$88:$L$91),0)</x:f>
      </x:c>
      <x:c r="G61" t="inlineStr">
        <x:is>
          <x:t>тыс. ₽/м²</x:t>
        </x:is>
      </x:c>
      <x:c r="H61" t="inlineStr">
        <x:is>
          <x:t>Только квартиры на м² их продаваемой — колонка «в т.ч. квартиры» PDF-отчёта</x:t>
        </x:is>
      </x:c>
    </x:row>
    <x:row r="62">
      <x:c r="A62" t="str">
        <x:v>CAPEX на м² GBA</x:v>
      </x:c>
      <x:c r="B62" s="107" t="n">
        <x:f>IFERROR('CF_1'!$B$68*1000/B58,0)</x:f>
      </x:c>
      <x:c r="C62" s="107" t="n">
        <x:f>IFERROR('CF_2'!$B$68*1000/C58,0)</x:f>
      </x:c>
      <x:c r="D62" s="107" t="n">
        <x:f>IFERROR('CF_3'!$B$68*1000/D58,0)</x:f>
      </x:c>
      <x:c r="E62" s="107" t="n">
        <x:f>IFERROR('CF_4'!$B$68*1000/E58,0)</x:f>
      </x:c>
      <x:c r="F62" s="107" t="n">
        <x:f>IFERROR($B$6*1000/F58,0)</x:f>
      </x:c>
      <x:c r="G62" t="str">
        <x:v>тыс. ₽/м²</x:v>
      </x:c>
      <x:c r="H62" s="93" t="str">
        <x:v>CAPEX очереди / общая площадь</x:v>
      </x:c>
    </x:row>
    <x:row r="63">
      <x:c r="A63" t="str">
        <x:v>Полные расходы на м² продаж</x:v>
      </x:c>
      <x:c r="B63" s="107" t="n">
        <x:f>IFERROR(SUM('CF_1'!$B$68,'CF_1'!$B$69,'CF_1'!$B$74,'CF_1'!$B$76)*1000/B57,0)</x:f>
      </x:c>
      <x:c r="C63" s="107" t="n">
        <x:f>IFERROR(SUM('CF_2'!$B$68,'CF_2'!$B$69,'CF_2'!$B$74,'CF_2'!$B$76)*1000/C57,0)</x:f>
      </x:c>
      <x:c r="D63" s="107" t="n">
        <x:f>IFERROR(SUM('CF_3'!$B$68,'CF_3'!$B$69,'CF_3'!$B$74,'CF_3'!$B$76)*1000/D57,0)</x:f>
      </x:c>
      <x:c r="E63" s="107" t="n">
        <x:f>IFERROR(SUM('CF_4'!$B$68,'CF_4'!$B$69,'CF_4'!$B$74,'CF_4'!$B$76)*1000/E57,0)</x:f>
      </x:c>
      <x:c r="F63" s="107" t="n">
        <x:f>IFERROR(SUM($B$6,$B$7,$B$9,$B$11)*1000/F57,0)</x:f>
      </x:c>
      <x:c r="G63" t="str">
        <x:v>тыс. ₽/м²</x:v>
      </x:c>
      <x:c r="H63" s="93" t="str">
        <x:v>CAPEX, коммерческие расходы, финансирование и налог</x:v>
      </x:c>
    </x:row>
    <x:row r="64">
      <x:c r="A64" t="str">
        <x:v>Цена безубыточности площади</x:v>
      </x:c>
      <x:c r="B64" s="107" t="n">
        <x:f>IFERROR(MAX(0,(SUM('CF_1'!$B$68,'CF_1'!$B$69,'CF_1'!$B$74,'CF_1'!$B$76)-('CF_1'!$B$67-B59))*1000/B57),0)</x:f>
      </x:c>
      <x:c r="C64" s="107" t="n">
        <x:f>IFERROR(MAX(0,(SUM('CF_2'!$B$68,'CF_2'!$B$69,'CF_2'!$B$74,'CF_2'!$B$76)-('CF_2'!$B$67-C59))*1000/C57),0)</x:f>
      </x:c>
      <x:c r="D64" s="107" t="n">
        <x:f>IFERROR(MAX(0,(SUM('CF_3'!$B$68,'CF_3'!$B$69,'CF_3'!$B$74,'CF_3'!$B$76)-('CF_3'!$B$67-D59))*1000/D57),0)</x:f>
      </x:c>
      <x:c r="E64" s="107" t="n">
        <x:f>IFERROR(MAX(0,(SUM('CF_4'!$B$68,'CF_4'!$B$69,'CF_4'!$B$74,'CF_4'!$B$76)-('CF_4'!$B$67-E59))*1000/E57),0)</x:f>
      </x:c>
      <x:c r="F64" s="107" t="n">
        <x:f>IFERROR(MAX(0,(SUM($B$6,$B$7,$B$9,$B$11)-($B$5-F59))*1000/F57),0)</x:f>
      </x:c>
      <x:c r="G64" t="str">
        <x:v>тыс. ₽/м²</x:v>
      </x:c>
      <x:c r="H64" s="93" t="str">
        <x:v>Полные расходы минус выручка штучных продуктов</x:v>
      </x:c>
    </x:row>
    <x:row r="65">
      <x:c r="A65" t="str">
        <x:v>Темп продаж до РВЭ — площадь</x:v>
      </x:c>
      <x:c r="B65" s="107" t="n">
        <x:f>IFERROR(SUMPRODUCT((('Продажи'!$D$14:$DS$14+'Продажи'!$D$17:$DS$17)*'Продажи'!$D$9:$DS$9)+--('ОБЪЕКТЫ'!$B$8=1)*'ОБЪЕКТЫ'!$D$22:$DS$22*'ОБЪЕКТЫ'!$D$17:$DS$17+--('ОБЪЕКТЫ'!$B$36=1)*'ОБЪЕКТЫ'!$D$50:$DS$50*'ОБЪЕКТЫ'!$D$45:$DS$45)/SUMPRODUCT(--(((('Продажи'!$D$14:$DS$14+'Продажи'!$D$17:$DS$17)*'Продажи'!$D$9:$DS$9)+--('ОБЪЕКТЫ'!$B$8=1)*'ОБЪЕКТЫ'!$D$22:$DS$22*'ОБЪЕКТЫ'!$D$17:$DS$17+--('ОБЪЕКТЫ'!$B$36=1)*'ОБЪЕКТЫ'!$D$50:$DS$50*'ОБЪЕКТЫ'!$D$45:$DS$45)&gt;0)),0)</x:f>
      </x:c>
      <x:c r="C65" s="107" t="n">
        <x:f>IFERROR(SUMPRODUCT((('Продажи'!$D$37:$DS$37+'Продажи'!$D$40:$DS$40)*'Продажи'!$D$32:$DS$32)+--('ОБЪЕКТЫ'!$B$8=2)*'ОБЪЕКТЫ'!$D$22:$DS$22*'ОБЪЕКТЫ'!$D$17:$DS$17+--('ОБЪЕКТЫ'!$B$36=2)*'ОБЪЕКТЫ'!$D$50:$DS$50*'ОБЪЕКТЫ'!$D$45:$DS$45)/SUMPRODUCT(--(((('Продажи'!$D$37:$DS$37+'Продажи'!$D$40:$DS$40)*'Продажи'!$D$32:$DS$32)+--('ОБЪЕКТЫ'!$B$8=2)*'ОБЪЕКТЫ'!$D$22:$DS$22*'ОБЪЕКТЫ'!$D$17:$DS$17+--('ОБЪЕКТЫ'!$B$36=2)*'ОБЪЕКТЫ'!$D$50:$DS$50*'ОБЪЕКТЫ'!$D$45:$DS$45)&gt;0)),0)</x:f>
      </x:c>
      <x:c r="D65" s="107" t="n">
        <x:f>IFERROR(SUMPRODUCT((('Продажи'!$D$60:$DS$60+'Продажи'!$D$63:$DS$63)*'Продажи'!$D$55:$DS$55)+--('ОБЪЕКТЫ'!$B$8=3)*'ОБЪЕКТЫ'!$D$22:$DS$22*'ОБЪЕКТЫ'!$D$17:$DS$17+--('ОБЪЕКТЫ'!$B$36=3)*'ОБЪЕКТЫ'!$D$50:$DS$50*'ОБЪЕКТЫ'!$D$45:$DS$45)/SUMPRODUCT(--(((('Продажи'!$D$60:$DS$60+'Продажи'!$D$63:$DS$63)*'Продажи'!$D$55:$DS$55)+--('ОБЪЕКТЫ'!$B$8=3)*'ОБЪЕКТЫ'!$D$22:$DS$22*'ОБЪЕКТЫ'!$D$17:$DS$17+--('ОБЪЕКТЫ'!$B$36=3)*'ОБЪЕКТЫ'!$D$50:$DS$50*'ОБЪЕКТЫ'!$D$45:$DS$45)&gt;0)),0)</x:f>
      </x:c>
      <x:c r="E65" s="107" t="n">
        <x:f>IFERROR(SUMPRODUCT((('Продажи'!$D$83:$DS$83+'Продажи'!$D$86:$DS$86)*'Продажи'!$D$78:$DS$78)+--('ОБЪЕКТЫ'!$B$8=4)*'ОБЪЕКТЫ'!$D$22:$DS$22*'ОБЪЕКТЫ'!$D$17:$DS$17+--('ОБЪЕКТЫ'!$B$36=4)*'ОБЪЕКТЫ'!$D$50:$DS$50*'ОБЪЕКТЫ'!$D$45:$DS$45)/SUMPRODUCT(--(((('Продажи'!$D$83:$DS$83+'Продажи'!$D$86:$DS$86)*'Продажи'!$D$78:$DS$78)+--('ОБЪЕКТЫ'!$B$8=4)*'ОБЪЕКТЫ'!$D$22:$DS$22*'ОБЪЕКТЫ'!$D$17:$DS$17+--('ОБЪЕКТЫ'!$B$36=4)*'ОБЪЕКТЫ'!$D$50:$DS$50*'ОБЪЕКТЫ'!$D$45:$DS$45)&gt;0)),0)</x:f>
      </x:c>
      <x:c r="F65" s="107" t="n">
        <x:f>IFERROR(SUMPRODUCT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/SUMPRODUCT(--(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&gt;0)),0)</x:f>
      </x:c>
      <x:c r="G65" t="str">
        <x:v>м²/мес.</x:v>
      </x:c>
      <x:c r="H65" s="93" t="str">
        <x:v>Средний фактический объём в активные месяцы</x:v>
      </x:c>
    </x:row>
    <x:row r="66">
      <x:c r="A66" t="str">
        <x:v>Темп продаж после РВЭ — площадь</x:v>
      </x:c>
      <x:c r="B66" s="107" t="n">
        <x:f>IFERROR(SUMPRODUCT((('Продажи'!$D$14:$DS$14+'Продажи'!$D$17:$DS$17)*'Продажи'!$D$12:$DS$12)+--('ОБЪЕКТЫ'!$B$8=1)*'ОБЪЕКТЫ'!$D$22:$DS$22*'ОБЪЕКТЫ'!$D$20:$DS$20+--('ОБЪЕКТЫ'!$B$36=1)*'ОБЪЕКТЫ'!$D$50:$DS$50*'ОБЪЕКТЫ'!$D$48:$DS$48)/SUMPRODUCT(--(((('Продажи'!$D$14:$DS$14+'Продажи'!$D$17:$DS$17)*'Продажи'!$D$12:$DS$12)+--('ОБЪЕКТЫ'!$B$8=1)*'ОБЪЕКТЫ'!$D$22:$DS$22*'ОБЪЕКТЫ'!$D$20:$DS$20+--('ОБЪЕКТЫ'!$B$36=1)*'ОБЪЕКТЫ'!$D$50:$DS$50*'ОБЪЕКТЫ'!$D$48:$DS$48)&gt;0)),0)</x:f>
      </x:c>
      <x:c r="C66" s="107" t="n">
        <x:f>IFERROR(SUMPRODUCT((('Продажи'!$D$37:$DS$37+'Продажи'!$D$40:$DS$40)*'Продажи'!$D$35:$DS$35)+--('ОБЪЕКТЫ'!$B$8=2)*'ОБЪЕКТЫ'!$D$22:$DS$22*'ОБЪЕКТЫ'!$D$20:$DS$20+--('ОБЪЕКТЫ'!$B$36=2)*'ОБЪЕКТЫ'!$D$50:$DS$50*'ОБЪЕКТЫ'!$D$48:$DS$48)/SUMPRODUCT(--(((('Продажи'!$D$37:$DS$37+'Продажи'!$D$40:$DS$40)*'Продажи'!$D$35:$DS$35)+--('ОБЪЕКТЫ'!$B$8=2)*'ОБЪЕКТЫ'!$D$22:$DS$22*'ОБЪЕКТЫ'!$D$20:$DS$20+--('ОБЪЕКТЫ'!$B$36=2)*'ОБЪЕКТЫ'!$D$50:$DS$50*'ОБЪЕКТЫ'!$D$48:$DS$48)&gt;0)),0)</x:f>
      </x:c>
      <x:c r="D66" s="107" t="n">
        <x:f>IFERROR(SUMPRODUCT((('Продажи'!$D$60:$DS$60+'Продажи'!$D$63:$DS$63)*'Продажи'!$D$58:$DS$58)+--('ОБЪЕКТЫ'!$B$8=3)*'ОБЪЕКТЫ'!$D$22:$DS$22*'ОБЪЕКТЫ'!$D$20:$DS$20+--('ОБЪЕКТЫ'!$B$36=3)*'ОБЪЕКТЫ'!$D$50:$DS$50*'ОБЪЕКТЫ'!$D$48:$DS$48)/SUMPRODUCT(--(((('Продажи'!$D$60:$DS$60+'Продажи'!$D$63:$DS$63)*'Продажи'!$D$58:$DS$58)+--('ОБЪЕКТЫ'!$B$8=3)*'ОБЪЕКТЫ'!$D$22:$DS$22*'ОБЪЕКТЫ'!$D$20:$DS$20+--('ОБЪЕКТЫ'!$B$36=3)*'ОБЪЕКТЫ'!$D$50:$DS$50*'ОБЪЕКТЫ'!$D$48:$DS$48)&gt;0)),0)</x:f>
      </x:c>
      <x:c r="E66" s="107" t="n">
        <x:f>IFERROR(SUMPRODUCT((('Продажи'!$D$83:$DS$83+'Продажи'!$D$86:$DS$86)*'Продажи'!$D$81:$DS$81)+--('ОБЪЕКТЫ'!$B$8=4)*'ОБЪЕКТЫ'!$D$22:$DS$22*'ОБЪЕКТЫ'!$D$20:$DS$20+--('ОБЪЕКТЫ'!$B$36=4)*'ОБЪЕКТЫ'!$D$50:$DS$50*'ОБЪЕКТЫ'!$D$48:$DS$48)/SUMPRODUCT(--(((('Продажи'!$D$83:$DS$83+'Продажи'!$D$86:$DS$86)*'Продажи'!$D$81:$DS$81)+--('ОБЪЕКТЫ'!$B$8=4)*'ОБЪЕКТЫ'!$D$22:$DS$22*'ОБЪЕКТЫ'!$D$20:$DS$20+--('ОБЪЕКТЫ'!$B$36=4)*'ОБЪЕКТЫ'!$D$50:$DS$50*'ОБЪЕКТЫ'!$D$48:$DS$48)&gt;0)),0)</x:f>
      </x:c>
      <x:c r="F66" s="107" t="n">
        <x:f>IFERROR(SUMPRODUCT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/SUMPRODUCT(--(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&gt;0)),0)</x:f>
      </x:c>
      <x:c r="G66" t="str">
        <x:v>м²/мес.</x:v>
      </x:c>
      <x:c r="H66" s="93" t="str">
        <x:v>Средний фактический объём в активные месяцы</x:v>
      </x:c>
    </x:row>
    <x:row r="67">
      <x:c r="A67" t="str">
        <x:v>Темп продаж всего — площадь</x:v>
      </x:c>
      <x:c r="B67" s="107" t="n">
        <x:f>IFERROR(SUMPRODUCT(('Продажи'!$D$14:$DS$14+'Продажи'!$D$17:$DS$17)+--('ОБЪЕКТЫ'!$B$8=1)*'ОБЪЕКТЫ'!$D$22:$DS$22+--('ОБЪЕКТЫ'!$B$36=1)*'ОБЪЕКТЫ'!$D$50:$DS$50)/SUMPRODUCT(--((('Продажи'!$D$14:$DS$14+'Продажи'!$D$17:$DS$17)+--('ОБЪЕКТЫ'!$B$8=1)*'ОБЪЕКТЫ'!$D$22:$DS$22+--('ОБЪЕКТЫ'!$B$36=1)*'ОБЪЕКТЫ'!$D$50:$DS$50)&gt;0)),0)</x:f>
      </x:c>
      <x:c r="C67" s="107" t="n">
        <x:f>IFERROR(SUMPRODUCT(('Продажи'!$D$37:$DS$37+'Продажи'!$D$40:$DS$40)+--('ОБЪЕКТЫ'!$B$8=2)*'ОБЪЕКТЫ'!$D$22:$DS$22+--('ОБЪЕКТЫ'!$B$36=2)*'ОБЪЕКТЫ'!$D$50:$DS$50)/SUMPRODUCT(--((('Продажи'!$D$37:$DS$37+'Продажи'!$D$40:$DS$40)+--('ОБЪЕКТЫ'!$B$8=2)*'ОБЪЕКТЫ'!$D$22:$DS$22+--('ОБЪЕКТЫ'!$B$36=2)*'ОБЪЕКТЫ'!$D$50:$DS$50)&gt;0)),0)</x:f>
      </x:c>
      <x:c r="D67" s="107" t="n">
        <x:f>IFERROR(SUMPRODUCT(('Продажи'!$D$60:$DS$60+'Продажи'!$D$63:$DS$63)+--('ОБЪЕКТЫ'!$B$8=3)*'ОБЪЕКТЫ'!$D$22:$DS$22+--('ОБЪЕКТЫ'!$B$36=3)*'ОБЪЕКТЫ'!$D$50:$DS$50)/SUMPRODUCT(--((('Продажи'!$D$60:$DS$60+'Продажи'!$D$63:$DS$63)+--('ОБЪЕКТЫ'!$B$8=3)*'ОБЪЕКТЫ'!$D$22:$DS$22+--('ОБЪЕКТЫ'!$B$36=3)*'ОБЪЕКТЫ'!$D$50:$DS$50)&gt;0)),0)</x:f>
      </x:c>
      <x:c r="E67" s="107" t="n">
        <x:f>IFERROR(SUMPRODUCT(('Продажи'!$D$83:$DS$83+'Продажи'!$D$86:$DS$86)+--('ОБЪЕКТЫ'!$B$8=4)*'ОБЪЕКТЫ'!$D$22:$DS$22+--('ОБЪЕКТЫ'!$B$36=4)*'ОБЪЕКТЫ'!$D$50:$DS$50)/SUMPRODUCT(--((('Продажи'!$D$83:$DS$83+'Продажи'!$D$86:$DS$86)+--('ОБЪЕКТЫ'!$B$8=4)*'ОБЪЕКТЫ'!$D$22:$DS$22+--('ОБЪЕКТЫ'!$B$36=4)*'ОБЪЕКТЫ'!$D$50:$DS$50)&gt;0)),0)</x:f>
      </x:c>
      <x:c r="F67" s="107" t="n">
        <x:f>IFERROR(SUMPRODUCT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/SUMPRODUCT(--(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&gt;0)),0)</x:f>
      </x:c>
      <x:c r="G67" t="str">
        <x:v>м²/мес.</x:v>
      </x:c>
      <x:c r="H67" s="93" t="str">
        <x:v>Средний фактический объём по полному сроку продаж</x:v>
      </x:c>
    </x:row>
    <x:row r="68">
      <x:c r="A68" t="str">
        <x:v>Темп продаж до РВЭ — штуки</x:v>
      </x:c>
      <x:c r="B68" s="107" t="n">
        <x:f>IFERROR(SUMPRODUCT((('Продажи'!$D$20:$DS$20+'Продажи'!$D$23:$DS$23)*'Продажи'!$D$9:$DS$9)+--('ОБЪЕКТЫ'!$B$64=1)*'ОБЪЕКТЫ'!$D$78:$DS$79*'ОБЪЕКТЫ'!$D$73:$DS$74)/SUMPRODUCT(--(((('Продажи'!$D$20:$DS$20+'Продажи'!$D$23:$DS$23)*'Продажи'!$D$9:$DS$9)+--('ОБЪЕКТЫ'!$B$64=1)*'ОБЪЕКТЫ'!$D$78:$DS$79*'ОБЪЕКТЫ'!$D$73:$DS$74)&gt;0)),0)</x:f>
      </x:c>
      <x:c r="C68" s="107" t="n">
        <x:f>IFERROR(SUMPRODUCT((('Продажи'!$D$43:$DS$43+'Продажи'!$D$46:$DS$46)*'Продажи'!$D$32:$DS$32)+--('ОБЪЕКТЫ'!$B$64=2)*'ОБЪЕКТЫ'!$D$78:$DS$79*'ОБЪЕКТЫ'!$D$73:$DS$74)/SUMPRODUCT(--(((('Продажи'!$D$43:$DS$43+'Продажи'!$D$46:$DS$46)*'Продажи'!$D$32:$DS$32)+--('ОБЪЕКТЫ'!$B$64=2)*'ОБЪЕКТЫ'!$D$78:$DS$79*'ОБЪЕКТЫ'!$D$73:$DS$74)&gt;0)),0)</x:f>
      </x:c>
      <x:c r="D68" s="107" t="n">
        <x:f>IFERROR(SUMPRODUCT((('Продажи'!$D$66:$DS$66+'Продажи'!$D$69:$DS$69)*'Продажи'!$D$55:$DS$55)+--('ОБЪЕКТЫ'!$B$64=3)*'ОБЪЕКТЫ'!$D$78:$DS$79*'ОБЪЕКТЫ'!$D$73:$DS$74)/SUMPRODUCT(--(((('Продажи'!$D$66:$DS$66+'Продажи'!$D$69:$DS$69)*'Продажи'!$D$55:$DS$55)+--('ОБЪЕКТЫ'!$B$64=3)*'ОБЪЕКТЫ'!$D$78:$DS$79*'ОБЪЕКТЫ'!$D$73:$DS$74)&gt;0)),0)</x:f>
      </x:c>
      <x:c r="E68" s="107" t="n">
        <x:f>IFERROR(SUMPRODUCT((('Продажи'!$D$89:$DS$89+'Продажи'!$D$92:$DS$92)*'Продажи'!$D$78:$DS$78)+--('ОБЪЕКТЫ'!$B$64=4)*'ОБЪЕКТЫ'!$D$78:$DS$79*'ОБЪЕКТЫ'!$D$73:$DS$74)/SUMPRODUCT(--(((('Продажи'!$D$89:$DS$89+'Продажи'!$D$92:$DS$92)*'Продажи'!$D$78:$DS$78)+--('ОБЪЕКТЫ'!$B$64=4)*'ОБЪЕКТЫ'!$D$78:$DS$79*'ОБЪЕКТЫ'!$D$73:$DS$74)&gt;0)),0)</x:f>
      </x:c>
      <x:c r="F68" s="107" t="n">
        <x:f>IFERROR(SUMPRODUCT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/SUMPRODUCT(--(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&gt;0)),0)</x:f>
      </x:c>
      <x:c r="G68" t="str">
        <x:v>шт./мес.</x:v>
      </x:c>
      <x:c r="H68" s="93" t="str">
        <x:v>Паркинги и кладовые</x:v>
      </x:c>
    </x:row>
    <x:row r="69">
      <x:c r="A69" t="str">
        <x:v>Темп продаж после РВЭ — штуки</x:v>
      </x:c>
      <x:c r="B69" s="107" t="n">
        <x:f>IFERROR(SUMPRODUCT((('Продажи'!$D$20:$DS$20+'Продажи'!$D$23:$DS$23)*'Продажи'!$D$12:$DS$12)+--('ОБЪЕКТЫ'!$B$64=1)*'ОБЪЕКТЫ'!$D$78:$DS$79*'ОБЪЕКТЫ'!$D$76:$DS$77)/SUMPRODUCT(--(((('Продажи'!$D$20:$DS$20+'Продажи'!$D$23:$DS$23)*'Продажи'!$D$12:$DS$12)+--('ОБЪЕКТЫ'!$B$64=1)*'ОБЪЕКТЫ'!$D$78:$DS$79*'ОБЪЕКТЫ'!$D$76:$DS$77)&gt;0)),0)</x:f>
      </x:c>
      <x:c r="C69" s="107" t="n">
        <x:f>IFERROR(SUMPRODUCT((('Продажи'!$D$43:$DS$43+'Продажи'!$D$46:$DS$46)*'Продажи'!$D$35:$DS$35)+--('ОБЪЕКТЫ'!$B$64=2)*'ОБЪЕКТЫ'!$D$78:$DS$79*'ОБЪЕКТЫ'!$D$76:$DS$77)/SUMPRODUCT(--(((('Продажи'!$D$43:$DS$43+'Продажи'!$D$46:$DS$46)*'Продажи'!$D$35:$DS$35)+--('ОБЪЕКТЫ'!$B$64=2)*'ОБЪЕКТЫ'!$D$78:$DS$79*'ОБЪЕКТЫ'!$D$76:$DS$77)&gt;0)),0)</x:f>
      </x:c>
      <x:c r="D69" s="107" t="n">
        <x:f>IFERROR(SUMPRODUCT((('Продажи'!$D$66:$DS$66+'Продажи'!$D$69:$DS$69)*'Продажи'!$D$58:$DS$58)+--('ОБЪЕКТЫ'!$B$64=3)*'ОБЪЕКТЫ'!$D$78:$DS$79*'ОБЪЕКТЫ'!$D$76:$DS$77)/SUMPRODUCT(--(((('Продажи'!$D$66:$DS$66+'Продажи'!$D$69:$DS$69)*'Продажи'!$D$58:$DS$58)+--('ОБЪЕКТЫ'!$B$64=3)*'ОБЪЕКТЫ'!$D$78:$DS$79*'ОБЪЕКТЫ'!$D$76:$DS$77)&gt;0)),0)</x:f>
      </x:c>
      <x:c r="E69" s="107" t="n">
        <x:f>IFERROR(SUMPRODUCT((('Продажи'!$D$89:$DS$89+'Продажи'!$D$92:$DS$92)*'Продажи'!$D$81:$DS$81)+--('ОБЪЕКТЫ'!$B$64=4)*'ОБЪЕКТЫ'!$D$78:$DS$79*'ОБЪЕКТЫ'!$D$76:$DS$77)/SUMPRODUCT(--(((('Продажи'!$D$89:$DS$89+'Продажи'!$D$92:$DS$92)*'Продажи'!$D$81:$DS$81)+--('ОБЪЕКТЫ'!$B$64=4)*'ОБЪЕКТЫ'!$D$78:$DS$79*'ОБЪЕКТЫ'!$D$76:$DS$77)&gt;0)),0)</x:f>
      </x:c>
      <x:c r="F69" s="107" t="n">
        <x:f>IFERROR(SUMPRODUCT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/SUMPRODUCT(--(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&gt;0)),0)</x:f>
      </x:c>
      <x:c r="G69" t="str">
        <x:v>шт./мес.</x:v>
      </x:c>
      <x:c r="H69" s="93" t="str">
        <x:v>Паркинги и кладовые</x:v>
      </x:c>
    </x:row>
    <x:row r="70">
      <x:c r="A70" t="str">
        <x:v>Темп продаж всего — штуки</x:v>
      </x:c>
      <x:c r="B70" s="107" t="n">
        <x:f>IFERROR(SUMPRODUCT(('Продажи'!$D$20:$DS$20+'Продажи'!$D$23:$DS$23)+--('ОБЪЕКТЫ'!$B$64=1)*'ОБЪЕКТЫ'!$D$78:$DS$79)/SUMPRODUCT(--((('Продажи'!$D$20:$DS$20+'Продажи'!$D$23:$DS$23)+--('ОБЪЕКТЫ'!$B$64=1)*'ОБЪЕКТЫ'!$D$78:$DS$79)&gt;0)),0)</x:f>
      </x:c>
      <x:c r="C70" s="107" t="n">
        <x:f>IFERROR(SUMPRODUCT(('Продажи'!$D$43:$DS$43+'Продажи'!$D$46:$DS$46)+--('ОБЪЕКТЫ'!$B$64=2)*'ОБЪЕКТЫ'!$D$78:$DS$79)/SUMPRODUCT(--((('Продажи'!$D$43:$DS$43+'Продажи'!$D$46:$DS$46)+--('ОБЪЕКТЫ'!$B$64=2)*'ОБЪЕКТЫ'!$D$78:$DS$79)&gt;0)),0)</x:f>
      </x:c>
      <x:c r="D70" s="107" t="n">
        <x:f>IFERROR(SUMPRODUCT(('Продажи'!$D$66:$DS$66+'Продажи'!$D$69:$DS$69)+--('ОБЪЕКТЫ'!$B$64=3)*'ОБЪЕКТЫ'!$D$78:$DS$79)/SUMPRODUCT(--((('Продажи'!$D$66:$DS$66+'Продажи'!$D$69:$DS$69)+--('ОБЪЕКТЫ'!$B$64=3)*'ОБЪЕКТЫ'!$D$78:$DS$79)&gt;0)),0)</x:f>
      </x:c>
      <x:c r="E70" s="107" t="n">
        <x:f>IFERROR(SUMPRODUCT(('Продажи'!$D$89:$DS$89+'Продажи'!$D$92:$DS$92)+--('ОБЪЕКТЫ'!$B$64=4)*'ОБЪЕКТЫ'!$D$78:$DS$79)/SUMPRODUCT(--((('Продажи'!$D$89:$DS$89+'Продажи'!$D$92:$DS$92)+--('ОБЪЕКТЫ'!$B$64=4)*'ОБЪЕКТЫ'!$D$78:$DS$79)&gt;0)),0)</x:f>
      </x:c>
      <x:c r="F70" s="107" t="n">
        <x:f>IFERROR(SUMPRODUCT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/SUMPRODUCT(--(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&gt;0)),0)</x:f>
      </x:c>
      <x:c r="G70" t="str">
        <x:v>шт./мес.</x:v>
      </x:c>
      <x:c r="H70" s="93" t="str">
        <x:v>Паркинги и кладовые</x:v>
      </x:c>
    </x:row>
    <x:row r="71">
      <x:c r="A71" t="str">
        <x:v>Средняя ставка ПФ без эффекта эскроу</x:v>
      </x:c>
      <x:c r="B71" s="352" t="n">
        <x:f>IFERROR(SUMPRODUCT('CF_1'!$D$38:$DS$38,'CF_1'!$D$39:$DS$39)/SUM('CF_1'!$D$38:$DS$38),0)</x:f>
      </x:c>
      <x:c r="C71" s="352" t="n">
        <x:f>IFERROR(SUMPRODUCT('CF_2'!$D$38:$DS$38,'CF_2'!$D$39:$DS$39)/SUM('CF_2'!$D$38:$DS$38),0)</x:f>
      </x:c>
      <x:c r="D71" s="352" t="n">
        <x:f>IFERROR(SUMPRODUCT('CF_3'!$D$38:$DS$38,'CF_3'!$D$39:$DS$39)/SUM('CF_3'!$D$38:$DS$38),0)</x:f>
      </x:c>
      <x:c r="E71" s="352" t="n">
        <x:f>IFERROR(SUMPRODUCT('CF_4'!$D$38:$DS$38,'CF_4'!$D$39:$DS$39)/SUM('CF_4'!$D$38:$DS$38),0)</x:f>
      </x:c>
      <x:c r="F71" s="352" t="n">
        <x:f>IFERROR((SUMPRODUCT('CF_1'!$D$38:$DS$38,'CF_1'!$D$39:$DS$39)+SUMPRODUCT('CF_2'!$D$38:$DS$38,'CF_2'!$D$39:$DS$39)+SUMPRODUCT('CF_3'!$D$38:$DS$38,'CF_3'!$D$39:$DS$39)+SUMPRODUCT('CF_4'!$D$38:$DS$38,'CF_4'!$D$39:$DS$39))/(SUM('CF_1'!$D$38:$DS$38)+SUM('CF_2'!$D$38:$DS$38)+SUM('CF_3'!$D$38:$DS$38,'CF_4'!$D$38:$DS$38)),0)</x:f>
      </x:c>
      <x:c r="G71" t="str">
        <x:v>% год</x:v>
      </x:c>
      <x:c r="H71" s="93" t="str">
        <x:v>Средневзвешенная по остатку ПФ</x:v>
      </x:c>
    </x:row>
    <x:row r="72">
      <x:c r="A72" t="str">
        <x:v>Средняя фактическая ставка ПФ</x:v>
      </x:c>
      <x:c r="B72" s="352" t="n">
        <x:f>IFERROR(SUMPRODUCT('CF_1'!$D$38:$DS$38,'CF_1'!$D$41:$DS$41)/SUM('CF_1'!$D$38:$DS$38),0)</x:f>
      </x:c>
      <x:c r="C72" s="352" t="n">
        <x:f>IFERROR(SUMPRODUCT('CF_2'!$D$38:$DS$38,'CF_2'!$D$41:$DS$41)/SUM('CF_2'!$D$38:$DS$38),0)</x:f>
      </x:c>
      <x:c r="D72" s="352" t="n">
        <x:f>IFERROR(SUMPRODUCT('CF_3'!$D$38:$DS$38,'CF_3'!$D$41:$DS$41)/SUM('CF_3'!$D$38:$DS$38),0)</x:f>
      </x:c>
      <x:c r="E72" s="352" t="n">
        <x:f>IFERROR(SUMPRODUCT('CF_4'!$D$38:$DS$38,'CF_4'!$D$41:$DS$41)/SUM('CF_4'!$D$38:$DS$38),0)</x:f>
      </x:c>
      <x:c r="F72" s="352" t="n">
        <x:f>IFERROR((SUMPRODUCT('CF_1'!$D$38:$DS$38,'CF_1'!$D$41:$DS$41)+SUMPRODUCT('CF_2'!$D$38:$DS$38,'CF_2'!$D$41:$DS$41)+SUMPRODUCT('CF_3'!$D$38:$DS$38,'CF_3'!$D$41:$DS$41)+SUMPRODUCT('CF_4'!$D$38:$DS$38,'CF_4'!$D$41:$DS$41))/(SUM('CF_1'!$D$38:$DS$38)+SUM('CF_2'!$D$38:$DS$38)+SUM('CF_3'!$D$38:$DS$38,'CF_4'!$D$38:$DS$38)),0)</x:f>
      </x:c>
      <x:c r="G72" t="str">
        <x:v>% год</x:v>
      </x:c>
      <x:c r="H72" s="93" t="str">
        <x:v>Средневзвешенная по остатку ПФ после эффекта эскроу</x:v>
      </x:c>
    </x:row>
    <x:row r="73">
      <x:c r="A73" t="inlineStr">
        <x:is>
          <x:t>Выручка вся на м² прод. — как в PDF-отчёте</x:t>
        </x:is>
      </x:c>
      <x:c r="B73">
        <x:f>IFERROR('КОНСОЛИДАТОР'!G4*1000/B57,0)</x:f>
      </x:c>
      <x:c r="C73">
        <x:f>IFERROR('КОНСОЛИДАТОР'!G5*1000/C57,0)</x:f>
      </x:c>
      <x:c r="D73">
        <x:f>IFERROR('КОНСОЛИДАТОР'!G6*1000/D57,0)</x:f>
      </x:c>
      <x:c r="E73">
        <x:f>IFERROR('КОНСОЛИДАТОР'!G7*1000/E57,0)</x:f>
      </x:c>
      <x:c r="F73">
        <x:f>IFERROR('КОНСОЛИДАТОР'!G8*1000/F57,0)</x:f>
      </x:c>
      <x:c r="G73" t="inlineStr">
        <x:is>
          <x:t>тыс. ₽/м²</x:t>
        </x:is>
      </x:c>
      <x:c r="H73" t="inlineStr">
        <x:is>
          <x:t>Вся выручка очереди, включая паркинг и кладовые; сравнивать с «Выручка на м² прод.» PDF</x:t>
        </x:is>
      </x:c>
    </x:row>
    <x:row r="74">
      <x:c r="A74" s="52" t="inlineStr">
        <x:is>
          <x:t>ЮНИТ-ЭКОНОМИКА ПРОЕКТА</x:t>
        </x:is>
      </x:c>
    </x:row>
    <x:row r="75">
      <x:c r="A75" s="52" t="inlineStr">
        <x:is>
          <x:t>Показатель</x:t>
        </x:is>
      </x:c>
      <x:c r="B75" s="52" t="inlineStr">
        <x:is>
          <x:t>Всего, млн ₽</x:t>
        </x:is>
      </x:c>
      <x:c r="C75" s="52" t="inlineStr">
        <x:is>
          <x:t>на м² GBA, тыс. ₽</x:t>
        </x:is>
      </x:c>
      <x:c r="D75" s="52" t="inlineStr">
        <x:is>
          <x:t>на м² продаваемой, тыс. ₽</x:t>
        </x:is>
      </x:c>
    </x:row>
    <x:row r="76">
      <x:c r="A76" s="52" t="inlineStr">
        <x:is>
          <x:t>Выручка</x:t>
        </x:is>
      </x:c>
      <x:c r="B76" s="107" t="n">
        <x:f>B5</x:f>
      </x:c>
      <x:c r="C76" s="107" t="n">
        <x:f>IFERROR((B5)*1000/$G$6,0)</x:f>
      </x:c>
      <x:c r="D76" s="107" t="n">
        <x:f>IFERROR((B5)*1000/$G$7,0)</x:f>
      </x:c>
    </x:row>
    <x:row r="77">
      <x:c r="A77" s="52" t="inlineStr">
        <x:is>
          <x:t>CAPEX</x:t>
        </x:is>
      </x:c>
      <x:c r="B77" s="107" t="n">
        <x:f>B6</x:f>
      </x:c>
      <x:c r="C77" s="107" t="n">
        <x:f>IFERROR((B6)*1000/$G$6,0)</x:f>
      </x:c>
      <x:c r="D77" s="107" t="n">
        <x:f>IFERROR((B6)*1000/$G$7,0)</x:f>
      </x:c>
    </x:row>
    <x:row r="78">
      <x:c r="A78" s="52" t="inlineStr">
        <x:is>
          <x:t>Коммерческие расходы</x:t>
        </x:is>
      </x:c>
      <x:c r="B78" s="107" t="n">
        <x:f>B7</x:f>
      </x:c>
      <x:c r="C78" s="107" t="n">
        <x:f>IFERROR((B7)*1000/$G$6,0)</x:f>
      </x:c>
      <x:c r="D78" s="107" t="n">
        <x:f>IFERROR((B7)*1000/$G$7,0)</x:f>
      </x:c>
    </x:row>
    <x:row r="79">
      <x:c r="A79" s="52" t="inlineStr">
        <x:is>
          <x:t>EBITDA</x:t>
        </x:is>
      </x:c>
      <x:c r="B79" s="107" t="n">
        <x:f>B8</x:f>
      </x:c>
      <x:c r="C79" s="107" t="n">
        <x:f>IFERROR((B8)*1000/$G$6,0)</x:f>
      </x:c>
      <x:c r="D79" s="107" t="n">
        <x:f>IFERROR((B8)*1000/$G$7,0)</x:f>
      </x:c>
    </x:row>
    <x:row r="80">
      <x:c r="A80" s="52" t="inlineStr">
        <x:is>
          <x:t>Проценты и комиссии</x:t>
        </x:is>
      </x:c>
      <x:c r="B80" s="107" t="n">
        <x:f>B9</x:f>
      </x:c>
      <x:c r="C80" s="107" t="n">
        <x:f>IFERROR((B9)*1000/$G$6,0)</x:f>
      </x:c>
      <x:c r="D80" s="107" t="n">
        <x:f>IFERROR((B9)*1000/$G$7,0)</x:f>
      </x:c>
    </x:row>
    <x:row r="81">
      <x:c r="A81" s="52" t="inlineStr">
        <x:is>
          <x:t>Налог на прибыль</x:t>
        </x:is>
      </x:c>
      <x:c r="B81" s="107" t="n">
        <x:f>B11</x:f>
      </x:c>
      <x:c r="C81" s="107" t="n">
        <x:f>IFERROR((B11)*1000/$G$6,0)</x:f>
      </x:c>
      <x:c r="D81" s="107" t="n">
        <x:f>IFERROR((B11)*1000/$G$7,0)</x:f>
      </x:c>
    </x:row>
    <x:row r="82">
      <x:c r="A82" s="52" t="inlineStr">
        <x:is>
          <x:t>Полные расходы</x:t>
        </x:is>
      </x:c>
      <x:c r="B82" s="107" t="n">
        <x:f>B6+B7+B9+B11</x:f>
      </x:c>
      <x:c r="C82" s="107" t="n">
        <x:f>IFERROR((B6+B7+B9+B11)*1000/$G$6,0)</x:f>
      </x:c>
      <x:c r="D82" s="107" t="n">
        <x:f>IFERROR((B6+B7+B9+B11)*1000/$G$7,0)</x:f>
      </x:c>
    </x:row>
    <x:row r="83">
      <x:c r="A83" s="52" t="inlineStr">
        <x:is>
          <x:t>Чистая прибыль</x:t>
        </x:is>
      </x:c>
      <x:c r="B83" s="107" t="n">
        <x:f>B12</x:f>
      </x:c>
      <x:c r="C83" s="107" t="n">
        <x:f>IFERROR((B12)*1000/$G$6,0)</x:f>
      </x:c>
      <x:c r="D83" s="107" t="n">
        <x:f>IFERROR((B12)*1000/$G$7,0)</x:f>
      </x:c>
    </x:row>
    <x:row r="85">
      <x:c r="A85" s="52" t="inlineStr">
        <x:is>
          <x:t>ТЕМПЫ ПРОДАЖ ПО ПРОДУКТАМ (проект)</x:t>
        </x:is>
      </x:c>
    </x:row>
    <x:row r="86">
      <x:c r="A86" s="52" t="inlineStr">
        <x:is>
          <x:t>Продукт</x:t>
        </x:is>
      </x:c>
      <x:c r="B86" s="52" t="inlineStr">
        <x:is>
          <x:t>до РВЭ</x:t>
        </x:is>
      </x:c>
      <x:c r="C86" s="52" t="inlineStr">
        <x:is>
          <x:t>после РВЭ</x:t>
        </x:is>
      </x:c>
      <x:c r="D86" s="52" t="inlineStr">
        <x:is>
          <x:t>всего</x:t>
        </x:is>
      </x:c>
      <x:c r="E86" s="52" t="inlineStr">
        <x:is>
          <x:t>Ед.</x:t>
        </x:is>
      </x:c>
    </x:row>
    <x:row r="87">
      <x:c r="A87" s="52" t="inlineStr">
        <x:is>
          <x:t>Квартиры</x:t>
        </x:is>
      </x:c>
      <x:c r="B87" s="107" t="n">
        <x:f>IFERROR((SUMPRODUCT('Продажи'!$D$14:$DS$14,'Продажи'!$D$9:$DS$9)+SUMPRODUCT('Продажи'!$D$37:$DS$37,'Продажи'!$D$32:$DS$32)+SUMPRODUCT('Продажи'!$D$60:$DS$60,'Продажи'!$D$55:$DS$55)+SUMPRODUCT('Продажи'!$D$83:$DS$83,'Продажи'!$D$78:$DS$78))/MAX(1,SUM('Продажи'!$D$9:$DS$9)+SUM('Продажи'!$D$32:$DS$32)+SUM('Продажи'!$D$55:$DS$55)+SUM('Продажи'!$D$78:$DS$78)),0)</x:f>
      </x:c>
      <x:c r="C87" s="107" t="n">
        <x:f>IFERROR((SUMPRODUCT('Продажи'!$D$14:$DS$14,'Продажи'!$D$12:$DS$12)+SUMPRODUCT('Продажи'!$D$37:$DS$37,'Продажи'!$D$35:$DS$35)+SUMPRODUCT('Продажи'!$D$60:$DS$60,'Продажи'!$D$58:$DS$58)+SUMPRODUCT('Продажи'!$D$83:$DS$83,'Продажи'!$D$81:$DS$81))/MAX(1,SUM('Продажи'!$D$12:$DS$12)+SUM('Продажи'!$D$35:$DS$35)+SUM('Продажи'!$D$58:$DS$58)+SUM('Продажи'!$D$81:$DS$81)),0)</x:f>
      </x:c>
      <x:c r="D87" s="107" t="n">
        <x:f>IFERROR(SUM('Продажи'!$B$14,'Продажи'!$B$37,'Продажи'!$B$60,'Продажи'!$B$83)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7" s="52" t="inlineStr">
        <x:is>
          <x:t>м²/мес.</x:t>
        </x:is>
      </x:c>
    </x:row>
    <x:row r="88">
      <x:c r="A88" s="52" t="inlineStr">
        <x:is>
          <x:t>Коммерция 1 этажа</x:t>
        </x:is>
      </x:c>
      <x:c r="B88" s="107" t="n">
        <x:f>IFERROR((SUMPRODUCT('Продажи'!$D$17:$DS$17,'Продажи'!$D$9:$DS$9)+SUMPRODUCT('Продажи'!$D$40:$DS$40,'Продажи'!$D$32:$DS$32)+SUMPRODUCT('Продажи'!$D$63:$DS$63,'Продажи'!$D$55:$DS$55)+SUMPRODUCT('Продажи'!$D$86:$DS$86,'Продажи'!$D$78:$DS$78))/MAX(1,SUM('Продажи'!$D$9:$DS$9)+SUM('Продажи'!$D$32:$DS$32)+SUM('Продажи'!$D$55:$DS$55)+SUM('Продажи'!$D$78:$DS$78)),0)</x:f>
      </x:c>
      <x:c r="C88" s="107" t="n">
        <x:f>IFERROR((SUMPRODUCT('Продажи'!$D$17:$DS$17,'Продажи'!$D$12:$DS$12)+SUMPRODUCT('Продажи'!$D$40:$DS$40,'Продажи'!$D$35:$DS$35)+SUMPRODUCT('Продажи'!$D$63:$DS$63,'Продажи'!$D$58:$DS$58)+SUMPRODUCT('Продажи'!$D$86:$DS$86,'Продажи'!$D$81:$DS$81))/MAX(1,SUM('Продажи'!$D$12:$DS$12)+SUM('Продажи'!$D$35:$DS$35)+SUM('Продажи'!$D$58:$DS$58)+SUM('Продажи'!$D$81:$DS$81)),0)</x:f>
      </x:c>
      <x:c r="D88" s="107" t="n">
        <x:f>IFERROR(SUM('Продажи'!$B$17,'Продажи'!$B$40,'Продажи'!$B$63,'Продажи'!$B$86)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8" s="52" t="inlineStr">
        <x:is>
          <x:t>м²/мес.</x:t>
        </x:is>
      </x:c>
    </x:row>
    <x:row r="89">
      <x:c r="A89" s="52" t="inlineStr">
        <x:is>
          <x:t>Подземный паркинг</x:t>
        </x:is>
      </x:c>
      <x:c r="B89" s="107" t="n">
        <x:f>IFERROR((SUMPRODUCT('Продажи'!$D$20:$DS$20,'Продажи'!$D$9:$DS$9)+SUMPRODUCT('Продажи'!$D$43:$DS$43,'Продажи'!$D$32:$DS$32)+SUMPRODUCT('Продажи'!$D$66:$DS$66,'Продажи'!$D$55:$DS$55)+SUMPRODUCT('Продажи'!$D$89:$DS$89,'Продажи'!$D$78:$DS$78))/MAX(1,SUM('Продажи'!$D$9:$DS$9)+SUM('Продажи'!$D$32:$DS$32)+SUM('Продажи'!$D$55:$DS$55)+SUM('Продажи'!$D$78:$DS$78)),0)</x:f>
      </x:c>
      <x:c r="C89" s="107" t="n">
        <x:f>IFERROR((SUMPRODUCT('Продажи'!$D$20:$DS$20,'Продажи'!$D$12:$DS$12)+SUMPRODUCT('Продажи'!$D$43:$DS$43,'Продажи'!$D$35:$DS$35)+SUMPRODUCT('Продажи'!$D$66:$DS$66,'Продажи'!$D$58:$DS$58)+SUMPRODUCT('Продажи'!$D$89:$DS$89,'Продажи'!$D$81:$DS$81))/MAX(1,SUM('Продажи'!$D$12:$DS$12)+SUM('Продажи'!$D$35:$DS$35)+SUM('Продажи'!$D$58:$DS$58)+SUM('Продажи'!$D$81:$DS$81)),0)</x:f>
      </x:c>
      <x:c r="D89" s="107" t="n">
        <x:f>IFERROR(SUM('Продажи'!$B$20,'Продажи'!$B$43,'Продажи'!$B$66,'Продажи'!$B$89)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9" s="52" t="inlineStr">
        <x:is>
          <x:t>шт./мес.</x:t>
        </x:is>
      </x:c>
    </x:row>
    <x:row r="90">
      <x:c r="A90" s="52" t="inlineStr">
        <x:is>
          <x:t>Кладовые</x:t>
        </x:is>
      </x:c>
      <x:c r="B90" s="107" t="n">
        <x:f>IFERROR((SUMPRODUCT('Продажи'!$D$23:$DS$23,'Продажи'!$D$9:$DS$9)+SUMPRODUCT('Продажи'!$D$46:$DS$46,'Продажи'!$D$32:$DS$32)+SUMPRODUCT('Продажи'!$D$69:$DS$69,'Продажи'!$D$55:$DS$55)+SUMPRODUCT('Продажи'!$D$92:$DS$92,'Продажи'!$D$78:$DS$78))/MAX(1,SUM('Продажи'!$D$9:$DS$9)+SUM('Продажи'!$D$32:$DS$32)+SUM('Продажи'!$D$55:$DS$55)+SUM('Продажи'!$D$78:$DS$78)),0)</x:f>
      </x:c>
      <x:c r="C90" s="107" t="n">
        <x:f>IFERROR((SUMPRODUCT('Продажи'!$D$23:$DS$23,'Продажи'!$D$12:$DS$12)+SUMPRODUCT('Продажи'!$D$46:$DS$46,'Продажи'!$D$35:$DS$35)+SUMPRODUCT('Продажи'!$D$69:$DS$69,'Продажи'!$D$58:$DS$58)+SUMPRODUCT('Продажи'!$D$92:$DS$92,'Продажи'!$D$81:$DS$81))/MAX(1,SUM('Продажи'!$D$12:$DS$12)+SUM('Продажи'!$D$35:$DS$35)+SUM('Продажи'!$D$58:$DS$58)+SUM('Продажи'!$D$81:$DS$81)),0)</x:f>
      </x:c>
      <x:c r="D90" s="107" t="n">
        <x:f>IFERROR(SUM('Продажи'!$B$23,'Продажи'!$B$46,'Продажи'!$B$69,'Продажи'!$B$92)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90" s="52" t="inlineStr">
        <x:is>
          <x:t>шт./мес.</x:t>
        </x:is>
      </x:c>
    </x:row>
    <x:row r="91">
      <x:c r="A91" s="52" t="inlineStr">
        <x:is>
          <x:t>МФОЦ / офисный центр</x:t>
        </x:is>
      </x:c>
      <x:c r="B91" s="107" t="n">
        <x:f>IFERROR(SUMPRODUCT('ОБЪЕКТЫ'!$D$22:$DS$22,'ОБЪЕКТЫ'!$D$17:$DS$17)/MAX(1,SUM('ОБЪЕКТЫ'!$D$17:$DS$17)),0)</x:f>
      </x:c>
      <x:c r="C91" s="107" t="n">
        <x:f>IFERROR(SUMPRODUCT('ОБЪЕКТЫ'!$D$22:$DS$22,'ОБЪЕКТЫ'!$D$20:$DS$20)/MAX(1,SUM('ОБЪЕКТЫ'!$D$20:$DS$20)),0)</x:f>
      </x:c>
      <x:c r="D91" s="107" t="n">
        <x:f>IFERROR('ОБЪЕКТЫ'!$B$22/MAX(1,SUM('ОБЪЕКТЫ'!$D$17:$DS$17)+SUM('ОБЪЕКТЫ'!$D$20:$DS$20)),0)</x:f>
      </x:c>
      <x:c r="E91" s="52" t="inlineStr">
        <x:is>
          <x:t>м²/мес.</x:t>
        </x:is>
      </x:c>
    </x:row>
    <x:row r="92">
      <x:c r="A92" s="52" t="inlineStr">
        <x:is>
          <x:t>Торговый центр / ОСЗ</x:t>
        </x:is>
      </x:c>
      <x:c r="B92" s="107" t="n">
        <x:f>IFERROR(SUMPRODUCT('ОБЪЕКТЫ'!$D$50:$DS$50,'ОБЪЕКТЫ'!$D$45:$DS$45)/MAX(1,SUM('ОБЪЕКТЫ'!$D$45:$DS$45)),0)</x:f>
      </x:c>
      <x:c r="C92" s="107" t="n">
        <x:f>IFERROR(SUMPRODUCT('ОБЪЕКТЫ'!$D$50:$DS$50,'ОБЪЕКТЫ'!$D$48:$DS$48)/MAX(1,SUM('ОБЪЕКТЫ'!$D$48:$DS$48)),0)</x:f>
      </x:c>
      <x:c r="D92" s="107" t="n">
        <x:f>IFERROR('ОБЪЕКТЫ'!$B$50/MAX(1,SUM('ОБЪЕКТЫ'!$D$45:$DS$45)+SUM('ОБЪЕКТЫ'!$D$48:$DS$48)),0)</x:f>
      </x:c>
      <x:c r="E92" s="52" t="inlineStr">
        <x:is>
          <x:t>м²/мес.</x:t>
        </x:is>
      </x:c>
    </x:row>
    <x:row r="93">
      <x:c r="A93" s="52" t="inlineStr">
        <x:is>
          <x:t>Наземный паркинг</x:t>
        </x:is>
      </x:c>
      <x:c r="B93" s="107" t="n">
        <x:f>IFERROR(SUMPRODUCT('ОБЪЕКТЫ'!$D$78:$DS$79,'ОБЪЕКТЫ'!$D$73:$DS$74)/MAX(1,SUM('ОБЪЕКТЫ'!$D$73:$DS$74)),0)</x:f>
      </x:c>
      <x:c r="C93" s="107" t="n">
        <x:f>IFERROR(SUMPRODUCT('ОБЪЕКТЫ'!$D$78:$DS$79,'ОБЪЕКТЫ'!$D$76:$DS$77)/MAX(1,SUM('ОБЪЕКТЫ'!$D$76:$DS$77)),0)</x:f>
      </x:c>
      <x:c r="D93" s="107" t="n">
        <x:f>IFERROR('ОБЪЕКТЫ'!$B$78/MAX(1,SUM('ОБЪЕКТЫ'!$D$73:$DS$74)+SUM('ОБЪЕКТЫ'!$D$76:$DS$77)),0)</x:f>
      </x:c>
      <x:c r="E93" s="52" t="inlineStr">
        <x:is>
          <x:t>шт./мес.</x:t>
        </x:is>
      </x:c>
    </x:row>
  </x:sheetData>
  <x:mergeCells>
    <x:mergeCell ref="A1:N1"/>
    <x:mergeCell ref="A2:N2"/>
    <x:mergeCell ref="A4:D4"/>
    <x:mergeCell ref="F4:N4"/>
    <x:mergeCell ref="A23:N23"/>
    <x:mergeCell ref="A31:N31"/>
    <x:mergeCell ref="A44:N44"/>
    <x:mergeCell ref="A55:G55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</x:cols>
  <x:sheetData>
    <x:row r="1" ht="28" customHeight="1">
      <x:c r="A1" s="4" t="str">
        <x:v>DEVELOPAID · ИНВЕСТИЦИОННЫЙ ДАШБОРД</x:v>
      </x:c>
      <x:c r="B1" s="4" t="str">
        <x:v>DEVELOPAID · ИНВЕСТИЦИОННЫЙ ДАШБОРД</x:v>
      </x:c>
      <x:c r="C1" s="4" t="str">
        <x:v>DEVELOPAID · ИНВЕСТИЦИОННЫЙ ДАШБОРД</x:v>
      </x:c>
      <x:c r="D1" s="4" t="str">
        <x:v>DEVELOPAID · ИНВЕСТИЦИОННЫЙ ДАШБОРД</x:v>
      </x:c>
      <x:c r="E1" s="4" t="str">
        <x:v>DEVELOPAID · ИНВЕСТИЦИОННЫЙ ДАШБОРД</x:v>
      </x:c>
      <x:c r="F1" s="4" t="str">
        <x:v>DEVELOPAID · ИНВЕСТИЦИОННЫЙ ДАШБОРД</x:v>
      </x:c>
      <x:c r="G1" s="4" t="str">
        <x:v>DEVELOPAID · ИНВЕСТИЦИОННЫЙ ДАШБОРД</x:v>
      </x:c>
      <x:c r="H1" s="4" t="str">
        <x:v>DEVELOPAID · ИНВЕСТИЦИОННЫЙ ДАШБОРД</x:v>
      </x:c>
      <x:c r="I1" s="4" t="str">
        <x:v>DEVELOPAID · ИНВЕСТИЦИОННЫЙ ДАШБОРД</x:v>
      </x:c>
      <x:c r="J1" s="4" t="str">
        <x:v>DEVELOPAID · ИНВЕСТИЦИОННЫЙ ДАШБОРД</x:v>
      </x:c>
      <x:c r="K1" s="4" t="str">
        <x:v>DEVELOPAID · ИНВЕСТИЦИОННЫЙ ДАШБОРД</x:v>
      </x:c>
      <x:c r="L1" s="4" t="str">
        <x:v>DEVELOPAID · ИНВЕСТИЦИОННЫЙ ДАШБОРД</x:v>
      </x:c>
      <x:c r="M1" s="4" t="str">
        <x:v>DEVELOPAID · ИНВЕСТИЦИОННЫЙ ДАШБОРД</x:v>
      </x:c>
      <x:c r="N1" s="4" t="str">
        <x:v>DEVELOPAID · ИНВЕСТИЦИОННЫЙ ДАШБОРД</x:v>
      </x:c>
      <x:c r="O1" s="4" t="str">
        <x:v>DEVELOPAID · ИНВЕСТИЦИОННЫЙ ДАШБОРД</x:v>
      </x:c>
      <x:c r="P1" s="4" t="str">
        <x:v>DEVELOPAID · ИНВЕСТИЦИОННЫЙ ДАШБОРД</x:v>
      </x:c>
      <x:c r="R1" s="267"/>
      <x:c r="S1" s="267"/>
      <x:c r="T1" s="267"/>
      <x:c r="U1" s="267"/>
      <x:c r="V1" s="267"/>
      <x:c r="W1" s="267"/>
      <x:c r="X1" s="267"/>
      <x:c r="Y1" s="267"/>
      <x:c r="Z1" s="267"/>
      <x:c r="AA1" s="267"/>
      <x:c r="AB1" s="267"/>
      <x:c r="AC1" s="267"/>
      <x:c r="AD1" s="267"/>
      <x:c r="AE1" s="267"/>
      <x:c r="AF1" s="267"/>
    </x:row>
    <x:row r="2">
      <x:c r="A2" s="149" t="str">
        <x:f>'ОТЧЕТ'!A2</x:f>
      </x:c>
      <x:c r="B2" s="149"/>
      <x:c r="C2" s="149"/>
      <x:c r="D2" s="149"/>
      <x:c r="E2" s="149"/>
      <x:c r="F2" s="149"/>
      <x:c r="G2" s="149"/>
      <x:c r="H2" s="149"/>
      <x:c r="I2" s="149"/>
      <x:c r="J2" s="149"/>
      <x:c r="K2" s="149"/>
      <x:c r="L2" s="149"/>
      <x:c r="M2" s="149"/>
      <x:c r="N2" s="149"/>
      <x:c r="O2" s="149"/>
      <x:c r="P2" s="149"/>
      <x:c r="R2" s="267"/>
      <x:c r="S2" s="267"/>
      <x:c r="T2" s="267"/>
      <x:c r="U2" s="267"/>
      <x:c r="V2" s="267"/>
      <x:c r="W2" s="267"/>
      <x:c r="X2" s="267"/>
      <x:c r="Y2" s="267"/>
      <x:c r="Z2" s="267"/>
      <x:c r="AA2" s="267"/>
      <x:c r="AB2" s="267"/>
      <x:c r="AC2" s="267"/>
      <x:c r="AD2" s="267"/>
      <x:c r="AE2" s="267"/>
      <x:c r="AF2" s="267"/>
    </x:row>
    <x:row r="3">
      <x:c r="R3" s="267" t="str">
        <x:v>Квартал</x:v>
      </x:c>
      <x:c r="S3" s="267" t="str">
        <x:v>Выручка</x:v>
      </x:c>
      <x:c r="T3" s="267" t="str">
        <x:v>Расходы</x:v>
      </x:c>
      <x:c r="U3" s="267" t="str">
        <x:v>Долг</x:v>
      </x:c>
      <x:c r="V3" s="267" t="str">
        <x:v>Эскроу</x:v>
      </x:c>
      <x:c r="W3" s="267"/>
      <x:c r="X3" s="267" t="str">
        <x:v>Статья</x:v>
      </x:c>
      <x:c r="Y3" s="267" t="str">
        <x:v>Сумма</x:v>
      </x:c>
      <x:c r="Z3" s="267"/>
      <x:c r="AA3" s="267" t="str">
        <x:v>Очередь</x:v>
      </x:c>
      <x:c r="AB3" s="267" t="str">
        <x:v>Чистая прибыль</x:v>
      </x:c>
      <x:c r="AC3" s="267"/>
      <x:c r="AD3" s="267" t="str">
        <x:f>R3</x:f>
      </x:c>
      <x:c r="AE3" s="267" t="str">
        <x:f>U3</x:f>
      </x:c>
      <x:c r="AF3" s="267" t="str">
        <x:f>V3</x:f>
      </x:c>
    </x:row>
    <x:row r="4">
      <x:c r="A4" s="150" t="str">
        <x:v>Выручка</x:v>
      </x:c>
      <x:c r="B4" s="150" t="str">
        <x:v>Выручка</x:v>
      </x:c>
      <x:c r="C4" s="150" t="str">
        <x:v>Выручка</x:v>
      </x:c>
      <x:c r="D4" s="150" t="str">
        <x:v>Выручка</x:v>
      </x:c>
      <x:c r="E4" s="150" t="str">
        <x:v>Чистая прибыль</x:v>
      </x:c>
      <x:c r="F4" s="150" t="str">
        <x:v>Чистая прибыль</x:v>
      </x:c>
      <x:c r="G4" s="150" t="str">
        <x:v>Чистая прибыль</x:v>
      </x:c>
      <x:c r="H4" s="150" t="str">
        <x:v>Чистая прибыль</x:v>
      </x:c>
      <x:c r="I4" s="150" t="str">
        <x:v>IRR капитала</x:v>
      </x:c>
      <x:c r="J4" s="150" t="str">
        <x:v>IRR капитала</x:v>
      </x:c>
      <x:c r="K4" s="150" t="str">
        <x:v>IRR капитала</x:v>
      </x:c>
      <x:c r="L4" s="150" t="str">
        <x:v>IRR капитала</x:v>
      </x:c>
      <x:c r="M4" t="inlineStr">
        <x:is>
          <x:t>LLCR проекта</x:t>
        </x:is>
      </x:c>
      <x:c r="N4" s="150" t="str">
        <x:v>Минимальный LLCR</x:v>
      </x:c>
      <x:c r="O4" s="150" t="str">
        <x:v>Минимальный LLCR</x:v>
      </x:c>
      <x:c r="P4" s="150" t="str">
        <x:v>Минимальный LLCR</x:v>
      </x:c>
      <x:c r="R4" s="267" t="str">
        <x:f>TEXT('CF'!D3,"yyyy")&amp;" Q"&amp;ROUNDUP(MONTH('CF'!D3)/3,0)</x:f>
      </x:c>
      <x:c r="S4" s="267" t="n">
        <x:f>SUM('CF'!D6:'CF'!F6)</x:f>
      </x:c>
      <x:c r="T4" s="267" t="n">
        <x:f>SUM('CF'!D13:'CF'!F13)</x:f>
      </x:c>
      <x:c r="U4" s="267" t="n">
        <x:f>MAX('CF'!D19:'CF'!F19)</x:f>
      </x:c>
      <x:c r="V4" s="267" t="n">
        <x:f>MAX('CF'!D9:'CF'!F9)</x:f>
      </x:c>
      <x:c r="W4" s="267"/>
      <x:c r="X4" s="267" t="str">
        <x:v>Покупка</x:v>
      </x:c>
      <x:c r="Y4" s="267" t="n">
        <x:f>'ОТЧЕТ'!B33</x:f>
      </x:c>
      <x:c r="Z4" s="267"/>
      <x:c r="AA4" s="267" t="str">
        <x:f>'КОНСОЛИДАТОР'!A4</x:f>
      </x:c>
      <x:c r="AB4" s="267" t="n">
        <x:f>'КОНСОЛИДАТОР'!L4</x:f>
      </x:c>
      <x:c r="AC4" s="267"/>
      <x:c r="AD4" s="267" t="str">
        <x:f>R4</x:f>
      </x:c>
      <x:c r="AE4" s="267" t="n">
        <x:f>U4</x:f>
      </x:c>
      <x:c r="AF4" s="267" t="n">
        <x:f>V4</x:f>
      </x:c>
    </x:row>
    <x:row r="5">
      <x:c r="A5" s="177" t="n">
        <x:f>'ОТЧЕТ'!B5</x:f>
      </x:c>
      <x:c r="B5" s="178"/>
      <x:c r="C5" s="178"/>
      <x:c r="D5" s="179"/>
      <x:c r="E5" s="177" t="n">
        <x:f>'ОТЧЕТ'!B12</x:f>
      </x:c>
      <x:c r="F5" s="178"/>
      <x:c r="G5" s="178"/>
      <x:c r="H5" s="179"/>
      <x:c r="I5" s="204" t="n">
        <x:f>'ОТЧЕТ'!B14</x:f>
      </x:c>
      <x:c r="J5" s="205"/>
      <x:c r="K5" s="205"/>
      <x:c r="L5" s="206"/>
      <x:c r="M5" s="231" t="n">
        <x:f>'ОТЧЕТ'!B19</x:f>
      </x:c>
      <x:c r="N5" s="232"/>
      <x:c r="O5" s="232"/>
      <x:c r="P5" s="233"/>
      <x:c r="R5" s="267" t="str">
        <x:f>TEXT('CF'!G3,"yyyy")&amp;" Q"&amp;ROUNDUP(MONTH('CF'!G3)/3,0)</x:f>
      </x:c>
      <x:c r="S5" s="267" t="n">
        <x:f>SUM('CF'!G6:'CF'!I6)</x:f>
      </x:c>
      <x:c r="T5" s="267" t="n">
        <x:f>SUM('CF'!G13:'CF'!I13)</x:f>
      </x:c>
      <x:c r="U5" s="267" t="n">
        <x:f>MAX('CF'!G19:'CF'!I19)</x:f>
      </x:c>
      <x:c r="V5" s="267" t="n">
        <x:f>MAX('CF'!G9:'CF'!I9)</x:f>
      </x:c>
      <x:c r="W5" s="267"/>
      <x:c r="X5" s="267" t="str">
        <x:v>ВРИ</x:v>
      </x:c>
      <x:c r="Y5" s="267" t="n">
        <x:f>'ОТЧЕТ'!B34</x:f>
      </x:c>
      <x:c r="Z5" s="267"/>
      <x:c r="AA5" s="267" t="str">
        <x:f>'КОНСОЛИДАТОР'!A5</x:f>
      </x:c>
      <x:c r="AB5" s="267" t="n">
        <x:f>'КОНСОЛИДАТОР'!L5</x:f>
      </x:c>
      <x:c r="AC5" s="267"/>
      <x:c r="AD5" s="267" t="str">
        <x:f>R5</x:f>
      </x:c>
      <x:c r="AE5" s="267" t="n">
        <x:f>U5</x:f>
      </x:c>
      <x:c r="AF5" s="267" t="n">
        <x:f>V5</x:f>
      </x:c>
    </x:row>
    <x:row r="6">
      <x:c r="A6" s="180"/>
      <x:c r="B6" s="181"/>
      <x:c r="C6" s="181"/>
      <x:c r="D6" s="182"/>
      <x:c r="E6" s="180"/>
      <x:c r="F6" s="181"/>
      <x:c r="G6" s="181"/>
      <x:c r="H6" s="182"/>
      <x:c r="I6" s="207"/>
      <x:c r="J6" s="208"/>
      <x:c r="K6" s="208"/>
      <x:c r="L6" s="209"/>
      <x:c r="M6" s="234"/>
      <x:c r="N6" s="235"/>
      <x:c r="O6" s="235"/>
      <x:c r="P6" s="236"/>
      <x:c r="R6" s="267" t="str">
        <x:f>TEXT('CF'!J3,"yyyy")&amp;" Q"&amp;ROUNDUP(MONTH('CF'!J3)/3,0)</x:f>
      </x:c>
      <x:c r="S6" s="267" t="n">
        <x:f>SUM('CF'!J6:'CF'!L6)</x:f>
      </x:c>
      <x:c r="T6" s="267" t="n">
        <x:f>SUM('CF'!J13:'CF'!L13)</x:f>
      </x:c>
      <x:c r="U6" s="267" t="n">
        <x:f>MAX('CF'!J19:'CF'!L19)</x:f>
      </x:c>
      <x:c r="V6" s="267" t="n">
        <x:f>MAX('CF'!J9:'CF'!L9)</x:f>
      </x:c>
      <x:c r="W6" s="267"/>
      <x:c r="X6" s="267" t="str">
        <x:v>Строительство</x:v>
      </x:c>
      <x:c r="Y6" s="267" t="n">
        <x:f>'ОТЧЕТ'!B35</x:f>
      </x:c>
      <x:c r="Z6" s="267"/>
      <x:c r="AA6" s="267" t="str">
        <x:f>'КОНСОЛИДАТОР'!A6</x:f>
      </x:c>
      <x:c r="AB6" s="267" t="n">
        <x:f>'КОНСОЛИДАТОР'!L6</x:f>
      </x:c>
      <x:c r="AC6" s="267"/>
      <x:c r="AD6" s="267" t="str">
        <x:f>R6</x:f>
      </x:c>
      <x:c r="AE6" s="267" t="n">
        <x:f>U6</x:f>
      </x:c>
      <x:c r="AF6" s="267" t="n">
        <x:f>V6</x:f>
      </x:c>
    </x:row>
    <x:row r="7">
      <x:c r="A7" s="183"/>
      <x:c r="B7" s="184"/>
      <x:c r="C7" s="184"/>
      <x:c r="D7" s="185"/>
      <x:c r="E7" s="183"/>
      <x:c r="F7" s="184"/>
      <x:c r="G7" s="184"/>
      <x:c r="H7" s="185"/>
      <x:c r="I7" s="210"/>
      <x:c r="J7" s="211"/>
      <x:c r="K7" s="211"/>
      <x:c r="L7" s="212"/>
      <x:c r="M7" s="237"/>
      <x:c r="N7" s="238"/>
      <x:c r="O7" s="238"/>
      <x:c r="P7" s="239"/>
      <x:c r="R7" s="267" t="str">
        <x:f>TEXT('CF'!M3,"yyyy")&amp;" Q"&amp;ROUNDUP(MONTH('CF'!M3)/3,0)</x:f>
      </x:c>
      <x:c r="S7" s="267" t="n">
        <x:f>SUM('CF'!M6:'CF'!O6)</x:f>
      </x:c>
      <x:c r="T7" s="267" t="n">
        <x:f>SUM('CF'!M13:'CF'!O13)</x:f>
      </x:c>
      <x:c r="U7" s="267" t="n">
        <x:f>MAX('CF'!M19:'CF'!O19)</x:f>
      </x:c>
      <x:c r="V7" s="267" t="n">
        <x:f>MAX('CF'!M9:'CF'!O9)</x:f>
      </x:c>
      <x:c r="W7" s="267"/>
      <x:c r="X7" s="267" t="str">
        <x:v>Соцнагрузка</x:v>
      </x:c>
      <x:c r="Y7" s="267" t="n">
        <x:f>'ОТЧЕТ'!B36</x:f>
      </x:c>
      <x:c r="Z7" s="267"/>
      <x:c r="AA7" s="267" t="str">
        <x:v>Консолидировано</x:v>
      </x:c>
      <x:c r="AB7" s="267" t="n">
        <x:f>'КОНСОЛИДАТОР'!L8</x:f>
      </x:c>
      <x:c r="AC7" s="267"/>
      <x:c r="AD7" s="267" t="str">
        <x:f>R7</x:f>
      </x:c>
      <x:c r="AE7" s="267" t="n">
        <x:f>U7</x:f>
      </x:c>
      <x:c r="AF7" s="267" t="n">
        <x:f>V7</x:f>
      </x:c>
    </x:row>
    <x:row r="8">
      <x:c r="R8" s="267" t="str">
        <x:f>TEXT('CF'!P3,"yyyy")&amp;" Q"&amp;ROUNDUP(MONTH('CF'!P3)/3,0)</x:f>
      </x:c>
      <x:c r="S8" s="267" t="n">
        <x:f>SUM('CF'!P6:'CF'!R6)</x:f>
      </x:c>
      <x:c r="T8" s="267" t="n">
        <x:f>SUM('CF'!P13:'CF'!R13)</x:f>
      </x:c>
      <x:c r="U8" s="267" t="n">
        <x:f>MAX('CF'!P19:'CF'!R19)</x:f>
      </x:c>
      <x:c r="V8" s="267" t="n">
        <x:f>MAX('CF'!P9:'CF'!R9)</x:f>
      </x:c>
      <x:c r="W8" s="267"/>
      <x:c r="X8" s="267" t="str">
        <x:v>Маркетинг и продажи</x:v>
      </x:c>
      <x:c r="Y8" s="267" t="n">
        <x:f>'ОТЧЕТ'!B37</x:f>
      </x:c>
      <x:c r="Z8" s="267"/>
      <x:c r="AA8" s="267"/>
      <x:c r="AB8" s="267"/>
      <x:c r="AC8" s="267"/>
      <x:c r="AD8" s="267" t="str">
        <x:f>R8</x:f>
      </x:c>
      <x:c r="AE8" s="267" t="n">
        <x:f>U8</x:f>
      </x:c>
      <x:c r="AF8" s="267" t="n">
        <x:f>V8</x:f>
      </x:c>
    </x:row>
    <x:row r="9">
      <x:c r="A9" s="150" t="str">
        <x:v>CAPEX</x:v>
      </x:c>
      <x:c r="B9" s="150" t="str">
        <x:v>CAPEX</x:v>
      </x:c>
      <x:c r="C9" s="150" t="str">
        <x:v>CAPEX</x:v>
      </x:c>
      <x:c r="D9" s="150" t="str">
        <x:v>CAPEX</x:v>
      </x:c>
      <x:c r="E9" s="150" t="str">
        <x:v>Пиковый долг</x:v>
      </x:c>
      <x:c r="F9" s="150" t="str">
        <x:v>Пиковый долг</x:v>
      </x:c>
      <x:c r="G9" s="150" t="str">
        <x:v>Пиковый долг</x:v>
      </x:c>
      <x:c r="H9" s="150" t="str">
        <x:v>Пиковый долг</x:v>
      </x:c>
      <x:c r="I9" s="150" t="str">
        <x:v>NPV</x:v>
      </x:c>
      <x:c r="J9" s="150" t="str">
        <x:v>NPV</x:v>
      </x:c>
      <x:c r="K9" s="150" t="str">
        <x:v>NPV</x:v>
      </x:c>
      <x:c r="L9" s="150" t="str">
        <x:v>NPV</x:v>
      </x:c>
      <x:c r="M9" s="150" t="str">
        <x:v>Статус модели</x:v>
      </x:c>
      <x:c r="N9" s="150" t="str">
        <x:v>Статус модели</x:v>
      </x:c>
      <x:c r="O9" s="150" t="str">
        <x:v>Статус модели</x:v>
      </x:c>
      <x:c r="P9" s="150" t="str">
        <x:v>Статус модели</x:v>
      </x:c>
      <x:c r="R9" s="267" t="str">
        <x:f>TEXT('CF'!S3,"yyyy")&amp;" Q"&amp;ROUNDUP(MONTH('CF'!S3)/3,0)</x:f>
      </x:c>
      <x:c r="S9" s="267" t="n">
        <x:f>SUM('CF'!S6:'CF'!U6)</x:f>
      </x:c>
      <x:c r="T9" s="267" t="n">
        <x:f>SUM('CF'!S13:'CF'!U13)</x:f>
      </x:c>
      <x:c r="U9" s="267" t="n">
        <x:f>MAX('CF'!S19:'CF'!U19)</x:f>
      </x:c>
      <x:c r="V9" s="267" t="n">
        <x:f>MAX('CF'!S9:'CF'!U9)</x:f>
      </x:c>
      <x:c r="W9" s="267"/>
      <x:c r="X9" s="267" t="str">
        <x:v>Финансирование</x:v>
      </x:c>
      <x:c r="Y9" s="267" t="n">
        <x:f>'ОТЧЕТ'!B38</x:f>
      </x:c>
      <x:c r="Z9" s="267"/>
      <x:c r="AA9" s="267"/>
      <x:c r="AB9" s="267"/>
      <x:c r="AC9" s="267"/>
      <x:c r="AD9" s="267" t="str">
        <x:f>R9</x:f>
      </x:c>
      <x:c r="AE9" s="267" t="n">
        <x:f>U9</x:f>
      </x:c>
      <x:c r="AF9" s="267" t="n">
        <x:f>V9</x:f>
      </x:c>
    </x:row>
    <x:row r="10">
      <x:c r="A10" s="177" t="n">
        <x:f>'ОТЧЕТ'!B6</x:f>
      </x:c>
      <x:c r="B10" s="178"/>
      <x:c r="C10" s="178"/>
      <x:c r="D10" s="179"/>
      <x:c r="E10" s="177" t="n">
        <x:f>'ОТЧЕТ'!B17</x:f>
      </x:c>
      <x:c r="F10" s="178"/>
      <x:c r="G10" s="178"/>
      <x:c r="H10" s="179"/>
      <x:c r="I10" s="177" t="n">
        <x:f>'ОТЧЕТ'!B15</x:f>
      </x:c>
      <x:c r="J10" s="178"/>
      <x:c r="K10" s="178"/>
      <x:c r="L10" s="179"/>
      <x:c r="M10" s="258" t="str">
        <x:f>'ОТЧЕТ'!B20</x:f>
      </x:c>
      <x:c r="N10" s="259"/>
      <x:c r="O10" s="259"/>
      <x:c r="P10" s="260"/>
      <x:c r="R10" s="267" t="str">
        <x:f>TEXT('CF'!V3,"yyyy")&amp;" Q"&amp;ROUNDUP(MONTH('CF'!V3)/3,0)</x:f>
      </x:c>
      <x:c r="S10" s="267" t="n">
        <x:f>SUM('CF'!V6:'CF'!X6)</x:f>
      </x:c>
      <x:c r="T10" s="267" t="n">
        <x:f>SUM('CF'!V13:'CF'!X13)</x:f>
      </x:c>
      <x:c r="U10" s="267" t="n">
        <x:f>MAX('CF'!V19:'CF'!X19)</x:f>
      </x:c>
      <x:c r="V10" s="267" t="n">
        <x:f>MAX('CF'!V9:'CF'!X9)</x:f>
      </x:c>
      <x:c r="W10" s="267"/>
      <x:c r="X10" s="267" t="str">
        <x:v>Налог</x:v>
      </x:c>
      <x:c r="Y10" s="267" t="n">
        <x:f>'ОТЧЕТ'!B39</x:f>
      </x:c>
      <x:c r="Z10" s="267"/>
      <x:c r="AA10" s="267"/>
      <x:c r="AB10" s="267"/>
      <x:c r="AC10" s="267"/>
      <x:c r="AD10" s="267" t="str">
        <x:f>R10</x:f>
      </x:c>
      <x:c r="AE10" s="267" t="n">
        <x:f>U10</x:f>
      </x:c>
      <x:c r="AF10" s="267" t="n">
        <x:f>V10</x:f>
      </x:c>
    </x:row>
    <x:row r="11">
      <x:c r="A11" s="180"/>
      <x:c r="B11" s="181"/>
      <x:c r="C11" s="181"/>
      <x:c r="D11" s="182"/>
      <x:c r="E11" s="180"/>
      <x:c r="F11" s="181"/>
      <x:c r="G11" s="181"/>
      <x:c r="H11" s="182"/>
      <x:c r="I11" s="180"/>
      <x:c r="J11" s="181"/>
      <x:c r="K11" s="181"/>
      <x:c r="L11" s="182"/>
      <x:c r="M11" s="261"/>
      <x:c r="N11" s="262"/>
      <x:c r="O11" s="262"/>
      <x:c r="P11" s="263"/>
      <x:c r="R11" s="267" t="str">
        <x:f>TEXT('CF'!Y3,"yyyy")&amp;" Q"&amp;ROUNDUP(MONTH('CF'!Y3)/3,0)</x:f>
      </x:c>
      <x:c r="S11" s="267" t="n">
        <x:f>SUM('CF'!Y6:'CF'!AA6)</x:f>
      </x:c>
      <x:c r="T11" s="267" t="n">
        <x:f>SUM('CF'!Y13:'CF'!AA13)</x:f>
      </x:c>
      <x:c r="U11" s="267" t="n">
        <x:f>MAX('CF'!Y19:'CF'!AA19)</x:f>
      </x:c>
      <x:c r="V11" s="267" t="n">
        <x:f>MAX('CF'!Y9:'CF'!AA9)</x:f>
      </x:c>
      <x:c r="W11" s="267"/>
      <x:c r="X11" s="267"/>
      <x:c r="Y11" s="267"/>
      <x:c r="Z11" s="267"/>
      <x:c r="AA11" s="267"/>
      <x:c r="AB11" s="267"/>
      <x:c r="AC11" s="267"/>
      <x:c r="AD11" s="267" t="str">
        <x:f>R11</x:f>
      </x:c>
      <x:c r="AE11" s="267" t="n">
        <x:f>U11</x:f>
      </x:c>
      <x:c r="AF11" s="267" t="n">
        <x:f>V11</x:f>
      </x:c>
    </x:row>
    <x:row r="12">
      <x:c r="A12" s="183"/>
      <x:c r="B12" s="184"/>
      <x:c r="C12" s="184"/>
      <x:c r="D12" s="185"/>
      <x:c r="E12" s="183"/>
      <x:c r="F12" s="184"/>
      <x:c r="G12" s="184"/>
      <x:c r="H12" s="185"/>
      <x:c r="I12" s="183"/>
      <x:c r="J12" s="184"/>
      <x:c r="K12" s="184"/>
      <x:c r="L12" s="185"/>
      <x:c r="M12" s="264"/>
      <x:c r="N12" s="265"/>
      <x:c r="O12" s="265"/>
      <x:c r="P12" s="266"/>
      <x:c r="R12" s="267" t="str">
        <x:f>TEXT('CF'!AB3,"yyyy")&amp;" Q"&amp;ROUNDUP(MONTH('CF'!AB3)/3,0)</x:f>
      </x:c>
      <x:c r="S12" s="267" t="n">
        <x:f>SUM('CF'!AB6:'CF'!AD6)</x:f>
      </x:c>
      <x:c r="T12" s="267" t="n">
        <x:f>SUM('CF'!AB13:'CF'!AD13)</x:f>
      </x:c>
      <x:c r="U12" s="267" t="n">
        <x:f>MAX('CF'!AB19:'CF'!AD19)</x:f>
      </x:c>
      <x:c r="V12" s="267" t="n">
        <x:f>MAX('CF'!AB9:'CF'!AD9)</x:f>
      </x:c>
      <x:c r="W12" s="267"/>
      <x:c r="X12" s="267"/>
      <x:c r="Y12" s="267"/>
      <x:c r="Z12" s="267"/>
      <x:c r="AA12" s="267"/>
      <x:c r="AB12" s="267"/>
      <x:c r="AC12" s="267"/>
      <x:c r="AD12" s="267" t="str">
        <x:f>R12</x:f>
      </x:c>
      <x:c r="AE12" s="267" t="n">
        <x:f>U12</x:f>
      </x:c>
      <x:c r="AF12" s="267" t="n">
        <x:f>V12</x:f>
      </x:c>
    </x:row>
    <x:row r="13">
      <x:c r="R13" s="267" t="str">
        <x:f>TEXT('CF'!AE3,"yyyy")&amp;" Q"&amp;ROUNDUP(MONTH('CF'!AE3)/3,0)</x:f>
      </x:c>
      <x:c r="S13" s="267" t="n">
        <x:f>SUM('CF'!AE6:'CF'!AG6)</x:f>
      </x:c>
      <x:c r="T13" s="267" t="n">
        <x:f>SUM('CF'!AE13:'CF'!AG13)</x:f>
      </x:c>
      <x:c r="U13" s="267" t="n">
        <x:f>MAX('CF'!AE19:'CF'!AG19)</x:f>
      </x:c>
      <x:c r="V13" s="267" t="n">
        <x:f>MAX('CF'!AE9:'CF'!AG9)</x:f>
      </x:c>
      <x:c r="W13" s="267"/>
      <x:c r="X13" s="267"/>
      <x:c r="Y13" s="267"/>
      <x:c r="Z13" s="267"/>
      <x:c r="AA13" s="267"/>
      <x:c r="AB13" s="267"/>
      <x:c r="AC13" s="267"/>
      <x:c r="AD13" s="267" t="str">
        <x:f>R13</x:f>
      </x:c>
      <x:c r="AE13" s="267" t="n">
        <x:f>U13</x:f>
      </x:c>
      <x:c r="AF13" s="267" t="n">
        <x:f>V13</x:f>
      </x:c>
    </x:row>
    <x:row r="14">
      <x:c r="R14" s="267" t="str">
        <x:f>TEXT('CF'!AH3,"yyyy")&amp;" Q"&amp;ROUNDUP(MONTH('CF'!AH3)/3,0)</x:f>
      </x:c>
      <x:c r="S14" s="267" t="n">
        <x:f>SUM('CF'!AH6:'CF'!AJ6)</x:f>
      </x:c>
      <x:c r="T14" s="267" t="n">
        <x:f>SUM('CF'!AH13:'CF'!AJ13)</x:f>
      </x:c>
      <x:c r="U14" s="267" t="n">
        <x:f>MAX('CF'!AH19:'CF'!AJ19)</x:f>
      </x:c>
      <x:c r="V14" s="267" t="n">
        <x:f>MAX('CF'!AH9:'CF'!AJ9)</x:f>
      </x:c>
      <x:c r="W14" s="267"/>
      <x:c r="X14" s="267"/>
      <x:c r="Y14" s="267"/>
      <x:c r="Z14" s="267"/>
      <x:c r="AA14" s="267"/>
      <x:c r="AB14" s="267"/>
      <x:c r="AC14" s="267"/>
      <x:c r="AD14" s="267" t="str">
        <x:f>R14</x:f>
      </x:c>
      <x:c r="AE14" s="267" t="n">
        <x:f>U14</x:f>
      </x:c>
      <x:c r="AF14" s="267" t="n">
        <x:f>V14</x:f>
      </x:c>
    </x:row>
    <x:row r="15" ht="21" customHeight="1">
      <x:c r="A15" s="52" t="str">
        <x:v>ДИНАМИКА ПРОЕКТА</x:v>
      </x:c>
      <x:c r="B15" s="53" t="str">
        <x:v>ДИНАМИКА ПРОЕКТА</x:v>
      </x:c>
      <x:c r="C15" s="53" t="str">
        <x:v>ДИНАМИКА ПРОЕКТА</x:v>
      </x:c>
      <x:c r="D15" s="53" t="str">
        <x:v>ДИНАМИКА ПРОЕКТА</x:v>
      </x:c>
      <x:c r="E15" s="53" t="str">
        <x:v>ДИНАМИКА ПРОЕКТА</x:v>
      </x:c>
      <x:c r="F15" s="53" t="str">
        <x:v>ДИНАМИКА ПРОЕКТА</x:v>
      </x:c>
      <x:c r="G15" s="53" t="str">
        <x:v>ДИНАМИКА ПРОЕКТА</x:v>
      </x:c>
      <x:c r="H15" s="53" t="str">
        <x:v>ДИНАМИКА ПРОЕКТА</x:v>
      </x:c>
      <x:c r="I15" s="53" t="str">
        <x:v>ДИНАМИКА ПРОЕКТА</x:v>
      </x:c>
      <x:c r="J15" s="53" t="str">
        <x:v>ДИНАМИКА ПРОЕКТА</x:v>
      </x:c>
      <x:c r="K15" s="53" t="str">
        <x:v>ДИНАМИКА ПРОЕКТА</x:v>
      </x:c>
      <x:c r="L15" s="53" t="str">
        <x:v>ДИНАМИКА ПРОЕКТА</x:v>
      </x:c>
      <x:c r="M15" s="53" t="str">
        <x:v>ДИНАМИКА ПРОЕКТА</x:v>
      </x:c>
      <x:c r="N15" s="53" t="str">
        <x:v>ДИНАМИКА ПРОЕКТА</x:v>
      </x:c>
      <x:c r="O15" s="53" t="str">
        <x:v>ДИНАМИКА ПРОЕКТА</x:v>
      </x:c>
      <x:c r="P15" s="54" t="str">
        <x:v>ДИНАМИКА ПРОЕКТА</x:v>
      </x:c>
      <x:c r="R15" s="267" t="str">
        <x:f>TEXT('CF'!AK3,"yyyy")&amp;" Q"&amp;ROUNDUP(MONTH('CF'!AK3)/3,0)</x:f>
      </x:c>
      <x:c r="S15" s="267" t="n">
        <x:f>SUM('CF'!AK6:'CF'!AM6)</x:f>
      </x:c>
      <x:c r="T15" s="267" t="n">
        <x:f>SUM('CF'!AK13:'CF'!AM13)</x:f>
      </x:c>
      <x:c r="U15" s="267" t="n">
        <x:f>MAX('CF'!AK19:'CF'!AM19)</x:f>
      </x:c>
      <x:c r="V15" s="267" t="n">
        <x:f>MAX('CF'!AK9:'CF'!AM9)</x:f>
      </x:c>
      <x:c r="W15" s="267"/>
      <x:c r="X15" s="267"/>
      <x:c r="Y15" s="267"/>
      <x:c r="Z15" s="267"/>
      <x:c r="AA15" s="267"/>
      <x:c r="AB15" s="267"/>
      <x:c r="AC15" s="267"/>
      <x:c r="AD15" s="267" t="str">
        <x:f>R15</x:f>
      </x:c>
      <x:c r="AE15" s="267" t="n">
        <x:f>U15</x:f>
      </x:c>
      <x:c r="AF15" s="267" t="n">
        <x:f>V15</x:f>
      </x:c>
    </x:row>
    <x:row r="16">
      <x:c r="R16" s="267" t="str">
        <x:f>TEXT('CF'!AN3,"yyyy")&amp;" Q"&amp;ROUNDUP(MONTH('CF'!AN3)/3,0)</x:f>
      </x:c>
      <x:c r="S16" s="267" t="n">
        <x:f>SUM('CF'!AN6:'CF'!AP6)</x:f>
      </x:c>
      <x:c r="T16" s="267" t="n">
        <x:f>SUM('CF'!AN13:'CF'!AP13)</x:f>
      </x:c>
      <x:c r="U16" s="267" t="n">
        <x:f>MAX('CF'!AN19:'CF'!AP19)</x:f>
      </x:c>
      <x:c r="V16" s="267" t="n">
        <x:f>MAX('CF'!AN9:'CF'!AP9)</x:f>
      </x:c>
      <x:c r="W16" s="267"/>
      <x:c r="X16" s="267"/>
      <x:c r="Y16" s="267"/>
      <x:c r="Z16" s="267"/>
      <x:c r="AA16" s="267"/>
      <x:c r="AB16" s="267"/>
      <x:c r="AC16" s="267"/>
      <x:c r="AD16" s="267" t="str">
        <x:f>R16</x:f>
      </x:c>
      <x:c r="AE16" s="267" t="n">
        <x:f>U16</x:f>
      </x:c>
      <x:c r="AF16" s="267" t="n">
        <x:f>V16</x:f>
      </x:c>
    </x:row>
    <x:row r="17">
      <x:c r="R17" s="267" t="str">
        <x:f>TEXT('CF'!AQ3,"yyyy")&amp;" Q"&amp;ROUNDUP(MONTH('CF'!AQ3)/3,0)</x:f>
      </x:c>
      <x:c r="S17" s="267" t="n">
        <x:f>SUM('CF'!AQ6:'CF'!AS6)</x:f>
      </x:c>
      <x:c r="T17" s="267" t="n">
        <x:f>SUM('CF'!AQ13:'CF'!AS13)</x:f>
      </x:c>
      <x:c r="U17" s="267" t="n">
        <x:f>MAX('CF'!AQ19:'CF'!AS19)</x:f>
      </x:c>
      <x:c r="V17" s="267" t="n">
        <x:f>MAX('CF'!AQ9:'CF'!AS9)</x:f>
      </x:c>
      <x:c r="W17" s="267"/>
      <x:c r="X17" s="267"/>
      <x:c r="Y17" s="267"/>
      <x:c r="Z17" s="267"/>
      <x:c r="AA17" s="267"/>
      <x:c r="AB17" s="267"/>
      <x:c r="AC17" s="267"/>
      <x:c r="AD17" s="267" t="str">
        <x:f>R17</x:f>
      </x:c>
      <x:c r="AE17" s="267" t="n">
        <x:f>U17</x:f>
      </x:c>
      <x:c r="AF17" s="267" t="n">
        <x:f>V17</x:f>
      </x:c>
    </x:row>
    <x:row r="18">
      <x:c r="R18" s="267" t="str">
        <x:f>TEXT('CF'!AT3,"yyyy")&amp;" Q"&amp;ROUNDUP(MONTH('CF'!AT3)/3,0)</x:f>
      </x:c>
      <x:c r="S18" s="267" t="n">
        <x:f>SUM('CF'!AT6:'CF'!AV6)</x:f>
      </x:c>
      <x:c r="T18" s="267" t="n">
        <x:f>SUM('CF'!AT13:'CF'!AV13)</x:f>
      </x:c>
      <x:c r="U18" s="267" t="n">
        <x:f>MAX('CF'!AT19:'CF'!AV19)</x:f>
      </x:c>
      <x:c r="V18" s="267" t="n">
        <x:f>MAX('CF'!AT9:'CF'!AV9)</x:f>
      </x:c>
      <x:c r="W18" s="267"/>
      <x:c r="X18" s="267"/>
      <x:c r="Y18" s="267"/>
      <x:c r="Z18" s="267"/>
      <x:c r="AA18" s="267"/>
      <x:c r="AB18" s="267"/>
      <x:c r="AC18" s="267"/>
      <x:c r="AD18" s="267" t="str">
        <x:f>R18</x:f>
      </x:c>
      <x:c r="AE18" s="267" t="n">
        <x:f>U18</x:f>
      </x:c>
      <x:c r="AF18" s="267" t="n">
        <x:f>V18</x:f>
      </x:c>
    </x:row>
    <x:row r="19">
      <x:c r="R19" s="267" t="str">
        <x:f>TEXT('CF'!AW3,"yyyy")&amp;" Q"&amp;ROUNDUP(MONTH('CF'!AW3)/3,0)</x:f>
      </x:c>
      <x:c r="S19" s="267" t="n">
        <x:f>SUM('CF'!AW6:'CF'!AY6)</x:f>
      </x:c>
      <x:c r="T19" s="267" t="n">
        <x:f>SUM('CF'!AW13:'CF'!AY13)</x:f>
      </x:c>
      <x:c r="U19" s="267" t="n">
        <x:f>MAX('CF'!AW19:'CF'!AY19)</x:f>
      </x:c>
      <x:c r="V19" s="267" t="n">
        <x:f>MAX('CF'!AW9:'CF'!AY9)</x:f>
      </x:c>
      <x:c r="W19" s="267"/>
      <x:c r="X19" s="267"/>
      <x:c r="Y19" s="267"/>
      <x:c r="Z19" s="267"/>
      <x:c r="AA19" s="267"/>
      <x:c r="AB19" s="267"/>
      <x:c r="AC19" s="267"/>
      <x:c r="AD19" s="267" t="str">
        <x:f>R19</x:f>
      </x:c>
      <x:c r="AE19" s="267" t="n">
        <x:f>U19</x:f>
      </x:c>
      <x:c r="AF19" s="267" t="n">
        <x:f>V19</x:f>
      </x:c>
    </x:row>
    <x:row r="20">
      <x:c r="R20" s="267" t="str">
        <x:f>TEXT('CF'!AZ3,"yyyy")&amp;" Q"&amp;ROUNDUP(MONTH('CF'!AZ3)/3,0)</x:f>
      </x:c>
      <x:c r="S20" s="267" t="n">
        <x:f>SUM('CF'!AZ6:'CF'!BB6)</x:f>
      </x:c>
      <x:c r="T20" s="267" t="n">
        <x:f>SUM('CF'!AZ13:'CF'!BB13)</x:f>
      </x:c>
      <x:c r="U20" s="267" t="n">
        <x:f>MAX('CF'!AZ19:'CF'!BB19)</x:f>
      </x:c>
      <x:c r="V20" s="267" t="n">
        <x:f>MAX('CF'!AZ9:'CF'!BB9)</x:f>
      </x:c>
      <x:c r="W20" s="267"/>
      <x:c r="X20" s="267"/>
      <x:c r="Y20" s="267"/>
      <x:c r="Z20" s="267"/>
      <x:c r="AA20" s="267"/>
      <x:c r="AB20" s="267"/>
      <x:c r="AC20" s="267"/>
      <x:c r="AD20" s="267" t="str">
        <x:f>R20</x:f>
      </x:c>
      <x:c r="AE20" s="267" t="n">
        <x:f>U20</x:f>
      </x:c>
      <x:c r="AF20" s="267" t="n">
        <x:f>V20</x:f>
      </x:c>
    </x:row>
    <x:row r="21">
      <x:c r="R21" s="267" t="str">
        <x:f>TEXT('CF'!BC3,"yyyy")&amp;" Q"&amp;ROUNDUP(MONTH('CF'!BC3)/3,0)</x:f>
      </x:c>
      <x:c r="S21" s="267" t="n">
        <x:f>SUM('CF'!BC6:'CF'!BE6)</x:f>
      </x:c>
      <x:c r="T21" s="267" t="n">
        <x:f>SUM('CF'!BC13:'CF'!BE13)</x:f>
      </x:c>
      <x:c r="U21" s="267" t="n">
        <x:f>MAX('CF'!BC19:'CF'!BE19)</x:f>
      </x:c>
      <x:c r="V21" s="267" t="n">
        <x:f>MAX('CF'!BC9:'CF'!BE9)</x:f>
      </x:c>
      <x:c r="W21" s="267"/>
      <x:c r="X21" s="267"/>
      <x:c r="Y21" s="267"/>
      <x:c r="Z21" s="267"/>
      <x:c r="AA21" s="267"/>
      <x:c r="AB21" s="267"/>
      <x:c r="AC21" s="267"/>
      <x:c r="AD21" s="267" t="str">
        <x:f>R21</x:f>
      </x:c>
      <x:c r="AE21" s="267" t="n">
        <x:f>U21</x:f>
      </x:c>
      <x:c r="AF21" s="267" t="n">
        <x:f>V21</x:f>
      </x:c>
    </x:row>
    <x:row r="22">
      <x:c r="R22" s="267" t="str">
        <x:f>TEXT('CF'!BF3,"yyyy")&amp;" Q"&amp;ROUNDUP(MONTH('CF'!BF3)/3,0)</x:f>
      </x:c>
      <x:c r="S22" s="267" t="n">
        <x:f>SUM('CF'!BF6:'CF'!BH6)</x:f>
      </x:c>
      <x:c r="T22" s="267" t="n">
        <x:f>SUM('CF'!BF13:'CF'!BH13)</x:f>
      </x:c>
      <x:c r="U22" s="267" t="n">
        <x:f>MAX('CF'!BF19:'CF'!BH19)</x:f>
      </x:c>
      <x:c r="V22" s="267" t="n">
        <x:f>MAX('CF'!BF9:'CF'!BH9)</x:f>
      </x:c>
      <x:c r="W22" s="267"/>
      <x:c r="X22" s="267"/>
      <x:c r="Y22" s="267"/>
      <x:c r="Z22" s="267"/>
      <x:c r="AA22" s="267"/>
      <x:c r="AB22" s="267"/>
      <x:c r="AC22" s="267"/>
      <x:c r="AD22" s="267" t="str">
        <x:f>R22</x:f>
      </x:c>
      <x:c r="AE22" s="267" t="n">
        <x:f>U22</x:f>
      </x:c>
      <x:c r="AF22" s="267" t="n">
        <x:f>V22</x:f>
      </x:c>
    </x:row>
    <x:row r="23">
      <x:c r="R23" s="267" t="str">
        <x:f>TEXT('CF'!BI3,"yyyy")&amp;" Q"&amp;ROUNDUP(MONTH('CF'!BI3)/3,0)</x:f>
      </x:c>
      <x:c r="S23" s="267" t="n">
        <x:f>SUM('CF'!BI6:'CF'!BK6)</x:f>
      </x:c>
      <x:c r="T23" s="267" t="n">
        <x:f>SUM('CF'!BI13:'CF'!BK13)</x:f>
      </x:c>
      <x:c r="U23" s="267" t="n">
        <x:f>MAX('CF'!BI19:'CF'!BK19)</x:f>
      </x:c>
      <x:c r="V23" s="267" t="n">
        <x:f>MAX('CF'!BI9:'CF'!BK9)</x:f>
      </x:c>
      <x:c r="W23" s="267"/>
      <x:c r="X23" s="267"/>
      <x:c r="Y23" s="267"/>
      <x:c r="Z23" s="267"/>
      <x:c r="AA23" s="267"/>
      <x:c r="AB23" s="267"/>
      <x:c r="AC23" s="267"/>
      <x:c r="AD23" s="267" t="str">
        <x:f>R23</x:f>
      </x:c>
      <x:c r="AE23" s="267" t="n">
        <x:f>U23</x:f>
      </x:c>
      <x:c r="AF23" s="267" t="n">
        <x:f>V23</x:f>
      </x:c>
    </x:row>
    <x:row r="24">
      <x:c r="R24" s="267" t="str">
        <x:f>TEXT('CF'!BL3,"yyyy")&amp;" Q"&amp;ROUNDUP(MONTH('CF'!BL3)/3,0)</x:f>
      </x:c>
      <x:c r="S24" s="267" t="n">
        <x:f>SUM('CF'!BL6:'CF'!BN6)</x:f>
      </x:c>
      <x:c r="T24" s="267" t="n">
        <x:f>SUM('CF'!BL13:'CF'!BN13)</x:f>
      </x:c>
      <x:c r="U24" s="267" t="n">
        <x:f>MAX('CF'!BL19:'CF'!BN19)</x:f>
      </x:c>
      <x:c r="V24" s="267" t="n">
        <x:f>MAX('CF'!BL9:'CF'!BN9)</x:f>
      </x:c>
      <x:c r="W24" s="267"/>
      <x:c r="X24" s="267"/>
      <x:c r="Y24" s="267"/>
      <x:c r="Z24" s="267"/>
      <x:c r="AA24" s="267"/>
      <x:c r="AB24" s="267"/>
      <x:c r="AC24" s="267"/>
      <x:c r="AD24" s="267" t="str">
        <x:f>R24</x:f>
      </x:c>
      <x:c r="AE24" s="267" t="n">
        <x:f>U24</x:f>
      </x:c>
      <x:c r="AF24" s="267" t="n">
        <x:f>V24</x:f>
      </x:c>
    </x:row>
    <x:row r="25">
      <x:c r="R25" s="267" t="str">
        <x:f>TEXT('CF'!BO3,"yyyy")&amp;" Q"&amp;ROUNDUP(MONTH('CF'!BO3)/3,0)</x:f>
      </x:c>
      <x:c r="S25" s="267" t="n">
        <x:f>SUM('CF'!BO6:'CF'!BQ6)</x:f>
      </x:c>
      <x:c r="T25" s="267" t="n">
        <x:f>SUM('CF'!BO13:'CF'!BQ13)</x:f>
      </x:c>
      <x:c r="U25" s="267" t="n">
        <x:f>MAX('CF'!BO19:'CF'!BQ19)</x:f>
      </x:c>
      <x:c r="V25" s="267" t="n">
        <x:f>MAX('CF'!BO9:'CF'!BQ9)</x:f>
      </x:c>
      <x:c r="W25" s="267"/>
      <x:c r="X25" s="267"/>
      <x:c r="Y25" s="267"/>
      <x:c r="Z25" s="267"/>
      <x:c r="AA25" s="267"/>
      <x:c r="AB25" s="267"/>
      <x:c r="AC25" s="267"/>
      <x:c r="AD25" s="267" t="str">
        <x:f>R25</x:f>
      </x:c>
      <x:c r="AE25" s="267" t="n">
        <x:f>U25</x:f>
      </x:c>
      <x:c r="AF25" s="267" t="n">
        <x:f>V25</x:f>
      </x:c>
    </x:row>
    <x:row r="26">
      <x:c r="R26" s="267" t="str">
        <x:f>TEXT('CF'!BR3,"yyyy")&amp;" Q"&amp;ROUNDUP(MONTH('CF'!BR3)/3,0)</x:f>
      </x:c>
      <x:c r="S26" s="267" t="n">
        <x:f>SUM('CF'!BR6:'CF'!BT6)</x:f>
      </x:c>
      <x:c r="T26" s="267" t="n">
        <x:f>SUM('CF'!BR13:'CF'!BT13)</x:f>
      </x:c>
      <x:c r="U26" s="267" t="n">
        <x:f>MAX('CF'!BR19:'CF'!BT19)</x:f>
      </x:c>
      <x:c r="V26" s="267" t="n">
        <x:f>MAX('CF'!BR9:'CF'!BT9)</x:f>
      </x:c>
      <x:c r="W26" s="267"/>
      <x:c r="X26" s="267"/>
      <x:c r="Y26" s="267"/>
      <x:c r="Z26" s="267"/>
      <x:c r="AA26" s="267"/>
      <x:c r="AB26" s="267"/>
      <x:c r="AC26" s="267"/>
      <x:c r="AD26" s="267" t="str">
        <x:f>R26</x:f>
      </x:c>
      <x:c r="AE26" s="267" t="n">
        <x:f>U26</x:f>
      </x:c>
      <x:c r="AF26" s="267" t="n">
        <x:f>V26</x:f>
      </x:c>
    </x:row>
    <x:row r="27">
      <x:c r="R27" s="267" t="str">
        <x:f>TEXT('CF'!BU3,"yyyy")&amp;" Q"&amp;ROUNDUP(MONTH('CF'!BU3)/3,0)</x:f>
      </x:c>
      <x:c r="S27" s="267" t="n">
        <x:f>SUM('CF'!BU6:'CF'!BW6)</x:f>
      </x:c>
      <x:c r="T27" s="267" t="n">
        <x:f>SUM('CF'!BU13:'CF'!BW13)</x:f>
      </x:c>
      <x:c r="U27" s="267" t="n">
        <x:f>MAX('CF'!BU19:'CF'!BW19)</x:f>
      </x:c>
      <x:c r="V27" s="267" t="n">
        <x:f>MAX('CF'!BU9:'CF'!BW9)</x:f>
      </x:c>
      <x:c r="W27" s="267"/>
      <x:c r="X27" s="267"/>
      <x:c r="Y27" s="267"/>
      <x:c r="Z27" s="267"/>
      <x:c r="AA27" s="267"/>
      <x:c r="AB27" s="267"/>
      <x:c r="AC27" s="267"/>
      <x:c r="AD27" s="267" t="str">
        <x:f>R27</x:f>
      </x:c>
      <x:c r="AE27" s="267" t="n">
        <x:f>U27</x:f>
      </x:c>
      <x:c r="AF27" s="267" t="n">
        <x:f>V27</x:f>
      </x:c>
    </x:row>
    <x:row r="28">
      <x:c r="R28" s="267" t="str">
        <x:f>TEXT('CF'!BX3,"yyyy")&amp;" Q"&amp;ROUNDUP(MONTH('CF'!BX3)/3,0)</x:f>
      </x:c>
      <x:c r="S28" s="267" t="n">
        <x:f>SUM('CF'!BX6:'CF'!BZ6)</x:f>
      </x:c>
      <x:c r="T28" s="267" t="n">
        <x:f>SUM('CF'!BX13:'CF'!BZ13)</x:f>
      </x:c>
      <x:c r="U28" s="267" t="n">
        <x:f>MAX('CF'!BX19:'CF'!BZ19)</x:f>
      </x:c>
      <x:c r="V28" s="267" t="n">
        <x:f>MAX('CF'!BX9:'CF'!BZ9)</x:f>
      </x:c>
      <x:c r="W28" s="267"/>
      <x:c r="X28" s="267"/>
      <x:c r="Y28" s="267"/>
      <x:c r="Z28" s="267"/>
      <x:c r="AA28" s="267"/>
      <x:c r="AB28" s="267"/>
      <x:c r="AC28" s="267"/>
      <x:c r="AD28" s="267" t="str">
        <x:f>R28</x:f>
      </x:c>
      <x:c r="AE28" s="267" t="n">
        <x:f>U28</x:f>
      </x:c>
      <x:c r="AF28" s="267" t="n">
        <x:f>V28</x:f>
      </x:c>
    </x:row>
    <x:row r="29">
      <x:c r="R29" s="267" t="str">
        <x:f>TEXT('CF'!CA3,"yyyy")&amp;" Q"&amp;ROUNDUP(MONTH('CF'!CA3)/3,0)</x:f>
      </x:c>
      <x:c r="S29" s="267" t="n">
        <x:f>SUM('CF'!CA6:'CF'!CC6)</x:f>
      </x:c>
      <x:c r="T29" s="267" t="n">
        <x:f>SUM('CF'!CA13:'CF'!CC13)</x:f>
      </x:c>
      <x:c r="U29" s="267" t="n">
        <x:f>MAX('CF'!CA19:'CF'!CC19)</x:f>
      </x:c>
      <x:c r="V29" s="267" t="n">
        <x:f>MAX('CF'!CA9:'CF'!CC9)</x:f>
      </x:c>
      <x:c r="W29" s="267"/>
      <x:c r="X29" s="267"/>
      <x:c r="Y29" s="267"/>
      <x:c r="Z29" s="267"/>
      <x:c r="AA29" s="267"/>
      <x:c r="AB29" s="267"/>
      <x:c r="AC29" s="267"/>
      <x:c r="AD29" s="267" t="str">
        <x:f>R29</x:f>
      </x:c>
      <x:c r="AE29" s="267" t="n">
        <x:f>U29</x:f>
      </x:c>
      <x:c r="AF29" s="267" t="n">
        <x:f>V29</x:f>
      </x:c>
    </x:row>
    <x:row r="30">
      <x:c r="R30" s="267" t="str">
        <x:f>TEXT('CF'!CD3,"yyyy")&amp;" Q"&amp;ROUNDUP(MONTH('CF'!CD3)/3,0)</x:f>
      </x:c>
      <x:c r="S30" s="267" t="n">
        <x:f>SUM('CF'!CD6:'CF'!CF6)</x:f>
      </x:c>
      <x:c r="T30" s="267" t="n">
        <x:f>SUM('CF'!CD13:'CF'!CF13)</x:f>
      </x:c>
      <x:c r="U30" s="267" t="n">
        <x:f>MAX('CF'!CD19:'CF'!CF19)</x:f>
      </x:c>
      <x:c r="V30" s="267" t="n">
        <x:f>MAX('CF'!CD9:'CF'!CF9)</x:f>
      </x:c>
      <x:c r="W30" s="267"/>
      <x:c r="X30" s="267"/>
      <x:c r="Y30" s="267"/>
      <x:c r="Z30" s="267"/>
      <x:c r="AA30" s="267"/>
      <x:c r="AB30" s="267"/>
      <x:c r="AC30" s="267"/>
      <x:c r="AD30" s="267" t="str">
        <x:f>R30</x:f>
      </x:c>
      <x:c r="AE30" s="267" t="n">
        <x:f>U30</x:f>
      </x:c>
      <x:c r="AF30" s="267" t="n">
        <x:f>V30</x:f>
      </x:c>
    </x:row>
    <x:row r="31">
      <x:c r="R31" s="267" t="str">
        <x:f>TEXT('CF'!CG3,"yyyy")&amp;" Q"&amp;ROUNDUP(MONTH('CF'!CG3)/3,0)</x:f>
      </x:c>
      <x:c r="S31" s="267" t="n">
        <x:f>SUM('CF'!CG6:'CF'!CI6)</x:f>
      </x:c>
      <x:c r="T31" s="267" t="n">
        <x:f>SUM('CF'!CG13:'CF'!CI13)</x:f>
      </x:c>
      <x:c r="U31" s="267" t="n">
        <x:f>MAX('CF'!CG19:'CF'!CI19)</x:f>
      </x:c>
      <x:c r="V31" s="267" t="n">
        <x:f>MAX('CF'!CG9:'CF'!CI9)</x:f>
      </x:c>
      <x:c r="W31" s="267"/>
      <x:c r="X31" s="267"/>
      <x:c r="Y31" s="267"/>
      <x:c r="Z31" s="267"/>
      <x:c r="AA31" s="267"/>
      <x:c r="AB31" s="267"/>
      <x:c r="AC31" s="267"/>
      <x:c r="AD31" s="267" t="str">
        <x:f>R31</x:f>
      </x:c>
      <x:c r="AE31" s="267" t="n">
        <x:f>U31</x:f>
      </x:c>
      <x:c r="AF31" s="267" t="n">
        <x:f>V31</x:f>
      </x:c>
    </x:row>
    <x:row r="32">
      <x:c r="R32" s="267" t="str">
        <x:f>TEXT('CF'!CJ3,"yyyy")&amp;" Q"&amp;ROUNDUP(MONTH('CF'!CJ3)/3,0)</x:f>
      </x:c>
      <x:c r="S32" s="267" t="n">
        <x:f>SUM('CF'!CJ6:'CF'!CL6)</x:f>
      </x:c>
      <x:c r="T32" s="267" t="n">
        <x:f>SUM('CF'!CJ13:'CF'!CL13)</x:f>
      </x:c>
      <x:c r="U32" s="267" t="n">
        <x:f>MAX('CF'!CJ19:'CF'!CL19)</x:f>
      </x:c>
      <x:c r="V32" s="267" t="n">
        <x:f>MAX('CF'!CJ9:'CF'!CL9)</x:f>
      </x:c>
      <x:c r="W32" s="267"/>
      <x:c r="X32" s="267"/>
      <x:c r="Y32" s="267"/>
      <x:c r="Z32" s="267"/>
      <x:c r="AA32" s="267"/>
      <x:c r="AB32" s="267"/>
      <x:c r="AC32" s="267"/>
      <x:c r="AD32" s="267" t="str">
        <x:f>R32</x:f>
      </x:c>
      <x:c r="AE32" s="267" t="n">
        <x:f>U32</x:f>
      </x:c>
      <x:c r="AF32" s="267" t="n">
        <x:f>V32</x:f>
      </x:c>
    </x:row>
    <x:row r="33">
      <x:c r="R33" s="267" t="str">
        <x:f>TEXT('CF'!CM3,"yyyy")&amp;" Q"&amp;ROUNDUP(MONTH('CF'!CM3)/3,0)</x:f>
      </x:c>
      <x:c r="S33" s="267" t="n">
        <x:f>SUM('CF'!CM6:'CF'!CO6)</x:f>
      </x:c>
      <x:c r="T33" s="267" t="n">
        <x:f>SUM('CF'!CM13:'CF'!CO13)</x:f>
      </x:c>
      <x:c r="U33" s="267" t="n">
        <x:f>MAX('CF'!CM19:'CF'!CO19)</x:f>
      </x:c>
      <x:c r="V33" s="267" t="n">
        <x:f>MAX('CF'!CM9:'CF'!CO9)</x:f>
      </x:c>
      <x:c r="W33" s="267"/>
      <x:c r="X33" s="267"/>
      <x:c r="Y33" s="267"/>
      <x:c r="Z33" s="267"/>
      <x:c r="AA33" s="267"/>
      <x:c r="AB33" s="267"/>
      <x:c r="AC33" s="267"/>
      <x:c r="AD33" s="267" t="str">
        <x:f>R33</x:f>
      </x:c>
      <x:c r="AE33" s="267" t="n">
        <x:f>U33</x:f>
      </x:c>
      <x:c r="AF33" s="267" t="n">
        <x:f>V33</x:f>
      </x:c>
    </x:row>
    <x:row r="34">
      <x:c r="R34" s="267" t="str">
        <x:f>TEXT('CF'!CP3,"yyyy")&amp;" Q"&amp;ROUNDUP(MONTH('CF'!CP3)/3,0)</x:f>
      </x:c>
      <x:c r="S34" s="267" t="n">
        <x:f>SUM('CF'!CP6:'CF'!CR6)</x:f>
      </x:c>
      <x:c r="T34" s="267" t="n">
        <x:f>SUM('CF'!CP13:'CF'!CR13)</x:f>
      </x:c>
      <x:c r="U34" s="267" t="n">
        <x:f>MAX('CF'!CP19:'CF'!CR19)</x:f>
      </x:c>
      <x:c r="V34" s="267" t="n">
        <x:f>MAX('CF'!CP9:'CF'!CR9)</x:f>
      </x:c>
      <x:c r="W34" s="267"/>
      <x:c r="X34" s="267"/>
      <x:c r="Y34" s="267"/>
      <x:c r="Z34" s="267"/>
      <x:c r="AA34" s="267"/>
      <x:c r="AB34" s="267"/>
      <x:c r="AC34" s="267"/>
      <x:c r="AD34" s="267" t="str">
        <x:f>R34</x:f>
      </x:c>
      <x:c r="AE34" s="267" t="n">
        <x:f>U34</x:f>
      </x:c>
      <x:c r="AF34" s="267" t="n">
        <x:f>V34</x:f>
      </x:c>
    </x:row>
    <x:row r="35">
      <x:c r="R35" s="267" t="str">
        <x:f>TEXT('CF'!CS3,"yyyy")&amp;" Q"&amp;ROUNDUP(MONTH('CF'!CS3)/3,0)</x:f>
      </x:c>
      <x:c r="S35" s="267" t="n">
        <x:f>SUM('CF'!CS6:'CF'!CU6)</x:f>
      </x:c>
      <x:c r="T35" s="267" t="n">
        <x:f>SUM('CF'!CS13:'CF'!CU13)</x:f>
      </x:c>
      <x:c r="U35" s="267" t="n">
        <x:f>MAX('CF'!CS19:'CF'!CU19)</x:f>
      </x:c>
      <x:c r="V35" s="267" t="n">
        <x:f>MAX('CF'!CS9:'CF'!CU9)</x:f>
      </x:c>
      <x:c r="W35" s="267"/>
      <x:c r="X35" s="267"/>
      <x:c r="Y35" s="267"/>
      <x:c r="Z35" s="267"/>
      <x:c r="AA35" s="267"/>
      <x:c r="AB35" s="267"/>
      <x:c r="AC35" s="267"/>
      <x:c r="AD35" s="267" t="str">
        <x:f>R35</x:f>
      </x:c>
      <x:c r="AE35" s="267" t="n">
        <x:f>U35</x:f>
      </x:c>
      <x:c r="AF35" s="267" t="n">
        <x:f>V35</x:f>
      </x:c>
    </x:row>
    <x:row r="36">
      <x:c r="R36" s="267" t="str">
        <x:f>TEXT('CF'!CV3,"yyyy")&amp;" Q"&amp;ROUNDUP(MONTH('CF'!CV3)/3,0)</x:f>
      </x:c>
      <x:c r="S36" s="267" t="n">
        <x:f>SUM('CF'!CV6:'CF'!CX6)</x:f>
      </x:c>
      <x:c r="T36" s="267" t="n">
        <x:f>SUM('CF'!CV13:'CF'!CX13)</x:f>
      </x:c>
      <x:c r="U36" s="267" t="n">
        <x:f>MAX('CF'!CV19:'CF'!CX19)</x:f>
      </x:c>
      <x:c r="V36" s="267" t="n">
        <x:f>MAX('CF'!CV9:'CF'!CX9)</x:f>
      </x:c>
      <x:c r="W36" s="267"/>
      <x:c r="X36" s="267"/>
      <x:c r="Y36" s="267"/>
      <x:c r="Z36" s="267"/>
      <x:c r="AA36" s="267"/>
      <x:c r="AB36" s="267"/>
      <x:c r="AC36" s="267"/>
      <x:c r="AD36" s="267" t="str">
        <x:f>R36</x:f>
      </x:c>
      <x:c r="AE36" s="267" t="n">
        <x:f>U36</x:f>
      </x:c>
      <x:c r="AF36" s="267" t="n">
        <x:f>V36</x:f>
      </x:c>
    </x:row>
    <x:row r="37">
      <x:c r="R37" s="267" t="str">
        <x:f>TEXT('CF'!CY3,"yyyy")&amp;" Q"&amp;ROUNDUP(MONTH('CF'!CY3)/3,0)</x:f>
      </x:c>
      <x:c r="S37" s="267" t="n">
        <x:f>SUM('CF'!CY6:'CF'!DA6)</x:f>
      </x:c>
      <x:c r="T37" s="267" t="n">
        <x:f>SUM('CF'!CY13:'CF'!DA13)</x:f>
      </x:c>
      <x:c r="U37" s="267" t="n">
        <x:f>MAX('CF'!CY19:'CF'!DA19)</x:f>
      </x:c>
      <x:c r="V37" s="267" t="n">
        <x:f>MAX('CF'!CY9:'CF'!DA9)</x:f>
      </x:c>
      <x:c r="W37" s="267"/>
      <x:c r="X37" s="267"/>
      <x:c r="Y37" s="267"/>
      <x:c r="Z37" s="267"/>
      <x:c r="AA37" s="267"/>
      <x:c r="AB37" s="267"/>
      <x:c r="AC37" s="267"/>
      <x:c r="AD37" s="267" t="str">
        <x:f>R37</x:f>
      </x:c>
      <x:c r="AE37" s="267" t="n">
        <x:f>U37</x:f>
      </x:c>
      <x:c r="AF37" s="267" t="n">
        <x:f>V37</x:f>
      </x:c>
    </x:row>
    <x:row r="38">
      <x:c r="R38" s="267" t="str">
        <x:f>TEXT('CF'!DB3,"yyyy")&amp;" Q"&amp;ROUNDUP(MONTH('CF'!DB3)/3,0)</x:f>
      </x:c>
      <x:c r="S38" s="267" t="n">
        <x:f>SUM('CF'!DB6:'CF'!DD6)</x:f>
      </x:c>
      <x:c r="T38" s="267" t="n">
        <x:f>SUM('CF'!DB13:'CF'!DD13)</x:f>
      </x:c>
      <x:c r="U38" s="267" t="n">
        <x:f>MAX('CF'!DB19:'CF'!DD19)</x:f>
      </x:c>
      <x:c r="V38" s="267" t="n">
        <x:f>MAX('CF'!DB9:'CF'!DD9)</x:f>
      </x:c>
      <x:c r="W38" s="267"/>
      <x:c r="X38" s="267"/>
      <x:c r="Y38" s="267"/>
      <x:c r="Z38" s="267"/>
      <x:c r="AA38" s="267"/>
      <x:c r="AB38" s="267"/>
      <x:c r="AC38" s="267"/>
      <x:c r="AD38" s="267" t="str">
        <x:f>R38</x:f>
      </x:c>
      <x:c r="AE38" s="267" t="n">
        <x:f>U38</x:f>
      </x:c>
      <x:c r="AF38" s="267" t="n">
        <x:f>V38</x:f>
      </x:c>
    </x:row>
    <x:row r="39">
      <x:c r="R39" s="267" t="str">
        <x:f>TEXT('CF'!DE3,"yyyy")&amp;" Q"&amp;ROUNDUP(MONTH('CF'!DE3)/3,0)</x:f>
      </x:c>
      <x:c r="S39" s="267" t="n">
        <x:f>SUM('CF'!DE6:'CF'!DG6)</x:f>
      </x:c>
      <x:c r="T39" s="267" t="n">
        <x:f>SUM('CF'!DE13:'CF'!DG13)</x:f>
      </x:c>
      <x:c r="U39" s="267" t="n">
        <x:f>MAX('CF'!DE19:'CF'!DG19)</x:f>
      </x:c>
      <x:c r="V39" s="267" t="n">
        <x:f>MAX('CF'!DE9:'CF'!DG9)</x:f>
      </x:c>
      <x:c r="W39" s="267"/>
      <x:c r="X39" s="267"/>
      <x:c r="Y39" s="267"/>
      <x:c r="Z39" s="267"/>
      <x:c r="AA39" s="267"/>
      <x:c r="AB39" s="267"/>
      <x:c r="AC39" s="267"/>
      <x:c r="AD39" s="267" t="str">
        <x:f>R39</x:f>
      </x:c>
      <x:c r="AE39" s="267" t="n">
        <x:f>U39</x:f>
      </x:c>
      <x:c r="AF39" s="267" t="n">
        <x:f>V39</x:f>
      </x:c>
    </x:row>
    <x:row r="40">
      <x:c r="R40" s="267" t="str">
        <x:f>TEXT('CF'!DH3,"yyyy")&amp;" Q"&amp;ROUNDUP(MONTH('CF'!DH3)/3,0)</x:f>
      </x:c>
      <x:c r="S40" s="267" t="n">
        <x:f>SUM('CF'!DH6:'CF'!DJ6)</x:f>
      </x:c>
      <x:c r="T40" s="267" t="n">
        <x:f>SUM('CF'!DH13:'CF'!DJ13)</x:f>
      </x:c>
      <x:c r="U40" s="267" t="n">
        <x:f>MAX('CF'!DH19:'CF'!DJ19)</x:f>
      </x:c>
      <x:c r="V40" s="267" t="n">
        <x:f>MAX('CF'!DH9:'CF'!DJ9)</x:f>
      </x:c>
      <x:c r="W40" s="267"/>
      <x:c r="X40" s="267"/>
      <x:c r="Y40" s="267"/>
      <x:c r="Z40" s="267"/>
      <x:c r="AA40" s="267"/>
      <x:c r="AB40" s="267"/>
      <x:c r="AC40" s="267"/>
      <x:c r="AD40" s="267" t="str">
        <x:f>R40</x:f>
      </x:c>
      <x:c r="AE40" s="267" t="n">
        <x:f>U40</x:f>
      </x:c>
      <x:c r="AF40" s="267" t="n">
        <x:f>V40</x:f>
      </x:c>
    </x:row>
    <x:row r="41">
      <x:c r="R41" s="267" t="str">
        <x:f>TEXT('CF'!DK3,"yyyy")&amp;" Q"&amp;ROUNDUP(MONTH('CF'!DK3)/3,0)</x:f>
      </x:c>
      <x:c r="S41" s="267" t="n">
        <x:f>SUM('CF'!DK6:'CF'!DM6)</x:f>
      </x:c>
      <x:c r="T41" s="267" t="n">
        <x:f>SUM('CF'!DK13:'CF'!DM13)</x:f>
      </x:c>
      <x:c r="U41" s="267" t="n">
        <x:f>MAX('CF'!DK19:'CF'!DM19)</x:f>
      </x:c>
      <x:c r="V41" s="267" t="n">
        <x:f>MAX('CF'!DK9:'CF'!DM9)</x:f>
      </x:c>
      <x:c r="W41" s="267"/>
      <x:c r="X41" s="267"/>
      <x:c r="Y41" s="267"/>
      <x:c r="Z41" s="267"/>
      <x:c r="AA41" s="267"/>
      <x:c r="AB41" s="267"/>
      <x:c r="AC41" s="267"/>
      <x:c r="AD41" s="267" t="str">
        <x:f>R41</x:f>
      </x:c>
      <x:c r="AE41" s="267" t="n">
        <x:f>U41</x:f>
      </x:c>
      <x:c r="AF41" s="267" t="n">
        <x:f>V41</x:f>
      </x:c>
    </x:row>
    <x:row r="42">
      <x:c r="R42" s="267" t="str">
        <x:f>TEXT('CF'!DN3,"yyyy")&amp;" Q"&amp;ROUNDUP(MONTH('CF'!DN3)/3,0)</x:f>
      </x:c>
      <x:c r="S42" s="267" t="n">
        <x:f>SUM('CF'!DN6:'CF'!DP6)</x:f>
      </x:c>
      <x:c r="T42" s="267" t="n">
        <x:f>SUM('CF'!DN13:'CF'!DP13)</x:f>
      </x:c>
      <x:c r="U42" s="267" t="n">
        <x:f>MAX('CF'!DN19:'CF'!DP19)</x:f>
      </x:c>
      <x:c r="V42" s="267" t="n">
        <x:f>MAX('CF'!DN9:'CF'!DP9)</x:f>
      </x:c>
      <x:c r="W42" s="267"/>
      <x:c r="X42" s="267"/>
      <x:c r="Y42" s="267"/>
      <x:c r="Z42" s="267"/>
      <x:c r="AA42" s="267"/>
      <x:c r="AB42" s="267"/>
      <x:c r="AC42" s="267"/>
      <x:c r="AD42" s="267" t="str">
        <x:f>R42</x:f>
      </x:c>
      <x:c r="AE42" s="267" t="n">
        <x:f>U42</x:f>
      </x:c>
      <x:c r="AF42" s="267" t="n">
        <x:f>V42</x:f>
      </x:c>
    </x:row>
    <x:row r="43">
      <x:c r="R43" s="267" t="str">
        <x:f>TEXT('CF'!DQ3,"yyyy")&amp;" Q"&amp;ROUNDUP(MONTH('CF'!DQ3)/3,0)</x:f>
      </x:c>
      <x:c r="S43" s="267" t="n">
        <x:f>SUM('CF'!DQ6:'CF'!DS6)</x:f>
      </x:c>
      <x:c r="T43" s="267" t="n">
        <x:f>SUM('CF'!DQ13:'CF'!DS13)</x:f>
      </x:c>
      <x:c r="U43" s="267" t="n">
        <x:f>MAX('CF'!DQ19:'CF'!DS19)</x:f>
      </x:c>
      <x:c r="V43" s="267" t="n">
        <x:f>MAX('CF'!DQ9:'CF'!DS9)</x:f>
      </x:c>
      <x:c r="W43" s="267"/>
      <x:c r="X43" s="267"/>
      <x:c r="Y43" s="267"/>
      <x:c r="Z43" s="267"/>
      <x:c r="AA43" s="267"/>
      <x:c r="AB43" s="267"/>
      <x:c r="AC43" s="267"/>
      <x:c r="AD43" s="267" t="str">
        <x:f>R43</x:f>
      </x:c>
      <x:c r="AE43" s="267" t="n">
        <x:f>U43</x:f>
      </x:c>
      <x:c r="AF43" s="267" t="n">
        <x:f>V43</x:f>
      </x:c>
    </x:row>
    <x:row r="44">
      <x:c r="R44" s="267"/>
      <x:c r="S44" s="267"/>
      <x:c r="T44" s="267"/>
      <x:c r="U44" s="267"/>
      <x:c r="V44" s="267"/>
      <x:c r="W44" s="267"/>
      <x:c r="X44" s="267"/>
      <x:c r="Y44" s="267"/>
      <x:c r="Z44" s="267"/>
      <x:c r="AA44" s="267"/>
      <x:c r="AB44" s="267"/>
      <x:c r="AC44" s="267"/>
      <x:c r="AD44" s="267"/>
      <x:c r="AE44" s="267"/>
      <x:c r="AF44" s="267"/>
    </x:row>
    <x:row r="45">
      <x:c r="R45" s="267"/>
      <x:c r="S45" s="267"/>
      <x:c r="T45" s="267"/>
      <x:c r="U45" s="267"/>
      <x:c r="V45" s="267"/>
      <x:c r="W45" s="267"/>
      <x:c r="X45" s="267"/>
      <x:c r="Y45" s="267"/>
      <x:c r="Z45" s="267"/>
      <x:c r="AA45" s="267"/>
      <x:c r="AB45" s="267"/>
      <x:c r="AC45" s="267"/>
      <x:c r="AD45" s="267"/>
      <x:c r="AE45" s="267"/>
      <x:c r="AF45" s="267"/>
    </x:row>
    <x:row r="46">
      <x:c r="R46" s="267"/>
      <x:c r="S46" s="267"/>
      <x:c r="T46" s="267"/>
      <x:c r="U46" s="267"/>
      <x:c r="V46" s="267"/>
      <x:c r="W46" s="267"/>
      <x:c r="X46" s="267"/>
      <x:c r="Y46" s="267"/>
      <x:c r="Z46" s="267"/>
      <x:c r="AA46" s="267"/>
      <x:c r="AB46" s="267"/>
      <x:c r="AC46" s="267"/>
      <x:c r="AD46" s="267"/>
      <x:c r="AE46" s="267"/>
      <x:c r="AF46" s="267"/>
    </x:row>
    <x:row r="47">
      <x:c r="R47" s="267"/>
      <x:c r="S47" s="267"/>
      <x:c r="T47" s="267"/>
      <x:c r="U47" s="267"/>
      <x:c r="V47" s="267"/>
      <x:c r="W47" s="267"/>
      <x:c r="X47" s="267"/>
      <x:c r="Y47" s="267"/>
      <x:c r="Z47" s="267"/>
      <x:c r="AA47" s="267"/>
      <x:c r="AB47" s="267"/>
      <x:c r="AC47" s="267"/>
      <x:c r="AD47" s="267"/>
      <x:c r="AE47" s="267"/>
      <x:c r="AF47" s="267"/>
    </x:row>
    <x:row r="48">
      <x:c r="R48" s="267"/>
      <x:c r="S48" s="267"/>
      <x:c r="T48" s="267"/>
      <x:c r="U48" s="267"/>
      <x:c r="V48" s="267"/>
      <x:c r="W48" s="267"/>
      <x:c r="X48" s="267"/>
      <x:c r="Y48" s="267"/>
      <x:c r="Z48" s="267"/>
      <x:c r="AA48" s="267"/>
      <x:c r="AB48" s="267"/>
      <x:c r="AC48" s="267"/>
      <x:c r="AD48" s="267"/>
      <x:c r="AE48" s="267"/>
      <x:c r="AF48" s="267"/>
    </x:row>
    <x:row r="49">
      <x:c r="R49" s="267"/>
      <x:c r="S49" s="267"/>
      <x:c r="T49" s="267"/>
      <x:c r="U49" s="267"/>
      <x:c r="V49" s="267"/>
      <x:c r="W49" s="267"/>
      <x:c r="X49" s="267"/>
      <x:c r="Y49" s="267"/>
      <x:c r="Z49" s="267"/>
      <x:c r="AA49" s="267"/>
      <x:c r="AB49" s="267"/>
      <x:c r="AC49" s="267"/>
      <x:c r="AD49" s="267"/>
      <x:c r="AE49" s="267"/>
      <x:c r="AF49" s="267"/>
    </x:row>
    <x:row r="50">
      <x:c r="R50" s="267"/>
      <x:c r="S50" s="267"/>
      <x:c r="T50" s="267"/>
      <x:c r="U50" s="267"/>
      <x:c r="V50" s="267"/>
      <x:c r="W50" s="267"/>
      <x:c r="X50" s="267"/>
      <x:c r="Y50" s="267"/>
      <x:c r="Z50" s="267"/>
      <x:c r="AA50" s="267"/>
      <x:c r="AB50" s="267"/>
      <x:c r="AC50" s="267"/>
      <x:c r="AD50" s="267"/>
      <x:c r="AE50" s="267"/>
      <x:c r="AF50" s="267"/>
    </x:row>
    <x:row r="51">
      <x:c r="R51" s="267"/>
      <x:c r="S51" s="267"/>
      <x:c r="T51" s="267"/>
      <x:c r="U51" s="267"/>
      <x:c r="V51" s="267"/>
      <x:c r="W51" s="267"/>
      <x:c r="X51" s="267"/>
      <x:c r="Y51" s="267"/>
      <x:c r="Z51" s="267"/>
      <x:c r="AA51" s="267"/>
      <x:c r="AB51" s="267"/>
      <x:c r="AC51" s="267"/>
      <x:c r="AD51" s="267"/>
      <x:c r="AE51" s="267"/>
      <x:c r="AF51" s="267"/>
    </x:row>
    <x:row r="52">
      <x:c r="R52" s="267"/>
      <x:c r="S52" s="267"/>
      <x:c r="T52" s="267"/>
      <x:c r="U52" s="267"/>
      <x:c r="V52" s="267"/>
      <x:c r="W52" s="267"/>
      <x:c r="X52" s="267"/>
      <x:c r="Y52" s="267"/>
      <x:c r="Z52" s="267"/>
      <x:c r="AA52" s="267"/>
      <x:c r="AB52" s="267"/>
      <x:c r="AC52" s="267"/>
      <x:c r="AD52" s="267"/>
      <x:c r="AE52" s="267"/>
      <x:c r="AF52" s="267"/>
    </x:row>
    <x:row r="53">
      <x:c r="R53" s="267"/>
      <x:c r="S53" s="267"/>
      <x:c r="T53" s="267"/>
      <x:c r="U53" s="267"/>
      <x:c r="V53" s="267"/>
      <x:c r="W53" s="267"/>
      <x:c r="X53" s="267"/>
      <x:c r="Y53" s="267"/>
      <x:c r="Z53" s="267"/>
      <x:c r="AA53" s="267"/>
      <x:c r="AB53" s="267"/>
      <x:c r="AC53" s="267"/>
      <x:c r="AD53" s="267"/>
      <x:c r="AE53" s="267"/>
      <x:c r="AF53" s="267"/>
    </x:row>
    <x:row r="54">
      <x:c r="R54" s="267"/>
      <x:c r="S54" s="267"/>
      <x:c r="T54" s="267"/>
      <x:c r="U54" s="267"/>
      <x:c r="V54" s="267"/>
      <x:c r="W54" s="267"/>
      <x:c r="X54" s="267"/>
      <x:c r="Y54" s="267"/>
      <x:c r="Z54" s="267"/>
      <x:c r="AA54" s="267"/>
      <x:c r="AB54" s="267"/>
      <x:c r="AC54" s="267"/>
      <x:c r="AD54" s="267"/>
      <x:c r="AE54" s="267"/>
      <x:c r="AF54" s="267"/>
    </x:row>
    <x:row r="55">
      <x:c r="R55" s="267"/>
      <x:c r="S55" s="267"/>
      <x:c r="T55" s="267"/>
      <x:c r="U55" s="267"/>
      <x:c r="V55" s="267"/>
      <x:c r="W55" s="267"/>
      <x:c r="X55" s="267"/>
      <x:c r="Y55" s="267"/>
      <x:c r="Z55" s="267"/>
      <x:c r="AA55" s="267"/>
      <x:c r="AB55" s="267"/>
      <x:c r="AC55" s="267"/>
      <x:c r="AD55" s="267"/>
      <x:c r="AE55" s="267"/>
      <x:c r="AF55" s="267"/>
    </x:row>
    <x:row r="56">
      <x:c r="R56" s="267"/>
      <x:c r="S56" s="267"/>
      <x:c r="T56" s="267"/>
      <x:c r="U56" s="267"/>
      <x:c r="V56" s="267"/>
      <x:c r="W56" s="267"/>
      <x:c r="X56" s="267"/>
      <x:c r="Y56" s="267"/>
      <x:c r="Z56" s="267"/>
      <x:c r="AA56" s="267"/>
      <x:c r="AB56" s="267"/>
      <x:c r="AC56" s="267"/>
      <x:c r="AD56" s="267"/>
      <x:c r="AE56" s="267"/>
      <x:c r="AF56" s="267"/>
    </x:row>
    <x:row r="57">
      <x:c r="R57" s="267"/>
      <x:c r="S57" s="267"/>
      <x:c r="T57" s="267"/>
      <x:c r="U57" s="267"/>
      <x:c r="V57" s="267"/>
      <x:c r="W57" s="267"/>
      <x:c r="X57" s="267"/>
      <x:c r="Y57" s="267"/>
      <x:c r="Z57" s="267"/>
      <x:c r="AA57" s="267"/>
      <x:c r="AB57" s="267"/>
      <x:c r="AC57" s="267"/>
      <x:c r="AD57" s="267"/>
      <x:c r="AE57" s="267"/>
      <x:c r="AF57" s="267"/>
    </x:row>
    <x:row r="58">
      <x:c r="R58" s="267"/>
      <x:c r="S58" s="267"/>
      <x:c r="T58" s="267"/>
      <x:c r="U58" s="267"/>
      <x:c r="V58" s="267"/>
      <x:c r="W58" s="267"/>
      <x:c r="X58" s="267"/>
      <x:c r="Y58" s="267"/>
      <x:c r="Z58" s="267"/>
      <x:c r="AA58" s="267"/>
      <x:c r="AB58" s="267"/>
      <x:c r="AC58" s="267"/>
      <x:c r="AD58" s="267"/>
      <x:c r="AE58" s="267"/>
      <x:c r="AF58" s="267"/>
    </x:row>
    <x:row r="59">
      <x:c r="R59" s="267"/>
      <x:c r="S59" s="267"/>
      <x:c r="T59" s="267"/>
      <x:c r="U59" s="267"/>
      <x:c r="V59" s="267"/>
      <x:c r="W59" s="267"/>
      <x:c r="X59" s="267"/>
      <x:c r="Y59" s="267"/>
      <x:c r="Z59" s="267"/>
      <x:c r="AA59" s="267"/>
      <x:c r="AB59" s="267"/>
      <x:c r="AC59" s="267"/>
      <x:c r="AD59" s="267"/>
      <x:c r="AE59" s="267"/>
      <x:c r="AF59" s="267"/>
    </x:row>
    <x:row r="60">
      <x:c r="R60" s="267"/>
      <x:c r="S60" s="267"/>
      <x:c r="T60" s="267"/>
      <x:c r="U60" s="267"/>
      <x:c r="V60" s="267"/>
      <x:c r="W60" s="267"/>
      <x:c r="X60" s="267"/>
      <x:c r="Y60" s="267"/>
      <x:c r="Z60" s="267"/>
      <x:c r="AA60" s="267"/>
      <x:c r="AB60" s="267"/>
      <x:c r="AC60" s="267"/>
      <x:c r="AD60" s="267"/>
      <x:c r="AE60" s="267"/>
      <x:c r="AF60" s="267"/>
    </x:row>
  </x:sheetData>
  <x:mergeCells>
    <x:mergeCell ref="A1:P1"/>
    <x:mergeCell ref="A2:P2"/>
    <x:mergeCell ref="A4:D4"/>
    <x:mergeCell ref="A5:D7"/>
    <x:mergeCell ref="E4:H4"/>
    <x:mergeCell ref="E5:H7"/>
    <x:mergeCell ref="I4:L4"/>
    <x:mergeCell ref="I5:L7"/>
    <x:mergeCell ref="M4:P4"/>
    <x:mergeCell ref="M5:P7"/>
    <x:mergeCell ref="A9:D9"/>
    <x:mergeCell ref="A10:D12"/>
    <x:mergeCell ref="E9:H9"/>
    <x:mergeCell ref="E10:H12"/>
    <x:mergeCell ref="I9:L9"/>
    <x:mergeCell ref="I10:L12"/>
    <x:mergeCell ref="M9:P9"/>
    <x:mergeCell ref="M10:P12"/>
    <x:mergeCell ref="A15:P15"/>
  </x:mergeCells>
  <x:pageMargins left="0.7" right="0.7" top="0.75" bottom="0.75" header="0.3" footer="0.3"/>
  <x:drawing xmlns:r="http://schemas.openxmlformats.org/officeDocument/2006/relationships" r:id="R3995f2a1ad5b43e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4" hidden="0" customWidth="1"/>
  </x:cols>
  <x:sheetData>
    <x:row r="1" ht="28" customHeight="1">
      <x:c r="A1" s="4" t="str">
        <x:v>ПРОВЕРКИ И КОНТРОЛИ МОДЕЛИ</x:v>
      </x:c>
      <x:c r="B1" s="4" t="str">
        <x:v>ПРОВЕРКИ И КОНТРОЛИ МОДЕЛИ</x:v>
      </x:c>
      <x:c r="C1" s="4" t="str">
        <x:v>ПРОВЕРКИ И КОНТРОЛИ МОДЕЛИ</x:v>
      </x:c>
      <x:c r="D1" s="4" t="str">
        <x:v>ПРОВЕРКИ И КОНТРОЛИ МОДЕЛИ</x:v>
      </x:c>
      <x:c r="E1" s="4" t="str">
        <x:v>ПРОВЕРКИ И КОНТРОЛИ МОДЕЛИ</x:v>
      </x:c>
      <x:c r="F1" s="4" t="str">
        <x:v>ПРОВЕРКИ И КОНТРОЛИ МОДЕЛИ</x:v>
      </x:c>
      <x:c r="G1" s="4" t="str">
        <x:v>ПРОВЕРКИ И КОНТРОЛИ МОДЕЛИ</x:v>
      </x:c>
      <x:c r="H1" s="4" t="str">
        <x:v>ПРОВЕРКИ И КОНТРОЛИ МОДЕЛИ</x:v>
      </x:c>
    </x:row>
    <x:row r="3">
      <x:c r="A3" s="2" t="str">
        <x:v>MODEL STATUS</x:v>
      </x:c>
      <x:c r="B3" s="147" t="str">
        <x:f>IF(COUNTIF(F6:F75,"FAIL")&gt;0,"FAIL",IF(COUNTIF(F6:F75,"WARN")&gt;0,"PASS WITH WARNINGS","PASS"))</x:f>
      </x:c>
      <x:c r="C3" s="147"/>
      <x:c r="D3" s="147"/>
      <x:c r="E3" s="147"/>
      <x:c r="F3" s="147"/>
      <x:c r="G3" s="147"/>
      <x:c r="H3" s="147"/>
    </x:row>
    <x:row r="5">
      <x:c r="A5" s="23" t="str">
        <x:v>Проверка</x:v>
      </x:c>
      <x:c r="B5" s="23" t="str">
        <x:v>Факт</x:v>
      </x:c>
      <x:c r="C5" s="23" t="str">
        <x:v>Ожидание</x:v>
      </x:c>
      <x:c r="D5" s="23" t="str">
        <x:v>Разница</x:v>
      </x:c>
      <x:c r="E5" s="23" t="str">
        <x:v>Допуск</x:v>
      </x:c>
      <x:c r="F5" s="23" t="str">
        <x:v>Статус</x:v>
      </x:c>
      <x:c r="G5" s="23" t="str">
        <x:v>Где исправить</x:v>
      </x:c>
      <x:c r="H5" s="23" t="str">
        <x:v>Комментарий</x:v>
      </x:c>
    </x:row>
    <x:row r="6">
      <x:c r="A6" t="str">
        <x:v>Очередь 1: объём квартир</x:v>
      </x:c>
      <x:c r="B6" s="148" t="n">
        <x:f>'Продажи'!B14</x:f>
      </x:c>
      <x:c r="C6" s="148" t="n">
        <x:f>'Вводные'!$L$88</x:f>
      </x:c>
      <x:c r="D6" s="148" t="n">
        <x:f>B6-C6</x:f>
      </x:c>
      <x:c r="E6" s="148" t="n">
        <x:v>0.01</x:v>
      </x:c>
      <x:c r="F6" t="str">
        <x:f>IF(ABS(D6)&lt;=E6,"OK","FAIL")</x:f>
      </x:c>
      <x:c r="G6" t="str">
        <x:v>Продажи / очередь 1</x:v>
      </x:c>
      <x:c r="H6" t="str">
        <x:v>Расчётная целостность</x:v>
      </x:c>
    </x:row>
    <x:row r="7">
      <x:c r="A7" t="str">
        <x:v>Очередь 1: объём коммерции</x:v>
      </x:c>
      <x:c r="B7" s="148" t="n">
        <x:f>'Продажи'!B17</x:f>
      </x:c>
      <x:c r="C7" s="148" t="n">
        <x:f>'Вводные'!$M$88</x:f>
      </x:c>
      <x:c r="D7" s="148" t="n">
        <x:f>B7-C7</x:f>
      </x:c>
      <x:c r="E7" s="148" t="n">
        <x:v>0.01</x:v>
      </x:c>
      <x:c r="F7" t="str">
        <x:f>IF(ABS(D7)&lt;=E7,"OK","FAIL")</x:f>
      </x:c>
      <x:c r="G7" t="str">
        <x:v>Продажи / очередь 1</x:v>
      </x:c>
      <x:c r="H7" t="str">
        <x:v>Расчётная целостность</x:v>
      </x:c>
    </x:row>
    <x:row r="8">
      <x:c r="A8" t="str">
        <x:v>Очередь 1: roll-forward БРИДЖ</x:v>
      </x:c>
      <x:c r="B8" s="148" t="n">
        <x:f>'CF_1'!B60</x:f>
      </x:c>
      <x:c r="C8" s="148" t="n">
        <x:f>0</x:f>
      </x:c>
      <x:c r="D8" s="148" t="n">
        <x:f>B8-C8</x:f>
      </x:c>
      <x:c r="E8" s="148" t="n">
        <x:v>0.01</x:v>
      </x:c>
      <x:c r="F8" t="str">
        <x:f>IF(ABS(D8)&lt;=E8,"OK","FAIL")</x:f>
      </x:c>
      <x:c r="G8" t="str">
        <x:v>CF_1</x:v>
      </x:c>
      <x:c r="H8" t="str">
        <x:v>Расчётная целостность</x:v>
      </x:c>
    </x:row>
    <x:row r="9">
      <x:c r="A9" t="str">
        <x:v>Очередь 1: roll-forward ПФ</x:v>
      </x:c>
      <x:c r="B9" s="148" t="n">
        <x:f>'CF_1'!B61</x:f>
      </x:c>
      <x:c r="C9" s="148" t="n">
        <x:f>0</x:f>
      </x:c>
      <x:c r="D9" s="148" t="n">
        <x:f>B9-C9</x:f>
      </x:c>
      <x:c r="E9" s="148" t="n">
        <x:v>0.01</x:v>
      </x:c>
      <x:c r="F9" t="str">
        <x:f>IF(ABS(D9)&lt;=E9,"OK","FAIL")</x:f>
      </x:c>
      <x:c r="G9" t="str">
        <x:v>CF_1</x:v>
      </x:c>
      <x:c r="H9" t="str">
        <x:v>Расчётная целостность</x:v>
      </x:c>
    </x:row>
    <x:row r="10">
      <x:c r="A10" t="str">
        <x:v>Очередь 1: roll-forward эскроу</x:v>
      </x:c>
      <x:c r="B10" s="148" t="n">
        <x:f>'CF_1'!B62</x:f>
      </x:c>
      <x:c r="C10" s="148" t="n">
        <x:f>0</x:f>
      </x:c>
      <x:c r="D10" s="148" t="n">
        <x:f>B10-C10</x:f>
      </x:c>
      <x:c r="E10" s="148" t="n">
        <x:v>0.01</x:v>
      </x:c>
      <x:c r="F10" t="str">
        <x:f>IF(ABS(D10)&lt;=E10,"OK","FAIL")</x:f>
      </x:c>
      <x:c r="G10" t="str">
        <x:v>CF_1</x:v>
      </x:c>
      <x:c r="H10" t="str">
        <x:v>Расчётная целостность</x:v>
      </x:c>
    </x:row>
    <x:row r="11">
      <x:c r="A11" t="str">
        <x:v>Очередь 2: объём квартир</x:v>
      </x:c>
      <x:c r="B11" s="148" t="n">
        <x:f>'Продажи'!B37</x:f>
      </x:c>
      <x:c r="C11" s="148" t="n">
        <x:f>'Вводные'!$L$89</x:f>
      </x:c>
      <x:c r="D11" s="148" t="n">
        <x:f>B11-C11</x:f>
      </x:c>
      <x:c r="E11" s="148" t="n">
        <x:v>0.01</x:v>
      </x:c>
      <x:c r="F11" t="str">
        <x:f>IF(ABS(D11)&lt;=E11,"OK","FAIL")</x:f>
      </x:c>
      <x:c r="G11" t="str">
        <x:v>Продажи / очередь 2</x:v>
      </x:c>
      <x:c r="H11" t="str">
        <x:v>Расчётная целостность</x:v>
      </x:c>
    </x:row>
    <x:row r="12">
      <x:c r="A12" t="str">
        <x:v>Очередь 2: объём коммерции</x:v>
      </x:c>
      <x:c r="B12" s="148" t="n">
        <x:f>'Продажи'!B40</x:f>
      </x:c>
      <x:c r="C12" s="148" t="n">
        <x:f>'Вводные'!$M$89</x:f>
      </x:c>
      <x:c r="D12" s="148" t="n">
        <x:f>B12-C12</x:f>
      </x:c>
      <x:c r="E12" s="148" t="n">
        <x:v>0.01</x:v>
      </x:c>
      <x:c r="F12" t="str">
        <x:f>IF(ABS(D12)&lt;=E12,"OK","FAIL")</x:f>
      </x:c>
      <x:c r="G12" t="str">
        <x:v>Продажи / очередь 2</x:v>
      </x:c>
      <x:c r="H12" t="str">
        <x:v>Расчётная целостность</x:v>
      </x:c>
    </x:row>
    <x:row r="13">
      <x:c r="A13" t="str">
        <x:v>Очередь 2: roll-forward БРИДЖ</x:v>
      </x:c>
      <x:c r="B13" s="148" t="n">
        <x:f>'CF_2'!B60</x:f>
      </x:c>
      <x:c r="C13" s="148" t="n">
        <x:f>0</x:f>
      </x:c>
      <x:c r="D13" s="148" t="n">
        <x:f>B13-C13</x:f>
      </x:c>
      <x:c r="E13" s="148" t="n">
        <x:v>0.01</x:v>
      </x:c>
      <x:c r="F13" t="str">
        <x:f>IF(ABS(D13)&lt;=E13,"OK","FAIL")</x:f>
      </x:c>
      <x:c r="G13" t="str">
        <x:v>CF_2</x:v>
      </x:c>
      <x:c r="H13" t="str">
        <x:v>Расчётная целостность</x:v>
      </x:c>
    </x:row>
    <x:row r="14">
      <x:c r="A14" t="str">
        <x:v>Очередь 2: roll-forward ПФ</x:v>
      </x:c>
      <x:c r="B14" s="148" t="n">
        <x:f>'CF_2'!B61</x:f>
      </x:c>
      <x:c r="C14" s="148" t="n">
        <x:f>0</x:f>
      </x:c>
      <x:c r="D14" s="148" t="n">
        <x:f>B14-C14</x:f>
      </x:c>
      <x:c r="E14" s="148" t="n">
        <x:v>0.01</x:v>
      </x:c>
      <x:c r="F14" t="str">
        <x:f>IF(ABS(D14)&lt;=E14,"OK","FAIL")</x:f>
      </x:c>
      <x:c r="G14" t="str">
        <x:v>CF_2</x:v>
      </x:c>
      <x:c r="H14" t="str">
        <x:v>Расчётная целостность</x:v>
      </x:c>
    </x:row>
    <x:row r="15">
      <x:c r="A15" t="str">
        <x:v>Очередь 2: roll-forward эскроу</x:v>
      </x:c>
      <x:c r="B15" s="148" t="n">
        <x:f>'CF_2'!B62</x:f>
      </x:c>
      <x:c r="C15" s="148" t="n">
        <x:f>0</x:f>
      </x:c>
      <x:c r="D15" s="148" t="n">
        <x:f>B15-C15</x:f>
      </x:c>
      <x:c r="E15" s="148" t="n">
        <x:v>0.01</x:v>
      </x:c>
      <x:c r="F15" t="str">
        <x:f>IF(ABS(D15)&lt;=E15,"OK","FAIL")</x:f>
      </x:c>
      <x:c r="G15" t="str">
        <x:v>CF_2</x:v>
      </x:c>
      <x:c r="H15" t="str">
        <x:v>Расчётная целостность</x:v>
      </x:c>
    </x:row>
    <x:row r="16">
      <x:c r="A16" t="str">
        <x:v>Очередь 3: объём квартир</x:v>
      </x:c>
      <x:c r="B16" s="148" t="n">
        <x:f>'Продажи'!B60</x:f>
      </x:c>
      <x:c r="C16" s="148" t="n">
        <x:f>'Вводные'!$L$90</x:f>
      </x:c>
      <x:c r="D16" s="148" t="n">
        <x:f>B16-C16</x:f>
      </x:c>
      <x:c r="E16" s="148" t="n">
        <x:v>0.01</x:v>
      </x:c>
      <x:c r="F16" t="str">
        <x:f>IF(ABS(D16)&lt;=E16,"OK","FAIL")</x:f>
      </x:c>
      <x:c r="G16" t="str">
        <x:v>Продажи / очередь 3</x:v>
      </x:c>
      <x:c r="H16" t="str">
        <x:v>Расчётная целостность</x:v>
      </x:c>
    </x:row>
    <x:row r="17">
      <x:c r="A17" t="str">
        <x:v>Очередь 3: объём коммерции</x:v>
      </x:c>
      <x:c r="B17" s="148" t="n">
        <x:f>'Продажи'!B63</x:f>
      </x:c>
      <x:c r="C17" s="148" t="n">
        <x:f>'Вводные'!$M$90</x:f>
      </x:c>
      <x:c r="D17" s="148" t="n">
        <x:f>B17-C17</x:f>
      </x:c>
      <x:c r="E17" s="148" t="n">
        <x:v>0.01</x:v>
      </x:c>
      <x:c r="F17" t="str">
        <x:f>IF(ABS(D17)&lt;=E17,"OK","FAIL")</x:f>
      </x:c>
      <x:c r="G17" t="str">
        <x:v>Продажи / очередь 3</x:v>
      </x:c>
      <x:c r="H17" t="str">
        <x:v>Расчётная целостность</x:v>
      </x:c>
    </x:row>
    <x:row r="18">
      <x:c r="A18" t="str">
        <x:v>Очередь 3: roll-forward БРИДЖ</x:v>
      </x:c>
      <x:c r="B18" s="148" t="n">
        <x:f>'CF_3'!B60</x:f>
      </x:c>
      <x:c r="C18" s="148" t="n">
        <x:f>0</x:f>
      </x:c>
      <x:c r="D18" s="148" t="n">
        <x:f>B18-C18</x:f>
      </x:c>
      <x:c r="E18" s="148" t="n">
        <x:v>0.01</x:v>
      </x:c>
      <x:c r="F18" t="str">
        <x:f>IF(ABS(D18)&lt;=E18,"OK","FAIL")</x:f>
      </x:c>
      <x:c r="G18" t="str">
        <x:v>CF_3</x:v>
      </x:c>
      <x:c r="H18" t="str">
        <x:v>Расчётная целостность</x:v>
      </x:c>
    </x:row>
    <x:row r="19">
      <x:c r="A19" t="str">
        <x:v>Очередь 3: roll-forward ПФ</x:v>
      </x:c>
      <x:c r="B19" s="148" t="n">
        <x:f>'CF_3'!B61</x:f>
      </x:c>
      <x:c r="C19" s="148" t="n">
        <x:f>0</x:f>
      </x:c>
      <x:c r="D19" s="148" t="n">
        <x:f>B19-C19</x:f>
      </x:c>
      <x:c r="E19" s="148" t="n">
        <x:v>0.01</x:v>
      </x:c>
      <x:c r="F19" t="str">
        <x:f>IF(ABS(D19)&lt;=E19,"OK","FAIL")</x:f>
      </x:c>
      <x:c r="G19" t="str">
        <x:v>CF_3</x:v>
      </x:c>
      <x:c r="H19" t="str">
        <x:v>Расчётная целостность</x:v>
      </x:c>
    </x:row>
    <x:row r="20">
      <x:c r="A20" t="str">
        <x:v>Очередь 3: roll-forward эскроу</x:v>
      </x:c>
      <x:c r="B20" s="148" t="n">
        <x:f>'CF_3'!B62</x:f>
      </x:c>
      <x:c r="C20" s="148" t="n">
        <x:f>0</x:f>
      </x:c>
      <x:c r="D20" s="148" t="n">
        <x:f>B20-C20</x:f>
      </x:c>
      <x:c r="E20" s="148" t="n">
        <x:v>0.01</x:v>
      </x:c>
      <x:c r="F20" t="str">
        <x:f>IF(ABS(D20)&lt;=E20,"OK","FAIL")</x:f>
      </x:c>
      <x:c r="G20" t="str">
        <x:v>CF_3</x:v>
      </x:c>
      <x:c r="H20" t="str">
        <x:v>Расчётная целостность</x:v>
      </x:c>
    </x:row>
    <x:row r="21">
      <x:c r="A21" t="str">
        <x:v>Консолидация выручки</x:v>
      </x:c>
      <x:c r="B21" s="148" t="n">
        <x:f>'CF'!B6</x:f>
      </x:c>
      <x:c r="C21" s="148" t="n">
        <x:f>SUM('КОНСОЛИДАТОР'!G4:G7)</x:f>
      </x:c>
      <x:c r="D21" s="148" t="n">
        <x:f>B21-C21</x:f>
      </x:c>
      <x:c r="E21" s="148" t="n">
        <x:v>0.01</x:v>
      </x:c>
      <x:c r="F21" t="str">
        <x:f>IF(ABS(D21)&lt;=E21,"OK","FAIL")</x:f>
      </x:c>
      <x:c r="G21" t="str">
        <x:v>CF / КОНСОЛИДАТОР</x:v>
      </x:c>
      <x:c r="H21" t="str">
        <x:v>Расчётная целостность</x:v>
      </x:c>
    </x:row>
    <x:row r="22">
      <x:c r="A22" t="str">
        <x:v>Консолидация CAPEX</x:v>
      </x:c>
      <x:c r="B22" s="148" t="n">
        <x:f>'CF'!B11</x:f>
      </x:c>
      <x:c r="C22" s="148" t="n">
        <x:f>SUM('КОНСОЛИДАТОР'!H4:H7)</x:f>
      </x:c>
      <x:c r="D22" s="148" t="n">
        <x:f>B22-C22</x:f>
      </x:c>
      <x:c r="E22" s="148" t="n">
        <x:v>0.01</x:v>
      </x:c>
      <x:c r="F22" t="str">
        <x:f>IF(ABS(D22)&lt;=E22,"OK","FAIL")</x:f>
      </x:c>
      <x:c r="G22" t="str">
        <x:v>CF / КОНСОЛИДАТОР</x:v>
      </x:c>
      <x:c r="H22" t="str">
        <x:v>Расчётная целостность</x:v>
      </x:c>
    </x:row>
    <x:row r="23">
      <x:c r="A23" t="str">
        <x:v>Финальный долг</x:v>
      </x:c>
      <x:c r="B23" s="148" t="n">
        <x:f>'CF'!B19</x:f>
      </x:c>
      <x:c r="C23" s="148" t="n">
        <x:f>0</x:f>
      </x:c>
      <x:c r="D23" s="148" t="n">
        <x:f>B23-C23</x:f>
      </x:c>
      <x:c r="E23" s="148" t="n">
        <x:v>0.01</x:v>
      </x:c>
      <x:c r="F23" t="str">
        <x:f>IF(ABS(D23)&lt;=E23,"OK","FAIL")</x:f>
      </x:c>
      <x:c r="G23" t="str">
        <x:v>КРЕДИТЫ</x:v>
      </x:c>
      <x:c r="H23" t="str">
        <x:v>Расчётная целостность</x:v>
      </x:c>
    </x:row>
    <x:row r="24">
      <x:c r="A24" t="str">
        <x:v>Финальный эскроу</x:v>
      </x:c>
      <x:c r="B24" s="148" t="n">
        <x:f>'CF'!B9</x:f>
      </x:c>
      <x:c r="C24" s="148" t="n">
        <x:f>0</x:f>
      </x:c>
      <x:c r="D24" s="148" t="n">
        <x:f>B24-C24</x:f>
      </x:c>
      <x:c r="E24" s="148" t="n">
        <x:v>0.01</x:v>
      </x:c>
      <x:c r="F24" t="str">
        <x:f>IF(ABS(D24)&lt;=E24,"OK","FAIL")</x:f>
      </x:c>
      <x:c r="G24" t="str">
        <x:v>CF</x:v>
      </x:c>
      <x:c r="H24" t="str">
        <x:v>Расчётная целостность</x:v>
      </x:c>
    </x:row>
    <x:row r="25">
      <x:c r="A25" t="inlineStr">
        <x:is>
          <x:t>LLCR проекта vs ковенант</x:t>
        </x:is>
      </x:c>
      <x:c r="B25" s="148" t="n">
        <x:f>'CF'!B30</x:f>
      </x:c>
      <x:c r="C25" s="148" t="n">
        <x:f>'Вводные'!$B$32</x:f>
      </x:c>
      <x:c r="D25" s="148" t="n">
        <x:f>B25-C25</x:f>
      </x:c>
      <x:c r="E25" s="148" t="n">
        <x:v>0.01</x:v>
      </x:c>
      <x:c r="F25" t="str">
        <x:f>IF(B25&gt;=C25,"OK","WARN")</x:f>
      </x:c>
      <x:c r="G25" t="str">
        <x:v>Вводные / финансирование</x:v>
      </x:c>
      <x:c r="H25" t="str">
        <x:v>Бизнес-контроль</x:v>
      </x:c>
    </x:row>
    <x:row r="26">
      <x:c r="A26" t="str">
        <x:v>Сумма долей покупки</x:v>
      </x:c>
      <x:c r="B26" s="148" t="n">
        <x:f>SUM('Вводные'!P88:P91)</x:f>
      </x:c>
      <x:c r="C26" s="148" t="n">
        <x:f>1</x:f>
      </x:c>
      <x:c r="D26" s="148" t="n">
        <x:f>B26-C26</x:f>
      </x:c>
      <x:c r="E26" s="148" t="n">
        <x:v>0.01</x:v>
      </x:c>
      <x:c r="F26" t="str">
        <x:f>IF(ABS(D26)&lt;=E26,"OK","WARN")</x:f>
      </x:c>
      <x:c r="G26" t="str">
        <x:v>Вводные / очереди</x:v>
      </x:c>
      <x:c r="H26" t="str">
        <x:v>Бизнес-контроль</x:v>
      </x:c>
    </x:row>
    <x:row r="27">
      <x:c r="A27" t="str">
        <x:v>Сумма долей ВРИ</x:v>
      </x:c>
      <x:c r="B27" s="148" t="n">
        <x:f>SUM('Вводные'!Q88:Q91)</x:f>
      </x:c>
      <x:c r="C27" s="148" t="n">
        <x:f>1</x:f>
      </x:c>
      <x:c r="D27" s="148" t="n">
        <x:f>B27-C27</x:f>
      </x:c>
      <x:c r="E27" s="148" t="n">
        <x:v>0.01</x:v>
      </x:c>
      <x:c r="F27" t="str">
        <x:f>IF(ABS(D27)&lt;=E27,"OK","WARN")</x:f>
      </x:c>
      <x:c r="G27" t="str">
        <x:v>Вводные / очереди</x:v>
      </x:c>
      <x:c r="H27" t="str">
        <x:v>Бизнес-контроль</x:v>
      </x:c>
    </x:row>
    <x:row r="28">
      <x:c r="A28" t="str">
        <x:v>Сумма долей соцнагрузки</x:v>
      </x:c>
      <x:c r="B28" s="148" t="n">
        <x:f>SUM('Вводные'!R88:R91)</x:f>
      </x:c>
      <x:c r="C28" s="148" t="n">
        <x:f>1</x:f>
      </x:c>
      <x:c r="D28" s="148" t="n">
        <x:f>B28-C28</x:f>
      </x:c>
      <x:c r="E28" s="148" t="n">
        <x:v>0.01</x:v>
      </x:c>
      <x:c r="F28" t="str">
        <x:f>IF(ABS(D28)&lt;=E28,"OK","WARN")</x:f>
      </x:c>
      <x:c r="G28" t="str">
        <x:v>Вводные / очереди</x:v>
      </x:c>
      <x:c r="H28" t="str">
        <x:v>Бизнес-контроль</x:v>
      </x:c>
    </x:row>
    <x:row r="29">
      <x:c r="A29" t="str">
        <x:v>ВРИ: допустимый срок по 593-ПП</x:v>
      </x:c>
      <x:c r="B29" s="148" t="n">
        <x:f>IF(OR('Вводные'!$B$75="Единовременно",'Вводные'!$B$77&lt;=IF(MAX(0,'Вводные'!$B$16-'Вводные'!$B$82)&lt;=100,1,IF(MAX(0,'Вводные'!$B$16-'Вводные'!$B$82)&lt;=500,3,6))),0,1)</x:f>
      </x:c>
      <x:c r="C29" s="148" t="n">
        <x:f>0</x:f>
      </x:c>
      <x:c r="D29" s="148" t="n">
        <x:f>B29-C29</x:f>
      </x:c>
      <x:c r="E29" s="148" t="n">
        <x:v>0.01</x:v>
      </x:c>
      <x:c r="F29" t="str">
        <x:f>IF(ABS(D29)&lt;=E29,"OK","WARN")</x:f>
      </x:c>
      <x:c r="G29" t="str">
        <x:v>Вводные / ВРИ</x:v>
      </x:c>
      <x:c r="H29" t="str">
        <x:v>Бизнес-контроль</x:v>
      </x:c>
    </x:row>
    <x:row r="30">
      <x:c r="A30" t="str">
        <x:v>ВРИ: остаток на начало заполнен</x:v>
      </x:c>
      <x:c r="B30" s="148" t="n">
        <x:f>COUNT('ВРИ'!B10,'ВРИ'!B23,'ВРИ'!B36,'ВРИ'!B49)</x:f>
      </x:c>
      <x:c r="C30" s="148" t="n">
        <x:f>4</x:f>
      </x:c>
      <x:c r="D30" s="148" t="n">
        <x:f>B30-C30</x:f>
      </x:c>
      <x:c r="E30" s="148" t="n">
        <x:v>0.01</x:v>
      </x:c>
      <x:c r="F30" t="str">
        <x:f>IF(ABS(D30)&lt;=E30,"OK","FAIL")</x:f>
      </x:c>
      <x:c r="G30" t="str">
        <x:v>ВРИ</x:v>
      </x:c>
      <x:c r="H30" t="str">
        <x:v>Расчётная целостность</x:v>
      </x:c>
    </x:row>
    <x:row r="31">
      <x:c r="A31" t="str">
        <x:v>ВРИ: финальный остаток</x:v>
      </x:c>
      <x:c r="B31" s="148" t="n">
        <x:f>SUM('ВРИ'!B16,'ВРИ'!B29,'ВРИ'!B42,'ВРИ'!B55)</x:f>
      </x:c>
      <x:c r="C31" s="148" t="n">
        <x:f>0</x:f>
      </x:c>
      <x:c r="D31" s="148" t="n">
        <x:f>B31-C31</x:f>
      </x:c>
      <x:c r="E31" s="148" t="n">
        <x:v>0.01</x:v>
      </x:c>
      <x:c r="F31" t="str">
        <x:f>IF(ABS(D31)&lt;=E31,"OK","FAIL")</x:f>
      </x:c>
      <x:c r="G31" t="str">
        <x:v>ВРИ</x:v>
      </x:c>
      <x:c r="H31" t="str">
        <x:v>Расчётная целостность</x:v>
      </x:c>
    </x:row>
    <x:row r="32">
      <x:c r="A32" t="inlineStr">
        <x:is>
          <x:t>Потребность в долге профинансирована банком полностью</x:t>
        </x:is>
      </x:c>
      <x:c r="B32" s="148" t="n">
        <x:f>SUM('CF_1'!D44:DS44,'CF_2'!D44:DS44,'CF_3'!D44:DS44,'CF_4'!D44:DS44)-SUM('CF_1'!D45:DS45,'CF_2'!D45:DS45,'CF_3'!D45:DS45,'CF_4'!D45:DS45)</x:f>
      </x:c>
      <x:c r="C32" s="148" t="n">
        <x:f>0</x:f>
      </x:c>
      <x:c r="D32" s="148" t="n">
        <x:f>B32-C32</x:f>
      </x:c>
      <x:c r="E32" s="148" t="n">
        <x:v>0.01</x:v>
      </x:c>
      <x:c r="F32" t="str">
        <x:f>IF(B32&lt;=C32+E32,"OK","FAIL")</x:f>
      </x:c>
      <x:c r="G32" t="str">
        <x:v>Вводные / финансирование</x:v>
      </x:c>
      <x:c r="H32" t="str">
        <x:v>Расчётная целостность</x:v>
      </x:c>
    </x:row>
    <x:row r="33">
      <x:c r="A33" t="str">
        <x:v>Очередь 1: объём подземного паркинга</x:v>
      </x:c>
      <x:c r="B33" s="148" t="n">
        <x:f>'Продажи'!B20</x:f>
      </x:c>
      <x:c r="C33" s="148" t="n">
        <x:f>'Вводные'!N88</x:f>
      </x:c>
      <x:c r="D33" s="148" t="n">
        <x:f>B33-C33</x:f>
      </x:c>
      <x:c r="E33" s="148" t="n">
        <x:v>0.01</x:v>
      </x:c>
      <x:c r="F33" t="str">
        <x:f>IF(ABS(D33)&lt;=E33,"OK","FAIL")</x:f>
      </x:c>
      <x:c r="G33" t="str">
        <x:v>Продажи / паркинг</x:v>
      </x:c>
      <x:c r="H33" t="str">
        <x:v>Объём машино-мест полностью реализован</x:v>
      </x:c>
    </x:row>
    <x:row r="34">
      <x:c r="A34" t="str">
        <x:v>Очередь 1: объём кладовых</x:v>
      </x:c>
      <x:c r="B34" s="148" t="n">
        <x:f>'Продажи'!B23</x:f>
      </x:c>
      <x:c r="C34" s="148" t="n">
        <x:f>'Вводные'!O88</x:f>
      </x:c>
      <x:c r="D34" s="148" t="n">
        <x:f>B34-C34</x:f>
      </x:c>
      <x:c r="E34" s="148" t="n">
        <x:v>0.01</x:v>
      </x:c>
      <x:c r="F34" t="str">
        <x:f>IF(ABS(D34)&lt;=E34,"OK","FAIL")</x:f>
      </x:c>
      <x:c r="G34" t="str">
        <x:v>Продажи / кладовые</x:v>
      </x:c>
      <x:c r="H34" t="str">
        <x:v>Объём кладовых полностью реализован</x:v>
      </x:c>
    </x:row>
    <x:row r="35">
      <x:c r="A35" t="str">
        <x:v>Очередь 2: объём подземного паркинга</x:v>
      </x:c>
      <x:c r="B35" s="148" t="n">
        <x:f>'Продажи'!B43</x:f>
      </x:c>
      <x:c r="C35" s="148" t="n">
        <x:f>'Вводные'!N89</x:f>
      </x:c>
      <x:c r="D35" s="148" t="n">
        <x:f>B35-C35</x:f>
      </x:c>
      <x:c r="E35" s="148" t="n">
        <x:v>0.01</x:v>
      </x:c>
      <x:c r="F35" t="str">
        <x:f>IF(ABS(D35)&lt;=E35,"OK","FAIL")</x:f>
      </x:c>
      <x:c r="G35" t="str">
        <x:v>Продажи / паркинг</x:v>
      </x:c>
      <x:c r="H35" t="str">
        <x:v>Объём машино-мест полностью реализован</x:v>
      </x:c>
    </x:row>
    <x:row r="36">
      <x:c r="A36" t="str">
        <x:v>Очередь 2: объём кладовых</x:v>
      </x:c>
      <x:c r="B36" s="148" t="n">
        <x:f>'Продажи'!B46</x:f>
      </x:c>
      <x:c r="C36" s="148" t="n">
        <x:f>'Вводные'!O89</x:f>
      </x:c>
      <x:c r="D36" s="148" t="n">
        <x:f>B36-C36</x:f>
      </x:c>
      <x:c r="E36" s="148" t="n">
        <x:v>0.01</x:v>
      </x:c>
      <x:c r="F36" t="str">
        <x:f>IF(ABS(D36)&lt;=E36,"OK","FAIL")</x:f>
      </x:c>
      <x:c r="G36" t="str">
        <x:v>Продажи / кладовые</x:v>
      </x:c>
      <x:c r="H36" t="str">
        <x:v>Объём кладовых полностью реализован</x:v>
      </x:c>
    </x:row>
    <x:row r="37">
      <x:c r="A37" t="str">
        <x:v>Очередь 3: объём подземного паркинга</x:v>
      </x:c>
      <x:c r="B37" s="148" t="n">
        <x:f>'Продажи'!B66</x:f>
      </x:c>
      <x:c r="C37" s="148" t="n">
        <x:f>'Вводные'!N90</x:f>
      </x:c>
      <x:c r="D37" s="148" t="n">
        <x:f>B37-C37</x:f>
      </x:c>
      <x:c r="E37" s="148" t="n">
        <x:v>0.01</x:v>
      </x:c>
      <x:c r="F37" t="str">
        <x:f>IF(ABS(D37)&lt;=E37,"OK","FAIL")</x:f>
      </x:c>
      <x:c r="G37" t="str">
        <x:v>Продажи / паркинг</x:v>
      </x:c>
      <x:c r="H37" t="str">
        <x:v>Объём машино-мест полностью реализован</x:v>
      </x:c>
    </x:row>
    <x:row r="38">
      <x:c r="A38" t="str">
        <x:v>Очередь 3: объём кладовых</x:v>
      </x:c>
      <x:c r="B38" s="148" t="n">
        <x:f>'Продажи'!B69</x:f>
      </x:c>
      <x:c r="C38" s="148" t="n">
        <x:f>'Вводные'!O90</x:f>
      </x:c>
      <x:c r="D38" s="148" t="n">
        <x:f>B38-C38</x:f>
      </x:c>
      <x:c r="E38" s="148" t="n">
        <x:v>0.01</x:v>
      </x:c>
      <x:c r="F38" t="str">
        <x:f>IF(ABS(D38)&lt;=E38,"OK","FAIL")</x:f>
      </x:c>
      <x:c r="G38" t="str">
        <x:v>Продажи / кладовые</x:v>
      </x:c>
      <x:c r="H38" t="str">
        <x:v>Объём кладовых полностью реализован</x:v>
      </x:c>
    </x:row>
    <x:row r="39">
      <x:c r="A39" t="str">
        <x:v>Офисы: реализованный объём</x:v>
      </x:c>
      <x:c r="B39" s="148" t="n">
        <x:f>'ОБЪЕКТЫ'!B22</x:f>
      </x:c>
      <x:c r="C39" s="148" t="n">
        <x:f>IF(AND('Вводные'!$K$20="Да",IFERROR(INDEX('Вводные'!$B$88:$B$91,'Вводные'!$K$21),"Нет")="Да"),'Вводные'!$K$26,0)</x:f>
      </x:c>
      <x:c r="D39" s="148" t="n">
        <x:f>B39-C39</x:f>
      </x:c>
      <x:c r="E39" s="148" t="n">
        <x:v>0.01</x:v>
      </x:c>
      <x:c r="F39" t="str">
        <x:f>IF(ABS(D39)&lt;=E39,"OK","FAIL")</x:f>
      </x:c>
      <x:c r="G39" t="str">
        <x:v>ОБЪЕКТЫ / объём</x:v>
      </x:c>
      <x:c r="H39" t="str">
        <x:v>Отдельный продукт реализован полностью</x:v>
      </x:c>
    </x:row>
    <x:row r="40">
      <x:c r="A40" t="str">
        <x:v>Офисы: CAPEX</x:v>
      </x:c>
      <x:c r="B40" s="148" t="n">
        <x:f>'ОБЪЕКТЫ'!B28</x:f>
      </x:c>
      <x:c r="C40" s="148" t="n">
        <x:f>IF(AND('Вводные'!$K$20="Да",IFERROR(INDEX('Вводные'!$B$88:$B$91,'Вводные'!$K$21),"Нет")="Да"),'Вводные'!$K$25*'Вводные'!$K$29/1000*'Вводные'!$H$6*INDEX('Вводные'!$T$88:$T$91,'Вводные'!$K$21)*INDEX('Вводные'!$AH$88:$AH$91,'Вводные'!$K$21),0)</x:f>
      </x:c>
      <x:c r="D40" s="148" t="n">
        <x:f>B40-C40</x:f>
      </x:c>
      <x:c r="E40" s="148" t="n">
        <x:v>0.01</x:v>
      </x:c>
      <x:c r="F40" t="str">
        <x:f>IF(ABS(D40)&lt;=E40,"OK","FAIL")</x:f>
      </x:c>
      <x:c r="G40" t="str">
        <x:v>ОБЪЕКТЫ / CAPEX</x:v>
      </x:c>
      <x:c r="H40" t="str">
        <x:v>CAPEX связан с физическим драйвером</x:v>
      </x:c>
    </x:row>
    <x:row r="41">
      <x:c r="A41" t="str">
        <x:v>Офисы: финальный остаток эскроу</x:v>
      </x:c>
      <x:c r="B41" s="148" t="n">
        <x:f>'ОБЪЕКТЫ'!B25-'ОБЪЕКТЫ'!B27</x:f>
      </x:c>
      <x:c r="C41" s="148" t="n">
        <x:f>IF('ОБЪЕКТЫ'!B10&gt;'Ставки'!$DS$3,'ОБЪЕКТЫ'!B25,0)</x:f>
      </x:c>
      <x:c r="D41" s="148" t="n">
        <x:f>B41-C41</x:f>
      </x:c>
      <x:c r="E41" s="148" t="n">
        <x:v>0.01</x:v>
      </x:c>
      <x:c r="F41" t="str">
        <x:f>IF(ABS(D41)&lt;=E41,"OK","FAIL")</x:f>
      </x:c>
      <x:c r="G41" t="str">
        <x:v>ОБЪЕКТЫ / эскроу</x:v>
      </x:c>
      <x:c r="H41" t="str">
        <x:v>Раскрытие учитывает собственный РВЭ объекта</x:v>
      </x:c>
    </x:row>
    <x:row r="42">
      <x:c r="A42" t="str">
        <x:v>ТЦ / ОСЗ: реализованный объём</x:v>
      </x:c>
      <x:c r="B42" s="148" t="n">
        <x:f>'ОБЪЕКТЫ'!B50</x:f>
      </x:c>
      <x:c r="C42" s="148" t="n">
        <x:f>IF(AND('Вводные'!$K$40="Да",IFERROR(INDEX('Вводные'!$B$88:$B$91,'Вводные'!$K$41),"Нет")="Да"),'Вводные'!$K$46,0)</x:f>
      </x:c>
      <x:c r="D42" s="148" t="n">
        <x:f>B42-C42</x:f>
      </x:c>
      <x:c r="E42" s="148" t="n">
        <x:v>0.01</x:v>
      </x:c>
      <x:c r="F42" t="str">
        <x:f>IF(ABS(D42)&lt;=E42,"OK","FAIL")</x:f>
      </x:c>
      <x:c r="G42" t="str">
        <x:v>ОБЪЕКТЫ / объём</x:v>
      </x:c>
      <x:c r="H42" t="str">
        <x:v>Отдельный продукт реализован полностью</x:v>
      </x:c>
    </x:row>
    <x:row r="43">
      <x:c r="A43" t="str">
        <x:v>ТЦ / ОСЗ: CAPEX</x:v>
      </x:c>
      <x:c r="B43" s="148" t="n">
        <x:f>'ОБЪЕКТЫ'!B56</x:f>
      </x:c>
      <x:c r="C43" s="148" t="n">
        <x:f>IF(AND('Вводные'!$K$40="Да",IFERROR(INDEX('Вводные'!$B$88:$B$91,'Вводные'!$K$41),"Нет")="Да"),'Вводные'!$K$45*'Вводные'!$K$49/1000*'Вводные'!$H$6*INDEX('Вводные'!$T$88:$T$91,'Вводные'!$K$41)*INDEX('Вводные'!$AH$88:$AH$91,'Вводные'!$K$41),0)</x:f>
      </x:c>
      <x:c r="D43" s="148" t="n">
        <x:f>B43-C43</x:f>
      </x:c>
      <x:c r="E43" s="148" t="n">
        <x:v>0.01</x:v>
      </x:c>
      <x:c r="F43" t="str">
        <x:f>IF(ABS(D43)&lt;=E43,"OK","FAIL")</x:f>
      </x:c>
      <x:c r="G43" t="str">
        <x:v>ОБЪЕКТЫ / CAPEX</x:v>
      </x:c>
      <x:c r="H43" t="str">
        <x:v>CAPEX связан с физическим драйвером</x:v>
      </x:c>
    </x:row>
    <x:row r="44">
      <x:c r="A44" t="str">
        <x:v>ТЦ / ОСЗ: финальный остаток эскроу</x:v>
      </x:c>
      <x:c r="B44" s="148" t="n">
        <x:f>'ОБЪЕКТЫ'!B53-'ОБЪЕКТЫ'!B55</x:f>
      </x:c>
      <x:c r="C44" s="148" t="n">
        <x:f>IF('ОБЪЕКТЫ'!B38&gt;'Ставки'!$DS$3,'ОБЪЕКТЫ'!B53,0)</x:f>
      </x:c>
      <x:c r="D44" s="148" t="n">
        <x:f>B44-C44</x:f>
      </x:c>
      <x:c r="E44" s="148" t="n">
        <x:v>0.01</x:v>
      </x:c>
      <x:c r="F44" t="str">
        <x:f>IF(ABS(D44)&lt;=E44,"OK","FAIL")</x:f>
      </x:c>
      <x:c r="G44" t="str">
        <x:v>ОБЪЕКТЫ / эскроу</x:v>
      </x:c>
      <x:c r="H44" t="str">
        <x:v>Раскрытие учитывает собственный РВЭ объекта</x:v>
      </x:c>
    </x:row>
    <x:row r="45">
      <x:c r="A45" t="str">
        <x:v>Наземный паркинг: реализованный объём</x:v>
      </x:c>
      <x:c r="B45" s="148" t="n">
        <x:f>'ОБЪЕКТЫ'!B78</x:f>
      </x:c>
      <x:c r="C45" s="148" t="n">
        <x:f>IF(AND('Вводные'!$K$60="Да",IFERROR(INDEX('Вводные'!$B$88:$B$91,'Вводные'!$K$61),"Нет")="Да"),'Вводные'!$K$65,0)</x:f>
      </x:c>
      <x:c r="D45" s="148" t="n">
        <x:f>B45-C45</x:f>
      </x:c>
      <x:c r="E45" s="148" t="n">
        <x:v>0.01</x:v>
      </x:c>
      <x:c r="F45" t="str">
        <x:f>IF(ABS(D45)&lt;=E45,"OK","FAIL")</x:f>
      </x:c>
      <x:c r="G45" t="str">
        <x:v>ОБЪЕКТЫ / объём</x:v>
      </x:c>
      <x:c r="H45" t="str">
        <x:v>Отдельный продукт реализован полностью</x:v>
      </x:c>
    </x:row>
    <x:row r="46">
      <x:c r="A46" t="str">
        <x:v>Наземный паркинг: CAPEX</x:v>
      </x:c>
      <x:c r="B46" s="148" t="n">
        <x:f>'ОБЪЕКТЫ'!B84</x:f>
      </x:c>
      <x:c r="C46" s="148" t="n">
        <x:f>IF(AND('Вводные'!$K$60="Да",IFERROR(INDEX('Вводные'!$B$88:$B$91,'Вводные'!$K$61),"Нет")="Да"),'Вводные'!$K$65*'Вводные'!$K$67*'Вводные'!$H$6*INDEX('Вводные'!$T$88:$T$91,'Вводные'!$K$61)*INDEX('Вводные'!$AH$88:$AH$91,'Вводные'!$K$61),0)</x:f>
      </x:c>
      <x:c r="D46" s="148" t="n">
        <x:f>B46-C46</x:f>
      </x:c>
      <x:c r="E46" s="148" t="n">
        <x:v>0.01</x:v>
      </x:c>
      <x:c r="F46" t="str">
        <x:f>IF(ABS(D46)&lt;=E46,"OK","FAIL")</x:f>
      </x:c>
      <x:c r="G46" t="str">
        <x:v>ОБЪЕКТЫ / CAPEX</x:v>
      </x:c>
      <x:c r="H46" t="str">
        <x:v>CAPEX связан с физическим драйвером</x:v>
      </x:c>
    </x:row>
    <x:row r="47">
      <x:c r="A47" t="str">
        <x:v>Наземный паркинг: финальный остаток эскроу</x:v>
      </x:c>
      <x:c r="B47" s="148" t="n">
        <x:f>'ОБЪЕКТЫ'!B81-'ОБЪЕКТЫ'!B83</x:f>
      </x:c>
      <x:c r="C47" s="148" t="n">
        <x:f>IF('ОБЪЕКТЫ'!B66&gt;'Ставки'!$DS$3,'ОБЪЕКТЫ'!B81,0)</x:f>
      </x:c>
      <x:c r="D47" s="148" t="n">
        <x:f>B47-C47</x:f>
      </x:c>
      <x:c r="E47" s="148" t="n">
        <x:v>0.01</x:v>
      </x:c>
      <x:c r="F47" t="str">
        <x:f>IF(ABS(D47)&lt;=E47,"OK","FAIL")</x:f>
      </x:c>
      <x:c r="G47" t="str">
        <x:v>ОБЪЕКТЫ / эскроу</x:v>
      </x:c>
      <x:c r="H47" t="str">
        <x:v>Раскрытие учитывает собственный РВЭ объекта</x:v>
      </x:c>
    </x:row>
    <x:row r="48">
      <x:c r="A48" t="str">
        <x:v>Выручка продуктов = CF</x:v>
      </x:c>
      <x:c r="B48" s="148" t="n">
        <x:f>SUM('Продажи'!B26,'Продажи'!B49,'Продажи'!B72,'Продажи'!B95,'ОБЪЕКТЫ'!B24,'ОБЪЕКТЫ'!B52,'ОБЪЕКТЫ'!B80)</x:f>
      </x:c>
      <x:c r="C48" s="148" t="n">
        <x:f>'CF'!B6</x:f>
      </x:c>
      <x:c r="D48" s="148" t="n">
        <x:f>B48-C48</x:f>
      </x:c>
      <x:c r="E48" s="148" t="n">
        <x:v>0.01</x:v>
      </x:c>
      <x:c r="F48" t="str">
        <x:f>IF(ABS(D48)&lt;=E48,"OK","FAIL")</x:f>
      </x:c>
      <x:c r="G48" t="str">
        <x:v>CF / продукты</x:v>
      </x:c>
      <x:c r="H48" t="str">
        <x:v>Все типы продукта включены в консолидацию</x:v>
      </x:c>
    </x:row>
    <x:row r="49">
      <x:c r="A49" t="str">
        <x:v>ТЭП: выручка = CF</x:v>
      </x:c>
      <x:c r="B49" s="148" t="n">
        <x:f>'ТЭП'!G36</x:f>
      </x:c>
      <x:c r="C49" s="148" t="n">
        <x:f>'CF'!B6</x:f>
      </x:c>
      <x:c r="D49" s="148" t="n">
        <x:f>B49-C49</x:f>
      </x:c>
      <x:c r="E49" s="148" t="n">
        <x:v>0.01</x:v>
      </x:c>
      <x:c r="F49" t="str">
        <x:f>IF(ABS(D49)&lt;=E49,"OK","FAIL")</x:f>
      </x:c>
      <x:c r="G49" t="str">
        <x:v>ТЭП / CF</x:v>
      </x:c>
      <x:c r="H49" t="str">
        <x:v>Продуктовый состав бьётся с денежным потоком</x:v>
      </x:c>
    </x:row>
    <x:row r="50">
      <x:c r="A50" t="str">
        <x:v>Аллокация выручки объектов</x:v>
      </x:c>
      <x:c r="B50" s="148" t="n">
        <x:f>SUM('ОБЪЕКТЫ'!B92,'ОБЪЕКТЫ'!B100,'ОБЪЕКТЫ'!B108,'ОБЪЕКТЫ'!B116)</x:f>
      </x:c>
      <x:c r="C50" s="148" t="n">
        <x:f>SUM('ОБЪЕКТЫ'!B24,'ОБЪЕКТЫ'!B52,'ОБЪЕКТЫ'!B80)</x:f>
      </x:c>
      <x:c r="D50" s="148" t="n">
        <x:f>B50-C50</x:f>
      </x:c>
      <x:c r="E50" s="148" t="n">
        <x:v>0.01</x:v>
      </x:c>
      <x:c r="F50" t="str">
        <x:f>IF(ABS(D50)&lt;=E50,"OK","FAIL")</x:f>
      </x:c>
      <x:c r="G50" t="str">
        <x:v>ОБЪЕКТЫ / очереди</x:v>
      </x:c>
      <x:c r="H50" t="str">
        <x:v>Объекты полностью распределены по очередям</x:v>
      </x:c>
    </x:row>
    <x:row r="51">
      <x:c r="A51" t="str">
        <x:v>Аллокация CAPEX объектов</x:v>
      </x:c>
      <x:c r="B51" s="148" t="n">
        <x:f>SUM('ОБЪЕКТЫ'!B96,'ОБЪЕКТЫ'!B104,'ОБЪЕКТЫ'!B112,'ОБЪЕКТЫ'!B120)</x:f>
      </x:c>
      <x:c r="C51" s="148" t="n">
        <x:f>SUM('ОБЪЕКТЫ'!B28,'ОБЪЕКТЫ'!B56,'ОБЪЕКТЫ'!B84)</x:f>
      </x:c>
      <x:c r="D51" s="148" t="n">
        <x:f>B51-C51</x:f>
      </x:c>
      <x:c r="E51" s="148" t="n">
        <x:v>0.01</x:v>
      </x:c>
      <x:c r="F51" t="str">
        <x:f>IF(ABS(D51)&lt;=E51,"OK","FAIL")</x:f>
      </x:c>
      <x:c r="G51" t="str">
        <x:v>ОБЪЕКТЫ / очереди</x:v>
      </x:c>
      <x:c r="H51" t="str">
        <x:v>CAPEX объектов полностью распределён</x:v>
      </x:c>
    </x:row>
    <x:row r="52">
      <x:c r="A52" t="str">
        <x:v>Плотность: офисы</x:v>
      </x:c>
      <x:c r="B52" s="148" t="n">
        <x:f>'Вводные'!K25</x:f>
      </x:c>
      <x:c r="C52" s="148" t="n">
        <x:f>IF('Вводные'!K20="Да",'Вводные'!K23*IF('Вводные'!K22="Да",'Вводные'!$K$15,1),0)</x:f>
      </x:c>
      <x:c r="D52" s="148" t="n">
        <x:f>B52-C52</x:f>
      </x:c>
      <x:c r="E52" s="148" t="n">
        <x:v>0.01</x:v>
      </x:c>
      <x:c r="F52" t="str">
        <x:f>IF(ABS(D52)&lt;=E52,"OK","FAIL")</x:f>
      </x:c>
      <x:c r="G52" t="str">
        <x:v>Вводные / офисы</x:v>
      </x:c>
      <x:c r="H52" t="str">
        <x:v>Плотность влияет только при включённом переключателе</x:v>
      </x:c>
    </x:row>
    <x:row r="53">
      <x:c r="A53" t="str">
        <x:v>Плотность: ТЦ / ОСЗ</x:v>
      </x:c>
      <x:c r="B53" s="148" t="n">
        <x:f>'Вводные'!K45</x:f>
      </x:c>
      <x:c r="C53" s="148" t="n">
        <x:f>IF('Вводные'!K40="Да",'Вводные'!K43*IF('Вводные'!K42="Да",'Вводные'!$K$15,1),0)</x:f>
      </x:c>
      <x:c r="D53" s="148" t="n">
        <x:f>B53-C53</x:f>
      </x:c>
      <x:c r="E53" s="148" t="n">
        <x:v>0.01</x:v>
      </x:c>
      <x:c r="F53" t="str">
        <x:f>IF(ABS(D53)&lt;=E53,"OK","FAIL")</x:f>
      </x:c>
      <x:c r="G53" t="str">
        <x:v>Вводные / ТЦ</x:v>
      </x:c>
      <x:c r="H53" t="str">
        <x:v>Плотность влияет только при включённом переключателе</x:v>
      </x:c>
    </x:row>
    <x:row r="54">
      <x:c r="A54" t="str">
        <x:v>Плотность: наземный паркинг</x:v>
      </x:c>
      <x:c r="B54" s="148" t="n">
        <x:f>'Вводные'!K65</x:f>
      </x:c>
      <x:c r="C54" s="148" t="n">
        <x:f>IF('Вводные'!K60="Да",'Вводные'!K63*IF('Вводные'!K62="Да",'Вводные'!$K$15,1),0)</x:f>
      </x:c>
      <x:c r="D54" s="148" t="n">
        <x:f>B54-C54</x:f>
      </x:c>
      <x:c r="E54" s="148" t="n">
        <x:v>0.01</x:v>
      </x:c>
      <x:c r="F54" t="str">
        <x:f>IF(ABS(D54)&lt;=E54,"OK","FAIL")</x:f>
      </x:c>
      <x:c r="G54" t="str">
        <x:v>Вводные / парковка</x:v>
      </x:c>
      <x:c r="H54" t="str">
        <x:v>Количество мест масштабируется управляемо</x:v>
      </x:c>
    </x:row>
    <x:row r="55">
      <x:c r="A55" t="str">
        <x:v>Плотность: подземный паркинг очереди 1</x:v>
      </x:c>
      <x:c r="B55" s="148" t="n">
        <x:f>'Вводные'!N88</x:f>
      </x:c>
      <x:c r="C55" s="148" t="n">
        <x:f>ROUND('Вводные'!AB88*IF('Вводные'!$K$80="Да",'Вводные'!$K$15,1),0)</x:f>
      </x:c>
      <x:c r="D55" s="148" t="n">
        <x:f>B55-C55</x:f>
      </x:c>
      <x:c r="E55" s="148" t="n">
        <x:v>0.01</x:v>
      </x:c>
      <x:c r="F55" t="str">
        <x:f>IF(ABS(D55)&lt;=E55,"OK","FAIL")</x:f>
      </x:c>
      <x:c r="G55" t="str">
        <x:v>Вводные / очереди</x:v>
      </x:c>
      <x:c r="H55" t="str">
        <x:v>Подземный паркинг имеет отдельный переключатель</x:v>
      </x:c>
    </x:row>
    <x:row r="56">
      <x:c r="A56" t="str">
        <x:v>Сезонность: коэффициенты положительны</x:v>
      </x:c>
      <x:c r="B56" s="148" t="n">
        <x:f>--AND(1+'Вводные'!B67&gt;0,1+'Вводные'!B70&gt;0)</x:f>
      </x:c>
      <x:c r="C56" s="148" t="n">
        <x:f>1</x:f>
      </x:c>
      <x:c r="D56" s="148" t="n">
        <x:f>B56-C56</x:f>
      </x:c>
      <x:c r="E56" s="148" t="n">
        <x:v>0.01</x:v>
      </x:c>
      <x:c r="F56" t="str">
        <x:f>IF(ABS(D56)&lt;=E56,"OK","FAIL")</x:f>
      </x:c>
      <x:c r="G56" t="str">
        <x:v>Вводные / продажи</x:v>
      </x:c>
      <x:c r="H56" t="str">
        <x:v>Сезонность используется только для января и мая–августа</x:v>
      </x:c>
    </x:row>
    <x:row r="57">
      <x:c r="A57" t="str">
        <x:v>Срок продаж: все очереди положительны</x:v>
      </x:c>
      <x:c r="B57" s="148" t="n">
        <x:f>--AND('Вводные'!H88&gt;=1,'Вводные'!H89&gt;=1,'Вводные'!H90&gt;=1,'Вводные'!H91&gt;=1)</x:f>
      </x:c>
      <x:c r="C57" s="148" t="n">
        <x:f>1</x:f>
      </x:c>
      <x:c r="D57" s="148" t="n">
        <x:f>B57-C57</x:f>
      </x:c>
      <x:c r="E57" s="148" t="n">
        <x:v>0.01</x:v>
      </x:c>
      <x:c r="F57" t="str">
        <x:f>IF(ABS(D57)&lt;=E57,"OK","FAIL")</x:f>
      </x:c>
      <x:c r="G57" t="str">
        <x:v>Вводные / очереди</x:v>
      </x:c>
      <x:c r="H57" t="str">
        <x:v>Срок продаж задаётся отдельно по каждой очереди</x:v>
      </x:c>
    </x:row>
    <x:row r="58">
      <x:c r="A58" t="str">
        <x:v>Коэффициент инфляции цены очереди 1</x:v>
      </x:c>
      <x:c r="B58" s="148" t="n">
        <x:f>'Вводные'!AG88</x:f>
      </x:c>
      <x:c r="C58" s="148" t="n">
        <x:f>(1+'Вводные'!AE88)^(MAX(0,12*(YEAR(EDATE('Вводные'!D88,'Вводные'!E88+'Вводные'!G88+'Вводные'!$H$9))-YEAR('Вводные'!$B$36))+MONTH(EDATE('Вводные'!D88,'Вводные'!E88+'Вводные'!G88+'Вводные'!$H$9))-MONTH('Вводные'!$B$36))/12)</x:f>
      </x:c>
      <x:c r="D58" s="148" t="n">
        <x:f>B58-C58</x:f>
      </x:c>
      <x:c r="E58" s="148" t="n">
        <x:v>0.01</x:v>
      </x:c>
      <x:c r="F58" t="str">
        <x:f>IF(ABS(D58)&lt;=E58,"OK","FAIL")</x:f>
      </x:c>
      <x:c r="G58" t="str">
        <x:v>Вводные / инфляция</x:v>
      </x:c>
      <x:c r="H58" t="str">
        <x:v>Цена базы индексируется к старту продаж</x:v>
      </x:c>
    </x:row>
    <x:row r="59">
      <x:c r="A59" t="str">
        <x:v>Коэффициент инфляции затрат очереди 1</x:v>
      </x:c>
      <x:c r="B59" s="148" t="n">
        <x:f>'Вводные'!AH88</x:f>
      </x:c>
      <x:c r="C59" s="148" t="n">
        <x:f>(1+'Вводные'!AF88)^(MAX(0,12*(YEAR(EDATE('Вводные'!D88,'Вводные'!E88+'Вводные'!$H$9))-YEAR('Вводные'!$B$36))+MONTH(EDATE('Вводные'!D88,'Вводные'!E88+'Вводные'!$H$9))-MONTH('Вводные'!$B$36))/12)</x:f>
      </x:c>
      <x:c r="D59" s="148" t="n">
        <x:f>B59-C59</x:f>
      </x:c>
      <x:c r="E59" s="148" t="n">
        <x:v>0.01</x:v>
      </x:c>
      <x:c r="F59" t="str">
        <x:f>IF(ABS(D59)&lt;=E59,"OK","FAIL")</x:f>
      </x:c>
      <x:c r="G59" t="str">
        <x:v>Вводные / инфляция</x:v>
      </x:c>
      <x:c r="H59" t="str">
        <x:v>Себестоимость базы индексируется к РнС</x:v>
      </x:c>
    </x:row>
    <x:row r="60">
      <x:c r="A60" t="str">
        <x:v>Отчёт: выручка площадных продуктов</x:v>
      </x:c>
      <x:c r="B60" s="148" t="n">
        <x:f>'ОТЧЕТ'!F59</x:f>
      </x:c>
      <x:c r="C60" s="148" t="n">
        <x:f>SUM('Продажи'!B16,'Продажи'!B19,'Продажи'!B39,'Продажи'!B42,'Продажи'!B62,'Продажи'!B65,'Продажи'!B85,'Продажи'!B88,'ОБЪЕКТЫ'!B24,'ОБЪЕКТЫ'!B52)</x:f>
      </x:c>
      <x:c r="D60" s="148" t="n">
        <x:f>B60-C60</x:f>
      </x:c>
      <x:c r="E60" s="148" t="n">
        <x:v>0.01</x:v>
      </x:c>
      <x:c r="F60" t="str">
        <x:f>IF(ABS(D60)&lt;=E60,"OK","FAIL")</x:f>
      </x:c>
      <x:c r="G60" t="str">
        <x:v>ОТЧЕТ / unit economics</x:v>
      </x:c>
      <x:c r="H60" t="str">
        <x:v>Парковки и кладовые исключены из средней цены на м²</x:v>
      </x:c>
    </x:row>
    <x:row r="61">
      <x:c r="A61" t="str">
        <x:v>Отчёт: темпы продаж неотрицательны</x:v>
      </x:c>
      <x:c r="B61" s="148" t="n">
        <x:f>--AND('ОТЧЕТ'!F65&gt;=0,'ОТЧЕТ'!F66&gt;=0,'ОТЧЕТ'!F67&gt;=0,'ОТЧЕТ'!F68&gt;=0,'ОТЧЕТ'!F69&gt;=0,'ОТЧЕТ'!F70&gt;=0)</x:f>
      </x:c>
      <x:c r="C61" s="148" t="n">
        <x:f>1</x:f>
      </x:c>
      <x:c r="D61" s="148" t="n">
        <x:f>B61-C61</x:f>
      </x:c>
      <x:c r="E61" s="148" t="n">
        <x:v>0.01</x:v>
      </x:c>
      <x:c r="F61" t="str">
        <x:f>IF(ABS(D61)&lt;=E61,"OK","FAIL")</x:f>
      </x:c>
      <x:c r="G61" t="str">
        <x:v>ОТЧЕТ / темпы</x:v>
      </x:c>
      <x:c r="H61" t="str">
        <x:v>Темпы показаны в м²/мес. и шт./мес.</x:v>
      </x:c>
    </x:row>
    <x:row r="62">
      <x:c r="A62" t="inlineStr">
        <x:is>
          <x:t>Очередь 4: объём квартир</x:t>
        </x:is>
      </x:c>
      <x:c r="B62">
        <x:f>'Продажи'!B83</x:f>
      </x:c>
      <x:c r="C62">
        <x:f>'Вводные'!$L$91</x:f>
      </x:c>
      <x:c r="D62">
        <x:f>B62-C62</x:f>
      </x:c>
      <x:c r="E62">
        <x:v>0.01</x:v>
      </x:c>
      <x:c r="F62">
        <x:f>IF(ABS(D62)&lt;=E62,"OK","FAIL")</x:f>
      </x:c>
      <x:c r="G62" t="inlineStr">
        <x:is>
          <x:t>Продажи / очередь 4</x:t>
        </x:is>
      </x:c>
      <x:c r="H62" t="inlineStr">
        <x:is>
          <x:t>Расчётная целостность</x:t>
        </x:is>
      </x:c>
    </x:row>
    <x:row r="63">
      <x:c r="A63" t="inlineStr">
        <x:is>
          <x:t>Очередь 4: объём коммерции</x:t>
        </x:is>
      </x:c>
      <x:c r="B63">
        <x:f>'Продажи'!B86</x:f>
      </x:c>
      <x:c r="C63">
        <x:f>'Вводные'!$M$91</x:f>
      </x:c>
      <x:c r="D63">
        <x:f>B63-C63</x:f>
      </x:c>
      <x:c r="E63">
        <x:v>0.01</x:v>
      </x:c>
      <x:c r="F63">
        <x:f>IF(ABS(D63)&lt;=E63,"OK","FAIL")</x:f>
      </x:c>
      <x:c r="G63" t="inlineStr">
        <x:is>
          <x:t>Продажи / очередь 4</x:t>
        </x:is>
      </x:c>
      <x:c r="H63" t="inlineStr">
        <x:is>
          <x:t>Расчётная целостность</x:t>
        </x:is>
      </x:c>
    </x:row>
    <x:row r="64">
      <x:c r="A64" t="inlineStr">
        <x:is>
          <x:t>Очередь 4: объём подземного паркинга</x:t>
        </x:is>
      </x:c>
      <x:c r="B64">
        <x:f>'Продажи'!B89</x:f>
      </x:c>
      <x:c r="C64">
        <x:f>'Вводные'!N91</x:f>
      </x:c>
      <x:c r="D64">
        <x:f>B64-C64</x:f>
      </x:c>
      <x:c r="E64">
        <x:v>0.01</x:v>
      </x:c>
      <x:c r="F64">
        <x:f>IF(ABS(D64)&lt;=E64,"OK","FAIL")</x:f>
      </x:c>
      <x:c r="G64" t="inlineStr">
        <x:is>
          <x:t>Продажи / паркинг</x:t>
        </x:is>
      </x:c>
      <x:c r="H64" t="inlineStr">
        <x:is>
          <x:t>Объём машино-мест полностью реализован</x:t>
        </x:is>
      </x:c>
    </x:row>
    <x:row r="65">
      <x:c r="A65" t="inlineStr">
        <x:is>
          <x:t>Очередь 4: объём кладовых</x:t>
        </x:is>
      </x:c>
      <x:c r="B65">
        <x:f>'Продажи'!B92</x:f>
      </x:c>
      <x:c r="C65">
        <x:f>'Вводные'!O91</x:f>
      </x:c>
      <x:c r="D65">
        <x:f>B65-C65</x:f>
      </x:c>
      <x:c r="E65">
        <x:v>0.01</x:v>
      </x:c>
      <x:c r="F65">
        <x:f>IF(ABS(D65)&lt;=E65,"OK","FAIL")</x:f>
      </x:c>
      <x:c r="G65" t="inlineStr">
        <x:is>
          <x:t>Продажи / кладовые</x:t>
        </x:is>
      </x:c>
      <x:c r="H65" t="inlineStr">
        <x:is>
          <x:t>Объём кладовых полностью реализован</x:t>
        </x:is>
      </x:c>
    </x:row>
    <x:row r="66">
      <x:c r="A66" t="inlineStr">
        <x:is>
          <x:t>Очередь 4: roll-forward БРИДЖ</x:t>
        </x:is>
      </x:c>
      <x:c r="B66">
        <x:f>'CF_4'!B60</x:f>
      </x:c>
      <x:c r="C66">
        <x:f>0</x:f>
      </x:c>
      <x:c r="D66">
        <x:f>B66-C66</x:f>
      </x:c>
      <x:c r="E66">
        <x:v>0.01</x:v>
      </x:c>
      <x:c r="F66">
        <x:f>IF(ABS(D66)&lt;=E66,"OK","FAIL")</x:f>
      </x:c>
      <x:c r="G66" t="inlineStr">
        <x:is>
          <x:t>CF_4</x:t>
        </x:is>
      </x:c>
      <x:c r="H66" t="inlineStr">
        <x:is>
          <x:t>Расчётная целостность</x:t>
        </x:is>
      </x:c>
    </x:row>
    <x:row r="67">
      <x:c r="A67" t="inlineStr">
        <x:is>
          <x:t>Очередь 4: roll-forward ПФ</x:t>
        </x:is>
      </x:c>
      <x:c r="B67">
        <x:f>'CF_4'!B61</x:f>
      </x:c>
      <x:c r="C67">
        <x:f>0</x:f>
      </x:c>
      <x:c r="D67">
        <x:f>B67-C67</x:f>
      </x:c>
      <x:c r="E67">
        <x:v>0.01</x:v>
      </x:c>
      <x:c r="F67">
        <x:f>IF(ABS(D67)&lt;=E67,"OK","FAIL")</x:f>
      </x:c>
      <x:c r="G67" t="inlineStr">
        <x:is>
          <x:t>CF_4</x:t>
        </x:is>
      </x:c>
      <x:c r="H67" t="inlineStr">
        <x:is>
          <x:t>Расчётная целостность</x:t>
        </x:is>
      </x:c>
    </x:row>
    <x:row r="68">
      <x:c r="A68" t="inlineStr">
        <x:is>
          <x:t>Очередь 4: roll-forward эскроу</x:t>
        </x:is>
      </x:c>
      <x:c r="B68">
        <x:f>'CF_4'!B62</x:f>
      </x:c>
      <x:c r="C68">
        <x:f>0</x:f>
      </x:c>
      <x:c r="D68">
        <x:f>B68-C68</x:f>
      </x:c>
      <x:c r="E68">
        <x:v>0.01</x:v>
      </x:c>
      <x:c r="F68">
        <x:f>IF(ABS(D68)&lt;=E68,"OK","FAIL")</x:f>
      </x:c>
      <x:c r="G68" t="inlineStr">
        <x:is>
          <x:t>CF_4</x:t>
        </x:is>
      </x:c>
      <x:c r="H68" t="inlineStr">
        <x:is>
          <x:t>Расчётная целостность</x:t>
        </x:is>
      </x:c>
    </x:row>
    <x:row r="69">
      <x:c r="A69" t="inlineStr">
        <x:is>
          <x:t>Сумма долей лимита БРИДЖ</x:t>
        </x:is>
      </x:c>
      <x:c r="B69" s="148">
        <x:f>SUM('Вводные'!U88:U91)</x:f>
      </x:c>
      <x:c r="C69" s="148">
        <x:f>1</x:f>
      </x:c>
      <x:c r="D69" s="148">
        <x:f>B69-C69</x:f>
      </x:c>
      <x:c r="E69" s="148">
        <x:v>0.01</x:v>
      </x:c>
      <x:c r="F69" t="str">
        <x:f>IF(ABS(D69)&lt;=E69,"OK","WARN")</x:f>
      </x:c>
    </x:row>
    <x:row r="70">
      <x:c r="A70" t="inlineStr">
        <x:is>
          <x:t>Сумма долей лимита ПФ</x:t>
        </x:is>
      </x:c>
      <x:c r="B70" s="148">
        <x:f>SUM('Вводные'!V88:V91)</x:f>
      </x:c>
      <x:c r="C70" s="148">
        <x:f>1</x:f>
      </x:c>
      <x:c r="D70" s="148">
        <x:f>B70-C70</x:f>
      </x:c>
      <x:c r="E70" s="148">
        <x:v>0.01</x:v>
      </x:c>
      <x:c r="F70" t="str">
        <x:f>IF(ABS(D70)&lt;=E70,"OK","WARN")</x:f>
      </x:c>
    </x:row>
    <x:row r="71">
      <x:c r="A71" t="inlineStr">
        <x:is>
          <x:t>Объекты стартуют не раньше своей очереди</x:t>
        </x:is>
      </x:c>
      <x:c r="B71" s="148">
        <x:f>--AND(OR('Вводные'!$K$20="Нет",'Вводные'!$K$27&gt;=EDATE(INDEX('Вводные'!$D$88:$D$91,'Вводные'!$K$21),'Вводные'!$H$9)),OR('Вводные'!$K$40="Нет",'Вводные'!$K$47&gt;=EDATE(INDEX('Вводные'!$D$88:$D$91,'Вводные'!$K$41),'Вводные'!$H$9)),OR('Вводные'!$K$60="Нет",'Вводные'!$K$68&gt;=EDATE(INDEX('Вводные'!$D$88:$D$91,'Вводные'!$K$61),'Вводные'!$H$9)))</x:f>
      </x:c>
      <x:c r="C71" s="148">
        <x:f>1</x:f>
      </x:c>
      <x:c r="D71" s="148">
        <x:f>B71-C71</x:f>
      </x:c>
      <x:c r="E71" s="148">
        <x:v>0</x:v>
      </x:c>
      <x:c r="F71" t="str">
        <x:f>IF(ABS(D71)&lt;=E71,"OK","WARN")</x:f>
      </x:c>
    </x:row>
    <x:row r="72">
      <x:c r="A72" t="inlineStr">
        <x:is>
          <x:t>Пик ПФ в пределах лимита ПФ и рефинансируемого БРИДЖа</x:t>
        </x:is>
      </x:c>
      <x:c r="B72" s="148">
        <x:f>MAX(0,'CF_1'!B83-'Вводные'!$B$26*'Вводные'!$V$88-'Вводные'!$B$24*'Вводные'!$U$88,'CF_2'!B83-'Вводные'!$B$26*'Вводные'!$V$89-'Вводные'!$B$24*'Вводные'!$U$89,'CF_3'!B83-'Вводные'!$B$26*'Вводные'!$V$90-'Вводные'!$B$24*'Вводные'!$U$90,'CF_4'!B83-'Вводные'!$B$26*'Вводные'!$V$91-'Вводные'!$B$24*'Вводные'!$U$91)</x:f>
      </x:c>
      <x:c r="C72" s="148">
        <x:f>0</x:f>
      </x:c>
      <x:c r="D72" s="148">
        <x:f>B72-C72</x:f>
      </x:c>
      <x:c r="E72" s="148">
        <x:v>0.01</x:v>
      </x:c>
      <x:c r="F72" t="str">
        <x:f>IF(B72&lt;=C72+E72,"OK","WARN")</x:f>
      </x:c>
    </x:row>
    <x:row r="73">
      <x:c r="A73" t="inlineStr">
        <x:is>
          <x:t>Включена хотя бы одна очередь</x:t>
        </x:is>
      </x:c>
      <x:c r="B73" s="148">
        <x:f>COUNTIF('Вводные'!B88:B91,"Да")</x:f>
      </x:c>
      <x:c r="C73" s="148">
        <x:f>1</x:f>
      </x:c>
      <x:c r="D73" s="148">
        <x:f>B73-C73</x:f>
      </x:c>
      <x:c r="E73" s="148">
        <x:v>0</x:v>
      </x:c>
      <x:c r="F73" t="str">
        <x:f>IF(B73&gt;=C73,"OK","FAIL")</x:f>
      </x:c>
    </x:row>
  </x:sheetData>
  <x:mergeCells>
    <x:mergeCell ref="A1:H1"/>
    <x:mergeCell ref="B3:H3"/>
  </x:mergeCells>
  <x:conditionalFormatting sqref="F6:F32">
    <x:cfRule type="containsText" dxfId="3" priority="4" operator="containsText" text="OK"/>
    <x:cfRule type="containsText" dxfId="4" priority="5" operator="containsText" text="WARN"/>
    <x:cfRule type="containsText" dxfId="5" priority="6" operator="containsText" text="FAIL"/>
  </x:conditionalFormatting>
  <x:conditionalFormatting sqref="B3:H3">
    <x:cfRule type="expression" dxfId="6" priority="7">
      <x:formula>$B$3="PASS"</x:formula>
    </x:cfRule>
    <x:cfRule type="expression" dxfId="7" priority="8">
      <x:formula>$B$3="PASS WITH WARNINGS"</x:formula>
    </x:cfRule>
    <x:cfRule type="expression" dxfId="8" priority="9">
      <x:formula>$B$3="FAIL"</x:formula>
    </x:cfRule>
  </x:conditionalFormatting>
  <x:conditionalFormatting sqref="F33:F61">
    <x:cfRule type="containsText" dxfId="9" priority="10" operator="containsText" text="OK"/>
    <x:cfRule type="containsText" dxfId="10" priority="11" operator="containsText" text="WARN"/>
    <x:cfRule type="containsText" dxfId="11" priority="12" operator="containsText" text="FAIL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38" hidden="0" customWidth="1"/>
    <x:col min="5" max="5" width="13" hidden="0" customWidth="1"/>
    <x:col min="6" max="6" width="13" hidden="0" customWidth="1"/>
    <x:col min="7" max="7" width="43" hidden="0" customWidth="1"/>
    <x:col min="8" max="8" width="15" hidden="0" customWidth="1"/>
    <x:col min="9" max="9" width="40" hidden="0" customWidth="1"/>
  </x:cols>
  <x:sheetData>
    <x:row r="1" ht="28" customHeight="1">
      <x:c r="A1" s="4" t="str">
        <x:v>ИСТОЧНИКИ, КОНВЕНЦИИ И ВЕРСИОННОСТЬ</x:v>
      </x:c>
      <x:c r="B1" s="4" t="str">
        <x:v>ИСТОЧНИКИ, КОНВЕНЦИИ И ВЕРСИОННОСТЬ</x:v>
      </x:c>
      <x:c r="C1" s="4" t="str">
        <x:v>ИСТОЧНИКИ, КОНВЕНЦИИ И ВЕРСИОННОСТЬ</x:v>
      </x:c>
      <x:c r="D1" s="4" t="str">
        <x:v>ИСТОЧНИКИ, КОНВЕНЦИИ И ВЕРСИОННОСТЬ</x:v>
      </x:c>
      <x:c r="E1" s="4" t="str">
        <x:v>ИСТОЧНИКИ, КОНВЕНЦИИ И ВЕРСИОННОСТЬ</x:v>
      </x:c>
      <x:c r="F1" s="4" t="str">
        <x:v>ИСТОЧНИКИ, КОНВЕНЦИИ И ВЕРСИОННОСТЬ</x:v>
      </x:c>
      <x:c r="G1" s="4" t="str">
        <x:v>ИСТОЧНИКИ, КОНВЕНЦИИ И ВЕРСИОННОСТЬ</x:v>
      </x:c>
      <x:c r="H1" s="4" t="str">
        <x:v>ИСТОЧНИКИ, КОНВЕНЦИИ И ВЕРСИОННОСТЬ</x:v>
      </x:c>
      <x:c r="I1" s="4" t="str">
        <x:v>ИСТОЧНИКИ, КОНВЕНЦИИ И ВЕРСИОННОСТЬ</x:v>
      </x:c>
    </x:row>
    <x:row r="3">
      <x:c r="A3" s="23" t="str">
        <x:v>ID</x:v>
      </x:c>
      <x:c r="B3" s="23" t="str">
        <x:v>Блок</x:v>
      </x:c>
      <x:c r="C3" s="23" t="str">
        <x:v>Источник</x:v>
      </x:c>
      <x:c r="D3" s="23" t="str">
        <x:v>Файл / ссылка</x:v>
      </x:c>
      <x:c r="E3" s="23" t="str">
        <x:v>Дата</x:v>
      </x:c>
      <x:c r="F3" s="23" t="str">
        <x:v>Единицы</x:v>
      </x:c>
      <x:c r="G3" s="23" t="str">
        <x:v>Применение</x:v>
      </x:c>
      <x:c r="H3" s="23" t="str">
        <x:v>Статус</x:v>
      </x:c>
      <x:c r="I3" s="23" t="str">
        <x:v>Комментарий</x:v>
      </x:c>
    </x:row>
    <x:row r="4">
      <x:c r="A4" s="93" t="str">
        <x:v>SRC-01</x:v>
      </x:c>
      <x:c r="B4" s="93" t="str">
        <x:v>Исходная формульная модель</x:v>
      </x:c>
      <x:c r="C4" s="93" t="str">
        <x:v>Архив пользователя</x:v>
      </x:c>
      <x:c r="D4" s="93" t="str">
        <x:v>00_Модель_Проект DevelopAid.xlsx</x:v>
      </x:c>
      <x:c r="E4" s="94" t="n">
        <x:v>46235</x:v>
      </x:c>
      <x:c r="F4" s="93" t="str">
        <x:v>разные</x:v>
      </x:c>
      <x:c r="G4" s="93" t="str">
        <x:v>Архитектура, формулы и оформление</x:v>
      </x:c>
      <x:c r="H4" s="93" t="str">
        <x:v>Референс</x:v>
      </x:c>
      <x:c r="I4" s="93" t="str">
        <x:v>Старый шаблон не используется как расчётное ядро</x:v>
      </x:c>
    </x:row>
    <x:row r="5">
      <x:c r="A5" s="93" t="str">
        <x:v>SRC-02</x:v>
      </x:c>
      <x:c r="B5" s="93" t="str">
        <x:v>Детализация</x:v>
      </x:c>
      <x:c r="C5" s="93" t="str">
        <x:v>Архив пользователя</x:v>
      </x:c>
      <x:c r="D5" s="93" t="str">
        <x:v>90_Детализация_Проект DevelopAid.xlsx</x:v>
      </x:c>
      <x:c r="E5" s="94" t="n">
        <x:v>46235</x:v>
      </x:c>
      <x:c r="F5" s="93" t="str">
        <x:v>млн ₽ / м²</x:v>
      </x:c>
      <x:c r="G5" s="93" t="str">
        <x:v>Исходные параметры и контрольные показатели</x:v>
      </x:c>
      <x:c r="H5" s="93" t="str">
        <x:v>Использовано</x:v>
      </x:c>
      <x:c r="I5" s="93" t="str">
        <x:v>Базовый сценарий DevelopAid</x:v>
      </x:c>
    </x:row>
    <x:row r="6">
      <x:c r="A6" s="93" t="str">
        <x:v>SRC-03</x:v>
      </x:c>
      <x:c r="B6" s="93" t="str">
        <x:v>ТЭП</x:v>
      </x:c>
      <x:c r="C6" s="93" t="str">
        <x:v>ГлавАПУ</x:v>
      </x:c>
      <x:c r="D6" s="93" t="str">
        <x:v>ГлавАПУ_77-09-0004014-13.xlsx</x:v>
      </x:c>
      <x:c r="E6" s="94" t="n">
        <x:v>46235</x:v>
      </x:c>
      <x:c r="F6" s="93" t="str">
        <x:v>м² / шт.</x:v>
      </x:c>
      <x:c r="G6" s="93" t="str">
        <x:v>Площади и продуктовый состав</x:v>
      </x:c>
      <x:c r="H6" s="93" t="str">
        <x:v>Использовано</x:v>
      </x:c>
      <x:c r="I6" s="93" t="str">
        <x:v>Кадастровый номер 77:09:0004014:13</x:v>
      </x:c>
    </x:row>
    <x:row r="7">
      <x:c r="A7" s="93" t="str">
        <x:v>SRC-04</x:v>
      </x:c>
      <x:c r="B7" s="93" t="str">
        <x:v>ВРИ</x:v>
      </x:c>
      <x:c r="C7" s="93" t="str">
        <x:v>Правительство Москвы</x:v>
      </x:c>
      <x:c r="D7" s="93" t="str">
        <x:v>https://www.mos.ru/authority/documents/doc/852220/</x:v>
      </x:c>
      <x:c r="E7" s="94" t="n">
        <x:v>46235</x:v>
      </x:c>
      <x:c r="F7" s="93" t="str">
        <x:v>лет / квартал / %</x:v>
      </x:c>
      <x:c r="G7" s="93" t="str">
        <x:v>593-ПП: сроки рассрочки, квартальные платежи, ключевая + 3 п.п.</x:v>
      </x:c>
      <x:c r="H7" s="93" t="str">
        <x:v>Использовано</x:v>
      </x:c>
      <x:c r="I7" s="93" t="str">
        <x:v>Сумма ВРИ поступает из сайта / бота; Excel строит график</x:v>
      </x:c>
    </x:row>
    <x:row r="8">
      <x:c r="A8" s="93" t="str">
        <x:v>SRC-05</x:v>
      </x:c>
      <x:c r="B8" s="93" t="str">
        <x:v>Ключевая ставка</x:v>
      </x:c>
      <x:c r="C8" s="93" t="str">
        <x:v>Банк России</x:v>
      </x:c>
      <x:c r="D8" s="93" t="str">
        <x:v>https://www.cbr.ru/hd_base/keyrate/</x:v>
      </x:c>
      <x:c r="E8" s="94" t="n">
        <x:v>46234</x:v>
      </x:c>
      <x:c r="F8" s="93" t="str">
        <x:v>% год</x:v>
      </x:c>
      <x:c r="G8" s="93" t="str">
        <x:v>Стартовая ключевая ставка</x:v>
      </x:c>
      <x:c r="H8" s="93" t="str">
        <x:v>Использовано</x:v>
      </x:c>
      <x:c r="I8" s="93" t="str">
        <x:v>14,00% на 31.07.2026</x:v>
      </x:c>
    </x:row>
    <x:row r="9">
      <x:c r="A9" s="93" t="str">
        <x:v>SRC-06</x:v>
      </x:c>
      <x:c r="B9" s="93" t="str">
        <x:v>Плотность</x:v>
      </x:c>
      <x:c r="C9" s="93" t="str">
        <x:v>Допущение модели</x:v>
      </x:c>
      <x:c r="D9" s="93" t="str">
        <x:v>Вводные!J4:M15</x:v>
      </x:c>
      <x:c r="E9" s="94" t="n">
        <x:v>46235</x:v>
      </x:c>
      <x:c r="F9" s="93" t="str">
        <x:v>м² / га</x:v>
      </x:c>
      <x:c r="G9" s="93" t="str">
        <x:v>Москва — ГлавАПУ; Московская область — 30 000 по умолчанию</x:v>
      </x:c>
      <x:c r="H9" s="93" t="str">
        <x:v>Использовано</x:v>
      </x:c>
      <x:c r="I9" s="93" t="str">
        <x:v>Можно отключить норматив и задать ручную плотность</x:v>
      </x:c>
    </x:row>
    <x:row r="10">
      <x:c r="A10" s="93" t="str">
        <x:v>CNV-01</x:v>
      </x:c>
      <x:c r="B10" s="93" t="str">
        <x:v>Знаки</x:v>
      </x:c>
      <x:c r="C10" s="93" t="str">
        <x:v>Конвенция модели</x:v>
      </x:c>
      <x:c r="D10" s="93" t="str">
        <x:v>Внутренняя</x:v>
      </x:c>
      <x:c r="E10" s="94" t="n">
        <x:v>46235</x:v>
      </x:c>
      <x:c r="F10" s="93" t="str">
        <x:v>млн ₽</x:v>
      </x:c>
      <x:c r="G10" s="93" t="str">
        <x:v>Доходы и выборки положительные; расходы в строках показаны положительно; CF — со знаком</x:v>
      </x:c>
      <x:c r="H10" s="93" t="str">
        <x:v>Действует</x:v>
      </x:c>
      <x:c r="I10" s="93" t="str"/>
    </x:row>
    <x:row r="11">
      <x:c r="A11" s="93" t="str">
        <x:v>CNV-02</x:v>
      </x:c>
      <x:c r="B11" s="93" t="str">
        <x:v>Периодичность</x:v>
      </x:c>
      <x:c r="C11" s="93" t="str">
        <x:v>Конвенция модели</x:v>
      </x:c>
      <x:c r="D11" s="93" t="str">
        <x:v>Внутренняя</x:v>
      </x:c>
      <x:c r="E11" s="94" t="n">
        <x:v>46235</x:v>
      </x:c>
      <x:c r="F11" s="93" t="str">
        <x:v>месяц</x:v>
      </x:c>
      <x:c r="G11" s="93" t="str">
        <x:v>Все ядро рассчитывается помесячно</x:v>
      </x:c>
      <x:c r="H11" s="93" t="str">
        <x:v>Действует</x:v>
      </x:c>
      <x:c r="I11" s="93" t="str">
        <x:v>120 месяцев</x:v>
      </x:c>
    </x:row>
    <x:row r="12">
      <x:c r="A12" s="93" t="str">
        <x:v>CNV-03</x:v>
      </x:c>
      <x:c r="B12" s="93" t="str">
        <x:v>Финансирование</x:v>
      </x:c>
      <x:c r="C12" s="93" t="str">
        <x:v>Конвенция модели</x:v>
      </x:c>
      <x:c r="D12" s="93" t="str">
        <x:v>Внутренняя</x:v>
      </x:c>
      <x:c r="E12" s="94" t="n">
        <x:v>46235</x:v>
      </x:c>
      <x:c r="F12" s="93" t="str">
        <x:v>млн ₽</x:v>
      </x:c>
      <x:c r="G12" s="93" t="str">
        <x:v>Проценты считаются на входящий долг; кассовый дефицит закрывается долгом и затем капиталом</x:v>
      </x:c>
      <x:c r="H12" s="93" t="str">
        <x:v>Действует</x:v>
      </x:c>
      <x:c r="I12" s="93" t="str">
        <x:v>Без циклических ссылок</x:v>
      </x:c>
    </x:row>
    <x:row r="13">
      <x:c r="A13" s="93" t="str">
        <x:v>VER-02</x:v>
      </x:c>
      <x:c r="B13" s="93" t="str">
        <x:v>Версия</x:v>
      </x:c>
      <x:c r="C13" s="93" t="str">
        <x:v>Исправленная модель</x:v>
      </x:c>
      <x:c r="D13" s="93" t="str">
        <x:v>DevelopAid_Полная_модель_v2.xlsx</x:v>
      </x:c>
      <x:c r="E13" s="94" t="n">
        <x:v>46235</x:v>
      </x:c>
      <x:c r="F13" s="93" t="str">
        <x:v>—</x:v>
      </x:c>
      <x:c r="G13" s="93" t="str">
        <x:v>Сценарии ставки, авто-лимит ПФ, ВРИ по 593-ПП, плотность ТЭП</x:v>
      </x:c>
      <x:c r="H13" s="93" t="str">
        <x:v>Предыдущая</x:v>
      </x:c>
      <x:c r="I13" s="93" t="str">
        <x:v>3 очереди + консолидатор</x:v>
      </x:c>
    </x:row>
    <x:row r="14">
      <x:c r="A14" s="93" t="str">
        <x:v>SRC-07</x:v>
      </x:c>
      <x:c r="B14" s="93" t="str">
        <x:v>Офисы / ТЦ / парковки</x:v>
      </x:c>
      <x:c r="C14" s="93" t="str">
        <x:v>Архив пользователя</x:v>
      </x:c>
      <x:c r="D14" s="93" t="str">
        <x:v>90_Детализация_Проект DevelopAid.xlsx</x:v>
      </x:c>
      <x:c r="E14" s="94" t="n">
        <x:v>46235</x:v>
      </x:c>
      <x:c r="F14" s="93" t="str">
        <x:v>м² / шт. / млн ₽</x:v>
      </x:c>
      <x:c r="G14" s="93" t="str">
        <x:v>Восстановлены отдельные объектные контуры из исходной детализации</x:v>
      </x:c>
      <x:c r="H14" s="93" t="str">
        <x:v>Использовано</x:v>
      </x:c>
      <x:c r="I14" s="93" t="str">
        <x:v>Собственные сроки, продажи, CAPEX, эскроу и очередь финансирования</x:v>
      </x:c>
    </x:row>
    <x:row r="15">
      <x:c r="A15" s="93" t="str">
        <x:v>VER-03</x:v>
      </x:c>
      <x:c r="B15" s="93" t="str">
        <x:v>Версия</x:v>
      </x:c>
      <x:c r="C15" s="93" t="str">
        <x:v>Полная продуктовая модель</x:v>
      </x:c>
      <x:c r="D15" s="93" t="str">
        <x:v>DevelopAid_Полная_модель_v3_офисы_ТЦ_паркинги.xlsx</x:v>
      </x:c>
      <x:c r="E15" s="94" t="n">
        <x:v>46235</x:v>
      </x:c>
      <x:c r="F15" s="93" t="str">
        <x:v>—</x:v>
      </x:c>
      <x:c r="G15" s="93" t="str">
        <x:v>Офисы, ТЦ, наземный и подземный паркинги, кладовые и проверки плотности</x:v>
      </x:c>
      <x:c r="H15" s="93" t="str">
        <x:v>Предыдущая</x:v>
      </x:c>
      <x:c r="I15" s="93" t="str">
        <x:v>Новые объекты выключены по умолчанию</x:v>
      </x:c>
    </x:row>
    <x:row r="16">
      <x:c r="A16" s="93" t="str">
        <x:v>VER-04</x:v>
      </x:c>
      <x:c r="B16" s="93" t="str">
        <x:v>Версия</x:v>
      </x:c>
      <x:c r="C16" s="93" t="str">
        <x:v>Драйверы продаж и unit economics</x:v>
      </x:c>
      <x:c r="D16" s="93" t="str">
        <x:v>DevelopAid_Полная_модель_v4_сезонность_темпы_инфляция.xlsx</x:v>
      </x:c>
      <x:c r="E16" s="94" t="n">
        <x:v>46235</x:v>
      </x:c>
      <x:c r="F16" s="93" t="str">
        <x:v>—</x:v>
      </x:c>
      <x:c r="G16" s="93" t="str">
        <x:v>Сезонность января и мая–августа; срок и тренд продаж; инфляция цены и затрат; прежние KPI отчёта</x:v>
      </x:c>
      <x:c r="H16" s="93" t="str">
        <x:v>Текущая</x:v>
      </x:c>
      <x:c r="I16" s="93" t="str">
        <x:v>Инфляция по умолчанию 0%; сезонное снижение по умолчанию 15%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337" t="str">
        <x:v>ОТДЕЛЬНО СТОЯЩИЕ КОММЕРЧЕСКИЕ ОБЪЕКТЫ · ПОМЕСЯЧНО</x:v>
      </x:c>
      <x:c r="B1" s="337"/>
      <x:c r="C1" s="337"/>
      <x:c r="D1" s="337"/>
      <x:c r="E1" s="337"/>
      <x:c r="F1" s="337"/>
      <x:c r="G1" s="337"/>
      <x:c r="H1" s="337"/>
      <x:c r="I1" s="337"/>
      <x:c r="J1" s="337"/>
      <x:c r="K1" s="337"/>
      <x:c r="L1" s="337"/>
      <x:c r="M1" s="337"/>
      <x:c r="N1" s="337"/>
      <x:c r="O1" s="337"/>
      <x:c r="P1" s="337"/>
      <x:c r="Q1" s="337"/>
      <x:c r="R1" s="337"/>
      <x:c r="S1" s="337"/>
      <x:c r="T1" s="337"/>
      <x:c r="U1" s="337"/>
      <x:c r="V1" s="337"/>
      <x:c r="W1" s="337"/>
      <x:c r="X1" s="337"/>
      <x:c r="Y1" s="337"/>
      <x:c r="Z1" s="337"/>
      <x:c r="AA1" s="337"/>
      <x:c r="AB1" s="337"/>
      <x:c r="AC1" s="337"/>
      <x:c r="AD1" s="337"/>
      <x:c r="AE1" s="337"/>
      <x:c r="AF1" s="337"/>
      <x:c r="AG1" s="337"/>
      <x:c r="AH1" s="337"/>
      <x:c r="AI1" s="337"/>
      <x:c r="AJ1" s="337"/>
      <x:c r="AK1" s="337"/>
      <x:c r="AL1" s="337"/>
      <x:c r="AM1" s="337"/>
      <x:c r="AN1" s="337"/>
      <x:c r="AO1" s="337"/>
      <x:c r="AP1" s="337"/>
      <x:c r="AQ1" s="337"/>
      <x:c r="AR1" s="337"/>
      <x:c r="AS1" s="337"/>
      <x:c r="AT1" s="337"/>
      <x:c r="AU1" s="337"/>
      <x:c r="AV1" s="337"/>
      <x:c r="AW1" s="337"/>
      <x:c r="AX1" s="337"/>
      <x:c r="AY1" s="337"/>
      <x:c r="AZ1" s="337"/>
      <x:c r="BA1" s="337"/>
      <x:c r="BB1" s="337"/>
      <x:c r="BC1" s="337"/>
      <x:c r="BD1" s="337"/>
      <x:c r="BE1" s="337"/>
      <x:c r="BF1" s="337"/>
      <x:c r="BG1" s="337"/>
      <x:c r="BH1" s="337"/>
      <x:c r="BI1" s="337"/>
      <x:c r="BJ1" s="337"/>
      <x:c r="BK1" s="337"/>
      <x:c r="BL1" s="337"/>
      <x:c r="BM1" s="337"/>
      <x:c r="BN1" s="337"/>
      <x:c r="BO1" s="337"/>
      <x:c r="BP1" s="337"/>
      <x:c r="BQ1" s="337"/>
      <x:c r="BR1" s="337"/>
      <x:c r="BS1" s="337"/>
      <x:c r="BT1" s="337"/>
      <x:c r="BU1" s="337"/>
      <x:c r="BV1" s="337"/>
      <x:c r="BW1" s="337"/>
      <x:c r="BX1" s="337"/>
      <x:c r="BY1" s="337"/>
      <x:c r="BZ1" s="337"/>
      <x:c r="CA1" s="337"/>
      <x:c r="CB1" s="337"/>
      <x:c r="CC1" s="337"/>
      <x:c r="CD1" s="337"/>
      <x:c r="CE1" s="337"/>
      <x:c r="CF1" s="337"/>
      <x:c r="CG1" s="337"/>
      <x:c r="CH1" s="337"/>
      <x:c r="CI1" s="337"/>
      <x:c r="CJ1" s="337"/>
      <x:c r="CK1" s="337"/>
      <x:c r="CL1" s="337"/>
      <x:c r="CM1" s="337"/>
      <x:c r="CN1" s="337"/>
      <x:c r="CO1" s="337"/>
      <x:c r="CP1" s="337"/>
      <x:c r="CQ1" s="337"/>
      <x:c r="CR1" s="337"/>
      <x:c r="CS1" s="337"/>
      <x:c r="CT1" s="337"/>
      <x:c r="CU1" s="337"/>
      <x:c r="CV1" s="337"/>
      <x:c r="CW1" s="337"/>
      <x:c r="CX1" s="337"/>
      <x:c r="CY1" s="337"/>
      <x:c r="CZ1" s="337"/>
      <x:c r="DA1" s="337"/>
      <x:c r="DB1" s="337"/>
      <x:c r="DC1" s="337"/>
      <x:c r="DD1" s="337"/>
      <x:c r="DE1" s="337"/>
      <x:c r="DF1" s="337"/>
      <x:c r="DG1" s="337"/>
      <x:c r="DH1" s="337"/>
      <x:c r="DI1" s="337"/>
      <x:c r="DJ1" s="337"/>
      <x:c r="DK1" s="337"/>
      <x:c r="DL1" s="337"/>
      <x:c r="DM1" s="337"/>
      <x:c r="DN1" s="337"/>
      <x:c r="DO1" s="337"/>
      <x:c r="DP1" s="337"/>
      <x:c r="DQ1" s="337"/>
      <x:c r="DR1" s="337"/>
      <x:c r="DS1" s="337"/>
    </x:row>
    <x:row r="3">
      <x:c r="A3" s="289" t="str">
        <x:v>Показатель</x:v>
      </x:c>
      <x:c r="B3" s="289" t="str">
        <x:v>Итого / значение</x:v>
      </x:c>
      <x:c r="C3" s="289" t="str">
        <x:v>Ед.</x:v>
      </x:c>
      <x:c r="D3" s="340" t="n">
        <x:f>'Ставки'!D$3</x:f>
      </x:c>
      <x:c r="E3" s="340" t="n">
        <x:f>'Ставки'!E$3</x:f>
      </x:c>
      <x:c r="F3" s="340" t="n">
        <x:f>'Ставки'!F$3</x:f>
      </x:c>
      <x:c r="G3" s="340" t="n">
        <x:f>'Ставки'!G$3</x:f>
      </x:c>
      <x:c r="H3" s="340" t="n">
        <x:f>'Ставки'!H$3</x:f>
      </x:c>
      <x:c r="I3" s="340" t="n">
        <x:f>'Ставки'!I$3</x:f>
      </x:c>
      <x:c r="J3" s="340" t="n">
        <x:f>'Ставки'!J$3</x:f>
      </x:c>
      <x:c r="K3" s="340" t="n">
        <x:f>'Ставки'!K$3</x:f>
      </x:c>
      <x:c r="L3" s="340" t="n">
        <x:f>'Ставки'!L$3</x:f>
      </x:c>
      <x:c r="M3" s="340" t="n">
        <x:f>'Ставки'!M$3</x:f>
      </x:c>
      <x:c r="N3" s="340" t="n">
        <x:f>'Ставки'!N$3</x:f>
      </x:c>
      <x:c r="O3" s="340" t="n">
        <x:f>'Ставки'!O$3</x:f>
      </x:c>
      <x:c r="P3" s="340" t="n">
        <x:f>'Ставки'!P$3</x:f>
      </x:c>
      <x:c r="Q3" s="340" t="n">
        <x:f>'Ставки'!Q$3</x:f>
      </x:c>
      <x:c r="R3" s="340" t="n">
        <x:f>'Ставки'!R$3</x:f>
      </x:c>
      <x:c r="S3" s="340" t="n">
        <x:f>'Ставки'!S$3</x:f>
      </x:c>
      <x:c r="T3" s="340" t="n">
        <x:f>'Ставки'!T$3</x:f>
      </x:c>
      <x:c r="U3" s="340" t="n">
        <x:f>'Ставки'!U$3</x:f>
      </x:c>
      <x:c r="V3" s="340" t="n">
        <x:f>'Ставки'!V$3</x:f>
      </x:c>
      <x:c r="W3" s="340" t="n">
        <x:f>'Ставки'!W$3</x:f>
      </x:c>
      <x:c r="X3" s="340" t="n">
        <x:f>'Ставки'!X$3</x:f>
      </x:c>
      <x:c r="Y3" s="340" t="n">
        <x:f>'Ставки'!Y$3</x:f>
      </x:c>
      <x:c r="Z3" s="340" t="n">
        <x:f>'Ставки'!Z$3</x:f>
      </x:c>
      <x:c r="AA3" s="340" t="n">
        <x:f>'Ставки'!AA$3</x:f>
      </x:c>
      <x:c r="AB3" s="340" t="n">
        <x:f>'Ставки'!AB$3</x:f>
      </x:c>
      <x:c r="AC3" s="340" t="n">
        <x:f>'Ставки'!AC$3</x:f>
      </x:c>
      <x:c r="AD3" s="340" t="n">
        <x:f>'Ставки'!AD$3</x:f>
      </x:c>
      <x:c r="AE3" s="340" t="n">
        <x:f>'Ставки'!AE$3</x:f>
      </x:c>
      <x:c r="AF3" s="340" t="n">
        <x:f>'Ставки'!AF$3</x:f>
      </x:c>
      <x:c r="AG3" s="340" t="n">
        <x:f>'Ставки'!AG$3</x:f>
      </x:c>
      <x:c r="AH3" s="340" t="n">
        <x:f>'Ставки'!AH$3</x:f>
      </x:c>
      <x:c r="AI3" s="340" t="n">
        <x:f>'Ставки'!AI$3</x:f>
      </x:c>
      <x:c r="AJ3" s="340" t="n">
        <x:f>'Ставки'!AJ$3</x:f>
      </x:c>
      <x:c r="AK3" s="340" t="n">
        <x:f>'Ставки'!AK$3</x:f>
      </x:c>
      <x:c r="AL3" s="340" t="n">
        <x:f>'Ставки'!AL$3</x:f>
      </x:c>
      <x:c r="AM3" s="340" t="n">
        <x:f>'Ставки'!AM$3</x:f>
      </x:c>
      <x:c r="AN3" s="340" t="n">
        <x:f>'Ставки'!AN$3</x:f>
      </x:c>
      <x:c r="AO3" s="340" t="n">
        <x:f>'Ставки'!AO$3</x:f>
      </x:c>
      <x:c r="AP3" s="340" t="n">
        <x:f>'Ставки'!AP$3</x:f>
      </x:c>
      <x:c r="AQ3" s="340" t="n">
        <x:f>'Ставки'!AQ$3</x:f>
      </x:c>
      <x:c r="AR3" s="340" t="n">
        <x:f>'Ставки'!AR$3</x:f>
      </x:c>
      <x:c r="AS3" s="340" t="n">
        <x:f>'Ставки'!AS$3</x:f>
      </x:c>
      <x:c r="AT3" s="340" t="n">
        <x:f>'Ставки'!AT$3</x:f>
      </x:c>
      <x:c r="AU3" s="340" t="n">
        <x:f>'Ставки'!AU$3</x:f>
      </x:c>
      <x:c r="AV3" s="340" t="n">
        <x:f>'Ставки'!AV$3</x:f>
      </x:c>
      <x:c r="AW3" s="340" t="n">
        <x:f>'Ставки'!AW$3</x:f>
      </x:c>
      <x:c r="AX3" s="340" t="n">
        <x:f>'Ставки'!AX$3</x:f>
      </x:c>
      <x:c r="AY3" s="340" t="n">
        <x:f>'Ставки'!AY$3</x:f>
      </x:c>
      <x:c r="AZ3" s="340" t="n">
        <x:f>'Ставки'!AZ$3</x:f>
      </x:c>
      <x:c r="BA3" s="340" t="n">
        <x:f>'Ставки'!BA$3</x:f>
      </x:c>
      <x:c r="BB3" s="340" t="n">
        <x:f>'Ставки'!BB$3</x:f>
      </x:c>
      <x:c r="BC3" s="340" t="n">
        <x:f>'Ставки'!BC$3</x:f>
      </x:c>
      <x:c r="BD3" s="340" t="n">
        <x:f>'Ставки'!BD$3</x:f>
      </x:c>
      <x:c r="BE3" s="340" t="n">
        <x:f>'Ставки'!BE$3</x:f>
      </x:c>
      <x:c r="BF3" s="340" t="n">
        <x:f>'Ставки'!BF$3</x:f>
      </x:c>
      <x:c r="BG3" s="340" t="n">
        <x:f>'Ставки'!BG$3</x:f>
      </x:c>
      <x:c r="BH3" s="340" t="n">
        <x:f>'Ставки'!BH$3</x:f>
      </x:c>
      <x:c r="BI3" s="340" t="n">
        <x:f>'Ставки'!BI$3</x:f>
      </x:c>
      <x:c r="BJ3" s="340" t="n">
        <x:f>'Ставки'!BJ$3</x:f>
      </x:c>
      <x:c r="BK3" s="340" t="n">
        <x:f>'Ставки'!BK$3</x:f>
      </x:c>
      <x:c r="BL3" s="340" t="n">
        <x:f>'Ставки'!BL$3</x:f>
      </x:c>
      <x:c r="BM3" s="340" t="n">
        <x:f>'Ставки'!BM$3</x:f>
      </x:c>
      <x:c r="BN3" s="340" t="n">
        <x:f>'Ставки'!BN$3</x:f>
      </x:c>
      <x:c r="BO3" s="340" t="n">
        <x:f>'Ставки'!BO$3</x:f>
      </x:c>
      <x:c r="BP3" s="340" t="n">
        <x:f>'Ставки'!BP$3</x:f>
      </x:c>
      <x:c r="BQ3" s="340" t="n">
        <x:f>'Ставки'!BQ$3</x:f>
      </x:c>
      <x:c r="BR3" s="340" t="n">
        <x:f>'Ставки'!BR$3</x:f>
      </x:c>
      <x:c r="BS3" s="340" t="n">
        <x:f>'Ставки'!BS$3</x:f>
      </x:c>
      <x:c r="BT3" s="340" t="n">
        <x:f>'Ставки'!BT$3</x:f>
      </x:c>
      <x:c r="BU3" s="340" t="n">
        <x:f>'Ставки'!BU$3</x:f>
      </x:c>
      <x:c r="BV3" s="340" t="n">
        <x:f>'Ставки'!BV$3</x:f>
      </x:c>
      <x:c r="BW3" s="340" t="n">
        <x:f>'Ставки'!BW$3</x:f>
      </x:c>
      <x:c r="BX3" s="340" t="n">
        <x:f>'Ставки'!BX$3</x:f>
      </x:c>
      <x:c r="BY3" s="340" t="n">
        <x:f>'Ставки'!BY$3</x:f>
      </x:c>
      <x:c r="BZ3" s="340" t="n">
        <x:f>'Ставки'!BZ$3</x:f>
      </x:c>
      <x:c r="CA3" s="340" t="n">
        <x:f>'Ставки'!CA$3</x:f>
      </x:c>
      <x:c r="CB3" s="340" t="n">
        <x:f>'Ставки'!CB$3</x:f>
      </x:c>
      <x:c r="CC3" s="340" t="n">
        <x:f>'Ставки'!CC$3</x:f>
      </x:c>
      <x:c r="CD3" s="340" t="n">
        <x:f>'Ставки'!CD$3</x:f>
      </x:c>
      <x:c r="CE3" s="340" t="n">
        <x:f>'Ставки'!CE$3</x:f>
      </x:c>
      <x:c r="CF3" s="340" t="n">
        <x:f>'Ставки'!CF$3</x:f>
      </x:c>
      <x:c r="CG3" s="340" t="n">
        <x:f>'Ставки'!CG$3</x:f>
      </x:c>
      <x:c r="CH3" s="340" t="n">
        <x:f>'Ставки'!CH$3</x:f>
      </x:c>
      <x:c r="CI3" s="340" t="n">
        <x:f>'Ставки'!CI$3</x:f>
      </x:c>
      <x:c r="CJ3" s="340" t="n">
        <x:f>'Ставки'!CJ$3</x:f>
      </x:c>
      <x:c r="CK3" s="340" t="n">
        <x:f>'Ставки'!CK$3</x:f>
      </x:c>
      <x:c r="CL3" s="340" t="n">
        <x:f>'Ставки'!CL$3</x:f>
      </x:c>
      <x:c r="CM3" s="340" t="n">
        <x:f>'Ставки'!CM$3</x:f>
      </x:c>
      <x:c r="CN3" s="340" t="n">
        <x:f>'Ставки'!CN$3</x:f>
      </x:c>
      <x:c r="CO3" s="340" t="n">
        <x:f>'Ставки'!CO$3</x:f>
      </x:c>
      <x:c r="CP3" s="340" t="n">
        <x:f>'Ставки'!CP$3</x:f>
      </x:c>
      <x:c r="CQ3" s="340" t="n">
        <x:f>'Ставки'!CQ$3</x:f>
      </x:c>
      <x:c r="CR3" s="340" t="n">
        <x:f>'Ставки'!CR$3</x:f>
      </x:c>
      <x:c r="CS3" s="340" t="n">
        <x:f>'Ставки'!CS$3</x:f>
      </x:c>
      <x:c r="CT3" s="340" t="n">
        <x:f>'Ставки'!CT$3</x:f>
      </x:c>
      <x:c r="CU3" s="340" t="n">
        <x:f>'Ставки'!CU$3</x:f>
      </x:c>
      <x:c r="CV3" s="340" t="n">
        <x:f>'Ставки'!CV$3</x:f>
      </x:c>
      <x:c r="CW3" s="340" t="n">
        <x:f>'Ставки'!CW$3</x:f>
      </x:c>
      <x:c r="CX3" s="340" t="n">
        <x:f>'Ставки'!CX$3</x:f>
      </x:c>
      <x:c r="CY3" s="340" t="n">
        <x:f>'Ставки'!CY$3</x:f>
      </x:c>
      <x:c r="CZ3" s="340" t="n">
        <x:f>'Ставки'!CZ$3</x:f>
      </x:c>
      <x:c r="DA3" s="340" t="n">
        <x:f>'Ставки'!DA$3</x:f>
      </x:c>
      <x:c r="DB3" s="340" t="n">
        <x:f>'Ставки'!DB$3</x:f>
      </x:c>
      <x:c r="DC3" s="340" t="n">
        <x:f>'Ставки'!DC$3</x:f>
      </x:c>
      <x:c r="DD3" s="340" t="n">
        <x:f>'Ставки'!DD$3</x:f>
      </x:c>
      <x:c r="DE3" s="340" t="n">
        <x:f>'Ставки'!DE$3</x:f>
      </x:c>
      <x:c r="DF3" s="340" t="n">
        <x:f>'Ставки'!DF$3</x:f>
      </x:c>
      <x:c r="DG3" s="340" t="n">
        <x:f>'Ставки'!DG$3</x:f>
      </x:c>
      <x:c r="DH3" s="340" t="n">
        <x:f>'Ставки'!DH$3</x:f>
      </x:c>
      <x:c r="DI3" s="340" t="n">
        <x:f>'Ставки'!DI$3</x:f>
      </x:c>
      <x:c r="DJ3" s="340" t="n">
        <x:f>'Ставки'!DJ$3</x:f>
      </x:c>
      <x:c r="DK3" s="340" t="n">
        <x:f>'Ставки'!DK$3</x:f>
      </x:c>
      <x:c r="DL3" s="340" t="n">
        <x:f>'Ставки'!DL$3</x:f>
      </x:c>
      <x:c r="DM3" s="340" t="n">
        <x:f>'Ставки'!DM$3</x:f>
      </x:c>
      <x:c r="DN3" s="340" t="n">
        <x:f>'Ставки'!DN$3</x:f>
      </x:c>
      <x:c r="DO3" s="340" t="n">
        <x:f>'Ставки'!DO$3</x:f>
      </x:c>
      <x:c r="DP3" s="340" t="n">
        <x:f>'Ставки'!DP$3</x:f>
      </x:c>
      <x:c r="DQ3" s="340" t="n">
        <x:f>'Ставки'!DQ$3</x:f>
      </x:c>
      <x:c r="DR3" s="340" t="n">
        <x:f>'Ставки'!DR$3</x:f>
      </x:c>
      <x:c r="DS3" s="340" t="n">
        <x:f>'Ставки'!DS$3</x:f>
      </x:c>
    </x:row>
    <x:row r="4">
      <x:c r="A4" s="338" t="str">
        <x:v>Период</x:v>
      </x:c>
      <x:c r="B4" s="338"/>
      <x:c r="C4" s="338" t="str">
        <x:v>№</x:v>
      </x:c>
      <x:c r="D4" s="342" t="n">
        <x:v>1</x:v>
      </x:c>
      <x:c r="E4" s="342" t="n">
        <x:v>2</x:v>
      </x:c>
      <x:c r="F4" s="342" t="n">
        <x:v>3</x:v>
      </x:c>
      <x:c r="G4" s="342" t="n">
        <x:v>4</x:v>
      </x:c>
      <x:c r="H4" s="342" t="n">
        <x:v>5</x:v>
      </x:c>
      <x:c r="I4" s="342" t="n">
        <x:v>6</x:v>
      </x:c>
      <x:c r="J4" s="342" t="n">
        <x:v>7</x:v>
      </x:c>
      <x:c r="K4" s="342" t="n">
        <x:v>8</x:v>
      </x:c>
      <x:c r="L4" s="342" t="n">
        <x:v>9</x:v>
      </x:c>
      <x:c r="M4" s="342" t="n">
        <x:v>10</x:v>
      </x:c>
      <x:c r="N4" s="342" t="n">
        <x:v>11</x:v>
      </x:c>
      <x:c r="O4" s="342" t="n">
        <x:v>12</x:v>
      </x:c>
      <x:c r="P4" s="342" t="n">
        <x:v>13</x:v>
      </x:c>
      <x:c r="Q4" s="342" t="n">
        <x:v>14</x:v>
      </x:c>
      <x:c r="R4" s="342" t="n">
        <x:v>15</x:v>
      </x:c>
      <x:c r="S4" s="342" t="n">
        <x:v>16</x:v>
      </x:c>
      <x:c r="T4" s="342" t="n">
        <x:v>17</x:v>
      </x:c>
      <x:c r="U4" s="342" t="n">
        <x:v>18</x:v>
      </x:c>
      <x:c r="V4" s="342" t="n">
        <x:v>19</x:v>
      </x:c>
      <x:c r="W4" s="342" t="n">
        <x:v>20</x:v>
      </x:c>
      <x:c r="X4" s="342" t="n">
        <x:v>21</x:v>
      </x:c>
      <x:c r="Y4" s="342" t="n">
        <x:v>22</x:v>
      </x:c>
      <x:c r="Z4" s="342" t="n">
        <x:v>23</x:v>
      </x:c>
      <x:c r="AA4" s="342" t="n">
        <x:v>24</x:v>
      </x:c>
      <x:c r="AB4" s="342" t="n">
        <x:v>25</x:v>
      </x:c>
      <x:c r="AC4" s="342" t="n">
        <x:v>26</x:v>
      </x:c>
      <x:c r="AD4" s="342" t="n">
        <x:v>27</x:v>
      </x:c>
      <x:c r="AE4" s="342" t="n">
        <x:v>28</x:v>
      </x:c>
      <x:c r="AF4" s="342" t="n">
        <x:v>29</x:v>
      </x:c>
      <x:c r="AG4" s="342" t="n">
        <x:v>30</x:v>
      </x:c>
      <x:c r="AH4" s="342" t="n">
        <x:v>31</x:v>
      </x:c>
      <x:c r="AI4" s="342" t="n">
        <x:v>32</x:v>
      </x:c>
      <x:c r="AJ4" s="342" t="n">
        <x:v>33</x:v>
      </x:c>
      <x:c r="AK4" s="342" t="n">
        <x:v>34</x:v>
      </x:c>
      <x:c r="AL4" s="342" t="n">
        <x:v>35</x:v>
      </x:c>
      <x:c r="AM4" s="342" t="n">
        <x:v>36</x:v>
      </x:c>
      <x:c r="AN4" s="342" t="n">
        <x:v>37</x:v>
      </x:c>
      <x:c r="AO4" s="342" t="n">
        <x:v>38</x:v>
      </x:c>
      <x:c r="AP4" s="342" t="n">
        <x:v>39</x:v>
      </x:c>
      <x:c r="AQ4" s="342" t="n">
        <x:v>40</x:v>
      </x:c>
      <x:c r="AR4" s="342" t="n">
        <x:v>41</x:v>
      </x:c>
      <x:c r="AS4" s="342" t="n">
        <x:v>42</x:v>
      </x:c>
      <x:c r="AT4" s="342" t="n">
        <x:v>43</x:v>
      </x:c>
      <x:c r="AU4" s="342" t="n">
        <x:v>44</x:v>
      </x:c>
      <x:c r="AV4" s="342" t="n">
        <x:v>45</x:v>
      </x:c>
      <x:c r="AW4" s="342" t="n">
        <x:v>46</x:v>
      </x:c>
      <x:c r="AX4" s="342" t="n">
        <x:v>47</x:v>
      </x:c>
      <x:c r="AY4" s="342" t="n">
        <x:v>48</x:v>
      </x:c>
      <x:c r="AZ4" s="342" t="n">
        <x:v>49</x:v>
      </x:c>
      <x:c r="BA4" s="342" t="n">
        <x:v>50</x:v>
      </x:c>
      <x:c r="BB4" s="342" t="n">
        <x:v>51</x:v>
      </x:c>
      <x:c r="BC4" s="342" t="n">
        <x:v>52</x:v>
      </x:c>
      <x:c r="BD4" s="342" t="n">
        <x:v>53</x:v>
      </x:c>
      <x:c r="BE4" s="342" t="n">
        <x:v>54</x:v>
      </x:c>
      <x:c r="BF4" s="342" t="n">
        <x:v>55</x:v>
      </x:c>
      <x:c r="BG4" s="342" t="n">
        <x:v>56</x:v>
      </x:c>
      <x:c r="BH4" s="342" t="n">
        <x:v>57</x:v>
      </x:c>
      <x:c r="BI4" s="342" t="n">
        <x:v>58</x:v>
      </x:c>
      <x:c r="BJ4" s="342" t="n">
        <x:v>59</x:v>
      </x:c>
      <x:c r="BK4" s="342" t="n">
        <x:v>60</x:v>
      </x:c>
      <x:c r="BL4" s="342" t="n">
        <x:v>61</x:v>
      </x:c>
      <x:c r="BM4" s="342" t="n">
        <x:v>62</x:v>
      </x:c>
      <x:c r="BN4" s="342" t="n">
        <x:v>63</x:v>
      </x:c>
      <x:c r="BO4" s="342" t="n">
        <x:v>64</x:v>
      </x:c>
      <x:c r="BP4" s="342" t="n">
        <x:v>65</x:v>
      </x:c>
      <x:c r="BQ4" s="342" t="n">
        <x:v>66</x:v>
      </x:c>
      <x:c r="BR4" s="342" t="n">
        <x:v>67</x:v>
      </x:c>
      <x:c r="BS4" s="342" t="n">
        <x:v>68</x:v>
      </x:c>
      <x:c r="BT4" s="342" t="n">
        <x:v>69</x:v>
      </x:c>
      <x:c r="BU4" s="342" t="n">
        <x:v>70</x:v>
      </x:c>
      <x:c r="BV4" s="342" t="n">
        <x:v>71</x:v>
      </x:c>
      <x:c r="BW4" s="342" t="n">
        <x:v>72</x:v>
      </x:c>
      <x:c r="BX4" s="342" t="n">
        <x:v>73</x:v>
      </x:c>
      <x:c r="BY4" s="342" t="n">
        <x:v>74</x:v>
      </x:c>
      <x:c r="BZ4" s="342" t="n">
        <x:v>75</x:v>
      </x:c>
      <x:c r="CA4" s="342" t="n">
        <x:v>76</x:v>
      </x:c>
      <x:c r="CB4" s="342" t="n">
        <x:v>77</x:v>
      </x:c>
      <x:c r="CC4" s="342" t="n">
        <x:v>78</x:v>
      </x:c>
      <x:c r="CD4" s="342" t="n">
        <x:v>79</x:v>
      </x:c>
      <x:c r="CE4" s="342" t="n">
        <x:v>80</x:v>
      </x:c>
      <x:c r="CF4" s="342" t="n">
        <x:v>81</x:v>
      </x:c>
      <x:c r="CG4" s="342" t="n">
        <x:v>82</x:v>
      </x:c>
      <x:c r="CH4" s="342" t="n">
        <x:v>83</x:v>
      </x:c>
      <x:c r="CI4" s="342" t="n">
        <x:v>84</x:v>
      </x:c>
      <x:c r="CJ4" s="342" t="n">
        <x:v>85</x:v>
      </x:c>
      <x:c r="CK4" s="342" t="n">
        <x:v>86</x:v>
      </x:c>
      <x:c r="CL4" s="342" t="n">
        <x:v>87</x:v>
      </x:c>
      <x:c r="CM4" s="342" t="n">
        <x:v>88</x:v>
      </x:c>
      <x:c r="CN4" s="342" t="n">
        <x:v>89</x:v>
      </x:c>
      <x:c r="CO4" s="342" t="n">
        <x:v>90</x:v>
      </x:c>
      <x:c r="CP4" s="342" t="n">
        <x:v>91</x:v>
      </x:c>
      <x:c r="CQ4" s="342" t="n">
        <x:v>92</x:v>
      </x:c>
      <x:c r="CR4" s="342" t="n">
        <x:v>93</x:v>
      </x:c>
      <x:c r="CS4" s="342" t="n">
        <x:v>94</x:v>
      </x:c>
      <x:c r="CT4" s="342" t="n">
        <x:v>95</x:v>
      </x:c>
      <x:c r="CU4" s="342" t="n">
        <x:v>96</x:v>
      </x:c>
      <x:c r="CV4" s="342" t="n">
        <x:v>97</x:v>
      </x:c>
      <x:c r="CW4" s="342" t="n">
        <x:v>98</x:v>
      </x:c>
      <x:c r="CX4" s="342" t="n">
        <x:v>99</x:v>
      </x:c>
      <x:c r="CY4" s="342" t="n">
        <x:v>100</x:v>
      </x:c>
      <x:c r="CZ4" s="342" t="n">
        <x:v>101</x:v>
      </x:c>
      <x:c r="DA4" s="342" t="n">
        <x:v>102</x:v>
      </x:c>
      <x:c r="DB4" s="342" t="n">
        <x:v>103</x:v>
      </x:c>
      <x:c r="DC4" s="342" t="n">
        <x:v>104</x:v>
      </x:c>
      <x:c r="DD4" s="342" t="n">
        <x:v>105</x:v>
      </x:c>
      <x:c r="DE4" s="342" t="n">
        <x:v>106</x:v>
      </x:c>
      <x:c r="DF4" s="342" t="n">
        <x:v>107</x:v>
      </x:c>
      <x:c r="DG4" s="342" t="n">
        <x:v>108</x:v>
      </x:c>
      <x:c r="DH4" s="342" t="n">
        <x:v>109</x:v>
      </x:c>
      <x:c r="DI4" s="342" t="n">
        <x:v>110</x:v>
      </x:c>
      <x:c r="DJ4" s="342" t="n">
        <x:v>111</x:v>
      </x:c>
      <x:c r="DK4" s="342" t="n">
        <x:v>112</x:v>
      </x:c>
      <x:c r="DL4" s="342" t="n">
        <x:v>113</x:v>
      </x:c>
      <x:c r="DM4" s="342" t="n">
        <x:v>114</x:v>
      </x:c>
      <x:c r="DN4" s="342" t="n">
        <x:v>115</x:v>
      </x:c>
      <x:c r="DO4" s="342" t="n">
        <x:v>116</x:v>
      </x:c>
      <x:c r="DP4" s="342" t="n">
        <x:v>117</x:v>
      </x:c>
      <x:c r="DQ4" s="342" t="n">
        <x:v>118</x:v>
      </x:c>
      <x:c r="DR4" s="342" t="n">
        <x:v>119</x:v>
      </x:c>
      <x:c r="DS4" s="342" t="n">
        <x:v>120</x:v>
      </x:c>
    </x:row>
    <x:row r="6" ht="21" customHeight="1">
      <x:c r="A6" s="281" t="str">
        <x:v>МФОЦ / ОФИСНЫЙ ЦЕНТР</x:v>
      </x:c>
      <x:c r="B6" s="282" t="str">
        <x:v>МФОЦ / ОФИСНЫЙ ЦЕНТР</x:v>
      </x:c>
      <x:c r="C6" s="282" t="str">
        <x:v>МФОЦ / ОФИСНЫЙ ЦЕНТР</x:v>
      </x:c>
      <x:c r="D6" s="282" t="str">
        <x:v>МФОЦ / ОФИСНЫЙ ЦЕНТР</x:v>
      </x:c>
      <x:c r="E6" s="282" t="str">
        <x:v>МФОЦ / ОФИСНЫЙ ЦЕНТР</x:v>
      </x:c>
      <x:c r="F6" s="282" t="str">
        <x:v>МФОЦ / ОФИСНЫЙ ЦЕНТР</x:v>
      </x:c>
      <x:c r="G6" s="282" t="str">
        <x:v>МФОЦ / ОФИСНЫЙ ЦЕНТР</x:v>
      </x:c>
      <x:c r="H6" s="282" t="str">
        <x:v>МФОЦ / ОФИСНЫЙ ЦЕНТР</x:v>
      </x:c>
      <x:c r="I6" s="282" t="str">
        <x:v>МФОЦ / ОФИСНЫЙ ЦЕНТР</x:v>
      </x:c>
      <x:c r="J6" s="282" t="str">
        <x:v>МФОЦ / ОФИСНЫЙ ЦЕНТР</x:v>
      </x:c>
      <x:c r="K6" s="282" t="str">
        <x:v>МФОЦ / ОФИСНЫЙ ЦЕНТР</x:v>
      </x:c>
      <x:c r="L6" s="282" t="str">
        <x:v>МФОЦ / ОФИСНЫЙ ЦЕНТР</x:v>
      </x:c>
      <x:c r="M6" s="282" t="str">
        <x:v>МФОЦ / ОФИСНЫЙ ЦЕНТР</x:v>
      </x:c>
      <x:c r="N6" s="282" t="str">
        <x:v>МФОЦ / ОФИСНЫЙ ЦЕНТР</x:v>
      </x:c>
      <x:c r="O6" s="282" t="str">
        <x:v>МФОЦ / ОФИСНЫЙ ЦЕНТР</x:v>
      </x:c>
      <x:c r="P6" s="282" t="str">
        <x:v>МФОЦ / ОФИСНЫЙ ЦЕНТР</x:v>
      </x:c>
      <x:c r="Q6" s="282" t="str">
        <x:v>МФОЦ / ОФИСНЫЙ ЦЕНТР</x:v>
      </x:c>
      <x:c r="R6" s="282" t="str">
        <x:v>МФОЦ / ОФИСНЫЙ ЦЕНТР</x:v>
      </x:c>
      <x:c r="S6" s="282" t="str">
        <x:v>МФОЦ / ОФИСНЫЙ ЦЕНТР</x:v>
      </x:c>
      <x:c r="T6" s="282" t="str">
        <x:v>МФОЦ / ОФИСНЫЙ ЦЕНТР</x:v>
      </x:c>
      <x:c r="U6" s="282" t="str">
        <x:v>МФОЦ / ОФИСНЫЙ ЦЕНТР</x:v>
      </x:c>
      <x:c r="V6" s="282" t="str">
        <x:v>МФОЦ / ОФИСНЫЙ ЦЕНТР</x:v>
      </x:c>
      <x:c r="W6" s="282" t="str">
        <x:v>МФОЦ / ОФИСНЫЙ ЦЕНТР</x:v>
      </x:c>
      <x:c r="X6" s="282" t="str">
        <x:v>МФОЦ / ОФИСНЫЙ ЦЕНТР</x:v>
      </x:c>
      <x:c r="Y6" s="282" t="str">
        <x:v>МФОЦ / ОФИСНЫЙ ЦЕНТР</x:v>
      </x:c>
      <x:c r="Z6" s="282" t="str">
        <x:v>МФОЦ / ОФИСНЫЙ ЦЕНТР</x:v>
      </x:c>
      <x:c r="AA6" s="282" t="str">
        <x:v>МФОЦ / ОФИСНЫЙ ЦЕНТР</x:v>
      </x:c>
      <x:c r="AB6" s="282" t="str">
        <x:v>МФОЦ / ОФИСНЫЙ ЦЕНТР</x:v>
      </x:c>
      <x:c r="AC6" s="282" t="str">
        <x:v>МФОЦ / ОФИСНЫЙ ЦЕНТР</x:v>
      </x:c>
      <x:c r="AD6" s="282" t="str">
        <x:v>МФОЦ / ОФИСНЫЙ ЦЕНТР</x:v>
      </x:c>
      <x:c r="AE6" s="282" t="str">
        <x:v>МФОЦ / ОФИСНЫЙ ЦЕНТР</x:v>
      </x:c>
      <x:c r="AF6" s="282" t="str">
        <x:v>МФОЦ / ОФИСНЫЙ ЦЕНТР</x:v>
      </x:c>
      <x:c r="AG6" s="282" t="str">
        <x:v>МФОЦ / ОФИСНЫЙ ЦЕНТР</x:v>
      </x:c>
      <x:c r="AH6" s="282" t="str">
        <x:v>МФОЦ / ОФИСНЫЙ ЦЕНТР</x:v>
      </x:c>
      <x:c r="AI6" s="282" t="str">
        <x:v>МФОЦ / ОФИСНЫЙ ЦЕНТР</x:v>
      </x:c>
      <x:c r="AJ6" s="282" t="str">
        <x:v>МФОЦ / ОФИСНЫЙ ЦЕНТР</x:v>
      </x:c>
      <x:c r="AK6" s="282" t="str">
        <x:v>МФОЦ / ОФИСНЫЙ ЦЕНТР</x:v>
      </x:c>
      <x:c r="AL6" s="282" t="str">
        <x:v>МФОЦ / ОФИСНЫЙ ЦЕНТР</x:v>
      </x:c>
      <x:c r="AM6" s="282" t="str">
        <x:v>МФОЦ / ОФИСНЫЙ ЦЕНТР</x:v>
      </x:c>
      <x:c r="AN6" s="282" t="str">
        <x:v>МФОЦ / ОФИСНЫЙ ЦЕНТР</x:v>
      </x:c>
      <x:c r="AO6" s="282" t="str">
        <x:v>МФОЦ / ОФИСНЫЙ ЦЕНТР</x:v>
      </x:c>
      <x:c r="AP6" s="282" t="str">
        <x:v>МФОЦ / ОФИСНЫЙ ЦЕНТР</x:v>
      </x:c>
      <x:c r="AQ6" s="282" t="str">
        <x:v>МФОЦ / ОФИСНЫЙ ЦЕНТР</x:v>
      </x:c>
      <x:c r="AR6" s="282" t="str">
        <x:v>МФОЦ / ОФИСНЫЙ ЦЕНТР</x:v>
      </x:c>
      <x:c r="AS6" s="282" t="str">
        <x:v>МФОЦ / ОФИСНЫЙ ЦЕНТР</x:v>
      </x:c>
      <x:c r="AT6" s="282" t="str">
        <x:v>МФОЦ / ОФИСНЫЙ ЦЕНТР</x:v>
      </x:c>
      <x:c r="AU6" s="282" t="str">
        <x:v>МФОЦ / ОФИСНЫЙ ЦЕНТР</x:v>
      </x:c>
      <x:c r="AV6" s="282" t="str">
        <x:v>МФОЦ / ОФИСНЫЙ ЦЕНТР</x:v>
      </x:c>
      <x:c r="AW6" s="282" t="str">
        <x:v>МФОЦ / ОФИСНЫЙ ЦЕНТР</x:v>
      </x:c>
      <x:c r="AX6" s="282" t="str">
        <x:v>МФОЦ / ОФИСНЫЙ ЦЕНТР</x:v>
      </x:c>
      <x:c r="AY6" s="282" t="str">
        <x:v>МФОЦ / ОФИСНЫЙ ЦЕНТР</x:v>
      </x:c>
      <x:c r="AZ6" s="282" t="str">
        <x:v>МФОЦ / ОФИСНЫЙ ЦЕНТР</x:v>
      </x:c>
      <x:c r="BA6" s="282" t="str">
        <x:v>МФОЦ / ОФИСНЫЙ ЦЕНТР</x:v>
      </x:c>
      <x:c r="BB6" s="282" t="str">
        <x:v>МФОЦ / ОФИСНЫЙ ЦЕНТР</x:v>
      </x:c>
      <x:c r="BC6" s="282" t="str">
        <x:v>МФОЦ / ОФИСНЫЙ ЦЕНТР</x:v>
      </x:c>
      <x:c r="BD6" s="282" t="str">
        <x:v>МФОЦ / ОФИСНЫЙ ЦЕНТР</x:v>
      </x:c>
      <x:c r="BE6" s="282" t="str">
        <x:v>МФОЦ / ОФИСНЫЙ ЦЕНТР</x:v>
      </x:c>
      <x:c r="BF6" s="282" t="str">
        <x:v>МФОЦ / ОФИСНЫЙ ЦЕНТР</x:v>
      </x:c>
      <x:c r="BG6" s="282" t="str">
        <x:v>МФОЦ / ОФИСНЫЙ ЦЕНТР</x:v>
      </x:c>
      <x:c r="BH6" s="282" t="str">
        <x:v>МФОЦ / ОФИСНЫЙ ЦЕНТР</x:v>
      </x:c>
      <x:c r="BI6" s="282" t="str">
        <x:v>МФОЦ / ОФИСНЫЙ ЦЕНТР</x:v>
      </x:c>
      <x:c r="BJ6" s="282" t="str">
        <x:v>МФОЦ / ОФИСНЫЙ ЦЕНТР</x:v>
      </x:c>
      <x:c r="BK6" s="282" t="str">
        <x:v>МФОЦ / ОФИСНЫЙ ЦЕНТР</x:v>
      </x:c>
      <x:c r="BL6" s="282" t="str">
        <x:v>МФОЦ / ОФИСНЫЙ ЦЕНТР</x:v>
      </x:c>
      <x:c r="BM6" s="282" t="str">
        <x:v>МФОЦ / ОФИСНЫЙ ЦЕНТР</x:v>
      </x:c>
      <x:c r="BN6" s="282" t="str">
        <x:v>МФОЦ / ОФИСНЫЙ ЦЕНТР</x:v>
      </x:c>
      <x:c r="BO6" s="282" t="str">
        <x:v>МФОЦ / ОФИСНЫЙ ЦЕНТР</x:v>
      </x:c>
      <x:c r="BP6" s="282" t="str">
        <x:v>МФОЦ / ОФИСНЫЙ ЦЕНТР</x:v>
      </x:c>
      <x:c r="BQ6" s="282" t="str">
        <x:v>МФОЦ / ОФИСНЫЙ ЦЕНТР</x:v>
      </x:c>
      <x:c r="BR6" s="282" t="str">
        <x:v>МФОЦ / ОФИСНЫЙ ЦЕНТР</x:v>
      </x:c>
      <x:c r="BS6" s="282" t="str">
        <x:v>МФОЦ / ОФИСНЫЙ ЦЕНТР</x:v>
      </x:c>
      <x:c r="BT6" s="282" t="str">
        <x:v>МФОЦ / ОФИСНЫЙ ЦЕНТР</x:v>
      </x:c>
      <x:c r="BU6" s="282" t="str">
        <x:v>МФОЦ / ОФИСНЫЙ ЦЕНТР</x:v>
      </x:c>
      <x:c r="BV6" s="282" t="str">
        <x:v>МФОЦ / ОФИСНЫЙ ЦЕНТР</x:v>
      </x:c>
      <x:c r="BW6" s="282" t="str">
        <x:v>МФОЦ / ОФИСНЫЙ ЦЕНТР</x:v>
      </x:c>
      <x:c r="BX6" s="282" t="str">
        <x:v>МФОЦ / ОФИСНЫЙ ЦЕНТР</x:v>
      </x:c>
      <x:c r="BY6" s="282" t="str">
        <x:v>МФОЦ / ОФИСНЫЙ ЦЕНТР</x:v>
      </x:c>
      <x:c r="BZ6" s="282" t="str">
        <x:v>МФОЦ / ОФИСНЫЙ ЦЕНТР</x:v>
      </x:c>
      <x:c r="CA6" s="282" t="str">
        <x:v>МФОЦ / ОФИСНЫЙ ЦЕНТР</x:v>
      </x:c>
      <x:c r="CB6" s="282" t="str">
        <x:v>МФОЦ / ОФИСНЫЙ ЦЕНТР</x:v>
      </x:c>
      <x:c r="CC6" s="282" t="str">
        <x:v>МФОЦ / ОФИСНЫЙ ЦЕНТР</x:v>
      </x:c>
      <x:c r="CD6" s="282" t="str">
        <x:v>МФОЦ / ОФИСНЫЙ ЦЕНТР</x:v>
      </x:c>
      <x:c r="CE6" s="282" t="str">
        <x:v>МФОЦ / ОФИСНЫЙ ЦЕНТР</x:v>
      </x:c>
      <x:c r="CF6" s="282" t="str">
        <x:v>МФОЦ / ОФИСНЫЙ ЦЕНТР</x:v>
      </x:c>
      <x:c r="CG6" s="282" t="str">
        <x:v>МФОЦ / ОФИСНЫЙ ЦЕНТР</x:v>
      </x:c>
      <x:c r="CH6" s="282" t="str">
        <x:v>МФОЦ / ОФИСНЫЙ ЦЕНТР</x:v>
      </x:c>
      <x:c r="CI6" s="282" t="str">
        <x:v>МФОЦ / ОФИСНЫЙ ЦЕНТР</x:v>
      </x:c>
      <x:c r="CJ6" s="282" t="str">
        <x:v>МФОЦ / ОФИСНЫЙ ЦЕНТР</x:v>
      </x:c>
      <x:c r="CK6" s="282" t="str">
        <x:v>МФОЦ / ОФИСНЫЙ ЦЕНТР</x:v>
      </x:c>
      <x:c r="CL6" s="282" t="str">
        <x:v>МФОЦ / ОФИСНЫЙ ЦЕНТР</x:v>
      </x:c>
      <x:c r="CM6" s="282" t="str">
        <x:v>МФОЦ / ОФИСНЫЙ ЦЕНТР</x:v>
      </x:c>
      <x:c r="CN6" s="282" t="str">
        <x:v>МФОЦ / ОФИСНЫЙ ЦЕНТР</x:v>
      </x:c>
      <x:c r="CO6" s="282" t="str">
        <x:v>МФОЦ / ОФИСНЫЙ ЦЕНТР</x:v>
      </x:c>
      <x:c r="CP6" s="282" t="str">
        <x:v>МФОЦ / ОФИСНЫЙ ЦЕНТР</x:v>
      </x:c>
      <x:c r="CQ6" s="282" t="str">
        <x:v>МФОЦ / ОФИСНЫЙ ЦЕНТР</x:v>
      </x:c>
      <x:c r="CR6" s="282" t="str">
        <x:v>МФОЦ / ОФИСНЫЙ ЦЕНТР</x:v>
      </x:c>
      <x:c r="CS6" s="282" t="str">
        <x:v>МФОЦ / ОФИСНЫЙ ЦЕНТР</x:v>
      </x:c>
      <x:c r="CT6" s="282" t="str">
        <x:v>МФОЦ / ОФИСНЫЙ ЦЕНТР</x:v>
      </x:c>
      <x:c r="CU6" s="282" t="str">
        <x:v>МФОЦ / ОФИСНЫЙ ЦЕНТР</x:v>
      </x:c>
      <x:c r="CV6" s="282" t="str">
        <x:v>МФОЦ / ОФИСНЫЙ ЦЕНТР</x:v>
      </x:c>
      <x:c r="CW6" s="282" t="str">
        <x:v>МФОЦ / ОФИСНЫЙ ЦЕНТР</x:v>
      </x:c>
      <x:c r="CX6" s="282" t="str">
        <x:v>МФОЦ / ОФИСНЫЙ ЦЕНТР</x:v>
      </x:c>
      <x:c r="CY6" s="282" t="str">
        <x:v>МФОЦ / ОФИСНЫЙ ЦЕНТР</x:v>
      </x:c>
      <x:c r="CZ6" s="282" t="str">
        <x:v>МФОЦ / ОФИСНЫЙ ЦЕНТР</x:v>
      </x:c>
      <x:c r="DA6" s="282" t="str">
        <x:v>МФОЦ / ОФИСНЫЙ ЦЕНТР</x:v>
      </x:c>
      <x:c r="DB6" s="282" t="str">
        <x:v>МФОЦ / ОФИСНЫЙ ЦЕНТР</x:v>
      </x:c>
      <x:c r="DC6" s="282" t="str">
        <x:v>МФОЦ / ОФИСНЫЙ ЦЕНТР</x:v>
      </x:c>
      <x:c r="DD6" s="282" t="str">
        <x:v>МФОЦ / ОФИСНЫЙ ЦЕНТР</x:v>
      </x:c>
      <x:c r="DE6" s="282" t="str">
        <x:v>МФОЦ / ОФИСНЫЙ ЦЕНТР</x:v>
      </x:c>
      <x:c r="DF6" s="282" t="str">
        <x:v>МФОЦ / ОФИСНЫЙ ЦЕНТР</x:v>
      </x:c>
      <x:c r="DG6" s="282" t="str">
        <x:v>МФОЦ / ОФИСНЫЙ ЦЕНТР</x:v>
      </x:c>
      <x:c r="DH6" s="282" t="str">
        <x:v>МФОЦ / ОФИСНЫЙ ЦЕНТР</x:v>
      </x:c>
      <x:c r="DI6" s="282" t="str">
        <x:v>МФОЦ / ОФИСНЫЙ ЦЕНТР</x:v>
      </x:c>
      <x:c r="DJ6" s="282" t="str">
        <x:v>МФОЦ / ОФИСНЫЙ ЦЕНТР</x:v>
      </x:c>
      <x:c r="DK6" s="282" t="str">
        <x:v>МФОЦ / ОФИСНЫЙ ЦЕНТР</x:v>
      </x:c>
      <x:c r="DL6" s="282" t="str">
        <x:v>МФОЦ / ОФИСНЫЙ ЦЕНТР</x:v>
      </x:c>
      <x:c r="DM6" s="282" t="str">
        <x:v>МФОЦ / ОФИСНЫЙ ЦЕНТР</x:v>
      </x:c>
      <x:c r="DN6" s="282" t="str">
        <x:v>МФОЦ / ОФИСНЫЙ ЦЕНТР</x:v>
      </x:c>
      <x:c r="DO6" s="282" t="str">
        <x:v>МФОЦ / ОФИСНЫЙ ЦЕНТР</x:v>
      </x:c>
      <x:c r="DP6" s="282" t="str">
        <x:v>МФОЦ / ОФИСНЫЙ ЦЕНТР</x:v>
      </x:c>
      <x:c r="DQ6" s="282" t="str">
        <x:v>МФОЦ / ОФИСНЫЙ ЦЕНТР</x:v>
      </x:c>
      <x:c r="DR6" s="282" t="str">
        <x:v>МФОЦ / ОФИСНЫЙ ЦЕНТР</x:v>
      </x:c>
      <x:c r="DS6" s="283" t="str">
        <x:v>МФОЦ / ОФИСНЫЙ ЦЕНТР</x:v>
      </x:c>
    </x:row>
    <x:row r="7">
      <x:c r="A7" t="str">
        <x:v>Объект включён</x:v>
      </x:c>
      <x:c r="B7" t="str">
        <x:f>'Вводные'!$K$20</x:f>
      </x:c>
      <x:c r="C7" t="str">
        <x:v>Да / Нет</x:v>
      </x:c>
    </x:row>
    <x:row r="8">
      <x:c r="A8" t="str">
        <x:v>Очередь финансирования</x:v>
      </x:c>
      <x:c r="B8" t="n">
        <x:f>'Вводные'!$K$21</x:f>
      </x:c>
      <x:c r="C8" t="str">
        <x:v>1–3</x:v>
      </x:c>
    </x:row>
    <x:row r="9">
      <x:c r="A9" t="str">
        <x:v>Начало строительства</x:v>
      </x:c>
      <x:c r="B9" s="92" t="n">
        <x:f>EDATE('Вводные'!$K$27,'Вводные'!$H$9)</x:f>
      </x:c>
      <x:c r="C9" t="str">
        <x:v>дата</x:v>
      </x:c>
    </x:row>
    <x:row r="10">
      <x:c r="A10" t="str">
        <x:v>РВЭ</x:v>
      </x:c>
      <x:c r="B10" s="92" t="n">
        <x:f>EDATE(B9,'Вводные'!$K$28)</x:f>
      </x:c>
      <x:c r="C10" t="str">
        <x:v>дата</x:v>
      </x:c>
    </x:row>
    <x:row r="11">
      <x:c r="A11" t="str">
        <x:v>Старт продаж</x:v>
      </x:c>
      <x:c r="B11" s="92" t="n">
        <x:f>EDATE('Вводные'!$K$30,'Вводные'!$H$9)</x:f>
      </x:c>
      <x:c r="C11" t="str">
        <x:v>дата</x:v>
      </x:c>
    </x:row>
    <x:row r="12">
      <x:c r="A12" t="str">
        <x:v>Расчётная общая площадь (GBA)</x:v>
      </x:c>
      <x:c r="B12" s="132" t="n">
        <x:f>'Вводные'!$K$25</x:f>
      </x:c>
      <x:c r="C12" t="str">
        <x:v>м²</x:v>
      </x:c>
    </x:row>
    <x:row r="13">
      <x:c r="A13" t="str">
        <x:v>Расчётная продаваемая площадь</x:v>
      </x:c>
      <x:c r="B13" s="132" t="n">
        <x:f>'Вводные'!$K$26</x:f>
      </x:c>
      <x:c r="C13" t="str">
        <x:v>м²</x:v>
      </x:c>
    </x:row>
    <x:row r="14">
      <x:c r="A14" t="str">
        <x:v>Флаг строительства</x:v>
      </x:c>
      <x:c r="B14"/>
      <x:c r="C14" t="str">
        <x:v>0 / 1</x:v>
      </x:c>
      <x:c r="D14" t="n">
        <x:f>--AND(D$3&gt;=$B$9,D$3&lt;$B$10,AND($B$7="Да",IFERROR(INDEX('Вводные'!$B$88:$B$91,$B$8),"Нет")="Да"))</x:f>
      </x:c>
      <x:c r="E14" t="n">
        <x:f>--AND(E$3&gt;=$B$9,E$3&lt;$B$10,AND($B$7="Да",IFERROR(INDEX('Вводные'!$B$88:$B$91,$B$8),"Нет")="Да"))</x:f>
      </x:c>
      <x:c r="F14" t="n">
        <x:f>--AND(F$3&gt;=$B$9,F$3&lt;$B$10,AND($B$7="Да",IFERROR(INDEX('Вводные'!$B$88:$B$91,$B$8),"Нет")="Да"))</x:f>
      </x:c>
      <x:c r="G14" t="n">
        <x:f>--AND(G$3&gt;=$B$9,G$3&lt;$B$10,AND($B$7="Да",IFERROR(INDEX('Вводные'!$B$88:$B$91,$B$8),"Нет")="Да"))</x:f>
      </x:c>
      <x:c r="H14" t="n">
        <x:f>--AND(H$3&gt;=$B$9,H$3&lt;$B$10,AND($B$7="Да",IFERROR(INDEX('Вводные'!$B$88:$B$91,$B$8),"Нет")="Да"))</x:f>
      </x:c>
      <x:c r="I14" t="n">
        <x:f>--AND(I$3&gt;=$B$9,I$3&lt;$B$10,AND($B$7="Да",IFERROR(INDEX('Вводные'!$B$88:$B$91,$B$8),"Нет")="Да"))</x:f>
      </x:c>
      <x:c r="J14" t="n">
        <x:f>--AND(J$3&gt;=$B$9,J$3&lt;$B$10,AND($B$7="Да",IFERROR(INDEX('Вводные'!$B$88:$B$91,$B$8),"Нет")="Да"))</x:f>
      </x:c>
      <x:c r="K14" t="n">
        <x:f>--AND(K$3&gt;=$B$9,K$3&lt;$B$10,AND($B$7="Да",IFERROR(INDEX('Вводные'!$B$88:$B$91,$B$8),"Нет")="Да"))</x:f>
      </x:c>
      <x:c r="L14" t="n">
        <x:f>--AND(L$3&gt;=$B$9,L$3&lt;$B$10,AND($B$7="Да",IFERROR(INDEX('Вводные'!$B$88:$B$91,$B$8),"Нет")="Да"))</x:f>
      </x:c>
      <x:c r="M14" t="n">
        <x:f>--AND(M$3&gt;=$B$9,M$3&lt;$B$10,AND($B$7="Да",IFERROR(INDEX('Вводные'!$B$88:$B$91,$B$8),"Нет")="Да"))</x:f>
      </x:c>
      <x:c r="N14" t="n">
        <x:f>--AND(N$3&gt;=$B$9,N$3&lt;$B$10,AND($B$7="Да",IFERROR(INDEX('Вводные'!$B$88:$B$91,$B$8),"Нет")="Да"))</x:f>
      </x:c>
      <x:c r="O14" t="n">
        <x:f>--AND(O$3&gt;=$B$9,O$3&lt;$B$10,AND($B$7="Да",IFERROR(INDEX('Вводные'!$B$88:$B$91,$B$8),"Нет")="Да"))</x:f>
      </x:c>
      <x:c r="P14" t="n">
        <x:f>--AND(P$3&gt;=$B$9,P$3&lt;$B$10,AND($B$7="Да",IFERROR(INDEX('Вводные'!$B$88:$B$91,$B$8),"Нет")="Да"))</x:f>
      </x:c>
      <x:c r="Q14" t="n">
        <x:f>--AND(Q$3&gt;=$B$9,Q$3&lt;$B$10,AND($B$7="Да",IFERROR(INDEX('Вводные'!$B$88:$B$91,$B$8),"Нет")="Да"))</x:f>
      </x:c>
      <x:c r="R14" t="n">
        <x:f>--AND(R$3&gt;=$B$9,R$3&lt;$B$10,AND($B$7="Да",IFERROR(INDEX('Вводные'!$B$88:$B$91,$B$8),"Нет")="Да"))</x:f>
      </x:c>
      <x:c r="S14" t="n">
        <x:f>--AND(S$3&gt;=$B$9,S$3&lt;$B$10,AND($B$7="Да",IFERROR(INDEX('Вводные'!$B$88:$B$91,$B$8),"Нет")="Да"))</x:f>
      </x:c>
      <x:c r="T14" t="n">
        <x:f>--AND(T$3&gt;=$B$9,T$3&lt;$B$10,AND($B$7="Да",IFERROR(INDEX('Вводные'!$B$88:$B$91,$B$8),"Нет")="Да"))</x:f>
      </x:c>
      <x:c r="U14" t="n">
        <x:f>--AND(U$3&gt;=$B$9,U$3&lt;$B$10,AND($B$7="Да",IFERROR(INDEX('Вводные'!$B$88:$B$91,$B$8),"Нет")="Да"))</x:f>
      </x:c>
      <x:c r="V14" t="n">
        <x:f>--AND(V$3&gt;=$B$9,V$3&lt;$B$10,AND($B$7="Да",IFERROR(INDEX('Вводные'!$B$88:$B$91,$B$8),"Нет")="Да"))</x:f>
      </x:c>
      <x:c r="W14" t="n">
        <x:f>--AND(W$3&gt;=$B$9,W$3&lt;$B$10,AND($B$7="Да",IFERROR(INDEX('Вводные'!$B$88:$B$91,$B$8),"Нет")="Да"))</x:f>
      </x:c>
      <x:c r="X14" t="n">
        <x:f>--AND(X$3&gt;=$B$9,X$3&lt;$B$10,AND($B$7="Да",IFERROR(INDEX('Вводные'!$B$88:$B$91,$B$8),"Нет")="Да"))</x:f>
      </x:c>
      <x:c r="Y14" t="n">
        <x:f>--AND(Y$3&gt;=$B$9,Y$3&lt;$B$10,AND($B$7="Да",IFERROR(INDEX('Вводные'!$B$88:$B$91,$B$8),"Нет")="Да"))</x:f>
      </x:c>
      <x:c r="Z14" t="n">
        <x:f>--AND(Z$3&gt;=$B$9,Z$3&lt;$B$10,AND($B$7="Да",IFERROR(INDEX('Вводные'!$B$88:$B$91,$B$8),"Нет")="Да"))</x:f>
      </x:c>
      <x:c r="AA14" t="n">
        <x:f>--AND(AA$3&gt;=$B$9,AA$3&lt;$B$10,AND($B$7="Да",IFERROR(INDEX('Вводные'!$B$88:$B$91,$B$8),"Нет")="Да"))</x:f>
      </x:c>
      <x:c r="AB14" t="n">
        <x:f>--AND(AB$3&gt;=$B$9,AB$3&lt;$B$10,AND($B$7="Да",IFERROR(INDEX('Вводные'!$B$88:$B$91,$B$8),"Нет")="Да"))</x:f>
      </x:c>
      <x:c r="AC14" t="n">
        <x:f>--AND(AC$3&gt;=$B$9,AC$3&lt;$B$10,AND($B$7="Да",IFERROR(INDEX('Вводные'!$B$88:$B$91,$B$8),"Нет")="Да"))</x:f>
      </x:c>
      <x:c r="AD14" t="n">
        <x:f>--AND(AD$3&gt;=$B$9,AD$3&lt;$B$10,AND($B$7="Да",IFERROR(INDEX('Вводные'!$B$88:$B$91,$B$8),"Нет")="Да"))</x:f>
      </x:c>
      <x:c r="AE14" t="n">
        <x:f>--AND(AE$3&gt;=$B$9,AE$3&lt;$B$10,AND($B$7="Да",IFERROR(INDEX('Вводные'!$B$88:$B$91,$B$8),"Нет")="Да"))</x:f>
      </x:c>
      <x:c r="AF14" t="n">
        <x:f>--AND(AF$3&gt;=$B$9,AF$3&lt;$B$10,AND($B$7="Да",IFERROR(INDEX('Вводные'!$B$88:$B$91,$B$8),"Нет")="Да"))</x:f>
      </x:c>
      <x:c r="AG14" t="n">
        <x:f>--AND(AG$3&gt;=$B$9,AG$3&lt;$B$10,AND($B$7="Да",IFERROR(INDEX('Вводные'!$B$88:$B$91,$B$8),"Нет")="Да"))</x:f>
      </x:c>
      <x:c r="AH14" t="n">
        <x:f>--AND(AH$3&gt;=$B$9,AH$3&lt;$B$10,AND($B$7="Да",IFERROR(INDEX('Вводные'!$B$88:$B$91,$B$8),"Нет")="Да"))</x:f>
      </x:c>
      <x:c r="AI14" t="n">
        <x:f>--AND(AI$3&gt;=$B$9,AI$3&lt;$B$10,AND($B$7="Да",IFERROR(INDEX('Вводные'!$B$88:$B$91,$B$8),"Нет")="Да"))</x:f>
      </x:c>
      <x:c r="AJ14" t="n">
        <x:f>--AND(AJ$3&gt;=$B$9,AJ$3&lt;$B$10,AND($B$7="Да",IFERROR(INDEX('Вводные'!$B$88:$B$91,$B$8),"Нет")="Да"))</x:f>
      </x:c>
      <x:c r="AK14" t="n">
        <x:f>--AND(AK$3&gt;=$B$9,AK$3&lt;$B$10,AND($B$7="Да",IFERROR(INDEX('Вводные'!$B$88:$B$91,$B$8),"Нет")="Да"))</x:f>
      </x:c>
      <x:c r="AL14" t="n">
        <x:f>--AND(AL$3&gt;=$B$9,AL$3&lt;$B$10,AND($B$7="Да",IFERROR(INDEX('Вводные'!$B$88:$B$91,$B$8),"Нет")="Да"))</x:f>
      </x:c>
      <x:c r="AM14" t="n">
        <x:f>--AND(AM$3&gt;=$B$9,AM$3&lt;$B$10,AND($B$7="Да",IFERROR(INDEX('Вводные'!$B$88:$B$91,$B$8),"Нет")="Да"))</x:f>
      </x:c>
      <x:c r="AN14" t="n">
        <x:f>--AND(AN$3&gt;=$B$9,AN$3&lt;$B$10,AND($B$7="Да",IFERROR(INDEX('Вводные'!$B$88:$B$91,$B$8),"Нет")="Да"))</x:f>
      </x:c>
      <x:c r="AO14" t="n">
        <x:f>--AND(AO$3&gt;=$B$9,AO$3&lt;$B$10,AND($B$7="Да",IFERROR(INDEX('Вводные'!$B$88:$B$91,$B$8),"Нет")="Да"))</x:f>
      </x:c>
      <x:c r="AP14" t="n">
        <x:f>--AND(AP$3&gt;=$B$9,AP$3&lt;$B$10,AND($B$7="Да",IFERROR(INDEX('Вводные'!$B$88:$B$91,$B$8),"Нет")="Да"))</x:f>
      </x:c>
      <x:c r="AQ14" t="n">
        <x:f>--AND(AQ$3&gt;=$B$9,AQ$3&lt;$B$10,AND($B$7="Да",IFERROR(INDEX('Вводные'!$B$88:$B$91,$B$8),"Нет")="Да"))</x:f>
      </x:c>
      <x:c r="AR14" t="n">
        <x:f>--AND(AR$3&gt;=$B$9,AR$3&lt;$B$10,AND($B$7="Да",IFERROR(INDEX('Вводные'!$B$88:$B$91,$B$8),"Нет")="Да"))</x:f>
      </x:c>
      <x:c r="AS14" t="n">
        <x:f>--AND(AS$3&gt;=$B$9,AS$3&lt;$B$10,AND($B$7="Да",IFERROR(INDEX('Вводные'!$B$88:$B$91,$B$8),"Нет")="Да"))</x:f>
      </x:c>
      <x:c r="AT14" t="n">
        <x:f>--AND(AT$3&gt;=$B$9,AT$3&lt;$B$10,AND($B$7="Да",IFERROR(INDEX('Вводные'!$B$88:$B$91,$B$8),"Нет")="Да"))</x:f>
      </x:c>
      <x:c r="AU14" t="n">
        <x:f>--AND(AU$3&gt;=$B$9,AU$3&lt;$B$10,AND($B$7="Да",IFERROR(INDEX('Вводные'!$B$88:$B$91,$B$8),"Нет")="Да"))</x:f>
      </x:c>
      <x:c r="AV14" t="n">
        <x:f>--AND(AV$3&gt;=$B$9,AV$3&lt;$B$10,AND($B$7="Да",IFERROR(INDEX('Вводные'!$B$88:$B$91,$B$8),"Нет")="Да"))</x:f>
      </x:c>
      <x:c r="AW14" t="n">
        <x:f>--AND(AW$3&gt;=$B$9,AW$3&lt;$B$10,AND($B$7="Да",IFERROR(INDEX('Вводные'!$B$88:$B$91,$B$8),"Нет")="Да"))</x:f>
      </x:c>
      <x:c r="AX14" t="n">
        <x:f>--AND(AX$3&gt;=$B$9,AX$3&lt;$B$10,AND($B$7="Да",IFERROR(INDEX('Вводные'!$B$88:$B$91,$B$8),"Нет")="Да"))</x:f>
      </x:c>
      <x:c r="AY14" t="n">
        <x:f>--AND(AY$3&gt;=$B$9,AY$3&lt;$B$10,AND($B$7="Да",IFERROR(INDEX('Вводные'!$B$88:$B$91,$B$8),"Нет")="Да"))</x:f>
      </x:c>
      <x:c r="AZ14" t="n">
        <x:f>--AND(AZ$3&gt;=$B$9,AZ$3&lt;$B$10,AND($B$7="Да",IFERROR(INDEX('Вводные'!$B$88:$B$91,$B$8),"Нет")="Да"))</x:f>
      </x:c>
      <x:c r="BA14" t="n">
        <x:f>--AND(BA$3&gt;=$B$9,BA$3&lt;$B$10,AND($B$7="Да",IFERROR(INDEX('Вводные'!$B$88:$B$91,$B$8),"Нет")="Да"))</x:f>
      </x:c>
      <x:c r="BB14" t="n">
        <x:f>--AND(BB$3&gt;=$B$9,BB$3&lt;$B$10,AND($B$7="Да",IFERROR(INDEX('Вводные'!$B$88:$B$91,$B$8),"Нет")="Да"))</x:f>
      </x:c>
      <x:c r="BC14" t="n">
        <x:f>--AND(BC$3&gt;=$B$9,BC$3&lt;$B$10,AND($B$7="Да",IFERROR(INDEX('Вводные'!$B$88:$B$91,$B$8),"Нет")="Да"))</x:f>
      </x:c>
      <x:c r="BD14" t="n">
        <x:f>--AND(BD$3&gt;=$B$9,BD$3&lt;$B$10,AND($B$7="Да",IFERROR(INDEX('Вводные'!$B$88:$B$91,$B$8),"Нет")="Да"))</x:f>
      </x:c>
      <x:c r="BE14" t="n">
        <x:f>--AND(BE$3&gt;=$B$9,BE$3&lt;$B$10,AND($B$7="Да",IFERROR(INDEX('Вводные'!$B$88:$B$91,$B$8),"Нет")="Да"))</x:f>
      </x:c>
      <x:c r="BF14" t="n">
        <x:f>--AND(BF$3&gt;=$B$9,BF$3&lt;$B$10,AND($B$7="Да",IFERROR(INDEX('Вводные'!$B$88:$B$91,$B$8),"Нет")="Да"))</x:f>
      </x:c>
      <x:c r="BG14" t="n">
        <x:f>--AND(BG$3&gt;=$B$9,BG$3&lt;$B$10,AND($B$7="Да",IFERROR(INDEX('Вводные'!$B$88:$B$91,$B$8),"Нет")="Да"))</x:f>
      </x:c>
      <x:c r="BH14" t="n">
        <x:f>--AND(BH$3&gt;=$B$9,BH$3&lt;$B$10,AND($B$7="Да",IFERROR(INDEX('Вводные'!$B$88:$B$91,$B$8),"Нет")="Да"))</x:f>
      </x:c>
      <x:c r="BI14" t="n">
        <x:f>--AND(BI$3&gt;=$B$9,BI$3&lt;$B$10,AND($B$7="Да",IFERROR(INDEX('Вводные'!$B$88:$B$91,$B$8),"Нет")="Да"))</x:f>
      </x:c>
      <x:c r="BJ14" t="n">
        <x:f>--AND(BJ$3&gt;=$B$9,BJ$3&lt;$B$10,AND($B$7="Да",IFERROR(INDEX('Вводные'!$B$88:$B$91,$B$8),"Нет")="Да"))</x:f>
      </x:c>
      <x:c r="BK14" t="n">
        <x:f>--AND(BK$3&gt;=$B$9,BK$3&lt;$B$10,AND($B$7="Да",IFERROR(INDEX('Вводные'!$B$88:$B$91,$B$8),"Нет")="Да"))</x:f>
      </x:c>
      <x:c r="BL14" t="n">
        <x:f>--AND(BL$3&gt;=$B$9,BL$3&lt;$B$10,AND($B$7="Да",IFERROR(INDEX('Вводные'!$B$88:$B$91,$B$8),"Нет")="Да"))</x:f>
      </x:c>
      <x:c r="BM14" t="n">
        <x:f>--AND(BM$3&gt;=$B$9,BM$3&lt;$B$10,AND($B$7="Да",IFERROR(INDEX('Вводные'!$B$88:$B$91,$B$8),"Нет")="Да"))</x:f>
      </x:c>
      <x:c r="BN14" t="n">
        <x:f>--AND(BN$3&gt;=$B$9,BN$3&lt;$B$10,AND($B$7="Да",IFERROR(INDEX('Вводные'!$B$88:$B$91,$B$8),"Нет")="Да"))</x:f>
      </x:c>
      <x:c r="BO14" t="n">
        <x:f>--AND(BO$3&gt;=$B$9,BO$3&lt;$B$10,AND($B$7="Да",IFERROR(INDEX('Вводные'!$B$88:$B$91,$B$8),"Нет")="Да"))</x:f>
      </x:c>
      <x:c r="BP14" t="n">
        <x:f>--AND(BP$3&gt;=$B$9,BP$3&lt;$B$10,AND($B$7="Да",IFERROR(INDEX('Вводные'!$B$88:$B$91,$B$8),"Нет")="Да"))</x:f>
      </x:c>
      <x:c r="BQ14" t="n">
        <x:f>--AND(BQ$3&gt;=$B$9,BQ$3&lt;$B$10,AND($B$7="Да",IFERROR(INDEX('Вводные'!$B$88:$B$91,$B$8),"Нет")="Да"))</x:f>
      </x:c>
      <x:c r="BR14" t="n">
        <x:f>--AND(BR$3&gt;=$B$9,BR$3&lt;$B$10,AND($B$7="Да",IFERROR(INDEX('Вводные'!$B$88:$B$91,$B$8),"Нет")="Да"))</x:f>
      </x:c>
      <x:c r="BS14" t="n">
        <x:f>--AND(BS$3&gt;=$B$9,BS$3&lt;$B$10,AND($B$7="Да",IFERROR(INDEX('Вводные'!$B$88:$B$91,$B$8),"Нет")="Да"))</x:f>
      </x:c>
      <x:c r="BT14" t="n">
        <x:f>--AND(BT$3&gt;=$B$9,BT$3&lt;$B$10,AND($B$7="Да",IFERROR(INDEX('Вводные'!$B$88:$B$91,$B$8),"Нет")="Да"))</x:f>
      </x:c>
      <x:c r="BU14" t="n">
        <x:f>--AND(BU$3&gt;=$B$9,BU$3&lt;$B$10,AND($B$7="Да",IFERROR(INDEX('Вводные'!$B$88:$B$91,$B$8),"Нет")="Да"))</x:f>
      </x:c>
      <x:c r="BV14" t="n">
        <x:f>--AND(BV$3&gt;=$B$9,BV$3&lt;$B$10,AND($B$7="Да",IFERROR(INDEX('Вводные'!$B$88:$B$91,$B$8),"Нет")="Да"))</x:f>
      </x:c>
      <x:c r="BW14" t="n">
        <x:f>--AND(BW$3&gt;=$B$9,BW$3&lt;$B$10,AND($B$7="Да",IFERROR(INDEX('Вводные'!$B$88:$B$91,$B$8),"Нет")="Да"))</x:f>
      </x:c>
      <x:c r="BX14" t="n">
        <x:f>--AND(BX$3&gt;=$B$9,BX$3&lt;$B$10,AND($B$7="Да",IFERROR(INDEX('Вводные'!$B$88:$B$91,$B$8),"Нет")="Да"))</x:f>
      </x:c>
      <x:c r="BY14" t="n">
        <x:f>--AND(BY$3&gt;=$B$9,BY$3&lt;$B$10,AND($B$7="Да",IFERROR(INDEX('Вводные'!$B$88:$B$91,$B$8),"Нет")="Да"))</x:f>
      </x:c>
      <x:c r="BZ14" t="n">
        <x:f>--AND(BZ$3&gt;=$B$9,BZ$3&lt;$B$10,AND($B$7="Да",IFERROR(INDEX('Вводные'!$B$88:$B$91,$B$8),"Нет")="Да"))</x:f>
      </x:c>
      <x:c r="CA14" t="n">
        <x:f>--AND(CA$3&gt;=$B$9,CA$3&lt;$B$10,AND($B$7="Да",IFERROR(INDEX('Вводные'!$B$88:$B$91,$B$8),"Нет")="Да"))</x:f>
      </x:c>
      <x:c r="CB14" t="n">
        <x:f>--AND(CB$3&gt;=$B$9,CB$3&lt;$B$10,AND($B$7="Да",IFERROR(INDEX('Вводные'!$B$88:$B$91,$B$8),"Нет")="Да"))</x:f>
      </x:c>
      <x:c r="CC14" t="n">
        <x:f>--AND(CC$3&gt;=$B$9,CC$3&lt;$B$10,AND($B$7="Да",IFERROR(INDEX('Вводные'!$B$88:$B$91,$B$8),"Нет")="Да"))</x:f>
      </x:c>
      <x:c r="CD14" t="n">
        <x:f>--AND(CD$3&gt;=$B$9,CD$3&lt;$B$10,AND($B$7="Да",IFERROR(INDEX('Вводные'!$B$88:$B$91,$B$8),"Нет")="Да"))</x:f>
      </x:c>
      <x:c r="CE14" t="n">
        <x:f>--AND(CE$3&gt;=$B$9,CE$3&lt;$B$10,AND($B$7="Да",IFERROR(INDEX('Вводные'!$B$88:$B$91,$B$8),"Нет")="Да"))</x:f>
      </x:c>
      <x:c r="CF14" t="n">
        <x:f>--AND(CF$3&gt;=$B$9,CF$3&lt;$B$10,AND($B$7="Да",IFERROR(INDEX('Вводные'!$B$88:$B$91,$B$8),"Нет")="Да"))</x:f>
      </x:c>
      <x:c r="CG14" t="n">
        <x:f>--AND(CG$3&gt;=$B$9,CG$3&lt;$B$10,AND($B$7="Да",IFERROR(INDEX('Вводные'!$B$88:$B$91,$B$8),"Нет")="Да"))</x:f>
      </x:c>
      <x:c r="CH14" t="n">
        <x:f>--AND(CH$3&gt;=$B$9,CH$3&lt;$B$10,AND($B$7="Да",IFERROR(INDEX('Вводные'!$B$88:$B$91,$B$8),"Нет")="Да"))</x:f>
      </x:c>
      <x:c r="CI14" t="n">
        <x:f>--AND(CI$3&gt;=$B$9,CI$3&lt;$B$10,AND($B$7="Да",IFERROR(INDEX('Вводные'!$B$88:$B$91,$B$8),"Нет")="Да"))</x:f>
      </x:c>
      <x:c r="CJ14" t="n">
        <x:f>--AND(CJ$3&gt;=$B$9,CJ$3&lt;$B$10,AND($B$7="Да",IFERROR(INDEX('Вводные'!$B$88:$B$91,$B$8),"Нет")="Да"))</x:f>
      </x:c>
      <x:c r="CK14" t="n">
        <x:f>--AND(CK$3&gt;=$B$9,CK$3&lt;$B$10,AND($B$7="Да",IFERROR(INDEX('Вводные'!$B$88:$B$91,$B$8),"Нет")="Да"))</x:f>
      </x:c>
      <x:c r="CL14" t="n">
        <x:f>--AND(CL$3&gt;=$B$9,CL$3&lt;$B$10,AND($B$7="Да",IFERROR(INDEX('Вводные'!$B$88:$B$91,$B$8),"Нет")="Да"))</x:f>
      </x:c>
      <x:c r="CM14" t="n">
        <x:f>--AND(CM$3&gt;=$B$9,CM$3&lt;$B$10,AND($B$7="Да",IFERROR(INDEX('Вводные'!$B$88:$B$91,$B$8),"Нет")="Да"))</x:f>
      </x:c>
      <x:c r="CN14" t="n">
        <x:f>--AND(CN$3&gt;=$B$9,CN$3&lt;$B$10,AND($B$7="Да",IFERROR(INDEX('Вводные'!$B$88:$B$91,$B$8),"Нет")="Да"))</x:f>
      </x:c>
      <x:c r="CO14" t="n">
        <x:f>--AND(CO$3&gt;=$B$9,CO$3&lt;$B$10,AND($B$7="Да",IFERROR(INDEX('Вводные'!$B$88:$B$91,$B$8),"Нет")="Да"))</x:f>
      </x:c>
      <x:c r="CP14" t="n">
        <x:f>--AND(CP$3&gt;=$B$9,CP$3&lt;$B$10,AND($B$7="Да",IFERROR(INDEX('Вводные'!$B$88:$B$91,$B$8),"Нет")="Да"))</x:f>
      </x:c>
      <x:c r="CQ14" t="n">
        <x:f>--AND(CQ$3&gt;=$B$9,CQ$3&lt;$B$10,AND($B$7="Да",IFERROR(INDEX('Вводные'!$B$88:$B$91,$B$8),"Нет")="Да"))</x:f>
      </x:c>
      <x:c r="CR14" t="n">
        <x:f>--AND(CR$3&gt;=$B$9,CR$3&lt;$B$10,AND($B$7="Да",IFERROR(INDEX('Вводные'!$B$88:$B$91,$B$8),"Нет")="Да"))</x:f>
      </x:c>
      <x:c r="CS14" t="n">
        <x:f>--AND(CS$3&gt;=$B$9,CS$3&lt;$B$10,AND($B$7="Да",IFERROR(INDEX('Вводные'!$B$88:$B$91,$B$8),"Нет")="Да"))</x:f>
      </x:c>
      <x:c r="CT14" t="n">
        <x:f>--AND(CT$3&gt;=$B$9,CT$3&lt;$B$10,AND($B$7="Да",IFERROR(INDEX('Вводные'!$B$88:$B$91,$B$8),"Нет")="Да"))</x:f>
      </x:c>
      <x:c r="CU14" t="n">
        <x:f>--AND(CU$3&gt;=$B$9,CU$3&lt;$B$10,AND($B$7="Да",IFERROR(INDEX('Вводные'!$B$88:$B$91,$B$8),"Нет")="Да"))</x:f>
      </x:c>
      <x:c r="CV14" t="n">
        <x:f>--AND(CV$3&gt;=$B$9,CV$3&lt;$B$10,AND($B$7="Да",IFERROR(INDEX('Вводные'!$B$88:$B$91,$B$8),"Нет")="Да"))</x:f>
      </x:c>
      <x:c r="CW14" t="n">
        <x:f>--AND(CW$3&gt;=$B$9,CW$3&lt;$B$10,AND($B$7="Да",IFERROR(INDEX('Вводные'!$B$88:$B$91,$B$8),"Нет")="Да"))</x:f>
      </x:c>
      <x:c r="CX14" t="n">
        <x:f>--AND(CX$3&gt;=$B$9,CX$3&lt;$B$10,AND($B$7="Да",IFERROR(INDEX('Вводные'!$B$88:$B$91,$B$8),"Нет")="Да"))</x:f>
      </x:c>
      <x:c r="CY14" t="n">
        <x:f>--AND(CY$3&gt;=$B$9,CY$3&lt;$B$10,AND($B$7="Да",IFERROR(INDEX('Вводные'!$B$88:$B$91,$B$8),"Нет")="Да"))</x:f>
      </x:c>
      <x:c r="CZ14" t="n">
        <x:f>--AND(CZ$3&gt;=$B$9,CZ$3&lt;$B$10,AND($B$7="Да",IFERROR(INDEX('Вводные'!$B$88:$B$91,$B$8),"Нет")="Да"))</x:f>
      </x:c>
      <x:c r="DA14" t="n">
        <x:f>--AND(DA$3&gt;=$B$9,DA$3&lt;$B$10,AND($B$7="Да",IFERROR(INDEX('Вводные'!$B$88:$B$91,$B$8),"Нет")="Да"))</x:f>
      </x:c>
      <x:c r="DB14" t="n">
        <x:f>--AND(DB$3&gt;=$B$9,DB$3&lt;$B$10,AND($B$7="Да",IFERROR(INDEX('Вводные'!$B$88:$B$91,$B$8),"Нет")="Да"))</x:f>
      </x:c>
      <x:c r="DC14" t="n">
        <x:f>--AND(DC$3&gt;=$B$9,DC$3&lt;$B$10,AND($B$7="Да",IFERROR(INDEX('Вводные'!$B$88:$B$91,$B$8),"Нет")="Да"))</x:f>
      </x:c>
      <x:c r="DD14" t="n">
        <x:f>--AND(DD$3&gt;=$B$9,DD$3&lt;$B$10,AND($B$7="Да",IFERROR(INDEX('Вводные'!$B$88:$B$91,$B$8),"Нет")="Да"))</x:f>
      </x:c>
      <x:c r="DE14" t="n">
        <x:f>--AND(DE$3&gt;=$B$9,DE$3&lt;$B$10,AND($B$7="Да",IFERROR(INDEX('Вводные'!$B$88:$B$91,$B$8),"Нет")="Да"))</x:f>
      </x:c>
      <x:c r="DF14" t="n">
        <x:f>--AND(DF$3&gt;=$B$9,DF$3&lt;$B$10,AND($B$7="Да",IFERROR(INDEX('Вводные'!$B$88:$B$91,$B$8),"Нет")="Да"))</x:f>
      </x:c>
      <x:c r="DG14" t="n">
        <x:f>--AND(DG$3&gt;=$B$9,DG$3&lt;$B$10,AND($B$7="Да",IFERROR(INDEX('Вводные'!$B$88:$B$91,$B$8),"Нет")="Да"))</x:f>
      </x:c>
      <x:c r="DH14" t="n">
        <x:f>--AND(DH$3&gt;=$B$9,DH$3&lt;$B$10,AND($B$7="Да",IFERROR(INDEX('Вводные'!$B$88:$B$91,$B$8),"Нет")="Да"))</x:f>
      </x:c>
      <x:c r="DI14" t="n">
        <x:f>--AND(DI$3&gt;=$B$9,DI$3&lt;$B$10,AND($B$7="Да",IFERROR(INDEX('Вводные'!$B$88:$B$91,$B$8),"Нет")="Да"))</x:f>
      </x:c>
      <x:c r="DJ14" t="n">
        <x:f>--AND(DJ$3&gt;=$B$9,DJ$3&lt;$B$10,AND($B$7="Да",IFERROR(INDEX('Вводные'!$B$88:$B$91,$B$8),"Нет")="Да"))</x:f>
      </x:c>
      <x:c r="DK14" t="n">
        <x:f>--AND(DK$3&gt;=$B$9,DK$3&lt;$B$10,AND($B$7="Да",IFERROR(INDEX('Вводные'!$B$88:$B$91,$B$8),"Нет")="Да"))</x:f>
      </x:c>
      <x:c r="DL14" t="n">
        <x:f>--AND(DL$3&gt;=$B$9,DL$3&lt;$B$10,AND($B$7="Да",IFERROR(INDEX('Вводные'!$B$88:$B$91,$B$8),"Нет")="Да"))</x:f>
      </x:c>
      <x:c r="DM14" t="n">
        <x:f>--AND(DM$3&gt;=$B$9,DM$3&lt;$B$10,AND($B$7="Да",IFERROR(INDEX('Вводные'!$B$88:$B$91,$B$8),"Нет")="Да"))</x:f>
      </x:c>
      <x:c r="DN14" t="n">
        <x:f>--AND(DN$3&gt;=$B$9,DN$3&lt;$B$10,AND($B$7="Да",IFERROR(INDEX('Вводные'!$B$88:$B$91,$B$8),"Нет")="Да"))</x:f>
      </x:c>
      <x:c r="DO14" t="n">
        <x:f>--AND(DO$3&gt;=$B$9,DO$3&lt;$B$10,AND($B$7="Да",IFERROR(INDEX('Вводные'!$B$88:$B$91,$B$8),"Нет")="Да"))</x:f>
      </x:c>
      <x:c r="DP14" t="n">
        <x:f>--AND(DP$3&gt;=$B$9,DP$3&lt;$B$10,AND($B$7="Да",IFERROR(INDEX('Вводные'!$B$88:$B$91,$B$8),"Нет")="Да"))</x:f>
      </x:c>
      <x:c r="DQ14" t="n">
        <x:f>--AND(DQ$3&gt;=$B$9,DQ$3&lt;$B$10,AND($B$7="Да",IFERROR(INDEX('Вводные'!$B$88:$B$91,$B$8),"Нет")="Да"))</x:f>
      </x:c>
      <x:c r="DR14" t="n">
        <x:f>--AND(DR$3&gt;=$B$9,DR$3&lt;$B$10,AND($B$7="Да",IFERROR(INDEX('Вводные'!$B$88:$B$91,$B$8),"Нет")="Да"))</x:f>
      </x:c>
      <x:c r="DS14" t="n">
        <x:f>--AND(DS$3&gt;=$B$9,DS$3&lt;$B$10,AND($B$7="Да",IFERROR(INDEX('Вводные'!$B$88:$B$91,$B$8),"Нет")="Да"))</x:f>
      </x:c>
    </x:row>
    <x:row r="15">
      <x:c r="A15" t="str">
        <x:v>Вес S-кривой</x:v>
      </x:c>
      <x:c r="B15"/>
      <x:c r="C15" t="str">
        <x:v>вес</x:v>
      </x:c>
      <x:c r="D15" t="n">
        <x:f>IF(D14=0,0,IF(((12*(YEAR(D$3)-YEAR($B$9))+MONTH(D$3)-MONTH($B$9))+1)/MAX(1,'Вводные'!$K$28)&lt;=0.2,0.6,IF(((12*(YEAR(D$3)-YEAR($B$9))+MONTH(D$3)-MONTH($B$9))+1)/MAX(1,'Вводные'!$K$28)&lt;=0.8,1.2,0.8)))</x:f>
      </x:c>
      <x:c r="E15" t="n">
        <x:f>IF(E14=0,0,IF(((12*(YEAR(E$3)-YEAR($B$9))+MONTH(E$3)-MONTH($B$9))+1)/MAX(1,'Вводные'!$K$28)&lt;=0.2,0.6,IF(((12*(YEAR(E$3)-YEAR($B$9))+MONTH(E$3)-MONTH($B$9))+1)/MAX(1,'Вводные'!$K$28)&lt;=0.8,1.2,0.8)))</x:f>
      </x:c>
      <x:c r="F15" t="n">
        <x:f>IF(F14=0,0,IF(((12*(YEAR(F$3)-YEAR($B$9))+MONTH(F$3)-MONTH($B$9))+1)/MAX(1,'Вводные'!$K$28)&lt;=0.2,0.6,IF(((12*(YEAR(F$3)-YEAR($B$9))+MONTH(F$3)-MONTH($B$9))+1)/MAX(1,'Вводные'!$K$28)&lt;=0.8,1.2,0.8)))</x:f>
      </x:c>
      <x:c r="G15" t="n">
        <x:f>IF(G14=0,0,IF(((12*(YEAR(G$3)-YEAR($B$9))+MONTH(G$3)-MONTH($B$9))+1)/MAX(1,'Вводные'!$K$28)&lt;=0.2,0.6,IF(((12*(YEAR(G$3)-YEAR($B$9))+MONTH(G$3)-MONTH($B$9))+1)/MAX(1,'Вводные'!$K$28)&lt;=0.8,1.2,0.8)))</x:f>
      </x:c>
      <x:c r="H15" t="n">
        <x:f>IF(H14=0,0,IF(((12*(YEAR(H$3)-YEAR($B$9))+MONTH(H$3)-MONTH($B$9))+1)/MAX(1,'Вводные'!$K$28)&lt;=0.2,0.6,IF(((12*(YEAR(H$3)-YEAR($B$9))+MONTH(H$3)-MONTH($B$9))+1)/MAX(1,'Вводные'!$K$28)&lt;=0.8,1.2,0.8)))</x:f>
      </x:c>
      <x:c r="I15" t="n">
        <x:f>IF(I14=0,0,IF(((12*(YEAR(I$3)-YEAR($B$9))+MONTH(I$3)-MONTH($B$9))+1)/MAX(1,'Вводные'!$K$28)&lt;=0.2,0.6,IF(((12*(YEAR(I$3)-YEAR($B$9))+MONTH(I$3)-MONTH($B$9))+1)/MAX(1,'Вводные'!$K$28)&lt;=0.8,1.2,0.8)))</x:f>
      </x:c>
      <x:c r="J15" t="n">
        <x:f>IF(J14=0,0,IF(((12*(YEAR(J$3)-YEAR($B$9))+MONTH(J$3)-MONTH($B$9))+1)/MAX(1,'Вводные'!$K$28)&lt;=0.2,0.6,IF(((12*(YEAR(J$3)-YEAR($B$9))+MONTH(J$3)-MONTH($B$9))+1)/MAX(1,'Вводные'!$K$28)&lt;=0.8,1.2,0.8)))</x:f>
      </x:c>
      <x:c r="K15" t="n">
        <x:f>IF(K14=0,0,IF(((12*(YEAR(K$3)-YEAR($B$9))+MONTH(K$3)-MONTH($B$9))+1)/MAX(1,'Вводные'!$K$28)&lt;=0.2,0.6,IF(((12*(YEAR(K$3)-YEAR($B$9))+MONTH(K$3)-MONTH($B$9))+1)/MAX(1,'Вводные'!$K$28)&lt;=0.8,1.2,0.8)))</x:f>
      </x:c>
      <x:c r="L15" t="n">
        <x:f>IF(L14=0,0,IF(((12*(YEAR(L$3)-YEAR($B$9))+MONTH(L$3)-MONTH($B$9))+1)/MAX(1,'Вводные'!$K$28)&lt;=0.2,0.6,IF(((12*(YEAR(L$3)-YEAR($B$9))+MONTH(L$3)-MONTH($B$9))+1)/MAX(1,'Вводные'!$K$28)&lt;=0.8,1.2,0.8)))</x:f>
      </x:c>
      <x:c r="M15" t="n">
        <x:f>IF(M14=0,0,IF(((12*(YEAR(M$3)-YEAR($B$9))+MONTH(M$3)-MONTH($B$9))+1)/MAX(1,'Вводные'!$K$28)&lt;=0.2,0.6,IF(((12*(YEAR(M$3)-YEAR($B$9))+MONTH(M$3)-MONTH($B$9))+1)/MAX(1,'Вводные'!$K$28)&lt;=0.8,1.2,0.8)))</x:f>
      </x:c>
      <x:c r="N15" t="n">
        <x:f>IF(N14=0,0,IF(((12*(YEAR(N$3)-YEAR($B$9))+MONTH(N$3)-MONTH($B$9))+1)/MAX(1,'Вводные'!$K$28)&lt;=0.2,0.6,IF(((12*(YEAR(N$3)-YEAR($B$9))+MONTH(N$3)-MONTH($B$9))+1)/MAX(1,'Вводные'!$K$28)&lt;=0.8,1.2,0.8)))</x:f>
      </x:c>
      <x:c r="O15" t="n">
        <x:f>IF(O14=0,0,IF(((12*(YEAR(O$3)-YEAR($B$9))+MONTH(O$3)-MONTH($B$9))+1)/MAX(1,'Вводные'!$K$28)&lt;=0.2,0.6,IF(((12*(YEAR(O$3)-YEAR($B$9))+MONTH(O$3)-MONTH($B$9))+1)/MAX(1,'Вводные'!$K$28)&lt;=0.8,1.2,0.8)))</x:f>
      </x:c>
      <x:c r="P15" t="n">
        <x:f>IF(P14=0,0,IF(((12*(YEAR(P$3)-YEAR($B$9))+MONTH(P$3)-MONTH($B$9))+1)/MAX(1,'Вводные'!$K$28)&lt;=0.2,0.6,IF(((12*(YEAR(P$3)-YEAR($B$9))+MONTH(P$3)-MONTH($B$9))+1)/MAX(1,'Вводные'!$K$28)&lt;=0.8,1.2,0.8)))</x:f>
      </x:c>
      <x:c r="Q15" t="n">
        <x:f>IF(Q14=0,0,IF(((12*(YEAR(Q$3)-YEAR($B$9))+MONTH(Q$3)-MONTH($B$9))+1)/MAX(1,'Вводные'!$K$28)&lt;=0.2,0.6,IF(((12*(YEAR(Q$3)-YEAR($B$9))+MONTH(Q$3)-MONTH($B$9))+1)/MAX(1,'Вводные'!$K$28)&lt;=0.8,1.2,0.8)))</x:f>
      </x:c>
      <x:c r="R15" t="n">
        <x:f>IF(R14=0,0,IF(((12*(YEAR(R$3)-YEAR($B$9))+MONTH(R$3)-MONTH($B$9))+1)/MAX(1,'Вводные'!$K$28)&lt;=0.2,0.6,IF(((12*(YEAR(R$3)-YEAR($B$9))+MONTH(R$3)-MONTH($B$9))+1)/MAX(1,'Вводные'!$K$28)&lt;=0.8,1.2,0.8)))</x:f>
      </x:c>
      <x:c r="S15" t="n">
        <x:f>IF(S14=0,0,IF(((12*(YEAR(S$3)-YEAR($B$9))+MONTH(S$3)-MONTH($B$9))+1)/MAX(1,'Вводные'!$K$28)&lt;=0.2,0.6,IF(((12*(YEAR(S$3)-YEAR($B$9))+MONTH(S$3)-MONTH($B$9))+1)/MAX(1,'Вводные'!$K$28)&lt;=0.8,1.2,0.8)))</x:f>
      </x:c>
      <x:c r="T15" t="n">
        <x:f>IF(T14=0,0,IF(((12*(YEAR(T$3)-YEAR($B$9))+MONTH(T$3)-MONTH($B$9))+1)/MAX(1,'Вводные'!$K$28)&lt;=0.2,0.6,IF(((12*(YEAR(T$3)-YEAR($B$9))+MONTH(T$3)-MONTH($B$9))+1)/MAX(1,'Вводные'!$K$28)&lt;=0.8,1.2,0.8)))</x:f>
      </x:c>
      <x:c r="U15" t="n">
        <x:f>IF(U14=0,0,IF(((12*(YEAR(U$3)-YEAR($B$9))+MONTH(U$3)-MONTH($B$9))+1)/MAX(1,'Вводные'!$K$28)&lt;=0.2,0.6,IF(((12*(YEAR(U$3)-YEAR($B$9))+MONTH(U$3)-MONTH($B$9))+1)/MAX(1,'Вводные'!$K$28)&lt;=0.8,1.2,0.8)))</x:f>
      </x:c>
      <x:c r="V15" t="n">
        <x:f>IF(V14=0,0,IF(((12*(YEAR(V$3)-YEAR($B$9))+MONTH(V$3)-MONTH($B$9))+1)/MAX(1,'Вводные'!$K$28)&lt;=0.2,0.6,IF(((12*(YEAR(V$3)-YEAR($B$9))+MONTH(V$3)-MONTH($B$9))+1)/MAX(1,'Вводные'!$K$28)&lt;=0.8,1.2,0.8)))</x:f>
      </x:c>
      <x:c r="W15" t="n">
        <x:f>IF(W14=0,0,IF(((12*(YEAR(W$3)-YEAR($B$9))+MONTH(W$3)-MONTH($B$9))+1)/MAX(1,'Вводные'!$K$28)&lt;=0.2,0.6,IF(((12*(YEAR(W$3)-YEAR($B$9))+MONTH(W$3)-MONTH($B$9))+1)/MAX(1,'Вводные'!$K$28)&lt;=0.8,1.2,0.8)))</x:f>
      </x:c>
      <x:c r="X15" t="n">
        <x:f>IF(X14=0,0,IF(((12*(YEAR(X$3)-YEAR($B$9))+MONTH(X$3)-MONTH($B$9))+1)/MAX(1,'Вводные'!$K$28)&lt;=0.2,0.6,IF(((12*(YEAR(X$3)-YEAR($B$9))+MONTH(X$3)-MONTH($B$9))+1)/MAX(1,'Вводные'!$K$28)&lt;=0.8,1.2,0.8)))</x:f>
      </x:c>
      <x:c r="Y15" t="n">
        <x:f>IF(Y14=0,0,IF(((12*(YEAR(Y$3)-YEAR($B$9))+MONTH(Y$3)-MONTH($B$9))+1)/MAX(1,'Вводные'!$K$28)&lt;=0.2,0.6,IF(((12*(YEAR(Y$3)-YEAR($B$9))+MONTH(Y$3)-MONTH($B$9))+1)/MAX(1,'Вводные'!$K$28)&lt;=0.8,1.2,0.8)))</x:f>
      </x:c>
      <x:c r="Z15" t="n">
        <x:f>IF(Z14=0,0,IF(((12*(YEAR(Z$3)-YEAR($B$9))+MONTH(Z$3)-MONTH($B$9))+1)/MAX(1,'Вводные'!$K$28)&lt;=0.2,0.6,IF(((12*(YEAR(Z$3)-YEAR($B$9))+MONTH(Z$3)-MONTH($B$9))+1)/MAX(1,'Вводные'!$K$28)&lt;=0.8,1.2,0.8)))</x:f>
      </x:c>
      <x:c r="AA15" t="n">
        <x:f>IF(AA14=0,0,IF(((12*(YEAR(AA$3)-YEAR($B$9))+MONTH(AA$3)-MONTH($B$9))+1)/MAX(1,'Вводные'!$K$28)&lt;=0.2,0.6,IF(((12*(YEAR(AA$3)-YEAR($B$9))+MONTH(AA$3)-MONTH($B$9))+1)/MAX(1,'Вводные'!$K$28)&lt;=0.8,1.2,0.8)))</x:f>
      </x:c>
      <x:c r="AB15" t="n">
        <x:f>IF(AB14=0,0,IF(((12*(YEAR(AB$3)-YEAR($B$9))+MONTH(AB$3)-MONTH($B$9))+1)/MAX(1,'Вводные'!$K$28)&lt;=0.2,0.6,IF(((12*(YEAR(AB$3)-YEAR($B$9))+MONTH(AB$3)-MONTH($B$9))+1)/MAX(1,'Вводные'!$K$28)&lt;=0.8,1.2,0.8)))</x:f>
      </x:c>
      <x:c r="AC15" t="n">
        <x:f>IF(AC14=0,0,IF(((12*(YEAR(AC$3)-YEAR($B$9))+MONTH(AC$3)-MONTH($B$9))+1)/MAX(1,'Вводные'!$K$28)&lt;=0.2,0.6,IF(((12*(YEAR(AC$3)-YEAR($B$9))+MONTH(AC$3)-MONTH($B$9))+1)/MAX(1,'Вводные'!$K$28)&lt;=0.8,1.2,0.8)))</x:f>
      </x:c>
      <x:c r="AD15" t="n">
        <x:f>IF(AD14=0,0,IF(((12*(YEAR(AD$3)-YEAR($B$9))+MONTH(AD$3)-MONTH($B$9))+1)/MAX(1,'Вводные'!$K$28)&lt;=0.2,0.6,IF(((12*(YEAR(AD$3)-YEAR($B$9))+MONTH(AD$3)-MONTH($B$9))+1)/MAX(1,'Вводные'!$K$28)&lt;=0.8,1.2,0.8)))</x:f>
      </x:c>
      <x:c r="AE15" t="n">
        <x:f>IF(AE14=0,0,IF(((12*(YEAR(AE$3)-YEAR($B$9))+MONTH(AE$3)-MONTH($B$9))+1)/MAX(1,'Вводные'!$K$28)&lt;=0.2,0.6,IF(((12*(YEAR(AE$3)-YEAR($B$9))+MONTH(AE$3)-MONTH($B$9))+1)/MAX(1,'Вводные'!$K$28)&lt;=0.8,1.2,0.8)))</x:f>
      </x:c>
      <x:c r="AF15" t="n">
        <x:f>IF(AF14=0,0,IF(((12*(YEAR(AF$3)-YEAR($B$9))+MONTH(AF$3)-MONTH($B$9))+1)/MAX(1,'Вводные'!$K$28)&lt;=0.2,0.6,IF(((12*(YEAR(AF$3)-YEAR($B$9))+MONTH(AF$3)-MONTH($B$9))+1)/MAX(1,'Вводные'!$K$28)&lt;=0.8,1.2,0.8)))</x:f>
      </x:c>
      <x:c r="AG15" t="n">
        <x:f>IF(AG14=0,0,IF(((12*(YEAR(AG$3)-YEAR($B$9))+MONTH(AG$3)-MONTH($B$9))+1)/MAX(1,'Вводные'!$K$28)&lt;=0.2,0.6,IF(((12*(YEAR(AG$3)-YEAR($B$9))+MONTH(AG$3)-MONTH($B$9))+1)/MAX(1,'Вводные'!$K$28)&lt;=0.8,1.2,0.8)))</x:f>
      </x:c>
      <x:c r="AH15" t="n">
        <x:f>IF(AH14=0,0,IF(((12*(YEAR(AH$3)-YEAR($B$9))+MONTH(AH$3)-MONTH($B$9))+1)/MAX(1,'Вводные'!$K$28)&lt;=0.2,0.6,IF(((12*(YEAR(AH$3)-YEAR($B$9))+MONTH(AH$3)-MONTH($B$9))+1)/MAX(1,'Вводные'!$K$28)&lt;=0.8,1.2,0.8)))</x:f>
      </x:c>
      <x:c r="AI15" t="n">
        <x:f>IF(AI14=0,0,IF(((12*(YEAR(AI$3)-YEAR($B$9))+MONTH(AI$3)-MONTH($B$9))+1)/MAX(1,'Вводные'!$K$28)&lt;=0.2,0.6,IF(((12*(YEAR(AI$3)-YEAR($B$9))+MONTH(AI$3)-MONTH($B$9))+1)/MAX(1,'Вводные'!$K$28)&lt;=0.8,1.2,0.8)))</x:f>
      </x:c>
      <x:c r="AJ15" t="n">
        <x:f>IF(AJ14=0,0,IF(((12*(YEAR(AJ$3)-YEAR($B$9))+MONTH(AJ$3)-MONTH($B$9))+1)/MAX(1,'Вводные'!$K$28)&lt;=0.2,0.6,IF(((12*(YEAR(AJ$3)-YEAR($B$9))+MONTH(AJ$3)-MONTH($B$9))+1)/MAX(1,'Вводные'!$K$28)&lt;=0.8,1.2,0.8)))</x:f>
      </x:c>
      <x:c r="AK15" t="n">
        <x:f>IF(AK14=0,0,IF(((12*(YEAR(AK$3)-YEAR($B$9))+MONTH(AK$3)-MONTH($B$9))+1)/MAX(1,'Вводные'!$K$28)&lt;=0.2,0.6,IF(((12*(YEAR(AK$3)-YEAR($B$9))+MONTH(AK$3)-MONTH($B$9))+1)/MAX(1,'Вводные'!$K$28)&lt;=0.8,1.2,0.8)))</x:f>
      </x:c>
      <x:c r="AL15" t="n">
        <x:f>IF(AL14=0,0,IF(((12*(YEAR(AL$3)-YEAR($B$9))+MONTH(AL$3)-MONTH($B$9))+1)/MAX(1,'Вводные'!$K$28)&lt;=0.2,0.6,IF(((12*(YEAR(AL$3)-YEAR($B$9))+MONTH(AL$3)-MONTH($B$9))+1)/MAX(1,'Вводные'!$K$28)&lt;=0.8,1.2,0.8)))</x:f>
      </x:c>
      <x:c r="AM15" t="n">
        <x:f>IF(AM14=0,0,IF(((12*(YEAR(AM$3)-YEAR($B$9))+MONTH(AM$3)-MONTH($B$9))+1)/MAX(1,'Вводные'!$K$28)&lt;=0.2,0.6,IF(((12*(YEAR(AM$3)-YEAR($B$9))+MONTH(AM$3)-MONTH($B$9))+1)/MAX(1,'Вводные'!$K$28)&lt;=0.8,1.2,0.8)))</x:f>
      </x:c>
      <x:c r="AN15" t="n">
        <x:f>IF(AN14=0,0,IF(((12*(YEAR(AN$3)-YEAR($B$9))+MONTH(AN$3)-MONTH($B$9))+1)/MAX(1,'Вводные'!$K$28)&lt;=0.2,0.6,IF(((12*(YEAR(AN$3)-YEAR($B$9))+MONTH(AN$3)-MONTH($B$9))+1)/MAX(1,'Вводные'!$K$28)&lt;=0.8,1.2,0.8)))</x:f>
      </x:c>
      <x:c r="AO15" t="n">
        <x:f>IF(AO14=0,0,IF(((12*(YEAR(AO$3)-YEAR($B$9))+MONTH(AO$3)-MONTH($B$9))+1)/MAX(1,'Вводные'!$K$28)&lt;=0.2,0.6,IF(((12*(YEAR(AO$3)-YEAR($B$9))+MONTH(AO$3)-MONTH($B$9))+1)/MAX(1,'Вводные'!$K$28)&lt;=0.8,1.2,0.8)))</x:f>
      </x:c>
      <x:c r="AP15" t="n">
        <x:f>IF(AP14=0,0,IF(((12*(YEAR(AP$3)-YEAR($B$9))+MONTH(AP$3)-MONTH($B$9))+1)/MAX(1,'Вводные'!$K$28)&lt;=0.2,0.6,IF(((12*(YEAR(AP$3)-YEAR($B$9))+MONTH(AP$3)-MONTH($B$9))+1)/MAX(1,'Вводные'!$K$28)&lt;=0.8,1.2,0.8)))</x:f>
      </x:c>
      <x:c r="AQ15" t="n">
        <x:f>IF(AQ14=0,0,IF(((12*(YEAR(AQ$3)-YEAR($B$9))+MONTH(AQ$3)-MONTH($B$9))+1)/MAX(1,'Вводные'!$K$28)&lt;=0.2,0.6,IF(((12*(YEAR(AQ$3)-YEAR($B$9))+MONTH(AQ$3)-MONTH($B$9))+1)/MAX(1,'Вводные'!$K$28)&lt;=0.8,1.2,0.8)))</x:f>
      </x:c>
      <x:c r="AR15" t="n">
        <x:f>IF(AR14=0,0,IF(((12*(YEAR(AR$3)-YEAR($B$9))+MONTH(AR$3)-MONTH($B$9))+1)/MAX(1,'Вводные'!$K$28)&lt;=0.2,0.6,IF(((12*(YEAR(AR$3)-YEAR($B$9))+MONTH(AR$3)-MONTH($B$9))+1)/MAX(1,'Вводные'!$K$28)&lt;=0.8,1.2,0.8)))</x:f>
      </x:c>
      <x:c r="AS15" t="n">
        <x:f>IF(AS14=0,0,IF(((12*(YEAR(AS$3)-YEAR($B$9))+MONTH(AS$3)-MONTH($B$9))+1)/MAX(1,'Вводные'!$K$28)&lt;=0.2,0.6,IF(((12*(YEAR(AS$3)-YEAR($B$9))+MONTH(AS$3)-MONTH($B$9))+1)/MAX(1,'Вводные'!$K$28)&lt;=0.8,1.2,0.8)))</x:f>
      </x:c>
      <x:c r="AT15" t="n">
        <x:f>IF(AT14=0,0,IF(((12*(YEAR(AT$3)-YEAR($B$9))+MONTH(AT$3)-MONTH($B$9))+1)/MAX(1,'Вводные'!$K$28)&lt;=0.2,0.6,IF(((12*(YEAR(AT$3)-YEAR($B$9))+MONTH(AT$3)-MONTH($B$9))+1)/MAX(1,'Вводные'!$K$28)&lt;=0.8,1.2,0.8)))</x:f>
      </x:c>
      <x:c r="AU15" t="n">
        <x:f>IF(AU14=0,0,IF(((12*(YEAR(AU$3)-YEAR($B$9))+MONTH(AU$3)-MONTH($B$9))+1)/MAX(1,'Вводные'!$K$28)&lt;=0.2,0.6,IF(((12*(YEAR(AU$3)-YEAR($B$9))+MONTH(AU$3)-MONTH($B$9))+1)/MAX(1,'Вводные'!$K$28)&lt;=0.8,1.2,0.8)))</x:f>
      </x:c>
      <x:c r="AV15" t="n">
        <x:f>IF(AV14=0,0,IF(((12*(YEAR(AV$3)-YEAR($B$9))+MONTH(AV$3)-MONTH($B$9))+1)/MAX(1,'Вводные'!$K$28)&lt;=0.2,0.6,IF(((12*(YEAR(AV$3)-YEAR($B$9))+MONTH(AV$3)-MONTH($B$9))+1)/MAX(1,'Вводные'!$K$28)&lt;=0.8,1.2,0.8)))</x:f>
      </x:c>
      <x:c r="AW15" t="n">
        <x:f>IF(AW14=0,0,IF(((12*(YEAR(AW$3)-YEAR($B$9))+MONTH(AW$3)-MONTH($B$9))+1)/MAX(1,'Вводные'!$K$28)&lt;=0.2,0.6,IF(((12*(YEAR(AW$3)-YEAR($B$9))+MONTH(AW$3)-MONTH($B$9))+1)/MAX(1,'Вводные'!$K$28)&lt;=0.8,1.2,0.8)))</x:f>
      </x:c>
      <x:c r="AX15" t="n">
        <x:f>IF(AX14=0,0,IF(((12*(YEAR(AX$3)-YEAR($B$9))+MONTH(AX$3)-MONTH($B$9))+1)/MAX(1,'Вводные'!$K$28)&lt;=0.2,0.6,IF(((12*(YEAR(AX$3)-YEAR($B$9))+MONTH(AX$3)-MONTH($B$9))+1)/MAX(1,'Вводные'!$K$28)&lt;=0.8,1.2,0.8)))</x:f>
      </x:c>
      <x:c r="AY15" t="n">
        <x:f>IF(AY14=0,0,IF(((12*(YEAR(AY$3)-YEAR($B$9))+MONTH(AY$3)-MONTH($B$9))+1)/MAX(1,'Вводные'!$K$28)&lt;=0.2,0.6,IF(((12*(YEAR(AY$3)-YEAR($B$9))+MONTH(AY$3)-MONTH($B$9))+1)/MAX(1,'Вводные'!$K$28)&lt;=0.8,1.2,0.8)))</x:f>
      </x:c>
      <x:c r="AZ15" t="n">
        <x:f>IF(AZ14=0,0,IF(((12*(YEAR(AZ$3)-YEAR($B$9))+MONTH(AZ$3)-MONTH($B$9))+1)/MAX(1,'Вводные'!$K$28)&lt;=0.2,0.6,IF(((12*(YEAR(AZ$3)-YEAR($B$9))+MONTH(AZ$3)-MONTH($B$9))+1)/MAX(1,'Вводные'!$K$28)&lt;=0.8,1.2,0.8)))</x:f>
      </x:c>
      <x:c r="BA15" t="n">
        <x:f>IF(BA14=0,0,IF(((12*(YEAR(BA$3)-YEAR($B$9))+MONTH(BA$3)-MONTH($B$9))+1)/MAX(1,'Вводные'!$K$28)&lt;=0.2,0.6,IF(((12*(YEAR(BA$3)-YEAR($B$9))+MONTH(BA$3)-MONTH($B$9))+1)/MAX(1,'Вводные'!$K$28)&lt;=0.8,1.2,0.8)))</x:f>
      </x:c>
      <x:c r="BB15" t="n">
        <x:f>IF(BB14=0,0,IF(((12*(YEAR(BB$3)-YEAR($B$9))+MONTH(BB$3)-MONTH($B$9))+1)/MAX(1,'Вводные'!$K$28)&lt;=0.2,0.6,IF(((12*(YEAR(BB$3)-YEAR($B$9))+MONTH(BB$3)-MONTH($B$9))+1)/MAX(1,'Вводные'!$K$28)&lt;=0.8,1.2,0.8)))</x:f>
      </x:c>
      <x:c r="BC15" t="n">
        <x:f>IF(BC14=0,0,IF(((12*(YEAR(BC$3)-YEAR($B$9))+MONTH(BC$3)-MONTH($B$9))+1)/MAX(1,'Вводные'!$K$28)&lt;=0.2,0.6,IF(((12*(YEAR(BC$3)-YEAR($B$9))+MONTH(BC$3)-MONTH($B$9))+1)/MAX(1,'Вводные'!$K$28)&lt;=0.8,1.2,0.8)))</x:f>
      </x:c>
      <x:c r="BD15" t="n">
        <x:f>IF(BD14=0,0,IF(((12*(YEAR(BD$3)-YEAR($B$9))+MONTH(BD$3)-MONTH($B$9))+1)/MAX(1,'Вводные'!$K$28)&lt;=0.2,0.6,IF(((12*(YEAR(BD$3)-YEAR($B$9))+MONTH(BD$3)-MONTH($B$9))+1)/MAX(1,'Вводные'!$K$28)&lt;=0.8,1.2,0.8)))</x:f>
      </x:c>
      <x:c r="BE15" t="n">
        <x:f>IF(BE14=0,0,IF(((12*(YEAR(BE$3)-YEAR($B$9))+MONTH(BE$3)-MONTH($B$9))+1)/MAX(1,'Вводные'!$K$28)&lt;=0.2,0.6,IF(((12*(YEAR(BE$3)-YEAR($B$9))+MONTH(BE$3)-MONTH($B$9))+1)/MAX(1,'Вводные'!$K$28)&lt;=0.8,1.2,0.8)))</x:f>
      </x:c>
      <x:c r="BF15" t="n">
        <x:f>IF(BF14=0,0,IF(((12*(YEAR(BF$3)-YEAR($B$9))+MONTH(BF$3)-MONTH($B$9))+1)/MAX(1,'Вводные'!$K$28)&lt;=0.2,0.6,IF(((12*(YEAR(BF$3)-YEAR($B$9))+MONTH(BF$3)-MONTH($B$9))+1)/MAX(1,'Вводные'!$K$28)&lt;=0.8,1.2,0.8)))</x:f>
      </x:c>
      <x:c r="BG15" t="n">
        <x:f>IF(BG14=0,0,IF(((12*(YEAR(BG$3)-YEAR($B$9))+MONTH(BG$3)-MONTH($B$9))+1)/MAX(1,'Вводные'!$K$28)&lt;=0.2,0.6,IF(((12*(YEAR(BG$3)-YEAR($B$9))+MONTH(BG$3)-MONTH($B$9))+1)/MAX(1,'Вводные'!$K$28)&lt;=0.8,1.2,0.8)))</x:f>
      </x:c>
      <x:c r="BH15" t="n">
        <x:f>IF(BH14=0,0,IF(((12*(YEAR(BH$3)-YEAR($B$9))+MONTH(BH$3)-MONTH($B$9))+1)/MAX(1,'Вводные'!$K$28)&lt;=0.2,0.6,IF(((12*(YEAR(BH$3)-YEAR($B$9))+MONTH(BH$3)-MONTH($B$9))+1)/MAX(1,'Вводные'!$K$28)&lt;=0.8,1.2,0.8)))</x:f>
      </x:c>
      <x:c r="BI15" t="n">
        <x:f>IF(BI14=0,0,IF(((12*(YEAR(BI$3)-YEAR($B$9))+MONTH(BI$3)-MONTH($B$9))+1)/MAX(1,'Вводные'!$K$28)&lt;=0.2,0.6,IF(((12*(YEAR(BI$3)-YEAR($B$9))+MONTH(BI$3)-MONTH($B$9))+1)/MAX(1,'Вводные'!$K$28)&lt;=0.8,1.2,0.8)))</x:f>
      </x:c>
      <x:c r="BJ15" t="n">
        <x:f>IF(BJ14=0,0,IF(((12*(YEAR(BJ$3)-YEAR($B$9))+MONTH(BJ$3)-MONTH($B$9))+1)/MAX(1,'Вводные'!$K$28)&lt;=0.2,0.6,IF(((12*(YEAR(BJ$3)-YEAR($B$9))+MONTH(BJ$3)-MONTH($B$9))+1)/MAX(1,'Вводные'!$K$28)&lt;=0.8,1.2,0.8)))</x:f>
      </x:c>
      <x:c r="BK15" t="n">
        <x:f>IF(BK14=0,0,IF(((12*(YEAR(BK$3)-YEAR($B$9))+MONTH(BK$3)-MONTH($B$9))+1)/MAX(1,'Вводные'!$K$28)&lt;=0.2,0.6,IF(((12*(YEAR(BK$3)-YEAR($B$9))+MONTH(BK$3)-MONTH($B$9))+1)/MAX(1,'Вводные'!$K$28)&lt;=0.8,1.2,0.8)))</x:f>
      </x:c>
      <x:c r="BL15" t="n">
        <x:f>IF(BL14=0,0,IF(((12*(YEAR(BL$3)-YEAR($B$9))+MONTH(BL$3)-MONTH($B$9))+1)/MAX(1,'Вводные'!$K$28)&lt;=0.2,0.6,IF(((12*(YEAR(BL$3)-YEAR($B$9))+MONTH(BL$3)-MONTH($B$9))+1)/MAX(1,'Вводные'!$K$28)&lt;=0.8,1.2,0.8)))</x:f>
      </x:c>
      <x:c r="BM15" t="n">
        <x:f>IF(BM14=0,0,IF(((12*(YEAR(BM$3)-YEAR($B$9))+MONTH(BM$3)-MONTH($B$9))+1)/MAX(1,'Вводные'!$K$28)&lt;=0.2,0.6,IF(((12*(YEAR(BM$3)-YEAR($B$9))+MONTH(BM$3)-MONTH($B$9))+1)/MAX(1,'Вводные'!$K$28)&lt;=0.8,1.2,0.8)))</x:f>
      </x:c>
      <x:c r="BN15" t="n">
        <x:f>IF(BN14=0,0,IF(((12*(YEAR(BN$3)-YEAR($B$9))+MONTH(BN$3)-MONTH($B$9))+1)/MAX(1,'Вводные'!$K$28)&lt;=0.2,0.6,IF(((12*(YEAR(BN$3)-YEAR($B$9))+MONTH(BN$3)-MONTH($B$9))+1)/MAX(1,'Вводные'!$K$28)&lt;=0.8,1.2,0.8)))</x:f>
      </x:c>
      <x:c r="BO15" t="n">
        <x:f>IF(BO14=0,0,IF(((12*(YEAR(BO$3)-YEAR($B$9))+MONTH(BO$3)-MONTH($B$9))+1)/MAX(1,'Вводные'!$K$28)&lt;=0.2,0.6,IF(((12*(YEAR(BO$3)-YEAR($B$9))+MONTH(BO$3)-MONTH($B$9))+1)/MAX(1,'Вводные'!$K$28)&lt;=0.8,1.2,0.8)))</x:f>
      </x:c>
      <x:c r="BP15" t="n">
        <x:f>IF(BP14=0,0,IF(((12*(YEAR(BP$3)-YEAR($B$9))+MONTH(BP$3)-MONTH($B$9))+1)/MAX(1,'Вводные'!$K$28)&lt;=0.2,0.6,IF(((12*(YEAR(BP$3)-YEAR($B$9))+MONTH(BP$3)-MONTH($B$9))+1)/MAX(1,'Вводные'!$K$28)&lt;=0.8,1.2,0.8)))</x:f>
      </x:c>
      <x:c r="BQ15" t="n">
        <x:f>IF(BQ14=0,0,IF(((12*(YEAR(BQ$3)-YEAR($B$9))+MONTH(BQ$3)-MONTH($B$9))+1)/MAX(1,'Вводные'!$K$28)&lt;=0.2,0.6,IF(((12*(YEAR(BQ$3)-YEAR($B$9))+MONTH(BQ$3)-MONTH($B$9))+1)/MAX(1,'Вводные'!$K$28)&lt;=0.8,1.2,0.8)))</x:f>
      </x:c>
      <x:c r="BR15" t="n">
        <x:f>IF(BR14=0,0,IF(((12*(YEAR(BR$3)-YEAR($B$9))+MONTH(BR$3)-MONTH($B$9))+1)/MAX(1,'Вводные'!$K$28)&lt;=0.2,0.6,IF(((12*(YEAR(BR$3)-YEAR($B$9))+MONTH(BR$3)-MONTH($B$9))+1)/MAX(1,'Вводные'!$K$28)&lt;=0.8,1.2,0.8)))</x:f>
      </x:c>
      <x:c r="BS15" t="n">
        <x:f>IF(BS14=0,0,IF(((12*(YEAR(BS$3)-YEAR($B$9))+MONTH(BS$3)-MONTH($B$9))+1)/MAX(1,'Вводные'!$K$28)&lt;=0.2,0.6,IF(((12*(YEAR(BS$3)-YEAR($B$9))+MONTH(BS$3)-MONTH($B$9))+1)/MAX(1,'Вводные'!$K$28)&lt;=0.8,1.2,0.8)))</x:f>
      </x:c>
      <x:c r="BT15" t="n">
        <x:f>IF(BT14=0,0,IF(((12*(YEAR(BT$3)-YEAR($B$9))+MONTH(BT$3)-MONTH($B$9))+1)/MAX(1,'Вводные'!$K$28)&lt;=0.2,0.6,IF(((12*(YEAR(BT$3)-YEAR($B$9))+MONTH(BT$3)-MONTH($B$9))+1)/MAX(1,'Вводные'!$K$28)&lt;=0.8,1.2,0.8)))</x:f>
      </x:c>
      <x:c r="BU15" t="n">
        <x:f>IF(BU14=0,0,IF(((12*(YEAR(BU$3)-YEAR($B$9))+MONTH(BU$3)-MONTH($B$9))+1)/MAX(1,'Вводные'!$K$28)&lt;=0.2,0.6,IF(((12*(YEAR(BU$3)-YEAR($B$9))+MONTH(BU$3)-MONTH($B$9))+1)/MAX(1,'Вводные'!$K$28)&lt;=0.8,1.2,0.8)))</x:f>
      </x:c>
      <x:c r="BV15" t="n">
        <x:f>IF(BV14=0,0,IF(((12*(YEAR(BV$3)-YEAR($B$9))+MONTH(BV$3)-MONTH($B$9))+1)/MAX(1,'Вводные'!$K$28)&lt;=0.2,0.6,IF(((12*(YEAR(BV$3)-YEAR($B$9))+MONTH(BV$3)-MONTH($B$9))+1)/MAX(1,'Вводные'!$K$28)&lt;=0.8,1.2,0.8)))</x:f>
      </x:c>
      <x:c r="BW15" t="n">
        <x:f>IF(BW14=0,0,IF(((12*(YEAR(BW$3)-YEAR($B$9))+MONTH(BW$3)-MONTH($B$9))+1)/MAX(1,'Вводные'!$K$28)&lt;=0.2,0.6,IF(((12*(YEAR(BW$3)-YEAR($B$9))+MONTH(BW$3)-MONTH($B$9))+1)/MAX(1,'Вводные'!$K$28)&lt;=0.8,1.2,0.8)))</x:f>
      </x:c>
      <x:c r="BX15" t="n">
        <x:f>IF(BX14=0,0,IF(((12*(YEAR(BX$3)-YEAR($B$9))+MONTH(BX$3)-MONTH($B$9))+1)/MAX(1,'Вводные'!$K$28)&lt;=0.2,0.6,IF(((12*(YEAR(BX$3)-YEAR($B$9))+MONTH(BX$3)-MONTH($B$9))+1)/MAX(1,'Вводные'!$K$28)&lt;=0.8,1.2,0.8)))</x:f>
      </x:c>
      <x:c r="BY15" t="n">
        <x:f>IF(BY14=0,0,IF(((12*(YEAR(BY$3)-YEAR($B$9))+MONTH(BY$3)-MONTH($B$9))+1)/MAX(1,'Вводные'!$K$28)&lt;=0.2,0.6,IF(((12*(YEAR(BY$3)-YEAR($B$9))+MONTH(BY$3)-MONTH($B$9))+1)/MAX(1,'Вводные'!$K$28)&lt;=0.8,1.2,0.8)))</x:f>
      </x:c>
      <x:c r="BZ15" t="n">
        <x:f>IF(BZ14=0,0,IF(((12*(YEAR(BZ$3)-YEAR($B$9))+MONTH(BZ$3)-MONTH($B$9))+1)/MAX(1,'Вводные'!$K$28)&lt;=0.2,0.6,IF(((12*(YEAR(BZ$3)-YEAR($B$9))+MONTH(BZ$3)-MONTH($B$9))+1)/MAX(1,'Вводные'!$K$28)&lt;=0.8,1.2,0.8)))</x:f>
      </x:c>
      <x:c r="CA15" t="n">
        <x:f>IF(CA14=0,0,IF(((12*(YEAR(CA$3)-YEAR($B$9))+MONTH(CA$3)-MONTH($B$9))+1)/MAX(1,'Вводные'!$K$28)&lt;=0.2,0.6,IF(((12*(YEAR(CA$3)-YEAR($B$9))+MONTH(CA$3)-MONTH($B$9))+1)/MAX(1,'Вводные'!$K$28)&lt;=0.8,1.2,0.8)))</x:f>
      </x:c>
      <x:c r="CB15" t="n">
        <x:f>IF(CB14=0,0,IF(((12*(YEAR(CB$3)-YEAR($B$9))+MONTH(CB$3)-MONTH($B$9))+1)/MAX(1,'Вводные'!$K$28)&lt;=0.2,0.6,IF(((12*(YEAR(CB$3)-YEAR($B$9))+MONTH(CB$3)-MONTH($B$9))+1)/MAX(1,'Вводные'!$K$28)&lt;=0.8,1.2,0.8)))</x:f>
      </x:c>
      <x:c r="CC15" t="n">
        <x:f>IF(CC14=0,0,IF(((12*(YEAR(CC$3)-YEAR($B$9))+MONTH(CC$3)-MONTH($B$9))+1)/MAX(1,'Вводные'!$K$28)&lt;=0.2,0.6,IF(((12*(YEAR(CC$3)-YEAR($B$9))+MONTH(CC$3)-MONTH($B$9))+1)/MAX(1,'Вводные'!$K$28)&lt;=0.8,1.2,0.8)))</x:f>
      </x:c>
      <x:c r="CD15" t="n">
        <x:f>IF(CD14=0,0,IF(((12*(YEAR(CD$3)-YEAR($B$9))+MONTH(CD$3)-MONTH($B$9))+1)/MAX(1,'Вводные'!$K$28)&lt;=0.2,0.6,IF(((12*(YEAR(CD$3)-YEAR($B$9))+MONTH(CD$3)-MONTH($B$9))+1)/MAX(1,'Вводные'!$K$28)&lt;=0.8,1.2,0.8)))</x:f>
      </x:c>
      <x:c r="CE15" t="n">
        <x:f>IF(CE14=0,0,IF(((12*(YEAR(CE$3)-YEAR($B$9))+MONTH(CE$3)-MONTH($B$9))+1)/MAX(1,'Вводные'!$K$28)&lt;=0.2,0.6,IF(((12*(YEAR(CE$3)-YEAR($B$9))+MONTH(CE$3)-MONTH($B$9))+1)/MAX(1,'Вводные'!$K$28)&lt;=0.8,1.2,0.8)))</x:f>
      </x:c>
      <x:c r="CF15" t="n">
        <x:f>IF(CF14=0,0,IF(((12*(YEAR(CF$3)-YEAR($B$9))+MONTH(CF$3)-MONTH($B$9))+1)/MAX(1,'Вводные'!$K$28)&lt;=0.2,0.6,IF(((12*(YEAR(CF$3)-YEAR($B$9))+MONTH(CF$3)-MONTH($B$9))+1)/MAX(1,'Вводные'!$K$28)&lt;=0.8,1.2,0.8)))</x:f>
      </x:c>
      <x:c r="CG15" t="n">
        <x:f>IF(CG14=0,0,IF(((12*(YEAR(CG$3)-YEAR($B$9))+MONTH(CG$3)-MONTH($B$9))+1)/MAX(1,'Вводные'!$K$28)&lt;=0.2,0.6,IF(((12*(YEAR(CG$3)-YEAR($B$9))+MONTH(CG$3)-MONTH($B$9))+1)/MAX(1,'Вводные'!$K$28)&lt;=0.8,1.2,0.8)))</x:f>
      </x:c>
      <x:c r="CH15" t="n">
        <x:f>IF(CH14=0,0,IF(((12*(YEAR(CH$3)-YEAR($B$9))+MONTH(CH$3)-MONTH($B$9))+1)/MAX(1,'Вводные'!$K$28)&lt;=0.2,0.6,IF(((12*(YEAR(CH$3)-YEAR($B$9))+MONTH(CH$3)-MONTH($B$9))+1)/MAX(1,'Вводные'!$K$28)&lt;=0.8,1.2,0.8)))</x:f>
      </x:c>
      <x:c r="CI15" t="n">
        <x:f>IF(CI14=0,0,IF(((12*(YEAR(CI$3)-YEAR($B$9))+MONTH(CI$3)-MONTH($B$9))+1)/MAX(1,'Вводные'!$K$28)&lt;=0.2,0.6,IF(((12*(YEAR(CI$3)-YEAR($B$9))+MONTH(CI$3)-MONTH($B$9))+1)/MAX(1,'Вводные'!$K$28)&lt;=0.8,1.2,0.8)))</x:f>
      </x:c>
      <x:c r="CJ15" t="n">
        <x:f>IF(CJ14=0,0,IF(((12*(YEAR(CJ$3)-YEAR($B$9))+MONTH(CJ$3)-MONTH($B$9))+1)/MAX(1,'Вводные'!$K$28)&lt;=0.2,0.6,IF(((12*(YEAR(CJ$3)-YEAR($B$9))+MONTH(CJ$3)-MONTH($B$9))+1)/MAX(1,'Вводные'!$K$28)&lt;=0.8,1.2,0.8)))</x:f>
      </x:c>
      <x:c r="CK15" t="n">
        <x:f>IF(CK14=0,0,IF(((12*(YEAR(CK$3)-YEAR($B$9))+MONTH(CK$3)-MONTH($B$9))+1)/MAX(1,'Вводные'!$K$28)&lt;=0.2,0.6,IF(((12*(YEAR(CK$3)-YEAR($B$9))+MONTH(CK$3)-MONTH($B$9))+1)/MAX(1,'Вводные'!$K$28)&lt;=0.8,1.2,0.8)))</x:f>
      </x:c>
      <x:c r="CL15" t="n">
        <x:f>IF(CL14=0,0,IF(((12*(YEAR(CL$3)-YEAR($B$9))+MONTH(CL$3)-MONTH($B$9))+1)/MAX(1,'Вводные'!$K$28)&lt;=0.2,0.6,IF(((12*(YEAR(CL$3)-YEAR($B$9))+MONTH(CL$3)-MONTH($B$9))+1)/MAX(1,'Вводные'!$K$28)&lt;=0.8,1.2,0.8)))</x:f>
      </x:c>
      <x:c r="CM15" t="n">
        <x:f>IF(CM14=0,0,IF(((12*(YEAR(CM$3)-YEAR($B$9))+MONTH(CM$3)-MONTH($B$9))+1)/MAX(1,'Вводные'!$K$28)&lt;=0.2,0.6,IF(((12*(YEAR(CM$3)-YEAR($B$9))+MONTH(CM$3)-MONTH($B$9))+1)/MAX(1,'Вводные'!$K$28)&lt;=0.8,1.2,0.8)))</x:f>
      </x:c>
      <x:c r="CN15" t="n">
        <x:f>IF(CN14=0,0,IF(((12*(YEAR(CN$3)-YEAR($B$9))+MONTH(CN$3)-MONTH($B$9))+1)/MAX(1,'Вводные'!$K$28)&lt;=0.2,0.6,IF(((12*(YEAR(CN$3)-YEAR($B$9))+MONTH(CN$3)-MONTH($B$9))+1)/MAX(1,'Вводные'!$K$28)&lt;=0.8,1.2,0.8)))</x:f>
      </x:c>
      <x:c r="CO15" t="n">
        <x:f>IF(CO14=0,0,IF(((12*(YEAR(CO$3)-YEAR($B$9))+MONTH(CO$3)-MONTH($B$9))+1)/MAX(1,'Вводные'!$K$28)&lt;=0.2,0.6,IF(((12*(YEAR(CO$3)-YEAR($B$9))+MONTH(CO$3)-MONTH($B$9))+1)/MAX(1,'Вводные'!$K$28)&lt;=0.8,1.2,0.8)))</x:f>
      </x:c>
      <x:c r="CP15" t="n">
        <x:f>IF(CP14=0,0,IF(((12*(YEAR(CP$3)-YEAR($B$9))+MONTH(CP$3)-MONTH($B$9))+1)/MAX(1,'Вводные'!$K$28)&lt;=0.2,0.6,IF(((12*(YEAR(CP$3)-YEAR($B$9))+MONTH(CP$3)-MONTH($B$9))+1)/MAX(1,'Вводные'!$K$28)&lt;=0.8,1.2,0.8)))</x:f>
      </x:c>
      <x:c r="CQ15" t="n">
        <x:f>IF(CQ14=0,0,IF(((12*(YEAR(CQ$3)-YEAR($B$9))+MONTH(CQ$3)-MONTH($B$9))+1)/MAX(1,'Вводные'!$K$28)&lt;=0.2,0.6,IF(((12*(YEAR(CQ$3)-YEAR($B$9))+MONTH(CQ$3)-MONTH($B$9))+1)/MAX(1,'Вводные'!$K$28)&lt;=0.8,1.2,0.8)))</x:f>
      </x:c>
      <x:c r="CR15" t="n">
        <x:f>IF(CR14=0,0,IF(((12*(YEAR(CR$3)-YEAR($B$9))+MONTH(CR$3)-MONTH($B$9))+1)/MAX(1,'Вводные'!$K$28)&lt;=0.2,0.6,IF(((12*(YEAR(CR$3)-YEAR($B$9))+MONTH(CR$3)-MONTH($B$9))+1)/MAX(1,'Вводные'!$K$28)&lt;=0.8,1.2,0.8)))</x:f>
      </x:c>
      <x:c r="CS15" t="n">
        <x:f>IF(CS14=0,0,IF(((12*(YEAR(CS$3)-YEAR($B$9))+MONTH(CS$3)-MONTH($B$9))+1)/MAX(1,'Вводные'!$K$28)&lt;=0.2,0.6,IF(((12*(YEAR(CS$3)-YEAR($B$9))+MONTH(CS$3)-MONTH($B$9))+1)/MAX(1,'Вводные'!$K$28)&lt;=0.8,1.2,0.8)))</x:f>
      </x:c>
      <x:c r="CT15" t="n">
        <x:f>IF(CT14=0,0,IF(((12*(YEAR(CT$3)-YEAR($B$9))+MONTH(CT$3)-MONTH($B$9))+1)/MAX(1,'Вводные'!$K$28)&lt;=0.2,0.6,IF(((12*(YEAR(CT$3)-YEAR($B$9))+MONTH(CT$3)-MONTH($B$9))+1)/MAX(1,'Вводные'!$K$28)&lt;=0.8,1.2,0.8)))</x:f>
      </x:c>
      <x:c r="CU15" t="n">
        <x:f>IF(CU14=0,0,IF(((12*(YEAR(CU$3)-YEAR($B$9))+MONTH(CU$3)-MONTH($B$9))+1)/MAX(1,'Вводные'!$K$28)&lt;=0.2,0.6,IF(((12*(YEAR(CU$3)-YEAR($B$9))+MONTH(CU$3)-MONTH($B$9))+1)/MAX(1,'Вводные'!$K$28)&lt;=0.8,1.2,0.8)))</x:f>
      </x:c>
      <x:c r="CV15" t="n">
        <x:f>IF(CV14=0,0,IF(((12*(YEAR(CV$3)-YEAR($B$9))+MONTH(CV$3)-MONTH($B$9))+1)/MAX(1,'Вводные'!$K$28)&lt;=0.2,0.6,IF(((12*(YEAR(CV$3)-YEAR($B$9))+MONTH(CV$3)-MONTH($B$9))+1)/MAX(1,'Вводные'!$K$28)&lt;=0.8,1.2,0.8)))</x:f>
      </x:c>
      <x:c r="CW15" t="n">
        <x:f>IF(CW14=0,0,IF(((12*(YEAR(CW$3)-YEAR($B$9))+MONTH(CW$3)-MONTH($B$9))+1)/MAX(1,'Вводные'!$K$28)&lt;=0.2,0.6,IF(((12*(YEAR(CW$3)-YEAR($B$9))+MONTH(CW$3)-MONTH($B$9))+1)/MAX(1,'Вводные'!$K$28)&lt;=0.8,1.2,0.8)))</x:f>
      </x:c>
      <x:c r="CX15" t="n">
        <x:f>IF(CX14=0,0,IF(((12*(YEAR(CX$3)-YEAR($B$9))+MONTH(CX$3)-MONTH($B$9))+1)/MAX(1,'Вводные'!$K$28)&lt;=0.2,0.6,IF(((12*(YEAR(CX$3)-YEAR($B$9))+MONTH(CX$3)-MONTH($B$9))+1)/MAX(1,'Вводные'!$K$28)&lt;=0.8,1.2,0.8)))</x:f>
      </x:c>
      <x:c r="CY15" t="n">
        <x:f>IF(CY14=0,0,IF(((12*(YEAR(CY$3)-YEAR($B$9))+MONTH(CY$3)-MONTH($B$9))+1)/MAX(1,'Вводные'!$K$28)&lt;=0.2,0.6,IF(((12*(YEAR(CY$3)-YEAR($B$9))+MONTH(CY$3)-MONTH($B$9))+1)/MAX(1,'Вводные'!$K$28)&lt;=0.8,1.2,0.8)))</x:f>
      </x:c>
      <x:c r="CZ15" t="n">
        <x:f>IF(CZ14=0,0,IF(((12*(YEAR(CZ$3)-YEAR($B$9))+MONTH(CZ$3)-MONTH($B$9))+1)/MAX(1,'Вводные'!$K$28)&lt;=0.2,0.6,IF(((12*(YEAR(CZ$3)-YEAR($B$9))+MONTH(CZ$3)-MONTH($B$9))+1)/MAX(1,'Вводные'!$K$28)&lt;=0.8,1.2,0.8)))</x:f>
      </x:c>
      <x:c r="DA15" t="n">
        <x:f>IF(DA14=0,0,IF(((12*(YEAR(DA$3)-YEAR($B$9))+MONTH(DA$3)-MONTH($B$9))+1)/MAX(1,'Вводные'!$K$28)&lt;=0.2,0.6,IF(((12*(YEAR(DA$3)-YEAR($B$9))+MONTH(DA$3)-MONTH($B$9))+1)/MAX(1,'Вводные'!$K$28)&lt;=0.8,1.2,0.8)))</x:f>
      </x:c>
      <x:c r="DB15" t="n">
        <x:f>IF(DB14=0,0,IF(((12*(YEAR(DB$3)-YEAR($B$9))+MONTH(DB$3)-MONTH($B$9))+1)/MAX(1,'Вводные'!$K$28)&lt;=0.2,0.6,IF(((12*(YEAR(DB$3)-YEAR($B$9))+MONTH(DB$3)-MONTH($B$9))+1)/MAX(1,'Вводные'!$K$28)&lt;=0.8,1.2,0.8)))</x:f>
      </x:c>
      <x:c r="DC15" t="n">
        <x:f>IF(DC14=0,0,IF(((12*(YEAR(DC$3)-YEAR($B$9))+MONTH(DC$3)-MONTH($B$9))+1)/MAX(1,'Вводные'!$K$28)&lt;=0.2,0.6,IF(((12*(YEAR(DC$3)-YEAR($B$9))+MONTH(DC$3)-MONTH($B$9))+1)/MAX(1,'Вводные'!$K$28)&lt;=0.8,1.2,0.8)))</x:f>
      </x:c>
      <x:c r="DD15" t="n">
        <x:f>IF(DD14=0,0,IF(((12*(YEAR(DD$3)-YEAR($B$9))+MONTH(DD$3)-MONTH($B$9))+1)/MAX(1,'Вводные'!$K$28)&lt;=0.2,0.6,IF(((12*(YEAR(DD$3)-YEAR($B$9))+MONTH(DD$3)-MONTH($B$9))+1)/MAX(1,'Вводные'!$K$28)&lt;=0.8,1.2,0.8)))</x:f>
      </x:c>
      <x:c r="DE15" t="n">
        <x:f>IF(DE14=0,0,IF(((12*(YEAR(DE$3)-YEAR($B$9))+MONTH(DE$3)-MONTH($B$9))+1)/MAX(1,'Вводные'!$K$28)&lt;=0.2,0.6,IF(((12*(YEAR(DE$3)-YEAR($B$9))+MONTH(DE$3)-MONTH($B$9))+1)/MAX(1,'Вводные'!$K$28)&lt;=0.8,1.2,0.8)))</x:f>
      </x:c>
      <x:c r="DF15" t="n">
        <x:f>IF(DF14=0,0,IF(((12*(YEAR(DF$3)-YEAR($B$9))+MONTH(DF$3)-MONTH($B$9))+1)/MAX(1,'Вводные'!$K$28)&lt;=0.2,0.6,IF(((12*(YEAR(DF$3)-YEAR($B$9))+MONTH(DF$3)-MONTH($B$9))+1)/MAX(1,'Вводные'!$K$28)&lt;=0.8,1.2,0.8)))</x:f>
      </x:c>
      <x:c r="DG15" t="n">
        <x:f>IF(DG14=0,0,IF(((12*(YEAR(DG$3)-YEAR($B$9))+MONTH(DG$3)-MONTH($B$9))+1)/MAX(1,'Вводные'!$K$28)&lt;=0.2,0.6,IF(((12*(YEAR(DG$3)-YEAR($B$9))+MONTH(DG$3)-MONTH($B$9))+1)/MAX(1,'Вводные'!$K$28)&lt;=0.8,1.2,0.8)))</x:f>
      </x:c>
      <x:c r="DH15" t="n">
        <x:f>IF(DH14=0,0,IF(((12*(YEAR(DH$3)-YEAR($B$9))+MONTH(DH$3)-MONTH($B$9))+1)/MAX(1,'Вводные'!$K$28)&lt;=0.2,0.6,IF(((12*(YEAR(DH$3)-YEAR($B$9))+MONTH(DH$3)-MONTH($B$9))+1)/MAX(1,'Вводные'!$K$28)&lt;=0.8,1.2,0.8)))</x:f>
      </x:c>
      <x:c r="DI15" t="n">
        <x:f>IF(DI14=0,0,IF(((12*(YEAR(DI$3)-YEAR($B$9))+MONTH(DI$3)-MONTH($B$9))+1)/MAX(1,'Вводные'!$K$28)&lt;=0.2,0.6,IF(((12*(YEAR(DI$3)-YEAR($B$9))+MONTH(DI$3)-MONTH($B$9))+1)/MAX(1,'Вводные'!$K$28)&lt;=0.8,1.2,0.8)))</x:f>
      </x:c>
      <x:c r="DJ15" t="n">
        <x:f>IF(DJ14=0,0,IF(((12*(YEAR(DJ$3)-YEAR($B$9))+MONTH(DJ$3)-MONTH($B$9))+1)/MAX(1,'Вводные'!$K$28)&lt;=0.2,0.6,IF(((12*(YEAR(DJ$3)-YEAR($B$9))+MONTH(DJ$3)-MONTH($B$9))+1)/MAX(1,'Вводные'!$K$28)&lt;=0.8,1.2,0.8)))</x:f>
      </x:c>
      <x:c r="DK15" t="n">
        <x:f>IF(DK14=0,0,IF(((12*(YEAR(DK$3)-YEAR($B$9))+MONTH(DK$3)-MONTH($B$9))+1)/MAX(1,'Вводные'!$K$28)&lt;=0.2,0.6,IF(((12*(YEAR(DK$3)-YEAR($B$9))+MONTH(DK$3)-MONTH($B$9))+1)/MAX(1,'Вводные'!$K$28)&lt;=0.8,1.2,0.8)))</x:f>
      </x:c>
      <x:c r="DL15" t="n">
        <x:f>IF(DL14=0,0,IF(((12*(YEAR(DL$3)-YEAR($B$9))+MONTH(DL$3)-MONTH($B$9))+1)/MAX(1,'Вводные'!$K$28)&lt;=0.2,0.6,IF(((12*(YEAR(DL$3)-YEAR($B$9))+MONTH(DL$3)-MONTH($B$9))+1)/MAX(1,'Вводные'!$K$28)&lt;=0.8,1.2,0.8)))</x:f>
      </x:c>
      <x:c r="DM15" t="n">
        <x:f>IF(DM14=0,0,IF(((12*(YEAR(DM$3)-YEAR($B$9))+MONTH(DM$3)-MONTH($B$9))+1)/MAX(1,'Вводные'!$K$28)&lt;=0.2,0.6,IF(((12*(YEAR(DM$3)-YEAR($B$9))+MONTH(DM$3)-MONTH($B$9))+1)/MAX(1,'Вводные'!$K$28)&lt;=0.8,1.2,0.8)))</x:f>
      </x:c>
      <x:c r="DN15" t="n">
        <x:f>IF(DN14=0,0,IF(((12*(YEAR(DN$3)-YEAR($B$9))+MONTH(DN$3)-MONTH($B$9))+1)/MAX(1,'Вводные'!$K$28)&lt;=0.2,0.6,IF(((12*(YEAR(DN$3)-YEAR($B$9))+MONTH(DN$3)-MONTH($B$9))+1)/MAX(1,'Вводные'!$K$28)&lt;=0.8,1.2,0.8)))</x:f>
      </x:c>
      <x:c r="DO15" t="n">
        <x:f>IF(DO14=0,0,IF(((12*(YEAR(DO$3)-YEAR($B$9))+MONTH(DO$3)-MONTH($B$9))+1)/MAX(1,'Вводные'!$K$28)&lt;=0.2,0.6,IF(((12*(YEAR(DO$3)-YEAR($B$9))+MONTH(DO$3)-MONTH($B$9))+1)/MAX(1,'Вводные'!$K$28)&lt;=0.8,1.2,0.8)))</x:f>
      </x:c>
      <x:c r="DP15" t="n">
        <x:f>IF(DP14=0,0,IF(((12*(YEAR(DP$3)-YEAR($B$9))+MONTH(DP$3)-MONTH($B$9))+1)/MAX(1,'Вводные'!$K$28)&lt;=0.2,0.6,IF(((12*(YEAR(DP$3)-YEAR($B$9))+MONTH(DP$3)-MONTH($B$9))+1)/MAX(1,'Вводные'!$K$28)&lt;=0.8,1.2,0.8)))</x:f>
      </x:c>
      <x:c r="DQ15" t="n">
        <x:f>IF(DQ14=0,0,IF(((12*(YEAR(DQ$3)-YEAR($B$9))+MONTH(DQ$3)-MONTH($B$9))+1)/MAX(1,'Вводные'!$K$28)&lt;=0.2,0.6,IF(((12*(YEAR(DQ$3)-YEAR($B$9))+MONTH(DQ$3)-MONTH($B$9))+1)/MAX(1,'Вводные'!$K$28)&lt;=0.8,1.2,0.8)))</x:f>
      </x:c>
      <x:c r="DR15" t="n">
        <x:f>IF(DR14=0,0,IF(((12*(YEAR(DR$3)-YEAR($B$9))+MONTH(DR$3)-MONTH($B$9))+1)/MAX(1,'Вводные'!$K$28)&lt;=0.2,0.6,IF(((12*(YEAR(DR$3)-YEAR($B$9))+MONTH(DR$3)-MONTH($B$9))+1)/MAX(1,'Вводные'!$K$28)&lt;=0.8,1.2,0.8)))</x:f>
      </x:c>
      <x:c r="DS15" t="n">
        <x:f>IF(DS14=0,0,IF(((12*(YEAR(DS$3)-YEAR($B$9))+MONTH(DS$3)-MONTH($B$9))+1)/MAX(1,'Вводные'!$K$28)&lt;=0.2,0.6,IF(((12*(YEAR(DS$3)-YEAR($B$9))+MONTH(DS$3)-MONTH($B$9))+1)/MAX(1,'Вводные'!$K$28)&lt;=0.8,1.2,0.8)))</x:f>
      </x:c>
    </x:row>
    <x:row r="16">
      <x:c r="A16" t="str">
        <x:v>Нормированный вес строительства</x:v>
      </x:c>
      <x:c r="B16" s="35" t="n">
        <x:f>SUM(D16:DS16)</x:f>
      </x:c>
      <x:c r="C16" t="str">
        <x:v>%</x:v>
      </x:c>
      <x:c r="D16" s="35" t="n">
        <x:f>IFERROR(D15/SUM($D15:$DS15),0)</x:f>
      </x:c>
      <x:c r="E16" s="35" t="n">
        <x:f>IFERROR(E15/SUM($D15:$DS15),0)</x:f>
      </x:c>
      <x:c r="F16" s="35" t="n">
        <x:f>IFERROR(F15/SUM($D15:$DS15),0)</x:f>
      </x:c>
      <x:c r="G16" s="35" t="n">
        <x:f>IFERROR(G15/SUM($D15:$DS15),0)</x:f>
      </x:c>
      <x:c r="H16" s="35" t="n">
        <x:f>IFERROR(H15/SUM($D15:$DS15),0)</x:f>
      </x:c>
      <x:c r="I16" s="35" t="n">
        <x:f>IFERROR(I15/SUM($D15:$DS15),0)</x:f>
      </x:c>
      <x:c r="J16" s="35" t="n">
        <x:f>IFERROR(J15/SUM($D15:$DS15),0)</x:f>
      </x:c>
      <x:c r="K16" s="35" t="n">
        <x:f>IFERROR(K15/SUM($D15:$DS15),0)</x:f>
      </x:c>
      <x:c r="L16" s="35" t="n">
        <x:f>IFERROR(L15/SUM($D15:$DS15),0)</x:f>
      </x:c>
      <x:c r="M16" s="35" t="n">
        <x:f>IFERROR(M15/SUM($D15:$DS15),0)</x:f>
      </x:c>
      <x:c r="N16" s="35" t="n">
        <x:f>IFERROR(N15/SUM($D15:$DS15),0)</x:f>
      </x:c>
      <x:c r="O16" s="35" t="n">
        <x:f>IFERROR(O15/SUM($D15:$DS15),0)</x:f>
      </x:c>
      <x:c r="P16" s="35" t="n">
        <x:f>IFERROR(P15/SUM($D15:$DS15),0)</x:f>
      </x:c>
      <x:c r="Q16" s="35" t="n">
        <x:f>IFERROR(Q15/SUM($D15:$DS15),0)</x:f>
      </x:c>
      <x:c r="R16" s="35" t="n">
        <x:f>IFERROR(R15/SUM($D15:$DS15),0)</x:f>
      </x:c>
      <x:c r="S16" s="35" t="n">
        <x:f>IFERROR(S15/SUM($D15:$DS15),0)</x:f>
      </x:c>
      <x:c r="T16" s="35" t="n">
        <x:f>IFERROR(T15/SUM($D15:$DS15),0)</x:f>
      </x:c>
      <x:c r="U16" s="35" t="n">
        <x:f>IFERROR(U15/SUM($D15:$DS15),0)</x:f>
      </x:c>
      <x:c r="V16" s="35" t="n">
        <x:f>IFERROR(V15/SUM($D15:$DS15),0)</x:f>
      </x:c>
      <x:c r="W16" s="35" t="n">
        <x:f>IFERROR(W15/SUM($D15:$DS15),0)</x:f>
      </x:c>
      <x:c r="X16" s="35" t="n">
        <x:f>IFERROR(X15/SUM($D15:$DS15),0)</x:f>
      </x:c>
      <x:c r="Y16" s="35" t="n">
        <x:f>IFERROR(Y15/SUM($D15:$DS15),0)</x:f>
      </x:c>
      <x:c r="Z16" s="35" t="n">
        <x:f>IFERROR(Z15/SUM($D15:$DS15),0)</x:f>
      </x:c>
      <x:c r="AA16" s="35" t="n">
        <x:f>IFERROR(AA15/SUM($D15:$DS15),0)</x:f>
      </x:c>
      <x:c r="AB16" s="35" t="n">
        <x:f>IFERROR(AB15/SUM($D15:$DS15),0)</x:f>
      </x:c>
      <x:c r="AC16" s="35" t="n">
        <x:f>IFERROR(AC15/SUM($D15:$DS15),0)</x:f>
      </x:c>
      <x:c r="AD16" s="35" t="n">
        <x:f>IFERROR(AD15/SUM($D15:$DS15),0)</x:f>
      </x:c>
      <x:c r="AE16" s="35" t="n">
        <x:f>IFERROR(AE15/SUM($D15:$DS15),0)</x:f>
      </x:c>
      <x:c r="AF16" s="35" t="n">
        <x:f>IFERROR(AF15/SUM($D15:$DS15),0)</x:f>
      </x:c>
      <x:c r="AG16" s="35" t="n">
        <x:f>IFERROR(AG15/SUM($D15:$DS15),0)</x:f>
      </x:c>
      <x:c r="AH16" s="35" t="n">
        <x:f>IFERROR(AH15/SUM($D15:$DS15),0)</x:f>
      </x:c>
      <x:c r="AI16" s="35" t="n">
        <x:f>IFERROR(AI15/SUM($D15:$DS15),0)</x:f>
      </x:c>
      <x:c r="AJ16" s="35" t="n">
        <x:f>IFERROR(AJ15/SUM($D15:$DS15),0)</x:f>
      </x:c>
      <x:c r="AK16" s="35" t="n">
        <x:f>IFERROR(AK15/SUM($D15:$DS15),0)</x:f>
      </x:c>
      <x:c r="AL16" s="35" t="n">
        <x:f>IFERROR(AL15/SUM($D15:$DS15),0)</x:f>
      </x:c>
      <x:c r="AM16" s="35" t="n">
        <x:f>IFERROR(AM15/SUM($D15:$DS15),0)</x:f>
      </x:c>
      <x:c r="AN16" s="35" t="n">
        <x:f>IFERROR(AN15/SUM($D15:$DS15),0)</x:f>
      </x:c>
      <x:c r="AO16" s="35" t="n">
        <x:f>IFERROR(AO15/SUM($D15:$DS15),0)</x:f>
      </x:c>
      <x:c r="AP16" s="35" t="n">
        <x:f>IFERROR(AP15/SUM($D15:$DS15),0)</x:f>
      </x:c>
      <x:c r="AQ16" s="35" t="n">
        <x:f>IFERROR(AQ15/SUM($D15:$DS15),0)</x:f>
      </x:c>
      <x:c r="AR16" s="35" t="n">
        <x:f>IFERROR(AR15/SUM($D15:$DS15),0)</x:f>
      </x:c>
      <x:c r="AS16" s="35" t="n">
        <x:f>IFERROR(AS15/SUM($D15:$DS15),0)</x:f>
      </x:c>
      <x:c r="AT16" s="35" t="n">
        <x:f>IFERROR(AT15/SUM($D15:$DS15),0)</x:f>
      </x:c>
      <x:c r="AU16" s="35" t="n">
        <x:f>IFERROR(AU15/SUM($D15:$DS15),0)</x:f>
      </x:c>
      <x:c r="AV16" s="35" t="n">
        <x:f>IFERROR(AV15/SUM($D15:$DS15),0)</x:f>
      </x:c>
      <x:c r="AW16" s="35" t="n">
        <x:f>IFERROR(AW15/SUM($D15:$DS15),0)</x:f>
      </x:c>
      <x:c r="AX16" s="35" t="n">
        <x:f>IFERROR(AX15/SUM($D15:$DS15),0)</x:f>
      </x:c>
      <x:c r="AY16" s="35" t="n">
        <x:f>IFERROR(AY15/SUM($D15:$DS15),0)</x:f>
      </x:c>
      <x:c r="AZ16" s="35" t="n">
        <x:f>IFERROR(AZ15/SUM($D15:$DS15),0)</x:f>
      </x:c>
      <x:c r="BA16" s="35" t="n">
        <x:f>IFERROR(BA15/SUM($D15:$DS15),0)</x:f>
      </x:c>
      <x:c r="BB16" s="35" t="n">
        <x:f>IFERROR(BB15/SUM($D15:$DS15),0)</x:f>
      </x:c>
      <x:c r="BC16" s="35" t="n">
        <x:f>IFERROR(BC15/SUM($D15:$DS15),0)</x:f>
      </x:c>
      <x:c r="BD16" s="35" t="n">
        <x:f>IFERROR(BD15/SUM($D15:$DS15),0)</x:f>
      </x:c>
      <x:c r="BE16" s="35" t="n">
        <x:f>IFERROR(BE15/SUM($D15:$DS15),0)</x:f>
      </x:c>
      <x:c r="BF16" s="35" t="n">
        <x:f>IFERROR(BF15/SUM($D15:$DS15),0)</x:f>
      </x:c>
      <x:c r="BG16" s="35" t="n">
        <x:f>IFERROR(BG15/SUM($D15:$DS15),0)</x:f>
      </x:c>
      <x:c r="BH16" s="35" t="n">
        <x:f>IFERROR(BH15/SUM($D15:$DS15),0)</x:f>
      </x:c>
      <x:c r="BI16" s="35" t="n">
        <x:f>IFERROR(BI15/SUM($D15:$DS15),0)</x:f>
      </x:c>
      <x:c r="BJ16" s="35" t="n">
        <x:f>IFERROR(BJ15/SUM($D15:$DS15),0)</x:f>
      </x:c>
      <x:c r="BK16" s="35" t="n">
        <x:f>IFERROR(BK15/SUM($D15:$DS15),0)</x:f>
      </x:c>
      <x:c r="BL16" s="35" t="n">
        <x:f>IFERROR(BL15/SUM($D15:$DS15),0)</x:f>
      </x:c>
      <x:c r="BM16" s="35" t="n">
        <x:f>IFERROR(BM15/SUM($D15:$DS15),0)</x:f>
      </x:c>
      <x:c r="BN16" s="35" t="n">
        <x:f>IFERROR(BN15/SUM($D15:$DS15),0)</x:f>
      </x:c>
      <x:c r="BO16" s="35" t="n">
        <x:f>IFERROR(BO15/SUM($D15:$DS15),0)</x:f>
      </x:c>
      <x:c r="BP16" s="35" t="n">
        <x:f>IFERROR(BP15/SUM($D15:$DS15),0)</x:f>
      </x:c>
      <x:c r="BQ16" s="35" t="n">
        <x:f>IFERROR(BQ15/SUM($D15:$DS15),0)</x:f>
      </x:c>
      <x:c r="BR16" s="35" t="n">
        <x:f>IFERROR(BR15/SUM($D15:$DS15),0)</x:f>
      </x:c>
      <x:c r="BS16" s="35" t="n">
        <x:f>IFERROR(BS15/SUM($D15:$DS15),0)</x:f>
      </x:c>
      <x:c r="BT16" s="35" t="n">
        <x:f>IFERROR(BT15/SUM($D15:$DS15),0)</x:f>
      </x:c>
      <x:c r="BU16" s="35" t="n">
        <x:f>IFERROR(BU15/SUM($D15:$DS15),0)</x:f>
      </x:c>
      <x:c r="BV16" s="35" t="n">
        <x:f>IFERROR(BV15/SUM($D15:$DS15),0)</x:f>
      </x:c>
      <x:c r="BW16" s="35" t="n">
        <x:f>IFERROR(BW15/SUM($D15:$DS15),0)</x:f>
      </x:c>
      <x:c r="BX16" s="35" t="n">
        <x:f>IFERROR(BX15/SUM($D15:$DS15),0)</x:f>
      </x:c>
      <x:c r="BY16" s="35" t="n">
        <x:f>IFERROR(BY15/SUM($D15:$DS15),0)</x:f>
      </x:c>
      <x:c r="BZ16" s="35" t="n">
        <x:f>IFERROR(BZ15/SUM($D15:$DS15),0)</x:f>
      </x:c>
      <x:c r="CA16" s="35" t="n">
        <x:f>IFERROR(CA15/SUM($D15:$DS15),0)</x:f>
      </x:c>
      <x:c r="CB16" s="35" t="n">
        <x:f>IFERROR(CB15/SUM($D15:$DS15),0)</x:f>
      </x:c>
      <x:c r="CC16" s="35" t="n">
        <x:f>IFERROR(CC15/SUM($D15:$DS15),0)</x:f>
      </x:c>
      <x:c r="CD16" s="35" t="n">
        <x:f>IFERROR(CD15/SUM($D15:$DS15),0)</x:f>
      </x:c>
      <x:c r="CE16" s="35" t="n">
        <x:f>IFERROR(CE15/SUM($D15:$DS15),0)</x:f>
      </x:c>
      <x:c r="CF16" s="35" t="n">
        <x:f>IFERROR(CF15/SUM($D15:$DS15),0)</x:f>
      </x:c>
      <x:c r="CG16" s="35" t="n">
        <x:f>IFERROR(CG15/SUM($D15:$DS15),0)</x:f>
      </x:c>
      <x:c r="CH16" s="35" t="n">
        <x:f>IFERROR(CH15/SUM($D15:$DS15),0)</x:f>
      </x:c>
      <x:c r="CI16" s="35" t="n">
        <x:f>IFERROR(CI15/SUM($D15:$DS15),0)</x:f>
      </x:c>
      <x:c r="CJ16" s="35" t="n">
        <x:f>IFERROR(CJ15/SUM($D15:$DS15),0)</x:f>
      </x:c>
      <x:c r="CK16" s="35" t="n">
        <x:f>IFERROR(CK15/SUM($D15:$DS15),0)</x:f>
      </x:c>
      <x:c r="CL16" s="35" t="n">
        <x:f>IFERROR(CL15/SUM($D15:$DS15),0)</x:f>
      </x:c>
      <x:c r="CM16" s="35" t="n">
        <x:f>IFERROR(CM15/SUM($D15:$DS15),0)</x:f>
      </x:c>
      <x:c r="CN16" s="35" t="n">
        <x:f>IFERROR(CN15/SUM($D15:$DS15),0)</x:f>
      </x:c>
      <x:c r="CO16" s="35" t="n">
        <x:f>IFERROR(CO15/SUM($D15:$DS15),0)</x:f>
      </x:c>
      <x:c r="CP16" s="35" t="n">
        <x:f>IFERROR(CP15/SUM($D15:$DS15),0)</x:f>
      </x:c>
      <x:c r="CQ16" s="35" t="n">
        <x:f>IFERROR(CQ15/SUM($D15:$DS15),0)</x:f>
      </x:c>
      <x:c r="CR16" s="35" t="n">
        <x:f>IFERROR(CR15/SUM($D15:$DS15),0)</x:f>
      </x:c>
      <x:c r="CS16" s="35" t="n">
        <x:f>IFERROR(CS15/SUM($D15:$DS15),0)</x:f>
      </x:c>
      <x:c r="CT16" s="35" t="n">
        <x:f>IFERROR(CT15/SUM($D15:$DS15),0)</x:f>
      </x:c>
      <x:c r="CU16" s="35" t="n">
        <x:f>IFERROR(CU15/SUM($D15:$DS15),0)</x:f>
      </x:c>
      <x:c r="CV16" s="35" t="n">
        <x:f>IFERROR(CV15/SUM($D15:$DS15),0)</x:f>
      </x:c>
      <x:c r="CW16" s="35" t="n">
        <x:f>IFERROR(CW15/SUM($D15:$DS15),0)</x:f>
      </x:c>
      <x:c r="CX16" s="35" t="n">
        <x:f>IFERROR(CX15/SUM($D15:$DS15),0)</x:f>
      </x:c>
      <x:c r="CY16" s="35" t="n">
        <x:f>IFERROR(CY15/SUM($D15:$DS15),0)</x:f>
      </x:c>
      <x:c r="CZ16" s="35" t="n">
        <x:f>IFERROR(CZ15/SUM($D15:$DS15),0)</x:f>
      </x:c>
      <x:c r="DA16" s="35" t="n">
        <x:f>IFERROR(DA15/SUM($D15:$DS15),0)</x:f>
      </x:c>
      <x:c r="DB16" s="35" t="n">
        <x:f>IFERROR(DB15/SUM($D15:$DS15),0)</x:f>
      </x:c>
      <x:c r="DC16" s="35" t="n">
        <x:f>IFERROR(DC15/SUM($D15:$DS15),0)</x:f>
      </x:c>
      <x:c r="DD16" s="35" t="n">
        <x:f>IFERROR(DD15/SUM($D15:$DS15),0)</x:f>
      </x:c>
      <x:c r="DE16" s="35" t="n">
        <x:f>IFERROR(DE15/SUM($D15:$DS15),0)</x:f>
      </x:c>
      <x:c r="DF16" s="35" t="n">
        <x:f>IFERROR(DF15/SUM($D15:$DS15),0)</x:f>
      </x:c>
      <x:c r="DG16" s="35" t="n">
        <x:f>IFERROR(DG15/SUM($D15:$DS15),0)</x:f>
      </x:c>
      <x:c r="DH16" s="35" t="n">
        <x:f>IFERROR(DH15/SUM($D15:$DS15),0)</x:f>
      </x:c>
      <x:c r="DI16" s="35" t="n">
        <x:f>IFERROR(DI15/SUM($D15:$DS15),0)</x:f>
      </x:c>
      <x:c r="DJ16" s="35" t="n">
        <x:f>IFERROR(DJ15/SUM($D15:$DS15),0)</x:f>
      </x:c>
      <x:c r="DK16" s="35" t="n">
        <x:f>IFERROR(DK15/SUM($D15:$DS15),0)</x:f>
      </x:c>
      <x:c r="DL16" s="35" t="n">
        <x:f>IFERROR(DL15/SUM($D15:$DS15),0)</x:f>
      </x:c>
      <x:c r="DM16" s="35" t="n">
        <x:f>IFERROR(DM15/SUM($D15:$DS15),0)</x:f>
      </x:c>
      <x:c r="DN16" s="35" t="n">
        <x:f>IFERROR(DN15/SUM($D15:$DS15),0)</x:f>
      </x:c>
      <x:c r="DO16" s="35" t="n">
        <x:f>IFERROR(DO15/SUM($D15:$DS15),0)</x:f>
      </x:c>
      <x:c r="DP16" s="35" t="n">
        <x:f>IFERROR(DP15/SUM($D15:$DS15),0)</x:f>
      </x:c>
      <x:c r="DQ16" s="35" t="n">
        <x:f>IFERROR(DQ15/SUM($D15:$DS15),0)</x:f>
      </x:c>
      <x:c r="DR16" s="35" t="n">
        <x:f>IFERROR(DR15/SUM($D15:$DS15),0)</x:f>
      </x:c>
      <x:c r="DS16" s="35" t="n">
        <x:f>IFERROR(DS15/SUM($D15:$DS15),0)</x:f>
      </x:c>
    </x:row>
    <x:row r="17">
      <x:c r="A17" t="str">
        <x:v>Флаг продаж до РВЭ</x:v>
      </x:c>
      <x:c r="B17" s="35"/>
      <x:c r="C17" t="str">
        <x:v>0 / 1</x:v>
      </x:c>
      <x:c r="D17" s="35" t="n">
        <x:f>--AND(D$3&gt;=$B$11,D$3&lt;$B$10,D$3&lt;EDATE($B$11,MAX(1,'Вводные'!$K$33)),AND($B$7="Да",IFERROR(INDEX('Вводные'!$B$88:$B$91,$B$8),"Нет")="Да"))</x:f>
      </x:c>
      <x:c r="E17" s="35" t="n">
        <x:f>--AND(E$3&gt;=$B$11,E$3&lt;$B$10,E$3&lt;EDATE($B$11,MAX(1,'Вводные'!$K$33)),AND($B$7="Да",IFERROR(INDEX('Вводные'!$B$88:$B$91,$B$8),"Нет")="Да"))</x:f>
      </x:c>
      <x:c r="F17" s="35" t="n">
        <x:f>--AND(F$3&gt;=$B$11,F$3&lt;$B$10,F$3&lt;EDATE($B$11,MAX(1,'Вводные'!$K$33)),AND($B$7="Да",IFERROR(INDEX('Вводные'!$B$88:$B$91,$B$8),"Нет")="Да"))</x:f>
      </x:c>
      <x:c r="G17" s="35" t="n">
        <x:f>--AND(G$3&gt;=$B$11,G$3&lt;$B$10,G$3&lt;EDATE($B$11,MAX(1,'Вводные'!$K$33)),AND($B$7="Да",IFERROR(INDEX('Вводные'!$B$88:$B$91,$B$8),"Нет")="Да"))</x:f>
      </x:c>
      <x:c r="H17" s="35" t="n">
        <x:f>--AND(H$3&gt;=$B$11,H$3&lt;$B$10,H$3&lt;EDATE($B$11,MAX(1,'Вводные'!$K$33)),AND($B$7="Да",IFERROR(INDEX('Вводные'!$B$88:$B$91,$B$8),"Нет")="Да"))</x:f>
      </x:c>
      <x:c r="I17" s="35" t="n">
        <x:f>--AND(I$3&gt;=$B$11,I$3&lt;$B$10,I$3&lt;EDATE($B$11,MAX(1,'Вводные'!$K$33)),AND($B$7="Да",IFERROR(INDEX('Вводные'!$B$88:$B$91,$B$8),"Нет")="Да"))</x:f>
      </x:c>
      <x:c r="J17" s="35" t="n">
        <x:f>--AND(J$3&gt;=$B$11,J$3&lt;$B$10,J$3&lt;EDATE($B$11,MAX(1,'Вводные'!$K$33)),AND($B$7="Да",IFERROR(INDEX('Вводные'!$B$88:$B$91,$B$8),"Нет")="Да"))</x:f>
      </x:c>
      <x:c r="K17" s="35" t="n">
        <x:f>--AND(K$3&gt;=$B$11,K$3&lt;$B$10,K$3&lt;EDATE($B$11,MAX(1,'Вводные'!$K$33)),AND($B$7="Да",IFERROR(INDEX('Вводные'!$B$88:$B$91,$B$8),"Нет")="Да"))</x:f>
      </x:c>
      <x:c r="L17" s="35" t="n">
        <x:f>--AND(L$3&gt;=$B$11,L$3&lt;$B$10,L$3&lt;EDATE($B$11,MAX(1,'Вводные'!$K$33)),AND($B$7="Да",IFERROR(INDEX('Вводные'!$B$88:$B$91,$B$8),"Нет")="Да"))</x:f>
      </x:c>
      <x:c r="M17" s="35" t="n">
        <x:f>--AND(M$3&gt;=$B$11,M$3&lt;$B$10,M$3&lt;EDATE($B$11,MAX(1,'Вводные'!$K$33)),AND($B$7="Да",IFERROR(INDEX('Вводные'!$B$88:$B$91,$B$8),"Нет")="Да"))</x:f>
      </x:c>
      <x:c r="N17" s="35" t="n">
        <x:f>--AND(N$3&gt;=$B$11,N$3&lt;$B$10,N$3&lt;EDATE($B$11,MAX(1,'Вводные'!$K$33)),AND($B$7="Да",IFERROR(INDEX('Вводные'!$B$88:$B$91,$B$8),"Нет")="Да"))</x:f>
      </x:c>
      <x:c r="O17" s="35" t="n">
        <x:f>--AND(O$3&gt;=$B$11,O$3&lt;$B$10,O$3&lt;EDATE($B$11,MAX(1,'Вводные'!$K$33)),AND($B$7="Да",IFERROR(INDEX('Вводные'!$B$88:$B$91,$B$8),"Нет")="Да"))</x:f>
      </x:c>
      <x:c r="P17" s="35" t="n">
        <x:f>--AND(P$3&gt;=$B$11,P$3&lt;$B$10,P$3&lt;EDATE($B$11,MAX(1,'Вводные'!$K$33)),AND($B$7="Да",IFERROR(INDEX('Вводные'!$B$88:$B$91,$B$8),"Нет")="Да"))</x:f>
      </x:c>
      <x:c r="Q17" s="35" t="n">
        <x:f>--AND(Q$3&gt;=$B$11,Q$3&lt;$B$10,Q$3&lt;EDATE($B$11,MAX(1,'Вводные'!$K$33)),AND($B$7="Да",IFERROR(INDEX('Вводные'!$B$88:$B$91,$B$8),"Нет")="Да"))</x:f>
      </x:c>
      <x:c r="R17" s="35" t="n">
        <x:f>--AND(R$3&gt;=$B$11,R$3&lt;$B$10,R$3&lt;EDATE($B$11,MAX(1,'Вводные'!$K$33)),AND($B$7="Да",IFERROR(INDEX('Вводные'!$B$88:$B$91,$B$8),"Нет")="Да"))</x:f>
      </x:c>
      <x:c r="S17" s="35" t="n">
        <x:f>--AND(S$3&gt;=$B$11,S$3&lt;$B$10,S$3&lt;EDATE($B$11,MAX(1,'Вводные'!$K$33)),AND($B$7="Да",IFERROR(INDEX('Вводные'!$B$88:$B$91,$B$8),"Нет")="Да"))</x:f>
      </x:c>
      <x:c r="T17" s="35" t="n">
        <x:f>--AND(T$3&gt;=$B$11,T$3&lt;$B$10,T$3&lt;EDATE($B$11,MAX(1,'Вводные'!$K$33)),AND($B$7="Да",IFERROR(INDEX('Вводные'!$B$88:$B$91,$B$8),"Нет")="Да"))</x:f>
      </x:c>
      <x:c r="U17" s="35" t="n">
        <x:f>--AND(U$3&gt;=$B$11,U$3&lt;$B$10,U$3&lt;EDATE($B$11,MAX(1,'Вводные'!$K$33)),AND($B$7="Да",IFERROR(INDEX('Вводные'!$B$88:$B$91,$B$8),"Нет")="Да"))</x:f>
      </x:c>
      <x:c r="V17" s="35" t="n">
        <x:f>--AND(V$3&gt;=$B$11,V$3&lt;$B$10,V$3&lt;EDATE($B$11,MAX(1,'Вводные'!$K$33)),AND($B$7="Да",IFERROR(INDEX('Вводные'!$B$88:$B$91,$B$8),"Нет")="Да"))</x:f>
      </x:c>
      <x:c r="W17" s="35" t="n">
        <x:f>--AND(W$3&gt;=$B$11,W$3&lt;$B$10,W$3&lt;EDATE($B$11,MAX(1,'Вводные'!$K$33)),AND($B$7="Да",IFERROR(INDEX('Вводные'!$B$88:$B$91,$B$8),"Нет")="Да"))</x:f>
      </x:c>
      <x:c r="X17" s="35" t="n">
        <x:f>--AND(X$3&gt;=$B$11,X$3&lt;$B$10,X$3&lt;EDATE($B$11,MAX(1,'Вводные'!$K$33)),AND($B$7="Да",IFERROR(INDEX('Вводные'!$B$88:$B$91,$B$8),"Нет")="Да"))</x:f>
      </x:c>
      <x:c r="Y17" s="35" t="n">
        <x:f>--AND(Y$3&gt;=$B$11,Y$3&lt;$B$10,Y$3&lt;EDATE($B$11,MAX(1,'Вводные'!$K$33)),AND($B$7="Да",IFERROR(INDEX('Вводные'!$B$88:$B$91,$B$8),"Нет")="Да"))</x:f>
      </x:c>
      <x:c r="Z17" s="35" t="n">
        <x:f>--AND(Z$3&gt;=$B$11,Z$3&lt;$B$10,Z$3&lt;EDATE($B$11,MAX(1,'Вводные'!$K$33)),AND($B$7="Да",IFERROR(INDEX('Вводные'!$B$88:$B$91,$B$8),"Нет")="Да"))</x:f>
      </x:c>
      <x:c r="AA17" s="35" t="n">
        <x:f>--AND(AA$3&gt;=$B$11,AA$3&lt;$B$10,AA$3&lt;EDATE($B$11,MAX(1,'Вводные'!$K$33)),AND($B$7="Да",IFERROR(INDEX('Вводные'!$B$88:$B$91,$B$8),"Нет")="Да"))</x:f>
      </x:c>
      <x:c r="AB17" s="35" t="n">
        <x:f>--AND(AB$3&gt;=$B$11,AB$3&lt;$B$10,AB$3&lt;EDATE($B$11,MAX(1,'Вводные'!$K$33)),AND($B$7="Да",IFERROR(INDEX('Вводные'!$B$88:$B$91,$B$8),"Нет")="Да"))</x:f>
      </x:c>
      <x:c r="AC17" s="35" t="n">
        <x:f>--AND(AC$3&gt;=$B$11,AC$3&lt;$B$10,AC$3&lt;EDATE($B$11,MAX(1,'Вводные'!$K$33)),AND($B$7="Да",IFERROR(INDEX('Вводные'!$B$88:$B$91,$B$8),"Нет")="Да"))</x:f>
      </x:c>
      <x:c r="AD17" s="35" t="n">
        <x:f>--AND(AD$3&gt;=$B$11,AD$3&lt;$B$10,AD$3&lt;EDATE($B$11,MAX(1,'Вводные'!$K$33)),AND($B$7="Да",IFERROR(INDEX('Вводные'!$B$88:$B$91,$B$8),"Нет")="Да"))</x:f>
      </x:c>
      <x:c r="AE17" s="35" t="n">
        <x:f>--AND(AE$3&gt;=$B$11,AE$3&lt;$B$10,AE$3&lt;EDATE($B$11,MAX(1,'Вводные'!$K$33)),AND($B$7="Да",IFERROR(INDEX('Вводные'!$B$88:$B$91,$B$8),"Нет")="Да"))</x:f>
      </x:c>
      <x:c r="AF17" s="35" t="n">
        <x:f>--AND(AF$3&gt;=$B$11,AF$3&lt;$B$10,AF$3&lt;EDATE($B$11,MAX(1,'Вводные'!$K$33)),AND($B$7="Да",IFERROR(INDEX('Вводные'!$B$88:$B$91,$B$8),"Нет")="Да"))</x:f>
      </x:c>
      <x:c r="AG17" s="35" t="n">
        <x:f>--AND(AG$3&gt;=$B$11,AG$3&lt;$B$10,AG$3&lt;EDATE($B$11,MAX(1,'Вводные'!$K$33)),AND($B$7="Да",IFERROR(INDEX('Вводные'!$B$88:$B$91,$B$8),"Нет")="Да"))</x:f>
      </x:c>
      <x:c r="AH17" s="35" t="n">
        <x:f>--AND(AH$3&gt;=$B$11,AH$3&lt;$B$10,AH$3&lt;EDATE($B$11,MAX(1,'Вводные'!$K$33)),AND($B$7="Да",IFERROR(INDEX('Вводные'!$B$88:$B$91,$B$8),"Нет")="Да"))</x:f>
      </x:c>
      <x:c r="AI17" s="35" t="n">
        <x:f>--AND(AI$3&gt;=$B$11,AI$3&lt;$B$10,AI$3&lt;EDATE($B$11,MAX(1,'Вводные'!$K$33)),AND($B$7="Да",IFERROR(INDEX('Вводные'!$B$88:$B$91,$B$8),"Нет")="Да"))</x:f>
      </x:c>
      <x:c r="AJ17" s="35" t="n">
        <x:f>--AND(AJ$3&gt;=$B$11,AJ$3&lt;$B$10,AJ$3&lt;EDATE($B$11,MAX(1,'Вводные'!$K$33)),AND($B$7="Да",IFERROR(INDEX('Вводные'!$B$88:$B$91,$B$8),"Нет")="Да"))</x:f>
      </x:c>
      <x:c r="AK17" s="35" t="n">
        <x:f>--AND(AK$3&gt;=$B$11,AK$3&lt;$B$10,AK$3&lt;EDATE($B$11,MAX(1,'Вводные'!$K$33)),AND($B$7="Да",IFERROR(INDEX('Вводные'!$B$88:$B$91,$B$8),"Нет")="Да"))</x:f>
      </x:c>
      <x:c r="AL17" s="35" t="n">
        <x:f>--AND(AL$3&gt;=$B$11,AL$3&lt;$B$10,AL$3&lt;EDATE($B$11,MAX(1,'Вводные'!$K$33)),AND($B$7="Да",IFERROR(INDEX('Вводные'!$B$88:$B$91,$B$8),"Нет")="Да"))</x:f>
      </x:c>
      <x:c r="AM17" s="35" t="n">
        <x:f>--AND(AM$3&gt;=$B$11,AM$3&lt;$B$10,AM$3&lt;EDATE($B$11,MAX(1,'Вводные'!$K$33)),AND($B$7="Да",IFERROR(INDEX('Вводные'!$B$88:$B$91,$B$8),"Нет")="Да"))</x:f>
      </x:c>
      <x:c r="AN17" s="35" t="n">
        <x:f>--AND(AN$3&gt;=$B$11,AN$3&lt;$B$10,AN$3&lt;EDATE($B$11,MAX(1,'Вводные'!$K$33)),AND($B$7="Да",IFERROR(INDEX('Вводные'!$B$88:$B$91,$B$8),"Нет")="Да"))</x:f>
      </x:c>
      <x:c r="AO17" s="35" t="n">
        <x:f>--AND(AO$3&gt;=$B$11,AO$3&lt;$B$10,AO$3&lt;EDATE($B$11,MAX(1,'Вводные'!$K$33)),AND($B$7="Да",IFERROR(INDEX('Вводные'!$B$88:$B$91,$B$8),"Нет")="Да"))</x:f>
      </x:c>
      <x:c r="AP17" s="35" t="n">
        <x:f>--AND(AP$3&gt;=$B$11,AP$3&lt;$B$10,AP$3&lt;EDATE($B$11,MAX(1,'Вводные'!$K$33)),AND($B$7="Да",IFERROR(INDEX('Вводные'!$B$88:$B$91,$B$8),"Нет")="Да"))</x:f>
      </x:c>
      <x:c r="AQ17" s="35" t="n">
        <x:f>--AND(AQ$3&gt;=$B$11,AQ$3&lt;$B$10,AQ$3&lt;EDATE($B$11,MAX(1,'Вводные'!$K$33)),AND($B$7="Да",IFERROR(INDEX('Вводные'!$B$88:$B$91,$B$8),"Нет")="Да"))</x:f>
      </x:c>
      <x:c r="AR17" s="35" t="n">
        <x:f>--AND(AR$3&gt;=$B$11,AR$3&lt;$B$10,AR$3&lt;EDATE($B$11,MAX(1,'Вводные'!$K$33)),AND($B$7="Да",IFERROR(INDEX('Вводные'!$B$88:$B$91,$B$8),"Нет")="Да"))</x:f>
      </x:c>
      <x:c r="AS17" s="35" t="n">
        <x:f>--AND(AS$3&gt;=$B$11,AS$3&lt;$B$10,AS$3&lt;EDATE($B$11,MAX(1,'Вводные'!$K$33)),AND($B$7="Да",IFERROR(INDEX('Вводные'!$B$88:$B$91,$B$8),"Нет")="Да"))</x:f>
      </x:c>
      <x:c r="AT17" s="35" t="n">
        <x:f>--AND(AT$3&gt;=$B$11,AT$3&lt;$B$10,AT$3&lt;EDATE($B$11,MAX(1,'Вводные'!$K$33)),AND($B$7="Да",IFERROR(INDEX('Вводные'!$B$88:$B$91,$B$8),"Нет")="Да"))</x:f>
      </x:c>
      <x:c r="AU17" s="35" t="n">
        <x:f>--AND(AU$3&gt;=$B$11,AU$3&lt;$B$10,AU$3&lt;EDATE($B$11,MAX(1,'Вводные'!$K$33)),AND($B$7="Да",IFERROR(INDEX('Вводные'!$B$88:$B$91,$B$8),"Нет")="Да"))</x:f>
      </x:c>
      <x:c r="AV17" s="35" t="n">
        <x:f>--AND(AV$3&gt;=$B$11,AV$3&lt;$B$10,AV$3&lt;EDATE($B$11,MAX(1,'Вводные'!$K$33)),AND($B$7="Да",IFERROR(INDEX('Вводные'!$B$88:$B$91,$B$8),"Нет")="Да"))</x:f>
      </x:c>
      <x:c r="AW17" s="35" t="n">
        <x:f>--AND(AW$3&gt;=$B$11,AW$3&lt;$B$10,AW$3&lt;EDATE($B$11,MAX(1,'Вводные'!$K$33)),AND($B$7="Да",IFERROR(INDEX('Вводные'!$B$88:$B$91,$B$8),"Нет")="Да"))</x:f>
      </x:c>
      <x:c r="AX17" s="35" t="n">
        <x:f>--AND(AX$3&gt;=$B$11,AX$3&lt;$B$10,AX$3&lt;EDATE($B$11,MAX(1,'Вводные'!$K$33)),AND($B$7="Да",IFERROR(INDEX('Вводные'!$B$88:$B$91,$B$8),"Нет")="Да"))</x:f>
      </x:c>
      <x:c r="AY17" s="35" t="n">
        <x:f>--AND(AY$3&gt;=$B$11,AY$3&lt;$B$10,AY$3&lt;EDATE($B$11,MAX(1,'Вводные'!$K$33)),AND($B$7="Да",IFERROR(INDEX('Вводные'!$B$88:$B$91,$B$8),"Нет")="Да"))</x:f>
      </x:c>
      <x:c r="AZ17" s="35" t="n">
        <x:f>--AND(AZ$3&gt;=$B$11,AZ$3&lt;$B$10,AZ$3&lt;EDATE($B$11,MAX(1,'Вводные'!$K$33)),AND($B$7="Да",IFERROR(INDEX('Вводные'!$B$88:$B$91,$B$8),"Нет")="Да"))</x:f>
      </x:c>
      <x:c r="BA17" s="35" t="n">
        <x:f>--AND(BA$3&gt;=$B$11,BA$3&lt;$B$10,BA$3&lt;EDATE($B$11,MAX(1,'Вводные'!$K$33)),AND($B$7="Да",IFERROR(INDEX('Вводные'!$B$88:$B$91,$B$8),"Нет")="Да"))</x:f>
      </x:c>
      <x:c r="BB17" s="35" t="n">
        <x:f>--AND(BB$3&gt;=$B$11,BB$3&lt;$B$10,BB$3&lt;EDATE($B$11,MAX(1,'Вводные'!$K$33)),AND($B$7="Да",IFERROR(INDEX('Вводные'!$B$88:$B$91,$B$8),"Нет")="Да"))</x:f>
      </x:c>
      <x:c r="BC17" s="35" t="n">
        <x:f>--AND(BC$3&gt;=$B$11,BC$3&lt;$B$10,BC$3&lt;EDATE($B$11,MAX(1,'Вводные'!$K$33)),AND($B$7="Да",IFERROR(INDEX('Вводные'!$B$88:$B$91,$B$8),"Нет")="Да"))</x:f>
      </x:c>
      <x:c r="BD17" s="35" t="n">
        <x:f>--AND(BD$3&gt;=$B$11,BD$3&lt;$B$10,BD$3&lt;EDATE($B$11,MAX(1,'Вводные'!$K$33)),AND($B$7="Да",IFERROR(INDEX('Вводные'!$B$88:$B$91,$B$8),"Нет")="Да"))</x:f>
      </x:c>
      <x:c r="BE17" s="35" t="n">
        <x:f>--AND(BE$3&gt;=$B$11,BE$3&lt;$B$10,BE$3&lt;EDATE($B$11,MAX(1,'Вводные'!$K$33)),AND($B$7="Да",IFERROR(INDEX('Вводные'!$B$88:$B$91,$B$8),"Нет")="Да"))</x:f>
      </x:c>
      <x:c r="BF17" s="35" t="n">
        <x:f>--AND(BF$3&gt;=$B$11,BF$3&lt;$B$10,BF$3&lt;EDATE($B$11,MAX(1,'Вводные'!$K$33)),AND($B$7="Да",IFERROR(INDEX('Вводные'!$B$88:$B$91,$B$8),"Нет")="Да"))</x:f>
      </x:c>
      <x:c r="BG17" s="35" t="n">
        <x:f>--AND(BG$3&gt;=$B$11,BG$3&lt;$B$10,BG$3&lt;EDATE($B$11,MAX(1,'Вводные'!$K$33)),AND($B$7="Да",IFERROR(INDEX('Вводные'!$B$88:$B$91,$B$8),"Нет")="Да"))</x:f>
      </x:c>
      <x:c r="BH17" s="35" t="n">
        <x:f>--AND(BH$3&gt;=$B$11,BH$3&lt;$B$10,BH$3&lt;EDATE($B$11,MAX(1,'Вводные'!$K$33)),AND($B$7="Да",IFERROR(INDEX('Вводные'!$B$88:$B$91,$B$8),"Нет")="Да"))</x:f>
      </x:c>
      <x:c r="BI17" s="35" t="n">
        <x:f>--AND(BI$3&gt;=$B$11,BI$3&lt;$B$10,BI$3&lt;EDATE($B$11,MAX(1,'Вводные'!$K$33)),AND($B$7="Да",IFERROR(INDEX('Вводные'!$B$88:$B$91,$B$8),"Нет")="Да"))</x:f>
      </x:c>
      <x:c r="BJ17" s="35" t="n">
        <x:f>--AND(BJ$3&gt;=$B$11,BJ$3&lt;$B$10,BJ$3&lt;EDATE($B$11,MAX(1,'Вводные'!$K$33)),AND($B$7="Да",IFERROR(INDEX('Вводные'!$B$88:$B$91,$B$8),"Нет")="Да"))</x:f>
      </x:c>
      <x:c r="BK17" s="35" t="n">
        <x:f>--AND(BK$3&gt;=$B$11,BK$3&lt;$B$10,BK$3&lt;EDATE($B$11,MAX(1,'Вводные'!$K$33)),AND($B$7="Да",IFERROR(INDEX('Вводные'!$B$88:$B$91,$B$8),"Нет")="Да"))</x:f>
      </x:c>
      <x:c r="BL17" s="35" t="n">
        <x:f>--AND(BL$3&gt;=$B$11,BL$3&lt;$B$10,BL$3&lt;EDATE($B$11,MAX(1,'Вводные'!$K$33)),AND($B$7="Да",IFERROR(INDEX('Вводные'!$B$88:$B$91,$B$8),"Нет")="Да"))</x:f>
      </x:c>
      <x:c r="BM17" s="35" t="n">
        <x:f>--AND(BM$3&gt;=$B$11,BM$3&lt;$B$10,BM$3&lt;EDATE($B$11,MAX(1,'Вводные'!$K$33)),AND($B$7="Да",IFERROR(INDEX('Вводные'!$B$88:$B$91,$B$8),"Нет")="Да"))</x:f>
      </x:c>
      <x:c r="BN17" s="35" t="n">
        <x:f>--AND(BN$3&gt;=$B$11,BN$3&lt;$B$10,BN$3&lt;EDATE($B$11,MAX(1,'Вводные'!$K$33)),AND($B$7="Да",IFERROR(INDEX('Вводные'!$B$88:$B$91,$B$8),"Нет")="Да"))</x:f>
      </x:c>
      <x:c r="BO17" s="35" t="n">
        <x:f>--AND(BO$3&gt;=$B$11,BO$3&lt;$B$10,BO$3&lt;EDATE($B$11,MAX(1,'Вводные'!$K$33)),AND($B$7="Да",IFERROR(INDEX('Вводные'!$B$88:$B$91,$B$8),"Нет")="Да"))</x:f>
      </x:c>
      <x:c r="BP17" s="35" t="n">
        <x:f>--AND(BP$3&gt;=$B$11,BP$3&lt;$B$10,BP$3&lt;EDATE($B$11,MAX(1,'Вводные'!$K$33)),AND($B$7="Да",IFERROR(INDEX('Вводные'!$B$88:$B$91,$B$8),"Нет")="Да"))</x:f>
      </x:c>
      <x:c r="BQ17" s="35" t="n">
        <x:f>--AND(BQ$3&gt;=$B$11,BQ$3&lt;$B$10,BQ$3&lt;EDATE($B$11,MAX(1,'Вводные'!$K$33)),AND($B$7="Да",IFERROR(INDEX('Вводные'!$B$88:$B$91,$B$8),"Нет")="Да"))</x:f>
      </x:c>
      <x:c r="BR17" s="35" t="n">
        <x:f>--AND(BR$3&gt;=$B$11,BR$3&lt;$B$10,BR$3&lt;EDATE($B$11,MAX(1,'Вводные'!$K$33)),AND($B$7="Да",IFERROR(INDEX('Вводные'!$B$88:$B$91,$B$8),"Нет")="Да"))</x:f>
      </x:c>
      <x:c r="BS17" s="35" t="n">
        <x:f>--AND(BS$3&gt;=$B$11,BS$3&lt;$B$10,BS$3&lt;EDATE($B$11,MAX(1,'Вводные'!$K$33)),AND($B$7="Да",IFERROR(INDEX('Вводные'!$B$88:$B$91,$B$8),"Нет")="Да"))</x:f>
      </x:c>
      <x:c r="BT17" s="35" t="n">
        <x:f>--AND(BT$3&gt;=$B$11,BT$3&lt;$B$10,BT$3&lt;EDATE($B$11,MAX(1,'Вводные'!$K$33)),AND($B$7="Да",IFERROR(INDEX('Вводные'!$B$88:$B$91,$B$8),"Нет")="Да"))</x:f>
      </x:c>
      <x:c r="BU17" s="35" t="n">
        <x:f>--AND(BU$3&gt;=$B$11,BU$3&lt;$B$10,BU$3&lt;EDATE($B$11,MAX(1,'Вводные'!$K$33)),AND($B$7="Да",IFERROR(INDEX('Вводные'!$B$88:$B$91,$B$8),"Нет")="Да"))</x:f>
      </x:c>
      <x:c r="BV17" s="35" t="n">
        <x:f>--AND(BV$3&gt;=$B$11,BV$3&lt;$B$10,BV$3&lt;EDATE($B$11,MAX(1,'Вводные'!$K$33)),AND($B$7="Да",IFERROR(INDEX('Вводные'!$B$88:$B$91,$B$8),"Нет")="Да"))</x:f>
      </x:c>
      <x:c r="BW17" s="35" t="n">
        <x:f>--AND(BW$3&gt;=$B$11,BW$3&lt;$B$10,BW$3&lt;EDATE($B$11,MAX(1,'Вводные'!$K$33)),AND($B$7="Да",IFERROR(INDEX('Вводные'!$B$88:$B$91,$B$8),"Нет")="Да"))</x:f>
      </x:c>
      <x:c r="BX17" s="35" t="n">
        <x:f>--AND(BX$3&gt;=$B$11,BX$3&lt;$B$10,BX$3&lt;EDATE($B$11,MAX(1,'Вводные'!$K$33)),AND($B$7="Да",IFERROR(INDEX('Вводные'!$B$88:$B$91,$B$8),"Нет")="Да"))</x:f>
      </x:c>
      <x:c r="BY17" s="35" t="n">
        <x:f>--AND(BY$3&gt;=$B$11,BY$3&lt;$B$10,BY$3&lt;EDATE($B$11,MAX(1,'Вводные'!$K$33)),AND($B$7="Да",IFERROR(INDEX('Вводные'!$B$88:$B$91,$B$8),"Нет")="Да"))</x:f>
      </x:c>
      <x:c r="BZ17" s="35" t="n">
        <x:f>--AND(BZ$3&gt;=$B$11,BZ$3&lt;$B$10,BZ$3&lt;EDATE($B$11,MAX(1,'Вводные'!$K$33)),AND($B$7="Да",IFERROR(INDEX('Вводные'!$B$88:$B$91,$B$8),"Нет")="Да"))</x:f>
      </x:c>
      <x:c r="CA17" s="35" t="n">
        <x:f>--AND(CA$3&gt;=$B$11,CA$3&lt;$B$10,CA$3&lt;EDATE($B$11,MAX(1,'Вводные'!$K$33)),AND($B$7="Да",IFERROR(INDEX('Вводные'!$B$88:$B$91,$B$8),"Нет")="Да"))</x:f>
      </x:c>
      <x:c r="CB17" s="35" t="n">
        <x:f>--AND(CB$3&gt;=$B$11,CB$3&lt;$B$10,CB$3&lt;EDATE($B$11,MAX(1,'Вводные'!$K$33)),AND($B$7="Да",IFERROR(INDEX('Вводные'!$B$88:$B$91,$B$8),"Нет")="Да"))</x:f>
      </x:c>
      <x:c r="CC17" s="35" t="n">
        <x:f>--AND(CC$3&gt;=$B$11,CC$3&lt;$B$10,CC$3&lt;EDATE($B$11,MAX(1,'Вводные'!$K$33)),AND($B$7="Да",IFERROR(INDEX('Вводные'!$B$88:$B$91,$B$8),"Нет")="Да"))</x:f>
      </x:c>
      <x:c r="CD17" s="35" t="n">
        <x:f>--AND(CD$3&gt;=$B$11,CD$3&lt;$B$10,CD$3&lt;EDATE($B$11,MAX(1,'Вводные'!$K$33)),AND($B$7="Да",IFERROR(INDEX('Вводные'!$B$88:$B$91,$B$8),"Нет")="Да"))</x:f>
      </x:c>
      <x:c r="CE17" s="35" t="n">
        <x:f>--AND(CE$3&gt;=$B$11,CE$3&lt;$B$10,CE$3&lt;EDATE($B$11,MAX(1,'Вводные'!$K$33)),AND($B$7="Да",IFERROR(INDEX('Вводные'!$B$88:$B$91,$B$8),"Нет")="Да"))</x:f>
      </x:c>
      <x:c r="CF17" s="35" t="n">
        <x:f>--AND(CF$3&gt;=$B$11,CF$3&lt;$B$10,CF$3&lt;EDATE($B$11,MAX(1,'Вводные'!$K$33)),AND($B$7="Да",IFERROR(INDEX('Вводные'!$B$88:$B$91,$B$8),"Нет")="Да"))</x:f>
      </x:c>
      <x:c r="CG17" s="35" t="n">
        <x:f>--AND(CG$3&gt;=$B$11,CG$3&lt;$B$10,CG$3&lt;EDATE($B$11,MAX(1,'Вводные'!$K$33)),AND($B$7="Да",IFERROR(INDEX('Вводные'!$B$88:$B$91,$B$8),"Нет")="Да"))</x:f>
      </x:c>
      <x:c r="CH17" s="35" t="n">
        <x:f>--AND(CH$3&gt;=$B$11,CH$3&lt;$B$10,CH$3&lt;EDATE($B$11,MAX(1,'Вводные'!$K$33)),AND($B$7="Да",IFERROR(INDEX('Вводные'!$B$88:$B$91,$B$8),"Нет")="Да"))</x:f>
      </x:c>
      <x:c r="CI17" s="35" t="n">
        <x:f>--AND(CI$3&gt;=$B$11,CI$3&lt;$B$10,CI$3&lt;EDATE($B$11,MAX(1,'Вводные'!$K$33)),AND($B$7="Да",IFERROR(INDEX('Вводные'!$B$88:$B$91,$B$8),"Нет")="Да"))</x:f>
      </x:c>
      <x:c r="CJ17" s="35" t="n">
        <x:f>--AND(CJ$3&gt;=$B$11,CJ$3&lt;$B$10,CJ$3&lt;EDATE($B$11,MAX(1,'Вводные'!$K$33)),AND($B$7="Да",IFERROR(INDEX('Вводные'!$B$88:$B$91,$B$8),"Нет")="Да"))</x:f>
      </x:c>
      <x:c r="CK17" s="35" t="n">
        <x:f>--AND(CK$3&gt;=$B$11,CK$3&lt;$B$10,CK$3&lt;EDATE($B$11,MAX(1,'Вводные'!$K$33)),AND($B$7="Да",IFERROR(INDEX('Вводные'!$B$88:$B$91,$B$8),"Нет")="Да"))</x:f>
      </x:c>
      <x:c r="CL17" s="35" t="n">
        <x:f>--AND(CL$3&gt;=$B$11,CL$3&lt;$B$10,CL$3&lt;EDATE($B$11,MAX(1,'Вводные'!$K$33)),AND($B$7="Да",IFERROR(INDEX('Вводные'!$B$88:$B$91,$B$8),"Нет")="Да"))</x:f>
      </x:c>
      <x:c r="CM17" s="35" t="n">
        <x:f>--AND(CM$3&gt;=$B$11,CM$3&lt;$B$10,CM$3&lt;EDATE($B$11,MAX(1,'Вводные'!$K$33)),AND($B$7="Да",IFERROR(INDEX('Вводные'!$B$88:$B$91,$B$8),"Нет")="Да"))</x:f>
      </x:c>
      <x:c r="CN17" s="35" t="n">
        <x:f>--AND(CN$3&gt;=$B$11,CN$3&lt;$B$10,CN$3&lt;EDATE($B$11,MAX(1,'Вводные'!$K$33)),AND($B$7="Да",IFERROR(INDEX('Вводные'!$B$88:$B$91,$B$8),"Нет")="Да"))</x:f>
      </x:c>
      <x:c r="CO17" s="35" t="n">
        <x:f>--AND(CO$3&gt;=$B$11,CO$3&lt;$B$10,CO$3&lt;EDATE($B$11,MAX(1,'Вводные'!$K$33)),AND($B$7="Да",IFERROR(INDEX('Вводные'!$B$88:$B$91,$B$8),"Нет")="Да"))</x:f>
      </x:c>
      <x:c r="CP17" s="35" t="n">
        <x:f>--AND(CP$3&gt;=$B$11,CP$3&lt;$B$10,CP$3&lt;EDATE($B$11,MAX(1,'Вводные'!$K$33)),AND($B$7="Да",IFERROR(INDEX('Вводные'!$B$88:$B$91,$B$8),"Нет")="Да"))</x:f>
      </x:c>
      <x:c r="CQ17" s="35" t="n">
        <x:f>--AND(CQ$3&gt;=$B$11,CQ$3&lt;$B$10,CQ$3&lt;EDATE($B$11,MAX(1,'Вводные'!$K$33)),AND($B$7="Да",IFERROR(INDEX('Вводные'!$B$88:$B$91,$B$8),"Нет")="Да"))</x:f>
      </x:c>
      <x:c r="CR17" s="35" t="n">
        <x:f>--AND(CR$3&gt;=$B$11,CR$3&lt;$B$10,CR$3&lt;EDATE($B$11,MAX(1,'Вводные'!$K$33)),AND($B$7="Да",IFERROR(INDEX('Вводные'!$B$88:$B$91,$B$8),"Нет")="Да"))</x:f>
      </x:c>
      <x:c r="CS17" s="35" t="n">
        <x:f>--AND(CS$3&gt;=$B$11,CS$3&lt;$B$10,CS$3&lt;EDATE($B$11,MAX(1,'Вводные'!$K$33)),AND($B$7="Да",IFERROR(INDEX('Вводные'!$B$88:$B$91,$B$8),"Нет")="Да"))</x:f>
      </x:c>
      <x:c r="CT17" s="35" t="n">
        <x:f>--AND(CT$3&gt;=$B$11,CT$3&lt;$B$10,CT$3&lt;EDATE($B$11,MAX(1,'Вводные'!$K$33)),AND($B$7="Да",IFERROR(INDEX('Вводные'!$B$88:$B$91,$B$8),"Нет")="Да"))</x:f>
      </x:c>
      <x:c r="CU17" s="35" t="n">
        <x:f>--AND(CU$3&gt;=$B$11,CU$3&lt;$B$10,CU$3&lt;EDATE($B$11,MAX(1,'Вводные'!$K$33)),AND($B$7="Да",IFERROR(INDEX('Вводные'!$B$88:$B$91,$B$8),"Нет")="Да"))</x:f>
      </x:c>
      <x:c r="CV17" s="35" t="n">
        <x:f>--AND(CV$3&gt;=$B$11,CV$3&lt;$B$10,CV$3&lt;EDATE($B$11,MAX(1,'Вводные'!$K$33)),AND($B$7="Да",IFERROR(INDEX('Вводные'!$B$88:$B$91,$B$8),"Нет")="Да"))</x:f>
      </x:c>
      <x:c r="CW17" s="35" t="n">
        <x:f>--AND(CW$3&gt;=$B$11,CW$3&lt;$B$10,CW$3&lt;EDATE($B$11,MAX(1,'Вводные'!$K$33)),AND($B$7="Да",IFERROR(INDEX('Вводные'!$B$88:$B$91,$B$8),"Нет")="Да"))</x:f>
      </x:c>
      <x:c r="CX17" s="35" t="n">
        <x:f>--AND(CX$3&gt;=$B$11,CX$3&lt;$B$10,CX$3&lt;EDATE($B$11,MAX(1,'Вводные'!$K$33)),AND($B$7="Да",IFERROR(INDEX('Вводные'!$B$88:$B$91,$B$8),"Нет")="Да"))</x:f>
      </x:c>
      <x:c r="CY17" s="35" t="n">
        <x:f>--AND(CY$3&gt;=$B$11,CY$3&lt;$B$10,CY$3&lt;EDATE($B$11,MAX(1,'Вводные'!$K$33)),AND($B$7="Да",IFERROR(INDEX('Вводные'!$B$88:$B$91,$B$8),"Нет")="Да"))</x:f>
      </x:c>
      <x:c r="CZ17" s="35" t="n">
        <x:f>--AND(CZ$3&gt;=$B$11,CZ$3&lt;$B$10,CZ$3&lt;EDATE($B$11,MAX(1,'Вводные'!$K$33)),AND($B$7="Да",IFERROR(INDEX('Вводные'!$B$88:$B$91,$B$8),"Нет")="Да"))</x:f>
      </x:c>
      <x:c r="DA17" s="35" t="n">
        <x:f>--AND(DA$3&gt;=$B$11,DA$3&lt;$B$10,DA$3&lt;EDATE($B$11,MAX(1,'Вводные'!$K$33)),AND($B$7="Да",IFERROR(INDEX('Вводные'!$B$88:$B$91,$B$8),"Нет")="Да"))</x:f>
      </x:c>
      <x:c r="DB17" s="35" t="n">
        <x:f>--AND(DB$3&gt;=$B$11,DB$3&lt;$B$10,DB$3&lt;EDATE($B$11,MAX(1,'Вводные'!$K$33)),AND($B$7="Да",IFERROR(INDEX('Вводные'!$B$88:$B$91,$B$8),"Нет")="Да"))</x:f>
      </x:c>
      <x:c r="DC17" s="35" t="n">
        <x:f>--AND(DC$3&gt;=$B$11,DC$3&lt;$B$10,DC$3&lt;EDATE($B$11,MAX(1,'Вводные'!$K$33)),AND($B$7="Да",IFERROR(INDEX('Вводные'!$B$88:$B$91,$B$8),"Нет")="Да"))</x:f>
      </x:c>
      <x:c r="DD17" s="35" t="n">
        <x:f>--AND(DD$3&gt;=$B$11,DD$3&lt;$B$10,DD$3&lt;EDATE($B$11,MAX(1,'Вводные'!$K$33)),AND($B$7="Да",IFERROR(INDEX('Вводные'!$B$88:$B$91,$B$8),"Нет")="Да"))</x:f>
      </x:c>
      <x:c r="DE17" s="35" t="n">
        <x:f>--AND(DE$3&gt;=$B$11,DE$3&lt;$B$10,DE$3&lt;EDATE($B$11,MAX(1,'Вводные'!$K$33)),AND($B$7="Да",IFERROR(INDEX('Вводные'!$B$88:$B$91,$B$8),"Нет")="Да"))</x:f>
      </x:c>
      <x:c r="DF17" s="35" t="n">
        <x:f>--AND(DF$3&gt;=$B$11,DF$3&lt;$B$10,DF$3&lt;EDATE($B$11,MAX(1,'Вводные'!$K$33)),AND($B$7="Да",IFERROR(INDEX('Вводные'!$B$88:$B$91,$B$8),"Нет")="Да"))</x:f>
      </x:c>
      <x:c r="DG17" s="35" t="n">
        <x:f>--AND(DG$3&gt;=$B$11,DG$3&lt;$B$10,DG$3&lt;EDATE($B$11,MAX(1,'Вводные'!$K$33)),AND($B$7="Да",IFERROR(INDEX('Вводные'!$B$88:$B$91,$B$8),"Нет")="Да"))</x:f>
      </x:c>
      <x:c r="DH17" s="35" t="n">
        <x:f>--AND(DH$3&gt;=$B$11,DH$3&lt;$B$10,DH$3&lt;EDATE($B$11,MAX(1,'Вводные'!$K$33)),AND($B$7="Да",IFERROR(INDEX('Вводные'!$B$88:$B$91,$B$8),"Нет")="Да"))</x:f>
      </x:c>
      <x:c r="DI17" s="35" t="n">
        <x:f>--AND(DI$3&gt;=$B$11,DI$3&lt;$B$10,DI$3&lt;EDATE($B$11,MAX(1,'Вводные'!$K$33)),AND($B$7="Да",IFERROR(INDEX('Вводные'!$B$88:$B$91,$B$8),"Нет")="Да"))</x:f>
      </x:c>
      <x:c r="DJ17" s="35" t="n">
        <x:f>--AND(DJ$3&gt;=$B$11,DJ$3&lt;$B$10,DJ$3&lt;EDATE($B$11,MAX(1,'Вводные'!$K$33)),AND($B$7="Да",IFERROR(INDEX('Вводные'!$B$88:$B$91,$B$8),"Нет")="Да"))</x:f>
      </x:c>
      <x:c r="DK17" s="35" t="n">
        <x:f>--AND(DK$3&gt;=$B$11,DK$3&lt;$B$10,DK$3&lt;EDATE($B$11,MAX(1,'Вводные'!$K$33)),AND($B$7="Да",IFERROR(INDEX('Вводные'!$B$88:$B$91,$B$8),"Нет")="Да"))</x:f>
      </x:c>
      <x:c r="DL17" s="35" t="n">
        <x:f>--AND(DL$3&gt;=$B$11,DL$3&lt;$B$10,DL$3&lt;EDATE($B$11,MAX(1,'Вводные'!$K$33)),AND($B$7="Да",IFERROR(INDEX('Вводные'!$B$88:$B$91,$B$8),"Нет")="Да"))</x:f>
      </x:c>
      <x:c r="DM17" s="35" t="n">
        <x:f>--AND(DM$3&gt;=$B$11,DM$3&lt;$B$10,DM$3&lt;EDATE($B$11,MAX(1,'Вводные'!$K$33)),AND($B$7="Да",IFERROR(INDEX('Вводные'!$B$88:$B$91,$B$8),"Нет")="Да"))</x:f>
      </x:c>
      <x:c r="DN17" s="35" t="n">
        <x:f>--AND(DN$3&gt;=$B$11,DN$3&lt;$B$10,DN$3&lt;EDATE($B$11,MAX(1,'Вводные'!$K$33)),AND($B$7="Да",IFERROR(INDEX('Вводные'!$B$88:$B$91,$B$8),"Нет")="Да"))</x:f>
      </x:c>
      <x:c r="DO17" s="35" t="n">
        <x:f>--AND(DO$3&gt;=$B$11,DO$3&lt;$B$10,DO$3&lt;EDATE($B$11,MAX(1,'Вводные'!$K$33)),AND($B$7="Да",IFERROR(INDEX('Вводные'!$B$88:$B$91,$B$8),"Нет")="Да"))</x:f>
      </x:c>
      <x:c r="DP17" s="35" t="n">
        <x:f>--AND(DP$3&gt;=$B$11,DP$3&lt;$B$10,DP$3&lt;EDATE($B$11,MAX(1,'Вводные'!$K$33)),AND($B$7="Да",IFERROR(INDEX('Вводные'!$B$88:$B$91,$B$8),"Нет")="Да"))</x:f>
      </x:c>
      <x:c r="DQ17" s="35" t="n">
        <x:f>--AND(DQ$3&gt;=$B$11,DQ$3&lt;$B$10,DQ$3&lt;EDATE($B$11,MAX(1,'Вводные'!$K$33)),AND($B$7="Да",IFERROR(INDEX('Вводные'!$B$88:$B$91,$B$8),"Нет")="Да"))</x:f>
      </x:c>
      <x:c r="DR17" s="35" t="n">
        <x:f>--AND(DR$3&gt;=$B$11,DR$3&lt;$B$10,DR$3&lt;EDATE($B$11,MAX(1,'Вводные'!$K$33)),AND($B$7="Да",IFERROR(INDEX('Вводные'!$B$88:$B$91,$B$8),"Нет")="Да"))</x:f>
      </x:c>
      <x:c r="DS17" s="35" t="n">
        <x:f>--AND(DS$3&gt;=$B$11,DS$3&lt;$B$10,DS$3&lt;EDATE($B$11,MAX(1,'Вводные'!$K$33)),AND($B$7="Да",IFERROR(INDEX('Вводные'!$B$88:$B$91,$B$8),"Нет")="Да"))</x:f>
      </x:c>
    </x:row>
    <x:row r="18">
      <x:c r="A18" t="str">
        <x:v>Вес темпа продаж</x:v>
      </x:c>
      <x:c r="B18" s="35"/>
      <x:c r="C18" t="str">
        <x:v>вес</x:v>
      </x:c>
      <x:c r="D18" s="35" t="n">
        <x:f>IF(AND(D$3&gt;=$B$11,D$3&lt;EDATE($B$11,MAX(1,'Вводные'!$K$33)),AND($B$7="Да",IFERROR(INDEX('Вводные'!$B$88:$B$91,$B$8),"Нет")="Да")),(1+INDEX('Вводные'!$AD$88:$AD$91,$B$8)*'Вводные'!$H$7)^MAX(0,(12*(YEAR(D$3)-YEAR($B$11))+MONTH(D$3)-MONTH($B$11)))*(1+IF(MONTH(D$3)=1,'Вводные'!$B$67,IF(AND(MONTH(D$3)&gt;=5,MONTH(D$3)&lt;=8),'Вводные'!$B$70,0))),0)</x:f>
      </x:c>
      <x:c r="E18" s="35" t="n">
        <x:f>IF(AND(E$3&gt;=$B$11,E$3&lt;EDATE($B$11,MAX(1,'Вводные'!$K$33)),AND($B$7="Да",IFERROR(INDEX('Вводные'!$B$88:$B$91,$B$8),"Нет")="Да")),(1+INDEX('Вводные'!$AD$88:$AD$91,$B$8)*'Вводные'!$H$7)^MAX(0,(12*(YEAR(E$3)-YEAR($B$11))+MONTH(E$3)-MONTH($B$11)))*(1+IF(MONTH(E$3)=1,'Вводные'!$B$67,IF(AND(MONTH(E$3)&gt;=5,MONTH(E$3)&lt;=8),'Вводные'!$B$70,0))),0)</x:f>
      </x:c>
      <x:c r="F18" s="35" t="n">
        <x:f>IF(AND(F$3&gt;=$B$11,F$3&lt;EDATE($B$11,MAX(1,'Вводные'!$K$33)),AND($B$7="Да",IFERROR(INDEX('Вводные'!$B$88:$B$91,$B$8),"Нет")="Да")),(1+INDEX('Вводные'!$AD$88:$AD$91,$B$8)*'Вводные'!$H$7)^MAX(0,(12*(YEAR(F$3)-YEAR($B$11))+MONTH(F$3)-MONTH($B$11)))*(1+IF(MONTH(F$3)=1,'Вводные'!$B$67,IF(AND(MONTH(F$3)&gt;=5,MONTH(F$3)&lt;=8),'Вводные'!$B$70,0))),0)</x:f>
      </x:c>
      <x:c r="G18" s="35" t="n">
        <x:f>IF(AND(G$3&gt;=$B$11,G$3&lt;EDATE($B$11,MAX(1,'Вводные'!$K$33)),AND($B$7="Да",IFERROR(INDEX('Вводные'!$B$88:$B$91,$B$8),"Нет")="Да")),(1+INDEX('Вводные'!$AD$88:$AD$91,$B$8)*'Вводные'!$H$7)^MAX(0,(12*(YEAR(G$3)-YEAR($B$11))+MONTH(G$3)-MONTH($B$11)))*(1+IF(MONTH(G$3)=1,'Вводные'!$B$67,IF(AND(MONTH(G$3)&gt;=5,MONTH(G$3)&lt;=8),'Вводные'!$B$70,0))),0)</x:f>
      </x:c>
      <x:c r="H18" s="35" t="n">
        <x:f>IF(AND(H$3&gt;=$B$11,H$3&lt;EDATE($B$11,MAX(1,'Вводные'!$K$33)),AND($B$7="Да",IFERROR(INDEX('Вводные'!$B$88:$B$91,$B$8),"Нет")="Да")),(1+INDEX('Вводные'!$AD$88:$AD$91,$B$8)*'Вводные'!$H$7)^MAX(0,(12*(YEAR(H$3)-YEAR($B$11))+MONTH(H$3)-MONTH($B$11)))*(1+IF(MONTH(H$3)=1,'Вводные'!$B$67,IF(AND(MONTH(H$3)&gt;=5,MONTH(H$3)&lt;=8),'Вводные'!$B$70,0))),0)</x:f>
      </x:c>
      <x:c r="I18" s="35" t="n">
        <x:f>IF(AND(I$3&gt;=$B$11,I$3&lt;EDATE($B$11,MAX(1,'Вводные'!$K$33)),AND($B$7="Да",IFERROR(INDEX('Вводные'!$B$88:$B$91,$B$8),"Нет")="Да")),(1+INDEX('Вводные'!$AD$88:$AD$91,$B$8)*'Вводные'!$H$7)^MAX(0,(12*(YEAR(I$3)-YEAR($B$11))+MONTH(I$3)-MONTH($B$11)))*(1+IF(MONTH(I$3)=1,'Вводные'!$B$67,IF(AND(MONTH(I$3)&gt;=5,MONTH(I$3)&lt;=8),'Вводные'!$B$70,0))),0)</x:f>
      </x:c>
      <x:c r="J18" s="35" t="n">
        <x:f>IF(AND(J$3&gt;=$B$11,J$3&lt;EDATE($B$11,MAX(1,'Вводные'!$K$33)),AND($B$7="Да",IFERROR(INDEX('Вводные'!$B$88:$B$91,$B$8),"Нет")="Да")),(1+INDEX('Вводные'!$AD$88:$AD$91,$B$8)*'Вводные'!$H$7)^MAX(0,(12*(YEAR(J$3)-YEAR($B$11))+MONTH(J$3)-MONTH($B$11)))*(1+IF(MONTH(J$3)=1,'Вводные'!$B$67,IF(AND(MONTH(J$3)&gt;=5,MONTH(J$3)&lt;=8),'Вводные'!$B$70,0))),0)</x:f>
      </x:c>
      <x:c r="K18" s="35" t="n">
        <x:f>IF(AND(K$3&gt;=$B$11,K$3&lt;EDATE($B$11,MAX(1,'Вводные'!$K$33)),AND($B$7="Да",IFERROR(INDEX('Вводные'!$B$88:$B$91,$B$8),"Нет")="Да")),(1+INDEX('Вводные'!$AD$88:$AD$91,$B$8)*'Вводные'!$H$7)^MAX(0,(12*(YEAR(K$3)-YEAR($B$11))+MONTH(K$3)-MONTH($B$11)))*(1+IF(MONTH(K$3)=1,'Вводные'!$B$67,IF(AND(MONTH(K$3)&gt;=5,MONTH(K$3)&lt;=8),'Вводные'!$B$70,0))),0)</x:f>
      </x:c>
      <x:c r="L18" s="35" t="n">
        <x:f>IF(AND(L$3&gt;=$B$11,L$3&lt;EDATE($B$11,MAX(1,'Вводные'!$K$33)),AND($B$7="Да",IFERROR(INDEX('Вводные'!$B$88:$B$91,$B$8),"Нет")="Да")),(1+INDEX('Вводные'!$AD$88:$AD$91,$B$8)*'Вводные'!$H$7)^MAX(0,(12*(YEAR(L$3)-YEAR($B$11))+MONTH(L$3)-MONTH($B$11)))*(1+IF(MONTH(L$3)=1,'Вводные'!$B$67,IF(AND(MONTH(L$3)&gt;=5,MONTH(L$3)&lt;=8),'Вводные'!$B$70,0))),0)</x:f>
      </x:c>
      <x:c r="M18" s="35" t="n">
        <x:f>IF(AND(M$3&gt;=$B$11,M$3&lt;EDATE($B$11,MAX(1,'Вводные'!$K$33)),AND($B$7="Да",IFERROR(INDEX('Вводные'!$B$88:$B$91,$B$8),"Нет")="Да")),(1+INDEX('Вводные'!$AD$88:$AD$91,$B$8)*'Вводные'!$H$7)^MAX(0,(12*(YEAR(M$3)-YEAR($B$11))+MONTH(M$3)-MONTH($B$11)))*(1+IF(MONTH(M$3)=1,'Вводные'!$B$67,IF(AND(MONTH(M$3)&gt;=5,MONTH(M$3)&lt;=8),'Вводные'!$B$70,0))),0)</x:f>
      </x:c>
      <x:c r="N18" s="35" t="n">
        <x:f>IF(AND(N$3&gt;=$B$11,N$3&lt;EDATE($B$11,MAX(1,'Вводные'!$K$33)),AND($B$7="Да",IFERROR(INDEX('Вводные'!$B$88:$B$91,$B$8),"Нет")="Да")),(1+INDEX('Вводные'!$AD$88:$AD$91,$B$8)*'Вводные'!$H$7)^MAX(0,(12*(YEAR(N$3)-YEAR($B$11))+MONTH(N$3)-MONTH($B$11)))*(1+IF(MONTH(N$3)=1,'Вводные'!$B$67,IF(AND(MONTH(N$3)&gt;=5,MONTH(N$3)&lt;=8),'Вводные'!$B$70,0))),0)</x:f>
      </x:c>
      <x:c r="O18" s="35" t="n">
        <x:f>IF(AND(O$3&gt;=$B$11,O$3&lt;EDATE($B$11,MAX(1,'Вводные'!$K$33)),AND($B$7="Да",IFERROR(INDEX('Вводные'!$B$88:$B$91,$B$8),"Нет")="Да")),(1+INDEX('Вводные'!$AD$88:$AD$91,$B$8)*'Вводные'!$H$7)^MAX(0,(12*(YEAR(O$3)-YEAR($B$11))+MONTH(O$3)-MONTH($B$11)))*(1+IF(MONTH(O$3)=1,'Вводные'!$B$67,IF(AND(MONTH(O$3)&gt;=5,MONTH(O$3)&lt;=8),'Вводные'!$B$70,0))),0)</x:f>
      </x:c>
      <x:c r="P18" s="35" t="n">
        <x:f>IF(AND(P$3&gt;=$B$11,P$3&lt;EDATE($B$11,MAX(1,'Вводные'!$K$33)),AND($B$7="Да",IFERROR(INDEX('Вводные'!$B$88:$B$91,$B$8),"Нет")="Да")),(1+INDEX('Вводные'!$AD$88:$AD$91,$B$8)*'Вводные'!$H$7)^MAX(0,(12*(YEAR(P$3)-YEAR($B$11))+MONTH(P$3)-MONTH($B$11)))*(1+IF(MONTH(P$3)=1,'Вводные'!$B$67,IF(AND(MONTH(P$3)&gt;=5,MONTH(P$3)&lt;=8),'Вводные'!$B$70,0))),0)</x:f>
      </x:c>
      <x:c r="Q18" s="35" t="n">
        <x:f>IF(AND(Q$3&gt;=$B$11,Q$3&lt;EDATE($B$11,MAX(1,'Вводные'!$K$33)),AND($B$7="Да",IFERROR(INDEX('Вводные'!$B$88:$B$91,$B$8),"Нет")="Да")),(1+INDEX('Вводные'!$AD$88:$AD$91,$B$8)*'Вводные'!$H$7)^MAX(0,(12*(YEAR(Q$3)-YEAR($B$11))+MONTH(Q$3)-MONTH($B$11)))*(1+IF(MONTH(Q$3)=1,'Вводные'!$B$67,IF(AND(MONTH(Q$3)&gt;=5,MONTH(Q$3)&lt;=8),'Вводные'!$B$70,0))),0)</x:f>
      </x:c>
      <x:c r="R18" s="35" t="n">
        <x:f>IF(AND(R$3&gt;=$B$11,R$3&lt;EDATE($B$11,MAX(1,'Вводные'!$K$33)),AND($B$7="Да",IFERROR(INDEX('Вводные'!$B$88:$B$91,$B$8),"Нет")="Да")),(1+INDEX('Вводные'!$AD$88:$AD$91,$B$8)*'Вводные'!$H$7)^MAX(0,(12*(YEAR(R$3)-YEAR($B$11))+MONTH(R$3)-MONTH($B$11)))*(1+IF(MONTH(R$3)=1,'Вводные'!$B$67,IF(AND(MONTH(R$3)&gt;=5,MONTH(R$3)&lt;=8),'Вводные'!$B$70,0))),0)</x:f>
      </x:c>
      <x:c r="S18" s="35" t="n">
        <x:f>IF(AND(S$3&gt;=$B$11,S$3&lt;EDATE($B$11,MAX(1,'Вводные'!$K$33)),AND($B$7="Да",IFERROR(INDEX('Вводные'!$B$88:$B$91,$B$8),"Нет")="Да")),(1+INDEX('Вводные'!$AD$88:$AD$91,$B$8)*'Вводные'!$H$7)^MAX(0,(12*(YEAR(S$3)-YEAR($B$11))+MONTH(S$3)-MONTH($B$11)))*(1+IF(MONTH(S$3)=1,'Вводные'!$B$67,IF(AND(MONTH(S$3)&gt;=5,MONTH(S$3)&lt;=8),'Вводные'!$B$70,0))),0)</x:f>
      </x:c>
      <x:c r="T18" s="35" t="n">
        <x:f>IF(AND(T$3&gt;=$B$11,T$3&lt;EDATE($B$11,MAX(1,'Вводные'!$K$33)),AND($B$7="Да",IFERROR(INDEX('Вводные'!$B$88:$B$91,$B$8),"Нет")="Да")),(1+INDEX('Вводные'!$AD$88:$AD$91,$B$8)*'Вводные'!$H$7)^MAX(0,(12*(YEAR(T$3)-YEAR($B$11))+MONTH(T$3)-MONTH($B$11)))*(1+IF(MONTH(T$3)=1,'Вводные'!$B$67,IF(AND(MONTH(T$3)&gt;=5,MONTH(T$3)&lt;=8),'Вводные'!$B$70,0))),0)</x:f>
      </x:c>
      <x:c r="U18" s="35" t="n">
        <x:f>IF(AND(U$3&gt;=$B$11,U$3&lt;EDATE($B$11,MAX(1,'Вводные'!$K$33)),AND($B$7="Да",IFERROR(INDEX('Вводные'!$B$88:$B$91,$B$8),"Нет")="Да")),(1+INDEX('Вводные'!$AD$88:$AD$91,$B$8)*'Вводные'!$H$7)^MAX(0,(12*(YEAR(U$3)-YEAR($B$11))+MONTH(U$3)-MONTH($B$11)))*(1+IF(MONTH(U$3)=1,'Вводные'!$B$67,IF(AND(MONTH(U$3)&gt;=5,MONTH(U$3)&lt;=8),'Вводные'!$B$70,0))),0)</x:f>
      </x:c>
      <x:c r="V18" s="35" t="n">
        <x:f>IF(AND(V$3&gt;=$B$11,V$3&lt;EDATE($B$11,MAX(1,'Вводные'!$K$33)),AND($B$7="Да",IFERROR(INDEX('Вводные'!$B$88:$B$91,$B$8),"Нет")="Да")),(1+INDEX('Вводные'!$AD$88:$AD$91,$B$8)*'Вводные'!$H$7)^MAX(0,(12*(YEAR(V$3)-YEAR($B$11))+MONTH(V$3)-MONTH($B$11)))*(1+IF(MONTH(V$3)=1,'Вводные'!$B$67,IF(AND(MONTH(V$3)&gt;=5,MONTH(V$3)&lt;=8),'Вводные'!$B$70,0))),0)</x:f>
      </x:c>
      <x:c r="W18" s="35" t="n">
        <x:f>IF(AND(W$3&gt;=$B$11,W$3&lt;EDATE($B$11,MAX(1,'Вводные'!$K$33)),AND($B$7="Да",IFERROR(INDEX('Вводные'!$B$88:$B$91,$B$8),"Нет")="Да")),(1+INDEX('Вводные'!$AD$88:$AD$91,$B$8)*'Вводные'!$H$7)^MAX(0,(12*(YEAR(W$3)-YEAR($B$11))+MONTH(W$3)-MONTH($B$11)))*(1+IF(MONTH(W$3)=1,'Вводные'!$B$67,IF(AND(MONTH(W$3)&gt;=5,MONTH(W$3)&lt;=8),'Вводные'!$B$70,0))),0)</x:f>
      </x:c>
      <x:c r="X18" s="35" t="n">
        <x:f>IF(AND(X$3&gt;=$B$11,X$3&lt;EDATE($B$11,MAX(1,'Вводные'!$K$33)),AND($B$7="Да",IFERROR(INDEX('Вводные'!$B$88:$B$91,$B$8),"Нет")="Да")),(1+INDEX('Вводные'!$AD$88:$AD$91,$B$8)*'Вводные'!$H$7)^MAX(0,(12*(YEAR(X$3)-YEAR($B$11))+MONTH(X$3)-MONTH($B$11)))*(1+IF(MONTH(X$3)=1,'Вводные'!$B$67,IF(AND(MONTH(X$3)&gt;=5,MONTH(X$3)&lt;=8),'Вводные'!$B$70,0))),0)</x:f>
      </x:c>
      <x:c r="Y18" s="35" t="n">
        <x:f>IF(AND(Y$3&gt;=$B$11,Y$3&lt;EDATE($B$11,MAX(1,'Вводные'!$K$33)),AND($B$7="Да",IFERROR(INDEX('Вводные'!$B$88:$B$91,$B$8),"Нет")="Да")),(1+INDEX('Вводные'!$AD$88:$AD$91,$B$8)*'Вводные'!$H$7)^MAX(0,(12*(YEAR(Y$3)-YEAR($B$11))+MONTH(Y$3)-MONTH($B$11)))*(1+IF(MONTH(Y$3)=1,'Вводные'!$B$67,IF(AND(MONTH(Y$3)&gt;=5,MONTH(Y$3)&lt;=8),'Вводные'!$B$70,0))),0)</x:f>
      </x:c>
      <x:c r="Z18" s="35" t="n">
        <x:f>IF(AND(Z$3&gt;=$B$11,Z$3&lt;EDATE($B$11,MAX(1,'Вводные'!$K$33)),AND($B$7="Да",IFERROR(INDEX('Вводные'!$B$88:$B$91,$B$8),"Нет")="Да")),(1+INDEX('Вводные'!$AD$88:$AD$91,$B$8)*'Вводные'!$H$7)^MAX(0,(12*(YEAR(Z$3)-YEAR($B$11))+MONTH(Z$3)-MONTH($B$11)))*(1+IF(MONTH(Z$3)=1,'Вводные'!$B$67,IF(AND(MONTH(Z$3)&gt;=5,MONTH(Z$3)&lt;=8),'Вводные'!$B$70,0))),0)</x:f>
      </x:c>
      <x:c r="AA18" s="35" t="n">
        <x:f>IF(AND(AA$3&gt;=$B$11,AA$3&lt;EDATE($B$11,MAX(1,'Вводные'!$K$33)),AND($B$7="Да",IFERROR(INDEX('Вводные'!$B$88:$B$91,$B$8),"Нет")="Да")),(1+INDEX('Вводные'!$AD$88:$AD$91,$B$8)*'Вводные'!$H$7)^MAX(0,(12*(YEAR(AA$3)-YEAR($B$11))+MONTH(AA$3)-MONTH($B$11)))*(1+IF(MONTH(AA$3)=1,'Вводные'!$B$67,IF(AND(MONTH(AA$3)&gt;=5,MONTH(AA$3)&lt;=8),'Вводные'!$B$70,0))),0)</x:f>
      </x:c>
      <x:c r="AB18" s="35" t="n">
        <x:f>IF(AND(AB$3&gt;=$B$11,AB$3&lt;EDATE($B$11,MAX(1,'Вводные'!$K$33)),AND($B$7="Да",IFERROR(INDEX('Вводные'!$B$88:$B$91,$B$8),"Нет")="Да")),(1+INDEX('Вводные'!$AD$88:$AD$91,$B$8)*'Вводные'!$H$7)^MAX(0,(12*(YEAR(AB$3)-YEAR($B$11))+MONTH(AB$3)-MONTH($B$11)))*(1+IF(MONTH(AB$3)=1,'Вводные'!$B$67,IF(AND(MONTH(AB$3)&gt;=5,MONTH(AB$3)&lt;=8),'Вводные'!$B$70,0))),0)</x:f>
      </x:c>
      <x:c r="AC18" s="35" t="n">
        <x:f>IF(AND(AC$3&gt;=$B$11,AC$3&lt;EDATE($B$11,MAX(1,'Вводные'!$K$33)),AND($B$7="Да",IFERROR(INDEX('Вводные'!$B$88:$B$91,$B$8),"Нет")="Да")),(1+INDEX('Вводные'!$AD$88:$AD$91,$B$8)*'Вводные'!$H$7)^MAX(0,(12*(YEAR(AC$3)-YEAR($B$11))+MONTH(AC$3)-MONTH($B$11)))*(1+IF(MONTH(AC$3)=1,'Вводные'!$B$67,IF(AND(MONTH(AC$3)&gt;=5,MONTH(AC$3)&lt;=8),'Вводные'!$B$70,0))),0)</x:f>
      </x:c>
      <x:c r="AD18" s="35" t="n">
        <x:f>IF(AND(AD$3&gt;=$B$11,AD$3&lt;EDATE($B$11,MAX(1,'Вводные'!$K$33)),AND($B$7="Да",IFERROR(INDEX('Вводные'!$B$88:$B$91,$B$8),"Нет")="Да")),(1+INDEX('Вводные'!$AD$88:$AD$91,$B$8)*'Вводные'!$H$7)^MAX(0,(12*(YEAR(AD$3)-YEAR($B$11))+MONTH(AD$3)-MONTH($B$11)))*(1+IF(MONTH(AD$3)=1,'Вводные'!$B$67,IF(AND(MONTH(AD$3)&gt;=5,MONTH(AD$3)&lt;=8),'Вводные'!$B$70,0))),0)</x:f>
      </x:c>
      <x:c r="AE18" s="35" t="n">
        <x:f>IF(AND(AE$3&gt;=$B$11,AE$3&lt;EDATE($B$11,MAX(1,'Вводные'!$K$33)),AND($B$7="Да",IFERROR(INDEX('Вводные'!$B$88:$B$91,$B$8),"Нет")="Да")),(1+INDEX('Вводные'!$AD$88:$AD$91,$B$8)*'Вводные'!$H$7)^MAX(0,(12*(YEAR(AE$3)-YEAR($B$11))+MONTH(AE$3)-MONTH($B$11)))*(1+IF(MONTH(AE$3)=1,'Вводные'!$B$67,IF(AND(MONTH(AE$3)&gt;=5,MONTH(AE$3)&lt;=8),'Вводные'!$B$70,0))),0)</x:f>
      </x:c>
      <x:c r="AF18" s="35" t="n">
        <x:f>IF(AND(AF$3&gt;=$B$11,AF$3&lt;EDATE($B$11,MAX(1,'Вводные'!$K$33)),AND($B$7="Да",IFERROR(INDEX('Вводные'!$B$88:$B$91,$B$8),"Нет")="Да")),(1+INDEX('Вводные'!$AD$88:$AD$91,$B$8)*'Вводные'!$H$7)^MAX(0,(12*(YEAR(AF$3)-YEAR($B$11))+MONTH(AF$3)-MONTH($B$11)))*(1+IF(MONTH(AF$3)=1,'Вводные'!$B$67,IF(AND(MONTH(AF$3)&gt;=5,MONTH(AF$3)&lt;=8),'Вводные'!$B$70,0))),0)</x:f>
      </x:c>
      <x:c r="AG18" s="35" t="n">
        <x:f>IF(AND(AG$3&gt;=$B$11,AG$3&lt;EDATE($B$11,MAX(1,'Вводные'!$K$33)),AND($B$7="Да",IFERROR(INDEX('Вводные'!$B$88:$B$91,$B$8),"Нет")="Да")),(1+INDEX('Вводные'!$AD$88:$AD$91,$B$8)*'Вводные'!$H$7)^MAX(0,(12*(YEAR(AG$3)-YEAR($B$11))+MONTH(AG$3)-MONTH($B$11)))*(1+IF(MONTH(AG$3)=1,'Вводные'!$B$67,IF(AND(MONTH(AG$3)&gt;=5,MONTH(AG$3)&lt;=8),'Вводные'!$B$70,0))),0)</x:f>
      </x:c>
      <x:c r="AH18" s="35" t="n">
        <x:f>IF(AND(AH$3&gt;=$B$11,AH$3&lt;EDATE($B$11,MAX(1,'Вводные'!$K$33)),AND($B$7="Да",IFERROR(INDEX('Вводные'!$B$88:$B$91,$B$8),"Нет")="Да")),(1+INDEX('Вводные'!$AD$88:$AD$91,$B$8)*'Вводные'!$H$7)^MAX(0,(12*(YEAR(AH$3)-YEAR($B$11))+MONTH(AH$3)-MONTH($B$11)))*(1+IF(MONTH(AH$3)=1,'Вводные'!$B$67,IF(AND(MONTH(AH$3)&gt;=5,MONTH(AH$3)&lt;=8),'Вводные'!$B$70,0))),0)</x:f>
      </x:c>
      <x:c r="AI18" s="35" t="n">
        <x:f>IF(AND(AI$3&gt;=$B$11,AI$3&lt;EDATE($B$11,MAX(1,'Вводные'!$K$33)),AND($B$7="Да",IFERROR(INDEX('Вводные'!$B$88:$B$91,$B$8),"Нет")="Да")),(1+INDEX('Вводные'!$AD$88:$AD$91,$B$8)*'Вводные'!$H$7)^MAX(0,(12*(YEAR(AI$3)-YEAR($B$11))+MONTH(AI$3)-MONTH($B$11)))*(1+IF(MONTH(AI$3)=1,'Вводные'!$B$67,IF(AND(MONTH(AI$3)&gt;=5,MONTH(AI$3)&lt;=8),'Вводные'!$B$70,0))),0)</x:f>
      </x:c>
      <x:c r="AJ18" s="35" t="n">
        <x:f>IF(AND(AJ$3&gt;=$B$11,AJ$3&lt;EDATE($B$11,MAX(1,'Вводные'!$K$33)),AND($B$7="Да",IFERROR(INDEX('Вводные'!$B$88:$B$91,$B$8),"Нет")="Да")),(1+INDEX('Вводные'!$AD$88:$AD$91,$B$8)*'Вводные'!$H$7)^MAX(0,(12*(YEAR(AJ$3)-YEAR($B$11))+MONTH(AJ$3)-MONTH($B$11)))*(1+IF(MONTH(AJ$3)=1,'Вводные'!$B$67,IF(AND(MONTH(AJ$3)&gt;=5,MONTH(AJ$3)&lt;=8),'Вводные'!$B$70,0))),0)</x:f>
      </x:c>
      <x:c r="AK18" s="35" t="n">
        <x:f>IF(AND(AK$3&gt;=$B$11,AK$3&lt;EDATE($B$11,MAX(1,'Вводные'!$K$33)),AND($B$7="Да",IFERROR(INDEX('Вводные'!$B$88:$B$91,$B$8),"Нет")="Да")),(1+INDEX('Вводные'!$AD$88:$AD$91,$B$8)*'Вводные'!$H$7)^MAX(0,(12*(YEAR(AK$3)-YEAR($B$11))+MONTH(AK$3)-MONTH($B$11)))*(1+IF(MONTH(AK$3)=1,'Вводные'!$B$67,IF(AND(MONTH(AK$3)&gt;=5,MONTH(AK$3)&lt;=8),'Вводные'!$B$70,0))),0)</x:f>
      </x:c>
      <x:c r="AL18" s="35" t="n">
        <x:f>IF(AND(AL$3&gt;=$B$11,AL$3&lt;EDATE($B$11,MAX(1,'Вводные'!$K$33)),AND($B$7="Да",IFERROR(INDEX('Вводные'!$B$88:$B$91,$B$8),"Нет")="Да")),(1+INDEX('Вводные'!$AD$88:$AD$91,$B$8)*'Вводные'!$H$7)^MAX(0,(12*(YEAR(AL$3)-YEAR($B$11))+MONTH(AL$3)-MONTH($B$11)))*(1+IF(MONTH(AL$3)=1,'Вводные'!$B$67,IF(AND(MONTH(AL$3)&gt;=5,MONTH(AL$3)&lt;=8),'Вводные'!$B$70,0))),0)</x:f>
      </x:c>
      <x:c r="AM18" s="35" t="n">
        <x:f>IF(AND(AM$3&gt;=$B$11,AM$3&lt;EDATE($B$11,MAX(1,'Вводные'!$K$33)),AND($B$7="Да",IFERROR(INDEX('Вводные'!$B$88:$B$91,$B$8),"Нет")="Да")),(1+INDEX('Вводные'!$AD$88:$AD$91,$B$8)*'Вводные'!$H$7)^MAX(0,(12*(YEAR(AM$3)-YEAR($B$11))+MONTH(AM$3)-MONTH($B$11)))*(1+IF(MONTH(AM$3)=1,'Вводные'!$B$67,IF(AND(MONTH(AM$3)&gt;=5,MONTH(AM$3)&lt;=8),'Вводные'!$B$70,0))),0)</x:f>
      </x:c>
      <x:c r="AN18" s="35" t="n">
        <x:f>IF(AND(AN$3&gt;=$B$11,AN$3&lt;EDATE($B$11,MAX(1,'Вводные'!$K$33)),AND($B$7="Да",IFERROR(INDEX('Вводные'!$B$88:$B$91,$B$8),"Нет")="Да")),(1+INDEX('Вводные'!$AD$88:$AD$91,$B$8)*'Вводные'!$H$7)^MAX(0,(12*(YEAR(AN$3)-YEAR($B$11))+MONTH(AN$3)-MONTH($B$11)))*(1+IF(MONTH(AN$3)=1,'Вводные'!$B$67,IF(AND(MONTH(AN$3)&gt;=5,MONTH(AN$3)&lt;=8),'Вводные'!$B$70,0))),0)</x:f>
      </x:c>
      <x:c r="AO18" s="35" t="n">
        <x:f>IF(AND(AO$3&gt;=$B$11,AO$3&lt;EDATE($B$11,MAX(1,'Вводные'!$K$33)),AND($B$7="Да",IFERROR(INDEX('Вводные'!$B$88:$B$91,$B$8),"Нет")="Да")),(1+INDEX('Вводные'!$AD$88:$AD$91,$B$8)*'Вводные'!$H$7)^MAX(0,(12*(YEAR(AO$3)-YEAR($B$11))+MONTH(AO$3)-MONTH($B$11)))*(1+IF(MONTH(AO$3)=1,'Вводные'!$B$67,IF(AND(MONTH(AO$3)&gt;=5,MONTH(AO$3)&lt;=8),'Вводные'!$B$70,0))),0)</x:f>
      </x:c>
      <x:c r="AP18" s="35" t="n">
        <x:f>IF(AND(AP$3&gt;=$B$11,AP$3&lt;EDATE($B$11,MAX(1,'Вводные'!$K$33)),AND($B$7="Да",IFERROR(INDEX('Вводные'!$B$88:$B$91,$B$8),"Нет")="Да")),(1+INDEX('Вводные'!$AD$88:$AD$91,$B$8)*'Вводные'!$H$7)^MAX(0,(12*(YEAR(AP$3)-YEAR($B$11))+MONTH(AP$3)-MONTH($B$11)))*(1+IF(MONTH(AP$3)=1,'Вводные'!$B$67,IF(AND(MONTH(AP$3)&gt;=5,MONTH(AP$3)&lt;=8),'Вводные'!$B$70,0))),0)</x:f>
      </x:c>
      <x:c r="AQ18" s="35" t="n">
        <x:f>IF(AND(AQ$3&gt;=$B$11,AQ$3&lt;EDATE($B$11,MAX(1,'Вводные'!$K$33)),AND($B$7="Да",IFERROR(INDEX('Вводные'!$B$88:$B$91,$B$8),"Нет")="Да")),(1+INDEX('Вводные'!$AD$88:$AD$91,$B$8)*'Вводные'!$H$7)^MAX(0,(12*(YEAR(AQ$3)-YEAR($B$11))+MONTH(AQ$3)-MONTH($B$11)))*(1+IF(MONTH(AQ$3)=1,'Вводные'!$B$67,IF(AND(MONTH(AQ$3)&gt;=5,MONTH(AQ$3)&lt;=8),'Вводные'!$B$70,0))),0)</x:f>
      </x:c>
      <x:c r="AR18" s="35" t="n">
        <x:f>IF(AND(AR$3&gt;=$B$11,AR$3&lt;EDATE($B$11,MAX(1,'Вводные'!$K$33)),AND($B$7="Да",IFERROR(INDEX('Вводные'!$B$88:$B$91,$B$8),"Нет")="Да")),(1+INDEX('Вводные'!$AD$88:$AD$91,$B$8)*'Вводные'!$H$7)^MAX(0,(12*(YEAR(AR$3)-YEAR($B$11))+MONTH(AR$3)-MONTH($B$11)))*(1+IF(MONTH(AR$3)=1,'Вводные'!$B$67,IF(AND(MONTH(AR$3)&gt;=5,MONTH(AR$3)&lt;=8),'Вводные'!$B$70,0))),0)</x:f>
      </x:c>
      <x:c r="AS18" s="35" t="n">
        <x:f>IF(AND(AS$3&gt;=$B$11,AS$3&lt;EDATE($B$11,MAX(1,'Вводные'!$K$33)),AND($B$7="Да",IFERROR(INDEX('Вводные'!$B$88:$B$91,$B$8),"Нет")="Да")),(1+INDEX('Вводные'!$AD$88:$AD$91,$B$8)*'Вводные'!$H$7)^MAX(0,(12*(YEAR(AS$3)-YEAR($B$11))+MONTH(AS$3)-MONTH($B$11)))*(1+IF(MONTH(AS$3)=1,'Вводные'!$B$67,IF(AND(MONTH(AS$3)&gt;=5,MONTH(AS$3)&lt;=8),'Вводные'!$B$70,0))),0)</x:f>
      </x:c>
      <x:c r="AT18" s="35" t="n">
        <x:f>IF(AND(AT$3&gt;=$B$11,AT$3&lt;EDATE($B$11,MAX(1,'Вводные'!$K$33)),AND($B$7="Да",IFERROR(INDEX('Вводные'!$B$88:$B$91,$B$8),"Нет")="Да")),(1+INDEX('Вводные'!$AD$88:$AD$91,$B$8)*'Вводные'!$H$7)^MAX(0,(12*(YEAR(AT$3)-YEAR($B$11))+MONTH(AT$3)-MONTH($B$11)))*(1+IF(MONTH(AT$3)=1,'Вводные'!$B$67,IF(AND(MONTH(AT$3)&gt;=5,MONTH(AT$3)&lt;=8),'Вводные'!$B$70,0))),0)</x:f>
      </x:c>
      <x:c r="AU18" s="35" t="n">
        <x:f>IF(AND(AU$3&gt;=$B$11,AU$3&lt;EDATE($B$11,MAX(1,'Вводные'!$K$33)),AND($B$7="Да",IFERROR(INDEX('Вводные'!$B$88:$B$91,$B$8),"Нет")="Да")),(1+INDEX('Вводные'!$AD$88:$AD$91,$B$8)*'Вводные'!$H$7)^MAX(0,(12*(YEAR(AU$3)-YEAR($B$11))+MONTH(AU$3)-MONTH($B$11)))*(1+IF(MONTH(AU$3)=1,'Вводные'!$B$67,IF(AND(MONTH(AU$3)&gt;=5,MONTH(AU$3)&lt;=8),'Вводные'!$B$70,0))),0)</x:f>
      </x:c>
      <x:c r="AV18" s="35" t="n">
        <x:f>IF(AND(AV$3&gt;=$B$11,AV$3&lt;EDATE($B$11,MAX(1,'Вводные'!$K$33)),AND($B$7="Да",IFERROR(INDEX('Вводные'!$B$88:$B$91,$B$8),"Нет")="Да")),(1+INDEX('Вводные'!$AD$88:$AD$91,$B$8)*'Вводные'!$H$7)^MAX(0,(12*(YEAR(AV$3)-YEAR($B$11))+MONTH(AV$3)-MONTH($B$11)))*(1+IF(MONTH(AV$3)=1,'Вводные'!$B$67,IF(AND(MONTH(AV$3)&gt;=5,MONTH(AV$3)&lt;=8),'Вводные'!$B$70,0))),0)</x:f>
      </x:c>
      <x:c r="AW18" s="35" t="n">
        <x:f>IF(AND(AW$3&gt;=$B$11,AW$3&lt;EDATE($B$11,MAX(1,'Вводные'!$K$33)),AND($B$7="Да",IFERROR(INDEX('Вводные'!$B$88:$B$91,$B$8),"Нет")="Да")),(1+INDEX('Вводные'!$AD$88:$AD$91,$B$8)*'Вводные'!$H$7)^MAX(0,(12*(YEAR(AW$3)-YEAR($B$11))+MONTH(AW$3)-MONTH($B$11)))*(1+IF(MONTH(AW$3)=1,'Вводные'!$B$67,IF(AND(MONTH(AW$3)&gt;=5,MONTH(AW$3)&lt;=8),'Вводные'!$B$70,0))),0)</x:f>
      </x:c>
      <x:c r="AX18" s="35" t="n">
        <x:f>IF(AND(AX$3&gt;=$B$11,AX$3&lt;EDATE($B$11,MAX(1,'Вводные'!$K$33)),AND($B$7="Да",IFERROR(INDEX('Вводные'!$B$88:$B$91,$B$8),"Нет")="Да")),(1+INDEX('Вводные'!$AD$88:$AD$91,$B$8)*'Вводные'!$H$7)^MAX(0,(12*(YEAR(AX$3)-YEAR($B$11))+MONTH(AX$3)-MONTH($B$11)))*(1+IF(MONTH(AX$3)=1,'Вводные'!$B$67,IF(AND(MONTH(AX$3)&gt;=5,MONTH(AX$3)&lt;=8),'Вводные'!$B$70,0))),0)</x:f>
      </x:c>
      <x:c r="AY18" s="35" t="n">
        <x:f>IF(AND(AY$3&gt;=$B$11,AY$3&lt;EDATE($B$11,MAX(1,'Вводные'!$K$33)),AND($B$7="Да",IFERROR(INDEX('Вводные'!$B$88:$B$91,$B$8),"Нет")="Да")),(1+INDEX('Вводные'!$AD$88:$AD$91,$B$8)*'Вводные'!$H$7)^MAX(0,(12*(YEAR(AY$3)-YEAR($B$11))+MONTH(AY$3)-MONTH($B$11)))*(1+IF(MONTH(AY$3)=1,'Вводные'!$B$67,IF(AND(MONTH(AY$3)&gt;=5,MONTH(AY$3)&lt;=8),'Вводные'!$B$70,0))),0)</x:f>
      </x:c>
      <x:c r="AZ18" s="35" t="n">
        <x:f>IF(AND(AZ$3&gt;=$B$11,AZ$3&lt;EDATE($B$11,MAX(1,'Вводные'!$K$33)),AND($B$7="Да",IFERROR(INDEX('Вводные'!$B$88:$B$91,$B$8),"Нет")="Да")),(1+INDEX('Вводные'!$AD$88:$AD$91,$B$8)*'Вводные'!$H$7)^MAX(0,(12*(YEAR(AZ$3)-YEAR($B$11))+MONTH(AZ$3)-MONTH($B$11)))*(1+IF(MONTH(AZ$3)=1,'Вводные'!$B$67,IF(AND(MONTH(AZ$3)&gt;=5,MONTH(AZ$3)&lt;=8),'Вводные'!$B$70,0))),0)</x:f>
      </x:c>
      <x:c r="BA18" s="35" t="n">
        <x:f>IF(AND(BA$3&gt;=$B$11,BA$3&lt;EDATE($B$11,MAX(1,'Вводные'!$K$33)),AND($B$7="Да",IFERROR(INDEX('Вводные'!$B$88:$B$91,$B$8),"Нет")="Да")),(1+INDEX('Вводные'!$AD$88:$AD$91,$B$8)*'Вводные'!$H$7)^MAX(0,(12*(YEAR(BA$3)-YEAR($B$11))+MONTH(BA$3)-MONTH($B$11)))*(1+IF(MONTH(BA$3)=1,'Вводные'!$B$67,IF(AND(MONTH(BA$3)&gt;=5,MONTH(BA$3)&lt;=8),'Вводные'!$B$70,0))),0)</x:f>
      </x:c>
      <x:c r="BB18" s="35" t="n">
        <x:f>IF(AND(BB$3&gt;=$B$11,BB$3&lt;EDATE($B$11,MAX(1,'Вводные'!$K$33)),AND($B$7="Да",IFERROR(INDEX('Вводные'!$B$88:$B$91,$B$8),"Нет")="Да")),(1+INDEX('Вводные'!$AD$88:$AD$91,$B$8)*'Вводные'!$H$7)^MAX(0,(12*(YEAR(BB$3)-YEAR($B$11))+MONTH(BB$3)-MONTH($B$11)))*(1+IF(MONTH(BB$3)=1,'Вводные'!$B$67,IF(AND(MONTH(BB$3)&gt;=5,MONTH(BB$3)&lt;=8),'Вводные'!$B$70,0))),0)</x:f>
      </x:c>
      <x:c r="BC18" s="35" t="n">
        <x:f>IF(AND(BC$3&gt;=$B$11,BC$3&lt;EDATE($B$11,MAX(1,'Вводные'!$K$33)),AND($B$7="Да",IFERROR(INDEX('Вводные'!$B$88:$B$91,$B$8),"Нет")="Да")),(1+INDEX('Вводные'!$AD$88:$AD$91,$B$8)*'Вводные'!$H$7)^MAX(0,(12*(YEAR(BC$3)-YEAR($B$11))+MONTH(BC$3)-MONTH($B$11)))*(1+IF(MONTH(BC$3)=1,'Вводные'!$B$67,IF(AND(MONTH(BC$3)&gt;=5,MONTH(BC$3)&lt;=8),'Вводные'!$B$70,0))),0)</x:f>
      </x:c>
      <x:c r="BD18" s="35" t="n">
        <x:f>IF(AND(BD$3&gt;=$B$11,BD$3&lt;EDATE($B$11,MAX(1,'Вводные'!$K$33)),AND($B$7="Да",IFERROR(INDEX('Вводные'!$B$88:$B$91,$B$8),"Нет")="Да")),(1+INDEX('Вводные'!$AD$88:$AD$91,$B$8)*'Вводные'!$H$7)^MAX(0,(12*(YEAR(BD$3)-YEAR($B$11))+MONTH(BD$3)-MONTH($B$11)))*(1+IF(MONTH(BD$3)=1,'Вводные'!$B$67,IF(AND(MONTH(BD$3)&gt;=5,MONTH(BD$3)&lt;=8),'Вводные'!$B$70,0))),0)</x:f>
      </x:c>
      <x:c r="BE18" s="35" t="n">
        <x:f>IF(AND(BE$3&gt;=$B$11,BE$3&lt;EDATE($B$11,MAX(1,'Вводные'!$K$33)),AND($B$7="Да",IFERROR(INDEX('Вводные'!$B$88:$B$91,$B$8),"Нет")="Да")),(1+INDEX('Вводные'!$AD$88:$AD$91,$B$8)*'Вводные'!$H$7)^MAX(0,(12*(YEAR(BE$3)-YEAR($B$11))+MONTH(BE$3)-MONTH($B$11)))*(1+IF(MONTH(BE$3)=1,'Вводные'!$B$67,IF(AND(MONTH(BE$3)&gt;=5,MONTH(BE$3)&lt;=8),'Вводные'!$B$70,0))),0)</x:f>
      </x:c>
      <x:c r="BF18" s="35" t="n">
        <x:f>IF(AND(BF$3&gt;=$B$11,BF$3&lt;EDATE($B$11,MAX(1,'Вводные'!$K$33)),AND($B$7="Да",IFERROR(INDEX('Вводные'!$B$88:$B$91,$B$8),"Нет")="Да")),(1+INDEX('Вводные'!$AD$88:$AD$91,$B$8)*'Вводные'!$H$7)^MAX(0,(12*(YEAR(BF$3)-YEAR($B$11))+MONTH(BF$3)-MONTH($B$11)))*(1+IF(MONTH(BF$3)=1,'Вводные'!$B$67,IF(AND(MONTH(BF$3)&gt;=5,MONTH(BF$3)&lt;=8),'Вводные'!$B$70,0))),0)</x:f>
      </x:c>
      <x:c r="BG18" s="35" t="n">
        <x:f>IF(AND(BG$3&gt;=$B$11,BG$3&lt;EDATE($B$11,MAX(1,'Вводные'!$K$33)),AND($B$7="Да",IFERROR(INDEX('Вводные'!$B$88:$B$91,$B$8),"Нет")="Да")),(1+INDEX('Вводные'!$AD$88:$AD$91,$B$8)*'Вводные'!$H$7)^MAX(0,(12*(YEAR(BG$3)-YEAR($B$11))+MONTH(BG$3)-MONTH($B$11)))*(1+IF(MONTH(BG$3)=1,'Вводные'!$B$67,IF(AND(MONTH(BG$3)&gt;=5,MONTH(BG$3)&lt;=8),'Вводные'!$B$70,0))),0)</x:f>
      </x:c>
      <x:c r="BH18" s="35" t="n">
        <x:f>IF(AND(BH$3&gt;=$B$11,BH$3&lt;EDATE($B$11,MAX(1,'Вводные'!$K$33)),AND($B$7="Да",IFERROR(INDEX('Вводные'!$B$88:$B$91,$B$8),"Нет")="Да")),(1+INDEX('Вводные'!$AD$88:$AD$91,$B$8)*'Вводные'!$H$7)^MAX(0,(12*(YEAR(BH$3)-YEAR($B$11))+MONTH(BH$3)-MONTH($B$11)))*(1+IF(MONTH(BH$3)=1,'Вводные'!$B$67,IF(AND(MONTH(BH$3)&gt;=5,MONTH(BH$3)&lt;=8),'Вводные'!$B$70,0))),0)</x:f>
      </x:c>
      <x:c r="BI18" s="35" t="n">
        <x:f>IF(AND(BI$3&gt;=$B$11,BI$3&lt;EDATE($B$11,MAX(1,'Вводные'!$K$33)),AND($B$7="Да",IFERROR(INDEX('Вводные'!$B$88:$B$91,$B$8),"Нет")="Да")),(1+INDEX('Вводные'!$AD$88:$AD$91,$B$8)*'Вводные'!$H$7)^MAX(0,(12*(YEAR(BI$3)-YEAR($B$11))+MONTH(BI$3)-MONTH($B$11)))*(1+IF(MONTH(BI$3)=1,'Вводные'!$B$67,IF(AND(MONTH(BI$3)&gt;=5,MONTH(BI$3)&lt;=8),'Вводные'!$B$70,0))),0)</x:f>
      </x:c>
      <x:c r="BJ18" s="35" t="n">
        <x:f>IF(AND(BJ$3&gt;=$B$11,BJ$3&lt;EDATE($B$11,MAX(1,'Вводные'!$K$33)),AND($B$7="Да",IFERROR(INDEX('Вводные'!$B$88:$B$91,$B$8),"Нет")="Да")),(1+INDEX('Вводные'!$AD$88:$AD$91,$B$8)*'Вводные'!$H$7)^MAX(0,(12*(YEAR(BJ$3)-YEAR($B$11))+MONTH(BJ$3)-MONTH($B$11)))*(1+IF(MONTH(BJ$3)=1,'Вводные'!$B$67,IF(AND(MONTH(BJ$3)&gt;=5,MONTH(BJ$3)&lt;=8),'Вводные'!$B$70,0))),0)</x:f>
      </x:c>
      <x:c r="BK18" s="35" t="n">
        <x:f>IF(AND(BK$3&gt;=$B$11,BK$3&lt;EDATE($B$11,MAX(1,'Вводные'!$K$33)),AND($B$7="Да",IFERROR(INDEX('Вводные'!$B$88:$B$91,$B$8),"Нет")="Да")),(1+INDEX('Вводные'!$AD$88:$AD$91,$B$8)*'Вводные'!$H$7)^MAX(0,(12*(YEAR(BK$3)-YEAR($B$11))+MONTH(BK$3)-MONTH($B$11)))*(1+IF(MONTH(BK$3)=1,'Вводные'!$B$67,IF(AND(MONTH(BK$3)&gt;=5,MONTH(BK$3)&lt;=8),'Вводные'!$B$70,0))),0)</x:f>
      </x:c>
      <x:c r="BL18" s="35" t="n">
        <x:f>IF(AND(BL$3&gt;=$B$11,BL$3&lt;EDATE($B$11,MAX(1,'Вводные'!$K$33)),AND($B$7="Да",IFERROR(INDEX('Вводные'!$B$88:$B$91,$B$8),"Нет")="Да")),(1+INDEX('Вводные'!$AD$88:$AD$91,$B$8)*'Вводные'!$H$7)^MAX(0,(12*(YEAR(BL$3)-YEAR($B$11))+MONTH(BL$3)-MONTH($B$11)))*(1+IF(MONTH(BL$3)=1,'Вводные'!$B$67,IF(AND(MONTH(BL$3)&gt;=5,MONTH(BL$3)&lt;=8),'Вводные'!$B$70,0))),0)</x:f>
      </x:c>
      <x:c r="BM18" s="35" t="n">
        <x:f>IF(AND(BM$3&gt;=$B$11,BM$3&lt;EDATE($B$11,MAX(1,'Вводные'!$K$33)),AND($B$7="Да",IFERROR(INDEX('Вводные'!$B$88:$B$91,$B$8),"Нет")="Да")),(1+INDEX('Вводные'!$AD$88:$AD$91,$B$8)*'Вводные'!$H$7)^MAX(0,(12*(YEAR(BM$3)-YEAR($B$11))+MONTH(BM$3)-MONTH($B$11)))*(1+IF(MONTH(BM$3)=1,'Вводные'!$B$67,IF(AND(MONTH(BM$3)&gt;=5,MONTH(BM$3)&lt;=8),'Вводные'!$B$70,0))),0)</x:f>
      </x:c>
      <x:c r="BN18" s="35" t="n">
        <x:f>IF(AND(BN$3&gt;=$B$11,BN$3&lt;EDATE($B$11,MAX(1,'Вводные'!$K$33)),AND($B$7="Да",IFERROR(INDEX('Вводные'!$B$88:$B$91,$B$8),"Нет")="Да")),(1+INDEX('Вводные'!$AD$88:$AD$91,$B$8)*'Вводные'!$H$7)^MAX(0,(12*(YEAR(BN$3)-YEAR($B$11))+MONTH(BN$3)-MONTH($B$11)))*(1+IF(MONTH(BN$3)=1,'Вводные'!$B$67,IF(AND(MONTH(BN$3)&gt;=5,MONTH(BN$3)&lt;=8),'Вводные'!$B$70,0))),0)</x:f>
      </x:c>
      <x:c r="BO18" s="35" t="n">
        <x:f>IF(AND(BO$3&gt;=$B$11,BO$3&lt;EDATE($B$11,MAX(1,'Вводные'!$K$33)),AND($B$7="Да",IFERROR(INDEX('Вводные'!$B$88:$B$91,$B$8),"Нет")="Да")),(1+INDEX('Вводные'!$AD$88:$AD$91,$B$8)*'Вводные'!$H$7)^MAX(0,(12*(YEAR(BO$3)-YEAR($B$11))+MONTH(BO$3)-MONTH($B$11)))*(1+IF(MONTH(BO$3)=1,'Вводные'!$B$67,IF(AND(MONTH(BO$3)&gt;=5,MONTH(BO$3)&lt;=8),'Вводные'!$B$70,0))),0)</x:f>
      </x:c>
      <x:c r="BP18" s="35" t="n">
        <x:f>IF(AND(BP$3&gt;=$B$11,BP$3&lt;EDATE($B$11,MAX(1,'Вводные'!$K$33)),AND($B$7="Да",IFERROR(INDEX('Вводные'!$B$88:$B$91,$B$8),"Нет")="Да")),(1+INDEX('Вводные'!$AD$88:$AD$91,$B$8)*'Вводные'!$H$7)^MAX(0,(12*(YEAR(BP$3)-YEAR($B$11))+MONTH(BP$3)-MONTH($B$11)))*(1+IF(MONTH(BP$3)=1,'Вводные'!$B$67,IF(AND(MONTH(BP$3)&gt;=5,MONTH(BP$3)&lt;=8),'Вводные'!$B$70,0))),0)</x:f>
      </x:c>
      <x:c r="BQ18" s="35" t="n">
        <x:f>IF(AND(BQ$3&gt;=$B$11,BQ$3&lt;EDATE($B$11,MAX(1,'Вводные'!$K$33)),AND($B$7="Да",IFERROR(INDEX('Вводные'!$B$88:$B$91,$B$8),"Нет")="Да")),(1+INDEX('Вводные'!$AD$88:$AD$91,$B$8)*'Вводные'!$H$7)^MAX(0,(12*(YEAR(BQ$3)-YEAR($B$11))+MONTH(BQ$3)-MONTH($B$11)))*(1+IF(MONTH(BQ$3)=1,'Вводные'!$B$67,IF(AND(MONTH(BQ$3)&gt;=5,MONTH(BQ$3)&lt;=8),'Вводные'!$B$70,0))),0)</x:f>
      </x:c>
      <x:c r="BR18" s="35" t="n">
        <x:f>IF(AND(BR$3&gt;=$B$11,BR$3&lt;EDATE($B$11,MAX(1,'Вводные'!$K$33)),AND($B$7="Да",IFERROR(INDEX('Вводные'!$B$88:$B$91,$B$8),"Нет")="Да")),(1+INDEX('Вводные'!$AD$88:$AD$91,$B$8)*'Вводные'!$H$7)^MAX(0,(12*(YEAR(BR$3)-YEAR($B$11))+MONTH(BR$3)-MONTH($B$11)))*(1+IF(MONTH(BR$3)=1,'Вводные'!$B$67,IF(AND(MONTH(BR$3)&gt;=5,MONTH(BR$3)&lt;=8),'Вводные'!$B$70,0))),0)</x:f>
      </x:c>
      <x:c r="BS18" s="35" t="n">
        <x:f>IF(AND(BS$3&gt;=$B$11,BS$3&lt;EDATE($B$11,MAX(1,'Вводные'!$K$33)),AND($B$7="Да",IFERROR(INDEX('Вводные'!$B$88:$B$91,$B$8),"Нет")="Да")),(1+INDEX('Вводные'!$AD$88:$AD$91,$B$8)*'Вводные'!$H$7)^MAX(0,(12*(YEAR(BS$3)-YEAR($B$11))+MONTH(BS$3)-MONTH($B$11)))*(1+IF(MONTH(BS$3)=1,'Вводные'!$B$67,IF(AND(MONTH(BS$3)&gt;=5,MONTH(BS$3)&lt;=8),'Вводные'!$B$70,0))),0)</x:f>
      </x:c>
      <x:c r="BT18" s="35" t="n">
        <x:f>IF(AND(BT$3&gt;=$B$11,BT$3&lt;EDATE($B$11,MAX(1,'Вводные'!$K$33)),AND($B$7="Да",IFERROR(INDEX('Вводные'!$B$88:$B$91,$B$8),"Нет")="Да")),(1+INDEX('Вводные'!$AD$88:$AD$91,$B$8)*'Вводные'!$H$7)^MAX(0,(12*(YEAR(BT$3)-YEAR($B$11))+MONTH(BT$3)-MONTH($B$11)))*(1+IF(MONTH(BT$3)=1,'Вводные'!$B$67,IF(AND(MONTH(BT$3)&gt;=5,MONTH(BT$3)&lt;=8),'Вводные'!$B$70,0))),0)</x:f>
      </x:c>
      <x:c r="BU18" s="35" t="n">
        <x:f>IF(AND(BU$3&gt;=$B$11,BU$3&lt;EDATE($B$11,MAX(1,'Вводные'!$K$33)),AND($B$7="Да",IFERROR(INDEX('Вводные'!$B$88:$B$91,$B$8),"Нет")="Да")),(1+INDEX('Вводные'!$AD$88:$AD$91,$B$8)*'Вводные'!$H$7)^MAX(0,(12*(YEAR(BU$3)-YEAR($B$11))+MONTH(BU$3)-MONTH($B$11)))*(1+IF(MONTH(BU$3)=1,'Вводные'!$B$67,IF(AND(MONTH(BU$3)&gt;=5,MONTH(BU$3)&lt;=8),'Вводные'!$B$70,0))),0)</x:f>
      </x:c>
      <x:c r="BV18" s="35" t="n">
        <x:f>IF(AND(BV$3&gt;=$B$11,BV$3&lt;EDATE($B$11,MAX(1,'Вводные'!$K$33)),AND($B$7="Да",IFERROR(INDEX('Вводные'!$B$88:$B$91,$B$8),"Нет")="Да")),(1+INDEX('Вводные'!$AD$88:$AD$91,$B$8)*'Вводные'!$H$7)^MAX(0,(12*(YEAR(BV$3)-YEAR($B$11))+MONTH(BV$3)-MONTH($B$11)))*(1+IF(MONTH(BV$3)=1,'Вводные'!$B$67,IF(AND(MONTH(BV$3)&gt;=5,MONTH(BV$3)&lt;=8),'Вводные'!$B$70,0))),0)</x:f>
      </x:c>
      <x:c r="BW18" s="35" t="n">
        <x:f>IF(AND(BW$3&gt;=$B$11,BW$3&lt;EDATE($B$11,MAX(1,'Вводные'!$K$33)),AND($B$7="Да",IFERROR(INDEX('Вводные'!$B$88:$B$91,$B$8),"Нет")="Да")),(1+INDEX('Вводные'!$AD$88:$AD$91,$B$8)*'Вводные'!$H$7)^MAX(0,(12*(YEAR(BW$3)-YEAR($B$11))+MONTH(BW$3)-MONTH($B$11)))*(1+IF(MONTH(BW$3)=1,'Вводные'!$B$67,IF(AND(MONTH(BW$3)&gt;=5,MONTH(BW$3)&lt;=8),'Вводные'!$B$70,0))),0)</x:f>
      </x:c>
      <x:c r="BX18" s="35" t="n">
        <x:f>IF(AND(BX$3&gt;=$B$11,BX$3&lt;EDATE($B$11,MAX(1,'Вводные'!$K$33)),AND($B$7="Да",IFERROR(INDEX('Вводные'!$B$88:$B$91,$B$8),"Нет")="Да")),(1+INDEX('Вводные'!$AD$88:$AD$91,$B$8)*'Вводные'!$H$7)^MAX(0,(12*(YEAR(BX$3)-YEAR($B$11))+MONTH(BX$3)-MONTH($B$11)))*(1+IF(MONTH(BX$3)=1,'Вводные'!$B$67,IF(AND(MONTH(BX$3)&gt;=5,MONTH(BX$3)&lt;=8),'Вводные'!$B$70,0))),0)</x:f>
      </x:c>
      <x:c r="BY18" s="35" t="n">
        <x:f>IF(AND(BY$3&gt;=$B$11,BY$3&lt;EDATE($B$11,MAX(1,'Вводные'!$K$33)),AND($B$7="Да",IFERROR(INDEX('Вводные'!$B$88:$B$91,$B$8),"Нет")="Да")),(1+INDEX('Вводные'!$AD$88:$AD$91,$B$8)*'Вводные'!$H$7)^MAX(0,(12*(YEAR(BY$3)-YEAR($B$11))+MONTH(BY$3)-MONTH($B$11)))*(1+IF(MONTH(BY$3)=1,'Вводные'!$B$67,IF(AND(MONTH(BY$3)&gt;=5,MONTH(BY$3)&lt;=8),'Вводные'!$B$70,0))),0)</x:f>
      </x:c>
      <x:c r="BZ18" s="35" t="n">
        <x:f>IF(AND(BZ$3&gt;=$B$11,BZ$3&lt;EDATE($B$11,MAX(1,'Вводные'!$K$33)),AND($B$7="Да",IFERROR(INDEX('Вводные'!$B$88:$B$91,$B$8),"Нет")="Да")),(1+INDEX('Вводные'!$AD$88:$AD$91,$B$8)*'Вводные'!$H$7)^MAX(0,(12*(YEAR(BZ$3)-YEAR($B$11))+MONTH(BZ$3)-MONTH($B$11)))*(1+IF(MONTH(BZ$3)=1,'Вводные'!$B$67,IF(AND(MONTH(BZ$3)&gt;=5,MONTH(BZ$3)&lt;=8),'Вводные'!$B$70,0))),0)</x:f>
      </x:c>
      <x:c r="CA18" s="35" t="n">
        <x:f>IF(AND(CA$3&gt;=$B$11,CA$3&lt;EDATE($B$11,MAX(1,'Вводные'!$K$33)),AND($B$7="Да",IFERROR(INDEX('Вводные'!$B$88:$B$91,$B$8),"Нет")="Да")),(1+INDEX('Вводные'!$AD$88:$AD$91,$B$8)*'Вводные'!$H$7)^MAX(0,(12*(YEAR(CA$3)-YEAR($B$11))+MONTH(CA$3)-MONTH($B$11)))*(1+IF(MONTH(CA$3)=1,'Вводные'!$B$67,IF(AND(MONTH(CA$3)&gt;=5,MONTH(CA$3)&lt;=8),'Вводные'!$B$70,0))),0)</x:f>
      </x:c>
      <x:c r="CB18" s="35" t="n">
        <x:f>IF(AND(CB$3&gt;=$B$11,CB$3&lt;EDATE($B$11,MAX(1,'Вводные'!$K$33)),AND($B$7="Да",IFERROR(INDEX('Вводные'!$B$88:$B$91,$B$8),"Нет")="Да")),(1+INDEX('Вводные'!$AD$88:$AD$91,$B$8)*'Вводные'!$H$7)^MAX(0,(12*(YEAR(CB$3)-YEAR($B$11))+MONTH(CB$3)-MONTH($B$11)))*(1+IF(MONTH(CB$3)=1,'Вводные'!$B$67,IF(AND(MONTH(CB$3)&gt;=5,MONTH(CB$3)&lt;=8),'Вводные'!$B$70,0))),0)</x:f>
      </x:c>
      <x:c r="CC18" s="35" t="n">
        <x:f>IF(AND(CC$3&gt;=$B$11,CC$3&lt;EDATE($B$11,MAX(1,'Вводные'!$K$33)),AND($B$7="Да",IFERROR(INDEX('Вводные'!$B$88:$B$91,$B$8),"Нет")="Да")),(1+INDEX('Вводные'!$AD$88:$AD$91,$B$8)*'Вводные'!$H$7)^MAX(0,(12*(YEAR(CC$3)-YEAR($B$11))+MONTH(CC$3)-MONTH($B$11)))*(1+IF(MONTH(CC$3)=1,'Вводные'!$B$67,IF(AND(MONTH(CC$3)&gt;=5,MONTH(CC$3)&lt;=8),'Вводные'!$B$70,0))),0)</x:f>
      </x:c>
      <x:c r="CD18" s="35" t="n">
        <x:f>IF(AND(CD$3&gt;=$B$11,CD$3&lt;EDATE($B$11,MAX(1,'Вводные'!$K$33)),AND($B$7="Да",IFERROR(INDEX('Вводные'!$B$88:$B$91,$B$8),"Нет")="Да")),(1+INDEX('Вводные'!$AD$88:$AD$91,$B$8)*'Вводные'!$H$7)^MAX(0,(12*(YEAR(CD$3)-YEAR($B$11))+MONTH(CD$3)-MONTH($B$11)))*(1+IF(MONTH(CD$3)=1,'Вводные'!$B$67,IF(AND(MONTH(CD$3)&gt;=5,MONTH(CD$3)&lt;=8),'Вводные'!$B$70,0))),0)</x:f>
      </x:c>
      <x:c r="CE18" s="35" t="n">
        <x:f>IF(AND(CE$3&gt;=$B$11,CE$3&lt;EDATE($B$11,MAX(1,'Вводные'!$K$33)),AND($B$7="Да",IFERROR(INDEX('Вводные'!$B$88:$B$91,$B$8),"Нет")="Да")),(1+INDEX('Вводные'!$AD$88:$AD$91,$B$8)*'Вводные'!$H$7)^MAX(0,(12*(YEAR(CE$3)-YEAR($B$11))+MONTH(CE$3)-MONTH($B$11)))*(1+IF(MONTH(CE$3)=1,'Вводные'!$B$67,IF(AND(MONTH(CE$3)&gt;=5,MONTH(CE$3)&lt;=8),'Вводные'!$B$70,0))),0)</x:f>
      </x:c>
      <x:c r="CF18" s="35" t="n">
        <x:f>IF(AND(CF$3&gt;=$B$11,CF$3&lt;EDATE($B$11,MAX(1,'Вводные'!$K$33)),AND($B$7="Да",IFERROR(INDEX('Вводные'!$B$88:$B$91,$B$8),"Нет")="Да")),(1+INDEX('Вводные'!$AD$88:$AD$91,$B$8)*'Вводные'!$H$7)^MAX(0,(12*(YEAR(CF$3)-YEAR($B$11))+MONTH(CF$3)-MONTH($B$11)))*(1+IF(MONTH(CF$3)=1,'Вводные'!$B$67,IF(AND(MONTH(CF$3)&gt;=5,MONTH(CF$3)&lt;=8),'Вводные'!$B$70,0))),0)</x:f>
      </x:c>
      <x:c r="CG18" s="35" t="n">
        <x:f>IF(AND(CG$3&gt;=$B$11,CG$3&lt;EDATE($B$11,MAX(1,'Вводные'!$K$33)),AND($B$7="Да",IFERROR(INDEX('Вводные'!$B$88:$B$91,$B$8),"Нет")="Да")),(1+INDEX('Вводные'!$AD$88:$AD$91,$B$8)*'Вводные'!$H$7)^MAX(0,(12*(YEAR(CG$3)-YEAR($B$11))+MONTH(CG$3)-MONTH($B$11)))*(1+IF(MONTH(CG$3)=1,'Вводные'!$B$67,IF(AND(MONTH(CG$3)&gt;=5,MONTH(CG$3)&lt;=8),'Вводные'!$B$70,0))),0)</x:f>
      </x:c>
      <x:c r="CH18" s="35" t="n">
        <x:f>IF(AND(CH$3&gt;=$B$11,CH$3&lt;EDATE($B$11,MAX(1,'Вводные'!$K$33)),AND($B$7="Да",IFERROR(INDEX('Вводные'!$B$88:$B$91,$B$8),"Нет")="Да")),(1+INDEX('Вводные'!$AD$88:$AD$91,$B$8)*'Вводные'!$H$7)^MAX(0,(12*(YEAR(CH$3)-YEAR($B$11))+MONTH(CH$3)-MONTH($B$11)))*(1+IF(MONTH(CH$3)=1,'Вводные'!$B$67,IF(AND(MONTH(CH$3)&gt;=5,MONTH(CH$3)&lt;=8),'Вводные'!$B$70,0))),0)</x:f>
      </x:c>
      <x:c r="CI18" s="35" t="n">
        <x:f>IF(AND(CI$3&gt;=$B$11,CI$3&lt;EDATE($B$11,MAX(1,'Вводные'!$K$33)),AND($B$7="Да",IFERROR(INDEX('Вводные'!$B$88:$B$91,$B$8),"Нет")="Да")),(1+INDEX('Вводные'!$AD$88:$AD$91,$B$8)*'Вводные'!$H$7)^MAX(0,(12*(YEAR(CI$3)-YEAR($B$11))+MONTH(CI$3)-MONTH($B$11)))*(1+IF(MONTH(CI$3)=1,'Вводные'!$B$67,IF(AND(MONTH(CI$3)&gt;=5,MONTH(CI$3)&lt;=8),'Вводные'!$B$70,0))),0)</x:f>
      </x:c>
      <x:c r="CJ18" s="35" t="n">
        <x:f>IF(AND(CJ$3&gt;=$B$11,CJ$3&lt;EDATE($B$11,MAX(1,'Вводные'!$K$33)),AND($B$7="Да",IFERROR(INDEX('Вводные'!$B$88:$B$91,$B$8),"Нет")="Да")),(1+INDEX('Вводные'!$AD$88:$AD$91,$B$8)*'Вводные'!$H$7)^MAX(0,(12*(YEAR(CJ$3)-YEAR($B$11))+MONTH(CJ$3)-MONTH($B$11)))*(1+IF(MONTH(CJ$3)=1,'Вводные'!$B$67,IF(AND(MONTH(CJ$3)&gt;=5,MONTH(CJ$3)&lt;=8),'Вводные'!$B$70,0))),0)</x:f>
      </x:c>
      <x:c r="CK18" s="35" t="n">
        <x:f>IF(AND(CK$3&gt;=$B$11,CK$3&lt;EDATE($B$11,MAX(1,'Вводные'!$K$33)),AND($B$7="Да",IFERROR(INDEX('Вводные'!$B$88:$B$91,$B$8),"Нет")="Да")),(1+INDEX('Вводные'!$AD$88:$AD$91,$B$8)*'Вводные'!$H$7)^MAX(0,(12*(YEAR(CK$3)-YEAR($B$11))+MONTH(CK$3)-MONTH($B$11)))*(1+IF(MONTH(CK$3)=1,'Вводные'!$B$67,IF(AND(MONTH(CK$3)&gt;=5,MONTH(CK$3)&lt;=8),'Вводные'!$B$70,0))),0)</x:f>
      </x:c>
      <x:c r="CL18" s="35" t="n">
        <x:f>IF(AND(CL$3&gt;=$B$11,CL$3&lt;EDATE($B$11,MAX(1,'Вводные'!$K$33)),AND($B$7="Да",IFERROR(INDEX('Вводные'!$B$88:$B$91,$B$8),"Нет")="Да")),(1+INDEX('Вводные'!$AD$88:$AD$91,$B$8)*'Вводные'!$H$7)^MAX(0,(12*(YEAR(CL$3)-YEAR($B$11))+MONTH(CL$3)-MONTH($B$11)))*(1+IF(MONTH(CL$3)=1,'Вводные'!$B$67,IF(AND(MONTH(CL$3)&gt;=5,MONTH(CL$3)&lt;=8),'Вводные'!$B$70,0))),0)</x:f>
      </x:c>
      <x:c r="CM18" s="35" t="n">
        <x:f>IF(AND(CM$3&gt;=$B$11,CM$3&lt;EDATE($B$11,MAX(1,'Вводные'!$K$33)),AND($B$7="Да",IFERROR(INDEX('Вводные'!$B$88:$B$91,$B$8),"Нет")="Да")),(1+INDEX('Вводные'!$AD$88:$AD$91,$B$8)*'Вводные'!$H$7)^MAX(0,(12*(YEAR(CM$3)-YEAR($B$11))+MONTH(CM$3)-MONTH($B$11)))*(1+IF(MONTH(CM$3)=1,'Вводные'!$B$67,IF(AND(MONTH(CM$3)&gt;=5,MONTH(CM$3)&lt;=8),'Вводные'!$B$70,0))),0)</x:f>
      </x:c>
      <x:c r="CN18" s="35" t="n">
        <x:f>IF(AND(CN$3&gt;=$B$11,CN$3&lt;EDATE($B$11,MAX(1,'Вводные'!$K$33)),AND($B$7="Да",IFERROR(INDEX('Вводные'!$B$88:$B$91,$B$8),"Нет")="Да")),(1+INDEX('Вводные'!$AD$88:$AD$91,$B$8)*'Вводные'!$H$7)^MAX(0,(12*(YEAR(CN$3)-YEAR($B$11))+MONTH(CN$3)-MONTH($B$11)))*(1+IF(MONTH(CN$3)=1,'Вводные'!$B$67,IF(AND(MONTH(CN$3)&gt;=5,MONTH(CN$3)&lt;=8),'Вводные'!$B$70,0))),0)</x:f>
      </x:c>
      <x:c r="CO18" s="35" t="n">
        <x:f>IF(AND(CO$3&gt;=$B$11,CO$3&lt;EDATE($B$11,MAX(1,'Вводные'!$K$33)),AND($B$7="Да",IFERROR(INDEX('Вводные'!$B$88:$B$91,$B$8),"Нет")="Да")),(1+INDEX('Вводные'!$AD$88:$AD$91,$B$8)*'Вводные'!$H$7)^MAX(0,(12*(YEAR(CO$3)-YEAR($B$11))+MONTH(CO$3)-MONTH($B$11)))*(1+IF(MONTH(CO$3)=1,'Вводные'!$B$67,IF(AND(MONTH(CO$3)&gt;=5,MONTH(CO$3)&lt;=8),'Вводные'!$B$70,0))),0)</x:f>
      </x:c>
      <x:c r="CP18" s="35" t="n">
        <x:f>IF(AND(CP$3&gt;=$B$11,CP$3&lt;EDATE($B$11,MAX(1,'Вводные'!$K$33)),AND($B$7="Да",IFERROR(INDEX('Вводные'!$B$88:$B$91,$B$8),"Нет")="Да")),(1+INDEX('Вводные'!$AD$88:$AD$91,$B$8)*'Вводные'!$H$7)^MAX(0,(12*(YEAR(CP$3)-YEAR($B$11))+MONTH(CP$3)-MONTH($B$11)))*(1+IF(MONTH(CP$3)=1,'Вводные'!$B$67,IF(AND(MONTH(CP$3)&gt;=5,MONTH(CP$3)&lt;=8),'Вводные'!$B$70,0))),0)</x:f>
      </x:c>
      <x:c r="CQ18" s="35" t="n">
        <x:f>IF(AND(CQ$3&gt;=$B$11,CQ$3&lt;EDATE($B$11,MAX(1,'Вводные'!$K$33)),AND($B$7="Да",IFERROR(INDEX('Вводные'!$B$88:$B$91,$B$8),"Нет")="Да")),(1+INDEX('Вводные'!$AD$88:$AD$91,$B$8)*'Вводные'!$H$7)^MAX(0,(12*(YEAR(CQ$3)-YEAR($B$11))+MONTH(CQ$3)-MONTH($B$11)))*(1+IF(MONTH(CQ$3)=1,'Вводные'!$B$67,IF(AND(MONTH(CQ$3)&gt;=5,MONTH(CQ$3)&lt;=8),'Вводные'!$B$70,0))),0)</x:f>
      </x:c>
      <x:c r="CR18" s="35" t="n">
        <x:f>IF(AND(CR$3&gt;=$B$11,CR$3&lt;EDATE($B$11,MAX(1,'Вводные'!$K$33)),AND($B$7="Да",IFERROR(INDEX('Вводные'!$B$88:$B$91,$B$8),"Нет")="Да")),(1+INDEX('Вводные'!$AD$88:$AD$91,$B$8)*'Вводные'!$H$7)^MAX(0,(12*(YEAR(CR$3)-YEAR($B$11))+MONTH(CR$3)-MONTH($B$11)))*(1+IF(MONTH(CR$3)=1,'Вводные'!$B$67,IF(AND(MONTH(CR$3)&gt;=5,MONTH(CR$3)&lt;=8),'Вводные'!$B$70,0))),0)</x:f>
      </x:c>
      <x:c r="CS18" s="35" t="n">
        <x:f>IF(AND(CS$3&gt;=$B$11,CS$3&lt;EDATE($B$11,MAX(1,'Вводные'!$K$33)),AND($B$7="Да",IFERROR(INDEX('Вводные'!$B$88:$B$91,$B$8),"Нет")="Да")),(1+INDEX('Вводные'!$AD$88:$AD$91,$B$8)*'Вводные'!$H$7)^MAX(0,(12*(YEAR(CS$3)-YEAR($B$11))+MONTH(CS$3)-MONTH($B$11)))*(1+IF(MONTH(CS$3)=1,'Вводные'!$B$67,IF(AND(MONTH(CS$3)&gt;=5,MONTH(CS$3)&lt;=8),'Вводные'!$B$70,0))),0)</x:f>
      </x:c>
      <x:c r="CT18" s="35" t="n">
        <x:f>IF(AND(CT$3&gt;=$B$11,CT$3&lt;EDATE($B$11,MAX(1,'Вводные'!$K$33)),AND($B$7="Да",IFERROR(INDEX('Вводные'!$B$88:$B$91,$B$8),"Нет")="Да")),(1+INDEX('Вводные'!$AD$88:$AD$91,$B$8)*'Вводные'!$H$7)^MAX(0,(12*(YEAR(CT$3)-YEAR($B$11))+MONTH(CT$3)-MONTH($B$11)))*(1+IF(MONTH(CT$3)=1,'Вводные'!$B$67,IF(AND(MONTH(CT$3)&gt;=5,MONTH(CT$3)&lt;=8),'Вводные'!$B$70,0))),0)</x:f>
      </x:c>
      <x:c r="CU18" s="35" t="n">
        <x:f>IF(AND(CU$3&gt;=$B$11,CU$3&lt;EDATE($B$11,MAX(1,'Вводные'!$K$33)),AND($B$7="Да",IFERROR(INDEX('Вводные'!$B$88:$B$91,$B$8),"Нет")="Да")),(1+INDEX('Вводные'!$AD$88:$AD$91,$B$8)*'Вводные'!$H$7)^MAX(0,(12*(YEAR(CU$3)-YEAR($B$11))+MONTH(CU$3)-MONTH($B$11)))*(1+IF(MONTH(CU$3)=1,'Вводные'!$B$67,IF(AND(MONTH(CU$3)&gt;=5,MONTH(CU$3)&lt;=8),'Вводные'!$B$70,0))),0)</x:f>
      </x:c>
      <x:c r="CV18" s="35" t="n">
        <x:f>IF(AND(CV$3&gt;=$B$11,CV$3&lt;EDATE($B$11,MAX(1,'Вводные'!$K$33)),AND($B$7="Да",IFERROR(INDEX('Вводные'!$B$88:$B$91,$B$8),"Нет")="Да")),(1+INDEX('Вводные'!$AD$88:$AD$91,$B$8)*'Вводные'!$H$7)^MAX(0,(12*(YEAR(CV$3)-YEAR($B$11))+MONTH(CV$3)-MONTH($B$11)))*(1+IF(MONTH(CV$3)=1,'Вводные'!$B$67,IF(AND(MONTH(CV$3)&gt;=5,MONTH(CV$3)&lt;=8),'Вводные'!$B$70,0))),0)</x:f>
      </x:c>
      <x:c r="CW18" s="35" t="n">
        <x:f>IF(AND(CW$3&gt;=$B$11,CW$3&lt;EDATE($B$11,MAX(1,'Вводные'!$K$33)),AND($B$7="Да",IFERROR(INDEX('Вводные'!$B$88:$B$91,$B$8),"Нет")="Да")),(1+INDEX('Вводные'!$AD$88:$AD$91,$B$8)*'Вводные'!$H$7)^MAX(0,(12*(YEAR(CW$3)-YEAR($B$11))+MONTH(CW$3)-MONTH($B$11)))*(1+IF(MONTH(CW$3)=1,'Вводные'!$B$67,IF(AND(MONTH(CW$3)&gt;=5,MONTH(CW$3)&lt;=8),'Вводные'!$B$70,0))),0)</x:f>
      </x:c>
      <x:c r="CX18" s="35" t="n">
        <x:f>IF(AND(CX$3&gt;=$B$11,CX$3&lt;EDATE($B$11,MAX(1,'Вводные'!$K$33)),AND($B$7="Да",IFERROR(INDEX('Вводные'!$B$88:$B$91,$B$8),"Нет")="Да")),(1+INDEX('Вводные'!$AD$88:$AD$91,$B$8)*'Вводные'!$H$7)^MAX(0,(12*(YEAR(CX$3)-YEAR($B$11))+MONTH(CX$3)-MONTH($B$11)))*(1+IF(MONTH(CX$3)=1,'Вводные'!$B$67,IF(AND(MONTH(CX$3)&gt;=5,MONTH(CX$3)&lt;=8),'Вводные'!$B$70,0))),0)</x:f>
      </x:c>
      <x:c r="CY18" s="35" t="n">
        <x:f>IF(AND(CY$3&gt;=$B$11,CY$3&lt;EDATE($B$11,MAX(1,'Вводные'!$K$33)),AND($B$7="Да",IFERROR(INDEX('Вводные'!$B$88:$B$91,$B$8),"Нет")="Да")),(1+INDEX('Вводные'!$AD$88:$AD$91,$B$8)*'Вводные'!$H$7)^MAX(0,(12*(YEAR(CY$3)-YEAR($B$11))+MONTH(CY$3)-MONTH($B$11)))*(1+IF(MONTH(CY$3)=1,'Вводные'!$B$67,IF(AND(MONTH(CY$3)&gt;=5,MONTH(CY$3)&lt;=8),'Вводные'!$B$70,0))),0)</x:f>
      </x:c>
      <x:c r="CZ18" s="35" t="n">
        <x:f>IF(AND(CZ$3&gt;=$B$11,CZ$3&lt;EDATE($B$11,MAX(1,'Вводные'!$K$33)),AND($B$7="Да",IFERROR(INDEX('Вводные'!$B$88:$B$91,$B$8),"Нет")="Да")),(1+INDEX('Вводные'!$AD$88:$AD$91,$B$8)*'Вводные'!$H$7)^MAX(0,(12*(YEAR(CZ$3)-YEAR($B$11))+MONTH(CZ$3)-MONTH($B$11)))*(1+IF(MONTH(CZ$3)=1,'Вводные'!$B$67,IF(AND(MONTH(CZ$3)&gt;=5,MONTH(CZ$3)&lt;=8),'Вводные'!$B$70,0))),0)</x:f>
      </x:c>
      <x:c r="DA18" s="35" t="n">
        <x:f>IF(AND(DA$3&gt;=$B$11,DA$3&lt;EDATE($B$11,MAX(1,'Вводные'!$K$33)),AND($B$7="Да",IFERROR(INDEX('Вводные'!$B$88:$B$91,$B$8),"Нет")="Да")),(1+INDEX('Вводные'!$AD$88:$AD$91,$B$8)*'Вводные'!$H$7)^MAX(0,(12*(YEAR(DA$3)-YEAR($B$11))+MONTH(DA$3)-MONTH($B$11)))*(1+IF(MONTH(DA$3)=1,'Вводные'!$B$67,IF(AND(MONTH(DA$3)&gt;=5,MONTH(DA$3)&lt;=8),'Вводные'!$B$70,0))),0)</x:f>
      </x:c>
      <x:c r="DB18" s="35" t="n">
        <x:f>IF(AND(DB$3&gt;=$B$11,DB$3&lt;EDATE($B$11,MAX(1,'Вводные'!$K$33)),AND($B$7="Да",IFERROR(INDEX('Вводные'!$B$88:$B$91,$B$8),"Нет")="Да")),(1+INDEX('Вводные'!$AD$88:$AD$91,$B$8)*'Вводные'!$H$7)^MAX(0,(12*(YEAR(DB$3)-YEAR($B$11))+MONTH(DB$3)-MONTH($B$11)))*(1+IF(MONTH(DB$3)=1,'Вводные'!$B$67,IF(AND(MONTH(DB$3)&gt;=5,MONTH(DB$3)&lt;=8),'Вводные'!$B$70,0))),0)</x:f>
      </x:c>
      <x:c r="DC18" s="35" t="n">
        <x:f>IF(AND(DC$3&gt;=$B$11,DC$3&lt;EDATE($B$11,MAX(1,'Вводные'!$K$33)),AND($B$7="Да",IFERROR(INDEX('Вводные'!$B$88:$B$91,$B$8),"Нет")="Да")),(1+INDEX('Вводные'!$AD$88:$AD$91,$B$8)*'Вводные'!$H$7)^MAX(0,(12*(YEAR(DC$3)-YEAR($B$11))+MONTH(DC$3)-MONTH($B$11)))*(1+IF(MONTH(DC$3)=1,'Вводные'!$B$67,IF(AND(MONTH(DC$3)&gt;=5,MONTH(DC$3)&lt;=8),'Вводные'!$B$70,0))),0)</x:f>
      </x:c>
      <x:c r="DD18" s="35" t="n">
        <x:f>IF(AND(DD$3&gt;=$B$11,DD$3&lt;EDATE($B$11,MAX(1,'Вводные'!$K$33)),AND($B$7="Да",IFERROR(INDEX('Вводные'!$B$88:$B$91,$B$8),"Нет")="Да")),(1+INDEX('Вводные'!$AD$88:$AD$91,$B$8)*'Вводные'!$H$7)^MAX(0,(12*(YEAR(DD$3)-YEAR($B$11))+MONTH(DD$3)-MONTH($B$11)))*(1+IF(MONTH(DD$3)=1,'Вводные'!$B$67,IF(AND(MONTH(DD$3)&gt;=5,MONTH(DD$3)&lt;=8),'Вводные'!$B$70,0))),0)</x:f>
      </x:c>
      <x:c r="DE18" s="35" t="n">
        <x:f>IF(AND(DE$3&gt;=$B$11,DE$3&lt;EDATE($B$11,MAX(1,'Вводные'!$K$33)),AND($B$7="Да",IFERROR(INDEX('Вводные'!$B$88:$B$91,$B$8),"Нет")="Да")),(1+INDEX('Вводные'!$AD$88:$AD$91,$B$8)*'Вводные'!$H$7)^MAX(0,(12*(YEAR(DE$3)-YEAR($B$11))+MONTH(DE$3)-MONTH($B$11)))*(1+IF(MONTH(DE$3)=1,'Вводные'!$B$67,IF(AND(MONTH(DE$3)&gt;=5,MONTH(DE$3)&lt;=8),'Вводные'!$B$70,0))),0)</x:f>
      </x:c>
      <x:c r="DF18" s="35" t="n">
        <x:f>IF(AND(DF$3&gt;=$B$11,DF$3&lt;EDATE($B$11,MAX(1,'Вводные'!$K$33)),AND($B$7="Да",IFERROR(INDEX('Вводные'!$B$88:$B$91,$B$8),"Нет")="Да")),(1+INDEX('Вводные'!$AD$88:$AD$91,$B$8)*'Вводные'!$H$7)^MAX(0,(12*(YEAR(DF$3)-YEAR($B$11))+MONTH(DF$3)-MONTH($B$11)))*(1+IF(MONTH(DF$3)=1,'Вводные'!$B$67,IF(AND(MONTH(DF$3)&gt;=5,MONTH(DF$3)&lt;=8),'Вводные'!$B$70,0))),0)</x:f>
      </x:c>
      <x:c r="DG18" s="35" t="n">
        <x:f>IF(AND(DG$3&gt;=$B$11,DG$3&lt;EDATE($B$11,MAX(1,'Вводные'!$K$33)),AND($B$7="Да",IFERROR(INDEX('Вводные'!$B$88:$B$91,$B$8),"Нет")="Да")),(1+INDEX('Вводные'!$AD$88:$AD$91,$B$8)*'Вводные'!$H$7)^MAX(0,(12*(YEAR(DG$3)-YEAR($B$11))+MONTH(DG$3)-MONTH($B$11)))*(1+IF(MONTH(DG$3)=1,'Вводные'!$B$67,IF(AND(MONTH(DG$3)&gt;=5,MONTH(DG$3)&lt;=8),'Вводные'!$B$70,0))),0)</x:f>
      </x:c>
      <x:c r="DH18" s="35" t="n">
        <x:f>IF(AND(DH$3&gt;=$B$11,DH$3&lt;EDATE($B$11,MAX(1,'Вводные'!$K$33)),AND($B$7="Да",IFERROR(INDEX('Вводные'!$B$88:$B$91,$B$8),"Нет")="Да")),(1+INDEX('Вводные'!$AD$88:$AD$91,$B$8)*'Вводные'!$H$7)^MAX(0,(12*(YEAR(DH$3)-YEAR($B$11))+MONTH(DH$3)-MONTH($B$11)))*(1+IF(MONTH(DH$3)=1,'Вводные'!$B$67,IF(AND(MONTH(DH$3)&gt;=5,MONTH(DH$3)&lt;=8),'Вводные'!$B$70,0))),0)</x:f>
      </x:c>
      <x:c r="DI18" s="35" t="n">
        <x:f>IF(AND(DI$3&gt;=$B$11,DI$3&lt;EDATE($B$11,MAX(1,'Вводные'!$K$33)),AND($B$7="Да",IFERROR(INDEX('Вводные'!$B$88:$B$91,$B$8),"Нет")="Да")),(1+INDEX('Вводные'!$AD$88:$AD$91,$B$8)*'Вводные'!$H$7)^MAX(0,(12*(YEAR(DI$3)-YEAR($B$11))+MONTH(DI$3)-MONTH($B$11)))*(1+IF(MONTH(DI$3)=1,'Вводные'!$B$67,IF(AND(MONTH(DI$3)&gt;=5,MONTH(DI$3)&lt;=8),'Вводные'!$B$70,0))),0)</x:f>
      </x:c>
      <x:c r="DJ18" s="35" t="n">
        <x:f>IF(AND(DJ$3&gt;=$B$11,DJ$3&lt;EDATE($B$11,MAX(1,'Вводные'!$K$33)),AND($B$7="Да",IFERROR(INDEX('Вводные'!$B$88:$B$91,$B$8),"Нет")="Да")),(1+INDEX('Вводные'!$AD$88:$AD$91,$B$8)*'Вводные'!$H$7)^MAX(0,(12*(YEAR(DJ$3)-YEAR($B$11))+MONTH(DJ$3)-MONTH($B$11)))*(1+IF(MONTH(DJ$3)=1,'Вводные'!$B$67,IF(AND(MONTH(DJ$3)&gt;=5,MONTH(DJ$3)&lt;=8),'Вводные'!$B$70,0))),0)</x:f>
      </x:c>
      <x:c r="DK18" s="35" t="n">
        <x:f>IF(AND(DK$3&gt;=$B$11,DK$3&lt;EDATE($B$11,MAX(1,'Вводные'!$K$33)),AND($B$7="Да",IFERROR(INDEX('Вводные'!$B$88:$B$91,$B$8),"Нет")="Да")),(1+INDEX('Вводные'!$AD$88:$AD$91,$B$8)*'Вводные'!$H$7)^MAX(0,(12*(YEAR(DK$3)-YEAR($B$11))+MONTH(DK$3)-MONTH($B$11)))*(1+IF(MONTH(DK$3)=1,'Вводные'!$B$67,IF(AND(MONTH(DK$3)&gt;=5,MONTH(DK$3)&lt;=8),'Вводные'!$B$70,0))),0)</x:f>
      </x:c>
      <x:c r="DL18" s="35" t="n">
        <x:f>IF(AND(DL$3&gt;=$B$11,DL$3&lt;EDATE($B$11,MAX(1,'Вводные'!$K$33)),AND($B$7="Да",IFERROR(INDEX('Вводные'!$B$88:$B$91,$B$8),"Нет")="Да")),(1+INDEX('Вводные'!$AD$88:$AD$91,$B$8)*'Вводные'!$H$7)^MAX(0,(12*(YEAR(DL$3)-YEAR($B$11))+MONTH(DL$3)-MONTH($B$11)))*(1+IF(MONTH(DL$3)=1,'Вводные'!$B$67,IF(AND(MONTH(DL$3)&gt;=5,MONTH(DL$3)&lt;=8),'Вводные'!$B$70,0))),0)</x:f>
      </x:c>
      <x:c r="DM18" s="35" t="n">
        <x:f>IF(AND(DM$3&gt;=$B$11,DM$3&lt;EDATE($B$11,MAX(1,'Вводные'!$K$33)),AND($B$7="Да",IFERROR(INDEX('Вводные'!$B$88:$B$91,$B$8),"Нет")="Да")),(1+INDEX('Вводные'!$AD$88:$AD$91,$B$8)*'Вводные'!$H$7)^MAX(0,(12*(YEAR(DM$3)-YEAR($B$11))+MONTH(DM$3)-MONTH($B$11)))*(1+IF(MONTH(DM$3)=1,'Вводные'!$B$67,IF(AND(MONTH(DM$3)&gt;=5,MONTH(DM$3)&lt;=8),'Вводные'!$B$70,0))),0)</x:f>
      </x:c>
      <x:c r="DN18" s="35" t="n">
        <x:f>IF(AND(DN$3&gt;=$B$11,DN$3&lt;EDATE($B$11,MAX(1,'Вводные'!$K$33)),AND($B$7="Да",IFERROR(INDEX('Вводные'!$B$88:$B$91,$B$8),"Нет")="Да")),(1+INDEX('Вводные'!$AD$88:$AD$91,$B$8)*'Вводные'!$H$7)^MAX(0,(12*(YEAR(DN$3)-YEAR($B$11))+MONTH(DN$3)-MONTH($B$11)))*(1+IF(MONTH(DN$3)=1,'Вводные'!$B$67,IF(AND(MONTH(DN$3)&gt;=5,MONTH(DN$3)&lt;=8),'Вводные'!$B$70,0))),0)</x:f>
      </x:c>
      <x:c r="DO18" s="35" t="n">
        <x:f>IF(AND(DO$3&gt;=$B$11,DO$3&lt;EDATE($B$11,MAX(1,'Вводные'!$K$33)),AND($B$7="Да",IFERROR(INDEX('Вводные'!$B$88:$B$91,$B$8),"Нет")="Да")),(1+INDEX('Вводные'!$AD$88:$AD$91,$B$8)*'Вводные'!$H$7)^MAX(0,(12*(YEAR(DO$3)-YEAR($B$11))+MONTH(DO$3)-MONTH($B$11)))*(1+IF(MONTH(DO$3)=1,'Вводные'!$B$67,IF(AND(MONTH(DO$3)&gt;=5,MONTH(DO$3)&lt;=8),'Вводные'!$B$70,0))),0)</x:f>
      </x:c>
      <x:c r="DP18" s="35" t="n">
        <x:f>IF(AND(DP$3&gt;=$B$11,DP$3&lt;EDATE($B$11,MAX(1,'Вводные'!$K$33)),AND($B$7="Да",IFERROR(INDEX('Вводные'!$B$88:$B$91,$B$8),"Нет")="Да")),(1+INDEX('Вводные'!$AD$88:$AD$91,$B$8)*'Вводные'!$H$7)^MAX(0,(12*(YEAR(DP$3)-YEAR($B$11))+MONTH(DP$3)-MONTH($B$11)))*(1+IF(MONTH(DP$3)=1,'Вводные'!$B$67,IF(AND(MONTH(DP$3)&gt;=5,MONTH(DP$3)&lt;=8),'Вводные'!$B$70,0))),0)</x:f>
      </x:c>
      <x:c r="DQ18" s="35" t="n">
        <x:f>IF(AND(DQ$3&gt;=$B$11,DQ$3&lt;EDATE($B$11,MAX(1,'Вводные'!$K$33)),AND($B$7="Да",IFERROR(INDEX('Вводные'!$B$88:$B$91,$B$8),"Нет")="Да")),(1+INDEX('Вводные'!$AD$88:$AD$91,$B$8)*'Вводные'!$H$7)^MAX(0,(12*(YEAR(DQ$3)-YEAR($B$11))+MONTH(DQ$3)-MONTH($B$11)))*(1+IF(MONTH(DQ$3)=1,'Вводные'!$B$67,IF(AND(MONTH(DQ$3)&gt;=5,MONTH(DQ$3)&lt;=8),'Вводные'!$B$70,0))),0)</x:f>
      </x:c>
      <x:c r="DR18" s="35" t="n">
        <x:f>IF(AND(DR$3&gt;=$B$11,DR$3&lt;EDATE($B$11,MAX(1,'Вводные'!$K$33)),AND($B$7="Да",IFERROR(INDEX('Вводные'!$B$88:$B$91,$B$8),"Нет")="Да")),(1+INDEX('Вводные'!$AD$88:$AD$91,$B$8)*'Вводные'!$H$7)^MAX(0,(12*(YEAR(DR$3)-YEAR($B$11))+MONTH(DR$3)-MONTH($B$11)))*(1+IF(MONTH(DR$3)=1,'Вводные'!$B$67,IF(AND(MONTH(DR$3)&gt;=5,MONTH(DR$3)&lt;=8),'Вводные'!$B$70,0))),0)</x:f>
      </x:c>
      <x:c r="DS18" s="35" t="n">
        <x:f>IF(AND(DS$3&gt;=$B$11,DS$3&lt;EDATE($B$11,MAX(1,'Вводные'!$K$33)),AND($B$7="Да",IFERROR(INDEX('Вводные'!$B$88:$B$91,$B$8),"Нет")="Да")),(1+INDEX('Вводные'!$AD$88:$AD$91,$B$8)*'Вводные'!$H$7)^MAX(0,(12*(YEAR(DS$3)-YEAR($B$11))+MONTH(DS$3)-MONTH($B$11)))*(1+IF(MONTH(DS$3)=1,'Вводные'!$B$67,IF(AND(MONTH(DS$3)&gt;=5,MONTH(DS$3)&lt;=8),'Вводные'!$B$70,0))),0)</x:f>
      </x:c>
    </x:row>
    <x:row r="19">
      <x:c r="A19" t="str">
        <x:v>Нормированный вес до РВЭ</x:v>
      </x:c>
      <x:c r="B19" s="35" t="n">
        <x:f>SUM(D19:DS19)</x:f>
      </x:c>
      <x:c r="C19" t="str">
        <x:v>%</x:v>
      </x:c>
      <x:c r="D19" s="35" t="n">
        <x:f>IFERROR(D18*D17/SUMPRODUCT($D18:$DS18,$D17:$DS17),0)</x:f>
      </x:c>
      <x:c r="E19" s="35" t="n">
        <x:f>IFERROR(E18*E17/SUMPRODUCT($D18:$DS18,$D17:$DS17),0)</x:f>
      </x:c>
      <x:c r="F19" s="35" t="n">
        <x:f>IFERROR(F18*F17/SUMPRODUCT($D18:$DS18,$D17:$DS17),0)</x:f>
      </x:c>
      <x:c r="G19" s="35" t="n">
        <x:f>IFERROR(G18*G17/SUMPRODUCT($D18:$DS18,$D17:$DS17),0)</x:f>
      </x:c>
      <x:c r="H19" s="35" t="n">
        <x:f>IFERROR(H18*H17/SUMPRODUCT($D18:$DS18,$D17:$DS17),0)</x:f>
      </x:c>
      <x:c r="I19" s="35" t="n">
        <x:f>IFERROR(I18*I17/SUMPRODUCT($D18:$DS18,$D17:$DS17),0)</x:f>
      </x:c>
      <x:c r="J19" s="35" t="n">
        <x:f>IFERROR(J18*J17/SUMPRODUCT($D18:$DS18,$D17:$DS17),0)</x:f>
      </x:c>
      <x:c r="K19" s="35" t="n">
        <x:f>IFERROR(K18*K17/SUMPRODUCT($D18:$DS18,$D17:$DS17),0)</x:f>
      </x:c>
      <x:c r="L19" s="35" t="n">
        <x:f>IFERROR(L18*L17/SUMPRODUCT($D18:$DS18,$D17:$DS17),0)</x:f>
      </x:c>
      <x:c r="M19" s="35" t="n">
        <x:f>IFERROR(M18*M17/SUMPRODUCT($D18:$DS18,$D17:$DS17),0)</x:f>
      </x:c>
      <x:c r="N19" s="35" t="n">
        <x:f>IFERROR(N18*N17/SUMPRODUCT($D18:$DS18,$D17:$DS17),0)</x:f>
      </x:c>
      <x:c r="O19" s="35" t="n">
        <x:f>IFERROR(O18*O17/SUMPRODUCT($D18:$DS18,$D17:$DS17),0)</x:f>
      </x:c>
      <x:c r="P19" s="35" t="n">
        <x:f>IFERROR(P18*P17/SUMPRODUCT($D18:$DS18,$D17:$DS17),0)</x:f>
      </x:c>
      <x:c r="Q19" s="35" t="n">
        <x:f>IFERROR(Q18*Q17/SUMPRODUCT($D18:$DS18,$D17:$DS17),0)</x:f>
      </x:c>
      <x:c r="R19" s="35" t="n">
        <x:f>IFERROR(R18*R17/SUMPRODUCT($D18:$DS18,$D17:$DS17),0)</x:f>
      </x:c>
      <x:c r="S19" s="35" t="n">
        <x:f>IFERROR(S18*S17/SUMPRODUCT($D18:$DS18,$D17:$DS17),0)</x:f>
      </x:c>
      <x:c r="T19" s="35" t="n">
        <x:f>IFERROR(T18*T17/SUMPRODUCT($D18:$DS18,$D17:$DS17),0)</x:f>
      </x:c>
      <x:c r="U19" s="35" t="n">
        <x:f>IFERROR(U18*U17/SUMPRODUCT($D18:$DS18,$D17:$DS17),0)</x:f>
      </x:c>
      <x:c r="V19" s="35" t="n">
        <x:f>IFERROR(V18*V17/SUMPRODUCT($D18:$DS18,$D17:$DS17),0)</x:f>
      </x:c>
      <x:c r="W19" s="35" t="n">
        <x:f>IFERROR(W18*W17/SUMPRODUCT($D18:$DS18,$D17:$DS17),0)</x:f>
      </x:c>
      <x:c r="X19" s="35" t="n">
        <x:f>IFERROR(X18*X17/SUMPRODUCT($D18:$DS18,$D17:$DS17),0)</x:f>
      </x:c>
      <x:c r="Y19" s="35" t="n">
        <x:f>IFERROR(Y18*Y17/SUMPRODUCT($D18:$DS18,$D17:$DS17),0)</x:f>
      </x:c>
      <x:c r="Z19" s="35" t="n">
        <x:f>IFERROR(Z18*Z17/SUMPRODUCT($D18:$DS18,$D17:$DS17),0)</x:f>
      </x:c>
      <x:c r="AA19" s="35" t="n">
        <x:f>IFERROR(AA18*AA17/SUMPRODUCT($D18:$DS18,$D17:$DS17),0)</x:f>
      </x:c>
      <x:c r="AB19" s="35" t="n">
        <x:f>IFERROR(AB18*AB17/SUMPRODUCT($D18:$DS18,$D17:$DS17),0)</x:f>
      </x:c>
      <x:c r="AC19" s="35" t="n">
        <x:f>IFERROR(AC18*AC17/SUMPRODUCT($D18:$DS18,$D17:$DS17),0)</x:f>
      </x:c>
      <x:c r="AD19" s="35" t="n">
        <x:f>IFERROR(AD18*AD17/SUMPRODUCT($D18:$DS18,$D17:$DS17),0)</x:f>
      </x:c>
      <x:c r="AE19" s="35" t="n">
        <x:f>IFERROR(AE18*AE17/SUMPRODUCT($D18:$DS18,$D17:$DS17),0)</x:f>
      </x:c>
      <x:c r="AF19" s="35" t="n">
        <x:f>IFERROR(AF18*AF17/SUMPRODUCT($D18:$DS18,$D17:$DS17),0)</x:f>
      </x:c>
      <x:c r="AG19" s="35" t="n">
        <x:f>IFERROR(AG18*AG17/SUMPRODUCT($D18:$DS18,$D17:$DS17),0)</x:f>
      </x:c>
      <x:c r="AH19" s="35" t="n">
        <x:f>IFERROR(AH18*AH17/SUMPRODUCT($D18:$DS18,$D17:$DS17),0)</x:f>
      </x:c>
      <x:c r="AI19" s="35" t="n">
        <x:f>IFERROR(AI18*AI17/SUMPRODUCT($D18:$DS18,$D17:$DS17),0)</x:f>
      </x:c>
      <x:c r="AJ19" s="35" t="n">
        <x:f>IFERROR(AJ18*AJ17/SUMPRODUCT($D18:$DS18,$D17:$DS17),0)</x:f>
      </x:c>
      <x:c r="AK19" s="35" t="n">
        <x:f>IFERROR(AK18*AK17/SUMPRODUCT($D18:$DS18,$D17:$DS17),0)</x:f>
      </x:c>
      <x:c r="AL19" s="35" t="n">
        <x:f>IFERROR(AL18*AL17/SUMPRODUCT($D18:$DS18,$D17:$DS17),0)</x:f>
      </x:c>
      <x:c r="AM19" s="35" t="n">
        <x:f>IFERROR(AM18*AM17/SUMPRODUCT($D18:$DS18,$D17:$DS17),0)</x:f>
      </x:c>
      <x:c r="AN19" s="35" t="n">
        <x:f>IFERROR(AN18*AN17/SUMPRODUCT($D18:$DS18,$D17:$DS17),0)</x:f>
      </x:c>
      <x:c r="AO19" s="35" t="n">
        <x:f>IFERROR(AO18*AO17/SUMPRODUCT($D18:$DS18,$D17:$DS17),0)</x:f>
      </x:c>
      <x:c r="AP19" s="35" t="n">
        <x:f>IFERROR(AP18*AP17/SUMPRODUCT($D18:$DS18,$D17:$DS17),0)</x:f>
      </x:c>
      <x:c r="AQ19" s="35" t="n">
        <x:f>IFERROR(AQ18*AQ17/SUMPRODUCT($D18:$DS18,$D17:$DS17),0)</x:f>
      </x:c>
      <x:c r="AR19" s="35" t="n">
        <x:f>IFERROR(AR18*AR17/SUMPRODUCT($D18:$DS18,$D17:$DS17),0)</x:f>
      </x:c>
      <x:c r="AS19" s="35" t="n">
        <x:f>IFERROR(AS18*AS17/SUMPRODUCT($D18:$DS18,$D17:$DS17),0)</x:f>
      </x:c>
      <x:c r="AT19" s="35" t="n">
        <x:f>IFERROR(AT18*AT17/SUMPRODUCT($D18:$DS18,$D17:$DS17),0)</x:f>
      </x:c>
      <x:c r="AU19" s="35" t="n">
        <x:f>IFERROR(AU18*AU17/SUMPRODUCT($D18:$DS18,$D17:$DS17),0)</x:f>
      </x:c>
      <x:c r="AV19" s="35" t="n">
        <x:f>IFERROR(AV18*AV17/SUMPRODUCT($D18:$DS18,$D17:$DS17),0)</x:f>
      </x:c>
      <x:c r="AW19" s="35" t="n">
        <x:f>IFERROR(AW18*AW17/SUMPRODUCT($D18:$DS18,$D17:$DS17),0)</x:f>
      </x:c>
      <x:c r="AX19" s="35" t="n">
        <x:f>IFERROR(AX18*AX17/SUMPRODUCT($D18:$DS18,$D17:$DS17),0)</x:f>
      </x:c>
      <x:c r="AY19" s="35" t="n">
        <x:f>IFERROR(AY18*AY17/SUMPRODUCT($D18:$DS18,$D17:$DS17),0)</x:f>
      </x:c>
      <x:c r="AZ19" s="35" t="n">
        <x:f>IFERROR(AZ18*AZ17/SUMPRODUCT($D18:$DS18,$D17:$DS17),0)</x:f>
      </x:c>
      <x:c r="BA19" s="35" t="n">
        <x:f>IFERROR(BA18*BA17/SUMPRODUCT($D18:$DS18,$D17:$DS17),0)</x:f>
      </x:c>
      <x:c r="BB19" s="35" t="n">
        <x:f>IFERROR(BB18*BB17/SUMPRODUCT($D18:$DS18,$D17:$DS17),0)</x:f>
      </x:c>
      <x:c r="BC19" s="35" t="n">
        <x:f>IFERROR(BC18*BC17/SUMPRODUCT($D18:$DS18,$D17:$DS17),0)</x:f>
      </x:c>
      <x:c r="BD19" s="35" t="n">
        <x:f>IFERROR(BD18*BD17/SUMPRODUCT($D18:$DS18,$D17:$DS17),0)</x:f>
      </x:c>
      <x:c r="BE19" s="35" t="n">
        <x:f>IFERROR(BE18*BE17/SUMPRODUCT($D18:$DS18,$D17:$DS17),0)</x:f>
      </x:c>
      <x:c r="BF19" s="35" t="n">
        <x:f>IFERROR(BF18*BF17/SUMPRODUCT($D18:$DS18,$D17:$DS17),0)</x:f>
      </x:c>
      <x:c r="BG19" s="35" t="n">
        <x:f>IFERROR(BG18*BG17/SUMPRODUCT($D18:$DS18,$D17:$DS17),0)</x:f>
      </x:c>
      <x:c r="BH19" s="35" t="n">
        <x:f>IFERROR(BH18*BH17/SUMPRODUCT($D18:$DS18,$D17:$DS17),0)</x:f>
      </x:c>
      <x:c r="BI19" s="35" t="n">
        <x:f>IFERROR(BI18*BI17/SUMPRODUCT($D18:$DS18,$D17:$DS17),0)</x:f>
      </x:c>
      <x:c r="BJ19" s="35" t="n">
        <x:f>IFERROR(BJ18*BJ17/SUMPRODUCT($D18:$DS18,$D17:$DS17),0)</x:f>
      </x:c>
      <x:c r="BK19" s="35" t="n">
        <x:f>IFERROR(BK18*BK17/SUMPRODUCT($D18:$DS18,$D17:$DS17),0)</x:f>
      </x:c>
      <x:c r="BL19" s="35" t="n">
        <x:f>IFERROR(BL18*BL17/SUMPRODUCT($D18:$DS18,$D17:$DS17),0)</x:f>
      </x:c>
      <x:c r="BM19" s="35" t="n">
        <x:f>IFERROR(BM18*BM17/SUMPRODUCT($D18:$DS18,$D17:$DS17),0)</x:f>
      </x:c>
      <x:c r="BN19" s="35" t="n">
        <x:f>IFERROR(BN18*BN17/SUMPRODUCT($D18:$DS18,$D17:$DS17),0)</x:f>
      </x:c>
      <x:c r="BO19" s="35" t="n">
        <x:f>IFERROR(BO18*BO17/SUMPRODUCT($D18:$DS18,$D17:$DS17),0)</x:f>
      </x:c>
      <x:c r="BP19" s="35" t="n">
        <x:f>IFERROR(BP18*BP17/SUMPRODUCT($D18:$DS18,$D17:$DS17),0)</x:f>
      </x:c>
      <x:c r="BQ19" s="35" t="n">
        <x:f>IFERROR(BQ18*BQ17/SUMPRODUCT($D18:$DS18,$D17:$DS17),0)</x:f>
      </x:c>
      <x:c r="BR19" s="35" t="n">
        <x:f>IFERROR(BR18*BR17/SUMPRODUCT($D18:$DS18,$D17:$DS17),0)</x:f>
      </x:c>
      <x:c r="BS19" s="35" t="n">
        <x:f>IFERROR(BS18*BS17/SUMPRODUCT($D18:$DS18,$D17:$DS17),0)</x:f>
      </x:c>
      <x:c r="BT19" s="35" t="n">
        <x:f>IFERROR(BT18*BT17/SUMPRODUCT($D18:$DS18,$D17:$DS17),0)</x:f>
      </x:c>
      <x:c r="BU19" s="35" t="n">
        <x:f>IFERROR(BU18*BU17/SUMPRODUCT($D18:$DS18,$D17:$DS17),0)</x:f>
      </x:c>
      <x:c r="BV19" s="35" t="n">
        <x:f>IFERROR(BV18*BV17/SUMPRODUCT($D18:$DS18,$D17:$DS17),0)</x:f>
      </x:c>
      <x:c r="BW19" s="35" t="n">
        <x:f>IFERROR(BW18*BW17/SUMPRODUCT($D18:$DS18,$D17:$DS17),0)</x:f>
      </x:c>
      <x:c r="BX19" s="35" t="n">
        <x:f>IFERROR(BX18*BX17/SUMPRODUCT($D18:$DS18,$D17:$DS17),0)</x:f>
      </x:c>
      <x:c r="BY19" s="35" t="n">
        <x:f>IFERROR(BY18*BY17/SUMPRODUCT($D18:$DS18,$D17:$DS17),0)</x:f>
      </x:c>
      <x:c r="BZ19" s="35" t="n">
        <x:f>IFERROR(BZ18*BZ17/SUMPRODUCT($D18:$DS18,$D17:$DS17),0)</x:f>
      </x:c>
      <x:c r="CA19" s="35" t="n">
        <x:f>IFERROR(CA18*CA17/SUMPRODUCT($D18:$DS18,$D17:$DS17),0)</x:f>
      </x:c>
      <x:c r="CB19" s="35" t="n">
        <x:f>IFERROR(CB18*CB17/SUMPRODUCT($D18:$DS18,$D17:$DS17),0)</x:f>
      </x:c>
      <x:c r="CC19" s="35" t="n">
        <x:f>IFERROR(CC18*CC17/SUMPRODUCT($D18:$DS18,$D17:$DS17),0)</x:f>
      </x:c>
      <x:c r="CD19" s="35" t="n">
        <x:f>IFERROR(CD18*CD17/SUMPRODUCT($D18:$DS18,$D17:$DS17),0)</x:f>
      </x:c>
      <x:c r="CE19" s="35" t="n">
        <x:f>IFERROR(CE18*CE17/SUMPRODUCT($D18:$DS18,$D17:$DS17),0)</x:f>
      </x:c>
      <x:c r="CF19" s="35" t="n">
        <x:f>IFERROR(CF18*CF17/SUMPRODUCT($D18:$DS18,$D17:$DS17),0)</x:f>
      </x:c>
      <x:c r="CG19" s="35" t="n">
        <x:f>IFERROR(CG18*CG17/SUMPRODUCT($D18:$DS18,$D17:$DS17),0)</x:f>
      </x:c>
      <x:c r="CH19" s="35" t="n">
        <x:f>IFERROR(CH18*CH17/SUMPRODUCT($D18:$DS18,$D17:$DS17),0)</x:f>
      </x:c>
      <x:c r="CI19" s="35" t="n">
        <x:f>IFERROR(CI18*CI17/SUMPRODUCT($D18:$DS18,$D17:$DS17),0)</x:f>
      </x:c>
      <x:c r="CJ19" s="35" t="n">
        <x:f>IFERROR(CJ18*CJ17/SUMPRODUCT($D18:$DS18,$D17:$DS17),0)</x:f>
      </x:c>
      <x:c r="CK19" s="35" t="n">
        <x:f>IFERROR(CK18*CK17/SUMPRODUCT($D18:$DS18,$D17:$DS17),0)</x:f>
      </x:c>
      <x:c r="CL19" s="35" t="n">
        <x:f>IFERROR(CL18*CL17/SUMPRODUCT($D18:$DS18,$D17:$DS17),0)</x:f>
      </x:c>
      <x:c r="CM19" s="35" t="n">
        <x:f>IFERROR(CM18*CM17/SUMPRODUCT($D18:$DS18,$D17:$DS17),0)</x:f>
      </x:c>
      <x:c r="CN19" s="35" t="n">
        <x:f>IFERROR(CN18*CN17/SUMPRODUCT($D18:$DS18,$D17:$DS17),0)</x:f>
      </x:c>
      <x:c r="CO19" s="35" t="n">
        <x:f>IFERROR(CO18*CO17/SUMPRODUCT($D18:$DS18,$D17:$DS17),0)</x:f>
      </x:c>
      <x:c r="CP19" s="35" t="n">
        <x:f>IFERROR(CP18*CP17/SUMPRODUCT($D18:$DS18,$D17:$DS17),0)</x:f>
      </x:c>
      <x:c r="CQ19" s="35" t="n">
        <x:f>IFERROR(CQ18*CQ17/SUMPRODUCT($D18:$DS18,$D17:$DS17),0)</x:f>
      </x:c>
      <x:c r="CR19" s="35" t="n">
        <x:f>IFERROR(CR18*CR17/SUMPRODUCT($D18:$DS18,$D17:$DS17),0)</x:f>
      </x:c>
      <x:c r="CS19" s="35" t="n">
        <x:f>IFERROR(CS18*CS17/SUMPRODUCT($D18:$DS18,$D17:$DS17),0)</x:f>
      </x:c>
      <x:c r="CT19" s="35" t="n">
        <x:f>IFERROR(CT18*CT17/SUMPRODUCT($D18:$DS18,$D17:$DS17),0)</x:f>
      </x:c>
      <x:c r="CU19" s="35" t="n">
        <x:f>IFERROR(CU18*CU17/SUMPRODUCT($D18:$DS18,$D17:$DS17),0)</x:f>
      </x:c>
      <x:c r="CV19" s="35" t="n">
        <x:f>IFERROR(CV18*CV17/SUMPRODUCT($D18:$DS18,$D17:$DS17),0)</x:f>
      </x:c>
      <x:c r="CW19" s="35" t="n">
        <x:f>IFERROR(CW18*CW17/SUMPRODUCT($D18:$DS18,$D17:$DS17),0)</x:f>
      </x:c>
      <x:c r="CX19" s="35" t="n">
        <x:f>IFERROR(CX18*CX17/SUMPRODUCT($D18:$DS18,$D17:$DS17),0)</x:f>
      </x:c>
      <x:c r="CY19" s="35" t="n">
        <x:f>IFERROR(CY18*CY17/SUMPRODUCT($D18:$DS18,$D17:$DS17),0)</x:f>
      </x:c>
      <x:c r="CZ19" s="35" t="n">
        <x:f>IFERROR(CZ18*CZ17/SUMPRODUCT($D18:$DS18,$D17:$DS17),0)</x:f>
      </x:c>
      <x:c r="DA19" s="35" t="n">
        <x:f>IFERROR(DA18*DA17/SUMPRODUCT($D18:$DS18,$D17:$DS17),0)</x:f>
      </x:c>
      <x:c r="DB19" s="35" t="n">
        <x:f>IFERROR(DB18*DB17/SUMPRODUCT($D18:$DS18,$D17:$DS17),0)</x:f>
      </x:c>
      <x:c r="DC19" s="35" t="n">
        <x:f>IFERROR(DC18*DC17/SUMPRODUCT($D18:$DS18,$D17:$DS17),0)</x:f>
      </x:c>
      <x:c r="DD19" s="35" t="n">
        <x:f>IFERROR(DD18*DD17/SUMPRODUCT($D18:$DS18,$D17:$DS17),0)</x:f>
      </x:c>
      <x:c r="DE19" s="35" t="n">
        <x:f>IFERROR(DE18*DE17/SUMPRODUCT($D18:$DS18,$D17:$DS17),0)</x:f>
      </x:c>
      <x:c r="DF19" s="35" t="n">
        <x:f>IFERROR(DF18*DF17/SUMPRODUCT($D18:$DS18,$D17:$DS17),0)</x:f>
      </x:c>
      <x:c r="DG19" s="35" t="n">
        <x:f>IFERROR(DG18*DG17/SUMPRODUCT($D18:$DS18,$D17:$DS17),0)</x:f>
      </x:c>
      <x:c r="DH19" s="35" t="n">
        <x:f>IFERROR(DH18*DH17/SUMPRODUCT($D18:$DS18,$D17:$DS17),0)</x:f>
      </x:c>
      <x:c r="DI19" s="35" t="n">
        <x:f>IFERROR(DI18*DI17/SUMPRODUCT($D18:$DS18,$D17:$DS17),0)</x:f>
      </x:c>
      <x:c r="DJ19" s="35" t="n">
        <x:f>IFERROR(DJ18*DJ17/SUMPRODUCT($D18:$DS18,$D17:$DS17),0)</x:f>
      </x:c>
      <x:c r="DK19" s="35" t="n">
        <x:f>IFERROR(DK18*DK17/SUMPRODUCT($D18:$DS18,$D17:$DS17),0)</x:f>
      </x:c>
      <x:c r="DL19" s="35" t="n">
        <x:f>IFERROR(DL18*DL17/SUMPRODUCT($D18:$DS18,$D17:$DS17),0)</x:f>
      </x:c>
      <x:c r="DM19" s="35" t="n">
        <x:f>IFERROR(DM18*DM17/SUMPRODUCT($D18:$DS18,$D17:$DS17),0)</x:f>
      </x:c>
      <x:c r="DN19" s="35" t="n">
        <x:f>IFERROR(DN18*DN17/SUMPRODUCT($D18:$DS18,$D17:$DS17),0)</x:f>
      </x:c>
      <x:c r="DO19" s="35" t="n">
        <x:f>IFERROR(DO18*DO17/SUMPRODUCT($D18:$DS18,$D17:$DS17),0)</x:f>
      </x:c>
      <x:c r="DP19" s="35" t="n">
        <x:f>IFERROR(DP18*DP17/SUMPRODUCT($D18:$DS18,$D17:$DS17),0)</x:f>
      </x:c>
      <x:c r="DQ19" s="35" t="n">
        <x:f>IFERROR(DQ18*DQ17/SUMPRODUCT($D18:$DS18,$D17:$DS17),0)</x:f>
      </x:c>
      <x:c r="DR19" s="35" t="n">
        <x:f>IFERROR(DR18*DR17/SUMPRODUCT($D18:$DS18,$D17:$DS17),0)</x:f>
      </x:c>
      <x:c r="DS19" s="35" t="n">
        <x:f>IFERROR(DS18*DS17/SUMPRODUCT($D18:$DS18,$D17:$DS17),0)</x:f>
      </x:c>
    </x:row>
    <x:row r="20">
      <x:c r="A20" t="str">
        <x:v>Флаг продаж после РВЭ</x:v>
      </x:c>
      <x:c r="B20" s="35"/>
      <x:c r="C20" t="str">
        <x:v>0 / 1</x:v>
      </x:c>
      <x:c r="D20" s="35" t="n">
        <x:f>--AND(D$3&gt;=MAX($B$11,$B$10),D$3&lt;EDATE($B$11,MAX(1,'Вводные'!$K$33)),AND($B$7="Да",IFERROR(INDEX('Вводные'!$B$88:$B$91,$B$8),"Нет")="Да"))</x:f>
      </x:c>
      <x:c r="E20" s="35" t="n">
        <x:f>--AND(E$3&gt;=MAX($B$11,$B$10),E$3&lt;EDATE($B$11,MAX(1,'Вводные'!$K$33)),AND($B$7="Да",IFERROR(INDEX('Вводные'!$B$88:$B$91,$B$8),"Нет")="Да"))</x:f>
      </x:c>
      <x:c r="F20" s="35" t="n">
        <x:f>--AND(F$3&gt;=MAX($B$11,$B$10),F$3&lt;EDATE($B$11,MAX(1,'Вводные'!$K$33)),AND($B$7="Да",IFERROR(INDEX('Вводные'!$B$88:$B$91,$B$8),"Нет")="Да"))</x:f>
      </x:c>
      <x:c r="G20" s="35" t="n">
        <x:f>--AND(G$3&gt;=MAX($B$11,$B$10),G$3&lt;EDATE($B$11,MAX(1,'Вводные'!$K$33)),AND($B$7="Да",IFERROR(INDEX('Вводные'!$B$88:$B$91,$B$8),"Нет")="Да"))</x:f>
      </x:c>
      <x:c r="H20" s="35" t="n">
        <x:f>--AND(H$3&gt;=MAX($B$11,$B$10),H$3&lt;EDATE($B$11,MAX(1,'Вводные'!$K$33)),AND($B$7="Да",IFERROR(INDEX('Вводные'!$B$88:$B$91,$B$8),"Нет")="Да"))</x:f>
      </x:c>
      <x:c r="I20" s="35" t="n">
        <x:f>--AND(I$3&gt;=MAX($B$11,$B$10),I$3&lt;EDATE($B$11,MAX(1,'Вводные'!$K$33)),AND($B$7="Да",IFERROR(INDEX('Вводные'!$B$88:$B$91,$B$8),"Нет")="Да"))</x:f>
      </x:c>
      <x:c r="J20" s="35" t="n">
        <x:f>--AND(J$3&gt;=MAX($B$11,$B$10),J$3&lt;EDATE($B$11,MAX(1,'Вводные'!$K$33)),AND($B$7="Да",IFERROR(INDEX('Вводные'!$B$88:$B$91,$B$8),"Нет")="Да"))</x:f>
      </x:c>
      <x:c r="K20" s="35" t="n">
        <x:f>--AND(K$3&gt;=MAX($B$11,$B$10),K$3&lt;EDATE($B$11,MAX(1,'Вводные'!$K$33)),AND($B$7="Да",IFERROR(INDEX('Вводные'!$B$88:$B$91,$B$8),"Нет")="Да"))</x:f>
      </x:c>
      <x:c r="L20" s="35" t="n">
        <x:f>--AND(L$3&gt;=MAX($B$11,$B$10),L$3&lt;EDATE($B$11,MAX(1,'Вводные'!$K$33)),AND($B$7="Да",IFERROR(INDEX('Вводные'!$B$88:$B$91,$B$8),"Нет")="Да"))</x:f>
      </x:c>
      <x:c r="M20" s="35" t="n">
        <x:f>--AND(M$3&gt;=MAX($B$11,$B$10),M$3&lt;EDATE($B$11,MAX(1,'Вводные'!$K$33)),AND($B$7="Да",IFERROR(INDEX('Вводные'!$B$88:$B$91,$B$8),"Нет")="Да"))</x:f>
      </x:c>
      <x:c r="N20" s="35" t="n">
        <x:f>--AND(N$3&gt;=MAX($B$11,$B$10),N$3&lt;EDATE($B$11,MAX(1,'Вводные'!$K$33)),AND($B$7="Да",IFERROR(INDEX('Вводные'!$B$88:$B$91,$B$8),"Нет")="Да"))</x:f>
      </x:c>
      <x:c r="O20" s="35" t="n">
        <x:f>--AND(O$3&gt;=MAX($B$11,$B$10),O$3&lt;EDATE($B$11,MAX(1,'Вводные'!$K$33)),AND($B$7="Да",IFERROR(INDEX('Вводные'!$B$88:$B$91,$B$8),"Нет")="Да"))</x:f>
      </x:c>
      <x:c r="P20" s="35" t="n">
        <x:f>--AND(P$3&gt;=MAX($B$11,$B$10),P$3&lt;EDATE($B$11,MAX(1,'Вводные'!$K$33)),AND($B$7="Да",IFERROR(INDEX('Вводные'!$B$88:$B$91,$B$8),"Нет")="Да"))</x:f>
      </x:c>
      <x:c r="Q20" s="35" t="n">
        <x:f>--AND(Q$3&gt;=MAX($B$11,$B$10),Q$3&lt;EDATE($B$11,MAX(1,'Вводные'!$K$33)),AND($B$7="Да",IFERROR(INDEX('Вводные'!$B$88:$B$91,$B$8),"Нет")="Да"))</x:f>
      </x:c>
      <x:c r="R20" s="35" t="n">
        <x:f>--AND(R$3&gt;=MAX($B$11,$B$10),R$3&lt;EDATE($B$11,MAX(1,'Вводные'!$K$33)),AND($B$7="Да",IFERROR(INDEX('Вводные'!$B$88:$B$91,$B$8),"Нет")="Да"))</x:f>
      </x:c>
      <x:c r="S20" s="35" t="n">
        <x:f>--AND(S$3&gt;=MAX($B$11,$B$10),S$3&lt;EDATE($B$11,MAX(1,'Вводные'!$K$33)),AND($B$7="Да",IFERROR(INDEX('Вводные'!$B$88:$B$91,$B$8),"Нет")="Да"))</x:f>
      </x:c>
      <x:c r="T20" s="35" t="n">
        <x:f>--AND(T$3&gt;=MAX($B$11,$B$10),T$3&lt;EDATE($B$11,MAX(1,'Вводные'!$K$33)),AND($B$7="Да",IFERROR(INDEX('Вводные'!$B$88:$B$91,$B$8),"Нет")="Да"))</x:f>
      </x:c>
      <x:c r="U20" s="35" t="n">
        <x:f>--AND(U$3&gt;=MAX($B$11,$B$10),U$3&lt;EDATE($B$11,MAX(1,'Вводные'!$K$33)),AND($B$7="Да",IFERROR(INDEX('Вводные'!$B$88:$B$91,$B$8),"Нет")="Да"))</x:f>
      </x:c>
      <x:c r="V20" s="35" t="n">
        <x:f>--AND(V$3&gt;=MAX($B$11,$B$10),V$3&lt;EDATE($B$11,MAX(1,'Вводные'!$K$33)),AND($B$7="Да",IFERROR(INDEX('Вводные'!$B$88:$B$91,$B$8),"Нет")="Да"))</x:f>
      </x:c>
      <x:c r="W20" s="35" t="n">
        <x:f>--AND(W$3&gt;=MAX($B$11,$B$10),W$3&lt;EDATE($B$11,MAX(1,'Вводные'!$K$33)),AND($B$7="Да",IFERROR(INDEX('Вводные'!$B$88:$B$91,$B$8),"Нет")="Да"))</x:f>
      </x:c>
      <x:c r="X20" s="35" t="n">
        <x:f>--AND(X$3&gt;=MAX($B$11,$B$10),X$3&lt;EDATE($B$11,MAX(1,'Вводные'!$K$33)),AND($B$7="Да",IFERROR(INDEX('Вводные'!$B$88:$B$91,$B$8),"Нет")="Да"))</x:f>
      </x:c>
      <x:c r="Y20" s="35" t="n">
        <x:f>--AND(Y$3&gt;=MAX($B$11,$B$10),Y$3&lt;EDATE($B$11,MAX(1,'Вводные'!$K$33)),AND($B$7="Да",IFERROR(INDEX('Вводные'!$B$88:$B$91,$B$8),"Нет")="Да"))</x:f>
      </x:c>
      <x:c r="Z20" s="35" t="n">
        <x:f>--AND(Z$3&gt;=MAX($B$11,$B$10),Z$3&lt;EDATE($B$11,MAX(1,'Вводные'!$K$33)),AND($B$7="Да",IFERROR(INDEX('Вводные'!$B$88:$B$91,$B$8),"Нет")="Да"))</x:f>
      </x:c>
      <x:c r="AA20" s="35" t="n">
        <x:f>--AND(AA$3&gt;=MAX($B$11,$B$10),AA$3&lt;EDATE($B$11,MAX(1,'Вводные'!$K$33)),AND($B$7="Да",IFERROR(INDEX('Вводные'!$B$88:$B$91,$B$8),"Нет")="Да"))</x:f>
      </x:c>
      <x:c r="AB20" s="35" t="n">
        <x:f>--AND(AB$3&gt;=MAX($B$11,$B$10),AB$3&lt;EDATE($B$11,MAX(1,'Вводные'!$K$33)),AND($B$7="Да",IFERROR(INDEX('Вводные'!$B$88:$B$91,$B$8),"Нет")="Да"))</x:f>
      </x:c>
      <x:c r="AC20" s="35" t="n">
        <x:f>--AND(AC$3&gt;=MAX($B$11,$B$10),AC$3&lt;EDATE($B$11,MAX(1,'Вводные'!$K$33)),AND($B$7="Да",IFERROR(INDEX('Вводные'!$B$88:$B$91,$B$8),"Нет")="Да"))</x:f>
      </x:c>
      <x:c r="AD20" s="35" t="n">
        <x:f>--AND(AD$3&gt;=MAX($B$11,$B$10),AD$3&lt;EDATE($B$11,MAX(1,'Вводные'!$K$33)),AND($B$7="Да",IFERROR(INDEX('Вводные'!$B$88:$B$91,$B$8),"Нет")="Да"))</x:f>
      </x:c>
      <x:c r="AE20" s="35" t="n">
        <x:f>--AND(AE$3&gt;=MAX($B$11,$B$10),AE$3&lt;EDATE($B$11,MAX(1,'Вводные'!$K$33)),AND($B$7="Да",IFERROR(INDEX('Вводные'!$B$88:$B$91,$B$8),"Нет")="Да"))</x:f>
      </x:c>
      <x:c r="AF20" s="35" t="n">
        <x:f>--AND(AF$3&gt;=MAX($B$11,$B$10),AF$3&lt;EDATE($B$11,MAX(1,'Вводные'!$K$33)),AND($B$7="Да",IFERROR(INDEX('Вводные'!$B$88:$B$91,$B$8),"Нет")="Да"))</x:f>
      </x:c>
      <x:c r="AG20" s="35" t="n">
        <x:f>--AND(AG$3&gt;=MAX($B$11,$B$10),AG$3&lt;EDATE($B$11,MAX(1,'Вводные'!$K$33)),AND($B$7="Да",IFERROR(INDEX('Вводные'!$B$88:$B$91,$B$8),"Нет")="Да"))</x:f>
      </x:c>
      <x:c r="AH20" s="35" t="n">
        <x:f>--AND(AH$3&gt;=MAX($B$11,$B$10),AH$3&lt;EDATE($B$11,MAX(1,'Вводные'!$K$33)),AND($B$7="Да",IFERROR(INDEX('Вводные'!$B$88:$B$91,$B$8),"Нет")="Да"))</x:f>
      </x:c>
      <x:c r="AI20" s="35" t="n">
        <x:f>--AND(AI$3&gt;=MAX($B$11,$B$10),AI$3&lt;EDATE($B$11,MAX(1,'Вводные'!$K$33)),AND($B$7="Да",IFERROR(INDEX('Вводные'!$B$88:$B$91,$B$8),"Нет")="Да"))</x:f>
      </x:c>
      <x:c r="AJ20" s="35" t="n">
        <x:f>--AND(AJ$3&gt;=MAX($B$11,$B$10),AJ$3&lt;EDATE($B$11,MAX(1,'Вводные'!$K$33)),AND($B$7="Да",IFERROR(INDEX('Вводные'!$B$88:$B$91,$B$8),"Нет")="Да"))</x:f>
      </x:c>
      <x:c r="AK20" s="35" t="n">
        <x:f>--AND(AK$3&gt;=MAX($B$11,$B$10),AK$3&lt;EDATE($B$11,MAX(1,'Вводные'!$K$33)),AND($B$7="Да",IFERROR(INDEX('Вводные'!$B$88:$B$91,$B$8),"Нет")="Да"))</x:f>
      </x:c>
      <x:c r="AL20" s="35" t="n">
        <x:f>--AND(AL$3&gt;=MAX($B$11,$B$10),AL$3&lt;EDATE($B$11,MAX(1,'Вводные'!$K$33)),AND($B$7="Да",IFERROR(INDEX('Вводные'!$B$88:$B$91,$B$8),"Нет")="Да"))</x:f>
      </x:c>
      <x:c r="AM20" s="35" t="n">
        <x:f>--AND(AM$3&gt;=MAX($B$11,$B$10),AM$3&lt;EDATE($B$11,MAX(1,'Вводные'!$K$33)),AND($B$7="Да",IFERROR(INDEX('Вводные'!$B$88:$B$91,$B$8),"Нет")="Да"))</x:f>
      </x:c>
      <x:c r="AN20" s="35" t="n">
        <x:f>--AND(AN$3&gt;=MAX($B$11,$B$10),AN$3&lt;EDATE($B$11,MAX(1,'Вводные'!$K$33)),AND($B$7="Да",IFERROR(INDEX('Вводные'!$B$88:$B$91,$B$8),"Нет")="Да"))</x:f>
      </x:c>
      <x:c r="AO20" s="35" t="n">
        <x:f>--AND(AO$3&gt;=MAX($B$11,$B$10),AO$3&lt;EDATE($B$11,MAX(1,'Вводные'!$K$33)),AND($B$7="Да",IFERROR(INDEX('Вводные'!$B$88:$B$91,$B$8),"Нет")="Да"))</x:f>
      </x:c>
      <x:c r="AP20" s="35" t="n">
        <x:f>--AND(AP$3&gt;=MAX($B$11,$B$10),AP$3&lt;EDATE($B$11,MAX(1,'Вводные'!$K$33)),AND($B$7="Да",IFERROR(INDEX('Вводные'!$B$88:$B$91,$B$8),"Нет")="Да"))</x:f>
      </x:c>
      <x:c r="AQ20" s="35" t="n">
        <x:f>--AND(AQ$3&gt;=MAX($B$11,$B$10),AQ$3&lt;EDATE($B$11,MAX(1,'Вводные'!$K$33)),AND($B$7="Да",IFERROR(INDEX('Вводные'!$B$88:$B$91,$B$8),"Нет")="Да"))</x:f>
      </x:c>
      <x:c r="AR20" s="35" t="n">
        <x:f>--AND(AR$3&gt;=MAX($B$11,$B$10),AR$3&lt;EDATE($B$11,MAX(1,'Вводные'!$K$33)),AND($B$7="Да",IFERROR(INDEX('Вводные'!$B$88:$B$91,$B$8),"Нет")="Да"))</x:f>
      </x:c>
      <x:c r="AS20" s="35" t="n">
        <x:f>--AND(AS$3&gt;=MAX($B$11,$B$10),AS$3&lt;EDATE($B$11,MAX(1,'Вводные'!$K$33)),AND($B$7="Да",IFERROR(INDEX('Вводные'!$B$88:$B$91,$B$8),"Нет")="Да"))</x:f>
      </x:c>
      <x:c r="AT20" s="35" t="n">
        <x:f>--AND(AT$3&gt;=MAX($B$11,$B$10),AT$3&lt;EDATE($B$11,MAX(1,'Вводные'!$K$33)),AND($B$7="Да",IFERROR(INDEX('Вводные'!$B$88:$B$91,$B$8),"Нет")="Да"))</x:f>
      </x:c>
      <x:c r="AU20" s="35" t="n">
        <x:f>--AND(AU$3&gt;=MAX($B$11,$B$10),AU$3&lt;EDATE($B$11,MAX(1,'Вводные'!$K$33)),AND($B$7="Да",IFERROR(INDEX('Вводные'!$B$88:$B$91,$B$8),"Нет")="Да"))</x:f>
      </x:c>
      <x:c r="AV20" s="35" t="n">
        <x:f>--AND(AV$3&gt;=MAX($B$11,$B$10),AV$3&lt;EDATE($B$11,MAX(1,'Вводные'!$K$33)),AND($B$7="Да",IFERROR(INDEX('Вводные'!$B$88:$B$91,$B$8),"Нет")="Да"))</x:f>
      </x:c>
      <x:c r="AW20" s="35" t="n">
        <x:f>--AND(AW$3&gt;=MAX($B$11,$B$10),AW$3&lt;EDATE($B$11,MAX(1,'Вводные'!$K$33)),AND($B$7="Да",IFERROR(INDEX('Вводные'!$B$88:$B$91,$B$8),"Нет")="Да"))</x:f>
      </x:c>
      <x:c r="AX20" s="35" t="n">
        <x:f>--AND(AX$3&gt;=MAX($B$11,$B$10),AX$3&lt;EDATE($B$11,MAX(1,'Вводные'!$K$33)),AND($B$7="Да",IFERROR(INDEX('Вводные'!$B$88:$B$91,$B$8),"Нет")="Да"))</x:f>
      </x:c>
      <x:c r="AY20" s="35" t="n">
        <x:f>--AND(AY$3&gt;=MAX($B$11,$B$10),AY$3&lt;EDATE($B$11,MAX(1,'Вводные'!$K$33)),AND($B$7="Да",IFERROR(INDEX('Вводные'!$B$88:$B$91,$B$8),"Нет")="Да"))</x:f>
      </x:c>
      <x:c r="AZ20" s="35" t="n">
        <x:f>--AND(AZ$3&gt;=MAX($B$11,$B$10),AZ$3&lt;EDATE($B$11,MAX(1,'Вводные'!$K$33)),AND($B$7="Да",IFERROR(INDEX('Вводные'!$B$88:$B$91,$B$8),"Нет")="Да"))</x:f>
      </x:c>
      <x:c r="BA20" s="35" t="n">
        <x:f>--AND(BA$3&gt;=MAX($B$11,$B$10),BA$3&lt;EDATE($B$11,MAX(1,'Вводные'!$K$33)),AND($B$7="Да",IFERROR(INDEX('Вводные'!$B$88:$B$91,$B$8),"Нет")="Да"))</x:f>
      </x:c>
      <x:c r="BB20" s="35" t="n">
        <x:f>--AND(BB$3&gt;=MAX($B$11,$B$10),BB$3&lt;EDATE($B$11,MAX(1,'Вводные'!$K$33)),AND($B$7="Да",IFERROR(INDEX('Вводные'!$B$88:$B$91,$B$8),"Нет")="Да"))</x:f>
      </x:c>
      <x:c r="BC20" s="35" t="n">
        <x:f>--AND(BC$3&gt;=MAX($B$11,$B$10),BC$3&lt;EDATE($B$11,MAX(1,'Вводные'!$K$33)),AND($B$7="Да",IFERROR(INDEX('Вводные'!$B$88:$B$91,$B$8),"Нет")="Да"))</x:f>
      </x:c>
      <x:c r="BD20" s="35" t="n">
        <x:f>--AND(BD$3&gt;=MAX($B$11,$B$10),BD$3&lt;EDATE($B$11,MAX(1,'Вводные'!$K$33)),AND($B$7="Да",IFERROR(INDEX('Вводные'!$B$88:$B$91,$B$8),"Нет")="Да"))</x:f>
      </x:c>
      <x:c r="BE20" s="35" t="n">
        <x:f>--AND(BE$3&gt;=MAX($B$11,$B$10),BE$3&lt;EDATE($B$11,MAX(1,'Вводные'!$K$33)),AND($B$7="Да",IFERROR(INDEX('Вводные'!$B$88:$B$91,$B$8),"Нет")="Да"))</x:f>
      </x:c>
      <x:c r="BF20" s="35" t="n">
        <x:f>--AND(BF$3&gt;=MAX($B$11,$B$10),BF$3&lt;EDATE($B$11,MAX(1,'Вводные'!$K$33)),AND($B$7="Да",IFERROR(INDEX('Вводные'!$B$88:$B$91,$B$8),"Нет")="Да"))</x:f>
      </x:c>
      <x:c r="BG20" s="35" t="n">
        <x:f>--AND(BG$3&gt;=MAX($B$11,$B$10),BG$3&lt;EDATE($B$11,MAX(1,'Вводные'!$K$33)),AND($B$7="Да",IFERROR(INDEX('Вводные'!$B$88:$B$91,$B$8),"Нет")="Да"))</x:f>
      </x:c>
      <x:c r="BH20" s="35" t="n">
        <x:f>--AND(BH$3&gt;=MAX($B$11,$B$10),BH$3&lt;EDATE($B$11,MAX(1,'Вводные'!$K$33)),AND($B$7="Да",IFERROR(INDEX('Вводные'!$B$88:$B$91,$B$8),"Нет")="Да"))</x:f>
      </x:c>
      <x:c r="BI20" s="35" t="n">
        <x:f>--AND(BI$3&gt;=MAX($B$11,$B$10),BI$3&lt;EDATE($B$11,MAX(1,'Вводные'!$K$33)),AND($B$7="Да",IFERROR(INDEX('Вводные'!$B$88:$B$91,$B$8),"Нет")="Да"))</x:f>
      </x:c>
      <x:c r="BJ20" s="35" t="n">
        <x:f>--AND(BJ$3&gt;=MAX($B$11,$B$10),BJ$3&lt;EDATE($B$11,MAX(1,'Вводные'!$K$33)),AND($B$7="Да",IFERROR(INDEX('Вводные'!$B$88:$B$91,$B$8),"Нет")="Да"))</x:f>
      </x:c>
      <x:c r="BK20" s="35" t="n">
        <x:f>--AND(BK$3&gt;=MAX($B$11,$B$10),BK$3&lt;EDATE($B$11,MAX(1,'Вводные'!$K$33)),AND($B$7="Да",IFERROR(INDEX('Вводные'!$B$88:$B$91,$B$8),"Нет")="Да"))</x:f>
      </x:c>
      <x:c r="BL20" s="35" t="n">
        <x:f>--AND(BL$3&gt;=MAX($B$11,$B$10),BL$3&lt;EDATE($B$11,MAX(1,'Вводные'!$K$33)),AND($B$7="Да",IFERROR(INDEX('Вводные'!$B$88:$B$91,$B$8),"Нет")="Да"))</x:f>
      </x:c>
      <x:c r="BM20" s="35" t="n">
        <x:f>--AND(BM$3&gt;=MAX($B$11,$B$10),BM$3&lt;EDATE($B$11,MAX(1,'Вводные'!$K$33)),AND($B$7="Да",IFERROR(INDEX('Вводные'!$B$88:$B$91,$B$8),"Нет")="Да"))</x:f>
      </x:c>
      <x:c r="BN20" s="35" t="n">
        <x:f>--AND(BN$3&gt;=MAX($B$11,$B$10),BN$3&lt;EDATE($B$11,MAX(1,'Вводные'!$K$33)),AND($B$7="Да",IFERROR(INDEX('Вводные'!$B$88:$B$91,$B$8),"Нет")="Да"))</x:f>
      </x:c>
      <x:c r="BO20" s="35" t="n">
        <x:f>--AND(BO$3&gt;=MAX($B$11,$B$10),BO$3&lt;EDATE($B$11,MAX(1,'Вводные'!$K$33)),AND($B$7="Да",IFERROR(INDEX('Вводные'!$B$88:$B$91,$B$8),"Нет")="Да"))</x:f>
      </x:c>
      <x:c r="BP20" s="35" t="n">
        <x:f>--AND(BP$3&gt;=MAX($B$11,$B$10),BP$3&lt;EDATE($B$11,MAX(1,'Вводные'!$K$33)),AND($B$7="Да",IFERROR(INDEX('Вводные'!$B$88:$B$91,$B$8),"Нет")="Да"))</x:f>
      </x:c>
      <x:c r="BQ20" s="35" t="n">
        <x:f>--AND(BQ$3&gt;=MAX($B$11,$B$10),BQ$3&lt;EDATE($B$11,MAX(1,'Вводные'!$K$33)),AND($B$7="Да",IFERROR(INDEX('Вводные'!$B$88:$B$91,$B$8),"Нет")="Да"))</x:f>
      </x:c>
      <x:c r="BR20" s="35" t="n">
        <x:f>--AND(BR$3&gt;=MAX($B$11,$B$10),BR$3&lt;EDATE($B$11,MAX(1,'Вводные'!$K$33)),AND($B$7="Да",IFERROR(INDEX('Вводные'!$B$88:$B$91,$B$8),"Нет")="Да"))</x:f>
      </x:c>
      <x:c r="BS20" s="35" t="n">
        <x:f>--AND(BS$3&gt;=MAX($B$11,$B$10),BS$3&lt;EDATE($B$11,MAX(1,'Вводные'!$K$33)),AND($B$7="Да",IFERROR(INDEX('Вводные'!$B$88:$B$91,$B$8),"Нет")="Да"))</x:f>
      </x:c>
      <x:c r="BT20" s="35" t="n">
        <x:f>--AND(BT$3&gt;=MAX($B$11,$B$10),BT$3&lt;EDATE($B$11,MAX(1,'Вводные'!$K$33)),AND($B$7="Да",IFERROR(INDEX('Вводные'!$B$88:$B$91,$B$8),"Нет")="Да"))</x:f>
      </x:c>
      <x:c r="BU20" s="35" t="n">
        <x:f>--AND(BU$3&gt;=MAX($B$11,$B$10),BU$3&lt;EDATE($B$11,MAX(1,'Вводные'!$K$33)),AND($B$7="Да",IFERROR(INDEX('Вводные'!$B$88:$B$91,$B$8),"Нет")="Да"))</x:f>
      </x:c>
      <x:c r="BV20" s="35" t="n">
        <x:f>--AND(BV$3&gt;=MAX($B$11,$B$10),BV$3&lt;EDATE($B$11,MAX(1,'Вводные'!$K$33)),AND($B$7="Да",IFERROR(INDEX('Вводные'!$B$88:$B$91,$B$8),"Нет")="Да"))</x:f>
      </x:c>
      <x:c r="BW20" s="35" t="n">
        <x:f>--AND(BW$3&gt;=MAX($B$11,$B$10),BW$3&lt;EDATE($B$11,MAX(1,'Вводные'!$K$33)),AND($B$7="Да",IFERROR(INDEX('Вводные'!$B$88:$B$91,$B$8),"Нет")="Да"))</x:f>
      </x:c>
      <x:c r="BX20" s="35" t="n">
        <x:f>--AND(BX$3&gt;=MAX($B$11,$B$10),BX$3&lt;EDATE($B$11,MAX(1,'Вводные'!$K$33)),AND($B$7="Да",IFERROR(INDEX('Вводные'!$B$88:$B$91,$B$8),"Нет")="Да"))</x:f>
      </x:c>
      <x:c r="BY20" s="35" t="n">
        <x:f>--AND(BY$3&gt;=MAX($B$11,$B$10),BY$3&lt;EDATE($B$11,MAX(1,'Вводные'!$K$33)),AND($B$7="Да",IFERROR(INDEX('Вводные'!$B$88:$B$91,$B$8),"Нет")="Да"))</x:f>
      </x:c>
      <x:c r="BZ20" s="35" t="n">
        <x:f>--AND(BZ$3&gt;=MAX($B$11,$B$10),BZ$3&lt;EDATE($B$11,MAX(1,'Вводные'!$K$33)),AND($B$7="Да",IFERROR(INDEX('Вводные'!$B$88:$B$91,$B$8),"Нет")="Да"))</x:f>
      </x:c>
      <x:c r="CA20" s="35" t="n">
        <x:f>--AND(CA$3&gt;=MAX($B$11,$B$10),CA$3&lt;EDATE($B$11,MAX(1,'Вводные'!$K$33)),AND($B$7="Да",IFERROR(INDEX('Вводные'!$B$88:$B$91,$B$8),"Нет")="Да"))</x:f>
      </x:c>
      <x:c r="CB20" s="35" t="n">
        <x:f>--AND(CB$3&gt;=MAX($B$11,$B$10),CB$3&lt;EDATE($B$11,MAX(1,'Вводные'!$K$33)),AND($B$7="Да",IFERROR(INDEX('Вводные'!$B$88:$B$91,$B$8),"Нет")="Да"))</x:f>
      </x:c>
      <x:c r="CC20" s="35" t="n">
        <x:f>--AND(CC$3&gt;=MAX($B$11,$B$10),CC$3&lt;EDATE($B$11,MAX(1,'Вводные'!$K$33)),AND($B$7="Да",IFERROR(INDEX('Вводные'!$B$88:$B$91,$B$8),"Нет")="Да"))</x:f>
      </x:c>
      <x:c r="CD20" s="35" t="n">
        <x:f>--AND(CD$3&gt;=MAX($B$11,$B$10),CD$3&lt;EDATE($B$11,MAX(1,'Вводные'!$K$33)),AND($B$7="Да",IFERROR(INDEX('Вводные'!$B$88:$B$91,$B$8),"Нет")="Да"))</x:f>
      </x:c>
      <x:c r="CE20" s="35" t="n">
        <x:f>--AND(CE$3&gt;=MAX($B$11,$B$10),CE$3&lt;EDATE($B$11,MAX(1,'Вводные'!$K$33)),AND($B$7="Да",IFERROR(INDEX('Вводные'!$B$88:$B$91,$B$8),"Нет")="Да"))</x:f>
      </x:c>
      <x:c r="CF20" s="35" t="n">
        <x:f>--AND(CF$3&gt;=MAX($B$11,$B$10),CF$3&lt;EDATE($B$11,MAX(1,'Вводные'!$K$33)),AND($B$7="Да",IFERROR(INDEX('Вводные'!$B$88:$B$91,$B$8),"Нет")="Да"))</x:f>
      </x:c>
      <x:c r="CG20" s="35" t="n">
        <x:f>--AND(CG$3&gt;=MAX($B$11,$B$10),CG$3&lt;EDATE($B$11,MAX(1,'Вводные'!$K$33)),AND($B$7="Да",IFERROR(INDEX('Вводные'!$B$88:$B$91,$B$8),"Нет")="Да"))</x:f>
      </x:c>
      <x:c r="CH20" s="35" t="n">
        <x:f>--AND(CH$3&gt;=MAX($B$11,$B$10),CH$3&lt;EDATE($B$11,MAX(1,'Вводные'!$K$33)),AND($B$7="Да",IFERROR(INDEX('Вводные'!$B$88:$B$91,$B$8),"Нет")="Да"))</x:f>
      </x:c>
      <x:c r="CI20" s="35" t="n">
        <x:f>--AND(CI$3&gt;=MAX($B$11,$B$10),CI$3&lt;EDATE($B$11,MAX(1,'Вводные'!$K$33)),AND($B$7="Да",IFERROR(INDEX('Вводные'!$B$88:$B$91,$B$8),"Нет")="Да"))</x:f>
      </x:c>
      <x:c r="CJ20" s="35" t="n">
        <x:f>--AND(CJ$3&gt;=MAX($B$11,$B$10),CJ$3&lt;EDATE($B$11,MAX(1,'Вводные'!$K$33)),AND($B$7="Да",IFERROR(INDEX('Вводные'!$B$88:$B$91,$B$8),"Нет")="Да"))</x:f>
      </x:c>
      <x:c r="CK20" s="35" t="n">
        <x:f>--AND(CK$3&gt;=MAX($B$11,$B$10),CK$3&lt;EDATE($B$11,MAX(1,'Вводные'!$K$33)),AND($B$7="Да",IFERROR(INDEX('Вводные'!$B$88:$B$91,$B$8),"Нет")="Да"))</x:f>
      </x:c>
      <x:c r="CL20" s="35" t="n">
        <x:f>--AND(CL$3&gt;=MAX($B$11,$B$10),CL$3&lt;EDATE($B$11,MAX(1,'Вводные'!$K$33)),AND($B$7="Да",IFERROR(INDEX('Вводные'!$B$88:$B$91,$B$8),"Нет")="Да"))</x:f>
      </x:c>
      <x:c r="CM20" s="35" t="n">
        <x:f>--AND(CM$3&gt;=MAX($B$11,$B$10),CM$3&lt;EDATE($B$11,MAX(1,'Вводные'!$K$33)),AND($B$7="Да",IFERROR(INDEX('Вводные'!$B$88:$B$91,$B$8),"Нет")="Да"))</x:f>
      </x:c>
      <x:c r="CN20" s="35" t="n">
        <x:f>--AND(CN$3&gt;=MAX($B$11,$B$10),CN$3&lt;EDATE($B$11,MAX(1,'Вводные'!$K$33)),AND($B$7="Да",IFERROR(INDEX('Вводные'!$B$88:$B$91,$B$8),"Нет")="Да"))</x:f>
      </x:c>
      <x:c r="CO20" s="35" t="n">
        <x:f>--AND(CO$3&gt;=MAX($B$11,$B$10),CO$3&lt;EDATE($B$11,MAX(1,'Вводные'!$K$33)),AND($B$7="Да",IFERROR(INDEX('Вводные'!$B$88:$B$91,$B$8),"Нет")="Да"))</x:f>
      </x:c>
      <x:c r="CP20" s="35" t="n">
        <x:f>--AND(CP$3&gt;=MAX($B$11,$B$10),CP$3&lt;EDATE($B$11,MAX(1,'Вводные'!$K$33)),AND($B$7="Да",IFERROR(INDEX('Вводные'!$B$88:$B$91,$B$8),"Нет")="Да"))</x:f>
      </x:c>
      <x:c r="CQ20" s="35" t="n">
        <x:f>--AND(CQ$3&gt;=MAX($B$11,$B$10),CQ$3&lt;EDATE($B$11,MAX(1,'Вводные'!$K$33)),AND($B$7="Да",IFERROR(INDEX('Вводные'!$B$88:$B$91,$B$8),"Нет")="Да"))</x:f>
      </x:c>
      <x:c r="CR20" s="35" t="n">
        <x:f>--AND(CR$3&gt;=MAX($B$11,$B$10),CR$3&lt;EDATE($B$11,MAX(1,'Вводные'!$K$33)),AND($B$7="Да",IFERROR(INDEX('Вводные'!$B$88:$B$91,$B$8),"Нет")="Да"))</x:f>
      </x:c>
      <x:c r="CS20" s="35" t="n">
        <x:f>--AND(CS$3&gt;=MAX($B$11,$B$10),CS$3&lt;EDATE($B$11,MAX(1,'Вводные'!$K$33)),AND($B$7="Да",IFERROR(INDEX('Вводные'!$B$88:$B$91,$B$8),"Нет")="Да"))</x:f>
      </x:c>
      <x:c r="CT20" s="35" t="n">
        <x:f>--AND(CT$3&gt;=MAX($B$11,$B$10),CT$3&lt;EDATE($B$11,MAX(1,'Вводные'!$K$33)),AND($B$7="Да",IFERROR(INDEX('Вводные'!$B$88:$B$91,$B$8),"Нет")="Да"))</x:f>
      </x:c>
      <x:c r="CU20" s="35" t="n">
        <x:f>--AND(CU$3&gt;=MAX($B$11,$B$10),CU$3&lt;EDATE($B$11,MAX(1,'Вводные'!$K$33)),AND($B$7="Да",IFERROR(INDEX('Вводные'!$B$88:$B$91,$B$8),"Нет")="Да"))</x:f>
      </x:c>
      <x:c r="CV20" s="35" t="n">
        <x:f>--AND(CV$3&gt;=MAX($B$11,$B$10),CV$3&lt;EDATE($B$11,MAX(1,'Вводные'!$K$33)),AND($B$7="Да",IFERROR(INDEX('Вводные'!$B$88:$B$91,$B$8),"Нет")="Да"))</x:f>
      </x:c>
      <x:c r="CW20" s="35" t="n">
        <x:f>--AND(CW$3&gt;=MAX($B$11,$B$10),CW$3&lt;EDATE($B$11,MAX(1,'Вводные'!$K$33)),AND($B$7="Да",IFERROR(INDEX('Вводные'!$B$88:$B$91,$B$8),"Нет")="Да"))</x:f>
      </x:c>
      <x:c r="CX20" s="35" t="n">
        <x:f>--AND(CX$3&gt;=MAX($B$11,$B$10),CX$3&lt;EDATE($B$11,MAX(1,'Вводные'!$K$33)),AND($B$7="Да",IFERROR(INDEX('Вводные'!$B$88:$B$91,$B$8),"Нет")="Да"))</x:f>
      </x:c>
      <x:c r="CY20" s="35" t="n">
        <x:f>--AND(CY$3&gt;=MAX($B$11,$B$10),CY$3&lt;EDATE($B$11,MAX(1,'Вводные'!$K$33)),AND($B$7="Да",IFERROR(INDEX('Вводные'!$B$88:$B$91,$B$8),"Нет")="Да"))</x:f>
      </x:c>
      <x:c r="CZ20" s="35" t="n">
        <x:f>--AND(CZ$3&gt;=MAX($B$11,$B$10),CZ$3&lt;EDATE($B$11,MAX(1,'Вводные'!$K$33)),AND($B$7="Да",IFERROR(INDEX('Вводные'!$B$88:$B$91,$B$8),"Нет")="Да"))</x:f>
      </x:c>
      <x:c r="DA20" s="35" t="n">
        <x:f>--AND(DA$3&gt;=MAX($B$11,$B$10),DA$3&lt;EDATE($B$11,MAX(1,'Вводные'!$K$33)),AND($B$7="Да",IFERROR(INDEX('Вводные'!$B$88:$B$91,$B$8),"Нет")="Да"))</x:f>
      </x:c>
      <x:c r="DB20" s="35" t="n">
        <x:f>--AND(DB$3&gt;=MAX($B$11,$B$10),DB$3&lt;EDATE($B$11,MAX(1,'Вводные'!$K$33)),AND($B$7="Да",IFERROR(INDEX('Вводные'!$B$88:$B$91,$B$8),"Нет")="Да"))</x:f>
      </x:c>
      <x:c r="DC20" s="35" t="n">
        <x:f>--AND(DC$3&gt;=MAX($B$11,$B$10),DC$3&lt;EDATE($B$11,MAX(1,'Вводные'!$K$33)),AND($B$7="Да",IFERROR(INDEX('Вводные'!$B$88:$B$91,$B$8),"Нет")="Да"))</x:f>
      </x:c>
      <x:c r="DD20" s="35" t="n">
        <x:f>--AND(DD$3&gt;=MAX($B$11,$B$10),DD$3&lt;EDATE($B$11,MAX(1,'Вводные'!$K$33)),AND($B$7="Да",IFERROR(INDEX('Вводные'!$B$88:$B$91,$B$8),"Нет")="Да"))</x:f>
      </x:c>
      <x:c r="DE20" s="35" t="n">
        <x:f>--AND(DE$3&gt;=MAX($B$11,$B$10),DE$3&lt;EDATE($B$11,MAX(1,'Вводные'!$K$33)),AND($B$7="Да",IFERROR(INDEX('Вводные'!$B$88:$B$91,$B$8),"Нет")="Да"))</x:f>
      </x:c>
      <x:c r="DF20" s="35" t="n">
        <x:f>--AND(DF$3&gt;=MAX($B$11,$B$10),DF$3&lt;EDATE($B$11,MAX(1,'Вводные'!$K$33)),AND($B$7="Да",IFERROR(INDEX('Вводные'!$B$88:$B$91,$B$8),"Нет")="Да"))</x:f>
      </x:c>
      <x:c r="DG20" s="35" t="n">
        <x:f>--AND(DG$3&gt;=MAX($B$11,$B$10),DG$3&lt;EDATE($B$11,MAX(1,'Вводные'!$K$33)),AND($B$7="Да",IFERROR(INDEX('Вводные'!$B$88:$B$91,$B$8),"Нет")="Да"))</x:f>
      </x:c>
      <x:c r="DH20" s="35" t="n">
        <x:f>--AND(DH$3&gt;=MAX($B$11,$B$10),DH$3&lt;EDATE($B$11,MAX(1,'Вводные'!$K$33)),AND($B$7="Да",IFERROR(INDEX('Вводные'!$B$88:$B$91,$B$8),"Нет")="Да"))</x:f>
      </x:c>
      <x:c r="DI20" s="35" t="n">
        <x:f>--AND(DI$3&gt;=MAX($B$11,$B$10),DI$3&lt;EDATE($B$11,MAX(1,'Вводные'!$K$33)),AND($B$7="Да",IFERROR(INDEX('Вводные'!$B$88:$B$91,$B$8),"Нет")="Да"))</x:f>
      </x:c>
      <x:c r="DJ20" s="35" t="n">
        <x:f>--AND(DJ$3&gt;=MAX($B$11,$B$10),DJ$3&lt;EDATE($B$11,MAX(1,'Вводные'!$K$33)),AND($B$7="Да",IFERROR(INDEX('Вводные'!$B$88:$B$91,$B$8),"Нет")="Да"))</x:f>
      </x:c>
      <x:c r="DK20" s="35" t="n">
        <x:f>--AND(DK$3&gt;=MAX($B$11,$B$10),DK$3&lt;EDATE($B$11,MAX(1,'Вводные'!$K$33)),AND($B$7="Да",IFERROR(INDEX('Вводные'!$B$88:$B$91,$B$8),"Нет")="Да"))</x:f>
      </x:c>
      <x:c r="DL20" s="35" t="n">
        <x:f>--AND(DL$3&gt;=MAX($B$11,$B$10),DL$3&lt;EDATE($B$11,MAX(1,'Вводные'!$K$33)),AND($B$7="Да",IFERROR(INDEX('Вводные'!$B$88:$B$91,$B$8),"Нет")="Да"))</x:f>
      </x:c>
      <x:c r="DM20" s="35" t="n">
        <x:f>--AND(DM$3&gt;=MAX($B$11,$B$10),DM$3&lt;EDATE($B$11,MAX(1,'Вводные'!$K$33)),AND($B$7="Да",IFERROR(INDEX('Вводные'!$B$88:$B$91,$B$8),"Нет")="Да"))</x:f>
      </x:c>
      <x:c r="DN20" s="35" t="n">
        <x:f>--AND(DN$3&gt;=MAX($B$11,$B$10),DN$3&lt;EDATE($B$11,MAX(1,'Вводные'!$K$33)),AND($B$7="Да",IFERROR(INDEX('Вводные'!$B$88:$B$91,$B$8),"Нет")="Да"))</x:f>
      </x:c>
      <x:c r="DO20" s="35" t="n">
        <x:f>--AND(DO$3&gt;=MAX($B$11,$B$10),DO$3&lt;EDATE($B$11,MAX(1,'Вводные'!$K$33)),AND($B$7="Да",IFERROR(INDEX('Вводные'!$B$88:$B$91,$B$8),"Нет")="Да"))</x:f>
      </x:c>
      <x:c r="DP20" s="35" t="n">
        <x:f>--AND(DP$3&gt;=MAX($B$11,$B$10),DP$3&lt;EDATE($B$11,MAX(1,'Вводные'!$K$33)),AND($B$7="Да",IFERROR(INDEX('Вводные'!$B$88:$B$91,$B$8),"Нет")="Да"))</x:f>
      </x:c>
      <x:c r="DQ20" s="35" t="n">
        <x:f>--AND(DQ$3&gt;=MAX($B$11,$B$10),DQ$3&lt;EDATE($B$11,MAX(1,'Вводные'!$K$33)),AND($B$7="Да",IFERROR(INDEX('Вводные'!$B$88:$B$91,$B$8),"Нет")="Да"))</x:f>
      </x:c>
      <x:c r="DR20" s="35" t="n">
        <x:f>--AND(DR$3&gt;=MAX($B$11,$B$10),DR$3&lt;EDATE($B$11,MAX(1,'Вводные'!$K$33)),AND($B$7="Да",IFERROR(INDEX('Вводные'!$B$88:$B$91,$B$8),"Нет")="Да"))</x:f>
      </x:c>
      <x:c r="DS20" s="35" t="n">
        <x:f>--AND(DS$3&gt;=MAX($B$11,$B$10),DS$3&lt;EDATE($B$11,MAX(1,'Вводные'!$K$33)),AND($B$7="Да",IFERROR(INDEX('Вводные'!$B$88:$B$91,$B$8),"Нет")="Да"))</x:f>
      </x:c>
    </x:row>
    <x:row r="21">
      <x:c r="A21" t="str">
        <x:v>Нормированный вес после РВЭ</x:v>
      </x:c>
      <x:c r="B21" s="35" t="n">
        <x:f>SUM(D21:DS21)</x:f>
      </x:c>
      <x:c r="C21" t="str">
        <x:v>%</x:v>
      </x:c>
      <x:c r="D21" s="35" t="n">
        <x:f>IFERROR(D18*D20/SUMPRODUCT($D18:$DS18,$D20:$DS20),0)</x:f>
      </x:c>
      <x:c r="E21" s="35" t="n">
        <x:f>IFERROR(E18*E20/SUMPRODUCT($D18:$DS18,$D20:$DS20),0)</x:f>
      </x:c>
      <x:c r="F21" s="35" t="n">
        <x:f>IFERROR(F18*F20/SUMPRODUCT($D18:$DS18,$D20:$DS20),0)</x:f>
      </x:c>
      <x:c r="G21" s="35" t="n">
        <x:f>IFERROR(G18*G20/SUMPRODUCT($D18:$DS18,$D20:$DS20),0)</x:f>
      </x:c>
      <x:c r="H21" s="35" t="n">
        <x:f>IFERROR(H18*H20/SUMPRODUCT($D18:$DS18,$D20:$DS20),0)</x:f>
      </x:c>
      <x:c r="I21" s="35" t="n">
        <x:f>IFERROR(I18*I20/SUMPRODUCT($D18:$DS18,$D20:$DS20),0)</x:f>
      </x:c>
      <x:c r="J21" s="35" t="n">
        <x:f>IFERROR(J18*J20/SUMPRODUCT($D18:$DS18,$D20:$DS20),0)</x:f>
      </x:c>
      <x:c r="K21" s="35" t="n">
        <x:f>IFERROR(K18*K20/SUMPRODUCT($D18:$DS18,$D20:$DS20),0)</x:f>
      </x:c>
      <x:c r="L21" s="35" t="n">
        <x:f>IFERROR(L18*L20/SUMPRODUCT($D18:$DS18,$D20:$DS20),0)</x:f>
      </x:c>
      <x:c r="M21" s="35" t="n">
        <x:f>IFERROR(M18*M20/SUMPRODUCT($D18:$DS18,$D20:$DS20),0)</x:f>
      </x:c>
      <x:c r="N21" s="35" t="n">
        <x:f>IFERROR(N18*N20/SUMPRODUCT($D18:$DS18,$D20:$DS20),0)</x:f>
      </x:c>
      <x:c r="O21" s="35" t="n">
        <x:f>IFERROR(O18*O20/SUMPRODUCT($D18:$DS18,$D20:$DS20),0)</x:f>
      </x:c>
      <x:c r="P21" s="35" t="n">
        <x:f>IFERROR(P18*P20/SUMPRODUCT($D18:$DS18,$D20:$DS20),0)</x:f>
      </x:c>
      <x:c r="Q21" s="35" t="n">
        <x:f>IFERROR(Q18*Q20/SUMPRODUCT($D18:$DS18,$D20:$DS20),0)</x:f>
      </x:c>
      <x:c r="R21" s="35" t="n">
        <x:f>IFERROR(R18*R20/SUMPRODUCT($D18:$DS18,$D20:$DS20),0)</x:f>
      </x:c>
      <x:c r="S21" s="35" t="n">
        <x:f>IFERROR(S18*S20/SUMPRODUCT($D18:$DS18,$D20:$DS20),0)</x:f>
      </x:c>
      <x:c r="T21" s="35" t="n">
        <x:f>IFERROR(T18*T20/SUMPRODUCT($D18:$DS18,$D20:$DS20),0)</x:f>
      </x:c>
      <x:c r="U21" s="35" t="n">
        <x:f>IFERROR(U18*U20/SUMPRODUCT($D18:$DS18,$D20:$DS20),0)</x:f>
      </x:c>
      <x:c r="V21" s="35" t="n">
        <x:f>IFERROR(V18*V20/SUMPRODUCT($D18:$DS18,$D20:$DS20),0)</x:f>
      </x:c>
      <x:c r="W21" s="35" t="n">
        <x:f>IFERROR(W18*W20/SUMPRODUCT($D18:$DS18,$D20:$DS20),0)</x:f>
      </x:c>
      <x:c r="X21" s="35" t="n">
        <x:f>IFERROR(X18*X20/SUMPRODUCT($D18:$DS18,$D20:$DS20),0)</x:f>
      </x:c>
      <x:c r="Y21" s="35" t="n">
        <x:f>IFERROR(Y18*Y20/SUMPRODUCT($D18:$DS18,$D20:$DS20),0)</x:f>
      </x:c>
      <x:c r="Z21" s="35" t="n">
        <x:f>IFERROR(Z18*Z20/SUMPRODUCT($D18:$DS18,$D20:$DS20),0)</x:f>
      </x:c>
      <x:c r="AA21" s="35" t="n">
        <x:f>IFERROR(AA18*AA20/SUMPRODUCT($D18:$DS18,$D20:$DS20),0)</x:f>
      </x:c>
      <x:c r="AB21" s="35" t="n">
        <x:f>IFERROR(AB18*AB20/SUMPRODUCT($D18:$DS18,$D20:$DS20),0)</x:f>
      </x:c>
      <x:c r="AC21" s="35" t="n">
        <x:f>IFERROR(AC18*AC20/SUMPRODUCT($D18:$DS18,$D20:$DS20),0)</x:f>
      </x:c>
      <x:c r="AD21" s="35" t="n">
        <x:f>IFERROR(AD18*AD20/SUMPRODUCT($D18:$DS18,$D20:$DS20),0)</x:f>
      </x:c>
      <x:c r="AE21" s="35" t="n">
        <x:f>IFERROR(AE18*AE20/SUMPRODUCT($D18:$DS18,$D20:$DS20),0)</x:f>
      </x:c>
      <x:c r="AF21" s="35" t="n">
        <x:f>IFERROR(AF18*AF20/SUMPRODUCT($D18:$DS18,$D20:$DS20),0)</x:f>
      </x:c>
      <x:c r="AG21" s="35" t="n">
        <x:f>IFERROR(AG18*AG20/SUMPRODUCT($D18:$DS18,$D20:$DS20),0)</x:f>
      </x:c>
      <x:c r="AH21" s="35" t="n">
        <x:f>IFERROR(AH18*AH20/SUMPRODUCT($D18:$DS18,$D20:$DS20),0)</x:f>
      </x:c>
      <x:c r="AI21" s="35" t="n">
        <x:f>IFERROR(AI18*AI20/SUMPRODUCT($D18:$DS18,$D20:$DS20),0)</x:f>
      </x:c>
      <x:c r="AJ21" s="35" t="n">
        <x:f>IFERROR(AJ18*AJ20/SUMPRODUCT($D18:$DS18,$D20:$DS20),0)</x:f>
      </x:c>
      <x:c r="AK21" s="35" t="n">
        <x:f>IFERROR(AK18*AK20/SUMPRODUCT($D18:$DS18,$D20:$DS20),0)</x:f>
      </x:c>
      <x:c r="AL21" s="35" t="n">
        <x:f>IFERROR(AL18*AL20/SUMPRODUCT($D18:$DS18,$D20:$DS20),0)</x:f>
      </x:c>
      <x:c r="AM21" s="35" t="n">
        <x:f>IFERROR(AM18*AM20/SUMPRODUCT($D18:$DS18,$D20:$DS20),0)</x:f>
      </x:c>
      <x:c r="AN21" s="35" t="n">
        <x:f>IFERROR(AN18*AN20/SUMPRODUCT($D18:$DS18,$D20:$DS20),0)</x:f>
      </x:c>
      <x:c r="AO21" s="35" t="n">
        <x:f>IFERROR(AO18*AO20/SUMPRODUCT($D18:$DS18,$D20:$DS20),0)</x:f>
      </x:c>
      <x:c r="AP21" s="35" t="n">
        <x:f>IFERROR(AP18*AP20/SUMPRODUCT($D18:$DS18,$D20:$DS20),0)</x:f>
      </x:c>
      <x:c r="AQ21" s="35" t="n">
        <x:f>IFERROR(AQ18*AQ20/SUMPRODUCT($D18:$DS18,$D20:$DS20),0)</x:f>
      </x:c>
      <x:c r="AR21" s="35" t="n">
        <x:f>IFERROR(AR18*AR20/SUMPRODUCT($D18:$DS18,$D20:$DS20),0)</x:f>
      </x:c>
      <x:c r="AS21" s="35" t="n">
        <x:f>IFERROR(AS18*AS20/SUMPRODUCT($D18:$DS18,$D20:$DS20),0)</x:f>
      </x:c>
      <x:c r="AT21" s="35" t="n">
        <x:f>IFERROR(AT18*AT20/SUMPRODUCT($D18:$DS18,$D20:$DS20),0)</x:f>
      </x:c>
      <x:c r="AU21" s="35" t="n">
        <x:f>IFERROR(AU18*AU20/SUMPRODUCT($D18:$DS18,$D20:$DS20),0)</x:f>
      </x:c>
      <x:c r="AV21" s="35" t="n">
        <x:f>IFERROR(AV18*AV20/SUMPRODUCT($D18:$DS18,$D20:$DS20),0)</x:f>
      </x:c>
      <x:c r="AW21" s="35" t="n">
        <x:f>IFERROR(AW18*AW20/SUMPRODUCT($D18:$DS18,$D20:$DS20),0)</x:f>
      </x:c>
      <x:c r="AX21" s="35" t="n">
        <x:f>IFERROR(AX18*AX20/SUMPRODUCT($D18:$DS18,$D20:$DS20),0)</x:f>
      </x:c>
      <x:c r="AY21" s="35" t="n">
        <x:f>IFERROR(AY18*AY20/SUMPRODUCT($D18:$DS18,$D20:$DS20),0)</x:f>
      </x:c>
      <x:c r="AZ21" s="35" t="n">
        <x:f>IFERROR(AZ18*AZ20/SUMPRODUCT($D18:$DS18,$D20:$DS20),0)</x:f>
      </x:c>
      <x:c r="BA21" s="35" t="n">
        <x:f>IFERROR(BA18*BA20/SUMPRODUCT($D18:$DS18,$D20:$DS20),0)</x:f>
      </x:c>
      <x:c r="BB21" s="35" t="n">
        <x:f>IFERROR(BB18*BB20/SUMPRODUCT($D18:$DS18,$D20:$DS20),0)</x:f>
      </x:c>
      <x:c r="BC21" s="35" t="n">
        <x:f>IFERROR(BC18*BC20/SUMPRODUCT($D18:$DS18,$D20:$DS20),0)</x:f>
      </x:c>
      <x:c r="BD21" s="35" t="n">
        <x:f>IFERROR(BD18*BD20/SUMPRODUCT($D18:$DS18,$D20:$DS20),0)</x:f>
      </x:c>
      <x:c r="BE21" s="35" t="n">
        <x:f>IFERROR(BE18*BE20/SUMPRODUCT($D18:$DS18,$D20:$DS20),0)</x:f>
      </x:c>
      <x:c r="BF21" s="35" t="n">
        <x:f>IFERROR(BF18*BF20/SUMPRODUCT($D18:$DS18,$D20:$DS20),0)</x:f>
      </x:c>
      <x:c r="BG21" s="35" t="n">
        <x:f>IFERROR(BG18*BG20/SUMPRODUCT($D18:$DS18,$D20:$DS20),0)</x:f>
      </x:c>
      <x:c r="BH21" s="35" t="n">
        <x:f>IFERROR(BH18*BH20/SUMPRODUCT($D18:$DS18,$D20:$DS20),0)</x:f>
      </x:c>
      <x:c r="BI21" s="35" t="n">
        <x:f>IFERROR(BI18*BI20/SUMPRODUCT($D18:$DS18,$D20:$DS20),0)</x:f>
      </x:c>
      <x:c r="BJ21" s="35" t="n">
        <x:f>IFERROR(BJ18*BJ20/SUMPRODUCT($D18:$DS18,$D20:$DS20),0)</x:f>
      </x:c>
      <x:c r="BK21" s="35" t="n">
        <x:f>IFERROR(BK18*BK20/SUMPRODUCT($D18:$DS18,$D20:$DS20),0)</x:f>
      </x:c>
      <x:c r="BL21" s="35" t="n">
        <x:f>IFERROR(BL18*BL20/SUMPRODUCT($D18:$DS18,$D20:$DS20),0)</x:f>
      </x:c>
      <x:c r="BM21" s="35" t="n">
        <x:f>IFERROR(BM18*BM20/SUMPRODUCT($D18:$DS18,$D20:$DS20),0)</x:f>
      </x:c>
      <x:c r="BN21" s="35" t="n">
        <x:f>IFERROR(BN18*BN20/SUMPRODUCT($D18:$DS18,$D20:$DS20),0)</x:f>
      </x:c>
      <x:c r="BO21" s="35" t="n">
        <x:f>IFERROR(BO18*BO20/SUMPRODUCT($D18:$DS18,$D20:$DS20),0)</x:f>
      </x:c>
      <x:c r="BP21" s="35" t="n">
        <x:f>IFERROR(BP18*BP20/SUMPRODUCT($D18:$DS18,$D20:$DS20),0)</x:f>
      </x:c>
      <x:c r="BQ21" s="35" t="n">
        <x:f>IFERROR(BQ18*BQ20/SUMPRODUCT($D18:$DS18,$D20:$DS20),0)</x:f>
      </x:c>
      <x:c r="BR21" s="35" t="n">
        <x:f>IFERROR(BR18*BR20/SUMPRODUCT($D18:$DS18,$D20:$DS20),0)</x:f>
      </x:c>
      <x:c r="BS21" s="35" t="n">
        <x:f>IFERROR(BS18*BS20/SUMPRODUCT($D18:$DS18,$D20:$DS20),0)</x:f>
      </x:c>
      <x:c r="BT21" s="35" t="n">
        <x:f>IFERROR(BT18*BT20/SUMPRODUCT($D18:$DS18,$D20:$DS20),0)</x:f>
      </x:c>
      <x:c r="BU21" s="35" t="n">
        <x:f>IFERROR(BU18*BU20/SUMPRODUCT($D18:$DS18,$D20:$DS20),0)</x:f>
      </x:c>
      <x:c r="BV21" s="35" t="n">
        <x:f>IFERROR(BV18*BV20/SUMPRODUCT($D18:$DS18,$D20:$DS20),0)</x:f>
      </x:c>
      <x:c r="BW21" s="35" t="n">
        <x:f>IFERROR(BW18*BW20/SUMPRODUCT($D18:$DS18,$D20:$DS20),0)</x:f>
      </x:c>
      <x:c r="BX21" s="35" t="n">
        <x:f>IFERROR(BX18*BX20/SUMPRODUCT($D18:$DS18,$D20:$DS20),0)</x:f>
      </x:c>
      <x:c r="BY21" s="35" t="n">
        <x:f>IFERROR(BY18*BY20/SUMPRODUCT($D18:$DS18,$D20:$DS20),0)</x:f>
      </x:c>
      <x:c r="BZ21" s="35" t="n">
        <x:f>IFERROR(BZ18*BZ20/SUMPRODUCT($D18:$DS18,$D20:$DS20),0)</x:f>
      </x:c>
      <x:c r="CA21" s="35" t="n">
        <x:f>IFERROR(CA18*CA20/SUMPRODUCT($D18:$DS18,$D20:$DS20),0)</x:f>
      </x:c>
      <x:c r="CB21" s="35" t="n">
        <x:f>IFERROR(CB18*CB20/SUMPRODUCT($D18:$DS18,$D20:$DS20),0)</x:f>
      </x:c>
      <x:c r="CC21" s="35" t="n">
        <x:f>IFERROR(CC18*CC20/SUMPRODUCT($D18:$DS18,$D20:$DS20),0)</x:f>
      </x:c>
      <x:c r="CD21" s="35" t="n">
        <x:f>IFERROR(CD18*CD20/SUMPRODUCT($D18:$DS18,$D20:$DS20),0)</x:f>
      </x:c>
      <x:c r="CE21" s="35" t="n">
        <x:f>IFERROR(CE18*CE20/SUMPRODUCT($D18:$DS18,$D20:$DS20),0)</x:f>
      </x:c>
      <x:c r="CF21" s="35" t="n">
        <x:f>IFERROR(CF18*CF20/SUMPRODUCT($D18:$DS18,$D20:$DS20),0)</x:f>
      </x:c>
      <x:c r="CG21" s="35" t="n">
        <x:f>IFERROR(CG18*CG20/SUMPRODUCT($D18:$DS18,$D20:$DS20),0)</x:f>
      </x:c>
      <x:c r="CH21" s="35" t="n">
        <x:f>IFERROR(CH18*CH20/SUMPRODUCT($D18:$DS18,$D20:$DS20),0)</x:f>
      </x:c>
      <x:c r="CI21" s="35" t="n">
        <x:f>IFERROR(CI18*CI20/SUMPRODUCT($D18:$DS18,$D20:$DS20),0)</x:f>
      </x:c>
      <x:c r="CJ21" s="35" t="n">
        <x:f>IFERROR(CJ18*CJ20/SUMPRODUCT($D18:$DS18,$D20:$DS20),0)</x:f>
      </x:c>
      <x:c r="CK21" s="35" t="n">
        <x:f>IFERROR(CK18*CK20/SUMPRODUCT($D18:$DS18,$D20:$DS20),0)</x:f>
      </x:c>
      <x:c r="CL21" s="35" t="n">
        <x:f>IFERROR(CL18*CL20/SUMPRODUCT($D18:$DS18,$D20:$DS20),0)</x:f>
      </x:c>
      <x:c r="CM21" s="35" t="n">
        <x:f>IFERROR(CM18*CM20/SUMPRODUCT($D18:$DS18,$D20:$DS20),0)</x:f>
      </x:c>
      <x:c r="CN21" s="35" t="n">
        <x:f>IFERROR(CN18*CN20/SUMPRODUCT($D18:$DS18,$D20:$DS20),0)</x:f>
      </x:c>
      <x:c r="CO21" s="35" t="n">
        <x:f>IFERROR(CO18*CO20/SUMPRODUCT($D18:$DS18,$D20:$DS20),0)</x:f>
      </x:c>
      <x:c r="CP21" s="35" t="n">
        <x:f>IFERROR(CP18*CP20/SUMPRODUCT($D18:$DS18,$D20:$DS20),0)</x:f>
      </x:c>
      <x:c r="CQ21" s="35" t="n">
        <x:f>IFERROR(CQ18*CQ20/SUMPRODUCT($D18:$DS18,$D20:$DS20),0)</x:f>
      </x:c>
      <x:c r="CR21" s="35" t="n">
        <x:f>IFERROR(CR18*CR20/SUMPRODUCT($D18:$DS18,$D20:$DS20),0)</x:f>
      </x:c>
      <x:c r="CS21" s="35" t="n">
        <x:f>IFERROR(CS18*CS20/SUMPRODUCT($D18:$DS18,$D20:$DS20),0)</x:f>
      </x:c>
      <x:c r="CT21" s="35" t="n">
        <x:f>IFERROR(CT18*CT20/SUMPRODUCT($D18:$DS18,$D20:$DS20),0)</x:f>
      </x:c>
      <x:c r="CU21" s="35" t="n">
        <x:f>IFERROR(CU18*CU20/SUMPRODUCT($D18:$DS18,$D20:$DS20),0)</x:f>
      </x:c>
      <x:c r="CV21" s="35" t="n">
        <x:f>IFERROR(CV18*CV20/SUMPRODUCT($D18:$DS18,$D20:$DS20),0)</x:f>
      </x:c>
      <x:c r="CW21" s="35" t="n">
        <x:f>IFERROR(CW18*CW20/SUMPRODUCT($D18:$DS18,$D20:$DS20),0)</x:f>
      </x:c>
      <x:c r="CX21" s="35" t="n">
        <x:f>IFERROR(CX18*CX20/SUMPRODUCT($D18:$DS18,$D20:$DS20),0)</x:f>
      </x:c>
      <x:c r="CY21" s="35" t="n">
        <x:f>IFERROR(CY18*CY20/SUMPRODUCT($D18:$DS18,$D20:$DS20),0)</x:f>
      </x:c>
      <x:c r="CZ21" s="35" t="n">
        <x:f>IFERROR(CZ18*CZ20/SUMPRODUCT($D18:$DS18,$D20:$DS20),0)</x:f>
      </x:c>
      <x:c r="DA21" s="35" t="n">
        <x:f>IFERROR(DA18*DA20/SUMPRODUCT($D18:$DS18,$D20:$DS20),0)</x:f>
      </x:c>
      <x:c r="DB21" s="35" t="n">
        <x:f>IFERROR(DB18*DB20/SUMPRODUCT($D18:$DS18,$D20:$DS20),0)</x:f>
      </x:c>
      <x:c r="DC21" s="35" t="n">
        <x:f>IFERROR(DC18*DC20/SUMPRODUCT($D18:$DS18,$D20:$DS20),0)</x:f>
      </x:c>
      <x:c r="DD21" s="35" t="n">
        <x:f>IFERROR(DD18*DD20/SUMPRODUCT($D18:$DS18,$D20:$DS20),0)</x:f>
      </x:c>
      <x:c r="DE21" s="35" t="n">
        <x:f>IFERROR(DE18*DE20/SUMPRODUCT($D18:$DS18,$D20:$DS20),0)</x:f>
      </x:c>
      <x:c r="DF21" s="35" t="n">
        <x:f>IFERROR(DF18*DF20/SUMPRODUCT($D18:$DS18,$D20:$DS20),0)</x:f>
      </x:c>
      <x:c r="DG21" s="35" t="n">
        <x:f>IFERROR(DG18*DG20/SUMPRODUCT($D18:$DS18,$D20:$DS20),0)</x:f>
      </x:c>
      <x:c r="DH21" s="35" t="n">
        <x:f>IFERROR(DH18*DH20/SUMPRODUCT($D18:$DS18,$D20:$DS20),0)</x:f>
      </x:c>
      <x:c r="DI21" s="35" t="n">
        <x:f>IFERROR(DI18*DI20/SUMPRODUCT($D18:$DS18,$D20:$DS20),0)</x:f>
      </x:c>
      <x:c r="DJ21" s="35" t="n">
        <x:f>IFERROR(DJ18*DJ20/SUMPRODUCT($D18:$DS18,$D20:$DS20),0)</x:f>
      </x:c>
      <x:c r="DK21" s="35" t="n">
        <x:f>IFERROR(DK18*DK20/SUMPRODUCT($D18:$DS18,$D20:$DS20),0)</x:f>
      </x:c>
      <x:c r="DL21" s="35" t="n">
        <x:f>IFERROR(DL18*DL20/SUMPRODUCT($D18:$DS18,$D20:$DS20),0)</x:f>
      </x:c>
      <x:c r="DM21" s="35" t="n">
        <x:f>IFERROR(DM18*DM20/SUMPRODUCT($D18:$DS18,$D20:$DS20),0)</x:f>
      </x:c>
      <x:c r="DN21" s="35" t="n">
        <x:f>IFERROR(DN18*DN20/SUMPRODUCT($D18:$DS18,$D20:$DS20),0)</x:f>
      </x:c>
      <x:c r="DO21" s="35" t="n">
        <x:f>IFERROR(DO18*DO20/SUMPRODUCT($D18:$DS18,$D20:$DS20),0)</x:f>
      </x:c>
      <x:c r="DP21" s="35" t="n">
        <x:f>IFERROR(DP18*DP20/SUMPRODUCT($D18:$DS18,$D20:$DS20),0)</x:f>
      </x:c>
      <x:c r="DQ21" s="35" t="n">
        <x:f>IFERROR(DQ18*DQ20/SUMPRODUCT($D18:$DS18,$D20:$DS20),0)</x:f>
      </x:c>
      <x:c r="DR21" s="35" t="n">
        <x:f>IFERROR(DR18*DR20/SUMPRODUCT($D18:$DS18,$D20:$DS20),0)</x:f>
      </x:c>
      <x:c r="DS21" s="35" t="n">
        <x:f>IFERROR(DS18*DS20/SUMPRODUCT($D18:$DS18,$D20:$DS20),0)</x:f>
      </x:c>
    </x:row>
    <x:row r="22">
      <x:c r="A22" t="str">
        <x:v>Реализованный объём</x:v>
      </x:c>
      <x:c r="B22" s="132" t="n">
        <x:f>SUM(D22:DS22)</x:f>
      </x:c>
      <x:c r="C22" t="str">
        <x:v>м²</x:v>
      </x:c>
      <x:c r="D22" s="132" t="n">
        <x:f>$B$13*((IF(SUM($D17:$DS17)=0,0,IF(SUM($D20:$DS20)=0,1,'Вводные'!$K$32)))*D19+(1-(IF(SUM($D17:$DS17)=0,0,IF(SUM($D20:$DS20)=0,1,'Вводные'!$K$32))))*D21)</x:f>
      </x:c>
      <x:c r="E22" s="132" t="n">
        <x:f>$B$13*((IF(SUM($D17:$DS17)=0,0,IF(SUM($D20:$DS20)=0,1,'Вводные'!$K$32)))*E19+(1-(IF(SUM($D17:$DS17)=0,0,IF(SUM($D20:$DS20)=0,1,'Вводные'!$K$32))))*E21)</x:f>
      </x:c>
      <x:c r="F22" s="132" t="n">
        <x:f>$B$13*((IF(SUM($D17:$DS17)=0,0,IF(SUM($D20:$DS20)=0,1,'Вводные'!$K$32)))*F19+(1-(IF(SUM($D17:$DS17)=0,0,IF(SUM($D20:$DS20)=0,1,'Вводные'!$K$32))))*F21)</x:f>
      </x:c>
      <x:c r="G22" s="132" t="n">
        <x:f>$B$13*((IF(SUM($D17:$DS17)=0,0,IF(SUM($D20:$DS20)=0,1,'Вводные'!$K$32)))*G19+(1-(IF(SUM($D17:$DS17)=0,0,IF(SUM($D20:$DS20)=0,1,'Вводные'!$K$32))))*G21)</x:f>
      </x:c>
      <x:c r="H22" s="132" t="n">
        <x:f>$B$13*((IF(SUM($D17:$DS17)=0,0,IF(SUM($D20:$DS20)=0,1,'Вводные'!$K$32)))*H19+(1-(IF(SUM($D17:$DS17)=0,0,IF(SUM($D20:$DS20)=0,1,'Вводные'!$K$32))))*H21)</x:f>
      </x:c>
      <x:c r="I22" s="132" t="n">
        <x:f>$B$13*((IF(SUM($D17:$DS17)=0,0,IF(SUM($D20:$DS20)=0,1,'Вводные'!$K$32)))*I19+(1-(IF(SUM($D17:$DS17)=0,0,IF(SUM($D20:$DS20)=0,1,'Вводные'!$K$32))))*I21)</x:f>
      </x:c>
      <x:c r="J22" s="132" t="n">
        <x:f>$B$13*((IF(SUM($D17:$DS17)=0,0,IF(SUM($D20:$DS20)=0,1,'Вводные'!$K$32)))*J19+(1-(IF(SUM($D17:$DS17)=0,0,IF(SUM($D20:$DS20)=0,1,'Вводные'!$K$32))))*J21)</x:f>
      </x:c>
      <x:c r="K22" s="132" t="n">
        <x:f>$B$13*((IF(SUM($D17:$DS17)=0,0,IF(SUM($D20:$DS20)=0,1,'Вводные'!$K$32)))*K19+(1-(IF(SUM($D17:$DS17)=0,0,IF(SUM($D20:$DS20)=0,1,'Вводные'!$K$32))))*K21)</x:f>
      </x:c>
      <x:c r="L22" s="132" t="n">
        <x:f>$B$13*((IF(SUM($D17:$DS17)=0,0,IF(SUM($D20:$DS20)=0,1,'Вводные'!$K$32)))*L19+(1-(IF(SUM($D17:$DS17)=0,0,IF(SUM($D20:$DS20)=0,1,'Вводные'!$K$32))))*L21)</x:f>
      </x:c>
      <x:c r="M22" s="132" t="n">
        <x:f>$B$13*((IF(SUM($D17:$DS17)=0,0,IF(SUM($D20:$DS20)=0,1,'Вводные'!$K$32)))*M19+(1-(IF(SUM($D17:$DS17)=0,0,IF(SUM($D20:$DS20)=0,1,'Вводные'!$K$32))))*M21)</x:f>
      </x:c>
      <x:c r="N22" s="132" t="n">
        <x:f>$B$13*((IF(SUM($D17:$DS17)=0,0,IF(SUM($D20:$DS20)=0,1,'Вводные'!$K$32)))*N19+(1-(IF(SUM($D17:$DS17)=0,0,IF(SUM($D20:$DS20)=0,1,'Вводные'!$K$32))))*N21)</x:f>
      </x:c>
      <x:c r="O22" s="132" t="n">
        <x:f>$B$13*((IF(SUM($D17:$DS17)=0,0,IF(SUM($D20:$DS20)=0,1,'Вводные'!$K$32)))*O19+(1-(IF(SUM($D17:$DS17)=0,0,IF(SUM($D20:$DS20)=0,1,'Вводные'!$K$32))))*O21)</x:f>
      </x:c>
      <x:c r="P22" s="132" t="n">
        <x:f>$B$13*((IF(SUM($D17:$DS17)=0,0,IF(SUM($D20:$DS20)=0,1,'Вводные'!$K$32)))*P19+(1-(IF(SUM($D17:$DS17)=0,0,IF(SUM($D20:$DS20)=0,1,'Вводные'!$K$32))))*P21)</x:f>
      </x:c>
      <x:c r="Q22" s="132" t="n">
        <x:f>$B$13*((IF(SUM($D17:$DS17)=0,0,IF(SUM($D20:$DS20)=0,1,'Вводные'!$K$32)))*Q19+(1-(IF(SUM($D17:$DS17)=0,0,IF(SUM($D20:$DS20)=0,1,'Вводные'!$K$32))))*Q21)</x:f>
      </x:c>
      <x:c r="R22" s="132" t="n">
        <x:f>$B$13*((IF(SUM($D17:$DS17)=0,0,IF(SUM($D20:$DS20)=0,1,'Вводные'!$K$32)))*R19+(1-(IF(SUM($D17:$DS17)=0,0,IF(SUM($D20:$DS20)=0,1,'Вводные'!$K$32))))*R21)</x:f>
      </x:c>
      <x:c r="S22" s="132" t="n">
        <x:f>$B$13*((IF(SUM($D17:$DS17)=0,0,IF(SUM($D20:$DS20)=0,1,'Вводные'!$K$32)))*S19+(1-(IF(SUM($D17:$DS17)=0,0,IF(SUM($D20:$DS20)=0,1,'Вводные'!$K$32))))*S21)</x:f>
      </x:c>
      <x:c r="T22" s="132" t="n">
        <x:f>$B$13*((IF(SUM($D17:$DS17)=0,0,IF(SUM($D20:$DS20)=0,1,'Вводные'!$K$32)))*T19+(1-(IF(SUM($D17:$DS17)=0,0,IF(SUM($D20:$DS20)=0,1,'Вводные'!$K$32))))*T21)</x:f>
      </x:c>
      <x:c r="U22" s="132" t="n">
        <x:f>$B$13*((IF(SUM($D17:$DS17)=0,0,IF(SUM($D20:$DS20)=0,1,'Вводные'!$K$32)))*U19+(1-(IF(SUM($D17:$DS17)=0,0,IF(SUM($D20:$DS20)=0,1,'Вводные'!$K$32))))*U21)</x:f>
      </x:c>
      <x:c r="V22" s="132" t="n">
        <x:f>$B$13*((IF(SUM($D17:$DS17)=0,0,IF(SUM($D20:$DS20)=0,1,'Вводные'!$K$32)))*V19+(1-(IF(SUM($D17:$DS17)=0,0,IF(SUM($D20:$DS20)=0,1,'Вводные'!$K$32))))*V21)</x:f>
      </x:c>
      <x:c r="W22" s="132" t="n">
        <x:f>$B$13*((IF(SUM($D17:$DS17)=0,0,IF(SUM($D20:$DS20)=0,1,'Вводные'!$K$32)))*W19+(1-(IF(SUM($D17:$DS17)=0,0,IF(SUM($D20:$DS20)=0,1,'Вводные'!$K$32))))*W21)</x:f>
      </x:c>
      <x:c r="X22" s="132" t="n">
        <x:f>$B$13*((IF(SUM($D17:$DS17)=0,0,IF(SUM($D20:$DS20)=0,1,'Вводные'!$K$32)))*X19+(1-(IF(SUM($D17:$DS17)=0,0,IF(SUM($D20:$DS20)=0,1,'Вводные'!$K$32))))*X21)</x:f>
      </x:c>
      <x:c r="Y22" s="132" t="n">
        <x:f>$B$13*((IF(SUM($D17:$DS17)=0,0,IF(SUM($D20:$DS20)=0,1,'Вводные'!$K$32)))*Y19+(1-(IF(SUM($D17:$DS17)=0,0,IF(SUM($D20:$DS20)=0,1,'Вводные'!$K$32))))*Y21)</x:f>
      </x:c>
      <x:c r="Z22" s="132" t="n">
        <x:f>$B$13*((IF(SUM($D17:$DS17)=0,0,IF(SUM($D20:$DS20)=0,1,'Вводные'!$K$32)))*Z19+(1-(IF(SUM($D17:$DS17)=0,0,IF(SUM($D20:$DS20)=0,1,'Вводные'!$K$32))))*Z21)</x:f>
      </x:c>
      <x:c r="AA22" s="132" t="n">
        <x:f>$B$13*((IF(SUM($D17:$DS17)=0,0,IF(SUM($D20:$DS20)=0,1,'Вводные'!$K$32)))*AA19+(1-(IF(SUM($D17:$DS17)=0,0,IF(SUM($D20:$DS20)=0,1,'Вводные'!$K$32))))*AA21)</x:f>
      </x:c>
      <x:c r="AB22" s="132" t="n">
        <x:f>$B$13*((IF(SUM($D17:$DS17)=0,0,IF(SUM($D20:$DS20)=0,1,'Вводные'!$K$32)))*AB19+(1-(IF(SUM($D17:$DS17)=0,0,IF(SUM($D20:$DS20)=0,1,'Вводные'!$K$32))))*AB21)</x:f>
      </x:c>
      <x:c r="AC22" s="132" t="n">
        <x:f>$B$13*((IF(SUM($D17:$DS17)=0,0,IF(SUM($D20:$DS20)=0,1,'Вводные'!$K$32)))*AC19+(1-(IF(SUM($D17:$DS17)=0,0,IF(SUM($D20:$DS20)=0,1,'Вводные'!$K$32))))*AC21)</x:f>
      </x:c>
      <x:c r="AD22" s="132" t="n">
        <x:f>$B$13*((IF(SUM($D17:$DS17)=0,0,IF(SUM($D20:$DS20)=0,1,'Вводные'!$K$32)))*AD19+(1-(IF(SUM($D17:$DS17)=0,0,IF(SUM($D20:$DS20)=0,1,'Вводные'!$K$32))))*AD21)</x:f>
      </x:c>
      <x:c r="AE22" s="132" t="n">
        <x:f>$B$13*((IF(SUM($D17:$DS17)=0,0,IF(SUM($D20:$DS20)=0,1,'Вводные'!$K$32)))*AE19+(1-(IF(SUM($D17:$DS17)=0,0,IF(SUM($D20:$DS20)=0,1,'Вводные'!$K$32))))*AE21)</x:f>
      </x:c>
      <x:c r="AF22" s="132" t="n">
        <x:f>$B$13*((IF(SUM($D17:$DS17)=0,0,IF(SUM($D20:$DS20)=0,1,'Вводные'!$K$32)))*AF19+(1-(IF(SUM($D17:$DS17)=0,0,IF(SUM($D20:$DS20)=0,1,'Вводные'!$K$32))))*AF21)</x:f>
      </x:c>
      <x:c r="AG22" s="132" t="n">
        <x:f>$B$13*((IF(SUM($D17:$DS17)=0,0,IF(SUM($D20:$DS20)=0,1,'Вводные'!$K$32)))*AG19+(1-(IF(SUM($D17:$DS17)=0,0,IF(SUM($D20:$DS20)=0,1,'Вводные'!$K$32))))*AG21)</x:f>
      </x:c>
      <x:c r="AH22" s="132" t="n">
        <x:f>$B$13*((IF(SUM($D17:$DS17)=0,0,IF(SUM($D20:$DS20)=0,1,'Вводные'!$K$32)))*AH19+(1-(IF(SUM($D17:$DS17)=0,0,IF(SUM($D20:$DS20)=0,1,'Вводные'!$K$32))))*AH21)</x:f>
      </x:c>
      <x:c r="AI22" s="132" t="n">
        <x:f>$B$13*((IF(SUM($D17:$DS17)=0,0,IF(SUM($D20:$DS20)=0,1,'Вводные'!$K$32)))*AI19+(1-(IF(SUM($D17:$DS17)=0,0,IF(SUM($D20:$DS20)=0,1,'Вводные'!$K$32))))*AI21)</x:f>
      </x:c>
      <x:c r="AJ22" s="132" t="n">
        <x:f>$B$13*((IF(SUM($D17:$DS17)=0,0,IF(SUM($D20:$DS20)=0,1,'Вводные'!$K$32)))*AJ19+(1-(IF(SUM($D17:$DS17)=0,0,IF(SUM($D20:$DS20)=0,1,'Вводные'!$K$32))))*AJ21)</x:f>
      </x:c>
      <x:c r="AK22" s="132" t="n">
        <x:f>$B$13*((IF(SUM($D17:$DS17)=0,0,IF(SUM($D20:$DS20)=0,1,'Вводные'!$K$32)))*AK19+(1-(IF(SUM($D17:$DS17)=0,0,IF(SUM($D20:$DS20)=0,1,'Вводные'!$K$32))))*AK21)</x:f>
      </x:c>
      <x:c r="AL22" s="132" t="n">
        <x:f>$B$13*((IF(SUM($D17:$DS17)=0,0,IF(SUM($D20:$DS20)=0,1,'Вводные'!$K$32)))*AL19+(1-(IF(SUM($D17:$DS17)=0,0,IF(SUM($D20:$DS20)=0,1,'Вводные'!$K$32))))*AL21)</x:f>
      </x:c>
      <x:c r="AM22" s="132" t="n">
        <x:f>$B$13*((IF(SUM($D17:$DS17)=0,0,IF(SUM($D20:$DS20)=0,1,'Вводные'!$K$32)))*AM19+(1-(IF(SUM($D17:$DS17)=0,0,IF(SUM($D20:$DS20)=0,1,'Вводные'!$K$32))))*AM21)</x:f>
      </x:c>
      <x:c r="AN22" s="132" t="n">
        <x:f>$B$13*((IF(SUM($D17:$DS17)=0,0,IF(SUM($D20:$DS20)=0,1,'Вводные'!$K$32)))*AN19+(1-(IF(SUM($D17:$DS17)=0,0,IF(SUM($D20:$DS20)=0,1,'Вводные'!$K$32))))*AN21)</x:f>
      </x:c>
      <x:c r="AO22" s="132" t="n">
        <x:f>$B$13*((IF(SUM($D17:$DS17)=0,0,IF(SUM($D20:$DS20)=0,1,'Вводные'!$K$32)))*AO19+(1-(IF(SUM($D17:$DS17)=0,0,IF(SUM($D20:$DS20)=0,1,'Вводные'!$K$32))))*AO21)</x:f>
      </x:c>
      <x:c r="AP22" s="132" t="n">
        <x:f>$B$13*((IF(SUM($D17:$DS17)=0,0,IF(SUM($D20:$DS20)=0,1,'Вводные'!$K$32)))*AP19+(1-(IF(SUM($D17:$DS17)=0,0,IF(SUM($D20:$DS20)=0,1,'Вводные'!$K$32))))*AP21)</x:f>
      </x:c>
      <x:c r="AQ22" s="132" t="n">
        <x:f>$B$13*((IF(SUM($D17:$DS17)=0,0,IF(SUM($D20:$DS20)=0,1,'Вводные'!$K$32)))*AQ19+(1-(IF(SUM($D17:$DS17)=0,0,IF(SUM($D20:$DS20)=0,1,'Вводные'!$K$32))))*AQ21)</x:f>
      </x:c>
      <x:c r="AR22" s="132" t="n">
        <x:f>$B$13*((IF(SUM($D17:$DS17)=0,0,IF(SUM($D20:$DS20)=0,1,'Вводные'!$K$32)))*AR19+(1-(IF(SUM($D17:$DS17)=0,0,IF(SUM($D20:$DS20)=0,1,'Вводные'!$K$32))))*AR21)</x:f>
      </x:c>
      <x:c r="AS22" s="132" t="n">
        <x:f>$B$13*((IF(SUM($D17:$DS17)=0,0,IF(SUM($D20:$DS20)=0,1,'Вводные'!$K$32)))*AS19+(1-(IF(SUM($D17:$DS17)=0,0,IF(SUM($D20:$DS20)=0,1,'Вводные'!$K$32))))*AS21)</x:f>
      </x:c>
      <x:c r="AT22" s="132" t="n">
        <x:f>$B$13*((IF(SUM($D17:$DS17)=0,0,IF(SUM($D20:$DS20)=0,1,'Вводные'!$K$32)))*AT19+(1-(IF(SUM($D17:$DS17)=0,0,IF(SUM($D20:$DS20)=0,1,'Вводные'!$K$32))))*AT21)</x:f>
      </x:c>
      <x:c r="AU22" s="132" t="n">
        <x:f>$B$13*((IF(SUM($D17:$DS17)=0,0,IF(SUM($D20:$DS20)=0,1,'Вводные'!$K$32)))*AU19+(1-(IF(SUM($D17:$DS17)=0,0,IF(SUM($D20:$DS20)=0,1,'Вводные'!$K$32))))*AU21)</x:f>
      </x:c>
      <x:c r="AV22" s="132" t="n">
        <x:f>$B$13*((IF(SUM($D17:$DS17)=0,0,IF(SUM($D20:$DS20)=0,1,'Вводные'!$K$32)))*AV19+(1-(IF(SUM($D17:$DS17)=0,0,IF(SUM($D20:$DS20)=0,1,'Вводные'!$K$32))))*AV21)</x:f>
      </x:c>
      <x:c r="AW22" s="132" t="n">
        <x:f>$B$13*((IF(SUM($D17:$DS17)=0,0,IF(SUM($D20:$DS20)=0,1,'Вводные'!$K$32)))*AW19+(1-(IF(SUM($D17:$DS17)=0,0,IF(SUM($D20:$DS20)=0,1,'Вводные'!$K$32))))*AW21)</x:f>
      </x:c>
      <x:c r="AX22" s="132" t="n">
        <x:f>$B$13*((IF(SUM($D17:$DS17)=0,0,IF(SUM($D20:$DS20)=0,1,'Вводные'!$K$32)))*AX19+(1-(IF(SUM($D17:$DS17)=0,0,IF(SUM($D20:$DS20)=0,1,'Вводные'!$K$32))))*AX21)</x:f>
      </x:c>
      <x:c r="AY22" s="132" t="n">
        <x:f>$B$13*((IF(SUM($D17:$DS17)=0,0,IF(SUM($D20:$DS20)=0,1,'Вводные'!$K$32)))*AY19+(1-(IF(SUM($D17:$DS17)=0,0,IF(SUM($D20:$DS20)=0,1,'Вводные'!$K$32))))*AY21)</x:f>
      </x:c>
      <x:c r="AZ22" s="132" t="n">
        <x:f>$B$13*((IF(SUM($D17:$DS17)=0,0,IF(SUM($D20:$DS20)=0,1,'Вводные'!$K$32)))*AZ19+(1-(IF(SUM($D17:$DS17)=0,0,IF(SUM($D20:$DS20)=0,1,'Вводные'!$K$32))))*AZ21)</x:f>
      </x:c>
      <x:c r="BA22" s="132" t="n">
        <x:f>$B$13*((IF(SUM($D17:$DS17)=0,0,IF(SUM($D20:$DS20)=0,1,'Вводные'!$K$32)))*BA19+(1-(IF(SUM($D17:$DS17)=0,0,IF(SUM($D20:$DS20)=0,1,'Вводные'!$K$32))))*BA21)</x:f>
      </x:c>
      <x:c r="BB22" s="132" t="n">
        <x:f>$B$13*((IF(SUM($D17:$DS17)=0,0,IF(SUM($D20:$DS20)=0,1,'Вводные'!$K$32)))*BB19+(1-(IF(SUM($D17:$DS17)=0,0,IF(SUM($D20:$DS20)=0,1,'Вводные'!$K$32))))*BB21)</x:f>
      </x:c>
      <x:c r="BC22" s="132" t="n">
        <x:f>$B$13*((IF(SUM($D17:$DS17)=0,0,IF(SUM($D20:$DS20)=0,1,'Вводные'!$K$32)))*BC19+(1-(IF(SUM($D17:$DS17)=0,0,IF(SUM($D20:$DS20)=0,1,'Вводные'!$K$32))))*BC21)</x:f>
      </x:c>
      <x:c r="BD22" s="132" t="n">
        <x:f>$B$13*((IF(SUM($D17:$DS17)=0,0,IF(SUM($D20:$DS20)=0,1,'Вводные'!$K$32)))*BD19+(1-(IF(SUM($D17:$DS17)=0,0,IF(SUM($D20:$DS20)=0,1,'Вводные'!$K$32))))*BD21)</x:f>
      </x:c>
      <x:c r="BE22" s="132" t="n">
        <x:f>$B$13*((IF(SUM($D17:$DS17)=0,0,IF(SUM($D20:$DS20)=0,1,'Вводные'!$K$32)))*BE19+(1-(IF(SUM($D17:$DS17)=0,0,IF(SUM($D20:$DS20)=0,1,'Вводные'!$K$32))))*BE21)</x:f>
      </x:c>
      <x:c r="BF22" s="132" t="n">
        <x:f>$B$13*((IF(SUM($D17:$DS17)=0,0,IF(SUM($D20:$DS20)=0,1,'Вводные'!$K$32)))*BF19+(1-(IF(SUM($D17:$DS17)=0,0,IF(SUM($D20:$DS20)=0,1,'Вводные'!$K$32))))*BF21)</x:f>
      </x:c>
      <x:c r="BG22" s="132" t="n">
        <x:f>$B$13*((IF(SUM($D17:$DS17)=0,0,IF(SUM($D20:$DS20)=0,1,'Вводные'!$K$32)))*BG19+(1-(IF(SUM($D17:$DS17)=0,0,IF(SUM($D20:$DS20)=0,1,'Вводные'!$K$32))))*BG21)</x:f>
      </x:c>
      <x:c r="BH22" s="132" t="n">
        <x:f>$B$13*((IF(SUM($D17:$DS17)=0,0,IF(SUM($D20:$DS20)=0,1,'Вводные'!$K$32)))*BH19+(1-(IF(SUM($D17:$DS17)=0,0,IF(SUM($D20:$DS20)=0,1,'Вводные'!$K$32))))*BH21)</x:f>
      </x:c>
      <x:c r="BI22" s="132" t="n">
        <x:f>$B$13*((IF(SUM($D17:$DS17)=0,0,IF(SUM($D20:$DS20)=0,1,'Вводные'!$K$32)))*BI19+(1-(IF(SUM($D17:$DS17)=0,0,IF(SUM($D20:$DS20)=0,1,'Вводные'!$K$32))))*BI21)</x:f>
      </x:c>
      <x:c r="BJ22" s="132" t="n">
        <x:f>$B$13*((IF(SUM($D17:$DS17)=0,0,IF(SUM($D20:$DS20)=0,1,'Вводные'!$K$32)))*BJ19+(1-(IF(SUM($D17:$DS17)=0,0,IF(SUM($D20:$DS20)=0,1,'Вводные'!$K$32))))*BJ21)</x:f>
      </x:c>
      <x:c r="BK22" s="132" t="n">
        <x:f>$B$13*((IF(SUM($D17:$DS17)=0,0,IF(SUM($D20:$DS20)=0,1,'Вводные'!$K$32)))*BK19+(1-(IF(SUM($D17:$DS17)=0,0,IF(SUM($D20:$DS20)=0,1,'Вводные'!$K$32))))*BK21)</x:f>
      </x:c>
      <x:c r="BL22" s="132" t="n">
        <x:f>$B$13*((IF(SUM($D17:$DS17)=0,0,IF(SUM($D20:$DS20)=0,1,'Вводные'!$K$32)))*BL19+(1-(IF(SUM($D17:$DS17)=0,0,IF(SUM($D20:$DS20)=0,1,'Вводные'!$K$32))))*BL21)</x:f>
      </x:c>
      <x:c r="BM22" s="132" t="n">
        <x:f>$B$13*((IF(SUM($D17:$DS17)=0,0,IF(SUM($D20:$DS20)=0,1,'Вводные'!$K$32)))*BM19+(1-(IF(SUM($D17:$DS17)=0,0,IF(SUM($D20:$DS20)=0,1,'Вводные'!$K$32))))*BM21)</x:f>
      </x:c>
      <x:c r="BN22" s="132" t="n">
        <x:f>$B$13*((IF(SUM($D17:$DS17)=0,0,IF(SUM($D20:$DS20)=0,1,'Вводные'!$K$32)))*BN19+(1-(IF(SUM($D17:$DS17)=0,0,IF(SUM($D20:$DS20)=0,1,'Вводные'!$K$32))))*BN21)</x:f>
      </x:c>
      <x:c r="BO22" s="132" t="n">
        <x:f>$B$13*((IF(SUM($D17:$DS17)=0,0,IF(SUM($D20:$DS20)=0,1,'Вводные'!$K$32)))*BO19+(1-(IF(SUM($D17:$DS17)=0,0,IF(SUM($D20:$DS20)=0,1,'Вводные'!$K$32))))*BO21)</x:f>
      </x:c>
      <x:c r="BP22" s="132" t="n">
        <x:f>$B$13*((IF(SUM($D17:$DS17)=0,0,IF(SUM($D20:$DS20)=0,1,'Вводные'!$K$32)))*BP19+(1-(IF(SUM($D17:$DS17)=0,0,IF(SUM($D20:$DS20)=0,1,'Вводные'!$K$32))))*BP21)</x:f>
      </x:c>
      <x:c r="BQ22" s="132" t="n">
        <x:f>$B$13*((IF(SUM($D17:$DS17)=0,0,IF(SUM($D20:$DS20)=0,1,'Вводные'!$K$32)))*BQ19+(1-(IF(SUM($D17:$DS17)=0,0,IF(SUM($D20:$DS20)=0,1,'Вводные'!$K$32))))*BQ21)</x:f>
      </x:c>
      <x:c r="BR22" s="132" t="n">
        <x:f>$B$13*((IF(SUM($D17:$DS17)=0,0,IF(SUM($D20:$DS20)=0,1,'Вводные'!$K$32)))*BR19+(1-(IF(SUM($D17:$DS17)=0,0,IF(SUM($D20:$DS20)=0,1,'Вводные'!$K$32))))*BR21)</x:f>
      </x:c>
      <x:c r="BS22" s="132" t="n">
        <x:f>$B$13*((IF(SUM($D17:$DS17)=0,0,IF(SUM($D20:$DS20)=0,1,'Вводные'!$K$32)))*BS19+(1-(IF(SUM($D17:$DS17)=0,0,IF(SUM($D20:$DS20)=0,1,'Вводные'!$K$32))))*BS21)</x:f>
      </x:c>
      <x:c r="BT22" s="132" t="n">
        <x:f>$B$13*((IF(SUM($D17:$DS17)=0,0,IF(SUM($D20:$DS20)=0,1,'Вводные'!$K$32)))*BT19+(1-(IF(SUM($D17:$DS17)=0,0,IF(SUM($D20:$DS20)=0,1,'Вводные'!$K$32))))*BT21)</x:f>
      </x:c>
      <x:c r="BU22" s="132" t="n">
        <x:f>$B$13*((IF(SUM($D17:$DS17)=0,0,IF(SUM($D20:$DS20)=0,1,'Вводные'!$K$32)))*BU19+(1-(IF(SUM($D17:$DS17)=0,0,IF(SUM($D20:$DS20)=0,1,'Вводные'!$K$32))))*BU21)</x:f>
      </x:c>
      <x:c r="BV22" s="132" t="n">
        <x:f>$B$13*((IF(SUM($D17:$DS17)=0,0,IF(SUM($D20:$DS20)=0,1,'Вводные'!$K$32)))*BV19+(1-(IF(SUM($D17:$DS17)=0,0,IF(SUM($D20:$DS20)=0,1,'Вводные'!$K$32))))*BV21)</x:f>
      </x:c>
      <x:c r="BW22" s="132" t="n">
        <x:f>$B$13*((IF(SUM($D17:$DS17)=0,0,IF(SUM($D20:$DS20)=0,1,'Вводные'!$K$32)))*BW19+(1-(IF(SUM($D17:$DS17)=0,0,IF(SUM($D20:$DS20)=0,1,'Вводные'!$K$32))))*BW21)</x:f>
      </x:c>
      <x:c r="BX22" s="132" t="n">
        <x:f>$B$13*((IF(SUM($D17:$DS17)=0,0,IF(SUM($D20:$DS20)=0,1,'Вводные'!$K$32)))*BX19+(1-(IF(SUM($D17:$DS17)=0,0,IF(SUM($D20:$DS20)=0,1,'Вводные'!$K$32))))*BX21)</x:f>
      </x:c>
      <x:c r="BY22" s="132" t="n">
        <x:f>$B$13*((IF(SUM($D17:$DS17)=0,0,IF(SUM($D20:$DS20)=0,1,'Вводные'!$K$32)))*BY19+(1-(IF(SUM($D17:$DS17)=0,0,IF(SUM($D20:$DS20)=0,1,'Вводные'!$K$32))))*BY21)</x:f>
      </x:c>
      <x:c r="BZ22" s="132" t="n">
        <x:f>$B$13*((IF(SUM($D17:$DS17)=0,0,IF(SUM($D20:$DS20)=0,1,'Вводные'!$K$32)))*BZ19+(1-(IF(SUM($D17:$DS17)=0,0,IF(SUM($D20:$DS20)=0,1,'Вводные'!$K$32))))*BZ21)</x:f>
      </x:c>
      <x:c r="CA22" s="132" t="n">
        <x:f>$B$13*((IF(SUM($D17:$DS17)=0,0,IF(SUM($D20:$DS20)=0,1,'Вводные'!$K$32)))*CA19+(1-(IF(SUM($D17:$DS17)=0,0,IF(SUM($D20:$DS20)=0,1,'Вводные'!$K$32))))*CA21)</x:f>
      </x:c>
      <x:c r="CB22" s="132" t="n">
        <x:f>$B$13*((IF(SUM($D17:$DS17)=0,0,IF(SUM($D20:$DS20)=0,1,'Вводные'!$K$32)))*CB19+(1-(IF(SUM($D17:$DS17)=0,0,IF(SUM($D20:$DS20)=0,1,'Вводные'!$K$32))))*CB21)</x:f>
      </x:c>
      <x:c r="CC22" s="132" t="n">
        <x:f>$B$13*((IF(SUM($D17:$DS17)=0,0,IF(SUM($D20:$DS20)=0,1,'Вводные'!$K$32)))*CC19+(1-(IF(SUM($D17:$DS17)=0,0,IF(SUM($D20:$DS20)=0,1,'Вводные'!$K$32))))*CC21)</x:f>
      </x:c>
      <x:c r="CD22" s="132" t="n">
        <x:f>$B$13*((IF(SUM($D17:$DS17)=0,0,IF(SUM($D20:$DS20)=0,1,'Вводные'!$K$32)))*CD19+(1-(IF(SUM($D17:$DS17)=0,0,IF(SUM($D20:$DS20)=0,1,'Вводные'!$K$32))))*CD21)</x:f>
      </x:c>
      <x:c r="CE22" s="132" t="n">
        <x:f>$B$13*((IF(SUM($D17:$DS17)=0,0,IF(SUM($D20:$DS20)=0,1,'Вводные'!$K$32)))*CE19+(1-(IF(SUM($D17:$DS17)=0,0,IF(SUM($D20:$DS20)=0,1,'Вводные'!$K$32))))*CE21)</x:f>
      </x:c>
      <x:c r="CF22" s="132" t="n">
        <x:f>$B$13*((IF(SUM($D17:$DS17)=0,0,IF(SUM($D20:$DS20)=0,1,'Вводные'!$K$32)))*CF19+(1-(IF(SUM($D17:$DS17)=0,0,IF(SUM($D20:$DS20)=0,1,'Вводные'!$K$32))))*CF21)</x:f>
      </x:c>
      <x:c r="CG22" s="132" t="n">
        <x:f>$B$13*((IF(SUM($D17:$DS17)=0,0,IF(SUM($D20:$DS20)=0,1,'Вводные'!$K$32)))*CG19+(1-(IF(SUM($D17:$DS17)=0,0,IF(SUM($D20:$DS20)=0,1,'Вводные'!$K$32))))*CG21)</x:f>
      </x:c>
      <x:c r="CH22" s="132" t="n">
        <x:f>$B$13*((IF(SUM($D17:$DS17)=0,0,IF(SUM($D20:$DS20)=0,1,'Вводные'!$K$32)))*CH19+(1-(IF(SUM($D17:$DS17)=0,0,IF(SUM($D20:$DS20)=0,1,'Вводные'!$K$32))))*CH21)</x:f>
      </x:c>
      <x:c r="CI22" s="132" t="n">
        <x:f>$B$13*((IF(SUM($D17:$DS17)=0,0,IF(SUM($D20:$DS20)=0,1,'Вводные'!$K$32)))*CI19+(1-(IF(SUM($D17:$DS17)=0,0,IF(SUM($D20:$DS20)=0,1,'Вводные'!$K$32))))*CI21)</x:f>
      </x:c>
      <x:c r="CJ22" s="132" t="n">
        <x:f>$B$13*((IF(SUM($D17:$DS17)=0,0,IF(SUM($D20:$DS20)=0,1,'Вводные'!$K$32)))*CJ19+(1-(IF(SUM($D17:$DS17)=0,0,IF(SUM($D20:$DS20)=0,1,'Вводные'!$K$32))))*CJ21)</x:f>
      </x:c>
      <x:c r="CK22" s="132" t="n">
        <x:f>$B$13*((IF(SUM($D17:$DS17)=0,0,IF(SUM($D20:$DS20)=0,1,'Вводные'!$K$32)))*CK19+(1-(IF(SUM($D17:$DS17)=0,0,IF(SUM($D20:$DS20)=0,1,'Вводные'!$K$32))))*CK21)</x:f>
      </x:c>
      <x:c r="CL22" s="132" t="n">
        <x:f>$B$13*((IF(SUM($D17:$DS17)=0,0,IF(SUM($D20:$DS20)=0,1,'Вводные'!$K$32)))*CL19+(1-(IF(SUM($D17:$DS17)=0,0,IF(SUM($D20:$DS20)=0,1,'Вводные'!$K$32))))*CL21)</x:f>
      </x:c>
      <x:c r="CM22" s="132" t="n">
        <x:f>$B$13*((IF(SUM($D17:$DS17)=0,0,IF(SUM($D20:$DS20)=0,1,'Вводные'!$K$32)))*CM19+(1-(IF(SUM($D17:$DS17)=0,0,IF(SUM($D20:$DS20)=0,1,'Вводные'!$K$32))))*CM21)</x:f>
      </x:c>
      <x:c r="CN22" s="132" t="n">
        <x:f>$B$13*((IF(SUM($D17:$DS17)=0,0,IF(SUM($D20:$DS20)=0,1,'Вводные'!$K$32)))*CN19+(1-(IF(SUM($D17:$DS17)=0,0,IF(SUM($D20:$DS20)=0,1,'Вводные'!$K$32))))*CN21)</x:f>
      </x:c>
      <x:c r="CO22" s="132" t="n">
        <x:f>$B$13*((IF(SUM($D17:$DS17)=0,0,IF(SUM($D20:$DS20)=0,1,'Вводные'!$K$32)))*CO19+(1-(IF(SUM($D17:$DS17)=0,0,IF(SUM($D20:$DS20)=0,1,'Вводные'!$K$32))))*CO21)</x:f>
      </x:c>
      <x:c r="CP22" s="132" t="n">
        <x:f>$B$13*((IF(SUM($D17:$DS17)=0,0,IF(SUM($D20:$DS20)=0,1,'Вводные'!$K$32)))*CP19+(1-(IF(SUM($D17:$DS17)=0,0,IF(SUM($D20:$DS20)=0,1,'Вводные'!$K$32))))*CP21)</x:f>
      </x:c>
      <x:c r="CQ22" s="132" t="n">
        <x:f>$B$13*((IF(SUM($D17:$DS17)=0,0,IF(SUM($D20:$DS20)=0,1,'Вводные'!$K$32)))*CQ19+(1-(IF(SUM($D17:$DS17)=0,0,IF(SUM($D20:$DS20)=0,1,'Вводные'!$K$32))))*CQ21)</x:f>
      </x:c>
      <x:c r="CR22" s="132" t="n">
        <x:f>$B$13*((IF(SUM($D17:$DS17)=0,0,IF(SUM($D20:$DS20)=0,1,'Вводные'!$K$32)))*CR19+(1-(IF(SUM($D17:$DS17)=0,0,IF(SUM($D20:$DS20)=0,1,'Вводные'!$K$32))))*CR21)</x:f>
      </x:c>
      <x:c r="CS22" s="132" t="n">
        <x:f>$B$13*((IF(SUM($D17:$DS17)=0,0,IF(SUM($D20:$DS20)=0,1,'Вводные'!$K$32)))*CS19+(1-(IF(SUM($D17:$DS17)=0,0,IF(SUM($D20:$DS20)=0,1,'Вводные'!$K$32))))*CS21)</x:f>
      </x:c>
      <x:c r="CT22" s="132" t="n">
        <x:f>$B$13*((IF(SUM($D17:$DS17)=0,0,IF(SUM($D20:$DS20)=0,1,'Вводные'!$K$32)))*CT19+(1-(IF(SUM($D17:$DS17)=0,0,IF(SUM($D20:$DS20)=0,1,'Вводные'!$K$32))))*CT21)</x:f>
      </x:c>
      <x:c r="CU22" s="132" t="n">
        <x:f>$B$13*((IF(SUM($D17:$DS17)=0,0,IF(SUM($D20:$DS20)=0,1,'Вводные'!$K$32)))*CU19+(1-(IF(SUM($D17:$DS17)=0,0,IF(SUM($D20:$DS20)=0,1,'Вводные'!$K$32))))*CU21)</x:f>
      </x:c>
      <x:c r="CV22" s="132" t="n">
        <x:f>$B$13*((IF(SUM($D17:$DS17)=0,0,IF(SUM($D20:$DS20)=0,1,'Вводные'!$K$32)))*CV19+(1-(IF(SUM($D17:$DS17)=0,0,IF(SUM($D20:$DS20)=0,1,'Вводные'!$K$32))))*CV21)</x:f>
      </x:c>
      <x:c r="CW22" s="132" t="n">
        <x:f>$B$13*((IF(SUM($D17:$DS17)=0,0,IF(SUM($D20:$DS20)=0,1,'Вводные'!$K$32)))*CW19+(1-(IF(SUM($D17:$DS17)=0,0,IF(SUM($D20:$DS20)=0,1,'Вводные'!$K$32))))*CW21)</x:f>
      </x:c>
      <x:c r="CX22" s="132" t="n">
        <x:f>$B$13*((IF(SUM($D17:$DS17)=0,0,IF(SUM($D20:$DS20)=0,1,'Вводные'!$K$32)))*CX19+(1-(IF(SUM($D17:$DS17)=0,0,IF(SUM($D20:$DS20)=0,1,'Вводные'!$K$32))))*CX21)</x:f>
      </x:c>
      <x:c r="CY22" s="132" t="n">
        <x:f>$B$13*((IF(SUM($D17:$DS17)=0,0,IF(SUM($D20:$DS20)=0,1,'Вводные'!$K$32)))*CY19+(1-(IF(SUM($D17:$DS17)=0,0,IF(SUM($D20:$DS20)=0,1,'Вводные'!$K$32))))*CY21)</x:f>
      </x:c>
      <x:c r="CZ22" s="132" t="n">
        <x:f>$B$13*((IF(SUM($D17:$DS17)=0,0,IF(SUM($D20:$DS20)=0,1,'Вводные'!$K$32)))*CZ19+(1-(IF(SUM($D17:$DS17)=0,0,IF(SUM($D20:$DS20)=0,1,'Вводные'!$K$32))))*CZ21)</x:f>
      </x:c>
      <x:c r="DA22" s="132" t="n">
        <x:f>$B$13*((IF(SUM($D17:$DS17)=0,0,IF(SUM($D20:$DS20)=0,1,'Вводные'!$K$32)))*DA19+(1-(IF(SUM($D17:$DS17)=0,0,IF(SUM($D20:$DS20)=0,1,'Вводные'!$K$32))))*DA21)</x:f>
      </x:c>
      <x:c r="DB22" s="132" t="n">
        <x:f>$B$13*((IF(SUM($D17:$DS17)=0,0,IF(SUM($D20:$DS20)=0,1,'Вводные'!$K$32)))*DB19+(1-(IF(SUM($D17:$DS17)=0,0,IF(SUM($D20:$DS20)=0,1,'Вводные'!$K$32))))*DB21)</x:f>
      </x:c>
      <x:c r="DC22" s="132" t="n">
        <x:f>$B$13*((IF(SUM($D17:$DS17)=0,0,IF(SUM($D20:$DS20)=0,1,'Вводные'!$K$32)))*DC19+(1-(IF(SUM($D17:$DS17)=0,0,IF(SUM($D20:$DS20)=0,1,'Вводные'!$K$32))))*DC21)</x:f>
      </x:c>
      <x:c r="DD22" s="132" t="n">
        <x:f>$B$13*((IF(SUM($D17:$DS17)=0,0,IF(SUM($D20:$DS20)=0,1,'Вводные'!$K$32)))*DD19+(1-(IF(SUM($D17:$DS17)=0,0,IF(SUM($D20:$DS20)=0,1,'Вводные'!$K$32))))*DD21)</x:f>
      </x:c>
      <x:c r="DE22" s="132" t="n">
        <x:f>$B$13*((IF(SUM($D17:$DS17)=0,0,IF(SUM($D20:$DS20)=0,1,'Вводные'!$K$32)))*DE19+(1-(IF(SUM($D17:$DS17)=0,0,IF(SUM($D20:$DS20)=0,1,'Вводные'!$K$32))))*DE21)</x:f>
      </x:c>
      <x:c r="DF22" s="132" t="n">
        <x:f>$B$13*((IF(SUM($D17:$DS17)=0,0,IF(SUM($D20:$DS20)=0,1,'Вводные'!$K$32)))*DF19+(1-(IF(SUM($D17:$DS17)=0,0,IF(SUM($D20:$DS20)=0,1,'Вводные'!$K$32))))*DF21)</x:f>
      </x:c>
      <x:c r="DG22" s="132" t="n">
        <x:f>$B$13*((IF(SUM($D17:$DS17)=0,0,IF(SUM($D20:$DS20)=0,1,'Вводные'!$K$32)))*DG19+(1-(IF(SUM($D17:$DS17)=0,0,IF(SUM($D20:$DS20)=0,1,'Вводные'!$K$32))))*DG21)</x:f>
      </x:c>
      <x:c r="DH22" s="132" t="n">
        <x:f>$B$13*((IF(SUM($D17:$DS17)=0,0,IF(SUM($D20:$DS20)=0,1,'Вводные'!$K$32)))*DH19+(1-(IF(SUM($D17:$DS17)=0,0,IF(SUM($D20:$DS20)=0,1,'Вводные'!$K$32))))*DH21)</x:f>
      </x:c>
      <x:c r="DI22" s="132" t="n">
        <x:f>$B$13*((IF(SUM($D17:$DS17)=0,0,IF(SUM($D20:$DS20)=0,1,'Вводные'!$K$32)))*DI19+(1-(IF(SUM($D17:$DS17)=0,0,IF(SUM($D20:$DS20)=0,1,'Вводные'!$K$32))))*DI21)</x:f>
      </x:c>
      <x:c r="DJ22" s="132" t="n">
        <x:f>$B$13*((IF(SUM($D17:$DS17)=0,0,IF(SUM($D20:$DS20)=0,1,'Вводные'!$K$32)))*DJ19+(1-(IF(SUM($D17:$DS17)=0,0,IF(SUM($D20:$DS20)=0,1,'Вводные'!$K$32))))*DJ21)</x:f>
      </x:c>
      <x:c r="DK22" s="132" t="n">
        <x:f>$B$13*((IF(SUM($D17:$DS17)=0,0,IF(SUM($D20:$DS20)=0,1,'Вводные'!$K$32)))*DK19+(1-(IF(SUM($D17:$DS17)=0,0,IF(SUM($D20:$DS20)=0,1,'Вводные'!$K$32))))*DK21)</x:f>
      </x:c>
      <x:c r="DL22" s="132" t="n">
        <x:f>$B$13*((IF(SUM($D17:$DS17)=0,0,IF(SUM($D20:$DS20)=0,1,'Вводные'!$K$32)))*DL19+(1-(IF(SUM($D17:$DS17)=0,0,IF(SUM($D20:$DS20)=0,1,'Вводные'!$K$32))))*DL21)</x:f>
      </x:c>
      <x:c r="DM22" s="132" t="n">
        <x:f>$B$13*((IF(SUM($D17:$DS17)=0,0,IF(SUM($D20:$DS20)=0,1,'Вводные'!$K$32)))*DM19+(1-(IF(SUM($D17:$DS17)=0,0,IF(SUM($D20:$DS20)=0,1,'Вводные'!$K$32))))*DM21)</x:f>
      </x:c>
      <x:c r="DN22" s="132" t="n">
        <x:f>$B$13*((IF(SUM($D17:$DS17)=0,0,IF(SUM($D20:$DS20)=0,1,'Вводные'!$K$32)))*DN19+(1-(IF(SUM($D17:$DS17)=0,0,IF(SUM($D20:$DS20)=0,1,'Вводные'!$K$32))))*DN21)</x:f>
      </x:c>
      <x:c r="DO22" s="132" t="n">
        <x:f>$B$13*((IF(SUM($D17:$DS17)=0,0,IF(SUM($D20:$DS20)=0,1,'Вводные'!$K$32)))*DO19+(1-(IF(SUM($D17:$DS17)=0,0,IF(SUM($D20:$DS20)=0,1,'Вводные'!$K$32))))*DO21)</x:f>
      </x:c>
      <x:c r="DP22" s="132" t="n">
        <x:f>$B$13*((IF(SUM($D17:$DS17)=0,0,IF(SUM($D20:$DS20)=0,1,'Вводные'!$K$32)))*DP19+(1-(IF(SUM($D17:$DS17)=0,0,IF(SUM($D20:$DS20)=0,1,'Вводные'!$K$32))))*DP21)</x:f>
      </x:c>
      <x:c r="DQ22" s="132" t="n">
        <x:f>$B$13*((IF(SUM($D17:$DS17)=0,0,IF(SUM($D20:$DS20)=0,1,'Вводные'!$K$32)))*DQ19+(1-(IF(SUM($D17:$DS17)=0,0,IF(SUM($D20:$DS20)=0,1,'Вводные'!$K$32))))*DQ21)</x:f>
      </x:c>
      <x:c r="DR22" s="132" t="n">
        <x:f>$B$13*((IF(SUM($D17:$DS17)=0,0,IF(SUM($D20:$DS20)=0,1,'Вводные'!$K$32)))*DR19+(1-(IF(SUM($D17:$DS17)=0,0,IF(SUM($D20:$DS20)=0,1,'Вводные'!$K$32))))*DR21)</x:f>
      </x:c>
      <x:c r="DS22" s="132" t="n">
        <x:f>$B$13*((IF(SUM($D17:$DS17)=0,0,IF(SUM($D20:$DS20)=0,1,'Вводные'!$K$32)))*DS19+(1-(IF(SUM($D17:$DS17)=0,0,IF(SUM($D20:$DS20)=0,1,'Вводные'!$K$32))))*DS21)</x:f>
      </x:c>
    </x:row>
    <x:row r="23">
      <x:c r="A23" t="str">
        <x:v>Цена реализации</x:v>
      </x:c>
      <x:c r="B23" s="107" t="n">
        <x:f>IFERROR(B24*1000/B22,0)</x:f>
      </x:c>
      <x:c r="C23" t="str">
        <x:v>тыс. ₽/м²</x:v>
      </x:c>
      <x:c r="D23" s="107" t="n">
        <x:f>IF(D22=0,0,'Вводные'!$K$31*'Вводные'!$H$5*INDEX('Вводные'!$S$88:$S$91,$B$8)*INDEX('Вводные'!$AG$88:$AG$91,$B$8)*(1+'Вводные'!$K$34)^MAX(0,MIN((12*(YEAR(D$3)-YEAR($B$11))+MONTH(D$3)-MONTH($B$11)),(12*(YEAR($B$10)-YEAR($B$11))+MONTH($B$10)-MONTH($B$11))))*(1+'Вводные'!$K$35)^MAX(0,(12*(YEAR(D$3)-YEAR($B$10))+MONTH(D$3)-MONTH($B$10))))</x:f>
      </x:c>
      <x:c r="E23" s="107" t="n">
        <x:f>IF(E22=0,0,'Вводные'!$K$31*'Вводные'!$H$5*INDEX('Вводные'!$S$88:$S$91,$B$8)*INDEX('Вводные'!$AG$88:$AG$91,$B$8)*(1+'Вводные'!$K$34)^MAX(0,MIN((12*(YEAR(E$3)-YEAR($B$11))+MONTH(E$3)-MONTH($B$11)),(12*(YEAR($B$10)-YEAR($B$11))+MONTH($B$10)-MONTH($B$11))))*(1+'Вводные'!$K$35)^MAX(0,(12*(YEAR(E$3)-YEAR($B$10))+MONTH(E$3)-MONTH($B$10))))</x:f>
      </x:c>
      <x:c r="F23" s="107" t="n">
        <x:f>IF(F22=0,0,'Вводные'!$K$31*'Вводные'!$H$5*INDEX('Вводные'!$S$88:$S$91,$B$8)*INDEX('Вводные'!$AG$88:$AG$91,$B$8)*(1+'Вводные'!$K$34)^MAX(0,MIN((12*(YEAR(F$3)-YEAR($B$11))+MONTH(F$3)-MONTH($B$11)),(12*(YEAR($B$10)-YEAR($B$11))+MONTH($B$10)-MONTH($B$11))))*(1+'Вводные'!$K$35)^MAX(0,(12*(YEAR(F$3)-YEAR($B$10))+MONTH(F$3)-MONTH($B$10))))</x:f>
      </x:c>
      <x:c r="G23" s="107" t="n">
        <x:f>IF(G22=0,0,'Вводные'!$K$31*'Вводные'!$H$5*INDEX('Вводные'!$S$88:$S$91,$B$8)*INDEX('Вводные'!$AG$88:$AG$91,$B$8)*(1+'Вводные'!$K$34)^MAX(0,MIN((12*(YEAR(G$3)-YEAR($B$11))+MONTH(G$3)-MONTH($B$11)),(12*(YEAR($B$10)-YEAR($B$11))+MONTH($B$10)-MONTH($B$11))))*(1+'Вводные'!$K$35)^MAX(0,(12*(YEAR(G$3)-YEAR($B$10))+MONTH(G$3)-MONTH($B$10))))</x:f>
      </x:c>
      <x:c r="H23" s="107" t="n">
        <x:f>IF(H22=0,0,'Вводные'!$K$31*'Вводные'!$H$5*INDEX('Вводные'!$S$88:$S$91,$B$8)*INDEX('Вводные'!$AG$88:$AG$91,$B$8)*(1+'Вводные'!$K$34)^MAX(0,MIN((12*(YEAR(H$3)-YEAR($B$11))+MONTH(H$3)-MONTH($B$11)),(12*(YEAR($B$10)-YEAR($B$11))+MONTH($B$10)-MONTH($B$11))))*(1+'Вводные'!$K$35)^MAX(0,(12*(YEAR(H$3)-YEAR($B$10))+MONTH(H$3)-MONTH($B$10))))</x:f>
      </x:c>
      <x:c r="I23" s="107" t="n">
        <x:f>IF(I22=0,0,'Вводные'!$K$31*'Вводные'!$H$5*INDEX('Вводные'!$S$88:$S$91,$B$8)*INDEX('Вводные'!$AG$88:$AG$91,$B$8)*(1+'Вводные'!$K$34)^MAX(0,MIN((12*(YEAR(I$3)-YEAR($B$11))+MONTH(I$3)-MONTH($B$11)),(12*(YEAR($B$10)-YEAR($B$11))+MONTH($B$10)-MONTH($B$11))))*(1+'Вводные'!$K$35)^MAX(0,(12*(YEAR(I$3)-YEAR($B$10))+MONTH(I$3)-MONTH($B$10))))</x:f>
      </x:c>
      <x:c r="J23" s="107" t="n">
        <x:f>IF(J22=0,0,'Вводные'!$K$31*'Вводные'!$H$5*INDEX('Вводные'!$S$88:$S$91,$B$8)*INDEX('Вводные'!$AG$88:$AG$91,$B$8)*(1+'Вводные'!$K$34)^MAX(0,MIN((12*(YEAR(J$3)-YEAR($B$11))+MONTH(J$3)-MONTH($B$11)),(12*(YEAR($B$10)-YEAR($B$11))+MONTH($B$10)-MONTH($B$11))))*(1+'Вводные'!$K$35)^MAX(0,(12*(YEAR(J$3)-YEAR($B$10))+MONTH(J$3)-MONTH($B$10))))</x:f>
      </x:c>
      <x:c r="K23" s="107" t="n">
        <x:f>IF(K22=0,0,'Вводные'!$K$31*'Вводные'!$H$5*INDEX('Вводные'!$S$88:$S$91,$B$8)*INDEX('Вводные'!$AG$88:$AG$91,$B$8)*(1+'Вводные'!$K$34)^MAX(0,MIN((12*(YEAR(K$3)-YEAR($B$11))+MONTH(K$3)-MONTH($B$11)),(12*(YEAR($B$10)-YEAR($B$11))+MONTH($B$10)-MONTH($B$11))))*(1+'Вводные'!$K$35)^MAX(0,(12*(YEAR(K$3)-YEAR($B$10))+MONTH(K$3)-MONTH($B$10))))</x:f>
      </x:c>
      <x:c r="L23" s="107" t="n">
        <x:f>IF(L22=0,0,'Вводные'!$K$31*'Вводные'!$H$5*INDEX('Вводные'!$S$88:$S$91,$B$8)*INDEX('Вводные'!$AG$88:$AG$91,$B$8)*(1+'Вводные'!$K$34)^MAX(0,MIN((12*(YEAR(L$3)-YEAR($B$11))+MONTH(L$3)-MONTH($B$11)),(12*(YEAR($B$10)-YEAR($B$11))+MONTH($B$10)-MONTH($B$11))))*(1+'Вводные'!$K$35)^MAX(0,(12*(YEAR(L$3)-YEAR($B$10))+MONTH(L$3)-MONTH($B$10))))</x:f>
      </x:c>
      <x:c r="M23" s="107" t="n">
        <x:f>IF(M22=0,0,'Вводные'!$K$31*'Вводные'!$H$5*INDEX('Вводные'!$S$88:$S$91,$B$8)*INDEX('Вводные'!$AG$88:$AG$91,$B$8)*(1+'Вводные'!$K$34)^MAX(0,MIN((12*(YEAR(M$3)-YEAR($B$11))+MONTH(M$3)-MONTH($B$11)),(12*(YEAR($B$10)-YEAR($B$11))+MONTH($B$10)-MONTH($B$11))))*(1+'Вводные'!$K$35)^MAX(0,(12*(YEAR(M$3)-YEAR($B$10))+MONTH(M$3)-MONTH($B$10))))</x:f>
      </x:c>
      <x:c r="N23" s="107" t="n">
        <x:f>IF(N22=0,0,'Вводные'!$K$31*'Вводные'!$H$5*INDEX('Вводные'!$S$88:$S$91,$B$8)*INDEX('Вводные'!$AG$88:$AG$91,$B$8)*(1+'Вводные'!$K$34)^MAX(0,MIN((12*(YEAR(N$3)-YEAR($B$11))+MONTH(N$3)-MONTH($B$11)),(12*(YEAR($B$10)-YEAR($B$11))+MONTH($B$10)-MONTH($B$11))))*(1+'Вводные'!$K$35)^MAX(0,(12*(YEAR(N$3)-YEAR($B$10))+MONTH(N$3)-MONTH($B$10))))</x:f>
      </x:c>
      <x:c r="O23" s="107" t="n">
        <x:f>IF(O22=0,0,'Вводные'!$K$31*'Вводные'!$H$5*INDEX('Вводные'!$S$88:$S$91,$B$8)*INDEX('Вводные'!$AG$88:$AG$91,$B$8)*(1+'Вводные'!$K$34)^MAX(0,MIN((12*(YEAR(O$3)-YEAR($B$11))+MONTH(O$3)-MONTH($B$11)),(12*(YEAR($B$10)-YEAR($B$11))+MONTH($B$10)-MONTH($B$11))))*(1+'Вводные'!$K$35)^MAX(0,(12*(YEAR(O$3)-YEAR($B$10))+MONTH(O$3)-MONTH($B$10))))</x:f>
      </x:c>
      <x:c r="P23" s="107" t="n">
        <x:f>IF(P22=0,0,'Вводные'!$K$31*'Вводные'!$H$5*INDEX('Вводные'!$S$88:$S$91,$B$8)*INDEX('Вводные'!$AG$88:$AG$91,$B$8)*(1+'Вводные'!$K$34)^MAX(0,MIN((12*(YEAR(P$3)-YEAR($B$11))+MONTH(P$3)-MONTH($B$11)),(12*(YEAR($B$10)-YEAR($B$11))+MONTH($B$10)-MONTH($B$11))))*(1+'Вводные'!$K$35)^MAX(0,(12*(YEAR(P$3)-YEAR($B$10))+MONTH(P$3)-MONTH($B$10))))</x:f>
      </x:c>
      <x:c r="Q23" s="107" t="n">
        <x:f>IF(Q22=0,0,'Вводные'!$K$31*'Вводные'!$H$5*INDEX('Вводные'!$S$88:$S$91,$B$8)*INDEX('Вводные'!$AG$88:$AG$91,$B$8)*(1+'Вводные'!$K$34)^MAX(0,MIN((12*(YEAR(Q$3)-YEAR($B$11))+MONTH(Q$3)-MONTH($B$11)),(12*(YEAR($B$10)-YEAR($B$11))+MONTH($B$10)-MONTH($B$11))))*(1+'Вводные'!$K$35)^MAX(0,(12*(YEAR(Q$3)-YEAR($B$10))+MONTH(Q$3)-MONTH($B$10))))</x:f>
      </x:c>
      <x:c r="R23" s="107" t="n">
        <x:f>IF(R22=0,0,'Вводные'!$K$31*'Вводные'!$H$5*INDEX('Вводные'!$S$88:$S$91,$B$8)*INDEX('Вводные'!$AG$88:$AG$91,$B$8)*(1+'Вводные'!$K$34)^MAX(0,MIN((12*(YEAR(R$3)-YEAR($B$11))+MONTH(R$3)-MONTH($B$11)),(12*(YEAR($B$10)-YEAR($B$11))+MONTH($B$10)-MONTH($B$11))))*(1+'Вводные'!$K$35)^MAX(0,(12*(YEAR(R$3)-YEAR($B$10))+MONTH(R$3)-MONTH($B$10))))</x:f>
      </x:c>
      <x:c r="S23" s="107" t="n">
        <x:f>IF(S22=0,0,'Вводные'!$K$31*'Вводные'!$H$5*INDEX('Вводные'!$S$88:$S$91,$B$8)*INDEX('Вводные'!$AG$88:$AG$91,$B$8)*(1+'Вводные'!$K$34)^MAX(0,MIN((12*(YEAR(S$3)-YEAR($B$11))+MONTH(S$3)-MONTH($B$11)),(12*(YEAR($B$10)-YEAR($B$11))+MONTH($B$10)-MONTH($B$11))))*(1+'Вводные'!$K$35)^MAX(0,(12*(YEAR(S$3)-YEAR($B$10))+MONTH(S$3)-MONTH($B$10))))</x:f>
      </x:c>
      <x:c r="T23" s="107" t="n">
        <x:f>IF(T22=0,0,'Вводные'!$K$31*'Вводные'!$H$5*INDEX('Вводные'!$S$88:$S$91,$B$8)*INDEX('Вводные'!$AG$88:$AG$91,$B$8)*(1+'Вводные'!$K$34)^MAX(0,MIN((12*(YEAR(T$3)-YEAR($B$11))+MONTH(T$3)-MONTH($B$11)),(12*(YEAR($B$10)-YEAR($B$11))+MONTH($B$10)-MONTH($B$11))))*(1+'Вводные'!$K$35)^MAX(0,(12*(YEAR(T$3)-YEAR($B$10))+MONTH(T$3)-MONTH($B$10))))</x:f>
      </x:c>
      <x:c r="U23" s="107" t="n">
        <x:f>IF(U22=0,0,'Вводные'!$K$31*'Вводные'!$H$5*INDEX('Вводные'!$S$88:$S$91,$B$8)*INDEX('Вводные'!$AG$88:$AG$91,$B$8)*(1+'Вводные'!$K$34)^MAX(0,MIN((12*(YEAR(U$3)-YEAR($B$11))+MONTH(U$3)-MONTH($B$11)),(12*(YEAR($B$10)-YEAR($B$11))+MONTH($B$10)-MONTH($B$11))))*(1+'Вводные'!$K$35)^MAX(0,(12*(YEAR(U$3)-YEAR($B$10))+MONTH(U$3)-MONTH($B$10))))</x:f>
      </x:c>
      <x:c r="V23" s="107" t="n">
        <x:f>IF(V22=0,0,'Вводные'!$K$31*'Вводные'!$H$5*INDEX('Вводные'!$S$88:$S$91,$B$8)*INDEX('Вводные'!$AG$88:$AG$91,$B$8)*(1+'Вводные'!$K$34)^MAX(0,MIN((12*(YEAR(V$3)-YEAR($B$11))+MONTH(V$3)-MONTH($B$11)),(12*(YEAR($B$10)-YEAR($B$11))+MONTH($B$10)-MONTH($B$11))))*(1+'Вводные'!$K$35)^MAX(0,(12*(YEAR(V$3)-YEAR($B$10))+MONTH(V$3)-MONTH($B$10))))</x:f>
      </x:c>
      <x:c r="W23" s="107" t="n">
        <x:f>IF(W22=0,0,'Вводные'!$K$31*'Вводные'!$H$5*INDEX('Вводные'!$S$88:$S$91,$B$8)*INDEX('Вводные'!$AG$88:$AG$91,$B$8)*(1+'Вводные'!$K$34)^MAX(0,MIN((12*(YEAR(W$3)-YEAR($B$11))+MONTH(W$3)-MONTH($B$11)),(12*(YEAR($B$10)-YEAR($B$11))+MONTH($B$10)-MONTH($B$11))))*(1+'Вводные'!$K$35)^MAX(0,(12*(YEAR(W$3)-YEAR($B$10))+MONTH(W$3)-MONTH($B$10))))</x:f>
      </x:c>
      <x:c r="X23" s="107" t="n">
        <x:f>IF(X22=0,0,'Вводные'!$K$31*'Вводные'!$H$5*INDEX('Вводные'!$S$88:$S$91,$B$8)*INDEX('Вводные'!$AG$88:$AG$91,$B$8)*(1+'Вводные'!$K$34)^MAX(0,MIN((12*(YEAR(X$3)-YEAR($B$11))+MONTH(X$3)-MONTH($B$11)),(12*(YEAR($B$10)-YEAR($B$11))+MONTH($B$10)-MONTH($B$11))))*(1+'Вводные'!$K$35)^MAX(0,(12*(YEAR(X$3)-YEAR($B$10))+MONTH(X$3)-MONTH($B$10))))</x:f>
      </x:c>
      <x:c r="Y23" s="107" t="n">
        <x:f>IF(Y22=0,0,'Вводные'!$K$31*'Вводные'!$H$5*INDEX('Вводные'!$S$88:$S$91,$B$8)*INDEX('Вводные'!$AG$88:$AG$91,$B$8)*(1+'Вводные'!$K$34)^MAX(0,MIN((12*(YEAR(Y$3)-YEAR($B$11))+MONTH(Y$3)-MONTH($B$11)),(12*(YEAR($B$10)-YEAR($B$11))+MONTH($B$10)-MONTH($B$11))))*(1+'Вводные'!$K$35)^MAX(0,(12*(YEAR(Y$3)-YEAR($B$10))+MONTH(Y$3)-MONTH($B$10))))</x:f>
      </x:c>
      <x:c r="Z23" s="107" t="n">
        <x:f>IF(Z22=0,0,'Вводные'!$K$31*'Вводные'!$H$5*INDEX('Вводные'!$S$88:$S$91,$B$8)*INDEX('Вводные'!$AG$88:$AG$91,$B$8)*(1+'Вводные'!$K$34)^MAX(0,MIN((12*(YEAR(Z$3)-YEAR($B$11))+MONTH(Z$3)-MONTH($B$11)),(12*(YEAR($B$10)-YEAR($B$11))+MONTH($B$10)-MONTH($B$11))))*(1+'Вводные'!$K$35)^MAX(0,(12*(YEAR(Z$3)-YEAR($B$10))+MONTH(Z$3)-MONTH($B$10))))</x:f>
      </x:c>
      <x:c r="AA23" s="107" t="n">
        <x:f>IF(AA22=0,0,'Вводные'!$K$31*'Вводные'!$H$5*INDEX('Вводные'!$S$88:$S$91,$B$8)*INDEX('Вводные'!$AG$88:$AG$91,$B$8)*(1+'Вводные'!$K$34)^MAX(0,MIN((12*(YEAR(AA$3)-YEAR($B$11))+MONTH(AA$3)-MONTH($B$11)),(12*(YEAR($B$10)-YEAR($B$11))+MONTH($B$10)-MONTH($B$11))))*(1+'Вводные'!$K$35)^MAX(0,(12*(YEAR(AA$3)-YEAR($B$10))+MONTH(AA$3)-MONTH($B$10))))</x:f>
      </x:c>
      <x:c r="AB23" s="107" t="n">
        <x:f>IF(AB22=0,0,'Вводные'!$K$31*'Вводные'!$H$5*INDEX('Вводные'!$S$88:$S$91,$B$8)*INDEX('Вводные'!$AG$88:$AG$91,$B$8)*(1+'Вводные'!$K$34)^MAX(0,MIN((12*(YEAR(AB$3)-YEAR($B$11))+MONTH(AB$3)-MONTH($B$11)),(12*(YEAR($B$10)-YEAR($B$11))+MONTH($B$10)-MONTH($B$11))))*(1+'Вводные'!$K$35)^MAX(0,(12*(YEAR(AB$3)-YEAR($B$10))+MONTH(AB$3)-MONTH($B$10))))</x:f>
      </x:c>
      <x:c r="AC23" s="107" t="n">
        <x:f>IF(AC22=0,0,'Вводные'!$K$31*'Вводные'!$H$5*INDEX('Вводные'!$S$88:$S$91,$B$8)*INDEX('Вводные'!$AG$88:$AG$91,$B$8)*(1+'Вводные'!$K$34)^MAX(0,MIN((12*(YEAR(AC$3)-YEAR($B$11))+MONTH(AC$3)-MONTH($B$11)),(12*(YEAR($B$10)-YEAR($B$11))+MONTH($B$10)-MONTH($B$11))))*(1+'Вводные'!$K$35)^MAX(0,(12*(YEAR(AC$3)-YEAR($B$10))+MONTH(AC$3)-MONTH($B$10))))</x:f>
      </x:c>
      <x:c r="AD23" s="107" t="n">
        <x:f>IF(AD22=0,0,'Вводные'!$K$31*'Вводные'!$H$5*INDEX('Вводные'!$S$88:$S$91,$B$8)*INDEX('Вводные'!$AG$88:$AG$91,$B$8)*(1+'Вводные'!$K$34)^MAX(0,MIN((12*(YEAR(AD$3)-YEAR($B$11))+MONTH(AD$3)-MONTH($B$11)),(12*(YEAR($B$10)-YEAR($B$11))+MONTH($B$10)-MONTH($B$11))))*(1+'Вводные'!$K$35)^MAX(0,(12*(YEAR(AD$3)-YEAR($B$10))+MONTH(AD$3)-MONTH($B$10))))</x:f>
      </x:c>
      <x:c r="AE23" s="107" t="n">
        <x:f>IF(AE22=0,0,'Вводные'!$K$31*'Вводные'!$H$5*INDEX('Вводные'!$S$88:$S$91,$B$8)*INDEX('Вводные'!$AG$88:$AG$91,$B$8)*(1+'Вводные'!$K$34)^MAX(0,MIN((12*(YEAR(AE$3)-YEAR($B$11))+MONTH(AE$3)-MONTH($B$11)),(12*(YEAR($B$10)-YEAR($B$11))+MONTH($B$10)-MONTH($B$11))))*(1+'Вводные'!$K$35)^MAX(0,(12*(YEAR(AE$3)-YEAR($B$10))+MONTH(AE$3)-MONTH($B$10))))</x:f>
      </x:c>
      <x:c r="AF23" s="107" t="n">
        <x:f>IF(AF22=0,0,'Вводные'!$K$31*'Вводные'!$H$5*INDEX('Вводные'!$S$88:$S$91,$B$8)*INDEX('Вводные'!$AG$88:$AG$91,$B$8)*(1+'Вводные'!$K$34)^MAX(0,MIN((12*(YEAR(AF$3)-YEAR($B$11))+MONTH(AF$3)-MONTH($B$11)),(12*(YEAR($B$10)-YEAR($B$11))+MONTH($B$10)-MONTH($B$11))))*(1+'Вводные'!$K$35)^MAX(0,(12*(YEAR(AF$3)-YEAR($B$10))+MONTH(AF$3)-MONTH($B$10))))</x:f>
      </x:c>
      <x:c r="AG23" s="107" t="n">
        <x:f>IF(AG22=0,0,'Вводные'!$K$31*'Вводные'!$H$5*INDEX('Вводные'!$S$88:$S$91,$B$8)*INDEX('Вводные'!$AG$88:$AG$91,$B$8)*(1+'Вводные'!$K$34)^MAX(0,MIN((12*(YEAR(AG$3)-YEAR($B$11))+MONTH(AG$3)-MONTH($B$11)),(12*(YEAR($B$10)-YEAR($B$11))+MONTH($B$10)-MONTH($B$11))))*(1+'Вводные'!$K$35)^MAX(0,(12*(YEAR(AG$3)-YEAR($B$10))+MONTH(AG$3)-MONTH($B$10))))</x:f>
      </x:c>
      <x:c r="AH23" s="107" t="n">
        <x:f>IF(AH22=0,0,'Вводные'!$K$31*'Вводные'!$H$5*INDEX('Вводные'!$S$88:$S$91,$B$8)*INDEX('Вводные'!$AG$88:$AG$91,$B$8)*(1+'Вводные'!$K$34)^MAX(0,MIN((12*(YEAR(AH$3)-YEAR($B$11))+MONTH(AH$3)-MONTH($B$11)),(12*(YEAR($B$10)-YEAR($B$11))+MONTH($B$10)-MONTH($B$11))))*(1+'Вводные'!$K$35)^MAX(0,(12*(YEAR(AH$3)-YEAR($B$10))+MONTH(AH$3)-MONTH($B$10))))</x:f>
      </x:c>
      <x:c r="AI23" s="107" t="n">
        <x:f>IF(AI22=0,0,'Вводные'!$K$31*'Вводные'!$H$5*INDEX('Вводные'!$S$88:$S$91,$B$8)*INDEX('Вводные'!$AG$88:$AG$91,$B$8)*(1+'Вводные'!$K$34)^MAX(0,MIN((12*(YEAR(AI$3)-YEAR($B$11))+MONTH(AI$3)-MONTH($B$11)),(12*(YEAR($B$10)-YEAR($B$11))+MONTH($B$10)-MONTH($B$11))))*(1+'Вводные'!$K$35)^MAX(0,(12*(YEAR(AI$3)-YEAR($B$10))+MONTH(AI$3)-MONTH($B$10))))</x:f>
      </x:c>
      <x:c r="AJ23" s="107" t="n">
        <x:f>IF(AJ22=0,0,'Вводные'!$K$31*'Вводные'!$H$5*INDEX('Вводные'!$S$88:$S$91,$B$8)*INDEX('Вводные'!$AG$88:$AG$91,$B$8)*(1+'Вводные'!$K$34)^MAX(0,MIN((12*(YEAR(AJ$3)-YEAR($B$11))+MONTH(AJ$3)-MONTH($B$11)),(12*(YEAR($B$10)-YEAR($B$11))+MONTH($B$10)-MONTH($B$11))))*(1+'Вводные'!$K$35)^MAX(0,(12*(YEAR(AJ$3)-YEAR($B$10))+MONTH(AJ$3)-MONTH($B$10))))</x:f>
      </x:c>
      <x:c r="AK23" s="107" t="n">
        <x:f>IF(AK22=0,0,'Вводные'!$K$31*'Вводные'!$H$5*INDEX('Вводные'!$S$88:$S$91,$B$8)*INDEX('Вводные'!$AG$88:$AG$91,$B$8)*(1+'Вводные'!$K$34)^MAX(0,MIN((12*(YEAR(AK$3)-YEAR($B$11))+MONTH(AK$3)-MONTH($B$11)),(12*(YEAR($B$10)-YEAR($B$11))+MONTH($B$10)-MONTH($B$11))))*(1+'Вводные'!$K$35)^MAX(0,(12*(YEAR(AK$3)-YEAR($B$10))+MONTH(AK$3)-MONTH($B$10))))</x:f>
      </x:c>
      <x:c r="AL23" s="107" t="n">
        <x:f>IF(AL22=0,0,'Вводные'!$K$31*'Вводные'!$H$5*INDEX('Вводные'!$S$88:$S$91,$B$8)*INDEX('Вводные'!$AG$88:$AG$91,$B$8)*(1+'Вводные'!$K$34)^MAX(0,MIN((12*(YEAR(AL$3)-YEAR($B$11))+MONTH(AL$3)-MONTH($B$11)),(12*(YEAR($B$10)-YEAR($B$11))+MONTH($B$10)-MONTH($B$11))))*(1+'Вводные'!$K$35)^MAX(0,(12*(YEAR(AL$3)-YEAR($B$10))+MONTH(AL$3)-MONTH($B$10))))</x:f>
      </x:c>
      <x:c r="AM23" s="107" t="n">
        <x:f>IF(AM22=0,0,'Вводные'!$K$31*'Вводные'!$H$5*INDEX('Вводные'!$S$88:$S$91,$B$8)*INDEX('Вводные'!$AG$88:$AG$91,$B$8)*(1+'Вводные'!$K$34)^MAX(0,MIN((12*(YEAR(AM$3)-YEAR($B$11))+MONTH(AM$3)-MONTH($B$11)),(12*(YEAR($B$10)-YEAR($B$11))+MONTH($B$10)-MONTH($B$11))))*(1+'Вводные'!$K$35)^MAX(0,(12*(YEAR(AM$3)-YEAR($B$10))+MONTH(AM$3)-MONTH($B$10))))</x:f>
      </x:c>
      <x:c r="AN23" s="107" t="n">
        <x:f>IF(AN22=0,0,'Вводные'!$K$31*'Вводные'!$H$5*INDEX('Вводные'!$S$88:$S$91,$B$8)*INDEX('Вводные'!$AG$88:$AG$91,$B$8)*(1+'Вводные'!$K$34)^MAX(0,MIN((12*(YEAR(AN$3)-YEAR($B$11))+MONTH(AN$3)-MONTH($B$11)),(12*(YEAR($B$10)-YEAR($B$11))+MONTH($B$10)-MONTH($B$11))))*(1+'Вводные'!$K$35)^MAX(0,(12*(YEAR(AN$3)-YEAR($B$10))+MONTH(AN$3)-MONTH($B$10))))</x:f>
      </x:c>
      <x:c r="AO23" s="107" t="n">
        <x:f>IF(AO22=0,0,'Вводные'!$K$31*'Вводные'!$H$5*INDEX('Вводные'!$S$88:$S$91,$B$8)*INDEX('Вводные'!$AG$88:$AG$91,$B$8)*(1+'Вводные'!$K$34)^MAX(0,MIN((12*(YEAR(AO$3)-YEAR($B$11))+MONTH(AO$3)-MONTH($B$11)),(12*(YEAR($B$10)-YEAR($B$11))+MONTH($B$10)-MONTH($B$11))))*(1+'Вводные'!$K$35)^MAX(0,(12*(YEAR(AO$3)-YEAR($B$10))+MONTH(AO$3)-MONTH($B$10))))</x:f>
      </x:c>
      <x:c r="AP23" s="107" t="n">
        <x:f>IF(AP22=0,0,'Вводные'!$K$31*'Вводные'!$H$5*INDEX('Вводные'!$S$88:$S$91,$B$8)*INDEX('Вводные'!$AG$88:$AG$91,$B$8)*(1+'Вводные'!$K$34)^MAX(0,MIN((12*(YEAR(AP$3)-YEAR($B$11))+MONTH(AP$3)-MONTH($B$11)),(12*(YEAR($B$10)-YEAR($B$11))+MONTH($B$10)-MONTH($B$11))))*(1+'Вводные'!$K$35)^MAX(0,(12*(YEAR(AP$3)-YEAR($B$10))+MONTH(AP$3)-MONTH($B$10))))</x:f>
      </x:c>
      <x:c r="AQ23" s="107" t="n">
        <x:f>IF(AQ22=0,0,'Вводные'!$K$31*'Вводные'!$H$5*INDEX('Вводные'!$S$88:$S$91,$B$8)*INDEX('Вводные'!$AG$88:$AG$91,$B$8)*(1+'Вводные'!$K$34)^MAX(0,MIN((12*(YEAR(AQ$3)-YEAR($B$11))+MONTH(AQ$3)-MONTH($B$11)),(12*(YEAR($B$10)-YEAR($B$11))+MONTH($B$10)-MONTH($B$11))))*(1+'Вводные'!$K$35)^MAX(0,(12*(YEAR(AQ$3)-YEAR($B$10))+MONTH(AQ$3)-MONTH($B$10))))</x:f>
      </x:c>
      <x:c r="AR23" s="107" t="n">
        <x:f>IF(AR22=0,0,'Вводные'!$K$31*'Вводные'!$H$5*INDEX('Вводные'!$S$88:$S$91,$B$8)*INDEX('Вводные'!$AG$88:$AG$91,$B$8)*(1+'Вводные'!$K$34)^MAX(0,MIN((12*(YEAR(AR$3)-YEAR($B$11))+MONTH(AR$3)-MONTH($B$11)),(12*(YEAR($B$10)-YEAR($B$11))+MONTH($B$10)-MONTH($B$11))))*(1+'Вводные'!$K$35)^MAX(0,(12*(YEAR(AR$3)-YEAR($B$10))+MONTH(AR$3)-MONTH($B$10))))</x:f>
      </x:c>
      <x:c r="AS23" s="107" t="n">
        <x:f>IF(AS22=0,0,'Вводные'!$K$31*'Вводные'!$H$5*INDEX('Вводные'!$S$88:$S$91,$B$8)*INDEX('Вводные'!$AG$88:$AG$91,$B$8)*(1+'Вводные'!$K$34)^MAX(0,MIN((12*(YEAR(AS$3)-YEAR($B$11))+MONTH(AS$3)-MONTH($B$11)),(12*(YEAR($B$10)-YEAR($B$11))+MONTH($B$10)-MONTH($B$11))))*(1+'Вводные'!$K$35)^MAX(0,(12*(YEAR(AS$3)-YEAR($B$10))+MONTH(AS$3)-MONTH($B$10))))</x:f>
      </x:c>
      <x:c r="AT23" s="107" t="n">
        <x:f>IF(AT22=0,0,'Вводные'!$K$31*'Вводные'!$H$5*INDEX('Вводные'!$S$88:$S$91,$B$8)*INDEX('Вводные'!$AG$88:$AG$91,$B$8)*(1+'Вводные'!$K$34)^MAX(0,MIN((12*(YEAR(AT$3)-YEAR($B$11))+MONTH(AT$3)-MONTH($B$11)),(12*(YEAR($B$10)-YEAR($B$11))+MONTH($B$10)-MONTH($B$11))))*(1+'Вводные'!$K$35)^MAX(0,(12*(YEAR(AT$3)-YEAR($B$10))+MONTH(AT$3)-MONTH($B$10))))</x:f>
      </x:c>
      <x:c r="AU23" s="107" t="n">
        <x:f>IF(AU22=0,0,'Вводные'!$K$31*'Вводные'!$H$5*INDEX('Вводные'!$S$88:$S$91,$B$8)*INDEX('Вводные'!$AG$88:$AG$91,$B$8)*(1+'Вводные'!$K$34)^MAX(0,MIN((12*(YEAR(AU$3)-YEAR($B$11))+MONTH(AU$3)-MONTH($B$11)),(12*(YEAR($B$10)-YEAR($B$11))+MONTH($B$10)-MONTH($B$11))))*(1+'Вводные'!$K$35)^MAX(0,(12*(YEAR(AU$3)-YEAR($B$10))+MONTH(AU$3)-MONTH($B$10))))</x:f>
      </x:c>
      <x:c r="AV23" s="107" t="n">
        <x:f>IF(AV22=0,0,'Вводные'!$K$31*'Вводные'!$H$5*INDEX('Вводные'!$S$88:$S$91,$B$8)*INDEX('Вводные'!$AG$88:$AG$91,$B$8)*(1+'Вводные'!$K$34)^MAX(0,MIN((12*(YEAR(AV$3)-YEAR($B$11))+MONTH(AV$3)-MONTH($B$11)),(12*(YEAR($B$10)-YEAR($B$11))+MONTH($B$10)-MONTH($B$11))))*(1+'Вводные'!$K$35)^MAX(0,(12*(YEAR(AV$3)-YEAR($B$10))+MONTH(AV$3)-MONTH($B$10))))</x:f>
      </x:c>
      <x:c r="AW23" s="107" t="n">
        <x:f>IF(AW22=0,0,'Вводные'!$K$31*'Вводные'!$H$5*INDEX('Вводные'!$S$88:$S$91,$B$8)*INDEX('Вводные'!$AG$88:$AG$91,$B$8)*(1+'Вводные'!$K$34)^MAX(0,MIN((12*(YEAR(AW$3)-YEAR($B$11))+MONTH(AW$3)-MONTH($B$11)),(12*(YEAR($B$10)-YEAR($B$11))+MONTH($B$10)-MONTH($B$11))))*(1+'Вводные'!$K$35)^MAX(0,(12*(YEAR(AW$3)-YEAR($B$10))+MONTH(AW$3)-MONTH($B$10))))</x:f>
      </x:c>
      <x:c r="AX23" s="107" t="n">
        <x:f>IF(AX22=0,0,'Вводные'!$K$31*'Вводные'!$H$5*INDEX('Вводные'!$S$88:$S$91,$B$8)*INDEX('Вводные'!$AG$88:$AG$91,$B$8)*(1+'Вводные'!$K$34)^MAX(0,MIN((12*(YEAR(AX$3)-YEAR($B$11))+MONTH(AX$3)-MONTH($B$11)),(12*(YEAR($B$10)-YEAR($B$11))+MONTH($B$10)-MONTH($B$11))))*(1+'Вводные'!$K$35)^MAX(0,(12*(YEAR(AX$3)-YEAR($B$10))+MONTH(AX$3)-MONTH($B$10))))</x:f>
      </x:c>
      <x:c r="AY23" s="107" t="n">
        <x:f>IF(AY22=0,0,'Вводные'!$K$31*'Вводные'!$H$5*INDEX('Вводные'!$S$88:$S$91,$B$8)*INDEX('Вводные'!$AG$88:$AG$91,$B$8)*(1+'Вводные'!$K$34)^MAX(0,MIN((12*(YEAR(AY$3)-YEAR($B$11))+MONTH(AY$3)-MONTH($B$11)),(12*(YEAR($B$10)-YEAR($B$11))+MONTH($B$10)-MONTH($B$11))))*(1+'Вводные'!$K$35)^MAX(0,(12*(YEAR(AY$3)-YEAR($B$10))+MONTH(AY$3)-MONTH($B$10))))</x:f>
      </x:c>
      <x:c r="AZ23" s="107" t="n">
        <x:f>IF(AZ22=0,0,'Вводные'!$K$31*'Вводные'!$H$5*INDEX('Вводные'!$S$88:$S$91,$B$8)*INDEX('Вводные'!$AG$88:$AG$91,$B$8)*(1+'Вводные'!$K$34)^MAX(0,MIN((12*(YEAR(AZ$3)-YEAR($B$11))+MONTH(AZ$3)-MONTH($B$11)),(12*(YEAR($B$10)-YEAR($B$11))+MONTH($B$10)-MONTH($B$11))))*(1+'Вводные'!$K$35)^MAX(0,(12*(YEAR(AZ$3)-YEAR($B$10))+MONTH(AZ$3)-MONTH($B$10))))</x:f>
      </x:c>
      <x:c r="BA23" s="107" t="n">
        <x:f>IF(BA22=0,0,'Вводные'!$K$31*'Вводные'!$H$5*INDEX('Вводные'!$S$88:$S$91,$B$8)*INDEX('Вводные'!$AG$88:$AG$91,$B$8)*(1+'Вводные'!$K$34)^MAX(0,MIN((12*(YEAR(BA$3)-YEAR($B$11))+MONTH(BA$3)-MONTH($B$11)),(12*(YEAR($B$10)-YEAR($B$11))+MONTH($B$10)-MONTH($B$11))))*(1+'Вводные'!$K$35)^MAX(0,(12*(YEAR(BA$3)-YEAR($B$10))+MONTH(BA$3)-MONTH($B$10))))</x:f>
      </x:c>
      <x:c r="BB23" s="107" t="n">
        <x:f>IF(BB22=0,0,'Вводные'!$K$31*'Вводные'!$H$5*INDEX('Вводные'!$S$88:$S$91,$B$8)*INDEX('Вводные'!$AG$88:$AG$91,$B$8)*(1+'Вводные'!$K$34)^MAX(0,MIN((12*(YEAR(BB$3)-YEAR($B$11))+MONTH(BB$3)-MONTH($B$11)),(12*(YEAR($B$10)-YEAR($B$11))+MONTH($B$10)-MONTH($B$11))))*(1+'Вводные'!$K$35)^MAX(0,(12*(YEAR(BB$3)-YEAR($B$10))+MONTH(BB$3)-MONTH($B$10))))</x:f>
      </x:c>
      <x:c r="BC23" s="107" t="n">
        <x:f>IF(BC22=0,0,'Вводные'!$K$31*'Вводные'!$H$5*INDEX('Вводные'!$S$88:$S$91,$B$8)*INDEX('Вводные'!$AG$88:$AG$91,$B$8)*(1+'Вводные'!$K$34)^MAX(0,MIN((12*(YEAR(BC$3)-YEAR($B$11))+MONTH(BC$3)-MONTH($B$11)),(12*(YEAR($B$10)-YEAR($B$11))+MONTH($B$10)-MONTH($B$11))))*(1+'Вводные'!$K$35)^MAX(0,(12*(YEAR(BC$3)-YEAR($B$10))+MONTH(BC$3)-MONTH($B$10))))</x:f>
      </x:c>
      <x:c r="BD23" s="107" t="n">
        <x:f>IF(BD22=0,0,'Вводные'!$K$31*'Вводные'!$H$5*INDEX('Вводные'!$S$88:$S$91,$B$8)*INDEX('Вводные'!$AG$88:$AG$91,$B$8)*(1+'Вводные'!$K$34)^MAX(0,MIN((12*(YEAR(BD$3)-YEAR($B$11))+MONTH(BD$3)-MONTH($B$11)),(12*(YEAR($B$10)-YEAR($B$11))+MONTH($B$10)-MONTH($B$11))))*(1+'Вводные'!$K$35)^MAX(0,(12*(YEAR(BD$3)-YEAR($B$10))+MONTH(BD$3)-MONTH($B$10))))</x:f>
      </x:c>
      <x:c r="BE23" s="107" t="n">
        <x:f>IF(BE22=0,0,'Вводные'!$K$31*'Вводные'!$H$5*INDEX('Вводные'!$S$88:$S$91,$B$8)*INDEX('Вводные'!$AG$88:$AG$91,$B$8)*(1+'Вводные'!$K$34)^MAX(0,MIN((12*(YEAR(BE$3)-YEAR($B$11))+MONTH(BE$3)-MONTH($B$11)),(12*(YEAR($B$10)-YEAR($B$11))+MONTH($B$10)-MONTH($B$11))))*(1+'Вводные'!$K$35)^MAX(0,(12*(YEAR(BE$3)-YEAR($B$10))+MONTH(BE$3)-MONTH($B$10))))</x:f>
      </x:c>
      <x:c r="BF23" s="107" t="n">
        <x:f>IF(BF22=0,0,'Вводные'!$K$31*'Вводные'!$H$5*INDEX('Вводные'!$S$88:$S$91,$B$8)*INDEX('Вводные'!$AG$88:$AG$91,$B$8)*(1+'Вводные'!$K$34)^MAX(0,MIN((12*(YEAR(BF$3)-YEAR($B$11))+MONTH(BF$3)-MONTH($B$11)),(12*(YEAR($B$10)-YEAR($B$11))+MONTH($B$10)-MONTH($B$11))))*(1+'Вводные'!$K$35)^MAX(0,(12*(YEAR(BF$3)-YEAR($B$10))+MONTH(BF$3)-MONTH($B$10))))</x:f>
      </x:c>
      <x:c r="BG23" s="107" t="n">
        <x:f>IF(BG22=0,0,'Вводные'!$K$31*'Вводные'!$H$5*INDEX('Вводные'!$S$88:$S$91,$B$8)*INDEX('Вводные'!$AG$88:$AG$91,$B$8)*(1+'Вводные'!$K$34)^MAX(0,MIN((12*(YEAR(BG$3)-YEAR($B$11))+MONTH(BG$3)-MONTH($B$11)),(12*(YEAR($B$10)-YEAR($B$11))+MONTH($B$10)-MONTH($B$11))))*(1+'Вводные'!$K$35)^MAX(0,(12*(YEAR(BG$3)-YEAR($B$10))+MONTH(BG$3)-MONTH($B$10))))</x:f>
      </x:c>
      <x:c r="BH23" s="107" t="n">
        <x:f>IF(BH22=0,0,'Вводные'!$K$31*'Вводные'!$H$5*INDEX('Вводные'!$S$88:$S$91,$B$8)*INDEX('Вводные'!$AG$88:$AG$91,$B$8)*(1+'Вводные'!$K$34)^MAX(0,MIN((12*(YEAR(BH$3)-YEAR($B$11))+MONTH(BH$3)-MONTH($B$11)),(12*(YEAR($B$10)-YEAR($B$11))+MONTH($B$10)-MONTH($B$11))))*(1+'Вводные'!$K$35)^MAX(0,(12*(YEAR(BH$3)-YEAR($B$10))+MONTH(BH$3)-MONTH($B$10))))</x:f>
      </x:c>
      <x:c r="BI23" s="107" t="n">
        <x:f>IF(BI22=0,0,'Вводные'!$K$31*'Вводные'!$H$5*INDEX('Вводные'!$S$88:$S$91,$B$8)*INDEX('Вводные'!$AG$88:$AG$91,$B$8)*(1+'Вводные'!$K$34)^MAX(0,MIN((12*(YEAR(BI$3)-YEAR($B$11))+MONTH(BI$3)-MONTH($B$11)),(12*(YEAR($B$10)-YEAR($B$11))+MONTH($B$10)-MONTH($B$11))))*(1+'Вводные'!$K$35)^MAX(0,(12*(YEAR(BI$3)-YEAR($B$10))+MONTH(BI$3)-MONTH($B$10))))</x:f>
      </x:c>
      <x:c r="BJ23" s="107" t="n">
        <x:f>IF(BJ22=0,0,'Вводные'!$K$31*'Вводные'!$H$5*INDEX('Вводные'!$S$88:$S$91,$B$8)*INDEX('Вводные'!$AG$88:$AG$91,$B$8)*(1+'Вводные'!$K$34)^MAX(0,MIN((12*(YEAR(BJ$3)-YEAR($B$11))+MONTH(BJ$3)-MONTH($B$11)),(12*(YEAR($B$10)-YEAR($B$11))+MONTH($B$10)-MONTH($B$11))))*(1+'Вводные'!$K$35)^MAX(0,(12*(YEAR(BJ$3)-YEAR($B$10))+MONTH(BJ$3)-MONTH($B$10))))</x:f>
      </x:c>
      <x:c r="BK23" s="107" t="n">
        <x:f>IF(BK22=0,0,'Вводные'!$K$31*'Вводные'!$H$5*INDEX('Вводные'!$S$88:$S$91,$B$8)*INDEX('Вводные'!$AG$88:$AG$91,$B$8)*(1+'Вводные'!$K$34)^MAX(0,MIN((12*(YEAR(BK$3)-YEAR($B$11))+MONTH(BK$3)-MONTH($B$11)),(12*(YEAR($B$10)-YEAR($B$11))+MONTH($B$10)-MONTH($B$11))))*(1+'Вводные'!$K$35)^MAX(0,(12*(YEAR(BK$3)-YEAR($B$10))+MONTH(BK$3)-MONTH($B$10))))</x:f>
      </x:c>
      <x:c r="BL23" s="107" t="n">
        <x:f>IF(BL22=0,0,'Вводные'!$K$31*'Вводные'!$H$5*INDEX('Вводные'!$S$88:$S$91,$B$8)*INDEX('Вводные'!$AG$88:$AG$91,$B$8)*(1+'Вводные'!$K$34)^MAX(0,MIN((12*(YEAR(BL$3)-YEAR($B$11))+MONTH(BL$3)-MONTH($B$11)),(12*(YEAR($B$10)-YEAR($B$11))+MONTH($B$10)-MONTH($B$11))))*(1+'Вводные'!$K$35)^MAX(0,(12*(YEAR(BL$3)-YEAR($B$10))+MONTH(BL$3)-MONTH($B$10))))</x:f>
      </x:c>
      <x:c r="BM23" s="107" t="n">
        <x:f>IF(BM22=0,0,'Вводные'!$K$31*'Вводные'!$H$5*INDEX('Вводные'!$S$88:$S$91,$B$8)*INDEX('Вводные'!$AG$88:$AG$91,$B$8)*(1+'Вводные'!$K$34)^MAX(0,MIN((12*(YEAR(BM$3)-YEAR($B$11))+MONTH(BM$3)-MONTH($B$11)),(12*(YEAR($B$10)-YEAR($B$11))+MONTH($B$10)-MONTH($B$11))))*(1+'Вводные'!$K$35)^MAX(0,(12*(YEAR(BM$3)-YEAR($B$10))+MONTH(BM$3)-MONTH($B$10))))</x:f>
      </x:c>
      <x:c r="BN23" s="107" t="n">
        <x:f>IF(BN22=0,0,'Вводные'!$K$31*'Вводные'!$H$5*INDEX('Вводные'!$S$88:$S$91,$B$8)*INDEX('Вводные'!$AG$88:$AG$91,$B$8)*(1+'Вводные'!$K$34)^MAX(0,MIN((12*(YEAR(BN$3)-YEAR($B$11))+MONTH(BN$3)-MONTH($B$11)),(12*(YEAR($B$10)-YEAR($B$11))+MONTH($B$10)-MONTH($B$11))))*(1+'Вводные'!$K$35)^MAX(0,(12*(YEAR(BN$3)-YEAR($B$10))+MONTH(BN$3)-MONTH($B$10))))</x:f>
      </x:c>
      <x:c r="BO23" s="107" t="n">
        <x:f>IF(BO22=0,0,'Вводные'!$K$31*'Вводные'!$H$5*INDEX('Вводные'!$S$88:$S$91,$B$8)*INDEX('Вводные'!$AG$88:$AG$91,$B$8)*(1+'Вводные'!$K$34)^MAX(0,MIN((12*(YEAR(BO$3)-YEAR($B$11))+MONTH(BO$3)-MONTH($B$11)),(12*(YEAR($B$10)-YEAR($B$11))+MONTH($B$10)-MONTH($B$11))))*(1+'Вводные'!$K$35)^MAX(0,(12*(YEAR(BO$3)-YEAR($B$10))+MONTH(BO$3)-MONTH($B$10))))</x:f>
      </x:c>
      <x:c r="BP23" s="107" t="n">
        <x:f>IF(BP22=0,0,'Вводные'!$K$31*'Вводные'!$H$5*INDEX('Вводные'!$S$88:$S$91,$B$8)*INDEX('Вводные'!$AG$88:$AG$91,$B$8)*(1+'Вводные'!$K$34)^MAX(0,MIN((12*(YEAR(BP$3)-YEAR($B$11))+MONTH(BP$3)-MONTH($B$11)),(12*(YEAR($B$10)-YEAR($B$11))+MONTH($B$10)-MONTH($B$11))))*(1+'Вводные'!$K$35)^MAX(0,(12*(YEAR(BP$3)-YEAR($B$10))+MONTH(BP$3)-MONTH($B$10))))</x:f>
      </x:c>
      <x:c r="BQ23" s="107" t="n">
        <x:f>IF(BQ22=0,0,'Вводные'!$K$31*'Вводные'!$H$5*INDEX('Вводные'!$S$88:$S$91,$B$8)*INDEX('Вводные'!$AG$88:$AG$91,$B$8)*(1+'Вводные'!$K$34)^MAX(0,MIN((12*(YEAR(BQ$3)-YEAR($B$11))+MONTH(BQ$3)-MONTH($B$11)),(12*(YEAR($B$10)-YEAR($B$11))+MONTH($B$10)-MONTH($B$11))))*(1+'Вводные'!$K$35)^MAX(0,(12*(YEAR(BQ$3)-YEAR($B$10))+MONTH(BQ$3)-MONTH($B$10))))</x:f>
      </x:c>
      <x:c r="BR23" s="107" t="n">
        <x:f>IF(BR22=0,0,'Вводные'!$K$31*'Вводные'!$H$5*INDEX('Вводные'!$S$88:$S$91,$B$8)*INDEX('Вводные'!$AG$88:$AG$91,$B$8)*(1+'Вводные'!$K$34)^MAX(0,MIN((12*(YEAR(BR$3)-YEAR($B$11))+MONTH(BR$3)-MONTH($B$11)),(12*(YEAR($B$10)-YEAR($B$11))+MONTH($B$10)-MONTH($B$11))))*(1+'Вводные'!$K$35)^MAX(0,(12*(YEAR(BR$3)-YEAR($B$10))+MONTH(BR$3)-MONTH($B$10))))</x:f>
      </x:c>
      <x:c r="BS23" s="107" t="n">
        <x:f>IF(BS22=0,0,'Вводные'!$K$31*'Вводные'!$H$5*INDEX('Вводные'!$S$88:$S$91,$B$8)*INDEX('Вводные'!$AG$88:$AG$91,$B$8)*(1+'Вводные'!$K$34)^MAX(0,MIN((12*(YEAR(BS$3)-YEAR($B$11))+MONTH(BS$3)-MONTH($B$11)),(12*(YEAR($B$10)-YEAR($B$11))+MONTH($B$10)-MONTH($B$11))))*(1+'Вводные'!$K$35)^MAX(0,(12*(YEAR(BS$3)-YEAR($B$10))+MONTH(BS$3)-MONTH($B$10))))</x:f>
      </x:c>
      <x:c r="BT23" s="107" t="n">
        <x:f>IF(BT22=0,0,'Вводные'!$K$31*'Вводные'!$H$5*INDEX('Вводные'!$S$88:$S$91,$B$8)*INDEX('Вводные'!$AG$88:$AG$91,$B$8)*(1+'Вводные'!$K$34)^MAX(0,MIN((12*(YEAR(BT$3)-YEAR($B$11))+MONTH(BT$3)-MONTH($B$11)),(12*(YEAR($B$10)-YEAR($B$11))+MONTH($B$10)-MONTH($B$11))))*(1+'Вводные'!$K$35)^MAX(0,(12*(YEAR(BT$3)-YEAR($B$10))+MONTH(BT$3)-MONTH($B$10))))</x:f>
      </x:c>
      <x:c r="BU23" s="107" t="n">
        <x:f>IF(BU22=0,0,'Вводные'!$K$31*'Вводные'!$H$5*INDEX('Вводные'!$S$88:$S$91,$B$8)*INDEX('Вводные'!$AG$88:$AG$91,$B$8)*(1+'Вводные'!$K$34)^MAX(0,MIN((12*(YEAR(BU$3)-YEAR($B$11))+MONTH(BU$3)-MONTH($B$11)),(12*(YEAR($B$10)-YEAR($B$11))+MONTH($B$10)-MONTH($B$11))))*(1+'Вводные'!$K$35)^MAX(0,(12*(YEAR(BU$3)-YEAR($B$10))+MONTH(BU$3)-MONTH($B$10))))</x:f>
      </x:c>
      <x:c r="BV23" s="107" t="n">
        <x:f>IF(BV22=0,0,'Вводные'!$K$31*'Вводные'!$H$5*INDEX('Вводные'!$S$88:$S$91,$B$8)*INDEX('Вводные'!$AG$88:$AG$91,$B$8)*(1+'Вводные'!$K$34)^MAX(0,MIN((12*(YEAR(BV$3)-YEAR($B$11))+MONTH(BV$3)-MONTH($B$11)),(12*(YEAR($B$10)-YEAR($B$11))+MONTH($B$10)-MONTH($B$11))))*(1+'Вводные'!$K$35)^MAX(0,(12*(YEAR(BV$3)-YEAR($B$10))+MONTH(BV$3)-MONTH($B$10))))</x:f>
      </x:c>
      <x:c r="BW23" s="107" t="n">
        <x:f>IF(BW22=0,0,'Вводные'!$K$31*'Вводные'!$H$5*INDEX('Вводные'!$S$88:$S$91,$B$8)*INDEX('Вводные'!$AG$88:$AG$91,$B$8)*(1+'Вводные'!$K$34)^MAX(0,MIN((12*(YEAR(BW$3)-YEAR($B$11))+MONTH(BW$3)-MONTH($B$11)),(12*(YEAR($B$10)-YEAR($B$11))+MONTH($B$10)-MONTH($B$11))))*(1+'Вводные'!$K$35)^MAX(0,(12*(YEAR(BW$3)-YEAR($B$10))+MONTH(BW$3)-MONTH($B$10))))</x:f>
      </x:c>
      <x:c r="BX23" s="107" t="n">
        <x:f>IF(BX22=0,0,'Вводные'!$K$31*'Вводные'!$H$5*INDEX('Вводные'!$S$88:$S$91,$B$8)*INDEX('Вводные'!$AG$88:$AG$91,$B$8)*(1+'Вводные'!$K$34)^MAX(0,MIN((12*(YEAR(BX$3)-YEAR($B$11))+MONTH(BX$3)-MONTH($B$11)),(12*(YEAR($B$10)-YEAR($B$11))+MONTH($B$10)-MONTH($B$11))))*(1+'Вводные'!$K$35)^MAX(0,(12*(YEAR(BX$3)-YEAR($B$10))+MONTH(BX$3)-MONTH($B$10))))</x:f>
      </x:c>
      <x:c r="BY23" s="107" t="n">
        <x:f>IF(BY22=0,0,'Вводные'!$K$31*'Вводные'!$H$5*INDEX('Вводные'!$S$88:$S$91,$B$8)*INDEX('Вводные'!$AG$88:$AG$91,$B$8)*(1+'Вводные'!$K$34)^MAX(0,MIN((12*(YEAR(BY$3)-YEAR($B$11))+MONTH(BY$3)-MONTH($B$11)),(12*(YEAR($B$10)-YEAR($B$11))+MONTH($B$10)-MONTH($B$11))))*(1+'Вводные'!$K$35)^MAX(0,(12*(YEAR(BY$3)-YEAR($B$10))+MONTH(BY$3)-MONTH($B$10))))</x:f>
      </x:c>
      <x:c r="BZ23" s="107" t="n">
        <x:f>IF(BZ22=0,0,'Вводные'!$K$31*'Вводные'!$H$5*INDEX('Вводные'!$S$88:$S$91,$B$8)*INDEX('Вводные'!$AG$88:$AG$91,$B$8)*(1+'Вводные'!$K$34)^MAX(0,MIN((12*(YEAR(BZ$3)-YEAR($B$11))+MONTH(BZ$3)-MONTH($B$11)),(12*(YEAR($B$10)-YEAR($B$11))+MONTH($B$10)-MONTH($B$11))))*(1+'Вводные'!$K$35)^MAX(0,(12*(YEAR(BZ$3)-YEAR($B$10))+MONTH(BZ$3)-MONTH($B$10))))</x:f>
      </x:c>
      <x:c r="CA23" s="107" t="n">
        <x:f>IF(CA22=0,0,'Вводные'!$K$31*'Вводные'!$H$5*INDEX('Вводные'!$S$88:$S$91,$B$8)*INDEX('Вводные'!$AG$88:$AG$91,$B$8)*(1+'Вводные'!$K$34)^MAX(0,MIN((12*(YEAR(CA$3)-YEAR($B$11))+MONTH(CA$3)-MONTH($B$11)),(12*(YEAR($B$10)-YEAR($B$11))+MONTH($B$10)-MONTH($B$11))))*(1+'Вводные'!$K$35)^MAX(0,(12*(YEAR(CA$3)-YEAR($B$10))+MONTH(CA$3)-MONTH($B$10))))</x:f>
      </x:c>
      <x:c r="CB23" s="107" t="n">
        <x:f>IF(CB22=0,0,'Вводные'!$K$31*'Вводные'!$H$5*INDEX('Вводные'!$S$88:$S$91,$B$8)*INDEX('Вводные'!$AG$88:$AG$91,$B$8)*(1+'Вводные'!$K$34)^MAX(0,MIN((12*(YEAR(CB$3)-YEAR($B$11))+MONTH(CB$3)-MONTH($B$11)),(12*(YEAR($B$10)-YEAR($B$11))+MONTH($B$10)-MONTH($B$11))))*(1+'Вводные'!$K$35)^MAX(0,(12*(YEAR(CB$3)-YEAR($B$10))+MONTH(CB$3)-MONTH($B$10))))</x:f>
      </x:c>
      <x:c r="CC23" s="107" t="n">
        <x:f>IF(CC22=0,0,'Вводные'!$K$31*'Вводные'!$H$5*INDEX('Вводные'!$S$88:$S$91,$B$8)*INDEX('Вводные'!$AG$88:$AG$91,$B$8)*(1+'Вводные'!$K$34)^MAX(0,MIN((12*(YEAR(CC$3)-YEAR($B$11))+MONTH(CC$3)-MONTH($B$11)),(12*(YEAR($B$10)-YEAR($B$11))+MONTH($B$10)-MONTH($B$11))))*(1+'Вводные'!$K$35)^MAX(0,(12*(YEAR(CC$3)-YEAR($B$10))+MONTH(CC$3)-MONTH($B$10))))</x:f>
      </x:c>
      <x:c r="CD23" s="107" t="n">
        <x:f>IF(CD22=0,0,'Вводные'!$K$31*'Вводные'!$H$5*INDEX('Вводные'!$S$88:$S$91,$B$8)*INDEX('Вводные'!$AG$88:$AG$91,$B$8)*(1+'Вводные'!$K$34)^MAX(0,MIN((12*(YEAR(CD$3)-YEAR($B$11))+MONTH(CD$3)-MONTH($B$11)),(12*(YEAR($B$10)-YEAR($B$11))+MONTH($B$10)-MONTH($B$11))))*(1+'Вводные'!$K$35)^MAX(0,(12*(YEAR(CD$3)-YEAR($B$10))+MONTH(CD$3)-MONTH($B$10))))</x:f>
      </x:c>
      <x:c r="CE23" s="107" t="n">
        <x:f>IF(CE22=0,0,'Вводные'!$K$31*'Вводные'!$H$5*INDEX('Вводные'!$S$88:$S$91,$B$8)*INDEX('Вводные'!$AG$88:$AG$91,$B$8)*(1+'Вводные'!$K$34)^MAX(0,MIN((12*(YEAR(CE$3)-YEAR($B$11))+MONTH(CE$3)-MONTH($B$11)),(12*(YEAR($B$10)-YEAR($B$11))+MONTH($B$10)-MONTH($B$11))))*(1+'Вводные'!$K$35)^MAX(0,(12*(YEAR(CE$3)-YEAR($B$10))+MONTH(CE$3)-MONTH($B$10))))</x:f>
      </x:c>
      <x:c r="CF23" s="107" t="n">
        <x:f>IF(CF22=0,0,'Вводные'!$K$31*'Вводные'!$H$5*INDEX('Вводные'!$S$88:$S$91,$B$8)*INDEX('Вводные'!$AG$88:$AG$91,$B$8)*(1+'Вводные'!$K$34)^MAX(0,MIN((12*(YEAR(CF$3)-YEAR($B$11))+MONTH(CF$3)-MONTH($B$11)),(12*(YEAR($B$10)-YEAR($B$11))+MONTH($B$10)-MONTH($B$11))))*(1+'Вводные'!$K$35)^MAX(0,(12*(YEAR(CF$3)-YEAR($B$10))+MONTH(CF$3)-MONTH($B$10))))</x:f>
      </x:c>
      <x:c r="CG23" s="107" t="n">
        <x:f>IF(CG22=0,0,'Вводные'!$K$31*'Вводные'!$H$5*INDEX('Вводные'!$S$88:$S$91,$B$8)*INDEX('Вводные'!$AG$88:$AG$91,$B$8)*(1+'Вводные'!$K$34)^MAX(0,MIN((12*(YEAR(CG$3)-YEAR($B$11))+MONTH(CG$3)-MONTH($B$11)),(12*(YEAR($B$10)-YEAR($B$11))+MONTH($B$10)-MONTH($B$11))))*(1+'Вводные'!$K$35)^MAX(0,(12*(YEAR(CG$3)-YEAR($B$10))+MONTH(CG$3)-MONTH($B$10))))</x:f>
      </x:c>
      <x:c r="CH23" s="107" t="n">
        <x:f>IF(CH22=0,0,'Вводные'!$K$31*'Вводные'!$H$5*INDEX('Вводные'!$S$88:$S$91,$B$8)*INDEX('Вводные'!$AG$88:$AG$91,$B$8)*(1+'Вводные'!$K$34)^MAX(0,MIN((12*(YEAR(CH$3)-YEAR($B$11))+MONTH(CH$3)-MONTH($B$11)),(12*(YEAR($B$10)-YEAR($B$11))+MONTH($B$10)-MONTH($B$11))))*(1+'Вводные'!$K$35)^MAX(0,(12*(YEAR(CH$3)-YEAR($B$10))+MONTH(CH$3)-MONTH($B$10))))</x:f>
      </x:c>
      <x:c r="CI23" s="107" t="n">
        <x:f>IF(CI22=0,0,'Вводные'!$K$31*'Вводные'!$H$5*INDEX('Вводные'!$S$88:$S$91,$B$8)*INDEX('Вводные'!$AG$88:$AG$91,$B$8)*(1+'Вводные'!$K$34)^MAX(0,MIN((12*(YEAR(CI$3)-YEAR($B$11))+MONTH(CI$3)-MONTH($B$11)),(12*(YEAR($B$10)-YEAR($B$11))+MONTH($B$10)-MONTH($B$11))))*(1+'Вводные'!$K$35)^MAX(0,(12*(YEAR(CI$3)-YEAR($B$10))+MONTH(CI$3)-MONTH($B$10))))</x:f>
      </x:c>
      <x:c r="CJ23" s="107" t="n">
        <x:f>IF(CJ22=0,0,'Вводные'!$K$31*'Вводные'!$H$5*INDEX('Вводные'!$S$88:$S$91,$B$8)*INDEX('Вводные'!$AG$88:$AG$91,$B$8)*(1+'Вводные'!$K$34)^MAX(0,MIN((12*(YEAR(CJ$3)-YEAR($B$11))+MONTH(CJ$3)-MONTH($B$11)),(12*(YEAR($B$10)-YEAR($B$11))+MONTH($B$10)-MONTH($B$11))))*(1+'Вводные'!$K$35)^MAX(0,(12*(YEAR(CJ$3)-YEAR($B$10))+MONTH(CJ$3)-MONTH($B$10))))</x:f>
      </x:c>
      <x:c r="CK23" s="107" t="n">
        <x:f>IF(CK22=0,0,'Вводные'!$K$31*'Вводные'!$H$5*INDEX('Вводные'!$S$88:$S$91,$B$8)*INDEX('Вводные'!$AG$88:$AG$91,$B$8)*(1+'Вводные'!$K$34)^MAX(0,MIN((12*(YEAR(CK$3)-YEAR($B$11))+MONTH(CK$3)-MONTH($B$11)),(12*(YEAR($B$10)-YEAR($B$11))+MONTH($B$10)-MONTH($B$11))))*(1+'Вводные'!$K$35)^MAX(0,(12*(YEAR(CK$3)-YEAR($B$10))+MONTH(CK$3)-MONTH($B$10))))</x:f>
      </x:c>
      <x:c r="CL23" s="107" t="n">
        <x:f>IF(CL22=0,0,'Вводные'!$K$31*'Вводные'!$H$5*INDEX('Вводные'!$S$88:$S$91,$B$8)*INDEX('Вводные'!$AG$88:$AG$91,$B$8)*(1+'Вводные'!$K$34)^MAX(0,MIN((12*(YEAR(CL$3)-YEAR($B$11))+MONTH(CL$3)-MONTH($B$11)),(12*(YEAR($B$10)-YEAR($B$11))+MONTH($B$10)-MONTH($B$11))))*(1+'Вводные'!$K$35)^MAX(0,(12*(YEAR(CL$3)-YEAR($B$10))+MONTH(CL$3)-MONTH($B$10))))</x:f>
      </x:c>
      <x:c r="CM23" s="107" t="n">
        <x:f>IF(CM22=0,0,'Вводные'!$K$31*'Вводные'!$H$5*INDEX('Вводные'!$S$88:$S$91,$B$8)*INDEX('Вводные'!$AG$88:$AG$91,$B$8)*(1+'Вводные'!$K$34)^MAX(0,MIN((12*(YEAR(CM$3)-YEAR($B$11))+MONTH(CM$3)-MONTH($B$11)),(12*(YEAR($B$10)-YEAR($B$11))+MONTH($B$10)-MONTH($B$11))))*(1+'Вводные'!$K$35)^MAX(0,(12*(YEAR(CM$3)-YEAR($B$10))+MONTH(CM$3)-MONTH($B$10))))</x:f>
      </x:c>
      <x:c r="CN23" s="107" t="n">
        <x:f>IF(CN22=0,0,'Вводные'!$K$31*'Вводные'!$H$5*INDEX('Вводные'!$S$88:$S$91,$B$8)*INDEX('Вводные'!$AG$88:$AG$91,$B$8)*(1+'Вводные'!$K$34)^MAX(0,MIN((12*(YEAR(CN$3)-YEAR($B$11))+MONTH(CN$3)-MONTH($B$11)),(12*(YEAR($B$10)-YEAR($B$11))+MONTH($B$10)-MONTH($B$11))))*(1+'Вводные'!$K$35)^MAX(0,(12*(YEAR(CN$3)-YEAR($B$10))+MONTH(CN$3)-MONTH($B$10))))</x:f>
      </x:c>
      <x:c r="CO23" s="107" t="n">
        <x:f>IF(CO22=0,0,'Вводные'!$K$31*'Вводные'!$H$5*INDEX('Вводные'!$S$88:$S$91,$B$8)*INDEX('Вводные'!$AG$88:$AG$91,$B$8)*(1+'Вводные'!$K$34)^MAX(0,MIN((12*(YEAR(CO$3)-YEAR($B$11))+MONTH(CO$3)-MONTH($B$11)),(12*(YEAR($B$10)-YEAR($B$11))+MONTH($B$10)-MONTH($B$11))))*(1+'Вводные'!$K$35)^MAX(0,(12*(YEAR(CO$3)-YEAR($B$10))+MONTH(CO$3)-MONTH($B$10))))</x:f>
      </x:c>
      <x:c r="CP23" s="107" t="n">
        <x:f>IF(CP22=0,0,'Вводные'!$K$31*'Вводные'!$H$5*INDEX('Вводные'!$S$88:$S$91,$B$8)*INDEX('Вводные'!$AG$88:$AG$91,$B$8)*(1+'Вводные'!$K$34)^MAX(0,MIN((12*(YEAR(CP$3)-YEAR($B$11))+MONTH(CP$3)-MONTH($B$11)),(12*(YEAR($B$10)-YEAR($B$11))+MONTH($B$10)-MONTH($B$11))))*(1+'Вводные'!$K$35)^MAX(0,(12*(YEAR(CP$3)-YEAR($B$10))+MONTH(CP$3)-MONTH($B$10))))</x:f>
      </x:c>
      <x:c r="CQ23" s="107" t="n">
        <x:f>IF(CQ22=0,0,'Вводные'!$K$31*'Вводные'!$H$5*INDEX('Вводные'!$S$88:$S$91,$B$8)*INDEX('Вводные'!$AG$88:$AG$91,$B$8)*(1+'Вводные'!$K$34)^MAX(0,MIN((12*(YEAR(CQ$3)-YEAR($B$11))+MONTH(CQ$3)-MONTH($B$11)),(12*(YEAR($B$10)-YEAR($B$11))+MONTH($B$10)-MONTH($B$11))))*(1+'Вводные'!$K$35)^MAX(0,(12*(YEAR(CQ$3)-YEAR($B$10))+MONTH(CQ$3)-MONTH($B$10))))</x:f>
      </x:c>
      <x:c r="CR23" s="107" t="n">
        <x:f>IF(CR22=0,0,'Вводные'!$K$31*'Вводные'!$H$5*INDEX('Вводные'!$S$88:$S$91,$B$8)*INDEX('Вводные'!$AG$88:$AG$91,$B$8)*(1+'Вводные'!$K$34)^MAX(0,MIN((12*(YEAR(CR$3)-YEAR($B$11))+MONTH(CR$3)-MONTH($B$11)),(12*(YEAR($B$10)-YEAR($B$11))+MONTH($B$10)-MONTH($B$11))))*(1+'Вводные'!$K$35)^MAX(0,(12*(YEAR(CR$3)-YEAR($B$10))+MONTH(CR$3)-MONTH($B$10))))</x:f>
      </x:c>
      <x:c r="CS23" s="107" t="n">
        <x:f>IF(CS22=0,0,'Вводные'!$K$31*'Вводные'!$H$5*INDEX('Вводные'!$S$88:$S$91,$B$8)*INDEX('Вводные'!$AG$88:$AG$91,$B$8)*(1+'Вводные'!$K$34)^MAX(0,MIN((12*(YEAR(CS$3)-YEAR($B$11))+MONTH(CS$3)-MONTH($B$11)),(12*(YEAR($B$10)-YEAR($B$11))+MONTH($B$10)-MONTH($B$11))))*(1+'Вводные'!$K$35)^MAX(0,(12*(YEAR(CS$3)-YEAR($B$10))+MONTH(CS$3)-MONTH($B$10))))</x:f>
      </x:c>
      <x:c r="CT23" s="107" t="n">
        <x:f>IF(CT22=0,0,'Вводные'!$K$31*'Вводные'!$H$5*INDEX('Вводные'!$S$88:$S$91,$B$8)*INDEX('Вводные'!$AG$88:$AG$91,$B$8)*(1+'Вводные'!$K$34)^MAX(0,MIN((12*(YEAR(CT$3)-YEAR($B$11))+MONTH(CT$3)-MONTH($B$11)),(12*(YEAR($B$10)-YEAR($B$11))+MONTH($B$10)-MONTH($B$11))))*(1+'Вводные'!$K$35)^MAX(0,(12*(YEAR(CT$3)-YEAR($B$10))+MONTH(CT$3)-MONTH($B$10))))</x:f>
      </x:c>
      <x:c r="CU23" s="107" t="n">
        <x:f>IF(CU22=0,0,'Вводные'!$K$31*'Вводные'!$H$5*INDEX('Вводные'!$S$88:$S$91,$B$8)*INDEX('Вводные'!$AG$88:$AG$91,$B$8)*(1+'Вводные'!$K$34)^MAX(0,MIN((12*(YEAR(CU$3)-YEAR($B$11))+MONTH(CU$3)-MONTH($B$11)),(12*(YEAR($B$10)-YEAR($B$11))+MONTH($B$10)-MONTH($B$11))))*(1+'Вводные'!$K$35)^MAX(0,(12*(YEAR(CU$3)-YEAR($B$10))+MONTH(CU$3)-MONTH($B$10))))</x:f>
      </x:c>
      <x:c r="CV23" s="107" t="n">
        <x:f>IF(CV22=0,0,'Вводные'!$K$31*'Вводные'!$H$5*INDEX('Вводные'!$S$88:$S$91,$B$8)*INDEX('Вводные'!$AG$88:$AG$91,$B$8)*(1+'Вводные'!$K$34)^MAX(0,MIN((12*(YEAR(CV$3)-YEAR($B$11))+MONTH(CV$3)-MONTH($B$11)),(12*(YEAR($B$10)-YEAR($B$11))+MONTH($B$10)-MONTH($B$11))))*(1+'Вводные'!$K$35)^MAX(0,(12*(YEAR(CV$3)-YEAR($B$10))+MONTH(CV$3)-MONTH($B$10))))</x:f>
      </x:c>
      <x:c r="CW23" s="107" t="n">
        <x:f>IF(CW22=0,0,'Вводные'!$K$31*'Вводные'!$H$5*INDEX('Вводные'!$S$88:$S$91,$B$8)*INDEX('Вводные'!$AG$88:$AG$91,$B$8)*(1+'Вводные'!$K$34)^MAX(0,MIN((12*(YEAR(CW$3)-YEAR($B$11))+MONTH(CW$3)-MONTH($B$11)),(12*(YEAR($B$10)-YEAR($B$11))+MONTH($B$10)-MONTH($B$11))))*(1+'Вводные'!$K$35)^MAX(0,(12*(YEAR(CW$3)-YEAR($B$10))+MONTH(CW$3)-MONTH($B$10))))</x:f>
      </x:c>
      <x:c r="CX23" s="107" t="n">
        <x:f>IF(CX22=0,0,'Вводные'!$K$31*'Вводные'!$H$5*INDEX('Вводные'!$S$88:$S$91,$B$8)*INDEX('Вводные'!$AG$88:$AG$91,$B$8)*(1+'Вводные'!$K$34)^MAX(0,MIN((12*(YEAR(CX$3)-YEAR($B$11))+MONTH(CX$3)-MONTH($B$11)),(12*(YEAR($B$10)-YEAR($B$11))+MONTH($B$10)-MONTH($B$11))))*(1+'Вводные'!$K$35)^MAX(0,(12*(YEAR(CX$3)-YEAR($B$10))+MONTH(CX$3)-MONTH($B$10))))</x:f>
      </x:c>
      <x:c r="CY23" s="107" t="n">
        <x:f>IF(CY22=0,0,'Вводные'!$K$31*'Вводные'!$H$5*INDEX('Вводные'!$S$88:$S$91,$B$8)*INDEX('Вводные'!$AG$88:$AG$91,$B$8)*(1+'Вводные'!$K$34)^MAX(0,MIN((12*(YEAR(CY$3)-YEAR($B$11))+MONTH(CY$3)-MONTH($B$11)),(12*(YEAR($B$10)-YEAR($B$11))+MONTH($B$10)-MONTH($B$11))))*(1+'Вводные'!$K$35)^MAX(0,(12*(YEAR(CY$3)-YEAR($B$10))+MONTH(CY$3)-MONTH($B$10))))</x:f>
      </x:c>
      <x:c r="CZ23" s="107" t="n">
        <x:f>IF(CZ22=0,0,'Вводные'!$K$31*'Вводные'!$H$5*INDEX('Вводные'!$S$88:$S$91,$B$8)*INDEX('Вводные'!$AG$88:$AG$91,$B$8)*(1+'Вводные'!$K$34)^MAX(0,MIN((12*(YEAR(CZ$3)-YEAR($B$11))+MONTH(CZ$3)-MONTH($B$11)),(12*(YEAR($B$10)-YEAR($B$11))+MONTH($B$10)-MONTH($B$11))))*(1+'Вводные'!$K$35)^MAX(0,(12*(YEAR(CZ$3)-YEAR($B$10))+MONTH(CZ$3)-MONTH($B$10))))</x:f>
      </x:c>
      <x:c r="DA23" s="107" t="n">
        <x:f>IF(DA22=0,0,'Вводные'!$K$31*'Вводные'!$H$5*INDEX('Вводные'!$S$88:$S$91,$B$8)*INDEX('Вводные'!$AG$88:$AG$91,$B$8)*(1+'Вводные'!$K$34)^MAX(0,MIN((12*(YEAR(DA$3)-YEAR($B$11))+MONTH(DA$3)-MONTH($B$11)),(12*(YEAR($B$10)-YEAR($B$11))+MONTH($B$10)-MONTH($B$11))))*(1+'Вводные'!$K$35)^MAX(0,(12*(YEAR(DA$3)-YEAR($B$10))+MONTH(DA$3)-MONTH($B$10))))</x:f>
      </x:c>
      <x:c r="DB23" s="107" t="n">
        <x:f>IF(DB22=0,0,'Вводные'!$K$31*'Вводные'!$H$5*INDEX('Вводные'!$S$88:$S$91,$B$8)*INDEX('Вводные'!$AG$88:$AG$91,$B$8)*(1+'Вводные'!$K$34)^MAX(0,MIN((12*(YEAR(DB$3)-YEAR($B$11))+MONTH(DB$3)-MONTH($B$11)),(12*(YEAR($B$10)-YEAR($B$11))+MONTH($B$10)-MONTH($B$11))))*(1+'Вводные'!$K$35)^MAX(0,(12*(YEAR(DB$3)-YEAR($B$10))+MONTH(DB$3)-MONTH($B$10))))</x:f>
      </x:c>
      <x:c r="DC23" s="107" t="n">
        <x:f>IF(DC22=0,0,'Вводные'!$K$31*'Вводные'!$H$5*INDEX('Вводные'!$S$88:$S$91,$B$8)*INDEX('Вводные'!$AG$88:$AG$91,$B$8)*(1+'Вводные'!$K$34)^MAX(0,MIN((12*(YEAR(DC$3)-YEAR($B$11))+MONTH(DC$3)-MONTH($B$11)),(12*(YEAR($B$10)-YEAR($B$11))+MONTH($B$10)-MONTH($B$11))))*(1+'Вводные'!$K$35)^MAX(0,(12*(YEAR(DC$3)-YEAR($B$10))+MONTH(DC$3)-MONTH($B$10))))</x:f>
      </x:c>
      <x:c r="DD23" s="107" t="n">
        <x:f>IF(DD22=0,0,'Вводные'!$K$31*'Вводные'!$H$5*INDEX('Вводные'!$S$88:$S$91,$B$8)*INDEX('Вводные'!$AG$88:$AG$91,$B$8)*(1+'Вводные'!$K$34)^MAX(0,MIN((12*(YEAR(DD$3)-YEAR($B$11))+MONTH(DD$3)-MONTH($B$11)),(12*(YEAR($B$10)-YEAR($B$11))+MONTH($B$10)-MONTH($B$11))))*(1+'Вводные'!$K$35)^MAX(0,(12*(YEAR(DD$3)-YEAR($B$10))+MONTH(DD$3)-MONTH($B$10))))</x:f>
      </x:c>
      <x:c r="DE23" s="107" t="n">
        <x:f>IF(DE22=0,0,'Вводные'!$K$31*'Вводные'!$H$5*INDEX('Вводные'!$S$88:$S$91,$B$8)*INDEX('Вводные'!$AG$88:$AG$91,$B$8)*(1+'Вводные'!$K$34)^MAX(0,MIN((12*(YEAR(DE$3)-YEAR($B$11))+MONTH(DE$3)-MONTH($B$11)),(12*(YEAR($B$10)-YEAR($B$11))+MONTH($B$10)-MONTH($B$11))))*(1+'Вводные'!$K$35)^MAX(0,(12*(YEAR(DE$3)-YEAR($B$10))+MONTH(DE$3)-MONTH($B$10))))</x:f>
      </x:c>
      <x:c r="DF23" s="107" t="n">
        <x:f>IF(DF22=0,0,'Вводные'!$K$31*'Вводные'!$H$5*INDEX('Вводные'!$S$88:$S$91,$B$8)*INDEX('Вводные'!$AG$88:$AG$91,$B$8)*(1+'Вводные'!$K$34)^MAX(0,MIN((12*(YEAR(DF$3)-YEAR($B$11))+MONTH(DF$3)-MONTH($B$11)),(12*(YEAR($B$10)-YEAR($B$11))+MONTH($B$10)-MONTH($B$11))))*(1+'Вводные'!$K$35)^MAX(0,(12*(YEAR(DF$3)-YEAR($B$10))+MONTH(DF$3)-MONTH($B$10))))</x:f>
      </x:c>
      <x:c r="DG23" s="107" t="n">
        <x:f>IF(DG22=0,0,'Вводные'!$K$31*'Вводные'!$H$5*INDEX('Вводные'!$S$88:$S$91,$B$8)*INDEX('Вводные'!$AG$88:$AG$91,$B$8)*(1+'Вводные'!$K$34)^MAX(0,MIN((12*(YEAR(DG$3)-YEAR($B$11))+MONTH(DG$3)-MONTH($B$11)),(12*(YEAR($B$10)-YEAR($B$11))+MONTH($B$10)-MONTH($B$11))))*(1+'Вводные'!$K$35)^MAX(0,(12*(YEAR(DG$3)-YEAR($B$10))+MONTH(DG$3)-MONTH($B$10))))</x:f>
      </x:c>
      <x:c r="DH23" s="107" t="n">
        <x:f>IF(DH22=0,0,'Вводные'!$K$31*'Вводные'!$H$5*INDEX('Вводные'!$S$88:$S$91,$B$8)*INDEX('Вводные'!$AG$88:$AG$91,$B$8)*(1+'Вводные'!$K$34)^MAX(0,MIN((12*(YEAR(DH$3)-YEAR($B$11))+MONTH(DH$3)-MONTH($B$11)),(12*(YEAR($B$10)-YEAR($B$11))+MONTH($B$10)-MONTH($B$11))))*(1+'Вводные'!$K$35)^MAX(0,(12*(YEAR(DH$3)-YEAR($B$10))+MONTH(DH$3)-MONTH($B$10))))</x:f>
      </x:c>
      <x:c r="DI23" s="107" t="n">
        <x:f>IF(DI22=0,0,'Вводные'!$K$31*'Вводные'!$H$5*INDEX('Вводные'!$S$88:$S$91,$B$8)*INDEX('Вводные'!$AG$88:$AG$91,$B$8)*(1+'Вводные'!$K$34)^MAX(0,MIN((12*(YEAR(DI$3)-YEAR($B$11))+MONTH(DI$3)-MONTH($B$11)),(12*(YEAR($B$10)-YEAR($B$11))+MONTH($B$10)-MONTH($B$11))))*(1+'Вводные'!$K$35)^MAX(0,(12*(YEAR(DI$3)-YEAR($B$10))+MONTH(DI$3)-MONTH($B$10))))</x:f>
      </x:c>
      <x:c r="DJ23" s="107" t="n">
        <x:f>IF(DJ22=0,0,'Вводные'!$K$31*'Вводные'!$H$5*INDEX('Вводные'!$S$88:$S$91,$B$8)*INDEX('Вводные'!$AG$88:$AG$91,$B$8)*(1+'Вводные'!$K$34)^MAX(0,MIN((12*(YEAR(DJ$3)-YEAR($B$11))+MONTH(DJ$3)-MONTH($B$11)),(12*(YEAR($B$10)-YEAR($B$11))+MONTH($B$10)-MONTH($B$11))))*(1+'Вводные'!$K$35)^MAX(0,(12*(YEAR(DJ$3)-YEAR($B$10))+MONTH(DJ$3)-MONTH($B$10))))</x:f>
      </x:c>
      <x:c r="DK23" s="107" t="n">
        <x:f>IF(DK22=0,0,'Вводные'!$K$31*'Вводные'!$H$5*INDEX('Вводные'!$S$88:$S$91,$B$8)*INDEX('Вводные'!$AG$88:$AG$91,$B$8)*(1+'Вводные'!$K$34)^MAX(0,MIN((12*(YEAR(DK$3)-YEAR($B$11))+MONTH(DK$3)-MONTH($B$11)),(12*(YEAR($B$10)-YEAR($B$11))+MONTH($B$10)-MONTH($B$11))))*(1+'Вводные'!$K$35)^MAX(0,(12*(YEAR(DK$3)-YEAR($B$10))+MONTH(DK$3)-MONTH($B$10))))</x:f>
      </x:c>
      <x:c r="DL23" s="107" t="n">
        <x:f>IF(DL22=0,0,'Вводные'!$K$31*'Вводные'!$H$5*INDEX('Вводные'!$S$88:$S$91,$B$8)*INDEX('Вводные'!$AG$88:$AG$91,$B$8)*(1+'Вводные'!$K$34)^MAX(0,MIN((12*(YEAR(DL$3)-YEAR($B$11))+MONTH(DL$3)-MONTH($B$11)),(12*(YEAR($B$10)-YEAR($B$11))+MONTH($B$10)-MONTH($B$11))))*(1+'Вводные'!$K$35)^MAX(0,(12*(YEAR(DL$3)-YEAR($B$10))+MONTH(DL$3)-MONTH($B$10))))</x:f>
      </x:c>
      <x:c r="DM23" s="107" t="n">
        <x:f>IF(DM22=0,0,'Вводные'!$K$31*'Вводные'!$H$5*INDEX('Вводные'!$S$88:$S$91,$B$8)*INDEX('Вводные'!$AG$88:$AG$91,$B$8)*(1+'Вводные'!$K$34)^MAX(0,MIN((12*(YEAR(DM$3)-YEAR($B$11))+MONTH(DM$3)-MONTH($B$11)),(12*(YEAR($B$10)-YEAR($B$11))+MONTH($B$10)-MONTH($B$11))))*(1+'Вводные'!$K$35)^MAX(0,(12*(YEAR(DM$3)-YEAR($B$10))+MONTH(DM$3)-MONTH($B$10))))</x:f>
      </x:c>
      <x:c r="DN23" s="107" t="n">
        <x:f>IF(DN22=0,0,'Вводные'!$K$31*'Вводные'!$H$5*INDEX('Вводные'!$S$88:$S$91,$B$8)*INDEX('Вводные'!$AG$88:$AG$91,$B$8)*(1+'Вводные'!$K$34)^MAX(0,MIN((12*(YEAR(DN$3)-YEAR($B$11))+MONTH(DN$3)-MONTH($B$11)),(12*(YEAR($B$10)-YEAR($B$11))+MONTH($B$10)-MONTH($B$11))))*(1+'Вводные'!$K$35)^MAX(0,(12*(YEAR(DN$3)-YEAR($B$10))+MONTH(DN$3)-MONTH($B$10))))</x:f>
      </x:c>
      <x:c r="DO23" s="107" t="n">
        <x:f>IF(DO22=0,0,'Вводные'!$K$31*'Вводные'!$H$5*INDEX('Вводные'!$S$88:$S$91,$B$8)*INDEX('Вводные'!$AG$88:$AG$91,$B$8)*(1+'Вводные'!$K$34)^MAX(0,MIN((12*(YEAR(DO$3)-YEAR($B$11))+MONTH(DO$3)-MONTH($B$11)),(12*(YEAR($B$10)-YEAR($B$11))+MONTH($B$10)-MONTH($B$11))))*(1+'Вводные'!$K$35)^MAX(0,(12*(YEAR(DO$3)-YEAR($B$10))+MONTH(DO$3)-MONTH($B$10))))</x:f>
      </x:c>
      <x:c r="DP23" s="107" t="n">
        <x:f>IF(DP22=0,0,'Вводные'!$K$31*'Вводные'!$H$5*INDEX('Вводные'!$S$88:$S$91,$B$8)*INDEX('Вводные'!$AG$88:$AG$91,$B$8)*(1+'Вводные'!$K$34)^MAX(0,MIN((12*(YEAR(DP$3)-YEAR($B$11))+MONTH(DP$3)-MONTH($B$11)),(12*(YEAR($B$10)-YEAR($B$11))+MONTH($B$10)-MONTH($B$11))))*(1+'Вводные'!$K$35)^MAX(0,(12*(YEAR(DP$3)-YEAR($B$10))+MONTH(DP$3)-MONTH($B$10))))</x:f>
      </x:c>
      <x:c r="DQ23" s="107" t="n">
        <x:f>IF(DQ22=0,0,'Вводные'!$K$31*'Вводные'!$H$5*INDEX('Вводные'!$S$88:$S$91,$B$8)*INDEX('Вводные'!$AG$88:$AG$91,$B$8)*(1+'Вводные'!$K$34)^MAX(0,MIN((12*(YEAR(DQ$3)-YEAR($B$11))+MONTH(DQ$3)-MONTH($B$11)),(12*(YEAR($B$10)-YEAR($B$11))+MONTH($B$10)-MONTH($B$11))))*(1+'Вводные'!$K$35)^MAX(0,(12*(YEAR(DQ$3)-YEAR($B$10))+MONTH(DQ$3)-MONTH($B$10))))</x:f>
      </x:c>
      <x:c r="DR23" s="107" t="n">
        <x:f>IF(DR22=0,0,'Вводные'!$K$31*'Вводные'!$H$5*INDEX('Вводные'!$S$88:$S$91,$B$8)*INDEX('Вводные'!$AG$88:$AG$91,$B$8)*(1+'Вводные'!$K$34)^MAX(0,MIN((12*(YEAR(DR$3)-YEAR($B$11))+MONTH(DR$3)-MONTH($B$11)),(12*(YEAR($B$10)-YEAR($B$11))+MONTH($B$10)-MONTH($B$11))))*(1+'Вводные'!$K$35)^MAX(0,(12*(YEAR(DR$3)-YEAR($B$10))+MONTH(DR$3)-MONTH($B$10))))</x:f>
      </x:c>
      <x:c r="DS23" s="107" t="n">
        <x:f>IF(DS22=0,0,'Вводные'!$K$31*'Вводные'!$H$5*INDEX('Вводные'!$S$88:$S$91,$B$8)*INDEX('Вводные'!$AG$88:$AG$91,$B$8)*(1+'Вводные'!$K$34)^MAX(0,MIN((12*(YEAR(DS$3)-YEAR($B$11))+MONTH(DS$3)-MONTH($B$11)),(12*(YEAR($B$10)-YEAR($B$11))+MONTH($B$10)-MONTH($B$11))))*(1+'Вводные'!$K$35)^MAX(0,(12*(YEAR(DS$3)-YEAR($B$10))+MONTH(DS$3)-MONTH($B$10))))</x:f>
      </x:c>
    </x:row>
    <x:row r="24">
      <x:c r="A24" t="str">
        <x:v>Продажи по договорам</x:v>
      </x:c>
      <x:c r="B24" s="107" t="n">
        <x:f>SUM(D24:DS24)</x:f>
      </x:c>
      <x:c r="C24" t="str">
        <x:v>млн ₽</x:v>
      </x:c>
      <x:c r="D24" s="107" t="n">
        <x:f>D22*D23/1000</x:f>
      </x:c>
      <x:c r="E24" s="107" t="n">
        <x:f>E22*E23/1000</x:f>
      </x:c>
      <x:c r="F24" s="107" t="n">
        <x:f>F22*F23/1000</x:f>
      </x:c>
      <x:c r="G24" s="107" t="n">
        <x:f>G22*G23/1000</x:f>
      </x:c>
      <x:c r="H24" s="107" t="n">
        <x:f>H22*H23/1000</x:f>
      </x:c>
      <x:c r="I24" s="107" t="n">
        <x:f>I22*I23/1000</x:f>
      </x:c>
      <x:c r="J24" s="107" t="n">
        <x:f>J22*J23/1000</x:f>
      </x:c>
      <x:c r="K24" s="107" t="n">
        <x:f>K22*K23/1000</x:f>
      </x:c>
      <x:c r="L24" s="107" t="n">
        <x:f>L22*L23/1000</x:f>
      </x:c>
      <x:c r="M24" s="107" t="n">
        <x:f>M22*M23/1000</x:f>
      </x:c>
      <x:c r="N24" s="107" t="n">
        <x:f>N22*N23/1000</x:f>
      </x:c>
      <x:c r="O24" s="107" t="n">
        <x:f>O22*O23/1000</x:f>
      </x:c>
      <x:c r="P24" s="107" t="n">
        <x:f>P22*P23/1000</x:f>
      </x:c>
      <x:c r="Q24" s="107" t="n">
        <x:f>Q22*Q23/1000</x:f>
      </x:c>
      <x:c r="R24" s="107" t="n">
        <x:f>R22*R23/1000</x:f>
      </x:c>
      <x:c r="S24" s="107" t="n">
        <x:f>S22*S23/1000</x:f>
      </x:c>
      <x:c r="T24" s="107" t="n">
        <x:f>T22*T23/1000</x:f>
      </x:c>
      <x:c r="U24" s="107" t="n">
        <x:f>U22*U23/1000</x:f>
      </x:c>
      <x:c r="V24" s="107" t="n">
        <x:f>V22*V23/1000</x:f>
      </x:c>
      <x:c r="W24" s="107" t="n">
        <x:f>W22*W23/1000</x:f>
      </x:c>
      <x:c r="X24" s="107" t="n">
        <x:f>X22*X23/1000</x:f>
      </x:c>
      <x:c r="Y24" s="107" t="n">
        <x:f>Y22*Y23/1000</x:f>
      </x:c>
      <x:c r="Z24" s="107" t="n">
        <x:f>Z22*Z23/1000</x:f>
      </x:c>
      <x:c r="AA24" s="107" t="n">
        <x:f>AA22*AA23/1000</x:f>
      </x:c>
      <x:c r="AB24" s="107" t="n">
        <x:f>AB22*AB23/1000</x:f>
      </x:c>
      <x:c r="AC24" s="107" t="n">
        <x:f>AC22*AC23/1000</x:f>
      </x:c>
      <x:c r="AD24" s="107" t="n">
        <x:f>AD22*AD23/1000</x:f>
      </x:c>
      <x:c r="AE24" s="107" t="n">
        <x:f>AE22*AE23/1000</x:f>
      </x:c>
      <x:c r="AF24" s="107" t="n">
        <x:f>AF22*AF23/1000</x:f>
      </x:c>
      <x:c r="AG24" s="107" t="n">
        <x:f>AG22*AG23/1000</x:f>
      </x:c>
      <x:c r="AH24" s="107" t="n">
        <x:f>AH22*AH23/1000</x:f>
      </x:c>
      <x:c r="AI24" s="107" t="n">
        <x:f>AI22*AI23/1000</x:f>
      </x:c>
      <x:c r="AJ24" s="107" t="n">
        <x:f>AJ22*AJ23/1000</x:f>
      </x:c>
      <x:c r="AK24" s="107" t="n">
        <x:f>AK22*AK23/1000</x:f>
      </x:c>
      <x:c r="AL24" s="107" t="n">
        <x:f>AL22*AL23/1000</x:f>
      </x:c>
      <x:c r="AM24" s="107" t="n">
        <x:f>AM22*AM23/1000</x:f>
      </x:c>
      <x:c r="AN24" s="107" t="n">
        <x:f>AN22*AN23/1000</x:f>
      </x:c>
      <x:c r="AO24" s="107" t="n">
        <x:f>AO22*AO23/1000</x:f>
      </x:c>
      <x:c r="AP24" s="107" t="n">
        <x:f>AP22*AP23/1000</x:f>
      </x:c>
      <x:c r="AQ24" s="107" t="n">
        <x:f>AQ22*AQ23/1000</x:f>
      </x:c>
      <x:c r="AR24" s="107" t="n">
        <x:f>AR22*AR23/1000</x:f>
      </x:c>
      <x:c r="AS24" s="107" t="n">
        <x:f>AS22*AS23/1000</x:f>
      </x:c>
      <x:c r="AT24" s="107" t="n">
        <x:f>AT22*AT23/1000</x:f>
      </x:c>
      <x:c r="AU24" s="107" t="n">
        <x:f>AU22*AU23/1000</x:f>
      </x:c>
      <x:c r="AV24" s="107" t="n">
        <x:f>AV22*AV23/1000</x:f>
      </x:c>
      <x:c r="AW24" s="107" t="n">
        <x:f>AW22*AW23/1000</x:f>
      </x:c>
      <x:c r="AX24" s="107" t="n">
        <x:f>AX22*AX23/1000</x:f>
      </x:c>
      <x:c r="AY24" s="107" t="n">
        <x:f>AY22*AY23/1000</x:f>
      </x:c>
      <x:c r="AZ24" s="107" t="n">
        <x:f>AZ22*AZ23/1000</x:f>
      </x:c>
      <x:c r="BA24" s="107" t="n">
        <x:f>BA22*BA23/1000</x:f>
      </x:c>
      <x:c r="BB24" s="107" t="n">
        <x:f>BB22*BB23/1000</x:f>
      </x:c>
      <x:c r="BC24" s="107" t="n">
        <x:f>BC22*BC23/1000</x:f>
      </x:c>
      <x:c r="BD24" s="107" t="n">
        <x:f>BD22*BD23/1000</x:f>
      </x:c>
      <x:c r="BE24" s="107" t="n">
        <x:f>BE22*BE23/1000</x:f>
      </x:c>
      <x:c r="BF24" s="107" t="n">
        <x:f>BF22*BF23/1000</x:f>
      </x:c>
      <x:c r="BG24" s="107" t="n">
        <x:f>BG22*BG23/1000</x:f>
      </x:c>
      <x:c r="BH24" s="107" t="n">
        <x:f>BH22*BH23/1000</x:f>
      </x:c>
      <x:c r="BI24" s="107" t="n">
        <x:f>BI22*BI23/1000</x:f>
      </x:c>
      <x:c r="BJ24" s="107" t="n">
        <x:f>BJ22*BJ23/1000</x:f>
      </x:c>
      <x:c r="BK24" s="107" t="n">
        <x:f>BK22*BK23/1000</x:f>
      </x:c>
      <x:c r="BL24" s="107" t="n">
        <x:f>BL22*BL23/1000</x:f>
      </x:c>
      <x:c r="BM24" s="107" t="n">
        <x:f>BM22*BM23/1000</x:f>
      </x:c>
      <x:c r="BN24" s="107" t="n">
        <x:f>BN22*BN23/1000</x:f>
      </x:c>
      <x:c r="BO24" s="107" t="n">
        <x:f>BO22*BO23/1000</x:f>
      </x:c>
      <x:c r="BP24" s="107" t="n">
        <x:f>BP22*BP23/1000</x:f>
      </x:c>
      <x:c r="BQ24" s="107" t="n">
        <x:f>BQ22*BQ23/1000</x:f>
      </x:c>
      <x:c r="BR24" s="107" t="n">
        <x:f>BR22*BR23/1000</x:f>
      </x:c>
      <x:c r="BS24" s="107" t="n">
        <x:f>BS22*BS23/1000</x:f>
      </x:c>
      <x:c r="BT24" s="107" t="n">
        <x:f>BT22*BT23/1000</x:f>
      </x:c>
      <x:c r="BU24" s="107" t="n">
        <x:f>BU22*BU23/1000</x:f>
      </x:c>
      <x:c r="BV24" s="107" t="n">
        <x:f>BV22*BV23/1000</x:f>
      </x:c>
      <x:c r="BW24" s="107" t="n">
        <x:f>BW22*BW23/1000</x:f>
      </x:c>
      <x:c r="BX24" s="107" t="n">
        <x:f>BX22*BX23/1000</x:f>
      </x:c>
      <x:c r="BY24" s="107" t="n">
        <x:f>BY22*BY23/1000</x:f>
      </x:c>
      <x:c r="BZ24" s="107" t="n">
        <x:f>BZ22*BZ23/1000</x:f>
      </x:c>
      <x:c r="CA24" s="107" t="n">
        <x:f>CA22*CA23/1000</x:f>
      </x:c>
      <x:c r="CB24" s="107" t="n">
        <x:f>CB22*CB23/1000</x:f>
      </x:c>
      <x:c r="CC24" s="107" t="n">
        <x:f>CC22*CC23/1000</x:f>
      </x:c>
      <x:c r="CD24" s="107" t="n">
        <x:f>CD22*CD23/1000</x:f>
      </x:c>
      <x:c r="CE24" s="107" t="n">
        <x:f>CE22*CE23/1000</x:f>
      </x:c>
      <x:c r="CF24" s="107" t="n">
        <x:f>CF22*CF23/1000</x:f>
      </x:c>
      <x:c r="CG24" s="107" t="n">
        <x:f>CG22*CG23/1000</x:f>
      </x:c>
      <x:c r="CH24" s="107" t="n">
        <x:f>CH22*CH23/1000</x:f>
      </x:c>
      <x:c r="CI24" s="107" t="n">
        <x:f>CI22*CI23/1000</x:f>
      </x:c>
      <x:c r="CJ24" s="107" t="n">
        <x:f>CJ22*CJ23/1000</x:f>
      </x:c>
      <x:c r="CK24" s="107" t="n">
        <x:f>CK22*CK23/1000</x:f>
      </x:c>
      <x:c r="CL24" s="107" t="n">
        <x:f>CL22*CL23/1000</x:f>
      </x:c>
      <x:c r="CM24" s="107" t="n">
        <x:f>CM22*CM23/1000</x:f>
      </x:c>
      <x:c r="CN24" s="107" t="n">
        <x:f>CN22*CN23/1000</x:f>
      </x:c>
      <x:c r="CO24" s="107" t="n">
        <x:f>CO22*CO23/1000</x:f>
      </x:c>
      <x:c r="CP24" s="107" t="n">
        <x:f>CP22*CP23/1000</x:f>
      </x:c>
      <x:c r="CQ24" s="107" t="n">
        <x:f>CQ22*CQ23/1000</x:f>
      </x:c>
      <x:c r="CR24" s="107" t="n">
        <x:f>CR22*CR23/1000</x:f>
      </x:c>
      <x:c r="CS24" s="107" t="n">
        <x:f>CS22*CS23/1000</x:f>
      </x:c>
      <x:c r="CT24" s="107" t="n">
        <x:f>CT22*CT23/1000</x:f>
      </x:c>
      <x:c r="CU24" s="107" t="n">
        <x:f>CU22*CU23/1000</x:f>
      </x:c>
      <x:c r="CV24" s="107" t="n">
        <x:f>CV22*CV23/1000</x:f>
      </x:c>
      <x:c r="CW24" s="107" t="n">
        <x:f>CW22*CW23/1000</x:f>
      </x:c>
      <x:c r="CX24" s="107" t="n">
        <x:f>CX22*CX23/1000</x:f>
      </x:c>
      <x:c r="CY24" s="107" t="n">
        <x:f>CY22*CY23/1000</x:f>
      </x:c>
      <x:c r="CZ24" s="107" t="n">
        <x:f>CZ22*CZ23/1000</x:f>
      </x:c>
      <x:c r="DA24" s="107" t="n">
        <x:f>DA22*DA23/1000</x:f>
      </x:c>
      <x:c r="DB24" s="107" t="n">
        <x:f>DB22*DB23/1000</x:f>
      </x:c>
      <x:c r="DC24" s="107" t="n">
        <x:f>DC22*DC23/1000</x:f>
      </x:c>
      <x:c r="DD24" s="107" t="n">
        <x:f>DD22*DD23/1000</x:f>
      </x:c>
      <x:c r="DE24" s="107" t="n">
        <x:f>DE22*DE23/1000</x:f>
      </x:c>
      <x:c r="DF24" s="107" t="n">
        <x:f>DF22*DF23/1000</x:f>
      </x:c>
      <x:c r="DG24" s="107" t="n">
        <x:f>DG22*DG23/1000</x:f>
      </x:c>
      <x:c r="DH24" s="107" t="n">
        <x:f>DH22*DH23/1000</x:f>
      </x:c>
      <x:c r="DI24" s="107" t="n">
        <x:f>DI22*DI23/1000</x:f>
      </x:c>
      <x:c r="DJ24" s="107" t="n">
        <x:f>DJ22*DJ23/1000</x:f>
      </x:c>
      <x:c r="DK24" s="107" t="n">
        <x:f>DK22*DK23/1000</x:f>
      </x:c>
      <x:c r="DL24" s="107" t="n">
        <x:f>DL22*DL23/1000</x:f>
      </x:c>
      <x:c r="DM24" s="107" t="n">
        <x:f>DM22*DM23/1000</x:f>
      </x:c>
      <x:c r="DN24" s="107" t="n">
        <x:f>DN22*DN23/1000</x:f>
      </x:c>
      <x:c r="DO24" s="107" t="n">
        <x:f>DO22*DO23/1000</x:f>
      </x:c>
      <x:c r="DP24" s="107" t="n">
        <x:f>DP22*DP23/1000</x:f>
      </x:c>
      <x:c r="DQ24" s="107" t="n">
        <x:f>DQ22*DQ23/1000</x:f>
      </x:c>
      <x:c r="DR24" s="107" t="n">
        <x:f>DR22*DR23/1000</x:f>
      </x:c>
      <x:c r="DS24" s="107" t="n">
        <x:f>DS22*DS23/1000</x:f>
      </x:c>
    </x:row>
    <x:row r="25">
      <x:c r="A25" t="str">
        <x:v>Поступления на эскроу</x:v>
      </x:c>
      <x:c r="B25" s="107" t="n">
        <x:f>SUM(D25:DS25)</x:f>
      </x:c>
      <x:c r="C25" t="str">
        <x:v>млн ₽</x:v>
      </x:c>
      <x:c r="D25" s="107" t="n">
        <x:f>IF(D$3&lt;$B$10,D24,0)</x:f>
      </x:c>
      <x:c r="E25" s="107" t="n">
        <x:f>IF(E$3&lt;$B$10,E24,0)</x:f>
      </x:c>
      <x:c r="F25" s="107" t="n">
        <x:f>IF(F$3&lt;$B$10,F24,0)</x:f>
      </x:c>
      <x:c r="G25" s="107" t="n">
        <x:f>IF(G$3&lt;$B$10,G24,0)</x:f>
      </x:c>
      <x:c r="H25" s="107" t="n">
        <x:f>IF(H$3&lt;$B$10,H24,0)</x:f>
      </x:c>
      <x:c r="I25" s="107" t="n">
        <x:f>IF(I$3&lt;$B$10,I24,0)</x:f>
      </x:c>
      <x:c r="J25" s="107" t="n">
        <x:f>IF(J$3&lt;$B$10,J24,0)</x:f>
      </x:c>
      <x:c r="K25" s="107" t="n">
        <x:f>IF(K$3&lt;$B$10,K24,0)</x:f>
      </x:c>
      <x:c r="L25" s="107" t="n">
        <x:f>IF(L$3&lt;$B$10,L24,0)</x:f>
      </x:c>
      <x:c r="M25" s="107" t="n">
        <x:f>IF(M$3&lt;$B$10,M24,0)</x:f>
      </x:c>
      <x:c r="N25" s="107" t="n">
        <x:f>IF(N$3&lt;$B$10,N24,0)</x:f>
      </x:c>
      <x:c r="O25" s="107" t="n">
        <x:f>IF(O$3&lt;$B$10,O24,0)</x:f>
      </x:c>
      <x:c r="P25" s="107" t="n">
        <x:f>IF(P$3&lt;$B$10,P24,0)</x:f>
      </x:c>
      <x:c r="Q25" s="107" t="n">
        <x:f>IF(Q$3&lt;$B$10,Q24,0)</x:f>
      </x:c>
      <x:c r="R25" s="107" t="n">
        <x:f>IF(R$3&lt;$B$10,R24,0)</x:f>
      </x:c>
      <x:c r="S25" s="107" t="n">
        <x:f>IF(S$3&lt;$B$10,S24,0)</x:f>
      </x:c>
      <x:c r="T25" s="107" t="n">
        <x:f>IF(T$3&lt;$B$10,T24,0)</x:f>
      </x:c>
      <x:c r="U25" s="107" t="n">
        <x:f>IF(U$3&lt;$B$10,U24,0)</x:f>
      </x:c>
      <x:c r="V25" s="107" t="n">
        <x:f>IF(V$3&lt;$B$10,V24,0)</x:f>
      </x:c>
      <x:c r="W25" s="107" t="n">
        <x:f>IF(W$3&lt;$B$10,W24,0)</x:f>
      </x:c>
      <x:c r="X25" s="107" t="n">
        <x:f>IF(X$3&lt;$B$10,X24,0)</x:f>
      </x:c>
      <x:c r="Y25" s="107" t="n">
        <x:f>IF(Y$3&lt;$B$10,Y24,0)</x:f>
      </x:c>
      <x:c r="Z25" s="107" t="n">
        <x:f>IF(Z$3&lt;$B$10,Z24,0)</x:f>
      </x:c>
      <x:c r="AA25" s="107" t="n">
        <x:f>IF(AA$3&lt;$B$10,AA24,0)</x:f>
      </x:c>
      <x:c r="AB25" s="107" t="n">
        <x:f>IF(AB$3&lt;$B$10,AB24,0)</x:f>
      </x:c>
      <x:c r="AC25" s="107" t="n">
        <x:f>IF(AC$3&lt;$B$10,AC24,0)</x:f>
      </x:c>
      <x:c r="AD25" s="107" t="n">
        <x:f>IF(AD$3&lt;$B$10,AD24,0)</x:f>
      </x:c>
      <x:c r="AE25" s="107" t="n">
        <x:f>IF(AE$3&lt;$B$10,AE24,0)</x:f>
      </x:c>
      <x:c r="AF25" s="107" t="n">
        <x:f>IF(AF$3&lt;$B$10,AF24,0)</x:f>
      </x:c>
      <x:c r="AG25" s="107" t="n">
        <x:f>IF(AG$3&lt;$B$10,AG24,0)</x:f>
      </x:c>
      <x:c r="AH25" s="107" t="n">
        <x:f>IF(AH$3&lt;$B$10,AH24,0)</x:f>
      </x:c>
      <x:c r="AI25" s="107" t="n">
        <x:f>IF(AI$3&lt;$B$10,AI24,0)</x:f>
      </x:c>
      <x:c r="AJ25" s="107" t="n">
        <x:f>IF(AJ$3&lt;$B$10,AJ24,0)</x:f>
      </x:c>
      <x:c r="AK25" s="107" t="n">
        <x:f>IF(AK$3&lt;$B$10,AK24,0)</x:f>
      </x:c>
      <x:c r="AL25" s="107" t="n">
        <x:f>IF(AL$3&lt;$B$10,AL24,0)</x:f>
      </x:c>
      <x:c r="AM25" s="107" t="n">
        <x:f>IF(AM$3&lt;$B$10,AM24,0)</x:f>
      </x:c>
      <x:c r="AN25" s="107" t="n">
        <x:f>IF(AN$3&lt;$B$10,AN24,0)</x:f>
      </x:c>
      <x:c r="AO25" s="107" t="n">
        <x:f>IF(AO$3&lt;$B$10,AO24,0)</x:f>
      </x:c>
      <x:c r="AP25" s="107" t="n">
        <x:f>IF(AP$3&lt;$B$10,AP24,0)</x:f>
      </x:c>
      <x:c r="AQ25" s="107" t="n">
        <x:f>IF(AQ$3&lt;$B$10,AQ24,0)</x:f>
      </x:c>
      <x:c r="AR25" s="107" t="n">
        <x:f>IF(AR$3&lt;$B$10,AR24,0)</x:f>
      </x:c>
      <x:c r="AS25" s="107" t="n">
        <x:f>IF(AS$3&lt;$B$10,AS24,0)</x:f>
      </x:c>
      <x:c r="AT25" s="107" t="n">
        <x:f>IF(AT$3&lt;$B$10,AT24,0)</x:f>
      </x:c>
      <x:c r="AU25" s="107" t="n">
        <x:f>IF(AU$3&lt;$B$10,AU24,0)</x:f>
      </x:c>
      <x:c r="AV25" s="107" t="n">
        <x:f>IF(AV$3&lt;$B$10,AV24,0)</x:f>
      </x:c>
      <x:c r="AW25" s="107" t="n">
        <x:f>IF(AW$3&lt;$B$10,AW24,0)</x:f>
      </x:c>
      <x:c r="AX25" s="107" t="n">
        <x:f>IF(AX$3&lt;$B$10,AX24,0)</x:f>
      </x:c>
      <x:c r="AY25" s="107" t="n">
        <x:f>IF(AY$3&lt;$B$10,AY24,0)</x:f>
      </x:c>
      <x:c r="AZ25" s="107" t="n">
        <x:f>IF(AZ$3&lt;$B$10,AZ24,0)</x:f>
      </x:c>
      <x:c r="BA25" s="107" t="n">
        <x:f>IF(BA$3&lt;$B$10,BA24,0)</x:f>
      </x:c>
      <x:c r="BB25" s="107" t="n">
        <x:f>IF(BB$3&lt;$B$10,BB24,0)</x:f>
      </x:c>
      <x:c r="BC25" s="107" t="n">
        <x:f>IF(BC$3&lt;$B$10,BC24,0)</x:f>
      </x:c>
      <x:c r="BD25" s="107" t="n">
        <x:f>IF(BD$3&lt;$B$10,BD24,0)</x:f>
      </x:c>
      <x:c r="BE25" s="107" t="n">
        <x:f>IF(BE$3&lt;$B$10,BE24,0)</x:f>
      </x:c>
      <x:c r="BF25" s="107" t="n">
        <x:f>IF(BF$3&lt;$B$10,BF24,0)</x:f>
      </x:c>
      <x:c r="BG25" s="107" t="n">
        <x:f>IF(BG$3&lt;$B$10,BG24,0)</x:f>
      </x:c>
      <x:c r="BH25" s="107" t="n">
        <x:f>IF(BH$3&lt;$B$10,BH24,0)</x:f>
      </x:c>
      <x:c r="BI25" s="107" t="n">
        <x:f>IF(BI$3&lt;$B$10,BI24,0)</x:f>
      </x:c>
      <x:c r="BJ25" s="107" t="n">
        <x:f>IF(BJ$3&lt;$B$10,BJ24,0)</x:f>
      </x:c>
      <x:c r="BK25" s="107" t="n">
        <x:f>IF(BK$3&lt;$B$10,BK24,0)</x:f>
      </x:c>
      <x:c r="BL25" s="107" t="n">
        <x:f>IF(BL$3&lt;$B$10,BL24,0)</x:f>
      </x:c>
      <x:c r="BM25" s="107" t="n">
        <x:f>IF(BM$3&lt;$B$10,BM24,0)</x:f>
      </x:c>
      <x:c r="BN25" s="107" t="n">
        <x:f>IF(BN$3&lt;$B$10,BN24,0)</x:f>
      </x:c>
      <x:c r="BO25" s="107" t="n">
        <x:f>IF(BO$3&lt;$B$10,BO24,0)</x:f>
      </x:c>
      <x:c r="BP25" s="107" t="n">
        <x:f>IF(BP$3&lt;$B$10,BP24,0)</x:f>
      </x:c>
      <x:c r="BQ25" s="107" t="n">
        <x:f>IF(BQ$3&lt;$B$10,BQ24,0)</x:f>
      </x:c>
      <x:c r="BR25" s="107" t="n">
        <x:f>IF(BR$3&lt;$B$10,BR24,0)</x:f>
      </x:c>
      <x:c r="BS25" s="107" t="n">
        <x:f>IF(BS$3&lt;$B$10,BS24,0)</x:f>
      </x:c>
      <x:c r="BT25" s="107" t="n">
        <x:f>IF(BT$3&lt;$B$10,BT24,0)</x:f>
      </x:c>
      <x:c r="BU25" s="107" t="n">
        <x:f>IF(BU$3&lt;$B$10,BU24,0)</x:f>
      </x:c>
      <x:c r="BV25" s="107" t="n">
        <x:f>IF(BV$3&lt;$B$10,BV24,0)</x:f>
      </x:c>
      <x:c r="BW25" s="107" t="n">
        <x:f>IF(BW$3&lt;$B$10,BW24,0)</x:f>
      </x:c>
      <x:c r="BX25" s="107" t="n">
        <x:f>IF(BX$3&lt;$B$10,BX24,0)</x:f>
      </x:c>
      <x:c r="BY25" s="107" t="n">
        <x:f>IF(BY$3&lt;$B$10,BY24,0)</x:f>
      </x:c>
      <x:c r="BZ25" s="107" t="n">
        <x:f>IF(BZ$3&lt;$B$10,BZ24,0)</x:f>
      </x:c>
      <x:c r="CA25" s="107" t="n">
        <x:f>IF(CA$3&lt;$B$10,CA24,0)</x:f>
      </x:c>
      <x:c r="CB25" s="107" t="n">
        <x:f>IF(CB$3&lt;$B$10,CB24,0)</x:f>
      </x:c>
      <x:c r="CC25" s="107" t="n">
        <x:f>IF(CC$3&lt;$B$10,CC24,0)</x:f>
      </x:c>
      <x:c r="CD25" s="107" t="n">
        <x:f>IF(CD$3&lt;$B$10,CD24,0)</x:f>
      </x:c>
      <x:c r="CE25" s="107" t="n">
        <x:f>IF(CE$3&lt;$B$10,CE24,0)</x:f>
      </x:c>
      <x:c r="CF25" s="107" t="n">
        <x:f>IF(CF$3&lt;$B$10,CF24,0)</x:f>
      </x:c>
      <x:c r="CG25" s="107" t="n">
        <x:f>IF(CG$3&lt;$B$10,CG24,0)</x:f>
      </x:c>
      <x:c r="CH25" s="107" t="n">
        <x:f>IF(CH$3&lt;$B$10,CH24,0)</x:f>
      </x:c>
      <x:c r="CI25" s="107" t="n">
        <x:f>IF(CI$3&lt;$B$10,CI24,0)</x:f>
      </x:c>
      <x:c r="CJ25" s="107" t="n">
        <x:f>IF(CJ$3&lt;$B$10,CJ24,0)</x:f>
      </x:c>
      <x:c r="CK25" s="107" t="n">
        <x:f>IF(CK$3&lt;$B$10,CK24,0)</x:f>
      </x:c>
      <x:c r="CL25" s="107" t="n">
        <x:f>IF(CL$3&lt;$B$10,CL24,0)</x:f>
      </x:c>
      <x:c r="CM25" s="107" t="n">
        <x:f>IF(CM$3&lt;$B$10,CM24,0)</x:f>
      </x:c>
      <x:c r="CN25" s="107" t="n">
        <x:f>IF(CN$3&lt;$B$10,CN24,0)</x:f>
      </x:c>
      <x:c r="CO25" s="107" t="n">
        <x:f>IF(CO$3&lt;$B$10,CO24,0)</x:f>
      </x:c>
      <x:c r="CP25" s="107" t="n">
        <x:f>IF(CP$3&lt;$B$10,CP24,0)</x:f>
      </x:c>
      <x:c r="CQ25" s="107" t="n">
        <x:f>IF(CQ$3&lt;$B$10,CQ24,0)</x:f>
      </x:c>
      <x:c r="CR25" s="107" t="n">
        <x:f>IF(CR$3&lt;$B$10,CR24,0)</x:f>
      </x:c>
      <x:c r="CS25" s="107" t="n">
        <x:f>IF(CS$3&lt;$B$10,CS24,0)</x:f>
      </x:c>
      <x:c r="CT25" s="107" t="n">
        <x:f>IF(CT$3&lt;$B$10,CT24,0)</x:f>
      </x:c>
      <x:c r="CU25" s="107" t="n">
        <x:f>IF(CU$3&lt;$B$10,CU24,0)</x:f>
      </x:c>
      <x:c r="CV25" s="107" t="n">
        <x:f>IF(CV$3&lt;$B$10,CV24,0)</x:f>
      </x:c>
      <x:c r="CW25" s="107" t="n">
        <x:f>IF(CW$3&lt;$B$10,CW24,0)</x:f>
      </x:c>
      <x:c r="CX25" s="107" t="n">
        <x:f>IF(CX$3&lt;$B$10,CX24,0)</x:f>
      </x:c>
      <x:c r="CY25" s="107" t="n">
        <x:f>IF(CY$3&lt;$B$10,CY24,0)</x:f>
      </x:c>
      <x:c r="CZ25" s="107" t="n">
        <x:f>IF(CZ$3&lt;$B$10,CZ24,0)</x:f>
      </x:c>
      <x:c r="DA25" s="107" t="n">
        <x:f>IF(DA$3&lt;$B$10,DA24,0)</x:f>
      </x:c>
      <x:c r="DB25" s="107" t="n">
        <x:f>IF(DB$3&lt;$B$10,DB24,0)</x:f>
      </x:c>
      <x:c r="DC25" s="107" t="n">
        <x:f>IF(DC$3&lt;$B$10,DC24,0)</x:f>
      </x:c>
      <x:c r="DD25" s="107" t="n">
        <x:f>IF(DD$3&lt;$B$10,DD24,0)</x:f>
      </x:c>
      <x:c r="DE25" s="107" t="n">
        <x:f>IF(DE$3&lt;$B$10,DE24,0)</x:f>
      </x:c>
      <x:c r="DF25" s="107" t="n">
        <x:f>IF(DF$3&lt;$B$10,DF24,0)</x:f>
      </x:c>
      <x:c r="DG25" s="107" t="n">
        <x:f>IF(DG$3&lt;$B$10,DG24,0)</x:f>
      </x:c>
      <x:c r="DH25" s="107" t="n">
        <x:f>IF(DH$3&lt;$B$10,DH24,0)</x:f>
      </x:c>
      <x:c r="DI25" s="107" t="n">
        <x:f>IF(DI$3&lt;$B$10,DI24,0)</x:f>
      </x:c>
      <x:c r="DJ25" s="107" t="n">
        <x:f>IF(DJ$3&lt;$B$10,DJ24,0)</x:f>
      </x:c>
      <x:c r="DK25" s="107" t="n">
        <x:f>IF(DK$3&lt;$B$10,DK24,0)</x:f>
      </x:c>
      <x:c r="DL25" s="107" t="n">
        <x:f>IF(DL$3&lt;$B$10,DL24,0)</x:f>
      </x:c>
      <x:c r="DM25" s="107" t="n">
        <x:f>IF(DM$3&lt;$B$10,DM24,0)</x:f>
      </x:c>
      <x:c r="DN25" s="107" t="n">
        <x:f>IF(DN$3&lt;$B$10,DN24,0)</x:f>
      </x:c>
      <x:c r="DO25" s="107" t="n">
        <x:f>IF(DO$3&lt;$B$10,DO24,0)</x:f>
      </x:c>
      <x:c r="DP25" s="107" t="n">
        <x:f>IF(DP$3&lt;$B$10,DP24,0)</x:f>
      </x:c>
      <x:c r="DQ25" s="107" t="n">
        <x:f>IF(DQ$3&lt;$B$10,DQ24,0)</x:f>
      </x:c>
      <x:c r="DR25" s="107" t="n">
        <x:f>IF(DR$3&lt;$B$10,DR24,0)</x:f>
      </x:c>
      <x:c r="DS25" s="107" t="n">
        <x:f>IF(DS$3&lt;$B$10,DS24,0)</x:f>
      </x:c>
    </x:row>
    <x:row r="26">
      <x:c r="A26" t="str">
        <x:v>Прямые поступления после РВЭ</x:v>
      </x:c>
      <x:c r="B26" s="107" t="n">
        <x:f>SUM(D26:DS26)</x:f>
      </x:c>
      <x:c r="C26" t="str">
        <x:v>млн ₽</x:v>
      </x:c>
      <x:c r="D26" s="107" t="n">
        <x:f>IF(D$3&gt;=$B$10,D24,0)</x:f>
      </x:c>
      <x:c r="E26" s="107" t="n">
        <x:f>IF(E$3&gt;=$B$10,E24,0)</x:f>
      </x:c>
      <x:c r="F26" s="107" t="n">
        <x:f>IF(F$3&gt;=$B$10,F24,0)</x:f>
      </x:c>
      <x:c r="G26" s="107" t="n">
        <x:f>IF(G$3&gt;=$B$10,G24,0)</x:f>
      </x:c>
      <x:c r="H26" s="107" t="n">
        <x:f>IF(H$3&gt;=$B$10,H24,0)</x:f>
      </x:c>
      <x:c r="I26" s="107" t="n">
        <x:f>IF(I$3&gt;=$B$10,I24,0)</x:f>
      </x:c>
      <x:c r="J26" s="107" t="n">
        <x:f>IF(J$3&gt;=$B$10,J24,0)</x:f>
      </x:c>
      <x:c r="K26" s="107" t="n">
        <x:f>IF(K$3&gt;=$B$10,K24,0)</x:f>
      </x:c>
      <x:c r="L26" s="107" t="n">
        <x:f>IF(L$3&gt;=$B$10,L24,0)</x:f>
      </x:c>
      <x:c r="M26" s="107" t="n">
        <x:f>IF(M$3&gt;=$B$10,M24,0)</x:f>
      </x:c>
      <x:c r="N26" s="107" t="n">
        <x:f>IF(N$3&gt;=$B$10,N24,0)</x:f>
      </x:c>
      <x:c r="O26" s="107" t="n">
        <x:f>IF(O$3&gt;=$B$10,O24,0)</x:f>
      </x:c>
      <x:c r="P26" s="107" t="n">
        <x:f>IF(P$3&gt;=$B$10,P24,0)</x:f>
      </x:c>
      <x:c r="Q26" s="107" t="n">
        <x:f>IF(Q$3&gt;=$B$10,Q24,0)</x:f>
      </x:c>
      <x:c r="R26" s="107" t="n">
        <x:f>IF(R$3&gt;=$B$10,R24,0)</x:f>
      </x:c>
      <x:c r="S26" s="107" t="n">
        <x:f>IF(S$3&gt;=$B$10,S24,0)</x:f>
      </x:c>
      <x:c r="T26" s="107" t="n">
        <x:f>IF(T$3&gt;=$B$10,T24,0)</x:f>
      </x:c>
      <x:c r="U26" s="107" t="n">
        <x:f>IF(U$3&gt;=$B$10,U24,0)</x:f>
      </x:c>
      <x:c r="V26" s="107" t="n">
        <x:f>IF(V$3&gt;=$B$10,V24,0)</x:f>
      </x:c>
      <x:c r="W26" s="107" t="n">
        <x:f>IF(W$3&gt;=$B$10,W24,0)</x:f>
      </x:c>
      <x:c r="X26" s="107" t="n">
        <x:f>IF(X$3&gt;=$B$10,X24,0)</x:f>
      </x:c>
      <x:c r="Y26" s="107" t="n">
        <x:f>IF(Y$3&gt;=$B$10,Y24,0)</x:f>
      </x:c>
      <x:c r="Z26" s="107" t="n">
        <x:f>IF(Z$3&gt;=$B$10,Z24,0)</x:f>
      </x:c>
      <x:c r="AA26" s="107" t="n">
        <x:f>IF(AA$3&gt;=$B$10,AA24,0)</x:f>
      </x:c>
      <x:c r="AB26" s="107" t="n">
        <x:f>IF(AB$3&gt;=$B$10,AB24,0)</x:f>
      </x:c>
      <x:c r="AC26" s="107" t="n">
        <x:f>IF(AC$3&gt;=$B$10,AC24,0)</x:f>
      </x:c>
      <x:c r="AD26" s="107" t="n">
        <x:f>IF(AD$3&gt;=$B$10,AD24,0)</x:f>
      </x:c>
      <x:c r="AE26" s="107" t="n">
        <x:f>IF(AE$3&gt;=$B$10,AE24,0)</x:f>
      </x:c>
      <x:c r="AF26" s="107" t="n">
        <x:f>IF(AF$3&gt;=$B$10,AF24,0)</x:f>
      </x:c>
      <x:c r="AG26" s="107" t="n">
        <x:f>IF(AG$3&gt;=$B$10,AG24,0)</x:f>
      </x:c>
      <x:c r="AH26" s="107" t="n">
        <x:f>IF(AH$3&gt;=$B$10,AH24,0)</x:f>
      </x:c>
      <x:c r="AI26" s="107" t="n">
        <x:f>IF(AI$3&gt;=$B$10,AI24,0)</x:f>
      </x:c>
      <x:c r="AJ26" s="107" t="n">
        <x:f>IF(AJ$3&gt;=$B$10,AJ24,0)</x:f>
      </x:c>
      <x:c r="AK26" s="107" t="n">
        <x:f>IF(AK$3&gt;=$B$10,AK24,0)</x:f>
      </x:c>
      <x:c r="AL26" s="107" t="n">
        <x:f>IF(AL$3&gt;=$B$10,AL24,0)</x:f>
      </x:c>
      <x:c r="AM26" s="107" t="n">
        <x:f>IF(AM$3&gt;=$B$10,AM24,0)</x:f>
      </x:c>
      <x:c r="AN26" s="107" t="n">
        <x:f>IF(AN$3&gt;=$B$10,AN24,0)</x:f>
      </x:c>
      <x:c r="AO26" s="107" t="n">
        <x:f>IF(AO$3&gt;=$B$10,AO24,0)</x:f>
      </x:c>
      <x:c r="AP26" s="107" t="n">
        <x:f>IF(AP$3&gt;=$B$10,AP24,0)</x:f>
      </x:c>
      <x:c r="AQ26" s="107" t="n">
        <x:f>IF(AQ$3&gt;=$B$10,AQ24,0)</x:f>
      </x:c>
      <x:c r="AR26" s="107" t="n">
        <x:f>IF(AR$3&gt;=$B$10,AR24,0)</x:f>
      </x:c>
      <x:c r="AS26" s="107" t="n">
        <x:f>IF(AS$3&gt;=$B$10,AS24,0)</x:f>
      </x:c>
      <x:c r="AT26" s="107" t="n">
        <x:f>IF(AT$3&gt;=$B$10,AT24,0)</x:f>
      </x:c>
      <x:c r="AU26" s="107" t="n">
        <x:f>IF(AU$3&gt;=$B$10,AU24,0)</x:f>
      </x:c>
      <x:c r="AV26" s="107" t="n">
        <x:f>IF(AV$3&gt;=$B$10,AV24,0)</x:f>
      </x:c>
      <x:c r="AW26" s="107" t="n">
        <x:f>IF(AW$3&gt;=$B$10,AW24,0)</x:f>
      </x:c>
      <x:c r="AX26" s="107" t="n">
        <x:f>IF(AX$3&gt;=$B$10,AX24,0)</x:f>
      </x:c>
      <x:c r="AY26" s="107" t="n">
        <x:f>IF(AY$3&gt;=$B$10,AY24,0)</x:f>
      </x:c>
      <x:c r="AZ26" s="107" t="n">
        <x:f>IF(AZ$3&gt;=$B$10,AZ24,0)</x:f>
      </x:c>
      <x:c r="BA26" s="107" t="n">
        <x:f>IF(BA$3&gt;=$B$10,BA24,0)</x:f>
      </x:c>
      <x:c r="BB26" s="107" t="n">
        <x:f>IF(BB$3&gt;=$B$10,BB24,0)</x:f>
      </x:c>
      <x:c r="BC26" s="107" t="n">
        <x:f>IF(BC$3&gt;=$B$10,BC24,0)</x:f>
      </x:c>
      <x:c r="BD26" s="107" t="n">
        <x:f>IF(BD$3&gt;=$B$10,BD24,0)</x:f>
      </x:c>
      <x:c r="BE26" s="107" t="n">
        <x:f>IF(BE$3&gt;=$B$10,BE24,0)</x:f>
      </x:c>
      <x:c r="BF26" s="107" t="n">
        <x:f>IF(BF$3&gt;=$B$10,BF24,0)</x:f>
      </x:c>
      <x:c r="BG26" s="107" t="n">
        <x:f>IF(BG$3&gt;=$B$10,BG24,0)</x:f>
      </x:c>
      <x:c r="BH26" s="107" t="n">
        <x:f>IF(BH$3&gt;=$B$10,BH24,0)</x:f>
      </x:c>
      <x:c r="BI26" s="107" t="n">
        <x:f>IF(BI$3&gt;=$B$10,BI24,0)</x:f>
      </x:c>
      <x:c r="BJ26" s="107" t="n">
        <x:f>IF(BJ$3&gt;=$B$10,BJ24,0)</x:f>
      </x:c>
      <x:c r="BK26" s="107" t="n">
        <x:f>IF(BK$3&gt;=$B$10,BK24,0)</x:f>
      </x:c>
      <x:c r="BL26" s="107" t="n">
        <x:f>IF(BL$3&gt;=$B$10,BL24,0)</x:f>
      </x:c>
      <x:c r="BM26" s="107" t="n">
        <x:f>IF(BM$3&gt;=$B$10,BM24,0)</x:f>
      </x:c>
      <x:c r="BN26" s="107" t="n">
        <x:f>IF(BN$3&gt;=$B$10,BN24,0)</x:f>
      </x:c>
      <x:c r="BO26" s="107" t="n">
        <x:f>IF(BO$3&gt;=$B$10,BO24,0)</x:f>
      </x:c>
      <x:c r="BP26" s="107" t="n">
        <x:f>IF(BP$3&gt;=$B$10,BP24,0)</x:f>
      </x:c>
      <x:c r="BQ26" s="107" t="n">
        <x:f>IF(BQ$3&gt;=$B$10,BQ24,0)</x:f>
      </x:c>
      <x:c r="BR26" s="107" t="n">
        <x:f>IF(BR$3&gt;=$B$10,BR24,0)</x:f>
      </x:c>
      <x:c r="BS26" s="107" t="n">
        <x:f>IF(BS$3&gt;=$B$10,BS24,0)</x:f>
      </x:c>
      <x:c r="BT26" s="107" t="n">
        <x:f>IF(BT$3&gt;=$B$10,BT24,0)</x:f>
      </x:c>
      <x:c r="BU26" s="107" t="n">
        <x:f>IF(BU$3&gt;=$B$10,BU24,0)</x:f>
      </x:c>
      <x:c r="BV26" s="107" t="n">
        <x:f>IF(BV$3&gt;=$B$10,BV24,0)</x:f>
      </x:c>
      <x:c r="BW26" s="107" t="n">
        <x:f>IF(BW$3&gt;=$B$10,BW24,0)</x:f>
      </x:c>
      <x:c r="BX26" s="107" t="n">
        <x:f>IF(BX$3&gt;=$B$10,BX24,0)</x:f>
      </x:c>
      <x:c r="BY26" s="107" t="n">
        <x:f>IF(BY$3&gt;=$B$10,BY24,0)</x:f>
      </x:c>
      <x:c r="BZ26" s="107" t="n">
        <x:f>IF(BZ$3&gt;=$B$10,BZ24,0)</x:f>
      </x:c>
      <x:c r="CA26" s="107" t="n">
        <x:f>IF(CA$3&gt;=$B$10,CA24,0)</x:f>
      </x:c>
      <x:c r="CB26" s="107" t="n">
        <x:f>IF(CB$3&gt;=$B$10,CB24,0)</x:f>
      </x:c>
      <x:c r="CC26" s="107" t="n">
        <x:f>IF(CC$3&gt;=$B$10,CC24,0)</x:f>
      </x:c>
      <x:c r="CD26" s="107" t="n">
        <x:f>IF(CD$3&gt;=$B$10,CD24,0)</x:f>
      </x:c>
      <x:c r="CE26" s="107" t="n">
        <x:f>IF(CE$3&gt;=$B$10,CE24,0)</x:f>
      </x:c>
      <x:c r="CF26" s="107" t="n">
        <x:f>IF(CF$3&gt;=$B$10,CF24,0)</x:f>
      </x:c>
      <x:c r="CG26" s="107" t="n">
        <x:f>IF(CG$3&gt;=$B$10,CG24,0)</x:f>
      </x:c>
      <x:c r="CH26" s="107" t="n">
        <x:f>IF(CH$3&gt;=$B$10,CH24,0)</x:f>
      </x:c>
      <x:c r="CI26" s="107" t="n">
        <x:f>IF(CI$3&gt;=$B$10,CI24,0)</x:f>
      </x:c>
      <x:c r="CJ26" s="107" t="n">
        <x:f>IF(CJ$3&gt;=$B$10,CJ24,0)</x:f>
      </x:c>
      <x:c r="CK26" s="107" t="n">
        <x:f>IF(CK$3&gt;=$B$10,CK24,0)</x:f>
      </x:c>
      <x:c r="CL26" s="107" t="n">
        <x:f>IF(CL$3&gt;=$B$10,CL24,0)</x:f>
      </x:c>
      <x:c r="CM26" s="107" t="n">
        <x:f>IF(CM$3&gt;=$B$10,CM24,0)</x:f>
      </x:c>
      <x:c r="CN26" s="107" t="n">
        <x:f>IF(CN$3&gt;=$B$10,CN24,0)</x:f>
      </x:c>
      <x:c r="CO26" s="107" t="n">
        <x:f>IF(CO$3&gt;=$B$10,CO24,0)</x:f>
      </x:c>
      <x:c r="CP26" s="107" t="n">
        <x:f>IF(CP$3&gt;=$B$10,CP24,0)</x:f>
      </x:c>
      <x:c r="CQ26" s="107" t="n">
        <x:f>IF(CQ$3&gt;=$B$10,CQ24,0)</x:f>
      </x:c>
      <x:c r="CR26" s="107" t="n">
        <x:f>IF(CR$3&gt;=$B$10,CR24,0)</x:f>
      </x:c>
      <x:c r="CS26" s="107" t="n">
        <x:f>IF(CS$3&gt;=$B$10,CS24,0)</x:f>
      </x:c>
      <x:c r="CT26" s="107" t="n">
        <x:f>IF(CT$3&gt;=$B$10,CT24,0)</x:f>
      </x:c>
      <x:c r="CU26" s="107" t="n">
        <x:f>IF(CU$3&gt;=$B$10,CU24,0)</x:f>
      </x:c>
      <x:c r="CV26" s="107" t="n">
        <x:f>IF(CV$3&gt;=$B$10,CV24,0)</x:f>
      </x:c>
      <x:c r="CW26" s="107" t="n">
        <x:f>IF(CW$3&gt;=$B$10,CW24,0)</x:f>
      </x:c>
      <x:c r="CX26" s="107" t="n">
        <x:f>IF(CX$3&gt;=$B$10,CX24,0)</x:f>
      </x:c>
      <x:c r="CY26" s="107" t="n">
        <x:f>IF(CY$3&gt;=$B$10,CY24,0)</x:f>
      </x:c>
      <x:c r="CZ26" s="107" t="n">
        <x:f>IF(CZ$3&gt;=$B$10,CZ24,0)</x:f>
      </x:c>
      <x:c r="DA26" s="107" t="n">
        <x:f>IF(DA$3&gt;=$B$10,DA24,0)</x:f>
      </x:c>
      <x:c r="DB26" s="107" t="n">
        <x:f>IF(DB$3&gt;=$B$10,DB24,0)</x:f>
      </x:c>
      <x:c r="DC26" s="107" t="n">
        <x:f>IF(DC$3&gt;=$B$10,DC24,0)</x:f>
      </x:c>
      <x:c r="DD26" s="107" t="n">
        <x:f>IF(DD$3&gt;=$B$10,DD24,0)</x:f>
      </x:c>
      <x:c r="DE26" s="107" t="n">
        <x:f>IF(DE$3&gt;=$B$10,DE24,0)</x:f>
      </x:c>
      <x:c r="DF26" s="107" t="n">
        <x:f>IF(DF$3&gt;=$B$10,DF24,0)</x:f>
      </x:c>
      <x:c r="DG26" s="107" t="n">
        <x:f>IF(DG$3&gt;=$B$10,DG24,0)</x:f>
      </x:c>
      <x:c r="DH26" s="107" t="n">
        <x:f>IF(DH$3&gt;=$B$10,DH24,0)</x:f>
      </x:c>
      <x:c r="DI26" s="107" t="n">
        <x:f>IF(DI$3&gt;=$B$10,DI24,0)</x:f>
      </x:c>
      <x:c r="DJ26" s="107" t="n">
        <x:f>IF(DJ$3&gt;=$B$10,DJ24,0)</x:f>
      </x:c>
      <x:c r="DK26" s="107" t="n">
        <x:f>IF(DK$3&gt;=$B$10,DK24,0)</x:f>
      </x:c>
      <x:c r="DL26" s="107" t="n">
        <x:f>IF(DL$3&gt;=$B$10,DL24,0)</x:f>
      </x:c>
      <x:c r="DM26" s="107" t="n">
        <x:f>IF(DM$3&gt;=$B$10,DM24,0)</x:f>
      </x:c>
      <x:c r="DN26" s="107" t="n">
        <x:f>IF(DN$3&gt;=$B$10,DN24,0)</x:f>
      </x:c>
      <x:c r="DO26" s="107" t="n">
        <x:f>IF(DO$3&gt;=$B$10,DO24,0)</x:f>
      </x:c>
      <x:c r="DP26" s="107" t="n">
        <x:f>IF(DP$3&gt;=$B$10,DP24,0)</x:f>
      </x:c>
      <x:c r="DQ26" s="107" t="n">
        <x:f>IF(DQ$3&gt;=$B$10,DQ24,0)</x:f>
      </x:c>
      <x:c r="DR26" s="107" t="n">
        <x:f>IF(DR$3&gt;=$B$10,DR24,0)</x:f>
      </x:c>
      <x:c r="DS26" s="107" t="n">
        <x:f>IF(DS$3&gt;=$B$10,DS24,0)</x:f>
      </x:c>
    </x:row>
    <x:row r="27">
      <x:c r="A27" t="str">
        <x:v>Раскрытие эскроу</x:v>
      </x:c>
      <x:c r="B27" s="107" t="n">
        <x:f>SUM(D27:DS27)</x:f>
      </x:c>
      <x:c r="C27" t="str">
        <x:v>млн ₽</x:v>
      </x:c>
      <x:c r="D27" s="107" t="n">
        <x:f>IF(AND(YEAR(D$3)=YEAR($B$10),MONTH(D$3)=MONTH($B$10),AND($B$7="Да",IFERROR(INDEX('Вводные'!$B$88:$B$91,$B$8),"Нет")="Да")),MAX(0,SUM($D25:D25)-D25),0)</x:f>
      </x:c>
      <x:c r="E27" s="107" t="n">
        <x:f>IF(AND(YEAR(E$3)=YEAR($B$10),MONTH(E$3)=MONTH($B$10),AND($B$7="Да",IFERROR(INDEX('Вводные'!$B$88:$B$91,$B$8),"Нет")="Да")),MAX(0,SUM($D25:E25)-E25),0)</x:f>
      </x:c>
      <x:c r="F27" s="107" t="n">
        <x:f>IF(AND(YEAR(F$3)=YEAR($B$10),MONTH(F$3)=MONTH($B$10),AND($B$7="Да",IFERROR(INDEX('Вводные'!$B$88:$B$91,$B$8),"Нет")="Да")),MAX(0,SUM($D25:F25)-F25),0)</x:f>
      </x:c>
      <x:c r="G27" s="107" t="n">
        <x:f>IF(AND(YEAR(G$3)=YEAR($B$10),MONTH(G$3)=MONTH($B$10),AND($B$7="Да",IFERROR(INDEX('Вводные'!$B$88:$B$91,$B$8),"Нет")="Да")),MAX(0,SUM($D25:G25)-G25),0)</x:f>
      </x:c>
      <x:c r="H27" s="107" t="n">
        <x:f>IF(AND(YEAR(H$3)=YEAR($B$10),MONTH(H$3)=MONTH($B$10),AND($B$7="Да",IFERROR(INDEX('Вводные'!$B$88:$B$91,$B$8),"Нет")="Да")),MAX(0,SUM($D25:H25)-H25),0)</x:f>
      </x:c>
      <x:c r="I27" s="107" t="n">
        <x:f>IF(AND(YEAR(I$3)=YEAR($B$10),MONTH(I$3)=MONTH($B$10),AND($B$7="Да",IFERROR(INDEX('Вводные'!$B$88:$B$91,$B$8),"Нет")="Да")),MAX(0,SUM($D25:I25)-I25),0)</x:f>
      </x:c>
      <x:c r="J27" s="107" t="n">
        <x:f>IF(AND(YEAR(J$3)=YEAR($B$10),MONTH(J$3)=MONTH($B$10),AND($B$7="Да",IFERROR(INDEX('Вводные'!$B$88:$B$91,$B$8),"Нет")="Да")),MAX(0,SUM($D25:J25)-J25),0)</x:f>
      </x:c>
      <x:c r="K27" s="107" t="n">
        <x:f>IF(AND(YEAR(K$3)=YEAR($B$10),MONTH(K$3)=MONTH($B$10),AND($B$7="Да",IFERROR(INDEX('Вводные'!$B$88:$B$91,$B$8),"Нет")="Да")),MAX(0,SUM($D25:K25)-K25),0)</x:f>
      </x:c>
      <x:c r="L27" s="107" t="n">
        <x:f>IF(AND(YEAR(L$3)=YEAR($B$10),MONTH(L$3)=MONTH($B$10),AND($B$7="Да",IFERROR(INDEX('Вводные'!$B$88:$B$91,$B$8),"Нет")="Да")),MAX(0,SUM($D25:L25)-L25),0)</x:f>
      </x:c>
      <x:c r="M27" s="107" t="n">
        <x:f>IF(AND(YEAR(M$3)=YEAR($B$10),MONTH(M$3)=MONTH($B$10),AND($B$7="Да",IFERROR(INDEX('Вводные'!$B$88:$B$91,$B$8),"Нет")="Да")),MAX(0,SUM($D25:M25)-M25),0)</x:f>
      </x:c>
      <x:c r="N27" s="107" t="n">
        <x:f>IF(AND(YEAR(N$3)=YEAR($B$10),MONTH(N$3)=MONTH($B$10),AND($B$7="Да",IFERROR(INDEX('Вводные'!$B$88:$B$91,$B$8),"Нет")="Да")),MAX(0,SUM($D25:N25)-N25),0)</x:f>
      </x:c>
      <x:c r="O27" s="107" t="n">
        <x:f>IF(AND(YEAR(O$3)=YEAR($B$10),MONTH(O$3)=MONTH($B$10),AND($B$7="Да",IFERROR(INDEX('Вводные'!$B$88:$B$91,$B$8),"Нет")="Да")),MAX(0,SUM($D25:O25)-O25),0)</x:f>
      </x:c>
      <x:c r="P27" s="107" t="n">
        <x:f>IF(AND(YEAR(P$3)=YEAR($B$10),MONTH(P$3)=MONTH($B$10),AND($B$7="Да",IFERROR(INDEX('Вводные'!$B$88:$B$91,$B$8),"Нет")="Да")),MAX(0,SUM($D25:P25)-P25),0)</x:f>
      </x:c>
      <x:c r="Q27" s="107" t="n">
        <x:f>IF(AND(YEAR(Q$3)=YEAR($B$10),MONTH(Q$3)=MONTH($B$10),AND($B$7="Да",IFERROR(INDEX('Вводные'!$B$88:$B$91,$B$8),"Нет")="Да")),MAX(0,SUM($D25:Q25)-Q25),0)</x:f>
      </x:c>
      <x:c r="R27" s="107" t="n">
        <x:f>IF(AND(YEAR(R$3)=YEAR($B$10),MONTH(R$3)=MONTH($B$10),AND($B$7="Да",IFERROR(INDEX('Вводные'!$B$88:$B$91,$B$8),"Нет")="Да")),MAX(0,SUM($D25:R25)-R25),0)</x:f>
      </x:c>
      <x:c r="S27" s="107" t="n">
        <x:f>IF(AND(YEAR(S$3)=YEAR($B$10),MONTH(S$3)=MONTH($B$10),AND($B$7="Да",IFERROR(INDEX('Вводные'!$B$88:$B$91,$B$8),"Нет")="Да")),MAX(0,SUM($D25:S25)-S25),0)</x:f>
      </x:c>
      <x:c r="T27" s="107" t="n">
        <x:f>IF(AND(YEAR(T$3)=YEAR($B$10),MONTH(T$3)=MONTH($B$10),AND($B$7="Да",IFERROR(INDEX('Вводные'!$B$88:$B$91,$B$8),"Нет")="Да")),MAX(0,SUM($D25:T25)-T25),0)</x:f>
      </x:c>
      <x:c r="U27" s="107" t="n">
        <x:f>IF(AND(YEAR(U$3)=YEAR($B$10),MONTH(U$3)=MONTH($B$10),AND($B$7="Да",IFERROR(INDEX('Вводные'!$B$88:$B$91,$B$8),"Нет")="Да")),MAX(0,SUM($D25:U25)-U25),0)</x:f>
      </x:c>
      <x:c r="V27" s="107" t="n">
        <x:f>IF(AND(YEAR(V$3)=YEAR($B$10),MONTH(V$3)=MONTH($B$10),AND($B$7="Да",IFERROR(INDEX('Вводные'!$B$88:$B$91,$B$8),"Нет")="Да")),MAX(0,SUM($D25:V25)-V25),0)</x:f>
      </x:c>
      <x:c r="W27" s="107" t="n">
        <x:f>IF(AND(YEAR(W$3)=YEAR($B$10),MONTH(W$3)=MONTH($B$10),AND($B$7="Да",IFERROR(INDEX('Вводные'!$B$88:$B$91,$B$8),"Нет")="Да")),MAX(0,SUM($D25:W25)-W25),0)</x:f>
      </x:c>
      <x:c r="X27" s="107" t="n">
        <x:f>IF(AND(YEAR(X$3)=YEAR($B$10),MONTH(X$3)=MONTH($B$10),AND($B$7="Да",IFERROR(INDEX('Вводные'!$B$88:$B$91,$B$8),"Нет")="Да")),MAX(0,SUM($D25:X25)-X25),0)</x:f>
      </x:c>
      <x:c r="Y27" s="107" t="n">
        <x:f>IF(AND(YEAR(Y$3)=YEAR($B$10),MONTH(Y$3)=MONTH($B$10),AND($B$7="Да",IFERROR(INDEX('Вводные'!$B$88:$B$91,$B$8),"Нет")="Да")),MAX(0,SUM($D25:Y25)-Y25),0)</x:f>
      </x:c>
      <x:c r="Z27" s="107" t="n">
        <x:f>IF(AND(YEAR(Z$3)=YEAR($B$10),MONTH(Z$3)=MONTH($B$10),AND($B$7="Да",IFERROR(INDEX('Вводные'!$B$88:$B$91,$B$8),"Нет")="Да")),MAX(0,SUM($D25:Z25)-Z25),0)</x:f>
      </x:c>
      <x:c r="AA27" s="107" t="n">
        <x:f>IF(AND(YEAR(AA$3)=YEAR($B$10),MONTH(AA$3)=MONTH($B$10),AND($B$7="Да",IFERROR(INDEX('Вводные'!$B$88:$B$91,$B$8),"Нет")="Да")),MAX(0,SUM($D25:AA25)-AA25),0)</x:f>
      </x:c>
      <x:c r="AB27" s="107" t="n">
        <x:f>IF(AND(YEAR(AB$3)=YEAR($B$10),MONTH(AB$3)=MONTH($B$10),AND($B$7="Да",IFERROR(INDEX('Вводные'!$B$88:$B$91,$B$8),"Нет")="Да")),MAX(0,SUM($D25:AB25)-AB25),0)</x:f>
      </x:c>
      <x:c r="AC27" s="107" t="n">
        <x:f>IF(AND(YEAR(AC$3)=YEAR($B$10),MONTH(AC$3)=MONTH($B$10),AND($B$7="Да",IFERROR(INDEX('Вводные'!$B$88:$B$91,$B$8),"Нет")="Да")),MAX(0,SUM($D25:AC25)-AC25),0)</x:f>
      </x:c>
      <x:c r="AD27" s="107" t="n">
        <x:f>IF(AND(YEAR(AD$3)=YEAR($B$10),MONTH(AD$3)=MONTH($B$10),AND($B$7="Да",IFERROR(INDEX('Вводные'!$B$88:$B$91,$B$8),"Нет")="Да")),MAX(0,SUM($D25:AD25)-AD25),0)</x:f>
      </x:c>
      <x:c r="AE27" s="107" t="n">
        <x:f>IF(AND(YEAR(AE$3)=YEAR($B$10),MONTH(AE$3)=MONTH($B$10),AND($B$7="Да",IFERROR(INDEX('Вводные'!$B$88:$B$91,$B$8),"Нет")="Да")),MAX(0,SUM($D25:AE25)-AE25),0)</x:f>
      </x:c>
      <x:c r="AF27" s="107" t="n">
        <x:f>IF(AND(YEAR(AF$3)=YEAR($B$10),MONTH(AF$3)=MONTH($B$10),AND($B$7="Да",IFERROR(INDEX('Вводные'!$B$88:$B$91,$B$8),"Нет")="Да")),MAX(0,SUM($D25:AF25)-AF25),0)</x:f>
      </x:c>
      <x:c r="AG27" s="107" t="n">
        <x:f>IF(AND(YEAR(AG$3)=YEAR($B$10),MONTH(AG$3)=MONTH($B$10),AND($B$7="Да",IFERROR(INDEX('Вводные'!$B$88:$B$91,$B$8),"Нет")="Да")),MAX(0,SUM($D25:AG25)-AG25),0)</x:f>
      </x:c>
      <x:c r="AH27" s="107" t="n">
        <x:f>IF(AND(YEAR(AH$3)=YEAR($B$10),MONTH(AH$3)=MONTH($B$10),AND($B$7="Да",IFERROR(INDEX('Вводные'!$B$88:$B$91,$B$8),"Нет")="Да")),MAX(0,SUM($D25:AH25)-AH25),0)</x:f>
      </x:c>
      <x:c r="AI27" s="107" t="n">
        <x:f>IF(AND(YEAR(AI$3)=YEAR($B$10),MONTH(AI$3)=MONTH($B$10),AND($B$7="Да",IFERROR(INDEX('Вводные'!$B$88:$B$91,$B$8),"Нет")="Да")),MAX(0,SUM($D25:AI25)-AI25),0)</x:f>
      </x:c>
      <x:c r="AJ27" s="107" t="n">
        <x:f>IF(AND(YEAR(AJ$3)=YEAR($B$10),MONTH(AJ$3)=MONTH($B$10),AND($B$7="Да",IFERROR(INDEX('Вводные'!$B$88:$B$91,$B$8),"Нет")="Да")),MAX(0,SUM($D25:AJ25)-AJ25),0)</x:f>
      </x:c>
      <x:c r="AK27" s="107" t="n">
        <x:f>IF(AND(YEAR(AK$3)=YEAR($B$10),MONTH(AK$3)=MONTH($B$10),AND($B$7="Да",IFERROR(INDEX('Вводные'!$B$88:$B$91,$B$8),"Нет")="Да")),MAX(0,SUM($D25:AK25)-AK25),0)</x:f>
      </x:c>
      <x:c r="AL27" s="107" t="n">
        <x:f>IF(AND(YEAR(AL$3)=YEAR($B$10),MONTH(AL$3)=MONTH($B$10),AND($B$7="Да",IFERROR(INDEX('Вводные'!$B$88:$B$91,$B$8),"Нет")="Да")),MAX(0,SUM($D25:AL25)-AL25),0)</x:f>
      </x:c>
      <x:c r="AM27" s="107" t="n">
        <x:f>IF(AND(YEAR(AM$3)=YEAR($B$10),MONTH(AM$3)=MONTH($B$10),AND($B$7="Да",IFERROR(INDEX('Вводные'!$B$88:$B$91,$B$8),"Нет")="Да")),MAX(0,SUM($D25:AM25)-AM25),0)</x:f>
      </x:c>
      <x:c r="AN27" s="107" t="n">
        <x:f>IF(AND(YEAR(AN$3)=YEAR($B$10),MONTH(AN$3)=MONTH($B$10),AND($B$7="Да",IFERROR(INDEX('Вводные'!$B$88:$B$91,$B$8),"Нет")="Да")),MAX(0,SUM($D25:AN25)-AN25),0)</x:f>
      </x:c>
      <x:c r="AO27" s="107" t="n">
        <x:f>IF(AND(YEAR(AO$3)=YEAR($B$10),MONTH(AO$3)=MONTH($B$10),AND($B$7="Да",IFERROR(INDEX('Вводные'!$B$88:$B$91,$B$8),"Нет")="Да")),MAX(0,SUM($D25:AO25)-AO25),0)</x:f>
      </x:c>
      <x:c r="AP27" s="107" t="n">
        <x:f>IF(AND(YEAR(AP$3)=YEAR($B$10),MONTH(AP$3)=MONTH($B$10),AND($B$7="Да",IFERROR(INDEX('Вводные'!$B$88:$B$91,$B$8),"Нет")="Да")),MAX(0,SUM($D25:AP25)-AP25),0)</x:f>
      </x:c>
      <x:c r="AQ27" s="107" t="n">
        <x:f>IF(AND(YEAR(AQ$3)=YEAR($B$10),MONTH(AQ$3)=MONTH($B$10),AND($B$7="Да",IFERROR(INDEX('Вводные'!$B$88:$B$91,$B$8),"Нет")="Да")),MAX(0,SUM($D25:AQ25)-AQ25),0)</x:f>
      </x:c>
      <x:c r="AR27" s="107" t="n">
        <x:f>IF(AND(YEAR(AR$3)=YEAR($B$10),MONTH(AR$3)=MONTH($B$10),AND($B$7="Да",IFERROR(INDEX('Вводные'!$B$88:$B$91,$B$8),"Нет")="Да")),MAX(0,SUM($D25:AR25)-AR25),0)</x:f>
      </x:c>
      <x:c r="AS27" s="107" t="n">
        <x:f>IF(AND(YEAR(AS$3)=YEAR($B$10),MONTH(AS$3)=MONTH($B$10),AND($B$7="Да",IFERROR(INDEX('Вводные'!$B$88:$B$91,$B$8),"Нет")="Да")),MAX(0,SUM($D25:AS25)-AS25),0)</x:f>
      </x:c>
      <x:c r="AT27" s="107" t="n">
        <x:f>IF(AND(YEAR(AT$3)=YEAR($B$10),MONTH(AT$3)=MONTH($B$10),AND($B$7="Да",IFERROR(INDEX('Вводные'!$B$88:$B$91,$B$8),"Нет")="Да")),MAX(0,SUM($D25:AT25)-AT25),0)</x:f>
      </x:c>
      <x:c r="AU27" s="107" t="n">
        <x:f>IF(AND(YEAR(AU$3)=YEAR($B$10),MONTH(AU$3)=MONTH($B$10),AND($B$7="Да",IFERROR(INDEX('Вводные'!$B$88:$B$91,$B$8),"Нет")="Да")),MAX(0,SUM($D25:AU25)-AU25),0)</x:f>
      </x:c>
      <x:c r="AV27" s="107" t="n">
        <x:f>IF(AND(YEAR(AV$3)=YEAR($B$10),MONTH(AV$3)=MONTH($B$10),AND($B$7="Да",IFERROR(INDEX('Вводные'!$B$88:$B$91,$B$8),"Нет")="Да")),MAX(0,SUM($D25:AV25)-AV25),0)</x:f>
      </x:c>
      <x:c r="AW27" s="107" t="n">
        <x:f>IF(AND(YEAR(AW$3)=YEAR($B$10),MONTH(AW$3)=MONTH($B$10),AND($B$7="Да",IFERROR(INDEX('Вводные'!$B$88:$B$91,$B$8),"Нет")="Да")),MAX(0,SUM($D25:AW25)-AW25),0)</x:f>
      </x:c>
      <x:c r="AX27" s="107" t="n">
        <x:f>IF(AND(YEAR(AX$3)=YEAR($B$10),MONTH(AX$3)=MONTH($B$10),AND($B$7="Да",IFERROR(INDEX('Вводные'!$B$88:$B$91,$B$8),"Нет")="Да")),MAX(0,SUM($D25:AX25)-AX25),0)</x:f>
      </x:c>
      <x:c r="AY27" s="107" t="n">
        <x:f>IF(AND(YEAR(AY$3)=YEAR($B$10),MONTH(AY$3)=MONTH($B$10),AND($B$7="Да",IFERROR(INDEX('Вводные'!$B$88:$B$91,$B$8),"Нет")="Да")),MAX(0,SUM($D25:AY25)-AY25),0)</x:f>
      </x:c>
      <x:c r="AZ27" s="107" t="n">
        <x:f>IF(AND(YEAR(AZ$3)=YEAR($B$10),MONTH(AZ$3)=MONTH($B$10),AND($B$7="Да",IFERROR(INDEX('Вводные'!$B$88:$B$91,$B$8),"Нет")="Да")),MAX(0,SUM($D25:AZ25)-AZ25),0)</x:f>
      </x:c>
      <x:c r="BA27" s="107" t="n">
        <x:f>IF(AND(YEAR(BA$3)=YEAR($B$10),MONTH(BA$3)=MONTH($B$10),AND($B$7="Да",IFERROR(INDEX('Вводные'!$B$88:$B$91,$B$8),"Нет")="Да")),MAX(0,SUM($D25:BA25)-BA25),0)</x:f>
      </x:c>
      <x:c r="BB27" s="107" t="n">
        <x:f>IF(AND(YEAR(BB$3)=YEAR($B$10),MONTH(BB$3)=MONTH($B$10),AND($B$7="Да",IFERROR(INDEX('Вводные'!$B$88:$B$91,$B$8),"Нет")="Да")),MAX(0,SUM($D25:BB25)-BB25),0)</x:f>
      </x:c>
      <x:c r="BC27" s="107" t="n">
        <x:f>IF(AND(YEAR(BC$3)=YEAR($B$10),MONTH(BC$3)=MONTH($B$10),AND($B$7="Да",IFERROR(INDEX('Вводные'!$B$88:$B$91,$B$8),"Нет")="Да")),MAX(0,SUM($D25:BC25)-BC25),0)</x:f>
      </x:c>
      <x:c r="BD27" s="107" t="n">
        <x:f>IF(AND(YEAR(BD$3)=YEAR($B$10),MONTH(BD$3)=MONTH($B$10),AND($B$7="Да",IFERROR(INDEX('Вводные'!$B$88:$B$91,$B$8),"Нет")="Да")),MAX(0,SUM($D25:BD25)-BD25),0)</x:f>
      </x:c>
      <x:c r="BE27" s="107" t="n">
        <x:f>IF(AND(YEAR(BE$3)=YEAR($B$10),MONTH(BE$3)=MONTH($B$10),AND($B$7="Да",IFERROR(INDEX('Вводные'!$B$88:$B$91,$B$8),"Нет")="Да")),MAX(0,SUM($D25:BE25)-BE25),0)</x:f>
      </x:c>
      <x:c r="BF27" s="107" t="n">
        <x:f>IF(AND(YEAR(BF$3)=YEAR($B$10),MONTH(BF$3)=MONTH($B$10),AND($B$7="Да",IFERROR(INDEX('Вводные'!$B$88:$B$91,$B$8),"Нет")="Да")),MAX(0,SUM($D25:BF25)-BF25),0)</x:f>
      </x:c>
      <x:c r="BG27" s="107" t="n">
        <x:f>IF(AND(YEAR(BG$3)=YEAR($B$10),MONTH(BG$3)=MONTH($B$10),AND($B$7="Да",IFERROR(INDEX('Вводные'!$B$88:$B$91,$B$8),"Нет")="Да")),MAX(0,SUM($D25:BG25)-BG25),0)</x:f>
      </x:c>
      <x:c r="BH27" s="107" t="n">
        <x:f>IF(AND(YEAR(BH$3)=YEAR($B$10),MONTH(BH$3)=MONTH($B$10),AND($B$7="Да",IFERROR(INDEX('Вводные'!$B$88:$B$91,$B$8),"Нет")="Да")),MAX(0,SUM($D25:BH25)-BH25),0)</x:f>
      </x:c>
      <x:c r="BI27" s="107" t="n">
        <x:f>IF(AND(YEAR(BI$3)=YEAR($B$10),MONTH(BI$3)=MONTH($B$10),AND($B$7="Да",IFERROR(INDEX('Вводные'!$B$88:$B$91,$B$8),"Нет")="Да")),MAX(0,SUM($D25:BI25)-BI25),0)</x:f>
      </x:c>
      <x:c r="BJ27" s="107" t="n">
        <x:f>IF(AND(YEAR(BJ$3)=YEAR($B$10),MONTH(BJ$3)=MONTH($B$10),AND($B$7="Да",IFERROR(INDEX('Вводные'!$B$88:$B$91,$B$8),"Нет")="Да")),MAX(0,SUM($D25:BJ25)-BJ25),0)</x:f>
      </x:c>
      <x:c r="BK27" s="107" t="n">
        <x:f>IF(AND(YEAR(BK$3)=YEAR($B$10),MONTH(BK$3)=MONTH($B$10),AND($B$7="Да",IFERROR(INDEX('Вводные'!$B$88:$B$91,$B$8),"Нет")="Да")),MAX(0,SUM($D25:BK25)-BK25),0)</x:f>
      </x:c>
      <x:c r="BL27" s="107" t="n">
        <x:f>IF(AND(YEAR(BL$3)=YEAR($B$10),MONTH(BL$3)=MONTH($B$10),AND($B$7="Да",IFERROR(INDEX('Вводные'!$B$88:$B$91,$B$8),"Нет")="Да")),MAX(0,SUM($D25:BL25)-BL25),0)</x:f>
      </x:c>
      <x:c r="BM27" s="107" t="n">
        <x:f>IF(AND(YEAR(BM$3)=YEAR($B$10),MONTH(BM$3)=MONTH($B$10),AND($B$7="Да",IFERROR(INDEX('Вводные'!$B$88:$B$91,$B$8),"Нет")="Да")),MAX(0,SUM($D25:BM25)-BM25),0)</x:f>
      </x:c>
      <x:c r="BN27" s="107" t="n">
        <x:f>IF(AND(YEAR(BN$3)=YEAR($B$10),MONTH(BN$3)=MONTH($B$10),AND($B$7="Да",IFERROR(INDEX('Вводные'!$B$88:$B$91,$B$8),"Нет")="Да")),MAX(0,SUM($D25:BN25)-BN25),0)</x:f>
      </x:c>
      <x:c r="BO27" s="107" t="n">
        <x:f>IF(AND(YEAR(BO$3)=YEAR($B$10),MONTH(BO$3)=MONTH($B$10),AND($B$7="Да",IFERROR(INDEX('Вводные'!$B$88:$B$91,$B$8),"Нет")="Да")),MAX(0,SUM($D25:BO25)-BO25),0)</x:f>
      </x:c>
      <x:c r="BP27" s="107" t="n">
        <x:f>IF(AND(YEAR(BP$3)=YEAR($B$10),MONTH(BP$3)=MONTH($B$10),AND($B$7="Да",IFERROR(INDEX('Вводные'!$B$88:$B$91,$B$8),"Нет")="Да")),MAX(0,SUM($D25:BP25)-BP25),0)</x:f>
      </x:c>
      <x:c r="BQ27" s="107" t="n">
        <x:f>IF(AND(YEAR(BQ$3)=YEAR($B$10),MONTH(BQ$3)=MONTH($B$10),AND($B$7="Да",IFERROR(INDEX('Вводные'!$B$88:$B$91,$B$8),"Нет")="Да")),MAX(0,SUM($D25:BQ25)-BQ25),0)</x:f>
      </x:c>
      <x:c r="BR27" s="107" t="n">
        <x:f>IF(AND(YEAR(BR$3)=YEAR($B$10),MONTH(BR$3)=MONTH($B$10),AND($B$7="Да",IFERROR(INDEX('Вводные'!$B$88:$B$91,$B$8),"Нет")="Да")),MAX(0,SUM($D25:BR25)-BR25),0)</x:f>
      </x:c>
      <x:c r="BS27" s="107" t="n">
        <x:f>IF(AND(YEAR(BS$3)=YEAR($B$10),MONTH(BS$3)=MONTH($B$10),AND($B$7="Да",IFERROR(INDEX('Вводные'!$B$88:$B$91,$B$8),"Нет")="Да")),MAX(0,SUM($D25:BS25)-BS25),0)</x:f>
      </x:c>
      <x:c r="BT27" s="107" t="n">
        <x:f>IF(AND(YEAR(BT$3)=YEAR($B$10),MONTH(BT$3)=MONTH($B$10),AND($B$7="Да",IFERROR(INDEX('Вводные'!$B$88:$B$91,$B$8),"Нет")="Да")),MAX(0,SUM($D25:BT25)-BT25),0)</x:f>
      </x:c>
      <x:c r="BU27" s="107" t="n">
        <x:f>IF(AND(YEAR(BU$3)=YEAR($B$10),MONTH(BU$3)=MONTH($B$10),AND($B$7="Да",IFERROR(INDEX('Вводные'!$B$88:$B$91,$B$8),"Нет")="Да")),MAX(0,SUM($D25:BU25)-BU25),0)</x:f>
      </x:c>
      <x:c r="BV27" s="107" t="n">
        <x:f>IF(AND(YEAR(BV$3)=YEAR($B$10),MONTH(BV$3)=MONTH($B$10),AND($B$7="Да",IFERROR(INDEX('Вводные'!$B$88:$B$91,$B$8),"Нет")="Да")),MAX(0,SUM($D25:BV25)-BV25),0)</x:f>
      </x:c>
      <x:c r="BW27" s="107" t="n">
        <x:f>IF(AND(YEAR(BW$3)=YEAR($B$10),MONTH(BW$3)=MONTH($B$10),AND($B$7="Да",IFERROR(INDEX('Вводные'!$B$88:$B$91,$B$8),"Нет")="Да")),MAX(0,SUM($D25:BW25)-BW25),0)</x:f>
      </x:c>
      <x:c r="BX27" s="107" t="n">
        <x:f>IF(AND(YEAR(BX$3)=YEAR($B$10),MONTH(BX$3)=MONTH($B$10),AND($B$7="Да",IFERROR(INDEX('Вводные'!$B$88:$B$91,$B$8),"Нет")="Да")),MAX(0,SUM($D25:BX25)-BX25),0)</x:f>
      </x:c>
      <x:c r="BY27" s="107" t="n">
        <x:f>IF(AND(YEAR(BY$3)=YEAR($B$10),MONTH(BY$3)=MONTH($B$10),AND($B$7="Да",IFERROR(INDEX('Вводные'!$B$88:$B$91,$B$8),"Нет")="Да")),MAX(0,SUM($D25:BY25)-BY25),0)</x:f>
      </x:c>
      <x:c r="BZ27" s="107" t="n">
        <x:f>IF(AND(YEAR(BZ$3)=YEAR($B$10),MONTH(BZ$3)=MONTH($B$10),AND($B$7="Да",IFERROR(INDEX('Вводные'!$B$88:$B$91,$B$8),"Нет")="Да")),MAX(0,SUM($D25:BZ25)-BZ25),0)</x:f>
      </x:c>
      <x:c r="CA27" s="107" t="n">
        <x:f>IF(AND(YEAR(CA$3)=YEAR($B$10),MONTH(CA$3)=MONTH($B$10),AND($B$7="Да",IFERROR(INDEX('Вводные'!$B$88:$B$91,$B$8),"Нет")="Да")),MAX(0,SUM($D25:CA25)-CA25),0)</x:f>
      </x:c>
      <x:c r="CB27" s="107" t="n">
        <x:f>IF(AND(YEAR(CB$3)=YEAR($B$10),MONTH(CB$3)=MONTH($B$10),AND($B$7="Да",IFERROR(INDEX('Вводные'!$B$88:$B$91,$B$8),"Нет")="Да")),MAX(0,SUM($D25:CB25)-CB25),0)</x:f>
      </x:c>
      <x:c r="CC27" s="107" t="n">
        <x:f>IF(AND(YEAR(CC$3)=YEAR($B$10),MONTH(CC$3)=MONTH($B$10),AND($B$7="Да",IFERROR(INDEX('Вводные'!$B$88:$B$91,$B$8),"Нет")="Да")),MAX(0,SUM($D25:CC25)-CC25),0)</x:f>
      </x:c>
      <x:c r="CD27" s="107" t="n">
        <x:f>IF(AND(YEAR(CD$3)=YEAR($B$10),MONTH(CD$3)=MONTH($B$10),AND($B$7="Да",IFERROR(INDEX('Вводные'!$B$88:$B$91,$B$8),"Нет")="Да")),MAX(0,SUM($D25:CD25)-CD25),0)</x:f>
      </x:c>
      <x:c r="CE27" s="107" t="n">
        <x:f>IF(AND(YEAR(CE$3)=YEAR($B$10),MONTH(CE$3)=MONTH($B$10),AND($B$7="Да",IFERROR(INDEX('Вводные'!$B$88:$B$91,$B$8),"Нет")="Да")),MAX(0,SUM($D25:CE25)-CE25),0)</x:f>
      </x:c>
      <x:c r="CF27" s="107" t="n">
        <x:f>IF(AND(YEAR(CF$3)=YEAR($B$10),MONTH(CF$3)=MONTH($B$10),AND($B$7="Да",IFERROR(INDEX('Вводные'!$B$88:$B$91,$B$8),"Нет")="Да")),MAX(0,SUM($D25:CF25)-CF25),0)</x:f>
      </x:c>
      <x:c r="CG27" s="107" t="n">
        <x:f>IF(AND(YEAR(CG$3)=YEAR($B$10),MONTH(CG$3)=MONTH($B$10),AND($B$7="Да",IFERROR(INDEX('Вводные'!$B$88:$B$91,$B$8),"Нет")="Да")),MAX(0,SUM($D25:CG25)-CG25),0)</x:f>
      </x:c>
      <x:c r="CH27" s="107" t="n">
        <x:f>IF(AND(YEAR(CH$3)=YEAR($B$10),MONTH(CH$3)=MONTH($B$10),AND($B$7="Да",IFERROR(INDEX('Вводные'!$B$88:$B$91,$B$8),"Нет")="Да")),MAX(0,SUM($D25:CH25)-CH25),0)</x:f>
      </x:c>
      <x:c r="CI27" s="107" t="n">
        <x:f>IF(AND(YEAR(CI$3)=YEAR($B$10),MONTH(CI$3)=MONTH($B$10),AND($B$7="Да",IFERROR(INDEX('Вводные'!$B$88:$B$91,$B$8),"Нет")="Да")),MAX(0,SUM($D25:CI25)-CI25),0)</x:f>
      </x:c>
      <x:c r="CJ27" s="107" t="n">
        <x:f>IF(AND(YEAR(CJ$3)=YEAR($B$10),MONTH(CJ$3)=MONTH($B$10),AND($B$7="Да",IFERROR(INDEX('Вводные'!$B$88:$B$91,$B$8),"Нет")="Да")),MAX(0,SUM($D25:CJ25)-CJ25),0)</x:f>
      </x:c>
      <x:c r="CK27" s="107" t="n">
        <x:f>IF(AND(YEAR(CK$3)=YEAR($B$10),MONTH(CK$3)=MONTH($B$10),AND($B$7="Да",IFERROR(INDEX('Вводные'!$B$88:$B$91,$B$8),"Нет")="Да")),MAX(0,SUM($D25:CK25)-CK25),0)</x:f>
      </x:c>
      <x:c r="CL27" s="107" t="n">
        <x:f>IF(AND(YEAR(CL$3)=YEAR($B$10),MONTH(CL$3)=MONTH($B$10),AND($B$7="Да",IFERROR(INDEX('Вводные'!$B$88:$B$91,$B$8),"Нет")="Да")),MAX(0,SUM($D25:CL25)-CL25),0)</x:f>
      </x:c>
      <x:c r="CM27" s="107" t="n">
        <x:f>IF(AND(YEAR(CM$3)=YEAR($B$10),MONTH(CM$3)=MONTH($B$10),AND($B$7="Да",IFERROR(INDEX('Вводные'!$B$88:$B$91,$B$8),"Нет")="Да")),MAX(0,SUM($D25:CM25)-CM25),0)</x:f>
      </x:c>
      <x:c r="CN27" s="107" t="n">
        <x:f>IF(AND(YEAR(CN$3)=YEAR($B$10),MONTH(CN$3)=MONTH($B$10),AND($B$7="Да",IFERROR(INDEX('Вводные'!$B$88:$B$91,$B$8),"Нет")="Да")),MAX(0,SUM($D25:CN25)-CN25),0)</x:f>
      </x:c>
      <x:c r="CO27" s="107" t="n">
        <x:f>IF(AND(YEAR(CO$3)=YEAR($B$10),MONTH(CO$3)=MONTH($B$10),AND($B$7="Да",IFERROR(INDEX('Вводные'!$B$88:$B$91,$B$8),"Нет")="Да")),MAX(0,SUM($D25:CO25)-CO25),0)</x:f>
      </x:c>
      <x:c r="CP27" s="107" t="n">
        <x:f>IF(AND(YEAR(CP$3)=YEAR($B$10),MONTH(CP$3)=MONTH($B$10),AND($B$7="Да",IFERROR(INDEX('Вводные'!$B$88:$B$91,$B$8),"Нет")="Да")),MAX(0,SUM($D25:CP25)-CP25),0)</x:f>
      </x:c>
      <x:c r="CQ27" s="107" t="n">
        <x:f>IF(AND(YEAR(CQ$3)=YEAR($B$10),MONTH(CQ$3)=MONTH($B$10),AND($B$7="Да",IFERROR(INDEX('Вводные'!$B$88:$B$91,$B$8),"Нет")="Да")),MAX(0,SUM($D25:CQ25)-CQ25),0)</x:f>
      </x:c>
      <x:c r="CR27" s="107" t="n">
        <x:f>IF(AND(YEAR(CR$3)=YEAR($B$10),MONTH(CR$3)=MONTH($B$10),AND($B$7="Да",IFERROR(INDEX('Вводные'!$B$88:$B$91,$B$8),"Нет")="Да")),MAX(0,SUM($D25:CR25)-CR25),0)</x:f>
      </x:c>
      <x:c r="CS27" s="107" t="n">
        <x:f>IF(AND(YEAR(CS$3)=YEAR($B$10),MONTH(CS$3)=MONTH($B$10),AND($B$7="Да",IFERROR(INDEX('Вводные'!$B$88:$B$91,$B$8),"Нет")="Да")),MAX(0,SUM($D25:CS25)-CS25),0)</x:f>
      </x:c>
      <x:c r="CT27" s="107" t="n">
        <x:f>IF(AND(YEAR(CT$3)=YEAR($B$10),MONTH(CT$3)=MONTH($B$10),AND($B$7="Да",IFERROR(INDEX('Вводные'!$B$88:$B$91,$B$8),"Нет")="Да")),MAX(0,SUM($D25:CT25)-CT25),0)</x:f>
      </x:c>
      <x:c r="CU27" s="107" t="n">
        <x:f>IF(AND(YEAR(CU$3)=YEAR($B$10),MONTH(CU$3)=MONTH($B$10),AND($B$7="Да",IFERROR(INDEX('Вводные'!$B$88:$B$91,$B$8),"Нет")="Да")),MAX(0,SUM($D25:CU25)-CU25),0)</x:f>
      </x:c>
      <x:c r="CV27" s="107" t="n">
        <x:f>IF(AND(YEAR(CV$3)=YEAR($B$10),MONTH(CV$3)=MONTH($B$10),AND($B$7="Да",IFERROR(INDEX('Вводные'!$B$88:$B$91,$B$8),"Нет")="Да")),MAX(0,SUM($D25:CV25)-CV25),0)</x:f>
      </x:c>
      <x:c r="CW27" s="107" t="n">
        <x:f>IF(AND(YEAR(CW$3)=YEAR($B$10),MONTH(CW$3)=MONTH($B$10),AND($B$7="Да",IFERROR(INDEX('Вводные'!$B$88:$B$91,$B$8),"Нет")="Да")),MAX(0,SUM($D25:CW25)-CW25),0)</x:f>
      </x:c>
      <x:c r="CX27" s="107" t="n">
        <x:f>IF(AND(YEAR(CX$3)=YEAR($B$10),MONTH(CX$3)=MONTH($B$10),AND($B$7="Да",IFERROR(INDEX('Вводные'!$B$88:$B$91,$B$8),"Нет")="Да")),MAX(0,SUM($D25:CX25)-CX25),0)</x:f>
      </x:c>
      <x:c r="CY27" s="107" t="n">
        <x:f>IF(AND(YEAR(CY$3)=YEAR($B$10),MONTH(CY$3)=MONTH($B$10),AND($B$7="Да",IFERROR(INDEX('Вводные'!$B$88:$B$91,$B$8),"Нет")="Да")),MAX(0,SUM($D25:CY25)-CY25),0)</x:f>
      </x:c>
      <x:c r="CZ27" s="107" t="n">
        <x:f>IF(AND(YEAR(CZ$3)=YEAR($B$10),MONTH(CZ$3)=MONTH($B$10),AND($B$7="Да",IFERROR(INDEX('Вводные'!$B$88:$B$91,$B$8),"Нет")="Да")),MAX(0,SUM($D25:CZ25)-CZ25),0)</x:f>
      </x:c>
      <x:c r="DA27" s="107" t="n">
        <x:f>IF(AND(YEAR(DA$3)=YEAR($B$10),MONTH(DA$3)=MONTH($B$10),AND($B$7="Да",IFERROR(INDEX('Вводные'!$B$88:$B$91,$B$8),"Нет")="Да")),MAX(0,SUM($D25:DA25)-DA25),0)</x:f>
      </x:c>
      <x:c r="DB27" s="107" t="n">
        <x:f>IF(AND(YEAR(DB$3)=YEAR($B$10),MONTH(DB$3)=MONTH($B$10),AND($B$7="Да",IFERROR(INDEX('Вводные'!$B$88:$B$91,$B$8),"Нет")="Да")),MAX(0,SUM($D25:DB25)-DB25),0)</x:f>
      </x:c>
      <x:c r="DC27" s="107" t="n">
        <x:f>IF(AND(YEAR(DC$3)=YEAR($B$10),MONTH(DC$3)=MONTH($B$10),AND($B$7="Да",IFERROR(INDEX('Вводные'!$B$88:$B$91,$B$8),"Нет")="Да")),MAX(0,SUM($D25:DC25)-DC25),0)</x:f>
      </x:c>
      <x:c r="DD27" s="107" t="n">
        <x:f>IF(AND(YEAR(DD$3)=YEAR($B$10),MONTH(DD$3)=MONTH($B$10),AND($B$7="Да",IFERROR(INDEX('Вводные'!$B$88:$B$91,$B$8),"Нет")="Да")),MAX(0,SUM($D25:DD25)-DD25),0)</x:f>
      </x:c>
      <x:c r="DE27" s="107" t="n">
        <x:f>IF(AND(YEAR(DE$3)=YEAR($B$10),MONTH(DE$3)=MONTH($B$10),AND($B$7="Да",IFERROR(INDEX('Вводные'!$B$88:$B$91,$B$8),"Нет")="Да")),MAX(0,SUM($D25:DE25)-DE25),0)</x:f>
      </x:c>
      <x:c r="DF27" s="107" t="n">
        <x:f>IF(AND(YEAR(DF$3)=YEAR($B$10),MONTH(DF$3)=MONTH($B$10),AND($B$7="Да",IFERROR(INDEX('Вводные'!$B$88:$B$91,$B$8),"Нет")="Да")),MAX(0,SUM($D25:DF25)-DF25),0)</x:f>
      </x:c>
      <x:c r="DG27" s="107" t="n">
        <x:f>IF(AND(YEAR(DG$3)=YEAR($B$10),MONTH(DG$3)=MONTH($B$10),AND($B$7="Да",IFERROR(INDEX('Вводные'!$B$88:$B$91,$B$8),"Нет")="Да")),MAX(0,SUM($D25:DG25)-DG25),0)</x:f>
      </x:c>
      <x:c r="DH27" s="107" t="n">
        <x:f>IF(AND(YEAR(DH$3)=YEAR($B$10),MONTH(DH$3)=MONTH($B$10),AND($B$7="Да",IFERROR(INDEX('Вводные'!$B$88:$B$91,$B$8),"Нет")="Да")),MAX(0,SUM($D25:DH25)-DH25),0)</x:f>
      </x:c>
      <x:c r="DI27" s="107" t="n">
        <x:f>IF(AND(YEAR(DI$3)=YEAR($B$10),MONTH(DI$3)=MONTH($B$10),AND($B$7="Да",IFERROR(INDEX('Вводные'!$B$88:$B$91,$B$8),"Нет")="Да")),MAX(0,SUM($D25:DI25)-DI25),0)</x:f>
      </x:c>
      <x:c r="DJ27" s="107" t="n">
        <x:f>IF(AND(YEAR(DJ$3)=YEAR($B$10),MONTH(DJ$3)=MONTH($B$10),AND($B$7="Да",IFERROR(INDEX('Вводные'!$B$88:$B$91,$B$8),"Нет")="Да")),MAX(0,SUM($D25:DJ25)-DJ25),0)</x:f>
      </x:c>
      <x:c r="DK27" s="107" t="n">
        <x:f>IF(AND(YEAR(DK$3)=YEAR($B$10),MONTH(DK$3)=MONTH($B$10),AND($B$7="Да",IFERROR(INDEX('Вводные'!$B$88:$B$91,$B$8),"Нет")="Да")),MAX(0,SUM($D25:DK25)-DK25),0)</x:f>
      </x:c>
      <x:c r="DL27" s="107" t="n">
        <x:f>IF(AND(YEAR(DL$3)=YEAR($B$10),MONTH(DL$3)=MONTH($B$10),AND($B$7="Да",IFERROR(INDEX('Вводные'!$B$88:$B$91,$B$8),"Нет")="Да")),MAX(0,SUM($D25:DL25)-DL25),0)</x:f>
      </x:c>
      <x:c r="DM27" s="107" t="n">
        <x:f>IF(AND(YEAR(DM$3)=YEAR($B$10),MONTH(DM$3)=MONTH($B$10),AND($B$7="Да",IFERROR(INDEX('Вводные'!$B$88:$B$91,$B$8),"Нет")="Да")),MAX(0,SUM($D25:DM25)-DM25),0)</x:f>
      </x:c>
      <x:c r="DN27" s="107" t="n">
        <x:f>IF(AND(YEAR(DN$3)=YEAR($B$10),MONTH(DN$3)=MONTH($B$10),AND($B$7="Да",IFERROR(INDEX('Вводные'!$B$88:$B$91,$B$8),"Нет")="Да")),MAX(0,SUM($D25:DN25)-DN25),0)</x:f>
      </x:c>
      <x:c r="DO27" s="107" t="n">
        <x:f>IF(AND(YEAR(DO$3)=YEAR($B$10),MONTH(DO$3)=MONTH($B$10),AND($B$7="Да",IFERROR(INDEX('Вводные'!$B$88:$B$91,$B$8),"Нет")="Да")),MAX(0,SUM($D25:DO25)-DO25),0)</x:f>
      </x:c>
      <x:c r="DP27" s="107" t="n">
        <x:f>IF(AND(YEAR(DP$3)=YEAR($B$10),MONTH(DP$3)=MONTH($B$10),AND($B$7="Да",IFERROR(INDEX('Вводные'!$B$88:$B$91,$B$8),"Нет")="Да")),MAX(0,SUM($D25:DP25)-DP25),0)</x:f>
      </x:c>
      <x:c r="DQ27" s="107" t="n">
        <x:f>IF(AND(YEAR(DQ$3)=YEAR($B$10),MONTH(DQ$3)=MONTH($B$10),AND($B$7="Да",IFERROR(INDEX('Вводные'!$B$88:$B$91,$B$8),"Нет")="Да")),MAX(0,SUM($D25:DQ25)-DQ25),0)</x:f>
      </x:c>
      <x:c r="DR27" s="107" t="n">
        <x:f>IF(AND(YEAR(DR$3)=YEAR($B$10),MONTH(DR$3)=MONTH($B$10),AND($B$7="Да",IFERROR(INDEX('Вводные'!$B$88:$B$91,$B$8),"Нет")="Да")),MAX(0,SUM($D25:DR25)-DR25),0)</x:f>
      </x:c>
      <x:c r="DS27" s="107" t="n">
        <x:f>IF(AND(YEAR(DS$3)=YEAR($B$10),MONTH(DS$3)=MONTH($B$10),AND($B$7="Да",IFERROR(INDEX('Вводные'!$B$88:$B$91,$B$8),"Нет")="Да")),MAX(0,SUM($D25:DS25)-DS25),0)</x:f>
      </x:c>
    </x:row>
    <x:row r="28">
      <x:c r="A28" t="str">
        <x:v>CAPEX</x:v>
      </x:c>
      <x:c r="B28" s="107" t="n">
        <x:f>IF(AND($B$7="Да",IFERROR(INDEX('Вводные'!$B$88:$B$91,$B$8),"Нет")="Да"),$B$12*'Вводные'!$K$29/1000*'Вводные'!$H$6*INDEX('Вводные'!$T$88:$T$91,$B$8)*INDEX('Вводные'!$AH$88:$AH$91,$B$8),0)</x:f>
      </x:c>
      <x:c r="C28" t="str">
        <x:v>млн ₽</x:v>
      </x:c>
      <x:c r="D28" s="107" t="n">
        <x:f>$B$28*D16</x:f>
      </x:c>
      <x:c r="E28" s="107" t="n">
        <x:f>$B$28*E16</x:f>
      </x:c>
      <x:c r="F28" s="107" t="n">
        <x:f>$B$28*F16</x:f>
      </x:c>
      <x:c r="G28" s="107" t="n">
        <x:f>$B$28*G16</x:f>
      </x:c>
      <x:c r="H28" s="107" t="n">
        <x:f>$B$28*H16</x:f>
      </x:c>
      <x:c r="I28" s="107" t="n">
        <x:f>$B$28*I16</x:f>
      </x:c>
      <x:c r="J28" s="107" t="n">
        <x:f>$B$28*J16</x:f>
      </x:c>
      <x:c r="K28" s="107" t="n">
        <x:f>$B$28*K16</x:f>
      </x:c>
      <x:c r="L28" s="107" t="n">
        <x:f>$B$28*L16</x:f>
      </x:c>
      <x:c r="M28" s="107" t="n">
        <x:f>$B$28*M16</x:f>
      </x:c>
      <x:c r="N28" s="107" t="n">
        <x:f>$B$28*N16</x:f>
      </x:c>
      <x:c r="O28" s="107" t="n">
        <x:f>$B$28*O16</x:f>
      </x:c>
      <x:c r="P28" s="107" t="n">
        <x:f>$B$28*P16</x:f>
      </x:c>
      <x:c r="Q28" s="107" t="n">
        <x:f>$B$28*Q16</x:f>
      </x:c>
      <x:c r="R28" s="107" t="n">
        <x:f>$B$28*R16</x:f>
      </x:c>
      <x:c r="S28" s="107" t="n">
        <x:f>$B$28*S16</x:f>
      </x:c>
      <x:c r="T28" s="107" t="n">
        <x:f>$B$28*T16</x:f>
      </x:c>
      <x:c r="U28" s="107" t="n">
        <x:f>$B$28*U16</x:f>
      </x:c>
      <x:c r="V28" s="107" t="n">
        <x:f>$B$28*V16</x:f>
      </x:c>
      <x:c r="W28" s="107" t="n">
        <x:f>$B$28*W16</x:f>
      </x:c>
      <x:c r="X28" s="107" t="n">
        <x:f>$B$28*X16</x:f>
      </x:c>
      <x:c r="Y28" s="107" t="n">
        <x:f>$B$28*Y16</x:f>
      </x:c>
      <x:c r="Z28" s="107" t="n">
        <x:f>$B$28*Z16</x:f>
      </x:c>
      <x:c r="AA28" s="107" t="n">
        <x:f>$B$28*AA16</x:f>
      </x:c>
      <x:c r="AB28" s="107" t="n">
        <x:f>$B$28*AB16</x:f>
      </x:c>
      <x:c r="AC28" s="107" t="n">
        <x:f>$B$28*AC16</x:f>
      </x:c>
      <x:c r="AD28" s="107" t="n">
        <x:f>$B$28*AD16</x:f>
      </x:c>
      <x:c r="AE28" s="107" t="n">
        <x:f>$B$28*AE16</x:f>
      </x:c>
      <x:c r="AF28" s="107" t="n">
        <x:f>$B$28*AF16</x:f>
      </x:c>
      <x:c r="AG28" s="107" t="n">
        <x:f>$B$28*AG16</x:f>
      </x:c>
      <x:c r="AH28" s="107" t="n">
        <x:f>$B$28*AH16</x:f>
      </x:c>
      <x:c r="AI28" s="107" t="n">
        <x:f>$B$28*AI16</x:f>
      </x:c>
      <x:c r="AJ28" s="107" t="n">
        <x:f>$B$28*AJ16</x:f>
      </x:c>
      <x:c r="AK28" s="107" t="n">
        <x:f>$B$28*AK16</x:f>
      </x:c>
      <x:c r="AL28" s="107" t="n">
        <x:f>$B$28*AL16</x:f>
      </x:c>
      <x:c r="AM28" s="107" t="n">
        <x:f>$B$28*AM16</x:f>
      </x:c>
      <x:c r="AN28" s="107" t="n">
        <x:f>$B$28*AN16</x:f>
      </x:c>
      <x:c r="AO28" s="107" t="n">
        <x:f>$B$28*AO16</x:f>
      </x:c>
      <x:c r="AP28" s="107" t="n">
        <x:f>$B$28*AP16</x:f>
      </x:c>
      <x:c r="AQ28" s="107" t="n">
        <x:f>$B$28*AQ16</x:f>
      </x:c>
      <x:c r="AR28" s="107" t="n">
        <x:f>$B$28*AR16</x:f>
      </x:c>
      <x:c r="AS28" s="107" t="n">
        <x:f>$B$28*AS16</x:f>
      </x:c>
      <x:c r="AT28" s="107" t="n">
        <x:f>$B$28*AT16</x:f>
      </x:c>
      <x:c r="AU28" s="107" t="n">
        <x:f>$B$28*AU16</x:f>
      </x:c>
      <x:c r="AV28" s="107" t="n">
        <x:f>$B$28*AV16</x:f>
      </x:c>
      <x:c r="AW28" s="107" t="n">
        <x:f>$B$28*AW16</x:f>
      </x:c>
      <x:c r="AX28" s="107" t="n">
        <x:f>$B$28*AX16</x:f>
      </x:c>
      <x:c r="AY28" s="107" t="n">
        <x:f>$B$28*AY16</x:f>
      </x:c>
      <x:c r="AZ28" s="107" t="n">
        <x:f>$B$28*AZ16</x:f>
      </x:c>
      <x:c r="BA28" s="107" t="n">
        <x:f>$B$28*BA16</x:f>
      </x:c>
      <x:c r="BB28" s="107" t="n">
        <x:f>$B$28*BB16</x:f>
      </x:c>
      <x:c r="BC28" s="107" t="n">
        <x:f>$B$28*BC16</x:f>
      </x:c>
      <x:c r="BD28" s="107" t="n">
        <x:f>$B$28*BD16</x:f>
      </x:c>
      <x:c r="BE28" s="107" t="n">
        <x:f>$B$28*BE16</x:f>
      </x:c>
      <x:c r="BF28" s="107" t="n">
        <x:f>$B$28*BF16</x:f>
      </x:c>
      <x:c r="BG28" s="107" t="n">
        <x:f>$B$28*BG16</x:f>
      </x:c>
      <x:c r="BH28" s="107" t="n">
        <x:f>$B$28*BH16</x:f>
      </x:c>
      <x:c r="BI28" s="107" t="n">
        <x:f>$B$28*BI16</x:f>
      </x:c>
      <x:c r="BJ28" s="107" t="n">
        <x:f>$B$28*BJ16</x:f>
      </x:c>
      <x:c r="BK28" s="107" t="n">
        <x:f>$B$28*BK16</x:f>
      </x:c>
      <x:c r="BL28" s="107" t="n">
        <x:f>$B$28*BL16</x:f>
      </x:c>
      <x:c r="BM28" s="107" t="n">
        <x:f>$B$28*BM16</x:f>
      </x:c>
      <x:c r="BN28" s="107" t="n">
        <x:f>$B$28*BN16</x:f>
      </x:c>
      <x:c r="BO28" s="107" t="n">
        <x:f>$B$28*BO16</x:f>
      </x:c>
      <x:c r="BP28" s="107" t="n">
        <x:f>$B$28*BP16</x:f>
      </x:c>
      <x:c r="BQ28" s="107" t="n">
        <x:f>$B$28*BQ16</x:f>
      </x:c>
      <x:c r="BR28" s="107" t="n">
        <x:f>$B$28*BR16</x:f>
      </x:c>
      <x:c r="BS28" s="107" t="n">
        <x:f>$B$28*BS16</x:f>
      </x:c>
      <x:c r="BT28" s="107" t="n">
        <x:f>$B$28*BT16</x:f>
      </x:c>
      <x:c r="BU28" s="107" t="n">
        <x:f>$B$28*BU16</x:f>
      </x:c>
      <x:c r="BV28" s="107" t="n">
        <x:f>$B$28*BV16</x:f>
      </x:c>
      <x:c r="BW28" s="107" t="n">
        <x:f>$B$28*BW16</x:f>
      </x:c>
      <x:c r="BX28" s="107" t="n">
        <x:f>$B$28*BX16</x:f>
      </x:c>
      <x:c r="BY28" s="107" t="n">
        <x:f>$B$28*BY16</x:f>
      </x:c>
      <x:c r="BZ28" s="107" t="n">
        <x:f>$B$28*BZ16</x:f>
      </x:c>
      <x:c r="CA28" s="107" t="n">
        <x:f>$B$28*CA16</x:f>
      </x:c>
      <x:c r="CB28" s="107" t="n">
        <x:f>$B$28*CB16</x:f>
      </x:c>
      <x:c r="CC28" s="107" t="n">
        <x:f>$B$28*CC16</x:f>
      </x:c>
      <x:c r="CD28" s="107" t="n">
        <x:f>$B$28*CD16</x:f>
      </x:c>
      <x:c r="CE28" s="107" t="n">
        <x:f>$B$28*CE16</x:f>
      </x:c>
      <x:c r="CF28" s="107" t="n">
        <x:f>$B$28*CF16</x:f>
      </x:c>
      <x:c r="CG28" s="107" t="n">
        <x:f>$B$28*CG16</x:f>
      </x:c>
      <x:c r="CH28" s="107" t="n">
        <x:f>$B$28*CH16</x:f>
      </x:c>
      <x:c r="CI28" s="107" t="n">
        <x:f>$B$28*CI16</x:f>
      </x:c>
      <x:c r="CJ28" s="107" t="n">
        <x:f>$B$28*CJ16</x:f>
      </x:c>
      <x:c r="CK28" s="107" t="n">
        <x:f>$B$28*CK16</x:f>
      </x:c>
      <x:c r="CL28" s="107" t="n">
        <x:f>$B$28*CL16</x:f>
      </x:c>
      <x:c r="CM28" s="107" t="n">
        <x:f>$B$28*CM16</x:f>
      </x:c>
      <x:c r="CN28" s="107" t="n">
        <x:f>$B$28*CN16</x:f>
      </x:c>
      <x:c r="CO28" s="107" t="n">
        <x:f>$B$28*CO16</x:f>
      </x:c>
      <x:c r="CP28" s="107" t="n">
        <x:f>$B$28*CP16</x:f>
      </x:c>
      <x:c r="CQ28" s="107" t="n">
        <x:f>$B$28*CQ16</x:f>
      </x:c>
      <x:c r="CR28" s="107" t="n">
        <x:f>$B$28*CR16</x:f>
      </x:c>
      <x:c r="CS28" s="107" t="n">
        <x:f>$B$28*CS16</x:f>
      </x:c>
      <x:c r="CT28" s="107" t="n">
        <x:f>$B$28*CT16</x:f>
      </x:c>
      <x:c r="CU28" s="107" t="n">
        <x:f>$B$28*CU16</x:f>
      </x:c>
      <x:c r="CV28" s="107" t="n">
        <x:f>$B$28*CV16</x:f>
      </x:c>
      <x:c r="CW28" s="107" t="n">
        <x:f>$B$28*CW16</x:f>
      </x:c>
      <x:c r="CX28" s="107" t="n">
        <x:f>$B$28*CX16</x:f>
      </x:c>
      <x:c r="CY28" s="107" t="n">
        <x:f>$B$28*CY16</x:f>
      </x:c>
      <x:c r="CZ28" s="107" t="n">
        <x:f>$B$28*CZ16</x:f>
      </x:c>
      <x:c r="DA28" s="107" t="n">
        <x:f>$B$28*DA16</x:f>
      </x:c>
      <x:c r="DB28" s="107" t="n">
        <x:f>$B$28*DB16</x:f>
      </x:c>
      <x:c r="DC28" s="107" t="n">
        <x:f>$B$28*DC16</x:f>
      </x:c>
      <x:c r="DD28" s="107" t="n">
        <x:f>$B$28*DD16</x:f>
      </x:c>
      <x:c r="DE28" s="107" t="n">
        <x:f>$B$28*DE16</x:f>
      </x:c>
      <x:c r="DF28" s="107" t="n">
        <x:f>$B$28*DF16</x:f>
      </x:c>
      <x:c r="DG28" s="107" t="n">
        <x:f>$B$28*DG16</x:f>
      </x:c>
      <x:c r="DH28" s="107" t="n">
        <x:f>$B$28*DH16</x:f>
      </x:c>
      <x:c r="DI28" s="107" t="n">
        <x:f>$B$28*DI16</x:f>
      </x:c>
      <x:c r="DJ28" s="107" t="n">
        <x:f>$B$28*DJ16</x:f>
      </x:c>
      <x:c r="DK28" s="107" t="n">
        <x:f>$B$28*DK16</x:f>
      </x:c>
      <x:c r="DL28" s="107" t="n">
        <x:f>$B$28*DL16</x:f>
      </x:c>
      <x:c r="DM28" s="107" t="n">
        <x:f>$B$28*DM16</x:f>
      </x:c>
      <x:c r="DN28" s="107" t="n">
        <x:f>$B$28*DN16</x:f>
      </x:c>
      <x:c r="DO28" s="107" t="n">
        <x:f>$B$28*DO16</x:f>
      </x:c>
      <x:c r="DP28" s="107" t="n">
        <x:f>$B$28*DP16</x:f>
      </x:c>
      <x:c r="DQ28" s="107" t="n">
        <x:f>$B$28*DQ16</x:f>
      </x:c>
      <x:c r="DR28" s="107" t="n">
        <x:f>$B$28*DR16</x:f>
      </x:c>
      <x:c r="DS28" s="107" t="n">
        <x:f>$B$28*DS16</x:f>
      </x:c>
    </x:row>
    <x:row r="29">
      <x:c r="A29" t="str">
        <x:v>Маркетинг</x:v>
      </x:c>
      <x:c r="B29" s="107" t="n">
        <x:f>SUM(D29:DS29)</x:f>
      </x:c>
      <x:c r="C29" t="str">
        <x:v>млн ₽</x:v>
      </x:c>
      <x:c r="D29" s="107" t="n">
        <x:f>D24*'Вводные'!$B$19</x:f>
      </x:c>
      <x:c r="E29" s="107" t="n">
        <x:f>E24*'Вводные'!$B$19</x:f>
      </x:c>
      <x:c r="F29" s="107" t="n">
        <x:f>F24*'Вводные'!$B$19</x:f>
      </x:c>
      <x:c r="G29" s="107" t="n">
        <x:f>G24*'Вводные'!$B$19</x:f>
      </x:c>
      <x:c r="H29" s="107" t="n">
        <x:f>H24*'Вводные'!$B$19</x:f>
      </x:c>
      <x:c r="I29" s="107" t="n">
        <x:f>I24*'Вводные'!$B$19</x:f>
      </x:c>
      <x:c r="J29" s="107" t="n">
        <x:f>J24*'Вводные'!$B$19</x:f>
      </x:c>
      <x:c r="K29" s="107" t="n">
        <x:f>K24*'Вводные'!$B$19</x:f>
      </x:c>
      <x:c r="L29" s="107" t="n">
        <x:f>L24*'Вводные'!$B$19</x:f>
      </x:c>
      <x:c r="M29" s="107" t="n">
        <x:f>M24*'Вводные'!$B$19</x:f>
      </x:c>
      <x:c r="N29" s="107" t="n">
        <x:f>N24*'Вводные'!$B$19</x:f>
      </x:c>
      <x:c r="O29" s="107" t="n">
        <x:f>O24*'Вводные'!$B$19</x:f>
      </x:c>
      <x:c r="P29" s="107" t="n">
        <x:f>P24*'Вводные'!$B$19</x:f>
      </x:c>
      <x:c r="Q29" s="107" t="n">
        <x:f>Q24*'Вводные'!$B$19</x:f>
      </x:c>
      <x:c r="R29" s="107" t="n">
        <x:f>R24*'Вводные'!$B$19</x:f>
      </x:c>
      <x:c r="S29" s="107" t="n">
        <x:f>S24*'Вводные'!$B$19</x:f>
      </x:c>
      <x:c r="T29" s="107" t="n">
        <x:f>T24*'Вводные'!$B$19</x:f>
      </x:c>
      <x:c r="U29" s="107" t="n">
        <x:f>U24*'Вводные'!$B$19</x:f>
      </x:c>
      <x:c r="V29" s="107" t="n">
        <x:f>V24*'Вводные'!$B$19</x:f>
      </x:c>
      <x:c r="W29" s="107" t="n">
        <x:f>W24*'Вводные'!$B$19</x:f>
      </x:c>
      <x:c r="X29" s="107" t="n">
        <x:f>X24*'Вводные'!$B$19</x:f>
      </x:c>
      <x:c r="Y29" s="107" t="n">
        <x:f>Y24*'Вводные'!$B$19</x:f>
      </x:c>
      <x:c r="Z29" s="107" t="n">
        <x:f>Z24*'Вводные'!$B$19</x:f>
      </x:c>
      <x:c r="AA29" s="107" t="n">
        <x:f>AA24*'Вводные'!$B$19</x:f>
      </x:c>
      <x:c r="AB29" s="107" t="n">
        <x:f>AB24*'Вводные'!$B$19</x:f>
      </x:c>
      <x:c r="AC29" s="107" t="n">
        <x:f>AC24*'Вводные'!$B$19</x:f>
      </x:c>
      <x:c r="AD29" s="107" t="n">
        <x:f>AD24*'Вводные'!$B$19</x:f>
      </x:c>
      <x:c r="AE29" s="107" t="n">
        <x:f>AE24*'Вводные'!$B$19</x:f>
      </x:c>
      <x:c r="AF29" s="107" t="n">
        <x:f>AF24*'Вводные'!$B$19</x:f>
      </x:c>
      <x:c r="AG29" s="107" t="n">
        <x:f>AG24*'Вводные'!$B$19</x:f>
      </x:c>
      <x:c r="AH29" s="107" t="n">
        <x:f>AH24*'Вводные'!$B$19</x:f>
      </x:c>
      <x:c r="AI29" s="107" t="n">
        <x:f>AI24*'Вводные'!$B$19</x:f>
      </x:c>
      <x:c r="AJ29" s="107" t="n">
        <x:f>AJ24*'Вводные'!$B$19</x:f>
      </x:c>
      <x:c r="AK29" s="107" t="n">
        <x:f>AK24*'Вводные'!$B$19</x:f>
      </x:c>
      <x:c r="AL29" s="107" t="n">
        <x:f>AL24*'Вводные'!$B$19</x:f>
      </x:c>
      <x:c r="AM29" s="107" t="n">
        <x:f>AM24*'Вводные'!$B$19</x:f>
      </x:c>
      <x:c r="AN29" s="107" t="n">
        <x:f>AN24*'Вводные'!$B$19</x:f>
      </x:c>
      <x:c r="AO29" s="107" t="n">
        <x:f>AO24*'Вводные'!$B$19</x:f>
      </x:c>
      <x:c r="AP29" s="107" t="n">
        <x:f>AP24*'Вводные'!$B$19</x:f>
      </x:c>
      <x:c r="AQ29" s="107" t="n">
        <x:f>AQ24*'Вводные'!$B$19</x:f>
      </x:c>
      <x:c r="AR29" s="107" t="n">
        <x:f>AR24*'Вводные'!$B$19</x:f>
      </x:c>
      <x:c r="AS29" s="107" t="n">
        <x:f>AS24*'Вводные'!$B$19</x:f>
      </x:c>
      <x:c r="AT29" s="107" t="n">
        <x:f>AT24*'Вводные'!$B$19</x:f>
      </x:c>
      <x:c r="AU29" s="107" t="n">
        <x:f>AU24*'Вводные'!$B$19</x:f>
      </x:c>
      <x:c r="AV29" s="107" t="n">
        <x:f>AV24*'Вводные'!$B$19</x:f>
      </x:c>
      <x:c r="AW29" s="107" t="n">
        <x:f>AW24*'Вводные'!$B$19</x:f>
      </x:c>
      <x:c r="AX29" s="107" t="n">
        <x:f>AX24*'Вводные'!$B$19</x:f>
      </x:c>
      <x:c r="AY29" s="107" t="n">
        <x:f>AY24*'Вводные'!$B$19</x:f>
      </x:c>
      <x:c r="AZ29" s="107" t="n">
        <x:f>AZ24*'Вводные'!$B$19</x:f>
      </x:c>
      <x:c r="BA29" s="107" t="n">
        <x:f>BA24*'Вводные'!$B$19</x:f>
      </x:c>
      <x:c r="BB29" s="107" t="n">
        <x:f>BB24*'Вводные'!$B$19</x:f>
      </x:c>
      <x:c r="BC29" s="107" t="n">
        <x:f>BC24*'Вводные'!$B$19</x:f>
      </x:c>
      <x:c r="BD29" s="107" t="n">
        <x:f>BD24*'Вводные'!$B$19</x:f>
      </x:c>
      <x:c r="BE29" s="107" t="n">
        <x:f>BE24*'Вводные'!$B$19</x:f>
      </x:c>
      <x:c r="BF29" s="107" t="n">
        <x:f>BF24*'Вводные'!$B$19</x:f>
      </x:c>
      <x:c r="BG29" s="107" t="n">
        <x:f>BG24*'Вводные'!$B$19</x:f>
      </x:c>
      <x:c r="BH29" s="107" t="n">
        <x:f>BH24*'Вводные'!$B$19</x:f>
      </x:c>
      <x:c r="BI29" s="107" t="n">
        <x:f>BI24*'Вводные'!$B$19</x:f>
      </x:c>
      <x:c r="BJ29" s="107" t="n">
        <x:f>BJ24*'Вводные'!$B$19</x:f>
      </x:c>
      <x:c r="BK29" s="107" t="n">
        <x:f>BK24*'Вводные'!$B$19</x:f>
      </x:c>
      <x:c r="BL29" s="107" t="n">
        <x:f>BL24*'Вводные'!$B$19</x:f>
      </x:c>
      <x:c r="BM29" s="107" t="n">
        <x:f>BM24*'Вводные'!$B$19</x:f>
      </x:c>
      <x:c r="BN29" s="107" t="n">
        <x:f>BN24*'Вводные'!$B$19</x:f>
      </x:c>
      <x:c r="BO29" s="107" t="n">
        <x:f>BO24*'Вводные'!$B$19</x:f>
      </x:c>
      <x:c r="BP29" s="107" t="n">
        <x:f>BP24*'Вводные'!$B$19</x:f>
      </x:c>
      <x:c r="BQ29" s="107" t="n">
        <x:f>BQ24*'Вводные'!$B$19</x:f>
      </x:c>
      <x:c r="BR29" s="107" t="n">
        <x:f>BR24*'Вводные'!$B$19</x:f>
      </x:c>
      <x:c r="BS29" s="107" t="n">
        <x:f>BS24*'Вводные'!$B$19</x:f>
      </x:c>
      <x:c r="BT29" s="107" t="n">
        <x:f>BT24*'Вводные'!$B$19</x:f>
      </x:c>
      <x:c r="BU29" s="107" t="n">
        <x:f>BU24*'Вводные'!$B$19</x:f>
      </x:c>
      <x:c r="BV29" s="107" t="n">
        <x:f>BV24*'Вводные'!$B$19</x:f>
      </x:c>
      <x:c r="BW29" s="107" t="n">
        <x:f>BW24*'Вводные'!$B$19</x:f>
      </x:c>
      <x:c r="BX29" s="107" t="n">
        <x:f>BX24*'Вводные'!$B$19</x:f>
      </x:c>
      <x:c r="BY29" s="107" t="n">
        <x:f>BY24*'Вводные'!$B$19</x:f>
      </x:c>
      <x:c r="BZ29" s="107" t="n">
        <x:f>BZ24*'Вводные'!$B$19</x:f>
      </x:c>
      <x:c r="CA29" s="107" t="n">
        <x:f>CA24*'Вводные'!$B$19</x:f>
      </x:c>
      <x:c r="CB29" s="107" t="n">
        <x:f>CB24*'Вводные'!$B$19</x:f>
      </x:c>
      <x:c r="CC29" s="107" t="n">
        <x:f>CC24*'Вводные'!$B$19</x:f>
      </x:c>
      <x:c r="CD29" s="107" t="n">
        <x:f>CD24*'Вводные'!$B$19</x:f>
      </x:c>
      <x:c r="CE29" s="107" t="n">
        <x:f>CE24*'Вводные'!$B$19</x:f>
      </x:c>
      <x:c r="CF29" s="107" t="n">
        <x:f>CF24*'Вводные'!$B$19</x:f>
      </x:c>
      <x:c r="CG29" s="107" t="n">
        <x:f>CG24*'Вводные'!$B$19</x:f>
      </x:c>
      <x:c r="CH29" s="107" t="n">
        <x:f>CH24*'Вводные'!$B$19</x:f>
      </x:c>
      <x:c r="CI29" s="107" t="n">
        <x:f>CI24*'Вводные'!$B$19</x:f>
      </x:c>
      <x:c r="CJ29" s="107" t="n">
        <x:f>CJ24*'Вводные'!$B$19</x:f>
      </x:c>
      <x:c r="CK29" s="107" t="n">
        <x:f>CK24*'Вводные'!$B$19</x:f>
      </x:c>
      <x:c r="CL29" s="107" t="n">
        <x:f>CL24*'Вводные'!$B$19</x:f>
      </x:c>
      <x:c r="CM29" s="107" t="n">
        <x:f>CM24*'Вводные'!$B$19</x:f>
      </x:c>
      <x:c r="CN29" s="107" t="n">
        <x:f>CN24*'Вводные'!$B$19</x:f>
      </x:c>
      <x:c r="CO29" s="107" t="n">
        <x:f>CO24*'Вводные'!$B$19</x:f>
      </x:c>
      <x:c r="CP29" s="107" t="n">
        <x:f>CP24*'Вводные'!$B$19</x:f>
      </x:c>
      <x:c r="CQ29" s="107" t="n">
        <x:f>CQ24*'Вводные'!$B$19</x:f>
      </x:c>
      <x:c r="CR29" s="107" t="n">
        <x:f>CR24*'Вводные'!$B$19</x:f>
      </x:c>
      <x:c r="CS29" s="107" t="n">
        <x:f>CS24*'Вводные'!$B$19</x:f>
      </x:c>
      <x:c r="CT29" s="107" t="n">
        <x:f>CT24*'Вводные'!$B$19</x:f>
      </x:c>
      <x:c r="CU29" s="107" t="n">
        <x:f>CU24*'Вводные'!$B$19</x:f>
      </x:c>
      <x:c r="CV29" s="107" t="n">
        <x:f>CV24*'Вводные'!$B$19</x:f>
      </x:c>
      <x:c r="CW29" s="107" t="n">
        <x:f>CW24*'Вводные'!$B$19</x:f>
      </x:c>
      <x:c r="CX29" s="107" t="n">
        <x:f>CX24*'Вводные'!$B$19</x:f>
      </x:c>
      <x:c r="CY29" s="107" t="n">
        <x:f>CY24*'Вводные'!$B$19</x:f>
      </x:c>
      <x:c r="CZ29" s="107" t="n">
        <x:f>CZ24*'Вводные'!$B$19</x:f>
      </x:c>
      <x:c r="DA29" s="107" t="n">
        <x:f>DA24*'Вводные'!$B$19</x:f>
      </x:c>
      <x:c r="DB29" s="107" t="n">
        <x:f>DB24*'Вводные'!$B$19</x:f>
      </x:c>
      <x:c r="DC29" s="107" t="n">
        <x:f>DC24*'Вводные'!$B$19</x:f>
      </x:c>
      <x:c r="DD29" s="107" t="n">
        <x:f>DD24*'Вводные'!$B$19</x:f>
      </x:c>
      <x:c r="DE29" s="107" t="n">
        <x:f>DE24*'Вводные'!$B$19</x:f>
      </x:c>
      <x:c r="DF29" s="107" t="n">
        <x:f>DF24*'Вводные'!$B$19</x:f>
      </x:c>
      <x:c r="DG29" s="107" t="n">
        <x:f>DG24*'Вводные'!$B$19</x:f>
      </x:c>
      <x:c r="DH29" s="107" t="n">
        <x:f>DH24*'Вводные'!$B$19</x:f>
      </x:c>
      <x:c r="DI29" s="107" t="n">
        <x:f>DI24*'Вводные'!$B$19</x:f>
      </x:c>
      <x:c r="DJ29" s="107" t="n">
        <x:f>DJ24*'Вводные'!$B$19</x:f>
      </x:c>
      <x:c r="DK29" s="107" t="n">
        <x:f>DK24*'Вводные'!$B$19</x:f>
      </x:c>
      <x:c r="DL29" s="107" t="n">
        <x:f>DL24*'Вводные'!$B$19</x:f>
      </x:c>
      <x:c r="DM29" s="107" t="n">
        <x:f>DM24*'Вводные'!$B$19</x:f>
      </x:c>
      <x:c r="DN29" s="107" t="n">
        <x:f>DN24*'Вводные'!$B$19</x:f>
      </x:c>
      <x:c r="DO29" s="107" t="n">
        <x:f>DO24*'Вводные'!$B$19</x:f>
      </x:c>
      <x:c r="DP29" s="107" t="n">
        <x:f>DP24*'Вводные'!$B$19</x:f>
      </x:c>
      <x:c r="DQ29" s="107" t="n">
        <x:f>DQ24*'Вводные'!$B$19</x:f>
      </x:c>
      <x:c r="DR29" s="107" t="n">
        <x:f>DR24*'Вводные'!$B$19</x:f>
      </x:c>
      <x:c r="DS29" s="107" t="n">
        <x:f>DS24*'Вводные'!$B$19</x:f>
      </x:c>
    </x:row>
    <x:row r="30">
      <x:c r="A30" t="str">
        <x:v>Расходы на продажи</x:v>
      </x:c>
      <x:c r="B30" s="107" t="n">
        <x:f>SUM(D30:DS30)</x:f>
      </x:c>
      <x:c r="C30" t="str">
        <x:v>млн ₽</x:v>
      </x:c>
      <x:c r="D30" s="107" t="n">
        <x:f>D24*'Вводные'!$B$20</x:f>
      </x:c>
      <x:c r="E30" s="107" t="n">
        <x:f>E24*'Вводные'!$B$20</x:f>
      </x:c>
      <x:c r="F30" s="107" t="n">
        <x:f>F24*'Вводные'!$B$20</x:f>
      </x:c>
      <x:c r="G30" s="107" t="n">
        <x:f>G24*'Вводные'!$B$20</x:f>
      </x:c>
      <x:c r="H30" s="107" t="n">
        <x:f>H24*'Вводные'!$B$20</x:f>
      </x:c>
      <x:c r="I30" s="107" t="n">
        <x:f>I24*'Вводные'!$B$20</x:f>
      </x:c>
      <x:c r="J30" s="107" t="n">
        <x:f>J24*'Вводные'!$B$20</x:f>
      </x:c>
      <x:c r="K30" s="107" t="n">
        <x:f>K24*'Вводные'!$B$20</x:f>
      </x:c>
      <x:c r="L30" s="107" t="n">
        <x:f>L24*'Вводные'!$B$20</x:f>
      </x:c>
      <x:c r="M30" s="107" t="n">
        <x:f>M24*'Вводные'!$B$20</x:f>
      </x:c>
      <x:c r="N30" s="107" t="n">
        <x:f>N24*'Вводные'!$B$20</x:f>
      </x:c>
      <x:c r="O30" s="107" t="n">
        <x:f>O24*'Вводные'!$B$20</x:f>
      </x:c>
      <x:c r="P30" s="107" t="n">
        <x:f>P24*'Вводные'!$B$20</x:f>
      </x:c>
      <x:c r="Q30" s="107" t="n">
        <x:f>Q24*'Вводные'!$B$20</x:f>
      </x:c>
      <x:c r="R30" s="107" t="n">
        <x:f>R24*'Вводные'!$B$20</x:f>
      </x:c>
      <x:c r="S30" s="107" t="n">
        <x:f>S24*'Вводные'!$B$20</x:f>
      </x:c>
      <x:c r="T30" s="107" t="n">
        <x:f>T24*'Вводные'!$B$20</x:f>
      </x:c>
      <x:c r="U30" s="107" t="n">
        <x:f>U24*'Вводные'!$B$20</x:f>
      </x:c>
      <x:c r="V30" s="107" t="n">
        <x:f>V24*'Вводные'!$B$20</x:f>
      </x:c>
      <x:c r="W30" s="107" t="n">
        <x:f>W24*'Вводные'!$B$20</x:f>
      </x:c>
      <x:c r="X30" s="107" t="n">
        <x:f>X24*'Вводные'!$B$20</x:f>
      </x:c>
      <x:c r="Y30" s="107" t="n">
        <x:f>Y24*'Вводные'!$B$20</x:f>
      </x:c>
      <x:c r="Z30" s="107" t="n">
        <x:f>Z24*'Вводные'!$B$20</x:f>
      </x:c>
      <x:c r="AA30" s="107" t="n">
        <x:f>AA24*'Вводные'!$B$20</x:f>
      </x:c>
      <x:c r="AB30" s="107" t="n">
        <x:f>AB24*'Вводные'!$B$20</x:f>
      </x:c>
      <x:c r="AC30" s="107" t="n">
        <x:f>AC24*'Вводные'!$B$20</x:f>
      </x:c>
      <x:c r="AD30" s="107" t="n">
        <x:f>AD24*'Вводные'!$B$20</x:f>
      </x:c>
      <x:c r="AE30" s="107" t="n">
        <x:f>AE24*'Вводные'!$B$20</x:f>
      </x:c>
      <x:c r="AF30" s="107" t="n">
        <x:f>AF24*'Вводные'!$B$20</x:f>
      </x:c>
      <x:c r="AG30" s="107" t="n">
        <x:f>AG24*'Вводные'!$B$20</x:f>
      </x:c>
      <x:c r="AH30" s="107" t="n">
        <x:f>AH24*'Вводные'!$B$20</x:f>
      </x:c>
      <x:c r="AI30" s="107" t="n">
        <x:f>AI24*'Вводные'!$B$20</x:f>
      </x:c>
      <x:c r="AJ30" s="107" t="n">
        <x:f>AJ24*'Вводные'!$B$20</x:f>
      </x:c>
      <x:c r="AK30" s="107" t="n">
        <x:f>AK24*'Вводные'!$B$20</x:f>
      </x:c>
      <x:c r="AL30" s="107" t="n">
        <x:f>AL24*'Вводные'!$B$20</x:f>
      </x:c>
      <x:c r="AM30" s="107" t="n">
        <x:f>AM24*'Вводные'!$B$20</x:f>
      </x:c>
      <x:c r="AN30" s="107" t="n">
        <x:f>AN24*'Вводные'!$B$20</x:f>
      </x:c>
      <x:c r="AO30" s="107" t="n">
        <x:f>AO24*'Вводные'!$B$20</x:f>
      </x:c>
      <x:c r="AP30" s="107" t="n">
        <x:f>AP24*'Вводные'!$B$20</x:f>
      </x:c>
      <x:c r="AQ30" s="107" t="n">
        <x:f>AQ24*'Вводные'!$B$20</x:f>
      </x:c>
      <x:c r="AR30" s="107" t="n">
        <x:f>AR24*'Вводные'!$B$20</x:f>
      </x:c>
      <x:c r="AS30" s="107" t="n">
        <x:f>AS24*'Вводные'!$B$20</x:f>
      </x:c>
      <x:c r="AT30" s="107" t="n">
        <x:f>AT24*'Вводные'!$B$20</x:f>
      </x:c>
      <x:c r="AU30" s="107" t="n">
        <x:f>AU24*'Вводные'!$B$20</x:f>
      </x:c>
      <x:c r="AV30" s="107" t="n">
        <x:f>AV24*'Вводные'!$B$20</x:f>
      </x:c>
      <x:c r="AW30" s="107" t="n">
        <x:f>AW24*'Вводные'!$B$20</x:f>
      </x:c>
      <x:c r="AX30" s="107" t="n">
        <x:f>AX24*'Вводные'!$B$20</x:f>
      </x:c>
      <x:c r="AY30" s="107" t="n">
        <x:f>AY24*'Вводные'!$B$20</x:f>
      </x:c>
      <x:c r="AZ30" s="107" t="n">
        <x:f>AZ24*'Вводные'!$B$20</x:f>
      </x:c>
      <x:c r="BA30" s="107" t="n">
        <x:f>BA24*'Вводные'!$B$20</x:f>
      </x:c>
      <x:c r="BB30" s="107" t="n">
        <x:f>BB24*'Вводные'!$B$20</x:f>
      </x:c>
      <x:c r="BC30" s="107" t="n">
        <x:f>BC24*'Вводные'!$B$20</x:f>
      </x:c>
      <x:c r="BD30" s="107" t="n">
        <x:f>BD24*'Вводные'!$B$20</x:f>
      </x:c>
      <x:c r="BE30" s="107" t="n">
        <x:f>BE24*'Вводные'!$B$20</x:f>
      </x:c>
      <x:c r="BF30" s="107" t="n">
        <x:f>BF24*'Вводные'!$B$20</x:f>
      </x:c>
      <x:c r="BG30" s="107" t="n">
        <x:f>BG24*'Вводные'!$B$20</x:f>
      </x:c>
      <x:c r="BH30" s="107" t="n">
        <x:f>BH24*'Вводные'!$B$20</x:f>
      </x:c>
      <x:c r="BI30" s="107" t="n">
        <x:f>BI24*'Вводные'!$B$20</x:f>
      </x:c>
      <x:c r="BJ30" s="107" t="n">
        <x:f>BJ24*'Вводные'!$B$20</x:f>
      </x:c>
      <x:c r="BK30" s="107" t="n">
        <x:f>BK24*'Вводные'!$B$20</x:f>
      </x:c>
      <x:c r="BL30" s="107" t="n">
        <x:f>BL24*'Вводные'!$B$20</x:f>
      </x:c>
      <x:c r="BM30" s="107" t="n">
        <x:f>BM24*'Вводные'!$B$20</x:f>
      </x:c>
      <x:c r="BN30" s="107" t="n">
        <x:f>BN24*'Вводные'!$B$20</x:f>
      </x:c>
      <x:c r="BO30" s="107" t="n">
        <x:f>BO24*'Вводные'!$B$20</x:f>
      </x:c>
      <x:c r="BP30" s="107" t="n">
        <x:f>BP24*'Вводные'!$B$20</x:f>
      </x:c>
      <x:c r="BQ30" s="107" t="n">
        <x:f>BQ24*'Вводные'!$B$20</x:f>
      </x:c>
      <x:c r="BR30" s="107" t="n">
        <x:f>BR24*'Вводные'!$B$20</x:f>
      </x:c>
      <x:c r="BS30" s="107" t="n">
        <x:f>BS24*'Вводные'!$B$20</x:f>
      </x:c>
      <x:c r="BT30" s="107" t="n">
        <x:f>BT24*'Вводные'!$B$20</x:f>
      </x:c>
      <x:c r="BU30" s="107" t="n">
        <x:f>BU24*'Вводные'!$B$20</x:f>
      </x:c>
      <x:c r="BV30" s="107" t="n">
        <x:f>BV24*'Вводные'!$B$20</x:f>
      </x:c>
      <x:c r="BW30" s="107" t="n">
        <x:f>BW24*'Вводные'!$B$20</x:f>
      </x:c>
      <x:c r="BX30" s="107" t="n">
        <x:f>BX24*'Вводные'!$B$20</x:f>
      </x:c>
      <x:c r="BY30" s="107" t="n">
        <x:f>BY24*'Вводные'!$B$20</x:f>
      </x:c>
      <x:c r="BZ30" s="107" t="n">
        <x:f>BZ24*'Вводные'!$B$20</x:f>
      </x:c>
      <x:c r="CA30" s="107" t="n">
        <x:f>CA24*'Вводные'!$B$20</x:f>
      </x:c>
      <x:c r="CB30" s="107" t="n">
        <x:f>CB24*'Вводные'!$B$20</x:f>
      </x:c>
      <x:c r="CC30" s="107" t="n">
        <x:f>CC24*'Вводные'!$B$20</x:f>
      </x:c>
      <x:c r="CD30" s="107" t="n">
        <x:f>CD24*'Вводные'!$B$20</x:f>
      </x:c>
      <x:c r="CE30" s="107" t="n">
        <x:f>CE24*'Вводные'!$B$20</x:f>
      </x:c>
      <x:c r="CF30" s="107" t="n">
        <x:f>CF24*'Вводные'!$B$20</x:f>
      </x:c>
      <x:c r="CG30" s="107" t="n">
        <x:f>CG24*'Вводные'!$B$20</x:f>
      </x:c>
      <x:c r="CH30" s="107" t="n">
        <x:f>CH24*'Вводные'!$B$20</x:f>
      </x:c>
      <x:c r="CI30" s="107" t="n">
        <x:f>CI24*'Вводные'!$B$20</x:f>
      </x:c>
      <x:c r="CJ30" s="107" t="n">
        <x:f>CJ24*'Вводные'!$B$20</x:f>
      </x:c>
      <x:c r="CK30" s="107" t="n">
        <x:f>CK24*'Вводные'!$B$20</x:f>
      </x:c>
      <x:c r="CL30" s="107" t="n">
        <x:f>CL24*'Вводные'!$B$20</x:f>
      </x:c>
      <x:c r="CM30" s="107" t="n">
        <x:f>CM24*'Вводные'!$B$20</x:f>
      </x:c>
      <x:c r="CN30" s="107" t="n">
        <x:f>CN24*'Вводные'!$B$20</x:f>
      </x:c>
      <x:c r="CO30" s="107" t="n">
        <x:f>CO24*'Вводные'!$B$20</x:f>
      </x:c>
      <x:c r="CP30" s="107" t="n">
        <x:f>CP24*'Вводные'!$B$20</x:f>
      </x:c>
      <x:c r="CQ30" s="107" t="n">
        <x:f>CQ24*'Вводные'!$B$20</x:f>
      </x:c>
      <x:c r="CR30" s="107" t="n">
        <x:f>CR24*'Вводные'!$B$20</x:f>
      </x:c>
      <x:c r="CS30" s="107" t="n">
        <x:f>CS24*'Вводные'!$B$20</x:f>
      </x:c>
      <x:c r="CT30" s="107" t="n">
        <x:f>CT24*'Вводные'!$B$20</x:f>
      </x:c>
      <x:c r="CU30" s="107" t="n">
        <x:f>CU24*'Вводные'!$B$20</x:f>
      </x:c>
      <x:c r="CV30" s="107" t="n">
        <x:f>CV24*'Вводные'!$B$20</x:f>
      </x:c>
      <x:c r="CW30" s="107" t="n">
        <x:f>CW24*'Вводные'!$B$20</x:f>
      </x:c>
      <x:c r="CX30" s="107" t="n">
        <x:f>CX24*'Вводные'!$B$20</x:f>
      </x:c>
      <x:c r="CY30" s="107" t="n">
        <x:f>CY24*'Вводные'!$B$20</x:f>
      </x:c>
      <x:c r="CZ30" s="107" t="n">
        <x:f>CZ24*'Вводные'!$B$20</x:f>
      </x:c>
      <x:c r="DA30" s="107" t="n">
        <x:f>DA24*'Вводные'!$B$20</x:f>
      </x:c>
      <x:c r="DB30" s="107" t="n">
        <x:f>DB24*'Вводные'!$B$20</x:f>
      </x:c>
      <x:c r="DC30" s="107" t="n">
        <x:f>DC24*'Вводные'!$B$20</x:f>
      </x:c>
      <x:c r="DD30" s="107" t="n">
        <x:f>DD24*'Вводные'!$B$20</x:f>
      </x:c>
      <x:c r="DE30" s="107" t="n">
        <x:f>DE24*'Вводные'!$B$20</x:f>
      </x:c>
      <x:c r="DF30" s="107" t="n">
        <x:f>DF24*'Вводные'!$B$20</x:f>
      </x:c>
      <x:c r="DG30" s="107" t="n">
        <x:f>DG24*'Вводные'!$B$20</x:f>
      </x:c>
      <x:c r="DH30" s="107" t="n">
        <x:f>DH24*'Вводные'!$B$20</x:f>
      </x:c>
      <x:c r="DI30" s="107" t="n">
        <x:f>DI24*'Вводные'!$B$20</x:f>
      </x:c>
      <x:c r="DJ30" s="107" t="n">
        <x:f>DJ24*'Вводные'!$B$20</x:f>
      </x:c>
      <x:c r="DK30" s="107" t="n">
        <x:f>DK24*'Вводные'!$B$20</x:f>
      </x:c>
      <x:c r="DL30" s="107" t="n">
        <x:f>DL24*'Вводные'!$B$20</x:f>
      </x:c>
      <x:c r="DM30" s="107" t="n">
        <x:f>DM24*'Вводные'!$B$20</x:f>
      </x:c>
      <x:c r="DN30" s="107" t="n">
        <x:f>DN24*'Вводные'!$B$20</x:f>
      </x:c>
      <x:c r="DO30" s="107" t="n">
        <x:f>DO24*'Вводные'!$B$20</x:f>
      </x:c>
      <x:c r="DP30" s="107" t="n">
        <x:f>DP24*'Вводные'!$B$20</x:f>
      </x:c>
      <x:c r="DQ30" s="107" t="n">
        <x:f>DQ24*'Вводные'!$B$20</x:f>
      </x:c>
      <x:c r="DR30" s="107" t="n">
        <x:f>DR24*'Вводные'!$B$20</x:f>
      </x:c>
      <x:c r="DS30" s="107" t="n">
        <x:f>DS24*'Вводные'!$B$20</x:f>
      </x:c>
    </x:row>
    <x:row r="31">
      <x:c r="A31" s="348" t="str">
        <x:v>Расходы объекта всего</x:v>
      </x:c>
      <x:c r="B31" s="348" t="n">
        <x:f>SUM(D31:DS31)</x:f>
      </x:c>
      <x:c r="C31" s="348" t="str">
        <x:v>млн ₽</x:v>
      </x:c>
      <x:c r="D31" s="348" t="n">
        <x:f>SUM(D28:D30)</x:f>
      </x:c>
      <x:c r="E31" s="348" t="n">
        <x:f>SUM(E28:E30)</x:f>
      </x:c>
      <x:c r="F31" s="348" t="n">
        <x:f>SUM(F28:F30)</x:f>
      </x:c>
      <x:c r="G31" s="348" t="n">
        <x:f>SUM(G28:G30)</x:f>
      </x:c>
      <x:c r="H31" s="348" t="n">
        <x:f>SUM(H28:H30)</x:f>
      </x:c>
      <x:c r="I31" s="348" t="n">
        <x:f>SUM(I28:I30)</x:f>
      </x:c>
      <x:c r="J31" s="348" t="n">
        <x:f>SUM(J28:J30)</x:f>
      </x:c>
      <x:c r="K31" s="348" t="n">
        <x:f>SUM(K28:K30)</x:f>
      </x:c>
      <x:c r="L31" s="348" t="n">
        <x:f>SUM(L28:L30)</x:f>
      </x:c>
      <x:c r="M31" s="348" t="n">
        <x:f>SUM(M28:M30)</x:f>
      </x:c>
      <x:c r="N31" s="348" t="n">
        <x:f>SUM(N28:N30)</x:f>
      </x:c>
      <x:c r="O31" s="348" t="n">
        <x:f>SUM(O28:O30)</x:f>
      </x:c>
      <x:c r="P31" s="348" t="n">
        <x:f>SUM(P28:P30)</x:f>
      </x:c>
      <x:c r="Q31" s="348" t="n">
        <x:f>SUM(Q28:Q30)</x:f>
      </x:c>
      <x:c r="R31" s="348" t="n">
        <x:f>SUM(R28:R30)</x:f>
      </x:c>
      <x:c r="S31" s="348" t="n">
        <x:f>SUM(S28:S30)</x:f>
      </x:c>
      <x:c r="T31" s="348" t="n">
        <x:f>SUM(T28:T30)</x:f>
      </x:c>
      <x:c r="U31" s="348" t="n">
        <x:f>SUM(U28:U30)</x:f>
      </x:c>
      <x:c r="V31" s="348" t="n">
        <x:f>SUM(V28:V30)</x:f>
      </x:c>
      <x:c r="W31" s="348" t="n">
        <x:f>SUM(W28:W30)</x:f>
      </x:c>
      <x:c r="X31" s="348" t="n">
        <x:f>SUM(X28:X30)</x:f>
      </x:c>
      <x:c r="Y31" s="348" t="n">
        <x:f>SUM(Y28:Y30)</x:f>
      </x:c>
      <x:c r="Z31" s="348" t="n">
        <x:f>SUM(Z28:Z30)</x:f>
      </x:c>
      <x:c r="AA31" s="348" t="n">
        <x:f>SUM(AA28:AA30)</x:f>
      </x:c>
      <x:c r="AB31" s="348" t="n">
        <x:f>SUM(AB28:AB30)</x:f>
      </x:c>
      <x:c r="AC31" s="348" t="n">
        <x:f>SUM(AC28:AC30)</x:f>
      </x:c>
      <x:c r="AD31" s="348" t="n">
        <x:f>SUM(AD28:AD30)</x:f>
      </x:c>
      <x:c r="AE31" s="348" t="n">
        <x:f>SUM(AE28:AE30)</x:f>
      </x:c>
      <x:c r="AF31" s="348" t="n">
        <x:f>SUM(AF28:AF30)</x:f>
      </x:c>
      <x:c r="AG31" s="348" t="n">
        <x:f>SUM(AG28:AG30)</x:f>
      </x:c>
      <x:c r="AH31" s="348" t="n">
        <x:f>SUM(AH28:AH30)</x:f>
      </x:c>
      <x:c r="AI31" s="348" t="n">
        <x:f>SUM(AI28:AI30)</x:f>
      </x:c>
      <x:c r="AJ31" s="348" t="n">
        <x:f>SUM(AJ28:AJ30)</x:f>
      </x:c>
      <x:c r="AK31" s="348" t="n">
        <x:f>SUM(AK28:AK30)</x:f>
      </x:c>
      <x:c r="AL31" s="348" t="n">
        <x:f>SUM(AL28:AL30)</x:f>
      </x:c>
      <x:c r="AM31" s="348" t="n">
        <x:f>SUM(AM28:AM30)</x:f>
      </x:c>
      <x:c r="AN31" s="348" t="n">
        <x:f>SUM(AN28:AN30)</x:f>
      </x:c>
      <x:c r="AO31" s="348" t="n">
        <x:f>SUM(AO28:AO30)</x:f>
      </x:c>
      <x:c r="AP31" s="348" t="n">
        <x:f>SUM(AP28:AP30)</x:f>
      </x:c>
      <x:c r="AQ31" s="348" t="n">
        <x:f>SUM(AQ28:AQ30)</x:f>
      </x:c>
      <x:c r="AR31" s="348" t="n">
        <x:f>SUM(AR28:AR30)</x:f>
      </x:c>
      <x:c r="AS31" s="348" t="n">
        <x:f>SUM(AS28:AS30)</x:f>
      </x:c>
      <x:c r="AT31" s="348" t="n">
        <x:f>SUM(AT28:AT30)</x:f>
      </x:c>
      <x:c r="AU31" s="348" t="n">
        <x:f>SUM(AU28:AU30)</x:f>
      </x:c>
      <x:c r="AV31" s="348" t="n">
        <x:f>SUM(AV28:AV30)</x:f>
      </x:c>
      <x:c r="AW31" s="348" t="n">
        <x:f>SUM(AW28:AW30)</x:f>
      </x:c>
      <x:c r="AX31" s="348" t="n">
        <x:f>SUM(AX28:AX30)</x:f>
      </x:c>
      <x:c r="AY31" s="348" t="n">
        <x:f>SUM(AY28:AY30)</x:f>
      </x:c>
      <x:c r="AZ31" s="348" t="n">
        <x:f>SUM(AZ28:AZ30)</x:f>
      </x:c>
      <x:c r="BA31" s="348" t="n">
        <x:f>SUM(BA28:BA30)</x:f>
      </x:c>
      <x:c r="BB31" s="348" t="n">
        <x:f>SUM(BB28:BB30)</x:f>
      </x:c>
      <x:c r="BC31" s="348" t="n">
        <x:f>SUM(BC28:BC30)</x:f>
      </x:c>
      <x:c r="BD31" s="348" t="n">
        <x:f>SUM(BD28:BD30)</x:f>
      </x:c>
      <x:c r="BE31" s="348" t="n">
        <x:f>SUM(BE28:BE30)</x:f>
      </x:c>
      <x:c r="BF31" s="348" t="n">
        <x:f>SUM(BF28:BF30)</x:f>
      </x:c>
      <x:c r="BG31" s="348" t="n">
        <x:f>SUM(BG28:BG30)</x:f>
      </x:c>
      <x:c r="BH31" s="348" t="n">
        <x:f>SUM(BH28:BH30)</x:f>
      </x:c>
      <x:c r="BI31" s="348" t="n">
        <x:f>SUM(BI28:BI30)</x:f>
      </x:c>
      <x:c r="BJ31" s="348" t="n">
        <x:f>SUM(BJ28:BJ30)</x:f>
      </x:c>
      <x:c r="BK31" s="348" t="n">
        <x:f>SUM(BK28:BK30)</x:f>
      </x:c>
      <x:c r="BL31" s="348" t="n">
        <x:f>SUM(BL28:BL30)</x:f>
      </x:c>
      <x:c r="BM31" s="348" t="n">
        <x:f>SUM(BM28:BM30)</x:f>
      </x:c>
      <x:c r="BN31" s="348" t="n">
        <x:f>SUM(BN28:BN30)</x:f>
      </x:c>
      <x:c r="BO31" s="348" t="n">
        <x:f>SUM(BO28:BO30)</x:f>
      </x:c>
      <x:c r="BP31" s="348" t="n">
        <x:f>SUM(BP28:BP30)</x:f>
      </x:c>
      <x:c r="BQ31" s="348" t="n">
        <x:f>SUM(BQ28:BQ30)</x:f>
      </x:c>
      <x:c r="BR31" s="348" t="n">
        <x:f>SUM(BR28:BR30)</x:f>
      </x:c>
      <x:c r="BS31" s="348" t="n">
        <x:f>SUM(BS28:BS30)</x:f>
      </x:c>
      <x:c r="BT31" s="348" t="n">
        <x:f>SUM(BT28:BT30)</x:f>
      </x:c>
      <x:c r="BU31" s="348" t="n">
        <x:f>SUM(BU28:BU30)</x:f>
      </x:c>
      <x:c r="BV31" s="348" t="n">
        <x:f>SUM(BV28:BV30)</x:f>
      </x:c>
      <x:c r="BW31" s="348" t="n">
        <x:f>SUM(BW28:BW30)</x:f>
      </x:c>
      <x:c r="BX31" s="348" t="n">
        <x:f>SUM(BX28:BX30)</x:f>
      </x:c>
      <x:c r="BY31" s="348" t="n">
        <x:f>SUM(BY28:BY30)</x:f>
      </x:c>
      <x:c r="BZ31" s="348" t="n">
        <x:f>SUM(BZ28:BZ30)</x:f>
      </x:c>
      <x:c r="CA31" s="348" t="n">
        <x:f>SUM(CA28:CA30)</x:f>
      </x:c>
      <x:c r="CB31" s="348" t="n">
        <x:f>SUM(CB28:CB30)</x:f>
      </x:c>
      <x:c r="CC31" s="348" t="n">
        <x:f>SUM(CC28:CC30)</x:f>
      </x:c>
      <x:c r="CD31" s="348" t="n">
        <x:f>SUM(CD28:CD30)</x:f>
      </x:c>
      <x:c r="CE31" s="348" t="n">
        <x:f>SUM(CE28:CE30)</x:f>
      </x:c>
      <x:c r="CF31" s="348" t="n">
        <x:f>SUM(CF28:CF30)</x:f>
      </x:c>
      <x:c r="CG31" s="348" t="n">
        <x:f>SUM(CG28:CG30)</x:f>
      </x:c>
      <x:c r="CH31" s="348" t="n">
        <x:f>SUM(CH28:CH30)</x:f>
      </x:c>
      <x:c r="CI31" s="348" t="n">
        <x:f>SUM(CI28:CI30)</x:f>
      </x:c>
      <x:c r="CJ31" s="348" t="n">
        <x:f>SUM(CJ28:CJ30)</x:f>
      </x:c>
      <x:c r="CK31" s="348" t="n">
        <x:f>SUM(CK28:CK30)</x:f>
      </x:c>
      <x:c r="CL31" s="348" t="n">
        <x:f>SUM(CL28:CL30)</x:f>
      </x:c>
      <x:c r="CM31" s="348" t="n">
        <x:f>SUM(CM28:CM30)</x:f>
      </x:c>
      <x:c r="CN31" s="348" t="n">
        <x:f>SUM(CN28:CN30)</x:f>
      </x:c>
      <x:c r="CO31" s="348" t="n">
        <x:f>SUM(CO28:CO30)</x:f>
      </x:c>
      <x:c r="CP31" s="348" t="n">
        <x:f>SUM(CP28:CP30)</x:f>
      </x:c>
      <x:c r="CQ31" s="348" t="n">
        <x:f>SUM(CQ28:CQ30)</x:f>
      </x:c>
      <x:c r="CR31" s="348" t="n">
        <x:f>SUM(CR28:CR30)</x:f>
      </x:c>
      <x:c r="CS31" s="348" t="n">
        <x:f>SUM(CS28:CS30)</x:f>
      </x:c>
      <x:c r="CT31" s="348" t="n">
        <x:f>SUM(CT28:CT30)</x:f>
      </x:c>
      <x:c r="CU31" s="348" t="n">
        <x:f>SUM(CU28:CU30)</x:f>
      </x:c>
      <x:c r="CV31" s="348" t="n">
        <x:f>SUM(CV28:CV30)</x:f>
      </x:c>
      <x:c r="CW31" s="348" t="n">
        <x:f>SUM(CW28:CW30)</x:f>
      </x:c>
      <x:c r="CX31" s="348" t="n">
        <x:f>SUM(CX28:CX30)</x:f>
      </x:c>
      <x:c r="CY31" s="348" t="n">
        <x:f>SUM(CY28:CY30)</x:f>
      </x:c>
      <x:c r="CZ31" s="348" t="n">
        <x:f>SUM(CZ28:CZ30)</x:f>
      </x:c>
      <x:c r="DA31" s="348" t="n">
        <x:f>SUM(DA28:DA30)</x:f>
      </x:c>
      <x:c r="DB31" s="348" t="n">
        <x:f>SUM(DB28:DB30)</x:f>
      </x:c>
      <x:c r="DC31" s="348" t="n">
        <x:f>SUM(DC28:DC30)</x:f>
      </x:c>
      <x:c r="DD31" s="348" t="n">
        <x:f>SUM(DD28:DD30)</x:f>
      </x:c>
      <x:c r="DE31" s="348" t="n">
        <x:f>SUM(DE28:DE30)</x:f>
      </x:c>
      <x:c r="DF31" s="348" t="n">
        <x:f>SUM(DF28:DF30)</x:f>
      </x:c>
      <x:c r="DG31" s="348" t="n">
        <x:f>SUM(DG28:DG30)</x:f>
      </x:c>
      <x:c r="DH31" s="348" t="n">
        <x:f>SUM(DH28:DH30)</x:f>
      </x:c>
      <x:c r="DI31" s="348" t="n">
        <x:f>SUM(DI28:DI30)</x:f>
      </x:c>
      <x:c r="DJ31" s="348" t="n">
        <x:f>SUM(DJ28:DJ30)</x:f>
      </x:c>
      <x:c r="DK31" s="348" t="n">
        <x:f>SUM(DK28:DK30)</x:f>
      </x:c>
      <x:c r="DL31" s="348" t="n">
        <x:f>SUM(DL28:DL30)</x:f>
      </x:c>
      <x:c r="DM31" s="348" t="n">
        <x:f>SUM(DM28:DM30)</x:f>
      </x:c>
      <x:c r="DN31" s="348" t="n">
        <x:f>SUM(DN28:DN30)</x:f>
      </x:c>
      <x:c r="DO31" s="348" t="n">
        <x:f>SUM(DO28:DO30)</x:f>
      </x:c>
      <x:c r="DP31" s="348" t="n">
        <x:f>SUM(DP28:DP30)</x:f>
      </x:c>
      <x:c r="DQ31" s="348" t="n">
        <x:f>SUM(DQ28:DQ30)</x:f>
      </x:c>
      <x:c r="DR31" s="348" t="n">
        <x:f>SUM(DR28:DR30)</x:f>
      </x:c>
      <x:c r="DS31" s="348" t="n">
        <x:f>SUM(DS28:DS30)</x:f>
      </x:c>
    </x:row>
    <x:row r="34" ht="21" customHeight="1">
      <x:c r="A34" s="281" t="str">
        <x:v>ТОРГОВЫЙ ЦЕНТР / КОММЕРЦИЯ ОСЗ</x:v>
      </x:c>
      <x:c r="B34" s="282" t="str">
        <x:v>ТОРГОВЫЙ ЦЕНТР / КОММЕРЦИЯ ОСЗ</x:v>
      </x:c>
      <x:c r="C34" s="282" t="str">
        <x:v>ТОРГОВЫЙ ЦЕНТР / КОММЕРЦИЯ ОСЗ</x:v>
      </x:c>
      <x:c r="D34" s="282" t="str">
        <x:v>ТОРГОВЫЙ ЦЕНТР / КОММЕРЦИЯ ОСЗ</x:v>
      </x:c>
      <x:c r="E34" s="282" t="str">
        <x:v>ТОРГОВЫЙ ЦЕНТР / КОММЕРЦИЯ ОСЗ</x:v>
      </x:c>
      <x:c r="F34" s="282" t="str">
        <x:v>ТОРГОВЫЙ ЦЕНТР / КОММЕРЦИЯ ОСЗ</x:v>
      </x:c>
      <x:c r="G34" s="282" t="str">
        <x:v>ТОРГОВЫЙ ЦЕНТР / КОММЕРЦИЯ ОСЗ</x:v>
      </x:c>
      <x:c r="H34" s="282" t="str">
        <x:v>ТОРГОВЫЙ ЦЕНТР / КОММЕРЦИЯ ОСЗ</x:v>
      </x:c>
      <x:c r="I34" s="282" t="str">
        <x:v>ТОРГОВЫЙ ЦЕНТР / КОММЕРЦИЯ ОСЗ</x:v>
      </x:c>
      <x:c r="J34" s="282" t="str">
        <x:v>ТОРГОВЫЙ ЦЕНТР / КОММЕРЦИЯ ОСЗ</x:v>
      </x:c>
      <x:c r="K34" s="282" t="str">
        <x:v>ТОРГОВЫЙ ЦЕНТР / КОММЕРЦИЯ ОСЗ</x:v>
      </x:c>
      <x:c r="L34" s="282" t="str">
        <x:v>ТОРГОВЫЙ ЦЕНТР / КОММЕРЦИЯ ОСЗ</x:v>
      </x:c>
      <x:c r="M34" s="282" t="str">
        <x:v>ТОРГОВЫЙ ЦЕНТР / КОММЕРЦИЯ ОСЗ</x:v>
      </x:c>
      <x:c r="N34" s="282" t="str">
        <x:v>ТОРГОВЫЙ ЦЕНТР / КОММЕРЦИЯ ОСЗ</x:v>
      </x:c>
      <x:c r="O34" s="282" t="str">
        <x:v>ТОРГОВЫЙ ЦЕНТР / КОММЕРЦИЯ ОСЗ</x:v>
      </x:c>
      <x:c r="P34" s="282" t="str">
        <x:v>ТОРГОВЫЙ ЦЕНТР / КОММЕРЦИЯ ОСЗ</x:v>
      </x:c>
      <x:c r="Q34" s="282" t="str">
        <x:v>ТОРГОВЫЙ ЦЕНТР / КОММЕРЦИЯ ОСЗ</x:v>
      </x:c>
      <x:c r="R34" s="282" t="str">
        <x:v>ТОРГОВЫЙ ЦЕНТР / КОММЕРЦИЯ ОСЗ</x:v>
      </x:c>
      <x:c r="S34" s="282" t="str">
        <x:v>ТОРГОВЫЙ ЦЕНТР / КОММЕРЦИЯ ОСЗ</x:v>
      </x:c>
      <x:c r="T34" s="282" t="str">
        <x:v>ТОРГОВЫЙ ЦЕНТР / КОММЕРЦИЯ ОСЗ</x:v>
      </x:c>
      <x:c r="U34" s="282" t="str">
        <x:v>ТОРГОВЫЙ ЦЕНТР / КОММЕРЦИЯ ОСЗ</x:v>
      </x:c>
      <x:c r="V34" s="282" t="str">
        <x:v>ТОРГОВЫЙ ЦЕНТР / КОММЕРЦИЯ ОСЗ</x:v>
      </x:c>
      <x:c r="W34" s="282" t="str">
        <x:v>ТОРГОВЫЙ ЦЕНТР / КОММЕРЦИЯ ОСЗ</x:v>
      </x:c>
      <x:c r="X34" s="282" t="str">
        <x:v>ТОРГОВЫЙ ЦЕНТР / КОММЕРЦИЯ ОСЗ</x:v>
      </x:c>
      <x:c r="Y34" s="282" t="str">
        <x:v>ТОРГОВЫЙ ЦЕНТР / КОММЕРЦИЯ ОСЗ</x:v>
      </x:c>
      <x:c r="Z34" s="282" t="str">
        <x:v>ТОРГОВЫЙ ЦЕНТР / КОММЕРЦИЯ ОСЗ</x:v>
      </x:c>
      <x:c r="AA34" s="282" t="str">
        <x:v>ТОРГОВЫЙ ЦЕНТР / КОММЕРЦИЯ ОСЗ</x:v>
      </x:c>
      <x:c r="AB34" s="282" t="str">
        <x:v>ТОРГОВЫЙ ЦЕНТР / КОММЕРЦИЯ ОСЗ</x:v>
      </x:c>
      <x:c r="AC34" s="282" t="str">
        <x:v>ТОРГОВЫЙ ЦЕНТР / КОММЕРЦИЯ ОСЗ</x:v>
      </x:c>
      <x:c r="AD34" s="282" t="str">
        <x:v>ТОРГОВЫЙ ЦЕНТР / КОММЕРЦИЯ ОСЗ</x:v>
      </x:c>
      <x:c r="AE34" s="282" t="str">
        <x:v>ТОРГОВЫЙ ЦЕНТР / КОММЕРЦИЯ ОСЗ</x:v>
      </x:c>
      <x:c r="AF34" s="282" t="str">
        <x:v>ТОРГОВЫЙ ЦЕНТР / КОММЕРЦИЯ ОСЗ</x:v>
      </x:c>
      <x:c r="AG34" s="282" t="str">
        <x:v>ТОРГОВЫЙ ЦЕНТР / КОММЕРЦИЯ ОСЗ</x:v>
      </x:c>
      <x:c r="AH34" s="282" t="str">
        <x:v>ТОРГОВЫЙ ЦЕНТР / КОММЕРЦИЯ ОСЗ</x:v>
      </x:c>
      <x:c r="AI34" s="282" t="str">
        <x:v>ТОРГОВЫЙ ЦЕНТР / КОММЕРЦИЯ ОСЗ</x:v>
      </x:c>
      <x:c r="AJ34" s="282" t="str">
        <x:v>ТОРГОВЫЙ ЦЕНТР / КОММЕРЦИЯ ОСЗ</x:v>
      </x:c>
      <x:c r="AK34" s="282" t="str">
        <x:v>ТОРГОВЫЙ ЦЕНТР / КОММЕРЦИЯ ОСЗ</x:v>
      </x:c>
      <x:c r="AL34" s="282" t="str">
        <x:v>ТОРГОВЫЙ ЦЕНТР / КОММЕРЦИЯ ОСЗ</x:v>
      </x:c>
      <x:c r="AM34" s="282" t="str">
        <x:v>ТОРГОВЫЙ ЦЕНТР / КОММЕРЦИЯ ОСЗ</x:v>
      </x:c>
      <x:c r="AN34" s="282" t="str">
        <x:v>ТОРГОВЫЙ ЦЕНТР / КОММЕРЦИЯ ОСЗ</x:v>
      </x:c>
      <x:c r="AO34" s="282" t="str">
        <x:v>ТОРГОВЫЙ ЦЕНТР / КОММЕРЦИЯ ОСЗ</x:v>
      </x:c>
      <x:c r="AP34" s="282" t="str">
        <x:v>ТОРГОВЫЙ ЦЕНТР / КОММЕРЦИЯ ОСЗ</x:v>
      </x:c>
      <x:c r="AQ34" s="282" t="str">
        <x:v>ТОРГОВЫЙ ЦЕНТР / КОММЕРЦИЯ ОСЗ</x:v>
      </x:c>
      <x:c r="AR34" s="282" t="str">
        <x:v>ТОРГОВЫЙ ЦЕНТР / КОММЕРЦИЯ ОСЗ</x:v>
      </x:c>
      <x:c r="AS34" s="282" t="str">
        <x:v>ТОРГОВЫЙ ЦЕНТР / КОММЕРЦИЯ ОСЗ</x:v>
      </x:c>
      <x:c r="AT34" s="282" t="str">
        <x:v>ТОРГОВЫЙ ЦЕНТР / КОММЕРЦИЯ ОСЗ</x:v>
      </x:c>
      <x:c r="AU34" s="282" t="str">
        <x:v>ТОРГОВЫЙ ЦЕНТР / КОММЕРЦИЯ ОСЗ</x:v>
      </x:c>
      <x:c r="AV34" s="282" t="str">
        <x:v>ТОРГОВЫЙ ЦЕНТР / КОММЕРЦИЯ ОСЗ</x:v>
      </x:c>
      <x:c r="AW34" s="282" t="str">
        <x:v>ТОРГОВЫЙ ЦЕНТР / КОММЕРЦИЯ ОСЗ</x:v>
      </x:c>
      <x:c r="AX34" s="282" t="str">
        <x:v>ТОРГОВЫЙ ЦЕНТР / КОММЕРЦИЯ ОСЗ</x:v>
      </x:c>
      <x:c r="AY34" s="282" t="str">
        <x:v>ТОРГОВЫЙ ЦЕНТР / КОММЕРЦИЯ ОСЗ</x:v>
      </x:c>
      <x:c r="AZ34" s="282" t="str">
        <x:v>ТОРГОВЫЙ ЦЕНТР / КОММЕРЦИЯ ОСЗ</x:v>
      </x:c>
      <x:c r="BA34" s="282" t="str">
        <x:v>ТОРГОВЫЙ ЦЕНТР / КОММЕРЦИЯ ОСЗ</x:v>
      </x:c>
      <x:c r="BB34" s="282" t="str">
        <x:v>ТОРГОВЫЙ ЦЕНТР / КОММЕРЦИЯ ОСЗ</x:v>
      </x:c>
      <x:c r="BC34" s="282" t="str">
        <x:v>ТОРГОВЫЙ ЦЕНТР / КОММЕРЦИЯ ОСЗ</x:v>
      </x:c>
      <x:c r="BD34" s="282" t="str">
        <x:v>ТОРГОВЫЙ ЦЕНТР / КОММЕРЦИЯ ОСЗ</x:v>
      </x:c>
      <x:c r="BE34" s="282" t="str">
        <x:v>ТОРГОВЫЙ ЦЕНТР / КОММЕРЦИЯ ОСЗ</x:v>
      </x:c>
      <x:c r="BF34" s="282" t="str">
        <x:v>ТОРГОВЫЙ ЦЕНТР / КОММЕРЦИЯ ОСЗ</x:v>
      </x:c>
      <x:c r="BG34" s="282" t="str">
        <x:v>ТОРГОВЫЙ ЦЕНТР / КОММЕРЦИЯ ОСЗ</x:v>
      </x:c>
      <x:c r="BH34" s="282" t="str">
        <x:v>ТОРГОВЫЙ ЦЕНТР / КОММЕРЦИЯ ОСЗ</x:v>
      </x:c>
      <x:c r="BI34" s="282" t="str">
        <x:v>ТОРГОВЫЙ ЦЕНТР / КОММЕРЦИЯ ОСЗ</x:v>
      </x:c>
      <x:c r="BJ34" s="282" t="str">
        <x:v>ТОРГОВЫЙ ЦЕНТР / КОММЕРЦИЯ ОСЗ</x:v>
      </x:c>
      <x:c r="BK34" s="282" t="str">
        <x:v>ТОРГОВЫЙ ЦЕНТР / КОММЕРЦИЯ ОСЗ</x:v>
      </x:c>
      <x:c r="BL34" s="282" t="str">
        <x:v>ТОРГОВЫЙ ЦЕНТР / КОММЕРЦИЯ ОСЗ</x:v>
      </x:c>
      <x:c r="BM34" s="282" t="str">
        <x:v>ТОРГОВЫЙ ЦЕНТР / КОММЕРЦИЯ ОСЗ</x:v>
      </x:c>
      <x:c r="BN34" s="282" t="str">
        <x:v>ТОРГОВЫЙ ЦЕНТР / КОММЕРЦИЯ ОСЗ</x:v>
      </x:c>
      <x:c r="BO34" s="282" t="str">
        <x:v>ТОРГОВЫЙ ЦЕНТР / КОММЕРЦИЯ ОСЗ</x:v>
      </x:c>
      <x:c r="BP34" s="282" t="str">
        <x:v>ТОРГОВЫЙ ЦЕНТР / КОММЕРЦИЯ ОСЗ</x:v>
      </x:c>
      <x:c r="BQ34" s="282" t="str">
        <x:v>ТОРГОВЫЙ ЦЕНТР / КОММЕРЦИЯ ОСЗ</x:v>
      </x:c>
      <x:c r="BR34" s="282" t="str">
        <x:v>ТОРГОВЫЙ ЦЕНТР / КОММЕРЦИЯ ОСЗ</x:v>
      </x:c>
      <x:c r="BS34" s="282" t="str">
        <x:v>ТОРГОВЫЙ ЦЕНТР / КОММЕРЦИЯ ОСЗ</x:v>
      </x:c>
      <x:c r="BT34" s="282" t="str">
        <x:v>ТОРГОВЫЙ ЦЕНТР / КОММЕРЦИЯ ОСЗ</x:v>
      </x:c>
      <x:c r="BU34" s="282" t="str">
        <x:v>ТОРГОВЫЙ ЦЕНТР / КОММЕРЦИЯ ОСЗ</x:v>
      </x:c>
      <x:c r="BV34" s="282" t="str">
        <x:v>ТОРГОВЫЙ ЦЕНТР / КОММЕРЦИЯ ОСЗ</x:v>
      </x:c>
      <x:c r="BW34" s="282" t="str">
        <x:v>ТОРГОВЫЙ ЦЕНТР / КОММЕРЦИЯ ОСЗ</x:v>
      </x:c>
      <x:c r="BX34" s="282" t="str">
        <x:v>ТОРГОВЫЙ ЦЕНТР / КОММЕРЦИЯ ОСЗ</x:v>
      </x:c>
      <x:c r="BY34" s="282" t="str">
        <x:v>ТОРГОВЫЙ ЦЕНТР / КОММЕРЦИЯ ОСЗ</x:v>
      </x:c>
      <x:c r="BZ34" s="282" t="str">
        <x:v>ТОРГОВЫЙ ЦЕНТР / КОММЕРЦИЯ ОСЗ</x:v>
      </x:c>
      <x:c r="CA34" s="282" t="str">
        <x:v>ТОРГОВЫЙ ЦЕНТР / КОММЕРЦИЯ ОСЗ</x:v>
      </x:c>
      <x:c r="CB34" s="282" t="str">
        <x:v>ТОРГОВЫЙ ЦЕНТР / КОММЕРЦИЯ ОСЗ</x:v>
      </x:c>
      <x:c r="CC34" s="282" t="str">
        <x:v>ТОРГОВЫЙ ЦЕНТР / КОММЕРЦИЯ ОСЗ</x:v>
      </x:c>
      <x:c r="CD34" s="282" t="str">
        <x:v>ТОРГОВЫЙ ЦЕНТР / КОММЕРЦИЯ ОСЗ</x:v>
      </x:c>
      <x:c r="CE34" s="282" t="str">
        <x:v>ТОРГОВЫЙ ЦЕНТР / КОММЕРЦИЯ ОСЗ</x:v>
      </x:c>
      <x:c r="CF34" s="282" t="str">
        <x:v>ТОРГОВЫЙ ЦЕНТР / КОММЕРЦИЯ ОСЗ</x:v>
      </x:c>
      <x:c r="CG34" s="282" t="str">
        <x:v>ТОРГОВЫЙ ЦЕНТР / КОММЕРЦИЯ ОСЗ</x:v>
      </x:c>
      <x:c r="CH34" s="282" t="str">
        <x:v>ТОРГОВЫЙ ЦЕНТР / КОММЕРЦИЯ ОСЗ</x:v>
      </x:c>
      <x:c r="CI34" s="282" t="str">
        <x:v>ТОРГОВЫЙ ЦЕНТР / КОММЕРЦИЯ ОСЗ</x:v>
      </x:c>
      <x:c r="CJ34" s="282" t="str">
        <x:v>ТОРГОВЫЙ ЦЕНТР / КОММЕРЦИЯ ОСЗ</x:v>
      </x:c>
      <x:c r="CK34" s="282" t="str">
        <x:v>ТОРГОВЫЙ ЦЕНТР / КОММЕРЦИЯ ОСЗ</x:v>
      </x:c>
      <x:c r="CL34" s="282" t="str">
        <x:v>ТОРГОВЫЙ ЦЕНТР / КОММЕРЦИЯ ОСЗ</x:v>
      </x:c>
      <x:c r="CM34" s="282" t="str">
        <x:v>ТОРГОВЫЙ ЦЕНТР / КОММЕРЦИЯ ОСЗ</x:v>
      </x:c>
      <x:c r="CN34" s="282" t="str">
        <x:v>ТОРГОВЫЙ ЦЕНТР / КОММЕРЦИЯ ОСЗ</x:v>
      </x:c>
      <x:c r="CO34" s="282" t="str">
        <x:v>ТОРГОВЫЙ ЦЕНТР / КОММЕРЦИЯ ОСЗ</x:v>
      </x:c>
      <x:c r="CP34" s="282" t="str">
        <x:v>ТОРГОВЫЙ ЦЕНТР / КОММЕРЦИЯ ОСЗ</x:v>
      </x:c>
      <x:c r="CQ34" s="282" t="str">
        <x:v>ТОРГОВЫЙ ЦЕНТР / КОММЕРЦИЯ ОСЗ</x:v>
      </x:c>
      <x:c r="CR34" s="282" t="str">
        <x:v>ТОРГОВЫЙ ЦЕНТР / КОММЕРЦИЯ ОСЗ</x:v>
      </x:c>
      <x:c r="CS34" s="282" t="str">
        <x:v>ТОРГОВЫЙ ЦЕНТР / КОММЕРЦИЯ ОСЗ</x:v>
      </x:c>
      <x:c r="CT34" s="282" t="str">
        <x:v>ТОРГОВЫЙ ЦЕНТР / КОММЕРЦИЯ ОСЗ</x:v>
      </x:c>
      <x:c r="CU34" s="282" t="str">
        <x:v>ТОРГОВЫЙ ЦЕНТР / КОММЕРЦИЯ ОСЗ</x:v>
      </x:c>
      <x:c r="CV34" s="282" t="str">
        <x:v>ТОРГОВЫЙ ЦЕНТР / КОММЕРЦИЯ ОСЗ</x:v>
      </x:c>
      <x:c r="CW34" s="282" t="str">
        <x:v>ТОРГОВЫЙ ЦЕНТР / КОММЕРЦИЯ ОСЗ</x:v>
      </x:c>
      <x:c r="CX34" s="282" t="str">
        <x:v>ТОРГОВЫЙ ЦЕНТР / КОММЕРЦИЯ ОСЗ</x:v>
      </x:c>
      <x:c r="CY34" s="282" t="str">
        <x:v>ТОРГОВЫЙ ЦЕНТР / КОММЕРЦИЯ ОСЗ</x:v>
      </x:c>
      <x:c r="CZ34" s="282" t="str">
        <x:v>ТОРГОВЫЙ ЦЕНТР / КОММЕРЦИЯ ОСЗ</x:v>
      </x:c>
      <x:c r="DA34" s="282" t="str">
        <x:v>ТОРГОВЫЙ ЦЕНТР / КОММЕРЦИЯ ОСЗ</x:v>
      </x:c>
      <x:c r="DB34" s="282" t="str">
        <x:v>ТОРГОВЫЙ ЦЕНТР / КОММЕРЦИЯ ОСЗ</x:v>
      </x:c>
      <x:c r="DC34" s="282" t="str">
        <x:v>ТОРГОВЫЙ ЦЕНТР / КОММЕРЦИЯ ОСЗ</x:v>
      </x:c>
      <x:c r="DD34" s="282" t="str">
        <x:v>ТОРГОВЫЙ ЦЕНТР / КОММЕРЦИЯ ОСЗ</x:v>
      </x:c>
      <x:c r="DE34" s="282" t="str">
        <x:v>ТОРГОВЫЙ ЦЕНТР / КОММЕРЦИЯ ОСЗ</x:v>
      </x:c>
      <x:c r="DF34" s="282" t="str">
        <x:v>ТОРГОВЫЙ ЦЕНТР / КОММЕРЦИЯ ОСЗ</x:v>
      </x:c>
      <x:c r="DG34" s="282" t="str">
        <x:v>ТОРГОВЫЙ ЦЕНТР / КОММЕРЦИЯ ОСЗ</x:v>
      </x:c>
      <x:c r="DH34" s="282" t="str">
        <x:v>ТОРГОВЫЙ ЦЕНТР / КОММЕРЦИЯ ОСЗ</x:v>
      </x:c>
      <x:c r="DI34" s="282" t="str">
        <x:v>ТОРГОВЫЙ ЦЕНТР / КОММЕРЦИЯ ОСЗ</x:v>
      </x:c>
      <x:c r="DJ34" s="282" t="str">
        <x:v>ТОРГОВЫЙ ЦЕНТР / КОММЕРЦИЯ ОСЗ</x:v>
      </x:c>
      <x:c r="DK34" s="282" t="str">
        <x:v>ТОРГОВЫЙ ЦЕНТР / КОММЕРЦИЯ ОСЗ</x:v>
      </x:c>
      <x:c r="DL34" s="282" t="str">
        <x:v>ТОРГОВЫЙ ЦЕНТР / КОММЕРЦИЯ ОСЗ</x:v>
      </x:c>
      <x:c r="DM34" s="282" t="str">
        <x:v>ТОРГОВЫЙ ЦЕНТР / КОММЕРЦИЯ ОСЗ</x:v>
      </x:c>
      <x:c r="DN34" s="282" t="str">
        <x:v>ТОРГОВЫЙ ЦЕНТР / КОММЕРЦИЯ ОСЗ</x:v>
      </x:c>
      <x:c r="DO34" s="282" t="str">
        <x:v>ТОРГОВЫЙ ЦЕНТР / КОММЕРЦИЯ ОСЗ</x:v>
      </x:c>
      <x:c r="DP34" s="282" t="str">
        <x:v>ТОРГОВЫЙ ЦЕНТР / КОММЕРЦИЯ ОСЗ</x:v>
      </x:c>
      <x:c r="DQ34" s="282" t="str">
        <x:v>ТОРГОВЫЙ ЦЕНТР / КОММЕРЦИЯ ОСЗ</x:v>
      </x:c>
      <x:c r="DR34" s="282" t="str">
        <x:v>ТОРГОВЫЙ ЦЕНТР / КОММЕРЦИЯ ОСЗ</x:v>
      </x:c>
      <x:c r="DS34" s="283" t="str">
        <x:v>ТОРГОВЫЙ ЦЕНТР / КОММЕРЦИЯ ОСЗ</x:v>
      </x:c>
    </x:row>
    <x:row r="35">
      <x:c r="A35" t="str">
        <x:v>Объект включён</x:v>
      </x:c>
      <x:c r="B35" t="str">
        <x:f>'Вводные'!$K$40</x:f>
      </x:c>
      <x:c r="C35" t="str">
        <x:v>Да / Нет</x:v>
      </x:c>
    </x:row>
    <x:row r="36">
      <x:c r="A36" t="str">
        <x:v>Очередь финансирования</x:v>
      </x:c>
      <x:c r="B36" t="n">
        <x:f>'Вводные'!$K$41</x:f>
      </x:c>
      <x:c r="C36" t="str">
        <x:v>1–3</x:v>
      </x:c>
    </x:row>
    <x:row r="37">
      <x:c r="A37" t="str">
        <x:v>Начало строительства</x:v>
      </x:c>
      <x:c r="B37" s="92" t="n">
        <x:f>EDATE('Вводные'!$K$47,'Вводные'!$H$9)</x:f>
      </x:c>
      <x:c r="C37" t="str">
        <x:v>дата</x:v>
      </x:c>
    </x:row>
    <x:row r="38">
      <x:c r="A38" t="str">
        <x:v>РВЭ</x:v>
      </x:c>
      <x:c r="B38" s="92" t="n">
        <x:f>EDATE(B37,'Вводные'!$K$48)</x:f>
      </x:c>
      <x:c r="C38" t="str">
        <x:v>дата</x:v>
      </x:c>
    </x:row>
    <x:row r="39">
      <x:c r="A39" t="str">
        <x:v>Старт продаж</x:v>
      </x:c>
      <x:c r="B39" s="92" t="n">
        <x:f>EDATE('Вводные'!$K$50,'Вводные'!$H$9)</x:f>
      </x:c>
      <x:c r="C39" t="str">
        <x:v>дата</x:v>
      </x:c>
    </x:row>
    <x:row r="40">
      <x:c r="A40" t="str">
        <x:v>Расчётная общая площадь (GBA)</x:v>
      </x:c>
      <x:c r="B40" s="132" t="n">
        <x:f>'Вводные'!$K$45</x:f>
      </x:c>
      <x:c r="C40" t="str">
        <x:v>м²</x:v>
      </x:c>
    </x:row>
    <x:row r="41">
      <x:c r="A41" t="str">
        <x:v>Расчётная продаваемая площадь</x:v>
      </x:c>
      <x:c r="B41" s="132" t="n">
        <x:f>'Вводные'!$K$46</x:f>
      </x:c>
      <x:c r="C41" t="str">
        <x:v>м²</x:v>
      </x:c>
    </x:row>
    <x:row r="42">
      <x:c r="A42" t="str">
        <x:v>Флаг строительства</x:v>
      </x:c>
      <x:c r="B42"/>
      <x:c r="C42" t="str">
        <x:v>0 / 1</x:v>
      </x:c>
      <x:c r="D42" t="n">
        <x:f>--AND(D$3&gt;=$B$37,D$3&lt;$B$38,AND($B$35="Да",IFERROR(INDEX('Вводные'!$B$88:$B$91,$B$36),"Нет")="Да"))</x:f>
      </x:c>
      <x:c r="E42" t="n">
        <x:f>--AND(E$3&gt;=$B$37,E$3&lt;$B$38,AND($B$35="Да",IFERROR(INDEX('Вводные'!$B$88:$B$91,$B$36),"Нет")="Да"))</x:f>
      </x:c>
      <x:c r="F42" t="n">
        <x:f>--AND(F$3&gt;=$B$37,F$3&lt;$B$38,AND($B$35="Да",IFERROR(INDEX('Вводные'!$B$88:$B$91,$B$36),"Нет")="Да"))</x:f>
      </x:c>
      <x:c r="G42" t="n">
        <x:f>--AND(G$3&gt;=$B$37,G$3&lt;$B$38,AND($B$35="Да",IFERROR(INDEX('Вводные'!$B$88:$B$91,$B$36),"Нет")="Да"))</x:f>
      </x:c>
      <x:c r="H42" t="n">
        <x:f>--AND(H$3&gt;=$B$37,H$3&lt;$B$38,AND($B$35="Да",IFERROR(INDEX('Вводные'!$B$88:$B$91,$B$36),"Нет")="Да"))</x:f>
      </x:c>
      <x:c r="I42" t="n">
        <x:f>--AND(I$3&gt;=$B$37,I$3&lt;$B$38,AND($B$35="Да",IFERROR(INDEX('Вводные'!$B$88:$B$91,$B$36),"Нет")="Да"))</x:f>
      </x:c>
      <x:c r="J42" t="n">
        <x:f>--AND(J$3&gt;=$B$37,J$3&lt;$B$38,AND($B$35="Да",IFERROR(INDEX('Вводные'!$B$88:$B$91,$B$36),"Нет")="Да"))</x:f>
      </x:c>
      <x:c r="K42" t="n">
        <x:f>--AND(K$3&gt;=$B$37,K$3&lt;$B$38,AND($B$35="Да",IFERROR(INDEX('Вводные'!$B$88:$B$91,$B$36),"Нет")="Да"))</x:f>
      </x:c>
      <x:c r="L42" t="n">
        <x:f>--AND(L$3&gt;=$B$37,L$3&lt;$B$38,AND($B$35="Да",IFERROR(INDEX('Вводные'!$B$88:$B$91,$B$36),"Нет")="Да"))</x:f>
      </x:c>
      <x:c r="M42" t="n">
        <x:f>--AND(M$3&gt;=$B$37,M$3&lt;$B$38,AND($B$35="Да",IFERROR(INDEX('Вводные'!$B$88:$B$91,$B$36),"Нет")="Да"))</x:f>
      </x:c>
      <x:c r="N42" t="n">
        <x:f>--AND(N$3&gt;=$B$37,N$3&lt;$B$38,AND($B$35="Да",IFERROR(INDEX('Вводные'!$B$88:$B$91,$B$36),"Нет")="Да"))</x:f>
      </x:c>
      <x:c r="O42" t="n">
        <x:f>--AND(O$3&gt;=$B$37,O$3&lt;$B$38,AND($B$35="Да",IFERROR(INDEX('Вводные'!$B$88:$B$91,$B$36),"Нет")="Да"))</x:f>
      </x:c>
      <x:c r="P42" t="n">
        <x:f>--AND(P$3&gt;=$B$37,P$3&lt;$B$38,AND($B$35="Да",IFERROR(INDEX('Вводные'!$B$88:$B$91,$B$36),"Нет")="Да"))</x:f>
      </x:c>
      <x:c r="Q42" t="n">
        <x:f>--AND(Q$3&gt;=$B$37,Q$3&lt;$B$38,AND($B$35="Да",IFERROR(INDEX('Вводные'!$B$88:$B$91,$B$36),"Нет")="Да"))</x:f>
      </x:c>
      <x:c r="R42" t="n">
        <x:f>--AND(R$3&gt;=$B$37,R$3&lt;$B$38,AND($B$35="Да",IFERROR(INDEX('Вводные'!$B$88:$B$91,$B$36),"Нет")="Да"))</x:f>
      </x:c>
      <x:c r="S42" t="n">
        <x:f>--AND(S$3&gt;=$B$37,S$3&lt;$B$38,AND($B$35="Да",IFERROR(INDEX('Вводные'!$B$88:$B$91,$B$36),"Нет")="Да"))</x:f>
      </x:c>
      <x:c r="T42" t="n">
        <x:f>--AND(T$3&gt;=$B$37,T$3&lt;$B$38,AND($B$35="Да",IFERROR(INDEX('Вводные'!$B$88:$B$91,$B$36),"Нет")="Да"))</x:f>
      </x:c>
      <x:c r="U42" t="n">
        <x:f>--AND(U$3&gt;=$B$37,U$3&lt;$B$38,AND($B$35="Да",IFERROR(INDEX('Вводные'!$B$88:$B$91,$B$36),"Нет")="Да"))</x:f>
      </x:c>
      <x:c r="V42" t="n">
        <x:f>--AND(V$3&gt;=$B$37,V$3&lt;$B$38,AND($B$35="Да",IFERROR(INDEX('Вводные'!$B$88:$B$91,$B$36),"Нет")="Да"))</x:f>
      </x:c>
      <x:c r="W42" t="n">
        <x:f>--AND(W$3&gt;=$B$37,W$3&lt;$B$38,AND($B$35="Да",IFERROR(INDEX('Вводные'!$B$88:$B$91,$B$36),"Нет")="Да"))</x:f>
      </x:c>
      <x:c r="X42" t="n">
        <x:f>--AND(X$3&gt;=$B$37,X$3&lt;$B$38,AND($B$35="Да",IFERROR(INDEX('Вводные'!$B$88:$B$91,$B$36),"Нет")="Да"))</x:f>
      </x:c>
      <x:c r="Y42" t="n">
        <x:f>--AND(Y$3&gt;=$B$37,Y$3&lt;$B$38,AND($B$35="Да",IFERROR(INDEX('Вводные'!$B$88:$B$91,$B$36),"Нет")="Да"))</x:f>
      </x:c>
      <x:c r="Z42" t="n">
        <x:f>--AND(Z$3&gt;=$B$37,Z$3&lt;$B$38,AND($B$35="Да",IFERROR(INDEX('Вводные'!$B$88:$B$91,$B$36),"Нет")="Да"))</x:f>
      </x:c>
      <x:c r="AA42" t="n">
        <x:f>--AND(AA$3&gt;=$B$37,AA$3&lt;$B$38,AND($B$35="Да",IFERROR(INDEX('Вводные'!$B$88:$B$91,$B$36),"Нет")="Да"))</x:f>
      </x:c>
      <x:c r="AB42" t="n">
        <x:f>--AND(AB$3&gt;=$B$37,AB$3&lt;$B$38,AND($B$35="Да",IFERROR(INDEX('Вводные'!$B$88:$B$91,$B$36),"Нет")="Да"))</x:f>
      </x:c>
      <x:c r="AC42" t="n">
        <x:f>--AND(AC$3&gt;=$B$37,AC$3&lt;$B$38,AND($B$35="Да",IFERROR(INDEX('Вводные'!$B$88:$B$91,$B$36),"Нет")="Да"))</x:f>
      </x:c>
      <x:c r="AD42" t="n">
        <x:f>--AND(AD$3&gt;=$B$37,AD$3&lt;$B$38,AND($B$35="Да",IFERROR(INDEX('Вводные'!$B$88:$B$91,$B$36),"Нет")="Да"))</x:f>
      </x:c>
      <x:c r="AE42" t="n">
        <x:f>--AND(AE$3&gt;=$B$37,AE$3&lt;$B$38,AND($B$35="Да",IFERROR(INDEX('Вводные'!$B$88:$B$91,$B$36),"Нет")="Да"))</x:f>
      </x:c>
      <x:c r="AF42" t="n">
        <x:f>--AND(AF$3&gt;=$B$37,AF$3&lt;$B$38,AND($B$35="Да",IFERROR(INDEX('Вводные'!$B$88:$B$91,$B$36),"Нет")="Да"))</x:f>
      </x:c>
      <x:c r="AG42" t="n">
        <x:f>--AND(AG$3&gt;=$B$37,AG$3&lt;$B$38,AND($B$35="Да",IFERROR(INDEX('Вводные'!$B$88:$B$91,$B$36),"Нет")="Да"))</x:f>
      </x:c>
      <x:c r="AH42" t="n">
        <x:f>--AND(AH$3&gt;=$B$37,AH$3&lt;$B$38,AND($B$35="Да",IFERROR(INDEX('Вводные'!$B$88:$B$91,$B$36),"Нет")="Да"))</x:f>
      </x:c>
      <x:c r="AI42" t="n">
        <x:f>--AND(AI$3&gt;=$B$37,AI$3&lt;$B$38,AND($B$35="Да",IFERROR(INDEX('Вводные'!$B$88:$B$91,$B$36),"Нет")="Да"))</x:f>
      </x:c>
      <x:c r="AJ42" t="n">
        <x:f>--AND(AJ$3&gt;=$B$37,AJ$3&lt;$B$38,AND($B$35="Да",IFERROR(INDEX('Вводные'!$B$88:$B$91,$B$36),"Нет")="Да"))</x:f>
      </x:c>
      <x:c r="AK42" t="n">
        <x:f>--AND(AK$3&gt;=$B$37,AK$3&lt;$B$38,AND($B$35="Да",IFERROR(INDEX('Вводные'!$B$88:$B$91,$B$36),"Нет")="Да"))</x:f>
      </x:c>
      <x:c r="AL42" t="n">
        <x:f>--AND(AL$3&gt;=$B$37,AL$3&lt;$B$38,AND($B$35="Да",IFERROR(INDEX('Вводные'!$B$88:$B$91,$B$36),"Нет")="Да"))</x:f>
      </x:c>
      <x:c r="AM42" t="n">
        <x:f>--AND(AM$3&gt;=$B$37,AM$3&lt;$B$38,AND($B$35="Да",IFERROR(INDEX('Вводные'!$B$88:$B$91,$B$36),"Нет")="Да"))</x:f>
      </x:c>
      <x:c r="AN42" t="n">
        <x:f>--AND(AN$3&gt;=$B$37,AN$3&lt;$B$38,AND($B$35="Да",IFERROR(INDEX('Вводные'!$B$88:$B$91,$B$36),"Нет")="Да"))</x:f>
      </x:c>
      <x:c r="AO42" t="n">
        <x:f>--AND(AO$3&gt;=$B$37,AO$3&lt;$B$38,AND($B$35="Да",IFERROR(INDEX('Вводные'!$B$88:$B$91,$B$36),"Нет")="Да"))</x:f>
      </x:c>
      <x:c r="AP42" t="n">
        <x:f>--AND(AP$3&gt;=$B$37,AP$3&lt;$B$38,AND($B$35="Да",IFERROR(INDEX('Вводные'!$B$88:$B$91,$B$36),"Нет")="Да"))</x:f>
      </x:c>
      <x:c r="AQ42" t="n">
        <x:f>--AND(AQ$3&gt;=$B$37,AQ$3&lt;$B$38,AND($B$35="Да",IFERROR(INDEX('Вводные'!$B$88:$B$91,$B$36),"Нет")="Да"))</x:f>
      </x:c>
      <x:c r="AR42" t="n">
        <x:f>--AND(AR$3&gt;=$B$37,AR$3&lt;$B$38,AND($B$35="Да",IFERROR(INDEX('Вводные'!$B$88:$B$91,$B$36),"Нет")="Да"))</x:f>
      </x:c>
      <x:c r="AS42" t="n">
        <x:f>--AND(AS$3&gt;=$B$37,AS$3&lt;$B$38,AND($B$35="Да",IFERROR(INDEX('Вводные'!$B$88:$B$91,$B$36),"Нет")="Да"))</x:f>
      </x:c>
      <x:c r="AT42" t="n">
        <x:f>--AND(AT$3&gt;=$B$37,AT$3&lt;$B$38,AND($B$35="Да",IFERROR(INDEX('Вводные'!$B$88:$B$91,$B$36),"Нет")="Да"))</x:f>
      </x:c>
      <x:c r="AU42" t="n">
        <x:f>--AND(AU$3&gt;=$B$37,AU$3&lt;$B$38,AND($B$35="Да",IFERROR(INDEX('Вводные'!$B$88:$B$91,$B$36),"Нет")="Да"))</x:f>
      </x:c>
      <x:c r="AV42" t="n">
        <x:f>--AND(AV$3&gt;=$B$37,AV$3&lt;$B$38,AND($B$35="Да",IFERROR(INDEX('Вводные'!$B$88:$B$91,$B$36),"Нет")="Да"))</x:f>
      </x:c>
      <x:c r="AW42" t="n">
        <x:f>--AND(AW$3&gt;=$B$37,AW$3&lt;$B$38,AND($B$35="Да",IFERROR(INDEX('Вводные'!$B$88:$B$91,$B$36),"Нет")="Да"))</x:f>
      </x:c>
      <x:c r="AX42" t="n">
        <x:f>--AND(AX$3&gt;=$B$37,AX$3&lt;$B$38,AND($B$35="Да",IFERROR(INDEX('Вводные'!$B$88:$B$91,$B$36),"Нет")="Да"))</x:f>
      </x:c>
      <x:c r="AY42" t="n">
        <x:f>--AND(AY$3&gt;=$B$37,AY$3&lt;$B$38,AND($B$35="Да",IFERROR(INDEX('Вводные'!$B$88:$B$91,$B$36),"Нет")="Да"))</x:f>
      </x:c>
      <x:c r="AZ42" t="n">
        <x:f>--AND(AZ$3&gt;=$B$37,AZ$3&lt;$B$38,AND($B$35="Да",IFERROR(INDEX('Вводные'!$B$88:$B$91,$B$36),"Нет")="Да"))</x:f>
      </x:c>
      <x:c r="BA42" t="n">
        <x:f>--AND(BA$3&gt;=$B$37,BA$3&lt;$B$38,AND($B$35="Да",IFERROR(INDEX('Вводные'!$B$88:$B$91,$B$36),"Нет")="Да"))</x:f>
      </x:c>
      <x:c r="BB42" t="n">
        <x:f>--AND(BB$3&gt;=$B$37,BB$3&lt;$B$38,AND($B$35="Да",IFERROR(INDEX('Вводные'!$B$88:$B$91,$B$36),"Нет")="Да"))</x:f>
      </x:c>
      <x:c r="BC42" t="n">
        <x:f>--AND(BC$3&gt;=$B$37,BC$3&lt;$B$38,AND($B$35="Да",IFERROR(INDEX('Вводные'!$B$88:$B$91,$B$36),"Нет")="Да"))</x:f>
      </x:c>
      <x:c r="BD42" t="n">
        <x:f>--AND(BD$3&gt;=$B$37,BD$3&lt;$B$38,AND($B$35="Да",IFERROR(INDEX('Вводные'!$B$88:$B$91,$B$36),"Нет")="Да"))</x:f>
      </x:c>
      <x:c r="BE42" t="n">
        <x:f>--AND(BE$3&gt;=$B$37,BE$3&lt;$B$38,AND($B$35="Да",IFERROR(INDEX('Вводные'!$B$88:$B$91,$B$36),"Нет")="Да"))</x:f>
      </x:c>
      <x:c r="BF42" t="n">
        <x:f>--AND(BF$3&gt;=$B$37,BF$3&lt;$B$38,AND($B$35="Да",IFERROR(INDEX('Вводные'!$B$88:$B$91,$B$36),"Нет")="Да"))</x:f>
      </x:c>
      <x:c r="BG42" t="n">
        <x:f>--AND(BG$3&gt;=$B$37,BG$3&lt;$B$38,AND($B$35="Да",IFERROR(INDEX('Вводные'!$B$88:$B$91,$B$36),"Нет")="Да"))</x:f>
      </x:c>
      <x:c r="BH42" t="n">
        <x:f>--AND(BH$3&gt;=$B$37,BH$3&lt;$B$38,AND($B$35="Да",IFERROR(INDEX('Вводные'!$B$88:$B$91,$B$36),"Нет")="Да"))</x:f>
      </x:c>
      <x:c r="BI42" t="n">
        <x:f>--AND(BI$3&gt;=$B$37,BI$3&lt;$B$38,AND($B$35="Да",IFERROR(INDEX('Вводные'!$B$88:$B$91,$B$36),"Нет")="Да"))</x:f>
      </x:c>
      <x:c r="BJ42" t="n">
        <x:f>--AND(BJ$3&gt;=$B$37,BJ$3&lt;$B$38,AND($B$35="Да",IFERROR(INDEX('Вводные'!$B$88:$B$91,$B$36),"Нет")="Да"))</x:f>
      </x:c>
      <x:c r="BK42" t="n">
        <x:f>--AND(BK$3&gt;=$B$37,BK$3&lt;$B$38,AND($B$35="Да",IFERROR(INDEX('Вводные'!$B$88:$B$91,$B$36),"Нет")="Да"))</x:f>
      </x:c>
      <x:c r="BL42" t="n">
        <x:f>--AND(BL$3&gt;=$B$37,BL$3&lt;$B$38,AND($B$35="Да",IFERROR(INDEX('Вводные'!$B$88:$B$91,$B$36),"Нет")="Да"))</x:f>
      </x:c>
      <x:c r="BM42" t="n">
        <x:f>--AND(BM$3&gt;=$B$37,BM$3&lt;$B$38,AND($B$35="Да",IFERROR(INDEX('Вводные'!$B$88:$B$91,$B$36),"Нет")="Да"))</x:f>
      </x:c>
      <x:c r="BN42" t="n">
        <x:f>--AND(BN$3&gt;=$B$37,BN$3&lt;$B$38,AND($B$35="Да",IFERROR(INDEX('Вводные'!$B$88:$B$91,$B$36),"Нет")="Да"))</x:f>
      </x:c>
      <x:c r="BO42" t="n">
        <x:f>--AND(BO$3&gt;=$B$37,BO$3&lt;$B$38,AND($B$35="Да",IFERROR(INDEX('Вводные'!$B$88:$B$91,$B$36),"Нет")="Да"))</x:f>
      </x:c>
      <x:c r="BP42" t="n">
        <x:f>--AND(BP$3&gt;=$B$37,BP$3&lt;$B$38,AND($B$35="Да",IFERROR(INDEX('Вводные'!$B$88:$B$91,$B$36),"Нет")="Да"))</x:f>
      </x:c>
      <x:c r="BQ42" t="n">
        <x:f>--AND(BQ$3&gt;=$B$37,BQ$3&lt;$B$38,AND($B$35="Да",IFERROR(INDEX('Вводные'!$B$88:$B$91,$B$36),"Нет")="Да"))</x:f>
      </x:c>
      <x:c r="BR42" t="n">
        <x:f>--AND(BR$3&gt;=$B$37,BR$3&lt;$B$38,AND($B$35="Да",IFERROR(INDEX('Вводные'!$B$88:$B$91,$B$36),"Нет")="Да"))</x:f>
      </x:c>
      <x:c r="BS42" t="n">
        <x:f>--AND(BS$3&gt;=$B$37,BS$3&lt;$B$38,AND($B$35="Да",IFERROR(INDEX('Вводные'!$B$88:$B$91,$B$36),"Нет")="Да"))</x:f>
      </x:c>
      <x:c r="BT42" t="n">
        <x:f>--AND(BT$3&gt;=$B$37,BT$3&lt;$B$38,AND($B$35="Да",IFERROR(INDEX('Вводные'!$B$88:$B$91,$B$36),"Нет")="Да"))</x:f>
      </x:c>
      <x:c r="BU42" t="n">
        <x:f>--AND(BU$3&gt;=$B$37,BU$3&lt;$B$38,AND($B$35="Да",IFERROR(INDEX('Вводные'!$B$88:$B$91,$B$36),"Нет")="Да"))</x:f>
      </x:c>
      <x:c r="BV42" t="n">
        <x:f>--AND(BV$3&gt;=$B$37,BV$3&lt;$B$38,AND($B$35="Да",IFERROR(INDEX('Вводные'!$B$88:$B$91,$B$36),"Нет")="Да"))</x:f>
      </x:c>
      <x:c r="BW42" t="n">
        <x:f>--AND(BW$3&gt;=$B$37,BW$3&lt;$B$38,AND($B$35="Да",IFERROR(INDEX('Вводные'!$B$88:$B$91,$B$36),"Нет")="Да"))</x:f>
      </x:c>
      <x:c r="BX42" t="n">
        <x:f>--AND(BX$3&gt;=$B$37,BX$3&lt;$B$38,AND($B$35="Да",IFERROR(INDEX('Вводные'!$B$88:$B$91,$B$36),"Нет")="Да"))</x:f>
      </x:c>
      <x:c r="BY42" t="n">
        <x:f>--AND(BY$3&gt;=$B$37,BY$3&lt;$B$38,AND($B$35="Да",IFERROR(INDEX('Вводные'!$B$88:$B$91,$B$36),"Нет")="Да"))</x:f>
      </x:c>
      <x:c r="BZ42" t="n">
        <x:f>--AND(BZ$3&gt;=$B$37,BZ$3&lt;$B$38,AND($B$35="Да",IFERROR(INDEX('Вводные'!$B$88:$B$91,$B$36),"Нет")="Да"))</x:f>
      </x:c>
      <x:c r="CA42" t="n">
        <x:f>--AND(CA$3&gt;=$B$37,CA$3&lt;$B$38,AND($B$35="Да",IFERROR(INDEX('Вводные'!$B$88:$B$91,$B$36),"Нет")="Да"))</x:f>
      </x:c>
      <x:c r="CB42" t="n">
        <x:f>--AND(CB$3&gt;=$B$37,CB$3&lt;$B$38,AND($B$35="Да",IFERROR(INDEX('Вводные'!$B$88:$B$91,$B$36),"Нет")="Да"))</x:f>
      </x:c>
      <x:c r="CC42" t="n">
        <x:f>--AND(CC$3&gt;=$B$37,CC$3&lt;$B$38,AND($B$35="Да",IFERROR(INDEX('Вводные'!$B$88:$B$91,$B$36),"Нет")="Да"))</x:f>
      </x:c>
      <x:c r="CD42" t="n">
        <x:f>--AND(CD$3&gt;=$B$37,CD$3&lt;$B$38,AND($B$35="Да",IFERROR(INDEX('Вводные'!$B$88:$B$91,$B$36),"Нет")="Да"))</x:f>
      </x:c>
      <x:c r="CE42" t="n">
        <x:f>--AND(CE$3&gt;=$B$37,CE$3&lt;$B$38,AND($B$35="Да",IFERROR(INDEX('Вводные'!$B$88:$B$91,$B$36),"Нет")="Да"))</x:f>
      </x:c>
      <x:c r="CF42" t="n">
        <x:f>--AND(CF$3&gt;=$B$37,CF$3&lt;$B$38,AND($B$35="Да",IFERROR(INDEX('Вводные'!$B$88:$B$91,$B$36),"Нет")="Да"))</x:f>
      </x:c>
      <x:c r="CG42" t="n">
        <x:f>--AND(CG$3&gt;=$B$37,CG$3&lt;$B$38,AND($B$35="Да",IFERROR(INDEX('Вводные'!$B$88:$B$91,$B$36),"Нет")="Да"))</x:f>
      </x:c>
      <x:c r="CH42" t="n">
        <x:f>--AND(CH$3&gt;=$B$37,CH$3&lt;$B$38,AND($B$35="Да",IFERROR(INDEX('Вводные'!$B$88:$B$91,$B$36),"Нет")="Да"))</x:f>
      </x:c>
      <x:c r="CI42" t="n">
        <x:f>--AND(CI$3&gt;=$B$37,CI$3&lt;$B$38,AND($B$35="Да",IFERROR(INDEX('Вводные'!$B$88:$B$91,$B$36),"Нет")="Да"))</x:f>
      </x:c>
      <x:c r="CJ42" t="n">
        <x:f>--AND(CJ$3&gt;=$B$37,CJ$3&lt;$B$38,AND($B$35="Да",IFERROR(INDEX('Вводные'!$B$88:$B$91,$B$36),"Нет")="Да"))</x:f>
      </x:c>
      <x:c r="CK42" t="n">
        <x:f>--AND(CK$3&gt;=$B$37,CK$3&lt;$B$38,AND($B$35="Да",IFERROR(INDEX('Вводные'!$B$88:$B$91,$B$36),"Нет")="Да"))</x:f>
      </x:c>
      <x:c r="CL42" t="n">
        <x:f>--AND(CL$3&gt;=$B$37,CL$3&lt;$B$38,AND($B$35="Да",IFERROR(INDEX('Вводные'!$B$88:$B$91,$B$36),"Нет")="Да"))</x:f>
      </x:c>
      <x:c r="CM42" t="n">
        <x:f>--AND(CM$3&gt;=$B$37,CM$3&lt;$B$38,AND($B$35="Да",IFERROR(INDEX('Вводные'!$B$88:$B$91,$B$36),"Нет")="Да"))</x:f>
      </x:c>
      <x:c r="CN42" t="n">
        <x:f>--AND(CN$3&gt;=$B$37,CN$3&lt;$B$38,AND($B$35="Да",IFERROR(INDEX('Вводные'!$B$88:$B$91,$B$36),"Нет")="Да"))</x:f>
      </x:c>
      <x:c r="CO42" t="n">
        <x:f>--AND(CO$3&gt;=$B$37,CO$3&lt;$B$38,AND($B$35="Да",IFERROR(INDEX('Вводные'!$B$88:$B$91,$B$36),"Нет")="Да"))</x:f>
      </x:c>
      <x:c r="CP42" t="n">
        <x:f>--AND(CP$3&gt;=$B$37,CP$3&lt;$B$38,AND($B$35="Да",IFERROR(INDEX('Вводные'!$B$88:$B$91,$B$36),"Нет")="Да"))</x:f>
      </x:c>
      <x:c r="CQ42" t="n">
        <x:f>--AND(CQ$3&gt;=$B$37,CQ$3&lt;$B$38,AND($B$35="Да",IFERROR(INDEX('Вводные'!$B$88:$B$91,$B$36),"Нет")="Да"))</x:f>
      </x:c>
      <x:c r="CR42" t="n">
        <x:f>--AND(CR$3&gt;=$B$37,CR$3&lt;$B$38,AND($B$35="Да",IFERROR(INDEX('Вводные'!$B$88:$B$91,$B$36),"Нет")="Да"))</x:f>
      </x:c>
      <x:c r="CS42" t="n">
        <x:f>--AND(CS$3&gt;=$B$37,CS$3&lt;$B$38,AND($B$35="Да",IFERROR(INDEX('Вводные'!$B$88:$B$91,$B$36),"Нет")="Да"))</x:f>
      </x:c>
      <x:c r="CT42" t="n">
        <x:f>--AND(CT$3&gt;=$B$37,CT$3&lt;$B$38,AND($B$35="Да",IFERROR(INDEX('Вводные'!$B$88:$B$91,$B$36),"Нет")="Да"))</x:f>
      </x:c>
      <x:c r="CU42" t="n">
        <x:f>--AND(CU$3&gt;=$B$37,CU$3&lt;$B$38,AND($B$35="Да",IFERROR(INDEX('Вводные'!$B$88:$B$91,$B$36),"Нет")="Да"))</x:f>
      </x:c>
      <x:c r="CV42" t="n">
        <x:f>--AND(CV$3&gt;=$B$37,CV$3&lt;$B$38,AND($B$35="Да",IFERROR(INDEX('Вводные'!$B$88:$B$91,$B$36),"Нет")="Да"))</x:f>
      </x:c>
      <x:c r="CW42" t="n">
        <x:f>--AND(CW$3&gt;=$B$37,CW$3&lt;$B$38,AND($B$35="Да",IFERROR(INDEX('Вводные'!$B$88:$B$91,$B$36),"Нет")="Да"))</x:f>
      </x:c>
      <x:c r="CX42" t="n">
        <x:f>--AND(CX$3&gt;=$B$37,CX$3&lt;$B$38,AND($B$35="Да",IFERROR(INDEX('Вводные'!$B$88:$B$91,$B$36),"Нет")="Да"))</x:f>
      </x:c>
      <x:c r="CY42" t="n">
        <x:f>--AND(CY$3&gt;=$B$37,CY$3&lt;$B$38,AND($B$35="Да",IFERROR(INDEX('Вводные'!$B$88:$B$91,$B$36),"Нет")="Да"))</x:f>
      </x:c>
      <x:c r="CZ42" t="n">
        <x:f>--AND(CZ$3&gt;=$B$37,CZ$3&lt;$B$38,AND($B$35="Да",IFERROR(INDEX('Вводные'!$B$88:$B$91,$B$36),"Нет")="Да"))</x:f>
      </x:c>
      <x:c r="DA42" t="n">
        <x:f>--AND(DA$3&gt;=$B$37,DA$3&lt;$B$38,AND($B$35="Да",IFERROR(INDEX('Вводные'!$B$88:$B$91,$B$36),"Нет")="Да"))</x:f>
      </x:c>
      <x:c r="DB42" t="n">
        <x:f>--AND(DB$3&gt;=$B$37,DB$3&lt;$B$38,AND($B$35="Да",IFERROR(INDEX('Вводные'!$B$88:$B$91,$B$36),"Нет")="Да"))</x:f>
      </x:c>
      <x:c r="DC42" t="n">
        <x:f>--AND(DC$3&gt;=$B$37,DC$3&lt;$B$38,AND($B$35="Да",IFERROR(INDEX('Вводные'!$B$88:$B$91,$B$36),"Нет")="Да"))</x:f>
      </x:c>
      <x:c r="DD42" t="n">
        <x:f>--AND(DD$3&gt;=$B$37,DD$3&lt;$B$38,AND($B$35="Да",IFERROR(INDEX('Вводные'!$B$88:$B$91,$B$36),"Нет")="Да"))</x:f>
      </x:c>
      <x:c r="DE42" t="n">
        <x:f>--AND(DE$3&gt;=$B$37,DE$3&lt;$B$38,AND($B$35="Да",IFERROR(INDEX('Вводные'!$B$88:$B$91,$B$36),"Нет")="Да"))</x:f>
      </x:c>
      <x:c r="DF42" t="n">
        <x:f>--AND(DF$3&gt;=$B$37,DF$3&lt;$B$38,AND($B$35="Да",IFERROR(INDEX('Вводные'!$B$88:$B$91,$B$36),"Нет")="Да"))</x:f>
      </x:c>
      <x:c r="DG42" t="n">
        <x:f>--AND(DG$3&gt;=$B$37,DG$3&lt;$B$38,AND($B$35="Да",IFERROR(INDEX('Вводные'!$B$88:$B$91,$B$36),"Нет")="Да"))</x:f>
      </x:c>
      <x:c r="DH42" t="n">
        <x:f>--AND(DH$3&gt;=$B$37,DH$3&lt;$B$38,AND($B$35="Да",IFERROR(INDEX('Вводные'!$B$88:$B$91,$B$36),"Нет")="Да"))</x:f>
      </x:c>
      <x:c r="DI42" t="n">
        <x:f>--AND(DI$3&gt;=$B$37,DI$3&lt;$B$38,AND($B$35="Да",IFERROR(INDEX('Вводные'!$B$88:$B$91,$B$36),"Нет")="Да"))</x:f>
      </x:c>
      <x:c r="DJ42" t="n">
        <x:f>--AND(DJ$3&gt;=$B$37,DJ$3&lt;$B$38,AND($B$35="Да",IFERROR(INDEX('Вводные'!$B$88:$B$91,$B$36),"Нет")="Да"))</x:f>
      </x:c>
      <x:c r="DK42" t="n">
        <x:f>--AND(DK$3&gt;=$B$37,DK$3&lt;$B$38,AND($B$35="Да",IFERROR(INDEX('Вводные'!$B$88:$B$91,$B$36),"Нет")="Да"))</x:f>
      </x:c>
      <x:c r="DL42" t="n">
        <x:f>--AND(DL$3&gt;=$B$37,DL$3&lt;$B$38,AND($B$35="Да",IFERROR(INDEX('Вводные'!$B$88:$B$91,$B$36),"Нет")="Да"))</x:f>
      </x:c>
      <x:c r="DM42" t="n">
        <x:f>--AND(DM$3&gt;=$B$37,DM$3&lt;$B$38,AND($B$35="Да",IFERROR(INDEX('Вводные'!$B$88:$B$91,$B$36),"Нет")="Да"))</x:f>
      </x:c>
      <x:c r="DN42" t="n">
        <x:f>--AND(DN$3&gt;=$B$37,DN$3&lt;$B$38,AND($B$35="Да",IFERROR(INDEX('Вводные'!$B$88:$B$91,$B$36),"Нет")="Да"))</x:f>
      </x:c>
      <x:c r="DO42" t="n">
        <x:f>--AND(DO$3&gt;=$B$37,DO$3&lt;$B$38,AND($B$35="Да",IFERROR(INDEX('Вводные'!$B$88:$B$91,$B$36),"Нет")="Да"))</x:f>
      </x:c>
      <x:c r="DP42" t="n">
        <x:f>--AND(DP$3&gt;=$B$37,DP$3&lt;$B$38,AND($B$35="Да",IFERROR(INDEX('Вводные'!$B$88:$B$91,$B$36),"Нет")="Да"))</x:f>
      </x:c>
      <x:c r="DQ42" t="n">
        <x:f>--AND(DQ$3&gt;=$B$37,DQ$3&lt;$B$38,AND($B$35="Да",IFERROR(INDEX('Вводные'!$B$88:$B$91,$B$36),"Нет")="Да"))</x:f>
      </x:c>
      <x:c r="DR42" t="n">
        <x:f>--AND(DR$3&gt;=$B$37,DR$3&lt;$B$38,AND($B$35="Да",IFERROR(INDEX('Вводные'!$B$88:$B$91,$B$36),"Нет")="Да"))</x:f>
      </x:c>
      <x:c r="DS42" t="n">
        <x:f>--AND(DS$3&gt;=$B$37,DS$3&lt;$B$38,AND($B$35="Да",IFERROR(INDEX('Вводные'!$B$88:$B$91,$B$36),"Нет")="Да"))</x:f>
      </x:c>
    </x:row>
    <x:row r="43">
      <x:c r="A43" t="str">
        <x:v>Вес S-кривой</x:v>
      </x:c>
      <x:c r="B43"/>
      <x:c r="C43" t="str">
        <x:v>вес</x:v>
      </x:c>
      <x:c r="D43" t="n">
        <x:f>IF(D42=0,0,IF(((12*(YEAR(D$3)-YEAR($B$37))+MONTH(D$3)-MONTH($B$37))+1)/MAX(1,'Вводные'!$K$48)&lt;=0.2,0.6,IF(((12*(YEAR(D$3)-YEAR($B$37))+MONTH(D$3)-MONTH($B$37))+1)/MAX(1,'Вводные'!$K$48)&lt;=0.8,1.2,0.8)))</x:f>
      </x:c>
      <x:c r="E43" t="n">
        <x:f>IF(E42=0,0,IF(((12*(YEAR(E$3)-YEAR($B$37))+MONTH(E$3)-MONTH($B$37))+1)/MAX(1,'Вводные'!$K$48)&lt;=0.2,0.6,IF(((12*(YEAR(E$3)-YEAR($B$37))+MONTH(E$3)-MONTH($B$37))+1)/MAX(1,'Вводные'!$K$48)&lt;=0.8,1.2,0.8)))</x:f>
      </x:c>
      <x:c r="F43" t="n">
        <x:f>IF(F42=0,0,IF(((12*(YEAR(F$3)-YEAR($B$37))+MONTH(F$3)-MONTH($B$37))+1)/MAX(1,'Вводные'!$K$48)&lt;=0.2,0.6,IF(((12*(YEAR(F$3)-YEAR($B$37))+MONTH(F$3)-MONTH($B$37))+1)/MAX(1,'Вводные'!$K$48)&lt;=0.8,1.2,0.8)))</x:f>
      </x:c>
      <x:c r="G43" t="n">
        <x:f>IF(G42=0,0,IF(((12*(YEAR(G$3)-YEAR($B$37))+MONTH(G$3)-MONTH($B$37))+1)/MAX(1,'Вводные'!$K$48)&lt;=0.2,0.6,IF(((12*(YEAR(G$3)-YEAR($B$37))+MONTH(G$3)-MONTH($B$37))+1)/MAX(1,'Вводные'!$K$48)&lt;=0.8,1.2,0.8)))</x:f>
      </x:c>
      <x:c r="H43" t="n">
        <x:f>IF(H42=0,0,IF(((12*(YEAR(H$3)-YEAR($B$37))+MONTH(H$3)-MONTH($B$37))+1)/MAX(1,'Вводные'!$K$48)&lt;=0.2,0.6,IF(((12*(YEAR(H$3)-YEAR($B$37))+MONTH(H$3)-MONTH($B$37))+1)/MAX(1,'Вводные'!$K$48)&lt;=0.8,1.2,0.8)))</x:f>
      </x:c>
      <x:c r="I43" t="n">
        <x:f>IF(I42=0,0,IF(((12*(YEAR(I$3)-YEAR($B$37))+MONTH(I$3)-MONTH($B$37))+1)/MAX(1,'Вводные'!$K$48)&lt;=0.2,0.6,IF(((12*(YEAR(I$3)-YEAR($B$37))+MONTH(I$3)-MONTH($B$37))+1)/MAX(1,'Вводные'!$K$48)&lt;=0.8,1.2,0.8)))</x:f>
      </x:c>
      <x:c r="J43" t="n">
        <x:f>IF(J42=0,0,IF(((12*(YEAR(J$3)-YEAR($B$37))+MONTH(J$3)-MONTH($B$37))+1)/MAX(1,'Вводные'!$K$48)&lt;=0.2,0.6,IF(((12*(YEAR(J$3)-YEAR($B$37))+MONTH(J$3)-MONTH($B$37))+1)/MAX(1,'Вводные'!$K$48)&lt;=0.8,1.2,0.8)))</x:f>
      </x:c>
      <x:c r="K43" t="n">
        <x:f>IF(K42=0,0,IF(((12*(YEAR(K$3)-YEAR($B$37))+MONTH(K$3)-MONTH($B$37))+1)/MAX(1,'Вводные'!$K$48)&lt;=0.2,0.6,IF(((12*(YEAR(K$3)-YEAR($B$37))+MONTH(K$3)-MONTH($B$37))+1)/MAX(1,'Вводные'!$K$48)&lt;=0.8,1.2,0.8)))</x:f>
      </x:c>
      <x:c r="L43" t="n">
        <x:f>IF(L42=0,0,IF(((12*(YEAR(L$3)-YEAR($B$37))+MONTH(L$3)-MONTH($B$37))+1)/MAX(1,'Вводные'!$K$48)&lt;=0.2,0.6,IF(((12*(YEAR(L$3)-YEAR($B$37))+MONTH(L$3)-MONTH($B$37))+1)/MAX(1,'Вводные'!$K$48)&lt;=0.8,1.2,0.8)))</x:f>
      </x:c>
      <x:c r="M43" t="n">
        <x:f>IF(M42=0,0,IF(((12*(YEAR(M$3)-YEAR($B$37))+MONTH(M$3)-MONTH($B$37))+1)/MAX(1,'Вводные'!$K$48)&lt;=0.2,0.6,IF(((12*(YEAR(M$3)-YEAR($B$37))+MONTH(M$3)-MONTH($B$37))+1)/MAX(1,'Вводные'!$K$48)&lt;=0.8,1.2,0.8)))</x:f>
      </x:c>
      <x:c r="N43" t="n">
        <x:f>IF(N42=0,0,IF(((12*(YEAR(N$3)-YEAR($B$37))+MONTH(N$3)-MONTH($B$37))+1)/MAX(1,'Вводные'!$K$48)&lt;=0.2,0.6,IF(((12*(YEAR(N$3)-YEAR($B$37))+MONTH(N$3)-MONTH($B$37))+1)/MAX(1,'Вводные'!$K$48)&lt;=0.8,1.2,0.8)))</x:f>
      </x:c>
      <x:c r="O43" t="n">
        <x:f>IF(O42=0,0,IF(((12*(YEAR(O$3)-YEAR($B$37))+MONTH(O$3)-MONTH($B$37))+1)/MAX(1,'Вводные'!$K$48)&lt;=0.2,0.6,IF(((12*(YEAR(O$3)-YEAR($B$37))+MONTH(O$3)-MONTH($B$37))+1)/MAX(1,'Вводные'!$K$48)&lt;=0.8,1.2,0.8)))</x:f>
      </x:c>
      <x:c r="P43" t="n">
        <x:f>IF(P42=0,0,IF(((12*(YEAR(P$3)-YEAR($B$37))+MONTH(P$3)-MONTH($B$37))+1)/MAX(1,'Вводные'!$K$48)&lt;=0.2,0.6,IF(((12*(YEAR(P$3)-YEAR($B$37))+MONTH(P$3)-MONTH($B$37))+1)/MAX(1,'Вводные'!$K$48)&lt;=0.8,1.2,0.8)))</x:f>
      </x:c>
      <x:c r="Q43" t="n">
        <x:f>IF(Q42=0,0,IF(((12*(YEAR(Q$3)-YEAR($B$37))+MONTH(Q$3)-MONTH($B$37))+1)/MAX(1,'Вводные'!$K$48)&lt;=0.2,0.6,IF(((12*(YEAR(Q$3)-YEAR($B$37))+MONTH(Q$3)-MONTH($B$37))+1)/MAX(1,'Вводные'!$K$48)&lt;=0.8,1.2,0.8)))</x:f>
      </x:c>
      <x:c r="R43" t="n">
        <x:f>IF(R42=0,0,IF(((12*(YEAR(R$3)-YEAR($B$37))+MONTH(R$3)-MONTH($B$37))+1)/MAX(1,'Вводные'!$K$48)&lt;=0.2,0.6,IF(((12*(YEAR(R$3)-YEAR($B$37))+MONTH(R$3)-MONTH($B$37))+1)/MAX(1,'Вводные'!$K$48)&lt;=0.8,1.2,0.8)))</x:f>
      </x:c>
      <x:c r="S43" t="n">
        <x:f>IF(S42=0,0,IF(((12*(YEAR(S$3)-YEAR($B$37))+MONTH(S$3)-MONTH($B$37))+1)/MAX(1,'Вводные'!$K$48)&lt;=0.2,0.6,IF(((12*(YEAR(S$3)-YEAR($B$37))+MONTH(S$3)-MONTH($B$37))+1)/MAX(1,'Вводные'!$K$48)&lt;=0.8,1.2,0.8)))</x:f>
      </x:c>
      <x:c r="T43" t="n">
        <x:f>IF(T42=0,0,IF(((12*(YEAR(T$3)-YEAR($B$37))+MONTH(T$3)-MONTH($B$37))+1)/MAX(1,'Вводные'!$K$48)&lt;=0.2,0.6,IF(((12*(YEAR(T$3)-YEAR($B$37))+MONTH(T$3)-MONTH($B$37))+1)/MAX(1,'Вводные'!$K$48)&lt;=0.8,1.2,0.8)))</x:f>
      </x:c>
      <x:c r="U43" t="n">
        <x:f>IF(U42=0,0,IF(((12*(YEAR(U$3)-YEAR($B$37))+MONTH(U$3)-MONTH($B$37))+1)/MAX(1,'Вводные'!$K$48)&lt;=0.2,0.6,IF(((12*(YEAR(U$3)-YEAR($B$37))+MONTH(U$3)-MONTH($B$37))+1)/MAX(1,'Вводные'!$K$48)&lt;=0.8,1.2,0.8)))</x:f>
      </x:c>
      <x:c r="V43" t="n">
        <x:f>IF(V42=0,0,IF(((12*(YEAR(V$3)-YEAR($B$37))+MONTH(V$3)-MONTH($B$37))+1)/MAX(1,'Вводные'!$K$48)&lt;=0.2,0.6,IF(((12*(YEAR(V$3)-YEAR($B$37))+MONTH(V$3)-MONTH($B$37))+1)/MAX(1,'Вводные'!$K$48)&lt;=0.8,1.2,0.8)))</x:f>
      </x:c>
      <x:c r="W43" t="n">
        <x:f>IF(W42=0,0,IF(((12*(YEAR(W$3)-YEAR($B$37))+MONTH(W$3)-MONTH($B$37))+1)/MAX(1,'Вводные'!$K$48)&lt;=0.2,0.6,IF(((12*(YEAR(W$3)-YEAR($B$37))+MONTH(W$3)-MONTH($B$37))+1)/MAX(1,'Вводные'!$K$48)&lt;=0.8,1.2,0.8)))</x:f>
      </x:c>
      <x:c r="X43" t="n">
        <x:f>IF(X42=0,0,IF(((12*(YEAR(X$3)-YEAR($B$37))+MONTH(X$3)-MONTH($B$37))+1)/MAX(1,'Вводные'!$K$48)&lt;=0.2,0.6,IF(((12*(YEAR(X$3)-YEAR($B$37))+MONTH(X$3)-MONTH($B$37))+1)/MAX(1,'Вводные'!$K$48)&lt;=0.8,1.2,0.8)))</x:f>
      </x:c>
      <x:c r="Y43" t="n">
        <x:f>IF(Y42=0,0,IF(((12*(YEAR(Y$3)-YEAR($B$37))+MONTH(Y$3)-MONTH($B$37))+1)/MAX(1,'Вводные'!$K$48)&lt;=0.2,0.6,IF(((12*(YEAR(Y$3)-YEAR($B$37))+MONTH(Y$3)-MONTH($B$37))+1)/MAX(1,'Вводные'!$K$48)&lt;=0.8,1.2,0.8)))</x:f>
      </x:c>
      <x:c r="Z43" t="n">
        <x:f>IF(Z42=0,0,IF(((12*(YEAR(Z$3)-YEAR($B$37))+MONTH(Z$3)-MONTH($B$37))+1)/MAX(1,'Вводные'!$K$48)&lt;=0.2,0.6,IF(((12*(YEAR(Z$3)-YEAR($B$37))+MONTH(Z$3)-MONTH($B$37))+1)/MAX(1,'Вводные'!$K$48)&lt;=0.8,1.2,0.8)))</x:f>
      </x:c>
      <x:c r="AA43" t="n">
        <x:f>IF(AA42=0,0,IF(((12*(YEAR(AA$3)-YEAR($B$37))+MONTH(AA$3)-MONTH($B$37))+1)/MAX(1,'Вводные'!$K$48)&lt;=0.2,0.6,IF(((12*(YEAR(AA$3)-YEAR($B$37))+MONTH(AA$3)-MONTH($B$37))+1)/MAX(1,'Вводные'!$K$48)&lt;=0.8,1.2,0.8)))</x:f>
      </x:c>
      <x:c r="AB43" t="n">
        <x:f>IF(AB42=0,0,IF(((12*(YEAR(AB$3)-YEAR($B$37))+MONTH(AB$3)-MONTH($B$37))+1)/MAX(1,'Вводные'!$K$48)&lt;=0.2,0.6,IF(((12*(YEAR(AB$3)-YEAR($B$37))+MONTH(AB$3)-MONTH($B$37))+1)/MAX(1,'Вводные'!$K$48)&lt;=0.8,1.2,0.8)))</x:f>
      </x:c>
      <x:c r="AC43" t="n">
        <x:f>IF(AC42=0,0,IF(((12*(YEAR(AC$3)-YEAR($B$37))+MONTH(AC$3)-MONTH($B$37))+1)/MAX(1,'Вводные'!$K$48)&lt;=0.2,0.6,IF(((12*(YEAR(AC$3)-YEAR($B$37))+MONTH(AC$3)-MONTH($B$37))+1)/MAX(1,'Вводные'!$K$48)&lt;=0.8,1.2,0.8)))</x:f>
      </x:c>
      <x:c r="AD43" t="n">
        <x:f>IF(AD42=0,0,IF(((12*(YEAR(AD$3)-YEAR($B$37))+MONTH(AD$3)-MONTH($B$37))+1)/MAX(1,'Вводные'!$K$48)&lt;=0.2,0.6,IF(((12*(YEAR(AD$3)-YEAR($B$37))+MONTH(AD$3)-MONTH($B$37))+1)/MAX(1,'Вводные'!$K$48)&lt;=0.8,1.2,0.8)))</x:f>
      </x:c>
      <x:c r="AE43" t="n">
        <x:f>IF(AE42=0,0,IF(((12*(YEAR(AE$3)-YEAR($B$37))+MONTH(AE$3)-MONTH($B$37))+1)/MAX(1,'Вводные'!$K$48)&lt;=0.2,0.6,IF(((12*(YEAR(AE$3)-YEAR($B$37))+MONTH(AE$3)-MONTH($B$37))+1)/MAX(1,'Вводные'!$K$48)&lt;=0.8,1.2,0.8)))</x:f>
      </x:c>
      <x:c r="AF43" t="n">
        <x:f>IF(AF42=0,0,IF(((12*(YEAR(AF$3)-YEAR($B$37))+MONTH(AF$3)-MONTH($B$37))+1)/MAX(1,'Вводные'!$K$48)&lt;=0.2,0.6,IF(((12*(YEAR(AF$3)-YEAR($B$37))+MONTH(AF$3)-MONTH($B$37))+1)/MAX(1,'Вводные'!$K$48)&lt;=0.8,1.2,0.8)))</x:f>
      </x:c>
      <x:c r="AG43" t="n">
        <x:f>IF(AG42=0,0,IF(((12*(YEAR(AG$3)-YEAR($B$37))+MONTH(AG$3)-MONTH($B$37))+1)/MAX(1,'Вводные'!$K$48)&lt;=0.2,0.6,IF(((12*(YEAR(AG$3)-YEAR($B$37))+MONTH(AG$3)-MONTH($B$37))+1)/MAX(1,'Вводные'!$K$48)&lt;=0.8,1.2,0.8)))</x:f>
      </x:c>
      <x:c r="AH43" t="n">
        <x:f>IF(AH42=0,0,IF(((12*(YEAR(AH$3)-YEAR($B$37))+MONTH(AH$3)-MONTH($B$37))+1)/MAX(1,'Вводные'!$K$48)&lt;=0.2,0.6,IF(((12*(YEAR(AH$3)-YEAR($B$37))+MONTH(AH$3)-MONTH($B$37))+1)/MAX(1,'Вводные'!$K$48)&lt;=0.8,1.2,0.8)))</x:f>
      </x:c>
      <x:c r="AI43" t="n">
        <x:f>IF(AI42=0,0,IF(((12*(YEAR(AI$3)-YEAR($B$37))+MONTH(AI$3)-MONTH($B$37))+1)/MAX(1,'Вводные'!$K$48)&lt;=0.2,0.6,IF(((12*(YEAR(AI$3)-YEAR($B$37))+MONTH(AI$3)-MONTH($B$37))+1)/MAX(1,'Вводные'!$K$48)&lt;=0.8,1.2,0.8)))</x:f>
      </x:c>
      <x:c r="AJ43" t="n">
        <x:f>IF(AJ42=0,0,IF(((12*(YEAR(AJ$3)-YEAR($B$37))+MONTH(AJ$3)-MONTH($B$37))+1)/MAX(1,'Вводные'!$K$48)&lt;=0.2,0.6,IF(((12*(YEAR(AJ$3)-YEAR($B$37))+MONTH(AJ$3)-MONTH($B$37))+1)/MAX(1,'Вводные'!$K$48)&lt;=0.8,1.2,0.8)))</x:f>
      </x:c>
      <x:c r="AK43" t="n">
        <x:f>IF(AK42=0,0,IF(((12*(YEAR(AK$3)-YEAR($B$37))+MONTH(AK$3)-MONTH($B$37))+1)/MAX(1,'Вводные'!$K$48)&lt;=0.2,0.6,IF(((12*(YEAR(AK$3)-YEAR($B$37))+MONTH(AK$3)-MONTH($B$37))+1)/MAX(1,'Вводные'!$K$48)&lt;=0.8,1.2,0.8)))</x:f>
      </x:c>
      <x:c r="AL43" t="n">
        <x:f>IF(AL42=0,0,IF(((12*(YEAR(AL$3)-YEAR($B$37))+MONTH(AL$3)-MONTH($B$37))+1)/MAX(1,'Вводные'!$K$48)&lt;=0.2,0.6,IF(((12*(YEAR(AL$3)-YEAR($B$37))+MONTH(AL$3)-MONTH($B$37))+1)/MAX(1,'Вводные'!$K$48)&lt;=0.8,1.2,0.8)))</x:f>
      </x:c>
      <x:c r="AM43" t="n">
        <x:f>IF(AM42=0,0,IF(((12*(YEAR(AM$3)-YEAR($B$37))+MONTH(AM$3)-MONTH($B$37))+1)/MAX(1,'Вводные'!$K$48)&lt;=0.2,0.6,IF(((12*(YEAR(AM$3)-YEAR($B$37))+MONTH(AM$3)-MONTH($B$37))+1)/MAX(1,'Вводные'!$K$48)&lt;=0.8,1.2,0.8)))</x:f>
      </x:c>
      <x:c r="AN43" t="n">
        <x:f>IF(AN42=0,0,IF(((12*(YEAR(AN$3)-YEAR($B$37))+MONTH(AN$3)-MONTH($B$37))+1)/MAX(1,'Вводные'!$K$48)&lt;=0.2,0.6,IF(((12*(YEAR(AN$3)-YEAR($B$37))+MONTH(AN$3)-MONTH($B$37))+1)/MAX(1,'Вводные'!$K$48)&lt;=0.8,1.2,0.8)))</x:f>
      </x:c>
      <x:c r="AO43" t="n">
        <x:f>IF(AO42=0,0,IF(((12*(YEAR(AO$3)-YEAR($B$37))+MONTH(AO$3)-MONTH($B$37))+1)/MAX(1,'Вводные'!$K$48)&lt;=0.2,0.6,IF(((12*(YEAR(AO$3)-YEAR($B$37))+MONTH(AO$3)-MONTH($B$37))+1)/MAX(1,'Вводные'!$K$48)&lt;=0.8,1.2,0.8)))</x:f>
      </x:c>
      <x:c r="AP43" t="n">
        <x:f>IF(AP42=0,0,IF(((12*(YEAR(AP$3)-YEAR($B$37))+MONTH(AP$3)-MONTH($B$37))+1)/MAX(1,'Вводные'!$K$48)&lt;=0.2,0.6,IF(((12*(YEAR(AP$3)-YEAR($B$37))+MONTH(AP$3)-MONTH($B$37))+1)/MAX(1,'Вводные'!$K$48)&lt;=0.8,1.2,0.8)))</x:f>
      </x:c>
      <x:c r="AQ43" t="n">
        <x:f>IF(AQ42=0,0,IF(((12*(YEAR(AQ$3)-YEAR($B$37))+MONTH(AQ$3)-MONTH($B$37))+1)/MAX(1,'Вводные'!$K$48)&lt;=0.2,0.6,IF(((12*(YEAR(AQ$3)-YEAR($B$37))+MONTH(AQ$3)-MONTH($B$37))+1)/MAX(1,'Вводные'!$K$48)&lt;=0.8,1.2,0.8)))</x:f>
      </x:c>
      <x:c r="AR43" t="n">
        <x:f>IF(AR42=0,0,IF(((12*(YEAR(AR$3)-YEAR($B$37))+MONTH(AR$3)-MONTH($B$37))+1)/MAX(1,'Вводные'!$K$48)&lt;=0.2,0.6,IF(((12*(YEAR(AR$3)-YEAR($B$37))+MONTH(AR$3)-MONTH($B$37))+1)/MAX(1,'Вводные'!$K$48)&lt;=0.8,1.2,0.8)))</x:f>
      </x:c>
      <x:c r="AS43" t="n">
        <x:f>IF(AS42=0,0,IF(((12*(YEAR(AS$3)-YEAR($B$37))+MONTH(AS$3)-MONTH($B$37))+1)/MAX(1,'Вводные'!$K$48)&lt;=0.2,0.6,IF(((12*(YEAR(AS$3)-YEAR($B$37))+MONTH(AS$3)-MONTH($B$37))+1)/MAX(1,'Вводные'!$K$48)&lt;=0.8,1.2,0.8)))</x:f>
      </x:c>
      <x:c r="AT43" t="n">
        <x:f>IF(AT42=0,0,IF(((12*(YEAR(AT$3)-YEAR($B$37))+MONTH(AT$3)-MONTH($B$37))+1)/MAX(1,'Вводные'!$K$48)&lt;=0.2,0.6,IF(((12*(YEAR(AT$3)-YEAR($B$37))+MONTH(AT$3)-MONTH($B$37))+1)/MAX(1,'Вводные'!$K$48)&lt;=0.8,1.2,0.8)))</x:f>
      </x:c>
      <x:c r="AU43" t="n">
        <x:f>IF(AU42=0,0,IF(((12*(YEAR(AU$3)-YEAR($B$37))+MONTH(AU$3)-MONTH($B$37))+1)/MAX(1,'Вводные'!$K$48)&lt;=0.2,0.6,IF(((12*(YEAR(AU$3)-YEAR($B$37))+MONTH(AU$3)-MONTH($B$37))+1)/MAX(1,'Вводные'!$K$48)&lt;=0.8,1.2,0.8)))</x:f>
      </x:c>
      <x:c r="AV43" t="n">
        <x:f>IF(AV42=0,0,IF(((12*(YEAR(AV$3)-YEAR($B$37))+MONTH(AV$3)-MONTH($B$37))+1)/MAX(1,'Вводные'!$K$48)&lt;=0.2,0.6,IF(((12*(YEAR(AV$3)-YEAR($B$37))+MONTH(AV$3)-MONTH($B$37))+1)/MAX(1,'Вводные'!$K$48)&lt;=0.8,1.2,0.8)))</x:f>
      </x:c>
      <x:c r="AW43" t="n">
        <x:f>IF(AW42=0,0,IF(((12*(YEAR(AW$3)-YEAR($B$37))+MONTH(AW$3)-MONTH($B$37))+1)/MAX(1,'Вводные'!$K$48)&lt;=0.2,0.6,IF(((12*(YEAR(AW$3)-YEAR($B$37))+MONTH(AW$3)-MONTH($B$37))+1)/MAX(1,'Вводные'!$K$48)&lt;=0.8,1.2,0.8)))</x:f>
      </x:c>
      <x:c r="AX43" t="n">
        <x:f>IF(AX42=0,0,IF(((12*(YEAR(AX$3)-YEAR($B$37))+MONTH(AX$3)-MONTH($B$37))+1)/MAX(1,'Вводные'!$K$48)&lt;=0.2,0.6,IF(((12*(YEAR(AX$3)-YEAR($B$37))+MONTH(AX$3)-MONTH($B$37))+1)/MAX(1,'Вводные'!$K$48)&lt;=0.8,1.2,0.8)))</x:f>
      </x:c>
      <x:c r="AY43" t="n">
        <x:f>IF(AY42=0,0,IF(((12*(YEAR(AY$3)-YEAR($B$37))+MONTH(AY$3)-MONTH($B$37))+1)/MAX(1,'Вводные'!$K$48)&lt;=0.2,0.6,IF(((12*(YEAR(AY$3)-YEAR($B$37))+MONTH(AY$3)-MONTH($B$37))+1)/MAX(1,'Вводные'!$K$48)&lt;=0.8,1.2,0.8)))</x:f>
      </x:c>
      <x:c r="AZ43" t="n">
        <x:f>IF(AZ42=0,0,IF(((12*(YEAR(AZ$3)-YEAR($B$37))+MONTH(AZ$3)-MONTH($B$37))+1)/MAX(1,'Вводные'!$K$48)&lt;=0.2,0.6,IF(((12*(YEAR(AZ$3)-YEAR($B$37))+MONTH(AZ$3)-MONTH($B$37))+1)/MAX(1,'Вводные'!$K$48)&lt;=0.8,1.2,0.8)))</x:f>
      </x:c>
      <x:c r="BA43" t="n">
        <x:f>IF(BA42=0,0,IF(((12*(YEAR(BA$3)-YEAR($B$37))+MONTH(BA$3)-MONTH($B$37))+1)/MAX(1,'Вводные'!$K$48)&lt;=0.2,0.6,IF(((12*(YEAR(BA$3)-YEAR($B$37))+MONTH(BA$3)-MONTH($B$37))+1)/MAX(1,'Вводные'!$K$48)&lt;=0.8,1.2,0.8)))</x:f>
      </x:c>
      <x:c r="BB43" t="n">
        <x:f>IF(BB42=0,0,IF(((12*(YEAR(BB$3)-YEAR($B$37))+MONTH(BB$3)-MONTH($B$37))+1)/MAX(1,'Вводные'!$K$48)&lt;=0.2,0.6,IF(((12*(YEAR(BB$3)-YEAR($B$37))+MONTH(BB$3)-MONTH($B$37))+1)/MAX(1,'Вводные'!$K$48)&lt;=0.8,1.2,0.8)))</x:f>
      </x:c>
      <x:c r="BC43" t="n">
        <x:f>IF(BC42=0,0,IF(((12*(YEAR(BC$3)-YEAR($B$37))+MONTH(BC$3)-MONTH($B$37))+1)/MAX(1,'Вводные'!$K$48)&lt;=0.2,0.6,IF(((12*(YEAR(BC$3)-YEAR($B$37))+MONTH(BC$3)-MONTH($B$37))+1)/MAX(1,'Вводные'!$K$48)&lt;=0.8,1.2,0.8)))</x:f>
      </x:c>
      <x:c r="BD43" t="n">
        <x:f>IF(BD42=0,0,IF(((12*(YEAR(BD$3)-YEAR($B$37))+MONTH(BD$3)-MONTH($B$37))+1)/MAX(1,'Вводные'!$K$48)&lt;=0.2,0.6,IF(((12*(YEAR(BD$3)-YEAR($B$37))+MONTH(BD$3)-MONTH($B$37))+1)/MAX(1,'Вводные'!$K$48)&lt;=0.8,1.2,0.8)))</x:f>
      </x:c>
      <x:c r="BE43" t="n">
        <x:f>IF(BE42=0,0,IF(((12*(YEAR(BE$3)-YEAR($B$37))+MONTH(BE$3)-MONTH($B$37))+1)/MAX(1,'Вводные'!$K$48)&lt;=0.2,0.6,IF(((12*(YEAR(BE$3)-YEAR($B$37))+MONTH(BE$3)-MONTH($B$37))+1)/MAX(1,'Вводные'!$K$48)&lt;=0.8,1.2,0.8)))</x:f>
      </x:c>
      <x:c r="BF43" t="n">
        <x:f>IF(BF42=0,0,IF(((12*(YEAR(BF$3)-YEAR($B$37))+MONTH(BF$3)-MONTH($B$37))+1)/MAX(1,'Вводные'!$K$48)&lt;=0.2,0.6,IF(((12*(YEAR(BF$3)-YEAR($B$37))+MONTH(BF$3)-MONTH($B$37))+1)/MAX(1,'Вводные'!$K$48)&lt;=0.8,1.2,0.8)))</x:f>
      </x:c>
      <x:c r="BG43" t="n">
        <x:f>IF(BG42=0,0,IF(((12*(YEAR(BG$3)-YEAR($B$37))+MONTH(BG$3)-MONTH($B$37))+1)/MAX(1,'Вводные'!$K$48)&lt;=0.2,0.6,IF(((12*(YEAR(BG$3)-YEAR($B$37))+MONTH(BG$3)-MONTH($B$37))+1)/MAX(1,'Вводные'!$K$48)&lt;=0.8,1.2,0.8)))</x:f>
      </x:c>
      <x:c r="BH43" t="n">
        <x:f>IF(BH42=0,0,IF(((12*(YEAR(BH$3)-YEAR($B$37))+MONTH(BH$3)-MONTH($B$37))+1)/MAX(1,'Вводные'!$K$48)&lt;=0.2,0.6,IF(((12*(YEAR(BH$3)-YEAR($B$37))+MONTH(BH$3)-MONTH($B$37))+1)/MAX(1,'Вводные'!$K$48)&lt;=0.8,1.2,0.8)))</x:f>
      </x:c>
      <x:c r="BI43" t="n">
        <x:f>IF(BI42=0,0,IF(((12*(YEAR(BI$3)-YEAR($B$37))+MONTH(BI$3)-MONTH($B$37))+1)/MAX(1,'Вводные'!$K$48)&lt;=0.2,0.6,IF(((12*(YEAR(BI$3)-YEAR($B$37))+MONTH(BI$3)-MONTH($B$37))+1)/MAX(1,'Вводные'!$K$48)&lt;=0.8,1.2,0.8)))</x:f>
      </x:c>
      <x:c r="BJ43" t="n">
        <x:f>IF(BJ42=0,0,IF(((12*(YEAR(BJ$3)-YEAR($B$37))+MONTH(BJ$3)-MONTH($B$37))+1)/MAX(1,'Вводные'!$K$48)&lt;=0.2,0.6,IF(((12*(YEAR(BJ$3)-YEAR($B$37))+MONTH(BJ$3)-MONTH($B$37))+1)/MAX(1,'Вводные'!$K$48)&lt;=0.8,1.2,0.8)))</x:f>
      </x:c>
      <x:c r="BK43" t="n">
        <x:f>IF(BK42=0,0,IF(((12*(YEAR(BK$3)-YEAR($B$37))+MONTH(BK$3)-MONTH($B$37))+1)/MAX(1,'Вводные'!$K$48)&lt;=0.2,0.6,IF(((12*(YEAR(BK$3)-YEAR($B$37))+MONTH(BK$3)-MONTH($B$37))+1)/MAX(1,'Вводные'!$K$48)&lt;=0.8,1.2,0.8)))</x:f>
      </x:c>
      <x:c r="BL43" t="n">
        <x:f>IF(BL42=0,0,IF(((12*(YEAR(BL$3)-YEAR($B$37))+MONTH(BL$3)-MONTH($B$37))+1)/MAX(1,'Вводные'!$K$48)&lt;=0.2,0.6,IF(((12*(YEAR(BL$3)-YEAR($B$37))+MONTH(BL$3)-MONTH($B$37))+1)/MAX(1,'Вводные'!$K$48)&lt;=0.8,1.2,0.8)))</x:f>
      </x:c>
      <x:c r="BM43" t="n">
        <x:f>IF(BM42=0,0,IF(((12*(YEAR(BM$3)-YEAR($B$37))+MONTH(BM$3)-MONTH($B$37))+1)/MAX(1,'Вводные'!$K$48)&lt;=0.2,0.6,IF(((12*(YEAR(BM$3)-YEAR($B$37))+MONTH(BM$3)-MONTH($B$37))+1)/MAX(1,'Вводные'!$K$48)&lt;=0.8,1.2,0.8)))</x:f>
      </x:c>
      <x:c r="BN43" t="n">
        <x:f>IF(BN42=0,0,IF(((12*(YEAR(BN$3)-YEAR($B$37))+MONTH(BN$3)-MONTH($B$37))+1)/MAX(1,'Вводные'!$K$48)&lt;=0.2,0.6,IF(((12*(YEAR(BN$3)-YEAR($B$37))+MONTH(BN$3)-MONTH($B$37))+1)/MAX(1,'Вводные'!$K$48)&lt;=0.8,1.2,0.8)))</x:f>
      </x:c>
      <x:c r="BO43" t="n">
        <x:f>IF(BO42=0,0,IF(((12*(YEAR(BO$3)-YEAR($B$37))+MONTH(BO$3)-MONTH($B$37))+1)/MAX(1,'Вводные'!$K$48)&lt;=0.2,0.6,IF(((12*(YEAR(BO$3)-YEAR($B$37))+MONTH(BO$3)-MONTH($B$37))+1)/MAX(1,'Вводные'!$K$48)&lt;=0.8,1.2,0.8)))</x:f>
      </x:c>
      <x:c r="BP43" t="n">
        <x:f>IF(BP42=0,0,IF(((12*(YEAR(BP$3)-YEAR($B$37))+MONTH(BP$3)-MONTH($B$37))+1)/MAX(1,'Вводные'!$K$48)&lt;=0.2,0.6,IF(((12*(YEAR(BP$3)-YEAR($B$37))+MONTH(BP$3)-MONTH($B$37))+1)/MAX(1,'Вводные'!$K$48)&lt;=0.8,1.2,0.8)))</x:f>
      </x:c>
      <x:c r="BQ43" t="n">
        <x:f>IF(BQ42=0,0,IF(((12*(YEAR(BQ$3)-YEAR($B$37))+MONTH(BQ$3)-MONTH($B$37))+1)/MAX(1,'Вводные'!$K$48)&lt;=0.2,0.6,IF(((12*(YEAR(BQ$3)-YEAR($B$37))+MONTH(BQ$3)-MONTH($B$37))+1)/MAX(1,'Вводные'!$K$48)&lt;=0.8,1.2,0.8)))</x:f>
      </x:c>
      <x:c r="BR43" t="n">
        <x:f>IF(BR42=0,0,IF(((12*(YEAR(BR$3)-YEAR($B$37))+MONTH(BR$3)-MONTH($B$37))+1)/MAX(1,'Вводные'!$K$48)&lt;=0.2,0.6,IF(((12*(YEAR(BR$3)-YEAR($B$37))+MONTH(BR$3)-MONTH($B$37))+1)/MAX(1,'Вводные'!$K$48)&lt;=0.8,1.2,0.8)))</x:f>
      </x:c>
      <x:c r="BS43" t="n">
        <x:f>IF(BS42=0,0,IF(((12*(YEAR(BS$3)-YEAR($B$37))+MONTH(BS$3)-MONTH($B$37))+1)/MAX(1,'Вводные'!$K$48)&lt;=0.2,0.6,IF(((12*(YEAR(BS$3)-YEAR($B$37))+MONTH(BS$3)-MONTH($B$37))+1)/MAX(1,'Вводные'!$K$48)&lt;=0.8,1.2,0.8)))</x:f>
      </x:c>
      <x:c r="BT43" t="n">
        <x:f>IF(BT42=0,0,IF(((12*(YEAR(BT$3)-YEAR($B$37))+MONTH(BT$3)-MONTH($B$37))+1)/MAX(1,'Вводные'!$K$48)&lt;=0.2,0.6,IF(((12*(YEAR(BT$3)-YEAR($B$37))+MONTH(BT$3)-MONTH($B$37))+1)/MAX(1,'Вводные'!$K$48)&lt;=0.8,1.2,0.8)))</x:f>
      </x:c>
      <x:c r="BU43" t="n">
        <x:f>IF(BU42=0,0,IF(((12*(YEAR(BU$3)-YEAR($B$37))+MONTH(BU$3)-MONTH($B$37))+1)/MAX(1,'Вводные'!$K$48)&lt;=0.2,0.6,IF(((12*(YEAR(BU$3)-YEAR($B$37))+MONTH(BU$3)-MONTH($B$37))+1)/MAX(1,'Вводные'!$K$48)&lt;=0.8,1.2,0.8)))</x:f>
      </x:c>
      <x:c r="BV43" t="n">
        <x:f>IF(BV42=0,0,IF(((12*(YEAR(BV$3)-YEAR($B$37))+MONTH(BV$3)-MONTH($B$37))+1)/MAX(1,'Вводные'!$K$48)&lt;=0.2,0.6,IF(((12*(YEAR(BV$3)-YEAR($B$37))+MONTH(BV$3)-MONTH($B$37))+1)/MAX(1,'Вводные'!$K$48)&lt;=0.8,1.2,0.8)))</x:f>
      </x:c>
      <x:c r="BW43" t="n">
        <x:f>IF(BW42=0,0,IF(((12*(YEAR(BW$3)-YEAR($B$37))+MONTH(BW$3)-MONTH($B$37))+1)/MAX(1,'Вводные'!$K$48)&lt;=0.2,0.6,IF(((12*(YEAR(BW$3)-YEAR($B$37))+MONTH(BW$3)-MONTH($B$37))+1)/MAX(1,'Вводные'!$K$48)&lt;=0.8,1.2,0.8)))</x:f>
      </x:c>
      <x:c r="BX43" t="n">
        <x:f>IF(BX42=0,0,IF(((12*(YEAR(BX$3)-YEAR($B$37))+MONTH(BX$3)-MONTH($B$37))+1)/MAX(1,'Вводные'!$K$48)&lt;=0.2,0.6,IF(((12*(YEAR(BX$3)-YEAR($B$37))+MONTH(BX$3)-MONTH($B$37))+1)/MAX(1,'Вводные'!$K$48)&lt;=0.8,1.2,0.8)))</x:f>
      </x:c>
      <x:c r="BY43" t="n">
        <x:f>IF(BY42=0,0,IF(((12*(YEAR(BY$3)-YEAR($B$37))+MONTH(BY$3)-MONTH($B$37))+1)/MAX(1,'Вводные'!$K$48)&lt;=0.2,0.6,IF(((12*(YEAR(BY$3)-YEAR($B$37))+MONTH(BY$3)-MONTH($B$37))+1)/MAX(1,'Вводные'!$K$48)&lt;=0.8,1.2,0.8)))</x:f>
      </x:c>
      <x:c r="BZ43" t="n">
        <x:f>IF(BZ42=0,0,IF(((12*(YEAR(BZ$3)-YEAR($B$37))+MONTH(BZ$3)-MONTH($B$37))+1)/MAX(1,'Вводные'!$K$48)&lt;=0.2,0.6,IF(((12*(YEAR(BZ$3)-YEAR($B$37))+MONTH(BZ$3)-MONTH($B$37))+1)/MAX(1,'Вводные'!$K$48)&lt;=0.8,1.2,0.8)))</x:f>
      </x:c>
      <x:c r="CA43" t="n">
        <x:f>IF(CA42=0,0,IF(((12*(YEAR(CA$3)-YEAR($B$37))+MONTH(CA$3)-MONTH($B$37))+1)/MAX(1,'Вводные'!$K$48)&lt;=0.2,0.6,IF(((12*(YEAR(CA$3)-YEAR($B$37))+MONTH(CA$3)-MONTH($B$37))+1)/MAX(1,'Вводные'!$K$48)&lt;=0.8,1.2,0.8)))</x:f>
      </x:c>
      <x:c r="CB43" t="n">
        <x:f>IF(CB42=0,0,IF(((12*(YEAR(CB$3)-YEAR($B$37))+MONTH(CB$3)-MONTH($B$37))+1)/MAX(1,'Вводные'!$K$48)&lt;=0.2,0.6,IF(((12*(YEAR(CB$3)-YEAR($B$37))+MONTH(CB$3)-MONTH($B$37))+1)/MAX(1,'Вводные'!$K$48)&lt;=0.8,1.2,0.8)))</x:f>
      </x:c>
      <x:c r="CC43" t="n">
        <x:f>IF(CC42=0,0,IF(((12*(YEAR(CC$3)-YEAR($B$37))+MONTH(CC$3)-MONTH($B$37))+1)/MAX(1,'Вводные'!$K$48)&lt;=0.2,0.6,IF(((12*(YEAR(CC$3)-YEAR($B$37))+MONTH(CC$3)-MONTH($B$37))+1)/MAX(1,'Вводные'!$K$48)&lt;=0.8,1.2,0.8)))</x:f>
      </x:c>
      <x:c r="CD43" t="n">
        <x:f>IF(CD42=0,0,IF(((12*(YEAR(CD$3)-YEAR($B$37))+MONTH(CD$3)-MONTH($B$37))+1)/MAX(1,'Вводные'!$K$48)&lt;=0.2,0.6,IF(((12*(YEAR(CD$3)-YEAR($B$37))+MONTH(CD$3)-MONTH($B$37))+1)/MAX(1,'Вводные'!$K$48)&lt;=0.8,1.2,0.8)))</x:f>
      </x:c>
      <x:c r="CE43" t="n">
        <x:f>IF(CE42=0,0,IF(((12*(YEAR(CE$3)-YEAR($B$37))+MONTH(CE$3)-MONTH($B$37))+1)/MAX(1,'Вводные'!$K$48)&lt;=0.2,0.6,IF(((12*(YEAR(CE$3)-YEAR($B$37))+MONTH(CE$3)-MONTH($B$37))+1)/MAX(1,'Вводные'!$K$48)&lt;=0.8,1.2,0.8)))</x:f>
      </x:c>
      <x:c r="CF43" t="n">
        <x:f>IF(CF42=0,0,IF(((12*(YEAR(CF$3)-YEAR($B$37))+MONTH(CF$3)-MONTH($B$37))+1)/MAX(1,'Вводные'!$K$48)&lt;=0.2,0.6,IF(((12*(YEAR(CF$3)-YEAR($B$37))+MONTH(CF$3)-MONTH($B$37))+1)/MAX(1,'Вводные'!$K$48)&lt;=0.8,1.2,0.8)))</x:f>
      </x:c>
      <x:c r="CG43" t="n">
        <x:f>IF(CG42=0,0,IF(((12*(YEAR(CG$3)-YEAR($B$37))+MONTH(CG$3)-MONTH($B$37))+1)/MAX(1,'Вводные'!$K$48)&lt;=0.2,0.6,IF(((12*(YEAR(CG$3)-YEAR($B$37))+MONTH(CG$3)-MONTH($B$37))+1)/MAX(1,'Вводные'!$K$48)&lt;=0.8,1.2,0.8)))</x:f>
      </x:c>
      <x:c r="CH43" t="n">
        <x:f>IF(CH42=0,0,IF(((12*(YEAR(CH$3)-YEAR($B$37))+MONTH(CH$3)-MONTH($B$37))+1)/MAX(1,'Вводные'!$K$48)&lt;=0.2,0.6,IF(((12*(YEAR(CH$3)-YEAR($B$37))+MONTH(CH$3)-MONTH($B$37))+1)/MAX(1,'Вводные'!$K$48)&lt;=0.8,1.2,0.8)))</x:f>
      </x:c>
      <x:c r="CI43" t="n">
        <x:f>IF(CI42=0,0,IF(((12*(YEAR(CI$3)-YEAR($B$37))+MONTH(CI$3)-MONTH($B$37))+1)/MAX(1,'Вводные'!$K$48)&lt;=0.2,0.6,IF(((12*(YEAR(CI$3)-YEAR($B$37))+MONTH(CI$3)-MONTH($B$37))+1)/MAX(1,'Вводные'!$K$48)&lt;=0.8,1.2,0.8)))</x:f>
      </x:c>
      <x:c r="CJ43" t="n">
        <x:f>IF(CJ42=0,0,IF(((12*(YEAR(CJ$3)-YEAR($B$37))+MONTH(CJ$3)-MONTH($B$37))+1)/MAX(1,'Вводные'!$K$48)&lt;=0.2,0.6,IF(((12*(YEAR(CJ$3)-YEAR($B$37))+MONTH(CJ$3)-MONTH($B$37))+1)/MAX(1,'Вводные'!$K$48)&lt;=0.8,1.2,0.8)))</x:f>
      </x:c>
      <x:c r="CK43" t="n">
        <x:f>IF(CK42=0,0,IF(((12*(YEAR(CK$3)-YEAR($B$37))+MONTH(CK$3)-MONTH($B$37))+1)/MAX(1,'Вводные'!$K$48)&lt;=0.2,0.6,IF(((12*(YEAR(CK$3)-YEAR($B$37))+MONTH(CK$3)-MONTH($B$37))+1)/MAX(1,'Вводные'!$K$48)&lt;=0.8,1.2,0.8)))</x:f>
      </x:c>
      <x:c r="CL43" t="n">
        <x:f>IF(CL42=0,0,IF(((12*(YEAR(CL$3)-YEAR($B$37))+MONTH(CL$3)-MONTH($B$37))+1)/MAX(1,'Вводные'!$K$48)&lt;=0.2,0.6,IF(((12*(YEAR(CL$3)-YEAR($B$37))+MONTH(CL$3)-MONTH($B$37))+1)/MAX(1,'Вводные'!$K$48)&lt;=0.8,1.2,0.8)))</x:f>
      </x:c>
      <x:c r="CM43" t="n">
        <x:f>IF(CM42=0,0,IF(((12*(YEAR(CM$3)-YEAR($B$37))+MONTH(CM$3)-MONTH($B$37))+1)/MAX(1,'Вводные'!$K$48)&lt;=0.2,0.6,IF(((12*(YEAR(CM$3)-YEAR($B$37))+MONTH(CM$3)-MONTH($B$37))+1)/MAX(1,'Вводные'!$K$48)&lt;=0.8,1.2,0.8)))</x:f>
      </x:c>
      <x:c r="CN43" t="n">
        <x:f>IF(CN42=0,0,IF(((12*(YEAR(CN$3)-YEAR($B$37))+MONTH(CN$3)-MONTH($B$37))+1)/MAX(1,'Вводные'!$K$48)&lt;=0.2,0.6,IF(((12*(YEAR(CN$3)-YEAR($B$37))+MONTH(CN$3)-MONTH($B$37))+1)/MAX(1,'Вводные'!$K$48)&lt;=0.8,1.2,0.8)))</x:f>
      </x:c>
      <x:c r="CO43" t="n">
        <x:f>IF(CO42=0,0,IF(((12*(YEAR(CO$3)-YEAR($B$37))+MONTH(CO$3)-MONTH($B$37))+1)/MAX(1,'Вводные'!$K$48)&lt;=0.2,0.6,IF(((12*(YEAR(CO$3)-YEAR($B$37))+MONTH(CO$3)-MONTH($B$37))+1)/MAX(1,'Вводные'!$K$48)&lt;=0.8,1.2,0.8)))</x:f>
      </x:c>
      <x:c r="CP43" t="n">
        <x:f>IF(CP42=0,0,IF(((12*(YEAR(CP$3)-YEAR($B$37))+MONTH(CP$3)-MONTH($B$37))+1)/MAX(1,'Вводные'!$K$48)&lt;=0.2,0.6,IF(((12*(YEAR(CP$3)-YEAR($B$37))+MONTH(CP$3)-MONTH($B$37))+1)/MAX(1,'Вводные'!$K$48)&lt;=0.8,1.2,0.8)))</x:f>
      </x:c>
      <x:c r="CQ43" t="n">
        <x:f>IF(CQ42=0,0,IF(((12*(YEAR(CQ$3)-YEAR($B$37))+MONTH(CQ$3)-MONTH($B$37))+1)/MAX(1,'Вводные'!$K$48)&lt;=0.2,0.6,IF(((12*(YEAR(CQ$3)-YEAR($B$37))+MONTH(CQ$3)-MONTH($B$37))+1)/MAX(1,'Вводные'!$K$48)&lt;=0.8,1.2,0.8)))</x:f>
      </x:c>
      <x:c r="CR43" t="n">
        <x:f>IF(CR42=0,0,IF(((12*(YEAR(CR$3)-YEAR($B$37))+MONTH(CR$3)-MONTH($B$37))+1)/MAX(1,'Вводные'!$K$48)&lt;=0.2,0.6,IF(((12*(YEAR(CR$3)-YEAR($B$37))+MONTH(CR$3)-MONTH($B$37))+1)/MAX(1,'Вводные'!$K$48)&lt;=0.8,1.2,0.8)))</x:f>
      </x:c>
      <x:c r="CS43" t="n">
        <x:f>IF(CS42=0,0,IF(((12*(YEAR(CS$3)-YEAR($B$37))+MONTH(CS$3)-MONTH($B$37))+1)/MAX(1,'Вводные'!$K$48)&lt;=0.2,0.6,IF(((12*(YEAR(CS$3)-YEAR($B$37))+MONTH(CS$3)-MONTH($B$37))+1)/MAX(1,'Вводные'!$K$48)&lt;=0.8,1.2,0.8)))</x:f>
      </x:c>
      <x:c r="CT43" t="n">
        <x:f>IF(CT42=0,0,IF(((12*(YEAR(CT$3)-YEAR($B$37))+MONTH(CT$3)-MONTH($B$37))+1)/MAX(1,'Вводные'!$K$48)&lt;=0.2,0.6,IF(((12*(YEAR(CT$3)-YEAR($B$37))+MONTH(CT$3)-MONTH($B$37))+1)/MAX(1,'Вводные'!$K$48)&lt;=0.8,1.2,0.8)))</x:f>
      </x:c>
      <x:c r="CU43" t="n">
        <x:f>IF(CU42=0,0,IF(((12*(YEAR(CU$3)-YEAR($B$37))+MONTH(CU$3)-MONTH($B$37))+1)/MAX(1,'Вводные'!$K$48)&lt;=0.2,0.6,IF(((12*(YEAR(CU$3)-YEAR($B$37))+MONTH(CU$3)-MONTH($B$37))+1)/MAX(1,'Вводные'!$K$48)&lt;=0.8,1.2,0.8)))</x:f>
      </x:c>
      <x:c r="CV43" t="n">
        <x:f>IF(CV42=0,0,IF(((12*(YEAR(CV$3)-YEAR($B$37))+MONTH(CV$3)-MONTH($B$37))+1)/MAX(1,'Вводные'!$K$48)&lt;=0.2,0.6,IF(((12*(YEAR(CV$3)-YEAR($B$37))+MONTH(CV$3)-MONTH($B$37))+1)/MAX(1,'Вводные'!$K$48)&lt;=0.8,1.2,0.8)))</x:f>
      </x:c>
      <x:c r="CW43" t="n">
        <x:f>IF(CW42=0,0,IF(((12*(YEAR(CW$3)-YEAR($B$37))+MONTH(CW$3)-MONTH($B$37))+1)/MAX(1,'Вводные'!$K$48)&lt;=0.2,0.6,IF(((12*(YEAR(CW$3)-YEAR($B$37))+MONTH(CW$3)-MONTH($B$37))+1)/MAX(1,'Вводные'!$K$48)&lt;=0.8,1.2,0.8)))</x:f>
      </x:c>
      <x:c r="CX43" t="n">
        <x:f>IF(CX42=0,0,IF(((12*(YEAR(CX$3)-YEAR($B$37))+MONTH(CX$3)-MONTH($B$37))+1)/MAX(1,'Вводные'!$K$48)&lt;=0.2,0.6,IF(((12*(YEAR(CX$3)-YEAR($B$37))+MONTH(CX$3)-MONTH($B$37))+1)/MAX(1,'Вводные'!$K$48)&lt;=0.8,1.2,0.8)))</x:f>
      </x:c>
      <x:c r="CY43" t="n">
        <x:f>IF(CY42=0,0,IF(((12*(YEAR(CY$3)-YEAR($B$37))+MONTH(CY$3)-MONTH($B$37))+1)/MAX(1,'Вводные'!$K$48)&lt;=0.2,0.6,IF(((12*(YEAR(CY$3)-YEAR($B$37))+MONTH(CY$3)-MONTH($B$37))+1)/MAX(1,'Вводные'!$K$48)&lt;=0.8,1.2,0.8)))</x:f>
      </x:c>
      <x:c r="CZ43" t="n">
        <x:f>IF(CZ42=0,0,IF(((12*(YEAR(CZ$3)-YEAR($B$37))+MONTH(CZ$3)-MONTH($B$37))+1)/MAX(1,'Вводные'!$K$48)&lt;=0.2,0.6,IF(((12*(YEAR(CZ$3)-YEAR($B$37))+MONTH(CZ$3)-MONTH($B$37))+1)/MAX(1,'Вводные'!$K$48)&lt;=0.8,1.2,0.8)))</x:f>
      </x:c>
      <x:c r="DA43" t="n">
        <x:f>IF(DA42=0,0,IF(((12*(YEAR(DA$3)-YEAR($B$37))+MONTH(DA$3)-MONTH($B$37))+1)/MAX(1,'Вводные'!$K$48)&lt;=0.2,0.6,IF(((12*(YEAR(DA$3)-YEAR($B$37))+MONTH(DA$3)-MONTH($B$37))+1)/MAX(1,'Вводные'!$K$48)&lt;=0.8,1.2,0.8)))</x:f>
      </x:c>
      <x:c r="DB43" t="n">
        <x:f>IF(DB42=0,0,IF(((12*(YEAR(DB$3)-YEAR($B$37))+MONTH(DB$3)-MONTH($B$37))+1)/MAX(1,'Вводные'!$K$48)&lt;=0.2,0.6,IF(((12*(YEAR(DB$3)-YEAR($B$37))+MONTH(DB$3)-MONTH($B$37))+1)/MAX(1,'Вводные'!$K$48)&lt;=0.8,1.2,0.8)))</x:f>
      </x:c>
      <x:c r="DC43" t="n">
        <x:f>IF(DC42=0,0,IF(((12*(YEAR(DC$3)-YEAR($B$37))+MONTH(DC$3)-MONTH($B$37))+1)/MAX(1,'Вводные'!$K$48)&lt;=0.2,0.6,IF(((12*(YEAR(DC$3)-YEAR($B$37))+MONTH(DC$3)-MONTH($B$37))+1)/MAX(1,'Вводные'!$K$48)&lt;=0.8,1.2,0.8)))</x:f>
      </x:c>
      <x:c r="DD43" t="n">
        <x:f>IF(DD42=0,0,IF(((12*(YEAR(DD$3)-YEAR($B$37))+MONTH(DD$3)-MONTH($B$37))+1)/MAX(1,'Вводные'!$K$48)&lt;=0.2,0.6,IF(((12*(YEAR(DD$3)-YEAR($B$37))+MONTH(DD$3)-MONTH($B$37))+1)/MAX(1,'Вводные'!$K$48)&lt;=0.8,1.2,0.8)))</x:f>
      </x:c>
      <x:c r="DE43" t="n">
        <x:f>IF(DE42=0,0,IF(((12*(YEAR(DE$3)-YEAR($B$37))+MONTH(DE$3)-MONTH($B$37))+1)/MAX(1,'Вводные'!$K$48)&lt;=0.2,0.6,IF(((12*(YEAR(DE$3)-YEAR($B$37))+MONTH(DE$3)-MONTH($B$37))+1)/MAX(1,'Вводные'!$K$48)&lt;=0.8,1.2,0.8)))</x:f>
      </x:c>
      <x:c r="DF43" t="n">
        <x:f>IF(DF42=0,0,IF(((12*(YEAR(DF$3)-YEAR($B$37))+MONTH(DF$3)-MONTH($B$37))+1)/MAX(1,'Вводные'!$K$48)&lt;=0.2,0.6,IF(((12*(YEAR(DF$3)-YEAR($B$37))+MONTH(DF$3)-MONTH($B$37))+1)/MAX(1,'Вводные'!$K$48)&lt;=0.8,1.2,0.8)))</x:f>
      </x:c>
      <x:c r="DG43" t="n">
        <x:f>IF(DG42=0,0,IF(((12*(YEAR(DG$3)-YEAR($B$37))+MONTH(DG$3)-MONTH($B$37))+1)/MAX(1,'Вводные'!$K$48)&lt;=0.2,0.6,IF(((12*(YEAR(DG$3)-YEAR($B$37))+MONTH(DG$3)-MONTH($B$37))+1)/MAX(1,'Вводные'!$K$48)&lt;=0.8,1.2,0.8)))</x:f>
      </x:c>
      <x:c r="DH43" t="n">
        <x:f>IF(DH42=0,0,IF(((12*(YEAR(DH$3)-YEAR($B$37))+MONTH(DH$3)-MONTH($B$37))+1)/MAX(1,'Вводные'!$K$48)&lt;=0.2,0.6,IF(((12*(YEAR(DH$3)-YEAR($B$37))+MONTH(DH$3)-MONTH($B$37))+1)/MAX(1,'Вводные'!$K$48)&lt;=0.8,1.2,0.8)))</x:f>
      </x:c>
      <x:c r="DI43" t="n">
        <x:f>IF(DI42=0,0,IF(((12*(YEAR(DI$3)-YEAR($B$37))+MONTH(DI$3)-MONTH($B$37))+1)/MAX(1,'Вводные'!$K$48)&lt;=0.2,0.6,IF(((12*(YEAR(DI$3)-YEAR($B$37))+MONTH(DI$3)-MONTH($B$37))+1)/MAX(1,'Вводные'!$K$48)&lt;=0.8,1.2,0.8)))</x:f>
      </x:c>
      <x:c r="DJ43" t="n">
        <x:f>IF(DJ42=0,0,IF(((12*(YEAR(DJ$3)-YEAR($B$37))+MONTH(DJ$3)-MONTH($B$37))+1)/MAX(1,'Вводные'!$K$48)&lt;=0.2,0.6,IF(((12*(YEAR(DJ$3)-YEAR($B$37))+MONTH(DJ$3)-MONTH($B$37))+1)/MAX(1,'Вводные'!$K$48)&lt;=0.8,1.2,0.8)))</x:f>
      </x:c>
      <x:c r="DK43" t="n">
        <x:f>IF(DK42=0,0,IF(((12*(YEAR(DK$3)-YEAR($B$37))+MONTH(DK$3)-MONTH($B$37))+1)/MAX(1,'Вводные'!$K$48)&lt;=0.2,0.6,IF(((12*(YEAR(DK$3)-YEAR($B$37))+MONTH(DK$3)-MONTH($B$37))+1)/MAX(1,'Вводные'!$K$48)&lt;=0.8,1.2,0.8)))</x:f>
      </x:c>
      <x:c r="DL43" t="n">
        <x:f>IF(DL42=0,0,IF(((12*(YEAR(DL$3)-YEAR($B$37))+MONTH(DL$3)-MONTH($B$37))+1)/MAX(1,'Вводные'!$K$48)&lt;=0.2,0.6,IF(((12*(YEAR(DL$3)-YEAR($B$37))+MONTH(DL$3)-MONTH($B$37))+1)/MAX(1,'Вводные'!$K$48)&lt;=0.8,1.2,0.8)))</x:f>
      </x:c>
      <x:c r="DM43" t="n">
        <x:f>IF(DM42=0,0,IF(((12*(YEAR(DM$3)-YEAR($B$37))+MONTH(DM$3)-MONTH($B$37))+1)/MAX(1,'Вводные'!$K$48)&lt;=0.2,0.6,IF(((12*(YEAR(DM$3)-YEAR($B$37))+MONTH(DM$3)-MONTH($B$37))+1)/MAX(1,'Вводные'!$K$48)&lt;=0.8,1.2,0.8)))</x:f>
      </x:c>
      <x:c r="DN43" t="n">
        <x:f>IF(DN42=0,0,IF(((12*(YEAR(DN$3)-YEAR($B$37))+MONTH(DN$3)-MONTH($B$37))+1)/MAX(1,'Вводные'!$K$48)&lt;=0.2,0.6,IF(((12*(YEAR(DN$3)-YEAR($B$37))+MONTH(DN$3)-MONTH($B$37))+1)/MAX(1,'Вводные'!$K$48)&lt;=0.8,1.2,0.8)))</x:f>
      </x:c>
      <x:c r="DO43" t="n">
        <x:f>IF(DO42=0,0,IF(((12*(YEAR(DO$3)-YEAR($B$37))+MONTH(DO$3)-MONTH($B$37))+1)/MAX(1,'Вводные'!$K$48)&lt;=0.2,0.6,IF(((12*(YEAR(DO$3)-YEAR($B$37))+MONTH(DO$3)-MONTH($B$37))+1)/MAX(1,'Вводные'!$K$48)&lt;=0.8,1.2,0.8)))</x:f>
      </x:c>
      <x:c r="DP43" t="n">
        <x:f>IF(DP42=0,0,IF(((12*(YEAR(DP$3)-YEAR($B$37))+MONTH(DP$3)-MONTH($B$37))+1)/MAX(1,'Вводные'!$K$48)&lt;=0.2,0.6,IF(((12*(YEAR(DP$3)-YEAR($B$37))+MONTH(DP$3)-MONTH($B$37))+1)/MAX(1,'Вводные'!$K$48)&lt;=0.8,1.2,0.8)))</x:f>
      </x:c>
      <x:c r="DQ43" t="n">
        <x:f>IF(DQ42=0,0,IF(((12*(YEAR(DQ$3)-YEAR($B$37))+MONTH(DQ$3)-MONTH($B$37))+1)/MAX(1,'Вводные'!$K$48)&lt;=0.2,0.6,IF(((12*(YEAR(DQ$3)-YEAR($B$37))+MONTH(DQ$3)-MONTH($B$37))+1)/MAX(1,'Вводные'!$K$48)&lt;=0.8,1.2,0.8)))</x:f>
      </x:c>
      <x:c r="DR43" t="n">
        <x:f>IF(DR42=0,0,IF(((12*(YEAR(DR$3)-YEAR($B$37))+MONTH(DR$3)-MONTH($B$37))+1)/MAX(1,'Вводные'!$K$48)&lt;=0.2,0.6,IF(((12*(YEAR(DR$3)-YEAR($B$37))+MONTH(DR$3)-MONTH($B$37))+1)/MAX(1,'Вводные'!$K$48)&lt;=0.8,1.2,0.8)))</x:f>
      </x:c>
      <x:c r="DS43" t="n">
        <x:f>IF(DS42=0,0,IF(((12*(YEAR(DS$3)-YEAR($B$37))+MONTH(DS$3)-MONTH($B$37))+1)/MAX(1,'Вводные'!$K$48)&lt;=0.2,0.6,IF(((12*(YEAR(DS$3)-YEAR($B$37))+MONTH(DS$3)-MONTH($B$37))+1)/MAX(1,'Вводные'!$K$48)&lt;=0.8,1.2,0.8)))</x:f>
      </x:c>
    </x:row>
    <x:row r="44">
      <x:c r="A44" t="str">
        <x:v>Нормированный вес строительства</x:v>
      </x:c>
      <x:c r="B44" s="35" t="n">
        <x:f>SUM(D44:DS44)</x:f>
      </x:c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продаж до РВЭ</x:v>
      </x:c>
      <x:c r="B45" s="35"/>
      <x:c r="C45" t="str">
        <x:v>0 / 1</x:v>
      </x:c>
      <x:c r="D45" s="35" t="n">
        <x:f>--AND(D$3&gt;=$B$39,D$3&lt;$B$38,D$3&lt;EDATE($B$39,MAX(1,'Вводные'!$K$53)),AND($B$35="Да",IFERROR(INDEX('Вводные'!$B$88:$B$91,$B$36),"Нет")="Да"))</x:f>
      </x:c>
      <x:c r="E45" s="35" t="n">
        <x:f>--AND(E$3&gt;=$B$39,E$3&lt;$B$38,E$3&lt;EDATE($B$39,MAX(1,'Вводные'!$K$53)),AND($B$35="Да",IFERROR(INDEX('Вводные'!$B$88:$B$91,$B$36),"Нет")="Да"))</x:f>
      </x:c>
      <x:c r="F45" s="35" t="n">
        <x:f>--AND(F$3&gt;=$B$39,F$3&lt;$B$38,F$3&lt;EDATE($B$39,MAX(1,'Вводные'!$K$53)),AND($B$35="Да",IFERROR(INDEX('Вводные'!$B$88:$B$91,$B$36),"Нет")="Да"))</x:f>
      </x:c>
      <x:c r="G45" s="35" t="n">
        <x:f>--AND(G$3&gt;=$B$39,G$3&lt;$B$38,G$3&lt;EDATE($B$39,MAX(1,'Вводные'!$K$53)),AND($B$35="Да",IFERROR(INDEX('Вводные'!$B$88:$B$91,$B$36),"Нет")="Да"))</x:f>
      </x:c>
      <x:c r="H45" s="35" t="n">
        <x:f>--AND(H$3&gt;=$B$39,H$3&lt;$B$38,H$3&lt;EDATE($B$39,MAX(1,'Вводные'!$K$53)),AND($B$35="Да",IFERROR(INDEX('Вводные'!$B$88:$B$91,$B$36),"Нет")="Да"))</x:f>
      </x:c>
      <x:c r="I45" s="35" t="n">
        <x:f>--AND(I$3&gt;=$B$39,I$3&lt;$B$38,I$3&lt;EDATE($B$39,MAX(1,'Вводные'!$K$53)),AND($B$35="Да",IFERROR(INDEX('Вводные'!$B$88:$B$91,$B$36),"Нет")="Да"))</x:f>
      </x:c>
      <x:c r="J45" s="35" t="n">
        <x:f>--AND(J$3&gt;=$B$39,J$3&lt;$B$38,J$3&lt;EDATE($B$39,MAX(1,'Вводные'!$K$53)),AND($B$35="Да",IFERROR(INDEX('Вводные'!$B$88:$B$91,$B$36),"Нет")="Да"))</x:f>
      </x:c>
      <x:c r="K45" s="35" t="n">
        <x:f>--AND(K$3&gt;=$B$39,K$3&lt;$B$38,K$3&lt;EDATE($B$39,MAX(1,'Вводные'!$K$53)),AND($B$35="Да",IFERROR(INDEX('Вводные'!$B$88:$B$91,$B$36),"Нет")="Да"))</x:f>
      </x:c>
      <x:c r="L45" s="35" t="n">
        <x:f>--AND(L$3&gt;=$B$39,L$3&lt;$B$38,L$3&lt;EDATE($B$39,MAX(1,'Вводные'!$K$53)),AND($B$35="Да",IFERROR(INDEX('Вводные'!$B$88:$B$91,$B$36),"Нет")="Да"))</x:f>
      </x:c>
      <x:c r="M45" s="35" t="n">
        <x:f>--AND(M$3&gt;=$B$39,M$3&lt;$B$38,M$3&lt;EDATE($B$39,MAX(1,'Вводные'!$K$53)),AND($B$35="Да",IFERROR(INDEX('Вводные'!$B$88:$B$91,$B$36),"Нет")="Да"))</x:f>
      </x:c>
      <x:c r="N45" s="35" t="n">
        <x:f>--AND(N$3&gt;=$B$39,N$3&lt;$B$38,N$3&lt;EDATE($B$39,MAX(1,'Вводные'!$K$53)),AND($B$35="Да",IFERROR(INDEX('Вводные'!$B$88:$B$91,$B$36),"Нет")="Да"))</x:f>
      </x:c>
      <x:c r="O45" s="35" t="n">
        <x:f>--AND(O$3&gt;=$B$39,O$3&lt;$B$38,O$3&lt;EDATE($B$39,MAX(1,'Вводные'!$K$53)),AND($B$35="Да",IFERROR(INDEX('Вводные'!$B$88:$B$91,$B$36),"Нет")="Да"))</x:f>
      </x:c>
      <x:c r="P45" s="35" t="n">
        <x:f>--AND(P$3&gt;=$B$39,P$3&lt;$B$38,P$3&lt;EDATE($B$39,MAX(1,'Вводные'!$K$53)),AND($B$35="Да",IFERROR(INDEX('Вводные'!$B$88:$B$91,$B$36),"Нет")="Да"))</x:f>
      </x:c>
      <x:c r="Q45" s="35" t="n">
        <x:f>--AND(Q$3&gt;=$B$39,Q$3&lt;$B$38,Q$3&lt;EDATE($B$39,MAX(1,'Вводные'!$K$53)),AND($B$35="Да",IFERROR(INDEX('Вводные'!$B$88:$B$91,$B$36),"Нет")="Да"))</x:f>
      </x:c>
      <x:c r="R45" s="35" t="n">
        <x:f>--AND(R$3&gt;=$B$39,R$3&lt;$B$38,R$3&lt;EDATE($B$39,MAX(1,'Вводные'!$K$53)),AND($B$35="Да",IFERROR(INDEX('Вводные'!$B$88:$B$91,$B$36),"Нет")="Да"))</x:f>
      </x:c>
      <x:c r="S45" s="35" t="n">
        <x:f>--AND(S$3&gt;=$B$39,S$3&lt;$B$38,S$3&lt;EDATE($B$39,MAX(1,'Вводные'!$K$53)),AND($B$35="Да",IFERROR(INDEX('Вводные'!$B$88:$B$91,$B$36),"Нет")="Да"))</x:f>
      </x:c>
      <x:c r="T45" s="35" t="n">
        <x:f>--AND(T$3&gt;=$B$39,T$3&lt;$B$38,T$3&lt;EDATE($B$39,MAX(1,'Вводные'!$K$53)),AND($B$35="Да",IFERROR(INDEX('Вводные'!$B$88:$B$91,$B$36),"Нет")="Да"))</x:f>
      </x:c>
      <x:c r="U45" s="35" t="n">
        <x:f>--AND(U$3&gt;=$B$39,U$3&lt;$B$38,U$3&lt;EDATE($B$39,MAX(1,'Вводные'!$K$53)),AND($B$35="Да",IFERROR(INDEX('Вводные'!$B$88:$B$91,$B$36),"Нет")="Да"))</x:f>
      </x:c>
      <x:c r="V45" s="35" t="n">
        <x:f>--AND(V$3&gt;=$B$39,V$3&lt;$B$38,V$3&lt;EDATE($B$39,MAX(1,'Вводные'!$K$53)),AND($B$35="Да",IFERROR(INDEX('Вводные'!$B$88:$B$91,$B$36),"Нет")="Да"))</x:f>
      </x:c>
      <x:c r="W45" s="35" t="n">
        <x:f>--AND(W$3&gt;=$B$39,W$3&lt;$B$38,W$3&lt;EDATE($B$39,MAX(1,'Вводные'!$K$53)),AND($B$35="Да",IFERROR(INDEX('Вводные'!$B$88:$B$91,$B$36),"Нет")="Да"))</x:f>
      </x:c>
      <x:c r="X45" s="35" t="n">
        <x:f>--AND(X$3&gt;=$B$39,X$3&lt;$B$38,X$3&lt;EDATE($B$39,MAX(1,'Вводные'!$K$53)),AND($B$35="Да",IFERROR(INDEX('Вводные'!$B$88:$B$91,$B$36),"Нет")="Да"))</x:f>
      </x:c>
      <x:c r="Y45" s="35" t="n">
        <x:f>--AND(Y$3&gt;=$B$39,Y$3&lt;$B$38,Y$3&lt;EDATE($B$39,MAX(1,'Вводные'!$K$53)),AND($B$35="Да",IFERROR(INDEX('Вводные'!$B$88:$B$91,$B$36),"Нет")="Да"))</x:f>
      </x:c>
      <x:c r="Z45" s="35" t="n">
        <x:f>--AND(Z$3&gt;=$B$39,Z$3&lt;$B$38,Z$3&lt;EDATE($B$39,MAX(1,'Вводные'!$K$53)),AND($B$35="Да",IFERROR(INDEX('Вводные'!$B$88:$B$91,$B$36),"Нет")="Да"))</x:f>
      </x:c>
      <x:c r="AA45" s="35" t="n">
        <x:f>--AND(AA$3&gt;=$B$39,AA$3&lt;$B$38,AA$3&lt;EDATE($B$39,MAX(1,'Вводные'!$K$53)),AND($B$35="Да",IFERROR(INDEX('Вводные'!$B$88:$B$91,$B$36),"Нет")="Да"))</x:f>
      </x:c>
      <x:c r="AB45" s="35" t="n">
        <x:f>--AND(AB$3&gt;=$B$39,AB$3&lt;$B$38,AB$3&lt;EDATE($B$39,MAX(1,'Вводные'!$K$53)),AND($B$35="Да",IFERROR(INDEX('Вводные'!$B$88:$B$91,$B$36),"Нет")="Да"))</x:f>
      </x:c>
      <x:c r="AC45" s="35" t="n">
        <x:f>--AND(AC$3&gt;=$B$39,AC$3&lt;$B$38,AC$3&lt;EDATE($B$39,MAX(1,'Вводные'!$K$53)),AND($B$35="Да",IFERROR(INDEX('Вводные'!$B$88:$B$91,$B$36),"Нет")="Да"))</x:f>
      </x:c>
      <x:c r="AD45" s="35" t="n">
        <x:f>--AND(AD$3&gt;=$B$39,AD$3&lt;$B$38,AD$3&lt;EDATE($B$39,MAX(1,'Вводные'!$K$53)),AND($B$35="Да",IFERROR(INDEX('Вводные'!$B$88:$B$91,$B$36),"Нет")="Да"))</x:f>
      </x:c>
      <x:c r="AE45" s="35" t="n">
        <x:f>--AND(AE$3&gt;=$B$39,AE$3&lt;$B$38,AE$3&lt;EDATE($B$39,MAX(1,'Вводные'!$K$53)),AND($B$35="Да",IFERROR(INDEX('Вводные'!$B$88:$B$91,$B$36),"Нет")="Да"))</x:f>
      </x:c>
      <x:c r="AF45" s="35" t="n">
        <x:f>--AND(AF$3&gt;=$B$39,AF$3&lt;$B$38,AF$3&lt;EDATE($B$39,MAX(1,'Вводные'!$K$53)),AND($B$35="Да",IFERROR(INDEX('Вводные'!$B$88:$B$91,$B$36),"Нет")="Да"))</x:f>
      </x:c>
      <x:c r="AG45" s="35" t="n">
        <x:f>--AND(AG$3&gt;=$B$39,AG$3&lt;$B$38,AG$3&lt;EDATE($B$39,MAX(1,'Вводные'!$K$53)),AND($B$35="Да",IFERROR(INDEX('Вводные'!$B$88:$B$91,$B$36),"Нет")="Да"))</x:f>
      </x:c>
      <x:c r="AH45" s="35" t="n">
        <x:f>--AND(AH$3&gt;=$B$39,AH$3&lt;$B$38,AH$3&lt;EDATE($B$39,MAX(1,'Вводные'!$K$53)),AND($B$35="Да",IFERROR(INDEX('Вводные'!$B$88:$B$91,$B$36),"Нет")="Да"))</x:f>
      </x:c>
      <x:c r="AI45" s="35" t="n">
        <x:f>--AND(AI$3&gt;=$B$39,AI$3&lt;$B$38,AI$3&lt;EDATE($B$39,MAX(1,'Вводные'!$K$53)),AND($B$35="Да",IFERROR(INDEX('Вводные'!$B$88:$B$91,$B$36),"Нет")="Да"))</x:f>
      </x:c>
      <x:c r="AJ45" s="35" t="n">
        <x:f>--AND(AJ$3&gt;=$B$39,AJ$3&lt;$B$38,AJ$3&lt;EDATE($B$39,MAX(1,'Вводные'!$K$53)),AND($B$35="Да",IFERROR(INDEX('Вводные'!$B$88:$B$91,$B$36),"Нет")="Да"))</x:f>
      </x:c>
      <x:c r="AK45" s="35" t="n">
        <x:f>--AND(AK$3&gt;=$B$39,AK$3&lt;$B$38,AK$3&lt;EDATE($B$39,MAX(1,'Вводные'!$K$53)),AND($B$35="Да",IFERROR(INDEX('Вводные'!$B$88:$B$91,$B$36),"Нет")="Да"))</x:f>
      </x:c>
      <x:c r="AL45" s="35" t="n">
        <x:f>--AND(AL$3&gt;=$B$39,AL$3&lt;$B$38,AL$3&lt;EDATE($B$39,MAX(1,'Вводные'!$K$53)),AND($B$35="Да",IFERROR(INDEX('Вводные'!$B$88:$B$91,$B$36),"Нет")="Да"))</x:f>
      </x:c>
      <x:c r="AM45" s="35" t="n">
        <x:f>--AND(AM$3&gt;=$B$39,AM$3&lt;$B$38,AM$3&lt;EDATE($B$39,MAX(1,'Вводные'!$K$53)),AND($B$35="Да",IFERROR(INDEX('Вводные'!$B$88:$B$91,$B$36),"Нет")="Да"))</x:f>
      </x:c>
      <x:c r="AN45" s="35" t="n">
        <x:f>--AND(AN$3&gt;=$B$39,AN$3&lt;$B$38,AN$3&lt;EDATE($B$39,MAX(1,'Вводные'!$K$53)),AND($B$35="Да",IFERROR(INDEX('Вводные'!$B$88:$B$91,$B$36),"Нет")="Да"))</x:f>
      </x:c>
      <x:c r="AO45" s="35" t="n">
        <x:f>--AND(AO$3&gt;=$B$39,AO$3&lt;$B$38,AO$3&lt;EDATE($B$39,MAX(1,'Вводные'!$K$53)),AND($B$35="Да",IFERROR(INDEX('Вводные'!$B$88:$B$91,$B$36),"Нет")="Да"))</x:f>
      </x:c>
      <x:c r="AP45" s="35" t="n">
        <x:f>--AND(AP$3&gt;=$B$39,AP$3&lt;$B$38,AP$3&lt;EDATE($B$39,MAX(1,'Вводные'!$K$53)),AND($B$35="Да",IFERROR(INDEX('Вводные'!$B$88:$B$91,$B$36),"Нет")="Да"))</x:f>
      </x:c>
      <x:c r="AQ45" s="35" t="n">
        <x:f>--AND(AQ$3&gt;=$B$39,AQ$3&lt;$B$38,AQ$3&lt;EDATE($B$39,MAX(1,'Вводные'!$K$53)),AND($B$35="Да",IFERROR(INDEX('Вводные'!$B$88:$B$91,$B$36),"Нет")="Да"))</x:f>
      </x:c>
      <x:c r="AR45" s="35" t="n">
        <x:f>--AND(AR$3&gt;=$B$39,AR$3&lt;$B$38,AR$3&lt;EDATE($B$39,MAX(1,'Вводные'!$K$53)),AND($B$35="Да",IFERROR(INDEX('Вводные'!$B$88:$B$91,$B$36),"Нет")="Да"))</x:f>
      </x:c>
      <x:c r="AS45" s="35" t="n">
        <x:f>--AND(AS$3&gt;=$B$39,AS$3&lt;$B$38,AS$3&lt;EDATE($B$39,MAX(1,'Вводные'!$K$53)),AND($B$35="Да",IFERROR(INDEX('Вводные'!$B$88:$B$91,$B$36),"Нет")="Да"))</x:f>
      </x:c>
      <x:c r="AT45" s="35" t="n">
        <x:f>--AND(AT$3&gt;=$B$39,AT$3&lt;$B$38,AT$3&lt;EDATE($B$39,MAX(1,'Вводные'!$K$53)),AND($B$35="Да",IFERROR(INDEX('Вводные'!$B$88:$B$91,$B$36),"Нет")="Да"))</x:f>
      </x:c>
      <x:c r="AU45" s="35" t="n">
        <x:f>--AND(AU$3&gt;=$B$39,AU$3&lt;$B$38,AU$3&lt;EDATE($B$39,MAX(1,'Вводные'!$K$53)),AND($B$35="Да",IFERROR(INDEX('Вводные'!$B$88:$B$91,$B$36),"Нет")="Да"))</x:f>
      </x:c>
      <x:c r="AV45" s="35" t="n">
        <x:f>--AND(AV$3&gt;=$B$39,AV$3&lt;$B$38,AV$3&lt;EDATE($B$39,MAX(1,'Вводные'!$K$53)),AND($B$35="Да",IFERROR(INDEX('Вводные'!$B$88:$B$91,$B$36),"Нет")="Да"))</x:f>
      </x:c>
      <x:c r="AW45" s="35" t="n">
        <x:f>--AND(AW$3&gt;=$B$39,AW$3&lt;$B$38,AW$3&lt;EDATE($B$39,MAX(1,'Вводные'!$K$53)),AND($B$35="Да",IFERROR(INDEX('Вводные'!$B$88:$B$91,$B$36),"Нет")="Да"))</x:f>
      </x:c>
      <x:c r="AX45" s="35" t="n">
        <x:f>--AND(AX$3&gt;=$B$39,AX$3&lt;$B$38,AX$3&lt;EDATE($B$39,MAX(1,'Вводные'!$K$53)),AND($B$35="Да",IFERROR(INDEX('Вводные'!$B$88:$B$91,$B$36),"Нет")="Да"))</x:f>
      </x:c>
      <x:c r="AY45" s="35" t="n">
        <x:f>--AND(AY$3&gt;=$B$39,AY$3&lt;$B$38,AY$3&lt;EDATE($B$39,MAX(1,'Вводные'!$K$53)),AND($B$35="Да",IFERROR(INDEX('Вводные'!$B$88:$B$91,$B$36),"Нет")="Да"))</x:f>
      </x:c>
      <x:c r="AZ45" s="35" t="n">
        <x:f>--AND(AZ$3&gt;=$B$39,AZ$3&lt;$B$38,AZ$3&lt;EDATE($B$39,MAX(1,'Вводные'!$K$53)),AND($B$35="Да",IFERROR(INDEX('Вводные'!$B$88:$B$91,$B$36),"Нет")="Да"))</x:f>
      </x:c>
      <x:c r="BA45" s="35" t="n">
        <x:f>--AND(BA$3&gt;=$B$39,BA$3&lt;$B$38,BA$3&lt;EDATE($B$39,MAX(1,'Вводные'!$K$53)),AND($B$35="Да",IFERROR(INDEX('Вводные'!$B$88:$B$91,$B$36),"Нет")="Да"))</x:f>
      </x:c>
      <x:c r="BB45" s="35" t="n">
        <x:f>--AND(BB$3&gt;=$B$39,BB$3&lt;$B$38,BB$3&lt;EDATE($B$39,MAX(1,'Вводные'!$K$53)),AND($B$35="Да",IFERROR(INDEX('Вводные'!$B$88:$B$91,$B$36),"Нет")="Да"))</x:f>
      </x:c>
      <x:c r="BC45" s="35" t="n">
        <x:f>--AND(BC$3&gt;=$B$39,BC$3&lt;$B$38,BC$3&lt;EDATE($B$39,MAX(1,'Вводные'!$K$53)),AND($B$35="Да",IFERROR(INDEX('Вводные'!$B$88:$B$91,$B$36),"Нет")="Да"))</x:f>
      </x:c>
      <x:c r="BD45" s="35" t="n">
        <x:f>--AND(BD$3&gt;=$B$39,BD$3&lt;$B$38,BD$3&lt;EDATE($B$39,MAX(1,'Вводные'!$K$53)),AND($B$35="Да",IFERROR(INDEX('Вводные'!$B$88:$B$91,$B$36),"Нет")="Да"))</x:f>
      </x:c>
      <x:c r="BE45" s="35" t="n">
        <x:f>--AND(BE$3&gt;=$B$39,BE$3&lt;$B$38,BE$3&lt;EDATE($B$39,MAX(1,'Вводные'!$K$53)),AND($B$35="Да",IFERROR(INDEX('Вводные'!$B$88:$B$91,$B$36),"Нет")="Да"))</x:f>
      </x:c>
      <x:c r="BF45" s="35" t="n">
        <x:f>--AND(BF$3&gt;=$B$39,BF$3&lt;$B$38,BF$3&lt;EDATE($B$39,MAX(1,'Вводные'!$K$53)),AND($B$35="Да",IFERROR(INDEX('Вводные'!$B$88:$B$91,$B$36),"Нет")="Да"))</x:f>
      </x:c>
      <x:c r="BG45" s="35" t="n">
        <x:f>--AND(BG$3&gt;=$B$39,BG$3&lt;$B$38,BG$3&lt;EDATE($B$39,MAX(1,'Вводные'!$K$53)),AND($B$35="Да",IFERROR(INDEX('Вводные'!$B$88:$B$91,$B$36),"Нет")="Да"))</x:f>
      </x:c>
      <x:c r="BH45" s="35" t="n">
        <x:f>--AND(BH$3&gt;=$B$39,BH$3&lt;$B$38,BH$3&lt;EDATE($B$39,MAX(1,'Вводные'!$K$53)),AND($B$35="Да",IFERROR(INDEX('Вводные'!$B$88:$B$91,$B$36),"Нет")="Да"))</x:f>
      </x:c>
      <x:c r="BI45" s="35" t="n">
        <x:f>--AND(BI$3&gt;=$B$39,BI$3&lt;$B$38,BI$3&lt;EDATE($B$39,MAX(1,'Вводные'!$K$53)),AND($B$35="Да",IFERROR(INDEX('Вводные'!$B$88:$B$91,$B$36),"Нет")="Да"))</x:f>
      </x:c>
      <x:c r="BJ45" s="35" t="n">
        <x:f>--AND(BJ$3&gt;=$B$39,BJ$3&lt;$B$38,BJ$3&lt;EDATE($B$39,MAX(1,'Вводные'!$K$53)),AND($B$35="Да",IFERROR(INDEX('Вводные'!$B$88:$B$91,$B$36),"Нет")="Да"))</x:f>
      </x:c>
      <x:c r="BK45" s="35" t="n">
        <x:f>--AND(BK$3&gt;=$B$39,BK$3&lt;$B$38,BK$3&lt;EDATE($B$39,MAX(1,'Вводные'!$K$53)),AND($B$35="Да",IFERROR(INDEX('Вводные'!$B$88:$B$91,$B$36),"Нет")="Да"))</x:f>
      </x:c>
      <x:c r="BL45" s="35" t="n">
        <x:f>--AND(BL$3&gt;=$B$39,BL$3&lt;$B$38,BL$3&lt;EDATE($B$39,MAX(1,'Вводные'!$K$53)),AND($B$35="Да",IFERROR(INDEX('Вводные'!$B$88:$B$91,$B$36),"Нет")="Да"))</x:f>
      </x:c>
      <x:c r="BM45" s="35" t="n">
        <x:f>--AND(BM$3&gt;=$B$39,BM$3&lt;$B$38,BM$3&lt;EDATE($B$39,MAX(1,'Вводные'!$K$53)),AND($B$35="Да",IFERROR(INDEX('Вводные'!$B$88:$B$91,$B$36),"Нет")="Да"))</x:f>
      </x:c>
      <x:c r="BN45" s="35" t="n">
        <x:f>--AND(BN$3&gt;=$B$39,BN$3&lt;$B$38,BN$3&lt;EDATE($B$39,MAX(1,'Вводные'!$K$53)),AND($B$35="Да",IFERROR(INDEX('Вводные'!$B$88:$B$91,$B$36),"Нет")="Да"))</x:f>
      </x:c>
      <x:c r="BO45" s="35" t="n">
        <x:f>--AND(BO$3&gt;=$B$39,BO$3&lt;$B$38,BO$3&lt;EDATE($B$39,MAX(1,'Вводные'!$K$53)),AND($B$35="Да",IFERROR(INDEX('Вводные'!$B$88:$B$91,$B$36),"Нет")="Да"))</x:f>
      </x:c>
      <x:c r="BP45" s="35" t="n">
        <x:f>--AND(BP$3&gt;=$B$39,BP$3&lt;$B$38,BP$3&lt;EDATE($B$39,MAX(1,'Вводные'!$K$53)),AND($B$35="Да",IFERROR(INDEX('Вводные'!$B$88:$B$91,$B$36),"Нет")="Да"))</x:f>
      </x:c>
      <x:c r="BQ45" s="35" t="n">
        <x:f>--AND(BQ$3&gt;=$B$39,BQ$3&lt;$B$38,BQ$3&lt;EDATE($B$39,MAX(1,'Вводные'!$K$53)),AND($B$35="Да",IFERROR(INDEX('Вводные'!$B$88:$B$91,$B$36),"Нет")="Да"))</x:f>
      </x:c>
      <x:c r="BR45" s="35" t="n">
        <x:f>--AND(BR$3&gt;=$B$39,BR$3&lt;$B$38,BR$3&lt;EDATE($B$39,MAX(1,'Вводные'!$K$53)),AND($B$35="Да",IFERROR(INDEX('Вводные'!$B$88:$B$91,$B$36),"Нет")="Да"))</x:f>
      </x:c>
      <x:c r="BS45" s="35" t="n">
        <x:f>--AND(BS$3&gt;=$B$39,BS$3&lt;$B$38,BS$3&lt;EDATE($B$39,MAX(1,'Вводные'!$K$53)),AND($B$35="Да",IFERROR(INDEX('Вводные'!$B$88:$B$91,$B$36),"Нет")="Да"))</x:f>
      </x:c>
      <x:c r="BT45" s="35" t="n">
        <x:f>--AND(BT$3&gt;=$B$39,BT$3&lt;$B$38,BT$3&lt;EDATE($B$39,MAX(1,'Вводные'!$K$53)),AND($B$35="Да",IFERROR(INDEX('Вводные'!$B$88:$B$91,$B$36),"Нет")="Да"))</x:f>
      </x:c>
      <x:c r="BU45" s="35" t="n">
        <x:f>--AND(BU$3&gt;=$B$39,BU$3&lt;$B$38,BU$3&lt;EDATE($B$39,MAX(1,'Вводные'!$K$53)),AND($B$35="Да",IFERROR(INDEX('Вводные'!$B$88:$B$91,$B$36),"Нет")="Да"))</x:f>
      </x:c>
      <x:c r="BV45" s="35" t="n">
        <x:f>--AND(BV$3&gt;=$B$39,BV$3&lt;$B$38,BV$3&lt;EDATE($B$39,MAX(1,'Вводные'!$K$53)),AND($B$35="Да",IFERROR(INDEX('Вводные'!$B$88:$B$91,$B$36),"Нет")="Да"))</x:f>
      </x:c>
      <x:c r="BW45" s="35" t="n">
        <x:f>--AND(BW$3&gt;=$B$39,BW$3&lt;$B$38,BW$3&lt;EDATE($B$39,MAX(1,'Вводные'!$K$53)),AND($B$35="Да",IFERROR(INDEX('Вводные'!$B$88:$B$91,$B$36),"Нет")="Да"))</x:f>
      </x:c>
      <x:c r="BX45" s="35" t="n">
        <x:f>--AND(BX$3&gt;=$B$39,BX$3&lt;$B$38,BX$3&lt;EDATE($B$39,MAX(1,'Вводные'!$K$53)),AND($B$35="Да",IFERROR(INDEX('Вводные'!$B$88:$B$91,$B$36),"Нет")="Да"))</x:f>
      </x:c>
      <x:c r="BY45" s="35" t="n">
        <x:f>--AND(BY$3&gt;=$B$39,BY$3&lt;$B$38,BY$3&lt;EDATE($B$39,MAX(1,'Вводные'!$K$53)),AND($B$35="Да",IFERROR(INDEX('Вводные'!$B$88:$B$91,$B$36),"Нет")="Да"))</x:f>
      </x:c>
      <x:c r="BZ45" s="35" t="n">
        <x:f>--AND(BZ$3&gt;=$B$39,BZ$3&lt;$B$38,BZ$3&lt;EDATE($B$39,MAX(1,'Вводные'!$K$53)),AND($B$35="Да",IFERROR(INDEX('Вводные'!$B$88:$B$91,$B$36),"Нет")="Да"))</x:f>
      </x:c>
      <x:c r="CA45" s="35" t="n">
        <x:f>--AND(CA$3&gt;=$B$39,CA$3&lt;$B$38,CA$3&lt;EDATE($B$39,MAX(1,'Вводные'!$K$53)),AND($B$35="Да",IFERROR(INDEX('Вводные'!$B$88:$B$91,$B$36),"Нет")="Да"))</x:f>
      </x:c>
      <x:c r="CB45" s="35" t="n">
        <x:f>--AND(CB$3&gt;=$B$39,CB$3&lt;$B$38,CB$3&lt;EDATE($B$39,MAX(1,'Вводные'!$K$53)),AND($B$35="Да",IFERROR(INDEX('Вводные'!$B$88:$B$91,$B$36),"Нет")="Да"))</x:f>
      </x:c>
      <x:c r="CC45" s="35" t="n">
        <x:f>--AND(CC$3&gt;=$B$39,CC$3&lt;$B$38,CC$3&lt;EDATE($B$39,MAX(1,'Вводные'!$K$53)),AND($B$35="Да",IFERROR(INDEX('Вводные'!$B$88:$B$91,$B$36),"Нет")="Да"))</x:f>
      </x:c>
      <x:c r="CD45" s="35" t="n">
        <x:f>--AND(CD$3&gt;=$B$39,CD$3&lt;$B$38,CD$3&lt;EDATE($B$39,MAX(1,'Вводные'!$K$53)),AND($B$35="Да",IFERROR(INDEX('Вводные'!$B$88:$B$91,$B$36),"Нет")="Да"))</x:f>
      </x:c>
      <x:c r="CE45" s="35" t="n">
        <x:f>--AND(CE$3&gt;=$B$39,CE$3&lt;$B$38,CE$3&lt;EDATE($B$39,MAX(1,'Вводные'!$K$53)),AND($B$35="Да",IFERROR(INDEX('Вводные'!$B$88:$B$91,$B$36),"Нет")="Да"))</x:f>
      </x:c>
      <x:c r="CF45" s="35" t="n">
        <x:f>--AND(CF$3&gt;=$B$39,CF$3&lt;$B$38,CF$3&lt;EDATE($B$39,MAX(1,'Вводные'!$K$53)),AND($B$35="Да",IFERROR(INDEX('Вводные'!$B$88:$B$91,$B$36),"Нет")="Да"))</x:f>
      </x:c>
      <x:c r="CG45" s="35" t="n">
        <x:f>--AND(CG$3&gt;=$B$39,CG$3&lt;$B$38,CG$3&lt;EDATE($B$39,MAX(1,'Вводные'!$K$53)),AND($B$35="Да",IFERROR(INDEX('Вводные'!$B$88:$B$91,$B$36),"Нет")="Да"))</x:f>
      </x:c>
      <x:c r="CH45" s="35" t="n">
        <x:f>--AND(CH$3&gt;=$B$39,CH$3&lt;$B$38,CH$3&lt;EDATE($B$39,MAX(1,'Вводные'!$K$53)),AND($B$35="Да",IFERROR(INDEX('Вводные'!$B$88:$B$91,$B$36),"Нет")="Да"))</x:f>
      </x:c>
      <x:c r="CI45" s="35" t="n">
        <x:f>--AND(CI$3&gt;=$B$39,CI$3&lt;$B$38,CI$3&lt;EDATE($B$39,MAX(1,'Вводные'!$K$53)),AND($B$35="Да",IFERROR(INDEX('Вводные'!$B$88:$B$91,$B$36),"Нет")="Да"))</x:f>
      </x:c>
      <x:c r="CJ45" s="35" t="n">
        <x:f>--AND(CJ$3&gt;=$B$39,CJ$3&lt;$B$38,CJ$3&lt;EDATE($B$39,MAX(1,'Вводные'!$K$53)),AND($B$35="Да",IFERROR(INDEX('Вводные'!$B$88:$B$91,$B$36),"Нет")="Да"))</x:f>
      </x:c>
      <x:c r="CK45" s="35" t="n">
        <x:f>--AND(CK$3&gt;=$B$39,CK$3&lt;$B$38,CK$3&lt;EDATE($B$39,MAX(1,'Вводные'!$K$53)),AND($B$35="Да",IFERROR(INDEX('Вводные'!$B$88:$B$91,$B$36),"Нет")="Да"))</x:f>
      </x:c>
      <x:c r="CL45" s="35" t="n">
        <x:f>--AND(CL$3&gt;=$B$39,CL$3&lt;$B$38,CL$3&lt;EDATE($B$39,MAX(1,'Вводные'!$K$53)),AND($B$35="Да",IFERROR(INDEX('Вводные'!$B$88:$B$91,$B$36),"Нет")="Да"))</x:f>
      </x:c>
      <x:c r="CM45" s="35" t="n">
        <x:f>--AND(CM$3&gt;=$B$39,CM$3&lt;$B$38,CM$3&lt;EDATE($B$39,MAX(1,'Вводные'!$K$53)),AND($B$35="Да",IFERROR(INDEX('Вводные'!$B$88:$B$91,$B$36),"Нет")="Да"))</x:f>
      </x:c>
      <x:c r="CN45" s="35" t="n">
        <x:f>--AND(CN$3&gt;=$B$39,CN$3&lt;$B$38,CN$3&lt;EDATE($B$39,MAX(1,'Вводные'!$K$53)),AND($B$35="Да",IFERROR(INDEX('Вводные'!$B$88:$B$91,$B$36),"Нет")="Да"))</x:f>
      </x:c>
      <x:c r="CO45" s="35" t="n">
        <x:f>--AND(CO$3&gt;=$B$39,CO$3&lt;$B$38,CO$3&lt;EDATE($B$39,MAX(1,'Вводные'!$K$53)),AND($B$35="Да",IFERROR(INDEX('Вводные'!$B$88:$B$91,$B$36),"Нет")="Да"))</x:f>
      </x:c>
      <x:c r="CP45" s="35" t="n">
        <x:f>--AND(CP$3&gt;=$B$39,CP$3&lt;$B$38,CP$3&lt;EDATE($B$39,MAX(1,'Вводные'!$K$53)),AND($B$35="Да",IFERROR(INDEX('Вводные'!$B$88:$B$91,$B$36),"Нет")="Да"))</x:f>
      </x:c>
      <x:c r="CQ45" s="35" t="n">
        <x:f>--AND(CQ$3&gt;=$B$39,CQ$3&lt;$B$38,CQ$3&lt;EDATE($B$39,MAX(1,'Вводные'!$K$53)),AND($B$35="Да",IFERROR(INDEX('Вводные'!$B$88:$B$91,$B$36),"Нет")="Да"))</x:f>
      </x:c>
      <x:c r="CR45" s="35" t="n">
        <x:f>--AND(CR$3&gt;=$B$39,CR$3&lt;$B$38,CR$3&lt;EDATE($B$39,MAX(1,'Вводные'!$K$53)),AND($B$35="Да",IFERROR(INDEX('Вводные'!$B$88:$B$91,$B$36),"Нет")="Да"))</x:f>
      </x:c>
      <x:c r="CS45" s="35" t="n">
        <x:f>--AND(CS$3&gt;=$B$39,CS$3&lt;$B$38,CS$3&lt;EDATE($B$39,MAX(1,'Вводные'!$K$53)),AND($B$35="Да",IFERROR(INDEX('Вводные'!$B$88:$B$91,$B$36),"Нет")="Да"))</x:f>
      </x:c>
      <x:c r="CT45" s="35" t="n">
        <x:f>--AND(CT$3&gt;=$B$39,CT$3&lt;$B$38,CT$3&lt;EDATE($B$39,MAX(1,'Вводные'!$K$53)),AND($B$35="Да",IFERROR(INDEX('Вводные'!$B$88:$B$91,$B$36),"Нет")="Да"))</x:f>
      </x:c>
      <x:c r="CU45" s="35" t="n">
        <x:f>--AND(CU$3&gt;=$B$39,CU$3&lt;$B$38,CU$3&lt;EDATE($B$39,MAX(1,'Вводные'!$K$53)),AND($B$35="Да",IFERROR(INDEX('Вводные'!$B$88:$B$91,$B$36),"Нет")="Да"))</x:f>
      </x:c>
      <x:c r="CV45" s="35" t="n">
        <x:f>--AND(CV$3&gt;=$B$39,CV$3&lt;$B$38,CV$3&lt;EDATE($B$39,MAX(1,'Вводные'!$K$53)),AND($B$35="Да",IFERROR(INDEX('Вводные'!$B$88:$B$91,$B$36),"Нет")="Да"))</x:f>
      </x:c>
      <x:c r="CW45" s="35" t="n">
        <x:f>--AND(CW$3&gt;=$B$39,CW$3&lt;$B$38,CW$3&lt;EDATE($B$39,MAX(1,'Вводные'!$K$53)),AND($B$35="Да",IFERROR(INDEX('Вводные'!$B$88:$B$91,$B$36),"Нет")="Да"))</x:f>
      </x:c>
      <x:c r="CX45" s="35" t="n">
        <x:f>--AND(CX$3&gt;=$B$39,CX$3&lt;$B$38,CX$3&lt;EDATE($B$39,MAX(1,'Вводные'!$K$53)),AND($B$35="Да",IFERROR(INDEX('Вводные'!$B$88:$B$91,$B$36),"Нет")="Да"))</x:f>
      </x:c>
      <x:c r="CY45" s="35" t="n">
        <x:f>--AND(CY$3&gt;=$B$39,CY$3&lt;$B$38,CY$3&lt;EDATE($B$39,MAX(1,'Вводные'!$K$53)),AND($B$35="Да",IFERROR(INDEX('Вводные'!$B$88:$B$91,$B$36),"Нет")="Да"))</x:f>
      </x:c>
      <x:c r="CZ45" s="35" t="n">
        <x:f>--AND(CZ$3&gt;=$B$39,CZ$3&lt;$B$38,CZ$3&lt;EDATE($B$39,MAX(1,'Вводные'!$K$53)),AND($B$35="Да",IFERROR(INDEX('Вводные'!$B$88:$B$91,$B$36),"Нет")="Да"))</x:f>
      </x:c>
      <x:c r="DA45" s="35" t="n">
        <x:f>--AND(DA$3&gt;=$B$39,DA$3&lt;$B$38,DA$3&lt;EDATE($B$39,MAX(1,'Вводные'!$K$53)),AND($B$35="Да",IFERROR(INDEX('Вводные'!$B$88:$B$91,$B$36),"Нет")="Да"))</x:f>
      </x:c>
      <x:c r="DB45" s="35" t="n">
        <x:f>--AND(DB$3&gt;=$B$39,DB$3&lt;$B$38,DB$3&lt;EDATE($B$39,MAX(1,'Вводные'!$K$53)),AND($B$35="Да",IFERROR(INDEX('Вводные'!$B$88:$B$91,$B$36),"Нет")="Да"))</x:f>
      </x:c>
      <x:c r="DC45" s="35" t="n">
        <x:f>--AND(DC$3&gt;=$B$39,DC$3&lt;$B$38,DC$3&lt;EDATE($B$39,MAX(1,'Вводные'!$K$53)),AND($B$35="Да",IFERROR(INDEX('Вводные'!$B$88:$B$91,$B$36),"Нет")="Да"))</x:f>
      </x:c>
      <x:c r="DD45" s="35" t="n">
        <x:f>--AND(DD$3&gt;=$B$39,DD$3&lt;$B$38,DD$3&lt;EDATE($B$39,MAX(1,'Вводные'!$K$53)),AND($B$35="Да",IFERROR(INDEX('Вводные'!$B$88:$B$91,$B$36),"Нет")="Да"))</x:f>
      </x:c>
      <x:c r="DE45" s="35" t="n">
        <x:f>--AND(DE$3&gt;=$B$39,DE$3&lt;$B$38,DE$3&lt;EDATE($B$39,MAX(1,'Вводные'!$K$53)),AND($B$35="Да",IFERROR(INDEX('Вводные'!$B$88:$B$91,$B$36),"Нет")="Да"))</x:f>
      </x:c>
      <x:c r="DF45" s="35" t="n">
        <x:f>--AND(DF$3&gt;=$B$39,DF$3&lt;$B$38,DF$3&lt;EDATE($B$39,MAX(1,'Вводные'!$K$53)),AND($B$35="Да",IFERROR(INDEX('Вводные'!$B$88:$B$91,$B$36),"Нет")="Да"))</x:f>
      </x:c>
      <x:c r="DG45" s="35" t="n">
        <x:f>--AND(DG$3&gt;=$B$39,DG$3&lt;$B$38,DG$3&lt;EDATE($B$39,MAX(1,'Вводные'!$K$53)),AND($B$35="Да",IFERROR(INDEX('Вводные'!$B$88:$B$91,$B$36),"Нет")="Да"))</x:f>
      </x:c>
      <x:c r="DH45" s="35" t="n">
        <x:f>--AND(DH$3&gt;=$B$39,DH$3&lt;$B$38,DH$3&lt;EDATE($B$39,MAX(1,'Вводные'!$K$53)),AND($B$35="Да",IFERROR(INDEX('Вводные'!$B$88:$B$91,$B$36),"Нет")="Да"))</x:f>
      </x:c>
      <x:c r="DI45" s="35" t="n">
        <x:f>--AND(DI$3&gt;=$B$39,DI$3&lt;$B$38,DI$3&lt;EDATE($B$39,MAX(1,'Вводные'!$K$53)),AND($B$35="Да",IFERROR(INDEX('Вводные'!$B$88:$B$91,$B$36),"Нет")="Да"))</x:f>
      </x:c>
      <x:c r="DJ45" s="35" t="n">
        <x:f>--AND(DJ$3&gt;=$B$39,DJ$3&lt;$B$38,DJ$3&lt;EDATE($B$39,MAX(1,'Вводные'!$K$53)),AND($B$35="Да",IFERROR(INDEX('Вводные'!$B$88:$B$91,$B$36),"Нет")="Да"))</x:f>
      </x:c>
      <x:c r="DK45" s="35" t="n">
        <x:f>--AND(DK$3&gt;=$B$39,DK$3&lt;$B$38,DK$3&lt;EDATE($B$39,MAX(1,'Вводные'!$K$53)),AND($B$35="Да",IFERROR(INDEX('Вводные'!$B$88:$B$91,$B$36),"Нет")="Да"))</x:f>
      </x:c>
      <x:c r="DL45" s="35" t="n">
        <x:f>--AND(DL$3&gt;=$B$39,DL$3&lt;$B$38,DL$3&lt;EDATE($B$39,MAX(1,'Вводные'!$K$53)),AND($B$35="Да",IFERROR(INDEX('Вводные'!$B$88:$B$91,$B$36),"Нет")="Да"))</x:f>
      </x:c>
      <x:c r="DM45" s="35" t="n">
        <x:f>--AND(DM$3&gt;=$B$39,DM$3&lt;$B$38,DM$3&lt;EDATE($B$39,MAX(1,'Вводные'!$K$53)),AND($B$35="Да",IFERROR(INDEX('Вводные'!$B$88:$B$91,$B$36),"Нет")="Да"))</x:f>
      </x:c>
      <x:c r="DN45" s="35" t="n">
        <x:f>--AND(DN$3&gt;=$B$39,DN$3&lt;$B$38,DN$3&lt;EDATE($B$39,MAX(1,'Вводные'!$K$53)),AND($B$35="Да",IFERROR(INDEX('Вводные'!$B$88:$B$91,$B$36),"Нет")="Да"))</x:f>
      </x:c>
      <x:c r="DO45" s="35" t="n">
        <x:f>--AND(DO$3&gt;=$B$39,DO$3&lt;$B$38,DO$3&lt;EDATE($B$39,MAX(1,'Вводные'!$K$53)),AND($B$35="Да",IFERROR(INDEX('Вводные'!$B$88:$B$91,$B$36),"Нет")="Да"))</x:f>
      </x:c>
      <x:c r="DP45" s="35" t="n">
        <x:f>--AND(DP$3&gt;=$B$39,DP$3&lt;$B$38,DP$3&lt;EDATE($B$39,MAX(1,'Вводные'!$K$53)),AND($B$35="Да",IFERROR(INDEX('Вводные'!$B$88:$B$91,$B$36),"Нет")="Да"))</x:f>
      </x:c>
      <x:c r="DQ45" s="35" t="n">
        <x:f>--AND(DQ$3&gt;=$B$39,DQ$3&lt;$B$38,DQ$3&lt;EDATE($B$39,MAX(1,'Вводные'!$K$53)),AND($B$35="Да",IFERROR(INDEX('Вводные'!$B$88:$B$91,$B$36),"Нет")="Да"))</x:f>
      </x:c>
      <x:c r="DR45" s="35" t="n">
        <x:f>--AND(DR$3&gt;=$B$39,DR$3&lt;$B$38,DR$3&lt;EDATE($B$39,MAX(1,'Вводные'!$K$53)),AND($B$35="Да",IFERROR(INDEX('Вводные'!$B$88:$B$91,$B$36),"Нет")="Да"))</x:f>
      </x:c>
      <x:c r="DS45" s="35" t="n">
        <x:f>--AND(DS$3&gt;=$B$39,DS$3&lt;$B$38,DS$3&lt;EDATE($B$39,MAX(1,'Вводные'!$K$53)),AND($B$35="Да",IFERROR(INDEX('Вводные'!$B$88:$B$91,$B$36),"Нет")="Да"))</x:f>
      </x:c>
    </x:row>
    <x:row r="46">
      <x:c r="A46" t="str">
        <x:v>Вес темпа продаж</x:v>
      </x:c>
      <x:c r="B46" s="35"/>
      <x:c r="C46" t="str">
        <x:v>вес</x:v>
      </x:c>
      <x:c r="D46" s="35" t="n">
        <x:f>IF(AND(D$3&gt;=$B$39,D$3&lt;EDATE($B$39,MAX(1,'Вводные'!$K$53)),AND($B$35="Да",IFERROR(INDEX('Вводные'!$B$88:$B$91,$B$36),"Нет")="Да")),(1+INDEX('Вводные'!$AD$88:$AD$91,$B$36)*'Вводные'!$H$7)^MAX(0,(12*(YEAR(D$3)-YEAR($B$39))+MONTH(D$3)-MONTH($B$39)))*(1+IF(MONTH(D$3)=1,'Вводные'!$B$67,IF(AND(MONTH(D$3)&gt;=5,MONTH(D$3)&lt;=8),'Вводные'!$B$70,0))),0)</x:f>
      </x:c>
      <x:c r="E46" s="35" t="n">
        <x:f>IF(AND(E$3&gt;=$B$39,E$3&lt;EDATE($B$39,MAX(1,'Вводные'!$K$53)),AND($B$35="Да",IFERROR(INDEX('Вводные'!$B$88:$B$91,$B$36),"Нет")="Да")),(1+INDEX('Вводные'!$AD$88:$AD$91,$B$36)*'Вводные'!$H$7)^MAX(0,(12*(YEAR(E$3)-YEAR($B$39))+MONTH(E$3)-MONTH($B$39)))*(1+IF(MONTH(E$3)=1,'Вводные'!$B$67,IF(AND(MONTH(E$3)&gt;=5,MONTH(E$3)&lt;=8),'Вводные'!$B$70,0))),0)</x:f>
      </x:c>
      <x:c r="F46" s="35" t="n">
        <x:f>IF(AND(F$3&gt;=$B$39,F$3&lt;EDATE($B$39,MAX(1,'Вводные'!$K$53)),AND($B$35="Да",IFERROR(INDEX('Вводные'!$B$88:$B$91,$B$36),"Нет")="Да")),(1+INDEX('Вводные'!$AD$88:$AD$91,$B$36)*'Вводные'!$H$7)^MAX(0,(12*(YEAR(F$3)-YEAR($B$39))+MONTH(F$3)-MONTH($B$39)))*(1+IF(MONTH(F$3)=1,'Вводные'!$B$67,IF(AND(MONTH(F$3)&gt;=5,MONTH(F$3)&lt;=8),'Вводные'!$B$70,0))),0)</x:f>
      </x:c>
      <x:c r="G46" s="35" t="n">
        <x:f>IF(AND(G$3&gt;=$B$39,G$3&lt;EDATE($B$39,MAX(1,'Вводные'!$K$53)),AND($B$35="Да",IFERROR(INDEX('Вводные'!$B$88:$B$91,$B$36),"Нет")="Да")),(1+INDEX('Вводные'!$AD$88:$AD$91,$B$36)*'Вводные'!$H$7)^MAX(0,(12*(YEAR(G$3)-YEAR($B$39))+MONTH(G$3)-MONTH($B$39)))*(1+IF(MONTH(G$3)=1,'Вводные'!$B$67,IF(AND(MONTH(G$3)&gt;=5,MONTH(G$3)&lt;=8),'Вводные'!$B$70,0))),0)</x:f>
      </x:c>
      <x:c r="H46" s="35" t="n">
        <x:f>IF(AND(H$3&gt;=$B$39,H$3&lt;EDATE($B$39,MAX(1,'Вводные'!$K$53)),AND($B$35="Да",IFERROR(INDEX('Вводные'!$B$88:$B$91,$B$36),"Нет")="Да")),(1+INDEX('Вводные'!$AD$88:$AD$91,$B$36)*'Вводные'!$H$7)^MAX(0,(12*(YEAR(H$3)-YEAR($B$39))+MONTH(H$3)-MONTH($B$39)))*(1+IF(MONTH(H$3)=1,'Вводные'!$B$67,IF(AND(MONTH(H$3)&gt;=5,MONTH(H$3)&lt;=8),'Вводные'!$B$70,0))),0)</x:f>
      </x:c>
      <x:c r="I46" s="35" t="n">
        <x:f>IF(AND(I$3&gt;=$B$39,I$3&lt;EDATE($B$39,MAX(1,'Вводные'!$K$53)),AND($B$35="Да",IFERROR(INDEX('Вводные'!$B$88:$B$91,$B$36),"Нет")="Да")),(1+INDEX('Вводные'!$AD$88:$AD$91,$B$36)*'Вводные'!$H$7)^MAX(0,(12*(YEAR(I$3)-YEAR($B$39))+MONTH(I$3)-MONTH($B$39)))*(1+IF(MONTH(I$3)=1,'Вводные'!$B$67,IF(AND(MONTH(I$3)&gt;=5,MONTH(I$3)&lt;=8),'Вводные'!$B$70,0))),0)</x:f>
      </x:c>
      <x:c r="J46" s="35" t="n">
        <x:f>IF(AND(J$3&gt;=$B$39,J$3&lt;EDATE($B$39,MAX(1,'Вводные'!$K$53)),AND($B$35="Да",IFERROR(INDEX('Вводные'!$B$88:$B$91,$B$36),"Нет")="Да")),(1+INDEX('Вводные'!$AD$88:$AD$91,$B$36)*'Вводные'!$H$7)^MAX(0,(12*(YEAR(J$3)-YEAR($B$39))+MONTH(J$3)-MONTH($B$39)))*(1+IF(MONTH(J$3)=1,'Вводные'!$B$67,IF(AND(MONTH(J$3)&gt;=5,MONTH(J$3)&lt;=8),'Вводные'!$B$70,0))),0)</x:f>
      </x:c>
      <x:c r="K46" s="35" t="n">
        <x:f>IF(AND(K$3&gt;=$B$39,K$3&lt;EDATE($B$39,MAX(1,'Вводные'!$K$53)),AND($B$35="Да",IFERROR(INDEX('Вводные'!$B$88:$B$91,$B$36),"Нет")="Да")),(1+INDEX('Вводные'!$AD$88:$AD$91,$B$36)*'Вводные'!$H$7)^MAX(0,(12*(YEAR(K$3)-YEAR($B$39))+MONTH(K$3)-MONTH($B$39)))*(1+IF(MONTH(K$3)=1,'Вводные'!$B$67,IF(AND(MONTH(K$3)&gt;=5,MONTH(K$3)&lt;=8),'Вводные'!$B$70,0))),0)</x:f>
      </x:c>
      <x:c r="L46" s="35" t="n">
        <x:f>IF(AND(L$3&gt;=$B$39,L$3&lt;EDATE($B$39,MAX(1,'Вводные'!$K$53)),AND($B$35="Да",IFERROR(INDEX('Вводные'!$B$88:$B$91,$B$36),"Нет")="Да")),(1+INDEX('Вводные'!$AD$88:$AD$91,$B$36)*'Вводные'!$H$7)^MAX(0,(12*(YEAR(L$3)-YEAR($B$39))+MONTH(L$3)-MONTH($B$39)))*(1+IF(MONTH(L$3)=1,'Вводные'!$B$67,IF(AND(MONTH(L$3)&gt;=5,MONTH(L$3)&lt;=8),'Вводные'!$B$70,0))),0)</x:f>
      </x:c>
      <x:c r="M46" s="35" t="n">
        <x:f>IF(AND(M$3&gt;=$B$39,M$3&lt;EDATE($B$39,MAX(1,'Вводные'!$K$53)),AND($B$35="Да",IFERROR(INDEX('Вводные'!$B$88:$B$91,$B$36),"Нет")="Да")),(1+INDEX('Вводные'!$AD$88:$AD$91,$B$36)*'Вводные'!$H$7)^MAX(0,(12*(YEAR(M$3)-YEAR($B$39))+MONTH(M$3)-MONTH($B$39)))*(1+IF(MONTH(M$3)=1,'Вводные'!$B$67,IF(AND(MONTH(M$3)&gt;=5,MONTH(M$3)&lt;=8),'Вводные'!$B$70,0))),0)</x:f>
      </x:c>
      <x:c r="N46" s="35" t="n">
        <x:f>IF(AND(N$3&gt;=$B$39,N$3&lt;EDATE($B$39,MAX(1,'Вводные'!$K$53)),AND($B$35="Да",IFERROR(INDEX('Вводные'!$B$88:$B$91,$B$36),"Нет")="Да")),(1+INDEX('Вводные'!$AD$88:$AD$91,$B$36)*'Вводные'!$H$7)^MAX(0,(12*(YEAR(N$3)-YEAR($B$39))+MONTH(N$3)-MONTH($B$39)))*(1+IF(MONTH(N$3)=1,'Вводные'!$B$67,IF(AND(MONTH(N$3)&gt;=5,MONTH(N$3)&lt;=8),'Вводные'!$B$70,0))),0)</x:f>
      </x:c>
      <x:c r="O46" s="35" t="n">
        <x:f>IF(AND(O$3&gt;=$B$39,O$3&lt;EDATE($B$39,MAX(1,'Вводные'!$K$53)),AND($B$35="Да",IFERROR(INDEX('Вводные'!$B$88:$B$91,$B$36),"Нет")="Да")),(1+INDEX('Вводные'!$AD$88:$AD$91,$B$36)*'Вводные'!$H$7)^MAX(0,(12*(YEAR(O$3)-YEAR($B$39))+MONTH(O$3)-MONTH($B$39)))*(1+IF(MONTH(O$3)=1,'Вводные'!$B$67,IF(AND(MONTH(O$3)&gt;=5,MONTH(O$3)&lt;=8),'Вводные'!$B$70,0))),0)</x:f>
      </x:c>
      <x:c r="P46" s="35" t="n">
        <x:f>IF(AND(P$3&gt;=$B$39,P$3&lt;EDATE($B$39,MAX(1,'Вводные'!$K$53)),AND($B$35="Да",IFERROR(INDEX('Вводные'!$B$88:$B$91,$B$36),"Нет")="Да")),(1+INDEX('Вводные'!$AD$88:$AD$91,$B$36)*'Вводные'!$H$7)^MAX(0,(12*(YEAR(P$3)-YEAR($B$39))+MONTH(P$3)-MONTH($B$39)))*(1+IF(MONTH(P$3)=1,'Вводные'!$B$67,IF(AND(MONTH(P$3)&gt;=5,MONTH(P$3)&lt;=8),'Вводные'!$B$70,0))),0)</x:f>
      </x:c>
      <x:c r="Q46" s="35" t="n">
        <x:f>IF(AND(Q$3&gt;=$B$39,Q$3&lt;EDATE($B$39,MAX(1,'Вводные'!$K$53)),AND($B$35="Да",IFERROR(INDEX('Вводные'!$B$88:$B$91,$B$36),"Нет")="Да")),(1+INDEX('Вводные'!$AD$88:$AD$91,$B$36)*'Вводные'!$H$7)^MAX(0,(12*(YEAR(Q$3)-YEAR($B$39))+MONTH(Q$3)-MONTH($B$39)))*(1+IF(MONTH(Q$3)=1,'Вводные'!$B$67,IF(AND(MONTH(Q$3)&gt;=5,MONTH(Q$3)&lt;=8),'Вводные'!$B$70,0))),0)</x:f>
      </x:c>
      <x:c r="R46" s="35" t="n">
        <x:f>IF(AND(R$3&gt;=$B$39,R$3&lt;EDATE($B$39,MAX(1,'Вводные'!$K$53)),AND($B$35="Да",IFERROR(INDEX('Вводные'!$B$88:$B$91,$B$36),"Нет")="Да")),(1+INDEX('Вводные'!$AD$88:$AD$91,$B$36)*'Вводные'!$H$7)^MAX(0,(12*(YEAR(R$3)-YEAR($B$39))+MONTH(R$3)-MONTH($B$39)))*(1+IF(MONTH(R$3)=1,'Вводные'!$B$67,IF(AND(MONTH(R$3)&gt;=5,MONTH(R$3)&lt;=8),'Вводные'!$B$70,0))),0)</x:f>
      </x:c>
      <x:c r="S46" s="35" t="n">
        <x:f>IF(AND(S$3&gt;=$B$39,S$3&lt;EDATE($B$39,MAX(1,'Вводные'!$K$53)),AND($B$35="Да",IFERROR(INDEX('Вводные'!$B$88:$B$91,$B$36),"Нет")="Да")),(1+INDEX('Вводные'!$AD$88:$AD$91,$B$36)*'Вводные'!$H$7)^MAX(0,(12*(YEAR(S$3)-YEAR($B$39))+MONTH(S$3)-MONTH($B$39)))*(1+IF(MONTH(S$3)=1,'Вводные'!$B$67,IF(AND(MONTH(S$3)&gt;=5,MONTH(S$3)&lt;=8),'Вводные'!$B$70,0))),0)</x:f>
      </x:c>
      <x:c r="T46" s="35" t="n">
        <x:f>IF(AND(T$3&gt;=$B$39,T$3&lt;EDATE($B$39,MAX(1,'Вводные'!$K$53)),AND($B$35="Да",IFERROR(INDEX('Вводные'!$B$88:$B$91,$B$36),"Нет")="Да")),(1+INDEX('Вводные'!$AD$88:$AD$91,$B$36)*'Вводные'!$H$7)^MAX(0,(12*(YEAR(T$3)-YEAR($B$39))+MONTH(T$3)-MONTH($B$39)))*(1+IF(MONTH(T$3)=1,'Вводные'!$B$67,IF(AND(MONTH(T$3)&gt;=5,MONTH(T$3)&lt;=8),'Вводные'!$B$70,0))),0)</x:f>
      </x:c>
      <x:c r="U46" s="35" t="n">
        <x:f>IF(AND(U$3&gt;=$B$39,U$3&lt;EDATE($B$39,MAX(1,'Вводные'!$K$53)),AND($B$35="Да",IFERROR(INDEX('Вводные'!$B$88:$B$91,$B$36),"Нет")="Да")),(1+INDEX('Вводные'!$AD$88:$AD$91,$B$36)*'Вводные'!$H$7)^MAX(0,(12*(YEAR(U$3)-YEAR($B$39))+MONTH(U$3)-MONTH($B$39)))*(1+IF(MONTH(U$3)=1,'Вводные'!$B$67,IF(AND(MONTH(U$3)&gt;=5,MONTH(U$3)&lt;=8),'Вводные'!$B$70,0))),0)</x:f>
      </x:c>
      <x:c r="V46" s="35" t="n">
        <x:f>IF(AND(V$3&gt;=$B$39,V$3&lt;EDATE($B$39,MAX(1,'Вводные'!$K$53)),AND($B$35="Да",IFERROR(INDEX('Вводные'!$B$88:$B$91,$B$36),"Нет")="Да")),(1+INDEX('Вводные'!$AD$88:$AD$91,$B$36)*'Вводные'!$H$7)^MAX(0,(12*(YEAR(V$3)-YEAR($B$39))+MONTH(V$3)-MONTH($B$39)))*(1+IF(MONTH(V$3)=1,'Вводные'!$B$67,IF(AND(MONTH(V$3)&gt;=5,MONTH(V$3)&lt;=8),'Вводные'!$B$70,0))),0)</x:f>
      </x:c>
      <x:c r="W46" s="35" t="n">
        <x:f>IF(AND(W$3&gt;=$B$39,W$3&lt;EDATE($B$39,MAX(1,'Вводные'!$K$53)),AND($B$35="Да",IFERROR(INDEX('Вводные'!$B$88:$B$91,$B$36),"Нет")="Да")),(1+INDEX('Вводные'!$AD$88:$AD$91,$B$36)*'Вводные'!$H$7)^MAX(0,(12*(YEAR(W$3)-YEAR($B$39))+MONTH(W$3)-MONTH($B$39)))*(1+IF(MONTH(W$3)=1,'Вводные'!$B$67,IF(AND(MONTH(W$3)&gt;=5,MONTH(W$3)&lt;=8),'Вводные'!$B$70,0))),0)</x:f>
      </x:c>
      <x:c r="X46" s="35" t="n">
        <x:f>IF(AND(X$3&gt;=$B$39,X$3&lt;EDATE($B$39,MAX(1,'Вводные'!$K$53)),AND($B$35="Да",IFERROR(INDEX('Вводные'!$B$88:$B$91,$B$36),"Нет")="Да")),(1+INDEX('Вводные'!$AD$88:$AD$91,$B$36)*'Вводные'!$H$7)^MAX(0,(12*(YEAR(X$3)-YEAR($B$39))+MONTH(X$3)-MONTH($B$39)))*(1+IF(MONTH(X$3)=1,'Вводные'!$B$67,IF(AND(MONTH(X$3)&gt;=5,MONTH(X$3)&lt;=8),'Вводные'!$B$70,0))),0)</x:f>
      </x:c>
      <x:c r="Y46" s="35" t="n">
        <x:f>IF(AND(Y$3&gt;=$B$39,Y$3&lt;EDATE($B$39,MAX(1,'Вводные'!$K$53)),AND($B$35="Да",IFERROR(INDEX('Вводные'!$B$88:$B$91,$B$36),"Нет")="Да")),(1+INDEX('Вводные'!$AD$88:$AD$91,$B$36)*'Вводные'!$H$7)^MAX(0,(12*(YEAR(Y$3)-YEAR($B$39))+MONTH(Y$3)-MONTH($B$39)))*(1+IF(MONTH(Y$3)=1,'Вводные'!$B$67,IF(AND(MONTH(Y$3)&gt;=5,MONTH(Y$3)&lt;=8),'Вводные'!$B$70,0))),0)</x:f>
      </x:c>
      <x:c r="Z46" s="35" t="n">
        <x:f>IF(AND(Z$3&gt;=$B$39,Z$3&lt;EDATE($B$39,MAX(1,'Вводные'!$K$53)),AND($B$35="Да",IFERROR(INDEX('Вводные'!$B$88:$B$91,$B$36),"Нет")="Да")),(1+INDEX('Вводные'!$AD$88:$AD$91,$B$36)*'Вводные'!$H$7)^MAX(0,(12*(YEAR(Z$3)-YEAR($B$39))+MONTH(Z$3)-MONTH($B$39)))*(1+IF(MONTH(Z$3)=1,'Вводные'!$B$67,IF(AND(MONTH(Z$3)&gt;=5,MONTH(Z$3)&lt;=8),'Вводные'!$B$70,0))),0)</x:f>
      </x:c>
      <x:c r="AA46" s="35" t="n">
        <x:f>IF(AND(AA$3&gt;=$B$39,AA$3&lt;EDATE($B$39,MAX(1,'Вводные'!$K$53)),AND($B$35="Да",IFERROR(INDEX('Вводные'!$B$88:$B$91,$B$36),"Нет")="Да")),(1+INDEX('Вводные'!$AD$88:$AD$91,$B$36)*'Вводные'!$H$7)^MAX(0,(12*(YEAR(AA$3)-YEAR($B$39))+MONTH(AA$3)-MONTH($B$39)))*(1+IF(MONTH(AA$3)=1,'Вводные'!$B$67,IF(AND(MONTH(AA$3)&gt;=5,MONTH(AA$3)&lt;=8),'Вводные'!$B$70,0))),0)</x:f>
      </x:c>
      <x:c r="AB46" s="35" t="n">
        <x:f>IF(AND(AB$3&gt;=$B$39,AB$3&lt;EDATE($B$39,MAX(1,'Вводные'!$K$53)),AND($B$35="Да",IFERROR(INDEX('Вводные'!$B$88:$B$91,$B$36),"Нет")="Да")),(1+INDEX('Вводные'!$AD$88:$AD$91,$B$36)*'Вводные'!$H$7)^MAX(0,(12*(YEAR(AB$3)-YEAR($B$39))+MONTH(AB$3)-MONTH($B$39)))*(1+IF(MONTH(AB$3)=1,'Вводные'!$B$67,IF(AND(MONTH(AB$3)&gt;=5,MONTH(AB$3)&lt;=8),'Вводные'!$B$70,0))),0)</x:f>
      </x:c>
      <x:c r="AC46" s="35" t="n">
        <x:f>IF(AND(AC$3&gt;=$B$39,AC$3&lt;EDATE($B$39,MAX(1,'Вводные'!$K$53)),AND($B$35="Да",IFERROR(INDEX('Вводные'!$B$88:$B$91,$B$36),"Нет")="Да")),(1+INDEX('Вводные'!$AD$88:$AD$91,$B$36)*'Вводные'!$H$7)^MAX(0,(12*(YEAR(AC$3)-YEAR($B$39))+MONTH(AC$3)-MONTH($B$39)))*(1+IF(MONTH(AC$3)=1,'Вводные'!$B$67,IF(AND(MONTH(AC$3)&gt;=5,MONTH(AC$3)&lt;=8),'Вводные'!$B$70,0))),0)</x:f>
      </x:c>
      <x:c r="AD46" s="35" t="n">
        <x:f>IF(AND(AD$3&gt;=$B$39,AD$3&lt;EDATE($B$39,MAX(1,'Вводные'!$K$53)),AND($B$35="Да",IFERROR(INDEX('Вводные'!$B$88:$B$91,$B$36),"Нет")="Да")),(1+INDEX('Вводные'!$AD$88:$AD$91,$B$36)*'Вводные'!$H$7)^MAX(0,(12*(YEAR(AD$3)-YEAR($B$39))+MONTH(AD$3)-MONTH($B$39)))*(1+IF(MONTH(AD$3)=1,'Вводные'!$B$67,IF(AND(MONTH(AD$3)&gt;=5,MONTH(AD$3)&lt;=8),'Вводные'!$B$70,0))),0)</x:f>
      </x:c>
      <x:c r="AE46" s="35" t="n">
        <x:f>IF(AND(AE$3&gt;=$B$39,AE$3&lt;EDATE($B$39,MAX(1,'Вводные'!$K$53)),AND($B$35="Да",IFERROR(INDEX('Вводные'!$B$88:$B$91,$B$36),"Нет")="Да")),(1+INDEX('Вводные'!$AD$88:$AD$91,$B$36)*'Вводные'!$H$7)^MAX(0,(12*(YEAR(AE$3)-YEAR($B$39))+MONTH(AE$3)-MONTH($B$39)))*(1+IF(MONTH(AE$3)=1,'Вводные'!$B$67,IF(AND(MONTH(AE$3)&gt;=5,MONTH(AE$3)&lt;=8),'Вводные'!$B$70,0))),0)</x:f>
      </x:c>
      <x:c r="AF46" s="35" t="n">
        <x:f>IF(AND(AF$3&gt;=$B$39,AF$3&lt;EDATE($B$39,MAX(1,'Вводные'!$K$53)),AND($B$35="Да",IFERROR(INDEX('Вводные'!$B$88:$B$91,$B$36),"Нет")="Да")),(1+INDEX('Вводные'!$AD$88:$AD$91,$B$36)*'Вводные'!$H$7)^MAX(0,(12*(YEAR(AF$3)-YEAR($B$39))+MONTH(AF$3)-MONTH($B$39)))*(1+IF(MONTH(AF$3)=1,'Вводные'!$B$67,IF(AND(MONTH(AF$3)&gt;=5,MONTH(AF$3)&lt;=8),'Вводные'!$B$70,0))),0)</x:f>
      </x:c>
      <x:c r="AG46" s="35" t="n">
        <x:f>IF(AND(AG$3&gt;=$B$39,AG$3&lt;EDATE($B$39,MAX(1,'Вводные'!$K$53)),AND($B$35="Да",IFERROR(INDEX('Вводные'!$B$88:$B$91,$B$36),"Нет")="Да")),(1+INDEX('Вводные'!$AD$88:$AD$91,$B$36)*'Вводные'!$H$7)^MAX(0,(12*(YEAR(AG$3)-YEAR($B$39))+MONTH(AG$3)-MONTH($B$39)))*(1+IF(MONTH(AG$3)=1,'Вводные'!$B$67,IF(AND(MONTH(AG$3)&gt;=5,MONTH(AG$3)&lt;=8),'Вводные'!$B$70,0))),0)</x:f>
      </x:c>
      <x:c r="AH46" s="35" t="n">
        <x:f>IF(AND(AH$3&gt;=$B$39,AH$3&lt;EDATE($B$39,MAX(1,'Вводные'!$K$53)),AND($B$35="Да",IFERROR(INDEX('Вводные'!$B$88:$B$91,$B$36),"Нет")="Да")),(1+INDEX('Вводные'!$AD$88:$AD$91,$B$36)*'Вводные'!$H$7)^MAX(0,(12*(YEAR(AH$3)-YEAR($B$39))+MONTH(AH$3)-MONTH($B$39)))*(1+IF(MONTH(AH$3)=1,'Вводные'!$B$67,IF(AND(MONTH(AH$3)&gt;=5,MONTH(AH$3)&lt;=8),'Вводные'!$B$70,0))),0)</x:f>
      </x:c>
      <x:c r="AI46" s="35" t="n">
        <x:f>IF(AND(AI$3&gt;=$B$39,AI$3&lt;EDATE($B$39,MAX(1,'Вводные'!$K$53)),AND($B$35="Да",IFERROR(INDEX('Вводные'!$B$88:$B$91,$B$36),"Нет")="Да")),(1+INDEX('Вводные'!$AD$88:$AD$91,$B$36)*'Вводные'!$H$7)^MAX(0,(12*(YEAR(AI$3)-YEAR($B$39))+MONTH(AI$3)-MONTH($B$39)))*(1+IF(MONTH(AI$3)=1,'Вводные'!$B$67,IF(AND(MONTH(AI$3)&gt;=5,MONTH(AI$3)&lt;=8),'Вводные'!$B$70,0))),0)</x:f>
      </x:c>
      <x:c r="AJ46" s="35" t="n">
        <x:f>IF(AND(AJ$3&gt;=$B$39,AJ$3&lt;EDATE($B$39,MAX(1,'Вводные'!$K$53)),AND($B$35="Да",IFERROR(INDEX('Вводные'!$B$88:$B$91,$B$36),"Нет")="Да")),(1+INDEX('Вводные'!$AD$88:$AD$91,$B$36)*'Вводные'!$H$7)^MAX(0,(12*(YEAR(AJ$3)-YEAR($B$39))+MONTH(AJ$3)-MONTH($B$39)))*(1+IF(MONTH(AJ$3)=1,'Вводные'!$B$67,IF(AND(MONTH(AJ$3)&gt;=5,MONTH(AJ$3)&lt;=8),'Вводные'!$B$70,0))),0)</x:f>
      </x:c>
      <x:c r="AK46" s="35" t="n">
        <x:f>IF(AND(AK$3&gt;=$B$39,AK$3&lt;EDATE($B$39,MAX(1,'Вводные'!$K$53)),AND($B$35="Да",IFERROR(INDEX('Вводные'!$B$88:$B$91,$B$36),"Нет")="Да")),(1+INDEX('Вводные'!$AD$88:$AD$91,$B$36)*'Вводные'!$H$7)^MAX(0,(12*(YEAR(AK$3)-YEAR($B$39))+MONTH(AK$3)-MONTH($B$39)))*(1+IF(MONTH(AK$3)=1,'Вводные'!$B$67,IF(AND(MONTH(AK$3)&gt;=5,MONTH(AK$3)&lt;=8),'Вводные'!$B$70,0))),0)</x:f>
      </x:c>
      <x:c r="AL46" s="35" t="n">
        <x:f>IF(AND(AL$3&gt;=$B$39,AL$3&lt;EDATE($B$39,MAX(1,'Вводные'!$K$53)),AND($B$35="Да",IFERROR(INDEX('Вводные'!$B$88:$B$91,$B$36),"Нет")="Да")),(1+INDEX('Вводные'!$AD$88:$AD$91,$B$36)*'Вводные'!$H$7)^MAX(0,(12*(YEAR(AL$3)-YEAR($B$39))+MONTH(AL$3)-MONTH($B$39)))*(1+IF(MONTH(AL$3)=1,'Вводные'!$B$67,IF(AND(MONTH(AL$3)&gt;=5,MONTH(AL$3)&lt;=8),'Вводные'!$B$70,0))),0)</x:f>
      </x:c>
      <x:c r="AM46" s="35" t="n">
        <x:f>IF(AND(AM$3&gt;=$B$39,AM$3&lt;EDATE($B$39,MAX(1,'Вводные'!$K$53)),AND($B$35="Да",IFERROR(INDEX('Вводные'!$B$88:$B$91,$B$36),"Нет")="Да")),(1+INDEX('Вводные'!$AD$88:$AD$91,$B$36)*'Вводные'!$H$7)^MAX(0,(12*(YEAR(AM$3)-YEAR($B$39))+MONTH(AM$3)-MONTH($B$39)))*(1+IF(MONTH(AM$3)=1,'Вводные'!$B$67,IF(AND(MONTH(AM$3)&gt;=5,MONTH(AM$3)&lt;=8),'Вводные'!$B$70,0))),0)</x:f>
      </x:c>
      <x:c r="AN46" s="35" t="n">
        <x:f>IF(AND(AN$3&gt;=$B$39,AN$3&lt;EDATE($B$39,MAX(1,'Вводные'!$K$53)),AND($B$35="Да",IFERROR(INDEX('Вводные'!$B$88:$B$91,$B$36),"Нет")="Да")),(1+INDEX('Вводные'!$AD$88:$AD$91,$B$36)*'Вводные'!$H$7)^MAX(0,(12*(YEAR(AN$3)-YEAR($B$39))+MONTH(AN$3)-MONTH($B$39)))*(1+IF(MONTH(AN$3)=1,'Вводные'!$B$67,IF(AND(MONTH(AN$3)&gt;=5,MONTH(AN$3)&lt;=8),'Вводные'!$B$70,0))),0)</x:f>
      </x:c>
      <x:c r="AO46" s="35" t="n">
        <x:f>IF(AND(AO$3&gt;=$B$39,AO$3&lt;EDATE($B$39,MAX(1,'Вводные'!$K$53)),AND($B$35="Да",IFERROR(INDEX('Вводные'!$B$88:$B$91,$B$36),"Нет")="Да")),(1+INDEX('Вводные'!$AD$88:$AD$91,$B$36)*'Вводные'!$H$7)^MAX(0,(12*(YEAR(AO$3)-YEAR($B$39))+MONTH(AO$3)-MONTH($B$39)))*(1+IF(MONTH(AO$3)=1,'Вводные'!$B$67,IF(AND(MONTH(AO$3)&gt;=5,MONTH(AO$3)&lt;=8),'Вводные'!$B$70,0))),0)</x:f>
      </x:c>
      <x:c r="AP46" s="35" t="n">
        <x:f>IF(AND(AP$3&gt;=$B$39,AP$3&lt;EDATE($B$39,MAX(1,'Вводные'!$K$53)),AND($B$35="Да",IFERROR(INDEX('Вводные'!$B$88:$B$91,$B$36),"Нет")="Да")),(1+INDEX('Вводные'!$AD$88:$AD$91,$B$36)*'Вводные'!$H$7)^MAX(0,(12*(YEAR(AP$3)-YEAR($B$39))+MONTH(AP$3)-MONTH($B$39)))*(1+IF(MONTH(AP$3)=1,'Вводные'!$B$67,IF(AND(MONTH(AP$3)&gt;=5,MONTH(AP$3)&lt;=8),'Вводные'!$B$70,0))),0)</x:f>
      </x:c>
      <x:c r="AQ46" s="35" t="n">
        <x:f>IF(AND(AQ$3&gt;=$B$39,AQ$3&lt;EDATE($B$39,MAX(1,'Вводные'!$K$53)),AND($B$35="Да",IFERROR(INDEX('Вводные'!$B$88:$B$91,$B$36),"Нет")="Да")),(1+INDEX('Вводные'!$AD$88:$AD$91,$B$36)*'Вводные'!$H$7)^MAX(0,(12*(YEAR(AQ$3)-YEAR($B$39))+MONTH(AQ$3)-MONTH($B$39)))*(1+IF(MONTH(AQ$3)=1,'Вводные'!$B$67,IF(AND(MONTH(AQ$3)&gt;=5,MONTH(AQ$3)&lt;=8),'Вводные'!$B$70,0))),0)</x:f>
      </x:c>
      <x:c r="AR46" s="35" t="n">
        <x:f>IF(AND(AR$3&gt;=$B$39,AR$3&lt;EDATE($B$39,MAX(1,'Вводные'!$K$53)),AND($B$35="Да",IFERROR(INDEX('Вводные'!$B$88:$B$91,$B$36),"Нет")="Да")),(1+INDEX('Вводные'!$AD$88:$AD$91,$B$36)*'Вводные'!$H$7)^MAX(0,(12*(YEAR(AR$3)-YEAR($B$39))+MONTH(AR$3)-MONTH($B$39)))*(1+IF(MONTH(AR$3)=1,'Вводные'!$B$67,IF(AND(MONTH(AR$3)&gt;=5,MONTH(AR$3)&lt;=8),'Вводные'!$B$70,0))),0)</x:f>
      </x:c>
      <x:c r="AS46" s="35" t="n">
        <x:f>IF(AND(AS$3&gt;=$B$39,AS$3&lt;EDATE($B$39,MAX(1,'Вводные'!$K$53)),AND($B$35="Да",IFERROR(INDEX('Вводные'!$B$88:$B$91,$B$36),"Нет")="Да")),(1+INDEX('Вводные'!$AD$88:$AD$91,$B$36)*'Вводные'!$H$7)^MAX(0,(12*(YEAR(AS$3)-YEAR($B$39))+MONTH(AS$3)-MONTH($B$39)))*(1+IF(MONTH(AS$3)=1,'Вводные'!$B$67,IF(AND(MONTH(AS$3)&gt;=5,MONTH(AS$3)&lt;=8),'Вводные'!$B$70,0))),0)</x:f>
      </x:c>
      <x:c r="AT46" s="35" t="n">
        <x:f>IF(AND(AT$3&gt;=$B$39,AT$3&lt;EDATE($B$39,MAX(1,'Вводные'!$K$53)),AND($B$35="Да",IFERROR(INDEX('Вводные'!$B$88:$B$91,$B$36),"Нет")="Да")),(1+INDEX('Вводные'!$AD$88:$AD$91,$B$36)*'Вводные'!$H$7)^MAX(0,(12*(YEAR(AT$3)-YEAR($B$39))+MONTH(AT$3)-MONTH($B$39)))*(1+IF(MONTH(AT$3)=1,'Вводные'!$B$67,IF(AND(MONTH(AT$3)&gt;=5,MONTH(AT$3)&lt;=8),'Вводные'!$B$70,0))),0)</x:f>
      </x:c>
      <x:c r="AU46" s="35" t="n">
        <x:f>IF(AND(AU$3&gt;=$B$39,AU$3&lt;EDATE($B$39,MAX(1,'Вводные'!$K$53)),AND($B$35="Да",IFERROR(INDEX('Вводные'!$B$88:$B$91,$B$36),"Нет")="Да")),(1+INDEX('Вводные'!$AD$88:$AD$91,$B$36)*'Вводные'!$H$7)^MAX(0,(12*(YEAR(AU$3)-YEAR($B$39))+MONTH(AU$3)-MONTH($B$39)))*(1+IF(MONTH(AU$3)=1,'Вводные'!$B$67,IF(AND(MONTH(AU$3)&gt;=5,MONTH(AU$3)&lt;=8),'Вводные'!$B$70,0))),0)</x:f>
      </x:c>
      <x:c r="AV46" s="35" t="n">
        <x:f>IF(AND(AV$3&gt;=$B$39,AV$3&lt;EDATE($B$39,MAX(1,'Вводные'!$K$53)),AND($B$35="Да",IFERROR(INDEX('Вводные'!$B$88:$B$91,$B$36),"Нет")="Да")),(1+INDEX('Вводные'!$AD$88:$AD$91,$B$36)*'Вводные'!$H$7)^MAX(0,(12*(YEAR(AV$3)-YEAR($B$39))+MONTH(AV$3)-MONTH($B$39)))*(1+IF(MONTH(AV$3)=1,'Вводные'!$B$67,IF(AND(MONTH(AV$3)&gt;=5,MONTH(AV$3)&lt;=8),'Вводные'!$B$70,0))),0)</x:f>
      </x:c>
      <x:c r="AW46" s="35" t="n">
        <x:f>IF(AND(AW$3&gt;=$B$39,AW$3&lt;EDATE($B$39,MAX(1,'Вводные'!$K$53)),AND($B$35="Да",IFERROR(INDEX('Вводные'!$B$88:$B$91,$B$36),"Нет")="Да")),(1+INDEX('Вводные'!$AD$88:$AD$91,$B$36)*'Вводные'!$H$7)^MAX(0,(12*(YEAR(AW$3)-YEAR($B$39))+MONTH(AW$3)-MONTH($B$39)))*(1+IF(MONTH(AW$3)=1,'Вводные'!$B$67,IF(AND(MONTH(AW$3)&gt;=5,MONTH(AW$3)&lt;=8),'Вводные'!$B$70,0))),0)</x:f>
      </x:c>
      <x:c r="AX46" s="35" t="n">
        <x:f>IF(AND(AX$3&gt;=$B$39,AX$3&lt;EDATE($B$39,MAX(1,'Вводные'!$K$53)),AND($B$35="Да",IFERROR(INDEX('Вводные'!$B$88:$B$91,$B$36),"Нет")="Да")),(1+INDEX('Вводные'!$AD$88:$AD$91,$B$36)*'Вводные'!$H$7)^MAX(0,(12*(YEAR(AX$3)-YEAR($B$39))+MONTH(AX$3)-MONTH($B$39)))*(1+IF(MONTH(AX$3)=1,'Вводные'!$B$67,IF(AND(MONTH(AX$3)&gt;=5,MONTH(AX$3)&lt;=8),'Вводные'!$B$70,0))),0)</x:f>
      </x:c>
      <x:c r="AY46" s="35" t="n">
        <x:f>IF(AND(AY$3&gt;=$B$39,AY$3&lt;EDATE($B$39,MAX(1,'Вводные'!$K$53)),AND($B$35="Да",IFERROR(INDEX('Вводные'!$B$88:$B$91,$B$36),"Нет")="Да")),(1+INDEX('Вводные'!$AD$88:$AD$91,$B$36)*'Вводные'!$H$7)^MAX(0,(12*(YEAR(AY$3)-YEAR($B$39))+MONTH(AY$3)-MONTH($B$39)))*(1+IF(MONTH(AY$3)=1,'Вводные'!$B$67,IF(AND(MONTH(AY$3)&gt;=5,MONTH(AY$3)&lt;=8),'Вводные'!$B$70,0))),0)</x:f>
      </x:c>
      <x:c r="AZ46" s="35" t="n">
        <x:f>IF(AND(AZ$3&gt;=$B$39,AZ$3&lt;EDATE($B$39,MAX(1,'Вводные'!$K$53)),AND($B$35="Да",IFERROR(INDEX('Вводные'!$B$88:$B$91,$B$36),"Нет")="Да")),(1+INDEX('Вводные'!$AD$88:$AD$91,$B$36)*'Вводные'!$H$7)^MAX(0,(12*(YEAR(AZ$3)-YEAR($B$39))+MONTH(AZ$3)-MONTH($B$39)))*(1+IF(MONTH(AZ$3)=1,'Вводные'!$B$67,IF(AND(MONTH(AZ$3)&gt;=5,MONTH(AZ$3)&lt;=8),'Вводные'!$B$70,0))),0)</x:f>
      </x:c>
      <x:c r="BA46" s="35" t="n">
        <x:f>IF(AND(BA$3&gt;=$B$39,BA$3&lt;EDATE($B$39,MAX(1,'Вводные'!$K$53)),AND($B$35="Да",IFERROR(INDEX('Вводные'!$B$88:$B$91,$B$36),"Нет")="Да")),(1+INDEX('Вводные'!$AD$88:$AD$91,$B$36)*'Вводные'!$H$7)^MAX(0,(12*(YEAR(BA$3)-YEAR($B$39))+MONTH(BA$3)-MONTH($B$39)))*(1+IF(MONTH(BA$3)=1,'Вводные'!$B$67,IF(AND(MONTH(BA$3)&gt;=5,MONTH(BA$3)&lt;=8),'Вводные'!$B$70,0))),0)</x:f>
      </x:c>
      <x:c r="BB46" s="35" t="n">
        <x:f>IF(AND(BB$3&gt;=$B$39,BB$3&lt;EDATE($B$39,MAX(1,'Вводные'!$K$53)),AND($B$35="Да",IFERROR(INDEX('Вводные'!$B$88:$B$91,$B$36),"Нет")="Да")),(1+INDEX('Вводные'!$AD$88:$AD$91,$B$36)*'Вводные'!$H$7)^MAX(0,(12*(YEAR(BB$3)-YEAR($B$39))+MONTH(BB$3)-MONTH($B$39)))*(1+IF(MONTH(BB$3)=1,'Вводные'!$B$67,IF(AND(MONTH(BB$3)&gt;=5,MONTH(BB$3)&lt;=8),'Вводные'!$B$70,0))),0)</x:f>
      </x:c>
      <x:c r="BC46" s="35" t="n">
        <x:f>IF(AND(BC$3&gt;=$B$39,BC$3&lt;EDATE($B$39,MAX(1,'Вводные'!$K$53)),AND($B$35="Да",IFERROR(INDEX('Вводные'!$B$88:$B$91,$B$36),"Нет")="Да")),(1+INDEX('Вводные'!$AD$88:$AD$91,$B$36)*'Вводные'!$H$7)^MAX(0,(12*(YEAR(BC$3)-YEAR($B$39))+MONTH(BC$3)-MONTH($B$39)))*(1+IF(MONTH(BC$3)=1,'Вводные'!$B$67,IF(AND(MONTH(BC$3)&gt;=5,MONTH(BC$3)&lt;=8),'Вводные'!$B$70,0))),0)</x:f>
      </x:c>
      <x:c r="BD46" s="35" t="n">
        <x:f>IF(AND(BD$3&gt;=$B$39,BD$3&lt;EDATE($B$39,MAX(1,'Вводные'!$K$53)),AND($B$35="Да",IFERROR(INDEX('Вводные'!$B$88:$B$91,$B$36),"Нет")="Да")),(1+INDEX('Вводные'!$AD$88:$AD$91,$B$36)*'Вводные'!$H$7)^MAX(0,(12*(YEAR(BD$3)-YEAR($B$39))+MONTH(BD$3)-MONTH($B$39)))*(1+IF(MONTH(BD$3)=1,'Вводные'!$B$67,IF(AND(MONTH(BD$3)&gt;=5,MONTH(BD$3)&lt;=8),'Вводные'!$B$70,0))),0)</x:f>
      </x:c>
      <x:c r="BE46" s="35" t="n">
        <x:f>IF(AND(BE$3&gt;=$B$39,BE$3&lt;EDATE($B$39,MAX(1,'Вводные'!$K$53)),AND($B$35="Да",IFERROR(INDEX('Вводные'!$B$88:$B$91,$B$36),"Нет")="Да")),(1+INDEX('Вводные'!$AD$88:$AD$91,$B$36)*'Вводные'!$H$7)^MAX(0,(12*(YEAR(BE$3)-YEAR($B$39))+MONTH(BE$3)-MONTH($B$39)))*(1+IF(MONTH(BE$3)=1,'Вводные'!$B$67,IF(AND(MONTH(BE$3)&gt;=5,MONTH(BE$3)&lt;=8),'Вводные'!$B$70,0))),0)</x:f>
      </x:c>
      <x:c r="BF46" s="35" t="n">
        <x:f>IF(AND(BF$3&gt;=$B$39,BF$3&lt;EDATE($B$39,MAX(1,'Вводные'!$K$53)),AND($B$35="Да",IFERROR(INDEX('Вводные'!$B$88:$B$91,$B$36),"Нет")="Да")),(1+INDEX('Вводные'!$AD$88:$AD$91,$B$36)*'Вводные'!$H$7)^MAX(0,(12*(YEAR(BF$3)-YEAR($B$39))+MONTH(BF$3)-MONTH($B$39)))*(1+IF(MONTH(BF$3)=1,'Вводные'!$B$67,IF(AND(MONTH(BF$3)&gt;=5,MONTH(BF$3)&lt;=8),'Вводные'!$B$70,0))),0)</x:f>
      </x:c>
      <x:c r="BG46" s="35" t="n">
        <x:f>IF(AND(BG$3&gt;=$B$39,BG$3&lt;EDATE($B$39,MAX(1,'Вводные'!$K$53)),AND($B$35="Да",IFERROR(INDEX('Вводные'!$B$88:$B$91,$B$36),"Нет")="Да")),(1+INDEX('Вводные'!$AD$88:$AD$91,$B$36)*'Вводные'!$H$7)^MAX(0,(12*(YEAR(BG$3)-YEAR($B$39))+MONTH(BG$3)-MONTH($B$39)))*(1+IF(MONTH(BG$3)=1,'Вводные'!$B$67,IF(AND(MONTH(BG$3)&gt;=5,MONTH(BG$3)&lt;=8),'Вводные'!$B$70,0))),0)</x:f>
      </x:c>
      <x:c r="BH46" s="35" t="n">
        <x:f>IF(AND(BH$3&gt;=$B$39,BH$3&lt;EDATE($B$39,MAX(1,'Вводные'!$K$53)),AND($B$35="Да",IFERROR(INDEX('Вводные'!$B$88:$B$91,$B$36),"Нет")="Да")),(1+INDEX('Вводные'!$AD$88:$AD$91,$B$36)*'Вводные'!$H$7)^MAX(0,(12*(YEAR(BH$3)-YEAR($B$39))+MONTH(BH$3)-MONTH($B$39)))*(1+IF(MONTH(BH$3)=1,'Вводные'!$B$67,IF(AND(MONTH(BH$3)&gt;=5,MONTH(BH$3)&lt;=8),'Вводные'!$B$70,0))),0)</x:f>
      </x:c>
      <x:c r="BI46" s="35" t="n">
        <x:f>IF(AND(BI$3&gt;=$B$39,BI$3&lt;EDATE($B$39,MAX(1,'Вводные'!$K$53)),AND($B$35="Да",IFERROR(INDEX('Вводные'!$B$88:$B$91,$B$36),"Нет")="Да")),(1+INDEX('Вводные'!$AD$88:$AD$91,$B$36)*'Вводные'!$H$7)^MAX(0,(12*(YEAR(BI$3)-YEAR($B$39))+MONTH(BI$3)-MONTH($B$39)))*(1+IF(MONTH(BI$3)=1,'Вводные'!$B$67,IF(AND(MONTH(BI$3)&gt;=5,MONTH(BI$3)&lt;=8),'Вводные'!$B$70,0))),0)</x:f>
      </x:c>
      <x:c r="BJ46" s="35" t="n">
        <x:f>IF(AND(BJ$3&gt;=$B$39,BJ$3&lt;EDATE($B$39,MAX(1,'Вводные'!$K$53)),AND($B$35="Да",IFERROR(INDEX('Вводные'!$B$88:$B$91,$B$36),"Нет")="Да")),(1+INDEX('Вводные'!$AD$88:$AD$91,$B$36)*'Вводные'!$H$7)^MAX(0,(12*(YEAR(BJ$3)-YEAR($B$39))+MONTH(BJ$3)-MONTH($B$39)))*(1+IF(MONTH(BJ$3)=1,'Вводные'!$B$67,IF(AND(MONTH(BJ$3)&gt;=5,MONTH(BJ$3)&lt;=8),'Вводные'!$B$70,0))),0)</x:f>
      </x:c>
      <x:c r="BK46" s="35" t="n">
        <x:f>IF(AND(BK$3&gt;=$B$39,BK$3&lt;EDATE($B$39,MAX(1,'Вводные'!$K$53)),AND($B$35="Да",IFERROR(INDEX('Вводные'!$B$88:$B$91,$B$36),"Нет")="Да")),(1+INDEX('Вводные'!$AD$88:$AD$91,$B$36)*'Вводные'!$H$7)^MAX(0,(12*(YEAR(BK$3)-YEAR($B$39))+MONTH(BK$3)-MONTH($B$39)))*(1+IF(MONTH(BK$3)=1,'Вводные'!$B$67,IF(AND(MONTH(BK$3)&gt;=5,MONTH(BK$3)&lt;=8),'Вводные'!$B$70,0))),0)</x:f>
      </x:c>
      <x:c r="BL46" s="35" t="n">
        <x:f>IF(AND(BL$3&gt;=$B$39,BL$3&lt;EDATE($B$39,MAX(1,'Вводные'!$K$53)),AND($B$35="Да",IFERROR(INDEX('Вводные'!$B$88:$B$91,$B$36),"Нет")="Да")),(1+INDEX('Вводные'!$AD$88:$AD$91,$B$36)*'Вводные'!$H$7)^MAX(0,(12*(YEAR(BL$3)-YEAR($B$39))+MONTH(BL$3)-MONTH($B$39)))*(1+IF(MONTH(BL$3)=1,'Вводные'!$B$67,IF(AND(MONTH(BL$3)&gt;=5,MONTH(BL$3)&lt;=8),'Вводные'!$B$70,0))),0)</x:f>
      </x:c>
      <x:c r="BM46" s="35" t="n">
        <x:f>IF(AND(BM$3&gt;=$B$39,BM$3&lt;EDATE($B$39,MAX(1,'Вводные'!$K$53)),AND($B$35="Да",IFERROR(INDEX('Вводные'!$B$88:$B$91,$B$36),"Нет")="Да")),(1+INDEX('Вводные'!$AD$88:$AD$91,$B$36)*'Вводные'!$H$7)^MAX(0,(12*(YEAR(BM$3)-YEAR($B$39))+MONTH(BM$3)-MONTH($B$39)))*(1+IF(MONTH(BM$3)=1,'Вводные'!$B$67,IF(AND(MONTH(BM$3)&gt;=5,MONTH(BM$3)&lt;=8),'Вводные'!$B$70,0))),0)</x:f>
      </x:c>
      <x:c r="BN46" s="35" t="n">
        <x:f>IF(AND(BN$3&gt;=$B$39,BN$3&lt;EDATE($B$39,MAX(1,'Вводные'!$K$53)),AND($B$35="Да",IFERROR(INDEX('Вводные'!$B$88:$B$91,$B$36),"Нет")="Да")),(1+INDEX('Вводные'!$AD$88:$AD$91,$B$36)*'Вводные'!$H$7)^MAX(0,(12*(YEAR(BN$3)-YEAR($B$39))+MONTH(BN$3)-MONTH($B$39)))*(1+IF(MONTH(BN$3)=1,'Вводные'!$B$67,IF(AND(MONTH(BN$3)&gt;=5,MONTH(BN$3)&lt;=8),'Вводные'!$B$70,0))),0)</x:f>
      </x:c>
      <x:c r="BO46" s="35" t="n">
        <x:f>IF(AND(BO$3&gt;=$B$39,BO$3&lt;EDATE($B$39,MAX(1,'Вводные'!$K$53)),AND($B$35="Да",IFERROR(INDEX('Вводные'!$B$88:$B$91,$B$36),"Нет")="Да")),(1+INDEX('Вводные'!$AD$88:$AD$91,$B$36)*'Вводные'!$H$7)^MAX(0,(12*(YEAR(BO$3)-YEAR($B$39))+MONTH(BO$3)-MONTH($B$39)))*(1+IF(MONTH(BO$3)=1,'Вводные'!$B$67,IF(AND(MONTH(BO$3)&gt;=5,MONTH(BO$3)&lt;=8),'Вводные'!$B$70,0))),0)</x:f>
      </x:c>
      <x:c r="BP46" s="35" t="n">
        <x:f>IF(AND(BP$3&gt;=$B$39,BP$3&lt;EDATE($B$39,MAX(1,'Вводные'!$K$53)),AND($B$35="Да",IFERROR(INDEX('Вводные'!$B$88:$B$91,$B$36),"Нет")="Да")),(1+INDEX('Вводные'!$AD$88:$AD$91,$B$36)*'Вводные'!$H$7)^MAX(0,(12*(YEAR(BP$3)-YEAR($B$39))+MONTH(BP$3)-MONTH($B$39)))*(1+IF(MONTH(BP$3)=1,'Вводные'!$B$67,IF(AND(MONTH(BP$3)&gt;=5,MONTH(BP$3)&lt;=8),'Вводные'!$B$70,0))),0)</x:f>
      </x:c>
      <x:c r="BQ46" s="35" t="n">
        <x:f>IF(AND(BQ$3&gt;=$B$39,BQ$3&lt;EDATE($B$39,MAX(1,'Вводные'!$K$53)),AND($B$35="Да",IFERROR(INDEX('Вводные'!$B$88:$B$91,$B$36),"Нет")="Да")),(1+INDEX('Вводные'!$AD$88:$AD$91,$B$36)*'Вводные'!$H$7)^MAX(0,(12*(YEAR(BQ$3)-YEAR($B$39))+MONTH(BQ$3)-MONTH($B$39)))*(1+IF(MONTH(BQ$3)=1,'Вводные'!$B$67,IF(AND(MONTH(BQ$3)&gt;=5,MONTH(BQ$3)&lt;=8),'Вводные'!$B$70,0))),0)</x:f>
      </x:c>
      <x:c r="BR46" s="35" t="n">
        <x:f>IF(AND(BR$3&gt;=$B$39,BR$3&lt;EDATE($B$39,MAX(1,'Вводные'!$K$53)),AND($B$35="Да",IFERROR(INDEX('Вводные'!$B$88:$B$91,$B$36),"Нет")="Да")),(1+INDEX('Вводные'!$AD$88:$AD$91,$B$36)*'Вводные'!$H$7)^MAX(0,(12*(YEAR(BR$3)-YEAR($B$39))+MONTH(BR$3)-MONTH($B$39)))*(1+IF(MONTH(BR$3)=1,'Вводные'!$B$67,IF(AND(MONTH(BR$3)&gt;=5,MONTH(BR$3)&lt;=8),'Вводные'!$B$70,0))),0)</x:f>
      </x:c>
      <x:c r="BS46" s="35" t="n">
        <x:f>IF(AND(BS$3&gt;=$B$39,BS$3&lt;EDATE($B$39,MAX(1,'Вводные'!$K$53)),AND($B$35="Да",IFERROR(INDEX('Вводные'!$B$88:$B$91,$B$36),"Нет")="Да")),(1+INDEX('Вводные'!$AD$88:$AD$91,$B$36)*'Вводные'!$H$7)^MAX(0,(12*(YEAR(BS$3)-YEAR($B$39))+MONTH(BS$3)-MONTH($B$39)))*(1+IF(MONTH(BS$3)=1,'Вводные'!$B$67,IF(AND(MONTH(BS$3)&gt;=5,MONTH(BS$3)&lt;=8),'Вводные'!$B$70,0))),0)</x:f>
      </x:c>
      <x:c r="BT46" s="35" t="n">
        <x:f>IF(AND(BT$3&gt;=$B$39,BT$3&lt;EDATE($B$39,MAX(1,'Вводные'!$K$53)),AND($B$35="Да",IFERROR(INDEX('Вводные'!$B$88:$B$91,$B$36),"Нет")="Да")),(1+INDEX('Вводные'!$AD$88:$AD$91,$B$36)*'Вводные'!$H$7)^MAX(0,(12*(YEAR(BT$3)-YEAR($B$39))+MONTH(BT$3)-MONTH($B$39)))*(1+IF(MONTH(BT$3)=1,'Вводные'!$B$67,IF(AND(MONTH(BT$3)&gt;=5,MONTH(BT$3)&lt;=8),'Вводные'!$B$70,0))),0)</x:f>
      </x:c>
      <x:c r="BU46" s="35" t="n">
        <x:f>IF(AND(BU$3&gt;=$B$39,BU$3&lt;EDATE($B$39,MAX(1,'Вводные'!$K$53)),AND($B$35="Да",IFERROR(INDEX('Вводные'!$B$88:$B$91,$B$36),"Нет")="Да")),(1+INDEX('Вводные'!$AD$88:$AD$91,$B$36)*'Вводные'!$H$7)^MAX(0,(12*(YEAR(BU$3)-YEAR($B$39))+MONTH(BU$3)-MONTH($B$39)))*(1+IF(MONTH(BU$3)=1,'Вводные'!$B$67,IF(AND(MONTH(BU$3)&gt;=5,MONTH(BU$3)&lt;=8),'Вводные'!$B$70,0))),0)</x:f>
      </x:c>
      <x:c r="BV46" s="35" t="n">
        <x:f>IF(AND(BV$3&gt;=$B$39,BV$3&lt;EDATE($B$39,MAX(1,'Вводные'!$K$53)),AND($B$35="Да",IFERROR(INDEX('Вводные'!$B$88:$B$91,$B$36),"Нет")="Да")),(1+INDEX('Вводные'!$AD$88:$AD$91,$B$36)*'Вводные'!$H$7)^MAX(0,(12*(YEAR(BV$3)-YEAR($B$39))+MONTH(BV$3)-MONTH($B$39)))*(1+IF(MONTH(BV$3)=1,'Вводные'!$B$67,IF(AND(MONTH(BV$3)&gt;=5,MONTH(BV$3)&lt;=8),'Вводные'!$B$70,0))),0)</x:f>
      </x:c>
      <x:c r="BW46" s="35" t="n">
        <x:f>IF(AND(BW$3&gt;=$B$39,BW$3&lt;EDATE($B$39,MAX(1,'Вводные'!$K$53)),AND($B$35="Да",IFERROR(INDEX('Вводные'!$B$88:$B$91,$B$36),"Нет")="Да")),(1+INDEX('Вводные'!$AD$88:$AD$91,$B$36)*'Вводные'!$H$7)^MAX(0,(12*(YEAR(BW$3)-YEAR($B$39))+MONTH(BW$3)-MONTH($B$39)))*(1+IF(MONTH(BW$3)=1,'Вводные'!$B$67,IF(AND(MONTH(BW$3)&gt;=5,MONTH(BW$3)&lt;=8),'Вводные'!$B$70,0))),0)</x:f>
      </x:c>
      <x:c r="BX46" s="35" t="n">
        <x:f>IF(AND(BX$3&gt;=$B$39,BX$3&lt;EDATE($B$39,MAX(1,'Вводные'!$K$53)),AND($B$35="Да",IFERROR(INDEX('Вводные'!$B$88:$B$91,$B$36),"Нет")="Да")),(1+INDEX('Вводные'!$AD$88:$AD$91,$B$36)*'Вводные'!$H$7)^MAX(0,(12*(YEAR(BX$3)-YEAR($B$39))+MONTH(BX$3)-MONTH($B$39)))*(1+IF(MONTH(BX$3)=1,'Вводные'!$B$67,IF(AND(MONTH(BX$3)&gt;=5,MONTH(BX$3)&lt;=8),'Вводные'!$B$70,0))),0)</x:f>
      </x:c>
      <x:c r="BY46" s="35" t="n">
        <x:f>IF(AND(BY$3&gt;=$B$39,BY$3&lt;EDATE($B$39,MAX(1,'Вводные'!$K$53)),AND($B$35="Да",IFERROR(INDEX('Вводные'!$B$88:$B$91,$B$36),"Нет")="Да")),(1+INDEX('Вводные'!$AD$88:$AD$91,$B$36)*'Вводные'!$H$7)^MAX(0,(12*(YEAR(BY$3)-YEAR($B$39))+MONTH(BY$3)-MONTH($B$39)))*(1+IF(MONTH(BY$3)=1,'Вводные'!$B$67,IF(AND(MONTH(BY$3)&gt;=5,MONTH(BY$3)&lt;=8),'Вводные'!$B$70,0))),0)</x:f>
      </x:c>
      <x:c r="BZ46" s="35" t="n">
        <x:f>IF(AND(BZ$3&gt;=$B$39,BZ$3&lt;EDATE($B$39,MAX(1,'Вводные'!$K$53)),AND($B$35="Да",IFERROR(INDEX('Вводные'!$B$88:$B$91,$B$36),"Нет")="Да")),(1+INDEX('Вводные'!$AD$88:$AD$91,$B$36)*'Вводные'!$H$7)^MAX(0,(12*(YEAR(BZ$3)-YEAR($B$39))+MONTH(BZ$3)-MONTH($B$39)))*(1+IF(MONTH(BZ$3)=1,'Вводные'!$B$67,IF(AND(MONTH(BZ$3)&gt;=5,MONTH(BZ$3)&lt;=8),'Вводные'!$B$70,0))),0)</x:f>
      </x:c>
      <x:c r="CA46" s="35" t="n">
        <x:f>IF(AND(CA$3&gt;=$B$39,CA$3&lt;EDATE($B$39,MAX(1,'Вводные'!$K$53)),AND($B$35="Да",IFERROR(INDEX('Вводные'!$B$88:$B$91,$B$36),"Нет")="Да")),(1+INDEX('Вводные'!$AD$88:$AD$91,$B$36)*'Вводные'!$H$7)^MAX(0,(12*(YEAR(CA$3)-YEAR($B$39))+MONTH(CA$3)-MONTH($B$39)))*(1+IF(MONTH(CA$3)=1,'Вводные'!$B$67,IF(AND(MONTH(CA$3)&gt;=5,MONTH(CA$3)&lt;=8),'Вводные'!$B$70,0))),0)</x:f>
      </x:c>
      <x:c r="CB46" s="35" t="n">
        <x:f>IF(AND(CB$3&gt;=$B$39,CB$3&lt;EDATE($B$39,MAX(1,'Вводные'!$K$53)),AND($B$35="Да",IFERROR(INDEX('Вводные'!$B$88:$B$91,$B$36),"Нет")="Да")),(1+INDEX('Вводные'!$AD$88:$AD$91,$B$36)*'Вводные'!$H$7)^MAX(0,(12*(YEAR(CB$3)-YEAR($B$39))+MONTH(CB$3)-MONTH($B$39)))*(1+IF(MONTH(CB$3)=1,'Вводные'!$B$67,IF(AND(MONTH(CB$3)&gt;=5,MONTH(CB$3)&lt;=8),'Вводные'!$B$70,0))),0)</x:f>
      </x:c>
      <x:c r="CC46" s="35" t="n">
        <x:f>IF(AND(CC$3&gt;=$B$39,CC$3&lt;EDATE($B$39,MAX(1,'Вводные'!$K$53)),AND($B$35="Да",IFERROR(INDEX('Вводные'!$B$88:$B$91,$B$36),"Нет")="Да")),(1+INDEX('Вводные'!$AD$88:$AD$91,$B$36)*'Вводные'!$H$7)^MAX(0,(12*(YEAR(CC$3)-YEAR($B$39))+MONTH(CC$3)-MONTH($B$39)))*(1+IF(MONTH(CC$3)=1,'Вводные'!$B$67,IF(AND(MONTH(CC$3)&gt;=5,MONTH(CC$3)&lt;=8),'Вводные'!$B$70,0))),0)</x:f>
      </x:c>
      <x:c r="CD46" s="35" t="n">
        <x:f>IF(AND(CD$3&gt;=$B$39,CD$3&lt;EDATE($B$39,MAX(1,'Вводные'!$K$53)),AND($B$35="Да",IFERROR(INDEX('Вводные'!$B$88:$B$91,$B$36),"Нет")="Да")),(1+INDEX('Вводные'!$AD$88:$AD$91,$B$36)*'Вводные'!$H$7)^MAX(0,(12*(YEAR(CD$3)-YEAR($B$39))+MONTH(CD$3)-MONTH($B$39)))*(1+IF(MONTH(CD$3)=1,'Вводные'!$B$67,IF(AND(MONTH(CD$3)&gt;=5,MONTH(CD$3)&lt;=8),'Вводные'!$B$70,0))),0)</x:f>
      </x:c>
      <x:c r="CE46" s="35" t="n">
        <x:f>IF(AND(CE$3&gt;=$B$39,CE$3&lt;EDATE($B$39,MAX(1,'Вводные'!$K$53)),AND($B$35="Да",IFERROR(INDEX('Вводные'!$B$88:$B$91,$B$36),"Нет")="Да")),(1+INDEX('Вводные'!$AD$88:$AD$91,$B$36)*'Вводные'!$H$7)^MAX(0,(12*(YEAR(CE$3)-YEAR($B$39))+MONTH(CE$3)-MONTH($B$39)))*(1+IF(MONTH(CE$3)=1,'Вводные'!$B$67,IF(AND(MONTH(CE$3)&gt;=5,MONTH(CE$3)&lt;=8),'Вводные'!$B$70,0))),0)</x:f>
      </x:c>
      <x:c r="CF46" s="35" t="n">
        <x:f>IF(AND(CF$3&gt;=$B$39,CF$3&lt;EDATE($B$39,MAX(1,'Вводные'!$K$53)),AND($B$35="Да",IFERROR(INDEX('Вводные'!$B$88:$B$91,$B$36),"Нет")="Да")),(1+INDEX('Вводные'!$AD$88:$AD$91,$B$36)*'Вводные'!$H$7)^MAX(0,(12*(YEAR(CF$3)-YEAR($B$39))+MONTH(CF$3)-MONTH($B$39)))*(1+IF(MONTH(CF$3)=1,'Вводные'!$B$67,IF(AND(MONTH(CF$3)&gt;=5,MONTH(CF$3)&lt;=8),'Вводные'!$B$70,0))),0)</x:f>
      </x:c>
      <x:c r="CG46" s="35" t="n">
        <x:f>IF(AND(CG$3&gt;=$B$39,CG$3&lt;EDATE($B$39,MAX(1,'Вводные'!$K$53)),AND($B$35="Да",IFERROR(INDEX('Вводные'!$B$88:$B$91,$B$36),"Нет")="Да")),(1+INDEX('Вводные'!$AD$88:$AD$91,$B$36)*'Вводные'!$H$7)^MAX(0,(12*(YEAR(CG$3)-YEAR($B$39))+MONTH(CG$3)-MONTH($B$39)))*(1+IF(MONTH(CG$3)=1,'Вводные'!$B$67,IF(AND(MONTH(CG$3)&gt;=5,MONTH(CG$3)&lt;=8),'Вводные'!$B$70,0))),0)</x:f>
      </x:c>
      <x:c r="CH46" s="35" t="n">
        <x:f>IF(AND(CH$3&gt;=$B$39,CH$3&lt;EDATE($B$39,MAX(1,'Вводные'!$K$53)),AND($B$35="Да",IFERROR(INDEX('Вводные'!$B$88:$B$91,$B$36),"Нет")="Да")),(1+INDEX('Вводные'!$AD$88:$AD$91,$B$36)*'Вводные'!$H$7)^MAX(0,(12*(YEAR(CH$3)-YEAR($B$39))+MONTH(CH$3)-MONTH($B$39)))*(1+IF(MONTH(CH$3)=1,'Вводные'!$B$67,IF(AND(MONTH(CH$3)&gt;=5,MONTH(CH$3)&lt;=8),'Вводные'!$B$70,0))),0)</x:f>
      </x:c>
      <x:c r="CI46" s="35" t="n">
        <x:f>IF(AND(CI$3&gt;=$B$39,CI$3&lt;EDATE($B$39,MAX(1,'Вводные'!$K$53)),AND($B$35="Да",IFERROR(INDEX('Вводные'!$B$88:$B$91,$B$36),"Нет")="Да")),(1+INDEX('Вводные'!$AD$88:$AD$91,$B$36)*'Вводные'!$H$7)^MAX(0,(12*(YEAR(CI$3)-YEAR($B$39))+MONTH(CI$3)-MONTH($B$39)))*(1+IF(MONTH(CI$3)=1,'Вводные'!$B$67,IF(AND(MONTH(CI$3)&gt;=5,MONTH(CI$3)&lt;=8),'Вводные'!$B$70,0))),0)</x:f>
      </x:c>
      <x:c r="CJ46" s="35" t="n">
        <x:f>IF(AND(CJ$3&gt;=$B$39,CJ$3&lt;EDATE($B$39,MAX(1,'Вводные'!$K$53)),AND($B$35="Да",IFERROR(INDEX('Вводные'!$B$88:$B$91,$B$36),"Нет")="Да")),(1+INDEX('Вводные'!$AD$88:$AD$91,$B$36)*'Вводные'!$H$7)^MAX(0,(12*(YEAR(CJ$3)-YEAR($B$39))+MONTH(CJ$3)-MONTH($B$39)))*(1+IF(MONTH(CJ$3)=1,'Вводные'!$B$67,IF(AND(MONTH(CJ$3)&gt;=5,MONTH(CJ$3)&lt;=8),'Вводные'!$B$70,0))),0)</x:f>
      </x:c>
      <x:c r="CK46" s="35" t="n">
        <x:f>IF(AND(CK$3&gt;=$B$39,CK$3&lt;EDATE($B$39,MAX(1,'Вводные'!$K$53)),AND($B$35="Да",IFERROR(INDEX('Вводные'!$B$88:$B$91,$B$36),"Нет")="Да")),(1+INDEX('Вводные'!$AD$88:$AD$91,$B$36)*'Вводные'!$H$7)^MAX(0,(12*(YEAR(CK$3)-YEAR($B$39))+MONTH(CK$3)-MONTH($B$39)))*(1+IF(MONTH(CK$3)=1,'Вводные'!$B$67,IF(AND(MONTH(CK$3)&gt;=5,MONTH(CK$3)&lt;=8),'Вводные'!$B$70,0))),0)</x:f>
      </x:c>
      <x:c r="CL46" s="35" t="n">
        <x:f>IF(AND(CL$3&gt;=$B$39,CL$3&lt;EDATE($B$39,MAX(1,'Вводные'!$K$53)),AND($B$35="Да",IFERROR(INDEX('Вводные'!$B$88:$B$91,$B$36),"Нет")="Да")),(1+INDEX('Вводные'!$AD$88:$AD$91,$B$36)*'Вводные'!$H$7)^MAX(0,(12*(YEAR(CL$3)-YEAR($B$39))+MONTH(CL$3)-MONTH($B$39)))*(1+IF(MONTH(CL$3)=1,'Вводные'!$B$67,IF(AND(MONTH(CL$3)&gt;=5,MONTH(CL$3)&lt;=8),'Вводные'!$B$70,0))),0)</x:f>
      </x:c>
      <x:c r="CM46" s="35" t="n">
        <x:f>IF(AND(CM$3&gt;=$B$39,CM$3&lt;EDATE($B$39,MAX(1,'Вводные'!$K$53)),AND($B$35="Да",IFERROR(INDEX('Вводные'!$B$88:$B$91,$B$36),"Нет")="Да")),(1+INDEX('Вводные'!$AD$88:$AD$91,$B$36)*'Вводные'!$H$7)^MAX(0,(12*(YEAR(CM$3)-YEAR($B$39))+MONTH(CM$3)-MONTH($B$39)))*(1+IF(MONTH(CM$3)=1,'Вводные'!$B$67,IF(AND(MONTH(CM$3)&gt;=5,MONTH(CM$3)&lt;=8),'Вводные'!$B$70,0))),0)</x:f>
      </x:c>
      <x:c r="CN46" s="35" t="n">
        <x:f>IF(AND(CN$3&gt;=$B$39,CN$3&lt;EDATE($B$39,MAX(1,'Вводные'!$K$53)),AND($B$35="Да",IFERROR(INDEX('Вводные'!$B$88:$B$91,$B$36),"Нет")="Да")),(1+INDEX('Вводные'!$AD$88:$AD$91,$B$36)*'Вводные'!$H$7)^MAX(0,(12*(YEAR(CN$3)-YEAR($B$39))+MONTH(CN$3)-MONTH($B$39)))*(1+IF(MONTH(CN$3)=1,'Вводные'!$B$67,IF(AND(MONTH(CN$3)&gt;=5,MONTH(CN$3)&lt;=8),'Вводные'!$B$70,0))),0)</x:f>
      </x:c>
      <x:c r="CO46" s="35" t="n">
        <x:f>IF(AND(CO$3&gt;=$B$39,CO$3&lt;EDATE($B$39,MAX(1,'Вводные'!$K$53)),AND($B$35="Да",IFERROR(INDEX('Вводные'!$B$88:$B$91,$B$36),"Нет")="Да")),(1+INDEX('Вводные'!$AD$88:$AD$91,$B$36)*'Вводные'!$H$7)^MAX(0,(12*(YEAR(CO$3)-YEAR($B$39))+MONTH(CO$3)-MONTH($B$39)))*(1+IF(MONTH(CO$3)=1,'Вводные'!$B$67,IF(AND(MONTH(CO$3)&gt;=5,MONTH(CO$3)&lt;=8),'Вводные'!$B$70,0))),0)</x:f>
      </x:c>
      <x:c r="CP46" s="35" t="n">
        <x:f>IF(AND(CP$3&gt;=$B$39,CP$3&lt;EDATE($B$39,MAX(1,'Вводные'!$K$53)),AND($B$35="Да",IFERROR(INDEX('Вводные'!$B$88:$B$91,$B$36),"Нет")="Да")),(1+INDEX('Вводные'!$AD$88:$AD$91,$B$36)*'Вводные'!$H$7)^MAX(0,(12*(YEAR(CP$3)-YEAR($B$39))+MONTH(CP$3)-MONTH($B$39)))*(1+IF(MONTH(CP$3)=1,'Вводные'!$B$67,IF(AND(MONTH(CP$3)&gt;=5,MONTH(CP$3)&lt;=8),'Вводные'!$B$70,0))),0)</x:f>
      </x:c>
      <x:c r="CQ46" s="35" t="n">
        <x:f>IF(AND(CQ$3&gt;=$B$39,CQ$3&lt;EDATE($B$39,MAX(1,'Вводные'!$K$53)),AND($B$35="Да",IFERROR(INDEX('Вводные'!$B$88:$B$91,$B$36),"Нет")="Да")),(1+INDEX('Вводные'!$AD$88:$AD$91,$B$36)*'Вводные'!$H$7)^MAX(0,(12*(YEAR(CQ$3)-YEAR($B$39))+MONTH(CQ$3)-MONTH($B$39)))*(1+IF(MONTH(CQ$3)=1,'Вводные'!$B$67,IF(AND(MONTH(CQ$3)&gt;=5,MONTH(CQ$3)&lt;=8),'Вводные'!$B$70,0))),0)</x:f>
      </x:c>
      <x:c r="CR46" s="35" t="n">
        <x:f>IF(AND(CR$3&gt;=$B$39,CR$3&lt;EDATE($B$39,MAX(1,'Вводные'!$K$53)),AND($B$35="Да",IFERROR(INDEX('Вводные'!$B$88:$B$91,$B$36),"Нет")="Да")),(1+INDEX('Вводные'!$AD$88:$AD$91,$B$36)*'Вводные'!$H$7)^MAX(0,(12*(YEAR(CR$3)-YEAR($B$39))+MONTH(CR$3)-MONTH($B$39)))*(1+IF(MONTH(CR$3)=1,'Вводные'!$B$67,IF(AND(MONTH(CR$3)&gt;=5,MONTH(CR$3)&lt;=8),'Вводные'!$B$70,0))),0)</x:f>
      </x:c>
      <x:c r="CS46" s="35" t="n">
        <x:f>IF(AND(CS$3&gt;=$B$39,CS$3&lt;EDATE($B$39,MAX(1,'Вводные'!$K$53)),AND($B$35="Да",IFERROR(INDEX('Вводные'!$B$88:$B$91,$B$36),"Нет")="Да")),(1+INDEX('Вводные'!$AD$88:$AD$91,$B$36)*'Вводные'!$H$7)^MAX(0,(12*(YEAR(CS$3)-YEAR($B$39))+MONTH(CS$3)-MONTH($B$39)))*(1+IF(MONTH(CS$3)=1,'Вводные'!$B$67,IF(AND(MONTH(CS$3)&gt;=5,MONTH(CS$3)&lt;=8),'Вводные'!$B$70,0))),0)</x:f>
      </x:c>
      <x:c r="CT46" s="35" t="n">
        <x:f>IF(AND(CT$3&gt;=$B$39,CT$3&lt;EDATE($B$39,MAX(1,'Вводные'!$K$53)),AND($B$35="Да",IFERROR(INDEX('Вводные'!$B$88:$B$91,$B$36),"Нет")="Да")),(1+INDEX('Вводные'!$AD$88:$AD$91,$B$36)*'Вводные'!$H$7)^MAX(0,(12*(YEAR(CT$3)-YEAR($B$39))+MONTH(CT$3)-MONTH($B$39)))*(1+IF(MONTH(CT$3)=1,'Вводные'!$B$67,IF(AND(MONTH(CT$3)&gt;=5,MONTH(CT$3)&lt;=8),'Вводные'!$B$70,0))),0)</x:f>
      </x:c>
      <x:c r="CU46" s="35" t="n">
        <x:f>IF(AND(CU$3&gt;=$B$39,CU$3&lt;EDATE($B$39,MAX(1,'Вводные'!$K$53)),AND($B$35="Да",IFERROR(INDEX('Вводные'!$B$88:$B$91,$B$36),"Нет")="Да")),(1+INDEX('Вводные'!$AD$88:$AD$91,$B$36)*'Вводные'!$H$7)^MAX(0,(12*(YEAR(CU$3)-YEAR($B$39))+MONTH(CU$3)-MONTH($B$39)))*(1+IF(MONTH(CU$3)=1,'Вводные'!$B$67,IF(AND(MONTH(CU$3)&gt;=5,MONTH(CU$3)&lt;=8),'Вводные'!$B$70,0))),0)</x:f>
      </x:c>
      <x:c r="CV46" s="35" t="n">
        <x:f>IF(AND(CV$3&gt;=$B$39,CV$3&lt;EDATE($B$39,MAX(1,'Вводные'!$K$53)),AND($B$35="Да",IFERROR(INDEX('Вводные'!$B$88:$B$91,$B$36),"Нет")="Да")),(1+INDEX('Вводные'!$AD$88:$AD$91,$B$36)*'Вводные'!$H$7)^MAX(0,(12*(YEAR(CV$3)-YEAR($B$39))+MONTH(CV$3)-MONTH($B$39)))*(1+IF(MONTH(CV$3)=1,'Вводные'!$B$67,IF(AND(MONTH(CV$3)&gt;=5,MONTH(CV$3)&lt;=8),'Вводные'!$B$70,0))),0)</x:f>
      </x:c>
      <x:c r="CW46" s="35" t="n">
        <x:f>IF(AND(CW$3&gt;=$B$39,CW$3&lt;EDATE($B$39,MAX(1,'Вводные'!$K$53)),AND($B$35="Да",IFERROR(INDEX('Вводные'!$B$88:$B$91,$B$36),"Нет")="Да")),(1+INDEX('Вводные'!$AD$88:$AD$91,$B$36)*'Вводные'!$H$7)^MAX(0,(12*(YEAR(CW$3)-YEAR($B$39))+MONTH(CW$3)-MONTH($B$39)))*(1+IF(MONTH(CW$3)=1,'Вводные'!$B$67,IF(AND(MONTH(CW$3)&gt;=5,MONTH(CW$3)&lt;=8),'Вводные'!$B$70,0))),0)</x:f>
      </x:c>
      <x:c r="CX46" s="35" t="n">
        <x:f>IF(AND(CX$3&gt;=$B$39,CX$3&lt;EDATE($B$39,MAX(1,'Вводные'!$K$53)),AND($B$35="Да",IFERROR(INDEX('Вводные'!$B$88:$B$91,$B$36),"Нет")="Да")),(1+INDEX('Вводные'!$AD$88:$AD$91,$B$36)*'Вводные'!$H$7)^MAX(0,(12*(YEAR(CX$3)-YEAR($B$39))+MONTH(CX$3)-MONTH($B$39)))*(1+IF(MONTH(CX$3)=1,'Вводные'!$B$67,IF(AND(MONTH(CX$3)&gt;=5,MONTH(CX$3)&lt;=8),'Вводные'!$B$70,0))),0)</x:f>
      </x:c>
      <x:c r="CY46" s="35" t="n">
        <x:f>IF(AND(CY$3&gt;=$B$39,CY$3&lt;EDATE($B$39,MAX(1,'Вводные'!$K$53)),AND($B$35="Да",IFERROR(INDEX('Вводные'!$B$88:$B$91,$B$36),"Нет")="Да")),(1+INDEX('Вводные'!$AD$88:$AD$91,$B$36)*'Вводные'!$H$7)^MAX(0,(12*(YEAR(CY$3)-YEAR($B$39))+MONTH(CY$3)-MONTH($B$39)))*(1+IF(MONTH(CY$3)=1,'Вводные'!$B$67,IF(AND(MONTH(CY$3)&gt;=5,MONTH(CY$3)&lt;=8),'Вводные'!$B$70,0))),0)</x:f>
      </x:c>
      <x:c r="CZ46" s="35" t="n">
        <x:f>IF(AND(CZ$3&gt;=$B$39,CZ$3&lt;EDATE($B$39,MAX(1,'Вводные'!$K$53)),AND($B$35="Да",IFERROR(INDEX('Вводные'!$B$88:$B$91,$B$36),"Нет")="Да")),(1+INDEX('Вводные'!$AD$88:$AD$91,$B$36)*'Вводные'!$H$7)^MAX(0,(12*(YEAR(CZ$3)-YEAR($B$39))+MONTH(CZ$3)-MONTH($B$39)))*(1+IF(MONTH(CZ$3)=1,'Вводные'!$B$67,IF(AND(MONTH(CZ$3)&gt;=5,MONTH(CZ$3)&lt;=8),'Вводные'!$B$70,0))),0)</x:f>
      </x:c>
      <x:c r="DA46" s="35" t="n">
        <x:f>IF(AND(DA$3&gt;=$B$39,DA$3&lt;EDATE($B$39,MAX(1,'Вводные'!$K$53)),AND($B$35="Да",IFERROR(INDEX('Вводные'!$B$88:$B$91,$B$36),"Нет")="Да")),(1+INDEX('Вводные'!$AD$88:$AD$91,$B$36)*'Вводные'!$H$7)^MAX(0,(12*(YEAR(DA$3)-YEAR($B$39))+MONTH(DA$3)-MONTH($B$39)))*(1+IF(MONTH(DA$3)=1,'Вводные'!$B$67,IF(AND(MONTH(DA$3)&gt;=5,MONTH(DA$3)&lt;=8),'Вводные'!$B$70,0))),0)</x:f>
      </x:c>
      <x:c r="DB46" s="35" t="n">
        <x:f>IF(AND(DB$3&gt;=$B$39,DB$3&lt;EDATE($B$39,MAX(1,'Вводные'!$K$53)),AND($B$35="Да",IFERROR(INDEX('Вводные'!$B$88:$B$91,$B$36),"Нет")="Да")),(1+INDEX('Вводные'!$AD$88:$AD$91,$B$36)*'Вводные'!$H$7)^MAX(0,(12*(YEAR(DB$3)-YEAR($B$39))+MONTH(DB$3)-MONTH($B$39)))*(1+IF(MONTH(DB$3)=1,'Вводные'!$B$67,IF(AND(MONTH(DB$3)&gt;=5,MONTH(DB$3)&lt;=8),'Вводные'!$B$70,0))),0)</x:f>
      </x:c>
      <x:c r="DC46" s="35" t="n">
        <x:f>IF(AND(DC$3&gt;=$B$39,DC$3&lt;EDATE($B$39,MAX(1,'Вводные'!$K$53)),AND($B$35="Да",IFERROR(INDEX('Вводные'!$B$88:$B$91,$B$36),"Нет")="Да")),(1+INDEX('Вводные'!$AD$88:$AD$91,$B$36)*'Вводные'!$H$7)^MAX(0,(12*(YEAR(DC$3)-YEAR($B$39))+MONTH(DC$3)-MONTH($B$39)))*(1+IF(MONTH(DC$3)=1,'Вводные'!$B$67,IF(AND(MONTH(DC$3)&gt;=5,MONTH(DC$3)&lt;=8),'Вводные'!$B$70,0))),0)</x:f>
      </x:c>
      <x:c r="DD46" s="35" t="n">
        <x:f>IF(AND(DD$3&gt;=$B$39,DD$3&lt;EDATE($B$39,MAX(1,'Вводные'!$K$53)),AND($B$35="Да",IFERROR(INDEX('Вводные'!$B$88:$B$91,$B$36),"Нет")="Да")),(1+INDEX('Вводные'!$AD$88:$AD$91,$B$36)*'Вводные'!$H$7)^MAX(0,(12*(YEAR(DD$3)-YEAR($B$39))+MONTH(DD$3)-MONTH($B$39)))*(1+IF(MONTH(DD$3)=1,'Вводные'!$B$67,IF(AND(MONTH(DD$3)&gt;=5,MONTH(DD$3)&lt;=8),'Вводные'!$B$70,0))),0)</x:f>
      </x:c>
      <x:c r="DE46" s="35" t="n">
        <x:f>IF(AND(DE$3&gt;=$B$39,DE$3&lt;EDATE($B$39,MAX(1,'Вводные'!$K$53)),AND($B$35="Да",IFERROR(INDEX('Вводные'!$B$88:$B$91,$B$36),"Нет")="Да")),(1+INDEX('Вводные'!$AD$88:$AD$91,$B$36)*'Вводные'!$H$7)^MAX(0,(12*(YEAR(DE$3)-YEAR($B$39))+MONTH(DE$3)-MONTH($B$39)))*(1+IF(MONTH(DE$3)=1,'Вводные'!$B$67,IF(AND(MONTH(DE$3)&gt;=5,MONTH(DE$3)&lt;=8),'Вводные'!$B$70,0))),0)</x:f>
      </x:c>
      <x:c r="DF46" s="35" t="n">
        <x:f>IF(AND(DF$3&gt;=$B$39,DF$3&lt;EDATE($B$39,MAX(1,'Вводные'!$K$53)),AND($B$35="Да",IFERROR(INDEX('Вводные'!$B$88:$B$91,$B$36),"Нет")="Да")),(1+INDEX('Вводные'!$AD$88:$AD$91,$B$36)*'Вводные'!$H$7)^MAX(0,(12*(YEAR(DF$3)-YEAR($B$39))+MONTH(DF$3)-MONTH($B$39)))*(1+IF(MONTH(DF$3)=1,'Вводные'!$B$67,IF(AND(MONTH(DF$3)&gt;=5,MONTH(DF$3)&lt;=8),'Вводные'!$B$70,0))),0)</x:f>
      </x:c>
      <x:c r="DG46" s="35" t="n">
        <x:f>IF(AND(DG$3&gt;=$B$39,DG$3&lt;EDATE($B$39,MAX(1,'Вводные'!$K$53)),AND($B$35="Да",IFERROR(INDEX('Вводные'!$B$88:$B$91,$B$36),"Нет")="Да")),(1+INDEX('Вводные'!$AD$88:$AD$91,$B$36)*'Вводные'!$H$7)^MAX(0,(12*(YEAR(DG$3)-YEAR($B$39))+MONTH(DG$3)-MONTH($B$39)))*(1+IF(MONTH(DG$3)=1,'Вводные'!$B$67,IF(AND(MONTH(DG$3)&gt;=5,MONTH(DG$3)&lt;=8),'Вводные'!$B$70,0))),0)</x:f>
      </x:c>
      <x:c r="DH46" s="35" t="n">
        <x:f>IF(AND(DH$3&gt;=$B$39,DH$3&lt;EDATE($B$39,MAX(1,'Вводные'!$K$53)),AND($B$35="Да",IFERROR(INDEX('Вводные'!$B$88:$B$91,$B$36),"Нет")="Да")),(1+INDEX('Вводные'!$AD$88:$AD$91,$B$36)*'Вводные'!$H$7)^MAX(0,(12*(YEAR(DH$3)-YEAR($B$39))+MONTH(DH$3)-MONTH($B$39)))*(1+IF(MONTH(DH$3)=1,'Вводные'!$B$67,IF(AND(MONTH(DH$3)&gt;=5,MONTH(DH$3)&lt;=8),'Вводные'!$B$70,0))),0)</x:f>
      </x:c>
      <x:c r="DI46" s="35" t="n">
        <x:f>IF(AND(DI$3&gt;=$B$39,DI$3&lt;EDATE($B$39,MAX(1,'Вводные'!$K$53)),AND($B$35="Да",IFERROR(INDEX('Вводные'!$B$88:$B$91,$B$36),"Нет")="Да")),(1+INDEX('Вводные'!$AD$88:$AD$91,$B$36)*'Вводные'!$H$7)^MAX(0,(12*(YEAR(DI$3)-YEAR($B$39))+MONTH(DI$3)-MONTH($B$39)))*(1+IF(MONTH(DI$3)=1,'Вводные'!$B$67,IF(AND(MONTH(DI$3)&gt;=5,MONTH(DI$3)&lt;=8),'Вводные'!$B$70,0))),0)</x:f>
      </x:c>
      <x:c r="DJ46" s="35" t="n">
        <x:f>IF(AND(DJ$3&gt;=$B$39,DJ$3&lt;EDATE($B$39,MAX(1,'Вводные'!$K$53)),AND($B$35="Да",IFERROR(INDEX('Вводные'!$B$88:$B$91,$B$36),"Нет")="Да")),(1+INDEX('Вводные'!$AD$88:$AD$91,$B$36)*'Вводные'!$H$7)^MAX(0,(12*(YEAR(DJ$3)-YEAR($B$39))+MONTH(DJ$3)-MONTH($B$39)))*(1+IF(MONTH(DJ$3)=1,'Вводные'!$B$67,IF(AND(MONTH(DJ$3)&gt;=5,MONTH(DJ$3)&lt;=8),'Вводные'!$B$70,0))),0)</x:f>
      </x:c>
      <x:c r="DK46" s="35" t="n">
        <x:f>IF(AND(DK$3&gt;=$B$39,DK$3&lt;EDATE($B$39,MAX(1,'Вводные'!$K$53)),AND($B$35="Да",IFERROR(INDEX('Вводные'!$B$88:$B$91,$B$36),"Нет")="Да")),(1+INDEX('Вводные'!$AD$88:$AD$91,$B$36)*'Вводные'!$H$7)^MAX(0,(12*(YEAR(DK$3)-YEAR($B$39))+MONTH(DK$3)-MONTH($B$39)))*(1+IF(MONTH(DK$3)=1,'Вводные'!$B$67,IF(AND(MONTH(DK$3)&gt;=5,MONTH(DK$3)&lt;=8),'Вводные'!$B$70,0))),0)</x:f>
      </x:c>
      <x:c r="DL46" s="35" t="n">
        <x:f>IF(AND(DL$3&gt;=$B$39,DL$3&lt;EDATE($B$39,MAX(1,'Вводные'!$K$53)),AND($B$35="Да",IFERROR(INDEX('Вводные'!$B$88:$B$91,$B$36),"Нет")="Да")),(1+INDEX('Вводные'!$AD$88:$AD$91,$B$36)*'Вводные'!$H$7)^MAX(0,(12*(YEAR(DL$3)-YEAR($B$39))+MONTH(DL$3)-MONTH($B$39)))*(1+IF(MONTH(DL$3)=1,'Вводные'!$B$67,IF(AND(MONTH(DL$3)&gt;=5,MONTH(DL$3)&lt;=8),'Вводные'!$B$70,0))),0)</x:f>
      </x:c>
      <x:c r="DM46" s="35" t="n">
        <x:f>IF(AND(DM$3&gt;=$B$39,DM$3&lt;EDATE($B$39,MAX(1,'Вводные'!$K$53)),AND($B$35="Да",IFERROR(INDEX('Вводные'!$B$88:$B$91,$B$36),"Нет")="Да")),(1+INDEX('Вводные'!$AD$88:$AD$91,$B$36)*'Вводные'!$H$7)^MAX(0,(12*(YEAR(DM$3)-YEAR($B$39))+MONTH(DM$3)-MONTH($B$39)))*(1+IF(MONTH(DM$3)=1,'Вводные'!$B$67,IF(AND(MONTH(DM$3)&gt;=5,MONTH(DM$3)&lt;=8),'Вводные'!$B$70,0))),0)</x:f>
      </x:c>
      <x:c r="DN46" s="35" t="n">
        <x:f>IF(AND(DN$3&gt;=$B$39,DN$3&lt;EDATE($B$39,MAX(1,'Вводные'!$K$53)),AND($B$35="Да",IFERROR(INDEX('Вводные'!$B$88:$B$91,$B$36),"Нет")="Да")),(1+INDEX('Вводные'!$AD$88:$AD$91,$B$36)*'Вводные'!$H$7)^MAX(0,(12*(YEAR(DN$3)-YEAR($B$39))+MONTH(DN$3)-MONTH($B$39)))*(1+IF(MONTH(DN$3)=1,'Вводные'!$B$67,IF(AND(MONTH(DN$3)&gt;=5,MONTH(DN$3)&lt;=8),'Вводные'!$B$70,0))),0)</x:f>
      </x:c>
      <x:c r="DO46" s="35" t="n">
        <x:f>IF(AND(DO$3&gt;=$B$39,DO$3&lt;EDATE($B$39,MAX(1,'Вводные'!$K$53)),AND($B$35="Да",IFERROR(INDEX('Вводные'!$B$88:$B$91,$B$36),"Нет")="Да")),(1+INDEX('Вводные'!$AD$88:$AD$91,$B$36)*'Вводные'!$H$7)^MAX(0,(12*(YEAR(DO$3)-YEAR($B$39))+MONTH(DO$3)-MONTH($B$39)))*(1+IF(MONTH(DO$3)=1,'Вводные'!$B$67,IF(AND(MONTH(DO$3)&gt;=5,MONTH(DO$3)&lt;=8),'Вводные'!$B$70,0))),0)</x:f>
      </x:c>
      <x:c r="DP46" s="35" t="n">
        <x:f>IF(AND(DP$3&gt;=$B$39,DP$3&lt;EDATE($B$39,MAX(1,'Вводные'!$K$53)),AND($B$35="Да",IFERROR(INDEX('Вводные'!$B$88:$B$91,$B$36),"Нет")="Да")),(1+INDEX('Вводные'!$AD$88:$AD$91,$B$36)*'Вводные'!$H$7)^MAX(0,(12*(YEAR(DP$3)-YEAR($B$39))+MONTH(DP$3)-MONTH($B$39)))*(1+IF(MONTH(DP$3)=1,'Вводные'!$B$67,IF(AND(MONTH(DP$3)&gt;=5,MONTH(DP$3)&lt;=8),'Вводные'!$B$70,0))),0)</x:f>
      </x:c>
      <x:c r="DQ46" s="35" t="n">
        <x:f>IF(AND(DQ$3&gt;=$B$39,DQ$3&lt;EDATE($B$39,MAX(1,'Вводные'!$K$53)),AND($B$35="Да",IFERROR(INDEX('Вводные'!$B$88:$B$91,$B$36),"Нет")="Да")),(1+INDEX('Вводные'!$AD$88:$AD$91,$B$36)*'Вводные'!$H$7)^MAX(0,(12*(YEAR(DQ$3)-YEAR($B$39))+MONTH(DQ$3)-MONTH($B$39)))*(1+IF(MONTH(DQ$3)=1,'Вводные'!$B$67,IF(AND(MONTH(DQ$3)&gt;=5,MONTH(DQ$3)&lt;=8),'Вводные'!$B$70,0))),0)</x:f>
      </x:c>
      <x:c r="DR46" s="35" t="n">
        <x:f>IF(AND(DR$3&gt;=$B$39,DR$3&lt;EDATE($B$39,MAX(1,'Вводные'!$K$53)),AND($B$35="Да",IFERROR(INDEX('Вводные'!$B$88:$B$91,$B$36),"Нет")="Да")),(1+INDEX('Вводные'!$AD$88:$AD$91,$B$36)*'Вводные'!$H$7)^MAX(0,(12*(YEAR(DR$3)-YEAR($B$39))+MONTH(DR$3)-MONTH($B$39)))*(1+IF(MONTH(DR$3)=1,'Вводные'!$B$67,IF(AND(MONTH(DR$3)&gt;=5,MONTH(DR$3)&lt;=8),'Вводные'!$B$70,0))),0)</x:f>
      </x:c>
      <x:c r="DS46" s="35" t="n">
        <x:f>IF(AND(DS$3&gt;=$B$39,DS$3&lt;EDATE($B$39,MAX(1,'Вводные'!$K$53)),AND($B$35="Да",IFERROR(INDEX('Вводные'!$B$88:$B$91,$B$36),"Нет")="Да")),(1+INDEX('Вводные'!$AD$88:$AD$91,$B$36)*'Вводные'!$H$7)^MAX(0,(12*(YEAR(DS$3)-YEAR($B$39))+MONTH(DS$3)-MONTH($B$39)))*(1+IF(MONTH(DS$3)=1,'Вводные'!$B$67,IF(AND(MONTH(DS$3)&gt;=5,MONTH(DS$3)&lt;=8),'Вводные'!$B$70,0))),0)</x:f>
      </x:c>
    </x:row>
    <x:row r="47">
      <x:c r="A47" t="str">
        <x:v>Нормированный вес до РВЭ</x:v>
      </x:c>
      <x:c r="B47" s="35" t="n">
        <x:f>SUM(D47:DS47)</x:f>
      </x:c>
      <x:c r="C47" t="str">
        <x:v>%</x:v>
      </x:c>
      <x:c r="D47" s="35" t="n">
        <x:f>IFERROR(D46*D45/SUMPRODUCT($D46:$DS46,$D45:$DS45),0)</x:f>
      </x:c>
      <x:c r="E47" s="35" t="n">
        <x:f>IFERROR(E46*E45/SUMPRODUCT($D46:$DS46,$D45:$DS45),0)</x:f>
      </x:c>
      <x:c r="F47" s="35" t="n">
        <x:f>IFERROR(F46*F45/SUMPRODUCT($D46:$DS46,$D45:$DS45),0)</x:f>
      </x:c>
      <x:c r="G47" s="35" t="n">
        <x:f>IFERROR(G46*G45/SUMPRODUCT($D46:$DS46,$D45:$DS45),0)</x:f>
      </x:c>
      <x:c r="H47" s="35" t="n">
        <x:f>IFERROR(H46*H45/SUMPRODUCT($D46:$DS46,$D45:$DS45),0)</x:f>
      </x:c>
      <x:c r="I47" s="35" t="n">
        <x:f>IFERROR(I46*I45/SUMPRODUCT($D46:$DS46,$D45:$DS45),0)</x:f>
      </x:c>
      <x:c r="J47" s="35" t="n">
        <x:f>IFERROR(J46*J45/SUMPRODUCT($D46:$DS46,$D45:$DS45),0)</x:f>
      </x:c>
      <x:c r="K47" s="35" t="n">
        <x:f>IFERROR(K46*K45/SUMPRODUCT($D46:$DS46,$D45:$DS45),0)</x:f>
      </x:c>
      <x:c r="L47" s="35" t="n">
        <x:f>IFERROR(L46*L45/SUMPRODUCT($D46:$DS46,$D45:$DS45),0)</x:f>
      </x:c>
      <x:c r="M47" s="35" t="n">
        <x:f>IFERROR(M46*M45/SUMPRODUCT($D46:$DS46,$D45:$DS45),0)</x:f>
      </x:c>
      <x:c r="N47" s="35" t="n">
        <x:f>IFERROR(N46*N45/SUMPRODUCT($D46:$DS46,$D45:$DS45),0)</x:f>
      </x:c>
      <x:c r="O47" s="35" t="n">
        <x:f>IFERROR(O46*O45/SUMPRODUCT($D46:$DS46,$D45:$DS45),0)</x:f>
      </x:c>
      <x:c r="P47" s="35" t="n">
        <x:f>IFERROR(P46*P45/SUMPRODUCT($D46:$DS46,$D45:$DS45),0)</x:f>
      </x:c>
      <x:c r="Q47" s="35" t="n">
        <x:f>IFERROR(Q46*Q45/SUMPRODUCT($D46:$DS46,$D45:$DS45),0)</x:f>
      </x:c>
      <x:c r="R47" s="35" t="n">
        <x:f>IFERROR(R46*R45/SUMPRODUCT($D46:$DS46,$D45:$DS45),0)</x:f>
      </x:c>
      <x:c r="S47" s="35" t="n">
        <x:f>IFERROR(S46*S45/SUMPRODUCT($D46:$DS46,$D45:$DS45),0)</x:f>
      </x:c>
      <x:c r="T47" s="35" t="n">
        <x:f>IFERROR(T46*T45/SUMPRODUCT($D46:$DS46,$D45:$DS45),0)</x:f>
      </x:c>
      <x:c r="U47" s="35" t="n">
        <x:f>IFERROR(U46*U45/SUMPRODUCT($D46:$DS46,$D45:$DS45),0)</x:f>
      </x:c>
      <x:c r="V47" s="35" t="n">
        <x:f>IFERROR(V46*V45/SUMPRODUCT($D46:$DS46,$D45:$DS45),0)</x:f>
      </x:c>
      <x:c r="W47" s="35" t="n">
        <x:f>IFERROR(W46*W45/SUMPRODUCT($D46:$DS46,$D45:$DS45),0)</x:f>
      </x:c>
      <x:c r="X47" s="35" t="n">
        <x:f>IFERROR(X46*X45/SUMPRODUCT($D46:$DS46,$D45:$DS45),0)</x:f>
      </x:c>
      <x:c r="Y47" s="35" t="n">
        <x:f>IFERROR(Y46*Y45/SUMPRODUCT($D46:$DS46,$D45:$DS45),0)</x:f>
      </x:c>
      <x:c r="Z47" s="35" t="n">
        <x:f>IFERROR(Z46*Z45/SUMPRODUCT($D46:$DS46,$D45:$DS45),0)</x:f>
      </x:c>
      <x:c r="AA47" s="35" t="n">
        <x:f>IFERROR(AA46*AA45/SUMPRODUCT($D46:$DS46,$D45:$DS45),0)</x:f>
      </x:c>
      <x:c r="AB47" s="35" t="n">
        <x:f>IFERROR(AB46*AB45/SUMPRODUCT($D46:$DS46,$D45:$DS45),0)</x:f>
      </x:c>
      <x:c r="AC47" s="35" t="n">
        <x:f>IFERROR(AC46*AC45/SUMPRODUCT($D46:$DS46,$D45:$DS45),0)</x:f>
      </x:c>
      <x:c r="AD47" s="35" t="n">
        <x:f>IFERROR(AD46*AD45/SUMPRODUCT($D46:$DS46,$D45:$DS45),0)</x:f>
      </x:c>
      <x:c r="AE47" s="35" t="n">
        <x:f>IFERROR(AE46*AE45/SUMPRODUCT($D46:$DS46,$D45:$DS45),0)</x:f>
      </x:c>
      <x:c r="AF47" s="35" t="n">
        <x:f>IFERROR(AF46*AF45/SUMPRODUCT($D46:$DS46,$D45:$DS45),0)</x:f>
      </x:c>
      <x:c r="AG47" s="35" t="n">
        <x:f>IFERROR(AG46*AG45/SUMPRODUCT($D46:$DS46,$D45:$DS45),0)</x:f>
      </x:c>
      <x:c r="AH47" s="35" t="n">
        <x:f>IFERROR(AH46*AH45/SUMPRODUCT($D46:$DS46,$D45:$DS45),0)</x:f>
      </x:c>
      <x:c r="AI47" s="35" t="n">
        <x:f>IFERROR(AI46*AI45/SUMPRODUCT($D46:$DS46,$D45:$DS45),0)</x:f>
      </x:c>
      <x:c r="AJ47" s="35" t="n">
        <x:f>IFERROR(AJ46*AJ45/SUMPRODUCT($D46:$DS46,$D45:$DS45),0)</x:f>
      </x:c>
      <x:c r="AK47" s="35" t="n">
        <x:f>IFERROR(AK46*AK45/SUMPRODUCT($D46:$DS46,$D45:$DS45),0)</x:f>
      </x:c>
      <x:c r="AL47" s="35" t="n">
        <x:f>IFERROR(AL46*AL45/SUMPRODUCT($D46:$DS46,$D45:$DS45),0)</x:f>
      </x:c>
      <x:c r="AM47" s="35" t="n">
        <x:f>IFERROR(AM46*AM45/SUMPRODUCT($D46:$DS46,$D45:$DS45),0)</x:f>
      </x:c>
      <x:c r="AN47" s="35" t="n">
        <x:f>IFERROR(AN46*AN45/SUMPRODUCT($D46:$DS46,$D45:$DS45),0)</x:f>
      </x:c>
      <x:c r="AO47" s="35" t="n">
        <x:f>IFERROR(AO46*AO45/SUMPRODUCT($D46:$DS46,$D45:$DS45),0)</x:f>
      </x:c>
      <x:c r="AP47" s="35" t="n">
        <x:f>IFERROR(AP46*AP45/SUMPRODUCT($D46:$DS46,$D45:$DS45),0)</x:f>
      </x:c>
      <x:c r="AQ47" s="35" t="n">
        <x:f>IFERROR(AQ46*AQ45/SUMPRODUCT($D46:$DS46,$D45:$DS45),0)</x:f>
      </x:c>
      <x:c r="AR47" s="35" t="n">
        <x:f>IFERROR(AR46*AR45/SUMPRODUCT($D46:$DS46,$D45:$DS45),0)</x:f>
      </x:c>
      <x:c r="AS47" s="35" t="n">
        <x:f>IFERROR(AS46*AS45/SUMPRODUCT($D46:$DS46,$D45:$DS45),0)</x:f>
      </x:c>
      <x:c r="AT47" s="35" t="n">
        <x:f>IFERROR(AT46*AT45/SUMPRODUCT($D46:$DS46,$D45:$DS45),0)</x:f>
      </x:c>
      <x:c r="AU47" s="35" t="n">
        <x:f>IFERROR(AU46*AU45/SUMPRODUCT($D46:$DS46,$D45:$DS45),0)</x:f>
      </x:c>
      <x:c r="AV47" s="35" t="n">
        <x:f>IFERROR(AV46*AV45/SUMPRODUCT($D46:$DS46,$D45:$DS45),0)</x:f>
      </x:c>
      <x:c r="AW47" s="35" t="n">
        <x:f>IFERROR(AW46*AW45/SUMPRODUCT($D46:$DS46,$D45:$DS45),0)</x:f>
      </x:c>
      <x:c r="AX47" s="35" t="n">
        <x:f>IFERROR(AX46*AX45/SUMPRODUCT($D46:$DS46,$D45:$DS45),0)</x:f>
      </x:c>
      <x:c r="AY47" s="35" t="n">
        <x:f>IFERROR(AY46*AY45/SUMPRODUCT($D46:$DS46,$D45:$DS45),0)</x:f>
      </x:c>
      <x:c r="AZ47" s="35" t="n">
        <x:f>IFERROR(AZ46*AZ45/SUMPRODUCT($D46:$DS46,$D45:$DS45),0)</x:f>
      </x:c>
      <x:c r="BA47" s="35" t="n">
        <x:f>IFERROR(BA46*BA45/SUMPRODUCT($D46:$DS46,$D45:$DS45),0)</x:f>
      </x:c>
      <x:c r="BB47" s="35" t="n">
        <x:f>IFERROR(BB46*BB45/SUMPRODUCT($D46:$DS46,$D45:$DS45),0)</x:f>
      </x:c>
      <x:c r="BC47" s="35" t="n">
        <x:f>IFERROR(BC46*BC45/SUMPRODUCT($D46:$DS46,$D45:$DS45),0)</x:f>
      </x:c>
      <x:c r="BD47" s="35" t="n">
        <x:f>IFERROR(BD46*BD45/SUMPRODUCT($D46:$DS46,$D45:$DS45),0)</x:f>
      </x:c>
      <x:c r="BE47" s="35" t="n">
        <x:f>IFERROR(BE46*BE45/SUMPRODUCT($D46:$DS46,$D45:$DS45),0)</x:f>
      </x:c>
      <x:c r="BF47" s="35" t="n">
        <x:f>IFERROR(BF46*BF45/SUMPRODUCT($D46:$DS46,$D45:$DS45),0)</x:f>
      </x:c>
      <x:c r="BG47" s="35" t="n">
        <x:f>IFERROR(BG46*BG45/SUMPRODUCT($D46:$DS46,$D45:$DS45),0)</x:f>
      </x:c>
      <x:c r="BH47" s="35" t="n">
        <x:f>IFERROR(BH46*BH45/SUMPRODUCT($D46:$DS46,$D45:$DS45),0)</x:f>
      </x:c>
      <x:c r="BI47" s="35" t="n">
        <x:f>IFERROR(BI46*BI45/SUMPRODUCT($D46:$DS46,$D45:$DS45),0)</x:f>
      </x:c>
      <x:c r="BJ47" s="35" t="n">
        <x:f>IFERROR(BJ46*BJ45/SUMPRODUCT($D46:$DS46,$D45:$DS45),0)</x:f>
      </x:c>
      <x:c r="BK47" s="35" t="n">
        <x:f>IFERROR(BK46*BK45/SUMPRODUCT($D46:$DS46,$D45:$DS45),0)</x:f>
      </x:c>
      <x:c r="BL47" s="35" t="n">
        <x:f>IFERROR(BL46*BL45/SUMPRODUCT($D46:$DS46,$D45:$DS45),0)</x:f>
      </x:c>
      <x:c r="BM47" s="35" t="n">
        <x:f>IFERROR(BM46*BM45/SUMPRODUCT($D46:$DS46,$D45:$DS45),0)</x:f>
      </x:c>
      <x:c r="BN47" s="35" t="n">
        <x:f>IFERROR(BN46*BN45/SUMPRODUCT($D46:$DS46,$D45:$DS45),0)</x:f>
      </x:c>
      <x:c r="BO47" s="35" t="n">
        <x:f>IFERROR(BO46*BO45/SUMPRODUCT($D46:$DS46,$D45:$DS45),0)</x:f>
      </x:c>
      <x:c r="BP47" s="35" t="n">
        <x:f>IFERROR(BP46*BP45/SUMPRODUCT($D46:$DS46,$D45:$DS45),0)</x:f>
      </x:c>
      <x:c r="BQ47" s="35" t="n">
        <x:f>IFERROR(BQ46*BQ45/SUMPRODUCT($D46:$DS46,$D45:$DS45),0)</x:f>
      </x:c>
      <x:c r="BR47" s="35" t="n">
        <x:f>IFERROR(BR46*BR45/SUMPRODUCT($D46:$DS46,$D45:$DS45),0)</x:f>
      </x:c>
      <x:c r="BS47" s="35" t="n">
        <x:f>IFERROR(BS46*BS45/SUMPRODUCT($D46:$DS46,$D45:$DS45),0)</x:f>
      </x:c>
      <x:c r="BT47" s="35" t="n">
        <x:f>IFERROR(BT46*BT45/SUMPRODUCT($D46:$DS46,$D45:$DS45),0)</x:f>
      </x:c>
      <x:c r="BU47" s="35" t="n">
        <x:f>IFERROR(BU46*BU45/SUMPRODUCT($D46:$DS46,$D45:$DS45),0)</x:f>
      </x:c>
      <x:c r="BV47" s="35" t="n">
        <x:f>IFERROR(BV46*BV45/SUMPRODUCT($D46:$DS46,$D45:$DS45),0)</x:f>
      </x:c>
      <x:c r="BW47" s="35" t="n">
        <x:f>IFERROR(BW46*BW45/SUMPRODUCT($D46:$DS46,$D45:$DS45),0)</x:f>
      </x:c>
      <x:c r="BX47" s="35" t="n">
        <x:f>IFERROR(BX46*BX45/SUMPRODUCT($D46:$DS46,$D45:$DS45),0)</x:f>
      </x:c>
      <x:c r="BY47" s="35" t="n">
        <x:f>IFERROR(BY46*BY45/SUMPRODUCT($D46:$DS46,$D45:$DS45),0)</x:f>
      </x:c>
      <x:c r="BZ47" s="35" t="n">
        <x:f>IFERROR(BZ46*BZ45/SUMPRODUCT($D46:$DS46,$D45:$DS45),0)</x:f>
      </x:c>
      <x:c r="CA47" s="35" t="n">
        <x:f>IFERROR(CA46*CA45/SUMPRODUCT($D46:$DS46,$D45:$DS45),0)</x:f>
      </x:c>
      <x:c r="CB47" s="35" t="n">
        <x:f>IFERROR(CB46*CB45/SUMPRODUCT($D46:$DS46,$D45:$DS45),0)</x:f>
      </x:c>
      <x:c r="CC47" s="35" t="n">
        <x:f>IFERROR(CC46*CC45/SUMPRODUCT($D46:$DS46,$D45:$DS45),0)</x:f>
      </x:c>
      <x:c r="CD47" s="35" t="n">
        <x:f>IFERROR(CD46*CD45/SUMPRODUCT($D46:$DS46,$D45:$DS45),0)</x:f>
      </x:c>
      <x:c r="CE47" s="35" t="n">
        <x:f>IFERROR(CE46*CE45/SUMPRODUCT($D46:$DS46,$D45:$DS45),0)</x:f>
      </x:c>
      <x:c r="CF47" s="35" t="n">
        <x:f>IFERROR(CF46*CF45/SUMPRODUCT($D46:$DS46,$D45:$DS45),0)</x:f>
      </x:c>
      <x:c r="CG47" s="35" t="n">
        <x:f>IFERROR(CG46*CG45/SUMPRODUCT($D46:$DS46,$D45:$DS45),0)</x:f>
      </x:c>
      <x:c r="CH47" s="35" t="n">
        <x:f>IFERROR(CH46*CH45/SUMPRODUCT($D46:$DS46,$D45:$DS45),0)</x:f>
      </x:c>
      <x:c r="CI47" s="35" t="n">
        <x:f>IFERROR(CI46*CI45/SUMPRODUCT($D46:$DS46,$D45:$DS45),0)</x:f>
      </x:c>
      <x:c r="CJ47" s="35" t="n">
        <x:f>IFERROR(CJ46*CJ45/SUMPRODUCT($D46:$DS46,$D45:$DS45),0)</x:f>
      </x:c>
      <x:c r="CK47" s="35" t="n">
        <x:f>IFERROR(CK46*CK45/SUMPRODUCT($D46:$DS46,$D45:$DS45),0)</x:f>
      </x:c>
      <x:c r="CL47" s="35" t="n">
        <x:f>IFERROR(CL46*CL45/SUMPRODUCT($D46:$DS46,$D45:$DS45),0)</x:f>
      </x:c>
      <x:c r="CM47" s="35" t="n">
        <x:f>IFERROR(CM46*CM45/SUMPRODUCT($D46:$DS46,$D45:$DS45),0)</x:f>
      </x:c>
      <x:c r="CN47" s="35" t="n">
        <x:f>IFERROR(CN46*CN45/SUMPRODUCT($D46:$DS46,$D45:$DS45),0)</x:f>
      </x:c>
      <x:c r="CO47" s="35" t="n">
        <x:f>IFERROR(CO46*CO45/SUMPRODUCT($D46:$DS46,$D45:$DS45),0)</x:f>
      </x:c>
      <x:c r="CP47" s="35" t="n">
        <x:f>IFERROR(CP46*CP45/SUMPRODUCT($D46:$DS46,$D45:$DS45),0)</x:f>
      </x:c>
      <x:c r="CQ47" s="35" t="n">
        <x:f>IFERROR(CQ46*CQ45/SUMPRODUCT($D46:$DS46,$D45:$DS45),0)</x:f>
      </x:c>
      <x:c r="CR47" s="35" t="n">
        <x:f>IFERROR(CR46*CR45/SUMPRODUCT($D46:$DS46,$D45:$DS45),0)</x:f>
      </x:c>
      <x:c r="CS47" s="35" t="n">
        <x:f>IFERROR(CS46*CS45/SUMPRODUCT($D46:$DS46,$D45:$DS45),0)</x:f>
      </x:c>
      <x:c r="CT47" s="35" t="n">
        <x:f>IFERROR(CT46*CT45/SUMPRODUCT($D46:$DS46,$D45:$DS45),0)</x:f>
      </x:c>
      <x:c r="CU47" s="35" t="n">
        <x:f>IFERROR(CU46*CU45/SUMPRODUCT($D46:$DS46,$D45:$DS45),0)</x:f>
      </x:c>
      <x:c r="CV47" s="35" t="n">
        <x:f>IFERROR(CV46*CV45/SUMPRODUCT($D46:$DS46,$D45:$DS45),0)</x:f>
      </x:c>
      <x:c r="CW47" s="35" t="n">
        <x:f>IFERROR(CW46*CW45/SUMPRODUCT($D46:$DS46,$D45:$DS45),0)</x:f>
      </x:c>
      <x:c r="CX47" s="35" t="n">
        <x:f>IFERROR(CX46*CX45/SUMPRODUCT($D46:$DS46,$D45:$DS45),0)</x:f>
      </x:c>
      <x:c r="CY47" s="35" t="n">
        <x:f>IFERROR(CY46*CY45/SUMPRODUCT($D46:$DS46,$D45:$DS45),0)</x:f>
      </x:c>
      <x:c r="CZ47" s="35" t="n">
        <x:f>IFERROR(CZ46*CZ45/SUMPRODUCT($D46:$DS46,$D45:$DS45),0)</x:f>
      </x:c>
      <x:c r="DA47" s="35" t="n">
        <x:f>IFERROR(DA46*DA45/SUMPRODUCT($D46:$DS46,$D45:$DS45),0)</x:f>
      </x:c>
      <x:c r="DB47" s="35" t="n">
        <x:f>IFERROR(DB46*DB45/SUMPRODUCT($D46:$DS46,$D45:$DS45),0)</x:f>
      </x:c>
      <x:c r="DC47" s="35" t="n">
        <x:f>IFERROR(DC46*DC45/SUMPRODUCT($D46:$DS46,$D45:$DS45),0)</x:f>
      </x:c>
      <x:c r="DD47" s="35" t="n">
        <x:f>IFERROR(DD46*DD45/SUMPRODUCT($D46:$DS46,$D45:$DS45),0)</x:f>
      </x:c>
      <x:c r="DE47" s="35" t="n">
        <x:f>IFERROR(DE46*DE45/SUMPRODUCT($D46:$DS46,$D45:$DS45),0)</x:f>
      </x:c>
      <x:c r="DF47" s="35" t="n">
        <x:f>IFERROR(DF46*DF45/SUMPRODUCT($D46:$DS46,$D45:$DS45),0)</x:f>
      </x:c>
      <x:c r="DG47" s="35" t="n">
        <x:f>IFERROR(DG46*DG45/SUMPRODUCT($D46:$DS46,$D45:$DS45),0)</x:f>
      </x:c>
      <x:c r="DH47" s="35" t="n">
        <x:f>IFERROR(DH46*DH45/SUMPRODUCT($D46:$DS46,$D45:$DS45),0)</x:f>
      </x:c>
      <x:c r="DI47" s="35" t="n">
        <x:f>IFERROR(DI46*DI45/SUMPRODUCT($D46:$DS46,$D45:$DS45),0)</x:f>
      </x:c>
      <x:c r="DJ47" s="35" t="n">
        <x:f>IFERROR(DJ46*DJ45/SUMPRODUCT($D46:$DS46,$D45:$DS45),0)</x:f>
      </x:c>
      <x:c r="DK47" s="35" t="n">
        <x:f>IFERROR(DK46*DK45/SUMPRODUCT($D46:$DS46,$D45:$DS45),0)</x:f>
      </x:c>
      <x:c r="DL47" s="35" t="n">
        <x:f>IFERROR(DL46*DL45/SUMPRODUCT($D46:$DS46,$D45:$DS45),0)</x:f>
      </x:c>
      <x:c r="DM47" s="35" t="n">
        <x:f>IFERROR(DM46*DM45/SUMPRODUCT($D46:$DS46,$D45:$DS45),0)</x:f>
      </x:c>
      <x:c r="DN47" s="35" t="n">
        <x:f>IFERROR(DN46*DN45/SUMPRODUCT($D46:$DS46,$D45:$DS45),0)</x:f>
      </x:c>
      <x:c r="DO47" s="35" t="n">
        <x:f>IFERROR(DO46*DO45/SUMPRODUCT($D46:$DS46,$D45:$DS45),0)</x:f>
      </x:c>
      <x:c r="DP47" s="35" t="n">
        <x:f>IFERROR(DP46*DP45/SUMPRODUCT($D46:$DS46,$D45:$DS45),0)</x:f>
      </x:c>
      <x:c r="DQ47" s="35" t="n">
        <x:f>IFERROR(DQ46*DQ45/SUMPRODUCT($D46:$DS46,$D45:$DS45),0)</x:f>
      </x:c>
      <x:c r="DR47" s="35" t="n">
        <x:f>IFERROR(DR46*DR45/SUMPRODUCT($D46:$DS46,$D45:$DS45),0)</x:f>
      </x:c>
      <x:c r="DS47" s="35" t="n">
        <x:f>IFERROR(DS46*DS45/SUMPRODUCT($D46:$DS46,$D45:$DS45),0)</x:f>
      </x:c>
    </x:row>
    <x:row r="48">
      <x:c r="A48" t="str">
        <x:v>Флаг продаж после РВЭ</x:v>
      </x:c>
      <x:c r="B48" s="35"/>
      <x:c r="C48" t="str">
        <x:v>0 / 1</x:v>
      </x:c>
      <x:c r="D48" s="35" t="n">
        <x:f>--AND(D$3&gt;=MAX($B$39,$B$38),D$3&lt;EDATE($B$39,MAX(1,'Вводные'!$K$53)),AND($B$35="Да",IFERROR(INDEX('Вводные'!$B$88:$B$91,$B$36),"Нет")="Да"))</x:f>
      </x:c>
      <x:c r="E48" s="35" t="n">
        <x:f>--AND(E$3&gt;=MAX($B$39,$B$38),E$3&lt;EDATE($B$39,MAX(1,'Вводные'!$K$53)),AND($B$35="Да",IFERROR(INDEX('Вводные'!$B$88:$B$91,$B$36),"Нет")="Да"))</x:f>
      </x:c>
      <x:c r="F48" s="35" t="n">
        <x:f>--AND(F$3&gt;=MAX($B$39,$B$38),F$3&lt;EDATE($B$39,MAX(1,'Вводные'!$K$53)),AND($B$35="Да",IFERROR(INDEX('Вводные'!$B$88:$B$91,$B$36),"Нет")="Да"))</x:f>
      </x:c>
      <x:c r="G48" s="35" t="n">
        <x:f>--AND(G$3&gt;=MAX($B$39,$B$38),G$3&lt;EDATE($B$39,MAX(1,'Вводные'!$K$53)),AND($B$35="Да",IFERROR(INDEX('Вводные'!$B$88:$B$91,$B$36),"Нет")="Да"))</x:f>
      </x:c>
      <x:c r="H48" s="35" t="n">
        <x:f>--AND(H$3&gt;=MAX($B$39,$B$38),H$3&lt;EDATE($B$39,MAX(1,'Вводные'!$K$53)),AND($B$35="Да",IFERROR(INDEX('Вводные'!$B$88:$B$91,$B$36),"Нет")="Да"))</x:f>
      </x:c>
      <x:c r="I48" s="35" t="n">
        <x:f>--AND(I$3&gt;=MAX($B$39,$B$38),I$3&lt;EDATE($B$39,MAX(1,'Вводные'!$K$53)),AND($B$35="Да",IFERROR(INDEX('Вводные'!$B$88:$B$91,$B$36),"Нет")="Да"))</x:f>
      </x:c>
      <x:c r="J48" s="35" t="n">
        <x:f>--AND(J$3&gt;=MAX($B$39,$B$38),J$3&lt;EDATE($B$39,MAX(1,'Вводные'!$K$53)),AND($B$35="Да",IFERROR(INDEX('Вводные'!$B$88:$B$91,$B$36),"Нет")="Да"))</x:f>
      </x:c>
      <x:c r="K48" s="35" t="n">
        <x:f>--AND(K$3&gt;=MAX($B$39,$B$38),K$3&lt;EDATE($B$39,MAX(1,'Вводные'!$K$53)),AND($B$35="Да",IFERROR(INDEX('Вводные'!$B$88:$B$91,$B$36),"Нет")="Да"))</x:f>
      </x:c>
      <x:c r="L48" s="35" t="n">
        <x:f>--AND(L$3&gt;=MAX($B$39,$B$38),L$3&lt;EDATE($B$39,MAX(1,'Вводные'!$K$53)),AND($B$35="Да",IFERROR(INDEX('Вводные'!$B$88:$B$91,$B$36),"Нет")="Да"))</x:f>
      </x:c>
      <x:c r="M48" s="35" t="n">
        <x:f>--AND(M$3&gt;=MAX($B$39,$B$38),M$3&lt;EDATE($B$39,MAX(1,'Вводные'!$K$53)),AND($B$35="Да",IFERROR(INDEX('Вводные'!$B$88:$B$91,$B$36),"Нет")="Да"))</x:f>
      </x:c>
      <x:c r="N48" s="35" t="n">
        <x:f>--AND(N$3&gt;=MAX($B$39,$B$38),N$3&lt;EDATE($B$39,MAX(1,'Вводные'!$K$53)),AND($B$35="Да",IFERROR(INDEX('Вводные'!$B$88:$B$91,$B$36),"Нет")="Да"))</x:f>
      </x:c>
      <x:c r="O48" s="35" t="n">
        <x:f>--AND(O$3&gt;=MAX($B$39,$B$38),O$3&lt;EDATE($B$39,MAX(1,'Вводные'!$K$53)),AND($B$35="Да",IFERROR(INDEX('Вводные'!$B$88:$B$91,$B$36),"Нет")="Да"))</x:f>
      </x:c>
      <x:c r="P48" s="35" t="n">
        <x:f>--AND(P$3&gt;=MAX($B$39,$B$38),P$3&lt;EDATE($B$39,MAX(1,'Вводные'!$K$53)),AND($B$35="Да",IFERROR(INDEX('Вводные'!$B$88:$B$91,$B$36),"Нет")="Да"))</x:f>
      </x:c>
      <x:c r="Q48" s="35" t="n">
        <x:f>--AND(Q$3&gt;=MAX($B$39,$B$38),Q$3&lt;EDATE($B$39,MAX(1,'Вводные'!$K$53)),AND($B$35="Да",IFERROR(INDEX('Вводные'!$B$88:$B$91,$B$36),"Нет")="Да"))</x:f>
      </x:c>
      <x:c r="R48" s="35" t="n">
        <x:f>--AND(R$3&gt;=MAX($B$39,$B$38),R$3&lt;EDATE($B$39,MAX(1,'Вводные'!$K$53)),AND($B$35="Да",IFERROR(INDEX('Вводные'!$B$88:$B$91,$B$36),"Нет")="Да"))</x:f>
      </x:c>
      <x:c r="S48" s="35" t="n">
        <x:f>--AND(S$3&gt;=MAX($B$39,$B$38),S$3&lt;EDATE($B$39,MAX(1,'Вводные'!$K$53)),AND($B$35="Да",IFERROR(INDEX('Вводные'!$B$88:$B$91,$B$36),"Нет")="Да"))</x:f>
      </x:c>
      <x:c r="T48" s="35" t="n">
        <x:f>--AND(T$3&gt;=MAX($B$39,$B$38),T$3&lt;EDATE($B$39,MAX(1,'Вводные'!$K$53)),AND($B$35="Да",IFERROR(INDEX('Вводные'!$B$88:$B$91,$B$36),"Нет")="Да"))</x:f>
      </x:c>
      <x:c r="U48" s="35" t="n">
        <x:f>--AND(U$3&gt;=MAX($B$39,$B$38),U$3&lt;EDATE($B$39,MAX(1,'Вводные'!$K$53)),AND($B$35="Да",IFERROR(INDEX('Вводные'!$B$88:$B$91,$B$36),"Нет")="Да"))</x:f>
      </x:c>
      <x:c r="V48" s="35" t="n">
        <x:f>--AND(V$3&gt;=MAX($B$39,$B$38),V$3&lt;EDATE($B$39,MAX(1,'Вводные'!$K$53)),AND($B$35="Да",IFERROR(INDEX('Вводные'!$B$88:$B$91,$B$36),"Нет")="Да"))</x:f>
      </x:c>
      <x:c r="W48" s="35" t="n">
        <x:f>--AND(W$3&gt;=MAX($B$39,$B$38),W$3&lt;EDATE($B$39,MAX(1,'Вводные'!$K$53)),AND($B$35="Да",IFERROR(INDEX('Вводные'!$B$88:$B$91,$B$36),"Нет")="Да"))</x:f>
      </x:c>
      <x:c r="X48" s="35" t="n">
        <x:f>--AND(X$3&gt;=MAX($B$39,$B$38),X$3&lt;EDATE($B$39,MAX(1,'Вводные'!$K$53)),AND($B$35="Да",IFERROR(INDEX('Вводные'!$B$88:$B$91,$B$36),"Нет")="Да"))</x:f>
      </x:c>
      <x:c r="Y48" s="35" t="n">
        <x:f>--AND(Y$3&gt;=MAX($B$39,$B$38),Y$3&lt;EDATE($B$39,MAX(1,'Вводные'!$K$53)),AND($B$35="Да",IFERROR(INDEX('Вводные'!$B$88:$B$91,$B$36),"Нет")="Да"))</x:f>
      </x:c>
      <x:c r="Z48" s="35" t="n">
        <x:f>--AND(Z$3&gt;=MAX($B$39,$B$38),Z$3&lt;EDATE($B$39,MAX(1,'Вводные'!$K$53)),AND($B$35="Да",IFERROR(INDEX('Вводные'!$B$88:$B$91,$B$36),"Нет")="Да"))</x:f>
      </x:c>
      <x:c r="AA48" s="35" t="n">
        <x:f>--AND(AA$3&gt;=MAX($B$39,$B$38),AA$3&lt;EDATE($B$39,MAX(1,'Вводные'!$K$53)),AND($B$35="Да",IFERROR(INDEX('Вводные'!$B$88:$B$91,$B$36),"Нет")="Да"))</x:f>
      </x:c>
      <x:c r="AB48" s="35" t="n">
        <x:f>--AND(AB$3&gt;=MAX($B$39,$B$38),AB$3&lt;EDATE($B$39,MAX(1,'Вводные'!$K$53)),AND($B$35="Да",IFERROR(INDEX('Вводные'!$B$88:$B$91,$B$36),"Нет")="Да"))</x:f>
      </x:c>
      <x:c r="AC48" s="35" t="n">
        <x:f>--AND(AC$3&gt;=MAX($B$39,$B$38),AC$3&lt;EDATE($B$39,MAX(1,'Вводные'!$K$53)),AND($B$35="Да",IFERROR(INDEX('Вводные'!$B$88:$B$91,$B$36),"Нет")="Да"))</x:f>
      </x:c>
      <x:c r="AD48" s="35" t="n">
        <x:f>--AND(AD$3&gt;=MAX($B$39,$B$38),AD$3&lt;EDATE($B$39,MAX(1,'Вводные'!$K$53)),AND($B$35="Да",IFERROR(INDEX('Вводные'!$B$88:$B$91,$B$36),"Нет")="Да"))</x:f>
      </x:c>
      <x:c r="AE48" s="35" t="n">
        <x:f>--AND(AE$3&gt;=MAX($B$39,$B$38),AE$3&lt;EDATE($B$39,MAX(1,'Вводные'!$K$53)),AND($B$35="Да",IFERROR(INDEX('Вводные'!$B$88:$B$91,$B$36),"Нет")="Да"))</x:f>
      </x:c>
      <x:c r="AF48" s="35" t="n">
        <x:f>--AND(AF$3&gt;=MAX($B$39,$B$38),AF$3&lt;EDATE($B$39,MAX(1,'Вводные'!$K$53)),AND($B$35="Да",IFERROR(INDEX('Вводные'!$B$88:$B$91,$B$36),"Нет")="Да"))</x:f>
      </x:c>
      <x:c r="AG48" s="35" t="n">
        <x:f>--AND(AG$3&gt;=MAX($B$39,$B$38),AG$3&lt;EDATE($B$39,MAX(1,'Вводные'!$K$53)),AND($B$35="Да",IFERROR(INDEX('Вводные'!$B$88:$B$91,$B$36),"Нет")="Да"))</x:f>
      </x:c>
      <x:c r="AH48" s="35" t="n">
        <x:f>--AND(AH$3&gt;=MAX($B$39,$B$38),AH$3&lt;EDATE($B$39,MAX(1,'Вводные'!$K$53)),AND($B$35="Да",IFERROR(INDEX('Вводные'!$B$88:$B$91,$B$36),"Нет")="Да"))</x:f>
      </x:c>
      <x:c r="AI48" s="35" t="n">
        <x:f>--AND(AI$3&gt;=MAX($B$39,$B$38),AI$3&lt;EDATE($B$39,MAX(1,'Вводные'!$K$53)),AND($B$35="Да",IFERROR(INDEX('Вводные'!$B$88:$B$91,$B$36),"Нет")="Да"))</x:f>
      </x:c>
      <x:c r="AJ48" s="35" t="n">
        <x:f>--AND(AJ$3&gt;=MAX($B$39,$B$38),AJ$3&lt;EDATE($B$39,MAX(1,'Вводные'!$K$53)),AND($B$35="Да",IFERROR(INDEX('Вводные'!$B$88:$B$91,$B$36),"Нет")="Да"))</x:f>
      </x:c>
      <x:c r="AK48" s="35" t="n">
        <x:f>--AND(AK$3&gt;=MAX($B$39,$B$38),AK$3&lt;EDATE($B$39,MAX(1,'Вводные'!$K$53)),AND($B$35="Да",IFERROR(INDEX('Вводные'!$B$88:$B$91,$B$36),"Нет")="Да"))</x:f>
      </x:c>
      <x:c r="AL48" s="35" t="n">
        <x:f>--AND(AL$3&gt;=MAX($B$39,$B$38),AL$3&lt;EDATE($B$39,MAX(1,'Вводные'!$K$53)),AND($B$35="Да",IFERROR(INDEX('Вводные'!$B$88:$B$91,$B$36),"Нет")="Да"))</x:f>
      </x:c>
      <x:c r="AM48" s="35" t="n">
        <x:f>--AND(AM$3&gt;=MAX($B$39,$B$38),AM$3&lt;EDATE($B$39,MAX(1,'Вводные'!$K$53)),AND($B$35="Да",IFERROR(INDEX('Вводные'!$B$88:$B$91,$B$36),"Нет")="Да"))</x:f>
      </x:c>
      <x:c r="AN48" s="35" t="n">
        <x:f>--AND(AN$3&gt;=MAX($B$39,$B$38),AN$3&lt;EDATE($B$39,MAX(1,'Вводные'!$K$53)),AND($B$35="Да",IFERROR(INDEX('Вводные'!$B$88:$B$91,$B$36),"Нет")="Да"))</x:f>
      </x:c>
      <x:c r="AO48" s="35" t="n">
        <x:f>--AND(AO$3&gt;=MAX($B$39,$B$38),AO$3&lt;EDATE($B$39,MAX(1,'Вводные'!$K$53)),AND($B$35="Да",IFERROR(INDEX('Вводные'!$B$88:$B$91,$B$36),"Нет")="Да"))</x:f>
      </x:c>
      <x:c r="AP48" s="35" t="n">
        <x:f>--AND(AP$3&gt;=MAX($B$39,$B$38),AP$3&lt;EDATE($B$39,MAX(1,'Вводные'!$K$53)),AND($B$35="Да",IFERROR(INDEX('Вводные'!$B$88:$B$91,$B$36),"Нет")="Да"))</x:f>
      </x:c>
      <x:c r="AQ48" s="35" t="n">
        <x:f>--AND(AQ$3&gt;=MAX($B$39,$B$38),AQ$3&lt;EDATE($B$39,MAX(1,'Вводные'!$K$53)),AND($B$35="Да",IFERROR(INDEX('Вводные'!$B$88:$B$91,$B$36),"Нет")="Да"))</x:f>
      </x:c>
      <x:c r="AR48" s="35" t="n">
        <x:f>--AND(AR$3&gt;=MAX($B$39,$B$38),AR$3&lt;EDATE($B$39,MAX(1,'Вводные'!$K$53)),AND($B$35="Да",IFERROR(INDEX('Вводные'!$B$88:$B$91,$B$36),"Нет")="Да"))</x:f>
      </x:c>
      <x:c r="AS48" s="35" t="n">
        <x:f>--AND(AS$3&gt;=MAX($B$39,$B$38),AS$3&lt;EDATE($B$39,MAX(1,'Вводные'!$K$53)),AND($B$35="Да",IFERROR(INDEX('Вводные'!$B$88:$B$91,$B$36),"Нет")="Да"))</x:f>
      </x:c>
      <x:c r="AT48" s="35" t="n">
        <x:f>--AND(AT$3&gt;=MAX($B$39,$B$38),AT$3&lt;EDATE($B$39,MAX(1,'Вводные'!$K$53)),AND($B$35="Да",IFERROR(INDEX('Вводные'!$B$88:$B$91,$B$36),"Нет")="Да"))</x:f>
      </x:c>
      <x:c r="AU48" s="35" t="n">
        <x:f>--AND(AU$3&gt;=MAX($B$39,$B$38),AU$3&lt;EDATE($B$39,MAX(1,'Вводные'!$K$53)),AND($B$35="Да",IFERROR(INDEX('Вводные'!$B$88:$B$91,$B$36),"Нет")="Да"))</x:f>
      </x:c>
      <x:c r="AV48" s="35" t="n">
        <x:f>--AND(AV$3&gt;=MAX($B$39,$B$38),AV$3&lt;EDATE($B$39,MAX(1,'Вводные'!$K$53)),AND($B$35="Да",IFERROR(INDEX('Вводные'!$B$88:$B$91,$B$36),"Нет")="Да"))</x:f>
      </x:c>
      <x:c r="AW48" s="35" t="n">
        <x:f>--AND(AW$3&gt;=MAX($B$39,$B$38),AW$3&lt;EDATE($B$39,MAX(1,'Вводные'!$K$53)),AND($B$35="Да",IFERROR(INDEX('Вводные'!$B$88:$B$91,$B$36),"Нет")="Да"))</x:f>
      </x:c>
      <x:c r="AX48" s="35" t="n">
        <x:f>--AND(AX$3&gt;=MAX($B$39,$B$38),AX$3&lt;EDATE($B$39,MAX(1,'Вводные'!$K$53)),AND($B$35="Да",IFERROR(INDEX('Вводные'!$B$88:$B$91,$B$36),"Нет")="Да"))</x:f>
      </x:c>
      <x:c r="AY48" s="35" t="n">
        <x:f>--AND(AY$3&gt;=MAX($B$39,$B$38),AY$3&lt;EDATE($B$39,MAX(1,'Вводные'!$K$53)),AND($B$35="Да",IFERROR(INDEX('Вводные'!$B$88:$B$91,$B$36),"Нет")="Да"))</x:f>
      </x:c>
      <x:c r="AZ48" s="35" t="n">
        <x:f>--AND(AZ$3&gt;=MAX($B$39,$B$38),AZ$3&lt;EDATE($B$39,MAX(1,'Вводные'!$K$53)),AND($B$35="Да",IFERROR(INDEX('Вводные'!$B$88:$B$91,$B$36),"Нет")="Да"))</x:f>
      </x:c>
      <x:c r="BA48" s="35" t="n">
        <x:f>--AND(BA$3&gt;=MAX($B$39,$B$38),BA$3&lt;EDATE($B$39,MAX(1,'Вводные'!$K$53)),AND($B$35="Да",IFERROR(INDEX('Вводные'!$B$88:$B$91,$B$36),"Нет")="Да"))</x:f>
      </x:c>
      <x:c r="BB48" s="35" t="n">
        <x:f>--AND(BB$3&gt;=MAX($B$39,$B$38),BB$3&lt;EDATE($B$39,MAX(1,'Вводные'!$K$53)),AND($B$35="Да",IFERROR(INDEX('Вводные'!$B$88:$B$91,$B$36),"Нет")="Да"))</x:f>
      </x:c>
      <x:c r="BC48" s="35" t="n">
        <x:f>--AND(BC$3&gt;=MAX($B$39,$B$38),BC$3&lt;EDATE($B$39,MAX(1,'Вводные'!$K$53)),AND($B$35="Да",IFERROR(INDEX('Вводные'!$B$88:$B$91,$B$36),"Нет")="Да"))</x:f>
      </x:c>
      <x:c r="BD48" s="35" t="n">
        <x:f>--AND(BD$3&gt;=MAX($B$39,$B$38),BD$3&lt;EDATE($B$39,MAX(1,'Вводные'!$K$53)),AND($B$35="Да",IFERROR(INDEX('Вводные'!$B$88:$B$91,$B$36),"Нет")="Да"))</x:f>
      </x:c>
      <x:c r="BE48" s="35" t="n">
        <x:f>--AND(BE$3&gt;=MAX($B$39,$B$38),BE$3&lt;EDATE($B$39,MAX(1,'Вводные'!$K$53)),AND($B$35="Да",IFERROR(INDEX('Вводные'!$B$88:$B$91,$B$36),"Нет")="Да"))</x:f>
      </x:c>
      <x:c r="BF48" s="35" t="n">
        <x:f>--AND(BF$3&gt;=MAX($B$39,$B$38),BF$3&lt;EDATE($B$39,MAX(1,'Вводные'!$K$53)),AND($B$35="Да",IFERROR(INDEX('Вводные'!$B$88:$B$91,$B$36),"Нет")="Да"))</x:f>
      </x:c>
      <x:c r="BG48" s="35" t="n">
        <x:f>--AND(BG$3&gt;=MAX($B$39,$B$38),BG$3&lt;EDATE($B$39,MAX(1,'Вводные'!$K$53)),AND($B$35="Да",IFERROR(INDEX('Вводные'!$B$88:$B$91,$B$36),"Нет")="Да"))</x:f>
      </x:c>
      <x:c r="BH48" s="35" t="n">
        <x:f>--AND(BH$3&gt;=MAX($B$39,$B$38),BH$3&lt;EDATE($B$39,MAX(1,'Вводные'!$K$53)),AND($B$35="Да",IFERROR(INDEX('Вводные'!$B$88:$B$91,$B$36),"Нет")="Да"))</x:f>
      </x:c>
      <x:c r="BI48" s="35" t="n">
        <x:f>--AND(BI$3&gt;=MAX($B$39,$B$38),BI$3&lt;EDATE($B$39,MAX(1,'Вводные'!$K$53)),AND($B$35="Да",IFERROR(INDEX('Вводные'!$B$88:$B$91,$B$36),"Нет")="Да"))</x:f>
      </x:c>
      <x:c r="BJ48" s="35" t="n">
        <x:f>--AND(BJ$3&gt;=MAX($B$39,$B$38),BJ$3&lt;EDATE($B$39,MAX(1,'Вводные'!$K$53)),AND($B$35="Да",IFERROR(INDEX('Вводные'!$B$88:$B$91,$B$36),"Нет")="Да"))</x:f>
      </x:c>
      <x:c r="BK48" s="35" t="n">
        <x:f>--AND(BK$3&gt;=MAX($B$39,$B$38),BK$3&lt;EDATE($B$39,MAX(1,'Вводные'!$K$53)),AND($B$35="Да",IFERROR(INDEX('Вводные'!$B$88:$B$91,$B$36),"Нет")="Да"))</x:f>
      </x:c>
      <x:c r="BL48" s="35" t="n">
        <x:f>--AND(BL$3&gt;=MAX($B$39,$B$38),BL$3&lt;EDATE($B$39,MAX(1,'Вводные'!$K$53)),AND($B$35="Да",IFERROR(INDEX('Вводные'!$B$88:$B$91,$B$36),"Нет")="Да"))</x:f>
      </x:c>
      <x:c r="BM48" s="35" t="n">
        <x:f>--AND(BM$3&gt;=MAX($B$39,$B$38),BM$3&lt;EDATE($B$39,MAX(1,'Вводные'!$K$53)),AND($B$35="Да",IFERROR(INDEX('Вводные'!$B$88:$B$91,$B$36),"Нет")="Да"))</x:f>
      </x:c>
      <x:c r="BN48" s="35" t="n">
        <x:f>--AND(BN$3&gt;=MAX($B$39,$B$38),BN$3&lt;EDATE($B$39,MAX(1,'Вводные'!$K$53)),AND($B$35="Да",IFERROR(INDEX('Вводные'!$B$88:$B$91,$B$36),"Нет")="Да"))</x:f>
      </x:c>
      <x:c r="BO48" s="35" t="n">
        <x:f>--AND(BO$3&gt;=MAX($B$39,$B$38),BO$3&lt;EDATE($B$39,MAX(1,'Вводные'!$K$53)),AND($B$35="Да",IFERROR(INDEX('Вводные'!$B$88:$B$91,$B$36),"Нет")="Да"))</x:f>
      </x:c>
      <x:c r="BP48" s="35" t="n">
        <x:f>--AND(BP$3&gt;=MAX($B$39,$B$38),BP$3&lt;EDATE($B$39,MAX(1,'Вводные'!$K$53)),AND($B$35="Да",IFERROR(INDEX('Вводные'!$B$88:$B$91,$B$36),"Нет")="Да"))</x:f>
      </x:c>
      <x:c r="BQ48" s="35" t="n">
        <x:f>--AND(BQ$3&gt;=MAX($B$39,$B$38),BQ$3&lt;EDATE($B$39,MAX(1,'Вводные'!$K$53)),AND($B$35="Да",IFERROR(INDEX('Вводные'!$B$88:$B$91,$B$36),"Нет")="Да"))</x:f>
      </x:c>
      <x:c r="BR48" s="35" t="n">
        <x:f>--AND(BR$3&gt;=MAX($B$39,$B$38),BR$3&lt;EDATE($B$39,MAX(1,'Вводные'!$K$53)),AND($B$35="Да",IFERROR(INDEX('Вводные'!$B$88:$B$91,$B$36),"Нет")="Да"))</x:f>
      </x:c>
      <x:c r="BS48" s="35" t="n">
        <x:f>--AND(BS$3&gt;=MAX($B$39,$B$38),BS$3&lt;EDATE($B$39,MAX(1,'Вводные'!$K$53)),AND($B$35="Да",IFERROR(INDEX('Вводные'!$B$88:$B$91,$B$36),"Нет")="Да"))</x:f>
      </x:c>
      <x:c r="BT48" s="35" t="n">
        <x:f>--AND(BT$3&gt;=MAX($B$39,$B$38),BT$3&lt;EDATE($B$39,MAX(1,'Вводные'!$K$53)),AND($B$35="Да",IFERROR(INDEX('Вводные'!$B$88:$B$91,$B$36),"Нет")="Да"))</x:f>
      </x:c>
      <x:c r="BU48" s="35" t="n">
        <x:f>--AND(BU$3&gt;=MAX($B$39,$B$38),BU$3&lt;EDATE($B$39,MAX(1,'Вводные'!$K$53)),AND($B$35="Да",IFERROR(INDEX('Вводные'!$B$88:$B$91,$B$36),"Нет")="Да"))</x:f>
      </x:c>
      <x:c r="BV48" s="35" t="n">
        <x:f>--AND(BV$3&gt;=MAX($B$39,$B$38),BV$3&lt;EDATE($B$39,MAX(1,'Вводные'!$K$53)),AND($B$35="Да",IFERROR(INDEX('Вводные'!$B$88:$B$91,$B$36),"Нет")="Да"))</x:f>
      </x:c>
      <x:c r="BW48" s="35" t="n">
        <x:f>--AND(BW$3&gt;=MAX($B$39,$B$38),BW$3&lt;EDATE($B$39,MAX(1,'Вводные'!$K$53)),AND($B$35="Да",IFERROR(INDEX('Вводные'!$B$88:$B$91,$B$36),"Нет")="Да"))</x:f>
      </x:c>
      <x:c r="BX48" s="35" t="n">
        <x:f>--AND(BX$3&gt;=MAX($B$39,$B$38),BX$3&lt;EDATE($B$39,MAX(1,'Вводные'!$K$53)),AND($B$35="Да",IFERROR(INDEX('Вводные'!$B$88:$B$91,$B$36),"Нет")="Да"))</x:f>
      </x:c>
      <x:c r="BY48" s="35" t="n">
        <x:f>--AND(BY$3&gt;=MAX($B$39,$B$38),BY$3&lt;EDATE($B$39,MAX(1,'Вводные'!$K$53)),AND($B$35="Да",IFERROR(INDEX('Вводные'!$B$88:$B$91,$B$36),"Нет")="Да"))</x:f>
      </x:c>
      <x:c r="BZ48" s="35" t="n">
        <x:f>--AND(BZ$3&gt;=MAX($B$39,$B$38),BZ$3&lt;EDATE($B$39,MAX(1,'Вводные'!$K$53)),AND($B$35="Да",IFERROR(INDEX('Вводные'!$B$88:$B$91,$B$36),"Нет")="Да"))</x:f>
      </x:c>
      <x:c r="CA48" s="35" t="n">
        <x:f>--AND(CA$3&gt;=MAX($B$39,$B$38),CA$3&lt;EDATE($B$39,MAX(1,'Вводные'!$K$53)),AND($B$35="Да",IFERROR(INDEX('Вводные'!$B$88:$B$91,$B$36),"Нет")="Да"))</x:f>
      </x:c>
      <x:c r="CB48" s="35" t="n">
        <x:f>--AND(CB$3&gt;=MAX($B$39,$B$38),CB$3&lt;EDATE($B$39,MAX(1,'Вводные'!$K$53)),AND($B$35="Да",IFERROR(INDEX('Вводные'!$B$88:$B$91,$B$36),"Нет")="Да"))</x:f>
      </x:c>
      <x:c r="CC48" s="35" t="n">
        <x:f>--AND(CC$3&gt;=MAX($B$39,$B$38),CC$3&lt;EDATE($B$39,MAX(1,'Вводные'!$K$53)),AND($B$35="Да",IFERROR(INDEX('Вводные'!$B$88:$B$91,$B$36),"Нет")="Да"))</x:f>
      </x:c>
      <x:c r="CD48" s="35" t="n">
        <x:f>--AND(CD$3&gt;=MAX($B$39,$B$38),CD$3&lt;EDATE($B$39,MAX(1,'Вводные'!$K$53)),AND($B$35="Да",IFERROR(INDEX('Вводные'!$B$88:$B$91,$B$36),"Нет")="Да"))</x:f>
      </x:c>
      <x:c r="CE48" s="35" t="n">
        <x:f>--AND(CE$3&gt;=MAX($B$39,$B$38),CE$3&lt;EDATE($B$39,MAX(1,'Вводные'!$K$53)),AND($B$35="Да",IFERROR(INDEX('Вводные'!$B$88:$B$91,$B$36),"Нет")="Да"))</x:f>
      </x:c>
      <x:c r="CF48" s="35" t="n">
        <x:f>--AND(CF$3&gt;=MAX($B$39,$B$38),CF$3&lt;EDATE($B$39,MAX(1,'Вводные'!$K$53)),AND($B$35="Да",IFERROR(INDEX('Вводные'!$B$88:$B$91,$B$36),"Нет")="Да"))</x:f>
      </x:c>
      <x:c r="CG48" s="35" t="n">
        <x:f>--AND(CG$3&gt;=MAX($B$39,$B$38),CG$3&lt;EDATE($B$39,MAX(1,'Вводные'!$K$53)),AND($B$35="Да",IFERROR(INDEX('Вводные'!$B$88:$B$91,$B$36),"Нет")="Да"))</x:f>
      </x:c>
      <x:c r="CH48" s="35" t="n">
        <x:f>--AND(CH$3&gt;=MAX($B$39,$B$38),CH$3&lt;EDATE($B$39,MAX(1,'Вводные'!$K$53)),AND($B$35="Да",IFERROR(INDEX('Вводные'!$B$88:$B$91,$B$36),"Нет")="Да"))</x:f>
      </x:c>
      <x:c r="CI48" s="35" t="n">
        <x:f>--AND(CI$3&gt;=MAX($B$39,$B$38),CI$3&lt;EDATE($B$39,MAX(1,'Вводные'!$K$53)),AND($B$35="Да",IFERROR(INDEX('Вводные'!$B$88:$B$91,$B$36),"Нет")="Да"))</x:f>
      </x:c>
      <x:c r="CJ48" s="35" t="n">
        <x:f>--AND(CJ$3&gt;=MAX($B$39,$B$38),CJ$3&lt;EDATE($B$39,MAX(1,'Вводные'!$K$53)),AND($B$35="Да",IFERROR(INDEX('Вводные'!$B$88:$B$91,$B$36),"Нет")="Да"))</x:f>
      </x:c>
      <x:c r="CK48" s="35" t="n">
        <x:f>--AND(CK$3&gt;=MAX($B$39,$B$38),CK$3&lt;EDATE($B$39,MAX(1,'Вводные'!$K$53)),AND($B$35="Да",IFERROR(INDEX('Вводные'!$B$88:$B$91,$B$36),"Нет")="Да"))</x:f>
      </x:c>
      <x:c r="CL48" s="35" t="n">
        <x:f>--AND(CL$3&gt;=MAX($B$39,$B$38),CL$3&lt;EDATE($B$39,MAX(1,'Вводные'!$K$53)),AND($B$35="Да",IFERROR(INDEX('Вводные'!$B$88:$B$91,$B$36),"Нет")="Да"))</x:f>
      </x:c>
      <x:c r="CM48" s="35" t="n">
        <x:f>--AND(CM$3&gt;=MAX($B$39,$B$38),CM$3&lt;EDATE($B$39,MAX(1,'Вводные'!$K$53)),AND($B$35="Да",IFERROR(INDEX('Вводные'!$B$88:$B$91,$B$36),"Нет")="Да"))</x:f>
      </x:c>
      <x:c r="CN48" s="35" t="n">
        <x:f>--AND(CN$3&gt;=MAX($B$39,$B$38),CN$3&lt;EDATE($B$39,MAX(1,'Вводные'!$K$53)),AND($B$35="Да",IFERROR(INDEX('Вводные'!$B$88:$B$91,$B$36),"Нет")="Да"))</x:f>
      </x:c>
      <x:c r="CO48" s="35" t="n">
        <x:f>--AND(CO$3&gt;=MAX($B$39,$B$38),CO$3&lt;EDATE($B$39,MAX(1,'Вводные'!$K$53)),AND($B$35="Да",IFERROR(INDEX('Вводные'!$B$88:$B$91,$B$36),"Нет")="Да"))</x:f>
      </x:c>
      <x:c r="CP48" s="35" t="n">
        <x:f>--AND(CP$3&gt;=MAX($B$39,$B$38),CP$3&lt;EDATE($B$39,MAX(1,'Вводные'!$K$53)),AND($B$35="Да",IFERROR(INDEX('Вводные'!$B$88:$B$91,$B$36),"Нет")="Да"))</x:f>
      </x:c>
      <x:c r="CQ48" s="35" t="n">
        <x:f>--AND(CQ$3&gt;=MAX($B$39,$B$38),CQ$3&lt;EDATE($B$39,MAX(1,'Вводные'!$K$53)),AND($B$35="Да",IFERROR(INDEX('Вводные'!$B$88:$B$91,$B$36),"Нет")="Да"))</x:f>
      </x:c>
      <x:c r="CR48" s="35" t="n">
        <x:f>--AND(CR$3&gt;=MAX($B$39,$B$38),CR$3&lt;EDATE($B$39,MAX(1,'Вводные'!$K$53)),AND($B$35="Да",IFERROR(INDEX('Вводные'!$B$88:$B$91,$B$36),"Нет")="Да"))</x:f>
      </x:c>
      <x:c r="CS48" s="35" t="n">
        <x:f>--AND(CS$3&gt;=MAX($B$39,$B$38),CS$3&lt;EDATE($B$39,MAX(1,'Вводные'!$K$53)),AND($B$35="Да",IFERROR(INDEX('Вводные'!$B$88:$B$91,$B$36),"Нет")="Да"))</x:f>
      </x:c>
      <x:c r="CT48" s="35" t="n">
        <x:f>--AND(CT$3&gt;=MAX($B$39,$B$38),CT$3&lt;EDATE($B$39,MAX(1,'Вводные'!$K$53)),AND($B$35="Да",IFERROR(INDEX('Вводные'!$B$88:$B$91,$B$36),"Нет")="Да"))</x:f>
      </x:c>
      <x:c r="CU48" s="35" t="n">
        <x:f>--AND(CU$3&gt;=MAX($B$39,$B$38),CU$3&lt;EDATE($B$39,MAX(1,'Вводные'!$K$53)),AND($B$35="Да",IFERROR(INDEX('Вводные'!$B$88:$B$91,$B$36),"Нет")="Да"))</x:f>
      </x:c>
      <x:c r="CV48" s="35" t="n">
        <x:f>--AND(CV$3&gt;=MAX($B$39,$B$38),CV$3&lt;EDATE($B$39,MAX(1,'Вводные'!$K$53)),AND($B$35="Да",IFERROR(INDEX('Вводные'!$B$88:$B$91,$B$36),"Нет")="Да"))</x:f>
      </x:c>
      <x:c r="CW48" s="35" t="n">
        <x:f>--AND(CW$3&gt;=MAX($B$39,$B$38),CW$3&lt;EDATE($B$39,MAX(1,'Вводные'!$K$53)),AND($B$35="Да",IFERROR(INDEX('Вводные'!$B$88:$B$91,$B$36),"Нет")="Да"))</x:f>
      </x:c>
      <x:c r="CX48" s="35" t="n">
        <x:f>--AND(CX$3&gt;=MAX($B$39,$B$38),CX$3&lt;EDATE($B$39,MAX(1,'Вводные'!$K$53)),AND($B$35="Да",IFERROR(INDEX('Вводные'!$B$88:$B$91,$B$36),"Нет")="Да"))</x:f>
      </x:c>
      <x:c r="CY48" s="35" t="n">
        <x:f>--AND(CY$3&gt;=MAX($B$39,$B$38),CY$3&lt;EDATE($B$39,MAX(1,'Вводные'!$K$53)),AND($B$35="Да",IFERROR(INDEX('Вводные'!$B$88:$B$91,$B$36),"Нет")="Да"))</x:f>
      </x:c>
      <x:c r="CZ48" s="35" t="n">
        <x:f>--AND(CZ$3&gt;=MAX($B$39,$B$38),CZ$3&lt;EDATE($B$39,MAX(1,'Вводные'!$K$53)),AND($B$35="Да",IFERROR(INDEX('Вводные'!$B$88:$B$91,$B$36),"Нет")="Да"))</x:f>
      </x:c>
      <x:c r="DA48" s="35" t="n">
        <x:f>--AND(DA$3&gt;=MAX($B$39,$B$38),DA$3&lt;EDATE($B$39,MAX(1,'Вводные'!$K$53)),AND($B$35="Да",IFERROR(INDEX('Вводные'!$B$88:$B$91,$B$36),"Нет")="Да"))</x:f>
      </x:c>
      <x:c r="DB48" s="35" t="n">
        <x:f>--AND(DB$3&gt;=MAX($B$39,$B$38),DB$3&lt;EDATE($B$39,MAX(1,'Вводные'!$K$53)),AND($B$35="Да",IFERROR(INDEX('Вводные'!$B$88:$B$91,$B$36),"Нет")="Да"))</x:f>
      </x:c>
      <x:c r="DC48" s="35" t="n">
        <x:f>--AND(DC$3&gt;=MAX($B$39,$B$38),DC$3&lt;EDATE($B$39,MAX(1,'Вводные'!$K$53)),AND($B$35="Да",IFERROR(INDEX('Вводные'!$B$88:$B$91,$B$36),"Нет")="Да"))</x:f>
      </x:c>
      <x:c r="DD48" s="35" t="n">
        <x:f>--AND(DD$3&gt;=MAX($B$39,$B$38),DD$3&lt;EDATE($B$39,MAX(1,'Вводные'!$K$53)),AND($B$35="Да",IFERROR(INDEX('Вводные'!$B$88:$B$91,$B$36),"Нет")="Да"))</x:f>
      </x:c>
      <x:c r="DE48" s="35" t="n">
        <x:f>--AND(DE$3&gt;=MAX($B$39,$B$38),DE$3&lt;EDATE($B$39,MAX(1,'Вводные'!$K$53)),AND($B$35="Да",IFERROR(INDEX('Вводные'!$B$88:$B$91,$B$36),"Нет")="Да"))</x:f>
      </x:c>
      <x:c r="DF48" s="35" t="n">
        <x:f>--AND(DF$3&gt;=MAX($B$39,$B$38),DF$3&lt;EDATE($B$39,MAX(1,'Вводные'!$K$53)),AND($B$35="Да",IFERROR(INDEX('Вводные'!$B$88:$B$91,$B$36),"Нет")="Да"))</x:f>
      </x:c>
      <x:c r="DG48" s="35" t="n">
        <x:f>--AND(DG$3&gt;=MAX($B$39,$B$38),DG$3&lt;EDATE($B$39,MAX(1,'Вводные'!$K$53)),AND($B$35="Да",IFERROR(INDEX('Вводные'!$B$88:$B$91,$B$36),"Нет")="Да"))</x:f>
      </x:c>
      <x:c r="DH48" s="35" t="n">
        <x:f>--AND(DH$3&gt;=MAX($B$39,$B$38),DH$3&lt;EDATE($B$39,MAX(1,'Вводные'!$K$53)),AND($B$35="Да",IFERROR(INDEX('Вводные'!$B$88:$B$91,$B$36),"Нет")="Да"))</x:f>
      </x:c>
      <x:c r="DI48" s="35" t="n">
        <x:f>--AND(DI$3&gt;=MAX($B$39,$B$38),DI$3&lt;EDATE($B$39,MAX(1,'Вводные'!$K$53)),AND($B$35="Да",IFERROR(INDEX('Вводные'!$B$88:$B$91,$B$36),"Нет")="Да"))</x:f>
      </x:c>
      <x:c r="DJ48" s="35" t="n">
        <x:f>--AND(DJ$3&gt;=MAX($B$39,$B$38),DJ$3&lt;EDATE($B$39,MAX(1,'Вводные'!$K$53)),AND($B$35="Да",IFERROR(INDEX('Вводные'!$B$88:$B$91,$B$36),"Нет")="Да"))</x:f>
      </x:c>
      <x:c r="DK48" s="35" t="n">
        <x:f>--AND(DK$3&gt;=MAX($B$39,$B$38),DK$3&lt;EDATE($B$39,MAX(1,'Вводные'!$K$53)),AND($B$35="Да",IFERROR(INDEX('Вводные'!$B$88:$B$91,$B$36),"Нет")="Да"))</x:f>
      </x:c>
      <x:c r="DL48" s="35" t="n">
        <x:f>--AND(DL$3&gt;=MAX($B$39,$B$38),DL$3&lt;EDATE($B$39,MAX(1,'Вводные'!$K$53)),AND($B$35="Да",IFERROR(INDEX('Вводные'!$B$88:$B$91,$B$36),"Нет")="Да"))</x:f>
      </x:c>
      <x:c r="DM48" s="35" t="n">
        <x:f>--AND(DM$3&gt;=MAX($B$39,$B$38),DM$3&lt;EDATE($B$39,MAX(1,'Вводные'!$K$53)),AND($B$35="Да",IFERROR(INDEX('Вводные'!$B$88:$B$91,$B$36),"Нет")="Да"))</x:f>
      </x:c>
      <x:c r="DN48" s="35" t="n">
        <x:f>--AND(DN$3&gt;=MAX($B$39,$B$38),DN$3&lt;EDATE($B$39,MAX(1,'Вводные'!$K$53)),AND($B$35="Да",IFERROR(INDEX('Вводные'!$B$88:$B$91,$B$36),"Нет")="Да"))</x:f>
      </x:c>
      <x:c r="DO48" s="35" t="n">
        <x:f>--AND(DO$3&gt;=MAX($B$39,$B$38),DO$3&lt;EDATE($B$39,MAX(1,'Вводные'!$K$53)),AND($B$35="Да",IFERROR(INDEX('Вводные'!$B$88:$B$91,$B$36),"Нет")="Да"))</x:f>
      </x:c>
      <x:c r="DP48" s="35" t="n">
        <x:f>--AND(DP$3&gt;=MAX($B$39,$B$38),DP$3&lt;EDATE($B$39,MAX(1,'Вводные'!$K$53)),AND($B$35="Да",IFERROR(INDEX('Вводные'!$B$88:$B$91,$B$36),"Нет")="Да"))</x:f>
      </x:c>
      <x:c r="DQ48" s="35" t="n">
        <x:f>--AND(DQ$3&gt;=MAX($B$39,$B$38),DQ$3&lt;EDATE($B$39,MAX(1,'Вводные'!$K$53)),AND($B$35="Да",IFERROR(INDEX('Вводные'!$B$88:$B$91,$B$36),"Нет")="Да"))</x:f>
      </x:c>
      <x:c r="DR48" s="35" t="n">
        <x:f>--AND(DR$3&gt;=MAX($B$39,$B$38),DR$3&lt;EDATE($B$39,MAX(1,'Вводные'!$K$53)),AND($B$35="Да",IFERROR(INDEX('Вводные'!$B$88:$B$91,$B$36),"Нет")="Да"))</x:f>
      </x:c>
      <x:c r="DS48" s="35" t="n">
        <x:f>--AND(DS$3&gt;=MAX($B$39,$B$38),DS$3&lt;EDATE($B$39,MAX(1,'Вводные'!$K$53)),AND($B$35="Да",IFERROR(INDEX('Вводные'!$B$88:$B$91,$B$36),"Нет")="Да"))</x:f>
      </x:c>
    </x:row>
    <x:row r="49">
      <x:c r="A49" t="str">
        <x:v>Нормированный вес после РВЭ</x:v>
      </x:c>
      <x:c r="B49" s="35" t="n">
        <x:f>SUM(D49:DS49)</x:f>
      </x:c>
      <x:c r="C49" t="str">
        <x:v>%</x:v>
      </x:c>
      <x:c r="D49" s="35" t="n">
        <x:f>IFERROR(D46*D48/SUMPRODUCT($D46:$DS46,$D48:$DS48),0)</x:f>
      </x:c>
      <x:c r="E49" s="35" t="n">
        <x:f>IFERROR(E46*E48/SUMPRODUCT($D46:$DS46,$D48:$DS48),0)</x:f>
      </x:c>
      <x:c r="F49" s="35" t="n">
        <x:f>IFERROR(F46*F48/SUMPRODUCT($D46:$DS46,$D48:$DS48),0)</x:f>
      </x:c>
      <x:c r="G49" s="35" t="n">
        <x:f>IFERROR(G46*G48/SUMPRODUCT($D46:$DS46,$D48:$DS48),0)</x:f>
      </x:c>
      <x:c r="H49" s="35" t="n">
        <x:f>IFERROR(H46*H48/SUMPRODUCT($D46:$DS46,$D48:$DS48),0)</x:f>
      </x:c>
      <x:c r="I49" s="35" t="n">
        <x:f>IFERROR(I46*I48/SUMPRODUCT($D46:$DS46,$D48:$DS48),0)</x:f>
      </x:c>
      <x:c r="J49" s="35" t="n">
        <x:f>IFERROR(J46*J48/SUMPRODUCT($D46:$DS46,$D48:$DS48),0)</x:f>
      </x:c>
      <x:c r="K49" s="35" t="n">
        <x:f>IFERROR(K46*K48/SUMPRODUCT($D46:$DS46,$D48:$DS48),0)</x:f>
      </x:c>
      <x:c r="L49" s="35" t="n">
        <x:f>IFERROR(L46*L48/SUMPRODUCT($D46:$DS46,$D48:$DS48),0)</x:f>
      </x:c>
      <x:c r="M49" s="35" t="n">
        <x:f>IFERROR(M46*M48/SUMPRODUCT($D46:$DS46,$D48:$DS48),0)</x:f>
      </x:c>
      <x:c r="N49" s="35" t="n">
        <x:f>IFERROR(N46*N48/SUMPRODUCT($D46:$DS46,$D48:$DS48),0)</x:f>
      </x:c>
      <x:c r="O49" s="35" t="n">
        <x:f>IFERROR(O46*O48/SUMPRODUCT($D46:$DS46,$D48:$DS48),0)</x:f>
      </x:c>
      <x:c r="P49" s="35" t="n">
        <x:f>IFERROR(P46*P48/SUMPRODUCT($D46:$DS46,$D48:$DS48),0)</x:f>
      </x:c>
      <x:c r="Q49" s="35" t="n">
        <x:f>IFERROR(Q46*Q48/SUMPRODUCT($D46:$DS46,$D48:$DS48),0)</x:f>
      </x:c>
      <x:c r="R49" s="35" t="n">
        <x:f>IFERROR(R46*R48/SUMPRODUCT($D46:$DS46,$D48:$DS48),0)</x:f>
      </x:c>
      <x:c r="S49" s="35" t="n">
        <x:f>IFERROR(S46*S48/SUMPRODUCT($D46:$DS46,$D48:$DS48),0)</x:f>
      </x:c>
      <x:c r="T49" s="35" t="n">
        <x:f>IFERROR(T46*T48/SUMPRODUCT($D46:$DS46,$D48:$DS48),0)</x:f>
      </x:c>
      <x:c r="U49" s="35" t="n">
        <x:f>IFERROR(U46*U48/SUMPRODUCT($D46:$DS46,$D48:$DS48),0)</x:f>
      </x:c>
      <x:c r="V49" s="35" t="n">
        <x:f>IFERROR(V46*V48/SUMPRODUCT($D46:$DS46,$D48:$DS48),0)</x:f>
      </x:c>
      <x:c r="W49" s="35" t="n">
        <x:f>IFERROR(W46*W48/SUMPRODUCT($D46:$DS46,$D48:$DS48),0)</x:f>
      </x:c>
      <x:c r="X49" s="35" t="n">
        <x:f>IFERROR(X46*X48/SUMPRODUCT($D46:$DS46,$D48:$DS48),0)</x:f>
      </x:c>
      <x:c r="Y49" s="35" t="n">
        <x:f>IFERROR(Y46*Y48/SUMPRODUCT($D46:$DS46,$D48:$DS48),0)</x:f>
      </x:c>
      <x:c r="Z49" s="35" t="n">
        <x:f>IFERROR(Z46*Z48/SUMPRODUCT($D46:$DS46,$D48:$DS48),0)</x:f>
      </x:c>
      <x:c r="AA49" s="35" t="n">
        <x:f>IFERROR(AA46*AA48/SUMPRODUCT($D46:$DS46,$D48:$DS48),0)</x:f>
      </x:c>
      <x:c r="AB49" s="35" t="n">
        <x:f>IFERROR(AB46*AB48/SUMPRODUCT($D46:$DS46,$D48:$DS48),0)</x:f>
      </x:c>
      <x:c r="AC49" s="35" t="n">
        <x:f>IFERROR(AC46*AC48/SUMPRODUCT($D46:$DS46,$D48:$DS48),0)</x:f>
      </x:c>
      <x:c r="AD49" s="35" t="n">
        <x:f>IFERROR(AD46*AD48/SUMPRODUCT($D46:$DS46,$D48:$DS48),0)</x:f>
      </x:c>
      <x:c r="AE49" s="35" t="n">
        <x:f>IFERROR(AE46*AE48/SUMPRODUCT($D46:$DS46,$D48:$DS48),0)</x:f>
      </x:c>
      <x:c r="AF49" s="35" t="n">
        <x:f>IFERROR(AF46*AF48/SUMPRODUCT($D46:$DS46,$D48:$DS48),0)</x:f>
      </x:c>
      <x:c r="AG49" s="35" t="n">
        <x:f>IFERROR(AG46*AG48/SUMPRODUCT($D46:$DS46,$D48:$DS48),0)</x:f>
      </x:c>
      <x:c r="AH49" s="35" t="n">
        <x:f>IFERROR(AH46*AH48/SUMPRODUCT($D46:$DS46,$D48:$DS48),0)</x:f>
      </x:c>
      <x:c r="AI49" s="35" t="n">
        <x:f>IFERROR(AI46*AI48/SUMPRODUCT($D46:$DS46,$D48:$DS48),0)</x:f>
      </x:c>
      <x:c r="AJ49" s="35" t="n">
        <x:f>IFERROR(AJ46*AJ48/SUMPRODUCT($D46:$DS46,$D48:$DS48),0)</x:f>
      </x:c>
      <x:c r="AK49" s="35" t="n">
        <x:f>IFERROR(AK46*AK48/SUMPRODUCT($D46:$DS46,$D48:$DS48),0)</x:f>
      </x:c>
      <x:c r="AL49" s="35" t="n">
        <x:f>IFERROR(AL46*AL48/SUMPRODUCT($D46:$DS46,$D48:$DS48),0)</x:f>
      </x:c>
      <x:c r="AM49" s="35" t="n">
        <x:f>IFERROR(AM46*AM48/SUMPRODUCT($D46:$DS46,$D48:$DS48),0)</x:f>
      </x:c>
      <x:c r="AN49" s="35" t="n">
        <x:f>IFERROR(AN46*AN48/SUMPRODUCT($D46:$DS46,$D48:$DS48),0)</x:f>
      </x:c>
      <x:c r="AO49" s="35" t="n">
        <x:f>IFERROR(AO46*AO48/SUMPRODUCT($D46:$DS46,$D48:$DS48),0)</x:f>
      </x:c>
      <x:c r="AP49" s="35" t="n">
        <x:f>IFERROR(AP46*AP48/SUMPRODUCT($D46:$DS46,$D48:$DS48),0)</x:f>
      </x:c>
      <x:c r="AQ49" s="35" t="n">
        <x:f>IFERROR(AQ46*AQ48/SUMPRODUCT($D46:$DS46,$D48:$DS48),0)</x:f>
      </x:c>
      <x:c r="AR49" s="35" t="n">
        <x:f>IFERROR(AR46*AR48/SUMPRODUCT($D46:$DS46,$D48:$DS48),0)</x:f>
      </x:c>
      <x:c r="AS49" s="35" t="n">
        <x:f>IFERROR(AS46*AS48/SUMPRODUCT($D46:$DS46,$D48:$DS48),0)</x:f>
      </x:c>
      <x:c r="AT49" s="35" t="n">
        <x:f>IFERROR(AT46*AT48/SUMPRODUCT($D46:$DS46,$D48:$DS48),0)</x:f>
      </x:c>
      <x:c r="AU49" s="35" t="n">
        <x:f>IFERROR(AU46*AU48/SUMPRODUCT($D46:$DS46,$D48:$DS48),0)</x:f>
      </x:c>
      <x:c r="AV49" s="35" t="n">
        <x:f>IFERROR(AV46*AV48/SUMPRODUCT($D46:$DS46,$D48:$DS48),0)</x:f>
      </x:c>
      <x:c r="AW49" s="35" t="n">
        <x:f>IFERROR(AW46*AW48/SUMPRODUCT($D46:$DS46,$D48:$DS48),0)</x:f>
      </x:c>
      <x:c r="AX49" s="35" t="n">
        <x:f>IFERROR(AX46*AX48/SUMPRODUCT($D46:$DS46,$D48:$DS48),0)</x:f>
      </x:c>
      <x:c r="AY49" s="35" t="n">
        <x:f>IFERROR(AY46*AY48/SUMPRODUCT($D46:$DS46,$D48:$DS48),0)</x:f>
      </x:c>
      <x:c r="AZ49" s="35" t="n">
        <x:f>IFERROR(AZ46*AZ48/SUMPRODUCT($D46:$DS46,$D48:$DS48),0)</x:f>
      </x:c>
      <x:c r="BA49" s="35" t="n">
        <x:f>IFERROR(BA46*BA48/SUMPRODUCT($D46:$DS46,$D48:$DS48),0)</x:f>
      </x:c>
      <x:c r="BB49" s="35" t="n">
        <x:f>IFERROR(BB46*BB48/SUMPRODUCT($D46:$DS46,$D48:$DS48),0)</x:f>
      </x:c>
      <x:c r="BC49" s="35" t="n">
        <x:f>IFERROR(BC46*BC48/SUMPRODUCT($D46:$DS46,$D48:$DS48),0)</x:f>
      </x:c>
      <x:c r="BD49" s="35" t="n">
        <x:f>IFERROR(BD46*BD48/SUMPRODUCT($D46:$DS46,$D48:$DS48),0)</x:f>
      </x:c>
      <x:c r="BE49" s="35" t="n">
        <x:f>IFERROR(BE46*BE48/SUMPRODUCT($D46:$DS46,$D48:$DS48),0)</x:f>
      </x:c>
      <x:c r="BF49" s="35" t="n">
        <x:f>IFERROR(BF46*BF48/SUMPRODUCT($D46:$DS46,$D48:$DS48),0)</x:f>
      </x:c>
      <x:c r="BG49" s="35" t="n">
        <x:f>IFERROR(BG46*BG48/SUMPRODUCT($D46:$DS46,$D48:$DS48),0)</x:f>
      </x:c>
      <x:c r="BH49" s="35" t="n">
        <x:f>IFERROR(BH46*BH48/SUMPRODUCT($D46:$DS46,$D48:$DS48),0)</x:f>
      </x:c>
      <x:c r="BI49" s="35" t="n">
        <x:f>IFERROR(BI46*BI48/SUMPRODUCT($D46:$DS46,$D48:$DS48),0)</x:f>
      </x:c>
      <x:c r="BJ49" s="35" t="n">
        <x:f>IFERROR(BJ46*BJ48/SUMPRODUCT($D46:$DS46,$D48:$DS48),0)</x:f>
      </x:c>
      <x:c r="BK49" s="35" t="n">
        <x:f>IFERROR(BK46*BK48/SUMPRODUCT($D46:$DS46,$D48:$DS48),0)</x:f>
      </x:c>
      <x:c r="BL49" s="35" t="n">
        <x:f>IFERROR(BL46*BL48/SUMPRODUCT($D46:$DS46,$D48:$DS48),0)</x:f>
      </x:c>
      <x:c r="BM49" s="35" t="n">
        <x:f>IFERROR(BM46*BM48/SUMPRODUCT($D46:$DS46,$D48:$DS48),0)</x:f>
      </x:c>
      <x:c r="BN49" s="35" t="n">
        <x:f>IFERROR(BN46*BN48/SUMPRODUCT($D46:$DS46,$D48:$DS48),0)</x:f>
      </x:c>
      <x:c r="BO49" s="35" t="n">
        <x:f>IFERROR(BO46*BO48/SUMPRODUCT($D46:$DS46,$D48:$DS48),0)</x:f>
      </x:c>
      <x:c r="BP49" s="35" t="n">
        <x:f>IFERROR(BP46*BP48/SUMPRODUCT($D46:$DS46,$D48:$DS48),0)</x:f>
      </x:c>
      <x:c r="BQ49" s="35" t="n">
        <x:f>IFERROR(BQ46*BQ48/SUMPRODUCT($D46:$DS46,$D48:$DS48),0)</x:f>
      </x:c>
      <x:c r="BR49" s="35" t="n">
        <x:f>IFERROR(BR46*BR48/SUMPRODUCT($D46:$DS46,$D48:$DS48),0)</x:f>
      </x:c>
      <x:c r="BS49" s="35" t="n">
        <x:f>IFERROR(BS46*BS48/SUMPRODUCT($D46:$DS46,$D48:$DS48),0)</x:f>
      </x:c>
      <x:c r="BT49" s="35" t="n">
        <x:f>IFERROR(BT46*BT48/SUMPRODUCT($D46:$DS46,$D48:$DS48),0)</x:f>
      </x:c>
      <x:c r="BU49" s="35" t="n">
        <x:f>IFERROR(BU46*BU48/SUMPRODUCT($D46:$DS46,$D48:$DS48),0)</x:f>
      </x:c>
      <x:c r="BV49" s="35" t="n">
        <x:f>IFERROR(BV46*BV48/SUMPRODUCT($D46:$DS46,$D48:$DS48),0)</x:f>
      </x:c>
      <x:c r="BW49" s="35" t="n">
        <x:f>IFERROR(BW46*BW48/SUMPRODUCT($D46:$DS46,$D48:$DS48),0)</x:f>
      </x:c>
      <x:c r="BX49" s="35" t="n">
        <x:f>IFERROR(BX46*BX48/SUMPRODUCT($D46:$DS46,$D48:$DS48),0)</x:f>
      </x:c>
      <x:c r="BY49" s="35" t="n">
        <x:f>IFERROR(BY46*BY48/SUMPRODUCT($D46:$DS46,$D48:$DS48),0)</x:f>
      </x:c>
      <x:c r="BZ49" s="35" t="n">
        <x:f>IFERROR(BZ46*BZ48/SUMPRODUCT($D46:$DS46,$D48:$DS48),0)</x:f>
      </x:c>
      <x:c r="CA49" s="35" t="n">
        <x:f>IFERROR(CA46*CA48/SUMPRODUCT($D46:$DS46,$D48:$DS48),0)</x:f>
      </x:c>
      <x:c r="CB49" s="35" t="n">
        <x:f>IFERROR(CB46*CB48/SUMPRODUCT($D46:$DS46,$D48:$DS48),0)</x:f>
      </x:c>
      <x:c r="CC49" s="35" t="n">
        <x:f>IFERROR(CC46*CC48/SUMPRODUCT($D46:$DS46,$D48:$DS48),0)</x:f>
      </x:c>
      <x:c r="CD49" s="35" t="n">
        <x:f>IFERROR(CD46*CD48/SUMPRODUCT($D46:$DS46,$D48:$DS48),0)</x:f>
      </x:c>
      <x:c r="CE49" s="35" t="n">
        <x:f>IFERROR(CE46*CE48/SUMPRODUCT($D46:$DS46,$D48:$DS48),0)</x:f>
      </x:c>
      <x:c r="CF49" s="35" t="n">
        <x:f>IFERROR(CF46*CF48/SUMPRODUCT($D46:$DS46,$D48:$DS48),0)</x:f>
      </x:c>
      <x:c r="CG49" s="35" t="n">
        <x:f>IFERROR(CG46*CG48/SUMPRODUCT($D46:$DS46,$D48:$DS48),0)</x:f>
      </x:c>
      <x:c r="CH49" s="35" t="n">
        <x:f>IFERROR(CH46*CH48/SUMPRODUCT($D46:$DS46,$D48:$DS48),0)</x:f>
      </x:c>
      <x:c r="CI49" s="35" t="n">
        <x:f>IFERROR(CI46*CI48/SUMPRODUCT($D46:$DS46,$D48:$DS48),0)</x:f>
      </x:c>
      <x:c r="CJ49" s="35" t="n">
        <x:f>IFERROR(CJ46*CJ48/SUMPRODUCT($D46:$DS46,$D48:$DS48),0)</x:f>
      </x:c>
      <x:c r="CK49" s="35" t="n">
        <x:f>IFERROR(CK46*CK48/SUMPRODUCT($D46:$DS46,$D48:$DS48),0)</x:f>
      </x:c>
      <x:c r="CL49" s="35" t="n">
        <x:f>IFERROR(CL46*CL48/SUMPRODUCT($D46:$DS46,$D48:$DS48),0)</x:f>
      </x:c>
      <x:c r="CM49" s="35" t="n">
        <x:f>IFERROR(CM46*CM48/SUMPRODUCT($D46:$DS46,$D48:$DS48),0)</x:f>
      </x:c>
      <x:c r="CN49" s="35" t="n">
        <x:f>IFERROR(CN46*CN48/SUMPRODUCT($D46:$DS46,$D48:$DS48),0)</x:f>
      </x:c>
      <x:c r="CO49" s="35" t="n">
        <x:f>IFERROR(CO46*CO48/SUMPRODUCT($D46:$DS46,$D48:$DS48),0)</x:f>
      </x:c>
      <x:c r="CP49" s="35" t="n">
        <x:f>IFERROR(CP46*CP48/SUMPRODUCT($D46:$DS46,$D48:$DS48),0)</x:f>
      </x:c>
      <x:c r="CQ49" s="35" t="n">
        <x:f>IFERROR(CQ46*CQ48/SUMPRODUCT($D46:$DS46,$D48:$DS48),0)</x:f>
      </x:c>
      <x:c r="CR49" s="35" t="n">
        <x:f>IFERROR(CR46*CR48/SUMPRODUCT($D46:$DS46,$D48:$DS48),0)</x:f>
      </x:c>
      <x:c r="CS49" s="35" t="n">
        <x:f>IFERROR(CS46*CS48/SUMPRODUCT($D46:$DS46,$D48:$DS48),0)</x:f>
      </x:c>
      <x:c r="CT49" s="35" t="n">
        <x:f>IFERROR(CT46*CT48/SUMPRODUCT($D46:$DS46,$D48:$DS48),0)</x:f>
      </x:c>
      <x:c r="CU49" s="35" t="n">
        <x:f>IFERROR(CU46*CU48/SUMPRODUCT($D46:$DS46,$D48:$DS48),0)</x:f>
      </x:c>
      <x:c r="CV49" s="35" t="n">
        <x:f>IFERROR(CV46*CV48/SUMPRODUCT($D46:$DS46,$D48:$DS48),0)</x:f>
      </x:c>
      <x:c r="CW49" s="35" t="n">
        <x:f>IFERROR(CW46*CW48/SUMPRODUCT($D46:$DS46,$D48:$DS48),0)</x:f>
      </x:c>
      <x:c r="CX49" s="35" t="n">
        <x:f>IFERROR(CX46*CX48/SUMPRODUCT($D46:$DS46,$D48:$DS48),0)</x:f>
      </x:c>
      <x:c r="CY49" s="35" t="n">
        <x:f>IFERROR(CY46*CY48/SUMPRODUCT($D46:$DS46,$D48:$DS48),0)</x:f>
      </x:c>
      <x:c r="CZ49" s="35" t="n">
        <x:f>IFERROR(CZ46*CZ48/SUMPRODUCT($D46:$DS46,$D48:$DS48),0)</x:f>
      </x:c>
      <x:c r="DA49" s="35" t="n">
        <x:f>IFERROR(DA46*DA48/SUMPRODUCT($D46:$DS46,$D48:$DS48),0)</x:f>
      </x:c>
      <x:c r="DB49" s="35" t="n">
        <x:f>IFERROR(DB46*DB48/SUMPRODUCT($D46:$DS46,$D48:$DS48),0)</x:f>
      </x:c>
      <x:c r="DC49" s="35" t="n">
        <x:f>IFERROR(DC46*DC48/SUMPRODUCT($D46:$DS46,$D48:$DS48),0)</x:f>
      </x:c>
      <x:c r="DD49" s="35" t="n">
        <x:f>IFERROR(DD46*DD48/SUMPRODUCT($D46:$DS46,$D48:$DS48),0)</x:f>
      </x:c>
      <x:c r="DE49" s="35" t="n">
        <x:f>IFERROR(DE46*DE48/SUMPRODUCT($D46:$DS46,$D48:$DS48),0)</x:f>
      </x:c>
      <x:c r="DF49" s="35" t="n">
        <x:f>IFERROR(DF46*DF48/SUMPRODUCT($D46:$DS46,$D48:$DS48),0)</x:f>
      </x:c>
      <x:c r="DG49" s="35" t="n">
        <x:f>IFERROR(DG46*DG48/SUMPRODUCT($D46:$DS46,$D48:$DS48),0)</x:f>
      </x:c>
      <x:c r="DH49" s="35" t="n">
        <x:f>IFERROR(DH46*DH48/SUMPRODUCT($D46:$DS46,$D48:$DS48),0)</x:f>
      </x:c>
      <x:c r="DI49" s="35" t="n">
        <x:f>IFERROR(DI46*DI48/SUMPRODUCT($D46:$DS46,$D48:$DS48),0)</x:f>
      </x:c>
      <x:c r="DJ49" s="35" t="n">
        <x:f>IFERROR(DJ46*DJ48/SUMPRODUCT($D46:$DS46,$D48:$DS48),0)</x:f>
      </x:c>
      <x:c r="DK49" s="35" t="n">
        <x:f>IFERROR(DK46*DK48/SUMPRODUCT($D46:$DS46,$D48:$DS48),0)</x:f>
      </x:c>
      <x:c r="DL49" s="35" t="n">
        <x:f>IFERROR(DL46*DL48/SUMPRODUCT($D46:$DS46,$D48:$DS48),0)</x:f>
      </x:c>
      <x:c r="DM49" s="35" t="n">
        <x:f>IFERROR(DM46*DM48/SUMPRODUCT($D46:$DS46,$D48:$DS48),0)</x:f>
      </x:c>
      <x:c r="DN49" s="35" t="n">
        <x:f>IFERROR(DN46*DN48/SUMPRODUCT($D46:$DS46,$D48:$DS48),0)</x:f>
      </x:c>
      <x:c r="DO49" s="35" t="n">
        <x:f>IFERROR(DO46*DO48/SUMPRODUCT($D46:$DS46,$D48:$DS48),0)</x:f>
      </x:c>
      <x:c r="DP49" s="35" t="n">
        <x:f>IFERROR(DP46*DP48/SUMPRODUCT($D46:$DS46,$D48:$DS48),0)</x:f>
      </x:c>
      <x:c r="DQ49" s="35" t="n">
        <x:f>IFERROR(DQ46*DQ48/SUMPRODUCT($D46:$DS46,$D48:$DS48),0)</x:f>
      </x:c>
      <x:c r="DR49" s="35" t="n">
        <x:f>IFERROR(DR46*DR48/SUMPRODUCT($D46:$DS46,$D48:$DS48),0)</x:f>
      </x:c>
      <x:c r="DS49" s="35" t="n">
        <x:f>IFERROR(DS46*DS48/SUMPRODUCT($D46:$DS46,$D48:$DS48),0)</x:f>
      </x:c>
    </x:row>
    <x:row r="50">
      <x:c r="A50" t="str">
        <x:v>Реализованный объём</x:v>
      </x:c>
      <x:c r="B50" s="132" t="n">
        <x:f>SUM(D50:DS50)</x:f>
      </x:c>
      <x:c r="C50" t="str">
        <x:v>м²</x:v>
      </x:c>
      <x:c r="D50" s="132" t="n">
        <x:f>$B$41*((IF(SUM($D45:$DS45)=0,0,IF(SUM($D48:$DS48)=0,1,'Вводные'!$K$52)))*D47+(1-(IF(SUM($D45:$DS45)=0,0,IF(SUM($D48:$DS48)=0,1,'Вводные'!$K$52))))*D49)</x:f>
      </x:c>
      <x:c r="E50" s="132" t="n">
        <x:f>$B$41*((IF(SUM($D45:$DS45)=0,0,IF(SUM($D48:$DS48)=0,1,'Вводные'!$K$52)))*E47+(1-(IF(SUM($D45:$DS45)=0,0,IF(SUM($D48:$DS48)=0,1,'Вводные'!$K$52))))*E49)</x:f>
      </x:c>
      <x:c r="F50" s="132" t="n">
        <x:f>$B$41*((IF(SUM($D45:$DS45)=0,0,IF(SUM($D48:$DS48)=0,1,'Вводные'!$K$52)))*F47+(1-(IF(SUM($D45:$DS45)=0,0,IF(SUM($D48:$DS48)=0,1,'Вводные'!$K$52))))*F49)</x:f>
      </x:c>
      <x:c r="G50" s="132" t="n">
        <x:f>$B$41*((IF(SUM($D45:$DS45)=0,0,IF(SUM($D48:$DS48)=0,1,'Вводные'!$K$52)))*G47+(1-(IF(SUM($D45:$DS45)=0,0,IF(SUM($D48:$DS48)=0,1,'Вводные'!$K$52))))*G49)</x:f>
      </x:c>
      <x:c r="H50" s="132" t="n">
        <x:f>$B$41*((IF(SUM($D45:$DS45)=0,0,IF(SUM($D48:$DS48)=0,1,'Вводные'!$K$52)))*H47+(1-(IF(SUM($D45:$DS45)=0,0,IF(SUM($D48:$DS48)=0,1,'Вводные'!$K$52))))*H49)</x:f>
      </x:c>
      <x:c r="I50" s="132" t="n">
        <x:f>$B$41*((IF(SUM($D45:$DS45)=0,0,IF(SUM($D48:$DS48)=0,1,'Вводные'!$K$52)))*I47+(1-(IF(SUM($D45:$DS45)=0,0,IF(SUM($D48:$DS48)=0,1,'Вводные'!$K$52))))*I49)</x:f>
      </x:c>
      <x:c r="J50" s="132" t="n">
        <x:f>$B$41*((IF(SUM($D45:$DS45)=0,0,IF(SUM($D48:$DS48)=0,1,'Вводные'!$K$52)))*J47+(1-(IF(SUM($D45:$DS45)=0,0,IF(SUM($D48:$DS48)=0,1,'Вводные'!$K$52))))*J49)</x:f>
      </x:c>
      <x:c r="K50" s="132" t="n">
        <x:f>$B$41*((IF(SUM($D45:$DS45)=0,0,IF(SUM($D48:$DS48)=0,1,'Вводные'!$K$52)))*K47+(1-(IF(SUM($D45:$DS45)=0,0,IF(SUM($D48:$DS48)=0,1,'Вводные'!$K$52))))*K49)</x:f>
      </x:c>
      <x:c r="L50" s="132" t="n">
        <x:f>$B$41*((IF(SUM($D45:$DS45)=0,0,IF(SUM($D48:$DS48)=0,1,'Вводные'!$K$52)))*L47+(1-(IF(SUM($D45:$DS45)=0,0,IF(SUM($D48:$DS48)=0,1,'Вводные'!$K$52))))*L49)</x:f>
      </x:c>
      <x:c r="M50" s="132" t="n">
        <x:f>$B$41*((IF(SUM($D45:$DS45)=0,0,IF(SUM($D48:$DS48)=0,1,'Вводные'!$K$52)))*M47+(1-(IF(SUM($D45:$DS45)=0,0,IF(SUM($D48:$DS48)=0,1,'Вводные'!$K$52))))*M49)</x:f>
      </x:c>
      <x:c r="N50" s="132" t="n">
        <x:f>$B$41*((IF(SUM($D45:$DS45)=0,0,IF(SUM($D48:$DS48)=0,1,'Вводные'!$K$52)))*N47+(1-(IF(SUM($D45:$DS45)=0,0,IF(SUM($D48:$DS48)=0,1,'Вводные'!$K$52))))*N49)</x:f>
      </x:c>
      <x:c r="O50" s="132" t="n">
        <x:f>$B$41*((IF(SUM($D45:$DS45)=0,0,IF(SUM($D48:$DS48)=0,1,'Вводные'!$K$52)))*O47+(1-(IF(SUM($D45:$DS45)=0,0,IF(SUM($D48:$DS48)=0,1,'Вводные'!$K$52))))*O49)</x:f>
      </x:c>
      <x:c r="P50" s="132" t="n">
        <x:f>$B$41*((IF(SUM($D45:$DS45)=0,0,IF(SUM($D48:$DS48)=0,1,'Вводные'!$K$52)))*P47+(1-(IF(SUM($D45:$DS45)=0,0,IF(SUM($D48:$DS48)=0,1,'Вводные'!$K$52))))*P49)</x:f>
      </x:c>
      <x:c r="Q50" s="132" t="n">
        <x:f>$B$41*((IF(SUM($D45:$DS45)=0,0,IF(SUM($D48:$DS48)=0,1,'Вводные'!$K$52)))*Q47+(1-(IF(SUM($D45:$DS45)=0,0,IF(SUM($D48:$DS48)=0,1,'Вводные'!$K$52))))*Q49)</x:f>
      </x:c>
      <x:c r="R50" s="132" t="n">
        <x:f>$B$41*((IF(SUM($D45:$DS45)=0,0,IF(SUM($D48:$DS48)=0,1,'Вводные'!$K$52)))*R47+(1-(IF(SUM($D45:$DS45)=0,0,IF(SUM($D48:$DS48)=0,1,'Вводные'!$K$52))))*R49)</x:f>
      </x:c>
      <x:c r="S50" s="132" t="n">
        <x:f>$B$41*((IF(SUM($D45:$DS45)=0,0,IF(SUM($D48:$DS48)=0,1,'Вводные'!$K$52)))*S47+(1-(IF(SUM($D45:$DS45)=0,0,IF(SUM($D48:$DS48)=0,1,'Вводные'!$K$52))))*S49)</x:f>
      </x:c>
      <x:c r="T50" s="132" t="n">
        <x:f>$B$41*((IF(SUM($D45:$DS45)=0,0,IF(SUM($D48:$DS48)=0,1,'Вводные'!$K$52)))*T47+(1-(IF(SUM($D45:$DS45)=0,0,IF(SUM($D48:$DS48)=0,1,'Вводные'!$K$52))))*T49)</x:f>
      </x:c>
      <x:c r="U50" s="132" t="n">
        <x:f>$B$41*((IF(SUM($D45:$DS45)=0,0,IF(SUM($D48:$DS48)=0,1,'Вводные'!$K$52)))*U47+(1-(IF(SUM($D45:$DS45)=0,0,IF(SUM($D48:$DS48)=0,1,'Вводные'!$K$52))))*U49)</x:f>
      </x:c>
      <x:c r="V50" s="132" t="n">
        <x:f>$B$41*((IF(SUM($D45:$DS45)=0,0,IF(SUM($D48:$DS48)=0,1,'Вводные'!$K$52)))*V47+(1-(IF(SUM($D45:$DS45)=0,0,IF(SUM($D48:$DS48)=0,1,'Вводные'!$K$52))))*V49)</x:f>
      </x:c>
      <x:c r="W50" s="132" t="n">
        <x:f>$B$41*((IF(SUM($D45:$DS45)=0,0,IF(SUM($D48:$DS48)=0,1,'Вводные'!$K$52)))*W47+(1-(IF(SUM($D45:$DS45)=0,0,IF(SUM($D48:$DS48)=0,1,'Вводные'!$K$52))))*W49)</x:f>
      </x:c>
      <x:c r="X50" s="132" t="n">
        <x:f>$B$41*((IF(SUM($D45:$DS45)=0,0,IF(SUM($D48:$DS48)=0,1,'Вводные'!$K$52)))*X47+(1-(IF(SUM($D45:$DS45)=0,0,IF(SUM($D48:$DS48)=0,1,'Вводные'!$K$52))))*X49)</x:f>
      </x:c>
      <x:c r="Y50" s="132" t="n">
        <x:f>$B$41*((IF(SUM($D45:$DS45)=0,0,IF(SUM($D48:$DS48)=0,1,'Вводные'!$K$52)))*Y47+(1-(IF(SUM($D45:$DS45)=0,0,IF(SUM($D48:$DS48)=0,1,'Вводные'!$K$52))))*Y49)</x:f>
      </x:c>
      <x:c r="Z50" s="132" t="n">
        <x:f>$B$41*((IF(SUM($D45:$DS45)=0,0,IF(SUM($D48:$DS48)=0,1,'Вводные'!$K$52)))*Z47+(1-(IF(SUM($D45:$DS45)=0,0,IF(SUM($D48:$DS48)=0,1,'Вводные'!$K$52))))*Z49)</x:f>
      </x:c>
      <x:c r="AA50" s="132" t="n">
        <x:f>$B$41*((IF(SUM($D45:$DS45)=0,0,IF(SUM($D48:$DS48)=0,1,'Вводные'!$K$52)))*AA47+(1-(IF(SUM($D45:$DS45)=0,0,IF(SUM($D48:$DS48)=0,1,'Вводные'!$K$52))))*AA49)</x:f>
      </x:c>
      <x:c r="AB50" s="132" t="n">
        <x:f>$B$41*((IF(SUM($D45:$DS45)=0,0,IF(SUM($D48:$DS48)=0,1,'Вводные'!$K$52)))*AB47+(1-(IF(SUM($D45:$DS45)=0,0,IF(SUM($D48:$DS48)=0,1,'Вводные'!$K$52))))*AB49)</x:f>
      </x:c>
      <x:c r="AC50" s="132" t="n">
        <x:f>$B$41*((IF(SUM($D45:$DS45)=0,0,IF(SUM($D48:$DS48)=0,1,'Вводные'!$K$52)))*AC47+(1-(IF(SUM($D45:$DS45)=0,0,IF(SUM($D48:$DS48)=0,1,'Вводные'!$K$52))))*AC49)</x:f>
      </x:c>
      <x:c r="AD50" s="132" t="n">
        <x:f>$B$41*((IF(SUM($D45:$DS45)=0,0,IF(SUM($D48:$DS48)=0,1,'Вводные'!$K$52)))*AD47+(1-(IF(SUM($D45:$DS45)=0,0,IF(SUM($D48:$DS48)=0,1,'Вводные'!$K$52))))*AD49)</x:f>
      </x:c>
      <x:c r="AE50" s="132" t="n">
        <x:f>$B$41*((IF(SUM($D45:$DS45)=0,0,IF(SUM($D48:$DS48)=0,1,'Вводные'!$K$52)))*AE47+(1-(IF(SUM($D45:$DS45)=0,0,IF(SUM($D48:$DS48)=0,1,'Вводные'!$K$52))))*AE49)</x:f>
      </x:c>
      <x:c r="AF50" s="132" t="n">
        <x:f>$B$41*((IF(SUM($D45:$DS45)=0,0,IF(SUM($D48:$DS48)=0,1,'Вводные'!$K$52)))*AF47+(1-(IF(SUM($D45:$DS45)=0,0,IF(SUM($D48:$DS48)=0,1,'Вводные'!$K$52))))*AF49)</x:f>
      </x:c>
      <x:c r="AG50" s="132" t="n">
        <x:f>$B$41*((IF(SUM($D45:$DS45)=0,0,IF(SUM($D48:$DS48)=0,1,'Вводные'!$K$52)))*AG47+(1-(IF(SUM($D45:$DS45)=0,0,IF(SUM($D48:$DS48)=0,1,'Вводные'!$K$52))))*AG49)</x:f>
      </x:c>
      <x:c r="AH50" s="132" t="n">
        <x:f>$B$41*((IF(SUM($D45:$DS45)=0,0,IF(SUM($D48:$DS48)=0,1,'Вводные'!$K$52)))*AH47+(1-(IF(SUM($D45:$DS45)=0,0,IF(SUM($D48:$DS48)=0,1,'Вводные'!$K$52))))*AH49)</x:f>
      </x:c>
      <x:c r="AI50" s="132" t="n">
        <x:f>$B$41*((IF(SUM($D45:$DS45)=0,0,IF(SUM($D48:$DS48)=0,1,'Вводные'!$K$52)))*AI47+(1-(IF(SUM($D45:$DS45)=0,0,IF(SUM($D48:$DS48)=0,1,'Вводные'!$K$52))))*AI49)</x:f>
      </x:c>
      <x:c r="AJ50" s="132" t="n">
        <x:f>$B$41*((IF(SUM($D45:$DS45)=0,0,IF(SUM($D48:$DS48)=0,1,'Вводные'!$K$52)))*AJ47+(1-(IF(SUM($D45:$DS45)=0,0,IF(SUM($D48:$DS48)=0,1,'Вводные'!$K$52))))*AJ49)</x:f>
      </x:c>
      <x:c r="AK50" s="132" t="n">
        <x:f>$B$41*((IF(SUM($D45:$DS45)=0,0,IF(SUM($D48:$DS48)=0,1,'Вводные'!$K$52)))*AK47+(1-(IF(SUM($D45:$DS45)=0,0,IF(SUM($D48:$DS48)=0,1,'Вводные'!$K$52))))*AK49)</x:f>
      </x:c>
      <x:c r="AL50" s="132" t="n">
        <x:f>$B$41*((IF(SUM($D45:$DS45)=0,0,IF(SUM($D48:$DS48)=0,1,'Вводные'!$K$52)))*AL47+(1-(IF(SUM($D45:$DS45)=0,0,IF(SUM($D48:$DS48)=0,1,'Вводные'!$K$52))))*AL49)</x:f>
      </x:c>
      <x:c r="AM50" s="132" t="n">
        <x:f>$B$41*((IF(SUM($D45:$DS45)=0,0,IF(SUM($D48:$DS48)=0,1,'Вводные'!$K$52)))*AM47+(1-(IF(SUM($D45:$DS45)=0,0,IF(SUM($D48:$DS48)=0,1,'Вводные'!$K$52))))*AM49)</x:f>
      </x:c>
      <x:c r="AN50" s="132" t="n">
        <x:f>$B$41*((IF(SUM($D45:$DS45)=0,0,IF(SUM($D48:$DS48)=0,1,'Вводные'!$K$52)))*AN47+(1-(IF(SUM($D45:$DS45)=0,0,IF(SUM($D48:$DS48)=0,1,'Вводные'!$K$52))))*AN49)</x:f>
      </x:c>
      <x:c r="AO50" s="132" t="n">
        <x:f>$B$41*((IF(SUM($D45:$DS45)=0,0,IF(SUM($D48:$DS48)=0,1,'Вводные'!$K$52)))*AO47+(1-(IF(SUM($D45:$DS45)=0,0,IF(SUM($D48:$DS48)=0,1,'Вводные'!$K$52))))*AO49)</x:f>
      </x:c>
      <x:c r="AP50" s="132" t="n">
        <x:f>$B$41*((IF(SUM($D45:$DS45)=0,0,IF(SUM($D48:$DS48)=0,1,'Вводные'!$K$52)))*AP47+(1-(IF(SUM($D45:$DS45)=0,0,IF(SUM($D48:$DS48)=0,1,'Вводные'!$K$52))))*AP49)</x:f>
      </x:c>
      <x:c r="AQ50" s="132" t="n">
        <x:f>$B$41*((IF(SUM($D45:$DS45)=0,0,IF(SUM($D48:$DS48)=0,1,'Вводные'!$K$52)))*AQ47+(1-(IF(SUM($D45:$DS45)=0,0,IF(SUM($D48:$DS48)=0,1,'Вводные'!$K$52))))*AQ49)</x:f>
      </x:c>
      <x:c r="AR50" s="132" t="n">
        <x:f>$B$41*((IF(SUM($D45:$DS45)=0,0,IF(SUM($D48:$DS48)=0,1,'Вводные'!$K$52)))*AR47+(1-(IF(SUM($D45:$DS45)=0,0,IF(SUM($D48:$DS48)=0,1,'Вводные'!$K$52))))*AR49)</x:f>
      </x:c>
      <x:c r="AS50" s="132" t="n">
        <x:f>$B$41*((IF(SUM($D45:$DS45)=0,0,IF(SUM($D48:$DS48)=0,1,'Вводные'!$K$52)))*AS47+(1-(IF(SUM($D45:$DS45)=0,0,IF(SUM($D48:$DS48)=0,1,'Вводные'!$K$52))))*AS49)</x:f>
      </x:c>
      <x:c r="AT50" s="132" t="n">
        <x:f>$B$41*((IF(SUM($D45:$DS45)=0,0,IF(SUM($D48:$DS48)=0,1,'Вводные'!$K$52)))*AT47+(1-(IF(SUM($D45:$DS45)=0,0,IF(SUM($D48:$DS48)=0,1,'Вводные'!$K$52))))*AT49)</x:f>
      </x:c>
      <x:c r="AU50" s="132" t="n">
        <x:f>$B$41*((IF(SUM($D45:$DS45)=0,0,IF(SUM($D48:$DS48)=0,1,'Вводные'!$K$52)))*AU47+(1-(IF(SUM($D45:$DS45)=0,0,IF(SUM($D48:$DS48)=0,1,'Вводные'!$K$52))))*AU49)</x:f>
      </x:c>
      <x:c r="AV50" s="132" t="n">
        <x:f>$B$41*((IF(SUM($D45:$DS45)=0,0,IF(SUM($D48:$DS48)=0,1,'Вводные'!$K$52)))*AV47+(1-(IF(SUM($D45:$DS45)=0,0,IF(SUM($D48:$DS48)=0,1,'Вводные'!$K$52))))*AV49)</x:f>
      </x:c>
      <x:c r="AW50" s="132" t="n">
        <x:f>$B$41*((IF(SUM($D45:$DS45)=0,0,IF(SUM($D48:$DS48)=0,1,'Вводные'!$K$52)))*AW47+(1-(IF(SUM($D45:$DS45)=0,0,IF(SUM($D48:$DS48)=0,1,'Вводные'!$K$52))))*AW49)</x:f>
      </x:c>
      <x:c r="AX50" s="132" t="n">
        <x:f>$B$41*((IF(SUM($D45:$DS45)=0,0,IF(SUM($D48:$DS48)=0,1,'Вводные'!$K$52)))*AX47+(1-(IF(SUM($D45:$DS45)=0,0,IF(SUM($D48:$DS48)=0,1,'Вводные'!$K$52))))*AX49)</x:f>
      </x:c>
      <x:c r="AY50" s="132" t="n">
        <x:f>$B$41*((IF(SUM($D45:$DS45)=0,0,IF(SUM($D48:$DS48)=0,1,'Вводные'!$K$52)))*AY47+(1-(IF(SUM($D45:$DS45)=0,0,IF(SUM($D48:$DS48)=0,1,'Вводные'!$K$52))))*AY49)</x:f>
      </x:c>
      <x:c r="AZ50" s="132" t="n">
        <x:f>$B$41*((IF(SUM($D45:$DS45)=0,0,IF(SUM($D48:$DS48)=0,1,'Вводные'!$K$52)))*AZ47+(1-(IF(SUM($D45:$DS45)=0,0,IF(SUM($D48:$DS48)=0,1,'Вводные'!$K$52))))*AZ49)</x:f>
      </x:c>
      <x:c r="BA50" s="132" t="n">
        <x:f>$B$41*((IF(SUM($D45:$DS45)=0,0,IF(SUM($D48:$DS48)=0,1,'Вводные'!$K$52)))*BA47+(1-(IF(SUM($D45:$DS45)=0,0,IF(SUM($D48:$DS48)=0,1,'Вводные'!$K$52))))*BA49)</x:f>
      </x:c>
      <x:c r="BB50" s="132" t="n">
        <x:f>$B$41*((IF(SUM($D45:$DS45)=0,0,IF(SUM($D48:$DS48)=0,1,'Вводные'!$K$52)))*BB47+(1-(IF(SUM($D45:$DS45)=0,0,IF(SUM($D48:$DS48)=0,1,'Вводные'!$K$52))))*BB49)</x:f>
      </x:c>
      <x:c r="BC50" s="132" t="n">
        <x:f>$B$41*((IF(SUM($D45:$DS45)=0,0,IF(SUM($D48:$DS48)=0,1,'Вводные'!$K$52)))*BC47+(1-(IF(SUM($D45:$DS45)=0,0,IF(SUM($D48:$DS48)=0,1,'Вводные'!$K$52))))*BC49)</x:f>
      </x:c>
      <x:c r="BD50" s="132" t="n">
        <x:f>$B$41*((IF(SUM($D45:$DS45)=0,0,IF(SUM($D48:$DS48)=0,1,'Вводные'!$K$52)))*BD47+(1-(IF(SUM($D45:$DS45)=0,0,IF(SUM($D48:$DS48)=0,1,'Вводные'!$K$52))))*BD49)</x:f>
      </x:c>
      <x:c r="BE50" s="132" t="n">
        <x:f>$B$41*((IF(SUM($D45:$DS45)=0,0,IF(SUM($D48:$DS48)=0,1,'Вводные'!$K$52)))*BE47+(1-(IF(SUM($D45:$DS45)=0,0,IF(SUM($D48:$DS48)=0,1,'Вводные'!$K$52))))*BE49)</x:f>
      </x:c>
      <x:c r="BF50" s="132" t="n">
        <x:f>$B$41*((IF(SUM($D45:$DS45)=0,0,IF(SUM($D48:$DS48)=0,1,'Вводные'!$K$52)))*BF47+(1-(IF(SUM($D45:$DS45)=0,0,IF(SUM($D48:$DS48)=0,1,'Вводные'!$K$52))))*BF49)</x:f>
      </x:c>
      <x:c r="BG50" s="132" t="n">
        <x:f>$B$41*((IF(SUM($D45:$DS45)=0,0,IF(SUM($D48:$DS48)=0,1,'Вводные'!$K$52)))*BG47+(1-(IF(SUM($D45:$DS45)=0,0,IF(SUM($D48:$DS48)=0,1,'Вводные'!$K$52))))*BG49)</x:f>
      </x:c>
      <x:c r="BH50" s="132" t="n">
        <x:f>$B$41*((IF(SUM($D45:$DS45)=0,0,IF(SUM($D48:$DS48)=0,1,'Вводные'!$K$52)))*BH47+(1-(IF(SUM($D45:$DS45)=0,0,IF(SUM($D48:$DS48)=0,1,'Вводные'!$K$52))))*BH49)</x:f>
      </x:c>
      <x:c r="BI50" s="132" t="n">
        <x:f>$B$41*((IF(SUM($D45:$DS45)=0,0,IF(SUM($D48:$DS48)=0,1,'Вводные'!$K$52)))*BI47+(1-(IF(SUM($D45:$DS45)=0,0,IF(SUM($D48:$DS48)=0,1,'Вводные'!$K$52))))*BI49)</x:f>
      </x:c>
      <x:c r="BJ50" s="132" t="n">
        <x:f>$B$41*((IF(SUM($D45:$DS45)=0,0,IF(SUM($D48:$DS48)=0,1,'Вводные'!$K$52)))*BJ47+(1-(IF(SUM($D45:$DS45)=0,0,IF(SUM($D48:$DS48)=0,1,'Вводные'!$K$52))))*BJ49)</x:f>
      </x:c>
      <x:c r="BK50" s="132" t="n">
        <x:f>$B$41*((IF(SUM($D45:$DS45)=0,0,IF(SUM($D48:$DS48)=0,1,'Вводные'!$K$52)))*BK47+(1-(IF(SUM($D45:$DS45)=0,0,IF(SUM($D48:$DS48)=0,1,'Вводные'!$K$52))))*BK49)</x:f>
      </x:c>
      <x:c r="BL50" s="132" t="n">
        <x:f>$B$41*((IF(SUM($D45:$DS45)=0,0,IF(SUM($D48:$DS48)=0,1,'Вводные'!$K$52)))*BL47+(1-(IF(SUM($D45:$DS45)=0,0,IF(SUM($D48:$DS48)=0,1,'Вводные'!$K$52))))*BL49)</x:f>
      </x:c>
      <x:c r="BM50" s="132" t="n">
        <x:f>$B$41*((IF(SUM($D45:$DS45)=0,0,IF(SUM($D48:$DS48)=0,1,'Вводные'!$K$52)))*BM47+(1-(IF(SUM($D45:$DS45)=0,0,IF(SUM($D48:$DS48)=0,1,'Вводные'!$K$52))))*BM49)</x:f>
      </x:c>
      <x:c r="BN50" s="132" t="n">
        <x:f>$B$41*((IF(SUM($D45:$DS45)=0,0,IF(SUM($D48:$DS48)=0,1,'Вводные'!$K$52)))*BN47+(1-(IF(SUM($D45:$DS45)=0,0,IF(SUM($D48:$DS48)=0,1,'Вводные'!$K$52))))*BN49)</x:f>
      </x:c>
      <x:c r="BO50" s="132" t="n">
        <x:f>$B$41*((IF(SUM($D45:$DS45)=0,0,IF(SUM($D48:$DS48)=0,1,'Вводные'!$K$52)))*BO47+(1-(IF(SUM($D45:$DS45)=0,0,IF(SUM($D48:$DS48)=0,1,'Вводные'!$K$52))))*BO49)</x:f>
      </x:c>
      <x:c r="BP50" s="132" t="n">
        <x:f>$B$41*((IF(SUM($D45:$DS45)=0,0,IF(SUM($D48:$DS48)=0,1,'Вводные'!$K$52)))*BP47+(1-(IF(SUM($D45:$DS45)=0,0,IF(SUM($D48:$DS48)=0,1,'Вводные'!$K$52))))*BP49)</x:f>
      </x:c>
      <x:c r="BQ50" s="132" t="n">
        <x:f>$B$41*((IF(SUM($D45:$DS45)=0,0,IF(SUM($D48:$DS48)=0,1,'Вводные'!$K$52)))*BQ47+(1-(IF(SUM($D45:$DS45)=0,0,IF(SUM($D48:$DS48)=0,1,'Вводные'!$K$52))))*BQ49)</x:f>
      </x:c>
      <x:c r="BR50" s="132" t="n">
        <x:f>$B$41*((IF(SUM($D45:$DS45)=0,0,IF(SUM($D48:$DS48)=0,1,'Вводные'!$K$52)))*BR47+(1-(IF(SUM($D45:$DS45)=0,0,IF(SUM($D48:$DS48)=0,1,'Вводные'!$K$52))))*BR49)</x:f>
      </x:c>
      <x:c r="BS50" s="132" t="n">
        <x:f>$B$41*((IF(SUM($D45:$DS45)=0,0,IF(SUM($D48:$DS48)=0,1,'Вводные'!$K$52)))*BS47+(1-(IF(SUM($D45:$DS45)=0,0,IF(SUM($D48:$DS48)=0,1,'Вводные'!$K$52))))*BS49)</x:f>
      </x:c>
      <x:c r="BT50" s="132" t="n">
        <x:f>$B$41*((IF(SUM($D45:$DS45)=0,0,IF(SUM($D48:$DS48)=0,1,'Вводные'!$K$52)))*BT47+(1-(IF(SUM($D45:$DS45)=0,0,IF(SUM($D48:$DS48)=0,1,'Вводные'!$K$52))))*BT49)</x:f>
      </x:c>
      <x:c r="BU50" s="132" t="n">
        <x:f>$B$41*((IF(SUM($D45:$DS45)=0,0,IF(SUM($D48:$DS48)=0,1,'Вводные'!$K$52)))*BU47+(1-(IF(SUM($D45:$DS45)=0,0,IF(SUM($D48:$DS48)=0,1,'Вводные'!$K$52))))*BU49)</x:f>
      </x:c>
      <x:c r="BV50" s="132" t="n">
        <x:f>$B$41*((IF(SUM($D45:$DS45)=0,0,IF(SUM($D48:$DS48)=0,1,'Вводные'!$K$52)))*BV47+(1-(IF(SUM($D45:$DS45)=0,0,IF(SUM($D48:$DS48)=0,1,'Вводные'!$K$52))))*BV49)</x:f>
      </x:c>
      <x:c r="BW50" s="132" t="n">
        <x:f>$B$41*((IF(SUM($D45:$DS45)=0,0,IF(SUM($D48:$DS48)=0,1,'Вводные'!$K$52)))*BW47+(1-(IF(SUM($D45:$DS45)=0,0,IF(SUM($D48:$DS48)=0,1,'Вводные'!$K$52))))*BW49)</x:f>
      </x:c>
      <x:c r="BX50" s="132" t="n">
        <x:f>$B$41*((IF(SUM($D45:$DS45)=0,0,IF(SUM($D48:$DS48)=0,1,'Вводные'!$K$52)))*BX47+(1-(IF(SUM($D45:$DS45)=0,0,IF(SUM($D48:$DS48)=0,1,'Вводные'!$K$52))))*BX49)</x:f>
      </x:c>
      <x:c r="BY50" s="132" t="n">
        <x:f>$B$41*((IF(SUM($D45:$DS45)=0,0,IF(SUM($D48:$DS48)=0,1,'Вводные'!$K$52)))*BY47+(1-(IF(SUM($D45:$DS45)=0,0,IF(SUM($D48:$DS48)=0,1,'Вводные'!$K$52))))*BY49)</x:f>
      </x:c>
      <x:c r="BZ50" s="132" t="n">
        <x:f>$B$41*((IF(SUM($D45:$DS45)=0,0,IF(SUM($D48:$DS48)=0,1,'Вводные'!$K$52)))*BZ47+(1-(IF(SUM($D45:$DS45)=0,0,IF(SUM($D48:$DS48)=0,1,'Вводные'!$K$52))))*BZ49)</x:f>
      </x:c>
      <x:c r="CA50" s="132" t="n">
        <x:f>$B$41*((IF(SUM($D45:$DS45)=0,0,IF(SUM($D48:$DS48)=0,1,'Вводные'!$K$52)))*CA47+(1-(IF(SUM($D45:$DS45)=0,0,IF(SUM($D48:$DS48)=0,1,'Вводные'!$K$52))))*CA49)</x:f>
      </x:c>
      <x:c r="CB50" s="132" t="n">
        <x:f>$B$41*((IF(SUM($D45:$DS45)=0,0,IF(SUM($D48:$DS48)=0,1,'Вводные'!$K$52)))*CB47+(1-(IF(SUM($D45:$DS45)=0,0,IF(SUM($D48:$DS48)=0,1,'Вводные'!$K$52))))*CB49)</x:f>
      </x:c>
      <x:c r="CC50" s="132" t="n">
        <x:f>$B$41*((IF(SUM($D45:$DS45)=0,0,IF(SUM($D48:$DS48)=0,1,'Вводные'!$K$52)))*CC47+(1-(IF(SUM($D45:$DS45)=0,0,IF(SUM($D48:$DS48)=0,1,'Вводные'!$K$52))))*CC49)</x:f>
      </x:c>
      <x:c r="CD50" s="132" t="n">
        <x:f>$B$41*((IF(SUM($D45:$DS45)=0,0,IF(SUM($D48:$DS48)=0,1,'Вводные'!$K$52)))*CD47+(1-(IF(SUM($D45:$DS45)=0,0,IF(SUM($D48:$DS48)=0,1,'Вводные'!$K$52))))*CD49)</x:f>
      </x:c>
      <x:c r="CE50" s="132" t="n">
        <x:f>$B$41*((IF(SUM($D45:$DS45)=0,0,IF(SUM($D48:$DS48)=0,1,'Вводные'!$K$52)))*CE47+(1-(IF(SUM($D45:$DS45)=0,0,IF(SUM($D48:$DS48)=0,1,'Вводные'!$K$52))))*CE49)</x:f>
      </x:c>
      <x:c r="CF50" s="132" t="n">
        <x:f>$B$41*((IF(SUM($D45:$DS45)=0,0,IF(SUM($D48:$DS48)=0,1,'Вводные'!$K$52)))*CF47+(1-(IF(SUM($D45:$DS45)=0,0,IF(SUM($D48:$DS48)=0,1,'Вводные'!$K$52))))*CF49)</x:f>
      </x:c>
      <x:c r="CG50" s="132" t="n">
        <x:f>$B$41*((IF(SUM($D45:$DS45)=0,0,IF(SUM($D48:$DS48)=0,1,'Вводные'!$K$52)))*CG47+(1-(IF(SUM($D45:$DS45)=0,0,IF(SUM($D48:$DS48)=0,1,'Вводные'!$K$52))))*CG49)</x:f>
      </x:c>
      <x:c r="CH50" s="132" t="n">
        <x:f>$B$41*((IF(SUM($D45:$DS45)=0,0,IF(SUM($D48:$DS48)=0,1,'Вводные'!$K$52)))*CH47+(1-(IF(SUM($D45:$DS45)=0,0,IF(SUM($D48:$DS48)=0,1,'Вводные'!$K$52))))*CH49)</x:f>
      </x:c>
      <x:c r="CI50" s="132" t="n">
        <x:f>$B$41*((IF(SUM($D45:$DS45)=0,0,IF(SUM($D48:$DS48)=0,1,'Вводные'!$K$52)))*CI47+(1-(IF(SUM($D45:$DS45)=0,0,IF(SUM($D48:$DS48)=0,1,'Вводные'!$K$52))))*CI49)</x:f>
      </x:c>
      <x:c r="CJ50" s="132" t="n">
        <x:f>$B$41*((IF(SUM($D45:$DS45)=0,0,IF(SUM($D48:$DS48)=0,1,'Вводные'!$K$52)))*CJ47+(1-(IF(SUM($D45:$DS45)=0,0,IF(SUM($D48:$DS48)=0,1,'Вводные'!$K$52))))*CJ49)</x:f>
      </x:c>
      <x:c r="CK50" s="132" t="n">
        <x:f>$B$41*((IF(SUM($D45:$DS45)=0,0,IF(SUM($D48:$DS48)=0,1,'Вводные'!$K$52)))*CK47+(1-(IF(SUM($D45:$DS45)=0,0,IF(SUM($D48:$DS48)=0,1,'Вводные'!$K$52))))*CK49)</x:f>
      </x:c>
      <x:c r="CL50" s="132" t="n">
        <x:f>$B$41*((IF(SUM($D45:$DS45)=0,0,IF(SUM($D48:$DS48)=0,1,'Вводные'!$K$52)))*CL47+(1-(IF(SUM($D45:$DS45)=0,0,IF(SUM($D48:$DS48)=0,1,'Вводные'!$K$52))))*CL49)</x:f>
      </x:c>
      <x:c r="CM50" s="132" t="n">
        <x:f>$B$41*((IF(SUM($D45:$DS45)=0,0,IF(SUM($D48:$DS48)=0,1,'Вводные'!$K$52)))*CM47+(1-(IF(SUM($D45:$DS45)=0,0,IF(SUM($D48:$DS48)=0,1,'Вводные'!$K$52))))*CM49)</x:f>
      </x:c>
      <x:c r="CN50" s="132" t="n">
        <x:f>$B$41*((IF(SUM($D45:$DS45)=0,0,IF(SUM($D48:$DS48)=0,1,'Вводные'!$K$52)))*CN47+(1-(IF(SUM($D45:$DS45)=0,0,IF(SUM($D48:$DS48)=0,1,'Вводные'!$K$52))))*CN49)</x:f>
      </x:c>
      <x:c r="CO50" s="132" t="n">
        <x:f>$B$41*((IF(SUM($D45:$DS45)=0,0,IF(SUM($D48:$DS48)=0,1,'Вводные'!$K$52)))*CO47+(1-(IF(SUM($D45:$DS45)=0,0,IF(SUM($D48:$DS48)=0,1,'Вводные'!$K$52))))*CO49)</x:f>
      </x:c>
      <x:c r="CP50" s="132" t="n">
        <x:f>$B$41*((IF(SUM($D45:$DS45)=0,0,IF(SUM($D48:$DS48)=0,1,'Вводные'!$K$52)))*CP47+(1-(IF(SUM($D45:$DS45)=0,0,IF(SUM($D48:$DS48)=0,1,'Вводные'!$K$52))))*CP49)</x:f>
      </x:c>
      <x:c r="CQ50" s="132" t="n">
        <x:f>$B$41*((IF(SUM($D45:$DS45)=0,0,IF(SUM($D48:$DS48)=0,1,'Вводные'!$K$52)))*CQ47+(1-(IF(SUM($D45:$DS45)=0,0,IF(SUM($D48:$DS48)=0,1,'Вводные'!$K$52))))*CQ49)</x:f>
      </x:c>
      <x:c r="CR50" s="132" t="n">
        <x:f>$B$41*((IF(SUM($D45:$DS45)=0,0,IF(SUM($D48:$DS48)=0,1,'Вводные'!$K$52)))*CR47+(1-(IF(SUM($D45:$DS45)=0,0,IF(SUM($D48:$DS48)=0,1,'Вводные'!$K$52))))*CR49)</x:f>
      </x:c>
      <x:c r="CS50" s="132" t="n">
        <x:f>$B$41*((IF(SUM($D45:$DS45)=0,0,IF(SUM($D48:$DS48)=0,1,'Вводные'!$K$52)))*CS47+(1-(IF(SUM($D45:$DS45)=0,0,IF(SUM($D48:$DS48)=0,1,'Вводные'!$K$52))))*CS49)</x:f>
      </x:c>
      <x:c r="CT50" s="132" t="n">
        <x:f>$B$41*((IF(SUM($D45:$DS45)=0,0,IF(SUM($D48:$DS48)=0,1,'Вводные'!$K$52)))*CT47+(1-(IF(SUM($D45:$DS45)=0,0,IF(SUM($D48:$DS48)=0,1,'Вводные'!$K$52))))*CT49)</x:f>
      </x:c>
      <x:c r="CU50" s="132" t="n">
        <x:f>$B$41*((IF(SUM($D45:$DS45)=0,0,IF(SUM($D48:$DS48)=0,1,'Вводные'!$K$52)))*CU47+(1-(IF(SUM($D45:$DS45)=0,0,IF(SUM($D48:$DS48)=0,1,'Вводные'!$K$52))))*CU49)</x:f>
      </x:c>
      <x:c r="CV50" s="132" t="n">
        <x:f>$B$41*((IF(SUM($D45:$DS45)=0,0,IF(SUM($D48:$DS48)=0,1,'Вводные'!$K$52)))*CV47+(1-(IF(SUM($D45:$DS45)=0,0,IF(SUM($D48:$DS48)=0,1,'Вводные'!$K$52))))*CV49)</x:f>
      </x:c>
      <x:c r="CW50" s="132" t="n">
        <x:f>$B$41*((IF(SUM($D45:$DS45)=0,0,IF(SUM($D48:$DS48)=0,1,'Вводные'!$K$52)))*CW47+(1-(IF(SUM($D45:$DS45)=0,0,IF(SUM($D48:$DS48)=0,1,'Вводные'!$K$52))))*CW49)</x:f>
      </x:c>
      <x:c r="CX50" s="132" t="n">
        <x:f>$B$41*((IF(SUM($D45:$DS45)=0,0,IF(SUM($D48:$DS48)=0,1,'Вводные'!$K$52)))*CX47+(1-(IF(SUM($D45:$DS45)=0,0,IF(SUM($D48:$DS48)=0,1,'Вводные'!$K$52))))*CX49)</x:f>
      </x:c>
      <x:c r="CY50" s="132" t="n">
        <x:f>$B$41*((IF(SUM($D45:$DS45)=0,0,IF(SUM($D48:$DS48)=0,1,'Вводные'!$K$52)))*CY47+(1-(IF(SUM($D45:$DS45)=0,0,IF(SUM($D48:$DS48)=0,1,'Вводные'!$K$52))))*CY49)</x:f>
      </x:c>
      <x:c r="CZ50" s="132" t="n">
        <x:f>$B$41*((IF(SUM($D45:$DS45)=0,0,IF(SUM($D48:$DS48)=0,1,'Вводные'!$K$52)))*CZ47+(1-(IF(SUM($D45:$DS45)=0,0,IF(SUM($D48:$DS48)=0,1,'Вводные'!$K$52))))*CZ49)</x:f>
      </x:c>
      <x:c r="DA50" s="132" t="n">
        <x:f>$B$41*((IF(SUM($D45:$DS45)=0,0,IF(SUM($D48:$DS48)=0,1,'Вводные'!$K$52)))*DA47+(1-(IF(SUM($D45:$DS45)=0,0,IF(SUM($D48:$DS48)=0,1,'Вводные'!$K$52))))*DA49)</x:f>
      </x:c>
      <x:c r="DB50" s="132" t="n">
        <x:f>$B$41*((IF(SUM($D45:$DS45)=0,0,IF(SUM($D48:$DS48)=0,1,'Вводные'!$K$52)))*DB47+(1-(IF(SUM($D45:$DS45)=0,0,IF(SUM($D48:$DS48)=0,1,'Вводные'!$K$52))))*DB49)</x:f>
      </x:c>
      <x:c r="DC50" s="132" t="n">
        <x:f>$B$41*((IF(SUM($D45:$DS45)=0,0,IF(SUM($D48:$DS48)=0,1,'Вводные'!$K$52)))*DC47+(1-(IF(SUM($D45:$DS45)=0,0,IF(SUM($D48:$DS48)=0,1,'Вводные'!$K$52))))*DC49)</x:f>
      </x:c>
      <x:c r="DD50" s="132" t="n">
        <x:f>$B$41*((IF(SUM($D45:$DS45)=0,0,IF(SUM($D48:$DS48)=0,1,'Вводные'!$K$52)))*DD47+(1-(IF(SUM($D45:$DS45)=0,0,IF(SUM($D48:$DS48)=0,1,'Вводные'!$K$52))))*DD49)</x:f>
      </x:c>
      <x:c r="DE50" s="132" t="n">
        <x:f>$B$41*((IF(SUM($D45:$DS45)=0,0,IF(SUM($D48:$DS48)=0,1,'Вводные'!$K$52)))*DE47+(1-(IF(SUM($D45:$DS45)=0,0,IF(SUM($D48:$DS48)=0,1,'Вводные'!$K$52))))*DE49)</x:f>
      </x:c>
      <x:c r="DF50" s="132" t="n">
        <x:f>$B$41*((IF(SUM($D45:$DS45)=0,0,IF(SUM($D48:$DS48)=0,1,'Вводные'!$K$52)))*DF47+(1-(IF(SUM($D45:$DS45)=0,0,IF(SUM($D48:$DS48)=0,1,'Вводные'!$K$52))))*DF49)</x:f>
      </x:c>
      <x:c r="DG50" s="132" t="n">
        <x:f>$B$41*((IF(SUM($D45:$DS45)=0,0,IF(SUM($D48:$DS48)=0,1,'Вводные'!$K$52)))*DG47+(1-(IF(SUM($D45:$DS45)=0,0,IF(SUM($D48:$DS48)=0,1,'Вводные'!$K$52))))*DG49)</x:f>
      </x:c>
      <x:c r="DH50" s="132" t="n">
        <x:f>$B$41*((IF(SUM($D45:$DS45)=0,0,IF(SUM($D48:$DS48)=0,1,'Вводные'!$K$52)))*DH47+(1-(IF(SUM($D45:$DS45)=0,0,IF(SUM($D48:$DS48)=0,1,'Вводные'!$K$52))))*DH49)</x:f>
      </x:c>
      <x:c r="DI50" s="132" t="n">
        <x:f>$B$41*((IF(SUM($D45:$DS45)=0,0,IF(SUM($D48:$DS48)=0,1,'Вводные'!$K$52)))*DI47+(1-(IF(SUM($D45:$DS45)=0,0,IF(SUM($D48:$DS48)=0,1,'Вводные'!$K$52))))*DI49)</x:f>
      </x:c>
      <x:c r="DJ50" s="132" t="n">
        <x:f>$B$41*((IF(SUM($D45:$DS45)=0,0,IF(SUM($D48:$DS48)=0,1,'Вводные'!$K$52)))*DJ47+(1-(IF(SUM($D45:$DS45)=0,0,IF(SUM($D48:$DS48)=0,1,'Вводные'!$K$52))))*DJ49)</x:f>
      </x:c>
      <x:c r="DK50" s="132" t="n">
        <x:f>$B$41*((IF(SUM($D45:$DS45)=0,0,IF(SUM($D48:$DS48)=0,1,'Вводные'!$K$52)))*DK47+(1-(IF(SUM($D45:$DS45)=0,0,IF(SUM($D48:$DS48)=0,1,'Вводные'!$K$52))))*DK49)</x:f>
      </x:c>
      <x:c r="DL50" s="132" t="n">
        <x:f>$B$41*((IF(SUM($D45:$DS45)=0,0,IF(SUM($D48:$DS48)=0,1,'Вводные'!$K$52)))*DL47+(1-(IF(SUM($D45:$DS45)=0,0,IF(SUM($D48:$DS48)=0,1,'Вводные'!$K$52))))*DL49)</x:f>
      </x:c>
      <x:c r="DM50" s="132" t="n">
        <x:f>$B$41*((IF(SUM($D45:$DS45)=0,0,IF(SUM($D48:$DS48)=0,1,'Вводные'!$K$52)))*DM47+(1-(IF(SUM($D45:$DS45)=0,0,IF(SUM($D48:$DS48)=0,1,'Вводные'!$K$52))))*DM49)</x:f>
      </x:c>
      <x:c r="DN50" s="132" t="n">
        <x:f>$B$41*((IF(SUM($D45:$DS45)=0,0,IF(SUM($D48:$DS48)=0,1,'Вводные'!$K$52)))*DN47+(1-(IF(SUM($D45:$DS45)=0,0,IF(SUM($D48:$DS48)=0,1,'Вводные'!$K$52))))*DN49)</x:f>
      </x:c>
      <x:c r="DO50" s="132" t="n">
        <x:f>$B$41*((IF(SUM($D45:$DS45)=0,0,IF(SUM($D48:$DS48)=0,1,'Вводные'!$K$52)))*DO47+(1-(IF(SUM($D45:$DS45)=0,0,IF(SUM($D48:$DS48)=0,1,'Вводные'!$K$52))))*DO49)</x:f>
      </x:c>
      <x:c r="DP50" s="132" t="n">
        <x:f>$B$41*((IF(SUM($D45:$DS45)=0,0,IF(SUM($D48:$DS48)=0,1,'Вводные'!$K$52)))*DP47+(1-(IF(SUM($D45:$DS45)=0,0,IF(SUM($D48:$DS48)=0,1,'Вводные'!$K$52))))*DP49)</x:f>
      </x:c>
      <x:c r="DQ50" s="132" t="n">
        <x:f>$B$41*((IF(SUM($D45:$DS45)=0,0,IF(SUM($D48:$DS48)=0,1,'Вводные'!$K$52)))*DQ47+(1-(IF(SUM($D45:$DS45)=0,0,IF(SUM($D48:$DS48)=0,1,'Вводные'!$K$52))))*DQ49)</x:f>
      </x:c>
      <x:c r="DR50" s="132" t="n">
        <x:f>$B$41*((IF(SUM($D45:$DS45)=0,0,IF(SUM($D48:$DS48)=0,1,'Вводные'!$K$52)))*DR47+(1-(IF(SUM($D45:$DS45)=0,0,IF(SUM($D48:$DS48)=0,1,'Вводные'!$K$52))))*DR49)</x:f>
      </x:c>
      <x:c r="DS50" s="132" t="n">
        <x:f>$B$41*((IF(SUM($D45:$DS45)=0,0,IF(SUM($D48:$DS48)=0,1,'Вводные'!$K$52)))*DS47+(1-(IF(SUM($D45:$DS45)=0,0,IF(SUM($D48:$DS48)=0,1,'Вводные'!$K$52))))*DS49)</x:f>
      </x:c>
    </x:row>
    <x:row r="51">
      <x:c r="A51" t="str">
        <x:v>Цена реализации</x:v>
      </x:c>
      <x:c r="B51" s="107" t="n">
        <x:f>IFERROR(B52*1000/B50,0)</x:f>
      </x:c>
      <x:c r="C51" t="str">
        <x:v>тыс. ₽/м²</x:v>
      </x:c>
      <x:c r="D51" s="107" t="n">
        <x:f>IF(D50=0,0,'Вводные'!$K$51*'Вводные'!$H$5*INDEX('Вводные'!$S$88:$S$91,$B$36)*INDEX('Вводные'!$AG$88:$AG$91,$B$36)*(1+'Вводные'!$K$54)^MAX(0,MIN((12*(YEAR(D$3)-YEAR($B$39))+MONTH(D$3)-MONTH($B$39)),(12*(YEAR($B$38)-YEAR($B$39))+MONTH($B$38)-MONTH($B$39))))*(1+'Вводные'!$K$55)^MAX(0,(12*(YEAR(D$3)-YEAR($B$38))+MONTH(D$3)-MONTH($B$38))))</x:f>
      </x:c>
      <x:c r="E51" s="107" t="n">
        <x:f>IF(E50=0,0,'Вводные'!$K$51*'Вводные'!$H$5*INDEX('Вводные'!$S$88:$S$91,$B$36)*INDEX('Вводные'!$AG$88:$AG$91,$B$36)*(1+'Вводные'!$K$54)^MAX(0,MIN((12*(YEAR(E$3)-YEAR($B$39))+MONTH(E$3)-MONTH($B$39)),(12*(YEAR($B$38)-YEAR($B$39))+MONTH($B$38)-MONTH($B$39))))*(1+'Вводные'!$K$55)^MAX(0,(12*(YEAR(E$3)-YEAR($B$38))+MONTH(E$3)-MONTH($B$38))))</x:f>
      </x:c>
      <x:c r="F51" s="107" t="n">
        <x:f>IF(F50=0,0,'Вводные'!$K$51*'Вводные'!$H$5*INDEX('Вводные'!$S$88:$S$91,$B$36)*INDEX('Вводные'!$AG$88:$AG$91,$B$36)*(1+'Вводные'!$K$54)^MAX(0,MIN((12*(YEAR(F$3)-YEAR($B$39))+MONTH(F$3)-MONTH($B$39)),(12*(YEAR($B$38)-YEAR($B$39))+MONTH($B$38)-MONTH($B$39))))*(1+'Вводные'!$K$55)^MAX(0,(12*(YEAR(F$3)-YEAR($B$38))+MONTH(F$3)-MONTH($B$38))))</x:f>
      </x:c>
      <x:c r="G51" s="107" t="n">
        <x:f>IF(G50=0,0,'Вводные'!$K$51*'Вводные'!$H$5*INDEX('Вводные'!$S$88:$S$91,$B$36)*INDEX('Вводные'!$AG$88:$AG$91,$B$36)*(1+'Вводные'!$K$54)^MAX(0,MIN((12*(YEAR(G$3)-YEAR($B$39))+MONTH(G$3)-MONTH($B$39)),(12*(YEAR($B$38)-YEAR($B$39))+MONTH($B$38)-MONTH($B$39))))*(1+'Вводные'!$K$55)^MAX(0,(12*(YEAR(G$3)-YEAR($B$38))+MONTH(G$3)-MONTH($B$38))))</x:f>
      </x:c>
      <x:c r="H51" s="107" t="n">
        <x:f>IF(H50=0,0,'Вводные'!$K$51*'Вводные'!$H$5*INDEX('Вводные'!$S$88:$S$91,$B$36)*INDEX('Вводные'!$AG$88:$AG$91,$B$36)*(1+'Вводные'!$K$54)^MAX(0,MIN((12*(YEAR(H$3)-YEAR($B$39))+MONTH(H$3)-MONTH($B$39)),(12*(YEAR($B$38)-YEAR($B$39))+MONTH($B$38)-MONTH($B$39))))*(1+'Вводные'!$K$55)^MAX(0,(12*(YEAR(H$3)-YEAR($B$38))+MONTH(H$3)-MONTH($B$38))))</x:f>
      </x:c>
      <x:c r="I51" s="107" t="n">
        <x:f>IF(I50=0,0,'Вводные'!$K$51*'Вводные'!$H$5*INDEX('Вводные'!$S$88:$S$91,$B$36)*INDEX('Вводные'!$AG$88:$AG$91,$B$36)*(1+'Вводные'!$K$54)^MAX(0,MIN((12*(YEAR(I$3)-YEAR($B$39))+MONTH(I$3)-MONTH($B$39)),(12*(YEAR($B$38)-YEAR($B$39))+MONTH($B$38)-MONTH($B$39))))*(1+'Вводные'!$K$55)^MAX(0,(12*(YEAR(I$3)-YEAR($B$38))+MONTH(I$3)-MONTH($B$38))))</x:f>
      </x:c>
      <x:c r="J51" s="107" t="n">
        <x:f>IF(J50=0,0,'Вводные'!$K$51*'Вводные'!$H$5*INDEX('Вводные'!$S$88:$S$91,$B$36)*INDEX('Вводные'!$AG$88:$AG$91,$B$36)*(1+'Вводные'!$K$54)^MAX(0,MIN((12*(YEAR(J$3)-YEAR($B$39))+MONTH(J$3)-MONTH($B$39)),(12*(YEAR($B$38)-YEAR($B$39))+MONTH($B$38)-MONTH($B$39))))*(1+'Вводные'!$K$55)^MAX(0,(12*(YEAR(J$3)-YEAR($B$38))+MONTH(J$3)-MONTH($B$38))))</x:f>
      </x:c>
      <x:c r="K51" s="107" t="n">
        <x:f>IF(K50=0,0,'Вводные'!$K$51*'Вводные'!$H$5*INDEX('Вводные'!$S$88:$S$91,$B$36)*INDEX('Вводные'!$AG$88:$AG$91,$B$36)*(1+'Вводные'!$K$54)^MAX(0,MIN((12*(YEAR(K$3)-YEAR($B$39))+MONTH(K$3)-MONTH($B$39)),(12*(YEAR($B$38)-YEAR($B$39))+MONTH($B$38)-MONTH($B$39))))*(1+'Вводные'!$K$55)^MAX(0,(12*(YEAR(K$3)-YEAR($B$38))+MONTH(K$3)-MONTH($B$38))))</x:f>
      </x:c>
      <x:c r="L51" s="107" t="n">
        <x:f>IF(L50=0,0,'Вводные'!$K$51*'Вводные'!$H$5*INDEX('Вводные'!$S$88:$S$91,$B$36)*INDEX('Вводные'!$AG$88:$AG$91,$B$36)*(1+'Вводные'!$K$54)^MAX(0,MIN((12*(YEAR(L$3)-YEAR($B$39))+MONTH(L$3)-MONTH($B$39)),(12*(YEAR($B$38)-YEAR($B$39))+MONTH($B$38)-MONTH($B$39))))*(1+'Вводные'!$K$55)^MAX(0,(12*(YEAR(L$3)-YEAR($B$38))+MONTH(L$3)-MONTH($B$38))))</x:f>
      </x:c>
      <x:c r="M51" s="107" t="n">
        <x:f>IF(M50=0,0,'Вводные'!$K$51*'Вводные'!$H$5*INDEX('Вводные'!$S$88:$S$91,$B$36)*INDEX('Вводные'!$AG$88:$AG$91,$B$36)*(1+'Вводные'!$K$54)^MAX(0,MIN((12*(YEAR(M$3)-YEAR($B$39))+MONTH(M$3)-MONTH($B$39)),(12*(YEAR($B$38)-YEAR($B$39))+MONTH($B$38)-MONTH($B$39))))*(1+'Вводные'!$K$55)^MAX(0,(12*(YEAR(M$3)-YEAR($B$38))+MONTH(M$3)-MONTH($B$38))))</x:f>
      </x:c>
      <x:c r="N51" s="107" t="n">
        <x:f>IF(N50=0,0,'Вводные'!$K$51*'Вводные'!$H$5*INDEX('Вводные'!$S$88:$S$91,$B$36)*INDEX('Вводные'!$AG$88:$AG$91,$B$36)*(1+'Вводные'!$K$54)^MAX(0,MIN((12*(YEAR(N$3)-YEAR($B$39))+MONTH(N$3)-MONTH($B$39)),(12*(YEAR($B$38)-YEAR($B$39))+MONTH($B$38)-MONTH($B$39))))*(1+'Вводные'!$K$55)^MAX(0,(12*(YEAR(N$3)-YEAR($B$38))+MONTH(N$3)-MONTH($B$38))))</x:f>
      </x:c>
      <x:c r="O51" s="107" t="n">
        <x:f>IF(O50=0,0,'Вводные'!$K$51*'Вводные'!$H$5*INDEX('Вводные'!$S$88:$S$91,$B$36)*INDEX('Вводные'!$AG$88:$AG$91,$B$36)*(1+'Вводные'!$K$54)^MAX(0,MIN((12*(YEAR(O$3)-YEAR($B$39))+MONTH(O$3)-MONTH($B$39)),(12*(YEAR($B$38)-YEAR($B$39))+MONTH($B$38)-MONTH($B$39))))*(1+'Вводные'!$K$55)^MAX(0,(12*(YEAR(O$3)-YEAR($B$38))+MONTH(O$3)-MONTH($B$38))))</x:f>
      </x:c>
      <x:c r="P51" s="107" t="n">
        <x:f>IF(P50=0,0,'Вводные'!$K$51*'Вводные'!$H$5*INDEX('Вводные'!$S$88:$S$91,$B$36)*INDEX('Вводные'!$AG$88:$AG$91,$B$36)*(1+'Вводные'!$K$54)^MAX(0,MIN((12*(YEAR(P$3)-YEAR($B$39))+MONTH(P$3)-MONTH($B$39)),(12*(YEAR($B$38)-YEAR($B$39))+MONTH($B$38)-MONTH($B$39))))*(1+'Вводные'!$K$55)^MAX(0,(12*(YEAR(P$3)-YEAR($B$38))+MONTH(P$3)-MONTH($B$38))))</x:f>
      </x:c>
      <x:c r="Q51" s="107" t="n">
        <x:f>IF(Q50=0,0,'Вводные'!$K$51*'Вводные'!$H$5*INDEX('Вводные'!$S$88:$S$91,$B$36)*INDEX('Вводные'!$AG$88:$AG$91,$B$36)*(1+'Вводные'!$K$54)^MAX(0,MIN((12*(YEAR(Q$3)-YEAR($B$39))+MONTH(Q$3)-MONTH($B$39)),(12*(YEAR($B$38)-YEAR($B$39))+MONTH($B$38)-MONTH($B$39))))*(1+'Вводные'!$K$55)^MAX(0,(12*(YEAR(Q$3)-YEAR($B$38))+MONTH(Q$3)-MONTH($B$38))))</x:f>
      </x:c>
      <x:c r="R51" s="107" t="n">
        <x:f>IF(R50=0,0,'Вводные'!$K$51*'Вводные'!$H$5*INDEX('Вводные'!$S$88:$S$91,$B$36)*INDEX('Вводные'!$AG$88:$AG$91,$B$36)*(1+'Вводные'!$K$54)^MAX(0,MIN((12*(YEAR(R$3)-YEAR($B$39))+MONTH(R$3)-MONTH($B$39)),(12*(YEAR($B$38)-YEAR($B$39))+MONTH($B$38)-MONTH($B$39))))*(1+'Вводные'!$K$55)^MAX(0,(12*(YEAR(R$3)-YEAR($B$38))+MONTH(R$3)-MONTH($B$38))))</x:f>
      </x:c>
      <x:c r="S51" s="107" t="n">
        <x:f>IF(S50=0,0,'Вводные'!$K$51*'Вводные'!$H$5*INDEX('Вводные'!$S$88:$S$91,$B$36)*INDEX('Вводные'!$AG$88:$AG$91,$B$36)*(1+'Вводные'!$K$54)^MAX(0,MIN((12*(YEAR(S$3)-YEAR($B$39))+MONTH(S$3)-MONTH($B$39)),(12*(YEAR($B$38)-YEAR($B$39))+MONTH($B$38)-MONTH($B$39))))*(1+'Вводные'!$K$55)^MAX(0,(12*(YEAR(S$3)-YEAR($B$38))+MONTH(S$3)-MONTH($B$38))))</x:f>
      </x:c>
      <x:c r="T51" s="107" t="n">
        <x:f>IF(T50=0,0,'Вводные'!$K$51*'Вводные'!$H$5*INDEX('Вводные'!$S$88:$S$91,$B$36)*INDEX('Вводные'!$AG$88:$AG$91,$B$36)*(1+'Вводные'!$K$54)^MAX(0,MIN((12*(YEAR(T$3)-YEAR($B$39))+MONTH(T$3)-MONTH($B$39)),(12*(YEAR($B$38)-YEAR($B$39))+MONTH($B$38)-MONTH($B$39))))*(1+'Вводные'!$K$55)^MAX(0,(12*(YEAR(T$3)-YEAR($B$38))+MONTH(T$3)-MONTH($B$38))))</x:f>
      </x:c>
      <x:c r="U51" s="107" t="n">
        <x:f>IF(U50=0,0,'Вводные'!$K$51*'Вводные'!$H$5*INDEX('Вводные'!$S$88:$S$91,$B$36)*INDEX('Вводные'!$AG$88:$AG$91,$B$36)*(1+'Вводные'!$K$54)^MAX(0,MIN((12*(YEAR(U$3)-YEAR($B$39))+MONTH(U$3)-MONTH($B$39)),(12*(YEAR($B$38)-YEAR($B$39))+MONTH($B$38)-MONTH($B$39))))*(1+'Вводные'!$K$55)^MAX(0,(12*(YEAR(U$3)-YEAR($B$38))+MONTH(U$3)-MONTH($B$38))))</x:f>
      </x:c>
      <x:c r="V51" s="107" t="n">
        <x:f>IF(V50=0,0,'Вводные'!$K$51*'Вводные'!$H$5*INDEX('Вводные'!$S$88:$S$91,$B$36)*INDEX('Вводные'!$AG$88:$AG$91,$B$36)*(1+'Вводные'!$K$54)^MAX(0,MIN((12*(YEAR(V$3)-YEAR($B$39))+MONTH(V$3)-MONTH($B$39)),(12*(YEAR($B$38)-YEAR($B$39))+MONTH($B$38)-MONTH($B$39))))*(1+'Вводные'!$K$55)^MAX(0,(12*(YEAR(V$3)-YEAR($B$38))+MONTH(V$3)-MONTH($B$38))))</x:f>
      </x:c>
      <x:c r="W51" s="107" t="n">
        <x:f>IF(W50=0,0,'Вводные'!$K$51*'Вводные'!$H$5*INDEX('Вводные'!$S$88:$S$91,$B$36)*INDEX('Вводные'!$AG$88:$AG$91,$B$36)*(1+'Вводные'!$K$54)^MAX(0,MIN((12*(YEAR(W$3)-YEAR($B$39))+MONTH(W$3)-MONTH($B$39)),(12*(YEAR($B$38)-YEAR($B$39))+MONTH($B$38)-MONTH($B$39))))*(1+'Вводные'!$K$55)^MAX(0,(12*(YEAR(W$3)-YEAR($B$38))+MONTH(W$3)-MONTH($B$38))))</x:f>
      </x:c>
      <x:c r="X51" s="107" t="n">
        <x:f>IF(X50=0,0,'Вводные'!$K$51*'Вводные'!$H$5*INDEX('Вводные'!$S$88:$S$91,$B$36)*INDEX('Вводные'!$AG$88:$AG$91,$B$36)*(1+'Вводные'!$K$54)^MAX(0,MIN((12*(YEAR(X$3)-YEAR($B$39))+MONTH(X$3)-MONTH($B$39)),(12*(YEAR($B$38)-YEAR($B$39))+MONTH($B$38)-MONTH($B$39))))*(1+'Вводные'!$K$55)^MAX(0,(12*(YEAR(X$3)-YEAR($B$38))+MONTH(X$3)-MONTH($B$38))))</x:f>
      </x:c>
      <x:c r="Y51" s="107" t="n">
        <x:f>IF(Y50=0,0,'Вводные'!$K$51*'Вводные'!$H$5*INDEX('Вводные'!$S$88:$S$91,$B$36)*INDEX('Вводные'!$AG$88:$AG$91,$B$36)*(1+'Вводные'!$K$54)^MAX(0,MIN((12*(YEAR(Y$3)-YEAR($B$39))+MONTH(Y$3)-MONTH($B$39)),(12*(YEAR($B$38)-YEAR($B$39))+MONTH($B$38)-MONTH($B$39))))*(1+'Вводные'!$K$55)^MAX(0,(12*(YEAR(Y$3)-YEAR($B$38))+MONTH(Y$3)-MONTH($B$38))))</x:f>
      </x:c>
      <x:c r="Z51" s="107" t="n">
        <x:f>IF(Z50=0,0,'Вводные'!$K$51*'Вводные'!$H$5*INDEX('Вводные'!$S$88:$S$91,$B$36)*INDEX('Вводные'!$AG$88:$AG$91,$B$36)*(1+'Вводные'!$K$54)^MAX(0,MIN((12*(YEAR(Z$3)-YEAR($B$39))+MONTH(Z$3)-MONTH($B$39)),(12*(YEAR($B$38)-YEAR($B$39))+MONTH($B$38)-MONTH($B$39))))*(1+'Вводные'!$K$55)^MAX(0,(12*(YEAR(Z$3)-YEAR($B$38))+MONTH(Z$3)-MONTH($B$38))))</x:f>
      </x:c>
      <x:c r="AA51" s="107" t="n">
        <x:f>IF(AA50=0,0,'Вводные'!$K$51*'Вводные'!$H$5*INDEX('Вводные'!$S$88:$S$91,$B$36)*INDEX('Вводные'!$AG$88:$AG$91,$B$36)*(1+'Вводные'!$K$54)^MAX(0,MIN((12*(YEAR(AA$3)-YEAR($B$39))+MONTH(AA$3)-MONTH($B$39)),(12*(YEAR($B$38)-YEAR($B$39))+MONTH($B$38)-MONTH($B$39))))*(1+'Вводные'!$K$55)^MAX(0,(12*(YEAR(AA$3)-YEAR($B$38))+MONTH(AA$3)-MONTH($B$38))))</x:f>
      </x:c>
      <x:c r="AB51" s="107" t="n">
        <x:f>IF(AB50=0,0,'Вводные'!$K$51*'Вводные'!$H$5*INDEX('Вводные'!$S$88:$S$91,$B$36)*INDEX('Вводные'!$AG$88:$AG$91,$B$36)*(1+'Вводные'!$K$54)^MAX(0,MIN((12*(YEAR(AB$3)-YEAR($B$39))+MONTH(AB$3)-MONTH($B$39)),(12*(YEAR($B$38)-YEAR($B$39))+MONTH($B$38)-MONTH($B$39))))*(1+'Вводные'!$K$55)^MAX(0,(12*(YEAR(AB$3)-YEAR($B$38))+MONTH(AB$3)-MONTH($B$38))))</x:f>
      </x:c>
      <x:c r="AC51" s="107" t="n">
        <x:f>IF(AC50=0,0,'Вводные'!$K$51*'Вводные'!$H$5*INDEX('Вводные'!$S$88:$S$91,$B$36)*INDEX('Вводные'!$AG$88:$AG$91,$B$36)*(1+'Вводные'!$K$54)^MAX(0,MIN((12*(YEAR(AC$3)-YEAR($B$39))+MONTH(AC$3)-MONTH($B$39)),(12*(YEAR($B$38)-YEAR($B$39))+MONTH($B$38)-MONTH($B$39))))*(1+'Вводные'!$K$55)^MAX(0,(12*(YEAR(AC$3)-YEAR($B$38))+MONTH(AC$3)-MONTH($B$38))))</x:f>
      </x:c>
      <x:c r="AD51" s="107" t="n">
        <x:f>IF(AD50=0,0,'Вводные'!$K$51*'Вводные'!$H$5*INDEX('Вводные'!$S$88:$S$91,$B$36)*INDEX('Вводные'!$AG$88:$AG$91,$B$36)*(1+'Вводные'!$K$54)^MAX(0,MIN((12*(YEAR(AD$3)-YEAR($B$39))+MONTH(AD$3)-MONTH($B$39)),(12*(YEAR($B$38)-YEAR($B$39))+MONTH($B$38)-MONTH($B$39))))*(1+'Вводные'!$K$55)^MAX(0,(12*(YEAR(AD$3)-YEAR($B$38))+MONTH(AD$3)-MONTH($B$38))))</x:f>
      </x:c>
      <x:c r="AE51" s="107" t="n">
        <x:f>IF(AE50=0,0,'Вводные'!$K$51*'Вводные'!$H$5*INDEX('Вводные'!$S$88:$S$91,$B$36)*INDEX('Вводные'!$AG$88:$AG$91,$B$36)*(1+'Вводные'!$K$54)^MAX(0,MIN((12*(YEAR(AE$3)-YEAR($B$39))+MONTH(AE$3)-MONTH($B$39)),(12*(YEAR($B$38)-YEAR($B$39))+MONTH($B$38)-MONTH($B$39))))*(1+'Вводные'!$K$55)^MAX(0,(12*(YEAR(AE$3)-YEAR($B$38))+MONTH(AE$3)-MONTH($B$38))))</x:f>
      </x:c>
      <x:c r="AF51" s="107" t="n">
        <x:f>IF(AF50=0,0,'Вводные'!$K$51*'Вводные'!$H$5*INDEX('Вводные'!$S$88:$S$91,$B$36)*INDEX('Вводные'!$AG$88:$AG$91,$B$36)*(1+'Вводные'!$K$54)^MAX(0,MIN((12*(YEAR(AF$3)-YEAR($B$39))+MONTH(AF$3)-MONTH($B$39)),(12*(YEAR($B$38)-YEAR($B$39))+MONTH($B$38)-MONTH($B$39))))*(1+'Вводные'!$K$55)^MAX(0,(12*(YEAR(AF$3)-YEAR($B$38))+MONTH(AF$3)-MONTH($B$38))))</x:f>
      </x:c>
      <x:c r="AG51" s="107" t="n">
        <x:f>IF(AG50=0,0,'Вводные'!$K$51*'Вводные'!$H$5*INDEX('Вводные'!$S$88:$S$91,$B$36)*INDEX('Вводные'!$AG$88:$AG$91,$B$36)*(1+'Вводные'!$K$54)^MAX(0,MIN((12*(YEAR(AG$3)-YEAR($B$39))+MONTH(AG$3)-MONTH($B$39)),(12*(YEAR($B$38)-YEAR($B$39))+MONTH($B$38)-MONTH($B$39))))*(1+'Вводные'!$K$55)^MAX(0,(12*(YEAR(AG$3)-YEAR($B$38))+MONTH(AG$3)-MONTH($B$38))))</x:f>
      </x:c>
      <x:c r="AH51" s="107" t="n">
        <x:f>IF(AH50=0,0,'Вводные'!$K$51*'Вводные'!$H$5*INDEX('Вводные'!$S$88:$S$91,$B$36)*INDEX('Вводные'!$AG$88:$AG$91,$B$36)*(1+'Вводные'!$K$54)^MAX(0,MIN((12*(YEAR(AH$3)-YEAR($B$39))+MONTH(AH$3)-MONTH($B$39)),(12*(YEAR($B$38)-YEAR($B$39))+MONTH($B$38)-MONTH($B$39))))*(1+'Вводные'!$K$55)^MAX(0,(12*(YEAR(AH$3)-YEAR($B$38))+MONTH(AH$3)-MONTH($B$38))))</x:f>
      </x:c>
      <x:c r="AI51" s="107" t="n">
        <x:f>IF(AI50=0,0,'Вводные'!$K$51*'Вводные'!$H$5*INDEX('Вводные'!$S$88:$S$91,$B$36)*INDEX('Вводные'!$AG$88:$AG$91,$B$36)*(1+'Вводные'!$K$54)^MAX(0,MIN((12*(YEAR(AI$3)-YEAR($B$39))+MONTH(AI$3)-MONTH($B$39)),(12*(YEAR($B$38)-YEAR($B$39))+MONTH($B$38)-MONTH($B$39))))*(1+'Вводные'!$K$55)^MAX(0,(12*(YEAR(AI$3)-YEAR($B$38))+MONTH(AI$3)-MONTH($B$38))))</x:f>
      </x:c>
      <x:c r="AJ51" s="107" t="n">
        <x:f>IF(AJ50=0,0,'Вводные'!$K$51*'Вводные'!$H$5*INDEX('Вводные'!$S$88:$S$91,$B$36)*INDEX('Вводные'!$AG$88:$AG$91,$B$36)*(1+'Вводные'!$K$54)^MAX(0,MIN((12*(YEAR(AJ$3)-YEAR($B$39))+MONTH(AJ$3)-MONTH($B$39)),(12*(YEAR($B$38)-YEAR($B$39))+MONTH($B$38)-MONTH($B$39))))*(1+'Вводные'!$K$55)^MAX(0,(12*(YEAR(AJ$3)-YEAR($B$38))+MONTH(AJ$3)-MONTH($B$38))))</x:f>
      </x:c>
      <x:c r="AK51" s="107" t="n">
        <x:f>IF(AK50=0,0,'Вводные'!$K$51*'Вводные'!$H$5*INDEX('Вводные'!$S$88:$S$91,$B$36)*INDEX('Вводные'!$AG$88:$AG$91,$B$36)*(1+'Вводные'!$K$54)^MAX(0,MIN((12*(YEAR(AK$3)-YEAR($B$39))+MONTH(AK$3)-MONTH($B$39)),(12*(YEAR($B$38)-YEAR($B$39))+MONTH($B$38)-MONTH($B$39))))*(1+'Вводные'!$K$55)^MAX(0,(12*(YEAR(AK$3)-YEAR($B$38))+MONTH(AK$3)-MONTH($B$38))))</x:f>
      </x:c>
      <x:c r="AL51" s="107" t="n">
        <x:f>IF(AL50=0,0,'Вводные'!$K$51*'Вводные'!$H$5*INDEX('Вводные'!$S$88:$S$91,$B$36)*INDEX('Вводные'!$AG$88:$AG$91,$B$36)*(1+'Вводные'!$K$54)^MAX(0,MIN((12*(YEAR(AL$3)-YEAR($B$39))+MONTH(AL$3)-MONTH($B$39)),(12*(YEAR($B$38)-YEAR($B$39))+MONTH($B$38)-MONTH($B$39))))*(1+'Вводные'!$K$55)^MAX(0,(12*(YEAR(AL$3)-YEAR($B$38))+MONTH(AL$3)-MONTH($B$38))))</x:f>
      </x:c>
      <x:c r="AM51" s="107" t="n">
        <x:f>IF(AM50=0,0,'Вводные'!$K$51*'Вводные'!$H$5*INDEX('Вводные'!$S$88:$S$91,$B$36)*INDEX('Вводные'!$AG$88:$AG$91,$B$36)*(1+'Вводные'!$K$54)^MAX(0,MIN((12*(YEAR(AM$3)-YEAR($B$39))+MONTH(AM$3)-MONTH($B$39)),(12*(YEAR($B$38)-YEAR($B$39))+MONTH($B$38)-MONTH($B$39))))*(1+'Вводные'!$K$55)^MAX(0,(12*(YEAR(AM$3)-YEAR($B$38))+MONTH(AM$3)-MONTH($B$38))))</x:f>
      </x:c>
      <x:c r="AN51" s="107" t="n">
        <x:f>IF(AN50=0,0,'Вводные'!$K$51*'Вводные'!$H$5*INDEX('Вводные'!$S$88:$S$91,$B$36)*INDEX('Вводные'!$AG$88:$AG$91,$B$36)*(1+'Вводные'!$K$54)^MAX(0,MIN((12*(YEAR(AN$3)-YEAR($B$39))+MONTH(AN$3)-MONTH($B$39)),(12*(YEAR($B$38)-YEAR($B$39))+MONTH($B$38)-MONTH($B$39))))*(1+'Вводные'!$K$55)^MAX(0,(12*(YEAR(AN$3)-YEAR($B$38))+MONTH(AN$3)-MONTH($B$38))))</x:f>
      </x:c>
      <x:c r="AO51" s="107" t="n">
        <x:f>IF(AO50=0,0,'Вводные'!$K$51*'Вводные'!$H$5*INDEX('Вводные'!$S$88:$S$91,$B$36)*INDEX('Вводные'!$AG$88:$AG$91,$B$36)*(1+'Вводные'!$K$54)^MAX(0,MIN((12*(YEAR(AO$3)-YEAR($B$39))+MONTH(AO$3)-MONTH($B$39)),(12*(YEAR($B$38)-YEAR($B$39))+MONTH($B$38)-MONTH($B$39))))*(1+'Вводные'!$K$55)^MAX(0,(12*(YEAR(AO$3)-YEAR($B$38))+MONTH(AO$3)-MONTH($B$38))))</x:f>
      </x:c>
      <x:c r="AP51" s="107" t="n">
        <x:f>IF(AP50=0,0,'Вводные'!$K$51*'Вводные'!$H$5*INDEX('Вводные'!$S$88:$S$91,$B$36)*INDEX('Вводные'!$AG$88:$AG$91,$B$36)*(1+'Вводные'!$K$54)^MAX(0,MIN((12*(YEAR(AP$3)-YEAR($B$39))+MONTH(AP$3)-MONTH($B$39)),(12*(YEAR($B$38)-YEAR($B$39))+MONTH($B$38)-MONTH($B$39))))*(1+'Вводные'!$K$55)^MAX(0,(12*(YEAR(AP$3)-YEAR($B$38))+MONTH(AP$3)-MONTH($B$38))))</x:f>
      </x:c>
      <x:c r="AQ51" s="107" t="n">
        <x:f>IF(AQ50=0,0,'Вводные'!$K$51*'Вводные'!$H$5*INDEX('Вводные'!$S$88:$S$91,$B$36)*INDEX('Вводные'!$AG$88:$AG$91,$B$36)*(1+'Вводные'!$K$54)^MAX(0,MIN((12*(YEAR(AQ$3)-YEAR($B$39))+MONTH(AQ$3)-MONTH($B$39)),(12*(YEAR($B$38)-YEAR($B$39))+MONTH($B$38)-MONTH($B$39))))*(1+'Вводные'!$K$55)^MAX(0,(12*(YEAR(AQ$3)-YEAR($B$38))+MONTH(AQ$3)-MONTH($B$38))))</x:f>
      </x:c>
      <x:c r="AR51" s="107" t="n">
        <x:f>IF(AR50=0,0,'Вводные'!$K$51*'Вводные'!$H$5*INDEX('Вводные'!$S$88:$S$91,$B$36)*INDEX('Вводные'!$AG$88:$AG$91,$B$36)*(1+'Вводные'!$K$54)^MAX(0,MIN((12*(YEAR(AR$3)-YEAR($B$39))+MONTH(AR$3)-MONTH($B$39)),(12*(YEAR($B$38)-YEAR($B$39))+MONTH($B$38)-MONTH($B$39))))*(1+'Вводные'!$K$55)^MAX(0,(12*(YEAR(AR$3)-YEAR($B$38))+MONTH(AR$3)-MONTH($B$38))))</x:f>
      </x:c>
      <x:c r="AS51" s="107" t="n">
        <x:f>IF(AS50=0,0,'Вводные'!$K$51*'Вводные'!$H$5*INDEX('Вводные'!$S$88:$S$91,$B$36)*INDEX('Вводные'!$AG$88:$AG$91,$B$36)*(1+'Вводные'!$K$54)^MAX(0,MIN((12*(YEAR(AS$3)-YEAR($B$39))+MONTH(AS$3)-MONTH($B$39)),(12*(YEAR($B$38)-YEAR($B$39))+MONTH($B$38)-MONTH($B$39))))*(1+'Вводные'!$K$55)^MAX(0,(12*(YEAR(AS$3)-YEAR($B$38))+MONTH(AS$3)-MONTH($B$38))))</x:f>
      </x:c>
      <x:c r="AT51" s="107" t="n">
        <x:f>IF(AT50=0,0,'Вводные'!$K$51*'Вводные'!$H$5*INDEX('Вводные'!$S$88:$S$91,$B$36)*INDEX('Вводные'!$AG$88:$AG$91,$B$36)*(1+'Вводные'!$K$54)^MAX(0,MIN((12*(YEAR(AT$3)-YEAR($B$39))+MONTH(AT$3)-MONTH($B$39)),(12*(YEAR($B$38)-YEAR($B$39))+MONTH($B$38)-MONTH($B$39))))*(1+'Вводные'!$K$55)^MAX(0,(12*(YEAR(AT$3)-YEAR($B$38))+MONTH(AT$3)-MONTH($B$38))))</x:f>
      </x:c>
      <x:c r="AU51" s="107" t="n">
        <x:f>IF(AU50=0,0,'Вводные'!$K$51*'Вводные'!$H$5*INDEX('Вводные'!$S$88:$S$91,$B$36)*INDEX('Вводные'!$AG$88:$AG$91,$B$36)*(1+'Вводные'!$K$54)^MAX(0,MIN((12*(YEAR(AU$3)-YEAR($B$39))+MONTH(AU$3)-MONTH($B$39)),(12*(YEAR($B$38)-YEAR($B$39))+MONTH($B$38)-MONTH($B$39))))*(1+'Вводные'!$K$55)^MAX(0,(12*(YEAR(AU$3)-YEAR($B$38))+MONTH(AU$3)-MONTH($B$38))))</x:f>
      </x:c>
      <x:c r="AV51" s="107" t="n">
        <x:f>IF(AV50=0,0,'Вводные'!$K$51*'Вводные'!$H$5*INDEX('Вводные'!$S$88:$S$91,$B$36)*INDEX('Вводные'!$AG$88:$AG$91,$B$36)*(1+'Вводные'!$K$54)^MAX(0,MIN((12*(YEAR(AV$3)-YEAR($B$39))+MONTH(AV$3)-MONTH($B$39)),(12*(YEAR($B$38)-YEAR($B$39))+MONTH($B$38)-MONTH($B$39))))*(1+'Вводные'!$K$55)^MAX(0,(12*(YEAR(AV$3)-YEAR($B$38))+MONTH(AV$3)-MONTH($B$38))))</x:f>
      </x:c>
      <x:c r="AW51" s="107" t="n">
        <x:f>IF(AW50=0,0,'Вводные'!$K$51*'Вводные'!$H$5*INDEX('Вводные'!$S$88:$S$91,$B$36)*INDEX('Вводные'!$AG$88:$AG$91,$B$36)*(1+'Вводные'!$K$54)^MAX(0,MIN((12*(YEAR(AW$3)-YEAR($B$39))+MONTH(AW$3)-MONTH($B$39)),(12*(YEAR($B$38)-YEAR($B$39))+MONTH($B$38)-MONTH($B$39))))*(1+'Вводные'!$K$55)^MAX(0,(12*(YEAR(AW$3)-YEAR($B$38))+MONTH(AW$3)-MONTH($B$38))))</x:f>
      </x:c>
      <x:c r="AX51" s="107" t="n">
        <x:f>IF(AX50=0,0,'Вводные'!$K$51*'Вводные'!$H$5*INDEX('Вводные'!$S$88:$S$91,$B$36)*INDEX('Вводные'!$AG$88:$AG$91,$B$36)*(1+'Вводные'!$K$54)^MAX(0,MIN((12*(YEAR(AX$3)-YEAR($B$39))+MONTH(AX$3)-MONTH($B$39)),(12*(YEAR($B$38)-YEAR($B$39))+MONTH($B$38)-MONTH($B$39))))*(1+'Вводные'!$K$55)^MAX(0,(12*(YEAR(AX$3)-YEAR($B$38))+MONTH(AX$3)-MONTH($B$38))))</x:f>
      </x:c>
      <x:c r="AY51" s="107" t="n">
        <x:f>IF(AY50=0,0,'Вводные'!$K$51*'Вводные'!$H$5*INDEX('Вводные'!$S$88:$S$91,$B$36)*INDEX('Вводные'!$AG$88:$AG$91,$B$36)*(1+'Вводные'!$K$54)^MAX(0,MIN((12*(YEAR(AY$3)-YEAR($B$39))+MONTH(AY$3)-MONTH($B$39)),(12*(YEAR($B$38)-YEAR($B$39))+MONTH($B$38)-MONTH($B$39))))*(1+'Вводные'!$K$55)^MAX(0,(12*(YEAR(AY$3)-YEAR($B$38))+MONTH(AY$3)-MONTH($B$38))))</x:f>
      </x:c>
      <x:c r="AZ51" s="107" t="n">
        <x:f>IF(AZ50=0,0,'Вводные'!$K$51*'Вводные'!$H$5*INDEX('Вводные'!$S$88:$S$91,$B$36)*INDEX('Вводные'!$AG$88:$AG$91,$B$36)*(1+'Вводные'!$K$54)^MAX(0,MIN((12*(YEAR(AZ$3)-YEAR($B$39))+MONTH(AZ$3)-MONTH($B$39)),(12*(YEAR($B$38)-YEAR($B$39))+MONTH($B$38)-MONTH($B$39))))*(1+'Вводные'!$K$55)^MAX(0,(12*(YEAR(AZ$3)-YEAR($B$38))+MONTH(AZ$3)-MONTH($B$38))))</x:f>
      </x:c>
      <x:c r="BA51" s="107" t="n">
        <x:f>IF(BA50=0,0,'Вводные'!$K$51*'Вводные'!$H$5*INDEX('Вводные'!$S$88:$S$91,$B$36)*INDEX('Вводные'!$AG$88:$AG$91,$B$36)*(1+'Вводные'!$K$54)^MAX(0,MIN((12*(YEAR(BA$3)-YEAR($B$39))+MONTH(BA$3)-MONTH($B$39)),(12*(YEAR($B$38)-YEAR($B$39))+MONTH($B$38)-MONTH($B$39))))*(1+'Вводные'!$K$55)^MAX(0,(12*(YEAR(BA$3)-YEAR($B$38))+MONTH(BA$3)-MONTH($B$38))))</x:f>
      </x:c>
      <x:c r="BB51" s="107" t="n">
        <x:f>IF(BB50=0,0,'Вводные'!$K$51*'Вводные'!$H$5*INDEX('Вводные'!$S$88:$S$91,$B$36)*INDEX('Вводные'!$AG$88:$AG$91,$B$36)*(1+'Вводные'!$K$54)^MAX(0,MIN((12*(YEAR(BB$3)-YEAR($B$39))+MONTH(BB$3)-MONTH($B$39)),(12*(YEAR($B$38)-YEAR($B$39))+MONTH($B$38)-MONTH($B$39))))*(1+'Вводные'!$K$55)^MAX(0,(12*(YEAR(BB$3)-YEAR($B$38))+MONTH(BB$3)-MONTH($B$38))))</x:f>
      </x:c>
      <x:c r="BC51" s="107" t="n">
        <x:f>IF(BC50=0,0,'Вводные'!$K$51*'Вводные'!$H$5*INDEX('Вводные'!$S$88:$S$91,$B$36)*INDEX('Вводные'!$AG$88:$AG$91,$B$36)*(1+'Вводные'!$K$54)^MAX(0,MIN((12*(YEAR(BC$3)-YEAR($B$39))+MONTH(BC$3)-MONTH($B$39)),(12*(YEAR($B$38)-YEAR($B$39))+MONTH($B$38)-MONTH($B$39))))*(1+'Вводные'!$K$55)^MAX(0,(12*(YEAR(BC$3)-YEAR($B$38))+MONTH(BC$3)-MONTH($B$38))))</x:f>
      </x:c>
      <x:c r="BD51" s="107" t="n">
        <x:f>IF(BD50=0,0,'Вводные'!$K$51*'Вводные'!$H$5*INDEX('Вводные'!$S$88:$S$91,$B$36)*INDEX('Вводные'!$AG$88:$AG$91,$B$36)*(1+'Вводные'!$K$54)^MAX(0,MIN((12*(YEAR(BD$3)-YEAR($B$39))+MONTH(BD$3)-MONTH($B$39)),(12*(YEAR($B$38)-YEAR($B$39))+MONTH($B$38)-MONTH($B$39))))*(1+'Вводные'!$K$55)^MAX(0,(12*(YEAR(BD$3)-YEAR($B$38))+MONTH(BD$3)-MONTH($B$38))))</x:f>
      </x:c>
      <x:c r="BE51" s="107" t="n">
        <x:f>IF(BE50=0,0,'Вводные'!$K$51*'Вводные'!$H$5*INDEX('Вводные'!$S$88:$S$91,$B$36)*INDEX('Вводные'!$AG$88:$AG$91,$B$36)*(1+'Вводные'!$K$54)^MAX(0,MIN((12*(YEAR(BE$3)-YEAR($B$39))+MONTH(BE$3)-MONTH($B$39)),(12*(YEAR($B$38)-YEAR($B$39))+MONTH($B$38)-MONTH($B$39))))*(1+'Вводные'!$K$55)^MAX(0,(12*(YEAR(BE$3)-YEAR($B$38))+MONTH(BE$3)-MONTH($B$38))))</x:f>
      </x:c>
      <x:c r="BF51" s="107" t="n">
        <x:f>IF(BF50=0,0,'Вводные'!$K$51*'Вводные'!$H$5*INDEX('Вводные'!$S$88:$S$91,$B$36)*INDEX('Вводные'!$AG$88:$AG$91,$B$36)*(1+'Вводные'!$K$54)^MAX(0,MIN((12*(YEAR(BF$3)-YEAR($B$39))+MONTH(BF$3)-MONTH($B$39)),(12*(YEAR($B$38)-YEAR($B$39))+MONTH($B$38)-MONTH($B$39))))*(1+'Вводные'!$K$55)^MAX(0,(12*(YEAR(BF$3)-YEAR($B$38))+MONTH(BF$3)-MONTH($B$38))))</x:f>
      </x:c>
      <x:c r="BG51" s="107" t="n">
        <x:f>IF(BG50=0,0,'Вводные'!$K$51*'Вводные'!$H$5*INDEX('Вводные'!$S$88:$S$91,$B$36)*INDEX('Вводные'!$AG$88:$AG$91,$B$36)*(1+'Вводные'!$K$54)^MAX(0,MIN((12*(YEAR(BG$3)-YEAR($B$39))+MONTH(BG$3)-MONTH($B$39)),(12*(YEAR($B$38)-YEAR($B$39))+MONTH($B$38)-MONTH($B$39))))*(1+'Вводные'!$K$55)^MAX(0,(12*(YEAR(BG$3)-YEAR($B$38))+MONTH(BG$3)-MONTH($B$38))))</x:f>
      </x:c>
      <x:c r="BH51" s="107" t="n">
        <x:f>IF(BH50=0,0,'Вводные'!$K$51*'Вводные'!$H$5*INDEX('Вводные'!$S$88:$S$91,$B$36)*INDEX('Вводные'!$AG$88:$AG$91,$B$36)*(1+'Вводные'!$K$54)^MAX(0,MIN((12*(YEAR(BH$3)-YEAR($B$39))+MONTH(BH$3)-MONTH($B$39)),(12*(YEAR($B$38)-YEAR($B$39))+MONTH($B$38)-MONTH($B$39))))*(1+'Вводные'!$K$55)^MAX(0,(12*(YEAR(BH$3)-YEAR($B$38))+MONTH(BH$3)-MONTH($B$38))))</x:f>
      </x:c>
      <x:c r="BI51" s="107" t="n">
        <x:f>IF(BI50=0,0,'Вводные'!$K$51*'Вводные'!$H$5*INDEX('Вводные'!$S$88:$S$91,$B$36)*INDEX('Вводные'!$AG$88:$AG$91,$B$36)*(1+'Вводные'!$K$54)^MAX(0,MIN((12*(YEAR(BI$3)-YEAR($B$39))+MONTH(BI$3)-MONTH($B$39)),(12*(YEAR($B$38)-YEAR($B$39))+MONTH($B$38)-MONTH($B$39))))*(1+'Вводные'!$K$55)^MAX(0,(12*(YEAR(BI$3)-YEAR($B$38))+MONTH(BI$3)-MONTH($B$38))))</x:f>
      </x:c>
      <x:c r="BJ51" s="107" t="n">
        <x:f>IF(BJ50=0,0,'Вводные'!$K$51*'Вводные'!$H$5*INDEX('Вводные'!$S$88:$S$91,$B$36)*INDEX('Вводные'!$AG$88:$AG$91,$B$36)*(1+'Вводные'!$K$54)^MAX(0,MIN((12*(YEAR(BJ$3)-YEAR($B$39))+MONTH(BJ$3)-MONTH($B$39)),(12*(YEAR($B$38)-YEAR($B$39))+MONTH($B$38)-MONTH($B$39))))*(1+'Вводные'!$K$55)^MAX(0,(12*(YEAR(BJ$3)-YEAR($B$38))+MONTH(BJ$3)-MONTH($B$38))))</x:f>
      </x:c>
      <x:c r="BK51" s="107" t="n">
        <x:f>IF(BK50=0,0,'Вводные'!$K$51*'Вводные'!$H$5*INDEX('Вводные'!$S$88:$S$91,$B$36)*INDEX('Вводные'!$AG$88:$AG$91,$B$36)*(1+'Вводные'!$K$54)^MAX(0,MIN((12*(YEAR(BK$3)-YEAR($B$39))+MONTH(BK$3)-MONTH($B$39)),(12*(YEAR($B$38)-YEAR($B$39))+MONTH($B$38)-MONTH($B$39))))*(1+'Вводные'!$K$55)^MAX(0,(12*(YEAR(BK$3)-YEAR($B$38))+MONTH(BK$3)-MONTH($B$38))))</x:f>
      </x:c>
      <x:c r="BL51" s="107" t="n">
        <x:f>IF(BL50=0,0,'Вводные'!$K$51*'Вводные'!$H$5*INDEX('Вводные'!$S$88:$S$91,$B$36)*INDEX('Вводные'!$AG$88:$AG$91,$B$36)*(1+'Вводные'!$K$54)^MAX(0,MIN((12*(YEAR(BL$3)-YEAR($B$39))+MONTH(BL$3)-MONTH($B$39)),(12*(YEAR($B$38)-YEAR($B$39))+MONTH($B$38)-MONTH($B$39))))*(1+'Вводные'!$K$55)^MAX(0,(12*(YEAR(BL$3)-YEAR($B$38))+MONTH(BL$3)-MONTH($B$38))))</x:f>
      </x:c>
      <x:c r="BM51" s="107" t="n">
        <x:f>IF(BM50=0,0,'Вводные'!$K$51*'Вводные'!$H$5*INDEX('Вводные'!$S$88:$S$91,$B$36)*INDEX('Вводные'!$AG$88:$AG$91,$B$36)*(1+'Вводные'!$K$54)^MAX(0,MIN((12*(YEAR(BM$3)-YEAR($B$39))+MONTH(BM$3)-MONTH($B$39)),(12*(YEAR($B$38)-YEAR($B$39))+MONTH($B$38)-MONTH($B$39))))*(1+'Вводные'!$K$55)^MAX(0,(12*(YEAR(BM$3)-YEAR($B$38))+MONTH(BM$3)-MONTH($B$38))))</x:f>
      </x:c>
      <x:c r="BN51" s="107" t="n">
        <x:f>IF(BN50=0,0,'Вводные'!$K$51*'Вводные'!$H$5*INDEX('Вводные'!$S$88:$S$91,$B$36)*INDEX('Вводные'!$AG$88:$AG$91,$B$36)*(1+'Вводные'!$K$54)^MAX(0,MIN((12*(YEAR(BN$3)-YEAR($B$39))+MONTH(BN$3)-MONTH($B$39)),(12*(YEAR($B$38)-YEAR($B$39))+MONTH($B$38)-MONTH($B$39))))*(1+'Вводные'!$K$55)^MAX(0,(12*(YEAR(BN$3)-YEAR($B$38))+MONTH(BN$3)-MONTH($B$38))))</x:f>
      </x:c>
      <x:c r="BO51" s="107" t="n">
        <x:f>IF(BO50=0,0,'Вводные'!$K$51*'Вводные'!$H$5*INDEX('Вводные'!$S$88:$S$91,$B$36)*INDEX('Вводные'!$AG$88:$AG$91,$B$36)*(1+'Вводные'!$K$54)^MAX(0,MIN((12*(YEAR(BO$3)-YEAR($B$39))+MONTH(BO$3)-MONTH($B$39)),(12*(YEAR($B$38)-YEAR($B$39))+MONTH($B$38)-MONTH($B$39))))*(1+'Вводные'!$K$55)^MAX(0,(12*(YEAR(BO$3)-YEAR($B$38))+MONTH(BO$3)-MONTH($B$38))))</x:f>
      </x:c>
      <x:c r="BP51" s="107" t="n">
        <x:f>IF(BP50=0,0,'Вводные'!$K$51*'Вводные'!$H$5*INDEX('Вводные'!$S$88:$S$91,$B$36)*INDEX('Вводные'!$AG$88:$AG$91,$B$36)*(1+'Вводные'!$K$54)^MAX(0,MIN((12*(YEAR(BP$3)-YEAR($B$39))+MONTH(BP$3)-MONTH($B$39)),(12*(YEAR($B$38)-YEAR($B$39))+MONTH($B$38)-MONTH($B$39))))*(1+'Вводные'!$K$55)^MAX(0,(12*(YEAR(BP$3)-YEAR($B$38))+MONTH(BP$3)-MONTH($B$38))))</x:f>
      </x:c>
      <x:c r="BQ51" s="107" t="n">
        <x:f>IF(BQ50=0,0,'Вводные'!$K$51*'Вводные'!$H$5*INDEX('Вводные'!$S$88:$S$91,$B$36)*INDEX('Вводные'!$AG$88:$AG$91,$B$36)*(1+'Вводные'!$K$54)^MAX(0,MIN((12*(YEAR(BQ$3)-YEAR($B$39))+MONTH(BQ$3)-MONTH($B$39)),(12*(YEAR($B$38)-YEAR($B$39))+MONTH($B$38)-MONTH($B$39))))*(1+'Вводные'!$K$55)^MAX(0,(12*(YEAR(BQ$3)-YEAR($B$38))+MONTH(BQ$3)-MONTH($B$38))))</x:f>
      </x:c>
      <x:c r="BR51" s="107" t="n">
        <x:f>IF(BR50=0,0,'Вводные'!$K$51*'Вводные'!$H$5*INDEX('Вводные'!$S$88:$S$91,$B$36)*INDEX('Вводные'!$AG$88:$AG$91,$B$36)*(1+'Вводные'!$K$54)^MAX(0,MIN((12*(YEAR(BR$3)-YEAR($B$39))+MONTH(BR$3)-MONTH($B$39)),(12*(YEAR($B$38)-YEAR($B$39))+MONTH($B$38)-MONTH($B$39))))*(1+'Вводные'!$K$55)^MAX(0,(12*(YEAR(BR$3)-YEAR($B$38))+MONTH(BR$3)-MONTH($B$38))))</x:f>
      </x:c>
      <x:c r="BS51" s="107" t="n">
        <x:f>IF(BS50=0,0,'Вводные'!$K$51*'Вводные'!$H$5*INDEX('Вводные'!$S$88:$S$91,$B$36)*INDEX('Вводные'!$AG$88:$AG$91,$B$36)*(1+'Вводные'!$K$54)^MAX(0,MIN((12*(YEAR(BS$3)-YEAR($B$39))+MONTH(BS$3)-MONTH($B$39)),(12*(YEAR($B$38)-YEAR($B$39))+MONTH($B$38)-MONTH($B$39))))*(1+'Вводные'!$K$55)^MAX(0,(12*(YEAR(BS$3)-YEAR($B$38))+MONTH(BS$3)-MONTH($B$38))))</x:f>
      </x:c>
      <x:c r="BT51" s="107" t="n">
        <x:f>IF(BT50=0,0,'Вводные'!$K$51*'Вводные'!$H$5*INDEX('Вводные'!$S$88:$S$91,$B$36)*INDEX('Вводные'!$AG$88:$AG$91,$B$36)*(1+'Вводные'!$K$54)^MAX(0,MIN((12*(YEAR(BT$3)-YEAR($B$39))+MONTH(BT$3)-MONTH($B$39)),(12*(YEAR($B$38)-YEAR($B$39))+MONTH($B$38)-MONTH($B$39))))*(1+'Вводные'!$K$55)^MAX(0,(12*(YEAR(BT$3)-YEAR($B$38))+MONTH(BT$3)-MONTH($B$38))))</x:f>
      </x:c>
      <x:c r="BU51" s="107" t="n">
        <x:f>IF(BU50=0,0,'Вводные'!$K$51*'Вводные'!$H$5*INDEX('Вводные'!$S$88:$S$91,$B$36)*INDEX('Вводные'!$AG$88:$AG$91,$B$36)*(1+'Вводные'!$K$54)^MAX(0,MIN((12*(YEAR(BU$3)-YEAR($B$39))+MONTH(BU$3)-MONTH($B$39)),(12*(YEAR($B$38)-YEAR($B$39))+MONTH($B$38)-MONTH($B$39))))*(1+'Вводные'!$K$55)^MAX(0,(12*(YEAR(BU$3)-YEAR($B$38))+MONTH(BU$3)-MONTH($B$38))))</x:f>
      </x:c>
      <x:c r="BV51" s="107" t="n">
        <x:f>IF(BV50=0,0,'Вводные'!$K$51*'Вводные'!$H$5*INDEX('Вводные'!$S$88:$S$91,$B$36)*INDEX('Вводные'!$AG$88:$AG$91,$B$36)*(1+'Вводные'!$K$54)^MAX(0,MIN((12*(YEAR(BV$3)-YEAR($B$39))+MONTH(BV$3)-MONTH($B$39)),(12*(YEAR($B$38)-YEAR($B$39))+MONTH($B$38)-MONTH($B$39))))*(1+'Вводные'!$K$55)^MAX(0,(12*(YEAR(BV$3)-YEAR($B$38))+MONTH(BV$3)-MONTH($B$38))))</x:f>
      </x:c>
      <x:c r="BW51" s="107" t="n">
        <x:f>IF(BW50=0,0,'Вводные'!$K$51*'Вводные'!$H$5*INDEX('Вводные'!$S$88:$S$91,$B$36)*INDEX('Вводные'!$AG$88:$AG$91,$B$36)*(1+'Вводные'!$K$54)^MAX(0,MIN((12*(YEAR(BW$3)-YEAR($B$39))+MONTH(BW$3)-MONTH($B$39)),(12*(YEAR($B$38)-YEAR($B$39))+MONTH($B$38)-MONTH($B$39))))*(1+'Вводные'!$K$55)^MAX(0,(12*(YEAR(BW$3)-YEAR($B$38))+MONTH(BW$3)-MONTH($B$38))))</x:f>
      </x:c>
      <x:c r="BX51" s="107" t="n">
        <x:f>IF(BX50=0,0,'Вводные'!$K$51*'Вводные'!$H$5*INDEX('Вводные'!$S$88:$S$91,$B$36)*INDEX('Вводные'!$AG$88:$AG$91,$B$36)*(1+'Вводные'!$K$54)^MAX(0,MIN((12*(YEAR(BX$3)-YEAR($B$39))+MONTH(BX$3)-MONTH($B$39)),(12*(YEAR($B$38)-YEAR($B$39))+MONTH($B$38)-MONTH($B$39))))*(1+'Вводные'!$K$55)^MAX(0,(12*(YEAR(BX$3)-YEAR($B$38))+MONTH(BX$3)-MONTH($B$38))))</x:f>
      </x:c>
      <x:c r="BY51" s="107" t="n">
        <x:f>IF(BY50=0,0,'Вводные'!$K$51*'Вводные'!$H$5*INDEX('Вводные'!$S$88:$S$91,$B$36)*INDEX('Вводные'!$AG$88:$AG$91,$B$36)*(1+'Вводные'!$K$54)^MAX(0,MIN((12*(YEAR(BY$3)-YEAR($B$39))+MONTH(BY$3)-MONTH($B$39)),(12*(YEAR($B$38)-YEAR($B$39))+MONTH($B$38)-MONTH($B$39))))*(1+'Вводные'!$K$55)^MAX(0,(12*(YEAR(BY$3)-YEAR($B$38))+MONTH(BY$3)-MONTH($B$38))))</x:f>
      </x:c>
      <x:c r="BZ51" s="107" t="n">
        <x:f>IF(BZ50=0,0,'Вводные'!$K$51*'Вводные'!$H$5*INDEX('Вводные'!$S$88:$S$91,$B$36)*INDEX('Вводные'!$AG$88:$AG$91,$B$36)*(1+'Вводные'!$K$54)^MAX(0,MIN((12*(YEAR(BZ$3)-YEAR($B$39))+MONTH(BZ$3)-MONTH($B$39)),(12*(YEAR($B$38)-YEAR($B$39))+MONTH($B$38)-MONTH($B$39))))*(1+'Вводные'!$K$55)^MAX(0,(12*(YEAR(BZ$3)-YEAR($B$38))+MONTH(BZ$3)-MONTH($B$38))))</x:f>
      </x:c>
      <x:c r="CA51" s="107" t="n">
        <x:f>IF(CA50=0,0,'Вводные'!$K$51*'Вводные'!$H$5*INDEX('Вводные'!$S$88:$S$91,$B$36)*INDEX('Вводные'!$AG$88:$AG$91,$B$36)*(1+'Вводные'!$K$54)^MAX(0,MIN((12*(YEAR(CA$3)-YEAR($B$39))+MONTH(CA$3)-MONTH($B$39)),(12*(YEAR($B$38)-YEAR($B$39))+MONTH($B$38)-MONTH($B$39))))*(1+'Вводные'!$K$55)^MAX(0,(12*(YEAR(CA$3)-YEAR($B$38))+MONTH(CA$3)-MONTH($B$38))))</x:f>
      </x:c>
      <x:c r="CB51" s="107" t="n">
        <x:f>IF(CB50=0,0,'Вводные'!$K$51*'Вводные'!$H$5*INDEX('Вводные'!$S$88:$S$91,$B$36)*INDEX('Вводные'!$AG$88:$AG$91,$B$36)*(1+'Вводные'!$K$54)^MAX(0,MIN((12*(YEAR(CB$3)-YEAR($B$39))+MONTH(CB$3)-MONTH($B$39)),(12*(YEAR($B$38)-YEAR($B$39))+MONTH($B$38)-MONTH($B$39))))*(1+'Вводные'!$K$55)^MAX(0,(12*(YEAR(CB$3)-YEAR($B$38))+MONTH(CB$3)-MONTH($B$38))))</x:f>
      </x:c>
      <x:c r="CC51" s="107" t="n">
        <x:f>IF(CC50=0,0,'Вводные'!$K$51*'Вводные'!$H$5*INDEX('Вводные'!$S$88:$S$91,$B$36)*INDEX('Вводные'!$AG$88:$AG$91,$B$36)*(1+'Вводные'!$K$54)^MAX(0,MIN((12*(YEAR(CC$3)-YEAR($B$39))+MONTH(CC$3)-MONTH($B$39)),(12*(YEAR($B$38)-YEAR($B$39))+MONTH($B$38)-MONTH($B$39))))*(1+'Вводные'!$K$55)^MAX(0,(12*(YEAR(CC$3)-YEAR($B$38))+MONTH(CC$3)-MONTH($B$38))))</x:f>
      </x:c>
      <x:c r="CD51" s="107" t="n">
        <x:f>IF(CD50=0,0,'Вводные'!$K$51*'Вводные'!$H$5*INDEX('Вводные'!$S$88:$S$91,$B$36)*INDEX('Вводные'!$AG$88:$AG$91,$B$36)*(1+'Вводные'!$K$54)^MAX(0,MIN((12*(YEAR(CD$3)-YEAR($B$39))+MONTH(CD$3)-MONTH($B$39)),(12*(YEAR($B$38)-YEAR($B$39))+MONTH($B$38)-MONTH($B$39))))*(1+'Вводные'!$K$55)^MAX(0,(12*(YEAR(CD$3)-YEAR($B$38))+MONTH(CD$3)-MONTH($B$38))))</x:f>
      </x:c>
      <x:c r="CE51" s="107" t="n">
        <x:f>IF(CE50=0,0,'Вводные'!$K$51*'Вводные'!$H$5*INDEX('Вводные'!$S$88:$S$91,$B$36)*INDEX('Вводные'!$AG$88:$AG$91,$B$36)*(1+'Вводные'!$K$54)^MAX(0,MIN((12*(YEAR(CE$3)-YEAR($B$39))+MONTH(CE$3)-MONTH($B$39)),(12*(YEAR($B$38)-YEAR($B$39))+MONTH($B$38)-MONTH($B$39))))*(1+'Вводные'!$K$55)^MAX(0,(12*(YEAR(CE$3)-YEAR($B$38))+MONTH(CE$3)-MONTH($B$38))))</x:f>
      </x:c>
      <x:c r="CF51" s="107" t="n">
        <x:f>IF(CF50=0,0,'Вводные'!$K$51*'Вводные'!$H$5*INDEX('Вводные'!$S$88:$S$91,$B$36)*INDEX('Вводные'!$AG$88:$AG$91,$B$36)*(1+'Вводные'!$K$54)^MAX(0,MIN((12*(YEAR(CF$3)-YEAR($B$39))+MONTH(CF$3)-MONTH($B$39)),(12*(YEAR($B$38)-YEAR($B$39))+MONTH($B$38)-MONTH($B$39))))*(1+'Вводные'!$K$55)^MAX(0,(12*(YEAR(CF$3)-YEAR($B$38))+MONTH(CF$3)-MONTH($B$38))))</x:f>
      </x:c>
      <x:c r="CG51" s="107" t="n">
        <x:f>IF(CG50=0,0,'Вводные'!$K$51*'Вводные'!$H$5*INDEX('Вводные'!$S$88:$S$91,$B$36)*INDEX('Вводные'!$AG$88:$AG$91,$B$36)*(1+'Вводные'!$K$54)^MAX(0,MIN((12*(YEAR(CG$3)-YEAR($B$39))+MONTH(CG$3)-MONTH($B$39)),(12*(YEAR($B$38)-YEAR($B$39))+MONTH($B$38)-MONTH($B$39))))*(1+'Вводные'!$K$55)^MAX(0,(12*(YEAR(CG$3)-YEAR($B$38))+MONTH(CG$3)-MONTH($B$38))))</x:f>
      </x:c>
      <x:c r="CH51" s="107" t="n">
        <x:f>IF(CH50=0,0,'Вводные'!$K$51*'Вводные'!$H$5*INDEX('Вводные'!$S$88:$S$91,$B$36)*INDEX('Вводные'!$AG$88:$AG$91,$B$36)*(1+'Вводные'!$K$54)^MAX(0,MIN((12*(YEAR(CH$3)-YEAR($B$39))+MONTH(CH$3)-MONTH($B$39)),(12*(YEAR($B$38)-YEAR($B$39))+MONTH($B$38)-MONTH($B$39))))*(1+'Вводные'!$K$55)^MAX(0,(12*(YEAR(CH$3)-YEAR($B$38))+MONTH(CH$3)-MONTH($B$38))))</x:f>
      </x:c>
      <x:c r="CI51" s="107" t="n">
        <x:f>IF(CI50=0,0,'Вводные'!$K$51*'Вводные'!$H$5*INDEX('Вводные'!$S$88:$S$91,$B$36)*INDEX('Вводные'!$AG$88:$AG$91,$B$36)*(1+'Вводные'!$K$54)^MAX(0,MIN((12*(YEAR(CI$3)-YEAR($B$39))+MONTH(CI$3)-MONTH($B$39)),(12*(YEAR($B$38)-YEAR($B$39))+MONTH($B$38)-MONTH($B$39))))*(1+'Вводные'!$K$55)^MAX(0,(12*(YEAR(CI$3)-YEAR($B$38))+MONTH(CI$3)-MONTH($B$38))))</x:f>
      </x:c>
      <x:c r="CJ51" s="107" t="n">
        <x:f>IF(CJ50=0,0,'Вводные'!$K$51*'Вводные'!$H$5*INDEX('Вводные'!$S$88:$S$91,$B$36)*INDEX('Вводные'!$AG$88:$AG$91,$B$36)*(1+'Вводные'!$K$54)^MAX(0,MIN((12*(YEAR(CJ$3)-YEAR($B$39))+MONTH(CJ$3)-MONTH($B$39)),(12*(YEAR($B$38)-YEAR($B$39))+MONTH($B$38)-MONTH($B$39))))*(1+'Вводные'!$K$55)^MAX(0,(12*(YEAR(CJ$3)-YEAR($B$38))+MONTH(CJ$3)-MONTH($B$38))))</x:f>
      </x:c>
      <x:c r="CK51" s="107" t="n">
        <x:f>IF(CK50=0,0,'Вводные'!$K$51*'Вводные'!$H$5*INDEX('Вводные'!$S$88:$S$91,$B$36)*INDEX('Вводные'!$AG$88:$AG$91,$B$36)*(1+'Вводные'!$K$54)^MAX(0,MIN((12*(YEAR(CK$3)-YEAR($B$39))+MONTH(CK$3)-MONTH($B$39)),(12*(YEAR($B$38)-YEAR($B$39))+MONTH($B$38)-MONTH($B$39))))*(1+'Вводные'!$K$55)^MAX(0,(12*(YEAR(CK$3)-YEAR($B$38))+MONTH(CK$3)-MONTH($B$38))))</x:f>
      </x:c>
      <x:c r="CL51" s="107" t="n">
        <x:f>IF(CL50=0,0,'Вводные'!$K$51*'Вводные'!$H$5*INDEX('Вводные'!$S$88:$S$91,$B$36)*INDEX('Вводные'!$AG$88:$AG$91,$B$36)*(1+'Вводные'!$K$54)^MAX(0,MIN((12*(YEAR(CL$3)-YEAR($B$39))+MONTH(CL$3)-MONTH($B$39)),(12*(YEAR($B$38)-YEAR($B$39))+MONTH($B$38)-MONTH($B$39))))*(1+'Вводные'!$K$55)^MAX(0,(12*(YEAR(CL$3)-YEAR($B$38))+MONTH(CL$3)-MONTH($B$38))))</x:f>
      </x:c>
      <x:c r="CM51" s="107" t="n">
        <x:f>IF(CM50=0,0,'Вводные'!$K$51*'Вводные'!$H$5*INDEX('Вводные'!$S$88:$S$91,$B$36)*INDEX('Вводные'!$AG$88:$AG$91,$B$36)*(1+'Вводные'!$K$54)^MAX(0,MIN((12*(YEAR(CM$3)-YEAR($B$39))+MONTH(CM$3)-MONTH($B$39)),(12*(YEAR($B$38)-YEAR($B$39))+MONTH($B$38)-MONTH($B$39))))*(1+'Вводные'!$K$55)^MAX(0,(12*(YEAR(CM$3)-YEAR($B$38))+MONTH(CM$3)-MONTH($B$38))))</x:f>
      </x:c>
      <x:c r="CN51" s="107" t="n">
        <x:f>IF(CN50=0,0,'Вводные'!$K$51*'Вводные'!$H$5*INDEX('Вводные'!$S$88:$S$91,$B$36)*INDEX('Вводные'!$AG$88:$AG$91,$B$36)*(1+'Вводные'!$K$54)^MAX(0,MIN((12*(YEAR(CN$3)-YEAR($B$39))+MONTH(CN$3)-MONTH($B$39)),(12*(YEAR($B$38)-YEAR($B$39))+MONTH($B$38)-MONTH($B$39))))*(1+'Вводные'!$K$55)^MAX(0,(12*(YEAR(CN$3)-YEAR($B$38))+MONTH(CN$3)-MONTH($B$38))))</x:f>
      </x:c>
      <x:c r="CO51" s="107" t="n">
        <x:f>IF(CO50=0,0,'Вводные'!$K$51*'Вводные'!$H$5*INDEX('Вводные'!$S$88:$S$91,$B$36)*INDEX('Вводные'!$AG$88:$AG$91,$B$36)*(1+'Вводные'!$K$54)^MAX(0,MIN((12*(YEAR(CO$3)-YEAR($B$39))+MONTH(CO$3)-MONTH($B$39)),(12*(YEAR($B$38)-YEAR($B$39))+MONTH($B$38)-MONTH($B$39))))*(1+'Вводные'!$K$55)^MAX(0,(12*(YEAR(CO$3)-YEAR($B$38))+MONTH(CO$3)-MONTH($B$38))))</x:f>
      </x:c>
      <x:c r="CP51" s="107" t="n">
        <x:f>IF(CP50=0,0,'Вводные'!$K$51*'Вводные'!$H$5*INDEX('Вводные'!$S$88:$S$91,$B$36)*INDEX('Вводные'!$AG$88:$AG$91,$B$36)*(1+'Вводные'!$K$54)^MAX(0,MIN((12*(YEAR(CP$3)-YEAR($B$39))+MONTH(CP$3)-MONTH($B$39)),(12*(YEAR($B$38)-YEAR($B$39))+MONTH($B$38)-MONTH($B$39))))*(1+'Вводные'!$K$55)^MAX(0,(12*(YEAR(CP$3)-YEAR($B$38))+MONTH(CP$3)-MONTH($B$38))))</x:f>
      </x:c>
      <x:c r="CQ51" s="107" t="n">
        <x:f>IF(CQ50=0,0,'Вводные'!$K$51*'Вводные'!$H$5*INDEX('Вводные'!$S$88:$S$91,$B$36)*INDEX('Вводные'!$AG$88:$AG$91,$B$36)*(1+'Вводные'!$K$54)^MAX(0,MIN((12*(YEAR(CQ$3)-YEAR($B$39))+MONTH(CQ$3)-MONTH($B$39)),(12*(YEAR($B$38)-YEAR($B$39))+MONTH($B$38)-MONTH($B$39))))*(1+'Вводные'!$K$55)^MAX(0,(12*(YEAR(CQ$3)-YEAR($B$38))+MONTH(CQ$3)-MONTH($B$38))))</x:f>
      </x:c>
      <x:c r="CR51" s="107" t="n">
        <x:f>IF(CR50=0,0,'Вводные'!$K$51*'Вводные'!$H$5*INDEX('Вводные'!$S$88:$S$91,$B$36)*INDEX('Вводные'!$AG$88:$AG$91,$B$36)*(1+'Вводные'!$K$54)^MAX(0,MIN((12*(YEAR(CR$3)-YEAR($B$39))+MONTH(CR$3)-MONTH($B$39)),(12*(YEAR($B$38)-YEAR($B$39))+MONTH($B$38)-MONTH($B$39))))*(1+'Вводные'!$K$55)^MAX(0,(12*(YEAR(CR$3)-YEAR($B$38))+MONTH(CR$3)-MONTH($B$38))))</x:f>
      </x:c>
      <x:c r="CS51" s="107" t="n">
        <x:f>IF(CS50=0,0,'Вводные'!$K$51*'Вводные'!$H$5*INDEX('Вводные'!$S$88:$S$91,$B$36)*INDEX('Вводные'!$AG$88:$AG$91,$B$36)*(1+'Вводные'!$K$54)^MAX(0,MIN((12*(YEAR(CS$3)-YEAR($B$39))+MONTH(CS$3)-MONTH($B$39)),(12*(YEAR($B$38)-YEAR($B$39))+MONTH($B$38)-MONTH($B$39))))*(1+'Вводные'!$K$55)^MAX(0,(12*(YEAR(CS$3)-YEAR($B$38))+MONTH(CS$3)-MONTH($B$38))))</x:f>
      </x:c>
      <x:c r="CT51" s="107" t="n">
        <x:f>IF(CT50=0,0,'Вводные'!$K$51*'Вводные'!$H$5*INDEX('Вводные'!$S$88:$S$91,$B$36)*INDEX('Вводные'!$AG$88:$AG$91,$B$36)*(1+'Вводные'!$K$54)^MAX(0,MIN((12*(YEAR(CT$3)-YEAR($B$39))+MONTH(CT$3)-MONTH($B$39)),(12*(YEAR($B$38)-YEAR($B$39))+MONTH($B$38)-MONTH($B$39))))*(1+'Вводные'!$K$55)^MAX(0,(12*(YEAR(CT$3)-YEAR($B$38))+MONTH(CT$3)-MONTH($B$38))))</x:f>
      </x:c>
      <x:c r="CU51" s="107" t="n">
        <x:f>IF(CU50=0,0,'Вводные'!$K$51*'Вводные'!$H$5*INDEX('Вводные'!$S$88:$S$91,$B$36)*INDEX('Вводные'!$AG$88:$AG$91,$B$36)*(1+'Вводные'!$K$54)^MAX(0,MIN((12*(YEAR(CU$3)-YEAR($B$39))+MONTH(CU$3)-MONTH($B$39)),(12*(YEAR($B$38)-YEAR($B$39))+MONTH($B$38)-MONTH($B$39))))*(1+'Вводные'!$K$55)^MAX(0,(12*(YEAR(CU$3)-YEAR($B$38))+MONTH(CU$3)-MONTH($B$38))))</x:f>
      </x:c>
      <x:c r="CV51" s="107" t="n">
        <x:f>IF(CV50=0,0,'Вводные'!$K$51*'Вводные'!$H$5*INDEX('Вводные'!$S$88:$S$91,$B$36)*INDEX('Вводные'!$AG$88:$AG$91,$B$36)*(1+'Вводные'!$K$54)^MAX(0,MIN((12*(YEAR(CV$3)-YEAR($B$39))+MONTH(CV$3)-MONTH($B$39)),(12*(YEAR($B$38)-YEAR($B$39))+MONTH($B$38)-MONTH($B$39))))*(1+'Вводные'!$K$55)^MAX(0,(12*(YEAR(CV$3)-YEAR($B$38))+MONTH(CV$3)-MONTH($B$38))))</x:f>
      </x:c>
      <x:c r="CW51" s="107" t="n">
        <x:f>IF(CW50=0,0,'Вводные'!$K$51*'Вводные'!$H$5*INDEX('Вводные'!$S$88:$S$91,$B$36)*INDEX('Вводные'!$AG$88:$AG$91,$B$36)*(1+'Вводные'!$K$54)^MAX(0,MIN((12*(YEAR(CW$3)-YEAR($B$39))+MONTH(CW$3)-MONTH($B$39)),(12*(YEAR($B$38)-YEAR($B$39))+MONTH($B$38)-MONTH($B$39))))*(1+'Вводные'!$K$55)^MAX(0,(12*(YEAR(CW$3)-YEAR($B$38))+MONTH(CW$3)-MONTH($B$38))))</x:f>
      </x:c>
      <x:c r="CX51" s="107" t="n">
        <x:f>IF(CX50=0,0,'Вводные'!$K$51*'Вводные'!$H$5*INDEX('Вводные'!$S$88:$S$91,$B$36)*INDEX('Вводные'!$AG$88:$AG$91,$B$36)*(1+'Вводные'!$K$54)^MAX(0,MIN((12*(YEAR(CX$3)-YEAR($B$39))+MONTH(CX$3)-MONTH($B$39)),(12*(YEAR($B$38)-YEAR($B$39))+MONTH($B$38)-MONTH($B$39))))*(1+'Вводные'!$K$55)^MAX(0,(12*(YEAR(CX$3)-YEAR($B$38))+MONTH(CX$3)-MONTH($B$38))))</x:f>
      </x:c>
      <x:c r="CY51" s="107" t="n">
        <x:f>IF(CY50=0,0,'Вводные'!$K$51*'Вводные'!$H$5*INDEX('Вводные'!$S$88:$S$91,$B$36)*INDEX('Вводные'!$AG$88:$AG$91,$B$36)*(1+'Вводные'!$K$54)^MAX(0,MIN((12*(YEAR(CY$3)-YEAR($B$39))+MONTH(CY$3)-MONTH($B$39)),(12*(YEAR($B$38)-YEAR($B$39))+MONTH($B$38)-MONTH($B$39))))*(1+'Вводные'!$K$55)^MAX(0,(12*(YEAR(CY$3)-YEAR($B$38))+MONTH(CY$3)-MONTH($B$38))))</x:f>
      </x:c>
      <x:c r="CZ51" s="107" t="n">
        <x:f>IF(CZ50=0,0,'Вводные'!$K$51*'Вводные'!$H$5*INDEX('Вводные'!$S$88:$S$91,$B$36)*INDEX('Вводные'!$AG$88:$AG$91,$B$36)*(1+'Вводные'!$K$54)^MAX(0,MIN((12*(YEAR(CZ$3)-YEAR($B$39))+MONTH(CZ$3)-MONTH($B$39)),(12*(YEAR($B$38)-YEAR($B$39))+MONTH($B$38)-MONTH($B$39))))*(1+'Вводные'!$K$55)^MAX(0,(12*(YEAR(CZ$3)-YEAR($B$38))+MONTH(CZ$3)-MONTH($B$38))))</x:f>
      </x:c>
      <x:c r="DA51" s="107" t="n">
        <x:f>IF(DA50=0,0,'Вводные'!$K$51*'Вводные'!$H$5*INDEX('Вводные'!$S$88:$S$91,$B$36)*INDEX('Вводные'!$AG$88:$AG$91,$B$36)*(1+'Вводные'!$K$54)^MAX(0,MIN((12*(YEAR(DA$3)-YEAR($B$39))+MONTH(DA$3)-MONTH($B$39)),(12*(YEAR($B$38)-YEAR($B$39))+MONTH($B$38)-MONTH($B$39))))*(1+'Вводные'!$K$55)^MAX(0,(12*(YEAR(DA$3)-YEAR($B$38))+MONTH(DA$3)-MONTH($B$38))))</x:f>
      </x:c>
      <x:c r="DB51" s="107" t="n">
        <x:f>IF(DB50=0,0,'Вводные'!$K$51*'Вводные'!$H$5*INDEX('Вводные'!$S$88:$S$91,$B$36)*INDEX('Вводные'!$AG$88:$AG$91,$B$36)*(1+'Вводные'!$K$54)^MAX(0,MIN((12*(YEAR(DB$3)-YEAR($B$39))+MONTH(DB$3)-MONTH($B$39)),(12*(YEAR($B$38)-YEAR($B$39))+MONTH($B$38)-MONTH($B$39))))*(1+'Вводные'!$K$55)^MAX(0,(12*(YEAR(DB$3)-YEAR($B$38))+MONTH(DB$3)-MONTH($B$38))))</x:f>
      </x:c>
      <x:c r="DC51" s="107" t="n">
        <x:f>IF(DC50=0,0,'Вводные'!$K$51*'Вводные'!$H$5*INDEX('Вводные'!$S$88:$S$91,$B$36)*INDEX('Вводные'!$AG$88:$AG$91,$B$36)*(1+'Вводные'!$K$54)^MAX(0,MIN((12*(YEAR(DC$3)-YEAR($B$39))+MONTH(DC$3)-MONTH($B$39)),(12*(YEAR($B$38)-YEAR($B$39))+MONTH($B$38)-MONTH($B$39))))*(1+'Вводные'!$K$55)^MAX(0,(12*(YEAR(DC$3)-YEAR($B$38))+MONTH(DC$3)-MONTH($B$38))))</x:f>
      </x:c>
      <x:c r="DD51" s="107" t="n">
        <x:f>IF(DD50=0,0,'Вводные'!$K$51*'Вводные'!$H$5*INDEX('Вводные'!$S$88:$S$91,$B$36)*INDEX('Вводные'!$AG$88:$AG$91,$B$36)*(1+'Вводные'!$K$54)^MAX(0,MIN((12*(YEAR(DD$3)-YEAR($B$39))+MONTH(DD$3)-MONTH($B$39)),(12*(YEAR($B$38)-YEAR($B$39))+MONTH($B$38)-MONTH($B$39))))*(1+'Вводные'!$K$55)^MAX(0,(12*(YEAR(DD$3)-YEAR($B$38))+MONTH(DD$3)-MONTH($B$38))))</x:f>
      </x:c>
      <x:c r="DE51" s="107" t="n">
        <x:f>IF(DE50=0,0,'Вводные'!$K$51*'Вводные'!$H$5*INDEX('Вводные'!$S$88:$S$91,$B$36)*INDEX('Вводные'!$AG$88:$AG$91,$B$36)*(1+'Вводные'!$K$54)^MAX(0,MIN((12*(YEAR(DE$3)-YEAR($B$39))+MONTH(DE$3)-MONTH($B$39)),(12*(YEAR($B$38)-YEAR($B$39))+MONTH($B$38)-MONTH($B$39))))*(1+'Вводные'!$K$55)^MAX(0,(12*(YEAR(DE$3)-YEAR($B$38))+MONTH(DE$3)-MONTH($B$38))))</x:f>
      </x:c>
      <x:c r="DF51" s="107" t="n">
        <x:f>IF(DF50=0,0,'Вводные'!$K$51*'Вводные'!$H$5*INDEX('Вводные'!$S$88:$S$91,$B$36)*INDEX('Вводные'!$AG$88:$AG$91,$B$36)*(1+'Вводные'!$K$54)^MAX(0,MIN((12*(YEAR(DF$3)-YEAR($B$39))+MONTH(DF$3)-MONTH($B$39)),(12*(YEAR($B$38)-YEAR($B$39))+MONTH($B$38)-MONTH($B$39))))*(1+'Вводные'!$K$55)^MAX(0,(12*(YEAR(DF$3)-YEAR($B$38))+MONTH(DF$3)-MONTH($B$38))))</x:f>
      </x:c>
      <x:c r="DG51" s="107" t="n">
        <x:f>IF(DG50=0,0,'Вводные'!$K$51*'Вводные'!$H$5*INDEX('Вводные'!$S$88:$S$91,$B$36)*INDEX('Вводные'!$AG$88:$AG$91,$B$36)*(1+'Вводные'!$K$54)^MAX(0,MIN((12*(YEAR(DG$3)-YEAR($B$39))+MONTH(DG$3)-MONTH($B$39)),(12*(YEAR($B$38)-YEAR($B$39))+MONTH($B$38)-MONTH($B$39))))*(1+'Вводные'!$K$55)^MAX(0,(12*(YEAR(DG$3)-YEAR($B$38))+MONTH(DG$3)-MONTH($B$38))))</x:f>
      </x:c>
      <x:c r="DH51" s="107" t="n">
        <x:f>IF(DH50=0,0,'Вводные'!$K$51*'Вводные'!$H$5*INDEX('Вводные'!$S$88:$S$91,$B$36)*INDEX('Вводные'!$AG$88:$AG$91,$B$36)*(1+'Вводные'!$K$54)^MAX(0,MIN((12*(YEAR(DH$3)-YEAR($B$39))+MONTH(DH$3)-MONTH($B$39)),(12*(YEAR($B$38)-YEAR($B$39))+MONTH($B$38)-MONTH($B$39))))*(1+'Вводные'!$K$55)^MAX(0,(12*(YEAR(DH$3)-YEAR($B$38))+MONTH(DH$3)-MONTH($B$38))))</x:f>
      </x:c>
      <x:c r="DI51" s="107" t="n">
        <x:f>IF(DI50=0,0,'Вводные'!$K$51*'Вводные'!$H$5*INDEX('Вводные'!$S$88:$S$91,$B$36)*INDEX('Вводные'!$AG$88:$AG$91,$B$36)*(1+'Вводные'!$K$54)^MAX(0,MIN((12*(YEAR(DI$3)-YEAR($B$39))+MONTH(DI$3)-MONTH($B$39)),(12*(YEAR($B$38)-YEAR($B$39))+MONTH($B$38)-MONTH($B$39))))*(1+'Вводные'!$K$55)^MAX(0,(12*(YEAR(DI$3)-YEAR($B$38))+MONTH(DI$3)-MONTH($B$38))))</x:f>
      </x:c>
      <x:c r="DJ51" s="107" t="n">
        <x:f>IF(DJ50=0,0,'Вводные'!$K$51*'Вводные'!$H$5*INDEX('Вводные'!$S$88:$S$91,$B$36)*INDEX('Вводные'!$AG$88:$AG$91,$B$36)*(1+'Вводные'!$K$54)^MAX(0,MIN((12*(YEAR(DJ$3)-YEAR($B$39))+MONTH(DJ$3)-MONTH($B$39)),(12*(YEAR($B$38)-YEAR($B$39))+MONTH($B$38)-MONTH($B$39))))*(1+'Вводные'!$K$55)^MAX(0,(12*(YEAR(DJ$3)-YEAR($B$38))+MONTH(DJ$3)-MONTH($B$38))))</x:f>
      </x:c>
      <x:c r="DK51" s="107" t="n">
        <x:f>IF(DK50=0,0,'Вводные'!$K$51*'Вводные'!$H$5*INDEX('Вводные'!$S$88:$S$91,$B$36)*INDEX('Вводные'!$AG$88:$AG$91,$B$36)*(1+'Вводные'!$K$54)^MAX(0,MIN((12*(YEAR(DK$3)-YEAR($B$39))+MONTH(DK$3)-MONTH($B$39)),(12*(YEAR($B$38)-YEAR($B$39))+MONTH($B$38)-MONTH($B$39))))*(1+'Вводные'!$K$55)^MAX(0,(12*(YEAR(DK$3)-YEAR($B$38))+MONTH(DK$3)-MONTH($B$38))))</x:f>
      </x:c>
      <x:c r="DL51" s="107" t="n">
        <x:f>IF(DL50=0,0,'Вводные'!$K$51*'Вводные'!$H$5*INDEX('Вводные'!$S$88:$S$91,$B$36)*INDEX('Вводные'!$AG$88:$AG$91,$B$36)*(1+'Вводные'!$K$54)^MAX(0,MIN((12*(YEAR(DL$3)-YEAR($B$39))+MONTH(DL$3)-MONTH($B$39)),(12*(YEAR($B$38)-YEAR($B$39))+MONTH($B$38)-MONTH($B$39))))*(1+'Вводные'!$K$55)^MAX(0,(12*(YEAR(DL$3)-YEAR($B$38))+MONTH(DL$3)-MONTH($B$38))))</x:f>
      </x:c>
      <x:c r="DM51" s="107" t="n">
        <x:f>IF(DM50=0,0,'Вводные'!$K$51*'Вводные'!$H$5*INDEX('Вводные'!$S$88:$S$91,$B$36)*INDEX('Вводные'!$AG$88:$AG$91,$B$36)*(1+'Вводные'!$K$54)^MAX(0,MIN((12*(YEAR(DM$3)-YEAR($B$39))+MONTH(DM$3)-MONTH($B$39)),(12*(YEAR($B$38)-YEAR($B$39))+MONTH($B$38)-MONTH($B$39))))*(1+'Вводные'!$K$55)^MAX(0,(12*(YEAR(DM$3)-YEAR($B$38))+MONTH(DM$3)-MONTH($B$38))))</x:f>
      </x:c>
      <x:c r="DN51" s="107" t="n">
        <x:f>IF(DN50=0,0,'Вводные'!$K$51*'Вводные'!$H$5*INDEX('Вводные'!$S$88:$S$91,$B$36)*INDEX('Вводные'!$AG$88:$AG$91,$B$36)*(1+'Вводные'!$K$54)^MAX(0,MIN((12*(YEAR(DN$3)-YEAR($B$39))+MONTH(DN$3)-MONTH($B$39)),(12*(YEAR($B$38)-YEAR($B$39))+MONTH($B$38)-MONTH($B$39))))*(1+'Вводные'!$K$55)^MAX(0,(12*(YEAR(DN$3)-YEAR($B$38))+MONTH(DN$3)-MONTH($B$38))))</x:f>
      </x:c>
      <x:c r="DO51" s="107" t="n">
        <x:f>IF(DO50=0,0,'Вводные'!$K$51*'Вводные'!$H$5*INDEX('Вводные'!$S$88:$S$91,$B$36)*INDEX('Вводные'!$AG$88:$AG$91,$B$36)*(1+'Вводные'!$K$54)^MAX(0,MIN((12*(YEAR(DO$3)-YEAR($B$39))+MONTH(DO$3)-MONTH($B$39)),(12*(YEAR($B$38)-YEAR($B$39))+MONTH($B$38)-MONTH($B$39))))*(1+'Вводные'!$K$55)^MAX(0,(12*(YEAR(DO$3)-YEAR($B$38))+MONTH(DO$3)-MONTH($B$38))))</x:f>
      </x:c>
      <x:c r="DP51" s="107" t="n">
        <x:f>IF(DP50=0,0,'Вводные'!$K$51*'Вводные'!$H$5*INDEX('Вводные'!$S$88:$S$91,$B$36)*INDEX('Вводные'!$AG$88:$AG$91,$B$36)*(1+'Вводные'!$K$54)^MAX(0,MIN((12*(YEAR(DP$3)-YEAR($B$39))+MONTH(DP$3)-MONTH($B$39)),(12*(YEAR($B$38)-YEAR($B$39))+MONTH($B$38)-MONTH($B$39))))*(1+'Вводные'!$K$55)^MAX(0,(12*(YEAR(DP$3)-YEAR($B$38))+MONTH(DP$3)-MONTH($B$38))))</x:f>
      </x:c>
      <x:c r="DQ51" s="107" t="n">
        <x:f>IF(DQ50=0,0,'Вводные'!$K$51*'Вводные'!$H$5*INDEX('Вводные'!$S$88:$S$91,$B$36)*INDEX('Вводные'!$AG$88:$AG$91,$B$36)*(1+'Вводные'!$K$54)^MAX(0,MIN((12*(YEAR(DQ$3)-YEAR($B$39))+MONTH(DQ$3)-MONTH($B$39)),(12*(YEAR($B$38)-YEAR($B$39))+MONTH($B$38)-MONTH($B$39))))*(1+'Вводные'!$K$55)^MAX(0,(12*(YEAR(DQ$3)-YEAR($B$38))+MONTH(DQ$3)-MONTH($B$38))))</x:f>
      </x:c>
      <x:c r="DR51" s="107" t="n">
        <x:f>IF(DR50=0,0,'Вводные'!$K$51*'Вводные'!$H$5*INDEX('Вводные'!$S$88:$S$91,$B$36)*INDEX('Вводные'!$AG$88:$AG$91,$B$36)*(1+'Вводные'!$K$54)^MAX(0,MIN((12*(YEAR(DR$3)-YEAR($B$39))+MONTH(DR$3)-MONTH($B$39)),(12*(YEAR($B$38)-YEAR($B$39))+MONTH($B$38)-MONTH($B$39))))*(1+'Вводные'!$K$55)^MAX(0,(12*(YEAR(DR$3)-YEAR($B$38))+MONTH(DR$3)-MONTH($B$38))))</x:f>
      </x:c>
      <x:c r="DS51" s="107" t="n">
        <x:f>IF(DS50=0,0,'Вводные'!$K$51*'Вводные'!$H$5*INDEX('Вводные'!$S$88:$S$91,$B$36)*INDEX('Вводные'!$AG$88:$AG$91,$B$36)*(1+'Вводные'!$K$54)^MAX(0,MIN((12*(YEAR(DS$3)-YEAR($B$39))+MONTH(DS$3)-MONTH($B$39)),(12*(YEAR($B$38)-YEAR($B$39))+MONTH($B$38)-MONTH($B$39))))*(1+'Вводные'!$K$55)^MAX(0,(12*(YEAR(DS$3)-YEAR($B$38))+MONTH(DS$3)-MONTH($B$38))))</x:f>
      </x:c>
    </x:row>
    <x:row r="52">
      <x:c r="A52" t="str">
        <x:v>Продажи по договорам</x:v>
      </x:c>
      <x:c r="B52" s="107" t="n">
        <x:f>SUM(D52:DS52)</x:f>
      </x:c>
      <x:c r="C52" t="str">
        <x:v>млн ₽</x:v>
      </x:c>
      <x:c r="D52" s="107" t="n">
        <x:f>D50*D51/1000</x:f>
      </x:c>
      <x:c r="E52" s="107" t="n">
        <x:f>E50*E51/1000</x:f>
      </x:c>
      <x:c r="F52" s="107" t="n">
        <x:f>F50*F51/1000</x:f>
      </x:c>
      <x:c r="G52" s="107" t="n">
        <x:f>G50*G51/1000</x:f>
      </x:c>
      <x:c r="H52" s="107" t="n">
        <x:f>H50*H51/1000</x:f>
      </x:c>
      <x:c r="I52" s="107" t="n">
        <x:f>I50*I51/1000</x:f>
      </x:c>
      <x:c r="J52" s="107" t="n">
        <x:f>J50*J51/1000</x:f>
      </x:c>
      <x:c r="K52" s="107" t="n">
        <x:f>K50*K51/1000</x:f>
      </x:c>
      <x:c r="L52" s="107" t="n">
        <x:f>L50*L51/1000</x:f>
      </x:c>
      <x:c r="M52" s="107" t="n">
        <x:f>M50*M51/1000</x:f>
      </x:c>
      <x:c r="N52" s="107" t="n">
        <x:f>N50*N51/1000</x:f>
      </x:c>
      <x:c r="O52" s="107" t="n">
        <x:f>O50*O51/1000</x:f>
      </x:c>
      <x:c r="P52" s="107" t="n">
        <x:f>P50*P51/1000</x:f>
      </x:c>
      <x:c r="Q52" s="107" t="n">
        <x:f>Q50*Q51/1000</x:f>
      </x:c>
      <x:c r="R52" s="107" t="n">
        <x:f>R50*R51/1000</x:f>
      </x:c>
      <x:c r="S52" s="107" t="n">
        <x:f>S50*S51/1000</x:f>
      </x:c>
      <x:c r="T52" s="107" t="n">
        <x:f>T50*T51/1000</x:f>
      </x:c>
      <x:c r="U52" s="107" t="n">
        <x:f>U50*U51/1000</x:f>
      </x:c>
      <x:c r="V52" s="107" t="n">
        <x:f>V50*V51/1000</x:f>
      </x:c>
      <x:c r="W52" s="107" t="n">
        <x:f>W50*W51/1000</x:f>
      </x:c>
      <x:c r="X52" s="107" t="n">
        <x:f>X50*X51/1000</x:f>
      </x:c>
      <x:c r="Y52" s="107" t="n">
        <x:f>Y50*Y51/1000</x:f>
      </x:c>
      <x:c r="Z52" s="107" t="n">
        <x:f>Z50*Z51/1000</x:f>
      </x:c>
      <x:c r="AA52" s="107" t="n">
        <x:f>AA50*AA51/1000</x:f>
      </x:c>
      <x:c r="AB52" s="107" t="n">
        <x:f>AB50*AB51/1000</x:f>
      </x:c>
      <x:c r="AC52" s="107" t="n">
        <x:f>AC50*AC51/1000</x:f>
      </x:c>
      <x:c r="AD52" s="107" t="n">
        <x:f>AD50*AD51/1000</x:f>
      </x:c>
      <x:c r="AE52" s="107" t="n">
        <x:f>AE50*AE51/1000</x:f>
      </x:c>
      <x:c r="AF52" s="107" t="n">
        <x:f>AF50*AF51/1000</x:f>
      </x:c>
      <x:c r="AG52" s="107" t="n">
        <x:f>AG50*AG51/1000</x:f>
      </x:c>
      <x:c r="AH52" s="107" t="n">
        <x:f>AH50*AH51/1000</x:f>
      </x:c>
      <x:c r="AI52" s="107" t="n">
        <x:f>AI50*AI51/1000</x:f>
      </x:c>
      <x:c r="AJ52" s="107" t="n">
        <x:f>AJ50*AJ51/1000</x:f>
      </x:c>
      <x:c r="AK52" s="107" t="n">
        <x:f>AK50*AK51/1000</x:f>
      </x:c>
      <x:c r="AL52" s="107" t="n">
        <x:f>AL50*AL51/1000</x:f>
      </x:c>
      <x:c r="AM52" s="107" t="n">
        <x:f>AM50*AM51/1000</x:f>
      </x:c>
      <x:c r="AN52" s="107" t="n">
        <x:f>AN50*AN51/1000</x:f>
      </x:c>
      <x:c r="AO52" s="107" t="n">
        <x:f>AO50*AO51/1000</x:f>
      </x:c>
      <x:c r="AP52" s="107" t="n">
        <x:f>AP50*AP51/1000</x:f>
      </x:c>
      <x:c r="AQ52" s="107" t="n">
        <x:f>AQ50*AQ51/1000</x:f>
      </x:c>
      <x:c r="AR52" s="107" t="n">
        <x:f>AR50*AR51/1000</x:f>
      </x:c>
      <x:c r="AS52" s="107" t="n">
        <x:f>AS50*AS51/1000</x:f>
      </x:c>
      <x:c r="AT52" s="107" t="n">
        <x:f>AT50*AT51/1000</x:f>
      </x:c>
      <x:c r="AU52" s="107" t="n">
        <x:f>AU50*AU51/1000</x:f>
      </x:c>
      <x:c r="AV52" s="107" t="n">
        <x:f>AV50*AV51/1000</x:f>
      </x:c>
      <x:c r="AW52" s="107" t="n">
        <x:f>AW50*AW51/1000</x:f>
      </x:c>
      <x:c r="AX52" s="107" t="n">
        <x:f>AX50*AX51/1000</x:f>
      </x:c>
      <x:c r="AY52" s="107" t="n">
        <x:f>AY50*AY51/1000</x:f>
      </x:c>
      <x:c r="AZ52" s="107" t="n">
        <x:f>AZ50*AZ51/1000</x:f>
      </x:c>
      <x:c r="BA52" s="107" t="n">
        <x:f>BA50*BA51/1000</x:f>
      </x:c>
      <x:c r="BB52" s="107" t="n">
        <x:f>BB50*BB51/1000</x:f>
      </x:c>
      <x:c r="BC52" s="107" t="n">
        <x:f>BC50*BC51/1000</x:f>
      </x:c>
      <x:c r="BD52" s="107" t="n">
        <x:f>BD50*BD51/1000</x:f>
      </x:c>
      <x:c r="BE52" s="107" t="n">
        <x:f>BE50*BE51/1000</x:f>
      </x:c>
      <x:c r="BF52" s="107" t="n">
        <x:f>BF50*BF51/1000</x:f>
      </x:c>
      <x:c r="BG52" s="107" t="n">
        <x:f>BG50*BG51/1000</x:f>
      </x:c>
      <x:c r="BH52" s="107" t="n">
        <x:f>BH50*BH51/1000</x:f>
      </x:c>
      <x:c r="BI52" s="107" t="n">
        <x:f>BI50*BI51/1000</x:f>
      </x:c>
      <x:c r="BJ52" s="107" t="n">
        <x:f>BJ50*BJ51/1000</x:f>
      </x:c>
      <x:c r="BK52" s="107" t="n">
        <x:f>BK50*BK51/1000</x:f>
      </x:c>
      <x:c r="BL52" s="107" t="n">
        <x:f>BL50*BL51/1000</x:f>
      </x:c>
      <x:c r="BM52" s="107" t="n">
        <x:f>BM50*BM51/1000</x:f>
      </x:c>
      <x:c r="BN52" s="107" t="n">
        <x:f>BN50*BN51/1000</x:f>
      </x:c>
      <x:c r="BO52" s="107" t="n">
        <x:f>BO50*BO51/1000</x:f>
      </x:c>
      <x:c r="BP52" s="107" t="n">
        <x:f>BP50*BP51/1000</x:f>
      </x:c>
      <x:c r="BQ52" s="107" t="n">
        <x:f>BQ50*BQ51/1000</x:f>
      </x:c>
      <x:c r="BR52" s="107" t="n">
        <x:f>BR50*BR51/1000</x:f>
      </x:c>
      <x:c r="BS52" s="107" t="n">
        <x:f>BS50*BS51/1000</x:f>
      </x:c>
      <x:c r="BT52" s="107" t="n">
        <x:f>BT50*BT51/1000</x:f>
      </x:c>
      <x:c r="BU52" s="107" t="n">
        <x:f>BU50*BU51/1000</x:f>
      </x:c>
      <x:c r="BV52" s="107" t="n">
        <x:f>BV50*BV51/1000</x:f>
      </x:c>
      <x:c r="BW52" s="107" t="n">
        <x:f>BW50*BW51/1000</x:f>
      </x:c>
      <x:c r="BX52" s="107" t="n">
        <x:f>BX50*BX51/1000</x:f>
      </x:c>
      <x:c r="BY52" s="107" t="n">
        <x:f>BY50*BY51/1000</x:f>
      </x:c>
      <x:c r="BZ52" s="107" t="n">
        <x:f>BZ50*BZ51/1000</x:f>
      </x:c>
      <x:c r="CA52" s="107" t="n">
        <x:f>CA50*CA51/1000</x:f>
      </x:c>
      <x:c r="CB52" s="107" t="n">
        <x:f>CB50*CB51/1000</x:f>
      </x:c>
      <x:c r="CC52" s="107" t="n">
        <x:f>CC50*CC51/1000</x:f>
      </x:c>
      <x:c r="CD52" s="107" t="n">
        <x:f>CD50*CD51/1000</x:f>
      </x:c>
      <x:c r="CE52" s="107" t="n">
        <x:f>CE50*CE51/1000</x:f>
      </x:c>
      <x:c r="CF52" s="107" t="n">
        <x:f>CF50*CF51/1000</x:f>
      </x:c>
      <x:c r="CG52" s="107" t="n">
        <x:f>CG50*CG51/1000</x:f>
      </x:c>
      <x:c r="CH52" s="107" t="n">
        <x:f>CH50*CH51/1000</x:f>
      </x:c>
      <x:c r="CI52" s="107" t="n">
        <x:f>CI50*CI51/1000</x:f>
      </x:c>
      <x:c r="CJ52" s="107" t="n">
        <x:f>CJ50*CJ51/1000</x:f>
      </x:c>
      <x:c r="CK52" s="107" t="n">
        <x:f>CK50*CK51/1000</x:f>
      </x:c>
      <x:c r="CL52" s="107" t="n">
        <x:f>CL50*CL51/1000</x:f>
      </x:c>
      <x:c r="CM52" s="107" t="n">
        <x:f>CM50*CM51/1000</x:f>
      </x:c>
      <x:c r="CN52" s="107" t="n">
        <x:f>CN50*CN51/1000</x:f>
      </x:c>
      <x:c r="CO52" s="107" t="n">
        <x:f>CO50*CO51/1000</x:f>
      </x:c>
      <x:c r="CP52" s="107" t="n">
        <x:f>CP50*CP51/1000</x:f>
      </x:c>
      <x:c r="CQ52" s="107" t="n">
        <x:f>CQ50*CQ51/1000</x:f>
      </x:c>
      <x:c r="CR52" s="107" t="n">
        <x:f>CR50*CR51/1000</x:f>
      </x:c>
      <x:c r="CS52" s="107" t="n">
        <x:f>CS50*CS51/1000</x:f>
      </x:c>
      <x:c r="CT52" s="107" t="n">
        <x:f>CT50*CT51/1000</x:f>
      </x:c>
      <x:c r="CU52" s="107" t="n">
        <x:f>CU50*CU51/1000</x:f>
      </x:c>
      <x:c r="CV52" s="107" t="n">
        <x:f>CV50*CV51/1000</x:f>
      </x:c>
      <x:c r="CW52" s="107" t="n">
        <x:f>CW50*CW51/1000</x:f>
      </x:c>
      <x:c r="CX52" s="107" t="n">
        <x:f>CX50*CX51/1000</x:f>
      </x:c>
      <x:c r="CY52" s="107" t="n">
        <x:f>CY50*CY51/1000</x:f>
      </x:c>
      <x:c r="CZ52" s="107" t="n">
        <x:f>CZ50*CZ51/1000</x:f>
      </x:c>
      <x:c r="DA52" s="107" t="n">
        <x:f>DA50*DA51/1000</x:f>
      </x:c>
      <x:c r="DB52" s="107" t="n">
        <x:f>DB50*DB51/1000</x:f>
      </x:c>
      <x:c r="DC52" s="107" t="n">
        <x:f>DC50*DC51/1000</x:f>
      </x:c>
      <x:c r="DD52" s="107" t="n">
        <x:f>DD50*DD51/1000</x:f>
      </x:c>
      <x:c r="DE52" s="107" t="n">
        <x:f>DE50*DE51/1000</x:f>
      </x:c>
      <x:c r="DF52" s="107" t="n">
        <x:f>DF50*DF51/1000</x:f>
      </x:c>
      <x:c r="DG52" s="107" t="n">
        <x:f>DG50*DG51/1000</x:f>
      </x:c>
      <x:c r="DH52" s="107" t="n">
        <x:f>DH50*DH51/1000</x:f>
      </x:c>
      <x:c r="DI52" s="107" t="n">
        <x:f>DI50*DI51/1000</x:f>
      </x:c>
      <x:c r="DJ52" s="107" t="n">
        <x:f>DJ50*DJ51/1000</x:f>
      </x:c>
      <x:c r="DK52" s="107" t="n">
        <x:f>DK50*DK51/1000</x:f>
      </x:c>
      <x:c r="DL52" s="107" t="n">
        <x:f>DL50*DL51/1000</x:f>
      </x:c>
      <x:c r="DM52" s="107" t="n">
        <x:f>DM50*DM51/1000</x:f>
      </x:c>
      <x:c r="DN52" s="107" t="n">
        <x:f>DN50*DN51/1000</x:f>
      </x:c>
      <x:c r="DO52" s="107" t="n">
        <x:f>DO50*DO51/1000</x:f>
      </x:c>
      <x:c r="DP52" s="107" t="n">
        <x:f>DP50*DP51/1000</x:f>
      </x:c>
      <x:c r="DQ52" s="107" t="n">
        <x:f>DQ50*DQ51/1000</x:f>
      </x:c>
      <x:c r="DR52" s="107" t="n">
        <x:f>DR50*DR51/1000</x:f>
      </x:c>
      <x:c r="DS52" s="107" t="n">
        <x:f>DS50*DS51/1000</x:f>
      </x:c>
    </x:row>
    <x:row r="53">
      <x:c r="A53" t="str">
        <x:v>Поступления на эскроу</x:v>
      </x:c>
      <x:c r="B53" s="107" t="n">
        <x:f>SUM(D53:DS53)</x:f>
      </x:c>
      <x:c r="C53" t="str">
        <x:v>млн ₽</x:v>
      </x:c>
      <x:c r="D53" s="107" t="n">
        <x:f>IF(D$3&lt;$B$38,D52,0)</x:f>
      </x:c>
      <x:c r="E53" s="107" t="n">
        <x:f>IF(E$3&lt;$B$38,E52,0)</x:f>
      </x:c>
      <x:c r="F53" s="107" t="n">
        <x:f>IF(F$3&lt;$B$38,F52,0)</x:f>
      </x:c>
      <x:c r="G53" s="107" t="n">
        <x:f>IF(G$3&lt;$B$38,G52,0)</x:f>
      </x:c>
      <x:c r="H53" s="107" t="n">
        <x:f>IF(H$3&lt;$B$38,H52,0)</x:f>
      </x:c>
      <x:c r="I53" s="107" t="n">
        <x:f>IF(I$3&lt;$B$38,I52,0)</x:f>
      </x:c>
      <x:c r="J53" s="107" t="n">
        <x:f>IF(J$3&lt;$B$38,J52,0)</x:f>
      </x:c>
      <x:c r="K53" s="107" t="n">
        <x:f>IF(K$3&lt;$B$38,K52,0)</x:f>
      </x:c>
      <x:c r="L53" s="107" t="n">
        <x:f>IF(L$3&lt;$B$38,L52,0)</x:f>
      </x:c>
      <x:c r="M53" s="107" t="n">
        <x:f>IF(M$3&lt;$B$38,M52,0)</x:f>
      </x:c>
      <x:c r="N53" s="107" t="n">
        <x:f>IF(N$3&lt;$B$38,N52,0)</x:f>
      </x:c>
      <x:c r="O53" s="107" t="n">
        <x:f>IF(O$3&lt;$B$38,O52,0)</x:f>
      </x:c>
      <x:c r="P53" s="107" t="n">
        <x:f>IF(P$3&lt;$B$38,P52,0)</x:f>
      </x:c>
      <x:c r="Q53" s="107" t="n">
        <x:f>IF(Q$3&lt;$B$38,Q52,0)</x:f>
      </x:c>
      <x:c r="R53" s="107" t="n">
        <x:f>IF(R$3&lt;$B$38,R52,0)</x:f>
      </x:c>
      <x:c r="S53" s="107" t="n">
        <x:f>IF(S$3&lt;$B$38,S52,0)</x:f>
      </x:c>
      <x:c r="T53" s="107" t="n">
        <x:f>IF(T$3&lt;$B$38,T52,0)</x:f>
      </x:c>
      <x:c r="U53" s="107" t="n">
        <x:f>IF(U$3&lt;$B$38,U52,0)</x:f>
      </x:c>
      <x:c r="V53" s="107" t="n">
        <x:f>IF(V$3&lt;$B$38,V52,0)</x:f>
      </x:c>
      <x:c r="W53" s="107" t="n">
        <x:f>IF(W$3&lt;$B$38,W52,0)</x:f>
      </x:c>
      <x:c r="X53" s="107" t="n">
        <x:f>IF(X$3&lt;$B$38,X52,0)</x:f>
      </x:c>
      <x:c r="Y53" s="107" t="n">
        <x:f>IF(Y$3&lt;$B$38,Y52,0)</x:f>
      </x:c>
      <x:c r="Z53" s="107" t="n">
        <x:f>IF(Z$3&lt;$B$38,Z52,0)</x:f>
      </x:c>
      <x:c r="AA53" s="107" t="n">
        <x:f>IF(AA$3&lt;$B$38,AA52,0)</x:f>
      </x:c>
      <x:c r="AB53" s="107" t="n">
        <x:f>IF(AB$3&lt;$B$38,AB52,0)</x:f>
      </x:c>
      <x:c r="AC53" s="107" t="n">
        <x:f>IF(AC$3&lt;$B$38,AC52,0)</x:f>
      </x:c>
      <x:c r="AD53" s="107" t="n">
        <x:f>IF(AD$3&lt;$B$38,AD52,0)</x:f>
      </x:c>
      <x:c r="AE53" s="107" t="n">
        <x:f>IF(AE$3&lt;$B$38,AE52,0)</x:f>
      </x:c>
      <x:c r="AF53" s="107" t="n">
        <x:f>IF(AF$3&lt;$B$38,AF52,0)</x:f>
      </x:c>
      <x:c r="AG53" s="107" t="n">
        <x:f>IF(AG$3&lt;$B$38,AG52,0)</x:f>
      </x:c>
      <x:c r="AH53" s="107" t="n">
        <x:f>IF(AH$3&lt;$B$38,AH52,0)</x:f>
      </x:c>
      <x:c r="AI53" s="107" t="n">
        <x:f>IF(AI$3&lt;$B$38,AI52,0)</x:f>
      </x:c>
      <x:c r="AJ53" s="107" t="n">
        <x:f>IF(AJ$3&lt;$B$38,AJ52,0)</x:f>
      </x:c>
      <x:c r="AK53" s="107" t="n">
        <x:f>IF(AK$3&lt;$B$38,AK52,0)</x:f>
      </x:c>
      <x:c r="AL53" s="107" t="n">
        <x:f>IF(AL$3&lt;$B$38,AL52,0)</x:f>
      </x:c>
      <x:c r="AM53" s="107" t="n">
        <x:f>IF(AM$3&lt;$B$38,AM52,0)</x:f>
      </x:c>
      <x:c r="AN53" s="107" t="n">
        <x:f>IF(AN$3&lt;$B$38,AN52,0)</x:f>
      </x:c>
      <x:c r="AO53" s="107" t="n">
        <x:f>IF(AO$3&lt;$B$38,AO52,0)</x:f>
      </x:c>
      <x:c r="AP53" s="107" t="n">
        <x:f>IF(AP$3&lt;$B$38,AP52,0)</x:f>
      </x:c>
      <x:c r="AQ53" s="107" t="n">
        <x:f>IF(AQ$3&lt;$B$38,AQ52,0)</x:f>
      </x:c>
      <x:c r="AR53" s="107" t="n">
        <x:f>IF(AR$3&lt;$B$38,AR52,0)</x:f>
      </x:c>
      <x:c r="AS53" s="107" t="n">
        <x:f>IF(AS$3&lt;$B$38,AS52,0)</x:f>
      </x:c>
      <x:c r="AT53" s="107" t="n">
        <x:f>IF(AT$3&lt;$B$38,AT52,0)</x:f>
      </x:c>
      <x:c r="AU53" s="107" t="n">
        <x:f>IF(AU$3&lt;$B$38,AU52,0)</x:f>
      </x:c>
      <x:c r="AV53" s="107" t="n">
        <x:f>IF(AV$3&lt;$B$38,AV52,0)</x:f>
      </x:c>
      <x:c r="AW53" s="107" t="n">
        <x:f>IF(AW$3&lt;$B$38,AW52,0)</x:f>
      </x:c>
      <x:c r="AX53" s="107" t="n">
        <x:f>IF(AX$3&lt;$B$38,AX52,0)</x:f>
      </x:c>
      <x:c r="AY53" s="107" t="n">
        <x:f>IF(AY$3&lt;$B$38,AY52,0)</x:f>
      </x:c>
      <x:c r="AZ53" s="107" t="n">
        <x:f>IF(AZ$3&lt;$B$38,AZ52,0)</x:f>
      </x:c>
      <x:c r="BA53" s="107" t="n">
        <x:f>IF(BA$3&lt;$B$38,BA52,0)</x:f>
      </x:c>
      <x:c r="BB53" s="107" t="n">
        <x:f>IF(BB$3&lt;$B$38,BB52,0)</x:f>
      </x:c>
      <x:c r="BC53" s="107" t="n">
        <x:f>IF(BC$3&lt;$B$38,BC52,0)</x:f>
      </x:c>
      <x:c r="BD53" s="107" t="n">
        <x:f>IF(BD$3&lt;$B$38,BD52,0)</x:f>
      </x:c>
      <x:c r="BE53" s="107" t="n">
        <x:f>IF(BE$3&lt;$B$38,BE52,0)</x:f>
      </x:c>
      <x:c r="BF53" s="107" t="n">
        <x:f>IF(BF$3&lt;$B$38,BF52,0)</x:f>
      </x:c>
      <x:c r="BG53" s="107" t="n">
        <x:f>IF(BG$3&lt;$B$38,BG52,0)</x:f>
      </x:c>
      <x:c r="BH53" s="107" t="n">
        <x:f>IF(BH$3&lt;$B$38,BH52,0)</x:f>
      </x:c>
      <x:c r="BI53" s="107" t="n">
        <x:f>IF(BI$3&lt;$B$38,BI52,0)</x:f>
      </x:c>
      <x:c r="BJ53" s="107" t="n">
        <x:f>IF(BJ$3&lt;$B$38,BJ52,0)</x:f>
      </x:c>
      <x:c r="BK53" s="107" t="n">
        <x:f>IF(BK$3&lt;$B$38,BK52,0)</x:f>
      </x:c>
      <x:c r="BL53" s="107" t="n">
        <x:f>IF(BL$3&lt;$B$38,BL52,0)</x:f>
      </x:c>
      <x:c r="BM53" s="107" t="n">
        <x:f>IF(BM$3&lt;$B$38,BM52,0)</x:f>
      </x:c>
      <x:c r="BN53" s="107" t="n">
        <x:f>IF(BN$3&lt;$B$38,BN52,0)</x:f>
      </x:c>
      <x:c r="BO53" s="107" t="n">
        <x:f>IF(BO$3&lt;$B$38,BO52,0)</x:f>
      </x:c>
      <x:c r="BP53" s="107" t="n">
        <x:f>IF(BP$3&lt;$B$38,BP52,0)</x:f>
      </x:c>
      <x:c r="BQ53" s="107" t="n">
        <x:f>IF(BQ$3&lt;$B$38,BQ52,0)</x:f>
      </x:c>
      <x:c r="BR53" s="107" t="n">
        <x:f>IF(BR$3&lt;$B$38,BR52,0)</x:f>
      </x:c>
      <x:c r="BS53" s="107" t="n">
        <x:f>IF(BS$3&lt;$B$38,BS52,0)</x:f>
      </x:c>
      <x:c r="BT53" s="107" t="n">
        <x:f>IF(BT$3&lt;$B$38,BT52,0)</x:f>
      </x:c>
      <x:c r="BU53" s="107" t="n">
        <x:f>IF(BU$3&lt;$B$38,BU52,0)</x:f>
      </x:c>
      <x:c r="BV53" s="107" t="n">
        <x:f>IF(BV$3&lt;$B$38,BV52,0)</x:f>
      </x:c>
      <x:c r="BW53" s="107" t="n">
        <x:f>IF(BW$3&lt;$B$38,BW52,0)</x:f>
      </x:c>
      <x:c r="BX53" s="107" t="n">
        <x:f>IF(BX$3&lt;$B$38,BX52,0)</x:f>
      </x:c>
      <x:c r="BY53" s="107" t="n">
        <x:f>IF(BY$3&lt;$B$38,BY52,0)</x:f>
      </x:c>
      <x:c r="BZ53" s="107" t="n">
        <x:f>IF(BZ$3&lt;$B$38,BZ52,0)</x:f>
      </x:c>
      <x:c r="CA53" s="107" t="n">
        <x:f>IF(CA$3&lt;$B$38,CA52,0)</x:f>
      </x:c>
      <x:c r="CB53" s="107" t="n">
        <x:f>IF(CB$3&lt;$B$38,CB52,0)</x:f>
      </x:c>
      <x:c r="CC53" s="107" t="n">
        <x:f>IF(CC$3&lt;$B$38,CC52,0)</x:f>
      </x:c>
      <x:c r="CD53" s="107" t="n">
        <x:f>IF(CD$3&lt;$B$38,CD52,0)</x:f>
      </x:c>
      <x:c r="CE53" s="107" t="n">
        <x:f>IF(CE$3&lt;$B$38,CE52,0)</x:f>
      </x:c>
      <x:c r="CF53" s="107" t="n">
        <x:f>IF(CF$3&lt;$B$38,CF52,0)</x:f>
      </x:c>
      <x:c r="CG53" s="107" t="n">
        <x:f>IF(CG$3&lt;$B$38,CG52,0)</x:f>
      </x:c>
      <x:c r="CH53" s="107" t="n">
        <x:f>IF(CH$3&lt;$B$38,CH52,0)</x:f>
      </x:c>
      <x:c r="CI53" s="107" t="n">
        <x:f>IF(CI$3&lt;$B$38,CI52,0)</x:f>
      </x:c>
      <x:c r="CJ53" s="107" t="n">
        <x:f>IF(CJ$3&lt;$B$38,CJ52,0)</x:f>
      </x:c>
      <x:c r="CK53" s="107" t="n">
        <x:f>IF(CK$3&lt;$B$38,CK52,0)</x:f>
      </x:c>
      <x:c r="CL53" s="107" t="n">
        <x:f>IF(CL$3&lt;$B$38,CL52,0)</x:f>
      </x:c>
      <x:c r="CM53" s="107" t="n">
        <x:f>IF(CM$3&lt;$B$38,CM52,0)</x:f>
      </x:c>
      <x:c r="CN53" s="107" t="n">
        <x:f>IF(CN$3&lt;$B$38,CN52,0)</x:f>
      </x:c>
      <x:c r="CO53" s="107" t="n">
        <x:f>IF(CO$3&lt;$B$38,CO52,0)</x:f>
      </x:c>
      <x:c r="CP53" s="107" t="n">
        <x:f>IF(CP$3&lt;$B$38,CP52,0)</x:f>
      </x:c>
      <x:c r="CQ53" s="107" t="n">
        <x:f>IF(CQ$3&lt;$B$38,CQ52,0)</x:f>
      </x:c>
      <x:c r="CR53" s="107" t="n">
        <x:f>IF(CR$3&lt;$B$38,CR52,0)</x:f>
      </x:c>
      <x:c r="CS53" s="107" t="n">
        <x:f>IF(CS$3&lt;$B$38,CS52,0)</x:f>
      </x:c>
      <x:c r="CT53" s="107" t="n">
        <x:f>IF(CT$3&lt;$B$38,CT52,0)</x:f>
      </x:c>
      <x:c r="CU53" s="107" t="n">
        <x:f>IF(CU$3&lt;$B$38,CU52,0)</x:f>
      </x:c>
      <x:c r="CV53" s="107" t="n">
        <x:f>IF(CV$3&lt;$B$38,CV52,0)</x:f>
      </x:c>
      <x:c r="CW53" s="107" t="n">
        <x:f>IF(CW$3&lt;$B$38,CW52,0)</x:f>
      </x:c>
      <x:c r="CX53" s="107" t="n">
        <x:f>IF(CX$3&lt;$B$38,CX52,0)</x:f>
      </x:c>
      <x:c r="CY53" s="107" t="n">
        <x:f>IF(CY$3&lt;$B$38,CY52,0)</x:f>
      </x:c>
      <x:c r="CZ53" s="107" t="n">
        <x:f>IF(CZ$3&lt;$B$38,CZ52,0)</x:f>
      </x:c>
      <x:c r="DA53" s="107" t="n">
        <x:f>IF(DA$3&lt;$B$38,DA52,0)</x:f>
      </x:c>
      <x:c r="DB53" s="107" t="n">
        <x:f>IF(DB$3&lt;$B$38,DB52,0)</x:f>
      </x:c>
      <x:c r="DC53" s="107" t="n">
        <x:f>IF(DC$3&lt;$B$38,DC52,0)</x:f>
      </x:c>
      <x:c r="DD53" s="107" t="n">
        <x:f>IF(DD$3&lt;$B$38,DD52,0)</x:f>
      </x:c>
      <x:c r="DE53" s="107" t="n">
        <x:f>IF(DE$3&lt;$B$38,DE52,0)</x:f>
      </x:c>
      <x:c r="DF53" s="107" t="n">
        <x:f>IF(DF$3&lt;$B$38,DF52,0)</x:f>
      </x:c>
      <x:c r="DG53" s="107" t="n">
        <x:f>IF(DG$3&lt;$B$38,DG52,0)</x:f>
      </x:c>
      <x:c r="DH53" s="107" t="n">
        <x:f>IF(DH$3&lt;$B$38,DH52,0)</x:f>
      </x:c>
      <x:c r="DI53" s="107" t="n">
        <x:f>IF(DI$3&lt;$B$38,DI52,0)</x:f>
      </x:c>
      <x:c r="DJ53" s="107" t="n">
        <x:f>IF(DJ$3&lt;$B$38,DJ52,0)</x:f>
      </x:c>
      <x:c r="DK53" s="107" t="n">
        <x:f>IF(DK$3&lt;$B$38,DK52,0)</x:f>
      </x:c>
      <x:c r="DL53" s="107" t="n">
        <x:f>IF(DL$3&lt;$B$38,DL52,0)</x:f>
      </x:c>
      <x:c r="DM53" s="107" t="n">
        <x:f>IF(DM$3&lt;$B$38,DM52,0)</x:f>
      </x:c>
      <x:c r="DN53" s="107" t="n">
        <x:f>IF(DN$3&lt;$B$38,DN52,0)</x:f>
      </x:c>
      <x:c r="DO53" s="107" t="n">
        <x:f>IF(DO$3&lt;$B$38,DO52,0)</x:f>
      </x:c>
      <x:c r="DP53" s="107" t="n">
        <x:f>IF(DP$3&lt;$B$38,DP52,0)</x:f>
      </x:c>
      <x:c r="DQ53" s="107" t="n">
        <x:f>IF(DQ$3&lt;$B$38,DQ52,0)</x:f>
      </x:c>
      <x:c r="DR53" s="107" t="n">
        <x:f>IF(DR$3&lt;$B$38,DR52,0)</x:f>
      </x:c>
      <x:c r="DS53" s="107" t="n">
        <x:f>IF(DS$3&lt;$B$38,DS52,0)</x:f>
      </x:c>
    </x:row>
    <x:row r="54">
      <x:c r="A54" t="str">
        <x:v>Прямые поступления после РВЭ</x:v>
      </x:c>
      <x:c r="B54" s="107" t="n">
        <x:f>SUM(D54:DS54)</x:f>
      </x:c>
      <x:c r="C54" t="str">
        <x:v>млн ₽</x:v>
      </x:c>
      <x:c r="D54" s="107" t="n">
        <x:f>IF(D$3&gt;=$B$38,D52,0)</x:f>
      </x:c>
      <x:c r="E54" s="107" t="n">
        <x:f>IF(E$3&gt;=$B$38,E52,0)</x:f>
      </x:c>
      <x:c r="F54" s="107" t="n">
        <x:f>IF(F$3&gt;=$B$38,F52,0)</x:f>
      </x:c>
      <x:c r="G54" s="107" t="n">
        <x:f>IF(G$3&gt;=$B$38,G52,0)</x:f>
      </x:c>
      <x:c r="H54" s="107" t="n">
        <x:f>IF(H$3&gt;=$B$38,H52,0)</x:f>
      </x:c>
      <x:c r="I54" s="107" t="n">
        <x:f>IF(I$3&gt;=$B$38,I52,0)</x:f>
      </x:c>
      <x:c r="J54" s="107" t="n">
        <x:f>IF(J$3&gt;=$B$38,J52,0)</x:f>
      </x:c>
      <x:c r="K54" s="107" t="n">
        <x:f>IF(K$3&gt;=$B$38,K52,0)</x:f>
      </x:c>
      <x:c r="L54" s="107" t="n">
        <x:f>IF(L$3&gt;=$B$38,L52,0)</x:f>
      </x:c>
      <x:c r="M54" s="107" t="n">
        <x:f>IF(M$3&gt;=$B$38,M52,0)</x:f>
      </x:c>
      <x:c r="N54" s="107" t="n">
        <x:f>IF(N$3&gt;=$B$38,N52,0)</x:f>
      </x:c>
      <x:c r="O54" s="107" t="n">
        <x:f>IF(O$3&gt;=$B$38,O52,0)</x:f>
      </x:c>
      <x:c r="P54" s="107" t="n">
        <x:f>IF(P$3&gt;=$B$38,P52,0)</x:f>
      </x:c>
      <x:c r="Q54" s="107" t="n">
        <x:f>IF(Q$3&gt;=$B$38,Q52,0)</x:f>
      </x:c>
      <x:c r="R54" s="107" t="n">
        <x:f>IF(R$3&gt;=$B$38,R52,0)</x:f>
      </x:c>
      <x:c r="S54" s="107" t="n">
        <x:f>IF(S$3&gt;=$B$38,S52,0)</x:f>
      </x:c>
      <x:c r="T54" s="107" t="n">
        <x:f>IF(T$3&gt;=$B$38,T52,0)</x:f>
      </x:c>
      <x:c r="U54" s="107" t="n">
        <x:f>IF(U$3&gt;=$B$38,U52,0)</x:f>
      </x:c>
      <x:c r="V54" s="107" t="n">
        <x:f>IF(V$3&gt;=$B$38,V52,0)</x:f>
      </x:c>
      <x:c r="W54" s="107" t="n">
        <x:f>IF(W$3&gt;=$B$38,W52,0)</x:f>
      </x:c>
      <x:c r="X54" s="107" t="n">
        <x:f>IF(X$3&gt;=$B$38,X52,0)</x:f>
      </x:c>
      <x:c r="Y54" s="107" t="n">
        <x:f>IF(Y$3&gt;=$B$38,Y52,0)</x:f>
      </x:c>
      <x:c r="Z54" s="107" t="n">
        <x:f>IF(Z$3&gt;=$B$38,Z52,0)</x:f>
      </x:c>
      <x:c r="AA54" s="107" t="n">
        <x:f>IF(AA$3&gt;=$B$38,AA52,0)</x:f>
      </x:c>
      <x:c r="AB54" s="107" t="n">
        <x:f>IF(AB$3&gt;=$B$38,AB52,0)</x:f>
      </x:c>
      <x:c r="AC54" s="107" t="n">
        <x:f>IF(AC$3&gt;=$B$38,AC52,0)</x:f>
      </x:c>
      <x:c r="AD54" s="107" t="n">
        <x:f>IF(AD$3&gt;=$B$38,AD52,0)</x:f>
      </x:c>
      <x:c r="AE54" s="107" t="n">
        <x:f>IF(AE$3&gt;=$B$38,AE52,0)</x:f>
      </x:c>
      <x:c r="AF54" s="107" t="n">
        <x:f>IF(AF$3&gt;=$B$38,AF52,0)</x:f>
      </x:c>
      <x:c r="AG54" s="107" t="n">
        <x:f>IF(AG$3&gt;=$B$38,AG52,0)</x:f>
      </x:c>
      <x:c r="AH54" s="107" t="n">
        <x:f>IF(AH$3&gt;=$B$38,AH52,0)</x:f>
      </x:c>
      <x:c r="AI54" s="107" t="n">
        <x:f>IF(AI$3&gt;=$B$38,AI52,0)</x:f>
      </x:c>
      <x:c r="AJ54" s="107" t="n">
        <x:f>IF(AJ$3&gt;=$B$38,AJ52,0)</x:f>
      </x:c>
      <x:c r="AK54" s="107" t="n">
        <x:f>IF(AK$3&gt;=$B$38,AK52,0)</x:f>
      </x:c>
      <x:c r="AL54" s="107" t="n">
        <x:f>IF(AL$3&gt;=$B$38,AL52,0)</x:f>
      </x:c>
      <x:c r="AM54" s="107" t="n">
        <x:f>IF(AM$3&gt;=$B$38,AM52,0)</x:f>
      </x:c>
      <x:c r="AN54" s="107" t="n">
        <x:f>IF(AN$3&gt;=$B$38,AN52,0)</x:f>
      </x:c>
      <x:c r="AO54" s="107" t="n">
        <x:f>IF(AO$3&gt;=$B$38,AO52,0)</x:f>
      </x:c>
      <x:c r="AP54" s="107" t="n">
        <x:f>IF(AP$3&gt;=$B$38,AP52,0)</x:f>
      </x:c>
      <x:c r="AQ54" s="107" t="n">
        <x:f>IF(AQ$3&gt;=$B$38,AQ52,0)</x:f>
      </x:c>
      <x:c r="AR54" s="107" t="n">
        <x:f>IF(AR$3&gt;=$B$38,AR52,0)</x:f>
      </x:c>
      <x:c r="AS54" s="107" t="n">
        <x:f>IF(AS$3&gt;=$B$38,AS52,0)</x:f>
      </x:c>
      <x:c r="AT54" s="107" t="n">
        <x:f>IF(AT$3&gt;=$B$38,AT52,0)</x:f>
      </x:c>
      <x:c r="AU54" s="107" t="n">
        <x:f>IF(AU$3&gt;=$B$38,AU52,0)</x:f>
      </x:c>
      <x:c r="AV54" s="107" t="n">
        <x:f>IF(AV$3&gt;=$B$38,AV52,0)</x:f>
      </x:c>
      <x:c r="AW54" s="107" t="n">
        <x:f>IF(AW$3&gt;=$B$38,AW52,0)</x:f>
      </x:c>
      <x:c r="AX54" s="107" t="n">
        <x:f>IF(AX$3&gt;=$B$38,AX52,0)</x:f>
      </x:c>
      <x:c r="AY54" s="107" t="n">
        <x:f>IF(AY$3&gt;=$B$38,AY52,0)</x:f>
      </x:c>
      <x:c r="AZ54" s="107" t="n">
        <x:f>IF(AZ$3&gt;=$B$38,AZ52,0)</x:f>
      </x:c>
      <x:c r="BA54" s="107" t="n">
        <x:f>IF(BA$3&gt;=$B$38,BA52,0)</x:f>
      </x:c>
      <x:c r="BB54" s="107" t="n">
        <x:f>IF(BB$3&gt;=$B$38,BB52,0)</x:f>
      </x:c>
      <x:c r="BC54" s="107" t="n">
        <x:f>IF(BC$3&gt;=$B$38,BC52,0)</x:f>
      </x:c>
      <x:c r="BD54" s="107" t="n">
        <x:f>IF(BD$3&gt;=$B$38,BD52,0)</x:f>
      </x:c>
      <x:c r="BE54" s="107" t="n">
        <x:f>IF(BE$3&gt;=$B$38,BE52,0)</x:f>
      </x:c>
      <x:c r="BF54" s="107" t="n">
        <x:f>IF(BF$3&gt;=$B$38,BF52,0)</x:f>
      </x:c>
      <x:c r="BG54" s="107" t="n">
        <x:f>IF(BG$3&gt;=$B$38,BG52,0)</x:f>
      </x:c>
      <x:c r="BH54" s="107" t="n">
        <x:f>IF(BH$3&gt;=$B$38,BH52,0)</x:f>
      </x:c>
      <x:c r="BI54" s="107" t="n">
        <x:f>IF(BI$3&gt;=$B$38,BI52,0)</x:f>
      </x:c>
      <x:c r="BJ54" s="107" t="n">
        <x:f>IF(BJ$3&gt;=$B$38,BJ52,0)</x:f>
      </x:c>
      <x:c r="BK54" s="107" t="n">
        <x:f>IF(BK$3&gt;=$B$38,BK52,0)</x:f>
      </x:c>
      <x:c r="BL54" s="107" t="n">
        <x:f>IF(BL$3&gt;=$B$38,BL52,0)</x:f>
      </x:c>
      <x:c r="BM54" s="107" t="n">
        <x:f>IF(BM$3&gt;=$B$38,BM52,0)</x:f>
      </x:c>
      <x:c r="BN54" s="107" t="n">
        <x:f>IF(BN$3&gt;=$B$38,BN52,0)</x:f>
      </x:c>
      <x:c r="BO54" s="107" t="n">
        <x:f>IF(BO$3&gt;=$B$38,BO52,0)</x:f>
      </x:c>
      <x:c r="BP54" s="107" t="n">
        <x:f>IF(BP$3&gt;=$B$38,BP52,0)</x:f>
      </x:c>
      <x:c r="BQ54" s="107" t="n">
        <x:f>IF(BQ$3&gt;=$B$38,BQ52,0)</x:f>
      </x:c>
      <x:c r="BR54" s="107" t="n">
        <x:f>IF(BR$3&gt;=$B$38,BR52,0)</x:f>
      </x:c>
      <x:c r="BS54" s="107" t="n">
        <x:f>IF(BS$3&gt;=$B$38,BS52,0)</x:f>
      </x:c>
      <x:c r="BT54" s="107" t="n">
        <x:f>IF(BT$3&gt;=$B$38,BT52,0)</x:f>
      </x:c>
      <x:c r="BU54" s="107" t="n">
        <x:f>IF(BU$3&gt;=$B$38,BU52,0)</x:f>
      </x:c>
      <x:c r="BV54" s="107" t="n">
        <x:f>IF(BV$3&gt;=$B$38,BV52,0)</x:f>
      </x:c>
      <x:c r="BW54" s="107" t="n">
        <x:f>IF(BW$3&gt;=$B$38,BW52,0)</x:f>
      </x:c>
      <x:c r="BX54" s="107" t="n">
        <x:f>IF(BX$3&gt;=$B$38,BX52,0)</x:f>
      </x:c>
      <x:c r="BY54" s="107" t="n">
        <x:f>IF(BY$3&gt;=$B$38,BY52,0)</x:f>
      </x:c>
      <x:c r="BZ54" s="107" t="n">
        <x:f>IF(BZ$3&gt;=$B$38,BZ52,0)</x:f>
      </x:c>
      <x:c r="CA54" s="107" t="n">
        <x:f>IF(CA$3&gt;=$B$38,CA52,0)</x:f>
      </x:c>
      <x:c r="CB54" s="107" t="n">
        <x:f>IF(CB$3&gt;=$B$38,CB52,0)</x:f>
      </x:c>
      <x:c r="CC54" s="107" t="n">
        <x:f>IF(CC$3&gt;=$B$38,CC52,0)</x:f>
      </x:c>
      <x:c r="CD54" s="107" t="n">
        <x:f>IF(CD$3&gt;=$B$38,CD52,0)</x:f>
      </x:c>
      <x:c r="CE54" s="107" t="n">
        <x:f>IF(CE$3&gt;=$B$38,CE52,0)</x:f>
      </x:c>
      <x:c r="CF54" s="107" t="n">
        <x:f>IF(CF$3&gt;=$B$38,CF52,0)</x:f>
      </x:c>
      <x:c r="CG54" s="107" t="n">
        <x:f>IF(CG$3&gt;=$B$38,CG52,0)</x:f>
      </x:c>
      <x:c r="CH54" s="107" t="n">
        <x:f>IF(CH$3&gt;=$B$38,CH52,0)</x:f>
      </x:c>
      <x:c r="CI54" s="107" t="n">
        <x:f>IF(CI$3&gt;=$B$38,CI52,0)</x:f>
      </x:c>
      <x:c r="CJ54" s="107" t="n">
        <x:f>IF(CJ$3&gt;=$B$38,CJ52,0)</x:f>
      </x:c>
      <x:c r="CK54" s="107" t="n">
        <x:f>IF(CK$3&gt;=$B$38,CK52,0)</x:f>
      </x:c>
      <x:c r="CL54" s="107" t="n">
        <x:f>IF(CL$3&gt;=$B$38,CL52,0)</x:f>
      </x:c>
      <x:c r="CM54" s="107" t="n">
        <x:f>IF(CM$3&gt;=$B$38,CM52,0)</x:f>
      </x:c>
      <x:c r="CN54" s="107" t="n">
        <x:f>IF(CN$3&gt;=$B$38,CN52,0)</x:f>
      </x:c>
      <x:c r="CO54" s="107" t="n">
        <x:f>IF(CO$3&gt;=$B$38,CO52,0)</x:f>
      </x:c>
      <x:c r="CP54" s="107" t="n">
        <x:f>IF(CP$3&gt;=$B$38,CP52,0)</x:f>
      </x:c>
      <x:c r="CQ54" s="107" t="n">
        <x:f>IF(CQ$3&gt;=$B$38,CQ52,0)</x:f>
      </x:c>
      <x:c r="CR54" s="107" t="n">
        <x:f>IF(CR$3&gt;=$B$38,CR52,0)</x:f>
      </x:c>
      <x:c r="CS54" s="107" t="n">
        <x:f>IF(CS$3&gt;=$B$38,CS52,0)</x:f>
      </x:c>
      <x:c r="CT54" s="107" t="n">
        <x:f>IF(CT$3&gt;=$B$38,CT52,0)</x:f>
      </x:c>
      <x:c r="CU54" s="107" t="n">
        <x:f>IF(CU$3&gt;=$B$38,CU52,0)</x:f>
      </x:c>
      <x:c r="CV54" s="107" t="n">
        <x:f>IF(CV$3&gt;=$B$38,CV52,0)</x:f>
      </x:c>
      <x:c r="CW54" s="107" t="n">
        <x:f>IF(CW$3&gt;=$B$38,CW52,0)</x:f>
      </x:c>
      <x:c r="CX54" s="107" t="n">
        <x:f>IF(CX$3&gt;=$B$38,CX52,0)</x:f>
      </x:c>
      <x:c r="CY54" s="107" t="n">
        <x:f>IF(CY$3&gt;=$B$38,CY52,0)</x:f>
      </x:c>
      <x:c r="CZ54" s="107" t="n">
        <x:f>IF(CZ$3&gt;=$B$38,CZ52,0)</x:f>
      </x:c>
      <x:c r="DA54" s="107" t="n">
        <x:f>IF(DA$3&gt;=$B$38,DA52,0)</x:f>
      </x:c>
      <x:c r="DB54" s="107" t="n">
        <x:f>IF(DB$3&gt;=$B$38,DB52,0)</x:f>
      </x:c>
      <x:c r="DC54" s="107" t="n">
        <x:f>IF(DC$3&gt;=$B$38,DC52,0)</x:f>
      </x:c>
      <x:c r="DD54" s="107" t="n">
        <x:f>IF(DD$3&gt;=$B$38,DD52,0)</x:f>
      </x:c>
      <x:c r="DE54" s="107" t="n">
        <x:f>IF(DE$3&gt;=$B$38,DE52,0)</x:f>
      </x:c>
      <x:c r="DF54" s="107" t="n">
        <x:f>IF(DF$3&gt;=$B$38,DF52,0)</x:f>
      </x:c>
      <x:c r="DG54" s="107" t="n">
        <x:f>IF(DG$3&gt;=$B$38,DG52,0)</x:f>
      </x:c>
      <x:c r="DH54" s="107" t="n">
        <x:f>IF(DH$3&gt;=$B$38,DH52,0)</x:f>
      </x:c>
      <x:c r="DI54" s="107" t="n">
        <x:f>IF(DI$3&gt;=$B$38,DI52,0)</x:f>
      </x:c>
      <x:c r="DJ54" s="107" t="n">
        <x:f>IF(DJ$3&gt;=$B$38,DJ52,0)</x:f>
      </x:c>
      <x:c r="DK54" s="107" t="n">
        <x:f>IF(DK$3&gt;=$B$38,DK52,0)</x:f>
      </x:c>
      <x:c r="DL54" s="107" t="n">
        <x:f>IF(DL$3&gt;=$B$38,DL52,0)</x:f>
      </x:c>
      <x:c r="DM54" s="107" t="n">
        <x:f>IF(DM$3&gt;=$B$38,DM52,0)</x:f>
      </x:c>
      <x:c r="DN54" s="107" t="n">
        <x:f>IF(DN$3&gt;=$B$38,DN52,0)</x:f>
      </x:c>
      <x:c r="DO54" s="107" t="n">
        <x:f>IF(DO$3&gt;=$B$38,DO52,0)</x:f>
      </x:c>
      <x:c r="DP54" s="107" t="n">
        <x:f>IF(DP$3&gt;=$B$38,DP52,0)</x:f>
      </x:c>
      <x:c r="DQ54" s="107" t="n">
        <x:f>IF(DQ$3&gt;=$B$38,DQ52,0)</x:f>
      </x:c>
      <x:c r="DR54" s="107" t="n">
        <x:f>IF(DR$3&gt;=$B$38,DR52,0)</x:f>
      </x:c>
      <x:c r="DS54" s="107" t="n">
        <x:f>IF(DS$3&gt;=$B$38,DS52,0)</x:f>
      </x:c>
    </x:row>
    <x:row r="55">
      <x:c r="A55" t="str">
        <x:v>Раскрытие эскроу</x:v>
      </x:c>
      <x:c r="B55" s="107" t="n">
        <x:f>SUM(D55:DS55)</x:f>
      </x:c>
      <x:c r="C55" t="str">
        <x:v>млн ₽</x:v>
      </x:c>
      <x:c r="D55" s="107" t="n">
        <x:f>IF(AND(YEAR(D$3)=YEAR($B$38),MONTH(D$3)=MONTH($B$38),AND($B$35="Да",IFERROR(INDEX('Вводные'!$B$88:$B$91,$B$36),"Нет")="Да")),MAX(0,SUM($D53:D53)-D53),0)</x:f>
      </x:c>
      <x:c r="E55" s="107" t="n">
        <x:f>IF(AND(YEAR(E$3)=YEAR($B$38),MONTH(E$3)=MONTH($B$38),AND($B$35="Да",IFERROR(INDEX('Вводные'!$B$88:$B$91,$B$36),"Нет")="Да")),MAX(0,SUM($D53:E53)-E53),0)</x:f>
      </x:c>
      <x:c r="F55" s="107" t="n">
        <x:f>IF(AND(YEAR(F$3)=YEAR($B$38),MONTH(F$3)=MONTH($B$38),AND($B$35="Да",IFERROR(INDEX('Вводные'!$B$88:$B$91,$B$36),"Нет")="Да")),MAX(0,SUM($D53:F53)-F53),0)</x:f>
      </x:c>
      <x:c r="G55" s="107" t="n">
        <x:f>IF(AND(YEAR(G$3)=YEAR($B$38),MONTH(G$3)=MONTH($B$38),AND($B$35="Да",IFERROR(INDEX('Вводные'!$B$88:$B$91,$B$36),"Нет")="Да")),MAX(0,SUM($D53:G53)-G53),0)</x:f>
      </x:c>
      <x:c r="H55" s="107" t="n">
        <x:f>IF(AND(YEAR(H$3)=YEAR($B$38),MONTH(H$3)=MONTH($B$38),AND($B$35="Да",IFERROR(INDEX('Вводные'!$B$88:$B$91,$B$36),"Нет")="Да")),MAX(0,SUM($D53:H53)-H53),0)</x:f>
      </x:c>
      <x:c r="I55" s="107" t="n">
        <x:f>IF(AND(YEAR(I$3)=YEAR($B$38),MONTH(I$3)=MONTH($B$38),AND($B$35="Да",IFERROR(INDEX('Вводные'!$B$88:$B$91,$B$36),"Нет")="Да")),MAX(0,SUM($D53:I53)-I53),0)</x:f>
      </x:c>
      <x:c r="J55" s="107" t="n">
        <x:f>IF(AND(YEAR(J$3)=YEAR($B$38),MONTH(J$3)=MONTH($B$38),AND($B$35="Да",IFERROR(INDEX('Вводные'!$B$88:$B$91,$B$36),"Нет")="Да")),MAX(0,SUM($D53:J53)-J53),0)</x:f>
      </x:c>
      <x:c r="K55" s="107" t="n">
        <x:f>IF(AND(YEAR(K$3)=YEAR($B$38),MONTH(K$3)=MONTH($B$38),AND($B$35="Да",IFERROR(INDEX('Вводные'!$B$88:$B$91,$B$36),"Нет")="Да")),MAX(0,SUM($D53:K53)-K53),0)</x:f>
      </x:c>
      <x:c r="L55" s="107" t="n">
        <x:f>IF(AND(YEAR(L$3)=YEAR($B$38),MONTH(L$3)=MONTH($B$38),AND($B$35="Да",IFERROR(INDEX('Вводные'!$B$88:$B$91,$B$36),"Нет")="Да")),MAX(0,SUM($D53:L53)-L53),0)</x:f>
      </x:c>
      <x:c r="M55" s="107" t="n">
        <x:f>IF(AND(YEAR(M$3)=YEAR($B$38),MONTH(M$3)=MONTH($B$38),AND($B$35="Да",IFERROR(INDEX('Вводные'!$B$88:$B$91,$B$36),"Нет")="Да")),MAX(0,SUM($D53:M53)-M53),0)</x:f>
      </x:c>
      <x:c r="N55" s="107" t="n">
        <x:f>IF(AND(YEAR(N$3)=YEAR($B$38),MONTH(N$3)=MONTH($B$38),AND($B$35="Да",IFERROR(INDEX('Вводные'!$B$88:$B$91,$B$36),"Нет")="Да")),MAX(0,SUM($D53:N53)-N53),0)</x:f>
      </x:c>
      <x:c r="O55" s="107" t="n">
        <x:f>IF(AND(YEAR(O$3)=YEAR($B$38),MONTH(O$3)=MONTH($B$38),AND($B$35="Да",IFERROR(INDEX('Вводные'!$B$88:$B$91,$B$36),"Нет")="Да")),MAX(0,SUM($D53:O53)-O53),0)</x:f>
      </x:c>
      <x:c r="P55" s="107" t="n">
        <x:f>IF(AND(YEAR(P$3)=YEAR($B$38),MONTH(P$3)=MONTH($B$38),AND($B$35="Да",IFERROR(INDEX('Вводные'!$B$88:$B$91,$B$36),"Нет")="Да")),MAX(0,SUM($D53:P53)-P53),0)</x:f>
      </x:c>
      <x:c r="Q55" s="107" t="n">
        <x:f>IF(AND(YEAR(Q$3)=YEAR($B$38),MONTH(Q$3)=MONTH($B$38),AND($B$35="Да",IFERROR(INDEX('Вводные'!$B$88:$B$91,$B$36),"Нет")="Да")),MAX(0,SUM($D53:Q53)-Q53),0)</x:f>
      </x:c>
      <x:c r="R55" s="107" t="n">
        <x:f>IF(AND(YEAR(R$3)=YEAR($B$38),MONTH(R$3)=MONTH($B$38),AND($B$35="Да",IFERROR(INDEX('Вводные'!$B$88:$B$91,$B$36),"Нет")="Да")),MAX(0,SUM($D53:R53)-R53),0)</x:f>
      </x:c>
      <x:c r="S55" s="107" t="n">
        <x:f>IF(AND(YEAR(S$3)=YEAR($B$38),MONTH(S$3)=MONTH($B$38),AND($B$35="Да",IFERROR(INDEX('Вводные'!$B$88:$B$91,$B$36),"Нет")="Да")),MAX(0,SUM($D53:S53)-S53),0)</x:f>
      </x:c>
      <x:c r="T55" s="107" t="n">
        <x:f>IF(AND(YEAR(T$3)=YEAR($B$38),MONTH(T$3)=MONTH($B$38),AND($B$35="Да",IFERROR(INDEX('Вводные'!$B$88:$B$91,$B$36),"Нет")="Да")),MAX(0,SUM($D53:T53)-T53),0)</x:f>
      </x:c>
      <x:c r="U55" s="107" t="n">
        <x:f>IF(AND(YEAR(U$3)=YEAR($B$38),MONTH(U$3)=MONTH($B$38),AND($B$35="Да",IFERROR(INDEX('Вводные'!$B$88:$B$91,$B$36),"Нет")="Да")),MAX(0,SUM($D53:U53)-U53),0)</x:f>
      </x:c>
      <x:c r="V55" s="107" t="n">
        <x:f>IF(AND(YEAR(V$3)=YEAR($B$38),MONTH(V$3)=MONTH($B$38),AND($B$35="Да",IFERROR(INDEX('Вводные'!$B$88:$B$91,$B$36),"Нет")="Да")),MAX(0,SUM($D53:V53)-V53),0)</x:f>
      </x:c>
      <x:c r="W55" s="107" t="n">
        <x:f>IF(AND(YEAR(W$3)=YEAR($B$38),MONTH(W$3)=MONTH($B$38),AND($B$35="Да",IFERROR(INDEX('Вводные'!$B$88:$B$91,$B$36),"Нет")="Да")),MAX(0,SUM($D53:W53)-W53),0)</x:f>
      </x:c>
      <x:c r="X55" s="107" t="n">
        <x:f>IF(AND(YEAR(X$3)=YEAR($B$38),MONTH(X$3)=MONTH($B$38),AND($B$35="Да",IFERROR(INDEX('Вводные'!$B$88:$B$91,$B$36),"Нет")="Да")),MAX(0,SUM($D53:X53)-X53),0)</x:f>
      </x:c>
      <x:c r="Y55" s="107" t="n">
        <x:f>IF(AND(YEAR(Y$3)=YEAR($B$38),MONTH(Y$3)=MONTH($B$38),AND($B$35="Да",IFERROR(INDEX('Вводные'!$B$88:$B$91,$B$36),"Нет")="Да")),MAX(0,SUM($D53:Y53)-Y53),0)</x:f>
      </x:c>
      <x:c r="Z55" s="107" t="n">
        <x:f>IF(AND(YEAR(Z$3)=YEAR($B$38),MONTH(Z$3)=MONTH($B$38),AND($B$35="Да",IFERROR(INDEX('Вводные'!$B$88:$B$91,$B$36),"Нет")="Да")),MAX(0,SUM($D53:Z53)-Z53),0)</x:f>
      </x:c>
      <x:c r="AA55" s="107" t="n">
        <x:f>IF(AND(YEAR(AA$3)=YEAR($B$38),MONTH(AA$3)=MONTH($B$38),AND($B$35="Да",IFERROR(INDEX('Вводные'!$B$88:$B$91,$B$36),"Нет")="Да")),MAX(0,SUM($D53:AA53)-AA53),0)</x:f>
      </x:c>
      <x:c r="AB55" s="107" t="n">
        <x:f>IF(AND(YEAR(AB$3)=YEAR($B$38),MONTH(AB$3)=MONTH($B$38),AND($B$35="Да",IFERROR(INDEX('Вводные'!$B$88:$B$91,$B$36),"Нет")="Да")),MAX(0,SUM($D53:AB53)-AB53),0)</x:f>
      </x:c>
      <x:c r="AC55" s="107" t="n">
        <x:f>IF(AND(YEAR(AC$3)=YEAR($B$38),MONTH(AC$3)=MONTH($B$38),AND($B$35="Да",IFERROR(INDEX('Вводные'!$B$88:$B$91,$B$36),"Нет")="Да")),MAX(0,SUM($D53:AC53)-AC53),0)</x:f>
      </x:c>
      <x:c r="AD55" s="107" t="n">
        <x:f>IF(AND(YEAR(AD$3)=YEAR($B$38),MONTH(AD$3)=MONTH($B$38),AND($B$35="Да",IFERROR(INDEX('Вводные'!$B$88:$B$91,$B$36),"Нет")="Да")),MAX(0,SUM($D53:AD53)-AD53),0)</x:f>
      </x:c>
      <x:c r="AE55" s="107" t="n">
        <x:f>IF(AND(YEAR(AE$3)=YEAR($B$38),MONTH(AE$3)=MONTH($B$38),AND($B$35="Да",IFERROR(INDEX('Вводные'!$B$88:$B$91,$B$36),"Нет")="Да")),MAX(0,SUM($D53:AE53)-AE53),0)</x:f>
      </x:c>
      <x:c r="AF55" s="107" t="n">
        <x:f>IF(AND(YEAR(AF$3)=YEAR($B$38),MONTH(AF$3)=MONTH($B$38),AND($B$35="Да",IFERROR(INDEX('Вводные'!$B$88:$B$91,$B$36),"Нет")="Да")),MAX(0,SUM($D53:AF53)-AF53),0)</x:f>
      </x:c>
      <x:c r="AG55" s="107" t="n">
        <x:f>IF(AND(YEAR(AG$3)=YEAR($B$38),MONTH(AG$3)=MONTH($B$38),AND($B$35="Да",IFERROR(INDEX('Вводные'!$B$88:$B$91,$B$36),"Нет")="Да")),MAX(0,SUM($D53:AG53)-AG53),0)</x:f>
      </x:c>
      <x:c r="AH55" s="107" t="n">
        <x:f>IF(AND(YEAR(AH$3)=YEAR($B$38),MONTH(AH$3)=MONTH($B$38),AND($B$35="Да",IFERROR(INDEX('Вводные'!$B$88:$B$91,$B$36),"Нет")="Да")),MAX(0,SUM($D53:AH53)-AH53),0)</x:f>
      </x:c>
      <x:c r="AI55" s="107" t="n">
        <x:f>IF(AND(YEAR(AI$3)=YEAR($B$38),MONTH(AI$3)=MONTH($B$38),AND($B$35="Да",IFERROR(INDEX('Вводные'!$B$88:$B$91,$B$36),"Нет")="Да")),MAX(0,SUM($D53:AI53)-AI53),0)</x:f>
      </x:c>
      <x:c r="AJ55" s="107" t="n">
        <x:f>IF(AND(YEAR(AJ$3)=YEAR($B$38),MONTH(AJ$3)=MONTH($B$38),AND($B$35="Да",IFERROR(INDEX('Вводные'!$B$88:$B$91,$B$36),"Нет")="Да")),MAX(0,SUM($D53:AJ53)-AJ53),0)</x:f>
      </x:c>
      <x:c r="AK55" s="107" t="n">
        <x:f>IF(AND(YEAR(AK$3)=YEAR($B$38),MONTH(AK$3)=MONTH($B$38),AND($B$35="Да",IFERROR(INDEX('Вводные'!$B$88:$B$91,$B$36),"Нет")="Да")),MAX(0,SUM($D53:AK53)-AK53),0)</x:f>
      </x:c>
      <x:c r="AL55" s="107" t="n">
        <x:f>IF(AND(YEAR(AL$3)=YEAR($B$38),MONTH(AL$3)=MONTH($B$38),AND($B$35="Да",IFERROR(INDEX('Вводные'!$B$88:$B$91,$B$36),"Нет")="Да")),MAX(0,SUM($D53:AL53)-AL53),0)</x:f>
      </x:c>
      <x:c r="AM55" s="107" t="n">
        <x:f>IF(AND(YEAR(AM$3)=YEAR($B$38),MONTH(AM$3)=MONTH($B$38),AND($B$35="Да",IFERROR(INDEX('Вводные'!$B$88:$B$91,$B$36),"Нет")="Да")),MAX(0,SUM($D53:AM53)-AM53),0)</x:f>
      </x:c>
      <x:c r="AN55" s="107" t="n">
        <x:f>IF(AND(YEAR(AN$3)=YEAR($B$38),MONTH(AN$3)=MONTH($B$38),AND($B$35="Да",IFERROR(INDEX('Вводные'!$B$88:$B$91,$B$36),"Нет")="Да")),MAX(0,SUM($D53:AN53)-AN53),0)</x:f>
      </x:c>
      <x:c r="AO55" s="107" t="n">
        <x:f>IF(AND(YEAR(AO$3)=YEAR($B$38),MONTH(AO$3)=MONTH($B$38),AND($B$35="Да",IFERROR(INDEX('Вводные'!$B$88:$B$91,$B$36),"Нет")="Да")),MAX(0,SUM($D53:AO53)-AO53),0)</x:f>
      </x:c>
      <x:c r="AP55" s="107" t="n">
        <x:f>IF(AND(YEAR(AP$3)=YEAR($B$38),MONTH(AP$3)=MONTH($B$38),AND($B$35="Да",IFERROR(INDEX('Вводные'!$B$88:$B$91,$B$36),"Нет")="Да")),MAX(0,SUM($D53:AP53)-AP53),0)</x:f>
      </x:c>
      <x:c r="AQ55" s="107" t="n">
        <x:f>IF(AND(YEAR(AQ$3)=YEAR($B$38),MONTH(AQ$3)=MONTH($B$38),AND($B$35="Да",IFERROR(INDEX('Вводные'!$B$88:$B$91,$B$36),"Нет")="Да")),MAX(0,SUM($D53:AQ53)-AQ53),0)</x:f>
      </x:c>
      <x:c r="AR55" s="107" t="n">
        <x:f>IF(AND(YEAR(AR$3)=YEAR($B$38),MONTH(AR$3)=MONTH($B$38),AND($B$35="Да",IFERROR(INDEX('Вводные'!$B$88:$B$91,$B$36),"Нет")="Да")),MAX(0,SUM($D53:AR53)-AR53),0)</x:f>
      </x:c>
      <x:c r="AS55" s="107" t="n">
        <x:f>IF(AND(YEAR(AS$3)=YEAR($B$38),MONTH(AS$3)=MONTH($B$38),AND($B$35="Да",IFERROR(INDEX('Вводные'!$B$88:$B$91,$B$36),"Нет")="Да")),MAX(0,SUM($D53:AS53)-AS53),0)</x:f>
      </x:c>
      <x:c r="AT55" s="107" t="n">
        <x:f>IF(AND(YEAR(AT$3)=YEAR($B$38),MONTH(AT$3)=MONTH($B$38),AND($B$35="Да",IFERROR(INDEX('Вводные'!$B$88:$B$91,$B$36),"Нет")="Да")),MAX(0,SUM($D53:AT53)-AT53),0)</x:f>
      </x:c>
      <x:c r="AU55" s="107" t="n">
        <x:f>IF(AND(YEAR(AU$3)=YEAR($B$38),MONTH(AU$3)=MONTH($B$38),AND($B$35="Да",IFERROR(INDEX('Вводные'!$B$88:$B$91,$B$36),"Нет")="Да")),MAX(0,SUM($D53:AU53)-AU53),0)</x:f>
      </x:c>
      <x:c r="AV55" s="107" t="n">
        <x:f>IF(AND(YEAR(AV$3)=YEAR($B$38),MONTH(AV$3)=MONTH($B$38),AND($B$35="Да",IFERROR(INDEX('Вводные'!$B$88:$B$91,$B$36),"Нет")="Да")),MAX(0,SUM($D53:AV53)-AV53),0)</x:f>
      </x:c>
      <x:c r="AW55" s="107" t="n">
        <x:f>IF(AND(YEAR(AW$3)=YEAR($B$38),MONTH(AW$3)=MONTH($B$38),AND($B$35="Да",IFERROR(INDEX('Вводные'!$B$88:$B$91,$B$36),"Нет")="Да")),MAX(0,SUM($D53:AW53)-AW53),0)</x:f>
      </x:c>
      <x:c r="AX55" s="107" t="n">
        <x:f>IF(AND(YEAR(AX$3)=YEAR($B$38),MONTH(AX$3)=MONTH($B$38),AND($B$35="Да",IFERROR(INDEX('Вводные'!$B$88:$B$91,$B$36),"Нет")="Да")),MAX(0,SUM($D53:AX53)-AX53),0)</x:f>
      </x:c>
      <x:c r="AY55" s="107" t="n">
        <x:f>IF(AND(YEAR(AY$3)=YEAR($B$38),MONTH(AY$3)=MONTH($B$38),AND($B$35="Да",IFERROR(INDEX('Вводные'!$B$88:$B$91,$B$36),"Нет")="Да")),MAX(0,SUM($D53:AY53)-AY53),0)</x:f>
      </x:c>
      <x:c r="AZ55" s="107" t="n">
        <x:f>IF(AND(YEAR(AZ$3)=YEAR($B$38),MONTH(AZ$3)=MONTH($B$38),AND($B$35="Да",IFERROR(INDEX('Вводные'!$B$88:$B$91,$B$36),"Нет")="Да")),MAX(0,SUM($D53:AZ53)-AZ53),0)</x:f>
      </x:c>
      <x:c r="BA55" s="107" t="n">
        <x:f>IF(AND(YEAR(BA$3)=YEAR($B$38),MONTH(BA$3)=MONTH($B$38),AND($B$35="Да",IFERROR(INDEX('Вводные'!$B$88:$B$91,$B$36),"Нет")="Да")),MAX(0,SUM($D53:BA53)-BA53),0)</x:f>
      </x:c>
      <x:c r="BB55" s="107" t="n">
        <x:f>IF(AND(YEAR(BB$3)=YEAR($B$38),MONTH(BB$3)=MONTH($B$38),AND($B$35="Да",IFERROR(INDEX('Вводные'!$B$88:$B$91,$B$36),"Нет")="Да")),MAX(0,SUM($D53:BB53)-BB53),0)</x:f>
      </x:c>
      <x:c r="BC55" s="107" t="n">
        <x:f>IF(AND(YEAR(BC$3)=YEAR($B$38),MONTH(BC$3)=MONTH($B$38),AND($B$35="Да",IFERROR(INDEX('Вводные'!$B$88:$B$91,$B$36),"Нет")="Да")),MAX(0,SUM($D53:BC53)-BC53),0)</x:f>
      </x:c>
      <x:c r="BD55" s="107" t="n">
        <x:f>IF(AND(YEAR(BD$3)=YEAR($B$38),MONTH(BD$3)=MONTH($B$38),AND($B$35="Да",IFERROR(INDEX('Вводные'!$B$88:$B$91,$B$36),"Нет")="Да")),MAX(0,SUM($D53:BD53)-BD53),0)</x:f>
      </x:c>
      <x:c r="BE55" s="107" t="n">
        <x:f>IF(AND(YEAR(BE$3)=YEAR($B$38),MONTH(BE$3)=MONTH($B$38),AND($B$35="Да",IFERROR(INDEX('Вводные'!$B$88:$B$91,$B$36),"Нет")="Да")),MAX(0,SUM($D53:BE53)-BE53),0)</x:f>
      </x:c>
      <x:c r="BF55" s="107" t="n">
        <x:f>IF(AND(YEAR(BF$3)=YEAR($B$38),MONTH(BF$3)=MONTH($B$38),AND($B$35="Да",IFERROR(INDEX('Вводные'!$B$88:$B$91,$B$36),"Нет")="Да")),MAX(0,SUM($D53:BF53)-BF53),0)</x:f>
      </x:c>
      <x:c r="BG55" s="107" t="n">
        <x:f>IF(AND(YEAR(BG$3)=YEAR($B$38),MONTH(BG$3)=MONTH($B$38),AND($B$35="Да",IFERROR(INDEX('Вводные'!$B$88:$B$91,$B$36),"Нет")="Да")),MAX(0,SUM($D53:BG53)-BG53),0)</x:f>
      </x:c>
      <x:c r="BH55" s="107" t="n">
        <x:f>IF(AND(YEAR(BH$3)=YEAR($B$38),MONTH(BH$3)=MONTH($B$38),AND($B$35="Да",IFERROR(INDEX('Вводные'!$B$88:$B$91,$B$36),"Нет")="Да")),MAX(0,SUM($D53:BH53)-BH53),0)</x:f>
      </x:c>
      <x:c r="BI55" s="107" t="n">
        <x:f>IF(AND(YEAR(BI$3)=YEAR($B$38),MONTH(BI$3)=MONTH($B$38),AND($B$35="Да",IFERROR(INDEX('Вводные'!$B$88:$B$91,$B$36),"Нет")="Да")),MAX(0,SUM($D53:BI53)-BI53),0)</x:f>
      </x:c>
      <x:c r="BJ55" s="107" t="n">
        <x:f>IF(AND(YEAR(BJ$3)=YEAR($B$38),MONTH(BJ$3)=MONTH($B$38),AND($B$35="Да",IFERROR(INDEX('Вводные'!$B$88:$B$91,$B$36),"Нет")="Да")),MAX(0,SUM($D53:BJ53)-BJ53),0)</x:f>
      </x:c>
      <x:c r="BK55" s="107" t="n">
        <x:f>IF(AND(YEAR(BK$3)=YEAR($B$38),MONTH(BK$3)=MONTH($B$38),AND($B$35="Да",IFERROR(INDEX('Вводные'!$B$88:$B$91,$B$36),"Нет")="Да")),MAX(0,SUM($D53:BK53)-BK53),0)</x:f>
      </x:c>
      <x:c r="BL55" s="107" t="n">
        <x:f>IF(AND(YEAR(BL$3)=YEAR($B$38),MONTH(BL$3)=MONTH($B$38),AND($B$35="Да",IFERROR(INDEX('Вводные'!$B$88:$B$91,$B$36),"Нет")="Да")),MAX(0,SUM($D53:BL53)-BL53),0)</x:f>
      </x:c>
      <x:c r="BM55" s="107" t="n">
        <x:f>IF(AND(YEAR(BM$3)=YEAR($B$38),MONTH(BM$3)=MONTH($B$38),AND($B$35="Да",IFERROR(INDEX('Вводные'!$B$88:$B$91,$B$36),"Нет")="Да")),MAX(0,SUM($D53:BM53)-BM53),0)</x:f>
      </x:c>
      <x:c r="BN55" s="107" t="n">
        <x:f>IF(AND(YEAR(BN$3)=YEAR($B$38),MONTH(BN$3)=MONTH($B$38),AND($B$35="Да",IFERROR(INDEX('Вводные'!$B$88:$B$91,$B$36),"Нет")="Да")),MAX(0,SUM($D53:BN53)-BN53),0)</x:f>
      </x:c>
      <x:c r="BO55" s="107" t="n">
        <x:f>IF(AND(YEAR(BO$3)=YEAR($B$38),MONTH(BO$3)=MONTH($B$38),AND($B$35="Да",IFERROR(INDEX('Вводные'!$B$88:$B$91,$B$36),"Нет")="Да")),MAX(0,SUM($D53:BO53)-BO53),0)</x:f>
      </x:c>
      <x:c r="BP55" s="107" t="n">
        <x:f>IF(AND(YEAR(BP$3)=YEAR($B$38),MONTH(BP$3)=MONTH($B$38),AND($B$35="Да",IFERROR(INDEX('Вводные'!$B$88:$B$91,$B$36),"Нет")="Да")),MAX(0,SUM($D53:BP53)-BP53),0)</x:f>
      </x:c>
      <x:c r="BQ55" s="107" t="n">
        <x:f>IF(AND(YEAR(BQ$3)=YEAR($B$38),MONTH(BQ$3)=MONTH($B$38),AND($B$35="Да",IFERROR(INDEX('Вводные'!$B$88:$B$91,$B$36),"Нет")="Да")),MAX(0,SUM($D53:BQ53)-BQ53),0)</x:f>
      </x:c>
      <x:c r="BR55" s="107" t="n">
        <x:f>IF(AND(YEAR(BR$3)=YEAR($B$38),MONTH(BR$3)=MONTH($B$38),AND($B$35="Да",IFERROR(INDEX('Вводные'!$B$88:$B$91,$B$36),"Нет")="Да")),MAX(0,SUM($D53:BR53)-BR53),0)</x:f>
      </x:c>
      <x:c r="BS55" s="107" t="n">
        <x:f>IF(AND(YEAR(BS$3)=YEAR($B$38),MONTH(BS$3)=MONTH($B$38),AND($B$35="Да",IFERROR(INDEX('Вводные'!$B$88:$B$91,$B$36),"Нет")="Да")),MAX(0,SUM($D53:BS53)-BS53),0)</x:f>
      </x:c>
      <x:c r="BT55" s="107" t="n">
        <x:f>IF(AND(YEAR(BT$3)=YEAR($B$38),MONTH(BT$3)=MONTH($B$38),AND($B$35="Да",IFERROR(INDEX('Вводные'!$B$88:$B$91,$B$36),"Нет")="Да")),MAX(0,SUM($D53:BT53)-BT53),0)</x:f>
      </x:c>
      <x:c r="BU55" s="107" t="n">
        <x:f>IF(AND(YEAR(BU$3)=YEAR($B$38),MONTH(BU$3)=MONTH($B$38),AND($B$35="Да",IFERROR(INDEX('Вводные'!$B$88:$B$91,$B$36),"Нет")="Да")),MAX(0,SUM($D53:BU53)-BU53),0)</x:f>
      </x:c>
      <x:c r="BV55" s="107" t="n">
        <x:f>IF(AND(YEAR(BV$3)=YEAR($B$38),MONTH(BV$3)=MONTH($B$38),AND($B$35="Да",IFERROR(INDEX('Вводные'!$B$88:$B$91,$B$36),"Нет")="Да")),MAX(0,SUM($D53:BV53)-BV53),0)</x:f>
      </x:c>
      <x:c r="BW55" s="107" t="n">
        <x:f>IF(AND(YEAR(BW$3)=YEAR($B$38),MONTH(BW$3)=MONTH($B$38),AND($B$35="Да",IFERROR(INDEX('Вводные'!$B$88:$B$91,$B$36),"Нет")="Да")),MAX(0,SUM($D53:BW53)-BW53),0)</x:f>
      </x:c>
      <x:c r="BX55" s="107" t="n">
        <x:f>IF(AND(YEAR(BX$3)=YEAR($B$38),MONTH(BX$3)=MONTH($B$38),AND($B$35="Да",IFERROR(INDEX('Вводные'!$B$88:$B$91,$B$36),"Нет")="Да")),MAX(0,SUM($D53:BX53)-BX53),0)</x:f>
      </x:c>
      <x:c r="BY55" s="107" t="n">
        <x:f>IF(AND(YEAR(BY$3)=YEAR($B$38),MONTH(BY$3)=MONTH($B$38),AND($B$35="Да",IFERROR(INDEX('Вводные'!$B$88:$B$91,$B$36),"Нет")="Да")),MAX(0,SUM($D53:BY53)-BY53),0)</x:f>
      </x:c>
      <x:c r="BZ55" s="107" t="n">
        <x:f>IF(AND(YEAR(BZ$3)=YEAR($B$38),MONTH(BZ$3)=MONTH($B$38),AND($B$35="Да",IFERROR(INDEX('Вводные'!$B$88:$B$91,$B$36),"Нет")="Да")),MAX(0,SUM($D53:BZ53)-BZ53),0)</x:f>
      </x:c>
      <x:c r="CA55" s="107" t="n">
        <x:f>IF(AND(YEAR(CA$3)=YEAR($B$38),MONTH(CA$3)=MONTH($B$38),AND($B$35="Да",IFERROR(INDEX('Вводные'!$B$88:$B$91,$B$36),"Нет")="Да")),MAX(0,SUM($D53:CA53)-CA53),0)</x:f>
      </x:c>
      <x:c r="CB55" s="107" t="n">
        <x:f>IF(AND(YEAR(CB$3)=YEAR($B$38),MONTH(CB$3)=MONTH($B$38),AND($B$35="Да",IFERROR(INDEX('Вводные'!$B$88:$B$91,$B$36),"Нет")="Да")),MAX(0,SUM($D53:CB53)-CB53),0)</x:f>
      </x:c>
      <x:c r="CC55" s="107" t="n">
        <x:f>IF(AND(YEAR(CC$3)=YEAR($B$38),MONTH(CC$3)=MONTH($B$38),AND($B$35="Да",IFERROR(INDEX('Вводные'!$B$88:$B$91,$B$36),"Нет")="Да")),MAX(0,SUM($D53:CC53)-CC53),0)</x:f>
      </x:c>
      <x:c r="CD55" s="107" t="n">
        <x:f>IF(AND(YEAR(CD$3)=YEAR($B$38),MONTH(CD$3)=MONTH($B$38),AND($B$35="Да",IFERROR(INDEX('Вводные'!$B$88:$B$91,$B$36),"Нет")="Да")),MAX(0,SUM($D53:CD53)-CD53),0)</x:f>
      </x:c>
      <x:c r="CE55" s="107" t="n">
        <x:f>IF(AND(YEAR(CE$3)=YEAR($B$38),MONTH(CE$3)=MONTH($B$38),AND($B$35="Да",IFERROR(INDEX('Вводные'!$B$88:$B$91,$B$36),"Нет")="Да")),MAX(0,SUM($D53:CE53)-CE53),0)</x:f>
      </x:c>
      <x:c r="CF55" s="107" t="n">
        <x:f>IF(AND(YEAR(CF$3)=YEAR($B$38),MONTH(CF$3)=MONTH($B$38),AND($B$35="Да",IFERROR(INDEX('Вводные'!$B$88:$B$91,$B$36),"Нет")="Да")),MAX(0,SUM($D53:CF53)-CF53),0)</x:f>
      </x:c>
      <x:c r="CG55" s="107" t="n">
        <x:f>IF(AND(YEAR(CG$3)=YEAR($B$38),MONTH(CG$3)=MONTH($B$38),AND($B$35="Да",IFERROR(INDEX('Вводные'!$B$88:$B$91,$B$36),"Нет")="Да")),MAX(0,SUM($D53:CG53)-CG53),0)</x:f>
      </x:c>
      <x:c r="CH55" s="107" t="n">
        <x:f>IF(AND(YEAR(CH$3)=YEAR($B$38),MONTH(CH$3)=MONTH($B$38),AND($B$35="Да",IFERROR(INDEX('Вводные'!$B$88:$B$91,$B$36),"Нет")="Да")),MAX(0,SUM($D53:CH53)-CH53),0)</x:f>
      </x:c>
      <x:c r="CI55" s="107" t="n">
        <x:f>IF(AND(YEAR(CI$3)=YEAR($B$38),MONTH(CI$3)=MONTH($B$38),AND($B$35="Да",IFERROR(INDEX('Вводные'!$B$88:$B$91,$B$36),"Нет")="Да")),MAX(0,SUM($D53:CI53)-CI53),0)</x:f>
      </x:c>
      <x:c r="CJ55" s="107" t="n">
        <x:f>IF(AND(YEAR(CJ$3)=YEAR($B$38),MONTH(CJ$3)=MONTH($B$38),AND($B$35="Да",IFERROR(INDEX('Вводные'!$B$88:$B$91,$B$36),"Нет")="Да")),MAX(0,SUM($D53:CJ53)-CJ53),0)</x:f>
      </x:c>
      <x:c r="CK55" s="107" t="n">
        <x:f>IF(AND(YEAR(CK$3)=YEAR($B$38),MONTH(CK$3)=MONTH($B$38),AND($B$35="Да",IFERROR(INDEX('Вводные'!$B$88:$B$91,$B$36),"Нет")="Да")),MAX(0,SUM($D53:CK53)-CK53),0)</x:f>
      </x:c>
      <x:c r="CL55" s="107" t="n">
        <x:f>IF(AND(YEAR(CL$3)=YEAR($B$38),MONTH(CL$3)=MONTH($B$38),AND($B$35="Да",IFERROR(INDEX('Вводные'!$B$88:$B$91,$B$36),"Нет")="Да")),MAX(0,SUM($D53:CL53)-CL53),0)</x:f>
      </x:c>
      <x:c r="CM55" s="107" t="n">
        <x:f>IF(AND(YEAR(CM$3)=YEAR($B$38),MONTH(CM$3)=MONTH($B$38),AND($B$35="Да",IFERROR(INDEX('Вводные'!$B$88:$B$91,$B$36),"Нет")="Да")),MAX(0,SUM($D53:CM53)-CM53),0)</x:f>
      </x:c>
      <x:c r="CN55" s="107" t="n">
        <x:f>IF(AND(YEAR(CN$3)=YEAR($B$38),MONTH(CN$3)=MONTH($B$38),AND($B$35="Да",IFERROR(INDEX('Вводные'!$B$88:$B$91,$B$36),"Нет")="Да")),MAX(0,SUM($D53:CN53)-CN53),0)</x:f>
      </x:c>
      <x:c r="CO55" s="107" t="n">
        <x:f>IF(AND(YEAR(CO$3)=YEAR($B$38),MONTH(CO$3)=MONTH($B$38),AND($B$35="Да",IFERROR(INDEX('Вводные'!$B$88:$B$91,$B$36),"Нет")="Да")),MAX(0,SUM($D53:CO53)-CO53),0)</x:f>
      </x:c>
      <x:c r="CP55" s="107" t="n">
        <x:f>IF(AND(YEAR(CP$3)=YEAR($B$38),MONTH(CP$3)=MONTH($B$38),AND($B$35="Да",IFERROR(INDEX('Вводные'!$B$88:$B$91,$B$36),"Нет")="Да")),MAX(0,SUM($D53:CP53)-CP53),0)</x:f>
      </x:c>
      <x:c r="CQ55" s="107" t="n">
        <x:f>IF(AND(YEAR(CQ$3)=YEAR($B$38),MONTH(CQ$3)=MONTH($B$38),AND($B$35="Да",IFERROR(INDEX('Вводные'!$B$88:$B$91,$B$36),"Нет")="Да")),MAX(0,SUM($D53:CQ53)-CQ53),0)</x:f>
      </x:c>
      <x:c r="CR55" s="107" t="n">
        <x:f>IF(AND(YEAR(CR$3)=YEAR($B$38),MONTH(CR$3)=MONTH($B$38),AND($B$35="Да",IFERROR(INDEX('Вводные'!$B$88:$B$91,$B$36),"Нет")="Да")),MAX(0,SUM($D53:CR53)-CR53),0)</x:f>
      </x:c>
      <x:c r="CS55" s="107" t="n">
        <x:f>IF(AND(YEAR(CS$3)=YEAR($B$38),MONTH(CS$3)=MONTH($B$38),AND($B$35="Да",IFERROR(INDEX('Вводные'!$B$88:$B$91,$B$36),"Нет")="Да")),MAX(0,SUM($D53:CS53)-CS53),0)</x:f>
      </x:c>
      <x:c r="CT55" s="107" t="n">
        <x:f>IF(AND(YEAR(CT$3)=YEAR($B$38),MONTH(CT$3)=MONTH($B$38),AND($B$35="Да",IFERROR(INDEX('Вводные'!$B$88:$B$91,$B$36),"Нет")="Да")),MAX(0,SUM($D53:CT53)-CT53),0)</x:f>
      </x:c>
      <x:c r="CU55" s="107" t="n">
        <x:f>IF(AND(YEAR(CU$3)=YEAR($B$38),MONTH(CU$3)=MONTH($B$38),AND($B$35="Да",IFERROR(INDEX('Вводные'!$B$88:$B$91,$B$36),"Нет")="Да")),MAX(0,SUM($D53:CU53)-CU53),0)</x:f>
      </x:c>
      <x:c r="CV55" s="107" t="n">
        <x:f>IF(AND(YEAR(CV$3)=YEAR($B$38),MONTH(CV$3)=MONTH($B$38),AND($B$35="Да",IFERROR(INDEX('Вводные'!$B$88:$B$91,$B$36),"Нет")="Да")),MAX(0,SUM($D53:CV53)-CV53),0)</x:f>
      </x:c>
      <x:c r="CW55" s="107" t="n">
        <x:f>IF(AND(YEAR(CW$3)=YEAR($B$38),MONTH(CW$3)=MONTH($B$38),AND($B$35="Да",IFERROR(INDEX('Вводные'!$B$88:$B$91,$B$36),"Нет")="Да")),MAX(0,SUM($D53:CW53)-CW53),0)</x:f>
      </x:c>
      <x:c r="CX55" s="107" t="n">
        <x:f>IF(AND(YEAR(CX$3)=YEAR($B$38),MONTH(CX$3)=MONTH($B$38),AND($B$35="Да",IFERROR(INDEX('Вводные'!$B$88:$B$91,$B$36),"Нет")="Да")),MAX(0,SUM($D53:CX53)-CX53),0)</x:f>
      </x:c>
      <x:c r="CY55" s="107" t="n">
        <x:f>IF(AND(YEAR(CY$3)=YEAR($B$38),MONTH(CY$3)=MONTH($B$38),AND($B$35="Да",IFERROR(INDEX('Вводные'!$B$88:$B$91,$B$36),"Нет")="Да")),MAX(0,SUM($D53:CY53)-CY53),0)</x:f>
      </x:c>
      <x:c r="CZ55" s="107" t="n">
        <x:f>IF(AND(YEAR(CZ$3)=YEAR($B$38),MONTH(CZ$3)=MONTH($B$38),AND($B$35="Да",IFERROR(INDEX('Вводные'!$B$88:$B$91,$B$36),"Нет")="Да")),MAX(0,SUM($D53:CZ53)-CZ53),0)</x:f>
      </x:c>
      <x:c r="DA55" s="107" t="n">
        <x:f>IF(AND(YEAR(DA$3)=YEAR($B$38),MONTH(DA$3)=MONTH($B$38),AND($B$35="Да",IFERROR(INDEX('Вводные'!$B$88:$B$91,$B$36),"Нет")="Да")),MAX(0,SUM($D53:DA53)-DA53),0)</x:f>
      </x:c>
      <x:c r="DB55" s="107" t="n">
        <x:f>IF(AND(YEAR(DB$3)=YEAR($B$38),MONTH(DB$3)=MONTH($B$38),AND($B$35="Да",IFERROR(INDEX('Вводные'!$B$88:$B$91,$B$36),"Нет")="Да")),MAX(0,SUM($D53:DB53)-DB53),0)</x:f>
      </x:c>
      <x:c r="DC55" s="107" t="n">
        <x:f>IF(AND(YEAR(DC$3)=YEAR($B$38),MONTH(DC$3)=MONTH($B$38),AND($B$35="Да",IFERROR(INDEX('Вводные'!$B$88:$B$91,$B$36),"Нет")="Да")),MAX(0,SUM($D53:DC53)-DC53),0)</x:f>
      </x:c>
      <x:c r="DD55" s="107" t="n">
        <x:f>IF(AND(YEAR(DD$3)=YEAR($B$38),MONTH(DD$3)=MONTH($B$38),AND($B$35="Да",IFERROR(INDEX('Вводные'!$B$88:$B$91,$B$36),"Нет")="Да")),MAX(0,SUM($D53:DD53)-DD53),0)</x:f>
      </x:c>
      <x:c r="DE55" s="107" t="n">
        <x:f>IF(AND(YEAR(DE$3)=YEAR($B$38),MONTH(DE$3)=MONTH($B$38),AND($B$35="Да",IFERROR(INDEX('Вводные'!$B$88:$B$91,$B$36),"Нет")="Да")),MAX(0,SUM($D53:DE53)-DE53),0)</x:f>
      </x:c>
      <x:c r="DF55" s="107" t="n">
        <x:f>IF(AND(YEAR(DF$3)=YEAR($B$38),MONTH(DF$3)=MONTH($B$38),AND($B$35="Да",IFERROR(INDEX('Вводные'!$B$88:$B$91,$B$36),"Нет")="Да")),MAX(0,SUM($D53:DF53)-DF53),0)</x:f>
      </x:c>
      <x:c r="DG55" s="107" t="n">
        <x:f>IF(AND(YEAR(DG$3)=YEAR($B$38),MONTH(DG$3)=MONTH($B$38),AND($B$35="Да",IFERROR(INDEX('Вводные'!$B$88:$B$91,$B$36),"Нет")="Да")),MAX(0,SUM($D53:DG53)-DG53),0)</x:f>
      </x:c>
      <x:c r="DH55" s="107" t="n">
        <x:f>IF(AND(YEAR(DH$3)=YEAR($B$38),MONTH(DH$3)=MONTH($B$38),AND($B$35="Да",IFERROR(INDEX('Вводные'!$B$88:$B$91,$B$36),"Нет")="Да")),MAX(0,SUM($D53:DH53)-DH53),0)</x:f>
      </x:c>
      <x:c r="DI55" s="107" t="n">
        <x:f>IF(AND(YEAR(DI$3)=YEAR($B$38),MONTH(DI$3)=MONTH($B$38),AND($B$35="Да",IFERROR(INDEX('Вводные'!$B$88:$B$91,$B$36),"Нет")="Да")),MAX(0,SUM($D53:DI53)-DI53),0)</x:f>
      </x:c>
      <x:c r="DJ55" s="107" t="n">
        <x:f>IF(AND(YEAR(DJ$3)=YEAR($B$38),MONTH(DJ$3)=MONTH($B$38),AND($B$35="Да",IFERROR(INDEX('Вводные'!$B$88:$B$91,$B$36),"Нет")="Да")),MAX(0,SUM($D53:DJ53)-DJ53),0)</x:f>
      </x:c>
      <x:c r="DK55" s="107" t="n">
        <x:f>IF(AND(YEAR(DK$3)=YEAR($B$38),MONTH(DK$3)=MONTH($B$38),AND($B$35="Да",IFERROR(INDEX('Вводные'!$B$88:$B$91,$B$36),"Нет")="Да")),MAX(0,SUM($D53:DK53)-DK53),0)</x:f>
      </x:c>
      <x:c r="DL55" s="107" t="n">
        <x:f>IF(AND(YEAR(DL$3)=YEAR($B$38),MONTH(DL$3)=MONTH($B$38),AND($B$35="Да",IFERROR(INDEX('Вводные'!$B$88:$B$91,$B$36),"Нет")="Да")),MAX(0,SUM($D53:DL53)-DL53),0)</x:f>
      </x:c>
      <x:c r="DM55" s="107" t="n">
        <x:f>IF(AND(YEAR(DM$3)=YEAR($B$38),MONTH(DM$3)=MONTH($B$38),AND($B$35="Да",IFERROR(INDEX('Вводные'!$B$88:$B$91,$B$36),"Нет")="Да")),MAX(0,SUM($D53:DM53)-DM53),0)</x:f>
      </x:c>
      <x:c r="DN55" s="107" t="n">
        <x:f>IF(AND(YEAR(DN$3)=YEAR($B$38),MONTH(DN$3)=MONTH($B$38),AND($B$35="Да",IFERROR(INDEX('Вводные'!$B$88:$B$91,$B$36),"Нет")="Да")),MAX(0,SUM($D53:DN53)-DN53),0)</x:f>
      </x:c>
      <x:c r="DO55" s="107" t="n">
        <x:f>IF(AND(YEAR(DO$3)=YEAR($B$38),MONTH(DO$3)=MONTH($B$38),AND($B$35="Да",IFERROR(INDEX('Вводные'!$B$88:$B$91,$B$36),"Нет")="Да")),MAX(0,SUM($D53:DO53)-DO53),0)</x:f>
      </x:c>
      <x:c r="DP55" s="107" t="n">
        <x:f>IF(AND(YEAR(DP$3)=YEAR($B$38),MONTH(DP$3)=MONTH($B$38),AND($B$35="Да",IFERROR(INDEX('Вводные'!$B$88:$B$91,$B$36),"Нет")="Да")),MAX(0,SUM($D53:DP53)-DP53),0)</x:f>
      </x:c>
      <x:c r="DQ55" s="107" t="n">
        <x:f>IF(AND(YEAR(DQ$3)=YEAR($B$38),MONTH(DQ$3)=MONTH($B$38),AND($B$35="Да",IFERROR(INDEX('Вводные'!$B$88:$B$91,$B$36),"Нет")="Да")),MAX(0,SUM($D53:DQ53)-DQ53),0)</x:f>
      </x:c>
      <x:c r="DR55" s="107" t="n">
        <x:f>IF(AND(YEAR(DR$3)=YEAR($B$38),MONTH(DR$3)=MONTH($B$38),AND($B$35="Да",IFERROR(INDEX('Вводные'!$B$88:$B$91,$B$36),"Нет")="Да")),MAX(0,SUM($D53:DR53)-DR53),0)</x:f>
      </x:c>
      <x:c r="DS55" s="107" t="n">
        <x:f>IF(AND(YEAR(DS$3)=YEAR($B$38),MONTH(DS$3)=MONTH($B$38),AND($B$35="Да",IFERROR(INDEX('Вводные'!$B$88:$B$91,$B$36),"Нет")="Да")),MAX(0,SUM($D53:DS53)-DS53),0)</x:f>
      </x:c>
    </x:row>
    <x:row r="56">
      <x:c r="A56" t="str">
        <x:v>CAPEX</x:v>
      </x:c>
      <x:c r="B56" s="107" t="n">
        <x:f>IF(AND($B$35="Да",IFERROR(INDEX('Вводные'!$B$88:$B$91,$B$36),"Нет")="Да"),$B$40*'Вводные'!$K$49/1000*'Вводные'!$H$6*INDEX('Вводные'!$T$88:$T$91,$B$36)*INDEX('Вводные'!$AH$88:$AH$91,$B$36),0)</x:f>
      </x:c>
      <x:c r="C56" t="str">
        <x:v>млн ₽</x:v>
      </x:c>
      <x:c r="D56" s="107" t="n">
        <x:f>$B$56*D44</x:f>
      </x:c>
      <x:c r="E56" s="107" t="n">
        <x:f>$B$56*E44</x:f>
      </x:c>
      <x:c r="F56" s="107" t="n">
        <x:f>$B$56*F44</x:f>
      </x:c>
      <x:c r="G56" s="107" t="n">
        <x:f>$B$56*G44</x:f>
      </x:c>
      <x:c r="H56" s="107" t="n">
        <x:f>$B$56*H44</x:f>
      </x:c>
      <x:c r="I56" s="107" t="n">
        <x:f>$B$56*I44</x:f>
      </x:c>
      <x:c r="J56" s="107" t="n">
        <x:f>$B$56*J44</x:f>
      </x:c>
      <x:c r="K56" s="107" t="n">
        <x:f>$B$56*K44</x:f>
      </x:c>
      <x:c r="L56" s="107" t="n">
        <x:f>$B$56*L44</x:f>
      </x:c>
      <x:c r="M56" s="107" t="n">
        <x:f>$B$56*M44</x:f>
      </x:c>
      <x:c r="N56" s="107" t="n">
        <x:f>$B$56*N44</x:f>
      </x:c>
      <x:c r="O56" s="107" t="n">
        <x:f>$B$56*O44</x:f>
      </x:c>
      <x:c r="P56" s="107" t="n">
        <x:f>$B$56*P44</x:f>
      </x:c>
      <x:c r="Q56" s="107" t="n">
        <x:f>$B$56*Q44</x:f>
      </x:c>
      <x:c r="R56" s="107" t="n">
        <x:f>$B$56*R44</x:f>
      </x:c>
      <x:c r="S56" s="107" t="n">
        <x:f>$B$56*S44</x:f>
      </x:c>
      <x:c r="T56" s="107" t="n">
        <x:f>$B$56*T44</x:f>
      </x:c>
      <x:c r="U56" s="107" t="n">
        <x:f>$B$56*U44</x:f>
      </x:c>
      <x:c r="V56" s="107" t="n">
        <x:f>$B$56*V44</x:f>
      </x:c>
      <x:c r="W56" s="107" t="n">
        <x:f>$B$56*W44</x:f>
      </x:c>
      <x:c r="X56" s="107" t="n">
        <x:f>$B$56*X44</x:f>
      </x:c>
      <x:c r="Y56" s="107" t="n">
        <x:f>$B$56*Y44</x:f>
      </x:c>
      <x:c r="Z56" s="107" t="n">
        <x:f>$B$56*Z44</x:f>
      </x:c>
      <x:c r="AA56" s="107" t="n">
        <x:f>$B$56*AA44</x:f>
      </x:c>
      <x:c r="AB56" s="107" t="n">
        <x:f>$B$56*AB44</x:f>
      </x:c>
      <x:c r="AC56" s="107" t="n">
        <x:f>$B$56*AC44</x:f>
      </x:c>
      <x:c r="AD56" s="107" t="n">
        <x:f>$B$56*AD44</x:f>
      </x:c>
      <x:c r="AE56" s="107" t="n">
        <x:f>$B$56*AE44</x:f>
      </x:c>
      <x:c r="AF56" s="107" t="n">
        <x:f>$B$56*AF44</x:f>
      </x:c>
      <x:c r="AG56" s="107" t="n">
        <x:f>$B$56*AG44</x:f>
      </x:c>
      <x:c r="AH56" s="107" t="n">
        <x:f>$B$56*AH44</x:f>
      </x:c>
      <x:c r="AI56" s="107" t="n">
        <x:f>$B$56*AI44</x:f>
      </x:c>
      <x:c r="AJ56" s="107" t="n">
        <x:f>$B$56*AJ44</x:f>
      </x:c>
      <x:c r="AK56" s="107" t="n">
        <x:f>$B$56*AK44</x:f>
      </x:c>
      <x:c r="AL56" s="107" t="n">
        <x:f>$B$56*AL44</x:f>
      </x:c>
      <x:c r="AM56" s="107" t="n">
        <x:f>$B$56*AM44</x:f>
      </x:c>
      <x:c r="AN56" s="107" t="n">
        <x:f>$B$56*AN44</x:f>
      </x:c>
      <x:c r="AO56" s="107" t="n">
        <x:f>$B$56*AO44</x:f>
      </x:c>
      <x:c r="AP56" s="107" t="n">
        <x:f>$B$56*AP44</x:f>
      </x:c>
      <x:c r="AQ56" s="107" t="n">
        <x:f>$B$56*AQ44</x:f>
      </x:c>
      <x:c r="AR56" s="107" t="n">
        <x:f>$B$56*AR44</x:f>
      </x:c>
      <x:c r="AS56" s="107" t="n">
        <x:f>$B$56*AS44</x:f>
      </x:c>
      <x:c r="AT56" s="107" t="n">
        <x:f>$B$56*AT44</x:f>
      </x:c>
      <x:c r="AU56" s="107" t="n">
        <x:f>$B$56*AU44</x:f>
      </x:c>
      <x:c r="AV56" s="107" t="n">
        <x:f>$B$56*AV44</x:f>
      </x:c>
      <x:c r="AW56" s="107" t="n">
        <x:f>$B$56*AW44</x:f>
      </x:c>
      <x:c r="AX56" s="107" t="n">
        <x:f>$B$56*AX44</x:f>
      </x:c>
      <x:c r="AY56" s="107" t="n">
        <x:f>$B$56*AY44</x:f>
      </x:c>
      <x:c r="AZ56" s="107" t="n">
        <x:f>$B$56*AZ44</x:f>
      </x:c>
      <x:c r="BA56" s="107" t="n">
        <x:f>$B$56*BA44</x:f>
      </x:c>
      <x:c r="BB56" s="107" t="n">
        <x:f>$B$56*BB44</x:f>
      </x:c>
      <x:c r="BC56" s="107" t="n">
        <x:f>$B$56*BC44</x:f>
      </x:c>
      <x:c r="BD56" s="107" t="n">
        <x:f>$B$56*BD44</x:f>
      </x:c>
      <x:c r="BE56" s="107" t="n">
        <x:f>$B$56*BE44</x:f>
      </x:c>
      <x:c r="BF56" s="107" t="n">
        <x:f>$B$56*BF44</x:f>
      </x:c>
      <x:c r="BG56" s="107" t="n">
        <x:f>$B$56*BG44</x:f>
      </x:c>
      <x:c r="BH56" s="107" t="n">
        <x:f>$B$56*BH44</x:f>
      </x:c>
      <x:c r="BI56" s="107" t="n">
        <x:f>$B$56*BI44</x:f>
      </x:c>
      <x:c r="BJ56" s="107" t="n">
        <x:f>$B$56*BJ44</x:f>
      </x:c>
      <x:c r="BK56" s="107" t="n">
        <x:f>$B$56*BK44</x:f>
      </x:c>
      <x:c r="BL56" s="107" t="n">
        <x:f>$B$56*BL44</x:f>
      </x:c>
      <x:c r="BM56" s="107" t="n">
        <x:f>$B$56*BM44</x:f>
      </x:c>
      <x:c r="BN56" s="107" t="n">
        <x:f>$B$56*BN44</x:f>
      </x:c>
      <x:c r="BO56" s="107" t="n">
        <x:f>$B$56*BO44</x:f>
      </x:c>
      <x:c r="BP56" s="107" t="n">
        <x:f>$B$56*BP44</x:f>
      </x:c>
      <x:c r="BQ56" s="107" t="n">
        <x:f>$B$56*BQ44</x:f>
      </x:c>
      <x:c r="BR56" s="107" t="n">
        <x:f>$B$56*BR44</x:f>
      </x:c>
      <x:c r="BS56" s="107" t="n">
        <x:f>$B$56*BS44</x:f>
      </x:c>
      <x:c r="BT56" s="107" t="n">
        <x:f>$B$56*BT44</x:f>
      </x:c>
      <x:c r="BU56" s="107" t="n">
        <x:f>$B$56*BU44</x:f>
      </x:c>
      <x:c r="BV56" s="107" t="n">
        <x:f>$B$56*BV44</x:f>
      </x:c>
      <x:c r="BW56" s="107" t="n">
        <x:f>$B$56*BW44</x:f>
      </x:c>
      <x:c r="BX56" s="107" t="n">
        <x:f>$B$56*BX44</x:f>
      </x:c>
      <x:c r="BY56" s="107" t="n">
        <x:f>$B$56*BY44</x:f>
      </x:c>
      <x:c r="BZ56" s="107" t="n">
        <x:f>$B$56*BZ44</x:f>
      </x:c>
      <x:c r="CA56" s="107" t="n">
        <x:f>$B$56*CA44</x:f>
      </x:c>
      <x:c r="CB56" s="107" t="n">
        <x:f>$B$56*CB44</x:f>
      </x:c>
      <x:c r="CC56" s="107" t="n">
        <x:f>$B$56*CC44</x:f>
      </x:c>
      <x:c r="CD56" s="107" t="n">
        <x:f>$B$56*CD44</x:f>
      </x:c>
      <x:c r="CE56" s="107" t="n">
        <x:f>$B$56*CE44</x:f>
      </x:c>
      <x:c r="CF56" s="107" t="n">
        <x:f>$B$56*CF44</x:f>
      </x:c>
      <x:c r="CG56" s="107" t="n">
        <x:f>$B$56*CG44</x:f>
      </x:c>
      <x:c r="CH56" s="107" t="n">
        <x:f>$B$56*CH44</x:f>
      </x:c>
      <x:c r="CI56" s="107" t="n">
        <x:f>$B$56*CI44</x:f>
      </x:c>
      <x:c r="CJ56" s="107" t="n">
        <x:f>$B$56*CJ44</x:f>
      </x:c>
      <x:c r="CK56" s="107" t="n">
        <x:f>$B$56*CK44</x:f>
      </x:c>
      <x:c r="CL56" s="107" t="n">
        <x:f>$B$56*CL44</x:f>
      </x:c>
      <x:c r="CM56" s="107" t="n">
        <x:f>$B$56*CM44</x:f>
      </x:c>
      <x:c r="CN56" s="107" t="n">
        <x:f>$B$56*CN44</x:f>
      </x:c>
      <x:c r="CO56" s="107" t="n">
        <x:f>$B$56*CO44</x:f>
      </x:c>
      <x:c r="CP56" s="107" t="n">
        <x:f>$B$56*CP44</x:f>
      </x:c>
      <x:c r="CQ56" s="107" t="n">
        <x:f>$B$56*CQ44</x:f>
      </x:c>
      <x:c r="CR56" s="107" t="n">
        <x:f>$B$56*CR44</x:f>
      </x:c>
      <x:c r="CS56" s="107" t="n">
        <x:f>$B$56*CS44</x:f>
      </x:c>
      <x:c r="CT56" s="107" t="n">
        <x:f>$B$56*CT44</x:f>
      </x:c>
      <x:c r="CU56" s="107" t="n">
        <x:f>$B$56*CU44</x:f>
      </x:c>
      <x:c r="CV56" s="107" t="n">
        <x:f>$B$56*CV44</x:f>
      </x:c>
      <x:c r="CW56" s="107" t="n">
        <x:f>$B$56*CW44</x:f>
      </x:c>
      <x:c r="CX56" s="107" t="n">
        <x:f>$B$56*CX44</x:f>
      </x:c>
      <x:c r="CY56" s="107" t="n">
        <x:f>$B$56*CY44</x:f>
      </x:c>
      <x:c r="CZ56" s="107" t="n">
        <x:f>$B$56*CZ44</x:f>
      </x:c>
      <x:c r="DA56" s="107" t="n">
        <x:f>$B$56*DA44</x:f>
      </x:c>
      <x:c r="DB56" s="107" t="n">
        <x:f>$B$56*DB44</x:f>
      </x:c>
      <x:c r="DC56" s="107" t="n">
        <x:f>$B$56*DC44</x:f>
      </x:c>
      <x:c r="DD56" s="107" t="n">
        <x:f>$B$56*DD44</x:f>
      </x:c>
      <x:c r="DE56" s="107" t="n">
        <x:f>$B$56*DE44</x:f>
      </x:c>
      <x:c r="DF56" s="107" t="n">
        <x:f>$B$56*DF44</x:f>
      </x:c>
      <x:c r="DG56" s="107" t="n">
        <x:f>$B$56*DG44</x:f>
      </x:c>
      <x:c r="DH56" s="107" t="n">
        <x:f>$B$56*DH44</x:f>
      </x:c>
      <x:c r="DI56" s="107" t="n">
        <x:f>$B$56*DI44</x:f>
      </x:c>
      <x:c r="DJ56" s="107" t="n">
        <x:f>$B$56*DJ44</x:f>
      </x:c>
      <x:c r="DK56" s="107" t="n">
        <x:f>$B$56*DK44</x:f>
      </x:c>
      <x:c r="DL56" s="107" t="n">
        <x:f>$B$56*DL44</x:f>
      </x:c>
      <x:c r="DM56" s="107" t="n">
        <x:f>$B$56*DM44</x:f>
      </x:c>
      <x:c r="DN56" s="107" t="n">
        <x:f>$B$56*DN44</x:f>
      </x:c>
      <x:c r="DO56" s="107" t="n">
        <x:f>$B$56*DO44</x:f>
      </x:c>
      <x:c r="DP56" s="107" t="n">
        <x:f>$B$56*DP44</x:f>
      </x:c>
      <x:c r="DQ56" s="107" t="n">
        <x:f>$B$56*DQ44</x:f>
      </x:c>
      <x:c r="DR56" s="107" t="n">
        <x:f>$B$56*DR44</x:f>
      </x:c>
      <x:c r="DS56" s="107" t="n">
        <x:f>$B$56*DS44</x:f>
      </x:c>
    </x:row>
    <x:row r="57">
      <x:c r="A57" t="str">
        <x:v>Маркетинг</x:v>
      </x:c>
      <x:c r="B57" s="107" t="n">
        <x:f>SUM(D57:DS57)</x:f>
      </x:c>
      <x:c r="C57" t="str">
        <x:v>млн ₽</x:v>
      </x:c>
      <x:c r="D57" s="107" t="n">
        <x:f>D52*'Вводные'!$B$19</x:f>
      </x:c>
      <x:c r="E57" s="107" t="n">
        <x:f>E52*'Вводные'!$B$19</x:f>
      </x:c>
      <x:c r="F57" s="107" t="n">
        <x:f>F52*'Вводные'!$B$19</x:f>
      </x:c>
      <x:c r="G57" s="107" t="n">
        <x:f>G52*'Вводные'!$B$19</x:f>
      </x:c>
      <x:c r="H57" s="107" t="n">
        <x:f>H52*'Вводные'!$B$19</x:f>
      </x:c>
      <x:c r="I57" s="107" t="n">
        <x:f>I52*'Вводные'!$B$19</x:f>
      </x:c>
      <x:c r="J57" s="107" t="n">
        <x:f>J52*'Вводные'!$B$19</x:f>
      </x:c>
      <x:c r="K57" s="107" t="n">
        <x:f>K52*'Вводные'!$B$19</x:f>
      </x:c>
      <x:c r="L57" s="107" t="n">
        <x:f>L52*'Вводные'!$B$19</x:f>
      </x:c>
      <x:c r="M57" s="107" t="n">
        <x:f>M52*'Вводные'!$B$19</x:f>
      </x:c>
      <x:c r="N57" s="107" t="n">
        <x:f>N52*'Вводные'!$B$19</x:f>
      </x:c>
      <x:c r="O57" s="107" t="n">
        <x:f>O52*'Вводные'!$B$19</x:f>
      </x:c>
      <x:c r="P57" s="107" t="n">
        <x:f>P52*'Вводные'!$B$19</x:f>
      </x:c>
      <x:c r="Q57" s="107" t="n">
        <x:f>Q52*'Вводные'!$B$19</x:f>
      </x:c>
      <x:c r="R57" s="107" t="n">
        <x:f>R52*'Вводные'!$B$19</x:f>
      </x:c>
      <x:c r="S57" s="107" t="n">
        <x:f>S52*'Вводные'!$B$19</x:f>
      </x:c>
      <x:c r="T57" s="107" t="n">
        <x:f>T52*'Вводные'!$B$19</x:f>
      </x:c>
      <x:c r="U57" s="107" t="n">
        <x:f>U52*'Вводные'!$B$19</x:f>
      </x:c>
      <x:c r="V57" s="107" t="n">
        <x:f>V52*'Вводные'!$B$19</x:f>
      </x:c>
      <x:c r="W57" s="107" t="n">
        <x:f>W52*'Вводные'!$B$19</x:f>
      </x:c>
      <x:c r="X57" s="107" t="n">
        <x:f>X52*'Вводные'!$B$19</x:f>
      </x:c>
      <x:c r="Y57" s="107" t="n">
        <x:f>Y52*'Вводные'!$B$19</x:f>
      </x:c>
      <x:c r="Z57" s="107" t="n">
        <x:f>Z52*'Вводные'!$B$19</x:f>
      </x:c>
      <x:c r="AA57" s="107" t="n">
        <x:f>AA52*'Вводные'!$B$19</x:f>
      </x:c>
      <x:c r="AB57" s="107" t="n">
        <x:f>AB52*'Вводные'!$B$19</x:f>
      </x:c>
      <x:c r="AC57" s="107" t="n">
        <x:f>AC52*'Вводные'!$B$19</x:f>
      </x:c>
      <x:c r="AD57" s="107" t="n">
        <x:f>AD52*'Вводные'!$B$19</x:f>
      </x:c>
      <x:c r="AE57" s="107" t="n">
        <x:f>AE52*'Вводные'!$B$19</x:f>
      </x:c>
      <x:c r="AF57" s="107" t="n">
        <x:f>AF52*'Вводные'!$B$19</x:f>
      </x:c>
      <x:c r="AG57" s="107" t="n">
        <x:f>AG52*'Вводные'!$B$19</x:f>
      </x:c>
      <x:c r="AH57" s="107" t="n">
        <x:f>AH52*'Вводные'!$B$19</x:f>
      </x:c>
      <x:c r="AI57" s="107" t="n">
        <x:f>AI52*'Вводные'!$B$19</x:f>
      </x:c>
      <x:c r="AJ57" s="107" t="n">
        <x:f>AJ52*'Вводные'!$B$19</x:f>
      </x:c>
      <x:c r="AK57" s="107" t="n">
        <x:f>AK52*'Вводные'!$B$19</x:f>
      </x:c>
      <x:c r="AL57" s="107" t="n">
        <x:f>AL52*'Вводные'!$B$19</x:f>
      </x:c>
      <x:c r="AM57" s="107" t="n">
        <x:f>AM52*'Вводные'!$B$19</x:f>
      </x:c>
      <x:c r="AN57" s="107" t="n">
        <x:f>AN52*'Вводные'!$B$19</x:f>
      </x:c>
      <x:c r="AO57" s="107" t="n">
        <x:f>AO52*'Вводные'!$B$19</x:f>
      </x:c>
      <x:c r="AP57" s="107" t="n">
        <x:f>AP52*'Вводные'!$B$19</x:f>
      </x:c>
      <x:c r="AQ57" s="107" t="n">
        <x:f>AQ52*'Вводные'!$B$19</x:f>
      </x:c>
      <x:c r="AR57" s="107" t="n">
        <x:f>AR52*'Вводные'!$B$19</x:f>
      </x:c>
      <x:c r="AS57" s="107" t="n">
        <x:f>AS52*'Вводные'!$B$19</x:f>
      </x:c>
      <x:c r="AT57" s="107" t="n">
        <x:f>AT52*'Вводные'!$B$19</x:f>
      </x:c>
      <x:c r="AU57" s="107" t="n">
        <x:f>AU52*'Вводные'!$B$19</x:f>
      </x:c>
      <x:c r="AV57" s="107" t="n">
        <x:f>AV52*'Вводные'!$B$19</x:f>
      </x:c>
      <x:c r="AW57" s="107" t="n">
        <x:f>AW52*'Вводные'!$B$19</x:f>
      </x:c>
      <x:c r="AX57" s="107" t="n">
        <x:f>AX52*'Вводные'!$B$19</x:f>
      </x:c>
      <x:c r="AY57" s="107" t="n">
        <x:f>AY52*'Вводные'!$B$19</x:f>
      </x:c>
      <x:c r="AZ57" s="107" t="n">
        <x:f>AZ52*'Вводные'!$B$19</x:f>
      </x:c>
      <x:c r="BA57" s="107" t="n">
        <x:f>BA52*'Вводные'!$B$19</x:f>
      </x:c>
      <x:c r="BB57" s="107" t="n">
        <x:f>BB52*'Вводные'!$B$19</x:f>
      </x:c>
      <x:c r="BC57" s="107" t="n">
        <x:f>BC52*'Вводные'!$B$19</x:f>
      </x:c>
      <x:c r="BD57" s="107" t="n">
        <x:f>BD52*'Вводные'!$B$19</x:f>
      </x:c>
      <x:c r="BE57" s="107" t="n">
        <x:f>BE52*'Вводные'!$B$19</x:f>
      </x:c>
      <x:c r="BF57" s="107" t="n">
        <x:f>BF52*'Вводные'!$B$19</x:f>
      </x:c>
      <x:c r="BG57" s="107" t="n">
        <x:f>BG52*'Вводные'!$B$19</x:f>
      </x:c>
      <x:c r="BH57" s="107" t="n">
        <x:f>BH52*'Вводные'!$B$19</x:f>
      </x:c>
      <x:c r="BI57" s="107" t="n">
        <x:f>BI52*'Вводные'!$B$19</x:f>
      </x:c>
      <x:c r="BJ57" s="107" t="n">
        <x:f>BJ52*'Вводные'!$B$19</x:f>
      </x:c>
      <x:c r="BK57" s="107" t="n">
        <x:f>BK52*'Вводные'!$B$19</x:f>
      </x:c>
      <x:c r="BL57" s="107" t="n">
        <x:f>BL52*'Вводные'!$B$19</x:f>
      </x:c>
      <x:c r="BM57" s="107" t="n">
        <x:f>BM52*'Вводные'!$B$19</x:f>
      </x:c>
      <x:c r="BN57" s="107" t="n">
        <x:f>BN52*'Вводные'!$B$19</x:f>
      </x:c>
      <x:c r="BO57" s="107" t="n">
        <x:f>BO52*'Вводные'!$B$19</x:f>
      </x:c>
      <x:c r="BP57" s="107" t="n">
        <x:f>BP52*'Вводные'!$B$19</x:f>
      </x:c>
      <x:c r="BQ57" s="107" t="n">
        <x:f>BQ52*'Вводные'!$B$19</x:f>
      </x:c>
      <x:c r="BR57" s="107" t="n">
        <x:f>BR52*'Вводные'!$B$19</x:f>
      </x:c>
      <x:c r="BS57" s="107" t="n">
        <x:f>BS52*'Вводные'!$B$19</x:f>
      </x:c>
      <x:c r="BT57" s="107" t="n">
        <x:f>BT52*'Вводные'!$B$19</x:f>
      </x:c>
      <x:c r="BU57" s="107" t="n">
        <x:f>BU52*'Вводные'!$B$19</x:f>
      </x:c>
      <x:c r="BV57" s="107" t="n">
        <x:f>BV52*'Вводные'!$B$19</x:f>
      </x:c>
      <x:c r="BW57" s="107" t="n">
        <x:f>BW52*'Вводные'!$B$19</x:f>
      </x:c>
      <x:c r="BX57" s="107" t="n">
        <x:f>BX52*'Вводные'!$B$19</x:f>
      </x:c>
      <x:c r="BY57" s="107" t="n">
        <x:f>BY52*'Вводные'!$B$19</x:f>
      </x:c>
      <x:c r="BZ57" s="107" t="n">
        <x:f>BZ52*'Вводные'!$B$19</x:f>
      </x:c>
      <x:c r="CA57" s="107" t="n">
        <x:f>CA52*'Вводные'!$B$19</x:f>
      </x:c>
      <x:c r="CB57" s="107" t="n">
        <x:f>CB52*'Вводные'!$B$19</x:f>
      </x:c>
      <x:c r="CC57" s="107" t="n">
        <x:f>CC52*'Вводные'!$B$19</x:f>
      </x:c>
      <x:c r="CD57" s="107" t="n">
        <x:f>CD52*'Вводные'!$B$19</x:f>
      </x:c>
      <x:c r="CE57" s="107" t="n">
        <x:f>CE52*'Вводные'!$B$19</x:f>
      </x:c>
      <x:c r="CF57" s="107" t="n">
        <x:f>CF52*'Вводные'!$B$19</x:f>
      </x:c>
      <x:c r="CG57" s="107" t="n">
        <x:f>CG52*'Вводные'!$B$19</x:f>
      </x:c>
      <x:c r="CH57" s="107" t="n">
        <x:f>CH52*'Вводные'!$B$19</x:f>
      </x:c>
      <x:c r="CI57" s="107" t="n">
        <x:f>CI52*'Вводные'!$B$19</x:f>
      </x:c>
      <x:c r="CJ57" s="107" t="n">
        <x:f>CJ52*'Вводные'!$B$19</x:f>
      </x:c>
      <x:c r="CK57" s="107" t="n">
        <x:f>CK52*'Вводные'!$B$19</x:f>
      </x:c>
      <x:c r="CL57" s="107" t="n">
        <x:f>CL52*'Вводные'!$B$19</x:f>
      </x:c>
      <x:c r="CM57" s="107" t="n">
        <x:f>CM52*'Вводные'!$B$19</x:f>
      </x:c>
      <x:c r="CN57" s="107" t="n">
        <x:f>CN52*'Вводные'!$B$19</x:f>
      </x:c>
      <x:c r="CO57" s="107" t="n">
        <x:f>CO52*'Вводные'!$B$19</x:f>
      </x:c>
      <x:c r="CP57" s="107" t="n">
        <x:f>CP52*'Вводные'!$B$19</x:f>
      </x:c>
      <x:c r="CQ57" s="107" t="n">
        <x:f>CQ52*'Вводные'!$B$19</x:f>
      </x:c>
      <x:c r="CR57" s="107" t="n">
        <x:f>CR52*'Вводные'!$B$19</x:f>
      </x:c>
      <x:c r="CS57" s="107" t="n">
        <x:f>CS52*'Вводные'!$B$19</x:f>
      </x:c>
      <x:c r="CT57" s="107" t="n">
        <x:f>CT52*'Вводные'!$B$19</x:f>
      </x:c>
      <x:c r="CU57" s="107" t="n">
        <x:f>CU52*'Вводные'!$B$19</x:f>
      </x:c>
      <x:c r="CV57" s="107" t="n">
        <x:f>CV52*'Вводные'!$B$19</x:f>
      </x:c>
      <x:c r="CW57" s="107" t="n">
        <x:f>CW52*'Вводные'!$B$19</x:f>
      </x:c>
      <x:c r="CX57" s="107" t="n">
        <x:f>CX52*'Вводные'!$B$19</x:f>
      </x:c>
      <x:c r="CY57" s="107" t="n">
        <x:f>CY52*'Вводные'!$B$19</x:f>
      </x:c>
      <x:c r="CZ57" s="107" t="n">
        <x:f>CZ52*'Вводные'!$B$19</x:f>
      </x:c>
      <x:c r="DA57" s="107" t="n">
        <x:f>DA52*'Вводные'!$B$19</x:f>
      </x:c>
      <x:c r="DB57" s="107" t="n">
        <x:f>DB52*'Вводные'!$B$19</x:f>
      </x:c>
      <x:c r="DC57" s="107" t="n">
        <x:f>DC52*'Вводные'!$B$19</x:f>
      </x:c>
      <x:c r="DD57" s="107" t="n">
        <x:f>DD52*'Вводные'!$B$19</x:f>
      </x:c>
      <x:c r="DE57" s="107" t="n">
        <x:f>DE52*'Вводные'!$B$19</x:f>
      </x:c>
      <x:c r="DF57" s="107" t="n">
        <x:f>DF52*'Вводные'!$B$19</x:f>
      </x:c>
      <x:c r="DG57" s="107" t="n">
        <x:f>DG52*'Вводные'!$B$19</x:f>
      </x:c>
      <x:c r="DH57" s="107" t="n">
        <x:f>DH52*'Вводные'!$B$19</x:f>
      </x:c>
      <x:c r="DI57" s="107" t="n">
        <x:f>DI52*'Вводные'!$B$19</x:f>
      </x:c>
      <x:c r="DJ57" s="107" t="n">
        <x:f>DJ52*'Вводные'!$B$19</x:f>
      </x:c>
      <x:c r="DK57" s="107" t="n">
        <x:f>DK52*'Вводные'!$B$19</x:f>
      </x:c>
      <x:c r="DL57" s="107" t="n">
        <x:f>DL52*'Вводные'!$B$19</x:f>
      </x:c>
      <x:c r="DM57" s="107" t="n">
        <x:f>DM52*'Вводные'!$B$19</x:f>
      </x:c>
      <x:c r="DN57" s="107" t="n">
        <x:f>DN52*'Вводные'!$B$19</x:f>
      </x:c>
      <x:c r="DO57" s="107" t="n">
        <x:f>DO52*'Вводные'!$B$19</x:f>
      </x:c>
      <x:c r="DP57" s="107" t="n">
        <x:f>DP52*'Вводные'!$B$19</x:f>
      </x:c>
      <x:c r="DQ57" s="107" t="n">
        <x:f>DQ52*'Вводные'!$B$19</x:f>
      </x:c>
      <x:c r="DR57" s="107" t="n">
        <x:f>DR52*'Вводные'!$B$19</x:f>
      </x:c>
      <x:c r="DS57" s="107" t="n">
        <x:f>DS52*'Вводные'!$B$19</x:f>
      </x:c>
    </x:row>
    <x:row r="58">
      <x:c r="A58" t="str">
        <x:v>Расходы на продажи</x:v>
      </x:c>
      <x:c r="B58" s="107" t="n">
        <x:f>SUM(D58:DS58)</x:f>
      </x:c>
      <x:c r="C58" t="str">
        <x:v>млн ₽</x:v>
      </x:c>
      <x:c r="D58" s="107" t="n">
        <x:f>D52*'Вводные'!$B$20</x:f>
      </x:c>
      <x:c r="E58" s="107" t="n">
        <x:f>E52*'Вводные'!$B$20</x:f>
      </x:c>
      <x:c r="F58" s="107" t="n">
        <x:f>F52*'Вводные'!$B$20</x:f>
      </x:c>
      <x:c r="G58" s="107" t="n">
        <x:f>G52*'Вводные'!$B$20</x:f>
      </x:c>
      <x:c r="H58" s="107" t="n">
        <x:f>H52*'Вводные'!$B$20</x:f>
      </x:c>
      <x:c r="I58" s="107" t="n">
        <x:f>I52*'Вводные'!$B$20</x:f>
      </x:c>
      <x:c r="J58" s="107" t="n">
        <x:f>J52*'Вводные'!$B$20</x:f>
      </x:c>
      <x:c r="K58" s="107" t="n">
        <x:f>K52*'Вводные'!$B$20</x:f>
      </x:c>
      <x:c r="L58" s="107" t="n">
        <x:f>L52*'Вводные'!$B$20</x:f>
      </x:c>
      <x:c r="M58" s="107" t="n">
        <x:f>M52*'Вводные'!$B$20</x:f>
      </x:c>
      <x:c r="N58" s="107" t="n">
        <x:f>N52*'Вводные'!$B$20</x:f>
      </x:c>
      <x:c r="O58" s="107" t="n">
        <x:f>O52*'Вводные'!$B$20</x:f>
      </x:c>
      <x:c r="P58" s="107" t="n">
        <x:f>P52*'Вводные'!$B$20</x:f>
      </x:c>
      <x:c r="Q58" s="107" t="n">
        <x:f>Q52*'Вводные'!$B$20</x:f>
      </x:c>
      <x:c r="R58" s="107" t="n">
        <x:f>R52*'Вводные'!$B$20</x:f>
      </x:c>
      <x:c r="S58" s="107" t="n">
        <x:f>S52*'Вводные'!$B$20</x:f>
      </x:c>
      <x:c r="T58" s="107" t="n">
        <x:f>T52*'Вводные'!$B$20</x:f>
      </x:c>
      <x:c r="U58" s="107" t="n">
        <x:f>U52*'Вводные'!$B$20</x:f>
      </x:c>
      <x:c r="V58" s="107" t="n">
        <x:f>V52*'Вводные'!$B$20</x:f>
      </x:c>
      <x:c r="W58" s="107" t="n">
        <x:f>W52*'Вводные'!$B$20</x:f>
      </x:c>
      <x:c r="X58" s="107" t="n">
        <x:f>X52*'Вводные'!$B$20</x:f>
      </x:c>
      <x:c r="Y58" s="107" t="n">
        <x:f>Y52*'Вводные'!$B$20</x:f>
      </x:c>
      <x:c r="Z58" s="107" t="n">
        <x:f>Z52*'Вводные'!$B$20</x:f>
      </x:c>
      <x:c r="AA58" s="107" t="n">
        <x:f>AA52*'Вводные'!$B$20</x:f>
      </x:c>
      <x:c r="AB58" s="107" t="n">
        <x:f>AB52*'Вводные'!$B$20</x:f>
      </x:c>
      <x:c r="AC58" s="107" t="n">
        <x:f>AC52*'Вводные'!$B$20</x:f>
      </x:c>
      <x:c r="AD58" s="107" t="n">
        <x:f>AD52*'Вводные'!$B$20</x:f>
      </x:c>
      <x:c r="AE58" s="107" t="n">
        <x:f>AE52*'Вводные'!$B$20</x:f>
      </x:c>
      <x:c r="AF58" s="107" t="n">
        <x:f>AF52*'Вводные'!$B$20</x:f>
      </x:c>
      <x:c r="AG58" s="107" t="n">
        <x:f>AG52*'Вводные'!$B$20</x:f>
      </x:c>
      <x:c r="AH58" s="107" t="n">
        <x:f>AH52*'Вводные'!$B$20</x:f>
      </x:c>
      <x:c r="AI58" s="107" t="n">
        <x:f>AI52*'Вводные'!$B$20</x:f>
      </x:c>
      <x:c r="AJ58" s="107" t="n">
        <x:f>AJ52*'Вводные'!$B$20</x:f>
      </x:c>
      <x:c r="AK58" s="107" t="n">
        <x:f>AK52*'Вводные'!$B$20</x:f>
      </x:c>
      <x:c r="AL58" s="107" t="n">
        <x:f>AL52*'Вводные'!$B$20</x:f>
      </x:c>
      <x:c r="AM58" s="107" t="n">
        <x:f>AM52*'Вводные'!$B$20</x:f>
      </x:c>
      <x:c r="AN58" s="107" t="n">
        <x:f>AN52*'Вводные'!$B$20</x:f>
      </x:c>
      <x:c r="AO58" s="107" t="n">
        <x:f>AO52*'Вводные'!$B$20</x:f>
      </x:c>
      <x:c r="AP58" s="107" t="n">
        <x:f>AP52*'Вводные'!$B$20</x:f>
      </x:c>
      <x:c r="AQ58" s="107" t="n">
        <x:f>AQ52*'Вводные'!$B$20</x:f>
      </x:c>
      <x:c r="AR58" s="107" t="n">
        <x:f>AR52*'Вводные'!$B$20</x:f>
      </x:c>
      <x:c r="AS58" s="107" t="n">
        <x:f>AS52*'Вводные'!$B$20</x:f>
      </x:c>
      <x:c r="AT58" s="107" t="n">
        <x:f>AT52*'Вводные'!$B$20</x:f>
      </x:c>
      <x:c r="AU58" s="107" t="n">
        <x:f>AU52*'Вводные'!$B$20</x:f>
      </x:c>
      <x:c r="AV58" s="107" t="n">
        <x:f>AV52*'Вводные'!$B$20</x:f>
      </x:c>
      <x:c r="AW58" s="107" t="n">
        <x:f>AW52*'Вводные'!$B$20</x:f>
      </x:c>
      <x:c r="AX58" s="107" t="n">
        <x:f>AX52*'Вводные'!$B$20</x:f>
      </x:c>
      <x:c r="AY58" s="107" t="n">
        <x:f>AY52*'Вводные'!$B$20</x:f>
      </x:c>
      <x:c r="AZ58" s="107" t="n">
        <x:f>AZ52*'Вводные'!$B$20</x:f>
      </x:c>
      <x:c r="BA58" s="107" t="n">
        <x:f>BA52*'Вводные'!$B$20</x:f>
      </x:c>
      <x:c r="BB58" s="107" t="n">
        <x:f>BB52*'Вводные'!$B$20</x:f>
      </x:c>
      <x:c r="BC58" s="107" t="n">
        <x:f>BC52*'Вводные'!$B$20</x:f>
      </x:c>
      <x:c r="BD58" s="107" t="n">
        <x:f>BD52*'Вводные'!$B$20</x:f>
      </x:c>
      <x:c r="BE58" s="107" t="n">
        <x:f>BE52*'Вводные'!$B$20</x:f>
      </x:c>
      <x:c r="BF58" s="107" t="n">
        <x:f>BF52*'Вводные'!$B$20</x:f>
      </x:c>
      <x:c r="BG58" s="107" t="n">
        <x:f>BG52*'Вводные'!$B$20</x:f>
      </x:c>
      <x:c r="BH58" s="107" t="n">
        <x:f>BH52*'Вводные'!$B$20</x:f>
      </x:c>
      <x:c r="BI58" s="107" t="n">
        <x:f>BI52*'Вводные'!$B$20</x:f>
      </x:c>
      <x:c r="BJ58" s="107" t="n">
        <x:f>BJ52*'Вводные'!$B$20</x:f>
      </x:c>
      <x:c r="BK58" s="107" t="n">
        <x:f>BK52*'Вводные'!$B$20</x:f>
      </x:c>
      <x:c r="BL58" s="107" t="n">
        <x:f>BL52*'Вводные'!$B$20</x:f>
      </x:c>
      <x:c r="BM58" s="107" t="n">
        <x:f>BM52*'Вводные'!$B$20</x:f>
      </x:c>
      <x:c r="BN58" s="107" t="n">
        <x:f>BN52*'Вводные'!$B$20</x:f>
      </x:c>
      <x:c r="BO58" s="107" t="n">
        <x:f>BO52*'Вводные'!$B$20</x:f>
      </x:c>
      <x:c r="BP58" s="107" t="n">
        <x:f>BP52*'Вводные'!$B$20</x:f>
      </x:c>
      <x:c r="BQ58" s="107" t="n">
        <x:f>BQ52*'Вводные'!$B$20</x:f>
      </x:c>
      <x:c r="BR58" s="107" t="n">
        <x:f>BR52*'Вводные'!$B$20</x:f>
      </x:c>
      <x:c r="BS58" s="107" t="n">
        <x:f>BS52*'Вводные'!$B$20</x:f>
      </x:c>
      <x:c r="BT58" s="107" t="n">
        <x:f>BT52*'Вводные'!$B$20</x:f>
      </x:c>
      <x:c r="BU58" s="107" t="n">
        <x:f>BU52*'Вводные'!$B$20</x:f>
      </x:c>
      <x:c r="BV58" s="107" t="n">
        <x:f>BV52*'Вводные'!$B$20</x:f>
      </x:c>
      <x:c r="BW58" s="107" t="n">
        <x:f>BW52*'Вводные'!$B$20</x:f>
      </x:c>
      <x:c r="BX58" s="107" t="n">
        <x:f>BX52*'Вводные'!$B$20</x:f>
      </x:c>
      <x:c r="BY58" s="107" t="n">
        <x:f>BY52*'Вводные'!$B$20</x:f>
      </x:c>
      <x:c r="BZ58" s="107" t="n">
        <x:f>BZ52*'Вводные'!$B$20</x:f>
      </x:c>
      <x:c r="CA58" s="107" t="n">
        <x:f>CA52*'Вводные'!$B$20</x:f>
      </x:c>
      <x:c r="CB58" s="107" t="n">
        <x:f>CB52*'Вводные'!$B$20</x:f>
      </x:c>
      <x:c r="CC58" s="107" t="n">
        <x:f>CC52*'Вводные'!$B$20</x:f>
      </x:c>
      <x:c r="CD58" s="107" t="n">
        <x:f>CD52*'Вводные'!$B$20</x:f>
      </x:c>
      <x:c r="CE58" s="107" t="n">
        <x:f>CE52*'Вводные'!$B$20</x:f>
      </x:c>
      <x:c r="CF58" s="107" t="n">
        <x:f>CF52*'Вводные'!$B$20</x:f>
      </x:c>
      <x:c r="CG58" s="107" t="n">
        <x:f>CG52*'Вводные'!$B$20</x:f>
      </x:c>
      <x:c r="CH58" s="107" t="n">
        <x:f>CH52*'Вводные'!$B$20</x:f>
      </x:c>
      <x:c r="CI58" s="107" t="n">
        <x:f>CI52*'Вводные'!$B$20</x:f>
      </x:c>
      <x:c r="CJ58" s="107" t="n">
        <x:f>CJ52*'Вводные'!$B$20</x:f>
      </x:c>
      <x:c r="CK58" s="107" t="n">
        <x:f>CK52*'Вводные'!$B$20</x:f>
      </x:c>
      <x:c r="CL58" s="107" t="n">
        <x:f>CL52*'Вводные'!$B$20</x:f>
      </x:c>
      <x:c r="CM58" s="107" t="n">
        <x:f>CM52*'Вводные'!$B$20</x:f>
      </x:c>
      <x:c r="CN58" s="107" t="n">
        <x:f>CN52*'Вводные'!$B$20</x:f>
      </x:c>
      <x:c r="CO58" s="107" t="n">
        <x:f>CO52*'Вводные'!$B$20</x:f>
      </x:c>
      <x:c r="CP58" s="107" t="n">
        <x:f>CP52*'Вводные'!$B$20</x:f>
      </x:c>
      <x:c r="CQ58" s="107" t="n">
        <x:f>CQ52*'Вводные'!$B$20</x:f>
      </x:c>
      <x:c r="CR58" s="107" t="n">
        <x:f>CR52*'Вводные'!$B$20</x:f>
      </x:c>
      <x:c r="CS58" s="107" t="n">
        <x:f>CS52*'Вводные'!$B$20</x:f>
      </x:c>
      <x:c r="CT58" s="107" t="n">
        <x:f>CT52*'Вводные'!$B$20</x:f>
      </x:c>
      <x:c r="CU58" s="107" t="n">
        <x:f>CU52*'Вводные'!$B$20</x:f>
      </x:c>
      <x:c r="CV58" s="107" t="n">
        <x:f>CV52*'Вводные'!$B$20</x:f>
      </x:c>
      <x:c r="CW58" s="107" t="n">
        <x:f>CW52*'Вводные'!$B$20</x:f>
      </x:c>
      <x:c r="CX58" s="107" t="n">
        <x:f>CX52*'Вводные'!$B$20</x:f>
      </x:c>
      <x:c r="CY58" s="107" t="n">
        <x:f>CY52*'Вводные'!$B$20</x:f>
      </x:c>
      <x:c r="CZ58" s="107" t="n">
        <x:f>CZ52*'Вводные'!$B$20</x:f>
      </x:c>
      <x:c r="DA58" s="107" t="n">
        <x:f>DA52*'Вводные'!$B$20</x:f>
      </x:c>
      <x:c r="DB58" s="107" t="n">
        <x:f>DB52*'Вводные'!$B$20</x:f>
      </x:c>
      <x:c r="DC58" s="107" t="n">
        <x:f>DC52*'Вводные'!$B$20</x:f>
      </x:c>
      <x:c r="DD58" s="107" t="n">
        <x:f>DD52*'Вводные'!$B$20</x:f>
      </x:c>
      <x:c r="DE58" s="107" t="n">
        <x:f>DE52*'Вводные'!$B$20</x:f>
      </x:c>
      <x:c r="DF58" s="107" t="n">
        <x:f>DF52*'Вводные'!$B$20</x:f>
      </x:c>
      <x:c r="DG58" s="107" t="n">
        <x:f>DG52*'Вводные'!$B$20</x:f>
      </x:c>
      <x:c r="DH58" s="107" t="n">
        <x:f>DH52*'Вводные'!$B$20</x:f>
      </x:c>
      <x:c r="DI58" s="107" t="n">
        <x:f>DI52*'Вводные'!$B$20</x:f>
      </x:c>
      <x:c r="DJ58" s="107" t="n">
        <x:f>DJ52*'Вводные'!$B$20</x:f>
      </x:c>
      <x:c r="DK58" s="107" t="n">
        <x:f>DK52*'Вводные'!$B$20</x:f>
      </x:c>
      <x:c r="DL58" s="107" t="n">
        <x:f>DL52*'Вводные'!$B$20</x:f>
      </x:c>
      <x:c r="DM58" s="107" t="n">
        <x:f>DM52*'Вводные'!$B$20</x:f>
      </x:c>
      <x:c r="DN58" s="107" t="n">
        <x:f>DN52*'Вводные'!$B$20</x:f>
      </x:c>
      <x:c r="DO58" s="107" t="n">
        <x:f>DO52*'Вводные'!$B$20</x:f>
      </x:c>
      <x:c r="DP58" s="107" t="n">
        <x:f>DP52*'Вводные'!$B$20</x:f>
      </x:c>
      <x:c r="DQ58" s="107" t="n">
        <x:f>DQ52*'Вводные'!$B$20</x:f>
      </x:c>
      <x:c r="DR58" s="107" t="n">
        <x:f>DR52*'Вводные'!$B$20</x:f>
      </x:c>
      <x:c r="DS58" s="107" t="n">
        <x:f>DS52*'Вводные'!$B$20</x:f>
      </x:c>
    </x:row>
    <x:row r="59">
      <x:c r="A59" s="348" t="str">
        <x:v>Расходы объекта всего</x:v>
      </x:c>
      <x:c r="B59" s="348" t="n">
        <x:f>SUM(D59:DS59)</x:f>
      </x:c>
      <x:c r="C59" s="348" t="str">
        <x:v>млн ₽</x:v>
      </x:c>
      <x:c r="D59" s="348" t="n">
        <x:f>SUM(D56:D58)</x:f>
      </x:c>
      <x:c r="E59" s="348" t="n">
        <x:f>SUM(E56:E58)</x:f>
      </x:c>
      <x:c r="F59" s="348" t="n">
        <x:f>SUM(F56:F58)</x:f>
      </x:c>
      <x:c r="G59" s="348" t="n">
        <x:f>SUM(G56:G58)</x:f>
      </x:c>
      <x:c r="H59" s="348" t="n">
        <x:f>SUM(H56:H58)</x:f>
      </x:c>
      <x:c r="I59" s="348" t="n">
        <x:f>SUM(I56:I58)</x:f>
      </x:c>
      <x:c r="J59" s="348" t="n">
        <x:f>SUM(J56:J58)</x:f>
      </x:c>
      <x:c r="K59" s="348" t="n">
        <x:f>SUM(K56:K58)</x:f>
      </x:c>
      <x:c r="L59" s="348" t="n">
        <x:f>SUM(L56:L58)</x:f>
      </x:c>
      <x:c r="M59" s="348" t="n">
        <x:f>SUM(M56:M58)</x:f>
      </x:c>
      <x:c r="N59" s="348" t="n">
        <x:f>SUM(N56:N58)</x:f>
      </x:c>
      <x:c r="O59" s="348" t="n">
        <x:f>SUM(O56:O58)</x:f>
      </x:c>
      <x:c r="P59" s="348" t="n">
        <x:f>SUM(P56:P58)</x:f>
      </x:c>
      <x:c r="Q59" s="348" t="n">
        <x:f>SUM(Q56:Q58)</x:f>
      </x:c>
      <x:c r="R59" s="348" t="n">
        <x:f>SUM(R56:R58)</x:f>
      </x:c>
      <x:c r="S59" s="348" t="n">
        <x:f>SUM(S56:S58)</x:f>
      </x:c>
      <x:c r="T59" s="348" t="n">
        <x:f>SUM(T56:T58)</x:f>
      </x:c>
      <x:c r="U59" s="348" t="n">
        <x:f>SUM(U56:U58)</x:f>
      </x:c>
      <x:c r="V59" s="348" t="n">
        <x:f>SUM(V56:V58)</x:f>
      </x:c>
      <x:c r="W59" s="348" t="n">
        <x:f>SUM(W56:W58)</x:f>
      </x:c>
      <x:c r="X59" s="348" t="n">
        <x:f>SUM(X56:X58)</x:f>
      </x:c>
      <x:c r="Y59" s="348" t="n">
        <x:f>SUM(Y56:Y58)</x:f>
      </x:c>
      <x:c r="Z59" s="348" t="n">
        <x:f>SUM(Z56:Z58)</x:f>
      </x:c>
      <x:c r="AA59" s="348" t="n">
        <x:f>SUM(AA56:AA58)</x:f>
      </x:c>
      <x:c r="AB59" s="348" t="n">
        <x:f>SUM(AB56:AB58)</x:f>
      </x:c>
      <x:c r="AC59" s="348" t="n">
        <x:f>SUM(AC56:AC58)</x:f>
      </x:c>
      <x:c r="AD59" s="348" t="n">
        <x:f>SUM(AD56:AD58)</x:f>
      </x:c>
      <x:c r="AE59" s="348" t="n">
        <x:f>SUM(AE56:AE58)</x:f>
      </x:c>
      <x:c r="AF59" s="348" t="n">
        <x:f>SUM(AF56:AF58)</x:f>
      </x:c>
      <x:c r="AG59" s="348" t="n">
        <x:f>SUM(AG56:AG58)</x:f>
      </x:c>
      <x:c r="AH59" s="348" t="n">
        <x:f>SUM(AH56:AH58)</x:f>
      </x:c>
      <x:c r="AI59" s="348" t="n">
        <x:f>SUM(AI56:AI58)</x:f>
      </x:c>
      <x:c r="AJ59" s="348" t="n">
        <x:f>SUM(AJ56:AJ58)</x:f>
      </x:c>
      <x:c r="AK59" s="348" t="n">
        <x:f>SUM(AK56:AK58)</x:f>
      </x:c>
      <x:c r="AL59" s="348" t="n">
        <x:f>SUM(AL56:AL58)</x:f>
      </x:c>
      <x:c r="AM59" s="348" t="n">
        <x:f>SUM(AM56:AM58)</x:f>
      </x:c>
      <x:c r="AN59" s="348" t="n">
        <x:f>SUM(AN56:AN58)</x:f>
      </x:c>
      <x:c r="AO59" s="348" t="n">
        <x:f>SUM(AO56:AO58)</x:f>
      </x:c>
      <x:c r="AP59" s="348" t="n">
        <x:f>SUM(AP56:AP58)</x:f>
      </x:c>
      <x:c r="AQ59" s="348" t="n">
        <x:f>SUM(AQ56:AQ58)</x:f>
      </x:c>
      <x:c r="AR59" s="348" t="n">
        <x:f>SUM(AR56:AR58)</x:f>
      </x:c>
      <x:c r="AS59" s="348" t="n">
        <x:f>SUM(AS56:AS58)</x:f>
      </x:c>
      <x:c r="AT59" s="348" t="n">
        <x:f>SUM(AT56:AT58)</x:f>
      </x:c>
      <x:c r="AU59" s="348" t="n">
        <x:f>SUM(AU56:AU58)</x:f>
      </x:c>
      <x:c r="AV59" s="348" t="n">
        <x:f>SUM(AV56:AV58)</x:f>
      </x:c>
      <x:c r="AW59" s="348" t="n">
        <x:f>SUM(AW56:AW58)</x:f>
      </x:c>
      <x:c r="AX59" s="348" t="n">
        <x:f>SUM(AX56:AX58)</x:f>
      </x:c>
      <x:c r="AY59" s="348" t="n">
        <x:f>SUM(AY56:AY58)</x:f>
      </x:c>
      <x:c r="AZ59" s="348" t="n">
        <x:f>SUM(AZ56:AZ58)</x:f>
      </x:c>
      <x:c r="BA59" s="348" t="n">
        <x:f>SUM(BA56:BA58)</x:f>
      </x:c>
      <x:c r="BB59" s="348" t="n">
        <x:f>SUM(BB56:BB58)</x:f>
      </x:c>
      <x:c r="BC59" s="348" t="n">
        <x:f>SUM(BC56:BC58)</x:f>
      </x:c>
      <x:c r="BD59" s="348" t="n">
        <x:f>SUM(BD56:BD58)</x:f>
      </x:c>
      <x:c r="BE59" s="348" t="n">
        <x:f>SUM(BE56:BE58)</x:f>
      </x:c>
      <x:c r="BF59" s="348" t="n">
        <x:f>SUM(BF56:BF58)</x:f>
      </x:c>
      <x:c r="BG59" s="348" t="n">
        <x:f>SUM(BG56:BG58)</x:f>
      </x:c>
      <x:c r="BH59" s="348" t="n">
        <x:f>SUM(BH56:BH58)</x:f>
      </x:c>
      <x:c r="BI59" s="348" t="n">
        <x:f>SUM(BI56:BI58)</x:f>
      </x:c>
      <x:c r="BJ59" s="348" t="n">
        <x:f>SUM(BJ56:BJ58)</x:f>
      </x:c>
      <x:c r="BK59" s="348" t="n">
        <x:f>SUM(BK56:BK58)</x:f>
      </x:c>
      <x:c r="BL59" s="348" t="n">
        <x:f>SUM(BL56:BL58)</x:f>
      </x:c>
      <x:c r="BM59" s="348" t="n">
        <x:f>SUM(BM56:BM58)</x:f>
      </x:c>
      <x:c r="BN59" s="348" t="n">
        <x:f>SUM(BN56:BN58)</x:f>
      </x:c>
      <x:c r="BO59" s="348" t="n">
        <x:f>SUM(BO56:BO58)</x:f>
      </x:c>
      <x:c r="BP59" s="348" t="n">
        <x:f>SUM(BP56:BP58)</x:f>
      </x:c>
      <x:c r="BQ59" s="348" t="n">
        <x:f>SUM(BQ56:BQ58)</x:f>
      </x:c>
      <x:c r="BR59" s="348" t="n">
        <x:f>SUM(BR56:BR58)</x:f>
      </x:c>
      <x:c r="BS59" s="348" t="n">
        <x:f>SUM(BS56:BS58)</x:f>
      </x:c>
      <x:c r="BT59" s="348" t="n">
        <x:f>SUM(BT56:BT58)</x:f>
      </x:c>
      <x:c r="BU59" s="348" t="n">
        <x:f>SUM(BU56:BU58)</x:f>
      </x:c>
      <x:c r="BV59" s="348" t="n">
        <x:f>SUM(BV56:BV58)</x:f>
      </x:c>
      <x:c r="BW59" s="348" t="n">
        <x:f>SUM(BW56:BW58)</x:f>
      </x:c>
      <x:c r="BX59" s="348" t="n">
        <x:f>SUM(BX56:BX58)</x:f>
      </x:c>
      <x:c r="BY59" s="348" t="n">
        <x:f>SUM(BY56:BY58)</x:f>
      </x:c>
      <x:c r="BZ59" s="348" t="n">
        <x:f>SUM(BZ56:BZ58)</x:f>
      </x:c>
      <x:c r="CA59" s="348" t="n">
        <x:f>SUM(CA56:CA58)</x:f>
      </x:c>
      <x:c r="CB59" s="348" t="n">
        <x:f>SUM(CB56:CB58)</x:f>
      </x:c>
      <x:c r="CC59" s="348" t="n">
        <x:f>SUM(CC56:CC58)</x:f>
      </x:c>
      <x:c r="CD59" s="348" t="n">
        <x:f>SUM(CD56:CD58)</x:f>
      </x:c>
      <x:c r="CE59" s="348" t="n">
        <x:f>SUM(CE56:CE58)</x:f>
      </x:c>
      <x:c r="CF59" s="348" t="n">
        <x:f>SUM(CF56:CF58)</x:f>
      </x:c>
      <x:c r="CG59" s="348" t="n">
        <x:f>SUM(CG56:CG58)</x:f>
      </x:c>
      <x:c r="CH59" s="348" t="n">
        <x:f>SUM(CH56:CH58)</x:f>
      </x:c>
      <x:c r="CI59" s="348" t="n">
        <x:f>SUM(CI56:CI58)</x:f>
      </x:c>
      <x:c r="CJ59" s="348" t="n">
        <x:f>SUM(CJ56:CJ58)</x:f>
      </x:c>
      <x:c r="CK59" s="348" t="n">
        <x:f>SUM(CK56:CK58)</x:f>
      </x:c>
      <x:c r="CL59" s="348" t="n">
        <x:f>SUM(CL56:CL58)</x:f>
      </x:c>
      <x:c r="CM59" s="348" t="n">
        <x:f>SUM(CM56:CM58)</x:f>
      </x:c>
      <x:c r="CN59" s="348" t="n">
        <x:f>SUM(CN56:CN58)</x:f>
      </x:c>
      <x:c r="CO59" s="348" t="n">
        <x:f>SUM(CO56:CO58)</x:f>
      </x:c>
      <x:c r="CP59" s="348" t="n">
        <x:f>SUM(CP56:CP58)</x:f>
      </x:c>
      <x:c r="CQ59" s="348" t="n">
        <x:f>SUM(CQ56:CQ58)</x:f>
      </x:c>
      <x:c r="CR59" s="348" t="n">
        <x:f>SUM(CR56:CR58)</x:f>
      </x:c>
      <x:c r="CS59" s="348" t="n">
        <x:f>SUM(CS56:CS58)</x:f>
      </x:c>
      <x:c r="CT59" s="348" t="n">
        <x:f>SUM(CT56:CT58)</x:f>
      </x:c>
      <x:c r="CU59" s="348" t="n">
        <x:f>SUM(CU56:CU58)</x:f>
      </x:c>
      <x:c r="CV59" s="348" t="n">
        <x:f>SUM(CV56:CV58)</x:f>
      </x:c>
      <x:c r="CW59" s="348" t="n">
        <x:f>SUM(CW56:CW58)</x:f>
      </x:c>
      <x:c r="CX59" s="348" t="n">
        <x:f>SUM(CX56:CX58)</x:f>
      </x:c>
      <x:c r="CY59" s="348" t="n">
        <x:f>SUM(CY56:CY58)</x:f>
      </x:c>
      <x:c r="CZ59" s="348" t="n">
        <x:f>SUM(CZ56:CZ58)</x:f>
      </x:c>
      <x:c r="DA59" s="348" t="n">
        <x:f>SUM(DA56:DA58)</x:f>
      </x:c>
      <x:c r="DB59" s="348" t="n">
        <x:f>SUM(DB56:DB58)</x:f>
      </x:c>
      <x:c r="DC59" s="348" t="n">
        <x:f>SUM(DC56:DC58)</x:f>
      </x:c>
      <x:c r="DD59" s="348" t="n">
        <x:f>SUM(DD56:DD58)</x:f>
      </x:c>
      <x:c r="DE59" s="348" t="n">
        <x:f>SUM(DE56:DE58)</x:f>
      </x:c>
      <x:c r="DF59" s="348" t="n">
        <x:f>SUM(DF56:DF58)</x:f>
      </x:c>
      <x:c r="DG59" s="348" t="n">
        <x:f>SUM(DG56:DG58)</x:f>
      </x:c>
      <x:c r="DH59" s="348" t="n">
        <x:f>SUM(DH56:DH58)</x:f>
      </x:c>
      <x:c r="DI59" s="348" t="n">
        <x:f>SUM(DI56:DI58)</x:f>
      </x:c>
      <x:c r="DJ59" s="348" t="n">
        <x:f>SUM(DJ56:DJ58)</x:f>
      </x:c>
      <x:c r="DK59" s="348" t="n">
        <x:f>SUM(DK56:DK58)</x:f>
      </x:c>
      <x:c r="DL59" s="348" t="n">
        <x:f>SUM(DL56:DL58)</x:f>
      </x:c>
      <x:c r="DM59" s="348" t="n">
        <x:f>SUM(DM56:DM58)</x:f>
      </x:c>
      <x:c r="DN59" s="348" t="n">
        <x:f>SUM(DN56:DN58)</x:f>
      </x:c>
      <x:c r="DO59" s="348" t="n">
        <x:f>SUM(DO56:DO58)</x:f>
      </x:c>
      <x:c r="DP59" s="348" t="n">
        <x:f>SUM(DP56:DP58)</x:f>
      </x:c>
      <x:c r="DQ59" s="348" t="n">
        <x:f>SUM(DQ56:DQ58)</x:f>
      </x:c>
      <x:c r="DR59" s="348" t="n">
        <x:f>SUM(DR56:DR58)</x:f>
      </x:c>
      <x:c r="DS59" s="348" t="n">
        <x:f>SUM(DS56:DS58)</x:f>
      </x:c>
    </x:row>
    <x:row r="62" ht="21" customHeight="1">
      <x:c r="A62" s="281" t="str">
        <x:v>НАЗЕМНЫЙ МНОГОЭТАЖНЫЙ ПАРКИНГ</x:v>
      </x:c>
      <x:c r="B62" s="282" t="str">
        <x:v>НАЗЕМНЫЙ МНОГОЭТАЖНЫЙ ПАРКИНГ</x:v>
      </x:c>
      <x:c r="C62" s="282" t="str">
        <x:v>НАЗЕМНЫЙ МНОГОЭТАЖНЫЙ ПАРКИНГ</x:v>
      </x:c>
      <x:c r="D62" s="282" t="str">
        <x:v>НАЗЕМНЫЙ МНОГОЭТАЖНЫЙ ПАРКИНГ</x:v>
      </x:c>
      <x:c r="E62" s="282" t="str">
        <x:v>НАЗЕМНЫЙ МНОГОЭТАЖНЫЙ ПАРКИНГ</x:v>
      </x:c>
      <x:c r="F62" s="282" t="str">
        <x:v>НАЗЕМНЫЙ МНОГОЭТАЖНЫЙ ПАРКИНГ</x:v>
      </x:c>
      <x:c r="G62" s="282" t="str">
        <x:v>НАЗЕМНЫЙ МНОГОЭТАЖНЫЙ ПАРКИНГ</x:v>
      </x:c>
      <x:c r="H62" s="282" t="str">
        <x:v>НАЗЕМНЫЙ МНОГОЭТАЖНЫЙ ПАРКИНГ</x:v>
      </x:c>
      <x:c r="I62" s="282" t="str">
        <x:v>НАЗЕМНЫЙ МНОГОЭТАЖНЫЙ ПАРКИНГ</x:v>
      </x:c>
      <x:c r="J62" s="282" t="str">
        <x:v>НАЗЕМНЫЙ МНОГОЭТАЖНЫЙ ПАРКИНГ</x:v>
      </x:c>
      <x:c r="K62" s="282" t="str">
        <x:v>НАЗЕМНЫЙ МНОГОЭТАЖНЫЙ ПАРКИНГ</x:v>
      </x:c>
      <x:c r="L62" s="282" t="str">
        <x:v>НАЗЕМНЫЙ МНОГОЭТАЖНЫЙ ПАРКИНГ</x:v>
      </x:c>
      <x:c r="M62" s="282" t="str">
        <x:v>НАЗЕМНЫЙ МНОГОЭТАЖНЫЙ ПАРКИНГ</x:v>
      </x:c>
      <x:c r="N62" s="282" t="str">
        <x:v>НАЗЕМНЫЙ МНОГОЭТАЖНЫЙ ПАРКИНГ</x:v>
      </x:c>
      <x:c r="O62" s="282" t="str">
        <x:v>НАЗЕМНЫЙ МНОГОЭТАЖНЫЙ ПАРКИНГ</x:v>
      </x:c>
      <x:c r="P62" s="282" t="str">
        <x:v>НАЗЕМНЫЙ МНОГОЭТАЖНЫЙ ПАРКИНГ</x:v>
      </x:c>
      <x:c r="Q62" s="282" t="str">
        <x:v>НАЗЕМНЫЙ МНОГОЭТАЖНЫЙ ПАРКИНГ</x:v>
      </x:c>
      <x:c r="R62" s="282" t="str">
        <x:v>НАЗЕМНЫЙ МНОГОЭТАЖНЫЙ ПАРКИНГ</x:v>
      </x:c>
      <x:c r="S62" s="282" t="str">
        <x:v>НАЗЕМНЫЙ МНОГОЭТАЖНЫЙ ПАРКИНГ</x:v>
      </x:c>
      <x:c r="T62" s="282" t="str">
        <x:v>НАЗЕМНЫЙ МНОГОЭТАЖНЫЙ ПАРКИНГ</x:v>
      </x:c>
      <x:c r="U62" s="282" t="str">
        <x:v>НАЗЕМНЫЙ МНОГОЭТАЖНЫЙ ПАРКИНГ</x:v>
      </x:c>
      <x:c r="V62" s="282" t="str">
        <x:v>НАЗЕМНЫЙ МНОГОЭТАЖНЫЙ ПАРКИНГ</x:v>
      </x:c>
      <x:c r="W62" s="282" t="str">
        <x:v>НАЗЕМНЫЙ МНОГОЭТАЖНЫЙ ПАРКИНГ</x:v>
      </x:c>
      <x:c r="X62" s="282" t="str">
        <x:v>НАЗЕМНЫЙ МНОГОЭТАЖНЫЙ ПАРКИНГ</x:v>
      </x:c>
      <x:c r="Y62" s="282" t="str">
        <x:v>НАЗЕМНЫЙ МНОГОЭТАЖНЫЙ ПАРКИНГ</x:v>
      </x:c>
      <x:c r="Z62" s="282" t="str">
        <x:v>НАЗЕМНЫЙ МНОГОЭТАЖНЫЙ ПАРКИНГ</x:v>
      </x:c>
      <x:c r="AA62" s="282" t="str">
        <x:v>НАЗЕМНЫЙ МНОГОЭТАЖНЫЙ ПАРКИНГ</x:v>
      </x:c>
      <x:c r="AB62" s="282" t="str">
        <x:v>НАЗЕМНЫЙ МНОГОЭТАЖНЫЙ ПАРКИНГ</x:v>
      </x:c>
      <x:c r="AC62" s="282" t="str">
        <x:v>НАЗЕМНЫЙ МНОГОЭТАЖНЫЙ ПАРКИНГ</x:v>
      </x:c>
      <x:c r="AD62" s="282" t="str">
        <x:v>НАЗЕМНЫЙ МНОГОЭТАЖНЫЙ ПАРКИНГ</x:v>
      </x:c>
      <x:c r="AE62" s="282" t="str">
        <x:v>НАЗЕМНЫЙ МНОГОЭТАЖНЫЙ ПАРКИНГ</x:v>
      </x:c>
      <x:c r="AF62" s="282" t="str">
        <x:v>НАЗЕМНЫЙ МНОГОЭТАЖНЫЙ ПАРКИНГ</x:v>
      </x:c>
      <x:c r="AG62" s="282" t="str">
        <x:v>НАЗЕМНЫЙ МНОГОЭТАЖНЫЙ ПАРКИНГ</x:v>
      </x:c>
      <x:c r="AH62" s="282" t="str">
        <x:v>НАЗЕМНЫЙ МНОГОЭТАЖНЫЙ ПАРКИНГ</x:v>
      </x:c>
      <x:c r="AI62" s="282" t="str">
        <x:v>НАЗЕМНЫЙ МНОГОЭТАЖНЫЙ ПАРКИНГ</x:v>
      </x:c>
      <x:c r="AJ62" s="282" t="str">
        <x:v>НАЗЕМНЫЙ МНОГОЭТАЖНЫЙ ПАРКИНГ</x:v>
      </x:c>
      <x:c r="AK62" s="282" t="str">
        <x:v>НАЗЕМНЫЙ МНОГОЭТАЖНЫЙ ПАРКИНГ</x:v>
      </x:c>
      <x:c r="AL62" s="282" t="str">
        <x:v>НАЗЕМНЫЙ МНОГОЭТАЖНЫЙ ПАРКИНГ</x:v>
      </x:c>
      <x:c r="AM62" s="282" t="str">
        <x:v>НАЗЕМНЫЙ МНОГОЭТАЖНЫЙ ПАРКИНГ</x:v>
      </x:c>
      <x:c r="AN62" s="282" t="str">
        <x:v>НАЗЕМНЫЙ МНОГОЭТАЖНЫЙ ПАРКИНГ</x:v>
      </x:c>
      <x:c r="AO62" s="282" t="str">
        <x:v>НАЗЕМНЫЙ МНОГОЭТАЖНЫЙ ПАРКИНГ</x:v>
      </x:c>
      <x:c r="AP62" s="282" t="str">
        <x:v>НАЗЕМНЫЙ МНОГОЭТАЖНЫЙ ПАРКИНГ</x:v>
      </x:c>
      <x:c r="AQ62" s="282" t="str">
        <x:v>НАЗЕМНЫЙ МНОГОЭТАЖНЫЙ ПАРКИНГ</x:v>
      </x:c>
      <x:c r="AR62" s="282" t="str">
        <x:v>НАЗЕМНЫЙ МНОГОЭТАЖНЫЙ ПАРКИНГ</x:v>
      </x:c>
      <x:c r="AS62" s="282" t="str">
        <x:v>НАЗЕМНЫЙ МНОГОЭТАЖНЫЙ ПАРКИНГ</x:v>
      </x:c>
      <x:c r="AT62" s="282" t="str">
        <x:v>НАЗЕМНЫЙ МНОГОЭТАЖНЫЙ ПАРКИНГ</x:v>
      </x:c>
      <x:c r="AU62" s="282" t="str">
        <x:v>НАЗЕМНЫЙ МНОГОЭТАЖНЫЙ ПАРКИНГ</x:v>
      </x:c>
      <x:c r="AV62" s="282" t="str">
        <x:v>НАЗЕМНЫЙ МНОГОЭТАЖНЫЙ ПАРКИНГ</x:v>
      </x:c>
      <x:c r="AW62" s="282" t="str">
        <x:v>НАЗЕМНЫЙ МНОГОЭТАЖНЫЙ ПАРКИНГ</x:v>
      </x:c>
      <x:c r="AX62" s="282" t="str">
        <x:v>НАЗЕМНЫЙ МНОГОЭТАЖНЫЙ ПАРКИНГ</x:v>
      </x:c>
      <x:c r="AY62" s="282" t="str">
        <x:v>НАЗЕМНЫЙ МНОГОЭТАЖНЫЙ ПАРКИНГ</x:v>
      </x:c>
      <x:c r="AZ62" s="282" t="str">
        <x:v>НАЗЕМНЫЙ МНОГОЭТАЖНЫЙ ПАРКИНГ</x:v>
      </x:c>
      <x:c r="BA62" s="282" t="str">
        <x:v>НАЗЕМНЫЙ МНОГОЭТАЖНЫЙ ПАРКИНГ</x:v>
      </x:c>
      <x:c r="BB62" s="282" t="str">
        <x:v>НАЗЕМНЫЙ МНОГОЭТАЖНЫЙ ПАРКИНГ</x:v>
      </x:c>
      <x:c r="BC62" s="282" t="str">
        <x:v>НАЗЕМНЫЙ МНОГОЭТАЖНЫЙ ПАРКИНГ</x:v>
      </x:c>
      <x:c r="BD62" s="282" t="str">
        <x:v>НАЗЕМНЫЙ МНОГОЭТАЖНЫЙ ПАРКИНГ</x:v>
      </x:c>
      <x:c r="BE62" s="282" t="str">
        <x:v>НАЗЕМНЫЙ МНОГОЭТАЖНЫЙ ПАРКИНГ</x:v>
      </x:c>
      <x:c r="BF62" s="282" t="str">
        <x:v>НАЗЕМНЫЙ МНОГОЭТАЖНЫЙ ПАРКИНГ</x:v>
      </x:c>
      <x:c r="BG62" s="282" t="str">
        <x:v>НАЗЕМНЫЙ МНОГОЭТАЖНЫЙ ПАРКИНГ</x:v>
      </x:c>
      <x:c r="BH62" s="282" t="str">
        <x:v>НАЗЕМНЫЙ МНОГОЭТАЖНЫЙ ПАРКИНГ</x:v>
      </x:c>
      <x:c r="BI62" s="282" t="str">
        <x:v>НАЗЕМНЫЙ МНОГОЭТАЖНЫЙ ПАРКИНГ</x:v>
      </x:c>
      <x:c r="BJ62" s="282" t="str">
        <x:v>НАЗЕМНЫЙ МНОГОЭТАЖНЫЙ ПАРКИНГ</x:v>
      </x:c>
      <x:c r="BK62" s="282" t="str">
        <x:v>НАЗЕМНЫЙ МНОГОЭТАЖНЫЙ ПАРКИНГ</x:v>
      </x:c>
      <x:c r="BL62" s="282" t="str">
        <x:v>НАЗЕМНЫЙ МНОГОЭТАЖНЫЙ ПАРКИНГ</x:v>
      </x:c>
      <x:c r="BM62" s="282" t="str">
        <x:v>НАЗЕМНЫЙ МНОГОЭТАЖНЫЙ ПАРКИНГ</x:v>
      </x:c>
      <x:c r="BN62" s="282" t="str">
        <x:v>НАЗЕМНЫЙ МНОГОЭТАЖНЫЙ ПАРКИНГ</x:v>
      </x:c>
      <x:c r="BO62" s="282" t="str">
        <x:v>НАЗЕМНЫЙ МНОГОЭТАЖНЫЙ ПАРКИНГ</x:v>
      </x:c>
      <x:c r="BP62" s="282" t="str">
        <x:v>НАЗЕМНЫЙ МНОГОЭТАЖНЫЙ ПАРКИНГ</x:v>
      </x:c>
      <x:c r="BQ62" s="282" t="str">
        <x:v>НАЗЕМНЫЙ МНОГОЭТАЖНЫЙ ПАРКИНГ</x:v>
      </x:c>
      <x:c r="BR62" s="282" t="str">
        <x:v>НАЗЕМНЫЙ МНОГОЭТАЖНЫЙ ПАРКИНГ</x:v>
      </x:c>
      <x:c r="BS62" s="282" t="str">
        <x:v>НАЗЕМНЫЙ МНОГОЭТАЖНЫЙ ПАРКИНГ</x:v>
      </x:c>
      <x:c r="BT62" s="282" t="str">
        <x:v>НАЗЕМНЫЙ МНОГОЭТАЖНЫЙ ПАРКИНГ</x:v>
      </x:c>
      <x:c r="BU62" s="282" t="str">
        <x:v>НАЗЕМНЫЙ МНОГОЭТАЖНЫЙ ПАРКИНГ</x:v>
      </x:c>
      <x:c r="BV62" s="282" t="str">
        <x:v>НАЗЕМНЫЙ МНОГОЭТАЖНЫЙ ПАРКИНГ</x:v>
      </x:c>
      <x:c r="BW62" s="282" t="str">
        <x:v>НАЗЕМНЫЙ МНОГОЭТАЖНЫЙ ПАРКИНГ</x:v>
      </x:c>
      <x:c r="BX62" s="282" t="str">
        <x:v>НАЗЕМНЫЙ МНОГОЭТАЖНЫЙ ПАРКИНГ</x:v>
      </x:c>
      <x:c r="BY62" s="282" t="str">
        <x:v>НАЗЕМНЫЙ МНОГОЭТАЖНЫЙ ПАРКИНГ</x:v>
      </x:c>
      <x:c r="BZ62" s="282" t="str">
        <x:v>НАЗЕМНЫЙ МНОГОЭТАЖНЫЙ ПАРКИНГ</x:v>
      </x:c>
      <x:c r="CA62" s="282" t="str">
        <x:v>НАЗЕМНЫЙ МНОГОЭТАЖНЫЙ ПАРКИНГ</x:v>
      </x:c>
      <x:c r="CB62" s="282" t="str">
        <x:v>НАЗЕМНЫЙ МНОГОЭТАЖНЫЙ ПАРКИНГ</x:v>
      </x:c>
      <x:c r="CC62" s="282" t="str">
        <x:v>НАЗЕМНЫЙ МНОГОЭТАЖНЫЙ ПАРКИНГ</x:v>
      </x:c>
      <x:c r="CD62" s="282" t="str">
        <x:v>НАЗЕМНЫЙ МНОГОЭТАЖНЫЙ ПАРКИНГ</x:v>
      </x:c>
      <x:c r="CE62" s="282" t="str">
        <x:v>НАЗЕМНЫЙ МНОГОЭТАЖНЫЙ ПАРКИНГ</x:v>
      </x:c>
      <x:c r="CF62" s="282" t="str">
        <x:v>НАЗЕМНЫЙ МНОГОЭТАЖНЫЙ ПАРКИНГ</x:v>
      </x:c>
      <x:c r="CG62" s="282" t="str">
        <x:v>НАЗЕМНЫЙ МНОГОЭТАЖНЫЙ ПАРКИНГ</x:v>
      </x:c>
      <x:c r="CH62" s="282" t="str">
        <x:v>НАЗЕМНЫЙ МНОГОЭТАЖНЫЙ ПАРКИНГ</x:v>
      </x:c>
      <x:c r="CI62" s="282" t="str">
        <x:v>НАЗЕМНЫЙ МНОГОЭТАЖНЫЙ ПАРКИНГ</x:v>
      </x:c>
      <x:c r="CJ62" s="282" t="str">
        <x:v>НАЗЕМНЫЙ МНОГОЭТАЖНЫЙ ПАРКИНГ</x:v>
      </x:c>
      <x:c r="CK62" s="282" t="str">
        <x:v>НАЗЕМНЫЙ МНОГОЭТАЖНЫЙ ПАРКИНГ</x:v>
      </x:c>
      <x:c r="CL62" s="282" t="str">
        <x:v>НАЗЕМНЫЙ МНОГОЭТАЖНЫЙ ПАРКИНГ</x:v>
      </x:c>
      <x:c r="CM62" s="282" t="str">
        <x:v>НАЗЕМНЫЙ МНОГОЭТАЖНЫЙ ПАРКИНГ</x:v>
      </x:c>
      <x:c r="CN62" s="282" t="str">
        <x:v>НАЗЕМНЫЙ МНОГОЭТАЖНЫЙ ПАРКИНГ</x:v>
      </x:c>
      <x:c r="CO62" s="282" t="str">
        <x:v>НАЗЕМНЫЙ МНОГОЭТАЖНЫЙ ПАРКИНГ</x:v>
      </x:c>
      <x:c r="CP62" s="282" t="str">
        <x:v>НАЗЕМНЫЙ МНОГОЭТАЖНЫЙ ПАРКИНГ</x:v>
      </x:c>
      <x:c r="CQ62" s="282" t="str">
        <x:v>НАЗЕМНЫЙ МНОГОЭТАЖНЫЙ ПАРКИНГ</x:v>
      </x:c>
      <x:c r="CR62" s="282" t="str">
        <x:v>НАЗЕМНЫЙ МНОГОЭТАЖНЫЙ ПАРКИНГ</x:v>
      </x:c>
      <x:c r="CS62" s="282" t="str">
        <x:v>НАЗЕМНЫЙ МНОГОЭТАЖНЫЙ ПАРКИНГ</x:v>
      </x:c>
      <x:c r="CT62" s="282" t="str">
        <x:v>НАЗЕМНЫЙ МНОГОЭТАЖНЫЙ ПАРКИНГ</x:v>
      </x:c>
      <x:c r="CU62" s="282" t="str">
        <x:v>НАЗЕМНЫЙ МНОГОЭТАЖНЫЙ ПАРКИНГ</x:v>
      </x:c>
      <x:c r="CV62" s="282" t="str">
        <x:v>НАЗЕМНЫЙ МНОГОЭТАЖНЫЙ ПАРКИНГ</x:v>
      </x:c>
      <x:c r="CW62" s="282" t="str">
        <x:v>НАЗЕМНЫЙ МНОГОЭТАЖНЫЙ ПАРКИНГ</x:v>
      </x:c>
      <x:c r="CX62" s="282" t="str">
        <x:v>НАЗЕМНЫЙ МНОГОЭТАЖНЫЙ ПАРКИНГ</x:v>
      </x:c>
      <x:c r="CY62" s="282" t="str">
        <x:v>НАЗЕМНЫЙ МНОГОЭТАЖНЫЙ ПАРКИНГ</x:v>
      </x:c>
      <x:c r="CZ62" s="282" t="str">
        <x:v>НАЗЕМНЫЙ МНОГОЭТАЖНЫЙ ПАРКИНГ</x:v>
      </x:c>
      <x:c r="DA62" s="282" t="str">
        <x:v>НАЗЕМНЫЙ МНОГОЭТАЖНЫЙ ПАРКИНГ</x:v>
      </x:c>
      <x:c r="DB62" s="282" t="str">
        <x:v>НАЗЕМНЫЙ МНОГОЭТАЖНЫЙ ПАРКИНГ</x:v>
      </x:c>
      <x:c r="DC62" s="282" t="str">
        <x:v>НАЗЕМНЫЙ МНОГОЭТАЖНЫЙ ПАРКИНГ</x:v>
      </x:c>
      <x:c r="DD62" s="282" t="str">
        <x:v>НАЗЕМНЫЙ МНОГОЭТАЖНЫЙ ПАРКИНГ</x:v>
      </x:c>
      <x:c r="DE62" s="282" t="str">
        <x:v>НАЗЕМНЫЙ МНОГОЭТАЖНЫЙ ПАРКИНГ</x:v>
      </x:c>
      <x:c r="DF62" s="282" t="str">
        <x:v>НАЗЕМНЫЙ МНОГОЭТАЖНЫЙ ПАРКИНГ</x:v>
      </x:c>
      <x:c r="DG62" s="282" t="str">
        <x:v>НАЗЕМНЫЙ МНОГОЭТАЖНЫЙ ПАРКИНГ</x:v>
      </x:c>
      <x:c r="DH62" s="282" t="str">
        <x:v>НАЗЕМНЫЙ МНОГОЭТАЖНЫЙ ПАРКИНГ</x:v>
      </x:c>
      <x:c r="DI62" s="282" t="str">
        <x:v>НАЗЕМНЫЙ МНОГОЭТАЖНЫЙ ПАРКИНГ</x:v>
      </x:c>
      <x:c r="DJ62" s="282" t="str">
        <x:v>НАЗЕМНЫЙ МНОГОЭТАЖНЫЙ ПАРКИНГ</x:v>
      </x:c>
      <x:c r="DK62" s="282" t="str">
        <x:v>НАЗЕМНЫЙ МНОГОЭТАЖНЫЙ ПАРКИНГ</x:v>
      </x:c>
      <x:c r="DL62" s="282" t="str">
        <x:v>НАЗЕМНЫЙ МНОГОЭТАЖНЫЙ ПАРКИНГ</x:v>
      </x:c>
      <x:c r="DM62" s="282" t="str">
        <x:v>НАЗЕМНЫЙ МНОГОЭТАЖНЫЙ ПАРКИНГ</x:v>
      </x:c>
      <x:c r="DN62" s="282" t="str">
        <x:v>НАЗЕМНЫЙ МНОГОЭТАЖНЫЙ ПАРКИНГ</x:v>
      </x:c>
      <x:c r="DO62" s="282" t="str">
        <x:v>НАЗЕМНЫЙ МНОГОЭТАЖНЫЙ ПАРКИНГ</x:v>
      </x:c>
      <x:c r="DP62" s="282" t="str">
        <x:v>НАЗЕМНЫЙ МНОГОЭТАЖНЫЙ ПАРКИНГ</x:v>
      </x:c>
      <x:c r="DQ62" s="282" t="str">
        <x:v>НАЗЕМНЫЙ МНОГОЭТАЖНЫЙ ПАРКИНГ</x:v>
      </x:c>
      <x:c r="DR62" s="282" t="str">
        <x:v>НАЗЕМНЫЙ МНОГОЭТАЖНЫЙ ПАРКИНГ</x:v>
      </x:c>
      <x:c r="DS62" s="283" t="str">
        <x:v>НАЗЕМНЫЙ МНОГОЭТАЖНЫЙ ПАРКИНГ</x:v>
      </x:c>
    </x:row>
    <x:row r="63">
      <x:c r="A63" t="str">
        <x:v>Объект включён</x:v>
      </x:c>
      <x:c r="B63" t="str">
        <x:f>'Вводные'!$K$60</x:f>
      </x:c>
      <x:c r="C63" t="str">
        <x:v>Да / Нет</x:v>
      </x:c>
    </x:row>
    <x:row r="64">
      <x:c r="A64" t="str">
        <x:v>Очередь финансирования</x:v>
      </x:c>
      <x:c r="B64" t="n">
        <x:f>'Вводные'!$K$61</x:f>
      </x:c>
      <x:c r="C64" t="str">
        <x:v>1–3</x:v>
      </x:c>
    </x:row>
    <x:row r="65">
      <x:c r="A65" t="str">
        <x:v>Начало строительства</x:v>
      </x:c>
      <x:c r="B65" s="92" t="n">
        <x:f>EDATE('Вводные'!$K$68,'Вводные'!$H$9)</x:f>
      </x:c>
      <x:c r="C65" t="str">
        <x:v>дата</x:v>
      </x:c>
    </x:row>
    <x:row r="66">
      <x:c r="A66" t="str">
        <x:v>РВЭ</x:v>
      </x:c>
      <x:c r="B66" s="92" t="n">
        <x:f>EDATE(B65,'Вводные'!$K$69)</x:f>
      </x:c>
      <x:c r="C66" t="str">
        <x:v>дата</x:v>
      </x:c>
    </x:row>
    <x:row r="67">
      <x:c r="A67" t="str">
        <x:v>Старт продаж</x:v>
      </x:c>
      <x:c r="B67" s="92" t="n">
        <x:f>EDATE('Вводные'!$K$70,'Вводные'!$H$9)</x:f>
      </x:c>
      <x:c r="C67" t="str">
        <x:v>дата</x:v>
      </x:c>
    </x:row>
    <x:row r="68">
      <x:c r="A68" t="str">
        <x:v>Расчётная общая площадь (GBA)</x:v>
      </x:c>
      <x:c r="B68" s="132" t="n">
        <x:f>'Вводные'!$K$66</x:f>
      </x:c>
      <x:c r="C68" t="str">
        <x:v>м²</x:v>
      </x:c>
    </x:row>
    <x:row r="69">
      <x:c r="A69" t="str">
        <x:v>Расчётное количество машино-мест</x:v>
      </x:c>
      <x:c r="B69" s="132" t="n">
        <x:f>'Вводные'!$K$65</x:f>
      </x:c>
      <x:c r="C69" t="str">
        <x:v>шт.</x:v>
      </x:c>
    </x:row>
    <x:row r="70">
      <x:c r="A70" t="str">
        <x:v>Флаг строительства</x:v>
      </x:c>
      <x:c r="B70"/>
      <x:c r="C70" t="str">
        <x:v>0 / 1</x:v>
      </x:c>
      <x:c r="D70" t="n">
        <x:f>--AND(D$3&gt;=$B$65,D$3&lt;$B$66,AND($B$63="Да",IFERROR(INDEX('Вводные'!$B$88:$B$91,$B$64),"Нет")="Да"))</x:f>
      </x:c>
      <x:c r="E70" t="n">
        <x:f>--AND(E$3&gt;=$B$65,E$3&lt;$B$66,AND($B$63="Да",IFERROR(INDEX('Вводные'!$B$88:$B$91,$B$64),"Нет")="Да"))</x:f>
      </x:c>
      <x:c r="F70" t="n">
        <x:f>--AND(F$3&gt;=$B$65,F$3&lt;$B$66,AND($B$63="Да",IFERROR(INDEX('Вводные'!$B$88:$B$91,$B$64),"Нет")="Да"))</x:f>
      </x:c>
      <x:c r="G70" t="n">
        <x:f>--AND(G$3&gt;=$B$65,G$3&lt;$B$66,AND($B$63="Да",IFERROR(INDEX('Вводные'!$B$88:$B$91,$B$64),"Нет")="Да"))</x:f>
      </x:c>
      <x:c r="H70" t="n">
        <x:f>--AND(H$3&gt;=$B$65,H$3&lt;$B$66,AND($B$63="Да",IFERROR(INDEX('Вводные'!$B$88:$B$91,$B$64),"Нет")="Да"))</x:f>
      </x:c>
      <x:c r="I70" t="n">
        <x:f>--AND(I$3&gt;=$B$65,I$3&lt;$B$66,AND($B$63="Да",IFERROR(INDEX('Вводные'!$B$88:$B$91,$B$64),"Нет")="Да"))</x:f>
      </x:c>
      <x:c r="J70" t="n">
        <x:f>--AND(J$3&gt;=$B$65,J$3&lt;$B$66,AND($B$63="Да",IFERROR(INDEX('Вводные'!$B$88:$B$91,$B$64),"Нет")="Да"))</x:f>
      </x:c>
      <x:c r="K70" t="n">
        <x:f>--AND(K$3&gt;=$B$65,K$3&lt;$B$66,AND($B$63="Да",IFERROR(INDEX('Вводные'!$B$88:$B$91,$B$64),"Нет")="Да"))</x:f>
      </x:c>
      <x:c r="L70" t="n">
        <x:f>--AND(L$3&gt;=$B$65,L$3&lt;$B$66,AND($B$63="Да",IFERROR(INDEX('Вводные'!$B$88:$B$91,$B$64),"Нет")="Да"))</x:f>
      </x:c>
      <x:c r="M70" t="n">
        <x:f>--AND(M$3&gt;=$B$65,M$3&lt;$B$66,AND($B$63="Да",IFERROR(INDEX('Вводные'!$B$88:$B$91,$B$64),"Нет")="Да"))</x:f>
      </x:c>
      <x:c r="N70" t="n">
        <x:f>--AND(N$3&gt;=$B$65,N$3&lt;$B$66,AND($B$63="Да",IFERROR(INDEX('Вводные'!$B$88:$B$91,$B$64),"Нет")="Да"))</x:f>
      </x:c>
      <x:c r="O70" t="n">
        <x:f>--AND(O$3&gt;=$B$65,O$3&lt;$B$66,AND($B$63="Да",IFERROR(INDEX('Вводные'!$B$88:$B$91,$B$64),"Нет")="Да"))</x:f>
      </x:c>
      <x:c r="P70" t="n">
        <x:f>--AND(P$3&gt;=$B$65,P$3&lt;$B$66,AND($B$63="Да",IFERROR(INDEX('Вводные'!$B$88:$B$91,$B$64),"Нет")="Да"))</x:f>
      </x:c>
      <x:c r="Q70" t="n">
        <x:f>--AND(Q$3&gt;=$B$65,Q$3&lt;$B$66,AND($B$63="Да",IFERROR(INDEX('Вводные'!$B$88:$B$91,$B$64),"Нет")="Да"))</x:f>
      </x:c>
      <x:c r="R70" t="n">
        <x:f>--AND(R$3&gt;=$B$65,R$3&lt;$B$66,AND($B$63="Да",IFERROR(INDEX('Вводные'!$B$88:$B$91,$B$64),"Нет")="Да"))</x:f>
      </x:c>
      <x:c r="S70" t="n">
        <x:f>--AND(S$3&gt;=$B$65,S$3&lt;$B$66,AND($B$63="Да",IFERROR(INDEX('Вводные'!$B$88:$B$91,$B$64),"Нет")="Да"))</x:f>
      </x:c>
      <x:c r="T70" t="n">
        <x:f>--AND(T$3&gt;=$B$65,T$3&lt;$B$66,AND($B$63="Да",IFERROR(INDEX('Вводные'!$B$88:$B$91,$B$64),"Нет")="Да"))</x:f>
      </x:c>
      <x:c r="U70" t="n">
        <x:f>--AND(U$3&gt;=$B$65,U$3&lt;$B$66,AND($B$63="Да",IFERROR(INDEX('Вводные'!$B$88:$B$91,$B$64),"Нет")="Да"))</x:f>
      </x:c>
      <x:c r="V70" t="n">
        <x:f>--AND(V$3&gt;=$B$65,V$3&lt;$B$66,AND($B$63="Да",IFERROR(INDEX('Вводные'!$B$88:$B$91,$B$64),"Нет")="Да"))</x:f>
      </x:c>
      <x:c r="W70" t="n">
        <x:f>--AND(W$3&gt;=$B$65,W$3&lt;$B$66,AND($B$63="Да",IFERROR(INDEX('Вводные'!$B$88:$B$91,$B$64),"Нет")="Да"))</x:f>
      </x:c>
      <x:c r="X70" t="n">
        <x:f>--AND(X$3&gt;=$B$65,X$3&lt;$B$66,AND($B$63="Да",IFERROR(INDEX('Вводные'!$B$88:$B$91,$B$64),"Нет")="Да"))</x:f>
      </x:c>
      <x:c r="Y70" t="n">
        <x:f>--AND(Y$3&gt;=$B$65,Y$3&lt;$B$66,AND($B$63="Да",IFERROR(INDEX('Вводные'!$B$88:$B$91,$B$64),"Нет")="Да"))</x:f>
      </x:c>
      <x:c r="Z70" t="n">
        <x:f>--AND(Z$3&gt;=$B$65,Z$3&lt;$B$66,AND($B$63="Да",IFERROR(INDEX('Вводные'!$B$88:$B$91,$B$64),"Нет")="Да"))</x:f>
      </x:c>
      <x:c r="AA70" t="n">
        <x:f>--AND(AA$3&gt;=$B$65,AA$3&lt;$B$66,AND($B$63="Да",IFERROR(INDEX('Вводные'!$B$88:$B$91,$B$64),"Нет")="Да"))</x:f>
      </x:c>
      <x:c r="AB70" t="n">
        <x:f>--AND(AB$3&gt;=$B$65,AB$3&lt;$B$66,AND($B$63="Да",IFERROR(INDEX('Вводные'!$B$88:$B$91,$B$64),"Нет")="Да"))</x:f>
      </x:c>
      <x:c r="AC70" t="n">
        <x:f>--AND(AC$3&gt;=$B$65,AC$3&lt;$B$66,AND($B$63="Да",IFERROR(INDEX('Вводные'!$B$88:$B$91,$B$64),"Нет")="Да"))</x:f>
      </x:c>
      <x:c r="AD70" t="n">
        <x:f>--AND(AD$3&gt;=$B$65,AD$3&lt;$B$66,AND($B$63="Да",IFERROR(INDEX('Вводные'!$B$88:$B$91,$B$64),"Нет")="Да"))</x:f>
      </x:c>
      <x:c r="AE70" t="n">
        <x:f>--AND(AE$3&gt;=$B$65,AE$3&lt;$B$66,AND($B$63="Да",IFERROR(INDEX('Вводные'!$B$88:$B$91,$B$64),"Нет")="Да"))</x:f>
      </x:c>
      <x:c r="AF70" t="n">
        <x:f>--AND(AF$3&gt;=$B$65,AF$3&lt;$B$66,AND($B$63="Да",IFERROR(INDEX('Вводные'!$B$88:$B$91,$B$64),"Нет")="Да"))</x:f>
      </x:c>
      <x:c r="AG70" t="n">
        <x:f>--AND(AG$3&gt;=$B$65,AG$3&lt;$B$66,AND($B$63="Да",IFERROR(INDEX('Вводные'!$B$88:$B$91,$B$64),"Нет")="Да"))</x:f>
      </x:c>
      <x:c r="AH70" t="n">
        <x:f>--AND(AH$3&gt;=$B$65,AH$3&lt;$B$66,AND($B$63="Да",IFERROR(INDEX('Вводные'!$B$88:$B$91,$B$64),"Нет")="Да"))</x:f>
      </x:c>
      <x:c r="AI70" t="n">
        <x:f>--AND(AI$3&gt;=$B$65,AI$3&lt;$B$66,AND($B$63="Да",IFERROR(INDEX('Вводные'!$B$88:$B$91,$B$64),"Нет")="Да"))</x:f>
      </x:c>
      <x:c r="AJ70" t="n">
        <x:f>--AND(AJ$3&gt;=$B$65,AJ$3&lt;$B$66,AND($B$63="Да",IFERROR(INDEX('Вводные'!$B$88:$B$91,$B$64),"Нет")="Да"))</x:f>
      </x:c>
      <x:c r="AK70" t="n">
        <x:f>--AND(AK$3&gt;=$B$65,AK$3&lt;$B$66,AND($B$63="Да",IFERROR(INDEX('Вводные'!$B$88:$B$91,$B$64),"Нет")="Да"))</x:f>
      </x:c>
      <x:c r="AL70" t="n">
        <x:f>--AND(AL$3&gt;=$B$65,AL$3&lt;$B$66,AND($B$63="Да",IFERROR(INDEX('Вводные'!$B$88:$B$91,$B$64),"Нет")="Да"))</x:f>
      </x:c>
      <x:c r="AM70" t="n">
        <x:f>--AND(AM$3&gt;=$B$65,AM$3&lt;$B$66,AND($B$63="Да",IFERROR(INDEX('Вводные'!$B$88:$B$91,$B$64),"Нет")="Да"))</x:f>
      </x:c>
      <x:c r="AN70" t="n">
        <x:f>--AND(AN$3&gt;=$B$65,AN$3&lt;$B$66,AND($B$63="Да",IFERROR(INDEX('Вводные'!$B$88:$B$91,$B$64),"Нет")="Да"))</x:f>
      </x:c>
      <x:c r="AO70" t="n">
        <x:f>--AND(AO$3&gt;=$B$65,AO$3&lt;$B$66,AND($B$63="Да",IFERROR(INDEX('Вводные'!$B$88:$B$91,$B$64),"Нет")="Да"))</x:f>
      </x:c>
      <x:c r="AP70" t="n">
        <x:f>--AND(AP$3&gt;=$B$65,AP$3&lt;$B$66,AND($B$63="Да",IFERROR(INDEX('Вводные'!$B$88:$B$91,$B$64),"Нет")="Да"))</x:f>
      </x:c>
      <x:c r="AQ70" t="n">
        <x:f>--AND(AQ$3&gt;=$B$65,AQ$3&lt;$B$66,AND($B$63="Да",IFERROR(INDEX('Вводные'!$B$88:$B$91,$B$64),"Нет")="Да"))</x:f>
      </x:c>
      <x:c r="AR70" t="n">
        <x:f>--AND(AR$3&gt;=$B$65,AR$3&lt;$B$66,AND($B$63="Да",IFERROR(INDEX('Вводные'!$B$88:$B$91,$B$64),"Нет")="Да"))</x:f>
      </x:c>
      <x:c r="AS70" t="n">
        <x:f>--AND(AS$3&gt;=$B$65,AS$3&lt;$B$66,AND($B$63="Да",IFERROR(INDEX('Вводные'!$B$88:$B$91,$B$64),"Нет")="Да"))</x:f>
      </x:c>
      <x:c r="AT70" t="n">
        <x:f>--AND(AT$3&gt;=$B$65,AT$3&lt;$B$66,AND($B$63="Да",IFERROR(INDEX('Вводные'!$B$88:$B$91,$B$64),"Нет")="Да"))</x:f>
      </x:c>
      <x:c r="AU70" t="n">
        <x:f>--AND(AU$3&gt;=$B$65,AU$3&lt;$B$66,AND($B$63="Да",IFERROR(INDEX('Вводные'!$B$88:$B$91,$B$64),"Нет")="Да"))</x:f>
      </x:c>
      <x:c r="AV70" t="n">
        <x:f>--AND(AV$3&gt;=$B$65,AV$3&lt;$B$66,AND($B$63="Да",IFERROR(INDEX('Вводные'!$B$88:$B$91,$B$64),"Нет")="Да"))</x:f>
      </x:c>
      <x:c r="AW70" t="n">
        <x:f>--AND(AW$3&gt;=$B$65,AW$3&lt;$B$66,AND($B$63="Да",IFERROR(INDEX('Вводные'!$B$88:$B$91,$B$64),"Нет")="Да"))</x:f>
      </x:c>
      <x:c r="AX70" t="n">
        <x:f>--AND(AX$3&gt;=$B$65,AX$3&lt;$B$66,AND($B$63="Да",IFERROR(INDEX('Вводные'!$B$88:$B$91,$B$64),"Нет")="Да"))</x:f>
      </x:c>
      <x:c r="AY70" t="n">
        <x:f>--AND(AY$3&gt;=$B$65,AY$3&lt;$B$66,AND($B$63="Да",IFERROR(INDEX('Вводные'!$B$88:$B$91,$B$64),"Нет")="Да"))</x:f>
      </x:c>
      <x:c r="AZ70" t="n">
        <x:f>--AND(AZ$3&gt;=$B$65,AZ$3&lt;$B$66,AND($B$63="Да",IFERROR(INDEX('Вводные'!$B$88:$B$91,$B$64),"Нет")="Да"))</x:f>
      </x:c>
      <x:c r="BA70" t="n">
        <x:f>--AND(BA$3&gt;=$B$65,BA$3&lt;$B$66,AND($B$63="Да",IFERROR(INDEX('Вводные'!$B$88:$B$91,$B$64),"Нет")="Да"))</x:f>
      </x:c>
      <x:c r="BB70" t="n">
        <x:f>--AND(BB$3&gt;=$B$65,BB$3&lt;$B$66,AND($B$63="Да",IFERROR(INDEX('Вводные'!$B$88:$B$91,$B$64),"Нет")="Да"))</x:f>
      </x:c>
      <x:c r="BC70" t="n">
        <x:f>--AND(BC$3&gt;=$B$65,BC$3&lt;$B$66,AND($B$63="Да",IFERROR(INDEX('Вводные'!$B$88:$B$91,$B$64),"Нет")="Да"))</x:f>
      </x:c>
      <x:c r="BD70" t="n">
        <x:f>--AND(BD$3&gt;=$B$65,BD$3&lt;$B$66,AND($B$63="Да",IFERROR(INDEX('Вводные'!$B$88:$B$91,$B$64),"Нет")="Да"))</x:f>
      </x:c>
      <x:c r="BE70" t="n">
        <x:f>--AND(BE$3&gt;=$B$65,BE$3&lt;$B$66,AND($B$63="Да",IFERROR(INDEX('Вводные'!$B$88:$B$91,$B$64),"Нет")="Да"))</x:f>
      </x:c>
      <x:c r="BF70" t="n">
        <x:f>--AND(BF$3&gt;=$B$65,BF$3&lt;$B$66,AND($B$63="Да",IFERROR(INDEX('Вводные'!$B$88:$B$91,$B$64),"Нет")="Да"))</x:f>
      </x:c>
      <x:c r="BG70" t="n">
        <x:f>--AND(BG$3&gt;=$B$65,BG$3&lt;$B$66,AND($B$63="Да",IFERROR(INDEX('Вводные'!$B$88:$B$91,$B$64),"Нет")="Да"))</x:f>
      </x:c>
      <x:c r="BH70" t="n">
        <x:f>--AND(BH$3&gt;=$B$65,BH$3&lt;$B$66,AND($B$63="Да",IFERROR(INDEX('Вводные'!$B$88:$B$91,$B$64),"Нет")="Да"))</x:f>
      </x:c>
      <x:c r="BI70" t="n">
        <x:f>--AND(BI$3&gt;=$B$65,BI$3&lt;$B$66,AND($B$63="Да",IFERROR(INDEX('Вводные'!$B$88:$B$91,$B$64),"Нет")="Да"))</x:f>
      </x:c>
      <x:c r="BJ70" t="n">
        <x:f>--AND(BJ$3&gt;=$B$65,BJ$3&lt;$B$66,AND($B$63="Да",IFERROR(INDEX('Вводные'!$B$88:$B$91,$B$64),"Нет")="Да"))</x:f>
      </x:c>
      <x:c r="BK70" t="n">
        <x:f>--AND(BK$3&gt;=$B$65,BK$3&lt;$B$66,AND($B$63="Да",IFERROR(INDEX('Вводные'!$B$88:$B$91,$B$64),"Нет")="Да"))</x:f>
      </x:c>
      <x:c r="BL70" t="n">
        <x:f>--AND(BL$3&gt;=$B$65,BL$3&lt;$B$66,AND($B$63="Да",IFERROR(INDEX('Вводные'!$B$88:$B$91,$B$64),"Нет")="Да"))</x:f>
      </x:c>
      <x:c r="BM70" t="n">
        <x:f>--AND(BM$3&gt;=$B$65,BM$3&lt;$B$66,AND($B$63="Да",IFERROR(INDEX('Вводные'!$B$88:$B$91,$B$64),"Нет")="Да"))</x:f>
      </x:c>
      <x:c r="BN70" t="n">
        <x:f>--AND(BN$3&gt;=$B$65,BN$3&lt;$B$66,AND($B$63="Да",IFERROR(INDEX('Вводные'!$B$88:$B$91,$B$64),"Нет")="Да"))</x:f>
      </x:c>
      <x:c r="BO70" t="n">
        <x:f>--AND(BO$3&gt;=$B$65,BO$3&lt;$B$66,AND($B$63="Да",IFERROR(INDEX('Вводные'!$B$88:$B$91,$B$64),"Нет")="Да"))</x:f>
      </x:c>
      <x:c r="BP70" t="n">
        <x:f>--AND(BP$3&gt;=$B$65,BP$3&lt;$B$66,AND($B$63="Да",IFERROR(INDEX('Вводные'!$B$88:$B$91,$B$64),"Нет")="Да"))</x:f>
      </x:c>
      <x:c r="BQ70" t="n">
        <x:f>--AND(BQ$3&gt;=$B$65,BQ$3&lt;$B$66,AND($B$63="Да",IFERROR(INDEX('Вводные'!$B$88:$B$91,$B$64),"Нет")="Да"))</x:f>
      </x:c>
      <x:c r="BR70" t="n">
        <x:f>--AND(BR$3&gt;=$B$65,BR$3&lt;$B$66,AND($B$63="Да",IFERROR(INDEX('Вводные'!$B$88:$B$91,$B$64),"Нет")="Да"))</x:f>
      </x:c>
      <x:c r="BS70" t="n">
        <x:f>--AND(BS$3&gt;=$B$65,BS$3&lt;$B$66,AND($B$63="Да",IFERROR(INDEX('Вводные'!$B$88:$B$91,$B$64),"Нет")="Да"))</x:f>
      </x:c>
      <x:c r="BT70" t="n">
        <x:f>--AND(BT$3&gt;=$B$65,BT$3&lt;$B$66,AND($B$63="Да",IFERROR(INDEX('Вводные'!$B$88:$B$91,$B$64),"Нет")="Да"))</x:f>
      </x:c>
      <x:c r="BU70" t="n">
        <x:f>--AND(BU$3&gt;=$B$65,BU$3&lt;$B$66,AND($B$63="Да",IFERROR(INDEX('Вводные'!$B$88:$B$91,$B$64),"Нет")="Да"))</x:f>
      </x:c>
      <x:c r="BV70" t="n">
        <x:f>--AND(BV$3&gt;=$B$65,BV$3&lt;$B$66,AND($B$63="Да",IFERROR(INDEX('Вводные'!$B$88:$B$91,$B$64),"Нет")="Да"))</x:f>
      </x:c>
      <x:c r="BW70" t="n">
        <x:f>--AND(BW$3&gt;=$B$65,BW$3&lt;$B$66,AND($B$63="Да",IFERROR(INDEX('Вводные'!$B$88:$B$91,$B$64),"Нет")="Да"))</x:f>
      </x:c>
      <x:c r="BX70" t="n">
        <x:f>--AND(BX$3&gt;=$B$65,BX$3&lt;$B$66,AND($B$63="Да",IFERROR(INDEX('Вводные'!$B$88:$B$91,$B$64),"Нет")="Да"))</x:f>
      </x:c>
      <x:c r="BY70" t="n">
        <x:f>--AND(BY$3&gt;=$B$65,BY$3&lt;$B$66,AND($B$63="Да",IFERROR(INDEX('Вводные'!$B$88:$B$91,$B$64),"Нет")="Да"))</x:f>
      </x:c>
      <x:c r="BZ70" t="n">
        <x:f>--AND(BZ$3&gt;=$B$65,BZ$3&lt;$B$66,AND($B$63="Да",IFERROR(INDEX('Вводные'!$B$88:$B$91,$B$64),"Нет")="Да"))</x:f>
      </x:c>
      <x:c r="CA70" t="n">
        <x:f>--AND(CA$3&gt;=$B$65,CA$3&lt;$B$66,AND($B$63="Да",IFERROR(INDEX('Вводные'!$B$88:$B$91,$B$64),"Нет")="Да"))</x:f>
      </x:c>
      <x:c r="CB70" t="n">
        <x:f>--AND(CB$3&gt;=$B$65,CB$3&lt;$B$66,AND($B$63="Да",IFERROR(INDEX('Вводные'!$B$88:$B$91,$B$64),"Нет")="Да"))</x:f>
      </x:c>
      <x:c r="CC70" t="n">
        <x:f>--AND(CC$3&gt;=$B$65,CC$3&lt;$B$66,AND($B$63="Да",IFERROR(INDEX('Вводные'!$B$88:$B$91,$B$64),"Нет")="Да"))</x:f>
      </x:c>
      <x:c r="CD70" t="n">
        <x:f>--AND(CD$3&gt;=$B$65,CD$3&lt;$B$66,AND($B$63="Да",IFERROR(INDEX('Вводные'!$B$88:$B$91,$B$64),"Нет")="Да"))</x:f>
      </x:c>
      <x:c r="CE70" t="n">
        <x:f>--AND(CE$3&gt;=$B$65,CE$3&lt;$B$66,AND($B$63="Да",IFERROR(INDEX('Вводные'!$B$88:$B$91,$B$64),"Нет")="Да"))</x:f>
      </x:c>
      <x:c r="CF70" t="n">
        <x:f>--AND(CF$3&gt;=$B$65,CF$3&lt;$B$66,AND($B$63="Да",IFERROR(INDEX('Вводные'!$B$88:$B$91,$B$64),"Нет")="Да"))</x:f>
      </x:c>
      <x:c r="CG70" t="n">
        <x:f>--AND(CG$3&gt;=$B$65,CG$3&lt;$B$66,AND($B$63="Да",IFERROR(INDEX('Вводные'!$B$88:$B$91,$B$64),"Нет")="Да"))</x:f>
      </x:c>
      <x:c r="CH70" t="n">
        <x:f>--AND(CH$3&gt;=$B$65,CH$3&lt;$B$66,AND($B$63="Да",IFERROR(INDEX('Вводные'!$B$88:$B$91,$B$64),"Нет")="Да"))</x:f>
      </x:c>
      <x:c r="CI70" t="n">
        <x:f>--AND(CI$3&gt;=$B$65,CI$3&lt;$B$66,AND($B$63="Да",IFERROR(INDEX('Вводные'!$B$88:$B$91,$B$64),"Нет")="Да"))</x:f>
      </x:c>
      <x:c r="CJ70" t="n">
        <x:f>--AND(CJ$3&gt;=$B$65,CJ$3&lt;$B$66,AND($B$63="Да",IFERROR(INDEX('Вводные'!$B$88:$B$91,$B$64),"Нет")="Да"))</x:f>
      </x:c>
      <x:c r="CK70" t="n">
        <x:f>--AND(CK$3&gt;=$B$65,CK$3&lt;$B$66,AND($B$63="Да",IFERROR(INDEX('Вводные'!$B$88:$B$91,$B$64),"Нет")="Да"))</x:f>
      </x:c>
      <x:c r="CL70" t="n">
        <x:f>--AND(CL$3&gt;=$B$65,CL$3&lt;$B$66,AND($B$63="Да",IFERROR(INDEX('Вводные'!$B$88:$B$91,$B$64),"Нет")="Да"))</x:f>
      </x:c>
      <x:c r="CM70" t="n">
        <x:f>--AND(CM$3&gt;=$B$65,CM$3&lt;$B$66,AND($B$63="Да",IFERROR(INDEX('Вводные'!$B$88:$B$91,$B$64),"Нет")="Да"))</x:f>
      </x:c>
      <x:c r="CN70" t="n">
        <x:f>--AND(CN$3&gt;=$B$65,CN$3&lt;$B$66,AND($B$63="Да",IFERROR(INDEX('Вводные'!$B$88:$B$91,$B$64),"Нет")="Да"))</x:f>
      </x:c>
      <x:c r="CO70" t="n">
        <x:f>--AND(CO$3&gt;=$B$65,CO$3&lt;$B$66,AND($B$63="Да",IFERROR(INDEX('Вводные'!$B$88:$B$91,$B$64),"Нет")="Да"))</x:f>
      </x:c>
      <x:c r="CP70" t="n">
        <x:f>--AND(CP$3&gt;=$B$65,CP$3&lt;$B$66,AND($B$63="Да",IFERROR(INDEX('Вводные'!$B$88:$B$91,$B$64),"Нет")="Да"))</x:f>
      </x:c>
      <x:c r="CQ70" t="n">
        <x:f>--AND(CQ$3&gt;=$B$65,CQ$3&lt;$B$66,AND($B$63="Да",IFERROR(INDEX('Вводные'!$B$88:$B$91,$B$64),"Нет")="Да"))</x:f>
      </x:c>
      <x:c r="CR70" t="n">
        <x:f>--AND(CR$3&gt;=$B$65,CR$3&lt;$B$66,AND($B$63="Да",IFERROR(INDEX('Вводные'!$B$88:$B$91,$B$64),"Нет")="Да"))</x:f>
      </x:c>
      <x:c r="CS70" t="n">
        <x:f>--AND(CS$3&gt;=$B$65,CS$3&lt;$B$66,AND($B$63="Да",IFERROR(INDEX('Вводные'!$B$88:$B$91,$B$64),"Нет")="Да"))</x:f>
      </x:c>
      <x:c r="CT70" t="n">
        <x:f>--AND(CT$3&gt;=$B$65,CT$3&lt;$B$66,AND($B$63="Да",IFERROR(INDEX('Вводные'!$B$88:$B$91,$B$64),"Нет")="Да"))</x:f>
      </x:c>
      <x:c r="CU70" t="n">
        <x:f>--AND(CU$3&gt;=$B$65,CU$3&lt;$B$66,AND($B$63="Да",IFERROR(INDEX('Вводные'!$B$88:$B$91,$B$64),"Нет")="Да"))</x:f>
      </x:c>
      <x:c r="CV70" t="n">
        <x:f>--AND(CV$3&gt;=$B$65,CV$3&lt;$B$66,AND($B$63="Да",IFERROR(INDEX('Вводные'!$B$88:$B$91,$B$64),"Нет")="Да"))</x:f>
      </x:c>
      <x:c r="CW70" t="n">
        <x:f>--AND(CW$3&gt;=$B$65,CW$3&lt;$B$66,AND($B$63="Да",IFERROR(INDEX('Вводные'!$B$88:$B$91,$B$64),"Нет")="Да"))</x:f>
      </x:c>
      <x:c r="CX70" t="n">
        <x:f>--AND(CX$3&gt;=$B$65,CX$3&lt;$B$66,AND($B$63="Да",IFERROR(INDEX('Вводные'!$B$88:$B$91,$B$64),"Нет")="Да"))</x:f>
      </x:c>
      <x:c r="CY70" t="n">
        <x:f>--AND(CY$3&gt;=$B$65,CY$3&lt;$B$66,AND($B$63="Да",IFERROR(INDEX('Вводные'!$B$88:$B$91,$B$64),"Нет")="Да"))</x:f>
      </x:c>
      <x:c r="CZ70" t="n">
        <x:f>--AND(CZ$3&gt;=$B$65,CZ$3&lt;$B$66,AND($B$63="Да",IFERROR(INDEX('Вводные'!$B$88:$B$91,$B$64),"Нет")="Да"))</x:f>
      </x:c>
      <x:c r="DA70" t="n">
        <x:f>--AND(DA$3&gt;=$B$65,DA$3&lt;$B$66,AND($B$63="Да",IFERROR(INDEX('Вводные'!$B$88:$B$91,$B$64),"Нет")="Да"))</x:f>
      </x:c>
      <x:c r="DB70" t="n">
        <x:f>--AND(DB$3&gt;=$B$65,DB$3&lt;$B$66,AND($B$63="Да",IFERROR(INDEX('Вводные'!$B$88:$B$91,$B$64),"Нет")="Да"))</x:f>
      </x:c>
      <x:c r="DC70" t="n">
        <x:f>--AND(DC$3&gt;=$B$65,DC$3&lt;$B$66,AND($B$63="Да",IFERROR(INDEX('Вводные'!$B$88:$B$91,$B$64),"Нет")="Да"))</x:f>
      </x:c>
      <x:c r="DD70" t="n">
        <x:f>--AND(DD$3&gt;=$B$65,DD$3&lt;$B$66,AND($B$63="Да",IFERROR(INDEX('Вводные'!$B$88:$B$91,$B$64),"Нет")="Да"))</x:f>
      </x:c>
      <x:c r="DE70" t="n">
        <x:f>--AND(DE$3&gt;=$B$65,DE$3&lt;$B$66,AND($B$63="Да",IFERROR(INDEX('Вводные'!$B$88:$B$91,$B$64),"Нет")="Да"))</x:f>
      </x:c>
      <x:c r="DF70" t="n">
        <x:f>--AND(DF$3&gt;=$B$65,DF$3&lt;$B$66,AND($B$63="Да",IFERROR(INDEX('Вводные'!$B$88:$B$91,$B$64),"Нет")="Да"))</x:f>
      </x:c>
      <x:c r="DG70" t="n">
        <x:f>--AND(DG$3&gt;=$B$65,DG$3&lt;$B$66,AND($B$63="Да",IFERROR(INDEX('Вводные'!$B$88:$B$91,$B$64),"Нет")="Да"))</x:f>
      </x:c>
      <x:c r="DH70" t="n">
        <x:f>--AND(DH$3&gt;=$B$65,DH$3&lt;$B$66,AND($B$63="Да",IFERROR(INDEX('Вводные'!$B$88:$B$91,$B$64),"Нет")="Да"))</x:f>
      </x:c>
      <x:c r="DI70" t="n">
        <x:f>--AND(DI$3&gt;=$B$65,DI$3&lt;$B$66,AND($B$63="Да",IFERROR(INDEX('Вводные'!$B$88:$B$91,$B$64),"Нет")="Да"))</x:f>
      </x:c>
      <x:c r="DJ70" t="n">
        <x:f>--AND(DJ$3&gt;=$B$65,DJ$3&lt;$B$66,AND($B$63="Да",IFERROR(INDEX('Вводные'!$B$88:$B$91,$B$64),"Нет")="Да"))</x:f>
      </x:c>
      <x:c r="DK70" t="n">
        <x:f>--AND(DK$3&gt;=$B$65,DK$3&lt;$B$66,AND($B$63="Да",IFERROR(INDEX('Вводные'!$B$88:$B$91,$B$64),"Нет")="Да"))</x:f>
      </x:c>
      <x:c r="DL70" t="n">
        <x:f>--AND(DL$3&gt;=$B$65,DL$3&lt;$B$66,AND($B$63="Да",IFERROR(INDEX('Вводные'!$B$88:$B$91,$B$64),"Нет")="Да"))</x:f>
      </x:c>
      <x:c r="DM70" t="n">
        <x:f>--AND(DM$3&gt;=$B$65,DM$3&lt;$B$66,AND($B$63="Да",IFERROR(INDEX('Вводные'!$B$88:$B$91,$B$64),"Нет")="Да"))</x:f>
      </x:c>
      <x:c r="DN70" t="n">
        <x:f>--AND(DN$3&gt;=$B$65,DN$3&lt;$B$66,AND($B$63="Да",IFERROR(INDEX('Вводные'!$B$88:$B$91,$B$64),"Нет")="Да"))</x:f>
      </x:c>
      <x:c r="DO70" t="n">
        <x:f>--AND(DO$3&gt;=$B$65,DO$3&lt;$B$66,AND($B$63="Да",IFERROR(INDEX('Вводные'!$B$88:$B$91,$B$64),"Нет")="Да"))</x:f>
      </x:c>
      <x:c r="DP70" t="n">
        <x:f>--AND(DP$3&gt;=$B$65,DP$3&lt;$B$66,AND($B$63="Да",IFERROR(INDEX('Вводные'!$B$88:$B$91,$B$64),"Нет")="Да"))</x:f>
      </x:c>
      <x:c r="DQ70" t="n">
        <x:f>--AND(DQ$3&gt;=$B$65,DQ$3&lt;$B$66,AND($B$63="Да",IFERROR(INDEX('Вводные'!$B$88:$B$91,$B$64),"Нет")="Да"))</x:f>
      </x:c>
      <x:c r="DR70" t="n">
        <x:f>--AND(DR$3&gt;=$B$65,DR$3&lt;$B$66,AND($B$63="Да",IFERROR(INDEX('Вводные'!$B$88:$B$91,$B$64),"Нет")="Да"))</x:f>
      </x:c>
      <x:c r="DS70" t="n">
        <x:f>--AND(DS$3&gt;=$B$65,DS$3&lt;$B$66,AND($B$63="Да",IFERROR(INDEX('Вводные'!$B$88:$B$91,$B$64),"Нет")="Да"))</x:f>
      </x:c>
    </x:row>
    <x:row r="71">
      <x:c r="A71" t="str">
        <x:v>Вес S-кривой</x:v>
      </x:c>
      <x:c r="B71"/>
      <x:c r="C71" t="str">
        <x:v>вес</x:v>
      </x:c>
      <x:c r="D71" t="n">
        <x:f>IF(D70=0,0,IF(((12*(YEAR(D$3)-YEAR($B$65))+MONTH(D$3)-MONTH($B$65))+1)/MAX(1,'Вводные'!$K$69)&lt;=0.2,0.6,IF(((12*(YEAR(D$3)-YEAR($B$65))+MONTH(D$3)-MONTH($B$65))+1)/MAX(1,'Вводные'!$K$69)&lt;=0.8,1.2,0.8)))</x:f>
      </x:c>
      <x:c r="E71" t="n">
        <x:f>IF(E70=0,0,IF(((12*(YEAR(E$3)-YEAR($B$65))+MONTH(E$3)-MONTH($B$65))+1)/MAX(1,'Вводные'!$K$69)&lt;=0.2,0.6,IF(((12*(YEAR(E$3)-YEAR($B$65))+MONTH(E$3)-MONTH($B$65))+1)/MAX(1,'Вводные'!$K$69)&lt;=0.8,1.2,0.8)))</x:f>
      </x:c>
      <x:c r="F71" t="n">
        <x:f>IF(F70=0,0,IF(((12*(YEAR(F$3)-YEAR($B$65))+MONTH(F$3)-MONTH($B$65))+1)/MAX(1,'Вводные'!$K$69)&lt;=0.2,0.6,IF(((12*(YEAR(F$3)-YEAR($B$65))+MONTH(F$3)-MONTH($B$65))+1)/MAX(1,'Вводные'!$K$69)&lt;=0.8,1.2,0.8)))</x:f>
      </x:c>
      <x:c r="G71" t="n">
        <x:f>IF(G70=0,0,IF(((12*(YEAR(G$3)-YEAR($B$65))+MONTH(G$3)-MONTH($B$65))+1)/MAX(1,'Вводные'!$K$69)&lt;=0.2,0.6,IF(((12*(YEAR(G$3)-YEAR($B$65))+MONTH(G$3)-MONTH($B$65))+1)/MAX(1,'Вводные'!$K$69)&lt;=0.8,1.2,0.8)))</x:f>
      </x:c>
      <x:c r="H71" t="n">
        <x:f>IF(H70=0,0,IF(((12*(YEAR(H$3)-YEAR($B$65))+MONTH(H$3)-MONTH($B$65))+1)/MAX(1,'Вводные'!$K$69)&lt;=0.2,0.6,IF(((12*(YEAR(H$3)-YEAR($B$65))+MONTH(H$3)-MONTH($B$65))+1)/MAX(1,'Вводные'!$K$69)&lt;=0.8,1.2,0.8)))</x:f>
      </x:c>
      <x:c r="I71" t="n">
        <x:f>IF(I70=0,0,IF(((12*(YEAR(I$3)-YEAR($B$65))+MONTH(I$3)-MONTH($B$65))+1)/MAX(1,'Вводные'!$K$69)&lt;=0.2,0.6,IF(((12*(YEAR(I$3)-YEAR($B$65))+MONTH(I$3)-MONTH($B$65))+1)/MAX(1,'Вводные'!$K$69)&lt;=0.8,1.2,0.8)))</x:f>
      </x:c>
      <x:c r="J71" t="n">
        <x:f>IF(J70=0,0,IF(((12*(YEAR(J$3)-YEAR($B$65))+MONTH(J$3)-MONTH($B$65))+1)/MAX(1,'Вводные'!$K$69)&lt;=0.2,0.6,IF(((12*(YEAR(J$3)-YEAR($B$65))+MONTH(J$3)-MONTH($B$65))+1)/MAX(1,'Вводные'!$K$69)&lt;=0.8,1.2,0.8)))</x:f>
      </x:c>
      <x:c r="K71" t="n">
        <x:f>IF(K70=0,0,IF(((12*(YEAR(K$3)-YEAR($B$65))+MONTH(K$3)-MONTH($B$65))+1)/MAX(1,'Вводные'!$K$69)&lt;=0.2,0.6,IF(((12*(YEAR(K$3)-YEAR($B$65))+MONTH(K$3)-MONTH($B$65))+1)/MAX(1,'Вводные'!$K$69)&lt;=0.8,1.2,0.8)))</x:f>
      </x:c>
      <x:c r="L71" t="n">
        <x:f>IF(L70=0,0,IF(((12*(YEAR(L$3)-YEAR($B$65))+MONTH(L$3)-MONTH($B$65))+1)/MAX(1,'Вводные'!$K$69)&lt;=0.2,0.6,IF(((12*(YEAR(L$3)-YEAR($B$65))+MONTH(L$3)-MONTH($B$65))+1)/MAX(1,'Вводные'!$K$69)&lt;=0.8,1.2,0.8)))</x:f>
      </x:c>
      <x:c r="M71" t="n">
        <x:f>IF(M70=0,0,IF(((12*(YEAR(M$3)-YEAR($B$65))+MONTH(M$3)-MONTH($B$65))+1)/MAX(1,'Вводные'!$K$69)&lt;=0.2,0.6,IF(((12*(YEAR(M$3)-YEAR($B$65))+MONTH(M$3)-MONTH($B$65))+1)/MAX(1,'Вводные'!$K$69)&lt;=0.8,1.2,0.8)))</x:f>
      </x:c>
      <x:c r="N71" t="n">
        <x:f>IF(N70=0,0,IF(((12*(YEAR(N$3)-YEAR($B$65))+MONTH(N$3)-MONTH($B$65))+1)/MAX(1,'Вводные'!$K$69)&lt;=0.2,0.6,IF(((12*(YEAR(N$3)-YEAR($B$65))+MONTH(N$3)-MONTH($B$65))+1)/MAX(1,'Вводные'!$K$69)&lt;=0.8,1.2,0.8)))</x:f>
      </x:c>
      <x:c r="O71" t="n">
        <x:f>IF(O70=0,0,IF(((12*(YEAR(O$3)-YEAR($B$65))+MONTH(O$3)-MONTH($B$65))+1)/MAX(1,'Вводные'!$K$69)&lt;=0.2,0.6,IF(((12*(YEAR(O$3)-YEAR($B$65))+MONTH(O$3)-MONTH($B$65))+1)/MAX(1,'Вводные'!$K$69)&lt;=0.8,1.2,0.8)))</x:f>
      </x:c>
      <x:c r="P71" t="n">
        <x:f>IF(P70=0,0,IF(((12*(YEAR(P$3)-YEAR($B$65))+MONTH(P$3)-MONTH($B$65))+1)/MAX(1,'Вводные'!$K$69)&lt;=0.2,0.6,IF(((12*(YEAR(P$3)-YEAR($B$65))+MONTH(P$3)-MONTH($B$65))+1)/MAX(1,'Вводные'!$K$69)&lt;=0.8,1.2,0.8)))</x:f>
      </x:c>
      <x:c r="Q71" t="n">
        <x:f>IF(Q70=0,0,IF(((12*(YEAR(Q$3)-YEAR($B$65))+MONTH(Q$3)-MONTH($B$65))+1)/MAX(1,'Вводные'!$K$69)&lt;=0.2,0.6,IF(((12*(YEAR(Q$3)-YEAR($B$65))+MONTH(Q$3)-MONTH($B$65))+1)/MAX(1,'Вводные'!$K$69)&lt;=0.8,1.2,0.8)))</x:f>
      </x:c>
      <x:c r="R71" t="n">
        <x:f>IF(R70=0,0,IF(((12*(YEAR(R$3)-YEAR($B$65))+MONTH(R$3)-MONTH($B$65))+1)/MAX(1,'Вводные'!$K$69)&lt;=0.2,0.6,IF(((12*(YEAR(R$3)-YEAR($B$65))+MONTH(R$3)-MONTH($B$65))+1)/MAX(1,'Вводные'!$K$69)&lt;=0.8,1.2,0.8)))</x:f>
      </x:c>
      <x:c r="S71" t="n">
        <x:f>IF(S70=0,0,IF(((12*(YEAR(S$3)-YEAR($B$65))+MONTH(S$3)-MONTH($B$65))+1)/MAX(1,'Вводные'!$K$69)&lt;=0.2,0.6,IF(((12*(YEAR(S$3)-YEAR($B$65))+MONTH(S$3)-MONTH($B$65))+1)/MAX(1,'Вводные'!$K$69)&lt;=0.8,1.2,0.8)))</x:f>
      </x:c>
      <x:c r="T71" t="n">
        <x:f>IF(T70=0,0,IF(((12*(YEAR(T$3)-YEAR($B$65))+MONTH(T$3)-MONTH($B$65))+1)/MAX(1,'Вводные'!$K$69)&lt;=0.2,0.6,IF(((12*(YEAR(T$3)-YEAR($B$65))+MONTH(T$3)-MONTH($B$65))+1)/MAX(1,'Вводные'!$K$69)&lt;=0.8,1.2,0.8)))</x:f>
      </x:c>
      <x:c r="U71" t="n">
        <x:f>IF(U70=0,0,IF(((12*(YEAR(U$3)-YEAR($B$65))+MONTH(U$3)-MONTH($B$65))+1)/MAX(1,'Вводные'!$K$69)&lt;=0.2,0.6,IF(((12*(YEAR(U$3)-YEAR($B$65))+MONTH(U$3)-MONTH($B$65))+1)/MAX(1,'Вводные'!$K$69)&lt;=0.8,1.2,0.8)))</x:f>
      </x:c>
      <x:c r="V71" t="n">
        <x:f>IF(V70=0,0,IF(((12*(YEAR(V$3)-YEAR($B$65))+MONTH(V$3)-MONTH($B$65))+1)/MAX(1,'Вводные'!$K$69)&lt;=0.2,0.6,IF(((12*(YEAR(V$3)-YEAR($B$65))+MONTH(V$3)-MONTH($B$65))+1)/MAX(1,'Вводные'!$K$69)&lt;=0.8,1.2,0.8)))</x:f>
      </x:c>
      <x:c r="W71" t="n">
        <x:f>IF(W70=0,0,IF(((12*(YEAR(W$3)-YEAR($B$65))+MONTH(W$3)-MONTH($B$65))+1)/MAX(1,'Вводные'!$K$69)&lt;=0.2,0.6,IF(((12*(YEAR(W$3)-YEAR($B$65))+MONTH(W$3)-MONTH($B$65))+1)/MAX(1,'Вводные'!$K$69)&lt;=0.8,1.2,0.8)))</x:f>
      </x:c>
      <x:c r="X71" t="n">
        <x:f>IF(X70=0,0,IF(((12*(YEAR(X$3)-YEAR($B$65))+MONTH(X$3)-MONTH($B$65))+1)/MAX(1,'Вводные'!$K$69)&lt;=0.2,0.6,IF(((12*(YEAR(X$3)-YEAR($B$65))+MONTH(X$3)-MONTH($B$65))+1)/MAX(1,'Вводные'!$K$69)&lt;=0.8,1.2,0.8)))</x:f>
      </x:c>
      <x:c r="Y71" t="n">
        <x:f>IF(Y70=0,0,IF(((12*(YEAR(Y$3)-YEAR($B$65))+MONTH(Y$3)-MONTH($B$65))+1)/MAX(1,'Вводные'!$K$69)&lt;=0.2,0.6,IF(((12*(YEAR(Y$3)-YEAR($B$65))+MONTH(Y$3)-MONTH($B$65))+1)/MAX(1,'Вводные'!$K$69)&lt;=0.8,1.2,0.8)))</x:f>
      </x:c>
      <x:c r="Z71" t="n">
        <x:f>IF(Z70=0,0,IF(((12*(YEAR(Z$3)-YEAR($B$65))+MONTH(Z$3)-MONTH($B$65))+1)/MAX(1,'Вводные'!$K$69)&lt;=0.2,0.6,IF(((12*(YEAR(Z$3)-YEAR($B$65))+MONTH(Z$3)-MONTH($B$65))+1)/MAX(1,'Вводные'!$K$69)&lt;=0.8,1.2,0.8)))</x:f>
      </x:c>
      <x:c r="AA71" t="n">
        <x:f>IF(AA70=0,0,IF(((12*(YEAR(AA$3)-YEAR($B$65))+MONTH(AA$3)-MONTH($B$65))+1)/MAX(1,'Вводные'!$K$69)&lt;=0.2,0.6,IF(((12*(YEAR(AA$3)-YEAR($B$65))+MONTH(AA$3)-MONTH($B$65))+1)/MAX(1,'Вводные'!$K$69)&lt;=0.8,1.2,0.8)))</x:f>
      </x:c>
      <x:c r="AB71" t="n">
        <x:f>IF(AB70=0,0,IF(((12*(YEAR(AB$3)-YEAR($B$65))+MONTH(AB$3)-MONTH($B$65))+1)/MAX(1,'Вводные'!$K$69)&lt;=0.2,0.6,IF(((12*(YEAR(AB$3)-YEAR($B$65))+MONTH(AB$3)-MONTH($B$65))+1)/MAX(1,'Вводные'!$K$69)&lt;=0.8,1.2,0.8)))</x:f>
      </x:c>
      <x:c r="AC71" t="n">
        <x:f>IF(AC70=0,0,IF(((12*(YEAR(AC$3)-YEAR($B$65))+MONTH(AC$3)-MONTH($B$65))+1)/MAX(1,'Вводные'!$K$69)&lt;=0.2,0.6,IF(((12*(YEAR(AC$3)-YEAR($B$65))+MONTH(AC$3)-MONTH($B$65))+1)/MAX(1,'Вводные'!$K$69)&lt;=0.8,1.2,0.8)))</x:f>
      </x:c>
      <x:c r="AD71" t="n">
        <x:f>IF(AD70=0,0,IF(((12*(YEAR(AD$3)-YEAR($B$65))+MONTH(AD$3)-MONTH($B$65))+1)/MAX(1,'Вводные'!$K$69)&lt;=0.2,0.6,IF(((12*(YEAR(AD$3)-YEAR($B$65))+MONTH(AD$3)-MONTH($B$65))+1)/MAX(1,'Вводные'!$K$69)&lt;=0.8,1.2,0.8)))</x:f>
      </x:c>
      <x:c r="AE71" t="n">
        <x:f>IF(AE70=0,0,IF(((12*(YEAR(AE$3)-YEAR($B$65))+MONTH(AE$3)-MONTH($B$65))+1)/MAX(1,'Вводные'!$K$69)&lt;=0.2,0.6,IF(((12*(YEAR(AE$3)-YEAR($B$65))+MONTH(AE$3)-MONTH($B$65))+1)/MAX(1,'Вводные'!$K$69)&lt;=0.8,1.2,0.8)))</x:f>
      </x:c>
      <x:c r="AF71" t="n">
        <x:f>IF(AF70=0,0,IF(((12*(YEAR(AF$3)-YEAR($B$65))+MONTH(AF$3)-MONTH($B$65))+1)/MAX(1,'Вводные'!$K$69)&lt;=0.2,0.6,IF(((12*(YEAR(AF$3)-YEAR($B$65))+MONTH(AF$3)-MONTH($B$65))+1)/MAX(1,'Вводные'!$K$69)&lt;=0.8,1.2,0.8)))</x:f>
      </x:c>
      <x:c r="AG71" t="n">
        <x:f>IF(AG70=0,0,IF(((12*(YEAR(AG$3)-YEAR($B$65))+MONTH(AG$3)-MONTH($B$65))+1)/MAX(1,'Вводные'!$K$69)&lt;=0.2,0.6,IF(((12*(YEAR(AG$3)-YEAR($B$65))+MONTH(AG$3)-MONTH($B$65))+1)/MAX(1,'Вводные'!$K$69)&lt;=0.8,1.2,0.8)))</x:f>
      </x:c>
      <x:c r="AH71" t="n">
        <x:f>IF(AH70=0,0,IF(((12*(YEAR(AH$3)-YEAR($B$65))+MONTH(AH$3)-MONTH($B$65))+1)/MAX(1,'Вводные'!$K$69)&lt;=0.2,0.6,IF(((12*(YEAR(AH$3)-YEAR($B$65))+MONTH(AH$3)-MONTH($B$65))+1)/MAX(1,'Вводные'!$K$69)&lt;=0.8,1.2,0.8)))</x:f>
      </x:c>
      <x:c r="AI71" t="n">
        <x:f>IF(AI70=0,0,IF(((12*(YEAR(AI$3)-YEAR($B$65))+MONTH(AI$3)-MONTH($B$65))+1)/MAX(1,'Вводные'!$K$69)&lt;=0.2,0.6,IF(((12*(YEAR(AI$3)-YEAR($B$65))+MONTH(AI$3)-MONTH($B$65))+1)/MAX(1,'Вводные'!$K$69)&lt;=0.8,1.2,0.8)))</x:f>
      </x:c>
      <x:c r="AJ71" t="n">
        <x:f>IF(AJ70=0,0,IF(((12*(YEAR(AJ$3)-YEAR($B$65))+MONTH(AJ$3)-MONTH($B$65))+1)/MAX(1,'Вводные'!$K$69)&lt;=0.2,0.6,IF(((12*(YEAR(AJ$3)-YEAR($B$65))+MONTH(AJ$3)-MONTH($B$65))+1)/MAX(1,'Вводные'!$K$69)&lt;=0.8,1.2,0.8)))</x:f>
      </x:c>
      <x:c r="AK71" t="n">
        <x:f>IF(AK70=0,0,IF(((12*(YEAR(AK$3)-YEAR($B$65))+MONTH(AK$3)-MONTH($B$65))+1)/MAX(1,'Вводные'!$K$69)&lt;=0.2,0.6,IF(((12*(YEAR(AK$3)-YEAR($B$65))+MONTH(AK$3)-MONTH($B$65))+1)/MAX(1,'Вводные'!$K$69)&lt;=0.8,1.2,0.8)))</x:f>
      </x:c>
      <x:c r="AL71" t="n">
        <x:f>IF(AL70=0,0,IF(((12*(YEAR(AL$3)-YEAR($B$65))+MONTH(AL$3)-MONTH($B$65))+1)/MAX(1,'Вводные'!$K$69)&lt;=0.2,0.6,IF(((12*(YEAR(AL$3)-YEAR($B$65))+MONTH(AL$3)-MONTH($B$65))+1)/MAX(1,'Вводные'!$K$69)&lt;=0.8,1.2,0.8)))</x:f>
      </x:c>
      <x:c r="AM71" t="n">
        <x:f>IF(AM70=0,0,IF(((12*(YEAR(AM$3)-YEAR($B$65))+MONTH(AM$3)-MONTH($B$65))+1)/MAX(1,'Вводные'!$K$69)&lt;=0.2,0.6,IF(((12*(YEAR(AM$3)-YEAR($B$65))+MONTH(AM$3)-MONTH($B$65))+1)/MAX(1,'Вводные'!$K$69)&lt;=0.8,1.2,0.8)))</x:f>
      </x:c>
      <x:c r="AN71" t="n">
        <x:f>IF(AN70=0,0,IF(((12*(YEAR(AN$3)-YEAR($B$65))+MONTH(AN$3)-MONTH($B$65))+1)/MAX(1,'Вводные'!$K$69)&lt;=0.2,0.6,IF(((12*(YEAR(AN$3)-YEAR($B$65))+MONTH(AN$3)-MONTH($B$65))+1)/MAX(1,'Вводные'!$K$69)&lt;=0.8,1.2,0.8)))</x:f>
      </x:c>
      <x:c r="AO71" t="n">
        <x:f>IF(AO70=0,0,IF(((12*(YEAR(AO$3)-YEAR($B$65))+MONTH(AO$3)-MONTH($B$65))+1)/MAX(1,'Вводные'!$K$69)&lt;=0.2,0.6,IF(((12*(YEAR(AO$3)-YEAR($B$65))+MONTH(AO$3)-MONTH($B$65))+1)/MAX(1,'Вводные'!$K$69)&lt;=0.8,1.2,0.8)))</x:f>
      </x:c>
      <x:c r="AP71" t="n">
        <x:f>IF(AP70=0,0,IF(((12*(YEAR(AP$3)-YEAR($B$65))+MONTH(AP$3)-MONTH($B$65))+1)/MAX(1,'Вводные'!$K$69)&lt;=0.2,0.6,IF(((12*(YEAR(AP$3)-YEAR($B$65))+MONTH(AP$3)-MONTH($B$65))+1)/MAX(1,'Вводные'!$K$69)&lt;=0.8,1.2,0.8)))</x:f>
      </x:c>
      <x:c r="AQ71" t="n">
        <x:f>IF(AQ70=0,0,IF(((12*(YEAR(AQ$3)-YEAR($B$65))+MONTH(AQ$3)-MONTH($B$65))+1)/MAX(1,'Вводные'!$K$69)&lt;=0.2,0.6,IF(((12*(YEAR(AQ$3)-YEAR($B$65))+MONTH(AQ$3)-MONTH($B$65))+1)/MAX(1,'Вводные'!$K$69)&lt;=0.8,1.2,0.8)))</x:f>
      </x:c>
      <x:c r="AR71" t="n">
        <x:f>IF(AR70=0,0,IF(((12*(YEAR(AR$3)-YEAR($B$65))+MONTH(AR$3)-MONTH($B$65))+1)/MAX(1,'Вводные'!$K$69)&lt;=0.2,0.6,IF(((12*(YEAR(AR$3)-YEAR($B$65))+MONTH(AR$3)-MONTH($B$65))+1)/MAX(1,'Вводные'!$K$69)&lt;=0.8,1.2,0.8)))</x:f>
      </x:c>
      <x:c r="AS71" t="n">
        <x:f>IF(AS70=0,0,IF(((12*(YEAR(AS$3)-YEAR($B$65))+MONTH(AS$3)-MONTH($B$65))+1)/MAX(1,'Вводные'!$K$69)&lt;=0.2,0.6,IF(((12*(YEAR(AS$3)-YEAR($B$65))+MONTH(AS$3)-MONTH($B$65))+1)/MAX(1,'Вводные'!$K$69)&lt;=0.8,1.2,0.8)))</x:f>
      </x:c>
      <x:c r="AT71" t="n">
        <x:f>IF(AT70=0,0,IF(((12*(YEAR(AT$3)-YEAR($B$65))+MONTH(AT$3)-MONTH($B$65))+1)/MAX(1,'Вводные'!$K$69)&lt;=0.2,0.6,IF(((12*(YEAR(AT$3)-YEAR($B$65))+MONTH(AT$3)-MONTH($B$65))+1)/MAX(1,'Вводные'!$K$69)&lt;=0.8,1.2,0.8)))</x:f>
      </x:c>
      <x:c r="AU71" t="n">
        <x:f>IF(AU70=0,0,IF(((12*(YEAR(AU$3)-YEAR($B$65))+MONTH(AU$3)-MONTH($B$65))+1)/MAX(1,'Вводные'!$K$69)&lt;=0.2,0.6,IF(((12*(YEAR(AU$3)-YEAR($B$65))+MONTH(AU$3)-MONTH($B$65))+1)/MAX(1,'Вводные'!$K$69)&lt;=0.8,1.2,0.8)))</x:f>
      </x:c>
      <x:c r="AV71" t="n">
        <x:f>IF(AV70=0,0,IF(((12*(YEAR(AV$3)-YEAR($B$65))+MONTH(AV$3)-MONTH($B$65))+1)/MAX(1,'Вводные'!$K$69)&lt;=0.2,0.6,IF(((12*(YEAR(AV$3)-YEAR($B$65))+MONTH(AV$3)-MONTH($B$65))+1)/MAX(1,'Вводные'!$K$69)&lt;=0.8,1.2,0.8)))</x:f>
      </x:c>
      <x:c r="AW71" t="n">
        <x:f>IF(AW70=0,0,IF(((12*(YEAR(AW$3)-YEAR($B$65))+MONTH(AW$3)-MONTH($B$65))+1)/MAX(1,'Вводные'!$K$69)&lt;=0.2,0.6,IF(((12*(YEAR(AW$3)-YEAR($B$65))+MONTH(AW$3)-MONTH($B$65))+1)/MAX(1,'Вводные'!$K$69)&lt;=0.8,1.2,0.8)))</x:f>
      </x:c>
      <x:c r="AX71" t="n">
        <x:f>IF(AX70=0,0,IF(((12*(YEAR(AX$3)-YEAR($B$65))+MONTH(AX$3)-MONTH($B$65))+1)/MAX(1,'Вводные'!$K$69)&lt;=0.2,0.6,IF(((12*(YEAR(AX$3)-YEAR($B$65))+MONTH(AX$3)-MONTH($B$65))+1)/MAX(1,'Вводные'!$K$69)&lt;=0.8,1.2,0.8)))</x:f>
      </x:c>
      <x:c r="AY71" t="n">
        <x:f>IF(AY70=0,0,IF(((12*(YEAR(AY$3)-YEAR($B$65))+MONTH(AY$3)-MONTH($B$65))+1)/MAX(1,'Вводные'!$K$69)&lt;=0.2,0.6,IF(((12*(YEAR(AY$3)-YEAR($B$65))+MONTH(AY$3)-MONTH($B$65))+1)/MAX(1,'Вводные'!$K$69)&lt;=0.8,1.2,0.8)))</x:f>
      </x:c>
      <x:c r="AZ71" t="n">
        <x:f>IF(AZ70=0,0,IF(((12*(YEAR(AZ$3)-YEAR($B$65))+MONTH(AZ$3)-MONTH($B$65))+1)/MAX(1,'Вводные'!$K$69)&lt;=0.2,0.6,IF(((12*(YEAR(AZ$3)-YEAR($B$65))+MONTH(AZ$3)-MONTH($B$65))+1)/MAX(1,'Вводные'!$K$69)&lt;=0.8,1.2,0.8)))</x:f>
      </x:c>
      <x:c r="BA71" t="n">
        <x:f>IF(BA70=0,0,IF(((12*(YEAR(BA$3)-YEAR($B$65))+MONTH(BA$3)-MONTH($B$65))+1)/MAX(1,'Вводные'!$K$69)&lt;=0.2,0.6,IF(((12*(YEAR(BA$3)-YEAR($B$65))+MONTH(BA$3)-MONTH($B$65))+1)/MAX(1,'Вводные'!$K$69)&lt;=0.8,1.2,0.8)))</x:f>
      </x:c>
      <x:c r="BB71" t="n">
        <x:f>IF(BB70=0,0,IF(((12*(YEAR(BB$3)-YEAR($B$65))+MONTH(BB$3)-MONTH($B$65))+1)/MAX(1,'Вводные'!$K$69)&lt;=0.2,0.6,IF(((12*(YEAR(BB$3)-YEAR($B$65))+MONTH(BB$3)-MONTH($B$65))+1)/MAX(1,'Вводные'!$K$69)&lt;=0.8,1.2,0.8)))</x:f>
      </x:c>
      <x:c r="BC71" t="n">
        <x:f>IF(BC70=0,0,IF(((12*(YEAR(BC$3)-YEAR($B$65))+MONTH(BC$3)-MONTH($B$65))+1)/MAX(1,'Вводные'!$K$69)&lt;=0.2,0.6,IF(((12*(YEAR(BC$3)-YEAR($B$65))+MONTH(BC$3)-MONTH($B$65))+1)/MAX(1,'Вводные'!$K$69)&lt;=0.8,1.2,0.8)))</x:f>
      </x:c>
      <x:c r="BD71" t="n">
        <x:f>IF(BD70=0,0,IF(((12*(YEAR(BD$3)-YEAR($B$65))+MONTH(BD$3)-MONTH($B$65))+1)/MAX(1,'Вводные'!$K$69)&lt;=0.2,0.6,IF(((12*(YEAR(BD$3)-YEAR($B$65))+MONTH(BD$3)-MONTH($B$65))+1)/MAX(1,'Вводные'!$K$69)&lt;=0.8,1.2,0.8)))</x:f>
      </x:c>
      <x:c r="BE71" t="n">
        <x:f>IF(BE70=0,0,IF(((12*(YEAR(BE$3)-YEAR($B$65))+MONTH(BE$3)-MONTH($B$65))+1)/MAX(1,'Вводные'!$K$69)&lt;=0.2,0.6,IF(((12*(YEAR(BE$3)-YEAR($B$65))+MONTH(BE$3)-MONTH($B$65))+1)/MAX(1,'Вводные'!$K$69)&lt;=0.8,1.2,0.8)))</x:f>
      </x:c>
      <x:c r="BF71" t="n">
        <x:f>IF(BF70=0,0,IF(((12*(YEAR(BF$3)-YEAR($B$65))+MONTH(BF$3)-MONTH($B$65))+1)/MAX(1,'Вводные'!$K$69)&lt;=0.2,0.6,IF(((12*(YEAR(BF$3)-YEAR($B$65))+MONTH(BF$3)-MONTH($B$65))+1)/MAX(1,'Вводные'!$K$69)&lt;=0.8,1.2,0.8)))</x:f>
      </x:c>
      <x:c r="BG71" t="n">
        <x:f>IF(BG70=0,0,IF(((12*(YEAR(BG$3)-YEAR($B$65))+MONTH(BG$3)-MONTH($B$65))+1)/MAX(1,'Вводные'!$K$69)&lt;=0.2,0.6,IF(((12*(YEAR(BG$3)-YEAR($B$65))+MONTH(BG$3)-MONTH($B$65))+1)/MAX(1,'Вводные'!$K$69)&lt;=0.8,1.2,0.8)))</x:f>
      </x:c>
      <x:c r="BH71" t="n">
        <x:f>IF(BH70=0,0,IF(((12*(YEAR(BH$3)-YEAR($B$65))+MONTH(BH$3)-MONTH($B$65))+1)/MAX(1,'Вводные'!$K$69)&lt;=0.2,0.6,IF(((12*(YEAR(BH$3)-YEAR($B$65))+MONTH(BH$3)-MONTH($B$65))+1)/MAX(1,'Вводные'!$K$69)&lt;=0.8,1.2,0.8)))</x:f>
      </x:c>
      <x:c r="BI71" t="n">
        <x:f>IF(BI70=0,0,IF(((12*(YEAR(BI$3)-YEAR($B$65))+MONTH(BI$3)-MONTH($B$65))+1)/MAX(1,'Вводные'!$K$69)&lt;=0.2,0.6,IF(((12*(YEAR(BI$3)-YEAR($B$65))+MONTH(BI$3)-MONTH($B$65))+1)/MAX(1,'Вводные'!$K$69)&lt;=0.8,1.2,0.8)))</x:f>
      </x:c>
      <x:c r="BJ71" t="n">
        <x:f>IF(BJ70=0,0,IF(((12*(YEAR(BJ$3)-YEAR($B$65))+MONTH(BJ$3)-MONTH($B$65))+1)/MAX(1,'Вводные'!$K$69)&lt;=0.2,0.6,IF(((12*(YEAR(BJ$3)-YEAR($B$65))+MONTH(BJ$3)-MONTH($B$65))+1)/MAX(1,'Вводные'!$K$69)&lt;=0.8,1.2,0.8)))</x:f>
      </x:c>
      <x:c r="BK71" t="n">
        <x:f>IF(BK70=0,0,IF(((12*(YEAR(BK$3)-YEAR($B$65))+MONTH(BK$3)-MONTH($B$65))+1)/MAX(1,'Вводные'!$K$69)&lt;=0.2,0.6,IF(((12*(YEAR(BK$3)-YEAR($B$65))+MONTH(BK$3)-MONTH($B$65))+1)/MAX(1,'Вводные'!$K$69)&lt;=0.8,1.2,0.8)))</x:f>
      </x:c>
      <x:c r="BL71" t="n">
        <x:f>IF(BL70=0,0,IF(((12*(YEAR(BL$3)-YEAR($B$65))+MONTH(BL$3)-MONTH($B$65))+1)/MAX(1,'Вводные'!$K$69)&lt;=0.2,0.6,IF(((12*(YEAR(BL$3)-YEAR($B$65))+MONTH(BL$3)-MONTH($B$65))+1)/MAX(1,'Вводные'!$K$69)&lt;=0.8,1.2,0.8)))</x:f>
      </x:c>
      <x:c r="BM71" t="n">
        <x:f>IF(BM70=0,0,IF(((12*(YEAR(BM$3)-YEAR($B$65))+MONTH(BM$3)-MONTH($B$65))+1)/MAX(1,'Вводные'!$K$69)&lt;=0.2,0.6,IF(((12*(YEAR(BM$3)-YEAR($B$65))+MONTH(BM$3)-MONTH($B$65))+1)/MAX(1,'Вводные'!$K$69)&lt;=0.8,1.2,0.8)))</x:f>
      </x:c>
      <x:c r="BN71" t="n">
        <x:f>IF(BN70=0,0,IF(((12*(YEAR(BN$3)-YEAR($B$65))+MONTH(BN$3)-MONTH($B$65))+1)/MAX(1,'Вводные'!$K$69)&lt;=0.2,0.6,IF(((12*(YEAR(BN$3)-YEAR($B$65))+MONTH(BN$3)-MONTH($B$65))+1)/MAX(1,'Вводные'!$K$69)&lt;=0.8,1.2,0.8)))</x:f>
      </x:c>
      <x:c r="BO71" t="n">
        <x:f>IF(BO70=0,0,IF(((12*(YEAR(BO$3)-YEAR($B$65))+MONTH(BO$3)-MONTH($B$65))+1)/MAX(1,'Вводные'!$K$69)&lt;=0.2,0.6,IF(((12*(YEAR(BO$3)-YEAR($B$65))+MONTH(BO$3)-MONTH($B$65))+1)/MAX(1,'Вводные'!$K$69)&lt;=0.8,1.2,0.8)))</x:f>
      </x:c>
      <x:c r="BP71" t="n">
        <x:f>IF(BP70=0,0,IF(((12*(YEAR(BP$3)-YEAR($B$65))+MONTH(BP$3)-MONTH($B$65))+1)/MAX(1,'Вводные'!$K$69)&lt;=0.2,0.6,IF(((12*(YEAR(BP$3)-YEAR($B$65))+MONTH(BP$3)-MONTH($B$65))+1)/MAX(1,'Вводные'!$K$69)&lt;=0.8,1.2,0.8)))</x:f>
      </x:c>
      <x:c r="BQ71" t="n">
        <x:f>IF(BQ70=0,0,IF(((12*(YEAR(BQ$3)-YEAR($B$65))+MONTH(BQ$3)-MONTH($B$65))+1)/MAX(1,'Вводные'!$K$69)&lt;=0.2,0.6,IF(((12*(YEAR(BQ$3)-YEAR($B$65))+MONTH(BQ$3)-MONTH($B$65))+1)/MAX(1,'Вводные'!$K$69)&lt;=0.8,1.2,0.8)))</x:f>
      </x:c>
      <x:c r="BR71" t="n">
        <x:f>IF(BR70=0,0,IF(((12*(YEAR(BR$3)-YEAR($B$65))+MONTH(BR$3)-MONTH($B$65))+1)/MAX(1,'Вводные'!$K$69)&lt;=0.2,0.6,IF(((12*(YEAR(BR$3)-YEAR($B$65))+MONTH(BR$3)-MONTH($B$65))+1)/MAX(1,'Вводные'!$K$69)&lt;=0.8,1.2,0.8)))</x:f>
      </x:c>
      <x:c r="BS71" t="n">
        <x:f>IF(BS70=0,0,IF(((12*(YEAR(BS$3)-YEAR($B$65))+MONTH(BS$3)-MONTH($B$65))+1)/MAX(1,'Вводные'!$K$69)&lt;=0.2,0.6,IF(((12*(YEAR(BS$3)-YEAR($B$65))+MONTH(BS$3)-MONTH($B$65))+1)/MAX(1,'Вводные'!$K$69)&lt;=0.8,1.2,0.8)))</x:f>
      </x:c>
      <x:c r="BT71" t="n">
        <x:f>IF(BT70=0,0,IF(((12*(YEAR(BT$3)-YEAR($B$65))+MONTH(BT$3)-MONTH($B$65))+1)/MAX(1,'Вводные'!$K$69)&lt;=0.2,0.6,IF(((12*(YEAR(BT$3)-YEAR($B$65))+MONTH(BT$3)-MONTH($B$65))+1)/MAX(1,'Вводные'!$K$69)&lt;=0.8,1.2,0.8)))</x:f>
      </x:c>
      <x:c r="BU71" t="n">
        <x:f>IF(BU70=0,0,IF(((12*(YEAR(BU$3)-YEAR($B$65))+MONTH(BU$3)-MONTH($B$65))+1)/MAX(1,'Вводные'!$K$69)&lt;=0.2,0.6,IF(((12*(YEAR(BU$3)-YEAR($B$65))+MONTH(BU$3)-MONTH($B$65))+1)/MAX(1,'Вводные'!$K$69)&lt;=0.8,1.2,0.8)))</x:f>
      </x:c>
      <x:c r="BV71" t="n">
        <x:f>IF(BV70=0,0,IF(((12*(YEAR(BV$3)-YEAR($B$65))+MONTH(BV$3)-MONTH($B$65))+1)/MAX(1,'Вводные'!$K$69)&lt;=0.2,0.6,IF(((12*(YEAR(BV$3)-YEAR($B$65))+MONTH(BV$3)-MONTH($B$65))+1)/MAX(1,'Вводные'!$K$69)&lt;=0.8,1.2,0.8)))</x:f>
      </x:c>
      <x:c r="BW71" t="n">
        <x:f>IF(BW70=0,0,IF(((12*(YEAR(BW$3)-YEAR($B$65))+MONTH(BW$3)-MONTH($B$65))+1)/MAX(1,'Вводные'!$K$69)&lt;=0.2,0.6,IF(((12*(YEAR(BW$3)-YEAR($B$65))+MONTH(BW$3)-MONTH($B$65))+1)/MAX(1,'Вводные'!$K$69)&lt;=0.8,1.2,0.8)))</x:f>
      </x:c>
      <x:c r="BX71" t="n">
        <x:f>IF(BX70=0,0,IF(((12*(YEAR(BX$3)-YEAR($B$65))+MONTH(BX$3)-MONTH($B$65))+1)/MAX(1,'Вводные'!$K$69)&lt;=0.2,0.6,IF(((12*(YEAR(BX$3)-YEAR($B$65))+MONTH(BX$3)-MONTH($B$65))+1)/MAX(1,'Вводные'!$K$69)&lt;=0.8,1.2,0.8)))</x:f>
      </x:c>
      <x:c r="BY71" t="n">
        <x:f>IF(BY70=0,0,IF(((12*(YEAR(BY$3)-YEAR($B$65))+MONTH(BY$3)-MONTH($B$65))+1)/MAX(1,'Вводные'!$K$69)&lt;=0.2,0.6,IF(((12*(YEAR(BY$3)-YEAR($B$65))+MONTH(BY$3)-MONTH($B$65))+1)/MAX(1,'Вводные'!$K$69)&lt;=0.8,1.2,0.8)))</x:f>
      </x:c>
      <x:c r="BZ71" t="n">
        <x:f>IF(BZ70=0,0,IF(((12*(YEAR(BZ$3)-YEAR($B$65))+MONTH(BZ$3)-MONTH($B$65))+1)/MAX(1,'Вводные'!$K$69)&lt;=0.2,0.6,IF(((12*(YEAR(BZ$3)-YEAR($B$65))+MONTH(BZ$3)-MONTH($B$65))+1)/MAX(1,'Вводные'!$K$69)&lt;=0.8,1.2,0.8)))</x:f>
      </x:c>
      <x:c r="CA71" t="n">
        <x:f>IF(CA70=0,0,IF(((12*(YEAR(CA$3)-YEAR($B$65))+MONTH(CA$3)-MONTH($B$65))+1)/MAX(1,'Вводные'!$K$69)&lt;=0.2,0.6,IF(((12*(YEAR(CA$3)-YEAR($B$65))+MONTH(CA$3)-MONTH($B$65))+1)/MAX(1,'Вводные'!$K$69)&lt;=0.8,1.2,0.8)))</x:f>
      </x:c>
      <x:c r="CB71" t="n">
        <x:f>IF(CB70=0,0,IF(((12*(YEAR(CB$3)-YEAR($B$65))+MONTH(CB$3)-MONTH($B$65))+1)/MAX(1,'Вводные'!$K$69)&lt;=0.2,0.6,IF(((12*(YEAR(CB$3)-YEAR($B$65))+MONTH(CB$3)-MONTH($B$65))+1)/MAX(1,'Вводные'!$K$69)&lt;=0.8,1.2,0.8)))</x:f>
      </x:c>
      <x:c r="CC71" t="n">
        <x:f>IF(CC70=0,0,IF(((12*(YEAR(CC$3)-YEAR($B$65))+MONTH(CC$3)-MONTH($B$65))+1)/MAX(1,'Вводные'!$K$69)&lt;=0.2,0.6,IF(((12*(YEAR(CC$3)-YEAR($B$65))+MONTH(CC$3)-MONTH($B$65))+1)/MAX(1,'Вводные'!$K$69)&lt;=0.8,1.2,0.8)))</x:f>
      </x:c>
      <x:c r="CD71" t="n">
        <x:f>IF(CD70=0,0,IF(((12*(YEAR(CD$3)-YEAR($B$65))+MONTH(CD$3)-MONTH($B$65))+1)/MAX(1,'Вводные'!$K$69)&lt;=0.2,0.6,IF(((12*(YEAR(CD$3)-YEAR($B$65))+MONTH(CD$3)-MONTH($B$65))+1)/MAX(1,'Вводные'!$K$69)&lt;=0.8,1.2,0.8)))</x:f>
      </x:c>
      <x:c r="CE71" t="n">
        <x:f>IF(CE70=0,0,IF(((12*(YEAR(CE$3)-YEAR($B$65))+MONTH(CE$3)-MONTH($B$65))+1)/MAX(1,'Вводные'!$K$69)&lt;=0.2,0.6,IF(((12*(YEAR(CE$3)-YEAR($B$65))+MONTH(CE$3)-MONTH($B$65))+1)/MAX(1,'Вводные'!$K$69)&lt;=0.8,1.2,0.8)))</x:f>
      </x:c>
      <x:c r="CF71" t="n">
        <x:f>IF(CF70=0,0,IF(((12*(YEAR(CF$3)-YEAR($B$65))+MONTH(CF$3)-MONTH($B$65))+1)/MAX(1,'Вводные'!$K$69)&lt;=0.2,0.6,IF(((12*(YEAR(CF$3)-YEAR($B$65))+MONTH(CF$3)-MONTH($B$65))+1)/MAX(1,'Вводные'!$K$69)&lt;=0.8,1.2,0.8)))</x:f>
      </x:c>
      <x:c r="CG71" t="n">
        <x:f>IF(CG70=0,0,IF(((12*(YEAR(CG$3)-YEAR($B$65))+MONTH(CG$3)-MONTH($B$65))+1)/MAX(1,'Вводные'!$K$69)&lt;=0.2,0.6,IF(((12*(YEAR(CG$3)-YEAR($B$65))+MONTH(CG$3)-MONTH($B$65))+1)/MAX(1,'Вводные'!$K$69)&lt;=0.8,1.2,0.8)))</x:f>
      </x:c>
      <x:c r="CH71" t="n">
        <x:f>IF(CH70=0,0,IF(((12*(YEAR(CH$3)-YEAR($B$65))+MONTH(CH$3)-MONTH($B$65))+1)/MAX(1,'Вводные'!$K$69)&lt;=0.2,0.6,IF(((12*(YEAR(CH$3)-YEAR($B$65))+MONTH(CH$3)-MONTH($B$65))+1)/MAX(1,'Вводные'!$K$69)&lt;=0.8,1.2,0.8)))</x:f>
      </x:c>
      <x:c r="CI71" t="n">
        <x:f>IF(CI70=0,0,IF(((12*(YEAR(CI$3)-YEAR($B$65))+MONTH(CI$3)-MONTH($B$65))+1)/MAX(1,'Вводные'!$K$69)&lt;=0.2,0.6,IF(((12*(YEAR(CI$3)-YEAR($B$65))+MONTH(CI$3)-MONTH($B$65))+1)/MAX(1,'Вводные'!$K$69)&lt;=0.8,1.2,0.8)))</x:f>
      </x:c>
      <x:c r="CJ71" t="n">
        <x:f>IF(CJ70=0,0,IF(((12*(YEAR(CJ$3)-YEAR($B$65))+MONTH(CJ$3)-MONTH($B$65))+1)/MAX(1,'Вводные'!$K$69)&lt;=0.2,0.6,IF(((12*(YEAR(CJ$3)-YEAR($B$65))+MONTH(CJ$3)-MONTH($B$65))+1)/MAX(1,'Вводные'!$K$69)&lt;=0.8,1.2,0.8)))</x:f>
      </x:c>
      <x:c r="CK71" t="n">
        <x:f>IF(CK70=0,0,IF(((12*(YEAR(CK$3)-YEAR($B$65))+MONTH(CK$3)-MONTH($B$65))+1)/MAX(1,'Вводные'!$K$69)&lt;=0.2,0.6,IF(((12*(YEAR(CK$3)-YEAR($B$65))+MONTH(CK$3)-MONTH($B$65))+1)/MAX(1,'Вводные'!$K$69)&lt;=0.8,1.2,0.8)))</x:f>
      </x:c>
      <x:c r="CL71" t="n">
        <x:f>IF(CL70=0,0,IF(((12*(YEAR(CL$3)-YEAR($B$65))+MONTH(CL$3)-MONTH($B$65))+1)/MAX(1,'Вводные'!$K$69)&lt;=0.2,0.6,IF(((12*(YEAR(CL$3)-YEAR($B$65))+MONTH(CL$3)-MONTH($B$65))+1)/MAX(1,'Вводные'!$K$69)&lt;=0.8,1.2,0.8)))</x:f>
      </x:c>
      <x:c r="CM71" t="n">
        <x:f>IF(CM70=0,0,IF(((12*(YEAR(CM$3)-YEAR($B$65))+MONTH(CM$3)-MONTH($B$65))+1)/MAX(1,'Вводные'!$K$69)&lt;=0.2,0.6,IF(((12*(YEAR(CM$3)-YEAR($B$65))+MONTH(CM$3)-MONTH($B$65))+1)/MAX(1,'Вводные'!$K$69)&lt;=0.8,1.2,0.8)))</x:f>
      </x:c>
      <x:c r="CN71" t="n">
        <x:f>IF(CN70=0,0,IF(((12*(YEAR(CN$3)-YEAR($B$65))+MONTH(CN$3)-MONTH($B$65))+1)/MAX(1,'Вводные'!$K$69)&lt;=0.2,0.6,IF(((12*(YEAR(CN$3)-YEAR($B$65))+MONTH(CN$3)-MONTH($B$65))+1)/MAX(1,'Вводные'!$K$69)&lt;=0.8,1.2,0.8)))</x:f>
      </x:c>
      <x:c r="CO71" t="n">
        <x:f>IF(CO70=0,0,IF(((12*(YEAR(CO$3)-YEAR($B$65))+MONTH(CO$3)-MONTH($B$65))+1)/MAX(1,'Вводные'!$K$69)&lt;=0.2,0.6,IF(((12*(YEAR(CO$3)-YEAR($B$65))+MONTH(CO$3)-MONTH($B$65))+1)/MAX(1,'Вводные'!$K$69)&lt;=0.8,1.2,0.8)))</x:f>
      </x:c>
      <x:c r="CP71" t="n">
        <x:f>IF(CP70=0,0,IF(((12*(YEAR(CP$3)-YEAR($B$65))+MONTH(CP$3)-MONTH($B$65))+1)/MAX(1,'Вводные'!$K$69)&lt;=0.2,0.6,IF(((12*(YEAR(CP$3)-YEAR($B$65))+MONTH(CP$3)-MONTH($B$65))+1)/MAX(1,'Вводные'!$K$69)&lt;=0.8,1.2,0.8)))</x:f>
      </x:c>
      <x:c r="CQ71" t="n">
        <x:f>IF(CQ70=0,0,IF(((12*(YEAR(CQ$3)-YEAR($B$65))+MONTH(CQ$3)-MONTH($B$65))+1)/MAX(1,'Вводные'!$K$69)&lt;=0.2,0.6,IF(((12*(YEAR(CQ$3)-YEAR($B$65))+MONTH(CQ$3)-MONTH($B$65))+1)/MAX(1,'Вводные'!$K$69)&lt;=0.8,1.2,0.8)))</x:f>
      </x:c>
      <x:c r="CR71" t="n">
        <x:f>IF(CR70=0,0,IF(((12*(YEAR(CR$3)-YEAR($B$65))+MONTH(CR$3)-MONTH($B$65))+1)/MAX(1,'Вводные'!$K$69)&lt;=0.2,0.6,IF(((12*(YEAR(CR$3)-YEAR($B$65))+MONTH(CR$3)-MONTH($B$65))+1)/MAX(1,'Вводные'!$K$69)&lt;=0.8,1.2,0.8)))</x:f>
      </x:c>
      <x:c r="CS71" t="n">
        <x:f>IF(CS70=0,0,IF(((12*(YEAR(CS$3)-YEAR($B$65))+MONTH(CS$3)-MONTH($B$65))+1)/MAX(1,'Вводные'!$K$69)&lt;=0.2,0.6,IF(((12*(YEAR(CS$3)-YEAR($B$65))+MONTH(CS$3)-MONTH($B$65))+1)/MAX(1,'Вводные'!$K$69)&lt;=0.8,1.2,0.8)))</x:f>
      </x:c>
      <x:c r="CT71" t="n">
        <x:f>IF(CT70=0,0,IF(((12*(YEAR(CT$3)-YEAR($B$65))+MONTH(CT$3)-MONTH($B$65))+1)/MAX(1,'Вводные'!$K$69)&lt;=0.2,0.6,IF(((12*(YEAR(CT$3)-YEAR($B$65))+MONTH(CT$3)-MONTH($B$65))+1)/MAX(1,'Вводные'!$K$69)&lt;=0.8,1.2,0.8)))</x:f>
      </x:c>
      <x:c r="CU71" t="n">
        <x:f>IF(CU70=0,0,IF(((12*(YEAR(CU$3)-YEAR($B$65))+MONTH(CU$3)-MONTH($B$65))+1)/MAX(1,'Вводные'!$K$69)&lt;=0.2,0.6,IF(((12*(YEAR(CU$3)-YEAR($B$65))+MONTH(CU$3)-MONTH($B$65))+1)/MAX(1,'Вводные'!$K$69)&lt;=0.8,1.2,0.8)))</x:f>
      </x:c>
      <x:c r="CV71" t="n">
        <x:f>IF(CV70=0,0,IF(((12*(YEAR(CV$3)-YEAR($B$65))+MONTH(CV$3)-MONTH($B$65))+1)/MAX(1,'Вводные'!$K$69)&lt;=0.2,0.6,IF(((12*(YEAR(CV$3)-YEAR($B$65))+MONTH(CV$3)-MONTH($B$65))+1)/MAX(1,'Вводные'!$K$69)&lt;=0.8,1.2,0.8)))</x:f>
      </x:c>
      <x:c r="CW71" t="n">
        <x:f>IF(CW70=0,0,IF(((12*(YEAR(CW$3)-YEAR($B$65))+MONTH(CW$3)-MONTH($B$65))+1)/MAX(1,'Вводные'!$K$69)&lt;=0.2,0.6,IF(((12*(YEAR(CW$3)-YEAR($B$65))+MONTH(CW$3)-MONTH($B$65))+1)/MAX(1,'Вводные'!$K$69)&lt;=0.8,1.2,0.8)))</x:f>
      </x:c>
      <x:c r="CX71" t="n">
        <x:f>IF(CX70=0,0,IF(((12*(YEAR(CX$3)-YEAR($B$65))+MONTH(CX$3)-MONTH($B$65))+1)/MAX(1,'Вводные'!$K$69)&lt;=0.2,0.6,IF(((12*(YEAR(CX$3)-YEAR($B$65))+MONTH(CX$3)-MONTH($B$65))+1)/MAX(1,'Вводные'!$K$69)&lt;=0.8,1.2,0.8)))</x:f>
      </x:c>
      <x:c r="CY71" t="n">
        <x:f>IF(CY70=0,0,IF(((12*(YEAR(CY$3)-YEAR($B$65))+MONTH(CY$3)-MONTH($B$65))+1)/MAX(1,'Вводные'!$K$69)&lt;=0.2,0.6,IF(((12*(YEAR(CY$3)-YEAR($B$65))+MONTH(CY$3)-MONTH($B$65))+1)/MAX(1,'Вводные'!$K$69)&lt;=0.8,1.2,0.8)))</x:f>
      </x:c>
      <x:c r="CZ71" t="n">
        <x:f>IF(CZ70=0,0,IF(((12*(YEAR(CZ$3)-YEAR($B$65))+MONTH(CZ$3)-MONTH($B$65))+1)/MAX(1,'Вводные'!$K$69)&lt;=0.2,0.6,IF(((12*(YEAR(CZ$3)-YEAR($B$65))+MONTH(CZ$3)-MONTH($B$65))+1)/MAX(1,'Вводные'!$K$69)&lt;=0.8,1.2,0.8)))</x:f>
      </x:c>
      <x:c r="DA71" t="n">
        <x:f>IF(DA70=0,0,IF(((12*(YEAR(DA$3)-YEAR($B$65))+MONTH(DA$3)-MONTH($B$65))+1)/MAX(1,'Вводные'!$K$69)&lt;=0.2,0.6,IF(((12*(YEAR(DA$3)-YEAR($B$65))+MONTH(DA$3)-MONTH($B$65))+1)/MAX(1,'Вводные'!$K$69)&lt;=0.8,1.2,0.8)))</x:f>
      </x:c>
      <x:c r="DB71" t="n">
        <x:f>IF(DB70=0,0,IF(((12*(YEAR(DB$3)-YEAR($B$65))+MONTH(DB$3)-MONTH($B$65))+1)/MAX(1,'Вводные'!$K$69)&lt;=0.2,0.6,IF(((12*(YEAR(DB$3)-YEAR($B$65))+MONTH(DB$3)-MONTH($B$65))+1)/MAX(1,'Вводные'!$K$69)&lt;=0.8,1.2,0.8)))</x:f>
      </x:c>
      <x:c r="DC71" t="n">
        <x:f>IF(DC70=0,0,IF(((12*(YEAR(DC$3)-YEAR($B$65))+MONTH(DC$3)-MONTH($B$65))+1)/MAX(1,'Вводные'!$K$69)&lt;=0.2,0.6,IF(((12*(YEAR(DC$3)-YEAR($B$65))+MONTH(DC$3)-MONTH($B$65))+1)/MAX(1,'Вводные'!$K$69)&lt;=0.8,1.2,0.8)))</x:f>
      </x:c>
      <x:c r="DD71" t="n">
        <x:f>IF(DD70=0,0,IF(((12*(YEAR(DD$3)-YEAR($B$65))+MONTH(DD$3)-MONTH($B$65))+1)/MAX(1,'Вводные'!$K$69)&lt;=0.2,0.6,IF(((12*(YEAR(DD$3)-YEAR($B$65))+MONTH(DD$3)-MONTH($B$65))+1)/MAX(1,'Вводные'!$K$69)&lt;=0.8,1.2,0.8)))</x:f>
      </x:c>
      <x:c r="DE71" t="n">
        <x:f>IF(DE70=0,0,IF(((12*(YEAR(DE$3)-YEAR($B$65))+MONTH(DE$3)-MONTH($B$65))+1)/MAX(1,'Вводные'!$K$69)&lt;=0.2,0.6,IF(((12*(YEAR(DE$3)-YEAR($B$65))+MONTH(DE$3)-MONTH($B$65))+1)/MAX(1,'Вводные'!$K$69)&lt;=0.8,1.2,0.8)))</x:f>
      </x:c>
      <x:c r="DF71" t="n">
        <x:f>IF(DF70=0,0,IF(((12*(YEAR(DF$3)-YEAR($B$65))+MONTH(DF$3)-MONTH($B$65))+1)/MAX(1,'Вводные'!$K$69)&lt;=0.2,0.6,IF(((12*(YEAR(DF$3)-YEAR($B$65))+MONTH(DF$3)-MONTH($B$65))+1)/MAX(1,'Вводные'!$K$69)&lt;=0.8,1.2,0.8)))</x:f>
      </x:c>
      <x:c r="DG71" t="n">
        <x:f>IF(DG70=0,0,IF(((12*(YEAR(DG$3)-YEAR($B$65))+MONTH(DG$3)-MONTH($B$65))+1)/MAX(1,'Вводные'!$K$69)&lt;=0.2,0.6,IF(((12*(YEAR(DG$3)-YEAR($B$65))+MONTH(DG$3)-MONTH($B$65))+1)/MAX(1,'Вводные'!$K$69)&lt;=0.8,1.2,0.8)))</x:f>
      </x:c>
      <x:c r="DH71" t="n">
        <x:f>IF(DH70=0,0,IF(((12*(YEAR(DH$3)-YEAR($B$65))+MONTH(DH$3)-MONTH($B$65))+1)/MAX(1,'Вводные'!$K$69)&lt;=0.2,0.6,IF(((12*(YEAR(DH$3)-YEAR($B$65))+MONTH(DH$3)-MONTH($B$65))+1)/MAX(1,'Вводные'!$K$69)&lt;=0.8,1.2,0.8)))</x:f>
      </x:c>
      <x:c r="DI71" t="n">
        <x:f>IF(DI70=0,0,IF(((12*(YEAR(DI$3)-YEAR($B$65))+MONTH(DI$3)-MONTH($B$65))+1)/MAX(1,'Вводные'!$K$69)&lt;=0.2,0.6,IF(((12*(YEAR(DI$3)-YEAR($B$65))+MONTH(DI$3)-MONTH($B$65))+1)/MAX(1,'Вводные'!$K$69)&lt;=0.8,1.2,0.8)))</x:f>
      </x:c>
      <x:c r="DJ71" t="n">
        <x:f>IF(DJ70=0,0,IF(((12*(YEAR(DJ$3)-YEAR($B$65))+MONTH(DJ$3)-MONTH($B$65))+1)/MAX(1,'Вводные'!$K$69)&lt;=0.2,0.6,IF(((12*(YEAR(DJ$3)-YEAR($B$65))+MONTH(DJ$3)-MONTH($B$65))+1)/MAX(1,'Вводные'!$K$69)&lt;=0.8,1.2,0.8)))</x:f>
      </x:c>
      <x:c r="DK71" t="n">
        <x:f>IF(DK70=0,0,IF(((12*(YEAR(DK$3)-YEAR($B$65))+MONTH(DK$3)-MONTH($B$65))+1)/MAX(1,'Вводные'!$K$69)&lt;=0.2,0.6,IF(((12*(YEAR(DK$3)-YEAR($B$65))+MONTH(DK$3)-MONTH($B$65))+1)/MAX(1,'Вводные'!$K$69)&lt;=0.8,1.2,0.8)))</x:f>
      </x:c>
      <x:c r="DL71" t="n">
        <x:f>IF(DL70=0,0,IF(((12*(YEAR(DL$3)-YEAR($B$65))+MONTH(DL$3)-MONTH($B$65))+1)/MAX(1,'Вводные'!$K$69)&lt;=0.2,0.6,IF(((12*(YEAR(DL$3)-YEAR($B$65))+MONTH(DL$3)-MONTH($B$65))+1)/MAX(1,'Вводные'!$K$69)&lt;=0.8,1.2,0.8)))</x:f>
      </x:c>
      <x:c r="DM71" t="n">
        <x:f>IF(DM70=0,0,IF(((12*(YEAR(DM$3)-YEAR($B$65))+MONTH(DM$3)-MONTH($B$65))+1)/MAX(1,'Вводные'!$K$69)&lt;=0.2,0.6,IF(((12*(YEAR(DM$3)-YEAR($B$65))+MONTH(DM$3)-MONTH($B$65))+1)/MAX(1,'Вводные'!$K$69)&lt;=0.8,1.2,0.8)))</x:f>
      </x:c>
      <x:c r="DN71" t="n">
        <x:f>IF(DN70=0,0,IF(((12*(YEAR(DN$3)-YEAR($B$65))+MONTH(DN$3)-MONTH($B$65))+1)/MAX(1,'Вводные'!$K$69)&lt;=0.2,0.6,IF(((12*(YEAR(DN$3)-YEAR($B$65))+MONTH(DN$3)-MONTH($B$65))+1)/MAX(1,'Вводные'!$K$69)&lt;=0.8,1.2,0.8)))</x:f>
      </x:c>
      <x:c r="DO71" t="n">
        <x:f>IF(DO70=0,0,IF(((12*(YEAR(DO$3)-YEAR($B$65))+MONTH(DO$3)-MONTH($B$65))+1)/MAX(1,'Вводные'!$K$69)&lt;=0.2,0.6,IF(((12*(YEAR(DO$3)-YEAR($B$65))+MONTH(DO$3)-MONTH($B$65))+1)/MAX(1,'Вводные'!$K$69)&lt;=0.8,1.2,0.8)))</x:f>
      </x:c>
      <x:c r="DP71" t="n">
        <x:f>IF(DP70=0,0,IF(((12*(YEAR(DP$3)-YEAR($B$65))+MONTH(DP$3)-MONTH($B$65))+1)/MAX(1,'Вводные'!$K$69)&lt;=0.2,0.6,IF(((12*(YEAR(DP$3)-YEAR($B$65))+MONTH(DP$3)-MONTH($B$65))+1)/MAX(1,'Вводные'!$K$69)&lt;=0.8,1.2,0.8)))</x:f>
      </x:c>
      <x:c r="DQ71" t="n">
        <x:f>IF(DQ70=0,0,IF(((12*(YEAR(DQ$3)-YEAR($B$65))+MONTH(DQ$3)-MONTH($B$65))+1)/MAX(1,'Вводные'!$K$69)&lt;=0.2,0.6,IF(((12*(YEAR(DQ$3)-YEAR($B$65))+MONTH(DQ$3)-MONTH($B$65))+1)/MAX(1,'Вводные'!$K$69)&lt;=0.8,1.2,0.8)))</x:f>
      </x:c>
      <x:c r="DR71" t="n">
        <x:f>IF(DR70=0,0,IF(((12*(YEAR(DR$3)-YEAR($B$65))+MONTH(DR$3)-MONTH($B$65))+1)/MAX(1,'Вводные'!$K$69)&lt;=0.2,0.6,IF(((12*(YEAR(DR$3)-YEAR($B$65))+MONTH(DR$3)-MONTH($B$65))+1)/MAX(1,'Вводные'!$K$69)&lt;=0.8,1.2,0.8)))</x:f>
      </x:c>
      <x:c r="DS71" t="n">
        <x:f>IF(DS70=0,0,IF(((12*(YEAR(DS$3)-YEAR($B$65))+MONTH(DS$3)-MONTH($B$65))+1)/MAX(1,'Вводные'!$K$69)&lt;=0.2,0.6,IF(((12*(YEAR(DS$3)-YEAR($B$65))+MONTH(DS$3)-MONTH($B$65))+1)/MAX(1,'Вводные'!$K$69)&lt;=0.8,1.2,0.8)))</x:f>
      </x:c>
    </x:row>
    <x:row r="72">
      <x:c r="A72" t="str">
        <x:v>Нормированный вес строительства</x:v>
      </x:c>
      <x:c r="B72" s="35" t="n">
        <x:f>SUM(D72:DS72)</x:f>
      </x:c>
      <x:c r="C72" t="str">
        <x:v>%</x:v>
      </x:c>
      <x:c r="D72" s="35" t="n">
        <x:f>IFERROR(D71/SUM($D71:$DS71),0)</x:f>
      </x:c>
      <x:c r="E72" s="35" t="n">
        <x:f>IFERROR(E71/SUM($D71:$DS71),0)</x:f>
      </x:c>
      <x:c r="F72" s="35" t="n">
        <x:f>IFERROR(F71/SUM($D71:$DS71),0)</x:f>
      </x:c>
      <x:c r="G72" s="35" t="n">
        <x:f>IFERROR(G71/SUM($D71:$DS71),0)</x:f>
      </x:c>
      <x:c r="H72" s="35" t="n">
        <x:f>IFERROR(H71/SUM($D71:$DS71),0)</x:f>
      </x:c>
      <x:c r="I72" s="35" t="n">
        <x:f>IFERROR(I71/SUM($D71:$DS71),0)</x:f>
      </x:c>
      <x:c r="J72" s="35" t="n">
        <x:f>IFERROR(J71/SUM($D71:$DS71),0)</x:f>
      </x:c>
      <x:c r="K72" s="35" t="n">
        <x:f>IFERROR(K71/SUM($D71:$DS71),0)</x:f>
      </x:c>
      <x:c r="L72" s="35" t="n">
        <x:f>IFERROR(L71/SUM($D71:$DS71),0)</x:f>
      </x:c>
      <x:c r="M72" s="35" t="n">
        <x:f>IFERROR(M71/SUM($D71:$DS71),0)</x:f>
      </x:c>
      <x:c r="N72" s="35" t="n">
        <x:f>IFERROR(N71/SUM($D71:$DS71),0)</x:f>
      </x:c>
      <x:c r="O72" s="35" t="n">
        <x:f>IFERROR(O71/SUM($D71:$DS71),0)</x:f>
      </x:c>
      <x:c r="P72" s="35" t="n">
        <x:f>IFERROR(P71/SUM($D71:$DS71),0)</x:f>
      </x:c>
      <x:c r="Q72" s="35" t="n">
        <x:f>IFERROR(Q71/SUM($D71:$DS71),0)</x:f>
      </x:c>
      <x:c r="R72" s="35" t="n">
        <x:f>IFERROR(R71/SUM($D71:$DS71),0)</x:f>
      </x:c>
      <x:c r="S72" s="35" t="n">
        <x:f>IFERROR(S71/SUM($D71:$DS71),0)</x:f>
      </x:c>
      <x:c r="T72" s="35" t="n">
        <x:f>IFERROR(T71/SUM($D71:$DS71),0)</x:f>
      </x:c>
      <x:c r="U72" s="35" t="n">
        <x:f>IFERROR(U71/SUM($D71:$DS71),0)</x:f>
      </x:c>
      <x:c r="V72" s="35" t="n">
        <x:f>IFERROR(V71/SUM($D71:$DS71),0)</x:f>
      </x:c>
      <x:c r="W72" s="35" t="n">
        <x:f>IFERROR(W71/SUM($D71:$DS71),0)</x:f>
      </x:c>
      <x:c r="X72" s="35" t="n">
        <x:f>IFERROR(X71/SUM($D71:$DS71),0)</x:f>
      </x:c>
      <x:c r="Y72" s="35" t="n">
        <x:f>IFERROR(Y71/SUM($D71:$DS71),0)</x:f>
      </x:c>
      <x:c r="Z72" s="35" t="n">
        <x:f>IFERROR(Z71/SUM($D71:$DS71),0)</x:f>
      </x:c>
      <x:c r="AA72" s="35" t="n">
        <x:f>IFERROR(AA71/SUM($D71:$DS71),0)</x:f>
      </x:c>
      <x:c r="AB72" s="35" t="n">
        <x:f>IFERROR(AB71/SUM($D71:$DS71),0)</x:f>
      </x:c>
      <x:c r="AC72" s="35" t="n">
        <x:f>IFERROR(AC71/SUM($D71:$DS71),0)</x:f>
      </x:c>
      <x:c r="AD72" s="35" t="n">
        <x:f>IFERROR(AD71/SUM($D71:$DS71),0)</x:f>
      </x:c>
      <x:c r="AE72" s="35" t="n">
        <x:f>IFERROR(AE71/SUM($D71:$DS71),0)</x:f>
      </x:c>
      <x:c r="AF72" s="35" t="n">
        <x:f>IFERROR(AF71/SUM($D71:$DS71),0)</x:f>
      </x:c>
      <x:c r="AG72" s="35" t="n">
        <x:f>IFERROR(AG71/SUM($D71:$DS71),0)</x:f>
      </x:c>
      <x:c r="AH72" s="35" t="n">
        <x:f>IFERROR(AH71/SUM($D71:$DS71),0)</x:f>
      </x:c>
      <x:c r="AI72" s="35" t="n">
        <x:f>IFERROR(AI71/SUM($D71:$DS71),0)</x:f>
      </x:c>
      <x:c r="AJ72" s="35" t="n">
        <x:f>IFERROR(AJ71/SUM($D71:$DS71),0)</x:f>
      </x:c>
      <x:c r="AK72" s="35" t="n">
        <x:f>IFERROR(AK71/SUM($D71:$DS71),0)</x:f>
      </x:c>
      <x:c r="AL72" s="35" t="n">
        <x:f>IFERROR(AL71/SUM($D71:$DS71),0)</x:f>
      </x:c>
      <x:c r="AM72" s="35" t="n">
        <x:f>IFERROR(AM71/SUM($D71:$DS71),0)</x:f>
      </x:c>
      <x:c r="AN72" s="35" t="n">
        <x:f>IFERROR(AN71/SUM($D71:$DS71),0)</x:f>
      </x:c>
      <x:c r="AO72" s="35" t="n">
        <x:f>IFERROR(AO71/SUM($D71:$DS71),0)</x:f>
      </x:c>
      <x:c r="AP72" s="35" t="n">
        <x:f>IFERROR(AP71/SUM($D71:$DS71),0)</x:f>
      </x:c>
      <x:c r="AQ72" s="35" t="n">
        <x:f>IFERROR(AQ71/SUM($D71:$DS71),0)</x:f>
      </x:c>
      <x:c r="AR72" s="35" t="n">
        <x:f>IFERROR(AR71/SUM($D71:$DS71),0)</x:f>
      </x:c>
      <x:c r="AS72" s="35" t="n">
        <x:f>IFERROR(AS71/SUM($D71:$DS71),0)</x:f>
      </x:c>
      <x:c r="AT72" s="35" t="n">
        <x:f>IFERROR(AT71/SUM($D71:$DS71),0)</x:f>
      </x:c>
      <x:c r="AU72" s="35" t="n">
        <x:f>IFERROR(AU71/SUM($D71:$DS71),0)</x:f>
      </x:c>
      <x:c r="AV72" s="35" t="n">
        <x:f>IFERROR(AV71/SUM($D71:$DS71),0)</x:f>
      </x:c>
      <x:c r="AW72" s="35" t="n">
        <x:f>IFERROR(AW71/SUM($D71:$DS71),0)</x:f>
      </x:c>
      <x:c r="AX72" s="35" t="n">
        <x:f>IFERROR(AX71/SUM($D71:$DS71),0)</x:f>
      </x:c>
      <x:c r="AY72" s="35" t="n">
        <x:f>IFERROR(AY71/SUM($D71:$DS71),0)</x:f>
      </x:c>
      <x:c r="AZ72" s="35" t="n">
        <x:f>IFERROR(AZ71/SUM($D71:$DS71),0)</x:f>
      </x:c>
      <x:c r="BA72" s="35" t="n">
        <x:f>IFERROR(BA71/SUM($D71:$DS71),0)</x:f>
      </x:c>
      <x:c r="BB72" s="35" t="n">
        <x:f>IFERROR(BB71/SUM($D71:$DS71),0)</x:f>
      </x:c>
      <x:c r="BC72" s="35" t="n">
        <x:f>IFERROR(BC71/SUM($D71:$DS71),0)</x:f>
      </x:c>
      <x:c r="BD72" s="35" t="n">
        <x:f>IFERROR(BD71/SUM($D71:$DS71),0)</x:f>
      </x:c>
      <x:c r="BE72" s="35" t="n">
        <x:f>IFERROR(BE71/SUM($D71:$DS71),0)</x:f>
      </x:c>
      <x:c r="BF72" s="35" t="n">
        <x:f>IFERROR(BF71/SUM($D71:$DS71),0)</x:f>
      </x:c>
      <x:c r="BG72" s="35" t="n">
        <x:f>IFERROR(BG71/SUM($D71:$DS71),0)</x:f>
      </x:c>
      <x:c r="BH72" s="35" t="n">
        <x:f>IFERROR(BH71/SUM($D71:$DS71),0)</x:f>
      </x:c>
      <x:c r="BI72" s="35" t="n">
        <x:f>IFERROR(BI71/SUM($D71:$DS71),0)</x:f>
      </x:c>
      <x:c r="BJ72" s="35" t="n">
        <x:f>IFERROR(BJ71/SUM($D71:$DS71),0)</x:f>
      </x:c>
      <x:c r="BK72" s="35" t="n">
        <x:f>IFERROR(BK71/SUM($D71:$DS71),0)</x:f>
      </x:c>
      <x:c r="BL72" s="35" t="n">
        <x:f>IFERROR(BL71/SUM($D71:$DS71),0)</x:f>
      </x:c>
      <x:c r="BM72" s="35" t="n">
        <x:f>IFERROR(BM71/SUM($D71:$DS71),0)</x:f>
      </x:c>
      <x:c r="BN72" s="35" t="n">
        <x:f>IFERROR(BN71/SUM($D71:$DS71),0)</x:f>
      </x:c>
      <x:c r="BO72" s="35" t="n">
        <x:f>IFERROR(BO71/SUM($D71:$DS71),0)</x:f>
      </x:c>
      <x:c r="BP72" s="35" t="n">
        <x:f>IFERROR(BP71/SUM($D71:$DS71),0)</x:f>
      </x:c>
      <x:c r="BQ72" s="35" t="n">
        <x:f>IFERROR(BQ71/SUM($D71:$DS71),0)</x:f>
      </x:c>
      <x:c r="BR72" s="35" t="n">
        <x:f>IFERROR(BR71/SUM($D71:$DS71),0)</x:f>
      </x:c>
      <x:c r="BS72" s="35" t="n">
        <x:f>IFERROR(BS71/SUM($D71:$DS71),0)</x:f>
      </x:c>
      <x:c r="BT72" s="35" t="n">
        <x:f>IFERROR(BT71/SUM($D71:$DS71),0)</x:f>
      </x:c>
      <x:c r="BU72" s="35" t="n">
        <x:f>IFERROR(BU71/SUM($D71:$DS71),0)</x:f>
      </x:c>
      <x:c r="BV72" s="35" t="n">
        <x:f>IFERROR(BV71/SUM($D71:$DS71),0)</x:f>
      </x:c>
      <x:c r="BW72" s="35" t="n">
        <x:f>IFERROR(BW71/SUM($D71:$DS71),0)</x:f>
      </x:c>
      <x:c r="BX72" s="35" t="n">
        <x:f>IFERROR(BX71/SUM($D71:$DS71),0)</x:f>
      </x:c>
      <x:c r="BY72" s="35" t="n">
        <x:f>IFERROR(BY71/SUM($D71:$DS71),0)</x:f>
      </x:c>
      <x:c r="BZ72" s="35" t="n">
        <x:f>IFERROR(BZ71/SUM($D71:$DS71),0)</x:f>
      </x:c>
      <x:c r="CA72" s="35" t="n">
        <x:f>IFERROR(CA71/SUM($D71:$DS71),0)</x:f>
      </x:c>
      <x:c r="CB72" s="35" t="n">
        <x:f>IFERROR(CB71/SUM($D71:$DS71),0)</x:f>
      </x:c>
      <x:c r="CC72" s="35" t="n">
        <x:f>IFERROR(CC71/SUM($D71:$DS71),0)</x:f>
      </x:c>
      <x:c r="CD72" s="35" t="n">
        <x:f>IFERROR(CD71/SUM($D71:$DS71),0)</x:f>
      </x:c>
      <x:c r="CE72" s="35" t="n">
        <x:f>IFERROR(CE71/SUM($D71:$DS71),0)</x:f>
      </x:c>
      <x:c r="CF72" s="35" t="n">
        <x:f>IFERROR(CF71/SUM($D71:$DS71),0)</x:f>
      </x:c>
      <x:c r="CG72" s="35" t="n">
        <x:f>IFERROR(CG71/SUM($D71:$DS71),0)</x:f>
      </x:c>
      <x:c r="CH72" s="35" t="n">
        <x:f>IFERROR(CH71/SUM($D71:$DS71),0)</x:f>
      </x:c>
      <x:c r="CI72" s="35" t="n">
        <x:f>IFERROR(CI71/SUM($D71:$DS71),0)</x:f>
      </x:c>
      <x:c r="CJ72" s="35" t="n">
        <x:f>IFERROR(CJ71/SUM($D71:$DS71),0)</x:f>
      </x:c>
      <x:c r="CK72" s="35" t="n">
        <x:f>IFERROR(CK71/SUM($D71:$DS71),0)</x:f>
      </x:c>
      <x:c r="CL72" s="35" t="n">
        <x:f>IFERROR(CL71/SUM($D71:$DS71),0)</x:f>
      </x:c>
      <x:c r="CM72" s="35" t="n">
        <x:f>IFERROR(CM71/SUM($D71:$DS71),0)</x:f>
      </x:c>
      <x:c r="CN72" s="35" t="n">
        <x:f>IFERROR(CN71/SUM($D71:$DS71),0)</x:f>
      </x:c>
      <x:c r="CO72" s="35" t="n">
        <x:f>IFERROR(CO71/SUM($D71:$DS71),0)</x:f>
      </x:c>
      <x:c r="CP72" s="35" t="n">
        <x:f>IFERROR(CP71/SUM($D71:$DS71),0)</x:f>
      </x:c>
      <x:c r="CQ72" s="35" t="n">
        <x:f>IFERROR(CQ71/SUM($D71:$DS71),0)</x:f>
      </x:c>
      <x:c r="CR72" s="35" t="n">
        <x:f>IFERROR(CR71/SUM($D71:$DS71),0)</x:f>
      </x:c>
      <x:c r="CS72" s="35" t="n">
        <x:f>IFERROR(CS71/SUM($D71:$DS71),0)</x:f>
      </x:c>
      <x:c r="CT72" s="35" t="n">
        <x:f>IFERROR(CT71/SUM($D71:$DS71),0)</x:f>
      </x:c>
      <x:c r="CU72" s="35" t="n">
        <x:f>IFERROR(CU71/SUM($D71:$DS71),0)</x:f>
      </x:c>
      <x:c r="CV72" s="35" t="n">
        <x:f>IFERROR(CV71/SUM($D71:$DS71),0)</x:f>
      </x:c>
      <x:c r="CW72" s="35" t="n">
        <x:f>IFERROR(CW71/SUM($D71:$DS71),0)</x:f>
      </x:c>
      <x:c r="CX72" s="35" t="n">
        <x:f>IFERROR(CX71/SUM($D71:$DS71),0)</x:f>
      </x:c>
      <x:c r="CY72" s="35" t="n">
        <x:f>IFERROR(CY71/SUM($D71:$DS71),0)</x:f>
      </x:c>
      <x:c r="CZ72" s="35" t="n">
        <x:f>IFERROR(CZ71/SUM($D71:$DS71),0)</x:f>
      </x:c>
      <x:c r="DA72" s="35" t="n">
        <x:f>IFERROR(DA71/SUM($D71:$DS71),0)</x:f>
      </x:c>
      <x:c r="DB72" s="35" t="n">
        <x:f>IFERROR(DB71/SUM($D71:$DS71),0)</x:f>
      </x:c>
      <x:c r="DC72" s="35" t="n">
        <x:f>IFERROR(DC71/SUM($D71:$DS71),0)</x:f>
      </x:c>
      <x:c r="DD72" s="35" t="n">
        <x:f>IFERROR(DD71/SUM($D71:$DS71),0)</x:f>
      </x:c>
      <x:c r="DE72" s="35" t="n">
        <x:f>IFERROR(DE71/SUM($D71:$DS71),0)</x:f>
      </x:c>
      <x:c r="DF72" s="35" t="n">
        <x:f>IFERROR(DF71/SUM($D71:$DS71),0)</x:f>
      </x:c>
      <x:c r="DG72" s="35" t="n">
        <x:f>IFERROR(DG71/SUM($D71:$DS71),0)</x:f>
      </x:c>
      <x:c r="DH72" s="35" t="n">
        <x:f>IFERROR(DH71/SUM($D71:$DS71),0)</x:f>
      </x:c>
      <x:c r="DI72" s="35" t="n">
        <x:f>IFERROR(DI71/SUM($D71:$DS71),0)</x:f>
      </x:c>
      <x:c r="DJ72" s="35" t="n">
        <x:f>IFERROR(DJ71/SUM($D71:$DS71),0)</x:f>
      </x:c>
      <x:c r="DK72" s="35" t="n">
        <x:f>IFERROR(DK71/SUM($D71:$DS71),0)</x:f>
      </x:c>
      <x:c r="DL72" s="35" t="n">
        <x:f>IFERROR(DL71/SUM($D71:$DS71),0)</x:f>
      </x:c>
      <x:c r="DM72" s="35" t="n">
        <x:f>IFERROR(DM71/SUM($D71:$DS71),0)</x:f>
      </x:c>
      <x:c r="DN72" s="35" t="n">
        <x:f>IFERROR(DN71/SUM($D71:$DS71),0)</x:f>
      </x:c>
      <x:c r="DO72" s="35" t="n">
        <x:f>IFERROR(DO71/SUM($D71:$DS71),0)</x:f>
      </x:c>
      <x:c r="DP72" s="35" t="n">
        <x:f>IFERROR(DP71/SUM($D71:$DS71),0)</x:f>
      </x:c>
      <x:c r="DQ72" s="35" t="n">
        <x:f>IFERROR(DQ71/SUM($D71:$DS71),0)</x:f>
      </x:c>
      <x:c r="DR72" s="35" t="n">
        <x:f>IFERROR(DR71/SUM($D71:$DS71),0)</x:f>
      </x:c>
      <x:c r="DS72" s="35" t="n">
        <x:f>IFERROR(DS71/SUM($D71:$DS71),0)</x:f>
      </x:c>
    </x:row>
    <x:row r="73">
      <x:c r="A73" t="str">
        <x:v>Флаг продаж до РВЭ</x:v>
      </x:c>
      <x:c r="B73" s="35"/>
      <x:c r="C73" t="str">
        <x:v>0 / 1</x:v>
      </x:c>
      <x:c r="D73" s="35" t="n">
        <x:f>--AND(D$3&gt;=$B$67,D$3&lt;$B$66,D$3&lt;EDATE($B$67,MAX(1,'Вводные'!$K$73)),AND($B$63="Да",IFERROR(INDEX('Вводные'!$B$88:$B$91,$B$64),"Нет")="Да"))</x:f>
      </x:c>
      <x:c r="E73" s="35" t="n">
        <x:f>--AND(E$3&gt;=$B$67,E$3&lt;$B$66,E$3&lt;EDATE($B$67,MAX(1,'Вводные'!$K$73)),AND($B$63="Да",IFERROR(INDEX('Вводные'!$B$88:$B$91,$B$64),"Нет")="Да"))</x:f>
      </x:c>
      <x:c r="F73" s="35" t="n">
        <x:f>--AND(F$3&gt;=$B$67,F$3&lt;$B$66,F$3&lt;EDATE($B$67,MAX(1,'Вводные'!$K$73)),AND($B$63="Да",IFERROR(INDEX('Вводные'!$B$88:$B$91,$B$64),"Нет")="Да"))</x:f>
      </x:c>
      <x:c r="G73" s="35" t="n">
        <x:f>--AND(G$3&gt;=$B$67,G$3&lt;$B$66,G$3&lt;EDATE($B$67,MAX(1,'Вводные'!$K$73)),AND($B$63="Да",IFERROR(INDEX('Вводные'!$B$88:$B$91,$B$64),"Нет")="Да"))</x:f>
      </x:c>
      <x:c r="H73" s="35" t="n">
        <x:f>--AND(H$3&gt;=$B$67,H$3&lt;$B$66,H$3&lt;EDATE($B$67,MAX(1,'Вводные'!$K$73)),AND($B$63="Да",IFERROR(INDEX('Вводные'!$B$88:$B$91,$B$64),"Нет")="Да"))</x:f>
      </x:c>
      <x:c r="I73" s="35" t="n">
        <x:f>--AND(I$3&gt;=$B$67,I$3&lt;$B$66,I$3&lt;EDATE($B$67,MAX(1,'Вводные'!$K$73)),AND($B$63="Да",IFERROR(INDEX('Вводные'!$B$88:$B$91,$B$64),"Нет")="Да"))</x:f>
      </x:c>
      <x:c r="J73" s="35" t="n">
        <x:f>--AND(J$3&gt;=$B$67,J$3&lt;$B$66,J$3&lt;EDATE($B$67,MAX(1,'Вводные'!$K$73)),AND($B$63="Да",IFERROR(INDEX('Вводные'!$B$88:$B$91,$B$64),"Нет")="Да"))</x:f>
      </x:c>
      <x:c r="K73" s="35" t="n">
        <x:f>--AND(K$3&gt;=$B$67,K$3&lt;$B$66,K$3&lt;EDATE($B$67,MAX(1,'Вводные'!$K$73)),AND($B$63="Да",IFERROR(INDEX('Вводные'!$B$88:$B$91,$B$64),"Нет")="Да"))</x:f>
      </x:c>
      <x:c r="L73" s="35" t="n">
        <x:f>--AND(L$3&gt;=$B$67,L$3&lt;$B$66,L$3&lt;EDATE($B$67,MAX(1,'Вводные'!$K$73)),AND($B$63="Да",IFERROR(INDEX('Вводные'!$B$88:$B$91,$B$64),"Нет")="Да"))</x:f>
      </x:c>
      <x:c r="M73" s="35" t="n">
        <x:f>--AND(M$3&gt;=$B$67,M$3&lt;$B$66,M$3&lt;EDATE($B$67,MAX(1,'Вводные'!$K$73)),AND($B$63="Да",IFERROR(INDEX('Вводные'!$B$88:$B$91,$B$64),"Нет")="Да"))</x:f>
      </x:c>
      <x:c r="N73" s="35" t="n">
        <x:f>--AND(N$3&gt;=$B$67,N$3&lt;$B$66,N$3&lt;EDATE($B$67,MAX(1,'Вводные'!$K$73)),AND($B$63="Да",IFERROR(INDEX('Вводные'!$B$88:$B$91,$B$64),"Нет")="Да"))</x:f>
      </x:c>
      <x:c r="O73" s="35" t="n">
        <x:f>--AND(O$3&gt;=$B$67,O$3&lt;$B$66,O$3&lt;EDATE($B$67,MAX(1,'Вводные'!$K$73)),AND($B$63="Да",IFERROR(INDEX('Вводные'!$B$88:$B$91,$B$64),"Нет")="Да"))</x:f>
      </x:c>
      <x:c r="P73" s="35" t="n">
        <x:f>--AND(P$3&gt;=$B$67,P$3&lt;$B$66,P$3&lt;EDATE($B$67,MAX(1,'Вводные'!$K$73)),AND($B$63="Да",IFERROR(INDEX('Вводные'!$B$88:$B$91,$B$64),"Нет")="Да"))</x:f>
      </x:c>
      <x:c r="Q73" s="35" t="n">
        <x:f>--AND(Q$3&gt;=$B$67,Q$3&lt;$B$66,Q$3&lt;EDATE($B$67,MAX(1,'Вводные'!$K$73)),AND($B$63="Да",IFERROR(INDEX('Вводные'!$B$88:$B$91,$B$64),"Нет")="Да"))</x:f>
      </x:c>
      <x:c r="R73" s="35" t="n">
        <x:f>--AND(R$3&gt;=$B$67,R$3&lt;$B$66,R$3&lt;EDATE($B$67,MAX(1,'Вводные'!$K$73)),AND($B$63="Да",IFERROR(INDEX('Вводные'!$B$88:$B$91,$B$64),"Нет")="Да"))</x:f>
      </x:c>
      <x:c r="S73" s="35" t="n">
        <x:f>--AND(S$3&gt;=$B$67,S$3&lt;$B$66,S$3&lt;EDATE($B$67,MAX(1,'Вводные'!$K$73)),AND($B$63="Да",IFERROR(INDEX('Вводные'!$B$88:$B$91,$B$64),"Нет")="Да"))</x:f>
      </x:c>
      <x:c r="T73" s="35" t="n">
        <x:f>--AND(T$3&gt;=$B$67,T$3&lt;$B$66,T$3&lt;EDATE($B$67,MAX(1,'Вводные'!$K$73)),AND($B$63="Да",IFERROR(INDEX('Вводные'!$B$88:$B$91,$B$64),"Нет")="Да"))</x:f>
      </x:c>
      <x:c r="U73" s="35" t="n">
        <x:f>--AND(U$3&gt;=$B$67,U$3&lt;$B$66,U$3&lt;EDATE($B$67,MAX(1,'Вводные'!$K$73)),AND($B$63="Да",IFERROR(INDEX('Вводные'!$B$88:$B$91,$B$64),"Нет")="Да"))</x:f>
      </x:c>
      <x:c r="V73" s="35" t="n">
        <x:f>--AND(V$3&gt;=$B$67,V$3&lt;$B$66,V$3&lt;EDATE($B$67,MAX(1,'Вводные'!$K$73)),AND($B$63="Да",IFERROR(INDEX('Вводные'!$B$88:$B$91,$B$64),"Нет")="Да"))</x:f>
      </x:c>
      <x:c r="W73" s="35" t="n">
        <x:f>--AND(W$3&gt;=$B$67,W$3&lt;$B$66,W$3&lt;EDATE($B$67,MAX(1,'Вводные'!$K$73)),AND($B$63="Да",IFERROR(INDEX('Вводные'!$B$88:$B$91,$B$64),"Нет")="Да"))</x:f>
      </x:c>
      <x:c r="X73" s="35" t="n">
        <x:f>--AND(X$3&gt;=$B$67,X$3&lt;$B$66,X$3&lt;EDATE($B$67,MAX(1,'Вводные'!$K$73)),AND($B$63="Да",IFERROR(INDEX('Вводные'!$B$88:$B$91,$B$64),"Нет")="Да"))</x:f>
      </x:c>
      <x:c r="Y73" s="35" t="n">
        <x:f>--AND(Y$3&gt;=$B$67,Y$3&lt;$B$66,Y$3&lt;EDATE($B$67,MAX(1,'Вводные'!$K$73)),AND($B$63="Да",IFERROR(INDEX('Вводные'!$B$88:$B$91,$B$64),"Нет")="Да"))</x:f>
      </x:c>
      <x:c r="Z73" s="35" t="n">
        <x:f>--AND(Z$3&gt;=$B$67,Z$3&lt;$B$66,Z$3&lt;EDATE($B$67,MAX(1,'Вводные'!$K$73)),AND($B$63="Да",IFERROR(INDEX('Вводные'!$B$88:$B$91,$B$64),"Нет")="Да"))</x:f>
      </x:c>
      <x:c r="AA73" s="35" t="n">
        <x:f>--AND(AA$3&gt;=$B$67,AA$3&lt;$B$66,AA$3&lt;EDATE($B$67,MAX(1,'Вводные'!$K$73)),AND($B$63="Да",IFERROR(INDEX('Вводные'!$B$88:$B$91,$B$64),"Нет")="Да"))</x:f>
      </x:c>
      <x:c r="AB73" s="35" t="n">
        <x:f>--AND(AB$3&gt;=$B$67,AB$3&lt;$B$66,AB$3&lt;EDATE($B$67,MAX(1,'Вводные'!$K$73)),AND($B$63="Да",IFERROR(INDEX('Вводные'!$B$88:$B$91,$B$64),"Нет")="Да"))</x:f>
      </x:c>
      <x:c r="AC73" s="35" t="n">
        <x:f>--AND(AC$3&gt;=$B$67,AC$3&lt;$B$66,AC$3&lt;EDATE($B$67,MAX(1,'Вводные'!$K$73)),AND($B$63="Да",IFERROR(INDEX('Вводные'!$B$88:$B$91,$B$64),"Нет")="Да"))</x:f>
      </x:c>
      <x:c r="AD73" s="35" t="n">
        <x:f>--AND(AD$3&gt;=$B$67,AD$3&lt;$B$66,AD$3&lt;EDATE($B$67,MAX(1,'Вводные'!$K$73)),AND($B$63="Да",IFERROR(INDEX('Вводные'!$B$88:$B$91,$B$64),"Нет")="Да"))</x:f>
      </x:c>
      <x:c r="AE73" s="35" t="n">
        <x:f>--AND(AE$3&gt;=$B$67,AE$3&lt;$B$66,AE$3&lt;EDATE($B$67,MAX(1,'Вводные'!$K$73)),AND($B$63="Да",IFERROR(INDEX('Вводные'!$B$88:$B$91,$B$64),"Нет")="Да"))</x:f>
      </x:c>
      <x:c r="AF73" s="35" t="n">
        <x:f>--AND(AF$3&gt;=$B$67,AF$3&lt;$B$66,AF$3&lt;EDATE($B$67,MAX(1,'Вводные'!$K$73)),AND($B$63="Да",IFERROR(INDEX('Вводные'!$B$88:$B$91,$B$64),"Нет")="Да"))</x:f>
      </x:c>
      <x:c r="AG73" s="35" t="n">
        <x:f>--AND(AG$3&gt;=$B$67,AG$3&lt;$B$66,AG$3&lt;EDATE($B$67,MAX(1,'Вводные'!$K$73)),AND($B$63="Да",IFERROR(INDEX('Вводные'!$B$88:$B$91,$B$64),"Нет")="Да"))</x:f>
      </x:c>
      <x:c r="AH73" s="35" t="n">
        <x:f>--AND(AH$3&gt;=$B$67,AH$3&lt;$B$66,AH$3&lt;EDATE($B$67,MAX(1,'Вводные'!$K$73)),AND($B$63="Да",IFERROR(INDEX('Вводные'!$B$88:$B$91,$B$64),"Нет")="Да"))</x:f>
      </x:c>
      <x:c r="AI73" s="35" t="n">
        <x:f>--AND(AI$3&gt;=$B$67,AI$3&lt;$B$66,AI$3&lt;EDATE($B$67,MAX(1,'Вводные'!$K$73)),AND($B$63="Да",IFERROR(INDEX('Вводные'!$B$88:$B$91,$B$64),"Нет")="Да"))</x:f>
      </x:c>
      <x:c r="AJ73" s="35" t="n">
        <x:f>--AND(AJ$3&gt;=$B$67,AJ$3&lt;$B$66,AJ$3&lt;EDATE($B$67,MAX(1,'Вводные'!$K$73)),AND($B$63="Да",IFERROR(INDEX('Вводные'!$B$88:$B$91,$B$64),"Нет")="Да"))</x:f>
      </x:c>
      <x:c r="AK73" s="35" t="n">
        <x:f>--AND(AK$3&gt;=$B$67,AK$3&lt;$B$66,AK$3&lt;EDATE($B$67,MAX(1,'Вводные'!$K$73)),AND($B$63="Да",IFERROR(INDEX('Вводные'!$B$88:$B$91,$B$64),"Нет")="Да"))</x:f>
      </x:c>
      <x:c r="AL73" s="35" t="n">
        <x:f>--AND(AL$3&gt;=$B$67,AL$3&lt;$B$66,AL$3&lt;EDATE($B$67,MAX(1,'Вводные'!$K$73)),AND($B$63="Да",IFERROR(INDEX('Вводные'!$B$88:$B$91,$B$64),"Нет")="Да"))</x:f>
      </x:c>
      <x:c r="AM73" s="35" t="n">
        <x:f>--AND(AM$3&gt;=$B$67,AM$3&lt;$B$66,AM$3&lt;EDATE($B$67,MAX(1,'Вводные'!$K$73)),AND($B$63="Да",IFERROR(INDEX('Вводные'!$B$88:$B$91,$B$64),"Нет")="Да"))</x:f>
      </x:c>
      <x:c r="AN73" s="35" t="n">
        <x:f>--AND(AN$3&gt;=$B$67,AN$3&lt;$B$66,AN$3&lt;EDATE($B$67,MAX(1,'Вводные'!$K$73)),AND($B$63="Да",IFERROR(INDEX('Вводные'!$B$88:$B$91,$B$64),"Нет")="Да"))</x:f>
      </x:c>
      <x:c r="AO73" s="35" t="n">
        <x:f>--AND(AO$3&gt;=$B$67,AO$3&lt;$B$66,AO$3&lt;EDATE($B$67,MAX(1,'Вводные'!$K$73)),AND($B$63="Да",IFERROR(INDEX('Вводные'!$B$88:$B$91,$B$64),"Нет")="Да"))</x:f>
      </x:c>
      <x:c r="AP73" s="35" t="n">
        <x:f>--AND(AP$3&gt;=$B$67,AP$3&lt;$B$66,AP$3&lt;EDATE($B$67,MAX(1,'Вводные'!$K$73)),AND($B$63="Да",IFERROR(INDEX('Вводные'!$B$88:$B$91,$B$64),"Нет")="Да"))</x:f>
      </x:c>
      <x:c r="AQ73" s="35" t="n">
        <x:f>--AND(AQ$3&gt;=$B$67,AQ$3&lt;$B$66,AQ$3&lt;EDATE($B$67,MAX(1,'Вводные'!$K$73)),AND($B$63="Да",IFERROR(INDEX('Вводные'!$B$88:$B$91,$B$64),"Нет")="Да"))</x:f>
      </x:c>
      <x:c r="AR73" s="35" t="n">
        <x:f>--AND(AR$3&gt;=$B$67,AR$3&lt;$B$66,AR$3&lt;EDATE($B$67,MAX(1,'Вводные'!$K$73)),AND($B$63="Да",IFERROR(INDEX('Вводные'!$B$88:$B$91,$B$64),"Нет")="Да"))</x:f>
      </x:c>
      <x:c r="AS73" s="35" t="n">
        <x:f>--AND(AS$3&gt;=$B$67,AS$3&lt;$B$66,AS$3&lt;EDATE($B$67,MAX(1,'Вводные'!$K$73)),AND($B$63="Да",IFERROR(INDEX('Вводные'!$B$88:$B$91,$B$64),"Нет")="Да"))</x:f>
      </x:c>
      <x:c r="AT73" s="35" t="n">
        <x:f>--AND(AT$3&gt;=$B$67,AT$3&lt;$B$66,AT$3&lt;EDATE($B$67,MAX(1,'Вводные'!$K$73)),AND($B$63="Да",IFERROR(INDEX('Вводные'!$B$88:$B$91,$B$64),"Нет")="Да"))</x:f>
      </x:c>
      <x:c r="AU73" s="35" t="n">
        <x:f>--AND(AU$3&gt;=$B$67,AU$3&lt;$B$66,AU$3&lt;EDATE($B$67,MAX(1,'Вводные'!$K$73)),AND($B$63="Да",IFERROR(INDEX('Вводные'!$B$88:$B$91,$B$64),"Нет")="Да"))</x:f>
      </x:c>
      <x:c r="AV73" s="35" t="n">
        <x:f>--AND(AV$3&gt;=$B$67,AV$3&lt;$B$66,AV$3&lt;EDATE($B$67,MAX(1,'Вводные'!$K$73)),AND($B$63="Да",IFERROR(INDEX('Вводные'!$B$88:$B$91,$B$64),"Нет")="Да"))</x:f>
      </x:c>
      <x:c r="AW73" s="35" t="n">
        <x:f>--AND(AW$3&gt;=$B$67,AW$3&lt;$B$66,AW$3&lt;EDATE($B$67,MAX(1,'Вводные'!$K$73)),AND($B$63="Да",IFERROR(INDEX('Вводные'!$B$88:$B$91,$B$64),"Нет")="Да"))</x:f>
      </x:c>
      <x:c r="AX73" s="35" t="n">
        <x:f>--AND(AX$3&gt;=$B$67,AX$3&lt;$B$66,AX$3&lt;EDATE($B$67,MAX(1,'Вводные'!$K$73)),AND($B$63="Да",IFERROR(INDEX('Вводные'!$B$88:$B$91,$B$64),"Нет")="Да"))</x:f>
      </x:c>
      <x:c r="AY73" s="35" t="n">
        <x:f>--AND(AY$3&gt;=$B$67,AY$3&lt;$B$66,AY$3&lt;EDATE($B$67,MAX(1,'Вводные'!$K$73)),AND($B$63="Да",IFERROR(INDEX('Вводные'!$B$88:$B$91,$B$64),"Нет")="Да"))</x:f>
      </x:c>
      <x:c r="AZ73" s="35" t="n">
        <x:f>--AND(AZ$3&gt;=$B$67,AZ$3&lt;$B$66,AZ$3&lt;EDATE($B$67,MAX(1,'Вводные'!$K$73)),AND($B$63="Да",IFERROR(INDEX('Вводные'!$B$88:$B$91,$B$64),"Нет")="Да"))</x:f>
      </x:c>
      <x:c r="BA73" s="35" t="n">
        <x:f>--AND(BA$3&gt;=$B$67,BA$3&lt;$B$66,BA$3&lt;EDATE($B$67,MAX(1,'Вводные'!$K$73)),AND($B$63="Да",IFERROR(INDEX('Вводные'!$B$88:$B$91,$B$64),"Нет")="Да"))</x:f>
      </x:c>
      <x:c r="BB73" s="35" t="n">
        <x:f>--AND(BB$3&gt;=$B$67,BB$3&lt;$B$66,BB$3&lt;EDATE($B$67,MAX(1,'Вводные'!$K$73)),AND($B$63="Да",IFERROR(INDEX('Вводные'!$B$88:$B$91,$B$64),"Нет")="Да"))</x:f>
      </x:c>
      <x:c r="BC73" s="35" t="n">
        <x:f>--AND(BC$3&gt;=$B$67,BC$3&lt;$B$66,BC$3&lt;EDATE($B$67,MAX(1,'Вводные'!$K$73)),AND($B$63="Да",IFERROR(INDEX('Вводные'!$B$88:$B$91,$B$64),"Нет")="Да"))</x:f>
      </x:c>
      <x:c r="BD73" s="35" t="n">
        <x:f>--AND(BD$3&gt;=$B$67,BD$3&lt;$B$66,BD$3&lt;EDATE($B$67,MAX(1,'Вводные'!$K$73)),AND($B$63="Да",IFERROR(INDEX('Вводные'!$B$88:$B$91,$B$64),"Нет")="Да"))</x:f>
      </x:c>
      <x:c r="BE73" s="35" t="n">
        <x:f>--AND(BE$3&gt;=$B$67,BE$3&lt;$B$66,BE$3&lt;EDATE($B$67,MAX(1,'Вводные'!$K$73)),AND($B$63="Да",IFERROR(INDEX('Вводные'!$B$88:$B$91,$B$64),"Нет")="Да"))</x:f>
      </x:c>
      <x:c r="BF73" s="35" t="n">
        <x:f>--AND(BF$3&gt;=$B$67,BF$3&lt;$B$66,BF$3&lt;EDATE($B$67,MAX(1,'Вводные'!$K$73)),AND($B$63="Да",IFERROR(INDEX('Вводные'!$B$88:$B$91,$B$64),"Нет")="Да"))</x:f>
      </x:c>
      <x:c r="BG73" s="35" t="n">
        <x:f>--AND(BG$3&gt;=$B$67,BG$3&lt;$B$66,BG$3&lt;EDATE($B$67,MAX(1,'Вводные'!$K$73)),AND($B$63="Да",IFERROR(INDEX('Вводные'!$B$88:$B$91,$B$64),"Нет")="Да"))</x:f>
      </x:c>
      <x:c r="BH73" s="35" t="n">
        <x:f>--AND(BH$3&gt;=$B$67,BH$3&lt;$B$66,BH$3&lt;EDATE($B$67,MAX(1,'Вводные'!$K$73)),AND($B$63="Да",IFERROR(INDEX('Вводные'!$B$88:$B$91,$B$64),"Нет")="Да"))</x:f>
      </x:c>
      <x:c r="BI73" s="35" t="n">
        <x:f>--AND(BI$3&gt;=$B$67,BI$3&lt;$B$66,BI$3&lt;EDATE($B$67,MAX(1,'Вводные'!$K$73)),AND($B$63="Да",IFERROR(INDEX('Вводные'!$B$88:$B$91,$B$64),"Нет")="Да"))</x:f>
      </x:c>
      <x:c r="BJ73" s="35" t="n">
        <x:f>--AND(BJ$3&gt;=$B$67,BJ$3&lt;$B$66,BJ$3&lt;EDATE($B$67,MAX(1,'Вводные'!$K$73)),AND($B$63="Да",IFERROR(INDEX('Вводные'!$B$88:$B$91,$B$64),"Нет")="Да"))</x:f>
      </x:c>
      <x:c r="BK73" s="35" t="n">
        <x:f>--AND(BK$3&gt;=$B$67,BK$3&lt;$B$66,BK$3&lt;EDATE($B$67,MAX(1,'Вводные'!$K$73)),AND($B$63="Да",IFERROR(INDEX('Вводные'!$B$88:$B$91,$B$64),"Нет")="Да"))</x:f>
      </x:c>
      <x:c r="BL73" s="35" t="n">
        <x:f>--AND(BL$3&gt;=$B$67,BL$3&lt;$B$66,BL$3&lt;EDATE($B$67,MAX(1,'Вводные'!$K$73)),AND($B$63="Да",IFERROR(INDEX('Вводные'!$B$88:$B$91,$B$64),"Нет")="Да"))</x:f>
      </x:c>
      <x:c r="BM73" s="35" t="n">
        <x:f>--AND(BM$3&gt;=$B$67,BM$3&lt;$B$66,BM$3&lt;EDATE($B$67,MAX(1,'Вводные'!$K$73)),AND($B$63="Да",IFERROR(INDEX('Вводные'!$B$88:$B$91,$B$64),"Нет")="Да"))</x:f>
      </x:c>
      <x:c r="BN73" s="35" t="n">
        <x:f>--AND(BN$3&gt;=$B$67,BN$3&lt;$B$66,BN$3&lt;EDATE($B$67,MAX(1,'Вводные'!$K$73)),AND($B$63="Да",IFERROR(INDEX('Вводные'!$B$88:$B$91,$B$64),"Нет")="Да"))</x:f>
      </x:c>
      <x:c r="BO73" s="35" t="n">
        <x:f>--AND(BO$3&gt;=$B$67,BO$3&lt;$B$66,BO$3&lt;EDATE($B$67,MAX(1,'Вводные'!$K$73)),AND($B$63="Да",IFERROR(INDEX('Вводные'!$B$88:$B$91,$B$64),"Нет")="Да"))</x:f>
      </x:c>
      <x:c r="BP73" s="35" t="n">
        <x:f>--AND(BP$3&gt;=$B$67,BP$3&lt;$B$66,BP$3&lt;EDATE($B$67,MAX(1,'Вводные'!$K$73)),AND($B$63="Да",IFERROR(INDEX('Вводные'!$B$88:$B$91,$B$64),"Нет")="Да"))</x:f>
      </x:c>
      <x:c r="BQ73" s="35" t="n">
        <x:f>--AND(BQ$3&gt;=$B$67,BQ$3&lt;$B$66,BQ$3&lt;EDATE($B$67,MAX(1,'Вводные'!$K$73)),AND($B$63="Да",IFERROR(INDEX('Вводные'!$B$88:$B$91,$B$64),"Нет")="Да"))</x:f>
      </x:c>
      <x:c r="BR73" s="35" t="n">
        <x:f>--AND(BR$3&gt;=$B$67,BR$3&lt;$B$66,BR$3&lt;EDATE($B$67,MAX(1,'Вводные'!$K$73)),AND($B$63="Да",IFERROR(INDEX('Вводные'!$B$88:$B$91,$B$64),"Нет")="Да"))</x:f>
      </x:c>
      <x:c r="BS73" s="35" t="n">
        <x:f>--AND(BS$3&gt;=$B$67,BS$3&lt;$B$66,BS$3&lt;EDATE($B$67,MAX(1,'Вводные'!$K$73)),AND($B$63="Да",IFERROR(INDEX('Вводные'!$B$88:$B$91,$B$64),"Нет")="Да"))</x:f>
      </x:c>
      <x:c r="BT73" s="35" t="n">
        <x:f>--AND(BT$3&gt;=$B$67,BT$3&lt;$B$66,BT$3&lt;EDATE($B$67,MAX(1,'Вводные'!$K$73)),AND($B$63="Да",IFERROR(INDEX('Вводные'!$B$88:$B$91,$B$64),"Нет")="Да"))</x:f>
      </x:c>
      <x:c r="BU73" s="35" t="n">
        <x:f>--AND(BU$3&gt;=$B$67,BU$3&lt;$B$66,BU$3&lt;EDATE($B$67,MAX(1,'Вводные'!$K$73)),AND($B$63="Да",IFERROR(INDEX('Вводные'!$B$88:$B$91,$B$64),"Нет")="Да"))</x:f>
      </x:c>
      <x:c r="BV73" s="35" t="n">
        <x:f>--AND(BV$3&gt;=$B$67,BV$3&lt;$B$66,BV$3&lt;EDATE($B$67,MAX(1,'Вводные'!$K$73)),AND($B$63="Да",IFERROR(INDEX('Вводные'!$B$88:$B$91,$B$64),"Нет")="Да"))</x:f>
      </x:c>
      <x:c r="BW73" s="35" t="n">
        <x:f>--AND(BW$3&gt;=$B$67,BW$3&lt;$B$66,BW$3&lt;EDATE($B$67,MAX(1,'Вводные'!$K$73)),AND($B$63="Да",IFERROR(INDEX('Вводные'!$B$88:$B$91,$B$64),"Нет")="Да"))</x:f>
      </x:c>
      <x:c r="BX73" s="35" t="n">
        <x:f>--AND(BX$3&gt;=$B$67,BX$3&lt;$B$66,BX$3&lt;EDATE($B$67,MAX(1,'Вводные'!$K$73)),AND($B$63="Да",IFERROR(INDEX('Вводные'!$B$88:$B$91,$B$64),"Нет")="Да"))</x:f>
      </x:c>
      <x:c r="BY73" s="35" t="n">
        <x:f>--AND(BY$3&gt;=$B$67,BY$3&lt;$B$66,BY$3&lt;EDATE($B$67,MAX(1,'Вводные'!$K$73)),AND($B$63="Да",IFERROR(INDEX('Вводные'!$B$88:$B$91,$B$64),"Нет")="Да"))</x:f>
      </x:c>
      <x:c r="BZ73" s="35" t="n">
        <x:f>--AND(BZ$3&gt;=$B$67,BZ$3&lt;$B$66,BZ$3&lt;EDATE($B$67,MAX(1,'Вводные'!$K$73)),AND($B$63="Да",IFERROR(INDEX('Вводные'!$B$88:$B$91,$B$64),"Нет")="Да"))</x:f>
      </x:c>
      <x:c r="CA73" s="35" t="n">
        <x:f>--AND(CA$3&gt;=$B$67,CA$3&lt;$B$66,CA$3&lt;EDATE($B$67,MAX(1,'Вводные'!$K$73)),AND($B$63="Да",IFERROR(INDEX('Вводные'!$B$88:$B$91,$B$64),"Нет")="Да"))</x:f>
      </x:c>
      <x:c r="CB73" s="35" t="n">
        <x:f>--AND(CB$3&gt;=$B$67,CB$3&lt;$B$66,CB$3&lt;EDATE($B$67,MAX(1,'Вводные'!$K$73)),AND($B$63="Да",IFERROR(INDEX('Вводные'!$B$88:$B$91,$B$64),"Нет")="Да"))</x:f>
      </x:c>
      <x:c r="CC73" s="35" t="n">
        <x:f>--AND(CC$3&gt;=$B$67,CC$3&lt;$B$66,CC$3&lt;EDATE($B$67,MAX(1,'Вводные'!$K$73)),AND($B$63="Да",IFERROR(INDEX('Вводные'!$B$88:$B$91,$B$64),"Нет")="Да"))</x:f>
      </x:c>
      <x:c r="CD73" s="35" t="n">
        <x:f>--AND(CD$3&gt;=$B$67,CD$3&lt;$B$66,CD$3&lt;EDATE($B$67,MAX(1,'Вводные'!$K$73)),AND($B$63="Да",IFERROR(INDEX('Вводные'!$B$88:$B$91,$B$64),"Нет")="Да"))</x:f>
      </x:c>
      <x:c r="CE73" s="35" t="n">
        <x:f>--AND(CE$3&gt;=$B$67,CE$3&lt;$B$66,CE$3&lt;EDATE($B$67,MAX(1,'Вводные'!$K$73)),AND($B$63="Да",IFERROR(INDEX('Вводные'!$B$88:$B$91,$B$64),"Нет")="Да"))</x:f>
      </x:c>
      <x:c r="CF73" s="35" t="n">
        <x:f>--AND(CF$3&gt;=$B$67,CF$3&lt;$B$66,CF$3&lt;EDATE($B$67,MAX(1,'Вводные'!$K$73)),AND($B$63="Да",IFERROR(INDEX('Вводные'!$B$88:$B$91,$B$64),"Нет")="Да"))</x:f>
      </x:c>
      <x:c r="CG73" s="35" t="n">
        <x:f>--AND(CG$3&gt;=$B$67,CG$3&lt;$B$66,CG$3&lt;EDATE($B$67,MAX(1,'Вводные'!$K$73)),AND($B$63="Да",IFERROR(INDEX('Вводные'!$B$88:$B$91,$B$64),"Нет")="Да"))</x:f>
      </x:c>
      <x:c r="CH73" s="35" t="n">
        <x:f>--AND(CH$3&gt;=$B$67,CH$3&lt;$B$66,CH$3&lt;EDATE($B$67,MAX(1,'Вводные'!$K$73)),AND($B$63="Да",IFERROR(INDEX('Вводные'!$B$88:$B$91,$B$64),"Нет")="Да"))</x:f>
      </x:c>
      <x:c r="CI73" s="35" t="n">
        <x:f>--AND(CI$3&gt;=$B$67,CI$3&lt;$B$66,CI$3&lt;EDATE($B$67,MAX(1,'Вводные'!$K$73)),AND($B$63="Да",IFERROR(INDEX('Вводные'!$B$88:$B$91,$B$64),"Нет")="Да"))</x:f>
      </x:c>
      <x:c r="CJ73" s="35" t="n">
        <x:f>--AND(CJ$3&gt;=$B$67,CJ$3&lt;$B$66,CJ$3&lt;EDATE($B$67,MAX(1,'Вводные'!$K$73)),AND($B$63="Да",IFERROR(INDEX('Вводные'!$B$88:$B$91,$B$64),"Нет")="Да"))</x:f>
      </x:c>
      <x:c r="CK73" s="35" t="n">
        <x:f>--AND(CK$3&gt;=$B$67,CK$3&lt;$B$66,CK$3&lt;EDATE($B$67,MAX(1,'Вводные'!$K$73)),AND($B$63="Да",IFERROR(INDEX('Вводные'!$B$88:$B$91,$B$64),"Нет")="Да"))</x:f>
      </x:c>
      <x:c r="CL73" s="35" t="n">
        <x:f>--AND(CL$3&gt;=$B$67,CL$3&lt;$B$66,CL$3&lt;EDATE($B$67,MAX(1,'Вводные'!$K$73)),AND($B$63="Да",IFERROR(INDEX('Вводные'!$B$88:$B$91,$B$64),"Нет")="Да"))</x:f>
      </x:c>
      <x:c r="CM73" s="35" t="n">
        <x:f>--AND(CM$3&gt;=$B$67,CM$3&lt;$B$66,CM$3&lt;EDATE($B$67,MAX(1,'Вводные'!$K$73)),AND($B$63="Да",IFERROR(INDEX('Вводные'!$B$88:$B$91,$B$64),"Нет")="Да"))</x:f>
      </x:c>
      <x:c r="CN73" s="35" t="n">
        <x:f>--AND(CN$3&gt;=$B$67,CN$3&lt;$B$66,CN$3&lt;EDATE($B$67,MAX(1,'Вводные'!$K$73)),AND($B$63="Да",IFERROR(INDEX('Вводные'!$B$88:$B$91,$B$64),"Нет")="Да"))</x:f>
      </x:c>
      <x:c r="CO73" s="35" t="n">
        <x:f>--AND(CO$3&gt;=$B$67,CO$3&lt;$B$66,CO$3&lt;EDATE($B$67,MAX(1,'Вводные'!$K$73)),AND($B$63="Да",IFERROR(INDEX('Вводные'!$B$88:$B$91,$B$64),"Нет")="Да"))</x:f>
      </x:c>
      <x:c r="CP73" s="35" t="n">
        <x:f>--AND(CP$3&gt;=$B$67,CP$3&lt;$B$66,CP$3&lt;EDATE($B$67,MAX(1,'Вводные'!$K$73)),AND($B$63="Да",IFERROR(INDEX('Вводные'!$B$88:$B$91,$B$64),"Нет")="Да"))</x:f>
      </x:c>
      <x:c r="CQ73" s="35" t="n">
        <x:f>--AND(CQ$3&gt;=$B$67,CQ$3&lt;$B$66,CQ$3&lt;EDATE($B$67,MAX(1,'Вводные'!$K$73)),AND($B$63="Да",IFERROR(INDEX('Вводные'!$B$88:$B$91,$B$64),"Нет")="Да"))</x:f>
      </x:c>
      <x:c r="CR73" s="35" t="n">
        <x:f>--AND(CR$3&gt;=$B$67,CR$3&lt;$B$66,CR$3&lt;EDATE($B$67,MAX(1,'Вводные'!$K$73)),AND($B$63="Да",IFERROR(INDEX('Вводные'!$B$88:$B$91,$B$64),"Нет")="Да"))</x:f>
      </x:c>
      <x:c r="CS73" s="35" t="n">
        <x:f>--AND(CS$3&gt;=$B$67,CS$3&lt;$B$66,CS$3&lt;EDATE($B$67,MAX(1,'Вводные'!$K$73)),AND($B$63="Да",IFERROR(INDEX('Вводные'!$B$88:$B$91,$B$64),"Нет")="Да"))</x:f>
      </x:c>
      <x:c r="CT73" s="35" t="n">
        <x:f>--AND(CT$3&gt;=$B$67,CT$3&lt;$B$66,CT$3&lt;EDATE($B$67,MAX(1,'Вводные'!$K$73)),AND($B$63="Да",IFERROR(INDEX('Вводные'!$B$88:$B$91,$B$64),"Нет")="Да"))</x:f>
      </x:c>
      <x:c r="CU73" s="35" t="n">
        <x:f>--AND(CU$3&gt;=$B$67,CU$3&lt;$B$66,CU$3&lt;EDATE($B$67,MAX(1,'Вводные'!$K$73)),AND($B$63="Да",IFERROR(INDEX('Вводные'!$B$88:$B$91,$B$64),"Нет")="Да"))</x:f>
      </x:c>
      <x:c r="CV73" s="35" t="n">
        <x:f>--AND(CV$3&gt;=$B$67,CV$3&lt;$B$66,CV$3&lt;EDATE($B$67,MAX(1,'Вводные'!$K$73)),AND($B$63="Да",IFERROR(INDEX('Вводные'!$B$88:$B$91,$B$64),"Нет")="Да"))</x:f>
      </x:c>
      <x:c r="CW73" s="35" t="n">
        <x:f>--AND(CW$3&gt;=$B$67,CW$3&lt;$B$66,CW$3&lt;EDATE($B$67,MAX(1,'Вводные'!$K$73)),AND($B$63="Да",IFERROR(INDEX('Вводные'!$B$88:$B$91,$B$64),"Нет")="Да"))</x:f>
      </x:c>
      <x:c r="CX73" s="35" t="n">
        <x:f>--AND(CX$3&gt;=$B$67,CX$3&lt;$B$66,CX$3&lt;EDATE($B$67,MAX(1,'Вводные'!$K$73)),AND($B$63="Да",IFERROR(INDEX('Вводные'!$B$88:$B$91,$B$64),"Нет")="Да"))</x:f>
      </x:c>
      <x:c r="CY73" s="35" t="n">
        <x:f>--AND(CY$3&gt;=$B$67,CY$3&lt;$B$66,CY$3&lt;EDATE($B$67,MAX(1,'Вводные'!$K$73)),AND($B$63="Да",IFERROR(INDEX('Вводные'!$B$88:$B$91,$B$64),"Нет")="Да"))</x:f>
      </x:c>
      <x:c r="CZ73" s="35" t="n">
        <x:f>--AND(CZ$3&gt;=$B$67,CZ$3&lt;$B$66,CZ$3&lt;EDATE($B$67,MAX(1,'Вводные'!$K$73)),AND($B$63="Да",IFERROR(INDEX('Вводные'!$B$88:$B$91,$B$64),"Нет")="Да"))</x:f>
      </x:c>
      <x:c r="DA73" s="35" t="n">
        <x:f>--AND(DA$3&gt;=$B$67,DA$3&lt;$B$66,DA$3&lt;EDATE($B$67,MAX(1,'Вводные'!$K$73)),AND($B$63="Да",IFERROR(INDEX('Вводные'!$B$88:$B$91,$B$64),"Нет")="Да"))</x:f>
      </x:c>
      <x:c r="DB73" s="35" t="n">
        <x:f>--AND(DB$3&gt;=$B$67,DB$3&lt;$B$66,DB$3&lt;EDATE($B$67,MAX(1,'Вводные'!$K$73)),AND($B$63="Да",IFERROR(INDEX('Вводные'!$B$88:$B$91,$B$64),"Нет")="Да"))</x:f>
      </x:c>
      <x:c r="DC73" s="35" t="n">
        <x:f>--AND(DC$3&gt;=$B$67,DC$3&lt;$B$66,DC$3&lt;EDATE($B$67,MAX(1,'Вводные'!$K$73)),AND($B$63="Да",IFERROR(INDEX('Вводные'!$B$88:$B$91,$B$64),"Нет")="Да"))</x:f>
      </x:c>
      <x:c r="DD73" s="35" t="n">
        <x:f>--AND(DD$3&gt;=$B$67,DD$3&lt;$B$66,DD$3&lt;EDATE($B$67,MAX(1,'Вводные'!$K$73)),AND($B$63="Да",IFERROR(INDEX('Вводные'!$B$88:$B$91,$B$64),"Нет")="Да"))</x:f>
      </x:c>
      <x:c r="DE73" s="35" t="n">
        <x:f>--AND(DE$3&gt;=$B$67,DE$3&lt;$B$66,DE$3&lt;EDATE($B$67,MAX(1,'Вводные'!$K$73)),AND($B$63="Да",IFERROR(INDEX('Вводные'!$B$88:$B$91,$B$64),"Нет")="Да"))</x:f>
      </x:c>
      <x:c r="DF73" s="35" t="n">
        <x:f>--AND(DF$3&gt;=$B$67,DF$3&lt;$B$66,DF$3&lt;EDATE($B$67,MAX(1,'Вводные'!$K$73)),AND($B$63="Да",IFERROR(INDEX('Вводные'!$B$88:$B$91,$B$64),"Нет")="Да"))</x:f>
      </x:c>
      <x:c r="DG73" s="35" t="n">
        <x:f>--AND(DG$3&gt;=$B$67,DG$3&lt;$B$66,DG$3&lt;EDATE($B$67,MAX(1,'Вводные'!$K$73)),AND($B$63="Да",IFERROR(INDEX('Вводные'!$B$88:$B$91,$B$64),"Нет")="Да"))</x:f>
      </x:c>
      <x:c r="DH73" s="35" t="n">
        <x:f>--AND(DH$3&gt;=$B$67,DH$3&lt;$B$66,DH$3&lt;EDATE($B$67,MAX(1,'Вводные'!$K$73)),AND($B$63="Да",IFERROR(INDEX('Вводные'!$B$88:$B$91,$B$64),"Нет")="Да"))</x:f>
      </x:c>
      <x:c r="DI73" s="35" t="n">
        <x:f>--AND(DI$3&gt;=$B$67,DI$3&lt;$B$66,DI$3&lt;EDATE($B$67,MAX(1,'Вводные'!$K$73)),AND($B$63="Да",IFERROR(INDEX('Вводные'!$B$88:$B$91,$B$64),"Нет")="Да"))</x:f>
      </x:c>
      <x:c r="DJ73" s="35" t="n">
        <x:f>--AND(DJ$3&gt;=$B$67,DJ$3&lt;$B$66,DJ$3&lt;EDATE($B$67,MAX(1,'Вводные'!$K$73)),AND($B$63="Да",IFERROR(INDEX('Вводные'!$B$88:$B$91,$B$64),"Нет")="Да"))</x:f>
      </x:c>
      <x:c r="DK73" s="35" t="n">
        <x:f>--AND(DK$3&gt;=$B$67,DK$3&lt;$B$66,DK$3&lt;EDATE($B$67,MAX(1,'Вводные'!$K$73)),AND($B$63="Да",IFERROR(INDEX('Вводные'!$B$88:$B$91,$B$64),"Нет")="Да"))</x:f>
      </x:c>
      <x:c r="DL73" s="35" t="n">
        <x:f>--AND(DL$3&gt;=$B$67,DL$3&lt;$B$66,DL$3&lt;EDATE($B$67,MAX(1,'Вводные'!$K$73)),AND($B$63="Да",IFERROR(INDEX('Вводные'!$B$88:$B$91,$B$64),"Нет")="Да"))</x:f>
      </x:c>
      <x:c r="DM73" s="35" t="n">
        <x:f>--AND(DM$3&gt;=$B$67,DM$3&lt;$B$66,DM$3&lt;EDATE($B$67,MAX(1,'Вводные'!$K$73)),AND($B$63="Да",IFERROR(INDEX('Вводные'!$B$88:$B$91,$B$64),"Нет")="Да"))</x:f>
      </x:c>
      <x:c r="DN73" s="35" t="n">
        <x:f>--AND(DN$3&gt;=$B$67,DN$3&lt;$B$66,DN$3&lt;EDATE($B$67,MAX(1,'Вводные'!$K$73)),AND($B$63="Да",IFERROR(INDEX('Вводные'!$B$88:$B$91,$B$64),"Нет")="Да"))</x:f>
      </x:c>
      <x:c r="DO73" s="35" t="n">
        <x:f>--AND(DO$3&gt;=$B$67,DO$3&lt;$B$66,DO$3&lt;EDATE($B$67,MAX(1,'Вводные'!$K$73)),AND($B$63="Да",IFERROR(INDEX('Вводные'!$B$88:$B$91,$B$64),"Нет")="Да"))</x:f>
      </x:c>
      <x:c r="DP73" s="35" t="n">
        <x:f>--AND(DP$3&gt;=$B$67,DP$3&lt;$B$66,DP$3&lt;EDATE($B$67,MAX(1,'Вводные'!$K$73)),AND($B$63="Да",IFERROR(INDEX('Вводные'!$B$88:$B$91,$B$64),"Нет")="Да"))</x:f>
      </x:c>
      <x:c r="DQ73" s="35" t="n">
        <x:f>--AND(DQ$3&gt;=$B$67,DQ$3&lt;$B$66,DQ$3&lt;EDATE($B$67,MAX(1,'Вводные'!$K$73)),AND($B$63="Да",IFERROR(INDEX('Вводные'!$B$88:$B$91,$B$64),"Нет")="Да"))</x:f>
      </x:c>
      <x:c r="DR73" s="35" t="n">
        <x:f>--AND(DR$3&gt;=$B$67,DR$3&lt;$B$66,DR$3&lt;EDATE($B$67,MAX(1,'Вводные'!$K$73)),AND($B$63="Да",IFERROR(INDEX('Вводные'!$B$88:$B$91,$B$64),"Нет")="Да"))</x:f>
      </x:c>
      <x:c r="DS73" s="35" t="n">
        <x:f>--AND(DS$3&gt;=$B$67,DS$3&lt;$B$66,DS$3&lt;EDATE($B$67,MAX(1,'Вводные'!$K$73)),AND($B$63="Да",IFERROR(INDEX('Вводные'!$B$88:$B$91,$B$64),"Нет")="Да"))</x:f>
      </x:c>
    </x:row>
    <x:row r="74">
      <x:c r="A74" t="str">
        <x:v>Вес темпа продаж</x:v>
      </x:c>
      <x:c r="B74" s="35"/>
      <x:c r="C74" t="str">
        <x:v>вес</x:v>
      </x:c>
      <x:c r="D74" s="35" t="n">
        <x:f>IF(AND(D$3&gt;=$B$67,D$3&lt;EDATE($B$67,MAX(1,'Вводные'!$K$73)),AND($B$63="Да",IFERROR(INDEX('Вводные'!$B$88:$B$91,$B$64),"Нет")="Да")),(1+INDEX('Вводные'!$AD$88:$AD$91,$B$64)*'Вводные'!$H$7)^MAX(0,(12*(YEAR(D$3)-YEAR($B$67))+MONTH(D$3)-MONTH($B$67)))*(1+IF(MONTH(D$3)=1,'Вводные'!$B$67,IF(AND(MONTH(D$3)&gt;=5,MONTH(D$3)&lt;=8),'Вводные'!$B$70,0))),0)</x:f>
      </x:c>
      <x:c r="E74" s="35" t="n">
        <x:f>IF(AND(E$3&gt;=$B$67,E$3&lt;EDATE($B$67,MAX(1,'Вводные'!$K$73)),AND($B$63="Да",IFERROR(INDEX('Вводные'!$B$88:$B$91,$B$64),"Нет")="Да")),(1+INDEX('Вводные'!$AD$88:$AD$91,$B$64)*'Вводные'!$H$7)^MAX(0,(12*(YEAR(E$3)-YEAR($B$67))+MONTH(E$3)-MONTH($B$67)))*(1+IF(MONTH(E$3)=1,'Вводные'!$B$67,IF(AND(MONTH(E$3)&gt;=5,MONTH(E$3)&lt;=8),'Вводные'!$B$70,0))),0)</x:f>
      </x:c>
      <x:c r="F74" s="35" t="n">
        <x:f>IF(AND(F$3&gt;=$B$67,F$3&lt;EDATE($B$67,MAX(1,'Вводные'!$K$73)),AND($B$63="Да",IFERROR(INDEX('Вводные'!$B$88:$B$91,$B$64),"Нет")="Да")),(1+INDEX('Вводные'!$AD$88:$AD$91,$B$64)*'Вводные'!$H$7)^MAX(0,(12*(YEAR(F$3)-YEAR($B$67))+MONTH(F$3)-MONTH($B$67)))*(1+IF(MONTH(F$3)=1,'Вводные'!$B$67,IF(AND(MONTH(F$3)&gt;=5,MONTH(F$3)&lt;=8),'Вводные'!$B$70,0))),0)</x:f>
      </x:c>
      <x:c r="G74" s="35" t="n">
        <x:f>IF(AND(G$3&gt;=$B$67,G$3&lt;EDATE($B$67,MAX(1,'Вводные'!$K$73)),AND($B$63="Да",IFERROR(INDEX('Вводные'!$B$88:$B$91,$B$64),"Нет")="Да")),(1+INDEX('Вводные'!$AD$88:$AD$91,$B$64)*'Вводные'!$H$7)^MAX(0,(12*(YEAR(G$3)-YEAR($B$67))+MONTH(G$3)-MONTH($B$67)))*(1+IF(MONTH(G$3)=1,'Вводные'!$B$67,IF(AND(MONTH(G$3)&gt;=5,MONTH(G$3)&lt;=8),'Вводные'!$B$70,0))),0)</x:f>
      </x:c>
      <x:c r="H74" s="35" t="n">
        <x:f>IF(AND(H$3&gt;=$B$67,H$3&lt;EDATE($B$67,MAX(1,'Вводные'!$K$73)),AND($B$63="Да",IFERROR(INDEX('Вводные'!$B$88:$B$91,$B$64),"Нет")="Да")),(1+INDEX('Вводные'!$AD$88:$AD$91,$B$64)*'Вводные'!$H$7)^MAX(0,(12*(YEAR(H$3)-YEAR($B$67))+MONTH(H$3)-MONTH($B$67)))*(1+IF(MONTH(H$3)=1,'Вводные'!$B$67,IF(AND(MONTH(H$3)&gt;=5,MONTH(H$3)&lt;=8),'Вводные'!$B$70,0))),0)</x:f>
      </x:c>
      <x:c r="I74" s="35" t="n">
        <x:f>IF(AND(I$3&gt;=$B$67,I$3&lt;EDATE($B$67,MAX(1,'Вводные'!$K$73)),AND($B$63="Да",IFERROR(INDEX('Вводные'!$B$88:$B$91,$B$64),"Нет")="Да")),(1+INDEX('Вводные'!$AD$88:$AD$91,$B$64)*'Вводные'!$H$7)^MAX(0,(12*(YEAR(I$3)-YEAR($B$67))+MONTH(I$3)-MONTH($B$67)))*(1+IF(MONTH(I$3)=1,'Вводные'!$B$67,IF(AND(MONTH(I$3)&gt;=5,MONTH(I$3)&lt;=8),'Вводные'!$B$70,0))),0)</x:f>
      </x:c>
      <x:c r="J74" s="35" t="n">
        <x:f>IF(AND(J$3&gt;=$B$67,J$3&lt;EDATE($B$67,MAX(1,'Вводные'!$K$73)),AND($B$63="Да",IFERROR(INDEX('Вводные'!$B$88:$B$91,$B$64),"Нет")="Да")),(1+INDEX('Вводные'!$AD$88:$AD$91,$B$64)*'Вводные'!$H$7)^MAX(0,(12*(YEAR(J$3)-YEAR($B$67))+MONTH(J$3)-MONTH($B$67)))*(1+IF(MONTH(J$3)=1,'Вводные'!$B$67,IF(AND(MONTH(J$3)&gt;=5,MONTH(J$3)&lt;=8),'Вводные'!$B$70,0))),0)</x:f>
      </x:c>
      <x:c r="K74" s="35" t="n">
        <x:f>IF(AND(K$3&gt;=$B$67,K$3&lt;EDATE($B$67,MAX(1,'Вводные'!$K$73)),AND($B$63="Да",IFERROR(INDEX('Вводные'!$B$88:$B$91,$B$64),"Нет")="Да")),(1+INDEX('Вводные'!$AD$88:$AD$91,$B$64)*'Вводные'!$H$7)^MAX(0,(12*(YEAR(K$3)-YEAR($B$67))+MONTH(K$3)-MONTH($B$67)))*(1+IF(MONTH(K$3)=1,'Вводные'!$B$67,IF(AND(MONTH(K$3)&gt;=5,MONTH(K$3)&lt;=8),'Вводные'!$B$70,0))),0)</x:f>
      </x:c>
      <x:c r="L74" s="35" t="n">
        <x:f>IF(AND(L$3&gt;=$B$67,L$3&lt;EDATE($B$67,MAX(1,'Вводные'!$K$73)),AND($B$63="Да",IFERROR(INDEX('Вводные'!$B$88:$B$91,$B$64),"Нет")="Да")),(1+INDEX('Вводные'!$AD$88:$AD$91,$B$64)*'Вводные'!$H$7)^MAX(0,(12*(YEAR(L$3)-YEAR($B$67))+MONTH(L$3)-MONTH($B$67)))*(1+IF(MONTH(L$3)=1,'Вводные'!$B$67,IF(AND(MONTH(L$3)&gt;=5,MONTH(L$3)&lt;=8),'Вводные'!$B$70,0))),0)</x:f>
      </x:c>
      <x:c r="M74" s="35" t="n">
        <x:f>IF(AND(M$3&gt;=$B$67,M$3&lt;EDATE($B$67,MAX(1,'Вводные'!$K$73)),AND($B$63="Да",IFERROR(INDEX('Вводные'!$B$88:$B$91,$B$64),"Нет")="Да")),(1+INDEX('Вводные'!$AD$88:$AD$91,$B$64)*'Вводные'!$H$7)^MAX(0,(12*(YEAR(M$3)-YEAR($B$67))+MONTH(M$3)-MONTH($B$67)))*(1+IF(MONTH(M$3)=1,'Вводные'!$B$67,IF(AND(MONTH(M$3)&gt;=5,MONTH(M$3)&lt;=8),'Вводные'!$B$70,0))),0)</x:f>
      </x:c>
      <x:c r="N74" s="35" t="n">
        <x:f>IF(AND(N$3&gt;=$B$67,N$3&lt;EDATE($B$67,MAX(1,'Вводные'!$K$73)),AND($B$63="Да",IFERROR(INDEX('Вводные'!$B$88:$B$91,$B$64),"Нет")="Да")),(1+INDEX('Вводные'!$AD$88:$AD$91,$B$64)*'Вводные'!$H$7)^MAX(0,(12*(YEAR(N$3)-YEAR($B$67))+MONTH(N$3)-MONTH($B$67)))*(1+IF(MONTH(N$3)=1,'Вводные'!$B$67,IF(AND(MONTH(N$3)&gt;=5,MONTH(N$3)&lt;=8),'Вводные'!$B$70,0))),0)</x:f>
      </x:c>
      <x:c r="O74" s="35" t="n">
        <x:f>IF(AND(O$3&gt;=$B$67,O$3&lt;EDATE($B$67,MAX(1,'Вводные'!$K$73)),AND($B$63="Да",IFERROR(INDEX('Вводные'!$B$88:$B$91,$B$64),"Нет")="Да")),(1+INDEX('Вводные'!$AD$88:$AD$91,$B$64)*'Вводные'!$H$7)^MAX(0,(12*(YEAR(O$3)-YEAR($B$67))+MONTH(O$3)-MONTH($B$67)))*(1+IF(MONTH(O$3)=1,'Вводные'!$B$67,IF(AND(MONTH(O$3)&gt;=5,MONTH(O$3)&lt;=8),'Вводные'!$B$70,0))),0)</x:f>
      </x:c>
      <x:c r="P74" s="35" t="n">
        <x:f>IF(AND(P$3&gt;=$B$67,P$3&lt;EDATE($B$67,MAX(1,'Вводные'!$K$73)),AND($B$63="Да",IFERROR(INDEX('Вводные'!$B$88:$B$91,$B$64),"Нет")="Да")),(1+INDEX('Вводные'!$AD$88:$AD$91,$B$64)*'Вводные'!$H$7)^MAX(0,(12*(YEAR(P$3)-YEAR($B$67))+MONTH(P$3)-MONTH($B$67)))*(1+IF(MONTH(P$3)=1,'Вводные'!$B$67,IF(AND(MONTH(P$3)&gt;=5,MONTH(P$3)&lt;=8),'Вводные'!$B$70,0))),0)</x:f>
      </x:c>
      <x:c r="Q74" s="35" t="n">
        <x:f>IF(AND(Q$3&gt;=$B$67,Q$3&lt;EDATE($B$67,MAX(1,'Вводные'!$K$73)),AND($B$63="Да",IFERROR(INDEX('Вводные'!$B$88:$B$91,$B$64),"Нет")="Да")),(1+INDEX('Вводные'!$AD$88:$AD$91,$B$64)*'Вводные'!$H$7)^MAX(0,(12*(YEAR(Q$3)-YEAR($B$67))+MONTH(Q$3)-MONTH($B$67)))*(1+IF(MONTH(Q$3)=1,'Вводные'!$B$67,IF(AND(MONTH(Q$3)&gt;=5,MONTH(Q$3)&lt;=8),'Вводные'!$B$70,0))),0)</x:f>
      </x:c>
      <x:c r="R74" s="35" t="n">
        <x:f>IF(AND(R$3&gt;=$B$67,R$3&lt;EDATE($B$67,MAX(1,'Вводные'!$K$73)),AND($B$63="Да",IFERROR(INDEX('Вводные'!$B$88:$B$91,$B$64),"Нет")="Да")),(1+INDEX('Вводные'!$AD$88:$AD$91,$B$64)*'Вводные'!$H$7)^MAX(0,(12*(YEAR(R$3)-YEAR($B$67))+MONTH(R$3)-MONTH($B$67)))*(1+IF(MONTH(R$3)=1,'Вводные'!$B$67,IF(AND(MONTH(R$3)&gt;=5,MONTH(R$3)&lt;=8),'Вводные'!$B$70,0))),0)</x:f>
      </x:c>
      <x:c r="S74" s="35" t="n">
        <x:f>IF(AND(S$3&gt;=$B$67,S$3&lt;EDATE($B$67,MAX(1,'Вводные'!$K$73)),AND($B$63="Да",IFERROR(INDEX('Вводные'!$B$88:$B$91,$B$64),"Нет")="Да")),(1+INDEX('Вводные'!$AD$88:$AD$91,$B$64)*'Вводные'!$H$7)^MAX(0,(12*(YEAR(S$3)-YEAR($B$67))+MONTH(S$3)-MONTH($B$67)))*(1+IF(MONTH(S$3)=1,'Вводные'!$B$67,IF(AND(MONTH(S$3)&gt;=5,MONTH(S$3)&lt;=8),'Вводные'!$B$70,0))),0)</x:f>
      </x:c>
      <x:c r="T74" s="35" t="n">
        <x:f>IF(AND(T$3&gt;=$B$67,T$3&lt;EDATE($B$67,MAX(1,'Вводные'!$K$73)),AND($B$63="Да",IFERROR(INDEX('Вводные'!$B$88:$B$91,$B$64),"Нет")="Да")),(1+INDEX('Вводные'!$AD$88:$AD$91,$B$64)*'Вводные'!$H$7)^MAX(0,(12*(YEAR(T$3)-YEAR($B$67))+MONTH(T$3)-MONTH($B$67)))*(1+IF(MONTH(T$3)=1,'Вводные'!$B$67,IF(AND(MONTH(T$3)&gt;=5,MONTH(T$3)&lt;=8),'Вводные'!$B$70,0))),0)</x:f>
      </x:c>
      <x:c r="U74" s="35" t="n">
        <x:f>IF(AND(U$3&gt;=$B$67,U$3&lt;EDATE($B$67,MAX(1,'Вводные'!$K$73)),AND($B$63="Да",IFERROR(INDEX('Вводные'!$B$88:$B$91,$B$64),"Нет")="Да")),(1+INDEX('Вводные'!$AD$88:$AD$91,$B$64)*'Вводные'!$H$7)^MAX(0,(12*(YEAR(U$3)-YEAR($B$67))+MONTH(U$3)-MONTH($B$67)))*(1+IF(MONTH(U$3)=1,'Вводные'!$B$67,IF(AND(MONTH(U$3)&gt;=5,MONTH(U$3)&lt;=8),'Вводные'!$B$70,0))),0)</x:f>
      </x:c>
      <x:c r="V74" s="35" t="n">
        <x:f>IF(AND(V$3&gt;=$B$67,V$3&lt;EDATE($B$67,MAX(1,'Вводные'!$K$73)),AND($B$63="Да",IFERROR(INDEX('Вводные'!$B$88:$B$91,$B$64),"Нет")="Да")),(1+INDEX('Вводные'!$AD$88:$AD$91,$B$64)*'Вводные'!$H$7)^MAX(0,(12*(YEAR(V$3)-YEAR($B$67))+MONTH(V$3)-MONTH($B$67)))*(1+IF(MONTH(V$3)=1,'Вводные'!$B$67,IF(AND(MONTH(V$3)&gt;=5,MONTH(V$3)&lt;=8),'Вводные'!$B$70,0))),0)</x:f>
      </x:c>
      <x:c r="W74" s="35" t="n">
        <x:f>IF(AND(W$3&gt;=$B$67,W$3&lt;EDATE($B$67,MAX(1,'Вводные'!$K$73)),AND($B$63="Да",IFERROR(INDEX('Вводные'!$B$88:$B$91,$B$64),"Нет")="Да")),(1+INDEX('Вводные'!$AD$88:$AD$91,$B$64)*'Вводные'!$H$7)^MAX(0,(12*(YEAR(W$3)-YEAR($B$67))+MONTH(W$3)-MONTH($B$67)))*(1+IF(MONTH(W$3)=1,'Вводные'!$B$67,IF(AND(MONTH(W$3)&gt;=5,MONTH(W$3)&lt;=8),'Вводные'!$B$70,0))),0)</x:f>
      </x:c>
      <x:c r="X74" s="35" t="n">
        <x:f>IF(AND(X$3&gt;=$B$67,X$3&lt;EDATE($B$67,MAX(1,'Вводные'!$K$73)),AND($B$63="Да",IFERROR(INDEX('Вводные'!$B$88:$B$91,$B$64),"Нет")="Да")),(1+INDEX('Вводные'!$AD$88:$AD$91,$B$64)*'Вводные'!$H$7)^MAX(0,(12*(YEAR(X$3)-YEAR($B$67))+MONTH(X$3)-MONTH($B$67)))*(1+IF(MONTH(X$3)=1,'Вводные'!$B$67,IF(AND(MONTH(X$3)&gt;=5,MONTH(X$3)&lt;=8),'Вводные'!$B$70,0))),0)</x:f>
      </x:c>
      <x:c r="Y74" s="35" t="n">
        <x:f>IF(AND(Y$3&gt;=$B$67,Y$3&lt;EDATE($B$67,MAX(1,'Вводные'!$K$73)),AND($B$63="Да",IFERROR(INDEX('Вводные'!$B$88:$B$91,$B$64),"Нет")="Да")),(1+INDEX('Вводные'!$AD$88:$AD$91,$B$64)*'Вводные'!$H$7)^MAX(0,(12*(YEAR(Y$3)-YEAR($B$67))+MONTH(Y$3)-MONTH($B$67)))*(1+IF(MONTH(Y$3)=1,'Вводные'!$B$67,IF(AND(MONTH(Y$3)&gt;=5,MONTH(Y$3)&lt;=8),'Вводные'!$B$70,0))),0)</x:f>
      </x:c>
      <x:c r="Z74" s="35" t="n">
        <x:f>IF(AND(Z$3&gt;=$B$67,Z$3&lt;EDATE($B$67,MAX(1,'Вводные'!$K$73)),AND($B$63="Да",IFERROR(INDEX('Вводные'!$B$88:$B$91,$B$64),"Нет")="Да")),(1+INDEX('Вводные'!$AD$88:$AD$91,$B$64)*'Вводные'!$H$7)^MAX(0,(12*(YEAR(Z$3)-YEAR($B$67))+MONTH(Z$3)-MONTH($B$67)))*(1+IF(MONTH(Z$3)=1,'Вводные'!$B$67,IF(AND(MONTH(Z$3)&gt;=5,MONTH(Z$3)&lt;=8),'Вводные'!$B$70,0))),0)</x:f>
      </x:c>
      <x:c r="AA74" s="35" t="n">
        <x:f>IF(AND(AA$3&gt;=$B$67,AA$3&lt;EDATE($B$67,MAX(1,'Вводные'!$K$73)),AND($B$63="Да",IFERROR(INDEX('Вводные'!$B$88:$B$91,$B$64),"Нет")="Да")),(1+INDEX('Вводные'!$AD$88:$AD$91,$B$64)*'Вводные'!$H$7)^MAX(0,(12*(YEAR(AA$3)-YEAR($B$67))+MONTH(AA$3)-MONTH($B$67)))*(1+IF(MONTH(AA$3)=1,'Вводные'!$B$67,IF(AND(MONTH(AA$3)&gt;=5,MONTH(AA$3)&lt;=8),'Вводные'!$B$70,0))),0)</x:f>
      </x:c>
      <x:c r="AB74" s="35" t="n">
        <x:f>IF(AND(AB$3&gt;=$B$67,AB$3&lt;EDATE($B$67,MAX(1,'Вводные'!$K$73)),AND($B$63="Да",IFERROR(INDEX('Вводные'!$B$88:$B$91,$B$64),"Нет")="Да")),(1+INDEX('Вводные'!$AD$88:$AD$91,$B$64)*'Вводные'!$H$7)^MAX(0,(12*(YEAR(AB$3)-YEAR($B$67))+MONTH(AB$3)-MONTH($B$67)))*(1+IF(MONTH(AB$3)=1,'Вводные'!$B$67,IF(AND(MONTH(AB$3)&gt;=5,MONTH(AB$3)&lt;=8),'Вводные'!$B$70,0))),0)</x:f>
      </x:c>
      <x:c r="AC74" s="35" t="n">
        <x:f>IF(AND(AC$3&gt;=$B$67,AC$3&lt;EDATE($B$67,MAX(1,'Вводные'!$K$73)),AND($B$63="Да",IFERROR(INDEX('Вводные'!$B$88:$B$91,$B$64),"Нет")="Да")),(1+INDEX('Вводные'!$AD$88:$AD$91,$B$64)*'Вводные'!$H$7)^MAX(0,(12*(YEAR(AC$3)-YEAR($B$67))+MONTH(AC$3)-MONTH($B$67)))*(1+IF(MONTH(AC$3)=1,'Вводные'!$B$67,IF(AND(MONTH(AC$3)&gt;=5,MONTH(AC$3)&lt;=8),'Вводные'!$B$70,0))),0)</x:f>
      </x:c>
      <x:c r="AD74" s="35" t="n">
        <x:f>IF(AND(AD$3&gt;=$B$67,AD$3&lt;EDATE($B$67,MAX(1,'Вводные'!$K$73)),AND($B$63="Да",IFERROR(INDEX('Вводные'!$B$88:$B$91,$B$64),"Нет")="Да")),(1+INDEX('Вводные'!$AD$88:$AD$91,$B$64)*'Вводные'!$H$7)^MAX(0,(12*(YEAR(AD$3)-YEAR($B$67))+MONTH(AD$3)-MONTH($B$67)))*(1+IF(MONTH(AD$3)=1,'Вводные'!$B$67,IF(AND(MONTH(AD$3)&gt;=5,MONTH(AD$3)&lt;=8),'Вводные'!$B$70,0))),0)</x:f>
      </x:c>
      <x:c r="AE74" s="35" t="n">
        <x:f>IF(AND(AE$3&gt;=$B$67,AE$3&lt;EDATE($B$67,MAX(1,'Вводные'!$K$73)),AND($B$63="Да",IFERROR(INDEX('Вводные'!$B$88:$B$91,$B$64),"Нет")="Да")),(1+INDEX('Вводные'!$AD$88:$AD$91,$B$64)*'Вводные'!$H$7)^MAX(0,(12*(YEAR(AE$3)-YEAR($B$67))+MONTH(AE$3)-MONTH($B$67)))*(1+IF(MONTH(AE$3)=1,'Вводные'!$B$67,IF(AND(MONTH(AE$3)&gt;=5,MONTH(AE$3)&lt;=8),'Вводные'!$B$70,0))),0)</x:f>
      </x:c>
      <x:c r="AF74" s="35" t="n">
        <x:f>IF(AND(AF$3&gt;=$B$67,AF$3&lt;EDATE($B$67,MAX(1,'Вводные'!$K$73)),AND($B$63="Да",IFERROR(INDEX('Вводные'!$B$88:$B$91,$B$64),"Нет")="Да")),(1+INDEX('Вводные'!$AD$88:$AD$91,$B$64)*'Вводные'!$H$7)^MAX(0,(12*(YEAR(AF$3)-YEAR($B$67))+MONTH(AF$3)-MONTH($B$67)))*(1+IF(MONTH(AF$3)=1,'Вводные'!$B$67,IF(AND(MONTH(AF$3)&gt;=5,MONTH(AF$3)&lt;=8),'Вводные'!$B$70,0))),0)</x:f>
      </x:c>
      <x:c r="AG74" s="35" t="n">
        <x:f>IF(AND(AG$3&gt;=$B$67,AG$3&lt;EDATE($B$67,MAX(1,'Вводные'!$K$73)),AND($B$63="Да",IFERROR(INDEX('Вводные'!$B$88:$B$91,$B$64),"Нет")="Да")),(1+INDEX('Вводные'!$AD$88:$AD$91,$B$64)*'Вводные'!$H$7)^MAX(0,(12*(YEAR(AG$3)-YEAR($B$67))+MONTH(AG$3)-MONTH($B$67)))*(1+IF(MONTH(AG$3)=1,'Вводные'!$B$67,IF(AND(MONTH(AG$3)&gt;=5,MONTH(AG$3)&lt;=8),'Вводные'!$B$70,0))),0)</x:f>
      </x:c>
      <x:c r="AH74" s="35" t="n">
        <x:f>IF(AND(AH$3&gt;=$B$67,AH$3&lt;EDATE($B$67,MAX(1,'Вводные'!$K$73)),AND($B$63="Да",IFERROR(INDEX('Вводные'!$B$88:$B$91,$B$64),"Нет")="Да")),(1+INDEX('Вводные'!$AD$88:$AD$91,$B$64)*'Вводные'!$H$7)^MAX(0,(12*(YEAR(AH$3)-YEAR($B$67))+MONTH(AH$3)-MONTH($B$67)))*(1+IF(MONTH(AH$3)=1,'Вводные'!$B$67,IF(AND(MONTH(AH$3)&gt;=5,MONTH(AH$3)&lt;=8),'Вводные'!$B$70,0))),0)</x:f>
      </x:c>
      <x:c r="AI74" s="35" t="n">
        <x:f>IF(AND(AI$3&gt;=$B$67,AI$3&lt;EDATE($B$67,MAX(1,'Вводные'!$K$73)),AND($B$63="Да",IFERROR(INDEX('Вводные'!$B$88:$B$91,$B$64),"Нет")="Да")),(1+INDEX('Вводные'!$AD$88:$AD$91,$B$64)*'Вводные'!$H$7)^MAX(0,(12*(YEAR(AI$3)-YEAR($B$67))+MONTH(AI$3)-MONTH($B$67)))*(1+IF(MONTH(AI$3)=1,'Вводные'!$B$67,IF(AND(MONTH(AI$3)&gt;=5,MONTH(AI$3)&lt;=8),'Вводные'!$B$70,0))),0)</x:f>
      </x:c>
      <x:c r="AJ74" s="35" t="n">
        <x:f>IF(AND(AJ$3&gt;=$B$67,AJ$3&lt;EDATE($B$67,MAX(1,'Вводные'!$K$73)),AND($B$63="Да",IFERROR(INDEX('Вводные'!$B$88:$B$91,$B$64),"Нет")="Да")),(1+INDEX('Вводные'!$AD$88:$AD$91,$B$64)*'Вводные'!$H$7)^MAX(0,(12*(YEAR(AJ$3)-YEAR($B$67))+MONTH(AJ$3)-MONTH($B$67)))*(1+IF(MONTH(AJ$3)=1,'Вводные'!$B$67,IF(AND(MONTH(AJ$3)&gt;=5,MONTH(AJ$3)&lt;=8),'Вводные'!$B$70,0))),0)</x:f>
      </x:c>
      <x:c r="AK74" s="35" t="n">
        <x:f>IF(AND(AK$3&gt;=$B$67,AK$3&lt;EDATE($B$67,MAX(1,'Вводные'!$K$73)),AND($B$63="Да",IFERROR(INDEX('Вводные'!$B$88:$B$91,$B$64),"Нет")="Да")),(1+INDEX('Вводные'!$AD$88:$AD$91,$B$64)*'Вводные'!$H$7)^MAX(0,(12*(YEAR(AK$3)-YEAR($B$67))+MONTH(AK$3)-MONTH($B$67)))*(1+IF(MONTH(AK$3)=1,'Вводные'!$B$67,IF(AND(MONTH(AK$3)&gt;=5,MONTH(AK$3)&lt;=8),'Вводные'!$B$70,0))),0)</x:f>
      </x:c>
      <x:c r="AL74" s="35" t="n">
        <x:f>IF(AND(AL$3&gt;=$B$67,AL$3&lt;EDATE($B$67,MAX(1,'Вводные'!$K$73)),AND($B$63="Да",IFERROR(INDEX('Вводные'!$B$88:$B$91,$B$64),"Нет")="Да")),(1+INDEX('Вводные'!$AD$88:$AD$91,$B$64)*'Вводные'!$H$7)^MAX(0,(12*(YEAR(AL$3)-YEAR($B$67))+MONTH(AL$3)-MONTH($B$67)))*(1+IF(MONTH(AL$3)=1,'Вводные'!$B$67,IF(AND(MONTH(AL$3)&gt;=5,MONTH(AL$3)&lt;=8),'Вводные'!$B$70,0))),0)</x:f>
      </x:c>
      <x:c r="AM74" s="35" t="n">
        <x:f>IF(AND(AM$3&gt;=$B$67,AM$3&lt;EDATE($B$67,MAX(1,'Вводные'!$K$73)),AND($B$63="Да",IFERROR(INDEX('Вводные'!$B$88:$B$91,$B$64),"Нет")="Да")),(1+INDEX('Вводные'!$AD$88:$AD$91,$B$64)*'Вводные'!$H$7)^MAX(0,(12*(YEAR(AM$3)-YEAR($B$67))+MONTH(AM$3)-MONTH($B$67)))*(1+IF(MONTH(AM$3)=1,'Вводные'!$B$67,IF(AND(MONTH(AM$3)&gt;=5,MONTH(AM$3)&lt;=8),'Вводные'!$B$70,0))),0)</x:f>
      </x:c>
      <x:c r="AN74" s="35" t="n">
        <x:f>IF(AND(AN$3&gt;=$B$67,AN$3&lt;EDATE($B$67,MAX(1,'Вводные'!$K$73)),AND($B$63="Да",IFERROR(INDEX('Вводные'!$B$88:$B$91,$B$64),"Нет")="Да")),(1+INDEX('Вводные'!$AD$88:$AD$91,$B$64)*'Вводные'!$H$7)^MAX(0,(12*(YEAR(AN$3)-YEAR($B$67))+MONTH(AN$3)-MONTH($B$67)))*(1+IF(MONTH(AN$3)=1,'Вводные'!$B$67,IF(AND(MONTH(AN$3)&gt;=5,MONTH(AN$3)&lt;=8),'Вводные'!$B$70,0))),0)</x:f>
      </x:c>
      <x:c r="AO74" s="35" t="n">
        <x:f>IF(AND(AO$3&gt;=$B$67,AO$3&lt;EDATE($B$67,MAX(1,'Вводные'!$K$73)),AND($B$63="Да",IFERROR(INDEX('Вводные'!$B$88:$B$91,$B$64),"Нет")="Да")),(1+INDEX('Вводные'!$AD$88:$AD$91,$B$64)*'Вводные'!$H$7)^MAX(0,(12*(YEAR(AO$3)-YEAR($B$67))+MONTH(AO$3)-MONTH($B$67)))*(1+IF(MONTH(AO$3)=1,'Вводные'!$B$67,IF(AND(MONTH(AO$3)&gt;=5,MONTH(AO$3)&lt;=8),'Вводные'!$B$70,0))),0)</x:f>
      </x:c>
      <x:c r="AP74" s="35" t="n">
        <x:f>IF(AND(AP$3&gt;=$B$67,AP$3&lt;EDATE($B$67,MAX(1,'Вводные'!$K$73)),AND($B$63="Да",IFERROR(INDEX('Вводные'!$B$88:$B$91,$B$64),"Нет")="Да")),(1+INDEX('Вводные'!$AD$88:$AD$91,$B$64)*'Вводные'!$H$7)^MAX(0,(12*(YEAR(AP$3)-YEAR($B$67))+MONTH(AP$3)-MONTH($B$67)))*(1+IF(MONTH(AP$3)=1,'Вводные'!$B$67,IF(AND(MONTH(AP$3)&gt;=5,MONTH(AP$3)&lt;=8),'Вводные'!$B$70,0))),0)</x:f>
      </x:c>
      <x:c r="AQ74" s="35" t="n">
        <x:f>IF(AND(AQ$3&gt;=$B$67,AQ$3&lt;EDATE($B$67,MAX(1,'Вводные'!$K$73)),AND($B$63="Да",IFERROR(INDEX('Вводные'!$B$88:$B$91,$B$64),"Нет")="Да")),(1+INDEX('Вводные'!$AD$88:$AD$91,$B$64)*'Вводные'!$H$7)^MAX(0,(12*(YEAR(AQ$3)-YEAR($B$67))+MONTH(AQ$3)-MONTH($B$67)))*(1+IF(MONTH(AQ$3)=1,'Вводные'!$B$67,IF(AND(MONTH(AQ$3)&gt;=5,MONTH(AQ$3)&lt;=8),'Вводные'!$B$70,0))),0)</x:f>
      </x:c>
      <x:c r="AR74" s="35" t="n">
        <x:f>IF(AND(AR$3&gt;=$B$67,AR$3&lt;EDATE($B$67,MAX(1,'Вводные'!$K$73)),AND($B$63="Да",IFERROR(INDEX('Вводные'!$B$88:$B$91,$B$64),"Нет")="Да")),(1+INDEX('Вводные'!$AD$88:$AD$91,$B$64)*'Вводные'!$H$7)^MAX(0,(12*(YEAR(AR$3)-YEAR($B$67))+MONTH(AR$3)-MONTH($B$67)))*(1+IF(MONTH(AR$3)=1,'Вводные'!$B$67,IF(AND(MONTH(AR$3)&gt;=5,MONTH(AR$3)&lt;=8),'Вводные'!$B$70,0))),0)</x:f>
      </x:c>
      <x:c r="AS74" s="35" t="n">
        <x:f>IF(AND(AS$3&gt;=$B$67,AS$3&lt;EDATE($B$67,MAX(1,'Вводные'!$K$73)),AND($B$63="Да",IFERROR(INDEX('Вводные'!$B$88:$B$91,$B$64),"Нет")="Да")),(1+INDEX('Вводные'!$AD$88:$AD$91,$B$64)*'Вводные'!$H$7)^MAX(0,(12*(YEAR(AS$3)-YEAR($B$67))+MONTH(AS$3)-MONTH($B$67)))*(1+IF(MONTH(AS$3)=1,'Вводные'!$B$67,IF(AND(MONTH(AS$3)&gt;=5,MONTH(AS$3)&lt;=8),'Вводные'!$B$70,0))),0)</x:f>
      </x:c>
      <x:c r="AT74" s="35" t="n">
        <x:f>IF(AND(AT$3&gt;=$B$67,AT$3&lt;EDATE($B$67,MAX(1,'Вводные'!$K$73)),AND($B$63="Да",IFERROR(INDEX('Вводные'!$B$88:$B$91,$B$64),"Нет")="Да")),(1+INDEX('Вводные'!$AD$88:$AD$91,$B$64)*'Вводные'!$H$7)^MAX(0,(12*(YEAR(AT$3)-YEAR($B$67))+MONTH(AT$3)-MONTH($B$67)))*(1+IF(MONTH(AT$3)=1,'Вводные'!$B$67,IF(AND(MONTH(AT$3)&gt;=5,MONTH(AT$3)&lt;=8),'Вводные'!$B$70,0))),0)</x:f>
      </x:c>
      <x:c r="AU74" s="35" t="n">
        <x:f>IF(AND(AU$3&gt;=$B$67,AU$3&lt;EDATE($B$67,MAX(1,'Вводные'!$K$73)),AND($B$63="Да",IFERROR(INDEX('Вводные'!$B$88:$B$91,$B$64),"Нет")="Да")),(1+INDEX('Вводные'!$AD$88:$AD$91,$B$64)*'Вводные'!$H$7)^MAX(0,(12*(YEAR(AU$3)-YEAR($B$67))+MONTH(AU$3)-MONTH($B$67)))*(1+IF(MONTH(AU$3)=1,'Вводные'!$B$67,IF(AND(MONTH(AU$3)&gt;=5,MONTH(AU$3)&lt;=8),'Вводные'!$B$70,0))),0)</x:f>
      </x:c>
      <x:c r="AV74" s="35" t="n">
        <x:f>IF(AND(AV$3&gt;=$B$67,AV$3&lt;EDATE($B$67,MAX(1,'Вводные'!$K$73)),AND($B$63="Да",IFERROR(INDEX('Вводные'!$B$88:$B$91,$B$64),"Нет")="Да")),(1+INDEX('Вводные'!$AD$88:$AD$91,$B$64)*'Вводные'!$H$7)^MAX(0,(12*(YEAR(AV$3)-YEAR($B$67))+MONTH(AV$3)-MONTH($B$67)))*(1+IF(MONTH(AV$3)=1,'Вводные'!$B$67,IF(AND(MONTH(AV$3)&gt;=5,MONTH(AV$3)&lt;=8),'Вводные'!$B$70,0))),0)</x:f>
      </x:c>
      <x:c r="AW74" s="35" t="n">
        <x:f>IF(AND(AW$3&gt;=$B$67,AW$3&lt;EDATE($B$67,MAX(1,'Вводные'!$K$73)),AND($B$63="Да",IFERROR(INDEX('Вводные'!$B$88:$B$91,$B$64),"Нет")="Да")),(1+INDEX('Вводные'!$AD$88:$AD$91,$B$64)*'Вводные'!$H$7)^MAX(0,(12*(YEAR(AW$3)-YEAR($B$67))+MONTH(AW$3)-MONTH($B$67)))*(1+IF(MONTH(AW$3)=1,'Вводные'!$B$67,IF(AND(MONTH(AW$3)&gt;=5,MONTH(AW$3)&lt;=8),'Вводные'!$B$70,0))),0)</x:f>
      </x:c>
      <x:c r="AX74" s="35" t="n">
        <x:f>IF(AND(AX$3&gt;=$B$67,AX$3&lt;EDATE($B$67,MAX(1,'Вводные'!$K$73)),AND($B$63="Да",IFERROR(INDEX('Вводные'!$B$88:$B$91,$B$64),"Нет")="Да")),(1+INDEX('Вводные'!$AD$88:$AD$91,$B$64)*'Вводные'!$H$7)^MAX(0,(12*(YEAR(AX$3)-YEAR($B$67))+MONTH(AX$3)-MONTH($B$67)))*(1+IF(MONTH(AX$3)=1,'Вводные'!$B$67,IF(AND(MONTH(AX$3)&gt;=5,MONTH(AX$3)&lt;=8),'Вводные'!$B$70,0))),0)</x:f>
      </x:c>
      <x:c r="AY74" s="35" t="n">
        <x:f>IF(AND(AY$3&gt;=$B$67,AY$3&lt;EDATE($B$67,MAX(1,'Вводные'!$K$73)),AND($B$63="Да",IFERROR(INDEX('Вводные'!$B$88:$B$91,$B$64),"Нет")="Да")),(1+INDEX('Вводные'!$AD$88:$AD$91,$B$64)*'Вводные'!$H$7)^MAX(0,(12*(YEAR(AY$3)-YEAR($B$67))+MONTH(AY$3)-MONTH($B$67)))*(1+IF(MONTH(AY$3)=1,'Вводные'!$B$67,IF(AND(MONTH(AY$3)&gt;=5,MONTH(AY$3)&lt;=8),'Вводные'!$B$70,0))),0)</x:f>
      </x:c>
      <x:c r="AZ74" s="35" t="n">
        <x:f>IF(AND(AZ$3&gt;=$B$67,AZ$3&lt;EDATE($B$67,MAX(1,'Вводные'!$K$73)),AND($B$63="Да",IFERROR(INDEX('Вводные'!$B$88:$B$91,$B$64),"Нет")="Да")),(1+INDEX('Вводные'!$AD$88:$AD$91,$B$64)*'Вводные'!$H$7)^MAX(0,(12*(YEAR(AZ$3)-YEAR($B$67))+MONTH(AZ$3)-MONTH($B$67)))*(1+IF(MONTH(AZ$3)=1,'Вводные'!$B$67,IF(AND(MONTH(AZ$3)&gt;=5,MONTH(AZ$3)&lt;=8),'Вводные'!$B$70,0))),0)</x:f>
      </x:c>
      <x:c r="BA74" s="35" t="n">
        <x:f>IF(AND(BA$3&gt;=$B$67,BA$3&lt;EDATE($B$67,MAX(1,'Вводные'!$K$73)),AND($B$63="Да",IFERROR(INDEX('Вводные'!$B$88:$B$91,$B$64),"Нет")="Да")),(1+INDEX('Вводные'!$AD$88:$AD$91,$B$64)*'Вводные'!$H$7)^MAX(0,(12*(YEAR(BA$3)-YEAR($B$67))+MONTH(BA$3)-MONTH($B$67)))*(1+IF(MONTH(BA$3)=1,'Вводные'!$B$67,IF(AND(MONTH(BA$3)&gt;=5,MONTH(BA$3)&lt;=8),'Вводные'!$B$70,0))),0)</x:f>
      </x:c>
      <x:c r="BB74" s="35" t="n">
        <x:f>IF(AND(BB$3&gt;=$B$67,BB$3&lt;EDATE($B$67,MAX(1,'Вводные'!$K$73)),AND($B$63="Да",IFERROR(INDEX('Вводные'!$B$88:$B$91,$B$64),"Нет")="Да")),(1+INDEX('Вводные'!$AD$88:$AD$91,$B$64)*'Вводные'!$H$7)^MAX(0,(12*(YEAR(BB$3)-YEAR($B$67))+MONTH(BB$3)-MONTH($B$67)))*(1+IF(MONTH(BB$3)=1,'Вводные'!$B$67,IF(AND(MONTH(BB$3)&gt;=5,MONTH(BB$3)&lt;=8),'Вводные'!$B$70,0))),0)</x:f>
      </x:c>
      <x:c r="BC74" s="35" t="n">
        <x:f>IF(AND(BC$3&gt;=$B$67,BC$3&lt;EDATE($B$67,MAX(1,'Вводные'!$K$73)),AND($B$63="Да",IFERROR(INDEX('Вводные'!$B$88:$B$91,$B$64),"Нет")="Да")),(1+INDEX('Вводные'!$AD$88:$AD$91,$B$64)*'Вводные'!$H$7)^MAX(0,(12*(YEAR(BC$3)-YEAR($B$67))+MONTH(BC$3)-MONTH($B$67)))*(1+IF(MONTH(BC$3)=1,'Вводные'!$B$67,IF(AND(MONTH(BC$3)&gt;=5,MONTH(BC$3)&lt;=8),'Вводные'!$B$70,0))),0)</x:f>
      </x:c>
      <x:c r="BD74" s="35" t="n">
        <x:f>IF(AND(BD$3&gt;=$B$67,BD$3&lt;EDATE($B$67,MAX(1,'Вводные'!$K$73)),AND($B$63="Да",IFERROR(INDEX('Вводные'!$B$88:$B$91,$B$64),"Нет")="Да")),(1+INDEX('Вводные'!$AD$88:$AD$91,$B$64)*'Вводные'!$H$7)^MAX(0,(12*(YEAR(BD$3)-YEAR($B$67))+MONTH(BD$3)-MONTH($B$67)))*(1+IF(MONTH(BD$3)=1,'Вводные'!$B$67,IF(AND(MONTH(BD$3)&gt;=5,MONTH(BD$3)&lt;=8),'Вводные'!$B$70,0))),0)</x:f>
      </x:c>
      <x:c r="BE74" s="35" t="n">
        <x:f>IF(AND(BE$3&gt;=$B$67,BE$3&lt;EDATE($B$67,MAX(1,'Вводные'!$K$73)),AND($B$63="Да",IFERROR(INDEX('Вводные'!$B$88:$B$91,$B$64),"Нет")="Да")),(1+INDEX('Вводные'!$AD$88:$AD$91,$B$64)*'Вводные'!$H$7)^MAX(0,(12*(YEAR(BE$3)-YEAR($B$67))+MONTH(BE$3)-MONTH($B$67)))*(1+IF(MONTH(BE$3)=1,'Вводные'!$B$67,IF(AND(MONTH(BE$3)&gt;=5,MONTH(BE$3)&lt;=8),'Вводные'!$B$70,0))),0)</x:f>
      </x:c>
      <x:c r="BF74" s="35" t="n">
        <x:f>IF(AND(BF$3&gt;=$B$67,BF$3&lt;EDATE($B$67,MAX(1,'Вводные'!$K$73)),AND($B$63="Да",IFERROR(INDEX('Вводные'!$B$88:$B$91,$B$64),"Нет")="Да")),(1+INDEX('Вводные'!$AD$88:$AD$91,$B$64)*'Вводные'!$H$7)^MAX(0,(12*(YEAR(BF$3)-YEAR($B$67))+MONTH(BF$3)-MONTH($B$67)))*(1+IF(MONTH(BF$3)=1,'Вводные'!$B$67,IF(AND(MONTH(BF$3)&gt;=5,MONTH(BF$3)&lt;=8),'Вводные'!$B$70,0))),0)</x:f>
      </x:c>
      <x:c r="BG74" s="35" t="n">
        <x:f>IF(AND(BG$3&gt;=$B$67,BG$3&lt;EDATE($B$67,MAX(1,'Вводные'!$K$73)),AND($B$63="Да",IFERROR(INDEX('Вводные'!$B$88:$B$91,$B$64),"Нет")="Да")),(1+INDEX('Вводные'!$AD$88:$AD$91,$B$64)*'Вводные'!$H$7)^MAX(0,(12*(YEAR(BG$3)-YEAR($B$67))+MONTH(BG$3)-MONTH($B$67)))*(1+IF(MONTH(BG$3)=1,'Вводные'!$B$67,IF(AND(MONTH(BG$3)&gt;=5,MONTH(BG$3)&lt;=8),'Вводные'!$B$70,0))),0)</x:f>
      </x:c>
      <x:c r="BH74" s="35" t="n">
        <x:f>IF(AND(BH$3&gt;=$B$67,BH$3&lt;EDATE($B$67,MAX(1,'Вводные'!$K$73)),AND($B$63="Да",IFERROR(INDEX('Вводные'!$B$88:$B$91,$B$64),"Нет")="Да")),(1+INDEX('Вводные'!$AD$88:$AD$91,$B$64)*'Вводные'!$H$7)^MAX(0,(12*(YEAR(BH$3)-YEAR($B$67))+MONTH(BH$3)-MONTH($B$67)))*(1+IF(MONTH(BH$3)=1,'Вводные'!$B$67,IF(AND(MONTH(BH$3)&gt;=5,MONTH(BH$3)&lt;=8),'Вводные'!$B$70,0))),0)</x:f>
      </x:c>
      <x:c r="BI74" s="35" t="n">
        <x:f>IF(AND(BI$3&gt;=$B$67,BI$3&lt;EDATE($B$67,MAX(1,'Вводные'!$K$73)),AND($B$63="Да",IFERROR(INDEX('Вводные'!$B$88:$B$91,$B$64),"Нет")="Да")),(1+INDEX('Вводные'!$AD$88:$AD$91,$B$64)*'Вводные'!$H$7)^MAX(0,(12*(YEAR(BI$3)-YEAR($B$67))+MONTH(BI$3)-MONTH($B$67)))*(1+IF(MONTH(BI$3)=1,'Вводные'!$B$67,IF(AND(MONTH(BI$3)&gt;=5,MONTH(BI$3)&lt;=8),'Вводные'!$B$70,0))),0)</x:f>
      </x:c>
      <x:c r="BJ74" s="35" t="n">
        <x:f>IF(AND(BJ$3&gt;=$B$67,BJ$3&lt;EDATE($B$67,MAX(1,'Вводные'!$K$73)),AND($B$63="Да",IFERROR(INDEX('Вводные'!$B$88:$B$91,$B$64),"Нет")="Да")),(1+INDEX('Вводные'!$AD$88:$AD$91,$B$64)*'Вводные'!$H$7)^MAX(0,(12*(YEAR(BJ$3)-YEAR($B$67))+MONTH(BJ$3)-MONTH($B$67)))*(1+IF(MONTH(BJ$3)=1,'Вводные'!$B$67,IF(AND(MONTH(BJ$3)&gt;=5,MONTH(BJ$3)&lt;=8),'Вводные'!$B$70,0))),0)</x:f>
      </x:c>
      <x:c r="BK74" s="35" t="n">
        <x:f>IF(AND(BK$3&gt;=$B$67,BK$3&lt;EDATE($B$67,MAX(1,'Вводные'!$K$73)),AND($B$63="Да",IFERROR(INDEX('Вводные'!$B$88:$B$91,$B$64),"Нет")="Да")),(1+INDEX('Вводные'!$AD$88:$AD$91,$B$64)*'Вводные'!$H$7)^MAX(0,(12*(YEAR(BK$3)-YEAR($B$67))+MONTH(BK$3)-MONTH($B$67)))*(1+IF(MONTH(BK$3)=1,'Вводные'!$B$67,IF(AND(MONTH(BK$3)&gt;=5,MONTH(BK$3)&lt;=8),'Вводные'!$B$70,0))),0)</x:f>
      </x:c>
      <x:c r="BL74" s="35" t="n">
        <x:f>IF(AND(BL$3&gt;=$B$67,BL$3&lt;EDATE($B$67,MAX(1,'Вводные'!$K$73)),AND($B$63="Да",IFERROR(INDEX('Вводные'!$B$88:$B$91,$B$64),"Нет")="Да")),(1+INDEX('Вводные'!$AD$88:$AD$91,$B$64)*'Вводные'!$H$7)^MAX(0,(12*(YEAR(BL$3)-YEAR($B$67))+MONTH(BL$3)-MONTH($B$67)))*(1+IF(MONTH(BL$3)=1,'Вводные'!$B$67,IF(AND(MONTH(BL$3)&gt;=5,MONTH(BL$3)&lt;=8),'Вводные'!$B$70,0))),0)</x:f>
      </x:c>
      <x:c r="BM74" s="35" t="n">
        <x:f>IF(AND(BM$3&gt;=$B$67,BM$3&lt;EDATE($B$67,MAX(1,'Вводные'!$K$73)),AND($B$63="Да",IFERROR(INDEX('Вводные'!$B$88:$B$91,$B$64),"Нет")="Да")),(1+INDEX('Вводные'!$AD$88:$AD$91,$B$64)*'Вводные'!$H$7)^MAX(0,(12*(YEAR(BM$3)-YEAR($B$67))+MONTH(BM$3)-MONTH($B$67)))*(1+IF(MONTH(BM$3)=1,'Вводные'!$B$67,IF(AND(MONTH(BM$3)&gt;=5,MONTH(BM$3)&lt;=8),'Вводные'!$B$70,0))),0)</x:f>
      </x:c>
      <x:c r="BN74" s="35" t="n">
        <x:f>IF(AND(BN$3&gt;=$B$67,BN$3&lt;EDATE($B$67,MAX(1,'Вводные'!$K$73)),AND($B$63="Да",IFERROR(INDEX('Вводные'!$B$88:$B$91,$B$64),"Нет")="Да")),(1+INDEX('Вводные'!$AD$88:$AD$91,$B$64)*'Вводные'!$H$7)^MAX(0,(12*(YEAR(BN$3)-YEAR($B$67))+MONTH(BN$3)-MONTH($B$67)))*(1+IF(MONTH(BN$3)=1,'Вводные'!$B$67,IF(AND(MONTH(BN$3)&gt;=5,MONTH(BN$3)&lt;=8),'Вводные'!$B$70,0))),0)</x:f>
      </x:c>
      <x:c r="BO74" s="35" t="n">
        <x:f>IF(AND(BO$3&gt;=$B$67,BO$3&lt;EDATE($B$67,MAX(1,'Вводные'!$K$73)),AND($B$63="Да",IFERROR(INDEX('Вводные'!$B$88:$B$91,$B$64),"Нет")="Да")),(1+INDEX('Вводные'!$AD$88:$AD$91,$B$64)*'Вводные'!$H$7)^MAX(0,(12*(YEAR(BO$3)-YEAR($B$67))+MONTH(BO$3)-MONTH($B$67)))*(1+IF(MONTH(BO$3)=1,'Вводные'!$B$67,IF(AND(MONTH(BO$3)&gt;=5,MONTH(BO$3)&lt;=8),'Вводные'!$B$70,0))),0)</x:f>
      </x:c>
      <x:c r="BP74" s="35" t="n">
        <x:f>IF(AND(BP$3&gt;=$B$67,BP$3&lt;EDATE($B$67,MAX(1,'Вводные'!$K$73)),AND($B$63="Да",IFERROR(INDEX('Вводные'!$B$88:$B$91,$B$64),"Нет")="Да")),(1+INDEX('Вводные'!$AD$88:$AD$91,$B$64)*'Вводные'!$H$7)^MAX(0,(12*(YEAR(BP$3)-YEAR($B$67))+MONTH(BP$3)-MONTH($B$67)))*(1+IF(MONTH(BP$3)=1,'Вводные'!$B$67,IF(AND(MONTH(BP$3)&gt;=5,MONTH(BP$3)&lt;=8),'Вводные'!$B$70,0))),0)</x:f>
      </x:c>
      <x:c r="BQ74" s="35" t="n">
        <x:f>IF(AND(BQ$3&gt;=$B$67,BQ$3&lt;EDATE($B$67,MAX(1,'Вводные'!$K$73)),AND($B$63="Да",IFERROR(INDEX('Вводные'!$B$88:$B$91,$B$64),"Нет")="Да")),(1+INDEX('Вводные'!$AD$88:$AD$91,$B$64)*'Вводные'!$H$7)^MAX(0,(12*(YEAR(BQ$3)-YEAR($B$67))+MONTH(BQ$3)-MONTH($B$67)))*(1+IF(MONTH(BQ$3)=1,'Вводные'!$B$67,IF(AND(MONTH(BQ$3)&gt;=5,MONTH(BQ$3)&lt;=8),'Вводные'!$B$70,0))),0)</x:f>
      </x:c>
      <x:c r="BR74" s="35" t="n">
        <x:f>IF(AND(BR$3&gt;=$B$67,BR$3&lt;EDATE($B$67,MAX(1,'Вводные'!$K$73)),AND($B$63="Да",IFERROR(INDEX('Вводные'!$B$88:$B$91,$B$64),"Нет")="Да")),(1+INDEX('Вводные'!$AD$88:$AD$91,$B$64)*'Вводные'!$H$7)^MAX(0,(12*(YEAR(BR$3)-YEAR($B$67))+MONTH(BR$3)-MONTH($B$67)))*(1+IF(MONTH(BR$3)=1,'Вводные'!$B$67,IF(AND(MONTH(BR$3)&gt;=5,MONTH(BR$3)&lt;=8),'Вводные'!$B$70,0))),0)</x:f>
      </x:c>
      <x:c r="BS74" s="35" t="n">
        <x:f>IF(AND(BS$3&gt;=$B$67,BS$3&lt;EDATE($B$67,MAX(1,'Вводные'!$K$73)),AND($B$63="Да",IFERROR(INDEX('Вводные'!$B$88:$B$91,$B$64),"Нет")="Да")),(1+INDEX('Вводные'!$AD$88:$AD$91,$B$64)*'Вводные'!$H$7)^MAX(0,(12*(YEAR(BS$3)-YEAR($B$67))+MONTH(BS$3)-MONTH($B$67)))*(1+IF(MONTH(BS$3)=1,'Вводные'!$B$67,IF(AND(MONTH(BS$3)&gt;=5,MONTH(BS$3)&lt;=8),'Вводные'!$B$70,0))),0)</x:f>
      </x:c>
      <x:c r="BT74" s="35" t="n">
        <x:f>IF(AND(BT$3&gt;=$B$67,BT$3&lt;EDATE($B$67,MAX(1,'Вводные'!$K$73)),AND($B$63="Да",IFERROR(INDEX('Вводные'!$B$88:$B$91,$B$64),"Нет")="Да")),(1+INDEX('Вводные'!$AD$88:$AD$91,$B$64)*'Вводные'!$H$7)^MAX(0,(12*(YEAR(BT$3)-YEAR($B$67))+MONTH(BT$3)-MONTH($B$67)))*(1+IF(MONTH(BT$3)=1,'Вводные'!$B$67,IF(AND(MONTH(BT$3)&gt;=5,MONTH(BT$3)&lt;=8),'Вводные'!$B$70,0))),0)</x:f>
      </x:c>
      <x:c r="BU74" s="35" t="n">
        <x:f>IF(AND(BU$3&gt;=$B$67,BU$3&lt;EDATE($B$67,MAX(1,'Вводные'!$K$73)),AND($B$63="Да",IFERROR(INDEX('Вводные'!$B$88:$B$91,$B$64),"Нет")="Да")),(1+INDEX('Вводные'!$AD$88:$AD$91,$B$64)*'Вводные'!$H$7)^MAX(0,(12*(YEAR(BU$3)-YEAR($B$67))+MONTH(BU$3)-MONTH($B$67)))*(1+IF(MONTH(BU$3)=1,'Вводные'!$B$67,IF(AND(MONTH(BU$3)&gt;=5,MONTH(BU$3)&lt;=8),'Вводные'!$B$70,0))),0)</x:f>
      </x:c>
      <x:c r="BV74" s="35" t="n">
        <x:f>IF(AND(BV$3&gt;=$B$67,BV$3&lt;EDATE($B$67,MAX(1,'Вводные'!$K$73)),AND($B$63="Да",IFERROR(INDEX('Вводные'!$B$88:$B$91,$B$64),"Нет")="Да")),(1+INDEX('Вводные'!$AD$88:$AD$91,$B$64)*'Вводные'!$H$7)^MAX(0,(12*(YEAR(BV$3)-YEAR($B$67))+MONTH(BV$3)-MONTH($B$67)))*(1+IF(MONTH(BV$3)=1,'Вводные'!$B$67,IF(AND(MONTH(BV$3)&gt;=5,MONTH(BV$3)&lt;=8),'Вводные'!$B$70,0))),0)</x:f>
      </x:c>
      <x:c r="BW74" s="35" t="n">
        <x:f>IF(AND(BW$3&gt;=$B$67,BW$3&lt;EDATE($B$67,MAX(1,'Вводные'!$K$73)),AND($B$63="Да",IFERROR(INDEX('Вводные'!$B$88:$B$91,$B$64),"Нет")="Да")),(1+INDEX('Вводные'!$AD$88:$AD$91,$B$64)*'Вводные'!$H$7)^MAX(0,(12*(YEAR(BW$3)-YEAR($B$67))+MONTH(BW$3)-MONTH($B$67)))*(1+IF(MONTH(BW$3)=1,'Вводные'!$B$67,IF(AND(MONTH(BW$3)&gt;=5,MONTH(BW$3)&lt;=8),'Вводные'!$B$70,0))),0)</x:f>
      </x:c>
      <x:c r="BX74" s="35" t="n">
        <x:f>IF(AND(BX$3&gt;=$B$67,BX$3&lt;EDATE($B$67,MAX(1,'Вводные'!$K$73)),AND($B$63="Да",IFERROR(INDEX('Вводные'!$B$88:$B$91,$B$64),"Нет")="Да")),(1+INDEX('Вводные'!$AD$88:$AD$91,$B$64)*'Вводные'!$H$7)^MAX(0,(12*(YEAR(BX$3)-YEAR($B$67))+MONTH(BX$3)-MONTH($B$67)))*(1+IF(MONTH(BX$3)=1,'Вводные'!$B$67,IF(AND(MONTH(BX$3)&gt;=5,MONTH(BX$3)&lt;=8),'Вводные'!$B$70,0))),0)</x:f>
      </x:c>
      <x:c r="BY74" s="35" t="n">
        <x:f>IF(AND(BY$3&gt;=$B$67,BY$3&lt;EDATE($B$67,MAX(1,'Вводные'!$K$73)),AND($B$63="Да",IFERROR(INDEX('Вводные'!$B$88:$B$91,$B$64),"Нет")="Да")),(1+INDEX('Вводные'!$AD$88:$AD$91,$B$64)*'Вводные'!$H$7)^MAX(0,(12*(YEAR(BY$3)-YEAR($B$67))+MONTH(BY$3)-MONTH($B$67)))*(1+IF(MONTH(BY$3)=1,'Вводные'!$B$67,IF(AND(MONTH(BY$3)&gt;=5,MONTH(BY$3)&lt;=8),'Вводные'!$B$70,0))),0)</x:f>
      </x:c>
      <x:c r="BZ74" s="35" t="n">
        <x:f>IF(AND(BZ$3&gt;=$B$67,BZ$3&lt;EDATE($B$67,MAX(1,'Вводные'!$K$73)),AND($B$63="Да",IFERROR(INDEX('Вводные'!$B$88:$B$91,$B$64),"Нет")="Да")),(1+INDEX('Вводные'!$AD$88:$AD$91,$B$64)*'Вводные'!$H$7)^MAX(0,(12*(YEAR(BZ$3)-YEAR($B$67))+MONTH(BZ$3)-MONTH($B$67)))*(1+IF(MONTH(BZ$3)=1,'Вводные'!$B$67,IF(AND(MONTH(BZ$3)&gt;=5,MONTH(BZ$3)&lt;=8),'Вводные'!$B$70,0))),0)</x:f>
      </x:c>
      <x:c r="CA74" s="35" t="n">
        <x:f>IF(AND(CA$3&gt;=$B$67,CA$3&lt;EDATE($B$67,MAX(1,'Вводные'!$K$73)),AND($B$63="Да",IFERROR(INDEX('Вводные'!$B$88:$B$91,$B$64),"Нет")="Да")),(1+INDEX('Вводные'!$AD$88:$AD$91,$B$64)*'Вводные'!$H$7)^MAX(0,(12*(YEAR(CA$3)-YEAR($B$67))+MONTH(CA$3)-MONTH($B$67)))*(1+IF(MONTH(CA$3)=1,'Вводные'!$B$67,IF(AND(MONTH(CA$3)&gt;=5,MONTH(CA$3)&lt;=8),'Вводные'!$B$70,0))),0)</x:f>
      </x:c>
      <x:c r="CB74" s="35" t="n">
        <x:f>IF(AND(CB$3&gt;=$B$67,CB$3&lt;EDATE($B$67,MAX(1,'Вводные'!$K$73)),AND($B$63="Да",IFERROR(INDEX('Вводные'!$B$88:$B$91,$B$64),"Нет")="Да")),(1+INDEX('Вводные'!$AD$88:$AD$91,$B$64)*'Вводные'!$H$7)^MAX(0,(12*(YEAR(CB$3)-YEAR($B$67))+MONTH(CB$3)-MONTH($B$67)))*(1+IF(MONTH(CB$3)=1,'Вводные'!$B$67,IF(AND(MONTH(CB$3)&gt;=5,MONTH(CB$3)&lt;=8),'Вводные'!$B$70,0))),0)</x:f>
      </x:c>
      <x:c r="CC74" s="35" t="n">
        <x:f>IF(AND(CC$3&gt;=$B$67,CC$3&lt;EDATE($B$67,MAX(1,'Вводные'!$K$73)),AND($B$63="Да",IFERROR(INDEX('Вводные'!$B$88:$B$91,$B$64),"Нет")="Да")),(1+INDEX('Вводные'!$AD$88:$AD$91,$B$64)*'Вводные'!$H$7)^MAX(0,(12*(YEAR(CC$3)-YEAR($B$67))+MONTH(CC$3)-MONTH($B$67)))*(1+IF(MONTH(CC$3)=1,'Вводные'!$B$67,IF(AND(MONTH(CC$3)&gt;=5,MONTH(CC$3)&lt;=8),'Вводные'!$B$70,0))),0)</x:f>
      </x:c>
      <x:c r="CD74" s="35" t="n">
        <x:f>IF(AND(CD$3&gt;=$B$67,CD$3&lt;EDATE($B$67,MAX(1,'Вводные'!$K$73)),AND($B$63="Да",IFERROR(INDEX('Вводные'!$B$88:$B$91,$B$64),"Нет")="Да")),(1+INDEX('Вводные'!$AD$88:$AD$91,$B$64)*'Вводные'!$H$7)^MAX(0,(12*(YEAR(CD$3)-YEAR($B$67))+MONTH(CD$3)-MONTH($B$67)))*(1+IF(MONTH(CD$3)=1,'Вводные'!$B$67,IF(AND(MONTH(CD$3)&gt;=5,MONTH(CD$3)&lt;=8),'Вводные'!$B$70,0))),0)</x:f>
      </x:c>
      <x:c r="CE74" s="35" t="n">
        <x:f>IF(AND(CE$3&gt;=$B$67,CE$3&lt;EDATE($B$67,MAX(1,'Вводные'!$K$73)),AND($B$63="Да",IFERROR(INDEX('Вводные'!$B$88:$B$91,$B$64),"Нет")="Да")),(1+INDEX('Вводные'!$AD$88:$AD$91,$B$64)*'Вводные'!$H$7)^MAX(0,(12*(YEAR(CE$3)-YEAR($B$67))+MONTH(CE$3)-MONTH($B$67)))*(1+IF(MONTH(CE$3)=1,'Вводные'!$B$67,IF(AND(MONTH(CE$3)&gt;=5,MONTH(CE$3)&lt;=8),'Вводные'!$B$70,0))),0)</x:f>
      </x:c>
      <x:c r="CF74" s="35" t="n">
        <x:f>IF(AND(CF$3&gt;=$B$67,CF$3&lt;EDATE($B$67,MAX(1,'Вводные'!$K$73)),AND($B$63="Да",IFERROR(INDEX('Вводные'!$B$88:$B$91,$B$64),"Нет")="Да")),(1+INDEX('Вводные'!$AD$88:$AD$91,$B$64)*'Вводные'!$H$7)^MAX(0,(12*(YEAR(CF$3)-YEAR($B$67))+MONTH(CF$3)-MONTH($B$67)))*(1+IF(MONTH(CF$3)=1,'Вводные'!$B$67,IF(AND(MONTH(CF$3)&gt;=5,MONTH(CF$3)&lt;=8),'Вводные'!$B$70,0))),0)</x:f>
      </x:c>
      <x:c r="CG74" s="35" t="n">
        <x:f>IF(AND(CG$3&gt;=$B$67,CG$3&lt;EDATE($B$67,MAX(1,'Вводные'!$K$73)),AND($B$63="Да",IFERROR(INDEX('Вводные'!$B$88:$B$91,$B$64),"Нет")="Да")),(1+INDEX('Вводные'!$AD$88:$AD$91,$B$64)*'Вводные'!$H$7)^MAX(0,(12*(YEAR(CG$3)-YEAR($B$67))+MONTH(CG$3)-MONTH($B$67)))*(1+IF(MONTH(CG$3)=1,'Вводные'!$B$67,IF(AND(MONTH(CG$3)&gt;=5,MONTH(CG$3)&lt;=8),'Вводные'!$B$70,0))),0)</x:f>
      </x:c>
      <x:c r="CH74" s="35" t="n">
        <x:f>IF(AND(CH$3&gt;=$B$67,CH$3&lt;EDATE($B$67,MAX(1,'Вводные'!$K$73)),AND($B$63="Да",IFERROR(INDEX('Вводные'!$B$88:$B$91,$B$64),"Нет")="Да")),(1+INDEX('Вводные'!$AD$88:$AD$91,$B$64)*'Вводные'!$H$7)^MAX(0,(12*(YEAR(CH$3)-YEAR($B$67))+MONTH(CH$3)-MONTH($B$67)))*(1+IF(MONTH(CH$3)=1,'Вводные'!$B$67,IF(AND(MONTH(CH$3)&gt;=5,MONTH(CH$3)&lt;=8),'Вводные'!$B$70,0))),0)</x:f>
      </x:c>
      <x:c r="CI74" s="35" t="n">
        <x:f>IF(AND(CI$3&gt;=$B$67,CI$3&lt;EDATE($B$67,MAX(1,'Вводные'!$K$73)),AND($B$63="Да",IFERROR(INDEX('Вводные'!$B$88:$B$91,$B$64),"Нет")="Да")),(1+INDEX('Вводные'!$AD$88:$AD$91,$B$64)*'Вводные'!$H$7)^MAX(0,(12*(YEAR(CI$3)-YEAR($B$67))+MONTH(CI$3)-MONTH($B$67)))*(1+IF(MONTH(CI$3)=1,'Вводные'!$B$67,IF(AND(MONTH(CI$3)&gt;=5,MONTH(CI$3)&lt;=8),'Вводные'!$B$70,0))),0)</x:f>
      </x:c>
      <x:c r="CJ74" s="35" t="n">
        <x:f>IF(AND(CJ$3&gt;=$B$67,CJ$3&lt;EDATE($B$67,MAX(1,'Вводные'!$K$73)),AND($B$63="Да",IFERROR(INDEX('Вводные'!$B$88:$B$91,$B$64),"Нет")="Да")),(1+INDEX('Вводные'!$AD$88:$AD$91,$B$64)*'Вводные'!$H$7)^MAX(0,(12*(YEAR(CJ$3)-YEAR($B$67))+MONTH(CJ$3)-MONTH($B$67)))*(1+IF(MONTH(CJ$3)=1,'Вводные'!$B$67,IF(AND(MONTH(CJ$3)&gt;=5,MONTH(CJ$3)&lt;=8),'Вводные'!$B$70,0))),0)</x:f>
      </x:c>
      <x:c r="CK74" s="35" t="n">
        <x:f>IF(AND(CK$3&gt;=$B$67,CK$3&lt;EDATE($B$67,MAX(1,'Вводные'!$K$73)),AND($B$63="Да",IFERROR(INDEX('Вводные'!$B$88:$B$91,$B$64),"Нет")="Да")),(1+INDEX('Вводные'!$AD$88:$AD$91,$B$64)*'Вводные'!$H$7)^MAX(0,(12*(YEAR(CK$3)-YEAR($B$67))+MONTH(CK$3)-MONTH($B$67)))*(1+IF(MONTH(CK$3)=1,'Вводные'!$B$67,IF(AND(MONTH(CK$3)&gt;=5,MONTH(CK$3)&lt;=8),'Вводные'!$B$70,0))),0)</x:f>
      </x:c>
      <x:c r="CL74" s="35" t="n">
        <x:f>IF(AND(CL$3&gt;=$B$67,CL$3&lt;EDATE($B$67,MAX(1,'Вводные'!$K$73)),AND($B$63="Да",IFERROR(INDEX('Вводные'!$B$88:$B$91,$B$64),"Нет")="Да")),(1+INDEX('Вводные'!$AD$88:$AD$91,$B$64)*'Вводные'!$H$7)^MAX(0,(12*(YEAR(CL$3)-YEAR($B$67))+MONTH(CL$3)-MONTH($B$67)))*(1+IF(MONTH(CL$3)=1,'Вводные'!$B$67,IF(AND(MONTH(CL$3)&gt;=5,MONTH(CL$3)&lt;=8),'Вводные'!$B$70,0))),0)</x:f>
      </x:c>
      <x:c r="CM74" s="35" t="n">
        <x:f>IF(AND(CM$3&gt;=$B$67,CM$3&lt;EDATE($B$67,MAX(1,'Вводные'!$K$73)),AND($B$63="Да",IFERROR(INDEX('Вводные'!$B$88:$B$91,$B$64),"Нет")="Да")),(1+INDEX('Вводные'!$AD$88:$AD$91,$B$64)*'Вводные'!$H$7)^MAX(0,(12*(YEAR(CM$3)-YEAR($B$67))+MONTH(CM$3)-MONTH($B$67)))*(1+IF(MONTH(CM$3)=1,'Вводные'!$B$67,IF(AND(MONTH(CM$3)&gt;=5,MONTH(CM$3)&lt;=8),'Вводные'!$B$70,0))),0)</x:f>
      </x:c>
      <x:c r="CN74" s="35" t="n">
        <x:f>IF(AND(CN$3&gt;=$B$67,CN$3&lt;EDATE($B$67,MAX(1,'Вводные'!$K$73)),AND($B$63="Да",IFERROR(INDEX('Вводные'!$B$88:$B$91,$B$64),"Нет")="Да")),(1+INDEX('Вводные'!$AD$88:$AD$91,$B$64)*'Вводные'!$H$7)^MAX(0,(12*(YEAR(CN$3)-YEAR($B$67))+MONTH(CN$3)-MONTH($B$67)))*(1+IF(MONTH(CN$3)=1,'Вводные'!$B$67,IF(AND(MONTH(CN$3)&gt;=5,MONTH(CN$3)&lt;=8),'Вводные'!$B$70,0))),0)</x:f>
      </x:c>
      <x:c r="CO74" s="35" t="n">
        <x:f>IF(AND(CO$3&gt;=$B$67,CO$3&lt;EDATE($B$67,MAX(1,'Вводные'!$K$73)),AND($B$63="Да",IFERROR(INDEX('Вводные'!$B$88:$B$91,$B$64),"Нет")="Да")),(1+INDEX('Вводные'!$AD$88:$AD$91,$B$64)*'Вводные'!$H$7)^MAX(0,(12*(YEAR(CO$3)-YEAR($B$67))+MONTH(CO$3)-MONTH($B$67)))*(1+IF(MONTH(CO$3)=1,'Вводные'!$B$67,IF(AND(MONTH(CO$3)&gt;=5,MONTH(CO$3)&lt;=8),'Вводные'!$B$70,0))),0)</x:f>
      </x:c>
      <x:c r="CP74" s="35" t="n">
        <x:f>IF(AND(CP$3&gt;=$B$67,CP$3&lt;EDATE($B$67,MAX(1,'Вводные'!$K$73)),AND($B$63="Да",IFERROR(INDEX('Вводные'!$B$88:$B$91,$B$64),"Нет")="Да")),(1+INDEX('Вводные'!$AD$88:$AD$91,$B$64)*'Вводные'!$H$7)^MAX(0,(12*(YEAR(CP$3)-YEAR($B$67))+MONTH(CP$3)-MONTH($B$67)))*(1+IF(MONTH(CP$3)=1,'Вводные'!$B$67,IF(AND(MONTH(CP$3)&gt;=5,MONTH(CP$3)&lt;=8),'Вводные'!$B$70,0))),0)</x:f>
      </x:c>
      <x:c r="CQ74" s="35" t="n">
        <x:f>IF(AND(CQ$3&gt;=$B$67,CQ$3&lt;EDATE($B$67,MAX(1,'Вводные'!$K$73)),AND($B$63="Да",IFERROR(INDEX('Вводные'!$B$88:$B$91,$B$64),"Нет")="Да")),(1+INDEX('Вводные'!$AD$88:$AD$91,$B$64)*'Вводные'!$H$7)^MAX(0,(12*(YEAR(CQ$3)-YEAR($B$67))+MONTH(CQ$3)-MONTH($B$67)))*(1+IF(MONTH(CQ$3)=1,'Вводные'!$B$67,IF(AND(MONTH(CQ$3)&gt;=5,MONTH(CQ$3)&lt;=8),'Вводные'!$B$70,0))),0)</x:f>
      </x:c>
      <x:c r="CR74" s="35" t="n">
        <x:f>IF(AND(CR$3&gt;=$B$67,CR$3&lt;EDATE($B$67,MAX(1,'Вводные'!$K$73)),AND($B$63="Да",IFERROR(INDEX('Вводные'!$B$88:$B$91,$B$64),"Нет")="Да")),(1+INDEX('Вводные'!$AD$88:$AD$91,$B$64)*'Вводные'!$H$7)^MAX(0,(12*(YEAR(CR$3)-YEAR($B$67))+MONTH(CR$3)-MONTH($B$67)))*(1+IF(MONTH(CR$3)=1,'Вводные'!$B$67,IF(AND(MONTH(CR$3)&gt;=5,MONTH(CR$3)&lt;=8),'Вводные'!$B$70,0))),0)</x:f>
      </x:c>
      <x:c r="CS74" s="35" t="n">
        <x:f>IF(AND(CS$3&gt;=$B$67,CS$3&lt;EDATE($B$67,MAX(1,'Вводные'!$K$73)),AND($B$63="Да",IFERROR(INDEX('Вводные'!$B$88:$B$91,$B$64),"Нет")="Да")),(1+INDEX('Вводные'!$AD$88:$AD$91,$B$64)*'Вводные'!$H$7)^MAX(0,(12*(YEAR(CS$3)-YEAR($B$67))+MONTH(CS$3)-MONTH($B$67)))*(1+IF(MONTH(CS$3)=1,'Вводные'!$B$67,IF(AND(MONTH(CS$3)&gt;=5,MONTH(CS$3)&lt;=8),'Вводные'!$B$70,0))),0)</x:f>
      </x:c>
      <x:c r="CT74" s="35" t="n">
        <x:f>IF(AND(CT$3&gt;=$B$67,CT$3&lt;EDATE($B$67,MAX(1,'Вводные'!$K$73)),AND($B$63="Да",IFERROR(INDEX('Вводные'!$B$88:$B$91,$B$64),"Нет")="Да")),(1+INDEX('Вводные'!$AD$88:$AD$91,$B$64)*'Вводные'!$H$7)^MAX(0,(12*(YEAR(CT$3)-YEAR($B$67))+MONTH(CT$3)-MONTH($B$67)))*(1+IF(MONTH(CT$3)=1,'Вводные'!$B$67,IF(AND(MONTH(CT$3)&gt;=5,MONTH(CT$3)&lt;=8),'Вводные'!$B$70,0))),0)</x:f>
      </x:c>
      <x:c r="CU74" s="35" t="n">
        <x:f>IF(AND(CU$3&gt;=$B$67,CU$3&lt;EDATE($B$67,MAX(1,'Вводные'!$K$73)),AND($B$63="Да",IFERROR(INDEX('Вводные'!$B$88:$B$91,$B$64),"Нет")="Да")),(1+INDEX('Вводные'!$AD$88:$AD$91,$B$64)*'Вводные'!$H$7)^MAX(0,(12*(YEAR(CU$3)-YEAR($B$67))+MONTH(CU$3)-MONTH($B$67)))*(1+IF(MONTH(CU$3)=1,'Вводные'!$B$67,IF(AND(MONTH(CU$3)&gt;=5,MONTH(CU$3)&lt;=8),'Вводные'!$B$70,0))),0)</x:f>
      </x:c>
      <x:c r="CV74" s="35" t="n">
        <x:f>IF(AND(CV$3&gt;=$B$67,CV$3&lt;EDATE($B$67,MAX(1,'Вводные'!$K$73)),AND($B$63="Да",IFERROR(INDEX('Вводные'!$B$88:$B$91,$B$64),"Нет")="Да")),(1+INDEX('Вводные'!$AD$88:$AD$91,$B$64)*'Вводные'!$H$7)^MAX(0,(12*(YEAR(CV$3)-YEAR($B$67))+MONTH(CV$3)-MONTH($B$67)))*(1+IF(MONTH(CV$3)=1,'Вводные'!$B$67,IF(AND(MONTH(CV$3)&gt;=5,MONTH(CV$3)&lt;=8),'Вводные'!$B$70,0))),0)</x:f>
      </x:c>
      <x:c r="CW74" s="35" t="n">
        <x:f>IF(AND(CW$3&gt;=$B$67,CW$3&lt;EDATE($B$67,MAX(1,'Вводные'!$K$73)),AND($B$63="Да",IFERROR(INDEX('Вводные'!$B$88:$B$91,$B$64),"Нет")="Да")),(1+INDEX('Вводные'!$AD$88:$AD$91,$B$64)*'Вводные'!$H$7)^MAX(0,(12*(YEAR(CW$3)-YEAR($B$67))+MONTH(CW$3)-MONTH($B$67)))*(1+IF(MONTH(CW$3)=1,'Вводные'!$B$67,IF(AND(MONTH(CW$3)&gt;=5,MONTH(CW$3)&lt;=8),'Вводные'!$B$70,0))),0)</x:f>
      </x:c>
      <x:c r="CX74" s="35" t="n">
        <x:f>IF(AND(CX$3&gt;=$B$67,CX$3&lt;EDATE($B$67,MAX(1,'Вводные'!$K$73)),AND($B$63="Да",IFERROR(INDEX('Вводные'!$B$88:$B$91,$B$64),"Нет")="Да")),(1+INDEX('Вводные'!$AD$88:$AD$91,$B$64)*'Вводные'!$H$7)^MAX(0,(12*(YEAR(CX$3)-YEAR($B$67))+MONTH(CX$3)-MONTH($B$67)))*(1+IF(MONTH(CX$3)=1,'Вводные'!$B$67,IF(AND(MONTH(CX$3)&gt;=5,MONTH(CX$3)&lt;=8),'Вводные'!$B$70,0))),0)</x:f>
      </x:c>
      <x:c r="CY74" s="35" t="n">
        <x:f>IF(AND(CY$3&gt;=$B$67,CY$3&lt;EDATE($B$67,MAX(1,'Вводные'!$K$73)),AND($B$63="Да",IFERROR(INDEX('Вводные'!$B$88:$B$91,$B$64),"Нет")="Да")),(1+INDEX('Вводные'!$AD$88:$AD$91,$B$64)*'Вводные'!$H$7)^MAX(0,(12*(YEAR(CY$3)-YEAR($B$67))+MONTH(CY$3)-MONTH($B$67)))*(1+IF(MONTH(CY$3)=1,'Вводные'!$B$67,IF(AND(MONTH(CY$3)&gt;=5,MONTH(CY$3)&lt;=8),'Вводные'!$B$70,0))),0)</x:f>
      </x:c>
      <x:c r="CZ74" s="35" t="n">
        <x:f>IF(AND(CZ$3&gt;=$B$67,CZ$3&lt;EDATE($B$67,MAX(1,'Вводные'!$K$73)),AND($B$63="Да",IFERROR(INDEX('Вводные'!$B$88:$B$91,$B$64),"Нет")="Да")),(1+INDEX('Вводные'!$AD$88:$AD$91,$B$64)*'Вводные'!$H$7)^MAX(0,(12*(YEAR(CZ$3)-YEAR($B$67))+MONTH(CZ$3)-MONTH($B$67)))*(1+IF(MONTH(CZ$3)=1,'Вводные'!$B$67,IF(AND(MONTH(CZ$3)&gt;=5,MONTH(CZ$3)&lt;=8),'Вводные'!$B$70,0))),0)</x:f>
      </x:c>
      <x:c r="DA74" s="35" t="n">
        <x:f>IF(AND(DA$3&gt;=$B$67,DA$3&lt;EDATE($B$67,MAX(1,'Вводные'!$K$73)),AND($B$63="Да",IFERROR(INDEX('Вводные'!$B$88:$B$91,$B$64),"Нет")="Да")),(1+INDEX('Вводные'!$AD$88:$AD$91,$B$64)*'Вводные'!$H$7)^MAX(0,(12*(YEAR(DA$3)-YEAR($B$67))+MONTH(DA$3)-MONTH($B$67)))*(1+IF(MONTH(DA$3)=1,'Вводные'!$B$67,IF(AND(MONTH(DA$3)&gt;=5,MONTH(DA$3)&lt;=8),'Вводные'!$B$70,0))),0)</x:f>
      </x:c>
      <x:c r="DB74" s="35" t="n">
        <x:f>IF(AND(DB$3&gt;=$B$67,DB$3&lt;EDATE($B$67,MAX(1,'Вводные'!$K$73)),AND($B$63="Да",IFERROR(INDEX('Вводные'!$B$88:$B$91,$B$64),"Нет")="Да")),(1+INDEX('Вводные'!$AD$88:$AD$91,$B$64)*'Вводные'!$H$7)^MAX(0,(12*(YEAR(DB$3)-YEAR($B$67))+MONTH(DB$3)-MONTH($B$67)))*(1+IF(MONTH(DB$3)=1,'Вводные'!$B$67,IF(AND(MONTH(DB$3)&gt;=5,MONTH(DB$3)&lt;=8),'Вводные'!$B$70,0))),0)</x:f>
      </x:c>
      <x:c r="DC74" s="35" t="n">
        <x:f>IF(AND(DC$3&gt;=$B$67,DC$3&lt;EDATE($B$67,MAX(1,'Вводные'!$K$73)),AND($B$63="Да",IFERROR(INDEX('Вводные'!$B$88:$B$91,$B$64),"Нет")="Да")),(1+INDEX('Вводные'!$AD$88:$AD$91,$B$64)*'Вводные'!$H$7)^MAX(0,(12*(YEAR(DC$3)-YEAR($B$67))+MONTH(DC$3)-MONTH($B$67)))*(1+IF(MONTH(DC$3)=1,'Вводные'!$B$67,IF(AND(MONTH(DC$3)&gt;=5,MONTH(DC$3)&lt;=8),'Вводные'!$B$70,0))),0)</x:f>
      </x:c>
      <x:c r="DD74" s="35" t="n">
        <x:f>IF(AND(DD$3&gt;=$B$67,DD$3&lt;EDATE($B$67,MAX(1,'Вводные'!$K$73)),AND($B$63="Да",IFERROR(INDEX('Вводные'!$B$88:$B$91,$B$64),"Нет")="Да")),(1+INDEX('Вводные'!$AD$88:$AD$91,$B$64)*'Вводные'!$H$7)^MAX(0,(12*(YEAR(DD$3)-YEAR($B$67))+MONTH(DD$3)-MONTH($B$67)))*(1+IF(MONTH(DD$3)=1,'Вводные'!$B$67,IF(AND(MONTH(DD$3)&gt;=5,MONTH(DD$3)&lt;=8),'Вводные'!$B$70,0))),0)</x:f>
      </x:c>
      <x:c r="DE74" s="35" t="n">
        <x:f>IF(AND(DE$3&gt;=$B$67,DE$3&lt;EDATE($B$67,MAX(1,'Вводные'!$K$73)),AND($B$63="Да",IFERROR(INDEX('Вводные'!$B$88:$B$91,$B$64),"Нет")="Да")),(1+INDEX('Вводные'!$AD$88:$AD$91,$B$64)*'Вводные'!$H$7)^MAX(0,(12*(YEAR(DE$3)-YEAR($B$67))+MONTH(DE$3)-MONTH($B$67)))*(1+IF(MONTH(DE$3)=1,'Вводные'!$B$67,IF(AND(MONTH(DE$3)&gt;=5,MONTH(DE$3)&lt;=8),'Вводные'!$B$70,0))),0)</x:f>
      </x:c>
      <x:c r="DF74" s="35" t="n">
        <x:f>IF(AND(DF$3&gt;=$B$67,DF$3&lt;EDATE($B$67,MAX(1,'Вводные'!$K$73)),AND($B$63="Да",IFERROR(INDEX('Вводные'!$B$88:$B$91,$B$64),"Нет")="Да")),(1+INDEX('Вводные'!$AD$88:$AD$91,$B$64)*'Вводные'!$H$7)^MAX(0,(12*(YEAR(DF$3)-YEAR($B$67))+MONTH(DF$3)-MONTH($B$67)))*(1+IF(MONTH(DF$3)=1,'Вводные'!$B$67,IF(AND(MONTH(DF$3)&gt;=5,MONTH(DF$3)&lt;=8),'Вводные'!$B$70,0))),0)</x:f>
      </x:c>
      <x:c r="DG74" s="35" t="n">
        <x:f>IF(AND(DG$3&gt;=$B$67,DG$3&lt;EDATE($B$67,MAX(1,'Вводные'!$K$73)),AND($B$63="Да",IFERROR(INDEX('Вводные'!$B$88:$B$91,$B$64),"Нет")="Да")),(1+INDEX('Вводные'!$AD$88:$AD$91,$B$64)*'Вводные'!$H$7)^MAX(0,(12*(YEAR(DG$3)-YEAR($B$67))+MONTH(DG$3)-MONTH($B$67)))*(1+IF(MONTH(DG$3)=1,'Вводные'!$B$67,IF(AND(MONTH(DG$3)&gt;=5,MONTH(DG$3)&lt;=8),'Вводные'!$B$70,0))),0)</x:f>
      </x:c>
      <x:c r="DH74" s="35" t="n">
        <x:f>IF(AND(DH$3&gt;=$B$67,DH$3&lt;EDATE($B$67,MAX(1,'Вводные'!$K$73)),AND($B$63="Да",IFERROR(INDEX('Вводные'!$B$88:$B$91,$B$64),"Нет")="Да")),(1+INDEX('Вводные'!$AD$88:$AD$91,$B$64)*'Вводные'!$H$7)^MAX(0,(12*(YEAR(DH$3)-YEAR($B$67))+MONTH(DH$3)-MONTH($B$67)))*(1+IF(MONTH(DH$3)=1,'Вводные'!$B$67,IF(AND(MONTH(DH$3)&gt;=5,MONTH(DH$3)&lt;=8),'Вводные'!$B$70,0))),0)</x:f>
      </x:c>
      <x:c r="DI74" s="35" t="n">
        <x:f>IF(AND(DI$3&gt;=$B$67,DI$3&lt;EDATE($B$67,MAX(1,'Вводные'!$K$73)),AND($B$63="Да",IFERROR(INDEX('Вводные'!$B$88:$B$91,$B$64),"Нет")="Да")),(1+INDEX('Вводные'!$AD$88:$AD$91,$B$64)*'Вводные'!$H$7)^MAX(0,(12*(YEAR(DI$3)-YEAR($B$67))+MONTH(DI$3)-MONTH($B$67)))*(1+IF(MONTH(DI$3)=1,'Вводные'!$B$67,IF(AND(MONTH(DI$3)&gt;=5,MONTH(DI$3)&lt;=8),'Вводные'!$B$70,0))),0)</x:f>
      </x:c>
      <x:c r="DJ74" s="35" t="n">
        <x:f>IF(AND(DJ$3&gt;=$B$67,DJ$3&lt;EDATE($B$67,MAX(1,'Вводные'!$K$73)),AND($B$63="Да",IFERROR(INDEX('Вводные'!$B$88:$B$91,$B$64),"Нет")="Да")),(1+INDEX('Вводные'!$AD$88:$AD$91,$B$64)*'Вводные'!$H$7)^MAX(0,(12*(YEAR(DJ$3)-YEAR($B$67))+MONTH(DJ$3)-MONTH($B$67)))*(1+IF(MONTH(DJ$3)=1,'Вводные'!$B$67,IF(AND(MONTH(DJ$3)&gt;=5,MONTH(DJ$3)&lt;=8),'Вводные'!$B$70,0))),0)</x:f>
      </x:c>
      <x:c r="DK74" s="35" t="n">
        <x:f>IF(AND(DK$3&gt;=$B$67,DK$3&lt;EDATE($B$67,MAX(1,'Вводные'!$K$73)),AND($B$63="Да",IFERROR(INDEX('Вводные'!$B$88:$B$91,$B$64),"Нет")="Да")),(1+INDEX('Вводные'!$AD$88:$AD$91,$B$64)*'Вводные'!$H$7)^MAX(0,(12*(YEAR(DK$3)-YEAR($B$67))+MONTH(DK$3)-MONTH($B$67)))*(1+IF(MONTH(DK$3)=1,'Вводные'!$B$67,IF(AND(MONTH(DK$3)&gt;=5,MONTH(DK$3)&lt;=8),'Вводные'!$B$70,0))),0)</x:f>
      </x:c>
      <x:c r="DL74" s="35" t="n">
        <x:f>IF(AND(DL$3&gt;=$B$67,DL$3&lt;EDATE($B$67,MAX(1,'Вводные'!$K$73)),AND($B$63="Да",IFERROR(INDEX('Вводные'!$B$88:$B$91,$B$64),"Нет")="Да")),(1+INDEX('Вводные'!$AD$88:$AD$91,$B$64)*'Вводные'!$H$7)^MAX(0,(12*(YEAR(DL$3)-YEAR($B$67))+MONTH(DL$3)-MONTH($B$67)))*(1+IF(MONTH(DL$3)=1,'Вводные'!$B$67,IF(AND(MONTH(DL$3)&gt;=5,MONTH(DL$3)&lt;=8),'Вводные'!$B$70,0))),0)</x:f>
      </x:c>
      <x:c r="DM74" s="35" t="n">
        <x:f>IF(AND(DM$3&gt;=$B$67,DM$3&lt;EDATE($B$67,MAX(1,'Вводные'!$K$73)),AND($B$63="Да",IFERROR(INDEX('Вводные'!$B$88:$B$91,$B$64),"Нет")="Да")),(1+INDEX('Вводные'!$AD$88:$AD$91,$B$64)*'Вводные'!$H$7)^MAX(0,(12*(YEAR(DM$3)-YEAR($B$67))+MONTH(DM$3)-MONTH($B$67)))*(1+IF(MONTH(DM$3)=1,'Вводные'!$B$67,IF(AND(MONTH(DM$3)&gt;=5,MONTH(DM$3)&lt;=8),'Вводные'!$B$70,0))),0)</x:f>
      </x:c>
      <x:c r="DN74" s="35" t="n">
        <x:f>IF(AND(DN$3&gt;=$B$67,DN$3&lt;EDATE($B$67,MAX(1,'Вводные'!$K$73)),AND($B$63="Да",IFERROR(INDEX('Вводные'!$B$88:$B$91,$B$64),"Нет")="Да")),(1+INDEX('Вводные'!$AD$88:$AD$91,$B$64)*'Вводные'!$H$7)^MAX(0,(12*(YEAR(DN$3)-YEAR($B$67))+MONTH(DN$3)-MONTH($B$67)))*(1+IF(MONTH(DN$3)=1,'Вводные'!$B$67,IF(AND(MONTH(DN$3)&gt;=5,MONTH(DN$3)&lt;=8),'Вводные'!$B$70,0))),0)</x:f>
      </x:c>
      <x:c r="DO74" s="35" t="n">
        <x:f>IF(AND(DO$3&gt;=$B$67,DO$3&lt;EDATE($B$67,MAX(1,'Вводные'!$K$73)),AND($B$63="Да",IFERROR(INDEX('Вводные'!$B$88:$B$91,$B$64),"Нет")="Да")),(1+INDEX('Вводные'!$AD$88:$AD$91,$B$64)*'Вводные'!$H$7)^MAX(0,(12*(YEAR(DO$3)-YEAR($B$67))+MONTH(DO$3)-MONTH($B$67)))*(1+IF(MONTH(DO$3)=1,'Вводные'!$B$67,IF(AND(MONTH(DO$3)&gt;=5,MONTH(DO$3)&lt;=8),'Вводные'!$B$70,0))),0)</x:f>
      </x:c>
      <x:c r="DP74" s="35" t="n">
        <x:f>IF(AND(DP$3&gt;=$B$67,DP$3&lt;EDATE($B$67,MAX(1,'Вводные'!$K$73)),AND($B$63="Да",IFERROR(INDEX('Вводные'!$B$88:$B$91,$B$64),"Нет")="Да")),(1+INDEX('Вводные'!$AD$88:$AD$91,$B$64)*'Вводные'!$H$7)^MAX(0,(12*(YEAR(DP$3)-YEAR($B$67))+MONTH(DP$3)-MONTH($B$67)))*(1+IF(MONTH(DP$3)=1,'Вводные'!$B$67,IF(AND(MONTH(DP$3)&gt;=5,MONTH(DP$3)&lt;=8),'Вводные'!$B$70,0))),0)</x:f>
      </x:c>
      <x:c r="DQ74" s="35" t="n">
        <x:f>IF(AND(DQ$3&gt;=$B$67,DQ$3&lt;EDATE($B$67,MAX(1,'Вводные'!$K$73)),AND($B$63="Да",IFERROR(INDEX('Вводные'!$B$88:$B$91,$B$64),"Нет")="Да")),(1+INDEX('Вводные'!$AD$88:$AD$91,$B$64)*'Вводные'!$H$7)^MAX(0,(12*(YEAR(DQ$3)-YEAR($B$67))+MONTH(DQ$3)-MONTH($B$67)))*(1+IF(MONTH(DQ$3)=1,'Вводные'!$B$67,IF(AND(MONTH(DQ$3)&gt;=5,MONTH(DQ$3)&lt;=8),'Вводные'!$B$70,0))),0)</x:f>
      </x:c>
      <x:c r="DR74" s="35" t="n">
        <x:f>IF(AND(DR$3&gt;=$B$67,DR$3&lt;EDATE($B$67,MAX(1,'Вводные'!$K$73)),AND($B$63="Да",IFERROR(INDEX('Вводные'!$B$88:$B$91,$B$64),"Нет")="Да")),(1+INDEX('Вводные'!$AD$88:$AD$91,$B$64)*'Вводные'!$H$7)^MAX(0,(12*(YEAR(DR$3)-YEAR($B$67))+MONTH(DR$3)-MONTH($B$67)))*(1+IF(MONTH(DR$3)=1,'Вводные'!$B$67,IF(AND(MONTH(DR$3)&gt;=5,MONTH(DR$3)&lt;=8),'Вводные'!$B$70,0))),0)</x:f>
      </x:c>
      <x:c r="DS74" s="35" t="n">
        <x:f>IF(AND(DS$3&gt;=$B$67,DS$3&lt;EDATE($B$67,MAX(1,'Вводные'!$K$73)),AND($B$63="Да",IFERROR(INDEX('Вводные'!$B$88:$B$91,$B$64),"Нет")="Да")),(1+INDEX('Вводные'!$AD$88:$AD$91,$B$64)*'Вводные'!$H$7)^MAX(0,(12*(YEAR(DS$3)-YEAR($B$67))+MONTH(DS$3)-MONTH($B$67)))*(1+IF(MONTH(DS$3)=1,'Вводные'!$B$67,IF(AND(MONTH(DS$3)&gt;=5,MONTH(DS$3)&lt;=8),'Вводные'!$B$70,0))),0)</x:f>
      </x:c>
    </x:row>
    <x:row r="75">
      <x:c r="A75" t="str">
        <x:v>Нормированный вес до РВЭ</x:v>
      </x:c>
      <x:c r="B75" s="35" t="n">
        <x:f>SUM(D75:DS75)</x:f>
      </x:c>
      <x:c r="C75" t="str">
        <x:v>%</x:v>
      </x:c>
      <x:c r="D75" s="35" t="n">
        <x:f>IFERROR(D74*D73/SUMPRODUCT($D74:$DS74,$D73:$DS73),0)</x:f>
      </x:c>
      <x:c r="E75" s="35" t="n">
        <x:f>IFERROR(E74*E73/SUMPRODUCT($D74:$DS74,$D73:$DS73),0)</x:f>
      </x:c>
      <x:c r="F75" s="35" t="n">
        <x:f>IFERROR(F74*F73/SUMPRODUCT($D74:$DS74,$D73:$DS73),0)</x:f>
      </x:c>
      <x:c r="G75" s="35" t="n">
        <x:f>IFERROR(G74*G73/SUMPRODUCT($D74:$DS74,$D73:$DS73),0)</x:f>
      </x:c>
      <x:c r="H75" s="35" t="n">
        <x:f>IFERROR(H74*H73/SUMPRODUCT($D74:$DS74,$D73:$DS73),0)</x:f>
      </x:c>
      <x:c r="I75" s="35" t="n">
        <x:f>IFERROR(I74*I73/SUMPRODUCT($D74:$DS74,$D73:$DS73),0)</x:f>
      </x:c>
      <x:c r="J75" s="35" t="n">
        <x:f>IFERROR(J74*J73/SUMPRODUCT($D74:$DS74,$D73:$DS73),0)</x:f>
      </x:c>
      <x:c r="K75" s="35" t="n">
        <x:f>IFERROR(K74*K73/SUMPRODUCT($D74:$DS74,$D73:$DS73),0)</x:f>
      </x:c>
      <x:c r="L75" s="35" t="n">
        <x:f>IFERROR(L74*L73/SUMPRODUCT($D74:$DS74,$D73:$DS73),0)</x:f>
      </x:c>
      <x:c r="M75" s="35" t="n">
        <x:f>IFERROR(M74*M73/SUMPRODUCT($D74:$DS74,$D73:$DS73),0)</x:f>
      </x:c>
      <x:c r="N75" s="35" t="n">
        <x:f>IFERROR(N74*N73/SUMPRODUCT($D74:$DS74,$D73:$DS73),0)</x:f>
      </x:c>
      <x:c r="O75" s="35" t="n">
        <x:f>IFERROR(O74*O73/SUMPRODUCT($D74:$DS74,$D73:$DS73),0)</x:f>
      </x:c>
      <x:c r="P75" s="35" t="n">
        <x:f>IFERROR(P74*P73/SUMPRODUCT($D74:$DS74,$D73:$DS73),0)</x:f>
      </x:c>
      <x:c r="Q75" s="35" t="n">
        <x:f>IFERROR(Q74*Q73/SUMPRODUCT($D74:$DS74,$D73:$DS73),0)</x:f>
      </x:c>
      <x:c r="R75" s="35" t="n">
        <x:f>IFERROR(R74*R73/SUMPRODUCT($D74:$DS74,$D73:$DS73),0)</x:f>
      </x:c>
      <x:c r="S75" s="35" t="n">
        <x:f>IFERROR(S74*S73/SUMPRODUCT($D74:$DS74,$D73:$DS73),0)</x:f>
      </x:c>
      <x:c r="T75" s="35" t="n">
        <x:f>IFERROR(T74*T73/SUMPRODUCT($D74:$DS74,$D73:$DS73),0)</x:f>
      </x:c>
      <x:c r="U75" s="35" t="n">
        <x:f>IFERROR(U74*U73/SUMPRODUCT($D74:$DS74,$D73:$DS73),0)</x:f>
      </x:c>
      <x:c r="V75" s="35" t="n">
        <x:f>IFERROR(V74*V73/SUMPRODUCT($D74:$DS74,$D73:$DS73),0)</x:f>
      </x:c>
      <x:c r="W75" s="35" t="n">
        <x:f>IFERROR(W74*W73/SUMPRODUCT($D74:$DS74,$D73:$DS73),0)</x:f>
      </x:c>
      <x:c r="X75" s="35" t="n">
        <x:f>IFERROR(X74*X73/SUMPRODUCT($D74:$DS74,$D73:$DS73),0)</x:f>
      </x:c>
      <x:c r="Y75" s="35" t="n">
        <x:f>IFERROR(Y74*Y73/SUMPRODUCT($D74:$DS74,$D73:$DS73),0)</x:f>
      </x:c>
      <x:c r="Z75" s="35" t="n">
        <x:f>IFERROR(Z74*Z73/SUMPRODUCT($D74:$DS74,$D73:$DS73),0)</x:f>
      </x:c>
      <x:c r="AA75" s="35" t="n">
        <x:f>IFERROR(AA74*AA73/SUMPRODUCT($D74:$DS74,$D73:$DS73),0)</x:f>
      </x:c>
      <x:c r="AB75" s="35" t="n">
        <x:f>IFERROR(AB74*AB73/SUMPRODUCT($D74:$DS74,$D73:$DS73),0)</x:f>
      </x:c>
      <x:c r="AC75" s="35" t="n">
        <x:f>IFERROR(AC74*AC73/SUMPRODUCT($D74:$DS74,$D73:$DS73),0)</x:f>
      </x:c>
      <x:c r="AD75" s="35" t="n">
        <x:f>IFERROR(AD74*AD73/SUMPRODUCT($D74:$DS74,$D73:$DS73),0)</x:f>
      </x:c>
      <x:c r="AE75" s="35" t="n">
        <x:f>IFERROR(AE74*AE73/SUMPRODUCT($D74:$DS74,$D73:$DS73),0)</x:f>
      </x:c>
      <x:c r="AF75" s="35" t="n">
        <x:f>IFERROR(AF74*AF73/SUMPRODUCT($D74:$DS74,$D73:$DS73),0)</x:f>
      </x:c>
      <x:c r="AG75" s="35" t="n">
        <x:f>IFERROR(AG74*AG73/SUMPRODUCT($D74:$DS74,$D73:$DS73),0)</x:f>
      </x:c>
      <x:c r="AH75" s="35" t="n">
        <x:f>IFERROR(AH74*AH73/SUMPRODUCT($D74:$DS74,$D73:$DS73),0)</x:f>
      </x:c>
      <x:c r="AI75" s="35" t="n">
        <x:f>IFERROR(AI74*AI73/SUMPRODUCT($D74:$DS74,$D73:$DS73),0)</x:f>
      </x:c>
      <x:c r="AJ75" s="35" t="n">
        <x:f>IFERROR(AJ74*AJ73/SUMPRODUCT($D74:$DS74,$D73:$DS73),0)</x:f>
      </x:c>
      <x:c r="AK75" s="35" t="n">
        <x:f>IFERROR(AK74*AK73/SUMPRODUCT($D74:$DS74,$D73:$DS73),0)</x:f>
      </x:c>
      <x:c r="AL75" s="35" t="n">
        <x:f>IFERROR(AL74*AL73/SUMPRODUCT($D74:$DS74,$D73:$DS73),0)</x:f>
      </x:c>
      <x:c r="AM75" s="35" t="n">
        <x:f>IFERROR(AM74*AM73/SUMPRODUCT($D74:$DS74,$D73:$DS73),0)</x:f>
      </x:c>
      <x:c r="AN75" s="35" t="n">
        <x:f>IFERROR(AN74*AN73/SUMPRODUCT($D74:$DS74,$D73:$DS73),0)</x:f>
      </x:c>
      <x:c r="AO75" s="35" t="n">
        <x:f>IFERROR(AO74*AO73/SUMPRODUCT($D74:$DS74,$D73:$DS73),0)</x:f>
      </x:c>
      <x:c r="AP75" s="35" t="n">
        <x:f>IFERROR(AP74*AP73/SUMPRODUCT($D74:$DS74,$D73:$DS73),0)</x:f>
      </x:c>
      <x:c r="AQ75" s="35" t="n">
        <x:f>IFERROR(AQ74*AQ73/SUMPRODUCT($D74:$DS74,$D73:$DS73),0)</x:f>
      </x:c>
      <x:c r="AR75" s="35" t="n">
        <x:f>IFERROR(AR74*AR73/SUMPRODUCT($D74:$DS74,$D73:$DS73),0)</x:f>
      </x:c>
      <x:c r="AS75" s="35" t="n">
        <x:f>IFERROR(AS74*AS73/SUMPRODUCT($D74:$DS74,$D73:$DS73),0)</x:f>
      </x:c>
      <x:c r="AT75" s="35" t="n">
        <x:f>IFERROR(AT74*AT73/SUMPRODUCT($D74:$DS74,$D73:$DS73),0)</x:f>
      </x:c>
      <x:c r="AU75" s="35" t="n">
        <x:f>IFERROR(AU74*AU73/SUMPRODUCT($D74:$DS74,$D73:$DS73),0)</x:f>
      </x:c>
      <x:c r="AV75" s="35" t="n">
        <x:f>IFERROR(AV74*AV73/SUMPRODUCT($D74:$DS74,$D73:$DS73),0)</x:f>
      </x:c>
      <x:c r="AW75" s="35" t="n">
        <x:f>IFERROR(AW74*AW73/SUMPRODUCT($D74:$DS74,$D73:$DS73),0)</x:f>
      </x:c>
      <x:c r="AX75" s="35" t="n">
        <x:f>IFERROR(AX74*AX73/SUMPRODUCT($D74:$DS74,$D73:$DS73),0)</x:f>
      </x:c>
      <x:c r="AY75" s="35" t="n">
        <x:f>IFERROR(AY74*AY73/SUMPRODUCT($D74:$DS74,$D73:$DS73),0)</x:f>
      </x:c>
      <x:c r="AZ75" s="35" t="n">
        <x:f>IFERROR(AZ74*AZ73/SUMPRODUCT($D74:$DS74,$D73:$DS73),0)</x:f>
      </x:c>
      <x:c r="BA75" s="35" t="n">
        <x:f>IFERROR(BA74*BA73/SUMPRODUCT($D74:$DS74,$D73:$DS73),0)</x:f>
      </x:c>
      <x:c r="BB75" s="35" t="n">
        <x:f>IFERROR(BB74*BB73/SUMPRODUCT($D74:$DS74,$D73:$DS73),0)</x:f>
      </x:c>
      <x:c r="BC75" s="35" t="n">
        <x:f>IFERROR(BC74*BC73/SUMPRODUCT($D74:$DS74,$D73:$DS73),0)</x:f>
      </x:c>
      <x:c r="BD75" s="35" t="n">
        <x:f>IFERROR(BD74*BD73/SUMPRODUCT($D74:$DS74,$D73:$DS73),0)</x:f>
      </x:c>
      <x:c r="BE75" s="35" t="n">
        <x:f>IFERROR(BE74*BE73/SUMPRODUCT($D74:$DS74,$D73:$DS73),0)</x:f>
      </x:c>
      <x:c r="BF75" s="35" t="n">
        <x:f>IFERROR(BF74*BF73/SUMPRODUCT($D74:$DS74,$D73:$DS73),0)</x:f>
      </x:c>
      <x:c r="BG75" s="35" t="n">
        <x:f>IFERROR(BG74*BG73/SUMPRODUCT($D74:$DS74,$D73:$DS73),0)</x:f>
      </x:c>
      <x:c r="BH75" s="35" t="n">
        <x:f>IFERROR(BH74*BH73/SUMPRODUCT($D74:$DS74,$D73:$DS73),0)</x:f>
      </x:c>
      <x:c r="BI75" s="35" t="n">
        <x:f>IFERROR(BI74*BI73/SUMPRODUCT($D74:$DS74,$D73:$DS73),0)</x:f>
      </x:c>
      <x:c r="BJ75" s="35" t="n">
        <x:f>IFERROR(BJ74*BJ73/SUMPRODUCT($D74:$DS74,$D73:$DS73),0)</x:f>
      </x:c>
      <x:c r="BK75" s="35" t="n">
        <x:f>IFERROR(BK74*BK73/SUMPRODUCT($D74:$DS74,$D73:$DS73),0)</x:f>
      </x:c>
      <x:c r="BL75" s="35" t="n">
        <x:f>IFERROR(BL74*BL73/SUMPRODUCT($D74:$DS74,$D73:$DS73),0)</x:f>
      </x:c>
      <x:c r="BM75" s="35" t="n">
        <x:f>IFERROR(BM74*BM73/SUMPRODUCT($D74:$DS74,$D73:$DS73),0)</x:f>
      </x:c>
      <x:c r="BN75" s="35" t="n">
        <x:f>IFERROR(BN74*BN73/SUMPRODUCT($D74:$DS74,$D73:$DS73),0)</x:f>
      </x:c>
      <x:c r="BO75" s="35" t="n">
        <x:f>IFERROR(BO74*BO73/SUMPRODUCT($D74:$DS74,$D73:$DS73),0)</x:f>
      </x:c>
      <x:c r="BP75" s="35" t="n">
        <x:f>IFERROR(BP74*BP73/SUMPRODUCT($D74:$DS74,$D73:$DS73),0)</x:f>
      </x:c>
      <x:c r="BQ75" s="35" t="n">
        <x:f>IFERROR(BQ74*BQ73/SUMPRODUCT($D74:$DS74,$D73:$DS73),0)</x:f>
      </x:c>
      <x:c r="BR75" s="35" t="n">
        <x:f>IFERROR(BR74*BR73/SUMPRODUCT($D74:$DS74,$D73:$DS73),0)</x:f>
      </x:c>
      <x:c r="BS75" s="35" t="n">
        <x:f>IFERROR(BS74*BS73/SUMPRODUCT($D74:$DS74,$D73:$DS73),0)</x:f>
      </x:c>
      <x:c r="BT75" s="35" t="n">
        <x:f>IFERROR(BT74*BT73/SUMPRODUCT($D74:$DS74,$D73:$DS73),0)</x:f>
      </x:c>
      <x:c r="BU75" s="35" t="n">
        <x:f>IFERROR(BU74*BU73/SUMPRODUCT($D74:$DS74,$D73:$DS73),0)</x:f>
      </x:c>
      <x:c r="BV75" s="35" t="n">
        <x:f>IFERROR(BV74*BV73/SUMPRODUCT($D74:$DS74,$D73:$DS73),0)</x:f>
      </x:c>
      <x:c r="BW75" s="35" t="n">
        <x:f>IFERROR(BW74*BW73/SUMPRODUCT($D74:$DS74,$D73:$DS73),0)</x:f>
      </x:c>
      <x:c r="BX75" s="35" t="n">
        <x:f>IFERROR(BX74*BX73/SUMPRODUCT($D74:$DS74,$D73:$DS73),0)</x:f>
      </x:c>
      <x:c r="BY75" s="35" t="n">
        <x:f>IFERROR(BY74*BY73/SUMPRODUCT($D74:$DS74,$D73:$DS73),0)</x:f>
      </x:c>
      <x:c r="BZ75" s="35" t="n">
        <x:f>IFERROR(BZ74*BZ73/SUMPRODUCT($D74:$DS74,$D73:$DS73),0)</x:f>
      </x:c>
      <x:c r="CA75" s="35" t="n">
        <x:f>IFERROR(CA74*CA73/SUMPRODUCT($D74:$DS74,$D73:$DS73),0)</x:f>
      </x:c>
      <x:c r="CB75" s="35" t="n">
        <x:f>IFERROR(CB74*CB73/SUMPRODUCT($D74:$DS74,$D73:$DS73),0)</x:f>
      </x:c>
      <x:c r="CC75" s="35" t="n">
        <x:f>IFERROR(CC74*CC73/SUMPRODUCT($D74:$DS74,$D73:$DS73),0)</x:f>
      </x:c>
      <x:c r="CD75" s="35" t="n">
        <x:f>IFERROR(CD74*CD73/SUMPRODUCT($D74:$DS74,$D73:$DS73),0)</x:f>
      </x:c>
      <x:c r="CE75" s="35" t="n">
        <x:f>IFERROR(CE74*CE73/SUMPRODUCT($D74:$DS74,$D73:$DS73),0)</x:f>
      </x:c>
      <x:c r="CF75" s="35" t="n">
        <x:f>IFERROR(CF74*CF73/SUMPRODUCT($D74:$DS74,$D73:$DS73),0)</x:f>
      </x:c>
      <x:c r="CG75" s="35" t="n">
        <x:f>IFERROR(CG74*CG73/SUMPRODUCT($D74:$DS74,$D73:$DS73),0)</x:f>
      </x:c>
      <x:c r="CH75" s="35" t="n">
        <x:f>IFERROR(CH74*CH73/SUMPRODUCT($D74:$DS74,$D73:$DS73),0)</x:f>
      </x:c>
      <x:c r="CI75" s="35" t="n">
        <x:f>IFERROR(CI74*CI73/SUMPRODUCT($D74:$DS74,$D73:$DS73),0)</x:f>
      </x:c>
      <x:c r="CJ75" s="35" t="n">
        <x:f>IFERROR(CJ74*CJ73/SUMPRODUCT($D74:$DS74,$D73:$DS73),0)</x:f>
      </x:c>
      <x:c r="CK75" s="35" t="n">
        <x:f>IFERROR(CK74*CK73/SUMPRODUCT($D74:$DS74,$D73:$DS73),0)</x:f>
      </x:c>
      <x:c r="CL75" s="35" t="n">
        <x:f>IFERROR(CL74*CL73/SUMPRODUCT($D74:$DS74,$D73:$DS73),0)</x:f>
      </x:c>
      <x:c r="CM75" s="35" t="n">
        <x:f>IFERROR(CM74*CM73/SUMPRODUCT($D74:$DS74,$D73:$DS73),0)</x:f>
      </x:c>
      <x:c r="CN75" s="35" t="n">
        <x:f>IFERROR(CN74*CN73/SUMPRODUCT($D74:$DS74,$D73:$DS73),0)</x:f>
      </x:c>
      <x:c r="CO75" s="35" t="n">
        <x:f>IFERROR(CO74*CO73/SUMPRODUCT($D74:$DS74,$D73:$DS73),0)</x:f>
      </x:c>
      <x:c r="CP75" s="35" t="n">
        <x:f>IFERROR(CP74*CP73/SUMPRODUCT($D74:$DS74,$D73:$DS73),0)</x:f>
      </x:c>
      <x:c r="CQ75" s="35" t="n">
        <x:f>IFERROR(CQ74*CQ73/SUMPRODUCT($D74:$DS74,$D73:$DS73),0)</x:f>
      </x:c>
      <x:c r="CR75" s="35" t="n">
        <x:f>IFERROR(CR74*CR73/SUMPRODUCT($D74:$DS74,$D73:$DS73),0)</x:f>
      </x:c>
      <x:c r="CS75" s="35" t="n">
        <x:f>IFERROR(CS74*CS73/SUMPRODUCT($D74:$DS74,$D73:$DS73),0)</x:f>
      </x:c>
      <x:c r="CT75" s="35" t="n">
        <x:f>IFERROR(CT74*CT73/SUMPRODUCT($D74:$DS74,$D73:$DS73),0)</x:f>
      </x:c>
      <x:c r="CU75" s="35" t="n">
        <x:f>IFERROR(CU74*CU73/SUMPRODUCT($D74:$DS74,$D73:$DS73),0)</x:f>
      </x:c>
      <x:c r="CV75" s="35" t="n">
        <x:f>IFERROR(CV74*CV73/SUMPRODUCT($D74:$DS74,$D73:$DS73),0)</x:f>
      </x:c>
      <x:c r="CW75" s="35" t="n">
        <x:f>IFERROR(CW74*CW73/SUMPRODUCT($D74:$DS74,$D73:$DS73),0)</x:f>
      </x:c>
      <x:c r="CX75" s="35" t="n">
        <x:f>IFERROR(CX74*CX73/SUMPRODUCT($D74:$DS74,$D73:$DS73),0)</x:f>
      </x:c>
      <x:c r="CY75" s="35" t="n">
        <x:f>IFERROR(CY74*CY73/SUMPRODUCT($D74:$DS74,$D73:$DS73),0)</x:f>
      </x:c>
      <x:c r="CZ75" s="35" t="n">
        <x:f>IFERROR(CZ74*CZ73/SUMPRODUCT($D74:$DS74,$D73:$DS73),0)</x:f>
      </x:c>
      <x:c r="DA75" s="35" t="n">
        <x:f>IFERROR(DA74*DA73/SUMPRODUCT($D74:$DS74,$D73:$DS73),0)</x:f>
      </x:c>
      <x:c r="DB75" s="35" t="n">
        <x:f>IFERROR(DB74*DB73/SUMPRODUCT($D74:$DS74,$D73:$DS73),0)</x:f>
      </x:c>
      <x:c r="DC75" s="35" t="n">
        <x:f>IFERROR(DC74*DC73/SUMPRODUCT($D74:$DS74,$D73:$DS73),0)</x:f>
      </x:c>
      <x:c r="DD75" s="35" t="n">
        <x:f>IFERROR(DD74*DD73/SUMPRODUCT($D74:$DS74,$D73:$DS73),0)</x:f>
      </x:c>
      <x:c r="DE75" s="35" t="n">
        <x:f>IFERROR(DE74*DE73/SUMPRODUCT($D74:$DS74,$D73:$DS73),0)</x:f>
      </x:c>
      <x:c r="DF75" s="35" t="n">
        <x:f>IFERROR(DF74*DF73/SUMPRODUCT($D74:$DS74,$D73:$DS73),0)</x:f>
      </x:c>
      <x:c r="DG75" s="35" t="n">
        <x:f>IFERROR(DG74*DG73/SUMPRODUCT($D74:$DS74,$D73:$DS73),0)</x:f>
      </x:c>
      <x:c r="DH75" s="35" t="n">
        <x:f>IFERROR(DH74*DH73/SUMPRODUCT($D74:$DS74,$D73:$DS73),0)</x:f>
      </x:c>
      <x:c r="DI75" s="35" t="n">
        <x:f>IFERROR(DI74*DI73/SUMPRODUCT($D74:$DS74,$D73:$DS73),0)</x:f>
      </x:c>
      <x:c r="DJ75" s="35" t="n">
        <x:f>IFERROR(DJ74*DJ73/SUMPRODUCT($D74:$DS74,$D73:$DS73),0)</x:f>
      </x:c>
      <x:c r="DK75" s="35" t="n">
        <x:f>IFERROR(DK74*DK73/SUMPRODUCT($D74:$DS74,$D73:$DS73),0)</x:f>
      </x:c>
      <x:c r="DL75" s="35" t="n">
        <x:f>IFERROR(DL74*DL73/SUMPRODUCT($D74:$DS74,$D73:$DS73),0)</x:f>
      </x:c>
      <x:c r="DM75" s="35" t="n">
        <x:f>IFERROR(DM74*DM73/SUMPRODUCT($D74:$DS74,$D73:$DS73),0)</x:f>
      </x:c>
      <x:c r="DN75" s="35" t="n">
        <x:f>IFERROR(DN74*DN73/SUMPRODUCT($D74:$DS74,$D73:$DS73),0)</x:f>
      </x:c>
      <x:c r="DO75" s="35" t="n">
        <x:f>IFERROR(DO74*DO73/SUMPRODUCT($D74:$DS74,$D73:$DS73),0)</x:f>
      </x:c>
      <x:c r="DP75" s="35" t="n">
        <x:f>IFERROR(DP74*DP73/SUMPRODUCT($D74:$DS74,$D73:$DS73),0)</x:f>
      </x:c>
      <x:c r="DQ75" s="35" t="n">
        <x:f>IFERROR(DQ74*DQ73/SUMPRODUCT($D74:$DS74,$D73:$DS73),0)</x:f>
      </x:c>
      <x:c r="DR75" s="35" t="n">
        <x:f>IFERROR(DR74*DR73/SUMPRODUCT($D74:$DS74,$D73:$DS73),0)</x:f>
      </x:c>
      <x:c r="DS75" s="35" t="n">
        <x:f>IFERROR(DS74*DS73/SUMPRODUCT($D74:$DS74,$D73:$DS73),0)</x:f>
      </x:c>
    </x:row>
    <x:row r="76">
      <x:c r="A76" t="str">
        <x:v>Флаг продаж после РВЭ</x:v>
      </x:c>
      <x:c r="B76" s="35"/>
      <x:c r="C76" t="str">
        <x:v>0 / 1</x:v>
      </x:c>
      <x:c r="D76" s="35" t="n">
        <x:f>--AND(D$3&gt;=MAX($B$67,$B$66),D$3&lt;EDATE($B$67,MAX(1,'Вводные'!$K$73)),AND($B$63="Да",IFERROR(INDEX('Вводные'!$B$88:$B$91,$B$64),"Нет")="Да"))</x:f>
      </x:c>
      <x:c r="E76" s="35" t="n">
        <x:f>--AND(E$3&gt;=MAX($B$67,$B$66),E$3&lt;EDATE($B$67,MAX(1,'Вводные'!$K$73)),AND($B$63="Да",IFERROR(INDEX('Вводные'!$B$88:$B$91,$B$64),"Нет")="Да"))</x:f>
      </x:c>
      <x:c r="F76" s="35" t="n">
        <x:f>--AND(F$3&gt;=MAX($B$67,$B$66),F$3&lt;EDATE($B$67,MAX(1,'Вводные'!$K$73)),AND($B$63="Да",IFERROR(INDEX('Вводные'!$B$88:$B$91,$B$64),"Нет")="Да"))</x:f>
      </x:c>
      <x:c r="G76" s="35" t="n">
        <x:f>--AND(G$3&gt;=MAX($B$67,$B$66),G$3&lt;EDATE($B$67,MAX(1,'Вводные'!$K$73)),AND($B$63="Да",IFERROR(INDEX('Вводные'!$B$88:$B$91,$B$64),"Нет")="Да"))</x:f>
      </x:c>
      <x:c r="H76" s="35" t="n">
        <x:f>--AND(H$3&gt;=MAX($B$67,$B$66),H$3&lt;EDATE($B$67,MAX(1,'Вводные'!$K$73)),AND($B$63="Да",IFERROR(INDEX('Вводные'!$B$88:$B$91,$B$64),"Нет")="Да"))</x:f>
      </x:c>
      <x:c r="I76" s="35" t="n">
        <x:f>--AND(I$3&gt;=MAX($B$67,$B$66),I$3&lt;EDATE($B$67,MAX(1,'Вводные'!$K$73)),AND($B$63="Да",IFERROR(INDEX('Вводные'!$B$88:$B$91,$B$64),"Нет")="Да"))</x:f>
      </x:c>
      <x:c r="J76" s="35" t="n">
        <x:f>--AND(J$3&gt;=MAX($B$67,$B$66),J$3&lt;EDATE($B$67,MAX(1,'Вводные'!$K$73)),AND($B$63="Да",IFERROR(INDEX('Вводные'!$B$88:$B$91,$B$64),"Нет")="Да"))</x:f>
      </x:c>
      <x:c r="K76" s="35" t="n">
        <x:f>--AND(K$3&gt;=MAX($B$67,$B$66),K$3&lt;EDATE($B$67,MAX(1,'Вводные'!$K$73)),AND($B$63="Да",IFERROR(INDEX('Вводные'!$B$88:$B$91,$B$64),"Нет")="Да"))</x:f>
      </x:c>
      <x:c r="L76" s="35" t="n">
        <x:f>--AND(L$3&gt;=MAX($B$67,$B$66),L$3&lt;EDATE($B$67,MAX(1,'Вводные'!$K$73)),AND($B$63="Да",IFERROR(INDEX('Вводные'!$B$88:$B$91,$B$64),"Нет")="Да"))</x:f>
      </x:c>
      <x:c r="M76" s="35" t="n">
        <x:f>--AND(M$3&gt;=MAX($B$67,$B$66),M$3&lt;EDATE($B$67,MAX(1,'Вводные'!$K$73)),AND($B$63="Да",IFERROR(INDEX('Вводные'!$B$88:$B$91,$B$64),"Нет")="Да"))</x:f>
      </x:c>
      <x:c r="N76" s="35" t="n">
        <x:f>--AND(N$3&gt;=MAX($B$67,$B$66),N$3&lt;EDATE($B$67,MAX(1,'Вводные'!$K$73)),AND($B$63="Да",IFERROR(INDEX('Вводные'!$B$88:$B$91,$B$64),"Нет")="Да"))</x:f>
      </x:c>
      <x:c r="O76" s="35" t="n">
        <x:f>--AND(O$3&gt;=MAX($B$67,$B$66),O$3&lt;EDATE($B$67,MAX(1,'Вводные'!$K$73)),AND($B$63="Да",IFERROR(INDEX('Вводные'!$B$88:$B$91,$B$64),"Нет")="Да"))</x:f>
      </x:c>
      <x:c r="P76" s="35" t="n">
        <x:f>--AND(P$3&gt;=MAX($B$67,$B$66),P$3&lt;EDATE($B$67,MAX(1,'Вводные'!$K$73)),AND($B$63="Да",IFERROR(INDEX('Вводные'!$B$88:$B$91,$B$64),"Нет")="Да"))</x:f>
      </x:c>
      <x:c r="Q76" s="35" t="n">
        <x:f>--AND(Q$3&gt;=MAX($B$67,$B$66),Q$3&lt;EDATE($B$67,MAX(1,'Вводные'!$K$73)),AND($B$63="Да",IFERROR(INDEX('Вводные'!$B$88:$B$91,$B$64),"Нет")="Да"))</x:f>
      </x:c>
      <x:c r="R76" s="35" t="n">
        <x:f>--AND(R$3&gt;=MAX($B$67,$B$66),R$3&lt;EDATE($B$67,MAX(1,'Вводные'!$K$73)),AND($B$63="Да",IFERROR(INDEX('Вводные'!$B$88:$B$91,$B$64),"Нет")="Да"))</x:f>
      </x:c>
      <x:c r="S76" s="35" t="n">
        <x:f>--AND(S$3&gt;=MAX($B$67,$B$66),S$3&lt;EDATE($B$67,MAX(1,'Вводные'!$K$73)),AND($B$63="Да",IFERROR(INDEX('Вводные'!$B$88:$B$91,$B$64),"Нет")="Да"))</x:f>
      </x:c>
      <x:c r="T76" s="35" t="n">
        <x:f>--AND(T$3&gt;=MAX($B$67,$B$66),T$3&lt;EDATE($B$67,MAX(1,'Вводные'!$K$73)),AND($B$63="Да",IFERROR(INDEX('Вводные'!$B$88:$B$91,$B$64),"Нет")="Да"))</x:f>
      </x:c>
      <x:c r="U76" s="35" t="n">
        <x:f>--AND(U$3&gt;=MAX($B$67,$B$66),U$3&lt;EDATE($B$67,MAX(1,'Вводные'!$K$73)),AND($B$63="Да",IFERROR(INDEX('Вводные'!$B$88:$B$91,$B$64),"Нет")="Да"))</x:f>
      </x:c>
      <x:c r="V76" s="35" t="n">
        <x:f>--AND(V$3&gt;=MAX($B$67,$B$66),V$3&lt;EDATE($B$67,MAX(1,'Вводные'!$K$73)),AND($B$63="Да",IFERROR(INDEX('Вводные'!$B$88:$B$91,$B$64),"Нет")="Да"))</x:f>
      </x:c>
      <x:c r="W76" s="35" t="n">
        <x:f>--AND(W$3&gt;=MAX($B$67,$B$66),W$3&lt;EDATE($B$67,MAX(1,'Вводные'!$K$73)),AND($B$63="Да",IFERROR(INDEX('Вводные'!$B$88:$B$91,$B$64),"Нет")="Да"))</x:f>
      </x:c>
      <x:c r="X76" s="35" t="n">
        <x:f>--AND(X$3&gt;=MAX($B$67,$B$66),X$3&lt;EDATE($B$67,MAX(1,'Вводные'!$K$73)),AND($B$63="Да",IFERROR(INDEX('Вводные'!$B$88:$B$91,$B$64),"Нет")="Да"))</x:f>
      </x:c>
      <x:c r="Y76" s="35" t="n">
        <x:f>--AND(Y$3&gt;=MAX($B$67,$B$66),Y$3&lt;EDATE($B$67,MAX(1,'Вводные'!$K$73)),AND($B$63="Да",IFERROR(INDEX('Вводные'!$B$88:$B$91,$B$64),"Нет")="Да"))</x:f>
      </x:c>
      <x:c r="Z76" s="35" t="n">
        <x:f>--AND(Z$3&gt;=MAX($B$67,$B$66),Z$3&lt;EDATE($B$67,MAX(1,'Вводные'!$K$73)),AND($B$63="Да",IFERROR(INDEX('Вводные'!$B$88:$B$91,$B$64),"Нет")="Да"))</x:f>
      </x:c>
      <x:c r="AA76" s="35" t="n">
        <x:f>--AND(AA$3&gt;=MAX($B$67,$B$66),AA$3&lt;EDATE($B$67,MAX(1,'Вводные'!$K$73)),AND($B$63="Да",IFERROR(INDEX('Вводные'!$B$88:$B$91,$B$64),"Нет")="Да"))</x:f>
      </x:c>
      <x:c r="AB76" s="35" t="n">
        <x:f>--AND(AB$3&gt;=MAX($B$67,$B$66),AB$3&lt;EDATE($B$67,MAX(1,'Вводные'!$K$73)),AND($B$63="Да",IFERROR(INDEX('Вводные'!$B$88:$B$91,$B$64),"Нет")="Да"))</x:f>
      </x:c>
      <x:c r="AC76" s="35" t="n">
        <x:f>--AND(AC$3&gt;=MAX($B$67,$B$66),AC$3&lt;EDATE($B$67,MAX(1,'Вводные'!$K$73)),AND($B$63="Да",IFERROR(INDEX('Вводные'!$B$88:$B$91,$B$64),"Нет")="Да"))</x:f>
      </x:c>
      <x:c r="AD76" s="35" t="n">
        <x:f>--AND(AD$3&gt;=MAX($B$67,$B$66),AD$3&lt;EDATE($B$67,MAX(1,'Вводные'!$K$73)),AND($B$63="Да",IFERROR(INDEX('Вводные'!$B$88:$B$91,$B$64),"Нет")="Да"))</x:f>
      </x:c>
      <x:c r="AE76" s="35" t="n">
        <x:f>--AND(AE$3&gt;=MAX($B$67,$B$66),AE$3&lt;EDATE($B$67,MAX(1,'Вводные'!$K$73)),AND($B$63="Да",IFERROR(INDEX('Вводные'!$B$88:$B$91,$B$64),"Нет")="Да"))</x:f>
      </x:c>
      <x:c r="AF76" s="35" t="n">
        <x:f>--AND(AF$3&gt;=MAX($B$67,$B$66),AF$3&lt;EDATE($B$67,MAX(1,'Вводные'!$K$73)),AND($B$63="Да",IFERROR(INDEX('Вводные'!$B$88:$B$91,$B$64),"Нет")="Да"))</x:f>
      </x:c>
      <x:c r="AG76" s="35" t="n">
        <x:f>--AND(AG$3&gt;=MAX($B$67,$B$66),AG$3&lt;EDATE($B$67,MAX(1,'Вводные'!$K$73)),AND($B$63="Да",IFERROR(INDEX('Вводные'!$B$88:$B$91,$B$64),"Нет")="Да"))</x:f>
      </x:c>
      <x:c r="AH76" s="35" t="n">
        <x:f>--AND(AH$3&gt;=MAX($B$67,$B$66),AH$3&lt;EDATE($B$67,MAX(1,'Вводные'!$K$73)),AND($B$63="Да",IFERROR(INDEX('Вводные'!$B$88:$B$91,$B$64),"Нет")="Да"))</x:f>
      </x:c>
      <x:c r="AI76" s="35" t="n">
        <x:f>--AND(AI$3&gt;=MAX($B$67,$B$66),AI$3&lt;EDATE($B$67,MAX(1,'Вводные'!$K$73)),AND($B$63="Да",IFERROR(INDEX('Вводные'!$B$88:$B$91,$B$64),"Нет")="Да"))</x:f>
      </x:c>
      <x:c r="AJ76" s="35" t="n">
        <x:f>--AND(AJ$3&gt;=MAX($B$67,$B$66),AJ$3&lt;EDATE($B$67,MAX(1,'Вводные'!$K$73)),AND($B$63="Да",IFERROR(INDEX('Вводные'!$B$88:$B$91,$B$64),"Нет")="Да"))</x:f>
      </x:c>
      <x:c r="AK76" s="35" t="n">
        <x:f>--AND(AK$3&gt;=MAX($B$67,$B$66),AK$3&lt;EDATE($B$67,MAX(1,'Вводные'!$K$73)),AND($B$63="Да",IFERROR(INDEX('Вводные'!$B$88:$B$91,$B$64),"Нет")="Да"))</x:f>
      </x:c>
      <x:c r="AL76" s="35" t="n">
        <x:f>--AND(AL$3&gt;=MAX($B$67,$B$66),AL$3&lt;EDATE($B$67,MAX(1,'Вводные'!$K$73)),AND($B$63="Да",IFERROR(INDEX('Вводные'!$B$88:$B$91,$B$64),"Нет")="Да"))</x:f>
      </x:c>
      <x:c r="AM76" s="35" t="n">
        <x:f>--AND(AM$3&gt;=MAX($B$67,$B$66),AM$3&lt;EDATE($B$67,MAX(1,'Вводные'!$K$73)),AND($B$63="Да",IFERROR(INDEX('Вводные'!$B$88:$B$91,$B$64),"Нет")="Да"))</x:f>
      </x:c>
      <x:c r="AN76" s="35" t="n">
        <x:f>--AND(AN$3&gt;=MAX($B$67,$B$66),AN$3&lt;EDATE($B$67,MAX(1,'Вводные'!$K$73)),AND($B$63="Да",IFERROR(INDEX('Вводные'!$B$88:$B$91,$B$64),"Нет")="Да"))</x:f>
      </x:c>
      <x:c r="AO76" s="35" t="n">
        <x:f>--AND(AO$3&gt;=MAX($B$67,$B$66),AO$3&lt;EDATE($B$67,MAX(1,'Вводные'!$K$73)),AND($B$63="Да",IFERROR(INDEX('Вводные'!$B$88:$B$91,$B$64),"Нет")="Да"))</x:f>
      </x:c>
      <x:c r="AP76" s="35" t="n">
        <x:f>--AND(AP$3&gt;=MAX($B$67,$B$66),AP$3&lt;EDATE($B$67,MAX(1,'Вводные'!$K$73)),AND($B$63="Да",IFERROR(INDEX('Вводные'!$B$88:$B$91,$B$64),"Нет")="Да"))</x:f>
      </x:c>
      <x:c r="AQ76" s="35" t="n">
        <x:f>--AND(AQ$3&gt;=MAX($B$67,$B$66),AQ$3&lt;EDATE($B$67,MAX(1,'Вводные'!$K$73)),AND($B$63="Да",IFERROR(INDEX('Вводные'!$B$88:$B$91,$B$64),"Нет")="Да"))</x:f>
      </x:c>
      <x:c r="AR76" s="35" t="n">
        <x:f>--AND(AR$3&gt;=MAX($B$67,$B$66),AR$3&lt;EDATE($B$67,MAX(1,'Вводные'!$K$73)),AND($B$63="Да",IFERROR(INDEX('Вводные'!$B$88:$B$91,$B$64),"Нет")="Да"))</x:f>
      </x:c>
      <x:c r="AS76" s="35" t="n">
        <x:f>--AND(AS$3&gt;=MAX($B$67,$B$66),AS$3&lt;EDATE($B$67,MAX(1,'Вводные'!$K$73)),AND($B$63="Да",IFERROR(INDEX('Вводные'!$B$88:$B$91,$B$64),"Нет")="Да"))</x:f>
      </x:c>
      <x:c r="AT76" s="35" t="n">
        <x:f>--AND(AT$3&gt;=MAX($B$67,$B$66),AT$3&lt;EDATE($B$67,MAX(1,'Вводные'!$K$73)),AND($B$63="Да",IFERROR(INDEX('Вводные'!$B$88:$B$91,$B$64),"Нет")="Да"))</x:f>
      </x:c>
      <x:c r="AU76" s="35" t="n">
        <x:f>--AND(AU$3&gt;=MAX($B$67,$B$66),AU$3&lt;EDATE($B$67,MAX(1,'Вводные'!$K$73)),AND($B$63="Да",IFERROR(INDEX('Вводные'!$B$88:$B$91,$B$64),"Нет")="Да"))</x:f>
      </x:c>
      <x:c r="AV76" s="35" t="n">
        <x:f>--AND(AV$3&gt;=MAX($B$67,$B$66),AV$3&lt;EDATE($B$67,MAX(1,'Вводные'!$K$73)),AND($B$63="Да",IFERROR(INDEX('Вводные'!$B$88:$B$91,$B$64),"Нет")="Да"))</x:f>
      </x:c>
      <x:c r="AW76" s="35" t="n">
        <x:f>--AND(AW$3&gt;=MAX($B$67,$B$66),AW$3&lt;EDATE($B$67,MAX(1,'Вводные'!$K$73)),AND($B$63="Да",IFERROR(INDEX('Вводные'!$B$88:$B$91,$B$64),"Нет")="Да"))</x:f>
      </x:c>
      <x:c r="AX76" s="35" t="n">
        <x:f>--AND(AX$3&gt;=MAX($B$67,$B$66),AX$3&lt;EDATE($B$67,MAX(1,'Вводные'!$K$73)),AND($B$63="Да",IFERROR(INDEX('Вводные'!$B$88:$B$91,$B$64),"Нет")="Да"))</x:f>
      </x:c>
      <x:c r="AY76" s="35" t="n">
        <x:f>--AND(AY$3&gt;=MAX($B$67,$B$66),AY$3&lt;EDATE($B$67,MAX(1,'Вводные'!$K$73)),AND($B$63="Да",IFERROR(INDEX('Вводные'!$B$88:$B$91,$B$64),"Нет")="Да"))</x:f>
      </x:c>
      <x:c r="AZ76" s="35" t="n">
        <x:f>--AND(AZ$3&gt;=MAX($B$67,$B$66),AZ$3&lt;EDATE($B$67,MAX(1,'Вводные'!$K$73)),AND($B$63="Да",IFERROR(INDEX('Вводные'!$B$88:$B$91,$B$64),"Нет")="Да"))</x:f>
      </x:c>
      <x:c r="BA76" s="35" t="n">
        <x:f>--AND(BA$3&gt;=MAX($B$67,$B$66),BA$3&lt;EDATE($B$67,MAX(1,'Вводные'!$K$73)),AND($B$63="Да",IFERROR(INDEX('Вводные'!$B$88:$B$91,$B$64),"Нет")="Да"))</x:f>
      </x:c>
      <x:c r="BB76" s="35" t="n">
        <x:f>--AND(BB$3&gt;=MAX($B$67,$B$66),BB$3&lt;EDATE($B$67,MAX(1,'Вводные'!$K$73)),AND($B$63="Да",IFERROR(INDEX('Вводные'!$B$88:$B$91,$B$64),"Нет")="Да"))</x:f>
      </x:c>
      <x:c r="BC76" s="35" t="n">
        <x:f>--AND(BC$3&gt;=MAX($B$67,$B$66),BC$3&lt;EDATE($B$67,MAX(1,'Вводные'!$K$73)),AND($B$63="Да",IFERROR(INDEX('Вводные'!$B$88:$B$91,$B$64),"Нет")="Да"))</x:f>
      </x:c>
      <x:c r="BD76" s="35" t="n">
        <x:f>--AND(BD$3&gt;=MAX($B$67,$B$66),BD$3&lt;EDATE($B$67,MAX(1,'Вводные'!$K$73)),AND($B$63="Да",IFERROR(INDEX('Вводные'!$B$88:$B$91,$B$64),"Нет")="Да"))</x:f>
      </x:c>
      <x:c r="BE76" s="35" t="n">
        <x:f>--AND(BE$3&gt;=MAX($B$67,$B$66),BE$3&lt;EDATE($B$67,MAX(1,'Вводные'!$K$73)),AND($B$63="Да",IFERROR(INDEX('Вводные'!$B$88:$B$91,$B$64),"Нет")="Да"))</x:f>
      </x:c>
      <x:c r="BF76" s="35" t="n">
        <x:f>--AND(BF$3&gt;=MAX($B$67,$B$66),BF$3&lt;EDATE($B$67,MAX(1,'Вводные'!$K$73)),AND($B$63="Да",IFERROR(INDEX('Вводные'!$B$88:$B$91,$B$64),"Нет")="Да"))</x:f>
      </x:c>
      <x:c r="BG76" s="35" t="n">
        <x:f>--AND(BG$3&gt;=MAX($B$67,$B$66),BG$3&lt;EDATE($B$67,MAX(1,'Вводные'!$K$73)),AND($B$63="Да",IFERROR(INDEX('Вводные'!$B$88:$B$91,$B$64),"Нет")="Да"))</x:f>
      </x:c>
      <x:c r="BH76" s="35" t="n">
        <x:f>--AND(BH$3&gt;=MAX($B$67,$B$66),BH$3&lt;EDATE($B$67,MAX(1,'Вводные'!$K$73)),AND($B$63="Да",IFERROR(INDEX('Вводные'!$B$88:$B$91,$B$64),"Нет")="Да"))</x:f>
      </x:c>
      <x:c r="BI76" s="35" t="n">
        <x:f>--AND(BI$3&gt;=MAX($B$67,$B$66),BI$3&lt;EDATE($B$67,MAX(1,'Вводные'!$K$73)),AND($B$63="Да",IFERROR(INDEX('Вводные'!$B$88:$B$91,$B$64),"Нет")="Да"))</x:f>
      </x:c>
      <x:c r="BJ76" s="35" t="n">
        <x:f>--AND(BJ$3&gt;=MAX($B$67,$B$66),BJ$3&lt;EDATE($B$67,MAX(1,'Вводные'!$K$73)),AND($B$63="Да",IFERROR(INDEX('Вводные'!$B$88:$B$91,$B$64),"Нет")="Да"))</x:f>
      </x:c>
      <x:c r="BK76" s="35" t="n">
        <x:f>--AND(BK$3&gt;=MAX($B$67,$B$66),BK$3&lt;EDATE($B$67,MAX(1,'Вводные'!$K$73)),AND($B$63="Да",IFERROR(INDEX('Вводные'!$B$88:$B$91,$B$64),"Нет")="Да"))</x:f>
      </x:c>
      <x:c r="BL76" s="35" t="n">
        <x:f>--AND(BL$3&gt;=MAX($B$67,$B$66),BL$3&lt;EDATE($B$67,MAX(1,'Вводные'!$K$73)),AND($B$63="Да",IFERROR(INDEX('Вводные'!$B$88:$B$91,$B$64),"Нет")="Да"))</x:f>
      </x:c>
      <x:c r="BM76" s="35" t="n">
        <x:f>--AND(BM$3&gt;=MAX($B$67,$B$66),BM$3&lt;EDATE($B$67,MAX(1,'Вводные'!$K$73)),AND($B$63="Да",IFERROR(INDEX('Вводные'!$B$88:$B$91,$B$64),"Нет")="Да"))</x:f>
      </x:c>
      <x:c r="BN76" s="35" t="n">
        <x:f>--AND(BN$3&gt;=MAX($B$67,$B$66),BN$3&lt;EDATE($B$67,MAX(1,'Вводные'!$K$73)),AND($B$63="Да",IFERROR(INDEX('Вводные'!$B$88:$B$91,$B$64),"Нет")="Да"))</x:f>
      </x:c>
      <x:c r="BO76" s="35" t="n">
        <x:f>--AND(BO$3&gt;=MAX($B$67,$B$66),BO$3&lt;EDATE($B$67,MAX(1,'Вводные'!$K$73)),AND($B$63="Да",IFERROR(INDEX('Вводные'!$B$88:$B$91,$B$64),"Нет")="Да"))</x:f>
      </x:c>
      <x:c r="BP76" s="35" t="n">
        <x:f>--AND(BP$3&gt;=MAX($B$67,$B$66),BP$3&lt;EDATE($B$67,MAX(1,'Вводные'!$K$73)),AND($B$63="Да",IFERROR(INDEX('Вводные'!$B$88:$B$91,$B$64),"Нет")="Да"))</x:f>
      </x:c>
      <x:c r="BQ76" s="35" t="n">
        <x:f>--AND(BQ$3&gt;=MAX($B$67,$B$66),BQ$3&lt;EDATE($B$67,MAX(1,'Вводные'!$K$73)),AND($B$63="Да",IFERROR(INDEX('Вводные'!$B$88:$B$91,$B$64),"Нет")="Да"))</x:f>
      </x:c>
      <x:c r="BR76" s="35" t="n">
        <x:f>--AND(BR$3&gt;=MAX($B$67,$B$66),BR$3&lt;EDATE($B$67,MAX(1,'Вводные'!$K$73)),AND($B$63="Да",IFERROR(INDEX('Вводные'!$B$88:$B$91,$B$64),"Нет")="Да"))</x:f>
      </x:c>
      <x:c r="BS76" s="35" t="n">
        <x:f>--AND(BS$3&gt;=MAX($B$67,$B$66),BS$3&lt;EDATE($B$67,MAX(1,'Вводные'!$K$73)),AND($B$63="Да",IFERROR(INDEX('Вводные'!$B$88:$B$91,$B$64),"Нет")="Да"))</x:f>
      </x:c>
      <x:c r="BT76" s="35" t="n">
        <x:f>--AND(BT$3&gt;=MAX($B$67,$B$66),BT$3&lt;EDATE($B$67,MAX(1,'Вводные'!$K$73)),AND($B$63="Да",IFERROR(INDEX('Вводные'!$B$88:$B$91,$B$64),"Нет")="Да"))</x:f>
      </x:c>
      <x:c r="BU76" s="35" t="n">
        <x:f>--AND(BU$3&gt;=MAX($B$67,$B$66),BU$3&lt;EDATE($B$67,MAX(1,'Вводные'!$K$73)),AND($B$63="Да",IFERROR(INDEX('Вводные'!$B$88:$B$91,$B$64),"Нет")="Да"))</x:f>
      </x:c>
      <x:c r="BV76" s="35" t="n">
        <x:f>--AND(BV$3&gt;=MAX($B$67,$B$66),BV$3&lt;EDATE($B$67,MAX(1,'Вводные'!$K$73)),AND($B$63="Да",IFERROR(INDEX('Вводные'!$B$88:$B$91,$B$64),"Нет")="Да"))</x:f>
      </x:c>
      <x:c r="BW76" s="35" t="n">
        <x:f>--AND(BW$3&gt;=MAX($B$67,$B$66),BW$3&lt;EDATE($B$67,MAX(1,'Вводные'!$K$73)),AND($B$63="Да",IFERROR(INDEX('Вводные'!$B$88:$B$91,$B$64),"Нет")="Да"))</x:f>
      </x:c>
      <x:c r="BX76" s="35" t="n">
        <x:f>--AND(BX$3&gt;=MAX($B$67,$B$66),BX$3&lt;EDATE($B$67,MAX(1,'Вводные'!$K$73)),AND($B$63="Да",IFERROR(INDEX('Вводные'!$B$88:$B$91,$B$64),"Нет")="Да"))</x:f>
      </x:c>
      <x:c r="BY76" s="35" t="n">
        <x:f>--AND(BY$3&gt;=MAX($B$67,$B$66),BY$3&lt;EDATE($B$67,MAX(1,'Вводные'!$K$73)),AND($B$63="Да",IFERROR(INDEX('Вводные'!$B$88:$B$91,$B$64),"Нет")="Да"))</x:f>
      </x:c>
      <x:c r="BZ76" s="35" t="n">
        <x:f>--AND(BZ$3&gt;=MAX($B$67,$B$66),BZ$3&lt;EDATE($B$67,MAX(1,'Вводные'!$K$73)),AND($B$63="Да",IFERROR(INDEX('Вводные'!$B$88:$B$91,$B$64),"Нет")="Да"))</x:f>
      </x:c>
      <x:c r="CA76" s="35" t="n">
        <x:f>--AND(CA$3&gt;=MAX($B$67,$B$66),CA$3&lt;EDATE($B$67,MAX(1,'Вводные'!$K$73)),AND($B$63="Да",IFERROR(INDEX('Вводные'!$B$88:$B$91,$B$64),"Нет")="Да"))</x:f>
      </x:c>
      <x:c r="CB76" s="35" t="n">
        <x:f>--AND(CB$3&gt;=MAX($B$67,$B$66),CB$3&lt;EDATE($B$67,MAX(1,'Вводные'!$K$73)),AND($B$63="Да",IFERROR(INDEX('Вводные'!$B$88:$B$91,$B$64),"Нет")="Да"))</x:f>
      </x:c>
      <x:c r="CC76" s="35" t="n">
        <x:f>--AND(CC$3&gt;=MAX($B$67,$B$66),CC$3&lt;EDATE($B$67,MAX(1,'Вводные'!$K$73)),AND($B$63="Да",IFERROR(INDEX('Вводные'!$B$88:$B$91,$B$64),"Нет")="Да"))</x:f>
      </x:c>
      <x:c r="CD76" s="35" t="n">
        <x:f>--AND(CD$3&gt;=MAX($B$67,$B$66),CD$3&lt;EDATE($B$67,MAX(1,'Вводные'!$K$73)),AND($B$63="Да",IFERROR(INDEX('Вводные'!$B$88:$B$91,$B$64),"Нет")="Да"))</x:f>
      </x:c>
      <x:c r="CE76" s="35" t="n">
        <x:f>--AND(CE$3&gt;=MAX($B$67,$B$66),CE$3&lt;EDATE($B$67,MAX(1,'Вводные'!$K$73)),AND($B$63="Да",IFERROR(INDEX('Вводные'!$B$88:$B$91,$B$64),"Нет")="Да"))</x:f>
      </x:c>
      <x:c r="CF76" s="35" t="n">
        <x:f>--AND(CF$3&gt;=MAX($B$67,$B$66),CF$3&lt;EDATE($B$67,MAX(1,'Вводные'!$K$73)),AND($B$63="Да",IFERROR(INDEX('Вводные'!$B$88:$B$91,$B$64),"Нет")="Да"))</x:f>
      </x:c>
      <x:c r="CG76" s="35" t="n">
        <x:f>--AND(CG$3&gt;=MAX($B$67,$B$66),CG$3&lt;EDATE($B$67,MAX(1,'Вводные'!$K$73)),AND($B$63="Да",IFERROR(INDEX('Вводные'!$B$88:$B$91,$B$64),"Нет")="Да"))</x:f>
      </x:c>
      <x:c r="CH76" s="35" t="n">
        <x:f>--AND(CH$3&gt;=MAX($B$67,$B$66),CH$3&lt;EDATE($B$67,MAX(1,'Вводные'!$K$73)),AND($B$63="Да",IFERROR(INDEX('Вводные'!$B$88:$B$91,$B$64),"Нет")="Да"))</x:f>
      </x:c>
      <x:c r="CI76" s="35" t="n">
        <x:f>--AND(CI$3&gt;=MAX($B$67,$B$66),CI$3&lt;EDATE($B$67,MAX(1,'Вводные'!$K$73)),AND($B$63="Да",IFERROR(INDEX('Вводные'!$B$88:$B$91,$B$64),"Нет")="Да"))</x:f>
      </x:c>
      <x:c r="CJ76" s="35" t="n">
        <x:f>--AND(CJ$3&gt;=MAX($B$67,$B$66),CJ$3&lt;EDATE($B$67,MAX(1,'Вводные'!$K$73)),AND($B$63="Да",IFERROR(INDEX('Вводные'!$B$88:$B$91,$B$64),"Нет")="Да"))</x:f>
      </x:c>
      <x:c r="CK76" s="35" t="n">
        <x:f>--AND(CK$3&gt;=MAX($B$67,$B$66),CK$3&lt;EDATE($B$67,MAX(1,'Вводные'!$K$73)),AND($B$63="Да",IFERROR(INDEX('Вводные'!$B$88:$B$91,$B$64),"Нет")="Да"))</x:f>
      </x:c>
      <x:c r="CL76" s="35" t="n">
        <x:f>--AND(CL$3&gt;=MAX($B$67,$B$66),CL$3&lt;EDATE($B$67,MAX(1,'Вводные'!$K$73)),AND($B$63="Да",IFERROR(INDEX('Вводные'!$B$88:$B$91,$B$64),"Нет")="Да"))</x:f>
      </x:c>
      <x:c r="CM76" s="35" t="n">
        <x:f>--AND(CM$3&gt;=MAX($B$67,$B$66),CM$3&lt;EDATE($B$67,MAX(1,'Вводные'!$K$73)),AND($B$63="Да",IFERROR(INDEX('Вводные'!$B$88:$B$91,$B$64),"Нет")="Да"))</x:f>
      </x:c>
      <x:c r="CN76" s="35" t="n">
        <x:f>--AND(CN$3&gt;=MAX($B$67,$B$66),CN$3&lt;EDATE($B$67,MAX(1,'Вводные'!$K$73)),AND($B$63="Да",IFERROR(INDEX('Вводные'!$B$88:$B$91,$B$64),"Нет")="Да"))</x:f>
      </x:c>
      <x:c r="CO76" s="35" t="n">
        <x:f>--AND(CO$3&gt;=MAX($B$67,$B$66),CO$3&lt;EDATE($B$67,MAX(1,'Вводные'!$K$73)),AND($B$63="Да",IFERROR(INDEX('Вводные'!$B$88:$B$91,$B$64),"Нет")="Да"))</x:f>
      </x:c>
      <x:c r="CP76" s="35" t="n">
        <x:f>--AND(CP$3&gt;=MAX($B$67,$B$66),CP$3&lt;EDATE($B$67,MAX(1,'Вводные'!$K$73)),AND($B$63="Да",IFERROR(INDEX('Вводные'!$B$88:$B$91,$B$64),"Нет")="Да"))</x:f>
      </x:c>
      <x:c r="CQ76" s="35" t="n">
        <x:f>--AND(CQ$3&gt;=MAX($B$67,$B$66),CQ$3&lt;EDATE($B$67,MAX(1,'Вводные'!$K$73)),AND($B$63="Да",IFERROR(INDEX('Вводные'!$B$88:$B$91,$B$64),"Нет")="Да"))</x:f>
      </x:c>
      <x:c r="CR76" s="35" t="n">
        <x:f>--AND(CR$3&gt;=MAX($B$67,$B$66),CR$3&lt;EDATE($B$67,MAX(1,'Вводные'!$K$73)),AND($B$63="Да",IFERROR(INDEX('Вводные'!$B$88:$B$91,$B$64),"Нет")="Да"))</x:f>
      </x:c>
      <x:c r="CS76" s="35" t="n">
        <x:f>--AND(CS$3&gt;=MAX($B$67,$B$66),CS$3&lt;EDATE($B$67,MAX(1,'Вводные'!$K$73)),AND($B$63="Да",IFERROR(INDEX('Вводные'!$B$88:$B$91,$B$64),"Нет")="Да"))</x:f>
      </x:c>
      <x:c r="CT76" s="35" t="n">
        <x:f>--AND(CT$3&gt;=MAX($B$67,$B$66),CT$3&lt;EDATE($B$67,MAX(1,'Вводные'!$K$73)),AND($B$63="Да",IFERROR(INDEX('Вводные'!$B$88:$B$91,$B$64),"Нет")="Да"))</x:f>
      </x:c>
      <x:c r="CU76" s="35" t="n">
        <x:f>--AND(CU$3&gt;=MAX($B$67,$B$66),CU$3&lt;EDATE($B$67,MAX(1,'Вводные'!$K$73)),AND($B$63="Да",IFERROR(INDEX('Вводные'!$B$88:$B$91,$B$64),"Нет")="Да"))</x:f>
      </x:c>
      <x:c r="CV76" s="35" t="n">
        <x:f>--AND(CV$3&gt;=MAX($B$67,$B$66),CV$3&lt;EDATE($B$67,MAX(1,'Вводные'!$K$73)),AND($B$63="Да",IFERROR(INDEX('Вводные'!$B$88:$B$91,$B$64),"Нет")="Да"))</x:f>
      </x:c>
      <x:c r="CW76" s="35" t="n">
        <x:f>--AND(CW$3&gt;=MAX($B$67,$B$66),CW$3&lt;EDATE($B$67,MAX(1,'Вводные'!$K$73)),AND($B$63="Да",IFERROR(INDEX('Вводные'!$B$88:$B$91,$B$64),"Нет")="Да"))</x:f>
      </x:c>
      <x:c r="CX76" s="35" t="n">
        <x:f>--AND(CX$3&gt;=MAX($B$67,$B$66),CX$3&lt;EDATE($B$67,MAX(1,'Вводные'!$K$73)),AND($B$63="Да",IFERROR(INDEX('Вводные'!$B$88:$B$91,$B$64),"Нет")="Да"))</x:f>
      </x:c>
      <x:c r="CY76" s="35" t="n">
        <x:f>--AND(CY$3&gt;=MAX($B$67,$B$66),CY$3&lt;EDATE($B$67,MAX(1,'Вводные'!$K$73)),AND($B$63="Да",IFERROR(INDEX('Вводные'!$B$88:$B$91,$B$64),"Нет")="Да"))</x:f>
      </x:c>
      <x:c r="CZ76" s="35" t="n">
        <x:f>--AND(CZ$3&gt;=MAX($B$67,$B$66),CZ$3&lt;EDATE($B$67,MAX(1,'Вводные'!$K$73)),AND($B$63="Да",IFERROR(INDEX('Вводные'!$B$88:$B$91,$B$64),"Нет")="Да"))</x:f>
      </x:c>
      <x:c r="DA76" s="35" t="n">
        <x:f>--AND(DA$3&gt;=MAX($B$67,$B$66),DA$3&lt;EDATE($B$67,MAX(1,'Вводные'!$K$73)),AND($B$63="Да",IFERROR(INDEX('Вводные'!$B$88:$B$91,$B$64),"Нет")="Да"))</x:f>
      </x:c>
      <x:c r="DB76" s="35" t="n">
        <x:f>--AND(DB$3&gt;=MAX($B$67,$B$66),DB$3&lt;EDATE($B$67,MAX(1,'Вводные'!$K$73)),AND($B$63="Да",IFERROR(INDEX('Вводные'!$B$88:$B$91,$B$64),"Нет")="Да"))</x:f>
      </x:c>
      <x:c r="DC76" s="35" t="n">
        <x:f>--AND(DC$3&gt;=MAX($B$67,$B$66),DC$3&lt;EDATE($B$67,MAX(1,'Вводные'!$K$73)),AND($B$63="Да",IFERROR(INDEX('Вводные'!$B$88:$B$91,$B$64),"Нет")="Да"))</x:f>
      </x:c>
      <x:c r="DD76" s="35" t="n">
        <x:f>--AND(DD$3&gt;=MAX($B$67,$B$66),DD$3&lt;EDATE($B$67,MAX(1,'Вводные'!$K$73)),AND($B$63="Да",IFERROR(INDEX('Вводные'!$B$88:$B$91,$B$64),"Нет")="Да"))</x:f>
      </x:c>
      <x:c r="DE76" s="35" t="n">
        <x:f>--AND(DE$3&gt;=MAX($B$67,$B$66),DE$3&lt;EDATE($B$67,MAX(1,'Вводные'!$K$73)),AND($B$63="Да",IFERROR(INDEX('Вводные'!$B$88:$B$91,$B$64),"Нет")="Да"))</x:f>
      </x:c>
      <x:c r="DF76" s="35" t="n">
        <x:f>--AND(DF$3&gt;=MAX($B$67,$B$66),DF$3&lt;EDATE($B$67,MAX(1,'Вводные'!$K$73)),AND($B$63="Да",IFERROR(INDEX('Вводные'!$B$88:$B$91,$B$64),"Нет")="Да"))</x:f>
      </x:c>
      <x:c r="DG76" s="35" t="n">
        <x:f>--AND(DG$3&gt;=MAX($B$67,$B$66),DG$3&lt;EDATE($B$67,MAX(1,'Вводные'!$K$73)),AND($B$63="Да",IFERROR(INDEX('Вводные'!$B$88:$B$91,$B$64),"Нет")="Да"))</x:f>
      </x:c>
      <x:c r="DH76" s="35" t="n">
        <x:f>--AND(DH$3&gt;=MAX($B$67,$B$66),DH$3&lt;EDATE($B$67,MAX(1,'Вводные'!$K$73)),AND($B$63="Да",IFERROR(INDEX('Вводные'!$B$88:$B$91,$B$64),"Нет")="Да"))</x:f>
      </x:c>
      <x:c r="DI76" s="35" t="n">
        <x:f>--AND(DI$3&gt;=MAX($B$67,$B$66),DI$3&lt;EDATE($B$67,MAX(1,'Вводные'!$K$73)),AND($B$63="Да",IFERROR(INDEX('Вводные'!$B$88:$B$91,$B$64),"Нет")="Да"))</x:f>
      </x:c>
      <x:c r="DJ76" s="35" t="n">
        <x:f>--AND(DJ$3&gt;=MAX($B$67,$B$66),DJ$3&lt;EDATE($B$67,MAX(1,'Вводные'!$K$73)),AND($B$63="Да",IFERROR(INDEX('Вводные'!$B$88:$B$91,$B$64),"Нет")="Да"))</x:f>
      </x:c>
      <x:c r="DK76" s="35" t="n">
        <x:f>--AND(DK$3&gt;=MAX($B$67,$B$66),DK$3&lt;EDATE($B$67,MAX(1,'Вводные'!$K$73)),AND($B$63="Да",IFERROR(INDEX('Вводные'!$B$88:$B$91,$B$64),"Нет")="Да"))</x:f>
      </x:c>
      <x:c r="DL76" s="35" t="n">
        <x:f>--AND(DL$3&gt;=MAX($B$67,$B$66),DL$3&lt;EDATE($B$67,MAX(1,'Вводные'!$K$73)),AND($B$63="Да",IFERROR(INDEX('Вводные'!$B$88:$B$91,$B$64),"Нет")="Да"))</x:f>
      </x:c>
      <x:c r="DM76" s="35" t="n">
        <x:f>--AND(DM$3&gt;=MAX($B$67,$B$66),DM$3&lt;EDATE($B$67,MAX(1,'Вводные'!$K$73)),AND($B$63="Да",IFERROR(INDEX('Вводные'!$B$88:$B$91,$B$64),"Нет")="Да"))</x:f>
      </x:c>
      <x:c r="DN76" s="35" t="n">
        <x:f>--AND(DN$3&gt;=MAX($B$67,$B$66),DN$3&lt;EDATE($B$67,MAX(1,'Вводные'!$K$73)),AND($B$63="Да",IFERROR(INDEX('Вводные'!$B$88:$B$91,$B$64),"Нет")="Да"))</x:f>
      </x:c>
      <x:c r="DO76" s="35" t="n">
        <x:f>--AND(DO$3&gt;=MAX($B$67,$B$66),DO$3&lt;EDATE($B$67,MAX(1,'Вводные'!$K$73)),AND($B$63="Да",IFERROR(INDEX('Вводные'!$B$88:$B$91,$B$64),"Нет")="Да"))</x:f>
      </x:c>
      <x:c r="DP76" s="35" t="n">
        <x:f>--AND(DP$3&gt;=MAX($B$67,$B$66),DP$3&lt;EDATE($B$67,MAX(1,'Вводные'!$K$73)),AND($B$63="Да",IFERROR(INDEX('Вводные'!$B$88:$B$91,$B$64),"Нет")="Да"))</x:f>
      </x:c>
      <x:c r="DQ76" s="35" t="n">
        <x:f>--AND(DQ$3&gt;=MAX($B$67,$B$66),DQ$3&lt;EDATE($B$67,MAX(1,'Вводные'!$K$73)),AND($B$63="Да",IFERROR(INDEX('Вводные'!$B$88:$B$91,$B$64),"Нет")="Да"))</x:f>
      </x:c>
      <x:c r="DR76" s="35" t="n">
        <x:f>--AND(DR$3&gt;=MAX($B$67,$B$66),DR$3&lt;EDATE($B$67,MAX(1,'Вводные'!$K$73)),AND($B$63="Да",IFERROR(INDEX('Вводные'!$B$88:$B$91,$B$64),"Нет")="Да"))</x:f>
      </x:c>
      <x:c r="DS76" s="35" t="n">
        <x:f>--AND(DS$3&gt;=MAX($B$67,$B$66),DS$3&lt;EDATE($B$67,MAX(1,'Вводные'!$K$73)),AND($B$63="Да",IFERROR(INDEX('Вводные'!$B$88:$B$91,$B$64),"Нет")="Да"))</x:f>
      </x:c>
    </x:row>
    <x:row r="77">
      <x:c r="A77" t="str">
        <x:v>Нормированный вес после РВЭ</x:v>
      </x:c>
      <x:c r="B77" s="35" t="n">
        <x:f>SUM(D77:DS77)</x:f>
      </x:c>
      <x:c r="C77" t="str">
        <x:v>%</x:v>
      </x:c>
      <x:c r="D77" s="35" t="n">
        <x:f>IFERROR(D74*D76/SUMPRODUCT($D74:$DS74,$D76:$DS76),0)</x:f>
      </x:c>
      <x:c r="E77" s="35" t="n">
        <x:f>IFERROR(E74*E76/SUMPRODUCT($D74:$DS74,$D76:$DS76),0)</x:f>
      </x:c>
      <x:c r="F77" s="35" t="n">
        <x:f>IFERROR(F74*F76/SUMPRODUCT($D74:$DS74,$D76:$DS76),0)</x:f>
      </x:c>
      <x:c r="G77" s="35" t="n">
        <x:f>IFERROR(G74*G76/SUMPRODUCT($D74:$DS74,$D76:$DS76),0)</x:f>
      </x:c>
      <x:c r="H77" s="35" t="n">
        <x:f>IFERROR(H74*H76/SUMPRODUCT($D74:$DS74,$D76:$DS76),0)</x:f>
      </x:c>
      <x:c r="I77" s="35" t="n">
        <x:f>IFERROR(I74*I76/SUMPRODUCT($D74:$DS74,$D76:$DS76),0)</x:f>
      </x:c>
      <x:c r="J77" s="35" t="n">
        <x:f>IFERROR(J74*J76/SUMPRODUCT($D74:$DS74,$D76:$DS76),0)</x:f>
      </x:c>
      <x:c r="K77" s="35" t="n">
        <x:f>IFERROR(K74*K76/SUMPRODUCT($D74:$DS74,$D76:$DS76),0)</x:f>
      </x:c>
      <x:c r="L77" s="35" t="n">
        <x:f>IFERROR(L74*L76/SUMPRODUCT($D74:$DS74,$D76:$DS76),0)</x:f>
      </x:c>
      <x:c r="M77" s="35" t="n">
        <x:f>IFERROR(M74*M76/SUMPRODUCT($D74:$DS74,$D76:$DS76),0)</x:f>
      </x:c>
      <x:c r="N77" s="35" t="n">
        <x:f>IFERROR(N74*N76/SUMPRODUCT($D74:$DS74,$D76:$DS76),0)</x:f>
      </x:c>
      <x:c r="O77" s="35" t="n">
        <x:f>IFERROR(O74*O76/SUMPRODUCT($D74:$DS74,$D76:$DS76),0)</x:f>
      </x:c>
      <x:c r="P77" s="35" t="n">
        <x:f>IFERROR(P74*P76/SUMPRODUCT($D74:$DS74,$D76:$DS76),0)</x:f>
      </x:c>
      <x:c r="Q77" s="35" t="n">
        <x:f>IFERROR(Q74*Q76/SUMPRODUCT($D74:$DS74,$D76:$DS76),0)</x:f>
      </x:c>
      <x:c r="R77" s="35" t="n">
        <x:f>IFERROR(R74*R76/SUMPRODUCT($D74:$DS74,$D76:$DS76),0)</x:f>
      </x:c>
      <x:c r="S77" s="35" t="n">
        <x:f>IFERROR(S74*S76/SUMPRODUCT($D74:$DS74,$D76:$DS76),0)</x:f>
      </x:c>
      <x:c r="T77" s="35" t="n">
        <x:f>IFERROR(T74*T76/SUMPRODUCT($D74:$DS74,$D76:$DS76),0)</x:f>
      </x:c>
      <x:c r="U77" s="35" t="n">
        <x:f>IFERROR(U74*U76/SUMPRODUCT($D74:$DS74,$D76:$DS76),0)</x:f>
      </x:c>
      <x:c r="V77" s="35" t="n">
        <x:f>IFERROR(V74*V76/SUMPRODUCT($D74:$DS74,$D76:$DS76),0)</x:f>
      </x:c>
      <x:c r="W77" s="35" t="n">
        <x:f>IFERROR(W74*W76/SUMPRODUCT($D74:$DS74,$D76:$DS76),0)</x:f>
      </x:c>
      <x:c r="X77" s="35" t="n">
        <x:f>IFERROR(X74*X76/SUMPRODUCT($D74:$DS74,$D76:$DS76),0)</x:f>
      </x:c>
      <x:c r="Y77" s="35" t="n">
        <x:f>IFERROR(Y74*Y76/SUMPRODUCT($D74:$DS74,$D76:$DS76),0)</x:f>
      </x:c>
      <x:c r="Z77" s="35" t="n">
        <x:f>IFERROR(Z74*Z76/SUMPRODUCT($D74:$DS74,$D76:$DS76),0)</x:f>
      </x:c>
      <x:c r="AA77" s="35" t="n">
        <x:f>IFERROR(AA74*AA76/SUMPRODUCT($D74:$DS74,$D76:$DS76),0)</x:f>
      </x:c>
      <x:c r="AB77" s="35" t="n">
        <x:f>IFERROR(AB74*AB76/SUMPRODUCT($D74:$DS74,$D76:$DS76),0)</x:f>
      </x:c>
      <x:c r="AC77" s="35" t="n">
        <x:f>IFERROR(AC74*AC76/SUMPRODUCT($D74:$DS74,$D76:$DS76),0)</x:f>
      </x:c>
      <x:c r="AD77" s="35" t="n">
        <x:f>IFERROR(AD74*AD76/SUMPRODUCT($D74:$DS74,$D76:$DS76),0)</x:f>
      </x:c>
      <x:c r="AE77" s="35" t="n">
        <x:f>IFERROR(AE74*AE76/SUMPRODUCT($D74:$DS74,$D76:$DS76),0)</x:f>
      </x:c>
      <x:c r="AF77" s="35" t="n">
        <x:f>IFERROR(AF74*AF76/SUMPRODUCT($D74:$DS74,$D76:$DS76),0)</x:f>
      </x:c>
      <x:c r="AG77" s="35" t="n">
        <x:f>IFERROR(AG74*AG76/SUMPRODUCT($D74:$DS74,$D76:$DS76),0)</x:f>
      </x:c>
      <x:c r="AH77" s="35" t="n">
        <x:f>IFERROR(AH74*AH76/SUMPRODUCT($D74:$DS74,$D76:$DS76),0)</x:f>
      </x:c>
      <x:c r="AI77" s="35" t="n">
        <x:f>IFERROR(AI74*AI76/SUMPRODUCT($D74:$DS74,$D76:$DS76),0)</x:f>
      </x:c>
      <x:c r="AJ77" s="35" t="n">
        <x:f>IFERROR(AJ74*AJ76/SUMPRODUCT($D74:$DS74,$D76:$DS76),0)</x:f>
      </x:c>
      <x:c r="AK77" s="35" t="n">
        <x:f>IFERROR(AK74*AK76/SUMPRODUCT($D74:$DS74,$D76:$DS76),0)</x:f>
      </x:c>
      <x:c r="AL77" s="35" t="n">
        <x:f>IFERROR(AL74*AL76/SUMPRODUCT($D74:$DS74,$D76:$DS76),0)</x:f>
      </x:c>
      <x:c r="AM77" s="35" t="n">
        <x:f>IFERROR(AM74*AM76/SUMPRODUCT($D74:$DS74,$D76:$DS76),0)</x:f>
      </x:c>
      <x:c r="AN77" s="35" t="n">
        <x:f>IFERROR(AN74*AN76/SUMPRODUCT($D74:$DS74,$D76:$DS76),0)</x:f>
      </x:c>
      <x:c r="AO77" s="35" t="n">
        <x:f>IFERROR(AO74*AO76/SUMPRODUCT($D74:$DS74,$D76:$DS76),0)</x:f>
      </x:c>
      <x:c r="AP77" s="35" t="n">
        <x:f>IFERROR(AP74*AP76/SUMPRODUCT($D74:$DS74,$D76:$DS76),0)</x:f>
      </x:c>
      <x:c r="AQ77" s="35" t="n">
        <x:f>IFERROR(AQ74*AQ76/SUMPRODUCT($D74:$DS74,$D76:$DS76),0)</x:f>
      </x:c>
      <x:c r="AR77" s="35" t="n">
        <x:f>IFERROR(AR74*AR76/SUMPRODUCT($D74:$DS74,$D76:$DS76),0)</x:f>
      </x:c>
      <x:c r="AS77" s="35" t="n">
        <x:f>IFERROR(AS74*AS76/SUMPRODUCT($D74:$DS74,$D76:$DS76),0)</x:f>
      </x:c>
      <x:c r="AT77" s="35" t="n">
        <x:f>IFERROR(AT74*AT76/SUMPRODUCT($D74:$DS74,$D76:$DS76),0)</x:f>
      </x:c>
      <x:c r="AU77" s="35" t="n">
        <x:f>IFERROR(AU74*AU76/SUMPRODUCT($D74:$DS74,$D76:$DS76),0)</x:f>
      </x:c>
      <x:c r="AV77" s="35" t="n">
        <x:f>IFERROR(AV74*AV76/SUMPRODUCT($D74:$DS74,$D76:$DS76),0)</x:f>
      </x:c>
      <x:c r="AW77" s="35" t="n">
        <x:f>IFERROR(AW74*AW76/SUMPRODUCT($D74:$DS74,$D76:$DS76),0)</x:f>
      </x:c>
      <x:c r="AX77" s="35" t="n">
        <x:f>IFERROR(AX74*AX76/SUMPRODUCT($D74:$DS74,$D76:$DS76),0)</x:f>
      </x:c>
      <x:c r="AY77" s="35" t="n">
        <x:f>IFERROR(AY74*AY76/SUMPRODUCT($D74:$DS74,$D76:$DS76),0)</x:f>
      </x:c>
      <x:c r="AZ77" s="35" t="n">
        <x:f>IFERROR(AZ74*AZ76/SUMPRODUCT($D74:$DS74,$D76:$DS76),0)</x:f>
      </x:c>
      <x:c r="BA77" s="35" t="n">
        <x:f>IFERROR(BA74*BA76/SUMPRODUCT($D74:$DS74,$D76:$DS76),0)</x:f>
      </x:c>
      <x:c r="BB77" s="35" t="n">
        <x:f>IFERROR(BB74*BB76/SUMPRODUCT($D74:$DS74,$D76:$DS76),0)</x:f>
      </x:c>
      <x:c r="BC77" s="35" t="n">
        <x:f>IFERROR(BC74*BC76/SUMPRODUCT($D74:$DS74,$D76:$DS76),0)</x:f>
      </x:c>
      <x:c r="BD77" s="35" t="n">
        <x:f>IFERROR(BD74*BD76/SUMPRODUCT($D74:$DS74,$D76:$DS76),0)</x:f>
      </x:c>
      <x:c r="BE77" s="35" t="n">
        <x:f>IFERROR(BE74*BE76/SUMPRODUCT($D74:$DS74,$D76:$DS76),0)</x:f>
      </x:c>
      <x:c r="BF77" s="35" t="n">
        <x:f>IFERROR(BF74*BF76/SUMPRODUCT($D74:$DS74,$D76:$DS76),0)</x:f>
      </x:c>
      <x:c r="BG77" s="35" t="n">
        <x:f>IFERROR(BG74*BG76/SUMPRODUCT($D74:$DS74,$D76:$DS76),0)</x:f>
      </x:c>
      <x:c r="BH77" s="35" t="n">
        <x:f>IFERROR(BH74*BH76/SUMPRODUCT($D74:$DS74,$D76:$DS76),0)</x:f>
      </x:c>
      <x:c r="BI77" s="35" t="n">
        <x:f>IFERROR(BI74*BI76/SUMPRODUCT($D74:$DS74,$D76:$DS76),0)</x:f>
      </x:c>
      <x:c r="BJ77" s="35" t="n">
        <x:f>IFERROR(BJ74*BJ76/SUMPRODUCT($D74:$DS74,$D76:$DS76),0)</x:f>
      </x:c>
      <x:c r="BK77" s="35" t="n">
        <x:f>IFERROR(BK74*BK76/SUMPRODUCT($D74:$DS74,$D76:$DS76),0)</x:f>
      </x:c>
      <x:c r="BL77" s="35" t="n">
        <x:f>IFERROR(BL74*BL76/SUMPRODUCT($D74:$DS74,$D76:$DS76),0)</x:f>
      </x:c>
      <x:c r="BM77" s="35" t="n">
        <x:f>IFERROR(BM74*BM76/SUMPRODUCT($D74:$DS74,$D76:$DS76),0)</x:f>
      </x:c>
      <x:c r="BN77" s="35" t="n">
        <x:f>IFERROR(BN74*BN76/SUMPRODUCT($D74:$DS74,$D76:$DS76),0)</x:f>
      </x:c>
      <x:c r="BO77" s="35" t="n">
        <x:f>IFERROR(BO74*BO76/SUMPRODUCT($D74:$DS74,$D76:$DS76),0)</x:f>
      </x:c>
      <x:c r="BP77" s="35" t="n">
        <x:f>IFERROR(BP74*BP76/SUMPRODUCT($D74:$DS74,$D76:$DS76),0)</x:f>
      </x:c>
      <x:c r="BQ77" s="35" t="n">
        <x:f>IFERROR(BQ74*BQ76/SUMPRODUCT($D74:$DS74,$D76:$DS76),0)</x:f>
      </x:c>
      <x:c r="BR77" s="35" t="n">
        <x:f>IFERROR(BR74*BR76/SUMPRODUCT($D74:$DS74,$D76:$DS76),0)</x:f>
      </x:c>
      <x:c r="BS77" s="35" t="n">
        <x:f>IFERROR(BS74*BS76/SUMPRODUCT($D74:$DS74,$D76:$DS76),0)</x:f>
      </x:c>
      <x:c r="BT77" s="35" t="n">
        <x:f>IFERROR(BT74*BT76/SUMPRODUCT($D74:$DS74,$D76:$DS76),0)</x:f>
      </x:c>
      <x:c r="BU77" s="35" t="n">
        <x:f>IFERROR(BU74*BU76/SUMPRODUCT($D74:$DS74,$D76:$DS76),0)</x:f>
      </x:c>
      <x:c r="BV77" s="35" t="n">
        <x:f>IFERROR(BV74*BV76/SUMPRODUCT($D74:$DS74,$D76:$DS76),0)</x:f>
      </x:c>
      <x:c r="BW77" s="35" t="n">
        <x:f>IFERROR(BW74*BW76/SUMPRODUCT($D74:$DS74,$D76:$DS76),0)</x:f>
      </x:c>
      <x:c r="BX77" s="35" t="n">
        <x:f>IFERROR(BX74*BX76/SUMPRODUCT($D74:$DS74,$D76:$DS76),0)</x:f>
      </x:c>
      <x:c r="BY77" s="35" t="n">
        <x:f>IFERROR(BY74*BY76/SUMPRODUCT($D74:$DS74,$D76:$DS76),0)</x:f>
      </x:c>
      <x:c r="BZ77" s="35" t="n">
        <x:f>IFERROR(BZ74*BZ76/SUMPRODUCT($D74:$DS74,$D76:$DS76),0)</x:f>
      </x:c>
      <x:c r="CA77" s="35" t="n">
        <x:f>IFERROR(CA74*CA76/SUMPRODUCT($D74:$DS74,$D76:$DS76),0)</x:f>
      </x:c>
      <x:c r="CB77" s="35" t="n">
        <x:f>IFERROR(CB74*CB76/SUMPRODUCT($D74:$DS74,$D76:$DS76),0)</x:f>
      </x:c>
      <x:c r="CC77" s="35" t="n">
        <x:f>IFERROR(CC74*CC76/SUMPRODUCT($D74:$DS74,$D76:$DS76),0)</x:f>
      </x:c>
      <x:c r="CD77" s="35" t="n">
        <x:f>IFERROR(CD74*CD76/SUMPRODUCT($D74:$DS74,$D76:$DS76),0)</x:f>
      </x:c>
      <x:c r="CE77" s="35" t="n">
        <x:f>IFERROR(CE74*CE76/SUMPRODUCT($D74:$DS74,$D76:$DS76),0)</x:f>
      </x:c>
      <x:c r="CF77" s="35" t="n">
        <x:f>IFERROR(CF74*CF76/SUMPRODUCT($D74:$DS74,$D76:$DS76),0)</x:f>
      </x:c>
      <x:c r="CG77" s="35" t="n">
        <x:f>IFERROR(CG74*CG76/SUMPRODUCT($D74:$DS74,$D76:$DS76),0)</x:f>
      </x:c>
      <x:c r="CH77" s="35" t="n">
        <x:f>IFERROR(CH74*CH76/SUMPRODUCT($D74:$DS74,$D76:$DS76),0)</x:f>
      </x:c>
      <x:c r="CI77" s="35" t="n">
        <x:f>IFERROR(CI74*CI76/SUMPRODUCT($D74:$DS74,$D76:$DS76),0)</x:f>
      </x:c>
      <x:c r="CJ77" s="35" t="n">
        <x:f>IFERROR(CJ74*CJ76/SUMPRODUCT($D74:$DS74,$D76:$DS76),0)</x:f>
      </x:c>
      <x:c r="CK77" s="35" t="n">
        <x:f>IFERROR(CK74*CK76/SUMPRODUCT($D74:$DS74,$D76:$DS76),0)</x:f>
      </x:c>
      <x:c r="CL77" s="35" t="n">
        <x:f>IFERROR(CL74*CL76/SUMPRODUCT($D74:$DS74,$D76:$DS76),0)</x:f>
      </x:c>
      <x:c r="CM77" s="35" t="n">
        <x:f>IFERROR(CM74*CM76/SUMPRODUCT($D74:$DS74,$D76:$DS76),0)</x:f>
      </x:c>
      <x:c r="CN77" s="35" t="n">
        <x:f>IFERROR(CN74*CN76/SUMPRODUCT($D74:$DS74,$D76:$DS76),0)</x:f>
      </x:c>
      <x:c r="CO77" s="35" t="n">
        <x:f>IFERROR(CO74*CO76/SUMPRODUCT($D74:$DS74,$D76:$DS76),0)</x:f>
      </x:c>
      <x:c r="CP77" s="35" t="n">
        <x:f>IFERROR(CP74*CP76/SUMPRODUCT($D74:$DS74,$D76:$DS76),0)</x:f>
      </x:c>
      <x:c r="CQ77" s="35" t="n">
        <x:f>IFERROR(CQ74*CQ76/SUMPRODUCT($D74:$DS74,$D76:$DS76),0)</x:f>
      </x:c>
      <x:c r="CR77" s="35" t="n">
        <x:f>IFERROR(CR74*CR76/SUMPRODUCT($D74:$DS74,$D76:$DS76),0)</x:f>
      </x:c>
      <x:c r="CS77" s="35" t="n">
        <x:f>IFERROR(CS74*CS76/SUMPRODUCT($D74:$DS74,$D76:$DS76),0)</x:f>
      </x:c>
      <x:c r="CT77" s="35" t="n">
        <x:f>IFERROR(CT74*CT76/SUMPRODUCT($D74:$DS74,$D76:$DS76),0)</x:f>
      </x:c>
      <x:c r="CU77" s="35" t="n">
        <x:f>IFERROR(CU74*CU76/SUMPRODUCT($D74:$DS74,$D76:$DS76),0)</x:f>
      </x:c>
      <x:c r="CV77" s="35" t="n">
        <x:f>IFERROR(CV74*CV76/SUMPRODUCT($D74:$DS74,$D76:$DS76),0)</x:f>
      </x:c>
      <x:c r="CW77" s="35" t="n">
        <x:f>IFERROR(CW74*CW76/SUMPRODUCT($D74:$DS74,$D76:$DS76),0)</x:f>
      </x:c>
      <x:c r="CX77" s="35" t="n">
        <x:f>IFERROR(CX74*CX76/SUMPRODUCT($D74:$DS74,$D76:$DS76),0)</x:f>
      </x:c>
      <x:c r="CY77" s="35" t="n">
        <x:f>IFERROR(CY74*CY76/SUMPRODUCT($D74:$DS74,$D76:$DS76),0)</x:f>
      </x:c>
      <x:c r="CZ77" s="35" t="n">
        <x:f>IFERROR(CZ74*CZ76/SUMPRODUCT($D74:$DS74,$D76:$DS76),0)</x:f>
      </x:c>
      <x:c r="DA77" s="35" t="n">
        <x:f>IFERROR(DA74*DA76/SUMPRODUCT($D74:$DS74,$D76:$DS76),0)</x:f>
      </x:c>
      <x:c r="DB77" s="35" t="n">
        <x:f>IFERROR(DB74*DB76/SUMPRODUCT($D74:$DS74,$D76:$DS76),0)</x:f>
      </x:c>
      <x:c r="DC77" s="35" t="n">
        <x:f>IFERROR(DC74*DC76/SUMPRODUCT($D74:$DS74,$D76:$DS76),0)</x:f>
      </x:c>
      <x:c r="DD77" s="35" t="n">
        <x:f>IFERROR(DD74*DD76/SUMPRODUCT($D74:$DS74,$D76:$DS76),0)</x:f>
      </x:c>
      <x:c r="DE77" s="35" t="n">
        <x:f>IFERROR(DE74*DE76/SUMPRODUCT($D74:$DS74,$D76:$DS76),0)</x:f>
      </x:c>
      <x:c r="DF77" s="35" t="n">
        <x:f>IFERROR(DF74*DF76/SUMPRODUCT($D74:$DS74,$D76:$DS76),0)</x:f>
      </x:c>
      <x:c r="DG77" s="35" t="n">
        <x:f>IFERROR(DG74*DG76/SUMPRODUCT($D74:$DS74,$D76:$DS76),0)</x:f>
      </x:c>
      <x:c r="DH77" s="35" t="n">
        <x:f>IFERROR(DH74*DH76/SUMPRODUCT($D74:$DS74,$D76:$DS76),0)</x:f>
      </x:c>
      <x:c r="DI77" s="35" t="n">
        <x:f>IFERROR(DI74*DI76/SUMPRODUCT($D74:$DS74,$D76:$DS76),0)</x:f>
      </x:c>
      <x:c r="DJ77" s="35" t="n">
        <x:f>IFERROR(DJ74*DJ76/SUMPRODUCT($D74:$DS74,$D76:$DS76),0)</x:f>
      </x:c>
      <x:c r="DK77" s="35" t="n">
        <x:f>IFERROR(DK74*DK76/SUMPRODUCT($D74:$DS74,$D76:$DS76),0)</x:f>
      </x:c>
      <x:c r="DL77" s="35" t="n">
        <x:f>IFERROR(DL74*DL76/SUMPRODUCT($D74:$DS74,$D76:$DS76),0)</x:f>
      </x:c>
      <x:c r="DM77" s="35" t="n">
        <x:f>IFERROR(DM74*DM76/SUMPRODUCT($D74:$DS74,$D76:$DS76),0)</x:f>
      </x:c>
      <x:c r="DN77" s="35" t="n">
        <x:f>IFERROR(DN74*DN76/SUMPRODUCT($D74:$DS74,$D76:$DS76),0)</x:f>
      </x:c>
      <x:c r="DO77" s="35" t="n">
        <x:f>IFERROR(DO74*DO76/SUMPRODUCT($D74:$DS74,$D76:$DS76),0)</x:f>
      </x:c>
      <x:c r="DP77" s="35" t="n">
        <x:f>IFERROR(DP74*DP76/SUMPRODUCT($D74:$DS74,$D76:$DS76),0)</x:f>
      </x:c>
      <x:c r="DQ77" s="35" t="n">
        <x:f>IFERROR(DQ74*DQ76/SUMPRODUCT($D74:$DS74,$D76:$DS76),0)</x:f>
      </x:c>
      <x:c r="DR77" s="35" t="n">
        <x:f>IFERROR(DR74*DR76/SUMPRODUCT($D74:$DS74,$D76:$DS76),0)</x:f>
      </x:c>
      <x:c r="DS77" s="35" t="n">
        <x:f>IFERROR(DS74*DS76/SUMPRODUCT($D74:$DS74,$D76:$DS76),0)</x:f>
      </x:c>
    </x:row>
    <x:row r="78">
      <x:c r="A78" t="str">
        <x:v>Реализованный объём</x:v>
      </x:c>
      <x:c r="B78" s="132" t="n">
        <x:f>SUM(D78:DS78)</x:f>
      </x:c>
      <x:c r="C78" t="str">
        <x:v>шт.</x:v>
      </x:c>
      <x:c r="D78" s="132" t="n">
        <x:f>$B$69*((IF(SUM($D73:$DS73)=0,0,IF(SUM($D76:$DS76)=0,1,'Вводные'!$K$72)))*D75+(1-(IF(SUM($D73:$DS73)=0,0,IF(SUM($D76:$DS76)=0,1,'Вводные'!$K$72))))*D77)</x:f>
      </x:c>
      <x:c r="E78" s="132" t="n">
        <x:f>$B$69*((IF(SUM($D73:$DS73)=0,0,IF(SUM($D76:$DS76)=0,1,'Вводные'!$K$72)))*E75+(1-(IF(SUM($D73:$DS73)=0,0,IF(SUM($D76:$DS76)=0,1,'Вводные'!$K$72))))*E77)</x:f>
      </x:c>
      <x:c r="F78" s="132" t="n">
        <x:f>$B$69*((IF(SUM($D73:$DS73)=0,0,IF(SUM($D76:$DS76)=0,1,'Вводные'!$K$72)))*F75+(1-(IF(SUM($D73:$DS73)=0,0,IF(SUM($D76:$DS76)=0,1,'Вводные'!$K$72))))*F77)</x:f>
      </x:c>
      <x:c r="G78" s="132" t="n">
        <x:f>$B$69*((IF(SUM($D73:$DS73)=0,0,IF(SUM($D76:$DS76)=0,1,'Вводные'!$K$72)))*G75+(1-(IF(SUM($D73:$DS73)=0,0,IF(SUM($D76:$DS76)=0,1,'Вводные'!$K$72))))*G77)</x:f>
      </x:c>
      <x:c r="H78" s="132" t="n">
        <x:f>$B$69*((IF(SUM($D73:$DS73)=0,0,IF(SUM($D76:$DS76)=0,1,'Вводные'!$K$72)))*H75+(1-(IF(SUM($D73:$DS73)=0,0,IF(SUM($D76:$DS76)=0,1,'Вводные'!$K$72))))*H77)</x:f>
      </x:c>
      <x:c r="I78" s="132" t="n">
        <x:f>$B$69*((IF(SUM($D73:$DS73)=0,0,IF(SUM($D76:$DS76)=0,1,'Вводные'!$K$72)))*I75+(1-(IF(SUM($D73:$DS73)=0,0,IF(SUM($D76:$DS76)=0,1,'Вводные'!$K$72))))*I77)</x:f>
      </x:c>
      <x:c r="J78" s="132" t="n">
        <x:f>$B$69*((IF(SUM($D73:$DS73)=0,0,IF(SUM($D76:$DS76)=0,1,'Вводные'!$K$72)))*J75+(1-(IF(SUM($D73:$DS73)=0,0,IF(SUM($D76:$DS76)=0,1,'Вводные'!$K$72))))*J77)</x:f>
      </x:c>
      <x:c r="K78" s="132" t="n">
        <x:f>$B$69*((IF(SUM($D73:$DS73)=0,0,IF(SUM($D76:$DS76)=0,1,'Вводные'!$K$72)))*K75+(1-(IF(SUM($D73:$DS73)=0,0,IF(SUM($D76:$DS76)=0,1,'Вводные'!$K$72))))*K77)</x:f>
      </x:c>
      <x:c r="L78" s="132" t="n">
        <x:f>$B$69*((IF(SUM($D73:$DS73)=0,0,IF(SUM($D76:$DS76)=0,1,'Вводные'!$K$72)))*L75+(1-(IF(SUM($D73:$DS73)=0,0,IF(SUM($D76:$DS76)=0,1,'Вводные'!$K$72))))*L77)</x:f>
      </x:c>
      <x:c r="M78" s="132" t="n">
        <x:f>$B$69*((IF(SUM($D73:$DS73)=0,0,IF(SUM($D76:$DS76)=0,1,'Вводные'!$K$72)))*M75+(1-(IF(SUM($D73:$DS73)=0,0,IF(SUM($D76:$DS76)=0,1,'Вводные'!$K$72))))*M77)</x:f>
      </x:c>
      <x:c r="N78" s="132" t="n">
        <x:f>$B$69*((IF(SUM($D73:$DS73)=0,0,IF(SUM($D76:$DS76)=0,1,'Вводные'!$K$72)))*N75+(1-(IF(SUM($D73:$DS73)=0,0,IF(SUM($D76:$DS76)=0,1,'Вводные'!$K$72))))*N77)</x:f>
      </x:c>
      <x:c r="O78" s="132" t="n">
        <x:f>$B$69*((IF(SUM($D73:$DS73)=0,0,IF(SUM($D76:$DS76)=0,1,'Вводные'!$K$72)))*O75+(1-(IF(SUM($D73:$DS73)=0,0,IF(SUM($D76:$DS76)=0,1,'Вводные'!$K$72))))*O77)</x:f>
      </x:c>
      <x:c r="P78" s="132" t="n">
        <x:f>$B$69*((IF(SUM($D73:$DS73)=0,0,IF(SUM($D76:$DS76)=0,1,'Вводные'!$K$72)))*P75+(1-(IF(SUM($D73:$DS73)=0,0,IF(SUM($D76:$DS76)=0,1,'Вводные'!$K$72))))*P77)</x:f>
      </x:c>
      <x:c r="Q78" s="132" t="n">
        <x:f>$B$69*((IF(SUM($D73:$DS73)=0,0,IF(SUM($D76:$DS76)=0,1,'Вводные'!$K$72)))*Q75+(1-(IF(SUM($D73:$DS73)=0,0,IF(SUM($D76:$DS76)=0,1,'Вводные'!$K$72))))*Q77)</x:f>
      </x:c>
      <x:c r="R78" s="132" t="n">
        <x:f>$B$69*((IF(SUM($D73:$DS73)=0,0,IF(SUM($D76:$DS76)=0,1,'Вводные'!$K$72)))*R75+(1-(IF(SUM($D73:$DS73)=0,0,IF(SUM($D76:$DS76)=0,1,'Вводные'!$K$72))))*R77)</x:f>
      </x:c>
      <x:c r="S78" s="132" t="n">
        <x:f>$B$69*((IF(SUM($D73:$DS73)=0,0,IF(SUM($D76:$DS76)=0,1,'Вводные'!$K$72)))*S75+(1-(IF(SUM($D73:$DS73)=0,0,IF(SUM($D76:$DS76)=0,1,'Вводные'!$K$72))))*S77)</x:f>
      </x:c>
      <x:c r="T78" s="132" t="n">
        <x:f>$B$69*((IF(SUM($D73:$DS73)=0,0,IF(SUM($D76:$DS76)=0,1,'Вводные'!$K$72)))*T75+(1-(IF(SUM($D73:$DS73)=0,0,IF(SUM($D76:$DS76)=0,1,'Вводные'!$K$72))))*T77)</x:f>
      </x:c>
      <x:c r="U78" s="132" t="n">
        <x:f>$B$69*((IF(SUM($D73:$DS73)=0,0,IF(SUM($D76:$DS76)=0,1,'Вводные'!$K$72)))*U75+(1-(IF(SUM($D73:$DS73)=0,0,IF(SUM($D76:$DS76)=0,1,'Вводные'!$K$72))))*U77)</x:f>
      </x:c>
      <x:c r="V78" s="132" t="n">
        <x:f>$B$69*((IF(SUM($D73:$DS73)=0,0,IF(SUM($D76:$DS76)=0,1,'Вводные'!$K$72)))*V75+(1-(IF(SUM($D73:$DS73)=0,0,IF(SUM($D76:$DS76)=0,1,'Вводные'!$K$72))))*V77)</x:f>
      </x:c>
      <x:c r="W78" s="132" t="n">
        <x:f>$B$69*((IF(SUM($D73:$DS73)=0,0,IF(SUM($D76:$DS76)=0,1,'Вводные'!$K$72)))*W75+(1-(IF(SUM($D73:$DS73)=0,0,IF(SUM($D76:$DS76)=0,1,'Вводные'!$K$72))))*W77)</x:f>
      </x:c>
      <x:c r="X78" s="132" t="n">
        <x:f>$B$69*((IF(SUM($D73:$DS73)=0,0,IF(SUM($D76:$DS76)=0,1,'Вводные'!$K$72)))*X75+(1-(IF(SUM($D73:$DS73)=0,0,IF(SUM($D76:$DS76)=0,1,'Вводные'!$K$72))))*X77)</x:f>
      </x:c>
      <x:c r="Y78" s="132" t="n">
        <x:f>$B$69*((IF(SUM($D73:$DS73)=0,0,IF(SUM($D76:$DS76)=0,1,'Вводные'!$K$72)))*Y75+(1-(IF(SUM($D73:$DS73)=0,0,IF(SUM($D76:$DS76)=0,1,'Вводные'!$K$72))))*Y77)</x:f>
      </x:c>
      <x:c r="Z78" s="132" t="n">
        <x:f>$B$69*((IF(SUM($D73:$DS73)=0,0,IF(SUM($D76:$DS76)=0,1,'Вводные'!$K$72)))*Z75+(1-(IF(SUM($D73:$DS73)=0,0,IF(SUM($D76:$DS76)=0,1,'Вводные'!$K$72))))*Z77)</x:f>
      </x:c>
      <x:c r="AA78" s="132" t="n">
        <x:f>$B$69*((IF(SUM($D73:$DS73)=0,0,IF(SUM($D76:$DS76)=0,1,'Вводные'!$K$72)))*AA75+(1-(IF(SUM($D73:$DS73)=0,0,IF(SUM($D76:$DS76)=0,1,'Вводные'!$K$72))))*AA77)</x:f>
      </x:c>
      <x:c r="AB78" s="132" t="n">
        <x:f>$B$69*((IF(SUM($D73:$DS73)=0,0,IF(SUM($D76:$DS76)=0,1,'Вводные'!$K$72)))*AB75+(1-(IF(SUM($D73:$DS73)=0,0,IF(SUM($D76:$DS76)=0,1,'Вводные'!$K$72))))*AB77)</x:f>
      </x:c>
      <x:c r="AC78" s="132" t="n">
        <x:f>$B$69*((IF(SUM($D73:$DS73)=0,0,IF(SUM($D76:$DS76)=0,1,'Вводные'!$K$72)))*AC75+(1-(IF(SUM($D73:$DS73)=0,0,IF(SUM($D76:$DS76)=0,1,'Вводные'!$K$72))))*AC77)</x:f>
      </x:c>
      <x:c r="AD78" s="132" t="n">
        <x:f>$B$69*((IF(SUM($D73:$DS73)=0,0,IF(SUM($D76:$DS76)=0,1,'Вводные'!$K$72)))*AD75+(1-(IF(SUM($D73:$DS73)=0,0,IF(SUM($D76:$DS76)=0,1,'Вводные'!$K$72))))*AD77)</x:f>
      </x:c>
      <x:c r="AE78" s="132" t="n">
        <x:f>$B$69*((IF(SUM($D73:$DS73)=0,0,IF(SUM($D76:$DS76)=0,1,'Вводные'!$K$72)))*AE75+(1-(IF(SUM($D73:$DS73)=0,0,IF(SUM($D76:$DS76)=0,1,'Вводные'!$K$72))))*AE77)</x:f>
      </x:c>
      <x:c r="AF78" s="132" t="n">
        <x:f>$B$69*((IF(SUM($D73:$DS73)=0,0,IF(SUM($D76:$DS76)=0,1,'Вводные'!$K$72)))*AF75+(1-(IF(SUM($D73:$DS73)=0,0,IF(SUM($D76:$DS76)=0,1,'Вводные'!$K$72))))*AF77)</x:f>
      </x:c>
      <x:c r="AG78" s="132" t="n">
        <x:f>$B$69*((IF(SUM($D73:$DS73)=0,0,IF(SUM($D76:$DS76)=0,1,'Вводные'!$K$72)))*AG75+(1-(IF(SUM($D73:$DS73)=0,0,IF(SUM($D76:$DS76)=0,1,'Вводные'!$K$72))))*AG77)</x:f>
      </x:c>
      <x:c r="AH78" s="132" t="n">
        <x:f>$B$69*((IF(SUM($D73:$DS73)=0,0,IF(SUM($D76:$DS76)=0,1,'Вводные'!$K$72)))*AH75+(1-(IF(SUM($D73:$DS73)=0,0,IF(SUM($D76:$DS76)=0,1,'Вводные'!$K$72))))*AH77)</x:f>
      </x:c>
      <x:c r="AI78" s="132" t="n">
        <x:f>$B$69*((IF(SUM($D73:$DS73)=0,0,IF(SUM($D76:$DS76)=0,1,'Вводные'!$K$72)))*AI75+(1-(IF(SUM($D73:$DS73)=0,0,IF(SUM($D76:$DS76)=0,1,'Вводные'!$K$72))))*AI77)</x:f>
      </x:c>
      <x:c r="AJ78" s="132" t="n">
        <x:f>$B$69*((IF(SUM($D73:$DS73)=0,0,IF(SUM($D76:$DS76)=0,1,'Вводные'!$K$72)))*AJ75+(1-(IF(SUM($D73:$DS73)=0,0,IF(SUM($D76:$DS76)=0,1,'Вводные'!$K$72))))*AJ77)</x:f>
      </x:c>
      <x:c r="AK78" s="132" t="n">
        <x:f>$B$69*((IF(SUM($D73:$DS73)=0,0,IF(SUM($D76:$DS76)=0,1,'Вводные'!$K$72)))*AK75+(1-(IF(SUM($D73:$DS73)=0,0,IF(SUM($D76:$DS76)=0,1,'Вводные'!$K$72))))*AK77)</x:f>
      </x:c>
      <x:c r="AL78" s="132" t="n">
        <x:f>$B$69*((IF(SUM($D73:$DS73)=0,0,IF(SUM($D76:$DS76)=0,1,'Вводные'!$K$72)))*AL75+(1-(IF(SUM($D73:$DS73)=0,0,IF(SUM($D76:$DS76)=0,1,'Вводные'!$K$72))))*AL77)</x:f>
      </x:c>
      <x:c r="AM78" s="132" t="n">
        <x:f>$B$69*((IF(SUM($D73:$DS73)=0,0,IF(SUM($D76:$DS76)=0,1,'Вводные'!$K$72)))*AM75+(1-(IF(SUM($D73:$DS73)=0,0,IF(SUM($D76:$DS76)=0,1,'Вводные'!$K$72))))*AM77)</x:f>
      </x:c>
      <x:c r="AN78" s="132" t="n">
        <x:f>$B$69*((IF(SUM($D73:$DS73)=0,0,IF(SUM($D76:$DS76)=0,1,'Вводные'!$K$72)))*AN75+(1-(IF(SUM($D73:$DS73)=0,0,IF(SUM($D76:$DS76)=0,1,'Вводные'!$K$72))))*AN77)</x:f>
      </x:c>
      <x:c r="AO78" s="132" t="n">
        <x:f>$B$69*((IF(SUM($D73:$DS73)=0,0,IF(SUM($D76:$DS76)=0,1,'Вводные'!$K$72)))*AO75+(1-(IF(SUM($D73:$DS73)=0,0,IF(SUM($D76:$DS76)=0,1,'Вводные'!$K$72))))*AO77)</x:f>
      </x:c>
      <x:c r="AP78" s="132" t="n">
        <x:f>$B$69*((IF(SUM($D73:$DS73)=0,0,IF(SUM($D76:$DS76)=0,1,'Вводные'!$K$72)))*AP75+(1-(IF(SUM($D73:$DS73)=0,0,IF(SUM($D76:$DS76)=0,1,'Вводные'!$K$72))))*AP77)</x:f>
      </x:c>
      <x:c r="AQ78" s="132" t="n">
        <x:f>$B$69*((IF(SUM($D73:$DS73)=0,0,IF(SUM($D76:$DS76)=0,1,'Вводные'!$K$72)))*AQ75+(1-(IF(SUM($D73:$DS73)=0,0,IF(SUM($D76:$DS76)=0,1,'Вводные'!$K$72))))*AQ77)</x:f>
      </x:c>
      <x:c r="AR78" s="132" t="n">
        <x:f>$B$69*((IF(SUM($D73:$DS73)=0,0,IF(SUM($D76:$DS76)=0,1,'Вводные'!$K$72)))*AR75+(1-(IF(SUM($D73:$DS73)=0,0,IF(SUM($D76:$DS76)=0,1,'Вводные'!$K$72))))*AR77)</x:f>
      </x:c>
      <x:c r="AS78" s="132" t="n">
        <x:f>$B$69*((IF(SUM($D73:$DS73)=0,0,IF(SUM($D76:$DS76)=0,1,'Вводные'!$K$72)))*AS75+(1-(IF(SUM($D73:$DS73)=0,0,IF(SUM($D76:$DS76)=0,1,'Вводные'!$K$72))))*AS77)</x:f>
      </x:c>
      <x:c r="AT78" s="132" t="n">
        <x:f>$B$69*((IF(SUM($D73:$DS73)=0,0,IF(SUM($D76:$DS76)=0,1,'Вводные'!$K$72)))*AT75+(1-(IF(SUM($D73:$DS73)=0,0,IF(SUM($D76:$DS76)=0,1,'Вводные'!$K$72))))*AT77)</x:f>
      </x:c>
      <x:c r="AU78" s="132" t="n">
        <x:f>$B$69*((IF(SUM($D73:$DS73)=0,0,IF(SUM($D76:$DS76)=0,1,'Вводные'!$K$72)))*AU75+(1-(IF(SUM($D73:$DS73)=0,0,IF(SUM($D76:$DS76)=0,1,'Вводные'!$K$72))))*AU77)</x:f>
      </x:c>
      <x:c r="AV78" s="132" t="n">
        <x:f>$B$69*((IF(SUM($D73:$DS73)=0,0,IF(SUM($D76:$DS76)=0,1,'Вводные'!$K$72)))*AV75+(1-(IF(SUM($D73:$DS73)=0,0,IF(SUM($D76:$DS76)=0,1,'Вводные'!$K$72))))*AV77)</x:f>
      </x:c>
      <x:c r="AW78" s="132" t="n">
        <x:f>$B$69*((IF(SUM($D73:$DS73)=0,0,IF(SUM($D76:$DS76)=0,1,'Вводные'!$K$72)))*AW75+(1-(IF(SUM($D73:$DS73)=0,0,IF(SUM($D76:$DS76)=0,1,'Вводные'!$K$72))))*AW77)</x:f>
      </x:c>
      <x:c r="AX78" s="132" t="n">
        <x:f>$B$69*((IF(SUM($D73:$DS73)=0,0,IF(SUM($D76:$DS76)=0,1,'Вводные'!$K$72)))*AX75+(1-(IF(SUM($D73:$DS73)=0,0,IF(SUM($D76:$DS76)=0,1,'Вводные'!$K$72))))*AX77)</x:f>
      </x:c>
      <x:c r="AY78" s="132" t="n">
        <x:f>$B$69*((IF(SUM($D73:$DS73)=0,0,IF(SUM($D76:$DS76)=0,1,'Вводные'!$K$72)))*AY75+(1-(IF(SUM($D73:$DS73)=0,0,IF(SUM($D76:$DS76)=0,1,'Вводные'!$K$72))))*AY77)</x:f>
      </x:c>
      <x:c r="AZ78" s="132" t="n">
        <x:f>$B$69*((IF(SUM($D73:$DS73)=0,0,IF(SUM($D76:$DS76)=0,1,'Вводные'!$K$72)))*AZ75+(1-(IF(SUM($D73:$DS73)=0,0,IF(SUM($D76:$DS76)=0,1,'Вводные'!$K$72))))*AZ77)</x:f>
      </x:c>
      <x:c r="BA78" s="132" t="n">
        <x:f>$B$69*((IF(SUM($D73:$DS73)=0,0,IF(SUM($D76:$DS76)=0,1,'Вводные'!$K$72)))*BA75+(1-(IF(SUM($D73:$DS73)=0,0,IF(SUM($D76:$DS76)=0,1,'Вводные'!$K$72))))*BA77)</x:f>
      </x:c>
      <x:c r="BB78" s="132" t="n">
        <x:f>$B$69*((IF(SUM($D73:$DS73)=0,0,IF(SUM($D76:$DS76)=0,1,'Вводные'!$K$72)))*BB75+(1-(IF(SUM($D73:$DS73)=0,0,IF(SUM($D76:$DS76)=0,1,'Вводные'!$K$72))))*BB77)</x:f>
      </x:c>
      <x:c r="BC78" s="132" t="n">
        <x:f>$B$69*((IF(SUM($D73:$DS73)=0,0,IF(SUM($D76:$DS76)=0,1,'Вводные'!$K$72)))*BC75+(1-(IF(SUM($D73:$DS73)=0,0,IF(SUM($D76:$DS76)=0,1,'Вводные'!$K$72))))*BC77)</x:f>
      </x:c>
      <x:c r="BD78" s="132" t="n">
        <x:f>$B$69*((IF(SUM($D73:$DS73)=0,0,IF(SUM($D76:$DS76)=0,1,'Вводные'!$K$72)))*BD75+(1-(IF(SUM($D73:$DS73)=0,0,IF(SUM($D76:$DS76)=0,1,'Вводные'!$K$72))))*BD77)</x:f>
      </x:c>
      <x:c r="BE78" s="132" t="n">
        <x:f>$B$69*((IF(SUM($D73:$DS73)=0,0,IF(SUM($D76:$DS76)=0,1,'Вводные'!$K$72)))*BE75+(1-(IF(SUM($D73:$DS73)=0,0,IF(SUM($D76:$DS76)=0,1,'Вводные'!$K$72))))*BE77)</x:f>
      </x:c>
      <x:c r="BF78" s="132" t="n">
        <x:f>$B$69*((IF(SUM($D73:$DS73)=0,0,IF(SUM($D76:$DS76)=0,1,'Вводные'!$K$72)))*BF75+(1-(IF(SUM($D73:$DS73)=0,0,IF(SUM($D76:$DS76)=0,1,'Вводные'!$K$72))))*BF77)</x:f>
      </x:c>
      <x:c r="BG78" s="132" t="n">
        <x:f>$B$69*((IF(SUM($D73:$DS73)=0,0,IF(SUM($D76:$DS76)=0,1,'Вводные'!$K$72)))*BG75+(1-(IF(SUM($D73:$DS73)=0,0,IF(SUM($D76:$DS76)=0,1,'Вводные'!$K$72))))*BG77)</x:f>
      </x:c>
      <x:c r="BH78" s="132" t="n">
        <x:f>$B$69*((IF(SUM($D73:$DS73)=0,0,IF(SUM($D76:$DS76)=0,1,'Вводные'!$K$72)))*BH75+(1-(IF(SUM($D73:$DS73)=0,0,IF(SUM($D76:$DS76)=0,1,'Вводные'!$K$72))))*BH77)</x:f>
      </x:c>
      <x:c r="BI78" s="132" t="n">
        <x:f>$B$69*((IF(SUM($D73:$DS73)=0,0,IF(SUM($D76:$DS76)=0,1,'Вводные'!$K$72)))*BI75+(1-(IF(SUM($D73:$DS73)=0,0,IF(SUM($D76:$DS76)=0,1,'Вводные'!$K$72))))*BI77)</x:f>
      </x:c>
      <x:c r="BJ78" s="132" t="n">
        <x:f>$B$69*((IF(SUM($D73:$DS73)=0,0,IF(SUM($D76:$DS76)=0,1,'Вводные'!$K$72)))*BJ75+(1-(IF(SUM($D73:$DS73)=0,0,IF(SUM($D76:$DS76)=0,1,'Вводные'!$K$72))))*BJ77)</x:f>
      </x:c>
      <x:c r="BK78" s="132" t="n">
        <x:f>$B$69*((IF(SUM($D73:$DS73)=0,0,IF(SUM($D76:$DS76)=0,1,'Вводные'!$K$72)))*BK75+(1-(IF(SUM($D73:$DS73)=0,0,IF(SUM($D76:$DS76)=0,1,'Вводные'!$K$72))))*BK77)</x:f>
      </x:c>
      <x:c r="BL78" s="132" t="n">
        <x:f>$B$69*((IF(SUM($D73:$DS73)=0,0,IF(SUM($D76:$DS76)=0,1,'Вводные'!$K$72)))*BL75+(1-(IF(SUM($D73:$DS73)=0,0,IF(SUM($D76:$DS76)=0,1,'Вводные'!$K$72))))*BL77)</x:f>
      </x:c>
      <x:c r="BM78" s="132" t="n">
        <x:f>$B$69*((IF(SUM($D73:$DS73)=0,0,IF(SUM($D76:$DS76)=0,1,'Вводные'!$K$72)))*BM75+(1-(IF(SUM($D73:$DS73)=0,0,IF(SUM($D76:$DS76)=0,1,'Вводные'!$K$72))))*BM77)</x:f>
      </x:c>
      <x:c r="BN78" s="132" t="n">
        <x:f>$B$69*((IF(SUM($D73:$DS73)=0,0,IF(SUM($D76:$DS76)=0,1,'Вводные'!$K$72)))*BN75+(1-(IF(SUM($D73:$DS73)=0,0,IF(SUM($D76:$DS76)=0,1,'Вводные'!$K$72))))*BN77)</x:f>
      </x:c>
      <x:c r="BO78" s="132" t="n">
        <x:f>$B$69*((IF(SUM($D73:$DS73)=0,0,IF(SUM($D76:$DS76)=0,1,'Вводные'!$K$72)))*BO75+(1-(IF(SUM($D73:$DS73)=0,0,IF(SUM($D76:$DS76)=0,1,'Вводные'!$K$72))))*BO77)</x:f>
      </x:c>
      <x:c r="BP78" s="132" t="n">
        <x:f>$B$69*((IF(SUM($D73:$DS73)=0,0,IF(SUM($D76:$DS76)=0,1,'Вводные'!$K$72)))*BP75+(1-(IF(SUM($D73:$DS73)=0,0,IF(SUM($D76:$DS76)=0,1,'Вводные'!$K$72))))*BP77)</x:f>
      </x:c>
      <x:c r="BQ78" s="132" t="n">
        <x:f>$B$69*((IF(SUM($D73:$DS73)=0,0,IF(SUM($D76:$DS76)=0,1,'Вводные'!$K$72)))*BQ75+(1-(IF(SUM($D73:$DS73)=0,0,IF(SUM($D76:$DS76)=0,1,'Вводные'!$K$72))))*BQ77)</x:f>
      </x:c>
      <x:c r="BR78" s="132" t="n">
        <x:f>$B$69*((IF(SUM($D73:$DS73)=0,0,IF(SUM($D76:$DS76)=0,1,'Вводные'!$K$72)))*BR75+(1-(IF(SUM($D73:$DS73)=0,0,IF(SUM($D76:$DS76)=0,1,'Вводные'!$K$72))))*BR77)</x:f>
      </x:c>
      <x:c r="BS78" s="132" t="n">
        <x:f>$B$69*((IF(SUM($D73:$DS73)=0,0,IF(SUM($D76:$DS76)=0,1,'Вводные'!$K$72)))*BS75+(1-(IF(SUM($D73:$DS73)=0,0,IF(SUM($D76:$DS76)=0,1,'Вводные'!$K$72))))*BS77)</x:f>
      </x:c>
      <x:c r="BT78" s="132" t="n">
        <x:f>$B$69*((IF(SUM($D73:$DS73)=0,0,IF(SUM($D76:$DS76)=0,1,'Вводные'!$K$72)))*BT75+(1-(IF(SUM($D73:$DS73)=0,0,IF(SUM($D76:$DS76)=0,1,'Вводные'!$K$72))))*BT77)</x:f>
      </x:c>
      <x:c r="BU78" s="132" t="n">
        <x:f>$B$69*((IF(SUM($D73:$DS73)=0,0,IF(SUM($D76:$DS76)=0,1,'Вводные'!$K$72)))*BU75+(1-(IF(SUM($D73:$DS73)=0,0,IF(SUM($D76:$DS76)=0,1,'Вводные'!$K$72))))*BU77)</x:f>
      </x:c>
      <x:c r="BV78" s="132" t="n">
        <x:f>$B$69*((IF(SUM($D73:$DS73)=0,0,IF(SUM($D76:$DS76)=0,1,'Вводные'!$K$72)))*BV75+(1-(IF(SUM($D73:$DS73)=0,0,IF(SUM($D76:$DS76)=0,1,'Вводные'!$K$72))))*BV77)</x:f>
      </x:c>
      <x:c r="BW78" s="132" t="n">
        <x:f>$B$69*((IF(SUM($D73:$DS73)=0,0,IF(SUM($D76:$DS76)=0,1,'Вводные'!$K$72)))*BW75+(1-(IF(SUM($D73:$DS73)=0,0,IF(SUM($D76:$DS76)=0,1,'Вводные'!$K$72))))*BW77)</x:f>
      </x:c>
      <x:c r="BX78" s="132" t="n">
        <x:f>$B$69*((IF(SUM($D73:$DS73)=0,0,IF(SUM($D76:$DS76)=0,1,'Вводные'!$K$72)))*BX75+(1-(IF(SUM($D73:$DS73)=0,0,IF(SUM($D76:$DS76)=0,1,'Вводные'!$K$72))))*BX77)</x:f>
      </x:c>
      <x:c r="BY78" s="132" t="n">
        <x:f>$B$69*((IF(SUM($D73:$DS73)=0,0,IF(SUM($D76:$DS76)=0,1,'Вводные'!$K$72)))*BY75+(1-(IF(SUM($D73:$DS73)=0,0,IF(SUM($D76:$DS76)=0,1,'Вводные'!$K$72))))*BY77)</x:f>
      </x:c>
      <x:c r="BZ78" s="132" t="n">
        <x:f>$B$69*((IF(SUM($D73:$DS73)=0,0,IF(SUM($D76:$DS76)=0,1,'Вводные'!$K$72)))*BZ75+(1-(IF(SUM($D73:$DS73)=0,0,IF(SUM($D76:$DS76)=0,1,'Вводные'!$K$72))))*BZ77)</x:f>
      </x:c>
      <x:c r="CA78" s="132" t="n">
        <x:f>$B$69*((IF(SUM($D73:$DS73)=0,0,IF(SUM($D76:$DS76)=0,1,'Вводные'!$K$72)))*CA75+(1-(IF(SUM($D73:$DS73)=0,0,IF(SUM($D76:$DS76)=0,1,'Вводные'!$K$72))))*CA77)</x:f>
      </x:c>
      <x:c r="CB78" s="132" t="n">
        <x:f>$B$69*((IF(SUM($D73:$DS73)=0,0,IF(SUM($D76:$DS76)=0,1,'Вводные'!$K$72)))*CB75+(1-(IF(SUM($D73:$DS73)=0,0,IF(SUM($D76:$DS76)=0,1,'Вводные'!$K$72))))*CB77)</x:f>
      </x:c>
      <x:c r="CC78" s="132" t="n">
        <x:f>$B$69*((IF(SUM($D73:$DS73)=0,0,IF(SUM($D76:$DS76)=0,1,'Вводные'!$K$72)))*CC75+(1-(IF(SUM($D73:$DS73)=0,0,IF(SUM($D76:$DS76)=0,1,'Вводные'!$K$72))))*CC77)</x:f>
      </x:c>
      <x:c r="CD78" s="132" t="n">
        <x:f>$B$69*((IF(SUM($D73:$DS73)=0,0,IF(SUM($D76:$DS76)=0,1,'Вводные'!$K$72)))*CD75+(1-(IF(SUM($D73:$DS73)=0,0,IF(SUM($D76:$DS76)=0,1,'Вводные'!$K$72))))*CD77)</x:f>
      </x:c>
      <x:c r="CE78" s="132" t="n">
        <x:f>$B$69*((IF(SUM($D73:$DS73)=0,0,IF(SUM($D76:$DS76)=0,1,'Вводные'!$K$72)))*CE75+(1-(IF(SUM($D73:$DS73)=0,0,IF(SUM($D76:$DS76)=0,1,'Вводные'!$K$72))))*CE77)</x:f>
      </x:c>
      <x:c r="CF78" s="132" t="n">
        <x:f>$B$69*((IF(SUM($D73:$DS73)=0,0,IF(SUM($D76:$DS76)=0,1,'Вводные'!$K$72)))*CF75+(1-(IF(SUM($D73:$DS73)=0,0,IF(SUM($D76:$DS76)=0,1,'Вводные'!$K$72))))*CF77)</x:f>
      </x:c>
      <x:c r="CG78" s="132" t="n">
        <x:f>$B$69*((IF(SUM($D73:$DS73)=0,0,IF(SUM($D76:$DS76)=0,1,'Вводные'!$K$72)))*CG75+(1-(IF(SUM($D73:$DS73)=0,0,IF(SUM($D76:$DS76)=0,1,'Вводные'!$K$72))))*CG77)</x:f>
      </x:c>
      <x:c r="CH78" s="132" t="n">
        <x:f>$B$69*((IF(SUM($D73:$DS73)=0,0,IF(SUM($D76:$DS76)=0,1,'Вводные'!$K$72)))*CH75+(1-(IF(SUM($D73:$DS73)=0,0,IF(SUM($D76:$DS76)=0,1,'Вводные'!$K$72))))*CH77)</x:f>
      </x:c>
      <x:c r="CI78" s="132" t="n">
        <x:f>$B$69*((IF(SUM($D73:$DS73)=0,0,IF(SUM($D76:$DS76)=0,1,'Вводные'!$K$72)))*CI75+(1-(IF(SUM($D73:$DS73)=0,0,IF(SUM($D76:$DS76)=0,1,'Вводные'!$K$72))))*CI77)</x:f>
      </x:c>
      <x:c r="CJ78" s="132" t="n">
        <x:f>$B$69*((IF(SUM($D73:$DS73)=0,0,IF(SUM($D76:$DS76)=0,1,'Вводные'!$K$72)))*CJ75+(1-(IF(SUM($D73:$DS73)=0,0,IF(SUM($D76:$DS76)=0,1,'Вводные'!$K$72))))*CJ77)</x:f>
      </x:c>
      <x:c r="CK78" s="132" t="n">
        <x:f>$B$69*((IF(SUM($D73:$DS73)=0,0,IF(SUM($D76:$DS76)=0,1,'Вводные'!$K$72)))*CK75+(1-(IF(SUM($D73:$DS73)=0,0,IF(SUM($D76:$DS76)=0,1,'Вводные'!$K$72))))*CK77)</x:f>
      </x:c>
      <x:c r="CL78" s="132" t="n">
        <x:f>$B$69*((IF(SUM($D73:$DS73)=0,0,IF(SUM($D76:$DS76)=0,1,'Вводные'!$K$72)))*CL75+(1-(IF(SUM($D73:$DS73)=0,0,IF(SUM($D76:$DS76)=0,1,'Вводные'!$K$72))))*CL77)</x:f>
      </x:c>
      <x:c r="CM78" s="132" t="n">
        <x:f>$B$69*((IF(SUM($D73:$DS73)=0,0,IF(SUM($D76:$DS76)=0,1,'Вводные'!$K$72)))*CM75+(1-(IF(SUM($D73:$DS73)=0,0,IF(SUM($D76:$DS76)=0,1,'Вводные'!$K$72))))*CM77)</x:f>
      </x:c>
      <x:c r="CN78" s="132" t="n">
        <x:f>$B$69*((IF(SUM($D73:$DS73)=0,0,IF(SUM($D76:$DS76)=0,1,'Вводные'!$K$72)))*CN75+(1-(IF(SUM($D73:$DS73)=0,0,IF(SUM($D76:$DS76)=0,1,'Вводные'!$K$72))))*CN77)</x:f>
      </x:c>
      <x:c r="CO78" s="132" t="n">
        <x:f>$B$69*((IF(SUM($D73:$DS73)=0,0,IF(SUM($D76:$DS76)=0,1,'Вводные'!$K$72)))*CO75+(1-(IF(SUM($D73:$DS73)=0,0,IF(SUM($D76:$DS76)=0,1,'Вводные'!$K$72))))*CO77)</x:f>
      </x:c>
      <x:c r="CP78" s="132" t="n">
        <x:f>$B$69*((IF(SUM($D73:$DS73)=0,0,IF(SUM($D76:$DS76)=0,1,'Вводные'!$K$72)))*CP75+(1-(IF(SUM($D73:$DS73)=0,0,IF(SUM($D76:$DS76)=0,1,'Вводные'!$K$72))))*CP77)</x:f>
      </x:c>
      <x:c r="CQ78" s="132" t="n">
        <x:f>$B$69*((IF(SUM($D73:$DS73)=0,0,IF(SUM($D76:$DS76)=0,1,'Вводные'!$K$72)))*CQ75+(1-(IF(SUM($D73:$DS73)=0,0,IF(SUM($D76:$DS76)=0,1,'Вводные'!$K$72))))*CQ77)</x:f>
      </x:c>
      <x:c r="CR78" s="132" t="n">
        <x:f>$B$69*((IF(SUM($D73:$DS73)=0,0,IF(SUM($D76:$DS76)=0,1,'Вводные'!$K$72)))*CR75+(1-(IF(SUM($D73:$DS73)=0,0,IF(SUM($D76:$DS76)=0,1,'Вводные'!$K$72))))*CR77)</x:f>
      </x:c>
      <x:c r="CS78" s="132" t="n">
        <x:f>$B$69*((IF(SUM($D73:$DS73)=0,0,IF(SUM($D76:$DS76)=0,1,'Вводные'!$K$72)))*CS75+(1-(IF(SUM($D73:$DS73)=0,0,IF(SUM($D76:$DS76)=0,1,'Вводные'!$K$72))))*CS77)</x:f>
      </x:c>
      <x:c r="CT78" s="132" t="n">
        <x:f>$B$69*((IF(SUM($D73:$DS73)=0,0,IF(SUM($D76:$DS76)=0,1,'Вводные'!$K$72)))*CT75+(1-(IF(SUM($D73:$DS73)=0,0,IF(SUM($D76:$DS76)=0,1,'Вводные'!$K$72))))*CT77)</x:f>
      </x:c>
      <x:c r="CU78" s="132" t="n">
        <x:f>$B$69*((IF(SUM($D73:$DS73)=0,0,IF(SUM($D76:$DS76)=0,1,'Вводные'!$K$72)))*CU75+(1-(IF(SUM($D73:$DS73)=0,0,IF(SUM($D76:$DS76)=0,1,'Вводные'!$K$72))))*CU77)</x:f>
      </x:c>
      <x:c r="CV78" s="132" t="n">
        <x:f>$B$69*((IF(SUM($D73:$DS73)=0,0,IF(SUM($D76:$DS76)=0,1,'Вводные'!$K$72)))*CV75+(1-(IF(SUM($D73:$DS73)=0,0,IF(SUM($D76:$DS76)=0,1,'Вводные'!$K$72))))*CV77)</x:f>
      </x:c>
      <x:c r="CW78" s="132" t="n">
        <x:f>$B$69*((IF(SUM($D73:$DS73)=0,0,IF(SUM($D76:$DS76)=0,1,'Вводные'!$K$72)))*CW75+(1-(IF(SUM($D73:$DS73)=0,0,IF(SUM($D76:$DS76)=0,1,'Вводные'!$K$72))))*CW77)</x:f>
      </x:c>
      <x:c r="CX78" s="132" t="n">
        <x:f>$B$69*((IF(SUM($D73:$DS73)=0,0,IF(SUM($D76:$DS76)=0,1,'Вводные'!$K$72)))*CX75+(1-(IF(SUM($D73:$DS73)=0,0,IF(SUM($D76:$DS76)=0,1,'Вводные'!$K$72))))*CX77)</x:f>
      </x:c>
      <x:c r="CY78" s="132" t="n">
        <x:f>$B$69*((IF(SUM($D73:$DS73)=0,0,IF(SUM($D76:$DS76)=0,1,'Вводные'!$K$72)))*CY75+(1-(IF(SUM($D73:$DS73)=0,0,IF(SUM($D76:$DS76)=0,1,'Вводные'!$K$72))))*CY77)</x:f>
      </x:c>
      <x:c r="CZ78" s="132" t="n">
        <x:f>$B$69*((IF(SUM($D73:$DS73)=0,0,IF(SUM($D76:$DS76)=0,1,'Вводные'!$K$72)))*CZ75+(1-(IF(SUM($D73:$DS73)=0,0,IF(SUM($D76:$DS76)=0,1,'Вводные'!$K$72))))*CZ77)</x:f>
      </x:c>
      <x:c r="DA78" s="132" t="n">
        <x:f>$B$69*((IF(SUM($D73:$DS73)=0,0,IF(SUM($D76:$DS76)=0,1,'Вводные'!$K$72)))*DA75+(1-(IF(SUM($D73:$DS73)=0,0,IF(SUM($D76:$DS76)=0,1,'Вводные'!$K$72))))*DA77)</x:f>
      </x:c>
      <x:c r="DB78" s="132" t="n">
        <x:f>$B$69*((IF(SUM($D73:$DS73)=0,0,IF(SUM($D76:$DS76)=0,1,'Вводные'!$K$72)))*DB75+(1-(IF(SUM($D73:$DS73)=0,0,IF(SUM($D76:$DS76)=0,1,'Вводные'!$K$72))))*DB77)</x:f>
      </x:c>
      <x:c r="DC78" s="132" t="n">
        <x:f>$B$69*((IF(SUM($D73:$DS73)=0,0,IF(SUM($D76:$DS76)=0,1,'Вводные'!$K$72)))*DC75+(1-(IF(SUM($D73:$DS73)=0,0,IF(SUM($D76:$DS76)=0,1,'Вводные'!$K$72))))*DC77)</x:f>
      </x:c>
      <x:c r="DD78" s="132" t="n">
        <x:f>$B$69*((IF(SUM($D73:$DS73)=0,0,IF(SUM($D76:$DS76)=0,1,'Вводные'!$K$72)))*DD75+(1-(IF(SUM($D73:$DS73)=0,0,IF(SUM($D76:$DS76)=0,1,'Вводные'!$K$72))))*DD77)</x:f>
      </x:c>
      <x:c r="DE78" s="132" t="n">
        <x:f>$B$69*((IF(SUM($D73:$DS73)=0,0,IF(SUM($D76:$DS76)=0,1,'Вводные'!$K$72)))*DE75+(1-(IF(SUM($D73:$DS73)=0,0,IF(SUM($D76:$DS76)=0,1,'Вводные'!$K$72))))*DE77)</x:f>
      </x:c>
      <x:c r="DF78" s="132" t="n">
        <x:f>$B$69*((IF(SUM($D73:$DS73)=0,0,IF(SUM($D76:$DS76)=0,1,'Вводные'!$K$72)))*DF75+(1-(IF(SUM($D73:$DS73)=0,0,IF(SUM($D76:$DS76)=0,1,'Вводные'!$K$72))))*DF77)</x:f>
      </x:c>
      <x:c r="DG78" s="132" t="n">
        <x:f>$B$69*((IF(SUM($D73:$DS73)=0,0,IF(SUM($D76:$DS76)=0,1,'Вводные'!$K$72)))*DG75+(1-(IF(SUM($D73:$DS73)=0,0,IF(SUM($D76:$DS76)=0,1,'Вводные'!$K$72))))*DG77)</x:f>
      </x:c>
      <x:c r="DH78" s="132" t="n">
        <x:f>$B$69*((IF(SUM($D73:$DS73)=0,0,IF(SUM($D76:$DS76)=0,1,'Вводные'!$K$72)))*DH75+(1-(IF(SUM($D73:$DS73)=0,0,IF(SUM($D76:$DS76)=0,1,'Вводные'!$K$72))))*DH77)</x:f>
      </x:c>
      <x:c r="DI78" s="132" t="n">
        <x:f>$B$69*((IF(SUM($D73:$DS73)=0,0,IF(SUM($D76:$DS76)=0,1,'Вводные'!$K$72)))*DI75+(1-(IF(SUM($D73:$DS73)=0,0,IF(SUM($D76:$DS76)=0,1,'Вводные'!$K$72))))*DI77)</x:f>
      </x:c>
      <x:c r="DJ78" s="132" t="n">
        <x:f>$B$69*((IF(SUM($D73:$DS73)=0,0,IF(SUM($D76:$DS76)=0,1,'Вводные'!$K$72)))*DJ75+(1-(IF(SUM($D73:$DS73)=0,0,IF(SUM($D76:$DS76)=0,1,'Вводные'!$K$72))))*DJ77)</x:f>
      </x:c>
      <x:c r="DK78" s="132" t="n">
        <x:f>$B$69*((IF(SUM($D73:$DS73)=0,0,IF(SUM($D76:$DS76)=0,1,'Вводные'!$K$72)))*DK75+(1-(IF(SUM($D73:$DS73)=0,0,IF(SUM($D76:$DS76)=0,1,'Вводные'!$K$72))))*DK77)</x:f>
      </x:c>
      <x:c r="DL78" s="132" t="n">
        <x:f>$B$69*((IF(SUM($D73:$DS73)=0,0,IF(SUM($D76:$DS76)=0,1,'Вводные'!$K$72)))*DL75+(1-(IF(SUM($D73:$DS73)=0,0,IF(SUM($D76:$DS76)=0,1,'Вводные'!$K$72))))*DL77)</x:f>
      </x:c>
      <x:c r="DM78" s="132" t="n">
        <x:f>$B$69*((IF(SUM($D73:$DS73)=0,0,IF(SUM($D76:$DS76)=0,1,'Вводные'!$K$72)))*DM75+(1-(IF(SUM($D73:$DS73)=0,0,IF(SUM($D76:$DS76)=0,1,'Вводные'!$K$72))))*DM77)</x:f>
      </x:c>
      <x:c r="DN78" s="132" t="n">
        <x:f>$B$69*((IF(SUM($D73:$DS73)=0,0,IF(SUM($D76:$DS76)=0,1,'Вводные'!$K$72)))*DN75+(1-(IF(SUM($D73:$DS73)=0,0,IF(SUM($D76:$DS76)=0,1,'Вводные'!$K$72))))*DN77)</x:f>
      </x:c>
      <x:c r="DO78" s="132" t="n">
        <x:f>$B$69*((IF(SUM($D73:$DS73)=0,0,IF(SUM($D76:$DS76)=0,1,'Вводные'!$K$72)))*DO75+(1-(IF(SUM($D73:$DS73)=0,0,IF(SUM($D76:$DS76)=0,1,'Вводные'!$K$72))))*DO77)</x:f>
      </x:c>
      <x:c r="DP78" s="132" t="n">
        <x:f>$B$69*((IF(SUM($D73:$DS73)=0,0,IF(SUM($D76:$DS76)=0,1,'Вводные'!$K$72)))*DP75+(1-(IF(SUM($D73:$DS73)=0,0,IF(SUM($D76:$DS76)=0,1,'Вводные'!$K$72))))*DP77)</x:f>
      </x:c>
      <x:c r="DQ78" s="132" t="n">
        <x:f>$B$69*((IF(SUM($D73:$DS73)=0,0,IF(SUM($D76:$DS76)=0,1,'Вводные'!$K$72)))*DQ75+(1-(IF(SUM($D73:$DS73)=0,0,IF(SUM($D76:$DS76)=0,1,'Вводные'!$K$72))))*DQ77)</x:f>
      </x:c>
      <x:c r="DR78" s="132" t="n">
        <x:f>$B$69*((IF(SUM($D73:$DS73)=0,0,IF(SUM($D76:$DS76)=0,1,'Вводные'!$K$72)))*DR75+(1-(IF(SUM($D73:$DS73)=0,0,IF(SUM($D76:$DS76)=0,1,'Вводные'!$K$72))))*DR77)</x:f>
      </x:c>
      <x:c r="DS78" s="132" t="n">
        <x:f>$B$69*((IF(SUM($D73:$DS73)=0,0,IF(SUM($D76:$DS76)=0,1,'Вводные'!$K$72)))*DS75+(1-(IF(SUM($D73:$DS73)=0,0,IF(SUM($D76:$DS76)=0,1,'Вводные'!$K$72))))*DS77)</x:f>
      </x:c>
    </x:row>
    <x:row r="79">
      <x:c r="A79" t="str">
        <x:v>Цена реализации</x:v>
      </x:c>
      <x:c r="B79" s="148" t="n">
        <x:f>IFERROR(B80/B78,0)</x:f>
      </x:c>
      <x:c r="C79" t="str">
        <x:v>млн ₽/место</x:v>
      </x:c>
      <x:c r="D79" s="148" t="n">
        <x:f>IF(D78=0,0,'Вводные'!$K$71*'Вводные'!$H$5*INDEX('Вводные'!$S$88:$S$91,$B$64)*INDEX('Вводные'!$AG$88:$AG$91,$B$64)*(1+'Вводные'!$K$74)^MAX(0,MIN((12*(YEAR(D$3)-YEAR($B$67))+MONTH(D$3)-MONTH($B$67)),(12*(YEAR($B$66)-YEAR($B$67))+MONTH($B$66)-MONTH($B$67))))*(1+'Вводные'!$K$75)^MAX(0,(12*(YEAR(D$3)-YEAR($B$66))+MONTH(D$3)-MONTH($B$66))))</x:f>
      </x:c>
      <x:c r="E79" s="148" t="n">
        <x:f>IF(E78=0,0,'Вводные'!$K$71*'Вводные'!$H$5*INDEX('Вводные'!$S$88:$S$91,$B$64)*INDEX('Вводные'!$AG$88:$AG$91,$B$64)*(1+'Вводные'!$K$74)^MAX(0,MIN((12*(YEAR(E$3)-YEAR($B$67))+MONTH(E$3)-MONTH($B$67)),(12*(YEAR($B$66)-YEAR($B$67))+MONTH($B$66)-MONTH($B$67))))*(1+'Вводные'!$K$75)^MAX(0,(12*(YEAR(E$3)-YEAR($B$66))+MONTH(E$3)-MONTH($B$66))))</x:f>
      </x:c>
      <x:c r="F79" s="148" t="n">
        <x:f>IF(F78=0,0,'Вводные'!$K$71*'Вводные'!$H$5*INDEX('Вводные'!$S$88:$S$91,$B$64)*INDEX('Вводные'!$AG$88:$AG$91,$B$64)*(1+'Вводные'!$K$74)^MAX(0,MIN((12*(YEAR(F$3)-YEAR($B$67))+MONTH(F$3)-MONTH($B$67)),(12*(YEAR($B$66)-YEAR($B$67))+MONTH($B$66)-MONTH($B$67))))*(1+'Вводные'!$K$75)^MAX(0,(12*(YEAR(F$3)-YEAR($B$66))+MONTH(F$3)-MONTH($B$66))))</x:f>
      </x:c>
      <x:c r="G79" s="148" t="n">
        <x:f>IF(G78=0,0,'Вводные'!$K$71*'Вводные'!$H$5*INDEX('Вводные'!$S$88:$S$91,$B$64)*INDEX('Вводные'!$AG$88:$AG$91,$B$64)*(1+'Вводные'!$K$74)^MAX(0,MIN((12*(YEAR(G$3)-YEAR($B$67))+MONTH(G$3)-MONTH($B$67)),(12*(YEAR($B$66)-YEAR($B$67))+MONTH($B$66)-MONTH($B$67))))*(1+'Вводные'!$K$75)^MAX(0,(12*(YEAR(G$3)-YEAR($B$66))+MONTH(G$3)-MONTH($B$66))))</x:f>
      </x:c>
      <x:c r="H79" s="148" t="n">
        <x:f>IF(H78=0,0,'Вводные'!$K$71*'Вводные'!$H$5*INDEX('Вводные'!$S$88:$S$91,$B$64)*INDEX('Вводные'!$AG$88:$AG$91,$B$64)*(1+'Вводные'!$K$74)^MAX(0,MIN((12*(YEAR(H$3)-YEAR($B$67))+MONTH(H$3)-MONTH($B$67)),(12*(YEAR($B$66)-YEAR($B$67))+MONTH($B$66)-MONTH($B$67))))*(1+'Вводные'!$K$75)^MAX(0,(12*(YEAR(H$3)-YEAR($B$66))+MONTH(H$3)-MONTH($B$66))))</x:f>
      </x:c>
      <x:c r="I79" s="148" t="n">
        <x:f>IF(I78=0,0,'Вводные'!$K$71*'Вводные'!$H$5*INDEX('Вводные'!$S$88:$S$91,$B$64)*INDEX('Вводные'!$AG$88:$AG$91,$B$64)*(1+'Вводные'!$K$74)^MAX(0,MIN((12*(YEAR(I$3)-YEAR($B$67))+MONTH(I$3)-MONTH($B$67)),(12*(YEAR($B$66)-YEAR($B$67))+MONTH($B$66)-MONTH($B$67))))*(1+'Вводные'!$K$75)^MAX(0,(12*(YEAR(I$3)-YEAR($B$66))+MONTH(I$3)-MONTH($B$66))))</x:f>
      </x:c>
      <x:c r="J79" s="148" t="n">
        <x:f>IF(J78=0,0,'Вводные'!$K$71*'Вводные'!$H$5*INDEX('Вводные'!$S$88:$S$91,$B$64)*INDEX('Вводные'!$AG$88:$AG$91,$B$64)*(1+'Вводные'!$K$74)^MAX(0,MIN((12*(YEAR(J$3)-YEAR($B$67))+MONTH(J$3)-MONTH($B$67)),(12*(YEAR($B$66)-YEAR($B$67))+MONTH($B$66)-MONTH($B$67))))*(1+'Вводные'!$K$75)^MAX(0,(12*(YEAR(J$3)-YEAR($B$66))+MONTH(J$3)-MONTH($B$66))))</x:f>
      </x:c>
      <x:c r="K79" s="148" t="n">
        <x:f>IF(K78=0,0,'Вводные'!$K$71*'Вводные'!$H$5*INDEX('Вводные'!$S$88:$S$91,$B$64)*INDEX('Вводные'!$AG$88:$AG$91,$B$64)*(1+'Вводные'!$K$74)^MAX(0,MIN((12*(YEAR(K$3)-YEAR($B$67))+MONTH(K$3)-MONTH($B$67)),(12*(YEAR($B$66)-YEAR($B$67))+MONTH($B$66)-MONTH($B$67))))*(1+'Вводные'!$K$75)^MAX(0,(12*(YEAR(K$3)-YEAR($B$66))+MONTH(K$3)-MONTH($B$66))))</x:f>
      </x:c>
      <x:c r="L79" s="148" t="n">
        <x:f>IF(L78=0,0,'Вводные'!$K$71*'Вводные'!$H$5*INDEX('Вводные'!$S$88:$S$91,$B$64)*INDEX('Вводные'!$AG$88:$AG$91,$B$64)*(1+'Вводные'!$K$74)^MAX(0,MIN((12*(YEAR(L$3)-YEAR($B$67))+MONTH(L$3)-MONTH($B$67)),(12*(YEAR($B$66)-YEAR($B$67))+MONTH($B$66)-MONTH($B$67))))*(1+'Вводные'!$K$75)^MAX(0,(12*(YEAR(L$3)-YEAR($B$66))+MONTH(L$3)-MONTH($B$66))))</x:f>
      </x:c>
      <x:c r="M79" s="148" t="n">
        <x:f>IF(M78=0,0,'Вводные'!$K$71*'Вводные'!$H$5*INDEX('Вводные'!$S$88:$S$91,$B$64)*INDEX('Вводные'!$AG$88:$AG$91,$B$64)*(1+'Вводные'!$K$74)^MAX(0,MIN((12*(YEAR(M$3)-YEAR($B$67))+MONTH(M$3)-MONTH($B$67)),(12*(YEAR($B$66)-YEAR($B$67))+MONTH($B$66)-MONTH($B$67))))*(1+'Вводные'!$K$75)^MAX(0,(12*(YEAR(M$3)-YEAR($B$66))+MONTH(M$3)-MONTH($B$66))))</x:f>
      </x:c>
      <x:c r="N79" s="148" t="n">
        <x:f>IF(N78=0,0,'Вводные'!$K$71*'Вводные'!$H$5*INDEX('Вводные'!$S$88:$S$91,$B$64)*INDEX('Вводные'!$AG$88:$AG$91,$B$64)*(1+'Вводные'!$K$74)^MAX(0,MIN((12*(YEAR(N$3)-YEAR($B$67))+MONTH(N$3)-MONTH($B$67)),(12*(YEAR($B$66)-YEAR($B$67))+MONTH($B$66)-MONTH($B$67))))*(1+'Вводные'!$K$75)^MAX(0,(12*(YEAR(N$3)-YEAR($B$66))+MONTH(N$3)-MONTH($B$66))))</x:f>
      </x:c>
      <x:c r="O79" s="148" t="n">
        <x:f>IF(O78=0,0,'Вводные'!$K$71*'Вводные'!$H$5*INDEX('Вводные'!$S$88:$S$91,$B$64)*INDEX('Вводные'!$AG$88:$AG$91,$B$64)*(1+'Вводные'!$K$74)^MAX(0,MIN((12*(YEAR(O$3)-YEAR($B$67))+MONTH(O$3)-MONTH($B$67)),(12*(YEAR($B$66)-YEAR($B$67))+MONTH($B$66)-MONTH($B$67))))*(1+'Вводные'!$K$75)^MAX(0,(12*(YEAR(O$3)-YEAR($B$66))+MONTH(O$3)-MONTH($B$66))))</x:f>
      </x:c>
      <x:c r="P79" s="148" t="n">
        <x:f>IF(P78=0,0,'Вводные'!$K$71*'Вводные'!$H$5*INDEX('Вводные'!$S$88:$S$91,$B$64)*INDEX('Вводные'!$AG$88:$AG$91,$B$64)*(1+'Вводные'!$K$74)^MAX(0,MIN((12*(YEAR(P$3)-YEAR($B$67))+MONTH(P$3)-MONTH($B$67)),(12*(YEAR($B$66)-YEAR($B$67))+MONTH($B$66)-MONTH($B$67))))*(1+'Вводные'!$K$75)^MAX(0,(12*(YEAR(P$3)-YEAR($B$66))+MONTH(P$3)-MONTH($B$66))))</x:f>
      </x:c>
      <x:c r="Q79" s="148" t="n">
        <x:f>IF(Q78=0,0,'Вводные'!$K$71*'Вводные'!$H$5*INDEX('Вводные'!$S$88:$S$91,$B$64)*INDEX('Вводные'!$AG$88:$AG$91,$B$64)*(1+'Вводные'!$K$74)^MAX(0,MIN((12*(YEAR(Q$3)-YEAR($B$67))+MONTH(Q$3)-MONTH($B$67)),(12*(YEAR($B$66)-YEAR($B$67))+MONTH($B$66)-MONTH($B$67))))*(1+'Вводные'!$K$75)^MAX(0,(12*(YEAR(Q$3)-YEAR($B$66))+MONTH(Q$3)-MONTH($B$66))))</x:f>
      </x:c>
      <x:c r="R79" s="148" t="n">
        <x:f>IF(R78=0,0,'Вводные'!$K$71*'Вводные'!$H$5*INDEX('Вводные'!$S$88:$S$91,$B$64)*INDEX('Вводные'!$AG$88:$AG$91,$B$64)*(1+'Вводные'!$K$74)^MAX(0,MIN((12*(YEAR(R$3)-YEAR($B$67))+MONTH(R$3)-MONTH($B$67)),(12*(YEAR($B$66)-YEAR($B$67))+MONTH($B$66)-MONTH($B$67))))*(1+'Вводные'!$K$75)^MAX(0,(12*(YEAR(R$3)-YEAR($B$66))+MONTH(R$3)-MONTH($B$66))))</x:f>
      </x:c>
      <x:c r="S79" s="148" t="n">
        <x:f>IF(S78=0,0,'Вводные'!$K$71*'Вводные'!$H$5*INDEX('Вводные'!$S$88:$S$91,$B$64)*INDEX('Вводные'!$AG$88:$AG$91,$B$64)*(1+'Вводные'!$K$74)^MAX(0,MIN((12*(YEAR(S$3)-YEAR($B$67))+MONTH(S$3)-MONTH($B$67)),(12*(YEAR($B$66)-YEAR($B$67))+MONTH($B$66)-MONTH($B$67))))*(1+'Вводные'!$K$75)^MAX(0,(12*(YEAR(S$3)-YEAR($B$66))+MONTH(S$3)-MONTH($B$66))))</x:f>
      </x:c>
      <x:c r="T79" s="148" t="n">
        <x:f>IF(T78=0,0,'Вводные'!$K$71*'Вводные'!$H$5*INDEX('Вводные'!$S$88:$S$91,$B$64)*INDEX('Вводные'!$AG$88:$AG$91,$B$64)*(1+'Вводные'!$K$74)^MAX(0,MIN((12*(YEAR(T$3)-YEAR($B$67))+MONTH(T$3)-MONTH($B$67)),(12*(YEAR($B$66)-YEAR($B$67))+MONTH($B$66)-MONTH($B$67))))*(1+'Вводные'!$K$75)^MAX(0,(12*(YEAR(T$3)-YEAR($B$66))+MONTH(T$3)-MONTH($B$66))))</x:f>
      </x:c>
      <x:c r="U79" s="148" t="n">
        <x:f>IF(U78=0,0,'Вводные'!$K$71*'Вводные'!$H$5*INDEX('Вводные'!$S$88:$S$91,$B$64)*INDEX('Вводные'!$AG$88:$AG$91,$B$64)*(1+'Вводные'!$K$74)^MAX(0,MIN((12*(YEAR(U$3)-YEAR($B$67))+MONTH(U$3)-MONTH($B$67)),(12*(YEAR($B$66)-YEAR($B$67))+MONTH($B$66)-MONTH($B$67))))*(1+'Вводные'!$K$75)^MAX(0,(12*(YEAR(U$3)-YEAR($B$66))+MONTH(U$3)-MONTH($B$66))))</x:f>
      </x:c>
      <x:c r="V79" s="148" t="n">
        <x:f>IF(V78=0,0,'Вводные'!$K$71*'Вводные'!$H$5*INDEX('Вводные'!$S$88:$S$91,$B$64)*INDEX('Вводные'!$AG$88:$AG$91,$B$64)*(1+'Вводные'!$K$74)^MAX(0,MIN((12*(YEAR(V$3)-YEAR($B$67))+MONTH(V$3)-MONTH($B$67)),(12*(YEAR($B$66)-YEAR($B$67))+MONTH($B$66)-MONTH($B$67))))*(1+'Вводные'!$K$75)^MAX(0,(12*(YEAR(V$3)-YEAR($B$66))+MONTH(V$3)-MONTH($B$66))))</x:f>
      </x:c>
      <x:c r="W79" s="148" t="n">
        <x:f>IF(W78=0,0,'Вводные'!$K$71*'Вводные'!$H$5*INDEX('Вводные'!$S$88:$S$91,$B$64)*INDEX('Вводные'!$AG$88:$AG$91,$B$64)*(1+'Вводные'!$K$74)^MAX(0,MIN((12*(YEAR(W$3)-YEAR($B$67))+MONTH(W$3)-MONTH($B$67)),(12*(YEAR($B$66)-YEAR($B$67))+MONTH($B$66)-MONTH($B$67))))*(1+'Вводные'!$K$75)^MAX(0,(12*(YEAR(W$3)-YEAR($B$66))+MONTH(W$3)-MONTH($B$66))))</x:f>
      </x:c>
      <x:c r="X79" s="148" t="n">
        <x:f>IF(X78=0,0,'Вводные'!$K$71*'Вводные'!$H$5*INDEX('Вводные'!$S$88:$S$91,$B$64)*INDEX('Вводные'!$AG$88:$AG$91,$B$64)*(1+'Вводные'!$K$74)^MAX(0,MIN((12*(YEAR(X$3)-YEAR($B$67))+MONTH(X$3)-MONTH($B$67)),(12*(YEAR($B$66)-YEAR($B$67))+MONTH($B$66)-MONTH($B$67))))*(1+'Вводные'!$K$75)^MAX(0,(12*(YEAR(X$3)-YEAR($B$66))+MONTH(X$3)-MONTH($B$66))))</x:f>
      </x:c>
      <x:c r="Y79" s="148" t="n">
        <x:f>IF(Y78=0,0,'Вводные'!$K$71*'Вводные'!$H$5*INDEX('Вводные'!$S$88:$S$91,$B$64)*INDEX('Вводные'!$AG$88:$AG$91,$B$64)*(1+'Вводные'!$K$74)^MAX(0,MIN((12*(YEAR(Y$3)-YEAR($B$67))+MONTH(Y$3)-MONTH($B$67)),(12*(YEAR($B$66)-YEAR($B$67))+MONTH($B$66)-MONTH($B$67))))*(1+'Вводные'!$K$75)^MAX(0,(12*(YEAR(Y$3)-YEAR($B$66))+MONTH(Y$3)-MONTH($B$66))))</x:f>
      </x:c>
      <x:c r="Z79" s="148" t="n">
        <x:f>IF(Z78=0,0,'Вводные'!$K$71*'Вводные'!$H$5*INDEX('Вводные'!$S$88:$S$91,$B$64)*INDEX('Вводные'!$AG$88:$AG$91,$B$64)*(1+'Вводные'!$K$74)^MAX(0,MIN((12*(YEAR(Z$3)-YEAR($B$67))+MONTH(Z$3)-MONTH($B$67)),(12*(YEAR($B$66)-YEAR($B$67))+MONTH($B$66)-MONTH($B$67))))*(1+'Вводные'!$K$75)^MAX(0,(12*(YEAR(Z$3)-YEAR($B$66))+MONTH(Z$3)-MONTH($B$66))))</x:f>
      </x:c>
      <x:c r="AA79" s="148" t="n">
        <x:f>IF(AA78=0,0,'Вводные'!$K$71*'Вводные'!$H$5*INDEX('Вводные'!$S$88:$S$91,$B$64)*INDEX('Вводные'!$AG$88:$AG$91,$B$64)*(1+'Вводные'!$K$74)^MAX(0,MIN((12*(YEAR(AA$3)-YEAR($B$67))+MONTH(AA$3)-MONTH($B$67)),(12*(YEAR($B$66)-YEAR($B$67))+MONTH($B$66)-MONTH($B$67))))*(1+'Вводные'!$K$75)^MAX(0,(12*(YEAR(AA$3)-YEAR($B$66))+MONTH(AA$3)-MONTH($B$66))))</x:f>
      </x:c>
      <x:c r="AB79" s="148" t="n">
        <x:f>IF(AB78=0,0,'Вводные'!$K$71*'Вводные'!$H$5*INDEX('Вводные'!$S$88:$S$91,$B$64)*INDEX('Вводные'!$AG$88:$AG$91,$B$64)*(1+'Вводные'!$K$74)^MAX(0,MIN((12*(YEAR(AB$3)-YEAR($B$67))+MONTH(AB$3)-MONTH($B$67)),(12*(YEAR($B$66)-YEAR($B$67))+MONTH($B$66)-MONTH($B$67))))*(1+'Вводные'!$K$75)^MAX(0,(12*(YEAR(AB$3)-YEAR($B$66))+MONTH(AB$3)-MONTH($B$66))))</x:f>
      </x:c>
      <x:c r="AC79" s="148" t="n">
        <x:f>IF(AC78=0,0,'Вводные'!$K$71*'Вводные'!$H$5*INDEX('Вводные'!$S$88:$S$91,$B$64)*INDEX('Вводные'!$AG$88:$AG$91,$B$64)*(1+'Вводные'!$K$74)^MAX(0,MIN((12*(YEAR(AC$3)-YEAR($B$67))+MONTH(AC$3)-MONTH($B$67)),(12*(YEAR($B$66)-YEAR($B$67))+MONTH($B$66)-MONTH($B$67))))*(1+'Вводные'!$K$75)^MAX(0,(12*(YEAR(AC$3)-YEAR($B$66))+MONTH(AC$3)-MONTH($B$66))))</x:f>
      </x:c>
      <x:c r="AD79" s="148" t="n">
        <x:f>IF(AD78=0,0,'Вводные'!$K$71*'Вводные'!$H$5*INDEX('Вводные'!$S$88:$S$91,$B$64)*INDEX('Вводные'!$AG$88:$AG$91,$B$64)*(1+'Вводные'!$K$74)^MAX(0,MIN((12*(YEAR(AD$3)-YEAR($B$67))+MONTH(AD$3)-MONTH($B$67)),(12*(YEAR($B$66)-YEAR($B$67))+MONTH($B$66)-MONTH($B$67))))*(1+'Вводные'!$K$75)^MAX(0,(12*(YEAR(AD$3)-YEAR($B$66))+MONTH(AD$3)-MONTH($B$66))))</x:f>
      </x:c>
      <x:c r="AE79" s="148" t="n">
        <x:f>IF(AE78=0,0,'Вводные'!$K$71*'Вводные'!$H$5*INDEX('Вводные'!$S$88:$S$91,$B$64)*INDEX('Вводные'!$AG$88:$AG$91,$B$64)*(1+'Вводные'!$K$74)^MAX(0,MIN((12*(YEAR(AE$3)-YEAR($B$67))+MONTH(AE$3)-MONTH($B$67)),(12*(YEAR($B$66)-YEAR($B$67))+MONTH($B$66)-MONTH($B$67))))*(1+'Вводные'!$K$75)^MAX(0,(12*(YEAR(AE$3)-YEAR($B$66))+MONTH(AE$3)-MONTH($B$66))))</x:f>
      </x:c>
      <x:c r="AF79" s="148" t="n">
        <x:f>IF(AF78=0,0,'Вводные'!$K$71*'Вводные'!$H$5*INDEX('Вводные'!$S$88:$S$91,$B$64)*INDEX('Вводные'!$AG$88:$AG$91,$B$64)*(1+'Вводные'!$K$74)^MAX(0,MIN((12*(YEAR(AF$3)-YEAR($B$67))+MONTH(AF$3)-MONTH($B$67)),(12*(YEAR($B$66)-YEAR($B$67))+MONTH($B$66)-MONTH($B$67))))*(1+'Вводные'!$K$75)^MAX(0,(12*(YEAR(AF$3)-YEAR($B$66))+MONTH(AF$3)-MONTH($B$66))))</x:f>
      </x:c>
      <x:c r="AG79" s="148" t="n">
        <x:f>IF(AG78=0,0,'Вводные'!$K$71*'Вводные'!$H$5*INDEX('Вводные'!$S$88:$S$91,$B$64)*INDEX('Вводные'!$AG$88:$AG$91,$B$64)*(1+'Вводные'!$K$74)^MAX(0,MIN((12*(YEAR(AG$3)-YEAR($B$67))+MONTH(AG$3)-MONTH($B$67)),(12*(YEAR($B$66)-YEAR($B$67))+MONTH($B$66)-MONTH($B$67))))*(1+'Вводные'!$K$75)^MAX(0,(12*(YEAR(AG$3)-YEAR($B$66))+MONTH(AG$3)-MONTH($B$66))))</x:f>
      </x:c>
      <x:c r="AH79" s="148" t="n">
        <x:f>IF(AH78=0,0,'Вводные'!$K$71*'Вводные'!$H$5*INDEX('Вводные'!$S$88:$S$91,$B$64)*INDEX('Вводные'!$AG$88:$AG$91,$B$64)*(1+'Вводные'!$K$74)^MAX(0,MIN((12*(YEAR(AH$3)-YEAR($B$67))+MONTH(AH$3)-MONTH($B$67)),(12*(YEAR($B$66)-YEAR($B$67))+MONTH($B$66)-MONTH($B$67))))*(1+'Вводные'!$K$75)^MAX(0,(12*(YEAR(AH$3)-YEAR($B$66))+MONTH(AH$3)-MONTH($B$66))))</x:f>
      </x:c>
      <x:c r="AI79" s="148" t="n">
        <x:f>IF(AI78=0,0,'Вводные'!$K$71*'Вводные'!$H$5*INDEX('Вводные'!$S$88:$S$91,$B$64)*INDEX('Вводные'!$AG$88:$AG$91,$B$64)*(1+'Вводные'!$K$74)^MAX(0,MIN((12*(YEAR(AI$3)-YEAR($B$67))+MONTH(AI$3)-MONTH($B$67)),(12*(YEAR($B$66)-YEAR($B$67))+MONTH($B$66)-MONTH($B$67))))*(1+'Вводные'!$K$75)^MAX(0,(12*(YEAR(AI$3)-YEAR($B$66))+MONTH(AI$3)-MONTH($B$66))))</x:f>
      </x:c>
      <x:c r="AJ79" s="148" t="n">
        <x:f>IF(AJ78=0,0,'Вводные'!$K$71*'Вводные'!$H$5*INDEX('Вводные'!$S$88:$S$91,$B$64)*INDEX('Вводные'!$AG$88:$AG$91,$B$64)*(1+'Вводные'!$K$74)^MAX(0,MIN((12*(YEAR(AJ$3)-YEAR($B$67))+MONTH(AJ$3)-MONTH($B$67)),(12*(YEAR($B$66)-YEAR($B$67))+MONTH($B$66)-MONTH($B$67))))*(1+'Вводные'!$K$75)^MAX(0,(12*(YEAR(AJ$3)-YEAR($B$66))+MONTH(AJ$3)-MONTH($B$66))))</x:f>
      </x:c>
      <x:c r="AK79" s="148" t="n">
        <x:f>IF(AK78=0,0,'Вводные'!$K$71*'Вводные'!$H$5*INDEX('Вводные'!$S$88:$S$91,$B$64)*INDEX('Вводные'!$AG$88:$AG$91,$B$64)*(1+'Вводные'!$K$74)^MAX(0,MIN((12*(YEAR(AK$3)-YEAR($B$67))+MONTH(AK$3)-MONTH($B$67)),(12*(YEAR($B$66)-YEAR($B$67))+MONTH($B$66)-MONTH($B$67))))*(1+'Вводные'!$K$75)^MAX(0,(12*(YEAR(AK$3)-YEAR($B$66))+MONTH(AK$3)-MONTH($B$66))))</x:f>
      </x:c>
      <x:c r="AL79" s="148" t="n">
        <x:f>IF(AL78=0,0,'Вводные'!$K$71*'Вводные'!$H$5*INDEX('Вводные'!$S$88:$S$91,$B$64)*INDEX('Вводные'!$AG$88:$AG$91,$B$64)*(1+'Вводные'!$K$74)^MAX(0,MIN((12*(YEAR(AL$3)-YEAR($B$67))+MONTH(AL$3)-MONTH($B$67)),(12*(YEAR($B$66)-YEAR($B$67))+MONTH($B$66)-MONTH($B$67))))*(1+'Вводные'!$K$75)^MAX(0,(12*(YEAR(AL$3)-YEAR($B$66))+MONTH(AL$3)-MONTH($B$66))))</x:f>
      </x:c>
      <x:c r="AM79" s="148" t="n">
        <x:f>IF(AM78=0,0,'Вводные'!$K$71*'Вводные'!$H$5*INDEX('Вводные'!$S$88:$S$91,$B$64)*INDEX('Вводные'!$AG$88:$AG$91,$B$64)*(1+'Вводные'!$K$74)^MAX(0,MIN((12*(YEAR(AM$3)-YEAR($B$67))+MONTH(AM$3)-MONTH($B$67)),(12*(YEAR($B$66)-YEAR($B$67))+MONTH($B$66)-MONTH($B$67))))*(1+'Вводные'!$K$75)^MAX(0,(12*(YEAR(AM$3)-YEAR($B$66))+MONTH(AM$3)-MONTH($B$66))))</x:f>
      </x:c>
      <x:c r="AN79" s="148" t="n">
        <x:f>IF(AN78=0,0,'Вводные'!$K$71*'Вводные'!$H$5*INDEX('Вводные'!$S$88:$S$91,$B$64)*INDEX('Вводные'!$AG$88:$AG$91,$B$64)*(1+'Вводные'!$K$74)^MAX(0,MIN((12*(YEAR(AN$3)-YEAR($B$67))+MONTH(AN$3)-MONTH($B$67)),(12*(YEAR($B$66)-YEAR($B$67))+MONTH($B$66)-MONTH($B$67))))*(1+'Вводные'!$K$75)^MAX(0,(12*(YEAR(AN$3)-YEAR($B$66))+MONTH(AN$3)-MONTH($B$66))))</x:f>
      </x:c>
      <x:c r="AO79" s="148" t="n">
        <x:f>IF(AO78=0,0,'Вводные'!$K$71*'Вводные'!$H$5*INDEX('Вводные'!$S$88:$S$91,$B$64)*INDEX('Вводные'!$AG$88:$AG$91,$B$64)*(1+'Вводные'!$K$74)^MAX(0,MIN((12*(YEAR(AO$3)-YEAR($B$67))+MONTH(AO$3)-MONTH($B$67)),(12*(YEAR($B$66)-YEAR($B$67))+MONTH($B$66)-MONTH($B$67))))*(1+'Вводные'!$K$75)^MAX(0,(12*(YEAR(AO$3)-YEAR($B$66))+MONTH(AO$3)-MONTH($B$66))))</x:f>
      </x:c>
      <x:c r="AP79" s="148" t="n">
        <x:f>IF(AP78=0,0,'Вводные'!$K$71*'Вводные'!$H$5*INDEX('Вводные'!$S$88:$S$91,$B$64)*INDEX('Вводные'!$AG$88:$AG$91,$B$64)*(1+'Вводные'!$K$74)^MAX(0,MIN((12*(YEAR(AP$3)-YEAR($B$67))+MONTH(AP$3)-MONTH($B$67)),(12*(YEAR($B$66)-YEAR($B$67))+MONTH($B$66)-MONTH($B$67))))*(1+'Вводные'!$K$75)^MAX(0,(12*(YEAR(AP$3)-YEAR($B$66))+MONTH(AP$3)-MONTH($B$66))))</x:f>
      </x:c>
      <x:c r="AQ79" s="148" t="n">
        <x:f>IF(AQ78=0,0,'Вводные'!$K$71*'Вводные'!$H$5*INDEX('Вводные'!$S$88:$S$91,$B$64)*INDEX('Вводные'!$AG$88:$AG$91,$B$64)*(1+'Вводные'!$K$74)^MAX(0,MIN((12*(YEAR(AQ$3)-YEAR($B$67))+MONTH(AQ$3)-MONTH($B$67)),(12*(YEAR($B$66)-YEAR($B$67))+MONTH($B$66)-MONTH($B$67))))*(1+'Вводные'!$K$75)^MAX(0,(12*(YEAR(AQ$3)-YEAR($B$66))+MONTH(AQ$3)-MONTH($B$66))))</x:f>
      </x:c>
      <x:c r="AR79" s="148" t="n">
        <x:f>IF(AR78=0,0,'Вводные'!$K$71*'Вводные'!$H$5*INDEX('Вводные'!$S$88:$S$91,$B$64)*INDEX('Вводные'!$AG$88:$AG$91,$B$64)*(1+'Вводные'!$K$74)^MAX(0,MIN((12*(YEAR(AR$3)-YEAR($B$67))+MONTH(AR$3)-MONTH($B$67)),(12*(YEAR($B$66)-YEAR($B$67))+MONTH($B$66)-MONTH($B$67))))*(1+'Вводные'!$K$75)^MAX(0,(12*(YEAR(AR$3)-YEAR($B$66))+MONTH(AR$3)-MONTH($B$66))))</x:f>
      </x:c>
      <x:c r="AS79" s="148" t="n">
        <x:f>IF(AS78=0,0,'Вводные'!$K$71*'Вводные'!$H$5*INDEX('Вводные'!$S$88:$S$91,$B$64)*INDEX('Вводные'!$AG$88:$AG$91,$B$64)*(1+'Вводные'!$K$74)^MAX(0,MIN((12*(YEAR(AS$3)-YEAR($B$67))+MONTH(AS$3)-MONTH($B$67)),(12*(YEAR($B$66)-YEAR($B$67))+MONTH($B$66)-MONTH($B$67))))*(1+'Вводные'!$K$75)^MAX(0,(12*(YEAR(AS$3)-YEAR($B$66))+MONTH(AS$3)-MONTH($B$66))))</x:f>
      </x:c>
      <x:c r="AT79" s="148" t="n">
        <x:f>IF(AT78=0,0,'Вводные'!$K$71*'Вводные'!$H$5*INDEX('Вводные'!$S$88:$S$91,$B$64)*INDEX('Вводные'!$AG$88:$AG$91,$B$64)*(1+'Вводные'!$K$74)^MAX(0,MIN((12*(YEAR(AT$3)-YEAR($B$67))+MONTH(AT$3)-MONTH($B$67)),(12*(YEAR($B$66)-YEAR($B$67))+MONTH($B$66)-MONTH($B$67))))*(1+'Вводные'!$K$75)^MAX(0,(12*(YEAR(AT$3)-YEAR($B$66))+MONTH(AT$3)-MONTH($B$66))))</x:f>
      </x:c>
      <x:c r="AU79" s="148" t="n">
        <x:f>IF(AU78=0,0,'Вводные'!$K$71*'Вводные'!$H$5*INDEX('Вводные'!$S$88:$S$91,$B$64)*INDEX('Вводные'!$AG$88:$AG$91,$B$64)*(1+'Вводные'!$K$74)^MAX(0,MIN((12*(YEAR(AU$3)-YEAR($B$67))+MONTH(AU$3)-MONTH($B$67)),(12*(YEAR($B$66)-YEAR($B$67))+MONTH($B$66)-MONTH($B$67))))*(1+'Вводные'!$K$75)^MAX(0,(12*(YEAR(AU$3)-YEAR($B$66))+MONTH(AU$3)-MONTH($B$66))))</x:f>
      </x:c>
      <x:c r="AV79" s="148" t="n">
        <x:f>IF(AV78=0,0,'Вводные'!$K$71*'Вводные'!$H$5*INDEX('Вводные'!$S$88:$S$91,$B$64)*INDEX('Вводные'!$AG$88:$AG$91,$B$64)*(1+'Вводные'!$K$74)^MAX(0,MIN((12*(YEAR(AV$3)-YEAR($B$67))+MONTH(AV$3)-MONTH($B$67)),(12*(YEAR($B$66)-YEAR($B$67))+MONTH($B$66)-MONTH($B$67))))*(1+'Вводные'!$K$75)^MAX(0,(12*(YEAR(AV$3)-YEAR($B$66))+MONTH(AV$3)-MONTH($B$66))))</x:f>
      </x:c>
      <x:c r="AW79" s="148" t="n">
        <x:f>IF(AW78=0,0,'Вводные'!$K$71*'Вводные'!$H$5*INDEX('Вводные'!$S$88:$S$91,$B$64)*INDEX('Вводные'!$AG$88:$AG$91,$B$64)*(1+'Вводные'!$K$74)^MAX(0,MIN((12*(YEAR(AW$3)-YEAR($B$67))+MONTH(AW$3)-MONTH($B$67)),(12*(YEAR($B$66)-YEAR($B$67))+MONTH($B$66)-MONTH($B$67))))*(1+'Вводные'!$K$75)^MAX(0,(12*(YEAR(AW$3)-YEAR($B$66))+MONTH(AW$3)-MONTH($B$66))))</x:f>
      </x:c>
      <x:c r="AX79" s="148" t="n">
        <x:f>IF(AX78=0,0,'Вводные'!$K$71*'Вводные'!$H$5*INDEX('Вводные'!$S$88:$S$91,$B$64)*INDEX('Вводные'!$AG$88:$AG$91,$B$64)*(1+'Вводные'!$K$74)^MAX(0,MIN((12*(YEAR(AX$3)-YEAR($B$67))+MONTH(AX$3)-MONTH($B$67)),(12*(YEAR($B$66)-YEAR($B$67))+MONTH($B$66)-MONTH($B$67))))*(1+'Вводные'!$K$75)^MAX(0,(12*(YEAR(AX$3)-YEAR($B$66))+MONTH(AX$3)-MONTH($B$66))))</x:f>
      </x:c>
      <x:c r="AY79" s="148" t="n">
        <x:f>IF(AY78=0,0,'Вводные'!$K$71*'Вводные'!$H$5*INDEX('Вводные'!$S$88:$S$91,$B$64)*INDEX('Вводные'!$AG$88:$AG$91,$B$64)*(1+'Вводные'!$K$74)^MAX(0,MIN((12*(YEAR(AY$3)-YEAR($B$67))+MONTH(AY$3)-MONTH($B$67)),(12*(YEAR($B$66)-YEAR($B$67))+MONTH($B$66)-MONTH($B$67))))*(1+'Вводные'!$K$75)^MAX(0,(12*(YEAR(AY$3)-YEAR($B$66))+MONTH(AY$3)-MONTH($B$66))))</x:f>
      </x:c>
      <x:c r="AZ79" s="148" t="n">
        <x:f>IF(AZ78=0,0,'Вводные'!$K$71*'Вводные'!$H$5*INDEX('Вводные'!$S$88:$S$91,$B$64)*INDEX('Вводные'!$AG$88:$AG$91,$B$64)*(1+'Вводные'!$K$74)^MAX(0,MIN((12*(YEAR(AZ$3)-YEAR($B$67))+MONTH(AZ$3)-MONTH($B$67)),(12*(YEAR($B$66)-YEAR($B$67))+MONTH($B$66)-MONTH($B$67))))*(1+'Вводные'!$K$75)^MAX(0,(12*(YEAR(AZ$3)-YEAR($B$66))+MONTH(AZ$3)-MONTH($B$66))))</x:f>
      </x:c>
      <x:c r="BA79" s="148" t="n">
        <x:f>IF(BA78=0,0,'Вводные'!$K$71*'Вводные'!$H$5*INDEX('Вводные'!$S$88:$S$91,$B$64)*INDEX('Вводные'!$AG$88:$AG$91,$B$64)*(1+'Вводные'!$K$74)^MAX(0,MIN((12*(YEAR(BA$3)-YEAR($B$67))+MONTH(BA$3)-MONTH($B$67)),(12*(YEAR($B$66)-YEAR($B$67))+MONTH($B$66)-MONTH($B$67))))*(1+'Вводные'!$K$75)^MAX(0,(12*(YEAR(BA$3)-YEAR($B$66))+MONTH(BA$3)-MONTH($B$66))))</x:f>
      </x:c>
      <x:c r="BB79" s="148" t="n">
        <x:f>IF(BB78=0,0,'Вводные'!$K$71*'Вводные'!$H$5*INDEX('Вводные'!$S$88:$S$91,$B$64)*INDEX('Вводные'!$AG$88:$AG$91,$B$64)*(1+'Вводные'!$K$74)^MAX(0,MIN((12*(YEAR(BB$3)-YEAR($B$67))+MONTH(BB$3)-MONTH($B$67)),(12*(YEAR($B$66)-YEAR($B$67))+MONTH($B$66)-MONTH($B$67))))*(1+'Вводные'!$K$75)^MAX(0,(12*(YEAR(BB$3)-YEAR($B$66))+MONTH(BB$3)-MONTH($B$66))))</x:f>
      </x:c>
      <x:c r="BC79" s="148" t="n">
        <x:f>IF(BC78=0,0,'Вводные'!$K$71*'Вводные'!$H$5*INDEX('Вводные'!$S$88:$S$91,$B$64)*INDEX('Вводные'!$AG$88:$AG$91,$B$64)*(1+'Вводные'!$K$74)^MAX(0,MIN((12*(YEAR(BC$3)-YEAR($B$67))+MONTH(BC$3)-MONTH($B$67)),(12*(YEAR($B$66)-YEAR($B$67))+MONTH($B$66)-MONTH($B$67))))*(1+'Вводные'!$K$75)^MAX(0,(12*(YEAR(BC$3)-YEAR($B$66))+MONTH(BC$3)-MONTH($B$66))))</x:f>
      </x:c>
      <x:c r="BD79" s="148" t="n">
        <x:f>IF(BD78=0,0,'Вводные'!$K$71*'Вводные'!$H$5*INDEX('Вводные'!$S$88:$S$91,$B$64)*INDEX('Вводные'!$AG$88:$AG$91,$B$64)*(1+'Вводные'!$K$74)^MAX(0,MIN((12*(YEAR(BD$3)-YEAR($B$67))+MONTH(BD$3)-MONTH($B$67)),(12*(YEAR($B$66)-YEAR($B$67))+MONTH($B$66)-MONTH($B$67))))*(1+'Вводные'!$K$75)^MAX(0,(12*(YEAR(BD$3)-YEAR($B$66))+MONTH(BD$3)-MONTH($B$66))))</x:f>
      </x:c>
      <x:c r="BE79" s="148" t="n">
        <x:f>IF(BE78=0,0,'Вводные'!$K$71*'Вводные'!$H$5*INDEX('Вводные'!$S$88:$S$91,$B$64)*INDEX('Вводные'!$AG$88:$AG$91,$B$64)*(1+'Вводные'!$K$74)^MAX(0,MIN((12*(YEAR(BE$3)-YEAR($B$67))+MONTH(BE$3)-MONTH($B$67)),(12*(YEAR($B$66)-YEAR($B$67))+MONTH($B$66)-MONTH($B$67))))*(1+'Вводные'!$K$75)^MAX(0,(12*(YEAR(BE$3)-YEAR($B$66))+MONTH(BE$3)-MONTH($B$66))))</x:f>
      </x:c>
      <x:c r="BF79" s="148" t="n">
        <x:f>IF(BF78=0,0,'Вводные'!$K$71*'Вводные'!$H$5*INDEX('Вводные'!$S$88:$S$91,$B$64)*INDEX('Вводные'!$AG$88:$AG$91,$B$64)*(1+'Вводные'!$K$74)^MAX(0,MIN((12*(YEAR(BF$3)-YEAR($B$67))+MONTH(BF$3)-MONTH($B$67)),(12*(YEAR($B$66)-YEAR($B$67))+MONTH($B$66)-MONTH($B$67))))*(1+'Вводные'!$K$75)^MAX(0,(12*(YEAR(BF$3)-YEAR($B$66))+MONTH(BF$3)-MONTH($B$66))))</x:f>
      </x:c>
      <x:c r="BG79" s="148" t="n">
        <x:f>IF(BG78=0,0,'Вводные'!$K$71*'Вводные'!$H$5*INDEX('Вводные'!$S$88:$S$91,$B$64)*INDEX('Вводные'!$AG$88:$AG$91,$B$64)*(1+'Вводные'!$K$74)^MAX(0,MIN((12*(YEAR(BG$3)-YEAR($B$67))+MONTH(BG$3)-MONTH($B$67)),(12*(YEAR($B$66)-YEAR($B$67))+MONTH($B$66)-MONTH($B$67))))*(1+'Вводные'!$K$75)^MAX(0,(12*(YEAR(BG$3)-YEAR($B$66))+MONTH(BG$3)-MONTH($B$66))))</x:f>
      </x:c>
      <x:c r="BH79" s="148" t="n">
        <x:f>IF(BH78=0,0,'Вводные'!$K$71*'Вводные'!$H$5*INDEX('Вводные'!$S$88:$S$91,$B$64)*INDEX('Вводные'!$AG$88:$AG$91,$B$64)*(1+'Вводные'!$K$74)^MAX(0,MIN((12*(YEAR(BH$3)-YEAR($B$67))+MONTH(BH$3)-MONTH($B$67)),(12*(YEAR($B$66)-YEAR($B$67))+MONTH($B$66)-MONTH($B$67))))*(1+'Вводные'!$K$75)^MAX(0,(12*(YEAR(BH$3)-YEAR($B$66))+MONTH(BH$3)-MONTH($B$66))))</x:f>
      </x:c>
      <x:c r="BI79" s="148" t="n">
        <x:f>IF(BI78=0,0,'Вводные'!$K$71*'Вводные'!$H$5*INDEX('Вводные'!$S$88:$S$91,$B$64)*INDEX('Вводные'!$AG$88:$AG$91,$B$64)*(1+'Вводные'!$K$74)^MAX(0,MIN((12*(YEAR(BI$3)-YEAR($B$67))+MONTH(BI$3)-MONTH($B$67)),(12*(YEAR($B$66)-YEAR($B$67))+MONTH($B$66)-MONTH($B$67))))*(1+'Вводные'!$K$75)^MAX(0,(12*(YEAR(BI$3)-YEAR($B$66))+MONTH(BI$3)-MONTH($B$66))))</x:f>
      </x:c>
      <x:c r="BJ79" s="148" t="n">
        <x:f>IF(BJ78=0,0,'Вводные'!$K$71*'Вводные'!$H$5*INDEX('Вводные'!$S$88:$S$91,$B$64)*INDEX('Вводные'!$AG$88:$AG$91,$B$64)*(1+'Вводные'!$K$74)^MAX(0,MIN((12*(YEAR(BJ$3)-YEAR($B$67))+MONTH(BJ$3)-MONTH($B$67)),(12*(YEAR($B$66)-YEAR($B$67))+MONTH($B$66)-MONTH($B$67))))*(1+'Вводные'!$K$75)^MAX(0,(12*(YEAR(BJ$3)-YEAR($B$66))+MONTH(BJ$3)-MONTH($B$66))))</x:f>
      </x:c>
      <x:c r="BK79" s="148" t="n">
        <x:f>IF(BK78=0,0,'Вводные'!$K$71*'Вводные'!$H$5*INDEX('Вводные'!$S$88:$S$91,$B$64)*INDEX('Вводные'!$AG$88:$AG$91,$B$64)*(1+'Вводные'!$K$74)^MAX(0,MIN((12*(YEAR(BK$3)-YEAR($B$67))+MONTH(BK$3)-MONTH($B$67)),(12*(YEAR($B$66)-YEAR($B$67))+MONTH($B$66)-MONTH($B$67))))*(1+'Вводные'!$K$75)^MAX(0,(12*(YEAR(BK$3)-YEAR($B$66))+MONTH(BK$3)-MONTH($B$66))))</x:f>
      </x:c>
      <x:c r="BL79" s="148" t="n">
        <x:f>IF(BL78=0,0,'Вводные'!$K$71*'Вводные'!$H$5*INDEX('Вводные'!$S$88:$S$91,$B$64)*INDEX('Вводные'!$AG$88:$AG$91,$B$64)*(1+'Вводные'!$K$74)^MAX(0,MIN((12*(YEAR(BL$3)-YEAR($B$67))+MONTH(BL$3)-MONTH($B$67)),(12*(YEAR($B$66)-YEAR($B$67))+MONTH($B$66)-MONTH($B$67))))*(1+'Вводные'!$K$75)^MAX(0,(12*(YEAR(BL$3)-YEAR($B$66))+MONTH(BL$3)-MONTH($B$66))))</x:f>
      </x:c>
      <x:c r="BM79" s="148" t="n">
        <x:f>IF(BM78=0,0,'Вводные'!$K$71*'Вводные'!$H$5*INDEX('Вводные'!$S$88:$S$91,$B$64)*INDEX('Вводные'!$AG$88:$AG$91,$B$64)*(1+'Вводные'!$K$74)^MAX(0,MIN((12*(YEAR(BM$3)-YEAR($B$67))+MONTH(BM$3)-MONTH($B$67)),(12*(YEAR($B$66)-YEAR($B$67))+MONTH($B$66)-MONTH($B$67))))*(1+'Вводные'!$K$75)^MAX(0,(12*(YEAR(BM$3)-YEAR($B$66))+MONTH(BM$3)-MONTH($B$66))))</x:f>
      </x:c>
      <x:c r="BN79" s="148" t="n">
        <x:f>IF(BN78=0,0,'Вводные'!$K$71*'Вводные'!$H$5*INDEX('Вводные'!$S$88:$S$91,$B$64)*INDEX('Вводные'!$AG$88:$AG$91,$B$64)*(1+'Вводные'!$K$74)^MAX(0,MIN((12*(YEAR(BN$3)-YEAR($B$67))+MONTH(BN$3)-MONTH($B$67)),(12*(YEAR($B$66)-YEAR($B$67))+MONTH($B$66)-MONTH($B$67))))*(1+'Вводные'!$K$75)^MAX(0,(12*(YEAR(BN$3)-YEAR($B$66))+MONTH(BN$3)-MONTH($B$66))))</x:f>
      </x:c>
      <x:c r="BO79" s="148" t="n">
        <x:f>IF(BO78=0,0,'Вводные'!$K$71*'Вводные'!$H$5*INDEX('Вводные'!$S$88:$S$91,$B$64)*INDEX('Вводные'!$AG$88:$AG$91,$B$64)*(1+'Вводные'!$K$74)^MAX(0,MIN((12*(YEAR(BO$3)-YEAR($B$67))+MONTH(BO$3)-MONTH($B$67)),(12*(YEAR($B$66)-YEAR($B$67))+MONTH($B$66)-MONTH($B$67))))*(1+'Вводные'!$K$75)^MAX(0,(12*(YEAR(BO$3)-YEAR($B$66))+MONTH(BO$3)-MONTH($B$66))))</x:f>
      </x:c>
      <x:c r="BP79" s="148" t="n">
        <x:f>IF(BP78=0,0,'Вводные'!$K$71*'Вводные'!$H$5*INDEX('Вводные'!$S$88:$S$91,$B$64)*INDEX('Вводные'!$AG$88:$AG$91,$B$64)*(1+'Вводные'!$K$74)^MAX(0,MIN((12*(YEAR(BP$3)-YEAR($B$67))+MONTH(BP$3)-MONTH($B$67)),(12*(YEAR($B$66)-YEAR($B$67))+MONTH($B$66)-MONTH($B$67))))*(1+'Вводные'!$K$75)^MAX(0,(12*(YEAR(BP$3)-YEAR($B$66))+MONTH(BP$3)-MONTH($B$66))))</x:f>
      </x:c>
      <x:c r="BQ79" s="148" t="n">
        <x:f>IF(BQ78=0,0,'Вводные'!$K$71*'Вводные'!$H$5*INDEX('Вводные'!$S$88:$S$91,$B$64)*INDEX('Вводные'!$AG$88:$AG$91,$B$64)*(1+'Вводные'!$K$74)^MAX(0,MIN((12*(YEAR(BQ$3)-YEAR($B$67))+MONTH(BQ$3)-MONTH($B$67)),(12*(YEAR($B$66)-YEAR($B$67))+MONTH($B$66)-MONTH($B$67))))*(1+'Вводные'!$K$75)^MAX(0,(12*(YEAR(BQ$3)-YEAR($B$66))+MONTH(BQ$3)-MONTH($B$66))))</x:f>
      </x:c>
      <x:c r="BR79" s="148" t="n">
        <x:f>IF(BR78=0,0,'Вводные'!$K$71*'Вводные'!$H$5*INDEX('Вводные'!$S$88:$S$91,$B$64)*INDEX('Вводные'!$AG$88:$AG$91,$B$64)*(1+'Вводные'!$K$74)^MAX(0,MIN((12*(YEAR(BR$3)-YEAR($B$67))+MONTH(BR$3)-MONTH($B$67)),(12*(YEAR($B$66)-YEAR($B$67))+MONTH($B$66)-MONTH($B$67))))*(1+'Вводные'!$K$75)^MAX(0,(12*(YEAR(BR$3)-YEAR($B$66))+MONTH(BR$3)-MONTH($B$66))))</x:f>
      </x:c>
      <x:c r="BS79" s="148" t="n">
        <x:f>IF(BS78=0,0,'Вводные'!$K$71*'Вводные'!$H$5*INDEX('Вводные'!$S$88:$S$91,$B$64)*INDEX('Вводные'!$AG$88:$AG$91,$B$64)*(1+'Вводные'!$K$74)^MAX(0,MIN((12*(YEAR(BS$3)-YEAR($B$67))+MONTH(BS$3)-MONTH($B$67)),(12*(YEAR($B$66)-YEAR($B$67))+MONTH($B$66)-MONTH($B$67))))*(1+'Вводные'!$K$75)^MAX(0,(12*(YEAR(BS$3)-YEAR($B$66))+MONTH(BS$3)-MONTH($B$66))))</x:f>
      </x:c>
      <x:c r="BT79" s="148" t="n">
        <x:f>IF(BT78=0,0,'Вводные'!$K$71*'Вводные'!$H$5*INDEX('Вводные'!$S$88:$S$91,$B$64)*INDEX('Вводные'!$AG$88:$AG$91,$B$64)*(1+'Вводные'!$K$74)^MAX(0,MIN((12*(YEAR(BT$3)-YEAR($B$67))+MONTH(BT$3)-MONTH($B$67)),(12*(YEAR($B$66)-YEAR($B$67))+MONTH($B$66)-MONTH($B$67))))*(1+'Вводные'!$K$75)^MAX(0,(12*(YEAR(BT$3)-YEAR($B$66))+MONTH(BT$3)-MONTH($B$66))))</x:f>
      </x:c>
      <x:c r="BU79" s="148" t="n">
        <x:f>IF(BU78=0,0,'Вводные'!$K$71*'Вводные'!$H$5*INDEX('Вводные'!$S$88:$S$91,$B$64)*INDEX('Вводные'!$AG$88:$AG$91,$B$64)*(1+'Вводные'!$K$74)^MAX(0,MIN((12*(YEAR(BU$3)-YEAR($B$67))+MONTH(BU$3)-MONTH($B$67)),(12*(YEAR($B$66)-YEAR($B$67))+MONTH($B$66)-MONTH($B$67))))*(1+'Вводные'!$K$75)^MAX(0,(12*(YEAR(BU$3)-YEAR($B$66))+MONTH(BU$3)-MONTH($B$66))))</x:f>
      </x:c>
      <x:c r="BV79" s="148" t="n">
        <x:f>IF(BV78=0,0,'Вводные'!$K$71*'Вводные'!$H$5*INDEX('Вводные'!$S$88:$S$91,$B$64)*INDEX('Вводные'!$AG$88:$AG$91,$B$64)*(1+'Вводные'!$K$74)^MAX(0,MIN((12*(YEAR(BV$3)-YEAR($B$67))+MONTH(BV$3)-MONTH($B$67)),(12*(YEAR($B$66)-YEAR($B$67))+MONTH($B$66)-MONTH($B$67))))*(1+'Вводные'!$K$75)^MAX(0,(12*(YEAR(BV$3)-YEAR($B$66))+MONTH(BV$3)-MONTH($B$66))))</x:f>
      </x:c>
      <x:c r="BW79" s="148" t="n">
        <x:f>IF(BW78=0,0,'Вводные'!$K$71*'Вводные'!$H$5*INDEX('Вводные'!$S$88:$S$91,$B$64)*INDEX('Вводные'!$AG$88:$AG$91,$B$64)*(1+'Вводные'!$K$74)^MAX(0,MIN((12*(YEAR(BW$3)-YEAR($B$67))+MONTH(BW$3)-MONTH($B$67)),(12*(YEAR($B$66)-YEAR($B$67))+MONTH($B$66)-MONTH($B$67))))*(1+'Вводные'!$K$75)^MAX(0,(12*(YEAR(BW$3)-YEAR($B$66))+MONTH(BW$3)-MONTH($B$66))))</x:f>
      </x:c>
      <x:c r="BX79" s="148" t="n">
        <x:f>IF(BX78=0,0,'Вводные'!$K$71*'Вводные'!$H$5*INDEX('Вводные'!$S$88:$S$91,$B$64)*INDEX('Вводные'!$AG$88:$AG$91,$B$64)*(1+'Вводные'!$K$74)^MAX(0,MIN((12*(YEAR(BX$3)-YEAR($B$67))+MONTH(BX$3)-MONTH($B$67)),(12*(YEAR($B$66)-YEAR($B$67))+MONTH($B$66)-MONTH($B$67))))*(1+'Вводные'!$K$75)^MAX(0,(12*(YEAR(BX$3)-YEAR($B$66))+MONTH(BX$3)-MONTH($B$66))))</x:f>
      </x:c>
      <x:c r="BY79" s="148" t="n">
        <x:f>IF(BY78=0,0,'Вводные'!$K$71*'Вводные'!$H$5*INDEX('Вводные'!$S$88:$S$91,$B$64)*INDEX('Вводные'!$AG$88:$AG$91,$B$64)*(1+'Вводные'!$K$74)^MAX(0,MIN((12*(YEAR(BY$3)-YEAR($B$67))+MONTH(BY$3)-MONTH($B$67)),(12*(YEAR($B$66)-YEAR($B$67))+MONTH($B$66)-MONTH($B$67))))*(1+'Вводные'!$K$75)^MAX(0,(12*(YEAR(BY$3)-YEAR($B$66))+MONTH(BY$3)-MONTH($B$66))))</x:f>
      </x:c>
      <x:c r="BZ79" s="148" t="n">
        <x:f>IF(BZ78=0,0,'Вводные'!$K$71*'Вводные'!$H$5*INDEX('Вводные'!$S$88:$S$91,$B$64)*INDEX('Вводные'!$AG$88:$AG$91,$B$64)*(1+'Вводные'!$K$74)^MAX(0,MIN((12*(YEAR(BZ$3)-YEAR($B$67))+MONTH(BZ$3)-MONTH($B$67)),(12*(YEAR($B$66)-YEAR($B$67))+MONTH($B$66)-MONTH($B$67))))*(1+'Вводные'!$K$75)^MAX(0,(12*(YEAR(BZ$3)-YEAR($B$66))+MONTH(BZ$3)-MONTH($B$66))))</x:f>
      </x:c>
      <x:c r="CA79" s="148" t="n">
        <x:f>IF(CA78=0,0,'Вводные'!$K$71*'Вводные'!$H$5*INDEX('Вводные'!$S$88:$S$91,$B$64)*INDEX('Вводные'!$AG$88:$AG$91,$B$64)*(1+'Вводные'!$K$74)^MAX(0,MIN((12*(YEAR(CA$3)-YEAR($B$67))+MONTH(CA$3)-MONTH($B$67)),(12*(YEAR($B$66)-YEAR($B$67))+MONTH($B$66)-MONTH($B$67))))*(1+'Вводные'!$K$75)^MAX(0,(12*(YEAR(CA$3)-YEAR($B$66))+MONTH(CA$3)-MONTH($B$66))))</x:f>
      </x:c>
      <x:c r="CB79" s="148" t="n">
        <x:f>IF(CB78=0,0,'Вводные'!$K$71*'Вводные'!$H$5*INDEX('Вводные'!$S$88:$S$91,$B$64)*INDEX('Вводные'!$AG$88:$AG$91,$B$64)*(1+'Вводные'!$K$74)^MAX(0,MIN((12*(YEAR(CB$3)-YEAR($B$67))+MONTH(CB$3)-MONTH($B$67)),(12*(YEAR($B$66)-YEAR($B$67))+MONTH($B$66)-MONTH($B$67))))*(1+'Вводные'!$K$75)^MAX(0,(12*(YEAR(CB$3)-YEAR($B$66))+MONTH(CB$3)-MONTH($B$66))))</x:f>
      </x:c>
      <x:c r="CC79" s="148" t="n">
        <x:f>IF(CC78=0,0,'Вводные'!$K$71*'Вводные'!$H$5*INDEX('Вводные'!$S$88:$S$91,$B$64)*INDEX('Вводные'!$AG$88:$AG$91,$B$64)*(1+'Вводные'!$K$74)^MAX(0,MIN((12*(YEAR(CC$3)-YEAR($B$67))+MONTH(CC$3)-MONTH($B$67)),(12*(YEAR($B$66)-YEAR($B$67))+MONTH($B$66)-MONTH($B$67))))*(1+'Вводные'!$K$75)^MAX(0,(12*(YEAR(CC$3)-YEAR($B$66))+MONTH(CC$3)-MONTH($B$66))))</x:f>
      </x:c>
      <x:c r="CD79" s="148" t="n">
        <x:f>IF(CD78=0,0,'Вводные'!$K$71*'Вводные'!$H$5*INDEX('Вводные'!$S$88:$S$91,$B$64)*INDEX('Вводные'!$AG$88:$AG$91,$B$64)*(1+'Вводные'!$K$74)^MAX(0,MIN((12*(YEAR(CD$3)-YEAR($B$67))+MONTH(CD$3)-MONTH($B$67)),(12*(YEAR($B$66)-YEAR($B$67))+MONTH($B$66)-MONTH($B$67))))*(1+'Вводные'!$K$75)^MAX(0,(12*(YEAR(CD$3)-YEAR($B$66))+MONTH(CD$3)-MONTH($B$66))))</x:f>
      </x:c>
      <x:c r="CE79" s="148" t="n">
        <x:f>IF(CE78=0,0,'Вводные'!$K$71*'Вводные'!$H$5*INDEX('Вводные'!$S$88:$S$91,$B$64)*INDEX('Вводные'!$AG$88:$AG$91,$B$64)*(1+'Вводные'!$K$74)^MAX(0,MIN((12*(YEAR(CE$3)-YEAR($B$67))+MONTH(CE$3)-MONTH($B$67)),(12*(YEAR($B$66)-YEAR($B$67))+MONTH($B$66)-MONTH($B$67))))*(1+'Вводные'!$K$75)^MAX(0,(12*(YEAR(CE$3)-YEAR($B$66))+MONTH(CE$3)-MONTH($B$66))))</x:f>
      </x:c>
      <x:c r="CF79" s="148" t="n">
        <x:f>IF(CF78=0,0,'Вводные'!$K$71*'Вводные'!$H$5*INDEX('Вводные'!$S$88:$S$91,$B$64)*INDEX('Вводные'!$AG$88:$AG$91,$B$64)*(1+'Вводные'!$K$74)^MAX(0,MIN((12*(YEAR(CF$3)-YEAR($B$67))+MONTH(CF$3)-MONTH($B$67)),(12*(YEAR($B$66)-YEAR($B$67))+MONTH($B$66)-MONTH($B$67))))*(1+'Вводные'!$K$75)^MAX(0,(12*(YEAR(CF$3)-YEAR($B$66))+MONTH(CF$3)-MONTH($B$66))))</x:f>
      </x:c>
      <x:c r="CG79" s="148" t="n">
        <x:f>IF(CG78=0,0,'Вводные'!$K$71*'Вводные'!$H$5*INDEX('Вводные'!$S$88:$S$91,$B$64)*INDEX('Вводные'!$AG$88:$AG$91,$B$64)*(1+'Вводные'!$K$74)^MAX(0,MIN((12*(YEAR(CG$3)-YEAR($B$67))+MONTH(CG$3)-MONTH($B$67)),(12*(YEAR($B$66)-YEAR($B$67))+MONTH($B$66)-MONTH($B$67))))*(1+'Вводные'!$K$75)^MAX(0,(12*(YEAR(CG$3)-YEAR($B$66))+MONTH(CG$3)-MONTH($B$66))))</x:f>
      </x:c>
      <x:c r="CH79" s="148" t="n">
        <x:f>IF(CH78=0,0,'Вводные'!$K$71*'Вводные'!$H$5*INDEX('Вводные'!$S$88:$S$91,$B$64)*INDEX('Вводные'!$AG$88:$AG$91,$B$64)*(1+'Вводные'!$K$74)^MAX(0,MIN((12*(YEAR(CH$3)-YEAR($B$67))+MONTH(CH$3)-MONTH($B$67)),(12*(YEAR($B$66)-YEAR($B$67))+MONTH($B$66)-MONTH($B$67))))*(1+'Вводные'!$K$75)^MAX(0,(12*(YEAR(CH$3)-YEAR($B$66))+MONTH(CH$3)-MONTH($B$66))))</x:f>
      </x:c>
      <x:c r="CI79" s="148" t="n">
        <x:f>IF(CI78=0,0,'Вводные'!$K$71*'Вводные'!$H$5*INDEX('Вводные'!$S$88:$S$91,$B$64)*INDEX('Вводные'!$AG$88:$AG$91,$B$64)*(1+'Вводные'!$K$74)^MAX(0,MIN((12*(YEAR(CI$3)-YEAR($B$67))+MONTH(CI$3)-MONTH($B$67)),(12*(YEAR($B$66)-YEAR($B$67))+MONTH($B$66)-MONTH($B$67))))*(1+'Вводные'!$K$75)^MAX(0,(12*(YEAR(CI$3)-YEAR($B$66))+MONTH(CI$3)-MONTH($B$66))))</x:f>
      </x:c>
      <x:c r="CJ79" s="148" t="n">
        <x:f>IF(CJ78=0,0,'Вводные'!$K$71*'Вводные'!$H$5*INDEX('Вводные'!$S$88:$S$91,$B$64)*INDEX('Вводные'!$AG$88:$AG$91,$B$64)*(1+'Вводные'!$K$74)^MAX(0,MIN((12*(YEAR(CJ$3)-YEAR($B$67))+MONTH(CJ$3)-MONTH($B$67)),(12*(YEAR($B$66)-YEAR($B$67))+MONTH($B$66)-MONTH($B$67))))*(1+'Вводные'!$K$75)^MAX(0,(12*(YEAR(CJ$3)-YEAR($B$66))+MONTH(CJ$3)-MONTH($B$66))))</x:f>
      </x:c>
      <x:c r="CK79" s="148" t="n">
        <x:f>IF(CK78=0,0,'Вводные'!$K$71*'Вводные'!$H$5*INDEX('Вводные'!$S$88:$S$91,$B$64)*INDEX('Вводные'!$AG$88:$AG$91,$B$64)*(1+'Вводные'!$K$74)^MAX(0,MIN((12*(YEAR(CK$3)-YEAR($B$67))+MONTH(CK$3)-MONTH($B$67)),(12*(YEAR($B$66)-YEAR($B$67))+MONTH($B$66)-MONTH($B$67))))*(1+'Вводные'!$K$75)^MAX(0,(12*(YEAR(CK$3)-YEAR($B$66))+MONTH(CK$3)-MONTH($B$66))))</x:f>
      </x:c>
      <x:c r="CL79" s="148" t="n">
        <x:f>IF(CL78=0,0,'Вводные'!$K$71*'Вводные'!$H$5*INDEX('Вводные'!$S$88:$S$91,$B$64)*INDEX('Вводные'!$AG$88:$AG$91,$B$64)*(1+'Вводные'!$K$74)^MAX(0,MIN((12*(YEAR(CL$3)-YEAR($B$67))+MONTH(CL$3)-MONTH($B$67)),(12*(YEAR($B$66)-YEAR($B$67))+MONTH($B$66)-MONTH($B$67))))*(1+'Вводные'!$K$75)^MAX(0,(12*(YEAR(CL$3)-YEAR($B$66))+MONTH(CL$3)-MONTH($B$66))))</x:f>
      </x:c>
      <x:c r="CM79" s="148" t="n">
        <x:f>IF(CM78=0,0,'Вводные'!$K$71*'Вводные'!$H$5*INDEX('Вводные'!$S$88:$S$91,$B$64)*INDEX('Вводные'!$AG$88:$AG$91,$B$64)*(1+'Вводные'!$K$74)^MAX(0,MIN((12*(YEAR(CM$3)-YEAR($B$67))+MONTH(CM$3)-MONTH($B$67)),(12*(YEAR($B$66)-YEAR($B$67))+MONTH($B$66)-MONTH($B$67))))*(1+'Вводные'!$K$75)^MAX(0,(12*(YEAR(CM$3)-YEAR($B$66))+MONTH(CM$3)-MONTH($B$66))))</x:f>
      </x:c>
      <x:c r="CN79" s="148" t="n">
        <x:f>IF(CN78=0,0,'Вводные'!$K$71*'Вводные'!$H$5*INDEX('Вводные'!$S$88:$S$91,$B$64)*INDEX('Вводные'!$AG$88:$AG$91,$B$64)*(1+'Вводные'!$K$74)^MAX(0,MIN((12*(YEAR(CN$3)-YEAR($B$67))+MONTH(CN$3)-MONTH($B$67)),(12*(YEAR($B$66)-YEAR($B$67))+MONTH($B$66)-MONTH($B$67))))*(1+'Вводные'!$K$75)^MAX(0,(12*(YEAR(CN$3)-YEAR($B$66))+MONTH(CN$3)-MONTH($B$66))))</x:f>
      </x:c>
      <x:c r="CO79" s="148" t="n">
        <x:f>IF(CO78=0,0,'Вводные'!$K$71*'Вводные'!$H$5*INDEX('Вводные'!$S$88:$S$91,$B$64)*INDEX('Вводные'!$AG$88:$AG$91,$B$64)*(1+'Вводные'!$K$74)^MAX(0,MIN((12*(YEAR(CO$3)-YEAR($B$67))+MONTH(CO$3)-MONTH($B$67)),(12*(YEAR($B$66)-YEAR($B$67))+MONTH($B$66)-MONTH($B$67))))*(1+'Вводные'!$K$75)^MAX(0,(12*(YEAR(CO$3)-YEAR($B$66))+MONTH(CO$3)-MONTH($B$66))))</x:f>
      </x:c>
      <x:c r="CP79" s="148" t="n">
        <x:f>IF(CP78=0,0,'Вводные'!$K$71*'Вводные'!$H$5*INDEX('Вводные'!$S$88:$S$91,$B$64)*INDEX('Вводные'!$AG$88:$AG$91,$B$64)*(1+'Вводные'!$K$74)^MAX(0,MIN((12*(YEAR(CP$3)-YEAR($B$67))+MONTH(CP$3)-MONTH($B$67)),(12*(YEAR($B$66)-YEAR($B$67))+MONTH($B$66)-MONTH($B$67))))*(1+'Вводные'!$K$75)^MAX(0,(12*(YEAR(CP$3)-YEAR($B$66))+MONTH(CP$3)-MONTH($B$66))))</x:f>
      </x:c>
      <x:c r="CQ79" s="148" t="n">
        <x:f>IF(CQ78=0,0,'Вводные'!$K$71*'Вводные'!$H$5*INDEX('Вводные'!$S$88:$S$91,$B$64)*INDEX('Вводные'!$AG$88:$AG$91,$B$64)*(1+'Вводные'!$K$74)^MAX(0,MIN((12*(YEAR(CQ$3)-YEAR($B$67))+MONTH(CQ$3)-MONTH($B$67)),(12*(YEAR($B$66)-YEAR($B$67))+MONTH($B$66)-MONTH($B$67))))*(1+'Вводные'!$K$75)^MAX(0,(12*(YEAR(CQ$3)-YEAR($B$66))+MONTH(CQ$3)-MONTH($B$66))))</x:f>
      </x:c>
      <x:c r="CR79" s="148" t="n">
        <x:f>IF(CR78=0,0,'Вводные'!$K$71*'Вводные'!$H$5*INDEX('Вводные'!$S$88:$S$91,$B$64)*INDEX('Вводные'!$AG$88:$AG$91,$B$64)*(1+'Вводные'!$K$74)^MAX(0,MIN((12*(YEAR(CR$3)-YEAR($B$67))+MONTH(CR$3)-MONTH($B$67)),(12*(YEAR($B$66)-YEAR($B$67))+MONTH($B$66)-MONTH($B$67))))*(1+'Вводные'!$K$75)^MAX(0,(12*(YEAR(CR$3)-YEAR($B$66))+MONTH(CR$3)-MONTH($B$66))))</x:f>
      </x:c>
      <x:c r="CS79" s="148" t="n">
        <x:f>IF(CS78=0,0,'Вводные'!$K$71*'Вводные'!$H$5*INDEX('Вводные'!$S$88:$S$91,$B$64)*INDEX('Вводные'!$AG$88:$AG$91,$B$64)*(1+'Вводные'!$K$74)^MAX(0,MIN((12*(YEAR(CS$3)-YEAR($B$67))+MONTH(CS$3)-MONTH($B$67)),(12*(YEAR($B$66)-YEAR($B$67))+MONTH($B$66)-MONTH($B$67))))*(1+'Вводные'!$K$75)^MAX(0,(12*(YEAR(CS$3)-YEAR($B$66))+MONTH(CS$3)-MONTH($B$66))))</x:f>
      </x:c>
      <x:c r="CT79" s="148" t="n">
        <x:f>IF(CT78=0,0,'Вводные'!$K$71*'Вводные'!$H$5*INDEX('Вводные'!$S$88:$S$91,$B$64)*INDEX('Вводные'!$AG$88:$AG$91,$B$64)*(1+'Вводные'!$K$74)^MAX(0,MIN((12*(YEAR(CT$3)-YEAR($B$67))+MONTH(CT$3)-MONTH($B$67)),(12*(YEAR($B$66)-YEAR($B$67))+MONTH($B$66)-MONTH($B$67))))*(1+'Вводные'!$K$75)^MAX(0,(12*(YEAR(CT$3)-YEAR($B$66))+MONTH(CT$3)-MONTH($B$66))))</x:f>
      </x:c>
      <x:c r="CU79" s="148" t="n">
        <x:f>IF(CU78=0,0,'Вводные'!$K$71*'Вводные'!$H$5*INDEX('Вводные'!$S$88:$S$91,$B$64)*INDEX('Вводные'!$AG$88:$AG$91,$B$64)*(1+'Вводные'!$K$74)^MAX(0,MIN((12*(YEAR(CU$3)-YEAR($B$67))+MONTH(CU$3)-MONTH($B$67)),(12*(YEAR($B$66)-YEAR($B$67))+MONTH($B$66)-MONTH($B$67))))*(1+'Вводные'!$K$75)^MAX(0,(12*(YEAR(CU$3)-YEAR($B$66))+MONTH(CU$3)-MONTH($B$66))))</x:f>
      </x:c>
      <x:c r="CV79" s="148" t="n">
        <x:f>IF(CV78=0,0,'Вводные'!$K$71*'Вводные'!$H$5*INDEX('Вводные'!$S$88:$S$91,$B$64)*INDEX('Вводные'!$AG$88:$AG$91,$B$64)*(1+'Вводные'!$K$74)^MAX(0,MIN((12*(YEAR(CV$3)-YEAR($B$67))+MONTH(CV$3)-MONTH($B$67)),(12*(YEAR($B$66)-YEAR($B$67))+MONTH($B$66)-MONTH($B$67))))*(1+'Вводные'!$K$75)^MAX(0,(12*(YEAR(CV$3)-YEAR($B$66))+MONTH(CV$3)-MONTH($B$66))))</x:f>
      </x:c>
      <x:c r="CW79" s="148" t="n">
        <x:f>IF(CW78=0,0,'Вводные'!$K$71*'Вводные'!$H$5*INDEX('Вводные'!$S$88:$S$91,$B$64)*INDEX('Вводные'!$AG$88:$AG$91,$B$64)*(1+'Вводные'!$K$74)^MAX(0,MIN((12*(YEAR(CW$3)-YEAR($B$67))+MONTH(CW$3)-MONTH($B$67)),(12*(YEAR($B$66)-YEAR($B$67))+MONTH($B$66)-MONTH($B$67))))*(1+'Вводные'!$K$75)^MAX(0,(12*(YEAR(CW$3)-YEAR($B$66))+MONTH(CW$3)-MONTH($B$66))))</x:f>
      </x:c>
      <x:c r="CX79" s="148" t="n">
        <x:f>IF(CX78=0,0,'Вводные'!$K$71*'Вводные'!$H$5*INDEX('Вводные'!$S$88:$S$91,$B$64)*INDEX('Вводные'!$AG$88:$AG$91,$B$64)*(1+'Вводные'!$K$74)^MAX(0,MIN((12*(YEAR(CX$3)-YEAR($B$67))+MONTH(CX$3)-MONTH($B$67)),(12*(YEAR($B$66)-YEAR($B$67))+MONTH($B$66)-MONTH($B$67))))*(1+'Вводные'!$K$75)^MAX(0,(12*(YEAR(CX$3)-YEAR($B$66))+MONTH(CX$3)-MONTH($B$66))))</x:f>
      </x:c>
      <x:c r="CY79" s="148" t="n">
        <x:f>IF(CY78=0,0,'Вводные'!$K$71*'Вводные'!$H$5*INDEX('Вводные'!$S$88:$S$91,$B$64)*INDEX('Вводные'!$AG$88:$AG$91,$B$64)*(1+'Вводные'!$K$74)^MAX(0,MIN((12*(YEAR(CY$3)-YEAR($B$67))+MONTH(CY$3)-MONTH($B$67)),(12*(YEAR($B$66)-YEAR($B$67))+MONTH($B$66)-MONTH($B$67))))*(1+'Вводные'!$K$75)^MAX(0,(12*(YEAR(CY$3)-YEAR($B$66))+MONTH(CY$3)-MONTH($B$66))))</x:f>
      </x:c>
      <x:c r="CZ79" s="148" t="n">
        <x:f>IF(CZ78=0,0,'Вводные'!$K$71*'Вводные'!$H$5*INDEX('Вводные'!$S$88:$S$91,$B$64)*INDEX('Вводные'!$AG$88:$AG$91,$B$64)*(1+'Вводные'!$K$74)^MAX(0,MIN((12*(YEAR(CZ$3)-YEAR($B$67))+MONTH(CZ$3)-MONTH($B$67)),(12*(YEAR($B$66)-YEAR($B$67))+MONTH($B$66)-MONTH($B$67))))*(1+'Вводные'!$K$75)^MAX(0,(12*(YEAR(CZ$3)-YEAR($B$66))+MONTH(CZ$3)-MONTH($B$66))))</x:f>
      </x:c>
      <x:c r="DA79" s="148" t="n">
        <x:f>IF(DA78=0,0,'Вводные'!$K$71*'Вводные'!$H$5*INDEX('Вводные'!$S$88:$S$91,$B$64)*INDEX('Вводные'!$AG$88:$AG$91,$B$64)*(1+'Вводные'!$K$74)^MAX(0,MIN((12*(YEAR(DA$3)-YEAR($B$67))+MONTH(DA$3)-MONTH($B$67)),(12*(YEAR($B$66)-YEAR($B$67))+MONTH($B$66)-MONTH($B$67))))*(1+'Вводные'!$K$75)^MAX(0,(12*(YEAR(DA$3)-YEAR($B$66))+MONTH(DA$3)-MONTH($B$66))))</x:f>
      </x:c>
      <x:c r="DB79" s="148" t="n">
        <x:f>IF(DB78=0,0,'Вводные'!$K$71*'Вводные'!$H$5*INDEX('Вводные'!$S$88:$S$91,$B$64)*INDEX('Вводные'!$AG$88:$AG$91,$B$64)*(1+'Вводные'!$K$74)^MAX(0,MIN((12*(YEAR(DB$3)-YEAR($B$67))+MONTH(DB$3)-MONTH($B$67)),(12*(YEAR($B$66)-YEAR($B$67))+MONTH($B$66)-MONTH($B$67))))*(1+'Вводные'!$K$75)^MAX(0,(12*(YEAR(DB$3)-YEAR($B$66))+MONTH(DB$3)-MONTH($B$66))))</x:f>
      </x:c>
      <x:c r="DC79" s="148" t="n">
        <x:f>IF(DC78=0,0,'Вводные'!$K$71*'Вводные'!$H$5*INDEX('Вводные'!$S$88:$S$91,$B$64)*INDEX('Вводные'!$AG$88:$AG$91,$B$64)*(1+'Вводные'!$K$74)^MAX(0,MIN((12*(YEAR(DC$3)-YEAR($B$67))+MONTH(DC$3)-MONTH($B$67)),(12*(YEAR($B$66)-YEAR($B$67))+MONTH($B$66)-MONTH($B$67))))*(1+'Вводные'!$K$75)^MAX(0,(12*(YEAR(DC$3)-YEAR($B$66))+MONTH(DC$3)-MONTH($B$66))))</x:f>
      </x:c>
      <x:c r="DD79" s="148" t="n">
        <x:f>IF(DD78=0,0,'Вводные'!$K$71*'Вводные'!$H$5*INDEX('Вводные'!$S$88:$S$91,$B$64)*INDEX('Вводные'!$AG$88:$AG$91,$B$64)*(1+'Вводные'!$K$74)^MAX(0,MIN((12*(YEAR(DD$3)-YEAR($B$67))+MONTH(DD$3)-MONTH($B$67)),(12*(YEAR($B$66)-YEAR($B$67))+MONTH($B$66)-MONTH($B$67))))*(1+'Вводные'!$K$75)^MAX(0,(12*(YEAR(DD$3)-YEAR($B$66))+MONTH(DD$3)-MONTH($B$66))))</x:f>
      </x:c>
      <x:c r="DE79" s="148" t="n">
        <x:f>IF(DE78=0,0,'Вводные'!$K$71*'Вводные'!$H$5*INDEX('Вводные'!$S$88:$S$91,$B$64)*INDEX('Вводные'!$AG$88:$AG$91,$B$64)*(1+'Вводные'!$K$74)^MAX(0,MIN((12*(YEAR(DE$3)-YEAR($B$67))+MONTH(DE$3)-MONTH($B$67)),(12*(YEAR($B$66)-YEAR($B$67))+MONTH($B$66)-MONTH($B$67))))*(1+'Вводные'!$K$75)^MAX(0,(12*(YEAR(DE$3)-YEAR($B$66))+MONTH(DE$3)-MONTH($B$66))))</x:f>
      </x:c>
      <x:c r="DF79" s="148" t="n">
        <x:f>IF(DF78=0,0,'Вводные'!$K$71*'Вводные'!$H$5*INDEX('Вводные'!$S$88:$S$91,$B$64)*INDEX('Вводные'!$AG$88:$AG$91,$B$64)*(1+'Вводные'!$K$74)^MAX(0,MIN((12*(YEAR(DF$3)-YEAR($B$67))+MONTH(DF$3)-MONTH($B$67)),(12*(YEAR($B$66)-YEAR($B$67))+MONTH($B$66)-MONTH($B$67))))*(1+'Вводные'!$K$75)^MAX(0,(12*(YEAR(DF$3)-YEAR($B$66))+MONTH(DF$3)-MONTH($B$66))))</x:f>
      </x:c>
      <x:c r="DG79" s="148" t="n">
        <x:f>IF(DG78=0,0,'Вводные'!$K$71*'Вводные'!$H$5*INDEX('Вводные'!$S$88:$S$91,$B$64)*INDEX('Вводные'!$AG$88:$AG$91,$B$64)*(1+'Вводные'!$K$74)^MAX(0,MIN((12*(YEAR(DG$3)-YEAR($B$67))+MONTH(DG$3)-MONTH($B$67)),(12*(YEAR($B$66)-YEAR($B$67))+MONTH($B$66)-MONTH($B$67))))*(1+'Вводные'!$K$75)^MAX(0,(12*(YEAR(DG$3)-YEAR($B$66))+MONTH(DG$3)-MONTH($B$66))))</x:f>
      </x:c>
      <x:c r="DH79" s="148" t="n">
        <x:f>IF(DH78=0,0,'Вводные'!$K$71*'Вводные'!$H$5*INDEX('Вводные'!$S$88:$S$91,$B$64)*INDEX('Вводные'!$AG$88:$AG$91,$B$64)*(1+'Вводные'!$K$74)^MAX(0,MIN((12*(YEAR(DH$3)-YEAR($B$67))+MONTH(DH$3)-MONTH($B$67)),(12*(YEAR($B$66)-YEAR($B$67))+MONTH($B$66)-MONTH($B$67))))*(1+'Вводные'!$K$75)^MAX(0,(12*(YEAR(DH$3)-YEAR($B$66))+MONTH(DH$3)-MONTH($B$66))))</x:f>
      </x:c>
      <x:c r="DI79" s="148" t="n">
        <x:f>IF(DI78=0,0,'Вводные'!$K$71*'Вводные'!$H$5*INDEX('Вводные'!$S$88:$S$91,$B$64)*INDEX('Вводные'!$AG$88:$AG$91,$B$64)*(1+'Вводные'!$K$74)^MAX(0,MIN((12*(YEAR(DI$3)-YEAR($B$67))+MONTH(DI$3)-MONTH($B$67)),(12*(YEAR($B$66)-YEAR($B$67))+MONTH($B$66)-MONTH($B$67))))*(1+'Вводные'!$K$75)^MAX(0,(12*(YEAR(DI$3)-YEAR($B$66))+MONTH(DI$3)-MONTH($B$66))))</x:f>
      </x:c>
      <x:c r="DJ79" s="148" t="n">
        <x:f>IF(DJ78=0,0,'Вводные'!$K$71*'Вводные'!$H$5*INDEX('Вводные'!$S$88:$S$91,$B$64)*INDEX('Вводные'!$AG$88:$AG$91,$B$64)*(1+'Вводные'!$K$74)^MAX(0,MIN((12*(YEAR(DJ$3)-YEAR($B$67))+MONTH(DJ$3)-MONTH($B$67)),(12*(YEAR($B$66)-YEAR($B$67))+MONTH($B$66)-MONTH($B$67))))*(1+'Вводные'!$K$75)^MAX(0,(12*(YEAR(DJ$3)-YEAR($B$66))+MONTH(DJ$3)-MONTH($B$66))))</x:f>
      </x:c>
      <x:c r="DK79" s="148" t="n">
        <x:f>IF(DK78=0,0,'Вводные'!$K$71*'Вводные'!$H$5*INDEX('Вводные'!$S$88:$S$91,$B$64)*INDEX('Вводные'!$AG$88:$AG$91,$B$64)*(1+'Вводные'!$K$74)^MAX(0,MIN((12*(YEAR(DK$3)-YEAR($B$67))+MONTH(DK$3)-MONTH($B$67)),(12*(YEAR($B$66)-YEAR($B$67))+MONTH($B$66)-MONTH($B$67))))*(1+'Вводные'!$K$75)^MAX(0,(12*(YEAR(DK$3)-YEAR($B$66))+MONTH(DK$3)-MONTH($B$66))))</x:f>
      </x:c>
      <x:c r="DL79" s="148" t="n">
        <x:f>IF(DL78=0,0,'Вводные'!$K$71*'Вводные'!$H$5*INDEX('Вводные'!$S$88:$S$91,$B$64)*INDEX('Вводные'!$AG$88:$AG$91,$B$64)*(1+'Вводные'!$K$74)^MAX(0,MIN((12*(YEAR(DL$3)-YEAR($B$67))+MONTH(DL$3)-MONTH($B$67)),(12*(YEAR($B$66)-YEAR($B$67))+MONTH($B$66)-MONTH($B$67))))*(1+'Вводные'!$K$75)^MAX(0,(12*(YEAR(DL$3)-YEAR($B$66))+MONTH(DL$3)-MONTH($B$66))))</x:f>
      </x:c>
      <x:c r="DM79" s="148" t="n">
        <x:f>IF(DM78=0,0,'Вводные'!$K$71*'Вводные'!$H$5*INDEX('Вводные'!$S$88:$S$91,$B$64)*INDEX('Вводные'!$AG$88:$AG$91,$B$64)*(1+'Вводные'!$K$74)^MAX(0,MIN((12*(YEAR(DM$3)-YEAR($B$67))+MONTH(DM$3)-MONTH($B$67)),(12*(YEAR($B$66)-YEAR($B$67))+MONTH($B$66)-MONTH($B$67))))*(1+'Вводные'!$K$75)^MAX(0,(12*(YEAR(DM$3)-YEAR($B$66))+MONTH(DM$3)-MONTH($B$66))))</x:f>
      </x:c>
      <x:c r="DN79" s="148" t="n">
        <x:f>IF(DN78=0,0,'Вводные'!$K$71*'Вводные'!$H$5*INDEX('Вводные'!$S$88:$S$91,$B$64)*INDEX('Вводные'!$AG$88:$AG$91,$B$64)*(1+'Вводные'!$K$74)^MAX(0,MIN((12*(YEAR(DN$3)-YEAR($B$67))+MONTH(DN$3)-MONTH($B$67)),(12*(YEAR($B$66)-YEAR($B$67))+MONTH($B$66)-MONTH($B$67))))*(1+'Вводные'!$K$75)^MAX(0,(12*(YEAR(DN$3)-YEAR($B$66))+MONTH(DN$3)-MONTH($B$66))))</x:f>
      </x:c>
      <x:c r="DO79" s="148" t="n">
        <x:f>IF(DO78=0,0,'Вводные'!$K$71*'Вводные'!$H$5*INDEX('Вводные'!$S$88:$S$91,$B$64)*INDEX('Вводные'!$AG$88:$AG$91,$B$64)*(1+'Вводные'!$K$74)^MAX(0,MIN((12*(YEAR(DO$3)-YEAR($B$67))+MONTH(DO$3)-MONTH($B$67)),(12*(YEAR($B$66)-YEAR($B$67))+MONTH($B$66)-MONTH($B$67))))*(1+'Вводные'!$K$75)^MAX(0,(12*(YEAR(DO$3)-YEAR($B$66))+MONTH(DO$3)-MONTH($B$66))))</x:f>
      </x:c>
      <x:c r="DP79" s="148" t="n">
        <x:f>IF(DP78=0,0,'Вводные'!$K$71*'Вводные'!$H$5*INDEX('Вводные'!$S$88:$S$91,$B$64)*INDEX('Вводные'!$AG$88:$AG$91,$B$64)*(1+'Вводные'!$K$74)^MAX(0,MIN((12*(YEAR(DP$3)-YEAR($B$67))+MONTH(DP$3)-MONTH($B$67)),(12*(YEAR($B$66)-YEAR($B$67))+MONTH($B$66)-MONTH($B$67))))*(1+'Вводные'!$K$75)^MAX(0,(12*(YEAR(DP$3)-YEAR($B$66))+MONTH(DP$3)-MONTH($B$66))))</x:f>
      </x:c>
      <x:c r="DQ79" s="148" t="n">
        <x:f>IF(DQ78=0,0,'Вводные'!$K$71*'Вводные'!$H$5*INDEX('Вводные'!$S$88:$S$91,$B$64)*INDEX('Вводные'!$AG$88:$AG$91,$B$64)*(1+'Вводные'!$K$74)^MAX(0,MIN((12*(YEAR(DQ$3)-YEAR($B$67))+MONTH(DQ$3)-MONTH($B$67)),(12*(YEAR($B$66)-YEAR($B$67))+MONTH($B$66)-MONTH($B$67))))*(1+'Вводные'!$K$75)^MAX(0,(12*(YEAR(DQ$3)-YEAR($B$66))+MONTH(DQ$3)-MONTH($B$66))))</x:f>
      </x:c>
      <x:c r="DR79" s="148" t="n">
        <x:f>IF(DR78=0,0,'Вводные'!$K$71*'Вводные'!$H$5*INDEX('Вводные'!$S$88:$S$91,$B$64)*INDEX('Вводные'!$AG$88:$AG$91,$B$64)*(1+'Вводные'!$K$74)^MAX(0,MIN((12*(YEAR(DR$3)-YEAR($B$67))+MONTH(DR$3)-MONTH($B$67)),(12*(YEAR($B$66)-YEAR($B$67))+MONTH($B$66)-MONTH($B$67))))*(1+'Вводные'!$K$75)^MAX(0,(12*(YEAR(DR$3)-YEAR($B$66))+MONTH(DR$3)-MONTH($B$66))))</x:f>
      </x:c>
      <x:c r="DS79" s="148" t="n">
        <x:f>IF(DS78=0,0,'Вводные'!$K$71*'Вводные'!$H$5*INDEX('Вводные'!$S$88:$S$91,$B$64)*INDEX('Вводные'!$AG$88:$AG$91,$B$64)*(1+'Вводные'!$K$74)^MAX(0,MIN((12*(YEAR(DS$3)-YEAR($B$67))+MONTH(DS$3)-MONTH($B$67)),(12*(YEAR($B$66)-YEAR($B$67))+MONTH($B$66)-MONTH($B$67))))*(1+'Вводные'!$K$75)^MAX(0,(12*(YEAR(DS$3)-YEAR($B$66))+MONTH(DS$3)-MONTH($B$66))))</x:f>
      </x:c>
    </x:row>
    <x:row r="80">
      <x:c r="A80" t="str">
        <x:v>Продажи по договорам</x:v>
      </x:c>
      <x:c r="B80" s="107" t="n">
        <x:f>SUM(D80:DS80)</x:f>
      </x:c>
      <x:c r="C80" t="str">
        <x:v>млн ₽</x:v>
      </x:c>
      <x:c r="D80" s="107" t="n">
        <x:f>D78*D79</x:f>
      </x:c>
      <x:c r="E80" s="107" t="n">
        <x:f>E78*E79</x:f>
      </x:c>
      <x:c r="F80" s="107" t="n">
        <x:f>F78*F79</x:f>
      </x:c>
      <x:c r="G80" s="107" t="n">
        <x:f>G78*G79</x:f>
      </x:c>
      <x:c r="H80" s="107" t="n">
        <x:f>H78*H79</x:f>
      </x:c>
      <x:c r="I80" s="107" t="n">
        <x:f>I78*I79</x:f>
      </x:c>
      <x:c r="J80" s="107" t="n">
        <x:f>J78*J79</x:f>
      </x:c>
      <x:c r="K80" s="107" t="n">
        <x:f>K78*K79</x:f>
      </x:c>
      <x:c r="L80" s="107" t="n">
        <x:f>L78*L79</x:f>
      </x:c>
      <x:c r="M80" s="107" t="n">
        <x:f>M78*M79</x:f>
      </x:c>
      <x:c r="N80" s="107" t="n">
        <x:f>N78*N79</x:f>
      </x:c>
      <x:c r="O80" s="107" t="n">
        <x:f>O78*O79</x:f>
      </x:c>
      <x:c r="P80" s="107" t="n">
        <x:f>P78*P79</x:f>
      </x:c>
      <x:c r="Q80" s="107" t="n">
        <x:f>Q78*Q79</x:f>
      </x:c>
      <x:c r="R80" s="107" t="n">
        <x:f>R78*R79</x:f>
      </x:c>
      <x:c r="S80" s="107" t="n">
        <x:f>S78*S79</x:f>
      </x:c>
      <x:c r="T80" s="107" t="n">
        <x:f>T78*T79</x:f>
      </x:c>
      <x:c r="U80" s="107" t="n">
        <x:f>U78*U79</x:f>
      </x:c>
      <x:c r="V80" s="107" t="n">
        <x:f>V78*V79</x:f>
      </x:c>
      <x:c r="W80" s="107" t="n">
        <x:f>W78*W79</x:f>
      </x:c>
      <x:c r="X80" s="107" t="n">
        <x:f>X78*X79</x:f>
      </x:c>
      <x:c r="Y80" s="107" t="n">
        <x:f>Y78*Y79</x:f>
      </x:c>
      <x:c r="Z80" s="107" t="n">
        <x:f>Z78*Z79</x:f>
      </x:c>
      <x:c r="AA80" s="107" t="n">
        <x:f>AA78*AA79</x:f>
      </x:c>
      <x:c r="AB80" s="107" t="n">
        <x:f>AB78*AB79</x:f>
      </x:c>
      <x:c r="AC80" s="107" t="n">
        <x:f>AC78*AC79</x:f>
      </x:c>
      <x:c r="AD80" s="107" t="n">
        <x:f>AD78*AD79</x:f>
      </x:c>
      <x:c r="AE80" s="107" t="n">
        <x:f>AE78*AE79</x:f>
      </x:c>
      <x:c r="AF80" s="107" t="n">
        <x:f>AF78*AF79</x:f>
      </x:c>
      <x:c r="AG80" s="107" t="n">
        <x:f>AG78*AG79</x:f>
      </x:c>
      <x:c r="AH80" s="107" t="n">
        <x:f>AH78*AH79</x:f>
      </x:c>
      <x:c r="AI80" s="107" t="n">
        <x:f>AI78*AI79</x:f>
      </x:c>
      <x:c r="AJ80" s="107" t="n">
        <x:f>AJ78*AJ79</x:f>
      </x:c>
      <x:c r="AK80" s="107" t="n">
        <x:f>AK78*AK79</x:f>
      </x:c>
      <x:c r="AL80" s="107" t="n">
        <x:f>AL78*AL79</x:f>
      </x:c>
      <x:c r="AM80" s="107" t="n">
        <x:f>AM78*AM79</x:f>
      </x:c>
      <x:c r="AN80" s="107" t="n">
        <x:f>AN78*AN79</x:f>
      </x:c>
      <x:c r="AO80" s="107" t="n">
        <x:f>AO78*AO79</x:f>
      </x:c>
      <x:c r="AP80" s="107" t="n">
        <x:f>AP78*AP79</x:f>
      </x:c>
      <x:c r="AQ80" s="107" t="n">
        <x:f>AQ78*AQ79</x:f>
      </x:c>
      <x:c r="AR80" s="107" t="n">
        <x:f>AR78*AR79</x:f>
      </x:c>
      <x:c r="AS80" s="107" t="n">
        <x:f>AS78*AS79</x:f>
      </x:c>
      <x:c r="AT80" s="107" t="n">
        <x:f>AT78*AT79</x:f>
      </x:c>
      <x:c r="AU80" s="107" t="n">
        <x:f>AU78*AU79</x:f>
      </x:c>
      <x:c r="AV80" s="107" t="n">
        <x:f>AV78*AV79</x:f>
      </x:c>
      <x:c r="AW80" s="107" t="n">
        <x:f>AW78*AW79</x:f>
      </x:c>
      <x:c r="AX80" s="107" t="n">
        <x:f>AX78*AX79</x:f>
      </x:c>
      <x:c r="AY80" s="107" t="n">
        <x:f>AY78*AY79</x:f>
      </x:c>
      <x:c r="AZ80" s="107" t="n">
        <x:f>AZ78*AZ79</x:f>
      </x:c>
      <x:c r="BA80" s="107" t="n">
        <x:f>BA78*BA79</x:f>
      </x:c>
      <x:c r="BB80" s="107" t="n">
        <x:f>BB78*BB79</x:f>
      </x:c>
      <x:c r="BC80" s="107" t="n">
        <x:f>BC78*BC79</x:f>
      </x:c>
      <x:c r="BD80" s="107" t="n">
        <x:f>BD78*BD79</x:f>
      </x:c>
      <x:c r="BE80" s="107" t="n">
        <x:f>BE78*BE79</x:f>
      </x:c>
      <x:c r="BF80" s="107" t="n">
        <x:f>BF78*BF79</x:f>
      </x:c>
      <x:c r="BG80" s="107" t="n">
        <x:f>BG78*BG79</x:f>
      </x:c>
      <x:c r="BH80" s="107" t="n">
        <x:f>BH78*BH79</x:f>
      </x:c>
      <x:c r="BI80" s="107" t="n">
        <x:f>BI78*BI79</x:f>
      </x:c>
      <x:c r="BJ80" s="107" t="n">
        <x:f>BJ78*BJ79</x:f>
      </x:c>
      <x:c r="BK80" s="107" t="n">
        <x:f>BK78*BK79</x:f>
      </x:c>
      <x:c r="BL80" s="107" t="n">
        <x:f>BL78*BL79</x:f>
      </x:c>
      <x:c r="BM80" s="107" t="n">
        <x:f>BM78*BM79</x:f>
      </x:c>
      <x:c r="BN80" s="107" t="n">
        <x:f>BN78*BN79</x:f>
      </x:c>
      <x:c r="BO80" s="107" t="n">
        <x:f>BO78*BO79</x:f>
      </x:c>
      <x:c r="BP80" s="107" t="n">
        <x:f>BP78*BP79</x:f>
      </x:c>
      <x:c r="BQ80" s="107" t="n">
        <x:f>BQ78*BQ79</x:f>
      </x:c>
      <x:c r="BR80" s="107" t="n">
        <x:f>BR78*BR79</x:f>
      </x:c>
      <x:c r="BS80" s="107" t="n">
        <x:f>BS78*BS79</x:f>
      </x:c>
      <x:c r="BT80" s="107" t="n">
        <x:f>BT78*BT79</x:f>
      </x:c>
      <x:c r="BU80" s="107" t="n">
        <x:f>BU78*BU79</x:f>
      </x:c>
      <x:c r="BV80" s="107" t="n">
        <x:f>BV78*BV79</x:f>
      </x:c>
      <x:c r="BW80" s="107" t="n">
        <x:f>BW78*BW79</x:f>
      </x:c>
      <x:c r="BX80" s="107" t="n">
        <x:f>BX78*BX79</x:f>
      </x:c>
      <x:c r="BY80" s="107" t="n">
        <x:f>BY78*BY79</x:f>
      </x:c>
      <x:c r="BZ80" s="107" t="n">
        <x:f>BZ78*BZ79</x:f>
      </x:c>
      <x:c r="CA80" s="107" t="n">
        <x:f>CA78*CA79</x:f>
      </x:c>
      <x:c r="CB80" s="107" t="n">
        <x:f>CB78*CB79</x:f>
      </x:c>
      <x:c r="CC80" s="107" t="n">
        <x:f>CC78*CC79</x:f>
      </x:c>
      <x:c r="CD80" s="107" t="n">
        <x:f>CD78*CD79</x:f>
      </x:c>
      <x:c r="CE80" s="107" t="n">
        <x:f>CE78*CE79</x:f>
      </x:c>
      <x:c r="CF80" s="107" t="n">
        <x:f>CF78*CF79</x:f>
      </x:c>
      <x:c r="CG80" s="107" t="n">
        <x:f>CG78*CG79</x:f>
      </x:c>
      <x:c r="CH80" s="107" t="n">
        <x:f>CH78*CH79</x:f>
      </x:c>
      <x:c r="CI80" s="107" t="n">
        <x:f>CI78*CI79</x:f>
      </x:c>
      <x:c r="CJ80" s="107" t="n">
        <x:f>CJ78*CJ79</x:f>
      </x:c>
      <x:c r="CK80" s="107" t="n">
        <x:f>CK78*CK79</x:f>
      </x:c>
      <x:c r="CL80" s="107" t="n">
        <x:f>CL78*CL79</x:f>
      </x:c>
      <x:c r="CM80" s="107" t="n">
        <x:f>CM78*CM79</x:f>
      </x:c>
      <x:c r="CN80" s="107" t="n">
        <x:f>CN78*CN79</x:f>
      </x:c>
      <x:c r="CO80" s="107" t="n">
        <x:f>CO78*CO79</x:f>
      </x:c>
      <x:c r="CP80" s="107" t="n">
        <x:f>CP78*CP79</x:f>
      </x:c>
      <x:c r="CQ80" s="107" t="n">
        <x:f>CQ78*CQ79</x:f>
      </x:c>
      <x:c r="CR80" s="107" t="n">
        <x:f>CR78*CR79</x:f>
      </x:c>
      <x:c r="CS80" s="107" t="n">
        <x:f>CS78*CS79</x:f>
      </x:c>
      <x:c r="CT80" s="107" t="n">
        <x:f>CT78*CT79</x:f>
      </x:c>
      <x:c r="CU80" s="107" t="n">
        <x:f>CU78*CU79</x:f>
      </x:c>
      <x:c r="CV80" s="107" t="n">
        <x:f>CV78*CV79</x:f>
      </x:c>
      <x:c r="CW80" s="107" t="n">
        <x:f>CW78*CW79</x:f>
      </x:c>
      <x:c r="CX80" s="107" t="n">
        <x:f>CX78*CX79</x:f>
      </x:c>
      <x:c r="CY80" s="107" t="n">
        <x:f>CY78*CY79</x:f>
      </x:c>
      <x:c r="CZ80" s="107" t="n">
        <x:f>CZ78*CZ79</x:f>
      </x:c>
      <x:c r="DA80" s="107" t="n">
        <x:f>DA78*DA79</x:f>
      </x:c>
      <x:c r="DB80" s="107" t="n">
        <x:f>DB78*DB79</x:f>
      </x:c>
      <x:c r="DC80" s="107" t="n">
        <x:f>DC78*DC79</x:f>
      </x:c>
      <x:c r="DD80" s="107" t="n">
        <x:f>DD78*DD79</x:f>
      </x:c>
      <x:c r="DE80" s="107" t="n">
        <x:f>DE78*DE79</x:f>
      </x:c>
      <x:c r="DF80" s="107" t="n">
        <x:f>DF78*DF79</x:f>
      </x:c>
      <x:c r="DG80" s="107" t="n">
        <x:f>DG78*DG79</x:f>
      </x:c>
      <x:c r="DH80" s="107" t="n">
        <x:f>DH78*DH79</x:f>
      </x:c>
      <x:c r="DI80" s="107" t="n">
        <x:f>DI78*DI79</x:f>
      </x:c>
      <x:c r="DJ80" s="107" t="n">
        <x:f>DJ78*DJ79</x:f>
      </x:c>
      <x:c r="DK80" s="107" t="n">
        <x:f>DK78*DK79</x:f>
      </x:c>
      <x:c r="DL80" s="107" t="n">
        <x:f>DL78*DL79</x:f>
      </x:c>
      <x:c r="DM80" s="107" t="n">
        <x:f>DM78*DM79</x:f>
      </x:c>
      <x:c r="DN80" s="107" t="n">
        <x:f>DN78*DN79</x:f>
      </x:c>
      <x:c r="DO80" s="107" t="n">
        <x:f>DO78*DO79</x:f>
      </x:c>
      <x:c r="DP80" s="107" t="n">
        <x:f>DP78*DP79</x:f>
      </x:c>
      <x:c r="DQ80" s="107" t="n">
        <x:f>DQ78*DQ79</x:f>
      </x:c>
      <x:c r="DR80" s="107" t="n">
        <x:f>DR78*DR79</x:f>
      </x:c>
      <x:c r="DS80" s="107" t="n">
        <x:f>DS78*DS79</x:f>
      </x:c>
    </x:row>
    <x:row r="81">
      <x:c r="A81" t="str">
        <x:v>Поступления на эскроу</x:v>
      </x:c>
      <x:c r="B81" s="107" t="n">
        <x:f>SUM(D81:DS81)</x:f>
      </x:c>
      <x:c r="C81" t="str">
        <x:v>млн ₽</x:v>
      </x:c>
      <x:c r="D81" s="107" t="n">
        <x:f>IF(D$3&lt;$B$66,D80,0)</x:f>
      </x:c>
      <x:c r="E81" s="107" t="n">
        <x:f>IF(E$3&lt;$B$66,E80,0)</x:f>
      </x:c>
      <x:c r="F81" s="107" t="n">
        <x:f>IF(F$3&lt;$B$66,F80,0)</x:f>
      </x:c>
      <x:c r="G81" s="107" t="n">
        <x:f>IF(G$3&lt;$B$66,G80,0)</x:f>
      </x:c>
      <x:c r="H81" s="107" t="n">
        <x:f>IF(H$3&lt;$B$66,H80,0)</x:f>
      </x:c>
      <x:c r="I81" s="107" t="n">
        <x:f>IF(I$3&lt;$B$66,I80,0)</x:f>
      </x:c>
      <x:c r="J81" s="107" t="n">
        <x:f>IF(J$3&lt;$B$66,J80,0)</x:f>
      </x:c>
      <x:c r="K81" s="107" t="n">
        <x:f>IF(K$3&lt;$B$66,K80,0)</x:f>
      </x:c>
      <x:c r="L81" s="107" t="n">
        <x:f>IF(L$3&lt;$B$66,L80,0)</x:f>
      </x:c>
      <x:c r="M81" s="107" t="n">
        <x:f>IF(M$3&lt;$B$66,M80,0)</x:f>
      </x:c>
      <x:c r="N81" s="107" t="n">
        <x:f>IF(N$3&lt;$B$66,N80,0)</x:f>
      </x:c>
      <x:c r="O81" s="107" t="n">
        <x:f>IF(O$3&lt;$B$66,O80,0)</x:f>
      </x:c>
      <x:c r="P81" s="107" t="n">
        <x:f>IF(P$3&lt;$B$66,P80,0)</x:f>
      </x:c>
      <x:c r="Q81" s="107" t="n">
        <x:f>IF(Q$3&lt;$B$66,Q80,0)</x:f>
      </x:c>
      <x:c r="R81" s="107" t="n">
        <x:f>IF(R$3&lt;$B$66,R80,0)</x:f>
      </x:c>
      <x:c r="S81" s="107" t="n">
        <x:f>IF(S$3&lt;$B$66,S80,0)</x:f>
      </x:c>
      <x:c r="T81" s="107" t="n">
        <x:f>IF(T$3&lt;$B$66,T80,0)</x:f>
      </x:c>
      <x:c r="U81" s="107" t="n">
        <x:f>IF(U$3&lt;$B$66,U80,0)</x:f>
      </x:c>
      <x:c r="V81" s="107" t="n">
        <x:f>IF(V$3&lt;$B$66,V80,0)</x:f>
      </x:c>
      <x:c r="W81" s="107" t="n">
        <x:f>IF(W$3&lt;$B$66,W80,0)</x:f>
      </x:c>
      <x:c r="X81" s="107" t="n">
        <x:f>IF(X$3&lt;$B$66,X80,0)</x:f>
      </x:c>
      <x:c r="Y81" s="107" t="n">
        <x:f>IF(Y$3&lt;$B$66,Y80,0)</x:f>
      </x:c>
      <x:c r="Z81" s="107" t="n">
        <x:f>IF(Z$3&lt;$B$66,Z80,0)</x:f>
      </x:c>
      <x:c r="AA81" s="107" t="n">
        <x:f>IF(AA$3&lt;$B$66,AA80,0)</x:f>
      </x:c>
      <x:c r="AB81" s="107" t="n">
        <x:f>IF(AB$3&lt;$B$66,AB80,0)</x:f>
      </x:c>
      <x:c r="AC81" s="107" t="n">
        <x:f>IF(AC$3&lt;$B$66,AC80,0)</x:f>
      </x:c>
      <x:c r="AD81" s="107" t="n">
        <x:f>IF(AD$3&lt;$B$66,AD80,0)</x:f>
      </x:c>
      <x:c r="AE81" s="107" t="n">
        <x:f>IF(AE$3&lt;$B$66,AE80,0)</x:f>
      </x:c>
      <x:c r="AF81" s="107" t="n">
        <x:f>IF(AF$3&lt;$B$66,AF80,0)</x:f>
      </x:c>
      <x:c r="AG81" s="107" t="n">
        <x:f>IF(AG$3&lt;$B$66,AG80,0)</x:f>
      </x:c>
      <x:c r="AH81" s="107" t="n">
        <x:f>IF(AH$3&lt;$B$66,AH80,0)</x:f>
      </x:c>
      <x:c r="AI81" s="107" t="n">
        <x:f>IF(AI$3&lt;$B$66,AI80,0)</x:f>
      </x:c>
      <x:c r="AJ81" s="107" t="n">
        <x:f>IF(AJ$3&lt;$B$66,AJ80,0)</x:f>
      </x:c>
      <x:c r="AK81" s="107" t="n">
        <x:f>IF(AK$3&lt;$B$66,AK80,0)</x:f>
      </x:c>
      <x:c r="AL81" s="107" t="n">
        <x:f>IF(AL$3&lt;$B$66,AL80,0)</x:f>
      </x:c>
      <x:c r="AM81" s="107" t="n">
        <x:f>IF(AM$3&lt;$B$66,AM80,0)</x:f>
      </x:c>
      <x:c r="AN81" s="107" t="n">
        <x:f>IF(AN$3&lt;$B$66,AN80,0)</x:f>
      </x:c>
      <x:c r="AO81" s="107" t="n">
        <x:f>IF(AO$3&lt;$B$66,AO80,0)</x:f>
      </x:c>
      <x:c r="AP81" s="107" t="n">
        <x:f>IF(AP$3&lt;$B$66,AP80,0)</x:f>
      </x:c>
      <x:c r="AQ81" s="107" t="n">
        <x:f>IF(AQ$3&lt;$B$66,AQ80,0)</x:f>
      </x:c>
      <x:c r="AR81" s="107" t="n">
        <x:f>IF(AR$3&lt;$B$66,AR80,0)</x:f>
      </x:c>
      <x:c r="AS81" s="107" t="n">
        <x:f>IF(AS$3&lt;$B$66,AS80,0)</x:f>
      </x:c>
      <x:c r="AT81" s="107" t="n">
        <x:f>IF(AT$3&lt;$B$66,AT80,0)</x:f>
      </x:c>
      <x:c r="AU81" s="107" t="n">
        <x:f>IF(AU$3&lt;$B$66,AU80,0)</x:f>
      </x:c>
      <x:c r="AV81" s="107" t="n">
        <x:f>IF(AV$3&lt;$B$66,AV80,0)</x:f>
      </x:c>
      <x:c r="AW81" s="107" t="n">
        <x:f>IF(AW$3&lt;$B$66,AW80,0)</x:f>
      </x:c>
      <x:c r="AX81" s="107" t="n">
        <x:f>IF(AX$3&lt;$B$66,AX80,0)</x:f>
      </x:c>
      <x:c r="AY81" s="107" t="n">
        <x:f>IF(AY$3&lt;$B$66,AY80,0)</x:f>
      </x:c>
      <x:c r="AZ81" s="107" t="n">
        <x:f>IF(AZ$3&lt;$B$66,AZ80,0)</x:f>
      </x:c>
      <x:c r="BA81" s="107" t="n">
        <x:f>IF(BA$3&lt;$B$66,BA80,0)</x:f>
      </x:c>
      <x:c r="BB81" s="107" t="n">
        <x:f>IF(BB$3&lt;$B$66,BB80,0)</x:f>
      </x:c>
      <x:c r="BC81" s="107" t="n">
        <x:f>IF(BC$3&lt;$B$66,BC80,0)</x:f>
      </x:c>
      <x:c r="BD81" s="107" t="n">
        <x:f>IF(BD$3&lt;$B$66,BD80,0)</x:f>
      </x:c>
      <x:c r="BE81" s="107" t="n">
        <x:f>IF(BE$3&lt;$B$66,BE80,0)</x:f>
      </x:c>
      <x:c r="BF81" s="107" t="n">
        <x:f>IF(BF$3&lt;$B$66,BF80,0)</x:f>
      </x:c>
      <x:c r="BG81" s="107" t="n">
        <x:f>IF(BG$3&lt;$B$66,BG80,0)</x:f>
      </x:c>
      <x:c r="BH81" s="107" t="n">
        <x:f>IF(BH$3&lt;$B$66,BH80,0)</x:f>
      </x:c>
      <x:c r="BI81" s="107" t="n">
        <x:f>IF(BI$3&lt;$B$66,BI80,0)</x:f>
      </x:c>
      <x:c r="BJ81" s="107" t="n">
        <x:f>IF(BJ$3&lt;$B$66,BJ80,0)</x:f>
      </x:c>
      <x:c r="BK81" s="107" t="n">
        <x:f>IF(BK$3&lt;$B$66,BK80,0)</x:f>
      </x:c>
      <x:c r="BL81" s="107" t="n">
        <x:f>IF(BL$3&lt;$B$66,BL80,0)</x:f>
      </x:c>
      <x:c r="BM81" s="107" t="n">
        <x:f>IF(BM$3&lt;$B$66,BM80,0)</x:f>
      </x:c>
      <x:c r="BN81" s="107" t="n">
        <x:f>IF(BN$3&lt;$B$66,BN80,0)</x:f>
      </x:c>
      <x:c r="BO81" s="107" t="n">
        <x:f>IF(BO$3&lt;$B$66,BO80,0)</x:f>
      </x:c>
      <x:c r="BP81" s="107" t="n">
        <x:f>IF(BP$3&lt;$B$66,BP80,0)</x:f>
      </x:c>
      <x:c r="BQ81" s="107" t="n">
        <x:f>IF(BQ$3&lt;$B$66,BQ80,0)</x:f>
      </x:c>
      <x:c r="BR81" s="107" t="n">
        <x:f>IF(BR$3&lt;$B$66,BR80,0)</x:f>
      </x:c>
      <x:c r="BS81" s="107" t="n">
        <x:f>IF(BS$3&lt;$B$66,BS80,0)</x:f>
      </x:c>
      <x:c r="BT81" s="107" t="n">
        <x:f>IF(BT$3&lt;$B$66,BT80,0)</x:f>
      </x:c>
      <x:c r="BU81" s="107" t="n">
        <x:f>IF(BU$3&lt;$B$66,BU80,0)</x:f>
      </x:c>
      <x:c r="BV81" s="107" t="n">
        <x:f>IF(BV$3&lt;$B$66,BV80,0)</x:f>
      </x:c>
      <x:c r="BW81" s="107" t="n">
        <x:f>IF(BW$3&lt;$B$66,BW80,0)</x:f>
      </x:c>
      <x:c r="BX81" s="107" t="n">
        <x:f>IF(BX$3&lt;$B$66,BX80,0)</x:f>
      </x:c>
      <x:c r="BY81" s="107" t="n">
        <x:f>IF(BY$3&lt;$B$66,BY80,0)</x:f>
      </x:c>
      <x:c r="BZ81" s="107" t="n">
        <x:f>IF(BZ$3&lt;$B$66,BZ80,0)</x:f>
      </x:c>
      <x:c r="CA81" s="107" t="n">
        <x:f>IF(CA$3&lt;$B$66,CA80,0)</x:f>
      </x:c>
      <x:c r="CB81" s="107" t="n">
        <x:f>IF(CB$3&lt;$B$66,CB80,0)</x:f>
      </x:c>
      <x:c r="CC81" s="107" t="n">
        <x:f>IF(CC$3&lt;$B$66,CC80,0)</x:f>
      </x:c>
      <x:c r="CD81" s="107" t="n">
        <x:f>IF(CD$3&lt;$B$66,CD80,0)</x:f>
      </x:c>
      <x:c r="CE81" s="107" t="n">
        <x:f>IF(CE$3&lt;$B$66,CE80,0)</x:f>
      </x:c>
      <x:c r="CF81" s="107" t="n">
        <x:f>IF(CF$3&lt;$B$66,CF80,0)</x:f>
      </x:c>
      <x:c r="CG81" s="107" t="n">
        <x:f>IF(CG$3&lt;$B$66,CG80,0)</x:f>
      </x:c>
      <x:c r="CH81" s="107" t="n">
        <x:f>IF(CH$3&lt;$B$66,CH80,0)</x:f>
      </x:c>
      <x:c r="CI81" s="107" t="n">
        <x:f>IF(CI$3&lt;$B$66,CI80,0)</x:f>
      </x:c>
      <x:c r="CJ81" s="107" t="n">
        <x:f>IF(CJ$3&lt;$B$66,CJ80,0)</x:f>
      </x:c>
      <x:c r="CK81" s="107" t="n">
        <x:f>IF(CK$3&lt;$B$66,CK80,0)</x:f>
      </x:c>
      <x:c r="CL81" s="107" t="n">
        <x:f>IF(CL$3&lt;$B$66,CL80,0)</x:f>
      </x:c>
      <x:c r="CM81" s="107" t="n">
        <x:f>IF(CM$3&lt;$B$66,CM80,0)</x:f>
      </x:c>
      <x:c r="CN81" s="107" t="n">
        <x:f>IF(CN$3&lt;$B$66,CN80,0)</x:f>
      </x:c>
      <x:c r="CO81" s="107" t="n">
        <x:f>IF(CO$3&lt;$B$66,CO80,0)</x:f>
      </x:c>
      <x:c r="CP81" s="107" t="n">
        <x:f>IF(CP$3&lt;$B$66,CP80,0)</x:f>
      </x:c>
      <x:c r="CQ81" s="107" t="n">
        <x:f>IF(CQ$3&lt;$B$66,CQ80,0)</x:f>
      </x:c>
      <x:c r="CR81" s="107" t="n">
        <x:f>IF(CR$3&lt;$B$66,CR80,0)</x:f>
      </x:c>
      <x:c r="CS81" s="107" t="n">
        <x:f>IF(CS$3&lt;$B$66,CS80,0)</x:f>
      </x:c>
      <x:c r="CT81" s="107" t="n">
        <x:f>IF(CT$3&lt;$B$66,CT80,0)</x:f>
      </x:c>
      <x:c r="CU81" s="107" t="n">
        <x:f>IF(CU$3&lt;$B$66,CU80,0)</x:f>
      </x:c>
      <x:c r="CV81" s="107" t="n">
        <x:f>IF(CV$3&lt;$B$66,CV80,0)</x:f>
      </x:c>
      <x:c r="CW81" s="107" t="n">
        <x:f>IF(CW$3&lt;$B$66,CW80,0)</x:f>
      </x:c>
      <x:c r="CX81" s="107" t="n">
        <x:f>IF(CX$3&lt;$B$66,CX80,0)</x:f>
      </x:c>
      <x:c r="CY81" s="107" t="n">
        <x:f>IF(CY$3&lt;$B$66,CY80,0)</x:f>
      </x:c>
      <x:c r="CZ81" s="107" t="n">
        <x:f>IF(CZ$3&lt;$B$66,CZ80,0)</x:f>
      </x:c>
      <x:c r="DA81" s="107" t="n">
        <x:f>IF(DA$3&lt;$B$66,DA80,0)</x:f>
      </x:c>
      <x:c r="DB81" s="107" t="n">
        <x:f>IF(DB$3&lt;$B$66,DB80,0)</x:f>
      </x:c>
      <x:c r="DC81" s="107" t="n">
        <x:f>IF(DC$3&lt;$B$66,DC80,0)</x:f>
      </x:c>
      <x:c r="DD81" s="107" t="n">
        <x:f>IF(DD$3&lt;$B$66,DD80,0)</x:f>
      </x:c>
      <x:c r="DE81" s="107" t="n">
        <x:f>IF(DE$3&lt;$B$66,DE80,0)</x:f>
      </x:c>
      <x:c r="DF81" s="107" t="n">
        <x:f>IF(DF$3&lt;$B$66,DF80,0)</x:f>
      </x:c>
      <x:c r="DG81" s="107" t="n">
        <x:f>IF(DG$3&lt;$B$66,DG80,0)</x:f>
      </x:c>
      <x:c r="DH81" s="107" t="n">
        <x:f>IF(DH$3&lt;$B$66,DH80,0)</x:f>
      </x:c>
      <x:c r="DI81" s="107" t="n">
        <x:f>IF(DI$3&lt;$B$66,DI80,0)</x:f>
      </x:c>
      <x:c r="DJ81" s="107" t="n">
        <x:f>IF(DJ$3&lt;$B$66,DJ80,0)</x:f>
      </x:c>
      <x:c r="DK81" s="107" t="n">
        <x:f>IF(DK$3&lt;$B$66,DK80,0)</x:f>
      </x:c>
      <x:c r="DL81" s="107" t="n">
        <x:f>IF(DL$3&lt;$B$66,DL80,0)</x:f>
      </x:c>
      <x:c r="DM81" s="107" t="n">
        <x:f>IF(DM$3&lt;$B$66,DM80,0)</x:f>
      </x:c>
      <x:c r="DN81" s="107" t="n">
        <x:f>IF(DN$3&lt;$B$66,DN80,0)</x:f>
      </x:c>
      <x:c r="DO81" s="107" t="n">
        <x:f>IF(DO$3&lt;$B$66,DO80,0)</x:f>
      </x:c>
      <x:c r="DP81" s="107" t="n">
        <x:f>IF(DP$3&lt;$B$66,DP80,0)</x:f>
      </x:c>
      <x:c r="DQ81" s="107" t="n">
        <x:f>IF(DQ$3&lt;$B$66,DQ80,0)</x:f>
      </x:c>
      <x:c r="DR81" s="107" t="n">
        <x:f>IF(DR$3&lt;$B$66,DR80,0)</x:f>
      </x:c>
      <x:c r="DS81" s="107" t="n">
        <x:f>IF(DS$3&lt;$B$66,DS80,0)</x:f>
      </x:c>
    </x:row>
    <x:row r="82">
      <x:c r="A82" t="str">
        <x:v>Прямые поступления после РВЭ</x:v>
      </x:c>
      <x:c r="B82" s="107" t="n">
        <x:f>SUM(D82:DS82)</x:f>
      </x:c>
      <x:c r="C82" t="str">
        <x:v>млн ₽</x:v>
      </x:c>
      <x:c r="D82" s="107" t="n">
        <x:f>IF(D$3&gt;=$B$66,D80,0)</x:f>
      </x:c>
      <x:c r="E82" s="107" t="n">
        <x:f>IF(E$3&gt;=$B$66,E80,0)</x:f>
      </x:c>
      <x:c r="F82" s="107" t="n">
        <x:f>IF(F$3&gt;=$B$66,F80,0)</x:f>
      </x:c>
      <x:c r="G82" s="107" t="n">
        <x:f>IF(G$3&gt;=$B$66,G80,0)</x:f>
      </x:c>
      <x:c r="H82" s="107" t="n">
        <x:f>IF(H$3&gt;=$B$66,H80,0)</x:f>
      </x:c>
      <x:c r="I82" s="107" t="n">
        <x:f>IF(I$3&gt;=$B$66,I80,0)</x:f>
      </x:c>
      <x:c r="J82" s="107" t="n">
        <x:f>IF(J$3&gt;=$B$66,J80,0)</x:f>
      </x:c>
      <x:c r="K82" s="107" t="n">
        <x:f>IF(K$3&gt;=$B$66,K80,0)</x:f>
      </x:c>
      <x:c r="L82" s="107" t="n">
        <x:f>IF(L$3&gt;=$B$66,L80,0)</x:f>
      </x:c>
      <x:c r="M82" s="107" t="n">
        <x:f>IF(M$3&gt;=$B$66,M80,0)</x:f>
      </x:c>
      <x:c r="N82" s="107" t="n">
        <x:f>IF(N$3&gt;=$B$66,N80,0)</x:f>
      </x:c>
      <x:c r="O82" s="107" t="n">
        <x:f>IF(O$3&gt;=$B$66,O80,0)</x:f>
      </x:c>
      <x:c r="P82" s="107" t="n">
        <x:f>IF(P$3&gt;=$B$66,P80,0)</x:f>
      </x:c>
      <x:c r="Q82" s="107" t="n">
        <x:f>IF(Q$3&gt;=$B$66,Q80,0)</x:f>
      </x:c>
      <x:c r="R82" s="107" t="n">
        <x:f>IF(R$3&gt;=$B$66,R80,0)</x:f>
      </x:c>
      <x:c r="S82" s="107" t="n">
        <x:f>IF(S$3&gt;=$B$66,S80,0)</x:f>
      </x:c>
      <x:c r="T82" s="107" t="n">
        <x:f>IF(T$3&gt;=$B$66,T80,0)</x:f>
      </x:c>
      <x:c r="U82" s="107" t="n">
        <x:f>IF(U$3&gt;=$B$66,U80,0)</x:f>
      </x:c>
      <x:c r="V82" s="107" t="n">
        <x:f>IF(V$3&gt;=$B$66,V80,0)</x:f>
      </x:c>
      <x:c r="W82" s="107" t="n">
        <x:f>IF(W$3&gt;=$B$66,W80,0)</x:f>
      </x:c>
      <x:c r="X82" s="107" t="n">
        <x:f>IF(X$3&gt;=$B$66,X80,0)</x:f>
      </x:c>
      <x:c r="Y82" s="107" t="n">
        <x:f>IF(Y$3&gt;=$B$66,Y80,0)</x:f>
      </x:c>
      <x:c r="Z82" s="107" t="n">
        <x:f>IF(Z$3&gt;=$B$66,Z80,0)</x:f>
      </x:c>
      <x:c r="AA82" s="107" t="n">
        <x:f>IF(AA$3&gt;=$B$66,AA80,0)</x:f>
      </x:c>
      <x:c r="AB82" s="107" t="n">
        <x:f>IF(AB$3&gt;=$B$66,AB80,0)</x:f>
      </x:c>
      <x:c r="AC82" s="107" t="n">
        <x:f>IF(AC$3&gt;=$B$66,AC80,0)</x:f>
      </x:c>
      <x:c r="AD82" s="107" t="n">
        <x:f>IF(AD$3&gt;=$B$66,AD80,0)</x:f>
      </x:c>
      <x:c r="AE82" s="107" t="n">
        <x:f>IF(AE$3&gt;=$B$66,AE80,0)</x:f>
      </x:c>
      <x:c r="AF82" s="107" t="n">
        <x:f>IF(AF$3&gt;=$B$66,AF80,0)</x:f>
      </x:c>
      <x:c r="AG82" s="107" t="n">
        <x:f>IF(AG$3&gt;=$B$66,AG80,0)</x:f>
      </x:c>
      <x:c r="AH82" s="107" t="n">
        <x:f>IF(AH$3&gt;=$B$66,AH80,0)</x:f>
      </x:c>
      <x:c r="AI82" s="107" t="n">
        <x:f>IF(AI$3&gt;=$B$66,AI80,0)</x:f>
      </x:c>
      <x:c r="AJ82" s="107" t="n">
        <x:f>IF(AJ$3&gt;=$B$66,AJ80,0)</x:f>
      </x:c>
      <x:c r="AK82" s="107" t="n">
        <x:f>IF(AK$3&gt;=$B$66,AK80,0)</x:f>
      </x:c>
      <x:c r="AL82" s="107" t="n">
        <x:f>IF(AL$3&gt;=$B$66,AL80,0)</x:f>
      </x:c>
      <x:c r="AM82" s="107" t="n">
        <x:f>IF(AM$3&gt;=$B$66,AM80,0)</x:f>
      </x:c>
      <x:c r="AN82" s="107" t="n">
        <x:f>IF(AN$3&gt;=$B$66,AN80,0)</x:f>
      </x:c>
      <x:c r="AO82" s="107" t="n">
        <x:f>IF(AO$3&gt;=$B$66,AO80,0)</x:f>
      </x:c>
      <x:c r="AP82" s="107" t="n">
        <x:f>IF(AP$3&gt;=$B$66,AP80,0)</x:f>
      </x:c>
      <x:c r="AQ82" s="107" t="n">
        <x:f>IF(AQ$3&gt;=$B$66,AQ80,0)</x:f>
      </x:c>
      <x:c r="AR82" s="107" t="n">
        <x:f>IF(AR$3&gt;=$B$66,AR80,0)</x:f>
      </x:c>
      <x:c r="AS82" s="107" t="n">
        <x:f>IF(AS$3&gt;=$B$66,AS80,0)</x:f>
      </x:c>
      <x:c r="AT82" s="107" t="n">
        <x:f>IF(AT$3&gt;=$B$66,AT80,0)</x:f>
      </x:c>
      <x:c r="AU82" s="107" t="n">
        <x:f>IF(AU$3&gt;=$B$66,AU80,0)</x:f>
      </x:c>
      <x:c r="AV82" s="107" t="n">
        <x:f>IF(AV$3&gt;=$B$66,AV80,0)</x:f>
      </x:c>
      <x:c r="AW82" s="107" t="n">
        <x:f>IF(AW$3&gt;=$B$66,AW80,0)</x:f>
      </x:c>
      <x:c r="AX82" s="107" t="n">
        <x:f>IF(AX$3&gt;=$B$66,AX80,0)</x:f>
      </x:c>
      <x:c r="AY82" s="107" t="n">
        <x:f>IF(AY$3&gt;=$B$66,AY80,0)</x:f>
      </x:c>
      <x:c r="AZ82" s="107" t="n">
        <x:f>IF(AZ$3&gt;=$B$66,AZ80,0)</x:f>
      </x:c>
      <x:c r="BA82" s="107" t="n">
        <x:f>IF(BA$3&gt;=$B$66,BA80,0)</x:f>
      </x:c>
      <x:c r="BB82" s="107" t="n">
        <x:f>IF(BB$3&gt;=$B$66,BB80,0)</x:f>
      </x:c>
      <x:c r="BC82" s="107" t="n">
        <x:f>IF(BC$3&gt;=$B$66,BC80,0)</x:f>
      </x:c>
      <x:c r="BD82" s="107" t="n">
        <x:f>IF(BD$3&gt;=$B$66,BD80,0)</x:f>
      </x:c>
      <x:c r="BE82" s="107" t="n">
        <x:f>IF(BE$3&gt;=$B$66,BE80,0)</x:f>
      </x:c>
      <x:c r="BF82" s="107" t="n">
        <x:f>IF(BF$3&gt;=$B$66,BF80,0)</x:f>
      </x:c>
      <x:c r="BG82" s="107" t="n">
        <x:f>IF(BG$3&gt;=$B$66,BG80,0)</x:f>
      </x:c>
      <x:c r="BH82" s="107" t="n">
        <x:f>IF(BH$3&gt;=$B$66,BH80,0)</x:f>
      </x:c>
      <x:c r="BI82" s="107" t="n">
        <x:f>IF(BI$3&gt;=$B$66,BI80,0)</x:f>
      </x:c>
      <x:c r="BJ82" s="107" t="n">
        <x:f>IF(BJ$3&gt;=$B$66,BJ80,0)</x:f>
      </x:c>
      <x:c r="BK82" s="107" t="n">
        <x:f>IF(BK$3&gt;=$B$66,BK80,0)</x:f>
      </x:c>
      <x:c r="BL82" s="107" t="n">
        <x:f>IF(BL$3&gt;=$B$66,BL80,0)</x:f>
      </x:c>
      <x:c r="BM82" s="107" t="n">
        <x:f>IF(BM$3&gt;=$B$66,BM80,0)</x:f>
      </x:c>
      <x:c r="BN82" s="107" t="n">
        <x:f>IF(BN$3&gt;=$B$66,BN80,0)</x:f>
      </x:c>
      <x:c r="BO82" s="107" t="n">
        <x:f>IF(BO$3&gt;=$B$66,BO80,0)</x:f>
      </x:c>
      <x:c r="BP82" s="107" t="n">
        <x:f>IF(BP$3&gt;=$B$66,BP80,0)</x:f>
      </x:c>
      <x:c r="BQ82" s="107" t="n">
        <x:f>IF(BQ$3&gt;=$B$66,BQ80,0)</x:f>
      </x:c>
      <x:c r="BR82" s="107" t="n">
        <x:f>IF(BR$3&gt;=$B$66,BR80,0)</x:f>
      </x:c>
      <x:c r="BS82" s="107" t="n">
        <x:f>IF(BS$3&gt;=$B$66,BS80,0)</x:f>
      </x:c>
      <x:c r="BT82" s="107" t="n">
        <x:f>IF(BT$3&gt;=$B$66,BT80,0)</x:f>
      </x:c>
      <x:c r="BU82" s="107" t="n">
        <x:f>IF(BU$3&gt;=$B$66,BU80,0)</x:f>
      </x:c>
      <x:c r="BV82" s="107" t="n">
        <x:f>IF(BV$3&gt;=$B$66,BV80,0)</x:f>
      </x:c>
      <x:c r="BW82" s="107" t="n">
        <x:f>IF(BW$3&gt;=$B$66,BW80,0)</x:f>
      </x:c>
      <x:c r="BX82" s="107" t="n">
        <x:f>IF(BX$3&gt;=$B$66,BX80,0)</x:f>
      </x:c>
      <x:c r="BY82" s="107" t="n">
        <x:f>IF(BY$3&gt;=$B$66,BY80,0)</x:f>
      </x:c>
      <x:c r="BZ82" s="107" t="n">
        <x:f>IF(BZ$3&gt;=$B$66,BZ80,0)</x:f>
      </x:c>
      <x:c r="CA82" s="107" t="n">
        <x:f>IF(CA$3&gt;=$B$66,CA80,0)</x:f>
      </x:c>
      <x:c r="CB82" s="107" t="n">
        <x:f>IF(CB$3&gt;=$B$66,CB80,0)</x:f>
      </x:c>
      <x:c r="CC82" s="107" t="n">
        <x:f>IF(CC$3&gt;=$B$66,CC80,0)</x:f>
      </x:c>
      <x:c r="CD82" s="107" t="n">
        <x:f>IF(CD$3&gt;=$B$66,CD80,0)</x:f>
      </x:c>
      <x:c r="CE82" s="107" t="n">
        <x:f>IF(CE$3&gt;=$B$66,CE80,0)</x:f>
      </x:c>
      <x:c r="CF82" s="107" t="n">
        <x:f>IF(CF$3&gt;=$B$66,CF80,0)</x:f>
      </x:c>
      <x:c r="CG82" s="107" t="n">
        <x:f>IF(CG$3&gt;=$B$66,CG80,0)</x:f>
      </x:c>
      <x:c r="CH82" s="107" t="n">
        <x:f>IF(CH$3&gt;=$B$66,CH80,0)</x:f>
      </x:c>
      <x:c r="CI82" s="107" t="n">
        <x:f>IF(CI$3&gt;=$B$66,CI80,0)</x:f>
      </x:c>
      <x:c r="CJ82" s="107" t="n">
        <x:f>IF(CJ$3&gt;=$B$66,CJ80,0)</x:f>
      </x:c>
      <x:c r="CK82" s="107" t="n">
        <x:f>IF(CK$3&gt;=$B$66,CK80,0)</x:f>
      </x:c>
      <x:c r="CL82" s="107" t="n">
        <x:f>IF(CL$3&gt;=$B$66,CL80,0)</x:f>
      </x:c>
      <x:c r="CM82" s="107" t="n">
        <x:f>IF(CM$3&gt;=$B$66,CM80,0)</x:f>
      </x:c>
      <x:c r="CN82" s="107" t="n">
        <x:f>IF(CN$3&gt;=$B$66,CN80,0)</x:f>
      </x:c>
      <x:c r="CO82" s="107" t="n">
        <x:f>IF(CO$3&gt;=$B$66,CO80,0)</x:f>
      </x:c>
      <x:c r="CP82" s="107" t="n">
        <x:f>IF(CP$3&gt;=$B$66,CP80,0)</x:f>
      </x:c>
      <x:c r="CQ82" s="107" t="n">
        <x:f>IF(CQ$3&gt;=$B$66,CQ80,0)</x:f>
      </x:c>
      <x:c r="CR82" s="107" t="n">
        <x:f>IF(CR$3&gt;=$B$66,CR80,0)</x:f>
      </x:c>
      <x:c r="CS82" s="107" t="n">
        <x:f>IF(CS$3&gt;=$B$66,CS80,0)</x:f>
      </x:c>
      <x:c r="CT82" s="107" t="n">
        <x:f>IF(CT$3&gt;=$B$66,CT80,0)</x:f>
      </x:c>
      <x:c r="CU82" s="107" t="n">
        <x:f>IF(CU$3&gt;=$B$66,CU80,0)</x:f>
      </x:c>
      <x:c r="CV82" s="107" t="n">
        <x:f>IF(CV$3&gt;=$B$66,CV80,0)</x:f>
      </x:c>
      <x:c r="CW82" s="107" t="n">
        <x:f>IF(CW$3&gt;=$B$66,CW80,0)</x:f>
      </x:c>
      <x:c r="CX82" s="107" t="n">
        <x:f>IF(CX$3&gt;=$B$66,CX80,0)</x:f>
      </x:c>
      <x:c r="CY82" s="107" t="n">
        <x:f>IF(CY$3&gt;=$B$66,CY80,0)</x:f>
      </x:c>
      <x:c r="CZ82" s="107" t="n">
        <x:f>IF(CZ$3&gt;=$B$66,CZ80,0)</x:f>
      </x:c>
      <x:c r="DA82" s="107" t="n">
        <x:f>IF(DA$3&gt;=$B$66,DA80,0)</x:f>
      </x:c>
      <x:c r="DB82" s="107" t="n">
        <x:f>IF(DB$3&gt;=$B$66,DB80,0)</x:f>
      </x:c>
      <x:c r="DC82" s="107" t="n">
        <x:f>IF(DC$3&gt;=$B$66,DC80,0)</x:f>
      </x:c>
      <x:c r="DD82" s="107" t="n">
        <x:f>IF(DD$3&gt;=$B$66,DD80,0)</x:f>
      </x:c>
      <x:c r="DE82" s="107" t="n">
        <x:f>IF(DE$3&gt;=$B$66,DE80,0)</x:f>
      </x:c>
      <x:c r="DF82" s="107" t="n">
        <x:f>IF(DF$3&gt;=$B$66,DF80,0)</x:f>
      </x:c>
      <x:c r="DG82" s="107" t="n">
        <x:f>IF(DG$3&gt;=$B$66,DG80,0)</x:f>
      </x:c>
      <x:c r="DH82" s="107" t="n">
        <x:f>IF(DH$3&gt;=$B$66,DH80,0)</x:f>
      </x:c>
      <x:c r="DI82" s="107" t="n">
        <x:f>IF(DI$3&gt;=$B$66,DI80,0)</x:f>
      </x:c>
      <x:c r="DJ82" s="107" t="n">
        <x:f>IF(DJ$3&gt;=$B$66,DJ80,0)</x:f>
      </x:c>
      <x:c r="DK82" s="107" t="n">
        <x:f>IF(DK$3&gt;=$B$66,DK80,0)</x:f>
      </x:c>
      <x:c r="DL82" s="107" t="n">
        <x:f>IF(DL$3&gt;=$B$66,DL80,0)</x:f>
      </x:c>
      <x:c r="DM82" s="107" t="n">
        <x:f>IF(DM$3&gt;=$B$66,DM80,0)</x:f>
      </x:c>
      <x:c r="DN82" s="107" t="n">
        <x:f>IF(DN$3&gt;=$B$66,DN80,0)</x:f>
      </x:c>
      <x:c r="DO82" s="107" t="n">
        <x:f>IF(DO$3&gt;=$B$66,DO80,0)</x:f>
      </x:c>
      <x:c r="DP82" s="107" t="n">
        <x:f>IF(DP$3&gt;=$B$66,DP80,0)</x:f>
      </x:c>
      <x:c r="DQ82" s="107" t="n">
        <x:f>IF(DQ$3&gt;=$B$66,DQ80,0)</x:f>
      </x:c>
      <x:c r="DR82" s="107" t="n">
        <x:f>IF(DR$3&gt;=$B$66,DR80,0)</x:f>
      </x:c>
      <x:c r="DS82" s="107" t="n">
        <x:f>IF(DS$3&gt;=$B$66,DS80,0)</x:f>
      </x:c>
    </x:row>
    <x:row r="83">
      <x:c r="A83" t="str">
        <x:v>Раскрытие эскроу</x:v>
      </x:c>
      <x:c r="B83" s="107" t="n">
        <x:f>SUM(D83:DS83)</x:f>
      </x:c>
      <x:c r="C83" t="str">
        <x:v>млн ₽</x:v>
      </x:c>
      <x:c r="D83" s="107" t="n">
        <x:f>IF(AND(YEAR(D$3)=YEAR($B$66),MONTH(D$3)=MONTH($B$66),AND($B$63="Да",IFERROR(INDEX('Вводные'!$B$88:$B$91,$B$64),"Нет")="Да")),MAX(0,SUM($D81:D81)-D81),0)</x:f>
      </x:c>
      <x:c r="E83" s="107" t="n">
        <x:f>IF(AND(YEAR(E$3)=YEAR($B$66),MONTH(E$3)=MONTH($B$66),AND($B$63="Да",IFERROR(INDEX('Вводные'!$B$88:$B$91,$B$64),"Нет")="Да")),MAX(0,SUM($D81:E81)-E81),0)</x:f>
      </x:c>
      <x:c r="F83" s="107" t="n">
        <x:f>IF(AND(YEAR(F$3)=YEAR($B$66),MONTH(F$3)=MONTH($B$66),AND($B$63="Да",IFERROR(INDEX('Вводные'!$B$88:$B$91,$B$64),"Нет")="Да")),MAX(0,SUM($D81:F81)-F81),0)</x:f>
      </x:c>
      <x:c r="G83" s="107" t="n">
        <x:f>IF(AND(YEAR(G$3)=YEAR($B$66),MONTH(G$3)=MONTH($B$66),AND($B$63="Да",IFERROR(INDEX('Вводные'!$B$88:$B$91,$B$64),"Нет")="Да")),MAX(0,SUM($D81:G81)-G81),0)</x:f>
      </x:c>
      <x:c r="H83" s="107" t="n">
        <x:f>IF(AND(YEAR(H$3)=YEAR($B$66),MONTH(H$3)=MONTH($B$66),AND($B$63="Да",IFERROR(INDEX('Вводные'!$B$88:$B$91,$B$64),"Нет")="Да")),MAX(0,SUM($D81:H81)-H81),0)</x:f>
      </x:c>
      <x:c r="I83" s="107" t="n">
        <x:f>IF(AND(YEAR(I$3)=YEAR($B$66),MONTH(I$3)=MONTH($B$66),AND($B$63="Да",IFERROR(INDEX('Вводные'!$B$88:$B$91,$B$64),"Нет")="Да")),MAX(0,SUM($D81:I81)-I81),0)</x:f>
      </x:c>
      <x:c r="J83" s="107" t="n">
        <x:f>IF(AND(YEAR(J$3)=YEAR($B$66),MONTH(J$3)=MONTH($B$66),AND($B$63="Да",IFERROR(INDEX('Вводные'!$B$88:$B$91,$B$64),"Нет")="Да")),MAX(0,SUM($D81:J81)-J81),0)</x:f>
      </x:c>
      <x:c r="K83" s="107" t="n">
        <x:f>IF(AND(YEAR(K$3)=YEAR($B$66),MONTH(K$3)=MONTH($B$66),AND($B$63="Да",IFERROR(INDEX('Вводные'!$B$88:$B$91,$B$64),"Нет")="Да")),MAX(0,SUM($D81:K81)-K81),0)</x:f>
      </x:c>
      <x:c r="L83" s="107" t="n">
        <x:f>IF(AND(YEAR(L$3)=YEAR($B$66),MONTH(L$3)=MONTH($B$66),AND($B$63="Да",IFERROR(INDEX('Вводные'!$B$88:$B$91,$B$64),"Нет")="Да")),MAX(0,SUM($D81:L81)-L81),0)</x:f>
      </x:c>
      <x:c r="M83" s="107" t="n">
        <x:f>IF(AND(YEAR(M$3)=YEAR($B$66),MONTH(M$3)=MONTH($B$66),AND($B$63="Да",IFERROR(INDEX('Вводные'!$B$88:$B$91,$B$64),"Нет")="Да")),MAX(0,SUM($D81:M81)-M81),0)</x:f>
      </x:c>
      <x:c r="N83" s="107" t="n">
        <x:f>IF(AND(YEAR(N$3)=YEAR($B$66),MONTH(N$3)=MONTH($B$66),AND($B$63="Да",IFERROR(INDEX('Вводные'!$B$88:$B$91,$B$64),"Нет")="Да")),MAX(0,SUM($D81:N81)-N81),0)</x:f>
      </x:c>
      <x:c r="O83" s="107" t="n">
        <x:f>IF(AND(YEAR(O$3)=YEAR($B$66),MONTH(O$3)=MONTH($B$66),AND($B$63="Да",IFERROR(INDEX('Вводные'!$B$88:$B$91,$B$64),"Нет")="Да")),MAX(0,SUM($D81:O81)-O81),0)</x:f>
      </x:c>
      <x:c r="P83" s="107" t="n">
        <x:f>IF(AND(YEAR(P$3)=YEAR($B$66),MONTH(P$3)=MONTH($B$66),AND($B$63="Да",IFERROR(INDEX('Вводные'!$B$88:$B$91,$B$64),"Нет")="Да")),MAX(0,SUM($D81:P81)-P81),0)</x:f>
      </x:c>
      <x:c r="Q83" s="107" t="n">
        <x:f>IF(AND(YEAR(Q$3)=YEAR($B$66),MONTH(Q$3)=MONTH($B$66),AND($B$63="Да",IFERROR(INDEX('Вводные'!$B$88:$B$91,$B$64),"Нет")="Да")),MAX(0,SUM($D81:Q81)-Q81),0)</x:f>
      </x:c>
      <x:c r="R83" s="107" t="n">
        <x:f>IF(AND(YEAR(R$3)=YEAR($B$66),MONTH(R$3)=MONTH($B$66),AND($B$63="Да",IFERROR(INDEX('Вводные'!$B$88:$B$91,$B$64),"Нет")="Да")),MAX(0,SUM($D81:R81)-R81),0)</x:f>
      </x:c>
      <x:c r="S83" s="107" t="n">
        <x:f>IF(AND(YEAR(S$3)=YEAR($B$66),MONTH(S$3)=MONTH($B$66),AND($B$63="Да",IFERROR(INDEX('Вводные'!$B$88:$B$91,$B$64),"Нет")="Да")),MAX(0,SUM($D81:S81)-S81),0)</x:f>
      </x:c>
      <x:c r="T83" s="107" t="n">
        <x:f>IF(AND(YEAR(T$3)=YEAR($B$66),MONTH(T$3)=MONTH($B$66),AND($B$63="Да",IFERROR(INDEX('Вводные'!$B$88:$B$91,$B$64),"Нет")="Да")),MAX(0,SUM($D81:T81)-T81),0)</x:f>
      </x:c>
      <x:c r="U83" s="107" t="n">
        <x:f>IF(AND(YEAR(U$3)=YEAR($B$66),MONTH(U$3)=MONTH($B$66),AND($B$63="Да",IFERROR(INDEX('Вводные'!$B$88:$B$91,$B$64),"Нет")="Да")),MAX(0,SUM($D81:U81)-U81),0)</x:f>
      </x:c>
      <x:c r="V83" s="107" t="n">
        <x:f>IF(AND(YEAR(V$3)=YEAR($B$66),MONTH(V$3)=MONTH($B$66),AND($B$63="Да",IFERROR(INDEX('Вводные'!$B$88:$B$91,$B$64),"Нет")="Да")),MAX(0,SUM($D81:V81)-V81),0)</x:f>
      </x:c>
      <x:c r="W83" s="107" t="n">
        <x:f>IF(AND(YEAR(W$3)=YEAR($B$66),MONTH(W$3)=MONTH($B$66),AND($B$63="Да",IFERROR(INDEX('Вводные'!$B$88:$B$91,$B$64),"Нет")="Да")),MAX(0,SUM($D81:W81)-W81),0)</x:f>
      </x:c>
      <x:c r="X83" s="107" t="n">
        <x:f>IF(AND(YEAR(X$3)=YEAR($B$66),MONTH(X$3)=MONTH($B$66),AND($B$63="Да",IFERROR(INDEX('Вводные'!$B$88:$B$91,$B$64),"Нет")="Да")),MAX(0,SUM($D81:X81)-X81),0)</x:f>
      </x:c>
      <x:c r="Y83" s="107" t="n">
        <x:f>IF(AND(YEAR(Y$3)=YEAR($B$66),MONTH(Y$3)=MONTH($B$66),AND($B$63="Да",IFERROR(INDEX('Вводные'!$B$88:$B$91,$B$64),"Нет")="Да")),MAX(0,SUM($D81:Y81)-Y81),0)</x:f>
      </x:c>
      <x:c r="Z83" s="107" t="n">
        <x:f>IF(AND(YEAR(Z$3)=YEAR($B$66),MONTH(Z$3)=MONTH($B$66),AND($B$63="Да",IFERROR(INDEX('Вводные'!$B$88:$B$91,$B$64),"Нет")="Да")),MAX(0,SUM($D81:Z81)-Z81),0)</x:f>
      </x:c>
      <x:c r="AA83" s="107" t="n">
        <x:f>IF(AND(YEAR(AA$3)=YEAR($B$66),MONTH(AA$3)=MONTH($B$66),AND($B$63="Да",IFERROR(INDEX('Вводные'!$B$88:$B$91,$B$64),"Нет")="Да")),MAX(0,SUM($D81:AA81)-AA81),0)</x:f>
      </x:c>
      <x:c r="AB83" s="107" t="n">
        <x:f>IF(AND(YEAR(AB$3)=YEAR($B$66),MONTH(AB$3)=MONTH($B$66),AND($B$63="Да",IFERROR(INDEX('Вводные'!$B$88:$B$91,$B$64),"Нет")="Да")),MAX(0,SUM($D81:AB81)-AB81),0)</x:f>
      </x:c>
      <x:c r="AC83" s="107" t="n">
        <x:f>IF(AND(YEAR(AC$3)=YEAR($B$66),MONTH(AC$3)=MONTH($B$66),AND($B$63="Да",IFERROR(INDEX('Вводные'!$B$88:$B$91,$B$64),"Нет")="Да")),MAX(0,SUM($D81:AC81)-AC81),0)</x:f>
      </x:c>
      <x:c r="AD83" s="107" t="n">
        <x:f>IF(AND(YEAR(AD$3)=YEAR($B$66),MONTH(AD$3)=MONTH($B$66),AND($B$63="Да",IFERROR(INDEX('Вводные'!$B$88:$B$91,$B$64),"Нет")="Да")),MAX(0,SUM($D81:AD81)-AD81),0)</x:f>
      </x:c>
      <x:c r="AE83" s="107" t="n">
        <x:f>IF(AND(YEAR(AE$3)=YEAR($B$66),MONTH(AE$3)=MONTH($B$66),AND($B$63="Да",IFERROR(INDEX('Вводные'!$B$88:$B$91,$B$64),"Нет")="Да")),MAX(0,SUM($D81:AE81)-AE81),0)</x:f>
      </x:c>
      <x:c r="AF83" s="107" t="n">
        <x:f>IF(AND(YEAR(AF$3)=YEAR($B$66),MONTH(AF$3)=MONTH($B$66),AND($B$63="Да",IFERROR(INDEX('Вводные'!$B$88:$B$91,$B$64),"Нет")="Да")),MAX(0,SUM($D81:AF81)-AF81),0)</x:f>
      </x:c>
      <x:c r="AG83" s="107" t="n">
        <x:f>IF(AND(YEAR(AG$3)=YEAR($B$66),MONTH(AG$3)=MONTH($B$66),AND($B$63="Да",IFERROR(INDEX('Вводные'!$B$88:$B$91,$B$64),"Нет")="Да")),MAX(0,SUM($D81:AG81)-AG81),0)</x:f>
      </x:c>
      <x:c r="AH83" s="107" t="n">
        <x:f>IF(AND(YEAR(AH$3)=YEAR($B$66),MONTH(AH$3)=MONTH($B$66),AND($B$63="Да",IFERROR(INDEX('Вводные'!$B$88:$B$91,$B$64),"Нет")="Да")),MAX(0,SUM($D81:AH81)-AH81),0)</x:f>
      </x:c>
      <x:c r="AI83" s="107" t="n">
        <x:f>IF(AND(YEAR(AI$3)=YEAR($B$66),MONTH(AI$3)=MONTH($B$66),AND($B$63="Да",IFERROR(INDEX('Вводные'!$B$88:$B$91,$B$64),"Нет")="Да")),MAX(0,SUM($D81:AI81)-AI81),0)</x:f>
      </x:c>
      <x:c r="AJ83" s="107" t="n">
        <x:f>IF(AND(YEAR(AJ$3)=YEAR($B$66),MONTH(AJ$3)=MONTH($B$66),AND($B$63="Да",IFERROR(INDEX('Вводные'!$B$88:$B$91,$B$64),"Нет")="Да")),MAX(0,SUM($D81:AJ81)-AJ81),0)</x:f>
      </x:c>
      <x:c r="AK83" s="107" t="n">
        <x:f>IF(AND(YEAR(AK$3)=YEAR($B$66),MONTH(AK$3)=MONTH($B$66),AND($B$63="Да",IFERROR(INDEX('Вводные'!$B$88:$B$91,$B$64),"Нет")="Да")),MAX(0,SUM($D81:AK81)-AK81),0)</x:f>
      </x:c>
      <x:c r="AL83" s="107" t="n">
        <x:f>IF(AND(YEAR(AL$3)=YEAR($B$66),MONTH(AL$3)=MONTH($B$66),AND($B$63="Да",IFERROR(INDEX('Вводные'!$B$88:$B$91,$B$64),"Нет")="Да")),MAX(0,SUM($D81:AL81)-AL81),0)</x:f>
      </x:c>
      <x:c r="AM83" s="107" t="n">
        <x:f>IF(AND(YEAR(AM$3)=YEAR($B$66),MONTH(AM$3)=MONTH($B$66),AND($B$63="Да",IFERROR(INDEX('Вводные'!$B$88:$B$91,$B$64),"Нет")="Да")),MAX(0,SUM($D81:AM81)-AM81),0)</x:f>
      </x:c>
      <x:c r="AN83" s="107" t="n">
        <x:f>IF(AND(YEAR(AN$3)=YEAR($B$66),MONTH(AN$3)=MONTH($B$66),AND($B$63="Да",IFERROR(INDEX('Вводные'!$B$88:$B$91,$B$64),"Нет")="Да")),MAX(0,SUM($D81:AN81)-AN81),0)</x:f>
      </x:c>
      <x:c r="AO83" s="107" t="n">
        <x:f>IF(AND(YEAR(AO$3)=YEAR($B$66),MONTH(AO$3)=MONTH($B$66),AND($B$63="Да",IFERROR(INDEX('Вводные'!$B$88:$B$91,$B$64),"Нет")="Да")),MAX(0,SUM($D81:AO81)-AO81),0)</x:f>
      </x:c>
      <x:c r="AP83" s="107" t="n">
        <x:f>IF(AND(YEAR(AP$3)=YEAR($B$66),MONTH(AP$3)=MONTH($B$66),AND($B$63="Да",IFERROR(INDEX('Вводные'!$B$88:$B$91,$B$64),"Нет")="Да")),MAX(0,SUM($D81:AP81)-AP81),0)</x:f>
      </x:c>
      <x:c r="AQ83" s="107" t="n">
        <x:f>IF(AND(YEAR(AQ$3)=YEAR($B$66),MONTH(AQ$3)=MONTH($B$66),AND($B$63="Да",IFERROR(INDEX('Вводные'!$B$88:$B$91,$B$64),"Нет")="Да")),MAX(0,SUM($D81:AQ81)-AQ81),0)</x:f>
      </x:c>
      <x:c r="AR83" s="107" t="n">
        <x:f>IF(AND(YEAR(AR$3)=YEAR($B$66),MONTH(AR$3)=MONTH($B$66),AND($B$63="Да",IFERROR(INDEX('Вводные'!$B$88:$B$91,$B$64),"Нет")="Да")),MAX(0,SUM($D81:AR81)-AR81),0)</x:f>
      </x:c>
      <x:c r="AS83" s="107" t="n">
        <x:f>IF(AND(YEAR(AS$3)=YEAR($B$66),MONTH(AS$3)=MONTH($B$66),AND($B$63="Да",IFERROR(INDEX('Вводные'!$B$88:$B$91,$B$64),"Нет")="Да")),MAX(0,SUM($D81:AS81)-AS81),0)</x:f>
      </x:c>
      <x:c r="AT83" s="107" t="n">
        <x:f>IF(AND(YEAR(AT$3)=YEAR($B$66),MONTH(AT$3)=MONTH($B$66),AND($B$63="Да",IFERROR(INDEX('Вводные'!$B$88:$B$91,$B$64),"Нет")="Да")),MAX(0,SUM($D81:AT81)-AT81),0)</x:f>
      </x:c>
      <x:c r="AU83" s="107" t="n">
        <x:f>IF(AND(YEAR(AU$3)=YEAR($B$66),MONTH(AU$3)=MONTH($B$66),AND($B$63="Да",IFERROR(INDEX('Вводные'!$B$88:$B$91,$B$64),"Нет")="Да")),MAX(0,SUM($D81:AU81)-AU81),0)</x:f>
      </x:c>
      <x:c r="AV83" s="107" t="n">
        <x:f>IF(AND(YEAR(AV$3)=YEAR($B$66),MONTH(AV$3)=MONTH($B$66),AND($B$63="Да",IFERROR(INDEX('Вводные'!$B$88:$B$91,$B$64),"Нет")="Да")),MAX(0,SUM($D81:AV81)-AV81),0)</x:f>
      </x:c>
      <x:c r="AW83" s="107" t="n">
        <x:f>IF(AND(YEAR(AW$3)=YEAR($B$66),MONTH(AW$3)=MONTH($B$66),AND($B$63="Да",IFERROR(INDEX('Вводные'!$B$88:$B$91,$B$64),"Нет")="Да")),MAX(0,SUM($D81:AW81)-AW81),0)</x:f>
      </x:c>
      <x:c r="AX83" s="107" t="n">
        <x:f>IF(AND(YEAR(AX$3)=YEAR($B$66),MONTH(AX$3)=MONTH($B$66),AND($B$63="Да",IFERROR(INDEX('Вводные'!$B$88:$B$91,$B$64),"Нет")="Да")),MAX(0,SUM($D81:AX81)-AX81),0)</x:f>
      </x:c>
      <x:c r="AY83" s="107" t="n">
        <x:f>IF(AND(YEAR(AY$3)=YEAR($B$66),MONTH(AY$3)=MONTH($B$66),AND($B$63="Да",IFERROR(INDEX('Вводные'!$B$88:$B$91,$B$64),"Нет")="Да")),MAX(0,SUM($D81:AY81)-AY81),0)</x:f>
      </x:c>
      <x:c r="AZ83" s="107" t="n">
        <x:f>IF(AND(YEAR(AZ$3)=YEAR($B$66),MONTH(AZ$3)=MONTH($B$66),AND($B$63="Да",IFERROR(INDEX('Вводные'!$B$88:$B$91,$B$64),"Нет")="Да")),MAX(0,SUM($D81:AZ81)-AZ81),0)</x:f>
      </x:c>
      <x:c r="BA83" s="107" t="n">
        <x:f>IF(AND(YEAR(BA$3)=YEAR($B$66),MONTH(BA$3)=MONTH($B$66),AND($B$63="Да",IFERROR(INDEX('Вводные'!$B$88:$B$91,$B$64),"Нет")="Да")),MAX(0,SUM($D81:BA81)-BA81),0)</x:f>
      </x:c>
      <x:c r="BB83" s="107" t="n">
        <x:f>IF(AND(YEAR(BB$3)=YEAR($B$66),MONTH(BB$3)=MONTH($B$66),AND($B$63="Да",IFERROR(INDEX('Вводные'!$B$88:$B$91,$B$64),"Нет")="Да")),MAX(0,SUM($D81:BB81)-BB81),0)</x:f>
      </x:c>
      <x:c r="BC83" s="107" t="n">
        <x:f>IF(AND(YEAR(BC$3)=YEAR($B$66),MONTH(BC$3)=MONTH($B$66),AND($B$63="Да",IFERROR(INDEX('Вводные'!$B$88:$B$91,$B$64),"Нет")="Да")),MAX(0,SUM($D81:BC81)-BC81),0)</x:f>
      </x:c>
      <x:c r="BD83" s="107" t="n">
        <x:f>IF(AND(YEAR(BD$3)=YEAR($B$66),MONTH(BD$3)=MONTH($B$66),AND($B$63="Да",IFERROR(INDEX('Вводные'!$B$88:$B$91,$B$64),"Нет")="Да")),MAX(0,SUM($D81:BD81)-BD81),0)</x:f>
      </x:c>
      <x:c r="BE83" s="107" t="n">
        <x:f>IF(AND(YEAR(BE$3)=YEAR($B$66),MONTH(BE$3)=MONTH($B$66),AND($B$63="Да",IFERROR(INDEX('Вводные'!$B$88:$B$91,$B$64),"Нет")="Да")),MAX(0,SUM($D81:BE81)-BE81),0)</x:f>
      </x:c>
      <x:c r="BF83" s="107" t="n">
        <x:f>IF(AND(YEAR(BF$3)=YEAR($B$66),MONTH(BF$3)=MONTH($B$66),AND($B$63="Да",IFERROR(INDEX('Вводные'!$B$88:$B$91,$B$64),"Нет")="Да")),MAX(0,SUM($D81:BF81)-BF81),0)</x:f>
      </x:c>
      <x:c r="BG83" s="107" t="n">
        <x:f>IF(AND(YEAR(BG$3)=YEAR($B$66),MONTH(BG$3)=MONTH($B$66),AND($B$63="Да",IFERROR(INDEX('Вводные'!$B$88:$B$91,$B$64),"Нет")="Да")),MAX(0,SUM($D81:BG81)-BG81),0)</x:f>
      </x:c>
      <x:c r="BH83" s="107" t="n">
        <x:f>IF(AND(YEAR(BH$3)=YEAR($B$66),MONTH(BH$3)=MONTH($B$66),AND($B$63="Да",IFERROR(INDEX('Вводные'!$B$88:$B$91,$B$64),"Нет")="Да")),MAX(0,SUM($D81:BH81)-BH81),0)</x:f>
      </x:c>
      <x:c r="BI83" s="107" t="n">
        <x:f>IF(AND(YEAR(BI$3)=YEAR($B$66),MONTH(BI$3)=MONTH($B$66),AND($B$63="Да",IFERROR(INDEX('Вводные'!$B$88:$B$91,$B$64),"Нет")="Да")),MAX(0,SUM($D81:BI81)-BI81),0)</x:f>
      </x:c>
      <x:c r="BJ83" s="107" t="n">
        <x:f>IF(AND(YEAR(BJ$3)=YEAR($B$66),MONTH(BJ$3)=MONTH($B$66),AND($B$63="Да",IFERROR(INDEX('Вводные'!$B$88:$B$91,$B$64),"Нет")="Да")),MAX(0,SUM($D81:BJ81)-BJ81),0)</x:f>
      </x:c>
      <x:c r="BK83" s="107" t="n">
        <x:f>IF(AND(YEAR(BK$3)=YEAR($B$66),MONTH(BK$3)=MONTH($B$66),AND($B$63="Да",IFERROR(INDEX('Вводные'!$B$88:$B$91,$B$64),"Нет")="Да")),MAX(0,SUM($D81:BK81)-BK81),0)</x:f>
      </x:c>
      <x:c r="BL83" s="107" t="n">
        <x:f>IF(AND(YEAR(BL$3)=YEAR($B$66),MONTH(BL$3)=MONTH($B$66),AND($B$63="Да",IFERROR(INDEX('Вводные'!$B$88:$B$91,$B$64),"Нет")="Да")),MAX(0,SUM($D81:BL81)-BL81),0)</x:f>
      </x:c>
      <x:c r="BM83" s="107" t="n">
        <x:f>IF(AND(YEAR(BM$3)=YEAR($B$66),MONTH(BM$3)=MONTH($B$66),AND($B$63="Да",IFERROR(INDEX('Вводные'!$B$88:$B$91,$B$64),"Нет")="Да")),MAX(0,SUM($D81:BM81)-BM81),0)</x:f>
      </x:c>
      <x:c r="BN83" s="107" t="n">
        <x:f>IF(AND(YEAR(BN$3)=YEAR($B$66),MONTH(BN$3)=MONTH($B$66),AND($B$63="Да",IFERROR(INDEX('Вводные'!$B$88:$B$91,$B$64),"Нет")="Да")),MAX(0,SUM($D81:BN81)-BN81),0)</x:f>
      </x:c>
      <x:c r="BO83" s="107" t="n">
        <x:f>IF(AND(YEAR(BO$3)=YEAR($B$66),MONTH(BO$3)=MONTH($B$66),AND($B$63="Да",IFERROR(INDEX('Вводные'!$B$88:$B$91,$B$64),"Нет")="Да")),MAX(0,SUM($D81:BO81)-BO81),0)</x:f>
      </x:c>
      <x:c r="BP83" s="107" t="n">
        <x:f>IF(AND(YEAR(BP$3)=YEAR($B$66),MONTH(BP$3)=MONTH($B$66),AND($B$63="Да",IFERROR(INDEX('Вводные'!$B$88:$B$91,$B$64),"Нет")="Да")),MAX(0,SUM($D81:BP81)-BP81),0)</x:f>
      </x:c>
      <x:c r="BQ83" s="107" t="n">
        <x:f>IF(AND(YEAR(BQ$3)=YEAR($B$66),MONTH(BQ$3)=MONTH($B$66),AND($B$63="Да",IFERROR(INDEX('Вводные'!$B$88:$B$91,$B$64),"Нет")="Да")),MAX(0,SUM($D81:BQ81)-BQ81),0)</x:f>
      </x:c>
      <x:c r="BR83" s="107" t="n">
        <x:f>IF(AND(YEAR(BR$3)=YEAR($B$66),MONTH(BR$3)=MONTH($B$66),AND($B$63="Да",IFERROR(INDEX('Вводные'!$B$88:$B$91,$B$64),"Нет")="Да")),MAX(0,SUM($D81:BR81)-BR81),0)</x:f>
      </x:c>
      <x:c r="BS83" s="107" t="n">
        <x:f>IF(AND(YEAR(BS$3)=YEAR($B$66),MONTH(BS$3)=MONTH($B$66),AND($B$63="Да",IFERROR(INDEX('Вводные'!$B$88:$B$91,$B$64),"Нет")="Да")),MAX(0,SUM($D81:BS81)-BS81),0)</x:f>
      </x:c>
      <x:c r="BT83" s="107" t="n">
        <x:f>IF(AND(YEAR(BT$3)=YEAR($B$66),MONTH(BT$3)=MONTH($B$66),AND($B$63="Да",IFERROR(INDEX('Вводные'!$B$88:$B$91,$B$64),"Нет")="Да")),MAX(0,SUM($D81:BT81)-BT81),0)</x:f>
      </x:c>
      <x:c r="BU83" s="107" t="n">
        <x:f>IF(AND(YEAR(BU$3)=YEAR($B$66),MONTH(BU$3)=MONTH($B$66),AND($B$63="Да",IFERROR(INDEX('Вводные'!$B$88:$B$91,$B$64),"Нет")="Да")),MAX(0,SUM($D81:BU81)-BU81),0)</x:f>
      </x:c>
      <x:c r="BV83" s="107" t="n">
        <x:f>IF(AND(YEAR(BV$3)=YEAR($B$66),MONTH(BV$3)=MONTH($B$66),AND($B$63="Да",IFERROR(INDEX('Вводные'!$B$88:$B$91,$B$64),"Нет")="Да")),MAX(0,SUM($D81:BV81)-BV81),0)</x:f>
      </x:c>
      <x:c r="BW83" s="107" t="n">
        <x:f>IF(AND(YEAR(BW$3)=YEAR($B$66),MONTH(BW$3)=MONTH($B$66),AND($B$63="Да",IFERROR(INDEX('Вводные'!$B$88:$B$91,$B$64),"Нет")="Да")),MAX(0,SUM($D81:BW81)-BW81),0)</x:f>
      </x:c>
      <x:c r="BX83" s="107" t="n">
        <x:f>IF(AND(YEAR(BX$3)=YEAR($B$66),MONTH(BX$3)=MONTH($B$66),AND($B$63="Да",IFERROR(INDEX('Вводные'!$B$88:$B$91,$B$64),"Нет")="Да")),MAX(0,SUM($D81:BX81)-BX81),0)</x:f>
      </x:c>
      <x:c r="BY83" s="107" t="n">
        <x:f>IF(AND(YEAR(BY$3)=YEAR($B$66),MONTH(BY$3)=MONTH($B$66),AND($B$63="Да",IFERROR(INDEX('Вводные'!$B$88:$B$91,$B$64),"Нет")="Да")),MAX(0,SUM($D81:BY81)-BY81),0)</x:f>
      </x:c>
      <x:c r="BZ83" s="107" t="n">
        <x:f>IF(AND(YEAR(BZ$3)=YEAR($B$66),MONTH(BZ$3)=MONTH($B$66),AND($B$63="Да",IFERROR(INDEX('Вводные'!$B$88:$B$91,$B$64),"Нет")="Да")),MAX(0,SUM($D81:BZ81)-BZ81),0)</x:f>
      </x:c>
      <x:c r="CA83" s="107" t="n">
        <x:f>IF(AND(YEAR(CA$3)=YEAR($B$66),MONTH(CA$3)=MONTH($B$66),AND($B$63="Да",IFERROR(INDEX('Вводные'!$B$88:$B$91,$B$64),"Нет")="Да")),MAX(0,SUM($D81:CA81)-CA81),0)</x:f>
      </x:c>
      <x:c r="CB83" s="107" t="n">
        <x:f>IF(AND(YEAR(CB$3)=YEAR($B$66),MONTH(CB$3)=MONTH($B$66),AND($B$63="Да",IFERROR(INDEX('Вводные'!$B$88:$B$91,$B$64),"Нет")="Да")),MAX(0,SUM($D81:CB81)-CB81),0)</x:f>
      </x:c>
      <x:c r="CC83" s="107" t="n">
        <x:f>IF(AND(YEAR(CC$3)=YEAR($B$66),MONTH(CC$3)=MONTH($B$66),AND($B$63="Да",IFERROR(INDEX('Вводные'!$B$88:$B$91,$B$64),"Нет")="Да")),MAX(0,SUM($D81:CC81)-CC81),0)</x:f>
      </x:c>
      <x:c r="CD83" s="107" t="n">
        <x:f>IF(AND(YEAR(CD$3)=YEAR($B$66),MONTH(CD$3)=MONTH($B$66),AND($B$63="Да",IFERROR(INDEX('Вводные'!$B$88:$B$91,$B$64),"Нет")="Да")),MAX(0,SUM($D81:CD81)-CD81),0)</x:f>
      </x:c>
      <x:c r="CE83" s="107" t="n">
        <x:f>IF(AND(YEAR(CE$3)=YEAR($B$66),MONTH(CE$3)=MONTH($B$66),AND($B$63="Да",IFERROR(INDEX('Вводные'!$B$88:$B$91,$B$64),"Нет")="Да")),MAX(0,SUM($D81:CE81)-CE81),0)</x:f>
      </x:c>
      <x:c r="CF83" s="107" t="n">
        <x:f>IF(AND(YEAR(CF$3)=YEAR($B$66),MONTH(CF$3)=MONTH($B$66),AND($B$63="Да",IFERROR(INDEX('Вводные'!$B$88:$B$91,$B$64),"Нет")="Да")),MAX(0,SUM($D81:CF81)-CF81),0)</x:f>
      </x:c>
      <x:c r="CG83" s="107" t="n">
        <x:f>IF(AND(YEAR(CG$3)=YEAR($B$66),MONTH(CG$3)=MONTH($B$66),AND($B$63="Да",IFERROR(INDEX('Вводные'!$B$88:$B$91,$B$64),"Нет")="Да")),MAX(0,SUM($D81:CG81)-CG81),0)</x:f>
      </x:c>
      <x:c r="CH83" s="107" t="n">
        <x:f>IF(AND(YEAR(CH$3)=YEAR($B$66),MONTH(CH$3)=MONTH($B$66),AND($B$63="Да",IFERROR(INDEX('Вводные'!$B$88:$B$91,$B$64),"Нет")="Да")),MAX(0,SUM($D81:CH81)-CH81),0)</x:f>
      </x:c>
      <x:c r="CI83" s="107" t="n">
        <x:f>IF(AND(YEAR(CI$3)=YEAR($B$66),MONTH(CI$3)=MONTH($B$66),AND($B$63="Да",IFERROR(INDEX('Вводные'!$B$88:$B$91,$B$64),"Нет")="Да")),MAX(0,SUM($D81:CI81)-CI81),0)</x:f>
      </x:c>
      <x:c r="CJ83" s="107" t="n">
        <x:f>IF(AND(YEAR(CJ$3)=YEAR($B$66),MONTH(CJ$3)=MONTH($B$66),AND($B$63="Да",IFERROR(INDEX('Вводные'!$B$88:$B$91,$B$64),"Нет")="Да")),MAX(0,SUM($D81:CJ81)-CJ81),0)</x:f>
      </x:c>
      <x:c r="CK83" s="107" t="n">
        <x:f>IF(AND(YEAR(CK$3)=YEAR($B$66),MONTH(CK$3)=MONTH($B$66),AND($B$63="Да",IFERROR(INDEX('Вводные'!$B$88:$B$91,$B$64),"Нет")="Да")),MAX(0,SUM($D81:CK81)-CK81),0)</x:f>
      </x:c>
      <x:c r="CL83" s="107" t="n">
        <x:f>IF(AND(YEAR(CL$3)=YEAR($B$66),MONTH(CL$3)=MONTH($B$66),AND($B$63="Да",IFERROR(INDEX('Вводные'!$B$88:$B$91,$B$64),"Нет")="Да")),MAX(0,SUM($D81:CL81)-CL81),0)</x:f>
      </x:c>
      <x:c r="CM83" s="107" t="n">
        <x:f>IF(AND(YEAR(CM$3)=YEAR($B$66),MONTH(CM$3)=MONTH($B$66),AND($B$63="Да",IFERROR(INDEX('Вводные'!$B$88:$B$91,$B$64),"Нет")="Да")),MAX(0,SUM($D81:CM81)-CM81),0)</x:f>
      </x:c>
      <x:c r="CN83" s="107" t="n">
        <x:f>IF(AND(YEAR(CN$3)=YEAR($B$66),MONTH(CN$3)=MONTH($B$66),AND($B$63="Да",IFERROR(INDEX('Вводные'!$B$88:$B$91,$B$64),"Нет")="Да")),MAX(0,SUM($D81:CN81)-CN81),0)</x:f>
      </x:c>
      <x:c r="CO83" s="107" t="n">
        <x:f>IF(AND(YEAR(CO$3)=YEAR($B$66),MONTH(CO$3)=MONTH($B$66),AND($B$63="Да",IFERROR(INDEX('Вводные'!$B$88:$B$91,$B$64),"Нет")="Да")),MAX(0,SUM($D81:CO81)-CO81),0)</x:f>
      </x:c>
      <x:c r="CP83" s="107" t="n">
        <x:f>IF(AND(YEAR(CP$3)=YEAR($B$66),MONTH(CP$3)=MONTH($B$66),AND($B$63="Да",IFERROR(INDEX('Вводные'!$B$88:$B$91,$B$64),"Нет")="Да")),MAX(0,SUM($D81:CP81)-CP81),0)</x:f>
      </x:c>
      <x:c r="CQ83" s="107" t="n">
        <x:f>IF(AND(YEAR(CQ$3)=YEAR($B$66),MONTH(CQ$3)=MONTH($B$66),AND($B$63="Да",IFERROR(INDEX('Вводные'!$B$88:$B$91,$B$64),"Нет")="Да")),MAX(0,SUM($D81:CQ81)-CQ81),0)</x:f>
      </x:c>
      <x:c r="CR83" s="107" t="n">
        <x:f>IF(AND(YEAR(CR$3)=YEAR($B$66),MONTH(CR$3)=MONTH($B$66),AND($B$63="Да",IFERROR(INDEX('Вводные'!$B$88:$B$91,$B$64),"Нет")="Да")),MAX(0,SUM($D81:CR81)-CR81),0)</x:f>
      </x:c>
      <x:c r="CS83" s="107" t="n">
        <x:f>IF(AND(YEAR(CS$3)=YEAR($B$66),MONTH(CS$3)=MONTH($B$66),AND($B$63="Да",IFERROR(INDEX('Вводные'!$B$88:$B$91,$B$64),"Нет")="Да")),MAX(0,SUM($D81:CS81)-CS81),0)</x:f>
      </x:c>
      <x:c r="CT83" s="107" t="n">
        <x:f>IF(AND(YEAR(CT$3)=YEAR($B$66),MONTH(CT$3)=MONTH($B$66),AND($B$63="Да",IFERROR(INDEX('Вводные'!$B$88:$B$91,$B$64),"Нет")="Да")),MAX(0,SUM($D81:CT81)-CT81),0)</x:f>
      </x:c>
      <x:c r="CU83" s="107" t="n">
        <x:f>IF(AND(YEAR(CU$3)=YEAR($B$66),MONTH(CU$3)=MONTH($B$66),AND($B$63="Да",IFERROR(INDEX('Вводные'!$B$88:$B$91,$B$64),"Нет")="Да")),MAX(0,SUM($D81:CU81)-CU81),0)</x:f>
      </x:c>
      <x:c r="CV83" s="107" t="n">
        <x:f>IF(AND(YEAR(CV$3)=YEAR($B$66),MONTH(CV$3)=MONTH($B$66),AND($B$63="Да",IFERROR(INDEX('Вводные'!$B$88:$B$91,$B$64),"Нет")="Да")),MAX(0,SUM($D81:CV81)-CV81),0)</x:f>
      </x:c>
      <x:c r="CW83" s="107" t="n">
        <x:f>IF(AND(YEAR(CW$3)=YEAR($B$66),MONTH(CW$3)=MONTH($B$66),AND($B$63="Да",IFERROR(INDEX('Вводные'!$B$88:$B$91,$B$64),"Нет")="Да")),MAX(0,SUM($D81:CW81)-CW81),0)</x:f>
      </x:c>
      <x:c r="CX83" s="107" t="n">
        <x:f>IF(AND(YEAR(CX$3)=YEAR($B$66),MONTH(CX$3)=MONTH($B$66),AND($B$63="Да",IFERROR(INDEX('Вводные'!$B$88:$B$91,$B$64),"Нет")="Да")),MAX(0,SUM($D81:CX81)-CX81),0)</x:f>
      </x:c>
      <x:c r="CY83" s="107" t="n">
        <x:f>IF(AND(YEAR(CY$3)=YEAR($B$66),MONTH(CY$3)=MONTH($B$66),AND($B$63="Да",IFERROR(INDEX('Вводные'!$B$88:$B$91,$B$64),"Нет")="Да")),MAX(0,SUM($D81:CY81)-CY81),0)</x:f>
      </x:c>
      <x:c r="CZ83" s="107" t="n">
        <x:f>IF(AND(YEAR(CZ$3)=YEAR($B$66),MONTH(CZ$3)=MONTH($B$66),AND($B$63="Да",IFERROR(INDEX('Вводные'!$B$88:$B$91,$B$64),"Нет")="Да")),MAX(0,SUM($D81:CZ81)-CZ81),0)</x:f>
      </x:c>
      <x:c r="DA83" s="107" t="n">
        <x:f>IF(AND(YEAR(DA$3)=YEAR($B$66),MONTH(DA$3)=MONTH($B$66),AND($B$63="Да",IFERROR(INDEX('Вводные'!$B$88:$B$91,$B$64),"Нет")="Да")),MAX(0,SUM($D81:DA81)-DA81),0)</x:f>
      </x:c>
      <x:c r="DB83" s="107" t="n">
        <x:f>IF(AND(YEAR(DB$3)=YEAR($B$66),MONTH(DB$3)=MONTH($B$66),AND($B$63="Да",IFERROR(INDEX('Вводные'!$B$88:$B$91,$B$64),"Нет")="Да")),MAX(0,SUM($D81:DB81)-DB81),0)</x:f>
      </x:c>
      <x:c r="DC83" s="107" t="n">
        <x:f>IF(AND(YEAR(DC$3)=YEAR($B$66),MONTH(DC$3)=MONTH($B$66),AND($B$63="Да",IFERROR(INDEX('Вводные'!$B$88:$B$91,$B$64),"Нет")="Да")),MAX(0,SUM($D81:DC81)-DC81),0)</x:f>
      </x:c>
      <x:c r="DD83" s="107" t="n">
        <x:f>IF(AND(YEAR(DD$3)=YEAR($B$66),MONTH(DD$3)=MONTH($B$66),AND($B$63="Да",IFERROR(INDEX('Вводные'!$B$88:$B$91,$B$64),"Нет")="Да")),MAX(0,SUM($D81:DD81)-DD81),0)</x:f>
      </x:c>
      <x:c r="DE83" s="107" t="n">
        <x:f>IF(AND(YEAR(DE$3)=YEAR($B$66),MONTH(DE$3)=MONTH($B$66),AND($B$63="Да",IFERROR(INDEX('Вводные'!$B$88:$B$91,$B$64),"Нет")="Да")),MAX(0,SUM($D81:DE81)-DE81),0)</x:f>
      </x:c>
      <x:c r="DF83" s="107" t="n">
        <x:f>IF(AND(YEAR(DF$3)=YEAR($B$66),MONTH(DF$3)=MONTH($B$66),AND($B$63="Да",IFERROR(INDEX('Вводные'!$B$88:$B$91,$B$64),"Нет")="Да")),MAX(0,SUM($D81:DF81)-DF81),0)</x:f>
      </x:c>
      <x:c r="DG83" s="107" t="n">
        <x:f>IF(AND(YEAR(DG$3)=YEAR($B$66),MONTH(DG$3)=MONTH($B$66),AND($B$63="Да",IFERROR(INDEX('Вводные'!$B$88:$B$91,$B$64),"Нет")="Да")),MAX(0,SUM($D81:DG81)-DG81),0)</x:f>
      </x:c>
      <x:c r="DH83" s="107" t="n">
        <x:f>IF(AND(YEAR(DH$3)=YEAR($B$66),MONTH(DH$3)=MONTH($B$66),AND($B$63="Да",IFERROR(INDEX('Вводные'!$B$88:$B$91,$B$64),"Нет")="Да")),MAX(0,SUM($D81:DH81)-DH81),0)</x:f>
      </x:c>
      <x:c r="DI83" s="107" t="n">
        <x:f>IF(AND(YEAR(DI$3)=YEAR($B$66),MONTH(DI$3)=MONTH($B$66),AND($B$63="Да",IFERROR(INDEX('Вводные'!$B$88:$B$91,$B$64),"Нет")="Да")),MAX(0,SUM($D81:DI81)-DI81),0)</x:f>
      </x:c>
      <x:c r="DJ83" s="107" t="n">
        <x:f>IF(AND(YEAR(DJ$3)=YEAR($B$66),MONTH(DJ$3)=MONTH($B$66),AND($B$63="Да",IFERROR(INDEX('Вводные'!$B$88:$B$91,$B$64),"Нет")="Да")),MAX(0,SUM($D81:DJ81)-DJ81),0)</x:f>
      </x:c>
      <x:c r="DK83" s="107" t="n">
        <x:f>IF(AND(YEAR(DK$3)=YEAR($B$66),MONTH(DK$3)=MONTH($B$66),AND($B$63="Да",IFERROR(INDEX('Вводные'!$B$88:$B$91,$B$64),"Нет")="Да")),MAX(0,SUM($D81:DK81)-DK81),0)</x:f>
      </x:c>
      <x:c r="DL83" s="107" t="n">
        <x:f>IF(AND(YEAR(DL$3)=YEAR($B$66),MONTH(DL$3)=MONTH($B$66),AND($B$63="Да",IFERROR(INDEX('Вводные'!$B$88:$B$91,$B$64),"Нет")="Да")),MAX(0,SUM($D81:DL81)-DL81),0)</x:f>
      </x:c>
      <x:c r="DM83" s="107" t="n">
        <x:f>IF(AND(YEAR(DM$3)=YEAR($B$66),MONTH(DM$3)=MONTH($B$66),AND($B$63="Да",IFERROR(INDEX('Вводные'!$B$88:$B$91,$B$64),"Нет")="Да")),MAX(0,SUM($D81:DM81)-DM81),0)</x:f>
      </x:c>
      <x:c r="DN83" s="107" t="n">
        <x:f>IF(AND(YEAR(DN$3)=YEAR($B$66),MONTH(DN$3)=MONTH($B$66),AND($B$63="Да",IFERROR(INDEX('Вводные'!$B$88:$B$91,$B$64),"Нет")="Да")),MAX(0,SUM($D81:DN81)-DN81),0)</x:f>
      </x:c>
      <x:c r="DO83" s="107" t="n">
        <x:f>IF(AND(YEAR(DO$3)=YEAR($B$66),MONTH(DO$3)=MONTH($B$66),AND($B$63="Да",IFERROR(INDEX('Вводные'!$B$88:$B$91,$B$64),"Нет")="Да")),MAX(0,SUM($D81:DO81)-DO81),0)</x:f>
      </x:c>
      <x:c r="DP83" s="107" t="n">
        <x:f>IF(AND(YEAR(DP$3)=YEAR($B$66),MONTH(DP$3)=MONTH($B$66),AND($B$63="Да",IFERROR(INDEX('Вводные'!$B$88:$B$91,$B$64),"Нет")="Да")),MAX(0,SUM($D81:DP81)-DP81),0)</x:f>
      </x:c>
      <x:c r="DQ83" s="107" t="n">
        <x:f>IF(AND(YEAR(DQ$3)=YEAR($B$66),MONTH(DQ$3)=MONTH($B$66),AND($B$63="Да",IFERROR(INDEX('Вводные'!$B$88:$B$91,$B$64),"Нет")="Да")),MAX(0,SUM($D81:DQ81)-DQ81),0)</x:f>
      </x:c>
      <x:c r="DR83" s="107" t="n">
        <x:f>IF(AND(YEAR(DR$3)=YEAR($B$66),MONTH(DR$3)=MONTH($B$66),AND($B$63="Да",IFERROR(INDEX('Вводные'!$B$88:$B$91,$B$64),"Нет")="Да")),MAX(0,SUM($D81:DR81)-DR81),0)</x:f>
      </x:c>
      <x:c r="DS83" s="107" t="n">
        <x:f>IF(AND(YEAR(DS$3)=YEAR($B$66),MONTH(DS$3)=MONTH($B$66),AND($B$63="Да",IFERROR(INDEX('Вводные'!$B$88:$B$91,$B$64),"Нет")="Да")),MAX(0,SUM($D81:DS81)-DS81),0)</x:f>
      </x:c>
    </x:row>
    <x:row r="84">
      <x:c r="A84" t="str">
        <x:v>CAPEX</x:v>
      </x:c>
      <x:c r="B84" s="107" t="n">
        <x:f>IF(AND($B$63="Да",IFERROR(INDEX('Вводные'!$B$88:$B$91,$B$64),"Нет")="Да"),$B$69*'Вводные'!$K$67*'Вводные'!$H$6*INDEX('Вводные'!$T$88:$T$91,$B$64)*INDEX('Вводные'!$AH$88:$AH$91,$B$64),0)</x:f>
      </x:c>
      <x:c r="C84" t="str">
        <x:v>млн ₽</x:v>
      </x:c>
      <x:c r="D84" s="107" t="n">
        <x:f>$B$84*D72</x:f>
      </x:c>
      <x:c r="E84" s="107" t="n">
        <x:f>$B$84*E72</x:f>
      </x:c>
      <x:c r="F84" s="107" t="n">
        <x:f>$B$84*F72</x:f>
      </x:c>
      <x:c r="G84" s="107" t="n">
        <x:f>$B$84*G72</x:f>
      </x:c>
      <x:c r="H84" s="107" t="n">
        <x:f>$B$84*H72</x:f>
      </x:c>
      <x:c r="I84" s="107" t="n">
        <x:f>$B$84*I72</x:f>
      </x:c>
      <x:c r="J84" s="107" t="n">
        <x:f>$B$84*J72</x:f>
      </x:c>
      <x:c r="K84" s="107" t="n">
        <x:f>$B$84*K72</x:f>
      </x:c>
      <x:c r="L84" s="107" t="n">
        <x:f>$B$84*L72</x:f>
      </x:c>
      <x:c r="M84" s="107" t="n">
        <x:f>$B$84*M72</x:f>
      </x:c>
      <x:c r="N84" s="107" t="n">
        <x:f>$B$84*N72</x:f>
      </x:c>
      <x:c r="O84" s="107" t="n">
        <x:f>$B$84*O72</x:f>
      </x:c>
      <x:c r="P84" s="107" t="n">
        <x:f>$B$84*P72</x:f>
      </x:c>
      <x:c r="Q84" s="107" t="n">
        <x:f>$B$84*Q72</x:f>
      </x:c>
      <x:c r="R84" s="107" t="n">
        <x:f>$B$84*R72</x:f>
      </x:c>
      <x:c r="S84" s="107" t="n">
        <x:f>$B$84*S72</x:f>
      </x:c>
      <x:c r="T84" s="107" t="n">
        <x:f>$B$84*T72</x:f>
      </x:c>
      <x:c r="U84" s="107" t="n">
        <x:f>$B$84*U72</x:f>
      </x:c>
      <x:c r="V84" s="107" t="n">
        <x:f>$B$84*V72</x:f>
      </x:c>
      <x:c r="W84" s="107" t="n">
        <x:f>$B$84*W72</x:f>
      </x:c>
      <x:c r="X84" s="107" t="n">
        <x:f>$B$84*X72</x:f>
      </x:c>
      <x:c r="Y84" s="107" t="n">
        <x:f>$B$84*Y72</x:f>
      </x:c>
      <x:c r="Z84" s="107" t="n">
        <x:f>$B$84*Z72</x:f>
      </x:c>
      <x:c r="AA84" s="107" t="n">
        <x:f>$B$84*AA72</x:f>
      </x:c>
      <x:c r="AB84" s="107" t="n">
        <x:f>$B$84*AB72</x:f>
      </x:c>
      <x:c r="AC84" s="107" t="n">
        <x:f>$B$84*AC72</x:f>
      </x:c>
      <x:c r="AD84" s="107" t="n">
        <x:f>$B$84*AD72</x:f>
      </x:c>
      <x:c r="AE84" s="107" t="n">
        <x:f>$B$84*AE72</x:f>
      </x:c>
      <x:c r="AF84" s="107" t="n">
        <x:f>$B$84*AF72</x:f>
      </x:c>
      <x:c r="AG84" s="107" t="n">
        <x:f>$B$84*AG72</x:f>
      </x:c>
      <x:c r="AH84" s="107" t="n">
        <x:f>$B$84*AH72</x:f>
      </x:c>
      <x:c r="AI84" s="107" t="n">
        <x:f>$B$84*AI72</x:f>
      </x:c>
      <x:c r="AJ84" s="107" t="n">
        <x:f>$B$84*AJ72</x:f>
      </x:c>
      <x:c r="AK84" s="107" t="n">
        <x:f>$B$84*AK72</x:f>
      </x:c>
      <x:c r="AL84" s="107" t="n">
        <x:f>$B$84*AL72</x:f>
      </x:c>
      <x:c r="AM84" s="107" t="n">
        <x:f>$B$84*AM72</x:f>
      </x:c>
      <x:c r="AN84" s="107" t="n">
        <x:f>$B$84*AN72</x:f>
      </x:c>
      <x:c r="AO84" s="107" t="n">
        <x:f>$B$84*AO72</x:f>
      </x:c>
      <x:c r="AP84" s="107" t="n">
        <x:f>$B$84*AP72</x:f>
      </x:c>
      <x:c r="AQ84" s="107" t="n">
        <x:f>$B$84*AQ72</x:f>
      </x:c>
      <x:c r="AR84" s="107" t="n">
        <x:f>$B$84*AR72</x:f>
      </x:c>
      <x:c r="AS84" s="107" t="n">
        <x:f>$B$84*AS72</x:f>
      </x:c>
      <x:c r="AT84" s="107" t="n">
        <x:f>$B$84*AT72</x:f>
      </x:c>
      <x:c r="AU84" s="107" t="n">
        <x:f>$B$84*AU72</x:f>
      </x:c>
      <x:c r="AV84" s="107" t="n">
        <x:f>$B$84*AV72</x:f>
      </x:c>
      <x:c r="AW84" s="107" t="n">
        <x:f>$B$84*AW72</x:f>
      </x:c>
      <x:c r="AX84" s="107" t="n">
        <x:f>$B$84*AX72</x:f>
      </x:c>
      <x:c r="AY84" s="107" t="n">
        <x:f>$B$84*AY72</x:f>
      </x:c>
      <x:c r="AZ84" s="107" t="n">
        <x:f>$B$84*AZ72</x:f>
      </x:c>
      <x:c r="BA84" s="107" t="n">
        <x:f>$B$84*BA72</x:f>
      </x:c>
      <x:c r="BB84" s="107" t="n">
        <x:f>$B$84*BB72</x:f>
      </x:c>
      <x:c r="BC84" s="107" t="n">
        <x:f>$B$84*BC72</x:f>
      </x:c>
      <x:c r="BD84" s="107" t="n">
        <x:f>$B$84*BD72</x:f>
      </x:c>
      <x:c r="BE84" s="107" t="n">
        <x:f>$B$84*BE72</x:f>
      </x:c>
      <x:c r="BF84" s="107" t="n">
        <x:f>$B$84*BF72</x:f>
      </x:c>
      <x:c r="BG84" s="107" t="n">
        <x:f>$B$84*BG72</x:f>
      </x:c>
      <x:c r="BH84" s="107" t="n">
        <x:f>$B$84*BH72</x:f>
      </x:c>
      <x:c r="BI84" s="107" t="n">
        <x:f>$B$84*BI72</x:f>
      </x:c>
      <x:c r="BJ84" s="107" t="n">
        <x:f>$B$84*BJ72</x:f>
      </x:c>
      <x:c r="BK84" s="107" t="n">
        <x:f>$B$84*BK72</x:f>
      </x:c>
      <x:c r="BL84" s="107" t="n">
        <x:f>$B$84*BL72</x:f>
      </x:c>
      <x:c r="BM84" s="107" t="n">
        <x:f>$B$84*BM72</x:f>
      </x:c>
      <x:c r="BN84" s="107" t="n">
        <x:f>$B$84*BN72</x:f>
      </x:c>
      <x:c r="BO84" s="107" t="n">
        <x:f>$B$84*BO72</x:f>
      </x:c>
      <x:c r="BP84" s="107" t="n">
        <x:f>$B$84*BP72</x:f>
      </x:c>
      <x:c r="BQ84" s="107" t="n">
        <x:f>$B$84*BQ72</x:f>
      </x:c>
      <x:c r="BR84" s="107" t="n">
        <x:f>$B$84*BR72</x:f>
      </x:c>
      <x:c r="BS84" s="107" t="n">
        <x:f>$B$84*BS72</x:f>
      </x:c>
      <x:c r="BT84" s="107" t="n">
        <x:f>$B$84*BT72</x:f>
      </x:c>
      <x:c r="BU84" s="107" t="n">
        <x:f>$B$84*BU72</x:f>
      </x:c>
      <x:c r="BV84" s="107" t="n">
        <x:f>$B$84*BV72</x:f>
      </x:c>
      <x:c r="BW84" s="107" t="n">
        <x:f>$B$84*BW72</x:f>
      </x:c>
      <x:c r="BX84" s="107" t="n">
        <x:f>$B$84*BX72</x:f>
      </x:c>
      <x:c r="BY84" s="107" t="n">
        <x:f>$B$84*BY72</x:f>
      </x:c>
      <x:c r="BZ84" s="107" t="n">
        <x:f>$B$84*BZ72</x:f>
      </x:c>
      <x:c r="CA84" s="107" t="n">
        <x:f>$B$84*CA72</x:f>
      </x:c>
      <x:c r="CB84" s="107" t="n">
        <x:f>$B$84*CB72</x:f>
      </x:c>
      <x:c r="CC84" s="107" t="n">
        <x:f>$B$84*CC72</x:f>
      </x:c>
      <x:c r="CD84" s="107" t="n">
        <x:f>$B$84*CD72</x:f>
      </x:c>
      <x:c r="CE84" s="107" t="n">
        <x:f>$B$84*CE72</x:f>
      </x:c>
      <x:c r="CF84" s="107" t="n">
        <x:f>$B$84*CF72</x:f>
      </x:c>
      <x:c r="CG84" s="107" t="n">
        <x:f>$B$84*CG72</x:f>
      </x:c>
      <x:c r="CH84" s="107" t="n">
        <x:f>$B$84*CH72</x:f>
      </x:c>
      <x:c r="CI84" s="107" t="n">
        <x:f>$B$84*CI72</x:f>
      </x:c>
      <x:c r="CJ84" s="107" t="n">
        <x:f>$B$84*CJ72</x:f>
      </x:c>
      <x:c r="CK84" s="107" t="n">
        <x:f>$B$84*CK72</x:f>
      </x:c>
      <x:c r="CL84" s="107" t="n">
        <x:f>$B$84*CL72</x:f>
      </x:c>
      <x:c r="CM84" s="107" t="n">
        <x:f>$B$84*CM72</x:f>
      </x:c>
      <x:c r="CN84" s="107" t="n">
        <x:f>$B$84*CN72</x:f>
      </x:c>
      <x:c r="CO84" s="107" t="n">
        <x:f>$B$84*CO72</x:f>
      </x:c>
      <x:c r="CP84" s="107" t="n">
        <x:f>$B$84*CP72</x:f>
      </x:c>
      <x:c r="CQ84" s="107" t="n">
        <x:f>$B$84*CQ72</x:f>
      </x:c>
      <x:c r="CR84" s="107" t="n">
        <x:f>$B$84*CR72</x:f>
      </x:c>
      <x:c r="CS84" s="107" t="n">
        <x:f>$B$84*CS72</x:f>
      </x:c>
      <x:c r="CT84" s="107" t="n">
        <x:f>$B$84*CT72</x:f>
      </x:c>
      <x:c r="CU84" s="107" t="n">
        <x:f>$B$84*CU72</x:f>
      </x:c>
      <x:c r="CV84" s="107" t="n">
        <x:f>$B$84*CV72</x:f>
      </x:c>
      <x:c r="CW84" s="107" t="n">
        <x:f>$B$84*CW72</x:f>
      </x:c>
      <x:c r="CX84" s="107" t="n">
        <x:f>$B$84*CX72</x:f>
      </x:c>
      <x:c r="CY84" s="107" t="n">
        <x:f>$B$84*CY72</x:f>
      </x:c>
      <x:c r="CZ84" s="107" t="n">
        <x:f>$B$84*CZ72</x:f>
      </x:c>
      <x:c r="DA84" s="107" t="n">
        <x:f>$B$84*DA72</x:f>
      </x:c>
      <x:c r="DB84" s="107" t="n">
        <x:f>$B$84*DB72</x:f>
      </x:c>
      <x:c r="DC84" s="107" t="n">
        <x:f>$B$84*DC72</x:f>
      </x:c>
      <x:c r="DD84" s="107" t="n">
        <x:f>$B$84*DD72</x:f>
      </x:c>
      <x:c r="DE84" s="107" t="n">
        <x:f>$B$84*DE72</x:f>
      </x:c>
      <x:c r="DF84" s="107" t="n">
        <x:f>$B$84*DF72</x:f>
      </x:c>
      <x:c r="DG84" s="107" t="n">
        <x:f>$B$84*DG72</x:f>
      </x:c>
      <x:c r="DH84" s="107" t="n">
        <x:f>$B$84*DH72</x:f>
      </x:c>
      <x:c r="DI84" s="107" t="n">
        <x:f>$B$84*DI72</x:f>
      </x:c>
      <x:c r="DJ84" s="107" t="n">
        <x:f>$B$84*DJ72</x:f>
      </x:c>
      <x:c r="DK84" s="107" t="n">
        <x:f>$B$84*DK72</x:f>
      </x:c>
      <x:c r="DL84" s="107" t="n">
        <x:f>$B$84*DL72</x:f>
      </x:c>
      <x:c r="DM84" s="107" t="n">
        <x:f>$B$84*DM72</x:f>
      </x:c>
      <x:c r="DN84" s="107" t="n">
        <x:f>$B$84*DN72</x:f>
      </x:c>
      <x:c r="DO84" s="107" t="n">
        <x:f>$B$84*DO72</x:f>
      </x:c>
      <x:c r="DP84" s="107" t="n">
        <x:f>$B$84*DP72</x:f>
      </x:c>
      <x:c r="DQ84" s="107" t="n">
        <x:f>$B$84*DQ72</x:f>
      </x:c>
      <x:c r="DR84" s="107" t="n">
        <x:f>$B$84*DR72</x:f>
      </x:c>
      <x:c r="DS84" s="107" t="n">
        <x:f>$B$84*DS72</x:f>
      </x:c>
    </x:row>
    <x:row r="85">
      <x:c r="A85" t="str">
        <x:v>Маркетинг</x:v>
      </x:c>
      <x:c r="B85" s="107" t="n">
        <x:f>SUM(D85:DS85)</x:f>
      </x:c>
      <x:c r="C85" t="str">
        <x:v>млн ₽</x:v>
      </x:c>
      <x:c r="D85" s="107" t="n">
        <x:f>D80*'Вводные'!$B$19</x:f>
      </x:c>
      <x:c r="E85" s="107" t="n">
        <x:f>E80*'Вводные'!$B$19</x:f>
      </x:c>
      <x:c r="F85" s="107" t="n">
        <x:f>F80*'Вводные'!$B$19</x:f>
      </x:c>
      <x:c r="G85" s="107" t="n">
        <x:f>G80*'Вводные'!$B$19</x:f>
      </x:c>
      <x:c r="H85" s="107" t="n">
        <x:f>H80*'Вводные'!$B$19</x:f>
      </x:c>
      <x:c r="I85" s="107" t="n">
        <x:f>I80*'Вводные'!$B$19</x:f>
      </x:c>
      <x:c r="J85" s="107" t="n">
        <x:f>J80*'Вводные'!$B$19</x:f>
      </x:c>
      <x:c r="K85" s="107" t="n">
        <x:f>K80*'Вводные'!$B$19</x:f>
      </x:c>
      <x:c r="L85" s="107" t="n">
        <x:f>L80*'Вводные'!$B$19</x:f>
      </x:c>
      <x:c r="M85" s="107" t="n">
        <x:f>M80*'Вводные'!$B$19</x:f>
      </x:c>
      <x:c r="N85" s="107" t="n">
        <x:f>N80*'Вводные'!$B$19</x:f>
      </x:c>
      <x:c r="O85" s="107" t="n">
        <x:f>O80*'Вводные'!$B$19</x:f>
      </x:c>
      <x:c r="P85" s="107" t="n">
        <x:f>P80*'Вводные'!$B$19</x:f>
      </x:c>
      <x:c r="Q85" s="107" t="n">
        <x:f>Q80*'Вводные'!$B$19</x:f>
      </x:c>
      <x:c r="R85" s="107" t="n">
        <x:f>R80*'Вводные'!$B$19</x:f>
      </x:c>
      <x:c r="S85" s="107" t="n">
        <x:f>S80*'Вводные'!$B$19</x:f>
      </x:c>
      <x:c r="T85" s="107" t="n">
        <x:f>T80*'Вводные'!$B$19</x:f>
      </x:c>
      <x:c r="U85" s="107" t="n">
        <x:f>U80*'Вводные'!$B$19</x:f>
      </x:c>
      <x:c r="V85" s="107" t="n">
        <x:f>V80*'Вводные'!$B$19</x:f>
      </x:c>
      <x:c r="W85" s="107" t="n">
        <x:f>W80*'Вводные'!$B$19</x:f>
      </x:c>
      <x:c r="X85" s="107" t="n">
        <x:f>X80*'Вводные'!$B$19</x:f>
      </x:c>
      <x:c r="Y85" s="107" t="n">
        <x:f>Y80*'Вводные'!$B$19</x:f>
      </x:c>
      <x:c r="Z85" s="107" t="n">
        <x:f>Z80*'Вводные'!$B$19</x:f>
      </x:c>
      <x:c r="AA85" s="107" t="n">
        <x:f>AA80*'Вводные'!$B$19</x:f>
      </x:c>
      <x:c r="AB85" s="107" t="n">
        <x:f>AB80*'Вводные'!$B$19</x:f>
      </x:c>
      <x:c r="AC85" s="107" t="n">
        <x:f>AC80*'Вводные'!$B$19</x:f>
      </x:c>
      <x:c r="AD85" s="107" t="n">
        <x:f>AD80*'Вводные'!$B$19</x:f>
      </x:c>
      <x:c r="AE85" s="107" t="n">
        <x:f>AE80*'Вводные'!$B$19</x:f>
      </x:c>
      <x:c r="AF85" s="107" t="n">
        <x:f>AF80*'Вводные'!$B$19</x:f>
      </x:c>
      <x:c r="AG85" s="107" t="n">
        <x:f>AG80*'Вводные'!$B$19</x:f>
      </x:c>
      <x:c r="AH85" s="107" t="n">
        <x:f>AH80*'Вводные'!$B$19</x:f>
      </x:c>
      <x:c r="AI85" s="107" t="n">
        <x:f>AI80*'Вводные'!$B$19</x:f>
      </x:c>
      <x:c r="AJ85" s="107" t="n">
        <x:f>AJ80*'Вводные'!$B$19</x:f>
      </x:c>
      <x:c r="AK85" s="107" t="n">
        <x:f>AK80*'Вводные'!$B$19</x:f>
      </x:c>
      <x:c r="AL85" s="107" t="n">
        <x:f>AL80*'Вводные'!$B$19</x:f>
      </x:c>
      <x:c r="AM85" s="107" t="n">
        <x:f>AM80*'Вводные'!$B$19</x:f>
      </x:c>
      <x:c r="AN85" s="107" t="n">
        <x:f>AN80*'Вводные'!$B$19</x:f>
      </x:c>
      <x:c r="AO85" s="107" t="n">
        <x:f>AO80*'Вводные'!$B$19</x:f>
      </x:c>
      <x:c r="AP85" s="107" t="n">
        <x:f>AP80*'Вводные'!$B$19</x:f>
      </x:c>
      <x:c r="AQ85" s="107" t="n">
        <x:f>AQ80*'Вводные'!$B$19</x:f>
      </x:c>
      <x:c r="AR85" s="107" t="n">
        <x:f>AR80*'Вводные'!$B$19</x:f>
      </x:c>
      <x:c r="AS85" s="107" t="n">
        <x:f>AS80*'Вводные'!$B$19</x:f>
      </x:c>
      <x:c r="AT85" s="107" t="n">
        <x:f>AT80*'Вводные'!$B$19</x:f>
      </x:c>
      <x:c r="AU85" s="107" t="n">
        <x:f>AU80*'Вводные'!$B$19</x:f>
      </x:c>
      <x:c r="AV85" s="107" t="n">
        <x:f>AV80*'Вводные'!$B$19</x:f>
      </x:c>
      <x:c r="AW85" s="107" t="n">
        <x:f>AW80*'Вводные'!$B$19</x:f>
      </x:c>
      <x:c r="AX85" s="107" t="n">
        <x:f>AX80*'Вводные'!$B$19</x:f>
      </x:c>
      <x:c r="AY85" s="107" t="n">
        <x:f>AY80*'Вводные'!$B$19</x:f>
      </x:c>
      <x:c r="AZ85" s="107" t="n">
        <x:f>AZ80*'Вводные'!$B$19</x:f>
      </x:c>
      <x:c r="BA85" s="107" t="n">
        <x:f>BA80*'Вводные'!$B$19</x:f>
      </x:c>
      <x:c r="BB85" s="107" t="n">
        <x:f>BB80*'Вводные'!$B$19</x:f>
      </x:c>
      <x:c r="BC85" s="107" t="n">
        <x:f>BC80*'Вводные'!$B$19</x:f>
      </x:c>
      <x:c r="BD85" s="107" t="n">
        <x:f>BD80*'Вводные'!$B$19</x:f>
      </x:c>
      <x:c r="BE85" s="107" t="n">
        <x:f>BE80*'Вводные'!$B$19</x:f>
      </x:c>
      <x:c r="BF85" s="107" t="n">
        <x:f>BF80*'Вводные'!$B$19</x:f>
      </x:c>
      <x:c r="BG85" s="107" t="n">
        <x:f>BG80*'Вводные'!$B$19</x:f>
      </x:c>
      <x:c r="BH85" s="107" t="n">
        <x:f>BH80*'Вводные'!$B$19</x:f>
      </x:c>
      <x:c r="BI85" s="107" t="n">
        <x:f>BI80*'Вводные'!$B$19</x:f>
      </x:c>
      <x:c r="BJ85" s="107" t="n">
        <x:f>BJ80*'Вводные'!$B$19</x:f>
      </x:c>
      <x:c r="BK85" s="107" t="n">
        <x:f>BK80*'Вводные'!$B$19</x:f>
      </x:c>
      <x:c r="BL85" s="107" t="n">
        <x:f>BL80*'Вводные'!$B$19</x:f>
      </x:c>
      <x:c r="BM85" s="107" t="n">
        <x:f>BM80*'Вводные'!$B$19</x:f>
      </x:c>
      <x:c r="BN85" s="107" t="n">
        <x:f>BN80*'Вводные'!$B$19</x:f>
      </x:c>
      <x:c r="BO85" s="107" t="n">
        <x:f>BO80*'Вводные'!$B$19</x:f>
      </x:c>
      <x:c r="BP85" s="107" t="n">
        <x:f>BP80*'Вводные'!$B$19</x:f>
      </x:c>
      <x:c r="BQ85" s="107" t="n">
        <x:f>BQ80*'Вводные'!$B$19</x:f>
      </x:c>
      <x:c r="BR85" s="107" t="n">
        <x:f>BR80*'Вводные'!$B$19</x:f>
      </x:c>
      <x:c r="BS85" s="107" t="n">
        <x:f>BS80*'Вводные'!$B$19</x:f>
      </x:c>
      <x:c r="BT85" s="107" t="n">
        <x:f>BT80*'Вводные'!$B$19</x:f>
      </x:c>
      <x:c r="BU85" s="107" t="n">
        <x:f>BU80*'Вводные'!$B$19</x:f>
      </x:c>
      <x:c r="BV85" s="107" t="n">
        <x:f>BV80*'Вводные'!$B$19</x:f>
      </x:c>
      <x:c r="BW85" s="107" t="n">
        <x:f>BW80*'Вводные'!$B$19</x:f>
      </x:c>
      <x:c r="BX85" s="107" t="n">
        <x:f>BX80*'Вводные'!$B$19</x:f>
      </x:c>
      <x:c r="BY85" s="107" t="n">
        <x:f>BY80*'Вводные'!$B$19</x:f>
      </x:c>
      <x:c r="BZ85" s="107" t="n">
        <x:f>BZ80*'Вводные'!$B$19</x:f>
      </x:c>
      <x:c r="CA85" s="107" t="n">
        <x:f>CA80*'Вводные'!$B$19</x:f>
      </x:c>
      <x:c r="CB85" s="107" t="n">
        <x:f>CB80*'Вводные'!$B$19</x:f>
      </x:c>
      <x:c r="CC85" s="107" t="n">
        <x:f>CC80*'Вводные'!$B$19</x:f>
      </x:c>
      <x:c r="CD85" s="107" t="n">
        <x:f>CD80*'Вводные'!$B$19</x:f>
      </x:c>
      <x:c r="CE85" s="107" t="n">
        <x:f>CE80*'Вводные'!$B$19</x:f>
      </x:c>
      <x:c r="CF85" s="107" t="n">
        <x:f>CF80*'Вводные'!$B$19</x:f>
      </x:c>
      <x:c r="CG85" s="107" t="n">
        <x:f>CG80*'Вводные'!$B$19</x:f>
      </x:c>
      <x:c r="CH85" s="107" t="n">
        <x:f>CH80*'Вводные'!$B$19</x:f>
      </x:c>
      <x:c r="CI85" s="107" t="n">
        <x:f>CI80*'Вводные'!$B$19</x:f>
      </x:c>
      <x:c r="CJ85" s="107" t="n">
        <x:f>CJ80*'Вводные'!$B$19</x:f>
      </x:c>
      <x:c r="CK85" s="107" t="n">
        <x:f>CK80*'Вводные'!$B$19</x:f>
      </x:c>
      <x:c r="CL85" s="107" t="n">
        <x:f>CL80*'Вводные'!$B$19</x:f>
      </x:c>
      <x:c r="CM85" s="107" t="n">
        <x:f>CM80*'Вводные'!$B$19</x:f>
      </x:c>
      <x:c r="CN85" s="107" t="n">
        <x:f>CN80*'Вводные'!$B$19</x:f>
      </x:c>
      <x:c r="CO85" s="107" t="n">
        <x:f>CO80*'Вводные'!$B$19</x:f>
      </x:c>
      <x:c r="CP85" s="107" t="n">
        <x:f>CP80*'Вводные'!$B$19</x:f>
      </x:c>
      <x:c r="CQ85" s="107" t="n">
        <x:f>CQ80*'Вводные'!$B$19</x:f>
      </x:c>
      <x:c r="CR85" s="107" t="n">
        <x:f>CR80*'Вводные'!$B$19</x:f>
      </x:c>
      <x:c r="CS85" s="107" t="n">
        <x:f>CS80*'Вводные'!$B$19</x:f>
      </x:c>
      <x:c r="CT85" s="107" t="n">
        <x:f>CT80*'Вводные'!$B$19</x:f>
      </x:c>
      <x:c r="CU85" s="107" t="n">
        <x:f>CU80*'Вводные'!$B$19</x:f>
      </x:c>
      <x:c r="CV85" s="107" t="n">
        <x:f>CV80*'Вводные'!$B$19</x:f>
      </x:c>
      <x:c r="CW85" s="107" t="n">
        <x:f>CW80*'Вводные'!$B$19</x:f>
      </x:c>
      <x:c r="CX85" s="107" t="n">
        <x:f>CX80*'Вводные'!$B$19</x:f>
      </x:c>
      <x:c r="CY85" s="107" t="n">
        <x:f>CY80*'Вводные'!$B$19</x:f>
      </x:c>
      <x:c r="CZ85" s="107" t="n">
        <x:f>CZ80*'Вводные'!$B$19</x:f>
      </x:c>
      <x:c r="DA85" s="107" t="n">
        <x:f>DA80*'Вводные'!$B$19</x:f>
      </x:c>
      <x:c r="DB85" s="107" t="n">
        <x:f>DB80*'Вводные'!$B$19</x:f>
      </x:c>
      <x:c r="DC85" s="107" t="n">
        <x:f>DC80*'Вводные'!$B$19</x:f>
      </x:c>
      <x:c r="DD85" s="107" t="n">
        <x:f>DD80*'Вводные'!$B$19</x:f>
      </x:c>
      <x:c r="DE85" s="107" t="n">
        <x:f>DE80*'Вводные'!$B$19</x:f>
      </x:c>
      <x:c r="DF85" s="107" t="n">
        <x:f>DF80*'Вводные'!$B$19</x:f>
      </x:c>
      <x:c r="DG85" s="107" t="n">
        <x:f>DG80*'Вводные'!$B$19</x:f>
      </x:c>
      <x:c r="DH85" s="107" t="n">
        <x:f>DH80*'Вводные'!$B$19</x:f>
      </x:c>
      <x:c r="DI85" s="107" t="n">
        <x:f>DI80*'Вводные'!$B$19</x:f>
      </x:c>
      <x:c r="DJ85" s="107" t="n">
        <x:f>DJ80*'Вводные'!$B$19</x:f>
      </x:c>
      <x:c r="DK85" s="107" t="n">
        <x:f>DK80*'Вводные'!$B$19</x:f>
      </x:c>
      <x:c r="DL85" s="107" t="n">
        <x:f>DL80*'Вводные'!$B$19</x:f>
      </x:c>
      <x:c r="DM85" s="107" t="n">
        <x:f>DM80*'Вводные'!$B$19</x:f>
      </x:c>
      <x:c r="DN85" s="107" t="n">
        <x:f>DN80*'Вводные'!$B$19</x:f>
      </x:c>
      <x:c r="DO85" s="107" t="n">
        <x:f>DO80*'Вводные'!$B$19</x:f>
      </x:c>
      <x:c r="DP85" s="107" t="n">
        <x:f>DP80*'Вводные'!$B$19</x:f>
      </x:c>
      <x:c r="DQ85" s="107" t="n">
        <x:f>DQ80*'Вводные'!$B$19</x:f>
      </x:c>
      <x:c r="DR85" s="107" t="n">
        <x:f>DR80*'Вводные'!$B$19</x:f>
      </x:c>
      <x:c r="DS85" s="107" t="n">
        <x:f>DS80*'Вводные'!$B$19</x:f>
      </x:c>
    </x:row>
    <x:row r="86">
      <x:c r="A86" t="str">
        <x:v>Расходы на продажи</x:v>
      </x:c>
      <x:c r="B86" s="107" t="n">
        <x:f>SUM(D86:DS86)</x:f>
      </x:c>
      <x:c r="C86" t="str">
        <x:v>млн ₽</x:v>
      </x:c>
      <x:c r="D86" s="107" t="n">
        <x:f>D80*'Вводные'!$B$20</x:f>
      </x:c>
      <x:c r="E86" s="107" t="n">
        <x:f>E80*'Вводные'!$B$20</x:f>
      </x:c>
      <x:c r="F86" s="107" t="n">
        <x:f>F80*'Вводные'!$B$20</x:f>
      </x:c>
      <x:c r="G86" s="107" t="n">
        <x:f>G80*'Вводные'!$B$20</x:f>
      </x:c>
      <x:c r="H86" s="107" t="n">
        <x:f>H80*'Вводные'!$B$20</x:f>
      </x:c>
      <x:c r="I86" s="107" t="n">
        <x:f>I80*'Вводные'!$B$20</x:f>
      </x:c>
      <x:c r="J86" s="107" t="n">
        <x:f>J80*'Вводные'!$B$20</x:f>
      </x:c>
      <x:c r="K86" s="107" t="n">
        <x:f>K80*'Вводные'!$B$20</x:f>
      </x:c>
      <x:c r="L86" s="107" t="n">
        <x:f>L80*'Вводные'!$B$20</x:f>
      </x:c>
      <x:c r="M86" s="107" t="n">
        <x:f>M80*'Вводные'!$B$20</x:f>
      </x:c>
      <x:c r="N86" s="107" t="n">
        <x:f>N80*'Вводные'!$B$20</x:f>
      </x:c>
      <x:c r="O86" s="107" t="n">
        <x:f>O80*'Вводные'!$B$20</x:f>
      </x:c>
      <x:c r="P86" s="107" t="n">
        <x:f>P80*'Вводные'!$B$20</x:f>
      </x:c>
      <x:c r="Q86" s="107" t="n">
        <x:f>Q80*'Вводные'!$B$20</x:f>
      </x:c>
      <x:c r="R86" s="107" t="n">
        <x:f>R80*'Вводные'!$B$20</x:f>
      </x:c>
      <x:c r="S86" s="107" t="n">
        <x:f>S80*'Вводные'!$B$20</x:f>
      </x:c>
      <x:c r="T86" s="107" t="n">
        <x:f>T80*'Вводные'!$B$20</x:f>
      </x:c>
      <x:c r="U86" s="107" t="n">
        <x:f>U80*'Вводные'!$B$20</x:f>
      </x:c>
      <x:c r="V86" s="107" t="n">
        <x:f>V80*'Вводные'!$B$20</x:f>
      </x:c>
      <x:c r="W86" s="107" t="n">
        <x:f>W80*'Вводные'!$B$20</x:f>
      </x:c>
      <x:c r="X86" s="107" t="n">
        <x:f>X80*'Вводные'!$B$20</x:f>
      </x:c>
      <x:c r="Y86" s="107" t="n">
        <x:f>Y80*'Вводные'!$B$20</x:f>
      </x:c>
      <x:c r="Z86" s="107" t="n">
        <x:f>Z80*'Вводные'!$B$20</x:f>
      </x:c>
      <x:c r="AA86" s="107" t="n">
        <x:f>AA80*'Вводные'!$B$20</x:f>
      </x:c>
      <x:c r="AB86" s="107" t="n">
        <x:f>AB80*'Вводные'!$B$20</x:f>
      </x:c>
      <x:c r="AC86" s="107" t="n">
        <x:f>AC80*'Вводные'!$B$20</x:f>
      </x:c>
      <x:c r="AD86" s="107" t="n">
        <x:f>AD80*'Вводные'!$B$20</x:f>
      </x:c>
      <x:c r="AE86" s="107" t="n">
        <x:f>AE80*'Вводные'!$B$20</x:f>
      </x:c>
      <x:c r="AF86" s="107" t="n">
        <x:f>AF80*'Вводные'!$B$20</x:f>
      </x:c>
      <x:c r="AG86" s="107" t="n">
        <x:f>AG80*'Вводные'!$B$20</x:f>
      </x:c>
      <x:c r="AH86" s="107" t="n">
        <x:f>AH80*'Вводные'!$B$20</x:f>
      </x:c>
      <x:c r="AI86" s="107" t="n">
        <x:f>AI80*'Вводные'!$B$20</x:f>
      </x:c>
      <x:c r="AJ86" s="107" t="n">
        <x:f>AJ80*'Вводные'!$B$20</x:f>
      </x:c>
      <x:c r="AK86" s="107" t="n">
        <x:f>AK80*'Вводные'!$B$20</x:f>
      </x:c>
      <x:c r="AL86" s="107" t="n">
        <x:f>AL80*'Вводные'!$B$20</x:f>
      </x:c>
      <x:c r="AM86" s="107" t="n">
        <x:f>AM80*'Вводные'!$B$20</x:f>
      </x:c>
      <x:c r="AN86" s="107" t="n">
        <x:f>AN80*'Вводные'!$B$20</x:f>
      </x:c>
      <x:c r="AO86" s="107" t="n">
        <x:f>AO80*'Вводные'!$B$20</x:f>
      </x:c>
      <x:c r="AP86" s="107" t="n">
        <x:f>AP80*'Вводные'!$B$20</x:f>
      </x:c>
      <x:c r="AQ86" s="107" t="n">
        <x:f>AQ80*'Вводные'!$B$20</x:f>
      </x:c>
      <x:c r="AR86" s="107" t="n">
        <x:f>AR80*'Вводные'!$B$20</x:f>
      </x:c>
      <x:c r="AS86" s="107" t="n">
        <x:f>AS80*'Вводные'!$B$20</x:f>
      </x:c>
      <x:c r="AT86" s="107" t="n">
        <x:f>AT80*'Вводные'!$B$20</x:f>
      </x:c>
      <x:c r="AU86" s="107" t="n">
        <x:f>AU80*'Вводные'!$B$20</x:f>
      </x:c>
      <x:c r="AV86" s="107" t="n">
        <x:f>AV80*'Вводные'!$B$20</x:f>
      </x:c>
      <x:c r="AW86" s="107" t="n">
        <x:f>AW80*'Вводные'!$B$20</x:f>
      </x:c>
      <x:c r="AX86" s="107" t="n">
        <x:f>AX80*'Вводные'!$B$20</x:f>
      </x:c>
      <x:c r="AY86" s="107" t="n">
        <x:f>AY80*'Вводные'!$B$20</x:f>
      </x:c>
      <x:c r="AZ86" s="107" t="n">
        <x:f>AZ80*'Вводные'!$B$20</x:f>
      </x:c>
      <x:c r="BA86" s="107" t="n">
        <x:f>BA80*'Вводные'!$B$20</x:f>
      </x:c>
      <x:c r="BB86" s="107" t="n">
        <x:f>BB80*'Вводные'!$B$20</x:f>
      </x:c>
      <x:c r="BC86" s="107" t="n">
        <x:f>BC80*'Вводные'!$B$20</x:f>
      </x:c>
      <x:c r="BD86" s="107" t="n">
        <x:f>BD80*'Вводные'!$B$20</x:f>
      </x:c>
      <x:c r="BE86" s="107" t="n">
        <x:f>BE80*'Вводные'!$B$20</x:f>
      </x:c>
      <x:c r="BF86" s="107" t="n">
        <x:f>BF80*'Вводные'!$B$20</x:f>
      </x:c>
      <x:c r="BG86" s="107" t="n">
        <x:f>BG80*'Вводные'!$B$20</x:f>
      </x:c>
      <x:c r="BH86" s="107" t="n">
        <x:f>BH80*'Вводные'!$B$20</x:f>
      </x:c>
      <x:c r="BI86" s="107" t="n">
        <x:f>BI80*'Вводные'!$B$20</x:f>
      </x:c>
      <x:c r="BJ86" s="107" t="n">
        <x:f>BJ80*'Вводные'!$B$20</x:f>
      </x:c>
      <x:c r="BK86" s="107" t="n">
        <x:f>BK80*'Вводные'!$B$20</x:f>
      </x:c>
      <x:c r="BL86" s="107" t="n">
        <x:f>BL80*'Вводные'!$B$20</x:f>
      </x:c>
      <x:c r="BM86" s="107" t="n">
        <x:f>BM80*'Вводные'!$B$20</x:f>
      </x:c>
      <x:c r="BN86" s="107" t="n">
        <x:f>BN80*'Вводные'!$B$20</x:f>
      </x:c>
      <x:c r="BO86" s="107" t="n">
        <x:f>BO80*'Вводные'!$B$20</x:f>
      </x:c>
      <x:c r="BP86" s="107" t="n">
        <x:f>BP80*'Вводные'!$B$20</x:f>
      </x:c>
      <x:c r="BQ86" s="107" t="n">
        <x:f>BQ80*'Вводные'!$B$20</x:f>
      </x:c>
      <x:c r="BR86" s="107" t="n">
        <x:f>BR80*'Вводные'!$B$20</x:f>
      </x:c>
      <x:c r="BS86" s="107" t="n">
        <x:f>BS80*'Вводные'!$B$20</x:f>
      </x:c>
      <x:c r="BT86" s="107" t="n">
        <x:f>BT80*'Вводные'!$B$20</x:f>
      </x:c>
      <x:c r="BU86" s="107" t="n">
        <x:f>BU80*'Вводные'!$B$20</x:f>
      </x:c>
      <x:c r="BV86" s="107" t="n">
        <x:f>BV80*'Вводные'!$B$20</x:f>
      </x:c>
      <x:c r="BW86" s="107" t="n">
        <x:f>BW80*'Вводные'!$B$20</x:f>
      </x:c>
      <x:c r="BX86" s="107" t="n">
        <x:f>BX80*'Вводные'!$B$20</x:f>
      </x:c>
      <x:c r="BY86" s="107" t="n">
        <x:f>BY80*'Вводные'!$B$20</x:f>
      </x:c>
      <x:c r="BZ86" s="107" t="n">
        <x:f>BZ80*'Вводные'!$B$20</x:f>
      </x:c>
      <x:c r="CA86" s="107" t="n">
        <x:f>CA80*'Вводные'!$B$20</x:f>
      </x:c>
      <x:c r="CB86" s="107" t="n">
        <x:f>CB80*'Вводные'!$B$20</x:f>
      </x:c>
      <x:c r="CC86" s="107" t="n">
        <x:f>CC80*'Вводные'!$B$20</x:f>
      </x:c>
      <x:c r="CD86" s="107" t="n">
        <x:f>CD80*'Вводные'!$B$20</x:f>
      </x:c>
      <x:c r="CE86" s="107" t="n">
        <x:f>CE80*'Вводные'!$B$20</x:f>
      </x:c>
      <x:c r="CF86" s="107" t="n">
        <x:f>CF80*'Вводные'!$B$20</x:f>
      </x:c>
      <x:c r="CG86" s="107" t="n">
        <x:f>CG80*'Вводные'!$B$20</x:f>
      </x:c>
      <x:c r="CH86" s="107" t="n">
        <x:f>CH80*'Вводные'!$B$20</x:f>
      </x:c>
      <x:c r="CI86" s="107" t="n">
        <x:f>CI80*'Вводные'!$B$20</x:f>
      </x:c>
      <x:c r="CJ86" s="107" t="n">
        <x:f>CJ80*'Вводные'!$B$20</x:f>
      </x:c>
      <x:c r="CK86" s="107" t="n">
        <x:f>CK80*'Вводные'!$B$20</x:f>
      </x:c>
      <x:c r="CL86" s="107" t="n">
        <x:f>CL80*'Вводные'!$B$20</x:f>
      </x:c>
      <x:c r="CM86" s="107" t="n">
        <x:f>CM80*'Вводные'!$B$20</x:f>
      </x:c>
      <x:c r="CN86" s="107" t="n">
        <x:f>CN80*'Вводные'!$B$20</x:f>
      </x:c>
      <x:c r="CO86" s="107" t="n">
        <x:f>CO80*'Вводные'!$B$20</x:f>
      </x:c>
      <x:c r="CP86" s="107" t="n">
        <x:f>CP80*'Вводные'!$B$20</x:f>
      </x:c>
      <x:c r="CQ86" s="107" t="n">
        <x:f>CQ80*'Вводные'!$B$20</x:f>
      </x:c>
      <x:c r="CR86" s="107" t="n">
        <x:f>CR80*'Вводные'!$B$20</x:f>
      </x:c>
      <x:c r="CS86" s="107" t="n">
        <x:f>CS80*'Вводные'!$B$20</x:f>
      </x:c>
      <x:c r="CT86" s="107" t="n">
        <x:f>CT80*'Вводные'!$B$20</x:f>
      </x:c>
      <x:c r="CU86" s="107" t="n">
        <x:f>CU80*'Вводные'!$B$20</x:f>
      </x:c>
      <x:c r="CV86" s="107" t="n">
        <x:f>CV80*'Вводные'!$B$20</x:f>
      </x:c>
      <x:c r="CW86" s="107" t="n">
        <x:f>CW80*'Вводные'!$B$20</x:f>
      </x:c>
      <x:c r="CX86" s="107" t="n">
        <x:f>CX80*'Вводные'!$B$20</x:f>
      </x:c>
      <x:c r="CY86" s="107" t="n">
        <x:f>CY80*'Вводные'!$B$20</x:f>
      </x:c>
      <x:c r="CZ86" s="107" t="n">
        <x:f>CZ80*'Вводные'!$B$20</x:f>
      </x:c>
      <x:c r="DA86" s="107" t="n">
        <x:f>DA80*'Вводные'!$B$20</x:f>
      </x:c>
      <x:c r="DB86" s="107" t="n">
        <x:f>DB80*'Вводные'!$B$20</x:f>
      </x:c>
      <x:c r="DC86" s="107" t="n">
        <x:f>DC80*'Вводные'!$B$20</x:f>
      </x:c>
      <x:c r="DD86" s="107" t="n">
        <x:f>DD80*'Вводные'!$B$20</x:f>
      </x:c>
      <x:c r="DE86" s="107" t="n">
        <x:f>DE80*'Вводные'!$B$20</x:f>
      </x:c>
      <x:c r="DF86" s="107" t="n">
        <x:f>DF80*'Вводные'!$B$20</x:f>
      </x:c>
      <x:c r="DG86" s="107" t="n">
        <x:f>DG80*'Вводные'!$B$20</x:f>
      </x:c>
      <x:c r="DH86" s="107" t="n">
        <x:f>DH80*'Вводные'!$B$20</x:f>
      </x:c>
      <x:c r="DI86" s="107" t="n">
        <x:f>DI80*'Вводные'!$B$20</x:f>
      </x:c>
      <x:c r="DJ86" s="107" t="n">
        <x:f>DJ80*'Вводные'!$B$20</x:f>
      </x:c>
      <x:c r="DK86" s="107" t="n">
        <x:f>DK80*'Вводные'!$B$20</x:f>
      </x:c>
      <x:c r="DL86" s="107" t="n">
        <x:f>DL80*'Вводные'!$B$20</x:f>
      </x:c>
      <x:c r="DM86" s="107" t="n">
        <x:f>DM80*'Вводные'!$B$20</x:f>
      </x:c>
      <x:c r="DN86" s="107" t="n">
        <x:f>DN80*'Вводные'!$B$20</x:f>
      </x:c>
      <x:c r="DO86" s="107" t="n">
        <x:f>DO80*'Вводные'!$B$20</x:f>
      </x:c>
      <x:c r="DP86" s="107" t="n">
        <x:f>DP80*'Вводные'!$B$20</x:f>
      </x:c>
      <x:c r="DQ86" s="107" t="n">
        <x:f>DQ80*'Вводные'!$B$20</x:f>
      </x:c>
      <x:c r="DR86" s="107" t="n">
        <x:f>DR80*'Вводные'!$B$20</x:f>
      </x:c>
      <x:c r="DS86" s="107" t="n">
        <x:f>DS80*'Вводные'!$B$20</x:f>
      </x:c>
    </x:row>
    <x:row r="87">
      <x:c r="A87" s="348" t="str">
        <x:v>Расходы объекта всего</x:v>
      </x:c>
      <x:c r="B87" s="348" t="n">
        <x:f>SUM(D87:DS87)</x:f>
      </x:c>
      <x:c r="C87" s="348" t="str">
        <x:v>млн ₽</x:v>
      </x:c>
      <x:c r="D87" s="348" t="n">
        <x:f>SUM(D84:D86)</x:f>
      </x:c>
      <x:c r="E87" s="348" t="n">
        <x:f>SUM(E84:E86)</x:f>
      </x:c>
      <x:c r="F87" s="348" t="n">
        <x:f>SUM(F84:F86)</x:f>
      </x:c>
      <x:c r="G87" s="348" t="n">
        <x:f>SUM(G84:G86)</x:f>
      </x:c>
      <x:c r="H87" s="348" t="n">
        <x:f>SUM(H84:H86)</x:f>
      </x:c>
      <x:c r="I87" s="348" t="n">
        <x:f>SUM(I84:I86)</x:f>
      </x:c>
      <x:c r="J87" s="348" t="n">
        <x:f>SUM(J84:J86)</x:f>
      </x:c>
      <x:c r="K87" s="348" t="n">
        <x:f>SUM(K84:K86)</x:f>
      </x:c>
      <x:c r="L87" s="348" t="n">
        <x:f>SUM(L84:L86)</x:f>
      </x:c>
      <x:c r="M87" s="348" t="n">
        <x:f>SUM(M84:M86)</x:f>
      </x:c>
      <x:c r="N87" s="348" t="n">
        <x:f>SUM(N84:N86)</x:f>
      </x:c>
      <x:c r="O87" s="348" t="n">
        <x:f>SUM(O84:O86)</x:f>
      </x:c>
      <x:c r="P87" s="348" t="n">
        <x:f>SUM(P84:P86)</x:f>
      </x:c>
      <x:c r="Q87" s="348" t="n">
        <x:f>SUM(Q84:Q86)</x:f>
      </x:c>
      <x:c r="R87" s="348" t="n">
        <x:f>SUM(R84:R86)</x:f>
      </x:c>
      <x:c r="S87" s="348" t="n">
        <x:f>SUM(S84:S86)</x:f>
      </x:c>
      <x:c r="T87" s="348" t="n">
        <x:f>SUM(T84:T86)</x:f>
      </x:c>
      <x:c r="U87" s="348" t="n">
        <x:f>SUM(U84:U86)</x:f>
      </x:c>
      <x:c r="V87" s="348" t="n">
        <x:f>SUM(V84:V86)</x:f>
      </x:c>
      <x:c r="W87" s="348" t="n">
        <x:f>SUM(W84:W86)</x:f>
      </x:c>
      <x:c r="X87" s="348" t="n">
        <x:f>SUM(X84:X86)</x:f>
      </x:c>
      <x:c r="Y87" s="348" t="n">
        <x:f>SUM(Y84:Y86)</x:f>
      </x:c>
      <x:c r="Z87" s="348" t="n">
        <x:f>SUM(Z84:Z86)</x:f>
      </x:c>
      <x:c r="AA87" s="348" t="n">
        <x:f>SUM(AA84:AA86)</x:f>
      </x:c>
      <x:c r="AB87" s="348" t="n">
        <x:f>SUM(AB84:AB86)</x:f>
      </x:c>
      <x:c r="AC87" s="348" t="n">
        <x:f>SUM(AC84:AC86)</x:f>
      </x:c>
      <x:c r="AD87" s="348" t="n">
        <x:f>SUM(AD84:AD86)</x:f>
      </x:c>
      <x:c r="AE87" s="348" t="n">
        <x:f>SUM(AE84:AE86)</x:f>
      </x:c>
      <x:c r="AF87" s="348" t="n">
        <x:f>SUM(AF84:AF86)</x:f>
      </x:c>
      <x:c r="AG87" s="348" t="n">
        <x:f>SUM(AG84:AG86)</x:f>
      </x:c>
      <x:c r="AH87" s="348" t="n">
        <x:f>SUM(AH84:AH86)</x:f>
      </x:c>
      <x:c r="AI87" s="348" t="n">
        <x:f>SUM(AI84:AI86)</x:f>
      </x:c>
      <x:c r="AJ87" s="348" t="n">
        <x:f>SUM(AJ84:AJ86)</x:f>
      </x:c>
      <x:c r="AK87" s="348" t="n">
        <x:f>SUM(AK84:AK86)</x:f>
      </x:c>
      <x:c r="AL87" s="348" t="n">
        <x:f>SUM(AL84:AL86)</x:f>
      </x:c>
      <x:c r="AM87" s="348" t="n">
        <x:f>SUM(AM84:AM86)</x:f>
      </x:c>
      <x:c r="AN87" s="348" t="n">
        <x:f>SUM(AN84:AN86)</x:f>
      </x:c>
      <x:c r="AO87" s="348" t="n">
        <x:f>SUM(AO84:AO86)</x:f>
      </x:c>
      <x:c r="AP87" s="348" t="n">
        <x:f>SUM(AP84:AP86)</x:f>
      </x:c>
      <x:c r="AQ87" s="348" t="n">
        <x:f>SUM(AQ84:AQ86)</x:f>
      </x:c>
      <x:c r="AR87" s="348" t="n">
        <x:f>SUM(AR84:AR86)</x:f>
      </x:c>
      <x:c r="AS87" s="348" t="n">
        <x:f>SUM(AS84:AS86)</x:f>
      </x:c>
      <x:c r="AT87" s="348" t="n">
        <x:f>SUM(AT84:AT86)</x:f>
      </x:c>
      <x:c r="AU87" s="348" t="n">
        <x:f>SUM(AU84:AU86)</x:f>
      </x:c>
      <x:c r="AV87" s="348" t="n">
        <x:f>SUM(AV84:AV86)</x:f>
      </x:c>
      <x:c r="AW87" s="348" t="n">
        <x:f>SUM(AW84:AW86)</x:f>
      </x:c>
      <x:c r="AX87" s="348" t="n">
        <x:f>SUM(AX84:AX86)</x:f>
      </x:c>
      <x:c r="AY87" s="348" t="n">
        <x:f>SUM(AY84:AY86)</x:f>
      </x:c>
      <x:c r="AZ87" s="348" t="n">
        <x:f>SUM(AZ84:AZ86)</x:f>
      </x:c>
      <x:c r="BA87" s="348" t="n">
        <x:f>SUM(BA84:BA86)</x:f>
      </x:c>
      <x:c r="BB87" s="348" t="n">
        <x:f>SUM(BB84:BB86)</x:f>
      </x:c>
      <x:c r="BC87" s="348" t="n">
        <x:f>SUM(BC84:BC86)</x:f>
      </x:c>
      <x:c r="BD87" s="348" t="n">
        <x:f>SUM(BD84:BD86)</x:f>
      </x:c>
      <x:c r="BE87" s="348" t="n">
        <x:f>SUM(BE84:BE86)</x:f>
      </x:c>
      <x:c r="BF87" s="348" t="n">
        <x:f>SUM(BF84:BF86)</x:f>
      </x:c>
      <x:c r="BG87" s="348" t="n">
        <x:f>SUM(BG84:BG86)</x:f>
      </x:c>
      <x:c r="BH87" s="348" t="n">
        <x:f>SUM(BH84:BH86)</x:f>
      </x:c>
      <x:c r="BI87" s="348" t="n">
        <x:f>SUM(BI84:BI86)</x:f>
      </x:c>
      <x:c r="BJ87" s="348" t="n">
        <x:f>SUM(BJ84:BJ86)</x:f>
      </x:c>
      <x:c r="BK87" s="348" t="n">
        <x:f>SUM(BK84:BK86)</x:f>
      </x:c>
      <x:c r="BL87" s="348" t="n">
        <x:f>SUM(BL84:BL86)</x:f>
      </x:c>
      <x:c r="BM87" s="348" t="n">
        <x:f>SUM(BM84:BM86)</x:f>
      </x:c>
      <x:c r="BN87" s="348" t="n">
        <x:f>SUM(BN84:BN86)</x:f>
      </x:c>
      <x:c r="BO87" s="348" t="n">
        <x:f>SUM(BO84:BO86)</x:f>
      </x:c>
      <x:c r="BP87" s="348" t="n">
        <x:f>SUM(BP84:BP86)</x:f>
      </x:c>
      <x:c r="BQ87" s="348" t="n">
        <x:f>SUM(BQ84:BQ86)</x:f>
      </x:c>
      <x:c r="BR87" s="348" t="n">
        <x:f>SUM(BR84:BR86)</x:f>
      </x:c>
      <x:c r="BS87" s="348" t="n">
        <x:f>SUM(BS84:BS86)</x:f>
      </x:c>
      <x:c r="BT87" s="348" t="n">
        <x:f>SUM(BT84:BT86)</x:f>
      </x:c>
      <x:c r="BU87" s="348" t="n">
        <x:f>SUM(BU84:BU86)</x:f>
      </x:c>
      <x:c r="BV87" s="348" t="n">
        <x:f>SUM(BV84:BV86)</x:f>
      </x:c>
      <x:c r="BW87" s="348" t="n">
        <x:f>SUM(BW84:BW86)</x:f>
      </x:c>
      <x:c r="BX87" s="348" t="n">
        <x:f>SUM(BX84:BX86)</x:f>
      </x:c>
      <x:c r="BY87" s="348" t="n">
        <x:f>SUM(BY84:BY86)</x:f>
      </x:c>
      <x:c r="BZ87" s="348" t="n">
        <x:f>SUM(BZ84:BZ86)</x:f>
      </x:c>
      <x:c r="CA87" s="348" t="n">
        <x:f>SUM(CA84:CA86)</x:f>
      </x:c>
      <x:c r="CB87" s="348" t="n">
        <x:f>SUM(CB84:CB86)</x:f>
      </x:c>
      <x:c r="CC87" s="348" t="n">
        <x:f>SUM(CC84:CC86)</x:f>
      </x:c>
      <x:c r="CD87" s="348" t="n">
        <x:f>SUM(CD84:CD86)</x:f>
      </x:c>
      <x:c r="CE87" s="348" t="n">
        <x:f>SUM(CE84:CE86)</x:f>
      </x:c>
      <x:c r="CF87" s="348" t="n">
        <x:f>SUM(CF84:CF86)</x:f>
      </x:c>
      <x:c r="CG87" s="348" t="n">
        <x:f>SUM(CG84:CG86)</x:f>
      </x:c>
      <x:c r="CH87" s="348" t="n">
        <x:f>SUM(CH84:CH86)</x:f>
      </x:c>
      <x:c r="CI87" s="348" t="n">
        <x:f>SUM(CI84:CI86)</x:f>
      </x:c>
      <x:c r="CJ87" s="348" t="n">
        <x:f>SUM(CJ84:CJ86)</x:f>
      </x:c>
      <x:c r="CK87" s="348" t="n">
        <x:f>SUM(CK84:CK86)</x:f>
      </x:c>
      <x:c r="CL87" s="348" t="n">
        <x:f>SUM(CL84:CL86)</x:f>
      </x:c>
      <x:c r="CM87" s="348" t="n">
        <x:f>SUM(CM84:CM86)</x:f>
      </x:c>
      <x:c r="CN87" s="348" t="n">
        <x:f>SUM(CN84:CN86)</x:f>
      </x:c>
      <x:c r="CO87" s="348" t="n">
        <x:f>SUM(CO84:CO86)</x:f>
      </x:c>
      <x:c r="CP87" s="348" t="n">
        <x:f>SUM(CP84:CP86)</x:f>
      </x:c>
      <x:c r="CQ87" s="348" t="n">
        <x:f>SUM(CQ84:CQ86)</x:f>
      </x:c>
      <x:c r="CR87" s="348" t="n">
        <x:f>SUM(CR84:CR86)</x:f>
      </x:c>
      <x:c r="CS87" s="348" t="n">
        <x:f>SUM(CS84:CS86)</x:f>
      </x:c>
      <x:c r="CT87" s="348" t="n">
        <x:f>SUM(CT84:CT86)</x:f>
      </x:c>
      <x:c r="CU87" s="348" t="n">
        <x:f>SUM(CU84:CU86)</x:f>
      </x:c>
      <x:c r="CV87" s="348" t="n">
        <x:f>SUM(CV84:CV86)</x:f>
      </x:c>
      <x:c r="CW87" s="348" t="n">
        <x:f>SUM(CW84:CW86)</x:f>
      </x:c>
      <x:c r="CX87" s="348" t="n">
        <x:f>SUM(CX84:CX86)</x:f>
      </x:c>
      <x:c r="CY87" s="348" t="n">
        <x:f>SUM(CY84:CY86)</x:f>
      </x:c>
      <x:c r="CZ87" s="348" t="n">
        <x:f>SUM(CZ84:CZ86)</x:f>
      </x:c>
      <x:c r="DA87" s="348" t="n">
        <x:f>SUM(DA84:DA86)</x:f>
      </x:c>
      <x:c r="DB87" s="348" t="n">
        <x:f>SUM(DB84:DB86)</x:f>
      </x:c>
      <x:c r="DC87" s="348" t="n">
        <x:f>SUM(DC84:DC86)</x:f>
      </x:c>
      <x:c r="DD87" s="348" t="n">
        <x:f>SUM(DD84:DD86)</x:f>
      </x:c>
      <x:c r="DE87" s="348" t="n">
        <x:f>SUM(DE84:DE86)</x:f>
      </x:c>
      <x:c r="DF87" s="348" t="n">
        <x:f>SUM(DF84:DF86)</x:f>
      </x:c>
      <x:c r="DG87" s="348" t="n">
        <x:f>SUM(DG84:DG86)</x:f>
      </x:c>
      <x:c r="DH87" s="348" t="n">
        <x:f>SUM(DH84:DH86)</x:f>
      </x:c>
      <x:c r="DI87" s="348" t="n">
        <x:f>SUM(DI84:DI86)</x:f>
      </x:c>
      <x:c r="DJ87" s="348" t="n">
        <x:f>SUM(DJ84:DJ86)</x:f>
      </x:c>
      <x:c r="DK87" s="348" t="n">
        <x:f>SUM(DK84:DK86)</x:f>
      </x:c>
      <x:c r="DL87" s="348" t="n">
        <x:f>SUM(DL84:DL86)</x:f>
      </x:c>
      <x:c r="DM87" s="348" t="n">
        <x:f>SUM(DM84:DM86)</x:f>
      </x:c>
      <x:c r="DN87" s="348" t="n">
        <x:f>SUM(DN84:DN86)</x:f>
      </x:c>
      <x:c r="DO87" s="348" t="n">
        <x:f>SUM(DO84:DO86)</x:f>
      </x:c>
      <x:c r="DP87" s="348" t="n">
        <x:f>SUM(DP84:DP86)</x:f>
      </x:c>
      <x:c r="DQ87" s="348" t="n">
        <x:f>SUM(DQ84:DQ86)</x:f>
      </x:c>
      <x:c r="DR87" s="348" t="n">
        <x:f>SUM(DR84:DR86)</x:f>
      </x:c>
      <x:c r="DS87" s="348" t="n">
        <x:f>SUM(DS84:DS86)</x:f>
      </x:c>
    </x:row>
    <x:row r="90" ht="21" customHeight="1">
      <x:c r="A90" s="281" t="str">
        <x:v>АЛЛОКАЦИЯ ОБЪЕКТОВ ПО ОЧЕРЕДЯМ</x:v>
      </x:c>
      <x:c r="B90" s="282" t="str">
        <x:v>АЛЛОКАЦИЯ ОБЪЕКТОВ ПО ОЧЕРЕДЯМ</x:v>
      </x:c>
      <x:c r="C90" s="282" t="str">
        <x:v>АЛЛОКАЦИЯ ОБЪЕКТОВ ПО ОЧЕРЕДЯМ</x:v>
      </x:c>
      <x:c r="D90" s="282" t="str">
        <x:v>АЛЛОКАЦИЯ ОБЪЕКТОВ ПО ОЧЕРЕДЯМ</x:v>
      </x:c>
      <x:c r="E90" s="282" t="str">
        <x:v>АЛЛОКАЦИЯ ОБЪЕКТОВ ПО ОЧЕРЕДЯМ</x:v>
      </x:c>
      <x:c r="F90" s="282" t="str">
        <x:v>АЛЛОКАЦИЯ ОБЪЕКТОВ ПО ОЧЕРЕДЯМ</x:v>
      </x:c>
      <x:c r="G90" s="282" t="str">
        <x:v>АЛЛОКАЦИЯ ОБЪЕКТОВ ПО ОЧЕРЕДЯМ</x:v>
      </x:c>
      <x:c r="H90" s="282" t="str">
        <x:v>АЛЛОКАЦИЯ ОБЪЕКТОВ ПО ОЧЕРЕДЯМ</x:v>
      </x:c>
      <x:c r="I90" s="282" t="str">
        <x:v>АЛЛОКАЦИЯ ОБЪЕКТОВ ПО ОЧЕРЕДЯМ</x:v>
      </x:c>
      <x:c r="J90" s="282" t="str">
        <x:v>АЛЛОКАЦИЯ ОБЪЕКТОВ ПО ОЧЕРЕДЯМ</x:v>
      </x:c>
      <x:c r="K90" s="282" t="str">
        <x:v>АЛЛОКАЦИЯ ОБЪЕКТОВ ПО ОЧЕРЕДЯМ</x:v>
      </x:c>
      <x:c r="L90" s="282" t="str">
        <x:v>АЛЛОКАЦИЯ ОБЪЕКТОВ ПО ОЧЕРЕДЯМ</x:v>
      </x:c>
      <x:c r="M90" s="282" t="str">
        <x:v>АЛЛОКАЦИЯ ОБЪЕКТОВ ПО ОЧЕРЕДЯМ</x:v>
      </x:c>
      <x:c r="N90" s="282" t="str">
        <x:v>АЛЛОКАЦИЯ ОБЪЕКТОВ ПО ОЧЕРЕДЯМ</x:v>
      </x:c>
      <x:c r="O90" s="282" t="str">
        <x:v>АЛЛОКАЦИЯ ОБЪЕКТОВ ПО ОЧЕРЕДЯМ</x:v>
      </x:c>
      <x:c r="P90" s="282" t="str">
        <x:v>АЛЛОКАЦИЯ ОБЪЕКТОВ ПО ОЧЕРЕДЯМ</x:v>
      </x:c>
      <x:c r="Q90" s="282" t="str">
        <x:v>АЛЛОКАЦИЯ ОБЪЕКТОВ ПО ОЧЕРЕДЯМ</x:v>
      </x:c>
      <x:c r="R90" s="282" t="str">
        <x:v>АЛЛОКАЦИЯ ОБЪЕКТОВ ПО ОЧЕРЕДЯМ</x:v>
      </x:c>
      <x:c r="S90" s="282" t="str">
        <x:v>АЛЛОКАЦИЯ ОБЪЕКТОВ ПО ОЧЕРЕДЯМ</x:v>
      </x:c>
      <x:c r="T90" s="282" t="str">
        <x:v>АЛЛОКАЦИЯ ОБЪЕКТОВ ПО ОЧЕРЕДЯМ</x:v>
      </x:c>
      <x:c r="U90" s="282" t="str">
        <x:v>АЛЛОКАЦИЯ ОБЪЕКТОВ ПО ОЧЕРЕДЯМ</x:v>
      </x:c>
      <x:c r="V90" s="282" t="str">
        <x:v>АЛЛОКАЦИЯ ОБЪЕКТОВ ПО ОЧЕРЕДЯМ</x:v>
      </x:c>
      <x:c r="W90" s="282" t="str">
        <x:v>АЛЛОКАЦИЯ ОБЪЕКТОВ ПО ОЧЕРЕДЯМ</x:v>
      </x:c>
      <x:c r="X90" s="282" t="str">
        <x:v>АЛЛОКАЦИЯ ОБЪЕКТОВ ПО ОЧЕРЕДЯМ</x:v>
      </x:c>
      <x:c r="Y90" s="282" t="str">
        <x:v>АЛЛОКАЦИЯ ОБЪЕКТОВ ПО ОЧЕРЕДЯМ</x:v>
      </x:c>
      <x:c r="Z90" s="282" t="str">
        <x:v>АЛЛОКАЦИЯ ОБЪЕКТОВ ПО ОЧЕРЕДЯМ</x:v>
      </x:c>
      <x:c r="AA90" s="282" t="str">
        <x:v>АЛЛОКАЦИЯ ОБЪЕКТОВ ПО ОЧЕРЕДЯМ</x:v>
      </x:c>
      <x:c r="AB90" s="282" t="str">
        <x:v>АЛЛОКАЦИЯ ОБЪЕКТОВ ПО ОЧЕРЕДЯМ</x:v>
      </x:c>
      <x:c r="AC90" s="282" t="str">
        <x:v>АЛЛОКАЦИЯ ОБЪЕКТОВ ПО ОЧЕРЕДЯМ</x:v>
      </x:c>
      <x:c r="AD90" s="282" t="str">
        <x:v>АЛЛОКАЦИЯ ОБЪЕКТОВ ПО ОЧЕРЕДЯМ</x:v>
      </x:c>
      <x:c r="AE90" s="282" t="str">
        <x:v>АЛЛОКАЦИЯ ОБЪЕКТОВ ПО ОЧЕРЕДЯМ</x:v>
      </x:c>
      <x:c r="AF90" s="282" t="str">
        <x:v>АЛЛОКАЦИЯ ОБЪЕКТОВ ПО ОЧЕРЕДЯМ</x:v>
      </x:c>
      <x:c r="AG90" s="282" t="str">
        <x:v>АЛЛОКАЦИЯ ОБЪЕКТОВ ПО ОЧЕРЕДЯМ</x:v>
      </x:c>
      <x:c r="AH90" s="282" t="str">
        <x:v>АЛЛОКАЦИЯ ОБЪЕКТОВ ПО ОЧЕРЕДЯМ</x:v>
      </x:c>
      <x:c r="AI90" s="282" t="str">
        <x:v>АЛЛОКАЦИЯ ОБЪЕКТОВ ПО ОЧЕРЕДЯМ</x:v>
      </x:c>
      <x:c r="AJ90" s="282" t="str">
        <x:v>АЛЛОКАЦИЯ ОБЪЕКТОВ ПО ОЧЕРЕДЯМ</x:v>
      </x:c>
      <x:c r="AK90" s="282" t="str">
        <x:v>АЛЛОКАЦИЯ ОБЪЕКТОВ ПО ОЧЕРЕДЯМ</x:v>
      </x:c>
      <x:c r="AL90" s="282" t="str">
        <x:v>АЛЛОКАЦИЯ ОБЪЕКТОВ ПО ОЧЕРЕДЯМ</x:v>
      </x:c>
      <x:c r="AM90" s="282" t="str">
        <x:v>АЛЛОКАЦИЯ ОБЪЕКТОВ ПО ОЧЕРЕДЯМ</x:v>
      </x:c>
      <x:c r="AN90" s="282" t="str">
        <x:v>АЛЛОКАЦИЯ ОБЪЕКТОВ ПО ОЧЕРЕДЯМ</x:v>
      </x:c>
      <x:c r="AO90" s="282" t="str">
        <x:v>АЛЛОКАЦИЯ ОБЪЕКТОВ ПО ОЧЕРЕДЯМ</x:v>
      </x:c>
      <x:c r="AP90" s="282" t="str">
        <x:v>АЛЛОКАЦИЯ ОБЪЕКТОВ ПО ОЧЕРЕДЯМ</x:v>
      </x:c>
      <x:c r="AQ90" s="282" t="str">
        <x:v>АЛЛОКАЦИЯ ОБЪЕКТОВ ПО ОЧЕРЕДЯМ</x:v>
      </x:c>
      <x:c r="AR90" s="282" t="str">
        <x:v>АЛЛОКАЦИЯ ОБЪЕКТОВ ПО ОЧЕРЕДЯМ</x:v>
      </x:c>
      <x:c r="AS90" s="282" t="str">
        <x:v>АЛЛОКАЦИЯ ОБЪЕКТОВ ПО ОЧЕРЕДЯМ</x:v>
      </x:c>
      <x:c r="AT90" s="282" t="str">
        <x:v>АЛЛОКАЦИЯ ОБЪЕКТОВ ПО ОЧЕРЕДЯМ</x:v>
      </x:c>
      <x:c r="AU90" s="282" t="str">
        <x:v>АЛЛОКАЦИЯ ОБЪЕКТОВ ПО ОЧЕРЕДЯМ</x:v>
      </x:c>
      <x:c r="AV90" s="282" t="str">
        <x:v>АЛЛОКАЦИЯ ОБЪЕКТОВ ПО ОЧЕРЕДЯМ</x:v>
      </x:c>
      <x:c r="AW90" s="282" t="str">
        <x:v>АЛЛОКАЦИЯ ОБЪЕКТОВ ПО ОЧЕРЕДЯМ</x:v>
      </x:c>
      <x:c r="AX90" s="282" t="str">
        <x:v>АЛЛОКАЦИЯ ОБЪЕКТОВ ПО ОЧЕРЕДЯМ</x:v>
      </x:c>
      <x:c r="AY90" s="282" t="str">
        <x:v>АЛЛОКАЦИЯ ОБЪЕКТОВ ПО ОЧЕРЕДЯМ</x:v>
      </x:c>
      <x:c r="AZ90" s="282" t="str">
        <x:v>АЛЛОКАЦИЯ ОБЪЕКТОВ ПО ОЧЕРЕДЯМ</x:v>
      </x:c>
      <x:c r="BA90" s="282" t="str">
        <x:v>АЛЛОКАЦИЯ ОБЪЕКТОВ ПО ОЧЕРЕДЯМ</x:v>
      </x:c>
      <x:c r="BB90" s="282" t="str">
        <x:v>АЛЛОКАЦИЯ ОБЪЕКТОВ ПО ОЧЕРЕДЯМ</x:v>
      </x:c>
      <x:c r="BC90" s="282" t="str">
        <x:v>АЛЛОКАЦИЯ ОБЪЕКТОВ ПО ОЧЕРЕДЯМ</x:v>
      </x:c>
      <x:c r="BD90" s="282" t="str">
        <x:v>АЛЛОКАЦИЯ ОБЪЕКТОВ ПО ОЧЕРЕДЯМ</x:v>
      </x:c>
      <x:c r="BE90" s="282" t="str">
        <x:v>АЛЛОКАЦИЯ ОБЪЕКТОВ ПО ОЧЕРЕДЯМ</x:v>
      </x:c>
      <x:c r="BF90" s="282" t="str">
        <x:v>АЛЛОКАЦИЯ ОБЪЕКТОВ ПО ОЧЕРЕДЯМ</x:v>
      </x:c>
      <x:c r="BG90" s="282" t="str">
        <x:v>АЛЛОКАЦИЯ ОБЪЕКТОВ ПО ОЧЕРЕДЯМ</x:v>
      </x:c>
      <x:c r="BH90" s="282" t="str">
        <x:v>АЛЛОКАЦИЯ ОБЪЕКТОВ ПО ОЧЕРЕДЯМ</x:v>
      </x:c>
      <x:c r="BI90" s="282" t="str">
        <x:v>АЛЛОКАЦИЯ ОБЪЕКТОВ ПО ОЧЕРЕДЯМ</x:v>
      </x:c>
      <x:c r="BJ90" s="282" t="str">
        <x:v>АЛЛОКАЦИЯ ОБЪЕКТОВ ПО ОЧЕРЕДЯМ</x:v>
      </x:c>
      <x:c r="BK90" s="282" t="str">
        <x:v>АЛЛОКАЦИЯ ОБЪЕКТОВ ПО ОЧЕРЕДЯМ</x:v>
      </x:c>
      <x:c r="BL90" s="282" t="str">
        <x:v>АЛЛОКАЦИЯ ОБЪЕКТОВ ПО ОЧЕРЕДЯМ</x:v>
      </x:c>
      <x:c r="BM90" s="282" t="str">
        <x:v>АЛЛОКАЦИЯ ОБЪЕКТОВ ПО ОЧЕРЕДЯМ</x:v>
      </x:c>
      <x:c r="BN90" s="282" t="str">
        <x:v>АЛЛОКАЦИЯ ОБЪЕКТОВ ПО ОЧЕРЕДЯМ</x:v>
      </x:c>
      <x:c r="BO90" s="282" t="str">
        <x:v>АЛЛОКАЦИЯ ОБЪЕКТОВ ПО ОЧЕРЕДЯМ</x:v>
      </x:c>
      <x:c r="BP90" s="282" t="str">
        <x:v>АЛЛОКАЦИЯ ОБЪЕКТОВ ПО ОЧЕРЕДЯМ</x:v>
      </x:c>
      <x:c r="BQ90" s="282" t="str">
        <x:v>АЛЛОКАЦИЯ ОБЪЕКТОВ ПО ОЧЕРЕДЯМ</x:v>
      </x:c>
      <x:c r="BR90" s="282" t="str">
        <x:v>АЛЛОКАЦИЯ ОБЪЕКТОВ ПО ОЧЕРЕДЯМ</x:v>
      </x:c>
      <x:c r="BS90" s="282" t="str">
        <x:v>АЛЛОКАЦИЯ ОБЪЕКТОВ ПО ОЧЕРЕДЯМ</x:v>
      </x:c>
      <x:c r="BT90" s="282" t="str">
        <x:v>АЛЛОКАЦИЯ ОБЪЕКТОВ ПО ОЧЕРЕДЯМ</x:v>
      </x:c>
      <x:c r="BU90" s="282" t="str">
        <x:v>АЛЛОКАЦИЯ ОБЪЕКТОВ ПО ОЧЕРЕДЯМ</x:v>
      </x:c>
      <x:c r="BV90" s="282" t="str">
        <x:v>АЛЛОКАЦИЯ ОБЪЕКТОВ ПО ОЧЕРЕДЯМ</x:v>
      </x:c>
      <x:c r="BW90" s="282" t="str">
        <x:v>АЛЛОКАЦИЯ ОБЪЕКТОВ ПО ОЧЕРЕДЯМ</x:v>
      </x:c>
      <x:c r="BX90" s="282" t="str">
        <x:v>АЛЛОКАЦИЯ ОБЪЕКТОВ ПО ОЧЕРЕДЯМ</x:v>
      </x:c>
      <x:c r="BY90" s="282" t="str">
        <x:v>АЛЛОКАЦИЯ ОБЪЕКТОВ ПО ОЧЕРЕДЯМ</x:v>
      </x:c>
      <x:c r="BZ90" s="282" t="str">
        <x:v>АЛЛОКАЦИЯ ОБЪЕКТОВ ПО ОЧЕРЕДЯМ</x:v>
      </x:c>
      <x:c r="CA90" s="282" t="str">
        <x:v>АЛЛОКАЦИЯ ОБЪЕКТОВ ПО ОЧЕРЕДЯМ</x:v>
      </x:c>
      <x:c r="CB90" s="282" t="str">
        <x:v>АЛЛОКАЦИЯ ОБЪЕКТОВ ПО ОЧЕРЕДЯМ</x:v>
      </x:c>
      <x:c r="CC90" s="282" t="str">
        <x:v>АЛЛОКАЦИЯ ОБЪЕКТОВ ПО ОЧЕРЕДЯМ</x:v>
      </x:c>
      <x:c r="CD90" s="282" t="str">
        <x:v>АЛЛОКАЦИЯ ОБЪЕКТОВ ПО ОЧЕРЕДЯМ</x:v>
      </x:c>
      <x:c r="CE90" s="282" t="str">
        <x:v>АЛЛОКАЦИЯ ОБЪЕКТОВ ПО ОЧЕРЕДЯМ</x:v>
      </x:c>
      <x:c r="CF90" s="282" t="str">
        <x:v>АЛЛОКАЦИЯ ОБЪЕКТОВ ПО ОЧЕРЕДЯМ</x:v>
      </x:c>
      <x:c r="CG90" s="282" t="str">
        <x:v>АЛЛОКАЦИЯ ОБЪЕКТОВ ПО ОЧЕРЕДЯМ</x:v>
      </x:c>
      <x:c r="CH90" s="282" t="str">
        <x:v>АЛЛОКАЦИЯ ОБЪЕКТОВ ПО ОЧЕРЕДЯМ</x:v>
      </x:c>
      <x:c r="CI90" s="282" t="str">
        <x:v>АЛЛОКАЦИЯ ОБЪЕКТОВ ПО ОЧЕРЕДЯМ</x:v>
      </x:c>
      <x:c r="CJ90" s="282" t="str">
        <x:v>АЛЛОКАЦИЯ ОБЪЕКТОВ ПО ОЧЕРЕДЯМ</x:v>
      </x:c>
      <x:c r="CK90" s="282" t="str">
        <x:v>АЛЛОКАЦИЯ ОБЪЕКТОВ ПО ОЧЕРЕДЯМ</x:v>
      </x:c>
      <x:c r="CL90" s="282" t="str">
        <x:v>АЛЛОКАЦИЯ ОБЪЕКТОВ ПО ОЧЕРЕДЯМ</x:v>
      </x:c>
      <x:c r="CM90" s="282" t="str">
        <x:v>АЛЛОКАЦИЯ ОБЪЕКТОВ ПО ОЧЕРЕДЯМ</x:v>
      </x:c>
      <x:c r="CN90" s="282" t="str">
        <x:v>АЛЛОКАЦИЯ ОБЪЕКТОВ ПО ОЧЕРЕДЯМ</x:v>
      </x:c>
      <x:c r="CO90" s="282" t="str">
        <x:v>АЛЛОКАЦИЯ ОБЪЕКТОВ ПО ОЧЕРЕДЯМ</x:v>
      </x:c>
      <x:c r="CP90" s="282" t="str">
        <x:v>АЛЛОКАЦИЯ ОБЪЕКТОВ ПО ОЧЕРЕДЯМ</x:v>
      </x:c>
      <x:c r="CQ90" s="282" t="str">
        <x:v>АЛЛОКАЦИЯ ОБЪЕКТОВ ПО ОЧЕРЕДЯМ</x:v>
      </x:c>
      <x:c r="CR90" s="282" t="str">
        <x:v>АЛЛОКАЦИЯ ОБЪЕКТОВ ПО ОЧЕРЕДЯМ</x:v>
      </x:c>
      <x:c r="CS90" s="282" t="str">
        <x:v>АЛЛОКАЦИЯ ОБЪЕКТОВ ПО ОЧЕРЕДЯМ</x:v>
      </x:c>
      <x:c r="CT90" s="282" t="str">
        <x:v>АЛЛОКАЦИЯ ОБЪЕКТОВ ПО ОЧЕРЕДЯМ</x:v>
      </x:c>
      <x:c r="CU90" s="282" t="str">
        <x:v>АЛЛОКАЦИЯ ОБЪЕКТОВ ПО ОЧЕРЕДЯМ</x:v>
      </x:c>
      <x:c r="CV90" s="282" t="str">
        <x:v>АЛЛОКАЦИЯ ОБЪЕКТОВ ПО ОЧЕРЕДЯМ</x:v>
      </x:c>
      <x:c r="CW90" s="282" t="str">
        <x:v>АЛЛОКАЦИЯ ОБЪЕКТОВ ПО ОЧЕРЕДЯМ</x:v>
      </x:c>
      <x:c r="CX90" s="282" t="str">
        <x:v>АЛЛОКАЦИЯ ОБЪЕКТОВ ПО ОЧЕРЕДЯМ</x:v>
      </x:c>
      <x:c r="CY90" s="282" t="str">
        <x:v>АЛЛОКАЦИЯ ОБЪЕКТОВ ПО ОЧЕРЕДЯМ</x:v>
      </x:c>
      <x:c r="CZ90" s="282" t="str">
        <x:v>АЛЛОКАЦИЯ ОБЪЕКТОВ ПО ОЧЕРЕДЯМ</x:v>
      </x:c>
      <x:c r="DA90" s="282" t="str">
        <x:v>АЛЛОКАЦИЯ ОБЪЕКТОВ ПО ОЧЕРЕДЯМ</x:v>
      </x:c>
      <x:c r="DB90" s="282" t="str">
        <x:v>АЛЛОКАЦИЯ ОБЪЕКТОВ ПО ОЧЕРЕДЯМ</x:v>
      </x:c>
      <x:c r="DC90" s="282" t="str">
        <x:v>АЛЛОКАЦИЯ ОБЪЕКТОВ ПО ОЧЕРЕДЯМ</x:v>
      </x:c>
      <x:c r="DD90" s="282" t="str">
        <x:v>АЛЛОКАЦИЯ ОБЪЕКТОВ ПО ОЧЕРЕДЯМ</x:v>
      </x:c>
      <x:c r="DE90" s="282" t="str">
        <x:v>АЛЛОКАЦИЯ ОБЪЕКТОВ ПО ОЧЕРЕДЯМ</x:v>
      </x:c>
      <x:c r="DF90" s="282" t="str">
        <x:v>АЛЛОКАЦИЯ ОБЪЕКТОВ ПО ОЧЕРЕДЯМ</x:v>
      </x:c>
      <x:c r="DG90" s="282" t="str">
        <x:v>АЛЛОКАЦИЯ ОБЪЕКТОВ ПО ОЧЕРЕДЯМ</x:v>
      </x:c>
      <x:c r="DH90" s="282" t="str">
        <x:v>АЛЛОКАЦИЯ ОБЪЕКТОВ ПО ОЧЕРЕДЯМ</x:v>
      </x:c>
      <x:c r="DI90" s="282" t="str">
        <x:v>АЛЛОКАЦИЯ ОБЪЕКТОВ ПО ОЧЕРЕДЯМ</x:v>
      </x:c>
      <x:c r="DJ90" s="282" t="str">
        <x:v>АЛЛОКАЦИЯ ОБЪЕКТОВ ПО ОЧЕРЕДЯМ</x:v>
      </x:c>
      <x:c r="DK90" s="282" t="str">
        <x:v>АЛЛОКАЦИЯ ОБЪЕКТОВ ПО ОЧЕРЕДЯМ</x:v>
      </x:c>
      <x:c r="DL90" s="282" t="str">
        <x:v>АЛЛОКАЦИЯ ОБЪЕКТОВ ПО ОЧЕРЕДЯМ</x:v>
      </x:c>
      <x:c r="DM90" s="282" t="str">
        <x:v>АЛЛОКАЦИЯ ОБЪЕКТОВ ПО ОЧЕРЕДЯМ</x:v>
      </x:c>
      <x:c r="DN90" s="282" t="str">
        <x:v>АЛЛОКАЦИЯ ОБЪЕКТОВ ПО ОЧЕРЕДЯМ</x:v>
      </x:c>
      <x:c r="DO90" s="282" t="str">
        <x:v>АЛЛОКАЦИЯ ОБЪЕКТОВ ПО ОЧЕРЕДЯМ</x:v>
      </x:c>
      <x:c r="DP90" s="282" t="str">
        <x:v>АЛЛОКАЦИЯ ОБЪЕКТОВ ПО ОЧЕРЕДЯМ</x:v>
      </x:c>
      <x:c r="DQ90" s="282" t="str">
        <x:v>АЛЛОКАЦИЯ ОБЪЕКТОВ ПО ОЧЕРЕДЯМ</x:v>
      </x:c>
      <x:c r="DR90" s="282" t="str">
        <x:v>АЛЛОКАЦИЯ ОБЪЕКТОВ ПО ОЧЕРЕДЯМ</x:v>
      </x:c>
      <x:c r="DS90" s="283" t="str">
        <x:v>АЛЛОКАЦИЯ ОБЪЕКТОВ ПО ОЧЕРЕДЯМ</x:v>
      </x:c>
    </x:row>
    <x:row r="91">
      <x:c r="A91" s="289" t="str">
        <x:v>Показатель</x:v>
      </x:c>
      <x:c r="B91" s="289" t="str">
        <x:v>Итого</x:v>
      </x:c>
      <x:c r="C91" s="289" t="str">
        <x:v>Ед.</x:v>
      </x:c>
      <x:c r="D91" s="350" t="n">
        <x:f>'Ставки'!D$3</x:f>
      </x:c>
      <x:c r="E91" s="350" t="n">
        <x:f>'Ставки'!E$3</x:f>
      </x:c>
      <x:c r="F91" s="350" t="n">
        <x:f>'Ставки'!F$3</x:f>
      </x:c>
      <x:c r="G91" s="350" t="n">
        <x:f>'Ставки'!G$3</x:f>
      </x:c>
      <x:c r="H91" s="350" t="n">
        <x:f>'Ставки'!H$3</x:f>
      </x:c>
      <x:c r="I91" s="350" t="n">
        <x:f>'Ставки'!I$3</x:f>
      </x:c>
      <x:c r="J91" s="350" t="n">
        <x:f>'Ставки'!J$3</x:f>
      </x:c>
      <x:c r="K91" s="350" t="n">
        <x:f>'Ставки'!K$3</x:f>
      </x:c>
      <x:c r="L91" s="350" t="n">
        <x:f>'Ставки'!L$3</x:f>
      </x:c>
      <x:c r="M91" s="350" t="n">
        <x:f>'Ставки'!M$3</x:f>
      </x:c>
      <x:c r="N91" s="350" t="n">
        <x:f>'Ставки'!N$3</x:f>
      </x:c>
      <x:c r="O91" s="350" t="n">
        <x:f>'Ставки'!O$3</x:f>
      </x:c>
      <x:c r="P91" s="350" t="n">
        <x:f>'Ставки'!P$3</x:f>
      </x:c>
      <x:c r="Q91" s="350" t="n">
        <x:f>'Ставки'!Q$3</x:f>
      </x:c>
      <x:c r="R91" s="350" t="n">
        <x:f>'Ставки'!R$3</x:f>
      </x:c>
      <x:c r="S91" s="350" t="n">
        <x:f>'Ставки'!S$3</x:f>
      </x:c>
      <x:c r="T91" s="350" t="n">
        <x:f>'Ставки'!T$3</x:f>
      </x:c>
      <x:c r="U91" s="350" t="n">
        <x:f>'Ставки'!U$3</x:f>
      </x:c>
      <x:c r="V91" s="350" t="n">
        <x:f>'Ставки'!V$3</x:f>
      </x:c>
      <x:c r="W91" s="350" t="n">
        <x:f>'Ставки'!W$3</x:f>
      </x:c>
      <x:c r="X91" s="350" t="n">
        <x:f>'Ставки'!X$3</x:f>
      </x:c>
      <x:c r="Y91" s="350" t="n">
        <x:f>'Ставки'!Y$3</x:f>
      </x:c>
      <x:c r="Z91" s="350" t="n">
        <x:f>'Ставки'!Z$3</x:f>
      </x:c>
      <x:c r="AA91" s="350" t="n">
        <x:f>'Ставки'!AA$3</x:f>
      </x:c>
      <x:c r="AB91" s="350" t="n">
        <x:f>'Ставки'!AB$3</x:f>
      </x:c>
      <x:c r="AC91" s="350" t="n">
        <x:f>'Ставки'!AC$3</x:f>
      </x:c>
      <x:c r="AD91" s="350" t="n">
        <x:f>'Ставки'!AD$3</x:f>
      </x:c>
      <x:c r="AE91" s="350" t="n">
        <x:f>'Ставки'!AE$3</x:f>
      </x:c>
      <x:c r="AF91" s="350" t="n">
        <x:f>'Ставки'!AF$3</x:f>
      </x:c>
      <x:c r="AG91" s="350" t="n">
        <x:f>'Ставки'!AG$3</x:f>
      </x:c>
      <x:c r="AH91" s="350" t="n">
        <x:f>'Ставки'!AH$3</x:f>
      </x:c>
      <x:c r="AI91" s="350" t="n">
        <x:f>'Ставки'!AI$3</x:f>
      </x:c>
      <x:c r="AJ91" s="350" t="n">
        <x:f>'Ставки'!AJ$3</x:f>
      </x:c>
      <x:c r="AK91" s="350" t="n">
        <x:f>'Ставки'!AK$3</x:f>
      </x:c>
      <x:c r="AL91" s="350" t="n">
        <x:f>'Ставки'!AL$3</x:f>
      </x:c>
      <x:c r="AM91" s="350" t="n">
        <x:f>'Ставки'!AM$3</x:f>
      </x:c>
      <x:c r="AN91" s="350" t="n">
        <x:f>'Ставки'!AN$3</x:f>
      </x:c>
      <x:c r="AO91" s="350" t="n">
        <x:f>'Ставки'!AO$3</x:f>
      </x:c>
      <x:c r="AP91" s="350" t="n">
        <x:f>'Ставки'!AP$3</x:f>
      </x:c>
      <x:c r="AQ91" s="350" t="n">
        <x:f>'Ставки'!AQ$3</x:f>
      </x:c>
      <x:c r="AR91" s="350" t="n">
        <x:f>'Ставки'!AR$3</x:f>
      </x:c>
      <x:c r="AS91" s="350" t="n">
        <x:f>'Ставки'!AS$3</x:f>
      </x:c>
      <x:c r="AT91" s="350" t="n">
        <x:f>'Ставки'!AT$3</x:f>
      </x:c>
      <x:c r="AU91" s="350" t="n">
        <x:f>'Ставки'!AU$3</x:f>
      </x:c>
      <x:c r="AV91" s="350" t="n">
        <x:f>'Ставки'!AV$3</x:f>
      </x:c>
      <x:c r="AW91" s="350" t="n">
        <x:f>'Ставки'!AW$3</x:f>
      </x:c>
      <x:c r="AX91" s="350" t="n">
        <x:f>'Ставки'!AX$3</x:f>
      </x:c>
      <x:c r="AY91" s="350" t="n">
        <x:f>'Ставки'!AY$3</x:f>
      </x:c>
      <x:c r="AZ91" s="350" t="n">
        <x:f>'Ставки'!AZ$3</x:f>
      </x:c>
      <x:c r="BA91" s="350" t="n">
        <x:f>'Ставки'!BA$3</x:f>
      </x:c>
      <x:c r="BB91" s="350" t="n">
        <x:f>'Ставки'!BB$3</x:f>
      </x:c>
      <x:c r="BC91" s="350" t="n">
        <x:f>'Ставки'!BC$3</x:f>
      </x:c>
      <x:c r="BD91" s="350" t="n">
        <x:f>'Ставки'!BD$3</x:f>
      </x:c>
      <x:c r="BE91" s="350" t="n">
        <x:f>'Ставки'!BE$3</x:f>
      </x:c>
      <x:c r="BF91" s="350" t="n">
        <x:f>'Ставки'!BF$3</x:f>
      </x:c>
      <x:c r="BG91" s="350" t="n">
        <x:f>'Ставки'!BG$3</x:f>
      </x:c>
      <x:c r="BH91" s="350" t="n">
        <x:f>'Ставки'!BH$3</x:f>
      </x:c>
      <x:c r="BI91" s="350" t="n">
        <x:f>'Ставки'!BI$3</x:f>
      </x:c>
      <x:c r="BJ91" s="350" t="n">
        <x:f>'Ставки'!BJ$3</x:f>
      </x:c>
      <x:c r="BK91" s="350" t="n">
        <x:f>'Ставки'!BK$3</x:f>
      </x:c>
      <x:c r="BL91" s="350" t="n">
        <x:f>'Ставки'!BL$3</x:f>
      </x:c>
      <x:c r="BM91" s="350" t="n">
        <x:f>'Ставки'!BM$3</x:f>
      </x:c>
      <x:c r="BN91" s="350" t="n">
        <x:f>'Ставки'!BN$3</x:f>
      </x:c>
      <x:c r="BO91" s="350" t="n">
        <x:f>'Ставки'!BO$3</x:f>
      </x:c>
      <x:c r="BP91" s="350" t="n">
        <x:f>'Ставки'!BP$3</x:f>
      </x:c>
      <x:c r="BQ91" s="350" t="n">
        <x:f>'Ставки'!BQ$3</x:f>
      </x:c>
      <x:c r="BR91" s="350" t="n">
        <x:f>'Ставки'!BR$3</x:f>
      </x:c>
      <x:c r="BS91" s="350" t="n">
        <x:f>'Ставки'!BS$3</x:f>
      </x:c>
      <x:c r="BT91" s="350" t="n">
        <x:f>'Ставки'!BT$3</x:f>
      </x:c>
      <x:c r="BU91" s="350" t="n">
        <x:f>'Ставки'!BU$3</x:f>
      </x:c>
      <x:c r="BV91" s="350" t="n">
        <x:f>'Ставки'!BV$3</x:f>
      </x:c>
      <x:c r="BW91" s="350" t="n">
        <x:f>'Ставки'!BW$3</x:f>
      </x:c>
      <x:c r="BX91" s="350" t="n">
        <x:f>'Ставки'!BX$3</x:f>
      </x:c>
      <x:c r="BY91" s="350" t="n">
        <x:f>'Ставки'!BY$3</x:f>
      </x:c>
      <x:c r="BZ91" s="350" t="n">
        <x:f>'Ставки'!BZ$3</x:f>
      </x:c>
      <x:c r="CA91" s="350" t="n">
        <x:f>'Ставки'!CA$3</x:f>
      </x:c>
      <x:c r="CB91" s="350" t="n">
        <x:f>'Ставки'!CB$3</x:f>
      </x:c>
      <x:c r="CC91" s="350" t="n">
        <x:f>'Ставки'!CC$3</x:f>
      </x:c>
      <x:c r="CD91" s="350" t="n">
        <x:f>'Ставки'!CD$3</x:f>
      </x:c>
      <x:c r="CE91" s="350" t="n">
        <x:f>'Ставки'!CE$3</x:f>
      </x:c>
      <x:c r="CF91" s="350" t="n">
        <x:f>'Ставки'!CF$3</x:f>
      </x:c>
      <x:c r="CG91" s="350" t="n">
        <x:f>'Ставки'!CG$3</x:f>
      </x:c>
      <x:c r="CH91" s="350" t="n">
        <x:f>'Ставки'!CH$3</x:f>
      </x:c>
      <x:c r="CI91" s="350" t="n">
        <x:f>'Ставки'!CI$3</x:f>
      </x:c>
      <x:c r="CJ91" s="350" t="n">
        <x:f>'Ставки'!CJ$3</x:f>
      </x:c>
      <x:c r="CK91" s="350" t="n">
        <x:f>'Ставки'!CK$3</x:f>
      </x:c>
      <x:c r="CL91" s="350" t="n">
        <x:f>'Ставки'!CL$3</x:f>
      </x:c>
      <x:c r="CM91" s="350" t="n">
        <x:f>'Ставки'!CM$3</x:f>
      </x:c>
      <x:c r="CN91" s="350" t="n">
        <x:f>'Ставки'!CN$3</x:f>
      </x:c>
      <x:c r="CO91" s="350" t="n">
        <x:f>'Ставки'!CO$3</x:f>
      </x:c>
      <x:c r="CP91" s="350" t="n">
        <x:f>'Ставки'!CP$3</x:f>
      </x:c>
      <x:c r="CQ91" s="350" t="n">
        <x:f>'Ставки'!CQ$3</x:f>
      </x:c>
      <x:c r="CR91" s="350" t="n">
        <x:f>'Ставки'!CR$3</x:f>
      </x:c>
      <x:c r="CS91" s="350" t="n">
        <x:f>'Ставки'!CS$3</x:f>
      </x:c>
      <x:c r="CT91" s="350" t="n">
        <x:f>'Ставки'!CT$3</x:f>
      </x:c>
      <x:c r="CU91" s="350" t="n">
        <x:f>'Ставки'!CU$3</x:f>
      </x:c>
      <x:c r="CV91" s="350" t="n">
        <x:f>'Ставки'!CV$3</x:f>
      </x:c>
      <x:c r="CW91" s="350" t="n">
        <x:f>'Ставки'!CW$3</x:f>
      </x:c>
      <x:c r="CX91" s="350" t="n">
        <x:f>'Ставки'!CX$3</x:f>
      </x:c>
      <x:c r="CY91" s="350" t="n">
        <x:f>'Ставки'!CY$3</x:f>
      </x:c>
      <x:c r="CZ91" s="350" t="n">
        <x:f>'Ставки'!CZ$3</x:f>
      </x:c>
      <x:c r="DA91" s="350" t="n">
        <x:f>'Ставки'!DA$3</x:f>
      </x:c>
      <x:c r="DB91" s="350" t="n">
        <x:f>'Ставки'!DB$3</x:f>
      </x:c>
      <x:c r="DC91" s="350" t="n">
        <x:f>'Ставки'!DC$3</x:f>
      </x:c>
      <x:c r="DD91" s="350" t="n">
        <x:f>'Ставки'!DD$3</x:f>
      </x:c>
      <x:c r="DE91" s="350" t="n">
        <x:f>'Ставки'!DE$3</x:f>
      </x:c>
      <x:c r="DF91" s="350" t="n">
        <x:f>'Ставки'!DF$3</x:f>
      </x:c>
      <x:c r="DG91" s="350" t="n">
        <x:f>'Ставки'!DG$3</x:f>
      </x:c>
      <x:c r="DH91" s="350" t="n">
        <x:f>'Ставки'!DH$3</x:f>
      </x:c>
      <x:c r="DI91" s="350" t="n">
        <x:f>'Ставки'!DI$3</x:f>
      </x:c>
      <x:c r="DJ91" s="350" t="n">
        <x:f>'Ставки'!DJ$3</x:f>
      </x:c>
      <x:c r="DK91" s="350" t="n">
        <x:f>'Ставки'!DK$3</x:f>
      </x:c>
      <x:c r="DL91" s="350" t="n">
        <x:f>'Ставки'!DL$3</x:f>
      </x:c>
      <x:c r="DM91" s="350" t="n">
        <x:f>'Ставки'!DM$3</x:f>
      </x:c>
      <x:c r="DN91" s="350" t="n">
        <x:f>'Ставки'!DN$3</x:f>
      </x:c>
      <x:c r="DO91" s="350" t="n">
        <x:f>'Ставки'!DO$3</x:f>
      </x:c>
      <x:c r="DP91" s="350" t="n">
        <x:f>'Ставки'!DP$3</x:f>
      </x:c>
      <x:c r="DQ91" s="350" t="n">
        <x:f>'Ставки'!DQ$3</x:f>
      </x:c>
      <x:c r="DR91" s="350" t="n">
        <x:f>'Ставки'!DR$3</x:f>
      </x:c>
      <x:c r="DS91" s="350" t="n">
        <x:f>'Ставки'!DS$3</x:f>
      </x:c>
    </x:row>
    <x:row r="92">
      <x:c r="A92" t="str">
        <x:v>Очередь 1 — Выручка объектов</x:v>
      </x:c>
      <x:c r="B92" s="107" t="n">
        <x:f>SUM(D92:DS92)</x:f>
      </x:c>
      <x:c r="C92" t="str">
        <x:v>млн ₽</x:v>
      </x:c>
      <x:c r="D92" s="107" t="n">
        <x:f>SUM(IF($B$8=1,D24,0),IF($B$36=1,D52,0),IF($B$64=1,D80,0))</x:f>
      </x:c>
      <x:c r="E92" s="107" t="n">
        <x:f>SUM(IF($B$8=1,E24,0),IF($B$36=1,E52,0),IF($B$64=1,E80,0))</x:f>
      </x:c>
      <x:c r="F92" s="107" t="n">
        <x:f>SUM(IF($B$8=1,F24,0),IF($B$36=1,F52,0),IF($B$64=1,F80,0))</x:f>
      </x:c>
      <x:c r="G92" s="107" t="n">
        <x:f>SUM(IF($B$8=1,G24,0),IF($B$36=1,G52,0),IF($B$64=1,G80,0))</x:f>
      </x:c>
      <x:c r="H92" s="107" t="n">
        <x:f>SUM(IF($B$8=1,H24,0),IF($B$36=1,H52,0),IF($B$64=1,H80,0))</x:f>
      </x:c>
      <x:c r="I92" s="107" t="n">
        <x:f>SUM(IF($B$8=1,I24,0),IF($B$36=1,I52,0),IF($B$64=1,I80,0))</x:f>
      </x:c>
      <x:c r="J92" s="107" t="n">
        <x:f>SUM(IF($B$8=1,J24,0),IF($B$36=1,J52,0),IF($B$64=1,J80,0))</x:f>
      </x:c>
      <x:c r="K92" s="107" t="n">
        <x:f>SUM(IF($B$8=1,K24,0),IF($B$36=1,K52,0),IF($B$64=1,K80,0))</x:f>
      </x:c>
      <x:c r="L92" s="107" t="n">
        <x:f>SUM(IF($B$8=1,L24,0),IF($B$36=1,L52,0),IF($B$64=1,L80,0))</x:f>
      </x:c>
      <x:c r="M92" s="107" t="n">
        <x:f>SUM(IF($B$8=1,M24,0),IF($B$36=1,M52,0),IF($B$64=1,M80,0))</x:f>
      </x:c>
      <x:c r="N92" s="107" t="n">
        <x:f>SUM(IF($B$8=1,N24,0),IF($B$36=1,N52,0),IF($B$64=1,N80,0))</x:f>
      </x:c>
      <x:c r="O92" s="107" t="n">
        <x:f>SUM(IF($B$8=1,O24,0),IF($B$36=1,O52,0),IF($B$64=1,O80,0))</x:f>
      </x:c>
      <x:c r="P92" s="107" t="n">
        <x:f>SUM(IF($B$8=1,P24,0),IF($B$36=1,P52,0),IF($B$64=1,P80,0))</x:f>
      </x:c>
      <x:c r="Q92" s="107" t="n">
        <x:f>SUM(IF($B$8=1,Q24,0),IF($B$36=1,Q52,0),IF($B$64=1,Q80,0))</x:f>
      </x:c>
      <x:c r="R92" s="107" t="n">
        <x:f>SUM(IF($B$8=1,R24,0),IF($B$36=1,R52,0),IF($B$64=1,R80,0))</x:f>
      </x:c>
      <x:c r="S92" s="107" t="n">
        <x:f>SUM(IF($B$8=1,S24,0),IF($B$36=1,S52,0),IF($B$64=1,S80,0))</x:f>
      </x:c>
      <x:c r="T92" s="107" t="n">
        <x:f>SUM(IF($B$8=1,T24,0),IF($B$36=1,T52,0),IF($B$64=1,T80,0))</x:f>
      </x:c>
      <x:c r="U92" s="107" t="n">
        <x:f>SUM(IF($B$8=1,U24,0),IF($B$36=1,U52,0),IF($B$64=1,U80,0))</x:f>
      </x:c>
      <x:c r="V92" s="107" t="n">
        <x:f>SUM(IF($B$8=1,V24,0),IF($B$36=1,V52,0),IF($B$64=1,V80,0))</x:f>
      </x:c>
      <x:c r="W92" s="107" t="n">
        <x:f>SUM(IF($B$8=1,W24,0),IF($B$36=1,W52,0),IF($B$64=1,W80,0))</x:f>
      </x:c>
      <x:c r="X92" s="107" t="n">
        <x:f>SUM(IF($B$8=1,X24,0),IF($B$36=1,X52,0),IF($B$64=1,X80,0))</x:f>
      </x:c>
      <x:c r="Y92" s="107" t="n">
        <x:f>SUM(IF($B$8=1,Y24,0),IF($B$36=1,Y52,0),IF($B$64=1,Y80,0))</x:f>
      </x:c>
      <x:c r="Z92" s="107" t="n">
        <x:f>SUM(IF($B$8=1,Z24,0),IF($B$36=1,Z52,0),IF($B$64=1,Z80,0))</x:f>
      </x:c>
      <x:c r="AA92" s="107" t="n">
        <x:f>SUM(IF($B$8=1,AA24,0),IF($B$36=1,AA52,0),IF($B$64=1,AA80,0))</x:f>
      </x:c>
      <x:c r="AB92" s="107" t="n">
        <x:f>SUM(IF($B$8=1,AB24,0),IF($B$36=1,AB52,0),IF($B$64=1,AB80,0))</x:f>
      </x:c>
      <x:c r="AC92" s="107" t="n">
        <x:f>SUM(IF($B$8=1,AC24,0),IF($B$36=1,AC52,0),IF($B$64=1,AC80,0))</x:f>
      </x:c>
      <x:c r="AD92" s="107" t="n">
        <x:f>SUM(IF($B$8=1,AD24,0),IF($B$36=1,AD52,0),IF($B$64=1,AD80,0))</x:f>
      </x:c>
      <x:c r="AE92" s="107" t="n">
        <x:f>SUM(IF($B$8=1,AE24,0),IF($B$36=1,AE52,0),IF($B$64=1,AE80,0))</x:f>
      </x:c>
      <x:c r="AF92" s="107" t="n">
        <x:f>SUM(IF($B$8=1,AF24,0),IF($B$36=1,AF52,0),IF($B$64=1,AF80,0))</x:f>
      </x:c>
      <x:c r="AG92" s="107" t="n">
        <x:f>SUM(IF($B$8=1,AG24,0),IF($B$36=1,AG52,0),IF($B$64=1,AG80,0))</x:f>
      </x:c>
      <x:c r="AH92" s="107" t="n">
        <x:f>SUM(IF($B$8=1,AH24,0),IF($B$36=1,AH52,0),IF($B$64=1,AH80,0))</x:f>
      </x:c>
      <x:c r="AI92" s="107" t="n">
        <x:f>SUM(IF($B$8=1,AI24,0),IF($B$36=1,AI52,0),IF($B$64=1,AI80,0))</x:f>
      </x:c>
      <x:c r="AJ92" s="107" t="n">
        <x:f>SUM(IF($B$8=1,AJ24,0),IF($B$36=1,AJ52,0),IF($B$64=1,AJ80,0))</x:f>
      </x:c>
      <x:c r="AK92" s="107" t="n">
        <x:f>SUM(IF($B$8=1,AK24,0),IF($B$36=1,AK52,0),IF($B$64=1,AK80,0))</x:f>
      </x:c>
      <x:c r="AL92" s="107" t="n">
        <x:f>SUM(IF($B$8=1,AL24,0),IF($B$36=1,AL52,0),IF($B$64=1,AL80,0))</x:f>
      </x:c>
      <x:c r="AM92" s="107" t="n">
        <x:f>SUM(IF($B$8=1,AM24,0),IF($B$36=1,AM52,0),IF($B$64=1,AM80,0))</x:f>
      </x:c>
      <x:c r="AN92" s="107" t="n">
        <x:f>SUM(IF($B$8=1,AN24,0),IF($B$36=1,AN52,0),IF($B$64=1,AN80,0))</x:f>
      </x:c>
      <x:c r="AO92" s="107" t="n">
        <x:f>SUM(IF($B$8=1,AO24,0),IF($B$36=1,AO52,0),IF($B$64=1,AO80,0))</x:f>
      </x:c>
      <x:c r="AP92" s="107" t="n">
        <x:f>SUM(IF($B$8=1,AP24,0),IF($B$36=1,AP52,0),IF($B$64=1,AP80,0))</x:f>
      </x:c>
      <x:c r="AQ92" s="107" t="n">
        <x:f>SUM(IF($B$8=1,AQ24,0),IF($B$36=1,AQ52,0),IF($B$64=1,AQ80,0))</x:f>
      </x:c>
      <x:c r="AR92" s="107" t="n">
        <x:f>SUM(IF($B$8=1,AR24,0),IF($B$36=1,AR52,0),IF($B$64=1,AR80,0))</x:f>
      </x:c>
      <x:c r="AS92" s="107" t="n">
        <x:f>SUM(IF($B$8=1,AS24,0),IF($B$36=1,AS52,0),IF($B$64=1,AS80,0))</x:f>
      </x:c>
      <x:c r="AT92" s="107" t="n">
        <x:f>SUM(IF($B$8=1,AT24,0),IF($B$36=1,AT52,0),IF($B$64=1,AT80,0))</x:f>
      </x:c>
      <x:c r="AU92" s="107" t="n">
        <x:f>SUM(IF($B$8=1,AU24,0),IF($B$36=1,AU52,0),IF($B$64=1,AU80,0))</x:f>
      </x:c>
      <x:c r="AV92" s="107" t="n">
        <x:f>SUM(IF($B$8=1,AV24,0),IF($B$36=1,AV52,0),IF($B$64=1,AV80,0))</x:f>
      </x:c>
      <x:c r="AW92" s="107" t="n">
        <x:f>SUM(IF($B$8=1,AW24,0),IF($B$36=1,AW52,0),IF($B$64=1,AW80,0))</x:f>
      </x:c>
      <x:c r="AX92" s="107" t="n">
        <x:f>SUM(IF($B$8=1,AX24,0),IF($B$36=1,AX52,0),IF($B$64=1,AX80,0))</x:f>
      </x:c>
      <x:c r="AY92" s="107" t="n">
        <x:f>SUM(IF($B$8=1,AY24,0),IF($B$36=1,AY52,0),IF($B$64=1,AY80,0))</x:f>
      </x:c>
      <x:c r="AZ92" s="107" t="n">
        <x:f>SUM(IF($B$8=1,AZ24,0),IF($B$36=1,AZ52,0),IF($B$64=1,AZ80,0))</x:f>
      </x:c>
      <x:c r="BA92" s="107" t="n">
        <x:f>SUM(IF($B$8=1,BA24,0),IF($B$36=1,BA52,0),IF($B$64=1,BA80,0))</x:f>
      </x:c>
      <x:c r="BB92" s="107" t="n">
        <x:f>SUM(IF($B$8=1,BB24,0),IF($B$36=1,BB52,0),IF($B$64=1,BB80,0))</x:f>
      </x:c>
      <x:c r="BC92" s="107" t="n">
        <x:f>SUM(IF($B$8=1,BC24,0),IF($B$36=1,BC52,0),IF($B$64=1,BC80,0))</x:f>
      </x:c>
      <x:c r="BD92" s="107" t="n">
        <x:f>SUM(IF($B$8=1,BD24,0),IF($B$36=1,BD52,0),IF($B$64=1,BD80,0))</x:f>
      </x:c>
      <x:c r="BE92" s="107" t="n">
        <x:f>SUM(IF($B$8=1,BE24,0),IF($B$36=1,BE52,0),IF($B$64=1,BE80,0))</x:f>
      </x:c>
      <x:c r="BF92" s="107" t="n">
        <x:f>SUM(IF($B$8=1,BF24,0),IF($B$36=1,BF52,0),IF($B$64=1,BF80,0))</x:f>
      </x:c>
      <x:c r="BG92" s="107" t="n">
        <x:f>SUM(IF($B$8=1,BG24,0),IF($B$36=1,BG52,0),IF($B$64=1,BG80,0))</x:f>
      </x:c>
      <x:c r="BH92" s="107" t="n">
        <x:f>SUM(IF($B$8=1,BH24,0),IF($B$36=1,BH52,0),IF($B$64=1,BH80,0))</x:f>
      </x:c>
      <x:c r="BI92" s="107" t="n">
        <x:f>SUM(IF($B$8=1,BI24,0),IF($B$36=1,BI52,0),IF($B$64=1,BI80,0))</x:f>
      </x:c>
      <x:c r="BJ92" s="107" t="n">
        <x:f>SUM(IF($B$8=1,BJ24,0),IF($B$36=1,BJ52,0),IF($B$64=1,BJ80,0))</x:f>
      </x:c>
      <x:c r="BK92" s="107" t="n">
        <x:f>SUM(IF($B$8=1,BK24,0),IF($B$36=1,BK52,0),IF($B$64=1,BK80,0))</x:f>
      </x:c>
      <x:c r="BL92" s="107" t="n">
        <x:f>SUM(IF($B$8=1,BL24,0),IF($B$36=1,BL52,0),IF($B$64=1,BL80,0))</x:f>
      </x:c>
      <x:c r="BM92" s="107" t="n">
        <x:f>SUM(IF($B$8=1,BM24,0),IF($B$36=1,BM52,0),IF($B$64=1,BM80,0))</x:f>
      </x:c>
      <x:c r="BN92" s="107" t="n">
        <x:f>SUM(IF($B$8=1,BN24,0),IF($B$36=1,BN52,0),IF($B$64=1,BN80,0))</x:f>
      </x:c>
      <x:c r="BO92" s="107" t="n">
        <x:f>SUM(IF($B$8=1,BO24,0),IF($B$36=1,BO52,0),IF($B$64=1,BO80,0))</x:f>
      </x:c>
      <x:c r="BP92" s="107" t="n">
        <x:f>SUM(IF($B$8=1,BP24,0),IF($B$36=1,BP52,0),IF($B$64=1,BP80,0))</x:f>
      </x:c>
      <x:c r="BQ92" s="107" t="n">
        <x:f>SUM(IF($B$8=1,BQ24,0),IF($B$36=1,BQ52,0),IF($B$64=1,BQ80,0))</x:f>
      </x:c>
      <x:c r="BR92" s="107" t="n">
        <x:f>SUM(IF($B$8=1,BR24,0),IF($B$36=1,BR52,0),IF($B$64=1,BR80,0))</x:f>
      </x:c>
      <x:c r="BS92" s="107" t="n">
        <x:f>SUM(IF($B$8=1,BS24,0),IF($B$36=1,BS52,0),IF($B$64=1,BS80,0))</x:f>
      </x:c>
      <x:c r="BT92" s="107" t="n">
        <x:f>SUM(IF($B$8=1,BT24,0),IF($B$36=1,BT52,0),IF($B$64=1,BT80,0))</x:f>
      </x:c>
      <x:c r="BU92" s="107" t="n">
        <x:f>SUM(IF($B$8=1,BU24,0),IF($B$36=1,BU52,0),IF($B$64=1,BU80,0))</x:f>
      </x:c>
      <x:c r="BV92" s="107" t="n">
        <x:f>SUM(IF($B$8=1,BV24,0),IF($B$36=1,BV52,0),IF($B$64=1,BV80,0))</x:f>
      </x:c>
      <x:c r="BW92" s="107" t="n">
        <x:f>SUM(IF($B$8=1,BW24,0),IF($B$36=1,BW52,0),IF($B$64=1,BW80,0))</x:f>
      </x:c>
      <x:c r="BX92" s="107" t="n">
        <x:f>SUM(IF($B$8=1,BX24,0),IF($B$36=1,BX52,0),IF($B$64=1,BX80,0))</x:f>
      </x:c>
      <x:c r="BY92" s="107" t="n">
        <x:f>SUM(IF($B$8=1,BY24,0),IF($B$36=1,BY52,0),IF($B$64=1,BY80,0))</x:f>
      </x:c>
      <x:c r="BZ92" s="107" t="n">
        <x:f>SUM(IF($B$8=1,BZ24,0),IF($B$36=1,BZ52,0),IF($B$64=1,BZ80,0))</x:f>
      </x:c>
      <x:c r="CA92" s="107" t="n">
        <x:f>SUM(IF($B$8=1,CA24,0),IF($B$36=1,CA52,0),IF($B$64=1,CA80,0))</x:f>
      </x:c>
      <x:c r="CB92" s="107" t="n">
        <x:f>SUM(IF($B$8=1,CB24,0),IF($B$36=1,CB52,0),IF($B$64=1,CB80,0))</x:f>
      </x:c>
      <x:c r="CC92" s="107" t="n">
        <x:f>SUM(IF($B$8=1,CC24,0),IF($B$36=1,CC52,0),IF($B$64=1,CC80,0))</x:f>
      </x:c>
      <x:c r="CD92" s="107" t="n">
        <x:f>SUM(IF($B$8=1,CD24,0),IF($B$36=1,CD52,0),IF($B$64=1,CD80,0))</x:f>
      </x:c>
      <x:c r="CE92" s="107" t="n">
        <x:f>SUM(IF($B$8=1,CE24,0),IF($B$36=1,CE52,0),IF($B$64=1,CE80,0))</x:f>
      </x:c>
      <x:c r="CF92" s="107" t="n">
        <x:f>SUM(IF($B$8=1,CF24,0),IF($B$36=1,CF52,0),IF($B$64=1,CF80,0))</x:f>
      </x:c>
      <x:c r="CG92" s="107" t="n">
        <x:f>SUM(IF($B$8=1,CG24,0),IF($B$36=1,CG52,0),IF($B$64=1,CG80,0))</x:f>
      </x:c>
      <x:c r="CH92" s="107" t="n">
        <x:f>SUM(IF($B$8=1,CH24,0),IF($B$36=1,CH52,0),IF($B$64=1,CH80,0))</x:f>
      </x:c>
      <x:c r="CI92" s="107" t="n">
        <x:f>SUM(IF($B$8=1,CI24,0),IF($B$36=1,CI52,0),IF($B$64=1,CI80,0))</x:f>
      </x:c>
      <x:c r="CJ92" s="107" t="n">
        <x:f>SUM(IF($B$8=1,CJ24,0),IF($B$36=1,CJ52,0),IF($B$64=1,CJ80,0))</x:f>
      </x:c>
      <x:c r="CK92" s="107" t="n">
        <x:f>SUM(IF($B$8=1,CK24,0),IF($B$36=1,CK52,0),IF($B$64=1,CK80,0))</x:f>
      </x:c>
      <x:c r="CL92" s="107" t="n">
        <x:f>SUM(IF($B$8=1,CL24,0),IF($B$36=1,CL52,0),IF($B$64=1,CL80,0))</x:f>
      </x:c>
      <x:c r="CM92" s="107" t="n">
        <x:f>SUM(IF($B$8=1,CM24,0),IF($B$36=1,CM52,0),IF($B$64=1,CM80,0))</x:f>
      </x:c>
      <x:c r="CN92" s="107" t="n">
        <x:f>SUM(IF($B$8=1,CN24,0),IF($B$36=1,CN52,0),IF($B$64=1,CN80,0))</x:f>
      </x:c>
      <x:c r="CO92" s="107" t="n">
        <x:f>SUM(IF($B$8=1,CO24,0),IF($B$36=1,CO52,0),IF($B$64=1,CO80,0))</x:f>
      </x:c>
      <x:c r="CP92" s="107" t="n">
        <x:f>SUM(IF($B$8=1,CP24,0),IF($B$36=1,CP52,0),IF($B$64=1,CP80,0))</x:f>
      </x:c>
      <x:c r="CQ92" s="107" t="n">
        <x:f>SUM(IF($B$8=1,CQ24,0),IF($B$36=1,CQ52,0),IF($B$64=1,CQ80,0))</x:f>
      </x:c>
      <x:c r="CR92" s="107" t="n">
        <x:f>SUM(IF($B$8=1,CR24,0),IF($B$36=1,CR52,0),IF($B$64=1,CR80,0))</x:f>
      </x:c>
      <x:c r="CS92" s="107" t="n">
        <x:f>SUM(IF($B$8=1,CS24,0),IF($B$36=1,CS52,0),IF($B$64=1,CS80,0))</x:f>
      </x:c>
      <x:c r="CT92" s="107" t="n">
        <x:f>SUM(IF($B$8=1,CT24,0),IF($B$36=1,CT52,0),IF($B$64=1,CT80,0))</x:f>
      </x:c>
      <x:c r="CU92" s="107" t="n">
        <x:f>SUM(IF($B$8=1,CU24,0),IF($B$36=1,CU52,0),IF($B$64=1,CU80,0))</x:f>
      </x:c>
      <x:c r="CV92" s="107" t="n">
        <x:f>SUM(IF($B$8=1,CV24,0),IF($B$36=1,CV52,0),IF($B$64=1,CV80,0))</x:f>
      </x:c>
      <x:c r="CW92" s="107" t="n">
        <x:f>SUM(IF($B$8=1,CW24,0),IF($B$36=1,CW52,0),IF($B$64=1,CW80,0))</x:f>
      </x:c>
      <x:c r="CX92" s="107" t="n">
        <x:f>SUM(IF($B$8=1,CX24,0),IF($B$36=1,CX52,0),IF($B$64=1,CX80,0))</x:f>
      </x:c>
      <x:c r="CY92" s="107" t="n">
        <x:f>SUM(IF($B$8=1,CY24,0),IF($B$36=1,CY52,0),IF($B$64=1,CY80,0))</x:f>
      </x:c>
      <x:c r="CZ92" s="107" t="n">
        <x:f>SUM(IF($B$8=1,CZ24,0),IF($B$36=1,CZ52,0),IF($B$64=1,CZ80,0))</x:f>
      </x:c>
      <x:c r="DA92" s="107" t="n">
        <x:f>SUM(IF($B$8=1,DA24,0),IF($B$36=1,DA52,0),IF($B$64=1,DA80,0))</x:f>
      </x:c>
      <x:c r="DB92" s="107" t="n">
        <x:f>SUM(IF($B$8=1,DB24,0),IF($B$36=1,DB52,0),IF($B$64=1,DB80,0))</x:f>
      </x:c>
      <x:c r="DC92" s="107" t="n">
        <x:f>SUM(IF($B$8=1,DC24,0),IF($B$36=1,DC52,0),IF($B$64=1,DC80,0))</x:f>
      </x:c>
      <x:c r="DD92" s="107" t="n">
        <x:f>SUM(IF($B$8=1,DD24,0),IF($B$36=1,DD52,0),IF($B$64=1,DD80,0))</x:f>
      </x:c>
      <x:c r="DE92" s="107" t="n">
        <x:f>SUM(IF($B$8=1,DE24,0),IF($B$36=1,DE52,0),IF($B$64=1,DE80,0))</x:f>
      </x:c>
      <x:c r="DF92" s="107" t="n">
        <x:f>SUM(IF($B$8=1,DF24,0),IF($B$36=1,DF52,0),IF($B$64=1,DF80,0))</x:f>
      </x:c>
      <x:c r="DG92" s="107" t="n">
        <x:f>SUM(IF($B$8=1,DG24,0),IF($B$36=1,DG52,0),IF($B$64=1,DG80,0))</x:f>
      </x:c>
      <x:c r="DH92" s="107" t="n">
        <x:f>SUM(IF($B$8=1,DH24,0),IF($B$36=1,DH52,0),IF($B$64=1,DH80,0))</x:f>
      </x:c>
      <x:c r="DI92" s="107" t="n">
        <x:f>SUM(IF($B$8=1,DI24,0),IF($B$36=1,DI52,0),IF($B$64=1,DI80,0))</x:f>
      </x:c>
      <x:c r="DJ92" s="107" t="n">
        <x:f>SUM(IF($B$8=1,DJ24,0),IF($B$36=1,DJ52,0),IF($B$64=1,DJ80,0))</x:f>
      </x:c>
      <x:c r="DK92" s="107" t="n">
        <x:f>SUM(IF($B$8=1,DK24,0),IF($B$36=1,DK52,0),IF($B$64=1,DK80,0))</x:f>
      </x:c>
      <x:c r="DL92" s="107" t="n">
        <x:f>SUM(IF($B$8=1,DL24,0),IF($B$36=1,DL52,0),IF($B$64=1,DL80,0))</x:f>
      </x:c>
      <x:c r="DM92" s="107" t="n">
        <x:f>SUM(IF($B$8=1,DM24,0),IF($B$36=1,DM52,0),IF($B$64=1,DM80,0))</x:f>
      </x:c>
      <x:c r="DN92" s="107" t="n">
        <x:f>SUM(IF($B$8=1,DN24,0),IF($B$36=1,DN52,0),IF($B$64=1,DN80,0))</x:f>
      </x:c>
      <x:c r="DO92" s="107" t="n">
        <x:f>SUM(IF($B$8=1,DO24,0),IF($B$36=1,DO52,0),IF($B$64=1,DO80,0))</x:f>
      </x:c>
      <x:c r="DP92" s="107" t="n">
        <x:f>SUM(IF($B$8=1,DP24,0),IF($B$36=1,DP52,0),IF($B$64=1,DP80,0))</x:f>
      </x:c>
      <x:c r="DQ92" s="107" t="n">
        <x:f>SUM(IF($B$8=1,DQ24,0),IF($B$36=1,DQ52,0),IF($B$64=1,DQ80,0))</x:f>
      </x:c>
      <x:c r="DR92" s="107" t="n">
        <x:f>SUM(IF($B$8=1,DR24,0),IF($B$36=1,DR52,0),IF($B$64=1,DR80,0))</x:f>
      </x:c>
      <x:c r="DS92" s="107" t="n">
        <x:f>SUM(IF($B$8=1,DS24,0),IF($B$36=1,DS52,0),IF($B$64=1,DS80,0))</x:f>
      </x:c>
    </x:row>
    <x:row r="93">
      <x:c r="A93" t="str">
        <x:v>Очередь 1 — Поступления объектов на эскроу</x:v>
      </x:c>
      <x:c r="B93" s="107" t="n">
        <x:f>SUM(D93:DS93)</x:f>
      </x:c>
      <x:c r="C93" t="str">
        <x:v>млн ₽</x:v>
      </x:c>
      <x:c r="D93" s="107" t="n">
        <x:f>SUM(IF($B$8=1,D25,0),IF($B$36=1,D53,0),IF($B$64=1,D81,0))</x:f>
      </x:c>
      <x:c r="E93" s="107" t="n">
        <x:f>SUM(IF($B$8=1,E25,0),IF($B$36=1,E53,0),IF($B$64=1,E81,0))</x:f>
      </x:c>
      <x:c r="F93" s="107" t="n">
        <x:f>SUM(IF($B$8=1,F25,0),IF($B$36=1,F53,0),IF($B$64=1,F81,0))</x:f>
      </x:c>
      <x:c r="G93" s="107" t="n">
        <x:f>SUM(IF($B$8=1,G25,0),IF($B$36=1,G53,0),IF($B$64=1,G81,0))</x:f>
      </x:c>
      <x:c r="H93" s="107" t="n">
        <x:f>SUM(IF($B$8=1,H25,0),IF($B$36=1,H53,0),IF($B$64=1,H81,0))</x:f>
      </x:c>
      <x:c r="I93" s="107" t="n">
        <x:f>SUM(IF($B$8=1,I25,0),IF($B$36=1,I53,0),IF($B$64=1,I81,0))</x:f>
      </x:c>
      <x:c r="J93" s="107" t="n">
        <x:f>SUM(IF($B$8=1,J25,0),IF($B$36=1,J53,0),IF($B$64=1,J81,0))</x:f>
      </x:c>
      <x:c r="K93" s="107" t="n">
        <x:f>SUM(IF($B$8=1,K25,0),IF($B$36=1,K53,0),IF($B$64=1,K81,0))</x:f>
      </x:c>
      <x:c r="L93" s="107" t="n">
        <x:f>SUM(IF($B$8=1,L25,0),IF($B$36=1,L53,0),IF($B$64=1,L81,0))</x:f>
      </x:c>
      <x:c r="M93" s="107" t="n">
        <x:f>SUM(IF($B$8=1,M25,0),IF($B$36=1,M53,0),IF($B$64=1,M81,0))</x:f>
      </x:c>
      <x:c r="N93" s="107" t="n">
        <x:f>SUM(IF($B$8=1,N25,0),IF($B$36=1,N53,0),IF($B$64=1,N81,0))</x:f>
      </x:c>
      <x:c r="O93" s="107" t="n">
        <x:f>SUM(IF($B$8=1,O25,0),IF($B$36=1,O53,0),IF($B$64=1,O81,0))</x:f>
      </x:c>
      <x:c r="P93" s="107" t="n">
        <x:f>SUM(IF($B$8=1,P25,0),IF($B$36=1,P53,0),IF($B$64=1,P81,0))</x:f>
      </x:c>
      <x:c r="Q93" s="107" t="n">
        <x:f>SUM(IF($B$8=1,Q25,0),IF($B$36=1,Q53,0),IF($B$64=1,Q81,0))</x:f>
      </x:c>
      <x:c r="R93" s="107" t="n">
        <x:f>SUM(IF($B$8=1,R25,0),IF($B$36=1,R53,0),IF($B$64=1,R81,0))</x:f>
      </x:c>
      <x:c r="S93" s="107" t="n">
        <x:f>SUM(IF($B$8=1,S25,0),IF($B$36=1,S53,0),IF($B$64=1,S81,0))</x:f>
      </x:c>
      <x:c r="T93" s="107" t="n">
        <x:f>SUM(IF($B$8=1,T25,0),IF($B$36=1,T53,0),IF($B$64=1,T81,0))</x:f>
      </x:c>
      <x:c r="U93" s="107" t="n">
        <x:f>SUM(IF($B$8=1,U25,0),IF($B$36=1,U53,0),IF($B$64=1,U81,0))</x:f>
      </x:c>
      <x:c r="V93" s="107" t="n">
        <x:f>SUM(IF($B$8=1,V25,0),IF($B$36=1,V53,0),IF($B$64=1,V81,0))</x:f>
      </x:c>
      <x:c r="W93" s="107" t="n">
        <x:f>SUM(IF($B$8=1,W25,0),IF($B$36=1,W53,0),IF($B$64=1,W81,0))</x:f>
      </x:c>
      <x:c r="X93" s="107" t="n">
        <x:f>SUM(IF($B$8=1,X25,0),IF($B$36=1,X53,0),IF($B$64=1,X81,0))</x:f>
      </x:c>
      <x:c r="Y93" s="107" t="n">
        <x:f>SUM(IF($B$8=1,Y25,0),IF($B$36=1,Y53,0),IF($B$64=1,Y81,0))</x:f>
      </x:c>
      <x:c r="Z93" s="107" t="n">
        <x:f>SUM(IF($B$8=1,Z25,0),IF($B$36=1,Z53,0),IF($B$64=1,Z81,0))</x:f>
      </x:c>
      <x:c r="AA93" s="107" t="n">
        <x:f>SUM(IF($B$8=1,AA25,0),IF($B$36=1,AA53,0),IF($B$64=1,AA81,0))</x:f>
      </x:c>
      <x:c r="AB93" s="107" t="n">
        <x:f>SUM(IF($B$8=1,AB25,0),IF($B$36=1,AB53,0),IF($B$64=1,AB81,0))</x:f>
      </x:c>
      <x:c r="AC93" s="107" t="n">
        <x:f>SUM(IF($B$8=1,AC25,0),IF($B$36=1,AC53,0),IF($B$64=1,AC81,0))</x:f>
      </x:c>
      <x:c r="AD93" s="107" t="n">
        <x:f>SUM(IF($B$8=1,AD25,0),IF($B$36=1,AD53,0),IF($B$64=1,AD81,0))</x:f>
      </x:c>
      <x:c r="AE93" s="107" t="n">
        <x:f>SUM(IF($B$8=1,AE25,0),IF($B$36=1,AE53,0),IF($B$64=1,AE81,0))</x:f>
      </x:c>
      <x:c r="AF93" s="107" t="n">
        <x:f>SUM(IF($B$8=1,AF25,0),IF($B$36=1,AF53,0),IF($B$64=1,AF81,0))</x:f>
      </x:c>
      <x:c r="AG93" s="107" t="n">
        <x:f>SUM(IF($B$8=1,AG25,0),IF($B$36=1,AG53,0),IF($B$64=1,AG81,0))</x:f>
      </x:c>
      <x:c r="AH93" s="107" t="n">
        <x:f>SUM(IF($B$8=1,AH25,0),IF($B$36=1,AH53,0),IF($B$64=1,AH81,0))</x:f>
      </x:c>
      <x:c r="AI93" s="107" t="n">
        <x:f>SUM(IF($B$8=1,AI25,0),IF($B$36=1,AI53,0),IF($B$64=1,AI81,0))</x:f>
      </x:c>
      <x:c r="AJ93" s="107" t="n">
        <x:f>SUM(IF($B$8=1,AJ25,0),IF($B$36=1,AJ53,0),IF($B$64=1,AJ81,0))</x:f>
      </x:c>
      <x:c r="AK93" s="107" t="n">
        <x:f>SUM(IF($B$8=1,AK25,0),IF($B$36=1,AK53,0),IF($B$64=1,AK81,0))</x:f>
      </x:c>
      <x:c r="AL93" s="107" t="n">
        <x:f>SUM(IF($B$8=1,AL25,0),IF($B$36=1,AL53,0),IF($B$64=1,AL81,0))</x:f>
      </x:c>
      <x:c r="AM93" s="107" t="n">
        <x:f>SUM(IF($B$8=1,AM25,0),IF($B$36=1,AM53,0),IF($B$64=1,AM81,0))</x:f>
      </x:c>
      <x:c r="AN93" s="107" t="n">
        <x:f>SUM(IF($B$8=1,AN25,0),IF($B$36=1,AN53,0),IF($B$64=1,AN81,0))</x:f>
      </x:c>
      <x:c r="AO93" s="107" t="n">
        <x:f>SUM(IF($B$8=1,AO25,0),IF($B$36=1,AO53,0),IF($B$64=1,AO81,0))</x:f>
      </x:c>
      <x:c r="AP93" s="107" t="n">
        <x:f>SUM(IF($B$8=1,AP25,0),IF($B$36=1,AP53,0),IF($B$64=1,AP81,0))</x:f>
      </x:c>
      <x:c r="AQ93" s="107" t="n">
        <x:f>SUM(IF($B$8=1,AQ25,0),IF($B$36=1,AQ53,0),IF($B$64=1,AQ81,0))</x:f>
      </x:c>
      <x:c r="AR93" s="107" t="n">
        <x:f>SUM(IF($B$8=1,AR25,0),IF($B$36=1,AR53,0),IF($B$64=1,AR81,0))</x:f>
      </x:c>
      <x:c r="AS93" s="107" t="n">
        <x:f>SUM(IF($B$8=1,AS25,0),IF($B$36=1,AS53,0),IF($B$64=1,AS81,0))</x:f>
      </x:c>
      <x:c r="AT93" s="107" t="n">
        <x:f>SUM(IF($B$8=1,AT25,0),IF($B$36=1,AT53,0),IF($B$64=1,AT81,0))</x:f>
      </x:c>
      <x:c r="AU93" s="107" t="n">
        <x:f>SUM(IF($B$8=1,AU25,0),IF($B$36=1,AU53,0),IF($B$64=1,AU81,0))</x:f>
      </x:c>
      <x:c r="AV93" s="107" t="n">
        <x:f>SUM(IF($B$8=1,AV25,0),IF($B$36=1,AV53,0),IF($B$64=1,AV81,0))</x:f>
      </x:c>
      <x:c r="AW93" s="107" t="n">
        <x:f>SUM(IF($B$8=1,AW25,0),IF($B$36=1,AW53,0),IF($B$64=1,AW81,0))</x:f>
      </x:c>
      <x:c r="AX93" s="107" t="n">
        <x:f>SUM(IF($B$8=1,AX25,0),IF($B$36=1,AX53,0),IF($B$64=1,AX81,0))</x:f>
      </x:c>
      <x:c r="AY93" s="107" t="n">
        <x:f>SUM(IF($B$8=1,AY25,0),IF($B$36=1,AY53,0),IF($B$64=1,AY81,0))</x:f>
      </x:c>
      <x:c r="AZ93" s="107" t="n">
        <x:f>SUM(IF($B$8=1,AZ25,0),IF($B$36=1,AZ53,0),IF($B$64=1,AZ81,0))</x:f>
      </x:c>
      <x:c r="BA93" s="107" t="n">
        <x:f>SUM(IF($B$8=1,BA25,0),IF($B$36=1,BA53,0),IF($B$64=1,BA81,0))</x:f>
      </x:c>
      <x:c r="BB93" s="107" t="n">
        <x:f>SUM(IF($B$8=1,BB25,0),IF($B$36=1,BB53,0),IF($B$64=1,BB81,0))</x:f>
      </x:c>
      <x:c r="BC93" s="107" t="n">
        <x:f>SUM(IF($B$8=1,BC25,0),IF($B$36=1,BC53,0),IF($B$64=1,BC81,0))</x:f>
      </x:c>
      <x:c r="BD93" s="107" t="n">
        <x:f>SUM(IF($B$8=1,BD25,0),IF($B$36=1,BD53,0),IF($B$64=1,BD81,0))</x:f>
      </x:c>
      <x:c r="BE93" s="107" t="n">
        <x:f>SUM(IF($B$8=1,BE25,0),IF($B$36=1,BE53,0),IF($B$64=1,BE81,0))</x:f>
      </x:c>
      <x:c r="BF93" s="107" t="n">
        <x:f>SUM(IF($B$8=1,BF25,0),IF($B$36=1,BF53,0),IF($B$64=1,BF81,0))</x:f>
      </x:c>
      <x:c r="BG93" s="107" t="n">
        <x:f>SUM(IF($B$8=1,BG25,0),IF($B$36=1,BG53,0),IF($B$64=1,BG81,0))</x:f>
      </x:c>
      <x:c r="BH93" s="107" t="n">
        <x:f>SUM(IF($B$8=1,BH25,0),IF($B$36=1,BH53,0),IF($B$64=1,BH81,0))</x:f>
      </x:c>
      <x:c r="BI93" s="107" t="n">
        <x:f>SUM(IF($B$8=1,BI25,0),IF($B$36=1,BI53,0),IF($B$64=1,BI81,0))</x:f>
      </x:c>
      <x:c r="BJ93" s="107" t="n">
        <x:f>SUM(IF($B$8=1,BJ25,0),IF($B$36=1,BJ53,0),IF($B$64=1,BJ81,0))</x:f>
      </x:c>
      <x:c r="BK93" s="107" t="n">
        <x:f>SUM(IF($B$8=1,BK25,0),IF($B$36=1,BK53,0),IF($B$64=1,BK81,0))</x:f>
      </x:c>
      <x:c r="BL93" s="107" t="n">
        <x:f>SUM(IF($B$8=1,BL25,0),IF($B$36=1,BL53,0),IF($B$64=1,BL81,0))</x:f>
      </x:c>
      <x:c r="BM93" s="107" t="n">
        <x:f>SUM(IF($B$8=1,BM25,0),IF($B$36=1,BM53,0),IF($B$64=1,BM81,0))</x:f>
      </x:c>
      <x:c r="BN93" s="107" t="n">
        <x:f>SUM(IF($B$8=1,BN25,0),IF($B$36=1,BN53,0),IF($B$64=1,BN81,0))</x:f>
      </x:c>
      <x:c r="BO93" s="107" t="n">
        <x:f>SUM(IF($B$8=1,BO25,0),IF($B$36=1,BO53,0),IF($B$64=1,BO81,0))</x:f>
      </x:c>
      <x:c r="BP93" s="107" t="n">
        <x:f>SUM(IF($B$8=1,BP25,0),IF($B$36=1,BP53,0),IF($B$64=1,BP81,0))</x:f>
      </x:c>
      <x:c r="BQ93" s="107" t="n">
        <x:f>SUM(IF($B$8=1,BQ25,0),IF($B$36=1,BQ53,0),IF($B$64=1,BQ81,0))</x:f>
      </x:c>
      <x:c r="BR93" s="107" t="n">
        <x:f>SUM(IF($B$8=1,BR25,0),IF($B$36=1,BR53,0),IF($B$64=1,BR81,0))</x:f>
      </x:c>
      <x:c r="BS93" s="107" t="n">
        <x:f>SUM(IF($B$8=1,BS25,0),IF($B$36=1,BS53,0),IF($B$64=1,BS81,0))</x:f>
      </x:c>
      <x:c r="BT93" s="107" t="n">
        <x:f>SUM(IF($B$8=1,BT25,0),IF($B$36=1,BT53,0),IF($B$64=1,BT81,0))</x:f>
      </x:c>
      <x:c r="BU93" s="107" t="n">
        <x:f>SUM(IF($B$8=1,BU25,0),IF($B$36=1,BU53,0),IF($B$64=1,BU81,0))</x:f>
      </x:c>
      <x:c r="BV93" s="107" t="n">
        <x:f>SUM(IF($B$8=1,BV25,0),IF($B$36=1,BV53,0),IF($B$64=1,BV81,0))</x:f>
      </x:c>
      <x:c r="BW93" s="107" t="n">
        <x:f>SUM(IF($B$8=1,BW25,0),IF($B$36=1,BW53,0),IF($B$64=1,BW81,0))</x:f>
      </x:c>
      <x:c r="BX93" s="107" t="n">
        <x:f>SUM(IF($B$8=1,BX25,0),IF($B$36=1,BX53,0),IF($B$64=1,BX81,0))</x:f>
      </x:c>
      <x:c r="BY93" s="107" t="n">
        <x:f>SUM(IF($B$8=1,BY25,0),IF($B$36=1,BY53,0),IF($B$64=1,BY81,0))</x:f>
      </x:c>
      <x:c r="BZ93" s="107" t="n">
        <x:f>SUM(IF($B$8=1,BZ25,0),IF($B$36=1,BZ53,0),IF($B$64=1,BZ81,0))</x:f>
      </x:c>
      <x:c r="CA93" s="107" t="n">
        <x:f>SUM(IF($B$8=1,CA25,0),IF($B$36=1,CA53,0),IF($B$64=1,CA81,0))</x:f>
      </x:c>
      <x:c r="CB93" s="107" t="n">
        <x:f>SUM(IF($B$8=1,CB25,0),IF($B$36=1,CB53,0),IF($B$64=1,CB81,0))</x:f>
      </x:c>
      <x:c r="CC93" s="107" t="n">
        <x:f>SUM(IF($B$8=1,CC25,0),IF($B$36=1,CC53,0),IF($B$64=1,CC81,0))</x:f>
      </x:c>
      <x:c r="CD93" s="107" t="n">
        <x:f>SUM(IF($B$8=1,CD25,0),IF($B$36=1,CD53,0),IF($B$64=1,CD81,0))</x:f>
      </x:c>
      <x:c r="CE93" s="107" t="n">
        <x:f>SUM(IF($B$8=1,CE25,0),IF($B$36=1,CE53,0),IF($B$64=1,CE81,0))</x:f>
      </x:c>
      <x:c r="CF93" s="107" t="n">
        <x:f>SUM(IF($B$8=1,CF25,0),IF($B$36=1,CF53,0),IF($B$64=1,CF81,0))</x:f>
      </x:c>
      <x:c r="CG93" s="107" t="n">
        <x:f>SUM(IF($B$8=1,CG25,0),IF($B$36=1,CG53,0),IF($B$64=1,CG81,0))</x:f>
      </x:c>
      <x:c r="CH93" s="107" t="n">
        <x:f>SUM(IF($B$8=1,CH25,0),IF($B$36=1,CH53,0),IF($B$64=1,CH81,0))</x:f>
      </x:c>
      <x:c r="CI93" s="107" t="n">
        <x:f>SUM(IF($B$8=1,CI25,0),IF($B$36=1,CI53,0),IF($B$64=1,CI81,0))</x:f>
      </x:c>
      <x:c r="CJ93" s="107" t="n">
        <x:f>SUM(IF($B$8=1,CJ25,0),IF($B$36=1,CJ53,0),IF($B$64=1,CJ81,0))</x:f>
      </x:c>
      <x:c r="CK93" s="107" t="n">
        <x:f>SUM(IF($B$8=1,CK25,0),IF($B$36=1,CK53,0),IF($B$64=1,CK81,0))</x:f>
      </x:c>
      <x:c r="CL93" s="107" t="n">
        <x:f>SUM(IF($B$8=1,CL25,0),IF($B$36=1,CL53,0),IF($B$64=1,CL81,0))</x:f>
      </x:c>
      <x:c r="CM93" s="107" t="n">
        <x:f>SUM(IF($B$8=1,CM25,0),IF($B$36=1,CM53,0),IF($B$64=1,CM81,0))</x:f>
      </x:c>
      <x:c r="CN93" s="107" t="n">
        <x:f>SUM(IF($B$8=1,CN25,0),IF($B$36=1,CN53,0),IF($B$64=1,CN81,0))</x:f>
      </x:c>
      <x:c r="CO93" s="107" t="n">
        <x:f>SUM(IF($B$8=1,CO25,0),IF($B$36=1,CO53,0),IF($B$64=1,CO81,0))</x:f>
      </x:c>
      <x:c r="CP93" s="107" t="n">
        <x:f>SUM(IF($B$8=1,CP25,0),IF($B$36=1,CP53,0),IF($B$64=1,CP81,0))</x:f>
      </x:c>
      <x:c r="CQ93" s="107" t="n">
        <x:f>SUM(IF($B$8=1,CQ25,0),IF($B$36=1,CQ53,0),IF($B$64=1,CQ81,0))</x:f>
      </x:c>
      <x:c r="CR93" s="107" t="n">
        <x:f>SUM(IF($B$8=1,CR25,0),IF($B$36=1,CR53,0),IF($B$64=1,CR81,0))</x:f>
      </x:c>
      <x:c r="CS93" s="107" t="n">
        <x:f>SUM(IF($B$8=1,CS25,0),IF($B$36=1,CS53,0),IF($B$64=1,CS81,0))</x:f>
      </x:c>
      <x:c r="CT93" s="107" t="n">
        <x:f>SUM(IF($B$8=1,CT25,0),IF($B$36=1,CT53,0),IF($B$64=1,CT81,0))</x:f>
      </x:c>
      <x:c r="CU93" s="107" t="n">
        <x:f>SUM(IF($B$8=1,CU25,0),IF($B$36=1,CU53,0),IF($B$64=1,CU81,0))</x:f>
      </x:c>
      <x:c r="CV93" s="107" t="n">
        <x:f>SUM(IF($B$8=1,CV25,0),IF($B$36=1,CV53,0),IF($B$64=1,CV81,0))</x:f>
      </x:c>
      <x:c r="CW93" s="107" t="n">
        <x:f>SUM(IF($B$8=1,CW25,0),IF($B$36=1,CW53,0),IF($B$64=1,CW81,0))</x:f>
      </x:c>
      <x:c r="CX93" s="107" t="n">
        <x:f>SUM(IF($B$8=1,CX25,0),IF($B$36=1,CX53,0),IF($B$64=1,CX81,0))</x:f>
      </x:c>
      <x:c r="CY93" s="107" t="n">
        <x:f>SUM(IF($B$8=1,CY25,0),IF($B$36=1,CY53,0),IF($B$64=1,CY81,0))</x:f>
      </x:c>
      <x:c r="CZ93" s="107" t="n">
        <x:f>SUM(IF($B$8=1,CZ25,0),IF($B$36=1,CZ53,0),IF($B$64=1,CZ81,0))</x:f>
      </x:c>
      <x:c r="DA93" s="107" t="n">
        <x:f>SUM(IF($B$8=1,DA25,0),IF($B$36=1,DA53,0),IF($B$64=1,DA81,0))</x:f>
      </x:c>
      <x:c r="DB93" s="107" t="n">
        <x:f>SUM(IF($B$8=1,DB25,0),IF($B$36=1,DB53,0),IF($B$64=1,DB81,0))</x:f>
      </x:c>
      <x:c r="DC93" s="107" t="n">
        <x:f>SUM(IF($B$8=1,DC25,0),IF($B$36=1,DC53,0),IF($B$64=1,DC81,0))</x:f>
      </x:c>
      <x:c r="DD93" s="107" t="n">
        <x:f>SUM(IF($B$8=1,DD25,0),IF($B$36=1,DD53,0),IF($B$64=1,DD81,0))</x:f>
      </x:c>
      <x:c r="DE93" s="107" t="n">
        <x:f>SUM(IF($B$8=1,DE25,0),IF($B$36=1,DE53,0),IF($B$64=1,DE81,0))</x:f>
      </x:c>
      <x:c r="DF93" s="107" t="n">
        <x:f>SUM(IF($B$8=1,DF25,0),IF($B$36=1,DF53,0),IF($B$64=1,DF81,0))</x:f>
      </x:c>
      <x:c r="DG93" s="107" t="n">
        <x:f>SUM(IF($B$8=1,DG25,0),IF($B$36=1,DG53,0),IF($B$64=1,DG81,0))</x:f>
      </x:c>
      <x:c r="DH93" s="107" t="n">
        <x:f>SUM(IF($B$8=1,DH25,0),IF($B$36=1,DH53,0),IF($B$64=1,DH81,0))</x:f>
      </x:c>
      <x:c r="DI93" s="107" t="n">
        <x:f>SUM(IF($B$8=1,DI25,0),IF($B$36=1,DI53,0),IF($B$64=1,DI81,0))</x:f>
      </x:c>
      <x:c r="DJ93" s="107" t="n">
        <x:f>SUM(IF($B$8=1,DJ25,0),IF($B$36=1,DJ53,0),IF($B$64=1,DJ81,0))</x:f>
      </x:c>
      <x:c r="DK93" s="107" t="n">
        <x:f>SUM(IF($B$8=1,DK25,0),IF($B$36=1,DK53,0),IF($B$64=1,DK81,0))</x:f>
      </x:c>
      <x:c r="DL93" s="107" t="n">
        <x:f>SUM(IF($B$8=1,DL25,0),IF($B$36=1,DL53,0),IF($B$64=1,DL81,0))</x:f>
      </x:c>
      <x:c r="DM93" s="107" t="n">
        <x:f>SUM(IF($B$8=1,DM25,0),IF($B$36=1,DM53,0),IF($B$64=1,DM81,0))</x:f>
      </x:c>
      <x:c r="DN93" s="107" t="n">
        <x:f>SUM(IF($B$8=1,DN25,0),IF($B$36=1,DN53,0),IF($B$64=1,DN81,0))</x:f>
      </x:c>
      <x:c r="DO93" s="107" t="n">
        <x:f>SUM(IF($B$8=1,DO25,0),IF($B$36=1,DO53,0),IF($B$64=1,DO81,0))</x:f>
      </x:c>
      <x:c r="DP93" s="107" t="n">
        <x:f>SUM(IF($B$8=1,DP25,0),IF($B$36=1,DP53,0),IF($B$64=1,DP81,0))</x:f>
      </x:c>
      <x:c r="DQ93" s="107" t="n">
        <x:f>SUM(IF($B$8=1,DQ25,0),IF($B$36=1,DQ53,0),IF($B$64=1,DQ81,0))</x:f>
      </x:c>
      <x:c r="DR93" s="107" t="n">
        <x:f>SUM(IF($B$8=1,DR25,0),IF($B$36=1,DR53,0),IF($B$64=1,DR81,0))</x:f>
      </x:c>
      <x:c r="DS93" s="107" t="n">
        <x:f>SUM(IF($B$8=1,DS25,0),IF($B$36=1,DS53,0),IF($B$64=1,DS81,0))</x:f>
      </x:c>
    </x:row>
    <x:row r="94">
      <x:c r="A94" t="str">
        <x:v>Очередь 1 — Прямые поступления объектов</x:v>
      </x:c>
      <x:c r="B94" s="107" t="n">
        <x:f>SUM(D94:DS94)</x:f>
      </x:c>
      <x:c r="C94" t="str">
        <x:v>млн ₽</x:v>
      </x:c>
      <x:c r="D94" s="107" t="n">
        <x:f>SUM(IF($B$8=1,D26,0),IF($B$36=1,D54,0),IF($B$64=1,D82,0))</x:f>
      </x:c>
      <x:c r="E94" s="107" t="n">
        <x:f>SUM(IF($B$8=1,E26,0),IF($B$36=1,E54,0),IF($B$64=1,E82,0))</x:f>
      </x:c>
      <x:c r="F94" s="107" t="n">
        <x:f>SUM(IF($B$8=1,F26,0),IF($B$36=1,F54,0),IF($B$64=1,F82,0))</x:f>
      </x:c>
      <x:c r="G94" s="107" t="n">
        <x:f>SUM(IF($B$8=1,G26,0),IF($B$36=1,G54,0),IF($B$64=1,G82,0))</x:f>
      </x:c>
      <x:c r="H94" s="107" t="n">
        <x:f>SUM(IF($B$8=1,H26,0),IF($B$36=1,H54,0),IF($B$64=1,H82,0))</x:f>
      </x:c>
      <x:c r="I94" s="107" t="n">
        <x:f>SUM(IF($B$8=1,I26,0),IF($B$36=1,I54,0),IF($B$64=1,I82,0))</x:f>
      </x:c>
      <x:c r="J94" s="107" t="n">
        <x:f>SUM(IF($B$8=1,J26,0),IF($B$36=1,J54,0),IF($B$64=1,J82,0))</x:f>
      </x:c>
      <x:c r="K94" s="107" t="n">
        <x:f>SUM(IF($B$8=1,K26,0),IF($B$36=1,K54,0),IF($B$64=1,K82,0))</x:f>
      </x:c>
      <x:c r="L94" s="107" t="n">
        <x:f>SUM(IF($B$8=1,L26,0),IF($B$36=1,L54,0),IF($B$64=1,L82,0))</x:f>
      </x:c>
      <x:c r="M94" s="107" t="n">
        <x:f>SUM(IF($B$8=1,M26,0),IF($B$36=1,M54,0),IF($B$64=1,M82,0))</x:f>
      </x:c>
      <x:c r="N94" s="107" t="n">
        <x:f>SUM(IF($B$8=1,N26,0),IF($B$36=1,N54,0),IF($B$64=1,N82,0))</x:f>
      </x:c>
      <x:c r="O94" s="107" t="n">
        <x:f>SUM(IF($B$8=1,O26,0),IF($B$36=1,O54,0),IF($B$64=1,O82,0))</x:f>
      </x:c>
      <x:c r="P94" s="107" t="n">
        <x:f>SUM(IF($B$8=1,P26,0),IF($B$36=1,P54,0),IF($B$64=1,P82,0))</x:f>
      </x:c>
      <x:c r="Q94" s="107" t="n">
        <x:f>SUM(IF($B$8=1,Q26,0),IF($B$36=1,Q54,0),IF($B$64=1,Q82,0))</x:f>
      </x:c>
      <x:c r="R94" s="107" t="n">
        <x:f>SUM(IF($B$8=1,R26,0),IF($B$36=1,R54,0),IF($B$64=1,R82,0))</x:f>
      </x:c>
      <x:c r="S94" s="107" t="n">
        <x:f>SUM(IF($B$8=1,S26,0),IF($B$36=1,S54,0),IF($B$64=1,S82,0))</x:f>
      </x:c>
      <x:c r="T94" s="107" t="n">
        <x:f>SUM(IF($B$8=1,T26,0),IF($B$36=1,T54,0),IF($B$64=1,T82,0))</x:f>
      </x:c>
      <x:c r="U94" s="107" t="n">
        <x:f>SUM(IF($B$8=1,U26,0),IF($B$36=1,U54,0),IF($B$64=1,U82,0))</x:f>
      </x:c>
      <x:c r="V94" s="107" t="n">
        <x:f>SUM(IF($B$8=1,V26,0),IF($B$36=1,V54,0),IF($B$64=1,V82,0))</x:f>
      </x:c>
      <x:c r="W94" s="107" t="n">
        <x:f>SUM(IF($B$8=1,W26,0),IF($B$36=1,W54,0),IF($B$64=1,W82,0))</x:f>
      </x:c>
      <x:c r="X94" s="107" t="n">
        <x:f>SUM(IF($B$8=1,X26,0),IF($B$36=1,X54,0),IF($B$64=1,X82,0))</x:f>
      </x:c>
      <x:c r="Y94" s="107" t="n">
        <x:f>SUM(IF($B$8=1,Y26,0),IF($B$36=1,Y54,0),IF($B$64=1,Y82,0))</x:f>
      </x:c>
      <x:c r="Z94" s="107" t="n">
        <x:f>SUM(IF($B$8=1,Z26,0),IF($B$36=1,Z54,0),IF($B$64=1,Z82,0))</x:f>
      </x:c>
      <x:c r="AA94" s="107" t="n">
        <x:f>SUM(IF($B$8=1,AA26,0),IF($B$36=1,AA54,0),IF($B$64=1,AA82,0))</x:f>
      </x:c>
      <x:c r="AB94" s="107" t="n">
        <x:f>SUM(IF($B$8=1,AB26,0),IF($B$36=1,AB54,0),IF($B$64=1,AB82,0))</x:f>
      </x:c>
      <x:c r="AC94" s="107" t="n">
        <x:f>SUM(IF($B$8=1,AC26,0),IF($B$36=1,AC54,0),IF($B$64=1,AC82,0))</x:f>
      </x:c>
      <x:c r="AD94" s="107" t="n">
        <x:f>SUM(IF($B$8=1,AD26,0),IF($B$36=1,AD54,0),IF($B$64=1,AD82,0))</x:f>
      </x:c>
      <x:c r="AE94" s="107" t="n">
        <x:f>SUM(IF($B$8=1,AE26,0),IF($B$36=1,AE54,0),IF($B$64=1,AE82,0))</x:f>
      </x:c>
      <x:c r="AF94" s="107" t="n">
        <x:f>SUM(IF($B$8=1,AF26,0),IF($B$36=1,AF54,0),IF($B$64=1,AF82,0))</x:f>
      </x:c>
      <x:c r="AG94" s="107" t="n">
        <x:f>SUM(IF($B$8=1,AG26,0),IF($B$36=1,AG54,0),IF($B$64=1,AG82,0))</x:f>
      </x:c>
      <x:c r="AH94" s="107" t="n">
        <x:f>SUM(IF($B$8=1,AH26,0),IF($B$36=1,AH54,0),IF($B$64=1,AH82,0))</x:f>
      </x:c>
      <x:c r="AI94" s="107" t="n">
        <x:f>SUM(IF($B$8=1,AI26,0),IF($B$36=1,AI54,0),IF($B$64=1,AI82,0))</x:f>
      </x:c>
      <x:c r="AJ94" s="107" t="n">
        <x:f>SUM(IF($B$8=1,AJ26,0),IF($B$36=1,AJ54,0),IF($B$64=1,AJ82,0))</x:f>
      </x:c>
      <x:c r="AK94" s="107" t="n">
        <x:f>SUM(IF($B$8=1,AK26,0),IF($B$36=1,AK54,0),IF($B$64=1,AK82,0))</x:f>
      </x:c>
      <x:c r="AL94" s="107" t="n">
        <x:f>SUM(IF($B$8=1,AL26,0),IF($B$36=1,AL54,0),IF($B$64=1,AL82,0))</x:f>
      </x:c>
      <x:c r="AM94" s="107" t="n">
        <x:f>SUM(IF($B$8=1,AM26,0),IF($B$36=1,AM54,0),IF($B$64=1,AM82,0))</x:f>
      </x:c>
      <x:c r="AN94" s="107" t="n">
        <x:f>SUM(IF($B$8=1,AN26,0),IF($B$36=1,AN54,0),IF($B$64=1,AN82,0))</x:f>
      </x:c>
      <x:c r="AO94" s="107" t="n">
        <x:f>SUM(IF($B$8=1,AO26,0),IF($B$36=1,AO54,0),IF($B$64=1,AO82,0))</x:f>
      </x:c>
      <x:c r="AP94" s="107" t="n">
        <x:f>SUM(IF($B$8=1,AP26,0),IF($B$36=1,AP54,0),IF($B$64=1,AP82,0))</x:f>
      </x:c>
      <x:c r="AQ94" s="107" t="n">
        <x:f>SUM(IF($B$8=1,AQ26,0),IF($B$36=1,AQ54,0),IF($B$64=1,AQ82,0))</x:f>
      </x:c>
      <x:c r="AR94" s="107" t="n">
        <x:f>SUM(IF($B$8=1,AR26,0),IF($B$36=1,AR54,0),IF($B$64=1,AR82,0))</x:f>
      </x:c>
      <x:c r="AS94" s="107" t="n">
        <x:f>SUM(IF($B$8=1,AS26,0),IF($B$36=1,AS54,0),IF($B$64=1,AS82,0))</x:f>
      </x:c>
      <x:c r="AT94" s="107" t="n">
        <x:f>SUM(IF($B$8=1,AT26,0),IF($B$36=1,AT54,0),IF($B$64=1,AT82,0))</x:f>
      </x:c>
      <x:c r="AU94" s="107" t="n">
        <x:f>SUM(IF($B$8=1,AU26,0),IF($B$36=1,AU54,0),IF($B$64=1,AU82,0))</x:f>
      </x:c>
      <x:c r="AV94" s="107" t="n">
        <x:f>SUM(IF($B$8=1,AV26,0),IF($B$36=1,AV54,0),IF($B$64=1,AV82,0))</x:f>
      </x:c>
      <x:c r="AW94" s="107" t="n">
        <x:f>SUM(IF($B$8=1,AW26,0),IF($B$36=1,AW54,0),IF($B$64=1,AW82,0))</x:f>
      </x:c>
      <x:c r="AX94" s="107" t="n">
        <x:f>SUM(IF($B$8=1,AX26,0),IF($B$36=1,AX54,0),IF($B$64=1,AX82,0))</x:f>
      </x:c>
      <x:c r="AY94" s="107" t="n">
        <x:f>SUM(IF($B$8=1,AY26,0),IF($B$36=1,AY54,0),IF($B$64=1,AY82,0))</x:f>
      </x:c>
      <x:c r="AZ94" s="107" t="n">
        <x:f>SUM(IF($B$8=1,AZ26,0),IF($B$36=1,AZ54,0),IF($B$64=1,AZ82,0))</x:f>
      </x:c>
      <x:c r="BA94" s="107" t="n">
        <x:f>SUM(IF($B$8=1,BA26,0),IF($B$36=1,BA54,0),IF($B$64=1,BA82,0))</x:f>
      </x:c>
      <x:c r="BB94" s="107" t="n">
        <x:f>SUM(IF($B$8=1,BB26,0),IF($B$36=1,BB54,0),IF($B$64=1,BB82,0))</x:f>
      </x:c>
      <x:c r="BC94" s="107" t="n">
        <x:f>SUM(IF($B$8=1,BC26,0),IF($B$36=1,BC54,0),IF($B$64=1,BC82,0))</x:f>
      </x:c>
      <x:c r="BD94" s="107" t="n">
        <x:f>SUM(IF($B$8=1,BD26,0),IF($B$36=1,BD54,0),IF($B$64=1,BD82,0))</x:f>
      </x:c>
      <x:c r="BE94" s="107" t="n">
        <x:f>SUM(IF($B$8=1,BE26,0),IF($B$36=1,BE54,0),IF($B$64=1,BE82,0))</x:f>
      </x:c>
      <x:c r="BF94" s="107" t="n">
        <x:f>SUM(IF($B$8=1,BF26,0),IF($B$36=1,BF54,0),IF($B$64=1,BF82,0))</x:f>
      </x:c>
      <x:c r="BG94" s="107" t="n">
        <x:f>SUM(IF($B$8=1,BG26,0),IF($B$36=1,BG54,0),IF($B$64=1,BG82,0))</x:f>
      </x:c>
      <x:c r="BH94" s="107" t="n">
        <x:f>SUM(IF($B$8=1,BH26,0),IF($B$36=1,BH54,0),IF($B$64=1,BH82,0))</x:f>
      </x:c>
      <x:c r="BI94" s="107" t="n">
        <x:f>SUM(IF($B$8=1,BI26,0),IF($B$36=1,BI54,0),IF($B$64=1,BI82,0))</x:f>
      </x:c>
      <x:c r="BJ94" s="107" t="n">
        <x:f>SUM(IF($B$8=1,BJ26,0),IF($B$36=1,BJ54,0),IF($B$64=1,BJ82,0))</x:f>
      </x:c>
      <x:c r="BK94" s="107" t="n">
        <x:f>SUM(IF($B$8=1,BK26,0),IF($B$36=1,BK54,0),IF($B$64=1,BK82,0))</x:f>
      </x:c>
      <x:c r="BL94" s="107" t="n">
        <x:f>SUM(IF($B$8=1,BL26,0),IF($B$36=1,BL54,0),IF($B$64=1,BL82,0))</x:f>
      </x:c>
      <x:c r="BM94" s="107" t="n">
        <x:f>SUM(IF($B$8=1,BM26,0),IF($B$36=1,BM54,0),IF($B$64=1,BM82,0))</x:f>
      </x:c>
      <x:c r="BN94" s="107" t="n">
        <x:f>SUM(IF($B$8=1,BN26,0),IF($B$36=1,BN54,0),IF($B$64=1,BN82,0))</x:f>
      </x:c>
      <x:c r="BO94" s="107" t="n">
        <x:f>SUM(IF($B$8=1,BO26,0),IF($B$36=1,BO54,0),IF($B$64=1,BO82,0))</x:f>
      </x:c>
      <x:c r="BP94" s="107" t="n">
        <x:f>SUM(IF($B$8=1,BP26,0),IF($B$36=1,BP54,0),IF($B$64=1,BP82,0))</x:f>
      </x:c>
      <x:c r="BQ94" s="107" t="n">
        <x:f>SUM(IF($B$8=1,BQ26,0),IF($B$36=1,BQ54,0),IF($B$64=1,BQ82,0))</x:f>
      </x:c>
      <x:c r="BR94" s="107" t="n">
        <x:f>SUM(IF($B$8=1,BR26,0),IF($B$36=1,BR54,0),IF($B$64=1,BR82,0))</x:f>
      </x:c>
      <x:c r="BS94" s="107" t="n">
        <x:f>SUM(IF($B$8=1,BS26,0),IF($B$36=1,BS54,0),IF($B$64=1,BS82,0))</x:f>
      </x:c>
      <x:c r="BT94" s="107" t="n">
        <x:f>SUM(IF($B$8=1,BT26,0),IF($B$36=1,BT54,0),IF($B$64=1,BT82,0))</x:f>
      </x:c>
      <x:c r="BU94" s="107" t="n">
        <x:f>SUM(IF($B$8=1,BU26,0),IF($B$36=1,BU54,0),IF($B$64=1,BU82,0))</x:f>
      </x:c>
      <x:c r="BV94" s="107" t="n">
        <x:f>SUM(IF($B$8=1,BV26,0),IF($B$36=1,BV54,0),IF($B$64=1,BV82,0))</x:f>
      </x:c>
      <x:c r="BW94" s="107" t="n">
        <x:f>SUM(IF($B$8=1,BW26,0),IF($B$36=1,BW54,0),IF($B$64=1,BW82,0))</x:f>
      </x:c>
      <x:c r="BX94" s="107" t="n">
        <x:f>SUM(IF($B$8=1,BX26,0),IF($B$36=1,BX54,0),IF($B$64=1,BX82,0))</x:f>
      </x:c>
      <x:c r="BY94" s="107" t="n">
        <x:f>SUM(IF($B$8=1,BY26,0),IF($B$36=1,BY54,0),IF($B$64=1,BY82,0))</x:f>
      </x:c>
      <x:c r="BZ94" s="107" t="n">
        <x:f>SUM(IF($B$8=1,BZ26,0),IF($B$36=1,BZ54,0),IF($B$64=1,BZ82,0))</x:f>
      </x:c>
      <x:c r="CA94" s="107" t="n">
        <x:f>SUM(IF($B$8=1,CA26,0),IF($B$36=1,CA54,0),IF($B$64=1,CA82,0))</x:f>
      </x:c>
      <x:c r="CB94" s="107" t="n">
        <x:f>SUM(IF($B$8=1,CB26,0),IF($B$36=1,CB54,0),IF($B$64=1,CB82,0))</x:f>
      </x:c>
      <x:c r="CC94" s="107" t="n">
        <x:f>SUM(IF($B$8=1,CC26,0),IF($B$36=1,CC54,0),IF($B$64=1,CC82,0))</x:f>
      </x:c>
      <x:c r="CD94" s="107" t="n">
        <x:f>SUM(IF($B$8=1,CD26,0),IF($B$36=1,CD54,0),IF($B$64=1,CD82,0))</x:f>
      </x:c>
      <x:c r="CE94" s="107" t="n">
        <x:f>SUM(IF($B$8=1,CE26,0),IF($B$36=1,CE54,0),IF($B$64=1,CE82,0))</x:f>
      </x:c>
      <x:c r="CF94" s="107" t="n">
        <x:f>SUM(IF($B$8=1,CF26,0),IF($B$36=1,CF54,0),IF($B$64=1,CF82,0))</x:f>
      </x:c>
      <x:c r="CG94" s="107" t="n">
        <x:f>SUM(IF($B$8=1,CG26,0),IF($B$36=1,CG54,0),IF($B$64=1,CG82,0))</x:f>
      </x:c>
      <x:c r="CH94" s="107" t="n">
        <x:f>SUM(IF($B$8=1,CH26,0),IF($B$36=1,CH54,0),IF($B$64=1,CH82,0))</x:f>
      </x:c>
      <x:c r="CI94" s="107" t="n">
        <x:f>SUM(IF($B$8=1,CI26,0),IF($B$36=1,CI54,0),IF($B$64=1,CI82,0))</x:f>
      </x:c>
      <x:c r="CJ94" s="107" t="n">
        <x:f>SUM(IF($B$8=1,CJ26,0),IF($B$36=1,CJ54,0),IF($B$64=1,CJ82,0))</x:f>
      </x:c>
      <x:c r="CK94" s="107" t="n">
        <x:f>SUM(IF($B$8=1,CK26,0),IF($B$36=1,CK54,0),IF($B$64=1,CK82,0))</x:f>
      </x:c>
      <x:c r="CL94" s="107" t="n">
        <x:f>SUM(IF($B$8=1,CL26,0),IF($B$36=1,CL54,0),IF($B$64=1,CL82,0))</x:f>
      </x:c>
      <x:c r="CM94" s="107" t="n">
        <x:f>SUM(IF($B$8=1,CM26,0),IF($B$36=1,CM54,0),IF($B$64=1,CM82,0))</x:f>
      </x:c>
      <x:c r="CN94" s="107" t="n">
        <x:f>SUM(IF($B$8=1,CN26,0),IF($B$36=1,CN54,0),IF($B$64=1,CN82,0))</x:f>
      </x:c>
      <x:c r="CO94" s="107" t="n">
        <x:f>SUM(IF($B$8=1,CO26,0),IF($B$36=1,CO54,0),IF($B$64=1,CO82,0))</x:f>
      </x:c>
      <x:c r="CP94" s="107" t="n">
        <x:f>SUM(IF($B$8=1,CP26,0),IF($B$36=1,CP54,0),IF($B$64=1,CP82,0))</x:f>
      </x:c>
      <x:c r="CQ94" s="107" t="n">
        <x:f>SUM(IF($B$8=1,CQ26,0),IF($B$36=1,CQ54,0),IF($B$64=1,CQ82,0))</x:f>
      </x:c>
      <x:c r="CR94" s="107" t="n">
        <x:f>SUM(IF($B$8=1,CR26,0),IF($B$36=1,CR54,0),IF($B$64=1,CR82,0))</x:f>
      </x:c>
      <x:c r="CS94" s="107" t="n">
        <x:f>SUM(IF($B$8=1,CS26,0),IF($B$36=1,CS54,0),IF($B$64=1,CS82,0))</x:f>
      </x:c>
      <x:c r="CT94" s="107" t="n">
        <x:f>SUM(IF($B$8=1,CT26,0),IF($B$36=1,CT54,0),IF($B$64=1,CT82,0))</x:f>
      </x:c>
      <x:c r="CU94" s="107" t="n">
        <x:f>SUM(IF($B$8=1,CU26,0),IF($B$36=1,CU54,0),IF($B$64=1,CU82,0))</x:f>
      </x:c>
      <x:c r="CV94" s="107" t="n">
        <x:f>SUM(IF($B$8=1,CV26,0),IF($B$36=1,CV54,0),IF($B$64=1,CV82,0))</x:f>
      </x:c>
      <x:c r="CW94" s="107" t="n">
        <x:f>SUM(IF($B$8=1,CW26,0),IF($B$36=1,CW54,0),IF($B$64=1,CW82,0))</x:f>
      </x:c>
      <x:c r="CX94" s="107" t="n">
        <x:f>SUM(IF($B$8=1,CX26,0),IF($B$36=1,CX54,0),IF($B$64=1,CX82,0))</x:f>
      </x:c>
      <x:c r="CY94" s="107" t="n">
        <x:f>SUM(IF($B$8=1,CY26,0),IF($B$36=1,CY54,0),IF($B$64=1,CY82,0))</x:f>
      </x:c>
      <x:c r="CZ94" s="107" t="n">
        <x:f>SUM(IF($B$8=1,CZ26,0),IF($B$36=1,CZ54,0),IF($B$64=1,CZ82,0))</x:f>
      </x:c>
      <x:c r="DA94" s="107" t="n">
        <x:f>SUM(IF($B$8=1,DA26,0),IF($B$36=1,DA54,0),IF($B$64=1,DA82,0))</x:f>
      </x:c>
      <x:c r="DB94" s="107" t="n">
        <x:f>SUM(IF($B$8=1,DB26,0),IF($B$36=1,DB54,0),IF($B$64=1,DB82,0))</x:f>
      </x:c>
      <x:c r="DC94" s="107" t="n">
        <x:f>SUM(IF($B$8=1,DC26,0),IF($B$36=1,DC54,0),IF($B$64=1,DC82,0))</x:f>
      </x:c>
      <x:c r="DD94" s="107" t="n">
        <x:f>SUM(IF($B$8=1,DD26,0),IF($B$36=1,DD54,0),IF($B$64=1,DD82,0))</x:f>
      </x:c>
      <x:c r="DE94" s="107" t="n">
        <x:f>SUM(IF($B$8=1,DE26,0),IF($B$36=1,DE54,0),IF($B$64=1,DE82,0))</x:f>
      </x:c>
      <x:c r="DF94" s="107" t="n">
        <x:f>SUM(IF($B$8=1,DF26,0),IF($B$36=1,DF54,0),IF($B$64=1,DF82,0))</x:f>
      </x:c>
      <x:c r="DG94" s="107" t="n">
        <x:f>SUM(IF($B$8=1,DG26,0),IF($B$36=1,DG54,0),IF($B$64=1,DG82,0))</x:f>
      </x:c>
      <x:c r="DH94" s="107" t="n">
        <x:f>SUM(IF($B$8=1,DH26,0),IF($B$36=1,DH54,0),IF($B$64=1,DH82,0))</x:f>
      </x:c>
      <x:c r="DI94" s="107" t="n">
        <x:f>SUM(IF($B$8=1,DI26,0),IF($B$36=1,DI54,0),IF($B$64=1,DI82,0))</x:f>
      </x:c>
      <x:c r="DJ94" s="107" t="n">
        <x:f>SUM(IF($B$8=1,DJ26,0),IF($B$36=1,DJ54,0),IF($B$64=1,DJ82,0))</x:f>
      </x:c>
      <x:c r="DK94" s="107" t="n">
        <x:f>SUM(IF($B$8=1,DK26,0),IF($B$36=1,DK54,0),IF($B$64=1,DK82,0))</x:f>
      </x:c>
      <x:c r="DL94" s="107" t="n">
        <x:f>SUM(IF($B$8=1,DL26,0),IF($B$36=1,DL54,0),IF($B$64=1,DL82,0))</x:f>
      </x:c>
      <x:c r="DM94" s="107" t="n">
        <x:f>SUM(IF($B$8=1,DM26,0),IF($B$36=1,DM54,0),IF($B$64=1,DM82,0))</x:f>
      </x:c>
      <x:c r="DN94" s="107" t="n">
        <x:f>SUM(IF($B$8=1,DN26,0),IF($B$36=1,DN54,0),IF($B$64=1,DN82,0))</x:f>
      </x:c>
      <x:c r="DO94" s="107" t="n">
        <x:f>SUM(IF($B$8=1,DO26,0),IF($B$36=1,DO54,0),IF($B$64=1,DO82,0))</x:f>
      </x:c>
      <x:c r="DP94" s="107" t="n">
        <x:f>SUM(IF($B$8=1,DP26,0),IF($B$36=1,DP54,0),IF($B$64=1,DP82,0))</x:f>
      </x:c>
      <x:c r="DQ94" s="107" t="n">
        <x:f>SUM(IF($B$8=1,DQ26,0),IF($B$36=1,DQ54,0),IF($B$64=1,DQ82,0))</x:f>
      </x:c>
      <x:c r="DR94" s="107" t="n">
        <x:f>SUM(IF($B$8=1,DR26,0),IF($B$36=1,DR54,0),IF($B$64=1,DR82,0))</x:f>
      </x:c>
      <x:c r="DS94" s="107" t="n">
        <x:f>SUM(IF($B$8=1,DS26,0),IF($B$36=1,DS54,0),IF($B$64=1,DS82,0))</x:f>
      </x:c>
    </x:row>
    <x:row r="95">
      <x:c r="A95" t="str">
        <x:v>Очередь 1 — Раскрытие эскроу объектов</x:v>
      </x:c>
      <x:c r="B95" s="107" t="n">
        <x:f>SUM(D95:DS95)</x:f>
      </x:c>
      <x:c r="C95" t="str">
        <x:v>млн ₽</x:v>
      </x:c>
      <x:c r="D95" s="107" t="n">
        <x:f>SUM(IF($B$8=1,D27,0),IF($B$36=1,D55,0),IF($B$64=1,D83,0))</x:f>
      </x:c>
      <x:c r="E95" s="107" t="n">
        <x:f>SUM(IF($B$8=1,E27,0),IF($B$36=1,E55,0),IF($B$64=1,E83,0))</x:f>
      </x:c>
      <x:c r="F95" s="107" t="n">
        <x:f>SUM(IF($B$8=1,F27,0),IF($B$36=1,F55,0),IF($B$64=1,F83,0))</x:f>
      </x:c>
      <x:c r="G95" s="107" t="n">
        <x:f>SUM(IF($B$8=1,G27,0),IF($B$36=1,G55,0),IF($B$64=1,G83,0))</x:f>
      </x:c>
      <x:c r="H95" s="107" t="n">
        <x:f>SUM(IF($B$8=1,H27,0),IF($B$36=1,H55,0),IF($B$64=1,H83,0))</x:f>
      </x:c>
      <x:c r="I95" s="107" t="n">
        <x:f>SUM(IF($B$8=1,I27,0),IF($B$36=1,I55,0),IF($B$64=1,I83,0))</x:f>
      </x:c>
      <x:c r="J95" s="107" t="n">
        <x:f>SUM(IF($B$8=1,J27,0),IF($B$36=1,J55,0),IF($B$64=1,J83,0))</x:f>
      </x:c>
      <x:c r="K95" s="107" t="n">
        <x:f>SUM(IF($B$8=1,K27,0),IF($B$36=1,K55,0),IF($B$64=1,K83,0))</x:f>
      </x:c>
      <x:c r="L95" s="107" t="n">
        <x:f>SUM(IF($B$8=1,L27,0),IF($B$36=1,L55,0),IF($B$64=1,L83,0))</x:f>
      </x:c>
      <x:c r="M95" s="107" t="n">
        <x:f>SUM(IF($B$8=1,M27,0),IF($B$36=1,M55,0),IF($B$64=1,M83,0))</x:f>
      </x:c>
      <x:c r="N95" s="107" t="n">
        <x:f>SUM(IF($B$8=1,N27,0),IF($B$36=1,N55,0),IF($B$64=1,N83,0))</x:f>
      </x:c>
      <x:c r="O95" s="107" t="n">
        <x:f>SUM(IF($B$8=1,O27,0),IF($B$36=1,O55,0),IF($B$64=1,O83,0))</x:f>
      </x:c>
      <x:c r="P95" s="107" t="n">
        <x:f>SUM(IF($B$8=1,P27,0),IF($B$36=1,P55,0),IF($B$64=1,P83,0))</x:f>
      </x:c>
      <x:c r="Q95" s="107" t="n">
        <x:f>SUM(IF($B$8=1,Q27,0),IF($B$36=1,Q55,0),IF($B$64=1,Q83,0))</x:f>
      </x:c>
      <x:c r="R95" s="107" t="n">
        <x:f>SUM(IF($B$8=1,R27,0),IF($B$36=1,R55,0),IF($B$64=1,R83,0))</x:f>
      </x:c>
      <x:c r="S95" s="107" t="n">
        <x:f>SUM(IF($B$8=1,S27,0),IF($B$36=1,S55,0),IF($B$64=1,S83,0))</x:f>
      </x:c>
      <x:c r="T95" s="107" t="n">
        <x:f>SUM(IF($B$8=1,T27,0),IF($B$36=1,T55,0),IF($B$64=1,T83,0))</x:f>
      </x:c>
      <x:c r="U95" s="107" t="n">
        <x:f>SUM(IF($B$8=1,U27,0),IF($B$36=1,U55,0),IF($B$64=1,U83,0))</x:f>
      </x:c>
      <x:c r="V95" s="107" t="n">
        <x:f>SUM(IF($B$8=1,V27,0),IF($B$36=1,V55,0),IF($B$64=1,V83,0))</x:f>
      </x:c>
      <x:c r="W95" s="107" t="n">
        <x:f>SUM(IF($B$8=1,W27,0),IF($B$36=1,W55,0),IF($B$64=1,W83,0))</x:f>
      </x:c>
      <x:c r="X95" s="107" t="n">
        <x:f>SUM(IF($B$8=1,X27,0),IF($B$36=1,X55,0),IF($B$64=1,X83,0))</x:f>
      </x:c>
      <x:c r="Y95" s="107" t="n">
        <x:f>SUM(IF($B$8=1,Y27,0),IF($B$36=1,Y55,0),IF($B$64=1,Y83,0))</x:f>
      </x:c>
      <x:c r="Z95" s="107" t="n">
        <x:f>SUM(IF($B$8=1,Z27,0),IF($B$36=1,Z55,0),IF($B$64=1,Z83,0))</x:f>
      </x:c>
      <x:c r="AA95" s="107" t="n">
        <x:f>SUM(IF($B$8=1,AA27,0),IF($B$36=1,AA55,0),IF($B$64=1,AA83,0))</x:f>
      </x:c>
      <x:c r="AB95" s="107" t="n">
        <x:f>SUM(IF($B$8=1,AB27,0),IF($B$36=1,AB55,0),IF($B$64=1,AB83,0))</x:f>
      </x:c>
      <x:c r="AC95" s="107" t="n">
        <x:f>SUM(IF($B$8=1,AC27,0),IF($B$36=1,AC55,0),IF($B$64=1,AC83,0))</x:f>
      </x:c>
      <x:c r="AD95" s="107" t="n">
        <x:f>SUM(IF($B$8=1,AD27,0),IF($B$36=1,AD55,0),IF($B$64=1,AD83,0))</x:f>
      </x:c>
      <x:c r="AE95" s="107" t="n">
        <x:f>SUM(IF($B$8=1,AE27,0),IF($B$36=1,AE55,0),IF($B$64=1,AE83,0))</x:f>
      </x:c>
      <x:c r="AF95" s="107" t="n">
        <x:f>SUM(IF($B$8=1,AF27,0),IF($B$36=1,AF55,0),IF($B$64=1,AF83,0))</x:f>
      </x:c>
      <x:c r="AG95" s="107" t="n">
        <x:f>SUM(IF($B$8=1,AG27,0),IF($B$36=1,AG55,0),IF($B$64=1,AG83,0))</x:f>
      </x:c>
      <x:c r="AH95" s="107" t="n">
        <x:f>SUM(IF($B$8=1,AH27,0),IF($B$36=1,AH55,0),IF($B$64=1,AH83,0))</x:f>
      </x:c>
      <x:c r="AI95" s="107" t="n">
        <x:f>SUM(IF($B$8=1,AI27,0),IF($B$36=1,AI55,0),IF($B$64=1,AI83,0))</x:f>
      </x:c>
      <x:c r="AJ95" s="107" t="n">
        <x:f>SUM(IF($B$8=1,AJ27,0),IF($B$36=1,AJ55,0),IF($B$64=1,AJ83,0))</x:f>
      </x:c>
      <x:c r="AK95" s="107" t="n">
        <x:f>SUM(IF($B$8=1,AK27,0),IF($B$36=1,AK55,0),IF($B$64=1,AK83,0))</x:f>
      </x:c>
      <x:c r="AL95" s="107" t="n">
        <x:f>SUM(IF($B$8=1,AL27,0),IF($B$36=1,AL55,0),IF($B$64=1,AL83,0))</x:f>
      </x:c>
      <x:c r="AM95" s="107" t="n">
        <x:f>SUM(IF($B$8=1,AM27,0),IF($B$36=1,AM55,0),IF($B$64=1,AM83,0))</x:f>
      </x:c>
      <x:c r="AN95" s="107" t="n">
        <x:f>SUM(IF($B$8=1,AN27,0),IF($B$36=1,AN55,0),IF($B$64=1,AN83,0))</x:f>
      </x:c>
      <x:c r="AO95" s="107" t="n">
        <x:f>SUM(IF($B$8=1,AO27,0),IF($B$36=1,AO55,0),IF($B$64=1,AO83,0))</x:f>
      </x:c>
      <x:c r="AP95" s="107" t="n">
        <x:f>SUM(IF($B$8=1,AP27,0),IF($B$36=1,AP55,0),IF($B$64=1,AP83,0))</x:f>
      </x:c>
      <x:c r="AQ95" s="107" t="n">
        <x:f>SUM(IF($B$8=1,AQ27,0),IF($B$36=1,AQ55,0),IF($B$64=1,AQ83,0))</x:f>
      </x:c>
      <x:c r="AR95" s="107" t="n">
        <x:f>SUM(IF($B$8=1,AR27,0),IF($B$36=1,AR55,0),IF($B$64=1,AR83,0))</x:f>
      </x:c>
      <x:c r="AS95" s="107" t="n">
        <x:f>SUM(IF($B$8=1,AS27,0),IF($B$36=1,AS55,0),IF($B$64=1,AS83,0))</x:f>
      </x:c>
      <x:c r="AT95" s="107" t="n">
        <x:f>SUM(IF($B$8=1,AT27,0),IF($B$36=1,AT55,0),IF($B$64=1,AT83,0))</x:f>
      </x:c>
      <x:c r="AU95" s="107" t="n">
        <x:f>SUM(IF($B$8=1,AU27,0),IF($B$36=1,AU55,0),IF($B$64=1,AU83,0))</x:f>
      </x:c>
      <x:c r="AV95" s="107" t="n">
        <x:f>SUM(IF($B$8=1,AV27,0),IF($B$36=1,AV55,0),IF($B$64=1,AV83,0))</x:f>
      </x:c>
      <x:c r="AW95" s="107" t="n">
        <x:f>SUM(IF($B$8=1,AW27,0),IF($B$36=1,AW55,0),IF($B$64=1,AW83,0))</x:f>
      </x:c>
      <x:c r="AX95" s="107" t="n">
        <x:f>SUM(IF($B$8=1,AX27,0),IF($B$36=1,AX55,0),IF($B$64=1,AX83,0))</x:f>
      </x:c>
      <x:c r="AY95" s="107" t="n">
        <x:f>SUM(IF($B$8=1,AY27,0),IF($B$36=1,AY55,0),IF($B$64=1,AY83,0))</x:f>
      </x:c>
      <x:c r="AZ95" s="107" t="n">
        <x:f>SUM(IF($B$8=1,AZ27,0),IF($B$36=1,AZ55,0),IF($B$64=1,AZ83,0))</x:f>
      </x:c>
      <x:c r="BA95" s="107" t="n">
        <x:f>SUM(IF($B$8=1,BA27,0),IF($B$36=1,BA55,0),IF($B$64=1,BA83,0))</x:f>
      </x:c>
      <x:c r="BB95" s="107" t="n">
        <x:f>SUM(IF($B$8=1,BB27,0),IF($B$36=1,BB55,0),IF($B$64=1,BB83,0))</x:f>
      </x:c>
      <x:c r="BC95" s="107" t="n">
        <x:f>SUM(IF($B$8=1,BC27,0),IF($B$36=1,BC55,0),IF($B$64=1,BC83,0))</x:f>
      </x:c>
      <x:c r="BD95" s="107" t="n">
        <x:f>SUM(IF($B$8=1,BD27,0),IF($B$36=1,BD55,0),IF($B$64=1,BD83,0))</x:f>
      </x:c>
      <x:c r="BE95" s="107" t="n">
        <x:f>SUM(IF($B$8=1,BE27,0),IF($B$36=1,BE55,0),IF($B$64=1,BE83,0))</x:f>
      </x:c>
      <x:c r="BF95" s="107" t="n">
        <x:f>SUM(IF($B$8=1,BF27,0),IF($B$36=1,BF55,0),IF($B$64=1,BF83,0))</x:f>
      </x:c>
      <x:c r="BG95" s="107" t="n">
        <x:f>SUM(IF($B$8=1,BG27,0),IF($B$36=1,BG55,0),IF($B$64=1,BG83,0))</x:f>
      </x:c>
      <x:c r="BH95" s="107" t="n">
        <x:f>SUM(IF($B$8=1,BH27,0),IF($B$36=1,BH55,0),IF($B$64=1,BH83,0))</x:f>
      </x:c>
      <x:c r="BI95" s="107" t="n">
        <x:f>SUM(IF($B$8=1,BI27,0),IF($B$36=1,BI55,0),IF($B$64=1,BI83,0))</x:f>
      </x:c>
      <x:c r="BJ95" s="107" t="n">
        <x:f>SUM(IF($B$8=1,BJ27,0),IF($B$36=1,BJ55,0),IF($B$64=1,BJ83,0))</x:f>
      </x:c>
      <x:c r="BK95" s="107" t="n">
        <x:f>SUM(IF($B$8=1,BK27,0),IF($B$36=1,BK55,0),IF($B$64=1,BK83,0))</x:f>
      </x:c>
      <x:c r="BL95" s="107" t="n">
        <x:f>SUM(IF($B$8=1,BL27,0),IF($B$36=1,BL55,0),IF($B$64=1,BL83,0))</x:f>
      </x:c>
      <x:c r="BM95" s="107" t="n">
        <x:f>SUM(IF($B$8=1,BM27,0),IF($B$36=1,BM55,0),IF($B$64=1,BM83,0))</x:f>
      </x:c>
      <x:c r="BN95" s="107" t="n">
        <x:f>SUM(IF($B$8=1,BN27,0),IF($B$36=1,BN55,0),IF($B$64=1,BN83,0))</x:f>
      </x:c>
      <x:c r="BO95" s="107" t="n">
        <x:f>SUM(IF($B$8=1,BO27,0),IF($B$36=1,BO55,0),IF($B$64=1,BO83,0))</x:f>
      </x:c>
      <x:c r="BP95" s="107" t="n">
        <x:f>SUM(IF($B$8=1,BP27,0),IF($B$36=1,BP55,0),IF($B$64=1,BP83,0))</x:f>
      </x:c>
      <x:c r="BQ95" s="107" t="n">
        <x:f>SUM(IF($B$8=1,BQ27,0),IF($B$36=1,BQ55,0),IF($B$64=1,BQ83,0))</x:f>
      </x:c>
      <x:c r="BR95" s="107" t="n">
        <x:f>SUM(IF($B$8=1,BR27,0),IF($B$36=1,BR55,0),IF($B$64=1,BR83,0))</x:f>
      </x:c>
      <x:c r="BS95" s="107" t="n">
        <x:f>SUM(IF($B$8=1,BS27,0),IF($B$36=1,BS55,0),IF($B$64=1,BS83,0))</x:f>
      </x:c>
      <x:c r="BT95" s="107" t="n">
        <x:f>SUM(IF($B$8=1,BT27,0),IF($B$36=1,BT55,0),IF($B$64=1,BT83,0))</x:f>
      </x:c>
      <x:c r="BU95" s="107" t="n">
        <x:f>SUM(IF($B$8=1,BU27,0),IF($B$36=1,BU55,0),IF($B$64=1,BU83,0))</x:f>
      </x:c>
      <x:c r="BV95" s="107" t="n">
        <x:f>SUM(IF($B$8=1,BV27,0),IF($B$36=1,BV55,0),IF($B$64=1,BV83,0))</x:f>
      </x:c>
      <x:c r="BW95" s="107" t="n">
        <x:f>SUM(IF($B$8=1,BW27,0),IF($B$36=1,BW55,0),IF($B$64=1,BW83,0))</x:f>
      </x:c>
      <x:c r="BX95" s="107" t="n">
        <x:f>SUM(IF($B$8=1,BX27,0),IF($B$36=1,BX55,0),IF($B$64=1,BX83,0))</x:f>
      </x:c>
      <x:c r="BY95" s="107" t="n">
        <x:f>SUM(IF($B$8=1,BY27,0),IF($B$36=1,BY55,0),IF($B$64=1,BY83,0))</x:f>
      </x:c>
      <x:c r="BZ95" s="107" t="n">
        <x:f>SUM(IF($B$8=1,BZ27,0),IF($B$36=1,BZ55,0),IF($B$64=1,BZ83,0))</x:f>
      </x:c>
      <x:c r="CA95" s="107" t="n">
        <x:f>SUM(IF($B$8=1,CA27,0),IF($B$36=1,CA55,0),IF($B$64=1,CA83,0))</x:f>
      </x:c>
      <x:c r="CB95" s="107" t="n">
        <x:f>SUM(IF($B$8=1,CB27,0),IF($B$36=1,CB55,0),IF($B$64=1,CB83,0))</x:f>
      </x:c>
      <x:c r="CC95" s="107" t="n">
        <x:f>SUM(IF($B$8=1,CC27,0),IF($B$36=1,CC55,0),IF($B$64=1,CC83,0))</x:f>
      </x:c>
      <x:c r="CD95" s="107" t="n">
        <x:f>SUM(IF($B$8=1,CD27,0),IF($B$36=1,CD55,0),IF($B$64=1,CD83,0))</x:f>
      </x:c>
      <x:c r="CE95" s="107" t="n">
        <x:f>SUM(IF($B$8=1,CE27,0),IF($B$36=1,CE55,0),IF($B$64=1,CE83,0))</x:f>
      </x:c>
      <x:c r="CF95" s="107" t="n">
        <x:f>SUM(IF($B$8=1,CF27,0),IF($B$36=1,CF55,0),IF($B$64=1,CF83,0))</x:f>
      </x:c>
      <x:c r="CG95" s="107" t="n">
        <x:f>SUM(IF($B$8=1,CG27,0),IF($B$36=1,CG55,0),IF($B$64=1,CG83,0))</x:f>
      </x:c>
      <x:c r="CH95" s="107" t="n">
        <x:f>SUM(IF($B$8=1,CH27,0),IF($B$36=1,CH55,0),IF($B$64=1,CH83,0))</x:f>
      </x:c>
      <x:c r="CI95" s="107" t="n">
        <x:f>SUM(IF($B$8=1,CI27,0),IF($B$36=1,CI55,0),IF($B$64=1,CI83,0))</x:f>
      </x:c>
      <x:c r="CJ95" s="107" t="n">
        <x:f>SUM(IF($B$8=1,CJ27,0),IF($B$36=1,CJ55,0),IF($B$64=1,CJ83,0))</x:f>
      </x:c>
      <x:c r="CK95" s="107" t="n">
        <x:f>SUM(IF($B$8=1,CK27,0),IF($B$36=1,CK55,0),IF($B$64=1,CK83,0))</x:f>
      </x:c>
      <x:c r="CL95" s="107" t="n">
        <x:f>SUM(IF($B$8=1,CL27,0),IF($B$36=1,CL55,0),IF($B$64=1,CL83,0))</x:f>
      </x:c>
      <x:c r="CM95" s="107" t="n">
        <x:f>SUM(IF($B$8=1,CM27,0),IF($B$36=1,CM55,0),IF($B$64=1,CM83,0))</x:f>
      </x:c>
      <x:c r="CN95" s="107" t="n">
        <x:f>SUM(IF($B$8=1,CN27,0),IF($B$36=1,CN55,0),IF($B$64=1,CN83,0))</x:f>
      </x:c>
      <x:c r="CO95" s="107" t="n">
        <x:f>SUM(IF($B$8=1,CO27,0),IF($B$36=1,CO55,0),IF($B$64=1,CO83,0))</x:f>
      </x:c>
      <x:c r="CP95" s="107" t="n">
        <x:f>SUM(IF($B$8=1,CP27,0),IF($B$36=1,CP55,0),IF($B$64=1,CP83,0))</x:f>
      </x:c>
      <x:c r="CQ95" s="107" t="n">
        <x:f>SUM(IF($B$8=1,CQ27,0),IF($B$36=1,CQ55,0),IF($B$64=1,CQ83,0))</x:f>
      </x:c>
      <x:c r="CR95" s="107" t="n">
        <x:f>SUM(IF($B$8=1,CR27,0),IF($B$36=1,CR55,0),IF($B$64=1,CR83,0))</x:f>
      </x:c>
      <x:c r="CS95" s="107" t="n">
        <x:f>SUM(IF($B$8=1,CS27,0),IF($B$36=1,CS55,0),IF($B$64=1,CS83,0))</x:f>
      </x:c>
      <x:c r="CT95" s="107" t="n">
        <x:f>SUM(IF($B$8=1,CT27,0),IF($B$36=1,CT55,0),IF($B$64=1,CT83,0))</x:f>
      </x:c>
      <x:c r="CU95" s="107" t="n">
        <x:f>SUM(IF($B$8=1,CU27,0),IF($B$36=1,CU55,0),IF($B$64=1,CU83,0))</x:f>
      </x:c>
      <x:c r="CV95" s="107" t="n">
        <x:f>SUM(IF($B$8=1,CV27,0),IF($B$36=1,CV55,0),IF($B$64=1,CV83,0))</x:f>
      </x:c>
      <x:c r="CW95" s="107" t="n">
        <x:f>SUM(IF($B$8=1,CW27,0),IF($B$36=1,CW55,0),IF($B$64=1,CW83,0))</x:f>
      </x:c>
      <x:c r="CX95" s="107" t="n">
        <x:f>SUM(IF($B$8=1,CX27,0),IF($B$36=1,CX55,0),IF($B$64=1,CX83,0))</x:f>
      </x:c>
      <x:c r="CY95" s="107" t="n">
        <x:f>SUM(IF($B$8=1,CY27,0),IF($B$36=1,CY55,0),IF($B$64=1,CY83,0))</x:f>
      </x:c>
      <x:c r="CZ95" s="107" t="n">
        <x:f>SUM(IF($B$8=1,CZ27,0),IF($B$36=1,CZ55,0),IF($B$64=1,CZ83,0))</x:f>
      </x:c>
      <x:c r="DA95" s="107" t="n">
        <x:f>SUM(IF($B$8=1,DA27,0),IF($B$36=1,DA55,0),IF($B$64=1,DA83,0))</x:f>
      </x:c>
      <x:c r="DB95" s="107" t="n">
        <x:f>SUM(IF($B$8=1,DB27,0),IF($B$36=1,DB55,0),IF($B$64=1,DB83,0))</x:f>
      </x:c>
      <x:c r="DC95" s="107" t="n">
        <x:f>SUM(IF($B$8=1,DC27,0),IF($B$36=1,DC55,0),IF($B$64=1,DC83,0))</x:f>
      </x:c>
      <x:c r="DD95" s="107" t="n">
        <x:f>SUM(IF($B$8=1,DD27,0),IF($B$36=1,DD55,0),IF($B$64=1,DD83,0))</x:f>
      </x:c>
      <x:c r="DE95" s="107" t="n">
        <x:f>SUM(IF($B$8=1,DE27,0),IF($B$36=1,DE55,0),IF($B$64=1,DE83,0))</x:f>
      </x:c>
      <x:c r="DF95" s="107" t="n">
        <x:f>SUM(IF($B$8=1,DF27,0),IF($B$36=1,DF55,0),IF($B$64=1,DF83,0))</x:f>
      </x:c>
      <x:c r="DG95" s="107" t="n">
        <x:f>SUM(IF($B$8=1,DG27,0),IF($B$36=1,DG55,0),IF($B$64=1,DG83,0))</x:f>
      </x:c>
      <x:c r="DH95" s="107" t="n">
        <x:f>SUM(IF($B$8=1,DH27,0),IF($B$36=1,DH55,0),IF($B$64=1,DH83,0))</x:f>
      </x:c>
      <x:c r="DI95" s="107" t="n">
        <x:f>SUM(IF($B$8=1,DI27,0),IF($B$36=1,DI55,0),IF($B$64=1,DI83,0))</x:f>
      </x:c>
      <x:c r="DJ95" s="107" t="n">
        <x:f>SUM(IF($B$8=1,DJ27,0),IF($B$36=1,DJ55,0),IF($B$64=1,DJ83,0))</x:f>
      </x:c>
      <x:c r="DK95" s="107" t="n">
        <x:f>SUM(IF($B$8=1,DK27,0),IF($B$36=1,DK55,0),IF($B$64=1,DK83,0))</x:f>
      </x:c>
      <x:c r="DL95" s="107" t="n">
        <x:f>SUM(IF($B$8=1,DL27,0),IF($B$36=1,DL55,0),IF($B$64=1,DL83,0))</x:f>
      </x:c>
      <x:c r="DM95" s="107" t="n">
        <x:f>SUM(IF($B$8=1,DM27,0),IF($B$36=1,DM55,0),IF($B$64=1,DM83,0))</x:f>
      </x:c>
      <x:c r="DN95" s="107" t="n">
        <x:f>SUM(IF($B$8=1,DN27,0),IF($B$36=1,DN55,0),IF($B$64=1,DN83,0))</x:f>
      </x:c>
      <x:c r="DO95" s="107" t="n">
        <x:f>SUM(IF($B$8=1,DO27,0),IF($B$36=1,DO55,0),IF($B$64=1,DO83,0))</x:f>
      </x:c>
      <x:c r="DP95" s="107" t="n">
        <x:f>SUM(IF($B$8=1,DP27,0),IF($B$36=1,DP55,0),IF($B$64=1,DP83,0))</x:f>
      </x:c>
      <x:c r="DQ95" s="107" t="n">
        <x:f>SUM(IF($B$8=1,DQ27,0),IF($B$36=1,DQ55,0),IF($B$64=1,DQ83,0))</x:f>
      </x:c>
      <x:c r="DR95" s="107" t="n">
        <x:f>SUM(IF($B$8=1,DR27,0),IF($B$36=1,DR55,0),IF($B$64=1,DR83,0))</x:f>
      </x:c>
      <x:c r="DS95" s="107" t="n">
        <x:f>SUM(IF($B$8=1,DS27,0),IF($B$36=1,DS55,0),IF($B$64=1,DS83,0))</x:f>
      </x:c>
    </x:row>
    <x:row r="96">
      <x:c r="A96" t="str">
        <x:v>Очередь 1 — CAPEX объектов</x:v>
      </x:c>
      <x:c r="B96" s="107" t="n">
        <x:f>SUM(D96:DS96)</x:f>
      </x:c>
      <x:c r="C96" t="str">
        <x:v>млн ₽</x:v>
      </x:c>
      <x:c r="D96" s="107" t="n">
        <x:f>SUM(IF($B$8=1,D28,0),IF($B$36=1,D56,0),IF($B$64=1,D84,0))</x:f>
      </x:c>
      <x:c r="E96" s="107" t="n">
        <x:f>SUM(IF($B$8=1,E28,0),IF($B$36=1,E56,0),IF($B$64=1,E84,0))</x:f>
      </x:c>
      <x:c r="F96" s="107" t="n">
        <x:f>SUM(IF($B$8=1,F28,0),IF($B$36=1,F56,0),IF($B$64=1,F84,0))</x:f>
      </x:c>
      <x:c r="G96" s="107" t="n">
        <x:f>SUM(IF($B$8=1,G28,0),IF($B$36=1,G56,0),IF($B$64=1,G84,0))</x:f>
      </x:c>
      <x:c r="H96" s="107" t="n">
        <x:f>SUM(IF($B$8=1,H28,0),IF($B$36=1,H56,0),IF($B$64=1,H84,0))</x:f>
      </x:c>
      <x:c r="I96" s="107" t="n">
        <x:f>SUM(IF($B$8=1,I28,0),IF($B$36=1,I56,0),IF($B$64=1,I84,0))</x:f>
      </x:c>
      <x:c r="J96" s="107" t="n">
        <x:f>SUM(IF($B$8=1,J28,0),IF($B$36=1,J56,0),IF($B$64=1,J84,0))</x:f>
      </x:c>
      <x:c r="K96" s="107" t="n">
        <x:f>SUM(IF($B$8=1,K28,0),IF($B$36=1,K56,0),IF($B$64=1,K84,0))</x:f>
      </x:c>
      <x:c r="L96" s="107" t="n">
        <x:f>SUM(IF($B$8=1,L28,0),IF($B$36=1,L56,0),IF($B$64=1,L84,0))</x:f>
      </x:c>
      <x:c r="M96" s="107" t="n">
        <x:f>SUM(IF($B$8=1,M28,0),IF($B$36=1,M56,0),IF($B$64=1,M84,0))</x:f>
      </x:c>
      <x:c r="N96" s="107" t="n">
        <x:f>SUM(IF($B$8=1,N28,0),IF($B$36=1,N56,0),IF($B$64=1,N84,0))</x:f>
      </x:c>
      <x:c r="O96" s="107" t="n">
        <x:f>SUM(IF($B$8=1,O28,0),IF($B$36=1,O56,0),IF($B$64=1,O84,0))</x:f>
      </x:c>
      <x:c r="P96" s="107" t="n">
        <x:f>SUM(IF($B$8=1,P28,0),IF($B$36=1,P56,0),IF($B$64=1,P84,0))</x:f>
      </x:c>
      <x:c r="Q96" s="107" t="n">
        <x:f>SUM(IF($B$8=1,Q28,0),IF($B$36=1,Q56,0),IF($B$64=1,Q84,0))</x:f>
      </x:c>
      <x:c r="R96" s="107" t="n">
        <x:f>SUM(IF($B$8=1,R28,0),IF($B$36=1,R56,0),IF($B$64=1,R84,0))</x:f>
      </x:c>
      <x:c r="S96" s="107" t="n">
        <x:f>SUM(IF($B$8=1,S28,0),IF($B$36=1,S56,0),IF($B$64=1,S84,0))</x:f>
      </x:c>
      <x:c r="T96" s="107" t="n">
        <x:f>SUM(IF($B$8=1,T28,0),IF($B$36=1,T56,0),IF($B$64=1,T84,0))</x:f>
      </x:c>
      <x:c r="U96" s="107" t="n">
        <x:f>SUM(IF($B$8=1,U28,0),IF($B$36=1,U56,0),IF($B$64=1,U84,0))</x:f>
      </x:c>
      <x:c r="V96" s="107" t="n">
        <x:f>SUM(IF($B$8=1,V28,0),IF($B$36=1,V56,0),IF($B$64=1,V84,0))</x:f>
      </x:c>
      <x:c r="W96" s="107" t="n">
        <x:f>SUM(IF($B$8=1,W28,0),IF($B$36=1,W56,0),IF($B$64=1,W84,0))</x:f>
      </x:c>
      <x:c r="X96" s="107" t="n">
        <x:f>SUM(IF($B$8=1,X28,0),IF($B$36=1,X56,0),IF($B$64=1,X84,0))</x:f>
      </x:c>
      <x:c r="Y96" s="107" t="n">
        <x:f>SUM(IF($B$8=1,Y28,0),IF($B$36=1,Y56,0),IF($B$64=1,Y84,0))</x:f>
      </x:c>
      <x:c r="Z96" s="107" t="n">
        <x:f>SUM(IF($B$8=1,Z28,0),IF($B$36=1,Z56,0),IF($B$64=1,Z84,0))</x:f>
      </x:c>
      <x:c r="AA96" s="107" t="n">
        <x:f>SUM(IF($B$8=1,AA28,0),IF($B$36=1,AA56,0),IF($B$64=1,AA84,0))</x:f>
      </x:c>
      <x:c r="AB96" s="107" t="n">
        <x:f>SUM(IF($B$8=1,AB28,0),IF($B$36=1,AB56,0),IF($B$64=1,AB84,0))</x:f>
      </x:c>
      <x:c r="AC96" s="107" t="n">
        <x:f>SUM(IF($B$8=1,AC28,0),IF($B$36=1,AC56,0),IF($B$64=1,AC84,0))</x:f>
      </x:c>
      <x:c r="AD96" s="107" t="n">
        <x:f>SUM(IF($B$8=1,AD28,0),IF($B$36=1,AD56,0),IF($B$64=1,AD84,0))</x:f>
      </x:c>
      <x:c r="AE96" s="107" t="n">
        <x:f>SUM(IF($B$8=1,AE28,0),IF($B$36=1,AE56,0),IF($B$64=1,AE84,0))</x:f>
      </x:c>
      <x:c r="AF96" s="107" t="n">
        <x:f>SUM(IF($B$8=1,AF28,0),IF($B$36=1,AF56,0),IF($B$64=1,AF84,0))</x:f>
      </x:c>
      <x:c r="AG96" s="107" t="n">
        <x:f>SUM(IF($B$8=1,AG28,0),IF($B$36=1,AG56,0),IF($B$64=1,AG84,0))</x:f>
      </x:c>
      <x:c r="AH96" s="107" t="n">
        <x:f>SUM(IF($B$8=1,AH28,0),IF($B$36=1,AH56,0),IF($B$64=1,AH84,0))</x:f>
      </x:c>
      <x:c r="AI96" s="107" t="n">
        <x:f>SUM(IF($B$8=1,AI28,0),IF($B$36=1,AI56,0),IF($B$64=1,AI84,0))</x:f>
      </x:c>
      <x:c r="AJ96" s="107" t="n">
        <x:f>SUM(IF($B$8=1,AJ28,0),IF($B$36=1,AJ56,0),IF($B$64=1,AJ84,0))</x:f>
      </x:c>
      <x:c r="AK96" s="107" t="n">
        <x:f>SUM(IF($B$8=1,AK28,0),IF($B$36=1,AK56,0),IF($B$64=1,AK84,0))</x:f>
      </x:c>
      <x:c r="AL96" s="107" t="n">
        <x:f>SUM(IF($B$8=1,AL28,0),IF($B$36=1,AL56,0),IF($B$64=1,AL84,0))</x:f>
      </x:c>
      <x:c r="AM96" s="107" t="n">
        <x:f>SUM(IF($B$8=1,AM28,0),IF($B$36=1,AM56,0),IF($B$64=1,AM84,0))</x:f>
      </x:c>
      <x:c r="AN96" s="107" t="n">
        <x:f>SUM(IF($B$8=1,AN28,0),IF($B$36=1,AN56,0),IF($B$64=1,AN84,0))</x:f>
      </x:c>
      <x:c r="AO96" s="107" t="n">
        <x:f>SUM(IF($B$8=1,AO28,0),IF($B$36=1,AO56,0),IF($B$64=1,AO84,0))</x:f>
      </x:c>
      <x:c r="AP96" s="107" t="n">
        <x:f>SUM(IF($B$8=1,AP28,0),IF($B$36=1,AP56,0),IF($B$64=1,AP84,0))</x:f>
      </x:c>
      <x:c r="AQ96" s="107" t="n">
        <x:f>SUM(IF($B$8=1,AQ28,0),IF($B$36=1,AQ56,0),IF($B$64=1,AQ84,0))</x:f>
      </x:c>
      <x:c r="AR96" s="107" t="n">
        <x:f>SUM(IF($B$8=1,AR28,0),IF($B$36=1,AR56,0),IF($B$64=1,AR84,0))</x:f>
      </x:c>
      <x:c r="AS96" s="107" t="n">
        <x:f>SUM(IF($B$8=1,AS28,0),IF($B$36=1,AS56,0),IF($B$64=1,AS84,0))</x:f>
      </x:c>
      <x:c r="AT96" s="107" t="n">
        <x:f>SUM(IF($B$8=1,AT28,0),IF($B$36=1,AT56,0),IF($B$64=1,AT84,0))</x:f>
      </x:c>
      <x:c r="AU96" s="107" t="n">
        <x:f>SUM(IF($B$8=1,AU28,0),IF($B$36=1,AU56,0),IF($B$64=1,AU84,0))</x:f>
      </x:c>
      <x:c r="AV96" s="107" t="n">
        <x:f>SUM(IF($B$8=1,AV28,0),IF($B$36=1,AV56,0),IF($B$64=1,AV84,0))</x:f>
      </x:c>
      <x:c r="AW96" s="107" t="n">
        <x:f>SUM(IF($B$8=1,AW28,0),IF($B$36=1,AW56,0),IF($B$64=1,AW84,0))</x:f>
      </x:c>
      <x:c r="AX96" s="107" t="n">
        <x:f>SUM(IF($B$8=1,AX28,0),IF($B$36=1,AX56,0),IF($B$64=1,AX84,0))</x:f>
      </x:c>
      <x:c r="AY96" s="107" t="n">
        <x:f>SUM(IF($B$8=1,AY28,0),IF($B$36=1,AY56,0),IF($B$64=1,AY84,0))</x:f>
      </x:c>
      <x:c r="AZ96" s="107" t="n">
        <x:f>SUM(IF($B$8=1,AZ28,0),IF($B$36=1,AZ56,0),IF($B$64=1,AZ84,0))</x:f>
      </x:c>
      <x:c r="BA96" s="107" t="n">
        <x:f>SUM(IF($B$8=1,BA28,0),IF($B$36=1,BA56,0),IF($B$64=1,BA84,0))</x:f>
      </x:c>
      <x:c r="BB96" s="107" t="n">
        <x:f>SUM(IF($B$8=1,BB28,0),IF($B$36=1,BB56,0),IF($B$64=1,BB84,0))</x:f>
      </x:c>
      <x:c r="BC96" s="107" t="n">
        <x:f>SUM(IF($B$8=1,BC28,0),IF($B$36=1,BC56,0),IF($B$64=1,BC84,0))</x:f>
      </x:c>
      <x:c r="BD96" s="107" t="n">
        <x:f>SUM(IF($B$8=1,BD28,0),IF($B$36=1,BD56,0),IF($B$64=1,BD84,0))</x:f>
      </x:c>
      <x:c r="BE96" s="107" t="n">
        <x:f>SUM(IF($B$8=1,BE28,0),IF($B$36=1,BE56,0),IF($B$64=1,BE84,0))</x:f>
      </x:c>
      <x:c r="BF96" s="107" t="n">
        <x:f>SUM(IF($B$8=1,BF28,0),IF($B$36=1,BF56,0),IF($B$64=1,BF84,0))</x:f>
      </x:c>
      <x:c r="BG96" s="107" t="n">
        <x:f>SUM(IF($B$8=1,BG28,0),IF($B$36=1,BG56,0),IF($B$64=1,BG84,0))</x:f>
      </x:c>
      <x:c r="BH96" s="107" t="n">
        <x:f>SUM(IF($B$8=1,BH28,0),IF($B$36=1,BH56,0),IF($B$64=1,BH84,0))</x:f>
      </x:c>
      <x:c r="BI96" s="107" t="n">
        <x:f>SUM(IF($B$8=1,BI28,0),IF($B$36=1,BI56,0),IF($B$64=1,BI84,0))</x:f>
      </x:c>
      <x:c r="BJ96" s="107" t="n">
        <x:f>SUM(IF($B$8=1,BJ28,0),IF($B$36=1,BJ56,0),IF($B$64=1,BJ84,0))</x:f>
      </x:c>
      <x:c r="BK96" s="107" t="n">
        <x:f>SUM(IF($B$8=1,BK28,0),IF($B$36=1,BK56,0),IF($B$64=1,BK84,0))</x:f>
      </x:c>
      <x:c r="BL96" s="107" t="n">
        <x:f>SUM(IF($B$8=1,BL28,0),IF($B$36=1,BL56,0),IF($B$64=1,BL84,0))</x:f>
      </x:c>
      <x:c r="BM96" s="107" t="n">
        <x:f>SUM(IF($B$8=1,BM28,0),IF($B$36=1,BM56,0),IF($B$64=1,BM84,0))</x:f>
      </x:c>
      <x:c r="BN96" s="107" t="n">
        <x:f>SUM(IF($B$8=1,BN28,0),IF($B$36=1,BN56,0),IF($B$64=1,BN84,0))</x:f>
      </x:c>
      <x:c r="BO96" s="107" t="n">
        <x:f>SUM(IF($B$8=1,BO28,0),IF($B$36=1,BO56,0),IF($B$64=1,BO84,0))</x:f>
      </x:c>
      <x:c r="BP96" s="107" t="n">
        <x:f>SUM(IF($B$8=1,BP28,0),IF($B$36=1,BP56,0),IF($B$64=1,BP84,0))</x:f>
      </x:c>
      <x:c r="BQ96" s="107" t="n">
        <x:f>SUM(IF($B$8=1,BQ28,0),IF($B$36=1,BQ56,0),IF($B$64=1,BQ84,0))</x:f>
      </x:c>
      <x:c r="BR96" s="107" t="n">
        <x:f>SUM(IF($B$8=1,BR28,0),IF($B$36=1,BR56,0),IF($B$64=1,BR84,0))</x:f>
      </x:c>
      <x:c r="BS96" s="107" t="n">
        <x:f>SUM(IF($B$8=1,BS28,0),IF($B$36=1,BS56,0),IF($B$64=1,BS84,0))</x:f>
      </x:c>
      <x:c r="BT96" s="107" t="n">
        <x:f>SUM(IF($B$8=1,BT28,0),IF($B$36=1,BT56,0),IF($B$64=1,BT84,0))</x:f>
      </x:c>
      <x:c r="BU96" s="107" t="n">
        <x:f>SUM(IF($B$8=1,BU28,0),IF($B$36=1,BU56,0),IF($B$64=1,BU84,0))</x:f>
      </x:c>
      <x:c r="BV96" s="107" t="n">
        <x:f>SUM(IF($B$8=1,BV28,0),IF($B$36=1,BV56,0),IF($B$64=1,BV84,0))</x:f>
      </x:c>
      <x:c r="BW96" s="107" t="n">
        <x:f>SUM(IF($B$8=1,BW28,0),IF($B$36=1,BW56,0),IF($B$64=1,BW84,0))</x:f>
      </x:c>
      <x:c r="BX96" s="107" t="n">
        <x:f>SUM(IF($B$8=1,BX28,0),IF($B$36=1,BX56,0),IF($B$64=1,BX84,0))</x:f>
      </x:c>
      <x:c r="BY96" s="107" t="n">
        <x:f>SUM(IF($B$8=1,BY28,0),IF($B$36=1,BY56,0),IF($B$64=1,BY84,0))</x:f>
      </x:c>
      <x:c r="BZ96" s="107" t="n">
        <x:f>SUM(IF($B$8=1,BZ28,0),IF($B$36=1,BZ56,0),IF($B$64=1,BZ84,0))</x:f>
      </x:c>
      <x:c r="CA96" s="107" t="n">
        <x:f>SUM(IF($B$8=1,CA28,0),IF($B$36=1,CA56,0),IF($B$64=1,CA84,0))</x:f>
      </x:c>
      <x:c r="CB96" s="107" t="n">
        <x:f>SUM(IF($B$8=1,CB28,0),IF($B$36=1,CB56,0),IF($B$64=1,CB84,0))</x:f>
      </x:c>
      <x:c r="CC96" s="107" t="n">
        <x:f>SUM(IF($B$8=1,CC28,0),IF($B$36=1,CC56,0),IF($B$64=1,CC84,0))</x:f>
      </x:c>
      <x:c r="CD96" s="107" t="n">
        <x:f>SUM(IF($B$8=1,CD28,0),IF($B$36=1,CD56,0),IF($B$64=1,CD84,0))</x:f>
      </x:c>
      <x:c r="CE96" s="107" t="n">
        <x:f>SUM(IF($B$8=1,CE28,0),IF($B$36=1,CE56,0),IF($B$64=1,CE84,0))</x:f>
      </x:c>
      <x:c r="CF96" s="107" t="n">
        <x:f>SUM(IF($B$8=1,CF28,0),IF($B$36=1,CF56,0),IF($B$64=1,CF84,0))</x:f>
      </x:c>
      <x:c r="CG96" s="107" t="n">
        <x:f>SUM(IF($B$8=1,CG28,0),IF($B$36=1,CG56,0),IF($B$64=1,CG84,0))</x:f>
      </x:c>
      <x:c r="CH96" s="107" t="n">
        <x:f>SUM(IF($B$8=1,CH28,0),IF($B$36=1,CH56,0),IF($B$64=1,CH84,0))</x:f>
      </x:c>
      <x:c r="CI96" s="107" t="n">
        <x:f>SUM(IF($B$8=1,CI28,0),IF($B$36=1,CI56,0),IF($B$64=1,CI84,0))</x:f>
      </x:c>
      <x:c r="CJ96" s="107" t="n">
        <x:f>SUM(IF($B$8=1,CJ28,0),IF($B$36=1,CJ56,0),IF($B$64=1,CJ84,0))</x:f>
      </x:c>
      <x:c r="CK96" s="107" t="n">
        <x:f>SUM(IF($B$8=1,CK28,0),IF($B$36=1,CK56,0),IF($B$64=1,CK84,0))</x:f>
      </x:c>
      <x:c r="CL96" s="107" t="n">
        <x:f>SUM(IF($B$8=1,CL28,0),IF($B$36=1,CL56,0),IF($B$64=1,CL84,0))</x:f>
      </x:c>
      <x:c r="CM96" s="107" t="n">
        <x:f>SUM(IF($B$8=1,CM28,0),IF($B$36=1,CM56,0),IF($B$64=1,CM84,0))</x:f>
      </x:c>
      <x:c r="CN96" s="107" t="n">
        <x:f>SUM(IF($B$8=1,CN28,0),IF($B$36=1,CN56,0),IF($B$64=1,CN84,0))</x:f>
      </x:c>
      <x:c r="CO96" s="107" t="n">
        <x:f>SUM(IF($B$8=1,CO28,0),IF($B$36=1,CO56,0),IF($B$64=1,CO84,0))</x:f>
      </x:c>
      <x:c r="CP96" s="107" t="n">
        <x:f>SUM(IF($B$8=1,CP28,0),IF($B$36=1,CP56,0),IF($B$64=1,CP84,0))</x:f>
      </x:c>
      <x:c r="CQ96" s="107" t="n">
        <x:f>SUM(IF($B$8=1,CQ28,0),IF($B$36=1,CQ56,0),IF($B$64=1,CQ84,0))</x:f>
      </x:c>
      <x:c r="CR96" s="107" t="n">
        <x:f>SUM(IF($B$8=1,CR28,0),IF($B$36=1,CR56,0),IF($B$64=1,CR84,0))</x:f>
      </x:c>
      <x:c r="CS96" s="107" t="n">
        <x:f>SUM(IF($B$8=1,CS28,0),IF($B$36=1,CS56,0),IF($B$64=1,CS84,0))</x:f>
      </x:c>
      <x:c r="CT96" s="107" t="n">
        <x:f>SUM(IF($B$8=1,CT28,0),IF($B$36=1,CT56,0),IF($B$64=1,CT84,0))</x:f>
      </x:c>
      <x:c r="CU96" s="107" t="n">
        <x:f>SUM(IF($B$8=1,CU28,0),IF($B$36=1,CU56,0),IF($B$64=1,CU84,0))</x:f>
      </x:c>
      <x:c r="CV96" s="107" t="n">
        <x:f>SUM(IF($B$8=1,CV28,0),IF($B$36=1,CV56,0),IF($B$64=1,CV84,0))</x:f>
      </x:c>
      <x:c r="CW96" s="107" t="n">
        <x:f>SUM(IF($B$8=1,CW28,0),IF($B$36=1,CW56,0),IF($B$64=1,CW84,0))</x:f>
      </x:c>
      <x:c r="CX96" s="107" t="n">
        <x:f>SUM(IF($B$8=1,CX28,0),IF($B$36=1,CX56,0),IF($B$64=1,CX84,0))</x:f>
      </x:c>
      <x:c r="CY96" s="107" t="n">
        <x:f>SUM(IF($B$8=1,CY28,0),IF($B$36=1,CY56,0),IF($B$64=1,CY84,0))</x:f>
      </x:c>
      <x:c r="CZ96" s="107" t="n">
        <x:f>SUM(IF($B$8=1,CZ28,0),IF($B$36=1,CZ56,0),IF($B$64=1,CZ84,0))</x:f>
      </x:c>
      <x:c r="DA96" s="107" t="n">
        <x:f>SUM(IF($B$8=1,DA28,0),IF($B$36=1,DA56,0),IF($B$64=1,DA84,0))</x:f>
      </x:c>
      <x:c r="DB96" s="107" t="n">
        <x:f>SUM(IF($B$8=1,DB28,0),IF($B$36=1,DB56,0),IF($B$64=1,DB84,0))</x:f>
      </x:c>
      <x:c r="DC96" s="107" t="n">
        <x:f>SUM(IF($B$8=1,DC28,0),IF($B$36=1,DC56,0),IF($B$64=1,DC84,0))</x:f>
      </x:c>
      <x:c r="DD96" s="107" t="n">
        <x:f>SUM(IF($B$8=1,DD28,0),IF($B$36=1,DD56,0),IF($B$64=1,DD84,0))</x:f>
      </x:c>
      <x:c r="DE96" s="107" t="n">
        <x:f>SUM(IF($B$8=1,DE28,0),IF($B$36=1,DE56,0),IF($B$64=1,DE84,0))</x:f>
      </x:c>
      <x:c r="DF96" s="107" t="n">
        <x:f>SUM(IF($B$8=1,DF28,0),IF($B$36=1,DF56,0),IF($B$64=1,DF84,0))</x:f>
      </x:c>
      <x:c r="DG96" s="107" t="n">
        <x:f>SUM(IF($B$8=1,DG28,0),IF($B$36=1,DG56,0),IF($B$64=1,DG84,0))</x:f>
      </x:c>
      <x:c r="DH96" s="107" t="n">
        <x:f>SUM(IF($B$8=1,DH28,0),IF($B$36=1,DH56,0),IF($B$64=1,DH84,0))</x:f>
      </x:c>
      <x:c r="DI96" s="107" t="n">
        <x:f>SUM(IF($B$8=1,DI28,0),IF($B$36=1,DI56,0),IF($B$64=1,DI84,0))</x:f>
      </x:c>
      <x:c r="DJ96" s="107" t="n">
        <x:f>SUM(IF($B$8=1,DJ28,0),IF($B$36=1,DJ56,0),IF($B$64=1,DJ84,0))</x:f>
      </x:c>
      <x:c r="DK96" s="107" t="n">
        <x:f>SUM(IF($B$8=1,DK28,0),IF($B$36=1,DK56,0),IF($B$64=1,DK84,0))</x:f>
      </x:c>
      <x:c r="DL96" s="107" t="n">
        <x:f>SUM(IF($B$8=1,DL28,0),IF($B$36=1,DL56,0),IF($B$64=1,DL84,0))</x:f>
      </x:c>
      <x:c r="DM96" s="107" t="n">
        <x:f>SUM(IF($B$8=1,DM28,0),IF($B$36=1,DM56,0),IF($B$64=1,DM84,0))</x:f>
      </x:c>
      <x:c r="DN96" s="107" t="n">
        <x:f>SUM(IF($B$8=1,DN28,0),IF($B$36=1,DN56,0),IF($B$64=1,DN84,0))</x:f>
      </x:c>
      <x:c r="DO96" s="107" t="n">
        <x:f>SUM(IF($B$8=1,DO28,0),IF($B$36=1,DO56,0),IF($B$64=1,DO84,0))</x:f>
      </x:c>
      <x:c r="DP96" s="107" t="n">
        <x:f>SUM(IF($B$8=1,DP28,0),IF($B$36=1,DP56,0),IF($B$64=1,DP84,0))</x:f>
      </x:c>
      <x:c r="DQ96" s="107" t="n">
        <x:f>SUM(IF($B$8=1,DQ28,0),IF($B$36=1,DQ56,0),IF($B$64=1,DQ84,0))</x:f>
      </x:c>
      <x:c r="DR96" s="107" t="n">
        <x:f>SUM(IF($B$8=1,DR28,0),IF($B$36=1,DR56,0),IF($B$64=1,DR84,0))</x:f>
      </x:c>
      <x:c r="DS96" s="107" t="n">
        <x:f>SUM(IF($B$8=1,DS28,0),IF($B$36=1,DS56,0),IF($B$64=1,DS84,0))</x:f>
      </x:c>
    </x:row>
    <x:row r="97">
      <x:c r="A97" t="str">
        <x:v>Очередь 1 — Маркетинг объектов</x:v>
      </x:c>
      <x:c r="B97" s="107" t="n">
        <x:f>SUM(D97:DS97)</x:f>
      </x:c>
      <x:c r="C97" t="str">
        <x:v>млн ₽</x:v>
      </x:c>
      <x:c r="D97" s="107" t="n">
        <x:f>SUM(IF($B$8=1,D29,0),IF($B$36=1,D57,0),IF($B$64=1,D85,0))</x:f>
      </x:c>
      <x:c r="E97" s="107" t="n">
        <x:f>SUM(IF($B$8=1,E29,0),IF($B$36=1,E57,0),IF($B$64=1,E85,0))</x:f>
      </x:c>
      <x:c r="F97" s="107" t="n">
        <x:f>SUM(IF($B$8=1,F29,0),IF($B$36=1,F57,0),IF($B$64=1,F85,0))</x:f>
      </x:c>
      <x:c r="G97" s="107" t="n">
        <x:f>SUM(IF($B$8=1,G29,0),IF($B$36=1,G57,0),IF($B$64=1,G85,0))</x:f>
      </x:c>
      <x:c r="H97" s="107" t="n">
        <x:f>SUM(IF($B$8=1,H29,0),IF($B$36=1,H57,0),IF($B$64=1,H85,0))</x:f>
      </x:c>
      <x:c r="I97" s="107" t="n">
        <x:f>SUM(IF($B$8=1,I29,0),IF($B$36=1,I57,0),IF($B$64=1,I85,0))</x:f>
      </x:c>
      <x:c r="J97" s="107" t="n">
        <x:f>SUM(IF($B$8=1,J29,0),IF($B$36=1,J57,0),IF($B$64=1,J85,0))</x:f>
      </x:c>
      <x:c r="K97" s="107" t="n">
        <x:f>SUM(IF($B$8=1,K29,0),IF($B$36=1,K57,0),IF($B$64=1,K85,0))</x:f>
      </x:c>
      <x:c r="L97" s="107" t="n">
        <x:f>SUM(IF($B$8=1,L29,0),IF($B$36=1,L57,0),IF($B$64=1,L85,0))</x:f>
      </x:c>
      <x:c r="M97" s="107" t="n">
        <x:f>SUM(IF($B$8=1,M29,0),IF($B$36=1,M57,0),IF($B$64=1,M85,0))</x:f>
      </x:c>
      <x:c r="N97" s="107" t="n">
        <x:f>SUM(IF($B$8=1,N29,0),IF($B$36=1,N57,0),IF($B$64=1,N85,0))</x:f>
      </x:c>
      <x:c r="O97" s="107" t="n">
        <x:f>SUM(IF($B$8=1,O29,0),IF($B$36=1,O57,0),IF($B$64=1,O85,0))</x:f>
      </x:c>
      <x:c r="P97" s="107" t="n">
        <x:f>SUM(IF($B$8=1,P29,0),IF($B$36=1,P57,0),IF($B$64=1,P85,0))</x:f>
      </x:c>
      <x:c r="Q97" s="107" t="n">
        <x:f>SUM(IF($B$8=1,Q29,0),IF($B$36=1,Q57,0),IF($B$64=1,Q85,0))</x:f>
      </x:c>
      <x:c r="R97" s="107" t="n">
        <x:f>SUM(IF($B$8=1,R29,0),IF($B$36=1,R57,0),IF($B$64=1,R85,0))</x:f>
      </x:c>
      <x:c r="S97" s="107" t="n">
        <x:f>SUM(IF($B$8=1,S29,0),IF($B$36=1,S57,0),IF($B$64=1,S85,0))</x:f>
      </x:c>
      <x:c r="T97" s="107" t="n">
        <x:f>SUM(IF($B$8=1,T29,0),IF($B$36=1,T57,0),IF($B$64=1,T85,0))</x:f>
      </x:c>
      <x:c r="U97" s="107" t="n">
        <x:f>SUM(IF($B$8=1,U29,0),IF($B$36=1,U57,0),IF($B$64=1,U85,0))</x:f>
      </x:c>
      <x:c r="V97" s="107" t="n">
        <x:f>SUM(IF($B$8=1,V29,0),IF($B$36=1,V57,0),IF($B$64=1,V85,0))</x:f>
      </x:c>
      <x:c r="W97" s="107" t="n">
        <x:f>SUM(IF($B$8=1,W29,0),IF($B$36=1,W57,0),IF($B$64=1,W85,0))</x:f>
      </x:c>
      <x:c r="X97" s="107" t="n">
        <x:f>SUM(IF($B$8=1,X29,0),IF($B$36=1,X57,0),IF($B$64=1,X85,0))</x:f>
      </x:c>
      <x:c r="Y97" s="107" t="n">
        <x:f>SUM(IF($B$8=1,Y29,0),IF($B$36=1,Y57,0),IF($B$64=1,Y85,0))</x:f>
      </x:c>
      <x:c r="Z97" s="107" t="n">
        <x:f>SUM(IF($B$8=1,Z29,0),IF($B$36=1,Z57,0),IF($B$64=1,Z85,0))</x:f>
      </x:c>
      <x:c r="AA97" s="107" t="n">
        <x:f>SUM(IF($B$8=1,AA29,0),IF($B$36=1,AA57,0),IF($B$64=1,AA85,0))</x:f>
      </x:c>
      <x:c r="AB97" s="107" t="n">
        <x:f>SUM(IF($B$8=1,AB29,0),IF($B$36=1,AB57,0),IF($B$64=1,AB85,0))</x:f>
      </x:c>
      <x:c r="AC97" s="107" t="n">
        <x:f>SUM(IF($B$8=1,AC29,0),IF($B$36=1,AC57,0),IF($B$64=1,AC85,0))</x:f>
      </x:c>
      <x:c r="AD97" s="107" t="n">
        <x:f>SUM(IF($B$8=1,AD29,0),IF($B$36=1,AD57,0),IF($B$64=1,AD85,0))</x:f>
      </x:c>
      <x:c r="AE97" s="107" t="n">
        <x:f>SUM(IF($B$8=1,AE29,0),IF($B$36=1,AE57,0),IF($B$64=1,AE85,0))</x:f>
      </x:c>
      <x:c r="AF97" s="107" t="n">
        <x:f>SUM(IF($B$8=1,AF29,0),IF($B$36=1,AF57,0),IF($B$64=1,AF85,0))</x:f>
      </x:c>
      <x:c r="AG97" s="107" t="n">
        <x:f>SUM(IF($B$8=1,AG29,0),IF($B$36=1,AG57,0),IF($B$64=1,AG85,0))</x:f>
      </x:c>
      <x:c r="AH97" s="107" t="n">
        <x:f>SUM(IF($B$8=1,AH29,0),IF($B$36=1,AH57,0),IF($B$64=1,AH85,0))</x:f>
      </x:c>
      <x:c r="AI97" s="107" t="n">
        <x:f>SUM(IF($B$8=1,AI29,0),IF($B$36=1,AI57,0),IF($B$64=1,AI85,0))</x:f>
      </x:c>
      <x:c r="AJ97" s="107" t="n">
        <x:f>SUM(IF($B$8=1,AJ29,0),IF($B$36=1,AJ57,0),IF($B$64=1,AJ85,0))</x:f>
      </x:c>
      <x:c r="AK97" s="107" t="n">
        <x:f>SUM(IF($B$8=1,AK29,0),IF($B$36=1,AK57,0),IF($B$64=1,AK85,0))</x:f>
      </x:c>
      <x:c r="AL97" s="107" t="n">
        <x:f>SUM(IF($B$8=1,AL29,0),IF($B$36=1,AL57,0),IF($B$64=1,AL85,0))</x:f>
      </x:c>
      <x:c r="AM97" s="107" t="n">
        <x:f>SUM(IF($B$8=1,AM29,0),IF($B$36=1,AM57,0),IF($B$64=1,AM85,0))</x:f>
      </x:c>
      <x:c r="AN97" s="107" t="n">
        <x:f>SUM(IF($B$8=1,AN29,0),IF($B$36=1,AN57,0),IF($B$64=1,AN85,0))</x:f>
      </x:c>
      <x:c r="AO97" s="107" t="n">
        <x:f>SUM(IF($B$8=1,AO29,0),IF($B$36=1,AO57,0),IF($B$64=1,AO85,0))</x:f>
      </x:c>
      <x:c r="AP97" s="107" t="n">
        <x:f>SUM(IF($B$8=1,AP29,0),IF($B$36=1,AP57,0),IF($B$64=1,AP85,0))</x:f>
      </x:c>
      <x:c r="AQ97" s="107" t="n">
        <x:f>SUM(IF($B$8=1,AQ29,0),IF($B$36=1,AQ57,0),IF($B$64=1,AQ85,0))</x:f>
      </x:c>
      <x:c r="AR97" s="107" t="n">
        <x:f>SUM(IF($B$8=1,AR29,0),IF($B$36=1,AR57,0),IF($B$64=1,AR85,0))</x:f>
      </x:c>
      <x:c r="AS97" s="107" t="n">
        <x:f>SUM(IF($B$8=1,AS29,0),IF($B$36=1,AS57,0),IF($B$64=1,AS85,0))</x:f>
      </x:c>
      <x:c r="AT97" s="107" t="n">
        <x:f>SUM(IF($B$8=1,AT29,0),IF($B$36=1,AT57,0),IF($B$64=1,AT85,0))</x:f>
      </x:c>
      <x:c r="AU97" s="107" t="n">
        <x:f>SUM(IF($B$8=1,AU29,0),IF($B$36=1,AU57,0),IF($B$64=1,AU85,0))</x:f>
      </x:c>
      <x:c r="AV97" s="107" t="n">
        <x:f>SUM(IF($B$8=1,AV29,0),IF($B$36=1,AV57,0),IF($B$64=1,AV85,0))</x:f>
      </x:c>
      <x:c r="AW97" s="107" t="n">
        <x:f>SUM(IF($B$8=1,AW29,0),IF($B$36=1,AW57,0),IF($B$64=1,AW85,0))</x:f>
      </x:c>
      <x:c r="AX97" s="107" t="n">
        <x:f>SUM(IF($B$8=1,AX29,0),IF($B$36=1,AX57,0),IF($B$64=1,AX85,0))</x:f>
      </x:c>
      <x:c r="AY97" s="107" t="n">
        <x:f>SUM(IF($B$8=1,AY29,0),IF($B$36=1,AY57,0),IF($B$64=1,AY85,0))</x:f>
      </x:c>
      <x:c r="AZ97" s="107" t="n">
        <x:f>SUM(IF($B$8=1,AZ29,0),IF($B$36=1,AZ57,0),IF($B$64=1,AZ85,0))</x:f>
      </x:c>
      <x:c r="BA97" s="107" t="n">
        <x:f>SUM(IF($B$8=1,BA29,0),IF($B$36=1,BA57,0),IF($B$64=1,BA85,0))</x:f>
      </x:c>
      <x:c r="BB97" s="107" t="n">
        <x:f>SUM(IF($B$8=1,BB29,0),IF($B$36=1,BB57,0),IF($B$64=1,BB85,0))</x:f>
      </x:c>
      <x:c r="BC97" s="107" t="n">
        <x:f>SUM(IF($B$8=1,BC29,0),IF($B$36=1,BC57,0),IF($B$64=1,BC85,0))</x:f>
      </x:c>
      <x:c r="BD97" s="107" t="n">
        <x:f>SUM(IF($B$8=1,BD29,0),IF($B$36=1,BD57,0),IF($B$64=1,BD85,0))</x:f>
      </x:c>
      <x:c r="BE97" s="107" t="n">
        <x:f>SUM(IF($B$8=1,BE29,0),IF($B$36=1,BE57,0),IF($B$64=1,BE85,0))</x:f>
      </x:c>
      <x:c r="BF97" s="107" t="n">
        <x:f>SUM(IF($B$8=1,BF29,0),IF($B$36=1,BF57,0),IF($B$64=1,BF85,0))</x:f>
      </x:c>
      <x:c r="BG97" s="107" t="n">
        <x:f>SUM(IF($B$8=1,BG29,0),IF($B$36=1,BG57,0),IF($B$64=1,BG85,0))</x:f>
      </x:c>
      <x:c r="BH97" s="107" t="n">
        <x:f>SUM(IF($B$8=1,BH29,0),IF($B$36=1,BH57,0),IF($B$64=1,BH85,0))</x:f>
      </x:c>
      <x:c r="BI97" s="107" t="n">
        <x:f>SUM(IF($B$8=1,BI29,0),IF($B$36=1,BI57,0),IF($B$64=1,BI85,0))</x:f>
      </x:c>
      <x:c r="BJ97" s="107" t="n">
        <x:f>SUM(IF($B$8=1,BJ29,0),IF($B$36=1,BJ57,0),IF($B$64=1,BJ85,0))</x:f>
      </x:c>
      <x:c r="BK97" s="107" t="n">
        <x:f>SUM(IF($B$8=1,BK29,0),IF($B$36=1,BK57,0),IF($B$64=1,BK85,0))</x:f>
      </x:c>
      <x:c r="BL97" s="107" t="n">
        <x:f>SUM(IF($B$8=1,BL29,0),IF($B$36=1,BL57,0),IF($B$64=1,BL85,0))</x:f>
      </x:c>
      <x:c r="BM97" s="107" t="n">
        <x:f>SUM(IF($B$8=1,BM29,0),IF($B$36=1,BM57,0),IF($B$64=1,BM85,0))</x:f>
      </x:c>
      <x:c r="BN97" s="107" t="n">
        <x:f>SUM(IF($B$8=1,BN29,0),IF($B$36=1,BN57,0),IF($B$64=1,BN85,0))</x:f>
      </x:c>
      <x:c r="BO97" s="107" t="n">
        <x:f>SUM(IF($B$8=1,BO29,0),IF($B$36=1,BO57,0),IF($B$64=1,BO85,0))</x:f>
      </x:c>
      <x:c r="BP97" s="107" t="n">
        <x:f>SUM(IF($B$8=1,BP29,0),IF($B$36=1,BP57,0),IF($B$64=1,BP85,0))</x:f>
      </x:c>
      <x:c r="BQ97" s="107" t="n">
        <x:f>SUM(IF($B$8=1,BQ29,0),IF($B$36=1,BQ57,0),IF($B$64=1,BQ85,0))</x:f>
      </x:c>
      <x:c r="BR97" s="107" t="n">
        <x:f>SUM(IF($B$8=1,BR29,0),IF($B$36=1,BR57,0),IF($B$64=1,BR85,0))</x:f>
      </x:c>
      <x:c r="BS97" s="107" t="n">
        <x:f>SUM(IF($B$8=1,BS29,0),IF($B$36=1,BS57,0),IF($B$64=1,BS85,0))</x:f>
      </x:c>
      <x:c r="BT97" s="107" t="n">
        <x:f>SUM(IF($B$8=1,BT29,0),IF($B$36=1,BT57,0),IF($B$64=1,BT85,0))</x:f>
      </x:c>
      <x:c r="BU97" s="107" t="n">
        <x:f>SUM(IF($B$8=1,BU29,0),IF($B$36=1,BU57,0),IF($B$64=1,BU85,0))</x:f>
      </x:c>
      <x:c r="BV97" s="107" t="n">
        <x:f>SUM(IF($B$8=1,BV29,0),IF($B$36=1,BV57,0),IF($B$64=1,BV85,0))</x:f>
      </x:c>
      <x:c r="BW97" s="107" t="n">
        <x:f>SUM(IF($B$8=1,BW29,0),IF($B$36=1,BW57,0),IF($B$64=1,BW85,0))</x:f>
      </x:c>
      <x:c r="BX97" s="107" t="n">
        <x:f>SUM(IF($B$8=1,BX29,0),IF($B$36=1,BX57,0),IF($B$64=1,BX85,0))</x:f>
      </x:c>
      <x:c r="BY97" s="107" t="n">
        <x:f>SUM(IF($B$8=1,BY29,0),IF($B$36=1,BY57,0),IF($B$64=1,BY85,0))</x:f>
      </x:c>
      <x:c r="BZ97" s="107" t="n">
        <x:f>SUM(IF($B$8=1,BZ29,0),IF($B$36=1,BZ57,0),IF($B$64=1,BZ85,0))</x:f>
      </x:c>
      <x:c r="CA97" s="107" t="n">
        <x:f>SUM(IF($B$8=1,CA29,0),IF($B$36=1,CA57,0),IF($B$64=1,CA85,0))</x:f>
      </x:c>
      <x:c r="CB97" s="107" t="n">
        <x:f>SUM(IF($B$8=1,CB29,0),IF($B$36=1,CB57,0),IF($B$64=1,CB85,0))</x:f>
      </x:c>
      <x:c r="CC97" s="107" t="n">
        <x:f>SUM(IF($B$8=1,CC29,0),IF($B$36=1,CC57,0),IF($B$64=1,CC85,0))</x:f>
      </x:c>
      <x:c r="CD97" s="107" t="n">
        <x:f>SUM(IF($B$8=1,CD29,0),IF($B$36=1,CD57,0),IF($B$64=1,CD85,0))</x:f>
      </x:c>
      <x:c r="CE97" s="107" t="n">
        <x:f>SUM(IF($B$8=1,CE29,0),IF($B$36=1,CE57,0),IF($B$64=1,CE85,0))</x:f>
      </x:c>
      <x:c r="CF97" s="107" t="n">
        <x:f>SUM(IF($B$8=1,CF29,0),IF($B$36=1,CF57,0),IF($B$64=1,CF85,0))</x:f>
      </x:c>
      <x:c r="CG97" s="107" t="n">
        <x:f>SUM(IF($B$8=1,CG29,0),IF($B$36=1,CG57,0),IF($B$64=1,CG85,0))</x:f>
      </x:c>
      <x:c r="CH97" s="107" t="n">
        <x:f>SUM(IF($B$8=1,CH29,0),IF($B$36=1,CH57,0),IF($B$64=1,CH85,0))</x:f>
      </x:c>
      <x:c r="CI97" s="107" t="n">
        <x:f>SUM(IF($B$8=1,CI29,0),IF($B$36=1,CI57,0),IF($B$64=1,CI85,0))</x:f>
      </x:c>
      <x:c r="CJ97" s="107" t="n">
        <x:f>SUM(IF($B$8=1,CJ29,0),IF($B$36=1,CJ57,0),IF($B$64=1,CJ85,0))</x:f>
      </x:c>
      <x:c r="CK97" s="107" t="n">
        <x:f>SUM(IF($B$8=1,CK29,0),IF($B$36=1,CK57,0),IF($B$64=1,CK85,0))</x:f>
      </x:c>
      <x:c r="CL97" s="107" t="n">
        <x:f>SUM(IF($B$8=1,CL29,0),IF($B$36=1,CL57,0),IF($B$64=1,CL85,0))</x:f>
      </x:c>
      <x:c r="CM97" s="107" t="n">
        <x:f>SUM(IF($B$8=1,CM29,0),IF($B$36=1,CM57,0),IF($B$64=1,CM85,0))</x:f>
      </x:c>
      <x:c r="CN97" s="107" t="n">
        <x:f>SUM(IF($B$8=1,CN29,0),IF($B$36=1,CN57,0),IF($B$64=1,CN85,0))</x:f>
      </x:c>
      <x:c r="CO97" s="107" t="n">
        <x:f>SUM(IF($B$8=1,CO29,0),IF($B$36=1,CO57,0),IF($B$64=1,CO85,0))</x:f>
      </x:c>
      <x:c r="CP97" s="107" t="n">
        <x:f>SUM(IF($B$8=1,CP29,0),IF($B$36=1,CP57,0),IF($B$64=1,CP85,0))</x:f>
      </x:c>
      <x:c r="CQ97" s="107" t="n">
        <x:f>SUM(IF($B$8=1,CQ29,0),IF($B$36=1,CQ57,0),IF($B$64=1,CQ85,0))</x:f>
      </x:c>
      <x:c r="CR97" s="107" t="n">
        <x:f>SUM(IF($B$8=1,CR29,0),IF($B$36=1,CR57,0),IF($B$64=1,CR85,0))</x:f>
      </x:c>
      <x:c r="CS97" s="107" t="n">
        <x:f>SUM(IF($B$8=1,CS29,0),IF($B$36=1,CS57,0),IF($B$64=1,CS85,0))</x:f>
      </x:c>
      <x:c r="CT97" s="107" t="n">
        <x:f>SUM(IF($B$8=1,CT29,0),IF($B$36=1,CT57,0),IF($B$64=1,CT85,0))</x:f>
      </x:c>
      <x:c r="CU97" s="107" t="n">
        <x:f>SUM(IF($B$8=1,CU29,0),IF($B$36=1,CU57,0),IF($B$64=1,CU85,0))</x:f>
      </x:c>
      <x:c r="CV97" s="107" t="n">
        <x:f>SUM(IF($B$8=1,CV29,0),IF($B$36=1,CV57,0),IF($B$64=1,CV85,0))</x:f>
      </x:c>
      <x:c r="CW97" s="107" t="n">
        <x:f>SUM(IF($B$8=1,CW29,0),IF($B$36=1,CW57,0),IF($B$64=1,CW85,0))</x:f>
      </x:c>
      <x:c r="CX97" s="107" t="n">
        <x:f>SUM(IF($B$8=1,CX29,0),IF($B$36=1,CX57,0),IF($B$64=1,CX85,0))</x:f>
      </x:c>
      <x:c r="CY97" s="107" t="n">
        <x:f>SUM(IF($B$8=1,CY29,0),IF($B$36=1,CY57,0),IF($B$64=1,CY85,0))</x:f>
      </x:c>
      <x:c r="CZ97" s="107" t="n">
        <x:f>SUM(IF($B$8=1,CZ29,0),IF($B$36=1,CZ57,0),IF($B$64=1,CZ85,0))</x:f>
      </x:c>
      <x:c r="DA97" s="107" t="n">
        <x:f>SUM(IF($B$8=1,DA29,0),IF($B$36=1,DA57,0),IF($B$64=1,DA85,0))</x:f>
      </x:c>
      <x:c r="DB97" s="107" t="n">
        <x:f>SUM(IF($B$8=1,DB29,0),IF($B$36=1,DB57,0),IF($B$64=1,DB85,0))</x:f>
      </x:c>
      <x:c r="DC97" s="107" t="n">
        <x:f>SUM(IF($B$8=1,DC29,0),IF($B$36=1,DC57,0),IF($B$64=1,DC85,0))</x:f>
      </x:c>
      <x:c r="DD97" s="107" t="n">
        <x:f>SUM(IF($B$8=1,DD29,0),IF($B$36=1,DD57,0),IF($B$64=1,DD85,0))</x:f>
      </x:c>
      <x:c r="DE97" s="107" t="n">
        <x:f>SUM(IF($B$8=1,DE29,0),IF($B$36=1,DE57,0),IF($B$64=1,DE85,0))</x:f>
      </x:c>
      <x:c r="DF97" s="107" t="n">
        <x:f>SUM(IF($B$8=1,DF29,0),IF($B$36=1,DF57,0),IF($B$64=1,DF85,0))</x:f>
      </x:c>
      <x:c r="DG97" s="107" t="n">
        <x:f>SUM(IF($B$8=1,DG29,0),IF($B$36=1,DG57,0),IF($B$64=1,DG85,0))</x:f>
      </x:c>
      <x:c r="DH97" s="107" t="n">
        <x:f>SUM(IF($B$8=1,DH29,0),IF($B$36=1,DH57,0),IF($B$64=1,DH85,0))</x:f>
      </x:c>
      <x:c r="DI97" s="107" t="n">
        <x:f>SUM(IF($B$8=1,DI29,0),IF($B$36=1,DI57,0),IF($B$64=1,DI85,0))</x:f>
      </x:c>
      <x:c r="DJ97" s="107" t="n">
        <x:f>SUM(IF($B$8=1,DJ29,0),IF($B$36=1,DJ57,0),IF($B$64=1,DJ85,0))</x:f>
      </x:c>
      <x:c r="DK97" s="107" t="n">
        <x:f>SUM(IF($B$8=1,DK29,0),IF($B$36=1,DK57,0),IF($B$64=1,DK85,0))</x:f>
      </x:c>
      <x:c r="DL97" s="107" t="n">
        <x:f>SUM(IF($B$8=1,DL29,0),IF($B$36=1,DL57,0),IF($B$64=1,DL85,0))</x:f>
      </x:c>
      <x:c r="DM97" s="107" t="n">
        <x:f>SUM(IF($B$8=1,DM29,0),IF($B$36=1,DM57,0),IF($B$64=1,DM85,0))</x:f>
      </x:c>
      <x:c r="DN97" s="107" t="n">
        <x:f>SUM(IF($B$8=1,DN29,0),IF($B$36=1,DN57,0),IF($B$64=1,DN85,0))</x:f>
      </x:c>
      <x:c r="DO97" s="107" t="n">
        <x:f>SUM(IF($B$8=1,DO29,0),IF($B$36=1,DO57,0),IF($B$64=1,DO85,0))</x:f>
      </x:c>
      <x:c r="DP97" s="107" t="n">
        <x:f>SUM(IF($B$8=1,DP29,0),IF($B$36=1,DP57,0),IF($B$64=1,DP85,0))</x:f>
      </x:c>
      <x:c r="DQ97" s="107" t="n">
        <x:f>SUM(IF($B$8=1,DQ29,0),IF($B$36=1,DQ57,0),IF($B$64=1,DQ85,0))</x:f>
      </x:c>
      <x:c r="DR97" s="107" t="n">
        <x:f>SUM(IF($B$8=1,DR29,0),IF($B$36=1,DR57,0),IF($B$64=1,DR85,0))</x:f>
      </x:c>
      <x:c r="DS97" s="107" t="n">
        <x:f>SUM(IF($B$8=1,DS29,0),IF($B$36=1,DS57,0),IF($B$64=1,DS85,0))</x:f>
      </x:c>
    </x:row>
    <x:row r="98">
      <x:c r="A98" s="348" t="str">
        <x:v>Очередь 1 — Расходы на продажи объектов</x:v>
      </x:c>
      <x:c r="B98" s="348" t="n">
        <x:f>SUM(D98:DS98)</x:f>
      </x:c>
      <x:c r="C98" s="348" t="str">
        <x:v>млн ₽</x:v>
      </x:c>
      <x:c r="D98" s="348" t="n">
        <x:f>SUM(IF($B$8=1,D30,0),IF($B$36=1,D58,0),IF($B$64=1,D86,0))</x:f>
      </x:c>
      <x:c r="E98" s="348" t="n">
        <x:f>SUM(IF($B$8=1,E30,0),IF($B$36=1,E58,0),IF($B$64=1,E86,0))</x:f>
      </x:c>
      <x:c r="F98" s="348" t="n">
        <x:f>SUM(IF($B$8=1,F30,0),IF($B$36=1,F58,0),IF($B$64=1,F86,0))</x:f>
      </x:c>
      <x:c r="G98" s="348" t="n">
        <x:f>SUM(IF($B$8=1,G30,0),IF($B$36=1,G58,0),IF($B$64=1,G86,0))</x:f>
      </x:c>
      <x:c r="H98" s="348" t="n">
        <x:f>SUM(IF($B$8=1,H30,0),IF($B$36=1,H58,0),IF($B$64=1,H86,0))</x:f>
      </x:c>
      <x:c r="I98" s="348" t="n">
        <x:f>SUM(IF($B$8=1,I30,0),IF($B$36=1,I58,0),IF($B$64=1,I86,0))</x:f>
      </x:c>
      <x:c r="J98" s="348" t="n">
        <x:f>SUM(IF($B$8=1,J30,0),IF($B$36=1,J58,0),IF($B$64=1,J86,0))</x:f>
      </x:c>
      <x:c r="K98" s="348" t="n">
        <x:f>SUM(IF($B$8=1,K30,0),IF($B$36=1,K58,0),IF($B$64=1,K86,0))</x:f>
      </x:c>
      <x:c r="L98" s="348" t="n">
        <x:f>SUM(IF($B$8=1,L30,0),IF($B$36=1,L58,0),IF($B$64=1,L86,0))</x:f>
      </x:c>
      <x:c r="M98" s="348" t="n">
        <x:f>SUM(IF($B$8=1,M30,0),IF($B$36=1,M58,0),IF($B$64=1,M86,0))</x:f>
      </x:c>
      <x:c r="N98" s="348" t="n">
        <x:f>SUM(IF($B$8=1,N30,0),IF($B$36=1,N58,0),IF($B$64=1,N86,0))</x:f>
      </x:c>
      <x:c r="O98" s="348" t="n">
        <x:f>SUM(IF($B$8=1,O30,0),IF($B$36=1,O58,0),IF($B$64=1,O86,0))</x:f>
      </x:c>
      <x:c r="P98" s="348" t="n">
        <x:f>SUM(IF($B$8=1,P30,0),IF($B$36=1,P58,0),IF($B$64=1,P86,0))</x:f>
      </x:c>
      <x:c r="Q98" s="348" t="n">
        <x:f>SUM(IF($B$8=1,Q30,0),IF($B$36=1,Q58,0),IF($B$64=1,Q86,0))</x:f>
      </x:c>
      <x:c r="R98" s="348" t="n">
        <x:f>SUM(IF($B$8=1,R30,0),IF($B$36=1,R58,0),IF($B$64=1,R86,0))</x:f>
      </x:c>
      <x:c r="S98" s="348" t="n">
        <x:f>SUM(IF($B$8=1,S30,0),IF($B$36=1,S58,0),IF($B$64=1,S86,0))</x:f>
      </x:c>
      <x:c r="T98" s="348" t="n">
        <x:f>SUM(IF($B$8=1,T30,0),IF($B$36=1,T58,0),IF($B$64=1,T86,0))</x:f>
      </x:c>
      <x:c r="U98" s="348" t="n">
        <x:f>SUM(IF($B$8=1,U30,0),IF($B$36=1,U58,0),IF($B$64=1,U86,0))</x:f>
      </x:c>
      <x:c r="V98" s="348" t="n">
        <x:f>SUM(IF($B$8=1,V30,0),IF($B$36=1,V58,0),IF($B$64=1,V86,0))</x:f>
      </x:c>
      <x:c r="W98" s="348" t="n">
        <x:f>SUM(IF($B$8=1,W30,0),IF($B$36=1,W58,0),IF($B$64=1,W86,0))</x:f>
      </x:c>
      <x:c r="X98" s="348" t="n">
        <x:f>SUM(IF($B$8=1,X30,0),IF($B$36=1,X58,0),IF($B$64=1,X86,0))</x:f>
      </x:c>
      <x:c r="Y98" s="348" t="n">
        <x:f>SUM(IF($B$8=1,Y30,0),IF($B$36=1,Y58,0),IF($B$64=1,Y86,0))</x:f>
      </x:c>
      <x:c r="Z98" s="348" t="n">
        <x:f>SUM(IF($B$8=1,Z30,0),IF($B$36=1,Z58,0),IF($B$64=1,Z86,0))</x:f>
      </x:c>
      <x:c r="AA98" s="348" t="n">
        <x:f>SUM(IF($B$8=1,AA30,0),IF($B$36=1,AA58,0),IF($B$64=1,AA86,0))</x:f>
      </x:c>
      <x:c r="AB98" s="348" t="n">
        <x:f>SUM(IF($B$8=1,AB30,0),IF($B$36=1,AB58,0),IF($B$64=1,AB86,0))</x:f>
      </x:c>
      <x:c r="AC98" s="348" t="n">
        <x:f>SUM(IF($B$8=1,AC30,0),IF($B$36=1,AC58,0),IF($B$64=1,AC86,0))</x:f>
      </x:c>
      <x:c r="AD98" s="348" t="n">
        <x:f>SUM(IF($B$8=1,AD30,0),IF($B$36=1,AD58,0),IF($B$64=1,AD86,0))</x:f>
      </x:c>
      <x:c r="AE98" s="348" t="n">
        <x:f>SUM(IF($B$8=1,AE30,0),IF($B$36=1,AE58,0),IF($B$64=1,AE86,0))</x:f>
      </x:c>
      <x:c r="AF98" s="348" t="n">
        <x:f>SUM(IF($B$8=1,AF30,0),IF($B$36=1,AF58,0),IF($B$64=1,AF86,0))</x:f>
      </x:c>
      <x:c r="AG98" s="348" t="n">
        <x:f>SUM(IF($B$8=1,AG30,0),IF($B$36=1,AG58,0),IF($B$64=1,AG86,0))</x:f>
      </x:c>
      <x:c r="AH98" s="348" t="n">
        <x:f>SUM(IF($B$8=1,AH30,0),IF($B$36=1,AH58,0),IF($B$64=1,AH86,0))</x:f>
      </x:c>
      <x:c r="AI98" s="348" t="n">
        <x:f>SUM(IF($B$8=1,AI30,0),IF($B$36=1,AI58,0),IF($B$64=1,AI86,0))</x:f>
      </x:c>
      <x:c r="AJ98" s="348" t="n">
        <x:f>SUM(IF($B$8=1,AJ30,0),IF($B$36=1,AJ58,0),IF($B$64=1,AJ86,0))</x:f>
      </x:c>
      <x:c r="AK98" s="348" t="n">
        <x:f>SUM(IF($B$8=1,AK30,0),IF($B$36=1,AK58,0),IF($B$64=1,AK86,0))</x:f>
      </x:c>
      <x:c r="AL98" s="348" t="n">
        <x:f>SUM(IF($B$8=1,AL30,0),IF($B$36=1,AL58,0),IF($B$64=1,AL86,0))</x:f>
      </x:c>
      <x:c r="AM98" s="348" t="n">
        <x:f>SUM(IF($B$8=1,AM30,0),IF($B$36=1,AM58,0),IF($B$64=1,AM86,0))</x:f>
      </x:c>
      <x:c r="AN98" s="348" t="n">
        <x:f>SUM(IF($B$8=1,AN30,0),IF($B$36=1,AN58,0),IF($B$64=1,AN86,0))</x:f>
      </x:c>
      <x:c r="AO98" s="348" t="n">
        <x:f>SUM(IF($B$8=1,AO30,0),IF($B$36=1,AO58,0),IF($B$64=1,AO86,0))</x:f>
      </x:c>
      <x:c r="AP98" s="348" t="n">
        <x:f>SUM(IF($B$8=1,AP30,0),IF($B$36=1,AP58,0),IF($B$64=1,AP86,0))</x:f>
      </x:c>
      <x:c r="AQ98" s="348" t="n">
        <x:f>SUM(IF($B$8=1,AQ30,0),IF($B$36=1,AQ58,0),IF($B$64=1,AQ86,0))</x:f>
      </x:c>
      <x:c r="AR98" s="348" t="n">
        <x:f>SUM(IF($B$8=1,AR30,0),IF($B$36=1,AR58,0),IF($B$64=1,AR86,0))</x:f>
      </x:c>
      <x:c r="AS98" s="348" t="n">
        <x:f>SUM(IF($B$8=1,AS30,0),IF($B$36=1,AS58,0),IF($B$64=1,AS86,0))</x:f>
      </x:c>
      <x:c r="AT98" s="348" t="n">
        <x:f>SUM(IF($B$8=1,AT30,0),IF($B$36=1,AT58,0),IF($B$64=1,AT86,0))</x:f>
      </x:c>
      <x:c r="AU98" s="348" t="n">
        <x:f>SUM(IF($B$8=1,AU30,0),IF($B$36=1,AU58,0),IF($B$64=1,AU86,0))</x:f>
      </x:c>
      <x:c r="AV98" s="348" t="n">
        <x:f>SUM(IF($B$8=1,AV30,0),IF($B$36=1,AV58,0),IF($B$64=1,AV86,0))</x:f>
      </x:c>
      <x:c r="AW98" s="348" t="n">
        <x:f>SUM(IF($B$8=1,AW30,0),IF($B$36=1,AW58,0),IF($B$64=1,AW86,0))</x:f>
      </x:c>
      <x:c r="AX98" s="348" t="n">
        <x:f>SUM(IF($B$8=1,AX30,0),IF($B$36=1,AX58,0),IF($B$64=1,AX86,0))</x:f>
      </x:c>
      <x:c r="AY98" s="348" t="n">
        <x:f>SUM(IF($B$8=1,AY30,0),IF($B$36=1,AY58,0),IF($B$64=1,AY86,0))</x:f>
      </x:c>
      <x:c r="AZ98" s="348" t="n">
        <x:f>SUM(IF($B$8=1,AZ30,0),IF($B$36=1,AZ58,0),IF($B$64=1,AZ86,0))</x:f>
      </x:c>
      <x:c r="BA98" s="348" t="n">
        <x:f>SUM(IF($B$8=1,BA30,0),IF($B$36=1,BA58,0),IF($B$64=1,BA86,0))</x:f>
      </x:c>
      <x:c r="BB98" s="348" t="n">
        <x:f>SUM(IF($B$8=1,BB30,0),IF($B$36=1,BB58,0),IF($B$64=1,BB86,0))</x:f>
      </x:c>
      <x:c r="BC98" s="348" t="n">
        <x:f>SUM(IF($B$8=1,BC30,0),IF($B$36=1,BC58,0),IF($B$64=1,BC86,0))</x:f>
      </x:c>
      <x:c r="BD98" s="348" t="n">
        <x:f>SUM(IF($B$8=1,BD30,0),IF($B$36=1,BD58,0),IF($B$64=1,BD86,0))</x:f>
      </x:c>
      <x:c r="BE98" s="348" t="n">
        <x:f>SUM(IF($B$8=1,BE30,0),IF($B$36=1,BE58,0),IF($B$64=1,BE86,0))</x:f>
      </x:c>
      <x:c r="BF98" s="348" t="n">
        <x:f>SUM(IF($B$8=1,BF30,0),IF($B$36=1,BF58,0),IF($B$64=1,BF86,0))</x:f>
      </x:c>
      <x:c r="BG98" s="348" t="n">
        <x:f>SUM(IF($B$8=1,BG30,0),IF($B$36=1,BG58,0),IF($B$64=1,BG86,0))</x:f>
      </x:c>
      <x:c r="BH98" s="348" t="n">
        <x:f>SUM(IF($B$8=1,BH30,0),IF($B$36=1,BH58,0),IF($B$64=1,BH86,0))</x:f>
      </x:c>
      <x:c r="BI98" s="348" t="n">
        <x:f>SUM(IF($B$8=1,BI30,0),IF($B$36=1,BI58,0),IF($B$64=1,BI86,0))</x:f>
      </x:c>
      <x:c r="BJ98" s="348" t="n">
        <x:f>SUM(IF($B$8=1,BJ30,0),IF($B$36=1,BJ58,0),IF($B$64=1,BJ86,0))</x:f>
      </x:c>
      <x:c r="BK98" s="348" t="n">
        <x:f>SUM(IF($B$8=1,BK30,0),IF($B$36=1,BK58,0),IF($B$64=1,BK86,0))</x:f>
      </x:c>
      <x:c r="BL98" s="348" t="n">
        <x:f>SUM(IF($B$8=1,BL30,0),IF($B$36=1,BL58,0),IF($B$64=1,BL86,0))</x:f>
      </x:c>
      <x:c r="BM98" s="348" t="n">
        <x:f>SUM(IF($B$8=1,BM30,0),IF($B$36=1,BM58,0),IF($B$64=1,BM86,0))</x:f>
      </x:c>
      <x:c r="BN98" s="348" t="n">
        <x:f>SUM(IF($B$8=1,BN30,0),IF($B$36=1,BN58,0),IF($B$64=1,BN86,0))</x:f>
      </x:c>
      <x:c r="BO98" s="348" t="n">
        <x:f>SUM(IF($B$8=1,BO30,0),IF($B$36=1,BO58,0),IF($B$64=1,BO86,0))</x:f>
      </x:c>
      <x:c r="BP98" s="348" t="n">
        <x:f>SUM(IF($B$8=1,BP30,0),IF($B$36=1,BP58,0),IF($B$64=1,BP86,0))</x:f>
      </x:c>
      <x:c r="BQ98" s="348" t="n">
        <x:f>SUM(IF($B$8=1,BQ30,0),IF($B$36=1,BQ58,0),IF($B$64=1,BQ86,0))</x:f>
      </x:c>
      <x:c r="BR98" s="348" t="n">
        <x:f>SUM(IF($B$8=1,BR30,0),IF($B$36=1,BR58,0),IF($B$64=1,BR86,0))</x:f>
      </x:c>
      <x:c r="BS98" s="348" t="n">
        <x:f>SUM(IF($B$8=1,BS30,0),IF($B$36=1,BS58,0),IF($B$64=1,BS86,0))</x:f>
      </x:c>
      <x:c r="BT98" s="348" t="n">
        <x:f>SUM(IF($B$8=1,BT30,0),IF($B$36=1,BT58,0),IF($B$64=1,BT86,0))</x:f>
      </x:c>
      <x:c r="BU98" s="348" t="n">
        <x:f>SUM(IF($B$8=1,BU30,0),IF($B$36=1,BU58,0),IF($B$64=1,BU86,0))</x:f>
      </x:c>
      <x:c r="BV98" s="348" t="n">
        <x:f>SUM(IF($B$8=1,BV30,0),IF($B$36=1,BV58,0),IF($B$64=1,BV86,0))</x:f>
      </x:c>
      <x:c r="BW98" s="348" t="n">
        <x:f>SUM(IF($B$8=1,BW30,0),IF($B$36=1,BW58,0),IF($B$64=1,BW86,0))</x:f>
      </x:c>
      <x:c r="BX98" s="348" t="n">
        <x:f>SUM(IF($B$8=1,BX30,0),IF($B$36=1,BX58,0),IF($B$64=1,BX86,0))</x:f>
      </x:c>
      <x:c r="BY98" s="348" t="n">
        <x:f>SUM(IF($B$8=1,BY30,0),IF($B$36=1,BY58,0),IF($B$64=1,BY86,0))</x:f>
      </x:c>
      <x:c r="BZ98" s="348" t="n">
        <x:f>SUM(IF($B$8=1,BZ30,0),IF($B$36=1,BZ58,0),IF($B$64=1,BZ86,0))</x:f>
      </x:c>
      <x:c r="CA98" s="348" t="n">
        <x:f>SUM(IF($B$8=1,CA30,0),IF($B$36=1,CA58,0),IF($B$64=1,CA86,0))</x:f>
      </x:c>
      <x:c r="CB98" s="348" t="n">
        <x:f>SUM(IF($B$8=1,CB30,0),IF($B$36=1,CB58,0),IF($B$64=1,CB86,0))</x:f>
      </x:c>
      <x:c r="CC98" s="348" t="n">
        <x:f>SUM(IF($B$8=1,CC30,0),IF($B$36=1,CC58,0),IF($B$64=1,CC86,0))</x:f>
      </x:c>
      <x:c r="CD98" s="348" t="n">
        <x:f>SUM(IF($B$8=1,CD30,0),IF($B$36=1,CD58,0),IF($B$64=1,CD86,0))</x:f>
      </x:c>
      <x:c r="CE98" s="348" t="n">
        <x:f>SUM(IF($B$8=1,CE30,0),IF($B$36=1,CE58,0),IF($B$64=1,CE86,0))</x:f>
      </x:c>
      <x:c r="CF98" s="348" t="n">
        <x:f>SUM(IF($B$8=1,CF30,0),IF($B$36=1,CF58,0),IF($B$64=1,CF86,0))</x:f>
      </x:c>
      <x:c r="CG98" s="348" t="n">
        <x:f>SUM(IF($B$8=1,CG30,0),IF($B$36=1,CG58,0),IF($B$64=1,CG86,0))</x:f>
      </x:c>
      <x:c r="CH98" s="348" t="n">
        <x:f>SUM(IF($B$8=1,CH30,0),IF($B$36=1,CH58,0),IF($B$64=1,CH86,0))</x:f>
      </x:c>
      <x:c r="CI98" s="348" t="n">
        <x:f>SUM(IF($B$8=1,CI30,0),IF($B$36=1,CI58,0),IF($B$64=1,CI86,0))</x:f>
      </x:c>
      <x:c r="CJ98" s="348" t="n">
        <x:f>SUM(IF($B$8=1,CJ30,0),IF($B$36=1,CJ58,0),IF($B$64=1,CJ86,0))</x:f>
      </x:c>
      <x:c r="CK98" s="348" t="n">
        <x:f>SUM(IF($B$8=1,CK30,0),IF($B$36=1,CK58,0),IF($B$64=1,CK86,0))</x:f>
      </x:c>
      <x:c r="CL98" s="348" t="n">
        <x:f>SUM(IF($B$8=1,CL30,0),IF($B$36=1,CL58,0),IF($B$64=1,CL86,0))</x:f>
      </x:c>
      <x:c r="CM98" s="348" t="n">
        <x:f>SUM(IF($B$8=1,CM30,0),IF($B$36=1,CM58,0),IF($B$64=1,CM86,0))</x:f>
      </x:c>
      <x:c r="CN98" s="348" t="n">
        <x:f>SUM(IF($B$8=1,CN30,0),IF($B$36=1,CN58,0),IF($B$64=1,CN86,0))</x:f>
      </x:c>
      <x:c r="CO98" s="348" t="n">
        <x:f>SUM(IF($B$8=1,CO30,0),IF($B$36=1,CO58,0),IF($B$64=1,CO86,0))</x:f>
      </x:c>
      <x:c r="CP98" s="348" t="n">
        <x:f>SUM(IF($B$8=1,CP30,0),IF($B$36=1,CP58,0),IF($B$64=1,CP86,0))</x:f>
      </x:c>
      <x:c r="CQ98" s="348" t="n">
        <x:f>SUM(IF($B$8=1,CQ30,0),IF($B$36=1,CQ58,0),IF($B$64=1,CQ86,0))</x:f>
      </x:c>
      <x:c r="CR98" s="348" t="n">
        <x:f>SUM(IF($B$8=1,CR30,0),IF($B$36=1,CR58,0),IF($B$64=1,CR86,0))</x:f>
      </x:c>
      <x:c r="CS98" s="348" t="n">
        <x:f>SUM(IF($B$8=1,CS30,0),IF($B$36=1,CS58,0),IF($B$64=1,CS86,0))</x:f>
      </x:c>
      <x:c r="CT98" s="348" t="n">
        <x:f>SUM(IF($B$8=1,CT30,0),IF($B$36=1,CT58,0),IF($B$64=1,CT86,0))</x:f>
      </x:c>
      <x:c r="CU98" s="348" t="n">
        <x:f>SUM(IF($B$8=1,CU30,0),IF($B$36=1,CU58,0),IF($B$64=1,CU86,0))</x:f>
      </x:c>
      <x:c r="CV98" s="348" t="n">
        <x:f>SUM(IF($B$8=1,CV30,0),IF($B$36=1,CV58,0),IF($B$64=1,CV86,0))</x:f>
      </x:c>
      <x:c r="CW98" s="348" t="n">
        <x:f>SUM(IF($B$8=1,CW30,0),IF($B$36=1,CW58,0),IF($B$64=1,CW86,0))</x:f>
      </x:c>
      <x:c r="CX98" s="348" t="n">
        <x:f>SUM(IF($B$8=1,CX30,0),IF($B$36=1,CX58,0),IF($B$64=1,CX86,0))</x:f>
      </x:c>
      <x:c r="CY98" s="348" t="n">
        <x:f>SUM(IF($B$8=1,CY30,0),IF($B$36=1,CY58,0),IF($B$64=1,CY86,0))</x:f>
      </x:c>
      <x:c r="CZ98" s="348" t="n">
        <x:f>SUM(IF($B$8=1,CZ30,0),IF($B$36=1,CZ58,0),IF($B$64=1,CZ86,0))</x:f>
      </x:c>
      <x:c r="DA98" s="348" t="n">
        <x:f>SUM(IF($B$8=1,DA30,0),IF($B$36=1,DA58,0),IF($B$64=1,DA86,0))</x:f>
      </x:c>
      <x:c r="DB98" s="348" t="n">
        <x:f>SUM(IF($B$8=1,DB30,0),IF($B$36=1,DB58,0),IF($B$64=1,DB86,0))</x:f>
      </x:c>
      <x:c r="DC98" s="348" t="n">
        <x:f>SUM(IF($B$8=1,DC30,0),IF($B$36=1,DC58,0),IF($B$64=1,DC86,0))</x:f>
      </x:c>
      <x:c r="DD98" s="348" t="n">
        <x:f>SUM(IF($B$8=1,DD30,0),IF($B$36=1,DD58,0),IF($B$64=1,DD86,0))</x:f>
      </x:c>
      <x:c r="DE98" s="348" t="n">
        <x:f>SUM(IF($B$8=1,DE30,0),IF($B$36=1,DE58,0),IF($B$64=1,DE86,0))</x:f>
      </x:c>
      <x:c r="DF98" s="348" t="n">
        <x:f>SUM(IF($B$8=1,DF30,0),IF($B$36=1,DF58,0),IF($B$64=1,DF86,0))</x:f>
      </x:c>
      <x:c r="DG98" s="348" t="n">
        <x:f>SUM(IF($B$8=1,DG30,0),IF($B$36=1,DG58,0),IF($B$64=1,DG86,0))</x:f>
      </x:c>
      <x:c r="DH98" s="348" t="n">
        <x:f>SUM(IF($B$8=1,DH30,0),IF($B$36=1,DH58,0),IF($B$64=1,DH86,0))</x:f>
      </x:c>
      <x:c r="DI98" s="348" t="n">
        <x:f>SUM(IF($B$8=1,DI30,0),IF($B$36=1,DI58,0),IF($B$64=1,DI86,0))</x:f>
      </x:c>
      <x:c r="DJ98" s="348" t="n">
        <x:f>SUM(IF($B$8=1,DJ30,0),IF($B$36=1,DJ58,0),IF($B$64=1,DJ86,0))</x:f>
      </x:c>
      <x:c r="DK98" s="348" t="n">
        <x:f>SUM(IF($B$8=1,DK30,0),IF($B$36=1,DK58,0),IF($B$64=1,DK86,0))</x:f>
      </x:c>
      <x:c r="DL98" s="348" t="n">
        <x:f>SUM(IF($B$8=1,DL30,0),IF($B$36=1,DL58,0),IF($B$64=1,DL86,0))</x:f>
      </x:c>
      <x:c r="DM98" s="348" t="n">
        <x:f>SUM(IF($B$8=1,DM30,0),IF($B$36=1,DM58,0),IF($B$64=1,DM86,0))</x:f>
      </x:c>
      <x:c r="DN98" s="348" t="n">
        <x:f>SUM(IF($B$8=1,DN30,0),IF($B$36=1,DN58,0),IF($B$64=1,DN86,0))</x:f>
      </x:c>
      <x:c r="DO98" s="348" t="n">
        <x:f>SUM(IF($B$8=1,DO30,0),IF($B$36=1,DO58,0),IF($B$64=1,DO86,0))</x:f>
      </x:c>
      <x:c r="DP98" s="348" t="n">
        <x:f>SUM(IF($B$8=1,DP30,0),IF($B$36=1,DP58,0),IF($B$64=1,DP86,0))</x:f>
      </x:c>
      <x:c r="DQ98" s="348" t="n">
        <x:f>SUM(IF($B$8=1,DQ30,0),IF($B$36=1,DQ58,0),IF($B$64=1,DQ86,0))</x:f>
      </x:c>
      <x:c r="DR98" s="348" t="n">
        <x:f>SUM(IF($B$8=1,DR30,0),IF($B$36=1,DR58,0),IF($B$64=1,DR86,0))</x:f>
      </x:c>
      <x:c r="DS98" s="348" t="n">
        <x:f>SUM(IF($B$8=1,DS30,0),IF($B$36=1,DS58,0),IF($B$64=1,DS86,0))</x:f>
      </x:c>
    </x:row>
    <x:row r="100">
      <x:c r="A100" t="str">
        <x:v>Очередь 2 — Выручка объектов</x:v>
      </x:c>
      <x:c r="B100" s="107" t="n">
        <x:f>SUM(D100:DS100)</x:f>
      </x:c>
      <x:c r="C100" t="str">
        <x:v>млн ₽</x:v>
      </x:c>
      <x:c r="D100" s="107" t="n">
        <x:f>SUM(IF($B$8=2,D24,0),IF($B$36=2,D52,0),IF($B$64=2,D80,0))</x:f>
      </x:c>
      <x:c r="E100" s="107" t="n">
        <x:f>SUM(IF($B$8=2,E24,0),IF($B$36=2,E52,0),IF($B$64=2,E80,0))</x:f>
      </x:c>
      <x:c r="F100" s="107" t="n">
        <x:f>SUM(IF($B$8=2,F24,0),IF($B$36=2,F52,0),IF($B$64=2,F80,0))</x:f>
      </x:c>
      <x:c r="G100" s="107" t="n">
        <x:f>SUM(IF($B$8=2,G24,0),IF($B$36=2,G52,0),IF($B$64=2,G80,0))</x:f>
      </x:c>
      <x:c r="H100" s="107" t="n">
        <x:f>SUM(IF($B$8=2,H24,0),IF($B$36=2,H52,0),IF($B$64=2,H80,0))</x:f>
      </x:c>
      <x:c r="I100" s="107" t="n">
        <x:f>SUM(IF($B$8=2,I24,0),IF($B$36=2,I52,0),IF($B$64=2,I80,0))</x:f>
      </x:c>
      <x:c r="J100" s="107" t="n">
        <x:f>SUM(IF($B$8=2,J24,0),IF($B$36=2,J52,0),IF($B$64=2,J80,0))</x:f>
      </x:c>
      <x:c r="K100" s="107" t="n">
        <x:f>SUM(IF($B$8=2,K24,0),IF($B$36=2,K52,0),IF($B$64=2,K80,0))</x:f>
      </x:c>
      <x:c r="L100" s="107" t="n">
        <x:f>SUM(IF($B$8=2,L24,0),IF($B$36=2,L52,0),IF($B$64=2,L80,0))</x:f>
      </x:c>
      <x:c r="M100" s="107" t="n">
        <x:f>SUM(IF($B$8=2,M24,0),IF($B$36=2,M52,0),IF($B$64=2,M80,0))</x:f>
      </x:c>
      <x:c r="N100" s="107" t="n">
        <x:f>SUM(IF($B$8=2,N24,0),IF($B$36=2,N52,0),IF($B$64=2,N80,0))</x:f>
      </x:c>
      <x:c r="O100" s="107" t="n">
        <x:f>SUM(IF($B$8=2,O24,0),IF($B$36=2,O52,0),IF($B$64=2,O80,0))</x:f>
      </x:c>
      <x:c r="P100" s="107" t="n">
        <x:f>SUM(IF($B$8=2,P24,0),IF($B$36=2,P52,0),IF($B$64=2,P80,0))</x:f>
      </x:c>
      <x:c r="Q100" s="107" t="n">
        <x:f>SUM(IF($B$8=2,Q24,0),IF($B$36=2,Q52,0),IF($B$64=2,Q80,0))</x:f>
      </x:c>
      <x:c r="R100" s="107" t="n">
        <x:f>SUM(IF($B$8=2,R24,0),IF($B$36=2,R52,0),IF($B$64=2,R80,0))</x:f>
      </x:c>
      <x:c r="S100" s="107" t="n">
        <x:f>SUM(IF($B$8=2,S24,0),IF($B$36=2,S52,0),IF($B$64=2,S80,0))</x:f>
      </x:c>
      <x:c r="T100" s="107" t="n">
        <x:f>SUM(IF($B$8=2,T24,0),IF($B$36=2,T52,0),IF($B$64=2,T80,0))</x:f>
      </x:c>
      <x:c r="U100" s="107" t="n">
        <x:f>SUM(IF($B$8=2,U24,0),IF($B$36=2,U52,0),IF($B$64=2,U80,0))</x:f>
      </x:c>
      <x:c r="V100" s="107" t="n">
        <x:f>SUM(IF($B$8=2,V24,0),IF($B$36=2,V52,0),IF($B$64=2,V80,0))</x:f>
      </x:c>
      <x:c r="W100" s="107" t="n">
        <x:f>SUM(IF($B$8=2,W24,0),IF($B$36=2,W52,0),IF($B$64=2,W80,0))</x:f>
      </x:c>
      <x:c r="X100" s="107" t="n">
        <x:f>SUM(IF($B$8=2,X24,0),IF($B$36=2,X52,0),IF($B$64=2,X80,0))</x:f>
      </x:c>
      <x:c r="Y100" s="107" t="n">
        <x:f>SUM(IF($B$8=2,Y24,0),IF($B$36=2,Y52,0),IF($B$64=2,Y80,0))</x:f>
      </x:c>
      <x:c r="Z100" s="107" t="n">
        <x:f>SUM(IF($B$8=2,Z24,0),IF($B$36=2,Z52,0),IF($B$64=2,Z80,0))</x:f>
      </x:c>
      <x:c r="AA100" s="107" t="n">
        <x:f>SUM(IF($B$8=2,AA24,0),IF($B$36=2,AA52,0),IF($B$64=2,AA80,0))</x:f>
      </x:c>
      <x:c r="AB100" s="107" t="n">
        <x:f>SUM(IF($B$8=2,AB24,0),IF($B$36=2,AB52,0),IF($B$64=2,AB80,0))</x:f>
      </x:c>
      <x:c r="AC100" s="107" t="n">
        <x:f>SUM(IF($B$8=2,AC24,0),IF($B$36=2,AC52,0),IF($B$64=2,AC80,0))</x:f>
      </x:c>
      <x:c r="AD100" s="107" t="n">
        <x:f>SUM(IF($B$8=2,AD24,0),IF($B$36=2,AD52,0),IF($B$64=2,AD80,0))</x:f>
      </x:c>
      <x:c r="AE100" s="107" t="n">
        <x:f>SUM(IF($B$8=2,AE24,0),IF($B$36=2,AE52,0),IF($B$64=2,AE80,0))</x:f>
      </x:c>
      <x:c r="AF100" s="107" t="n">
        <x:f>SUM(IF($B$8=2,AF24,0),IF($B$36=2,AF52,0),IF($B$64=2,AF80,0))</x:f>
      </x:c>
      <x:c r="AG100" s="107" t="n">
        <x:f>SUM(IF($B$8=2,AG24,0),IF($B$36=2,AG52,0),IF($B$64=2,AG80,0))</x:f>
      </x:c>
      <x:c r="AH100" s="107" t="n">
        <x:f>SUM(IF($B$8=2,AH24,0),IF($B$36=2,AH52,0),IF($B$64=2,AH80,0))</x:f>
      </x:c>
      <x:c r="AI100" s="107" t="n">
        <x:f>SUM(IF($B$8=2,AI24,0),IF($B$36=2,AI52,0),IF($B$64=2,AI80,0))</x:f>
      </x:c>
      <x:c r="AJ100" s="107" t="n">
        <x:f>SUM(IF($B$8=2,AJ24,0),IF($B$36=2,AJ52,0),IF($B$64=2,AJ80,0))</x:f>
      </x:c>
      <x:c r="AK100" s="107" t="n">
        <x:f>SUM(IF($B$8=2,AK24,0),IF($B$36=2,AK52,0),IF($B$64=2,AK80,0))</x:f>
      </x:c>
      <x:c r="AL100" s="107" t="n">
        <x:f>SUM(IF($B$8=2,AL24,0),IF($B$36=2,AL52,0),IF($B$64=2,AL80,0))</x:f>
      </x:c>
      <x:c r="AM100" s="107" t="n">
        <x:f>SUM(IF($B$8=2,AM24,0),IF($B$36=2,AM52,0),IF($B$64=2,AM80,0))</x:f>
      </x:c>
      <x:c r="AN100" s="107" t="n">
        <x:f>SUM(IF($B$8=2,AN24,0),IF($B$36=2,AN52,0),IF($B$64=2,AN80,0))</x:f>
      </x:c>
      <x:c r="AO100" s="107" t="n">
        <x:f>SUM(IF($B$8=2,AO24,0),IF($B$36=2,AO52,0),IF($B$64=2,AO80,0))</x:f>
      </x:c>
      <x:c r="AP100" s="107" t="n">
        <x:f>SUM(IF($B$8=2,AP24,0),IF($B$36=2,AP52,0),IF($B$64=2,AP80,0))</x:f>
      </x:c>
      <x:c r="AQ100" s="107" t="n">
        <x:f>SUM(IF($B$8=2,AQ24,0),IF($B$36=2,AQ52,0),IF($B$64=2,AQ80,0))</x:f>
      </x:c>
      <x:c r="AR100" s="107" t="n">
        <x:f>SUM(IF($B$8=2,AR24,0),IF($B$36=2,AR52,0),IF($B$64=2,AR80,0))</x:f>
      </x:c>
      <x:c r="AS100" s="107" t="n">
        <x:f>SUM(IF($B$8=2,AS24,0),IF($B$36=2,AS52,0),IF($B$64=2,AS80,0))</x:f>
      </x:c>
      <x:c r="AT100" s="107" t="n">
        <x:f>SUM(IF($B$8=2,AT24,0),IF($B$36=2,AT52,0),IF($B$64=2,AT80,0))</x:f>
      </x:c>
      <x:c r="AU100" s="107" t="n">
        <x:f>SUM(IF($B$8=2,AU24,0),IF($B$36=2,AU52,0),IF($B$64=2,AU80,0))</x:f>
      </x:c>
      <x:c r="AV100" s="107" t="n">
        <x:f>SUM(IF($B$8=2,AV24,0),IF($B$36=2,AV52,0),IF($B$64=2,AV80,0))</x:f>
      </x:c>
      <x:c r="AW100" s="107" t="n">
        <x:f>SUM(IF($B$8=2,AW24,0),IF($B$36=2,AW52,0),IF($B$64=2,AW80,0))</x:f>
      </x:c>
      <x:c r="AX100" s="107" t="n">
        <x:f>SUM(IF($B$8=2,AX24,0),IF($B$36=2,AX52,0),IF($B$64=2,AX80,0))</x:f>
      </x:c>
      <x:c r="AY100" s="107" t="n">
        <x:f>SUM(IF($B$8=2,AY24,0),IF($B$36=2,AY52,0),IF($B$64=2,AY80,0))</x:f>
      </x:c>
      <x:c r="AZ100" s="107" t="n">
        <x:f>SUM(IF($B$8=2,AZ24,0),IF($B$36=2,AZ52,0),IF($B$64=2,AZ80,0))</x:f>
      </x:c>
      <x:c r="BA100" s="107" t="n">
        <x:f>SUM(IF($B$8=2,BA24,0),IF($B$36=2,BA52,0),IF($B$64=2,BA80,0))</x:f>
      </x:c>
      <x:c r="BB100" s="107" t="n">
        <x:f>SUM(IF($B$8=2,BB24,0),IF($B$36=2,BB52,0),IF($B$64=2,BB80,0))</x:f>
      </x:c>
      <x:c r="BC100" s="107" t="n">
        <x:f>SUM(IF($B$8=2,BC24,0),IF($B$36=2,BC52,0),IF($B$64=2,BC80,0))</x:f>
      </x:c>
      <x:c r="BD100" s="107" t="n">
        <x:f>SUM(IF($B$8=2,BD24,0),IF($B$36=2,BD52,0),IF($B$64=2,BD80,0))</x:f>
      </x:c>
      <x:c r="BE100" s="107" t="n">
        <x:f>SUM(IF($B$8=2,BE24,0),IF($B$36=2,BE52,0),IF($B$64=2,BE80,0))</x:f>
      </x:c>
      <x:c r="BF100" s="107" t="n">
        <x:f>SUM(IF($B$8=2,BF24,0),IF($B$36=2,BF52,0),IF($B$64=2,BF80,0))</x:f>
      </x:c>
      <x:c r="BG100" s="107" t="n">
        <x:f>SUM(IF($B$8=2,BG24,0),IF($B$36=2,BG52,0),IF($B$64=2,BG80,0))</x:f>
      </x:c>
      <x:c r="BH100" s="107" t="n">
        <x:f>SUM(IF($B$8=2,BH24,0),IF($B$36=2,BH52,0),IF($B$64=2,BH80,0))</x:f>
      </x:c>
      <x:c r="BI100" s="107" t="n">
        <x:f>SUM(IF($B$8=2,BI24,0),IF($B$36=2,BI52,0),IF($B$64=2,BI80,0))</x:f>
      </x:c>
      <x:c r="BJ100" s="107" t="n">
        <x:f>SUM(IF($B$8=2,BJ24,0),IF($B$36=2,BJ52,0),IF($B$64=2,BJ80,0))</x:f>
      </x:c>
      <x:c r="BK100" s="107" t="n">
        <x:f>SUM(IF($B$8=2,BK24,0),IF($B$36=2,BK52,0),IF($B$64=2,BK80,0))</x:f>
      </x:c>
      <x:c r="BL100" s="107" t="n">
        <x:f>SUM(IF($B$8=2,BL24,0),IF($B$36=2,BL52,0),IF($B$64=2,BL80,0))</x:f>
      </x:c>
      <x:c r="BM100" s="107" t="n">
        <x:f>SUM(IF($B$8=2,BM24,0),IF($B$36=2,BM52,0),IF($B$64=2,BM80,0))</x:f>
      </x:c>
      <x:c r="BN100" s="107" t="n">
        <x:f>SUM(IF($B$8=2,BN24,0),IF($B$36=2,BN52,0),IF($B$64=2,BN80,0))</x:f>
      </x:c>
      <x:c r="BO100" s="107" t="n">
        <x:f>SUM(IF($B$8=2,BO24,0),IF($B$36=2,BO52,0),IF($B$64=2,BO80,0))</x:f>
      </x:c>
      <x:c r="BP100" s="107" t="n">
        <x:f>SUM(IF($B$8=2,BP24,0),IF($B$36=2,BP52,0),IF($B$64=2,BP80,0))</x:f>
      </x:c>
      <x:c r="BQ100" s="107" t="n">
        <x:f>SUM(IF($B$8=2,BQ24,0),IF($B$36=2,BQ52,0),IF($B$64=2,BQ80,0))</x:f>
      </x:c>
      <x:c r="BR100" s="107" t="n">
        <x:f>SUM(IF($B$8=2,BR24,0),IF($B$36=2,BR52,0),IF($B$64=2,BR80,0))</x:f>
      </x:c>
      <x:c r="BS100" s="107" t="n">
        <x:f>SUM(IF($B$8=2,BS24,0),IF($B$36=2,BS52,0),IF($B$64=2,BS80,0))</x:f>
      </x:c>
      <x:c r="BT100" s="107" t="n">
        <x:f>SUM(IF($B$8=2,BT24,0),IF($B$36=2,BT52,0),IF($B$64=2,BT80,0))</x:f>
      </x:c>
      <x:c r="BU100" s="107" t="n">
        <x:f>SUM(IF($B$8=2,BU24,0),IF($B$36=2,BU52,0),IF($B$64=2,BU80,0))</x:f>
      </x:c>
      <x:c r="BV100" s="107" t="n">
        <x:f>SUM(IF($B$8=2,BV24,0),IF($B$36=2,BV52,0),IF($B$64=2,BV80,0))</x:f>
      </x:c>
      <x:c r="BW100" s="107" t="n">
        <x:f>SUM(IF($B$8=2,BW24,0),IF($B$36=2,BW52,0),IF($B$64=2,BW80,0))</x:f>
      </x:c>
      <x:c r="BX100" s="107" t="n">
        <x:f>SUM(IF($B$8=2,BX24,0),IF($B$36=2,BX52,0),IF($B$64=2,BX80,0))</x:f>
      </x:c>
      <x:c r="BY100" s="107" t="n">
        <x:f>SUM(IF($B$8=2,BY24,0),IF($B$36=2,BY52,0),IF($B$64=2,BY80,0))</x:f>
      </x:c>
      <x:c r="BZ100" s="107" t="n">
        <x:f>SUM(IF($B$8=2,BZ24,0),IF($B$36=2,BZ52,0),IF($B$64=2,BZ80,0))</x:f>
      </x:c>
      <x:c r="CA100" s="107" t="n">
        <x:f>SUM(IF($B$8=2,CA24,0),IF($B$36=2,CA52,0),IF($B$64=2,CA80,0))</x:f>
      </x:c>
      <x:c r="CB100" s="107" t="n">
        <x:f>SUM(IF($B$8=2,CB24,0),IF($B$36=2,CB52,0),IF($B$64=2,CB80,0))</x:f>
      </x:c>
      <x:c r="CC100" s="107" t="n">
        <x:f>SUM(IF($B$8=2,CC24,0),IF($B$36=2,CC52,0),IF($B$64=2,CC80,0))</x:f>
      </x:c>
      <x:c r="CD100" s="107" t="n">
        <x:f>SUM(IF($B$8=2,CD24,0),IF($B$36=2,CD52,0),IF($B$64=2,CD80,0))</x:f>
      </x:c>
      <x:c r="CE100" s="107" t="n">
        <x:f>SUM(IF($B$8=2,CE24,0),IF($B$36=2,CE52,0),IF($B$64=2,CE80,0))</x:f>
      </x:c>
      <x:c r="CF100" s="107" t="n">
        <x:f>SUM(IF($B$8=2,CF24,0),IF($B$36=2,CF52,0),IF($B$64=2,CF80,0))</x:f>
      </x:c>
      <x:c r="CG100" s="107" t="n">
        <x:f>SUM(IF($B$8=2,CG24,0),IF($B$36=2,CG52,0),IF($B$64=2,CG80,0))</x:f>
      </x:c>
      <x:c r="CH100" s="107" t="n">
        <x:f>SUM(IF($B$8=2,CH24,0),IF($B$36=2,CH52,0),IF($B$64=2,CH80,0))</x:f>
      </x:c>
      <x:c r="CI100" s="107" t="n">
        <x:f>SUM(IF($B$8=2,CI24,0),IF($B$36=2,CI52,0),IF($B$64=2,CI80,0))</x:f>
      </x:c>
      <x:c r="CJ100" s="107" t="n">
        <x:f>SUM(IF($B$8=2,CJ24,0),IF($B$36=2,CJ52,0),IF($B$64=2,CJ80,0))</x:f>
      </x:c>
      <x:c r="CK100" s="107" t="n">
        <x:f>SUM(IF($B$8=2,CK24,0),IF($B$36=2,CK52,0),IF($B$64=2,CK80,0))</x:f>
      </x:c>
      <x:c r="CL100" s="107" t="n">
        <x:f>SUM(IF($B$8=2,CL24,0),IF($B$36=2,CL52,0),IF($B$64=2,CL80,0))</x:f>
      </x:c>
      <x:c r="CM100" s="107" t="n">
        <x:f>SUM(IF($B$8=2,CM24,0),IF($B$36=2,CM52,0),IF($B$64=2,CM80,0))</x:f>
      </x:c>
      <x:c r="CN100" s="107" t="n">
        <x:f>SUM(IF($B$8=2,CN24,0),IF($B$36=2,CN52,0),IF($B$64=2,CN80,0))</x:f>
      </x:c>
      <x:c r="CO100" s="107" t="n">
        <x:f>SUM(IF($B$8=2,CO24,0),IF($B$36=2,CO52,0),IF($B$64=2,CO80,0))</x:f>
      </x:c>
      <x:c r="CP100" s="107" t="n">
        <x:f>SUM(IF($B$8=2,CP24,0),IF($B$36=2,CP52,0),IF($B$64=2,CP80,0))</x:f>
      </x:c>
      <x:c r="CQ100" s="107" t="n">
        <x:f>SUM(IF($B$8=2,CQ24,0),IF($B$36=2,CQ52,0),IF($B$64=2,CQ80,0))</x:f>
      </x:c>
      <x:c r="CR100" s="107" t="n">
        <x:f>SUM(IF($B$8=2,CR24,0),IF($B$36=2,CR52,0),IF($B$64=2,CR80,0))</x:f>
      </x:c>
      <x:c r="CS100" s="107" t="n">
        <x:f>SUM(IF($B$8=2,CS24,0),IF($B$36=2,CS52,0),IF($B$64=2,CS80,0))</x:f>
      </x:c>
      <x:c r="CT100" s="107" t="n">
        <x:f>SUM(IF($B$8=2,CT24,0),IF($B$36=2,CT52,0),IF($B$64=2,CT80,0))</x:f>
      </x:c>
      <x:c r="CU100" s="107" t="n">
        <x:f>SUM(IF($B$8=2,CU24,0),IF($B$36=2,CU52,0),IF($B$64=2,CU80,0))</x:f>
      </x:c>
      <x:c r="CV100" s="107" t="n">
        <x:f>SUM(IF($B$8=2,CV24,0),IF($B$36=2,CV52,0),IF($B$64=2,CV80,0))</x:f>
      </x:c>
      <x:c r="CW100" s="107" t="n">
        <x:f>SUM(IF($B$8=2,CW24,0),IF($B$36=2,CW52,0),IF($B$64=2,CW80,0))</x:f>
      </x:c>
      <x:c r="CX100" s="107" t="n">
        <x:f>SUM(IF($B$8=2,CX24,0),IF($B$36=2,CX52,0),IF($B$64=2,CX80,0))</x:f>
      </x:c>
      <x:c r="CY100" s="107" t="n">
        <x:f>SUM(IF($B$8=2,CY24,0),IF($B$36=2,CY52,0),IF($B$64=2,CY80,0))</x:f>
      </x:c>
      <x:c r="CZ100" s="107" t="n">
        <x:f>SUM(IF($B$8=2,CZ24,0),IF($B$36=2,CZ52,0),IF($B$64=2,CZ80,0))</x:f>
      </x:c>
      <x:c r="DA100" s="107" t="n">
        <x:f>SUM(IF($B$8=2,DA24,0),IF($B$36=2,DA52,0),IF($B$64=2,DA80,0))</x:f>
      </x:c>
      <x:c r="DB100" s="107" t="n">
        <x:f>SUM(IF($B$8=2,DB24,0),IF($B$36=2,DB52,0),IF($B$64=2,DB80,0))</x:f>
      </x:c>
      <x:c r="DC100" s="107" t="n">
        <x:f>SUM(IF($B$8=2,DC24,0),IF($B$36=2,DC52,0),IF($B$64=2,DC80,0))</x:f>
      </x:c>
      <x:c r="DD100" s="107" t="n">
        <x:f>SUM(IF($B$8=2,DD24,0),IF($B$36=2,DD52,0),IF($B$64=2,DD80,0))</x:f>
      </x:c>
      <x:c r="DE100" s="107" t="n">
        <x:f>SUM(IF($B$8=2,DE24,0),IF($B$36=2,DE52,0),IF($B$64=2,DE80,0))</x:f>
      </x:c>
      <x:c r="DF100" s="107" t="n">
        <x:f>SUM(IF($B$8=2,DF24,0),IF($B$36=2,DF52,0),IF($B$64=2,DF80,0))</x:f>
      </x:c>
      <x:c r="DG100" s="107" t="n">
        <x:f>SUM(IF($B$8=2,DG24,0),IF($B$36=2,DG52,0),IF($B$64=2,DG80,0))</x:f>
      </x:c>
      <x:c r="DH100" s="107" t="n">
        <x:f>SUM(IF($B$8=2,DH24,0),IF($B$36=2,DH52,0),IF($B$64=2,DH80,0))</x:f>
      </x:c>
      <x:c r="DI100" s="107" t="n">
        <x:f>SUM(IF($B$8=2,DI24,0),IF($B$36=2,DI52,0),IF($B$64=2,DI80,0))</x:f>
      </x:c>
      <x:c r="DJ100" s="107" t="n">
        <x:f>SUM(IF($B$8=2,DJ24,0),IF($B$36=2,DJ52,0),IF($B$64=2,DJ80,0))</x:f>
      </x:c>
      <x:c r="DK100" s="107" t="n">
        <x:f>SUM(IF($B$8=2,DK24,0),IF($B$36=2,DK52,0),IF($B$64=2,DK80,0))</x:f>
      </x:c>
      <x:c r="DL100" s="107" t="n">
        <x:f>SUM(IF($B$8=2,DL24,0),IF($B$36=2,DL52,0),IF($B$64=2,DL80,0))</x:f>
      </x:c>
      <x:c r="DM100" s="107" t="n">
        <x:f>SUM(IF($B$8=2,DM24,0),IF($B$36=2,DM52,0),IF($B$64=2,DM80,0))</x:f>
      </x:c>
      <x:c r="DN100" s="107" t="n">
        <x:f>SUM(IF($B$8=2,DN24,0),IF($B$36=2,DN52,0),IF($B$64=2,DN80,0))</x:f>
      </x:c>
      <x:c r="DO100" s="107" t="n">
        <x:f>SUM(IF($B$8=2,DO24,0),IF($B$36=2,DO52,0),IF($B$64=2,DO80,0))</x:f>
      </x:c>
      <x:c r="DP100" s="107" t="n">
        <x:f>SUM(IF($B$8=2,DP24,0),IF($B$36=2,DP52,0),IF($B$64=2,DP80,0))</x:f>
      </x:c>
      <x:c r="DQ100" s="107" t="n">
        <x:f>SUM(IF($B$8=2,DQ24,0),IF($B$36=2,DQ52,0),IF($B$64=2,DQ80,0))</x:f>
      </x:c>
      <x:c r="DR100" s="107" t="n">
        <x:f>SUM(IF($B$8=2,DR24,0),IF($B$36=2,DR52,0),IF($B$64=2,DR80,0))</x:f>
      </x:c>
      <x:c r="DS100" s="107" t="n">
        <x:f>SUM(IF($B$8=2,DS24,0),IF($B$36=2,DS52,0),IF($B$64=2,DS80,0))</x:f>
      </x:c>
    </x:row>
    <x:row r="101">
      <x:c r="A101" t="str">
        <x:v>Очередь 2 — Поступления объектов на эскроу</x:v>
      </x:c>
      <x:c r="B101" s="107" t="n">
        <x:f>SUM(D101:DS101)</x:f>
      </x:c>
      <x:c r="C101" t="str">
        <x:v>млн ₽</x:v>
      </x:c>
      <x:c r="D101" s="107" t="n">
        <x:f>SUM(IF($B$8=2,D25,0),IF($B$36=2,D53,0),IF($B$64=2,D81,0))</x:f>
      </x:c>
      <x:c r="E101" s="107" t="n">
        <x:f>SUM(IF($B$8=2,E25,0),IF($B$36=2,E53,0),IF($B$64=2,E81,0))</x:f>
      </x:c>
      <x:c r="F101" s="107" t="n">
        <x:f>SUM(IF($B$8=2,F25,0),IF($B$36=2,F53,0),IF($B$64=2,F81,0))</x:f>
      </x:c>
      <x:c r="G101" s="107" t="n">
        <x:f>SUM(IF($B$8=2,G25,0),IF($B$36=2,G53,0),IF($B$64=2,G81,0))</x:f>
      </x:c>
      <x:c r="H101" s="107" t="n">
        <x:f>SUM(IF($B$8=2,H25,0),IF($B$36=2,H53,0),IF($B$64=2,H81,0))</x:f>
      </x:c>
      <x:c r="I101" s="107" t="n">
        <x:f>SUM(IF($B$8=2,I25,0),IF($B$36=2,I53,0),IF($B$64=2,I81,0))</x:f>
      </x:c>
      <x:c r="J101" s="107" t="n">
        <x:f>SUM(IF($B$8=2,J25,0),IF($B$36=2,J53,0),IF($B$64=2,J81,0))</x:f>
      </x:c>
      <x:c r="K101" s="107" t="n">
        <x:f>SUM(IF($B$8=2,K25,0),IF($B$36=2,K53,0),IF($B$64=2,K81,0))</x:f>
      </x:c>
      <x:c r="L101" s="107" t="n">
        <x:f>SUM(IF($B$8=2,L25,0),IF($B$36=2,L53,0),IF($B$64=2,L81,0))</x:f>
      </x:c>
      <x:c r="M101" s="107" t="n">
        <x:f>SUM(IF($B$8=2,M25,0),IF($B$36=2,M53,0),IF($B$64=2,M81,0))</x:f>
      </x:c>
      <x:c r="N101" s="107" t="n">
        <x:f>SUM(IF($B$8=2,N25,0),IF($B$36=2,N53,0),IF($B$64=2,N81,0))</x:f>
      </x:c>
      <x:c r="O101" s="107" t="n">
        <x:f>SUM(IF($B$8=2,O25,0),IF($B$36=2,O53,0),IF($B$64=2,O81,0))</x:f>
      </x:c>
      <x:c r="P101" s="107" t="n">
        <x:f>SUM(IF($B$8=2,P25,0),IF($B$36=2,P53,0),IF($B$64=2,P81,0))</x:f>
      </x:c>
      <x:c r="Q101" s="107" t="n">
        <x:f>SUM(IF($B$8=2,Q25,0),IF($B$36=2,Q53,0),IF($B$64=2,Q81,0))</x:f>
      </x:c>
      <x:c r="R101" s="107" t="n">
        <x:f>SUM(IF($B$8=2,R25,0),IF($B$36=2,R53,0),IF($B$64=2,R81,0))</x:f>
      </x:c>
      <x:c r="S101" s="107" t="n">
        <x:f>SUM(IF($B$8=2,S25,0),IF($B$36=2,S53,0),IF($B$64=2,S81,0))</x:f>
      </x:c>
      <x:c r="T101" s="107" t="n">
        <x:f>SUM(IF($B$8=2,T25,0),IF($B$36=2,T53,0),IF($B$64=2,T81,0))</x:f>
      </x:c>
      <x:c r="U101" s="107" t="n">
        <x:f>SUM(IF($B$8=2,U25,0),IF($B$36=2,U53,0),IF($B$64=2,U81,0))</x:f>
      </x:c>
      <x:c r="V101" s="107" t="n">
        <x:f>SUM(IF($B$8=2,V25,0),IF($B$36=2,V53,0),IF($B$64=2,V81,0))</x:f>
      </x:c>
      <x:c r="W101" s="107" t="n">
        <x:f>SUM(IF($B$8=2,W25,0),IF($B$36=2,W53,0),IF($B$64=2,W81,0))</x:f>
      </x:c>
      <x:c r="X101" s="107" t="n">
        <x:f>SUM(IF($B$8=2,X25,0),IF($B$36=2,X53,0),IF($B$64=2,X81,0))</x:f>
      </x:c>
      <x:c r="Y101" s="107" t="n">
        <x:f>SUM(IF($B$8=2,Y25,0),IF($B$36=2,Y53,0),IF($B$64=2,Y81,0))</x:f>
      </x:c>
      <x:c r="Z101" s="107" t="n">
        <x:f>SUM(IF($B$8=2,Z25,0),IF($B$36=2,Z53,0),IF($B$64=2,Z81,0))</x:f>
      </x:c>
      <x:c r="AA101" s="107" t="n">
        <x:f>SUM(IF($B$8=2,AA25,0),IF($B$36=2,AA53,0),IF($B$64=2,AA81,0))</x:f>
      </x:c>
      <x:c r="AB101" s="107" t="n">
        <x:f>SUM(IF($B$8=2,AB25,0),IF($B$36=2,AB53,0),IF($B$64=2,AB81,0))</x:f>
      </x:c>
      <x:c r="AC101" s="107" t="n">
        <x:f>SUM(IF($B$8=2,AC25,0),IF($B$36=2,AC53,0),IF($B$64=2,AC81,0))</x:f>
      </x:c>
      <x:c r="AD101" s="107" t="n">
        <x:f>SUM(IF($B$8=2,AD25,0),IF($B$36=2,AD53,0),IF($B$64=2,AD81,0))</x:f>
      </x:c>
      <x:c r="AE101" s="107" t="n">
        <x:f>SUM(IF($B$8=2,AE25,0),IF($B$36=2,AE53,0),IF($B$64=2,AE81,0))</x:f>
      </x:c>
      <x:c r="AF101" s="107" t="n">
        <x:f>SUM(IF($B$8=2,AF25,0),IF($B$36=2,AF53,0),IF($B$64=2,AF81,0))</x:f>
      </x:c>
      <x:c r="AG101" s="107" t="n">
        <x:f>SUM(IF($B$8=2,AG25,0),IF($B$36=2,AG53,0),IF($B$64=2,AG81,0))</x:f>
      </x:c>
      <x:c r="AH101" s="107" t="n">
        <x:f>SUM(IF($B$8=2,AH25,0),IF($B$36=2,AH53,0),IF($B$64=2,AH81,0))</x:f>
      </x:c>
      <x:c r="AI101" s="107" t="n">
        <x:f>SUM(IF($B$8=2,AI25,0),IF($B$36=2,AI53,0),IF($B$64=2,AI81,0))</x:f>
      </x:c>
      <x:c r="AJ101" s="107" t="n">
        <x:f>SUM(IF($B$8=2,AJ25,0),IF($B$36=2,AJ53,0),IF($B$64=2,AJ81,0))</x:f>
      </x:c>
      <x:c r="AK101" s="107" t="n">
        <x:f>SUM(IF($B$8=2,AK25,0),IF($B$36=2,AK53,0),IF($B$64=2,AK81,0))</x:f>
      </x:c>
      <x:c r="AL101" s="107" t="n">
        <x:f>SUM(IF($B$8=2,AL25,0),IF($B$36=2,AL53,0),IF($B$64=2,AL81,0))</x:f>
      </x:c>
      <x:c r="AM101" s="107" t="n">
        <x:f>SUM(IF($B$8=2,AM25,0),IF($B$36=2,AM53,0),IF($B$64=2,AM81,0))</x:f>
      </x:c>
      <x:c r="AN101" s="107" t="n">
        <x:f>SUM(IF($B$8=2,AN25,0),IF($B$36=2,AN53,0),IF($B$64=2,AN81,0))</x:f>
      </x:c>
      <x:c r="AO101" s="107" t="n">
        <x:f>SUM(IF($B$8=2,AO25,0),IF($B$36=2,AO53,0),IF($B$64=2,AO81,0))</x:f>
      </x:c>
      <x:c r="AP101" s="107" t="n">
        <x:f>SUM(IF($B$8=2,AP25,0),IF($B$36=2,AP53,0),IF($B$64=2,AP81,0))</x:f>
      </x:c>
      <x:c r="AQ101" s="107" t="n">
        <x:f>SUM(IF($B$8=2,AQ25,0),IF($B$36=2,AQ53,0),IF($B$64=2,AQ81,0))</x:f>
      </x:c>
      <x:c r="AR101" s="107" t="n">
        <x:f>SUM(IF($B$8=2,AR25,0),IF($B$36=2,AR53,0),IF($B$64=2,AR81,0))</x:f>
      </x:c>
      <x:c r="AS101" s="107" t="n">
        <x:f>SUM(IF($B$8=2,AS25,0),IF($B$36=2,AS53,0),IF($B$64=2,AS81,0))</x:f>
      </x:c>
      <x:c r="AT101" s="107" t="n">
        <x:f>SUM(IF($B$8=2,AT25,0),IF($B$36=2,AT53,0),IF($B$64=2,AT81,0))</x:f>
      </x:c>
      <x:c r="AU101" s="107" t="n">
        <x:f>SUM(IF($B$8=2,AU25,0),IF($B$36=2,AU53,0),IF($B$64=2,AU81,0))</x:f>
      </x:c>
      <x:c r="AV101" s="107" t="n">
        <x:f>SUM(IF($B$8=2,AV25,0),IF($B$36=2,AV53,0),IF($B$64=2,AV81,0))</x:f>
      </x:c>
      <x:c r="AW101" s="107" t="n">
        <x:f>SUM(IF($B$8=2,AW25,0),IF($B$36=2,AW53,0),IF($B$64=2,AW81,0))</x:f>
      </x:c>
      <x:c r="AX101" s="107" t="n">
        <x:f>SUM(IF($B$8=2,AX25,0),IF($B$36=2,AX53,0),IF($B$64=2,AX81,0))</x:f>
      </x:c>
      <x:c r="AY101" s="107" t="n">
        <x:f>SUM(IF($B$8=2,AY25,0),IF($B$36=2,AY53,0),IF($B$64=2,AY81,0))</x:f>
      </x:c>
      <x:c r="AZ101" s="107" t="n">
        <x:f>SUM(IF($B$8=2,AZ25,0),IF($B$36=2,AZ53,0),IF($B$64=2,AZ81,0))</x:f>
      </x:c>
      <x:c r="BA101" s="107" t="n">
        <x:f>SUM(IF($B$8=2,BA25,0),IF($B$36=2,BA53,0),IF($B$64=2,BA81,0))</x:f>
      </x:c>
      <x:c r="BB101" s="107" t="n">
        <x:f>SUM(IF($B$8=2,BB25,0),IF($B$36=2,BB53,0),IF($B$64=2,BB81,0))</x:f>
      </x:c>
      <x:c r="BC101" s="107" t="n">
        <x:f>SUM(IF($B$8=2,BC25,0),IF($B$36=2,BC53,0),IF($B$64=2,BC81,0))</x:f>
      </x:c>
      <x:c r="BD101" s="107" t="n">
        <x:f>SUM(IF($B$8=2,BD25,0),IF($B$36=2,BD53,0),IF($B$64=2,BD81,0))</x:f>
      </x:c>
      <x:c r="BE101" s="107" t="n">
        <x:f>SUM(IF($B$8=2,BE25,0),IF($B$36=2,BE53,0),IF($B$64=2,BE81,0))</x:f>
      </x:c>
      <x:c r="BF101" s="107" t="n">
        <x:f>SUM(IF($B$8=2,BF25,0),IF($B$36=2,BF53,0),IF($B$64=2,BF81,0))</x:f>
      </x:c>
      <x:c r="BG101" s="107" t="n">
        <x:f>SUM(IF($B$8=2,BG25,0),IF($B$36=2,BG53,0),IF($B$64=2,BG81,0))</x:f>
      </x:c>
      <x:c r="BH101" s="107" t="n">
        <x:f>SUM(IF($B$8=2,BH25,0),IF($B$36=2,BH53,0),IF($B$64=2,BH81,0))</x:f>
      </x:c>
      <x:c r="BI101" s="107" t="n">
        <x:f>SUM(IF($B$8=2,BI25,0),IF($B$36=2,BI53,0),IF($B$64=2,BI81,0))</x:f>
      </x:c>
      <x:c r="BJ101" s="107" t="n">
        <x:f>SUM(IF($B$8=2,BJ25,0),IF($B$36=2,BJ53,0),IF($B$64=2,BJ81,0))</x:f>
      </x:c>
      <x:c r="BK101" s="107" t="n">
        <x:f>SUM(IF($B$8=2,BK25,0),IF($B$36=2,BK53,0),IF($B$64=2,BK81,0))</x:f>
      </x:c>
      <x:c r="BL101" s="107" t="n">
        <x:f>SUM(IF($B$8=2,BL25,0),IF($B$36=2,BL53,0),IF($B$64=2,BL81,0))</x:f>
      </x:c>
      <x:c r="BM101" s="107" t="n">
        <x:f>SUM(IF($B$8=2,BM25,0),IF($B$36=2,BM53,0),IF($B$64=2,BM81,0))</x:f>
      </x:c>
      <x:c r="BN101" s="107" t="n">
        <x:f>SUM(IF($B$8=2,BN25,0),IF($B$36=2,BN53,0),IF($B$64=2,BN81,0))</x:f>
      </x:c>
      <x:c r="BO101" s="107" t="n">
        <x:f>SUM(IF($B$8=2,BO25,0),IF($B$36=2,BO53,0),IF($B$64=2,BO81,0))</x:f>
      </x:c>
      <x:c r="BP101" s="107" t="n">
        <x:f>SUM(IF($B$8=2,BP25,0),IF($B$36=2,BP53,0),IF($B$64=2,BP81,0))</x:f>
      </x:c>
      <x:c r="BQ101" s="107" t="n">
        <x:f>SUM(IF($B$8=2,BQ25,0),IF($B$36=2,BQ53,0),IF($B$64=2,BQ81,0))</x:f>
      </x:c>
      <x:c r="BR101" s="107" t="n">
        <x:f>SUM(IF($B$8=2,BR25,0),IF($B$36=2,BR53,0),IF($B$64=2,BR81,0))</x:f>
      </x:c>
      <x:c r="BS101" s="107" t="n">
        <x:f>SUM(IF($B$8=2,BS25,0),IF($B$36=2,BS53,0),IF($B$64=2,BS81,0))</x:f>
      </x:c>
      <x:c r="BT101" s="107" t="n">
        <x:f>SUM(IF($B$8=2,BT25,0),IF($B$36=2,BT53,0),IF($B$64=2,BT81,0))</x:f>
      </x:c>
      <x:c r="BU101" s="107" t="n">
        <x:f>SUM(IF($B$8=2,BU25,0),IF($B$36=2,BU53,0),IF($B$64=2,BU81,0))</x:f>
      </x:c>
      <x:c r="BV101" s="107" t="n">
        <x:f>SUM(IF($B$8=2,BV25,0),IF($B$36=2,BV53,0),IF($B$64=2,BV81,0))</x:f>
      </x:c>
      <x:c r="BW101" s="107" t="n">
        <x:f>SUM(IF($B$8=2,BW25,0),IF($B$36=2,BW53,0),IF($B$64=2,BW81,0))</x:f>
      </x:c>
      <x:c r="BX101" s="107" t="n">
        <x:f>SUM(IF($B$8=2,BX25,0),IF($B$36=2,BX53,0),IF($B$64=2,BX81,0))</x:f>
      </x:c>
      <x:c r="BY101" s="107" t="n">
        <x:f>SUM(IF($B$8=2,BY25,0),IF($B$36=2,BY53,0),IF($B$64=2,BY81,0))</x:f>
      </x:c>
      <x:c r="BZ101" s="107" t="n">
        <x:f>SUM(IF($B$8=2,BZ25,0),IF($B$36=2,BZ53,0),IF($B$64=2,BZ81,0))</x:f>
      </x:c>
      <x:c r="CA101" s="107" t="n">
        <x:f>SUM(IF($B$8=2,CA25,0),IF($B$36=2,CA53,0),IF($B$64=2,CA81,0))</x:f>
      </x:c>
      <x:c r="CB101" s="107" t="n">
        <x:f>SUM(IF($B$8=2,CB25,0),IF($B$36=2,CB53,0),IF($B$64=2,CB81,0))</x:f>
      </x:c>
      <x:c r="CC101" s="107" t="n">
        <x:f>SUM(IF($B$8=2,CC25,0),IF($B$36=2,CC53,0),IF($B$64=2,CC81,0))</x:f>
      </x:c>
      <x:c r="CD101" s="107" t="n">
        <x:f>SUM(IF($B$8=2,CD25,0),IF($B$36=2,CD53,0),IF($B$64=2,CD81,0))</x:f>
      </x:c>
      <x:c r="CE101" s="107" t="n">
        <x:f>SUM(IF($B$8=2,CE25,0),IF($B$36=2,CE53,0),IF($B$64=2,CE81,0))</x:f>
      </x:c>
      <x:c r="CF101" s="107" t="n">
        <x:f>SUM(IF($B$8=2,CF25,0),IF($B$36=2,CF53,0),IF($B$64=2,CF81,0))</x:f>
      </x:c>
      <x:c r="CG101" s="107" t="n">
        <x:f>SUM(IF($B$8=2,CG25,0),IF($B$36=2,CG53,0),IF($B$64=2,CG81,0))</x:f>
      </x:c>
      <x:c r="CH101" s="107" t="n">
        <x:f>SUM(IF($B$8=2,CH25,0),IF($B$36=2,CH53,0),IF($B$64=2,CH81,0))</x:f>
      </x:c>
      <x:c r="CI101" s="107" t="n">
        <x:f>SUM(IF($B$8=2,CI25,0),IF($B$36=2,CI53,0),IF($B$64=2,CI81,0))</x:f>
      </x:c>
      <x:c r="CJ101" s="107" t="n">
        <x:f>SUM(IF($B$8=2,CJ25,0),IF($B$36=2,CJ53,0),IF($B$64=2,CJ81,0))</x:f>
      </x:c>
      <x:c r="CK101" s="107" t="n">
        <x:f>SUM(IF($B$8=2,CK25,0),IF($B$36=2,CK53,0),IF($B$64=2,CK81,0))</x:f>
      </x:c>
      <x:c r="CL101" s="107" t="n">
        <x:f>SUM(IF($B$8=2,CL25,0),IF($B$36=2,CL53,0),IF($B$64=2,CL81,0))</x:f>
      </x:c>
      <x:c r="CM101" s="107" t="n">
        <x:f>SUM(IF($B$8=2,CM25,0),IF($B$36=2,CM53,0),IF($B$64=2,CM81,0))</x:f>
      </x:c>
      <x:c r="CN101" s="107" t="n">
        <x:f>SUM(IF($B$8=2,CN25,0),IF($B$36=2,CN53,0),IF($B$64=2,CN81,0))</x:f>
      </x:c>
      <x:c r="CO101" s="107" t="n">
        <x:f>SUM(IF($B$8=2,CO25,0),IF($B$36=2,CO53,0),IF($B$64=2,CO81,0))</x:f>
      </x:c>
      <x:c r="CP101" s="107" t="n">
        <x:f>SUM(IF($B$8=2,CP25,0),IF($B$36=2,CP53,0),IF($B$64=2,CP81,0))</x:f>
      </x:c>
      <x:c r="CQ101" s="107" t="n">
        <x:f>SUM(IF($B$8=2,CQ25,0),IF($B$36=2,CQ53,0),IF($B$64=2,CQ81,0))</x:f>
      </x:c>
      <x:c r="CR101" s="107" t="n">
        <x:f>SUM(IF($B$8=2,CR25,0),IF($B$36=2,CR53,0),IF($B$64=2,CR81,0))</x:f>
      </x:c>
      <x:c r="CS101" s="107" t="n">
        <x:f>SUM(IF($B$8=2,CS25,0),IF($B$36=2,CS53,0),IF($B$64=2,CS81,0))</x:f>
      </x:c>
      <x:c r="CT101" s="107" t="n">
        <x:f>SUM(IF($B$8=2,CT25,0),IF($B$36=2,CT53,0),IF($B$64=2,CT81,0))</x:f>
      </x:c>
      <x:c r="CU101" s="107" t="n">
        <x:f>SUM(IF($B$8=2,CU25,0),IF($B$36=2,CU53,0),IF($B$64=2,CU81,0))</x:f>
      </x:c>
      <x:c r="CV101" s="107" t="n">
        <x:f>SUM(IF($B$8=2,CV25,0),IF($B$36=2,CV53,0),IF($B$64=2,CV81,0))</x:f>
      </x:c>
      <x:c r="CW101" s="107" t="n">
        <x:f>SUM(IF($B$8=2,CW25,0),IF($B$36=2,CW53,0),IF($B$64=2,CW81,0))</x:f>
      </x:c>
      <x:c r="CX101" s="107" t="n">
        <x:f>SUM(IF($B$8=2,CX25,0),IF($B$36=2,CX53,0),IF($B$64=2,CX81,0))</x:f>
      </x:c>
      <x:c r="CY101" s="107" t="n">
        <x:f>SUM(IF($B$8=2,CY25,0),IF($B$36=2,CY53,0),IF($B$64=2,CY81,0))</x:f>
      </x:c>
      <x:c r="CZ101" s="107" t="n">
        <x:f>SUM(IF($B$8=2,CZ25,0),IF($B$36=2,CZ53,0),IF($B$64=2,CZ81,0))</x:f>
      </x:c>
      <x:c r="DA101" s="107" t="n">
        <x:f>SUM(IF($B$8=2,DA25,0),IF($B$36=2,DA53,0),IF($B$64=2,DA81,0))</x:f>
      </x:c>
      <x:c r="DB101" s="107" t="n">
        <x:f>SUM(IF($B$8=2,DB25,0),IF($B$36=2,DB53,0),IF($B$64=2,DB81,0))</x:f>
      </x:c>
      <x:c r="DC101" s="107" t="n">
        <x:f>SUM(IF($B$8=2,DC25,0),IF($B$36=2,DC53,0),IF($B$64=2,DC81,0))</x:f>
      </x:c>
      <x:c r="DD101" s="107" t="n">
        <x:f>SUM(IF($B$8=2,DD25,0),IF($B$36=2,DD53,0),IF($B$64=2,DD81,0))</x:f>
      </x:c>
      <x:c r="DE101" s="107" t="n">
        <x:f>SUM(IF($B$8=2,DE25,0),IF($B$36=2,DE53,0),IF($B$64=2,DE81,0))</x:f>
      </x:c>
      <x:c r="DF101" s="107" t="n">
        <x:f>SUM(IF($B$8=2,DF25,0),IF($B$36=2,DF53,0),IF($B$64=2,DF81,0))</x:f>
      </x:c>
      <x:c r="DG101" s="107" t="n">
        <x:f>SUM(IF($B$8=2,DG25,0),IF($B$36=2,DG53,0),IF($B$64=2,DG81,0))</x:f>
      </x:c>
      <x:c r="DH101" s="107" t="n">
        <x:f>SUM(IF($B$8=2,DH25,0),IF($B$36=2,DH53,0),IF($B$64=2,DH81,0))</x:f>
      </x:c>
      <x:c r="DI101" s="107" t="n">
        <x:f>SUM(IF($B$8=2,DI25,0),IF($B$36=2,DI53,0),IF($B$64=2,DI81,0))</x:f>
      </x:c>
      <x:c r="DJ101" s="107" t="n">
        <x:f>SUM(IF($B$8=2,DJ25,0),IF($B$36=2,DJ53,0),IF($B$64=2,DJ81,0))</x:f>
      </x:c>
      <x:c r="DK101" s="107" t="n">
        <x:f>SUM(IF($B$8=2,DK25,0),IF($B$36=2,DK53,0),IF($B$64=2,DK81,0))</x:f>
      </x:c>
      <x:c r="DL101" s="107" t="n">
        <x:f>SUM(IF($B$8=2,DL25,0),IF($B$36=2,DL53,0),IF($B$64=2,DL81,0))</x:f>
      </x:c>
      <x:c r="DM101" s="107" t="n">
        <x:f>SUM(IF($B$8=2,DM25,0),IF($B$36=2,DM53,0),IF($B$64=2,DM81,0))</x:f>
      </x:c>
      <x:c r="DN101" s="107" t="n">
        <x:f>SUM(IF($B$8=2,DN25,0),IF($B$36=2,DN53,0),IF($B$64=2,DN81,0))</x:f>
      </x:c>
      <x:c r="DO101" s="107" t="n">
        <x:f>SUM(IF($B$8=2,DO25,0),IF($B$36=2,DO53,0),IF($B$64=2,DO81,0))</x:f>
      </x:c>
      <x:c r="DP101" s="107" t="n">
        <x:f>SUM(IF($B$8=2,DP25,0),IF($B$36=2,DP53,0),IF($B$64=2,DP81,0))</x:f>
      </x:c>
      <x:c r="DQ101" s="107" t="n">
        <x:f>SUM(IF($B$8=2,DQ25,0),IF($B$36=2,DQ53,0),IF($B$64=2,DQ81,0))</x:f>
      </x:c>
      <x:c r="DR101" s="107" t="n">
        <x:f>SUM(IF($B$8=2,DR25,0),IF($B$36=2,DR53,0),IF($B$64=2,DR81,0))</x:f>
      </x:c>
      <x:c r="DS101" s="107" t="n">
        <x:f>SUM(IF($B$8=2,DS25,0),IF($B$36=2,DS53,0),IF($B$64=2,DS81,0))</x:f>
      </x:c>
    </x:row>
    <x:row r="102">
      <x:c r="A102" t="str">
        <x:v>Очередь 2 — Прямые поступления объектов</x:v>
      </x:c>
      <x:c r="B102" s="107" t="n">
        <x:f>SUM(D102:DS102)</x:f>
      </x:c>
      <x:c r="C102" t="str">
        <x:v>млн ₽</x:v>
      </x:c>
      <x:c r="D102" s="107" t="n">
        <x:f>SUM(IF($B$8=2,D26,0),IF($B$36=2,D54,0),IF($B$64=2,D82,0))</x:f>
      </x:c>
      <x:c r="E102" s="107" t="n">
        <x:f>SUM(IF($B$8=2,E26,0),IF($B$36=2,E54,0),IF($B$64=2,E82,0))</x:f>
      </x:c>
      <x:c r="F102" s="107" t="n">
        <x:f>SUM(IF($B$8=2,F26,0),IF($B$36=2,F54,0),IF($B$64=2,F82,0))</x:f>
      </x:c>
      <x:c r="G102" s="107" t="n">
        <x:f>SUM(IF($B$8=2,G26,0),IF($B$36=2,G54,0),IF($B$64=2,G82,0))</x:f>
      </x:c>
      <x:c r="H102" s="107" t="n">
        <x:f>SUM(IF($B$8=2,H26,0),IF($B$36=2,H54,0),IF($B$64=2,H82,0))</x:f>
      </x:c>
      <x:c r="I102" s="107" t="n">
        <x:f>SUM(IF($B$8=2,I26,0),IF($B$36=2,I54,0),IF($B$64=2,I82,0))</x:f>
      </x:c>
      <x:c r="J102" s="107" t="n">
        <x:f>SUM(IF($B$8=2,J26,0),IF($B$36=2,J54,0),IF($B$64=2,J82,0))</x:f>
      </x:c>
      <x:c r="K102" s="107" t="n">
        <x:f>SUM(IF($B$8=2,K26,0),IF($B$36=2,K54,0),IF($B$64=2,K82,0))</x:f>
      </x:c>
      <x:c r="L102" s="107" t="n">
        <x:f>SUM(IF($B$8=2,L26,0),IF($B$36=2,L54,0),IF($B$64=2,L82,0))</x:f>
      </x:c>
      <x:c r="M102" s="107" t="n">
        <x:f>SUM(IF($B$8=2,M26,0),IF($B$36=2,M54,0),IF($B$64=2,M82,0))</x:f>
      </x:c>
      <x:c r="N102" s="107" t="n">
        <x:f>SUM(IF($B$8=2,N26,0),IF($B$36=2,N54,0),IF($B$64=2,N82,0))</x:f>
      </x:c>
      <x:c r="O102" s="107" t="n">
        <x:f>SUM(IF($B$8=2,O26,0),IF($B$36=2,O54,0),IF($B$64=2,O82,0))</x:f>
      </x:c>
      <x:c r="P102" s="107" t="n">
        <x:f>SUM(IF($B$8=2,P26,0),IF($B$36=2,P54,0),IF($B$64=2,P82,0))</x:f>
      </x:c>
      <x:c r="Q102" s="107" t="n">
        <x:f>SUM(IF($B$8=2,Q26,0),IF($B$36=2,Q54,0),IF($B$64=2,Q82,0))</x:f>
      </x:c>
      <x:c r="R102" s="107" t="n">
        <x:f>SUM(IF($B$8=2,R26,0),IF($B$36=2,R54,0),IF($B$64=2,R82,0))</x:f>
      </x:c>
      <x:c r="S102" s="107" t="n">
        <x:f>SUM(IF($B$8=2,S26,0),IF($B$36=2,S54,0),IF($B$64=2,S82,0))</x:f>
      </x:c>
      <x:c r="T102" s="107" t="n">
        <x:f>SUM(IF($B$8=2,T26,0),IF($B$36=2,T54,0),IF($B$64=2,T82,0))</x:f>
      </x:c>
      <x:c r="U102" s="107" t="n">
        <x:f>SUM(IF($B$8=2,U26,0),IF($B$36=2,U54,0),IF($B$64=2,U82,0))</x:f>
      </x:c>
      <x:c r="V102" s="107" t="n">
        <x:f>SUM(IF($B$8=2,V26,0),IF($B$36=2,V54,0),IF($B$64=2,V82,0))</x:f>
      </x:c>
      <x:c r="W102" s="107" t="n">
        <x:f>SUM(IF($B$8=2,W26,0),IF($B$36=2,W54,0),IF($B$64=2,W82,0))</x:f>
      </x:c>
      <x:c r="X102" s="107" t="n">
        <x:f>SUM(IF($B$8=2,X26,0),IF($B$36=2,X54,0),IF($B$64=2,X82,0))</x:f>
      </x:c>
      <x:c r="Y102" s="107" t="n">
        <x:f>SUM(IF($B$8=2,Y26,0),IF($B$36=2,Y54,0),IF($B$64=2,Y82,0))</x:f>
      </x:c>
      <x:c r="Z102" s="107" t="n">
        <x:f>SUM(IF($B$8=2,Z26,0),IF($B$36=2,Z54,0),IF($B$64=2,Z82,0))</x:f>
      </x:c>
      <x:c r="AA102" s="107" t="n">
        <x:f>SUM(IF($B$8=2,AA26,0),IF($B$36=2,AA54,0),IF($B$64=2,AA82,0))</x:f>
      </x:c>
      <x:c r="AB102" s="107" t="n">
        <x:f>SUM(IF($B$8=2,AB26,0),IF($B$36=2,AB54,0),IF($B$64=2,AB82,0))</x:f>
      </x:c>
      <x:c r="AC102" s="107" t="n">
        <x:f>SUM(IF($B$8=2,AC26,0),IF($B$36=2,AC54,0),IF($B$64=2,AC82,0))</x:f>
      </x:c>
      <x:c r="AD102" s="107" t="n">
        <x:f>SUM(IF($B$8=2,AD26,0),IF($B$36=2,AD54,0),IF($B$64=2,AD82,0))</x:f>
      </x:c>
      <x:c r="AE102" s="107" t="n">
        <x:f>SUM(IF($B$8=2,AE26,0),IF($B$36=2,AE54,0),IF($B$64=2,AE82,0))</x:f>
      </x:c>
      <x:c r="AF102" s="107" t="n">
        <x:f>SUM(IF($B$8=2,AF26,0),IF($B$36=2,AF54,0),IF($B$64=2,AF82,0))</x:f>
      </x:c>
      <x:c r="AG102" s="107" t="n">
        <x:f>SUM(IF($B$8=2,AG26,0),IF($B$36=2,AG54,0),IF($B$64=2,AG82,0))</x:f>
      </x:c>
      <x:c r="AH102" s="107" t="n">
        <x:f>SUM(IF($B$8=2,AH26,0),IF($B$36=2,AH54,0),IF($B$64=2,AH82,0))</x:f>
      </x:c>
      <x:c r="AI102" s="107" t="n">
        <x:f>SUM(IF($B$8=2,AI26,0),IF($B$36=2,AI54,0),IF($B$64=2,AI82,0))</x:f>
      </x:c>
      <x:c r="AJ102" s="107" t="n">
        <x:f>SUM(IF($B$8=2,AJ26,0),IF($B$36=2,AJ54,0),IF($B$64=2,AJ82,0))</x:f>
      </x:c>
      <x:c r="AK102" s="107" t="n">
        <x:f>SUM(IF($B$8=2,AK26,0),IF($B$36=2,AK54,0),IF($B$64=2,AK82,0))</x:f>
      </x:c>
      <x:c r="AL102" s="107" t="n">
        <x:f>SUM(IF($B$8=2,AL26,0),IF($B$36=2,AL54,0),IF($B$64=2,AL82,0))</x:f>
      </x:c>
      <x:c r="AM102" s="107" t="n">
        <x:f>SUM(IF($B$8=2,AM26,0),IF($B$36=2,AM54,0),IF($B$64=2,AM82,0))</x:f>
      </x:c>
      <x:c r="AN102" s="107" t="n">
        <x:f>SUM(IF($B$8=2,AN26,0),IF($B$36=2,AN54,0),IF($B$64=2,AN82,0))</x:f>
      </x:c>
      <x:c r="AO102" s="107" t="n">
        <x:f>SUM(IF($B$8=2,AO26,0),IF($B$36=2,AO54,0),IF($B$64=2,AO82,0))</x:f>
      </x:c>
      <x:c r="AP102" s="107" t="n">
        <x:f>SUM(IF($B$8=2,AP26,0),IF($B$36=2,AP54,0),IF($B$64=2,AP82,0))</x:f>
      </x:c>
      <x:c r="AQ102" s="107" t="n">
        <x:f>SUM(IF($B$8=2,AQ26,0),IF($B$36=2,AQ54,0),IF($B$64=2,AQ82,0))</x:f>
      </x:c>
      <x:c r="AR102" s="107" t="n">
        <x:f>SUM(IF($B$8=2,AR26,0),IF($B$36=2,AR54,0),IF($B$64=2,AR82,0))</x:f>
      </x:c>
      <x:c r="AS102" s="107" t="n">
        <x:f>SUM(IF($B$8=2,AS26,0),IF($B$36=2,AS54,0),IF($B$64=2,AS82,0))</x:f>
      </x:c>
      <x:c r="AT102" s="107" t="n">
        <x:f>SUM(IF($B$8=2,AT26,0),IF($B$36=2,AT54,0),IF($B$64=2,AT82,0))</x:f>
      </x:c>
      <x:c r="AU102" s="107" t="n">
        <x:f>SUM(IF($B$8=2,AU26,0),IF($B$36=2,AU54,0),IF($B$64=2,AU82,0))</x:f>
      </x:c>
      <x:c r="AV102" s="107" t="n">
        <x:f>SUM(IF($B$8=2,AV26,0),IF($B$36=2,AV54,0),IF($B$64=2,AV82,0))</x:f>
      </x:c>
      <x:c r="AW102" s="107" t="n">
        <x:f>SUM(IF($B$8=2,AW26,0),IF($B$36=2,AW54,0),IF($B$64=2,AW82,0))</x:f>
      </x:c>
      <x:c r="AX102" s="107" t="n">
        <x:f>SUM(IF($B$8=2,AX26,0),IF($B$36=2,AX54,0),IF($B$64=2,AX82,0))</x:f>
      </x:c>
      <x:c r="AY102" s="107" t="n">
        <x:f>SUM(IF($B$8=2,AY26,0),IF($B$36=2,AY54,0),IF($B$64=2,AY82,0))</x:f>
      </x:c>
      <x:c r="AZ102" s="107" t="n">
        <x:f>SUM(IF($B$8=2,AZ26,0),IF($B$36=2,AZ54,0),IF($B$64=2,AZ82,0))</x:f>
      </x:c>
      <x:c r="BA102" s="107" t="n">
        <x:f>SUM(IF($B$8=2,BA26,0),IF($B$36=2,BA54,0),IF($B$64=2,BA82,0))</x:f>
      </x:c>
      <x:c r="BB102" s="107" t="n">
        <x:f>SUM(IF($B$8=2,BB26,0),IF($B$36=2,BB54,0),IF($B$64=2,BB82,0))</x:f>
      </x:c>
      <x:c r="BC102" s="107" t="n">
        <x:f>SUM(IF($B$8=2,BC26,0),IF($B$36=2,BC54,0),IF($B$64=2,BC82,0))</x:f>
      </x:c>
      <x:c r="BD102" s="107" t="n">
        <x:f>SUM(IF($B$8=2,BD26,0),IF($B$36=2,BD54,0),IF($B$64=2,BD82,0))</x:f>
      </x:c>
      <x:c r="BE102" s="107" t="n">
        <x:f>SUM(IF($B$8=2,BE26,0),IF($B$36=2,BE54,0),IF($B$64=2,BE82,0))</x:f>
      </x:c>
      <x:c r="BF102" s="107" t="n">
        <x:f>SUM(IF($B$8=2,BF26,0),IF($B$36=2,BF54,0),IF($B$64=2,BF82,0))</x:f>
      </x:c>
      <x:c r="BG102" s="107" t="n">
        <x:f>SUM(IF($B$8=2,BG26,0),IF($B$36=2,BG54,0),IF($B$64=2,BG82,0))</x:f>
      </x:c>
      <x:c r="BH102" s="107" t="n">
        <x:f>SUM(IF($B$8=2,BH26,0),IF($B$36=2,BH54,0),IF($B$64=2,BH82,0))</x:f>
      </x:c>
      <x:c r="BI102" s="107" t="n">
        <x:f>SUM(IF($B$8=2,BI26,0),IF($B$36=2,BI54,0),IF($B$64=2,BI82,0))</x:f>
      </x:c>
      <x:c r="BJ102" s="107" t="n">
        <x:f>SUM(IF($B$8=2,BJ26,0),IF($B$36=2,BJ54,0),IF($B$64=2,BJ82,0))</x:f>
      </x:c>
      <x:c r="BK102" s="107" t="n">
        <x:f>SUM(IF($B$8=2,BK26,0),IF($B$36=2,BK54,0),IF($B$64=2,BK82,0))</x:f>
      </x:c>
      <x:c r="BL102" s="107" t="n">
        <x:f>SUM(IF($B$8=2,BL26,0),IF($B$36=2,BL54,0),IF($B$64=2,BL82,0))</x:f>
      </x:c>
      <x:c r="BM102" s="107" t="n">
        <x:f>SUM(IF($B$8=2,BM26,0),IF($B$36=2,BM54,0),IF($B$64=2,BM82,0))</x:f>
      </x:c>
      <x:c r="BN102" s="107" t="n">
        <x:f>SUM(IF($B$8=2,BN26,0),IF($B$36=2,BN54,0),IF($B$64=2,BN82,0))</x:f>
      </x:c>
      <x:c r="BO102" s="107" t="n">
        <x:f>SUM(IF($B$8=2,BO26,0),IF($B$36=2,BO54,0),IF($B$64=2,BO82,0))</x:f>
      </x:c>
      <x:c r="BP102" s="107" t="n">
        <x:f>SUM(IF($B$8=2,BP26,0),IF($B$36=2,BP54,0),IF($B$64=2,BP82,0))</x:f>
      </x:c>
      <x:c r="BQ102" s="107" t="n">
        <x:f>SUM(IF($B$8=2,BQ26,0),IF($B$36=2,BQ54,0),IF($B$64=2,BQ82,0))</x:f>
      </x:c>
      <x:c r="BR102" s="107" t="n">
        <x:f>SUM(IF($B$8=2,BR26,0),IF($B$36=2,BR54,0),IF($B$64=2,BR82,0))</x:f>
      </x:c>
      <x:c r="BS102" s="107" t="n">
        <x:f>SUM(IF($B$8=2,BS26,0),IF($B$36=2,BS54,0),IF($B$64=2,BS82,0))</x:f>
      </x:c>
      <x:c r="BT102" s="107" t="n">
        <x:f>SUM(IF($B$8=2,BT26,0),IF($B$36=2,BT54,0),IF($B$64=2,BT82,0))</x:f>
      </x:c>
      <x:c r="BU102" s="107" t="n">
        <x:f>SUM(IF($B$8=2,BU26,0),IF($B$36=2,BU54,0),IF($B$64=2,BU82,0))</x:f>
      </x:c>
      <x:c r="BV102" s="107" t="n">
        <x:f>SUM(IF($B$8=2,BV26,0),IF($B$36=2,BV54,0),IF($B$64=2,BV82,0))</x:f>
      </x:c>
      <x:c r="BW102" s="107" t="n">
        <x:f>SUM(IF($B$8=2,BW26,0),IF($B$36=2,BW54,0),IF($B$64=2,BW82,0))</x:f>
      </x:c>
      <x:c r="BX102" s="107" t="n">
        <x:f>SUM(IF($B$8=2,BX26,0),IF($B$36=2,BX54,0),IF($B$64=2,BX82,0))</x:f>
      </x:c>
      <x:c r="BY102" s="107" t="n">
        <x:f>SUM(IF($B$8=2,BY26,0),IF($B$36=2,BY54,0),IF($B$64=2,BY82,0))</x:f>
      </x:c>
      <x:c r="BZ102" s="107" t="n">
        <x:f>SUM(IF($B$8=2,BZ26,0),IF($B$36=2,BZ54,0),IF($B$64=2,BZ82,0))</x:f>
      </x:c>
      <x:c r="CA102" s="107" t="n">
        <x:f>SUM(IF($B$8=2,CA26,0),IF($B$36=2,CA54,0),IF($B$64=2,CA82,0))</x:f>
      </x:c>
      <x:c r="CB102" s="107" t="n">
        <x:f>SUM(IF($B$8=2,CB26,0),IF($B$36=2,CB54,0),IF($B$64=2,CB82,0))</x:f>
      </x:c>
      <x:c r="CC102" s="107" t="n">
        <x:f>SUM(IF($B$8=2,CC26,0),IF($B$36=2,CC54,0),IF($B$64=2,CC82,0))</x:f>
      </x:c>
      <x:c r="CD102" s="107" t="n">
        <x:f>SUM(IF($B$8=2,CD26,0),IF($B$36=2,CD54,0),IF($B$64=2,CD82,0))</x:f>
      </x:c>
      <x:c r="CE102" s="107" t="n">
        <x:f>SUM(IF($B$8=2,CE26,0),IF($B$36=2,CE54,0),IF($B$64=2,CE82,0))</x:f>
      </x:c>
      <x:c r="CF102" s="107" t="n">
        <x:f>SUM(IF($B$8=2,CF26,0),IF($B$36=2,CF54,0),IF($B$64=2,CF82,0))</x:f>
      </x:c>
      <x:c r="CG102" s="107" t="n">
        <x:f>SUM(IF($B$8=2,CG26,0),IF($B$36=2,CG54,0),IF($B$64=2,CG82,0))</x:f>
      </x:c>
      <x:c r="CH102" s="107" t="n">
        <x:f>SUM(IF($B$8=2,CH26,0),IF($B$36=2,CH54,0),IF($B$64=2,CH82,0))</x:f>
      </x:c>
      <x:c r="CI102" s="107" t="n">
        <x:f>SUM(IF($B$8=2,CI26,0),IF($B$36=2,CI54,0),IF($B$64=2,CI82,0))</x:f>
      </x:c>
      <x:c r="CJ102" s="107" t="n">
        <x:f>SUM(IF($B$8=2,CJ26,0),IF($B$36=2,CJ54,0),IF($B$64=2,CJ82,0))</x:f>
      </x:c>
      <x:c r="CK102" s="107" t="n">
        <x:f>SUM(IF($B$8=2,CK26,0),IF($B$36=2,CK54,0),IF($B$64=2,CK82,0))</x:f>
      </x:c>
      <x:c r="CL102" s="107" t="n">
        <x:f>SUM(IF($B$8=2,CL26,0),IF($B$36=2,CL54,0),IF($B$64=2,CL82,0))</x:f>
      </x:c>
      <x:c r="CM102" s="107" t="n">
        <x:f>SUM(IF($B$8=2,CM26,0),IF($B$36=2,CM54,0),IF($B$64=2,CM82,0))</x:f>
      </x:c>
      <x:c r="CN102" s="107" t="n">
        <x:f>SUM(IF($B$8=2,CN26,0),IF($B$36=2,CN54,0),IF($B$64=2,CN82,0))</x:f>
      </x:c>
      <x:c r="CO102" s="107" t="n">
        <x:f>SUM(IF($B$8=2,CO26,0),IF($B$36=2,CO54,0),IF($B$64=2,CO82,0))</x:f>
      </x:c>
      <x:c r="CP102" s="107" t="n">
        <x:f>SUM(IF($B$8=2,CP26,0),IF($B$36=2,CP54,0),IF($B$64=2,CP82,0))</x:f>
      </x:c>
      <x:c r="CQ102" s="107" t="n">
        <x:f>SUM(IF($B$8=2,CQ26,0),IF($B$36=2,CQ54,0),IF($B$64=2,CQ82,0))</x:f>
      </x:c>
      <x:c r="CR102" s="107" t="n">
        <x:f>SUM(IF($B$8=2,CR26,0),IF($B$36=2,CR54,0),IF($B$64=2,CR82,0))</x:f>
      </x:c>
      <x:c r="CS102" s="107" t="n">
        <x:f>SUM(IF($B$8=2,CS26,0),IF($B$36=2,CS54,0),IF($B$64=2,CS82,0))</x:f>
      </x:c>
      <x:c r="CT102" s="107" t="n">
        <x:f>SUM(IF($B$8=2,CT26,0),IF($B$36=2,CT54,0),IF($B$64=2,CT82,0))</x:f>
      </x:c>
      <x:c r="CU102" s="107" t="n">
        <x:f>SUM(IF($B$8=2,CU26,0),IF($B$36=2,CU54,0),IF($B$64=2,CU82,0))</x:f>
      </x:c>
      <x:c r="CV102" s="107" t="n">
        <x:f>SUM(IF($B$8=2,CV26,0),IF($B$36=2,CV54,0),IF($B$64=2,CV82,0))</x:f>
      </x:c>
      <x:c r="CW102" s="107" t="n">
        <x:f>SUM(IF($B$8=2,CW26,0),IF($B$36=2,CW54,0),IF($B$64=2,CW82,0))</x:f>
      </x:c>
      <x:c r="CX102" s="107" t="n">
        <x:f>SUM(IF($B$8=2,CX26,0),IF($B$36=2,CX54,0),IF($B$64=2,CX82,0))</x:f>
      </x:c>
      <x:c r="CY102" s="107" t="n">
        <x:f>SUM(IF($B$8=2,CY26,0),IF($B$36=2,CY54,0),IF($B$64=2,CY82,0))</x:f>
      </x:c>
      <x:c r="CZ102" s="107" t="n">
        <x:f>SUM(IF($B$8=2,CZ26,0),IF($B$36=2,CZ54,0),IF($B$64=2,CZ82,0))</x:f>
      </x:c>
      <x:c r="DA102" s="107" t="n">
        <x:f>SUM(IF($B$8=2,DA26,0),IF($B$36=2,DA54,0),IF($B$64=2,DA82,0))</x:f>
      </x:c>
      <x:c r="DB102" s="107" t="n">
        <x:f>SUM(IF($B$8=2,DB26,0),IF($B$36=2,DB54,0),IF($B$64=2,DB82,0))</x:f>
      </x:c>
      <x:c r="DC102" s="107" t="n">
        <x:f>SUM(IF($B$8=2,DC26,0),IF($B$36=2,DC54,0),IF($B$64=2,DC82,0))</x:f>
      </x:c>
      <x:c r="DD102" s="107" t="n">
        <x:f>SUM(IF($B$8=2,DD26,0),IF($B$36=2,DD54,0),IF($B$64=2,DD82,0))</x:f>
      </x:c>
      <x:c r="DE102" s="107" t="n">
        <x:f>SUM(IF($B$8=2,DE26,0),IF($B$36=2,DE54,0),IF($B$64=2,DE82,0))</x:f>
      </x:c>
      <x:c r="DF102" s="107" t="n">
        <x:f>SUM(IF($B$8=2,DF26,0),IF($B$36=2,DF54,0),IF($B$64=2,DF82,0))</x:f>
      </x:c>
      <x:c r="DG102" s="107" t="n">
        <x:f>SUM(IF($B$8=2,DG26,0),IF($B$36=2,DG54,0),IF($B$64=2,DG82,0))</x:f>
      </x:c>
      <x:c r="DH102" s="107" t="n">
        <x:f>SUM(IF($B$8=2,DH26,0),IF($B$36=2,DH54,0),IF($B$64=2,DH82,0))</x:f>
      </x:c>
      <x:c r="DI102" s="107" t="n">
        <x:f>SUM(IF($B$8=2,DI26,0),IF($B$36=2,DI54,0),IF($B$64=2,DI82,0))</x:f>
      </x:c>
      <x:c r="DJ102" s="107" t="n">
        <x:f>SUM(IF($B$8=2,DJ26,0),IF($B$36=2,DJ54,0),IF($B$64=2,DJ82,0))</x:f>
      </x:c>
      <x:c r="DK102" s="107" t="n">
        <x:f>SUM(IF($B$8=2,DK26,0),IF($B$36=2,DK54,0),IF($B$64=2,DK82,0))</x:f>
      </x:c>
      <x:c r="DL102" s="107" t="n">
        <x:f>SUM(IF($B$8=2,DL26,0),IF($B$36=2,DL54,0),IF($B$64=2,DL82,0))</x:f>
      </x:c>
      <x:c r="DM102" s="107" t="n">
        <x:f>SUM(IF($B$8=2,DM26,0),IF($B$36=2,DM54,0),IF($B$64=2,DM82,0))</x:f>
      </x:c>
      <x:c r="DN102" s="107" t="n">
        <x:f>SUM(IF($B$8=2,DN26,0),IF($B$36=2,DN54,0),IF($B$64=2,DN82,0))</x:f>
      </x:c>
      <x:c r="DO102" s="107" t="n">
        <x:f>SUM(IF($B$8=2,DO26,0),IF($B$36=2,DO54,0),IF($B$64=2,DO82,0))</x:f>
      </x:c>
      <x:c r="DP102" s="107" t="n">
        <x:f>SUM(IF($B$8=2,DP26,0),IF($B$36=2,DP54,0),IF($B$64=2,DP82,0))</x:f>
      </x:c>
      <x:c r="DQ102" s="107" t="n">
        <x:f>SUM(IF($B$8=2,DQ26,0),IF($B$36=2,DQ54,0),IF($B$64=2,DQ82,0))</x:f>
      </x:c>
      <x:c r="DR102" s="107" t="n">
        <x:f>SUM(IF($B$8=2,DR26,0),IF($B$36=2,DR54,0),IF($B$64=2,DR82,0))</x:f>
      </x:c>
      <x:c r="DS102" s="107" t="n">
        <x:f>SUM(IF($B$8=2,DS26,0),IF($B$36=2,DS54,0),IF($B$64=2,DS82,0))</x:f>
      </x:c>
    </x:row>
    <x:row r="103">
      <x:c r="A103" t="str">
        <x:v>Очередь 2 — Раскрытие эскроу объектов</x:v>
      </x:c>
      <x:c r="B103" s="107" t="n">
        <x:f>SUM(D103:DS103)</x:f>
      </x:c>
      <x:c r="C103" t="str">
        <x:v>млн ₽</x:v>
      </x:c>
      <x:c r="D103" s="107" t="n">
        <x:f>SUM(IF($B$8=2,D27,0),IF($B$36=2,D55,0),IF($B$64=2,D83,0))</x:f>
      </x:c>
      <x:c r="E103" s="107" t="n">
        <x:f>SUM(IF($B$8=2,E27,0),IF($B$36=2,E55,0),IF($B$64=2,E83,0))</x:f>
      </x:c>
      <x:c r="F103" s="107" t="n">
        <x:f>SUM(IF($B$8=2,F27,0),IF($B$36=2,F55,0),IF($B$64=2,F83,0))</x:f>
      </x:c>
      <x:c r="G103" s="107" t="n">
        <x:f>SUM(IF($B$8=2,G27,0),IF($B$36=2,G55,0),IF($B$64=2,G83,0))</x:f>
      </x:c>
      <x:c r="H103" s="107" t="n">
        <x:f>SUM(IF($B$8=2,H27,0),IF($B$36=2,H55,0),IF($B$64=2,H83,0))</x:f>
      </x:c>
      <x:c r="I103" s="107" t="n">
        <x:f>SUM(IF($B$8=2,I27,0),IF($B$36=2,I55,0),IF($B$64=2,I83,0))</x:f>
      </x:c>
      <x:c r="J103" s="107" t="n">
        <x:f>SUM(IF($B$8=2,J27,0),IF($B$36=2,J55,0),IF($B$64=2,J83,0))</x:f>
      </x:c>
      <x:c r="K103" s="107" t="n">
        <x:f>SUM(IF($B$8=2,K27,0),IF($B$36=2,K55,0),IF($B$64=2,K83,0))</x:f>
      </x:c>
      <x:c r="L103" s="107" t="n">
        <x:f>SUM(IF($B$8=2,L27,0),IF($B$36=2,L55,0),IF($B$64=2,L83,0))</x:f>
      </x:c>
      <x:c r="M103" s="107" t="n">
        <x:f>SUM(IF($B$8=2,M27,0),IF($B$36=2,M55,0),IF($B$64=2,M83,0))</x:f>
      </x:c>
      <x:c r="N103" s="107" t="n">
        <x:f>SUM(IF($B$8=2,N27,0),IF($B$36=2,N55,0),IF($B$64=2,N83,0))</x:f>
      </x:c>
      <x:c r="O103" s="107" t="n">
        <x:f>SUM(IF($B$8=2,O27,0),IF($B$36=2,O55,0),IF($B$64=2,O83,0))</x:f>
      </x:c>
      <x:c r="P103" s="107" t="n">
        <x:f>SUM(IF($B$8=2,P27,0),IF($B$36=2,P55,0),IF($B$64=2,P83,0))</x:f>
      </x:c>
      <x:c r="Q103" s="107" t="n">
        <x:f>SUM(IF($B$8=2,Q27,0),IF($B$36=2,Q55,0),IF($B$64=2,Q83,0))</x:f>
      </x:c>
      <x:c r="R103" s="107" t="n">
        <x:f>SUM(IF($B$8=2,R27,0),IF($B$36=2,R55,0),IF($B$64=2,R83,0))</x:f>
      </x:c>
      <x:c r="S103" s="107" t="n">
        <x:f>SUM(IF($B$8=2,S27,0),IF($B$36=2,S55,0),IF($B$64=2,S83,0))</x:f>
      </x:c>
      <x:c r="T103" s="107" t="n">
        <x:f>SUM(IF($B$8=2,T27,0),IF($B$36=2,T55,0),IF($B$64=2,T83,0))</x:f>
      </x:c>
      <x:c r="U103" s="107" t="n">
        <x:f>SUM(IF($B$8=2,U27,0),IF($B$36=2,U55,0),IF($B$64=2,U83,0))</x:f>
      </x:c>
      <x:c r="V103" s="107" t="n">
        <x:f>SUM(IF($B$8=2,V27,0),IF($B$36=2,V55,0),IF($B$64=2,V83,0))</x:f>
      </x:c>
      <x:c r="W103" s="107" t="n">
        <x:f>SUM(IF($B$8=2,W27,0),IF($B$36=2,W55,0),IF($B$64=2,W83,0))</x:f>
      </x:c>
      <x:c r="X103" s="107" t="n">
        <x:f>SUM(IF($B$8=2,X27,0),IF($B$36=2,X55,0),IF($B$64=2,X83,0))</x:f>
      </x:c>
      <x:c r="Y103" s="107" t="n">
        <x:f>SUM(IF($B$8=2,Y27,0),IF($B$36=2,Y55,0),IF($B$64=2,Y83,0))</x:f>
      </x:c>
      <x:c r="Z103" s="107" t="n">
        <x:f>SUM(IF($B$8=2,Z27,0),IF($B$36=2,Z55,0),IF($B$64=2,Z83,0))</x:f>
      </x:c>
      <x:c r="AA103" s="107" t="n">
        <x:f>SUM(IF($B$8=2,AA27,0),IF($B$36=2,AA55,0),IF($B$64=2,AA83,0))</x:f>
      </x:c>
      <x:c r="AB103" s="107" t="n">
        <x:f>SUM(IF($B$8=2,AB27,0),IF($B$36=2,AB55,0),IF($B$64=2,AB83,0))</x:f>
      </x:c>
      <x:c r="AC103" s="107" t="n">
        <x:f>SUM(IF($B$8=2,AC27,0),IF($B$36=2,AC55,0),IF($B$64=2,AC83,0))</x:f>
      </x:c>
      <x:c r="AD103" s="107" t="n">
        <x:f>SUM(IF($B$8=2,AD27,0),IF($B$36=2,AD55,0),IF($B$64=2,AD83,0))</x:f>
      </x:c>
      <x:c r="AE103" s="107" t="n">
        <x:f>SUM(IF($B$8=2,AE27,0),IF($B$36=2,AE55,0),IF($B$64=2,AE83,0))</x:f>
      </x:c>
      <x:c r="AF103" s="107" t="n">
        <x:f>SUM(IF($B$8=2,AF27,0),IF($B$36=2,AF55,0),IF($B$64=2,AF83,0))</x:f>
      </x:c>
      <x:c r="AG103" s="107" t="n">
        <x:f>SUM(IF($B$8=2,AG27,0),IF($B$36=2,AG55,0),IF($B$64=2,AG83,0))</x:f>
      </x:c>
      <x:c r="AH103" s="107" t="n">
        <x:f>SUM(IF($B$8=2,AH27,0),IF($B$36=2,AH55,0),IF($B$64=2,AH83,0))</x:f>
      </x:c>
      <x:c r="AI103" s="107" t="n">
        <x:f>SUM(IF($B$8=2,AI27,0),IF($B$36=2,AI55,0),IF($B$64=2,AI83,0))</x:f>
      </x:c>
      <x:c r="AJ103" s="107" t="n">
        <x:f>SUM(IF($B$8=2,AJ27,0),IF($B$36=2,AJ55,0),IF($B$64=2,AJ83,0))</x:f>
      </x:c>
      <x:c r="AK103" s="107" t="n">
        <x:f>SUM(IF($B$8=2,AK27,0),IF($B$36=2,AK55,0),IF($B$64=2,AK83,0))</x:f>
      </x:c>
      <x:c r="AL103" s="107" t="n">
        <x:f>SUM(IF($B$8=2,AL27,0),IF($B$36=2,AL55,0),IF($B$64=2,AL83,0))</x:f>
      </x:c>
      <x:c r="AM103" s="107" t="n">
        <x:f>SUM(IF($B$8=2,AM27,0),IF($B$36=2,AM55,0),IF($B$64=2,AM83,0))</x:f>
      </x:c>
      <x:c r="AN103" s="107" t="n">
        <x:f>SUM(IF($B$8=2,AN27,0),IF($B$36=2,AN55,0),IF($B$64=2,AN83,0))</x:f>
      </x:c>
      <x:c r="AO103" s="107" t="n">
        <x:f>SUM(IF($B$8=2,AO27,0),IF($B$36=2,AO55,0),IF($B$64=2,AO83,0))</x:f>
      </x:c>
      <x:c r="AP103" s="107" t="n">
        <x:f>SUM(IF($B$8=2,AP27,0),IF($B$36=2,AP55,0),IF($B$64=2,AP83,0))</x:f>
      </x:c>
      <x:c r="AQ103" s="107" t="n">
        <x:f>SUM(IF($B$8=2,AQ27,0),IF($B$36=2,AQ55,0),IF($B$64=2,AQ83,0))</x:f>
      </x:c>
      <x:c r="AR103" s="107" t="n">
        <x:f>SUM(IF($B$8=2,AR27,0),IF($B$36=2,AR55,0),IF($B$64=2,AR83,0))</x:f>
      </x:c>
      <x:c r="AS103" s="107" t="n">
        <x:f>SUM(IF($B$8=2,AS27,0),IF($B$36=2,AS55,0),IF($B$64=2,AS83,0))</x:f>
      </x:c>
      <x:c r="AT103" s="107" t="n">
        <x:f>SUM(IF($B$8=2,AT27,0),IF($B$36=2,AT55,0),IF($B$64=2,AT83,0))</x:f>
      </x:c>
      <x:c r="AU103" s="107" t="n">
        <x:f>SUM(IF($B$8=2,AU27,0),IF($B$36=2,AU55,0),IF($B$64=2,AU83,0))</x:f>
      </x:c>
      <x:c r="AV103" s="107" t="n">
        <x:f>SUM(IF($B$8=2,AV27,0),IF($B$36=2,AV55,0),IF($B$64=2,AV83,0))</x:f>
      </x:c>
      <x:c r="AW103" s="107" t="n">
        <x:f>SUM(IF($B$8=2,AW27,0),IF($B$36=2,AW55,0),IF($B$64=2,AW83,0))</x:f>
      </x:c>
      <x:c r="AX103" s="107" t="n">
        <x:f>SUM(IF($B$8=2,AX27,0),IF($B$36=2,AX55,0),IF($B$64=2,AX83,0))</x:f>
      </x:c>
      <x:c r="AY103" s="107" t="n">
        <x:f>SUM(IF($B$8=2,AY27,0),IF($B$36=2,AY55,0),IF($B$64=2,AY83,0))</x:f>
      </x:c>
      <x:c r="AZ103" s="107" t="n">
        <x:f>SUM(IF($B$8=2,AZ27,0),IF($B$36=2,AZ55,0),IF($B$64=2,AZ83,0))</x:f>
      </x:c>
      <x:c r="BA103" s="107" t="n">
        <x:f>SUM(IF($B$8=2,BA27,0),IF($B$36=2,BA55,0),IF($B$64=2,BA83,0))</x:f>
      </x:c>
      <x:c r="BB103" s="107" t="n">
        <x:f>SUM(IF($B$8=2,BB27,0),IF($B$36=2,BB55,0),IF($B$64=2,BB83,0))</x:f>
      </x:c>
      <x:c r="BC103" s="107" t="n">
        <x:f>SUM(IF($B$8=2,BC27,0),IF($B$36=2,BC55,0),IF($B$64=2,BC83,0))</x:f>
      </x:c>
      <x:c r="BD103" s="107" t="n">
        <x:f>SUM(IF($B$8=2,BD27,0),IF($B$36=2,BD55,0),IF($B$64=2,BD83,0))</x:f>
      </x:c>
      <x:c r="BE103" s="107" t="n">
        <x:f>SUM(IF($B$8=2,BE27,0),IF($B$36=2,BE55,0),IF($B$64=2,BE83,0))</x:f>
      </x:c>
      <x:c r="BF103" s="107" t="n">
        <x:f>SUM(IF($B$8=2,BF27,0),IF($B$36=2,BF55,0),IF($B$64=2,BF83,0))</x:f>
      </x:c>
      <x:c r="BG103" s="107" t="n">
        <x:f>SUM(IF($B$8=2,BG27,0),IF($B$36=2,BG55,0),IF($B$64=2,BG83,0))</x:f>
      </x:c>
      <x:c r="BH103" s="107" t="n">
        <x:f>SUM(IF($B$8=2,BH27,0),IF($B$36=2,BH55,0),IF($B$64=2,BH83,0))</x:f>
      </x:c>
      <x:c r="BI103" s="107" t="n">
        <x:f>SUM(IF($B$8=2,BI27,0),IF($B$36=2,BI55,0),IF($B$64=2,BI83,0))</x:f>
      </x:c>
      <x:c r="BJ103" s="107" t="n">
        <x:f>SUM(IF($B$8=2,BJ27,0),IF($B$36=2,BJ55,0),IF($B$64=2,BJ83,0))</x:f>
      </x:c>
      <x:c r="BK103" s="107" t="n">
        <x:f>SUM(IF($B$8=2,BK27,0),IF($B$36=2,BK55,0),IF($B$64=2,BK83,0))</x:f>
      </x:c>
      <x:c r="BL103" s="107" t="n">
        <x:f>SUM(IF($B$8=2,BL27,0),IF($B$36=2,BL55,0),IF($B$64=2,BL83,0))</x:f>
      </x:c>
      <x:c r="BM103" s="107" t="n">
        <x:f>SUM(IF($B$8=2,BM27,0),IF($B$36=2,BM55,0),IF($B$64=2,BM83,0))</x:f>
      </x:c>
      <x:c r="BN103" s="107" t="n">
        <x:f>SUM(IF($B$8=2,BN27,0),IF($B$36=2,BN55,0),IF($B$64=2,BN83,0))</x:f>
      </x:c>
      <x:c r="BO103" s="107" t="n">
        <x:f>SUM(IF($B$8=2,BO27,0),IF($B$36=2,BO55,0),IF($B$64=2,BO83,0))</x:f>
      </x:c>
      <x:c r="BP103" s="107" t="n">
        <x:f>SUM(IF($B$8=2,BP27,0),IF($B$36=2,BP55,0),IF($B$64=2,BP83,0))</x:f>
      </x:c>
      <x:c r="BQ103" s="107" t="n">
        <x:f>SUM(IF($B$8=2,BQ27,0),IF($B$36=2,BQ55,0),IF($B$64=2,BQ83,0))</x:f>
      </x:c>
      <x:c r="BR103" s="107" t="n">
        <x:f>SUM(IF($B$8=2,BR27,0),IF($B$36=2,BR55,0),IF($B$64=2,BR83,0))</x:f>
      </x:c>
      <x:c r="BS103" s="107" t="n">
        <x:f>SUM(IF($B$8=2,BS27,0),IF($B$36=2,BS55,0),IF($B$64=2,BS83,0))</x:f>
      </x:c>
      <x:c r="BT103" s="107" t="n">
        <x:f>SUM(IF($B$8=2,BT27,0),IF($B$36=2,BT55,0),IF($B$64=2,BT83,0))</x:f>
      </x:c>
      <x:c r="BU103" s="107" t="n">
        <x:f>SUM(IF($B$8=2,BU27,0),IF($B$36=2,BU55,0),IF($B$64=2,BU83,0))</x:f>
      </x:c>
      <x:c r="BV103" s="107" t="n">
        <x:f>SUM(IF($B$8=2,BV27,0),IF($B$36=2,BV55,0),IF($B$64=2,BV83,0))</x:f>
      </x:c>
      <x:c r="BW103" s="107" t="n">
        <x:f>SUM(IF($B$8=2,BW27,0),IF($B$36=2,BW55,0),IF($B$64=2,BW83,0))</x:f>
      </x:c>
      <x:c r="BX103" s="107" t="n">
        <x:f>SUM(IF($B$8=2,BX27,0),IF($B$36=2,BX55,0),IF($B$64=2,BX83,0))</x:f>
      </x:c>
      <x:c r="BY103" s="107" t="n">
        <x:f>SUM(IF($B$8=2,BY27,0),IF($B$36=2,BY55,0),IF($B$64=2,BY83,0))</x:f>
      </x:c>
      <x:c r="BZ103" s="107" t="n">
        <x:f>SUM(IF($B$8=2,BZ27,0),IF($B$36=2,BZ55,0),IF($B$64=2,BZ83,0))</x:f>
      </x:c>
      <x:c r="CA103" s="107" t="n">
        <x:f>SUM(IF($B$8=2,CA27,0),IF($B$36=2,CA55,0),IF($B$64=2,CA83,0))</x:f>
      </x:c>
      <x:c r="CB103" s="107" t="n">
        <x:f>SUM(IF($B$8=2,CB27,0),IF($B$36=2,CB55,0),IF($B$64=2,CB83,0))</x:f>
      </x:c>
      <x:c r="CC103" s="107" t="n">
        <x:f>SUM(IF($B$8=2,CC27,0),IF($B$36=2,CC55,0),IF($B$64=2,CC83,0))</x:f>
      </x:c>
      <x:c r="CD103" s="107" t="n">
        <x:f>SUM(IF($B$8=2,CD27,0),IF($B$36=2,CD55,0),IF($B$64=2,CD83,0))</x:f>
      </x:c>
      <x:c r="CE103" s="107" t="n">
        <x:f>SUM(IF($B$8=2,CE27,0),IF($B$36=2,CE55,0),IF($B$64=2,CE83,0))</x:f>
      </x:c>
      <x:c r="CF103" s="107" t="n">
        <x:f>SUM(IF($B$8=2,CF27,0),IF($B$36=2,CF55,0),IF($B$64=2,CF83,0))</x:f>
      </x:c>
      <x:c r="CG103" s="107" t="n">
        <x:f>SUM(IF($B$8=2,CG27,0),IF($B$36=2,CG55,0),IF($B$64=2,CG83,0))</x:f>
      </x:c>
      <x:c r="CH103" s="107" t="n">
        <x:f>SUM(IF($B$8=2,CH27,0),IF($B$36=2,CH55,0),IF($B$64=2,CH83,0))</x:f>
      </x:c>
      <x:c r="CI103" s="107" t="n">
        <x:f>SUM(IF($B$8=2,CI27,0),IF($B$36=2,CI55,0),IF($B$64=2,CI83,0))</x:f>
      </x:c>
      <x:c r="CJ103" s="107" t="n">
        <x:f>SUM(IF($B$8=2,CJ27,0),IF($B$36=2,CJ55,0),IF($B$64=2,CJ83,0))</x:f>
      </x:c>
      <x:c r="CK103" s="107" t="n">
        <x:f>SUM(IF($B$8=2,CK27,0),IF($B$36=2,CK55,0),IF($B$64=2,CK83,0))</x:f>
      </x:c>
      <x:c r="CL103" s="107" t="n">
        <x:f>SUM(IF($B$8=2,CL27,0),IF($B$36=2,CL55,0),IF($B$64=2,CL83,0))</x:f>
      </x:c>
      <x:c r="CM103" s="107" t="n">
        <x:f>SUM(IF($B$8=2,CM27,0),IF($B$36=2,CM55,0),IF($B$64=2,CM83,0))</x:f>
      </x:c>
      <x:c r="CN103" s="107" t="n">
        <x:f>SUM(IF($B$8=2,CN27,0),IF($B$36=2,CN55,0),IF($B$64=2,CN83,0))</x:f>
      </x:c>
      <x:c r="CO103" s="107" t="n">
        <x:f>SUM(IF($B$8=2,CO27,0),IF($B$36=2,CO55,0),IF($B$64=2,CO83,0))</x:f>
      </x:c>
      <x:c r="CP103" s="107" t="n">
        <x:f>SUM(IF($B$8=2,CP27,0),IF($B$36=2,CP55,0),IF($B$64=2,CP83,0))</x:f>
      </x:c>
      <x:c r="CQ103" s="107" t="n">
        <x:f>SUM(IF($B$8=2,CQ27,0),IF($B$36=2,CQ55,0),IF($B$64=2,CQ83,0))</x:f>
      </x:c>
      <x:c r="CR103" s="107" t="n">
        <x:f>SUM(IF($B$8=2,CR27,0),IF($B$36=2,CR55,0),IF($B$64=2,CR83,0))</x:f>
      </x:c>
      <x:c r="CS103" s="107" t="n">
        <x:f>SUM(IF($B$8=2,CS27,0),IF($B$36=2,CS55,0),IF($B$64=2,CS83,0))</x:f>
      </x:c>
      <x:c r="CT103" s="107" t="n">
        <x:f>SUM(IF($B$8=2,CT27,0),IF($B$36=2,CT55,0),IF($B$64=2,CT83,0))</x:f>
      </x:c>
      <x:c r="CU103" s="107" t="n">
        <x:f>SUM(IF($B$8=2,CU27,0),IF($B$36=2,CU55,0),IF($B$64=2,CU83,0))</x:f>
      </x:c>
      <x:c r="CV103" s="107" t="n">
        <x:f>SUM(IF($B$8=2,CV27,0),IF($B$36=2,CV55,0),IF($B$64=2,CV83,0))</x:f>
      </x:c>
      <x:c r="CW103" s="107" t="n">
        <x:f>SUM(IF($B$8=2,CW27,0),IF($B$36=2,CW55,0),IF($B$64=2,CW83,0))</x:f>
      </x:c>
      <x:c r="CX103" s="107" t="n">
        <x:f>SUM(IF($B$8=2,CX27,0),IF($B$36=2,CX55,0),IF($B$64=2,CX83,0))</x:f>
      </x:c>
      <x:c r="CY103" s="107" t="n">
        <x:f>SUM(IF($B$8=2,CY27,0),IF($B$36=2,CY55,0),IF($B$64=2,CY83,0))</x:f>
      </x:c>
      <x:c r="CZ103" s="107" t="n">
        <x:f>SUM(IF($B$8=2,CZ27,0),IF($B$36=2,CZ55,0),IF($B$64=2,CZ83,0))</x:f>
      </x:c>
      <x:c r="DA103" s="107" t="n">
        <x:f>SUM(IF($B$8=2,DA27,0),IF($B$36=2,DA55,0),IF($B$64=2,DA83,0))</x:f>
      </x:c>
      <x:c r="DB103" s="107" t="n">
        <x:f>SUM(IF($B$8=2,DB27,0),IF($B$36=2,DB55,0),IF($B$64=2,DB83,0))</x:f>
      </x:c>
      <x:c r="DC103" s="107" t="n">
        <x:f>SUM(IF($B$8=2,DC27,0),IF($B$36=2,DC55,0),IF($B$64=2,DC83,0))</x:f>
      </x:c>
      <x:c r="DD103" s="107" t="n">
        <x:f>SUM(IF($B$8=2,DD27,0),IF($B$36=2,DD55,0),IF($B$64=2,DD83,0))</x:f>
      </x:c>
      <x:c r="DE103" s="107" t="n">
        <x:f>SUM(IF($B$8=2,DE27,0),IF($B$36=2,DE55,0),IF($B$64=2,DE83,0))</x:f>
      </x:c>
      <x:c r="DF103" s="107" t="n">
        <x:f>SUM(IF($B$8=2,DF27,0),IF($B$36=2,DF55,0),IF($B$64=2,DF83,0))</x:f>
      </x:c>
      <x:c r="DG103" s="107" t="n">
        <x:f>SUM(IF($B$8=2,DG27,0),IF($B$36=2,DG55,0),IF($B$64=2,DG83,0))</x:f>
      </x:c>
      <x:c r="DH103" s="107" t="n">
        <x:f>SUM(IF($B$8=2,DH27,0),IF($B$36=2,DH55,0),IF($B$64=2,DH83,0))</x:f>
      </x:c>
      <x:c r="DI103" s="107" t="n">
        <x:f>SUM(IF($B$8=2,DI27,0),IF($B$36=2,DI55,0),IF($B$64=2,DI83,0))</x:f>
      </x:c>
      <x:c r="DJ103" s="107" t="n">
        <x:f>SUM(IF($B$8=2,DJ27,0),IF($B$36=2,DJ55,0),IF($B$64=2,DJ83,0))</x:f>
      </x:c>
      <x:c r="DK103" s="107" t="n">
        <x:f>SUM(IF($B$8=2,DK27,0),IF($B$36=2,DK55,0),IF($B$64=2,DK83,0))</x:f>
      </x:c>
      <x:c r="DL103" s="107" t="n">
        <x:f>SUM(IF($B$8=2,DL27,0),IF($B$36=2,DL55,0),IF($B$64=2,DL83,0))</x:f>
      </x:c>
      <x:c r="DM103" s="107" t="n">
        <x:f>SUM(IF($B$8=2,DM27,0),IF($B$36=2,DM55,0),IF($B$64=2,DM83,0))</x:f>
      </x:c>
      <x:c r="DN103" s="107" t="n">
        <x:f>SUM(IF($B$8=2,DN27,0),IF($B$36=2,DN55,0),IF($B$64=2,DN83,0))</x:f>
      </x:c>
      <x:c r="DO103" s="107" t="n">
        <x:f>SUM(IF($B$8=2,DO27,0),IF($B$36=2,DO55,0),IF($B$64=2,DO83,0))</x:f>
      </x:c>
      <x:c r="DP103" s="107" t="n">
        <x:f>SUM(IF($B$8=2,DP27,0),IF($B$36=2,DP55,0),IF($B$64=2,DP83,0))</x:f>
      </x:c>
      <x:c r="DQ103" s="107" t="n">
        <x:f>SUM(IF($B$8=2,DQ27,0),IF($B$36=2,DQ55,0),IF($B$64=2,DQ83,0))</x:f>
      </x:c>
      <x:c r="DR103" s="107" t="n">
        <x:f>SUM(IF($B$8=2,DR27,0),IF($B$36=2,DR55,0),IF($B$64=2,DR83,0))</x:f>
      </x:c>
      <x:c r="DS103" s="107" t="n">
        <x:f>SUM(IF($B$8=2,DS27,0),IF($B$36=2,DS55,0),IF($B$64=2,DS83,0))</x:f>
      </x:c>
    </x:row>
    <x:row r="104">
      <x:c r="A104" t="str">
        <x:v>Очередь 2 — CAPEX объектов</x:v>
      </x:c>
      <x:c r="B104" s="107" t="n">
        <x:f>SUM(D104:DS104)</x:f>
      </x:c>
      <x:c r="C104" t="str">
        <x:v>млн ₽</x:v>
      </x:c>
      <x:c r="D104" s="107" t="n">
        <x:f>SUM(IF($B$8=2,D28,0),IF($B$36=2,D56,0),IF($B$64=2,D84,0))</x:f>
      </x:c>
      <x:c r="E104" s="107" t="n">
        <x:f>SUM(IF($B$8=2,E28,0),IF($B$36=2,E56,0),IF($B$64=2,E84,0))</x:f>
      </x:c>
      <x:c r="F104" s="107" t="n">
        <x:f>SUM(IF($B$8=2,F28,0),IF($B$36=2,F56,0),IF($B$64=2,F84,0))</x:f>
      </x:c>
      <x:c r="G104" s="107" t="n">
        <x:f>SUM(IF($B$8=2,G28,0),IF($B$36=2,G56,0),IF($B$64=2,G84,0))</x:f>
      </x:c>
      <x:c r="H104" s="107" t="n">
        <x:f>SUM(IF($B$8=2,H28,0),IF($B$36=2,H56,0),IF($B$64=2,H84,0))</x:f>
      </x:c>
      <x:c r="I104" s="107" t="n">
        <x:f>SUM(IF($B$8=2,I28,0),IF($B$36=2,I56,0),IF($B$64=2,I84,0))</x:f>
      </x:c>
      <x:c r="J104" s="107" t="n">
        <x:f>SUM(IF($B$8=2,J28,0),IF($B$36=2,J56,0),IF($B$64=2,J84,0))</x:f>
      </x:c>
      <x:c r="K104" s="107" t="n">
        <x:f>SUM(IF($B$8=2,K28,0),IF($B$36=2,K56,0),IF($B$64=2,K84,0))</x:f>
      </x:c>
      <x:c r="L104" s="107" t="n">
        <x:f>SUM(IF($B$8=2,L28,0),IF($B$36=2,L56,0),IF($B$64=2,L84,0))</x:f>
      </x:c>
      <x:c r="M104" s="107" t="n">
        <x:f>SUM(IF($B$8=2,M28,0),IF($B$36=2,M56,0),IF($B$64=2,M84,0))</x:f>
      </x:c>
      <x:c r="N104" s="107" t="n">
        <x:f>SUM(IF($B$8=2,N28,0),IF($B$36=2,N56,0),IF($B$64=2,N84,0))</x:f>
      </x:c>
      <x:c r="O104" s="107" t="n">
        <x:f>SUM(IF($B$8=2,O28,0),IF($B$36=2,O56,0),IF($B$64=2,O84,0))</x:f>
      </x:c>
      <x:c r="P104" s="107" t="n">
        <x:f>SUM(IF($B$8=2,P28,0),IF($B$36=2,P56,0),IF($B$64=2,P84,0))</x:f>
      </x:c>
      <x:c r="Q104" s="107" t="n">
        <x:f>SUM(IF($B$8=2,Q28,0),IF($B$36=2,Q56,0),IF($B$64=2,Q84,0))</x:f>
      </x:c>
      <x:c r="R104" s="107" t="n">
        <x:f>SUM(IF($B$8=2,R28,0),IF($B$36=2,R56,0),IF($B$64=2,R84,0))</x:f>
      </x:c>
      <x:c r="S104" s="107" t="n">
        <x:f>SUM(IF($B$8=2,S28,0),IF($B$36=2,S56,0),IF($B$64=2,S84,0))</x:f>
      </x:c>
      <x:c r="T104" s="107" t="n">
        <x:f>SUM(IF($B$8=2,T28,0),IF($B$36=2,T56,0),IF($B$64=2,T84,0))</x:f>
      </x:c>
      <x:c r="U104" s="107" t="n">
        <x:f>SUM(IF($B$8=2,U28,0),IF($B$36=2,U56,0),IF($B$64=2,U84,0))</x:f>
      </x:c>
      <x:c r="V104" s="107" t="n">
        <x:f>SUM(IF($B$8=2,V28,0),IF($B$36=2,V56,0),IF($B$64=2,V84,0))</x:f>
      </x:c>
      <x:c r="W104" s="107" t="n">
        <x:f>SUM(IF($B$8=2,W28,0),IF($B$36=2,W56,0),IF($B$64=2,W84,0))</x:f>
      </x:c>
      <x:c r="X104" s="107" t="n">
        <x:f>SUM(IF($B$8=2,X28,0),IF($B$36=2,X56,0),IF($B$64=2,X84,0))</x:f>
      </x:c>
      <x:c r="Y104" s="107" t="n">
        <x:f>SUM(IF($B$8=2,Y28,0),IF($B$36=2,Y56,0),IF($B$64=2,Y84,0))</x:f>
      </x:c>
      <x:c r="Z104" s="107" t="n">
        <x:f>SUM(IF($B$8=2,Z28,0),IF($B$36=2,Z56,0),IF($B$64=2,Z84,0))</x:f>
      </x:c>
      <x:c r="AA104" s="107" t="n">
        <x:f>SUM(IF($B$8=2,AA28,0),IF($B$36=2,AA56,0),IF($B$64=2,AA84,0))</x:f>
      </x:c>
      <x:c r="AB104" s="107" t="n">
        <x:f>SUM(IF($B$8=2,AB28,0),IF($B$36=2,AB56,0),IF($B$64=2,AB84,0))</x:f>
      </x:c>
      <x:c r="AC104" s="107" t="n">
        <x:f>SUM(IF($B$8=2,AC28,0),IF($B$36=2,AC56,0),IF($B$64=2,AC84,0))</x:f>
      </x:c>
      <x:c r="AD104" s="107" t="n">
        <x:f>SUM(IF($B$8=2,AD28,0),IF($B$36=2,AD56,0),IF($B$64=2,AD84,0))</x:f>
      </x:c>
      <x:c r="AE104" s="107" t="n">
        <x:f>SUM(IF($B$8=2,AE28,0),IF($B$36=2,AE56,0),IF($B$64=2,AE84,0))</x:f>
      </x:c>
      <x:c r="AF104" s="107" t="n">
        <x:f>SUM(IF($B$8=2,AF28,0),IF($B$36=2,AF56,0),IF($B$64=2,AF84,0))</x:f>
      </x:c>
      <x:c r="AG104" s="107" t="n">
        <x:f>SUM(IF($B$8=2,AG28,0),IF($B$36=2,AG56,0),IF($B$64=2,AG84,0))</x:f>
      </x:c>
      <x:c r="AH104" s="107" t="n">
        <x:f>SUM(IF($B$8=2,AH28,0),IF($B$36=2,AH56,0),IF($B$64=2,AH84,0))</x:f>
      </x:c>
      <x:c r="AI104" s="107" t="n">
        <x:f>SUM(IF($B$8=2,AI28,0),IF($B$36=2,AI56,0),IF($B$64=2,AI84,0))</x:f>
      </x:c>
      <x:c r="AJ104" s="107" t="n">
        <x:f>SUM(IF($B$8=2,AJ28,0),IF($B$36=2,AJ56,0),IF($B$64=2,AJ84,0))</x:f>
      </x:c>
      <x:c r="AK104" s="107" t="n">
        <x:f>SUM(IF($B$8=2,AK28,0),IF($B$36=2,AK56,0),IF($B$64=2,AK84,0))</x:f>
      </x:c>
      <x:c r="AL104" s="107" t="n">
        <x:f>SUM(IF($B$8=2,AL28,0),IF($B$36=2,AL56,0),IF($B$64=2,AL84,0))</x:f>
      </x:c>
      <x:c r="AM104" s="107" t="n">
        <x:f>SUM(IF($B$8=2,AM28,0),IF($B$36=2,AM56,0),IF($B$64=2,AM84,0))</x:f>
      </x:c>
      <x:c r="AN104" s="107" t="n">
        <x:f>SUM(IF($B$8=2,AN28,0),IF($B$36=2,AN56,0),IF($B$64=2,AN84,0))</x:f>
      </x:c>
      <x:c r="AO104" s="107" t="n">
        <x:f>SUM(IF($B$8=2,AO28,0),IF($B$36=2,AO56,0),IF($B$64=2,AO84,0))</x:f>
      </x:c>
      <x:c r="AP104" s="107" t="n">
        <x:f>SUM(IF($B$8=2,AP28,0),IF($B$36=2,AP56,0),IF($B$64=2,AP84,0))</x:f>
      </x:c>
      <x:c r="AQ104" s="107" t="n">
        <x:f>SUM(IF($B$8=2,AQ28,0),IF($B$36=2,AQ56,0),IF($B$64=2,AQ84,0))</x:f>
      </x:c>
      <x:c r="AR104" s="107" t="n">
        <x:f>SUM(IF($B$8=2,AR28,0),IF($B$36=2,AR56,0),IF($B$64=2,AR84,0))</x:f>
      </x:c>
      <x:c r="AS104" s="107" t="n">
        <x:f>SUM(IF($B$8=2,AS28,0),IF($B$36=2,AS56,0),IF($B$64=2,AS84,0))</x:f>
      </x:c>
      <x:c r="AT104" s="107" t="n">
        <x:f>SUM(IF($B$8=2,AT28,0),IF($B$36=2,AT56,0),IF($B$64=2,AT84,0))</x:f>
      </x:c>
      <x:c r="AU104" s="107" t="n">
        <x:f>SUM(IF($B$8=2,AU28,0),IF($B$36=2,AU56,0),IF($B$64=2,AU84,0))</x:f>
      </x:c>
      <x:c r="AV104" s="107" t="n">
        <x:f>SUM(IF($B$8=2,AV28,0),IF($B$36=2,AV56,0),IF($B$64=2,AV84,0))</x:f>
      </x:c>
      <x:c r="AW104" s="107" t="n">
        <x:f>SUM(IF($B$8=2,AW28,0),IF($B$36=2,AW56,0),IF($B$64=2,AW84,0))</x:f>
      </x:c>
      <x:c r="AX104" s="107" t="n">
        <x:f>SUM(IF($B$8=2,AX28,0),IF($B$36=2,AX56,0),IF($B$64=2,AX84,0))</x:f>
      </x:c>
      <x:c r="AY104" s="107" t="n">
        <x:f>SUM(IF($B$8=2,AY28,0),IF($B$36=2,AY56,0),IF($B$64=2,AY84,0))</x:f>
      </x:c>
      <x:c r="AZ104" s="107" t="n">
        <x:f>SUM(IF($B$8=2,AZ28,0),IF($B$36=2,AZ56,0),IF($B$64=2,AZ84,0))</x:f>
      </x:c>
      <x:c r="BA104" s="107" t="n">
        <x:f>SUM(IF($B$8=2,BA28,0),IF($B$36=2,BA56,0),IF($B$64=2,BA84,0))</x:f>
      </x:c>
      <x:c r="BB104" s="107" t="n">
        <x:f>SUM(IF($B$8=2,BB28,0),IF($B$36=2,BB56,0),IF($B$64=2,BB84,0))</x:f>
      </x:c>
      <x:c r="BC104" s="107" t="n">
        <x:f>SUM(IF($B$8=2,BC28,0),IF($B$36=2,BC56,0),IF($B$64=2,BC84,0))</x:f>
      </x:c>
      <x:c r="BD104" s="107" t="n">
        <x:f>SUM(IF($B$8=2,BD28,0),IF($B$36=2,BD56,0),IF($B$64=2,BD84,0))</x:f>
      </x:c>
      <x:c r="BE104" s="107" t="n">
        <x:f>SUM(IF($B$8=2,BE28,0),IF($B$36=2,BE56,0),IF($B$64=2,BE84,0))</x:f>
      </x:c>
      <x:c r="BF104" s="107" t="n">
        <x:f>SUM(IF($B$8=2,BF28,0),IF($B$36=2,BF56,0),IF($B$64=2,BF84,0))</x:f>
      </x:c>
      <x:c r="BG104" s="107" t="n">
        <x:f>SUM(IF($B$8=2,BG28,0),IF($B$36=2,BG56,0),IF($B$64=2,BG84,0))</x:f>
      </x:c>
      <x:c r="BH104" s="107" t="n">
        <x:f>SUM(IF($B$8=2,BH28,0),IF($B$36=2,BH56,0),IF($B$64=2,BH84,0))</x:f>
      </x:c>
      <x:c r="BI104" s="107" t="n">
        <x:f>SUM(IF($B$8=2,BI28,0),IF($B$36=2,BI56,0),IF($B$64=2,BI84,0))</x:f>
      </x:c>
      <x:c r="BJ104" s="107" t="n">
        <x:f>SUM(IF($B$8=2,BJ28,0),IF($B$36=2,BJ56,0),IF($B$64=2,BJ84,0))</x:f>
      </x:c>
      <x:c r="BK104" s="107" t="n">
        <x:f>SUM(IF($B$8=2,BK28,0),IF($B$36=2,BK56,0),IF($B$64=2,BK84,0))</x:f>
      </x:c>
      <x:c r="BL104" s="107" t="n">
        <x:f>SUM(IF($B$8=2,BL28,0),IF($B$36=2,BL56,0),IF($B$64=2,BL84,0))</x:f>
      </x:c>
      <x:c r="BM104" s="107" t="n">
        <x:f>SUM(IF($B$8=2,BM28,0),IF($B$36=2,BM56,0),IF($B$64=2,BM84,0))</x:f>
      </x:c>
      <x:c r="BN104" s="107" t="n">
        <x:f>SUM(IF($B$8=2,BN28,0),IF($B$36=2,BN56,0),IF($B$64=2,BN84,0))</x:f>
      </x:c>
      <x:c r="BO104" s="107" t="n">
        <x:f>SUM(IF($B$8=2,BO28,0),IF($B$36=2,BO56,0),IF($B$64=2,BO84,0))</x:f>
      </x:c>
      <x:c r="BP104" s="107" t="n">
        <x:f>SUM(IF($B$8=2,BP28,0),IF($B$36=2,BP56,0),IF($B$64=2,BP84,0))</x:f>
      </x:c>
      <x:c r="BQ104" s="107" t="n">
        <x:f>SUM(IF($B$8=2,BQ28,0),IF($B$36=2,BQ56,0),IF($B$64=2,BQ84,0))</x:f>
      </x:c>
      <x:c r="BR104" s="107" t="n">
        <x:f>SUM(IF($B$8=2,BR28,0),IF($B$36=2,BR56,0),IF($B$64=2,BR84,0))</x:f>
      </x:c>
      <x:c r="BS104" s="107" t="n">
        <x:f>SUM(IF($B$8=2,BS28,0),IF($B$36=2,BS56,0),IF($B$64=2,BS84,0))</x:f>
      </x:c>
      <x:c r="BT104" s="107" t="n">
        <x:f>SUM(IF($B$8=2,BT28,0),IF($B$36=2,BT56,0),IF($B$64=2,BT84,0))</x:f>
      </x:c>
      <x:c r="BU104" s="107" t="n">
        <x:f>SUM(IF($B$8=2,BU28,0),IF($B$36=2,BU56,0),IF($B$64=2,BU84,0))</x:f>
      </x:c>
      <x:c r="BV104" s="107" t="n">
        <x:f>SUM(IF($B$8=2,BV28,0),IF($B$36=2,BV56,0),IF($B$64=2,BV84,0))</x:f>
      </x:c>
      <x:c r="BW104" s="107" t="n">
        <x:f>SUM(IF($B$8=2,BW28,0),IF($B$36=2,BW56,0),IF($B$64=2,BW84,0))</x:f>
      </x:c>
      <x:c r="BX104" s="107" t="n">
        <x:f>SUM(IF($B$8=2,BX28,0),IF($B$36=2,BX56,0),IF($B$64=2,BX84,0))</x:f>
      </x:c>
      <x:c r="BY104" s="107" t="n">
        <x:f>SUM(IF($B$8=2,BY28,0),IF($B$36=2,BY56,0),IF($B$64=2,BY84,0))</x:f>
      </x:c>
      <x:c r="BZ104" s="107" t="n">
        <x:f>SUM(IF($B$8=2,BZ28,0),IF($B$36=2,BZ56,0),IF($B$64=2,BZ84,0))</x:f>
      </x:c>
      <x:c r="CA104" s="107" t="n">
        <x:f>SUM(IF($B$8=2,CA28,0),IF($B$36=2,CA56,0),IF($B$64=2,CA84,0))</x:f>
      </x:c>
      <x:c r="CB104" s="107" t="n">
        <x:f>SUM(IF($B$8=2,CB28,0),IF($B$36=2,CB56,0),IF($B$64=2,CB84,0))</x:f>
      </x:c>
      <x:c r="CC104" s="107" t="n">
        <x:f>SUM(IF($B$8=2,CC28,0),IF($B$36=2,CC56,0),IF($B$64=2,CC84,0))</x:f>
      </x:c>
      <x:c r="CD104" s="107" t="n">
        <x:f>SUM(IF($B$8=2,CD28,0),IF($B$36=2,CD56,0),IF($B$64=2,CD84,0))</x:f>
      </x:c>
      <x:c r="CE104" s="107" t="n">
        <x:f>SUM(IF($B$8=2,CE28,0),IF($B$36=2,CE56,0),IF($B$64=2,CE84,0))</x:f>
      </x:c>
      <x:c r="CF104" s="107" t="n">
        <x:f>SUM(IF($B$8=2,CF28,0),IF($B$36=2,CF56,0),IF($B$64=2,CF84,0))</x:f>
      </x:c>
      <x:c r="CG104" s="107" t="n">
        <x:f>SUM(IF($B$8=2,CG28,0),IF($B$36=2,CG56,0),IF($B$64=2,CG84,0))</x:f>
      </x:c>
      <x:c r="CH104" s="107" t="n">
        <x:f>SUM(IF($B$8=2,CH28,0),IF($B$36=2,CH56,0),IF($B$64=2,CH84,0))</x:f>
      </x:c>
      <x:c r="CI104" s="107" t="n">
        <x:f>SUM(IF($B$8=2,CI28,0),IF($B$36=2,CI56,0),IF($B$64=2,CI84,0))</x:f>
      </x:c>
      <x:c r="CJ104" s="107" t="n">
        <x:f>SUM(IF($B$8=2,CJ28,0),IF($B$36=2,CJ56,0),IF($B$64=2,CJ84,0))</x:f>
      </x:c>
      <x:c r="CK104" s="107" t="n">
        <x:f>SUM(IF($B$8=2,CK28,0),IF($B$36=2,CK56,0),IF($B$64=2,CK84,0))</x:f>
      </x:c>
      <x:c r="CL104" s="107" t="n">
        <x:f>SUM(IF($B$8=2,CL28,0),IF($B$36=2,CL56,0),IF($B$64=2,CL84,0))</x:f>
      </x:c>
      <x:c r="CM104" s="107" t="n">
        <x:f>SUM(IF($B$8=2,CM28,0),IF($B$36=2,CM56,0),IF($B$64=2,CM84,0))</x:f>
      </x:c>
      <x:c r="CN104" s="107" t="n">
        <x:f>SUM(IF($B$8=2,CN28,0),IF($B$36=2,CN56,0),IF($B$64=2,CN84,0))</x:f>
      </x:c>
      <x:c r="CO104" s="107" t="n">
        <x:f>SUM(IF($B$8=2,CO28,0),IF($B$36=2,CO56,0),IF($B$64=2,CO84,0))</x:f>
      </x:c>
      <x:c r="CP104" s="107" t="n">
        <x:f>SUM(IF($B$8=2,CP28,0),IF($B$36=2,CP56,0),IF($B$64=2,CP84,0))</x:f>
      </x:c>
      <x:c r="CQ104" s="107" t="n">
        <x:f>SUM(IF($B$8=2,CQ28,0),IF($B$36=2,CQ56,0),IF($B$64=2,CQ84,0))</x:f>
      </x:c>
      <x:c r="CR104" s="107" t="n">
        <x:f>SUM(IF($B$8=2,CR28,0),IF($B$36=2,CR56,0),IF($B$64=2,CR84,0))</x:f>
      </x:c>
      <x:c r="CS104" s="107" t="n">
        <x:f>SUM(IF($B$8=2,CS28,0),IF($B$36=2,CS56,0),IF($B$64=2,CS84,0))</x:f>
      </x:c>
      <x:c r="CT104" s="107" t="n">
        <x:f>SUM(IF($B$8=2,CT28,0),IF($B$36=2,CT56,0),IF($B$64=2,CT84,0))</x:f>
      </x:c>
      <x:c r="CU104" s="107" t="n">
        <x:f>SUM(IF($B$8=2,CU28,0),IF($B$36=2,CU56,0),IF($B$64=2,CU84,0))</x:f>
      </x:c>
      <x:c r="CV104" s="107" t="n">
        <x:f>SUM(IF($B$8=2,CV28,0),IF($B$36=2,CV56,0),IF($B$64=2,CV84,0))</x:f>
      </x:c>
      <x:c r="CW104" s="107" t="n">
        <x:f>SUM(IF($B$8=2,CW28,0),IF($B$36=2,CW56,0),IF($B$64=2,CW84,0))</x:f>
      </x:c>
      <x:c r="CX104" s="107" t="n">
        <x:f>SUM(IF($B$8=2,CX28,0),IF($B$36=2,CX56,0),IF($B$64=2,CX84,0))</x:f>
      </x:c>
      <x:c r="CY104" s="107" t="n">
        <x:f>SUM(IF($B$8=2,CY28,0),IF($B$36=2,CY56,0),IF($B$64=2,CY84,0))</x:f>
      </x:c>
      <x:c r="CZ104" s="107" t="n">
        <x:f>SUM(IF($B$8=2,CZ28,0),IF($B$36=2,CZ56,0),IF($B$64=2,CZ84,0))</x:f>
      </x:c>
      <x:c r="DA104" s="107" t="n">
        <x:f>SUM(IF($B$8=2,DA28,0),IF($B$36=2,DA56,0),IF($B$64=2,DA84,0))</x:f>
      </x:c>
      <x:c r="DB104" s="107" t="n">
        <x:f>SUM(IF($B$8=2,DB28,0),IF($B$36=2,DB56,0),IF($B$64=2,DB84,0))</x:f>
      </x:c>
      <x:c r="DC104" s="107" t="n">
        <x:f>SUM(IF($B$8=2,DC28,0),IF($B$36=2,DC56,0),IF($B$64=2,DC84,0))</x:f>
      </x:c>
      <x:c r="DD104" s="107" t="n">
        <x:f>SUM(IF($B$8=2,DD28,0),IF($B$36=2,DD56,0),IF($B$64=2,DD84,0))</x:f>
      </x:c>
      <x:c r="DE104" s="107" t="n">
        <x:f>SUM(IF($B$8=2,DE28,0),IF($B$36=2,DE56,0),IF($B$64=2,DE84,0))</x:f>
      </x:c>
      <x:c r="DF104" s="107" t="n">
        <x:f>SUM(IF($B$8=2,DF28,0),IF($B$36=2,DF56,0),IF($B$64=2,DF84,0))</x:f>
      </x:c>
      <x:c r="DG104" s="107" t="n">
        <x:f>SUM(IF($B$8=2,DG28,0),IF($B$36=2,DG56,0),IF($B$64=2,DG84,0))</x:f>
      </x:c>
      <x:c r="DH104" s="107" t="n">
        <x:f>SUM(IF($B$8=2,DH28,0),IF($B$36=2,DH56,0),IF($B$64=2,DH84,0))</x:f>
      </x:c>
      <x:c r="DI104" s="107" t="n">
        <x:f>SUM(IF($B$8=2,DI28,0),IF($B$36=2,DI56,0),IF($B$64=2,DI84,0))</x:f>
      </x:c>
      <x:c r="DJ104" s="107" t="n">
        <x:f>SUM(IF($B$8=2,DJ28,0),IF($B$36=2,DJ56,0),IF($B$64=2,DJ84,0))</x:f>
      </x:c>
      <x:c r="DK104" s="107" t="n">
        <x:f>SUM(IF($B$8=2,DK28,0),IF($B$36=2,DK56,0),IF($B$64=2,DK84,0))</x:f>
      </x:c>
      <x:c r="DL104" s="107" t="n">
        <x:f>SUM(IF($B$8=2,DL28,0),IF($B$36=2,DL56,0),IF($B$64=2,DL84,0))</x:f>
      </x:c>
      <x:c r="DM104" s="107" t="n">
        <x:f>SUM(IF($B$8=2,DM28,0),IF($B$36=2,DM56,0),IF($B$64=2,DM84,0))</x:f>
      </x:c>
      <x:c r="DN104" s="107" t="n">
        <x:f>SUM(IF($B$8=2,DN28,0),IF($B$36=2,DN56,0),IF($B$64=2,DN84,0))</x:f>
      </x:c>
      <x:c r="DO104" s="107" t="n">
        <x:f>SUM(IF($B$8=2,DO28,0),IF($B$36=2,DO56,0),IF($B$64=2,DO84,0))</x:f>
      </x:c>
      <x:c r="DP104" s="107" t="n">
        <x:f>SUM(IF($B$8=2,DP28,0),IF($B$36=2,DP56,0),IF($B$64=2,DP84,0))</x:f>
      </x:c>
      <x:c r="DQ104" s="107" t="n">
        <x:f>SUM(IF($B$8=2,DQ28,0),IF($B$36=2,DQ56,0),IF($B$64=2,DQ84,0))</x:f>
      </x:c>
      <x:c r="DR104" s="107" t="n">
        <x:f>SUM(IF($B$8=2,DR28,0),IF($B$36=2,DR56,0),IF($B$64=2,DR84,0))</x:f>
      </x:c>
      <x:c r="DS104" s="107" t="n">
        <x:f>SUM(IF($B$8=2,DS28,0),IF($B$36=2,DS56,0),IF($B$64=2,DS84,0))</x:f>
      </x:c>
    </x:row>
    <x:row r="105">
      <x:c r="A105" t="str">
        <x:v>Очередь 2 — Маркетинг объектов</x:v>
      </x:c>
      <x:c r="B105" s="107" t="n">
        <x:f>SUM(D105:DS105)</x:f>
      </x:c>
      <x:c r="C105" t="str">
        <x:v>млн ₽</x:v>
      </x:c>
      <x:c r="D105" s="107" t="n">
        <x:f>SUM(IF($B$8=2,D29,0),IF($B$36=2,D57,0),IF($B$64=2,D85,0))</x:f>
      </x:c>
      <x:c r="E105" s="107" t="n">
        <x:f>SUM(IF($B$8=2,E29,0),IF($B$36=2,E57,0),IF($B$64=2,E85,0))</x:f>
      </x:c>
      <x:c r="F105" s="107" t="n">
        <x:f>SUM(IF($B$8=2,F29,0),IF($B$36=2,F57,0),IF($B$64=2,F85,0))</x:f>
      </x:c>
      <x:c r="G105" s="107" t="n">
        <x:f>SUM(IF($B$8=2,G29,0),IF($B$36=2,G57,0),IF($B$64=2,G85,0))</x:f>
      </x:c>
      <x:c r="H105" s="107" t="n">
        <x:f>SUM(IF($B$8=2,H29,0),IF($B$36=2,H57,0),IF($B$64=2,H85,0))</x:f>
      </x:c>
      <x:c r="I105" s="107" t="n">
        <x:f>SUM(IF($B$8=2,I29,0),IF($B$36=2,I57,0),IF($B$64=2,I85,0))</x:f>
      </x:c>
      <x:c r="J105" s="107" t="n">
        <x:f>SUM(IF($B$8=2,J29,0),IF($B$36=2,J57,0),IF($B$64=2,J85,0))</x:f>
      </x:c>
      <x:c r="K105" s="107" t="n">
        <x:f>SUM(IF($B$8=2,K29,0),IF($B$36=2,K57,0),IF($B$64=2,K85,0))</x:f>
      </x:c>
      <x:c r="L105" s="107" t="n">
        <x:f>SUM(IF($B$8=2,L29,0),IF($B$36=2,L57,0),IF($B$64=2,L85,0))</x:f>
      </x:c>
      <x:c r="M105" s="107" t="n">
        <x:f>SUM(IF($B$8=2,M29,0),IF($B$36=2,M57,0),IF($B$64=2,M85,0))</x:f>
      </x:c>
      <x:c r="N105" s="107" t="n">
        <x:f>SUM(IF($B$8=2,N29,0),IF($B$36=2,N57,0),IF($B$64=2,N85,0))</x:f>
      </x:c>
      <x:c r="O105" s="107" t="n">
        <x:f>SUM(IF($B$8=2,O29,0),IF($B$36=2,O57,0),IF($B$64=2,O85,0))</x:f>
      </x:c>
      <x:c r="P105" s="107" t="n">
        <x:f>SUM(IF($B$8=2,P29,0),IF($B$36=2,P57,0),IF($B$64=2,P85,0))</x:f>
      </x:c>
      <x:c r="Q105" s="107" t="n">
        <x:f>SUM(IF($B$8=2,Q29,0),IF($B$36=2,Q57,0),IF($B$64=2,Q85,0))</x:f>
      </x:c>
      <x:c r="R105" s="107" t="n">
        <x:f>SUM(IF($B$8=2,R29,0),IF($B$36=2,R57,0),IF($B$64=2,R85,0))</x:f>
      </x:c>
      <x:c r="S105" s="107" t="n">
        <x:f>SUM(IF($B$8=2,S29,0),IF($B$36=2,S57,0),IF($B$64=2,S85,0))</x:f>
      </x:c>
      <x:c r="T105" s="107" t="n">
        <x:f>SUM(IF($B$8=2,T29,0),IF($B$36=2,T57,0),IF($B$64=2,T85,0))</x:f>
      </x:c>
      <x:c r="U105" s="107" t="n">
        <x:f>SUM(IF($B$8=2,U29,0),IF($B$36=2,U57,0),IF($B$64=2,U85,0))</x:f>
      </x:c>
      <x:c r="V105" s="107" t="n">
        <x:f>SUM(IF($B$8=2,V29,0),IF($B$36=2,V57,0),IF($B$64=2,V85,0))</x:f>
      </x:c>
      <x:c r="W105" s="107" t="n">
        <x:f>SUM(IF($B$8=2,W29,0),IF($B$36=2,W57,0),IF($B$64=2,W85,0))</x:f>
      </x:c>
      <x:c r="X105" s="107" t="n">
        <x:f>SUM(IF($B$8=2,X29,0),IF($B$36=2,X57,0),IF($B$64=2,X85,0))</x:f>
      </x:c>
      <x:c r="Y105" s="107" t="n">
        <x:f>SUM(IF($B$8=2,Y29,0),IF($B$36=2,Y57,0),IF($B$64=2,Y85,0))</x:f>
      </x:c>
      <x:c r="Z105" s="107" t="n">
        <x:f>SUM(IF($B$8=2,Z29,0),IF($B$36=2,Z57,0),IF($B$64=2,Z85,0))</x:f>
      </x:c>
      <x:c r="AA105" s="107" t="n">
        <x:f>SUM(IF($B$8=2,AA29,0),IF($B$36=2,AA57,0),IF($B$64=2,AA85,0))</x:f>
      </x:c>
      <x:c r="AB105" s="107" t="n">
        <x:f>SUM(IF($B$8=2,AB29,0),IF($B$36=2,AB57,0),IF($B$64=2,AB85,0))</x:f>
      </x:c>
      <x:c r="AC105" s="107" t="n">
        <x:f>SUM(IF($B$8=2,AC29,0),IF($B$36=2,AC57,0),IF($B$64=2,AC85,0))</x:f>
      </x:c>
      <x:c r="AD105" s="107" t="n">
        <x:f>SUM(IF($B$8=2,AD29,0),IF($B$36=2,AD57,0),IF($B$64=2,AD85,0))</x:f>
      </x:c>
      <x:c r="AE105" s="107" t="n">
        <x:f>SUM(IF($B$8=2,AE29,0),IF($B$36=2,AE57,0),IF($B$64=2,AE85,0))</x:f>
      </x:c>
      <x:c r="AF105" s="107" t="n">
        <x:f>SUM(IF($B$8=2,AF29,0),IF($B$36=2,AF57,0),IF($B$64=2,AF85,0))</x:f>
      </x:c>
      <x:c r="AG105" s="107" t="n">
        <x:f>SUM(IF($B$8=2,AG29,0),IF($B$36=2,AG57,0),IF($B$64=2,AG85,0))</x:f>
      </x:c>
      <x:c r="AH105" s="107" t="n">
        <x:f>SUM(IF($B$8=2,AH29,0),IF($B$36=2,AH57,0),IF($B$64=2,AH85,0))</x:f>
      </x:c>
      <x:c r="AI105" s="107" t="n">
        <x:f>SUM(IF($B$8=2,AI29,0),IF($B$36=2,AI57,0),IF($B$64=2,AI85,0))</x:f>
      </x:c>
      <x:c r="AJ105" s="107" t="n">
        <x:f>SUM(IF($B$8=2,AJ29,0),IF($B$36=2,AJ57,0),IF($B$64=2,AJ85,0))</x:f>
      </x:c>
      <x:c r="AK105" s="107" t="n">
        <x:f>SUM(IF($B$8=2,AK29,0),IF($B$36=2,AK57,0),IF($B$64=2,AK85,0))</x:f>
      </x:c>
      <x:c r="AL105" s="107" t="n">
        <x:f>SUM(IF($B$8=2,AL29,0),IF($B$36=2,AL57,0),IF($B$64=2,AL85,0))</x:f>
      </x:c>
      <x:c r="AM105" s="107" t="n">
        <x:f>SUM(IF($B$8=2,AM29,0),IF($B$36=2,AM57,0),IF($B$64=2,AM85,0))</x:f>
      </x:c>
      <x:c r="AN105" s="107" t="n">
        <x:f>SUM(IF($B$8=2,AN29,0),IF($B$36=2,AN57,0),IF($B$64=2,AN85,0))</x:f>
      </x:c>
      <x:c r="AO105" s="107" t="n">
        <x:f>SUM(IF($B$8=2,AO29,0),IF($B$36=2,AO57,0),IF($B$64=2,AO85,0))</x:f>
      </x:c>
      <x:c r="AP105" s="107" t="n">
        <x:f>SUM(IF($B$8=2,AP29,0),IF($B$36=2,AP57,0),IF($B$64=2,AP85,0))</x:f>
      </x:c>
      <x:c r="AQ105" s="107" t="n">
        <x:f>SUM(IF($B$8=2,AQ29,0),IF($B$36=2,AQ57,0),IF($B$64=2,AQ85,0))</x:f>
      </x:c>
      <x:c r="AR105" s="107" t="n">
        <x:f>SUM(IF($B$8=2,AR29,0),IF($B$36=2,AR57,0),IF($B$64=2,AR85,0))</x:f>
      </x:c>
      <x:c r="AS105" s="107" t="n">
        <x:f>SUM(IF($B$8=2,AS29,0),IF($B$36=2,AS57,0),IF($B$64=2,AS85,0))</x:f>
      </x:c>
      <x:c r="AT105" s="107" t="n">
        <x:f>SUM(IF($B$8=2,AT29,0),IF($B$36=2,AT57,0),IF($B$64=2,AT85,0))</x:f>
      </x:c>
      <x:c r="AU105" s="107" t="n">
        <x:f>SUM(IF($B$8=2,AU29,0),IF($B$36=2,AU57,0),IF($B$64=2,AU85,0))</x:f>
      </x:c>
      <x:c r="AV105" s="107" t="n">
        <x:f>SUM(IF($B$8=2,AV29,0),IF($B$36=2,AV57,0),IF($B$64=2,AV85,0))</x:f>
      </x:c>
      <x:c r="AW105" s="107" t="n">
        <x:f>SUM(IF($B$8=2,AW29,0),IF($B$36=2,AW57,0),IF($B$64=2,AW85,0))</x:f>
      </x:c>
      <x:c r="AX105" s="107" t="n">
        <x:f>SUM(IF($B$8=2,AX29,0),IF($B$36=2,AX57,0),IF($B$64=2,AX85,0))</x:f>
      </x:c>
      <x:c r="AY105" s="107" t="n">
        <x:f>SUM(IF($B$8=2,AY29,0),IF($B$36=2,AY57,0),IF($B$64=2,AY85,0))</x:f>
      </x:c>
      <x:c r="AZ105" s="107" t="n">
        <x:f>SUM(IF($B$8=2,AZ29,0),IF($B$36=2,AZ57,0),IF($B$64=2,AZ85,0))</x:f>
      </x:c>
      <x:c r="BA105" s="107" t="n">
        <x:f>SUM(IF($B$8=2,BA29,0),IF($B$36=2,BA57,0),IF($B$64=2,BA85,0))</x:f>
      </x:c>
      <x:c r="BB105" s="107" t="n">
        <x:f>SUM(IF($B$8=2,BB29,0),IF($B$36=2,BB57,0),IF($B$64=2,BB85,0))</x:f>
      </x:c>
      <x:c r="BC105" s="107" t="n">
        <x:f>SUM(IF($B$8=2,BC29,0),IF($B$36=2,BC57,0),IF($B$64=2,BC85,0))</x:f>
      </x:c>
      <x:c r="BD105" s="107" t="n">
        <x:f>SUM(IF($B$8=2,BD29,0),IF($B$36=2,BD57,0),IF($B$64=2,BD85,0))</x:f>
      </x:c>
      <x:c r="BE105" s="107" t="n">
        <x:f>SUM(IF($B$8=2,BE29,0),IF($B$36=2,BE57,0),IF($B$64=2,BE85,0))</x:f>
      </x:c>
      <x:c r="BF105" s="107" t="n">
        <x:f>SUM(IF($B$8=2,BF29,0),IF($B$36=2,BF57,0),IF($B$64=2,BF85,0))</x:f>
      </x:c>
      <x:c r="BG105" s="107" t="n">
        <x:f>SUM(IF($B$8=2,BG29,0),IF($B$36=2,BG57,0),IF($B$64=2,BG85,0))</x:f>
      </x:c>
      <x:c r="BH105" s="107" t="n">
        <x:f>SUM(IF($B$8=2,BH29,0),IF($B$36=2,BH57,0),IF($B$64=2,BH85,0))</x:f>
      </x:c>
      <x:c r="BI105" s="107" t="n">
        <x:f>SUM(IF($B$8=2,BI29,0),IF($B$36=2,BI57,0),IF($B$64=2,BI85,0))</x:f>
      </x:c>
      <x:c r="BJ105" s="107" t="n">
        <x:f>SUM(IF($B$8=2,BJ29,0),IF($B$36=2,BJ57,0),IF($B$64=2,BJ85,0))</x:f>
      </x:c>
      <x:c r="BK105" s="107" t="n">
        <x:f>SUM(IF($B$8=2,BK29,0),IF($B$36=2,BK57,0),IF($B$64=2,BK85,0))</x:f>
      </x:c>
      <x:c r="BL105" s="107" t="n">
        <x:f>SUM(IF($B$8=2,BL29,0),IF($B$36=2,BL57,0),IF($B$64=2,BL85,0))</x:f>
      </x:c>
      <x:c r="BM105" s="107" t="n">
        <x:f>SUM(IF($B$8=2,BM29,0),IF($B$36=2,BM57,0),IF($B$64=2,BM85,0))</x:f>
      </x:c>
      <x:c r="BN105" s="107" t="n">
        <x:f>SUM(IF($B$8=2,BN29,0),IF($B$36=2,BN57,0),IF($B$64=2,BN85,0))</x:f>
      </x:c>
      <x:c r="BO105" s="107" t="n">
        <x:f>SUM(IF($B$8=2,BO29,0),IF($B$36=2,BO57,0),IF($B$64=2,BO85,0))</x:f>
      </x:c>
      <x:c r="BP105" s="107" t="n">
        <x:f>SUM(IF($B$8=2,BP29,0),IF($B$36=2,BP57,0),IF($B$64=2,BP85,0))</x:f>
      </x:c>
      <x:c r="BQ105" s="107" t="n">
        <x:f>SUM(IF($B$8=2,BQ29,0),IF($B$36=2,BQ57,0),IF($B$64=2,BQ85,0))</x:f>
      </x:c>
      <x:c r="BR105" s="107" t="n">
        <x:f>SUM(IF($B$8=2,BR29,0),IF($B$36=2,BR57,0),IF($B$64=2,BR85,0))</x:f>
      </x:c>
      <x:c r="BS105" s="107" t="n">
        <x:f>SUM(IF($B$8=2,BS29,0),IF($B$36=2,BS57,0),IF($B$64=2,BS85,0))</x:f>
      </x:c>
      <x:c r="BT105" s="107" t="n">
        <x:f>SUM(IF($B$8=2,BT29,0),IF($B$36=2,BT57,0),IF($B$64=2,BT85,0))</x:f>
      </x:c>
      <x:c r="BU105" s="107" t="n">
        <x:f>SUM(IF($B$8=2,BU29,0),IF($B$36=2,BU57,0),IF($B$64=2,BU85,0))</x:f>
      </x:c>
      <x:c r="BV105" s="107" t="n">
        <x:f>SUM(IF($B$8=2,BV29,0),IF($B$36=2,BV57,0),IF($B$64=2,BV85,0))</x:f>
      </x:c>
      <x:c r="BW105" s="107" t="n">
        <x:f>SUM(IF($B$8=2,BW29,0),IF($B$36=2,BW57,0),IF($B$64=2,BW85,0))</x:f>
      </x:c>
      <x:c r="BX105" s="107" t="n">
        <x:f>SUM(IF($B$8=2,BX29,0),IF($B$36=2,BX57,0),IF($B$64=2,BX85,0))</x:f>
      </x:c>
      <x:c r="BY105" s="107" t="n">
        <x:f>SUM(IF($B$8=2,BY29,0),IF($B$36=2,BY57,0),IF($B$64=2,BY85,0))</x:f>
      </x:c>
      <x:c r="BZ105" s="107" t="n">
        <x:f>SUM(IF($B$8=2,BZ29,0),IF($B$36=2,BZ57,0),IF($B$64=2,BZ85,0))</x:f>
      </x:c>
      <x:c r="CA105" s="107" t="n">
        <x:f>SUM(IF($B$8=2,CA29,0),IF($B$36=2,CA57,0),IF($B$64=2,CA85,0))</x:f>
      </x:c>
      <x:c r="CB105" s="107" t="n">
        <x:f>SUM(IF($B$8=2,CB29,0),IF($B$36=2,CB57,0),IF($B$64=2,CB85,0))</x:f>
      </x:c>
      <x:c r="CC105" s="107" t="n">
        <x:f>SUM(IF($B$8=2,CC29,0),IF($B$36=2,CC57,0),IF($B$64=2,CC85,0))</x:f>
      </x:c>
      <x:c r="CD105" s="107" t="n">
        <x:f>SUM(IF($B$8=2,CD29,0),IF($B$36=2,CD57,0),IF($B$64=2,CD85,0))</x:f>
      </x:c>
      <x:c r="CE105" s="107" t="n">
        <x:f>SUM(IF($B$8=2,CE29,0),IF($B$36=2,CE57,0),IF($B$64=2,CE85,0))</x:f>
      </x:c>
      <x:c r="CF105" s="107" t="n">
        <x:f>SUM(IF($B$8=2,CF29,0),IF($B$36=2,CF57,0),IF($B$64=2,CF85,0))</x:f>
      </x:c>
      <x:c r="CG105" s="107" t="n">
        <x:f>SUM(IF($B$8=2,CG29,0),IF($B$36=2,CG57,0),IF($B$64=2,CG85,0))</x:f>
      </x:c>
      <x:c r="CH105" s="107" t="n">
        <x:f>SUM(IF($B$8=2,CH29,0),IF($B$36=2,CH57,0),IF($B$64=2,CH85,0))</x:f>
      </x:c>
      <x:c r="CI105" s="107" t="n">
        <x:f>SUM(IF($B$8=2,CI29,0),IF($B$36=2,CI57,0),IF($B$64=2,CI85,0))</x:f>
      </x:c>
      <x:c r="CJ105" s="107" t="n">
        <x:f>SUM(IF($B$8=2,CJ29,0),IF($B$36=2,CJ57,0),IF($B$64=2,CJ85,0))</x:f>
      </x:c>
      <x:c r="CK105" s="107" t="n">
        <x:f>SUM(IF($B$8=2,CK29,0),IF($B$36=2,CK57,0),IF($B$64=2,CK85,0))</x:f>
      </x:c>
      <x:c r="CL105" s="107" t="n">
        <x:f>SUM(IF($B$8=2,CL29,0),IF($B$36=2,CL57,0),IF($B$64=2,CL85,0))</x:f>
      </x:c>
      <x:c r="CM105" s="107" t="n">
        <x:f>SUM(IF($B$8=2,CM29,0),IF($B$36=2,CM57,0),IF($B$64=2,CM85,0))</x:f>
      </x:c>
      <x:c r="CN105" s="107" t="n">
        <x:f>SUM(IF($B$8=2,CN29,0),IF($B$36=2,CN57,0),IF($B$64=2,CN85,0))</x:f>
      </x:c>
      <x:c r="CO105" s="107" t="n">
        <x:f>SUM(IF($B$8=2,CO29,0),IF($B$36=2,CO57,0),IF($B$64=2,CO85,0))</x:f>
      </x:c>
      <x:c r="CP105" s="107" t="n">
        <x:f>SUM(IF($B$8=2,CP29,0),IF($B$36=2,CP57,0),IF($B$64=2,CP85,0))</x:f>
      </x:c>
      <x:c r="CQ105" s="107" t="n">
        <x:f>SUM(IF($B$8=2,CQ29,0),IF($B$36=2,CQ57,0),IF($B$64=2,CQ85,0))</x:f>
      </x:c>
      <x:c r="CR105" s="107" t="n">
        <x:f>SUM(IF($B$8=2,CR29,0),IF($B$36=2,CR57,0),IF($B$64=2,CR85,0))</x:f>
      </x:c>
      <x:c r="CS105" s="107" t="n">
        <x:f>SUM(IF($B$8=2,CS29,0),IF($B$36=2,CS57,0),IF($B$64=2,CS85,0))</x:f>
      </x:c>
      <x:c r="CT105" s="107" t="n">
        <x:f>SUM(IF($B$8=2,CT29,0),IF($B$36=2,CT57,0),IF($B$64=2,CT85,0))</x:f>
      </x:c>
      <x:c r="CU105" s="107" t="n">
        <x:f>SUM(IF($B$8=2,CU29,0),IF($B$36=2,CU57,0),IF($B$64=2,CU85,0))</x:f>
      </x:c>
      <x:c r="CV105" s="107" t="n">
        <x:f>SUM(IF($B$8=2,CV29,0),IF($B$36=2,CV57,0),IF($B$64=2,CV85,0))</x:f>
      </x:c>
      <x:c r="CW105" s="107" t="n">
        <x:f>SUM(IF($B$8=2,CW29,0),IF($B$36=2,CW57,0),IF($B$64=2,CW85,0))</x:f>
      </x:c>
      <x:c r="CX105" s="107" t="n">
        <x:f>SUM(IF($B$8=2,CX29,0),IF($B$36=2,CX57,0),IF($B$64=2,CX85,0))</x:f>
      </x:c>
      <x:c r="CY105" s="107" t="n">
        <x:f>SUM(IF($B$8=2,CY29,0),IF($B$36=2,CY57,0),IF($B$64=2,CY85,0))</x:f>
      </x:c>
      <x:c r="CZ105" s="107" t="n">
        <x:f>SUM(IF($B$8=2,CZ29,0),IF($B$36=2,CZ57,0),IF($B$64=2,CZ85,0))</x:f>
      </x:c>
      <x:c r="DA105" s="107" t="n">
        <x:f>SUM(IF($B$8=2,DA29,0),IF($B$36=2,DA57,0),IF($B$64=2,DA85,0))</x:f>
      </x:c>
      <x:c r="DB105" s="107" t="n">
        <x:f>SUM(IF($B$8=2,DB29,0),IF($B$36=2,DB57,0),IF($B$64=2,DB85,0))</x:f>
      </x:c>
      <x:c r="DC105" s="107" t="n">
        <x:f>SUM(IF($B$8=2,DC29,0),IF($B$36=2,DC57,0),IF($B$64=2,DC85,0))</x:f>
      </x:c>
      <x:c r="DD105" s="107" t="n">
        <x:f>SUM(IF($B$8=2,DD29,0),IF($B$36=2,DD57,0),IF($B$64=2,DD85,0))</x:f>
      </x:c>
      <x:c r="DE105" s="107" t="n">
        <x:f>SUM(IF($B$8=2,DE29,0),IF($B$36=2,DE57,0),IF($B$64=2,DE85,0))</x:f>
      </x:c>
      <x:c r="DF105" s="107" t="n">
        <x:f>SUM(IF($B$8=2,DF29,0),IF($B$36=2,DF57,0),IF($B$64=2,DF85,0))</x:f>
      </x:c>
      <x:c r="DG105" s="107" t="n">
        <x:f>SUM(IF($B$8=2,DG29,0),IF($B$36=2,DG57,0),IF($B$64=2,DG85,0))</x:f>
      </x:c>
      <x:c r="DH105" s="107" t="n">
        <x:f>SUM(IF($B$8=2,DH29,0),IF($B$36=2,DH57,0),IF($B$64=2,DH85,0))</x:f>
      </x:c>
      <x:c r="DI105" s="107" t="n">
        <x:f>SUM(IF($B$8=2,DI29,0),IF($B$36=2,DI57,0),IF($B$64=2,DI85,0))</x:f>
      </x:c>
      <x:c r="DJ105" s="107" t="n">
        <x:f>SUM(IF($B$8=2,DJ29,0),IF($B$36=2,DJ57,0),IF($B$64=2,DJ85,0))</x:f>
      </x:c>
      <x:c r="DK105" s="107" t="n">
        <x:f>SUM(IF($B$8=2,DK29,0),IF($B$36=2,DK57,0),IF($B$64=2,DK85,0))</x:f>
      </x:c>
      <x:c r="DL105" s="107" t="n">
        <x:f>SUM(IF($B$8=2,DL29,0),IF($B$36=2,DL57,0),IF($B$64=2,DL85,0))</x:f>
      </x:c>
      <x:c r="DM105" s="107" t="n">
        <x:f>SUM(IF($B$8=2,DM29,0),IF($B$36=2,DM57,0),IF($B$64=2,DM85,0))</x:f>
      </x:c>
      <x:c r="DN105" s="107" t="n">
        <x:f>SUM(IF($B$8=2,DN29,0),IF($B$36=2,DN57,0),IF($B$64=2,DN85,0))</x:f>
      </x:c>
      <x:c r="DO105" s="107" t="n">
        <x:f>SUM(IF($B$8=2,DO29,0),IF($B$36=2,DO57,0),IF($B$64=2,DO85,0))</x:f>
      </x:c>
      <x:c r="DP105" s="107" t="n">
        <x:f>SUM(IF($B$8=2,DP29,0),IF($B$36=2,DP57,0),IF($B$64=2,DP85,0))</x:f>
      </x:c>
      <x:c r="DQ105" s="107" t="n">
        <x:f>SUM(IF($B$8=2,DQ29,0),IF($B$36=2,DQ57,0),IF($B$64=2,DQ85,0))</x:f>
      </x:c>
      <x:c r="DR105" s="107" t="n">
        <x:f>SUM(IF($B$8=2,DR29,0),IF($B$36=2,DR57,0),IF($B$64=2,DR85,0))</x:f>
      </x:c>
      <x:c r="DS105" s="107" t="n">
        <x:f>SUM(IF($B$8=2,DS29,0),IF($B$36=2,DS57,0),IF($B$64=2,DS85,0))</x:f>
      </x:c>
    </x:row>
    <x:row r="106">
      <x:c r="A106" s="348" t="str">
        <x:v>Очередь 2 — Расходы на продажи объектов</x:v>
      </x:c>
      <x:c r="B106" s="348" t="n">
        <x:f>SUM(D106:DS106)</x:f>
      </x:c>
      <x:c r="C106" s="348" t="str">
        <x:v>млн ₽</x:v>
      </x:c>
      <x:c r="D106" s="348" t="n">
        <x:f>SUM(IF($B$8=2,D30,0),IF($B$36=2,D58,0),IF($B$64=2,D86,0))</x:f>
      </x:c>
      <x:c r="E106" s="348" t="n">
        <x:f>SUM(IF($B$8=2,E30,0),IF($B$36=2,E58,0),IF($B$64=2,E86,0))</x:f>
      </x:c>
      <x:c r="F106" s="348" t="n">
        <x:f>SUM(IF($B$8=2,F30,0),IF($B$36=2,F58,0),IF($B$64=2,F86,0))</x:f>
      </x:c>
      <x:c r="G106" s="348" t="n">
        <x:f>SUM(IF($B$8=2,G30,0),IF($B$36=2,G58,0),IF($B$64=2,G86,0))</x:f>
      </x:c>
      <x:c r="H106" s="348" t="n">
        <x:f>SUM(IF($B$8=2,H30,0),IF($B$36=2,H58,0),IF($B$64=2,H86,0))</x:f>
      </x:c>
      <x:c r="I106" s="348" t="n">
        <x:f>SUM(IF($B$8=2,I30,0),IF($B$36=2,I58,0),IF($B$64=2,I86,0))</x:f>
      </x:c>
      <x:c r="J106" s="348" t="n">
        <x:f>SUM(IF($B$8=2,J30,0),IF($B$36=2,J58,0),IF($B$64=2,J86,0))</x:f>
      </x:c>
      <x:c r="K106" s="348" t="n">
        <x:f>SUM(IF($B$8=2,K30,0),IF($B$36=2,K58,0),IF($B$64=2,K86,0))</x:f>
      </x:c>
      <x:c r="L106" s="348" t="n">
        <x:f>SUM(IF($B$8=2,L30,0),IF($B$36=2,L58,0),IF($B$64=2,L86,0))</x:f>
      </x:c>
      <x:c r="M106" s="348" t="n">
        <x:f>SUM(IF($B$8=2,M30,0),IF($B$36=2,M58,0),IF($B$64=2,M86,0))</x:f>
      </x:c>
      <x:c r="N106" s="348" t="n">
        <x:f>SUM(IF($B$8=2,N30,0),IF($B$36=2,N58,0),IF($B$64=2,N86,0))</x:f>
      </x:c>
      <x:c r="O106" s="348" t="n">
        <x:f>SUM(IF($B$8=2,O30,0),IF($B$36=2,O58,0),IF($B$64=2,O86,0))</x:f>
      </x:c>
      <x:c r="P106" s="348" t="n">
        <x:f>SUM(IF($B$8=2,P30,0),IF($B$36=2,P58,0),IF($B$64=2,P86,0))</x:f>
      </x:c>
      <x:c r="Q106" s="348" t="n">
        <x:f>SUM(IF($B$8=2,Q30,0),IF($B$36=2,Q58,0),IF($B$64=2,Q86,0))</x:f>
      </x:c>
      <x:c r="R106" s="348" t="n">
        <x:f>SUM(IF($B$8=2,R30,0),IF($B$36=2,R58,0),IF($B$64=2,R86,0))</x:f>
      </x:c>
      <x:c r="S106" s="348" t="n">
        <x:f>SUM(IF($B$8=2,S30,0),IF($B$36=2,S58,0),IF($B$64=2,S86,0))</x:f>
      </x:c>
      <x:c r="T106" s="348" t="n">
        <x:f>SUM(IF($B$8=2,T30,0),IF($B$36=2,T58,0),IF($B$64=2,T86,0))</x:f>
      </x:c>
      <x:c r="U106" s="348" t="n">
        <x:f>SUM(IF($B$8=2,U30,0),IF($B$36=2,U58,0),IF($B$64=2,U86,0))</x:f>
      </x:c>
      <x:c r="V106" s="348" t="n">
        <x:f>SUM(IF($B$8=2,V30,0),IF($B$36=2,V58,0),IF($B$64=2,V86,0))</x:f>
      </x:c>
      <x:c r="W106" s="348" t="n">
        <x:f>SUM(IF($B$8=2,W30,0),IF($B$36=2,W58,0),IF($B$64=2,W86,0))</x:f>
      </x:c>
      <x:c r="X106" s="348" t="n">
        <x:f>SUM(IF($B$8=2,X30,0),IF($B$36=2,X58,0),IF($B$64=2,X86,0))</x:f>
      </x:c>
      <x:c r="Y106" s="348" t="n">
        <x:f>SUM(IF($B$8=2,Y30,0),IF($B$36=2,Y58,0),IF($B$64=2,Y86,0))</x:f>
      </x:c>
      <x:c r="Z106" s="348" t="n">
        <x:f>SUM(IF($B$8=2,Z30,0),IF($B$36=2,Z58,0),IF($B$64=2,Z86,0))</x:f>
      </x:c>
      <x:c r="AA106" s="348" t="n">
        <x:f>SUM(IF($B$8=2,AA30,0),IF($B$36=2,AA58,0),IF($B$64=2,AA86,0))</x:f>
      </x:c>
      <x:c r="AB106" s="348" t="n">
        <x:f>SUM(IF($B$8=2,AB30,0),IF($B$36=2,AB58,0),IF($B$64=2,AB86,0))</x:f>
      </x:c>
      <x:c r="AC106" s="348" t="n">
        <x:f>SUM(IF($B$8=2,AC30,0),IF($B$36=2,AC58,0),IF($B$64=2,AC86,0))</x:f>
      </x:c>
      <x:c r="AD106" s="348" t="n">
        <x:f>SUM(IF($B$8=2,AD30,0),IF($B$36=2,AD58,0),IF($B$64=2,AD86,0))</x:f>
      </x:c>
      <x:c r="AE106" s="348" t="n">
        <x:f>SUM(IF($B$8=2,AE30,0),IF($B$36=2,AE58,0),IF($B$64=2,AE86,0))</x:f>
      </x:c>
      <x:c r="AF106" s="348" t="n">
        <x:f>SUM(IF($B$8=2,AF30,0),IF($B$36=2,AF58,0),IF($B$64=2,AF86,0))</x:f>
      </x:c>
      <x:c r="AG106" s="348" t="n">
        <x:f>SUM(IF($B$8=2,AG30,0),IF($B$36=2,AG58,0),IF($B$64=2,AG86,0))</x:f>
      </x:c>
      <x:c r="AH106" s="348" t="n">
        <x:f>SUM(IF($B$8=2,AH30,0),IF($B$36=2,AH58,0),IF($B$64=2,AH86,0))</x:f>
      </x:c>
      <x:c r="AI106" s="348" t="n">
        <x:f>SUM(IF($B$8=2,AI30,0),IF($B$36=2,AI58,0),IF($B$64=2,AI86,0))</x:f>
      </x:c>
      <x:c r="AJ106" s="348" t="n">
        <x:f>SUM(IF($B$8=2,AJ30,0),IF($B$36=2,AJ58,0),IF($B$64=2,AJ86,0))</x:f>
      </x:c>
      <x:c r="AK106" s="348" t="n">
        <x:f>SUM(IF($B$8=2,AK30,0),IF($B$36=2,AK58,0),IF($B$64=2,AK86,0))</x:f>
      </x:c>
      <x:c r="AL106" s="348" t="n">
        <x:f>SUM(IF($B$8=2,AL30,0),IF($B$36=2,AL58,0),IF($B$64=2,AL86,0))</x:f>
      </x:c>
      <x:c r="AM106" s="348" t="n">
        <x:f>SUM(IF($B$8=2,AM30,0),IF($B$36=2,AM58,0),IF($B$64=2,AM86,0))</x:f>
      </x:c>
      <x:c r="AN106" s="348" t="n">
        <x:f>SUM(IF($B$8=2,AN30,0),IF($B$36=2,AN58,0),IF($B$64=2,AN86,0))</x:f>
      </x:c>
      <x:c r="AO106" s="348" t="n">
        <x:f>SUM(IF($B$8=2,AO30,0),IF($B$36=2,AO58,0),IF($B$64=2,AO86,0))</x:f>
      </x:c>
      <x:c r="AP106" s="348" t="n">
        <x:f>SUM(IF($B$8=2,AP30,0),IF($B$36=2,AP58,0),IF($B$64=2,AP86,0))</x:f>
      </x:c>
      <x:c r="AQ106" s="348" t="n">
        <x:f>SUM(IF($B$8=2,AQ30,0),IF($B$36=2,AQ58,0),IF($B$64=2,AQ86,0))</x:f>
      </x:c>
      <x:c r="AR106" s="348" t="n">
        <x:f>SUM(IF($B$8=2,AR30,0),IF($B$36=2,AR58,0),IF($B$64=2,AR86,0))</x:f>
      </x:c>
      <x:c r="AS106" s="348" t="n">
        <x:f>SUM(IF($B$8=2,AS30,0),IF($B$36=2,AS58,0),IF($B$64=2,AS86,0))</x:f>
      </x:c>
      <x:c r="AT106" s="348" t="n">
        <x:f>SUM(IF($B$8=2,AT30,0),IF($B$36=2,AT58,0),IF($B$64=2,AT86,0))</x:f>
      </x:c>
      <x:c r="AU106" s="348" t="n">
        <x:f>SUM(IF($B$8=2,AU30,0),IF($B$36=2,AU58,0),IF($B$64=2,AU86,0))</x:f>
      </x:c>
      <x:c r="AV106" s="348" t="n">
        <x:f>SUM(IF($B$8=2,AV30,0),IF($B$36=2,AV58,0),IF($B$64=2,AV86,0))</x:f>
      </x:c>
      <x:c r="AW106" s="348" t="n">
        <x:f>SUM(IF($B$8=2,AW30,0),IF($B$36=2,AW58,0),IF($B$64=2,AW86,0))</x:f>
      </x:c>
      <x:c r="AX106" s="348" t="n">
        <x:f>SUM(IF($B$8=2,AX30,0),IF($B$36=2,AX58,0),IF($B$64=2,AX86,0))</x:f>
      </x:c>
      <x:c r="AY106" s="348" t="n">
        <x:f>SUM(IF($B$8=2,AY30,0),IF($B$36=2,AY58,0),IF($B$64=2,AY86,0))</x:f>
      </x:c>
      <x:c r="AZ106" s="348" t="n">
        <x:f>SUM(IF($B$8=2,AZ30,0),IF($B$36=2,AZ58,0),IF($B$64=2,AZ86,0))</x:f>
      </x:c>
      <x:c r="BA106" s="348" t="n">
        <x:f>SUM(IF($B$8=2,BA30,0),IF($B$36=2,BA58,0),IF($B$64=2,BA86,0))</x:f>
      </x:c>
      <x:c r="BB106" s="348" t="n">
        <x:f>SUM(IF($B$8=2,BB30,0),IF($B$36=2,BB58,0),IF($B$64=2,BB86,0))</x:f>
      </x:c>
      <x:c r="BC106" s="348" t="n">
        <x:f>SUM(IF($B$8=2,BC30,0),IF($B$36=2,BC58,0),IF($B$64=2,BC86,0))</x:f>
      </x:c>
      <x:c r="BD106" s="348" t="n">
        <x:f>SUM(IF($B$8=2,BD30,0),IF($B$36=2,BD58,0),IF($B$64=2,BD86,0))</x:f>
      </x:c>
      <x:c r="BE106" s="348" t="n">
        <x:f>SUM(IF($B$8=2,BE30,0),IF($B$36=2,BE58,0),IF($B$64=2,BE86,0))</x:f>
      </x:c>
      <x:c r="BF106" s="348" t="n">
        <x:f>SUM(IF($B$8=2,BF30,0),IF($B$36=2,BF58,0),IF($B$64=2,BF86,0))</x:f>
      </x:c>
      <x:c r="BG106" s="348" t="n">
        <x:f>SUM(IF($B$8=2,BG30,0),IF($B$36=2,BG58,0),IF($B$64=2,BG86,0))</x:f>
      </x:c>
      <x:c r="BH106" s="348" t="n">
        <x:f>SUM(IF($B$8=2,BH30,0),IF($B$36=2,BH58,0),IF($B$64=2,BH86,0))</x:f>
      </x:c>
      <x:c r="BI106" s="348" t="n">
        <x:f>SUM(IF($B$8=2,BI30,0),IF($B$36=2,BI58,0),IF($B$64=2,BI86,0))</x:f>
      </x:c>
      <x:c r="BJ106" s="348" t="n">
        <x:f>SUM(IF($B$8=2,BJ30,0),IF($B$36=2,BJ58,0),IF($B$64=2,BJ86,0))</x:f>
      </x:c>
      <x:c r="BK106" s="348" t="n">
        <x:f>SUM(IF($B$8=2,BK30,0),IF($B$36=2,BK58,0),IF($B$64=2,BK86,0))</x:f>
      </x:c>
      <x:c r="BL106" s="348" t="n">
        <x:f>SUM(IF($B$8=2,BL30,0),IF($B$36=2,BL58,0),IF($B$64=2,BL86,0))</x:f>
      </x:c>
      <x:c r="BM106" s="348" t="n">
        <x:f>SUM(IF($B$8=2,BM30,0),IF($B$36=2,BM58,0),IF($B$64=2,BM86,0))</x:f>
      </x:c>
      <x:c r="BN106" s="348" t="n">
        <x:f>SUM(IF($B$8=2,BN30,0),IF($B$36=2,BN58,0),IF($B$64=2,BN86,0))</x:f>
      </x:c>
      <x:c r="BO106" s="348" t="n">
        <x:f>SUM(IF($B$8=2,BO30,0),IF($B$36=2,BO58,0),IF($B$64=2,BO86,0))</x:f>
      </x:c>
      <x:c r="BP106" s="348" t="n">
        <x:f>SUM(IF($B$8=2,BP30,0),IF($B$36=2,BP58,0),IF($B$64=2,BP86,0))</x:f>
      </x:c>
      <x:c r="BQ106" s="348" t="n">
        <x:f>SUM(IF($B$8=2,BQ30,0),IF($B$36=2,BQ58,0),IF($B$64=2,BQ86,0))</x:f>
      </x:c>
      <x:c r="BR106" s="348" t="n">
        <x:f>SUM(IF($B$8=2,BR30,0),IF($B$36=2,BR58,0),IF($B$64=2,BR86,0))</x:f>
      </x:c>
      <x:c r="BS106" s="348" t="n">
        <x:f>SUM(IF($B$8=2,BS30,0),IF($B$36=2,BS58,0),IF($B$64=2,BS86,0))</x:f>
      </x:c>
      <x:c r="BT106" s="348" t="n">
        <x:f>SUM(IF($B$8=2,BT30,0),IF($B$36=2,BT58,0),IF($B$64=2,BT86,0))</x:f>
      </x:c>
      <x:c r="BU106" s="348" t="n">
        <x:f>SUM(IF($B$8=2,BU30,0),IF($B$36=2,BU58,0),IF($B$64=2,BU86,0))</x:f>
      </x:c>
      <x:c r="BV106" s="348" t="n">
        <x:f>SUM(IF($B$8=2,BV30,0),IF($B$36=2,BV58,0),IF($B$64=2,BV86,0))</x:f>
      </x:c>
      <x:c r="BW106" s="348" t="n">
        <x:f>SUM(IF($B$8=2,BW30,0),IF($B$36=2,BW58,0),IF($B$64=2,BW86,0))</x:f>
      </x:c>
      <x:c r="BX106" s="348" t="n">
        <x:f>SUM(IF($B$8=2,BX30,0),IF($B$36=2,BX58,0),IF($B$64=2,BX86,0))</x:f>
      </x:c>
      <x:c r="BY106" s="348" t="n">
        <x:f>SUM(IF($B$8=2,BY30,0),IF($B$36=2,BY58,0),IF($B$64=2,BY86,0))</x:f>
      </x:c>
      <x:c r="BZ106" s="348" t="n">
        <x:f>SUM(IF($B$8=2,BZ30,0),IF($B$36=2,BZ58,0),IF($B$64=2,BZ86,0))</x:f>
      </x:c>
      <x:c r="CA106" s="348" t="n">
        <x:f>SUM(IF($B$8=2,CA30,0),IF($B$36=2,CA58,0),IF($B$64=2,CA86,0))</x:f>
      </x:c>
      <x:c r="CB106" s="348" t="n">
        <x:f>SUM(IF($B$8=2,CB30,0),IF($B$36=2,CB58,0),IF($B$64=2,CB86,0))</x:f>
      </x:c>
      <x:c r="CC106" s="348" t="n">
        <x:f>SUM(IF($B$8=2,CC30,0),IF($B$36=2,CC58,0),IF($B$64=2,CC86,0))</x:f>
      </x:c>
      <x:c r="CD106" s="348" t="n">
        <x:f>SUM(IF($B$8=2,CD30,0),IF($B$36=2,CD58,0),IF($B$64=2,CD86,0))</x:f>
      </x:c>
      <x:c r="CE106" s="348" t="n">
        <x:f>SUM(IF($B$8=2,CE30,0),IF($B$36=2,CE58,0),IF($B$64=2,CE86,0))</x:f>
      </x:c>
      <x:c r="CF106" s="348" t="n">
        <x:f>SUM(IF($B$8=2,CF30,0),IF($B$36=2,CF58,0),IF($B$64=2,CF86,0))</x:f>
      </x:c>
      <x:c r="CG106" s="348" t="n">
        <x:f>SUM(IF($B$8=2,CG30,0),IF($B$36=2,CG58,0),IF($B$64=2,CG86,0))</x:f>
      </x:c>
      <x:c r="CH106" s="348" t="n">
        <x:f>SUM(IF($B$8=2,CH30,0),IF($B$36=2,CH58,0),IF($B$64=2,CH86,0))</x:f>
      </x:c>
      <x:c r="CI106" s="348" t="n">
        <x:f>SUM(IF($B$8=2,CI30,0),IF($B$36=2,CI58,0),IF($B$64=2,CI86,0))</x:f>
      </x:c>
      <x:c r="CJ106" s="348" t="n">
        <x:f>SUM(IF($B$8=2,CJ30,0),IF($B$36=2,CJ58,0),IF($B$64=2,CJ86,0))</x:f>
      </x:c>
      <x:c r="CK106" s="348" t="n">
        <x:f>SUM(IF($B$8=2,CK30,0),IF($B$36=2,CK58,0),IF($B$64=2,CK86,0))</x:f>
      </x:c>
      <x:c r="CL106" s="348" t="n">
        <x:f>SUM(IF($B$8=2,CL30,0),IF($B$36=2,CL58,0),IF($B$64=2,CL86,0))</x:f>
      </x:c>
      <x:c r="CM106" s="348" t="n">
        <x:f>SUM(IF($B$8=2,CM30,0),IF($B$36=2,CM58,0),IF($B$64=2,CM86,0))</x:f>
      </x:c>
      <x:c r="CN106" s="348" t="n">
        <x:f>SUM(IF($B$8=2,CN30,0),IF($B$36=2,CN58,0),IF($B$64=2,CN86,0))</x:f>
      </x:c>
      <x:c r="CO106" s="348" t="n">
        <x:f>SUM(IF($B$8=2,CO30,0),IF($B$36=2,CO58,0),IF($B$64=2,CO86,0))</x:f>
      </x:c>
      <x:c r="CP106" s="348" t="n">
        <x:f>SUM(IF($B$8=2,CP30,0),IF($B$36=2,CP58,0),IF($B$64=2,CP86,0))</x:f>
      </x:c>
      <x:c r="CQ106" s="348" t="n">
        <x:f>SUM(IF($B$8=2,CQ30,0),IF($B$36=2,CQ58,0),IF($B$64=2,CQ86,0))</x:f>
      </x:c>
      <x:c r="CR106" s="348" t="n">
        <x:f>SUM(IF($B$8=2,CR30,0),IF($B$36=2,CR58,0),IF($B$64=2,CR86,0))</x:f>
      </x:c>
      <x:c r="CS106" s="348" t="n">
        <x:f>SUM(IF($B$8=2,CS30,0),IF($B$36=2,CS58,0),IF($B$64=2,CS86,0))</x:f>
      </x:c>
      <x:c r="CT106" s="348" t="n">
        <x:f>SUM(IF($B$8=2,CT30,0),IF($B$36=2,CT58,0),IF($B$64=2,CT86,0))</x:f>
      </x:c>
      <x:c r="CU106" s="348" t="n">
        <x:f>SUM(IF($B$8=2,CU30,0),IF($B$36=2,CU58,0),IF($B$64=2,CU86,0))</x:f>
      </x:c>
      <x:c r="CV106" s="348" t="n">
        <x:f>SUM(IF($B$8=2,CV30,0),IF($B$36=2,CV58,0),IF($B$64=2,CV86,0))</x:f>
      </x:c>
      <x:c r="CW106" s="348" t="n">
        <x:f>SUM(IF($B$8=2,CW30,0),IF($B$36=2,CW58,0),IF($B$64=2,CW86,0))</x:f>
      </x:c>
      <x:c r="CX106" s="348" t="n">
        <x:f>SUM(IF($B$8=2,CX30,0),IF($B$36=2,CX58,0),IF($B$64=2,CX86,0))</x:f>
      </x:c>
      <x:c r="CY106" s="348" t="n">
        <x:f>SUM(IF($B$8=2,CY30,0),IF($B$36=2,CY58,0),IF($B$64=2,CY86,0))</x:f>
      </x:c>
      <x:c r="CZ106" s="348" t="n">
        <x:f>SUM(IF($B$8=2,CZ30,0),IF($B$36=2,CZ58,0),IF($B$64=2,CZ86,0))</x:f>
      </x:c>
      <x:c r="DA106" s="348" t="n">
        <x:f>SUM(IF($B$8=2,DA30,0),IF($B$36=2,DA58,0),IF($B$64=2,DA86,0))</x:f>
      </x:c>
      <x:c r="DB106" s="348" t="n">
        <x:f>SUM(IF($B$8=2,DB30,0),IF($B$36=2,DB58,0),IF($B$64=2,DB86,0))</x:f>
      </x:c>
      <x:c r="DC106" s="348" t="n">
        <x:f>SUM(IF($B$8=2,DC30,0),IF($B$36=2,DC58,0),IF($B$64=2,DC86,0))</x:f>
      </x:c>
      <x:c r="DD106" s="348" t="n">
        <x:f>SUM(IF($B$8=2,DD30,0),IF($B$36=2,DD58,0),IF($B$64=2,DD86,0))</x:f>
      </x:c>
      <x:c r="DE106" s="348" t="n">
        <x:f>SUM(IF($B$8=2,DE30,0),IF($B$36=2,DE58,0),IF($B$64=2,DE86,0))</x:f>
      </x:c>
      <x:c r="DF106" s="348" t="n">
        <x:f>SUM(IF($B$8=2,DF30,0),IF($B$36=2,DF58,0),IF($B$64=2,DF86,0))</x:f>
      </x:c>
      <x:c r="DG106" s="348" t="n">
        <x:f>SUM(IF($B$8=2,DG30,0),IF($B$36=2,DG58,0),IF($B$64=2,DG86,0))</x:f>
      </x:c>
      <x:c r="DH106" s="348" t="n">
        <x:f>SUM(IF($B$8=2,DH30,0),IF($B$36=2,DH58,0),IF($B$64=2,DH86,0))</x:f>
      </x:c>
      <x:c r="DI106" s="348" t="n">
        <x:f>SUM(IF($B$8=2,DI30,0),IF($B$36=2,DI58,0),IF($B$64=2,DI86,0))</x:f>
      </x:c>
      <x:c r="DJ106" s="348" t="n">
        <x:f>SUM(IF($B$8=2,DJ30,0),IF($B$36=2,DJ58,0),IF($B$64=2,DJ86,0))</x:f>
      </x:c>
      <x:c r="DK106" s="348" t="n">
        <x:f>SUM(IF($B$8=2,DK30,0),IF($B$36=2,DK58,0),IF($B$64=2,DK86,0))</x:f>
      </x:c>
      <x:c r="DL106" s="348" t="n">
        <x:f>SUM(IF($B$8=2,DL30,0),IF($B$36=2,DL58,0),IF($B$64=2,DL86,0))</x:f>
      </x:c>
      <x:c r="DM106" s="348" t="n">
        <x:f>SUM(IF($B$8=2,DM30,0),IF($B$36=2,DM58,0),IF($B$64=2,DM86,0))</x:f>
      </x:c>
      <x:c r="DN106" s="348" t="n">
        <x:f>SUM(IF($B$8=2,DN30,0),IF($B$36=2,DN58,0),IF($B$64=2,DN86,0))</x:f>
      </x:c>
      <x:c r="DO106" s="348" t="n">
        <x:f>SUM(IF($B$8=2,DO30,0),IF($B$36=2,DO58,0),IF($B$64=2,DO86,0))</x:f>
      </x:c>
      <x:c r="DP106" s="348" t="n">
        <x:f>SUM(IF($B$8=2,DP30,0),IF($B$36=2,DP58,0),IF($B$64=2,DP86,0))</x:f>
      </x:c>
      <x:c r="DQ106" s="348" t="n">
        <x:f>SUM(IF($B$8=2,DQ30,0),IF($B$36=2,DQ58,0),IF($B$64=2,DQ86,0))</x:f>
      </x:c>
      <x:c r="DR106" s="348" t="n">
        <x:f>SUM(IF($B$8=2,DR30,0),IF($B$36=2,DR58,0),IF($B$64=2,DR86,0))</x:f>
      </x:c>
      <x:c r="DS106" s="348" t="n">
        <x:f>SUM(IF($B$8=2,DS30,0),IF($B$36=2,DS58,0),IF($B$64=2,DS86,0))</x:f>
      </x:c>
    </x:row>
    <x:row r="108">
      <x:c r="A108" t="str">
        <x:v>Очередь 3 — Выручка объектов</x:v>
      </x:c>
      <x:c r="B108" s="107" t="n">
        <x:f>SUM(D108:DS108)</x:f>
      </x:c>
      <x:c r="C108" t="str">
        <x:v>млн ₽</x:v>
      </x:c>
      <x:c r="D108" s="107" t="n">
        <x:f>SUM(IF($B$8=3,D24,0),IF($B$36=3,D52,0),IF($B$64=3,D80,0))</x:f>
      </x:c>
      <x:c r="E108" s="107" t="n">
        <x:f>SUM(IF($B$8=3,E24,0),IF($B$36=3,E52,0),IF($B$64=3,E80,0))</x:f>
      </x:c>
      <x:c r="F108" s="107" t="n">
        <x:f>SUM(IF($B$8=3,F24,0),IF($B$36=3,F52,0),IF($B$64=3,F80,0))</x:f>
      </x:c>
      <x:c r="G108" s="107" t="n">
        <x:f>SUM(IF($B$8=3,G24,0),IF($B$36=3,G52,0),IF($B$64=3,G80,0))</x:f>
      </x:c>
      <x:c r="H108" s="107" t="n">
        <x:f>SUM(IF($B$8=3,H24,0),IF($B$36=3,H52,0),IF($B$64=3,H80,0))</x:f>
      </x:c>
      <x:c r="I108" s="107" t="n">
        <x:f>SUM(IF($B$8=3,I24,0),IF($B$36=3,I52,0),IF($B$64=3,I80,0))</x:f>
      </x:c>
      <x:c r="J108" s="107" t="n">
        <x:f>SUM(IF($B$8=3,J24,0),IF($B$36=3,J52,0),IF($B$64=3,J80,0))</x:f>
      </x:c>
      <x:c r="K108" s="107" t="n">
        <x:f>SUM(IF($B$8=3,K24,0),IF($B$36=3,K52,0),IF($B$64=3,K80,0))</x:f>
      </x:c>
      <x:c r="L108" s="107" t="n">
        <x:f>SUM(IF($B$8=3,L24,0),IF($B$36=3,L52,0),IF($B$64=3,L80,0))</x:f>
      </x:c>
      <x:c r="M108" s="107" t="n">
        <x:f>SUM(IF($B$8=3,M24,0),IF($B$36=3,M52,0),IF($B$64=3,M80,0))</x:f>
      </x:c>
      <x:c r="N108" s="107" t="n">
        <x:f>SUM(IF($B$8=3,N24,0),IF($B$36=3,N52,0),IF($B$64=3,N80,0))</x:f>
      </x:c>
      <x:c r="O108" s="107" t="n">
        <x:f>SUM(IF($B$8=3,O24,0),IF($B$36=3,O52,0),IF($B$64=3,O80,0))</x:f>
      </x:c>
      <x:c r="P108" s="107" t="n">
        <x:f>SUM(IF($B$8=3,P24,0),IF($B$36=3,P52,0),IF($B$64=3,P80,0))</x:f>
      </x:c>
      <x:c r="Q108" s="107" t="n">
        <x:f>SUM(IF($B$8=3,Q24,0),IF($B$36=3,Q52,0),IF($B$64=3,Q80,0))</x:f>
      </x:c>
      <x:c r="R108" s="107" t="n">
        <x:f>SUM(IF($B$8=3,R24,0),IF($B$36=3,R52,0),IF($B$64=3,R80,0))</x:f>
      </x:c>
      <x:c r="S108" s="107" t="n">
        <x:f>SUM(IF($B$8=3,S24,0),IF($B$36=3,S52,0),IF($B$64=3,S80,0))</x:f>
      </x:c>
      <x:c r="T108" s="107" t="n">
        <x:f>SUM(IF($B$8=3,T24,0),IF($B$36=3,T52,0),IF($B$64=3,T80,0))</x:f>
      </x:c>
      <x:c r="U108" s="107" t="n">
        <x:f>SUM(IF($B$8=3,U24,0),IF($B$36=3,U52,0),IF($B$64=3,U80,0))</x:f>
      </x:c>
      <x:c r="V108" s="107" t="n">
        <x:f>SUM(IF($B$8=3,V24,0),IF($B$36=3,V52,0),IF($B$64=3,V80,0))</x:f>
      </x:c>
      <x:c r="W108" s="107" t="n">
        <x:f>SUM(IF($B$8=3,W24,0),IF($B$36=3,W52,0),IF($B$64=3,W80,0))</x:f>
      </x:c>
      <x:c r="X108" s="107" t="n">
        <x:f>SUM(IF($B$8=3,X24,0),IF($B$36=3,X52,0),IF($B$64=3,X80,0))</x:f>
      </x:c>
      <x:c r="Y108" s="107" t="n">
        <x:f>SUM(IF($B$8=3,Y24,0),IF($B$36=3,Y52,0),IF($B$64=3,Y80,0))</x:f>
      </x:c>
      <x:c r="Z108" s="107" t="n">
        <x:f>SUM(IF($B$8=3,Z24,0),IF($B$36=3,Z52,0),IF($B$64=3,Z80,0))</x:f>
      </x:c>
      <x:c r="AA108" s="107" t="n">
        <x:f>SUM(IF($B$8=3,AA24,0),IF($B$36=3,AA52,0),IF($B$64=3,AA80,0))</x:f>
      </x:c>
      <x:c r="AB108" s="107" t="n">
        <x:f>SUM(IF($B$8=3,AB24,0),IF($B$36=3,AB52,0),IF($B$64=3,AB80,0))</x:f>
      </x:c>
      <x:c r="AC108" s="107" t="n">
        <x:f>SUM(IF($B$8=3,AC24,0),IF($B$36=3,AC52,0),IF($B$64=3,AC80,0))</x:f>
      </x:c>
      <x:c r="AD108" s="107" t="n">
        <x:f>SUM(IF($B$8=3,AD24,0),IF($B$36=3,AD52,0),IF($B$64=3,AD80,0))</x:f>
      </x:c>
      <x:c r="AE108" s="107" t="n">
        <x:f>SUM(IF($B$8=3,AE24,0),IF($B$36=3,AE52,0),IF($B$64=3,AE80,0))</x:f>
      </x:c>
      <x:c r="AF108" s="107" t="n">
        <x:f>SUM(IF($B$8=3,AF24,0),IF($B$36=3,AF52,0),IF($B$64=3,AF80,0))</x:f>
      </x:c>
      <x:c r="AG108" s="107" t="n">
        <x:f>SUM(IF($B$8=3,AG24,0),IF($B$36=3,AG52,0),IF($B$64=3,AG80,0))</x:f>
      </x:c>
      <x:c r="AH108" s="107" t="n">
        <x:f>SUM(IF($B$8=3,AH24,0),IF($B$36=3,AH52,0),IF($B$64=3,AH80,0))</x:f>
      </x:c>
      <x:c r="AI108" s="107" t="n">
        <x:f>SUM(IF($B$8=3,AI24,0),IF($B$36=3,AI52,0),IF($B$64=3,AI80,0))</x:f>
      </x:c>
      <x:c r="AJ108" s="107" t="n">
        <x:f>SUM(IF($B$8=3,AJ24,0),IF($B$36=3,AJ52,0),IF($B$64=3,AJ80,0))</x:f>
      </x:c>
      <x:c r="AK108" s="107" t="n">
        <x:f>SUM(IF($B$8=3,AK24,0),IF($B$36=3,AK52,0),IF($B$64=3,AK80,0))</x:f>
      </x:c>
      <x:c r="AL108" s="107" t="n">
        <x:f>SUM(IF($B$8=3,AL24,0),IF($B$36=3,AL52,0),IF($B$64=3,AL80,0))</x:f>
      </x:c>
      <x:c r="AM108" s="107" t="n">
        <x:f>SUM(IF($B$8=3,AM24,0),IF($B$36=3,AM52,0),IF($B$64=3,AM80,0))</x:f>
      </x:c>
      <x:c r="AN108" s="107" t="n">
        <x:f>SUM(IF($B$8=3,AN24,0),IF($B$36=3,AN52,0),IF($B$64=3,AN80,0))</x:f>
      </x:c>
      <x:c r="AO108" s="107" t="n">
        <x:f>SUM(IF($B$8=3,AO24,0),IF($B$36=3,AO52,0),IF($B$64=3,AO80,0))</x:f>
      </x:c>
      <x:c r="AP108" s="107" t="n">
        <x:f>SUM(IF($B$8=3,AP24,0),IF($B$36=3,AP52,0),IF($B$64=3,AP80,0))</x:f>
      </x:c>
      <x:c r="AQ108" s="107" t="n">
        <x:f>SUM(IF($B$8=3,AQ24,0),IF($B$36=3,AQ52,0),IF($B$64=3,AQ80,0))</x:f>
      </x:c>
      <x:c r="AR108" s="107" t="n">
        <x:f>SUM(IF($B$8=3,AR24,0),IF($B$36=3,AR52,0),IF($B$64=3,AR80,0))</x:f>
      </x:c>
      <x:c r="AS108" s="107" t="n">
        <x:f>SUM(IF($B$8=3,AS24,0),IF($B$36=3,AS52,0),IF($B$64=3,AS80,0))</x:f>
      </x:c>
      <x:c r="AT108" s="107" t="n">
        <x:f>SUM(IF($B$8=3,AT24,0),IF($B$36=3,AT52,0),IF($B$64=3,AT80,0))</x:f>
      </x:c>
      <x:c r="AU108" s="107" t="n">
        <x:f>SUM(IF($B$8=3,AU24,0),IF($B$36=3,AU52,0),IF($B$64=3,AU80,0))</x:f>
      </x:c>
      <x:c r="AV108" s="107" t="n">
        <x:f>SUM(IF($B$8=3,AV24,0),IF($B$36=3,AV52,0),IF($B$64=3,AV80,0))</x:f>
      </x:c>
      <x:c r="AW108" s="107" t="n">
        <x:f>SUM(IF($B$8=3,AW24,0),IF($B$36=3,AW52,0),IF($B$64=3,AW80,0))</x:f>
      </x:c>
      <x:c r="AX108" s="107" t="n">
        <x:f>SUM(IF($B$8=3,AX24,0),IF($B$36=3,AX52,0),IF($B$64=3,AX80,0))</x:f>
      </x:c>
      <x:c r="AY108" s="107" t="n">
        <x:f>SUM(IF($B$8=3,AY24,0),IF($B$36=3,AY52,0),IF($B$64=3,AY80,0))</x:f>
      </x:c>
      <x:c r="AZ108" s="107" t="n">
        <x:f>SUM(IF($B$8=3,AZ24,0),IF($B$36=3,AZ52,0),IF($B$64=3,AZ80,0))</x:f>
      </x:c>
      <x:c r="BA108" s="107" t="n">
        <x:f>SUM(IF($B$8=3,BA24,0),IF($B$36=3,BA52,0),IF($B$64=3,BA80,0))</x:f>
      </x:c>
      <x:c r="BB108" s="107" t="n">
        <x:f>SUM(IF($B$8=3,BB24,0),IF($B$36=3,BB52,0),IF($B$64=3,BB80,0))</x:f>
      </x:c>
      <x:c r="BC108" s="107" t="n">
        <x:f>SUM(IF($B$8=3,BC24,0),IF($B$36=3,BC52,0),IF($B$64=3,BC80,0))</x:f>
      </x:c>
      <x:c r="BD108" s="107" t="n">
        <x:f>SUM(IF($B$8=3,BD24,0),IF($B$36=3,BD52,0),IF($B$64=3,BD80,0))</x:f>
      </x:c>
      <x:c r="BE108" s="107" t="n">
        <x:f>SUM(IF($B$8=3,BE24,0),IF($B$36=3,BE52,0),IF($B$64=3,BE80,0))</x:f>
      </x:c>
      <x:c r="BF108" s="107" t="n">
        <x:f>SUM(IF($B$8=3,BF24,0),IF($B$36=3,BF52,0),IF($B$64=3,BF80,0))</x:f>
      </x:c>
      <x:c r="BG108" s="107" t="n">
        <x:f>SUM(IF($B$8=3,BG24,0),IF($B$36=3,BG52,0),IF($B$64=3,BG80,0))</x:f>
      </x:c>
      <x:c r="BH108" s="107" t="n">
        <x:f>SUM(IF($B$8=3,BH24,0),IF($B$36=3,BH52,0),IF($B$64=3,BH80,0))</x:f>
      </x:c>
      <x:c r="BI108" s="107" t="n">
        <x:f>SUM(IF($B$8=3,BI24,0),IF($B$36=3,BI52,0),IF($B$64=3,BI80,0))</x:f>
      </x:c>
      <x:c r="BJ108" s="107" t="n">
        <x:f>SUM(IF($B$8=3,BJ24,0),IF($B$36=3,BJ52,0),IF($B$64=3,BJ80,0))</x:f>
      </x:c>
      <x:c r="BK108" s="107" t="n">
        <x:f>SUM(IF($B$8=3,BK24,0),IF($B$36=3,BK52,0),IF($B$64=3,BK80,0))</x:f>
      </x:c>
      <x:c r="BL108" s="107" t="n">
        <x:f>SUM(IF($B$8=3,BL24,0),IF($B$36=3,BL52,0),IF($B$64=3,BL80,0))</x:f>
      </x:c>
      <x:c r="BM108" s="107" t="n">
        <x:f>SUM(IF($B$8=3,BM24,0),IF($B$36=3,BM52,0),IF($B$64=3,BM80,0))</x:f>
      </x:c>
      <x:c r="BN108" s="107" t="n">
        <x:f>SUM(IF($B$8=3,BN24,0),IF($B$36=3,BN52,0),IF($B$64=3,BN80,0))</x:f>
      </x:c>
      <x:c r="BO108" s="107" t="n">
        <x:f>SUM(IF($B$8=3,BO24,0),IF($B$36=3,BO52,0),IF($B$64=3,BO80,0))</x:f>
      </x:c>
      <x:c r="BP108" s="107" t="n">
        <x:f>SUM(IF($B$8=3,BP24,0),IF($B$36=3,BP52,0),IF($B$64=3,BP80,0))</x:f>
      </x:c>
      <x:c r="BQ108" s="107" t="n">
        <x:f>SUM(IF($B$8=3,BQ24,0),IF($B$36=3,BQ52,0),IF($B$64=3,BQ80,0))</x:f>
      </x:c>
      <x:c r="BR108" s="107" t="n">
        <x:f>SUM(IF($B$8=3,BR24,0),IF($B$36=3,BR52,0),IF($B$64=3,BR80,0))</x:f>
      </x:c>
      <x:c r="BS108" s="107" t="n">
        <x:f>SUM(IF($B$8=3,BS24,0),IF($B$36=3,BS52,0),IF($B$64=3,BS80,0))</x:f>
      </x:c>
      <x:c r="BT108" s="107" t="n">
        <x:f>SUM(IF($B$8=3,BT24,0),IF($B$36=3,BT52,0),IF($B$64=3,BT80,0))</x:f>
      </x:c>
      <x:c r="BU108" s="107" t="n">
        <x:f>SUM(IF($B$8=3,BU24,0),IF($B$36=3,BU52,0),IF($B$64=3,BU80,0))</x:f>
      </x:c>
      <x:c r="BV108" s="107" t="n">
        <x:f>SUM(IF($B$8=3,BV24,0),IF($B$36=3,BV52,0),IF($B$64=3,BV80,0))</x:f>
      </x:c>
      <x:c r="BW108" s="107" t="n">
        <x:f>SUM(IF($B$8=3,BW24,0),IF($B$36=3,BW52,0),IF($B$64=3,BW80,0))</x:f>
      </x:c>
      <x:c r="BX108" s="107" t="n">
        <x:f>SUM(IF($B$8=3,BX24,0),IF($B$36=3,BX52,0),IF($B$64=3,BX80,0))</x:f>
      </x:c>
      <x:c r="BY108" s="107" t="n">
        <x:f>SUM(IF($B$8=3,BY24,0),IF($B$36=3,BY52,0),IF($B$64=3,BY80,0))</x:f>
      </x:c>
      <x:c r="BZ108" s="107" t="n">
        <x:f>SUM(IF($B$8=3,BZ24,0),IF($B$36=3,BZ52,0),IF($B$64=3,BZ80,0))</x:f>
      </x:c>
      <x:c r="CA108" s="107" t="n">
        <x:f>SUM(IF($B$8=3,CA24,0),IF($B$36=3,CA52,0),IF($B$64=3,CA80,0))</x:f>
      </x:c>
      <x:c r="CB108" s="107" t="n">
        <x:f>SUM(IF($B$8=3,CB24,0),IF($B$36=3,CB52,0),IF($B$64=3,CB80,0))</x:f>
      </x:c>
      <x:c r="CC108" s="107" t="n">
        <x:f>SUM(IF($B$8=3,CC24,0),IF($B$36=3,CC52,0),IF($B$64=3,CC80,0))</x:f>
      </x:c>
      <x:c r="CD108" s="107" t="n">
        <x:f>SUM(IF($B$8=3,CD24,0),IF($B$36=3,CD52,0),IF($B$64=3,CD80,0))</x:f>
      </x:c>
      <x:c r="CE108" s="107" t="n">
        <x:f>SUM(IF($B$8=3,CE24,0),IF($B$36=3,CE52,0),IF($B$64=3,CE80,0))</x:f>
      </x:c>
      <x:c r="CF108" s="107" t="n">
        <x:f>SUM(IF($B$8=3,CF24,0),IF($B$36=3,CF52,0),IF($B$64=3,CF80,0))</x:f>
      </x:c>
      <x:c r="CG108" s="107" t="n">
        <x:f>SUM(IF($B$8=3,CG24,0),IF($B$36=3,CG52,0),IF($B$64=3,CG80,0))</x:f>
      </x:c>
      <x:c r="CH108" s="107" t="n">
        <x:f>SUM(IF($B$8=3,CH24,0),IF($B$36=3,CH52,0),IF($B$64=3,CH80,0))</x:f>
      </x:c>
      <x:c r="CI108" s="107" t="n">
        <x:f>SUM(IF($B$8=3,CI24,0),IF($B$36=3,CI52,0),IF($B$64=3,CI80,0))</x:f>
      </x:c>
      <x:c r="CJ108" s="107" t="n">
        <x:f>SUM(IF($B$8=3,CJ24,0),IF($B$36=3,CJ52,0),IF($B$64=3,CJ80,0))</x:f>
      </x:c>
      <x:c r="CK108" s="107" t="n">
        <x:f>SUM(IF($B$8=3,CK24,0),IF($B$36=3,CK52,0),IF($B$64=3,CK80,0))</x:f>
      </x:c>
      <x:c r="CL108" s="107" t="n">
        <x:f>SUM(IF($B$8=3,CL24,0),IF($B$36=3,CL52,0),IF($B$64=3,CL80,0))</x:f>
      </x:c>
      <x:c r="CM108" s="107" t="n">
        <x:f>SUM(IF($B$8=3,CM24,0),IF($B$36=3,CM52,0),IF($B$64=3,CM80,0))</x:f>
      </x:c>
      <x:c r="CN108" s="107" t="n">
        <x:f>SUM(IF($B$8=3,CN24,0),IF($B$36=3,CN52,0),IF($B$64=3,CN80,0))</x:f>
      </x:c>
      <x:c r="CO108" s="107" t="n">
        <x:f>SUM(IF($B$8=3,CO24,0),IF($B$36=3,CO52,0),IF($B$64=3,CO80,0))</x:f>
      </x:c>
      <x:c r="CP108" s="107" t="n">
        <x:f>SUM(IF($B$8=3,CP24,0),IF($B$36=3,CP52,0),IF($B$64=3,CP80,0))</x:f>
      </x:c>
      <x:c r="CQ108" s="107" t="n">
        <x:f>SUM(IF($B$8=3,CQ24,0),IF($B$36=3,CQ52,0),IF($B$64=3,CQ80,0))</x:f>
      </x:c>
      <x:c r="CR108" s="107" t="n">
        <x:f>SUM(IF($B$8=3,CR24,0),IF($B$36=3,CR52,0),IF($B$64=3,CR80,0))</x:f>
      </x:c>
      <x:c r="CS108" s="107" t="n">
        <x:f>SUM(IF($B$8=3,CS24,0),IF($B$36=3,CS52,0),IF($B$64=3,CS80,0))</x:f>
      </x:c>
      <x:c r="CT108" s="107" t="n">
        <x:f>SUM(IF($B$8=3,CT24,0),IF($B$36=3,CT52,0),IF($B$64=3,CT80,0))</x:f>
      </x:c>
      <x:c r="CU108" s="107" t="n">
        <x:f>SUM(IF($B$8=3,CU24,0),IF($B$36=3,CU52,0),IF($B$64=3,CU80,0))</x:f>
      </x:c>
      <x:c r="CV108" s="107" t="n">
        <x:f>SUM(IF($B$8=3,CV24,0),IF($B$36=3,CV52,0),IF($B$64=3,CV80,0))</x:f>
      </x:c>
      <x:c r="CW108" s="107" t="n">
        <x:f>SUM(IF($B$8=3,CW24,0),IF($B$36=3,CW52,0),IF($B$64=3,CW80,0))</x:f>
      </x:c>
      <x:c r="CX108" s="107" t="n">
        <x:f>SUM(IF($B$8=3,CX24,0),IF($B$36=3,CX52,0),IF($B$64=3,CX80,0))</x:f>
      </x:c>
      <x:c r="CY108" s="107" t="n">
        <x:f>SUM(IF($B$8=3,CY24,0),IF($B$36=3,CY52,0),IF($B$64=3,CY80,0))</x:f>
      </x:c>
      <x:c r="CZ108" s="107" t="n">
        <x:f>SUM(IF($B$8=3,CZ24,0),IF($B$36=3,CZ52,0),IF($B$64=3,CZ80,0))</x:f>
      </x:c>
      <x:c r="DA108" s="107" t="n">
        <x:f>SUM(IF($B$8=3,DA24,0),IF($B$36=3,DA52,0),IF($B$64=3,DA80,0))</x:f>
      </x:c>
      <x:c r="DB108" s="107" t="n">
        <x:f>SUM(IF($B$8=3,DB24,0),IF($B$36=3,DB52,0),IF($B$64=3,DB80,0))</x:f>
      </x:c>
      <x:c r="DC108" s="107" t="n">
        <x:f>SUM(IF($B$8=3,DC24,0),IF($B$36=3,DC52,0),IF($B$64=3,DC80,0))</x:f>
      </x:c>
      <x:c r="DD108" s="107" t="n">
        <x:f>SUM(IF($B$8=3,DD24,0),IF($B$36=3,DD52,0),IF($B$64=3,DD80,0))</x:f>
      </x:c>
      <x:c r="DE108" s="107" t="n">
        <x:f>SUM(IF($B$8=3,DE24,0),IF($B$36=3,DE52,0),IF($B$64=3,DE80,0))</x:f>
      </x:c>
      <x:c r="DF108" s="107" t="n">
        <x:f>SUM(IF($B$8=3,DF24,0),IF($B$36=3,DF52,0),IF($B$64=3,DF80,0))</x:f>
      </x:c>
      <x:c r="DG108" s="107" t="n">
        <x:f>SUM(IF($B$8=3,DG24,0),IF($B$36=3,DG52,0),IF($B$64=3,DG80,0))</x:f>
      </x:c>
      <x:c r="DH108" s="107" t="n">
        <x:f>SUM(IF($B$8=3,DH24,0),IF($B$36=3,DH52,0),IF($B$64=3,DH80,0))</x:f>
      </x:c>
      <x:c r="DI108" s="107" t="n">
        <x:f>SUM(IF($B$8=3,DI24,0),IF($B$36=3,DI52,0),IF($B$64=3,DI80,0))</x:f>
      </x:c>
      <x:c r="DJ108" s="107" t="n">
        <x:f>SUM(IF($B$8=3,DJ24,0),IF($B$36=3,DJ52,0),IF($B$64=3,DJ80,0))</x:f>
      </x:c>
      <x:c r="DK108" s="107" t="n">
        <x:f>SUM(IF($B$8=3,DK24,0),IF($B$36=3,DK52,0),IF($B$64=3,DK80,0))</x:f>
      </x:c>
      <x:c r="DL108" s="107" t="n">
        <x:f>SUM(IF($B$8=3,DL24,0),IF($B$36=3,DL52,0),IF($B$64=3,DL80,0))</x:f>
      </x:c>
      <x:c r="DM108" s="107" t="n">
        <x:f>SUM(IF($B$8=3,DM24,0),IF($B$36=3,DM52,0),IF($B$64=3,DM80,0))</x:f>
      </x:c>
      <x:c r="DN108" s="107" t="n">
        <x:f>SUM(IF($B$8=3,DN24,0),IF($B$36=3,DN52,0),IF($B$64=3,DN80,0))</x:f>
      </x:c>
      <x:c r="DO108" s="107" t="n">
        <x:f>SUM(IF($B$8=3,DO24,0),IF($B$36=3,DO52,0),IF($B$64=3,DO80,0))</x:f>
      </x:c>
      <x:c r="DP108" s="107" t="n">
        <x:f>SUM(IF($B$8=3,DP24,0),IF($B$36=3,DP52,0),IF($B$64=3,DP80,0))</x:f>
      </x:c>
      <x:c r="DQ108" s="107" t="n">
        <x:f>SUM(IF($B$8=3,DQ24,0),IF($B$36=3,DQ52,0),IF($B$64=3,DQ80,0))</x:f>
      </x:c>
      <x:c r="DR108" s="107" t="n">
        <x:f>SUM(IF($B$8=3,DR24,0),IF($B$36=3,DR52,0),IF($B$64=3,DR80,0))</x:f>
      </x:c>
      <x:c r="DS108" s="107" t="n">
        <x:f>SUM(IF($B$8=3,DS24,0),IF($B$36=3,DS52,0),IF($B$64=3,DS80,0))</x:f>
      </x:c>
    </x:row>
    <x:row r="109">
      <x:c r="A109" t="str">
        <x:v>Очередь 3 — Поступления объектов на эскроу</x:v>
      </x:c>
      <x:c r="B109" s="107" t="n">
        <x:f>SUM(D109:DS109)</x:f>
      </x:c>
      <x:c r="C109" t="str">
        <x:v>млн ₽</x:v>
      </x:c>
      <x:c r="D109" s="107" t="n">
        <x:f>SUM(IF($B$8=3,D25,0),IF($B$36=3,D53,0),IF($B$64=3,D81,0))</x:f>
      </x:c>
      <x:c r="E109" s="107" t="n">
        <x:f>SUM(IF($B$8=3,E25,0),IF($B$36=3,E53,0),IF($B$64=3,E81,0))</x:f>
      </x:c>
      <x:c r="F109" s="107" t="n">
        <x:f>SUM(IF($B$8=3,F25,0),IF($B$36=3,F53,0),IF($B$64=3,F81,0))</x:f>
      </x:c>
      <x:c r="G109" s="107" t="n">
        <x:f>SUM(IF($B$8=3,G25,0),IF($B$36=3,G53,0),IF($B$64=3,G81,0))</x:f>
      </x:c>
      <x:c r="H109" s="107" t="n">
        <x:f>SUM(IF($B$8=3,H25,0),IF($B$36=3,H53,0),IF($B$64=3,H81,0))</x:f>
      </x:c>
      <x:c r="I109" s="107" t="n">
        <x:f>SUM(IF($B$8=3,I25,0),IF($B$36=3,I53,0),IF($B$64=3,I81,0))</x:f>
      </x:c>
      <x:c r="J109" s="107" t="n">
        <x:f>SUM(IF($B$8=3,J25,0),IF($B$36=3,J53,0),IF($B$64=3,J81,0))</x:f>
      </x:c>
      <x:c r="K109" s="107" t="n">
        <x:f>SUM(IF($B$8=3,K25,0),IF($B$36=3,K53,0),IF($B$64=3,K81,0))</x:f>
      </x:c>
      <x:c r="L109" s="107" t="n">
        <x:f>SUM(IF($B$8=3,L25,0),IF($B$36=3,L53,0),IF($B$64=3,L81,0))</x:f>
      </x:c>
      <x:c r="M109" s="107" t="n">
        <x:f>SUM(IF($B$8=3,M25,0),IF($B$36=3,M53,0),IF($B$64=3,M81,0))</x:f>
      </x:c>
      <x:c r="N109" s="107" t="n">
        <x:f>SUM(IF($B$8=3,N25,0),IF($B$36=3,N53,0),IF($B$64=3,N81,0))</x:f>
      </x:c>
      <x:c r="O109" s="107" t="n">
        <x:f>SUM(IF($B$8=3,O25,0),IF($B$36=3,O53,0),IF($B$64=3,O81,0))</x:f>
      </x:c>
      <x:c r="P109" s="107" t="n">
        <x:f>SUM(IF($B$8=3,P25,0),IF($B$36=3,P53,0),IF($B$64=3,P81,0))</x:f>
      </x:c>
      <x:c r="Q109" s="107" t="n">
        <x:f>SUM(IF($B$8=3,Q25,0),IF($B$36=3,Q53,0),IF($B$64=3,Q81,0))</x:f>
      </x:c>
      <x:c r="R109" s="107" t="n">
        <x:f>SUM(IF($B$8=3,R25,0),IF($B$36=3,R53,0),IF($B$64=3,R81,0))</x:f>
      </x:c>
      <x:c r="S109" s="107" t="n">
        <x:f>SUM(IF($B$8=3,S25,0),IF($B$36=3,S53,0),IF($B$64=3,S81,0))</x:f>
      </x:c>
      <x:c r="T109" s="107" t="n">
        <x:f>SUM(IF($B$8=3,T25,0),IF($B$36=3,T53,0),IF($B$64=3,T81,0))</x:f>
      </x:c>
      <x:c r="U109" s="107" t="n">
        <x:f>SUM(IF($B$8=3,U25,0),IF($B$36=3,U53,0),IF($B$64=3,U81,0))</x:f>
      </x:c>
      <x:c r="V109" s="107" t="n">
        <x:f>SUM(IF($B$8=3,V25,0),IF($B$36=3,V53,0),IF($B$64=3,V81,0))</x:f>
      </x:c>
      <x:c r="W109" s="107" t="n">
        <x:f>SUM(IF($B$8=3,W25,0),IF($B$36=3,W53,0),IF($B$64=3,W81,0))</x:f>
      </x:c>
      <x:c r="X109" s="107" t="n">
        <x:f>SUM(IF($B$8=3,X25,0),IF($B$36=3,X53,0),IF($B$64=3,X81,0))</x:f>
      </x:c>
      <x:c r="Y109" s="107" t="n">
        <x:f>SUM(IF($B$8=3,Y25,0),IF($B$36=3,Y53,0),IF($B$64=3,Y81,0))</x:f>
      </x:c>
      <x:c r="Z109" s="107" t="n">
        <x:f>SUM(IF($B$8=3,Z25,0),IF($B$36=3,Z53,0),IF($B$64=3,Z81,0))</x:f>
      </x:c>
      <x:c r="AA109" s="107" t="n">
        <x:f>SUM(IF($B$8=3,AA25,0),IF($B$36=3,AA53,0),IF($B$64=3,AA81,0))</x:f>
      </x:c>
      <x:c r="AB109" s="107" t="n">
        <x:f>SUM(IF($B$8=3,AB25,0),IF($B$36=3,AB53,0),IF($B$64=3,AB81,0))</x:f>
      </x:c>
      <x:c r="AC109" s="107" t="n">
        <x:f>SUM(IF($B$8=3,AC25,0),IF($B$36=3,AC53,0),IF($B$64=3,AC81,0))</x:f>
      </x:c>
      <x:c r="AD109" s="107" t="n">
        <x:f>SUM(IF($B$8=3,AD25,0),IF($B$36=3,AD53,0),IF($B$64=3,AD81,0))</x:f>
      </x:c>
      <x:c r="AE109" s="107" t="n">
        <x:f>SUM(IF($B$8=3,AE25,0),IF($B$36=3,AE53,0),IF($B$64=3,AE81,0))</x:f>
      </x:c>
      <x:c r="AF109" s="107" t="n">
        <x:f>SUM(IF($B$8=3,AF25,0),IF($B$36=3,AF53,0),IF($B$64=3,AF81,0))</x:f>
      </x:c>
      <x:c r="AG109" s="107" t="n">
        <x:f>SUM(IF($B$8=3,AG25,0),IF($B$36=3,AG53,0),IF($B$64=3,AG81,0))</x:f>
      </x:c>
      <x:c r="AH109" s="107" t="n">
        <x:f>SUM(IF($B$8=3,AH25,0),IF($B$36=3,AH53,0),IF($B$64=3,AH81,0))</x:f>
      </x:c>
      <x:c r="AI109" s="107" t="n">
        <x:f>SUM(IF($B$8=3,AI25,0),IF($B$36=3,AI53,0),IF($B$64=3,AI81,0))</x:f>
      </x:c>
      <x:c r="AJ109" s="107" t="n">
        <x:f>SUM(IF($B$8=3,AJ25,0),IF($B$36=3,AJ53,0),IF($B$64=3,AJ81,0))</x:f>
      </x:c>
      <x:c r="AK109" s="107" t="n">
        <x:f>SUM(IF($B$8=3,AK25,0),IF($B$36=3,AK53,0),IF($B$64=3,AK81,0))</x:f>
      </x:c>
      <x:c r="AL109" s="107" t="n">
        <x:f>SUM(IF($B$8=3,AL25,0),IF($B$36=3,AL53,0),IF($B$64=3,AL81,0))</x:f>
      </x:c>
      <x:c r="AM109" s="107" t="n">
        <x:f>SUM(IF($B$8=3,AM25,0),IF($B$36=3,AM53,0),IF($B$64=3,AM81,0))</x:f>
      </x:c>
      <x:c r="AN109" s="107" t="n">
        <x:f>SUM(IF($B$8=3,AN25,0),IF($B$36=3,AN53,0),IF($B$64=3,AN81,0))</x:f>
      </x:c>
      <x:c r="AO109" s="107" t="n">
        <x:f>SUM(IF($B$8=3,AO25,0),IF($B$36=3,AO53,0),IF($B$64=3,AO81,0))</x:f>
      </x:c>
      <x:c r="AP109" s="107" t="n">
        <x:f>SUM(IF($B$8=3,AP25,0),IF($B$36=3,AP53,0),IF($B$64=3,AP81,0))</x:f>
      </x:c>
      <x:c r="AQ109" s="107" t="n">
        <x:f>SUM(IF($B$8=3,AQ25,0),IF($B$36=3,AQ53,0),IF($B$64=3,AQ81,0))</x:f>
      </x:c>
      <x:c r="AR109" s="107" t="n">
        <x:f>SUM(IF($B$8=3,AR25,0),IF($B$36=3,AR53,0),IF($B$64=3,AR81,0))</x:f>
      </x:c>
      <x:c r="AS109" s="107" t="n">
        <x:f>SUM(IF($B$8=3,AS25,0),IF($B$36=3,AS53,0),IF($B$64=3,AS81,0))</x:f>
      </x:c>
      <x:c r="AT109" s="107" t="n">
        <x:f>SUM(IF($B$8=3,AT25,0),IF($B$36=3,AT53,0),IF($B$64=3,AT81,0))</x:f>
      </x:c>
      <x:c r="AU109" s="107" t="n">
        <x:f>SUM(IF($B$8=3,AU25,0),IF($B$36=3,AU53,0),IF($B$64=3,AU81,0))</x:f>
      </x:c>
      <x:c r="AV109" s="107" t="n">
        <x:f>SUM(IF($B$8=3,AV25,0),IF($B$36=3,AV53,0),IF($B$64=3,AV81,0))</x:f>
      </x:c>
      <x:c r="AW109" s="107" t="n">
        <x:f>SUM(IF($B$8=3,AW25,0),IF($B$36=3,AW53,0),IF($B$64=3,AW81,0))</x:f>
      </x:c>
      <x:c r="AX109" s="107" t="n">
        <x:f>SUM(IF($B$8=3,AX25,0),IF($B$36=3,AX53,0),IF($B$64=3,AX81,0))</x:f>
      </x:c>
      <x:c r="AY109" s="107" t="n">
        <x:f>SUM(IF($B$8=3,AY25,0),IF($B$36=3,AY53,0),IF($B$64=3,AY81,0))</x:f>
      </x:c>
      <x:c r="AZ109" s="107" t="n">
        <x:f>SUM(IF($B$8=3,AZ25,0),IF($B$36=3,AZ53,0),IF($B$64=3,AZ81,0))</x:f>
      </x:c>
      <x:c r="BA109" s="107" t="n">
        <x:f>SUM(IF($B$8=3,BA25,0),IF($B$36=3,BA53,0),IF($B$64=3,BA81,0))</x:f>
      </x:c>
      <x:c r="BB109" s="107" t="n">
        <x:f>SUM(IF($B$8=3,BB25,0),IF($B$36=3,BB53,0),IF($B$64=3,BB81,0))</x:f>
      </x:c>
      <x:c r="BC109" s="107" t="n">
        <x:f>SUM(IF($B$8=3,BC25,0),IF($B$36=3,BC53,0),IF($B$64=3,BC81,0))</x:f>
      </x:c>
      <x:c r="BD109" s="107" t="n">
        <x:f>SUM(IF($B$8=3,BD25,0),IF($B$36=3,BD53,0),IF($B$64=3,BD81,0))</x:f>
      </x:c>
      <x:c r="BE109" s="107" t="n">
        <x:f>SUM(IF($B$8=3,BE25,0),IF($B$36=3,BE53,0),IF($B$64=3,BE81,0))</x:f>
      </x:c>
      <x:c r="BF109" s="107" t="n">
        <x:f>SUM(IF($B$8=3,BF25,0),IF($B$36=3,BF53,0),IF($B$64=3,BF81,0))</x:f>
      </x:c>
      <x:c r="BG109" s="107" t="n">
        <x:f>SUM(IF($B$8=3,BG25,0),IF($B$36=3,BG53,0),IF($B$64=3,BG81,0))</x:f>
      </x:c>
      <x:c r="BH109" s="107" t="n">
        <x:f>SUM(IF($B$8=3,BH25,0),IF($B$36=3,BH53,0),IF($B$64=3,BH81,0))</x:f>
      </x:c>
      <x:c r="BI109" s="107" t="n">
        <x:f>SUM(IF($B$8=3,BI25,0),IF($B$36=3,BI53,0),IF($B$64=3,BI81,0))</x:f>
      </x:c>
      <x:c r="BJ109" s="107" t="n">
        <x:f>SUM(IF($B$8=3,BJ25,0),IF($B$36=3,BJ53,0),IF($B$64=3,BJ81,0))</x:f>
      </x:c>
      <x:c r="BK109" s="107" t="n">
        <x:f>SUM(IF($B$8=3,BK25,0),IF($B$36=3,BK53,0),IF($B$64=3,BK81,0))</x:f>
      </x:c>
      <x:c r="BL109" s="107" t="n">
        <x:f>SUM(IF($B$8=3,BL25,0),IF($B$36=3,BL53,0),IF($B$64=3,BL81,0))</x:f>
      </x:c>
      <x:c r="BM109" s="107" t="n">
        <x:f>SUM(IF($B$8=3,BM25,0),IF($B$36=3,BM53,0),IF($B$64=3,BM81,0))</x:f>
      </x:c>
      <x:c r="BN109" s="107" t="n">
        <x:f>SUM(IF($B$8=3,BN25,0),IF($B$36=3,BN53,0),IF($B$64=3,BN81,0))</x:f>
      </x:c>
      <x:c r="BO109" s="107" t="n">
        <x:f>SUM(IF($B$8=3,BO25,0),IF($B$36=3,BO53,0),IF($B$64=3,BO81,0))</x:f>
      </x:c>
      <x:c r="BP109" s="107" t="n">
        <x:f>SUM(IF($B$8=3,BP25,0),IF($B$36=3,BP53,0),IF($B$64=3,BP81,0))</x:f>
      </x:c>
      <x:c r="BQ109" s="107" t="n">
        <x:f>SUM(IF($B$8=3,BQ25,0),IF($B$36=3,BQ53,0),IF($B$64=3,BQ81,0))</x:f>
      </x:c>
      <x:c r="BR109" s="107" t="n">
        <x:f>SUM(IF($B$8=3,BR25,0),IF($B$36=3,BR53,0),IF($B$64=3,BR81,0))</x:f>
      </x:c>
      <x:c r="BS109" s="107" t="n">
        <x:f>SUM(IF($B$8=3,BS25,0),IF($B$36=3,BS53,0),IF($B$64=3,BS81,0))</x:f>
      </x:c>
      <x:c r="BT109" s="107" t="n">
        <x:f>SUM(IF($B$8=3,BT25,0),IF($B$36=3,BT53,0),IF($B$64=3,BT81,0))</x:f>
      </x:c>
      <x:c r="BU109" s="107" t="n">
        <x:f>SUM(IF($B$8=3,BU25,0),IF($B$36=3,BU53,0),IF($B$64=3,BU81,0))</x:f>
      </x:c>
      <x:c r="BV109" s="107" t="n">
        <x:f>SUM(IF($B$8=3,BV25,0),IF($B$36=3,BV53,0),IF($B$64=3,BV81,0))</x:f>
      </x:c>
      <x:c r="BW109" s="107" t="n">
        <x:f>SUM(IF($B$8=3,BW25,0),IF($B$36=3,BW53,0),IF($B$64=3,BW81,0))</x:f>
      </x:c>
      <x:c r="BX109" s="107" t="n">
        <x:f>SUM(IF($B$8=3,BX25,0),IF($B$36=3,BX53,0),IF($B$64=3,BX81,0))</x:f>
      </x:c>
      <x:c r="BY109" s="107" t="n">
        <x:f>SUM(IF($B$8=3,BY25,0),IF($B$36=3,BY53,0),IF($B$64=3,BY81,0))</x:f>
      </x:c>
      <x:c r="BZ109" s="107" t="n">
        <x:f>SUM(IF($B$8=3,BZ25,0),IF($B$36=3,BZ53,0),IF($B$64=3,BZ81,0))</x:f>
      </x:c>
      <x:c r="CA109" s="107" t="n">
        <x:f>SUM(IF($B$8=3,CA25,0),IF($B$36=3,CA53,0),IF($B$64=3,CA81,0))</x:f>
      </x:c>
      <x:c r="CB109" s="107" t="n">
        <x:f>SUM(IF($B$8=3,CB25,0),IF($B$36=3,CB53,0),IF($B$64=3,CB81,0))</x:f>
      </x:c>
      <x:c r="CC109" s="107" t="n">
        <x:f>SUM(IF($B$8=3,CC25,0),IF($B$36=3,CC53,0),IF($B$64=3,CC81,0))</x:f>
      </x:c>
      <x:c r="CD109" s="107" t="n">
        <x:f>SUM(IF($B$8=3,CD25,0),IF($B$36=3,CD53,0),IF($B$64=3,CD81,0))</x:f>
      </x:c>
      <x:c r="CE109" s="107" t="n">
        <x:f>SUM(IF($B$8=3,CE25,0),IF($B$36=3,CE53,0),IF($B$64=3,CE81,0))</x:f>
      </x:c>
      <x:c r="CF109" s="107" t="n">
        <x:f>SUM(IF($B$8=3,CF25,0),IF($B$36=3,CF53,0),IF($B$64=3,CF81,0))</x:f>
      </x:c>
      <x:c r="CG109" s="107" t="n">
        <x:f>SUM(IF($B$8=3,CG25,0),IF($B$36=3,CG53,0),IF($B$64=3,CG81,0))</x:f>
      </x:c>
      <x:c r="CH109" s="107" t="n">
        <x:f>SUM(IF($B$8=3,CH25,0),IF($B$36=3,CH53,0),IF($B$64=3,CH81,0))</x:f>
      </x:c>
      <x:c r="CI109" s="107" t="n">
        <x:f>SUM(IF($B$8=3,CI25,0),IF($B$36=3,CI53,0),IF($B$64=3,CI81,0))</x:f>
      </x:c>
      <x:c r="CJ109" s="107" t="n">
        <x:f>SUM(IF($B$8=3,CJ25,0),IF($B$36=3,CJ53,0),IF($B$64=3,CJ81,0))</x:f>
      </x:c>
      <x:c r="CK109" s="107" t="n">
        <x:f>SUM(IF($B$8=3,CK25,0),IF($B$36=3,CK53,0),IF($B$64=3,CK81,0))</x:f>
      </x:c>
      <x:c r="CL109" s="107" t="n">
        <x:f>SUM(IF($B$8=3,CL25,0),IF($B$36=3,CL53,0),IF($B$64=3,CL81,0))</x:f>
      </x:c>
      <x:c r="CM109" s="107" t="n">
        <x:f>SUM(IF($B$8=3,CM25,0),IF($B$36=3,CM53,0),IF($B$64=3,CM81,0))</x:f>
      </x:c>
      <x:c r="CN109" s="107" t="n">
        <x:f>SUM(IF($B$8=3,CN25,0),IF($B$36=3,CN53,0),IF($B$64=3,CN81,0))</x:f>
      </x:c>
      <x:c r="CO109" s="107" t="n">
        <x:f>SUM(IF($B$8=3,CO25,0),IF($B$36=3,CO53,0),IF($B$64=3,CO81,0))</x:f>
      </x:c>
      <x:c r="CP109" s="107" t="n">
        <x:f>SUM(IF($B$8=3,CP25,0),IF($B$36=3,CP53,0),IF($B$64=3,CP81,0))</x:f>
      </x:c>
      <x:c r="CQ109" s="107" t="n">
        <x:f>SUM(IF($B$8=3,CQ25,0),IF($B$36=3,CQ53,0),IF($B$64=3,CQ81,0))</x:f>
      </x:c>
      <x:c r="CR109" s="107" t="n">
        <x:f>SUM(IF($B$8=3,CR25,0),IF($B$36=3,CR53,0),IF($B$64=3,CR81,0))</x:f>
      </x:c>
      <x:c r="CS109" s="107" t="n">
        <x:f>SUM(IF($B$8=3,CS25,0),IF($B$36=3,CS53,0),IF($B$64=3,CS81,0))</x:f>
      </x:c>
      <x:c r="CT109" s="107" t="n">
        <x:f>SUM(IF($B$8=3,CT25,0),IF($B$36=3,CT53,0),IF($B$64=3,CT81,0))</x:f>
      </x:c>
      <x:c r="CU109" s="107" t="n">
        <x:f>SUM(IF($B$8=3,CU25,0),IF($B$36=3,CU53,0),IF($B$64=3,CU81,0))</x:f>
      </x:c>
      <x:c r="CV109" s="107" t="n">
        <x:f>SUM(IF($B$8=3,CV25,0),IF($B$36=3,CV53,0),IF($B$64=3,CV81,0))</x:f>
      </x:c>
      <x:c r="CW109" s="107" t="n">
        <x:f>SUM(IF($B$8=3,CW25,0),IF($B$36=3,CW53,0),IF($B$64=3,CW81,0))</x:f>
      </x:c>
      <x:c r="CX109" s="107" t="n">
        <x:f>SUM(IF($B$8=3,CX25,0),IF($B$36=3,CX53,0),IF($B$64=3,CX81,0))</x:f>
      </x:c>
      <x:c r="CY109" s="107" t="n">
        <x:f>SUM(IF($B$8=3,CY25,0),IF($B$36=3,CY53,0),IF($B$64=3,CY81,0))</x:f>
      </x:c>
      <x:c r="CZ109" s="107" t="n">
        <x:f>SUM(IF($B$8=3,CZ25,0),IF($B$36=3,CZ53,0),IF($B$64=3,CZ81,0))</x:f>
      </x:c>
      <x:c r="DA109" s="107" t="n">
        <x:f>SUM(IF($B$8=3,DA25,0),IF($B$36=3,DA53,0),IF($B$64=3,DA81,0))</x:f>
      </x:c>
      <x:c r="DB109" s="107" t="n">
        <x:f>SUM(IF($B$8=3,DB25,0),IF($B$36=3,DB53,0),IF($B$64=3,DB81,0))</x:f>
      </x:c>
      <x:c r="DC109" s="107" t="n">
        <x:f>SUM(IF($B$8=3,DC25,0),IF($B$36=3,DC53,0),IF($B$64=3,DC81,0))</x:f>
      </x:c>
      <x:c r="DD109" s="107" t="n">
        <x:f>SUM(IF($B$8=3,DD25,0),IF($B$36=3,DD53,0),IF($B$64=3,DD81,0))</x:f>
      </x:c>
      <x:c r="DE109" s="107" t="n">
        <x:f>SUM(IF($B$8=3,DE25,0),IF($B$36=3,DE53,0),IF($B$64=3,DE81,0))</x:f>
      </x:c>
      <x:c r="DF109" s="107" t="n">
        <x:f>SUM(IF($B$8=3,DF25,0),IF($B$36=3,DF53,0),IF($B$64=3,DF81,0))</x:f>
      </x:c>
      <x:c r="DG109" s="107" t="n">
        <x:f>SUM(IF($B$8=3,DG25,0),IF($B$36=3,DG53,0),IF($B$64=3,DG81,0))</x:f>
      </x:c>
      <x:c r="DH109" s="107" t="n">
        <x:f>SUM(IF($B$8=3,DH25,0),IF($B$36=3,DH53,0),IF($B$64=3,DH81,0))</x:f>
      </x:c>
      <x:c r="DI109" s="107" t="n">
        <x:f>SUM(IF($B$8=3,DI25,0),IF($B$36=3,DI53,0),IF($B$64=3,DI81,0))</x:f>
      </x:c>
      <x:c r="DJ109" s="107" t="n">
        <x:f>SUM(IF($B$8=3,DJ25,0),IF($B$36=3,DJ53,0),IF($B$64=3,DJ81,0))</x:f>
      </x:c>
      <x:c r="DK109" s="107" t="n">
        <x:f>SUM(IF($B$8=3,DK25,0),IF($B$36=3,DK53,0),IF($B$64=3,DK81,0))</x:f>
      </x:c>
      <x:c r="DL109" s="107" t="n">
        <x:f>SUM(IF($B$8=3,DL25,0),IF($B$36=3,DL53,0),IF($B$64=3,DL81,0))</x:f>
      </x:c>
      <x:c r="DM109" s="107" t="n">
        <x:f>SUM(IF($B$8=3,DM25,0),IF($B$36=3,DM53,0),IF($B$64=3,DM81,0))</x:f>
      </x:c>
      <x:c r="DN109" s="107" t="n">
        <x:f>SUM(IF($B$8=3,DN25,0),IF($B$36=3,DN53,0),IF($B$64=3,DN81,0))</x:f>
      </x:c>
      <x:c r="DO109" s="107" t="n">
        <x:f>SUM(IF($B$8=3,DO25,0),IF($B$36=3,DO53,0),IF($B$64=3,DO81,0))</x:f>
      </x:c>
      <x:c r="DP109" s="107" t="n">
        <x:f>SUM(IF($B$8=3,DP25,0),IF($B$36=3,DP53,0),IF($B$64=3,DP81,0))</x:f>
      </x:c>
      <x:c r="DQ109" s="107" t="n">
        <x:f>SUM(IF($B$8=3,DQ25,0),IF($B$36=3,DQ53,0),IF($B$64=3,DQ81,0))</x:f>
      </x:c>
      <x:c r="DR109" s="107" t="n">
        <x:f>SUM(IF($B$8=3,DR25,0),IF($B$36=3,DR53,0),IF($B$64=3,DR81,0))</x:f>
      </x:c>
      <x:c r="DS109" s="107" t="n">
        <x:f>SUM(IF($B$8=3,DS25,0),IF($B$36=3,DS53,0),IF($B$64=3,DS81,0))</x:f>
      </x:c>
    </x:row>
    <x:row r="110">
      <x:c r="A110" t="str">
        <x:v>Очередь 3 — Прямые поступления объектов</x:v>
      </x:c>
      <x:c r="B110" s="107" t="n">
        <x:f>SUM(D110:DS110)</x:f>
      </x:c>
      <x:c r="C110" t="str">
        <x:v>млн ₽</x:v>
      </x:c>
      <x:c r="D110" s="107" t="n">
        <x:f>SUM(IF($B$8=3,D26,0),IF($B$36=3,D54,0),IF($B$64=3,D82,0))</x:f>
      </x:c>
      <x:c r="E110" s="107" t="n">
        <x:f>SUM(IF($B$8=3,E26,0),IF($B$36=3,E54,0),IF($B$64=3,E82,0))</x:f>
      </x:c>
      <x:c r="F110" s="107" t="n">
        <x:f>SUM(IF($B$8=3,F26,0),IF($B$36=3,F54,0),IF($B$64=3,F82,0))</x:f>
      </x:c>
      <x:c r="G110" s="107" t="n">
        <x:f>SUM(IF($B$8=3,G26,0),IF($B$36=3,G54,0),IF($B$64=3,G82,0))</x:f>
      </x:c>
      <x:c r="H110" s="107" t="n">
        <x:f>SUM(IF($B$8=3,H26,0),IF($B$36=3,H54,0),IF($B$64=3,H82,0))</x:f>
      </x:c>
      <x:c r="I110" s="107" t="n">
        <x:f>SUM(IF($B$8=3,I26,0),IF($B$36=3,I54,0),IF($B$64=3,I82,0))</x:f>
      </x:c>
      <x:c r="J110" s="107" t="n">
        <x:f>SUM(IF($B$8=3,J26,0),IF($B$36=3,J54,0),IF($B$64=3,J82,0))</x:f>
      </x:c>
      <x:c r="K110" s="107" t="n">
        <x:f>SUM(IF($B$8=3,K26,0),IF($B$36=3,K54,0),IF($B$64=3,K82,0))</x:f>
      </x:c>
      <x:c r="L110" s="107" t="n">
        <x:f>SUM(IF($B$8=3,L26,0),IF($B$36=3,L54,0),IF($B$64=3,L82,0))</x:f>
      </x:c>
      <x:c r="M110" s="107" t="n">
        <x:f>SUM(IF($B$8=3,M26,0),IF($B$36=3,M54,0),IF($B$64=3,M82,0))</x:f>
      </x:c>
      <x:c r="N110" s="107" t="n">
        <x:f>SUM(IF($B$8=3,N26,0),IF($B$36=3,N54,0),IF($B$64=3,N82,0))</x:f>
      </x:c>
      <x:c r="O110" s="107" t="n">
        <x:f>SUM(IF($B$8=3,O26,0),IF($B$36=3,O54,0),IF($B$64=3,O82,0))</x:f>
      </x:c>
      <x:c r="P110" s="107" t="n">
        <x:f>SUM(IF($B$8=3,P26,0),IF($B$36=3,P54,0),IF($B$64=3,P82,0))</x:f>
      </x:c>
      <x:c r="Q110" s="107" t="n">
        <x:f>SUM(IF($B$8=3,Q26,0),IF($B$36=3,Q54,0),IF($B$64=3,Q82,0))</x:f>
      </x:c>
      <x:c r="R110" s="107" t="n">
        <x:f>SUM(IF($B$8=3,R26,0),IF($B$36=3,R54,0),IF($B$64=3,R82,0))</x:f>
      </x:c>
      <x:c r="S110" s="107" t="n">
        <x:f>SUM(IF($B$8=3,S26,0),IF($B$36=3,S54,0),IF($B$64=3,S82,0))</x:f>
      </x:c>
      <x:c r="T110" s="107" t="n">
        <x:f>SUM(IF($B$8=3,T26,0),IF($B$36=3,T54,0),IF($B$64=3,T82,0))</x:f>
      </x:c>
      <x:c r="U110" s="107" t="n">
        <x:f>SUM(IF($B$8=3,U26,0),IF($B$36=3,U54,0),IF($B$64=3,U82,0))</x:f>
      </x:c>
      <x:c r="V110" s="107" t="n">
        <x:f>SUM(IF($B$8=3,V26,0),IF($B$36=3,V54,0),IF($B$64=3,V82,0))</x:f>
      </x:c>
      <x:c r="W110" s="107" t="n">
        <x:f>SUM(IF($B$8=3,W26,0),IF($B$36=3,W54,0),IF($B$64=3,W82,0))</x:f>
      </x:c>
      <x:c r="X110" s="107" t="n">
        <x:f>SUM(IF($B$8=3,X26,0),IF($B$36=3,X54,0),IF($B$64=3,X82,0))</x:f>
      </x:c>
      <x:c r="Y110" s="107" t="n">
        <x:f>SUM(IF($B$8=3,Y26,0),IF($B$36=3,Y54,0),IF($B$64=3,Y82,0))</x:f>
      </x:c>
      <x:c r="Z110" s="107" t="n">
        <x:f>SUM(IF($B$8=3,Z26,0),IF($B$36=3,Z54,0),IF($B$64=3,Z82,0))</x:f>
      </x:c>
      <x:c r="AA110" s="107" t="n">
        <x:f>SUM(IF($B$8=3,AA26,0),IF($B$36=3,AA54,0),IF($B$64=3,AA82,0))</x:f>
      </x:c>
      <x:c r="AB110" s="107" t="n">
        <x:f>SUM(IF($B$8=3,AB26,0),IF($B$36=3,AB54,0),IF($B$64=3,AB82,0))</x:f>
      </x:c>
      <x:c r="AC110" s="107" t="n">
        <x:f>SUM(IF($B$8=3,AC26,0),IF($B$36=3,AC54,0),IF($B$64=3,AC82,0))</x:f>
      </x:c>
      <x:c r="AD110" s="107" t="n">
        <x:f>SUM(IF($B$8=3,AD26,0),IF($B$36=3,AD54,0),IF($B$64=3,AD82,0))</x:f>
      </x:c>
      <x:c r="AE110" s="107" t="n">
        <x:f>SUM(IF($B$8=3,AE26,0),IF($B$36=3,AE54,0),IF($B$64=3,AE82,0))</x:f>
      </x:c>
      <x:c r="AF110" s="107" t="n">
        <x:f>SUM(IF($B$8=3,AF26,0),IF($B$36=3,AF54,0),IF($B$64=3,AF82,0))</x:f>
      </x:c>
      <x:c r="AG110" s="107" t="n">
        <x:f>SUM(IF($B$8=3,AG26,0),IF($B$36=3,AG54,0),IF($B$64=3,AG82,0))</x:f>
      </x:c>
      <x:c r="AH110" s="107" t="n">
        <x:f>SUM(IF($B$8=3,AH26,0),IF($B$36=3,AH54,0),IF($B$64=3,AH82,0))</x:f>
      </x:c>
      <x:c r="AI110" s="107" t="n">
        <x:f>SUM(IF($B$8=3,AI26,0),IF($B$36=3,AI54,0),IF($B$64=3,AI82,0))</x:f>
      </x:c>
      <x:c r="AJ110" s="107" t="n">
        <x:f>SUM(IF($B$8=3,AJ26,0),IF($B$36=3,AJ54,0),IF($B$64=3,AJ82,0))</x:f>
      </x:c>
      <x:c r="AK110" s="107" t="n">
        <x:f>SUM(IF($B$8=3,AK26,0),IF($B$36=3,AK54,0),IF($B$64=3,AK82,0))</x:f>
      </x:c>
      <x:c r="AL110" s="107" t="n">
        <x:f>SUM(IF($B$8=3,AL26,0),IF($B$36=3,AL54,0),IF($B$64=3,AL82,0))</x:f>
      </x:c>
      <x:c r="AM110" s="107" t="n">
        <x:f>SUM(IF($B$8=3,AM26,0),IF($B$36=3,AM54,0),IF($B$64=3,AM82,0))</x:f>
      </x:c>
      <x:c r="AN110" s="107" t="n">
        <x:f>SUM(IF($B$8=3,AN26,0),IF($B$36=3,AN54,0),IF($B$64=3,AN82,0))</x:f>
      </x:c>
      <x:c r="AO110" s="107" t="n">
        <x:f>SUM(IF($B$8=3,AO26,0),IF($B$36=3,AO54,0),IF($B$64=3,AO82,0))</x:f>
      </x:c>
      <x:c r="AP110" s="107" t="n">
        <x:f>SUM(IF($B$8=3,AP26,0),IF($B$36=3,AP54,0),IF($B$64=3,AP82,0))</x:f>
      </x:c>
      <x:c r="AQ110" s="107" t="n">
        <x:f>SUM(IF($B$8=3,AQ26,0),IF($B$36=3,AQ54,0),IF($B$64=3,AQ82,0))</x:f>
      </x:c>
      <x:c r="AR110" s="107" t="n">
        <x:f>SUM(IF($B$8=3,AR26,0),IF($B$36=3,AR54,0),IF($B$64=3,AR82,0))</x:f>
      </x:c>
      <x:c r="AS110" s="107" t="n">
        <x:f>SUM(IF($B$8=3,AS26,0),IF($B$36=3,AS54,0),IF($B$64=3,AS82,0))</x:f>
      </x:c>
      <x:c r="AT110" s="107" t="n">
        <x:f>SUM(IF($B$8=3,AT26,0),IF($B$36=3,AT54,0),IF($B$64=3,AT82,0))</x:f>
      </x:c>
      <x:c r="AU110" s="107" t="n">
        <x:f>SUM(IF($B$8=3,AU26,0),IF($B$36=3,AU54,0),IF($B$64=3,AU82,0))</x:f>
      </x:c>
      <x:c r="AV110" s="107" t="n">
        <x:f>SUM(IF($B$8=3,AV26,0),IF($B$36=3,AV54,0),IF($B$64=3,AV82,0))</x:f>
      </x:c>
      <x:c r="AW110" s="107" t="n">
        <x:f>SUM(IF($B$8=3,AW26,0),IF($B$36=3,AW54,0),IF($B$64=3,AW82,0))</x:f>
      </x:c>
      <x:c r="AX110" s="107" t="n">
        <x:f>SUM(IF($B$8=3,AX26,0),IF($B$36=3,AX54,0),IF($B$64=3,AX82,0))</x:f>
      </x:c>
      <x:c r="AY110" s="107" t="n">
        <x:f>SUM(IF($B$8=3,AY26,0),IF($B$36=3,AY54,0),IF($B$64=3,AY82,0))</x:f>
      </x:c>
      <x:c r="AZ110" s="107" t="n">
        <x:f>SUM(IF($B$8=3,AZ26,0),IF($B$36=3,AZ54,0),IF($B$64=3,AZ82,0))</x:f>
      </x:c>
      <x:c r="BA110" s="107" t="n">
        <x:f>SUM(IF($B$8=3,BA26,0),IF($B$36=3,BA54,0),IF($B$64=3,BA82,0))</x:f>
      </x:c>
      <x:c r="BB110" s="107" t="n">
        <x:f>SUM(IF($B$8=3,BB26,0),IF($B$36=3,BB54,0),IF($B$64=3,BB82,0))</x:f>
      </x:c>
      <x:c r="BC110" s="107" t="n">
        <x:f>SUM(IF($B$8=3,BC26,0),IF($B$36=3,BC54,0),IF($B$64=3,BC82,0))</x:f>
      </x:c>
      <x:c r="BD110" s="107" t="n">
        <x:f>SUM(IF($B$8=3,BD26,0),IF($B$36=3,BD54,0),IF($B$64=3,BD82,0))</x:f>
      </x:c>
      <x:c r="BE110" s="107" t="n">
        <x:f>SUM(IF($B$8=3,BE26,0),IF($B$36=3,BE54,0),IF($B$64=3,BE82,0))</x:f>
      </x:c>
      <x:c r="BF110" s="107" t="n">
        <x:f>SUM(IF($B$8=3,BF26,0),IF($B$36=3,BF54,0),IF($B$64=3,BF82,0))</x:f>
      </x:c>
      <x:c r="BG110" s="107" t="n">
        <x:f>SUM(IF($B$8=3,BG26,0),IF($B$36=3,BG54,0),IF($B$64=3,BG82,0))</x:f>
      </x:c>
      <x:c r="BH110" s="107" t="n">
        <x:f>SUM(IF($B$8=3,BH26,0),IF($B$36=3,BH54,0),IF($B$64=3,BH82,0))</x:f>
      </x:c>
      <x:c r="BI110" s="107" t="n">
        <x:f>SUM(IF($B$8=3,BI26,0),IF($B$36=3,BI54,0),IF($B$64=3,BI82,0))</x:f>
      </x:c>
      <x:c r="BJ110" s="107" t="n">
        <x:f>SUM(IF($B$8=3,BJ26,0),IF($B$36=3,BJ54,0),IF($B$64=3,BJ82,0))</x:f>
      </x:c>
      <x:c r="BK110" s="107" t="n">
        <x:f>SUM(IF($B$8=3,BK26,0),IF($B$36=3,BK54,0),IF($B$64=3,BK82,0))</x:f>
      </x:c>
      <x:c r="BL110" s="107" t="n">
        <x:f>SUM(IF($B$8=3,BL26,0),IF($B$36=3,BL54,0),IF($B$64=3,BL82,0))</x:f>
      </x:c>
      <x:c r="BM110" s="107" t="n">
        <x:f>SUM(IF($B$8=3,BM26,0),IF($B$36=3,BM54,0),IF($B$64=3,BM82,0))</x:f>
      </x:c>
      <x:c r="BN110" s="107" t="n">
        <x:f>SUM(IF($B$8=3,BN26,0),IF($B$36=3,BN54,0),IF($B$64=3,BN82,0))</x:f>
      </x:c>
      <x:c r="BO110" s="107" t="n">
        <x:f>SUM(IF($B$8=3,BO26,0),IF($B$36=3,BO54,0),IF($B$64=3,BO82,0))</x:f>
      </x:c>
      <x:c r="BP110" s="107" t="n">
        <x:f>SUM(IF($B$8=3,BP26,0),IF($B$36=3,BP54,0),IF($B$64=3,BP82,0))</x:f>
      </x:c>
      <x:c r="BQ110" s="107" t="n">
        <x:f>SUM(IF($B$8=3,BQ26,0),IF($B$36=3,BQ54,0),IF($B$64=3,BQ82,0))</x:f>
      </x:c>
      <x:c r="BR110" s="107" t="n">
        <x:f>SUM(IF($B$8=3,BR26,0),IF($B$36=3,BR54,0),IF($B$64=3,BR82,0))</x:f>
      </x:c>
      <x:c r="BS110" s="107" t="n">
        <x:f>SUM(IF($B$8=3,BS26,0),IF($B$36=3,BS54,0),IF($B$64=3,BS82,0))</x:f>
      </x:c>
      <x:c r="BT110" s="107" t="n">
        <x:f>SUM(IF($B$8=3,BT26,0),IF($B$36=3,BT54,0),IF($B$64=3,BT82,0))</x:f>
      </x:c>
      <x:c r="BU110" s="107" t="n">
        <x:f>SUM(IF($B$8=3,BU26,0),IF($B$36=3,BU54,0),IF($B$64=3,BU82,0))</x:f>
      </x:c>
      <x:c r="BV110" s="107" t="n">
        <x:f>SUM(IF($B$8=3,BV26,0),IF($B$36=3,BV54,0),IF($B$64=3,BV82,0))</x:f>
      </x:c>
      <x:c r="BW110" s="107" t="n">
        <x:f>SUM(IF($B$8=3,BW26,0),IF($B$36=3,BW54,0),IF($B$64=3,BW82,0))</x:f>
      </x:c>
      <x:c r="BX110" s="107" t="n">
        <x:f>SUM(IF($B$8=3,BX26,0),IF($B$36=3,BX54,0),IF($B$64=3,BX82,0))</x:f>
      </x:c>
      <x:c r="BY110" s="107" t="n">
        <x:f>SUM(IF($B$8=3,BY26,0),IF($B$36=3,BY54,0),IF($B$64=3,BY82,0))</x:f>
      </x:c>
      <x:c r="BZ110" s="107" t="n">
        <x:f>SUM(IF($B$8=3,BZ26,0),IF($B$36=3,BZ54,0),IF($B$64=3,BZ82,0))</x:f>
      </x:c>
      <x:c r="CA110" s="107" t="n">
        <x:f>SUM(IF($B$8=3,CA26,0),IF($B$36=3,CA54,0),IF($B$64=3,CA82,0))</x:f>
      </x:c>
      <x:c r="CB110" s="107" t="n">
        <x:f>SUM(IF($B$8=3,CB26,0),IF($B$36=3,CB54,0),IF($B$64=3,CB82,0))</x:f>
      </x:c>
      <x:c r="CC110" s="107" t="n">
        <x:f>SUM(IF($B$8=3,CC26,0),IF($B$36=3,CC54,0),IF($B$64=3,CC82,0))</x:f>
      </x:c>
      <x:c r="CD110" s="107" t="n">
        <x:f>SUM(IF($B$8=3,CD26,0),IF($B$36=3,CD54,0),IF($B$64=3,CD82,0))</x:f>
      </x:c>
      <x:c r="CE110" s="107" t="n">
        <x:f>SUM(IF($B$8=3,CE26,0),IF($B$36=3,CE54,0),IF($B$64=3,CE82,0))</x:f>
      </x:c>
      <x:c r="CF110" s="107" t="n">
        <x:f>SUM(IF($B$8=3,CF26,0),IF($B$36=3,CF54,0),IF($B$64=3,CF82,0))</x:f>
      </x:c>
      <x:c r="CG110" s="107" t="n">
        <x:f>SUM(IF($B$8=3,CG26,0),IF($B$36=3,CG54,0),IF($B$64=3,CG82,0))</x:f>
      </x:c>
      <x:c r="CH110" s="107" t="n">
        <x:f>SUM(IF($B$8=3,CH26,0),IF($B$36=3,CH54,0),IF($B$64=3,CH82,0))</x:f>
      </x:c>
      <x:c r="CI110" s="107" t="n">
        <x:f>SUM(IF($B$8=3,CI26,0),IF($B$36=3,CI54,0),IF($B$64=3,CI82,0))</x:f>
      </x:c>
      <x:c r="CJ110" s="107" t="n">
        <x:f>SUM(IF($B$8=3,CJ26,0),IF($B$36=3,CJ54,0),IF($B$64=3,CJ82,0))</x:f>
      </x:c>
      <x:c r="CK110" s="107" t="n">
        <x:f>SUM(IF($B$8=3,CK26,0),IF($B$36=3,CK54,0),IF($B$64=3,CK82,0))</x:f>
      </x:c>
      <x:c r="CL110" s="107" t="n">
        <x:f>SUM(IF($B$8=3,CL26,0),IF($B$36=3,CL54,0),IF($B$64=3,CL82,0))</x:f>
      </x:c>
      <x:c r="CM110" s="107" t="n">
        <x:f>SUM(IF($B$8=3,CM26,0),IF($B$36=3,CM54,0),IF($B$64=3,CM82,0))</x:f>
      </x:c>
      <x:c r="CN110" s="107" t="n">
        <x:f>SUM(IF($B$8=3,CN26,0),IF($B$36=3,CN54,0),IF($B$64=3,CN82,0))</x:f>
      </x:c>
      <x:c r="CO110" s="107" t="n">
        <x:f>SUM(IF($B$8=3,CO26,0),IF($B$36=3,CO54,0),IF($B$64=3,CO82,0))</x:f>
      </x:c>
      <x:c r="CP110" s="107" t="n">
        <x:f>SUM(IF($B$8=3,CP26,0),IF($B$36=3,CP54,0),IF($B$64=3,CP82,0))</x:f>
      </x:c>
      <x:c r="CQ110" s="107" t="n">
        <x:f>SUM(IF($B$8=3,CQ26,0),IF($B$36=3,CQ54,0),IF($B$64=3,CQ82,0))</x:f>
      </x:c>
      <x:c r="CR110" s="107" t="n">
        <x:f>SUM(IF($B$8=3,CR26,0),IF($B$36=3,CR54,0),IF($B$64=3,CR82,0))</x:f>
      </x:c>
      <x:c r="CS110" s="107" t="n">
        <x:f>SUM(IF($B$8=3,CS26,0),IF($B$36=3,CS54,0),IF($B$64=3,CS82,0))</x:f>
      </x:c>
      <x:c r="CT110" s="107" t="n">
        <x:f>SUM(IF($B$8=3,CT26,0),IF($B$36=3,CT54,0),IF($B$64=3,CT82,0))</x:f>
      </x:c>
      <x:c r="CU110" s="107" t="n">
        <x:f>SUM(IF($B$8=3,CU26,0),IF($B$36=3,CU54,0),IF($B$64=3,CU82,0))</x:f>
      </x:c>
      <x:c r="CV110" s="107" t="n">
        <x:f>SUM(IF($B$8=3,CV26,0),IF($B$36=3,CV54,0),IF($B$64=3,CV82,0))</x:f>
      </x:c>
      <x:c r="CW110" s="107" t="n">
        <x:f>SUM(IF($B$8=3,CW26,0),IF($B$36=3,CW54,0),IF($B$64=3,CW82,0))</x:f>
      </x:c>
      <x:c r="CX110" s="107" t="n">
        <x:f>SUM(IF($B$8=3,CX26,0),IF($B$36=3,CX54,0),IF($B$64=3,CX82,0))</x:f>
      </x:c>
      <x:c r="CY110" s="107" t="n">
        <x:f>SUM(IF($B$8=3,CY26,0),IF($B$36=3,CY54,0),IF($B$64=3,CY82,0))</x:f>
      </x:c>
      <x:c r="CZ110" s="107" t="n">
        <x:f>SUM(IF($B$8=3,CZ26,0),IF($B$36=3,CZ54,0),IF($B$64=3,CZ82,0))</x:f>
      </x:c>
      <x:c r="DA110" s="107" t="n">
        <x:f>SUM(IF($B$8=3,DA26,0),IF($B$36=3,DA54,0),IF($B$64=3,DA82,0))</x:f>
      </x:c>
      <x:c r="DB110" s="107" t="n">
        <x:f>SUM(IF($B$8=3,DB26,0),IF($B$36=3,DB54,0),IF($B$64=3,DB82,0))</x:f>
      </x:c>
      <x:c r="DC110" s="107" t="n">
        <x:f>SUM(IF($B$8=3,DC26,0),IF($B$36=3,DC54,0),IF($B$64=3,DC82,0))</x:f>
      </x:c>
      <x:c r="DD110" s="107" t="n">
        <x:f>SUM(IF($B$8=3,DD26,0),IF($B$36=3,DD54,0),IF($B$64=3,DD82,0))</x:f>
      </x:c>
      <x:c r="DE110" s="107" t="n">
        <x:f>SUM(IF($B$8=3,DE26,0),IF($B$36=3,DE54,0),IF($B$64=3,DE82,0))</x:f>
      </x:c>
      <x:c r="DF110" s="107" t="n">
        <x:f>SUM(IF($B$8=3,DF26,0),IF($B$36=3,DF54,0),IF($B$64=3,DF82,0))</x:f>
      </x:c>
      <x:c r="DG110" s="107" t="n">
        <x:f>SUM(IF($B$8=3,DG26,0),IF($B$36=3,DG54,0),IF($B$64=3,DG82,0))</x:f>
      </x:c>
      <x:c r="DH110" s="107" t="n">
        <x:f>SUM(IF($B$8=3,DH26,0),IF($B$36=3,DH54,0),IF($B$64=3,DH82,0))</x:f>
      </x:c>
      <x:c r="DI110" s="107" t="n">
        <x:f>SUM(IF($B$8=3,DI26,0),IF($B$36=3,DI54,0),IF($B$64=3,DI82,0))</x:f>
      </x:c>
      <x:c r="DJ110" s="107" t="n">
        <x:f>SUM(IF($B$8=3,DJ26,0),IF($B$36=3,DJ54,0),IF($B$64=3,DJ82,0))</x:f>
      </x:c>
      <x:c r="DK110" s="107" t="n">
        <x:f>SUM(IF($B$8=3,DK26,0),IF($B$36=3,DK54,0),IF($B$64=3,DK82,0))</x:f>
      </x:c>
      <x:c r="DL110" s="107" t="n">
        <x:f>SUM(IF($B$8=3,DL26,0),IF($B$36=3,DL54,0),IF($B$64=3,DL82,0))</x:f>
      </x:c>
      <x:c r="DM110" s="107" t="n">
        <x:f>SUM(IF($B$8=3,DM26,0),IF($B$36=3,DM54,0),IF($B$64=3,DM82,0))</x:f>
      </x:c>
      <x:c r="DN110" s="107" t="n">
        <x:f>SUM(IF($B$8=3,DN26,0),IF($B$36=3,DN54,0),IF($B$64=3,DN82,0))</x:f>
      </x:c>
      <x:c r="DO110" s="107" t="n">
        <x:f>SUM(IF($B$8=3,DO26,0),IF($B$36=3,DO54,0),IF($B$64=3,DO82,0))</x:f>
      </x:c>
      <x:c r="DP110" s="107" t="n">
        <x:f>SUM(IF($B$8=3,DP26,0),IF($B$36=3,DP54,0),IF($B$64=3,DP82,0))</x:f>
      </x:c>
      <x:c r="DQ110" s="107" t="n">
        <x:f>SUM(IF($B$8=3,DQ26,0),IF($B$36=3,DQ54,0),IF($B$64=3,DQ82,0))</x:f>
      </x:c>
      <x:c r="DR110" s="107" t="n">
        <x:f>SUM(IF($B$8=3,DR26,0),IF($B$36=3,DR54,0),IF($B$64=3,DR82,0))</x:f>
      </x:c>
      <x:c r="DS110" s="107" t="n">
        <x:f>SUM(IF($B$8=3,DS26,0),IF($B$36=3,DS54,0),IF($B$64=3,DS82,0))</x:f>
      </x:c>
    </x:row>
    <x:row r="111">
      <x:c r="A111" t="str">
        <x:v>Очередь 3 — Раскрытие эскроу объектов</x:v>
      </x:c>
      <x:c r="B111" s="107" t="n">
        <x:f>SUM(D111:DS111)</x:f>
      </x:c>
      <x:c r="C111" t="str">
        <x:v>млн ₽</x:v>
      </x:c>
      <x:c r="D111" s="107" t="n">
        <x:f>SUM(IF($B$8=3,D27,0),IF($B$36=3,D55,0),IF($B$64=3,D83,0))</x:f>
      </x:c>
      <x:c r="E111" s="107" t="n">
        <x:f>SUM(IF($B$8=3,E27,0),IF($B$36=3,E55,0),IF($B$64=3,E83,0))</x:f>
      </x:c>
      <x:c r="F111" s="107" t="n">
        <x:f>SUM(IF($B$8=3,F27,0),IF($B$36=3,F55,0),IF($B$64=3,F83,0))</x:f>
      </x:c>
      <x:c r="G111" s="107" t="n">
        <x:f>SUM(IF($B$8=3,G27,0),IF($B$36=3,G55,0),IF($B$64=3,G83,0))</x:f>
      </x:c>
      <x:c r="H111" s="107" t="n">
        <x:f>SUM(IF($B$8=3,H27,0),IF($B$36=3,H55,0),IF($B$64=3,H83,0))</x:f>
      </x:c>
      <x:c r="I111" s="107" t="n">
        <x:f>SUM(IF($B$8=3,I27,0),IF($B$36=3,I55,0),IF($B$64=3,I83,0))</x:f>
      </x:c>
      <x:c r="J111" s="107" t="n">
        <x:f>SUM(IF($B$8=3,J27,0),IF($B$36=3,J55,0),IF($B$64=3,J83,0))</x:f>
      </x:c>
      <x:c r="K111" s="107" t="n">
        <x:f>SUM(IF($B$8=3,K27,0),IF($B$36=3,K55,0),IF($B$64=3,K83,0))</x:f>
      </x:c>
      <x:c r="L111" s="107" t="n">
        <x:f>SUM(IF($B$8=3,L27,0),IF($B$36=3,L55,0),IF($B$64=3,L83,0))</x:f>
      </x:c>
      <x:c r="M111" s="107" t="n">
        <x:f>SUM(IF($B$8=3,M27,0),IF($B$36=3,M55,0),IF($B$64=3,M83,0))</x:f>
      </x:c>
      <x:c r="N111" s="107" t="n">
        <x:f>SUM(IF($B$8=3,N27,0),IF($B$36=3,N55,0),IF($B$64=3,N83,0))</x:f>
      </x:c>
      <x:c r="O111" s="107" t="n">
        <x:f>SUM(IF($B$8=3,O27,0),IF($B$36=3,O55,0),IF($B$64=3,O83,0))</x:f>
      </x:c>
      <x:c r="P111" s="107" t="n">
        <x:f>SUM(IF($B$8=3,P27,0),IF($B$36=3,P55,0),IF($B$64=3,P83,0))</x:f>
      </x:c>
      <x:c r="Q111" s="107" t="n">
        <x:f>SUM(IF($B$8=3,Q27,0),IF($B$36=3,Q55,0),IF($B$64=3,Q83,0))</x:f>
      </x:c>
      <x:c r="R111" s="107" t="n">
        <x:f>SUM(IF($B$8=3,R27,0),IF($B$36=3,R55,0),IF($B$64=3,R83,0))</x:f>
      </x:c>
      <x:c r="S111" s="107" t="n">
        <x:f>SUM(IF($B$8=3,S27,0),IF($B$36=3,S55,0),IF($B$64=3,S83,0))</x:f>
      </x:c>
      <x:c r="T111" s="107" t="n">
        <x:f>SUM(IF($B$8=3,T27,0),IF($B$36=3,T55,0),IF($B$64=3,T83,0))</x:f>
      </x:c>
      <x:c r="U111" s="107" t="n">
        <x:f>SUM(IF($B$8=3,U27,0),IF($B$36=3,U55,0),IF($B$64=3,U83,0))</x:f>
      </x:c>
      <x:c r="V111" s="107" t="n">
        <x:f>SUM(IF($B$8=3,V27,0),IF($B$36=3,V55,0),IF($B$64=3,V83,0))</x:f>
      </x:c>
      <x:c r="W111" s="107" t="n">
        <x:f>SUM(IF($B$8=3,W27,0),IF($B$36=3,W55,0),IF($B$64=3,W83,0))</x:f>
      </x:c>
      <x:c r="X111" s="107" t="n">
        <x:f>SUM(IF($B$8=3,X27,0),IF($B$36=3,X55,0),IF($B$64=3,X83,0))</x:f>
      </x:c>
      <x:c r="Y111" s="107" t="n">
        <x:f>SUM(IF($B$8=3,Y27,0),IF($B$36=3,Y55,0),IF($B$64=3,Y83,0))</x:f>
      </x:c>
      <x:c r="Z111" s="107" t="n">
        <x:f>SUM(IF($B$8=3,Z27,0),IF($B$36=3,Z55,0),IF($B$64=3,Z83,0))</x:f>
      </x:c>
      <x:c r="AA111" s="107" t="n">
        <x:f>SUM(IF($B$8=3,AA27,0),IF($B$36=3,AA55,0),IF($B$64=3,AA83,0))</x:f>
      </x:c>
      <x:c r="AB111" s="107" t="n">
        <x:f>SUM(IF($B$8=3,AB27,0),IF($B$36=3,AB55,0),IF($B$64=3,AB83,0))</x:f>
      </x:c>
      <x:c r="AC111" s="107" t="n">
        <x:f>SUM(IF($B$8=3,AC27,0),IF($B$36=3,AC55,0),IF($B$64=3,AC83,0))</x:f>
      </x:c>
      <x:c r="AD111" s="107" t="n">
        <x:f>SUM(IF($B$8=3,AD27,0),IF($B$36=3,AD55,0),IF($B$64=3,AD83,0))</x:f>
      </x:c>
      <x:c r="AE111" s="107" t="n">
        <x:f>SUM(IF($B$8=3,AE27,0),IF($B$36=3,AE55,0),IF($B$64=3,AE83,0))</x:f>
      </x:c>
      <x:c r="AF111" s="107" t="n">
        <x:f>SUM(IF($B$8=3,AF27,0),IF($B$36=3,AF55,0),IF($B$64=3,AF83,0))</x:f>
      </x:c>
      <x:c r="AG111" s="107" t="n">
        <x:f>SUM(IF($B$8=3,AG27,0),IF($B$36=3,AG55,0),IF($B$64=3,AG83,0))</x:f>
      </x:c>
      <x:c r="AH111" s="107" t="n">
        <x:f>SUM(IF($B$8=3,AH27,0),IF($B$36=3,AH55,0),IF($B$64=3,AH83,0))</x:f>
      </x:c>
      <x:c r="AI111" s="107" t="n">
        <x:f>SUM(IF($B$8=3,AI27,0),IF($B$36=3,AI55,0),IF($B$64=3,AI83,0))</x:f>
      </x:c>
      <x:c r="AJ111" s="107" t="n">
        <x:f>SUM(IF($B$8=3,AJ27,0),IF($B$36=3,AJ55,0),IF($B$64=3,AJ83,0))</x:f>
      </x:c>
      <x:c r="AK111" s="107" t="n">
        <x:f>SUM(IF($B$8=3,AK27,0),IF($B$36=3,AK55,0),IF($B$64=3,AK83,0))</x:f>
      </x:c>
      <x:c r="AL111" s="107" t="n">
        <x:f>SUM(IF($B$8=3,AL27,0),IF($B$36=3,AL55,0),IF($B$64=3,AL83,0))</x:f>
      </x:c>
      <x:c r="AM111" s="107" t="n">
        <x:f>SUM(IF($B$8=3,AM27,0),IF($B$36=3,AM55,0),IF($B$64=3,AM83,0))</x:f>
      </x:c>
      <x:c r="AN111" s="107" t="n">
        <x:f>SUM(IF($B$8=3,AN27,0),IF($B$36=3,AN55,0),IF($B$64=3,AN83,0))</x:f>
      </x:c>
      <x:c r="AO111" s="107" t="n">
        <x:f>SUM(IF($B$8=3,AO27,0),IF($B$36=3,AO55,0),IF($B$64=3,AO83,0))</x:f>
      </x:c>
      <x:c r="AP111" s="107" t="n">
        <x:f>SUM(IF($B$8=3,AP27,0),IF($B$36=3,AP55,0),IF($B$64=3,AP83,0))</x:f>
      </x:c>
      <x:c r="AQ111" s="107" t="n">
        <x:f>SUM(IF($B$8=3,AQ27,0),IF($B$36=3,AQ55,0),IF($B$64=3,AQ83,0))</x:f>
      </x:c>
      <x:c r="AR111" s="107" t="n">
        <x:f>SUM(IF($B$8=3,AR27,0),IF($B$36=3,AR55,0),IF($B$64=3,AR83,0))</x:f>
      </x:c>
      <x:c r="AS111" s="107" t="n">
        <x:f>SUM(IF($B$8=3,AS27,0),IF($B$36=3,AS55,0),IF($B$64=3,AS83,0))</x:f>
      </x:c>
      <x:c r="AT111" s="107" t="n">
        <x:f>SUM(IF($B$8=3,AT27,0),IF($B$36=3,AT55,0),IF($B$64=3,AT83,0))</x:f>
      </x:c>
      <x:c r="AU111" s="107" t="n">
        <x:f>SUM(IF($B$8=3,AU27,0),IF($B$36=3,AU55,0),IF($B$64=3,AU83,0))</x:f>
      </x:c>
      <x:c r="AV111" s="107" t="n">
        <x:f>SUM(IF($B$8=3,AV27,0),IF($B$36=3,AV55,0),IF($B$64=3,AV83,0))</x:f>
      </x:c>
      <x:c r="AW111" s="107" t="n">
        <x:f>SUM(IF($B$8=3,AW27,0),IF($B$36=3,AW55,0),IF($B$64=3,AW83,0))</x:f>
      </x:c>
      <x:c r="AX111" s="107" t="n">
        <x:f>SUM(IF($B$8=3,AX27,0),IF($B$36=3,AX55,0),IF($B$64=3,AX83,0))</x:f>
      </x:c>
      <x:c r="AY111" s="107" t="n">
        <x:f>SUM(IF($B$8=3,AY27,0),IF($B$36=3,AY55,0),IF($B$64=3,AY83,0))</x:f>
      </x:c>
      <x:c r="AZ111" s="107" t="n">
        <x:f>SUM(IF($B$8=3,AZ27,0),IF($B$36=3,AZ55,0),IF($B$64=3,AZ83,0))</x:f>
      </x:c>
      <x:c r="BA111" s="107" t="n">
        <x:f>SUM(IF($B$8=3,BA27,0),IF($B$36=3,BA55,0),IF($B$64=3,BA83,0))</x:f>
      </x:c>
      <x:c r="BB111" s="107" t="n">
        <x:f>SUM(IF($B$8=3,BB27,0),IF($B$36=3,BB55,0),IF($B$64=3,BB83,0))</x:f>
      </x:c>
      <x:c r="BC111" s="107" t="n">
        <x:f>SUM(IF($B$8=3,BC27,0),IF($B$36=3,BC55,0),IF($B$64=3,BC83,0))</x:f>
      </x:c>
      <x:c r="BD111" s="107" t="n">
        <x:f>SUM(IF($B$8=3,BD27,0),IF($B$36=3,BD55,0),IF($B$64=3,BD83,0))</x:f>
      </x:c>
      <x:c r="BE111" s="107" t="n">
        <x:f>SUM(IF($B$8=3,BE27,0),IF($B$36=3,BE55,0),IF($B$64=3,BE83,0))</x:f>
      </x:c>
      <x:c r="BF111" s="107" t="n">
        <x:f>SUM(IF($B$8=3,BF27,0),IF($B$36=3,BF55,0),IF($B$64=3,BF83,0))</x:f>
      </x:c>
      <x:c r="BG111" s="107" t="n">
        <x:f>SUM(IF($B$8=3,BG27,0),IF($B$36=3,BG55,0),IF($B$64=3,BG83,0))</x:f>
      </x:c>
      <x:c r="BH111" s="107" t="n">
        <x:f>SUM(IF($B$8=3,BH27,0),IF($B$36=3,BH55,0),IF($B$64=3,BH83,0))</x:f>
      </x:c>
      <x:c r="BI111" s="107" t="n">
        <x:f>SUM(IF($B$8=3,BI27,0),IF($B$36=3,BI55,0),IF($B$64=3,BI83,0))</x:f>
      </x:c>
      <x:c r="BJ111" s="107" t="n">
        <x:f>SUM(IF($B$8=3,BJ27,0),IF($B$36=3,BJ55,0),IF($B$64=3,BJ83,0))</x:f>
      </x:c>
      <x:c r="BK111" s="107" t="n">
        <x:f>SUM(IF($B$8=3,BK27,0),IF($B$36=3,BK55,0),IF($B$64=3,BK83,0))</x:f>
      </x:c>
      <x:c r="BL111" s="107" t="n">
        <x:f>SUM(IF($B$8=3,BL27,0),IF($B$36=3,BL55,0),IF($B$64=3,BL83,0))</x:f>
      </x:c>
      <x:c r="BM111" s="107" t="n">
        <x:f>SUM(IF($B$8=3,BM27,0),IF($B$36=3,BM55,0),IF($B$64=3,BM83,0))</x:f>
      </x:c>
      <x:c r="BN111" s="107" t="n">
        <x:f>SUM(IF($B$8=3,BN27,0),IF($B$36=3,BN55,0),IF($B$64=3,BN83,0))</x:f>
      </x:c>
      <x:c r="BO111" s="107" t="n">
        <x:f>SUM(IF($B$8=3,BO27,0),IF($B$36=3,BO55,0),IF($B$64=3,BO83,0))</x:f>
      </x:c>
      <x:c r="BP111" s="107" t="n">
        <x:f>SUM(IF($B$8=3,BP27,0),IF($B$36=3,BP55,0),IF($B$64=3,BP83,0))</x:f>
      </x:c>
      <x:c r="BQ111" s="107" t="n">
        <x:f>SUM(IF($B$8=3,BQ27,0),IF($B$36=3,BQ55,0),IF($B$64=3,BQ83,0))</x:f>
      </x:c>
      <x:c r="BR111" s="107" t="n">
        <x:f>SUM(IF($B$8=3,BR27,0),IF($B$36=3,BR55,0),IF($B$64=3,BR83,0))</x:f>
      </x:c>
      <x:c r="BS111" s="107" t="n">
        <x:f>SUM(IF($B$8=3,BS27,0),IF($B$36=3,BS55,0),IF($B$64=3,BS83,0))</x:f>
      </x:c>
      <x:c r="BT111" s="107" t="n">
        <x:f>SUM(IF($B$8=3,BT27,0),IF($B$36=3,BT55,0),IF($B$64=3,BT83,0))</x:f>
      </x:c>
      <x:c r="BU111" s="107" t="n">
        <x:f>SUM(IF($B$8=3,BU27,0),IF($B$36=3,BU55,0),IF($B$64=3,BU83,0))</x:f>
      </x:c>
      <x:c r="BV111" s="107" t="n">
        <x:f>SUM(IF($B$8=3,BV27,0),IF($B$36=3,BV55,0),IF($B$64=3,BV83,0))</x:f>
      </x:c>
      <x:c r="BW111" s="107" t="n">
        <x:f>SUM(IF($B$8=3,BW27,0),IF($B$36=3,BW55,0),IF($B$64=3,BW83,0))</x:f>
      </x:c>
      <x:c r="BX111" s="107" t="n">
        <x:f>SUM(IF($B$8=3,BX27,0),IF($B$36=3,BX55,0),IF($B$64=3,BX83,0))</x:f>
      </x:c>
      <x:c r="BY111" s="107" t="n">
        <x:f>SUM(IF($B$8=3,BY27,0),IF($B$36=3,BY55,0),IF($B$64=3,BY83,0))</x:f>
      </x:c>
      <x:c r="BZ111" s="107" t="n">
        <x:f>SUM(IF($B$8=3,BZ27,0),IF($B$36=3,BZ55,0),IF($B$64=3,BZ83,0))</x:f>
      </x:c>
      <x:c r="CA111" s="107" t="n">
        <x:f>SUM(IF($B$8=3,CA27,0),IF($B$36=3,CA55,0),IF($B$64=3,CA83,0))</x:f>
      </x:c>
      <x:c r="CB111" s="107" t="n">
        <x:f>SUM(IF($B$8=3,CB27,0),IF($B$36=3,CB55,0),IF($B$64=3,CB83,0))</x:f>
      </x:c>
      <x:c r="CC111" s="107" t="n">
        <x:f>SUM(IF($B$8=3,CC27,0),IF($B$36=3,CC55,0),IF($B$64=3,CC83,0))</x:f>
      </x:c>
      <x:c r="CD111" s="107" t="n">
        <x:f>SUM(IF($B$8=3,CD27,0),IF($B$36=3,CD55,0),IF($B$64=3,CD83,0))</x:f>
      </x:c>
      <x:c r="CE111" s="107" t="n">
        <x:f>SUM(IF($B$8=3,CE27,0),IF($B$36=3,CE55,0),IF($B$64=3,CE83,0))</x:f>
      </x:c>
      <x:c r="CF111" s="107" t="n">
        <x:f>SUM(IF($B$8=3,CF27,0),IF($B$36=3,CF55,0),IF($B$64=3,CF83,0))</x:f>
      </x:c>
      <x:c r="CG111" s="107" t="n">
        <x:f>SUM(IF($B$8=3,CG27,0),IF($B$36=3,CG55,0),IF($B$64=3,CG83,0))</x:f>
      </x:c>
      <x:c r="CH111" s="107" t="n">
        <x:f>SUM(IF($B$8=3,CH27,0),IF($B$36=3,CH55,0),IF($B$64=3,CH83,0))</x:f>
      </x:c>
      <x:c r="CI111" s="107" t="n">
        <x:f>SUM(IF($B$8=3,CI27,0),IF($B$36=3,CI55,0),IF($B$64=3,CI83,0))</x:f>
      </x:c>
      <x:c r="CJ111" s="107" t="n">
        <x:f>SUM(IF($B$8=3,CJ27,0),IF($B$36=3,CJ55,0),IF($B$64=3,CJ83,0))</x:f>
      </x:c>
      <x:c r="CK111" s="107" t="n">
        <x:f>SUM(IF($B$8=3,CK27,0),IF($B$36=3,CK55,0),IF($B$64=3,CK83,0))</x:f>
      </x:c>
      <x:c r="CL111" s="107" t="n">
        <x:f>SUM(IF($B$8=3,CL27,0),IF($B$36=3,CL55,0),IF($B$64=3,CL83,0))</x:f>
      </x:c>
      <x:c r="CM111" s="107" t="n">
        <x:f>SUM(IF($B$8=3,CM27,0),IF($B$36=3,CM55,0),IF($B$64=3,CM83,0))</x:f>
      </x:c>
      <x:c r="CN111" s="107" t="n">
        <x:f>SUM(IF($B$8=3,CN27,0),IF($B$36=3,CN55,0),IF($B$64=3,CN83,0))</x:f>
      </x:c>
      <x:c r="CO111" s="107" t="n">
        <x:f>SUM(IF($B$8=3,CO27,0),IF($B$36=3,CO55,0),IF($B$64=3,CO83,0))</x:f>
      </x:c>
      <x:c r="CP111" s="107" t="n">
        <x:f>SUM(IF($B$8=3,CP27,0),IF($B$36=3,CP55,0),IF($B$64=3,CP83,0))</x:f>
      </x:c>
      <x:c r="CQ111" s="107" t="n">
        <x:f>SUM(IF($B$8=3,CQ27,0),IF($B$36=3,CQ55,0),IF($B$64=3,CQ83,0))</x:f>
      </x:c>
      <x:c r="CR111" s="107" t="n">
        <x:f>SUM(IF($B$8=3,CR27,0),IF($B$36=3,CR55,0),IF($B$64=3,CR83,0))</x:f>
      </x:c>
      <x:c r="CS111" s="107" t="n">
        <x:f>SUM(IF($B$8=3,CS27,0),IF($B$36=3,CS55,0),IF($B$64=3,CS83,0))</x:f>
      </x:c>
      <x:c r="CT111" s="107" t="n">
        <x:f>SUM(IF($B$8=3,CT27,0),IF($B$36=3,CT55,0),IF($B$64=3,CT83,0))</x:f>
      </x:c>
      <x:c r="CU111" s="107" t="n">
        <x:f>SUM(IF($B$8=3,CU27,0),IF($B$36=3,CU55,0),IF($B$64=3,CU83,0))</x:f>
      </x:c>
      <x:c r="CV111" s="107" t="n">
        <x:f>SUM(IF($B$8=3,CV27,0),IF($B$36=3,CV55,0),IF($B$64=3,CV83,0))</x:f>
      </x:c>
      <x:c r="CW111" s="107" t="n">
        <x:f>SUM(IF($B$8=3,CW27,0),IF($B$36=3,CW55,0),IF($B$64=3,CW83,0))</x:f>
      </x:c>
      <x:c r="CX111" s="107" t="n">
        <x:f>SUM(IF($B$8=3,CX27,0),IF($B$36=3,CX55,0),IF($B$64=3,CX83,0))</x:f>
      </x:c>
      <x:c r="CY111" s="107" t="n">
        <x:f>SUM(IF($B$8=3,CY27,0),IF($B$36=3,CY55,0),IF($B$64=3,CY83,0))</x:f>
      </x:c>
      <x:c r="CZ111" s="107" t="n">
        <x:f>SUM(IF($B$8=3,CZ27,0),IF($B$36=3,CZ55,0),IF($B$64=3,CZ83,0))</x:f>
      </x:c>
      <x:c r="DA111" s="107" t="n">
        <x:f>SUM(IF($B$8=3,DA27,0),IF($B$36=3,DA55,0),IF($B$64=3,DA83,0))</x:f>
      </x:c>
      <x:c r="DB111" s="107" t="n">
        <x:f>SUM(IF($B$8=3,DB27,0),IF($B$36=3,DB55,0),IF($B$64=3,DB83,0))</x:f>
      </x:c>
      <x:c r="DC111" s="107" t="n">
        <x:f>SUM(IF($B$8=3,DC27,0),IF($B$36=3,DC55,0),IF($B$64=3,DC83,0))</x:f>
      </x:c>
      <x:c r="DD111" s="107" t="n">
        <x:f>SUM(IF($B$8=3,DD27,0),IF($B$36=3,DD55,0),IF($B$64=3,DD83,0))</x:f>
      </x:c>
      <x:c r="DE111" s="107" t="n">
        <x:f>SUM(IF($B$8=3,DE27,0),IF($B$36=3,DE55,0),IF($B$64=3,DE83,0))</x:f>
      </x:c>
      <x:c r="DF111" s="107" t="n">
        <x:f>SUM(IF($B$8=3,DF27,0),IF($B$36=3,DF55,0),IF($B$64=3,DF83,0))</x:f>
      </x:c>
      <x:c r="DG111" s="107" t="n">
        <x:f>SUM(IF($B$8=3,DG27,0),IF($B$36=3,DG55,0),IF($B$64=3,DG83,0))</x:f>
      </x:c>
      <x:c r="DH111" s="107" t="n">
        <x:f>SUM(IF($B$8=3,DH27,0),IF($B$36=3,DH55,0),IF($B$64=3,DH83,0))</x:f>
      </x:c>
      <x:c r="DI111" s="107" t="n">
        <x:f>SUM(IF($B$8=3,DI27,0),IF($B$36=3,DI55,0),IF($B$64=3,DI83,0))</x:f>
      </x:c>
      <x:c r="DJ111" s="107" t="n">
        <x:f>SUM(IF($B$8=3,DJ27,0),IF($B$36=3,DJ55,0),IF($B$64=3,DJ83,0))</x:f>
      </x:c>
      <x:c r="DK111" s="107" t="n">
        <x:f>SUM(IF($B$8=3,DK27,0),IF($B$36=3,DK55,0),IF($B$64=3,DK83,0))</x:f>
      </x:c>
      <x:c r="DL111" s="107" t="n">
        <x:f>SUM(IF($B$8=3,DL27,0),IF($B$36=3,DL55,0),IF($B$64=3,DL83,0))</x:f>
      </x:c>
      <x:c r="DM111" s="107" t="n">
        <x:f>SUM(IF($B$8=3,DM27,0),IF($B$36=3,DM55,0),IF($B$64=3,DM83,0))</x:f>
      </x:c>
      <x:c r="DN111" s="107" t="n">
        <x:f>SUM(IF($B$8=3,DN27,0),IF($B$36=3,DN55,0),IF($B$64=3,DN83,0))</x:f>
      </x:c>
      <x:c r="DO111" s="107" t="n">
        <x:f>SUM(IF($B$8=3,DO27,0),IF($B$36=3,DO55,0),IF($B$64=3,DO83,0))</x:f>
      </x:c>
      <x:c r="DP111" s="107" t="n">
        <x:f>SUM(IF($B$8=3,DP27,0),IF($B$36=3,DP55,0),IF($B$64=3,DP83,0))</x:f>
      </x:c>
      <x:c r="DQ111" s="107" t="n">
        <x:f>SUM(IF($B$8=3,DQ27,0),IF($B$36=3,DQ55,0),IF($B$64=3,DQ83,0))</x:f>
      </x:c>
      <x:c r="DR111" s="107" t="n">
        <x:f>SUM(IF($B$8=3,DR27,0),IF($B$36=3,DR55,0),IF($B$64=3,DR83,0))</x:f>
      </x:c>
      <x:c r="DS111" s="107" t="n">
        <x:f>SUM(IF($B$8=3,DS27,0),IF($B$36=3,DS55,0),IF($B$64=3,DS83,0))</x:f>
      </x:c>
    </x:row>
    <x:row r="112">
      <x:c r="A112" t="str">
        <x:v>Очередь 3 — CAPEX объектов</x:v>
      </x:c>
      <x:c r="B112" s="107" t="n">
        <x:f>SUM(D112:DS112)</x:f>
      </x:c>
      <x:c r="C112" t="str">
        <x:v>млн ₽</x:v>
      </x:c>
      <x:c r="D112" s="107" t="n">
        <x:f>SUM(IF($B$8=3,D28,0),IF($B$36=3,D56,0),IF($B$64=3,D84,0))</x:f>
      </x:c>
      <x:c r="E112" s="107" t="n">
        <x:f>SUM(IF($B$8=3,E28,0),IF($B$36=3,E56,0),IF($B$64=3,E84,0))</x:f>
      </x:c>
      <x:c r="F112" s="107" t="n">
        <x:f>SUM(IF($B$8=3,F28,0),IF($B$36=3,F56,0),IF($B$64=3,F84,0))</x:f>
      </x:c>
      <x:c r="G112" s="107" t="n">
        <x:f>SUM(IF($B$8=3,G28,0),IF($B$36=3,G56,0),IF($B$64=3,G84,0))</x:f>
      </x:c>
      <x:c r="H112" s="107" t="n">
        <x:f>SUM(IF($B$8=3,H28,0),IF($B$36=3,H56,0),IF($B$64=3,H84,0))</x:f>
      </x:c>
      <x:c r="I112" s="107" t="n">
        <x:f>SUM(IF($B$8=3,I28,0),IF($B$36=3,I56,0),IF($B$64=3,I84,0))</x:f>
      </x:c>
      <x:c r="J112" s="107" t="n">
        <x:f>SUM(IF($B$8=3,J28,0),IF($B$36=3,J56,0),IF($B$64=3,J84,0))</x:f>
      </x:c>
      <x:c r="K112" s="107" t="n">
        <x:f>SUM(IF($B$8=3,K28,0),IF($B$36=3,K56,0),IF($B$64=3,K84,0))</x:f>
      </x:c>
      <x:c r="L112" s="107" t="n">
        <x:f>SUM(IF($B$8=3,L28,0),IF($B$36=3,L56,0),IF($B$64=3,L84,0))</x:f>
      </x:c>
      <x:c r="M112" s="107" t="n">
        <x:f>SUM(IF($B$8=3,M28,0),IF($B$36=3,M56,0),IF($B$64=3,M84,0))</x:f>
      </x:c>
      <x:c r="N112" s="107" t="n">
        <x:f>SUM(IF($B$8=3,N28,0),IF($B$36=3,N56,0),IF($B$64=3,N84,0))</x:f>
      </x:c>
      <x:c r="O112" s="107" t="n">
        <x:f>SUM(IF($B$8=3,O28,0),IF($B$36=3,O56,0),IF($B$64=3,O84,0))</x:f>
      </x:c>
      <x:c r="P112" s="107" t="n">
        <x:f>SUM(IF($B$8=3,P28,0),IF($B$36=3,P56,0),IF($B$64=3,P84,0))</x:f>
      </x:c>
      <x:c r="Q112" s="107" t="n">
        <x:f>SUM(IF($B$8=3,Q28,0),IF($B$36=3,Q56,0),IF($B$64=3,Q84,0))</x:f>
      </x:c>
      <x:c r="R112" s="107" t="n">
        <x:f>SUM(IF($B$8=3,R28,0),IF($B$36=3,R56,0),IF($B$64=3,R84,0))</x:f>
      </x:c>
      <x:c r="S112" s="107" t="n">
        <x:f>SUM(IF($B$8=3,S28,0),IF($B$36=3,S56,0),IF($B$64=3,S84,0))</x:f>
      </x:c>
      <x:c r="T112" s="107" t="n">
        <x:f>SUM(IF($B$8=3,T28,0),IF($B$36=3,T56,0),IF($B$64=3,T84,0))</x:f>
      </x:c>
      <x:c r="U112" s="107" t="n">
        <x:f>SUM(IF($B$8=3,U28,0),IF($B$36=3,U56,0),IF($B$64=3,U84,0))</x:f>
      </x:c>
      <x:c r="V112" s="107" t="n">
        <x:f>SUM(IF($B$8=3,V28,0),IF($B$36=3,V56,0),IF($B$64=3,V84,0))</x:f>
      </x:c>
      <x:c r="W112" s="107" t="n">
        <x:f>SUM(IF($B$8=3,W28,0),IF($B$36=3,W56,0),IF($B$64=3,W84,0))</x:f>
      </x:c>
      <x:c r="X112" s="107" t="n">
        <x:f>SUM(IF($B$8=3,X28,0),IF($B$36=3,X56,0),IF($B$64=3,X84,0))</x:f>
      </x:c>
      <x:c r="Y112" s="107" t="n">
        <x:f>SUM(IF($B$8=3,Y28,0),IF($B$36=3,Y56,0),IF($B$64=3,Y84,0))</x:f>
      </x:c>
      <x:c r="Z112" s="107" t="n">
        <x:f>SUM(IF($B$8=3,Z28,0),IF($B$36=3,Z56,0),IF($B$64=3,Z84,0))</x:f>
      </x:c>
      <x:c r="AA112" s="107" t="n">
        <x:f>SUM(IF($B$8=3,AA28,0),IF($B$36=3,AA56,0),IF($B$64=3,AA84,0))</x:f>
      </x:c>
      <x:c r="AB112" s="107" t="n">
        <x:f>SUM(IF($B$8=3,AB28,0),IF($B$36=3,AB56,0),IF($B$64=3,AB84,0))</x:f>
      </x:c>
      <x:c r="AC112" s="107" t="n">
        <x:f>SUM(IF($B$8=3,AC28,0),IF($B$36=3,AC56,0),IF($B$64=3,AC84,0))</x:f>
      </x:c>
      <x:c r="AD112" s="107" t="n">
        <x:f>SUM(IF($B$8=3,AD28,0),IF($B$36=3,AD56,0),IF($B$64=3,AD84,0))</x:f>
      </x:c>
      <x:c r="AE112" s="107" t="n">
        <x:f>SUM(IF($B$8=3,AE28,0),IF($B$36=3,AE56,0),IF($B$64=3,AE84,0))</x:f>
      </x:c>
      <x:c r="AF112" s="107" t="n">
        <x:f>SUM(IF($B$8=3,AF28,0),IF($B$36=3,AF56,0),IF($B$64=3,AF84,0))</x:f>
      </x:c>
      <x:c r="AG112" s="107" t="n">
        <x:f>SUM(IF($B$8=3,AG28,0),IF($B$36=3,AG56,0),IF($B$64=3,AG84,0))</x:f>
      </x:c>
      <x:c r="AH112" s="107" t="n">
        <x:f>SUM(IF($B$8=3,AH28,0),IF($B$36=3,AH56,0),IF($B$64=3,AH84,0))</x:f>
      </x:c>
      <x:c r="AI112" s="107" t="n">
        <x:f>SUM(IF($B$8=3,AI28,0),IF($B$36=3,AI56,0),IF($B$64=3,AI84,0))</x:f>
      </x:c>
      <x:c r="AJ112" s="107" t="n">
        <x:f>SUM(IF($B$8=3,AJ28,0),IF($B$36=3,AJ56,0),IF($B$64=3,AJ84,0))</x:f>
      </x:c>
      <x:c r="AK112" s="107" t="n">
        <x:f>SUM(IF($B$8=3,AK28,0),IF($B$36=3,AK56,0),IF($B$64=3,AK84,0))</x:f>
      </x:c>
      <x:c r="AL112" s="107" t="n">
        <x:f>SUM(IF($B$8=3,AL28,0),IF($B$36=3,AL56,0),IF($B$64=3,AL84,0))</x:f>
      </x:c>
      <x:c r="AM112" s="107" t="n">
        <x:f>SUM(IF($B$8=3,AM28,0),IF($B$36=3,AM56,0),IF($B$64=3,AM84,0))</x:f>
      </x:c>
      <x:c r="AN112" s="107" t="n">
        <x:f>SUM(IF($B$8=3,AN28,0),IF($B$36=3,AN56,0),IF($B$64=3,AN84,0))</x:f>
      </x:c>
      <x:c r="AO112" s="107" t="n">
        <x:f>SUM(IF($B$8=3,AO28,0),IF($B$36=3,AO56,0),IF($B$64=3,AO84,0))</x:f>
      </x:c>
      <x:c r="AP112" s="107" t="n">
        <x:f>SUM(IF($B$8=3,AP28,0),IF($B$36=3,AP56,0),IF($B$64=3,AP84,0))</x:f>
      </x:c>
      <x:c r="AQ112" s="107" t="n">
        <x:f>SUM(IF($B$8=3,AQ28,0),IF($B$36=3,AQ56,0),IF($B$64=3,AQ84,0))</x:f>
      </x:c>
      <x:c r="AR112" s="107" t="n">
        <x:f>SUM(IF($B$8=3,AR28,0),IF($B$36=3,AR56,0),IF($B$64=3,AR84,0))</x:f>
      </x:c>
      <x:c r="AS112" s="107" t="n">
        <x:f>SUM(IF($B$8=3,AS28,0),IF($B$36=3,AS56,0),IF($B$64=3,AS84,0))</x:f>
      </x:c>
      <x:c r="AT112" s="107" t="n">
        <x:f>SUM(IF($B$8=3,AT28,0),IF($B$36=3,AT56,0),IF($B$64=3,AT84,0))</x:f>
      </x:c>
      <x:c r="AU112" s="107" t="n">
        <x:f>SUM(IF($B$8=3,AU28,0),IF($B$36=3,AU56,0),IF($B$64=3,AU84,0))</x:f>
      </x:c>
      <x:c r="AV112" s="107" t="n">
        <x:f>SUM(IF($B$8=3,AV28,0),IF($B$36=3,AV56,0),IF($B$64=3,AV84,0))</x:f>
      </x:c>
      <x:c r="AW112" s="107" t="n">
        <x:f>SUM(IF($B$8=3,AW28,0),IF($B$36=3,AW56,0),IF($B$64=3,AW84,0))</x:f>
      </x:c>
      <x:c r="AX112" s="107" t="n">
        <x:f>SUM(IF($B$8=3,AX28,0),IF($B$36=3,AX56,0),IF($B$64=3,AX84,0))</x:f>
      </x:c>
      <x:c r="AY112" s="107" t="n">
        <x:f>SUM(IF($B$8=3,AY28,0),IF($B$36=3,AY56,0),IF($B$64=3,AY84,0))</x:f>
      </x:c>
      <x:c r="AZ112" s="107" t="n">
        <x:f>SUM(IF($B$8=3,AZ28,0),IF($B$36=3,AZ56,0),IF($B$64=3,AZ84,0))</x:f>
      </x:c>
      <x:c r="BA112" s="107" t="n">
        <x:f>SUM(IF($B$8=3,BA28,0),IF($B$36=3,BA56,0),IF($B$64=3,BA84,0))</x:f>
      </x:c>
      <x:c r="BB112" s="107" t="n">
        <x:f>SUM(IF($B$8=3,BB28,0),IF($B$36=3,BB56,0),IF($B$64=3,BB84,0))</x:f>
      </x:c>
      <x:c r="BC112" s="107" t="n">
        <x:f>SUM(IF($B$8=3,BC28,0),IF($B$36=3,BC56,0),IF($B$64=3,BC84,0))</x:f>
      </x:c>
      <x:c r="BD112" s="107" t="n">
        <x:f>SUM(IF($B$8=3,BD28,0),IF($B$36=3,BD56,0),IF($B$64=3,BD84,0))</x:f>
      </x:c>
      <x:c r="BE112" s="107" t="n">
        <x:f>SUM(IF($B$8=3,BE28,0),IF($B$36=3,BE56,0),IF($B$64=3,BE84,0))</x:f>
      </x:c>
      <x:c r="BF112" s="107" t="n">
        <x:f>SUM(IF($B$8=3,BF28,0),IF($B$36=3,BF56,0),IF($B$64=3,BF84,0))</x:f>
      </x:c>
      <x:c r="BG112" s="107" t="n">
        <x:f>SUM(IF($B$8=3,BG28,0),IF($B$36=3,BG56,0),IF($B$64=3,BG84,0))</x:f>
      </x:c>
      <x:c r="BH112" s="107" t="n">
        <x:f>SUM(IF($B$8=3,BH28,0),IF($B$36=3,BH56,0),IF($B$64=3,BH84,0))</x:f>
      </x:c>
      <x:c r="BI112" s="107" t="n">
        <x:f>SUM(IF($B$8=3,BI28,0),IF($B$36=3,BI56,0),IF($B$64=3,BI84,0))</x:f>
      </x:c>
      <x:c r="BJ112" s="107" t="n">
        <x:f>SUM(IF($B$8=3,BJ28,0),IF($B$36=3,BJ56,0),IF($B$64=3,BJ84,0))</x:f>
      </x:c>
      <x:c r="BK112" s="107" t="n">
        <x:f>SUM(IF($B$8=3,BK28,0),IF($B$36=3,BK56,0),IF($B$64=3,BK84,0))</x:f>
      </x:c>
      <x:c r="BL112" s="107" t="n">
        <x:f>SUM(IF($B$8=3,BL28,0),IF($B$36=3,BL56,0),IF($B$64=3,BL84,0))</x:f>
      </x:c>
      <x:c r="BM112" s="107" t="n">
        <x:f>SUM(IF($B$8=3,BM28,0),IF($B$36=3,BM56,0),IF($B$64=3,BM84,0))</x:f>
      </x:c>
      <x:c r="BN112" s="107" t="n">
        <x:f>SUM(IF($B$8=3,BN28,0),IF($B$36=3,BN56,0),IF($B$64=3,BN84,0))</x:f>
      </x:c>
      <x:c r="BO112" s="107" t="n">
        <x:f>SUM(IF($B$8=3,BO28,0),IF($B$36=3,BO56,0),IF($B$64=3,BO84,0))</x:f>
      </x:c>
      <x:c r="BP112" s="107" t="n">
        <x:f>SUM(IF($B$8=3,BP28,0),IF($B$36=3,BP56,0),IF($B$64=3,BP84,0))</x:f>
      </x:c>
      <x:c r="BQ112" s="107" t="n">
        <x:f>SUM(IF($B$8=3,BQ28,0),IF($B$36=3,BQ56,0),IF($B$64=3,BQ84,0))</x:f>
      </x:c>
      <x:c r="BR112" s="107" t="n">
        <x:f>SUM(IF($B$8=3,BR28,0),IF($B$36=3,BR56,0),IF($B$64=3,BR84,0))</x:f>
      </x:c>
      <x:c r="BS112" s="107" t="n">
        <x:f>SUM(IF($B$8=3,BS28,0),IF($B$36=3,BS56,0),IF($B$64=3,BS84,0))</x:f>
      </x:c>
      <x:c r="BT112" s="107" t="n">
        <x:f>SUM(IF($B$8=3,BT28,0),IF($B$36=3,BT56,0),IF($B$64=3,BT84,0))</x:f>
      </x:c>
      <x:c r="BU112" s="107" t="n">
        <x:f>SUM(IF($B$8=3,BU28,0),IF($B$36=3,BU56,0),IF($B$64=3,BU84,0))</x:f>
      </x:c>
      <x:c r="BV112" s="107" t="n">
        <x:f>SUM(IF($B$8=3,BV28,0),IF($B$36=3,BV56,0),IF($B$64=3,BV84,0))</x:f>
      </x:c>
      <x:c r="BW112" s="107" t="n">
        <x:f>SUM(IF($B$8=3,BW28,0),IF($B$36=3,BW56,0),IF($B$64=3,BW84,0))</x:f>
      </x:c>
      <x:c r="BX112" s="107" t="n">
        <x:f>SUM(IF($B$8=3,BX28,0),IF($B$36=3,BX56,0),IF($B$64=3,BX84,0))</x:f>
      </x:c>
      <x:c r="BY112" s="107" t="n">
        <x:f>SUM(IF($B$8=3,BY28,0),IF($B$36=3,BY56,0),IF($B$64=3,BY84,0))</x:f>
      </x:c>
      <x:c r="BZ112" s="107" t="n">
        <x:f>SUM(IF($B$8=3,BZ28,0),IF($B$36=3,BZ56,0),IF($B$64=3,BZ84,0))</x:f>
      </x:c>
      <x:c r="CA112" s="107" t="n">
        <x:f>SUM(IF($B$8=3,CA28,0),IF($B$36=3,CA56,0),IF($B$64=3,CA84,0))</x:f>
      </x:c>
      <x:c r="CB112" s="107" t="n">
        <x:f>SUM(IF($B$8=3,CB28,0),IF($B$36=3,CB56,0),IF($B$64=3,CB84,0))</x:f>
      </x:c>
      <x:c r="CC112" s="107" t="n">
        <x:f>SUM(IF($B$8=3,CC28,0),IF($B$36=3,CC56,0),IF($B$64=3,CC84,0))</x:f>
      </x:c>
      <x:c r="CD112" s="107" t="n">
        <x:f>SUM(IF($B$8=3,CD28,0),IF($B$36=3,CD56,0),IF($B$64=3,CD84,0))</x:f>
      </x:c>
      <x:c r="CE112" s="107" t="n">
        <x:f>SUM(IF($B$8=3,CE28,0),IF($B$36=3,CE56,0),IF($B$64=3,CE84,0))</x:f>
      </x:c>
      <x:c r="CF112" s="107" t="n">
        <x:f>SUM(IF($B$8=3,CF28,0),IF($B$36=3,CF56,0),IF($B$64=3,CF84,0))</x:f>
      </x:c>
      <x:c r="CG112" s="107" t="n">
        <x:f>SUM(IF($B$8=3,CG28,0),IF($B$36=3,CG56,0),IF($B$64=3,CG84,0))</x:f>
      </x:c>
      <x:c r="CH112" s="107" t="n">
        <x:f>SUM(IF($B$8=3,CH28,0),IF($B$36=3,CH56,0),IF($B$64=3,CH84,0))</x:f>
      </x:c>
      <x:c r="CI112" s="107" t="n">
        <x:f>SUM(IF($B$8=3,CI28,0),IF($B$36=3,CI56,0),IF($B$64=3,CI84,0))</x:f>
      </x:c>
      <x:c r="CJ112" s="107" t="n">
        <x:f>SUM(IF($B$8=3,CJ28,0),IF($B$36=3,CJ56,0),IF($B$64=3,CJ84,0))</x:f>
      </x:c>
      <x:c r="CK112" s="107" t="n">
        <x:f>SUM(IF($B$8=3,CK28,0),IF($B$36=3,CK56,0),IF($B$64=3,CK84,0))</x:f>
      </x:c>
      <x:c r="CL112" s="107" t="n">
        <x:f>SUM(IF($B$8=3,CL28,0),IF($B$36=3,CL56,0),IF($B$64=3,CL84,0))</x:f>
      </x:c>
      <x:c r="CM112" s="107" t="n">
        <x:f>SUM(IF($B$8=3,CM28,0),IF($B$36=3,CM56,0),IF($B$64=3,CM84,0))</x:f>
      </x:c>
      <x:c r="CN112" s="107" t="n">
        <x:f>SUM(IF($B$8=3,CN28,0),IF($B$36=3,CN56,0),IF($B$64=3,CN84,0))</x:f>
      </x:c>
      <x:c r="CO112" s="107" t="n">
        <x:f>SUM(IF($B$8=3,CO28,0),IF($B$36=3,CO56,0),IF($B$64=3,CO84,0))</x:f>
      </x:c>
      <x:c r="CP112" s="107" t="n">
        <x:f>SUM(IF($B$8=3,CP28,0),IF($B$36=3,CP56,0),IF($B$64=3,CP84,0))</x:f>
      </x:c>
      <x:c r="CQ112" s="107" t="n">
        <x:f>SUM(IF($B$8=3,CQ28,0),IF($B$36=3,CQ56,0),IF($B$64=3,CQ84,0))</x:f>
      </x:c>
      <x:c r="CR112" s="107" t="n">
        <x:f>SUM(IF($B$8=3,CR28,0),IF($B$36=3,CR56,0),IF($B$64=3,CR84,0))</x:f>
      </x:c>
      <x:c r="CS112" s="107" t="n">
        <x:f>SUM(IF($B$8=3,CS28,0),IF($B$36=3,CS56,0),IF($B$64=3,CS84,0))</x:f>
      </x:c>
      <x:c r="CT112" s="107" t="n">
        <x:f>SUM(IF($B$8=3,CT28,0),IF($B$36=3,CT56,0),IF($B$64=3,CT84,0))</x:f>
      </x:c>
      <x:c r="CU112" s="107" t="n">
        <x:f>SUM(IF($B$8=3,CU28,0),IF($B$36=3,CU56,0),IF($B$64=3,CU84,0))</x:f>
      </x:c>
      <x:c r="CV112" s="107" t="n">
        <x:f>SUM(IF($B$8=3,CV28,0),IF($B$36=3,CV56,0),IF($B$64=3,CV84,0))</x:f>
      </x:c>
      <x:c r="CW112" s="107" t="n">
        <x:f>SUM(IF($B$8=3,CW28,0),IF($B$36=3,CW56,0),IF($B$64=3,CW84,0))</x:f>
      </x:c>
      <x:c r="CX112" s="107" t="n">
        <x:f>SUM(IF($B$8=3,CX28,0),IF($B$36=3,CX56,0),IF($B$64=3,CX84,0))</x:f>
      </x:c>
      <x:c r="CY112" s="107" t="n">
        <x:f>SUM(IF($B$8=3,CY28,0),IF($B$36=3,CY56,0),IF($B$64=3,CY84,0))</x:f>
      </x:c>
      <x:c r="CZ112" s="107" t="n">
        <x:f>SUM(IF($B$8=3,CZ28,0),IF($B$36=3,CZ56,0),IF($B$64=3,CZ84,0))</x:f>
      </x:c>
      <x:c r="DA112" s="107" t="n">
        <x:f>SUM(IF($B$8=3,DA28,0),IF($B$36=3,DA56,0),IF($B$64=3,DA84,0))</x:f>
      </x:c>
      <x:c r="DB112" s="107" t="n">
        <x:f>SUM(IF($B$8=3,DB28,0),IF($B$36=3,DB56,0),IF($B$64=3,DB84,0))</x:f>
      </x:c>
      <x:c r="DC112" s="107" t="n">
        <x:f>SUM(IF($B$8=3,DC28,0),IF($B$36=3,DC56,0),IF($B$64=3,DC84,0))</x:f>
      </x:c>
      <x:c r="DD112" s="107" t="n">
        <x:f>SUM(IF($B$8=3,DD28,0),IF($B$36=3,DD56,0),IF($B$64=3,DD84,0))</x:f>
      </x:c>
      <x:c r="DE112" s="107" t="n">
        <x:f>SUM(IF($B$8=3,DE28,0),IF($B$36=3,DE56,0),IF($B$64=3,DE84,0))</x:f>
      </x:c>
      <x:c r="DF112" s="107" t="n">
        <x:f>SUM(IF($B$8=3,DF28,0),IF($B$36=3,DF56,0),IF($B$64=3,DF84,0))</x:f>
      </x:c>
      <x:c r="DG112" s="107" t="n">
        <x:f>SUM(IF($B$8=3,DG28,0),IF($B$36=3,DG56,0),IF($B$64=3,DG84,0))</x:f>
      </x:c>
      <x:c r="DH112" s="107" t="n">
        <x:f>SUM(IF($B$8=3,DH28,0),IF($B$36=3,DH56,0),IF($B$64=3,DH84,0))</x:f>
      </x:c>
      <x:c r="DI112" s="107" t="n">
        <x:f>SUM(IF($B$8=3,DI28,0),IF($B$36=3,DI56,0),IF($B$64=3,DI84,0))</x:f>
      </x:c>
      <x:c r="DJ112" s="107" t="n">
        <x:f>SUM(IF($B$8=3,DJ28,0),IF($B$36=3,DJ56,0),IF($B$64=3,DJ84,0))</x:f>
      </x:c>
      <x:c r="DK112" s="107" t="n">
        <x:f>SUM(IF($B$8=3,DK28,0),IF($B$36=3,DK56,0),IF($B$64=3,DK84,0))</x:f>
      </x:c>
      <x:c r="DL112" s="107" t="n">
        <x:f>SUM(IF($B$8=3,DL28,0),IF($B$36=3,DL56,0),IF($B$64=3,DL84,0))</x:f>
      </x:c>
      <x:c r="DM112" s="107" t="n">
        <x:f>SUM(IF($B$8=3,DM28,0),IF($B$36=3,DM56,0),IF($B$64=3,DM84,0))</x:f>
      </x:c>
      <x:c r="DN112" s="107" t="n">
        <x:f>SUM(IF($B$8=3,DN28,0),IF($B$36=3,DN56,0),IF($B$64=3,DN84,0))</x:f>
      </x:c>
      <x:c r="DO112" s="107" t="n">
        <x:f>SUM(IF($B$8=3,DO28,0),IF($B$36=3,DO56,0),IF($B$64=3,DO84,0))</x:f>
      </x:c>
      <x:c r="DP112" s="107" t="n">
        <x:f>SUM(IF($B$8=3,DP28,0),IF($B$36=3,DP56,0),IF($B$64=3,DP84,0))</x:f>
      </x:c>
      <x:c r="DQ112" s="107" t="n">
        <x:f>SUM(IF($B$8=3,DQ28,0),IF($B$36=3,DQ56,0),IF($B$64=3,DQ84,0))</x:f>
      </x:c>
      <x:c r="DR112" s="107" t="n">
        <x:f>SUM(IF($B$8=3,DR28,0),IF($B$36=3,DR56,0),IF($B$64=3,DR84,0))</x:f>
      </x:c>
      <x:c r="DS112" s="107" t="n">
        <x:f>SUM(IF($B$8=3,DS28,0),IF($B$36=3,DS56,0),IF($B$64=3,DS84,0))</x:f>
      </x:c>
    </x:row>
    <x:row r="113">
      <x:c r="A113" t="str">
        <x:v>Очередь 3 — Маркетинг объектов</x:v>
      </x:c>
      <x:c r="B113" s="107" t="n">
        <x:f>SUM(D113:DS113)</x:f>
      </x:c>
      <x:c r="C113" t="str">
        <x:v>млн ₽</x:v>
      </x:c>
      <x:c r="D113" s="107" t="n">
        <x:f>SUM(IF($B$8=3,D29,0),IF($B$36=3,D57,0),IF($B$64=3,D85,0))</x:f>
      </x:c>
      <x:c r="E113" s="107" t="n">
        <x:f>SUM(IF($B$8=3,E29,0),IF($B$36=3,E57,0),IF($B$64=3,E85,0))</x:f>
      </x:c>
      <x:c r="F113" s="107" t="n">
        <x:f>SUM(IF($B$8=3,F29,0),IF($B$36=3,F57,0),IF($B$64=3,F85,0))</x:f>
      </x:c>
      <x:c r="G113" s="107" t="n">
        <x:f>SUM(IF($B$8=3,G29,0),IF($B$36=3,G57,0),IF($B$64=3,G85,0))</x:f>
      </x:c>
      <x:c r="H113" s="107" t="n">
        <x:f>SUM(IF($B$8=3,H29,0),IF($B$36=3,H57,0),IF($B$64=3,H85,0))</x:f>
      </x:c>
      <x:c r="I113" s="107" t="n">
        <x:f>SUM(IF($B$8=3,I29,0),IF($B$36=3,I57,0),IF($B$64=3,I85,0))</x:f>
      </x:c>
      <x:c r="J113" s="107" t="n">
        <x:f>SUM(IF($B$8=3,J29,0),IF($B$36=3,J57,0),IF($B$64=3,J85,0))</x:f>
      </x:c>
      <x:c r="K113" s="107" t="n">
        <x:f>SUM(IF($B$8=3,K29,0),IF($B$36=3,K57,0),IF($B$64=3,K85,0))</x:f>
      </x:c>
      <x:c r="L113" s="107" t="n">
        <x:f>SUM(IF($B$8=3,L29,0),IF($B$36=3,L57,0),IF($B$64=3,L85,0))</x:f>
      </x:c>
      <x:c r="M113" s="107" t="n">
        <x:f>SUM(IF($B$8=3,M29,0),IF($B$36=3,M57,0),IF($B$64=3,M85,0))</x:f>
      </x:c>
      <x:c r="N113" s="107" t="n">
        <x:f>SUM(IF($B$8=3,N29,0),IF($B$36=3,N57,0),IF($B$64=3,N85,0))</x:f>
      </x:c>
      <x:c r="O113" s="107" t="n">
        <x:f>SUM(IF($B$8=3,O29,0),IF($B$36=3,O57,0),IF($B$64=3,O85,0))</x:f>
      </x:c>
      <x:c r="P113" s="107" t="n">
        <x:f>SUM(IF($B$8=3,P29,0),IF($B$36=3,P57,0),IF($B$64=3,P85,0))</x:f>
      </x:c>
      <x:c r="Q113" s="107" t="n">
        <x:f>SUM(IF($B$8=3,Q29,0),IF($B$36=3,Q57,0),IF($B$64=3,Q85,0))</x:f>
      </x:c>
      <x:c r="R113" s="107" t="n">
        <x:f>SUM(IF($B$8=3,R29,0),IF($B$36=3,R57,0),IF($B$64=3,R85,0))</x:f>
      </x:c>
      <x:c r="S113" s="107" t="n">
        <x:f>SUM(IF($B$8=3,S29,0),IF($B$36=3,S57,0),IF($B$64=3,S85,0))</x:f>
      </x:c>
      <x:c r="T113" s="107" t="n">
        <x:f>SUM(IF($B$8=3,T29,0),IF($B$36=3,T57,0),IF($B$64=3,T85,0))</x:f>
      </x:c>
      <x:c r="U113" s="107" t="n">
        <x:f>SUM(IF($B$8=3,U29,0),IF($B$36=3,U57,0),IF($B$64=3,U85,0))</x:f>
      </x:c>
      <x:c r="V113" s="107" t="n">
        <x:f>SUM(IF($B$8=3,V29,0),IF($B$36=3,V57,0),IF($B$64=3,V85,0))</x:f>
      </x:c>
      <x:c r="W113" s="107" t="n">
        <x:f>SUM(IF($B$8=3,W29,0),IF($B$36=3,W57,0),IF($B$64=3,W85,0))</x:f>
      </x:c>
      <x:c r="X113" s="107" t="n">
        <x:f>SUM(IF($B$8=3,X29,0),IF($B$36=3,X57,0),IF($B$64=3,X85,0))</x:f>
      </x:c>
      <x:c r="Y113" s="107" t="n">
        <x:f>SUM(IF($B$8=3,Y29,0),IF($B$36=3,Y57,0),IF($B$64=3,Y85,0))</x:f>
      </x:c>
      <x:c r="Z113" s="107" t="n">
        <x:f>SUM(IF($B$8=3,Z29,0),IF($B$36=3,Z57,0),IF($B$64=3,Z85,0))</x:f>
      </x:c>
      <x:c r="AA113" s="107" t="n">
        <x:f>SUM(IF($B$8=3,AA29,0),IF($B$36=3,AA57,0),IF($B$64=3,AA85,0))</x:f>
      </x:c>
      <x:c r="AB113" s="107" t="n">
        <x:f>SUM(IF($B$8=3,AB29,0),IF($B$36=3,AB57,0),IF($B$64=3,AB85,0))</x:f>
      </x:c>
      <x:c r="AC113" s="107" t="n">
        <x:f>SUM(IF($B$8=3,AC29,0),IF($B$36=3,AC57,0),IF($B$64=3,AC85,0))</x:f>
      </x:c>
      <x:c r="AD113" s="107" t="n">
        <x:f>SUM(IF($B$8=3,AD29,0),IF($B$36=3,AD57,0),IF($B$64=3,AD85,0))</x:f>
      </x:c>
      <x:c r="AE113" s="107" t="n">
        <x:f>SUM(IF($B$8=3,AE29,0),IF($B$36=3,AE57,0),IF($B$64=3,AE85,0))</x:f>
      </x:c>
      <x:c r="AF113" s="107" t="n">
        <x:f>SUM(IF($B$8=3,AF29,0),IF($B$36=3,AF57,0),IF($B$64=3,AF85,0))</x:f>
      </x:c>
      <x:c r="AG113" s="107" t="n">
        <x:f>SUM(IF($B$8=3,AG29,0),IF($B$36=3,AG57,0),IF($B$64=3,AG85,0))</x:f>
      </x:c>
      <x:c r="AH113" s="107" t="n">
        <x:f>SUM(IF($B$8=3,AH29,0),IF($B$36=3,AH57,0),IF($B$64=3,AH85,0))</x:f>
      </x:c>
      <x:c r="AI113" s="107" t="n">
        <x:f>SUM(IF($B$8=3,AI29,0),IF($B$36=3,AI57,0),IF($B$64=3,AI85,0))</x:f>
      </x:c>
      <x:c r="AJ113" s="107" t="n">
        <x:f>SUM(IF($B$8=3,AJ29,0),IF($B$36=3,AJ57,0),IF($B$64=3,AJ85,0))</x:f>
      </x:c>
      <x:c r="AK113" s="107" t="n">
        <x:f>SUM(IF($B$8=3,AK29,0),IF($B$36=3,AK57,0),IF($B$64=3,AK85,0))</x:f>
      </x:c>
      <x:c r="AL113" s="107" t="n">
        <x:f>SUM(IF($B$8=3,AL29,0),IF($B$36=3,AL57,0),IF($B$64=3,AL85,0))</x:f>
      </x:c>
      <x:c r="AM113" s="107" t="n">
        <x:f>SUM(IF($B$8=3,AM29,0),IF($B$36=3,AM57,0),IF($B$64=3,AM85,0))</x:f>
      </x:c>
      <x:c r="AN113" s="107" t="n">
        <x:f>SUM(IF($B$8=3,AN29,0),IF($B$36=3,AN57,0),IF($B$64=3,AN85,0))</x:f>
      </x:c>
      <x:c r="AO113" s="107" t="n">
        <x:f>SUM(IF($B$8=3,AO29,0),IF($B$36=3,AO57,0),IF($B$64=3,AO85,0))</x:f>
      </x:c>
      <x:c r="AP113" s="107" t="n">
        <x:f>SUM(IF($B$8=3,AP29,0),IF($B$36=3,AP57,0),IF($B$64=3,AP85,0))</x:f>
      </x:c>
      <x:c r="AQ113" s="107" t="n">
        <x:f>SUM(IF($B$8=3,AQ29,0),IF($B$36=3,AQ57,0),IF($B$64=3,AQ85,0))</x:f>
      </x:c>
      <x:c r="AR113" s="107" t="n">
        <x:f>SUM(IF($B$8=3,AR29,0),IF($B$36=3,AR57,0),IF($B$64=3,AR85,0))</x:f>
      </x:c>
      <x:c r="AS113" s="107" t="n">
        <x:f>SUM(IF($B$8=3,AS29,0),IF($B$36=3,AS57,0),IF($B$64=3,AS85,0))</x:f>
      </x:c>
      <x:c r="AT113" s="107" t="n">
        <x:f>SUM(IF($B$8=3,AT29,0),IF($B$36=3,AT57,0),IF($B$64=3,AT85,0))</x:f>
      </x:c>
      <x:c r="AU113" s="107" t="n">
        <x:f>SUM(IF($B$8=3,AU29,0),IF($B$36=3,AU57,0),IF($B$64=3,AU85,0))</x:f>
      </x:c>
      <x:c r="AV113" s="107" t="n">
        <x:f>SUM(IF($B$8=3,AV29,0),IF($B$36=3,AV57,0),IF($B$64=3,AV85,0))</x:f>
      </x:c>
      <x:c r="AW113" s="107" t="n">
        <x:f>SUM(IF($B$8=3,AW29,0),IF($B$36=3,AW57,0),IF($B$64=3,AW85,0))</x:f>
      </x:c>
      <x:c r="AX113" s="107" t="n">
        <x:f>SUM(IF($B$8=3,AX29,0),IF($B$36=3,AX57,0),IF($B$64=3,AX85,0))</x:f>
      </x:c>
      <x:c r="AY113" s="107" t="n">
        <x:f>SUM(IF($B$8=3,AY29,0),IF($B$36=3,AY57,0),IF($B$64=3,AY85,0))</x:f>
      </x:c>
      <x:c r="AZ113" s="107" t="n">
        <x:f>SUM(IF($B$8=3,AZ29,0),IF($B$36=3,AZ57,0),IF($B$64=3,AZ85,0))</x:f>
      </x:c>
      <x:c r="BA113" s="107" t="n">
        <x:f>SUM(IF($B$8=3,BA29,0),IF($B$36=3,BA57,0),IF($B$64=3,BA85,0))</x:f>
      </x:c>
      <x:c r="BB113" s="107" t="n">
        <x:f>SUM(IF($B$8=3,BB29,0),IF($B$36=3,BB57,0),IF($B$64=3,BB85,0))</x:f>
      </x:c>
      <x:c r="BC113" s="107" t="n">
        <x:f>SUM(IF($B$8=3,BC29,0),IF($B$36=3,BC57,0),IF($B$64=3,BC85,0))</x:f>
      </x:c>
      <x:c r="BD113" s="107" t="n">
        <x:f>SUM(IF($B$8=3,BD29,0),IF($B$36=3,BD57,0),IF($B$64=3,BD85,0))</x:f>
      </x:c>
      <x:c r="BE113" s="107" t="n">
        <x:f>SUM(IF($B$8=3,BE29,0),IF($B$36=3,BE57,0),IF($B$64=3,BE85,0))</x:f>
      </x:c>
      <x:c r="BF113" s="107" t="n">
        <x:f>SUM(IF($B$8=3,BF29,0),IF($B$36=3,BF57,0),IF($B$64=3,BF85,0))</x:f>
      </x:c>
      <x:c r="BG113" s="107" t="n">
        <x:f>SUM(IF($B$8=3,BG29,0),IF($B$36=3,BG57,0),IF($B$64=3,BG85,0))</x:f>
      </x:c>
      <x:c r="BH113" s="107" t="n">
        <x:f>SUM(IF($B$8=3,BH29,0),IF($B$36=3,BH57,0),IF($B$64=3,BH85,0))</x:f>
      </x:c>
      <x:c r="BI113" s="107" t="n">
        <x:f>SUM(IF($B$8=3,BI29,0),IF($B$36=3,BI57,0),IF($B$64=3,BI85,0))</x:f>
      </x:c>
      <x:c r="BJ113" s="107" t="n">
        <x:f>SUM(IF($B$8=3,BJ29,0),IF($B$36=3,BJ57,0),IF($B$64=3,BJ85,0))</x:f>
      </x:c>
      <x:c r="BK113" s="107" t="n">
        <x:f>SUM(IF($B$8=3,BK29,0),IF($B$36=3,BK57,0),IF($B$64=3,BK85,0))</x:f>
      </x:c>
      <x:c r="BL113" s="107" t="n">
        <x:f>SUM(IF($B$8=3,BL29,0),IF($B$36=3,BL57,0),IF($B$64=3,BL85,0))</x:f>
      </x:c>
      <x:c r="BM113" s="107" t="n">
        <x:f>SUM(IF($B$8=3,BM29,0),IF($B$36=3,BM57,0),IF($B$64=3,BM85,0))</x:f>
      </x:c>
      <x:c r="BN113" s="107" t="n">
        <x:f>SUM(IF($B$8=3,BN29,0),IF($B$36=3,BN57,0),IF($B$64=3,BN85,0))</x:f>
      </x:c>
      <x:c r="BO113" s="107" t="n">
        <x:f>SUM(IF($B$8=3,BO29,0),IF($B$36=3,BO57,0),IF($B$64=3,BO85,0))</x:f>
      </x:c>
      <x:c r="BP113" s="107" t="n">
        <x:f>SUM(IF($B$8=3,BP29,0),IF($B$36=3,BP57,0),IF($B$64=3,BP85,0))</x:f>
      </x:c>
      <x:c r="BQ113" s="107" t="n">
        <x:f>SUM(IF($B$8=3,BQ29,0),IF($B$36=3,BQ57,0),IF($B$64=3,BQ85,0))</x:f>
      </x:c>
      <x:c r="BR113" s="107" t="n">
        <x:f>SUM(IF($B$8=3,BR29,0),IF($B$36=3,BR57,0),IF($B$64=3,BR85,0))</x:f>
      </x:c>
      <x:c r="BS113" s="107" t="n">
        <x:f>SUM(IF($B$8=3,BS29,0),IF($B$36=3,BS57,0),IF($B$64=3,BS85,0))</x:f>
      </x:c>
      <x:c r="BT113" s="107" t="n">
        <x:f>SUM(IF($B$8=3,BT29,0),IF($B$36=3,BT57,0),IF($B$64=3,BT85,0))</x:f>
      </x:c>
      <x:c r="BU113" s="107" t="n">
        <x:f>SUM(IF($B$8=3,BU29,0),IF($B$36=3,BU57,0),IF($B$64=3,BU85,0))</x:f>
      </x:c>
      <x:c r="BV113" s="107" t="n">
        <x:f>SUM(IF($B$8=3,BV29,0),IF($B$36=3,BV57,0),IF($B$64=3,BV85,0))</x:f>
      </x:c>
      <x:c r="BW113" s="107" t="n">
        <x:f>SUM(IF($B$8=3,BW29,0),IF($B$36=3,BW57,0),IF($B$64=3,BW85,0))</x:f>
      </x:c>
      <x:c r="BX113" s="107" t="n">
        <x:f>SUM(IF($B$8=3,BX29,0),IF($B$36=3,BX57,0),IF($B$64=3,BX85,0))</x:f>
      </x:c>
      <x:c r="BY113" s="107" t="n">
        <x:f>SUM(IF($B$8=3,BY29,0),IF($B$36=3,BY57,0),IF($B$64=3,BY85,0))</x:f>
      </x:c>
      <x:c r="BZ113" s="107" t="n">
        <x:f>SUM(IF($B$8=3,BZ29,0),IF($B$36=3,BZ57,0),IF($B$64=3,BZ85,0))</x:f>
      </x:c>
      <x:c r="CA113" s="107" t="n">
        <x:f>SUM(IF($B$8=3,CA29,0),IF($B$36=3,CA57,0),IF($B$64=3,CA85,0))</x:f>
      </x:c>
      <x:c r="CB113" s="107" t="n">
        <x:f>SUM(IF($B$8=3,CB29,0),IF($B$36=3,CB57,0),IF($B$64=3,CB85,0))</x:f>
      </x:c>
      <x:c r="CC113" s="107" t="n">
        <x:f>SUM(IF($B$8=3,CC29,0),IF($B$36=3,CC57,0),IF($B$64=3,CC85,0))</x:f>
      </x:c>
      <x:c r="CD113" s="107" t="n">
        <x:f>SUM(IF($B$8=3,CD29,0),IF($B$36=3,CD57,0),IF($B$64=3,CD85,0))</x:f>
      </x:c>
      <x:c r="CE113" s="107" t="n">
        <x:f>SUM(IF($B$8=3,CE29,0),IF($B$36=3,CE57,0),IF($B$64=3,CE85,0))</x:f>
      </x:c>
      <x:c r="CF113" s="107" t="n">
        <x:f>SUM(IF($B$8=3,CF29,0),IF($B$36=3,CF57,0),IF($B$64=3,CF85,0))</x:f>
      </x:c>
      <x:c r="CG113" s="107" t="n">
        <x:f>SUM(IF($B$8=3,CG29,0),IF($B$36=3,CG57,0),IF($B$64=3,CG85,0))</x:f>
      </x:c>
      <x:c r="CH113" s="107" t="n">
        <x:f>SUM(IF($B$8=3,CH29,0),IF($B$36=3,CH57,0),IF($B$64=3,CH85,0))</x:f>
      </x:c>
      <x:c r="CI113" s="107" t="n">
        <x:f>SUM(IF($B$8=3,CI29,0),IF($B$36=3,CI57,0),IF($B$64=3,CI85,0))</x:f>
      </x:c>
      <x:c r="CJ113" s="107" t="n">
        <x:f>SUM(IF($B$8=3,CJ29,0),IF($B$36=3,CJ57,0),IF($B$64=3,CJ85,0))</x:f>
      </x:c>
      <x:c r="CK113" s="107" t="n">
        <x:f>SUM(IF($B$8=3,CK29,0),IF($B$36=3,CK57,0),IF($B$64=3,CK85,0))</x:f>
      </x:c>
      <x:c r="CL113" s="107" t="n">
        <x:f>SUM(IF($B$8=3,CL29,0),IF($B$36=3,CL57,0),IF($B$64=3,CL85,0))</x:f>
      </x:c>
      <x:c r="CM113" s="107" t="n">
        <x:f>SUM(IF($B$8=3,CM29,0),IF($B$36=3,CM57,0),IF($B$64=3,CM85,0))</x:f>
      </x:c>
      <x:c r="CN113" s="107" t="n">
        <x:f>SUM(IF($B$8=3,CN29,0),IF($B$36=3,CN57,0),IF($B$64=3,CN85,0))</x:f>
      </x:c>
      <x:c r="CO113" s="107" t="n">
        <x:f>SUM(IF($B$8=3,CO29,0),IF($B$36=3,CO57,0),IF($B$64=3,CO85,0))</x:f>
      </x:c>
      <x:c r="CP113" s="107" t="n">
        <x:f>SUM(IF($B$8=3,CP29,0),IF($B$36=3,CP57,0),IF($B$64=3,CP85,0))</x:f>
      </x:c>
      <x:c r="CQ113" s="107" t="n">
        <x:f>SUM(IF($B$8=3,CQ29,0),IF($B$36=3,CQ57,0),IF($B$64=3,CQ85,0))</x:f>
      </x:c>
      <x:c r="CR113" s="107" t="n">
        <x:f>SUM(IF($B$8=3,CR29,0),IF($B$36=3,CR57,0),IF($B$64=3,CR85,0))</x:f>
      </x:c>
      <x:c r="CS113" s="107" t="n">
        <x:f>SUM(IF($B$8=3,CS29,0),IF($B$36=3,CS57,0),IF($B$64=3,CS85,0))</x:f>
      </x:c>
      <x:c r="CT113" s="107" t="n">
        <x:f>SUM(IF($B$8=3,CT29,0),IF($B$36=3,CT57,0),IF($B$64=3,CT85,0))</x:f>
      </x:c>
      <x:c r="CU113" s="107" t="n">
        <x:f>SUM(IF($B$8=3,CU29,0),IF($B$36=3,CU57,0),IF($B$64=3,CU85,0))</x:f>
      </x:c>
      <x:c r="CV113" s="107" t="n">
        <x:f>SUM(IF($B$8=3,CV29,0),IF($B$36=3,CV57,0),IF($B$64=3,CV85,0))</x:f>
      </x:c>
      <x:c r="CW113" s="107" t="n">
        <x:f>SUM(IF($B$8=3,CW29,0),IF($B$36=3,CW57,0),IF($B$64=3,CW85,0))</x:f>
      </x:c>
      <x:c r="CX113" s="107" t="n">
        <x:f>SUM(IF($B$8=3,CX29,0),IF($B$36=3,CX57,0),IF($B$64=3,CX85,0))</x:f>
      </x:c>
      <x:c r="CY113" s="107" t="n">
        <x:f>SUM(IF($B$8=3,CY29,0),IF($B$36=3,CY57,0),IF($B$64=3,CY85,0))</x:f>
      </x:c>
      <x:c r="CZ113" s="107" t="n">
        <x:f>SUM(IF($B$8=3,CZ29,0),IF($B$36=3,CZ57,0),IF($B$64=3,CZ85,0))</x:f>
      </x:c>
      <x:c r="DA113" s="107" t="n">
        <x:f>SUM(IF($B$8=3,DA29,0),IF($B$36=3,DA57,0),IF($B$64=3,DA85,0))</x:f>
      </x:c>
      <x:c r="DB113" s="107" t="n">
        <x:f>SUM(IF($B$8=3,DB29,0),IF($B$36=3,DB57,0),IF($B$64=3,DB85,0))</x:f>
      </x:c>
      <x:c r="DC113" s="107" t="n">
        <x:f>SUM(IF($B$8=3,DC29,0),IF($B$36=3,DC57,0),IF($B$64=3,DC85,0))</x:f>
      </x:c>
      <x:c r="DD113" s="107" t="n">
        <x:f>SUM(IF($B$8=3,DD29,0),IF($B$36=3,DD57,0),IF($B$64=3,DD85,0))</x:f>
      </x:c>
      <x:c r="DE113" s="107" t="n">
        <x:f>SUM(IF($B$8=3,DE29,0),IF($B$36=3,DE57,0),IF($B$64=3,DE85,0))</x:f>
      </x:c>
      <x:c r="DF113" s="107" t="n">
        <x:f>SUM(IF($B$8=3,DF29,0),IF($B$36=3,DF57,0),IF($B$64=3,DF85,0))</x:f>
      </x:c>
      <x:c r="DG113" s="107" t="n">
        <x:f>SUM(IF($B$8=3,DG29,0),IF($B$36=3,DG57,0),IF($B$64=3,DG85,0))</x:f>
      </x:c>
      <x:c r="DH113" s="107" t="n">
        <x:f>SUM(IF($B$8=3,DH29,0),IF($B$36=3,DH57,0),IF($B$64=3,DH85,0))</x:f>
      </x:c>
      <x:c r="DI113" s="107" t="n">
        <x:f>SUM(IF($B$8=3,DI29,0),IF($B$36=3,DI57,0),IF($B$64=3,DI85,0))</x:f>
      </x:c>
      <x:c r="DJ113" s="107" t="n">
        <x:f>SUM(IF($B$8=3,DJ29,0),IF($B$36=3,DJ57,0),IF($B$64=3,DJ85,0))</x:f>
      </x:c>
      <x:c r="DK113" s="107" t="n">
        <x:f>SUM(IF($B$8=3,DK29,0),IF($B$36=3,DK57,0),IF($B$64=3,DK85,0))</x:f>
      </x:c>
      <x:c r="DL113" s="107" t="n">
        <x:f>SUM(IF($B$8=3,DL29,0),IF($B$36=3,DL57,0),IF($B$64=3,DL85,0))</x:f>
      </x:c>
      <x:c r="DM113" s="107" t="n">
        <x:f>SUM(IF($B$8=3,DM29,0),IF($B$36=3,DM57,0),IF($B$64=3,DM85,0))</x:f>
      </x:c>
      <x:c r="DN113" s="107" t="n">
        <x:f>SUM(IF($B$8=3,DN29,0),IF($B$36=3,DN57,0),IF($B$64=3,DN85,0))</x:f>
      </x:c>
      <x:c r="DO113" s="107" t="n">
        <x:f>SUM(IF($B$8=3,DO29,0),IF($B$36=3,DO57,0),IF($B$64=3,DO85,0))</x:f>
      </x:c>
      <x:c r="DP113" s="107" t="n">
        <x:f>SUM(IF($B$8=3,DP29,0),IF($B$36=3,DP57,0),IF($B$64=3,DP85,0))</x:f>
      </x:c>
      <x:c r="DQ113" s="107" t="n">
        <x:f>SUM(IF($B$8=3,DQ29,0),IF($B$36=3,DQ57,0),IF($B$64=3,DQ85,0))</x:f>
      </x:c>
      <x:c r="DR113" s="107" t="n">
        <x:f>SUM(IF($B$8=3,DR29,0),IF($B$36=3,DR57,0),IF($B$64=3,DR85,0))</x:f>
      </x:c>
      <x:c r="DS113" s="107" t="n">
        <x:f>SUM(IF($B$8=3,DS29,0),IF($B$36=3,DS57,0),IF($B$64=3,DS85,0))</x:f>
      </x:c>
    </x:row>
    <x:row r="114">
      <x:c r="A114" s="348" t="str">
        <x:v>Очередь 3 — Расходы на продажи объектов</x:v>
      </x:c>
      <x:c r="B114" s="348" t="n">
        <x:f>SUM(D114:DS114)</x:f>
      </x:c>
      <x:c r="C114" s="348" t="str">
        <x:v>млн ₽</x:v>
      </x:c>
      <x:c r="D114" s="348" t="n">
        <x:f>SUM(IF($B$8=3,D30,0),IF($B$36=3,D58,0),IF($B$64=3,D86,0))</x:f>
      </x:c>
      <x:c r="E114" s="348" t="n">
        <x:f>SUM(IF($B$8=3,E30,0),IF($B$36=3,E58,0),IF($B$64=3,E86,0))</x:f>
      </x:c>
      <x:c r="F114" s="348" t="n">
        <x:f>SUM(IF($B$8=3,F30,0),IF($B$36=3,F58,0),IF($B$64=3,F86,0))</x:f>
      </x:c>
      <x:c r="G114" s="348" t="n">
        <x:f>SUM(IF($B$8=3,G30,0),IF($B$36=3,G58,0),IF($B$64=3,G86,0))</x:f>
      </x:c>
      <x:c r="H114" s="348" t="n">
        <x:f>SUM(IF($B$8=3,H30,0),IF($B$36=3,H58,0),IF($B$64=3,H86,0))</x:f>
      </x:c>
      <x:c r="I114" s="348" t="n">
        <x:f>SUM(IF($B$8=3,I30,0),IF($B$36=3,I58,0),IF($B$64=3,I86,0))</x:f>
      </x:c>
      <x:c r="J114" s="348" t="n">
        <x:f>SUM(IF($B$8=3,J30,0),IF($B$36=3,J58,0),IF($B$64=3,J86,0))</x:f>
      </x:c>
      <x:c r="K114" s="348" t="n">
        <x:f>SUM(IF($B$8=3,K30,0),IF($B$36=3,K58,0),IF($B$64=3,K86,0))</x:f>
      </x:c>
      <x:c r="L114" s="348" t="n">
        <x:f>SUM(IF($B$8=3,L30,0),IF($B$36=3,L58,0),IF($B$64=3,L86,0))</x:f>
      </x:c>
      <x:c r="M114" s="348" t="n">
        <x:f>SUM(IF($B$8=3,M30,0),IF($B$36=3,M58,0),IF($B$64=3,M86,0))</x:f>
      </x:c>
      <x:c r="N114" s="348" t="n">
        <x:f>SUM(IF($B$8=3,N30,0),IF($B$36=3,N58,0),IF($B$64=3,N86,0))</x:f>
      </x:c>
      <x:c r="O114" s="348" t="n">
        <x:f>SUM(IF($B$8=3,O30,0),IF($B$36=3,O58,0),IF($B$64=3,O86,0))</x:f>
      </x:c>
      <x:c r="P114" s="348" t="n">
        <x:f>SUM(IF($B$8=3,P30,0),IF($B$36=3,P58,0),IF($B$64=3,P86,0))</x:f>
      </x:c>
      <x:c r="Q114" s="348" t="n">
        <x:f>SUM(IF($B$8=3,Q30,0),IF($B$36=3,Q58,0),IF($B$64=3,Q86,0))</x:f>
      </x:c>
      <x:c r="R114" s="348" t="n">
        <x:f>SUM(IF($B$8=3,R30,0),IF($B$36=3,R58,0),IF($B$64=3,R86,0))</x:f>
      </x:c>
      <x:c r="S114" s="348" t="n">
        <x:f>SUM(IF($B$8=3,S30,0),IF($B$36=3,S58,0),IF($B$64=3,S86,0))</x:f>
      </x:c>
      <x:c r="T114" s="348" t="n">
        <x:f>SUM(IF($B$8=3,T30,0),IF($B$36=3,T58,0),IF($B$64=3,T86,0))</x:f>
      </x:c>
      <x:c r="U114" s="348" t="n">
        <x:f>SUM(IF($B$8=3,U30,0),IF($B$36=3,U58,0),IF($B$64=3,U86,0))</x:f>
      </x:c>
      <x:c r="V114" s="348" t="n">
        <x:f>SUM(IF($B$8=3,V30,0),IF($B$36=3,V58,0),IF($B$64=3,V86,0))</x:f>
      </x:c>
      <x:c r="W114" s="348" t="n">
        <x:f>SUM(IF($B$8=3,W30,0),IF($B$36=3,W58,0),IF($B$64=3,W86,0))</x:f>
      </x:c>
      <x:c r="X114" s="348" t="n">
        <x:f>SUM(IF($B$8=3,X30,0),IF($B$36=3,X58,0),IF($B$64=3,X86,0))</x:f>
      </x:c>
      <x:c r="Y114" s="348" t="n">
        <x:f>SUM(IF($B$8=3,Y30,0),IF($B$36=3,Y58,0),IF($B$64=3,Y86,0))</x:f>
      </x:c>
      <x:c r="Z114" s="348" t="n">
        <x:f>SUM(IF($B$8=3,Z30,0),IF($B$36=3,Z58,0),IF($B$64=3,Z86,0))</x:f>
      </x:c>
      <x:c r="AA114" s="348" t="n">
        <x:f>SUM(IF($B$8=3,AA30,0),IF($B$36=3,AA58,0),IF($B$64=3,AA86,0))</x:f>
      </x:c>
      <x:c r="AB114" s="348" t="n">
        <x:f>SUM(IF($B$8=3,AB30,0),IF($B$36=3,AB58,0),IF($B$64=3,AB86,0))</x:f>
      </x:c>
      <x:c r="AC114" s="348" t="n">
        <x:f>SUM(IF($B$8=3,AC30,0),IF($B$36=3,AC58,0),IF($B$64=3,AC86,0))</x:f>
      </x:c>
      <x:c r="AD114" s="348" t="n">
        <x:f>SUM(IF($B$8=3,AD30,0),IF($B$36=3,AD58,0),IF($B$64=3,AD86,0))</x:f>
      </x:c>
      <x:c r="AE114" s="348" t="n">
        <x:f>SUM(IF($B$8=3,AE30,0),IF($B$36=3,AE58,0),IF($B$64=3,AE86,0))</x:f>
      </x:c>
      <x:c r="AF114" s="348" t="n">
        <x:f>SUM(IF($B$8=3,AF30,0),IF($B$36=3,AF58,0),IF($B$64=3,AF86,0))</x:f>
      </x:c>
      <x:c r="AG114" s="348" t="n">
        <x:f>SUM(IF($B$8=3,AG30,0),IF($B$36=3,AG58,0),IF($B$64=3,AG86,0))</x:f>
      </x:c>
      <x:c r="AH114" s="348" t="n">
        <x:f>SUM(IF($B$8=3,AH30,0),IF($B$36=3,AH58,0),IF($B$64=3,AH86,0))</x:f>
      </x:c>
      <x:c r="AI114" s="348" t="n">
        <x:f>SUM(IF($B$8=3,AI30,0),IF($B$36=3,AI58,0),IF($B$64=3,AI86,0))</x:f>
      </x:c>
      <x:c r="AJ114" s="348" t="n">
        <x:f>SUM(IF($B$8=3,AJ30,0),IF($B$36=3,AJ58,0),IF($B$64=3,AJ86,0))</x:f>
      </x:c>
      <x:c r="AK114" s="348" t="n">
        <x:f>SUM(IF($B$8=3,AK30,0),IF($B$36=3,AK58,0),IF($B$64=3,AK86,0))</x:f>
      </x:c>
      <x:c r="AL114" s="348" t="n">
        <x:f>SUM(IF($B$8=3,AL30,0),IF($B$36=3,AL58,0),IF($B$64=3,AL86,0))</x:f>
      </x:c>
      <x:c r="AM114" s="348" t="n">
        <x:f>SUM(IF($B$8=3,AM30,0),IF($B$36=3,AM58,0),IF($B$64=3,AM86,0))</x:f>
      </x:c>
      <x:c r="AN114" s="348" t="n">
        <x:f>SUM(IF($B$8=3,AN30,0),IF($B$36=3,AN58,0),IF($B$64=3,AN86,0))</x:f>
      </x:c>
      <x:c r="AO114" s="348" t="n">
        <x:f>SUM(IF($B$8=3,AO30,0),IF($B$36=3,AO58,0),IF($B$64=3,AO86,0))</x:f>
      </x:c>
      <x:c r="AP114" s="348" t="n">
        <x:f>SUM(IF($B$8=3,AP30,0),IF($B$36=3,AP58,0),IF($B$64=3,AP86,0))</x:f>
      </x:c>
      <x:c r="AQ114" s="348" t="n">
        <x:f>SUM(IF($B$8=3,AQ30,0),IF($B$36=3,AQ58,0),IF($B$64=3,AQ86,0))</x:f>
      </x:c>
      <x:c r="AR114" s="348" t="n">
        <x:f>SUM(IF($B$8=3,AR30,0),IF($B$36=3,AR58,0),IF($B$64=3,AR86,0))</x:f>
      </x:c>
      <x:c r="AS114" s="348" t="n">
        <x:f>SUM(IF($B$8=3,AS30,0),IF($B$36=3,AS58,0),IF($B$64=3,AS86,0))</x:f>
      </x:c>
      <x:c r="AT114" s="348" t="n">
        <x:f>SUM(IF($B$8=3,AT30,0),IF($B$36=3,AT58,0),IF($B$64=3,AT86,0))</x:f>
      </x:c>
      <x:c r="AU114" s="348" t="n">
        <x:f>SUM(IF($B$8=3,AU30,0),IF($B$36=3,AU58,0),IF($B$64=3,AU86,0))</x:f>
      </x:c>
      <x:c r="AV114" s="348" t="n">
        <x:f>SUM(IF($B$8=3,AV30,0),IF($B$36=3,AV58,0),IF($B$64=3,AV86,0))</x:f>
      </x:c>
      <x:c r="AW114" s="348" t="n">
        <x:f>SUM(IF($B$8=3,AW30,0),IF($B$36=3,AW58,0),IF($B$64=3,AW86,0))</x:f>
      </x:c>
      <x:c r="AX114" s="348" t="n">
        <x:f>SUM(IF($B$8=3,AX30,0),IF($B$36=3,AX58,0),IF($B$64=3,AX86,0))</x:f>
      </x:c>
      <x:c r="AY114" s="348" t="n">
        <x:f>SUM(IF($B$8=3,AY30,0),IF($B$36=3,AY58,0),IF($B$64=3,AY86,0))</x:f>
      </x:c>
      <x:c r="AZ114" s="348" t="n">
        <x:f>SUM(IF($B$8=3,AZ30,0),IF($B$36=3,AZ58,0),IF($B$64=3,AZ86,0))</x:f>
      </x:c>
      <x:c r="BA114" s="348" t="n">
        <x:f>SUM(IF($B$8=3,BA30,0),IF($B$36=3,BA58,0),IF($B$64=3,BA86,0))</x:f>
      </x:c>
      <x:c r="BB114" s="348" t="n">
        <x:f>SUM(IF($B$8=3,BB30,0),IF($B$36=3,BB58,0),IF($B$64=3,BB86,0))</x:f>
      </x:c>
      <x:c r="BC114" s="348" t="n">
        <x:f>SUM(IF($B$8=3,BC30,0),IF($B$36=3,BC58,0),IF($B$64=3,BC86,0))</x:f>
      </x:c>
      <x:c r="BD114" s="348" t="n">
        <x:f>SUM(IF($B$8=3,BD30,0),IF($B$36=3,BD58,0),IF($B$64=3,BD86,0))</x:f>
      </x:c>
      <x:c r="BE114" s="348" t="n">
        <x:f>SUM(IF($B$8=3,BE30,0),IF($B$36=3,BE58,0),IF($B$64=3,BE86,0))</x:f>
      </x:c>
      <x:c r="BF114" s="348" t="n">
        <x:f>SUM(IF($B$8=3,BF30,0),IF($B$36=3,BF58,0),IF($B$64=3,BF86,0))</x:f>
      </x:c>
      <x:c r="BG114" s="348" t="n">
        <x:f>SUM(IF($B$8=3,BG30,0),IF($B$36=3,BG58,0),IF($B$64=3,BG86,0))</x:f>
      </x:c>
      <x:c r="BH114" s="348" t="n">
        <x:f>SUM(IF($B$8=3,BH30,0),IF($B$36=3,BH58,0),IF($B$64=3,BH86,0))</x:f>
      </x:c>
      <x:c r="BI114" s="348" t="n">
        <x:f>SUM(IF($B$8=3,BI30,0),IF($B$36=3,BI58,0),IF($B$64=3,BI86,0))</x:f>
      </x:c>
      <x:c r="BJ114" s="348" t="n">
        <x:f>SUM(IF($B$8=3,BJ30,0),IF($B$36=3,BJ58,0),IF($B$64=3,BJ86,0))</x:f>
      </x:c>
      <x:c r="BK114" s="348" t="n">
        <x:f>SUM(IF($B$8=3,BK30,0),IF($B$36=3,BK58,0),IF($B$64=3,BK86,0))</x:f>
      </x:c>
      <x:c r="BL114" s="348" t="n">
        <x:f>SUM(IF($B$8=3,BL30,0),IF($B$36=3,BL58,0),IF($B$64=3,BL86,0))</x:f>
      </x:c>
      <x:c r="BM114" s="348" t="n">
        <x:f>SUM(IF($B$8=3,BM30,0),IF($B$36=3,BM58,0),IF($B$64=3,BM86,0))</x:f>
      </x:c>
      <x:c r="BN114" s="348" t="n">
        <x:f>SUM(IF($B$8=3,BN30,0),IF($B$36=3,BN58,0),IF($B$64=3,BN86,0))</x:f>
      </x:c>
      <x:c r="BO114" s="348" t="n">
        <x:f>SUM(IF($B$8=3,BO30,0),IF($B$36=3,BO58,0),IF($B$64=3,BO86,0))</x:f>
      </x:c>
      <x:c r="BP114" s="348" t="n">
        <x:f>SUM(IF($B$8=3,BP30,0),IF($B$36=3,BP58,0),IF($B$64=3,BP86,0))</x:f>
      </x:c>
      <x:c r="BQ114" s="348" t="n">
        <x:f>SUM(IF($B$8=3,BQ30,0),IF($B$36=3,BQ58,0),IF($B$64=3,BQ86,0))</x:f>
      </x:c>
      <x:c r="BR114" s="348" t="n">
        <x:f>SUM(IF($B$8=3,BR30,0),IF($B$36=3,BR58,0),IF($B$64=3,BR86,0))</x:f>
      </x:c>
      <x:c r="BS114" s="348" t="n">
        <x:f>SUM(IF($B$8=3,BS30,0),IF($B$36=3,BS58,0),IF($B$64=3,BS86,0))</x:f>
      </x:c>
      <x:c r="BT114" s="348" t="n">
        <x:f>SUM(IF($B$8=3,BT30,0),IF($B$36=3,BT58,0),IF($B$64=3,BT86,0))</x:f>
      </x:c>
      <x:c r="BU114" s="348" t="n">
        <x:f>SUM(IF($B$8=3,BU30,0),IF($B$36=3,BU58,0),IF($B$64=3,BU86,0))</x:f>
      </x:c>
      <x:c r="BV114" s="348" t="n">
        <x:f>SUM(IF($B$8=3,BV30,0),IF($B$36=3,BV58,0),IF($B$64=3,BV86,0))</x:f>
      </x:c>
      <x:c r="BW114" s="348" t="n">
        <x:f>SUM(IF($B$8=3,BW30,0),IF($B$36=3,BW58,0),IF($B$64=3,BW86,0))</x:f>
      </x:c>
      <x:c r="BX114" s="348" t="n">
        <x:f>SUM(IF($B$8=3,BX30,0),IF($B$36=3,BX58,0),IF($B$64=3,BX86,0))</x:f>
      </x:c>
      <x:c r="BY114" s="348" t="n">
        <x:f>SUM(IF($B$8=3,BY30,0),IF($B$36=3,BY58,0),IF($B$64=3,BY86,0))</x:f>
      </x:c>
      <x:c r="BZ114" s="348" t="n">
        <x:f>SUM(IF($B$8=3,BZ30,0),IF($B$36=3,BZ58,0),IF($B$64=3,BZ86,0))</x:f>
      </x:c>
      <x:c r="CA114" s="348" t="n">
        <x:f>SUM(IF($B$8=3,CA30,0),IF($B$36=3,CA58,0),IF($B$64=3,CA86,0))</x:f>
      </x:c>
      <x:c r="CB114" s="348" t="n">
        <x:f>SUM(IF($B$8=3,CB30,0),IF($B$36=3,CB58,0),IF($B$64=3,CB86,0))</x:f>
      </x:c>
      <x:c r="CC114" s="348" t="n">
        <x:f>SUM(IF($B$8=3,CC30,0),IF($B$36=3,CC58,0),IF($B$64=3,CC86,0))</x:f>
      </x:c>
      <x:c r="CD114" s="348" t="n">
        <x:f>SUM(IF($B$8=3,CD30,0),IF($B$36=3,CD58,0),IF($B$64=3,CD86,0))</x:f>
      </x:c>
      <x:c r="CE114" s="348" t="n">
        <x:f>SUM(IF($B$8=3,CE30,0),IF($B$36=3,CE58,0),IF($B$64=3,CE86,0))</x:f>
      </x:c>
      <x:c r="CF114" s="348" t="n">
        <x:f>SUM(IF($B$8=3,CF30,0),IF($B$36=3,CF58,0),IF($B$64=3,CF86,0))</x:f>
      </x:c>
      <x:c r="CG114" s="348" t="n">
        <x:f>SUM(IF($B$8=3,CG30,0),IF($B$36=3,CG58,0),IF($B$64=3,CG86,0))</x:f>
      </x:c>
      <x:c r="CH114" s="348" t="n">
        <x:f>SUM(IF($B$8=3,CH30,0),IF($B$36=3,CH58,0),IF($B$64=3,CH86,0))</x:f>
      </x:c>
      <x:c r="CI114" s="348" t="n">
        <x:f>SUM(IF($B$8=3,CI30,0),IF($B$36=3,CI58,0),IF($B$64=3,CI86,0))</x:f>
      </x:c>
      <x:c r="CJ114" s="348" t="n">
        <x:f>SUM(IF($B$8=3,CJ30,0),IF($B$36=3,CJ58,0),IF($B$64=3,CJ86,0))</x:f>
      </x:c>
      <x:c r="CK114" s="348" t="n">
        <x:f>SUM(IF($B$8=3,CK30,0),IF($B$36=3,CK58,0),IF($B$64=3,CK86,0))</x:f>
      </x:c>
      <x:c r="CL114" s="348" t="n">
        <x:f>SUM(IF($B$8=3,CL30,0),IF($B$36=3,CL58,0),IF($B$64=3,CL86,0))</x:f>
      </x:c>
      <x:c r="CM114" s="348" t="n">
        <x:f>SUM(IF($B$8=3,CM30,0),IF($B$36=3,CM58,0),IF($B$64=3,CM86,0))</x:f>
      </x:c>
      <x:c r="CN114" s="348" t="n">
        <x:f>SUM(IF($B$8=3,CN30,0),IF($B$36=3,CN58,0),IF($B$64=3,CN86,0))</x:f>
      </x:c>
      <x:c r="CO114" s="348" t="n">
        <x:f>SUM(IF($B$8=3,CO30,0),IF($B$36=3,CO58,0),IF($B$64=3,CO86,0))</x:f>
      </x:c>
      <x:c r="CP114" s="348" t="n">
        <x:f>SUM(IF($B$8=3,CP30,0),IF($B$36=3,CP58,0),IF($B$64=3,CP86,0))</x:f>
      </x:c>
      <x:c r="CQ114" s="348" t="n">
        <x:f>SUM(IF($B$8=3,CQ30,0),IF($B$36=3,CQ58,0),IF($B$64=3,CQ86,0))</x:f>
      </x:c>
      <x:c r="CR114" s="348" t="n">
        <x:f>SUM(IF($B$8=3,CR30,0),IF($B$36=3,CR58,0),IF($B$64=3,CR86,0))</x:f>
      </x:c>
      <x:c r="CS114" s="348" t="n">
        <x:f>SUM(IF($B$8=3,CS30,0),IF($B$36=3,CS58,0),IF($B$64=3,CS86,0))</x:f>
      </x:c>
      <x:c r="CT114" s="348" t="n">
        <x:f>SUM(IF($B$8=3,CT30,0),IF($B$36=3,CT58,0),IF($B$64=3,CT86,0))</x:f>
      </x:c>
      <x:c r="CU114" s="348" t="n">
        <x:f>SUM(IF($B$8=3,CU30,0),IF($B$36=3,CU58,0),IF($B$64=3,CU86,0))</x:f>
      </x:c>
      <x:c r="CV114" s="348" t="n">
        <x:f>SUM(IF($B$8=3,CV30,0),IF($B$36=3,CV58,0),IF($B$64=3,CV86,0))</x:f>
      </x:c>
      <x:c r="CW114" s="348" t="n">
        <x:f>SUM(IF($B$8=3,CW30,0),IF($B$36=3,CW58,0),IF($B$64=3,CW86,0))</x:f>
      </x:c>
      <x:c r="CX114" s="348" t="n">
        <x:f>SUM(IF($B$8=3,CX30,0),IF($B$36=3,CX58,0),IF($B$64=3,CX86,0))</x:f>
      </x:c>
      <x:c r="CY114" s="348" t="n">
        <x:f>SUM(IF($B$8=3,CY30,0),IF($B$36=3,CY58,0),IF($B$64=3,CY86,0))</x:f>
      </x:c>
      <x:c r="CZ114" s="348" t="n">
        <x:f>SUM(IF($B$8=3,CZ30,0),IF($B$36=3,CZ58,0),IF($B$64=3,CZ86,0))</x:f>
      </x:c>
      <x:c r="DA114" s="348" t="n">
        <x:f>SUM(IF($B$8=3,DA30,0),IF($B$36=3,DA58,0),IF($B$64=3,DA86,0))</x:f>
      </x:c>
      <x:c r="DB114" s="348" t="n">
        <x:f>SUM(IF($B$8=3,DB30,0),IF($B$36=3,DB58,0),IF($B$64=3,DB86,0))</x:f>
      </x:c>
      <x:c r="DC114" s="348" t="n">
        <x:f>SUM(IF($B$8=3,DC30,0),IF($B$36=3,DC58,0),IF($B$64=3,DC86,0))</x:f>
      </x:c>
      <x:c r="DD114" s="348" t="n">
        <x:f>SUM(IF($B$8=3,DD30,0),IF($B$36=3,DD58,0),IF($B$64=3,DD86,0))</x:f>
      </x:c>
      <x:c r="DE114" s="348" t="n">
        <x:f>SUM(IF($B$8=3,DE30,0),IF($B$36=3,DE58,0),IF($B$64=3,DE86,0))</x:f>
      </x:c>
      <x:c r="DF114" s="348" t="n">
        <x:f>SUM(IF($B$8=3,DF30,0),IF($B$36=3,DF58,0),IF($B$64=3,DF86,0))</x:f>
      </x:c>
      <x:c r="DG114" s="348" t="n">
        <x:f>SUM(IF($B$8=3,DG30,0),IF($B$36=3,DG58,0),IF($B$64=3,DG86,0))</x:f>
      </x:c>
      <x:c r="DH114" s="348" t="n">
        <x:f>SUM(IF($B$8=3,DH30,0),IF($B$36=3,DH58,0),IF($B$64=3,DH86,0))</x:f>
      </x:c>
      <x:c r="DI114" s="348" t="n">
        <x:f>SUM(IF($B$8=3,DI30,0),IF($B$36=3,DI58,0),IF($B$64=3,DI86,0))</x:f>
      </x:c>
      <x:c r="DJ114" s="348" t="n">
        <x:f>SUM(IF($B$8=3,DJ30,0),IF($B$36=3,DJ58,0),IF($B$64=3,DJ86,0))</x:f>
      </x:c>
      <x:c r="DK114" s="348" t="n">
        <x:f>SUM(IF($B$8=3,DK30,0),IF($B$36=3,DK58,0),IF($B$64=3,DK86,0))</x:f>
      </x:c>
      <x:c r="DL114" s="348" t="n">
        <x:f>SUM(IF($B$8=3,DL30,0),IF($B$36=3,DL58,0),IF($B$64=3,DL86,0))</x:f>
      </x:c>
      <x:c r="DM114" s="348" t="n">
        <x:f>SUM(IF($B$8=3,DM30,0),IF($B$36=3,DM58,0),IF($B$64=3,DM86,0))</x:f>
      </x:c>
      <x:c r="DN114" s="348" t="n">
        <x:f>SUM(IF($B$8=3,DN30,0),IF($B$36=3,DN58,0),IF($B$64=3,DN86,0))</x:f>
      </x:c>
      <x:c r="DO114" s="348" t="n">
        <x:f>SUM(IF($B$8=3,DO30,0),IF($B$36=3,DO58,0),IF($B$64=3,DO86,0))</x:f>
      </x:c>
      <x:c r="DP114" s="348" t="n">
        <x:f>SUM(IF($B$8=3,DP30,0),IF($B$36=3,DP58,0),IF($B$64=3,DP86,0))</x:f>
      </x:c>
      <x:c r="DQ114" s="348" t="n">
        <x:f>SUM(IF($B$8=3,DQ30,0),IF($B$36=3,DQ58,0),IF($B$64=3,DQ86,0))</x:f>
      </x:c>
      <x:c r="DR114" s="348" t="n">
        <x:f>SUM(IF($B$8=3,DR30,0),IF($B$36=3,DR58,0),IF($B$64=3,DR86,0))</x:f>
      </x:c>
      <x:c r="DS114" s="348" t="n">
        <x:f>SUM(IF($B$8=3,DS30,0),IF($B$36=3,DS58,0),IF($B$64=3,DS86,0))</x:f>
      </x:c>
    </x:row>
    <x:row r="116">
      <x:c r="A116" t="str">
        <x:v>Очередь 4 — Выручка объектов</x:v>
      </x:c>
      <x:c r="B116" s="107" t="n">
        <x:f>SUM(D116:DS116)</x:f>
      </x:c>
      <x:c r="C116" t="str">
        <x:v>млн ₽</x:v>
      </x:c>
      <x:c r="D116" s="107" t="n">
        <x:f>SUM(IF($B$8=4,D24,0),IF($B$36=4,D52,0),IF($B$64=4,D80,0))</x:f>
      </x:c>
      <x:c r="E116" s="107" t="n">
        <x:f>SUM(IF($B$8=4,E24,0),IF($B$36=4,E52,0),IF($B$64=4,E80,0))</x:f>
      </x:c>
      <x:c r="F116" s="107" t="n">
        <x:f>SUM(IF($B$8=4,F24,0),IF($B$36=4,F52,0),IF($B$64=4,F80,0))</x:f>
      </x:c>
      <x:c r="G116" s="107" t="n">
        <x:f>SUM(IF($B$8=4,G24,0),IF($B$36=4,G52,0),IF($B$64=4,G80,0))</x:f>
      </x:c>
      <x:c r="H116" s="107" t="n">
        <x:f>SUM(IF($B$8=4,H24,0),IF($B$36=4,H52,0),IF($B$64=4,H80,0))</x:f>
      </x:c>
      <x:c r="I116" s="107" t="n">
        <x:f>SUM(IF($B$8=4,I24,0),IF($B$36=4,I52,0),IF($B$64=4,I80,0))</x:f>
      </x:c>
      <x:c r="J116" s="107" t="n">
        <x:f>SUM(IF($B$8=4,J24,0),IF($B$36=4,J52,0),IF($B$64=4,J80,0))</x:f>
      </x:c>
      <x:c r="K116" s="107" t="n">
        <x:f>SUM(IF($B$8=4,K24,0),IF($B$36=4,K52,0),IF($B$64=4,K80,0))</x:f>
      </x:c>
      <x:c r="L116" s="107" t="n">
        <x:f>SUM(IF($B$8=4,L24,0),IF($B$36=4,L52,0),IF($B$64=4,L80,0))</x:f>
      </x:c>
      <x:c r="M116" s="107" t="n">
        <x:f>SUM(IF($B$8=4,M24,0),IF($B$36=4,M52,0),IF($B$64=4,M80,0))</x:f>
      </x:c>
      <x:c r="N116" s="107" t="n">
        <x:f>SUM(IF($B$8=4,N24,0),IF($B$36=4,N52,0),IF($B$64=4,N80,0))</x:f>
      </x:c>
      <x:c r="O116" s="107" t="n">
        <x:f>SUM(IF($B$8=4,O24,0),IF($B$36=4,O52,0),IF($B$64=4,O80,0))</x:f>
      </x:c>
      <x:c r="P116" s="107" t="n">
        <x:f>SUM(IF($B$8=4,P24,0),IF($B$36=4,P52,0),IF($B$64=4,P80,0))</x:f>
      </x:c>
      <x:c r="Q116" s="107" t="n">
        <x:f>SUM(IF($B$8=4,Q24,0),IF($B$36=4,Q52,0),IF($B$64=4,Q80,0))</x:f>
      </x:c>
      <x:c r="R116" s="107" t="n">
        <x:f>SUM(IF($B$8=4,R24,0),IF($B$36=4,R52,0),IF($B$64=4,R80,0))</x:f>
      </x:c>
      <x:c r="S116" s="107" t="n">
        <x:f>SUM(IF($B$8=4,S24,0),IF($B$36=4,S52,0),IF($B$64=4,S80,0))</x:f>
      </x:c>
      <x:c r="T116" s="107" t="n">
        <x:f>SUM(IF($B$8=4,T24,0),IF($B$36=4,T52,0),IF($B$64=4,T80,0))</x:f>
      </x:c>
      <x:c r="U116" s="107" t="n">
        <x:f>SUM(IF($B$8=4,U24,0),IF($B$36=4,U52,0),IF($B$64=4,U80,0))</x:f>
      </x:c>
      <x:c r="V116" s="107" t="n">
        <x:f>SUM(IF($B$8=4,V24,0),IF($B$36=4,V52,0),IF($B$64=4,V80,0))</x:f>
      </x:c>
      <x:c r="W116" s="107" t="n">
        <x:f>SUM(IF($B$8=4,W24,0),IF($B$36=4,W52,0),IF($B$64=4,W80,0))</x:f>
      </x:c>
      <x:c r="X116" s="107" t="n">
        <x:f>SUM(IF($B$8=4,X24,0),IF($B$36=4,X52,0),IF($B$64=4,X80,0))</x:f>
      </x:c>
      <x:c r="Y116" s="107" t="n">
        <x:f>SUM(IF($B$8=4,Y24,0),IF($B$36=4,Y52,0),IF($B$64=4,Y80,0))</x:f>
      </x:c>
      <x:c r="Z116" s="107" t="n">
        <x:f>SUM(IF($B$8=4,Z24,0),IF($B$36=4,Z52,0),IF($B$64=4,Z80,0))</x:f>
      </x:c>
      <x:c r="AA116" s="107" t="n">
        <x:f>SUM(IF($B$8=4,AA24,0),IF($B$36=4,AA52,0),IF($B$64=4,AA80,0))</x:f>
      </x:c>
      <x:c r="AB116" s="107" t="n">
        <x:f>SUM(IF($B$8=4,AB24,0),IF($B$36=4,AB52,0),IF($B$64=4,AB80,0))</x:f>
      </x:c>
      <x:c r="AC116" s="107" t="n">
        <x:f>SUM(IF($B$8=4,AC24,0),IF($B$36=4,AC52,0),IF($B$64=4,AC80,0))</x:f>
      </x:c>
      <x:c r="AD116" s="107" t="n">
        <x:f>SUM(IF($B$8=4,AD24,0),IF($B$36=4,AD52,0),IF($B$64=4,AD80,0))</x:f>
      </x:c>
      <x:c r="AE116" s="107" t="n">
        <x:f>SUM(IF($B$8=4,AE24,0),IF($B$36=4,AE52,0),IF($B$64=4,AE80,0))</x:f>
      </x:c>
      <x:c r="AF116" s="107" t="n">
        <x:f>SUM(IF($B$8=4,AF24,0),IF($B$36=4,AF52,0),IF($B$64=4,AF80,0))</x:f>
      </x:c>
      <x:c r="AG116" s="107" t="n">
        <x:f>SUM(IF($B$8=4,AG24,0),IF($B$36=4,AG52,0),IF($B$64=4,AG80,0))</x:f>
      </x:c>
      <x:c r="AH116" s="107" t="n">
        <x:f>SUM(IF($B$8=4,AH24,0),IF($B$36=4,AH52,0),IF($B$64=4,AH80,0))</x:f>
      </x:c>
      <x:c r="AI116" s="107" t="n">
        <x:f>SUM(IF($B$8=4,AI24,0),IF($B$36=4,AI52,0),IF($B$64=4,AI80,0))</x:f>
      </x:c>
      <x:c r="AJ116" s="107" t="n">
        <x:f>SUM(IF($B$8=4,AJ24,0),IF($B$36=4,AJ52,0),IF($B$64=4,AJ80,0))</x:f>
      </x:c>
      <x:c r="AK116" s="107" t="n">
        <x:f>SUM(IF($B$8=4,AK24,0),IF($B$36=4,AK52,0),IF($B$64=4,AK80,0))</x:f>
      </x:c>
      <x:c r="AL116" s="107" t="n">
        <x:f>SUM(IF($B$8=4,AL24,0),IF($B$36=4,AL52,0),IF($B$64=4,AL80,0))</x:f>
      </x:c>
      <x:c r="AM116" s="107" t="n">
        <x:f>SUM(IF($B$8=4,AM24,0),IF($B$36=4,AM52,0),IF($B$64=4,AM80,0))</x:f>
      </x:c>
      <x:c r="AN116" s="107" t="n">
        <x:f>SUM(IF($B$8=4,AN24,0),IF($B$36=4,AN52,0),IF($B$64=4,AN80,0))</x:f>
      </x:c>
      <x:c r="AO116" s="107" t="n">
        <x:f>SUM(IF($B$8=4,AO24,0),IF($B$36=4,AO52,0),IF($B$64=4,AO80,0))</x:f>
      </x:c>
      <x:c r="AP116" s="107" t="n">
        <x:f>SUM(IF($B$8=4,AP24,0),IF($B$36=4,AP52,0),IF($B$64=4,AP80,0))</x:f>
      </x:c>
      <x:c r="AQ116" s="107" t="n">
        <x:f>SUM(IF($B$8=4,AQ24,0),IF($B$36=4,AQ52,0),IF($B$64=4,AQ80,0))</x:f>
      </x:c>
      <x:c r="AR116" s="107" t="n">
        <x:f>SUM(IF($B$8=4,AR24,0),IF($B$36=4,AR52,0),IF($B$64=4,AR80,0))</x:f>
      </x:c>
      <x:c r="AS116" s="107" t="n">
        <x:f>SUM(IF($B$8=4,AS24,0),IF($B$36=4,AS52,0),IF($B$64=4,AS80,0))</x:f>
      </x:c>
      <x:c r="AT116" s="107" t="n">
        <x:f>SUM(IF($B$8=4,AT24,0),IF($B$36=4,AT52,0),IF($B$64=4,AT80,0))</x:f>
      </x:c>
      <x:c r="AU116" s="107" t="n">
        <x:f>SUM(IF($B$8=4,AU24,0),IF($B$36=4,AU52,0),IF($B$64=4,AU80,0))</x:f>
      </x:c>
      <x:c r="AV116" s="107" t="n">
        <x:f>SUM(IF($B$8=4,AV24,0),IF($B$36=4,AV52,0),IF($B$64=4,AV80,0))</x:f>
      </x:c>
      <x:c r="AW116" s="107" t="n">
        <x:f>SUM(IF($B$8=4,AW24,0),IF($B$36=4,AW52,0),IF($B$64=4,AW80,0))</x:f>
      </x:c>
      <x:c r="AX116" s="107" t="n">
        <x:f>SUM(IF($B$8=4,AX24,0),IF($B$36=4,AX52,0),IF($B$64=4,AX80,0))</x:f>
      </x:c>
      <x:c r="AY116" s="107" t="n">
        <x:f>SUM(IF($B$8=4,AY24,0),IF($B$36=4,AY52,0),IF($B$64=4,AY80,0))</x:f>
      </x:c>
      <x:c r="AZ116" s="107" t="n">
        <x:f>SUM(IF($B$8=4,AZ24,0),IF($B$36=4,AZ52,0),IF($B$64=4,AZ80,0))</x:f>
      </x:c>
      <x:c r="BA116" s="107" t="n">
        <x:f>SUM(IF($B$8=4,BA24,0),IF($B$36=4,BA52,0),IF($B$64=4,BA80,0))</x:f>
      </x:c>
      <x:c r="BB116" s="107" t="n">
        <x:f>SUM(IF($B$8=4,BB24,0),IF($B$36=4,BB52,0),IF($B$64=4,BB80,0))</x:f>
      </x:c>
      <x:c r="BC116" s="107" t="n">
        <x:f>SUM(IF($B$8=4,BC24,0),IF($B$36=4,BC52,0),IF($B$64=4,BC80,0))</x:f>
      </x:c>
      <x:c r="BD116" s="107" t="n">
        <x:f>SUM(IF($B$8=4,BD24,0),IF($B$36=4,BD52,0),IF($B$64=4,BD80,0))</x:f>
      </x:c>
      <x:c r="BE116" s="107" t="n">
        <x:f>SUM(IF($B$8=4,BE24,0),IF($B$36=4,BE52,0),IF($B$64=4,BE80,0))</x:f>
      </x:c>
      <x:c r="BF116" s="107" t="n">
        <x:f>SUM(IF($B$8=4,BF24,0),IF($B$36=4,BF52,0),IF($B$64=4,BF80,0))</x:f>
      </x:c>
      <x:c r="BG116" s="107" t="n">
        <x:f>SUM(IF($B$8=4,BG24,0),IF($B$36=4,BG52,0),IF($B$64=4,BG80,0))</x:f>
      </x:c>
      <x:c r="BH116" s="107" t="n">
        <x:f>SUM(IF($B$8=4,BH24,0),IF($B$36=4,BH52,0),IF($B$64=4,BH80,0))</x:f>
      </x:c>
      <x:c r="BI116" s="107" t="n">
        <x:f>SUM(IF($B$8=4,BI24,0),IF($B$36=4,BI52,0),IF($B$64=4,BI80,0))</x:f>
      </x:c>
      <x:c r="BJ116" s="107" t="n">
        <x:f>SUM(IF($B$8=4,BJ24,0),IF($B$36=4,BJ52,0),IF($B$64=4,BJ80,0))</x:f>
      </x:c>
      <x:c r="BK116" s="107" t="n">
        <x:f>SUM(IF($B$8=4,BK24,0),IF($B$36=4,BK52,0),IF($B$64=4,BK80,0))</x:f>
      </x:c>
      <x:c r="BL116" s="107" t="n">
        <x:f>SUM(IF($B$8=4,BL24,0),IF($B$36=4,BL52,0),IF($B$64=4,BL80,0))</x:f>
      </x:c>
      <x:c r="BM116" s="107" t="n">
        <x:f>SUM(IF($B$8=4,BM24,0),IF($B$36=4,BM52,0),IF($B$64=4,BM80,0))</x:f>
      </x:c>
      <x:c r="BN116" s="107" t="n">
        <x:f>SUM(IF($B$8=4,BN24,0),IF($B$36=4,BN52,0),IF($B$64=4,BN80,0))</x:f>
      </x:c>
      <x:c r="BO116" s="107" t="n">
        <x:f>SUM(IF($B$8=4,BO24,0),IF($B$36=4,BO52,0),IF($B$64=4,BO80,0))</x:f>
      </x:c>
      <x:c r="BP116" s="107" t="n">
        <x:f>SUM(IF($B$8=4,BP24,0),IF($B$36=4,BP52,0),IF($B$64=4,BP80,0))</x:f>
      </x:c>
      <x:c r="BQ116" s="107" t="n">
        <x:f>SUM(IF($B$8=4,BQ24,0),IF($B$36=4,BQ52,0),IF($B$64=4,BQ80,0))</x:f>
      </x:c>
      <x:c r="BR116" s="107" t="n">
        <x:f>SUM(IF($B$8=4,BR24,0),IF($B$36=4,BR52,0),IF($B$64=4,BR80,0))</x:f>
      </x:c>
      <x:c r="BS116" s="107" t="n">
        <x:f>SUM(IF($B$8=4,BS24,0),IF($B$36=4,BS52,0),IF($B$64=4,BS80,0))</x:f>
      </x:c>
      <x:c r="BT116" s="107" t="n">
        <x:f>SUM(IF($B$8=4,BT24,0),IF($B$36=4,BT52,0),IF($B$64=4,BT80,0))</x:f>
      </x:c>
      <x:c r="BU116" s="107" t="n">
        <x:f>SUM(IF($B$8=4,BU24,0),IF($B$36=4,BU52,0),IF($B$64=4,BU80,0))</x:f>
      </x:c>
      <x:c r="BV116" s="107" t="n">
        <x:f>SUM(IF($B$8=4,BV24,0),IF($B$36=4,BV52,0),IF($B$64=4,BV80,0))</x:f>
      </x:c>
      <x:c r="BW116" s="107" t="n">
        <x:f>SUM(IF($B$8=4,BW24,0),IF($B$36=4,BW52,0),IF($B$64=4,BW80,0))</x:f>
      </x:c>
      <x:c r="BX116" s="107" t="n">
        <x:f>SUM(IF($B$8=4,BX24,0),IF($B$36=4,BX52,0),IF($B$64=4,BX80,0))</x:f>
      </x:c>
      <x:c r="BY116" s="107" t="n">
        <x:f>SUM(IF($B$8=4,BY24,0),IF($B$36=4,BY52,0),IF($B$64=4,BY80,0))</x:f>
      </x:c>
      <x:c r="BZ116" s="107" t="n">
        <x:f>SUM(IF($B$8=4,BZ24,0),IF($B$36=4,BZ52,0),IF($B$64=4,BZ80,0))</x:f>
      </x:c>
      <x:c r="CA116" s="107" t="n">
        <x:f>SUM(IF($B$8=4,CA24,0),IF($B$36=4,CA52,0),IF($B$64=4,CA80,0))</x:f>
      </x:c>
      <x:c r="CB116" s="107" t="n">
        <x:f>SUM(IF($B$8=4,CB24,0),IF($B$36=4,CB52,0),IF($B$64=4,CB80,0))</x:f>
      </x:c>
      <x:c r="CC116" s="107" t="n">
        <x:f>SUM(IF($B$8=4,CC24,0),IF($B$36=4,CC52,0),IF($B$64=4,CC80,0))</x:f>
      </x:c>
      <x:c r="CD116" s="107" t="n">
        <x:f>SUM(IF($B$8=4,CD24,0),IF($B$36=4,CD52,0),IF($B$64=4,CD80,0))</x:f>
      </x:c>
      <x:c r="CE116" s="107" t="n">
        <x:f>SUM(IF($B$8=4,CE24,0),IF($B$36=4,CE52,0),IF($B$64=4,CE80,0))</x:f>
      </x:c>
      <x:c r="CF116" s="107" t="n">
        <x:f>SUM(IF($B$8=4,CF24,0),IF($B$36=4,CF52,0),IF($B$64=4,CF80,0))</x:f>
      </x:c>
      <x:c r="CG116" s="107" t="n">
        <x:f>SUM(IF($B$8=4,CG24,0),IF($B$36=4,CG52,0),IF($B$64=4,CG80,0))</x:f>
      </x:c>
      <x:c r="CH116" s="107" t="n">
        <x:f>SUM(IF($B$8=4,CH24,0),IF($B$36=4,CH52,0),IF($B$64=4,CH80,0))</x:f>
      </x:c>
      <x:c r="CI116" s="107" t="n">
        <x:f>SUM(IF($B$8=4,CI24,0),IF($B$36=4,CI52,0),IF($B$64=4,CI80,0))</x:f>
      </x:c>
      <x:c r="CJ116" s="107" t="n">
        <x:f>SUM(IF($B$8=4,CJ24,0),IF($B$36=4,CJ52,0),IF($B$64=4,CJ80,0))</x:f>
      </x:c>
      <x:c r="CK116" s="107" t="n">
        <x:f>SUM(IF($B$8=4,CK24,0),IF($B$36=4,CK52,0),IF($B$64=4,CK80,0))</x:f>
      </x:c>
      <x:c r="CL116" s="107" t="n">
        <x:f>SUM(IF($B$8=4,CL24,0),IF($B$36=4,CL52,0),IF($B$64=4,CL80,0))</x:f>
      </x:c>
      <x:c r="CM116" s="107" t="n">
        <x:f>SUM(IF($B$8=4,CM24,0),IF($B$36=4,CM52,0),IF($B$64=4,CM80,0))</x:f>
      </x:c>
      <x:c r="CN116" s="107" t="n">
        <x:f>SUM(IF($B$8=4,CN24,0),IF($B$36=4,CN52,0),IF($B$64=4,CN80,0))</x:f>
      </x:c>
      <x:c r="CO116" s="107" t="n">
        <x:f>SUM(IF($B$8=4,CO24,0),IF($B$36=4,CO52,0),IF($B$64=4,CO80,0))</x:f>
      </x:c>
      <x:c r="CP116" s="107" t="n">
        <x:f>SUM(IF($B$8=4,CP24,0),IF($B$36=4,CP52,0),IF($B$64=4,CP80,0))</x:f>
      </x:c>
      <x:c r="CQ116" s="107" t="n">
        <x:f>SUM(IF($B$8=4,CQ24,0),IF($B$36=4,CQ52,0),IF($B$64=4,CQ80,0))</x:f>
      </x:c>
      <x:c r="CR116" s="107" t="n">
        <x:f>SUM(IF($B$8=4,CR24,0),IF($B$36=4,CR52,0),IF($B$64=4,CR80,0))</x:f>
      </x:c>
      <x:c r="CS116" s="107" t="n">
        <x:f>SUM(IF($B$8=4,CS24,0),IF($B$36=4,CS52,0),IF($B$64=4,CS80,0))</x:f>
      </x:c>
      <x:c r="CT116" s="107" t="n">
        <x:f>SUM(IF($B$8=4,CT24,0),IF($B$36=4,CT52,0),IF($B$64=4,CT80,0))</x:f>
      </x:c>
      <x:c r="CU116" s="107" t="n">
        <x:f>SUM(IF($B$8=4,CU24,0),IF($B$36=4,CU52,0),IF($B$64=4,CU80,0))</x:f>
      </x:c>
      <x:c r="CV116" s="107" t="n">
        <x:f>SUM(IF($B$8=4,CV24,0),IF($B$36=4,CV52,0),IF($B$64=4,CV80,0))</x:f>
      </x:c>
      <x:c r="CW116" s="107" t="n">
        <x:f>SUM(IF($B$8=4,CW24,0),IF($B$36=4,CW52,0),IF($B$64=4,CW80,0))</x:f>
      </x:c>
      <x:c r="CX116" s="107" t="n">
        <x:f>SUM(IF($B$8=4,CX24,0),IF($B$36=4,CX52,0),IF($B$64=4,CX80,0))</x:f>
      </x:c>
      <x:c r="CY116" s="107" t="n">
        <x:f>SUM(IF($B$8=4,CY24,0),IF($B$36=4,CY52,0),IF($B$64=4,CY80,0))</x:f>
      </x:c>
      <x:c r="CZ116" s="107" t="n">
        <x:f>SUM(IF($B$8=4,CZ24,0),IF($B$36=4,CZ52,0),IF($B$64=4,CZ80,0))</x:f>
      </x:c>
      <x:c r="DA116" s="107" t="n">
        <x:f>SUM(IF($B$8=4,DA24,0),IF($B$36=4,DA52,0),IF($B$64=4,DA80,0))</x:f>
      </x:c>
      <x:c r="DB116" s="107" t="n">
        <x:f>SUM(IF($B$8=4,DB24,0),IF($B$36=4,DB52,0),IF($B$64=4,DB80,0))</x:f>
      </x:c>
      <x:c r="DC116" s="107" t="n">
        <x:f>SUM(IF($B$8=4,DC24,0),IF($B$36=4,DC52,0),IF($B$64=4,DC80,0))</x:f>
      </x:c>
      <x:c r="DD116" s="107" t="n">
        <x:f>SUM(IF($B$8=4,DD24,0),IF($B$36=4,DD52,0),IF($B$64=4,DD80,0))</x:f>
      </x:c>
      <x:c r="DE116" s="107" t="n">
        <x:f>SUM(IF($B$8=4,DE24,0),IF($B$36=4,DE52,0),IF($B$64=4,DE80,0))</x:f>
      </x:c>
      <x:c r="DF116" s="107" t="n">
        <x:f>SUM(IF($B$8=4,DF24,0),IF($B$36=4,DF52,0),IF($B$64=4,DF80,0))</x:f>
      </x:c>
      <x:c r="DG116" s="107" t="n">
        <x:f>SUM(IF($B$8=4,DG24,0),IF($B$36=4,DG52,0),IF($B$64=4,DG80,0))</x:f>
      </x:c>
      <x:c r="DH116" s="107" t="n">
        <x:f>SUM(IF($B$8=4,DH24,0),IF($B$36=4,DH52,0),IF($B$64=4,DH80,0))</x:f>
      </x:c>
      <x:c r="DI116" s="107" t="n">
        <x:f>SUM(IF($B$8=4,DI24,0),IF($B$36=4,DI52,0),IF($B$64=4,DI80,0))</x:f>
      </x:c>
      <x:c r="DJ116" s="107" t="n">
        <x:f>SUM(IF($B$8=4,DJ24,0),IF($B$36=4,DJ52,0),IF($B$64=4,DJ80,0))</x:f>
      </x:c>
      <x:c r="DK116" s="107" t="n">
        <x:f>SUM(IF($B$8=4,DK24,0),IF($B$36=4,DK52,0),IF($B$64=4,DK80,0))</x:f>
      </x:c>
      <x:c r="DL116" s="107" t="n">
        <x:f>SUM(IF($B$8=4,DL24,0),IF($B$36=4,DL52,0),IF($B$64=4,DL80,0))</x:f>
      </x:c>
      <x:c r="DM116" s="107" t="n">
        <x:f>SUM(IF($B$8=4,DM24,0),IF($B$36=4,DM52,0),IF($B$64=4,DM80,0))</x:f>
      </x:c>
      <x:c r="DN116" s="107" t="n">
        <x:f>SUM(IF($B$8=4,DN24,0),IF($B$36=4,DN52,0),IF($B$64=4,DN80,0))</x:f>
      </x:c>
      <x:c r="DO116" s="107" t="n">
        <x:f>SUM(IF($B$8=4,DO24,0),IF($B$36=4,DO52,0),IF($B$64=4,DO80,0))</x:f>
      </x:c>
      <x:c r="DP116" s="107" t="n">
        <x:f>SUM(IF($B$8=4,DP24,0),IF($B$36=4,DP52,0),IF($B$64=4,DP80,0))</x:f>
      </x:c>
      <x:c r="DQ116" s="107" t="n">
        <x:f>SUM(IF($B$8=4,DQ24,0),IF($B$36=4,DQ52,0),IF($B$64=4,DQ80,0))</x:f>
      </x:c>
      <x:c r="DR116" s="107" t="n">
        <x:f>SUM(IF($B$8=4,DR24,0),IF($B$36=4,DR52,0),IF($B$64=4,DR80,0))</x:f>
      </x:c>
      <x:c r="DS116" s="107" t="n">
        <x:f>SUM(IF($B$8=4,DS24,0),IF($B$36=4,DS52,0),IF($B$64=4,DS80,0))</x:f>
      </x:c>
    </x:row>
    <x:row r="117">
      <x:c r="A117" t="str">
        <x:v>Очередь 4 — Поступления объектов на эскроу</x:v>
      </x:c>
      <x:c r="B117" s="107" t="n">
        <x:f>SUM(D117:DS117)</x:f>
      </x:c>
      <x:c r="C117" t="str">
        <x:v>млн ₽</x:v>
      </x:c>
      <x:c r="D117" s="107" t="n">
        <x:f>SUM(IF($B$8=4,D25,0),IF($B$36=4,D53,0),IF($B$64=4,D81,0))</x:f>
      </x:c>
      <x:c r="E117" s="107" t="n">
        <x:f>SUM(IF($B$8=4,E25,0),IF($B$36=4,E53,0),IF($B$64=4,E81,0))</x:f>
      </x:c>
      <x:c r="F117" s="107" t="n">
        <x:f>SUM(IF($B$8=4,F25,0),IF($B$36=4,F53,0),IF($B$64=4,F81,0))</x:f>
      </x:c>
      <x:c r="G117" s="107" t="n">
        <x:f>SUM(IF($B$8=4,G25,0),IF($B$36=4,G53,0),IF($B$64=4,G81,0))</x:f>
      </x:c>
      <x:c r="H117" s="107" t="n">
        <x:f>SUM(IF($B$8=4,H25,0),IF($B$36=4,H53,0),IF($B$64=4,H81,0))</x:f>
      </x:c>
      <x:c r="I117" s="107" t="n">
        <x:f>SUM(IF($B$8=4,I25,0),IF($B$36=4,I53,0),IF($B$64=4,I81,0))</x:f>
      </x:c>
      <x:c r="J117" s="107" t="n">
        <x:f>SUM(IF($B$8=4,J25,0),IF($B$36=4,J53,0),IF($B$64=4,J81,0))</x:f>
      </x:c>
      <x:c r="K117" s="107" t="n">
        <x:f>SUM(IF($B$8=4,K25,0),IF($B$36=4,K53,0),IF($B$64=4,K81,0))</x:f>
      </x:c>
      <x:c r="L117" s="107" t="n">
        <x:f>SUM(IF($B$8=4,L25,0),IF($B$36=4,L53,0),IF($B$64=4,L81,0))</x:f>
      </x:c>
      <x:c r="M117" s="107" t="n">
        <x:f>SUM(IF($B$8=4,M25,0),IF($B$36=4,M53,0),IF($B$64=4,M81,0))</x:f>
      </x:c>
      <x:c r="N117" s="107" t="n">
        <x:f>SUM(IF($B$8=4,N25,0),IF($B$36=4,N53,0),IF($B$64=4,N81,0))</x:f>
      </x:c>
      <x:c r="O117" s="107" t="n">
        <x:f>SUM(IF($B$8=4,O25,0),IF($B$36=4,O53,0),IF($B$64=4,O81,0))</x:f>
      </x:c>
      <x:c r="P117" s="107" t="n">
        <x:f>SUM(IF($B$8=4,P25,0),IF($B$36=4,P53,0),IF($B$64=4,P81,0))</x:f>
      </x:c>
      <x:c r="Q117" s="107" t="n">
        <x:f>SUM(IF($B$8=4,Q25,0),IF($B$36=4,Q53,0),IF($B$64=4,Q81,0))</x:f>
      </x:c>
      <x:c r="R117" s="107" t="n">
        <x:f>SUM(IF($B$8=4,R25,0),IF($B$36=4,R53,0),IF($B$64=4,R81,0))</x:f>
      </x:c>
      <x:c r="S117" s="107" t="n">
        <x:f>SUM(IF($B$8=4,S25,0),IF($B$36=4,S53,0),IF($B$64=4,S81,0))</x:f>
      </x:c>
      <x:c r="T117" s="107" t="n">
        <x:f>SUM(IF($B$8=4,T25,0),IF($B$36=4,T53,0),IF($B$64=4,T81,0))</x:f>
      </x:c>
      <x:c r="U117" s="107" t="n">
        <x:f>SUM(IF($B$8=4,U25,0),IF($B$36=4,U53,0),IF($B$64=4,U81,0))</x:f>
      </x:c>
      <x:c r="V117" s="107" t="n">
        <x:f>SUM(IF($B$8=4,V25,0),IF($B$36=4,V53,0),IF($B$64=4,V81,0))</x:f>
      </x:c>
      <x:c r="W117" s="107" t="n">
        <x:f>SUM(IF($B$8=4,W25,0),IF($B$36=4,W53,0),IF($B$64=4,W81,0))</x:f>
      </x:c>
      <x:c r="X117" s="107" t="n">
        <x:f>SUM(IF($B$8=4,X25,0),IF($B$36=4,X53,0),IF($B$64=4,X81,0))</x:f>
      </x:c>
      <x:c r="Y117" s="107" t="n">
        <x:f>SUM(IF($B$8=4,Y25,0),IF($B$36=4,Y53,0),IF($B$64=4,Y81,0))</x:f>
      </x:c>
      <x:c r="Z117" s="107" t="n">
        <x:f>SUM(IF($B$8=4,Z25,0),IF($B$36=4,Z53,0),IF($B$64=4,Z81,0))</x:f>
      </x:c>
      <x:c r="AA117" s="107" t="n">
        <x:f>SUM(IF($B$8=4,AA25,0),IF($B$36=4,AA53,0),IF($B$64=4,AA81,0))</x:f>
      </x:c>
      <x:c r="AB117" s="107" t="n">
        <x:f>SUM(IF($B$8=4,AB25,0),IF($B$36=4,AB53,0),IF($B$64=4,AB81,0))</x:f>
      </x:c>
      <x:c r="AC117" s="107" t="n">
        <x:f>SUM(IF($B$8=4,AC25,0),IF($B$36=4,AC53,0),IF($B$64=4,AC81,0))</x:f>
      </x:c>
      <x:c r="AD117" s="107" t="n">
        <x:f>SUM(IF($B$8=4,AD25,0),IF($B$36=4,AD53,0),IF($B$64=4,AD81,0))</x:f>
      </x:c>
      <x:c r="AE117" s="107" t="n">
        <x:f>SUM(IF($B$8=4,AE25,0),IF($B$36=4,AE53,0),IF($B$64=4,AE81,0))</x:f>
      </x:c>
      <x:c r="AF117" s="107" t="n">
        <x:f>SUM(IF($B$8=4,AF25,0),IF($B$36=4,AF53,0),IF($B$64=4,AF81,0))</x:f>
      </x:c>
      <x:c r="AG117" s="107" t="n">
        <x:f>SUM(IF($B$8=4,AG25,0),IF($B$36=4,AG53,0),IF($B$64=4,AG81,0))</x:f>
      </x:c>
      <x:c r="AH117" s="107" t="n">
        <x:f>SUM(IF($B$8=4,AH25,0),IF($B$36=4,AH53,0),IF($B$64=4,AH81,0))</x:f>
      </x:c>
      <x:c r="AI117" s="107" t="n">
        <x:f>SUM(IF($B$8=4,AI25,0),IF($B$36=4,AI53,0),IF($B$64=4,AI81,0))</x:f>
      </x:c>
      <x:c r="AJ117" s="107" t="n">
        <x:f>SUM(IF($B$8=4,AJ25,0),IF($B$36=4,AJ53,0),IF($B$64=4,AJ81,0))</x:f>
      </x:c>
      <x:c r="AK117" s="107" t="n">
        <x:f>SUM(IF($B$8=4,AK25,0),IF($B$36=4,AK53,0),IF($B$64=4,AK81,0))</x:f>
      </x:c>
      <x:c r="AL117" s="107" t="n">
        <x:f>SUM(IF($B$8=4,AL25,0),IF($B$36=4,AL53,0),IF($B$64=4,AL81,0))</x:f>
      </x:c>
      <x:c r="AM117" s="107" t="n">
        <x:f>SUM(IF($B$8=4,AM25,0),IF($B$36=4,AM53,0),IF($B$64=4,AM81,0))</x:f>
      </x:c>
      <x:c r="AN117" s="107" t="n">
        <x:f>SUM(IF($B$8=4,AN25,0),IF($B$36=4,AN53,0),IF($B$64=4,AN81,0))</x:f>
      </x:c>
      <x:c r="AO117" s="107" t="n">
        <x:f>SUM(IF($B$8=4,AO25,0),IF($B$36=4,AO53,0),IF($B$64=4,AO81,0))</x:f>
      </x:c>
      <x:c r="AP117" s="107" t="n">
        <x:f>SUM(IF($B$8=4,AP25,0),IF($B$36=4,AP53,0),IF($B$64=4,AP81,0))</x:f>
      </x:c>
      <x:c r="AQ117" s="107" t="n">
        <x:f>SUM(IF($B$8=4,AQ25,0),IF($B$36=4,AQ53,0),IF($B$64=4,AQ81,0))</x:f>
      </x:c>
      <x:c r="AR117" s="107" t="n">
        <x:f>SUM(IF($B$8=4,AR25,0),IF($B$36=4,AR53,0),IF($B$64=4,AR81,0))</x:f>
      </x:c>
      <x:c r="AS117" s="107" t="n">
        <x:f>SUM(IF($B$8=4,AS25,0),IF($B$36=4,AS53,0),IF($B$64=4,AS81,0))</x:f>
      </x:c>
      <x:c r="AT117" s="107" t="n">
        <x:f>SUM(IF($B$8=4,AT25,0),IF($B$36=4,AT53,0),IF($B$64=4,AT81,0))</x:f>
      </x:c>
      <x:c r="AU117" s="107" t="n">
        <x:f>SUM(IF($B$8=4,AU25,0),IF($B$36=4,AU53,0),IF($B$64=4,AU81,0))</x:f>
      </x:c>
      <x:c r="AV117" s="107" t="n">
        <x:f>SUM(IF($B$8=4,AV25,0),IF($B$36=4,AV53,0),IF($B$64=4,AV81,0))</x:f>
      </x:c>
      <x:c r="AW117" s="107" t="n">
        <x:f>SUM(IF($B$8=4,AW25,0),IF($B$36=4,AW53,0),IF($B$64=4,AW81,0))</x:f>
      </x:c>
      <x:c r="AX117" s="107" t="n">
        <x:f>SUM(IF($B$8=4,AX25,0),IF($B$36=4,AX53,0),IF($B$64=4,AX81,0))</x:f>
      </x:c>
      <x:c r="AY117" s="107" t="n">
        <x:f>SUM(IF($B$8=4,AY25,0),IF($B$36=4,AY53,0),IF($B$64=4,AY81,0))</x:f>
      </x:c>
      <x:c r="AZ117" s="107" t="n">
        <x:f>SUM(IF($B$8=4,AZ25,0),IF($B$36=4,AZ53,0),IF($B$64=4,AZ81,0))</x:f>
      </x:c>
      <x:c r="BA117" s="107" t="n">
        <x:f>SUM(IF($B$8=4,BA25,0),IF($B$36=4,BA53,0),IF($B$64=4,BA81,0))</x:f>
      </x:c>
      <x:c r="BB117" s="107" t="n">
        <x:f>SUM(IF($B$8=4,BB25,0),IF($B$36=4,BB53,0),IF($B$64=4,BB81,0))</x:f>
      </x:c>
      <x:c r="BC117" s="107" t="n">
        <x:f>SUM(IF($B$8=4,BC25,0),IF($B$36=4,BC53,0),IF($B$64=4,BC81,0))</x:f>
      </x:c>
      <x:c r="BD117" s="107" t="n">
        <x:f>SUM(IF($B$8=4,BD25,0),IF($B$36=4,BD53,0),IF($B$64=4,BD81,0))</x:f>
      </x:c>
      <x:c r="BE117" s="107" t="n">
        <x:f>SUM(IF($B$8=4,BE25,0),IF($B$36=4,BE53,0),IF($B$64=4,BE81,0))</x:f>
      </x:c>
      <x:c r="BF117" s="107" t="n">
        <x:f>SUM(IF($B$8=4,BF25,0),IF($B$36=4,BF53,0),IF($B$64=4,BF81,0))</x:f>
      </x:c>
      <x:c r="BG117" s="107" t="n">
        <x:f>SUM(IF($B$8=4,BG25,0),IF($B$36=4,BG53,0),IF($B$64=4,BG81,0))</x:f>
      </x:c>
      <x:c r="BH117" s="107" t="n">
        <x:f>SUM(IF($B$8=4,BH25,0),IF($B$36=4,BH53,0),IF($B$64=4,BH81,0))</x:f>
      </x:c>
      <x:c r="BI117" s="107" t="n">
        <x:f>SUM(IF($B$8=4,BI25,0),IF($B$36=4,BI53,0),IF($B$64=4,BI81,0))</x:f>
      </x:c>
      <x:c r="BJ117" s="107" t="n">
        <x:f>SUM(IF($B$8=4,BJ25,0),IF($B$36=4,BJ53,0),IF($B$64=4,BJ81,0))</x:f>
      </x:c>
      <x:c r="BK117" s="107" t="n">
        <x:f>SUM(IF($B$8=4,BK25,0),IF($B$36=4,BK53,0),IF($B$64=4,BK81,0))</x:f>
      </x:c>
      <x:c r="BL117" s="107" t="n">
        <x:f>SUM(IF($B$8=4,BL25,0),IF($B$36=4,BL53,0),IF($B$64=4,BL81,0))</x:f>
      </x:c>
      <x:c r="BM117" s="107" t="n">
        <x:f>SUM(IF($B$8=4,BM25,0),IF($B$36=4,BM53,0),IF($B$64=4,BM81,0))</x:f>
      </x:c>
      <x:c r="BN117" s="107" t="n">
        <x:f>SUM(IF($B$8=4,BN25,0),IF($B$36=4,BN53,0),IF($B$64=4,BN81,0))</x:f>
      </x:c>
      <x:c r="BO117" s="107" t="n">
        <x:f>SUM(IF($B$8=4,BO25,0),IF($B$36=4,BO53,0),IF($B$64=4,BO81,0))</x:f>
      </x:c>
      <x:c r="BP117" s="107" t="n">
        <x:f>SUM(IF($B$8=4,BP25,0),IF($B$36=4,BP53,0),IF($B$64=4,BP81,0))</x:f>
      </x:c>
      <x:c r="BQ117" s="107" t="n">
        <x:f>SUM(IF($B$8=4,BQ25,0),IF($B$36=4,BQ53,0),IF($B$64=4,BQ81,0))</x:f>
      </x:c>
      <x:c r="BR117" s="107" t="n">
        <x:f>SUM(IF($B$8=4,BR25,0),IF($B$36=4,BR53,0),IF($B$64=4,BR81,0))</x:f>
      </x:c>
      <x:c r="BS117" s="107" t="n">
        <x:f>SUM(IF($B$8=4,BS25,0),IF($B$36=4,BS53,0),IF($B$64=4,BS81,0))</x:f>
      </x:c>
      <x:c r="BT117" s="107" t="n">
        <x:f>SUM(IF($B$8=4,BT25,0),IF($B$36=4,BT53,0),IF($B$64=4,BT81,0))</x:f>
      </x:c>
      <x:c r="BU117" s="107" t="n">
        <x:f>SUM(IF($B$8=4,BU25,0),IF($B$36=4,BU53,0),IF($B$64=4,BU81,0))</x:f>
      </x:c>
      <x:c r="BV117" s="107" t="n">
        <x:f>SUM(IF($B$8=4,BV25,0),IF($B$36=4,BV53,0),IF($B$64=4,BV81,0))</x:f>
      </x:c>
      <x:c r="BW117" s="107" t="n">
        <x:f>SUM(IF($B$8=4,BW25,0),IF($B$36=4,BW53,0),IF($B$64=4,BW81,0))</x:f>
      </x:c>
      <x:c r="BX117" s="107" t="n">
        <x:f>SUM(IF($B$8=4,BX25,0),IF($B$36=4,BX53,0),IF($B$64=4,BX81,0))</x:f>
      </x:c>
      <x:c r="BY117" s="107" t="n">
        <x:f>SUM(IF($B$8=4,BY25,0),IF($B$36=4,BY53,0),IF($B$64=4,BY81,0))</x:f>
      </x:c>
      <x:c r="BZ117" s="107" t="n">
        <x:f>SUM(IF($B$8=4,BZ25,0),IF($B$36=4,BZ53,0),IF($B$64=4,BZ81,0))</x:f>
      </x:c>
      <x:c r="CA117" s="107" t="n">
        <x:f>SUM(IF($B$8=4,CA25,0),IF($B$36=4,CA53,0),IF($B$64=4,CA81,0))</x:f>
      </x:c>
      <x:c r="CB117" s="107" t="n">
        <x:f>SUM(IF($B$8=4,CB25,0),IF($B$36=4,CB53,0),IF($B$64=4,CB81,0))</x:f>
      </x:c>
      <x:c r="CC117" s="107" t="n">
        <x:f>SUM(IF($B$8=4,CC25,0),IF($B$36=4,CC53,0),IF($B$64=4,CC81,0))</x:f>
      </x:c>
      <x:c r="CD117" s="107" t="n">
        <x:f>SUM(IF($B$8=4,CD25,0),IF($B$36=4,CD53,0),IF($B$64=4,CD81,0))</x:f>
      </x:c>
      <x:c r="CE117" s="107" t="n">
        <x:f>SUM(IF($B$8=4,CE25,0),IF($B$36=4,CE53,0),IF($B$64=4,CE81,0))</x:f>
      </x:c>
      <x:c r="CF117" s="107" t="n">
        <x:f>SUM(IF($B$8=4,CF25,0),IF($B$36=4,CF53,0),IF($B$64=4,CF81,0))</x:f>
      </x:c>
      <x:c r="CG117" s="107" t="n">
        <x:f>SUM(IF($B$8=4,CG25,0),IF($B$36=4,CG53,0),IF($B$64=4,CG81,0))</x:f>
      </x:c>
      <x:c r="CH117" s="107" t="n">
        <x:f>SUM(IF($B$8=4,CH25,0),IF($B$36=4,CH53,0),IF($B$64=4,CH81,0))</x:f>
      </x:c>
      <x:c r="CI117" s="107" t="n">
        <x:f>SUM(IF($B$8=4,CI25,0),IF($B$36=4,CI53,0),IF($B$64=4,CI81,0))</x:f>
      </x:c>
      <x:c r="CJ117" s="107" t="n">
        <x:f>SUM(IF($B$8=4,CJ25,0),IF($B$36=4,CJ53,0),IF($B$64=4,CJ81,0))</x:f>
      </x:c>
      <x:c r="CK117" s="107" t="n">
        <x:f>SUM(IF($B$8=4,CK25,0),IF($B$36=4,CK53,0),IF($B$64=4,CK81,0))</x:f>
      </x:c>
      <x:c r="CL117" s="107" t="n">
        <x:f>SUM(IF($B$8=4,CL25,0),IF($B$36=4,CL53,0),IF($B$64=4,CL81,0))</x:f>
      </x:c>
      <x:c r="CM117" s="107" t="n">
        <x:f>SUM(IF($B$8=4,CM25,0),IF($B$36=4,CM53,0),IF($B$64=4,CM81,0))</x:f>
      </x:c>
      <x:c r="CN117" s="107" t="n">
        <x:f>SUM(IF($B$8=4,CN25,0),IF($B$36=4,CN53,0),IF($B$64=4,CN81,0))</x:f>
      </x:c>
      <x:c r="CO117" s="107" t="n">
        <x:f>SUM(IF($B$8=4,CO25,0),IF($B$36=4,CO53,0),IF($B$64=4,CO81,0))</x:f>
      </x:c>
      <x:c r="CP117" s="107" t="n">
        <x:f>SUM(IF($B$8=4,CP25,0),IF($B$36=4,CP53,0),IF($B$64=4,CP81,0))</x:f>
      </x:c>
      <x:c r="CQ117" s="107" t="n">
        <x:f>SUM(IF($B$8=4,CQ25,0),IF($B$36=4,CQ53,0),IF($B$64=4,CQ81,0))</x:f>
      </x:c>
      <x:c r="CR117" s="107" t="n">
        <x:f>SUM(IF($B$8=4,CR25,0),IF($B$36=4,CR53,0),IF($B$64=4,CR81,0))</x:f>
      </x:c>
      <x:c r="CS117" s="107" t="n">
        <x:f>SUM(IF($B$8=4,CS25,0),IF($B$36=4,CS53,0),IF($B$64=4,CS81,0))</x:f>
      </x:c>
      <x:c r="CT117" s="107" t="n">
        <x:f>SUM(IF($B$8=4,CT25,0),IF($B$36=4,CT53,0),IF($B$64=4,CT81,0))</x:f>
      </x:c>
      <x:c r="CU117" s="107" t="n">
        <x:f>SUM(IF($B$8=4,CU25,0),IF($B$36=4,CU53,0),IF($B$64=4,CU81,0))</x:f>
      </x:c>
      <x:c r="CV117" s="107" t="n">
        <x:f>SUM(IF($B$8=4,CV25,0),IF($B$36=4,CV53,0),IF($B$64=4,CV81,0))</x:f>
      </x:c>
      <x:c r="CW117" s="107" t="n">
        <x:f>SUM(IF($B$8=4,CW25,0),IF($B$36=4,CW53,0),IF($B$64=4,CW81,0))</x:f>
      </x:c>
      <x:c r="CX117" s="107" t="n">
        <x:f>SUM(IF($B$8=4,CX25,0),IF($B$36=4,CX53,0),IF($B$64=4,CX81,0))</x:f>
      </x:c>
      <x:c r="CY117" s="107" t="n">
        <x:f>SUM(IF($B$8=4,CY25,0),IF($B$36=4,CY53,0),IF($B$64=4,CY81,0))</x:f>
      </x:c>
      <x:c r="CZ117" s="107" t="n">
        <x:f>SUM(IF($B$8=4,CZ25,0),IF($B$36=4,CZ53,0),IF($B$64=4,CZ81,0))</x:f>
      </x:c>
      <x:c r="DA117" s="107" t="n">
        <x:f>SUM(IF($B$8=4,DA25,0),IF($B$36=4,DA53,0),IF($B$64=4,DA81,0))</x:f>
      </x:c>
      <x:c r="DB117" s="107" t="n">
        <x:f>SUM(IF($B$8=4,DB25,0),IF($B$36=4,DB53,0),IF($B$64=4,DB81,0))</x:f>
      </x:c>
      <x:c r="DC117" s="107" t="n">
        <x:f>SUM(IF($B$8=4,DC25,0),IF($B$36=4,DC53,0),IF($B$64=4,DC81,0))</x:f>
      </x:c>
      <x:c r="DD117" s="107" t="n">
        <x:f>SUM(IF($B$8=4,DD25,0),IF($B$36=4,DD53,0),IF($B$64=4,DD81,0))</x:f>
      </x:c>
      <x:c r="DE117" s="107" t="n">
        <x:f>SUM(IF($B$8=4,DE25,0),IF($B$36=4,DE53,0),IF($B$64=4,DE81,0))</x:f>
      </x:c>
      <x:c r="DF117" s="107" t="n">
        <x:f>SUM(IF($B$8=4,DF25,0),IF($B$36=4,DF53,0),IF($B$64=4,DF81,0))</x:f>
      </x:c>
      <x:c r="DG117" s="107" t="n">
        <x:f>SUM(IF($B$8=4,DG25,0),IF($B$36=4,DG53,0),IF($B$64=4,DG81,0))</x:f>
      </x:c>
      <x:c r="DH117" s="107" t="n">
        <x:f>SUM(IF($B$8=4,DH25,0),IF($B$36=4,DH53,0),IF($B$64=4,DH81,0))</x:f>
      </x:c>
      <x:c r="DI117" s="107" t="n">
        <x:f>SUM(IF($B$8=4,DI25,0),IF($B$36=4,DI53,0),IF($B$64=4,DI81,0))</x:f>
      </x:c>
      <x:c r="DJ117" s="107" t="n">
        <x:f>SUM(IF($B$8=4,DJ25,0),IF($B$36=4,DJ53,0),IF($B$64=4,DJ81,0))</x:f>
      </x:c>
      <x:c r="DK117" s="107" t="n">
        <x:f>SUM(IF($B$8=4,DK25,0),IF($B$36=4,DK53,0),IF($B$64=4,DK81,0))</x:f>
      </x:c>
      <x:c r="DL117" s="107" t="n">
        <x:f>SUM(IF($B$8=4,DL25,0),IF($B$36=4,DL53,0),IF($B$64=4,DL81,0))</x:f>
      </x:c>
      <x:c r="DM117" s="107" t="n">
        <x:f>SUM(IF($B$8=4,DM25,0),IF($B$36=4,DM53,0),IF($B$64=4,DM81,0))</x:f>
      </x:c>
      <x:c r="DN117" s="107" t="n">
        <x:f>SUM(IF($B$8=4,DN25,0),IF($B$36=4,DN53,0),IF($B$64=4,DN81,0))</x:f>
      </x:c>
      <x:c r="DO117" s="107" t="n">
        <x:f>SUM(IF($B$8=4,DO25,0),IF($B$36=4,DO53,0),IF($B$64=4,DO81,0))</x:f>
      </x:c>
      <x:c r="DP117" s="107" t="n">
        <x:f>SUM(IF($B$8=4,DP25,0),IF($B$36=4,DP53,0),IF($B$64=4,DP81,0))</x:f>
      </x:c>
      <x:c r="DQ117" s="107" t="n">
        <x:f>SUM(IF($B$8=4,DQ25,0),IF($B$36=4,DQ53,0),IF($B$64=4,DQ81,0))</x:f>
      </x:c>
      <x:c r="DR117" s="107" t="n">
        <x:f>SUM(IF($B$8=4,DR25,0),IF($B$36=4,DR53,0),IF($B$64=4,DR81,0))</x:f>
      </x:c>
      <x:c r="DS117" s="107" t="n">
        <x:f>SUM(IF($B$8=4,DS25,0),IF($B$36=4,DS53,0),IF($B$64=4,DS81,0))</x:f>
      </x:c>
    </x:row>
    <x:row r="118">
      <x:c r="A118" t="str">
        <x:v>Очередь 4 — Прямые поступления объектов</x:v>
      </x:c>
      <x:c r="B118" s="107" t="n">
        <x:f>SUM(D118:DS118)</x:f>
      </x:c>
      <x:c r="C118" t="str">
        <x:v>млн ₽</x:v>
      </x:c>
      <x:c r="D118" s="107" t="n">
        <x:f>SUM(IF($B$8=4,D26,0),IF($B$36=4,D54,0),IF($B$64=4,D82,0))</x:f>
      </x:c>
      <x:c r="E118" s="107" t="n">
        <x:f>SUM(IF($B$8=4,E26,0),IF($B$36=4,E54,0),IF($B$64=4,E82,0))</x:f>
      </x:c>
      <x:c r="F118" s="107" t="n">
        <x:f>SUM(IF($B$8=4,F26,0),IF($B$36=4,F54,0),IF($B$64=4,F82,0))</x:f>
      </x:c>
      <x:c r="G118" s="107" t="n">
        <x:f>SUM(IF($B$8=4,G26,0),IF($B$36=4,G54,0),IF($B$64=4,G82,0))</x:f>
      </x:c>
      <x:c r="H118" s="107" t="n">
        <x:f>SUM(IF($B$8=4,H26,0),IF($B$36=4,H54,0),IF($B$64=4,H82,0))</x:f>
      </x:c>
      <x:c r="I118" s="107" t="n">
        <x:f>SUM(IF($B$8=4,I26,0),IF($B$36=4,I54,0),IF($B$64=4,I82,0))</x:f>
      </x:c>
      <x:c r="J118" s="107" t="n">
        <x:f>SUM(IF($B$8=4,J26,0),IF($B$36=4,J54,0),IF($B$64=4,J82,0))</x:f>
      </x:c>
      <x:c r="K118" s="107" t="n">
        <x:f>SUM(IF($B$8=4,K26,0),IF($B$36=4,K54,0),IF($B$64=4,K82,0))</x:f>
      </x:c>
      <x:c r="L118" s="107" t="n">
        <x:f>SUM(IF($B$8=4,L26,0),IF($B$36=4,L54,0),IF($B$64=4,L82,0))</x:f>
      </x:c>
      <x:c r="M118" s="107" t="n">
        <x:f>SUM(IF($B$8=4,M26,0),IF($B$36=4,M54,0),IF($B$64=4,M82,0))</x:f>
      </x:c>
      <x:c r="N118" s="107" t="n">
        <x:f>SUM(IF($B$8=4,N26,0),IF($B$36=4,N54,0),IF($B$64=4,N82,0))</x:f>
      </x:c>
      <x:c r="O118" s="107" t="n">
        <x:f>SUM(IF($B$8=4,O26,0),IF($B$36=4,O54,0),IF($B$64=4,O82,0))</x:f>
      </x:c>
      <x:c r="P118" s="107" t="n">
        <x:f>SUM(IF($B$8=4,P26,0),IF($B$36=4,P54,0),IF($B$64=4,P82,0))</x:f>
      </x:c>
      <x:c r="Q118" s="107" t="n">
        <x:f>SUM(IF($B$8=4,Q26,0),IF($B$36=4,Q54,0),IF($B$64=4,Q82,0))</x:f>
      </x:c>
      <x:c r="R118" s="107" t="n">
        <x:f>SUM(IF($B$8=4,R26,0),IF($B$36=4,R54,0),IF($B$64=4,R82,0))</x:f>
      </x:c>
      <x:c r="S118" s="107" t="n">
        <x:f>SUM(IF($B$8=4,S26,0),IF($B$36=4,S54,0),IF($B$64=4,S82,0))</x:f>
      </x:c>
      <x:c r="T118" s="107" t="n">
        <x:f>SUM(IF($B$8=4,T26,0),IF($B$36=4,T54,0),IF($B$64=4,T82,0))</x:f>
      </x:c>
      <x:c r="U118" s="107" t="n">
        <x:f>SUM(IF($B$8=4,U26,0),IF($B$36=4,U54,0),IF($B$64=4,U82,0))</x:f>
      </x:c>
      <x:c r="V118" s="107" t="n">
        <x:f>SUM(IF($B$8=4,V26,0),IF($B$36=4,V54,0),IF($B$64=4,V82,0))</x:f>
      </x:c>
      <x:c r="W118" s="107" t="n">
        <x:f>SUM(IF($B$8=4,W26,0),IF($B$36=4,W54,0),IF($B$64=4,W82,0))</x:f>
      </x:c>
      <x:c r="X118" s="107" t="n">
        <x:f>SUM(IF($B$8=4,X26,0),IF($B$36=4,X54,0),IF($B$64=4,X82,0))</x:f>
      </x:c>
      <x:c r="Y118" s="107" t="n">
        <x:f>SUM(IF($B$8=4,Y26,0),IF($B$36=4,Y54,0),IF($B$64=4,Y82,0))</x:f>
      </x:c>
      <x:c r="Z118" s="107" t="n">
        <x:f>SUM(IF($B$8=4,Z26,0),IF($B$36=4,Z54,0),IF($B$64=4,Z82,0))</x:f>
      </x:c>
      <x:c r="AA118" s="107" t="n">
        <x:f>SUM(IF($B$8=4,AA26,0),IF($B$36=4,AA54,0),IF($B$64=4,AA82,0))</x:f>
      </x:c>
      <x:c r="AB118" s="107" t="n">
        <x:f>SUM(IF($B$8=4,AB26,0),IF($B$36=4,AB54,0),IF($B$64=4,AB82,0))</x:f>
      </x:c>
      <x:c r="AC118" s="107" t="n">
        <x:f>SUM(IF($B$8=4,AC26,0),IF($B$36=4,AC54,0),IF($B$64=4,AC82,0))</x:f>
      </x:c>
      <x:c r="AD118" s="107" t="n">
        <x:f>SUM(IF($B$8=4,AD26,0),IF($B$36=4,AD54,0),IF($B$64=4,AD82,0))</x:f>
      </x:c>
      <x:c r="AE118" s="107" t="n">
        <x:f>SUM(IF($B$8=4,AE26,0),IF($B$36=4,AE54,0),IF($B$64=4,AE82,0))</x:f>
      </x:c>
      <x:c r="AF118" s="107" t="n">
        <x:f>SUM(IF($B$8=4,AF26,0),IF($B$36=4,AF54,0),IF($B$64=4,AF82,0))</x:f>
      </x:c>
      <x:c r="AG118" s="107" t="n">
        <x:f>SUM(IF($B$8=4,AG26,0),IF($B$36=4,AG54,0),IF($B$64=4,AG82,0))</x:f>
      </x:c>
      <x:c r="AH118" s="107" t="n">
        <x:f>SUM(IF($B$8=4,AH26,0),IF($B$36=4,AH54,0),IF($B$64=4,AH82,0))</x:f>
      </x:c>
      <x:c r="AI118" s="107" t="n">
        <x:f>SUM(IF($B$8=4,AI26,0),IF($B$36=4,AI54,0),IF($B$64=4,AI82,0))</x:f>
      </x:c>
      <x:c r="AJ118" s="107" t="n">
        <x:f>SUM(IF($B$8=4,AJ26,0),IF($B$36=4,AJ54,0),IF($B$64=4,AJ82,0))</x:f>
      </x:c>
      <x:c r="AK118" s="107" t="n">
        <x:f>SUM(IF($B$8=4,AK26,0),IF($B$36=4,AK54,0),IF($B$64=4,AK82,0))</x:f>
      </x:c>
      <x:c r="AL118" s="107" t="n">
        <x:f>SUM(IF($B$8=4,AL26,0),IF($B$36=4,AL54,0),IF($B$64=4,AL82,0))</x:f>
      </x:c>
      <x:c r="AM118" s="107" t="n">
        <x:f>SUM(IF($B$8=4,AM26,0),IF($B$36=4,AM54,0),IF($B$64=4,AM82,0))</x:f>
      </x:c>
      <x:c r="AN118" s="107" t="n">
        <x:f>SUM(IF($B$8=4,AN26,0),IF($B$36=4,AN54,0),IF($B$64=4,AN82,0))</x:f>
      </x:c>
      <x:c r="AO118" s="107" t="n">
        <x:f>SUM(IF($B$8=4,AO26,0),IF($B$36=4,AO54,0),IF($B$64=4,AO82,0))</x:f>
      </x:c>
      <x:c r="AP118" s="107" t="n">
        <x:f>SUM(IF($B$8=4,AP26,0),IF($B$36=4,AP54,0),IF($B$64=4,AP82,0))</x:f>
      </x:c>
      <x:c r="AQ118" s="107" t="n">
        <x:f>SUM(IF($B$8=4,AQ26,0),IF($B$36=4,AQ54,0),IF($B$64=4,AQ82,0))</x:f>
      </x:c>
      <x:c r="AR118" s="107" t="n">
        <x:f>SUM(IF($B$8=4,AR26,0),IF($B$36=4,AR54,0),IF($B$64=4,AR82,0))</x:f>
      </x:c>
      <x:c r="AS118" s="107" t="n">
        <x:f>SUM(IF($B$8=4,AS26,0),IF($B$36=4,AS54,0),IF($B$64=4,AS82,0))</x:f>
      </x:c>
      <x:c r="AT118" s="107" t="n">
        <x:f>SUM(IF($B$8=4,AT26,0),IF($B$36=4,AT54,0),IF($B$64=4,AT82,0))</x:f>
      </x:c>
      <x:c r="AU118" s="107" t="n">
        <x:f>SUM(IF($B$8=4,AU26,0),IF($B$36=4,AU54,0),IF($B$64=4,AU82,0))</x:f>
      </x:c>
      <x:c r="AV118" s="107" t="n">
        <x:f>SUM(IF($B$8=4,AV26,0),IF($B$36=4,AV54,0),IF($B$64=4,AV82,0))</x:f>
      </x:c>
      <x:c r="AW118" s="107" t="n">
        <x:f>SUM(IF($B$8=4,AW26,0),IF($B$36=4,AW54,0),IF($B$64=4,AW82,0))</x:f>
      </x:c>
      <x:c r="AX118" s="107" t="n">
        <x:f>SUM(IF($B$8=4,AX26,0),IF($B$36=4,AX54,0),IF($B$64=4,AX82,0))</x:f>
      </x:c>
      <x:c r="AY118" s="107" t="n">
        <x:f>SUM(IF($B$8=4,AY26,0),IF($B$36=4,AY54,0),IF($B$64=4,AY82,0))</x:f>
      </x:c>
      <x:c r="AZ118" s="107" t="n">
        <x:f>SUM(IF($B$8=4,AZ26,0),IF($B$36=4,AZ54,0),IF($B$64=4,AZ82,0))</x:f>
      </x:c>
      <x:c r="BA118" s="107" t="n">
        <x:f>SUM(IF($B$8=4,BA26,0),IF($B$36=4,BA54,0),IF($B$64=4,BA82,0))</x:f>
      </x:c>
      <x:c r="BB118" s="107" t="n">
        <x:f>SUM(IF($B$8=4,BB26,0),IF($B$36=4,BB54,0),IF($B$64=4,BB82,0))</x:f>
      </x:c>
      <x:c r="BC118" s="107" t="n">
        <x:f>SUM(IF($B$8=4,BC26,0),IF($B$36=4,BC54,0),IF($B$64=4,BC82,0))</x:f>
      </x:c>
      <x:c r="BD118" s="107" t="n">
        <x:f>SUM(IF($B$8=4,BD26,0),IF($B$36=4,BD54,0),IF($B$64=4,BD82,0))</x:f>
      </x:c>
      <x:c r="BE118" s="107" t="n">
        <x:f>SUM(IF($B$8=4,BE26,0),IF($B$36=4,BE54,0),IF($B$64=4,BE82,0))</x:f>
      </x:c>
      <x:c r="BF118" s="107" t="n">
        <x:f>SUM(IF($B$8=4,BF26,0),IF($B$36=4,BF54,0),IF($B$64=4,BF82,0))</x:f>
      </x:c>
      <x:c r="BG118" s="107" t="n">
        <x:f>SUM(IF($B$8=4,BG26,0),IF($B$36=4,BG54,0),IF($B$64=4,BG82,0))</x:f>
      </x:c>
      <x:c r="BH118" s="107" t="n">
        <x:f>SUM(IF($B$8=4,BH26,0),IF($B$36=4,BH54,0),IF($B$64=4,BH82,0))</x:f>
      </x:c>
      <x:c r="BI118" s="107" t="n">
        <x:f>SUM(IF($B$8=4,BI26,0),IF($B$36=4,BI54,0),IF($B$64=4,BI82,0))</x:f>
      </x:c>
      <x:c r="BJ118" s="107" t="n">
        <x:f>SUM(IF($B$8=4,BJ26,0),IF($B$36=4,BJ54,0),IF($B$64=4,BJ82,0))</x:f>
      </x:c>
      <x:c r="BK118" s="107" t="n">
        <x:f>SUM(IF($B$8=4,BK26,0),IF($B$36=4,BK54,0),IF($B$64=4,BK82,0))</x:f>
      </x:c>
      <x:c r="BL118" s="107" t="n">
        <x:f>SUM(IF($B$8=4,BL26,0),IF($B$36=4,BL54,0),IF($B$64=4,BL82,0))</x:f>
      </x:c>
      <x:c r="BM118" s="107" t="n">
        <x:f>SUM(IF($B$8=4,BM26,0),IF($B$36=4,BM54,0),IF($B$64=4,BM82,0))</x:f>
      </x:c>
      <x:c r="BN118" s="107" t="n">
        <x:f>SUM(IF($B$8=4,BN26,0),IF($B$36=4,BN54,0),IF($B$64=4,BN82,0))</x:f>
      </x:c>
      <x:c r="BO118" s="107" t="n">
        <x:f>SUM(IF($B$8=4,BO26,0),IF($B$36=4,BO54,0),IF($B$64=4,BO82,0))</x:f>
      </x:c>
      <x:c r="BP118" s="107" t="n">
        <x:f>SUM(IF($B$8=4,BP26,0),IF($B$36=4,BP54,0),IF($B$64=4,BP82,0))</x:f>
      </x:c>
      <x:c r="BQ118" s="107" t="n">
        <x:f>SUM(IF($B$8=4,BQ26,0),IF($B$36=4,BQ54,0),IF($B$64=4,BQ82,0))</x:f>
      </x:c>
      <x:c r="BR118" s="107" t="n">
        <x:f>SUM(IF($B$8=4,BR26,0),IF($B$36=4,BR54,0),IF($B$64=4,BR82,0))</x:f>
      </x:c>
      <x:c r="BS118" s="107" t="n">
        <x:f>SUM(IF($B$8=4,BS26,0),IF($B$36=4,BS54,0),IF($B$64=4,BS82,0))</x:f>
      </x:c>
      <x:c r="BT118" s="107" t="n">
        <x:f>SUM(IF($B$8=4,BT26,0),IF($B$36=4,BT54,0),IF($B$64=4,BT82,0))</x:f>
      </x:c>
      <x:c r="BU118" s="107" t="n">
        <x:f>SUM(IF($B$8=4,BU26,0),IF($B$36=4,BU54,0),IF($B$64=4,BU82,0))</x:f>
      </x:c>
      <x:c r="BV118" s="107" t="n">
        <x:f>SUM(IF($B$8=4,BV26,0),IF($B$36=4,BV54,0),IF($B$64=4,BV82,0))</x:f>
      </x:c>
      <x:c r="BW118" s="107" t="n">
        <x:f>SUM(IF($B$8=4,BW26,0),IF($B$36=4,BW54,0),IF($B$64=4,BW82,0))</x:f>
      </x:c>
      <x:c r="BX118" s="107" t="n">
        <x:f>SUM(IF($B$8=4,BX26,0),IF($B$36=4,BX54,0),IF($B$64=4,BX82,0))</x:f>
      </x:c>
      <x:c r="BY118" s="107" t="n">
        <x:f>SUM(IF($B$8=4,BY26,0),IF($B$36=4,BY54,0),IF($B$64=4,BY82,0))</x:f>
      </x:c>
      <x:c r="BZ118" s="107" t="n">
        <x:f>SUM(IF($B$8=4,BZ26,0),IF($B$36=4,BZ54,0),IF($B$64=4,BZ82,0))</x:f>
      </x:c>
      <x:c r="CA118" s="107" t="n">
        <x:f>SUM(IF($B$8=4,CA26,0),IF($B$36=4,CA54,0),IF($B$64=4,CA82,0))</x:f>
      </x:c>
      <x:c r="CB118" s="107" t="n">
        <x:f>SUM(IF($B$8=4,CB26,0),IF($B$36=4,CB54,0),IF($B$64=4,CB82,0))</x:f>
      </x:c>
      <x:c r="CC118" s="107" t="n">
        <x:f>SUM(IF($B$8=4,CC26,0),IF($B$36=4,CC54,0),IF($B$64=4,CC82,0))</x:f>
      </x:c>
      <x:c r="CD118" s="107" t="n">
        <x:f>SUM(IF($B$8=4,CD26,0),IF($B$36=4,CD54,0),IF($B$64=4,CD82,0))</x:f>
      </x:c>
      <x:c r="CE118" s="107" t="n">
        <x:f>SUM(IF($B$8=4,CE26,0),IF($B$36=4,CE54,0),IF($B$64=4,CE82,0))</x:f>
      </x:c>
      <x:c r="CF118" s="107" t="n">
        <x:f>SUM(IF($B$8=4,CF26,0),IF($B$36=4,CF54,0),IF($B$64=4,CF82,0))</x:f>
      </x:c>
      <x:c r="CG118" s="107" t="n">
        <x:f>SUM(IF($B$8=4,CG26,0),IF($B$36=4,CG54,0),IF($B$64=4,CG82,0))</x:f>
      </x:c>
      <x:c r="CH118" s="107" t="n">
        <x:f>SUM(IF($B$8=4,CH26,0),IF($B$36=4,CH54,0),IF($B$64=4,CH82,0))</x:f>
      </x:c>
      <x:c r="CI118" s="107" t="n">
        <x:f>SUM(IF($B$8=4,CI26,0),IF($B$36=4,CI54,0),IF($B$64=4,CI82,0))</x:f>
      </x:c>
      <x:c r="CJ118" s="107" t="n">
        <x:f>SUM(IF($B$8=4,CJ26,0),IF($B$36=4,CJ54,0),IF($B$64=4,CJ82,0))</x:f>
      </x:c>
      <x:c r="CK118" s="107" t="n">
        <x:f>SUM(IF($B$8=4,CK26,0),IF($B$36=4,CK54,0),IF($B$64=4,CK82,0))</x:f>
      </x:c>
      <x:c r="CL118" s="107" t="n">
        <x:f>SUM(IF($B$8=4,CL26,0),IF($B$36=4,CL54,0),IF($B$64=4,CL82,0))</x:f>
      </x:c>
      <x:c r="CM118" s="107" t="n">
        <x:f>SUM(IF($B$8=4,CM26,0),IF($B$36=4,CM54,0),IF($B$64=4,CM82,0))</x:f>
      </x:c>
      <x:c r="CN118" s="107" t="n">
        <x:f>SUM(IF($B$8=4,CN26,0),IF($B$36=4,CN54,0),IF($B$64=4,CN82,0))</x:f>
      </x:c>
      <x:c r="CO118" s="107" t="n">
        <x:f>SUM(IF($B$8=4,CO26,0),IF($B$36=4,CO54,0),IF($B$64=4,CO82,0))</x:f>
      </x:c>
      <x:c r="CP118" s="107" t="n">
        <x:f>SUM(IF($B$8=4,CP26,0),IF($B$36=4,CP54,0),IF($B$64=4,CP82,0))</x:f>
      </x:c>
      <x:c r="CQ118" s="107" t="n">
        <x:f>SUM(IF($B$8=4,CQ26,0),IF($B$36=4,CQ54,0),IF($B$64=4,CQ82,0))</x:f>
      </x:c>
      <x:c r="CR118" s="107" t="n">
        <x:f>SUM(IF($B$8=4,CR26,0),IF($B$36=4,CR54,0),IF($B$64=4,CR82,0))</x:f>
      </x:c>
      <x:c r="CS118" s="107" t="n">
        <x:f>SUM(IF($B$8=4,CS26,0),IF($B$36=4,CS54,0),IF($B$64=4,CS82,0))</x:f>
      </x:c>
      <x:c r="CT118" s="107" t="n">
        <x:f>SUM(IF($B$8=4,CT26,0),IF($B$36=4,CT54,0),IF($B$64=4,CT82,0))</x:f>
      </x:c>
      <x:c r="CU118" s="107" t="n">
        <x:f>SUM(IF($B$8=4,CU26,0),IF($B$36=4,CU54,0),IF($B$64=4,CU82,0))</x:f>
      </x:c>
      <x:c r="CV118" s="107" t="n">
        <x:f>SUM(IF($B$8=4,CV26,0),IF($B$36=4,CV54,0),IF($B$64=4,CV82,0))</x:f>
      </x:c>
      <x:c r="CW118" s="107" t="n">
        <x:f>SUM(IF($B$8=4,CW26,0),IF($B$36=4,CW54,0),IF($B$64=4,CW82,0))</x:f>
      </x:c>
      <x:c r="CX118" s="107" t="n">
        <x:f>SUM(IF($B$8=4,CX26,0),IF($B$36=4,CX54,0),IF($B$64=4,CX82,0))</x:f>
      </x:c>
      <x:c r="CY118" s="107" t="n">
        <x:f>SUM(IF($B$8=4,CY26,0),IF($B$36=4,CY54,0),IF($B$64=4,CY82,0))</x:f>
      </x:c>
      <x:c r="CZ118" s="107" t="n">
        <x:f>SUM(IF($B$8=4,CZ26,0),IF($B$36=4,CZ54,0),IF($B$64=4,CZ82,0))</x:f>
      </x:c>
      <x:c r="DA118" s="107" t="n">
        <x:f>SUM(IF($B$8=4,DA26,0),IF($B$36=4,DA54,0),IF($B$64=4,DA82,0))</x:f>
      </x:c>
      <x:c r="DB118" s="107" t="n">
        <x:f>SUM(IF($B$8=4,DB26,0),IF($B$36=4,DB54,0),IF($B$64=4,DB82,0))</x:f>
      </x:c>
      <x:c r="DC118" s="107" t="n">
        <x:f>SUM(IF($B$8=4,DC26,0),IF($B$36=4,DC54,0),IF($B$64=4,DC82,0))</x:f>
      </x:c>
      <x:c r="DD118" s="107" t="n">
        <x:f>SUM(IF($B$8=4,DD26,0),IF($B$36=4,DD54,0),IF($B$64=4,DD82,0))</x:f>
      </x:c>
      <x:c r="DE118" s="107" t="n">
        <x:f>SUM(IF($B$8=4,DE26,0),IF($B$36=4,DE54,0),IF($B$64=4,DE82,0))</x:f>
      </x:c>
      <x:c r="DF118" s="107" t="n">
        <x:f>SUM(IF($B$8=4,DF26,0),IF($B$36=4,DF54,0),IF($B$64=4,DF82,0))</x:f>
      </x:c>
      <x:c r="DG118" s="107" t="n">
        <x:f>SUM(IF($B$8=4,DG26,0),IF($B$36=4,DG54,0),IF($B$64=4,DG82,0))</x:f>
      </x:c>
      <x:c r="DH118" s="107" t="n">
        <x:f>SUM(IF($B$8=4,DH26,0),IF($B$36=4,DH54,0),IF($B$64=4,DH82,0))</x:f>
      </x:c>
      <x:c r="DI118" s="107" t="n">
        <x:f>SUM(IF($B$8=4,DI26,0),IF($B$36=4,DI54,0),IF($B$64=4,DI82,0))</x:f>
      </x:c>
      <x:c r="DJ118" s="107" t="n">
        <x:f>SUM(IF($B$8=4,DJ26,0),IF($B$36=4,DJ54,0),IF($B$64=4,DJ82,0))</x:f>
      </x:c>
      <x:c r="DK118" s="107" t="n">
        <x:f>SUM(IF($B$8=4,DK26,0),IF($B$36=4,DK54,0),IF($B$64=4,DK82,0))</x:f>
      </x:c>
      <x:c r="DL118" s="107" t="n">
        <x:f>SUM(IF($B$8=4,DL26,0),IF($B$36=4,DL54,0),IF($B$64=4,DL82,0))</x:f>
      </x:c>
      <x:c r="DM118" s="107" t="n">
        <x:f>SUM(IF($B$8=4,DM26,0),IF($B$36=4,DM54,0),IF($B$64=4,DM82,0))</x:f>
      </x:c>
      <x:c r="DN118" s="107" t="n">
        <x:f>SUM(IF($B$8=4,DN26,0),IF($B$36=4,DN54,0),IF($B$64=4,DN82,0))</x:f>
      </x:c>
      <x:c r="DO118" s="107" t="n">
        <x:f>SUM(IF($B$8=4,DO26,0),IF($B$36=4,DO54,0),IF($B$64=4,DO82,0))</x:f>
      </x:c>
      <x:c r="DP118" s="107" t="n">
        <x:f>SUM(IF($B$8=4,DP26,0),IF($B$36=4,DP54,0),IF($B$64=4,DP82,0))</x:f>
      </x:c>
      <x:c r="DQ118" s="107" t="n">
        <x:f>SUM(IF($B$8=4,DQ26,0),IF($B$36=4,DQ54,0),IF($B$64=4,DQ82,0))</x:f>
      </x:c>
      <x:c r="DR118" s="107" t="n">
        <x:f>SUM(IF($B$8=4,DR26,0),IF($B$36=4,DR54,0),IF($B$64=4,DR82,0))</x:f>
      </x:c>
      <x:c r="DS118" s="107" t="n">
        <x:f>SUM(IF($B$8=4,DS26,0),IF($B$36=4,DS54,0),IF($B$64=4,DS82,0))</x:f>
      </x:c>
    </x:row>
    <x:row r="119">
      <x:c r="A119" t="str">
        <x:v>Очередь 4 — Раскрытие эскроу объектов</x:v>
      </x:c>
      <x:c r="B119" s="107" t="n">
        <x:f>SUM(D119:DS119)</x:f>
      </x:c>
      <x:c r="C119" t="str">
        <x:v>млн ₽</x:v>
      </x:c>
      <x:c r="D119" s="107" t="n">
        <x:f>SUM(IF($B$8=4,D27,0),IF($B$36=4,D55,0),IF($B$64=4,D83,0))</x:f>
      </x:c>
      <x:c r="E119" s="107" t="n">
        <x:f>SUM(IF($B$8=4,E27,0),IF($B$36=4,E55,0),IF($B$64=4,E83,0))</x:f>
      </x:c>
      <x:c r="F119" s="107" t="n">
        <x:f>SUM(IF($B$8=4,F27,0),IF($B$36=4,F55,0),IF($B$64=4,F83,0))</x:f>
      </x:c>
      <x:c r="G119" s="107" t="n">
        <x:f>SUM(IF($B$8=4,G27,0),IF($B$36=4,G55,0),IF($B$64=4,G83,0))</x:f>
      </x:c>
      <x:c r="H119" s="107" t="n">
        <x:f>SUM(IF($B$8=4,H27,0),IF($B$36=4,H55,0),IF($B$64=4,H83,0))</x:f>
      </x:c>
      <x:c r="I119" s="107" t="n">
        <x:f>SUM(IF($B$8=4,I27,0),IF($B$36=4,I55,0),IF($B$64=4,I83,0))</x:f>
      </x:c>
      <x:c r="J119" s="107" t="n">
        <x:f>SUM(IF($B$8=4,J27,0),IF($B$36=4,J55,0),IF($B$64=4,J83,0))</x:f>
      </x:c>
      <x:c r="K119" s="107" t="n">
        <x:f>SUM(IF($B$8=4,K27,0),IF($B$36=4,K55,0),IF($B$64=4,K83,0))</x:f>
      </x:c>
      <x:c r="L119" s="107" t="n">
        <x:f>SUM(IF($B$8=4,L27,0),IF($B$36=4,L55,0),IF($B$64=4,L83,0))</x:f>
      </x:c>
      <x:c r="M119" s="107" t="n">
        <x:f>SUM(IF($B$8=4,M27,0),IF($B$36=4,M55,0),IF($B$64=4,M83,0))</x:f>
      </x:c>
      <x:c r="N119" s="107" t="n">
        <x:f>SUM(IF($B$8=4,N27,0),IF($B$36=4,N55,0),IF($B$64=4,N83,0))</x:f>
      </x:c>
      <x:c r="O119" s="107" t="n">
        <x:f>SUM(IF($B$8=4,O27,0),IF($B$36=4,O55,0),IF($B$64=4,O83,0))</x:f>
      </x:c>
      <x:c r="P119" s="107" t="n">
        <x:f>SUM(IF($B$8=4,P27,0),IF($B$36=4,P55,0),IF($B$64=4,P83,0))</x:f>
      </x:c>
      <x:c r="Q119" s="107" t="n">
        <x:f>SUM(IF($B$8=4,Q27,0),IF($B$36=4,Q55,0),IF($B$64=4,Q83,0))</x:f>
      </x:c>
      <x:c r="R119" s="107" t="n">
        <x:f>SUM(IF($B$8=4,R27,0),IF($B$36=4,R55,0),IF($B$64=4,R83,0))</x:f>
      </x:c>
      <x:c r="S119" s="107" t="n">
        <x:f>SUM(IF($B$8=4,S27,0),IF($B$36=4,S55,0),IF($B$64=4,S83,0))</x:f>
      </x:c>
      <x:c r="T119" s="107" t="n">
        <x:f>SUM(IF($B$8=4,T27,0),IF($B$36=4,T55,0),IF($B$64=4,T83,0))</x:f>
      </x:c>
      <x:c r="U119" s="107" t="n">
        <x:f>SUM(IF($B$8=4,U27,0),IF($B$36=4,U55,0),IF($B$64=4,U83,0))</x:f>
      </x:c>
      <x:c r="V119" s="107" t="n">
        <x:f>SUM(IF($B$8=4,V27,0),IF($B$36=4,V55,0),IF($B$64=4,V83,0))</x:f>
      </x:c>
      <x:c r="W119" s="107" t="n">
        <x:f>SUM(IF($B$8=4,W27,0),IF($B$36=4,W55,0),IF($B$64=4,W83,0))</x:f>
      </x:c>
      <x:c r="X119" s="107" t="n">
        <x:f>SUM(IF($B$8=4,X27,0),IF($B$36=4,X55,0),IF($B$64=4,X83,0))</x:f>
      </x:c>
      <x:c r="Y119" s="107" t="n">
        <x:f>SUM(IF($B$8=4,Y27,0),IF($B$36=4,Y55,0),IF($B$64=4,Y83,0))</x:f>
      </x:c>
      <x:c r="Z119" s="107" t="n">
        <x:f>SUM(IF($B$8=4,Z27,0),IF($B$36=4,Z55,0),IF($B$64=4,Z83,0))</x:f>
      </x:c>
      <x:c r="AA119" s="107" t="n">
        <x:f>SUM(IF($B$8=4,AA27,0),IF($B$36=4,AA55,0),IF($B$64=4,AA83,0))</x:f>
      </x:c>
      <x:c r="AB119" s="107" t="n">
        <x:f>SUM(IF($B$8=4,AB27,0),IF($B$36=4,AB55,0),IF($B$64=4,AB83,0))</x:f>
      </x:c>
      <x:c r="AC119" s="107" t="n">
        <x:f>SUM(IF($B$8=4,AC27,0),IF($B$36=4,AC55,0),IF($B$64=4,AC83,0))</x:f>
      </x:c>
      <x:c r="AD119" s="107" t="n">
        <x:f>SUM(IF($B$8=4,AD27,0),IF($B$36=4,AD55,0),IF($B$64=4,AD83,0))</x:f>
      </x:c>
      <x:c r="AE119" s="107" t="n">
        <x:f>SUM(IF($B$8=4,AE27,0),IF($B$36=4,AE55,0),IF($B$64=4,AE83,0))</x:f>
      </x:c>
      <x:c r="AF119" s="107" t="n">
        <x:f>SUM(IF($B$8=4,AF27,0),IF($B$36=4,AF55,0),IF($B$64=4,AF83,0))</x:f>
      </x:c>
      <x:c r="AG119" s="107" t="n">
        <x:f>SUM(IF($B$8=4,AG27,0),IF($B$36=4,AG55,0),IF($B$64=4,AG83,0))</x:f>
      </x:c>
      <x:c r="AH119" s="107" t="n">
        <x:f>SUM(IF($B$8=4,AH27,0),IF($B$36=4,AH55,0),IF($B$64=4,AH83,0))</x:f>
      </x:c>
      <x:c r="AI119" s="107" t="n">
        <x:f>SUM(IF($B$8=4,AI27,0),IF($B$36=4,AI55,0),IF($B$64=4,AI83,0))</x:f>
      </x:c>
      <x:c r="AJ119" s="107" t="n">
        <x:f>SUM(IF($B$8=4,AJ27,0),IF($B$36=4,AJ55,0),IF($B$64=4,AJ83,0))</x:f>
      </x:c>
      <x:c r="AK119" s="107" t="n">
        <x:f>SUM(IF($B$8=4,AK27,0),IF($B$36=4,AK55,0),IF($B$64=4,AK83,0))</x:f>
      </x:c>
      <x:c r="AL119" s="107" t="n">
        <x:f>SUM(IF($B$8=4,AL27,0),IF($B$36=4,AL55,0),IF($B$64=4,AL83,0))</x:f>
      </x:c>
      <x:c r="AM119" s="107" t="n">
        <x:f>SUM(IF($B$8=4,AM27,0),IF($B$36=4,AM55,0),IF($B$64=4,AM83,0))</x:f>
      </x:c>
      <x:c r="AN119" s="107" t="n">
        <x:f>SUM(IF($B$8=4,AN27,0),IF($B$36=4,AN55,0),IF($B$64=4,AN83,0))</x:f>
      </x:c>
      <x:c r="AO119" s="107" t="n">
        <x:f>SUM(IF($B$8=4,AO27,0),IF($B$36=4,AO55,0),IF($B$64=4,AO83,0))</x:f>
      </x:c>
      <x:c r="AP119" s="107" t="n">
        <x:f>SUM(IF($B$8=4,AP27,0),IF($B$36=4,AP55,0),IF($B$64=4,AP83,0))</x:f>
      </x:c>
      <x:c r="AQ119" s="107" t="n">
        <x:f>SUM(IF($B$8=4,AQ27,0),IF($B$36=4,AQ55,0),IF($B$64=4,AQ83,0))</x:f>
      </x:c>
      <x:c r="AR119" s="107" t="n">
        <x:f>SUM(IF($B$8=4,AR27,0),IF($B$36=4,AR55,0),IF($B$64=4,AR83,0))</x:f>
      </x:c>
      <x:c r="AS119" s="107" t="n">
        <x:f>SUM(IF($B$8=4,AS27,0),IF($B$36=4,AS55,0),IF($B$64=4,AS83,0))</x:f>
      </x:c>
      <x:c r="AT119" s="107" t="n">
        <x:f>SUM(IF($B$8=4,AT27,0),IF($B$36=4,AT55,0),IF($B$64=4,AT83,0))</x:f>
      </x:c>
      <x:c r="AU119" s="107" t="n">
        <x:f>SUM(IF($B$8=4,AU27,0),IF($B$36=4,AU55,0),IF($B$64=4,AU83,0))</x:f>
      </x:c>
      <x:c r="AV119" s="107" t="n">
        <x:f>SUM(IF($B$8=4,AV27,0),IF($B$36=4,AV55,0),IF($B$64=4,AV83,0))</x:f>
      </x:c>
      <x:c r="AW119" s="107" t="n">
        <x:f>SUM(IF($B$8=4,AW27,0),IF($B$36=4,AW55,0),IF($B$64=4,AW83,0))</x:f>
      </x:c>
      <x:c r="AX119" s="107" t="n">
        <x:f>SUM(IF($B$8=4,AX27,0),IF($B$36=4,AX55,0),IF($B$64=4,AX83,0))</x:f>
      </x:c>
      <x:c r="AY119" s="107" t="n">
        <x:f>SUM(IF($B$8=4,AY27,0),IF($B$36=4,AY55,0),IF($B$64=4,AY83,0))</x:f>
      </x:c>
      <x:c r="AZ119" s="107" t="n">
        <x:f>SUM(IF($B$8=4,AZ27,0),IF($B$36=4,AZ55,0),IF($B$64=4,AZ83,0))</x:f>
      </x:c>
      <x:c r="BA119" s="107" t="n">
        <x:f>SUM(IF($B$8=4,BA27,0),IF($B$36=4,BA55,0),IF($B$64=4,BA83,0))</x:f>
      </x:c>
      <x:c r="BB119" s="107" t="n">
        <x:f>SUM(IF($B$8=4,BB27,0),IF($B$36=4,BB55,0),IF($B$64=4,BB83,0))</x:f>
      </x:c>
      <x:c r="BC119" s="107" t="n">
        <x:f>SUM(IF($B$8=4,BC27,0),IF($B$36=4,BC55,0),IF($B$64=4,BC83,0))</x:f>
      </x:c>
      <x:c r="BD119" s="107" t="n">
        <x:f>SUM(IF($B$8=4,BD27,0),IF($B$36=4,BD55,0),IF($B$64=4,BD83,0))</x:f>
      </x:c>
      <x:c r="BE119" s="107" t="n">
        <x:f>SUM(IF($B$8=4,BE27,0),IF($B$36=4,BE55,0),IF($B$64=4,BE83,0))</x:f>
      </x:c>
      <x:c r="BF119" s="107" t="n">
        <x:f>SUM(IF($B$8=4,BF27,0),IF($B$36=4,BF55,0),IF($B$64=4,BF83,0))</x:f>
      </x:c>
      <x:c r="BG119" s="107" t="n">
        <x:f>SUM(IF($B$8=4,BG27,0),IF($B$36=4,BG55,0),IF($B$64=4,BG83,0))</x:f>
      </x:c>
      <x:c r="BH119" s="107" t="n">
        <x:f>SUM(IF($B$8=4,BH27,0),IF($B$36=4,BH55,0),IF($B$64=4,BH83,0))</x:f>
      </x:c>
      <x:c r="BI119" s="107" t="n">
        <x:f>SUM(IF($B$8=4,BI27,0),IF($B$36=4,BI55,0),IF($B$64=4,BI83,0))</x:f>
      </x:c>
      <x:c r="BJ119" s="107" t="n">
        <x:f>SUM(IF($B$8=4,BJ27,0),IF($B$36=4,BJ55,0),IF($B$64=4,BJ83,0))</x:f>
      </x:c>
      <x:c r="BK119" s="107" t="n">
        <x:f>SUM(IF($B$8=4,BK27,0),IF($B$36=4,BK55,0),IF($B$64=4,BK83,0))</x:f>
      </x:c>
      <x:c r="BL119" s="107" t="n">
        <x:f>SUM(IF($B$8=4,BL27,0),IF($B$36=4,BL55,0),IF($B$64=4,BL83,0))</x:f>
      </x:c>
      <x:c r="BM119" s="107" t="n">
        <x:f>SUM(IF($B$8=4,BM27,0),IF($B$36=4,BM55,0),IF($B$64=4,BM83,0))</x:f>
      </x:c>
      <x:c r="BN119" s="107" t="n">
        <x:f>SUM(IF($B$8=4,BN27,0),IF($B$36=4,BN55,0),IF($B$64=4,BN83,0))</x:f>
      </x:c>
      <x:c r="BO119" s="107" t="n">
        <x:f>SUM(IF($B$8=4,BO27,0),IF($B$36=4,BO55,0),IF($B$64=4,BO83,0))</x:f>
      </x:c>
      <x:c r="BP119" s="107" t="n">
        <x:f>SUM(IF($B$8=4,BP27,0),IF($B$36=4,BP55,0),IF($B$64=4,BP83,0))</x:f>
      </x:c>
      <x:c r="BQ119" s="107" t="n">
        <x:f>SUM(IF($B$8=4,BQ27,0),IF($B$36=4,BQ55,0),IF($B$64=4,BQ83,0))</x:f>
      </x:c>
      <x:c r="BR119" s="107" t="n">
        <x:f>SUM(IF($B$8=4,BR27,0),IF($B$36=4,BR55,0),IF($B$64=4,BR83,0))</x:f>
      </x:c>
      <x:c r="BS119" s="107" t="n">
        <x:f>SUM(IF($B$8=4,BS27,0),IF($B$36=4,BS55,0),IF($B$64=4,BS83,0))</x:f>
      </x:c>
      <x:c r="BT119" s="107" t="n">
        <x:f>SUM(IF($B$8=4,BT27,0),IF($B$36=4,BT55,0),IF($B$64=4,BT83,0))</x:f>
      </x:c>
      <x:c r="BU119" s="107" t="n">
        <x:f>SUM(IF($B$8=4,BU27,0),IF($B$36=4,BU55,0),IF($B$64=4,BU83,0))</x:f>
      </x:c>
      <x:c r="BV119" s="107" t="n">
        <x:f>SUM(IF($B$8=4,BV27,0),IF($B$36=4,BV55,0),IF($B$64=4,BV83,0))</x:f>
      </x:c>
      <x:c r="BW119" s="107" t="n">
        <x:f>SUM(IF($B$8=4,BW27,0),IF($B$36=4,BW55,0),IF($B$64=4,BW83,0))</x:f>
      </x:c>
      <x:c r="BX119" s="107" t="n">
        <x:f>SUM(IF($B$8=4,BX27,0),IF($B$36=4,BX55,0),IF($B$64=4,BX83,0))</x:f>
      </x:c>
      <x:c r="BY119" s="107" t="n">
        <x:f>SUM(IF($B$8=4,BY27,0),IF($B$36=4,BY55,0),IF($B$64=4,BY83,0))</x:f>
      </x:c>
      <x:c r="BZ119" s="107" t="n">
        <x:f>SUM(IF($B$8=4,BZ27,0),IF($B$36=4,BZ55,0),IF($B$64=4,BZ83,0))</x:f>
      </x:c>
      <x:c r="CA119" s="107" t="n">
        <x:f>SUM(IF($B$8=4,CA27,0),IF($B$36=4,CA55,0),IF($B$64=4,CA83,0))</x:f>
      </x:c>
      <x:c r="CB119" s="107" t="n">
        <x:f>SUM(IF($B$8=4,CB27,0),IF($B$36=4,CB55,0),IF($B$64=4,CB83,0))</x:f>
      </x:c>
      <x:c r="CC119" s="107" t="n">
        <x:f>SUM(IF($B$8=4,CC27,0),IF($B$36=4,CC55,0),IF($B$64=4,CC83,0))</x:f>
      </x:c>
      <x:c r="CD119" s="107" t="n">
        <x:f>SUM(IF($B$8=4,CD27,0),IF($B$36=4,CD55,0),IF($B$64=4,CD83,0))</x:f>
      </x:c>
      <x:c r="CE119" s="107" t="n">
        <x:f>SUM(IF($B$8=4,CE27,0),IF($B$36=4,CE55,0),IF($B$64=4,CE83,0))</x:f>
      </x:c>
      <x:c r="CF119" s="107" t="n">
        <x:f>SUM(IF($B$8=4,CF27,0),IF($B$36=4,CF55,0),IF($B$64=4,CF83,0))</x:f>
      </x:c>
      <x:c r="CG119" s="107" t="n">
        <x:f>SUM(IF($B$8=4,CG27,0),IF($B$36=4,CG55,0),IF($B$64=4,CG83,0))</x:f>
      </x:c>
      <x:c r="CH119" s="107" t="n">
        <x:f>SUM(IF($B$8=4,CH27,0),IF($B$36=4,CH55,0),IF($B$64=4,CH83,0))</x:f>
      </x:c>
      <x:c r="CI119" s="107" t="n">
        <x:f>SUM(IF($B$8=4,CI27,0),IF($B$36=4,CI55,0),IF($B$64=4,CI83,0))</x:f>
      </x:c>
      <x:c r="CJ119" s="107" t="n">
        <x:f>SUM(IF($B$8=4,CJ27,0),IF($B$36=4,CJ55,0),IF($B$64=4,CJ83,0))</x:f>
      </x:c>
      <x:c r="CK119" s="107" t="n">
        <x:f>SUM(IF($B$8=4,CK27,0),IF($B$36=4,CK55,0),IF($B$64=4,CK83,0))</x:f>
      </x:c>
      <x:c r="CL119" s="107" t="n">
        <x:f>SUM(IF($B$8=4,CL27,0),IF($B$36=4,CL55,0),IF($B$64=4,CL83,0))</x:f>
      </x:c>
      <x:c r="CM119" s="107" t="n">
        <x:f>SUM(IF($B$8=4,CM27,0),IF($B$36=4,CM55,0),IF($B$64=4,CM83,0))</x:f>
      </x:c>
      <x:c r="CN119" s="107" t="n">
        <x:f>SUM(IF($B$8=4,CN27,0),IF($B$36=4,CN55,0),IF($B$64=4,CN83,0))</x:f>
      </x:c>
      <x:c r="CO119" s="107" t="n">
        <x:f>SUM(IF($B$8=4,CO27,0),IF($B$36=4,CO55,0),IF($B$64=4,CO83,0))</x:f>
      </x:c>
      <x:c r="CP119" s="107" t="n">
        <x:f>SUM(IF($B$8=4,CP27,0),IF($B$36=4,CP55,0),IF($B$64=4,CP83,0))</x:f>
      </x:c>
      <x:c r="CQ119" s="107" t="n">
        <x:f>SUM(IF($B$8=4,CQ27,0),IF($B$36=4,CQ55,0),IF($B$64=4,CQ83,0))</x:f>
      </x:c>
      <x:c r="CR119" s="107" t="n">
        <x:f>SUM(IF($B$8=4,CR27,0),IF($B$36=4,CR55,0),IF($B$64=4,CR83,0))</x:f>
      </x:c>
      <x:c r="CS119" s="107" t="n">
        <x:f>SUM(IF($B$8=4,CS27,0),IF($B$36=4,CS55,0),IF($B$64=4,CS83,0))</x:f>
      </x:c>
      <x:c r="CT119" s="107" t="n">
        <x:f>SUM(IF($B$8=4,CT27,0),IF($B$36=4,CT55,0),IF($B$64=4,CT83,0))</x:f>
      </x:c>
      <x:c r="CU119" s="107" t="n">
        <x:f>SUM(IF($B$8=4,CU27,0),IF($B$36=4,CU55,0),IF($B$64=4,CU83,0))</x:f>
      </x:c>
      <x:c r="CV119" s="107" t="n">
        <x:f>SUM(IF($B$8=4,CV27,0),IF($B$36=4,CV55,0),IF($B$64=4,CV83,0))</x:f>
      </x:c>
      <x:c r="CW119" s="107" t="n">
        <x:f>SUM(IF($B$8=4,CW27,0),IF($B$36=4,CW55,0),IF($B$64=4,CW83,0))</x:f>
      </x:c>
      <x:c r="CX119" s="107" t="n">
        <x:f>SUM(IF($B$8=4,CX27,0),IF($B$36=4,CX55,0),IF($B$64=4,CX83,0))</x:f>
      </x:c>
      <x:c r="CY119" s="107" t="n">
        <x:f>SUM(IF($B$8=4,CY27,0),IF($B$36=4,CY55,0),IF($B$64=4,CY83,0))</x:f>
      </x:c>
      <x:c r="CZ119" s="107" t="n">
        <x:f>SUM(IF($B$8=4,CZ27,0),IF($B$36=4,CZ55,0),IF($B$64=4,CZ83,0))</x:f>
      </x:c>
      <x:c r="DA119" s="107" t="n">
        <x:f>SUM(IF($B$8=4,DA27,0),IF($B$36=4,DA55,0),IF($B$64=4,DA83,0))</x:f>
      </x:c>
      <x:c r="DB119" s="107" t="n">
        <x:f>SUM(IF($B$8=4,DB27,0),IF($B$36=4,DB55,0),IF($B$64=4,DB83,0))</x:f>
      </x:c>
      <x:c r="DC119" s="107" t="n">
        <x:f>SUM(IF($B$8=4,DC27,0),IF($B$36=4,DC55,0),IF($B$64=4,DC83,0))</x:f>
      </x:c>
      <x:c r="DD119" s="107" t="n">
        <x:f>SUM(IF($B$8=4,DD27,0),IF($B$36=4,DD55,0),IF($B$64=4,DD83,0))</x:f>
      </x:c>
      <x:c r="DE119" s="107" t="n">
        <x:f>SUM(IF($B$8=4,DE27,0),IF($B$36=4,DE55,0),IF($B$64=4,DE83,0))</x:f>
      </x:c>
      <x:c r="DF119" s="107" t="n">
        <x:f>SUM(IF($B$8=4,DF27,0),IF($B$36=4,DF55,0),IF($B$64=4,DF83,0))</x:f>
      </x:c>
      <x:c r="DG119" s="107" t="n">
        <x:f>SUM(IF($B$8=4,DG27,0),IF($B$36=4,DG55,0),IF($B$64=4,DG83,0))</x:f>
      </x:c>
      <x:c r="DH119" s="107" t="n">
        <x:f>SUM(IF($B$8=4,DH27,0),IF($B$36=4,DH55,0),IF($B$64=4,DH83,0))</x:f>
      </x:c>
      <x:c r="DI119" s="107" t="n">
        <x:f>SUM(IF($B$8=4,DI27,0),IF($B$36=4,DI55,0),IF($B$64=4,DI83,0))</x:f>
      </x:c>
      <x:c r="DJ119" s="107" t="n">
        <x:f>SUM(IF($B$8=4,DJ27,0),IF($B$36=4,DJ55,0),IF($B$64=4,DJ83,0))</x:f>
      </x:c>
      <x:c r="DK119" s="107" t="n">
        <x:f>SUM(IF($B$8=4,DK27,0),IF($B$36=4,DK55,0),IF($B$64=4,DK83,0))</x:f>
      </x:c>
      <x:c r="DL119" s="107" t="n">
        <x:f>SUM(IF($B$8=4,DL27,0),IF($B$36=4,DL55,0),IF($B$64=4,DL83,0))</x:f>
      </x:c>
      <x:c r="DM119" s="107" t="n">
        <x:f>SUM(IF($B$8=4,DM27,0),IF($B$36=4,DM55,0),IF($B$64=4,DM83,0))</x:f>
      </x:c>
      <x:c r="DN119" s="107" t="n">
        <x:f>SUM(IF($B$8=4,DN27,0),IF($B$36=4,DN55,0),IF($B$64=4,DN83,0))</x:f>
      </x:c>
      <x:c r="DO119" s="107" t="n">
        <x:f>SUM(IF($B$8=4,DO27,0),IF($B$36=4,DO55,0),IF($B$64=4,DO83,0))</x:f>
      </x:c>
      <x:c r="DP119" s="107" t="n">
        <x:f>SUM(IF($B$8=4,DP27,0),IF($B$36=4,DP55,0),IF($B$64=4,DP83,0))</x:f>
      </x:c>
      <x:c r="DQ119" s="107" t="n">
        <x:f>SUM(IF($B$8=4,DQ27,0),IF($B$36=4,DQ55,0),IF($B$64=4,DQ83,0))</x:f>
      </x:c>
      <x:c r="DR119" s="107" t="n">
        <x:f>SUM(IF($B$8=4,DR27,0),IF($B$36=4,DR55,0),IF($B$64=4,DR83,0))</x:f>
      </x:c>
      <x:c r="DS119" s="107" t="n">
        <x:f>SUM(IF($B$8=4,DS27,0),IF($B$36=4,DS55,0),IF($B$64=4,DS83,0))</x:f>
      </x:c>
    </x:row>
    <x:row r="120">
      <x:c r="A120" t="str">
        <x:v>Очередь 4 — CAPEX объектов</x:v>
      </x:c>
      <x:c r="B120" s="107" t="n">
        <x:f>SUM(D120:DS120)</x:f>
      </x:c>
      <x:c r="C120" t="str">
        <x:v>млн ₽</x:v>
      </x:c>
      <x:c r="D120" s="107" t="n">
        <x:f>SUM(IF($B$8=4,D28,0),IF($B$36=4,D56,0),IF($B$64=4,D84,0))</x:f>
      </x:c>
      <x:c r="E120" s="107" t="n">
        <x:f>SUM(IF($B$8=4,E28,0),IF($B$36=4,E56,0),IF($B$64=4,E84,0))</x:f>
      </x:c>
      <x:c r="F120" s="107" t="n">
        <x:f>SUM(IF($B$8=4,F28,0),IF($B$36=4,F56,0),IF($B$64=4,F84,0))</x:f>
      </x:c>
      <x:c r="G120" s="107" t="n">
        <x:f>SUM(IF($B$8=4,G28,0),IF($B$36=4,G56,0),IF($B$64=4,G84,0))</x:f>
      </x:c>
      <x:c r="H120" s="107" t="n">
        <x:f>SUM(IF($B$8=4,H28,0),IF($B$36=4,H56,0),IF($B$64=4,H84,0))</x:f>
      </x:c>
      <x:c r="I120" s="107" t="n">
        <x:f>SUM(IF($B$8=4,I28,0),IF($B$36=4,I56,0),IF($B$64=4,I84,0))</x:f>
      </x:c>
      <x:c r="J120" s="107" t="n">
        <x:f>SUM(IF($B$8=4,J28,0),IF($B$36=4,J56,0),IF($B$64=4,J84,0))</x:f>
      </x:c>
      <x:c r="K120" s="107" t="n">
        <x:f>SUM(IF($B$8=4,K28,0),IF($B$36=4,K56,0),IF($B$64=4,K84,0))</x:f>
      </x:c>
      <x:c r="L120" s="107" t="n">
        <x:f>SUM(IF($B$8=4,L28,0),IF($B$36=4,L56,0),IF($B$64=4,L84,0))</x:f>
      </x:c>
      <x:c r="M120" s="107" t="n">
        <x:f>SUM(IF($B$8=4,M28,0),IF($B$36=4,M56,0),IF($B$64=4,M84,0))</x:f>
      </x:c>
      <x:c r="N120" s="107" t="n">
        <x:f>SUM(IF($B$8=4,N28,0),IF($B$36=4,N56,0),IF($B$64=4,N84,0))</x:f>
      </x:c>
      <x:c r="O120" s="107" t="n">
        <x:f>SUM(IF($B$8=4,O28,0),IF($B$36=4,O56,0),IF($B$64=4,O84,0))</x:f>
      </x:c>
      <x:c r="P120" s="107" t="n">
        <x:f>SUM(IF($B$8=4,P28,0),IF($B$36=4,P56,0),IF($B$64=4,P84,0))</x:f>
      </x:c>
      <x:c r="Q120" s="107" t="n">
        <x:f>SUM(IF($B$8=4,Q28,0),IF($B$36=4,Q56,0),IF($B$64=4,Q84,0))</x:f>
      </x:c>
      <x:c r="R120" s="107" t="n">
        <x:f>SUM(IF($B$8=4,R28,0),IF($B$36=4,R56,0),IF($B$64=4,R84,0))</x:f>
      </x:c>
      <x:c r="S120" s="107" t="n">
        <x:f>SUM(IF($B$8=4,S28,0),IF($B$36=4,S56,0),IF($B$64=4,S84,0))</x:f>
      </x:c>
      <x:c r="T120" s="107" t="n">
        <x:f>SUM(IF($B$8=4,T28,0),IF($B$36=4,T56,0),IF($B$64=4,T84,0))</x:f>
      </x:c>
      <x:c r="U120" s="107" t="n">
        <x:f>SUM(IF($B$8=4,U28,0),IF($B$36=4,U56,0),IF($B$64=4,U84,0))</x:f>
      </x:c>
      <x:c r="V120" s="107" t="n">
        <x:f>SUM(IF($B$8=4,V28,0),IF($B$36=4,V56,0),IF($B$64=4,V84,0))</x:f>
      </x:c>
      <x:c r="W120" s="107" t="n">
        <x:f>SUM(IF($B$8=4,W28,0),IF($B$36=4,W56,0),IF($B$64=4,W84,0))</x:f>
      </x:c>
      <x:c r="X120" s="107" t="n">
        <x:f>SUM(IF($B$8=4,X28,0),IF($B$36=4,X56,0),IF($B$64=4,X84,0))</x:f>
      </x:c>
      <x:c r="Y120" s="107" t="n">
        <x:f>SUM(IF($B$8=4,Y28,0),IF($B$36=4,Y56,0),IF($B$64=4,Y84,0))</x:f>
      </x:c>
      <x:c r="Z120" s="107" t="n">
        <x:f>SUM(IF($B$8=4,Z28,0),IF($B$36=4,Z56,0),IF($B$64=4,Z84,0))</x:f>
      </x:c>
      <x:c r="AA120" s="107" t="n">
        <x:f>SUM(IF($B$8=4,AA28,0),IF($B$36=4,AA56,0),IF($B$64=4,AA84,0))</x:f>
      </x:c>
      <x:c r="AB120" s="107" t="n">
        <x:f>SUM(IF($B$8=4,AB28,0),IF($B$36=4,AB56,0),IF($B$64=4,AB84,0))</x:f>
      </x:c>
      <x:c r="AC120" s="107" t="n">
        <x:f>SUM(IF($B$8=4,AC28,0),IF($B$36=4,AC56,0),IF($B$64=4,AC84,0))</x:f>
      </x:c>
      <x:c r="AD120" s="107" t="n">
        <x:f>SUM(IF($B$8=4,AD28,0),IF($B$36=4,AD56,0),IF($B$64=4,AD84,0))</x:f>
      </x:c>
      <x:c r="AE120" s="107" t="n">
        <x:f>SUM(IF($B$8=4,AE28,0),IF($B$36=4,AE56,0),IF($B$64=4,AE84,0))</x:f>
      </x:c>
      <x:c r="AF120" s="107" t="n">
        <x:f>SUM(IF($B$8=4,AF28,0),IF($B$36=4,AF56,0),IF($B$64=4,AF84,0))</x:f>
      </x:c>
      <x:c r="AG120" s="107" t="n">
        <x:f>SUM(IF($B$8=4,AG28,0),IF($B$36=4,AG56,0),IF($B$64=4,AG84,0))</x:f>
      </x:c>
      <x:c r="AH120" s="107" t="n">
        <x:f>SUM(IF($B$8=4,AH28,0),IF($B$36=4,AH56,0),IF($B$64=4,AH84,0))</x:f>
      </x:c>
      <x:c r="AI120" s="107" t="n">
        <x:f>SUM(IF($B$8=4,AI28,0),IF($B$36=4,AI56,0),IF($B$64=4,AI84,0))</x:f>
      </x:c>
      <x:c r="AJ120" s="107" t="n">
        <x:f>SUM(IF($B$8=4,AJ28,0),IF($B$36=4,AJ56,0),IF($B$64=4,AJ84,0))</x:f>
      </x:c>
      <x:c r="AK120" s="107" t="n">
        <x:f>SUM(IF($B$8=4,AK28,0),IF($B$36=4,AK56,0),IF($B$64=4,AK84,0))</x:f>
      </x:c>
      <x:c r="AL120" s="107" t="n">
        <x:f>SUM(IF($B$8=4,AL28,0),IF($B$36=4,AL56,0),IF($B$64=4,AL84,0))</x:f>
      </x:c>
      <x:c r="AM120" s="107" t="n">
        <x:f>SUM(IF($B$8=4,AM28,0),IF($B$36=4,AM56,0),IF($B$64=4,AM84,0))</x:f>
      </x:c>
      <x:c r="AN120" s="107" t="n">
        <x:f>SUM(IF($B$8=4,AN28,0),IF($B$36=4,AN56,0),IF($B$64=4,AN84,0))</x:f>
      </x:c>
      <x:c r="AO120" s="107" t="n">
        <x:f>SUM(IF($B$8=4,AO28,0),IF($B$36=4,AO56,0),IF($B$64=4,AO84,0))</x:f>
      </x:c>
      <x:c r="AP120" s="107" t="n">
        <x:f>SUM(IF($B$8=4,AP28,0),IF($B$36=4,AP56,0),IF($B$64=4,AP84,0))</x:f>
      </x:c>
      <x:c r="AQ120" s="107" t="n">
        <x:f>SUM(IF($B$8=4,AQ28,0),IF($B$36=4,AQ56,0),IF($B$64=4,AQ84,0))</x:f>
      </x:c>
      <x:c r="AR120" s="107" t="n">
        <x:f>SUM(IF($B$8=4,AR28,0),IF($B$36=4,AR56,0),IF($B$64=4,AR84,0))</x:f>
      </x:c>
      <x:c r="AS120" s="107" t="n">
        <x:f>SUM(IF($B$8=4,AS28,0),IF($B$36=4,AS56,0),IF($B$64=4,AS84,0))</x:f>
      </x:c>
      <x:c r="AT120" s="107" t="n">
        <x:f>SUM(IF($B$8=4,AT28,0),IF($B$36=4,AT56,0),IF($B$64=4,AT84,0))</x:f>
      </x:c>
      <x:c r="AU120" s="107" t="n">
        <x:f>SUM(IF($B$8=4,AU28,0),IF($B$36=4,AU56,0),IF($B$64=4,AU84,0))</x:f>
      </x:c>
      <x:c r="AV120" s="107" t="n">
        <x:f>SUM(IF($B$8=4,AV28,0),IF($B$36=4,AV56,0),IF($B$64=4,AV84,0))</x:f>
      </x:c>
      <x:c r="AW120" s="107" t="n">
        <x:f>SUM(IF($B$8=4,AW28,0),IF($B$36=4,AW56,0),IF($B$64=4,AW84,0))</x:f>
      </x:c>
      <x:c r="AX120" s="107" t="n">
        <x:f>SUM(IF($B$8=4,AX28,0),IF($B$36=4,AX56,0),IF($B$64=4,AX84,0))</x:f>
      </x:c>
      <x:c r="AY120" s="107" t="n">
        <x:f>SUM(IF($B$8=4,AY28,0),IF($B$36=4,AY56,0),IF($B$64=4,AY84,0))</x:f>
      </x:c>
      <x:c r="AZ120" s="107" t="n">
        <x:f>SUM(IF($B$8=4,AZ28,0),IF($B$36=4,AZ56,0),IF($B$64=4,AZ84,0))</x:f>
      </x:c>
      <x:c r="BA120" s="107" t="n">
        <x:f>SUM(IF($B$8=4,BA28,0),IF($B$36=4,BA56,0),IF($B$64=4,BA84,0))</x:f>
      </x:c>
      <x:c r="BB120" s="107" t="n">
        <x:f>SUM(IF($B$8=4,BB28,0),IF($B$36=4,BB56,0),IF($B$64=4,BB84,0))</x:f>
      </x:c>
      <x:c r="BC120" s="107" t="n">
        <x:f>SUM(IF($B$8=4,BC28,0),IF($B$36=4,BC56,0),IF($B$64=4,BC84,0))</x:f>
      </x:c>
      <x:c r="BD120" s="107" t="n">
        <x:f>SUM(IF($B$8=4,BD28,0),IF($B$36=4,BD56,0),IF($B$64=4,BD84,0))</x:f>
      </x:c>
      <x:c r="BE120" s="107" t="n">
        <x:f>SUM(IF($B$8=4,BE28,0),IF($B$36=4,BE56,0),IF($B$64=4,BE84,0))</x:f>
      </x:c>
      <x:c r="BF120" s="107" t="n">
        <x:f>SUM(IF($B$8=4,BF28,0),IF($B$36=4,BF56,0),IF($B$64=4,BF84,0))</x:f>
      </x:c>
      <x:c r="BG120" s="107" t="n">
        <x:f>SUM(IF($B$8=4,BG28,0),IF($B$36=4,BG56,0),IF($B$64=4,BG84,0))</x:f>
      </x:c>
      <x:c r="BH120" s="107" t="n">
        <x:f>SUM(IF($B$8=4,BH28,0),IF($B$36=4,BH56,0),IF($B$64=4,BH84,0))</x:f>
      </x:c>
      <x:c r="BI120" s="107" t="n">
        <x:f>SUM(IF($B$8=4,BI28,0),IF($B$36=4,BI56,0),IF($B$64=4,BI84,0))</x:f>
      </x:c>
      <x:c r="BJ120" s="107" t="n">
        <x:f>SUM(IF($B$8=4,BJ28,0),IF($B$36=4,BJ56,0),IF($B$64=4,BJ84,0))</x:f>
      </x:c>
      <x:c r="BK120" s="107" t="n">
        <x:f>SUM(IF($B$8=4,BK28,0),IF($B$36=4,BK56,0),IF($B$64=4,BK84,0))</x:f>
      </x:c>
      <x:c r="BL120" s="107" t="n">
        <x:f>SUM(IF($B$8=4,BL28,0),IF($B$36=4,BL56,0),IF($B$64=4,BL84,0))</x:f>
      </x:c>
      <x:c r="BM120" s="107" t="n">
        <x:f>SUM(IF($B$8=4,BM28,0),IF($B$36=4,BM56,0),IF($B$64=4,BM84,0))</x:f>
      </x:c>
      <x:c r="BN120" s="107" t="n">
        <x:f>SUM(IF($B$8=4,BN28,0),IF($B$36=4,BN56,0),IF($B$64=4,BN84,0))</x:f>
      </x:c>
      <x:c r="BO120" s="107" t="n">
        <x:f>SUM(IF($B$8=4,BO28,0),IF($B$36=4,BO56,0),IF($B$64=4,BO84,0))</x:f>
      </x:c>
      <x:c r="BP120" s="107" t="n">
        <x:f>SUM(IF($B$8=4,BP28,0),IF($B$36=4,BP56,0),IF($B$64=4,BP84,0))</x:f>
      </x:c>
      <x:c r="BQ120" s="107" t="n">
        <x:f>SUM(IF($B$8=4,BQ28,0),IF($B$36=4,BQ56,0),IF($B$64=4,BQ84,0))</x:f>
      </x:c>
      <x:c r="BR120" s="107" t="n">
        <x:f>SUM(IF($B$8=4,BR28,0),IF($B$36=4,BR56,0),IF($B$64=4,BR84,0))</x:f>
      </x:c>
      <x:c r="BS120" s="107" t="n">
        <x:f>SUM(IF($B$8=4,BS28,0),IF($B$36=4,BS56,0),IF($B$64=4,BS84,0))</x:f>
      </x:c>
      <x:c r="BT120" s="107" t="n">
        <x:f>SUM(IF($B$8=4,BT28,0),IF($B$36=4,BT56,0),IF($B$64=4,BT84,0))</x:f>
      </x:c>
      <x:c r="BU120" s="107" t="n">
        <x:f>SUM(IF($B$8=4,BU28,0),IF($B$36=4,BU56,0),IF($B$64=4,BU84,0))</x:f>
      </x:c>
      <x:c r="BV120" s="107" t="n">
        <x:f>SUM(IF($B$8=4,BV28,0),IF($B$36=4,BV56,0),IF($B$64=4,BV84,0))</x:f>
      </x:c>
      <x:c r="BW120" s="107" t="n">
        <x:f>SUM(IF($B$8=4,BW28,0),IF($B$36=4,BW56,0),IF($B$64=4,BW84,0))</x:f>
      </x:c>
      <x:c r="BX120" s="107" t="n">
        <x:f>SUM(IF($B$8=4,BX28,0),IF($B$36=4,BX56,0),IF($B$64=4,BX84,0))</x:f>
      </x:c>
      <x:c r="BY120" s="107" t="n">
        <x:f>SUM(IF($B$8=4,BY28,0),IF($B$36=4,BY56,0),IF($B$64=4,BY84,0))</x:f>
      </x:c>
      <x:c r="BZ120" s="107" t="n">
        <x:f>SUM(IF($B$8=4,BZ28,0),IF($B$36=4,BZ56,0),IF($B$64=4,BZ84,0))</x:f>
      </x:c>
      <x:c r="CA120" s="107" t="n">
        <x:f>SUM(IF($B$8=4,CA28,0),IF($B$36=4,CA56,0),IF($B$64=4,CA84,0))</x:f>
      </x:c>
      <x:c r="CB120" s="107" t="n">
        <x:f>SUM(IF($B$8=4,CB28,0),IF($B$36=4,CB56,0),IF($B$64=4,CB84,0))</x:f>
      </x:c>
      <x:c r="CC120" s="107" t="n">
        <x:f>SUM(IF($B$8=4,CC28,0),IF($B$36=4,CC56,0),IF($B$64=4,CC84,0))</x:f>
      </x:c>
      <x:c r="CD120" s="107" t="n">
        <x:f>SUM(IF($B$8=4,CD28,0),IF($B$36=4,CD56,0),IF($B$64=4,CD84,0))</x:f>
      </x:c>
      <x:c r="CE120" s="107" t="n">
        <x:f>SUM(IF($B$8=4,CE28,0),IF($B$36=4,CE56,0),IF($B$64=4,CE84,0))</x:f>
      </x:c>
      <x:c r="CF120" s="107" t="n">
        <x:f>SUM(IF($B$8=4,CF28,0),IF($B$36=4,CF56,0),IF($B$64=4,CF84,0))</x:f>
      </x:c>
      <x:c r="CG120" s="107" t="n">
        <x:f>SUM(IF($B$8=4,CG28,0),IF($B$36=4,CG56,0),IF($B$64=4,CG84,0))</x:f>
      </x:c>
      <x:c r="CH120" s="107" t="n">
        <x:f>SUM(IF($B$8=4,CH28,0),IF($B$36=4,CH56,0),IF($B$64=4,CH84,0))</x:f>
      </x:c>
      <x:c r="CI120" s="107" t="n">
        <x:f>SUM(IF($B$8=4,CI28,0),IF($B$36=4,CI56,0),IF($B$64=4,CI84,0))</x:f>
      </x:c>
      <x:c r="CJ120" s="107" t="n">
        <x:f>SUM(IF($B$8=4,CJ28,0),IF($B$36=4,CJ56,0),IF($B$64=4,CJ84,0))</x:f>
      </x:c>
      <x:c r="CK120" s="107" t="n">
        <x:f>SUM(IF($B$8=4,CK28,0),IF($B$36=4,CK56,0),IF($B$64=4,CK84,0))</x:f>
      </x:c>
      <x:c r="CL120" s="107" t="n">
        <x:f>SUM(IF($B$8=4,CL28,0),IF($B$36=4,CL56,0),IF($B$64=4,CL84,0))</x:f>
      </x:c>
      <x:c r="CM120" s="107" t="n">
        <x:f>SUM(IF($B$8=4,CM28,0),IF($B$36=4,CM56,0),IF($B$64=4,CM84,0))</x:f>
      </x:c>
      <x:c r="CN120" s="107" t="n">
        <x:f>SUM(IF($B$8=4,CN28,0),IF($B$36=4,CN56,0),IF($B$64=4,CN84,0))</x:f>
      </x:c>
      <x:c r="CO120" s="107" t="n">
        <x:f>SUM(IF($B$8=4,CO28,0),IF($B$36=4,CO56,0),IF($B$64=4,CO84,0))</x:f>
      </x:c>
      <x:c r="CP120" s="107" t="n">
        <x:f>SUM(IF($B$8=4,CP28,0),IF($B$36=4,CP56,0),IF($B$64=4,CP84,0))</x:f>
      </x:c>
      <x:c r="CQ120" s="107" t="n">
        <x:f>SUM(IF($B$8=4,CQ28,0),IF($B$36=4,CQ56,0),IF($B$64=4,CQ84,0))</x:f>
      </x:c>
      <x:c r="CR120" s="107" t="n">
        <x:f>SUM(IF($B$8=4,CR28,0),IF($B$36=4,CR56,0),IF($B$64=4,CR84,0))</x:f>
      </x:c>
      <x:c r="CS120" s="107" t="n">
        <x:f>SUM(IF($B$8=4,CS28,0),IF($B$36=4,CS56,0),IF($B$64=4,CS84,0))</x:f>
      </x:c>
      <x:c r="CT120" s="107" t="n">
        <x:f>SUM(IF($B$8=4,CT28,0),IF($B$36=4,CT56,0),IF($B$64=4,CT84,0))</x:f>
      </x:c>
      <x:c r="CU120" s="107" t="n">
        <x:f>SUM(IF($B$8=4,CU28,0),IF($B$36=4,CU56,0),IF($B$64=4,CU84,0))</x:f>
      </x:c>
      <x:c r="CV120" s="107" t="n">
        <x:f>SUM(IF($B$8=4,CV28,0),IF($B$36=4,CV56,0),IF($B$64=4,CV84,0))</x:f>
      </x:c>
      <x:c r="CW120" s="107" t="n">
        <x:f>SUM(IF($B$8=4,CW28,0),IF($B$36=4,CW56,0),IF($B$64=4,CW84,0))</x:f>
      </x:c>
      <x:c r="CX120" s="107" t="n">
        <x:f>SUM(IF($B$8=4,CX28,0),IF($B$36=4,CX56,0),IF($B$64=4,CX84,0))</x:f>
      </x:c>
      <x:c r="CY120" s="107" t="n">
        <x:f>SUM(IF($B$8=4,CY28,0),IF($B$36=4,CY56,0),IF($B$64=4,CY84,0))</x:f>
      </x:c>
      <x:c r="CZ120" s="107" t="n">
        <x:f>SUM(IF($B$8=4,CZ28,0),IF($B$36=4,CZ56,0),IF($B$64=4,CZ84,0))</x:f>
      </x:c>
      <x:c r="DA120" s="107" t="n">
        <x:f>SUM(IF($B$8=4,DA28,0),IF($B$36=4,DA56,0),IF($B$64=4,DA84,0))</x:f>
      </x:c>
      <x:c r="DB120" s="107" t="n">
        <x:f>SUM(IF($B$8=4,DB28,0),IF($B$36=4,DB56,0),IF($B$64=4,DB84,0))</x:f>
      </x:c>
      <x:c r="DC120" s="107" t="n">
        <x:f>SUM(IF($B$8=4,DC28,0),IF($B$36=4,DC56,0),IF($B$64=4,DC84,0))</x:f>
      </x:c>
      <x:c r="DD120" s="107" t="n">
        <x:f>SUM(IF($B$8=4,DD28,0),IF($B$36=4,DD56,0),IF($B$64=4,DD84,0))</x:f>
      </x:c>
      <x:c r="DE120" s="107" t="n">
        <x:f>SUM(IF($B$8=4,DE28,0),IF($B$36=4,DE56,0),IF($B$64=4,DE84,0))</x:f>
      </x:c>
      <x:c r="DF120" s="107" t="n">
        <x:f>SUM(IF($B$8=4,DF28,0),IF($B$36=4,DF56,0),IF($B$64=4,DF84,0))</x:f>
      </x:c>
      <x:c r="DG120" s="107" t="n">
        <x:f>SUM(IF($B$8=4,DG28,0),IF($B$36=4,DG56,0),IF($B$64=4,DG84,0))</x:f>
      </x:c>
      <x:c r="DH120" s="107" t="n">
        <x:f>SUM(IF($B$8=4,DH28,0),IF($B$36=4,DH56,0),IF($B$64=4,DH84,0))</x:f>
      </x:c>
      <x:c r="DI120" s="107" t="n">
        <x:f>SUM(IF($B$8=4,DI28,0),IF($B$36=4,DI56,0),IF($B$64=4,DI84,0))</x:f>
      </x:c>
      <x:c r="DJ120" s="107" t="n">
        <x:f>SUM(IF($B$8=4,DJ28,0),IF($B$36=4,DJ56,0),IF($B$64=4,DJ84,0))</x:f>
      </x:c>
      <x:c r="DK120" s="107" t="n">
        <x:f>SUM(IF($B$8=4,DK28,0),IF($B$36=4,DK56,0),IF($B$64=4,DK84,0))</x:f>
      </x:c>
      <x:c r="DL120" s="107" t="n">
        <x:f>SUM(IF($B$8=4,DL28,0),IF($B$36=4,DL56,0),IF($B$64=4,DL84,0))</x:f>
      </x:c>
      <x:c r="DM120" s="107" t="n">
        <x:f>SUM(IF($B$8=4,DM28,0),IF($B$36=4,DM56,0),IF($B$64=4,DM84,0))</x:f>
      </x:c>
      <x:c r="DN120" s="107" t="n">
        <x:f>SUM(IF($B$8=4,DN28,0),IF($B$36=4,DN56,0),IF($B$64=4,DN84,0))</x:f>
      </x:c>
      <x:c r="DO120" s="107" t="n">
        <x:f>SUM(IF($B$8=4,DO28,0),IF($B$36=4,DO56,0),IF($B$64=4,DO84,0))</x:f>
      </x:c>
      <x:c r="DP120" s="107" t="n">
        <x:f>SUM(IF($B$8=4,DP28,0),IF($B$36=4,DP56,0),IF($B$64=4,DP84,0))</x:f>
      </x:c>
      <x:c r="DQ120" s="107" t="n">
        <x:f>SUM(IF($B$8=4,DQ28,0),IF($B$36=4,DQ56,0),IF($B$64=4,DQ84,0))</x:f>
      </x:c>
      <x:c r="DR120" s="107" t="n">
        <x:f>SUM(IF($B$8=4,DR28,0),IF($B$36=4,DR56,0),IF($B$64=4,DR84,0))</x:f>
      </x:c>
      <x:c r="DS120" s="107" t="n">
        <x:f>SUM(IF($B$8=4,DS28,0),IF($B$36=4,DS56,0),IF($B$64=4,DS84,0))</x:f>
      </x:c>
    </x:row>
    <x:row r="121">
      <x:c r="A121" t="str">
        <x:v>Очередь 4 — Маркетинг объектов</x:v>
      </x:c>
      <x:c r="B121" s="107" t="n">
        <x:f>SUM(D121:DS121)</x:f>
      </x:c>
      <x:c r="C121" t="str">
        <x:v>млн ₽</x:v>
      </x:c>
      <x:c r="D121" s="107" t="n">
        <x:f>SUM(IF($B$8=4,D29,0),IF($B$36=4,D57,0),IF($B$64=4,D85,0))</x:f>
      </x:c>
      <x:c r="E121" s="107" t="n">
        <x:f>SUM(IF($B$8=4,E29,0),IF($B$36=4,E57,0),IF($B$64=4,E85,0))</x:f>
      </x:c>
      <x:c r="F121" s="107" t="n">
        <x:f>SUM(IF($B$8=4,F29,0),IF($B$36=4,F57,0),IF($B$64=4,F85,0))</x:f>
      </x:c>
      <x:c r="G121" s="107" t="n">
        <x:f>SUM(IF($B$8=4,G29,0),IF($B$36=4,G57,0),IF($B$64=4,G85,0))</x:f>
      </x:c>
      <x:c r="H121" s="107" t="n">
        <x:f>SUM(IF($B$8=4,H29,0),IF($B$36=4,H57,0),IF($B$64=4,H85,0))</x:f>
      </x:c>
      <x:c r="I121" s="107" t="n">
        <x:f>SUM(IF($B$8=4,I29,0),IF($B$36=4,I57,0),IF($B$64=4,I85,0))</x:f>
      </x:c>
      <x:c r="J121" s="107" t="n">
        <x:f>SUM(IF($B$8=4,J29,0),IF($B$36=4,J57,0),IF($B$64=4,J85,0))</x:f>
      </x:c>
      <x:c r="K121" s="107" t="n">
        <x:f>SUM(IF($B$8=4,K29,0),IF($B$36=4,K57,0),IF($B$64=4,K85,0))</x:f>
      </x:c>
      <x:c r="L121" s="107" t="n">
        <x:f>SUM(IF($B$8=4,L29,0),IF($B$36=4,L57,0),IF($B$64=4,L85,0))</x:f>
      </x:c>
      <x:c r="M121" s="107" t="n">
        <x:f>SUM(IF($B$8=4,M29,0),IF($B$36=4,M57,0),IF($B$64=4,M85,0))</x:f>
      </x:c>
      <x:c r="N121" s="107" t="n">
        <x:f>SUM(IF($B$8=4,N29,0),IF($B$36=4,N57,0),IF($B$64=4,N85,0))</x:f>
      </x:c>
      <x:c r="O121" s="107" t="n">
        <x:f>SUM(IF($B$8=4,O29,0),IF($B$36=4,O57,0),IF($B$64=4,O85,0))</x:f>
      </x:c>
      <x:c r="P121" s="107" t="n">
        <x:f>SUM(IF($B$8=4,P29,0),IF($B$36=4,P57,0),IF($B$64=4,P85,0))</x:f>
      </x:c>
      <x:c r="Q121" s="107" t="n">
        <x:f>SUM(IF($B$8=4,Q29,0),IF($B$36=4,Q57,0),IF($B$64=4,Q85,0))</x:f>
      </x:c>
      <x:c r="R121" s="107" t="n">
        <x:f>SUM(IF($B$8=4,R29,0),IF($B$36=4,R57,0),IF($B$64=4,R85,0))</x:f>
      </x:c>
      <x:c r="S121" s="107" t="n">
        <x:f>SUM(IF($B$8=4,S29,0),IF($B$36=4,S57,0),IF($B$64=4,S85,0))</x:f>
      </x:c>
      <x:c r="T121" s="107" t="n">
        <x:f>SUM(IF($B$8=4,T29,0),IF($B$36=4,T57,0),IF($B$64=4,T85,0))</x:f>
      </x:c>
      <x:c r="U121" s="107" t="n">
        <x:f>SUM(IF($B$8=4,U29,0),IF($B$36=4,U57,0),IF($B$64=4,U85,0))</x:f>
      </x:c>
      <x:c r="V121" s="107" t="n">
        <x:f>SUM(IF($B$8=4,V29,0),IF($B$36=4,V57,0),IF($B$64=4,V85,0))</x:f>
      </x:c>
      <x:c r="W121" s="107" t="n">
        <x:f>SUM(IF($B$8=4,W29,0),IF($B$36=4,W57,0),IF($B$64=4,W85,0))</x:f>
      </x:c>
      <x:c r="X121" s="107" t="n">
        <x:f>SUM(IF($B$8=4,X29,0),IF($B$36=4,X57,0),IF($B$64=4,X85,0))</x:f>
      </x:c>
      <x:c r="Y121" s="107" t="n">
        <x:f>SUM(IF($B$8=4,Y29,0),IF($B$36=4,Y57,0),IF($B$64=4,Y85,0))</x:f>
      </x:c>
      <x:c r="Z121" s="107" t="n">
        <x:f>SUM(IF($B$8=4,Z29,0),IF($B$36=4,Z57,0),IF($B$64=4,Z85,0))</x:f>
      </x:c>
      <x:c r="AA121" s="107" t="n">
        <x:f>SUM(IF($B$8=4,AA29,0),IF($B$36=4,AA57,0),IF($B$64=4,AA85,0))</x:f>
      </x:c>
      <x:c r="AB121" s="107" t="n">
        <x:f>SUM(IF($B$8=4,AB29,0),IF($B$36=4,AB57,0),IF($B$64=4,AB85,0))</x:f>
      </x:c>
      <x:c r="AC121" s="107" t="n">
        <x:f>SUM(IF($B$8=4,AC29,0),IF($B$36=4,AC57,0),IF($B$64=4,AC85,0))</x:f>
      </x:c>
      <x:c r="AD121" s="107" t="n">
        <x:f>SUM(IF($B$8=4,AD29,0),IF($B$36=4,AD57,0),IF($B$64=4,AD85,0))</x:f>
      </x:c>
      <x:c r="AE121" s="107" t="n">
        <x:f>SUM(IF($B$8=4,AE29,0),IF($B$36=4,AE57,0),IF($B$64=4,AE85,0))</x:f>
      </x:c>
      <x:c r="AF121" s="107" t="n">
        <x:f>SUM(IF($B$8=4,AF29,0),IF($B$36=4,AF57,0),IF($B$64=4,AF85,0))</x:f>
      </x:c>
      <x:c r="AG121" s="107" t="n">
        <x:f>SUM(IF($B$8=4,AG29,0),IF($B$36=4,AG57,0),IF($B$64=4,AG85,0))</x:f>
      </x:c>
      <x:c r="AH121" s="107" t="n">
        <x:f>SUM(IF($B$8=4,AH29,0),IF($B$36=4,AH57,0),IF($B$64=4,AH85,0))</x:f>
      </x:c>
      <x:c r="AI121" s="107" t="n">
        <x:f>SUM(IF($B$8=4,AI29,0),IF($B$36=4,AI57,0),IF($B$64=4,AI85,0))</x:f>
      </x:c>
      <x:c r="AJ121" s="107" t="n">
        <x:f>SUM(IF($B$8=4,AJ29,0),IF($B$36=4,AJ57,0),IF($B$64=4,AJ85,0))</x:f>
      </x:c>
      <x:c r="AK121" s="107" t="n">
        <x:f>SUM(IF($B$8=4,AK29,0),IF($B$36=4,AK57,0),IF($B$64=4,AK85,0))</x:f>
      </x:c>
      <x:c r="AL121" s="107" t="n">
        <x:f>SUM(IF($B$8=4,AL29,0),IF($B$36=4,AL57,0),IF($B$64=4,AL85,0))</x:f>
      </x:c>
      <x:c r="AM121" s="107" t="n">
        <x:f>SUM(IF($B$8=4,AM29,0),IF($B$36=4,AM57,0),IF($B$64=4,AM85,0))</x:f>
      </x:c>
      <x:c r="AN121" s="107" t="n">
        <x:f>SUM(IF($B$8=4,AN29,0),IF($B$36=4,AN57,0),IF($B$64=4,AN85,0))</x:f>
      </x:c>
      <x:c r="AO121" s="107" t="n">
        <x:f>SUM(IF($B$8=4,AO29,0),IF($B$36=4,AO57,0),IF($B$64=4,AO85,0))</x:f>
      </x:c>
      <x:c r="AP121" s="107" t="n">
        <x:f>SUM(IF($B$8=4,AP29,0),IF($B$36=4,AP57,0),IF($B$64=4,AP85,0))</x:f>
      </x:c>
      <x:c r="AQ121" s="107" t="n">
        <x:f>SUM(IF($B$8=4,AQ29,0),IF($B$36=4,AQ57,0),IF($B$64=4,AQ85,0))</x:f>
      </x:c>
      <x:c r="AR121" s="107" t="n">
        <x:f>SUM(IF($B$8=4,AR29,0),IF($B$36=4,AR57,0),IF($B$64=4,AR85,0))</x:f>
      </x:c>
      <x:c r="AS121" s="107" t="n">
        <x:f>SUM(IF($B$8=4,AS29,0),IF($B$36=4,AS57,0),IF($B$64=4,AS85,0))</x:f>
      </x:c>
      <x:c r="AT121" s="107" t="n">
        <x:f>SUM(IF($B$8=4,AT29,0),IF($B$36=4,AT57,0),IF($B$64=4,AT85,0))</x:f>
      </x:c>
      <x:c r="AU121" s="107" t="n">
        <x:f>SUM(IF($B$8=4,AU29,0),IF($B$36=4,AU57,0),IF($B$64=4,AU85,0))</x:f>
      </x:c>
      <x:c r="AV121" s="107" t="n">
        <x:f>SUM(IF($B$8=4,AV29,0),IF($B$36=4,AV57,0),IF($B$64=4,AV85,0))</x:f>
      </x:c>
      <x:c r="AW121" s="107" t="n">
        <x:f>SUM(IF($B$8=4,AW29,0),IF($B$36=4,AW57,0),IF($B$64=4,AW85,0))</x:f>
      </x:c>
      <x:c r="AX121" s="107" t="n">
        <x:f>SUM(IF($B$8=4,AX29,0),IF($B$36=4,AX57,0),IF($B$64=4,AX85,0))</x:f>
      </x:c>
      <x:c r="AY121" s="107" t="n">
        <x:f>SUM(IF($B$8=4,AY29,0),IF($B$36=4,AY57,0),IF($B$64=4,AY85,0))</x:f>
      </x:c>
      <x:c r="AZ121" s="107" t="n">
        <x:f>SUM(IF($B$8=4,AZ29,0),IF($B$36=4,AZ57,0),IF($B$64=4,AZ85,0))</x:f>
      </x:c>
      <x:c r="BA121" s="107" t="n">
        <x:f>SUM(IF($B$8=4,BA29,0),IF($B$36=4,BA57,0),IF($B$64=4,BA85,0))</x:f>
      </x:c>
      <x:c r="BB121" s="107" t="n">
        <x:f>SUM(IF($B$8=4,BB29,0),IF($B$36=4,BB57,0),IF($B$64=4,BB85,0))</x:f>
      </x:c>
      <x:c r="BC121" s="107" t="n">
        <x:f>SUM(IF($B$8=4,BC29,0),IF($B$36=4,BC57,0),IF($B$64=4,BC85,0))</x:f>
      </x:c>
      <x:c r="BD121" s="107" t="n">
        <x:f>SUM(IF($B$8=4,BD29,0),IF($B$36=4,BD57,0),IF($B$64=4,BD85,0))</x:f>
      </x:c>
      <x:c r="BE121" s="107" t="n">
        <x:f>SUM(IF($B$8=4,BE29,0),IF($B$36=4,BE57,0),IF($B$64=4,BE85,0))</x:f>
      </x:c>
      <x:c r="BF121" s="107" t="n">
        <x:f>SUM(IF($B$8=4,BF29,0),IF($B$36=4,BF57,0),IF($B$64=4,BF85,0))</x:f>
      </x:c>
      <x:c r="BG121" s="107" t="n">
        <x:f>SUM(IF($B$8=4,BG29,0),IF($B$36=4,BG57,0),IF($B$64=4,BG85,0))</x:f>
      </x:c>
      <x:c r="BH121" s="107" t="n">
        <x:f>SUM(IF($B$8=4,BH29,0),IF($B$36=4,BH57,0),IF($B$64=4,BH85,0))</x:f>
      </x:c>
      <x:c r="BI121" s="107" t="n">
        <x:f>SUM(IF($B$8=4,BI29,0),IF($B$36=4,BI57,0),IF($B$64=4,BI85,0))</x:f>
      </x:c>
      <x:c r="BJ121" s="107" t="n">
        <x:f>SUM(IF($B$8=4,BJ29,0),IF($B$36=4,BJ57,0),IF($B$64=4,BJ85,0))</x:f>
      </x:c>
      <x:c r="BK121" s="107" t="n">
        <x:f>SUM(IF($B$8=4,BK29,0),IF($B$36=4,BK57,0),IF($B$64=4,BK85,0))</x:f>
      </x:c>
      <x:c r="BL121" s="107" t="n">
        <x:f>SUM(IF($B$8=4,BL29,0),IF($B$36=4,BL57,0),IF($B$64=4,BL85,0))</x:f>
      </x:c>
      <x:c r="BM121" s="107" t="n">
        <x:f>SUM(IF($B$8=4,BM29,0),IF($B$36=4,BM57,0),IF($B$64=4,BM85,0))</x:f>
      </x:c>
      <x:c r="BN121" s="107" t="n">
        <x:f>SUM(IF($B$8=4,BN29,0),IF($B$36=4,BN57,0),IF($B$64=4,BN85,0))</x:f>
      </x:c>
      <x:c r="BO121" s="107" t="n">
        <x:f>SUM(IF($B$8=4,BO29,0),IF($B$36=4,BO57,0),IF($B$64=4,BO85,0))</x:f>
      </x:c>
      <x:c r="BP121" s="107" t="n">
        <x:f>SUM(IF($B$8=4,BP29,0),IF($B$36=4,BP57,0),IF($B$64=4,BP85,0))</x:f>
      </x:c>
      <x:c r="BQ121" s="107" t="n">
        <x:f>SUM(IF($B$8=4,BQ29,0),IF($B$36=4,BQ57,0),IF($B$64=4,BQ85,0))</x:f>
      </x:c>
      <x:c r="BR121" s="107" t="n">
        <x:f>SUM(IF($B$8=4,BR29,0),IF($B$36=4,BR57,0),IF($B$64=4,BR85,0))</x:f>
      </x:c>
      <x:c r="BS121" s="107" t="n">
        <x:f>SUM(IF($B$8=4,BS29,0),IF($B$36=4,BS57,0),IF($B$64=4,BS85,0))</x:f>
      </x:c>
      <x:c r="BT121" s="107" t="n">
        <x:f>SUM(IF($B$8=4,BT29,0),IF($B$36=4,BT57,0),IF($B$64=4,BT85,0))</x:f>
      </x:c>
      <x:c r="BU121" s="107" t="n">
        <x:f>SUM(IF($B$8=4,BU29,0),IF($B$36=4,BU57,0),IF($B$64=4,BU85,0))</x:f>
      </x:c>
      <x:c r="BV121" s="107" t="n">
        <x:f>SUM(IF($B$8=4,BV29,0),IF($B$36=4,BV57,0),IF($B$64=4,BV85,0))</x:f>
      </x:c>
      <x:c r="BW121" s="107" t="n">
        <x:f>SUM(IF($B$8=4,BW29,0),IF($B$36=4,BW57,0),IF($B$64=4,BW85,0))</x:f>
      </x:c>
      <x:c r="BX121" s="107" t="n">
        <x:f>SUM(IF($B$8=4,BX29,0),IF($B$36=4,BX57,0),IF($B$64=4,BX85,0))</x:f>
      </x:c>
      <x:c r="BY121" s="107" t="n">
        <x:f>SUM(IF($B$8=4,BY29,0),IF($B$36=4,BY57,0),IF($B$64=4,BY85,0))</x:f>
      </x:c>
      <x:c r="BZ121" s="107" t="n">
        <x:f>SUM(IF($B$8=4,BZ29,0),IF($B$36=4,BZ57,0),IF($B$64=4,BZ85,0))</x:f>
      </x:c>
      <x:c r="CA121" s="107" t="n">
        <x:f>SUM(IF($B$8=4,CA29,0),IF($B$36=4,CA57,0),IF($B$64=4,CA85,0))</x:f>
      </x:c>
      <x:c r="CB121" s="107" t="n">
        <x:f>SUM(IF($B$8=4,CB29,0),IF($B$36=4,CB57,0),IF($B$64=4,CB85,0))</x:f>
      </x:c>
      <x:c r="CC121" s="107" t="n">
        <x:f>SUM(IF($B$8=4,CC29,0),IF($B$36=4,CC57,0),IF($B$64=4,CC85,0))</x:f>
      </x:c>
      <x:c r="CD121" s="107" t="n">
        <x:f>SUM(IF($B$8=4,CD29,0),IF($B$36=4,CD57,0),IF($B$64=4,CD85,0))</x:f>
      </x:c>
      <x:c r="CE121" s="107" t="n">
        <x:f>SUM(IF($B$8=4,CE29,0),IF($B$36=4,CE57,0),IF($B$64=4,CE85,0))</x:f>
      </x:c>
      <x:c r="CF121" s="107" t="n">
        <x:f>SUM(IF($B$8=4,CF29,0),IF($B$36=4,CF57,0),IF($B$64=4,CF85,0))</x:f>
      </x:c>
      <x:c r="CG121" s="107" t="n">
        <x:f>SUM(IF($B$8=4,CG29,0),IF($B$36=4,CG57,0),IF($B$64=4,CG85,0))</x:f>
      </x:c>
      <x:c r="CH121" s="107" t="n">
        <x:f>SUM(IF($B$8=4,CH29,0),IF($B$36=4,CH57,0),IF($B$64=4,CH85,0))</x:f>
      </x:c>
      <x:c r="CI121" s="107" t="n">
        <x:f>SUM(IF($B$8=4,CI29,0),IF($B$36=4,CI57,0),IF($B$64=4,CI85,0))</x:f>
      </x:c>
      <x:c r="CJ121" s="107" t="n">
        <x:f>SUM(IF($B$8=4,CJ29,0),IF($B$36=4,CJ57,0),IF($B$64=4,CJ85,0))</x:f>
      </x:c>
      <x:c r="CK121" s="107" t="n">
        <x:f>SUM(IF($B$8=4,CK29,0),IF($B$36=4,CK57,0),IF($B$64=4,CK85,0))</x:f>
      </x:c>
      <x:c r="CL121" s="107" t="n">
        <x:f>SUM(IF($B$8=4,CL29,0),IF($B$36=4,CL57,0),IF($B$64=4,CL85,0))</x:f>
      </x:c>
      <x:c r="CM121" s="107" t="n">
        <x:f>SUM(IF($B$8=4,CM29,0),IF($B$36=4,CM57,0),IF($B$64=4,CM85,0))</x:f>
      </x:c>
      <x:c r="CN121" s="107" t="n">
        <x:f>SUM(IF($B$8=4,CN29,0),IF($B$36=4,CN57,0),IF($B$64=4,CN85,0))</x:f>
      </x:c>
      <x:c r="CO121" s="107" t="n">
        <x:f>SUM(IF($B$8=4,CO29,0),IF($B$36=4,CO57,0),IF($B$64=4,CO85,0))</x:f>
      </x:c>
      <x:c r="CP121" s="107" t="n">
        <x:f>SUM(IF($B$8=4,CP29,0),IF($B$36=4,CP57,0),IF($B$64=4,CP85,0))</x:f>
      </x:c>
      <x:c r="CQ121" s="107" t="n">
        <x:f>SUM(IF($B$8=4,CQ29,0),IF($B$36=4,CQ57,0),IF($B$64=4,CQ85,0))</x:f>
      </x:c>
      <x:c r="CR121" s="107" t="n">
        <x:f>SUM(IF($B$8=4,CR29,0),IF($B$36=4,CR57,0),IF($B$64=4,CR85,0))</x:f>
      </x:c>
      <x:c r="CS121" s="107" t="n">
        <x:f>SUM(IF($B$8=4,CS29,0),IF($B$36=4,CS57,0),IF($B$64=4,CS85,0))</x:f>
      </x:c>
      <x:c r="CT121" s="107" t="n">
        <x:f>SUM(IF($B$8=4,CT29,0),IF($B$36=4,CT57,0),IF($B$64=4,CT85,0))</x:f>
      </x:c>
      <x:c r="CU121" s="107" t="n">
        <x:f>SUM(IF($B$8=4,CU29,0),IF($B$36=4,CU57,0),IF($B$64=4,CU85,0))</x:f>
      </x:c>
      <x:c r="CV121" s="107" t="n">
        <x:f>SUM(IF($B$8=4,CV29,0),IF($B$36=4,CV57,0),IF($B$64=4,CV85,0))</x:f>
      </x:c>
      <x:c r="CW121" s="107" t="n">
        <x:f>SUM(IF($B$8=4,CW29,0),IF($B$36=4,CW57,0),IF($B$64=4,CW85,0))</x:f>
      </x:c>
      <x:c r="CX121" s="107" t="n">
        <x:f>SUM(IF($B$8=4,CX29,0),IF($B$36=4,CX57,0),IF($B$64=4,CX85,0))</x:f>
      </x:c>
      <x:c r="CY121" s="107" t="n">
        <x:f>SUM(IF($B$8=4,CY29,0),IF($B$36=4,CY57,0),IF($B$64=4,CY85,0))</x:f>
      </x:c>
      <x:c r="CZ121" s="107" t="n">
        <x:f>SUM(IF($B$8=4,CZ29,0),IF($B$36=4,CZ57,0),IF($B$64=4,CZ85,0))</x:f>
      </x:c>
      <x:c r="DA121" s="107" t="n">
        <x:f>SUM(IF($B$8=4,DA29,0),IF($B$36=4,DA57,0),IF($B$64=4,DA85,0))</x:f>
      </x:c>
      <x:c r="DB121" s="107" t="n">
        <x:f>SUM(IF($B$8=4,DB29,0),IF($B$36=4,DB57,0),IF($B$64=4,DB85,0))</x:f>
      </x:c>
      <x:c r="DC121" s="107" t="n">
        <x:f>SUM(IF($B$8=4,DC29,0),IF($B$36=4,DC57,0),IF($B$64=4,DC85,0))</x:f>
      </x:c>
      <x:c r="DD121" s="107" t="n">
        <x:f>SUM(IF($B$8=4,DD29,0),IF($B$36=4,DD57,0),IF($B$64=4,DD85,0))</x:f>
      </x:c>
      <x:c r="DE121" s="107" t="n">
        <x:f>SUM(IF($B$8=4,DE29,0),IF($B$36=4,DE57,0),IF($B$64=4,DE85,0))</x:f>
      </x:c>
      <x:c r="DF121" s="107" t="n">
        <x:f>SUM(IF($B$8=4,DF29,0),IF($B$36=4,DF57,0),IF($B$64=4,DF85,0))</x:f>
      </x:c>
      <x:c r="DG121" s="107" t="n">
        <x:f>SUM(IF($B$8=4,DG29,0),IF($B$36=4,DG57,0),IF($B$64=4,DG85,0))</x:f>
      </x:c>
      <x:c r="DH121" s="107" t="n">
        <x:f>SUM(IF($B$8=4,DH29,0),IF($B$36=4,DH57,0),IF($B$64=4,DH85,0))</x:f>
      </x:c>
      <x:c r="DI121" s="107" t="n">
        <x:f>SUM(IF($B$8=4,DI29,0),IF($B$36=4,DI57,0),IF($B$64=4,DI85,0))</x:f>
      </x:c>
      <x:c r="DJ121" s="107" t="n">
        <x:f>SUM(IF($B$8=4,DJ29,0),IF($B$36=4,DJ57,0),IF($B$64=4,DJ85,0))</x:f>
      </x:c>
      <x:c r="DK121" s="107" t="n">
        <x:f>SUM(IF($B$8=4,DK29,0),IF($B$36=4,DK57,0),IF($B$64=4,DK85,0))</x:f>
      </x:c>
      <x:c r="DL121" s="107" t="n">
        <x:f>SUM(IF($B$8=4,DL29,0),IF($B$36=4,DL57,0),IF($B$64=4,DL85,0))</x:f>
      </x:c>
      <x:c r="DM121" s="107" t="n">
        <x:f>SUM(IF($B$8=4,DM29,0),IF($B$36=4,DM57,0),IF($B$64=4,DM85,0))</x:f>
      </x:c>
      <x:c r="DN121" s="107" t="n">
        <x:f>SUM(IF($B$8=4,DN29,0),IF($B$36=4,DN57,0),IF($B$64=4,DN85,0))</x:f>
      </x:c>
      <x:c r="DO121" s="107" t="n">
        <x:f>SUM(IF($B$8=4,DO29,0),IF($B$36=4,DO57,0),IF($B$64=4,DO85,0))</x:f>
      </x:c>
      <x:c r="DP121" s="107" t="n">
        <x:f>SUM(IF($B$8=4,DP29,0),IF($B$36=4,DP57,0),IF($B$64=4,DP85,0))</x:f>
      </x:c>
      <x:c r="DQ121" s="107" t="n">
        <x:f>SUM(IF($B$8=4,DQ29,0),IF($B$36=4,DQ57,0),IF($B$64=4,DQ85,0))</x:f>
      </x:c>
      <x:c r="DR121" s="107" t="n">
        <x:f>SUM(IF($B$8=4,DR29,0),IF($B$36=4,DR57,0),IF($B$64=4,DR85,0))</x:f>
      </x:c>
      <x:c r="DS121" s="107" t="n">
        <x:f>SUM(IF($B$8=4,DS29,0),IF($B$36=4,DS57,0),IF($B$64=4,DS85,0))</x:f>
      </x:c>
    </x:row>
    <x:row r="122">
      <x:c r="A122" s="348" t="str">
        <x:v>Очередь 4 — Расходы на продажи объектов</x:v>
      </x:c>
      <x:c r="B122" s="348" t="n">
        <x:f>SUM(D122:DS122)</x:f>
      </x:c>
      <x:c r="C122" s="348" t="str">
        <x:v>млн ₽</x:v>
      </x:c>
      <x:c r="D122" s="348" t="n">
        <x:f>SUM(IF($B$8=4,D30,0),IF($B$36=4,D58,0),IF($B$64=4,D86,0))</x:f>
      </x:c>
      <x:c r="E122" s="348" t="n">
        <x:f>SUM(IF($B$8=4,E30,0),IF($B$36=4,E58,0),IF($B$64=4,E86,0))</x:f>
      </x:c>
      <x:c r="F122" s="348" t="n">
        <x:f>SUM(IF($B$8=4,F30,0),IF($B$36=4,F58,0),IF($B$64=4,F86,0))</x:f>
      </x:c>
      <x:c r="G122" s="348" t="n">
        <x:f>SUM(IF($B$8=4,G30,0),IF($B$36=4,G58,0),IF($B$64=4,G86,0))</x:f>
      </x:c>
      <x:c r="H122" s="348" t="n">
        <x:f>SUM(IF($B$8=4,H30,0),IF($B$36=4,H58,0),IF($B$64=4,H86,0))</x:f>
      </x:c>
      <x:c r="I122" s="348" t="n">
        <x:f>SUM(IF($B$8=4,I30,0),IF($B$36=4,I58,0),IF($B$64=4,I86,0))</x:f>
      </x:c>
      <x:c r="J122" s="348" t="n">
        <x:f>SUM(IF($B$8=4,J30,0),IF($B$36=4,J58,0),IF($B$64=4,J86,0))</x:f>
      </x:c>
      <x:c r="K122" s="348" t="n">
        <x:f>SUM(IF($B$8=4,K30,0),IF($B$36=4,K58,0),IF($B$64=4,K86,0))</x:f>
      </x:c>
      <x:c r="L122" s="348" t="n">
        <x:f>SUM(IF($B$8=4,L30,0),IF($B$36=4,L58,0),IF($B$64=4,L86,0))</x:f>
      </x:c>
      <x:c r="M122" s="348" t="n">
        <x:f>SUM(IF($B$8=4,M30,0),IF($B$36=4,M58,0),IF($B$64=4,M86,0))</x:f>
      </x:c>
      <x:c r="N122" s="348" t="n">
        <x:f>SUM(IF($B$8=4,N30,0),IF($B$36=4,N58,0),IF($B$64=4,N86,0))</x:f>
      </x:c>
      <x:c r="O122" s="348" t="n">
        <x:f>SUM(IF($B$8=4,O30,0),IF($B$36=4,O58,0),IF($B$64=4,O86,0))</x:f>
      </x:c>
      <x:c r="P122" s="348" t="n">
        <x:f>SUM(IF($B$8=4,P30,0),IF($B$36=4,P58,0),IF($B$64=4,P86,0))</x:f>
      </x:c>
      <x:c r="Q122" s="348" t="n">
        <x:f>SUM(IF($B$8=4,Q30,0),IF($B$36=4,Q58,0),IF($B$64=4,Q86,0))</x:f>
      </x:c>
      <x:c r="R122" s="348" t="n">
        <x:f>SUM(IF($B$8=4,R30,0),IF($B$36=4,R58,0),IF($B$64=4,R86,0))</x:f>
      </x:c>
      <x:c r="S122" s="348" t="n">
        <x:f>SUM(IF($B$8=4,S30,0),IF($B$36=4,S58,0),IF($B$64=4,S86,0))</x:f>
      </x:c>
      <x:c r="T122" s="348" t="n">
        <x:f>SUM(IF($B$8=4,T30,0),IF($B$36=4,T58,0),IF($B$64=4,T86,0))</x:f>
      </x:c>
      <x:c r="U122" s="348" t="n">
        <x:f>SUM(IF($B$8=4,U30,0),IF($B$36=4,U58,0),IF($B$64=4,U86,0))</x:f>
      </x:c>
      <x:c r="V122" s="348" t="n">
        <x:f>SUM(IF($B$8=4,V30,0),IF($B$36=4,V58,0),IF($B$64=4,V86,0))</x:f>
      </x:c>
      <x:c r="W122" s="348" t="n">
        <x:f>SUM(IF($B$8=4,W30,0),IF($B$36=4,W58,0),IF($B$64=4,W86,0))</x:f>
      </x:c>
      <x:c r="X122" s="348" t="n">
        <x:f>SUM(IF($B$8=4,X30,0),IF($B$36=4,X58,0),IF($B$64=4,X86,0))</x:f>
      </x:c>
      <x:c r="Y122" s="348" t="n">
        <x:f>SUM(IF($B$8=4,Y30,0),IF($B$36=4,Y58,0),IF($B$64=4,Y86,0))</x:f>
      </x:c>
      <x:c r="Z122" s="348" t="n">
        <x:f>SUM(IF($B$8=4,Z30,0),IF($B$36=4,Z58,0),IF($B$64=4,Z86,0))</x:f>
      </x:c>
      <x:c r="AA122" s="348" t="n">
        <x:f>SUM(IF($B$8=4,AA30,0),IF($B$36=4,AA58,0),IF($B$64=4,AA86,0))</x:f>
      </x:c>
      <x:c r="AB122" s="348" t="n">
        <x:f>SUM(IF($B$8=4,AB30,0),IF($B$36=4,AB58,0),IF($B$64=4,AB86,0))</x:f>
      </x:c>
      <x:c r="AC122" s="348" t="n">
        <x:f>SUM(IF($B$8=4,AC30,0),IF($B$36=4,AC58,0),IF($B$64=4,AC86,0))</x:f>
      </x:c>
      <x:c r="AD122" s="348" t="n">
        <x:f>SUM(IF($B$8=4,AD30,0),IF($B$36=4,AD58,0),IF($B$64=4,AD86,0))</x:f>
      </x:c>
      <x:c r="AE122" s="348" t="n">
        <x:f>SUM(IF($B$8=4,AE30,0),IF($B$36=4,AE58,0),IF($B$64=4,AE86,0))</x:f>
      </x:c>
      <x:c r="AF122" s="348" t="n">
        <x:f>SUM(IF($B$8=4,AF30,0),IF($B$36=4,AF58,0),IF($B$64=4,AF86,0))</x:f>
      </x:c>
      <x:c r="AG122" s="348" t="n">
        <x:f>SUM(IF($B$8=4,AG30,0),IF($B$36=4,AG58,0),IF($B$64=4,AG86,0))</x:f>
      </x:c>
      <x:c r="AH122" s="348" t="n">
        <x:f>SUM(IF($B$8=4,AH30,0),IF($B$36=4,AH58,0),IF($B$64=4,AH86,0))</x:f>
      </x:c>
      <x:c r="AI122" s="348" t="n">
        <x:f>SUM(IF($B$8=4,AI30,0),IF($B$36=4,AI58,0),IF($B$64=4,AI86,0))</x:f>
      </x:c>
      <x:c r="AJ122" s="348" t="n">
        <x:f>SUM(IF($B$8=4,AJ30,0),IF($B$36=4,AJ58,0),IF($B$64=4,AJ86,0))</x:f>
      </x:c>
      <x:c r="AK122" s="348" t="n">
        <x:f>SUM(IF($B$8=4,AK30,0),IF($B$36=4,AK58,0),IF($B$64=4,AK86,0))</x:f>
      </x:c>
      <x:c r="AL122" s="348" t="n">
        <x:f>SUM(IF($B$8=4,AL30,0),IF($B$36=4,AL58,0),IF($B$64=4,AL86,0))</x:f>
      </x:c>
      <x:c r="AM122" s="348" t="n">
        <x:f>SUM(IF($B$8=4,AM30,0),IF($B$36=4,AM58,0),IF($B$64=4,AM86,0))</x:f>
      </x:c>
      <x:c r="AN122" s="348" t="n">
        <x:f>SUM(IF($B$8=4,AN30,0),IF($B$36=4,AN58,0),IF($B$64=4,AN86,0))</x:f>
      </x:c>
      <x:c r="AO122" s="348" t="n">
        <x:f>SUM(IF($B$8=4,AO30,0),IF($B$36=4,AO58,0),IF($B$64=4,AO86,0))</x:f>
      </x:c>
      <x:c r="AP122" s="348" t="n">
        <x:f>SUM(IF($B$8=4,AP30,0),IF($B$36=4,AP58,0),IF($B$64=4,AP86,0))</x:f>
      </x:c>
      <x:c r="AQ122" s="348" t="n">
        <x:f>SUM(IF($B$8=4,AQ30,0),IF($B$36=4,AQ58,0),IF($B$64=4,AQ86,0))</x:f>
      </x:c>
      <x:c r="AR122" s="348" t="n">
        <x:f>SUM(IF($B$8=4,AR30,0),IF($B$36=4,AR58,0),IF($B$64=4,AR86,0))</x:f>
      </x:c>
      <x:c r="AS122" s="348" t="n">
        <x:f>SUM(IF($B$8=4,AS30,0),IF($B$36=4,AS58,0),IF($B$64=4,AS86,0))</x:f>
      </x:c>
      <x:c r="AT122" s="348" t="n">
        <x:f>SUM(IF($B$8=4,AT30,0),IF($B$36=4,AT58,0),IF($B$64=4,AT86,0))</x:f>
      </x:c>
      <x:c r="AU122" s="348" t="n">
        <x:f>SUM(IF($B$8=4,AU30,0),IF($B$36=4,AU58,0),IF($B$64=4,AU86,0))</x:f>
      </x:c>
      <x:c r="AV122" s="348" t="n">
        <x:f>SUM(IF($B$8=4,AV30,0),IF($B$36=4,AV58,0),IF($B$64=4,AV86,0))</x:f>
      </x:c>
      <x:c r="AW122" s="348" t="n">
        <x:f>SUM(IF($B$8=4,AW30,0),IF($B$36=4,AW58,0),IF($B$64=4,AW86,0))</x:f>
      </x:c>
      <x:c r="AX122" s="348" t="n">
        <x:f>SUM(IF($B$8=4,AX30,0),IF($B$36=4,AX58,0),IF($B$64=4,AX86,0))</x:f>
      </x:c>
      <x:c r="AY122" s="348" t="n">
        <x:f>SUM(IF($B$8=4,AY30,0),IF($B$36=4,AY58,0),IF($B$64=4,AY86,0))</x:f>
      </x:c>
      <x:c r="AZ122" s="348" t="n">
        <x:f>SUM(IF($B$8=4,AZ30,0),IF($B$36=4,AZ58,0),IF($B$64=4,AZ86,0))</x:f>
      </x:c>
      <x:c r="BA122" s="348" t="n">
        <x:f>SUM(IF($B$8=4,BA30,0),IF($B$36=4,BA58,0),IF($B$64=4,BA86,0))</x:f>
      </x:c>
      <x:c r="BB122" s="348" t="n">
        <x:f>SUM(IF($B$8=4,BB30,0),IF($B$36=4,BB58,0),IF($B$64=4,BB86,0))</x:f>
      </x:c>
      <x:c r="BC122" s="348" t="n">
        <x:f>SUM(IF($B$8=4,BC30,0),IF($B$36=4,BC58,0),IF($B$64=4,BC86,0))</x:f>
      </x:c>
      <x:c r="BD122" s="348" t="n">
        <x:f>SUM(IF($B$8=4,BD30,0),IF($B$36=4,BD58,0),IF($B$64=4,BD86,0))</x:f>
      </x:c>
      <x:c r="BE122" s="348" t="n">
        <x:f>SUM(IF($B$8=4,BE30,0),IF($B$36=4,BE58,0),IF($B$64=4,BE86,0))</x:f>
      </x:c>
      <x:c r="BF122" s="348" t="n">
        <x:f>SUM(IF($B$8=4,BF30,0),IF($B$36=4,BF58,0),IF($B$64=4,BF86,0))</x:f>
      </x:c>
      <x:c r="BG122" s="348" t="n">
        <x:f>SUM(IF($B$8=4,BG30,0),IF($B$36=4,BG58,0),IF($B$64=4,BG86,0))</x:f>
      </x:c>
      <x:c r="BH122" s="348" t="n">
        <x:f>SUM(IF($B$8=4,BH30,0),IF($B$36=4,BH58,0),IF($B$64=4,BH86,0))</x:f>
      </x:c>
      <x:c r="BI122" s="348" t="n">
        <x:f>SUM(IF($B$8=4,BI30,0),IF($B$36=4,BI58,0),IF($B$64=4,BI86,0))</x:f>
      </x:c>
      <x:c r="BJ122" s="348" t="n">
        <x:f>SUM(IF($B$8=4,BJ30,0),IF($B$36=4,BJ58,0),IF($B$64=4,BJ86,0))</x:f>
      </x:c>
      <x:c r="BK122" s="348" t="n">
        <x:f>SUM(IF($B$8=4,BK30,0),IF($B$36=4,BK58,0),IF($B$64=4,BK86,0))</x:f>
      </x:c>
      <x:c r="BL122" s="348" t="n">
        <x:f>SUM(IF($B$8=4,BL30,0),IF($B$36=4,BL58,0),IF($B$64=4,BL86,0))</x:f>
      </x:c>
      <x:c r="BM122" s="348" t="n">
        <x:f>SUM(IF($B$8=4,BM30,0),IF($B$36=4,BM58,0),IF($B$64=4,BM86,0))</x:f>
      </x:c>
      <x:c r="BN122" s="348" t="n">
        <x:f>SUM(IF($B$8=4,BN30,0),IF($B$36=4,BN58,0),IF($B$64=4,BN86,0))</x:f>
      </x:c>
      <x:c r="BO122" s="348" t="n">
        <x:f>SUM(IF($B$8=4,BO30,0),IF($B$36=4,BO58,0),IF($B$64=4,BO86,0))</x:f>
      </x:c>
      <x:c r="BP122" s="348" t="n">
        <x:f>SUM(IF($B$8=4,BP30,0),IF($B$36=4,BP58,0),IF($B$64=4,BP86,0))</x:f>
      </x:c>
      <x:c r="BQ122" s="348" t="n">
        <x:f>SUM(IF($B$8=4,BQ30,0),IF($B$36=4,BQ58,0),IF($B$64=4,BQ86,0))</x:f>
      </x:c>
      <x:c r="BR122" s="348" t="n">
        <x:f>SUM(IF($B$8=4,BR30,0),IF($B$36=4,BR58,0),IF($B$64=4,BR86,0))</x:f>
      </x:c>
      <x:c r="BS122" s="348" t="n">
        <x:f>SUM(IF($B$8=4,BS30,0),IF($B$36=4,BS58,0),IF($B$64=4,BS86,0))</x:f>
      </x:c>
      <x:c r="BT122" s="348" t="n">
        <x:f>SUM(IF($B$8=4,BT30,0),IF($B$36=4,BT58,0),IF($B$64=4,BT86,0))</x:f>
      </x:c>
      <x:c r="BU122" s="348" t="n">
        <x:f>SUM(IF($B$8=4,BU30,0),IF($B$36=4,BU58,0),IF($B$64=4,BU86,0))</x:f>
      </x:c>
      <x:c r="BV122" s="348" t="n">
        <x:f>SUM(IF($B$8=4,BV30,0),IF($B$36=4,BV58,0),IF($B$64=4,BV86,0))</x:f>
      </x:c>
      <x:c r="BW122" s="348" t="n">
        <x:f>SUM(IF($B$8=4,BW30,0),IF($B$36=4,BW58,0),IF($B$64=4,BW86,0))</x:f>
      </x:c>
      <x:c r="BX122" s="348" t="n">
        <x:f>SUM(IF($B$8=4,BX30,0),IF($B$36=4,BX58,0),IF($B$64=4,BX86,0))</x:f>
      </x:c>
      <x:c r="BY122" s="348" t="n">
        <x:f>SUM(IF($B$8=4,BY30,0),IF($B$36=4,BY58,0),IF($B$64=4,BY86,0))</x:f>
      </x:c>
      <x:c r="BZ122" s="348" t="n">
        <x:f>SUM(IF($B$8=4,BZ30,0),IF($B$36=4,BZ58,0),IF($B$64=4,BZ86,0))</x:f>
      </x:c>
      <x:c r="CA122" s="348" t="n">
        <x:f>SUM(IF($B$8=4,CA30,0),IF($B$36=4,CA58,0),IF($B$64=4,CA86,0))</x:f>
      </x:c>
      <x:c r="CB122" s="348" t="n">
        <x:f>SUM(IF($B$8=4,CB30,0),IF($B$36=4,CB58,0),IF($B$64=4,CB86,0))</x:f>
      </x:c>
      <x:c r="CC122" s="348" t="n">
        <x:f>SUM(IF($B$8=4,CC30,0),IF($B$36=4,CC58,0),IF($B$64=4,CC86,0))</x:f>
      </x:c>
      <x:c r="CD122" s="348" t="n">
        <x:f>SUM(IF($B$8=4,CD30,0),IF($B$36=4,CD58,0),IF($B$64=4,CD86,0))</x:f>
      </x:c>
      <x:c r="CE122" s="348" t="n">
        <x:f>SUM(IF($B$8=4,CE30,0),IF($B$36=4,CE58,0),IF($B$64=4,CE86,0))</x:f>
      </x:c>
      <x:c r="CF122" s="348" t="n">
        <x:f>SUM(IF($B$8=4,CF30,0),IF($B$36=4,CF58,0),IF($B$64=4,CF86,0))</x:f>
      </x:c>
      <x:c r="CG122" s="348" t="n">
        <x:f>SUM(IF($B$8=4,CG30,0),IF($B$36=4,CG58,0),IF($B$64=4,CG86,0))</x:f>
      </x:c>
      <x:c r="CH122" s="348" t="n">
        <x:f>SUM(IF($B$8=4,CH30,0),IF($B$36=4,CH58,0),IF($B$64=4,CH86,0))</x:f>
      </x:c>
      <x:c r="CI122" s="348" t="n">
        <x:f>SUM(IF($B$8=4,CI30,0),IF($B$36=4,CI58,0),IF($B$64=4,CI86,0))</x:f>
      </x:c>
      <x:c r="CJ122" s="348" t="n">
        <x:f>SUM(IF($B$8=4,CJ30,0),IF($B$36=4,CJ58,0),IF($B$64=4,CJ86,0))</x:f>
      </x:c>
      <x:c r="CK122" s="348" t="n">
        <x:f>SUM(IF($B$8=4,CK30,0),IF($B$36=4,CK58,0),IF($B$64=4,CK86,0))</x:f>
      </x:c>
      <x:c r="CL122" s="348" t="n">
        <x:f>SUM(IF($B$8=4,CL30,0),IF($B$36=4,CL58,0),IF($B$64=4,CL86,0))</x:f>
      </x:c>
      <x:c r="CM122" s="348" t="n">
        <x:f>SUM(IF($B$8=4,CM30,0),IF($B$36=4,CM58,0),IF($B$64=4,CM86,0))</x:f>
      </x:c>
      <x:c r="CN122" s="348" t="n">
        <x:f>SUM(IF($B$8=4,CN30,0),IF($B$36=4,CN58,0),IF($B$64=4,CN86,0))</x:f>
      </x:c>
      <x:c r="CO122" s="348" t="n">
        <x:f>SUM(IF($B$8=4,CO30,0),IF($B$36=4,CO58,0),IF($B$64=4,CO86,0))</x:f>
      </x:c>
      <x:c r="CP122" s="348" t="n">
        <x:f>SUM(IF($B$8=4,CP30,0),IF($B$36=4,CP58,0),IF($B$64=4,CP86,0))</x:f>
      </x:c>
      <x:c r="CQ122" s="348" t="n">
        <x:f>SUM(IF($B$8=4,CQ30,0),IF($B$36=4,CQ58,0),IF($B$64=4,CQ86,0))</x:f>
      </x:c>
      <x:c r="CR122" s="348" t="n">
        <x:f>SUM(IF($B$8=4,CR30,0),IF($B$36=4,CR58,0),IF($B$64=4,CR86,0))</x:f>
      </x:c>
      <x:c r="CS122" s="348" t="n">
        <x:f>SUM(IF($B$8=4,CS30,0),IF($B$36=4,CS58,0),IF($B$64=4,CS86,0))</x:f>
      </x:c>
      <x:c r="CT122" s="348" t="n">
        <x:f>SUM(IF($B$8=4,CT30,0),IF($B$36=4,CT58,0),IF($B$64=4,CT86,0))</x:f>
      </x:c>
      <x:c r="CU122" s="348" t="n">
        <x:f>SUM(IF($B$8=4,CU30,0),IF($B$36=4,CU58,0),IF($B$64=4,CU86,0))</x:f>
      </x:c>
      <x:c r="CV122" s="348" t="n">
        <x:f>SUM(IF($B$8=4,CV30,0),IF($B$36=4,CV58,0),IF($B$64=4,CV86,0))</x:f>
      </x:c>
      <x:c r="CW122" s="348" t="n">
        <x:f>SUM(IF($B$8=4,CW30,0),IF($B$36=4,CW58,0),IF($B$64=4,CW86,0))</x:f>
      </x:c>
      <x:c r="CX122" s="348" t="n">
        <x:f>SUM(IF($B$8=4,CX30,0),IF($B$36=4,CX58,0),IF($B$64=4,CX86,0))</x:f>
      </x:c>
      <x:c r="CY122" s="348" t="n">
        <x:f>SUM(IF($B$8=4,CY30,0),IF($B$36=4,CY58,0),IF($B$64=4,CY86,0))</x:f>
      </x:c>
      <x:c r="CZ122" s="348" t="n">
        <x:f>SUM(IF($B$8=4,CZ30,0),IF($B$36=4,CZ58,0),IF($B$64=4,CZ86,0))</x:f>
      </x:c>
      <x:c r="DA122" s="348" t="n">
        <x:f>SUM(IF($B$8=4,DA30,0),IF($B$36=4,DA58,0),IF($B$64=4,DA86,0))</x:f>
      </x:c>
      <x:c r="DB122" s="348" t="n">
        <x:f>SUM(IF($B$8=4,DB30,0),IF($B$36=4,DB58,0),IF($B$64=4,DB86,0))</x:f>
      </x:c>
      <x:c r="DC122" s="348" t="n">
        <x:f>SUM(IF($B$8=4,DC30,0),IF($B$36=4,DC58,0),IF($B$64=4,DC86,0))</x:f>
      </x:c>
      <x:c r="DD122" s="348" t="n">
        <x:f>SUM(IF($B$8=4,DD30,0),IF($B$36=4,DD58,0),IF($B$64=4,DD86,0))</x:f>
      </x:c>
      <x:c r="DE122" s="348" t="n">
        <x:f>SUM(IF($B$8=4,DE30,0),IF($B$36=4,DE58,0),IF($B$64=4,DE86,0))</x:f>
      </x:c>
      <x:c r="DF122" s="348" t="n">
        <x:f>SUM(IF($B$8=4,DF30,0),IF($B$36=4,DF58,0),IF($B$64=4,DF86,0))</x:f>
      </x:c>
      <x:c r="DG122" s="348" t="n">
        <x:f>SUM(IF($B$8=4,DG30,0),IF($B$36=4,DG58,0),IF($B$64=4,DG86,0))</x:f>
      </x:c>
      <x:c r="DH122" s="348" t="n">
        <x:f>SUM(IF($B$8=4,DH30,0),IF($B$36=4,DH58,0),IF($B$64=4,DH86,0))</x:f>
      </x:c>
      <x:c r="DI122" s="348" t="n">
        <x:f>SUM(IF($B$8=4,DI30,0),IF($B$36=4,DI58,0),IF($B$64=4,DI86,0))</x:f>
      </x:c>
      <x:c r="DJ122" s="348" t="n">
        <x:f>SUM(IF($B$8=4,DJ30,0),IF($B$36=4,DJ58,0),IF($B$64=4,DJ86,0))</x:f>
      </x:c>
      <x:c r="DK122" s="348" t="n">
        <x:f>SUM(IF($B$8=4,DK30,0),IF($B$36=4,DK58,0),IF($B$64=4,DK86,0))</x:f>
      </x:c>
      <x:c r="DL122" s="348" t="n">
        <x:f>SUM(IF($B$8=4,DL30,0),IF($B$36=4,DL58,0),IF($B$64=4,DL86,0))</x:f>
      </x:c>
      <x:c r="DM122" s="348" t="n">
        <x:f>SUM(IF($B$8=4,DM30,0),IF($B$36=4,DM58,0),IF($B$64=4,DM86,0))</x:f>
      </x:c>
      <x:c r="DN122" s="348" t="n">
        <x:f>SUM(IF($B$8=4,DN30,0),IF($B$36=4,DN58,0),IF($B$64=4,DN86,0))</x:f>
      </x:c>
      <x:c r="DO122" s="348" t="n">
        <x:f>SUM(IF($B$8=4,DO30,0),IF($B$36=4,DO58,0),IF($B$64=4,DO86,0))</x:f>
      </x:c>
      <x:c r="DP122" s="348" t="n">
        <x:f>SUM(IF($B$8=4,DP30,0),IF($B$36=4,DP58,0),IF($B$64=4,DP86,0))</x:f>
      </x:c>
      <x:c r="DQ122" s="348" t="n">
        <x:f>SUM(IF($B$8=4,DQ30,0),IF($B$36=4,DQ58,0),IF($B$64=4,DQ86,0))</x:f>
      </x:c>
      <x:c r="DR122" s="348" t="n">
        <x:f>SUM(IF($B$8=4,DR30,0),IF($B$36=4,DR58,0),IF($B$64=4,DR86,0))</x:f>
      </x:c>
      <x:c r="DS122" s="348" t="n">
        <x:f>SUM(IF($B$8=4,DS30,0),IF($B$36=4,DS58,0),IF($B$64=4,DS86,0))</x:f>
      </x:c>
    </x:row>
  </x:sheetData>
  <x:mergeCells>
    <x:mergeCell ref="A1:DS1"/>
    <x:mergeCell ref="A6:DS6"/>
    <x:mergeCell ref="A34:DS34"/>
    <x:mergeCell ref="A62:DS62"/>
    <x:mergeCell ref="A90:DS90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4</x:v>
      </x:c>
      <x:c r="B1" s="4" t="str">
        <x:v>ДЕНЕЖНЫЙ ПОТОК · ОЧЕРЕДЬ 4</x:v>
      </x:c>
      <x:c r="C1" s="4" t="str">
        <x:v>ДЕНЕЖНЫЙ ПОТОК · ОЧЕРЕДЬ 4</x:v>
      </x:c>
      <x:c r="D1" s="4" t="str">
        <x:v>ДЕНЕЖНЫЙ ПОТОК · ОЧЕРЕДЬ 4</x:v>
      </x:c>
      <x:c r="E1" s="4" t="str">
        <x:v>ДЕНЕЖНЫЙ ПОТОК · ОЧЕРЕДЬ 4</x:v>
      </x:c>
      <x:c r="F1" s="4" t="str">
        <x:v>ДЕНЕЖНЫЙ ПОТОК · ОЧЕРЕДЬ 4</x:v>
      </x:c>
      <x:c r="G1" s="4" t="str">
        <x:v>ДЕНЕЖНЫЙ ПОТОК · ОЧЕРЕДЬ 4</x:v>
      </x:c>
      <x:c r="H1" s="4" t="str">
        <x:v>ДЕНЕЖНЫЙ ПОТОК · ОЧЕРЕДЬ 4</x:v>
      </x:c>
      <x:c r="I1" s="4" t="str">
        <x:v>ДЕНЕЖНЫЙ ПОТОК · ОЧЕРЕДЬ 4</x:v>
      </x:c>
      <x:c r="J1" s="4" t="str">
        <x:v>ДЕНЕЖНЫЙ ПОТОК · ОЧЕРЕДЬ 4</x:v>
      </x:c>
      <x:c r="K1" s="4" t="str">
        <x:v>ДЕНЕЖНЫЙ ПОТОК · ОЧЕРЕДЬ 4</x:v>
      </x:c>
      <x:c r="L1" s="4" t="str">
        <x:v>ДЕНЕЖНЫЙ ПОТОК · ОЧЕРЕДЬ 4</x:v>
      </x:c>
      <x:c r="M1" s="4" t="str">
        <x:v>ДЕНЕЖНЫЙ ПОТОК · ОЧЕРЕДЬ 4</x:v>
      </x:c>
      <x:c r="N1" s="4" t="str">
        <x:v>ДЕНЕЖНЫЙ ПОТОК · ОЧЕРЕДЬ 4</x:v>
      </x:c>
      <x:c r="O1" s="4" t="str">
        <x:v>ДЕНЕЖНЫЙ ПОТОК · ОЧЕРЕДЬ 4</x:v>
      </x:c>
      <x:c r="P1" s="4" t="str">
        <x:v>ДЕНЕЖНЫЙ ПОТОК · ОЧЕРЕДЬ 4</x:v>
      </x:c>
      <x:c r="Q1" s="4" t="str">
        <x:v>ДЕНЕЖНЫЙ ПОТОК · ОЧЕРЕДЬ 4</x:v>
      </x:c>
      <x:c r="R1" s="4" t="str">
        <x:v>ДЕНЕЖНЫЙ ПОТОК · ОЧЕРЕДЬ 4</x:v>
      </x:c>
      <x:c r="S1" s="4" t="str">
        <x:v>ДЕНЕЖНЫЙ ПОТОК · ОЧЕРЕДЬ 4</x:v>
      </x:c>
      <x:c r="T1" s="4" t="str">
        <x:v>ДЕНЕЖНЫЙ ПОТОК · ОЧЕРЕДЬ 4</x:v>
      </x:c>
      <x:c r="U1" s="4" t="str">
        <x:v>ДЕНЕЖНЫЙ ПОТОК · ОЧЕРЕДЬ 4</x:v>
      </x:c>
      <x:c r="V1" s="4" t="str">
        <x:v>ДЕНЕЖНЫЙ ПОТОК · ОЧЕРЕДЬ 4</x:v>
      </x:c>
      <x:c r="W1" s="4" t="str">
        <x:v>ДЕНЕЖНЫЙ ПОТОК · ОЧЕРЕДЬ 4</x:v>
      </x:c>
      <x:c r="X1" s="4" t="str">
        <x:v>ДЕНЕЖНЫЙ ПОТОК · ОЧЕРЕДЬ 4</x:v>
      </x:c>
      <x:c r="Y1" s="4" t="str">
        <x:v>ДЕНЕЖНЫЙ ПОТОК · ОЧЕРЕДЬ 4</x:v>
      </x:c>
      <x:c r="Z1" s="4" t="str">
        <x:v>ДЕНЕЖНЫЙ ПОТОК · ОЧЕРЕДЬ 4</x:v>
      </x:c>
      <x:c r="AA1" s="4" t="str">
        <x:v>ДЕНЕЖНЫЙ ПОТОК · ОЧЕРЕДЬ 4</x:v>
      </x:c>
      <x:c r="AB1" s="4" t="str">
        <x:v>ДЕНЕЖНЫЙ ПОТОК · ОЧЕРЕДЬ 4</x:v>
      </x:c>
      <x:c r="AC1" s="4" t="str">
        <x:v>ДЕНЕЖНЫЙ ПОТОК · ОЧЕРЕДЬ 4</x:v>
      </x:c>
      <x:c r="AD1" s="4" t="str">
        <x:v>ДЕНЕЖНЫЙ ПОТОК · ОЧЕРЕДЬ 4</x:v>
      </x:c>
      <x:c r="AE1" s="4" t="str">
        <x:v>ДЕНЕЖНЫЙ ПОТОК · ОЧЕРЕДЬ 4</x:v>
      </x:c>
      <x:c r="AF1" s="4" t="str">
        <x:v>ДЕНЕЖНЫЙ ПОТОК · ОЧЕРЕДЬ 4</x:v>
      </x:c>
      <x:c r="AG1" s="4" t="str">
        <x:v>ДЕНЕЖНЫЙ ПОТОК · ОЧЕРЕДЬ 4</x:v>
      </x:c>
      <x:c r="AH1" s="4" t="str">
        <x:v>ДЕНЕЖНЫЙ ПОТОК · ОЧЕРЕДЬ 4</x:v>
      </x:c>
      <x:c r="AI1" s="4" t="str">
        <x:v>ДЕНЕЖНЫЙ ПОТОК · ОЧЕРЕДЬ 4</x:v>
      </x:c>
      <x:c r="AJ1" s="4" t="str">
        <x:v>ДЕНЕЖНЫЙ ПОТОК · ОЧЕРЕДЬ 4</x:v>
      </x:c>
      <x:c r="AK1" s="4" t="str">
        <x:v>ДЕНЕЖНЫЙ ПОТОК · ОЧЕРЕДЬ 4</x:v>
      </x:c>
      <x:c r="AL1" s="4" t="str">
        <x:v>ДЕНЕЖНЫЙ ПОТОК · ОЧЕРЕДЬ 4</x:v>
      </x:c>
      <x:c r="AM1" s="4" t="str">
        <x:v>ДЕНЕЖНЫЙ ПОТОК · ОЧЕРЕДЬ 4</x:v>
      </x:c>
      <x:c r="AN1" s="4" t="str">
        <x:v>ДЕНЕЖНЫЙ ПОТОК · ОЧЕРЕДЬ 4</x:v>
      </x:c>
      <x:c r="AO1" s="4" t="str">
        <x:v>ДЕНЕЖНЫЙ ПОТОК · ОЧЕРЕДЬ 4</x:v>
      </x:c>
      <x:c r="AP1" s="4" t="str">
        <x:v>ДЕНЕЖНЫЙ ПОТОК · ОЧЕРЕДЬ 4</x:v>
      </x:c>
      <x:c r="AQ1" s="4" t="str">
        <x:v>ДЕНЕЖНЫЙ ПОТОК · ОЧЕРЕДЬ 4</x:v>
      </x:c>
      <x:c r="AR1" s="4" t="str">
        <x:v>ДЕНЕЖНЫЙ ПОТОК · ОЧЕРЕДЬ 4</x:v>
      </x:c>
      <x:c r="AS1" s="4" t="str">
        <x:v>ДЕНЕЖНЫЙ ПОТОК · ОЧЕРЕДЬ 4</x:v>
      </x:c>
      <x:c r="AT1" s="4" t="str">
        <x:v>ДЕНЕЖНЫЙ ПОТОК · ОЧЕРЕДЬ 4</x:v>
      </x:c>
      <x:c r="AU1" s="4" t="str">
        <x:v>ДЕНЕЖНЫЙ ПОТОК · ОЧЕРЕДЬ 4</x:v>
      </x:c>
      <x:c r="AV1" s="4" t="str">
        <x:v>ДЕНЕЖНЫЙ ПОТОК · ОЧЕРЕДЬ 4</x:v>
      </x:c>
      <x:c r="AW1" s="4" t="str">
        <x:v>ДЕНЕЖНЫЙ ПОТОК · ОЧЕРЕДЬ 4</x:v>
      </x:c>
      <x:c r="AX1" s="4" t="str">
        <x:v>ДЕНЕЖНЫЙ ПОТОК · ОЧЕРЕДЬ 4</x:v>
      </x:c>
      <x:c r="AY1" s="4" t="str">
        <x:v>ДЕНЕЖНЫЙ ПОТОК · ОЧЕРЕДЬ 4</x:v>
      </x:c>
      <x:c r="AZ1" s="4" t="str">
        <x:v>ДЕНЕЖНЫЙ ПОТОК · ОЧЕРЕДЬ 4</x:v>
      </x:c>
      <x:c r="BA1" s="4" t="str">
        <x:v>ДЕНЕЖНЫЙ ПОТОК · ОЧЕРЕДЬ 4</x:v>
      </x:c>
      <x:c r="BB1" s="4" t="str">
        <x:v>ДЕНЕЖНЫЙ ПОТОК · ОЧЕРЕДЬ 4</x:v>
      </x:c>
      <x:c r="BC1" s="4" t="str">
        <x:v>ДЕНЕЖНЫЙ ПОТОК · ОЧЕРЕДЬ 4</x:v>
      </x:c>
      <x:c r="BD1" s="4" t="str">
        <x:v>ДЕНЕЖНЫЙ ПОТОК · ОЧЕРЕДЬ 4</x:v>
      </x:c>
      <x:c r="BE1" s="4" t="str">
        <x:v>ДЕНЕЖНЫЙ ПОТОК · ОЧЕРЕДЬ 4</x:v>
      </x:c>
      <x:c r="BF1" s="4" t="str">
        <x:v>ДЕНЕЖНЫЙ ПОТОК · ОЧЕРЕДЬ 4</x:v>
      </x:c>
      <x:c r="BG1" s="4" t="str">
        <x:v>ДЕНЕЖНЫЙ ПОТОК · ОЧЕРЕДЬ 4</x:v>
      </x:c>
      <x:c r="BH1" s="4" t="str">
        <x:v>ДЕНЕЖНЫЙ ПОТОК · ОЧЕРЕДЬ 4</x:v>
      </x:c>
      <x:c r="BI1" s="4" t="str">
        <x:v>ДЕНЕЖНЫЙ ПОТОК · ОЧЕРЕДЬ 4</x:v>
      </x:c>
      <x:c r="BJ1" s="4" t="str">
        <x:v>ДЕНЕЖНЫЙ ПОТОК · ОЧЕРЕДЬ 4</x:v>
      </x:c>
      <x:c r="BK1" s="4" t="str">
        <x:v>ДЕНЕЖНЫЙ ПОТОК · ОЧЕРЕДЬ 4</x:v>
      </x:c>
      <x:c r="BL1" s="4" t="str">
        <x:v>ДЕНЕЖНЫЙ ПОТОК · ОЧЕРЕДЬ 4</x:v>
      </x:c>
      <x:c r="BM1" s="4" t="str">
        <x:v>ДЕНЕЖНЫЙ ПОТОК · ОЧЕРЕДЬ 4</x:v>
      </x:c>
      <x:c r="BN1" s="4" t="str">
        <x:v>ДЕНЕЖНЫЙ ПОТОК · ОЧЕРЕДЬ 4</x:v>
      </x:c>
      <x:c r="BO1" s="4" t="str">
        <x:v>ДЕНЕЖНЫЙ ПОТОК · ОЧЕРЕДЬ 4</x:v>
      </x:c>
      <x:c r="BP1" s="4" t="str">
        <x:v>ДЕНЕЖНЫЙ ПОТОК · ОЧЕРЕДЬ 4</x:v>
      </x:c>
      <x:c r="BQ1" s="4" t="str">
        <x:v>ДЕНЕЖНЫЙ ПОТОК · ОЧЕРЕДЬ 4</x:v>
      </x:c>
      <x:c r="BR1" s="4" t="str">
        <x:v>ДЕНЕЖНЫЙ ПОТОК · ОЧЕРЕДЬ 4</x:v>
      </x:c>
      <x:c r="BS1" s="4" t="str">
        <x:v>ДЕНЕЖНЫЙ ПОТОК · ОЧЕРЕДЬ 4</x:v>
      </x:c>
      <x:c r="BT1" s="4" t="str">
        <x:v>ДЕНЕЖНЫЙ ПОТОК · ОЧЕРЕДЬ 4</x:v>
      </x:c>
      <x:c r="BU1" s="4" t="str">
        <x:v>ДЕНЕЖНЫЙ ПОТОК · ОЧЕРЕДЬ 4</x:v>
      </x:c>
      <x:c r="BV1" s="4" t="str">
        <x:v>ДЕНЕЖНЫЙ ПОТОК · ОЧЕРЕДЬ 4</x:v>
      </x:c>
      <x:c r="BW1" s="4" t="str">
        <x:v>ДЕНЕЖНЫЙ ПОТОК · ОЧЕРЕДЬ 4</x:v>
      </x:c>
      <x:c r="BX1" s="4" t="str">
        <x:v>ДЕНЕЖНЫЙ ПОТОК · ОЧЕРЕДЬ 4</x:v>
      </x:c>
      <x:c r="BY1" s="4" t="str">
        <x:v>ДЕНЕЖНЫЙ ПОТОК · ОЧЕРЕДЬ 4</x:v>
      </x:c>
      <x:c r="BZ1" s="4" t="str">
        <x:v>ДЕНЕЖНЫЙ ПОТОК · ОЧЕРЕДЬ 4</x:v>
      </x:c>
      <x:c r="CA1" s="4" t="str">
        <x:v>ДЕНЕЖНЫЙ ПОТОК · ОЧЕРЕДЬ 4</x:v>
      </x:c>
      <x:c r="CB1" s="4" t="str">
        <x:v>ДЕНЕЖНЫЙ ПОТОК · ОЧЕРЕДЬ 4</x:v>
      </x:c>
      <x:c r="CC1" s="4" t="str">
        <x:v>ДЕНЕЖНЫЙ ПОТОК · ОЧЕРЕДЬ 4</x:v>
      </x:c>
      <x:c r="CD1" s="4" t="str">
        <x:v>ДЕНЕЖНЫЙ ПОТОК · ОЧЕРЕДЬ 4</x:v>
      </x:c>
      <x:c r="CE1" s="4" t="str">
        <x:v>ДЕНЕЖНЫЙ ПОТОК · ОЧЕРЕДЬ 4</x:v>
      </x:c>
      <x:c r="CF1" s="4" t="str">
        <x:v>ДЕНЕЖНЫЙ ПОТОК · ОЧЕРЕДЬ 4</x:v>
      </x:c>
      <x:c r="CG1" s="4" t="str">
        <x:v>ДЕНЕЖНЫЙ ПОТОК · ОЧЕРЕДЬ 4</x:v>
      </x:c>
      <x:c r="CH1" s="4" t="str">
        <x:v>ДЕНЕЖНЫЙ ПОТОК · ОЧЕРЕДЬ 4</x:v>
      </x:c>
      <x:c r="CI1" s="4" t="str">
        <x:v>ДЕНЕЖНЫЙ ПОТОК · ОЧЕРЕДЬ 4</x:v>
      </x:c>
      <x:c r="CJ1" s="4" t="str">
        <x:v>ДЕНЕЖНЫЙ ПОТОК · ОЧЕРЕДЬ 4</x:v>
      </x:c>
      <x:c r="CK1" s="4" t="str">
        <x:v>ДЕНЕЖНЫЙ ПОТОК · ОЧЕРЕДЬ 4</x:v>
      </x:c>
      <x:c r="CL1" s="4" t="str">
        <x:v>ДЕНЕЖНЫЙ ПОТОК · ОЧЕРЕДЬ 4</x:v>
      </x:c>
      <x:c r="CM1" s="4" t="str">
        <x:v>ДЕНЕЖНЫЙ ПОТОК · ОЧЕРЕДЬ 4</x:v>
      </x:c>
      <x:c r="CN1" s="4" t="str">
        <x:v>ДЕНЕЖНЫЙ ПОТОК · ОЧЕРЕДЬ 4</x:v>
      </x:c>
      <x:c r="CO1" s="4" t="str">
        <x:v>ДЕНЕЖНЫЙ ПОТОК · ОЧЕРЕДЬ 4</x:v>
      </x:c>
      <x:c r="CP1" s="4" t="str">
        <x:v>ДЕНЕЖНЫЙ ПОТОК · ОЧЕРЕДЬ 4</x:v>
      </x:c>
      <x:c r="CQ1" s="4" t="str">
        <x:v>ДЕНЕЖНЫЙ ПОТОК · ОЧЕРЕДЬ 4</x:v>
      </x:c>
      <x:c r="CR1" s="4" t="str">
        <x:v>ДЕНЕЖНЫЙ ПОТОК · ОЧЕРЕДЬ 4</x:v>
      </x:c>
      <x:c r="CS1" s="4" t="str">
        <x:v>ДЕНЕЖНЫЙ ПОТОК · ОЧЕРЕДЬ 4</x:v>
      </x:c>
      <x:c r="CT1" s="4" t="str">
        <x:v>ДЕНЕЖНЫЙ ПОТОК · ОЧЕРЕДЬ 4</x:v>
      </x:c>
      <x:c r="CU1" s="4" t="str">
        <x:v>ДЕНЕЖНЫЙ ПОТОК · ОЧЕРЕДЬ 4</x:v>
      </x:c>
      <x:c r="CV1" s="4" t="str">
        <x:v>ДЕНЕЖНЫЙ ПОТОК · ОЧЕРЕДЬ 4</x:v>
      </x:c>
      <x:c r="CW1" s="4" t="str">
        <x:v>ДЕНЕЖНЫЙ ПОТОК · ОЧЕРЕДЬ 4</x:v>
      </x:c>
      <x:c r="CX1" s="4" t="str">
        <x:v>ДЕНЕЖНЫЙ ПОТОК · ОЧЕРЕДЬ 4</x:v>
      </x:c>
      <x:c r="CY1" s="4" t="str">
        <x:v>ДЕНЕЖНЫЙ ПОТОК · ОЧЕРЕДЬ 4</x:v>
      </x:c>
      <x:c r="CZ1" s="4" t="str">
        <x:v>ДЕНЕЖНЫЙ ПОТОК · ОЧЕРЕДЬ 4</x:v>
      </x:c>
      <x:c r="DA1" s="4" t="str">
        <x:v>ДЕНЕЖНЫЙ ПОТОК · ОЧЕРЕДЬ 4</x:v>
      </x:c>
      <x:c r="DB1" s="4" t="str">
        <x:v>ДЕНЕЖНЫЙ ПОТОК · ОЧЕРЕДЬ 4</x:v>
      </x:c>
      <x:c r="DC1" s="4" t="str">
        <x:v>ДЕНЕЖНЫЙ ПОТОК · ОЧЕРЕДЬ 4</x:v>
      </x:c>
      <x:c r="DD1" s="4" t="str">
        <x:v>ДЕНЕЖНЫЙ ПОТОК · ОЧЕРЕДЬ 4</x:v>
      </x:c>
      <x:c r="DE1" s="4" t="str">
        <x:v>ДЕНЕЖНЫЙ ПОТОК · ОЧЕРЕДЬ 4</x:v>
      </x:c>
      <x:c r="DF1" s="4" t="str">
        <x:v>ДЕНЕЖНЫЙ ПОТОК · ОЧЕРЕДЬ 4</x:v>
      </x:c>
      <x:c r="DG1" s="4" t="str">
        <x:v>ДЕНЕЖНЫЙ ПОТОК · ОЧЕРЕДЬ 4</x:v>
      </x:c>
      <x:c r="DH1" s="4" t="str">
        <x:v>ДЕНЕЖНЫЙ ПОТОК · ОЧЕРЕДЬ 4</x:v>
      </x:c>
      <x:c r="DI1" s="4" t="str">
        <x:v>ДЕНЕЖНЫЙ ПОТОК · ОЧЕРЕДЬ 4</x:v>
      </x:c>
      <x:c r="DJ1" s="4" t="str">
        <x:v>ДЕНЕЖНЫЙ ПОТОК · ОЧЕРЕДЬ 4</x:v>
      </x:c>
      <x:c r="DK1" s="4" t="str">
        <x:v>ДЕНЕЖНЫЙ ПОТОК · ОЧЕРЕДЬ 4</x:v>
      </x:c>
      <x:c r="DL1" s="4" t="str">
        <x:v>ДЕНЕЖНЫЙ ПОТОК · ОЧЕРЕДЬ 4</x:v>
      </x:c>
      <x:c r="DM1" s="4" t="str">
        <x:v>ДЕНЕЖНЫЙ ПОТОК · ОЧЕРЕДЬ 4</x:v>
      </x:c>
      <x:c r="DN1" s="4" t="str">
        <x:v>ДЕНЕЖНЫЙ ПОТОК · ОЧЕРЕДЬ 4</x:v>
      </x:c>
      <x:c r="DO1" s="4" t="str">
        <x:v>ДЕНЕЖНЫЙ ПОТОК · ОЧЕРЕДЬ 4</x:v>
      </x:c>
      <x:c r="DP1" s="4" t="str">
        <x:v>ДЕНЕЖНЫЙ ПОТОК · ОЧЕРЕДЬ 4</x:v>
      </x:c>
      <x:c r="DQ1" s="4" t="str">
        <x:v>ДЕНЕЖНЫЙ ПОТОК · ОЧЕРЕДЬ 4</x:v>
      </x:c>
      <x:c r="DR1" s="4" t="str">
        <x:v>ДЕНЕЖНЫЙ ПОТОК · ОЧЕРЕДЬ 4</x:v>
      </x:c>
      <x:c r="DS1" s="4" t="str">
        <x:v>ДЕНЕЖНЫЙ ПОТОК · ОЧЕРЕДЬ 4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--('Вводные'!$B$91="Да")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EDATE('Вводные'!$D$91,'Вводные'!$H$9)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EDATE(B6,'Вводные'!$E$91)</x:f>
      </x:c>
      <x:c r="C7" t="str">
        <x:v>дата</x:v>
      </x:c>
    </x:row>
    <x:row r="8">
      <x:c r="A8" t="str">
        <x:v>РВЭ</x:v>
      </x:c>
      <x:c r="B8" s="106" t="n">
        <x:f>EDATE(B7,'Вводные'!$F$91)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'Продажи'!D95+'ОБЪЕКТЫ'!D116</x:f>
      </x:c>
      <x:c r="E10" s="117" t="n">
        <x:f>'Продажи'!E95+'ОБЪЕКТЫ'!E116</x:f>
      </x:c>
      <x:c r="F10" s="117" t="n">
        <x:f>'Продажи'!F95+'ОБЪЕКТЫ'!F116</x:f>
      </x:c>
      <x:c r="G10" s="117" t="n">
        <x:f>'Продажи'!G95+'ОБЪЕКТЫ'!G116</x:f>
      </x:c>
      <x:c r="H10" s="117" t="n">
        <x:f>'Продажи'!H95+'ОБЪЕКТЫ'!H116</x:f>
      </x:c>
      <x:c r="I10" s="117" t="n">
        <x:f>'Продажи'!I95+'ОБЪЕКТЫ'!I116</x:f>
      </x:c>
      <x:c r="J10" s="117" t="n">
        <x:f>'Продажи'!J95+'ОБЪЕКТЫ'!J116</x:f>
      </x:c>
      <x:c r="K10" s="117" t="n">
        <x:f>'Продажи'!K95+'ОБЪЕКТЫ'!K116</x:f>
      </x:c>
      <x:c r="L10" s="117" t="n">
        <x:f>'Продажи'!L95+'ОБЪЕКТЫ'!L116</x:f>
      </x:c>
      <x:c r="M10" s="117" t="n">
        <x:f>'Продажи'!M95+'ОБЪЕКТЫ'!M116</x:f>
      </x:c>
      <x:c r="N10" s="117" t="n">
        <x:f>'Продажи'!N95+'ОБЪЕКТЫ'!N116</x:f>
      </x:c>
      <x:c r="O10" s="117" t="n">
        <x:f>'Продажи'!O95+'ОБЪЕКТЫ'!O116</x:f>
      </x:c>
      <x:c r="P10" s="117" t="n">
        <x:f>'Продажи'!P95+'ОБЪЕКТЫ'!P116</x:f>
      </x:c>
      <x:c r="Q10" s="117" t="n">
        <x:f>'Продажи'!Q95+'ОБЪЕКТЫ'!Q116</x:f>
      </x:c>
      <x:c r="R10" s="117" t="n">
        <x:f>'Продажи'!R95+'ОБЪЕКТЫ'!R116</x:f>
      </x:c>
      <x:c r="S10" s="117" t="n">
        <x:f>'Продажи'!S95+'ОБЪЕКТЫ'!S116</x:f>
      </x:c>
      <x:c r="T10" s="117" t="n">
        <x:f>'Продажи'!T95+'ОБЪЕКТЫ'!T116</x:f>
      </x:c>
      <x:c r="U10" s="117" t="n">
        <x:f>'Продажи'!U95+'ОБЪЕКТЫ'!U116</x:f>
      </x:c>
      <x:c r="V10" s="117" t="n">
        <x:f>'Продажи'!V95+'ОБЪЕКТЫ'!V116</x:f>
      </x:c>
      <x:c r="W10" s="117" t="n">
        <x:f>'Продажи'!W95+'ОБЪЕКТЫ'!W116</x:f>
      </x:c>
      <x:c r="X10" s="117" t="n">
        <x:f>'Продажи'!X95+'ОБЪЕКТЫ'!X116</x:f>
      </x:c>
      <x:c r="Y10" s="117" t="n">
        <x:f>'Продажи'!Y95+'ОБЪЕКТЫ'!Y116</x:f>
      </x:c>
      <x:c r="Z10" s="117" t="n">
        <x:f>'Продажи'!Z95+'ОБЪЕКТЫ'!Z116</x:f>
      </x:c>
      <x:c r="AA10" s="117" t="n">
        <x:f>'Продажи'!AA95+'ОБЪЕКТЫ'!AA116</x:f>
      </x:c>
      <x:c r="AB10" s="117" t="n">
        <x:f>'Продажи'!AB95+'ОБЪЕКТЫ'!AB116</x:f>
      </x:c>
      <x:c r="AC10" s="117" t="n">
        <x:f>'Продажи'!AC95+'ОБЪЕКТЫ'!AC116</x:f>
      </x:c>
      <x:c r="AD10" s="117" t="n">
        <x:f>'Продажи'!AD95+'ОБЪЕКТЫ'!AD116</x:f>
      </x:c>
      <x:c r="AE10" s="117" t="n">
        <x:f>'Продажи'!AE95+'ОБЪЕКТЫ'!AE116</x:f>
      </x:c>
      <x:c r="AF10" s="117" t="n">
        <x:f>'Продажи'!AF95+'ОБЪЕКТЫ'!AF116</x:f>
      </x:c>
      <x:c r="AG10" s="117" t="n">
        <x:f>'Продажи'!AG95+'ОБЪЕКТЫ'!AG116</x:f>
      </x:c>
      <x:c r="AH10" s="117" t="n">
        <x:f>'Продажи'!AH95+'ОБЪЕКТЫ'!AH116</x:f>
      </x:c>
      <x:c r="AI10" s="117" t="n">
        <x:f>'Продажи'!AI95+'ОБЪЕКТЫ'!AI116</x:f>
      </x:c>
      <x:c r="AJ10" s="117" t="n">
        <x:f>'Продажи'!AJ95+'ОБЪЕКТЫ'!AJ116</x:f>
      </x:c>
      <x:c r="AK10" s="117" t="n">
        <x:f>'Продажи'!AK95+'ОБЪЕКТЫ'!AK116</x:f>
      </x:c>
      <x:c r="AL10" s="117" t="n">
        <x:f>'Продажи'!AL95+'ОБЪЕКТЫ'!AL116</x:f>
      </x:c>
      <x:c r="AM10" s="117" t="n">
        <x:f>'Продажи'!AM95+'ОБЪЕКТЫ'!AM116</x:f>
      </x:c>
      <x:c r="AN10" s="117" t="n">
        <x:f>'Продажи'!AN95+'ОБЪЕКТЫ'!AN116</x:f>
      </x:c>
      <x:c r="AO10" s="117" t="n">
        <x:f>'Продажи'!AO95+'ОБЪЕКТЫ'!AO116</x:f>
      </x:c>
      <x:c r="AP10" s="117" t="n">
        <x:f>'Продажи'!AP95+'ОБЪЕКТЫ'!AP116</x:f>
      </x:c>
      <x:c r="AQ10" s="117" t="n">
        <x:f>'Продажи'!AQ95+'ОБЪЕКТЫ'!AQ116</x:f>
      </x:c>
      <x:c r="AR10" s="117" t="n">
        <x:f>'Продажи'!AR95+'ОБЪЕКТЫ'!AR116</x:f>
      </x:c>
      <x:c r="AS10" s="117" t="n">
        <x:f>'Продажи'!AS95+'ОБЪЕКТЫ'!AS116</x:f>
      </x:c>
      <x:c r="AT10" s="117" t="n">
        <x:f>'Продажи'!AT95+'ОБЪЕКТЫ'!AT116</x:f>
      </x:c>
      <x:c r="AU10" s="117" t="n">
        <x:f>'Продажи'!AU95+'ОБЪЕКТЫ'!AU116</x:f>
      </x:c>
      <x:c r="AV10" s="117" t="n">
        <x:f>'Продажи'!AV95+'ОБЪЕКТЫ'!AV116</x:f>
      </x:c>
      <x:c r="AW10" s="117" t="n">
        <x:f>'Продажи'!AW95+'ОБЪЕКТЫ'!AW116</x:f>
      </x:c>
      <x:c r="AX10" s="117" t="n">
        <x:f>'Продажи'!AX95+'ОБЪЕКТЫ'!AX116</x:f>
      </x:c>
      <x:c r="AY10" s="117" t="n">
        <x:f>'Продажи'!AY95+'ОБЪЕКТЫ'!AY116</x:f>
      </x:c>
      <x:c r="AZ10" s="117" t="n">
        <x:f>'Продажи'!AZ95+'ОБЪЕКТЫ'!AZ116</x:f>
      </x:c>
      <x:c r="BA10" s="117" t="n">
        <x:f>'Продажи'!BA95+'ОБЪЕКТЫ'!BA116</x:f>
      </x:c>
      <x:c r="BB10" s="117" t="n">
        <x:f>'Продажи'!BB95+'ОБЪЕКТЫ'!BB116</x:f>
      </x:c>
      <x:c r="BC10" s="117" t="n">
        <x:f>'Продажи'!BC95+'ОБЪЕКТЫ'!BC116</x:f>
      </x:c>
      <x:c r="BD10" s="117" t="n">
        <x:f>'Продажи'!BD95+'ОБЪЕКТЫ'!BD116</x:f>
      </x:c>
      <x:c r="BE10" s="117" t="n">
        <x:f>'Продажи'!BE95+'ОБЪЕКТЫ'!BE116</x:f>
      </x:c>
      <x:c r="BF10" s="117" t="n">
        <x:f>'Продажи'!BF95+'ОБЪЕКТЫ'!BF116</x:f>
      </x:c>
      <x:c r="BG10" s="117" t="n">
        <x:f>'Продажи'!BG95+'ОБЪЕКТЫ'!BG116</x:f>
      </x:c>
      <x:c r="BH10" s="117" t="n">
        <x:f>'Продажи'!BH95+'ОБЪЕКТЫ'!BH116</x:f>
      </x:c>
      <x:c r="BI10" s="117" t="n">
        <x:f>'Продажи'!BI95+'ОБЪЕКТЫ'!BI116</x:f>
      </x:c>
      <x:c r="BJ10" s="117" t="n">
        <x:f>'Продажи'!BJ95+'ОБЪЕКТЫ'!BJ116</x:f>
      </x:c>
      <x:c r="BK10" s="117" t="n">
        <x:f>'Продажи'!BK95+'ОБЪЕКТЫ'!BK116</x:f>
      </x:c>
      <x:c r="BL10" s="117" t="n">
        <x:f>'Продажи'!BL95+'ОБЪЕКТЫ'!BL116</x:f>
      </x:c>
      <x:c r="BM10" s="117" t="n">
        <x:f>'Продажи'!BM95+'ОБЪЕКТЫ'!BM116</x:f>
      </x:c>
      <x:c r="BN10" s="117" t="n">
        <x:f>'Продажи'!BN95+'ОБЪЕКТЫ'!BN116</x:f>
      </x:c>
      <x:c r="BO10" s="117" t="n">
        <x:f>'Продажи'!BO95+'ОБЪЕКТЫ'!BO116</x:f>
      </x:c>
      <x:c r="BP10" s="117" t="n">
        <x:f>'Продажи'!BP95+'ОБЪЕКТЫ'!BP116</x:f>
      </x:c>
      <x:c r="BQ10" s="117" t="n">
        <x:f>'Продажи'!BQ95+'ОБЪЕКТЫ'!BQ116</x:f>
      </x:c>
      <x:c r="BR10" s="117" t="n">
        <x:f>'Продажи'!BR95+'ОБЪЕКТЫ'!BR116</x:f>
      </x:c>
      <x:c r="BS10" s="117" t="n">
        <x:f>'Продажи'!BS95+'ОБЪЕКТЫ'!BS116</x:f>
      </x:c>
      <x:c r="BT10" s="117" t="n">
        <x:f>'Продажи'!BT95+'ОБЪЕКТЫ'!BT116</x:f>
      </x:c>
      <x:c r="BU10" s="117" t="n">
        <x:f>'Продажи'!BU95+'ОБЪЕКТЫ'!BU116</x:f>
      </x:c>
      <x:c r="BV10" s="117" t="n">
        <x:f>'Продажи'!BV95+'ОБЪЕКТЫ'!BV116</x:f>
      </x:c>
      <x:c r="BW10" s="117" t="n">
        <x:f>'Продажи'!BW95+'ОБЪЕКТЫ'!BW116</x:f>
      </x:c>
      <x:c r="BX10" s="117" t="n">
        <x:f>'Продажи'!BX95+'ОБЪЕКТЫ'!BX116</x:f>
      </x:c>
      <x:c r="BY10" s="117" t="n">
        <x:f>'Продажи'!BY95+'ОБЪЕКТЫ'!BY116</x:f>
      </x:c>
      <x:c r="BZ10" s="117" t="n">
        <x:f>'Продажи'!BZ95+'ОБЪЕКТЫ'!BZ116</x:f>
      </x:c>
      <x:c r="CA10" s="117" t="n">
        <x:f>'Продажи'!CA95+'ОБЪЕКТЫ'!CA116</x:f>
      </x:c>
      <x:c r="CB10" s="117" t="n">
        <x:f>'Продажи'!CB95+'ОБЪЕКТЫ'!CB116</x:f>
      </x:c>
      <x:c r="CC10" s="117" t="n">
        <x:f>'Продажи'!CC95+'ОБЪЕКТЫ'!CC116</x:f>
      </x:c>
      <x:c r="CD10" s="117" t="n">
        <x:f>'Продажи'!CD95+'ОБЪЕКТЫ'!CD116</x:f>
      </x:c>
      <x:c r="CE10" s="117" t="n">
        <x:f>'Продажи'!CE95+'ОБЪЕКТЫ'!CE116</x:f>
      </x:c>
      <x:c r="CF10" s="117" t="n">
        <x:f>'Продажи'!CF95+'ОБЪЕКТЫ'!CF116</x:f>
      </x:c>
      <x:c r="CG10" s="117" t="n">
        <x:f>'Продажи'!CG95+'ОБЪЕКТЫ'!CG116</x:f>
      </x:c>
      <x:c r="CH10" s="117" t="n">
        <x:f>'Продажи'!CH95+'ОБЪЕКТЫ'!CH116</x:f>
      </x:c>
      <x:c r="CI10" s="117" t="n">
        <x:f>'Продажи'!CI95+'ОБЪЕКТЫ'!CI116</x:f>
      </x:c>
      <x:c r="CJ10" s="117" t="n">
        <x:f>'Продажи'!CJ95+'ОБЪЕКТЫ'!CJ116</x:f>
      </x:c>
      <x:c r="CK10" s="117" t="n">
        <x:f>'Продажи'!CK95+'ОБЪЕКТЫ'!CK116</x:f>
      </x:c>
      <x:c r="CL10" s="117" t="n">
        <x:f>'Продажи'!CL95+'ОБЪЕКТЫ'!CL116</x:f>
      </x:c>
      <x:c r="CM10" s="117" t="n">
        <x:f>'Продажи'!CM95+'ОБЪЕКТЫ'!CM116</x:f>
      </x:c>
      <x:c r="CN10" s="117" t="n">
        <x:f>'Продажи'!CN95+'ОБЪЕКТЫ'!CN116</x:f>
      </x:c>
      <x:c r="CO10" s="117" t="n">
        <x:f>'Продажи'!CO95+'ОБЪЕКТЫ'!CO116</x:f>
      </x:c>
      <x:c r="CP10" s="117" t="n">
        <x:f>'Продажи'!CP95+'ОБЪЕКТЫ'!CP116</x:f>
      </x:c>
      <x:c r="CQ10" s="117" t="n">
        <x:f>'Продажи'!CQ95+'ОБЪЕКТЫ'!CQ116</x:f>
      </x:c>
      <x:c r="CR10" s="117" t="n">
        <x:f>'Продажи'!CR95+'ОБЪЕКТЫ'!CR116</x:f>
      </x:c>
      <x:c r="CS10" s="117" t="n">
        <x:f>'Продажи'!CS95+'ОБЪЕКТЫ'!CS116</x:f>
      </x:c>
      <x:c r="CT10" s="117" t="n">
        <x:f>'Продажи'!CT95+'ОБЪЕКТЫ'!CT116</x:f>
      </x:c>
      <x:c r="CU10" s="117" t="n">
        <x:f>'Продажи'!CU95+'ОБЪЕКТЫ'!CU116</x:f>
      </x:c>
      <x:c r="CV10" s="117" t="n">
        <x:f>'Продажи'!CV95+'ОБЪЕКТЫ'!CV116</x:f>
      </x:c>
      <x:c r="CW10" s="117" t="n">
        <x:f>'Продажи'!CW95+'ОБЪЕКТЫ'!CW116</x:f>
      </x:c>
      <x:c r="CX10" s="117" t="n">
        <x:f>'Продажи'!CX95+'ОБЪЕКТЫ'!CX116</x:f>
      </x:c>
      <x:c r="CY10" s="117" t="n">
        <x:f>'Продажи'!CY95+'ОБЪЕКТЫ'!CY116</x:f>
      </x:c>
      <x:c r="CZ10" s="117" t="n">
        <x:f>'Продажи'!CZ95+'ОБЪЕКТЫ'!CZ116</x:f>
      </x:c>
      <x:c r="DA10" s="117" t="n">
        <x:f>'Продажи'!DA95+'ОБЪЕКТЫ'!DA116</x:f>
      </x:c>
      <x:c r="DB10" s="117" t="n">
        <x:f>'Продажи'!DB95+'ОБЪЕКТЫ'!DB116</x:f>
      </x:c>
      <x:c r="DC10" s="117" t="n">
        <x:f>'Продажи'!DC95+'ОБЪЕКТЫ'!DC116</x:f>
      </x:c>
      <x:c r="DD10" s="117" t="n">
        <x:f>'Продажи'!DD95+'ОБЪЕКТЫ'!DD116</x:f>
      </x:c>
      <x:c r="DE10" s="117" t="n">
        <x:f>'Продажи'!DE95+'ОБЪЕКТЫ'!DE116</x:f>
      </x:c>
      <x:c r="DF10" s="117" t="n">
        <x:f>'Продажи'!DF95+'ОБЪЕКТЫ'!DF116</x:f>
      </x:c>
      <x:c r="DG10" s="117" t="n">
        <x:f>'Продажи'!DG95+'ОБЪЕКТЫ'!DG116</x:f>
      </x:c>
      <x:c r="DH10" s="117" t="n">
        <x:f>'Продажи'!DH95+'ОБЪЕКТЫ'!DH116</x:f>
      </x:c>
      <x:c r="DI10" s="117" t="n">
        <x:f>'Продажи'!DI95+'ОБЪЕКТЫ'!DI116</x:f>
      </x:c>
      <x:c r="DJ10" s="117" t="n">
        <x:f>'Продажи'!DJ95+'ОБЪЕКТЫ'!DJ116</x:f>
      </x:c>
      <x:c r="DK10" s="117" t="n">
        <x:f>'Продажи'!DK95+'ОБЪЕКТЫ'!DK116</x:f>
      </x:c>
      <x:c r="DL10" s="117" t="n">
        <x:f>'Продажи'!DL95+'ОБЪЕКТЫ'!DL116</x:f>
      </x:c>
      <x:c r="DM10" s="117" t="n">
        <x:f>'Продажи'!DM95+'ОБЪЕКТЫ'!DM116</x:f>
      </x:c>
      <x:c r="DN10" s="117" t="n">
        <x:f>'Продажи'!DN95+'ОБЪЕКТЫ'!DN116</x:f>
      </x:c>
      <x:c r="DO10" s="117" t="n">
        <x:f>'Продажи'!DO95+'ОБЪЕКТЫ'!DO116</x:f>
      </x:c>
      <x:c r="DP10" s="117" t="n">
        <x:f>'Продажи'!DP95+'ОБЪЕКТЫ'!DP116</x:f>
      </x:c>
      <x:c r="DQ10" s="117" t="n">
        <x:f>'Продажи'!DQ95+'ОБЪЕКТЫ'!DQ116</x:f>
      </x:c>
      <x:c r="DR10" s="117" t="n">
        <x:f>'Продажи'!DR95+'ОБЪЕКТЫ'!DR116</x:f>
      </x:c>
      <x:c r="DS10" s="117" t="n">
        <x:f>'Продажи'!DS95+'ОБЪЕКТЫ'!DS116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IF(D$3&lt;$B$8,'Продажи'!D95,0)+'ОБЪЕКТЫ'!D117</x:f>
      </x:c>
      <x:c r="E11" s="117" t="n">
        <x:f>IF(E$3&lt;$B$8,'Продажи'!E95,0)+'ОБЪЕКТЫ'!E117</x:f>
      </x:c>
      <x:c r="F11" s="117" t="n">
        <x:f>IF(F$3&lt;$B$8,'Продажи'!F95,0)+'ОБЪЕКТЫ'!F117</x:f>
      </x:c>
      <x:c r="G11" s="117" t="n">
        <x:f>IF(G$3&lt;$B$8,'Продажи'!G95,0)+'ОБЪЕКТЫ'!G117</x:f>
      </x:c>
      <x:c r="H11" s="117" t="n">
        <x:f>IF(H$3&lt;$B$8,'Продажи'!H95,0)+'ОБЪЕКТЫ'!H117</x:f>
      </x:c>
      <x:c r="I11" s="117" t="n">
        <x:f>IF(I$3&lt;$B$8,'Продажи'!I95,0)+'ОБЪЕКТЫ'!I117</x:f>
      </x:c>
      <x:c r="J11" s="117" t="n">
        <x:f>IF(J$3&lt;$B$8,'Продажи'!J95,0)+'ОБЪЕКТЫ'!J117</x:f>
      </x:c>
      <x:c r="K11" s="117" t="n">
        <x:f>IF(K$3&lt;$B$8,'Продажи'!K95,0)+'ОБЪЕКТЫ'!K117</x:f>
      </x:c>
      <x:c r="L11" s="117" t="n">
        <x:f>IF(L$3&lt;$B$8,'Продажи'!L95,0)+'ОБЪЕКТЫ'!L117</x:f>
      </x:c>
      <x:c r="M11" s="117" t="n">
        <x:f>IF(M$3&lt;$B$8,'Продажи'!M95,0)+'ОБЪЕКТЫ'!M117</x:f>
      </x:c>
      <x:c r="N11" s="117" t="n">
        <x:f>IF(N$3&lt;$B$8,'Продажи'!N95,0)+'ОБЪЕКТЫ'!N117</x:f>
      </x:c>
      <x:c r="O11" s="117" t="n">
        <x:f>IF(O$3&lt;$B$8,'Продажи'!O95,0)+'ОБЪЕКТЫ'!O117</x:f>
      </x:c>
      <x:c r="P11" s="117" t="n">
        <x:f>IF(P$3&lt;$B$8,'Продажи'!P95,0)+'ОБЪЕКТЫ'!P117</x:f>
      </x:c>
      <x:c r="Q11" s="117" t="n">
        <x:f>IF(Q$3&lt;$B$8,'Продажи'!Q95,0)+'ОБЪЕКТЫ'!Q117</x:f>
      </x:c>
      <x:c r="R11" s="117" t="n">
        <x:f>IF(R$3&lt;$B$8,'Продажи'!R95,0)+'ОБЪЕКТЫ'!R117</x:f>
      </x:c>
      <x:c r="S11" s="117" t="n">
        <x:f>IF(S$3&lt;$B$8,'Продажи'!S95,0)+'ОБЪЕКТЫ'!S117</x:f>
      </x:c>
      <x:c r="T11" s="117" t="n">
        <x:f>IF(T$3&lt;$B$8,'Продажи'!T95,0)+'ОБЪЕКТЫ'!T117</x:f>
      </x:c>
      <x:c r="U11" s="117" t="n">
        <x:f>IF(U$3&lt;$B$8,'Продажи'!U95,0)+'ОБЪЕКТЫ'!U117</x:f>
      </x:c>
      <x:c r="V11" s="117" t="n">
        <x:f>IF(V$3&lt;$B$8,'Продажи'!V95,0)+'ОБЪЕКТЫ'!V117</x:f>
      </x:c>
      <x:c r="W11" s="117" t="n">
        <x:f>IF(W$3&lt;$B$8,'Продажи'!W95,0)+'ОБЪЕКТЫ'!W117</x:f>
      </x:c>
      <x:c r="X11" s="117" t="n">
        <x:f>IF(X$3&lt;$B$8,'Продажи'!X95,0)+'ОБЪЕКТЫ'!X117</x:f>
      </x:c>
      <x:c r="Y11" s="117" t="n">
        <x:f>IF(Y$3&lt;$B$8,'Продажи'!Y95,0)+'ОБЪЕКТЫ'!Y117</x:f>
      </x:c>
      <x:c r="Z11" s="117" t="n">
        <x:f>IF(Z$3&lt;$B$8,'Продажи'!Z95,0)+'ОБЪЕКТЫ'!Z117</x:f>
      </x:c>
      <x:c r="AA11" s="117" t="n">
        <x:f>IF(AA$3&lt;$B$8,'Продажи'!AA95,0)+'ОБЪЕКТЫ'!AA117</x:f>
      </x:c>
      <x:c r="AB11" s="117" t="n">
        <x:f>IF(AB$3&lt;$B$8,'Продажи'!AB95,0)+'ОБЪЕКТЫ'!AB117</x:f>
      </x:c>
      <x:c r="AC11" s="117" t="n">
        <x:f>IF(AC$3&lt;$B$8,'Продажи'!AC95,0)+'ОБЪЕКТЫ'!AC117</x:f>
      </x:c>
      <x:c r="AD11" s="117" t="n">
        <x:f>IF(AD$3&lt;$B$8,'Продажи'!AD95,0)+'ОБЪЕКТЫ'!AD117</x:f>
      </x:c>
      <x:c r="AE11" s="117" t="n">
        <x:f>IF(AE$3&lt;$B$8,'Продажи'!AE95,0)+'ОБЪЕКТЫ'!AE117</x:f>
      </x:c>
      <x:c r="AF11" s="117" t="n">
        <x:f>IF(AF$3&lt;$B$8,'Продажи'!AF95,0)+'ОБЪЕКТЫ'!AF117</x:f>
      </x:c>
      <x:c r="AG11" s="117" t="n">
        <x:f>IF(AG$3&lt;$B$8,'Продажи'!AG95,0)+'ОБЪЕКТЫ'!AG117</x:f>
      </x:c>
      <x:c r="AH11" s="117" t="n">
        <x:f>IF(AH$3&lt;$B$8,'Продажи'!AH95,0)+'ОБЪЕКТЫ'!AH117</x:f>
      </x:c>
      <x:c r="AI11" s="117" t="n">
        <x:f>IF(AI$3&lt;$B$8,'Продажи'!AI95,0)+'ОБЪЕКТЫ'!AI117</x:f>
      </x:c>
      <x:c r="AJ11" s="117" t="n">
        <x:f>IF(AJ$3&lt;$B$8,'Продажи'!AJ95,0)+'ОБЪЕКТЫ'!AJ117</x:f>
      </x:c>
      <x:c r="AK11" s="117" t="n">
        <x:f>IF(AK$3&lt;$B$8,'Продажи'!AK95,0)+'ОБЪЕКТЫ'!AK117</x:f>
      </x:c>
      <x:c r="AL11" s="117" t="n">
        <x:f>IF(AL$3&lt;$B$8,'Продажи'!AL95,0)+'ОБЪЕКТЫ'!AL117</x:f>
      </x:c>
      <x:c r="AM11" s="117" t="n">
        <x:f>IF(AM$3&lt;$B$8,'Продажи'!AM95,0)+'ОБЪЕКТЫ'!AM117</x:f>
      </x:c>
      <x:c r="AN11" s="117" t="n">
        <x:f>IF(AN$3&lt;$B$8,'Продажи'!AN95,0)+'ОБЪЕКТЫ'!AN117</x:f>
      </x:c>
      <x:c r="AO11" s="117" t="n">
        <x:f>IF(AO$3&lt;$B$8,'Продажи'!AO95,0)+'ОБЪЕКТЫ'!AO117</x:f>
      </x:c>
      <x:c r="AP11" s="117" t="n">
        <x:f>IF(AP$3&lt;$B$8,'Продажи'!AP95,0)+'ОБЪЕКТЫ'!AP117</x:f>
      </x:c>
      <x:c r="AQ11" s="117" t="n">
        <x:f>IF(AQ$3&lt;$B$8,'Продажи'!AQ95,0)+'ОБЪЕКТЫ'!AQ117</x:f>
      </x:c>
      <x:c r="AR11" s="117" t="n">
        <x:f>IF(AR$3&lt;$B$8,'Продажи'!AR95,0)+'ОБЪЕКТЫ'!AR117</x:f>
      </x:c>
      <x:c r="AS11" s="117" t="n">
        <x:f>IF(AS$3&lt;$B$8,'Продажи'!AS95,0)+'ОБЪЕКТЫ'!AS117</x:f>
      </x:c>
      <x:c r="AT11" s="117" t="n">
        <x:f>IF(AT$3&lt;$B$8,'Продажи'!AT95,0)+'ОБЪЕКТЫ'!AT117</x:f>
      </x:c>
      <x:c r="AU11" s="117" t="n">
        <x:f>IF(AU$3&lt;$B$8,'Продажи'!AU95,0)+'ОБЪЕКТЫ'!AU117</x:f>
      </x:c>
      <x:c r="AV11" s="117" t="n">
        <x:f>IF(AV$3&lt;$B$8,'Продажи'!AV95,0)+'ОБЪЕКТЫ'!AV117</x:f>
      </x:c>
      <x:c r="AW11" s="117" t="n">
        <x:f>IF(AW$3&lt;$B$8,'Продажи'!AW95,0)+'ОБЪЕКТЫ'!AW117</x:f>
      </x:c>
      <x:c r="AX11" s="117" t="n">
        <x:f>IF(AX$3&lt;$B$8,'Продажи'!AX95,0)+'ОБЪЕКТЫ'!AX117</x:f>
      </x:c>
      <x:c r="AY11" s="117" t="n">
        <x:f>IF(AY$3&lt;$B$8,'Продажи'!AY95,0)+'ОБЪЕКТЫ'!AY117</x:f>
      </x:c>
      <x:c r="AZ11" s="117" t="n">
        <x:f>IF(AZ$3&lt;$B$8,'Продажи'!AZ95,0)+'ОБЪЕКТЫ'!AZ117</x:f>
      </x:c>
      <x:c r="BA11" s="117" t="n">
        <x:f>IF(BA$3&lt;$B$8,'Продажи'!BA95,0)+'ОБЪЕКТЫ'!BA117</x:f>
      </x:c>
      <x:c r="BB11" s="117" t="n">
        <x:f>IF(BB$3&lt;$B$8,'Продажи'!BB95,0)+'ОБЪЕКТЫ'!BB117</x:f>
      </x:c>
      <x:c r="BC11" s="117" t="n">
        <x:f>IF(BC$3&lt;$B$8,'Продажи'!BC95,0)+'ОБЪЕКТЫ'!BC117</x:f>
      </x:c>
      <x:c r="BD11" s="117" t="n">
        <x:f>IF(BD$3&lt;$B$8,'Продажи'!BD95,0)+'ОБЪЕКТЫ'!BD117</x:f>
      </x:c>
      <x:c r="BE11" s="117" t="n">
        <x:f>IF(BE$3&lt;$B$8,'Продажи'!BE95,0)+'ОБЪЕКТЫ'!BE117</x:f>
      </x:c>
      <x:c r="BF11" s="117" t="n">
        <x:f>IF(BF$3&lt;$B$8,'Продажи'!BF95,0)+'ОБЪЕКТЫ'!BF117</x:f>
      </x:c>
      <x:c r="BG11" s="117" t="n">
        <x:f>IF(BG$3&lt;$B$8,'Продажи'!BG95,0)+'ОБЪЕКТЫ'!BG117</x:f>
      </x:c>
      <x:c r="BH11" s="117" t="n">
        <x:f>IF(BH$3&lt;$B$8,'Продажи'!BH95,0)+'ОБЪЕКТЫ'!BH117</x:f>
      </x:c>
      <x:c r="BI11" s="117" t="n">
        <x:f>IF(BI$3&lt;$B$8,'Продажи'!BI95,0)+'ОБЪЕКТЫ'!BI117</x:f>
      </x:c>
      <x:c r="BJ11" s="117" t="n">
        <x:f>IF(BJ$3&lt;$B$8,'Продажи'!BJ95,0)+'ОБЪЕКТЫ'!BJ117</x:f>
      </x:c>
      <x:c r="BK11" s="117" t="n">
        <x:f>IF(BK$3&lt;$B$8,'Продажи'!BK95,0)+'ОБЪЕКТЫ'!BK117</x:f>
      </x:c>
      <x:c r="BL11" s="117" t="n">
        <x:f>IF(BL$3&lt;$B$8,'Продажи'!BL95,0)+'ОБЪЕКТЫ'!BL117</x:f>
      </x:c>
      <x:c r="BM11" s="117" t="n">
        <x:f>IF(BM$3&lt;$B$8,'Продажи'!BM95,0)+'ОБЪЕКТЫ'!BM117</x:f>
      </x:c>
      <x:c r="BN11" s="117" t="n">
        <x:f>IF(BN$3&lt;$B$8,'Продажи'!BN95,0)+'ОБЪЕКТЫ'!BN117</x:f>
      </x:c>
      <x:c r="BO11" s="117" t="n">
        <x:f>IF(BO$3&lt;$B$8,'Продажи'!BO95,0)+'ОБЪЕКТЫ'!BO117</x:f>
      </x:c>
      <x:c r="BP11" s="117" t="n">
        <x:f>IF(BP$3&lt;$B$8,'Продажи'!BP95,0)+'ОБЪЕКТЫ'!BP117</x:f>
      </x:c>
      <x:c r="BQ11" s="117" t="n">
        <x:f>IF(BQ$3&lt;$B$8,'Продажи'!BQ95,0)+'ОБЪЕКТЫ'!BQ117</x:f>
      </x:c>
      <x:c r="BR11" s="117" t="n">
        <x:f>IF(BR$3&lt;$B$8,'Продажи'!BR95,0)+'ОБЪЕКТЫ'!BR117</x:f>
      </x:c>
      <x:c r="BS11" s="117" t="n">
        <x:f>IF(BS$3&lt;$B$8,'Продажи'!BS95,0)+'ОБЪЕКТЫ'!BS117</x:f>
      </x:c>
      <x:c r="BT11" s="117" t="n">
        <x:f>IF(BT$3&lt;$B$8,'Продажи'!BT95,0)+'ОБЪЕКТЫ'!BT117</x:f>
      </x:c>
      <x:c r="BU11" s="117" t="n">
        <x:f>IF(BU$3&lt;$B$8,'Продажи'!BU95,0)+'ОБЪЕКТЫ'!BU117</x:f>
      </x:c>
      <x:c r="BV11" s="117" t="n">
        <x:f>IF(BV$3&lt;$B$8,'Продажи'!BV95,0)+'ОБЪЕКТЫ'!BV117</x:f>
      </x:c>
      <x:c r="BW11" s="117" t="n">
        <x:f>IF(BW$3&lt;$B$8,'Продажи'!BW95,0)+'ОБЪЕКТЫ'!BW117</x:f>
      </x:c>
      <x:c r="BX11" s="117" t="n">
        <x:f>IF(BX$3&lt;$B$8,'Продажи'!BX95,0)+'ОБЪЕКТЫ'!BX117</x:f>
      </x:c>
      <x:c r="BY11" s="117" t="n">
        <x:f>IF(BY$3&lt;$B$8,'Продажи'!BY95,0)+'ОБЪЕКТЫ'!BY117</x:f>
      </x:c>
      <x:c r="BZ11" s="117" t="n">
        <x:f>IF(BZ$3&lt;$B$8,'Продажи'!BZ95,0)+'ОБЪЕКТЫ'!BZ117</x:f>
      </x:c>
      <x:c r="CA11" s="117" t="n">
        <x:f>IF(CA$3&lt;$B$8,'Продажи'!CA95,0)+'ОБЪЕКТЫ'!CA117</x:f>
      </x:c>
      <x:c r="CB11" s="117" t="n">
        <x:f>IF(CB$3&lt;$B$8,'Продажи'!CB95,0)+'ОБЪЕКТЫ'!CB117</x:f>
      </x:c>
      <x:c r="CC11" s="117" t="n">
        <x:f>IF(CC$3&lt;$B$8,'Продажи'!CC95,0)+'ОБЪЕКТЫ'!CC117</x:f>
      </x:c>
      <x:c r="CD11" s="117" t="n">
        <x:f>IF(CD$3&lt;$B$8,'Продажи'!CD95,0)+'ОБЪЕКТЫ'!CD117</x:f>
      </x:c>
      <x:c r="CE11" s="117" t="n">
        <x:f>IF(CE$3&lt;$B$8,'Продажи'!CE95,0)+'ОБЪЕКТЫ'!CE117</x:f>
      </x:c>
      <x:c r="CF11" s="117" t="n">
        <x:f>IF(CF$3&lt;$B$8,'Продажи'!CF95,0)+'ОБЪЕКТЫ'!CF117</x:f>
      </x:c>
      <x:c r="CG11" s="117" t="n">
        <x:f>IF(CG$3&lt;$B$8,'Продажи'!CG95,0)+'ОБЪЕКТЫ'!CG117</x:f>
      </x:c>
      <x:c r="CH11" s="117" t="n">
        <x:f>IF(CH$3&lt;$B$8,'Продажи'!CH95,0)+'ОБЪЕКТЫ'!CH117</x:f>
      </x:c>
      <x:c r="CI11" s="117" t="n">
        <x:f>IF(CI$3&lt;$B$8,'Продажи'!CI95,0)+'ОБЪЕКТЫ'!CI117</x:f>
      </x:c>
      <x:c r="CJ11" s="117" t="n">
        <x:f>IF(CJ$3&lt;$B$8,'Продажи'!CJ95,0)+'ОБЪЕКТЫ'!CJ117</x:f>
      </x:c>
      <x:c r="CK11" s="117" t="n">
        <x:f>IF(CK$3&lt;$B$8,'Продажи'!CK95,0)+'ОБЪЕКТЫ'!CK117</x:f>
      </x:c>
      <x:c r="CL11" s="117" t="n">
        <x:f>IF(CL$3&lt;$B$8,'Продажи'!CL95,0)+'ОБЪЕКТЫ'!CL117</x:f>
      </x:c>
      <x:c r="CM11" s="117" t="n">
        <x:f>IF(CM$3&lt;$B$8,'Продажи'!CM95,0)+'ОБЪЕКТЫ'!CM117</x:f>
      </x:c>
      <x:c r="CN11" s="117" t="n">
        <x:f>IF(CN$3&lt;$B$8,'Продажи'!CN95,0)+'ОБЪЕКТЫ'!CN117</x:f>
      </x:c>
      <x:c r="CO11" s="117" t="n">
        <x:f>IF(CO$3&lt;$B$8,'Продажи'!CO95,0)+'ОБЪЕКТЫ'!CO117</x:f>
      </x:c>
      <x:c r="CP11" s="117" t="n">
        <x:f>IF(CP$3&lt;$B$8,'Продажи'!CP95,0)+'ОБЪЕКТЫ'!CP117</x:f>
      </x:c>
      <x:c r="CQ11" s="117" t="n">
        <x:f>IF(CQ$3&lt;$B$8,'Продажи'!CQ95,0)+'ОБЪЕКТЫ'!CQ117</x:f>
      </x:c>
      <x:c r="CR11" s="117" t="n">
        <x:f>IF(CR$3&lt;$B$8,'Продажи'!CR95,0)+'ОБЪЕКТЫ'!CR117</x:f>
      </x:c>
      <x:c r="CS11" s="117" t="n">
        <x:f>IF(CS$3&lt;$B$8,'Продажи'!CS95,0)+'ОБЪЕКТЫ'!CS117</x:f>
      </x:c>
      <x:c r="CT11" s="117" t="n">
        <x:f>IF(CT$3&lt;$B$8,'Продажи'!CT95,0)+'ОБЪЕКТЫ'!CT117</x:f>
      </x:c>
      <x:c r="CU11" s="117" t="n">
        <x:f>IF(CU$3&lt;$B$8,'Продажи'!CU95,0)+'ОБЪЕКТЫ'!CU117</x:f>
      </x:c>
      <x:c r="CV11" s="117" t="n">
        <x:f>IF(CV$3&lt;$B$8,'Продажи'!CV95,0)+'ОБЪЕКТЫ'!CV117</x:f>
      </x:c>
      <x:c r="CW11" s="117" t="n">
        <x:f>IF(CW$3&lt;$B$8,'Продажи'!CW95,0)+'ОБЪЕКТЫ'!CW117</x:f>
      </x:c>
      <x:c r="CX11" s="117" t="n">
        <x:f>IF(CX$3&lt;$B$8,'Продажи'!CX95,0)+'ОБЪЕКТЫ'!CX117</x:f>
      </x:c>
      <x:c r="CY11" s="117" t="n">
        <x:f>IF(CY$3&lt;$B$8,'Продажи'!CY95,0)+'ОБЪЕКТЫ'!CY117</x:f>
      </x:c>
      <x:c r="CZ11" s="117" t="n">
        <x:f>IF(CZ$3&lt;$B$8,'Продажи'!CZ95,0)+'ОБЪЕКТЫ'!CZ117</x:f>
      </x:c>
      <x:c r="DA11" s="117" t="n">
        <x:f>IF(DA$3&lt;$B$8,'Продажи'!DA95,0)+'ОБЪЕКТЫ'!DA117</x:f>
      </x:c>
      <x:c r="DB11" s="117" t="n">
        <x:f>IF(DB$3&lt;$B$8,'Продажи'!DB95,0)+'ОБЪЕКТЫ'!DB117</x:f>
      </x:c>
      <x:c r="DC11" s="117" t="n">
        <x:f>IF(DC$3&lt;$B$8,'Продажи'!DC95,0)+'ОБЪЕКТЫ'!DC117</x:f>
      </x:c>
      <x:c r="DD11" s="117" t="n">
        <x:f>IF(DD$3&lt;$B$8,'Продажи'!DD95,0)+'ОБЪЕКТЫ'!DD117</x:f>
      </x:c>
      <x:c r="DE11" s="117" t="n">
        <x:f>IF(DE$3&lt;$B$8,'Продажи'!DE95,0)+'ОБЪЕКТЫ'!DE117</x:f>
      </x:c>
      <x:c r="DF11" s="117" t="n">
        <x:f>IF(DF$3&lt;$B$8,'Продажи'!DF95,0)+'ОБЪЕКТЫ'!DF117</x:f>
      </x:c>
      <x:c r="DG11" s="117" t="n">
        <x:f>IF(DG$3&lt;$B$8,'Продажи'!DG95,0)+'ОБЪЕКТЫ'!DG117</x:f>
      </x:c>
      <x:c r="DH11" s="117" t="n">
        <x:f>IF(DH$3&lt;$B$8,'Продажи'!DH95,0)+'ОБЪЕКТЫ'!DH117</x:f>
      </x:c>
      <x:c r="DI11" s="117" t="n">
        <x:f>IF(DI$3&lt;$B$8,'Продажи'!DI95,0)+'ОБЪЕКТЫ'!DI117</x:f>
      </x:c>
      <x:c r="DJ11" s="117" t="n">
        <x:f>IF(DJ$3&lt;$B$8,'Продажи'!DJ95,0)+'ОБЪЕКТЫ'!DJ117</x:f>
      </x:c>
      <x:c r="DK11" s="117" t="n">
        <x:f>IF(DK$3&lt;$B$8,'Продажи'!DK95,0)+'ОБЪЕКТЫ'!DK117</x:f>
      </x:c>
      <x:c r="DL11" s="117" t="n">
        <x:f>IF(DL$3&lt;$B$8,'Продажи'!DL95,0)+'ОБЪЕКТЫ'!DL117</x:f>
      </x:c>
      <x:c r="DM11" s="117" t="n">
        <x:f>IF(DM$3&lt;$B$8,'Продажи'!DM95,0)+'ОБЪЕКТЫ'!DM117</x:f>
      </x:c>
      <x:c r="DN11" s="117" t="n">
        <x:f>IF(DN$3&lt;$B$8,'Продажи'!DN95,0)+'ОБЪЕКТЫ'!DN117</x:f>
      </x:c>
      <x:c r="DO11" s="117" t="n">
        <x:f>IF(DO$3&lt;$B$8,'Продажи'!DO95,0)+'ОБЪЕКТЫ'!DO117</x:f>
      </x:c>
      <x:c r="DP11" s="117" t="n">
        <x:f>IF(DP$3&lt;$B$8,'Продажи'!DP95,0)+'ОБЪЕКТЫ'!DP117</x:f>
      </x:c>
      <x:c r="DQ11" s="117" t="n">
        <x:f>IF(DQ$3&lt;$B$8,'Продажи'!DQ95,0)+'ОБЪЕКТЫ'!DQ117</x:f>
      </x:c>
      <x:c r="DR11" s="117" t="n">
        <x:f>IF(DR$3&lt;$B$8,'Продажи'!DR95,0)+'ОБЪЕКТЫ'!DR117</x:f>
      </x:c>
      <x:c r="DS11" s="117" t="n">
        <x:f>IF(DS$3&lt;$B$8,'Продажи'!DS95,0)+'ОБЪЕКТЫ'!DS117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IF(D$3&gt;=$B$8,'Продажи'!D95,0)+'ОБЪЕКТЫ'!D118</x:f>
      </x:c>
      <x:c r="E12" s="117" t="n">
        <x:f>IF(E$3&gt;=$B$8,'Продажи'!E95,0)+'ОБЪЕКТЫ'!E118</x:f>
      </x:c>
      <x:c r="F12" s="117" t="n">
        <x:f>IF(F$3&gt;=$B$8,'Продажи'!F95,0)+'ОБЪЕКТЫ'!F118</x:f>
      </x:c>
      <x:c r="G12" s="117" t="n">
        <x:f>IF(G$3&gt;=$B$8,'Продажи'!G95,0)+'ОБЪЕКТЫ'!G118</x:f>
      </x:c>
      <x:c r="H12" s="117" t="n">
        <x:f>IF(H$3&gt;=$B$8,'Продажи'!H95,0)+'ОБЪЕКТЫ'!H118</x:f>
      </x:c>
      <x:c r="I12" s="117" t="n">
        <x:f>IF(I$3&gt;=$B$8,'Продажи'!I95,0)+'ОБЪЕКТЫ'!I118</x:f>
      </x:c>
      <x:c r="J12" s="117" t="n">
        <x:f>IF(J$3&gt;=$B$8,'Продажи'!J95,0)+'ОБЪЕКТЫ'!J118</x:f>
      </x:c>
      <x:c r="K12" s="117" t="n">
        <x:f>IF(K$3&gt;=$B$8,'Продажи'!K95,0)+'ОБЪЕКТЫ'!K118</x:f>
      </x:c>
      <x:c r="L12" s="117" t="n">
        <x:f>IF(L$3&gt;=$B$8,'Продажи'!L95,0)+'ОБЪЕКТЫ'!L118</x:f>
      </x:c>
      <x:c r="M12" s="117" t="n">
        <x:f>IF(M$3&gt;=$B$8,'Продажи'!M95,0)+'ОБЪЕКТЫ'!M118</x:f>
      </x:c>
      <x:c r="N12" s="117" t="n">
        <x:f>IF(N$3&gt;=$B$8,'Продажи'!N95,0)+'ОБЪЕКТЫ'!N118</x:f>
      </x:c>
      <x:c r="O12" s="117" t="n">
        <x:f>IF(O$3&gt;=$B$8,'Продажи'!O95,0)+'ОБЪЕКТЫ'!O118</x:f>
      </x:c>
      <x:c r="P12" s="117" t="n">
        <x:f>IF(P$3&gt;=$B$8,'Продажи'!P95,0)+'ОБЪЕКТЫ'!P118</x:f>
      </x:c>
      <x:c r="Q12" s="117" t="n">
        <x:f>IF(Q$3&gt;=$B$8,'Продажи'!Q95,0)+'ОБЪЕКТЫ'!Q118</x:f>
      </x:c>
      <x:c r="R12" s="117" t="n">
        <x:f>IF(R$3&gt;=$B$8,'Продажи'!R95,0)+'ОБЪЕКТЫ'!R118</x:f>
      </x:c>
      <x:c r="S12" s="117" t="n">
        <x:f>IF(S$3&gt;=$B$8,'Продажи'!S95,0)+'ОБЪЕКТЫ'!S118</x:f>
      </x:c>
      <x:c r="T12" s="117" t="n">
        <x:f>IF(T$3&gt;=$B$8,'Продажи'!T95,0)+'ОБЪЕКТЫ'!T118</x:f>
      </x:c>
      <x:c r="U12" s="117" t="n">
        <x:f>IF(U$3&gt;=$B$8,'Продажи'!U95,0)+'ОБЪЕКТЫ'!U118</x:f>
      </x:c>
      <x:c r="V12" s="117" t="n">
        <x:f>IF(V$3&gt;=$B$8,'Продажи'!V95,0)+'ОБЪЕКТЫ'!V118</x:f>
      </x:c>
      <x:c r="W12" s="117" t="n">
        <x:f>IF(W$3&gt;=$B$8,'Продажи'!W95,0)+'ОБЪЕКТЫ'!W118</x:f>
      </x:c>
      <x:c r="X12" s="117" t="n">
        <x:f>IF(X$3&gt;=$B$8,'Продажи'!X95,0)+'ОБЪЕКТЫ'!X118</x:f>
      </x:c>
      <x:c r="Y12" s="117" t="n">
        <x:f>IF(Y$3&gt;=$B$8,'Продажи'!Y95,0)+'ОБЪЕКТЫ'!Y118</x:f>
      </x:c>
      <x:c r="Z12" s="117" t="n">
        <x:f>IF(Z$3&gt;=$B$8,'Продажи'!Z95,0)+'ОБЪЕКТЫ'!Z118</x:f>
      </x:c>
      <x:c r="AA12" s="117" t="n">
        <x:f>IF(AA$3&gt;=$B$8,'Продажи'!AA95,0)+'ОБЪЕКТЫ'!AA118</x:f>
      </x:c>
      <x:c r="AB12" s="117" t="n">
        <x:f>IF(AB$3&gt;=$B$8,'Продажи'!AB95,0)+'ОБЪЕКТЫ'!AB118</x:f>
      </x:c>
      <x:c r="AC12" s="117" t="n">
        <x:f>IF(AC$3&gt;=$B$8,'Продажи'!AC95,0)+'ОБЪЕКТЫ'!AC118</x:f>
      </x:c>
      <x:c r="AD12" s="117" t="n">
        <x:f>IF(AD$3&gt;=$B$8,'Продажи'!AD95,0)+'ОБЪЕКТЫ'!AD118</x:f>
      </x:c>
      <x:c r="AE12" s="117" t="n">
        <x:f>IF(AE$3&gt;=$B$8,'Продажи'!AE95,0)+'ОБЪЕКТЫ'!AE118</x:f>
      </x:c>
      <x:c r="AF12" s="117" t="n">
        <x:f>IF(AF$3&gt;=$B$8,'Продажи'!AF95,0)+'ОБЪЕКТЫ'!AF118</x:f>
      </x:c>
      <x:c r="AG12" s="117" t="n">
        <x:f>IF(AG$3&gt;=$B$8,'Продажи'!AG95,0)+'ОБЪЕКТЫ'!AG118</x:f>
      </x:c>
      <x:c r="AH12" s="117" t="n">
        <x:f>IF(AH$3&gt;=$B$8,'Продажи'!AH95,0)+'ОБЪЕКТЫ'!AH118</x:f>
      </x:c>
      <x:c r="AI12" s="117" t="n">
        <x:f>IF(AI$3&gt;=$B$8,'Продажи'!AI95,0)+'ОБЪЕКТЫ'!AI118</x:f>
      </x:c>
      <x:c r="AJ12" s="117" t="n">
        <x:f>IF(AJ$3&gt;=$B$8,'Продажи'!AJ95,0)+'ОБЪЕКТЫ'!AJ118</x:f>
      </x:c>
      <x:c r="AK12" s="117" t="n">
        <x:f>IF(AK$3&gt;=$B$8,'Продажи'!AK95,0)+'ОБЪЕКТЫ'!AK118</x:f>
      </x:c>
      <x:c r="AL12" s="117" t="n">
        <x:f>IF(AL$3&gt;=$B$8,'Продажи'!AL95,0)+'ОБЪЕКТЫ'!AL118</x:f>
      </x:c>
      <x:c r="AM12" s="117" t="n">
        <x:f>IF(AM$3&gt;=$B$8,'Продажи'!AM95,0)+'ОБЪЕКТЫ'!AM118</x:f>
      </x:c>
      <x:c r="AN12" s="117" t="n">
        <x:f>IF(AN$3&gt;=$B$8,'Продажи'!AN95,0)+'ОБЪЕКТЫ'!AN118</x:f>
      </x:c>
      <x:c r="AO12" s="117" t="n">
        <x:f>IF(AO$3&gt;=$B$8,'Продажи'!AO95,0)+'ОБЪЕКТЫ'!AO118</x:f>
      </x:c>
      <x:c r="AP12" s="117" t="n">
        <x:f>IF(AP$3&gt;=$B$8,'Продажи'!AP95,0)+'ОБЪЕКТЫ'!AP118</x:f>
      </x:c>
      <x:c r="AQ12" s="117" t="n">
        <x:f>IF(AQ$3&gt;=$B$8,'Продажи'!AQ95,0)+'ОБЪЕКТЫ'!AQ118</x:f>
      </x:c>
      <x:c r="AR12" s="117" t="n">
        <x:f>IF(AR$3&gt;=$B$8,'Продажи'!AR95,0)+'ОБЪЕКТЫ'!AR118</x:f>
      </x:c>
      <x:c r="AS12" s="117" t="n">
        <x:f>IF(AS$3&gt;=$B$8,'Продажи'!AS95,0)+'ОБЪЕКТЫ'!AS118</x:f>
      </x:c>
      <x:c r="AT12" s="117" t="n">
        <x:f>IF(AT$3&gt;=$B$8,'Продажи'!AT95,0)+'ОБЪЕКТЫ'!AT118</x:f>
      </x:c>
      <x:c r="AU12" s="117" t="n">
        <x:f>IF(AU$3&gt;=$B$8,'Продажи'!AU95,0)+'ОБЪЕКТЫ'!AU118</x:f>
      </x:c>
      <x:c r="AV12" s="117" t="n">
        <x:f>IF(AV$3&gt;=$B$8,'Продажи'!AV95,0)+'ОБЪЕКТЫ'!AV118</x:f>
      </x:c>
      <x:c r="AW12" s="117" t="n">
        <x:f>IF(AW$3&gt;=$B$8,'Продажи'!AW95,0)+'ОБЪЕКТЫ'!AW118</x:f>
      </x:c>
      <x:c r="AX12" s="117" t="n">
        <x:f>IF(AX$3&gt;=$B$8,'Продажи'!AX95,0)+'ОБЪЕКТЫ'!AX118</x:f>
      </x:c>
      <x:c r="AY12" s="117" t="n">
        <x:f>IF(AY$3&gt;=$B$8,'Продажи'!AY95,0)+'ОБЪЕКТЫ'!AY118</x:f>
      </x:c>
      <x:c r="AZ12" s="117" t="n">
        <x:f>IF(AZ$3&gt;=$B$8,'Продажи'!AZ95,0)+'ОБЪЕКТЫ'!AZ118</x:f>
      </x:c>
      <x:c r="BA12" s="117" t="n">
        <x:f>IF(BA$3&gt;=$B$8,'Продажи'!BA95,0)+'ОБЪЕКТЫ'!BA118</x:f>
      </x:c>
      <x:c r="BB12" s="117" t="n">
        <x:f>IF(BB$3&gt;=$B$8,'Продажи'!BB95,0)+'ОБЪЕКТЫ'!BB118</x:f>
      </x:c>
      <x:c r="BC12" s="117" t="n">
        <x:f>IF(BC$3&gt;=$B$8,'Продажи'!BC95,0)+'ОБЪЕКТЫ'!BC118</x:f>
      </x:c>
      <x:c r="BD12" s="117" t="n">
        <x:f>IF(BD$3&gt;=$B$8,'Продажи'!BD95,0)+'ОБЪЕКТЫ'!BD118</x:f>
      </x:c>
      <x:c r="BE12" s="117" t="n">
        <x:f>IF(BE$3&gt;=$B$8,'Продажи'!BE95,0)+'ОБЪЕКТЫ'!BE118</x:f>
      </x:c>
      <x:c r="BF12" s="117" t="n">
        <x:f>IF(BF$3&gt;=$B$8,'Продажи'!BF95,0)+'ОБЪЕКТЫ'!BF118</x:f>
      </x:c>
      <x:c r="BG12" s="117" t="n">
        <x:f>IF(BG$3&gt;=$B$8,'Продажи'!BG95,0)+'ОБЪЕКТЫ'!BG118</x:f>
      </x:c>
      <x:c r="BH12" s="117" t="n">
        <x:f>IF(BH$3&gt;=$B$8,'Продажи'!BH95,0)+'ОБЪЕКТЫ'!BH118</x:f>
      </x:c>
      <x:c r="BI12" s="117" t="n">
        <x:f>IF(BI$3&gt;=$B$8,'Продажи'!BI95,0)+'ОБЪЕКТЫ'!BI118</x:f>
      </x:c>
      <x:c r="BJ12" s="117" t="n">
        <x:f>IF(BJ$3&gt;=$B$8,'Продажи'!BJ95,0)+'ОБЪЕКТЫ'!BJ118</x:f>
      </x:c>
      <x:c r="BK12" s="117" t="n">
        <x:f>IF(BK$3&gt;=$B$8,'Продажи'!BK95,0)+'ОБЪЕКТЫ'!BK118</x:f>
      </x:c>
      <x:c r="BL12" s="117" t="n">
        <x:f>IF(BL$3&gt;=$B$8,'Продажи'!BL95,0)+'ОБЪЕКТЫ'!BL118</x:f>
      </x:c>
      <x:c r="BM12" s="117" t="n">
        <x:f>IF(BM$3&gt;=$B$8,'Продажи'!BM95,0)+'ОБЪЕКТЫ'!BM118</x:f>
      </x:c>
      <x:c r="BN12" s="117" t="n">
        <x:f>IF(BN$3&gt;=$B$8,'Продажи'!BN95,0)+'ОБЪЕКТЫ'!BN118</x:f>
      </x:c>
      <x:c r="BO12" s="117" t="n">
        <x:f>IF(BO$3&gt;=$B$8,'Продажи'!BO95,0)+'ОБЪЕКТЫ'!BO118</x:f>
      </x:c>
      <x:c r="BP12" s="117" t="n">
        <x:f>IF(BP$3&gt;=$B$8,'Продажи'!BP95,0)+'ОБЪЕКТЫ'!BP118</x:f>
      </x:c>
      <x:c r="BQ12" s="117" t="n">
        <x:f>IF(BQ$3&gt;=$B$8,'Продажи'!BQ95,0)+'ОБЪЕКТЫ'!BQ118</x:f>
      </x:c>
      <x:c r="BR12" s="117" t="n">
        <x:f>IF(BR$3&gt;=$B$8,'Продажи'!BR95,0)+'ОБЪЕКТЫ'!BR118</x:f>
      </x:c>
      <x:c r="BS12" s="117" t="n">
        <x:f>IF(BS$3&gt;=$B$8,'Продажи'!BS95,0)+'ОБЪЕКТЫ'!BS118</x:f>
      </x:c>
      <x:c r="BT12" s="117" t="n">
        <x:f>IF(BT$3&gt;=$B$8,'Продажи'!BT95,0)+'ОБЪЕКТЫ'!BT118</x:f>
      </x:c>
      <x:c r="BU12" s="117" t="n">
        <x:f>IF(BU$3&gt;=$B$8,'Продажи'!BU95,0)+'ОБЪЕКТЫ'!BU118</x:f>
      </x:c>
      <x:c r="BV12" s="117" t="n">
        <x:f>IF(BV$3&gt;=$B$8,'Продажи'!BV95,0)+'ОБЪЕКТЫ'!BV118</x:f>
      </x:c>
      <x:c r="BW12" s="117" t="n">
        <x:f>IF(BW$3&gt;=$B$8,'Продажи'!BW95,0)+'ОБЪЕКТЫ'!BW118</x:f>
      </x:c>
      <x:c r="BX12" s="117" t="n">
        <x:f>IF(BX$3&gt;=$B$8,'Продажи'!BX95,0)+'ОБЪЕКТЫ'!BX118</x:f>
      </x:c>
      <x:c r="BY12" s="117" t="n">
        <x:f>IF(BY$3&gt;=$B$8,'Продажи'!BY95,0)+'ОБЪЕКТЫ'!BY118</x:f>
      </x:c>
      <x:c r="BZ12" s="117" t="n">
        <x:f>IF(BZ$3&gt;=$B$8,'Продажи'!BZ95,0)+'ОБЪЕКТЫ'!BZ118</x:f>
      </x:c>
      <x:c r="CA12" s="117" t="n">
        <x:f>IF(CA$3&gt;=$B$8,'Продажи'!CA95,0)+'ОБЪЕКТЫ'!CA118</x:f>
      </x:c>
      <x:c r="CB12" s="117" t="n">
        <x:f>IF(CB$3&gt;=$B$8,'Продажи'!CB95,0)+'ОБЪЕКТЫ'!CB118</x:f>
      </x:c>
      <x:c r="CC12" s="117" t="n">
        <x:f>IF(CC$3&gt;=$B$8,'Продажи'!CC95,0)+'ОБЪЕКТЫ'!CC118</x:f>
      </x:c>
      <x:c r="CD12" s="117" t="n">
        <x:f>IF(CD$3&gt;=$B$8,'Продажи'!CD95,0)+'ОБЪЕКТЫ'!CD118</x:f>
      </x:c>
      <x:c r="CE12" s="117" t="n">
        <x:f>IF(CE$3&gt;=$B$8,'Продажи'!CE95,0)+'ОБЪЕКТЫ'!CE118</x:f>
      </x:c>
      <x:c r="CF12" s="117" t="n">
        <x:f>IF(CF$3&gt;=$B$8,'Продажи'!CF95,0)+'ОБЪЕКТЫ'!CF118</x:f>
      </x:c>
      <x:c r="CG12" s="117" t="n">
        <x:f>IF(CG$3&gt;=$B$8,'Продажи'!CG95,0)+'ОБЪЕКТЫ'!CG118</x:f>
      </x:c>
      <x:c r="CH12" s="117" t="n">
        <x:f>IF(CH$3&gt;=$B$8,'Продажи'!CH95,0)+'ОБЪЕКТЫ'!CH118</x:f>
      </x:c>
      <x:c r="CI12" s="117" t="n">
        <x:f>IF(CI$3&gt;=$B$8,'Продажи'!CI95,0)+'ОБЪЕКТЫ'!CI118</x:f>
      </x:c>
      <x:c r="CJ12" s="117" t="n">
        <x:f>IF(CJ$3&gt;=$B$8,'Продажи'!CJ95,0)+'ОБЪЕКТЫ'!CJ118</x:f>
      </x:c>
      <x:c r="CK12" s="117" t="n">
        <x:f>IF(CK$3&gt;=$B$8,'Продажи'!CK95,0)+'ОБЪЕКТЫ'!CK118</x:f>
      </x:c>
      <x:c r="CL12" s="117" t="n">
        <x:f>IF(CL$3&gt;=$B$8,'Продажи'!CL95,0)+'ОБЪЕКТЫ'!CL118</x:f>
      </x:c>
      <x:c r="CM12" s="117" t="n">
        <x:f>IF(CM$3&gt;=$B$8,'Продажи'!CM95,0)+'ОБЪЕКТЫ'!CM118</x:f>
      </x:c>
      <x:c r="CN12" s="117" t="n">
        <x:f>IF(CN$3&gt;=$B$8,'Продажи'!CN95,0)+'ОБЪЕКТЫ'!CN118</x:f>
      </x:c>
      <x:c r="CO12" s="117" t="n">
        <x:f>IF(CO$3&gt;=$B$8,'Продажи'!CO95,0)+'ОБЪЕКТЫ'!CO118</x:f>
      </x:c>
      <x:c r="CP12" s="117" t="n">
        <x:f>IF(CP$3&gt;=$B$8,'Продажи'!CP95,0)+'ОБЪЕКТЫ'!CP118</x:f>
      </x:c>
      <x:c r="CQ12" s="117" t="n">
        <x:f>IF(CQ$3&gt;=$B$8,'Продажи'!CQ95,0)+'ОБЪЕКТЫ'!CQ118</x:f>
      </x:c>
      <x:c r="CR12" s="117" t="n">
        <x:f>IF(CR$3&gt;=$B$8,'Продажи'!CR95,0)+'ОБЪЕКТЫ'!CR118</x:f>
      </x:c>
      <x:c r="CS12" s="117" t="n">
        <x:f>IF(CS$3&gt;=$B$8,'Продажи'!CS95,0)+'ОБЪЕКТЫ'!CS118</x:f>
      </x:c>
      <x:c r="CT12" s="117" t="n">
        <x:f>IF(CT$3&gt;=$B$8,'Продажи'!CT95,0)+'ОБЪЕКТЫ'!CT118</x:f>
      </x:c>
      <x:c r="CU12" s="117" t="n">
        <x:f>IF(CU$3&gt;=$B$8,'Продажи'!CU95,0)+'ОБЪЕКТЫ'!CU118</x:f>
      </x:c>
      <x:c r="CV12" s="117" t="n">
        <x:f>IF(CV$3&gt;=$B$8,'Продажи'!CV95,0)+'ОБЪЕКТЫ'!CV118</x:f>
      </x:c>
      <x:c r="CW12" s="117" t="n">
        <x:f>IF(CW$3&gt;=$B$8,'Продажи'!CW95,0)+'ОБЪЕКТЫ'!CW118</x:f>
      </x:c>
      <x:c r="CX12" s="117" t="n">
        <x:f>IF(CX$3&gt;=$B$8,'Продажи'!CX95,0)+'ОБЪЕКТЫ'!CX118</x:f>
      </x:c>
      <x:c r="CY12" s="117" t="n">
        <x:f>IF(CY$3&gt;=$B$8,'Продажи'!CY95,0)+'ОБЪЕКТЫ'!CY118</x:f>
      </x:c>
      <x:c r="CZ12" s="117" t="n">
        <x:f>IF(CZ$3&gt;=$B$8,'Продажи'!CZ95,0)+'ОБЪЕКТЫ'!CZ118</x:f>
      </x:c>
      <x:c r="DA12" s="117" t="n">
        <x:f>IF(DA$3&gt;=$B$8,'Продажи'!DA95,0)+'ОБЪЕКТЫ'!DA118</x:f>
      </x:c>
      <x:c r="DB12" s="117" t="n">
        <x:f>IF(DB$3&gt;=$B$8,'Продажи'!DB95,0)+'ОБЪЕКТЫ'!DB118</x:f>
      </x:c>
      <x:c r="DC12" s="117" t="n">
        <x:f>IF(DC$3&gt;=$B$8,'Продажи'!DC95,0)+'ОБЪЕКТЫ'!DC118</x:f>
      </x:c>
      <x:c r="DD12" s="117" t="n">
        <x:f>IF(DD$3&gt;=$B$8,'Продажи'!DD95,0)+'ОБЪЕКТЫ'!DD118</x:f>
      </x:c>
      <x:c r="DE12" s="117" t="n">
        <x:f>IF(DE$3&gt;=$B$8,'Продажи'!DE95,0)+'ОБЪЕКТЫ'!DE118</x:f>
      </x:c>
      <x:c r="DF12" s="117" t="n">
        <x:f>IF(DF$3&gt;=$B$8,'Продажи'!DF95,0)+'ОБЪЕКТЫ'!DF118</x:f>
      </x:c>
      <x:c r="DG12" s="117" t="n">
        <x:f>IF(DG$3&gt;=$B$8,'Продажи'!DG95,0)+'ОБЪЕКТЫ'!DG118</x:f>
      </x:c>
      <x:c r="DH12" s="117" t="n">
        <x:f>IF(DH$3&gt;=$B$8,'Продажи'!DH95,0)+'ОБЪЕКТЫ'!DH118</x:f>
      </x:c>
      <x:c r="DI12" s="117" t="n">
        <x:f>IF(DI$3&gt;=$B$8,'Продажи'!DI95,0)+'ОБЪЕКТЫ'!DI118</x:f>
      </x:c>
      <x:c r="DJ12" s="117" t="n">
        <x:f>IF(DJ$3&gt;=$B$8,'Продажи'!DJ95,0)+'ОБЪЕКТЫ'!DJ118</x:f>
      </x:c>
      <x:c r="DK12" s="117" t="n">
        <x:f>IF(DK$3&gt;=$B$8,'Продажи'!DK95,0)+'ОБЪЕКТЫ'!DK118</x:f>
      </x:c>
      <x:c r="DL12" s="117" t="n">
        <x:f>IF(DL$3&gt;=$B$8,'Продажи'!DL95,0)+'ОБЪЕКТЫ'!DL118</x:f>
      </x:c>
      <x:c r="DM12" s="117" t="n">
        <x:f>IF(DM$3&gt;=$B$8,'Продажи'!DM95,0)+'ОБЪЕКТЫ'!DM118</x:f>
      </x:c>
      <x:c r="DN12" s="117" t="n">
        <x:f>IF(DN$3&gt;=$B$8,'Продажи'!DN95,0)+'ОБЪЕКТЫ'!DN118</x:f>
      </x:c>
      <x:c r="DO12" s="117" t="n">
        <x:f>IF(DO$3&gt;=$B$8,'Продажи'!DO95,0)+'ОБЪЕКТЫ'!DO118</x:f>
      </x:c>
      <x:c r="DP12" s="117" t="n">
        <x:f>IF(DP$3&gt;=$B$8,'Продажи'!DP95,0)+'ОБЪЕКТЫ'!DP118</x:f>
      </x:c>
      <x:c r="DQ12" s="117" t="n">
        <x:f>IF(DQ$3&gt;=$B$8,'Продажи'!DQ95,0)+'ОБЪЕКТЫ'!DQ118</x:f>
      </x:c>
      <x:c r="DR12" s="117" t="n">
        <x:f>IF(DR$3&gt;=$B$8,'Продажи'!DR95,0)+'ОБЪЕКТЫ'!DR118</x:f>
      </x:c>
      <x:c r="DS12" s="117" t="n">
        <x:f>IF(DS$3&gt;=$B$8,'Продажи'!DS95,0)+'ОБЪЕКТЫ'!DS118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0+'ОБЪЕКТЫ'!D119</x:f>
      </x:c>
      <x:c r="E14" s="117" t="n">
        <x:f>IF(AND(YEAR(E$3)=YEAR($B$8),MONTH(E$3)=MONTH($B$8)),SUM('Продажи'!$D$95:'Продажи'!D$95),0)+'ОБЪЕКТЫ'!E119</x:f>
      </x:c>
      <x:c r="F14" s="117" t="n">
        <x:f>IF(AND(YEAR(F$3)=YEAR($B$8),MONTH(F$3)=MONTH($B$8)),SUM('Продажи'!$D$95:'Продажи'!E$95),0)+'ОБЪЕКТЫ'!F119</x:f>
      </x:c>
      <x:c r="G14" s="117" t="n">
        <x:f>IF(AND(YEAR(G$3)=YEAR($B$8),MONTH(G$3)=MONTH($B$8)),SUM('Продажи'!$D$95:'Продажи'!F$95),0)+'ОБЪЕКТЫ'!G119</x:f>
      </x:c>
      <x:c r="H14" s="117" t="n">
        <x:f>IF(AND(YEAR(H$3)=YEAR($B$8),MONTH(H$3)=MONTH($B$8)),SUM('Продажи'!$D$95:'Продажи'!G$95),0)+'ОБЪЕКТЫ'!H119</x:f>
      </x:c>
      <x:c r="I14" s="117" t="n">
        <x:f>IF(AND(YEAR(I$3)=YEAR($B$8),MONTH(I$3)=MONTH($B$8)),SUM('Продажи'!$D$95:'Продажи'!H$95),0)+'ОБЪЕКТЫ'!I119</x:f>
      </x:c>
      <x:c r="J14" s="117" t="n">
        <x:f>IF(AND(YEAR(J$3)=YEAR($B$8),MONTH(J$3)=MONTH($B$8)),SUM('Продажи'!$D$95:'Продажи'!I$95),0)+'ОБЪЕКТЫ'!J119</x:f>
      </x:c>
      <x:c r="K14" s="117" t="n">
        <x:f>IF(AND(YEAR(K$3)=YEAR($B$8),MONTH(K$3)=MONTH($B$8)),SUM('Продажи'!$D$95:'Продажи'!J$95),0)+'ОБЪЕКТЫ'!K119</x:f>
      </x:c>
      <x:c r="L14" s="117" t="n">
        <x:f>IF(AND(YEAR(L$3)=YEAR($B$8),MONTH(L$3)=MONTH($B$8)),SUM('Продажи'!$D$95:'Продажи'!K$95),0)+'ОБЪЕКТЫ'!L119</x:f>
      </x:c>
      <x:c r="M14" s="117" t="n">
        <x:f>IF(AND(YEAR(M$3)=YEAR($B$8),MONTH(M$3)=MONTH($B$8)),SUM('Продажи'!$D$95:'Продажи'!L$95),0)+'ОБЪЕКТЫ'!M119</x:f>
      </x:c>
      <x:c r="N14" s="117" t="n">
        <x:f>IF(AND(YEAR(N$3)=YEAR($B$8),MONTH(N$3)=MONTH($B$8)),SUM('Продажи'!$D$95:'Продажи'!M$95),0)+'ОБЪЕКТЫ'!N119</x:f>
      </x:c>
      <x:c r="O14" s="117" t="n">
        <x:f>IF(AND(YEAR(O$3)=YEAR($B$8),MONTH(O$3)=MONTH($B$8)),SUM('Продажи'!$D$95:'Продажи'!N$95),0)+'ОБЪЕКТЫ'!O119</x:f>
      </x:c>
      <x:c r="P14" s="117" t="n">
        <x:f>IF(AND(YEAR(P$3)=YEAR($B$8),MONTH(P$3)=MONTH($B$8)),SUM('Продажи'!$D$95:'Продажи'!O$95),0)+'ОБЪЕКТЫ'!P119</x:f>
      </x:c>
      <x:c r="Q14" s="117" t="n">
        <x:f>IF(AND(YEAR(Q$3)=YEAR($B$8),MONTH(Q$3)=MONTH($B$8)),SUM('Продажи'!$D$95:'Продажи'!P$95),0)+'ОБЪЕКТЫ'!Q119</x:f>
      </x:c>
      <x:c r="R14" s="117" t="n">
        <x:f>IF(AND(YEAR(R$3)=YEAR($B$8),MONTH(R$3)=MONTH($B$8)),SUM('Продажи'!$D$95:'Продажи'!Q$95),0)+'ОБЪЕКТЫ'!R119</x:f>
      </x:c>
      <x:c r="S14" s="117" t="n">
        <x:f>IF(AND(YEAR(S$3)=YEAR($B$8),MONTH(S$3)=MONTH($B$8)),SUM('Продажи'!$D$95:'Продажи'!R$95),0)+'ОБЪЕКТЫ'!S119</x:f>
      </x:c>
      <x:c r="T14" s="117" t="n">
        <x:f>IF(AND(YEAR(T$3)=YEAR($B$8),MONTH(T$3)=MONTH($B$8)),SUM('Продажи'!$D$95:'Продажи'!S$95),0)+'ОБЪЕКТЫ'!T119</x:f>
      </x:c>
      <x:c r="U14" s="117" t="n">
        <x:f>IF(AND(YEAR(U$3)=YEAR($B$8),MONTH(U$3)=MONTH($B$8)),SUM('Продажи'!$D$95:'Продажи'!T$95),0)+'ОБЪЕКТЫ'!U119</x:f>
      </x:c>
      <x:c r="V14" s="117" t="n">
        <x:f>IF(AND(YEAR(V$3)=YEAR($B$8),MONTH(V$3)=MONTH($B$8)),SUM('Продажи'!$D$95:'Продажи'!U$95),0)+'ОБЪЕКТЫ'!V119</x:f>
      </x:c>
      <x:c r="W14" s="117" t="n">
        <x:f>IF(AND(YEAR(W$3)=YEAR($B$8),MONTH(W$3)=MONTH($B$8)),SUM('Продажи'!$D$95:'Продажи'!V$95),0)+'ОБЪЕКТЫ'!W119</x:f>
      </x:c>
      <x:c r="X14" s="117" t="n">
        <x:f>IF(AND(YEAR(X$3)=YEAR($B$8),MONTH(X$3)=MONTH($B$8)),SUM('Продажи'!$D$95:'Продажи'!W$95),0)+'ОБЪЕКТЫ'!X119</x:f>
      </x:c>
      <x:c r="Y14" s="117" t="n">
        <x:f>IF(AND(YEAR(Y$3)=YEAR($B$8),MONTH(Y$3)=MONTH($B$8)),SUM('Продажи'!$D$95:'Продажи'!X$95),0)+'ОБЪЕКТЫ'!Y119</x:f>
      </x:c>
      <x:c r="Z14" s="117" t="n">
        <x:f>IF(AND(YEAR(Z$3)=YEAR($B$8),MONTH(Z$3)=MONTH($B$8)),SUM('Продажи'!$D$95:'Продажи'!Y$95),0)+'ОБЪЕКТЫ'!Z119</x:f>
      </x:c>
      <x:c r="AA14" s="117" t="n">
        <x:f>IF(AND(YEAR(AA$3)=YEAR($B$8),MONTH(AA$3)=MONTH($B$8)),SUM('Продажи'!$D$95:'Продажи'!Z$95),0)+'ОБЪЕКТЫ'!AA119</x:f>
      </x:c>
      <x:c r="AB14" s="117" t="n">
        <x:f>IF(AND(YEAR(AB$3)=YEAR($B$8),MONTH(AB$3)=MONTH($B$8)),SUM('Продажи'!$D$95:'Продажи'!AA$95),0)+'ОБЪЕКТЫ'!AB119</x:f>
      </x:c>
      <x:c r="AC14" s="117" t="n">
        <x:f>IF(AND(YEAR(AC$3)=YEAR($B$8),MONTH(AC$3)=MONTH($B$8)),SUM('Продажи'!$D$95:'Продажи'!AB$95),0)+'ОБЪЕКТЫ'!AC119</x:f>
      </x:c>
      <x:c r="AD14" s="117" t="n">
        <x:f>IF(AND(YEAR(AD$3)=YEAR($B$8),MONTH(AD$3)=MONTH($B$8)),SUM('Продажи'!$D$95:'Продажи'!AC$95),0)+'ОБЪЕКТЫ'!AD119</x:f>
      </x:c>
      <x:c r="AE14" s="117" t="n">
        <x:f>IF(AND(YEAR(AE$3)=YEAR($B$8),MONTH(AE$3)=MONTH($B$8)),SUM('Продажи'!$D$95:'Продажи'!AD$95),0)+'ОБЪЕКТЫ'!AE119</x:f>
      </x:c>
      <x:c r="AF14" s="117" t="n">
        <x:f>IF(AND(YEAR(AF$3)=YEAR($B$8),MONTH(AF$3)=MONTH($B$8)),SUM('Продажи'!$D$95:'Продажи'!AE$95),0)+'ОБЪЕКТЫ'!AF119</x:f>
      </x:c>
      <x:c r="AG14" s="117" t="n">
        <x:f>IF(AND(YEAR(AG$3)=YEAR($B$8),MONTH(AG$3)=MONTH($B$8)),SUM('Продажи'!$D$95:'Продажи'!AF$95),0)+'ОБЪЕКТЫ'!AG119</x:f>
      </x:c>
      <x:c r="AH14" s="117" t="n">
        <x:f>IF(AND(YEAR(AH$3)=YEAR($B$8),MONTH(AH$3)=MONTH($B$8)),SUM('Продажи'!$D$95:'Продажи'!AG$95),0)+'ОБЪЕКТЫ'!AH119</x:f>
      </x:c>
      <x:c r="AI14" s="117" t="n">
        <x:f>IF(AND(YEAR(AI$3)=YEAR($B$8),MONTH(AI$3)=MONTH($B$8)),SUM('Продажи'!$D$95:'Продажи'!AH$95),0)+'ОБЪЕКТЫ'!AI119</x:f>
      </x:c>
      <x:c r="AJ14" s="117" t="n">
        <x:f>IF(AND(YEAR(AJ$3)=YEAR($B$8),MONTH(AJ$3)=MONTH($B$8)),SUM('Продажи'!$D$95:'Продажи'!AI$95),0)+'ОБЪЕКТЫ'!AJ119</x:f>
      </x:c>
      <x:c r="AK14" s="117" t="n">
        <x:f>IF(AND(YEAR(AK$3)=YEAR($B$8),MONTH(AK$3)=MONTH($B$8)),SUM('Продажи'!$D$95:'Продажи'!AJ$95),0)+'ОБЪЕКТЫ'!AK119</x:f>
      </x:c>
      <x:c r="AL14" s="117" t="n">
        <x:f>IF(AND(YEAR(AL$3)=YEAR($B$8),MONTH(AL$3)=MONTH($B$8)),SUM('Продажи'!$D$95:'Продажи'!AK$95),0)+'ОБЪЕКТЫ'!AL119</x:f>
      </x:c>
      <x:c r="AM14" s="117" t="n">
        <x:f>IF(AND(YEAR(AM$3)=YEAR($B$8),MONTH(AM$3)=MONTH($B$8)),SUM('Продажи'!$D$95:'Продажи'!AL$95),0)+'ОБЪЕКТЫ'!AM119</x:f>
      </x:c>
      <x:c r="AN14" s="117" t="n">
        <x:f>IF(AND(YEAR(AN$3)=YEAR($B$8),MONTH(AN$3)=MONTH($B$8)),SUM('Продажи'!$D$95:'Продажи'!AM$95),0)+'ОБЪЕКТЫ'!AN119</x:f>
      </x:c>
      <x:c r="AO14" s="117" t="n">
        <x:f>IF(AND(YEAR(AO$3)=YEAR($B$8),MONTH(AO$3)=MONTH($B$8)),SUM('Продажи'!$D$95:'Продажи'!AN$95),0)+'ОБЪЕКТЫ'!AO119</x:f>
      </x:c>
      <x:c r="AP14" s="117" t="n">
        <x:f>IF(AND(YEAR(AP$3)=YEAR($B$8),MONTH(AP$3)=MONTH($B$8)),SUM('Продажи'!$D$95:'Продажи'!AO$95),0)+'ОБЪЕКТЫ'!AP119</x:f>
      </x:c>
      <x:c r="AQ14" s="117" t="n">
        <x:f>IF(AND(YEAR(AQ$3)=YEAR($B$8),MONTH(AQ$3)=MONTH($B$8)),SUM('Продажи'!$D$95:'Продажи'!AP$95),0)+'ОБЪЕКТЫ'!AQ119</x:f>
      </x:c>
      <x:c r="AR14" s="117" t="n">
        <x:f>IF(AND(YEAR(AR$3)=YEAR($B$8),MONTH(AR$3)=MONTH($B$8)),SUM('Продажи'!$D$95:'Продажи'!AQ$95),0)+'ОБЪЕКТЫ'!AR119</x:f>
      </x:c>
      <x:c r="AS14" s="117" t="n">
        <x:f>IF(AND(YEAR(AS$3)=YEAR($B$8),MONTH(AS$3)=MONTH($B$8)),SUM('Продажи'!$D$95:'Продажи'!AR$95),0)+'ОБЪЕКТЫ'!AS119</x:f>
      </x:c>
      <x:c r="AT14" s="117" t="n">
        <x:f>IF(AND(YEAR(AT$3)=YEAR($B$8),MONTH(AT$3)=MONTH($B$8)),SUM('Продажи'!$D$95:'Продажи'!AS$95),0)+'ОБЪЕКТЫ'!AT119</x:f>
      </x:c>
      <x:c r="AU14" s="117" t="n">
        <x:f>IF(AND(YEAR(AU$3)=YEAR($B$8),MONTH(AU$3)=MONTH($B$8)),SUM('Продажи'!$D$95:'Продажи'!AT$95),0)+'ОБЪЕКТЫ'!AU119</x:f>
      </x:c>
      <x:c r="AV14" s="117" t="n">
        <x:f>IF(AND(YEAR(AV$3)=YEAR($B$8),MONTH(AV$3)=MONTH($B$8)),SUM('Продажи'!$D$95:'Продажи'!AU$95),0)+'ОБЪЕКТЫ'!AV119</x:f>
      </x:c>
      <x:c r="AW14" s="117" t="n">
        <x:f>IF(AND(YEAR(AW$3)=YEAR($B$8),MONTH(AW$3)=MONTH($B$8)),SUM('Продажи'!$D$95:'Продажи'!AV$95),0)+'ОБЪЕКТЫ'!AW119</x:f>
      </x:c>
      <x:c r="AX14" s="117" t="n">
        <x:f>IF(AND(YEAR(AX$3)=YEAR($B$8),MONTH(AX$3)=MONTH($B$8)),SUM('Продажи'!$D$95:'Продажи'!AW$95),0)+'ОБЪЕКТЫ'!AX119</x:f>
      </x:c>
      <x:c r="AY14" s="117" t="n">
        <x:f>IF(AND(YEAR(AY$3)=YEAR($B$8),MONTH(AY$3)=MONTH($B$8)),SUM('Продажи'!$D$95:'Продажи'!AX$95),0)+'ОБЪЕКТЫ'!AY119</x:f>
      </x:c>
      <x:c r="AZ14" s="117" t="n">
        <x:f>IF(AND(YEAR(AZ$3)=YEAR($B$8),MONTH(AZ$3)=MONTH($B$8)),SUM('Продажи'!$D$95:'Продажи'!AY$95),0)+'ОБЪЕКТЫ'!AZ119</x:f>
      </x:c>
      <x:c r="BA14" s="117" t="n">
        <x:f>IF(AND(YEAR(BA$3)=YEAR($B$8),MONTH(BA$3)=MONTH($B$8)),SUM('Продажи'!$D$95:'Продажи'!AZ$95),0)+'ОБЪЕКТЫ'!BA119</x:f>
      </x:c>
      <x:c r="BB14" s="117" t="n">
        <x:f>IF(AND(YEAR(BB$3)=YEAR($B$8),MONTH(BB$3)=MONTH($B$8)),SUM('Продажи'!$D$95:'Продажи'!BA$95),0)+'ОБЪЕКТЫ'!BB119</x:f>
      </x:c>
      <x:c r="BC14" s="117" t="n">
        <x:f>IF(AND(YEAR(BC$3)=YEAR($B$8),MONTH(BC$3)=MONTH($B$8)),SUM('Продажи'!$D$95:'Продажи'!BB$95),0)+'ОБЪЕКТЫ'!BC119</x:f>
      </x:c>
      <x:c r="BD14" s="117" t="n">
        <x:f>IF(AND(YEAR(BD$3)=YEAR($B$8),MONTH(BD$3)=MONTH($B$8)),SUM('Продажи'!$D$95:'Продажи'!BC$95),0)+'ОБЪЕКТЫ'!BD119</x:f>
      </x:c>
      <x:c r="BE14" s="117" t="n">
        <x:f>IF(AND(YEAR(BE$3)=YEAR($B$8),MONTH(BE$3)=MONTH($B$8)),SUM('Продажи'!$D$95:'Продажи'!BD$95),0)+'ОБЪЕКТЫ'!BE119</x:f>
      </x:c>
      <x:c r="BF14" s="117" t="n">
        <x:f>IF(AND(YEAR(BF$3)=YEAR($B$8),MONTH(BF$3)=MONTH($B$8)),SUM('Продажи'!$D$95:'Продажи'!BE$95),0)+'ОБЪЕКТЫ'!BF119</x:f>
      </x:c>
      <x:c r="BG14" s="117" t="n">
        <x:f>IF(AND(YEAR(BG$3)=YEAR($B$8),MONTH(BG$3)=MONTH($B$8)),SUM('Продажи'!$D$95:'Продажи'!BF$95),0)+'ОБЪЕКТЫ'!BG119</x:f>
      </x:c>
      <x:c r="BH14" s="117" t="n">
        <x:f>IF(AND(YEAR(BH$3)=YEAR($B$8),MONTH(BH$3)=MONTH($B$8)),SUM('Продажи'!$D$95:'Продажи'!BG$95),0)+'ОБЪЕКТЫ'!BH119</x:f>
      </x:c>
      <x:c r="BI14" s="117" t="n">
        <x:f>IF(AND(YEAR(BI$3)=YEAR($B$8),MONTH(BI$3)=MONTH($B$8)),SUM('Продажи'!$D$95:'Продажи'!BH$95),0)+'ОБЪЕКТЫ'!BI119</x:f>
      </x:c>
      <x:c r="BJ14" s="117" t="n">
        <x:f>IF(AND(YEAR(BJ$3)=YEAR($B$8),MONTH(BJ$3)=MONTH($B$8)),SUM('Продажи'!$D$95:'Продажи'!BI$95),0)+'ОБЪЕКТЫ'!BJ119</x:f>
      </x:c>
      <x:c r="BK14" s="117" t="n">
        <x:f>IF(AND(YEAR(BK$3)=YEAR($B$8),MONTH(BK$3)=MONTH($B$8)),SUM('Продажи'!$D$95:'Продажи'!BJ$95),0)+'ОБЪЕКТЫ'!BK119</x:f>
      </x:c>
      <x:c r="BL14" s="117" t="n">
        <x:f>IF(AND(YEAR(BL$3)=YEAR($B$8),MONTH(BL$3)=MONTH($B$8)),SUM('Продажи'!$D$95:'Продажи'!BK$95),0)+'ОБЪЕКТЫ'!BL119</x:f>
      </x:c>
      <x:c r="BM14" s="117" t="n">
        <x:f>IF(AND(YEAR(BM$3)=YEAR($B$8),MONTH(BM$3)=MONTH($B$8)),SUM('Продажи'!$D$95:'Продажи'!BL$95),0)+'ОБЪЕКТЫ'!BM119</x:f>
      </x:c>
      <x:c r="BN14" s="117" t="n">
        <x:f>IF(AND(YEAR(BN$3)=YEAR($B$8),MONTH(BN$3)=MONTH($B$8)),SUM('Продажи'!$D$95:'Продажи'!BM$95),0)+'ОБЪЕКТЫ'!BN119</x:f>
      </x:c>
      <x:c r="BO14" s="117" t="n">
        <x:f>IF(AND(YEAR(BO$3)=YEAR($B$8),MONTH(BO$3)=MONTH($B$8)),SUM('Продажи'!$D$95:'Продажи'!BN$95),0)+'ОБЪЕКТЫ'!BO119</x:f>
      </x:c>
      <x:c r="BP14" s="117" t="n">
        <x:f>IF(AND(YEAR(BP$3)=YEAR($B$8),MONTH(BP$3)=MONTH($B$8)),SUM('Продажи'!$D$95:'Продажи'!BO$95),0)+'ОБЪЕКТЫ'!BP119</x:f>
      </x:c>
      <x:c r="BQ14" s="117" t="n">
        <x:f>IF(AND(YEAR(BQ$3)=YEAR($B$8),MONTH(BQ$3)=MONTH($B$8)),SUM('Продажи'!$D$95:'Продажи'!BP$95),0)+'ОБЪЕКТЫ'!BQ119</x:f>
      </x:c>
      <x:c r="BR14" s="117" t="n">
        <x:f>IF(AND(YEAR(BR$3)=YEAR($B$8),MONTH(BR$3)=MONTH($B$8)),SUM('Продажи'!$D$95:'Продажи'!BQ$95),0)+'ОБЪЕКТЫ'!BR119</x:f>
      </x:c>
      <x:c r="BS14" s="117" t="n">
        <x:f>IF(AND(YEAR(BS$3)=YEAR($B$8),MONTH(BS$3)=MONTH($B$8)),SUM('Продажи'!$D$95:'Продажи'!BR$95),0)+'ОБЪЕКТЫ'!BS119</x:f>
      </x:c>
      <x:c r="BT14" s="117" t="n">
        <x:f>IF(AND(YEAR(BT$3)=YEAR($B$8),MONTH(BT$3)=MONTH($B$8)),SUM('Продажи'!$D$95:'Продажи'!BS$95),0)+'ОБЪЕКТЫ'!BT119</x:f>
      </x:c>
      <x:c r="BU14" s="117" t="n">
        <x:f>IF(AND(YEAR(BU$3)=YEAR($B$8),MONTH(BU$3)=MONTH($B$8)),SUM('Продажи'!$D$95:'Продажи'!BT$95),0)+'ОБЪЕКТЫ'!BU119</x:f>
      </x:c>
      <x:c r="BV14" s="117" t="n">
        <x:f>IF(AND(YEAR(BV$3)=YEAR($B$8),MONTH(BV$3)=MONTH($B$8)),SUM('Продажи'!$D$95:'Продажи'!BU$95),0)+'ОБЪЕКТЫ'!BV119</x:f>
      </x:c>
      <x:c r="BW14" s="117" t="n">
        <x:f>IF(AND(YEAR(BW$3)=YEAR($B$8),MONTH(BW$3)=MONTH($B$8)),SUM('Продажи'!$D$95:'Продажи'!BV$95),0)+'ОБЪЕКТЫ'!BW119</x:f>
      </x:c>
      <x:c r="BX14" s="117" t="n">
        <x:f>IF(AND(YEAR(BX$3)=YEAR($B$8),MONTH(BX$3)=MONTH($B$8)),SUM('Продажи'!$D$95:'Продажи'!BW$95),0)+'ОБЪЕКТЫ'!BX119</x:f>
      </x:c>
      <x:c r="BY14" s="117" t="n">
        <x:f>IF(AND(YEAR(BY$3)=YEAR($B$8),MONTH(BY$3)=MONTH($B$8)),SUM('Продажи'!$D$95:'Продажи'!BX$95),0)+'ОБЪЕКТЫ'!BY119</x:f>
      </x:c>
      <x:c r="BZ14" s="117" t="n">
        <x:f>IF(AND(YEAR(BZ$3)=YEAR($B$8),MONTH(BZ$3)=MONTH($B$8)),SUM('Продажи'!$D$95:'Продажи'!BY$95),0)+'ОБЪЕКТЫ'!BZ119</x:f>
      </x:c>
      <x:c r="CA14" s="117" t="n">
        <x:f>IF(AND(YEAR(CA$3)=YEAR($B$8),MONTH(CA$3)=MONTH($B$8)),SUM('Продажи'!$D$95:'Продажи'!BZ$95),0)+'ОБЪЕКТЫ'!CA119</x:f>
      </x:c>
      <x:c r="CB14" s="117" t="n">
        <x:f>IF(AND(YEAR(CB$3)=YEAR($B$8),MONTH(CB$3)=MONTH($B$8)),SUM('Продажи'!$D$95:'Продажи'!CA$95),0)+'ОБЪЕКТЫ'!CB119</x:f>
      </x:c>
      <x:c r="CC14" s="117" t="n">
        <x:f>IF(AND(YEAR(CC$3)=YEAR($B$8),MONTH(CC$3)=MONTH($B$8)),SUM('Продажи'!$D$95:'Продажи'!CB$95),0)+'ОБЪЕКТЫ'!CC119</x:f>
      </x:c>
      <x:c r="CD14" s="117" t="n">
        <x:f>IF(AND(YEAR(CD$3)=YEAR($B$8),MONTH(CD$3)=MONTH($B$8)),SUM('Продажи'!$D$95:'Продажи'!CC$95),0)+'ОБЪЕКТЫ'!CD119</x:f>
      </x:c>
      <x:c r="CE14" s="117" t="n">
        <x:f>IF(AND(YEAR(CE$3)=YEAR($B$8),MONTH(CE$3)=MONTH($B$8)),SUM('Продажи'!$D$95:'Продажи'!CD$95),0)+'ОБЪЕКТЫ'!CE119</x:f>
      </x:c>
      <x:c r="CF14" s="117" t="n">
        <x:f>IF(AND(YEAR(CF$3)=YEAR($B$8),MONTH(CF$3)=MONTH($B$8)),SUM('Продажи'!$D$95:'Продажи'!CE$95),0)+'ОБЪЕКТЫ'!CF119</x:f>
      </x:c>
      <x:c r="CG14" s="117" t="n">
        <x:f>IF(AND(YEAR(CG$3)=YEAR($B$8),MONTH(CG$3)=MONTH($B$8)),SUM('Продажи'!$D$95:'Продажи'!CF$95),0)+'ОБЪЕКТЫ'!CG119</x:f>
      </x:c>
      <x:c r="CH14" s="117" t="n">
        <x:f>IF(AND(YEAR(CH$3)=YEAR($B$8),MONTH(CH$3)=MONTH($B$8)),SUM('Продажи'!$D$95:'Продажи'!CG$95),0)+'ОБЪЕКТЫ'!CH119</x:f>
      </x:c>
      <x:c r="CI14" s="117" t="n">
        <x:f>IF(AND(YEAR(CI$3)=YEAR($B$8),MONTH(CI$3)=MONTH($B$8)),SUM('Продажи'!$D$95:'Продажи'!CH$95),0)+'ОБЪЕКТЫ'!CI119</x:f>
      </x:c>
      <x:c r="CJ14" s="117" t="n">
        <x:f>IF(AND(YEAR(CJ$3)=YEAR($B$8),MONTH(CJ$3)=MONTH($B$8)),SUM('Продажи'!$D$95:'Продажи'!CI$95),0)+'ОБЪЕКТЫ'!CJ119</x:f>
      </x:c>
      <x:c r="CK14" s="117" t="n">
        <x:f>IF(AND(YEAR(CK$3)=YEAR($B$8),MONTH(CK$3)=MONTH($B$8)),SUM('Продажи'!$D$95:'Продажи'!CJ$95),0)+'ОБЪЕКТЫ'!CK119</x:f>
      </x:c>
      <x:c r="CL14" s="117" t="n">
        <x:f>IF(AND(YEAR(CL$3)=YEAR($B$8),MONTH(CL$3)=MONTH($B$8)),SUM('Продажи'!$D$95:'Продажи'!CK$95),0)+'ОБЪЕКТЫ'!CL119</x:f>
      </x:c>
      <x:c r="CM14" s="117" t="n">
        <x:f>IF(AND(YEAR(CM$3)=YEAR($B$8),MONTH(CM$3)=MONTH($B$8)),SUM('Продажи'!$D$95:'Продажи'!CL$95),0)+'ОБЪЕКТЫ'!CM119</x:f>
      </x:c>
      <x:c r="CN14" s="117" t="n">
        <x:f>IF(AND(YEAR(CN$3)=YEAR($B$8),MONTH(CN$3)=MONTH($B$8)),SUM('Продажи'!$D$95:'Продажи'!CM$95),0)+'ОБЪЕКТЫ'!CN119</x:f>
      </x:c>
      <x:c r="CO14" s="117" t="n">
        <x:f>IF(AND(YEAR(CO$3)=YEAR($B$8),MONTH(CO$3)=MONTH($B$8)),SUM('Продажи'!$D$95:'Продажи'!CN$95),0)+'ОБЪЕКТЫ'!CO119</x:f>
      </x:c>
      <x:c r="CP14" s="117" t="n">
        <x:f>IF(AND(YEAR(CP$3)=YEAR($B$8),MONTH(CP$3)=MONTH($B$8)),SUM('Продажи'!$D$95:'Продажи'!CO$95),0)+'ОБЪЕКТЫ'!CP119</x:f>
      </x:c>
      <x:c r="CQ14" s="117" t="n">
        <x:f>IF(AND(YEAR(CQ$3)=YEAR($B$8),MONTH(CQ$3)=MONTH($B$8)),SUM('Продажи'!$D$95:'Продажи'!CP$95),0)+'ОБЪЕКТЫ'!CQ119</x:f>
      </x:c>
      <x:c r="CR14" s="117" t="n">
        <x:f>IF(AND(YEAR(CR$3)=YEAR($B$8),MONTH(CR$3)=MONTH($B$8)),SUM('Продажи'!$D$95:'Продажи'!CQ$95),0)+'ОБЪЕКТЫ'!CR119</x:f>
      </x:c>
      <x:c r="CS14" s="117" t="n">
        <x:f>IF(AND(YEAR(CS$3)=YEAR($B$8),MONTH(CS$3)=MONTH($B$8)),SUM('Продажи'!$D$95:'Продажи'!CR$95),0)+'ОБЪЕКТЫ'!CS119</x:f>
      </x:c>
      <x:c r="CT14" s="117" t="n">
        <x:f>IF(AND(YEAR(CT$3)=YEAR($B$8),MONTH(CT$3)=MONTH($B$8)),SUM('Продажи'!$D$95:'Продажи'!CS$95),0)+'ОБЪЕКТЫ'!CT119</x:f>
      </x:c>
      <x:c r="CU14" s="117" t="n">
        <x:f>IF(AND(YEAR(CU$3)=YEAR($B$8),MONTH(CU$3)=MONTH($B$8)),SUM('Продажи'!$D$95:'Продажи'!CT$95),0)+'ОБЪЕКТЫ'!CU119</x:f>
      </x:c>
      <x:c r="CV14" s="117" t="n">
        <x:f>IF(AND(YEAR(CV$3)=YEAR($B$8),MONTH(CV$3)=MONTH($B$8)),SUM('Продажи'!$D$95:'Продажи'!CU$95),0)+'ОБЪЕКТЫ'!CV119</x:f>
      </x:c>
      <x:c r="CW14" s="117" t="n">
        <x:f>IF(AND(YEAR(CW$3)=YEAR($B$8),MONTH(CW$3)=MONTH($B$8)),SUM('Продажи'!$D$95:'Продажи'!CV$95),0)+'ОБЪЕКТЫ'!CW119</x:f>
      </x:c>
      <x:c r="CX14" s="117" t="n">
        <x:f>IF(AND(YEAR(CX$3)=YEAR($B$8),MONTH(CX$3)=MONTH($B$8)),SUM('Продажи'!$D$95:'Продажи'!CW$95),0)+'ОБЪЕКТЫ'!CX119</x:f>
      </x:c>
      <x:c r="CY14" s="117" t="n">
        <x:f>IF(AND(YEAR(CY$3)=YEAR($B$8),MONTH(CY$3)=MONTH($B$8)),SUM('Продажи'!$D$95:'Продажи'!CX$95),0)+'ОБЪЕКТЫ'!CY119</x:f>
      </x:c>
      <x:c r="CZ14" s="117" t="n">
        <x:f>IF(AND(YEAR(CZ$3)=YEAR($B$8),MONTH(CZ$3)=MONTH($B$8)),SUM('Продажи'!$D$95:'Продажи'!CY$95),0)+'ОБЪЕКТЫ'!CZ119</x:f>
      </x:c>
      <x:c r="DA14" s="117" t="n">
        <x:f>IF(AND(YEAR(DA$3)=YEAR($B$8),MONTH(DA$3)=MONTH($B$8)),SUM('Продажи'!$D$95:'Продажи'!CZ$95),0)+'ОБЪЕКТЫ'!DA119</x:f>
      </x:c>
      <x:c r="DB14" s="117" t="n">
        <x:f>IF(AND(YEAR(DB$3)=YEAR($B$8),MONTH(DB$3)=MONTH($B$8)),SUM('Продажи'!$D$95:'Продажи'!DA$95),0)+'ОБЪЕКТЫ'!DB119</x:f>
      </x:c>
      <x:c r="DC14" s="117" t="n">
        <x:f>IF(AND(YEAR(DC$3)=YEAR($B$8),MONTH(DC$3)=MONTH($B$8)),SUM('Продажи'!$D$95:'Продажи'!DB$95),0)+'ОБЪЕКТЫ'!DC119</x:f>
      </x:c>
      <x:c r="DD14" s="117" t="n">
        <x:f>IF(AND(YEAR(DD$3)=YEAR($B$8),MONTH(DD$3)=MONTH($B$8)),SUM('Продажи'!$D$95:'Продажи'!DC$95),0)+'ОБЪЕКТЫ'!DD119</x:f>
      </x:c>
      <x:c r="DE14" s="117" t="n">
        <x:f>IF(AND(YEAR(DE$3)=YEAR($B$8),MONTH(DE$3)=MONTH($B$8)),SUM('Продажи'!$D$95:'Продажи'!DD$95),0)+'ОБЪЕКТЫ'!DE119</x:f>
      </x:c>
      <x:c r="DF14" s="117" t="n">
        <x:f>IF(AND(YEAR(DF$3)=YEAR($B$8),MONTH(DF$3)=MONTH($B$8)),SUM('Продажи'!$D$95:'Продажи'!DE$95),0)+'ОБЪЕКТЫ'!DF119</x:f>
      </x:c>
      <x:c r="DG14" s="117" t="n">
        <x:f>IF(AND(YEAR(DG$3)=YEAR($B$8),MONTH(DG$3)=MONTH($B$8)),SUM('Продажи'!$D$95:'Продажи'!DF$95),0)+'ОБЪЕКТЫ'!DG119</x:f>
      </x:c>
      <x:c r="DH14" s="117" t="n">
        <x:f>IF(AND(YEAR(DH$3)=YEAR($B$8),MONTH(DH$3)=MONTH($B$8)),SUM('Продажи'!$D$95:'Продажи'!DG$95),0)+'ОБЪЕКТЫ'!DH119</x:f>
      </x:c>
      <x:c r="DI14" s="117" t="n">
        <x:f>IF(AND(YEAR(DI$3)=YEAR($B$8),MONTH(DI$3)=MONTH($B$8)),SUM('Продажи'!$D$95:'Продажи'!DH$95),0)+'ОБЪЕКТЫ'!DI119</x:f>
      </x:c>
      <x:c r="DJ14" s="117" t="n">
        <x:f>IF(AND(YEAR(DJ$3)=YEAR($B$8),MONTH(DJ$3)=MONTH($B$8)),SUM('Продажи'!$D$95:'Продажи'!DI$95),0)+'ОБЪЕКТЫ'!DJ119</x:f>
      </x:c>
      <x:c r="DK14" s="117" t="n">
        <x:f>IF(AND(YEAR(DK$3)=YEAR($B$8),MONTH(DK$3)=MONTH($B$8)),SUM('Продажи'!$D$95:'Продажи'!DJ$95),0)+'ОБЪЕКТЫ'!DK119</x:f>
      </x:c>
      <x:c r="DL14" s="117" t="n">
        <x:f>IF(AND(YEAR(DL$3)=YEAR($B$8),MONTH(DL$3)=MONTH($B$8)),SUM('Продажи'!$D$95:'Продажи'!DK$95),0)+'ОБЪЕКТЫ'!DL119</x:f>
      </x:c>
      <x:c r="DM14" s="117" t="n">
        <x:f>IF(AND(YEAR(DM$3)=YEAR($B$8),MONTH(DM$3)=MONTH($B$8)),SUM('Продажи'!$D$95:'Продажи'!DL$95),0)+'ОБЪЕКТЫ'!DM119</x:f>
      </x:c>
      <x:c r="DN14" s="117" t="n">
        <x:f>IF(AND(YEAR(DN$3)=YEAR($B$8),MONTH(DN$3)=MONTH($B$8)),SUM('Продажи'!$D$95:'Продажи'!DM$95),0)+'ОБЪЕКТЫ'!DN119</x:f>
      </x:c>
      <x:c r="DO14" s="117" t="n">
        <x:f>IF(AND(YEAR(DO$3)=YEAR($B$8),MONTH(DO$3)=MONTH($B$8)),SUM('Продажи'!$D$95:'Продажи'!DN$95),0)+'ОБЪЕКТЫ'!DO119</x:f>
      </x:c>
      <x:c r="DP14" s="117" t="n">
        <x:f>IF(AND(YEAR(DP$3)=YEAR($B$8),MONTH(DP$3)=MONTH($B$8)),SUM('Продажи'!$D$95:'Продажи'!DO$95),0)+'ОБЪЕКТЫ'!DP119</x:f>
      </x:c>
      <x:c r="DQ14" s="117" t="n">
        <x:f>IF(AND(YEAR(DQ$3)=YEAR($B$8),MONTH(DQ$3)=MONTH($B$8)),SUM('Продажи'!$D$95:'Продажи'!DP$95),0)+'ОБЪЕКТЫ'!DQ119</x:f>
      </x:c>
      <x:c r="DR14" s="117" t="n">
        <x:f>IF(AND(YEAR(DR$3)=YEAR($B$8),MONTH(DR$3)=MONTH($B$8)),SUM('Продажи'!$D$95:'Продажи'!DQ$95),0)+'ОБЪЕКТЫ'!DR119</x:f>
      </x:c>
      <x:c r="DS14" s="117" t="n">
        <x:f>IF(AND(YEAR(DS$3)=YEAR($B$8),MONTH(DS$3)=MONTH($B$8)),SUM('Продажи'!$D$95:'Продажи'!DR$95),0)+'ОБЪЕКТЫ'!DS119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'CAPEX'!D134</x:f>
      </x:c>
      <x:c r="E17" s="117" t="n">
        <x:f>'CAPEX'!E134</x:f>
      </x:c>
      <x:c r="F17" s="117" t="n">
        <x:f>'CAPEX'!F134</x:f>
      </x:c>
      <x:c r="G17" s="117" t="n">
        <x:f>'CAPEX'!G134</x:f>
      </x:c>
      <x:c r="H17" s="117" t="n">
        <x:f>'CAPEX'!H134</x:f>
      </x:c>
      <x:c r="I17" s="117" t="n">
        <x:f>'CAPEX'!I134</x:f>
      </x:c>
      <x:c r="J17" s="117" t="n">
        <x:f>'CAPEX'!J134</x:f>
      </x:c>
      <x:c r="K17" s="117" t="n">
        <x:f>'CAPEX'!K134</x:f>
      </x:c>
      <x:c r="L17" s="117" t="n">
        <x:f>'CAPEX'!L134</x:f>
      </x:c>
      <x:c r="M17" s="117" t="n">
        <x:f>'CAPEX'!M134</x:f>
      </x:c>
      <x:c r="N17" s="117" t="n">
        <x:f>'CAPEX'!N134</x:f>
      </x:c>
      <x:c r="O17" s="117" t="n">
        <x:f>'CAPEX'!O134</x:f>
      </x:c>
      <x:c r="P17" s="117" t="n">
        <x:f>'CAPEX'!P134</x:f>
      </x:c>
      <x:c r="Q17" s="117" t="n">
        <x:f>'CAPEX'!Q134</x:f>
      </x:c>
      <x:c r="R17" s="117" t="n">
        <x:f>'CAPEX'!R134</x:f>
      </x:c>
      <x:c r="S17" s="117" t="n">
        <x:f>'CAPEX'!S134</x:f>
      </x:c>
      <x:c r="T17" s="117" t="n">
        <x:f>'CAPEX'!T134</x:f>
      </x:c>
      <x:c r="U17" s="117" t="n">
        <x:f>'CAPEX'!U134</x:f>
      </x:c>
      <x:c r="V17" s="117" t="n">
        <x:f>'CAPEX'!V134</x:f>
      </x:c>
      <x:c r="W17" s="117" t="n">
        <x:f>'CAPEX'!W134</x:f>
      </x:c>
      <x:c r="X17" s="117" t="n">
        <x:f>'CAPEX'!X134</x:f>
      </x:c>
      <x:c r="Y17" s="117" t="n">
        <x:f>'CAPEX'!Y134</x:f>
      </x:c>
      <x:c r="Z17" s="117" t="n">
        <x:f>'CAPEX'!Z134</x:f>
      </x:c>
      <x:c r="AA17" s="117" t="n">
        <x:f>'CAPEX'!AA134</x:f>
      </x:c>
      <x:c r="AB17" s="117" t="n">
        <x:f>'CAPEX'!AB134</x:f>
      </x:c>
      <x:c r="AC17" s="117" t="n">
        <x:f>'CAPEX'!AC134</x:f>
      </x:c>
      <x:c r="AD17" s="117" t="n">
        <x:f>'CAPEX'!AD134</x:f>
      </x:c>
      <x:c r="AE17" s="117" t="n">
        <x:f>'CAPEX'!AE134</x:f>
      </x:c>
      <x:c r="AF17" s="117" t="n">
        <x:f>'CAPEX'!AF134</x:f>
      </x:c>
      <x:c r="AG17" s="117" t="n">
        <x:f>'CAPEX'!AG134</x:f>
      </x:c>
      <x:c r="AH17" s="117" t="n">
        <x:f>'CAPEX'!AH134</x:f>
      </x:c>
      <x:c r="AI17" s="117" t="n">
        <x:f>'CAPEX'!AI134</x:f>
      </x:c>
      <x:c r="AJ17" s="117" t="n">
        <x:f>'CAPEX'!AJ134</x:f>
      </x:c>
      <x:c r="AK17" s="117" t="n">
        <x:f>'CAPEX'!AK134</x:f>
      </x:c>
      <x:c r="AL17" s="117" t="n">
        <x:f>'CAPEX'!AL134</x:f>
      </x:c>
      <x:c r="AM17" s="117" t="n">
        <x:f>'CAPEX'!AM134</x:f>
      </x:c>
      <x:c r="AN17" s="117" t="n">
        <x:f>'CAPEX'!AN134</x:f>
      </x:c>
      <x:c r="AO17" s="117" t="n">
        <x:f>'CAPEX'!AO134</x:f>
      </x:c>
      <x:c r="AP17" s="117" t="n">
        <x:f>'CAPEX'!AP134</x:f>
      </x:c>
      <x:c r="AQ17" s="117" t="n">
        <x:f>'CAPEX'!AQ134</x:f>
      </x:c>
      <x:c r="AR17" s="117" t="n">
        <x:f>'CAPEX'!AR134</x:f>
      </x:c>
      <x:c r="AS17" s="117" t="n">
        <x:f>'CAPEX'!AS134</x:f>
      </x:c>
      <x:c r="AT17" s="117" t="n">
        <x:f>'CAPEX'!AT134</x:f>
      </x:c>
      <x:c r="AU17" s="117" t="n">
        <x:f>'CAPEX'!AU134</x:f>
      </x:c>
      <x:c r="AV17" s="117" t="n">
        <x:f>'CAPEX'!AV134</x:f>
      </x:c>
      <x:c r="AW17" s="117" t="n">
        <x:f>'CAPEX'!AW134</x:f>
      </x:c>
      <x:c r="AX17" s="117" t="n">
        <x:f>'CAPEX'!AX134</x:f>
      </x:c>
      <x:c r="AY17" s="117" t="n">
        <x:f>'CAPEX'!AY134</x:f>
      </x:c>
      <x:c r="AZ17" s="117" t="n">
        <x:f>'CAPEX'!AZ134</x:f>
      </x:c>
      <x:c r="BA17" s="117" t="n">
        <x:f>'CAPEX'!BA134</x:f>
      </x:c>
      <x:c r="BB17" s="117" t="n">
        <x:f>'CAPEX'!BB134</x:f>
      </x:c>
      <x:c r="BC17" s="117" t="n">
        <x:f>'CAPEX'!BC134</x:f>
      </x:c>
      <x:c r="BD17" s="117" t="n">
        <x:f>'CAPEX'!BD134</x:f>
      </x:c>
      <x:c r="BE17" s="117" t="n">
        <x:f>'CAPEX'!BE134</x:f>
      </x:c>
      <x:c r="BF17" s="117" t="n">
        <x:f>'CAPEX'!BF134</x:f>
      </x:c>
      <x:c r="BG17" s="117" t="n">
        <x:f>'CAPEX'!BG134</x:f>
      </x:c>
      <x:c r="BH17" s="117" t="n">
        <x:f>'CAPEX'!BH134</x:f>
      </x:c>
      <x:c r="BI17" s="117" t="n">
        <x:f>'CAPEX'!BI134</x:f>
      </x:c>
      <x:c r="BJ17" s="117" t="n">
        <x:f>'CAPEX'!BJ134</x:f>
      </x:c>
      <x:c r="BK17" s="117" t="n">
        <x:f>'CAPEX'!BK134</x:f>
      </x:c>
      <x:c r="BL17" s="117" t="n">
        <x:f>'CAPEX'!BL134</x:f>
      </x:c>
      <x:c r="BM17" s="117" t="n">
        <x:f>'CAPEX'!BM134</x:f>
      </x:c>
      <x:c r="BN17" s="117" t="n">
        <x:f>'CAPEX'!BN134</x:f>
      </x:c>
      <x:c r="BO17" s="117" t="n">
        <x:f>'CAPEX'!BO134</x:f>
      </x:c>
      <x:c r="BP17" s="117" t="n">
        <x:f>'CAPEX'!BP134</x:f>
      </x:c>
      <x:c r="BQ17" s="117" t="n">
        <x:f>'CAPEX'!BQ134</x:f>
      </x:c>
      <x:c r="BR17" s="117" t="n">
        <x:f>'CAPEX'!BR134</x:f>
      </x:c>
      <x:c r="BS17" s="117" t="n">
        <x:f>'CAPEX'!BS134</x:f>
      </x:c>
      <x:c r="BT17" s="117" t="n">
        <x:f>'CAPEX'!BT134</x:f>
      </x:c>
      <x:c r="BU17" s="117" t="n">
        <x:f>'CAPEX'!BU134</x:f>
      </x:c>
      <x:c r="BV17" s="117" t="n">
        <x:f>'CAPEX'!BV134</x:f>
      </x:c>
      <x:c r="BW17" s="117" t="n">
        <x:f>'CAPEX'!BW134</x:f>
      </x:c>
      <x:c r="BX17" s="117" t="n">
        <x:f>'CAPEX'!BX134</x:f>
      </x:c>
      <x:c r="BY17" s="117" t="n">
        <x:f>'CAPEX'!BY134</x:f>
      </x:c>
      <x:c r="BZ17" s="117" t="n">
        <x:f>'CAPEX'!BZ134</x:f>
      </x:c>
      <x:c r="CA17" s="117" t="n">
        <x:f>'CAPEX'!CA134</x:f>
      </x:c>
      <x:c r="CB17" s="117" t="n">
        <x:f>'CAPEX'!CB134</x:f>
      </x:c>
      <x:c r="CC17" s="117" t="n">
        <x:f>'CAPEX'!CC134</x:f>
      </x:c>
      <x:c r="CD17" s="117" t="n">
        <x:f>'CAPEX'!CD134</x:f>
      </x:c>
      <x:c r="CE17" s="117" t="n">
        <x:f>'CAPEX'!CE134</x:f>
      </x:c>
      <x:c r="CF17" s="117" t="n">
        <x:f>'CAPEX'!CF134</x:f>
      </x:c>
      <x:c r="CG17" s="117" t="n">
        <x:f>'CAPEX'!CG134</x:f>
      </x:c>
      <x:c r="CH17" s="117" t="n">
        <x:f>'CAPEX'!CH134</x:f>
      </x:c>
      <x:c r="CI17" s="117" t="n">
        <x:f>'CAPEX'!CI134</x:f>
      </x:c>
      <x:c r="CJ17" s="117" t="n">
        <x:f>'CAPEX'!CJ134</x:f>
      </x:c>
      <x:c r="CK17" s="117" t="n">
        <x:f>'CAPEX'!CK134</x:f>
      </x:c>
      <x:c r="CL17" s="117" t="n">
        <x:f>'CAPEX'!CL134</x:f>
      </x:c>
      <x:c r="CM17" s="117" t="n">
        <x:f>'CAPEX'!CM134</x:f>
      </x:c>
      <x:c r="CN17" s="117" t="n">
        <x:f>'CAPEX'!CN134</x:f>
      </x:c>
      <x:c r="CO17" s="117" t="n">
        <x:f>'CAPEX'!CO134</x:f>
      </x:c>
      <x:c r="CP17" s="117" t="n">
        <x:f>'CAPEX'!CP134</x:f>
      </x:c>
      <x:c r="CQ17" s="117" t="n">
        <x:f>'CAPEX'!CQ134</x:f>
      </x:c>
      <x:c r="CR17" s="117" t="n">
        <x:f>'CAPEX'!CR134</x:f>
      </x:c>
      <x:c r="CS17" s="117" t="n">
        <x:f>'CAPEX'!CS134</x:f>
      </x:c>
      <x:c r="CT17" s="117" t="n">
        <x:f>'CAPEX'!CT134</x:f>
      </x:c>
      <x:c r="CU17" s="117" t="n">
        <x:f>'CAPEX'!CU134</x:f>
      </x:c>
      <x:c r="CV17" s="117" t="n">
        <x:f>'CAPEX'!CV134</x:f>
      </x:c>
      <x:c r="CW17" s="117" t="n">
        <x:f>'CAPEX'!CW134</x:f>
      </x:c>
      <x:c r="CX17" s="117" t="n">
        <x:f>'CAPEX'!CX134</x:f>
      </x:c>
      <x:c r="CY17" s="117" t="n">
        <x:f>'CAPEX'!CY134</x:f>
      </x:c>
      <x:c r="CZ17" s="117" t="n">
        <x:f>'CAPEX'!CZ134</x:f>
      </x:c>
      <x:c r="DA17" s="117" t="n">
        <x:f>'CAPEX'!DA134</x:f>
      </x:c>
      <x:c r="DB17" s="117" t="n">
        <x:f>'CAPEX'!DB134</x:f>
      </x:c>
      <x:c r="DC17" s="117" t="n">
        <x:f>'CAPEX'!DC134</x:f>
      </x:c>
      <x:c r="DD17" s="117" t="n">
        <x:f>'CAPEX'!DD134</x:f>
      </x:c>
      <x:c r="DE17" s="117" t="n">
        <x:f>'CAPEX'!DE134</x:f>
      </x:c>
      <x:c r="DF17" s="117" t="n">
        <x:f>'CAPEX'!DF134</x:f>
      </x:c>
      <x:c r="DG17" s="117" t="n">
        <x:f>'CAPEX'!DG134</x:f>
      </x:c>
      <x:c r="DH17" s="117" t="n">
        <x:f>'CAPEX'!DH134</x:f>
      </x:c>
      <x:c r="DI17" s="117" t="n">
        <x:f>'CAPEX'!DI134</x:f>
      </x:c>
      <x:c r="DJ17" s="117" t="n">
        <x:f>'CAPEX'!DJ134</x:f>
      </x:c>
      <x:c r="DK17" s="117" t="n">
        <x:f>'CAPEX'!DK134</x:f>
      </x:c>
      <x:c r="DL17" s="117" t="n">
        <x:f>'CAPEX'!DL134</x:f>
      </x:c>
      <x:c r="DM17" s="117" t="n">
        <x:f>'CAPEX'!DM134</x:f>
      </x:c>
      <x:c r="DN17" s="117" t="n">
        <x:f>'CAPEX'!DN134</x:f>
      </x:c>
      <x:c r="DO17" s="117" t="n">
        <x:f>'CAPEX'!DO134</x:f>
      </x:c>
      <x:c r="DP17" s="117" t="n">
        <x:f>'CAPEX'!DP134</x:f>
      </x:c>
      <x:c r="DQ17" s="117" t="n">
        <x:f>'CAPEX'!DQ134</x:f>
      </x:c>
      <x:c r="DR17" s="117" t="n">
        <x:f>'CAPEX'!DR134</x:f>
      </x:c>
      <x:c r="DS17" s="117" t="n">
        <x:f>'CAPEX'!DS134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'CAPEX'!D135</x:f>
      </x:c>
      <x:c r="E18" s="117" t="n">
        <x:f>'CAPEX'!E135</x:f>
      </x:c>
      <x:c r="F18" s="117" t="n">
        <x:f>'CAPEX'!F135</x:f>
      </x:c>
      <x:c r="G18" s="117" t="n">
        <x:f>'CAPEX'!G135</x:f>
      </x:c>
      <x:c r="H18" s="117" t="n">
        <x:f>'CAPEX'!H135</x:f>
      </x:c>
      <x:c r="I18" s="117" t="n">
        <x:f>'CAPEX'!I135</x:f>
      </x:c>
      <x:c r="J18" s="117" t="n">
        <x:f>'CAPEX'!J135</x:f>
      </x:c>
      <x:c r="K18" s="117" t="n">
        <x:f>'CAPEX'!K135</x:f>
      </x:c>
      <x:c r="L18" s="117" t="n">
        <x:f>'CAPEX'!L135</x:f>
      </x:c>
      <x:c r="M18" s="117" t="n">
        <x:f>'CAPEX'!M135</x:f>
      </x:c>
      <x:c r="N18" s="117" t="n">
        <x:f>'CAPEX'!N135</x:f>
      </x:c>
      <x:c r="O18" s="117" t="n">
        <x:f>'CAPEX'!O135</x:f>
      </x:c>
      <x:c r="P18" s="117" t="n">
        <x:f>'CAPEX'!P135</x:f>
      </x:c>
      <x:c r="Q18" s="117" t="n">
        <x:f>'CAPEX'!Q135</x:f>
      </x:c>
      <x:c r="R18" s="117" t="n">
        <x:f>'CAPEX'!R135</x:f>
      </x:c>
      <x:c r="S18" s="117" t="n">
        <x:f>'CAPEX'!S135</x:f>
      </x:c>
      <x:c r="T18" s="117" t="n">
        <x:f>'CAPEX'!T135</x:f>
      </x:c>
      <x:c r="U18" s="117" t="n">
        <x:f>'CAPEX'!U135</x:f>
      </x:c>
      <x:c r="V18" s="117" t="n">
        <x:f>'CAPEX'!V135</x:f>
      </x:c>
      <x:c r="W18" s="117" t="n">
        <x:f>'CAPEX'!W135</x:f>
      </x:c>
      <x:c r="X18" s="117" t="n">
        <x:f>'CAPEX'!X135</x:f>
      </x:c>
      <x:c r="Y18" s="117" t="n">
        <x:f>'CAPEX'!Y135</x:f>
      </x:c>
      <x:c r="Z18" s="117" t="n">
        <x:f>'CAPEX'!Z135</x:f>
      </x:c>
      <x:c r="AA18" s="117" t="n">
        <x:f>'CAPEX'!AA135</x:f>
      </x:c>
      <x:c r="AB18" s="117" t="n">
        <x:f>'CAPEX'!AB135</x:f>
      </x:c>
      <x:c r="AC18" s="117" t="n">
        <x:f>'CAPEX'!AC135</x:f>
      </x:c>
      <x:c r="AD18" s="117" t="n">
        <x:f>'CAPEX'!AD135</x:f>
      </x:c>
      <x:c r="AE18" s="117" t="n">
        <x:f>'CAPEX'!AE135</x:f>
      </x:c>
      <x:c r="AF18" s="117" t="n">
        <x:f>'CAPEX'!AF135</x:f>
      </x:c>
      <x:c r="AG18" s="117" t="n">
        <x:f>'CAPEX'!AG135</x:f>
      </x:c>
      <x:c r="AH18" s="117" t="n">
        <x:f>'CAPEX'!AH135</x:f>
      </x:c>
      <x:c r="AI18" s="117" t="n">
        <x:f>'CAPEX'!AI135</x:f>
      </x:c>
      <x:c r="AJ18" s="117" t="n">
        <x:f>'CAPEX'!AJ135</x:f>
      </x:c>
      <x:c r="AK18" s="117" t="n">
        <x:f>'CAPEX'!AK135</x:f>
      </x:c>
      <x:c r="AL18" s="117" t="n">
        <x:f>'CAPEX'!AL135</x:f>
      </x:c>
      <x:c r="AM18" s="117" t="n">
        <x:f>'CAPEX'!AM135</x:f>
      </x:c>
      <x:c r="AN18" s="117" t="n">
        <x:f>'CAPEX'!AN135</x:f>
      </x:c>
      <x:c r="AO18" s="117" t="n">
        <x:f>'CAPEX'!AO135</x:f>
      </x:c>
      <x:c r="AP18" s="117" t="n">
        <x:f>'CAPEX'!AP135</x:f>
      </x:c>
      <x:c r="AQ18" s="117" t="n">
        <x:f>'CAPEX'!AQ135</x:f>
      </x:c>
      <x:c r="AR18" s="117" t="n">
        <x:f>'CAPEX'!AR135</x:f>
      </x:c>
      <x:c r="AS18" s="117" t="n">
        <x:f>'CAPEX'!AS135</x:f>
      </x:c>
      <x:c r="AT18" s="117" t="n">
        <x:f>'CAPEX'!AT135</x:f>
      </x:c>
      <x:c r="AU18" s="117" t="n">
        <x:f>'CAPEX'!AU135</x:f>
      </x:c>
      <x:c r="AV18" s="117" t="n">
        <x:f>'CAPEX'!AV135</x:f>
      </x:c>
      <x:c r="AW18" s="117" t="n">
        <x:f>'CAPEX'!AW135</x:f>
      </x:c>
      <x:c r="AX18" s="117" t="n">
        <x:f>'CAPEX'!AX135</x:f>
      </x:c>
      <x:c r="AY18" s="117" t="n">
        <x:f>'CAPEX'!AY135</x:f>
      </x:c>
      <x:c r="AZ18" s="117" t="n">
        <x:f>'CAPEX'!AZ135</x:f>
      </x:c>
      <x:c r="BA18" s="117" t="n">
        <x:f>'CAPEX'!BA135</x:f>
      </x:c>
      <x:c r="BB18" s="117" t="n">
        <x:f>'CAPEX'!BB135</x:f>
      </x:c>
      <x:c r="BC18" s="117" t="n">
        <x:f>'CAPEX'!BC135</x:f>
      </x:c>
      <x:c r="BD18" s="117" t="n">
        <x:f>'CAPEX'!BD135</x:f>
      </x:c>
      <x:c r="BE18" s="117" t="n">
        <x:f>'CAPEX'!BE135</x:f>
      </x:c>
      <x:c r="BF18" s="117" t="n">
        <x:f>'CAPEX'!BF135</x:f>
      </x:c>
      <x:c r="BG18" s="117" t="n">
        <x:f>'CAPEX'!BG135</x:f>
      </x:c>
      <x:c r="BH18" s="117" t="n">
        <x:f>'CAPEX'!BH135</x:f>
      </x:c>
      <x:c r="BI18" s="117" t="n">
        <x:f>'CAPEX'!BI135</x:f>
      </x:c>
      <x:c r="BJ18" s="117" t="n">
        <x:f>'CAPEX'!BJ135</x:f>
      </x:c>
      <x:c r="BK18" s="117" t="n">
        <x:f>'CAPEX'!BK135</x:f>
      </x:c>
      <x:c r="BL18" s="117" t="n">
        <x:f>'CAPEX'!BL135</x:f>
      </x:c>
      <x:c r="BM18" s="117" t="n">
        <x:f>'CAPEX'!BM135</x:f>
      </x:c>
      <x:c r="BN18" s="117" t="n">
        <x:f>'CAPEX'!BN135</x:f>
      </x:c>
      <x:c r="BO18" s="117" t="n">
        <x:f>'CAPEX'!BO135</x:f>
      </x:c>
      <x:c r="BP18" s="117" t="n">
        <x:f>'CAPEX'!BP135</x:f>
      </x:c>
      <x:c r="BQ18" s="117" t="n">
        <x:f>'CAPEX'!BQ135</x:f>
      </x:c>
      <x:c r="BR18" s="117" t="n">
        <x:f>'CAPEX'!BR135</x:f>
      </x:c>
      <x:c r="BS18" s="117" t="n">
        <x:f>'CAPEX'!BS135</x:f>
      </x:c>
      <x:c r="BT18" s="117" t="n">
        <x:f>'CAPEX'!BT135</x:f>
      </x:c>
      <x:c r="BU18" s="117" t="n">
        <x:f>'CAPEX'!BU135</x:f>
      </x:c>
      <x:c r="BV18" s="117" t="n">
        <x:f>'CAPEX'!BV135</x:f>
      </x:c>
      <x:c r="BW18" s="117" t="n">
        <x:f>'CAPEX'!BW135</x:f>
      </x:c>
      <x:c r="BX18" s="117" t="n">
        <x:f>'CAPEX'!BX135</x:f>
      </x:c>
      <x:c r="BY18" s="117" t="n">
        <x:f>'CAPEX'!BY135</x:f>
      </x:c>
      <x:c r="BZ18" s="117" t="n">
        <x:f>'CAPEX'!BZ135</x:f>
      </x:c>
      <x:c r="CA18" s="117" t="n">
        <x:f>'CAPEX'!CA135</x:f>
      </x:c>
      <x:c r="CB18" s="117" t="n">
        <x:f>'CAPEX'!CB135</x:f>
      </x:c>
      <x:c r="CC18" s="117" t="n">
        <x:f>'CAPEX'!CC135</x:f>
      </x:c>
      <x:c r="CD18" s="117" t="n">
        <x:f>'CAPEX'!CD135</x:f>
      </x:c>
      <x:c r="CE18" s="117" t="n">
        <x:f>'CAPEX'!CE135</x:f>
      </x:c>
      <x:c r="CF18" s="117" t="n">
        <x:f>'CAPEX'!CF135</x:f>
      </x:c>
      <x:c r="CG18" s="117" t="n">
        <x:f>'CAPEX'!CG135</x:f>
      </x:c>
      <x:c r="CH18" s="117" t="n">
        <x:f>'CAPEX'!CH135</x:f>
      </x:c>
      <x:c r="CI18" s="117" t="n">
        <x:f>'CAPEX'!CI135</x:f>
      </x:c>
      <x:c r="CJ18" s="117" t="n">
        <x:f>'CAPEX'!CJ135</x:f>
      </x:c>
      <x:c r="CK18" s="117" t="n">
        <x:f>'CAPEX'!CK135</x:f>
      </x:c>
      <x:c r="CL18" s="117" t="n">
        <x:f>'CAPEX'!CL135</x:f>
      </x:c>
      <x:c r="CM18" s="117" t="n">
        <x:f>'CAPEX'!CM135</x:f>
      </x:c>
      <x:c r="CN18" s="117" t="n">
        <x:f>'CAPEX'!CN135</x:f>
      </x:c>
      <x:c r="CO18" s="117" t="n">
        <x:f>'CAPEX'!CO135</x:f>
      </x:c>
      <x:c r="CP18" s="117" t="n">
        <x:f>'CAPEX'!CP135</x:f>
      </x:c>
      <x:c r="CQ18" s="117" t="n">
        <x:f>'CAPEX'!CQ135</x:f>
      </x:c>
      <x:c r="CR18" s="117" t="n">
        <x:f>'CAPEX'!CR135</x:f>
      </x:c>
      <x:c r="CS18" s="117" t="n">
        <x:f>'CAPEX'!CS135</x:f>
      </x:c>
      <x:c r="CT18" s="117" t="n">
        <x:f>'CAPEX'!CT135</x:f>
      </x:c>
      <x:c r="CU18" s="117" t="n">
        <x:f>'CAPEX'!CU135</x:f>
      </x:c>
      <x:c r="CV18" s="117" t="n">
        <x:f>'CAPEX'!CV135</x:f>
      </x:c>
      <x:c r="CW18" s="117" t="n">
        <x:f>'CAPEX'!CW135</x:f>
      </x:c>
      <x:c r="CX18" s="117" t="n">
        <x:f>'CAPEX'!CX135</x:f>
      </x:c>
      <x:c r="CY18" s="117" t="n">
        <x:f>'CAPEX'!CY135</x:f>
      </x:c>
      <x:c r="CZ18" s="117" t="n">
        <x:f>'CAPEX'!CZ135</x:f>
      </x:c>
      <x:c r="DA18" s="117" t="n">
        <x:f>'CAPEX'!DA135</x:f>
      </x:c>
      <x:c r="DB18" s="117" t="n">
        <x:f>'CAPEX'!DB135</x:f>
      </x:c>
      <x:c r="DC18" s="117" t="n">
        <x:f>'CAPEX'!DC135</x:f>
      </x:c>
      <x:c r="DD18" s="117" t="n">
        <x:f>'CAPEX'!DD135</x:f>
      </x:c>
      <x:c r="DE18" s="117" t="n">
        <x:f>'CAPEX'!DE135</x:f>
      </x:c>
      <x:c r="DF18" s="117" t="n">
        <x:f>'CAPEX'!DF135</x:f>
      </x:c>
      <x:c r="DG18" s="117" t="n">
        <x:f>'CAPEX'!DG135</x:f>
      </x:c>
      <x:c r="DH18" s="117" t="n">
        <x:f>'CAPEX'!DH135</x:f>
      </x:c>
      <x:c r="DI18" s="117" t="n">
        <x:f>'CAPEX'!DI135</x:f>
      </x:c>
      <x:c r="DJ18" s="117" t="n">
        <x:f>'CAPEX'!DJ135</x:f>
      </x:c>
      <x:c r="DK18" s="117" t="n">
        <x:f>'CAPEX'!DK135</x:f>
      </x:c>
      <x:c r="DL18" s="117" t="n">
        <x:f>'CAPEX'!DL135</x:f>
      </x:c>
      <x:c r="DM18" s="117" t="n">
        <x:f>'CAPEX'!DM135</x:f>
      </x:c>
      <x:c r="DN18" s="117" t="n">
        <x:f>'CAPEX'!DN135</x:f>
      </x:c>
      <x:c r="DO18" s="117" t="n">
        <x:f>'CAPEX'!DO135</x:f>
      </x:c>
      <x:c r="DP18" s="117" t="n">
        <x:f>'CAPEX'!DP135</x:f>
      </x:c>
      <x:c r="DQ18" s="117" t="n">
        <x:f>'CAPEX'!DQ135</x:f>
      </x:c>
      <x:c r="DR18" s="117" t="n">
        <x:f>'CAPEX'!DR135</x:f>
      </x:c>
      <x:c r="DS18" s="117" t="n">
        <x:f>'CAPEX'!DS135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'CAPEX'!D136</x:f>
      </x:c>
      <x:c r="E19" s="117" t="n">
        <x:f>'CAPEX'!E136</x:f>
      </x:c>
      <x:c r="F19" s="117" t="n">
        <x:f>'CAPEX'!F136</x:f>
      </x:c>
      <x:c r="G19" s="117" t="n">
        <x:f>'CAPEX'!G136</x:f>
      </x:c>
      <x:c r="H19" s="117" t="n">
        <x:f>'CAPEX'!H136</x:f>
      </x:c>
      <x:c r="I19" s="117" t="n">
        <x:f>'CAPEX'!I136</x:f>
      </x:c>
      <x:c r="J19" s="117" t="n">
        <x:f>'CAPEX'!J136</x:f>
      </x:c>
      <x:c r="K19" s="117" t="n">
        <x:f>'CAPEX'!K136</x:f>
      </x:c>
      <x:c r="L19" s="117" t="n">
        <x:f>'CAPEX'!L136</x:f>
      </x:c>
      <x:c r="M19" s="117" t="n">
        <x:f>'CAPEX'!M136</x:f>
      </x:c>
      <x:c r="N19" s="117" t="n">
        <x:f>'CAPEX'!N136</x:f>
      </x:c>
      <x:c r="O19" s="117" t="n">
        <x:f>'CAPEX'!O136</x:f>
      </x:c>
      <x:c r="P19" s="117" t="n">
        <x:f>'CAPEX'!P136</x:f>
      </x:c>
      <x:c r="Q19" s="117" t="n">
        <x:f>'CAPEX'!Q136</x:f>
      </x:c>
      <x:c r="R19" s="117" t="n">
        <x:f>'CAPEX'!R136</x:f>
      </x:c>
      <x:c r="S19" s="117" t="n">
        <x:f>'CAPEX'!S136</x:f>
      </x:c>
      <x:c r="T19" s="117" t="n">
        <x:f>'CAPEX'!T136</x:f>
      </x:c>
      <x:c r="U19" s="117" t="n">
        <x:f>'CAPEX'!U136</x:f>
      </x:c>
      <x:c r="V19" s="117" t="n">
        <x:f>'CAPEX'!V136</x:f>
      </x:c>
      <x:c r="W19" s="117" t="n">
        <x:f>'CAPEX'!W136</x:f>
      </x:c>
      <x:c r="X19" s="117" t="n">
        <x:f>'CAPEX'!X136</x:f>
      </x:c>
      <x:c r="Y19" s="117" t="n">
        <x:f>'CAPEX'!Y136</x:f>
      </x:c>
      <x:c r="Z19" s="117" t="n">
        <x:f>'CAPEX'!Z136</x:f>
      </x:c>
      <x:c r="AA19" s="117" t="n">
        <x:f>'CAPEX'!AA136</x:f>
      </x:c>
      <x:c r="AB19" s="117" t="n">
        <x:f>'CAPEX'!AB136</x:f>
      </x:c>
      <x:c r="AC19" s="117" t="n">
        <x:f>'CAPEX'!AC136</x:f>
      </x:c>
      <x:c r="AD19" s="117" t="n">
        <x:f>'CAPEX'!AD136</x:f>
      </x:c>
      <x:c r="AE19" s="117" t="n">
        <x:f>'CAPEX'!AE136</x:f>
      </x:c>
      <x:c r="AF19" s="117" t="n">
        <x:f>'CAPEX'!AF136</x:f>
      </x:c>
      <x:c r="AG19" s="117" t="n">
        <x:f>'CAPEX'!AG136</x:f>
      </x:c>
      <x:c r="AH19" s="117" t="n">
        <x:f>'CAPEX'!AH136</x:f>
      </x:c>
      <x:c r="AI19" s="117" t="n">
        <x:f>'CAPEX'!AI136</x:f>
      </x:c>
      <x:c r="AJ19" s="117" t="n">
        <x:f>'CAPEX'!AJ136</x:f>
      </x:c>
      <x:c r="AK19" s="117" t="n">
        <x:f>'CAPEX'!AK136</x:f>
      </x:c>
      <x:c r="AL19" s="117" t="n">
        <x:f>'CAPEX'!AL136</x:f>
      </x:c>
      <x:c r="AM19" s="117" t="n">
        <x:f>'CAPEX'!AM136</x:f>
      </x:c>
      <x:c r="AN19" s="117" t="n">
        <x:f>'CAPEX'!AN136</x:f>
      </x:c>
      <x:c r="AO19" s="117" t="n">
        <x:f>'CAPEX'!AO136</x:f>
      </x:c>
      <x:c r="AP19" s="117" t="n">
        <x:f>'CAPEX'!AP136</x:f>
      </x:c>
      <x:c r="AQ19" s="117" t="n">
        <x:f>'CAPEX'!AQ136</x:f>
      </x:c>
      <x:c r="AR19" s="117" t="n">
        <x:f>'CAPEX'!AR136</x:f>
      </x:c>
      <x:c r="AS19" s="117" t="n">
        <x:f>'CAPEX'!AS136</x:f>
      </x:c>
      <x:c r="AT19" s="117" t="n">
        <x:f>'CAPEX'!AT136</x:f>
      </x:c>
      <x:c r="AU19" s="117" t="n">
        <x:f>'CAPEX'!AU136</x:f>
      </x:c>
      <x:c r="AV19" s="117" t="n">
        <x:f>'CAPEX'!AV136</x:f>
      </x:c>
      <x:c r="AW19" s="117" t="n">
        <x:f>'CAPEX'!AW136</x:f>
      </x:c>
      <x:c r="AX19" s="117" t="n">
        <x:f>'CAPEX'!AX136</x:f>
      </x:c>
      <x:c r="AY19" s="117" t="n">
        <x:f>'CAPEX'!AY136</x:f>
      </x:c>
      <x:c r="AZ19" s="117" t="n">
        <x:f>'CAPEX'!AZ136</x:f>
      </x:c>
      <x:c r="BA19" s="117" t="n">
        <x:f>'CAPEX'!BA136</x:f>
      </x:c>
      <x:c r="BB19" s="117" t="n">
        <x:f>'CAPEX'!BB136</x:f>
      </x:c>
      <x:c r="BC19" s="117" t="n">
        <x:f>'CAPEX'!BC136</x:f>
      </x:c>
      <x:c r="BD19" s="117" t="n">
        <x:f>'CAPEX'!BD136</x:f>
      </x:c>
      <x:c r="BE19" s="117" t="n">
        <x:f>'CAPEX'!BE136</x:f>
      </x:c>
      <x:c r="BF19" s="117" t="n">
        <x:f>'CAPEX'!BF136</x:f>
      </x:c>
      <x:c r="BG19" s="117" t="n">
        <x:f>'CAPEX'!BG136</x:f>
      </x:c>
      <x:c r="BH19" s="117" t="n">
        <x:f>'CAPEX'!BH136</x:f>
      </x:c>
      <x:c r="BI19" s="117" t="n">
        <x:f>'CAPEX'!BI136</x:f>
      </x:c>
      <x:c r="BJ19" s="117" t="n">
        <x:f>'CAPEX'!BJ136</x:f>
      </x:c>
      <x:c r="BK19" s="117" t="n">
        <x:f>'CAPEX'!BK136</x:f>
      </x:c>
      <x:c r="BL19" s="117" t="n">
        <x:f>'CAPEX'!BL136</x:f>
      </x:c>
      <x:c r="BM19" s="117" t="n">
        <x:f>'CAPEX'!BM136</x:f>
      </x:c>
      <x:c r="BN19" s="117" t="n">
        <x:f>'CAPEX'!BN136</x:f>
      </x:c>
      <x:c r="BO19" s="117" t="n">
        <x:f>'CAPEX'!BO136</x:f>
      </x:c>
      <x:c r="BP19" s="117" t="n">
        <x:f>'CAPEX'!BP136</x:f>
      </x:c>
      <x:c r="BQ19" s="117" t="n">
        <x:f>'CAPEX'!BQ136</x:f>
      </x:c>
      <x:c r="BR19" s="117" t="n">
        <x:f>'CAPEX'!BR136</x:f>
      </x:c>
      <x:c r="BS19" s="117" t="n">
        <x:f>'CAPEX'!BS136</x:f>
      </x:c>
      <x:c r="BT19" s="117" t="n">
        <x:f>'CAPEX'!BT136</x:f>
      </x:c>
      <x:c r="BU19" s="117" t="n">
        <x:f>'CAPEX'!BU136</x:f>
      </x:c>
      <x:c r="BV19" s="117" t="n">
        <x:f>'CAPEX'!BV136</x:f>
      </x:c>
      <x:c r="BW19" s="117" t="n">
        <x:f>'CAPEX'!BW136</x:f>
      </x:c>
      <x:c r="BX19" s="117" t="n">
        <x:f>'CAPEX'!BX136</x:f>
      </x:c>
      <x:c r="BY19" s="117" t="n">
        <x:f>'CAPEX'!BY136</x:f>
      </x:c>
      <x:c r="BZ19" s="117" t="n">
        <x:f>'CAPEX'!BZ136</x:f>
      </x:c>
      <x:c r="CA19" s="117" t="n">
        <x:f>'CAPEX'!CA136</x:f>
      </x:c>
      <x:c r="CB19" s="117" t="n">
        <x:f>'CAPEX'!CB136</x:f>
      </x:c>
      <x:c r="CC19" s="117" t="n">
        <x:f>'CAPEX'!CC136</x:f>
      </x:c>
      <x:c r="CD19" s="117" t="n">
        <x:f>'CAPEX'!CD136</x:f>
      </x:c>
      <x:c r="CE19" s="117" t="n">
        <x:f>'CAPEX'!CE136</x:f>
      </x:c>
      <x:c r="CF19" s="117" t="n">
        <x:f>'CAPEX'!CF136</x:f>
      </x:c>
      <x:c r="CG19" s="117" t="n">
        <x:f>'CAPEX'!CG136</x:f>
      </x:c>
      <x:c r="CH19" s="117" t="n">
        <x:f>'CAPEX'!CH136</x:f>
      </x:c>
      <x:c r="CI19" s="117" t="n">
        <x:f>'CAPEX'!CI136</x:f>
      </x:c>
      <x:c r="CJ19" s="117" t="n">
        <x:f>'CAPEX'!CJ136</x:f>
      </x:c>
      <x:c r="CK19" s="117" t="n">
        <x:f>'CAPEX'!CK136</x:f>
      </x:c>
      <x:c r="CL19" s="117" t="n">
        <x:f>'CAPEX'!CL136</x:f>
      </x:c>
      <x:c r="CM19" s="117" t="n">
        <x:f>'CAPEX'!CM136</x:f>
      </x:c>
      <x:c r="CN19" s="117" t="n">
        <x:f>'CAPEX'!CN136</x:f>
      </x:c>
      <x:c r="CO19" s="117" t="n">
        <x:f>'CAPEX'!CO136</x:f>
      </x:c>
      <x:c r="CP19" s="117" t="n">
        <x:f>'CAPEX'!CP136</x:f>
      </x:c>
      <x:c r="CQ19" s="117" t="n">
        <x:f>'CAPEX'!CQ136</x:f>
      </x:c>
      <x:c r="CR19" s="117" t="n">
        <x:f>'CAPEX'!CR136</x:f>
      </x:c>
      <x:c r="CS19" s="117" t="n">
        <x:f>'CAPEX'!CS136</x:f>
      </x:c>
      <x:c r="CT19" s="117" t="n">
        <x:f>'CAPEX'!CT136</x:f>
      </x:c>
      <x:c r="CU19" s="117" t="n">
        <x:f>'CAPEX'!CU136</x:f>
      </x:c>
      <x:c r="CV19" s="117" t="n">
        <x:f>'CAPEX'!CV136</x:f>
      </x:c>
      <x:c r="CW19" s="117" t="n">
        <x:f>'CAPEX'!CW136</x:f>
      </x:c>
      <x:c r="CX19" s="117" t="n">
        <x:f>'CAPEX'!CX136</x:f>
      </x:c>
      <x:c r="CY19" s="117" t="n">
        <x:f>'CAPEX'!CY136</x:f>
      </x:c>
      <x:c r="CZ19" s="117" t="n">
        <x:f>'CAPEX'!CZ136</x:f>
      </x:c>
      <x:c r="DA19" s="117" t="n">
        <x:f>'CAPEX'!DA136</x:f>
      </x:c>
      <x:c r="DB19" s="117" t="n">
        <x:f>'CAPEX'!DB136</x:f>
      </x:c>
      <x:c r="DC19" s="117" t="n">
        <x:f>'CAPEX'!DC136</x:f>
      </x:c>
      <x:c r="DD19" s="117" t="n">
        <x:f>'CAPEX'!DD136</x:f>
      </x:c>
      <x:c r="DE19" s="117" t="n">
        <x:f>'CAPEX'!DE136</x:f>
      </x:c>
      <x:c r="DF19" s="117" t="n">
        <x:f>'CAPEX'!DF136</x:f>
      </x:c>
      <x:c r="DG19" s="117" t="n">
        <x:f>'CAPEX'!DG136</x:f>
      </x:c>
      <x:c r="DH19" s="117" t="n">
        <x:f>'CAPEX'!DH136</x:f>
      </x:c>
      <x:c r="DI19" s="117" t="n">
        <x:f>'CAPEX'!DI136</x:f>
      </x:c>
      <x:c r="DJ19" s="117" t="n">
        <x:f>'CAPEX'!DJ136</x:f>
      </x:c>
      <x:c r="DK19" s="117" t="n">
        <x:f>'CAPEX'!DK136</x:f>
      </x:c>
      <x:c r="DL19" s="117" t="n">
        <x:f>'CAPEX'!DL136</x:f>
      </x:c>
      <x:c r="DM19" s="117" t="n">
        <x:f>'CAPEX'!DM136</x:f>
      </x:c>
      <x:c r="DN19" s="117" t="n">
        <x:f>'CAPEX'!DN136</x:f>
      </x:c>
      <x:c r="DO19" s="117" t="n">
        <x:f>'CAPEX'!DO136</x:f>
      </x:c>
      <x:c r="DP19" s="117" t="n">
        <x:f>'CAPEX'!DP136</x:f>
      </x:c>
      <x:c r="DQ19" s="117" t="n">
        <x:f>'CAPEX'!DQ136</x:f>
      </x:c>
      <x:c r="DR19" s="117" t="n">
        <x:f>'CAPEX'!DR136</x:f>
      </x:c>
      <x:c r="DS19" s="117" t="n">
        <x:f>'CAPEX'!DS136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MIN(MAX(0,'Вводные'!$B$24*'Вводные'!$U$91-D30),D33)</x:f>
      </x:c>
      <x:c r="E34" s="117" t="n">
        <x:f>MIN(MAX(0,'Вводные'!$B$24*'Вводные'!$U$91-E30),E33)</x:f>
      </x:c>
      <x:c r="F34" s="117" t="n">
        <x:f>MIN(MAX(0,'Вводные'!$B$24*'Вводные'!$U$91-F30),F33)</x:f>
      </x:c>
      <x:c r="G34" s="117" t="n">
        <x:f>MIN(MAX(0,'Вводные'!$B$24*'Вводные'!$U$91-G30),G33)</x:f>
      </x:c>
      <x:c r="H34" s="117" t="n">
        <x:f>MIN(MAX(0,'Вводные'!$B$24*'Вводные'!$U$91-H30),H33)</x:f>
      </x:c>
      <x:c r="I34" s="117" t="n">
        <x:f>MIN(MAX(0,'Вводные'!$B$24*'Вводные'!$U$91-I30),I33)</x:f>
      </x:c>
      <x:c r="J34" s="117" t="n">
        <x:f>MIN(MAX(0,'Вводные'!$B$24*'Вводные'!$U$91-J30),J33)</x:f>
      </x:c>
      <x:c r="K34" s="117" t="n">
        <x:f>MIN(MAX(0,'Вводные'!$B$24*'Вводные'!$U$91-K30),K33)</x:f>
      </x:c>
      <x:c r="L34" s="117" t="n">
        <x:f>MIN(MAX(0,'Вводные'!$B$24*'Вводные'!$U$91-L30),L33)</x:f>
      </x:c>
      <x:c r="M34" s="117" t="n">
        <x:f>MIN(MAX(0,'Вводные'!$B$24*'Вводные'!$U$91-M30),M33)</x:f>
      </x:c>
      <x:c r="N34" s="117" t="n">
        <x:f>MIN(MAX(0,'Вводные'!$B$24*'Вводные'!$U$91-N30),N33)</x:f>
      </x:c>
      <x:c r="O34" s="117" t="n">
        <x:f>MIN(MAX(0,'Вводные'!$B$24*'Вводные'!$U$91-O30),O33)</x:f>
      </x:c>
      <x:c r="P34" s="117" t="n">
        <x:f>MIN(MAX(0,'Вводные'!$B$24*'Вводные'!$U$91-P30),P33)</x:f>
      </x:c>
      <x:c r="Q34" s="117" t="n">
        <x:f>MIN(MAX(0,'Вводные'!$B$24*'Вводные'!$U$91-Q30),Q33)</x:f>
      </x:c>
      <x:c r="R34" s="117" t="n">
        <x:f>MIN(MAX(0,'Вводные'!$B$24*'Вводные'!$U$91-R30),R33)</x:f>
      </x:c>
      <x:c r="S34" s="117" t="n">
        <x:f>MIN(MAX(0,'Вводные'!$B$24*'Вводные'!$U$91-S30),S33)</x:f>
      </x:c>
      <x:c r="T34" s="117" t="n">
        <x:f>MIN(MAX(0,'Вводные'!$B$24*'Вводные'!$U$91-T30),T33)</x:f>
      </x:c>
      <x:c r="U34" s="117" t="n">
        <x:f>MIN(MAX(0,'Вводные'!$B$24*'Вводные'!$U$91-U30),U33)</x:f>
      </x:c>
      <x:c r="V34" s="117" t="n">
        <x:f>MIN(MAX(0,'Вводные'!$B$24*'Вводные'!$U$91-V30),V33)</x:f>
      </x:c>
      <x:c r="W34" s="117" t="n">
        <x:f>MIN(MAX(0,'Вводные'!$B$24*'Вводные'!$U$91-W30),W33)</x:f>
      </x:c>
      <x:c r="X34" s="117" t="n">
        <x:f>MIN(MAX(0,'Вводные'!$B$24*'Вводные'!$U$91-X30),X33)</x:f>
      </x:c>
      <x:c r="Y34" s="117" t="n">
        <x:f>MIN(MAX(0,'Вводные'!$B$24*'Вводные'!$U$91-Y30),Y33)</x:f>
      </x:c>
      <x:c r="Z34" s="117" t="n">
        <x:f>MIN(MAX(0,'Вводные'!$B$24*'Вводные'!$U$91-Z30),Z33)</x:f>
      </x:c>
      <x:c r="AA34" s="117" t="n">
        <x:f>MIN(MAX(0,'Вводные'!$B$24*'Вводные'!$U$91-AA30),AA33)</x:f>
      </x:c>
      <x:c r="AB34" s="117" t="n">
        <x:f>MIN(MAX(0,'Вводные'!$B$24*'Вводные'!$U$91-AB30),AB33)</x:f>
      </x:c>
      <x:c r="AC34" s="117" t="n">
        <x:f>MIN(MAX(0,'Вводные'!$B$24*'Вводные'!$U$91-AC30),AC33)</x:f>
      </x:c>
      <x:c r="AD34" s="117" t="n">
        <x:f>MIN(MAX(0,'Вводные'!$B$24*'Вводные'!$U$91-AD30),AD33)</x:f>
      </x:c>
      <x:c r="AE34" s="117" t="n">
        <x:f>MIN(MAX(0,'Вводные'!$B$24*'Вводные'!$U$91-AE30),AE33)</x:f>
      </x:c>
      <x:c r="AF34" s="117" t="n">
        <x:f>MIN(MAX(0,'Вводные'!$B$24*'Вводные'!$U$91-AF30),AF33)</x:f>
      </x:c>
      <x:c r="AG34" s="117" t="n">
        <x:f>MIN(MAX(0,'Вводные'!$B$24*'Вводные'!$U$91-AG30),AG33)</x:f>
      </x:c>
      <x:c r="AH34" s="117" t="n">
        <x:f>MIN(MAX(0,'Вводные'!$B$24*'Вводные'!$U$91-AH30),AH33)</x:f>
      </x:c>
      <x:c r="AI34" s="117" t="n">
        <x:f>MIN(MAX(0,'Вводные'!$B$24*'Вводные'!$U$91-AI30),AI33)</x:f>
      </x:c>
      <x:c r="AJ34" s="117" t="n">
        <x:f>MIN(MAX(0,'Вводные'!$B$24*'Вводные'!$U$91-AJ30),AJ33)</x:f>
      </x:c>
      <x:c r="AK34" s="117" t="n">
        <x:f>MIN(MAX(0,'Вводные'!$B$24*'Вводные'!$U$91-AK30),AK33)</x:f>
      </x:c>
      <x:c r="AL34" s="117" t="n">
        <x:f>MIN(MAX(0,'Вводные'!$B$24*'Вводные'!$U$91-AL30),AL33)</x:f>
      </x:c>
      <x:c r="AM34" s="117" t="n">
        <x:f>MIN(MAX(0,'Вводные'!$B$24*'Вводные'!$U$91-AM30),AM33)</x:f>
      </x:c>
      <x:c r="AN34" s="117" t="n">
        <x:f>MIN(MAX(0,'Вводные'!$B$24*'Вводные'!$U$91-AN30),AN33)</x:f>
      </x:c>
      <x:c r="AO34" s="117" t="n">
        <x:f>MIN(MAX(0,'Вводные'!$B$24*'Вводные'!$U$91-AO30),AO33)</x:f>
      </x:c>
      <x:c r="AP34" s="117" t="n">
        <x:f>MIN(MAX(0,'Вводные'!$B$24*'Вводные'!$U$91-AP30),AP33)</x:f>
      </x:c>
      <x:c r="AQ34" s="117" t="n">
        <x:f>MIN(MAX(0,'Вводные'!$B$24*'Вводные'!$U$91-AQ30),AQ33)</x:f>
      </x:c>
      <x:c r="AR34" s="117" t="n">
        <x:f>MIN(MAX(0,'Вводные'!$B$24*'Вводные'!$U$91-AR30),AR33)</x:f>
      </x:c>
      <x:c r="AS34" s="117" t="n">
        <x:f>MIN(MAX(0,'Вводные'!$B$24*'Вводные'!$U$91-AS30),AS33)</x:f>
      </x:c>
      <x:c r="AT34" s="117" t="n">
        <x:f>MIN(MAX(0,'Вводные'!$B$24*'Вводные'!$U$91-AT30),AT33)</x:f>
      </x:c>
      <x:c r="AU34" s="117" t="n">
        <x:f>MIN(MAX(0,'Вводные'!$B$24*'Вводные'!$U$91-AU30),AU33)</x:f>
      </x:c>
      <x:c r="AV34" s="117" t="n">
        <x:f>MIN(MAX(0,'Вводные'!$B$24*'Вводные'!$U$91-AV30),AV33)</x:f>
      </x:c>
      <x:c r="AW34" s="117" t="n">
        <x:f>MIN(MAX(0,'Вводные'!$B$24*'Вводные'!$U$91-AW30),AW33)</x:f>
      </x:c>
      <x:c r="AX34" s="117" t="n">
        <x:f>MIN(MAX(0,'Вводные'!$B$24*'Вводные'!$U$91-AX30),AX33)</x:f>
      </x:c>
      <x:c r="AY34" s="117" t="n">
        <x:f>MIN(MAX(0,'Вводные'!$B$24*'Вводные'!$U$91-AY30),AY33)</x:f>
      </x:c>
      <x:c r="AZ34" s="117" t="n">
        <x:f>MIN(MAX(0,'Вводные'!$B$24*'Вводные'!$U$91-AZ30),AZ33)</x:f>
      </x:c>
      <x:c r="BA34" s="117" t="n">
        <x:f>MIN(MAX(0,'Вводные'!$B$24*'Вводные'!$U$91-BA30),BA33)</x:f>
      </x:c>
      <x:c r="BB34" s="117" t="n">
        <x:f>MIN(MAX(0,'Вводные'!$B$24*'Вводные'!$U$91-BB30),BB33)</x:f>
      </x:c>
      <x:c r="BC34" s="117" t="n">
        <x:f>MIN(MAX(0,'Вводные'!$B$24*'Вводные'!$U$91-BC30),BC33)</x:f>
      </x:c>
      <x:c r="BD34" s="117" t="n">
        <x:f>MIN(MAX(0,'Вводные'!$B$24*'Вводные'!$U$91-BD30),BD33)</x:f>
      </x:c>
      <x:c r="BE34" s="117" t="n">
        <x:f>MIN(MAX(0,'Вводные'!$B$24*'Вводные'!$U$91-BE30),BE33)</x:f>
      </x:c>
      <x:c r="BF34" s="117" t="n">
        <x:f>MIN(MAX(0,'Вводные'!$B$24*'Вводные'!$U$91-BF30),BF33)</x:f>
      </x:c>
      <x:c r="BG34" s="117" t="n">
        <x:f>MIN(MAX(0,'Вводные'!$B$24*'Вводные'!$U$91-BG30),BG33)</x:f>
      </x:c>
      <x:c r="BH34" s="117" t="n">
        <x:f>MIN(MAX(0,'Вводные'!$B$24*'Вводные'!$U$91-BH30),BH33)</x:f>
      </x:c>
      <x:c r="BI34" s="117" t="n">
        <x:f>MIN(MAX(0,'Вводные'!$B$24*'Вводные'!$U$91-BI30),BI33)</x:f>
      </x:c>
      <x:c r="BJ34" s="117" t="n">
        <x:f>MIN(MAX(0,'Вводные'!$B$24*'Вводные'!$U$91-BJ30),BJ33)</x:f>
      </x:c>
      <x:c r="BK34" s="117" t="n">
        <x:f>MIN(MAX(0,'Вводные'!$B$24*'Вводные'!$U$91-BK30),BK33)</x:f>
      </x:c>
      <x:c r="BL34" s="117" t="n">
        <x:f>MIN(MAX(0,'Вводные'!$B$24*'Вводные'!$U$91-BL30),BL33)</x:f>
      </x:c>
      <x:c r="BM34" s="117" t="n">
        <x:f>MIN(MAX(0,'Вводные'!$B$24*'Вводные'!$U$91-BM30),BM33)</x:f>
      </x:c>
      <x:c r="BN34" s="117" t="n">
        <x:f>MIN(MAX(0,'Вводные'!$B$24*'Вводные'!$U$91-BN30),BN33)</x:f>
      </x:c>
      <x:c r="BO34" s="117" t="n">
        <x:f>MIN(MAX(0,'Вводные'!$B$24*'Вводные'!$U$91-BO30),BO33)</x:f>
      </x:c>
      <x:c r="BP34" s="117" t="n">
        <x:f>MIN(MAX(0,'Вводные'!$B$24*'Вводные'!$U$91-BP30),BP33)</x:f>
      </x:c>
      <x:c r="BQ34" s="117" t="n">
        <x:f>MIN(MAX(0,'Вводные'!$B$24*'Вводные'!$U$91-BQ30),BQ33)</x:f>
      </x:c>
      <x:c r="BR34" s="117" t="n">
        <x:f>MIN(MAX(0,'Вводные'!$B$24*'Вводные'!$U$91-BR30),BR33)</x:f>
      </x:c>
      <x:c r="BS34" s="117" t="n">
        <x:f>MIN(MAX(0,'Вводные'!$B$24*'Вводные'!$U$91-BS30),BS33)</x:f>
      </x:c>
      <x:c r="BT34" s="117" t="n">
        <x:f>MIN(MAX(0,'Вводные'!$B$24*'Вводные'!$U$91-BT30),BT33)</x:f>
      </x:c>
      <x:c r="BU34" s="117" t="n">
        <x:f>MIN(MAX(0,'Вводные'!$B$24*'Вводные'!$U$91-BU30),BU33)</x:f>
      </x:c>
      <x:c r="BV34" s="117" t="n">
        <x:f>MIN(MAX(0,'Вводные'!$B$24*'Вводные'!$U$91-BV30),BV33)</x:f>
      </x:c>
      <x:c r="BW34" s="117" t="n">
        <x:f>MIN(MAX(0,'Вводные'!$B$24*'Вводные'!$U$91-BW30),BW33)</x:f>
      </x:c>
      <x:c r="BX34" s="117" t="n">
        <x:f>MIN(MAX(0,'Вводные'!$B$24*'Вводные'!$U$91-BX30),BX33)</x:f>
      </x:c>
      <x:c r="BY34" s="117" t="n">
        <x:f>MIN(MAX(0,'Вводные'!$B$24*'Вводные'!$U$91-BY30),BY33)</x:f>
      </x:c>
      <x:c r="BZ34" s="117" t="n">
        <x:f>MIN(MAX(0,'Вводные'!$B$24*'Вводные'!$U$91-BZ30),BZ33)</x:f>
      </x:c>
      <x:c r="CA34" s="117" t="n">
        <x:f>MIN(MAX(0,'Вводные'!$B$24*'Вводные'!$U$91-CA30),CA33)</x:f>
      </x:c>
      <x:c r="CB34" s="117" t="n">
        <x:f>MIN(MAX(0,'Вводные'!$B$24*'Вводные'!$U$91-CB30),CB33)</x:f>
      </x:c>
      <x:c r="CC34" s="117" t="n">
        <x:f>MIN(MAX(0,'Вводные'!$B$24*'Вводные'!$U$91-CC30),CC33)</x:f>
      </x:c>
      <x:c r="CD34" s="117" t="n">
        <x:f>MIN(MAX(0,'Вводные'!$B$24*'Вводные'!$U$91-CD30),CD33)</x:f>
      </x:c>
      <x:c r="CE34" s="117" t="n">
        <x:f>MIN(MAX(0,'Вводные'!$B$24*'Вводные'!$U$91-CE30),CE33)</x:f>
      </x:c>
      <x:c r="CF34" s="117" t="n">
        <x:f>MIN(MAX(0,'Вводные'!$B$24*'Вводные'!$U$91-CF30),CF33)</x:f>
      </x:c>
      <x:c r="CG34" s="117" t="n">
        <x:f>MIN(MAX(0,'Вводные'!$B$24*'Вводные'!$U$91-CG30),CG33)</x:f>
      </x:c>
      <x:c r="CH34" s="117" t="n">
        <x:f>MIN(MAX(0,'Вводные'!$B$24*'Вводные'!$U$91-CH30),CH33)</x:f>
      </x:c>
      <x:c r="CI34" s="117" t="n">
        <x:f>MIN(MAX(0,'Вводные'!$B$24*'Вводные'!$U$91-CI30),CI33)</x:f>
      </x:c>
      <x:c r="CJ34" s="117" t="n">
        <x:f>MIN(MAX(0,'Вводные'!$B$24*'Вводные'!$U$91-CJ30),CJ33)</x:f>
      </x:c>
      <x:c r="CK34" s="117" t="n">
        <x:f>MIN(MAX(0,'Вводные'!$B$24*'Вводные'!$U$91-CK30),CK33)</x:f>
      </x:c>
      <x:c r="CL34" s="117" t="n">
        <x:f>MIN(MAX(0,'Вводные'!$B$24*'Вводные'!$U$91-CL30),CL33)</x:f>
      </x:c>
      <x:c r="CM34" s="117" t="n">
        <x:f>MIN(MAX(0,'Вводные'!$B$24*'Вводные'!$U$91-CM30),CM33)</x:f>
      </x:c>
      <x:c r="CN34" s="117" t="n">
        <x:f>MIN(MAX(0,'Вводные'!$B$24*'Вводные'!$U$91-CN30),CN33)</x:f>
      </x:c>
      <x:c r="CO34" s="117" t="n">
        <x:f>MIN(MAX(0,'Вводные'!$B$24*'Вводные'!$U$91-CO30),CO33)</x:f>
      </x:c>
      <x:c r="CP34" s="117" t="n">
        <x:f>MIN(MAX(0,'Вводные'!$B$24*'Вводные'!$U$91-CP30),CP33)</x:f>
      </x:c>
      <x:c r="CQ34" s="117" t="n">
        <x:f>MIN(MAX(0,'Вводные'!$B$24*'Вводные'!$U$91-CQ30),CQ33)</x:f>
      </x:c>
      <x:c r="CR34" s="117" t="n">
        <x:f>MIN(MAX(0,'Вводные'!$B$24*'Вводные'!$U$91-CR30),CR33)</x:f>
      </x:c>
      <x:c r="CS34" s="117" t="n">
        <x:f>MIN(MAX(0,'Вводные'!$B$24*'Вводные'!$U$91-CS30),CS33)</x:f>
      </x:c>
      <x:c r="CT34" s="117" t="n">
        <x:f>MIN(MAX(0,'Вводные'!$B$24*'Вводные'!$U$91-CT30),CT33)</x:f>
      </x:c>
      <x:c r="CU34" s="117" t="n">
        <x:f>MIN(MAX(0,'Вводные'!$B$24*'Вводные'!$U$91-CU30),CU33)</x:f>
      </x:c>
      <x:c r="CV34" s="117" t="n">
        <x:f>MIN(MAX(0,'Вводные'!$B$24*'Вводные'!$U$91-CV30),CV33)</x:f>
      </x:c>
      <x:c r="CW34" s="117" t="n">
        <x:f>MIN(MAX(0,'Вводные'!$B$24*'Вводные'!$U$91-CW30),CW33)</x:f>
      </x:c>
      <x:c r="CX34" s="117" t="n">
        <x:f>MIN(MAX(0,'Вводные'!$B$24*'Вводные'!$U$91-CX30),CX33)</x:f>
      </x:c>
      <x:c r="CY34" s="117" t="n">
        <x:f>MIN(MAX(0,'Вводные'!$B$24*'Вводные'!$U$91-CY30),CY33)</x:f>
      </x:c>
      <x:c r="CZ34" s="117" t="n">
        <x:f>MIN(MAX(0,'Вводные'!$B$24*'Вводные'!$U$91-CZ30),CZ33)</x:f>
      </x:c>
      <x:c r="DA34" s="117" t="n">
        <x:f>MIN(MAX(0,'Вводные'!$B$24*'Вводные'!$U$91-DA30),DA33)</x:f>
      </x:c>
      <x:c r="DB34" s="117" t="n">
        <x:f>MIN(MAX(0,'Вводные'!$B$24*'Вводные'!$U$91-DB30),DB33)</x:f>
      </x:c>
      <x:c r="DC34" s="117" t="n">
        <x:f>MIN(MAX(0,'Вводные'!$B$24*'Вводные'!$U$91-DC30),DC33)</x:f>
      </x:c>
      <x:c r="DD34" s="117" t="n">
        <x:f>MIN(MAX(0,'Вводные'!$B$24*'Вводные'!$U$91-DD30),DD33)</x:f>
      </x:c>
      <x:c r="DE34" s="117" t="n">
        <x:f>MIN(MAX(0,'Вводные'!$B$24*'Вводные'!$U$91-DE30),DE33)</x:f>
      </x:c>
      <x:c r="DF34" s="117" t="n">
        <x:f>MIN(MAX(0,'Вводные'!$B$24*'Вводные'!$U$91-DF30),DF33)</x:f>
      </x:c>
      <x:c r="DG34" s="117" t="n">
        <x:f>MIN(MAX(0,'Вводные'!$B$24*'Вводные'!$U$91-DG30),DG33)</x:f>
      </x:c>
      <x:c r="DH34" s="117" t="n">
        <x:f>MIN(MAX(0,'Вводные'!$B$24*'Вводные'!$U$91-DH30),DH33)</x:f>
      </x:c>
      <x:c r="DI34" s="117" t="n">
        <x:f>MIN(MAX(0,'Вводные'!$B$24*'Вводные'!$U$91-DI30),DI33)</x:f>
      </x:c>
      <x:c r="DJ34" s="117" t="n">
        <x:f>MIN(MAX(0,'Вводные'!$B$24*'Вводные'!$U$91-DJ30),DJ33)</x:f>
      </x:c>
      <x:c r="DK34" s="117" t="n">
        <x:f>MIN(MAX(0,'Вводные'!$B$24*'Вводные'!$U$91-DK30),DK33)</x:f>
      </x:c>
      <x:c r="DL34" s="117" t="n">
        <x:f>MIN(MAX(0,'Вводные'!$B$24*'Вводные'!$U$91-DL30),DL33)</x:f>
      </x:c>
      <x:c r="DM34" s="117" t="n">
        <x:f>MIN(MAX(0,'Вводные'!$B$24*'Вводные'!$U$91-DM30),DM33)</x:f>
      </x:c>
      <x:c r="DN34" s="117" t="n">
        <x:f>MIN(MAX(0,'Вводные'!$B$24*'Вводные'!$U$91-DN30),DN33)</x:f>
      </x:c>
      <x:c r="DO34" s="117" t="n">
        <x:f>MIN(MAX(0,'Вводные'!$B$24*'Вводные'!$U$91-DO30),DO33)</x:f>
      </x:c>
      <x:c r="DP34" s="117" t="n">
        <x:f>MIN(MAX(0,'Вводные'!$B$24*'Вводные'!$U$91-DP30),DP33)</x:f>
      </x:c>
      <x:c r="DQ34" s="117" t="n">
        <x:f>MIN(MAX(0,'Вводные'!$B$24*'Вводные'!$U$91-DQ30),DQ33)</x:f>
      </x:c>
      <x:c r="DR34" s="117" t="n">
        <x:f>MIN(MAX(0,'Вводные'!$B$24*'Вводные'!$U$91-DR30),DR33)</x:f>
      </x:c>
      <x:c r="DS34" s="117" t="n">
        <x:f>MIN(MAX(0,'Вводные'!$B$24*'Вводные'!$U$91-DS30),DS33)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IF(AND(D38&gt;0,D$3&lt;EDATE($B$8,'Вводные'!$H$91)),D38*D41/12,0)</x:f>
      </x:c>
      <x:c r="E42" s="117" t="n">
        <x:f>IF(AND(E38&gt;0,E$3&lt;EDATE($B$8,'Вводные'!$H$91)),E38*E41/12,0)</x:f>
      </x:c>
      <x:c r="F42" s="117" t="n">
        <x:f>IF(AND(F38&gt;0,F$3&lt;EDATE($B$8,'Вводные'!$H$91)),F38*F41/12,0)</x:f>
      </x:c>
      <x:c r="G42" s="117" t="n">
        <x:f>IF(AND(G38&gt;0,G$3&lt;EDATE($B$8,'Вводные'!$H$91)),G38*G41/12,0)</x:f>
      </x:c>
      <x:c r="H42" s="117" t="n">
        <x:f>IF(AND(H38&gt;0,H$3&lt;EDATE($B$8,'Вводные'!$H$91)),H38*H41/12,0)</x:f>
      </x:c>
      <x:c r="I42" s="117" t="n">
        <x:f>IF(AND(I38&gt;0,I$3&lt;EDATE($B$8,'Вводные'!$H$91)),I38*I41/12,0)</x:f>
      </x:c>
      <x:c r="J42" s="117" t="n">
        <x:f>IF(AND(J38&gt;0,J$3&lt;EDATE($B$8,'Вводные'!$H$91)),J38*J41/12,0)</x:f>
      </x:c>
      <x:c r="K42" s="117" t="n">
        <x:f>IF(AND(K38&gt;0,K$3&lt;EDATE($B$8,'Вводные'!$H$91)),K38*K41/12,0)</x:f>
      </x:c>
      <x:c r="L42" s="117" t="n">
        <x:f>IF(AND(L38&gt;0,L$3&lt;EDATE($B$8,'Вводные'!$H$91)),L38*L41/12,0)</x:f>
      </x:c>
      <x:c r="M42" s="117" t="n">
        <x:f>IF(AND(M38&gt;0,M$3&lt;EDATE($B$8,'Вводные'!$H$91)),M38*M41/12,0)</x:f>
      </x:c>
      <x:c r="N42" s="117" t="n">
        <x:f>IF(AND(N38&gt;0,N$3&lt;EDATE($B$8,'Вводные'!$H$91)),N38*N41/12,0)</x:f>
      </x:c>
      <x:c r="O42" s="117" t="n">
        <x:f>IF(AND(O38&gt;0,O$3&lt;EDATE($B$8,'Вводные'!$H$91)),O38*O41/12,0)</x:f>
      </x:c>
      <x:c r="P42" s="117" t="n">
        <x:f>IF(AND(P38&gt;0,P$3&lt;EDATE($B$8,'Вводные'!$H$91)),P38*P41/12,0)</x:f>
      </x:c>
      <x:c r="Q42" s="117" t="n">
        <x:f>IF(AND(Q38&gt;0,Q$3&lt;EDATE($B$8,'Вводные'!$H$91)),Q38*Q41/12,0)</x:f>
      </x:c>
      <x:c r="R42" s="117" t="n">
        <x:f>IF(AND(R38&gt;0,R$3&lt;EDATE($B$8,'Вводные'!$H$91)),R38*R41/12,0)</x:f>
      </x:c>
      <x:c r="S42" s="117" t="n">
        <x:f>IF(AND(S38&gt;0,S$3&lt;EDATE($B$8,'Вводные'!$H$91)),S38*S41/12,0)</x:f>
      </x:c>
      <x:c r="T42" s="117" t="n">
        <x:f>IF(AND(T38&gt;0,T$3&lt;EDATE($B$8,'Вводные'!$H$91)),T38*T41/12,0)</x:f>
      </x:c>
      <x:c r="U42" s="117" t="n">
        <x:f>IF(AND(U38&gt;0,U$3&lt;EDATE($B$8,'Вводные'!$H$91)),U38*U41/12,0)</x:f>
      </x:c>
      <x:c r="V42" s="117" t="n">
        <x:f>IF(AND(V38&gt;0,V$3&lt;EDATE($B$8,'Вводные'!$H$91)),V38*V41/12,0)</x:f>
      </x:c>
      <x:c r="W42" s="117" t="n">
        <x:f>IF(AND(W38&gt;0,W$3&lt;EDATE($B$8,'Вводные'!$H$91)),W38*W41/12,0)</x:f>
      </x:c>
      <x:c r="X42" s="117" t="n">
        <x:f>IF(AND(X38&gt;0,X$3&lt;EDATE($B$8,'Вводные'!$H$91)),X38*X41/12,0)</x:f>
      </x:c>
      <x:c r="Y42" s="117" t="n">
        <x:f>IF(AND(Y38&gt;0,Y$3&lt;EDATE($B$8,'Вводные'!$H$91)),Y38*Y41/12,0)</x:f>
      </x:c>
      <x:c r="Z42" s="117" t="n">
        <x:f>IF(AND(Z38&gt;0,Z$3&lt;EDATE($B$8,'Вводные'!$H$91)),Z38*Z41/12,0)</x:f>
      </x:c>
      <x:c r="AA42" s="117" t="n">
        <x:f>IF(AND(AA38&gt;0,AA$3&lt;EDATE($B$8,'Вводные'!$H$91)),AA38*AA41/12,0)</x:f>
      </x:c>
      <x:c r="AB42" s="117" t="n">
        <x:f>IF(AND(AB38&gt;0,AB$3&lt;EDATE($B$8,'Вводные'!$H$91)),AB38*AB41/12,0)</x:f>
      </x:c>
      <x:c r="AC42" s="117" t="n">
        <x:f>IF(AND(AC38&gt;0,AC$3&lt;EDATE($B$8,'Вводные'!$H$91)),AC38*AC41/12,0)</x:f>
      </x:c>
      <x:c r="AD42" s="117" t="n">
        <x:f>IF(AND(AD38&gt;0,AD$3&lt;EDATE($B$8,'Вводные'!$H$91)),AD38*AD41/12,0)</x:f>
      </x:c>
      <x:c r="AE42" s="117" t="n">
        <x:f>IF(AND(AE38&gt;0,AE$3&lt;EDATE($B$8,'Вводные'!$H$91)),AE38*AE41/12,0)</x:f>
      </x:c>
      <x:c r="AF42" s="117" t="n">
        <x:f>IF(AND(AF38&gt;0,AF$3&lt;EDATE($B$8,'Вводные'!$H$91)),AF38*AF41/12,0)</x:f>
      </x:c>
      <x:c r="AG42" s="117" t="n">
        <x:f>IF(AND(AG38&gt;0,AG$3&lt;EDATE($B$8,'Вводные'!$H$91)),AG38*AG41/12,0)</x:f>
      </x:c>
      <x:c r="AH42" s="117" t="n">
        <x:f>IF(AND(AH38&gt;0,AH$3&lt;EDATE($B$8,'Вводные'!$H$91)),AH38*AH41/12,0)</x:f>
      </x:c>
      <x:c r="AI42" s="117" t="n">
        <x:f>IF(AND(AI38&gt;0,AI$3&lt;EDATE($B$8,'Вводные'!$H$91)),AI38*AI41/12,0)</x:f>
      </x:c>
      <x:c r="AJ42" s="117" t="n">
        <x:f>IF(AND(AJ38&gt;0,AJ$3&lt;EDATE($B$8,'Вводные'!$H$91)),AJ38*AJ41/12,0)</x:f>
      </x:c>
      <x:c r="AK42" s="117" t="n">
        <x:f>IF(AND(AK38&gt;0,AK$3&lt;EDATE($B$8,'Вводные'!$H$91)),AK38*AK41/12,0)</x:f>
      </x:c>
      <x:c r="AL42" s="117" t="n">
        <x:f>IF(AND(AL38&gt;0,AL$3&lt;EDATE($B$8,'Вводные'!$H$91)),AL38*AL41/12,0)</x:f>
      </x:c>
      <x:c r="AM42" s="117" t="n">
        <x:f>IF(AND(AM38&gt;0,AM$3&lt;EDATE($B$8,'Вводные'!$H$91)),AM38*AM41/12,0)</x:f>
      </x:c>
      <x:c r="AN42" s="117" t="n">
        <x:f>IF(AND(AN38&gt;0,AN$3&lt;EDATE($B$8,'Вводные'!$H$91)),AN38*AN41/12,0)</x:f>
      </x:c>
      <x:c r="AO42" s="117" t="n">
        <x:f>IF(AND(AO38&gt;0,AO$3&lt;EDATE($B$8,'Вводные'!$H$91)),AO38*AO41/12,0)</x:f>
      </x:c>
      <x:c r="AP42" s="117" t="n">
        <x:f>IF(AND(AP38&gt;0,AP$3&lt;EDATE($B$8,'Вводные'!$H$91)),AP38*AP41/12,0)</x:f>
      </x:c>
      <x:c r="AQ42" s="117" t="n">
        <x:f>IF(AND(AQ38&gt;0,AQ$3&lt;EDATE($B$8,'Вводные'!$H$91)),AQ38*AQ41/12,0)</x:f>
      </x:c>
      <x:c r="AR42" s="117" t="n">
        <x:f>IF(AND(AR38&gt;0,AR$3&lt;EDATE($B$8,'Вводные'!$H$91)),AR38*AR41/12,0)</x:f>
      </x:c>
      <x:c r="AS42" s="117" t="n">
        <x:f>IF(AND(AS38&gt;0,AS$3&lt;EDATE($B$8,'Вводные'!$H$91)),AS38*AS41/12,0)</x:f>
      </x:c>
      <x:c r="AT42" s="117" t="n">
        <x:f>IF(AND(AT38&gt;0,AT$3&lt;EDATE($B$8,'Вводные'!$H$91)),AT38*AT41/12,0)</x:f>
      </x:c>
      <x:c r="AU42" s="117" t="n">
        <x:f>IF(AND(AU38&gt;0,AU$3&lt;EDATE($B$8,'Вводные'!$H$91)),AU38*AU41/12,0)</x:f>
      </x:c>
      <x:c r="AV42" s="117" t="n">
        <x:f>IF(AND(AV38&gt;0,AV$3&lt;EDATE($B$8,'Вводные'!$H$91)),AV38*AV41/12,0)</x:f>
      </x:c>
      <x:c r="AW42" s="117" t="n">
        <x:f>IF(AND(AW38&gt;0,AW$3&lt;EDATE($B$8,'Вводные'!$H$91)),AW38*AW41/12,0)</x:f>
      </x:c>
      <x:c r="AX42" s="117" t="n">
        <x:f>IF(AND(AX38&gt;0,AX$3&lt;EDATE($B$8,'Вводные'!$H$91)),AX38*AX41/12,0)</x:f>
      </x:c>
      <x:c r="AY42" s="117" t="n">
        <x:f>IF(AND(AY38&gt;0,AY$3&lt;EDATE($B$8,'Вводные'!$H$91)),AY38*AY41/12,0)</x:f>
      </x:c>
      <x:c r="AZ42" s="117" t="n">
        <x:f>IF(AND(AZ38&gt;0,AZ$3&lt;EDATE($B$8,'Вводные'!$H$91)),AZ38*AZ41/12,0)</x:f>
      </x:c>
      <x:c r="BA42" s="117" t="n">
        <x:f>IF(AND(BA38&gt;0,BA$3&lt;EDATE($B$8,'Вводные'!$H$91)),BA38*BA41/12,0)</x:f>
      </x:c>
      <x:c r="BB42" s="117" t="n">
        <x:f>IF(AND(BB38&gt;0,BB$3&lt;EDATE($B$8,'Вводные'!$H$91)),BB38*BB41/12,0)</x:f>
      </x:c>
      <x:c r="BC42" s="117" t="n">
        <x:f>IF(AND(BC38&gt;0,BC$3&lt;EDATE($B$8,'Вводные'!$H$91)),BC38*BC41/12,0)</x:f>
      </x:c>
      <x:c r="BD42" s="117" t="n">
        <x:f>IF(AND(BD38&gt;0,BD$3&lt;EDATE($B$8,'Вводные'!$H$91)),BD38*BD41/12,0)</x:f>
      </x:c>
      <x:c r="BE42" s="117" t="n">
        <x:f>IF(AND(BE38&gt;0,BE$3&lt;EDATE($B$8,'Вводные'!$H$91)),BE38*BE41/12,0)</x:f>
      </x:c>
      <x:c r="BF42" s="117" t="n">
        <x:f>IF(AND(BF38&gt;0,BF$3&lt;EDATE($B$8,'Вводные'!$H$91)),BF38*BF41/12,0)</x:f>
      </x:c>
      <x:c r="BG42" s="117" t="n">
        <x:f>IF(AND(BG38&gt;0,BG$3&lt;EDATE($B$8,'Вводные'!$H$91)),BG38*BG41/12,0)</x:f>
      </x:c>
      <x:c r="BH42" s="117" t="n">
        <x:f>IF(AND(BH38&gt;0,BH$3&lt;EDATE($B$8,'Вводные'!$H$91)),BH38*BH41/12,0)</x:f>
      </x:c>
      <x:c r="BI42" s="117" t="n">
        <x:f>IF(AND(BI38&gt;0,BI$3&lt;EDATE($B$8,'Вводные'!$H$91)),BI38*BI41/12,0)</x:f>
      </x:c>
      <x:c r="BJ42" s="117" t="n">
        <x:f>IF(AND(BJ38&gt;0,BJ$3&lt;EDATE($B$8,'Вводные'!$H$91)),BJ38*BJ41/12,0)</x:f>
      </x:c>
      <x:c r="BK42" s="117" t="n">
        <x:f>IF(AND(BK38&gt;0,BK$3&lt;EDATE($B$8,'Вводные'!$H$91)),BK38*BK41/12,0)</x:f>
      </x:c>
      <x:c r="BL42" s="117" t="n">
        <x:f>IF(AND(BL38&gt;0,BL$3&lt;EDATE($B$8,'Вводные'!$H$91)),BL38*BL41/12,0)</x:f>
      </x:c>
      <x:c r="BM42" s="117" t="n">
        <x:f>IF(AND(BM38&gt;0,BM$3&lt;EDATE($B$8,'Вводные'!$H$91)),BM38*BM41/12,0)</x:f>
      </x:c>
      <x:c r="BN42" s="117" t="n">
        <x:f>IF(AND(BN38&gt;0,BN$3&lt;EDATE($B$8,'Вводные'!$H$91)),BN38*BN41/12,0)</x:f>
      </x:c>
      <x:c r="BO42" s="117" t="n">
        <x:f>IF(AND(BO38&gt;0,BO$3&lt;EDATE($B$8,'Вводные'!$H$91)),BO38*BO41/12,0)</x:f>
      </x:c>
      <x:c r="BP42" s="117" t="n">
        <x:f>IF(AND(BP38&gt;0,BP$3&lt;EDATE($B$8,'Вводные'!$H$91)),BP38*BP41/12,0)</x:f>
      </x:c>
      <x:c r="BQ42" s="117" t="n">
        <x:f>IF(AND(BQ38&gt;0,BQ$3&lt;EDATE($B$8,'Вводные'!$H$91)),BQ38*BQ41/12,0)</x:f>
      </x:c>
      <x:c r="BR42" s="117" t="n">
        <x:f>IF(AND(BR38&gt;0,BR$3&lt;EDATE($B$8,'Вводные'!$H$91)),BR38*BR41/12,0)</x:f>
      </x:c>
      <x:c r="BS42" s="117" t="n">
        <x:f>IF(AND(BS38&gt;0,BS$3&lt;EDATE($B$8,'Вводные'!$H$91)),BS38*BS41/12,0)</x:f>
      </x:c>
      <x:c r="BT42" s="117" t="n">
        <x:f>IF(AND(BT38&gt;0,BT$3&lt;EDATE($B$8,'Вводные'!$H$91)),BT38*BT41/12,0)</x:f>
      </x:c>
      <x:c r="BU42" s="117" t="n">
        <x:f>IF(AND(BU38&gt;0,BU$3&lt;EDATE($B$8,'Вводные'!$H$91)),BU38*BU41/12,0)</x:f>
      </x:c>
      <x:c r="BV42" s="117" t="n">
        <x:f>IF(AND(BV38&gt;0,BV$3&lt;EDATE($B$8,'Вводные'!$H$91)),BV38*BV41/12,0)</x:f>
      </x:c>
      <x:c r="BW42" s="117" t="n">
        <x:f>IF(AND(BW38&gt;0,BW$3&lt;EDATE($B$8,'Вводные'!$H$91)),BW38*BW41/12,0)</x:f>
      </x:c>
      <x:c r="BX42" s="117" t="n">
        <x:f>IF(AND(BX38&gt;0,BX$3&lt;EDATE($B$8,'Вводные'!$H$91)),BX38*BX41/12,0)</x:f>
      </x:c>
      <x:c r="BY42" s="117" t="n">
        <x:f>IF(AND(BY38&gt;0,BY$3&lt;EDATE($B$8,'Вводные'!$H$91)),BY38*BY41/12,0)</x:f>
      </x:c>
      <x:c r="BZ42" s="117" t="n">
        <x:f>IF(AND(BZ38&gt;0,BZ$3&lt;EDATE($B$8,'Вводные'!$H$91)),BZ38*BZ41/12,0)</x:f>
      </x:c>
      <x:c r="CA42" s="117" t="n">
        <x:f>IF(AND(CA38&gt;0,CA$3&lt;EDATE($B$8,'Вводные'!$H$91)),CA38*CA41/12,0)</x:f>
      </x:c>
      <x:c r="CB42" s="117" t="n">
        <x:f>IF(AND(CB38&gt;0,CB$3&lt;EDATE($B$8,'Вводные'!$H$91)),CB38*CB41/12,0)</x:f>
      </x:c>
      <x:c r="CC42" s="117" t="n">
        <x:f>IF(AND(CC38&gt;0,CC$3&lt;EDATE($B$8,'Вводные'!$H$91)),CC38*CC41/12,0)</x:f>
      </x:c>
      <x:c r="CD42" s="117" t="n">
        <x:f>IF(AND(CD38&gt;0,CD$3&lt;EDATE($B$8,'Вводные'!$H$91)),CD38*CD41/12,0)</x:f>
      </x:c>
      <x:c r="CE42" s="117" t="n">
        <x:f>IF(AND(CE38&gt;0,CE$3&lt;EDATE($B$8,'Вводные'!$H$91)),CE38*CE41/12,0)</x:f>
      </x:c>
      <x:c r="CF42" s="117" t="n">
        <x:f>IF(AND(CF38&gt;0,CF$3&lt;EDATE($B$8,'Вводные'!$H$91)),CF38*CF41/12,0)</x:f>
      </x:c>
      <x:c r="CG42" s="117" t="n">
        <x:f>IF(AND(CG38&gt;0,CG$3&lt;EDATE($B$8,'Вводные'!$H$91)),CG38*CG41/12,0)</x:f>
      </x:c>
      <x:c r="CH42" s="117" t="n">
        <x:f>IF(AND(CH38&gt;0,CH$3&lt;EDATE($B$8,'Вводные'!$H$91)),CH38*CH41/12,0)</x:f>
      </x:c>
      <x:c r="CI42" s="117" t="n">
        <x:f>IF(AND(CI38&gt;0,CI$3&lt;EDATE($B$8,'Вводные'!$H$91)),CI38*CI41/12,0)</x:f>
      </x:c>
      <x:c r="CJ42" s="117" t="n">
        <x:f>IF(AND(CJ38&gt;0,CJ$3&lt;EDATE($B$8,'Вводные'!$H$91)),CJ38*CJ41/12,0)</x:f>
      </x:c>
      <x:c r="CK42" s="117" t="n">
        <x:f>IF(AND(CK38&gt;0,CK$3&lt;EDATE($B$8,'Вводные'!$H$91)),CK38*CK41/12,0)</x:f>
      </x:c>
      <x:c r="CL42" s="117" t="n">
        <x:f>IF(AND(CL38&gt;0,CL$3&lt;EDATE($B$8,'Вводные'!$H$91)),CL38*CL41/12,0)</x:f>
      </x:c>
      <x:c r="CM42" s="117" t="n">
        <x:f>IF(AND(CM38&gt;0,CM$3&lt;EDATE($B$8,'Вводные'!$H$91)),CM38*CM41/12,0)</x:f>
      </x:c>
      <x:c r="CN42" s="117" t="n">
        <x:f>IF(AND(CN38&gt;0,CN$3&lt;EDATE($B$8,'Вводные'!$H$91)),CN38*CN41/12,0)</x:f>
      </x:c>
      <x:c r="CO42" s="117" t="n">
        <x:f>IF(AND(CO38&gt;0,CO$3&lt;EDATE($B$8,'Вводные'!$H$91)),CO38*CO41/12,0)</x:f>
      </x:c>
      <x:c r="CP42" s="117" t="n">
        <x:f>IF(AND(CP38&gt;0,CP$3&lt;EDATE($B$8,'Вводные'!$H$91)),CP38*CP41/12,0)</x:f>
      </x:c>
      <x:c r="CQ42" s="117" t="n">
        <x:f>IF(AND(CQ38&gt;0,CQ$3&lt;EDATE($B$8,'Вводные'!$H$91)),CQ38*CQ41/12,0)</x:f>
      </x:c>
      <x:c r="CR42" s="117" t="n">
        <x:f>IF(AND(CR38&gt;0,CR$3&lt;EDATE($B$8,'Вводные'!$H$91)),CR38*CR41/12,0)</x:f>
      </x:c>
      <x:c r="CS42" s="117" t="n">
        <x:f>IF(AND(CS38&gt;0,CS$3&lt;EDATE($B$8,'Вводные'!$H$91)),CS38*CS41/12,0)</x:f>
      </x:c>
      <x:c r="CT42" s="117" t="n">
        <x:f>IF(AND(CT38&gt;0,CT$3&lt;EDATE($B$8,'Вводные'!$H$91)),CT38*CT41/12,0)</x:f>
      </x:c>
      <x:c r="CU42" s="117" t="n">
        <x:f>IF(AND(CU38&gt;0,CU$3&lt;EDATE($B$8,'Вводные'!$H$91)),CU38*CU41/12,0)</x:f>
      </x:c>
      <x:c r="CV42" s="117" t="n">
        <x:f>IF(AND(CV38&gt;0,CV$3&lt;EDATE($B$8,'Вводные'!$H$91)),CV38*CV41/12,0)</x:f>
      </x:c>
      <x:c r="CW42" s="117" t="n">
        <x:f>IF(AND(CW38&gt;0,CW$3&lt;EDATE($B$8,'Вводные'!$H$91)),CW38*CW41/12,0)</x:f>
      </x:c>
      <x:c r="CX42" s="117" t="n">
        <x:f>IF(AND(CX38&gt;0,CX$3&lt;EDATE($B$8,'Вводные'!$H$91)),CX38*CX41/12,0)</x:f>
      </x:c>
      <x:c r="CY42" s="117" t="n">
        <x:f>IF(AND(CY38&gt;0,CY$3&lt;EDATE($B$8,'Вводные'!$H$91)),CY38*CY41/12,0)</x:f>
      </x:c>
      <x:c r="CZ42" s="117" t="n">
        <x:f>IF(AND(CZ38&gt;0,CZ$3&lt;EDATE($B$8,'Вводные'!$H$91)),CZ38*CZ41/12,0)</x:f>
      </x:c>
      <x:c r="DA42" s="117" t="n">
        <x:f>IF(AND(DA38&gt;0,DA$3&lt;EDATE($B$8,'Вводные'!$H$91)),DA38*DA41/12,0)</x:f>
      </x:c>
      <x:c r="DB42" s="117" t="n">
        <x:f>IF(AND(DB38&gt;0,DB$3&lt;EDATE($B$8,'Вводные'!$H$91)),DB38*DB41/12,0)</x:f>
      </x:c>
      <x:c r="DC42" s="117" t="n">
        <x:f>IF(AND(DC38&gt;0,DC$3&lt;EDATE($B$8,'Вводные'!$H$91)),DC38*DC41/12,0)</x:f>
      </x:c>
      <x:c r="DD42" s="117" t="n">
        <x:f>IF(AND(DD38&gt;0,DD$3&lt;EDATE($B$8,'Вводные'!$H$91)),DD38*DD41/12,0)</x:f>
      </x:c>
      <x:c r="DE42" s="117" t="n">
        <x:f>IF(AND(DE38&gt;0,DE$3&lt;EDATE($B$8,'Вводные'!$H$91)),DE38*DE41/12,0)</x:f>
      </x:c>
      <x:c r="DF42" s="117" t="n">
        <x:f>IF(AND(DF38&gt;0,DF$3&lt;EDATE($B$8,'Вводные'!$H$91)),DF38*DF41/12,0)</x:f>
      </x:c>
      <x:c r="DG42" s="117" t="n">
        <x:f>IF(AND(DG38&gt;0,DG$3&lt;EDATE($B$8,'Вводные'!$H$91)),DG38*DG41/12,0)</x:f>
      </x:c>
      <x:c r="DH42" s="117" t="n">
        <x:f>IF(AND(DH38&gt;0,DH$3&lt;EDATE($B$8,'Вводные'!$H$91)),DH38*DH41/12,0)</x:f>
      </x:c>
      <x:c r="DI42" s="117" t="n">
        <x:f>IF(AND(DI38&gt;0,DI$3&lt;EDATE($B$8,'Вводные'!$H$91)),DI38*DI41/12,0)</x:f>
      </x:c>
      <x:c r="DJ42" s="117" t="n">
        <x:f>IF(AND(DJ38&gt;0,DJ$3&lt;EDATE($B$8,'Вводные'!$H$91)),DJ38*DJ41/12,0)</x:f>
      </x:c>
      <x:c r="DK42" s="117" t="n">
        <x:f>IF(AND(DK38&gt;0,DK$3&lt;EDATE($B$8,'Вводные'!$H$91)),DK38*DK41/12,0)</x:f>
      </x:c>
      <x:c r="DL42" s="117" t="n">
        <x:f>IF(AND(DL38&gt;0,DL$3&lt;EDATE($B$8,'Вводные'!$H$91)),DL38*DL41/12,0)</x:f>
      </x:c>
      <x:c r="DM42" s="117" t="n">
        <x:f>IF(AND(DM38&gt;0,DM$3&lt;EDATE($B$8,'Вводные'!$H$91)),DM38*DM41/12,0)</x:f>
      </x:c>
      <x:c r="DN42" s="117" t="n">
        <x:f>IF(AND(DN38&gt;0,DN$3&lt;EDATE($B$8,'Вводные'!$H$91)),DN38*DN41/12,0)</x:f>
      </x:c>
      <x:c r="DO42" s="117" t="n">
        <x:f>IF(AND(DO38&gt;0,DO$3&lt;EDATE($B$8,'Вводные'!$H$91)),DO38*DO41/12,0)</x:f>
      </x:c>
      <x:c r="DP42" s="117" t="n">
        <x:f>IF(AND(DP38&gt;0,DP$3&lt;EDATE($B$8,'Вводные'!$H$91)),DP38*DP41/12,0)</x:f>
      </x:c>
      <x:c r="DQ42" s="117" t="n">
        <x:f>IF(AND(DQ38&gt;0,DQ$3&lt;EDATE($B$8,'Вводные'!$H$91)),DQ38*DQ41/12,0)</x:f>
      </x:c>
      <x:c r="DR42" s="117" t="n">
        <x:f>IF(AND(DR38&gt;0,DR$3&lt;EDATE($B$8,'Вводные'!$H$91)),DR38*DR41/12,0)</x:f>
      </x:c>
      <x:c r="DS42" s="117" t="n">
        <x:f>IF(AND(DS38&gt;0,DS$3&lt;EDATE($B$8,'Вводные'!$H$91)),DS38*DS41/12,0)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OR(D38&gt;0,D$3&lt;=$B$8),D$3&gt;=$B$7,D$3&lt;EDATE($B$8,'Вводные'!$H$91)),MAX(0,'Вводные'!$B$26*'Вводные'!$V$91-D38)*'Вводные'!$B$29/12,0)+IF(AND(YEAR(D$3)=YEAR($B$7),MONTH(D$3)=MONTH($B$7)),'Вводные'!$B$26*'Вводные'!$V$91*'Вводные'!$B$30,0)</x:f>
      </x:c>
      <x:c r="E43" s="117" t="n">
        <x:f>IF(AND(OR(E38&gt;0,E$3&lt;=$B$8),E$3&gt;=$B$7,E$3&lt;EDATE($B$8,'Вводные'!$H$91)),MAX(0,'Вводные'!$B$26*'Вводные'!$V$91-E38)*'Вводные'!$B$29/12,0)+IF(AND(YEAR(E$3)=YEAR($B$7),MONTH(E$3)=MONTH($B$7)),'Вводные'!$B$26*'Вводные'!$V$91*'Вводные'!$B$30,0)</x:f>
      </x:c>
      <x:c r="F43" s="117" t="n">
        <x:f>IF(AND(OR(F38&gt;0,F$3&lt;=$B$8),F$3&gt;=$B$7,F$3&lt;EDATE($B$8,'Вводные'!$H$91)),MAX(0,'Вводные'!$B$26*'Вводные'!$V$91-F38)*'Вводные'!$B$29/12,0)+IF(AND(YEAR(F$3)=YEAR($B$7),MONTH(F$3)=MONTH($B$7)),'Вводные'!$B$26*'Вводные'!$V$91*'Вводные'!$B$30,0)</x:f>
      </x:c>
      <x:c r="G43" s="117" t="n">
        <x:f>IF(AND(OR(G38&gt;0,G$3&lt;=$B$8),G$3&gt;=$B$7,G$3&lt;EDATE($B$8,'Вводные'!$H$91)),MAX(0,'Вводные'!$B$26*'Вводные'!$V$91-G38)*'Вводные'!$B$29/12,0)+IF(AND(YEAR(G$3)=YEAR($B$7),MONTH(G$3)=MONTH($B$7)),'Вводные'!$B$26*'Вводные'!$V$91*'Вводные'!$B$30,0)</x:f>
      </x:c>
      <x:c r="H43" s="117" t="n">
        <x:f>IF(AND(OR(H38&gt;0,H$3&lt;=$B$8),H$3&gt;=$B$7,H$3&lt;EDATE($B$8,'Вводные'!$H$91)),MAX(0,'Вводные'!$B$26*'Вводные'!$V$91-H38)*'Вводные'!$B$29/12,0)+IF(AND(YEAR(H$3)=YEAR($B$7),MONTH(H$3)=MONTH($B$7)),'Вводные'!$B$26*'Вводные'!$V$91*'Вводные'!$B$30,0)</x:f>
      </x:c>
      <x:c r="I43" s="117" t="n">
        <x:f>IF(AND(OR(I38&gt;0,I$3&lt;=$B$8),I$3&gt;=$B$7,I$3&lt;EDATE($B$8,'Вводные'!$H$91)),MAX(0,'Вводные'!$B$26*'Вводные'!$V$91-I38)*'Вводные'!$B$29/12,0)+IF(AND(YEAR(I$3)=YEAR($B$7),MONTH(I$3)=MONTH($B$7)),'Вводные'!$B$26*'Вводные'!$V$91*'Вводные'!$B$30,0)</x:f>
      </x:c>
      <x:c r="J43" s="117" t="n">
        <x:f>IF(AND(OR(J38&gt;0,J$3&lt;=$B$8),J$3&gt;=$B$7,J$3&lt;EDATE($B$8,'Вводные'!$H$91)),MAX(0,'Вводные'!$B$26*'Вводные'!$V$91-J38)*'Вводные'!$B$29/12,0)+IF(AND(YEAR(J$3)=YEAR($B$7),MONTH(J$3)=MONTH($B$7)),'Вводные'!$B$26*'Вводные'!$V$91*'Вводные'!$B$30,0)</x:f>
      </x:c>
      <x:c r="K43" s="117" t="n">
        <x:f>IF(AND(OR(K38&gt;0,K$3&lt;=$B$8),K$3&gt;=$B$7,K$3&lt;EDATE($B$8,'Вводные'!$H$91)),MAX(0,'Вводные'!$B$26*'Вводные'!$V$91-K38)*'Вводные'!$B$29/12,0)+IF(AND(YEAR(K$3)=YEAR($B$7),MONTH(K$3)=MONTH($B$7)),'Вводные'!$B$26*'Вводные'!$V$91*'Вводные'!$B$30,0)</x:f>
      </x:c>
      <x:c r="L43" s="117" t="n">
        <x:f>IF(AND(OR(L38&gt;0,L$3&lt;=$B$8),L$3&gt;=$B$7,L$3&lt;EDATE($B$8,'Вводные'!$H$91)),MAX(0,'Вводные'!$B$26*'Вводные'!$V$91-L38)*'Вводные'!$B$29/12,0)+IF(AND(YEAR(L$3)=YEAR($B$7),MONTH(L$3)=MONTH($B$7)),'Вводные'!$B$26*'Вводные'!$V$91*'Вводные'!$B$30,0)</x:f>
      </x:c>
      <x:c r="M43" s="117" t="n">
        <x:f>IF(AND(OR(M38&gt;0,M$3&lt;=$B$8),M$3&gt;=$B$7,M$3&lt;EDATE($B$8,'Вводные'!$H$91)),MAX(0,'Вводные'!$B$26*'Вводные'!$V$91-M38)*'Вводные'!$B$29/12,0)+IF(AND(YEAR(M$3)=YEAR($B$7),MONTH(M$3)=MONTH($B$7)),'Вводные'!$B$26*'Вводные'!$V$91*'Вводные'!$B$30,0)</x:f>
      </x:c>
      <x:c r="N43" s="117" t="n">
        <x:f>IF(AND(OR(N38&gt;0,N$3&lt;=$B$8),N$3&gt;=$B$7,N$3&lt;EDATE($B$8,'Вводные'!$H$91)),MAX(0,'Вводные'!$B$26*'Вводные'!$V$91-N38)*'Вводные'!$B$29/12,0)+IF(AND(YEAR(N$3)=YEAR($B$7),MONTH(N$3)=MONTH($B$7)),'Вводные'!$B$26*'Вводные'!$V$91*'Вводные'!$B$30,0)</x:f>
      </x:c>
      <x:c r="O43" s="117" t="n">
        <x:f>IF(AND(OR(O38&gt;0,O$3&lt;=$B$8),O$3&gt;=$B$7,O$3&lt;EDATE($B$8,'Вводные'!$H$91)),MAX(0,'Вводные'!$B$26*'Вводные'!$V$91-O38)*'Вводные'!$B$29/12,0)+IF(AND(YEAR(O$3)=YEAR($B$7),MONTH(O$3)=MONTH($B$7)),'Вводные'!$B$26*'Вводные'!$V$91*'Вводные'!$B$30,0)</x:f>
      </x:c>
      <x:c r="P43" s="117" t="n">
        <x:f>IF(AND(OR(P38&gt;0,P$3&lt;=$B$8),P$3&gt;=$B$7,P$3&lt;EDATE($B$8,'Вводные'!$H$91)),MAX(0,'Вводные'!$B$26*'Вводные'!$V$91-P38)*'Вводные'!$B$29/12,0)+IF(AND(YEAR(P$3)=YEAR($B$7),MONTH(P$3)=MONTH($B$7)),'Вводные'!$B$26*'Вводные'!$V$91*'Вводные'!$B$30,0)</x:f>
      </x:c>
      <x:c r="Q43" s="117" t="n">
        <x:f>IF(AND(OR(Q38&gt;0,Q$3&lt;=$B$8),Q$3&gt;=$B$7,Q$3&lt;EDATE($B$8,'Вводные'!$H$91)),MAX(0,'Вводные'!$B$26*'Вводные'!$V$91-Q38)*'Вводные'!$B$29/12,0)+IF(AND(YEAR(Q$3)=YEAR($B$7),MONTH(Q$3)=MONTH($B$7)),'Вводные'!$B$26*'Вводные'!$V$91*'Вводные'!$B$30,0)</x:f>
      </x:c>
      <x:c r="R43" s="117" t="n">
        <x:f>IF(AND(OR(R38&gt;0,R$3&lt;=$B$8),R$3&gt;=$B$7,R$3&lt;EDATE($B$8,'Вводные'!$H$91)),MAX(0,'Вводные'!$B$26*'Вводные'!$V$91-R38)*'Вводные'!$B$29/12,0)+IF(AND(YEAR(R$3)=YEAR($B$7),MONTH(R$3)=MONTH($B$7)),'Вводные'!$B$26*'Вводные'!$V$91*'Вводные'!$B$30,0)</x:f>
      </x:c>
      <x:c r="S43" s="117" t="n">
        <x:f>IF(AND(OR(S38&gt;0,S$3&lt;=$B$8),S$3&gt;=$B$7,S$3&lt;EDATE($B$8,'Вводные'!$H$91)),MAX(0,'Вводные'!$B$26*'Вводные'!$V$91-S38)*'Вводные'!$B$29/12,0)+IF(AND(YEAR(S$3)=YEAR($B$7),MONTH(S$3)=MONTH($B$7)),'Вводные'!$B$26*'Вводные'!$V$91*'Вводные'!$B$30,0)</x:f>
      </x:c>
      <x:c r="T43" s="117" t="n">
        <x:f>IF(AND(OR(T38&gt;0,T$3&lt;=$B$8),T$3&gt;=$B$7,T$3&lt;EDATE($B$8,'Вводные'!$H$91)),MAX(0,'Вводные'!$B$26*'Вводные'!$V$91-T38)*'Вводные'!$B$29/12,0)+IF(AND(YEAR(T$3)=YEAR($B$7),MONTH(T$3)=MONTH($B$7)),'Вводные'!$B$26*'Вводные'!$V$91*'Вводные'!$B$30,0)</x:f>
      </x:c>
      <x:c r="U43" s="117" t="n">
        <x:f>IF(AND(OR(U38&gt;0,U$3&lt;=$B$8),U$3&gt;=$B$7,U$3&lt;EDATE($B$8,'Вводные'!$H$91)),MAX(0,'Вводные'!$B$26*'Вводные'!$V$91-U38)*'Вводные'!$B$29/12,0)+IF(AND(YEAR(U$3)=YEAR($B$7),MONTH(U$3)=MONTH($B$7)),'Вводные'!$B$26*'Вводные'!$V$91*'Вводные'!$B$30,0)</x:f>
      </x:c>
      <x:c r="V43" s="117" t="n">
        <x:f>IF(AND(OR(V38&gt;0,V$3&lt;=$B$8),V$3&gt;=$B$7,V$3&lt;EDATE($B$8,'Вводные'!$H$91)),MAX(0,'Вводные'!$B$26*'Вводные'!$V$91-V38)*'Вводные'!$B$29/12,0)+IF(AND(YEAR(V$3)=YEAR($B$7),MONTH(V$3)=MONTH($B$7)),'Вводные'!$B$26*'Вводные'!$V$91*'Вводные'!$B$30,0)</x:f>
      </x:c>
      <x:c r="W43" s="117" t="n">
        <x:f>IF(AND(OR(W38&gt;0,W$3&lt;=$B$8),W$3&gt;=$B$7,W$3&lt;EDATE($B$8,'Вводные'!$H$91)),MAX(0,'Вводные'!$B$26*'Вводные'!$V$91-W38)*'Вводные'!$B$29/12,0)+IF(AND(YEAR(W$3)=YEAR($B$7),MONTH(W$3)=MONTH($B$7)),'Вводные'!$B$26*'Вводные'!$V$91*'Вводные'!$B$30,0)</x:f>
      </x:c>
      <x:c r="X43" s="117" t="n">
        <x:f>IF(AND(OR(X38&gt;0,X$3&lt;=$B$8),X$3&gt;=$B$7,X$3&lt;EDATE($B$8,'Вводные'!$H$91)),MAX(0,'Вводные'!$B$26*'Вводные'!$V$91-X38)*'Вводные'!$B$29/12,0)+IF(AND(YEAR(X$3)=YEAR($B$7),MONTH(X$3)=MONTH($B$7)),'Вводные'!$B$26*'Вводные'!$V$91*'Вводные'!$B$30,0)</x:f>
      </x:c>
      <x:c r="Y43" s="117" t="n">
        <x:f>IF(AND(OR(Y38&gt;0,Y$3&lt;=$B$8),Y$3&gt;=$B$7,Y$3&lt;EDATE($B$8,'Вводные'!$H$91)),MAX(0,'Вводные'!$B$26*'Вводные'!$V$91-Y38)*'Вводные'!$B$29/12,0)+IF(AND(YEAR(Y$3)=YEAR($B$7),MONTH(Y$3)=MONTH($B$7)),'Вводные'!$B$26*'Вводные'!$V$91*'Вводные'!$B$30,0)</x:f>
      </x:c>
      <x:c r="Z43" s="117" t="n">
        <x:f>IF(AND(OR(Z38&gt;0,Z$3&lt;=$B$8),Z$3&gt;=$B$7,Z$3&lt;EDATE($B$8,'Вводные'!$H$91)),MAX(0,'Вводные'!$B$26*'Вводные'!$V$91-Z38)*'Вводные'!$B$29/12,0)+IF(AND(YEAR(Z$3)=YEAR($B$7),MONTH(Z$3)=MONTH($B$7)),'Вводные'!$B$26*'Вводные'!$V$91*'Вводные'!$B$30,0)</x:f>
      </x:c>
      <x:c r="AA43" s="117" t="n">
        <x:f>IF(AND(OR(AA38&gt;0,AA$3&lt;=$B$8),AA$3&gt;=$B$7,AA$3&lt;EDATE($B$8,'Вводные'!$H$91)),MAX(0,'Вводные'!$B$26*'Вводные'!$V$91-AA38)*'Вводные'!$B$29/12,0)+IF(AND(YEAR(AA$3)=YEAR($B$7),MONTH(AA$3)=MONTH($B$7)),'Вводные'!$B$26*'Вводные'!$V$91*'Вводные'!$B$30,0)</x:f>
      </x:c>
      <x:c r="AB43" s="117" t="n">
        <x:f>IF(AND(OR(AB38&gt;0,AB$3&lt;=$B$8),AB$3&gt;=$B$7,AB$3&lt;EDATE($B$8,'Вводные'!$H$91)),MAX(0,'Вводные'!$B$26*'Вводные'!$V$91-AB38)*'Вводные'!$B$29/12,0)+IF(AND(YEAR(AB$3)=YEAR($B$7),MONTH(AB$3)=MONTH($B$7)),'Вводные'!$B$26*'Вводные'!$V$91*'Вводные'!$B$30,0)</x:f>
      </x:c>
      <x:c r="AC43" s="117" t="n">
        <x:f>IF(AND(OR(AC38&gt;0,AC$3&lt;=$B$8),AC$3&gt;=$B$7,AC$3&lt;EDATE($B$8,'Вводные'!$H$91)),MAX(0,'Вводные'!$B$26*'Вводные'!$V$91-AC38)*'Вводные'!$B$29/12,0)+IF(AND(YEAR(AC$3)=YEAR($B$7),MONTH(AC$3)=MONTH($B$7)),'Вводные'!$B$26*'Вводные'!$V$91*'Вводные'!$B$30,0)</x:f>
      </x:c>
      <x:c r="AD43" s="117" t="n">
        <x:f>IF(AND(OR(AD38&gt;0,AD$3&lt;=$B$8),AD$3&gt;=$B$7,AD$3&lt;EDATE($B$8,'Вводные'!$H$91)),MAX(0,'Вводные'!$B$26*'Вводные'!$V$91-AD38)*'Вводные'!$B$29/12,0)+IF(AND(YEAR(AD$3)=YEAR($B$7),MONTH(AD$3)=MONTH($B$7)),'Вводные'!$B$26*'Вводные'!$V$91*'Вводные'!$B$30,0)</x:f>
      </x:c>
      <x:c r="AE43" s="117" t="n">
        <x:f>IF(AND(OR(AE38&gt;0,AE$3&lt;=$B$8),AE$3&gt;=$B$7,AE$3&lt;EDATE($B$8,'Вводные'!$H$91)),MAX(0,'Вводные'!$B$26*'Вводные'!$V$91-AE38)*'Вводные'!$B$29/12,0)+IF(AND(YEAR(AE$3)=YEAR($B$7),MONTH(AE$3)=MONTH($B$7)),'Вводные'!$B$26*'Вводные'!$V$91*'Вводные'!$B$30,0)</x:f>
      </x:c>
      <x:c r="AF43" s="117" t="n">
        <x:f>IF(AND(OR(AF38&gt;0,AF$3&lt;=$B$8),AF$3&gt;=$B$7,AF$3&lt;EDATE($B$8,'Вводные'!$H$91)),MAX(0,'Вводные'!$B$26*'Вводные'!$V$91-AF38)*'Вводные'!$B$29/12,0)+IF(AND(YEAR(AF$3)=YEAR($B$7),MONTH(AF$3)=MONTH($B$7)),'Вводные'!$B$26*'Вводные'!$V$91*'Вводные'!$B$30,0)</x:f>
      </x:c>
      <x:c r="AG43" s="117" t="n">
        <x:f>IF(AND(OR(AG38&gt;0,AG$3&lt;=$B$8),AG$3&gt;=$B$7,AG$3&lt;EDATE($B$8,'Вводные'!$H$91)),MAX(0,'Вводные'!$B$26*'Вводные'!$V$91-AG38)*'Вводные'!$B$29/12,0)+IF(AND(YEAR(AG$3)=YEAR($B$7),MONTH(AG$3)=MONTH($B$7)),'Вводные'!$B$26*'Вводные'!$V$91*'Вводные'!$B$30,0)</x:f>
      </x:c>
      <x:c r="AH43" s="117" t="n">
        <x:f>IF(AND(OR(AH38&gt;0,AH$3&lt;=$B$8),AH$3&gt;=$B$7,AH$3&lt;EDATE($B$8,'Вводные'!$H$91)),MAX(0,'Вводные'!$B$26*'Вводные'!$V$91-AH38)*'Вводные'!$B$29/12,0)+IF(AND(YEAR(AH$3)=YEAR($B$7),MONTH(AH$3)=MONTH($B$7)),'Вводные'!$B$26*'Вводные'!$V$91*'Вводные'!$B$30,0)</x:f>
      </x:c>
      <x:c r="AI43" s="117" t="n">
        <x:f>IF(AND(OR(AI38&gt;0,AI$3&lt;=$B$8),AI$3&gt;=$B$7,AI$3&lt;EDATE($B$8,'Вводные'!$H$91)),MAX(0,'Вводные'!$B$26*'Вводные'!$V$91-AI38)*'Вводные'!$B$29/12,0)+IF(AND(YEAR(AI$3)=YEAR($B$7),MONTH(AI$3)=MONTH($B$7)),'Вводные'!$B$26*'Вводные'!$V$91*'Вводные'!$B$30,0)</x:f>
      </x:c>
      <x:c r="AJ43" s="117" t="n">
        <x:f>IF(AND(OR(AJ38&gt;0,AJ$3&lt;=$B$8),AJ$3&gt;=$B$7,AJ$3&lt;EDATE($B$8,'Вводные'!$H$91)),MAX(0,'Вводные'!$B$26*'Вводные'!$V$91-AJ38)*'Вводные'!$B$29/12,0)+IF(AND(YEAR(AJ$3)=YEAR($B$7),MONTH(AJ$3)=MONTH($B$7)),'Вводные'!$B$26*'Вводные'!$V$91*'Вводные'!$B$30,0)</x:f>
      </x:c>
      <x:c r="AK43" s="117" t="n">
        <x:f>IF(AND(OR(AK38&gt;0,AK$3&lt;=$B$8),AK$3&gt;=$B$7,AK$3&lt;EDATE($B$8,'Вводные'!$H$91)),MAX(0,'Вводные'!$B$26*'Вводные'!$V$91-AK38)*'Вводные'!$B$29/12,0)+IF(AND(YEAR(AK$3)=YEAR($B$7),MONTH(AK$3)=MONTH($B$7)),'Вводные'!$B$26*'Вводные'!$V$91*'Вводные'!$B$30,0)</x:f>
      </x:c>
      <x:c r="AL43" s="117" t="n">
        <x:f>IF(AND(OR(AL38&gt;0,AL$3&lt;=$B$8),AL$3&gt;=$B$7,AL$3&lt;EDATE($B$8,'Вводные'!$H$91)),MAX(0,'Вводные'!$B$26*'Вводные'!$V$91-AL38)*'Вводные'!$B$29/12,0)+IF(AND(YEAR(AL$3)=YEAR($B$7),MONTH(AL$3)=MONTH($B$7)),'Вводные'!$B$26*'Вводные'!$V$91*'Вводные'!$B$30,0)</x:f>
      </x:c>
      <x:c r="AM43" s="117" t="n">
        <x:f>IF(AND(OR(AM38&gt;0,AM$3&lt;=$B$8),AM$3&gt;=$B$7,AM$3&lt;EDATE($B$8,'Вводные'!$H$91)),MAX(0,'Вводные'!$B$26*'Вводные'!$V$91-AM38)*'Вводные'!$B$29/12,0)+IF(AND(YEAR(AM$3)=YEAR($B$7),MONTH(AM$3)=MONTH($B$7)),'Вводные'!$B$26*'Вводные'!$V$91*'Вводные'!$B$30,0)</x:f>
      </x:c>
      <x:c r="AN43" s="117" t="n">
        <x:f>IF(AND(OR(AN38&gt;0,AN$3&lt;=$B$8),AN$3&gt;=$B$7,AN$3&lt;EDATE($B$8,'Вводные'!$H$91)),MAX(0,'Вводные'!$B$26*'Вводные'!$V$91-AN38)*'Вводные'!$B$29/12,0)+IF(AND(YEAR(AN$3)=YEAR($B$7),MONTH(AN$3)=MONTH($B$7)),'Вводные'!$B$26*'Вводные'!$V$91*'Вводные'!$B$30,0)</x:f>
      </x:c>
      <x:c r="AO43" s="117" t="n">
        <x:f>IF(AND(OR(AO38&gt;0,AO$3&lt;=$B$8),AO$3&gt;=$B$7,AO$3&lt;EDATE($B$8,'Вводные'!$H$91)),MAX(0,'Вводные'!$B$26*'Вводные'!$V$91-AO38)*'Вводные'!$B$29/12,0)+IF(AND(YEAR(AO$3)=YEAR($B$7),MONTH(AO$3)=MONTH($B$7)),'Вводные'!$B$26*'Вводные'!$V$91*'Вводные'!$B$30,0)</x:f>
      </x:c>
      <x:c r="AP43" s="117" t="n">
        <x:f>IF(AND(OR(AP38&gt;0,AP$3&lt;=$B$8),AP$3&gt;=$B$7,AP$3&lt;EDATE($B$8,'Вводные'!$H$91)),MAX(0,'Вводные'!$B$26*'Вводные'!$V$91-AP38)*'Вводные'!$B$29/12,0)+IF(AND(YEAR(AP$3)=YEAR($B$7),MONTH(AP$3)=MONTH($B$7)),'Вводные'!$B$26*'Вводные'!$V$91*'Вводные'!$B$30,0)</x:f>
      </x:c>
      <x:c r="AQ43" s="117" t="n">
        <x:f>IF(AND(OR(AQ38&gt;0,AQ$3&lt;=$B$8),AQ$3&gt;=$B$7,AQ$3&lt;EDATE($B$8,'Вводные'!$H$91)),MAX(0,'Вводные'!$B$26*'Вводные'!$V$91-AQ38)*'Вводные'!$B$29/12,0)+IF(AND(YEAR(AQ$3)=YEAR($B$7),MONTH(AQ$3)=MONTH($B$7)),'Вводные'!$B$26*'Вводные'!$V$91*'Вводные'!$B$30,0)</x:f>
      </x:c>
      <x:c r="AR43" s="117" t="n">
        <x:f>IF(AND(OR(AR38&gt;0,AR$3&lt;=$B$8),AR$3&gt;=$B$7,AR$3&lt;EDATE($B$8,'Вводные'!$H$91)),MAX(0,'Вводные'!$B$26*'Вводные'!$V$91-AR38)*'Вводные'!$B$29/12,0)+IF(AND(YEAR(AR$3)=YEAR($B$7),MONTH(AR$3)=MONTH($B$7)),'Вводные'!$B$26*'Вводные'!$V$91*'Вводные'!$B$30,0)</x:f>
      </x:c>
      <x:c r="AS43" s="117" t="n">
        <x:f>IF(AND(OR(AS38&gt;0,AS$3&lt;=$B$8),AS$3&gt;=$B$7,AS$3&lt;EDATE($B$8,'Вводные'!$H$91)),MAX(0,'Вводные'!$B$26*'Вводные'!$V$91-AS38)*'Вводные'!$B$29/12,0)+IF(AND(YEAR(AS$3)=YEAR($B$7),MONTH(AS$3)=MONTH($B$7)),'Вводные'!$B$26*'Вводные'!$V$91*'Вводные'!$B$30,0)</x:f>
      </x:c>
      <x:c r="AT43" s="117" t="n">
        <x:f>IF(AND(OR(AT38&gt;0,AT$3&lt;=$B$8),AT$3&gt;=$B$7,AT$3&lt;EDATE($B$8,'Вводные'!$H$91)),MAX(0,'Вводные'!$B$26*'Вводные'!$V$91-AT38)*'Вводные'!$B$29/12,0)+IF(AND(YEAR(AT$3)=YEAR($B$7),MONTH(AT$3)=MONTH($B$7)),'Вводные'!$B$26*'Вводные'!$V$91*'Вводные'!$B$30,0)</x:f>
      </x:c>
      <x:c r="AU43" s="117" t="n">
        <x:f>IF(AND(OR(AU38&gt;0,AU$3&lt;=$B$8),AU$3&gt;=$B$7,AU$3&lt;EDATE($B$8,'Вводные'!$H$91)),MAX(0,'Вводные'!$B$26*'Вводные'!$V$91-AU38)*'Вводные'!$B$29/12,0)+IF(AND(YEAR(AU$3)=YEAR($B$7),MONTH(AU$3)=MONTH($B$7)),'Вводные'!$B$26*'Вводные'!$V$91*'Вводные'!$B$30,0)</x:f>
      </x:c>
      <x:c r="AV43" s="117" t="n">
        <x:f>IF(AND(OR(AV38&gt;0,AV$3&lt;=$B$8),AV$3&gt;=$B$7,AV$3&lt;EDATE($B$8,'Вводные'!$H$91)),MAX(0,'Вводные'!$B$26*'Вводные'!$V$91-AV38)*'Вводные'!$B$29/12,0)+IF(AND(YEAR(AV$3)=YEAR($B$7),MONTH(AV$3)=MONTH($B$7)),'Вводные'!$B$26*'Вводные'!$V$91*'Вводные'!$B$30,0)</x:f>
      </x:c>
      <x:c r="AW43" s="117" t="n">
        <x:f>IF(AND(OR(AW38&gt;0,AW$3&lt;=$B$8),AW$3&gt;=$B$7,AW$3&lt;EDATE($B$8,'Вводные'!$H$91)),MAX(0,'Вводные'!$B$26*'Вводные'!$V$91-AW38)*'Вводные'!$B$29/12,0)+IF(AND(YEAR(AW$3)=YEAR($B$7),MONTH(AW$3)=MONTH($B$7)),'Вводные'!$B$26*'Вводные'!$V$91*'Вводные'!$B$30,0)</x:f>
      </x:c>
      <x:c r="AX43" s="117" t="n">
        <x:f>IF(AND(OR(AX38&gt;0,AX$3&lt;=$B$8),AX$3&gt;=$B$7,AX$3&lt;EDATE($B$8,'Вводные'!$H$91)),MAX(0,'Вводные'!$B$26*'Вводные'!$V$91-AX38)*'Вводные'!$B$29/12,0)+IF(AND(YEAR(AX$3)=YEAR($B$7),MONTH(AX$3)=MONTH($B$7)),'Вводные'!$B$26*'Вводные'!$V$91*'Вводные'!$B$30,0)</x:f>
      </x:c>
      <x:c r="AY43" s="117" t="n">
        <x:f>IF(AND(OR(AY38&gt;0,AY$3&lt;=$B$8),AY$3&gt;=$B$7,AY$3&lt;EDATE($B$8,'Вводные'!$H$91)),MAX(0,'Вводные'!$B$26*'Вводные'!$V$91-AY38)*'Вводные'!$B$29/12,0)+IF(AND(YEAR(AY$3)=YEAR($B$7),MONTH(AY$3)=MONTH($B$7)),'Вводные'!$B$26*'Вводные'!$V$91*'Вводные'!$B$30,0)</x:f>
      </x:c>
      <x:c r="AZ43" s="117" t="n">
        <x:f>IF(AND(OR(AZ38&gt;0,AZ$3&lt;=$B$8),AZ$3&gt;=$B$7,AZ$3&lt;EDATE($B$8,'Вводные'!$H$91)),MAX(0,'Вводные'!$B$26*'Вводные'!$V$91-AZ38)*'Вводные'!$B$29/12,0)+IF(AND(YEAR(AZ$3)=YEAR($B$7),MONTH(AZ$3)=MONTH($B$7)),'Вводные'!$B$26*'Вводные'!$V$91*'Вводные'!$B$30,0)</x:f>
      </x:c>
      <x:c r="BA43" s="117" t="n">
        <x:f>IF(AND(OR(BA38&gt;0,BA$3&lt;=$B$8),BA$3&gt;=$B$7,BA$3&lt;EDATE($B$8,'Вводные'!$H$91)),MAX(0,'Вводные'!$B$26*'Вводные'!$V$91-BA38)*'Вводные'!$B$29/12,0)+IF(AND(YEAR(BA$3)=YEAR($B$7),MONTH(BA$3)=MONTH($B$7)),'Вводные'!$B$26*'Вводные'!$V$91*'Вводные'!$B$30,0)</x:f>
      </x:c>
      <x:c r="BB43" s="117" t="n">
        <x:f>IF(AND(OR(BB38&gt;0,BB$3&lt;=$B$8),BB$3&gt;=$B$7,BB$3&lt;EDATE($B$8,'Вводные'!$H$91)),MAX(0,'Вводные'!$B$26*'Вводные'!$V$91-BB38)*'Вводные'!$B$29/12,0)+IF(AND(YEAR(BB$3)=YEAR($B$7),MONTH(BB$3)=MONTH($B$7)),'Вводные'!$B$26*'Вводные'!$V$91*'Вводные'!$B$30,0)</x:f>
      </x:c>
      <x:c r="BC43" s="117" t="n">
        <x:f>IF(AND(OR(BC38&gt;0,BC$3&lt;=$B$8),BC$3&gt;=$B$7,BC$3&lt;EDATE($B$8,'Вводные'!$H$91)),MAX(0,'Вводные'!$B$26*'Вводные'!$V$91-BC38)*'Вводные'!$B$29/12,0)+IF(AND(YEAR(BC$3)=YEAR($B$7),MONTH(BC$3)=MONTH($B$7)),'Вводные'!$B$26*'Вводные'!$V$91*'Вводные'!$B$30,0)</x:f>
      </x:c>
      <x:c r="BD43" s="117" t="n">
        <x:f>IF(AND(OR(BD38&gt;0,BD$3&lt;=$B$8),BD$3&gt;=$B$7,BD$3&lt;EDATE($B$8,'Вводные'!$H$91)),MAX(0,'Вводные'!$B$26*'Вводные'!$V$91-BD38)*'Вводные'!$B$29/12,0)+IF(AND(YEAR(BD$3)=YEAR($B$7),MONTH(BD$3)=MONTH($B$7)),'Вводные'!$B$26*'Вводные'!$V$91*'Вводные'!$B$30,0)</x:f>
      </x:c>
      <x:c r="BE43" s="117" t="n">
        <x:f>IF(AND(OR(BE38&gt;0,BE$3&lt;=$B$8),BE$3&gt;=$B$7,BE$3&lt;EDATE($B$8,'Вводные'!$H$91)),MAX(0,'Вводные'!$B$26*'Вводные'!$V$91-BE38)*'Вводные'!$B$29/12,0)+IF(AND(YEAR(BE$3)=YEAR($B$7),MONTH(BE$3)=MONTH($B$7)),'Вводные'!$B$26*'Вводные'!$V$91*'Вводные'!$B$30,0)</x:f>
      </x:c>
      <x:c r="BF43" s="117" t="n">
        <x:f>IF(AND(OR(BF38&gt;0,BF$3&lt;=$B$8),BF$3&gt;=$B$7,BF$3&lt;EDATE($B$8,'Вводные'!$H$91)),MAX(0,'Вводные'!$B$26*'Вводные'!$V$91-BF38)*'Вводные'!$B$29/12,0)+IF(AND(YEAR(BF$3)=YEAR($B$7),MONTH(BF$3)=MONTH($B$7)),'Вводные'!$B$26*'Вводные'!$V$91*'Вводные'!$B$30,0)</x:f>
      </x:c>
      <x:c r="BG43" s="117" t="n">
        <x:f>IF(AND(OR(BG38&gt;0,BG$3&lt;=$B$8),BG$3&gt;=$B$7,BG$3&lt;EDATE($B$8,'Вводные'!$H$91)),MAX(0,'Вводные'!$B$26*'Вводные'!$V$91-BG38)*'Вводные'!$B$29/12,0)+IF(AND(YEAR(BG$3)=YEAR($B$7),MONTH(BG$3)=MONTH($B$7)),'Вводные'!$B$26*'Вводные'!$V$91*'Вводные'!$B$30,0)</x:f>
      </x:c>
      <x:c r="BH43" s="117" t="n">
        <x:f>IF(AND(OR(BH38&gt;0,BH$3&lt;=$B$8),BH$3&gt;=$B$7,BH$3&lt;EDATE($B$8,'Вводные'!$H$91)),MAX(0,'Вводные'!$B$26*'Вводные'!$V$91-BH38)*'Вводные'!$B$29/12,0)+IF(AND(YEAR(BH$3)=YEAR($B$7),MONTH(BH$3)=MONTH($B$7)),'Вводные'!$B$26*'Вводные'!$V$91*'Вводные'!$B$30,0)</x:f>
      </x:c>
      <x:c r="BI43" s="117" t="n">
        <x:f>IF(AND(OR(BI38&gt;0,BI$3&lt;=$B$8),BI$3&gt;=$B$7,BI$3&lt;EDATE($B$8,'Вводные'!$H$91)),MAX(0,'Вводные'!$B$26*'Вводные'!$V$91-BI38)*'Вводные'!$B$29/12,0)+IF(AND(YEAR(BI$3)=YEAR($B$7),MONTH(BI$3)=MONTH($B$7)),'Вводные'!$B$26*'Вводные'!$V$91*'Вводные'!$B$30,0)</x:f>
      </x:c>
      <x:c r="BJ43" s="117" t="n">
        <x:f>IF(AND(OR(BJ38&gt;0,BJ$3&lt;=$B$8),BJ$3&gt;=$B$7,BJ$3&lt;EDATE($B$8,'Вводные'!$H$91)),MAX(0,'Вводные'!$B$26*'Вводные'!$V$91-BJ38)*'Вводные'!$B$29/12,0)+IF(AND(YEAR(BJ$3)=YEAR($B$7),MONTH(BJ$3)=MONTH($B$7)),'Вводные'!$B$26*'Вводные'!$V$91*'Вводные'!$B$30,0)</x:f>
      </x:c>
      <x:c r="BK43" s="117" t="n">
        <x:f>IF(AND(OR(BK38&gt;0,BK$3&lt;=$B$8),BK$3&gt;=$B$7,BK$3&lt;EDATE($B$8,'Вводные'!$H$91)),MAX(0,'Вводные'!$B$26*'Вводные'!$V$91-BK38)*'Вводные'!$B$29/12,0)+IF(AND(YEAR(BK$3)=YEAR($B$7),MONTH(BK$3)=MONTH($B$7)),'Вводные'!$B$26*'Вводные'!$V$91*'Вводные'!$B$30,0)</x:f>
      </x:c>
      <x:c r="BL43" s="117" t="n">
        <x:f>IF(AND(OR(BL38&gt;0,BL$3&lt;=$B$8),BL$3&gt;=$B$7,BL$3&lt;EDATE($B$8,'Вводные'!$H$91)),MAX(0,'Вводные'!$B$26*'Вводные'!$V$91-BL38)*'Вводные'!$B$29/12,0)+IF(AND(YEAR(BL$3)=YEAR($B$7),MONTH(BL$3)=MONTH($B$7)),'Вводные'!$B$26*'Вводные'!$V$91*'Вводные'!$B$30,0)</x:f>
      </x:c>
      <x:c r="BM43" s="117" t="n">
        <x:f>IF(AND(OR(BM38&gt;0,BM$3&lt;=$B$8),BM$3&gt;=$B$7,BM$3&lt;EDATE($B$8,'Вводные'!$H$91)),MAX(0,'Вводные'!$B$26*'Вводные'!$V$91-BM38)*'Вводные'!$B$29/12,0)+IF(AND(YEAR(BM$3)=YEAR($B$7),MONTH(BM$3)=MONTH($B$7)),'Вводные'!$B$26*'Вводные'!$V$91*'Вводные'!$B$30,0)</x:f>
      </x:c>
      <x:c r="BN43" s="117" t="n">
        <x:f>IF(AND(OR(BN38&gt;0,BN$3&lt;=$B$8),BN$3&gt;=$B$7,BN$3&lt;EDATE($B$8,'Вводные'!$H$91)),MAX(0,'Вводные'!$B$26*'Вводные'!$V$91-BN38)*'Вводные'!$B$29/12,0)+IF(AND(YEAR(BN$3)=YEAR($B$7),MONTH(BN$3)=MONTH($B$7)),'Вводные'!$B$26*'Вводные'!$V$91*'Вводные'!$B$30,0)</x:f>
      </x:c>
      <x:c r="BO43" s="117" t="n">
        <x:f>IF(AND(OR(BO38&gt;0,BO$3&lt;=$B$8),BO$3&gt;=$B$7,BO$3&lt;EDATE($B$8,'Вводные'!$H$91)),MAX(0,'Вводные'!$B$26*'Вводные'!$V$91-BO38)*'Вводные'!$B$29/12,0)+IF(AND(YEAR(BO$3)=YEAR($B$7),MONTH(BO$3)=MONTH($B$7)),'Вводные'!$B$26*'Вводные'!$V$91*'Вводные'!$B$30,0)</x:f>
      </x:c>
      <x:c r="BP43" s="117" t="n">
        <x:f>IF(AND(OR(BP38&gt;0,BP$3&lt;=$B$8),BP$3&gt;=$B$7,BP$3&lt;EDATE($B$8,'Вводные'!$H$91)),MAX(0,'Вводные'!$B$26*'Вводные'!$V$91-BP38)*'Вводные'!$B$29/12,0)+IF(AND(YEAR(BP$3)=YEAR($B$7),MONTH(BP$3)=MONTH($B$7)),'Вводные'!$B$26*'Вводные'!$V$91*'Вводные'!$B$30,0)</x:f>
      </x:c>
      <x:c r="BQ43" s="117" t="n">
        <x:f>IF(AND(OR(BQ38&gt;0,BQ$3&lt;=$B$8),BQ$3&gt;=$B$7,BQ$3&lt;EDATE($B$8,'Вводные'!$H$91)),MAX(0,'Вводные'!$B$26*'Вводные'!$V$91-BQ38)*'Вводные'!$B$29/12,0)+IF(AND(YEAR(BQ$3)=YEAR($B$7),MONTH(BQ$3)=MONTH($B$7)),'Вводные'!$B$26*'Вводные'!$V$91*'Вводные'!$B$30,0)</x:f>
      </x:c>
      <x:c r="BR43" s="117" t="n">
        <x:f>IF(AND(OR(BR38&gt;0,BR$3&lt;=$B$8),BR$3&gt;=$B$7,BR$3&lt;EDATE($B$8,'Вводные'!$H$91)),MAX(0,'Вводные'!$B$26*'Вводные'!$V$91-BR38)*'Вводные'!$B$29/12,0)+IF(AND(YEAR(BR$3)=YEAR($B$7),MONTH(BR$3)=MONTH($B$7)),'Вводные'!$B$26*'Вводные'!$V$91*'Вводные'!$B$30,0)</x:f>
      </x:c>
      <x:c r="BS43" s="117" t="n">
        <x:f>IF(AND(OR(BS38&gt;0,BS$3&lt;=$B$8),BS$3&gt;=$B$7,BS$3&lt;EDATE($B$8,'Вводные'!$H$91)),MAX(0,'Вводные'!$B$26*'Вводные'!$V$91-BS38)*'Вводные'!$B$29/12,0)+IF(AND(YEAR(BS$3)=YEAR($B$7),MONTH(BS$3)=MONTH($B$7)),'Вводные'!$B$26*'Вводные'!$V$91*'Вводные'!$B$30,0)</x:f>
      </x:c>
      <x:c r="BT43" s="117" t="n">
        <x:f>IF(AND(OR(BT38&gt;0,BT$3&lt;=$B$8),BT$3&gt;=$B$7,BT$3&lt;EDATE($B$8,'Вводные'!$H$91)),MAX(0,'Вводные'!$B$26*'Вводные'!$V$91-BT38)*'Вводные'!$B$29/12,0)+IF(AND(YEAR(BT$3)=YEAR($B$7),MONTH(BT$3)=MONTH($B$7)),'Вводные'!$B$26*'Вводные'!$V$91*'Вводные'!$B$30,0)</x:f>
      </x:c>
      <x:c r="BU43" s="117" t="n">
        <x:f>IF(AND(OR(BU38&gt;0,BU$3&lt;=$B$8),BU$3&gt;=$B$7,BU$3&lt;EDATE($B$8,'Вводные'!$H$91)),MAX(0,'Вводные'!$B$26*'Вводные'!$V$91-BU38)*'Вводные'!$B$29/12,0)+IF(AND(YEAR(BU$3)=YEAR($B$7),MONTH(BU$3)=MONTH($B$7)),'Вводные'!$B$26*'Вводные'!$V$91*'Вводные'!$B$30,0)</x:f>
      </x:c>
      <x:c r="BV43" s="117" t="n">
        <x:f>IF(AND(OR(BV38&gt;0,BV$3&lt;=$B$8),BV$3&gt;=$B$7,BV$3&lt;EDATE($B$8,'Вводные'!$H$91)),MAX(0,'Вводные'!$B$26*'Вводные'!$V$91-BV38)*'Вводные'!$B$29/12,0)+IF(AND(YEAR(BV$3)=YEAR($B$7),MONTH(BV$3)=MONTH($B$7)),'Вводные'!$B$26*'Вводные'!$V$91*'Вводные'!$B$30,0)</x:f>
      </x:c>
      <x:c r="BW43" s="117" t="n">
        <x:f>IF(AND(OR(BW38&gt;0,BW$3&lt;=$B$8),BW$3&gt;=$B$7,BW$3&lt;EDATE($B$8,'Вводные'!$H$91)),MAX(0,'Вводные'!$B$26*'Вводные'!$V$91-BW38)*'Вводные'!$B$29/12,0)+IF(AND(YEAR(BW$3)=YEAR($B$7),MONTH(BW$3)=MONTH($B$7)),'Вводные'!$B$26*'Вводные'!$V$91*'Вводные'!$B$30,0)</x:f>
      </x:c>
      <x:c r="BX43" s="117" t="n">
        <x:f>IF(AND(OR(BX38&gt;0,BX$3&lt;=$B$8),BX$3&gt;=$B$7,BX$3&lt;EDATE($B$8,'Вводные'!$H$91)),MAX(0,'Вводные'!$B$26*'Вводные'!$V$91-BX38)*'Вводные'!$B$29/12,0)+IF(AND(YEAR(BX$3)=YEAR($B$7),MONTH(BX$3)=MONTH($B$7)),'Вводные'!$B$26*'Вводные'!$V$91*'Вводные'!$B$30,0)</x:f>
      </x:c>
      <x:c r="BY43" s="117" t="n">
        <x:f>IF(AND(OR(BY38&gt;0,BY$3&lt;=$B$8),BY$3&gt;=$B$7,BY$3&lt;EDATE($B$8,'Вводные'!$H$91)),MAX(0,'Вводные'!$B$26*'Вводные'!$V$91-BY38)*'Вводные'!$B$29/12,0)+IF(AND(YEAR(BY$3)=YEAR($B$7),MONTH(BY$3)=MONTH($B$7)),'Вводные'!$B$26*'Вводные'!$V$91*'Вводные'!$B$30,0)</x:f>
      </x:c>
      <x:c r="BZ43" s="117" t="n">
        <x:f>IF(AND(OR(BZ38&gt;0,BZ$3&lt;=$B$8),BZ$3&gt;=$B$7,BZ$3&lt;EDATE($B$8,'Вводные'!$H$91)),MAX(0,'Вводные'!$B$26*'Вводные'!$V$91-BZ38)*'Вводные'!$B$29/12,0)+IF(AND(YEAR(BZ$3)=YEAR($B$7),MONTH(BZ$3)=MONTH($B$7)),'Вводные'!$B$26*'Вводные'!$V$91*'Вводные'!$B$30,0)</x:f>
      </x:c>
      <x:c r="CA43" s="117" t="n">
        <x:f>IF(AND(OR(CA38&gt;0,CA$3&lt;=$B$8),CA$3&gt;=$B$7,CA$3&lt;EDATE($B$8,'Вводные'!$H$91)),MAX(0,'Вводные'!$B$26*'Вводные'!$V$91-CA38)*'Вводные'!$B$29/12,0)+IF(AND(YEAR(CA$3)=YEAR($B$7),MONTH(CA$3)=MONTH($B$7)),'Вводные'!$B$26*'Вводные'!$V$91*'Вводные'!$B$30,0)</x:f>
      </x:c>
      <x:c r="CB43" s="117" t="n">
        <x:f>IF(AND(OR(CB38&gt;0,CB$3&lt;=$B$8),CB$3&gt;=$B$7,CB$3&lt;EDATE($B$8,'Вводные'!$H$91)),MAX(0,'Вводные'!$B$26*'Вводные'!$V$91-CB38)*'Вводные'!$B$29/12,0)+IF(AND(YEAR(CB$3)=YEAR($B$7),MONTH(CB$3)=MONTH($B$7)),'Вводные'!$B$26*'Вводные'!$V$91*'Вводные'!$B$30,0)</x:f>
      </x:c>
      <x:c r="CC43" s="117" t="n">
        <x:f>IF(AND(OR(CC38&gt;0,CC$3&lt;=$B$8),CC$3&gt;=$B$7,CC$3&lt;EDATE($B$8,'Вводные'!$H$91)),MAX(0,'Вводные'!$B$26*'Вводные'!$V$91-CC38)*'Вводные'!$B$29/12,0)+IF(AND(YEAR(CC$3)=YEAR($B$7),MONTH(CC$3)=MONTH($B$7)),'Вводные'!$B$26*'Вводные'!$V$91*'Вводные'!$B$30,0)</x:f>
      </x:c>
      <x:c r="CD43" s="117" t="n">
        <x:f>IF(AND(OR(CD38&gt;0,CD$3&lt;=$B$8),CD$3&gt;=$B$7,CD$3&lt;EDATE($B$8,'Вводные'!$H$91)),MAX(0,'Вводные'!$B$26*'Вводные'!$V$91-CD38)*'Вводные'!$B$29/12,0)+IF(AND(YEAR(CD$3)=YEAR($B$7),MONTH(CD$3)=MONTH($B$7)),'Вводные'!$B$26*'Вводные'!$V$91*'Вводные'!$B$30,0)</x:f>
      </x:c>
      <x:c r="CE43" s="117" t="n">
        <x:f>IF(AND(OR(CE38&gt;0,CE$3&lt;=$B$8),CE$3&gt;=$B$7,CE$3&lt;EDATE($B$8,'Вводные'!$H$91)),MAX(0,'Вводные'!$B$26*'Вводные'!$V$91-CE38)*'Вводные'!$B$29/12,0)+IF(AND(YEAR(CE$3)=YEAR($B$7),MONTH(CE$3)=MONTH($B$7)),'Вводные'!$B$26*'Вводные'!$V$91*'Вводные'!$B$30,0)</x:f>
      </x:c>
      <x:c r="CF43" s="117" t="n">
        <x:f>IF(AND(OR(CF38&gt;0,CF$3&lt;=$B$8),CF$3&gt;=$B$7,CF$3&lt;EDATE($B$8,'Вводные'!$H$91)),MAX(0,'Вводные'!$B$26*'Вводные'!$V$91-CF38)*'Вводные'!$B$29/12,0)+IF(AND(YEAR(CF$3)=YEAR($B$7),MONTH(CF$3)=MONTH($B$7)),'Вводные'!$B$26*'Вводные'!$V$91*'Вводные'!$B$30,0)</x:f>
      </x:c>
      <x:c r="CG43" s="117" t="n">
        <x:f>IF(AND(OR(CG38&gt;0,CG$3&lt;=$B$8),CG$3&gt;=$B$7,CG$3&lt;EDATE($B$8,'Вводные'!$H$91)),MAX(0,'Вводные'!$B$26*'Вводные'!$V$91-CG38)*'Вводные'!$B$29/12,0)+IF(AND(YEAR(CG$3)=YEAR($B$7),MONTH(CG$3)=MONTH($B$7)),'Вводные'!$B$26*'Вводные'!$V$91*'Вводные'!$B$30,0)</x:f>
      </x:c>
      <x:c r="CH43" s="117" t="n">
        <x:f>IF(AND(OR(CH38&gt;0,CH$3&lt;=$B$8),CH$3&gt;=$B$7,CH$3&lt;EDATE($B$8,'Вводные'!$H$91)),MAX(0,'Вводные'!$B$26*'Вводные'!$V$91-CH38)*'Вводные'!$B$29/12,0)+IF(AND(YEAR(CH$3)=YEAR($B$7),MONTH(CH$3)=MONTH($B$7)),'Вводные'!$B$26*'Вводные'!$V$91*'Вводные'!$B$30,0)</x:f>
      </x:c>
      <x:c r="CI43" s="117" t="n">
        <x:f>IF(AND(OR(CI38&gt;0,CI$3&lt;=$B$8),CI$3&gt;=$B$7,CI$3&lt;EDATE($B$8,'Вводные'!$H$91)),MAX(0,'Вводные'!$B$26*'Вводные'!$V$91-CI38)*'Вводные'!$B$29/12,0)+IF(AND(YEAR(CI$3)=YEAR($B$7),MONTH(CI$3)=MONTH($B$7)),'Вводные'!$B$26*'Вводные'!$V$91*'Вводные'!$B$30,0)</x:f>
      </x:c>
      <x:c r="CJ43" s="117" t="n">
        <x:f>IF(AND(OR(CJ38&gt;0,CJ$3&lt;=$B$8),CJ$3&gt;=$B$7,CJ$3&lt;EDATE($B$8,'Вводные'!$H$91)),MAX(0,'Вводные'!$B$26*'Вводные'!$V$91-CJ38)*'Вводные'!$B$29/12,0)+IF(AND(YEAR(CJ$3)=YEAR($B$7),MONTH(CJ$3)=MONTH($B$7)),'Вводные'!$B$26*'Вводные'!$V$91*'Вводные'!$B$30,0)</x:f>
      </x:c>
      <x:c r="CK43" s="117" t="n">
        <x:f>IF(AND(OR(CK38&gt;0,CK$3&lt;=$B$8),CK$3&gt;=$B$7,CK$3&lt;EDATE($B$8,'Вводные'!$H$91)),MAX(0,'Вводные'!$B$26*'Вводные'!$V$91-CK38)*'Вводные'!$B$29/12,0)+IF(AND(YEAR(CK$3)=YEAR($B$7),MONTH(CK$3)=MONTH($B$7)),'Вводные'!$B$26*'Вводные'!$V$91*'Вводные'!$B$30,0)</x:f>
      </x:c>
      <x:c r="CL43" s="117" t="n">
        <x:f>IF(AND(OR(CL38&gt;0,CL$3&lt;=$B$8),CL$3&gt;=$B$7,CL$3&lt;EDATE($B$8,'Вводные'!$H$91)),MAX(0,'Вводные'!$B$26*'Вводные'!$V$91-CL38)*'Вводные'!$B$29/12,0)+IF(AND(YEAR(CL$3)=YEAR($B$7),MONTH(CL$3)=MONTH($B$7)),'Вводные'!$B$26*'Вводные'!$V$91*'Вводные'!$B$30,0)</x:f>
      </x:c>
      <x:c r="CM43" s="117" t="n">
        <x:f>IF(AND(OR(CM38&gt;0,CM$3&lt;=$B$8),CM$3&gt;=$B$7,CM$3&lt;EDATE($B$8,'Вводные'!$H$91)),MAX(0,'Вводные'!$B$26*'Вводные'!$V$91-CM38)*'Вводные'!$B$29/12,0)+IF(AND(YEAR(CM$3)=YEAR($B$7),MONTH(CM$3)=MONTH($B$7)),'Вводные'!$B$26*'Вводные'!$V$91*'Вводные'!$B$30,0)</x:f>
      </x:c>
      <x:c r="CN43" s="117" t="n">
        <x:f>IF(AND(OR(CN38&gt;0,CN$3&lt;=$B$8),CN$3&gt;=$B$7,CN$3&lt;EDATE($B$8,'Вводные'!$H$91)),MAX(0,'Вводные'!$B$26*'Вводные'!$V$91-CN38)*'Вводные'!$B$29/12,0)+IF(AND(YEAR(CN$3)=YEAR($B$7),MONTH(CN$3)=MONTH($B$7)),'Вводные'!$B$26*'Вводные'!$V$91*'Вводные'!$B$30,0)</x:f>
      </x:c>
      <x:c r="CO43" s="117" t="n">
        <x:f>IF(AND(OR(CO38&gt;0,CO$3&lt;=$B$8),CO$3&gt;=$B$7,CO$3&lt;EDATE($B$8,'Вводные'!$H$91)),MAX(0,'Вводные'!$B$26*'Вводные'!$V$91-CO38)*'Вводные'!$B$29/12,0)+IF(AND(YEAR(CO$3)=YEAR($B$7),MONTH(CO$3)=MONTH($B$7)),'Вводные'!$B$26*'Вводные'!$V$91*'Вводные'!$B$30,0)</x:f>
      </x:c>
      <x:c r="CP43" s="117" t="n">
        <x:f>IF(AND(OR(CP38&gt;0,CP$3&lt;=$B$8),CP$3&gt;=$B$7,CP$3&lt;EDATE($B$8,'Вводные'!$H$91)),MAX(0,'Вводные'!$B$26*'Вводные'!$V$91-CP38)*'Вводные'!$B$29/12,0)+IF(AND(YEAR(CP$3)=YEAR($B$7),MONTH(CP$3)=MONTH($B$7)),'Вводные'!$B$26*'Вводные'!$V$91*'Вводные'!$B$30,0)</x:f>
      </x:c>
      <x:c r="CQ43" s="117" t="n">
        <x:f>IF(AND(OR(CQ38&gt;0,CQ$3&lt;=$B$8),CQ$3&gt;=$B$7,CQ$3&lt;EDATE($B$8,'Вводные'!$H$91)),MAX(0,'Вводные'!$B$26*'Вводные'!$V$91-CQ38)*'Вводные'!$B$29/12,0)+IF(AND(YEAR(CQ$3)=YEAR($B$7),MONTH(CQ$3)=MONTH($B$7)),'Вводные'!$B$26*'Вводные'!$V$91*'Вводные'!$B$30,0)</x:f>
      </x:c>
      <x:c r="CR43" s="117" t="n">
        <x:f>IF(AND(OR(CR38&gt;0,CR$3&lt;=$B$8),CR$3&gt;=$B$7,CR$3&lt;EDATE($B$8,'Вводные'!$H$91)),MAX(0,'Вводные'!$B$26*'Вводные'!$V$91-CR38)*'Вводные'!$B$29/12,0)+IF(AND(YEAR(CR$3)=YEAR($B$7),MONTH(CR$3)=MONTH($B$7)),'Вводные'!$B$26*'Вводные'!$V$91*'Вводные'!$B$30,0)</x:f>
      </x:c>
      <x:c r="CS43" s="117" t="n">
        <x:f>IF(AND(OR(CS38&gt;0,CS$3&lt;=$B$8),CS$3&gt;=$B$7,CS$3&lt;EDATE($B$8,'Вводные'!$H$91)),MAX(0,'Вводные'!$B$26*'Вводные'!$V$91-CS38)*'Вводные'!$B$29/12,0)+IF(AND(YEAR(CS$3)=YEAR($B$7),MONTH(CS$3)=MONTH($B$7)),'Вводные'!$B$26*'Вводные'!$V$91*'Вводные'!$B$30,0)</x:f>
      </x:c>
      <x:c r="CT43" s="117" t="n">
        <x:f>IF(AND(OR(CT38&gt;0,CT$3&lt;=$B$8),CT$3&gt;=$B$7,CT$3&lt;EDATE($B$8,'Вводные'!$H$91)),MAX(0,'Вводные'!$B$26*'Вводные'!$V$91-CT38)*'Вводные'!$B$29/12,0)+IF(AND(YEAR(CT$3)=YEAR($B$7),MONTH(CT$3)=MONTH($B$7)),'Вводные'!$B$26*'Вводные'!$V$91*'Вводные'!$B$30,0)</x:f>
      </x:c>
      <x:c r="CU43" s="117" t="n">
        <x:f>IF(AND(OR(CU38&gt;0,CU$3&lt;=$B$8),CU$3&gt;=$B$7,CU$3&lt;EDATE($B$8,'Вводные'!$H$91)),MAX(0,'Вводные'!$B$26*'Вводные'!$V$91-CU38)*'Вводные'!$B$29/12,0)+IF(AND(YEAR(CU$3)=YEAR($B$7),MONTH(CU$3)=MONTH($B$7)),'Вводные'!$B$26*'Вводные'!$V$91*'Вводные'!$B$30,0)</x:f>
      </x:c>
      <x:c r="CV43" s="117" t="n">
        <x:f>IF(AND(OR(CV38&gt;0,CV$3&lt;=$B$8),CV$3&gt;=$B$7,CV$3&lt;EDATE($B$8,'Вводные'!$H$91)),MAX(0,'Вводные'!$B$26*'Вводные'!$V$91-CV38)*'Вводные'!$B$29/12,0)+IF(AND(YEAR(CV$3)=YEAR($B$7),MONTH(CV$3)=MONTH($B$7)),'Вводные'!$B$26*'Вводные'!$V$91*'Вводные'!$B$30,0)</x:f>
      </x:c>
      <x:c r="CW43" s="117" t="n">
        <x:f>IF(AND(OR(CW38&gt;0,CW$3&lt;=$B$8),CW$3&gt;=$B$7,CW$3&lt;EDATE($B$8,'Вводные'!$H$91)),MAX(0,'Вводные'!$B$26*'Вводные'!$V$91-CW38)*'Вводные'!$B$29/12,0)+IF(AND(YEAR(CW$3)=YEAR($B$7),MONTH(CW$3)=MONTH($B$7)),'Вводные'!$B$26*'Вводные'!$V$91*'Вводные'!$B$30,0)</x:f>
      </x:c>
      <x:c r="CX43" s="117" t="n">
        <x:f>IF(AND(OR(CX38&gt;0,CX$3&lt;=$B$8),CX$3&gt;=$B$7,CX$3&lt;EDATE($B$8,'Вводные'!$H$91)),MAX(0,'Вводные'!$B$26*'Вводные'!$V$91-CX38)*'Вводные'!$B$29/12,0)+IF(AND(YEAR(CX$3)=YEAR($B$7),MONTH(CX$3)=MONTH($B$7)),'Вводные'!$B$26*'Вводные'!$V$91*'Вводные'!$B$30,0)</x:f>
      </x:c>
      <x:c r="CY43" s="117" t="n">
        <x:f>IF(AND(OR(CY38&gt;0,CY$3&lt;=$B$8),CY$3&gt;=$B$7,CY$3&lt;EDATE($B$8,'Вводные'!$H$91)),MAX(0,'Вводные'!$B$26*'Вводные'!$V$91-CY38)*'Вводные'!$B$29/12,0)+IF(AND(YEAR(CY$3)=YEAR($B$7),MONTH(CY$3)=MONTH($B$7)),'Вводные'!$B$26*'Вводные'!$V$91*'Вводные'!$B$30,0)</x:f>
      </x:c>
      <x:c r="CZ43" s="117" t="n">
        <x:f>IF(AND(OR(CZ38&gt;0,CZ$3&lt;=$B$8),CZ$3&gt;=$B$7,CZ$3&lt;EDATE($B$8,'Вводные'!$H$91)),MAX(0,'Вводные'!$B$26*'Вводные'!$V$91-CZ38)*'Вводные'!$B$29/12,0)+IF(AND(YEAR(CZ$3)=YEAR($B$7),MONTH(CZ$3)=MONTH($B$7)),'Вводные'!$B$26*'Вводные'!$V$91*'Вводные'!$B$30,0)</x:f>
      </x:c>
      <x:c r="DA43" s="117" t="n">
        <x:f>IF(AND(OR(DA38&gt;0,DA$3&lt;=$B$8),DA$3&gt;=$B$7,DA$3&lt;EDATE($B$8,'Вводные'!$H$91)),MAX(0,'Вводные'!$B$26*'Вводные'!$V$91-DA38)*'Вводные'!$B$29/12,0)+IF(AND(YEAR(DA$3)=YEAR($B$7),MONTH(DA$3)=MONTH($B$7)),'Вводные'!$B$26*'Вводные'!$V$91*'Вводные'!$B$30,0)</x:f>
      </x:c>
      <x:c r="DB43" s="117" t="n">
        <x:f>IF(AND(OR(DB38&gt;0,DB$3&lt;=$B$8),DB$3&gt;=$B$7,DB$3&lt;EDATE($B$8,'Вводные'!$H$91)),MAX(0,'Вводные'!$B$26*'Вводные'!$V$91-DB38)*'Вводные'!$B$29/12,0)+IF(AND(YEAR(DB$3)=YEAR($B$7),MONTH(DB$3)=MONTH($B$7)),'Вводные'!$B$26*'Вводные'!$V$91*'Вводные'!$B$30,0)</x:f>
      </x:c>
      <x:c r="DC43" s="117" t="n">
        <x:f>IF(AND(OR(DC38&gt;0,DC$3&lt;=$B$8),DC$3&gt;=$B$7,DC$3&lt;EDATE($B$8,'Вводные'!$H$91)),MAX(0,'Вводные'!$B$26*'Вводные'!$V$91-DC38)*'Вводные'!$B$29/12,0)+IF(AND(YEAR(DC$3)=YEAR($B$7),MONTH(DC$3)=MONTH($B$7)),'Вводные'!$B$26*'Вводные'!$V$91*'Вводные'!$B$30,0)</x:f>
      </x:c>
      <x:c r="DD43" s="117" t="n">
        <x:f>IF(AND(OR(DD38&gt;0,DD$3&lt;=$B$8),DD$3&gt;=$B$7,DD$3&lt;EDATE($B$8,'Вводные'!$H$91)),MAX(0,'Вводные'!$B$26*'Вводные'!$V$91-DD38)*'Вводные'!$B$29/12,0)+IF(AND(YEAR(DD$3)=YEAR($B$7),MONTH(DD$3)=MONTH($B$7)),'Вводные'!$B$26*'Вводные'!$V$91*'Вводные'!$B$30,0)</x:f>
      </x:c>
      <x:c r="DE43" s="117" t="n">
        <x:f>IF(AND(OR(DE38&gt;0,DE$3&lt;=$B$8),DE$3&gt;=$B$7,DE$3&lt;EDATE($B$8,'Вводные'!$H$91)),MAX(0,'Вводные'!$B$26*'Вводные'!$V$91-DE38)*'Вводные'!$B$29/12,0)+IF(AND(YEAR(DE$3)=YEAR($B$7),MONTH(DE$3)=MONTH($B$7)),'Вводные'!$B$26*'Вводные'!$V$91*'Вводные'!$B$30,0)</x:f>
      </x:c>
      <x:c r="DF43" s="117" t="n">
        <x:f>IF(AND(OR(DF38&gt;0,DF$3&lt;=$B$8),DF$3&gt;=$B$7,DF$3&lt;EDATE($B$8,'Вводные'!$H$91)),MAX(0,'Вводные'!$B$26*'Вводные'!$V$91-DF38)*'Вводные'!$B$29/12,0)+IF(AND(YEAR(DF$3)=YEAR($B$7),MONTH(DF$3)=MONTH($B$7)),'Вводные'!$B$26*'Вводные'!$V$91*'Вводные'!$B$30,0)</x:f>
      </x:c>
      <x:c r="DG43" s="117" t="n">
        <x:f>IF(AND(OR(DG38&gt;0,DG$3&lt;=$B$8),DG$3&gt;=$B$7,DG$3&lt;EDATE($B$8,'Вводные'!$H$91)),MAX(0,'Вводные'!$B$26*'Вводные'!$V$91-DG38)*'Вводные'!$B$29/12,0)+IF(AND(YEAR(DG$3)=YEAR($B$7),MONTH(DG$3)=MONTH($B$7)),'Вводные'!$B$26*'Вводные'!$V$91*'Вводные'!$B$30,0)</x:f>
      </x:c>
      <x:c r="DH43" s="117" t="n">
        <x:f>IF(AND(OR(DH38&gt;0,DH$3&lt;=$B$8),DH$3&gt;=$B$7,DH$3&lt;EDATE($B$8,'Вводные'!$H$91)),MAX(0,'Вводные'!$B$26*'Вводные'!$V$91-DH38)*'Вводные'!$B$29/12,0)+IF(AND(YEAR(DH$3)=YEAR($B$7),MONTH(DH$3)=MONTH($B$7)),'Вводные'!$B$26*'Вводные'!$V$91*'Вводные'!$B$30,0)</x:f>
      </x:c>
      <x:c r="DI43" s="117" t="n">
        <x:f>IF(AND(OR(DI38&gt;0,DI$3&lt;=$B$8),DI$3&gt;=$B$7,DI$3&lt;EDATE($B$8,'Вводные'!$H$91)),MAX(0,'Вводные'!$B$26*'Вводные'!$V$91-DI38)*'Вводные'!$B$29/12,0)+IF(AND(YEAR(DI$3)=YEAR($B$7),MONTH(DI$3)=MONTH($B$7)),'Вводные'!$B$26*'Вводные'!$V$91*'Вводные'!$B$30,0)</x:f>
      </x:c>
      <x:c r="DJ43" s="117" t="n">
        <x:f>IF(AND(OR(DJ38&gt;0,DJ$3&lt;=$B$8),DJ$3&gt;=$B$7,DJ$3&lt;EDATE($B$8,'Вводные'!$H$91)),MAX(0,'Вводные'!$B$26*'Вводные'!$V$91-DJ38)*'Вводные'!$B$29/12,0)+IF(AND(YEAR(DJ$3)=YEAR($B$7),MONTH(DJ$3)=MONTH($B$7)),'Вводные'!$B$26*'Вводные'!$V$91*'Вводные'!$B$30,0)</x:f>
      </x:c>
      <x:c r="DK43" s="117" t="n">
        <x:f>IF(AND(OR(DK38&gt;0,DK$3&lt;=$B$8),DK$3&gt;=$B$7,DK$3&lt;EDATE($B$8,'Вводные'!$H$91)),MAX(0,'Вводные'!$B$26*'Вводные'!$V$91-DK38)*'Вводные'!$B$29/12,0)+IF(AND(YEAR(DK$3)=YEAR($B$7),MONTH(DK$3)=MONTH($B$7)),'Вводные'!$B$26*'Вводные'!$V$91*'Вводные'!$B$30,0)</x:f>
      </x:c>
      <x:c r="DL43" s="117" t="n">
        <x:f>IF(AND(OR(DL38&gt;0,DL$3&lt;=$B$8),DL$3&gt;=$B$7,DL$3&lt;EDATE($B$8,'Вводные'!$H$91)),MAX(0,'Вводные'!$B$26*'Вводные'!$V$91-DL38)*'Вводные'!$B$29/12,0)+IF(AND(YEAR(DL$3)=YEAR($B$7),MONTH(DL$3)=MONTH($B$7)),'Вводные'!$B$26*'Вводные'!$V$91*'Вводные'!$B$30,0)</x:f>
      </x:c>
      <x:c r="DM43" s="117" t="n">
        <x:f>IF(AND(OR(DM38&gt;0,DM$3&lt;=$B$8),DM$3&gt;=$B$7,DM$3&lt;EDATE($B$8,'Вводные'!$H$91)),MAX(0,'Вводные'!$B$26*'Вводные'!$V$91-DM38)*'Вводные'!$B$29/12,0)+IF(AND(YEAR(DM$3)=YEAR($B$7),MONTH(DM$3)=MONTH($B$7)),'Вводные'!$B$26*'Вводные'!$V$91*'Вводные'!$B$30,0)</x:f>
      </x:c>
      <x:c r="DN43" s="117" t="n">
        <x:f>IF(AND(OR(DN38&gt;0,DN$3&lt;=$B$8),DN$3&gt;=$B$7,DN$3&lt;EDATE($B$8,'Вводные'!$H$91)),MAX(0,'Вводные'!$B$26*'Вводные'!$V$91-DN38)*'Вводные'!$B$29/12,0)+IF(AND(YEAR(DN$3)=YEAR($B$7),MONTH(DN$3)=MONTH($B$7)),'Вводные'!$B$26*'Вводные'!$V$91*'Вводные'!$B$30,0)</x:f>
      </x:c>
      <x:c r="DO43" s="117" t="n">
        <x:f>IF(AND(OR(DO38&gt;0,DO$3&lt;=$B$8),DO$3&gt;=$B$7,DO$3&lt;EDATE($B$8,'Вводные'!$H$91)),MAX(0,'Вводные'!$B$26*'Вводные'!$V$91-DO38)*'Вводные'!$B$29/12,0)+IF(AND(YEAR(DO$3)=YEAR($B$7),MONTH(DO$3)=MONTH($B$7)),'Вводные'!$B$26*'Вводные'!$V$91*'Вводные'!$B$30,0)</x:f>
      </x:c>
      <x:c r="DP43" s="117" t="n">
        <x:f>IF(AND(OR(DP38&gt;0,DP$3&lt;=$B$8),DP$3&gt;=$B$7,DP$3&lt;EDATE($B$8,'Вводные'!$H$91)),MAX(0,'Вводные'!$B$26*'Вводные'!$V$91-DP38)*'Вводные'!$B$29/12,0)+IF(AND(YEAR(DP$3)=YEAR($B$7),MONTH(DP$3)=MONTH($B$7)),'Вводные'!$B$26*'Вводные'!$V$91*'Вводные'!$B$30,0)</x:f>
      </x:c>
      <x:c r="DQ43" s="117" t="n">
        <x:f>IF(AND(OR(DQ38&gt;0,DQ$3&lt;=$B$8),DQ$3&gt;=$B$7,DQ$3&lt;EDATE($B$8,'Вводные'!$H$91)),MAX(0,'Вводные'!$B$26*'Вводные'!$V$91-DQ38)*'Вводные'!$B$29/12,0)+IF(AND(YEAR(DQ$3)=YEAR($B$7),MONTH(DQ$3)=MONTH($B$7)),'Вводные'!$B$26*'Вводные'!$V$91*'Вводные'!$B$30,0)</x:f>
      </x:c>
      <x:c r="DR43" s="117" t="n">
        <x:f>IF(AND(OR(DR38&gt;0,DR$3&lt;=$B$8),DR$3&gt;=$B$7,DR$3&lt;EDATE($B$8,'Вводные'!$H$91)),MAX(0,'Вводные'!$B$26*'Вводные'!$V$91-DR38)*'Вводные'!$B$29/12,0)+IF(AND(YEAR(DR$3)=YEAR($B$7),MONTH(DR$3)=MONTH($B$7)),'Вводные'!$B$26*'Вводные'!$V$91*'Вводные'!$B$30,0)</x:f>
      </x:c>
      <x:c r="DS43" s="117" t="n">
        <x:f>IF(AND(OR(DS38&gt;0,DS$3&lt;=$B$8),DS$3&gt;=$B$7,DS$3&lt;EDATE($B$8,'Вводные'!$H$91)),MAX(0,'Вводные'!$B$26*'Вводные'!$V$91-DS38)*'Вводные'!$B$29/12,0)+IF(AND(YEAR(DS$3)=YEAR($B$7),MONTH(DS$3)=MONTH($B$7)),'Вводные'!$B$26*'Вводные'!$V$91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4</x:v>
      </x:c>
      <x:c r="B66" s="53" t="str">
        <x:v>СВОДКА ОЧЕРЕДИ 4</x:v>
      </x:c>
      <x:c r="C66" s="54" t="str">
        <x:v>СВОДКА ОЧЕРЕДИ 4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