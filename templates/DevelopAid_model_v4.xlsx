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Z88*$K$15</x:f>
      </x:c>
      <x:c r="M88" s="83" t="n">
        <x:f>AA88*$K$15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Z89*$K$15</x:f>
      </x:c>
      <x:c r="M89" s="83" t="n">
        <x:f>AA89*$K$15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Z90*$K$15</x:f>
      </x:c>
      <x:c r="M90" s="83" t="n">
        <x:f>AA90*$K$15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Z91*$K$15</x:f>
      </x:c>
      <x:c r="M91" s="83" t="n">
        <x:f>AA91*$K$15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*MIN(1,(12*(YEAR(D$3)-YEAR($B$7))+MONTH(D$3)-MONTH($B$7))/MAX(1,12*(YEAR($B$8)-YEAR($B$7))+MONTH($B$8)-MONTH($B$7)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*MIN(1,(12*(YEAR(E$3)-YEAR($B$7))+MONTH(E$3)-MONTH($B$7))/MAX(1,12*(YEAR($B$8)-YEAR($B$7))+MONTH($B$8)-MONTH($B$7)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*MIN(1,(12*(YEAR(F$3)-YEAR($B$7))+MONTH(F$3)-MONTH($B$7))/MAX(1,12*(YEAR($B$8)-YEAR($B$7))+MONTH($B$8)-MONTH($B$7)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*MIN(1,(12*(YEAR(G$3)-YEAR($B$7))+MONTH(G$3)-MONTH($B$7))/MAX(1,12*(YEAR($B$8)-YEAR($B$7))+MONTH($B$8)-MONTH($B$7)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*MIN(1,(12*(YEAR(H$3)-YEAR($B$7))+MONTH(H$3)-MONTH($B$7))/MAX(1,12*(YEAR($B$8)-YEAR($B$7))+MONTH($B$8)-MONTH($B$7)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*MIN(1,(12*(YEAR(I$3)-YEAR($B$7))+MONTH(I$3)-MONTH($B$7))/MAX(1,12*(YEAR($B$8)-YEAR($B$7))+MONTH($B$8)-MONTH($B$7)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*MIN(1,(12*(YEAR(J$3)-YEAR($B$7))+MONTH(J$3)-MONTH($B$7))/MAX(1,12*(YEAR($B$8)-YEAR($B$7))+MONTH($B$8)-MONTH($B$7)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*MIN(1,(12*(YEAR(K$3)-YEAR($B$7))+MONTH(K$3)-MONTH($B$7))/MAX(1,12*(YEAR($B$8)-YEAR($B$7))+MONTH($B$8)-MONTH($B$7)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*MIN(1,(12*(YEAR(L$3)-YEAR($B$7))+MONTH(L$3)-MONTH($B$7))/MAX(1,12*(YEAR($B$8)-YEAR($B$7))+MONTH($B$8)-MONTH($B$7)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*MIN(1,(12*(YEAR(M$3)-YEAR($B$7))+MONTH(M$3)-MONTH($B$7))/MAX(1,12*(YEAR($B$8)-YEAR($B$7))+MONTH($B$8)-MONTH($B$7)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*MIN(1,(12*(YEAR(N$3)-YEAR($B$7))+MONTH(N$3)-MONTH($B$7))/MAX(1,12*(YEAR($B$8)-YEAR($B$7))+MONTH($B$8)-MONTH($B$7)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*MIN(1,(12*(YEAR(O$3)-YEAR($B$7))+MONTH(O$3)-MONTH($B$7))/MAX(1,12*(YEAR($B$8)-YEAR($B$7))+MONTH($B$8)-MONTH($B$7)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*MIN(1,(12*(YEAR(P$3)-YEAR($B$7))+MONTH(P$3)-MONTH($B$7))/MAX(1,12*(YEAR($B$8)-YEAR($B$7))+MONTH($B$8)-MONTH($B$7)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*MIN(1,(12*(YEAR(Q$3)-YEAR($B$7))+MONTH(Q$3)-MONTH($B$7))/MAX(1,12*(YEAR($B$8)-YEAR($B$7))+MONTH($B$8)-MONTH($B$7)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*MIN(1,(12*(YEAR(R$3)-YEAR($B$7))+MONTH(R$3)-MONTH($B$7))/MAX(1,12*(YEAR($B$8)-YEAR($B$7))+MONTH($B$8)-MONTH($B$7)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*MIN(1,(12*(YEAR(S$3)-YEAR($B$7))+MONTH(S$3)-MONTH($B$7))/MAX(1,12*(YEAR($B$8)-YEAR($B$7))+MONTH($B$8)-MONTH($B$7)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*MIN(1,(12*(YEAR(T$3)-YEAR($B$7))+MONTH(T$3)-MONTH($B$7))/MAX(1,12*(YEAR($B$8)-YEAR($B$7))+MONTH($B$8)-MONTH($B$7)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*MIN(1,(12*(YEAR(U$3)-YEAR($B$7))+MONTH(U$3)-MONTH($B$7))/MAX(1,12*(YEAR($B$8)-YEAR($B$7))+MONTH($B$8)-MONTH($B$7)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*MIN(1,(12*(YEAR(V$3)-YEAR($B$7))+MONTH(V$3)-MONTH($B$7))/MAX(1,12*(YEAR($B$8)-YEAR($B$7))+MONTH($B$8)-MONTH($B$7)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*MIN(1,(12*(YEAR(W$3)-YEAR($B$7))+MONTH(W$3)-MONTH($B$7))/MAX(1,12*(YEAR($B$8)-YEAR($B$7))+MONTH($B$8)-MONTH($B$7)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*MIN(1,(12*(YEAR(X$3)-YEAR($B$7))+MONTH(X$3)-MONTH($B$7))/MAX(1,12*(YEAR($B$8)-YEAR($B$7))+MONTH($B$8)-MONTH($B$7)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*MIN(1,(12*(YEAR(Y$3)-YEAR($B$7))+MONTH(Y$3)-MONTH($B$7))/MAX(1,12*(YEAR($B$8)-YEAR($B$7))+MONTH($B$8)-MONTH($B$7)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*MIN(1,(12*(YEAR(Z$3)-YEAR($B$7))+MONTH(Z$3)-MONTH($B$7))/MAX(1,12*(YEAR($B$8)-YEAR($B$7))+MONTH($B$8)-MONTH($B$7)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*MIN(1,(12*(YEAR(AA$3)-YEAR($B$7))+MONTH(AA$3)-MONTH($B$7))/MAX(1,12*(YEAR($B$8)-YEAR($B$7))+MONTH($B$8)-MONTH($B$7)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*MIN(1,(12*(YEAR(AB$3)-YEAR($B$7))+MONTH(AB$3)-MONTH($B$7))/MAX(1,12*(YEAR($B$8)-YEAR($B$7))+MONTH($B$8)-MONTH($B$7)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*MIN(1,(12*(YEAR(AC$3)-YEAR($B$7))+MONTH(AC$3)-MONTH($B$7))/MAX(1,12*(YEAR($B$8)-YEAR($B$7))+MONTH($B$8)-MONTH($B$7)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*MIN(1,(12*(YEAR(AD$3)-YEAR($B$7))+MONTH(AD$3)-MONTH($B$7))/MAX(1,12*(YEAR($B$8)-YEAR($B$7))+MONTH($B$8)-MONTH($B$7)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*MIN(1,(12*(YEAR(AE$3)-YEAR($B$7))+MONTH(AE$3)-MONTH($B$7))/MAX(1,12*(YEAR($B$8)-YEAR($B$7))+MONTH($B$8)-MONTH($B$7)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*MIN(1,(12*(YEAR(AF$3)-YEAR($B$7))+MONTH(AF$3)-MONTH($B$7))/MAX(1,12*(YEAR($B$8)-YEAR($B$7))+MONTH($B$8)-MONTH($B$7)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*MIN(1,(12*(YEAR(AG$3)-YEAR($B$7))+MONTH(AG$3)-MONTH($B$7))/MAX(1,12*(YEAR($B$8)-YEAR($B$7))+MONTH($B$8)-MONTH($B$7)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*MIN(1,(12*(YEAR(AH$3)-YEAR($B$7))+MONTH(AH$3)-MONTH($B$7))/MAX(1,12*(YEAR($B$8)-YEAR($B$7))+MONTH($B$8)-MONTH($B$7)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*MIN(1,(12*(YEAR(AI$3)-YEAR($B$7))+MONTH(AI$3)-MONTH($B$7))/MAX(1,12*(YEAR($B$8)-YEAR($B$7))+MONTH($B$8)-MONTH($B$7)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*MIN(1,(12*(YEAR(AJ$3)-YEAR($B$7))+MONTH(AJ$3)-MONTH($B$7))/MAX(1,12*(YEAR($B$8)-YEAR($B$7))+MONTH($B$8)-MONTH($B$7)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*MIN(1,(12*(YEAR(AK$3)-YEAR($B$7))+MONTH(AK$3)-MONTH($B$7))/MAX(1,12*(YEAR($B$8)-YEAR($B$7))+MONTH($B$8)-MONTH($B$7)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*MIN(1,(12*(YEAR(AL$3)-YEAR($B$7))+MONTH(AL$3)-MONTH($B$7))/MAX(1,12*(YEAR($B$8)-YEAR($B$7))+MONTH($B$8)-MONTH($B$7)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*MIN(1,(12*(YEAR(AM$3)-YEAR($B$7))+MONTH(AM$3)-MONTH($B$7))/MAX(1,12*(YEAR($B$8)-YEAR($B$7))+MONTH($B$8)-MONTH($B$7)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*MIN(1,(12*(YEAR(AN$3)-YEAR($B$7))+MONTH(AN$3)-MONTH($B$7))/MAX(1,12*(YEAR($B$8)-YEAR($B$7))+MONTH($B$8)-MONTH($B$7)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*MIN(1,(12*(YEAR(AO$3)-YEAR($B$7))+MONTH(AO$3)-MONTH($B$7))/MAX(1,12*(YEAR($B$8)-YEAR($B$7))+MONTH($B$8)-MONTH($B$7)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*MIN(1,(12*(YEAR(AP$3)-YEAR($B$7))+MONTH(AP$3)-MONTH($B$7))/MAX(1,12*(YEAR($B$8)-YEAR($B$7))+MONTH($B$8)-MONTH($B$7)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*MIN(1,(12*(YEAR(AQ$3)-YEAR($B$7))+MONTH(AQ$3)-MONTH($B$7))/MAX(1,12*(YEAR($B$8)-YEAR($B$7))+MONTH($B$8)-MONTH($B$7)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*MIN(1,(12*(YEAR(AR$3)-YEAR($B$7))+MONTH(AR$3)-MONTH($B$7))/MAX(1,12*(YEAR($B$8)-YEAR($B$7))+MONTH($B$8)-MONTH($B$7)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*MIN(1,(12*(YEAR(AS$3)-YEAR($B$7))+MONTH(AS$3)-MONTH($B$7))/MAX(1,12*(YEAR($B$8)-YEAR($B$7))+MONTH($B$8)-MONTH($B$7)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*MIN(1,(12*(YEAR(AT$3)-YEAR($B$7))+MONTH(AT$3)-MONTH($B$7))/MAX(1,12*(YEAR($B$8)-YEAR($B$7))+MONTH($B$8)-MONTH($B$7)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*MIN(1,(12*(YEAR(AU$3)-YEAR($B$7))+MONTH(AU$3)-MONTH($B$7))/MAX(1,12*(YEAR($B$8)-YEAR($B$7))+MONTH($B$8)-MONTH($B$7)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*MIN(1,(12*(YEAR(AV$3)-YEAR($B$7))+MONTH(AV$3)-MONTH($B$7))/MAX(1,12*(YEAR($B$8)-YEAR($B$7))+MONTH($B$8)-MONTH($B$7)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*MIN(1,(12*(YEAR(AW$3)-YEAR($B$7))+MONTH(AW$3)-MONTH($B$7))/MAX(1,12*(YEAR($B$8)-YEAR($B$7))+MONTH($B$8)-MONTH($B$7)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*MIN(1,(12*(YEAR(AX$3)-YEAR($B$7))+MONTH(AX$3)-MONTH($B$7))/MAX(1,12*(YEAR($B$8)-YEAR($B$7))+MONTH($B$8)-MONTH($B$7)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*MIN(1,(12*(YEAR(AY$3)-YEAR($B$7))+MONTH(AY$3)-MONTH($B$7))/MAX(1,12*(YEAR($B$8)-YEAR($B$7))+MONTH($B$8)-MONTH($B$7)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*MIN(1,(12*(YEAR(AZ$3)-YEAR($B$7))+MONTH(AZ$3)-MONTH($B$7))/MAX(1,12*(YEAR($B$8)-YEAR($B$7))+MONTH($B$8)-MONTH($B$7)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*MIN(1,(12*(YEAR(BA$3)-YEAR($B$7))+MONTH(BA$3)-MONTH($B$7))/MAX(1,12*(YEAR($B$8)-YEAR($B$7))+MONTH($B$8)-MONTH($B$7)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*MIN(1,(12*(YEAR(BB$3)-YEAR($B$7))+MONTH(BB$3)-MONTH($B$7))/MAX(1,12*(YEAR($B$8)-YEAR($B$7))+MONTH($B$8)-MONTH($B$7)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*MIN(1,(12*(YEAR(BC$3)-YEAR($B$7))+MONTH(BC$3)-MONTH($B$7))/MAX(1,12*(YEAR($B$8)-YEAR($B$7))+MONTH($B$8)-MONTH($B$7)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*MIN(1,(12*(YEAR(BD$3)-YEAR($B$7))+MONTH(BD$3)-MONTH($B$7))/MAX(1,12*(YEAR($B$8)-YEAR($B$7))+MONTH($B$8)-MONTH($B$7)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*MIN(1,(12*(YEAR(BE$3)-YEAR($B$7))+MONTH(BE$3)-MONTH($B$7))/MAX(1,12*(YEAR($B$8)-YEAR($B$7))+MONTH($B$8)-MONTH($B$7)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*MIN(1,(12*(YEAR(BF$3)-YEAR($B$7))+MONTH(BF$3)-MONTH($B$7))/MAX(1,12*(YEAR($B$8)-YEAR($B$7))+MONTH($B$8)-MONTH($B$7)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*MIN(1,(12*(YEAR(BG$3)-YEAR($B$7))+MONTH(BG$3)-MONTH($B$7))/MAX(1,12*(YEAR($B$8)-YEAR($B$7))+MONTH($B$8)-MONTH($B$7)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*MIN(1,(12*(YEAR(BH$3)-YEAR($B$7))+MONTH(BH$3)-MONTH($B$7))/MAX(1,12*(YEAR($B$8)-YEAR($B$7))+MONTH($B$8)-MONTH($B$7)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*MIN(1,(12*(YEAR(BI$3)-YEAR($B$7))+MONTH(BI$3)-MONTH($B$7))/MAX(1,12*(YEAR($B$8)-YEAR($B$7))+MONTH($B$8)-MONTH($B$7)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*MIN(1,(12*(YEAR(BJ$3)-YEAR($B$7))+MONTH(BJ$3)-MONTH($B$7))/MAX(1,12*(YEAR($B$8)-YEAR($B$7))+MONTH($B$8)-MONTH($B$7)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*MIN(1,(12*(YEAR(BK$3)-YEAR($B$7))+MONTH(BK$3)-MONTH($B$7))/MAX(1,12*(YEAR($B$8)-YEAR($B$7))+MONTH($B$8)-MONTH($B$7)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*MIN(1,(12*(YEAR(BL$3)-YEAR($B$7))+MONTH(BL$3)-MONTH($B$7))/MAX(1,12*(YEAR($B$8)-YEAR($B$7))+MONTH($B$8)-MONTH($B$7)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*MIN(1,(12*(YEAR(BM$3)-YEAR($B$7))+MONTH(BM$3)-MONTH($B$7))/MAX(1,12*(YEAR($B$8)-YEAR($B$7))+MONTH($B$8)-MONTH($B$7)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*MIN(1,(12*(YEAR(BN$3)-YEAR($B$7))+MONTH(BN$3)-MONTH($B$7))/MAX(1,12*(YEAR($B$8)-YEAR($B$7))+MONTH($B$8)-MONTH($B$7)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*MIN(1,(12*(YEAR(BO$3)-YEAR($B$7))+MONTH(BO$3)-MONTH($B$7))/MAX(1,12*(YEAR($B$8)-YEAR($B$7))+MONTH($B$8)-MONTH($B$7)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*MIN(1,(12*(YEAR(BP$3)-YEAR($B$7))+MONTH(BP$3)-MONTH($B$7))/MAX(1,12*(YEAR($B$8)-YEAR($B$7))+MONTH($B$8)-MONTH($B$7)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*MIN(1,(12*(YEAR(BQ$3)-YEAR($B$7))+MONTH(BQ$3)-MONTH($B$7))/MAX(1,12*(YEAR($B$8)-YEAR($B$7))+MONTH($B$8)-MONTH($B$7)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*MIN(1,(12*(YEAR(BR$3)-YEAR($B$7))+MONTH(BR$3)-MONTH($B$7))/MAX(1,12*(YEAR($B$8)-YEAR($B$7))+MONTH($B$8)-MONTH($B$7)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*MIN(1,(12*(YEAR(BS$3)-YEAR($B$7))+MONTH(BS$3)-MONTH($B$7))/MAX(1,12*(YEAR($B$8)-YEAR($B$7))+MONTH($B$8)-MONTH($B$7)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*MIN(1,(12*(YEAR(BT$3)-YEAR($B$7))+MONTH(BT$3)-MONTH($B$7))/MAX(1,12*(YEAR($B$8)-YEAR($B$7))+MONTH($B$8)-MONTH($B$7)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*MIN(1,(12*(YEAR(BU$3)-YEAR($B$7))+MONTH(BU$3)-MONTH($B$7))/MAX(1,12*(YEAR($B$8)-YEAR($B$7))+MONTH($B$8)-MONTH($B$7)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*MIN(1,(12*(YEAR(BV$3)-YEAR($B$7))+MONTH(BV$3)-MONTH($B$7))/MAX(1,12*(YEAR($B$8)-YEAR($B$7))+MONTH($B$8)-MONTH($B$7)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*MIN(1,(12*(YEAR(BW$3)-YEAR($B$7))+MONTH(BW$3)-MONTH($B$7))/MAX(1,12*(YEAR($B$8)-YEAR($B$7))+MONTH($B$8)-MONTH($B$7)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*MIN(1,(12*(YEAR(BX$3)-YEAR($B$7))+MONTH(BX$3)-MONTH($B$7))/MAX(1,12*(YEAR($B$8)-YEAR($B$7))+MONTH($B$8)-MONTH($B$7)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*MIN(1,(12*(YEAR(BY$3)-YEAR($B$7))+MONTH(BY$3)-MONTH($B$7))/MAX(1,12*(YEAR($B$8)-YEAR($B$7))+MONTH($B$8)-MONTH($B$7)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*MIN(1,(12*(YEAR(BZ$3)-YEAR($B$7))+MONTH(BZ$3)-MONTH($B$7))/MAX(1,12*(YEAR($B$8)-YEAR($B$7))+MONTH($B$8)-MONTH($B$7)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*MIN(1,(12*(YEAR(CA$3)-YEAR($B$7))+MONTH(CA$3)-MONTH($B$7))/MAX(1,12*(YEAR($B$8)-YEAR($B$7))+MONTH($B$8)-MONTH($B$7)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*MIN(1,(12*(YEAR(CB$3)-YEAR($B$7))+MONTH(CB$3)-MONTH($B$7))/MAX(1,12*(YEAR($B$8)-YEAR($B$7))+MONTH($B$8)-MONTH($B$7)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*MIN(1,(12*(YEAR(CC$3)-YEAR($B$7))+MONTH(CC$3)-MONTH($B$7))/MAX(1,12*(YEAR($B$8)-YEAR($B$7))+MONTH($B$8)-MONTH($B$7)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*MIN(1,(12*(YEAR(CD$3)-YEAR($B$7))+MONTH(CD$3)-MONTH($B$7))/MAX(1,12*(YEAR($B$8)-YEAR($B$7))+MONTH($B$8)-MONTH($B$7)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*MIN(1,(12*(YEAR(CE$3)-YEAR($B$7))+MONTH(CE$3)-MONTH($B$7))/MAX(1,12*(YEAR($B$8)-YEAR($B$7))+MONTH($B$8)-MONTH($B$7)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*MIN(1,(12*(YEAR(CF$3)-YEAR($B$7))+MONTH(CF$3)-MONTH($B$7))/MAX(1,12*(YEAR($B$8)-YEAR($B$7))+MONTH($B$8)-MONTH($B$7)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*MIN(1,(12*(YEAR(CG$3)-YEAR($B$7))+MONTH(CG$3)-MONTH($B$7))/MAX(1,12*(YEAR($B$8)-YEAR($B$7))+MONTH($B$8)-MONTH($B$7)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*MIN(1,(12*(YEAR(CH$3)-YEAR($B$7))+MONTH(CH$3)-MONTH($B$7))/MAX(1,12*(YEAR($B$8)-YEAR($B$7))+MONTH($B$8)-MONTH($B$7)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*MIN(1,(12*(YEAR(CI$3)-YEAR($B$7))+MONTH(CI$3)-MONTH($B$7))/MAX(1,12*(YEAR($B$8)-YEAR($B$7))+MONTH($B$8)-MONTH($B$7)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*MIN(1,(12*(YEAR(CJ$3)-YEAR($B$7))+MONTH(CJ$3)-MONTH($B$7))/MAX(1,12*(YEAR($B$8)-YEAR($B$7))+MONTH($B$8)-MONTH($B$7)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*MIN(1,(12*(YEAR(CK$3)-YEAR($B$7))+MONTH(CK$3)-MONTH($B$7))/MAX(1,12*(YEAR($B$8)-YEAR($B$7))+MONTH($B$8)-MONTH($B$7)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*MIN(1,(12*(YEAR(CL$3)-YEAR($B$7))+MONTH(CL$3)-MONTH($B$7))/MAX(1,12*(YEAR($B$8)-YEAR($B$7))+MONTH($B$8)-MONTH($B$7)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*MIN(1,(12*(YEAR(CM$3)-YEAR($B$7))+MONTH(CM$3)-MONTH($B$7))/MAX(1,12*(YEAR($B$8)-YEAR($B$7))+MONTH($B$8)-MONTH($B$7)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*MIN(1,(12*(YEAR(CN$3)-YEAR($B$7))+MONTH(CN$3)-MONTH($B$7))/MAX(1,12*(YEAR($B$8)-YEAR($B$7))+MONTH($B$8)-MONTH($B$7)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*MIN(1,(12*(YEAR(CO$3)-YEAR($B$7))+MONTH(CO$3)-MONTH($B$7))/MAX(1,12*(YEAR($B$8)-YEAR($B$7))+MONTH($B$8)-MONTH($B$7)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*MIN(1,(12*(YEAR(CP$3)-YEAR($B$7))+MONTH(CP$3)-MONTH($B$7))/MAX(1,12*(YEAR($B$8)-YEAR($B$7))+MONTH($B$8)-MONTH($B$7)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*MIN(1,(12*(YEAR(CQ$3)-YEAR($B$7))+MONTH(CQ$3)-MONTH($B$7))/MAX(1,12*(YEAR($B$8)-YEAR($B$7))+MONTH($B$8)-MONTH($B$7)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*MIN(1,(12*(YEAR(CR$3)-YEAR($B$7))+MONTH(CR$3)-MONTH($B$7))/MAX(1,12*(YEAR($B$8)-YEAR($B$7))+MONTH($B$8)-MONTH($B$7)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*MIN(1,(12*(YEAR(CS$3)-YEAR($B$7))+MONTH(CS$3)-MONTH($B$7))/MAX(1,12*(YEAR($B$8)-YEAR($B$7))+MONTH($B$8)-MONTH($B$7)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*MIN(1,(12*(YEAR(CT$3)-YEAR($B$7))+MONTH(CT$3)-MONTH($B$7))/MAX(1,12*(YEAR($B$8)-YEAR($B$7))+MONTH($B$8)-MONTH($B$7)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*MIN(1,(12*(YEAR(CU$3)-YEAR($B$7))+MONTH(CU$3)-MONTH($B$7))/MAX(1,12*(YEAR($B$8)-YEAR($B$7))+MONTH($B$8)-MONTH($B$7)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*MIN(1,(12*(YEAR(CV$3)-YEAR($B$7))+MONTH(CV$3)-MONTH($B$7))/MAX(1,12*(YEAR($B$8)-YEAR($B$7))+MONTH($B$8)-MONTH($B$7)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*MIN(1,(12*(YEAR(CW$3)-YEAR($B$7))+MONTH(CW$3)-MONTH($B$7))/MAX(1,12*(YEAR($B$8)-YEAR($B$7))+MONTH($B$8)-MONTH($B$7)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*MIN(1,(12*(YEAR(CX$3)-YEAR($B$7))+MONTH(CX$3)-MONTH($B$7))/MAX(1,12*(YEAR($B$8)-YEAR($B$7))+MONTH($B$8)-MONTH($B$7)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*MIN(1,(12*(YEAR(CY$3)-YEAR($B$7))+MONTH(CY$3)-MONTH($B$7))/MAX(1,12*(YEAR($B$8)-YEAR($B$7))+MONTH($B$8)-MONTH($B$7)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*MIN(1,(12*(YEAR(CZ$3)-YEAR($B$7))+MONTH(CZ$3)-MONTH($B$7))/MAX(1,12*(YEAR($B$8)-YEAR($B$7))+MONTH($B$8)-MONTH($B$7)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*MIN(1,(12*(YEAR(DA$3)-YEAR($B$7))+MONTH(DA$3)-MONTH($B$7))/MAX(1,12*(YEAR($B$8)-YEAR($B$7))+MONTH($B$8)-MONTH($B$7)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*MIN(1,(12*(YEAR(DB$3)-YEAR($B$7))+MONTH(DB$3)-MONTH($B$7))/MAX(1,12*(YEAR($B$8)-YEAR($B$7))+MONTH($B$8)-MONTH($B$7)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*MIN(1,(12*(YEAR(DC$3)-YEAR($B$7))+MONTH(DC$3)-MONTH($B$7))/MAX(1,12*(YEAR($B$8)-YEAR($B$7))+MONTH($B$8)-MONTH($B$7)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*MIN(1,(12*(YEAR(DD$3)-YEAR($B$7))+MONTH(DD$3)-MONTH($B$7))/MAX(1,12*(YEAR($B$8)-YEAR($B$7))+MONTH($B$8)-MONTH($B$7)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*MIN(1,(12*(YEAR(DE$3)-YEAR($B$7))+MONTH(DE$3)-MONTH($B$7))/MAX(1,12*(YEAR($B$8)-YEAR($B$7))+MONTH($B$8)-MONTH($B$7)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*MIN(1,(12*(YEAR(DF$3)-YEAR($B$7))+MONTH(DF$3)-MONTH($B$7))/MAX(1,12*(YEAR($B$8)-YEAR($B$7))+MONTH($B$8)-MONTH($B$7)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*MIN(1,(12*(YEAR(DG$3)-YEAR($B$7))+MONTH(DG$3)-MONTH($B$7))/MAX(1,12*(YEAR($B$8)-YEAR($B$7))+MONTH($B$8)-MONTH($B$7)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*MIN(1,(12*(YEAR(DH$3)-YEAR($B$7))+MONTH(DH$3)-MONTH($B$7))/MAX(1,12*(YEAR($B$8)-YEAR($B$7))+MONTH($B$8)-MONTH($B$7)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*MIN(1,(12*(YEAR(DI$3)-YEAR($B$7))+MONTH(DI$3)-MONTH($B$7))/MAX(1,12*(YEAR($B$8)-YEAR($B$7))+MONTH($B$8)-MONTH($B$7)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*MIN(1,(12*(YEAR(DJ$3)-YEAR($B$7))+MONTH(DJ$3)-MONTH($B$7))/MAX(1,12*(YEAR($B$8)-YEAR($B$7))+MONTH($B$8)-MONTH($B$7)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*MIN(1,(12*(YEAR(DK$3)-YEAR($B$7))+MONTH(DK$3)-MONTH($B$7))/MAX(1,12*(YEAR($B$8)-YEAR($B$7))+MONTH($B$8)-MONTH($B$7)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*MIN(1,(12*(YEAR(DL$3)-YEAR($B$7))+MONTH(DL$3)-MONTH($B$7))/MAX(1,12*(YEAR($B$8)-YEAR($B$7))+MONTH($B$8)-MONTH($B$7)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*MIN(1,(12*(YEAR(DM$3)-YEAR($B$7))+MONTH(DM$3)-MONTH($B$7))/MAX(1,12*(YEAR($B$8)-YEAR($B$7))+MONTH($B$8)-MONTH($B$7)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*MIN(1,(12*(YEAR(DN$3)-YEAR($B$7))+MONTH(DN$3)-MONTH($B$7))/MAX(1,12*(YEAR($B$8)-YEAR($B$7))+MONTH($B$8)-MONTH($B$7)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*MIN(1,(12*(YEAR(DO$3)-YEAR($B$7))+MONTH(DO$3)-MONTH($B$7))/MAX(1,12*(YEAR($B$8)-YEAR($B$7))+MONTH($B$8)-MONTH($B$7)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*MIN(1,(12*(YEAR(DP$3)-YEAR($B$7))+MONTH(DP$3)-MONTH($B$7))/MAX(1,12*(YEAR($B$8)-YEAR($B$7))+MONTH($B$8)-MONTH($B$7)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*MIN(1,(12*(YEAR(DQ$3)-YEAR($B$7))+MONTH(DQ$3)-MONTH($B$7))/MAX(1,12*(YEAR($B$8)-YEAR($B$7))+MONTH($B$8)-MONTH($B$7)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*MIN(1,(12*(YEAR(DR$3)-YEAR($B$7))+MONTH(DR$3)-MONTH($B$7))/MAX(1,12*(YEAR($B$8)-YEAR($B$7))+MONTH($B$8)-MONTH($B$7)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*MIN(1,(12*(YEAR(DS$3)-YEAR($B$7))+MONTH(DS$3)-MONTH($B$7))/MAX(1,12*(YEAR($B$8)-YEAR($B$7))+MONTH($B$8)-MONTH($B$7)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*MIN(1,(12*(YEAR(D$3)-YEAR($B$30))+MONTH(D$3)-MONTH($B$30))/MAX(1,12*(YEAR($B$31)-YEAR($B$30))+MONTH($B$31)-MONTH($B$30)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*MIN(1,(12*(YEAR(E$3)-YEAR($B$30))+MONTH(E$3)-MONTH($B$30))/MAX(1,12*(YEAR($B$31)-YEAR($B$30))+MONTH($B$31)-MONTH($B$30)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*MIN(1,(12*(YEAR(F$3)-YEAR($B$30))+MONTH(F$3)-MONTH($B$30))/MAX(1,12*(YEAR($B$31)-YEAR($B$30))+MONTH($B$31)-MONTH($B$30)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*MIN(1,(12*(YEAR(G$3)-YEAR($B$30))+MONTH(G$3)-MONTH($B$30))/MAX(1,12*(YEAR($B$31)-YEAR($B$30))+MONTH($B$31)-MONTH($B$30)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*MIN(1,(12*(YEAR(H$3)-YEAR($B$30))+MONTH(H$3)-MONTH($B$30))/MAX(1,12*(YEAR($B$31)-YEAR($B$30))+MONTH($B$31)-MONTH($B$30)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*MIN(1,(12*(YEAR(I$3)-YEAR($B$30))+MONTH(I$3)-MONTH($B$30))/MAX(1,12*(YEAR($B$31)-YEAR($B$30))+MONTH($B$31)-MONTH($B$30)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*MIN(1,(12*(YEAR(J$3)-YEAR($B$30))+MONTH(J$3)-MONTH($B$30))/MAX(1,12*(YEAR($B$31)-YEAR($B$30))+MONTH($B$31)-MONTH($B$30)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*MIN(1,(12*(YEAR(K$3)-YEAR($B$30))+MONTH(K$3)-MONTH($B$30))/MAX(1,12*(YEAR($B$31)-YEAR($B$30))+MONTH($B$31)-MONTH($B$30)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*MIN(1,(12*(YEAR(L$3)-YEAR($B$30))+MONTH(L$3)-MONTH($B$30))/MAX(1,12*(YEAR($B$31)-YEAR($B$30))+MONTH($B$31)-MONTH($B$30)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*MIN(1,(12*(YEAR(M$3)-YEAR($B$30))+MONTH(M$3)-MONTH($B$30))/MAX(1,12*(YEAR($B$31)-YEAR($B$30))+MONTH($B$31)-MONTH($B$30)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*MIN(1,(12*(YEAR(N$3)-YEAR($B$30))+MONTH(N$3)-MONTH($B$30))/MAX(1,12*(YEAR($B$31)-YEAR($B$30))+MONTH($B$31)-MONTH($B$30)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*MIN(1,(12*(YEAR(O$3)-YEAR($B$30))+MONTH(O$3)-MONTH($B$30))/MAX(1,12*(YEAR($B$31)-YEAR($B$30))+MONTH($B$31)-MONTH($B$30)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*MIN(1,(12*(YEAR(P$3)-YEAR($B$30))+MONTH(P$3)-MONTH($B$30))/MAX(1,12*(YEAR($B$31)-YEAR($B$30))+MONTH($B$31)-MONTH($B$30)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*MIN(1,(12*(YEAR(Q$3)-YEAR($B$30))+MONTH(Q$3)-MONTH($B$30))/MAX(1,12*(YEAR($B$31)-YEAR($B$30))+MONTH($B$31)-MONTH($B$30)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*MIN(1,(12*(YEAR(R$3)-YEAR($B$30))+MONTH(R$3)-MONTH($B$30))/MAX(1,12*(YEAR($B$31)-YEAR($B$30))+MONTH($B$31)-MONTH($B$30)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*MIN(1,(12*(YEAR(S$3)-YEAR($B$30))+MONTH(S$3)-MONTH($B$30))/MAX(1,12*(YEAR($B$31)-YEAR($B$30))+MONTH($B$31)-MONTH($B$30)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*MIN(1,(12*(YEAR(T$3)-YEAR($B$30))+MONTH(T$3)-MONTH($B$30))/MAX(1,12*(YEAR($B$31)-YEAR($B$30))+MONTH($B$31)-MONTH($B$30)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*MIN(1,(12*(YEAR(U$3)-YEAR($B$30))+MONTH(U$3)-MONTH($B$30))/MAX(1,12*(YEAR($B$31)-YEAR($B$30))+MONTH($B$31)-MONTH($B$30)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*MIN(1,(12*(YEAR(V$3)-YEAR($B$30))+MONTH(V$3)-MONTH($B$30))/MAX(1,12*(YEAR($B$31)-YEAR($B$30))+MONTH($B$31)-MONTH($B$30)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*MIN(1,(12*(YEAR(W$3)-YEAR($B$30))+MONTH(W$3)-MONTH($B$30))/MAX(1,12*(YEAR($B$31)-YEAR($B$30))+MONTH($B$31)-MONTH($B$30)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*MIN(1,(12*(YEAR(X$3)-YEAR($B$30))+MONTH(X$3)-MONTH($B$30))/MAX(1,12*(YEAR($B$31)-YEAR($B$30))+MONTH($B$31)-MONTH($B$30)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*MIN(1,(12*(YEAR(Y$3)-YEAR($B$30))+MONTH(Y$3)-MONTH($B$30))/MAX(1,12*(YEAR($B$31)-YEAR($B$30))+MONTH($B$31)-MONTH($B$30)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*MIN(1,(12*(YEAR(Z$3)-YEAR($B$30))+MONTH(Z$3)-MONTH($B$30))/MAX(1,12*(YEAR($B$31)-YEAR($B$30))+MONTH($B$31)-MONTH($B$30)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*MIN(1,(12*(YEAR(AA$3)-YEAR($B$30))+MONTH(AA$3)-MONTH($B$30))/MAX(1,12*(YEAR($B$31)-YEAR($B$30))+MONTH($B$31)-MONTH($B$30)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*MIN(1,(12*(YEAR(AB$3)-YEAR($B$30))+MONTH(AB$3)-MONTH($B$30))/MAX(1,12*(YEAR($B$31)-YEAR($B$30))+MONTH($B$31)-MONTH($B$30)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*MIN(1,(12*(YEAR(AC$3)-YEAR($B$30))+MONTH(AC$3)-MONTH($B$30))/MAX(1,12*(YEAR($B$31)-YEAR($B$30))+MONTH($B$31)-MONTH($B$30)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*MIN(1,(12*(YEAR(AD$3)-YEAR($B$30))+MONTH(AD$3)-MONTH($B$30))/MAX(1,12*(YEAR($B$31)-YEAR($B$30))+MONTH($B$31)-MONTH($B$30)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*MIN(1,(12*(YEAR(AE$3)-YEAR($B$30))+MONTH(AE$3)-MONTH($B$30))/MAX(1,12*(YEAR($B$31)-YEAR($B$30))+MONTH($B$31)-MONTH($B$30)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*MIN(1,(12*(YEAR(AF$3)-YEAR($B$30))+MONTH(AF$3)-MONTH($B$30))/MAX(1,12*(YEAR($B$31)-YEAR($B$30))+MONTH($B$31)-MONTH($B$30)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*MIN(1,(12*(YEAR(AG$3)-YEAR($B$30))+MONTH(AG$3)-MONTH($B$30))/MAX(1,12*(YEAR($B$31)-YEAR($B$30))+MONTH($B$31)-MONTH($B$30)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*MIN(1,(12*(YEAR(AH$3)-YEAR($B$30))+MONTH(AH$3)-MONTH($B$30))/MAX(1,12*(YEAR($B$31)-YEAR($B$30))+MONTH($B$31)-MONTH($B$30)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*MIN(1,(12*(YEAR(AI$3)-YEAR($B$30))+MONTH(AI$3)-MONTH($B$30))/MAX(1,12*(YEAR($B$31)-YEAR($B$30))+MONTH($B$31)-MONTH($B$30)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*MIN(1,(12*(YEAR(AJ$3)-YEAR($B$30))+MONTH(AJ$3)-MONTH($B$30))/MAX(1,12*(YEAR($B$31)-YEAR($B$30))+MONTH($B$31)-MONTH($B$30)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*MIN(1,(12*(YEAR(AK$3)-YEAR($B$30))+MONTH(AK$3)-MONTH($B$30))/MAX(1,12*(YEAR($B$31)-YEAR($B$30))+MONTH($B$31)-MONTH($B$30)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*MIN(1,(12*(YEAR(AL$3)-YEAR($B$30))+MONTH(AL$3)-MONTH($B$30))/MAX(1,12*(YEAR($B$31)-YEAR($B$30))+MONTH($B$31)-MONTH($B$30)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*MIN(1,(12*(YEAR(AM$3)-YEAR($B$30))+MONTH(AM$3)-MONTH($B$30))/MAX(1,12*(YEAR($B$31)-YEAR($B$30))+MONTH($B$31)-MONTH($B$30)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*MIN(1,(12*(YEAR(AN$3)-YEAR($B$30))+MONTH(AN$3)-MONTH($B$30))/MAX(1,12*(YEAR($B$31)-YEAR($B$30))+MONTH($B$31)-MONTH($B$30)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*MIN(1,(12*(YEAR(AO$3)-YEAR($B$30))+MONTH(AO$3)-MONTH($B$30))/MAX(1,12*(YEAR($B$31)-YEAR($B$30))+MONTH($B$31)-MONTH($B$30)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*MIN(1,(12*(YEAR(AP$3)-YEAR($B$30))+MONTH(AP$3)-MONTH($B$30))/MAX(1,12*(YEAR($B$31)-YEAR($B$30))+MONTH($B$31)-MONTH($B$30)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*MIN(1,(12*(YEAR(AQ$3)-YEAR($B$30))+MONTH(AQ$3)-MONTH($B$30))/MAX(1,12*(YEAR($B$31)-YEAR($B$30))+MONTH($B$31)-MONTH($B$30)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*MIN(1,(12*(YEAR(AR$3)-YEAR($B$30))+MONTH(AR$3)-MONTH($B$30))/MAX(1,12*(YEAR($B$31)-YEAR($B$30))+MONTH($B$31)-MONTH($B$30)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*MIN(1,(12*(YEAR(AS$3)-YEAR($B$30))+MONTH(AS$3)-MONTH($B$30))/MAX(1,12*(YEAR($B$31)-YEAR($B$30))+MONTH($B$31)-MONTH($B$30)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*MIN(1,(12*(YEAR(AT$3)-YEAR($B$30))+MONTH(AT$3)-MONTH($B$30))/MAX(1,12*(YEAR($B$31)-YEAR($B$30))+MONTH($B$31)-MONTH($B$30)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*MIN(1,(12*(YEAR(AU$3)-YEAR($B$30))+MONTH(AU$3)-MONTH($B$30))/MAX(1,12*(YEAR($B$31)-YEAR($B$30))+MONTH($B$31)-MONTH($B$30)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*MIN(1,(12*(YEAR(AV$3)-YEAR($B$30))+MONTH(AV$3)-MONTH($B$30))/MAX(1,12*(YEAR($B$31)-YEAR($B$30))+MONTH($B$31)-MONTH($B$30)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*MIN(1,(12*(YEAR(AW$3)-YEAR($B$30))+MONTH(AW$3)-MONTH($B$30))/MAX(1,12*(YEAR($B$31)-YEAR($B$30))+MONTH($B$31)-MONTH($B$30)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*MIN(1,(12*(YEAR(AX$3)-YEAR($B$30))+MONTH(AX$3)-MONTH($B$30))/MAX(1,12*(YEAR($B$31)-YEAR($B$30))+MONTH($B$31)-MONTH($B$30)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*MIN(1,(12*(YEAR(AY$3)-YEAR($B$30))+MONTH(AY$3)-MONTH($B$30))/MAX(1,12*(YEAR($B$31)-YEAR($B$30))+MONTH($B$31)-MONTH($B$30)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*MIN(1,(12*(YEAR(AZ$3)-YEAR($B$30))+MONTH(AZ$3)-MONTH($B$30))/MAX(1,12*(YEAR($B$31)-YEAR($B$30))+MONTH($B$31)-MONTH($B$30)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*MIN(1,(12*(YEAR(BA$3)-YEAR($B$30))+MONTH(BA$3)-MONTH($B$30))/MAX(1,12*(YEAR($B$31)-YEAR($B$30))+MONTH($B$31)-MONTH($B$30)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*MIN(1,(12*(YEAR(BB$3)-YEAR($B$30))+MONTH(BB$3)-MONTH($B$30))/MAX(1,12*(YEAR($B$31)-YEAR($B$30))+MONTH($B$31)-MONTH($B$30)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*MIN(1,(12*(YEAR(BC$3)-YEAR($B$30))+MONTH(BC$3)-MONTH($B$30))/MAX(1,12*(YEAR($B$31)-YEAR($B$30))+MONTH($B$31)-MONTH($B$30)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*MIN(1,(12*(YEAR(BD$3)-YEAR($B$30))+MONTH(BD$3)-MONTH($B$30))/MAX(1,12*(YEAR($B$31)-YEAR($B$30))+MONTH($B$31)-MONTH($B$30)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*MIN(1,(12*(YEAR(BE$3)-YEAR($B$30))+MONTH(BE$3)-MONTH($B$30))/MAX(1,12*(YEAR($B$31)-YEAR($B$30))+MONTH($B$31)-MONTH($B$30)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*MIN(1,(12*(YEAR(BF$3)-YEAR($B$30))+MONTH(BF$3)-MONTH($B$30))/MAX(1,12*(YEAR($B$31)-YEAR($B$30))+MONTH($B$31)-MONTH($B$30)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*MIN(1,(12*(YEAR(BG$3)-YEAR($B$30))+MONTH(BG$3)-MONTH($B$30))/MAX(1,12*(YEAR($B$31)-YEAR($B$30))+MONTH($B$31)-MONTH($B$30)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*MIN(1,(12*(YEAR(BH$3)-YEAR($B$30))+MONTH(BH$3)-MONTH($B$30))/MAX(1,12*(YEAR($B$31)-YEAR($B$30))+MONTH($B$31)-MONTH($B$30)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*MIN(1,(12*(YEAR(BI$3)-YEAR($B$30))+MONTH(BI$3)-MONTH($B$30))/MAX(1,12*(YEAR($B$31)-YEAR($B$30))+MONTH($B$31)-MONTH($B$30)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*MIN(1,(12*(YEAR(BJ$3)-YEAR($B$30))+MONTH(BJ$3)-MONTH($B$30))/MAX(1,12*(YEAR($B$31)-YEAR($B$30))+MONTH($B$31)-MONTH($B$30)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*MIN(1,(12*(YEAR(BK$3)-YEAR($B$30))+MONTH(BK$3)-MONTH($B$30))/MAX(1,12*(YEAR($B$31)-YEAR($B$30))+MONTH($B$31)-MONTH($B$30)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*MIN(1,(12*(YEAR(BL$3)-YEAR($B$30))+MONTH(BL$3)-MONTH($B$30))/MAX(1,12*(YEAR($B$31)-YEAR($B$30))+MONTH($B$31)-MONTH($B$30)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*MIN(1,(12*(YEAR(BM$3)-YEAR($B$30))+MONTH(BM$3)-MONTH($B$30))/MAX(1,12*(YEAR($B$31)-YEAR($B$30))+MONTH($B$31)-MONTH($B$30)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*MIN(1,(12*(YEAR(BN$3)-YEAR($B$30))+MONTH(BN$3)-MONTH($B$30))/MAX(1,12*(YEAR($B$31)-YEAR($B$30))+MONTH($B$31)-MONTH($B$30)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*MIN(1,(12*(YEAR(BO$3)-YEAR($B$30))+MONTH(BO$3)-MONTH($B$30))/MAX(1,12*(YEAR($B$31)-YEAR($B$30))+MONTH($B$31)-MONTH($B$30)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*MIN(1,(12*(YEAR(BP$3)-YEAR($B$30))+MONTH(BP$3)-MONTH($B$30))/MAX(1,12*(YEAR($B$31)-YEAR($B$30))+MONTH($B$31)-MONTH($B$30)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*MIN(1,(12*(YEAR(BQ$3)-YEAR($B$30))+MONTH(BQ$3)-MONTH($B$30))/MAX(1,12*(YEAR($B$31)-YEAR($B$30))+MONTH($B$31)-MONTH($B$30)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*MIN(1,(12*(YEAR(BR$3)-YEAR($B$30))+MONTH(BR$3)-MONTH($B$30))/MAX(1,12*(YEAR($B$31)-YEAR($B$30))+MONTH($B$31)-MONTH($B$30)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*MIN(1,(12*(YEAR(BS$3)-YEAR($B$30))+MONTH(BS$3)-MONTH($B$30))/MAX(1,12*(YEAR($B$31)-YEAR($B$30))+MONTH($B$31)-MONTH($B$30)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*MIN(1,(12*(YEAR(BT$3)-YEAR($B$30))+MONTH(BT$3)-MONTH($B$30))/MAX(1,12*(YEAR($B$31)-YEAR($B$30))+MONTH($B$31)-MONTH($B$30)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*MIN(1,(12*(YEAR(BU$3)-YEAR($B$30))+MONTH(BU$3)-MONTH($B$30))/MAX(1,12*(YEAR($B$31)-YEAR($B$30))+MONTH($B$31)-MONTH($B$30)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*MIN(1,(12*(YEAR(BV$3)-YEAR($B$30))+MONTH(BV$3)-MONTH($B$30))/MAX(1,12*(YEAR($B$31)-YEAR($B$30))+MONTH($B$31)-MONTH($B$30)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*MIN(1,(12*(YEAR(BW$3)-YEAR($B$30))+MONTH(BW$3)-MONTH($B$30))/MAX(1,12*(YEAR($B$31)-YEAR($B$30))+MONTH($B$31)-MONTH($B$30)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*MIN(1,(12*(YEAR(BX$3)-YEAR($B$30))+MONTH(BX$3)-MONTH($B$30))/MAX(1,12*(YEAR($B$31)-YEAR($B$30))+MONTH($B$31)-MONTH($B$30)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*MIN(1,(12*(YEAR(BY$3)-YEAR($B$30))+MONTH(BY$3)-MONTH($B$30))/MAX(1,12*(YEAR($B$31)-YEAR($B$30))+MONTH($B$31)-MONTH($B$30)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*MIN(1,(12*(YEAR(BZ$3)-YEAR($B$30))+MONTH(BZ$3)-MONTH($B$30))/MAX(1,12*(YEAR($B$31)-YEAR($B$30))+MONTH($B$31)-MONTH($B$30)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*MIN(1,(12*(YEAR(CA$3)-YEAR($B$30))+MONTH(CA$3)-MONTH($B$30))/MAX(1,12*(YEAR($B$31)-YEAR($B$30))+MONTH($B$31)-MONTH($B$30)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*MIN(1,(12*(YEAR(CB$3)-YEAR($B$30))+MONTH(CB$3)-MONTH($B$30))/MAX(1,12*(YEAR($B$31)-YEAR($B$30))+MONTH($B$31)-MONTH($B$30)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*MIN(1,(12*(YEAR(CC$3)-YEAR($B$30))+MONTH(CC$3)-MONTH($B$30))/MAX(1,12*(YEAR($B$31)-YEAR($B$30))+MONTH($B$31)-MONTH($B$30)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*MIN(1,(12*(YEAR(CD$3)-YEAR($B$30))+MONTH(CD$3)-MONTH($B$30))/MAX(1,12*(YEAR($B$31)-YEAR($B$30))+MONTH($B$31)-MONTH($B$30)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*MIN(1,(12*(YEAR(CE$3)-YEAR($B$30))+MONTH(CE$3)-MONTH($B$30))/MAX(1,12*(YEAR($B$31)-YEAR($B$30))+MONTH($B$31)-MONTH($B$30)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*MIN(1,(12*(YEAR(CF$3)-YEAR($B$30))+MONTH(CF$3)-MONTH($B$30))/MAX(1,12*(YEAR($B$31)-YEAR($B$30))+MONTH($B$31)-MONTH($B$30)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*MIN(1,(12*(YEAR(CG$3)-YEAR($B$30))+MONTH(CG$3)-MONTH($B$30))/MAX(1,12*(YEAR($B$31)-YEAR($B$30))+MONTH($B$31)-MONTH($B$30)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*MIN(1,(12*(YEAR(CH$3)-YEAR($B$30))+MONTH(CH$3)-MONTH($B$30))/MAX(1,12*(YEAR($B$31)-YEAR($B$30))+MONTH($B$31)-MONTH($B$30)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*MIN(1,(12*(YEAR(CI$3)-YEAR($B$30))+MONTH(CI$3)-MONTH($B$30))/MAX(1,12*(YEAR($B$31)-YEAR($B$30))+MONTH($B$31)-MONTH($B$30)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*MIN(1,(12*(YEAR(CJ$3)-YEAR($B$30))+MONTH(CJ$3)-MONTH($B$30))/MAX(1,12*(YEAR($B$31)-YEAR($B$30))+MONTH($B$31)-MONTH($B$30)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*MIN(1,(12*(YEAR(CK$3)-YEAR($B$30))+MONTH(CK$3)-MONTH($B$30))/MAX(1,12*(YEAR($B$31)-YEAR($B$30))+MONTH($B$31)-MONTH($B$30)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*MIN(1,(12*(YEAR(CL$3)-YEAR($B$30))+MONTH(CL$3)-MONTH($B$30))/MAX(1,12*(YEAR($B$31)-YEAR($B$30))+MONTH($B$31)-MONTH($B$30)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*MIN(1,(12*(YEAR(CM$3)-YEAR($B$30))+MONTH(CM$3)-MONTH($B$30))/MAX(1,12*(YEAR($B$31)-YEAR($B$30))+MONTH($B$31)-MONTH($B$30)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*MIN(1,(12*(YEAR(CN$3)-YEAR($B$30))+MONTH(CN$3)-MONTH($B$30))/MAX(1,12*(YEAR($B$31)-YEAR($B$30))+MONTH($B$31)-MONTH($B$30)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*MIN(1,(12*(YEAR(CO$3)-YEAR($B$30))+MONTH(CO$3)-MONTH($B$30))/MAX(1,12*(YEAR($B$31)-YEAR($B$30))+MONTH($B$31)-MONTH($B$30)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*MIN(1,(12*(YEAR(CP$3)-YEAR($B$30))+MONTH(CP$3)-MONTH($B$30))/MAX(1,12*(YEAR($B$31)-YEAR($B$30))+MONTH($B$31)-MONTH($B$30)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*MIN(1,(12*(YEAR(CQ$3)-YEAR($B$30))+MONTH(CQ$3)-MONTH($B$30))/MAX(1,12*(YEAR($B$31)-YEAR($B$30))+MONTH($B$31)-MONTH($B$30)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*MIN(1,(12*(YEAR(CR$3)-YEAR($B$30))+MONTH(CR$3)-MONTH($B$30))/MAX(1,12*(YEAR($B$31)-YEAR($B$30))+MONTH($B$31)-MONTH($B$30)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*MIN(1,(12*(YEAR(CS$3)-YEAR($B$30))+MONTH(CS$3)-MONTH($B$30))/MAX(1,12*(YEAR($B$31)-YEAR($B$30))+MONTH($B$31)-MONTH($B$30)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*MIN(1,(12*(YEAR(CT$3)-YEAR($B$30))+MONTH(CT$3)-MONTH($B$30))/MAX(1,12*(YEAR($B$31)-YEAR($B$30))+MONTH($B$31)-MONTH($B$30)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*MIN(1,(12*(YEAR(CU$3)-YEAR($B$30))+MONTH(CU$3)-MONTH($B$30))/MAX(1,12*(YEAR($B$31)-YEAR($B$30))+MONTH($B$31)-MONTH($B$30)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*MIN(1,(12*(YEAR(CV$3)-YEAR($B$30))+MONTH(CV$3)-MONTH($B$30))/MAX(1,12*(YEAR($B$31)-YEAR($B$30))+MONTH($B$31)-MONTH($B$30)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*MIN(1,(12*(YEAR(CW$3)-YEAR($B$30))+MONTH(CW$3)-MONTH($B$30))/MAX(1,12*(YEAR($B$31)-YEAR($B$30))+MONTH($B$31)-MONTH($B$30)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*MIN(1,(12*(YEAR(CX$3)-YEAR($B$30))+MONTH(CX$3)-MONTH($B$30))/MAX(1,12*(YEAR($B$31)-YEAR($B$30))+MONTH($B$31)-MONTH($B$30)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*MIN(1,(12*(YEAR(CY$3)-YEAR($B$30))+MONTH(CY$3)-MONTH($B$30))/MAX(1,12*(YEAR($B$31)-YEAR($B$30))+MONTH($B$31)-MONTH($B$30)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*MIN(1,(12*(YEAR(CZ$3)-YEAR($B$30))+MONTH(CZ$3)-MONTH($B$30))/MAX(1,12*(YEAR($B$31)-YEAR($B$30))+MONTH($B$31)-MONTH($B$30)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*MIN(1,(12*(YEAR(DA$3)-YEAR($B$30))+MONTH(DA$3)-MONTH($B$30))/MAX(1,12*(YEAR($B$31)-YEAR($B$30))+MONTH($B$31)-MONTH($B$30)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*MIN(1,(12*(YEAR(DB$3)-YEAR($B$30))+MONTH(DB$3)-MONTH($B$30))/MAX(1,12*(YEAR($B$31)-YEAR($B$30))+MONTH($B$31)-MONTH($B$30)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*MIN(1,(12*(YEAR(DC$3)-YEAR($B$30))+MONTH(DC$3)-MONTH($B$30))/MAX(1,12*(YEAR($B$31)-YEAR($B$30))+MONTH($B$31)-MONTH($B$30)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*MIN(1,(12*(YEAR(DD$3)-YEAR($B$30))+MONTH(DD$3)-MONTH($B$30))/MAX(1,12*(YEAR($B$31)-YEAR($B$30))+MONTH($B$31)-MONTH($B$30)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*MIN(1,(12*(YEAR(DE$3)-YEAR($B$30))+MONTH(DE$3)-MONTH($B$30))/MAX(1,12*(YEAR($B$31)-YEAR($B$30))+MONTH($B$31)-MONTH($B$30)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*MIN(1,(12*(YEAR(DF$3)-YEAR($B$30))+MONTH(DF$3)-MONTH($B$30))/MAX(1,12*(YEAR($B$31)-YEAR($B$30))+MONTH($B$31)-MONTH($B$30)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*MIN(1,(12*(YEAR(DG$3)-YEAR($B$30))+MONTH(DG$3)-MONTH($B$30))/MAX(1,12*(YEAR($B$31)-YEAR($B$30))+MONTH($B$31)-MONTH($B$30)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*MIN(1,(12*(YEAR(DH$3)-YEAR($B$30))+MONTH(DH$3)-MONTH($B$30))/MAX(1,12*(YEAR($B$31)-YEAR($B$30))+MONTH($B$31)-MONTH($B$30)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*MIN(1,(12*(YEAR(DI$3)-YEAR($B$30))+MONTH(DI$3)-MONTH($B$30))/MAX(1,12*(YEAR($B$31)-YEAR($B$30))+MONTH($B$31)-MONTH($B$30)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*MIN(1,(12*(YEAR(DJ$3)-YEAR($B$30))+MONTH(DJ$3)-MONTH($B$30))/MAX(1,12*(YEAR($B$31)-YEAR($B$30))+MONTH($B$31)-MONTH($B$30)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*MIN(1,(12*(YEAR(DK$3)-YEAR($B$30))+MONTH(DK$3)-MONTH($B$30))/MAX(1,12*(YEAR($B$31)-YEAR($B$30))+MONTH($B$31)-MONTH($B$30)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*MIN(1,(12*(YEAR(DL$3)-YEAR($B$30))+MONTH(DL$3)-MONTH($B$30))/MAX(1,12*(YEAR($B$31)-YEAR($B$30))+MONTH($B$31)-MONTH($B$30)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*MIN(1,(12*(YEAR(DM$3)-YEAR($B$30))+MONTH(DM$3)-MONTH($B$30))/MAX(1,12*(YEAR($B$31)-YEAR($B$30))+MONTH($B$31)-MONTH($B$30)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*MIN(1,(12*(YEAR(DN$3)-YEAR($B$30))+MONTH(DN$3)-MONTH($B$30))/MAX(1,12*(YEAR($B$31)-YEAR($B$30))+MONTH($B$31)-MONTH($B$30)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*MIN(1,(12*(YEAR(DO$3)-YEAR($B$30))+MONTH(DO$3)-MONTH($B$30))/MAX(1,12*(YEAR($B$31)-YEAR($B$30))+MONTH($B$31)-MONTH($B$30)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*MIN(1,(12*(YEAR(DP$3)-YEAR($B$30))+MONTH(DP$3)-MONTH($B$30))/MAX(1,12*(YEAR($B$31)-YEAR($B$30))+MONTH($B$31)-MONTH($B$30)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*MIN(1,(12*(YEAR(DQ$3)-YEAR($B$30))+MONTH(DQ$3)-MONTH($B$30))/MAX(1,12*(YEAR($B$31)-YEAR($B$30))+MONTH($B$31)-MONTH($B$30)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*MIN(1,(12*(YEAR(DR$3)-YEAR($B$30))+MONTH(DR$3)-MONTH($B$30))/MAX(1,12*(YEAR($B$31)-YEAR($B$30))+MONTH($B$31)-MONTH($B$30)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*MIN(1,(12*(YEAR(DS$3)-YEAR($B$30))+MONTH(DS$3)-MONTH($B$30))/MAX(1,12*(YEAR($B$31)-YEAR($B$30))+MONTH($B$31)-MONTH($B$30)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*MIN(1,(12*(YEAR(D$3)-YEAR($B$53))+MONTH(D$3)-MONTH($B$53))/MAX(1,12*(YEAR($B$54)-YEAR($B$53))+MONTH($B$54)-MONTH($B$53)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*MIN(1,(12*(YEAR(E$3)-YEAR($B$53))+MONTH(E$3)-MONTH($B$53))/MAX(1,12*(YEAR($B$54)-YEAR($B$53))+MONTH($B$54)-MONTH($B$53)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*MIN(1,(12*(YEAR(F$3)-YEAR($B$53))+MONTH(F$3)-MONTH($B$53))/MAX(1,12*(YEAR($B$54)-YEAR($B$53))+MONTH($B$54)-MONTH($B$53)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*MIN(1,(12*(YEAR(G$3)-YEAR($B$53))+MONTH(G$3)-MONTH($B$53))/MAX(1,12*(YEAR($B$54)-YEAR($B$53))+MONTH($B$54)-MONTH($B$53)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*MIN(1,(12*(YEAR(H$3)-YEAR($B$53))+MONTH(H$3)-MONTH($B$53))/MAX(1,12*(YEAR($B$54)-YEAR($B$53))+MONTH($B$54)-MONTH($B$53)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*MIN(1,(12*(YEAR(I$3)-YEAR($B$53))+MONTH(I$3)-MONTH($B$53))/MAX(1,12*(YEAR($B$54)-YEAR($B$53))+MONTH($B$54)-MONTH($B$53)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*MIN(1,(12*(YEAR(J$3)-YEAR($B$53))+MONTH(J$3)-MONTH($B$53))/MAX(1,12*(YEAR($B$54)-YEAR($B$53))+MONTH($B$54)-MONTH($B$53)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*MIN(1,(12*(YEAR(K$3)-YEAR($B$53))+MONTH(K$3)-MONTH($B$53))/MAX(1,12*(YEAR($B$54)-YEAR($B$53))+MONTH($B$54)-MONTH($B$53)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*MIN(1,(12*(YEAR(L$3)-YEAR($B$53))+MONTH(L$3)-MONTH($B$53))/MAX(1,12*(YEAR($B$54)-YEAR($B$53))+MONTH($B$54)-MONTH($B$53)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*MIN(1,(12*(YEAR(M$3)-YEAR($B$53))+MONTH(M$3)-MONTH($B$53))/MAX(1,12*(YEAR($B$54)-YEAR($B$53))+MONTH($B$54)-MONTH($B$53)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*MIN(1,(12*(YEAR(N$3)-YEAR($B$53))+MONTH(N$3)-MONTH($B$53))/MAX(1,12*(YEAR($B$54)-YEAR($B$53))+MONTH($B$54)-MONTH($B$53)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*MIN(1,(12*(YEAR(O$3)-YEAR($B$53))+MONTH(O$3)-MONTH($B$53))/MAX(1,12*(YEAR($B$54)-YEAR($B$53))+MONTH($B$54)-MONTH($B$53)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*MIN(1,(12*(YEAR(P$3)-YEAR($B$53))+MONTH(P$3)-MONTH($B$53))/MAX(1,12*(YEAR($B$54)-YEAR($B$53))+MONTH($B$54)-MONTH($B$53)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*MIN(1,(12*(YEAR(Q$3)-YEAR($B$53))+MONTH(Q$3)-MONTH($B$53))/MAX(1,12*(YEAR($B$54)-YEAR($B$53))+MONTH($B$54)-MONTH($B$53)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*MIN(1,(12*(YEAR(R$3)-YEAR($B$53))+MONTH(R$3)-MONTH($B$53))/MAX(1,12*(YEAR($B$54)-YEAR($B$53))+MONTH($B$54)-MONTH($B$53)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*MIN(1,(12*(YEAR(S$3)-YEAR($B$53))+MONTH(S$3)-MONTH($B$53))/MAX(1,12*(YEAR($B$54)-YEAR($B$53))+MONTH($B$54)-MONTH($B$53)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*MIN(1,(12*(YEAR(T$3)-YEAR($B$53))+MONTH(T$3)-MONTH($B$53))/MAX(1,12*(YEAR($B$54)-YEAR($B$53))+MONTH($B$54)-MONTH($B$53)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*MIN(1,(12*(YEAR(U$3)-YEAR($B$53))+MONTH(U$3)-MONTH($B$53))/MAX(1,12*(YEAR($B$54)-YEAR($B$53))+MONTH($B$54)-MONTH($B$53)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*MIN(1,(12*(YEAR(V$3)-YEAR($B$53))+MONTH(V$3)-MONTH($B$53))/MAX(1,12*(YEAR($B$54)-YEAR($B$53))+MONTH($B$54)-MONTH($B$53)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*MIN(1,(12*(YEAR(W$3)-YEAR($B$53))+MONTH(W$3)-MONTH($B$53))/MAX(1,12*(YEAR($B$54)-YEAR($B$53))+MONTH($B$54)-MONTH($B$53)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*MIN(1,(12*(YEAR(X$3)-YEAR($B$53))+MONTH(X$3)-MONTH($B$53))/MAX(1,12*(YEAR($B$54)-YEAR($B$53))+MONTH($B$54)-MONTH($B$53)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*MIN(1,(12*(YEAR(Y$3)-YEAR($B$53))+MONTH(Y$3)-MONTH($B$53))/MAX(1,12*(YEAR($B$54)-YEAR($B$53))+MONTH($B$54)-MONTH($B$53)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*MIN(1,(12*(YEAR(Z$3)-YEAR($B$53))+MONTH(Z$3)-MONTH($B$53))/MAX(1,12*(YEAR($B$54)-YEAR($B$53))+MONTH($B$54)-MONTH($B$53)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*MIN(1,(12*(YEAR(AA$3)-YEAR($B$53))+MONTH(AA$3)-MONTH($B$53))/MAX(1,12*(YEAR($B$54)-YEAR($B$53))+MONTH($B$54)-MONTH($B$53)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*MIN(1,(12*(YEAR(AB$3)-YEAR($B$53))+MONTH(AB$3)-MONTH($B$53))/MAX(1,12*(YEAR($B$54)-YEAR($B$53))+MONTH($B$54)-MONTH($B$53)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*MIN(1,(12*(YEAR(AC$3)-YEAR($B$53))+MONTH(AC$3)-MONTH($B$53))/MAX(1,12*(YEAR($B$54)-YEAR($B$53))+MONTH($B$54)-MONTH($B$53)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*MIN(1,(12*(YEAR(AD$3)-YEAR($B$53))+MONTH(AD$3)-MONTH($B$53))/MAX(1,12*(YEAR($B$54)-YEAR($B$53))+MONTH($B$54)-MONTH($B$53)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*MIN(1,(12*(YEAR(AE$3)-YEAR($B$53))+MONTH(AE$3)-MONTH($B$53))/MAX(1,12*(YEAR($B$54)-YEAR($B$53))+MONTH($B$54)-MONTH($B$53)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*MIN(1,(12*(YEAR(AF$3)-YEAR($B$53))+MONTH(AF$3)-MONTH($B$53))/MAX(1,12*(YEAR($B$54)-YEAR($B$53))+MONTH($B$54)-MONTH($B$53)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*MIN(1,(12*(YEAR(AG$3)-YEAR($B$53))+MONTH(AG$3)-MONTH($B$53))/MAX(1,12*(YEAR($B$54)-YEAR($B$53))+MONTH($B$54)-MONTH($B$53)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*MIN(1,(12*(YEAR(AH$3)-YEAR($B$53))+MONTH(AH$3)-MONTH($B$53))/MAX(1,12*(YEAR($B$54)-YEAR($B$53))+MONTH($B$54)-MONTH($B$53)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*MIN(1,(12*(YEAR(AI$3)-YEAR($B$53))+MONTH(AI$3)-MONTH($B$53))/MAX(1,12*(YEAR($B$54)-YEAR($B$53))+MONTH($B$54)-MONTH($B$53)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*MIN(1,(12*(YEAR(AJ$3)-YEAR($B$53))+MONTH(AJ$3)-MONTH($B$53))/MAX(1,12*(YEAR($B$54)-YEAR($B$53))+MONTH($B$54)-MONTH($B$53)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*MIN(1,(12*(YEAR(AK$3)-YEAR($B$53))+MONTH(AK$3)-MONTH($B$53))/MAX(1,12*(YEAR($B$54)-YEAR($B$53))+MONTH($B$54)-MONTH($B$53)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*MIN(1,(12*(YEAR(AL$3)-YEAR($B$53))+MONTH(AL$3)-MONTH($B$53))/MAX(1,12*(YEAR($B$54)-YEAR($B$53))+MONTH($B$54)-MONTH($B$53)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*MIN(1,(12*(YEAR(AM$3)-YEAR($B$53))+MONTH(AM$3)-MONTH($B$53))/MAX(1,12*(YEAR($B$54)-YEAR($B$53))+MONTH($B$54)-MONTH($B$53)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*MIN(1,(12*(YEAR(AN$3)-YEAR($B$53))+MONTH(AN$3)-MONTH($B$53))/MAX(1,12*(YEAR($B$54)-YEAR($B$53))+MONTH($B$54)-MONTH($B$53)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*MIN(1,(12*(YEAR(AO$3)-YEAR($B$53))+MONTH(AO$3)-MONTH($B$53))/MAX(1,12*(YEAR($B$54)-YEAR($B$53))+MONTH($B$54)-MONTH($B$53)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*MIN(1,(12*(YEAR(AP$3)-YEAR($B$53))+MONTH(AP$3)-MONTH($B$53))/MAX(1,12*(YEAR($B$54)-YEAR($B$53))+MONTH($B$54)-MONTH($B$53)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*MIN(1,(12*(YEAR(AQ$3)-YEAR($B$53))+MONTH(AQ$3)-MONTH($B$53))/MAX(1,12*(YEAR($B$54)-YEAR($B$53))+MONTH($B$54)-MONTH($B$53)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*MIN(1,(12*(YEAR(AR$3)-YEAR($B$53))+MONTH(AR$3)-MONTH($B$53))/MAX(1,12*(YEAR($B$54)-YEAR($B$53))+MONTH($B$54)-MONTH($B$53)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*MIN(1,(12*(YEAR(AS$3)-YEAR($B$53))+MONTH(AS$3)-MONTH($B$53))/MAX(1,12*(YEAR($B$54)-YEAR($B$53))+MONTH($B$54)-MONTH($B$53)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*MIN(1,(12*(YEAR(AT$3)-YEAR($B$53))+MONTH(AT$3)-MONTH($B$53))/MAX(1,12*(YEAR($B$54)-YEAR($B$53))+MONTH($B$54)-MONTH($B$53)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*MIN(1,(12*(YEAR(AU$3)-YEAR($B$53))+MONTH(AU$3)-MONTH($B$53))/MAX(1,12*(YEAR($B$54)-YEAR($B$53))+MONTH($B$54)-MONTH($B$53)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*MIN(1,(12*(YEAR(AV$3)-YEAR($B$53))+MONTH(AV$3)-MONTH($B$53))/MAX(1,12*(YEAR($B$54)-YEAR($B$53))+MONTH($B$54)-MONTH($B$53)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*MIN(1,(12*(YEAR(AW$3)-YEAR($B$53))+MONTH(AW$3)-MONTH($B$53))/MAX(1,12*(YEAR($B$54)-YEAR($B$53))+MONTH($B$54)-MONTH($B$53)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*MIN(1,(12*(YEAR(AX$3)-YEAR($B$53))+MONTH(AX$3)-MONTH($B$53))/MAX(1,12*(YEAR($B$54)-YEAR($B$53))+MONTH($B$54)-MONTH($B$53)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*MIN(1,(12*(YEAR(AY$3)-YEAR($B$53))+MONTH(AY$3)-MONTH($B$53))/MAX(1,12*(YEAR($B$54)-YEAR($B$53))+MONTH($B$54)-MONTH($B$53)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*MIN(1,(12*(YEAR(AZ$3)-YEAR($B$53))+MONTH(AZ$3)-MONTH($B$53))/MAX(1,12*(YEAR($B$54)-YEAR($B$53))+MONTH($B$54)-MONTH($B$53)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*MIN(1,(12*(YEAR(BA$3)-YEAR($B$53))+MONTH(BA$3)-MONTH($B$53))/MAX(1,12*(YEAR($B$54)-YEAR($B$53))+MONTH($B$54)-MONTH($B$53)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*MIN(1,(12*(YEAR(BB$3)-YEAR($B$53))+MONTH(BB$3)-MONTH($B$53))/MAX(1,12*(YEAR($B$54)-YEAR($B$53))+MONTH($B$54)-MONTH($B$53)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*MIN(1,(12*(YEAR(BC$3)-YEAR($B$53))+MONTH(BC$3)-MONTH($B$53))/MAX(1,12*(YEAR($B$54)-YEAR($B$53))+MONTH($B$54)-MONTH($B$53)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*MIN(1,(12*(YEAR(BD$3)-YEAR($B$53))+MONTH(BD$3)-MONTH($B$53))/MAX(1,12*(YEAR($B$54)-YEAR($B$53))+MONTH($B$54)-MONTH($B$53)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*MIN(1,(12*(YEAR(BE$3)-YEAR($B$53))+MONTH(BE$3)-MONTH($B$53))/MAX(1,12*(YEAR($B$54)-YEAR($B$53))+MONTH($B$54)-MONTH($B$53)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*MIN(1,(12*(YEAR(BF$3)-YEAR($B$53))+MONTH(BF$3)-MONTH($B$53))/MAX(1,12*(YEAR($B$54)-YEAR($B$53))+MONTH($B$54)-MONTH($B$53)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*MIN(1,(12*(YEAR(BG$3)-YEAR($B$53))+MONTH(BG$3)-MONTH($B$53))/MAX(1,12*(YEAR($B$54)-YEAR($B$53))+MONTH($B$54)-MONTH($B$53)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*MIN(1,(12*(YEAR(BH$3)-YEAR($B$53))+MONTH(BH$3)-MONTH($B$53))/MAX(1,12*(YEAR($B$54)-YEAR($B$53))+MONTH($B$54)-MONTH($B$53)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*MIN(1,(12*(YEAR(BI$3)-YEAR($B$53))+MONTH(BI$3)-MONTH($B$53))/MAX(1,12*(YEAR($B$54)-YEAR($B$53))+MONTH($B$54)-MONTH($B$53)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*MIN(1,(12*(YEAR(BJ$3)-YEAR($B$53))+MONTH(BJ$3)-MONTH($B$53))/MAX(1,12*(YEAR($B$54)-YEAR($B$53))+MONTH($B$54)-MONTH($B$53)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*MIN(1,(12*(YEAR(BK$3)-YEAR($B$53))+MONTH(BK$3)-MONTH($B$53))/MAX(1,12*(YEAR($B$54)-YEAR($B$53))+MONTH($B$54)-MONTH($B$53)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*MIN(1,(12*(YEAR(BL$3)-YEAR($B$53))+MONTH(BL$3)-MONTH($B$53))/MAX(1,12*(YEAR($B$54)-YEAR($B$53))+MONTH($B$54)-MONTH($B$53)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*MIN(1,(12*(YEAR(BM$3)-YEAR($B$53))+MONTH(BM$3)-MONTH($B$53))/MAX(1,12*(YEAR($B$54)-YEAR($B$53))+MONTH($B$54)-MONTH($B$53)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*MIN(1,(12*(YEAR(BN$3)-YEAR($B$53))+MONTH(BN$3)-MONTH($B$53))/MAX(1,12*(YEAR($B$54)-YEAR($B$53))+MONTH($B$54)-MONTH($B$53)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*MIN(1,(12*(YEAR(BO$3)-YEAR($B$53))+MONTH(BO$3)-MONTH($B$53))/MAX(1,12*(YEAR($B$54)-YEAR($B$53))+MONTH($B$54)-MONTH($B$53)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*MIN(1,(12*(YEAR(BP$3)-YEAR($B$53))+MONTH(BP$3)-MONTH($B$53))/MAX(1,12*(YEAR($B$54)-YEAR($B$53))+MONTH($B$54)-MONTH($B$53)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*MIN(1,(12*(YEAR(BQ$3)-YEAR($B$53))+MONTH(BQ$3)-MONTH($B$53))/MAX(1,12*(YEAR($B$54)-YEAR($B$53))+MONTH($B$54)-MONTH($B$53)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*MIN(1,(12*(YEAR(BR$3)-YEAR($B$53))+MONTH(BR$3)-MONTH($B$53))/MAX(1,12*(YEAR($B$54)-YEAR($B$53))+MONTH($B$54)-MONTH($B$53)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*MIN(1,(12*(YEAR(BS$3)-YEAR($B$53))+MONTH(BS$3)-MONTH($B$53))/MAX(1,12*(YEAR($B$54)-YEAR($B$53))+MONTH($B$54)-MONTH($B$53)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*MIN(1,(12*(YEAR(BT$3)-YEAR($B$53))+MONTH(BT$3)-MONTH($B$53))/MAX(1,12*(YEAR($B$54)-YEAR($B$53))+MONTH($B$54)-MONTH($B$53)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*MIN(1,(12*(YEAR(BU$3)-YEAR($B$53))+MONTH(BU$3)-MONTH($B$53))/MAX(1,12*(YEAR($B$54)-YEAR($B$53))+MONTH($B$54)-MONTH($B$53)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*MIN(1,(12*(YEAR(BV$3)-YEAR($B$53))+MONTH(BV$3)-MONTH($B$53))/MAX(1,12*(YEAR($B$54)-YEAR($B$53))+MONTH($B$54)-MONTH($B$53)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*MIN(1,(12*(YEAR(BW$3)-YEAR($B$53))+MONTH(BW$3)-MONTH($B$53))/MAX(1,12*(YEAR($B$54)-YEAR($B$53))+MONTH($B$54)-MONTH($B$53)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*MIN(1,(12*(YEAR(BX$3)-YEAR($B$53))+MONTH(BX$3)-MONTH($B$53))/MAX(1,12*(YEAR($B$54)-YEAR($B$53))+MONTH($B$54)-MONTH($B$53)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*MIN(1,(12*(YEAR(BY$3)-YEAR($B$53))+MONTH(BY$3)-MONTH($B$53))/MAX(1,12*(YEAR($B$54)-YEAR($B$53))+MONTH($B$54)-MONTH($B$53)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*MIN(1,(12*(YEAR(BZ$3)-YEAR($B$53))+MONTH(BZ$3)-MONTH($B$53))/MAX(1,12*(YEAR($B$54)-YEAR($B$53))+MONTH($B$54)-MONTH($B$53)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*MIN(1,(12*(YEAR(CA$3)-YEAR($B$53))+MONTH(CA$3)-MONTH($B$53))/MAX(1,12*(YEAR($B$54)-YEAR($B$53))+MONTH($B$54)-MONTH($B$53)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*MIN(1,(12*(YEAR(CB$3)-YEAR($B$53))+MONTH(CB$3)-MONTH($B$53))/MAX(1,12*(YEAR($B$54)-YEAR($B$53))+MONTH($B$54)-MONTH($B$53)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*MIN(1,(12*(YEAR(CC$3)-YEAR($B$53))+MONTH(CC$3)-MONTH($B$53))/MAX(1,12*(YEAR($B$54)-YEAR($B$53))+MONTH($B$54)-MONTH($B$53)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*MIN(1,(12*(YEAR(CD$3)-YEAR($B$53))+MONTH(CD$3)-MONTH($B$53))/MAX(1,12*(YEAR($B$54)-YEAR($B$53))+MONTH($B$54)-MONTH($B$53)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*MIN(1,(12*(YEAR(CE$3)-YEAR($B$53))+MONTH(CE$3)-MONTH($B$53))/MAX(1,12*(YEAR($B$54)-YEAR($B$53))+MONTH($B$54)-MONTH($B$53)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*MIN(1,(12*(YEAR(CF$3)-YEAR($B$53))+MONTH(CF$3)-MONTH($B$53))/MAX(1,12*(YEAR($B$54)-YEAR($B$53))+MONTH($B$54)-MONTH($B$53)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*MIN(1,(12*(YEAR(CG$3)-YEAR($B$53))+MONTH(CG$3)-MONTH($B$53))/MAX(1,12*(YEAR($B$54)-YEAR($B$53))+MONTH($B$54)-MONTH($B$53)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*MIN(1,(12*(YEAR(CH$3)-YEAR($B$53))+MONTH(CH$3)-MONTH($B$53))/MAX(1,12*(YEAR($B$54)-YEAR($B$53))+MONTH($B$54)-MONTH($B$53)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*MIN(1,(12*(YEAR(CI$3)-YEAR($B$53))+MONTH(CI$3)-MONTH($B$53))/MAX(1,12*(YEAR($B$54)-YEAR($B$53))+MONTH($B$54)-MONTH($B$53)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*MIN(1,(12*(YEAR(CJ$3)-YEAR($B$53))+MONTH(CJ$3)-MONTH($B$53))/MAX(1,12*(YEAR($B$54)-YEAR($B$53))+MONTH($B$54)-MONTH($B$53)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*MIN(1,(12*(YEAR(CK$3)-YEAR($B$53))+MONTH(CK$3)-MONTH($B$53))/MAX(1,12*(YEAR($B$54)-YEAR($B$53))+MONTH($B$54)-MONTH($B$53)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*MIN(1,(12*(YEAR(CL$3)-YEAR($B$53))+MONTH(CL$3)-MONTH($B$53))/MAX(1,12*(YEAR($B$54)-YEAR($B$53))+MONTH($B$54)-MONTH($B$53)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*MIN(1,(12*(YEAR(CM$3)-YEAR($B$53))+MONTH(CM$3)-MONTH($B$53))/MAX(1,12*(YEAR($B$54)-YEAR($B$53))+MONTH($B$54)-MONTH($B$53)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*MIN(1,(12*(YEAR(CN$3)-YEAR($B$53))+MONTH(CN$3)-MONTH($B$53))/MAX(1,12*(YEAR($B$54)-YEAR($B$53))+MONTH($B$54)-MONTH($B$53)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*MIN(1,(12*(YEAR(CO$3)-YEAR($B$53))+MONTH(CO$3)-MONTH($B$53))/MAX(1,12*(YEAR($B$54)-YEAR($B$53))+MONTH($B$54)-MONTH($B$53)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*MIN(1,(12*(YEAR(CP$3)-YEAR($B$53))+MONTH(CP$3)-MONTH($B$53))/MAX(1,12*(YEAR($B$54)-YEAR($B$53))+MONTH($B$54)-MONTH($B$53)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*MIN(1,(12*(YEAR(CQ$3)-YEAR($B$53))+MONTH(CQ$3)-MONTH($B$53))/MAX(1,12*(YEAR($B$54)-YEAR($B$53))+MONTH($B$54)-MONTH($B$53)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*MIN(1,(12*(YEAR(CR$3)-YEAR($B$53))+MONTH(CR$3)-MONTH($B$53))/MAX(1,12*(YEAR($B$54)-YEAR($B$53))+MONTH($B$54)-MONTH($B$53)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*MIN(1,(12*(YEAR(CS$3)-YEAR($B$53))+MONTH(CS$3)-MONTH($B$53))/MAX(1,12*(YEAR($B$54)-YEAR($B$53))+MONTH($B$54)-MONTH($B$53)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*MIN(1,(12*(YEAR(CT$3)-YEAR($B$53))+MONTH(CT$3)-MONTH($B$53))/MAX(1,12*(YEAR($B$54)-YEAR($B$53))+MONTH($B$54)-MONTH($B$53)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*MIN(1,(12*(YEAR(CU$3)-YEAR($B$53))+MONTH(CU$3)-MONTH($B$53))/MAX(1,12*(YEAR($B$54)-YEAR($B$53))+MONTH($B$54)-MONTH($B$53)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*MIN(1,(12*(YEAR(CV$3)-YEAR($B$53))+MONTH(CV$3)-MONTH($B$53))/MAX(1,12*(YEAR($B$54)-YEAR($B$53))+MONTH($B$54)-MONTH($B$53)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*MIN(1,(12*(YEAR(CW$3)-YEAR($B$53))+MONTH(CW$3)-MONTH($B$53))/MAX(1,12*(YEAR($B$54)-YEAR($B$53))+MONTH($B$54)-MONTH($B$53)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*MIN(1,(12*(YEAR(CX$3)-YEAR($B$53))+MONTH(CX$3)-MONTH($B$53))/MAX(1,12*(YEAR($B$54)-YEAR($B$53))+MONTH($B$54)-MONTH($B$53)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*MIN(1,(12*(YEAR(CY$3)-YEAR($B$53))+MONTH(CY$3)-MONTH($B$53))/MAX(1,12*(YEAR($B$54)-YEAR($B$53))+MONTH($B$54)-MONTH($B$53)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*MIN(1,(12*(YEAR(CZ$3)-YEAR($B$53))+MONTH(CZ$3)-MONTH($B$53))/MAX(1,12*(YEAR($B$54)-YEAR($B$53))+MONTH($B$54)-MONTH($B$53)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*MIN(1,(12*(YEAR(DA$3)-YEAR($B$53))+MONTH(DA$3)-MONTH($B$53))/MAX(1,12*(YEAR($B$54)-YEAR($B$53))+MONTH($B$54)-MONTH($B$53)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*MIN(1,(12*(YEAR(DB$3)-YEAR($B$53))+MONTH(DB$3)-MONTH($B$53))/MAX(1,12*(YEAR($B$54)-YEAR($B$53))+MONTH($B$54)-MONTH($B$53)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*MIN(1,(12*(YEAR(DC$3)-YEAR($B$53))+MONTH(DC$3)-MONTH($B$53))/MAX(1,12*(YEAR($B$54)-YEAR($B$53))+MONTH($B$54)-MONTH($B$53)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*MIN(1,(12*(YEAR(DD$3)-YEAR($B$53))+MONTH(DD$3)-MONTH($B$53))/MAX(1,12*(YEAR($B$54)-YEAR($B$53))+MONTH($B$54)-MONTH($B$53)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*MIN(1,(12*(YEAR(DE$3)-YEAR($B$53))+MONTH(DE$3)-MONTH($B$53))/MAX(1,12*(YEAR($B$54)-YEAR($B$53))+MONTH($B$54)-MONTH($B$53)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*MIN(1,(12*(YEAR(DF$3)-YEAR($B$53))+MONTH(DF$3)-MONTH($B$53))/MAX(1,12*(YEAR($B$54)-YEAR($B$53))+MONTH($B$54)-MONTH($B$53)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*MIN(1,(12*(YEAR(DG$3)-YEAR($B$53))+MONTH(DG$3)-MONTH($B$53))/MAX(1,12*(YEAR($B$54)-YEAR($B$53))+MONTH($B$54)-MONTH($B$53)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*MIN(1,(12*(YEAR(DH$3)-YEAR($B$53))+MONTH(DH$3)-MONTH($B$53))/MAX(1,12*(YEAR($B$54)-YEAR($B$53))+MONTH($B$54)-MONTH($B$53)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*MIN(1,(12*(YEAR(DI$3)-YEAR($B$53))+MONTH(DI$3)-MONTH($B$53))/MAX(1,12*(YEAR($B$54)-YEAR($B$53))+MONTH($B$54)-MONTH($B$53)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*MIN(1,(12*(YEAR(DJ$3)-YEAR($B$53))+MONTH(DJ$3)-MONTH($B$53))/MAX(1,12*(YEAR($B$54)-YEAR($B$53))+MONTH($B$54)-MONTH($B$53)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*MIN(1,(12*(YEAR(DK$3)-YEAR($B$53))+MONTH(DK$3)-MONTH($B$53))/MAX(1,12*(YEAR($B$54)-YEAR($B$53))+MONTH($B$54)-MONTH($B$53)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*MIN(1,(12*(YEAR(DL$3)-YEAR($B$53))+MONTH(DL$3)-MONTH($B$53))/MAX(1,12*(YEAR($B$54)-YEAR($B$53))+MONTH($B$54)-MONTH($B$53)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*MIN(1,(12*(YEAR(DM$3)-YEAR($B$53))+MONTH(DM$3)-MONTH($B$53))/MAX(1,12*(YEAR($B$54)-YEAR($B$53))+MONTH($B$54)-MONTH($B$53)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*MIN(1,(12*(YEAR(DN$3)-YEAR($B$53))+MONTH(DN$3)-MONTH($B$53))/MAX(1,12*(YEAR($B$54)-YEAR($B$53))+MONTH($B$54)-MONTH($B$53)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*MIN(1,(12*(YEAR(DO$3)-YEAR($B$53))+MONTH(DO$3)-MONTH($B$53))/MAX(1,12*(YEAR($B$54)-YEAR($B$53))+MONTH($B$54)-MONTH($B$53)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*MIN(1,(12*(YEAR(DP$3)-YEAR($B$53))+MONTH(DP$3)-MONTH($B$53))/MAX(1,12*(YEAR($B$54)-YEAR($B$53))+MONTH($B$54)-MONTH($B$53)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*MIN(1,(12*(YEAR(DQ$3)-YEAR($B$53))+MONTH(DQ$3)-MONTH($B$53))/MAX(1,12*(YEAR($B$54)-YEAR($B$53))+MONTH($B$54)-MONTH($B$53)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*MIN(1,(12*(YEAR(DR$3)-YEAR($B$53))+MONTH(DR$3)-MONTH($B$53))/MAX(1,12*(YEAR($B$54)-YEAR($B$53))+MONTH($B$54)-MONTH($B$53)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*MIN(1,(12*(YEAR(DS$3)-YEAR($B$53))+MONTH(DS$3)-MONTH($B$53))/MAX(1,12*(YEAR($B$54)-YEAR($B$53))+MONTH($B$54)-MONTH($B$53)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*MIN(1,(12*(YEAR(D$3)-YEAR($B$76))+MONTH(D$3)-MONTH($B$76))/MAX(1,12*(YEAR($B$77)-YEAR($B$76))+MONTH($B$77)-MONTH($B$76)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*MIN(1,(12*(YEAR(E$3)-YEAR($B$76))+MONTH(E$3)-MONTH($B$76))/MAX(1,12*(YEAR($B$77)-YEAR($B$76))+MONTH($B$77)-MONTH($B$76)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*MIN(1,(12*(YEAR(F$3)-YEAR($B$76))+MONTH(F$3)-MONTH($B$76))/MAX(1,12*(YEAR($B$77)-YEAR($B$76))+MONTH($B$77)-MONTH($B$76)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*MIN(1,(12*(YEAR(G$3)-YEAR($B$76))+MONTH(G$3)-MONTH($B$76))/MAX(1,12*(YEAR($B$77)-YEAR($B$76))+MONTH($B$77)-MONTH($B$76)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*MIN(1,(12*(YEAR(H$3)-YEAR($B$76))+MONTH(H$3)-MONTH($B$76))/MAX(1,12*(YEAR($B$77)-YEAR($B$76))+MONTH($B$77)-MONTH($B$76)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*MIN(1,(12*(YEAR(I$3)-YEAR($B$76))+MONTH(I$3)-MONTH($B$76))/MAX(1,12*(YEAR($B$77)-YEAR($B$76))+MONTH($B$77)-MONTH($B$76)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*MIN(1,(12*(YEAR(J$3)-YEAR($B$76))+MONTH(J$3)-MONTH($B$76))/MAX(1,12*(YEAR($B$77)-YEAR($B$76))+MONTH($B$77)-MONTH($B$76)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*MIN(1,(12*(YEAR(K$3)-YEAR($B$76))+MONTH(K$3)-MONTH($B$76))/MAX(1,12*(YEAR($B$77)-YEAR($B$76))+MONTH($B$77)-MONTH($B$76)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*MIN(1,(12*(YEAR(L$3)-YEAR($B$76))+MONTH(L$3)-MONTH($B$76))/MAX(1,12*(YEAR($B$77)-YEAR($B$76))+MONTH($B$77)-MONTH($B$76)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*MIN(1,(12*(YEAR(M$3)-YEAR($B$76))+MONTH(M$3)-MONTH($B$76))/MAX(1,12*(YEAR($B$77)-YEAR($B$76))+MONTH($B$77)-MONTH($B$76)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*MIN(1,(12*(YEAR(N$3)-YEAR($B$76))+MONTH(N$3)-MONTH($B$76))/MAX(1,12*(YEAR($B$77)-YEAR($B$76))+MONTH($B$77)-MONTH($B$76)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*MIN(1,(12*(YEAR(O$3)-YEAR($B$76))+MONTH(O$3)-MONTH($B$76))/MAX(1,12*(YEAR($B$77)-YEAR($B$76))+MONTH($B$77)-MONTH($B$76)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*MIN(1,(12*(YEAR(P$3)-YEAR($B$76))+MONTH(P$3)-MONTH($B$76))/MAX(1,12*(YEAR($B$77)-YEAR($B$76))+MONTH($B$77)-MONTH($B$76)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*MIN(1,(12*(YEAR(Q$3)-YEAR($B$76))+MONTH(Q$3)-MONTH($B$76))/MAX(1,12*(YEAR($B$77)-YEAR($B$76))+MONTH($B$77)-MONTH($B$76)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*MIN(1,(12*(YEAR(R$3)-YEAR($B$76))+MONTH(R$3)-MONTH($B$76))/MAX(1,12*(YEAR($B$77)-YEAR($B$76))+MONTH($B$77)-MONTH($B$76)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*MIN(1,(12*(YEAR(S$3)-YEAR($B$76))+MONTH(S$3)-MONTH($B$76))/MAX(1,12*(YEAR($B$77)-YEAR($B$76))+MONTH($B$77)-MONTH($B$76)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*MIN(1,(12*(YEAR(T$3)-YEAR($B$76))+MONTH(T$3)-MONTH($B$76))/MAX(1,12*(YEAR($B$77)-YEAR($B$76))+MONTH($B$77)-MONTH($B$76)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*MIN(1,(12*(YEAR(U$3)-YEAR($B$76))+MONTH(U$3)-MONTH($B$76))/MAX(1,12*(YEAR($B$77)-YEAR($B$76))+MONTH($B$77)-MONTH($B$76)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*MIN(1,(12*(YEAR(V$3)-YEAR($B$76))+MONTH(V$3)-MONTH($B$76))/MAX(1,12*(YEAR($B$77)-YEAR($B$76))+MONTH($B$77)-MONTH($B$76)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*MIN(1,(12*(YEAR(W$3)-YEAR($B$76))+MONTH(W$3)-MONTH($B$76))/MAX(1,12*(YEAR($B$77)-YEAR($B$76))+MONTH($B$77)-MONTH($B$76)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*MIN(1,(12*(YEAR(X$3)-YEAR($B$76))+MONTH(X$3)-MONTH($B$76))/MAX(1,12*(YEAR($B$77)-YEAR($B$76))+MONTH($B$77)-MONTH($B$76)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*MIN(1,(12*(YEAR(Y$3)-YEAR($B$76))+MONTH(Y$3)-MONTH($B$76))/MAX(1,12*(YEAR($B$77)-YEAR($B$76))+MONTH($B$77)-MONTH($B$76)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*MIN(1,(12*(YEAR(Z$3)-YEAR($B$76))+MONTH(Z$3)-MONTH($B$76))/MAX(1,12*(YEAR($B$77)-YEAR($B$76))+MONTH($B$77)-MONTH($B$76)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*MIN(1,(12*(YEAR(AA$3)-YEAR($B$76))+MONTH(AA$3)-MONTH($B$76))/MAX(1,12*(YEAR($B$77)-YEAR($B$76))+MONTH($B$77)-MONTH($B$76)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*MIN(1,(12*(YEAR(AB$3)-YEAR($B$76))+MONTH(AB$3)-MONTH($B$76))/MAX(1,12*(YEAR($B$77)-YEAR($B$76))+MONTH($B$77)-MONTH($B$76)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*MIN(1,(12*(YEAR(AC$3)-YEAR($B$76))+MONTH(AC$3)-MONTH($B$76))/MAX(1,12*(YEAR($B$77)-YEAR($B$76))+MONTH($B$77)-MONTH($B$76)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*MIN(1,(12*(YEAR(AD$3)-YEAR($B$76))+MONTH(AD$3)-MONTH($B$76))/MAX(1,12*(YEAR($B$77)-YEAR($B$76))+MONTH($B$77)-MONTH($B$76)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*MIN(1,(12*(YEAR(AE$3)-YEAR($B$76))+MONTH(AE$3)-MONTH($B$76))/MAX(1,12*(YEAR($B$77)-YEAR($B$76))+MONTH($B$77)-MONTH($B$76)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*MIN(1,(12*(YEAR(AF$3)-YEAR($B$76))+MONTH(AF$3)-MONTH($B$76))/MAX(1,12*(YEAR($B$77)-YEAR($B$76))+MONTH($B$77)-MONTH($B$76)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*MIN(1,(12*(YEAR(AG$3)-YEAR($B$76))+MONTH(AG$3)-MONTH($B$76))/MAX(1,12*(YEAR($B$77)-YEAR($B$76))+MONTH($B$77)-MONTH($B$76)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*MIN(1,(12*(YEAR(AH$3)-YEAR($B$76))+MONTH(AH$3)-MONTH($B$76))/MAX(1,12*(YEAR($B$77)-YEAR($B$76))+MONTH($B$77)-MONTH($B$76)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*MIN(1,(12*(YEAR(AI$3)-YEAR($B$76))+MONTH(AI$3)-MONTH($B$76))/MAX(1,12*(YEAR($B$77)-YEAR($B$76))+MONTH($B$77)-MONTH($B$76)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*MIN(1,(12*(YEAR(AJ$3)-YEAR($B$76))+MONTH(AJ$3)-MONTH($B$76))/MAX(1,12*(YEAR($B$77)-YEAR($B$76))+MONTH($B$77)-MONTH($B$76)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*MIN(1,(12*(YEAR(AK$3)-YEAR($B$76))+MONTH(AK$3)-MONTH($B$76))/MAX(1,12*(YEAR($B$77)-YEAR($B$76))+MONTH($B$77)-MONTH($B$76)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*MIN(1,(12*(YEAR(AL$3)-YEAR($B$76))+MONTH(AL$3)-MONTH($B$76))/MAX(1,12*(YEAR($B$77)-YEAR($B$76))+MONTH($B$77)-MONTH($B$76)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*MIN(1,(12*(YEAR(AM$3)-YEAR($B$76))+MONTH(AM$3)-MONTH($B$76))/MAX(1,12*(YEAR($B$77)-YEAR($B$76))+MONTH($B$77)-MONTH($B$76)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*MIN(1,(12*(YEAR(AN$3)-YEAR($B$76))+MONTH(AN$3)-MONTH($B$76))/MAX(1,12*(YEAR($B$77)-YEAR($B$76))+MONTH($B$77)-MONTH($B$76)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*MIN(1,(12*(YEAR(AO$3)-YEAR($B$76))+MONTH(AO$3)-MONTH($B$76))/MAX(1,12*(YEAR($B$77)-YEAR($B$76))+MONTH($B$77)-MONTH($B$76)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*MIN(1,(12*(YEAR(AP$3)-YEAR($B$76))+MONTH(AP$3)-MONTH($B$76))/MAX(1,12*(YEAR($B$77)-YEAR($B$76))+MONTH($B$77)-MONTH($B$76)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*MIN(1,(12*(YEAR(AQ$3)-YEAR($B$76))+MONTH(AQ$3)-MONTH($B$76))/MAX(1,12*(YEAR($B$77)-YEAR($B$76))+MONTH($B$77)-MONTH($B$76)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*MIN(1,(12*(YEAR(AR$3)-YEAR($B$76))+MONTH(AR$3)-MONTH($B$76))/MAX(1,12*(YEAR($B$77)-YEAR($B$76))+MONTH($B$77)-MONTH($B$76)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*MIN(1,(12*(YEAR(AS$3)-YEAR($B$76))+MONTH(AS$3)-MONTH($B$76))/MAX(1,12*(YEAR($B$77)-YEAR($B$76))+MONTH($B$77)-MONTH($B$76)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*MIN(1,(12*(YEAR(AT$3)-YEAR($B$76))+MONTH(AT$3)-MONTH($B$76))/MAX(1,12*(YEAR($B$77)-YEAR($B$76))+MONTH($B$77)-MONTH($B$76)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*MIN(1,(12*(YEAR(AU$3)-YEAR($B$76))+MONTH(AU$3)-MONTH($B$76))/MAX(1,12*(YEAR($B$77)-YEAR($B$76))+MONTH($B$77)-MONTH($B$76)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*MIN(1,(12*(YEAR(AV$3)-YEAR($B$76))+MONTH(AV$3)-MONTH($B$76))/MAX(1,12*(YEAR($B$77)-YEAR($B$76))+MONTH($B$77)-MONTH($B$76)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*MIN(1,(12*(YEAR(AW$3)-YEAR($B$76))+MONTH(AW$3)-MONTH($B$76))/MAX(1,12*(YEAR($B$77)-YEAR($B$76))+MONTH($B$77)-MONTH($B$76)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*MIN(1,(12*(YEAR(AX$3)-YEAR($B$76))+MONTH(AX$3)-MONTH($B$76))/MAX(1,12*(YEAR($B$77)-YEAR($B$76))+MONTH($B$77)-MONTH($B$76)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*MIN(1,(12*(YEAR(AY$3)-YEAR($B$76))+MONTH(AY$3)-MONTH($B$76))/MAX(1,12*(YEAR($B$77)-YEAR($B$76))+MONTH($B$77)-MONTH($B$76)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*MIN(1,(12*(YEAR(AZ$3)-YEAR($B$76))+MONTH(AZ$3)-MONTH($B$76))/MAX(1,12*(YEAR($B$77)-YEAR($B$76))+MONTH($B$77)-MONTH($B$76)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*MIN(1,(12*(YEAR(BA$3)-YEAR($B$76))+MONTH(BA$3)-MONTH($B$76))/MAX(1,12*(YEAR($B$77)-YEAR($B$76))+MONTH($B$77)-MONTH($B$76)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*MIN(1,(12*(YEAR(BB$3)-YEAR($B$76))+MONTH(BB$3)-MONTH($B$76))/MAX(1,12*(YEAR($B$77)-YEAR($B$76))+MONTH($B$77)-MONTH($B$76)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*MIN(1,(12*(YEAR(BC$3)-YEAR($B$76))+MONTH(BC$3)-MONTH($B$76))/MAX(1,12*(YEAR($B$77)-YEAR($B$76))+MONTH($B$77)-MONTH($B$76)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*MIN(1,(12*(YEAR(BD$3)-YEAR($B$76))+MONTH(BD$3)-MONTH($B$76))/MAX(1,12*(YEAR($B$77)-YEAR($B$76))+MONTH($B$77)-MONTH($B$76)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*MIN(1,(12*(YEAR(BE$3)-YEAR($B$76))+MONTH(BE$3)-MONTH($B$76))/MAX(1,12*(YEAR($B$77)-YEAR($B$76))+MONTH($B$77)-MONTH($B$76)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*MIN(1,(12*(YEAR(BF$3)-YEAR($B$76))+MONTH(BF$3)-MONTH($B$76))/MAX(1,12*(YEAR($B$77)-YEAR($B$76))+MONTH($B$77)-MONTH($B$76)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*MIN(1,(12*(YEAR(BG$3)-YEAR($B$76))+MONTH(BG$3)-MONTH($B$76))/MAX(1,12*(YEAR($B$77)-YEAR($B$76))+MONTH($B$77)-MONTH($B$76)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*MIN(1,(12*(YEAR(BH$3)-YEAR($B$76))+MONTH(BH$3)-MONTH($B$76))/MAX(1,12*(YEAR($B$77)-YEAR($B$76))+MONTH($B$77)-MONTH($B$76)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*MIN(1,(12*(YEAR(BI$3)-YEAR($B$76))+MONTH(BI$3)-MONTH($B$76))/MAX(1,12*(YEAR($B$77)-YEAR($B$76))+MONTH($B$77)-MONTH($B$76)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*MIN(1,(12*(YEAR(BJ$3)-YEAR($B$76))+MONTH(BJ$3)-MONTH($B$76))/MAX(1,12*(YEAR($B$77)-YEAR($B$76))+MONTH($B$77)-MONTH($B$76)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*MIN(1,(12*(YEAR(BK$3)-YEAR($B$76))+MONTH(BK$3)-MONTH($B$76))/MAX(1,12*(YEAR($B$77)-YEAR($B$76))+MONTH($B$77)-MONTH($B$76)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*MIN(1,(12*(YEAR(BL$3)-YEAR($B$76))+MONTH(BL$3)-MONTH($B$76))/MAX(1,12*(YEAR($B$77)-YEAR($B$76))+MONTH($B$77)-MONTH($B$76)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*MIN(1,(12*(YEAR(BM$3)-YEAR($B$76))+MONTH(BM$3)-MONTH($B$76))/MAX(1,12*(YEAR($B$77)-YEAR($B$76))+MONTH($B$77)-MONTH($B$76)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*MIN(1,(12*(YEAR(BN$3)-YEAR($B$76))+MONTH(BN$3)-MONTH($B$76))/MAX(1,12*(YEAR($B$77)-YEAR($B$76))+MONTH($B$77)-MONTH($B$76)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*MIN(1,(12*(YEAR(BO$3)-YEAR($B$76))+MONTH(BO$3)-MONTH($B$76))/MAX(1,12*(YEAR($B$77)-YEAR($B$76))+MONTH($B$77)-MONTH($B$76)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*MIN(1,(12*(YEAR(BP$3)-YEAR($B$76))+MONTH(BP$3)-MONTH($B$76))/MAX(1,12*(YEAR($B$77)-YEAR($B$76))+MONTH($B$77)-MONTH($B$76)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*MIN(1,(12*(YEAR(BQ$3)-YEAR($B$76))+MONTH(BQ$3)-MONTH($B$76))/MAX(1,12*(YEAR($B$77)-YEAR($B$76))+MONTH($B$77)-MONTH($B$76)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*MIN(1,(12*(YEAR(BR$3)-YEAR($B$76))+MONTH(BR$3)-MONTH($B$76))/MAX(1,12*(YEAR($B$77)-YEAR($B$76))+MONTH($B$77)-MONTH($B$76)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*MIN(1,(12*(YEAR(BS$3)-YEAR($B$76))+MONTH(BS$3)-MONTH($B$76))/MAX(1,12*(YEAR($B$77)-YEAR($B$76))+MONTH($B$77)-MONTH($B$76)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*MIN(1,(12*(YEAR(BT$3)-YEAR($B$76))+MONTH(BT$3)-MONTH($B$76))/MAX(1,12*(YEAR($B$77)-YEAR($B$76))+MONTH($B$77)-MONTH($B$76)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*MIN(1,(12*(YEAR(BU$3)-YEAR($B$76))+MONTH(BU$3)-MONTH($B$76))/MAX(1,12*(YEAR($B$77)-YEAR($B$76))+MONTH($B$77)-MONTH($B$76)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*MIN(1,(12*(YEAR(BV$3)-YEAR($B$76))+MONTH(BV$3)-MONTH($B$76))/MAX(1,12*(YEAR($B$77)-YEAR($B$76))+MONTH($B$77)-MONTH($B$76)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*MIN(1,(12*(YEAR(BW$3)-YEAR($B$76))+MONTH(BW$3)-MONTH($B$76))/MAX(1,12*(YEAR($B$77)-YEAR($B$76))+MONTH($B$77)-MONTH($B$76)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*MIN(1,(12*(YEAR(BX$3)-YEAR($B$76))+MONTH(BX$3)-MONTH($B$76))/MAX(1,12*(YEAR($B$77)-YEAR($B$76))+MONTH($B$77)-MONTH($B$76)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*MIN(1,(12*(YEAR(BY$3)-YEAR($B$76))+MONTH(BY$3)-MONTH($B$76))/MAX(1,12*(YEAR($B$77)-YEAR($B$76))+MONTH($B$77)-MONTH($B$76)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*MIN(1,(12*(YEAR(BZ$3)-YEAR($B$76))+MONTH(BZ$3)-MONTH($B$76))/MAX(1,12*(YEAR($B$77)-YEAR($B$76))+MONTH($B$77)-MONTH($B$76)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*MIN(1,(12*(YEAR(CA$3)-YEAR($B$76))+MONTH(CA$3)-MONTH($B$76))/MAX(1,12*(YEAR($B$77)-YEAR($B$76))+MONTH($B$77)-MONTH($B$76)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*MIN(1,(12*(YEAR(CB$3)-YEAR($B$76))+MONTH(CB$3)-MONTH($B$76))/MAX(1,12*(YEAR($B$77)-YEAR($B$76))+MONTH($B$77)-MONTH($B$76)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*MIN(1,(12*(YEAR(CC$3)-YEAR($B$76))+MONTH(CC$3)-MONTH($B$76))/MAX(1,12*(YEAR($B$77)-YEAR($B$76))+MONTH($B$77)-MONTH($B$76)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*MIN(1,(12*(YEAR(CD$3)-YEAR($B$76))+MONTH(CD$3)-MONTH($B$76))/MAX(1,12*(YEAR($B$77)-YEAR($B$76))+MONTH($B$77)-MONTH($B$76)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*MIN(1,(12*(YEAR(CE$3)-YEAR($B$76))+MONTH(CE$3)-MONTH($B$76))/MAX(1,12*(YEAR($B$77)-YEAR($B$76))+MONTH($B$77)-MONTH($B$76)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*MIN(1,(12*(YEAR(CF$3)-YEAR($B$76))+MONTH(CF$3)-MONTH($B$76))/MAX(1,12*(YEAR($B$77)-YEAR($B$76))+MONTH($B$77)-MONTH($B$76)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*MIN(1,(12*(YEAR(CG$3)-YEAR($B$76))+MONTH(CG$3)-MONTH($B$76))/MAX(1,12*(YEAR($B$77)-YEAR($B$76))+MONTH($B$77)-MONTH($B$76)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*MIN(1,(12*(YEAR(CH$3)-YEAR($B$76))+MONTH(CH$3)-MONTH($B$76))/MAX(1,12*(YEAR($B$77)-YEAR($B$76))+MONTH($B$77)-MONTH($B$76)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*MIN(1,(12*(YEAR(CI$3)-YEAR($B$76))+MONTH(CI$3)-MONTH($B$76))/MAX(1,12*(YEAR($B$77)-YEAR($B$76))+MONTH($B$77)-MONTH($B$76)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*MIN(1,(12*(YEAR(CJ$3)-YEAR($B$76))+MONTH(CJ$3)-MONTH($B$76))/MAX(1,12*(YEAR($B$77)-YEAR($B$76))+MONTH($B$77)-MONTH($B$76)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*MIN(1,(12*(YEAR(CK$3)-YEAR($B$76))+MONTH(CK$3)-MONTH($B$76))/MAX(1,12*(YEAR($B$77)-YEAR($B$76))+MONTH($B$77)-MONTH($B$76)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*MIN(1,(12*(YEAR(CL$3)-YEAR($B$76))+MONTH(CL$3)-MONTH($B$76))/MAX(1,12*(YEAR($B$77)-YEAR($B$76))+MONTH($B$77)-MONTH($B$76)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*MIN(1,(12*(YEAR(CM$3)-YEAR($B$76))+MONTH(CM$3)-MONTH($B$76))/MAX(1,12*(YEAR($B$77)-YEAR($B$76))+MONTH($B$77)-MONTH($B$76)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*MIN(1,(12*(YEAR(CN$3)-YEAR($B$76))+MONTH(CN$3)-MONTH($B$76))/MAX(1,12*(YEAR($B$77)-YEAR($B$76))+MONTH($B$77)-MONTH($B$76)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*MIN(1,(12*(YEAR(CO$3)-YEAR($B$76))+MONTH(CO$3)-MONTH($B$76))/MAX(1,12*(YEAR($B$77)-YEAR($B$76))+MONTH($B$77)-MONTH($B$76)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*MIN(1,(12*(YEAR(CP$3)-YEAR($B$76))+MONTH(CP$3)-MONTH($B$76))/MAX(1,12*(YEAR($B$77)-YEAR($B$76))+MONTH($B$77)-MONTH($B$76)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*MIN(1,(12*(YEAR(CQ$3)-YEAR($B$76))+MONTH(CQ$3)-MONTH($B$76))/MAX(1,12*(YEAR($B$77)-YEAR($B$76))+MONTH($B$77)-MONTH($B$76)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*MIN(1,(12*(YEAR(CR$3)-YEAR($B$76))+MONTH(CR$3)-MONTH($B$76))/MAX(1,12*(YEAR($B$77)-YEAR($B$76))+MONTH($B$77)-MONTH($B$76)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*MIN(1,(12*(YEAR(CS$3)-YEAR($B$76))+MONTH(CS$3)-MONTH($B$76))/MAX(1,12*(YEAR($B$77)-YEAR($B$76))+MONTH($B$77)-MONTH($B$76)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*MIN(1,(12*(YEAR(CT$3)-YEAR($B$76))+MONTH(CT$3)-MONTH($B$76))/MAX(1,12*(YEAR($B$77)-YEAR($B$76))+MONTH($B$77)-MONTH($B$76)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*MIN(1,(12*(YEAR(CU$3)-YEAR($B$76))+MONTH(CU$3)-MONTH($B$76))/MAX(1,12*(YEAR($B$77)-YEAR($B$76))+MONTH($B$77)-MONTH($B$76)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*MIN(1,(12*(YEAR(CV$3)-YEAR($B$76))+MONTH(CV$3)-MONTH($B$76))/MAX(1,12*(YEAR($B$77)-YEAR($B$76))+MONTH($B$77)-MONTH($B$76)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*MIN(1,(12*(YEAR(CW$3)-YEAR($B$76))+MONTH(CW$3)-MONTH($B$76))/MAX(1,12*(YEAR($B$77)-YEAR($B$76))+MONTH($B$77)-MONTH($B$76)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*MIN(1,(12*(YEAR(CX$3)-YEAR($B$76))+MONTH(CX$3)-MONTH($B$76))/MAX(1,12*(YEAR($B$77)-YEAR($B$76))+MONTH($B$77)-MONTH($B$76)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*MIN(1,(12*(YEAR(CY$3)-YEAR($B$76))+MONTH(CY$3)-MONTH($B$76))/MAX(1,12*(YEAR($B$77)-YEAR($B$76))+MONTH($B$77)-MONTH($B$76)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*MIN(1,(12*(YEAR(CZ$3)-YEAR($B$76))+MONTH(CZ$3)-MONTH($B$76))/MAX(1,12*(YEAR($B$77)-YEAR($B$76))+MONTH($B$77)-MONTH($B$76)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*MIN(1,(12*(YEAR(DA$3)-YEAR($B$76))+MONTH(DA$3)-MONTH($B$76))/MAX(1,12*(YEAR($B$77)-YEAR($B$76))+MONTH($B$77)-MONTH($B$76)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*MIN(1,(12*(YEAR(DB$3)-YEAR($B$76))+MONTH(DB$3)-MONTH($B$76))/MAX(1,12*(YEAR($B$77)-YEAR($B$76))+MONTH($B$77)-MONTH($B$76)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*MIN(1,(12*(YEAR(DC$3)-YEAR($B$76))+MONTH(DC$3)-MONTH($B$76))/MAX(1,12*(YEAR($B$77)-YEAR($B$76))+MONTH($B$77)-MONTH($B$76)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*MIN(1,(12*(YEAR(DD$3)-YEAR($B$76))+MONTH(DD$3)-MONTH($B$76))/MAX(1,12*(YEAR($B$77)-YEAR($B$76))+MONTH($B$77)-MONTH($B$76)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*MIN(1,(12*(YEAR(DE$3)-YEAR($B$76))+MONTH(DE$3)-MONTH($B$76))/MAX(1,12*(YEAR($B$77)-YEAR($B$76))+MONTH($B$77)-MONTH($B$76)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*MIN(1,(12*(YEAR(DF$3)-YEAR($B$76))+MONTH(DF$3)-MONTH($B$76))/MAX(1,12*(YEAR($B$77)-YEAR($B$76))+MONTH($B$77)-MONTH($B$76)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*MIN(1,(12*(YEAR(DG$3)-YEAR($B$76))+MONTH(DG$3)-MONTH($B$76))/MAX(1,12*(YEAR($B$77)-YEAR($B$76))+MONTH($B$77)-MONTH($B$76)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*MIN(1,(12*(YEAR(DH$3)-YEAR($B$76))+MONTH(DH$3)-MONTH($B$76))/MAX(1,12*(YEAR($B$77)-YEAR($B$76))+MONTH($B$77)-MONTH($B$76)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*MIN(1,(12*(YEAR(DI$3)-YEAR($B$76))+MONTH(DI$3)-MONTH($B$76))/MAX(1,12*(YEAR($B$77)-YEAR($B$76))+MONTH($B$77)-MONTH($B$76)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*MIN(1,(12*(YEAR(DJ$3)-YEAR($B$76))+MONTH(DJ$3)-MONTH($B$76))/MAX(1,12*(YEAR($B$77)-YEAR($B$76))+MONTH($B$77)-MONTH($B$76)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*MIN(1,(12*(YEAR(DK$3)-YEAR($B$76))+MONTH(DK$3)-MONTH($B$76))/MAX(1,12*(YEAR($B$77)-YEAR($B$76))+MONTH($B$77)-MONTH($B$76)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*MIN(1,(12*(YEAR(DL$3)-YEAR($B$76))+MONTH(DL$3)-MONTH($B$76))/MAX(1,12*(YEAR($B$77)-YEAR($B$76))+MONTH($B$77)-MONTH($B$76)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*MIN(1,(12*(YEAR(DM$3)-YEAR($B$76))+MONTH(DM$3)-MONTH($B$76))/MAX(1,12*(YEAR($B$77)-YEAR($B$76))+MONTH($B$77)-MONTH($B$76)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*MIN(1,(12*(YEAR(DN$3)-YEAR($B$76))+MONTH(DN$3)-MONTH($B$76))/MAX(1,12*(YEAR($B$77)-YEAR($B$76))+MONTH($B$77)-MONTH($B$76)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*MIN(1,(12*(YEAR(DO$3)-YEAR($B$76))+MONTH(DO$3)-MONTH($B$76))/MAX(1,12*(YEAR($B$77)-YEAR($B$76))+MONTH($B$77)-MONTH($B$76)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*MIN(1,(12*(YEAR(DP$3)-YEAR($B$76))+MONTH(DP$3)-MONTH($B$76))/MAX(1,12*(YEAR($B$77)-YEAR($B$76))+MONTH($B$77)-MONTH($B$76)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*MIN(1,(12*(YEAR(DQ$3)-YEAR($B$76))+MONTH(DQ$3)-MONTH($B$76))/MAX(1,12*(YEAR($B$77)-YEAR($B$76))+MONTH($B$77)-MONTH($B$76)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*MIN(1,(12*(YEAR(DR$3)-YEAR($B$76))+MONTH(DR$3)-MONTH($B$76))/MAX(1,12*(YEAR($B$77)-YEAR($B$76))+MONTH($B$77)-MONTH($B$76)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*MIN(1,(12*(YEAR(DS$3)-YEAR($B$76))+MONTH(DS$3)-MONTH($B$76))/MAX(1,12*(YEAR($B$77)-YEAR($B$76))+MONTH($B$77)-MONTH($B$76)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(B21+B22+B31+'ОБЪЕКТЫ'!$B$96)*'Вводные'!$B$53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(SUM(B16:B24)+B26)*'Вводные'!$B$52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(B21+B22+B31+'ОБЪЕКТЫ'!$B$96)*'Вводные'!$B$50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(SUM(B15:B29)+B31+'ОБЪЕКТЫ'!$B$96)*'Вводные'!$B$54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(B55+B56+B65+'ОБЪЕКТЫ'!$B$104)*'Вводные'!$B$53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(SUM(B50:B58)+B60)*'Вводные'!$B$52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(B55+B56+B65+'ОБЪЕКТЫ'!$B$104)*'Вводные'!$B$50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(SUM(B49:B63)+B65+'ОБЪЕКТЫ'!$B$104)*'Вводные'!$B$54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(B89+B90+B99+'ОБЪЕКТЫ'!$B$112)*'Вводные'!$B$53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(SUM(B84:B92)+B94)*'Вводные'!$B$52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(B89+B90+B99+'ОБЪЕКТЫ'!$B$112)*'Вводные'!$B$50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(SUM(B83:B97)+B99+'ОБЪЕКТЫ'!$B$112)*'Вводные'!$B$54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(B123+B124+B133+'ОБЪЕКТЫ'!$B$120)*'Вводные'!$B$53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(SUM(B118:B126)+B128)*'Вводные'!$B$52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(B123+B124+B133+'ОБЪЕКТЫ'!$B$120)*'Вводные'!$B$50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(SUM(B117:B131)+B133+'ОБЪЕКТЫ'!$B$120)*'Вводные'!$B$54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IF(AND((D38+D45)&gt;0,$B$5=1,D$3&lt;EDATE($B$8,'Вводные'!$H$88)),(D38+D45)*D41/12,0)</x:f>
      </x:c>
      <x:c r="E42" s="117">
        <x:f>IF(AND((E38+E45)&gt;0,$B$5=1,E$3&lt;EDATE($B$8,'Вводные'!$H$88)),(E38+E45)*E41/12,0)</x:f>
      </x:c>
      <x:c r="F42" s="117">
        <x:f>IF(AND((F38+F45)&gt;0,$B$5=1,F$3&lt;EDATE($B$8,'Вводные'!$H$88)),(F38+F45)*F41/12,0)</x:f>
      </x:c>
      <x:c r="G42" s="117">
        <x:f>IF(AND((G38+G45)&gt;0,$B$5=1,G$3&lt;EDATE($B$8,'Вводные'!$H$88)),(G38+G45)*G41/12,0)</x:f>
      </x:c>
      <x:c r="H42" s="117">
        <x:f>IF(AND((H38+H45)&gt;0,$B$5=1,H$3&lt;EDATE($B$8,'Вводные'!$H$88)),(H38+H45)*H41/12,0)</x:f>
      </x:c>
      <x:c r="I42" s="117">
        <x:f>IF(AND((I38+I45)&gt;0,$B$5=1,I$3&lt;EDATE($B$8,'Вводные'!$H$88)),(I38+I45)*I41/12,0)</x:f>
      </x:c>
      <x:c r="J42" s="117">
        <x:f>IF(AND((J38+J45)&gt;0,$B$5=1,J$3&lt;EDATE($B$8,'Вводные'!$H$88)),(J38+J45)*J41/12,0)</x:f>
      </x:c>
      <x:c r="K42" s="117">
        <x:f>IF(AND((K38+K45)&gt;0,$B$5=1,K$3&lt;EDATE($B$8,'Вводные'!$H$88)),(K38+K45)*K41/12,0)</x:f>
      </x:c>
      <x:c r="L42" s="117">
        <x:f>IF(AND((L38+L45)&gt;0,$B$5=1,L$3&lt;EDATE($B$8,'Вводные'!$H$88)),(L38+L45)*L41/12,0)</x:f>
      </x:c>
      <x:c r="M42" s="117">
        <x:f>IF(AND((M38+M45)&gt;0,$B$5=1,M$3&lt;EDATE($B$8,'Вводные'!$H$88)),(M38+M45)*M41/12,0)</x:f>
      </x:c>
      <x:c r="N42" s="117">
        <x:f>IF(AND((N38+N45)&gt;0,$B$5=1,N$3&lt;EDATE($B$8,'Вводные'!$H$88)),(N38+N45)*N41/12,0)</x:f>
      </x:c>
      <x:c r="O42" s="117">
        <x:f>IF(AND((O38+O45)&gt;0,$B$5=1,O$3&lt;EDATE($B$8,'Вводные'!$H$88)),(O38+O45)*O41/12,0)</x:f>
      </x:c>
      <x:c r="P42" s="117">
        <x:f>IF(AND((P38+P45)&gt;0,$B$5=1,P$3&lt;EDATE($B$8,'Вводные'!$H$88)),(P38+P45)*P41/12,0)</x:f>
      </x:c>
      <x:c r="Q42" s="117">
        <x:f>IF(AND((Q38+Q45)&gt;0,$B$5=1,Q$3&lt;EDATE($B$8,'Вводные'!$H$88)),(Q38+Q45)*Q41/12,0)</x:f>
      </x:c>
      <x:c r="R42" s="117">
        <x:f>IF(AND((R38+R45)&gt;0,$B$5=1,R$3&lt;EDATE($B$8,'Вводные'!$H$88)),(R38+R45)*R41/12,0)</x:f>
      </x:c>
      <x:c r="S42" s="117">
        <x:f>IF(AND((S38+S45)&gt;0,$B$5=1,S$3&lt;EDATE($B$8,'Вводные'!$H$88)),(S38+S45)*S41/12,0)</x:f>
      </x:c>
      <x:c r="T42" s="117">
        <x:f>IF(AND((T38+T45)&gt;0,$B$5=1,T$3&lt;EDATE($B$8,'Вводные'!$H$88)),(T38+T45)*T41/12,0)</x:f>
      </x:c>
      <x:c r="U42" s="117">
        <x:f>IF(AND((U38+U45)&gt;0,$B$5=1,U$3&lt;EDATE($B$8,'Вводные'!$H$88)),(U38+U45)*U41/12,0)</x:f>
      </x:c>
      <x:c r="V42" s="117">
        <x:f>IF(AND((V38+V45)&gt;0,$B$5=1,V$3&lt;EDATE($B$8,'Вводные'!$H$88)),(V38+V45)*V41/12,0)</x:f>
      </x:c>
      <x:c r="W42" s="117">
        <x:f>IF(AND((W38+W45)&gt;0,$B$5=1,W$3&lt;EDATE($B$8,'Вводные'!$H$88)),(W38+W45)*W41/12,0)</x:f>
      </x:c>
      <x:c r="X42" s="117">
        <x:f>IF(AND((X38+X45)&gt;0,$B$5=1,X$3&lt;EDATE($B$8,'Вводные'!$H$88)),(X38+X45)*X41/12,0)</x:f>
      </x:c>
      <x:c r="Y42" s="117">
        <x:f>IF(AND((Y38+Y45)&gt;0,$B$5=1,Y$3&lt;EDATE($B$8,'Вводные'!$H$88)),(Y38+Y45)*Y41/12,0)</x:f>
      </x:c>
      <x:c r="Z42" s="117">
        <x:f>IF(AND((Z38+Z45)&gt;0,$B$5=1,Z$3&lt;EDATE($B$8,'Вводные'!$H$88)),(Z38+Z45)*Z41/12,0)</x:f>
      </x:c>
      <x:c r="AA42" s="117">
        <x:f>IF(AND((AA38+AA45)&gt;0,$B$5=1,AA$3&lt;EDATE($B$8,'Вводные'!$H$88)),(AA38+AA45)*AA41/12,0)</x:f>
      </x:c>
      <x:c r="AB42" s="117">
        <x:f>IF(AND((AB38+AB45)&gt;0,$B$5=1,AB$3&lt;EDATE($B$8,'Вводные'!$H$88)),(AB38+AB45)*AB41/12,0)</x:f>
      </x:c>
      <x:c r="AC42" s="117">
        <x:f>IF(AND((AC38+AC45)&gt;0,$B$5=1,AC$3&lt;EDATE($B$8,'Вводные'!$H$88)),(AC38+AC45)*AC41/12,0)</x:f>
      </x:c>
      <x:c r="AD42" s="117">
        <x:f>IF(AND((AD38+AD45)&gt;0,$B$5=1,AD$3&lt;EDATE($B$8,'Вводные'!$H$88)),(AD38+AD45)*AD41/12,0)</x:f>
      </x:c>
      <x:c r="AE42" s="117">
        <x:f>IF(AND((AE38+AE45)&gt;0,$B$5=1,AE$3&lt;EDATE($B$8,'Вводные'!$H$88)),(AE38+AE45)*AE41/12,0)</x:f>
      </x:c>
      <x:c r="AF42" s="117">
        <x:f>IF(AND((AF38+AF45)&gt;0,$B$5=1,AF$3&lt;EDATE($B$8,'Вводные'!$H$88)),(AF38+AF45)*AF41/12,0)</x:f>
      </x:c>
      <x:c r="AG42" s="117">
        <x:f>IF(AND((AG38+AG45)&gt;0,$B$5=1,AG$3&lt;EDATE($B$8,'Вводные'!$H$88)),(AG38+AG45)*AG41/12,0)</x:f>
      </x:c>
      <x:c r="AH42" s="117">
        <x:f>IF(AND((AH38+AH45)&gt;0,$B$5=1,AH$3&lt;EDATE($B$8,'Вводные'!$H$88)),(AH38+AH45)*AH41/12,0)</x:f>
      </x:c>
      <x:c r="AI42" s="117">
        <x:f>IF(AND((AI38+AI45)&gt;0,$B$5=1,AI$3&lt;EDATE($B$8,'Вводные'!$H$88)),(AI38+AI45)*AI41/12,0)</x:f>
      </x:c>
      <x:c r="AJ42" s="117">
        <x:f>IF(AND((AJ38+AJ45)&gt;0,$B$5=1,AJ$3&lt;EDATE($B$8,'Вводные'!$H$88)),(AJ38+AJ45)*AJ41/12,0)</x:f>
      </x:c>
      <x:c r="AK42" s="117">
        <x:f>IF(AND((AK38+AK45)&gt;0,$B$5=1,AK$3&lt;EDATE($B$8,'Вводные'!$H$88)),(AK38+AK45)*AK41/12,0)</x:f>
      </x:c>
      <x:c r="AL42" s="117">
        <x:f>IF(AND((AL38+AL45)&gt;0,$B$5=1,AL$3&lt;EDATE($B$8,'Вводные'!$H$88)),(AL38+AL45)*AL41/12,0)</x:f>
      </x:c>
      <x:c r="AM42" s="117">
        <x:f>IF(AND((AM38+AM45)&gt;0,$B$5=1,AM$3&lt;EDATE($B$8,'Вводные'!$H$88)),(AM38+AM45)*AM41/12,0)</x:f>
      </x:c>
      <x:c r="AN42" s="117">
        <x:f>IF(AND((AN38+AN45)&gt;0,$B$5=1,AN$3&lt;EDATE($B$8,'Вводные'!$H$88)),(AN38+AN45)*AN41/12,0)</x:f>
      </x:c>
      <x:c r="AO42" s="117">
        <x:f>IF(AND((AO38+AO45)&gt;0,$B$5=1,AO$3&lt;EDATE($B$8,'Вводные'!$H$88)),(AO38+AO45)*AO41/12,0)</x:f>
      </x:c>
      <x:c r="AP42" s="117">
        <x:f>IF(AND((AP38+AP45)&gt;0,$B$5=1,AP$3&lt;EDATE($B$8,'Вводные'!$H$88)),(AP38+AP45)*AP41/12,0)</x:f>
      </x:c>
      <x:c r="AQ42" s="117">
        <x:f>IF(AND((AQ38+AQ45)&gt;0,$B$5=1,AQ$3&lt;EDATE($B$8,'Вводные'!$H$88)),(AQ38+AQ45)*AQ41/12,0)</x:f>
      </x:c>
      <x:c r="AR42" s="117">
        <x:f>IF(AND((AR38+AR45)&gt;0,$B$5=1,AR$3&lt;EDATE($B$8,'Вводные'!$H$88)),(AR38+AR45)*AR41/12,0)</x:f>
      </x:c>
      <x:c r="AS42" s="117">
        <x:f>IF(AND((AS38+AS45)&gt;0,$B$5=1,AS$3&lt;EDATE($B$8,'Вводные'!$H$88)),(AS38+AS45)*AS41/12,0)</x:f>
      </x:c>
      <x:c r="AT42" s="117">
        <x:f>IF(AND((AT38+AT45)&gt;0,$B$5=1,AT$3&lt;EDATE($B$8,'Вводные'!$H$88)),(AT38+AT45)*AT41/12,0)</x:f>
      </x:c>
      <x:c r="AU42" s="117">
        <x:f>IF(AND((AU38+AU45)&gt;0,$B$5=1,AU$3&lt;EDATE($B$8,'Вводные'!$H$88)),(AU38+AU45)*AU41/12,0)</x:f>
      </x:c>
      <x:c r="AV42" s="117">
        <x:f>IF(AND((AV38+AV45)&gt;0,$B$5=1,AV$3&lt;EDATE($B$8,'Вводные'!$H$88)),(AV38+AV45)*AV41/12,0)</x:f>
      </x:c>
      <x:c r="AW42" s="117">
        <x:f>IF(AND((AW38+AW45)&gt;0,$B$5=1,AW$3&lt;EDATE($B$8,'Вводные'!$H$88)),(AW38+AW45)*AW41/12,0)</x:f>
      </x:c>
      <x:c r="AX42" s="117">
        <x:f>IF(AND((AX38+AX45)&gt;0,$B$5=1,AX$3&lt;EDATE($B$8,'Вводные'!$H$88)),(AX38+AX45)*AX41/12,0)</x:f>
      </x:c>
      <x:c r="AY42" s="117">
        <x:f>IF(AND((AY38+AY45)&gt;0,$B$5=1,AY$3&lt;EDATE($B$8,'Вводные'!$H$88)),(AY38+AY45)*AY41/12,0)</x:f>
      </x:c>
      <x:c r="AZ42" s="117">
        <x:f>IF(AND((AZ38+AZ45)&gt;0,$B$5=1,AZ$3&lt;EDATE($B$8,'Вводные'!$H$88)),(AZ38+AZ45)*AZ41/12,0)</x:f>
      </x:c>
      <x:c r="BA42" s="117">
        <x:f>IF(AND((BA38+BA45)&gt;0,$B$5=1,BA$3&lt;EDATE($B$8,'Вводные'!$H$88)),(BA38+BA45)*BA41/12,0)</x:f>
      </x:c>
      <x:c r="BB42" s="117">
        <x:f>IF(AND((BB38+BB45)&gt;0,$B$5=1,BB$3&lt;EDATE($B$8,'Вводные'!$H$88)),(BB38+BB45)*BB41/12,0)</x:f>
      </x:c>
      <x:c r="BC42" s="117">
        <x:f>IF(AND((BC38+BC45)&gt;0,$B$5=1,BC$3&lt;EDATE($B$8,'Вводные'!$H$88)),(BC38+BC45)*BC41/12,0)</x:f>
      </x:c>
      <x:c r="BD42" s="117">
        <x:f>IF(AND((BD38+BD45)&gt;0,$B$5=1,BD$3&lt;EDATE($B$8,'Вводные'!$H$88)),(BD38+BD45)*BD41/12,0)</x:f>
      </x:c>
      <x:c r="BE42" s="117">
        <x:f>IF(AND((BE38+BE45)&gt;0,$B$5=1,BE$3&lt;EDATE($B$8,'Вводные'!$H$88)),(BE38+BE45)*BE41/12,0)</x:f>
      </x:c>
      <x:c r="BF42" s="117">
        <x:f>IF(AND((BF38+BF45)&gt;0,$B$5=1,BF$3&lt;EDATE($B$8,'Вводные'!$H$88)),(BF38+BF45)*BF41/12,0)</x:f>
      </x:c>
      <x:c r="BG42" s="117">
        <x:f>IF(AND((BG38+BG45)&gt;0,$B$5=1,BG$3&lt;EDATE($B$8,'Вводные'!$H$88)),(BG38+BG45)*BG41/12,0)</x:f>
      </x:c>
      <x:c r="BH42" s="117">
        <x:f>IF(AND((BH38+BH45)&gt;0,$B$5=1,BH$3&lt;EDATE($B$8,'Вводные'!$H$88)),(BH38+BH45)*BH41/12,0)</x:f>
      </x:c>
      <x:c r="BI42" s="117">
        <x:f>IF(AND((BI38+BI45)&gt;0,$B$5=1,BI$3&lt;EDATE($B$8,'Вводные'!$H$88)),(BI38+BI45)*BI41/12,0)</x:f>
      </x:c>
      <x:c r="BJ42" s="117">
        <x:f>IF(AND((BJ38+BJ45)&gt;0,$B$5=1,BJ$3&lt;EDATE($B$8,'Вводные'!$H$88)),(BJ38+BJ45)*BJ41/12,0)</x:f>
      </x:c>
      <x:c r="BK42" s="117">
        <x:f>IF(AND((BK38+BK45)&gt;0,$B$5=1,BK$3&lt;EDATE($B$8,'Вводные'!$H$88)),(BK38+BK45)*BK41/12,0)</x:f>
      </x:c>
      <x:c r="BL42" s="117">
        <x:f>IF(AND((BL38+BL45)&gt;0,$B$5=1,BL$3&lt;EDATE($B$8,'Вводные'!$H$88)),(BL38+BL45)*BL41/12,0)</x:f>
      </x:c>
      <x:c r="BM42" s="117">
        <x:f>IF(AND((BM38+BM45)&gt;0,$B$5=1,BM$3&lt;EDATE($B$8,'Вводные'!$H$88)),(BM38+BM45)*BM41/12,0)</x:f>
      </x:c>
      <x:c r="BN42" s="117">
        <x:f>IF(AND((BN38+BN45)&gt;0,$B$5=1,BN$3&lt;EDATE($B$8,'Вводные'!$H$88)),(BN38+BN45)*BN41/12,0)</x:f>
      </x:c>
      <x:c r="BO42" s="117">
        <x:f>IF(AND((BO38+BO45)&gt;0,$B$5=1,BO$3&lt;EDATE($B$8,'Вводные'!$H$88)),(BO38+BO45)*BO41/12,0)</x:f>
      </x:c>
      <x:c r="BP42" s="117">
        <x:f>IF(AND((BP38+BP45)&gt;0,$B$5=1,BP$3&lt;EDATE($B$8,'Вводные'!$H$88)),(BP38+BP45)*BP41/12,0)</x:f>
      </x:c>
      <x:c r="BQ42" s="117">
        <x:f>IF(AND((BQ38+BQ45)&gt;0,$B$5=1,BQ$3&lt;EDATE($B$8,'Вводные'!$H$88)),(BQ38+BQ45)*BQ41/12,0)</x:f>
      </x:c>
      <x:c r="BR42" s="117">
        <x:f>IF(AND((BR38+BR45)&gt;0,$B$5=1,BR$3&lt;EDATE($B$8,'Вводные'!$H$88)),(BR38+BR45)*BR41/12,0)</x:f>
      </x:c>
      <x:c r="BS42" s="117">
        <x:f>IF(AND((BS38+BS45)&gt;0,$B$5=1,BS$3&lt;EDATE($B$8,'Вводные'!$H$88)),(BS38+BS45)*BS41/12,0)</x:f>
      </x:c>
      <x:c r="BT42" s="117">
        <x:f>IF(AND((BT38+BT45)&gt;0,$B$5=1,BT$3&lt;EDATE($B$8,'Вводные'!$H$88)),(BT38+BT45)*BT41/12,0)</x:f>
      </x:c>
      <x:c r="BU42" s="117">
        <x:f>IF(AND((BU38+BU45)&gt;0,$B$5=1,BU$3&lt;EDATE($B$8,'Вводные'!$H$88)),(BU38+BU45)*BU41/12,0)</x:f>
      </x:c>
      <x:c r="BV42" s="117">
        <x:f>IF(AND((BV38+BV45)&gt;0,$B$5=1,BV$3&lt;EDATE($B$8,'Вводные'!$H$88)),(BV38+BV45)*BV41/12,0)</x:f>
      </x:c>
      <x:c r="BW42" s="117">
        <x:f>IF(AND((BW38+BW45)&gt;0,$B$5=1,BW$3&lt;EDATE($B$8,'Вводные'!$H$88)),(BW38+BW45)*BW41/12,0)</x:f>
      </x:c>
      <x:c r="BX42" s="117">
        <x:f>IF(AND((BX38+BX45)&gt;0,$B$5=1,BX$3&lt;EDATE($B$8,'Вводные'!$H$88)),(BX38+BX45)*BX41/12,0)</x:f>
      </x:c>
      <x:c r="BY42" s="117">
        <x:f>IF(AND((BY38+BY45)&gt;0,$B$5=1,BY$3&lt;EDATE($B$8,'Вводные'!$H$88)),(BY38+BY45)*BY41/12,0)</x:f>
      </x:c>
      <x:c r="BZ42" s="117">
        <x:f>IF(AND((BZ38+BZ45)&gt;0,$B$5=1,BZ$3&lt;EDATE($B$8,'Вводные'!$H$88)),(BZ38+BZ45)*BZ41/12,0)</x:f>
      </x:c>
      <x:c r="CA42" s="117">
        <x:f>IF(AND((CA38+CA45)&gt;0,$B$5=1,CA$3&lt;EDATE($B$8,'Вводные'!$H$88)),(CA38+CA45)*CA41/12,0)</x:f>
      </x:c>
      <x:c r="CB42" s="117">
        <x:f>IF(AND((CB38+CB45)&gt;0,$B$5=1,CB$3&lt;EDATE($B$8,'Вводные'!$H$88)),(CB38+CB45)*CB41/12,0)</x:f>
      </x:c>
      <x:c r="CC42" s="117">
        <x:f>IF(AND((CC38+CC45)&gt;0,$B$5=1,CC$3&lt;EDATE($B$8,'Вводные'!$H$88)),(CC38+CC45)*CC41/12,0)</x:f>
      </x:c>
      <x:c r="CD42" s="117">
        <x:f>IF(AND((CD38+CD45)&gt;0,$B$5=1,CD$3&lt;EDATE($B$8,'Вводные'!$H$88)),(CD38+CD45)*CD41/12,0)</x:f>
      </x:c>
      <x:c r="CE42" s="117">
        <x:f>IF(AND((CE38+CE45)&gt;0,$B$5=1,CE$3&lt;EDATE($B$8,'Вводные'!$H$88)),(CE38+CE45)*CE41/12,0)</x:f>
      </x:c>
      <x:c r="CF42" s="117">
        <x:f>IF(AND((CF38+CF45)&gt;0,$B$5=1,CF$3&lt;EDATE($B$8,'Вводные'!$H$88)),(CF38+CF45)*CF41/12,0)</x:f>
      </x:c>
      <x:c r="CG42" s="117">
        <x:f>IF(AND((CG38+CG45)&gt;0,$B$5=1,CG$3&lt;EDATE($B$8,'Вводные'!$H$88)),(CG38+CG45)*CG41/12,0)</x:f>
      </x:c>
      <x:c r="CH42" s="117">
        <x:f>IF(AND((CH38+CH45)&gt;0,$B$5=1,CH$3&lt;EDATE($B$8,'Вводные'!$H$88)),(CH38+CH45)*CH41/12,0)</x:f>
      </x:c>
      <x:c r="CI42" s="117">
        <x:f>IF(AND((CI38+CI45)&gt;0,$B$5=1,CI$3&lt;EDATE($B$8,'Вводные'!$H$88)),(CI38+CI45)*CI41/12,0)</x:f>
      </x:c>
      <x:c r="CJ42" s="117">
        <x:f>IF(AND((CJ38+CJ45)&gt;0,$B$5=1,CJ$3&lt;EDATE($B$8,'Вводные'!$H$88)),(CJ38+CJ45)*CJ41/12,0)</x:f>
      </x:c>
      <x:c r="CK42" s="117">
        <x:f>IF(AND((CK38+CK45)&gt;0,$B$5=1,CK$3&lt;EDATE($B$8,'Вводные'!$H$88)),(CK38+CK45)*CK41/12,0)</x:f>
      </x:c>
      <x:c r="CL42" s="117">
        <x:f>IF(AND((CL38+CL45)&gt;0,$B$5=1,CL$3&lt;EDATE($B$8,'Вводные'!$H$88)),(CL38+CL45)*CL41/12,0)</x:f>
      </x:c>
      <x:c r="CM42" s="117">
        <x:f>IF(AND((CM38+CM45)&gt;0,$B$5=1,CM$3&lt;EDATE($B$8,'Вводные'!$H$88)),(CM38+CM45)*CM41/12,0)</x:f>
      </x:c>
      <x:c r="CN42" s="117">
        <x:f>IF(AND((CN38+CN45)&gt;0,$B$5=1,CN$3&lt;EDATE($B$8,'Вводные'!$H$88)),(CN38+CN45)*CN41/12,0)</x:f>
      </x:c>
      <x:c r="CO42" s="117">
        <x:f>IF(AND((CO38+CO45)&gt;0,$B$5=1,CO$3&lt;EDATE($B$8,'Вводные'!$H$88)),(CO38+CO45)*CO41/12,0)</x:f>
      </x:c>
      <x:c r="CP42" s="117">
        <x:f>IF(AND((CP38+CP45)&gt;0,$B$5=1,CP$3&lt;EDATE($B$8,'Вводные'!$H$88)),(CP38+CP45)*CP41/12,0)</x:f>
      </x:c>
      <x:c r="CQ42" s="117">
        <x:f>IF(AND((CQ38+CQ45)&gt;0,$B$5=1,CQ$3&lt;EDATE($B$8,'Вводные'!$H$88)),(CQ38+CQ45)*CQ41/12,0)</x:f>
      </x:c>
      <x:c r="CR42" s="117">
        <x:f>IF(AND((CR38+CR45)&gt;0,$B$5=1,CR$3&lt;EDATE($B$8,'Вводные'!$H$88)),(CR38+CR45)*CR41/12,0)</x:f>
      </x:c>
      <x:c r="CS42" s="117">
        <x:f>IF(AND((CS38+CS45)&gt;0,$B$5=1,CS$3&lt;EDATE($B$8,'Вводные'!$H$88)),(CS38+CS45)*CS41/12,0)</x:f>
      </x:c>
      <x:c r="CT42" s="117">
        <x:f>IF(AND((CT38+CT45)&gt;0,$B$5=1,CT$3&lt;EDATE($B$8,'Вводные'!$H$88)),(CT38+CT45)*CT41/12,0)</x:f>
      </x:c>
      <x:c r="CU42" s="117">
        <x:f>IF(AND((CU38+CU45)&gt;0,$B$5=1,CU$3&lt;EDATE($B$8,'Вводные'!$H$88)),(CU38+CU45)*CU41/12,0)</x:f>
      </x:c>
      <x:c r="CV42" s="117">
        <x:f>IF(AND((CV38+CV45)&gt;0,$B$5=1,CV$3&lt;EDATE($B$8,'Вводные'!$H$88)),(CV38+CV45)*CV41/12,0)</x:f>
      </x:c>
      <x:c r="CW42" s="117">
        <x:f>IF(AND((CW38+CW45)&gt;0,$B$5=1,CW$3&lt;EDATE($B$8,'Вводные'!$H$88)),(CW38+CW45)*CW41/12,0)</x:f>
      </x:c>
      <x:c r="CX42" s="117">
        <x:f>IF(AND((CX38+CX45)&gt;0,$B$5=1,CX$3&lt;EDATE($B$8,'Вводные'!$H$88)),(CX38+CX45)*CX41/12,0)</x:f>
      </x:c>
      <x:c r="CY42" s="117">
        <x:f>IF(AND((CY38+CY45)&gt;0,$B$5=1,CY$3&lt;EDATE($B$8,'Вводные'!$H$88)),(CY38+CY45)*CY41/12,0)</x:f>
      </x:c>
      <x:c r="CZ42" s="117">
        <x:f>IF(AND((CZ38+CZ45)&gt;0,$B$5=1,CZ$3&lt;EDATE($B$8,'Вводные'!$H$88)),(CZ38+CZ45)*CZ41/12,0)</x:f>
      </x:c>
      <x:c r="DA42" s="117">
        <x:f>IF(AND((DA38+DA45)&gt;0,$B$5=1,DA$3&lt;EDATE($B$8,'Вводные'!$H$88)),(DA38+DA45)*DA41/12,0)</x:f>
      </x:c>
      <x:c r="DB42" s="117">
        <x:f>IF(AND((DB38+DB45)&gt;0,$B$5=1,DB$3&lt;EDATE($B$8,'Вводные'!$H$88)),(DB38+DB45)*DB41/12,0)</x:f>
      </x:c>
      <x:c r="DC42" s="117">
        <x:f>IF(AND((DC38+DC45)&gt;0,$B$5=1,DC$3&lt;EDATE($B$8,'Вводные'!$H$88)),(DC38+DC45)*DC41/12,0)</x:f>
      </x:c>
      <x:c r="DD42" s="117">
        <x:f>IF(AND((DD38+DD45)&gt;0,$B$5=1,DD$3&lt;EDATE($B$8,'Вводные'!$H$88)),(DD38+DD45)*DD41/12,0)</x:f>
      </x:c>
      <x:c r="DE42" s="117">
        <x:f>IF(AND((DE38+DE45)&gt;0,$B$5=1,DE$3&lt;EDATE($B$8,'Вводные'!$H$88)),(DE38+DE45)*DE41/12,0)</x:f>
      </x:c>
      <x:c r="DF42" s="117">
        <x:f>IF(AND((DF38+DF45)&gt;0,$B$5=1,DF$3&lt;EDATE($B$8,'Вводные'!$H$88)),(DF38+DF45)*DF41/12,0)</x:f>
      </x:c>
      <x:c r="DG42" s="117">
        <x:f>IF(AND((DG38+DG45)&gt;0,$B$5=1,DG$3&lt;EDATE($B$8,'Вводные'!$H$88)),(DG38+DG45)*DG41/12,0)</x:f>
      </x:c>
      <x:c r="DH42" s="117">
        <x:f>IF(AND((DH38+DH45)&gt;0,$B$5=1,DH$3&lt;EDATE($B$8,'Вводные'!$H$88)),(DH38+DH45)*DH41/12,0)</x:f>
      </x:c>
      <x:c r="DI42" s="117">
        <x:f>IF(AND((DI38+DI45)&gt;0,$B$5=1,DI$3&lt;EDATE($B$8,'Вводные'!$H$88)),(DI38+DI45)*DI41/12,0)</x:f>
      </x:c>
      <x:c r="DJ42" s="117">
        <x:f>IF(AND((DJ38+DJ45)&gt;0,$B$5=1,DJ$3&lt;EDATE($B$8,'Вводные'!$H$88)),(DJ38+DJ45)*DJ41/12,0)</x:f>
      </x:c>
      <x:c r="DK42" s="117">
        <x:f>IF(AND((DK38+DK45)&gt;0,$B$5=1,DK$3&lt;EDATE($B$8,'Вводные'!$H$88)),(DK38+DK45)*DK41/12,0)</x:f>
      </x:c>
      <x:c r="DL42" s="117">
        <x:f>IF(AND((DL38+DL45)&gt;0,$B$5=1,DL$3&lt;EDATE($B$8,'Вводные'!$H$88)),(DL38+DL45)*DL41/12,0)</x:f>
      </x:c>
      <x:c r="DM42" s="117">
        <x:f>IF(AND((DM38+DM45)&gt;0,$B$5=1,DM$3&lt;EDATE($B$8,'Вводные'!$H$88)),(DM38+DM45)*DM41/12,0)</x:f>
      </x:c>
      <x:c r="DN42" s="117">
        <x:f>IF(AND((DN38+DN45)&gt;0,$B$5=1,DN$3&lt;EDATE($B$8,'Вводные'!$H$88)),(DN38+DN45)*DN41/12,0)</x:f>
      </x:c>
      <x:c r="DO42" s="117">
        <x:f>IF(AND((DO38+DO45)&gt;0,$B$5=1,DO$3&lt;EDATE($B$8,'Вводные'!$H$88)),(DO38+DO45)*DO41/12,0)</x:f>
      </x:c>
      <x:c r="DP42" s="117">
        <x:f>IF(AND((DP38+DP45)&gt;0,$B$5=1,DP$3&lt;EDATE($B$8,'Вводные'!$H$88)),(DP38+DP45)*DP41/12,0)</x:f>
      </x:c>
      <x:c r="DQ42" s="117">
        <x:f>IF(AND((DQ38+DQ45)&gt;0,$B$5=1,DQ$3&lt;EDATE($B$8,'Вводные'!$H$88)),(DQ38+DQ45)*DQ41/12,0)</x:f>
      </x:c>
      <x:c r="DR42" s="117">
        <x:f>IF(AND((DR38+DR45)&gt;0,$B$5=1,DR$3&lt;EDATE($B$8,'Вводные'!$H$88)),(DR38+DR45)*DR41/12,0)</x:f>
      </x:c>
      <x:c r="DS42" s="117">
        <x:f>IF(AND((DS38+DS45)&gt;0,$B$5=1,DS$3&lt;EDATE($B$8,'Вводные'!$H$88)),(DS38+DS45)*DS41/12,0)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IF(AND(D$3&gt;=$B$7,D$3&lt;$B$8),MAX(0,'Вводные'!$B$26*'Вводные'!$V$88-(D38+D45))*'Вводные'!$B$29/12,0)</x:f>
      </x:c>
      <x:c r="E43" s="117">
        <x:f>IF(AND(E$3&gt;=$B$7,E$3&lt;$B$8),MAX(0,'Вводные'!$B$26*'Вводные'!$V$88-(E38+E45))*'Вводные'!$B$29/12,0)</x:f>
      </x:c>
      <x:c r="F43" s="117">
        <x:f>IF(AND(F$3&gt;=$B$7,F$3&lt;$B$8),MAX(0,'Вводные'!$B$26*'Вводные'!$V$88-(F38+F45))*'Вводные'!$B$29/12,0)</x:f>
      </x:c>
      <x:c r="G43" s="117">
        <x:f>IF(AND(G$3&gt;=$B$7,G$3&lt;$B$8),MAX(0,'Вводные'!$B$26*'Вводные'!$V$88-(G38+G45))*'Вводные'!$B$29/12,0)</x:f>
      </x:c>
      <x:c r="H43" s="117">
        <x:f>IF(AND(H$3&gt;=$B$7,H$3&lt;$B$8),MAX(0,'Вводные'!$B$26*'Вводные'!$V$88-(H38+H45))*'Вводные'!$B$29/12,0)</x:f>
      </x:c>
      <x:c r="I43" s="117">
        <x:f>IF(AND(I$3&gt;=$B$7,I$3&lt;$B$8),MAX(0,'Вводные'!$B$26*'Вводные'!$V$88-(I38+I45))*'Вводные'!$B$29/12,0)</x:f>
      </x:c>
      <x:c r="J43" s="117">
        <x:f>IF(AND(J$3&gt;=$B$7,J$3&lt;$B$8),MAX(0,'Вводные'!$B$26*'Вводные'!$V$88-(J38+J45))*'Вводные'!$B$29/12,0)</x:f>
      </x:c>
      <x:c r="K43" s="117">
        <x:f>IF(AND(K$3&gt;=$B$7,K$3&lt;$B$8),MAX(0,'Вводные'!$B$26*'Вводные'!$V$88-(K38+K45))*'Вводные'!$B$29/12,0)</x:f>
      </x:c>
      <x:c r="L43" s="117">
        <x:f>IF(AND(L$3&gt;=$B$7,L$3&lt;$B$8),MAX(0,'Вводные'!$B$26*'Вводные'!$V$88-(L38+L45))*'Вводные'!$B$29/12,0)</x:f>
      </x:c>
      <x:c r="M43" s="117">
        <x:f>IF(AND(M$3&gt;=$B$7,M$3&lt;$B$8),MAX(0,'Вводные'!$B$26*'Вводные'!$V$88-(M38+M45))*'Вводные'!$B$29/12,0)</x:f>
      </x:c>
      <x:c r="N43" s="117">
        <x:f>IF(AND(N$3&gt;=$B$7,N$3&lt;$B$8),MAX(0,'Вводные'!$B$26*'Вводные'!$V$88-(N38+N45))*'Вводные'!$B$29/12,0)</x:f>
      </x:c>
      <x:c r="O43" s="117">
        <x:f>IF(AND(O$3&gt;=$B$7,O$3&lt;$B$8),MAX(0,'Вводные'!$B$26*'Вводные'!$V$88-(O38+O45))*'Вводные'!$B$29/12,0)</x:f>
      </x:c>
      <x:c r="P43" s="117">
        <x:f>IF(AND(P$3&gt;=$B$7,P$3&lt;$B$8),MAX(0,'Вводные'!$B$26*'Вводные'!$V$88-(P38+P45))*'Вводные'!$B$29/12,0)</x:f>
      </x:c>
      <x:c r="Q43" s="117">
        <x:f>IF(AND(Q$3&gt;=$B$7,Q$3&lt;$B$8),MAX(0,'Вводные'!$B$26*'Вводные'!$V$88-(Q38+Q45))*'Вводные'!$B$29/12,0)</x:f>
      </x:c>
      <x:c r="R43" s="117">
        <x:f>IF(AND(R$3&gt;=$B$7,R$3&lt;$B$8),MAX(0,'Вводные'!$B$26*'Вводные'!$V$88-(R38+R45))*'Вводные'!$B$29/12,0)</x:f>
      </x:c>
      <x:c r="S43" s="117">
        <x:f>IF(AND(S$3&gt;=$B$7,S$3&lt;$B$8),MAX(0,'Вводные'!$B$26*'Вводные'!$V$88-(S38+S45))*'Вводные'!$B$29/12,0)</x:f>
      </x:c>
      <x:c r="T43" s="117">
        <x:f>IF(AND(T$3&gt;=$B$7,T$3&lt;$B$8),MAX(0,'Вводные'!$B$26*'Вводные'!$V$88-(T38+T45))*'Вводные'!$B$29/12,0)</x:f>
      </x:c>
      <x:c r="U43" s="117">
        <x:f>IF(AND(U$3&gt;=$B$7,U$3&lt;$B$8),MAX(0,'Вводные'!$B$26*'Вводные'!$V$88-(U38+U45))*'Вводные'!$B$29/12,0)</x:f>
      </x:c>
      <x:c r="V43" s="117">
        <x:f>IF(AND(V$3&gt;=$B$7,V$3&lt;$B$8),MAX(0,'Вводные'!$B$26*'Вводные'!$V$88-(V38+V45))*'Вводные'!$B$29/12,0)</x:f>
      </x:c>
      <x:c r="W43" s="117">
        <x:f>IF(AND(W$3&gt;=$B$7,W$3&lt;$B$8),MAX(0,'Вводные'!$B$26*'Вводные'!$V$88-(W38+W45))*'Вводные'!$B$29/12,0)</x:f>
      </x:c>
      <x:c r="X43" s="117">
        <x:f>IF(AND(X$3&gt;=$B$7,X$3&lt;$B$8),MAX(0,'Вводные'!$B$26*'Вводные'!$V$88-(X38+X45))*'Вводные'!$B$29/12,0)</x:f>
      </x:c>
      <x:c r="Y43" s="117">
        <x:f>IF(AND(Y$3&gt;=$B$7,Y$3&lt;$B$8),MAX(0,'Вводные'!$B$26*'Вводные'!$V$88-(Y38+Y45))*'Вводные'!$B$29/12,0)</x:f>
      </x:c>
      <x:c r="Z43" s="117">
        <x:f>IF(AND(Z$3&gt;=$B$7,Z$3&lt;$B$8),MAX(0,'Вводные'!$B$26*'Вводные'!$V$88-(Z38+Z45))*'Вводные'!$B$29/12,0)</x:f>
      </x:c>
      <x:c r="AA43" s="117">
        <x:f>IF(AND(AA$3&gt;=$B$7,AA$3&lt;$B$8),MAX(0,'Вводные'!$B$26*'Вводные'!$V$88-(AA38+AA45))*'Вводные'!$B$29/12,0)</x:f>
      </x:c>
      <x:c r="AB43" s="117">
        <x:f>IF(AND(AB$3&gt;=$B$7,AB$3&lt;$B$8),MAX(0,'Вводные'!$B$26*'Вводные'!$V$88-(AB38+AB45))*'Вводные'!$B$29/12,0)</x:f>
      </x:c>
      <x:c r="AC43" s="117">
        <x:f>IF(AND(AC$3&gt;=$B$7,AC$3&lt;$B$8),MAX(0,'Вводные'!$B$26*'Вводные'!$V$88-(AC38+AC45))*'Вводные'!$B$29/12,0)</x:f>
      </x:c>
      <x:c r="AD43" s="117">
        <x:f>IF(AND(AD$3&gt;=$B$7,AD$3&lt;$B$8),MAX(0,'Вводные'!$B$26*'Вводные'!$V$88-(AD38+AD45))*'Вводные'!$B$29/12,0)</x:f>
      </x:c>
      <x:c r="AE43" s="117">
        <x:f>IF(AND(AE$3&gt;=$B$7,AE$3&lt;$B$8),MAX(0,'Вводные'!$B$26*'Вводные'!$V$88-(AE38+AE45))*'Вводные'!$B$29/12,0)</x:f>
      </x:c>
      <x:c r="AF43" s="117">
        <x:f>IF(AND(AF$3&gt;=$B$7,AF$3&lt;$B$8),MAX(0,'Вводные'!$B$26*'Вводные'!$V$88-(AF38+AF45))*'Вводные'!$B$29/12,0)</x:f>
      </x:c>
      <x:c r="AG43" s="117">
        <x:f>IF(AND(AG$3&gt;=$B$7,AG$3&lt;$B$8),MAX(0,'Вводные'!$B$26*'Вводные'!$V$88-(AG38+AG45))*'Вводные'!$B$29/12,0)</x:f>
      </x:c>
      <x:c r="AH43" s="117">
        <x:f>IF(AND(AH$3&gt;=$B$7,AH$3&lt;$B$8),MAX(0,'Вводные'!$B$26*'Вводные'!$V$88-(AH38+AH45))*'Вводные'!$B$29/12,0)</x:f>
      </x:c>
      <x:c r="AI43" s="117">
        <x:f>IF(AND(AI$3&gt;=$B$7,AI$3&lt;$B$8),MAX(0,'Вводные'!$B$26*'Вводные'!$V$88-(AI38+AI45))*'Вводные'!$B$29/12,0)</x:f>
      </x:c>
      <x:c r="AJ43" s="117">
        <x:f>IF(AND(AJ$3&gt;=$B$7,AJ$3&lt;$B$8),MAX(0,'Вводные'!$B$26*'Вводные'!$V$88-(AJ38+AJ45))*'Вводные'!$B$29/12,0)</x:f>
      </x:c>
      <x:c r="AK43" s="117">
        <x:f>IF(AND(AK$3&gt;=$B$7,AK$3&lt;$B$8),MAX(0,'Вводные'!$B$26*'Вводные'!$V$88-(AK38+AK45))*'Вводные'!$B$29/12,0)</x:f>
      </x:c>
      <x:c r="AL43" s="117">
        <x:f>IF(AND(AL$3&gt;=$B$7,AL$3&lt;$B$8),MAX(0,'Вводные'!$B$26*'Вводные'!$V$88-(AL38+AL45))*'Вводные'!$B$29/12,0)</x:f>
      </x:c>
      <x:c r="AM43" s="117">
        <x:f>IF(AND(AM$3&gt;=$B$7,AM$3&lt;$B$8),MAX(0,'Вводные'!$B$26*'Вводные'!$V$88-(AM38+AM45))*'Вводные'!$B$29/12,0)</x:f>
      </x:c>
      <x:c r="AN43" s="117">
        <x:f>IF(AND(AN$3&gt;=$B$7,AN$3&lt;$B$8),MAX(0,'Вводные'!$B$26*'Вводные'!$V$88-(AN38+AN45))*'Вводные'!$B$29/12,0)</x:f>
      </x:c>
      <x:c r="AO43" s="117">
        <x:f>IF(AND(AO$3&gt;=$B$7,AO$3&lt;$B$8),MAX(0,'Вводные'!$B$26*'Вводные'!$V$88-(AO38+AO45))*'Вводные'!$B$29/12,0)</x:f>
      </x:c>
      <x:c r="AP43" s="117">
        <x:f>IF(AND(AP$3&gt;=$B$7,AP$3&lt;$B$8),MAX(0,'Вводные'!$B$26*'Вводные'!$V$88-(AP38+AP45))*'Вводные'!$B$29/12,0)</x:f>
      </x:c>
      <x:c r="AQ43" s="117">
        <x:f>IF(AND(AQ$3&gt;=$B$7,AQ$3&lt;$B$8),MAX(0,'Вводные'!$B$26*'Вводные'!$V$88-(AQ38+AQ45))*'Вводные'!$B$29/12,0)</x:f>
      </x:c>
      <x:c r="AR43" s="117">
        <x:f>IF(AND(AR$3&gt;=$B$7,AR$3&lt;$B$8),MAX(0,'Вводные'!$B$26*'Вводные'!$V$88-(AR38+AR45))*'Вводные'!$B$29/12,0)</x:f>
      </x:c>
      <x:c r="AS43" s="117">
        <x:f>IF(AND(AS$3&gt;=$B$7,AS$3&lt;$B$8),MAX(0,'Вводные'!$B$26*'Вводные'!$V$88-(AS38+AS45))*'Вводные'!$B$29/12,0)</x:f>
      </x:c>
      <x:c r="AT43" s="117">
        <x:f>IF(AND(AT$3&gt;=$B$7,AT$3&lt;$B$8),MAX(0,'Вводные'!$B$26*'Вводные'!$V$88-(AT38+AT45))*'Вводные'!$B$29/12,0)</x:f>
      </x:c>
      <x:c r="AU43" s="117">
        <x:f>IF(AND(AU$3&gt;=$B$7,AU$3&lt;$B$8),MAX(0,'Вводные'!$B$26*'Вводные'!$V$88-(AU38+AU45))*'Вводные'!$B$29/12,0)</x:f>
      </x:c>
      <x:c r="AV43" s="117">
        <x:f>IF(AND(AV$3&gt;=$B$7,AV$3&lt;$B$8),MAX(0,'Вводные'!$B$26*'Вводные'!$V$88-(AV38+AV45))*'Вводные'!$B$29/12,0)</x:f>
      </x:c>
      <x:c r="AW43" s="117">
        <x:f>IF(AND(AW$3&gt;=$B$7,AW$3&lt;$B$8),MAX(0,'Вводные'!$B$26*'Вводные'!$V$88-(AW38+AW45))*'Вводные'!$B$29/12,0)</x:f>
      </x:c>
      <x:c r="AX43" s="117">
        <x:f>IF(AND(AX$3&gt;=$B$7,AX$3&lt;$B$8),MAX(0,'Вводные'!$B$26*'Вводные'!$V$88-(AX38+AX45))*'Вводные'!$B$29/12,0)</x:f>
      </x:c>
      <x:c r="AY43" s="117">
        <x:f>IF(AND(AY$3&gt;=$B$7,AY$3&lt;$B$8),MAX(0,'Вводные'!$B$26*'Вводные'!$V$88-(AY38+AY45))*'Вводные'!$B$29/12,0)</x:f>
      </x:c>
      <x:c r="AZ43" s="117">
        <x:f>IF(AND(AZ$3&gt;=$B$7,AZ$3&lt;$B$8),MAX(0,'Вводные'!$B$26*'Вводные'!$V$88-(AZ38+AZ45))*'Вводные'!$B$29/12,0)</x:f>
      </x:c>
      <x:c r="BA43" s="117">
        <x:f>IF(AND(BA$3&gt;=$B$7,BA$3&lt;$B$8),MAX(0,'Вводные'!$B$26*'Вводные'!$V$88-(BA38+BA45))*'Вводные'!$B$29/12,0)</x:f>
      </x:c>
      <x:c r="BB43" s="117">
        <x:f>IF(AND(BB$3&gt;=$B$7,BB$3&lt;$B$8),MAX(0,'Вводные'!$B$26*'Вводные'!$V$88-(BB38+BB45))*'Вводные'!$B$29/12,0)</x:f>
      </x:c>
      <x:c r="BC43" s="117">
        <x:f>IF(AND(BC$3&gt;=$B$7,BC$3&lt;$B$8),MAX(0,'Вводные'!$B$26*'Вводные'!$V$88-(BC38+BC45))*'Вводные'!$B$29/12,0)</x:f>
      </x:c>
      <x:c r="BD43" s="117">
        <x:f>IF(AND(BD$3&gt;=$B$7,BD$3&lt;$B$8),MAX(0,'Вводные'!$B$26*'Вводные'!$V$88-(BD38+BD45))*'Вводные'!$B$29/12,0)</x:f>
      </x:c>
      <x:c r="BE43" s="117">
        <x:f>IF(AND(BE$3&gt;=$B$7,BE$3&lt;$B$8),MAX(0,'Вводные'!$B$26*'Вводные'!$V$88-(BE38+BE45))*'Вводные'!$B$29/12,0)</x:f>
      </x:c>
      <x:c r="BF43" s="117">
        <x:f>IF(AND(BF$3&gt;=$B$7,BF$3&lt;$B$8),MAX(0,'Вводные'!$B$26*'Вводные'!$V$88-(BF38+BF45))*'Вводные'!$B$29/12,0)</x:f>
      </x:c>
      <x:c r="BG43" s="117">
        <x:f>IF(AND(BG$3&gt;=$B$7,BG$3&lt;$B$8),MAX(0,'Вводные'!$B$26*'Вводные'!$V$88-(BG38+BG45))*'Вводные'!$B$29/12,0)</x:f>
      </x:c>
      <x:c r="BH43" s="117">
        <x:f>IF(AND(BH$3&gt;=$B$7,BH$3&lt;$B$8),MAX(0,'Вводные'!$B$26*'Вводные'!$V$88-(BH38+BH45))*'Вводные'!$B$29/12,0)</x:f>
      </x:c>
      <x:c r="BI43" s="117">
        <x:f>IF(AND(BI$3&gt;=$B$7,BI$3&lt;$B$8),MAX(0,'Вводные'!$B$26*'Вводные'!$V$88-(BI38+BI45))*'Вводные'!$B$29/12,0)</x:f>
      </x:c>
      <x:c r="BJ43" s="117">
        <x:f>IF(AND(BJ$3&gt;=$B$7,BJ$3&lt;$B$8),MAX(0,'Вводные'!$B$26*'Вводные'!$V$88-(BJ38+BJ45))*'Вводные'!$B$29/12,0)</x:f>
      </x:c>
      <x:c r="BK43" s="117">
        <x:f>IF(AND(BK$3&gt;=$B$7,BK$3&lt;$B$8),MAX(0,'Вводные'!$B$26*'Вводные'!$V$88-(BK38+BK45))*'Вводные'!$B$29/12,0)</x:f>
      </x:c>
      <x:c r="BL43" s="117">
        <x:f>IF(AND(BL$3&gt;=$B$7,BL$3&lt;$B$8),MAX(0,'Вводные'!$B$26*'Вводные'!$V$88-(BL38+BL45))*'Вводные'!$B$29/12,0)</x:f>
      </x:c>
      <x:c r="BM43" s="117">
        <x:f>IF(AND(BM$3&gt;=$B$7,BM$3&lt;$B$8),MAX(0,'Вводные'!$B$26*'Вводные'!$V$88-(BM38+BM45))*'Вводные'!$B$29/12,0)</x:f>
      </x:c>
      <x:c r="BN43" s="117">
        <x:f>IF(AND(BN$3&gt;=$B$7,BN$3&lt;$B$8),MAX(0,'Вводные'!$B$26*'Вводные'!$V$88-(BN38+BN45))*'Вводные'!$B$29/12,0)</x:f>
      </x:c>
      <x:c r="BO43" s="117">
        <x:f>IF(AND(BO$3&gt;=$B$7,BO$3&lt;$B$8),MAX(0,'Вводные'!$B$26*'Вводные'!$V$88-(BO38+BO45))*'Вводные'!$B$29/12,0)</x:f>
      </x:c>
      <x:c r="BP43" s="117">
        <x:f>IF(AND(BP$3&gt;=$B$7,BP$3&lt;$B$8),MAX(0,'Вводные'!$B$26*'Вводные'!$V$88-(BP38+BP45))*'Вводные'!$B$29/12,0)</x:f>
      </x:c>
      <x:c r="BQ43" s="117">
        <x:f>IF(AND(BQ$3&gt;=$B$7,BQ$3&lt;$B$8),MAX(0,'Вводные'!$B$26*'Вводные'!$V$88-(BQ38+BQ45))*'Вводные'!$B$29/12,0)</x:f>
      </x:c>
      <x:c r="BR43" s="117">
        <x:f>IF(AND(BR$3&gt;=$B$7,BR$3&lt;$B$8),MAX(0,'Вводные'!$B$26*'Вводные'!$V$88-(BR38+BR45))*'Вводные'!$B$29/12,0)</x:f>
      </x:c>
      <x:c r="BS43" s="117">
        <x:f>IF(AND(BS$3&gt;=$B$7,BS$3&lt;$B$8),MAX(0,'Вводные'!$B$26*'Вводные'!$V$88-(BS38+BS45))*'Вводные'!$B$29/12,0)</x:f>
      </x:c>
      <x:c r="BT43" s="117">
        <x:f>IF(AND(BT$3&gt;=$B$7,BT$3&lt;$B$8),MAX(0,'Вводные'!$B$26*'Вводные'!$V$88-(BT38+BT45))*'Вводные'!$B$29/12,0)</x:f>
      </x:c>
      <x:c r="BU43" s="117">
        <x:f>IF(AND(BU$3&gt;=$B$7,BU$3&lt;$B$8),MAX(0,'Вводные'!$B$26*'Вводные'!$V$88-(BU38+BU45))*'Вводные'!$B$29/12,0)</x:f>
      </x:c>
      <x:c r="BV43" s="117">
        <x:f>IF(AND(BV$3&gt;=$B$7,BV$3&lt;$B$8),MAX(0,'Вводные'!$B$26*'Вводные'!$V$88-(BV38+BV45))*'Вводные'!$B$29/12,0)</x:f>
      </x:c>
      <x:c r="BW43" s="117">
        <x:f>IF(AND(BW$3&gt;=$B$7,BW$3&lt;$B$8),MAX(0,'Вводные'!$B$26*'Вводные'!$V$88-(BW38+BW45))*'Вводные'!$B$29/12,0)</x:f>
      </x:c>
      <x:c r="BX43" s="117">
        <x:f>IF(AND(BX$3&gt;=$B$7,BX$3&lt;$B$8),MAX(0,'Вводные'!$B$26*'Вводные'!$V$88-(BX38+BX45))*'Вводные'!$B$29/12,0)</x:f>
      </x:c>
      <x:c r="BY43" s="117">
        <x:f>IF(AND(BY$3&gt;=$B$7,BY$3&lt;$B$8),MAX(0,'Вводные'!$B$26*'Вводные'!$V$88-(BY38+BY45))*'Вводные'!$B$29/12,0)</x:f>
      </x:c>
      <x:c r="BZ43" s="117">
        <x:f>IF(AND(BZ$3&gt;=$B$7,BZ$3&lt;$B$8),MAX(0,'Вводные'!$B$26*'Вводные'!$V$88-(BZ38+BZ45))*'Вводные'!$B$29/12,0)</x:f>
      </x:c>
      <x:c r="CA43" s="117">
        <x:f>IF(AND(CA$3&gt;=$B$7,CA$3&lt;$B$8),MAX(0,'Вводные'!$B$26*'Вводные'!$V$88-(CA38+CA45))*'Вводные'!$B$29/12,0)</x:f>
      </x:c>
      <x:c r="CB43" s="117">
        <x:f>IF(AND(CB$3&gt;=$B$7,CB$3&lt;$B$8),MAX(0,'Вводные'!$B$26*'Вводные'!$V$88-(CB38+CB45))*'Вводные'!$B$29/12,0)</x:f>
      </x:c>
      <x:c r="CC43" s="117">
        <x:f>IF(AND(CC$3&gt;=$B$7,CC$3&lt;$B$8),MAX(0,'Вводные'!$B$26*'Вводные'!$V$88-(CC38+CC45))*'Вводные'!$B$29/12,0)</x:f>
      </x:c>
      <x:c r="CD43" s="117">
        <x:f>IF(AND(CD$3&gt;=$B$7,CD$3&lt;$B$8),MAX(0,'Вводные'!$B$26*'Вводные'!$V$88-(CD38+CD45))*'Вводные'!$B$29/12,0)</x:f>
      </x:c>
      <x:c r="CE43" s="117">
        <x:f>IF(AND(CE$3&gt;=$B$7,CE$3&lt;$B$8),MAX(0,'Вводные'!$B$26*'Вводные'!$V$88-(CE38+CE45))*'Вводные'!$B$29/12,0)</x:f>
      </x:c>
      <x:c r="CF43" s="117">
        <x:f>IF(AND(CF$3&gt;=$B$7,CF$3&lt;$B$8),MAX(0,'Вводные'!$B$26*'Вводные'!$V$88-(CF38+CF45))*'Вводные'!$B$29/12,0)</x:f>
      </x:c>
      <x:c r="CG43" s="117">
        <x:f>IF(AND(CG$3&gt;=$B$7,CG$3&lt;$B$8),MAX(0,'Вводные'!$B$26*'Вводные'!$V$88-(CG38+CG45))*'Вводные'!$B$29/12,0)</x:f>
      </x:c>
      <x:c r="CH43" s="117">
        <x:f>IF(AND(CH$3&gt;=$B$7,CH$3&lt;$B$8),MAX(0,'Вводные'!$B$26*'Вводные'!$V$88-(CH38+CH45))*'Вводные'!$B$29/12,0)</x:f>
      </x:c>
      <x:c r="CI43" s="117">
        <x:f>IF(AND(CI$3&gt;=$B$7,CI$3&lt;$B$8),MAX(0,'Вводные'!$B$26*'Вводные'!$V$88-(CI38+CI45))*'Вводные'!$B$29/12,0)</x:f>
      </x:c>
      <x:c r="CJ43" s="117">
        <x:f>IF(AND(CJ$3&gt;=$B$7,CJ$3&lt;$B$8),MAX(0,'Вводные'!$B$26*'Вводные'!$V$88-(CJ38+CJ45))*'Вводные'!$B$29/12,0)</x:f>
      </x:c>
      <x:c r="CK43" s="117">
        <x:f>IF(AND(CK$3&gt;=$B$7,CK$3&lt;$B$8),MAX(0,'Вводные'!$B$26*'Вводные'!$V$88-(CK38+CK45))*'Вводные'!$B$29/12,0)</x:f>
      </x:c>
      <x:c r="CL43" s="117">
        <x:f>IF(AND(CL$3&gt;=$B$7,CL$3&lt;$B$8),MAX(0,'Вводные'!$B$26*'Вводные'!$V$88-(CL38+CL45))*'Вводные'!$B$29/12,0)</x:f>
      </x:c>
      <x:c r="CM43" s="117">
        <x:f>IF(AND(CM$3&gt;=$B$7,CM$3&lt;$B$8),MAX(0,'Вводные'!$B$26*'Вводные'!$V$88-(CM38+CM45))*'Вводные'!$B$29/12,0)</x:f>
      </x:c>
      <x:c r="CN43" s="117">
        <x:f>IF(AND(CN$3&gt;=$B$7,CN$3&lt;$B$8),MAX(0,'Вводные'!$B$26*'Вводные'!$V$88-(CN38+CN45))*'Вводные'!$B$29/12,0)</x:f>
      </x:c>
      <x:c r="CO43" s="117">
        <x:f>IF(AND(CO$3&gt;=$B$7,CO$3&lt;$B$8),MAX(0,'Вводные'!$B$26*'Вводные'!$V$88-(CO38+CO45))*'Вводные'!$B$29/12,0)</x:f>
      </x:c>
      <x:c r="CP43" s="117">
        <x:f>IF(AND(CP$3&gt;=$B$7,CP$3&lt;$B$8),MAX(0,'Вводные'!$B$26*'Вводные'!$V$88-(CP38+CP45))*'Вводные'!$B$29/12,0)</x:f>
      </x:c>
      <x:c r="CQ43" s="117">
        <x:f>IF(AND(CQ$3&gt;=$B$7,CQ$3&lt;$B$8),MAX(0,'Вводные'!$B$26*'Вводные'!$V$88-(CQ38+CQ45))*'Вводные'!$B$29/12,0)</x:f>
      </x:c>
      <x:c r="CR43" s="117">
        <x:f>IF(AND(CR$3&gt;=$B$7,CR$3&lt;$B$8),MAX(0,'Вводные'!$B$26*'Вводные'!$V$88-(CR38+CR45))*'Вводные'!$B$29/12,0)</x:f>
      </x:c>
      <x:c r="CS43" s="117">
        <x:f>IF(AND(CS$3&gt;=$B$7,CS$3&lt;$B$8),MAX(0,'Вводные'!$B$26*'Вводные'!$V$88-(CS38+CS45))*'Вводные'!$B$29/12,0)</x:f>
      </x:c>
      <x:c r="CT43" s="117">
        <x:f>IF(AND(CT$3&gt;=$B$7,CT$3&lt;$B$8),MAX(0,'Вводные'!$B$26*'Вводные'!$V$88-(CT38+CT45))*'Вводные'!$B$29/12,0)</x:f>
      </x:c>
      <x:c r="CU43" s="117">
        <x:f>IF(AND(CU$3&gt;=$B$7,CU$3&lt;$B$8),MAX(0,'Вводные'!$B$26*'Вводные'!$V$88-(CU38+CU45))*'Вводные'!$B$29/12,0)</x:f>
      </x:c>
      <x:c r="CV43" s="117">
        <x:f>IF(AND(CV$3&gt;=$B$7,CV$3&lt;$B$8),MAX(0,'Вводные'!$B$26*'Вводные'!$V$88-(CV38+CV45))*'Вводные'!$B$29/12,0)</x:f>
      </x:c>
      <x:c r="CW43" s="117">
        <x:f>IF(AND(CW$3&gt;=$B$7,CW$3&lt;$B$8),MAX(0,'Вводные'!$B$26*'Вводные'!$V$88-(CW38+CW45))*'Вводные'!$B$29/12,0)</x:f>
      </x:c>
      <x:c r="CX43" s="117">
        <x:f>IF(AND(CX$3&gt;=$B$7,CX$3&lt;$B$8),MAX(0,'Вводные'!$B$26*'Вводные'!$V$88-(CX38+CX45))*'Вводные'!$B$29/12,0)</x:f>
      </x:c>
      <x:c r="CY43" s="117">
        <x:f>IF(AND(CY$3&gt;=$B$7,CY$3&lt;$B$8),MAX(0,'Вводные'!$B$26*'Вводные'!$V$88-(CY38+CY45))*'Вводные'!$B$29/12,0)</x:f>
      </x:c>
      <x:c r="CZ43" s="117">
        <x:f>IF(AND(CZ$3&gt;=$B$7,CZ$3&lt;$B$8),MAX(0,'Вводные'!$B$26*'Вводные'!$V$88-(CZ38+CZ45))*'Вводные'!$B$29/12,0)</x:f>
      </x:c>
      <x:c r="DA43" s="117">
        <x:f>IF(AND(DA$3&gt;=$B$7,DA$3&lt;$B$8),MAX(0,'Вводные'!$B$26*'Вводные'!$V$88-(DA38+DA45))*'Вводные'!$B$29/12,0)</x:f>
      </x:c>
      <x:c r="DB43" s="117">
        <x:f>IF(AND(DB$3&gt;=$B$7,DB$3&lt;$B$8),MAX(0,'Вводные'!$B$26*'Вводные'!$V$88-(DB38+DB45))*'Вводные'!$B$29/12,0)</x:f>
      </x:c>
      <x:c r="DC43" s="117">
        <x:f>IF(AND(DC$3&gt;=$B$7,DC$3&lt;$B$8),MAX(0,'Вводные'!$B$26*'Вводные'!$V$88-(DC38+DC45))*'Вводные'!$B$29/12,0)</x:f>
      </x:c>
      <x:c r="DD43" s="117">
        <x:f>IF(AND(DD$3&gt;=$B$7,DD$3&lt;$B$8),MAX(0,'Вводные'!$B$26*'Вводные'!$V$88-(DD38+DD45))*'Вводные'!$B$29/12,0)</x:f>
      </x:c>
      <x:c r="DE43" s="117">
        <x:f>IF(AND(DE$3&gt;=$B$7,DE$3&lt;$B$8),MAX(0,'Вводные'!$B$26*'Вводные'!$V$88-(DE38+DE45))*'Вводные'!$B$29/12,0)</x:f>
      </x:c>
      <x:c r="DF43" s="117">
        <x:f>IF(AND(DF$3&gt;=$B$7,DF$3&lt;$B$8),MAX(0,'Вводные'!$B$26*'Вводные'!$V$88-(DF38+DF45))*'Вводные'!$B$29/12,0)</x:f>
      </x:c>
      <x:c r="DG43" s="117">
        <x:f>IF(AND(DG$3&gt;=$B$7,DG$3&lt;$B$8),MAX(0,'Вводные'!$B$26*'Вводные'!$V$88-(DG38+DG45))*'Вводные'!$B$29/12,0)</x:f>
      </x:c>
      <x:c r="DH43" s="117">
        <x:f>IF(AND(DH$3&gt;=$B$7,DH$3&lt;$B$8),MAX(0,'Вводные'!$B$26*'Вводные'!$V$88-(DH38+DH45))*'Вводные'!$B$29/12,0)</x:f>
      </x:c>
      <x:c r="DI43" s="117">
        <x:f>IF(AND(DI$3&gt;=$B$7,DI$3&lt;$B$8),MAX(0,'Вводные'!$B$26*'Вводные'!$V$88-(DI38+DI45))*'Вводные'!$B$29/12,0)</x:f>
      </x:c>
      <x:c r="DJ43" s="117">
        <x:f>IF(AND(DJ$3&gt;=$B$7,DJ$3&lt;$B$8),MAX(0,'Вводные'!$B$26*'Вводные'!$V$88-(DJ38+DJ45))*'Вводные'!$B$29/12,0)</x:f>
      </x:c>
      <x:c r="DK43" s="117">
        <x:f>IF(AND(DK$3&gt;=$B$7,DK$3&lt;$B$8),MAX(0,'Вводные'!$B$26*'Вводные'!$V$88-(DK38+DK45))*'Вводные'!$B$29/12,0)</x:f>
      </x:c>
      <x:c r="DL43" s="117">
        <x:f>IF(AND(DL$3&gt;=$B$7,DL$3&lt;$B$8),MAX(0,'Вводные'!$B$26*'Вводные'!$V$88-(DL38+DL45))*'Вводные'!$B$29/12,0)</x:f>
      </x:c>
      <x:c r="DM43" s="117">
        <x:f>IF(AND(DM$3&gt;=$B$7,DM$3&lt;$B$8),MAX(0,'Вводные'!$B$26*'Вводные'!$V$88-(DM38+DM45))*'Вводные'!$B$29/12,0)</x:f>
      </x:c>
      <x:c r="DN43" s="117">
        <x:f>IF(AND(DN$3&gt;=$B$7,DN$3&lt;$B$8),MAX(0,'Вводные'!$B$26*'Вводные'!$V$88-(DN38+DN45))*'Вводные'!$B$29/12,0)</x:f>
      </x:c>
      <x:c r="DO43" s="117">
        <x:f>IF(AND(DO$3&gt;=$B$7,DO$3&lt;$B$8),MAX(0,'Вводные'!$B$26*'Вводные'!$V$88-(DO38+DO45))*'Вводные'!$B$29/12,0)</x:f>
      </x:c>
      <x:c r="DP43" s="117">
        <x:f>IF(AND(DP$3&gt;=$B$7,DP$3&lt;$B$8),MAX(0,'Вводные'!$B$26*'Вводные'!$V$88-(DP38+DP45))*'Вводные'!$B$29/12,0)</x:f>
      </x:c>
      <x:c r="DQ43" s="117">
        <x:f>IF(AND(DQ$3&gt;=$B$7,DQ$3&lt;$B$8),MAX(0,'Вводные'!$B$26*'Вводные'!$V$88-(DQ38+DQ45))*'Вводные'!$B$29/12,0)</x:f>
      </x:c>
      <x:c r="DR43" s="117">
        <x:f>IF(AND(DR$3&gt;=$B$7,DR$3&lt;$B$8),MAX(0,'Вводные'!$B$26*'Вводные'!$V$88-(DR38+DR45))*'Вводные'!$B$29/12,0)</x:f>
      </x:c>
      <x:c r="DS43" s="117">
        <x:f>IF(AND(DS$3&gt;=$B$7,DS$3&lt;$B$8),MAX(0,'Вводные'!$B$26*'Вводные'!$V$88-(DS38+DS45))*'Вводные'!$B$29/12,0)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IF(AND(YEAR(D$3)=YEAR($B$6),MONTH(D$3)=MONTH($B$6),$B$5=1),('CAPEX'!$B$14+'CAPEX'!$B$17+'CAPEX'!$B$18)*'Вводные'!$B$30,0)+IF(AND(YEAR(D$3)=YEAR($B$7),MONTH(D$3)=MONTH($B$7),$B$5=1),'Вводные'!$B$26*'Вводные'!$V$88*'Вводные'!$B$30,0)</x:f>
      </x:c>
      <x:c r="E57" s="117">
        <x:f>IF(AND(YEAR(E$3)=YEAR($B$6),MONTH(E$3)=MONTH($B$6),$B$5=1),('CAPEX'!$B$14+'CAPEX'!$B$17+'CAPEX'!$B$18)*'Вводные'!$B$30,0)+IF(AND(YEAR(E$3)=YEAR($B$7),MONTH(E$3)=MONTH($B$7),$B$5=1),'Вводные'!$B$26*'Вводные'!$V$88*'Вводные'!$B$30,0)</x:f>
      </x:c>
      <x:c r="F57" s="117">
        <x:f>IF(AND(YEAR(F$3)=YEAR($B$6),MONTH(F$3)=MONTH($B$6),$B$5=1),('CAPEX'!$B$14+'CAPEX'!$B$17+'CAPEX'!$B$18)*'Вводные'!$B$30,0)+IF(AND(YEAR(F$3)=YEAR($B$7),MONTH(F$3)=MONTH($B$7),$B$5=1),'Вводные'!$B$26*'Вводные'!$V$88*'Вводные'!$B$30,0)</x:f>
      </x:c>
      <x:c r="G57" s="117">
        <x:f>IF(AND(YEAR(G$3)=YEAR($B$6),MONTH(G$3)=MONTH($B$6),$B$5=1),('CAPEX'!$B$14+'CAPEX'!$B$17+'CAPEX'!$B$18)*'Вводные'!$B$30,0)+IF(AND(YEAR(G$3)=YEAR($B$7),MONTH(G$3)=MONTH($B$7),$B$5=1),'Вводные'!$B$26*'Вводные'!$V$88*'Вводные'!$B$30,0)</x:f>
      </x:c>
      <x:c r="H57" s="117">
        <x:f>IF(AND(YEAR(H$3)=YEAR($B$6),MONTH(H$3)=MONTH($B$6),$B$5=1),('CAPEX'!$B$14+'CAPEX'!$B$17+'CAPEX'!$B$18)*'Вводные'!$B$30,0)+IF(AND(YEAR(H$3)=YEAR($B$7),MONTH(H$3)=MONTH($B$7),$B$5=1),'Вводные'!$B$26*'Вводные'!$V$88*'Вводные'!$B$30,0)</x:f>
      </x:c>
      <x:c r="I57" s="117">
        <x:f>IF(AND(YEAR(I$3)=YEAR($B$6),MONTH(I$3)=MONTH($B$6),$B$5=1),('CAPEX'!$B$14+'CAPEX'!$B$17+'CAPEX'!$B$18)*'Вводные'!$B$30,0)+IF(AND(YEAR(I$3)=YEAR($B$7),MONTH(I$3)=MONTH($B$7),$B$5=1),'Вводные'!$B$26*'Вводные'!$V$88*'Вводные'!$B$30,0)</x:f>
      </x:c>
      <x:c r="J57" s="117">
        <x:f>IF(AND(YEAR(J$3)=YEAR($B$6),MONTH(J$3)=MONTH($B$6),$B$5=1),('CAPEX'!$B$14+'CAPEX'!$B$17+'CAPEX'!$B$18)*'Вводные'!$B$30,0)+IF(AND(YEAR(J$3)=YEAR($B$7),MONTH(J$3)=MONTH($B$7),$B$5=1),'Вводные'!$B$26*'Вводные'!$V$88*'Вводные'!$B$30,0)</x:f>
      </x:c>
      <x:c r="K57" s="117">
        <x:f>IF(AND(YEAR(K$3)=YEAR($B$6),MONTH(K$3)=MONTH($B$6),$B$5=1),('CAPEX'!$B$14+'CAPEX'!$B$17+'CAPEX'!$B$18)*'Вводные'!$B$30,0)+IF(AND(YEAR(K$3)=YEAR($B$7),MONTH(K$3)=MONTH($B$7),$B$5=1),'Вводные'!$B$26*'Вводные'!$V$88*'Вводные'!$B$30,0)</x:f>
      </x:c>
      <x:c r="L57" s="117">
        <x:f>IF(AND(YEAR(L$3)=YEAR($B$6),MONTH(L$3)=MONTH($B$6),$B$5=1),('CAPEX'!$B$14+'CAPEX'!$B$17+'CAPEX'!$B$18)*'Вводные'!$B$30,0)+IF(AND(YEAR(L$3)=YEAR($B$7),MONTH(L$3)=MONTH($B$7),$B$5=1),'Вводные'!$B$26*'Вводные'!$V$88*'Вводные'!$B$30,0)</x:f>
      </x:c>
      <x:c r="M57" s="117">
        <x:f>IF(AND(YEAR(M$3)=YEAR($B$6),MONTH(M$3)=MONTH($B$6),$B$5=1),('CAPEX'!$B$14+'CAPEX'!$B$17+'CAPEX'!$B$18)*'Вводные'!$B$30,0)+IF(AND(YEAR(M$3)=YEAR($B$7),MONTH(M$3)=MONTH($B$7),$B$5=1),'Вводные'!$B$26*'Вводные'!$V$88*'Вводные'!$B$30,0)</x:f>
      </x:c>
      <x:c r="N57" s="117">
        <x:f>IF(AND(YEAR(N$3)=YEAR($B$6),MONTH(N$3)=MONTH($B$6),$B$5=1),('CAPEX'!$B$14+'CAPEX'!$B$17+'CAPEX'!$B$18)*'Вводные'!$B$30,0)+IF(AND(YEAR(N$3)=YEAR($B$7),MONTH(N$3)=MONTH($B$7),$B$5=1),'Вводные'!$B$26*'Вводные'!$V$88*'Вводные'!$B$30,0)</x:f>
      </x:c>
      <x:c r="O57" s="117">
        <x:f>IF(AND(YEAR(O$3)=YEAR($B$6),MONTH(O$3)=MONTH($B$6),$B$5=1),('CAPEX'!$B$14+'CAPEX'!$B$17+'CAPEX'!$B$18)*'Вводные'!$B$30,0)+IF(AND(YEAR(O$3)=YEAR($B$7),MONTH(O$3)=MONTH($B$7),$B$5=1),'Вводные'!$B$26*'Вводные'!$V$88*'Вводные'!$B$30,0)</x:f>
      </x:c>
      <x:c r="P57" s="117">
        <x:f>IF(AND(YEAR(P$3)=YEAR($B$6),MONTH(P$3)=MONTH($B$6),$B$5=1),('CAPEX'!$B$14+'CAPEX'!$B$17+'CAPEX'!$B$18)*'Вводные'!$B$30,0)+IF(AND(YEAR(P$3)=YEAR($B$7),MONTH(P$3)=MONTH($B$7),$B$5=1),'Вводные'!$B$26*'Вводные'!$V$88*'Вводные'!$B$30,0)</x:f>
      </x:c>
      <x:c r="Q57" s="117">
        <x:f>IF(AND(YEAR(Q$3)=YEAR($B$6),MONTH(Q$3)=MONTH($B$6),$B$5=1),('CAPEX'!$B$14+'CAPEX'!$B$17+'CAPEX'!$B$18)*'Вводные'!$B$30,0)+IF(AND(YEAR(Q$3)=YEAR($B$7),MONTH(Q$3)=MONTH($B$7),$B$5=1),'Вводные'!$B$26*'Вводные'!$V$88*'Вводные'!$B$30,0)</x:f>
      </x:c>
      <x:c r="R57" s="117">
        <x:f>IF(AND(YEAR(R$3)=YEAR($B$6),MONTH(R$3)=MONTH($B$6),$B$5=1),('CAPEX'!$B$14+'CAPEX'!$B$17+'CAPEX'!$B$18)*'Вводные'!$B$30,0)+IF(AND(YEAR(R$3)=YEAR($B$7),MONTH(R$3)=MONTH($B$7),$B$5=1),'Вводные'!$B$26*'Вводные'!$V$88*'Вводные'!$B$30,0)</x:f>
      </x:c>
      <x:c r="S57" s="117">
        <x:f>IF(AND(YEAR(S$3)=YEAR($B$6),MONTH(S$3)=MONTH($B$6),$B$5=1),('CAPEX'!$B$14+'CAPEX'!$B$17+'CAPEX'!$B$18)*'Вводные'!$B$30,0)+IF(AND(YEAR(S$3)=YEAR($B$7),MONTH(S$3)=MONTH($B$7),$B$5=1),'Вводные'!$B$26*'Вводные'!$V$88*'Вводные'!$B$30,0)</x:f>
      </x:c>
      <x:c r="T57" s="117">
        <x:f>IF(AND(YEAR(T$3)=YEAR($B$6),MONTH(T$3)=MONTH($B$6),$B$5=1),('CAPEX'!$B$14+'CAPEX'!$B$17+'CAPEX'!$B$18)*'Вводные'!$B$30,0)+IF(AND(YEAR(T$3)=YEAR($B$7),MONTH(T$3)=MONTH($B$7),$B$5=1),'Вводные'!$B$26*'Вводные'!$V$88*'Вводные'!$B$30,0)</x:f>
      </x:c>
      <x:c r="U57" s="117">
        <x:f>IF(AND(YEAR(U$3)=YEAR($B$6),MONTH(U$3)=MONTH($B$6),$B$5=1),('CAPEX'!$B$14+'CAPEX'!$B$17+'CAPEX'!$B$18)*'Вводные'!$B$30,0)+IF(AND(YEAR(U$3)=YEAR($B$7),MONTH(U$3)=MONTH($B$7),$B$5=1),'Вводные'!$B$26*'Вводные'!$V$88*'Вводные'!$B$30,0)</x:f>
      </x:c>
      <x:c r="V57" s="117">
        <x:f>IF(AND(YEAR(V$3)=YEAR($B$6),MONTH(V$3)=MONTH($B$6),$B$5=1),('CAPEX'!$B$14+'CAPEX'!$B$17+'CAPEX'!$B$18)*'Вводные'!$B$30,0)+IF(AND(YEAR(V$3)=YEAR($B$7),MONTH(V$3)=MONTH($B$7),$B$5=1),'Вводные'!$B$26*'Вводные'!$V$88*'Вводные'!$B$30,0)</x:f>
      </x:c>
      <x:c r="W57" s="117">
        <x:f>IF(AND(YEAR(W$3)=YEAR($B$6),MONTH(W$3)=MONTH($B$6),$B$5=1),('CAPEX'!$B$14+'CAPEX'!$B$17+'CAPEX'!$B$18)*'Вводные'!$B$30,0)+IF(AND(YEAR(W$3)=YEAR($B$7),MONTH(W$3)=MONTH($B$7),$B$5=1),'Вводные'!$B$26*'Вводные'!$V$88*'Вводные'!$B$30,0)</x:f>
      </x:c>
      <x:c r="X57" s="117">
        <x:f>IF(AND(YEAR(X$3)=YEAR($B$6),MONTH(X$3)=MONTH($B$6),$B$5=1),('CAPEX'!$B$14+'CAPEX'!$B$17+'CAPEX'!$B$18)*'Вводные'!$B$30,0)+IF(AND(YEAR(X$3)=YEAR($B$7),MONTH(X$3)=MONTH($B$7),$B$5=1),'Вводные'!$B$26*'Вводные'!$V$88*'Вводные'!$B$30,0)</x:f>
      </x:c>
      <x:c r="Y57" s="117">
        <x:f>IF(AND(YEAR(Y$3)=YEAR($B$6),MONTH(Y$3)=MONTH($B$6),$B$5=1),('CAPEX'!$B$14+'CAPEX'!$B$17+'CAPEX'!$B$18)*'Вводные'!$B$30,0)+IF(AND(YEAR(Y$3)=YEAR($B$7),MONTH(Y$3)=MONTH($B$7),$B$5=1),'Вводные'!$B$26*'Вводные'!$V$88*'Вводные'!$B$30,0)</x:f>
      </x:c>
      <x:c r="Z57" s="117">
        <x:f>IF(AND(YEAR(Z$3)=YEAR($B$6),MONTH(Z$3)=MONTH($B$6),$B$5=1),('CAPEX'!$B$14+'CAPEX'!$B$17+'CAPEX'!$B$18)*'Вводные'!$B$30,0)+IF(AND(YEAR(Z$3)=YEAR($B$7),MONTH(Z$3)=MONTH($B$7),$B$5=1),'Вводные'!$B$26*'Вводные'!$V$88*'Вводные'!$B$30,0)</x:f>
      </x:c>
      <x:c r="AA57" s="117">
        <x:f>IF(AND(YEAR(AA$3)=YEAR($B$6),MONTH(AA$3)=MONTH($B$6),$B$5=1),('CAPEX'!$B$14+'CAPEX'!$B$17+'CAPEX'!$B$18)*'Вводные'!$B$30,0)+IF(AND(YEAR(AA$3)=YEAR($B$7),MONTH(AA$3)=MONTH($B$7),$B$5=1),'Вводные'!$B$26*'Вводные'!$V$88*'Вводные'!$B$30,0)</x:f>
      </x:c>
      <x:c r="AB57" s="117">
        <x:f>IF(AND(YEAR(AB$3)=YEAR($B$6),MONTH(AB$3)=MONTH($B$6),$B$5=1),('CAPEX'!$B$14+'CAPEX'!$B$17+'CAPEX'!$B$18)*'Вводные'!$B$30,0)+IF(AND(YEAR(AB$3)=YEAR($B$7),MONTH(AB$3)=MONTH($B$7),$B$5=1),'Вводные'!$B$26*'Вводные'!$V$88*'Вводные'!$B$30,0)</x:f>
      </x:c>
      <x:c r="AC57" s="117">
        <x:f>IF(AND(YEAR(AC$3)=YEAR($B$6),MONTH(AC$3)=MONTH($B$6),$B$5=1),('CAPEX'!$B$14+'CAPEX'!$B$17+'CAPEX'!$B$18)*'Вводные'!$B$30,0)+IF(AND(YEAR(AC$3)=YEAR($B$7),MONTH(AC$3)=MONTH($B$7),$B$5=1),'Вводные'!$B$26*'Вводные'!$V$88*'Вводные'!$B$30,0)</x:f>
      </x:c>
      <x:c r="AD57" s="117">
        <x:f>IF(AND(YEAR(AD$3)=YEAR($B$6),MONTH(AD$3)=MONTH($B$6),$B$5=1),('CAPEX'!$B$14+'CAPEX'!$B$17+'CAPEX'!$B$18)*'Вводные'!$B$30,0)+IF(AND(YEAR(AD$3)=YEAR($B$7),MONTH(AD$3)=MONTH($B$7),$B$5=1),'Вводные'!$B$26*'Вводные'!$V$88*'Вводные'!$B$30,0)</x:f>
      </x:c>
      <x:c r="AE57" s="117">
        <x:f>IF(AND(YEAR(AE$3)=YEAR($B$6),MONTH(AE$3)=MONTH($B$6),$B$5=1),('CAPEX'!$B$14+'CAPEX'!$B$17+'CAPEX'!$B$18)*'Вводные'!$B$30,0)+IF(AND(YEAR(AE$3)=YEAR($B$7),MONTH(AE$3)=MONTH($B$7),$B$5=1),'Вводные'!$B$26*'Вводные'!$V$88*'Вводные'!$B$30,0)</x:f>
      </x:c>
      <x:c r="AF57" s="117">
        <x:f>IF(AND(YEAR(AF$3)=YEAR($B$6),MONTH(AF$3)=MONTH($B$6),$B$5=1),('CAPEX'!$B$14+'CAPEX'!$B$17+'CAPEX'!$B$18)*'Вводные'!$B$30,0)+IF(AND(YEAR(AF$3)=YEAR($B$7),MONTH(AF$3)=MONTH($B$7),$B$5=1),'Вводные'!$B$26*'Вводные'!$V$88*'Вводные'!$B$30,0)</x:f>
      </x:c>
      <x:c r="AG57" s="117">
        <x:f>IF(AND(YEAR(AG$3)=YEAR($B$6),MONTH(AG$3)=MONTH($B$6),$B$5=1),('CAPEX'!$B$14+'CAPEX'!$B$17+'CAPEX'!$B$18)*'Вводные'!$B$30,0)+IF(AND(YEAR(AG$3)=YEAR($B$7),MONTH(AG$3)=MONTH($B$7),$B$5=1),'Вводные'!$B$26*'Вводные'!$V$88*'Вводные'!$B$30,0)</x:f>
      </x:c>
      <x:c r="AH57" s="117">
        <x:f>IF(AND(YEAR(AH$3)=YEAR($B$6),MONTH(AH$3)=MONTH($B$6),$B$5=1),('CAPEX'!$B$14+'CAPEX'!$B$17+'CAPEX'!$B$18)*'Вводные'!$B$30,0)+IF(AND(YEAR(AH$3)=YEAR($B$7),MONTH(AH$3)=MONTH($B$7),$B$5=1),'Вводные'!$B$26*'Вводные'!$V$88*'Вводные'!$B$30,0)</x:f>
      </x:c>
      <x:c r="AI57" s="117">
        <x:f>IF(AND(YEAR(AI$3)=YEAR($B$6),MONTH(AI$3)=MONTH($B$6),$B$5=1),('CAPEX'!$B$14+'CAPEX'!$B$17+'CAPEX'!$B$18)*'Вводные'!$B$30,0)+IF(AND(YEAR(AI$3)=YEAR($B$7),MONTH(AI$3)=MONTH($B$7),$B$5=1),'Вводные'!$B$26*'Вводные'!$V$88*'Вводные'!$B$30,0)</x:f>
      </x:c>
      <x:c r="AJ57" s="117">
        <x:f>IF(AND(YEAR(AJ$3)=YEAR($B$6),MONTH(AJ$3)=MONTH($B$6),$B$5=1),('CAPEX'!$B$14+'CAPEX'!$B$17+'CAPEX'!$B$18)*'Вводные'!$B$30,0)+IF(AND(YEAR(AJ$3)=YEAR($B$7),MONTH(AJ$3)=MONTH($B$7),$B$5=1),'Вводные'!$B$26*'Вводные'!$V$88*'Вводные'!$B$30,0)</x:f>
      </x:c>
      <x:c r="AK57" s="117">
        <x:f>IF(AND(YEAR(AK$3)=YEAR($B$6),MONTH(AK$3)=MONTH($B$6),$B$5=1),('CAPEX'!$B$14+'CAPEX'!$B$17+'CAPEX'!$B$18)*'Вводные'!$B$30,0)+IF(AND(YEAR(AK$3)=YEAR($B$7),MONTH(AK$3)=MONTH($B$7),$B$5=1),'Вводные'!$B$26*'Вводные'!$V$88*'Вводные'!$B$30,0)</x:f>
      </x:c>
      <x:c r="AL57" s="117">
        <x:f>IF(AND(YEAR(AL$3)=YEAR($B$6),MONTH(AL$3)=MONTH($B$6),$B$5=1),('CAPEX'!$B$14+'CAPEX'!$B$17+'CAPEX'!$B$18)*'Вводные'!$B$30,0)+IF(AND(YEAR(AL$3)=YEAR($B$7),MONTH(AL$3)=MONTH($B$7),$B$5=1),'Вводные'!$B$26*'Вводные'!$V$88*'Вводные'!$B$30,0)</x:f>
      </x:c>
      <x:c r="AM57" s="117">
        <x:f>IF(AND(YEAR(AM$3)=YEAR($B$6),MONTH(AM$3)=MONTH($B$6),$B$5=1),('CAPEX'!$B$14+'CAPEX'!$B$17+'CAPEX'!$B$18)*'Вводные'!$B$30,0)+IF(AND(YEAR(AM$3)=YEAR($B$7),MONTH(AM$3)=MONTH($B$7),$B$5=1),'Вводные'!$B$26*'Вводные'!$V$88*'Вводные'!$B$30,0)</x:f>
      </x:c>
      <x:c r="AN57" s="117">
        <x:f>IF(AND(YEAR(AN$3)=YEAR($B$6),MONTH(AN$3)=MONTH($B$6),$B$5=1),('CAPEX'!$B$14+'CAPEX'!$B$17+'CAPEX'!$B$18)*'Вводные'!$B$30,0)+IF(AND(YEAR(AN$3)=YEAR($B$7),MONTH(AN$3)=MONTH($B$7),$B$5=1),'Вводные'!$B$26*'Вводные'!$V$88*'Вводные'!$B$30,0)</x:f>
      </x:c>
      <x:c r="AO57" s="117">
        <x:f>IF(AND(YEAR(AO$3)=YEAR($B$6),MONTH(AO$3)=MONTH($B$6),$B$5=1),('CAPEX'!$B$14+'CAPEX'!$B$17+'CAPEX'!$B$18)*'Вводные'!$B$30,0)+IF(AND(YEAR(AO$3)=YEAR($B$7),MONTH(AO$3)=MONTH($B$7),$B$5=1),'Вводные'!$B$26*'Вводные'!$V$88*'Вводные'!$B$30,0)</x:f>
      </x:c>
      <x:c r="AP57" s="117">
        <x:f>IF(AND(YEAR(AP$3)=YEAR($B$6),MONTH(AP$3)=MONTH($B$6),$B$5=1),('CAPEX'!$B$14+'CAPEX'!$B$17+'CAPEX'!$B$18)*'Вводные'!$B$30,0)+IF(AND(YEAR(AP$3)=YEAR($B$7),MONTH(AP$3)=MONTH($B$7),$B$5=1),'Вводные'!$B$26*'Вводные'!$V$88*'Вводные'!$B$30,0)</x:f>
      </x:c>
      <x:c r="AQ57" s="117">
        <x:f>IF(AND(YEAR(AQ$3)=YEAR($B$6),MONTH(AQ$3)=MONTH($B$6),$B$5=1),('CAPEX'!$B$14+'CAPEX'!$B$17+'CAPEX'!$B$18)*'Вводные'!$B$30,0)+IF(AND(YEAR(AQ$3)=YEAR($B$7),MONTH(AQ$3)=MONTH($B$7),$B$5=1),'Вводные'!$B$26*'Вводные'!$V$88*'Вводные'!$B$30,0)</x:f>
      </x:c>
      <x:c r="AR57" s="117">
        <x:f>IF(AND(YEAR(AR$3)=YEAR($B$6),MONTH(AR$3)=MONTH($B$6),$B$5=1),('CAPEX'!$B$14+'CAPEX'!$B$17+'CAPEX'!$B$18)*'Вводные'!$B$30,0)+IF(AND(YEAR(AR$3)=YEAR($B$7),MONTH(AR$3)=MONTH($B$7),$B$5=1),'Вводные'!$B$26*'Вводные'!$V$88*'Вводные'!$B$30,0)</x:f>
      </x:c>
      <x:c r="AS57" s="117">
        <x:f>IF(AND(YEAR(AS$3)=YEAR($B$6),MONTH(AS$3)=MONTH($B$6),$B$5=1),('CAPEX'!$B$14+'CAPEX'!$B$17+'CAPEX'!$B$18)*'Вводные'!$B$30,0)+IF(AND(YEAR(AS$3)=YEAR($B$7),MONTH(AS$3)=MONTH($B$7),$B$5=1),'Вводные'!$B$26*'Вводные'!$V$88*'Вводные'!$B$30,0)</x:f>
      </x:c>
      <x:c r="AT57" s="117">
        <x:f>IF(AND(YEAR(AT$3)=YEAR($B$6),MONTH(AT$3)=MONTH($B$6),$B$5=1),('CAPEX'!$B$14+'CAPEX'!$B$17+'CAPEX'!$B$18)*'Вводные'!$B$30,0)+IF(AND(YEAR(AT$3)=YEAR($B$7),MONTH(AT$3)=MONTH($B$7),$B$5=1),'Вводные'!$B$26*'Вводные'!$V$88*'Вводные'!$B$30,0)</x:f>
      </x:c>
      <x:c r="AU57" s="117">
        <x:f>IF(AND(YEAR(AU$3)=YEAR($B$6),MONTH(AU$3)=MONTH($B$6),$B$5=1),('CAPEX'!$B$14+'CAPEX'!$B$17+'CAPEX'!$B$18)*'Вводные'!$B$30,0)+IF(AND(YEAR(AU$3)=YEAR($B$7),MONTH(AU$3)=MONTH($B$7),$B$5=1),'Вводные'!$B$26*'Вводные'!$V$88*'Вводные'!$B$30,0)</x:f>
      </x:c>
      <x:c r="AV57" s="117">
        <x:f>IF(AND(YEAR(AV$3)=YEAR($B$6),MONTH(AV$3)=MONTH($B$6),$B$5=1),('CAPEX'!$B$14+'CAPEX'!$B$17+'CAPEX'!$B$18)*'Вводные'!$B$30,0)+IF(AND(YEAR(AV$3)=YEAR($B$7),MONTH(AV$3)=MONTH($B$7),$B$5=1),'Вводные'!$B$26*'Вводные'!$V$88*'Вводные'!$B$30,0)</x:f>
      </x:c>
      <x:c r="AW57" s="117">
        <x:f>IF(AND(YEAR(AW$3)=YEAR($B$6),MONTH(AW$3)=MONTH($B$6),$B$5=1),('CAPEX'!$B$14+'CAPEX'!$B$17+'CAPEX'!$B$18)*'Вводные'!$B$30,0)+IF(AND(YEAR(AW$3)=YEAR($B$7),MONTH(AW$3)=MONTH($B$7),$B$5=1),'Вводные'!$B$26*'Вводные'!$V$88*'Вводные'!$B$30,0)</x:f>
      </x:c>
      <x:c r="AX57" s="117">
        <x:f>IF(AND(YEAR(AX$3)=YEAR($B$6),MONTH(AX$3)=MONTH($B$6),$B$5=1),('CAPEX'!$B$14+'CAPEX'!$B$17+'CAPEX'!$B$18)*'Вводные'!$B$30,0)+IF(AND(YEAR(AX$3)=YEAR($B$7),MONTH(AX$3)=MONTH($B$7),$B$5=1),'Вводные'!$B$26*'Вводные'!$V$88*'Вводные'!$B$30,0)</x:f>
      </x:c>
      <x:c r="AY57" s="117">
        <x:f>IF(AND(YEAR(AY$3)=YEAR($B$6),MONTH(AY$3)=MONTH($B$6),$B$5=1),('CAPEX'!$B$14+'CAPEX'!$B$17+'CAPEX'!$B$18)*'Вводные'!$B$30,0)+IF(AND(YEAR(AY$3)=YEAR($B$7),MONTH(AY$3)=MONTH($B$7),$B$5=1),'Вводные'!$B$26*'Вводные'!$V$88*'Вводные'!$B$30,0)</x:f>
      </x:c>
      <x:c r="AZ57" s="117">
        <x:f>IF(AND(YEAR(AZ$3)=YEAR($B$6),MONTH(AZ$3)=MONTH($B$6),$B$5=1),('CAPEX'!$B$14+'CAPEX'!$B$17+'CAPEX'!$B$18)*'Вводные'!$B$30,0)+IF(AND(YEAR(AZ$3)=YEAR($B$7),MONTH(AZ$3)=MONTH($B$7),$B$5=1),'Вводные'!$B$26*'Вводные'!$V$88*'Вводные'!$B$30,0)</x:f>
      </x:c>
      <x:c r="BA57" s="117">
        <x:f>IF(AND(YEAR(BA$3)=YEAR($B$6),MONTH(BA$3)=MONTH($B$6),$B$5=1),('CAPEX'!$B$14+'CAPEX'!$B$17+'CAPEX'!$B$18)*'Вводные'!$B$30,0)+IF(AND(YEAR(BA$3)=YEAR($B$7),MONTH(BA$3)=MONTH($B$7),$B$5=1),'Вводные'!$B$26*'Вводные'!$V$88*'Вводные'!$B$30,0)</x:f>
      </x:c>
      <x:c r="BB57" s="117">
        <x:f>IF(AND(YEAR(BB$3)=YEAR($B$6),MONTH(BB$3)=MONTH($B$6),$B$5=1),('CAPEX'!$B$14+'CAPEX'!$B$17+'CAPEX'!$B$18)*'Вводные'!$B$30,0)+IF(AND(YEAR(BB$3)=YEAR($B$7),MONTH(BB$3)=MONTH($B$7),$B$5=1),'Вводные'!$B$26*'Вводные'!$V$88*'Вводные'!$B$30,0)</x:f>
      </x:c>
      <x:c r="BC57" s="117">
        <x:f>IF(AND(YEAR(BC$3)=YEAR($B$6),MONTH(BC$3)=MONTH($B$6),$B$5=1),('CAPEX'!$B$14+'CAPEX'!$B$17+'CAPEX'!$B$18)*'Вводные'!$B$30,0)+IF(AND(YEAR(BC$3)=YEAR($B$7),MONTH(BC$3)=MONTH($B$7),$B$5=1),'Вводные'!$B$26*'Вводные'!$V$88*'Вводные'!$B$30,0)</x:f>
      </x:c>
      <x:c r="BD57" s="117">
        <x:f>IF(AND(YEAR(BD$3)=YEAR($B$6),MONTH(BD$3)=MONTH($B$6),$B$5=1),('CAPEX'!$B$14+'CAPEX'!$B$17+'CAPEX'!$B$18)*'Вводные'!$B$30,0)+IF(AND(YEAR(BD$3)=YEAR($B$7),MONTH(BD$3)=MONTH($B$7),$B$5=1),'Вводные'!$B$26*'Вводные'!$V$88*'Вводные'!$B$30,0)</x:f>
      </x:c>
      <x:c r="BE57" s="117">
        <x:f>IF(AND(YEAR(BE$3)=YEAR($B$6),MONTH(BE$3)=MONTH($B$6),$B$5=1),('CAPEX'!$B$14+'CAPEX'!$B$17+'CAPEX'!$B$18)*'Вводные'!$B$30,0)+IF(AND(YEAR(BE$3)=YEAR($B$7),MONTH(BE$3)=MONTH($B$7),$B$5=1),'Вводные'!$B$26*'Вводные'!$V$88*'Вводные'!$B$30,0)</x:f>
      </x:c>
      <x:c r="BF57" s="117">
        <x:f>IF(AND(YEAR(BF$3)=YEAR($B$6),MONTH(BF$3)=MONTH($B$6),$B$5=1),('CAPEX'!$B$14+'CAPEX'!$B$17+'CAPEX'!$B$18)*'Вводные'!$B$30,0)+IF(AND(YEAR(BF$3)=YEAR($B$7),MONTH(BF$3)=MONTH($B$7),$B$5=1),'Вводные'!$B$26*'Вводные'!$V$88*'Вводные'!$B$30,0)</x:f>
      </x:c>
      <x:c r="BG57" s="117">
        <x:f>IF(AND(YEAR(BG$3)=YEAR($B$6),MONTH(BG$3)=MONTH($B$6),$B$5=1),('CAPEX'!$B$14+'CAPEX'!$B$17+'CAPEX'!$B$18)*'Вводные'!$B$30,0)+IF(AND(YEAR(BG$3)=YEAR($B$7),MONTH(BG$3)=MONTH($B$7),$B$5=1),'Вводные'!$B$26*'Вводные'!$V$88*'Вводные'!$B$30,0)</x:f>
      </x:c>
      <x:c r="BH57" s="117">
        <x:f>IF(AND(YEAR(BH$3)=YEAR($B$6),MONTH(BH$3)=MONTH($B$6),$B$5=1),('CAPEX'!$B$14+'CAPEX'!$B$17+'CAPEX'!$B$18)*'Вводные'!$B$30,0)+IF(AND(YEAR(BH$3)=YEAR($B$7),MONTH(BH$3)=MONTH($B$7),$B$5=1),'Вводные'!$B$26*'Вводные'!$V$88*'Вводные'!$B$30,0)</x:f>
      </x:c>
      <x:c r="BI57" s="117">
        <x:f>IF(AND(YEAR(BI$3)=YEAR($B$6),MONTH(BI$3)=MONTH($B$6),$B$5=1),('CAPEX'!$B$14+'CAPEX'!$B$17+'CAPEX'!$B$18)*'Вводные'!$B$30,0)+IF(AND(YEAR(BI$3)=YEAR($B$7),MONTH(BI$3)=MONTH($B$7),$B$5=1),'Вводные'!$B$26*'Вводные'!$V$88*'Вводные'!$B$30,0)</x:f>
      </x:c>
      <x:c r="BJ57" s="117">
        <x:f>IF(AND(YEAR(BJ$3)=YEAR($B$6),MONTH(BJ$3)=MONTH($B$6),$B$5=1),('CAPEX'!$B$14+'CAPEX'!$B$17+'CAPEX'!$B$18)*'Вводные'!$B$30,0)+IF(AND(YEAR(BJ$3)=YEAR($B$7),MONTH(BJ$3)=MONTH($B$7),$B$5=1),'Вводные'!$B$26*'Вводные'!$V$88*'Вводные'!$B$30,0)</x:f>
      </x:c>
      <x:c r="BK57" s="117">
        <x:f>IF(AND(YEAR(BK$3)=YEAR($B$6),MONTH(BK$3)=MONTH($B$6),$B$5=1),('CAPEX'!$B$14+'CAPEX'!$B$17+'CAPEX'!$B$18)*'Вводные'!$B$30,0)+IF(AND(YEAR(BK$3)=YEAR($B$7),MONTH(BK$3)=MONTH($B$7),$B$5=1),'Вводные'!$B$26*'Вводные'!$V$88*'Вводные'!$B$30,0)</x:f>
      </x:c>
      <x:c r="BL57" s="117">
        <x:f>IF(AND(YEAR(BL$3)=YEAR($B$6),MONTH(BL$3)=MONTH($B$6),$B$5=1),('CAPEX'!$B$14+'CAPEX'!$B$17+'CAPEX'!$B$18)*'Вводные'!$B$30,0)+IF(AND(YEAR(BL$3)=YEAR($B$7),MONTH(BL$3)=MONTH($B$7),$B$5=1),'Вводные'!$B$26*'Вводные'!$V$88*'Вводные'!$B$30,0)</x:f>
      </x:c>
      <x:c r="BM57" s="117">
        <x:f>IF(AND(YEAR(BM$3)=YEAR($B$6),MONTH(BM$3)=MONTH($B$6),$B$5=1),('CAPEX'!$B$14+'CAPEX'!$B$17+'CAPEX'!$B$18)*'Вводные'!$B$30,0)+IF(AND(YEAR(BM$3)=YEAR($B$7),MONTH(BM$3)=MONTH($B$7),$B$5=1),'Вводные'!$B$26*'Вводные'!$V$88*'Вводные'!$B$30,0)</x:f>
      </x:c>
      <x:c r="BN57" s="117">
        <x:f>IF(AND(YEAR(BN$3)=YEAR($B$6),MONTH(BN$3)=MONTH($B$6),$B$5=1),('CAPEX'!$B$14+'CAPEX'!$B$17+'CAPEX'!$B$18)*'Вводные'!$B$30,0)+IF(AND(YEAR(BN$3)=YEAR($B$7),MONTH(BN$3)=MONTH($B$7),$B$5=1),'Вводные'!$B$26*'Вводные'!$V$88*'Вводные'!$B$30,0)</x:f>
      </x:c>
      <x:c r="BO57" s="117">
        <x:f>IF(AND(YEAR(BO$3)=YEAR($B$6),MONTH(BO$3)=MONTH($B$6),$B$5=1),('CAPEX'!$B$14+'CAPEX'!$B$17+'CAPEX'!$B$18)*'Вводные'!$B$30,0)+IF(AND(YEAR(BO$3)=YEAR($B$7),MONTH(BO$3)=MONTH($B$7),$B$5=1),'Вводные'!$B$26*'Вводные'!$V$88*'Вводные'!$B$30,0)</x:f>
      </x:c>
      <x:c r="BP57" s="117">
        <x:f>IF(AND(YEAR(BP$3)=YEAR($B$6),MONTH(BP$3)=MONTH($B$6),$B$5=1),('CAPEX'!$B$14+'CAPEX'!$B$17+'CAPEX'!$B$18)*'Вводные'!$B$30,0)+IF(AND(YEAR(BP$3)=YEAR($B$7),MONTH(BP$3)=MONTH($B$7),$B$5=1),'Вводные'!$B$26*'Вводные'!$V$88*'Вводные'!$B$30,0)</x:f>
      </x:c>
      <x:c r="BQ57" s="117">
        <x:f>IF(AND(YEAR(BQ$3)=YEAR($B$6),MONTH(BQ$3)=MONTH($B$6),$B$5=1),('CAPEX'!$B$14+'CAPEX'!$B$17+'CAPEX'!$B$18)*'Вводные'!$B$30,0)+IF(AND(YEAR(BQ$3)=YEAR($B$7),MONTH(BQ$3)=MONTH($B$7),$B$5=1),'Вводные'!$B$26*'Вводные'!$V$88*'Вводные'!$B$30,0)</x:f>
      </x:c>
      <x:c r="BR57" s="117">
        <x:f>IF(AND(YEAR(BR$3)=YEAR($B$6),MONTH(BR$3)=MONTH($B$6),$B$5=1),('CAPEX'!$B$14+'CAPEX'!$B$17+'CAPEX'!$B$18)*'Вводные'!$B$30,0)+IF(AND(YEAR(BR$3)=YEAR($B$7),MONTH(BR$3)=MONTH($B$7),$B$5=1),'Вводные'!$B$26*'Вводные'!$V$88*'Вводные'!$B$30,0)</x:f>
      </x:c>
      <x:c r="BS57" s="117">
        <x:f>IF(AND(YEAR(BS$3)=YEAR($B$6),MONTH(BS$3)=MONTH($B$6),$B$5=1),('CAPEX'!$B$14+'CAPEX'!$B$17+'CAPEX'!$B$18)*'Вводные'!$B$30,0)+IF(AND(YEAR(BS$3)=YEAR($B$7),MONTH(BS$3)=MONTH($B$7),$B$5=1),'Вводные'!$B$26*'Вводные'!$V$88*'Вводные'!$B$30,0)</x:f>
      </x:c>
      <x:c r="BT57" s="117">
        <x:f>IF(AND(YEAR(BT$3)=YEAR($B$6),MONTH(BT$3)=MONTH($B$6),$B$5=1),('CAPEX'!$B$14+'CAPEX'!$B$17+'CAPEX'!$B$18)*'Вводные'!$B$30,0)+IF(AND(YEAR(BT$3)=YEAR($B$7),MONTH(BT$3)=MONTH($B$7),$B$5=1),'Вводные'!$B$26*'Вводные'!$V$88*'Вводные'!$B$30,0)</x:f>
      </x:c>
      <x:c r="BU57" s="117">
        <x:f>IF(AND(YEAR(BU$3)=YEAR($B$6),MONTH(BU$3)=MONTH($B$6),$B$5=1),('CAPEX'!$B$14+'CAPEX'!$B$17+'CAPEX'!$B$18)*'Вводные'!$B$30,0)+IF(AND(YEAR(BU$3)=YEAR($B$7),MONTH(BU$3)=MONTH($B$7),$B$5=1),'Вводные'!$B$26*'Вводные'!$V$88*'Вводные'!$B$30,0)</x:f>
      </x:c>
      <x:c r="BV57" s="117">
        <x:f>IF(AND(YEAR(BV$3)=YEAR($B$6),MONTH(BV$3)=MONTH($B$6),$B$5=1),('CAPEX'!$B$14+'CAPEX'!$B$17+'CAPEX'!$B$18)*'Вводные'!$B$30,0)+IF(AND(YEAR(BV$3)=YEAR($B$7),MONTH(BV$3)=MONTH($B$7),$B$5=1),'Вводные'!$B$26*'Вводные'!$V$88*'Вводные'!$B$30,0)</x:f>
      </x:c>
      <x:c r="BW57" s="117">
        <x:f>IF(AND(YEAR(BW$3)=YEAR($B$6),MONTH(BW$3)=MONTH($B$6),$B$5=1),('CAPEX'!$B$14+'CAPEX'!$B$17+'CAPEX'!$B$18)*'Вводные'!$B$30,0)+IF(AND(YEAR(BW$3)=YEAR($B$7),MONTH(BW$3)=MONTH($B$7),$B$5=1),'Вводные'!$B$26*'Вводные'!$V$88*'Вводные'!$B$30,0)</x:f>
      </x:c>
      <x:c r="BX57" s="117">
        <x:f>IF(AND(YEAR(BX$3)=YEAR($B$6),MONTH(BX$3)=MONTH($B$6),$B$5=1),('CAPEX'!$B$14+'CAPEX'!$B$17+'CAPEX'!$B$18)*'Вводные'!$B$30,0)+IF(AND(YEAR(BX$3)=YEAR($B$7),MONTH(BX$3)=MONTH($B$7),$B$5=1),'Вводные'!$B$26*'Вводные'!$V$88*'Вводные'!$B$30,0)</x:f>
      </x:c>
      <x:c r="BY57" s="117">
        <x:f>IF(AND(YEAR(BY$3)=YEAR($B$6),MONTH(BY$3)=MONTH($B$6),$B$5=1),('CAPEX'!$B$14+'CAPEX'!$B$17+'CAPEX'!$B$18)*'Вводные'!$B$30,0)+IF(AND(YEAR(BY$3)=YEAR($B$7),MONTH(BY$3)=MONTH($B$7),$B$5=1),'Вводные'!$B$26*'Вводные'!$V$88*'Вводные'!$B$30,0)</x:f>
      </x:c>
      <x:c r="BZ57" s="117">
        <x:f>IF(AND(YEAR(BZ$3)=YEAR($B$6),MONTH(BZ$3)=MONTH($B$6),$B$5=1),('CAPEX'!$B$14+'CAPEX'!$B$17+'CAPEX'!$B$18)*'Вводные'!$B$30,0)+IF(AND(YEAR(BZ$3)=YEAR($B$7),MONTH(BZ$3)=MONTH($B$7),$B$5=1),'Вводные'!$B$26*'Вводные'!$V$88*'Вводные'!$B$30,0)</x:f>
      </x:c>
      <x:c r="CA57" s="117">
        <x:f>IF(AND(YEAR(CA$3)=YEAR($B$6),MONTH(CA$3)=MONTH($B$6),$B$5=1),('CAPEX'!$B$14+'CAPEX'!$B$17+'CAPEX'!$B$18)*'Вводные'!$B$30,0)+IF(AND(YEAR(CA$3)=YEAR($B$7),MONTH(CA$3)=MONTH($B$7),$B$5=1),'Вводные'!$B$26*'Вводные'!$V$88*'Вводные'!$B$30,0)</x:f>
      </x:c>
      <x:c r="CB57" s="117">
        <x:f>IF(AND(YEAR(CB$3)=YEAR($B$6),MONTH(CB$3)=MONTH($B$6),$B$5=1),('CAPEX'!$B$14+'CAPEX'!$B$17+'CAPEX'!$B$18)*'Вводные'!$B$30,0)+IF(AND(YEAR(CB$3)=YEAR($B$7),MONTH(CB$3)=MONTH($B$7),$B$5=1),'Вводные'!$B$26*'Вводные'!$V$88*'Вводные'!$B$30,0)</x:f>
      </x:c>
      <x:c r="CC57" s="117">
        <x:f>IF(AND(YEAR(CC$3)=YEAR($B$6),MONTH(CC$3)=MONTH($B$6),$B$5=1),('CAPEX'!$B$14+'CAPEX'!$B$17+'CAPEX'!$B$18)*'Вводные'!$B$30,0)+IF(AND(YEAR(CC$3)=YEAR($B$7),MONTH(CC$3)=MONTH($B$7),$B$5=1),'Вводные'!$B$26*'Вводные'!$V$88*'Вводные'!$B$30,0)</x:f>
      </x:c>
      <x:c r="CD57" s="117">
        <x:f>IF(AND(YEAR(CD$3)=YEAR($B$6),MONTH(CD$3)=MONTH($B$6),$B$5=1),('CAPEX'!$B$14+'CAPEX'!$B$17+'CAPEX'!$B$18)*'Вводные'!$B$30,0)+IF(AND(YEAR(CD$3)=YEAR($B$7),MONTH(CD$3)=MONTH($B$7),$B$5=1),'Вводные'!$B$26*'Вводные'!$V$88*'Вводные'!$B$30,0)</x:f>
      </x:c>
      <x:c r="CE57" s="117">
        <x:f>IF(AND(YEAR(CE$3)=YEAR($B$6),MONTH(CE$3)=MONTH($B$6),$B$5=1),('CAPEX'!$B$14+'CAPEX'!$B$17+'CAPEX'!$B$18)*'Вводные'!$B$30,0)+IF(AND(YEAR(CE$3)=YEAR($B$7),MONTH(CE$3)=MONTH($B$7),$B$5=1),'Вводные'!$B$26*'Вводные'!$V$88*'Вводные'!$B$30,0)</x:f>
      </x:c>
      <x:c r="CF57" s="117">
        <x:f>IF(AND(YEAR(CF$3)=YEAR($B$6),MONTH(CF$3)=MONTH($B$6),$B$5=1),('CAPEX'!$B$14+'CAPEX'!$B$17+'CAPEX'!$B$18)*'Вводные'!$B$30,0)+IF(AND(YEAR(CF$3)=YEAR($B$7),MONTH(CF$3)=MONTH($B$7),$B$5=1),'Вводные'!$B$26*'Вводные'!$V$88*'Вводные'!$B$30,0)</x:f>
      </x:c>
      <x:c r="CG57" s="117">
        <x:f>IF(AND(YEAR(CG$3)=YEAR($B$6),MONTH(CG$3)=MONTH($B$6),$B$5=1),('CAPEX'!$B$14+'CAPEX'!$B$17+'CAPEX'!$B$18)*'Вводные'!$B$30,0)+IF(AND(YEAR(CG$3)=YEAR($B$7),MONTH(CG$3)=MONTH($B$7),$B$5=1),'Вводные'!$B$26*'Вводные'!$V$88*'Вводные'!$B$30,0)</x:f>
      </x:c>
      <x:c r="CH57" s="117">
        <x:f>IF(AND(YEAR(CH$3)=YEAR($B$6),MONTH(CH$3)=MONTH($B$6),$B$5=1),('CAPEX'!$B$14+'CAPEX'!$B$17+'CAPEX'!$B$18)*'Вводные'!$B$30,0)+IF(AND(YEAR(CH$3)=YEAR($B$7),MONTH(CH$3)=MONTH($B$7),$B$5=1),'Вводные'!$B$26*'Вводные'!$V$88*'Вводные'!$B$30,0)</x:f>
      </x:c>
      <x:c r="CI57" s="117">
        <x:f>IF(AND(YEAR(CI$3)=YEAR($B$6),MONTH(CI$3)=MONTH($B$6),$B$5=1),('CAPEX'!$B$14+'CAPEX'!$B$17+'CAPEX'!$B$18)*'Вводные'!$B$30,0)+IF(AND(YEAR(CI$3)=YEAR($B$7),MONTH(CI$3)=MONTH($B$7),$B$5=1),'Вводные'!$B$26*'Вводные'!$V$88*'Вводные'!$B$30,0)</x:f>
      </x:c>
      <x:c r="CJ57" s="117">
        <x:f>IF(AND(YEAR(CJ$3)=YEAR($B$6),MONTH(CJ$3)=MONTH($B$6),$B$5=1),('CAPEX'!$B$14+'CAPEX'!$B$17+'CAPEX'!$B$18)*'Вводные'!$B$30,0)+IF(AND(YEAR(CJ$3)=YEAR($B$7),MONTH(CJ$3)=MONTH($B$7),$B$5=1),'Вводные'!$B$26*'Вводные'!$V$88*'Вводные'!$B$30,0)</x:f>
      </x:c>
      <x:c r="CK57" s="117">
        <x:f>IF(AND(YEAR(CK$3)=YEAR($B$6),MONTH(CK$3)=MONTH($B$6),$B$5=1),('CAPEX'!$B$14+'CAPEX'!$B$17+'CAPEX'!$B$18)*'Вводные'!$B$30,0)+IF(AND(YEAR(CK$3)=YEAR($B$7),MONTH(CK$3)=MONTH($B$7),$B$5=1),'Вводные'!$B$26*'Вводные'!$V$88*'Вводные'!$B$30,0)</x:f>
      </x:c>
      <x:c r="CL57" s="117">
        <x:f>IF(AND(YEAR(CL$3)=YEAR($B$6),MONTH(CL$3)=MONTH($B$6),$B$5=1),('CAPEX'!$B$14+'CAPEX'!$B$17+'CAPEX'!$B$18)*'Вводные'!$B$30,0)+IF(AND(YEAR(CL$3)=YEAR($B$7),MONTH(CL$3)=MONTH($B$7),$B$5=1),'Вводные'!$B$26*'Вводные'!$V$88*'Вводные'!$B$30,0)</x:f>
      </x:c>
      <x:c r="CM57" s="117">
        <x:f>IF(AND(YEAR(CM$3)=YEAR($B$6),MONTH(CM$3)=MONTH($B$6),$B$5=1),('CAPEX'!$B$14+'CAPEX'!$B$17+'CAPEX'!$B$18)*'Вводные'!$B$30,0)+IF(AND(YEAR(CM$3)=YEAR($B$7),MONTH(CM$3)=MONTH($B$7),$B$5=1),'Вводные'!$B$26*'Вводные'!$V$88*'Вводные'!$B$30,0)</x:f>
      </x:c>
      <x:c r="CN57" s="117">
        <x:f>IF(AND(YEAR(CN$3)=YEAR($B$6),MONTH(CN$3)=MONTH($B$6),$B$5=1),('CAPEX'!$B$14+'CAPEX'!$B$17+'CAPEX'!$B$18)*'Вводные'!$B$30,0)+IF(AND(YEAR(CN$3)=YEAR($B$7),MONTH(CN$3)=MONTH($B$7),$B$5=1),'Вводные'!$B$26*'Вводные'!$V$88*'Вводные'!$B$30,0)</x:f>
      </x:c>
      <x:c r="CO57" s="117">
        <x:f>IF(AND(YEAR(CO$3)=YEAR($B$6),MONTH(CO$3)=MONTH($B$6),$B$5=1),('CAPEX'!$B$14+'CAPEX'!$B$17+'CAPEX'!$B$18)*'Вводные'!$B$30,0)+IF(AND(YEAR(CO$3)=YEAR($B$7),MONTH(CO$3)=MONTH($B$7),$B$5=1),'Вводные'!$B$26*'Вводные'!$V$88*'Вводные'!$B$30,0)</x:f>
      </x:c>
      <x:c r="CP57" s="117">
        <x:f>IF(AND(YEAR(CP$3)=YEAR($B$6),MONTH(CP$3)=MONTH($B$6),$B$5=1),('CAPEX'!$B$14+'CAPEX'!$B$17+'CAPEX'!$B$18)*'Вводные'!$B$30,0)+IF(AND(YEAR(CP$3)=YEAR($B$7),MONTH(CP$3)=MONTH($B$7),$B$5=1),'Вводные'!$B$26*'Вводные'!$V$88*'Вводные'!$B$30,0)</x:f>
      </x:c>
      <x:c r="CQ57" s="117">
        <x:f>IF(AND(YEAR(CQ$3)=YEAR($B$6),MONTH(CQ$3)=MONTH($B$6),$B$5=1),('CAPEX'!$B$14+'CAPEX'!$B$17+'CAPEX'!$B$18)*'Вводные'!$B$30,0)+IF(AND(YEAR(CQ$3)=YEAR($B$7),MONTH(CQ$3)=MONTH($B$7),$B$5=1),'Вводные'!$B$26*'Вводные'!$V$88*'Вводные'!$B$30,0)</x:f>
      </x:c>
      <x:c r="CR57" s="117">
        <x:f>IF(AND(YEAR(CR$3)=YEAR($B$6),MONTH(CR$3)=MONTH($B$6),$B$5=1),('CAPEX'!$B$14+'CAPEX'!$B$17+'CAPEX'!$B$18)*'Вводные'!$B$30,0)+IF(AND(YEAR(CR$3)=YEAR($B$7),MONTH(CR$3)=MONTH($B$7),$B$5=1),'Вводные'!$B$26*'Вводные'!$V$88*'Вводные'!$B$30,0)</x:f>
      </x:c>
      <x:c r="CS57" s="117">
        <x:f>IF(AND(YEAR(CS$3)=YEAR($B$6),MONTH(CS$3)=MONTH($B$6),$B$5=1),('CAPEX'!$B$14+'CAPEX'!$B$17+'CAPEX'!$B$18)*'Вводные'!$B$30,0)+IF(AND(YEAR(CS$3)=YEAR($B$7),MONTH(CS$3)=MONTH($B$7),$B$5=1),'Вводные'!$B$26*'Вводные'!$V$88*'Вводные'!$B$30,0)</x:f>
      </x:c>
      <x:c r="CT57" s="117">
        <x:f>IF(AND(YEAR(CT$3)=YEAR($B$6),MONTH(CT$3)=MONTH($B$6),$B$5=1),('CAPEX'!$B$14+'CAPEX'!$B$17+'CAPEX'!$B$18)*'Вводные'!$B$30,0)+IF(AND(YEAR(CT$3)=YEAR($B$7),MONTH(CT$3)=MONTH($B$7),$B$5=1),'Вводные'!$B$26*'Вводные'!$V$88*'Вводные'!$B$30,0)</x:f>
      </x:c>
      <x:c r="CU57" s="117">
        <x:f>IF(AND(YEAR(CU$3)=YEAR($B$6),MONTH(CU$3)=MONTH($B$6),$B$5=1),('CAPEX'!$B$14+'CAPEX'!$B$17+'CAPEX'!$B$18)*'Вводные'!$B$30,0)+IF(AND(YEAR(CU$3)=YEAR($B$7),MONTH(CU$3)=MONTH($B$7),$B$5=1),'Вводные'!$B$26*'Вводные'!$V$88*'Вводные'!$B$30,0)</x:f>
      </x:c>
      <x:c r="CV57" s="117">
        <x:f>IF(AND(YEAR(CV$3)=YEAR($B$6),MONTH(CV$3)=MONTH($B$6),$B$5=1),('CAPEX'!$B$14+'CAPEX'!$B$17+'CAPEX'!$B$18)*'Вводные'!$B$30,0)+IF(AND(YEAR(CV$3)=YEAR($B$7),MONTH(CV$3)=MONTH($B$7),$B$5=1),'Вводные'!$B$26*'Вводные'!$V$88*'Вводные'!$B$30,0)</x:f>
      </x:c>
      <x:c r="CW57" s="117">
        <x:f>IF(AND(YEAR(CW$3)=YEAR($B$6),MONTH(CW$3)=MONTH($B$6),$B$5=1),('CAPEX'!$B$14+'CAPEX'!$B$17+'CAPEX'!$B$18)*'Вводные'!$B$30,0)+IF(AND(YEAR(CW$3)=YEAR($B$7),MONTH(CW$3)=MONTH($B$7),$B$5=1),'Вводные'!$B$26*'Вводные'!$V$88*'Вводные'!$B$30,0)</x:f>
      </x:c>
      <x:c r="CX57" s="117">
        <x:f>IF(AND(YEAR(CX$3)=YEAR($B$6),MONTH(CX$3)=MONTH($B$6),$B$5=1),('CAPEX'!$B$14+'CAPEX'!$B$17+'CAPEX'!$B$18)*'Вводные'!$B$30,0)+IF(AND(YEAR(CX$3)=YEAR($B$7),MONTH(CX$3)=MONTH($B$7),$B$5=1),'Вводные'!$B$26*'Вводные'!$V$88*'Вводные'!$B$30,0)</x:f>
      </x:c>
      <x:c r="CY57" s="117">
        <x:f>IF(AND(YEAR(CY$3)=YEAR($B$6),MONTH(CY$3)=MONTH($B$6),$B$5=1),('CAPEX'!$B$14+'CAPEX'!$B$17+'CAPEX'!$B$18)*'Вводные'!$B$30,0)+IF(AND(YEAR(CY$3)=YEAR($B$7),MONTH(CY$3)=MONTH($B$7),$B$5=1),'Вводные'!$B$26*'Вводные'!$V$88*'Вводные'!$B$30,0)</x:f>
      </x:c>
      <x:c r="CZ57" s="117">
        <x:f>IF(AND(YEAR(CZ$3)=YEAR($B$6),MONTH(CZ$3)=MONTH($B$6),$B$5=1),('CAPEX'!$B$14+'CAPEX'!$B$17+'CAPEX'!$B$18)*'Вводные'!$B$30,0)+IF(AND(YEAR(CZ$3)=YEAR($B$7),MONTH(CZ$3)=MONTH($B$7),$B$5=1),'Вводные'!$B$26*'Вводные'!$V$88*'Вводные'!$B$30,0)</x:f>
      </x:c>
      <x:c r="DA57" s="117">
        <x:f>IF(AND(YEAR(DA$3)=YEAR($B$6),MONTH(DA$3)=MONTH($B$6),$B$5=1),('CAPEX'!$B$14+'CAPEX'!$B$17+'CAPEX'!$B$18)*'Вводные'!$B$30,0)+IF(AND(YEAR(DA$3)=YEAR($B$7),MONTH(DA$3)=MONTH($B$7),$B$5=1),'Вводные'!$B$26*'Вводные'!$V$88*'Вводные'!$B$30,0)</x:f>
      </x:c>
      <x:c r="DB57" s="117">
        <x:f>IF(AND(YEAR(DB$3)=YEAR($B$6),MONTH(DB$3)=MONTH($B$6),$B$5=1),('CAPEX'!$B$14+'CAPEX'!$B$17+'CAPEX'!$B$18)*'Вводные'!$B$30,0)+IF(AND(YEAR(DB$3)=YEAR($B$7),MONTH(DB$3)=MONTH($B$7),$B$5=1),'Вводные'!$B$26*'Вводные'!$V$88*'Вводные'!$B$30,0)</x:f>
      </x:c>
      <x:c r="DC57" s="117">
        <x:f>IF(AND(YEAR(DC$3)=YEAR($B$6),MONTH(DC$3)=MONTH($B$6),$B$5=1),('CAPEX'!$B$14+'CAPEX'!$B$17+'CAPEX'!$B$18)*'Вводные'!$B$30,0)+IF(AND(YEAR(DC$3)=YEAR($B$7),MONTH(DC$3)=MONTH($B$7),$B$5=1),'Вводные'!$B$26*'Вводные'!$V$88*'Вводные'!$B$30,0)</x:f>
      </x:c>
      <x:c r="DD57" s="117">
        <x:f>IF(AND(YEAR(DD$3)=YEAR($B$6),MONTH(DD$3)=MONTH($B$6),$B$5=1),('CAPEX'!$B$14+'CAPEX'!$B$17+'CAPEX'!$B$18)*'Вводные'!$B$30,0)+IF(AND(YEAR(DD$3)=YEAR($B$7),MONTH(DD$3)=MONTH($B$7),$B$5=1),'Вводные'!$B$26*'Вводные'!$V$88*'Вводные'!$B$30,0)</x:f>
      </x:c>
      <x:c r="DE57" s="117">
        <x:f>IF(AND(YEAR(DE$3)=YEAR($B$6),MONTH(DE$3)=MONTH($B$6),$B$5=1),('CAPEX'!$B$14+'CAPEX'!$B$17+'CAPEX'!$B$18)*'Вводные'!$B$30,0)+IF(AND(YEAR(DE$3)=YEAR($B$7),MONTH(DE$3)=MONTH($B$7),$B$5=1),'Вводные'!$B$26*'Вводные'!$V$88*'Вводные'!$B$30,0)</x:f>
      </x:c>
      <x:c r="DF57" s="117">
        <x:f>IF(AND(YEAR(DF$3)=YEAR($B$6),MONTH(DF$3)=MONTH($B$6),$B$5=1),('CAPEX'!$B$14+'CAPEX'!$B$17+'CAPEX'!$B$18)*'Вводные'!$B$30,0)+IF(AND(YEAR(DF$3)=YEAR($B$7),MONTH(DF$3)=MONTH($B$7),$B$5=1),'Вводные'!$B$26*'Вводные'!$V$88*'Вводные'!$B$30,0)</x:f>
      </x:c>
      <x:c r="DG57" s="117">
        <x:f>IF(AND(YEAR(DG$3)=YEAR($B$6),MONTH(DG$3)=MONTH($B$6),$B$5=1),('CAPEX'!$B$14+'CAPEX'!$B$17+'CAPEX'!$B$18)*'Вводные'!$B$30,0)+IF(AND(YEAR(DG$3)=YEAR($B$7),MONTH(DG$3)=MONTH($B$7),$B$5=1),'Вводные'!$B$26*'Вводные'!$V$88*'Вводные'!$B$30,0)</x:f>
      </x:c>
      <x:c r="DH57" s="117">
        <x:f>IF(AND(YEAR(DH$3)=YEAR($B$6),MONTH(DH$3)=MONTH($B$6),$B$5=1),('CAPEX'!$B$14+'CAPEX'!$B$17+'CAPEX'!$B$18)*'Вводные'!$B$30,0)+IF(AND(YEAR(DH$3)=YEAR($B$7),MONTH(DH$3)=MONTH($B$7),$B$5=1),'Вводные'!$B$26*'Вводные'!$V$88*'Вводные'!$B$30,0)</x:f>
      </x:c>
      <x:c r="DI57" s="117">
        <x:f>IF(AND(YEAR(DI$3)=YEAR($B$6),MONTH(DI$3)=MONTH($B$6),$B$5=1),('CAPEX'!$B$14+'CAPEX'!$B$17+'CAPEX'!$B$18)*'Вводные'!$B$30,0)+IF(AND(YEAR(DI$3)=YEAR($B$7),MONTH(DI$3)=MONTH($B$7),$B$5=1),'Вводные'!$B$26*'Вводные'!$V$88*'Вводные'!$B$30,0)</x:f>
      </x:c>
      <x:c r="DJ57" s="117">
        <x:f>IF(AND(YEAR(DJ$3)=YEAR($B$6),MONTH(DJ$3)=MONTH($B$6),$B$5=1),('CAPEX'!$B$14+'CAPEX'!$B$17+'CAPEX'!$B$18)*'Вводные'!$B$30,0)+IF(AND(YEAR(DJ$3)=YEAR($B$7),MONTH(DJ$3)=MONTH($B$7),$B$5=1),'Вводные'!$B$26*'Вводные'!$V$88*'Вводные'!$B$30,0)</x:f>
      </x:c>
      <x:c r="DK57" s="117">
        <x:f>IF(AND(YEAR(DK$3)=YEAR($B$6),MONTH(DK$3)=MONTH($B$6),$B$5=1),('CAPEX'!$B$14+'CAPEX'!$B$17+'CAPEX'!$B$18)*'Вводные'!$B$30,0)+IF(AND(YEAR(DK$3)=YEAR($B$7),MONTH(DK$3)=MONTH($B$7),$B$5=1),'Вводные'!$B$26*'Вводные'!$V$88*'Вводные'!$B$30,0)</x:f>
      </x:c>
      <x:c r="DL57" s="117">
        <x:f>IF(AND(YEAR(DL$3)=YEAR($B$6),MONTH(DL$3)=MONTH($B$6),$B$5=1),('CAPEX'!$B$14+'CAPEX'!$B$17+'CAPEX'!$B$18)*'Вводные'!$B$30,0)+IF(AND(YEAR(DL$3)=YEAR($B$7),MONTH(DL$3)=MONTH($B$7),$B$5=1),'Вводные'!$B$26*'Вводные'!$V$88*'Вводные'!$B$30,0)</x:f>
      </x:c>
      <x:c r="DM57" s="117">
        <x:f>IF(AND(YEAR(DM$3)=YEAR($B$6),MONTH(DM$3)=MONTH($B$6),$B$5=1),('CAPEX'!$B$14+'CAPEX'!$B$17+'CAPEX'!$B$18)*'Вводные'!$B$30,0)+IF(AND(YEAR(DM$3)=YEAR($B$7),MONTH(DM$3)=MONTH($B$7),$B$5=1),'Вводные'!$B$26*'Вводные'!$V$88*'Вводные'!$B$30,0)</x:f>
      </x:c>
      <x:c r="DN57" s="117">
        <x:f>IF(AND(YEAR(DN$3)=YEAR($B$6),MONTH(DN$3)=MONTH($B$6),$B$5=1),('CAPEX'!$B$14+'CAPEX'!$B$17+'CAPEX'!$B$18)*'Вводные'!$B$30,0)+IF(AND(YEAR(DN$3)=YEAR($B$7),MONTH(DN$3)=MONTH($B$7),$B$5=1),'Вводные'!$B$26*'Вводные'!$V$88*'Вводные'!$B$30,0)</x:f>
      </x:c>
      <x:c r="DO57" s="117">
        <x:f>IF(AND(YEAR(DO$3)=YEAR($B$6),MONTH(DO$3)=MONTH($B$6),$B$5=1),('CAPEX'!$B$14+'CAPEX'!$B$17+'CAPEX'!$B$18)*'Вводные'!$B$30,0)+IF(AND(YEAR(DO$3)=YEAR($B$7),MONTH(DO$3)=MONTH($B$7),$B$5=1),'Вводные'!$B$26*'Вводные'!$V$88*'Вводные'!$B$30,0)</x:f>
      </x:c>
      <x:c r="DP57" s="117">
        <x:f>IF(AND(YEAR(DP$3)=YEAR($B$6),MONTH(DP$3)=MONTH($B$6),$B$5=1),('CAPEX'!$B$14+'CAPEX'!$B$17+'CAPEX'!$B$18)*'Вводные'!$B$30,0)+IF(AND(YEAR(DP$3)=YEAR($B$7),MONTH(DP$3)=MONTH($B$7),$B$5=1),'Вводные'!$B$26*'Вводные'!$V$88*'Вводные'!$B$30,0)</x:f>
      </x:c>
      <x:c r="DQ57" s="117">
        <x:f>IF(AND(YEAR(DQ$3)=YEAR($B$6),MONTH(DQ$3)=MONTH($B$6),$B$5=1),('CAPEX'!$B$14+'CAPEX'!$B$17+'CAPEX'!$B$18)*'Вводные'!$B$30,0)+IF(AND(YEAR(DQ$3)=YEAR($B$7),MONTH(DQ$3)=MONTH($B$7),$B$5=1),'Вводные'!$B$26*'Вводные'!$V$88*'Вводные'!$B$30,0)</x:f>
      </x:c>
      <x:c r="DR57" s="117">
        <x:f>IF(AND(YEAR(DR$3)=YEAR($B$6),MONTH(DR$3)=MONTH($B$6),$B$5=1),('CAPEX'!$B$14+'CAPEX'!$B$17+'CAPEX'!$B$18)*'Вводные'!$B$30,0)+IF(AND(YEAR(DR$3)=YEAR($B$7),MONTH(DR$3)=MONTH($B$7),$B$5=1),'Вводные'!$B$26*'Вводные'!$V$88*'Вводные'!$B$30,0)</x:f>
      </x:c>
      <x:c r="DS57" s="117">
        <x:f>IF(AND(YEAR(DS$3)=YEAR($B$6),MONTH(DS$3)=MONTH($B$6),$B$5=1),('CAPEX'!$B$14+'CAPEX'!$B$17+'CAPEX'!$B$18)*'Вводные'!$B$30,0)+IF(AND(YEAR(DS$3)=YEAR($B$7),MONTH(DS$3)=MONTH($B$7),$B$5=1),'Вводные'!$B$26*'Вводные'!$V$88*'Вводные'!$B$30,0)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IF(AND((D38+D45)&gt;0,$B$5=1,D$3&lt;EDATE($B$8,'Вводные'!$H$89)),(D38+D45)*D41/12,0)</x:f>
      </x:c>
      <x:c r="E42" s="117">
        <x:f>IF(AND((E38+E45)&gt;0,$B$5=1,E$3&lt;EDATE($B$8,'Вводные'!$H$89)),(E38+E45)*E41/12,0)</x:f>
      </x:c>
      <x:c r="F42" s="117">
        <x:f>IF(AND((F38+F45)&gt;0,$B$5=1,F$3&lt;EDATE($B$8,'Вводные'!$H$89)),(F38+F45)*F41/12,0)</x:f>
      </x:c>
      <x:c r="G42" s="117">
        <x:f>IF(AND((G38+G45)&gt;0,$B$5=1,G$3&lt;EDATE($B$8,'Вводные'!$H$89)),(G38+G45)*G41/12,0)</x:f>
      </x:c>
      <x:c r="H42" s="117">
        <x:f>IF(AND((H38+H45)&gt;0,$B$5=1,H$3&lt;EDATE($B$8,'Вводные'!$H$89)),(H38+H45)*H41/12,0)</x:f>
      </x:c>
      <x:c r="I42" s="117">
        <x:f>IF(AND((I38+I45)&gt;0,$B$5=1,I$3&lt;EDATE($B$8,'Вводные'!$H$89)),(I38+I45)*I41/12,0)</x:f>
      </x:c>
      <x:c r="J42" s="117">
        <x:f>IF(AND((J38+J45)&gt;0,$B$5=1,J$3&lt;EDATE($B$8,'Вводные'!$H$89)),(J38+J45)*J41/12,0)</x:f>
      </x:c>
      <x:c r="K42" s="117">
        <x:f>IF(AND((K38+K45)&gt;0,$B$5=1,K$3&lt;EDATE($B$8,'Вводные'!$H$89)),(K38+K45)*K41/12,0)</x:f>
      </x:c>
      <x:c r="L42" s="117">
        <x:f>IF(AND((L38+L45)&gt;0,$B$5=1,L$3&lt;EDATE($B$8,'Вводные'!$H$89)),(L38+L45)*L41/12,0)</x:f>
      </x:c>
      <x:c r="M42" s="117">
        <x:f>IF(AND((M38+M45)&gt;0,$B$5=1,M$3&lt;EDATE($B$8,'Вводные'!$H$89)),(M38+M45)*M41/12,0)</x:f>
      </x:c>
      <x:c r="N42" s="117">
        <x:f>IF(AND((N38+N45)&gt;0,$B$5=1,N$3&lt;EDATE($B$8,'Вводные'!$H$89)),(N38+N45)*N41/12,0)</x:f>
      </x:c>
      <x:c r="O42" s="117">
        <x:f>IF(AND((O38+O45)&gt;0,$B$5=1,O$3&lt;EDATE($B$8,'Вводные'!$H$89)),(O38+O45)*O41/12,0)</x:f>
      </x:c>
      <x:c r="P42" s="117">
        <x:f>IF(AND((P38+P45)&gt;0,$B$5=1,P$3&lt;EDATE($B$8,'Вводные'!$H$89)),(P38+P45)*P41/12,0)</x:f>
      </x:c>
      <x:c r="Q42" s="117">
        <x:f>IF(AND((Q38+Q45)&gt;0,$B$5=1,Q$3&lt;EDATE($B$8,'Вводные'!$H$89)),(Q38+Q45)*Q41/12,0)</x:f>
      </x:c>
      <x:c r="R42" s="117">
        <x:f>IF(AND((R38+R45)&gt;0,$B$5=1,R$3&lt;EDATE($B$8,'Вводные'!$H$89)),(R38+R45)*R41/12,0)</x:f>
      </x:c>
      <x:c r="S42" s="117">
        <x:f>IF(AND((S38+S45)&gt;0,$B$5=1,S$3&lt;EDATE($B$8,'Вводные'!$H$89)),(S38+S45)*S41/12,0)</x:f>
      </x:c>
      <x:c r="T42" s="117">
        <x:f>IF(AND((T38+T45)&gt;0,$B$5=1,T$3&lt;EDATE($B$8,'Вводные'!$H$89)),(T38+T45)*T41/12,0)</x:f>
      </x:c>
      <x:c r="U42" s="117">
        <x:f>IF(AND((U38+U45)&gt;0,$B$5=1,U$3&lt;EDATE($B$8,'Вводные'!$H$89)),(U38+U45)*U41/12,0)</x:f>
      </x:c>
      <x:c r="V42" s="117">
        <x:f>IF(AND((V38+V45)&gt;0,$B$5=1,V$3&lt;EDATE($B$8,'Вводные'!$H$89)),(V38+V45)*V41/12,0)</x:f>
      </x:c>
      <x:c r="W42" s="117">
        <x:f>IF(AND((W38+W45)&gt;0,$B$5=1,W$3&lt;EDATE($B$8,'Вводные'!$H$89)),(W38+W45)*W41/12,0)</x:f>
      </x:c>
      <x:c r="X42" s="117">
        <x:f>IF(AND((X38+X45)&gt;0,$B$5=1,X$3&lt;EDATE($B$8,'Вводные'!$H$89)),(X38+X45)*X41/12,0)</x:f>
      </x:c>
      <x:c r="Y42" s="117">
        <x:f>IF(AND((Y38+Y45)&gt;0,$B$5=1,Y$3&lt;EDATE($B$8,'Вводные'!$H$89)),(Y38+Y45)*Y41/12,0)</x:f>
      </x:c>
      <x:c r="Z42" s="117">
        <x:f>IF(AND((Z38+Z45)&gt;0,$B$5=1,Z$3&lt;EDATE($B$8,'Вводные'!$H$89)),(Z38+Z45)*Z41/12,0)</x:f>
      </x:c>
      <x:c r="AA42" s="117">
        <x:f>IF(AND((AA38+AA45)&gt;0,$B$5=1,AA$3&lt;EDATE($B$8,'Вводные'!$H$89)),(AA38+AA45)*AA41/12,0)</x:f>
      </x:c>
      <x:c r="AB42" s="117">
        <x:f>IF(AND((AB38+AB45)&gt;0,$B$5=1,AB$3&lt;EDATE($B$8,'Вводные'!$H$89)),(AB38+AB45)*AB41/12,0)</x:f>
      </x:c>
      <x:c r="AC42" s="117">
        <x:f>IF(AND((AC38+AC45)&gt;0,$B$5=1,AC$3&lt;EDATE($B$8,'Вводные'!$H$89)),(AC38+AC45)*AC41/12,0)</x:f>
      </x:c>
      <x:c r="AD42" s="117">
        <x:f>IF(AND((AD38+AD45)&gt;0,$B$5=1,AD$3&lt;EDATE($B$8,'Вводные'!$H$89)),(AD38+AD45)*AD41/12,0)</x:f>
      </x:c>
      <x:c r="AE42" s="117">
        <x:f>IF(AND((AE38+AE45)&gt;0,$B$5=1,AE$3&lt;EDATE($B$8,'Вводные'!$H$89)),(AE38+AE45)*AE41/12,0)</x:f>
      </x:c>
      <x:c r="AF42" s="117">
        <x:f>IF(AND((AF38+AF45)&gt;0,$B$5=1,AF$3&lt;EDATE($B$8,'Вводные'!$H$89)),(AF38+AF45)*AF41/12,0)</x:f>
      </x:c>
      <x:c r="AG42" s="117">
        <x:f>IF(AND((AG38+AG45)&gt;0,$B$5=1,AG$3&lt;EDATE($B$8,'Вводные'!$H$89)),(AG38+AG45)*AG41/12,0)</x:f>
      </x:c>
      <x:c r="AH42" s="117">
        <x:f>IF(AND((AH38+AH45)&gt;0,$B$5=1,AH$3&lt;EDATE($B$8,'Вводные'!$H$89)),(AH38+AH45)*AH41/12,0)</x:f>
      </x:c>
      <x:c r="AI42" s="117">
        <x:f>IF(AND((AI38+AI45)&gt;0,$B$5=1,AI$3&lt;EDATE($B$8,'Вводные'!$H$89)),(AI38+AI45)*AI41/12,0)</x:f>
      </x:c>
      <x:c r="AJ42" s="117">
        <x:f>IF(AND((AJ38+AJ45)&gt;0,$B$5=1,AJ$3&lt;EDATE($B$8,'Вводные'!$H$89)),(AJ38+AJ45)*AJ41/12,0)</x:f>
      </x:c>
      <x:c r="AK42" s="117">
        <x:f>IF(AND((AK38+AK45)&gt;0,$B$5=1,AK$3&lt;EDATE($B$8,'Вводные'!$H$89)),(AK38+AK45)*AK41/12,0)</x:f>
      </x:c>
      <x:c r="AL42" s="117">
        <x:f>IF(AND((AL38+AL45)&gt;0,$B$5=1,AL$3&lt;EDATE($B$8,'Вводные'!$H$89)),(AL38+AL45)*AL41/12,0)</x:f>
      </x:c>
      <x:c r="AM42" s="117">
        <x:f>IF(AND((AM38+AM45)&gt;0,$B$5=1,AM$3&lt;EDATE($B$8,'Вводные'!$H$89)),(AM38+AM45)*AM41/12,0)</x:f>
      </x:c>
      <x:c r="AN42" s="117">
        <x:f>IF(AND((AN38+AN45)&gt;0,$B$5=1,AN$3&lt;EDATE($B$8,'Вводные'!$H$89)),(AN38+AN45)*AN41/12,0)</x:f>
      </x:c>
      <x:c r="AO42" s="117">
        <x:f>IF(AND((AO38+AO45)&gt;0,$B$5=1,AO$3&lt;EDATE($B$8,'Вводные'!$H$89)),(AO38+AO45)*AO41/12,0)</x:f>
      </x:c>
      <x:c r="AP42" s="117">
        <x:f>IF(AND((AP38+AP45)&gt;0,$B$5=1,AP$3&lt;EDATE($B$8,'Вводные'!$H$89)),(AP38+AP45)*AP41/12,0)</x:f>
      </x:c>
      <x:c r="AQ42" s="117">
        <x:f>IF(AND((AQ38+AQ45)&gt;0,$B$5=1,AQ$3&lt;EDATE($B$8,'Вводные'!$H$89)),(AQ38+AQ45)*AQ41/12,0)</x:f>
      </x:c>
      <x:c r="AR42" s="117">
        <x:f>IF(AND((AR38+AR45)&gt;0,$B$5=1,AR$3&lt;EDATE($B$8,'Вводные'!$H$89)),(AR38+AR45)*AR41/12,0)</x:f>
      </x:c>
      <x:c r="AS42" s="117">
        <x:f>IF(AND((AS38+AS45)&gt;0,$B$5=1,AS$3&lt;EDATE($B$8,'Вводные'!$H$89)),(AS38+AS45)*AS41/12,0)</x:f>
      </x:c>
      <x:c r="AT42" s="117">
        <x:f>IF(AND((AT38+AT45)&gt;0,$B$5=1,AT$3&lt;EDATE($B$8,'Вводные'!$H$89)),(AT38+AT45)*AT41/12,0)</x:f>
      </x:c>
      <x:c r="AU42" s="117">
        <x:f>IF(AND((AU38+AU45)&gt;0,$B$5=1,AU$3&lt;EDATE($B$8,'Вводные'!$H$89)),(AU38+AU45)*AU41/12,0)</x:f>
      </x:c>
      <x:c r="AV42" s="117">
        <x:f>IF(AND((AV38+AV45)&gt;0,$B$5=1,AV$3&lt;EDATE($B$8,'Вводные'!$H$89)),(AV38+AV45)*AV41/12,0)</x:f>
      </x:c>
      <x:c r="AW42" s="117">
        <x:f>IF(AND((AW38+AW45)&gt;0,$B$5=1,AW$3&lt;EDATE($B$8,'Вводные'!$H$89)),(AW38+AW45)*AW41/12,0)</x:f>
      </x:c>
      <x:c r="AX42" s="117">
        <x:f>IF(AND((AX38+AX45)&gt;0,$B$5=1,AX$3&lt;EDATE($B$8,'Вводные'!$H$89)),(AX38+AX45)*AX41/12,0)</x:f>
      </x:c>
      <x:c r="AY42" s="117">
        <x:f>IF(AND((AY38+AY45)&gt;0,$B$5=1,AY$3&lt;EDATE($B$8,'Вводные'!$H$89)),(AY38+AY45)*AY41/12,0)</x:f>
      </x:c>
      <x:c r="AZ42" s="117">
        <x:f>IF(AND((AZ38+AZ45)&gt;0,$B$5=1,AZ$3&lt;EDATE($B$8,'Вводные'!$H$89)),(AZ38+AZ45)*AZ41/12,0)</x:f>
      </x:c>
      <x:c r="BA42" s="117">
        <x:f>IF(AND((BA38+BA45)&gt;0,$B$5=1,BA$3&lt;EDATE($B$8,'Вводные'!$H$89)),(BA38+BA45)*BA41/12,0)</x:f>
      </x:c>
      <x:c r="BB42" s="117">
        <x:f>IF(AND((BB38+BB45)&gt;0,$B$5=1,BB$3&lt;EDATE($B$8,'Вводные'!$H$89)),(BB38+BB45)*BB41/12,0)</x:f>
      </x:c>
      <x:c r="BC42" s="117">
        <x:f>IF(AND((BC38+BC45)&gt;0,$B$5=1,BC$3&lt;EDATE($B$8,'Вводные'!$H$89)),(BC38+BC45)*BC41/12,0)</x:f>
      </x:c>
      <x:c r="BD42" s="117">
        <x:f>IF(AND((BD38+BD45)&gt;0,$B$5=1,BD$3&lt;EDATE($B$8,'Вводные'!$H$89)),(BD38+BD45)*BD41/12,0)</x:f>
      </x:c>
      <x:c r="BE42" s="117">
        <x:f>IF(AND((BE38+BE45)&gt;0,$B$5=1,BE$3&lt;EDATE($B$8,'Вводные'!$H$89)),(BE38+BE45)*BE41/12,0)</x:f>
      </x:c>
      <x:c r="BF42" s="117">
        <x:f>IF(AND((BF38+BF45)&gt;0,$B$5=1,BF$3&lt;EDATE($B$8,'Вводные'!$H$89)),(BF38+BF45)*BF41/12,0)</x:f>
      </x:c>
      <x:c r="BG42" s="117">
        <x:f>IF(AND((BG38+BG45)&gt;0,$B$5=1,BG$3&lt;EDATE($B$8,'Вводные'!$H$89)),(BG38+BG45)*BG41/12,0)</x:f>
      </x:c>
      <x:c r="BH42" s="117">
        <x:f>IF(AND((BH38+BH45)&gt;0,$B$5=1,BH$3&lt;EDATE($B$8,'Вводные'!$H$89)),(BH38+BH45)*BH41/12,0)</x:f>
      </x:c>
      <x:c r="BI42" s="117">
        <x:f>IF(AND((BI38+BI45)&gt;0,$B$5=1,BI$3&lt;EDATE($B$8,'Вводные'!$H$89)),(BI38+BI45)*BI41/12,0)</x:f>
      </x:c>
      <x:c r="BJ42" s="117">
        <x:f>IF(AND((BJ38+BJ45)&gt;0,$B$5=1,BJ$3&lt;EDATE($B$8,'Вводные'!$H$89)),(BJ38+BJ45)*BJ41/12,0)</x:f>
      </x:c>
      <x:c r="BK42" s="117">
        <x:f>IF(AND((BK38+BK45)&gt;0,$B$5=1,BK$3&lt;EDATE($B$8,'Вводные'!$H$89)),(BK38+BK45)*BK41/12,0)</x:f>
      </x:c>
      <x:c r="BL42" s="117">
        <x:f>IF(AND((BL38+BL45)&gt;0,$B$5=1,BL$3&lt;EDATE($B$8,'Вводные'!$H$89)),(BL38+BL45)*BL41/12,0)</x:f>
      </x:c>
      <x:c r="BM42" s="117">
        <x:f>IF(AND((BM38+BM45)&gt;0,$B$5=1,BM$3&lt;EDATE($B$8,'Вводные'!$H$89)),(BM38+BM45)*BM41/12,0)</x:f>
      </x:c>
      <x:c r="BN42" s="117">
        <x:f>IF(AND((BN38+BN45)&gt;0,$B$5=1,BN$3&lt;EDATE($B$8,'Вводные'!$H$89)),(BN38+BN45)*BN41/12,0)</x:f>
      </x:c>
      <x:c r="BO42" s="117">
        <x:f>IF(AND((BO38+BO45)&gt;0,$B$5=1,BO$3&lt;EDATE($B$8,'Вводные'!$H$89)),(BO38+BO45)*BO41/12,0)</x:f>
      </x:c>
      <x:c r="BP42" s="117">
        <x:f>IF(AND((BP38+BP45)&gt;0,$B$5=1,BP$3&lt;EDATE($B$8,'Вводные'!$H$89)),(BP38+BP45)*BP41/12,0)</x:f>
      </x:c>
      <x:c r="BQ42" s="117">
        <x:f>IF(AND((BQ38+BQ45)&gt;0,$B$5=1,BQ$3&lt;EDATE($B$8,'Вводные'!$H$89)),(BQ38+BQ45)*BQ41/12,0)</x:f>
      </x:c>
      <x:c r="BR42" s="117">
        <x:f>IF(AND((BR38+BR45)&gt;0,$B$5=1,BR$3&lt;EDATE($B$8,'Вводные'!$H$89)),(BR38+BR45)*BR41/12,0)</x:f>
      </x:c>
      <x:c r="BS42" s="117">
        <x:f>IF(AND((BS38+BS45)&gt;0,$B$5=1,BS$3&lt;EDATE($B$8,'Вводные'!$H$89)),(BS38+BS45)*BS41/12,0)</x:f>
      </x:c>
      <x:c r="BT42" s="117">
        <x:f>IF(AND((BT38+BT45)&gt;0,$B$5=1,BT$3&lt;EDATE($B$8,'Вводные'!$H$89)),(BT38+BT45)*BT41/12,0)</x:f>
      </x:c>
      <x:c r="BU42" s="117">
        <x:f>IF(AND((BU38+BU45)&gt;0,$B$5=1,BU$3&lt;EDATE($B$8,'Вводные'!$H$89)),(BU38+BU45)*BU41/12,0)</x:f>
      </x:c>
      <x:c r="BV42" s="117">
        <x:f>IF(AND((BV38+BV45)&gt;0,$B$5=1,BV$3&lt;EDATE($B$8,'Вводные'!$H$89)),(BV38+BV45)*BV41/12,0)</x:f>
      </x:c>
      <x:c r="BW42" s="117">
        <x:f>IF(AND((BW38+BW45)&gt;0,$B$5=1,BW$3&lt;EDATE($B$8,'Вводные'!$H$89)),(BW38+BW45)*BW41/12,0)</x:f>
      </x:c>
      <x:c r="BX42" s="117">
        <x:f>IF(AND((BX38+BX45)&gt;0,$B$5=1,BX$3&lt;EDATE($B$8,'Вводные'!$H$89)),(BX38+BX45)*BX41/12,0)</x:f>
      </x:c>
      <x:c r="BY42" s="117">
        <x:f>IF(AND((BY38+BY45)&gt;0,$B$5=1,BY$3&lt;EDATE($B$8,'Вводные'!$H$89)),(BY38+BY45)*BY41/12,0)</x:f>
      </x:c>
      <x:c r="BZ42" s="117">
        <x:f>IF(AND((BZ38+BZ45)&gt;0,$B$5=1,BZ$3&lt;EDATE($B$8,'Вводные'!$H$89)),(BZ38+BZ45)*BZ41/12,0)</x:f>
      </x:c>
      <x:c r="CA42" s="117">
        <x:f>IF(AND((CA38+CA45)&gt;0,$B$5=1,CA$3&lt;EDATE($B$8,'Вводные'!$H$89)),(CA38+CA45)*CA41/12,0)</x:f>
      </x:c>
      <x:c r="CB42" s="117">
        <x:f>IF(AND((CB38+CB45)&gt;0,$B$5=1,CB$3&lt;EDATE($B$8,'Вводные'!$H$89)),(CB38+CB45)*CB41/12,0)</x:f>
      </x:c>
      <x:c r="CC42" s="117">
        <x:f>IF(AND((CC38+CC45)&gt;0,$B$5=1,CC$3&lt;EDATE($B$8,'Вводные'!$H$89)),(CC38+CC45)*CC41/12,0)</x:f>
      </x:c>
      <x:c r="CD42" s="117">
        <x:f>IF(AND((CD38+CD45)&gt;0,$B$5=1,CD$3&lt;EDATE($B$8,'Вводные'!$H$89)),(CD38+CD45)*CD41/12,0)</x:f>
      </x:c>
      <x:c r="CE42" s="117">
        <x:f>IF(AND((CE38+CE45)&gt;0,$B$5=1,CE$3&lt;EDATE($B$8,'Вводные'!$H$89)),(CE38+CE45)*CE41/12,0)</x:f>
      </x:c>
      <x:c r="CF42" s="117">
        <x:f>IF(AND((CF38+CF45)&gt;0,$B$5=1,CF$3&lt;EDATE($B$8,'Вводные'!$H$89)),(CF38+CF45)*CF41/12,0)</x:f>
      </x:c>
      <x:c r="CG42" s="117">
        <x:f>IF(AND((CG38+CG45)&gt;0,$B$5=1,CG$3&lt;EDATE($B$8,'Вводные'!$H$89)),(CG38+CG45)*CG41/12,0)</x:f>
      </x:c>
      <x:c r="CH42" s="117">
        <x:f>IF(AND((CH38+CH45)&gt;0,$B$5=1,CH$3&lt;EDATE($B$8,'Вводные'!$H$89)),(CH38+CH45)*CH41/12,0)</x:f>
      </x:c>
      <x:c r="CI42" s="117">
        <x:f>IF(AND((CI38+CI45)&gt;0,$B$5=1,CI$3&lt;EDATE($B$8,'Вводные'!$H$89)),(CI38+CI45)*CI41/12,0)</x:f>
      </x:c>
      <x:c r="CJ42" s="117">
        <x:f>IF(AND((CJ38+CJ45)&gt;0,$B$5=1,CJ$3&lt;EDATE($B$8,'Вводные'!$H$89)),(CJ38+CJ45)*CJ41/12,0)</x:f>
      </x:c>
      <x:c r="CK42" s="117">
        <x:f>IF(AND((CK38+CK45)&gt;0,$B$5=1,CK$3&lt;EDATE($B$8,'Вводные'!$H$89)),(CK38+CK45)*CK41/12,0)</x:f>
      </x:c>
      <x:c r="CL42" s="117">
        <x:f>IF(AND((CL38+CL45)&gt;0,$B$5=1,CL$3&lt;EDATE($B$8,'Вводные'!$H$89)),(CL38+CL45)*CL41/12,0)</x:f>
      </x:c>
      <x:c r="CM42" s="117">
        <x:f>IF(AND((CM38+CM45)&gt;0,$B$5=1,CM$3&lt;EDATE($B$8,'Вводные'!$H$89)),(CM38+CM45)*CM41/12,0)</x:f>
      </x:c>
      <x:c r="CN42" s="117">
        <x:f>IF(AND((CN38+CN45)&gt;0,$B$5=1,CN$3&lt;EDATE($B$8,'Вводные'!$H$89)),(CN38+CN45)*CN41/12,0)</x:f>
      </x:c>
      <x:c r="CO42" s="117">
        <x:f>IF(AND((CO38+CO45)&gt;0,$B$5=1,CO$3&lt;EDATE($B$8,'Вводные'!$H$89)),(CO38+CO45)*CO41/12,0)</x:f>
      </x:c>
      <x:c r="CP42" s="117">
        <x:f>IF(AND((CP38+CP45)&gt;0,$B$5=1,CP$3&lt;EDATE($B$8,'Вводные'!$H$89)),(CP38+CP45)*CP41/12,0)</x:f>
      </x:c>
      <x:c r="CQ42" s="117">
        <x:f>IF(AND((CQ38+CQ45)&gt;0,$B$5=1,CQ$3&lt;EDATE($B$8,'Вводные'!$H$89)),(CQ38+CQ45)*CQ41/12,0)</x:f>
      </x:c>
      <x:c r="CR42" s="117">
        <x:f>IF(AND((CR38+CR45)&gt;0,$B$5=1,CR$3&lt;EDATE($B$8,'Вводные'!$H$89)),(CR38+CR45)*CR41/12,0)</x:f>
      </x:c>
      <x:c r="CS42" s="117">
        <x:f>IF(AND((CS38+CS45)&gt;0,$B$5=1,CS$3&lt;EDATE($B$8,'Вводные'!$H$89)),(CS38+CS45)*CS41/12,0)</x:f>
      </x:c>
      <x:c r="CT42" s="117">
        <x:f>IF(AND((CT38+CT45)&gt;0,$B$5=1,CT$3&lt;EDATE($B$8,'Вводные'!$H$89)),(CT38+CT45)*CT41/12,0)</x:f>
      </x:c>
      <x:c r="CU42" s="117">
        <x:f>IF(AND((CU38+CU45)&gt;0,$B$5=1,CU$3&lt;EDATE($B$8,'Вводные'!$H$89)),(CU38+CU45)*CU41/12,0)</x:f>
      </x:c>
      <x:c r="CV42" s="117">
        <x:f>IF(AND((CV38+CV45)&gt;0,$B$5=1,CV$3&lt;EDATE($B$8,'Вводные'!$H$89)),(CV38+CV45)*CV41/12,0)</x:f>
      </x:c>
      <x:c r="CW42" s="117">
        <x:f>IF(AND((CW38+CW45)&gt;0,$B$5=1,CW$3&lt;EDATE($B$8,'Вводные'!$H$89)),(CW38+CW45)*CW41/12,0)</x:f>
      </x:c>
      <x:c r="CX42" s="117">
        <x:f>IF(AND((CX38+CX45)&gt;0,$B$5=1,CX$3&lt;EDATE($B$8,'Вводные'!$H$89)),(CX38+CX45)*CX41/12,0)</x:f>
      </x:c>
      <x:c r="CY42" s="117">
        <x:f>IF(AND((CY38+CY45)&gt;0,$B$5=1,CY$3&lt;EDATE($B$8,'Вводные'!$H$89)),(CY38+CY45)*CY41/12,0)</x:f>
      </x:c>
      <x:c r="CZ42" s="117">
        <x:f>IF(AND((CZ38+CZ45)&gt;0,$B$5=1,CZ$3&lt;EDATE($B$8,'Вводные'!$H$89)),(CZ38+CZ45)*CZ41/12,0)</x:f>
      </x:c>
      <x:c r="DA42" s="117">
        <x:f>IF(AND((DA38+DA45)&gt;0,$B$5=1,DA$3&lt;EDATE($B$8,'Вводные'!$H$89)),(DA38+DA45)*DA41/12,0)</x:f>
      </x:c>
      <x:c r="DB42" s="117">
        <x:f>IF(AND((DB38+DB45)&gt;0,$B$5=1,DB$3&lt;EDATE($B$8,'Вводные'!$H$89)),(DB38+DB45)*DB41/12,0)</x:f>
      </x:c>
      <x:c r="DC42" s="117">
        <x:f>IF(AND((DC38+DC45)&gt;0,$B$5=1,DC$3&lt;EDATE($B$8,'Вводные'!$H$89)),(DC38+DC45)*DC41/12,0)</x:f>
      </x:c>
      <x:c r="DD42" s="117">
        <x:f>IF(AND((DD38+DD45)&gt;0,$B$5=1,DD$3&lt;EDATE($B$8,'Вводные'!$H$89)),(DD38+DD45)*DD41/12,0)</x:f>
      </x:c>
      <x:c r="DE42" s="117">
        <x:f>IF(AND((DE38+DE45)&gt;0,$B$5=1,DE$3&lt;EDATE($B$8,'Вводные'!$H$89)),(DE38+DE45)*DE41/12,0)</x:f>
      </x:c>
      <x:c r="DF42" s="117">
        <x:f>IF(AND((DF38+DF45)&gt;0,$B$5=1,DF$3&lt;EDATE($B$8,'Вводные'!$H$89)),(DF38+DF45)*DF41/12,0)</x:f>
      </x:c>
      <x:c r="DG42" s="117">
        <x:f>IF(AND((DG38+DG45)&gt;0,$B$5=1,DG$3&lt;EDATE($B$8,'Вводные'!$H$89)),(DG38+DG45)*DG41/12,0)</x:f>
      </x:c>
      <x:c r="DH42" s="117">
        <x:f>IF(AND((DH38+DH45)&gt;0,$B$5=1,DH$3&lt;EDATE($B$8,'Вводные'!$H$89)),(DH38+DH45)*DH41/12,0)</x:f>
      </x:c>
      <x:c r="DI42" s="117">
        <x:f>IF(AND((DI38+DI45)&gt;0,$B$5=1,DI$3&lt;EDATE($B$8,'Вводные'!$H$89)),(DI38+DI45)*DI41/12,0)</x:f>
      </x:c>
      <x:c r="DJ42" s="117">
        <x:f>IF(AND((DJ38+DJ45)&gt;0,$B$5=1,DJ$3&lt;EDATE($B$8,'Вводные'!$H$89)),(DJ38+DJ45)*DJ41/12,0)</x:f>
      </x:c>
      <x:c r="DK42" s="117">
        <x:f>IF(AND((DK38+DK45)&gt;0,$B$5=1,DK$3&lt;EDATE($B$8,'Вводные'!$H$89)),(DK38+DK45)*DK41/12,0)</x:f>
      </x:c>
      <x:c r="DL42" s="117">
        <x:f>IF(AND((DL38+DL45)&gt;0,$B$5=1,DL$3&lt;EDATE($B$8,'Вводные'!$H$89)),(DL38+DL45)*DL41/12,0)</x:f>
      </x:c>
      <x:c r="DM42" s="117">
        <x:f>IF(AND((DM38+DM45)&gt;0,$B$5=1,DM$3&lt;EDATE($B$8,'Вводные'!$H$89)),(DM38+DM45)*DM41/12,0)</x:f>
      </x:c>
      <x:c r="DN42" s="117">
        <x:f>IF(AND((DN38+DN45)&gt;0,$B$5=1,DN$3&lt;EDATE($B$8,'Вводные'!$H$89)),(DN38+DN45)*DN41/12,0)</x:f>
      </x:c>
      <x:c r="DO42" s="117">
        <x:f>IF(AND((DO38+DO45)&gt;0,$B$5=1,DO$3&lt;EDATE($B$8,'Вводные'!$H$89)),(DO38+DO45)*DO41/12,0)</x:f>
      </x:c>
      <x:c r="DP42" s="117">
        <x:f>IF(AND((DP38+DP45)&gt;0,$B$5=1,DP$3&lt;EDATE($B$8,'Вводные'!$H$89)),(DP38+DP45)*DP41/12,0)</x:f>
      </x:c>
      <x:c r="DQ42" s="117">
        <x:f>IF(AND((DQ38+DQ45)&gt;0,$B$5=1,DQ$3&lt;EDATE($B$8,'Вводные'!$H$89)),(DQ38+DQ45)*DQ41/12,0)</x:f>
      </x:c>
      <x:c r="DR42" s="117">
        <x:f>IF(AND((DR38+DR45)&gt;0,$B$5=1,DR$3&lt;EDATE($B$8,'Вводные'!$H$89)),(DR38+DR45)*DR41/12,0)</x:f>
      </x:c>
      <x:c r="DS42" s="117">
        <x:f>IF(AND((DS38+DS45)&gt;0,$B$5=1,DS$3&lt;EDATE($B$8,'Вводные'!$H$89)),(DS38+DS45)*DS41/12,0)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IF(AND(D$3&gt;=$B$7,D$3&lt;$B$8),MAX(0,'Вводные'!$B$26*'Вводные'!$V$89-(D38+D45))*'Вводные'!$B$29/12,0)</x:f>
      </x:c>
      <x:c r="E43" s="117">
        <x:f>IF(AND(E$3&gt;=$B$7,E$3&lt;$B$8),MAX(0,'Вводные'!$B$26*'Вводные'!$V$89-(E38+E45))*'Вводные'!$B$29/12,0)</x:f>
      </x:c>
      <x:c r="F43" s="117">
        <x:f>IF(AND(F$3&gt;=$B$7,F$3&lt;$B$8),MAX(0,'Вводные'!$B$26*'Вводные'!$V$89-(F38+F45))*'Вводные'!$B$29/12,0)</x:f>
      </x:c>
      <x:c r="G43" s="117">
        <x:f>IF(AND(G$3&gt;=$B$7,G$3&lt;$B$8),MAX(0,'Вводные'!$B$26*'Вводные'!$V$89-(G38+G45))*'Вводные'!$B$29/12,0)</x:f>
      </x:c>
      <x:c r="H43" s="117">
        <x:f>IF(AND(H$3&gt;=$B$7,H$3&lt;$B$8),MAX(0,'Вводные'!$B$26*'Вводные'!$V$89-(H38+H45))*'Вводные'!$B$29/12,0)</x:f>
      </x:c>
      <x:c r="I43" s="117">
        <x:f>IF(AND(I$3&gt;=$B$7,I$3&lt;$B$8),MAX(0,'Вводные'!$B$26*'Вводные'!$V$89-(I38+I45))*'Вводные'!$B$29/12,0)</x:f>
      </x:c>
      <x:c r="J43" s="117">
        <x:f>IF(AND(J$3&gt;=$B$7,J$3&lt;$B$8),MAX(0,'Вводные'!$B$26*'Вводные'!$V$89-(J38+J45))*'Вводные'!$B$29/12,0)</x:f>
      </x:c>
      <x:c r="K43" s="117">
        <x:f>IF(AND(K$3&gt;=$B$7,K$3&lt;$B$8),MAX(0,'Вводные'!$B$26*'Вводные'!$V$89-(K38+K45))*'Вводные'!$B$29/12,0)</x:f>
      </x:c>
      <x:c r="L43" s="117">
        <x:f>IF(AND(L$3&gt;=$B$7,L$3&lt;$B$8),MAX(0,'Вводные'!$B$26*'Вводные'!$V$89-(L38+L45))*'Вводные'!$B$29/12,0)</x:f>
      </x:c>
      <x:c r="M43" s="117">
        <x:f>IF(AND(M$3&gt;=$B$7,M$3&lt;$B$8),MAX(0,'Вводные'!$B$26*'Вводные'!$V$89-(M38+M45))*'Вводные'!$B$29/12,0)</x:f>
      </x:c>
      <x:c r="N43" s="117">
        <x:f>IF(AND(N$3&gt;=$B$7,N$3&lt;$B$8),MAX(0,'Вводные'!$B$26*'Вводные'!$V$89-(N38+N45))*'Вводные'!$B$29/12,0)</x:f>
      </x:c>
      <x:c r="O43" s="117">
        <x:f>IF(AND(O$3&gt;=$B$7,O$3&lt;$B$8),MAX(0,'Вводные'!$B$26*'Вводные'!$V$89-(O38+O45))*'Вводные'!$B$29/12,0)</x:f>
      </x:c>
      <x:c r="P43" s="117">
        <x:f>IF(AND(P$3&gt;=$B$7,P$3&lt;$B$8),MAX(0,'Вводные'!$B$26*'Вводные'!$V$89-(P38+P45))*'Вводные'!$B$29/12,0)</x:f>
      </x:c>
      <x:c r="Q43" s="117">
        <x:f>IF(AND(Q$3&gt;=$B$7,Q$3&lt;$B$8),MAX(0,'Вводные'!$B$26*'Вводные'!$V$89-(Q38+Q45))*'Вводные'!$B$29/12,0)</x:f>
      </x:c>
      <x:c r="R43" s="117">
        <x:f>IF(AND(R$3&gt;=$B$7,R$3&lt;$B$8),MAX(0,'Вводные'!$B$26*'Вводные'!$V$89-(R38+R45))*'Вводные'!$B$29/12,0)</x:f>
      </x:c>
      <x:c r="S43" s="117">
        <x:f>IF(AND(S$3&gt;=$B$7,S$3&lt;$B$8),MAX(0,'Вводные'!$B$26*'Вводные'!$V$89-(S38+S45))*'Вводные'!$B$29/12,0)</x:f>
      </x:c>
      <x:c r="T43" s="117">
        <x:f>IF(AND(T$3&gt;=$B$7,T$3&lt;$B$8),MAX(0,'Вводные'!$B$26*'Вводные'!$V$89-(T38+T45))*'Вводные'!$B$29/12,0)</x:f>
      </x:c>
      <x:c r="U43" s="117">
        <x:f>IF(AND(U$3&gt;=$B$7,U$3&lt;$B$8),MAX(0,'Вводные'!$B$26*'Вводные'!$V$89-(U38+U45))*'Вводные'!$B$29/12,0)</x:f>
      </x:c>
      <x:c r="V43" s="117">
        <x:f>IF(AND(V$3&gt;=$B$7,V$3&lt;$B$8),MAX(0,'Вводные'!$B$26*'Вводные'!$V$89-(V38+V45))*'Вводные'!$B$29/12,0)</x:f>
      </x:c>
      <x:c r="W43" s="117">
        <x:f>IF(AND(W$3&gt;=$B$7,W$3&lt;$B$8),MAX(0,'Вводные'!$B$26*'Вводные'!$V$89-(W38+W45))*'Вводные'!$B$29/12,0)</x:f>
      </x:c>
      <x:c r="X43" s="117">
        <x:f>IF(AND(X$3&gt;=$B$7,X$3&lt;$B$8),MAX(0,'Вводные'!$B$26*'Вводные'!$V$89-(X38+X45))*'Вводные'!$B$29/12,0)</x:f>
      </x:c>
      <x:c r="Y43" s="117">
        <x:f>IF(AND(Y$3&gt;=$B$7,Y$3&lt;$B$8),MAX(0,'Вводные'!$B$26*'Вводные'!$V$89-(Y38+Y45))*'Вводные'!$B$29/12,0)</x:f>
      </x:c>
      <x:c r="Z43" s="117">
        <x:f>IF(AND(Z$3&gt;=$B$7,Z$3&lt;$B$8),MAX(0,'Вводные'!$B$26*'Вводные'!$V$89-(Z38+Z45))*'Вводные'!$B$29/12,0)</x:f>
      </x:c>
      <x:c r="AA43" s="117">
        <x:f>IF(AND(AA$3&gt;=$B$7,AA$3&lt;$B$8),MAX(0,'Вводные'!$B$26*'Вводные'!$V$89-(AA38+AA45))*'Вводные'!$B$29/12,0)</x:f>
      </x:c>
      <x:c r="AB43" s="117">
        <x:f>IF(AND(AB$3&gt;=$B$7,AB$3&lt;$B$8),MAX(0,'Вводные'!$B$26*'Вводные'!$V$89-(AB38+AB45))*'Вводные'!$B$29/12,0)</x:f>
      </x:c>
      <x:c r="AC43" s="117">
        <x:f>IF(AND(AC$3&gt;=$B$7,AC$3&lt;$B$8),MAX(0,'Вводные'!$B$26*'Вводные'!$V$89-(AC38+AC45))*'Вводные'!$B$29/12,0)</x:f>
      </x:c>
      <x:c r="AD43" s="117">
        <x:f>IF(AND(AD$3&gt;=$B$7,AD$3&lt;$B$8),MAX(0,'Вводные'!$B$26*'Вводные'!$V$89-(AD38+AD45))*'Вводные'!$B$29/12,0)</x:f>
      </x:c>
      <x:c r="AE43" s="117">
        <x:f>IF(AND(AE$3&gt;=$B$7,AE$3&lt;$B$8),MAX(0,'Вводные'!$B$26*'Вводные'!$V$89-(AE38+AE45))*'Вводные'!$B$29/12,0)</x:f>
      </x:c>
      <x:c r="AF43" s="117">
        <x:f>IF(AND(AF$3&gt;=$B$7,AF$3&lt;$B$8),MAX(0,'Вводные'!$B$26*'Вводные'!$V$89-(AF38+AF45))*'Вводные'!$B$29/12,0)</x:f>
      </x:c>
      <x:c r="AG43" s="117">
        <x:f>IF(AND(AG$3&gt;=$B$7,AG$3&lt;$B$8),MAX(0,'Вводные'!$B$26*'Вводные'!$V$89-(AG38+AG45))*'Вводные'!$B$29/12,0)</x:f>
      </x:c>
      <x:c r="AH43" s="117">
        <x:f>IF(AND(AH$3&gt;=$B$7,AH$3&lt;$B$8),MAX(0,'Вводные'!$B$26*'Вводные'!$V$89-(AH38+AH45))*'Вводные'!$B$29/12,0)</x:f>
      </x:c>
      <x:c r="AI43" s="117">
        <x:f>IF(AND(AI$3&gt;=$B$7,AI$3&lt;$B$8),MAX(0,'Вводные'!$B$26*'Вводные'!$V$89-(AI38+AI45))*'Вводные'!$B$29/12,0)</x:f>
      </x:c>
      <x:c r="AJ43" s="117">
        <x:f>IF(AND(AJ$3&gt;=$B$7,AJ$3&lt;$B$8),MAX(0,'Вводные'!$B$26*'Вводные'!$V$89-(AJ38+AJ45))*'Вводные'!$B$29/12,0)</x:f>
      </x:c>
      <x:c r="AK43" s="117">
        <x:f>IF(AND(AK$3&gt;=$B$7,AK$3&lt;$B$8),MAX(0,'Вводные'!$B$26*'Вводные'!$V$89-(AK38+AK45))*'Вводные'!$B$29/12,0)</x:f>
      </x:c>
      <x:c r="AL43" s="117">
        <x:f>IF(AND(AL$3&gt;=$B$7,AL$3&lt;$B$8),MAX(0,'Вводные'!$B$26*'Вводные'!$V$89-(AL38+AL45))*'Вводные'!$B$29/12,0)</x:f>
      </x:c>
      <x:c r="AM43" s="117">
        <x:f>IF(AND(AM$3&gt;=$B$7,AM$3&lt;$B$8),MAX(0,'Вводные'!$B$26*'Вводные'!$V$89-(AM38+AM45))*'Вводные'!$B$29/12,0)</x:f>
      </x:c>
      <x:c r="AN43" s="117">
        <x:f>IF(AND(AN$3&gt;=$B$7,AN$3&lt;$B$8),MAX(0,'Вводные'!$B$26*'Вводные'!$V$89-(AN38+AN45))*'Вводные'!$B$29/12,0)</x:f>
      </x:c>
      <x:c r="AO43" s="117">
        <x:f>IF(AND(AO$3&gt;=$B$7,AO$3&lt;$B$8),MAX(0,'Вводные'!$B$26*'Вводные'!$V$89-(AO38+AO45))*'Вводные'!$B$29/12,0)</x:f>
      </x:c>
      <x:c r="AP43" s="117">
        <x:f>IF(AND(AP$3&gt;=$B$7,AP$3&lt;$B$8),MAX(0,'Вводные'!$B$26*'Вводные'!$V$89-(AP38+AP45))*'Вводные'!$B$29/12,0)</x:f>
      </x:c>
      <x:c r="AQ43" s="117">
        <x:f>IF(AND(AQ$3&gt;=$B$7,AQ$3&lt;$B$8),MAX(0,'Вводные'!$B$26*'Вводные'!$V$89-(AQ38+AQ45))*'Вводные'!$B$29/12,0)</x:f>
      </x:c>
      <x:c r="AR43" s="117">
        <x:f>IF(AND(AR$3&gt;=$B$7,AR$3&lt;$B$8),MAX(0,'Вводные'!$B$26*'Вводные'!$V$89-(AR38+AR45))*'Вводные'!$B$29/12,0)</x:f>
      </x:c>
      <x:c r="AS43" s="117">
        <x:f>IF(AND(AS$3&gt;=$B$7,AS$3&lt;$B$8),MAX(0,'Вводные'!$B$26*'Вводные'!$V$89-(AS38+AS45))*'Вводные'!$B$29/12,0)</x:f>
      </x:c>
      <x:c r="AT43" s="117">
        <x:f>IF(AND(AT$3&gt;=$B$7,AT$3&lt;$B$8),MAX(0,'Вводные'!$B$26*'Вводные'!$V$89-(AT38+AT45))*'Вводные'!$B$29/12,0)</x:f>
      </x:c>
      <x:c r="AU43" s="117">
        <x:f>IF(AND(AU$3&gt;=$B$7,AU$3&lt;$B$8),MAX(0,'Вводные'!$B$26*'Вводные'!$V$89-(AU38+AU45))*'Вводные'!$B$29/12,0)</x:f>
      </x:c>
      <x:c r="AV43" s="117">
        <x:f>IF(AND(AV$3&gt;=$B$7,AV$3&lt;$B$8),MAX(0,'Вводные'!$B$26*'Вводные'!$V$89-(AV38+AV45))*'Вводные'!$B$29/12,0)</x:f>
      </x:c>
      <x:c r="AW43" s="117">
        <x:f>IF(AND(AW$3&gt;=$B$7,AW$3&lt;$B$8),MAX(0,'Вводные'!$B$26*'Вводные'!$V$89-(AW38+AW45))*'Вводные'!$B$29/12,0)</x:f>
      </x:c>
      <x:c r="AX43" s="117">
        <x:f>IF(AND(AX$3&gt;=$B$7,AX$3&lt;$B$8),MAX(0,'Вводные'!$B$26*'Вводные'!$V$89-(AX38+AX45))*'Вводные'!$B$29/12,0)</x:f>
      </x:c>
      <x:c r="AY43" s="117">
        <x:f>IF(AND(AY$3&gt;=$B$7,AY$3&lt;$B$8),MAX(0,'Вводные'!$B$26*'Вводные'!$V$89-(AY38+AY45))*'Вводные'!$B$29/12,0)</x:f>
      </x:c>
      <x:c r="AZ43" s="117">
        <x:f>IF(AND(AZ$3&gt;=$B$7,AZ$3&lt;$B$8),MAX(0,'Вводные'!$B$26*'Вводные'!$V$89-(AZ38+AZ45))*'Вводные'!$B$29/12,0)</x:f>
      </x:c>
      <x:c r="BA43" s="117">
        <x:f>IF(AND(BA$3&gt;=$B$7,BA$3&lt;$B$8),MAX(0,'Вводные'!$B$26*'Вводные'!$V$89-(BA38+BA45))*'Вводные'!$B$29/12,0)</x:f>
      </x:c>
      <x:c r="BB43" s="117">
        <x:f>IF(AND(BB$3&gt;=$B$7,BB$3&lt;$B$8),MAX(0,'Вводные'!$B$26*'Вводные'!$V$89-(BB38+BB45))*'Вводные'!$B$29/12,0)</x:f>
      </x:c>
      <x:c r="BC43" s="117">
        <x:f>IF(AND(BC$3&gt;=$B$7,BC$3&lt;$B$8),MAX(0,'Вводные'!$B$26*'Вводные'!$V$89-(BC38+BC45))*'Вводные'!$B$29/12,0)</x:f>
      </x:c>
      <x:c r="BD43" s="117">
        <x:f>IF(AND(BD$3&gt;=$B$7,BD$3&lt;$B$8),MAX(0,'Вводные'!$B$26*'Вводные'!$V$89-(BD38+BD45))*'Вводные'!$B$29/12,0)</x:f>
      </x:c>
      <x:c r="BE43" s="117">
        <x:f>IF(AND(BE$3&gt;=$B$7,BE$3&lt;$B$8),MAX(0,'Вводные'!$B$26*'Вводные'!$V$89-(BE38+BE45))*'Вводные'!$B$29/12,0)</x:f>
      </x:c>
      <x:c r="BF43" s="117">
        <x:f>IF(AND(BF$3&gt;=$B$7,BF$3&lt;$B$8),MAX(0,'Вводные'!$B$26*'Вводные'!$V$89-(BF38+BF45))*'Вводные'!$B$29/12,0)</x:f>
      </x:c>
      <x:c r="BG43" s="117">
        <x:f>IF(AND(BG$3&gt;=$B$7,BG$3&lt;$B$8),MAX(0,'Вводные'!$B$26*'Вводные'!$V$89-(BG38+BG45))*'Вводные'!$B$29/12,0)</x:f>
      </x:c>
      <x:c r="BH43" s="117">
        <x:f>IF(AND(BH$3&gt;=$B$7,BH$3&lt;$B$8),MAX(0,'Вводные'!$B$26*'Вводные'!$V$89-(BH38+BH45))*'Вводные'!$B$29/12,0)</x:f>
      </x:c>
      <x:c r="BI43" s="117">
        <x:f>IF(AND(BI$3&gt;=$B$7,BI$3&lt;$B$8),MAX(0,'Вводные'!$B$26*'Вводные'!$V$89-(BI38+BI45))*'Вводные'!$B$29/12,0)</x:f>
      </x:c>
      <x:c r="BJ43" s="117">
        <x:f>IF(AND(BJ$3&gt;=$B$7,BJ$3&lt;$B$8),MAX(0,'Вводные'!$B$26*'Вводные'!$V$89-(BJ38+BJ45))*'Вводные'!$B$29/12,0)</x:f>
      </x:c>
      <x:c r="BK43" s="117">
        <x:f>IF(AND(BK$3&gt;=$B$7,BK$3&lt;$B$8),MAX(0,'Вводные'!$B$26*'Вводные'!$V$89-(BK38+BK45))*'Вводные'!$B$29/12,0)</x:f>
      </x:c>
      <x:c r="BL43" s="117">
        <x:f>IF(AND(BL$3&gt;=$B$7,BL$3&lt;$B$8),MAX(0,'Вводные'!$B$26*'Вводные'!$V$89-(BL38+BL45))*'Вводные'!$B$29/12,0)</x:f>
      </x:c>
      <x:c r="BM43" s="117">
        <x:f>IF(AND(BM$3&gt;=$B$7,BM$3&lt;$B$8),MAX(0,'Вводные'!$B$26*'Вводные'!$V$89-(BM38+BM45))*'Вводные'!$B$29/12,0)</x:f>
      </x:c>
      <x:c r="BN43" s="117">
        <x:f>IF(AND(BN$3&gt;=$B$7,BN$3&lt;$B$8),MAX(0,'Вводные'!$B$26*'Вводные'!$V$89-(BN38+BN45))*'Вводные'!$B$29/12,0)</x:f>
      </x:c>
      <x:c r="BO43" s="117">
        <x:f>IF(AND(BO$3&gt;=$B$7,BO$3&lt;$B$8),MAX(0,'Вводные'!$B$26*'Вводные'!$V$89-(BO38+BO45))*'Вводные'!$B$29/12,0)</x:f>
      </x:c>
      <x:c r="BP43" s="117">
        <x:f>IF(AND(BP$3&gt;=$B$7,BP$3&lt;$B$8),MAX(0,'Вводные'!$B$26*'Вводные'!$V$89-(BP38+BP45))*'Вводные'!$B$29/12,0)</x:f>
      </x:c>
      <x:c r="BQ43" s="117">
        <x:f>IF(AND(BQ$3&gt;=$B$7,BQ$3&lt;$B$8),MAX(0,'Вводные'!$B$26*'Вводные'!$V$89-(BQ38+BQ45))*'Вводные'!$B$29/12,0)</x:f>
      </x:c>
      <x:c r="BR43" s="117">
        <x:f>IF(AND(BR$3&gt;=$B$7,BR$3&lt;$B$8),MAX(0,'Вводные'!$B$26*'Вводные'!$V$89-(BR38+BR45))*'Вводные'!$B$29/12,0)</x:f>
      </x:c>
      <x:c r="BS43" s="117">
        <x:f>IF(AND(BS$3&gt;=$B$7,BS$3&lt;$B$8),MAX(0,'Вводные'!$B$26*'Вводные'!$V$89-(BS38+BS45))*'Вводные'!$B$29/12,0)</x:f>
      </x:c>
      <x:c r="BT43" s="117">
        <x:f>IF(AND(BT$3&gt;=$B$7,BT$3&lt;$B$8),MAX(0,'Вводные'!$B$26*'Вводные'!$V$89-(BT38+BT45))*'Вводные'!$B$29/12,0)</x:f>
      </x:c>
      <x:c r="BU43" s="117">
        <x:f>IF(AND(BU$3&gt;=$B$7,BU$3&lt;$B$8),MAX(0,'Вводные'!$B$26*'Вводные'!$V$89-(BU38+BU45))*'Вводные'!$B$29/12,0)</x:f>
      </x:c>
      <x:c r="BV43" s="117">
        <x:f>IF(AND(BV$3&gt;=$B$7,BV$3&lt;$B$8),MAX(0,'Вводные'!$B$26*'Вводные'!$V$89-(BV38+BV45))*'Вводные'!$B$29/12,0)</x:f>
      </x:c>
      <x:c r="BW43" s="117">
        <x:f>IF(AND(BW$3&gt;=$B$7,BW$3&lt;$B$8),MAX(0,'Вводные'!$B$26*'Вводные'!$V$89-(BW38+BW45))*'Вводные'!$B$29/12,0)</x:f>
      </x:c>
      <x:c r="BX43" s="117">
        <x:f>IF(AND(BX$3&gt;=$B$7,BX$3&lt;$B$8),MAX(0,'Вводные'!$B$26*'Вводные'!$V$89-(BX38+BX45))*'Вводные'!$B$29/12,0)</x:f>
      </x:c>
      <x:c r="BY43" s="117">
        <x:f>IF(AND(BY$3&gt;=$B$7,BY$3&lt;$B$8),MAX(0,'Вводные'!$B$26*'Вводные'!$V$89-(BY38+BY45))*'Вводные'!$B$29/12,0)</x:f>
      </x:c>
      <x:c r="BZ43" s="117">
        <x:f>IF(AND(BZ$3&gt;=$B$7,BZ$3&lt;$B$8),MAX(0,'Вводные'!$B$26*'Вводные'!$V$89-(BZ38+BZ45))*'Вводные'!$B$29/12,0)</x:f>
      </x:c>
      <x:c r="CA43" s="117">
        <x:f>IF(AND(CA$3&gt;=$B$7,CA$3&lt;$B$8),MAX(0,'Вводные'!$B$26*'Вводные'!$V$89-(CA38+CA45))*'Вводные'!$B$29/12,0)</x:f>
      </x:c>
      <x:c r="CB43" s="117">
        <x:f>IF(AND(CB$3&gt;=$B$7,CB$3&lt;$B$8),MAX(0,'Вводные'!$B$26*'Вводные'!$V$89-(CB38+CB45))*'Вводные'!$B$29/12,0)</x:f>
      </x:c>
      <x:c r="CC43" s="117">
        <x:f>IF(AND(CC$3&gt;=$B$7,CC$3&lt;$B$8),MAX(0,'Вводные'!$B$26*'Вводные'!$V$89-(CC38+CC45))*'Вводные'!$B$29/12,0)</x:f>
      </x:c>
      <x:c r="CD43" s="117">
        <x:f>IF(AND(CD$3&gt;=$B$7,CD$3&lt;$B$8),MAX(0,'Вводные'!$B$26*'Вводные'!$V$89-(CD38+CD45))*'Вводные'!$B$29/12,0)</x:f>
      </x:c>
      <x:c r="CE43" s="117">
        <x:f>IF(AND(CE$3&gt;=$B$7,CE$3&lt;$B$8),MAX(0,'Вводные'!$B$26*'Вводные'!$V$89-(CE38+CE45))*'Вводные'!$B$29/12,0)</x:f>
      </x:c>
      <x:c r="CF43" s="117">
        <x:f>IF(AND(CF$3&gt;=$B$7,CF$3&lt;$B$8),MAX(0,'Вводные'!$B$26*'Вводные'!$V$89-(CF38+CF45))*'Вводные'!$B$29/12,0)</x:f>
      </x:c>
      <x:c r="CG43" s="117">
        <x:f>IF(AND(CG$3&gt;=$B$7,CG$3&lt;$B$8),MAX(0,'Вводные'!$B$26*'Вводные'!$V$89-(CG38+CG45))*'Вводные'!$B$29/12,0)</x:f>
      </x:c>
      <x:c r="CH43" s="117">
        <x:f>IF(AND(CH$3&gt;=$B$7,CH$3&lt;$B$8),MAX(0,'Вводные'!$B$26*'Вводные'!$V$89-(CH38+CH45))*'Вводные'!$B$29/12,0)</x:f>
      </x:c>
      <x:c r="CI43" s="117">
        <x:f>IF(AND(CI$3&gt;=$B$7,CI$3&lt;$B$8),MAX(0,'Вводные'!$B$26*'Вводные'!$V$89-(CI38+CI45))*'Вводные'!$B$29/12,0)</x:f>
      </x:c>
      <x:c r="CJ43" s="117">
        <x:f>IF(AND(CJ$3&gt;=$B$7,CJ$3&lt;$B$8),MAX(0,'Вводные'!$B$26*'Вводные'!$V$89-(CJ38+CJ45))*'Вводные'!$B$29/12,0)</x:f>
      </x:c>
      <x:c r="CK43" s="117">
        <x:f>IF(AND(CK$3&gt;=$B$7,CK$3&lt;$B$8),MAX(0,'Вводные'!$B$26*'Вводные'!$V$89-(CK38+CK45))*'Вводные'!$B$29/12,0)</x:f>
      </x:c>
      <x:c r="CL43" s="117">
        <x:f>IF(AND(CL$3&gt;=$B$7,CL$3&lt;$B$8),MAX(0,'Вводные'!$B$26*'Вводные'!$V$89-(CL38+CL45))*'Вводные'!$B$29/12,0)</x:f>
      </x:c>
      <x:c r="CM43" s="117">
        <x:f>IF(AND(CM$3&gt;=$B$7,CM$3&lt;$B$8),MAX(0,'Вводные'!$B$26*'Вводные'!$V$89-(CM38+CM45))*'Вводные'!$B$29/12,0)</x:f>
      </x:c>
      <x:c r="CN43" s="117">
        <x:f>IF(AND(CN$3&gt;=$B$7,CN$3&lt;$B$8),MAX(0,'Вводные'!$B$26*'Вводные'!$V$89-(CN38+CN45))*'Вводные'!$B$29/12,0)</x:f>
      </x:c>
      <x:c r="CO43" s="117">
        <x:f>IF(AND(CO$3&gt;=$B$7,CO$3&lt;$B$8),MAX(0,'Вводные'!$B$26*'Вводные'!$V$89-(CO38+CO45))*'Вводные'!$B$29/12,0)</x:f>
      </x:c>
      <x:c r="CP43" s="117">
        <x:f>IF(AND(CP$3&gt;=$B$7,CP$3&lt;$B$8),MAX(0,'Вводные'!$B$26*'Вводные'!$V$89-(CP38+CP45))*'Вводные'!$B$29/12,0)</x:f>
      </x:c>
      <x:c r="CQ43" s="117">
        <x:f>IF(AND(CQ$3&gt;=$B$7,CQ$3&lt;$B$8),MAX(0,'Вводные'!$B$26*'Вводные'!$V$89-(CQ38+CQ45))*'Вводные'!$B$29/12,0)</x:f>
      </x:c>
      <x:c r="CR43" s="117">
        <x:f>IF(AND(CR$3&gt;=$B$7,CR$3&lt;$B$8),MAX(0,'Вводные'!$B$26*'Вводные'!$V$89-(CR38+CR45))*'Вводные'!$B$29/12,0)</x:f>
      </x:c>
      <x:c r="CS43" s="117">
        <x:f>IF(AND(CS$3&gt;=$B$7,CS$3&lt;$B$8),MAX(0,'Вводные'!$B$26*'Вводные'!$V$89-(CS38+CS45))*'Вводные'!$B$29/12,0)</x:f>
      </x:c>
      <x:c r="CT43" s="117">
        <x:f>IF(AND(CT$3&gt;=$B$7,CT$3&lt;$B$8),MAX(0,'Вводные'!$B$26*'Вводные'!$V$89-(CT38+CT45))*'Вводные'!$B$29/12,0)</x:f>
      </x:c>
      <x:c r="CU43" s="117">
        <x:f>IF(AND(CU$3&gt;=$B$7,CU$3&lt;$B$8),MAX(0,'Вводные'!$B$26*'Вводные'!$V$89-(CU38+CU45))*'Вводные'!$B$29/12,0)</x:f>
      </x:c>
      <x:c r="CV43" s="117">
        <x:f>IF(AND(CV$3&gt;=$B$7,CV$3&lt;$B$8),MAX(0,'Вводные'!$B$26*'Вводные'!$V$89-(CV38+CV45))*'Вводные'!$B$29/12,0)</x:f>
      </x:c>
      <x:c r="CW43" s="117">
        <x:f>IF(AND(CW$3&gt;=$B$7,CW$3&lt;$B$8),MAX(0,'Вводные'!$B$26*'Вводные'!$V$89-(CW38+CW45))*'Вводные'!$B$29/12,0)</x:f>
      </x:c>
      <x:c r="CX43" s="117">
        <x:f>IF(AND(CX$3&gt;=$B$7,CX$3&lt;$B$8),MAX(0,'Вводные'!$B$26*'Вводные'!$V$89-(CX38+CX45))*'Вводные'!$B$29/12,0)</x:f>
      </x:c>
      <x:c r="CY43" s="117">
        <x:f>IF(AND(CY$3&gt;=$B$7,CY$3&lt;$B$8),MAX(0,'Вводные'!$B$26*'Вводные'!$V$89-(CY38+CY45))*'Вводные'!$B$29/12,0)</x:f>
      </x:c>
      <x:c r="CZ43" s="117">
        <x:f>IF(AND(CZ$3&gt;=$B$7,CZ$3&lt;$B$8),MAX(0,'Вводные'!$B$26*'Вводные'!$V$89-(CZ38+CZ45))*'Вводные'!$B$29/12,0)</x:f>
      </x:c>
      <x:c r="DA43" s="117">
        <x:f>IF(AND(DA$3&gt;=$B$7,DA$3&lt;$B$8),MAX(0,'Вводные'!$B$26*'Вводные'!$V$89-(DA38+DA45))*'Вводные'!$B$29/12,0)</x:f>
      </x:c>
      <x:c r="DB43" s="117">
        <x:f>IF(AND(DB$3&gt;=$B$7,DB$3&lt;$B$8),MAX(0,'Вводные'!$B$26*'Вводные'!$V$89-(DB38+DB45))*'Вводные'!$B$29/12,0)</x:f>
      </x:c>
      <x:c r="DC43" s="117">
        <x:f>IF(AND(DC$3&gt;=$B$7,DC$3&lt;$B$8),MAX(0,'Вводные'!$B$26*'Вводные'!$V$89-(DC38+DC45))*'Вводные'!$B$29/12,0)</x:f>
      </x:c>
      <x:c r="DD43" s="117">
        <x:f>IF(AND(DD$3&gt;=$B$7,DD$3&lt;$B$8),MAX(0,'Вводные'!$B$26*'Вводные'!$V$89-(DD38+DD45))*'Вводные'!$B$29/12,0)</x:f>
      </x:c>
      <x:c r="DE43" s="117">
        <x:f>IF(AND(DE$3&gt;=$B$7,DE$3&lt;$B$8),MAX(0,'Вводные'!$B$26*'Вводные'!$V$89-(DE38+DE45))*'Вводные'!$B$29/12,0)</x:f>
      </x:c>
      <x:c r="DF43" s="117">
        <x:f>IF(AND(DF$3&gt;=$B$7,DF$3&lt;$B$8),MAX(0,'Вводные'!$B$26*'Вводные'!$V$89-(DF38+DF45))*'Вводные'!$B$29/12,0)</x:f>
      </x:c>
      <x:c r="DG43" s="117">
        <x:f>IF(AND(DG$3&gt;=$B$7,DG$3&lt;$B$8),MAX(0,'Вводные'!$B$26*'Вводные'!$V$89-(DG38+DG45))*'Вводные'!$B$29/12,0)</x:f>
      </x:c>
      <x:c r="DH43" s="117">
        <x:f>IF(AND(DH$3&gt;=$B$7,DH$3&lt;$B$8),MAX(0,'Вводные'!$B$26*'Вводные'!$V$89-(DH38+DH45))*'Вводные'!$B$29/12,0)</x:f>
      </x:c>
      <x:c r="DI43" s="117">
        <x:f>IF(AND(DI$3&gt;=$B$7,DI$3&lt;$B$8),MAX(0,'Вводные'!$B$26*'Вводные'!$V$89-(DI38+DI45))*'Вводные'!$B$29/12,0)</x:f>
      </x:c>
      <x:c r="DJ43" s="117">
        <x:f>IF(AND(DJ$3&gt;=$B$7,DJ$3&lt;$B$8),MAX(0,'Вводные'!$B$26*'Вводные'!$V$89-(DJ38+DJ45))*'Вводные'!$B$29/12,0)</x:f>
      </x:c>
      <x:c r="DK43" s="117">
        <x:f>IF(AND(DK$3&gt;=$B$7,DK$3&lt;$B$8),MAX(0,'Вводные'!$B$26*'Вводные'!$V$89-(DK38+DK45))*'Вводные'!$B$29/12,0)</x:f>
      </x:c>
      <x:c r="DL43" s="117">
        <x:f>IF(AND(DL$3&gt;=$B$7,DL$3&lt;$B$8),MAX(0,'Вводные'!$B$26*'Вводные'!$V$89-(DL38+DL45))*'Вводные'!$B$29/12,0)</x:f>
      </x:c>
      <x:c r="DM43" s="117">
        <x:f>IF(AND(DM$3&gt;=$B$7,DM$3&lt;$B$8),MAX(0,'Вводные'!$B$26*'Вводные'!$V$89-(DM38+DM45))*'Вводные'!$B$29/12,0)</x:f>
      </x:c>
      <x:c r="DN43" s="117">
        <x:f>IF(AND(DN$3&gt;=$B$7,DN$3&lt;$B$8),MAX(0,'Вводные'!$B$26*'Вводные'!$V$89-(DN38+DN45))*'Вводные'!$B$29/12,0)</x:f>
      </x:c>
      <x:c r="DO43" s="117">
        <x:f>IF(AND(DO$3&gt;=$B$7,DO$3&lt;$B$8),MAX(0,'Вводные'!$B$26*'Вводные'!$V$89-(DO38+DO45))*'Вводные'!$B$29/12,0)</x:f>
      </x:c>
      <x:c r="DP43" s="117">
        <x:f>IF(AND(DP$3&gt;=$B$7,DP$3&lt;$B$8),MAX(0,'Вводные'!$B$26*'Вводные'!$V$89-(DP38+DP45))*'Вводные'!$B$29/12,0)</x:f>
      </x:c>
      <x:c r="DQ43" s="117">
        <x:f>IF(AND(DQ$3&gt;=$B$7,DQ$3&lt;$B$8),MAX(0,'Вводные'!$B$26*'Вводные'!$V$89-(DQ38+DQ45))*'Вводные'!$B$29/12,0)</x:f>
      </x:c>
      <x:c r="DR43" s="117">
        <x:f>IF(AND(DR$3&gt;=$B$7,DR$3&lt;$B$8),MAX(0,'Вводные'!$B$26*'Вводные'!$V$89-(DR38+DR45))*'Вводные'!$B$29/12,0)</x:f>
      </x:c>
      <x:c r="DS43" s="117">
        <x:f>IF(AND(DS$3&gt;=$B$7,DS$3&lt;$B$8),MAX(0,'Вводные'!$B$26*'Вводные'!$V$89-(DS38+DS45))*'Вводные'!$B$29/12,0)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IF(AND(YEAR(D$3)=YEAR($B$6),MONTH(D$3)=MONTH($B$6),$B$5=1),('CAPEX'!$B$48+'CAPEX'!$B$51+'CAPEX'!$B$52)*'Вводные'!$B$30,0)+IF(AND(YEAR(D$3)=YEAR($B$7),MONTH(D$3)=MONTH($B$7),$B$5=1),'Вводные'!$B$26*'Вводные'!$V$89*'Вводные'!$B$30,0)</x:f>
      </x:c>
      <x:c r="E57" s="117">
        <x:f>IF(AND(YEAR(E$3)=YEAR($B$6),MONTH(E$3)=MONTH($B$6),$B$5=1),('CAPEX'!$B$48+'CAPEX'!$B$51+'CAPEX'!$B$52)*'Вводные'!$B$30,0)+IF(AND(YEAR(E$3)=YEAR($B$7),MONTH(E$3)=MONTH($B$7),$B$5=1),'Вводные'!$B$26*'Вводные'!$V$89*'Вводные'!$B$30,0)</x:f>
      </x:c>
      <x:c r="F57" s="117">
        <x:f>IF(AND(YEAR(F$3)=YEAR($B$6),MONTH(F$3)=MONTH($B$6),$B$5=1),('CAPEX'!$B$48+'CAPEX'!$B$51+'CAPEX'!$B$52)*'Вводные'!$B$30,0)+IF(AND(YEAR(F$3)=YEAR($B$7),MONTH(F$3)=MONTH($B$7),$B$5=1),'Вводные'!$B$26*'Вводные'!$V$89*'Вводные'!$B$30,0)</x:f>
      </x:c>
      <x:c r="G57" s="117">
        <x:f>IF(AND(YEAR(G$3)=YEAR($B$6),MONTH(G$3)=MONTH($B$6),$B$5=1),('CAPEX'!$B$48+'CAPEX'!$B$51+'CAPEX'!$B$52)*'Вводные'!$B$30,0)+IF(AND(YEAR(G$3)=YEAR($B$7),MONTH(G$3)=MONTH($B$7),$B$5=1),'Вводные'!$B$26*'Вводные'!$V$89*'Вводные'!$B$30,0)</x:f>
      </x:c>
      <x:c r="H57" s="117">
        <x:f>IF(AND(YEAR(H$3)=YEAR($B$6),MONTH(H$3)=MONTH($B$6),$B$5=1),('CAPEX'!$B$48+'CAPEX'!$B$51+'CAPEX'!$B$52)*'Вводные'!$B$30,0)+IF(AND(YEAR(H$3)=YEAR($B$7),MONTH(H$3)=MONTH($B$7),$B$5=1),'Вводные'!$B$26*'Вводные'!$V$89*'Вводные'!$B$30,0)</x:f>
      </x:c>
      <x:c r="I57" s="117">
        <x:f>IF(AND(YEAR(I$3)=YEAR($B$6),MONTH(I$3)=MONTH($B$6),$B$5=1),('CAPEX'!$B$48+'CAPEX'!$B$51+'CAPEX'!$B$52)*'Вводные'!$B$30,0)+IF(AND(YEAR(I$3)=YEAR($B$7),MONTH(I$3)=MONTH($B$7),$B$5=1),'Вводные'!$B$26*'Вводные'!$V$89*'Вводные'!$B$30,0)</x:f>
      </x:c>
      <x:c r="J57" s="117">
        <x:f>IF(AND(YEAR(J$3)=YEAR($B$6),MONTH(J$3)=MONTH($B$6),$B$5=1),('CAPEX'!$B$48+'CAPEX'!$B$51+'CAPEX'!$B$52)*'Вводные'!$B$30,0)+IF(AND(YEAR(J$3)=YEAR($B$7),MONTH(J$3)=MONTH($B$7),$B$5=1),'Вводные'!$B$26*'Вводные'!$V$89*'Вводные'!$B$30,0)</x:f>
      </x:c>
      <x:c r="K57" s="117">
        <x:f>IF(AND(YEAR(K$3)=YEAR($B$6),MONTH(K$3)=MONTH($B$6),$B$5=1),('CAPEX'!$B$48+'CAPEX'!$B$51+'CAPEX'!$B$52)*'Вводные'!$B$30,0)+IF(AND(YEAR(K$3)=YEAR($B$7),MONTH(K$3)=MONTH($B$7),$B$5=1),'Вводные'!$B$26*'Вводные'!$V$89*'Вводные'!$B$30,0)</x:f>
      </x:c>
      <x:c r="L57" s="117">
        <x:f>IF(AND(YEAR(L$3)=YEAR($B$6),MONTH(L$3)=MONTH($B$6),$B$5=1),('CAPEX'!$B$48+'CAPEX'!$B$51+'CAPEX'!$B$52)*'Вводные'!$B$30,0)+IF(AND(YEAR(L$3)=YEAR($B$7),MONTH(L$3)=MONTH($B$7),$B$5=1),'Вводные'!$B$26*'Вводные'!$V$89*'Вводные'!$B$30,0)</x:f>
      </x:c>
      <x:c r="M57" s="117">
        <x:f>IF(AND(YEAR(M$3)=YEAR($B$6),MONTH(M$3)=MONTH($B$6),$B$5=1),('CAPEX'!$B$48+'CAPEX'!$B$51+'CAPEX'!$B$52)*'Вводные'!$B$30,0)+IF(AND(YEAR(M$3)=YEAR($B$7),MONTH(M$3)=MONTH($B$7),$B$5=1),'Вводные'!$B$26*'Вводные'!$V$89*'Вводные'!$B$30,0)</x:f>
      </x:c>
      <x:c r="N57" s="117">
        <x:f>IF(AND(YEAR(N$3)=YEAR($B$6),MONTH(N$3)=MONTH($B$6),$B$5=1),('CAPEX'!$B$48+'CAPEX'!$B$51+'CAPEX'!$B$52)*'Вводные'!$B$30,0)+IF(AND(YEAR(N$3)=YEAR($B$7),MONTH(N$3)=MONTH($B$7),$B$5=1),'Вводные'!$B$26*'Вводные'!$V$89*'Вводные'!$B$30,0)</x:f>
      </x:c>
      <x:c r="O57" s="117">
        <x:f>IF(AND(YEAR(O$3)=YEAR($B$6),MONTH(O$3)=MONTH($B$6),$B$5=1),('CAPEX'!$B$48+'CAPEX'!$B$51+'CAPEX'!$B$52)*'Вводные'!$B$30,0)+IF(AND(YEAR(O$3)=YEAR($B$7),MONTH(O$3)=MONTH($B$7),$B$5=1),'Вводные'!$B$26*'Вводные'!$V$89*'Вводные'!$B$30,0)</x:f>
      </x:c>
      <x:c r="P57" s="117">
        <x:f>IF(AND(YEAR(P$3)=YEAR($B$6),MONTH(P$3)=MONTH($B$6),$B$5=1),('CAPEX'!$B$48+'CAPEX'!$B$51+'CAPEX'!$B$52)*'Вводные'!$B$30,0)+IF(AND(YEAR(P$3)=YEAR($B$7),MONTH(P$3)=MONTH($B$7),$B$5=1),'Вводные'!$B$26*'Вводные'!$V$89*'Вводные'!$B$30,0)</x:f>
      </x:c>
      <x:c r="Q57" s="117">
        <x:f>IF(AND(YEAR(Q$3)=YEAR($B$6),MONTH(Q$3)=MONTH($B$6),$B$5=1),('CAPEX'!$B$48+'CAPEX'!$B$51+'CAPEX'!$B$52)*'Вводные'!$B$30,0)+IF(AND(YEAR(Q$3)=YEAR($B$7),MONTH(Q$3)=MONTH($B$7),$B$5=1),'Вводные'!$B$26*'Вводные'!$V$89*'Вводные'!$B$30,0)</x:f>
      </x:c>
      <x:c r="R57" s="117">
        <x:f>IF(AND(YEAR(R$3)=YEAR($B$6),MONTH(R$3)=MONTH($B$6),$B$5=1),('CAPEX'!$B$48+'CAPEX'!$B$51+'CAPEX'!$B$52)*'Вводные'!$B$30,0)+IF(AND(YEAR(R$3)=YEAR($B$7),MONTH(R$3)=MONTH($B$7),$B$5=1),'Вводные'!$B$26*'Вводные'!$V$89*'Вводные'!$B$30,0)</x:f>
      </x:c>
      <x:c r="S57" s="117">
        <x:f>IF(AND(YEAR(S$3)=YEAR($B$6),MONTH(S$3)=MONTH($B$6),$B$5=1),('CAPEX'!$B$48+'CAPEX'!$B$51+'CAPEX'!$B$52)*'Вводные'!$B$30,0)+IF(AND(YEAR(S$3)=YEAR($B$7),MONTH(S$3)=MONTH($B$7),$B$5=1),'Вводные'!$B$26*'Вводные'!$V$89*'Вводные'!$B$30,0)</x:f>
      </x:c>
      <x:c r="T57" s="117">
        <x:f>IF(AND(YEAR(T$3)=YEAR($B$6),MONTH(T$3)=MONTH($B$6),$B$5=1),('CAPEX'!$B$48+'CAPEX'!$B$51+'CAPEX'!$B$52)*'Вводные'!$B$30,0)+IF(AND(YEAR(T$3)=YEAR($B$7),MONTH(T$3)=MONTH($B$7),$B$5=1),'Вводные'!$B$26*'Вводные'!$V$89*'Вводные'!$B$30,0)</x:f>
      </x:c>
      <x:c r="U57" s="117">
        <x:f>IF(AND(YEAR(U$3)=YEAR($B$6),MONTH(U$3)=MONTH($B$6),$B$5=1),('CAPEX'!$B$48+'CAPEX'!$B$51+'CAPEX'!$B$52)*'Вводные'!$B$30,0)+IF(AND(YEAR(U$3)=YEAR($B$7),MONTH(U$3)=MONTH($B$7),$B$5=1),'Вводные'!$B$26*'Вводные'!$V$89*'Вводные'!$B$30,0)</x:f>
      </x:c>
      <x:c r="V57" s="117">
        <x:f>IF(AND(YEAR(V$3)=YEAR($B$6),MONTH(V$3)=MONTH($B$6),$B$5=1),('CAPEX'!$B$48+'CAPEX'!$B$51+'CAPEX'!$B$52)*'Вводные'!$B$30,0)+IF(AND(YEAR(V$3)=YEAR($B$7),MONTH(V$3)=MONTH($B$7),$B$5=1),'Вводные'!$B$26*'Вводные'!$V$89*'Вводные'!$B$30,0)</x:f>
      </x:c>
      <x:c r="W57" s="117">
        <x:f>IF(AND(YEAR(W$3)=YEAR($B$6),MONTH(W$3)=MONTH($B$6),$B$5=1),('CAPEX'!$B$48+'CAPEX'!$B$51+'CAPEX'!$B$52)*'Вводные'!$B$30,0)+IF(AND(YEAR(W$3)=YEAR($B$7),MONTH(W$3)=MONTH($B$7),$B$5=1),'Вводные'!$B$26*'Вводные'!$V$89*'Вводные'!$B$30,0)</x:f>
      </x:c>
      <x:c r="X57" s="117">
        <x:f>IF(AND(YEAR(X$3)=YEAR($B$6),MONTH(X$3)=MONTH($B$6),$B$5=1),('CAPEX'!$B$48+'CAPEX'!$B$51+'CAPEX'!$B$52)*'Вводные'!$B$30,0)+IF(AND(YEAR(X$3)=YEAR($B$7),MONTH(X$3)=MONTH($B$7),$B$5=1),'Вводные'!$B$26*'Вводные'!$V$89*'Вводные'!$B$30,0)</x:f>
      </x:c>
      <x:c r="Y57" s="117">
        <x:f>IF(AND(YEAR(Y$3)=YEAR($B$6),MONTH(Y$3)=MONTH($B$6),$B$5=1),('CAPEX'!$B$48+'CAPEX'!$B$51+'CAPEX'!$B$52)*'Вводные'!$B$30,0)+IF(AND(YEAR(Y$3)=YEAR($B$7),MONTH(Y$3)=MONTH($B$7),$B$5=1),'Вводные'!$B$26*'Вводные'!$V$89*'Вводные'!$B$30,0)</x:f>
      </x:c>
      <x:c r="Z57" s="117">
        <x:f>IF(AND(YEAR(Z$3)=YEAR($B$6),MONTH(Z$3)=MONTH($B$6),$B$5=1),('CAPEX'!$B$48+'CAPEX'!$B$51+'CAPEX'!$B$52)*'Вводные'!$B$30,0)+IF(AND(YEAR(Z$3)=YEAR($B$7),MONTH(Z$3)=MONTH($B$7),$B$5=1),'Вводные'!$B$26*'Вводные'!$V$89*'Вводные'!$B$30,0)</x:f>
      </x:c>
      <x:c r="AA57" s="117">
        <x:f>IF(AND(YEAR(AA$3)=YEAR($B$6),MONTH(AA$3)=MONTH($B$6),$B$5=1),('CAPEX'!$B$48+'CAPEX'!$B$51+'CAPEX'!$B$52)*'Вводные'!$B$30,0)+IF(AND(YEAR(AA$3)=YEAR($B$7),MONTH(AA$3)=MONTH($B$7),$B$5=1),'Вводные'!$B$26*'Вводные'!$V$89*'Вводные'!$B$30,0)</x:f>
      </x:c>
      <x:c r="AB57" s="117">
        <x:f>IF(AND(YEAR(AB$3)=YEAR($B$6),MONTH(AB$3)=MONTH($B$6),$B$5=1),('CAPEX'!$B$48+'CAPEX'!$B$51+'CAPEX'!$B$52)*'Вводные'!$B$30,0)+IF(AND(YEAR(AB$3)=YEAR($B$7),MONTH(AB$3)=MONTH($B$7),$B$5=1),'Вводные'!$B$26*'Вводные'!$V$89*'Вводные'!$B$30,0)</x:f>
      </x:c>
      <x:c r="AC57" s="117">
        <x:f>IF(AND(YEAR(AC$3)=YEAR($B$6),MONTH(AC$3)=MONTH($B$6),$B$5=1),('CAPEX'!$B$48+'CAPEX'!$B$51+'CAPEX'!$B$52)*'Вводные'!$B$30,0)+IF(AND(YEAR(AC$3)=YEAR($B$7),MONTH(AC$3)=MONTH($B$7),$B$5=1),'Вводные'!$B$26*'Вводные'!$V$89*'Вводные'!$B$30,0)</x:f>
      </x:c>
      <x:c r="AD57" s="117">
        <x:f>IF(AND(YEAR(AD$3)=YEAR($B$6),MONTH(AD$3)=MONTH($B$6),$B$5=1),('CAPEX'!$B$48+'CAPEX'!$B$51+'CAPEX'!$B$52)*'Вводные'!$B$30,0)+IF(AND(YEAR(AD$3)=YEAR($B$7),MONTH(AD$3)=MONTH($B$7),$B$5=1),'Вводные'!$B$26*'Вводные'!$V$89*'Вводные'!$B$30,0)</x:f>
      </x:c>
      <x:c r="AE57" s="117">
        <x:f>IF(AND(YEAR(AE$3)=YEAR($B$6),MONTH(AE$3)=MONTH($B$6),$B$5=1),('CAPEX'!$B$48+'CAPEX'!$B$51+'CAPEX'!$B$52)*'Вводные'!$B$30,0)+IF(AND(YEAR(AE$3)=YEAR($B$7),MONTH(AE$3)=MONTH($B$7),$B$5=1),'Вводные'!$B$26*'Вводные'!$V$89*'Вводные'!$B$30,0)</x:f>
      </x:c>
      <x:c r="AF57" s="117">
        <x:f>IF(AND(YEAR(AF$3)=YEAR($B$6),MONTH(AF$3)=MONTH($B$6),$B$5=1),('CAPEX'!$B$48+'CAPEX'!$B$51+'CAPEX'!$B$52)*'Вводные'!$B$30,0)+IF(AND(YEAR(AF$3)=YEAR($B$7),MONTH(AF$3)=MONTH($B$7),$B$5=1),'Вводные'!$B$26*'Вводные'!$V$89*'Вводные'!$B$30,0)</x:f>
      </x:c>
      <x:c r="AG57" s="117">
        <x:f>IF(AND(YEAR(AG$3)=YEAR($B$6),MONTH(AG$3)=MONTH($B$6),$B$5=1),('CAPEX'!$B$48+'CAPEX'!$B$51+'CAPEX'!$B$52)*'Вводные'!$B$30,0)+IF(AND(YEAR(AG$3)=YEAR($B$7),MONTH(AG$3)=MONTH($B$7),$B$5=1),'Вводные'!$B$26*'Вводные'!$V$89*'Вводные'!$B$30,0)</x:f>
      </x:c>
      <x:c r="AH57" s="117">
        <x:f>IF(AND(YEAR(AH$3)=YEAR($B$6),MONTH(AH$3)=MONTH($B$6),$B$5=1),('CAPEX'!$B$48+'CAPEX'!$B$51+'CAPEX'!$B$52)*'Вводные'!$B$30,0)+IF(AND(YEAR(AH$3)=YEAR($B$7),MONTH(AH$3)=MONTH($B$7),$B$5=1),'Вводные'!$B$26*'Вводные'!$V$89*'Вводные'!$B$30,0)</x:f>
      </x:c>
      <x:c r="AI57" s="117">
        <x:f>IF(AND(YEAR(AI$3)=YEAR($B$6),MONTH(AI$3)=MONTH($B$6),$B$5=1),('CAPEX'!$B$48+'CAPEX'!$B$51+'CAPEX'!$B$52)*'Вводные'!$B$30,0)+IF(AND(YEAR(AI$3)=YEAR($B$7),MONTH(AI$3)=MONTH($B$7),$B$5=1),'Вводные'!$B$26*'Вводные'!$V$89*'Вводные'!$B$30,0)</x:f>
      </x:c>
      <x:c r="AJ57" s="117">
        <x:f>IF(AND(YEAR(AJ$3)=YEAR($B$6),MONTH(AJ$3)=MONTH($B$6),$B$5=1),('CAPEX'!$B$48+'CAPEX'!$B$51+'CAPEX'!$B$52)*'Вводные'!$B$30,0)+IF(AND(YEAR(AJ$3)=YEAR($B$7),MONTH(AJ$3)=MONTH($B$7),$B$5=1),'Вводные'!$B$26*'Вводные'!$V$89*'Вводные'!$B$30,0)</x:f>
      </x:c>
      <x:c r="AK57" s="117">
        <x:f>IF(AND(YEAR(AK$3)=YEAR($B$6),MONTH(AK$3)=MONTH($B$6),$B$5=1),('CAPEX'!$B$48+'CAPEX'!$B$51+'CAPEX'!$B$52)*'Вводные'!$B$30,0)+IF(AND(YEAR(AK$3)=YEAR($B$7),MONTH(AK$3)=MONTH($B$7),$B$5=1),'Вводные'!$B$26*'Вводные'!$V$89*'Вводные'!$B$30,0)</x:f>
      </x:c>
      <x:c r="AL57" s="117">
        <x:f>IF(AND(YEAR(AL$3)=YEAR($B$6),MONTH(AL$3)=MONTH($B$6),$B$5=1),('CAPEX'!$B$48+'CAPEX'!$B$51+'CAPEX'!$B$52)*'Вводные'!$B$30,0)+IF(AND(YEAR(AL$3)=YEAR($B$7),MONTH(AL$3)=MONTH($B$7),$B$5=1),'Вводные'!$B$26*'Вводные'!$V$89*'Вводные'!$B$30,0)</x:f>
      </x:c>
      <x:c r="AM57" s="117">
        <x:f>IF(AND(YEAR(AM$3)=YEAR($B$6),MONTH(AM$3)=MONTH($B$6),$B$5=1),('CAPEX'!$B$48+'CAPEX'!$B$51+'CAPEX'!$B$52)*'Вводные'!$B$30,0)+IF(AND(YEAR(AM$3)=YEAR($B$7),MONTH(AM$3)=MONTH($B$7),$B$5=1),'Вводные'!$B$26*'Вводные'!$V$89*'Вводные'!$B$30,0)</x:f>
      </x:c>
      <x:c r="AN57" s="117">
        <x:f>IF(AND(YEAR(AN$3)=YEAR($B$6),MONTH(AN$3)=MONTH($B$6),$B$5=1),('CAPEX'!$B$48+'CAPEX'!$B$51+'CAPEX'!$B$52)*'Вводные'!$B$30,0)+IF(AND(YEAR(AN$3)=YEAR($B$7),MONTH(AN$3)=MONTH($B$7),$B$5=1),'Вводные'!$B$26*'Вводные'!$V$89*'Вводные'!$B$30,0)</x:f>
      </x:c>
      <x:c r="AO57" s="117">
        <x:f>IF(AND(YEAR(AO$3)=YEAR($B$6),MONTH(AO$3)=MONTH($B$6),$B$5=1),('CAPEX'!$B$48+'CAPEX'!$B$51+'CAPEX'!$B$52)*'Вводные'!$B$30,0)+IF(AND(YEAR(AO$3)=YEAR($B$7),MONTH(AO$3)=MONTH($B$7),$B$5=1),'Вводные'!$B$26*'Вводные'!$V$89*'Вводные'!$B$30,0)</x:f>
      </x:c>
      <x:c r="AP57" s="117">
        <x:f>IF(AND(YEAR(AP$3)=YEAR($B$6),MONTH(AP$3)=MONTH($B$6),$B$5=1),('CAPEX'!$B$48+'CAPEX'!$B$51+'CAPEX'!$B$52)*'Вводные'!$B$30,0)+IF(AND(YEAR(AP$3)=YEAR($B$7),MONTH(AP$3)=MONTH($B$7),$B$5=1),'Вводные'!$B$26*'Вводные'!$V$89*'Вводные'!$B$30,0)</x:f>
      </x:c>
      <x:c r="AQ57" s="117">
        <x:f>IF(AND(YEAR(AQ$3)=YEAR($B$6),MONTH(AQ$3)=MONTH($B$6),$B$5=1),('CAPEX'!$B$48+'CAPEX'!$B$51+'CAPEX'!$B$52)*'Вводные'!$B$30,0)+IF(AND(YEAR(AQ$3)=YEAR($B$7),MONTH(AQ$3)=MONTH($B$7),$B$5=1),'Вводные'!$B$26*'Вводные'!$V$89*'Вводные'!$B$30,0)</x:f>
      </x:c>
      <x:c r="AR57" s="117">
        <x:f>IF(AND(YEAR(AR$3)=YEAR($B$6),MONTH(AR$3)=MONTH($B$6),$B$5=1),('CAPEX'!$B$48+'CAPEX'!$B$51+'CAPEX'!$B$52)*'Вводные'!$B$30,0)+IF(AND(YEAR(AR$3)=YEAR($B$7),MONTH(AR$3)=MONTH($B$7),$B$5=1),'Вводные'!$B$26*'Вводные'!$V$89*'Вводные'!$B$30,0)</x:f>
      </x:c>
      <x:c r="AS57" s="117">
        <x:f>IF(AND(YEAR(AS$3)=YEAR($B$6),MONTH(AS$3)=MONTH($B$6),$B$5=1),('CAPEX'!$B$48+'CAPEX'!$B$51+'CAPEX'!$B$52)*'Вводные'!$B$30,0)+IF(AND(YEAR(AS$3)=YEAR($B$7),MONTH(AS$3)=MONTH($B$7),$B$5=1),'Вводные'!$B$26*'Вводные'!$V$89*'Вводные'!$B$30,0)</x:f>
      </x:c>
      <x:c r="AT57" s="117">
        <x:f>IF(AND(YEAR(AT$3)=YEAR($B$6),MONTH(AT$3)=MONTH($B$6),$B$5=1),('CAPEX'!$B$48+'CAPEX'!$B$51+'CAPEX'!$B$52)*'Вводные'!$B$30,0)+IF(AND(YEAR(AT$3)=YEAR($B$7),MONTH(AT$3)=MONTH($B$7),$B$5=1),'Вводные'!$B$26*'Вводные'!$V$89*'Вводные'!$B$30,0)</x:f>
      </x:c>
      <x:c r="AU57" s="117">
        <x:f>IF(AND(YEAR(AU$3)=YEAR($B$6),MONTH(AU$3)=MONTH($B$6),$B$5=1),('CAPEX'!$B$48+'CAPEX'!$B$51+'CAPEX'!$B$52)*'Вводные'!$B$30,0)+IF(AND(YEAR(AU$3)=YEAR($B$7),MONTH(AU$3)=MONTH($B$7),$B$5=1),'Вводные'!$B$26*'Вводные'!$V$89*'Вводные'!$B$30,0)</x:f>
      </x:c>
      <x:c r="AV57" s="117">
        <x:f>IF(AND(YEAR(AV$3)=YEAR($B$6),MONTH(AV$3)=MONTH($B$6),$B$5=1),('CAPEX'!$B$48+'CAPEX'!$B$51+'CAPEX'!$B$52)*'Вводные'!$B$30,0)+IF(AND(YEAR(AV$3)=YEAR($B$7),MONTH(AV$3)=MONTH($B$7),$B$5=1),'Вводные'!$B$26*'Вводные'!$V$89*'Вводные'!$B$30,0)</x:f>
      </x:c>
      <x:c r="AW57" s="117">
        <x:f>IF(AND(YEAR(AW$3)=YEAR($B$6),MONTH(AW$3)=MONTH($B$6),$B$5=1),('CAPEX'!$B$48+'CAPEX'!$B$51+'CAPEX'!$B$52)*'Вводные'!$B$30,0)+IF(AND(YEAR(AW$3)=YEAR($B$7),MONTH(AW$3)=MONTH($B$7),$B$5=1),'Вводные'!$B$26*'Вводные'!$V$89*'Вводные'!$B$30,0)</x:f>
      </x:c>
      <x:c r="AX57" s="117">
        <x:f>IF(AND(YEAR(AX$3)=YEAR($B$6),MONTH(AX$3)=MONTH($B$6),$B$5=1),('CAPEX'!$B$48+'CAPEX'!$B$51+'CAPEX'!$B$52)*'Вводные'!$B$30,0)+IF(AND(YEAR(AX$3)=YEAR($B$7),MONTH(AX$3)=MONTH($B$7),$B$5=1),'Вводные'!$B$26*'Вводные'!$V$89*'Вводные'!$B$30,0)</x:f>
      </x:c>
      <x:c r="AY57" s="117">
        <x:f>IF(AND(YEAR(AY$3)=YEAR($B$6),MONTH(AY$3)=MONTH($B$6),$B$5=1),('CAPEX'!$B$48+'CAPEX'!$B$51+'CAPEX'!$B$52)*'Вводные'!$B$30,0)+IF(AND(YEAR(AY$3)=YEAR($B$7),MONTH(AY$3)=MONTH($B$7),$B$5=1),'Вводные'!$B$26*'Вводные'!$V$89*'Вводные'!$B$30,0)</x:f>
      </x:c>
      <x:c r="AZ57" s="117">
        <x:f>IF(AND(YEAR(AZ$3)=YEAR($B$6),MONTH(AZ$3)=MONTH($B$6),$B$5=1),('CAPEX'!$B$48+'CAPEX'!$B$51+'CAPEX'!$B$52)*'Вводные'!$B$30,0)+IF(AND(YEAR(AZ$3)=YEAR($B$7),MONTH(AZ$3)=MONTH($B$7),$B$5=1),'Вводные'!$B$26*'Вводные'!$V$89*'Вводные'!$B$30,0)</x:f>
      </x:c>
      <x:c r="BA57" s="117">
        <x:f>IF(AND(YEAR(BA$3)=YEAR($B$6),MONTH(BA$3)=MONTH($B$6),$B$5=1),('CAPEX'!$B$48+'CAPEX'!$B$51+'CAPEX'!$B$52)*'Вводные'!$B$30,0)+IF(AND(YEAR(BA$3)=YEAR($B$7),MONTH(BA$3)=MONTH($B$7),$B$5=1),'Вводные'!$B$26*'Вводные'!$V$89*'Вводные'!$B$30,0)</x:f>
      </x:c>
      <x:c r="BB57" s="117">
        <x:f>IF(AND(YEAR(BB$3)=YEAR($B$6),MONTH(BB$3)=MONTH($B$6),$B$5=1),('CAPEX'!$B$48+'CAPEX'!$B$51+'CAPEX'!$B$52)*'Вводные'!$B$30,0)+IF(AND(YEAR(BB$3)=YEAR($B$7),MONTH(BB$3)=MONTH($B$7),$B$5=1),'Вводные'!$B$26*'Вводные'!$V$89*'Вводные'!$B$30,0)</x:f>
      </x:c>
      <x:c r="BC57" s="117">
        <x:f>IF(AND(YEAR(BC$3)=YEAR($B$6),MONTH(BC$3)=MONTH($B$6),$B$5=1),('CAPEX'!$B$48+'CAPEX'!$B$51+'CAPEX'!$B$52)*'Вводные'!$B$30,0)+IF(AND(YEAR(BC$3)=YEAR($B$7),MONTH(BC$3)=MONTH($B$7),$B$5=1),'Вводные'!$B$26*'Вводные'!$V$89*'Вводные'!$B$30,0)</x:f>
      </x:c>
      <x:c r="BD57" s="117">
        <x:f>IF(AND(YEAR(BD$3)=YEAR($B$6),MONTH(BD$3)=MONTH($B$6),$B$5=1),('CAPEX'!$B$48+'CAPEX'!$B$51+'CAPEX'!$B$52)*'Вводные'!$B$30,0)+IF(AND(YEAR(BD$3)=YEAR($B$7),MONTH(BD$3)=MONTH($B$7),$B$5=1),'Вводные'!$B$26*'Вводные'!$V$89*'Вводные'!$B$30,0)</x:f>
      </x:c>
      <x:c r="BE57" s="117">
        <x:f>IF(AND(YEAR(BE$3)=YEAR($B$6),MONTH(BE$3)=MONTH($B$6),$B$5=1),('CAPEX'!$B$48+'CAPEX'!$B$51+'CAPEX'!$B$52)*'Вводные'!$B$30,0)+IF(AND(YEAR(BE$3)=YEAR($B$7),MONTH(BE$3)=MONTH($B$7),$B$5=1),'Вводные'!$B$26*'Вводные'!$V$89*'Вводные'!$B$30,0)</x:f>
      </x:c>
      <x:c r="BF57" s="117">
        <x:f>IF(AND(YEAR(BF$3)=YEAR($B$6),MONTH(BF$3)=MONTH($B$6),$B$5=1),('CAPEX'!$B$48+'CAPEX'!$B$51+'CAPEX'!$B$52)*'Вводные'!$B$30,0)+IF(AND(YEAR(BF$3)=YEAR($B$7),MONTH(BF$3)=MONTH($B$7),$B$5=1),'Вводные'!$B$26*'Вводные'!$V$89*'Вводные'!$B$30,0)</x:f>
      </x:c>
      <x:c r="BG57" s="117">
        <x:f>IF(AND(YEAR(BG$3)=YEAR($B$6),MONTH(BG$3)=MONTH($B$6),$B$5=1),('CAPEX'!$B$48+'CAPEX'!$B$51+'CAPEX'!$B$52)*'Вводные'!$B$30,0)+IF(AND(YEAR(BG$3)=YEAR($B$7),MONTH(BG$3)=MONTH($B$7),$B$5=1),'Вводные'!$B$26*'Вводные'!$V$89*'Вводные'!$B$30,0)</x:f>
      </x:c>
      <x:c r="BH57" s="117">
        <x:f>IF(AND(YEAR(BH$3)=YEAR($B$6),MONTH(BH$3)=MONTH($B$6),$B$5=1),('CAPEX'!$B$48+'CAPEX'!$B$51+'CAPEX'!$B$52)*'Вводные'!$B$30,0)+IF(AND(YEAR(BH$3)=YEAR($B$7),MONTH(BH$3)=MONTH($B$7),$B$5=1),'Вводные'!$B$26*'Вводные'!$V$89*'Вводные'!$B$30,0)</x:f>
      </x:c>
      <x:c r="BI57" s="117">
        <x:f>IF(AND(YEAR(BI$3)=YEAR($B$6),MONTH(BI$3)=MONTH($B$6),$B$5=1),('CAPEX'!$B$48+'CAPEX'!$B$51+'CAPEX'!$B$52)*'Вводные'!$B$30,0)+IF(AND(YEAR(BI$3)=YEAR($B$7),MONTH(BI$3)=MONTH($B$7),$B$5=1),'Вводные'!$B$26*'Вводные'!$V$89*'Вводные'!$B$30,0)</x:f>
      </x:c>
      <x:c r="BJ57" s="117">
        <x:f>IF(AND(YEAR(BJ$3)=YEAR($B$6),MONTH(BJ$3)=MONTH($B$6),$B$5=1),('CAPEX'!$B$48+'CAPEX'!$B$51+'CAPEX'!$B$52)*'Вводные'!$B$30,0)+IF(AND(YEAR(BJ$3)=YEAR($B$7),MONTH(BJ$3)=MONTH($B$7),$B$5=1),'Вводные'!$B$26*'Вводные'!$V$89*'Вводные'!$B$30,0)</x:f>
      </x:c>
      <x:c r="BK57" s="117">
        <x:f>IF(AND(YEAR(BK$3)=YEAR($B$6),MONTH(BK$3)=MONTH($B$6),$B$5=1),('CAPEX'!$B$48+'CAPEX'!$B$51+'CAPEX'!$B$52)*'Вводные'!$B$30,0)+IF(AND(YEAR(BK$3)=YEAR($B$7),MONTH(BK$3)=MONTH($B$7),$B$5=1),'Вводные'!$B$26*'Вводные'!$V$89*'Вводные'!$B$30,0)</x:f>
      </x:c>
      <x:c r="BL57" s="117">
        <x:f>IF(AND(YEAR(BL$3)=YEAR($B$6),MONTH(BL$3)=MONTH($B$6),$B$5=1),('CAPEX'!$B$48+'CAPEX'!$B$51+'CAPEX'!$B$52)*'Вводные'!$B$30,0)+IF(AND(YEAR(BL$3)=YEAR($B$7),MONTH(BL$3)=MONTH($B$7),$B$5=1),'Вводные'!$B$26*'Вводные'!$V$89*'Вводные'!$B$30,0)</x:f>
      </x:c>
      <x:c r="BM57" s="117">
        <x:f>IF(AND(YEAR(BM$3)=YEAR($B$6),MONTH(BM$3)=MONTH($B$6),$B$5=1),('CAPEX'!$B$48+'CAPEX'!$B$51+'CAPEX'!$B$52)*'Вводные'!$B$30,0)+IF(AND(YEAR(BM$3)=YEAR($B$7),MONTH(BM$3)=MONTH($B$7),$B$5=1),'Вводные'!$B$26*'Вводные'!$V$89*'Вводные'!$B$30,0)</x:f>
      </x:c>
      <x:c r="BN57" s="117">
        <x:f>IF(AND(YEAR(BN$3)=YEAR($B$6),MONTH(BN$3)=MONTH($B$6),$B$5=1),('CAPEX'!$B$48+'CAPEX'!$B$51+'CAPEX'!$B$52)*'Вводные'!$B$30,0)+IF(AND(YEAR(BN$3)=YEAR($B$7),MONTH(BN$3)=MONTH($B$7),$B$5=1),'Вводные'!$B$26*'Вводные'!$V$89*'Вводные'!$B$30,0)</x:f>
      </x:c>
      <x:c r="BO57" s="117">
        <x:f>IF(AND(YEAR(BO$3)=YEAR($B$6),MONTH(BO$3)=MONTH($B$6),$B$5=1),('CAPEX'!$B$48+'CAPEX'!$B$51+'CAPEX'!$B$52)*'Вводные'!$B$30,0)+IF(AND(YEAR(BO$3)=YEAR($B$7),MONTH(BO$3)=MONTH($B$7),$B$5=1),'Вводные'!$B$26*'Вводные'!$V$89*'Вводные'!$B$30,0)</x:f>
      </x:c>
      <x:c r="BP57" s="117">
        <x:f>IF(AND(YEAR(BP$3)=YEAR($B$6),MONTH(BP$3)=MONTH($B$6),$B$5=1),('CAPEX'!$B$48+'CAPEX'!$B$51+'CAPEX'!$B$52)*'Вводные'!$B$30,0)+IF(AND(YEAR(BP$3)=YEAR($B$7),MONTH(BP$3)=MONTH($B$7),$B$5=1),'Вводные'!$B$26*'Вводные'!$V$89*'Вводные'!$B$30,0)</x:f>
      </x:c>
      <x:c r="BQ57" s="117">
        <x:f>IF(AND(YEAR(BQ$3)=YEAR($B$6),MONTH(BQ$3)=MONTH($B$6),$B$5=1),('CAPEX'!$B$48+'CAPEX'!$B$51+'CAPEX'!$B$52)*'Вводные'!$B$30,0)+IF(AND(YEAR(BQ$3)=YEAR($B$7),MONTH(BQ$3)=MONTH($B$7),$B$5=1),'Вводные'!$B$26*'Вводные'!$V$89*'Вводные'!$B$30,0)</x:f>
      </x:c>
      <x:c r="BR57" s="117">
        <x:f>IF(AND(YEAR(BR$3)=YEAR($B$6),MONTH(BR$3)=MONTH($B$6),$B$5=1),('CAPEX'!$B$48+'CAPEX'!$B$51+'CAPEX'!$B$52)*'Вводные'!$B$30,0)+IF(AND(YEAR(BR$3)=YEAR($B$7),MONTH(BR$3)=MONTH($B$7),$B$5=1),'Вводные'!$B$26*'Вводные'!$V$89*'Вводные'!$B$30,0)</x:f>
      </x:c>
      <x:c r="BS57" s="117">
        <x:f>IF(AND(YEAR(BS$3)=YEAR($B$6),MONTH(BS$3)=MONTH($B$6),$B$5=1),('CAPEX'!$B$48+'CAPEX'!$B$51+'CAPEX'!$B$52)*'Вводные'!$B$30,0)+IF(AND(YEAR(BS$3)=YEAR($B$7),MONTH(BS$3)=MONTH($B$7),$B$5=1),'Вводные'!$B$26*'Вводные'!$V$89*'Вводные'!$B$30,0)</x:f>
      </x:c>
      <x:c r="BT57" s="117">
        <x:f>IF(AND(YEAR(BT$3)=YEAR($B$6),MONTH(BT$3)=MONTH($B$6),$B$5=1),('CAPEX'!$B$48+'CAPEX'!$B$51+'CAPEX'!$B$52)*'Вводные'!$B$30,0)+IF(AND(YEAR(BT$3)=YEAR($B$7),MONTH(BT$3)=MONTH($B$7),$B$5=1),'Вводные'!$B$26*'Вводные'!$V$89*'Вводные'!$B$30,0)</x:f>
      </x:c>
      <x:c r="BU57" s="117">
        <x:f>IF(AND(YEAR(BU$3)=YEAR($B$6),MONTH(BU$3)=MONTH($B$6),$B$5=1),('CAPEX'!$B$48+'CAPEX'!$B$51+'CAPEX'!$B$52)*'Вводные'!$B$30,0)+IF(AND(YEAR(BU$3)=YEAR($B$7),MONTH(BU$3)=MONTH($B$7),$B$5=1),'Вводные'!$B$26*'Вводные'!$V$89*'Вводные'!$B$30,0)</x:f>
      </x:c>
      <x:c r="BV57" s="117">
        <x:f>IF(AND(YEAR(BV$3)=YEAR($B$6),MONTH(BV$3)=MONTH($B$6),$B$5=1),('CAPEX'!$B$48+'CAPEX'!$B$51+'CAPEX'!$B$52)*'Вводные'!$B$30,0)+IF(AND(YEAR(BV$3)=YEAR($B$7),MONTH(BV$3)=MONTH($B$7),$B$5=1),'Вводные'!$B$26*'Вводные'!$V$89*'Вводные'!$B$30,0)</x:f>
      </x:c>
      <x:c r="BW57" s="117">
        <x:f>IF(AND(YEAR(BW$3)=YEAR($B$6),MONTH(BW$3)=MONTH($B$6),$B$5=1),('CAPEX'!$B$48+'CAPEX'!$B$51+'CAPEX'!$B$52)*'Вводные'!$B$30,0)+IF(AND(YEAR(BW$3)=YEAR($B$7),MONTH(BW$3)=MONTH($B$7),$B$5=1),'Вводные'!$B$26*'Вводные'!$V$89*'Вводные'!$B$30,0)</x:f>
      </x:c>
      <x:c r="BX57" s="117">
        <x:f>IF(AND(YEAR(BX$3)=YEAR($B$6),MONTH(BX$3)=MONTH($B$6),$B$5=1),('CAPEX'!$B$48+'CAPEX'!$B$51+'CAPEX'!$B$52)*'Вводные'!$B$30,0)+IF(AND(YEAR(BX$3)=YEAR($B$7),MONTH(BX$3)=MONTH($B$7),$B$5=1),'Вводные'!$B$26*'Вводные'!$V$89*'Вводные'!$B$30,0)</x:f>
      </x:c>
      <x:c r="BY57" s="117">
        <x:f>IF(AND(YEAR(BY$3)=YEAR($B$6),MONTH(BY$3)=MONTH($B$6),$B$5=1),('CAPEX'!$B$48+'CAPEX'!$B$51+'CAPEX'!$B$52)*'Вводные'!$B$30,0)+IF(AND(YEAR(BY$3)=YEAR($B$7),MONTH(BY$3)=MONTH($B$7),$B$5=1),'Вводные'!$B$26*'Вводные'!$V$89*'Вводные'!$B$30,0)</x:f>
      </x:c>
      <x:c r="BZ57" s="117">
        <x:f>IF(AND(YEAR(BZ$3)=YEAR($B$6),MONTH(BZ$3)=MONTH($B$6),$B$5=1),('CAPEX'!$B$48+'CAPEX'!$B$51+'CAPEX'!$B$52)*'Вводные'!$B$30,0)+IF(AND(YEAR(BZ$3)=YEAR($B$7),MONTH(BZ$3)=MONTH($B$7),$B$5=1),'Вводные'!$B$26*'Вводные'!$V$89*'Вводные'!$B$30,0)</x:f>
      </x:c>
      <x:c r="CA57" s="117">
        <x:f>IF(AND(YEAR(CA$3)=YEAR($B$6),MONTH(CA$3)=MONTH($B$6),$B$5=1),('CAPEX'!$B$48+'CAPEX'!$B$51+'CAPEX'!$B$52)*'Вводные'!$B$30,0)+IF(AND(YEAR(CA$3)=YEAR($B$7),MONTH(CA$3)=MONTH($B$7),$B$5=1),'Вводные'!$B$26*'Вводные'!$V$89*'Вводные'!$B$30,0)</x:f>
      </x:c>
      <x:c r="CB57" s="117">
        <x:f>IF(AND(YEAR(CB$3)=YEAR($B$6),MONTH(CB$3)=MONTH($B$6),$B$5=1),('CAPEX'!$B$48+'CAPEX'!$B$51+'CAPEX'!$B$52)*'Вводные'!$B$30,0)+IF(AND(YEAR(CB$3)=YEAR($B$7),MONTH(CB$3)=MONTH($B$7),$B$5=1),'Вводные'!$B$26*'Вводные'!$V$89*'Вводные'!$B$30,0)</x:f>
      </x:c>
      <x:c r="CC57" s="117">
        <x:f>IF(AND(YEAR(CC$3)=YEAR($B$6),MONTH(CC$3)=MONTH($B$6),$B$5=1),('CAPEX'!$B$48+'CAPEX'!$B$51+'CAPEX'!$B$52)*'Вводные'!$B$30,0)+IF(AND(YEAR(CC$3)=YEAR($B$7),MONTH(CC$3)=MONTH($B$7),$B$5=1),'Вводные'!$B$26*'Вводные'!$V$89*'Вводные'!$B$30,0)</x:f>
      </x:c>
      <x:c r="CD57" s="117">
        <x:f>IF(AND(YEAR(CD$3)=YEAR($B$6),MONTH(CD$3)=MONTH($B$6),$B$5=1),('CAPEX'!$B$48+'CAPEX'!$B$51+'CAPEX'!$B$52)*'Вводные'!$B$30,0)+IF(AND(YEAR(CD$3)=YEAR($B$7),MONTH(CD$3)=MONTH($B$7),$B$5=1),'Вводные'!$B$26*'Вводные'!$V$89*'Вводные'!$B$30,0)</x:f>
      </x:c>
      <x:c r="CE57" s="117">
        <x:f>IF(AND(YEAR(CE$3)=YEAR($B$6),MONTH(CE$3)=MONTH($B$6),$B$5=1),('CAPEX'!$B$48+'CAPEX'!$B$51+'CAPEX'!$B$52)*'Вводные'!$B$30,0)+IF(AND(YEAR(CE$3)=YEAR($B$7),MONTH(CE$3)=MONTH($B$7),$B$5=1),'Вводные'!$B$26*'Вводные'!$V$89*'Вводные'!$B$30,0)</x:f>
      </x:c>
      <x:c r="CF57" s="117">
        <x:f>IF(AND(YEAR(CF$3)=YEAR($B$6),MONTH(CF$3)=MONTH($B$6),$B$5=1),('CAPEX'!$B$48+'CAPEX'!$B$51+'CAPEX'!$B$52)*'Вводные'!$B$30,0)+IF(AND(YEAR(CF$3)=YEAR($B$7),MONTH(CF$3)=MONTH($B$7),$B$5=1),'Вводные'!$B$26*'Вводные'!$V$89*'Вводные'!$B$30,0)</x:f>
      </x:c>
      <x:c r="CG57" s="117">
        <x:f>IF(AND(YEAR(CG$3)=YEAR($B$6),MONTH(CG$3)=MONTH($B$6),$B$5=1),('CAPEX'!$B$48+'CAPEX'!$B$51+'CAPEX'!$B$52)*'Вводные'!$B$30,0)+IF(AND(YEAR(CG$3)=YEAR($B$7),MONTH(CG$3)=MONTH($B$7),$B$5=1),'Вводные'!$B$26*'Вводные'!$V$89*'Вводные'!$B$30,0)</x:f>
      </x:c>
      <x:c r="CH57" s="117">
        <x:f>IF(AND(YEAR(CH$3)=YEAR($B$6),MONTH(CH$3)=MONTH($B$6),$B$5=1),('CAPEX'!$B$48+'CAPEX'!$B$51+'CAPEX'!$B$52)*'Вводные'!$B$30,0)+IF(AND(YEAR(CH$3)=YEAR($B$7),MONTH(CH$3)=MONTH($B$7),$B$5=1),'Вводные'!$B$26*'Вводные'!$V$89*'Вводные'!$B$30,0)</x:f>
      </x:c>
      <x:c r="CI57" s="117">
        <x:f>IF(AND(YEAR(CI$3)=YEAR($B$6),MONTH(CI$3)=MONTH($B$6),$B$5=1),('CAPEX'!$B$48+'CAPEX'!$B$51+'CAPEX'!$B$52)*'Вводные'!$B$30,0)+IF(AND(YEAR(CI$3)=YEAR($B$7),MONTH(CI$3)=MONTH($B$7),$B$5=1),'Вводные'!$B$26*'Вводные'!$V$89*'Вводные'!$B$30,0)</x:f>
      </x:c>
      <x:c r="CJ57" s="117">
        <x:f>IF(AND(YEAR(CJ$3)=YEAR($B$6),MONTH(CJ$3)=MONTH($B$6),$B$5=1),('CAPEX'!$B$48+'CAPEX'!$B$51+'CAPEX'!$B$52)*'Вводные'!$B$30,0)+IF(AND(YEAR(CJ$3)=YEAR($B$7),MONTH(CJ$3)=MONTH($B$7),$B$5=1),'Вводные'!$B$26*'Вводные'!$V$89*'Вводные'!$B$30,0)</x:f>
      </x:c>
      <x:c r="CK57" s="117">
        <x:f>IF(AND(YEAR(CK$3)=YEAR($B$6),MONTH(CK$3)=MONTH($B$6),$B$5=1),('CAPEX'!$B$48+'CAPEX'!$B$51+'CAPEX'!$B$52)*'Вводные'!$B$30,0)+IF(AND(YEAR(CK$3)=YEAR($B$7),MONTH(CK$3)=MONTH($B$7),$B$5=1),'Вводные'!$B$26*'Вводные'!$V$89*'Вводные'!$B$30,0)</x:f>
      </x:c>
      <x:c r="CL57" s="117">
        <x:f>IF(AND(YEAR(CL$3)=YEAR($B$6),MONTH(CL$3)=MONTH($B$6),$B$5=1),('CAPEX'!$B$48+'CAPEX'!$B$51+'CAPEX'!$B$52)*'Вводные'!$B$30,0)+IF(AND(YEAR(CL$3)=YEAR($B$7),MONTH(CL$3)=MONTH($B$7),$B$5=1),'Вводные'!$B$26*'Вводные'!$V$89*'Вводные'!$B$30,0)</x:f>
      </x:c>
      <x:c r="CM57" s="117">
        <x:f>IF(AND(YEAR(CM$3)=YEAR($B$6),MONTH(CM$3)=MONTH($B$6),$B$5=1),('CAPEX'!$B$48+'CAPEX'!$B$51+'CAPEX'!$B$52)*'Вводные'!$B$30,0)+IF(AND(YEAR(CM$3)=YEAR($B$7),MONTH(CM$3)=MONTH($B$7),$B$5=1),'Вводные'!$B$26*'Вводные'!$V$89*'Вводные'!$B$30,0)</x:f>
      </x:c>
      <x:c r="CN57" s="117">
        <x:f>IF(AND(YEAR(CN$3)=YEAR($B$6),MONTH(CN$3)=MONTH($B$6),$B$5=1),('CAPEX'!$B$48+'CAPEX'!$B$51+'CAPEX'!$B$52)*'Вводные'!$B$30,0)+IF(AND(YEAR(CN$3)=YEAR($B$7),MONTH(CN$3)=MONTH($B$7),$B$5=1),'Вводные'!$B$26*'Вводные'!$V$89*'Вводные'!$B$30,0)</x:f>
      </x:c>
      <x:c r="CO57" s="117">
        <x:f>IF(AND(YEAR(CO$3)=YEAR($B$6),MONTH(CO$3)=MONTH($B$6),$B$5=1),('CAPEX'!$B$48+'CAPEX'!$B$51+'CAPEX'!$B$52)*'Вводные'!$B$30,0)+IF(AND(YEAR(CO$3)=YEAR($B$7),MONTH(CO$3)=MONTH($B$7),$B$5=1),'Вводные'!$B$26*'Вводные'!$V$89*'Вводные'!$B$30,0)</x:f>
      </x:c>
      <x:c r="CP57" s="117">
        <x:f>IF(AND(YEAR(CP$3)=YEAR($B$6),MONTH(CP$3)=MONTH($B$6),$B$5=1),('CAPEX'!$B$48+'CAPEX'!$B$51+'CAPEX'!$B$52)*'Вводные'!$B$30,0)+IF(AND(YEAR(CP$3)=YEAR($B$7),MONTH(CP$3)=MONTH($B$7),$B$5=1),'Вводные'!$B$26*'Вводные'!$V$89*'Вводные'!$B$30,0)</x:f>
      </x:c>
      <x:c r="CQ57" s="117">
        <x:f>IF(AND(YEAR(CQ$3)=YEAR($B$6),MONTH(CQ$3)=MONTH($B$6),$B$5=1),('CAPEX'!$B$48+'CAPEX'!$B$51+'CAPEX'!$B$52)*'Вводные'!$B$30,0)+IF(AND(YEAR(CQ$3)=YEAR($B$7),MONTH(CQ$3)=MONTH($B$7),$B$5=1),'Вводные'!$B$26*'Вводные'!$V$89*'Вводные'!$B$30,0)</x:f>
      </x:c>
      <x:c r="CR57" s="117">
        <x:f>IF(AND(YEAR(CR$3)=YEAR($B$6),MONTH(CR$3)=MONTH($B$6),$B$5=1),('CAPEX'!$B$48+'CAPEX'!$B$51+'CAPEX'!$B$52)*'Вводные'!$B$30,0)+IF(AND(YEAR(CR$3)=YEAR($B$7),MONTH(CR$3)=MONTH($B$7),$B$5=1),'Вводные'!$B$26*'Вводные'!$V$89*'Вводные'!$B$30,0)</x:f>
      </x:c>
      <x:c r="CS57" s="117">
        <x:f>IF(AND(YEAR(CS$3)=YEAR($B$6),MONTH(CS$3)=MONTH($B$6),$B$5=1),('CAPEX'!$B$48+'CAPEX'!$B$51+'CAPEX'!$B$52)*'Вводные'!$B$30,0)+IF(AND(YEAR(CS$3)=YEAR($B$7),MONTH(CS$3)=MONTH($B$7),$B$5=1),'Вводные'!$B$26*'Вводные'!$V$89*'Вводные'!$B$30,0)</x:f>
      </x:c>
      <x:c r="CT57" s="117">
        <x:f>IF(AND(YEAR(CT$3)=YEAR($B$6),MONTH(CT$3)=MONTH($B$6),$B$5=1),('CAPEX'!$B$48+'CAPEX'!$B$51+'CAPEX'!$B$52)*'Вводные'!$B$30,0)+IF(AND(YEAR(CT$3)=YEAR($B$7),MONTH(CT$3)=MONTH($B$7),$B$5=1),'Вводные'!$B$26*'Вводные'!$V$89*'Вводные'!$B$30,0)</x:f>
      </x:c>
      <x:c r="CU57" s="117">
        <x:f>IF(AND(YEAR(CU$3)=YEAR($B$6),MONTH(CU$3)=MONTH($B$6),$B$5=1),('CAPEX'!$B$48+'CAPEX'!$B$51+'CAPEX'!$B$52)*'Вводные'!$B$30,0)+IF(AND(YEAR(CU$3)=YEAR($B$7),MONTH(CU$3)=MONTH($B$7),$B$5=1),'Вводные'!$B$26*'Вводные'!$V$89*'Вводные'!$B$30,0)</x:f>
      </x:c>
      <x:c r="CV57" s="117">
        <x:f>IF(AND(YEAR(CV$3)=YEAR($B$6),MONTH(CV$3)=MONTH($B$6),$B$5=1),('CAPEX'!$B$48+'CAPEX'!$B$51+'CAPEX'!$B$52)*'Вводные'!$B$30,0)+IF(AND(YEAR(CV$3)=YEAR($B$7),MONTH(CV$3)=MONTH($B$7),$B$5=1),'Вводные'!$B$26*'Вводные'!$V$89*'Вводные'!$B$30,0)</x:f>
      </x:c>
      <x:c r="CW57" s="117">
        <x:f>IF(AND(YEAR(CW$3)=YEAR($B$6),MONTH(CW$3)=MONTH($B$6),$B$5=1),('CAPEX'!$B$48+'CAPEX'!$B$51+'CAPEX'!$B$52)*'Вводные'!$B$30,0)+IF(AND(YEAR(CW$3)=YEAR($B$7),MONTH(CW$3)=MONTH($B$7),$B$5=1),'Вводные'!$B$26*'Вводные'!$V$89*'Вводные'!$B$30,0)</x:f>
      </x:c>
      <x:c r="CX57" s="117">
        <x:f>IF(AND(YEAR(CX$3)=YEAR($B$6),MONTH(CX$3)=MONTH($B$6),$B$5=1),('CAPEX'!$B$48+'CAPEX'!$B$51+'CAPEX'!$B$52)*'Вводные'!$B$30,0)+IF(AND(YEAR(CX$3)=YEAR($B$7),MONTH(CX$3)=MONTH($B$7),$B$5=1),'Вводные'!$B$26*'Вводные'!$V$89*'Вводные'!$B$30,0)</x:f>
      </x:c>
      <x:c r="CY57" s="117">
        <x:f>IF(AND(YEAR(CY$3)=YEAR($B$6),MONTH(CY$3)=MONTH($B$6),$B$5=1),('CAPEX'!$B$48+'CAPEX'!$B$51+'CAPEX'!$B$52)*'Вводные'!$B$30,0)+IF(AND(YEAR(CY$3)=YEAR($B$7),MONTH(CY$3)=MONTH($B$7),$B$5=1),'Вводные'!$B$26*'Вводные'!$V$89*'Вводные'!$B$30,0)</x:f>
      </x:c>
      <x:c r="CZ57" s="117">
        <x:f>IF(AND(YEAR(CZ$3)=YEAR($B$6),MONTH(CZ$3)=MONTH($B$6),$B$5=1),('CAPEX'!$B$48+'CAPEX'!$B$51+'CAPEX'!$B$52)*'Вводные'!$B$30,0)+IF(AND(YEAR(CZ$3)=YEAR($B$7),MONTH(CZ$3)=MONTH($B$7),$B$5=1),'Вводные'!$B$26*'Вводные'!$V$89*'Вводные'!$B$30,0)</x:f>
      </x:c>
      <x:c r="DA57" s="117">
        <x:f>IF(AND(YEAR(DA$3)=YEAR($B$6),MONTH(DA$3)=MONTH($B$6),$B$5=1),('CAPEX'!$B$48+'CAPEX'!$B$51+'CAPEX'!$B$52)*'Вводные'!$B$30,0)+IF(AND(YEAR(DA$3)=YEAR($B$7),MONTH(DA$3)=MONTH($B$7),$B$5=1),'Вводные'!$B$26*'Вводные'!$V$89*'Вводные'!$B$30,0)</x:f>
      </x:c>
      <x:c r="DB57" s="117">
        <x:f>IF(AND(YEAR(DB$3)=YEAR($B$6),MONTH(DB$3)=MONTH($B$6),$B$5=1),('CAPEX'!$B$48+'CAPEX'!$B$51+'CAPEX'!$B$52)*'Вводные'!$B$30,0)+IF(AND(YEAR(DB$3)=YEAR($B$7),MONTH(DB$3)=MONTH($B$7),$B$5=1),'Вводные'!$B$26*'Вводные'!$V$89*'Вводные'!$B$30,0)</x:f>
      </x:c>
      <x:c r="DC57" s="117">
        <x:f>IF(AND(YEAR(DC$3)=YEAR($B$6),MONTH(DC$3)=MONTH($B$6),$B$5=1),('CAPEX'!$B$48+'CAPEX'!$B$51+'CAPEX'!$B$52)*'Вводные'!$B$30,0)+IF(AND(YEAR(DC$3)=YEAR($B$7),MONTH(DC$3)=MONTH($B$7),$B$5=1),'Вводные'!$B$26*'Вводные'!$V$89*'Вводные'!$B$30,0)</x:f>
      </x:c>
      <x:c r="DD57" s="117">
        <x:f>IF(AND(YEAR(DD$3)=YEAR($B$6),MONTH(DD$3)=MONTH($B$6),$B$5=1),('CAPEX'!$B$48+'CAPEX'!$B$51+'CAPEX'!$B$52)*'Вводные'!$B$30,0)+IF(AND(YEAR(DD$3)=YEAR($B$7),MONTH(DD$3)=MONTH($B$7),$B$5=1),'Вводные'!$B$26*'Вводные'!$V$89*'Вводные'!$B$30,0)</x:f>
      </x:c>
      <x:c r="DE57" s="117">
        <x:f>IF(AND(YEAR(DE$3)=YEAR($B$6),MONTH(DE$3)=MONTH($B$6),$B$5=1),('CAPEX'!$B$48+'CAPEX'!$B$51+'CAPEX'!$B$52)*'Вводные'!$B$30,0)+IF(AND(YEAR(DE$3)=YEAR($B$7),MONTH(DE$3)=MONTH($B$7),$B$5=1),'Вводные'!$B$26*'Вводные'!$V$89*'Вводные'!$B$30,0)</x:f>
      </x:c>
      <x:c r="DF57" s="117">
        <x:f>IF(AND(YEAR(DF$3)=YEAR($B$6),MONTH(DF$3)=MONTH($B$6),$B$5=1),('CAPEX'!$B$48+'CAPEX'!$B$51+'CAPEX'!$B$52)*'Вводные'!$B$30,0)+IF(AND(YEAR(DF$3)=YEAR($B$7),MONTH(DF$3)=MONTH($B$7),$B$5=1),'Вводные'!$B$26*'Вводные'!$V$89*'Вводные'!$B$30,0)</x:f>
      </x:c>
      <x:c r="DG57" s="117">
        <x:f>IF(AND(YEAR(DG$3)=YEAR($B$6),MONTH(DG$3)=MONTH($B$6),$B$5=1),('CAPEX'!$B$48+'CAPEX'!$B$51+'CAPEX'!$B$52)*'Вводные'!$B$30,0)+IF(AND(YEAR(DG$3)=YEAR($B$7),MONTH(DG$3)=MONTH($B$7),$B$5=1),'Вводные'!$B$26*'Вводные'!$V$89*'Вводные'!$B$30,0)</x:f>
      </x:c>
      <x:c r="DH57" s="117">
        <x:f>IF(AND(YEAR(DH$3)=YEAR($B$6),MONTH(DH$3)=MONTH($B$6),$B$5=1),('CAPEX'!$B$48+'CAPEX'!$B$51+'CAPEX'!$B$52)*'Вводные'!$B$30,0)+IF(AND(YEAR(DH$3)=YEAR($B$7),MONTH(DH$3)=MONTH($B$7),$B$5=1),'Вводные'!$B$26*'Вводные'!$V$89*'Вводные'!$B$30,0)</x:f>
      </x:c>
      <x:c r="DI57" s="117">
        <x:f>IF(AND(YEAR(DI$3)=YEAR($B$6),MONTH(DI$3)=MONTH($B$6),$B$5=1),('CAPEX'!$B$48+'CAPEX'!$B$51+'CAPEX'!$B$52)*'Вводные'!$B$30,0)+IF(AND(YEAR(DI$3)=YEAR($B$7),MONTH(DI$3)=MONTH($B$7),$B$5=1),'Вводные'!$B$26*'Вводные'!$V$89*'Вводные'!$B$30,0)</x:f>
      </x:c>
      <x:c r="DJ57" s="117">
        <x:f>IF(AND(YEAR(DJ$3)=YEAR($B$6),MONTH(DJ$3)=MONTH($B$6),$B$5=1),('CAPEX'!$B$48+'CAPEX'!$B$51+'CAPEX'!$B$52)*'Вводные'!$B$30,0)+IF(AND(YEAR(DJ$3)=YEAR($B$7),MONTH(DJ$3)=MONTH($B$7),$B$5=1),'Вводные'!$B$26*'Вводные'!$V$89*'Вводные'!$B$30,0)</x:f>
      </x:c>
      <x:c r="DK57" s="117">
        <x:f>IF(AND(YEAR(DK$3)=YEAR($B$6),MONTH(DK$3)=MONTH($B$6),$B$5=1),('CAPEX'!$B$48+'CAPEX'!$B$51+'CAPEX'!$B$52)*'Вводные'!$B$30,0)+IF(AND(YEAR(DK$3)=YEAR($B$7),MONTH(DK$3)=MONTH($B$7),$B$5=1),'Вводные'!$B$26*'Вводные'!$V$89*'Вводные'!$B$30,0)</x:f>
      </x:c>
      <x:c r="DL57" s="117">
        <x:f>IF(AND(YEAR(DL$3)=YEAR($B$6),MONTH(DL$3)=MONTH($B$6),$B$5=1),('CAPEX'!$B$48+'CAPEX'!$B$51+'CAPEX'!$B$52)*'Вводные'!$B$30,0)+IF(AND(YEAR(DL$3)=YEAR($B$7),MONTH(DL$3)=MONTH($B$7),$B$5=1),'Вводные'!$B$26*'Вводные'!$V$89*'Вводные'!$B$30,0)</x:f>
      </x:c>
      <x:c r="DM57" s="117">
        <x:f>IF(AND(YEAR(DM$3)=YEAR($B$6),MONTH(DM$3)=MONTH($B$6),$B$5=1),('CAPEX'!$B$48+'CAPEX'!$B$51+'CAPEX'!$B$52)*'Вводные'!$B$30,0)+IF(AND(YEAR(DM$3)=YEAR($B$7),MONTH(DM$3)=MONTH($B$7),$B$5=1),'Вводные'!$B$26*'Вводные'!$V$89*'Вводные'!$B$30,0)</x:f>
      </x:c>
      <x:c r="DN57" s="117">
        <x:f>IF(AND(YEAR(DN$3)=YEAR($B$6),MONTH(DN$3)=MONTH($B$6),$B$5=1),('CAPEX'!$B$48+'CAPEX'!$B$51+'CAPEX'!$B$52)*'Вводные'!$B$30,0)+IF(AND(YEAR(DN$3)=YEAR($B$7),MONTH(DN$3)=MONTH($B$7),$B$5=1),'Вводные'!$B$26*'Вводные'!$V$89*'Вводные'!$B$30,0)</x:f>
      </x:c>
      <x:c r="DO57" s="117">
        <x:f>IF(AND(YEAR(DO$3)=YEAR($B$6),MONTH(DO$3)=MONTH($B$6),$B$5=1),('CAPEX'!$B$48+'CAPEX'!$B$51+'CAPEX'!$B$52)*'Вводные'!$B$30,0)+IF(AND(YEAR(DO$3)=YEAR($B$7),MONTH(DO$3)=MONTH($B$7),$B$5=1),'Вводные'!$B$26*'Вводные'!$V$89*'Вводные'!$B$30,0)</x:f>
      </x:c>
      <x:c r="DP57" s="117">
        <x:f>IF(AND(YEAR(DP$3)=YEAR($B$6),MONTH(DP$3)=MONTH($B$6),$B$5=1),('CAPEX'!$B$48+'CAPEX'!$B$51+'CAPEX'!$B$52)*'Вводные'!$B$30,0)+IF(AND(YEAR(DP$3)=YEAR($B$7),MONTH(DP$3)=MONTH($B$7),$B$5=1),'Вводные'!$B$26*'Вводные'!$V$89*'Вводные'!$B$30,0)</x:f>
      </x:c>
      <x:c r="DQ57" s="117">
        <x:f>IF(AND(YEAR(DQ$3)=YEAR($B$6),MONTH(DQ$3)=MONTH($B$6),$B$5=1),('CAPEX'!$B$48+'CAPEX'!$B$51+'CAPEX'!$B$52)*'Вводные'!$B$30,0)+IF(AND(YEAR(DQ$3)=YEAR($B$7),MONTH(DQ$3)=MONTH($B$7),$B$5=1),'Вводные'!$B$26*'Вводные'!$V$89*'Вводные'!$B$30,0)</x:f>
      </x:c>
      <x:c r="DR57" s="117">
        <x:f>IF(AND(YEAR(DR$3)=YEAR($B$6),MONTH(DR$3)=MONTH($B$6),$B$5=1),('CAPEX'!$B$48+'CAPEX'!$B$51+'CAPEX'!$B$52)*'Вводные'!$B$30,0)+IF(AND(YEAR(DR$3)=YEAR($B$7),MONTH(DR$3)=MONTH($B$7),$B$5=1),'Вводные'!$B$26*'Вводные'!$V$89*'Вводные'!$B$30,0)</x:f>
      </x:c>
      <x:c r="DS57" s="117">
        <x:f>IF(AND(YEAR(DS$3)=YEAR($B$6),MONTH(DS$3)=MONTH($B$6),$B$5=1),('CAPEX'!$B$48+'CAPEX'!$B$51+'CAPEX'!$B$52)*'Вводные'!$B$30,0)+IF(AND(YEAR(DS$3)=YEAR($B$7),MONTH(DS$3)=MONTH($B$7),$B$5=1),'Вводные'!$B$26*'Вводные'!$V$89*'Вводные'!$B$30,0)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IF(AND((D38+D45)&gt;0,$B$5=1,D$3&lt;EDATE($B$8,'Вводные'!$H$90)),(D38+D45)*D41/12,0)</x:f>
      </x:c>
      <x:c r="E42" s="117">
        <x:f>IF(AND((E38+E45)&gt;0,$B$5=1,E$3&lt;EDATE($B$8,'Вводные'!$H$90)),(E38+E45)*E41/12,0)</x:f>
      </x:c>
      <x:c r="F42" s="117">
        <x:f>IF(AND((F38+F45)&gt;0,$B$5=1,F$3&lt;EDATE($B$8,'Вводные'!$H$90)),(F38+F45)*F41/12,0)</x:f>
      </x:c>
      <x:c r="G42" s="117">
        <x:f>IF(AND((G38+G45)&gt;0,$B$5=1,G$3&lt;EDATE($B$8,'Вводные'!$H$90)),(G38+G45)*G41/12,0)</x:f>
      </x:c>
      <x:c r="H42" s="117">
        <x:f>IF(AND((H38+H45)&gt;0,$B$5=1,H$3&lt;EDATE($B$8,'Вводные'!$H$90)),(H38+H45)*H41/12,0)</x:f>
      </x:c>
      <x:c r="I42" s="117">
        <x:f>IF(AND((I38+I45)&gt;0,$B$5=1,I$3&lt;EDATE($B$8,'Вводные'!$H$90)),(I38+I45)*I41/12,0)</x:f>
      </x:c>
      <x:c r="J42" s="117">
        <x:f>IF(AND((J38+J45)&gt;0,$B$5=1,J$3&lt;EDATE($B$8,'Вводные'!$H$90)),(J38+J45)*J41/12,0)</x:f>
      </x:c>
      <x:c r="K42" s="117">
        <x:f>IF(AND((K38+K45)&gt;0,$B$5=1,K$3&lt;EDATE($B$8,'Вводные'!$H$90)),(K38+K45)*K41/12,0)</x:f>
      </x:c>
      <x:c r="L42" s="117">
        <x:f>IF(AND((L38+L45)&gt;0,$B$5=1,L$3&lt;EDATE($B$8,'Вводные'!$H$90)),(L38+L45)*L41/12,0)</x:f>
      </x:c>
      <x:c r="M42" s="117">
        <x:f>IF(AND((M38+M45)&gt;0,$B$5=1,M$3&lt;EDATE($B$8,'Вводные'!$H$90)),(M38+M45)*M41/12,0)</x:f>
      </x:c>
      <x:c r="N42" s="117">
        <x:f>IF(AND((N38+N45)&gt;0,$B$5=1,N$3&lt;EDATE($B$8,'Вводные'!$H$90)),(N38+N45)*N41/12,0)</x:f>
      </x:c>
      <x:c r="O42" s="117">
        <x:f>IF(AND((O38+O45)&gt;0,$B$5=1,O$3&lt;EDATE($B$8,'Вводные'!$H$90)),(O38+O45)*O41/12,0)</x:f>
      </x:c>
      <x:c r="P42" s="117">
        <x:f>IF(AND((P38+P45)&gt;0,$B$5=1,P$3&lt;EDATE($B$8,'Вводные'!$H$90)),(P38+P45)*P41/12,0)</x:f>
      </x:c>
      <x:c r="Q42" s="117">
        <x:f>IF(AND((Q38+Q45)&gt;0,$B$5=1,Q$3&lt;EDATE($B$8,'Вводные'!$H$90)),(Q38+Q45)*Q41/12,0)</x:f>
      </x:c>
      <x:c r="R42" s="117">
        <x:f>IF(AND((R38+R45)&gt;0,$B$5=1,R$3&lt;EDATE($B$8,'Вводные'!$H$90)),(R38+R45)*R41/12,0)</x:f>
      </x:c>
      <x:c r="S42" s="117">
        <x:f>IF(AND((S38+S45)&gt;0,$B$5=1,S$3&lt;EDATE($B$8,'Вводные'!$H$90)),(S38+S45)*S41/12,0)</x:f>
      </x:c>
      <x:c r="T42" s="117">
        <x:f>IF(AND((T38+T45)&gt;0,$B$5=1,T$3&lt;EDATE($B$8,'Вводные'!$H$90)),(T38+T45)*T41/12,0)</x:f>
      </x:c>
      <x:c r="U42" s="117">
        <x:f>IF(AND((U38+U45)&gt;0,$B$5=1,U$3&lt;EDATE($B$8,'Вводные'!$H$90)),(U38+U45)*U41/12,0)</x:f>
      </x:c>
      <x:c r="V42" s="117">
        <x:f>IF(AND((V38+V45)&gt;0,$B$5=1,V$3&lt;EDATE($B$8,'Вводные'!$H$90)),(V38+V45)*V41/12,0)</x:f>
      </x:c>
      <x:c r="W42" s="117">
        <x:f>IF(AND((W38+W45)&gt;0,$B$5=1,W$3&lt;EDATE($B$8,'Вводные'!$H$90)),(W38+W45)*W41/12,0)</x:f>
      </x:c>
      <x:c r="X42" s="117">
        <x:f>IF(AND((X38+X45)&gt;0,$B$5=1,X$3&lt;EDATE($B$8,'Вводные'!$H$90)),(X38+X45)*X41/12,0)</x:f>
      </x:c>
      <x:c r="Y42" s="117">
        <x:f>IF(AND((Y38+Y45)&gt;0,$B$5=1,Y$3&lt;EDATE($B$8,'Вводные'!$H$90)),(Y38+Y45)*Y41/12,0)</x:f>
      </x:c>
      <x:c r="Z42" s="117">
        <x:f>IF(AND((Z38+Z45)&gt;0,$B$5=1,Z$3&lt;EDATE($B$8,'Вводные'!$H$90)),(Z38+Z45)*Z41/12,0)</x:f>
      </x:c>
      <x:c r="AA42" s="117">
        <x:f>IF(AND((AA38+AA45)&gt;0,$B$5=1,AA$3&lt;EDATE($B$8,'Вводные'!$H$90)),(AA38+AA45)*AA41/12,0)</x:f>
      </x:c>
      <x:c r="AB42" s="117">
        <x:f>IF(AND((AB38+AB45)&gt;0,$B$5=1,AB$3&lt;EDATE($B$8,'Вводные'!$H$90)),(AB38+AB45)*AB41/12,0)</x:f>
      </x:c>
      <x:c r="AC42" s="117">
        <x:f>IF(AND((AC38+AC45)&gt;0,$B$5=1,AC$3&lt;EDATE($B$8,'Вводные'!$H$90)),(AC38+AC45)*AC41/12,0)</x:f>
      </x:c>
      <x:c r="AD42" s="117">
        <x:f>IF(AND((AD38+AD45)&gt;0,$B$5=1,AD$3&lt;EDATE($B$8,'Вводные'!$H$90)),(AD38+AD45)*AD41/12,0)</x:f>
      </x:c>
      <x:c r="AE42" s="117">
        <x:f>IF(AND((AE38+AE45)&gt;0,$B$5=1,AE$3&lt;EDATE($B$8,'Вводные'!$H$90)),(AE38+AE45)*AE41/12,0)</x:f>
      </x:c>
      <x:c r="AF42" s="117">
        <x:f>IF(AND((AF38+AF45)&gt;0,$B$5=1,AF$3&lt;EDATE($B$8,'Вводные'!$H$90)),(AF38+AF45)*AF41/12,0)</x:f>
      </x:c>
      <x:c r="AG42" s="117">
        <x:f>IF(AND((AG38+AG45)&gt;0,$B$5=1,AG$3&lt;EDATE($B$8,'Вводные'!$H$90)),(AG38+AG45)*AG41/12,0)</x:f>
      </x:c>
      <x:c r="AH42" s="117">
        <x:f>IF(AND((AH38+AH45)&gt;0,$B$5=1,AH$3&lt;EDATE($B$8,'Вводные'!$H$90)),(AH38+AH45)*AH41/12,0)</x:f>
      </x:c>
      <x:c r="AI42" s="117">
        <x:f>IF(AND((AI38+AI45)&gt;0,$B$5=1,AI$3&lt;EDATE($B$8,'Вводные'!$H$90)),(AI38+AI45)*AI41/12,0)</x:f>
      </x:c>
      <x:c r="AJ42" s="117">
        <x:f>IF(AND((AJ38+AJ45)&gt;0,$B$5=1,AJ$3&lt;EDATE($B$8,'Вводные'!$H$90)),(AJ38+AJ45)*AJ41/12,0)</x:f>
      </x:c>
      <x:c r="AK42" s="117">
        <x:f>IF(AND((AK38+AK45)&gt;0,$B$5=1,AK$3&lt;EDATE($B$8,'Вводные'!$H$90)),(AK38+AK45)*AK41/12,0)</x:f>
      </x:c>
      <x:c r="AL42" s="117">
        <x:f>IF(AND((AL38+AL45)&gt;0,$B$5=1,AL$3&lt;EDATE($B$8,'Вводные'!$H$90)),(AL38+AL45)*AL41/12,0)</x:f>
      </x:c>
      <x:c r="AM42" s="117">
        <x:f>IF(AND((AM38+AM45)&gt;0,$B$5=1,AM$3&lt;EDATE($B$8,'Вводные'!$H$90)),(AM38+AM45)*AM41/12,0)</x:f>
      </x:c>
      <x:c r="AN42" s="117">
        <x:f>IF(AND((AN38+AN45)&gt;0,$B$5=1,AN$3&lt;EDATE($B$8,'Вводные'!$H$90)),(AN38+AN45)*AN41/12,0)</x:f>
      </x:c>
      <x:c r="AO42" s="117">
        <x:f>IF(AND((AO38+AO45)&gt;0,$B$5=1,AO$3&lt;EDATE($B$8,'Вводные'!$H$90)),(AO38+AO45)*AO41/12,0)</x:f>
      </x:c>
      <x:c r="AP42" s="117">
        <x:f>IF(AND((AP38+AP45)&gt;0,$B$5=1,AP$3&lt;EDATE($B$8,'Вводные'!$H$90)),(AP38+AP45)*AP41/12,0)</x:f>
      </x:c>
      <x:c r="AQ42" s="117">
        <x:f>IF(AND((AQ38+AQ45)&gt;0,$B$5=1,AQ$3&lt;EDATE($B$8,'Вводные'!$H$90)),(AQ38+AQ45)*AQ41/12,0)</x:f>
      </x:c>
      <x:c r="AR42" s="117">
        <x:f>IF(AND((AR38+AR45)&gt;0,$B$5=1,AR$3&lt;EDATE($B$8,'Вводные'!$H$90)),(AR38+AR45)*AR41/12,0)</x:f>
      </x:c>
      <x:c r="AS42" s="117">
        <x:f>IF(AND((AS38+AS45)&gt;0,$B$5=1,AS$3&lt;EDATE($B$8,'Вводные'!$H$90)),(AS38+AS45)*AS41/12,0)</x:f>
      </x:c>
      <x:c r="AT42" s="117">
        <x:f>IF(AND((AT38+AT45)&gt;0,$B$5=1,AT$3&lt;EDATE($B$8,'Вводные'!$H$90)),(AT38+AT45)*AT41/12,0)</x:f>
      </x:c>
      <x:c r="AU42" s="117">
        <x:f>IF(AND((AU38+AU45)&gt;0,$B$5=1,AU$3&lt;EDATE($B$8,'Вводные'!$H$90)),(AU38+AU45)*AU41/12,0)</x:f>
      </x:c>
      <x:c r="AV42" s="117">
        <x:f>IF(AND((AV38+AV45)&gt;0,$B$5=1,AV$3&lt;EDATE($B$8,'Вводные'!$H$90)),(AV38+AV45)*AV41/12,0)</x:f>
      </x:c>
      <x:c r="AW42" s="117">
        <x:f>IF(AND((AW38+AW45)&gt;0,$B$5=1,AW$3&lt;EDATE($B$8,'Вводные'!$H$90)),(AW38+AW45)*AW41/12,0)</x:f>
      </x:c>
      <x:c r="AX42" s="117">
        <x:f>IF(AND((AX38+AX45)&gt;0,$B$5=1,AX$3&lt;EDATE($B$8,'Вводные'!$H$90)),(AX38+AX45)*AX41/12,0)</x:f>
      </x:c>
      <x:c r="AY42" s="117">
        <x:f>IF(AND((AY38+AY45)&gt;0,$B$5=1,AY$3&lt;EDATE($B$8,'Вводные'!$H$90)),(AY38+AY45)*AY41/12,0)</x:f>
      </x:c>
      <x:c r="AZ42" s="117">
        <x:f>IF(AND((AZ38+AZ45)&gt;0,$B$5=1,AZ$3&lt;EDATE($B$8,'Вводные'!$H$90)),(AZ38+AZ45)*AZ41/12,0)</x:f>
      </x:c>
      <x:c r="BA42" s="117">
        <x:f>IF(AND((BA38+BA45)&gt;0,$B$5=1,BA$3&lt;EDATE($B$8,'Вводные'!$H$90)),(BA38+BA45)*BA41/12,0)</x:f>
      </x:c>
      <x:c r="BB42" s="117">
        <x:f>IF(AND((BB38+BB45)&gt;0,$B$5=1,BB$3&lt;EDATE($B$8,'Вводные'!$H$90)),(BB38+BB45)*BB41/12,0)</x:f>
      </x:c>
      <x:c r="BC42" s="117">
        <x:f>IF(AND((BC38+BC45)&gt;0,$B$5=1,BC$3&lt;EDATE($B$8,'Вводные'!$H$90)),(BC38+BC45)*BC41/12,0)</x:f>
      </x:c>
      <x:c r="BD42" s="117">
        <x:f>IF(AND((BD38+BD45)&gt;0,$B$5=1,BD$3&lt;EDATE($B$8,'Вводные'!$H$90)),(BD38+BD45)*BD41/12,0)</x:f>
      </x:c>
      <x:c r="BE42" s="117">
        <x:f>IF(AND((BE38+BE45)&gt;0,$B$5=1,BE$3&lt;EDATE($B$8,'Вводные'!$H$90)),(BE38+BE45)*BE41/12,0)</x:f>
      </x:c>
      <x:c r="BF42" s="117">
        <x:f>IF(AND((BF38+BF45)&gt;0,$B$5=1,BF$3&lt;EDATE($B$8,'Вводные'!$H$90)),(BF38+BF45)*BF41/12,0)</x:f>
      </x:c>
      <x:c r="BG42" s="117">
        <x:f>IF(AND((BG38+BG45)&gt;0,$B$5=1,BG$3&lt;EDATE($B$8,'Вводные'!$H$90)),(BG38+BG45)*BG41/12,0)</x:f>
      </x:c>
      <x:c r="BH42" s="117">
        <x:f>IF(AND((BH38+BH45)&gt;0,$B$5=1,BH$3&lt;EDATE($B$8,'Вводные'!$H$90)),(BH38+BH45)*BH41/12,0)</x:f>
      </x:c>
      <x:c r="BI42" s="117">
        <x:f>IF(AND((BI38+BI45)&gt;0,$B$5=1,BI$3&lt;EDATE($B$8,'Вводные'!$H$90)),(BI38+BI45)*BI41/12,0)</x:f>
      </x:c>
      <x:c r="BJ42" s="117">
        <x:f>IF(AND((BJ38+BJ45)&gt;0,$B$5=1,BJ$3&lt;EDATE($B$8,'Вводные'!$H$90)),(BJ38+BJ45)*BJ41/12,0)</x:f>
      </x:c>
      <x:c r="BK42" s="117">
        <x:f>IF(AND((BK38+BK45)&gt;0,$B$5=1,BK$3&lt;EDATE($B$8,'Вводные'!$H$90)),(BK38+BK45)*BK41/12,0)</x:f>
      </x:c>
      <x:c r="BL42" s="117">
        <x:f>IF(AND((BL38+BL45)&gt;0,$B$5=1,BL$3&lt;EDATE($B$8,'Вводные'!$H$90)),(BL38+BL45)*BL41/12,0)</x:f>
      </x:c>
      <x:c r="BM42" s="117">
        <x:f>IF(AND((BM38+BM45)&gt;0,$B$5=1,BM$3&lt;EDATE($B$8,'Вводные'!$H$90)),(BM38+BM45)*BM41/12,0)</x:f>
      </x:c>
      <x:c r="BN42" s="117">
        <x:f>IF(AND((BN38+BN45)&gt;0,$B$5=1,BN$3&lt;EDATE($B$8,'Вводные'!$H$90)),(BN38+BN45)*BN41/12,0)</x:f>
      </x:c>
      <x:c r="BO42" s="117">
        <x:f>IF(AND((BO38+BO45)&gt;0,$B$5=1,BO$3&lt;EDATE($B$8,'Вводные'!$H$90)),(BO38+BO45)*BO41/12,0)</x:f>
      </x:c>
      <x:c r="BP42" s="117">
        <x:f>IF(AND((BP38+BP45)&gt;0,$B$5=1,BP$3&lt;EDATE($B$8,'Вводные'!$H$90)),(BP38+BP45)*BP41/12,0)</x:f>
      </x:c>
      <x:c r="BQ42" s="117">
        <x:f>IF(AND((BQ38+BQ45)&gt;0,$B$5=1,BQ$3&lt;EDATE($B$8,'Вводные'!$H$90)),(BQ38+BQ45)*BQ41/12,0)</x:f>
      </x:c>
      <x:c r="BR42" s="117">
        <x:f>IF(AND((BR38+BR45)&gt;0,$B$5=1,BR$3&lt;EDATE($B$8,'Вводные'!$H$90)),(BR38+BR45)*BR41/12,0)</x:f>
      </x:c>
      <x:c r="BS42" s="117">
        <x:f>IF(AND((BS38+BS45)&gt;0,$B$5=1,BS$3&lt;EDATE($B$8,'Вводные'!$H$90)),(BS38+BS45)*BS41/12,0)</x:f>
      </x:c>
      <x:c r="BT42" s="117">
        <x:f>IF(AND((BT38+BT45)&gt;0,$B$5=1,BT$3&lt;EDATE($B$8,'Вводные'!$H$90)),(BT38+BT45)*BT41/12,0)</x:f>
      </x:c>
      <x:c r="BU42" s="117">
        <x:f>IF(AND((BU38+BU45)&gt;0,$B$5=1,BU$3&lt;EDATE($B$8,'Вводные'!$H$90)),(BU38+BU45)*BU41/12,0)</x:f>
      </x:c>
      <x:c r="BV42" s="117">
        <x:f>IF(AND((BV38+BV45)&gt;0,$B$5=1,BV$3&lt;EDATE($B$8,'Вводные'!$H$90)),(BV38+BV45)*BV41/12,0)</x:f>
      </x:c>
      <x:c r="BW42" s="117">
        <x:f>IF(AND((BW38+BW45)&gt;0,$B$5=1,BW$3&lt;EDATE($B$8,'Вводные'!$H$90)),(BW38+BW45)*BW41/12,0)</x:f>
      </x:c>
      <x:c r="BX42" s="117">
        <x:f>IF(AND((BX38+BX45)&gt;0,$B$5=1,BX$3&lt;EDATE($B$8,'Вводные'!$H$90)),(BX38+BX45)*BX41/12,0)</x:f>
      </x:c>
      <x:c r="BY42" s="117">
        <x:f>IF(AND((BY38+BY45)&gt;0,$B$5=1,BY$3&lt;EDATE($B$8,'Вводные'!$H$90)),(BY38+BY45)*BY41/12,0)</x:f>
      </x:c>
      <x:c r="BZ42" s="117">
        <x:f>IF(AND((BZ38+BZ45)&gt;0,$B$5=1,BZ$3&lt;EDATE($B$8,'Вводные'!$H$90)),(BZ38+BZ45)*BZ41/12,0)</x:f>
      </x:c>
      <x:c r="CA42" s="117">
        <x:f>IF(AND((CA38+CA45)&gt;0,$B$5=1,CA$3&lt;EDATE($B$8,'Вводные'!$H$90)),(CA38+CA45)*CA41/12,0)</x:f>
      </x:c>
      <x:c r="CB42" s="117">
        <x:f>IF(AND((CB38+CB45)&gt;0,$B$5=1,CB$3&lt;EDATE($B$8,'Вводные'!$H$90)),(CB38+CB45)*CB41/12,0)</x:f>
      </x:c>
      <x:c r="CC42" s="117">
        <x:f>IF(AND((CC38+CC45)&gt;0,$B$5=1,CC$3&lt;EDATE($B$8,'Вводные'!$H$90)),(CC38+CC45)*CC41/12,0)</x:f>
      </x:c>
      <x:c r="CD42" s="117">
        <x:f>IF(AND((CD38+CD45)&gt;0,$B$5=1,CD$3&lt;EDATE($B$8,'Вводные'!$H$90)),(CD38+CD45)*CD41/12,0)</x:f>
      </x:c>
      <x:c r="CE42" s="117">
        <x:f>IF(AND((CE38+CE45)&gt;0,$B$5=1,CE$3&lt;EDATE($B$8,'Вводные'!$H$90)),(CE38+CE45)*CE41/12,0)</x:f>
      </x:c>
      <x:c r="CF42" s="117">
        <x:f>IF(AND((CF38+CF45)&gt;0,$B$5=1,CF$3&lt;EDATE($B$8,'Вводные'!$H$90)),(CF38+CF45)*CF41/12,0)</x:f>
      </x:c>
      <x:c r="CG42" s="117">
        <x:f>IF(AND((CG38+CG45)&gt;0,$B$5=1,CG$3&lt;EDATE($B$8,'Вводные'!$H$90)),(CG38+CG45)*CG41/12,0)</x:f>
      </x:c>
      <x:c r="CH42" s="117">
        <x:f>IF(AND((CH38+CH45)&gt;0,$B$5=1,CH$3&lt;EDATE($B$8,'Вводные'!$H$90)),(CH38+CH45)*CH41/12,0)</x:f>
      </x:c>
      <x:c r="CI42" s="117">
        <x:f>IF(AND((CI38+CI45)&gt;0,$B$5=1,CI$3&lt;EDATE($B$8,'Вводные'!$H$90)),(CI38+CI45)*CI41/12,0)</x:f>
      </x:c>
      <x:c r="CJ42" s="117">
        <x:f>IF(AND((CJ38+CJ45)&gt;0,$B$5=1,CJ$3&lt;EDATE($B$8,'Вводные'!$H$90)),(CJ38+CJ45)*CJ41/12,0)</x:f>
      </x:c>
      <x:c r="CK42" s="117">
        <x:f>IF(AND((CK38+CK45)&gt;0,$B$5=1,CK$3&lt;EDATE($B$8,'Вводные'!$H$90)),(CK38+CK45)*CK41/12,0)</x:f>
      </x:c>
      <x:c r="CL42" s="117">
        <x:f>IF(AND((CL38+CL45)&gt;0,$B$5=1,CL$3&lt;EDATE($B$8,'Вводные'!$H$90)),(CL38+CL45)*CL41/12,0)</x:f>
      </x:c>
      <x:c r="CM42" s="117">
        <x:f>IF(AND((CM38+CM45)&gt;0,$B$5=1,CM$3&lt;EDATE($B$8,'Вводные'!$H$90)),(CM38+CM45)*CM41/12,0)</x:f>
      </x:c>
      <x:c r="CN42" s="117">
        <x:f>IF(AND((CN38+CN45)&gt;0,$B$5=1,CN$3&lt;EDATE($B$8,'Вводные'!$H$90)),(CN38+CN45)*CN41/12,0)</x:f>
      </x:c>
      <x:c r="CO42" s="117">
        <x:f>IF(AND((CO38+CO45)&gt;0,$B$5=1,CO$3&lt;EDATE($B$8,'Вводные'!$H$90)),(CO38+CO45)*CO41/12,0)</x:f>
      </x:c>
      <x:c r="CP42" s="117">
        <x:f>IF(AND((CP38+CP45)&gt;0,$B$5=1,CP$3&lt;EDATE($B$8,'Вводные'!$H$90)),(CP38+CP45)*CP41/12,0)</x:f>
      </x:c>
      <x:c r="CQ42" s="117">
        <x:f>IF(AND((CQ38+CQ45)&gt;0,$B$5=1,CQ$3&lt;EDATE($B$8,'Вводные'!$H$90)),(CQ38+CQ45)*CQ41/12,0)</x:f>
      </x:c>
      <x:c r="CR42" s="117">
        <x:f>IF(AND((CR38+CR45)&gt;0,$B$5=1,CR$3&lt;EDATE($B$8,'Вводные'!$H$90)),(CR38+CR45)*CR41/12,0)</x:f>
      </x:c>
      <x:c r="CS42" s="117">
        <x:f>IF(AND((CS38+CS45)&gt;0,$B$5=1,CS$3&lt;EDATE($B$8,'Вводные'!$H$90)),(CS38+CS45)*CS41/12,0)</x:f>
      </x:c>
      <x:c r="CT42" s="117">
        <x:f>IF(AND((CT38+CT45)&gt;0,$B$5=1,CT$3&lt;EDATE($B$8,'Вводные'!$H$90)),(CT38+CT45)*CT41/12,0)</x:f>
      </x:c>
      <x:c r="CU42" s="117">
        <x:f>IF(AND((CU38+CU45)&gt;0,$B$5=1,CU$3&lt;EDATE($B$8,'Вводные'!$H$90)),(CU38+CU45)*CU41/12,0)</x:f>
      </x:c>
      <x:c r="CV42" s="117">
        <x:f>IF(AND((CV38+CV45)&gt;0,$B$5=1,CV$3&lt;EDATE($B$8,'Вводные'!$H$90)),(CV38+CV45)*CV41/12,0)</x:f>
      </x:c>
      <x:c r="CW42" s="117">
        <x:f>IF(AND((CW38+CW45)&gt;0,$B$5=1,CW$3&lt;EDATE($B$8,'Вводные'!$H$90)),(CW38+CW45)*CW41/12,0)</x:f>
      </x:c>
      <x:c r="CX42" s="117">
        <x:f>IF(AND((CX38+CX45)&gt;0,$B$5=1,CX$3&lt;EDATE($B$8,'Вводные'!$H$90)),(CX38+CX45)*CX41/12,0)</x:f>
      </x:c>
      <x:c r="CY42" s="117">
        <x:f>IF(AND((CY38+CY45)&gt;0,$B$5=1,CY$3&lt;EDATE($B$8,'Вводные'!$H$90)),(CY38+CY45)*CY41/12,0)</x:f>
      </x:c>
      <x:c r="CZ42" s="117">
        <x:f>IF(AND((CZ38+CZ45)&gt;0,$B$5=1,CZ$3&lt;EDATE($B$8,'Вводные'!$H$90)),(CZ38+CZ45)*CZ41/12,0)</x:f>
      </x:c>
      <x:c r="DA42" s="117">
        <x:f>IF(AND((DA38+DA45)&gt;0,$B$5=1,DA$3&lt;EDATE($B$8,'Вводные'!$H$90)),(DA38+DA45)*DA41/12,0)</x:f>
      </x:c>
      <x:c r="DB42" s="117">
        <x:f>IF(AND((DB38+DB45)&gt;0,$B$5=1,DB$3&lt;EDATE($B$8,'Вводные'!$H$90)),(DB38+DB45)*DB41/12,0)</x:f>
      </x:c>
      <x:c r="DC42" s="117">
        <x:f>IF(AND((DC38+DC45)&gt;0,$B$5=1,DC$3&lt;EDATE($B$8,'Вводные'!$H$90)),(DC38+DC45)*DC41/12,0)</x:f>
      </x:c>
      <x:c r="DD42" s="117">
        <x:f>IF(AND((DD38+DD45)&gt;0,$B$5=1,DD$3&lt;EDATE($B$8,'Вводные'!$H$90)),(DD38+DD45)*DD41/12,0)</x:f>
      </x:c>
      <x:c r="DE42" s="117">
        <x:f>IF(AND((DE38+DE45)&gt;0,$B$5=1,DE$3&lt;EDATE($B$8,'Вводные'!$H$90)),(DE38+DE45)*DE41/12,0)</x:f>
      </x:c>
      <x:c r="DF42" s="117">
        <x:f>IF(AND((DF38+DF45)&gt;0,$B$5=1,DF$3&lt;EDATE($B$8,'Вводные'!$H$90)),(DF38+DF45)*DF41/12,0)</x:f>
      </x:c>
      <x:c r="DG42" s="117">
        <x:f>IF(AND((DG38+DG45)&gt;0,$B$5=1,DG$3&lt;EDATE($B$8,'Вводные'!$H$90)),(DG38+DG45)*DG41/12,0)</x:f>
      </x:c>
      <x:c r="DH42" s="117">
        <x:f>IF(AND((DH38+DH45)&gt;0,$B$5=1,DH$3&lt;EDATE($B$8,'Вводные'!$H$90)),(DH38+DH45)*DH41/12,0)</x:f>
      </x:c>
      <x:c r="DI42" s="117">
        <x:f>IF(AND((DI38+DI45)&gt;0,$B$5=1,DI$3&lt;EDATE($B$8,'Вводные'!$H$90)),(DI38+DI45)*DI41/12,0)</x:f>
      </x:c>
      <x:c r="DJ42" s="117">
        <x:f>IF(AND((DJ38+DJ45)&gt;0,$B$5=1,DJ$3&lt;EDATE($B$8,'Вводные'!$H$90)),(DJ38+DJ45)*DJ41/12,0)</x:f>
      </x:c>
      <x:c r="DK42" s="117">
        <x:f>IF(AND((DK38+DK45)&gt;0,$B$5=1,DK$3&lt;EDATE($B$8,'Вводные'!$H$90)),(DK38+DK45)*DK41/12,0)</x:f>
      </x:c>
      <x:c r="DL42" s="117">
        <x:f>IF(AND((DL38+DL45)&gt;0,$B$5=1,DL$3&lt;EDATE($B$8,'Вводные'!$H$90)),(DL38+DL45)*DL41/12,0)</x:f>
      </x:c>
      <x:c r="DM42" s="117">
        <x:f>IF(AND((DM38+DM45)&gt;0,$B$5=1,DM$3&lt;EDATE($B$8,'Вводные'!$H$90)),(DM38+DM45)*DM41/12,0)</x:f>
      </x:c>
      <x:c r="DN42" s="117">
        <x:f>IF(AND((DN38+DN45)&gt;0,$B$5=1,DN$3&lt;EDATE($B$8,'Вводные'!$H$90)),(DN38+DN45)*DN41/12,0)</x:f>
      </x:c>
      <x:c r="DO42" s="117">
        <x:f>IF(AND((DO38+DO45)&gt;0,$B$5=1,DO$3&lt;EDATE($B$8,'Вводные'!$H$90)),(DO38+DO45)*DO41/12,0)</x:f>
      </x:c>
      <x:c r="DP42" s="117">
        <x:f>IF(AND((DP38+DP45)&gt;0,$B$5=1,DP$3&lt;EDATE($B$8,'Вводные'!$H$90)),(DP38+DP45)*DP41/12,0)</x:f>
      </x:c>
      <x:c r="DQ42" s="117">
        <x:f>IF(AND((DQ38+DQ45)&gt;0,$B$5=1,DQ$3&lt;EDATE($B$8,'Вводные'!$H$90)),(DQ38+DQ45)*DQ41/12,0)</x:f>
      </x:c>
      <x:c r="DR42" s="117">
        <x:f>IF(AND((DR38+DR45)&gt;0,$B$5=1,DR$3&lt;EDATE($B$8,'Вводные'!$H$90)),(DR38+DR45)*DR41/12,0)</x:f>
      </x:c>
      <x:c r="DS42" s="117">
        <x:f>IF(AND((DS38+DS45)&gt;0,$B$5=1,DS$3&lt;EDATE($B$8,'Вводные'!$H$90)),(DS38+DS45)*DS41/12,0)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IF(AND(D$3&gt;=$B$7,D$3&lt;$B$8),MAX(0,'Вводные'!$B$26*'Вводные'!$V$90-(D38+D45))*'Вводные'!$B$29/12,0)</x:f>
      </x:c>
      <x:c r="E43" s="117">
        <x:f>IF(AND(E$3&gt;=$B$7,E$3&lt;$B$8),MAX(0,'Вводные'!$B$26*'Вводные'!$V$90-(E38+E45))*'Вводные'!$B$29/12,0)</x:f>
      </x:c>
      <x:c r="F43" s="117">
        <x:f>IF(AND(F$3&gt;=$B$7,F$3&lt;$B$8),MAX(0,'Вводные'!$B$26*'Вводные'!$V$90-(F38+F45))*'Вводные'!$B$29/12,0)</x:f>
      </x:c>
      <x:c r="G43" s="117">
        <x:f>IF(AND(G$3&gt;=$B$7,G$3&lt;$B$8),MAX(0,'Вводные'!$B$26*'Вводные'!$V$90-(G38+G45))*'Вводные'!$B$29/12,0)</x:f>
      </x:c>
      <x:c r="H43" s="117">
        <x:f>IF(AND(H$3&gt;=$B$7,H$3&lt;$B$8),MAX(0,'Вводные'!$B$26*'Вводные'!$V$90-(H38+H45))*'Вводные'!$B$29/12,0)</x:f>
      </x:c>
      <x:c r="I43" s="117">
        <x:f>IF(AND(I$3&gt;=$B$7,I$3&lt;$B$8),MAX(0,'Вводные'!$B$26*'Вводные'!$V$90-(I38+I45))*'Вводные'!$B$29/12,0)</x:f>
      </x:c>
      <x:c r="J43" s="117">
        <x:f>IF(AND(J$3&gt;=$B$7,J$3&lt;$B$8),MAX(0,'Вводные'!$B$26*'Вводные'!$V$90-(J38+J45))*'Вводные'!$B$29/12,0)</x:f>
      </x:c>
      <x:c r="K43" s="117">
        <x:f>IF(AND(K$3&gt;=$B$7,K$3&lt;$B$8),MAX(0,'Вводные'!$B$26*'Вводные'!$V$90-(K38+K45))*'Вводные'!$B$29/12,0)</x:f>
      </x:c>
      <x:c r="L43" s="117">
        <x:f>IF(AND(L$3&gt;=$B$7,L$3&lt;$B$8),MAX(0,'Вводные'!$B$26*'Вводные'!$V$90-(L38+L45))*'Вводные'!$B$29/12,0)</x:f>
      </x:c>
      <x:c r="M43" s="117">
        <x:f>IF(AND(M$3&gt;=$B$7,M$3&lt;$B$8),MAX(0,'Вводные'!$B$26*'Вводные'!$V$90-(M38+M45))*'Вводные'!$B$29/12,0)</x:f>
      </x:c>
      <x:c r="N43" s="117">
        <x:f>IF(AND(N$3&gt;=$B$7,N$3&lt;$B$8),MAX(0,'Вводные'!$B$26*'Вводные'!$V$90-(N38+N45))*'Вводные'!$B$29/12,0)</x:f>
      </x:c>
      <x:c r="O43" s="117">
        <x:f>IF(AND(O$3&gt;=$B$7,O$3&lt;$B$8),MAX(0,'Вводные'!$B$26*'Вводные'!$V$90-(O38+O45))*'Вводные'!$B$29/12,0)</x:f>
      </x:c>
      <x:c r="P43" s="117">
        <x:f>IF(AND(P$3&gt;=$B$7,P$3&lt;$B$8),MAX(0,'Вводные'!$B$26*'Вводные'!$V$90-(P38+P45))*'Вводные'!$B$29/12,0)</x:f>
      </x:c>
      <x:c r="Q43" s="117">
        <x:f>IF(AND(Q$3&gt;=$B$7,Q$3&lt;$B$8),MAX(0,'Вводные'!$B$26*'Вводные'!$V$90-(Q38+Q45))*'Вводные'!$B$29/12,0)</x:f>
      </x:c>
      <x:c r="R43" s="117">
        <x:f>IF(AND(R$3&gt;=$B$7,R$3&lt;$B$8),MAX(0,'Вводные'!$B$26*'Вводные'!$V$90-(R38+R45))*'Вводные'!$B$29/12,0)</x:f>
      </x:c>
      <x:c r="S43" s="117">
        <x:f>IF(AND(S$3&gt;=$B$7,S$3&lt;$B$8),MAX(0,'Вводные'!$B$26*'Вводные'!$V$90-(S38+S45))*'Вводные'!$B$29/12,0)</x:f>
      </x:c>
      <x:c r="T43" s="117">
        <x:f>IF(AND(T$3&gt;=$B$7,T$3&lt;$B$8),MAX(0,'Вводные'!$B$26*'Вводные'!$V$90-(T38+T45))*'Вводные'!$B$29/12,0)</x:f>
      </x:c>
      <x:c r="U43" s="117">
        <x:f>IF(AND(U$3&gt;=$B$7,U$3&lt;$B$8),MAX(0,'Вводные'!$B$26*'Вводные'!$V$90-(U38+U45))*'Вводные'!$B$29/12,0)</x:f>
      </x:c>
      <x:c r="V43" s="117">
        <x:f>IF(AND(V$3&gt;=$B$7,V$3&lt;$B$8),MAX(0,'Вводные'!$B$26*'Вводные'!$V$90-(V38+V45))*'Вводные'!$B$29/12,0)</x:f>
      </x:c>
      <x:c r="W43" s="117">
        <x:f>IF(AND(W$3&gt;=$B$7,W$3&lt;$B$8),MAX(0,'Вводные'!$B$26*'Вводные'!$V$90-(W38+W45))*'Вводные'!$B$29/12,0)</x:f>
      </x:c>
      <x:c r="X43" s="117">
        <x:f>IF(AND(X$3&gt;=$B$7,X$3&lt;$B$8),MAX(0,'Вводные'!$B$26*'Вводные'!$V$90-(X38+X45))*'Вводные'!$B$29/12,0)</x:f>
      </x:c>
      <x:c r="Y43" s="117">
        <x:f>IF(AND(Y$3&gt;=$B$7,Y$3&lt;$B$8),MAX(0,'Вводные'!$B$26*'Вводные'!$V$90-(Y38+Y45))*'Вводные'!$B$29/12,0)</x:f>
      </x:c>
      <x:c r="Z43" s="117">
        <x:f>IF(AND(Z$3&gt;=$B$7,Z$3&lt;$B$8),MAX(0,'Вводные'!$B$26*'Вводные'!$V$90-(Z38+Z45))*'Вводные'!$B$29/12,0)</x:f>
      </x:c>
      <x:c r="AA43" s="117">
        <x:f>IF(AND(AA$3&gt;=$B$7,AA$3&lt;$B$8),MAX(0,'Вводные'!$B$26*'Вводные'!$V$90-(AA38+AA45))*'Вводные'!$B$29/12,0)</x:f>
      </x:c>
      <x:c r="AB43" s="117">
        <x:f>IF(AND(AB$3&gt;=$B$7,AB$3&lt;$B$8),MAX(0,'Вводные'!$B$26*'Вводные'!$V$90-(AB38+AB45))*'Вводные'!$B$29/12,0)</x:f>
      </x:c>
      <x:c r="AC43" s="117">
        <x:f>IF(AND(AC$3&gt;=$B$7,AC$3&lt;$B$8),MAX(0,'Вводные'!$B$26*'Вводные'!$V$90-(AC38+AC45))*'Вводные'!$B$29/12,0)</x:f>
      </x:c>
      <x:c r="AD43" s="117">
        <x:f>IF(AND(AD$3&gt;=$B$7,AD$3&lt;$B$8),MAX(0,'Вводные'!$B$26*'Вводные'!$V$90-(AD38+AD45))*'Вводные'!$B$29/12,0)</x:f>
      </x:c>
      <x:c r="AE43" s="117">
        <x:f>IF(AND(AE$3&gt;=$B$7,AE$3&lt;$B$8),MAX(0,'Вводные'!$B$26*'Вводные'!$V$90-(AE38+AE45))*'Вводные'!$B$29/12,0)</x:f>
      </x:c>
      <x:c r="AF43" s="117">
        <x:f>IF(AND(AF$3&gt;=$B$7,AF$3&lt;$B$8),MAX(0,'Вводные'!$B$26*'Вводные'!$V$90-(AF38+AF45))*'Вводные'!$B$29/12,0)</x:f>
      </x:c>
      <x:c r="AG43" s="117">
        <x:f>IF(AND(AG$3&gt;=$B$7,AG$3&lt;$B$8),MAX(0,'Вводные'!$B$26*'Вводные'!$V$90-(AG38+AG45))*'Вводные'!$B$29/12,0)</x:f>
      </x:c>
      <x:c r="AH43" s="117">
        <x:f>IF(AND(AH$3&gt;=$B$7,AH$3&lt;$B$8),MAX(0,'Вводные'!$B$26*'Вводные'!$V$90-(AH38+AH45))*'Вводные'!$B$29/12,0)</x:f>
      </x:c>
      <x:c r="AI43" s="117">
        <x:f>IF(AND(AI$3&gt;=$B$7,AI$3&lt;$B$8),MAX(0,'Вводные'!$B$26*'Вводные'!$V$90-(AI38+AI45))*'Вводные'!$B$29/12,0)</x:f>
      </x:c>
      <x:c r="AJ43" s="117">
        <x:f>IF(AND(AJ$3&gt;=$B$7,AJ$3&lt;$B$8),MAX(0,'Вводные'!$B$26*'Вводные'!$V$90-(AJ38+AJ45))*'Вводные'!$B$29/12,0)</x:f>
      </x:c>
      <x:c r="AK43" s="117">
        <x:f>IF(AND(AK$3&gt;=$B$7,AK$3&lt;$B$8),MAX(0,'Вводные'!$B$26*'Вводные'!$V$90-(AK38+AK45))*'Вводные'!$B$29/12,0)</x:f>
      </x:c>
      <x:c r="AL43" s="117">
        <x:f>IF(AND(AL$3&gt;=$B$7,AL$3&lt;$B$8),MAX(0,'Вводные'!$B$26*'Вводные'!$V$90-(AL38+AL45))*'Вводные'!$B$29/12,0)</x:f>
      </x:c>
      <x:c r="AM43" s="117">
        <x:f>IF(AND(AM$3&gt;=$B$7,AM$3&lt;$B$8),MAX(0,'Вводные'!$B$26*'Вводные'!$V$90-(AM38+AM45))*'Вводные'!$B$29/12,0)</x:f>
      </x:c>
      <x:c r="AN43" s="117">
        <x:f>IF(AND(AN$3&gt;=$B$7,AN$3&lt;$B$8),MAX(0,'Вводные'!$B$26*'Вводные'!$V$90-(AN38+AN45))*'Вводные'!$B$29/12,0)</x:f>
      </x:c>
      <x:c r="AO43" s="117">
        <x:f>IF(AND(AO$3&gt;=$B$7,AO$3&lt;$B$8),MAX(0,'Вводные'!$B$26*'Вводные'!$V$90-(AO38+AO45))*'Вводные'!$B$29/12,0)</x:f>
      </x:c>
      <x:c r="AP43" s="117">
        <x:f>IF(AND(AP$3&gt;=$B$7,AP$3&lt;$B$8),MAX(0,'Вводные'!$B$26*'Вводные'!$V$90-(AP38+AP45))*'Вводные'!$B$29/12,0)</x:f>
      </x:c>
      <x:c r="AQ43" s="117">
        <x:f>IF(AND(AQ$3&gt;=$B$7,AQ$3&lt;$B$8),MAX(0,'Вводные'!$B$26*'Вводные'!$V$90-(AQ38+AQ45))*'Вводные'!$B$29/12,0)</x:f>
      </x:c>
      <x:c r="AR43" s="117">
        <x:f>IF(AND(AR$3&gt;=$B$7,AR$3&lt;$B$8),MAX(0,'Вводные'!$B$26*'Вводные'!$V$90-(AR38+AR45))*'Вводные'!$B$29/12,0)</x:f>
      </x:c>
      <x:c r="AS43" s="117">
        <x:f>IF(AND(AS$3&gt;=$B$7,AS$3&lt;$B$8),MAX(0,'Вводные'!$B$26*'Вводные'!$V$90-(AS38+AS45))*'Вводные'!$B$29/12,0)</x:f>
      </x:c>
      <x:c r="AT43" s="117">
        <x:f>IF(AND(AT$3&gt;=$B$7,AT$3&lt;$B$8),MAX(0,'Вводные'!$B$26*'Вводные'!$V$90-(AT38+AT45))*'Вводные'!$B$29/12,0)</x:f>
      </x:c>
      <x:c r="AU43" s="117">
        <x:f>IF(AND(AU$3&gt;=$B$7,AU$3&lt;$B$8),MAX(0,'Вводные'!$B$26*'Вводные'!$V$90-(AU38+AU45))*'Вводные'!$B$29/12,0)</x:f>
      </x:c>
      <x:c r="AV43" s="117">
        <x:f>IF(AND(AV$3&gt;=$B$7,AV$3&lt;$B$8),MAX(0,'Вводные'!$B$26*'Вводные'!$V$90-(AV38+AV45))*'Вводные'!$B$29/12,0)</x:f>
      </x:c>
      <x:c r="AW43" s="117">
        <x:f>IF(AND(AW$3&gt;=$B$7,AW$3&lt;$B$8),MAX(0,'Вводные'!$B$26*'Вводные'!$V$90-(AW38+AW45))*'Вводные'!$B$29/12,0)</x:f>
      </x:c>
      <x:c r="AX43" s="117">
        <x:f>IF(AND(AX$3&gt;=$B$7,AX$3&lt;$B$8),MAX(0,'Вводные'!$B$26*'Вводные'!$V$90-(AX38+AX45))*'Вводные'!$B$29/12,0)</x:f>
      </x:c>
      <x:c r="AY43" s="117">
        <x:f>IF(AND(AY$3&gt;=$B$7,AY$3&lt;$B$8),MAX(0,'Вводные'!$B$26*'Вводные'!$V$90-(AY38+AY45))*'Вводные'!$B$29/12,0)</x:f>
      </x:c>
      <x:c r="AZ43" s="117">
        <x:f>IF(AND(AZ$3&gt;=$B$7,AZ$3&lt;$B$8),MAX(0,'Вводные'!$B$26*'Вводные'!$V$90-(AZ38+AZ45))*'Вводные'!$B$29/12,0)</x:f>
      </x:c>
      <x:c r="BA43" s="117">
        <x:f>IF(AND(BA$3&gt;=$B$7,BA$3&lt;$B$8),MAX(0,'Вводные'!$B$26*'Вводные'!$V$90-(BA38+BA45))*'Вводные'!$B$29/12,0)</x:f>
      </x:c>
      <x:c r="BB43" s="117">
        <x:f>IF(AND(BB$3&gt;=$B$7,BB$3&lt;$B$8),MAX(0,'Вводные'!$B$26*'Вводные'!$V$90-(BB38+BB45))*'Вводные'!$B$29/12,0)</x:f>
      </x:c>
      <x:c r="BC43" s="117">
        <x:f>IF(AND(BC$3&gt;=$B$7,BC$3&lt;$B$8),MAX(0,'Вводные'!$B$26*'Вводные'!$V$90-(BC38+BC45))*'Вводные'!$B$29/12,0)</x:f>
      </x:c>
      <x:c r="BD43" s="117">
        <x:f>IF(AND(BD$3&gt;=$B$7,BD$3&lt;$B$8),MAX(0,'Вводные'!$B$26*'Вводные'!$V$90-(BD38+BD45))*'Вводные'!$B$29/12,0)</x:f>
      </x:c>
      <x:c r="BE43" s="117">
        <x:f>IF(AND(BE$3&gt;=$B$7,BE$3&lt;$B$8),MAX(0,'Вводные'!$B$26*'Вводные'!$V$90-(BE38+BE45))*'Вводные'!$B$29/12,0)</x:f>
      </x:c>
      <x:c r="BF43" s="117">
        <x:f>IF(AND(BF$3&gt;=$B$7,BF$3&lt;$B$8),MAX(0,'Вводные'!$B$26*'Вводные'!$V$90-(BF38+BF45))*'Вводные'!$B$29/12,0)</x:f>
      </x:c>
      <x:c r="BG43" s="117">
        <x:f>IF(AND(BG$3&gt;=$B$7,BG$3&lt;$B$8),MAX(0,'Вводные'!$B$26*'Вводные'!$V$90-(BG38+BG45))*'Вводные'!$B$29/12,0)</x:f>
      </x:c>
      <x:c r="BH43" s="117">
        <x:f>IF(AND(BH$3&gt;=$B$7,BH$3&lt;$B$8),MAX(0,'Вводные'!$B$26*'Вводные'!$V$90-(BH38+BH45))*'Вводные'!$B$29/12,0)</x:f>
      </x:c>
      <x:c r="BI43" s="117">
        <x:f>IF(AND(BI$3&gt;=$B$7,BI$3&lt;$B$8),MAX(0,'Вводные'!$B$26*'Вводные'!$V$90-(BI38+BI45))*'Вводные'!$B$29/12,0)</x:f>
      </x:c>
      <x:c r="BJ43" s="117">
        <x:f>IF(AND(BJ$3&gt;=$B$7,BJ$3&lt;$B$8),MAX(0,'Вводные'!$B$26*'Вводные'!$V$90-(BJ38+BJ45))*'Вводные'!$B$29/12,0)</x:f>
      </x:c>
      <x:c r="BK43" s="117">
        <x:f>IF(AND(BK$3&gt;=$B$7,BK$3&lt;$B$8),MAX(0,'Вводные'!$B$26*'Вводные'!$V$90-(BK38+BK45))*'Вводные'!$B$29/12,0)</x:f>
      </x:c>
      <x:c r="BL43" s="117">
        <x:f>IF(AND(BL$3&gt;=$B$7,BL$3&lt;$B$8),MAX(0,'Вводные'!$B$26*'Вводные'!$V$90-(BL38+BL45))*'Вводные'!$B$29/12,0)</x:f>
      </x:c>
      <x:c r="BM43" s="117">
        <x:f>IF(AND(BM$3&gt;=$B$7,BM$3&lt;$B$8),MAX(0,'Вводные'!$B$26*'Вводные'!$V$90-(BM38+BM45))*'Вводные'!$B$29/12,0)</x:f>
      </x:c>
      <x:c r="BN43" s="117">
        <x:f>IF(AND(BN$3&gt;=$B$7,BN$3&lt;$B$8),MAX(0,'Вводные'!$B$26*'Вводные'!$V$90-(BN38+BN45))*'Вводные'!$B$29/12,0)</x:f>
      </x:c>
      <x:c r="BO43" s="117">
        <x:f>IF(AND(BO$3&gt;=$B$7,BO$3&lt;$B$8),MAX(0,'Вводные'!$B$26*'Вводные'!$V$90-(BO38+BO45))*'Вводные'!$B$29/12,0)</x:f>
      </x:c>
      <x:c r="BP43" s="117">
        <x:f>IF(AND(BP$3&gt;=$B$7,BP$3&lt;$B$8),MAX(0,'Вводные'!$B$26*'Вводные'!$V$90-(BP38+BP45))*'Вводные'!$B$29/12,0)</x:f>
      </x:c>
      <x:c r="BQ43" s="117">
        <x:f>IF(AND(BQ$3&gt;=$B$7,BQ$3&lt;$B$8),MAX(0,'Вводные'!$B$26*'Вводные'!$V$90-(BQ38+BQ45))*'Вводные'!$B$29/12,0)</x:f>
      </x:c>
      <x:c r="BR43" s="117">
        <x:f>IF(AND(BR$3&gt;=$B$7,BR$3&lt;$B$8),MAX(0,'Вводные'!$B$26*'Вводные'!$V$90-(BR38+BR45))*'Вводные'!$B$29/12,0)</x:f>
      </x:c>
      <x:c r="BS43" s="117">
        <x:f>IF(AND(BS$3&gt;=$B$7,BS$3&lt;$B$8),MAX(0,'Вводные'!$B$26*'Вводные'!$V$90-(BS38+BS45))*'Вводные'!$B$29/12,0)</x:f>
      </x:c>
      <x:c r="BT43" s="117">
        <x:f>IF(AND(BT$3&gt;=$B$7,BT$3&lt;$B$8),MAX(0,'Вводные'!$B$26*'Вводные'!$V$90-(BT38+BT45))*'Вводные'!$B$29/12,0)</x:f>
      </x:c>
      <x:c r="BU43" s="117">
        <x:f>IF(AND(BU$3&gt;=$B$7,BU$3&lt;$B$8),MAX(0,'Вводные'!$B$26*'Вводные'!$V$90-(BU38+BU45))*'Вводные'!$B$29/12,0)</x:f>
      </x:c>
      <x:c r="BV43" s="117">
        <x:f>IF(AND(BV$3&gt;=$B$7,BV$3&lt;$B$8),MAX(0,'Вводные'!$B$26*'Вводные'!$V$90-(BV38+BV45))*'Вводные'!$B$29/12,0)</x:f>
      </x:c>
      <x:c r="BW43" s="117">
        <x:f>IF(AND(BW$3&gt;=$B$7,BW$3&lt;$B$8),MAX(0,'Вводные'!$B$26*'Вводные'!$V$90-(BW38+BW45))*'Вводные'!$B$29/12,0)</x:f>
      </x:c>
      <x:c r="BX43" s="117">
        <x:f>IF(AND(BX$3&gt;=$B$7,BX$3&lt;$B$8),MAX(0,'Вводные'!$B$26*'Вводные'!$V$90-(BX38+BX45))*'Вводные'!$B$29/12,0)</x:f>
      </x:c>
      <x:c r="BY43" s="117">
        <x:f>IF(AND(BY$3&gt;=$B$7,BY$3&lt;$B$8),MAX(0,'Вводные'!$B$26*'Вводные'!$V$90-(BY38+BY45))*'Вводные'!$B$29/12,0)</x:f>
      </x:c>
      <x:c r="BZ43" s="117">
        <x:f>IF(AND(BZ$3&gt;=$B$7,BZ$3&lt;$B$8),MAX(0,'Вводные'!$B$26*'Вводные'!$V$90-(BZ38+BZ45))*'Вводные'!$B$29/12,0)</x:f>
      </x:c>
      <x:c r="CA43" s="117">
        <x:f>IF(AND(CA$3&gt;=$B$7,CA$3&lt;$B$8),MAX(0,'Вводные'!$B$26*'Вводные'!$V$90-(CA38+CA45))*'Вводные'!$B$29/12,0)</x:f>
      </x:c>
      <x:c r="CB43" s="117">
        <x:f>IF(AND(CB$3&gt;=$B$7,CB$3&lt;$B$8),MAX(0,'Вводные'!$B$26*'Вводные'!$V$90-(CB38+CB45))*'Вводные'!$B$29/12,0)</x:f>
      </x:c>
      <x:c r="CC43" s="117">
        <x:f>IF(AND(CC$3&gt;=$B$7,CC$3&lt;$B$8),MAX(0,'Вводные'!$B$26*'Вводные'!$V$90-(CC38+CC45))*'Вводные'!$B$29/12,0)</x:f>
      </x:c>
      <x:c r="CD43" s="117">
        <x:f>IF(AND(CD$3&gt;=$B$7,CD$3&lt;$B$8),MAX(0,'Вводные'!$B$26*'Вводные'!$V$90-(CD38+CD45))*'Вводные'!$B$29/12,0)</x:f>
      </x:c>
      <x:c r="CE43" s="117">
        <x:f>IF(AND(CE$3&gt;=$B$7,CE$3&lt;$B$8),MAX(0,'Вводные'!$B$26*'Вводные'!$V$90-(CE38+CE45))*'Вводные'!$B$29/12,0)</x:f>
      </x:c>
      <x:c r="CF43" s="117">
        <x:f>IF(AND(CF$3&gt;=$B$7,CF$3&lt;$B$8),MAX(0,'Вводные'!$B$26*'Вводные'!$V$90-(CF38+CF45))*'Вводные'!$B$29/12,0)</x:f>
      </x:c>
      <x:c r="CG43" s="117">
        <x:f>IF(AND(CG$3&gt;=$B$7,CG$3&lt;$B$8),MAX(0,'Вводные'!$B$26*'Вводные'!$V$90-(CG38+CG45))*'Вводные'!$B$29/12,0)</x:f>
      </x:c>
      <x:c r="CH43" s="117">
        <x:f>IF(AND(CH$3&gt;=$B$7,CH$3&lt;$B$8),MAX(0,'Вводные'!$B$26*'Вводные'!$V$90-(CH38+CH45))*'Вводные'!$B$29/12,0)</x:f>
      </x:c>
      <x:c r="CI43" s="117">
        <x:f>IF(AND(CI$3&gt;=$B$7,CI$3&lt;$B$8),MAX(0,'Вводные'!$B$26*'Вводные'!$V$90-(CI38+CI45))*'Вводные'!$B$29/12,0)</x:f>
      </x:c>
      <x:c r="CJ43" s="117">
        <x:f>IF(AND(CJ$3&gt;=$B$7,CJ$3&lt;$B$8),MAX(0,'Вводные'!$B$26*'Вводные'!$V$90-(CJ38+CJ45))*'Вводные'!$B$29/12,0)</x:f>
      </x:c>
      <x:c r="CK43" s="117">
        <x:f>IF(AND(CK$3&gt;=$B$7,CK$3&lt;$B$8),MAX(0,'Вводные'!$B$26*'Вводные'!$V$90-(CK38+CK45))*'Вводные'!$B$29/12,0)</x:f>
      </x:c>
      <x:c r="CL43" s="117">
        <x:f>IF(AND(CL$3&gt;=$B$7,CL$3&lt;$B$8),MAX(0,'Вводные'!$B$26*'Вводные'!$V$90-(CL38+CL45))*'Вводные'!$B$29/12,0)</x:f>
      </x:c>
      <x:c r="CM43" s="117">
        <x:f>IF(AND(CM$3&gt;=$B$7,CM$3&lt;$B$8),MAX(0,'Вводные'!$B$26*'Вводные'!$V$90-(CM38+CM45))*'Вводные'!$B$29/12,0)</x:f>
      </x:c>
      <x:c r="CN43" s="117">
        <x:f>IF(AND(CN$3&gt;=$B$7,CN$3&lt;$B$8),MAX(0,'Вводные'!$B$26*'Вводные'!$V$90-(CN38+CN45))*'Вводные'!$B$29/12,0)</x:f>
      </x:c>
      <x:c r="CO43" s="117">
        <x:f>IF(AND(CO$3&gt;=$B$7,CO$3&lt;$B$8),MAX(0,'Вводные'!$B$26*'Вводные'!$V$90-(CO38+CO45))*'Вводные'!$B$29/12,0)</x:f>
      </x:c>
      <x:c r="CP43" s="117">
        <x:f>IF(AND(CP$3&gt;=$B$7,CP$3&lt;$B$8),MAX(0,'Вводные'!$B$26*'Вводные'!$V$90-(CP38+CP45))*'Вводные'!$B$29/12,0)</x:f>
      </x:c>
      <x:c r="CQ43" s="117">
        <x:f>IF(AND(CQ$3&gt;=$B$7,CQ$3&lt;$B$8),MAX(0,'Вводные'!$B$26*'Вводные'!$V$90-(CQ38+CQ45))*'Вводные'!$B$29/12,0)</x:f>
      </x:c>
      <x:c r="CR43" s="117">
        <x:f>IF(AND(CR$3&gt;=$B$7,CR$3&lt;$B$8),MAX(0,'Вводные'!$B$26*'Вводные'!$V$90-(CR38+CR45))*'Вводные'!$B$29/12,0)</x:f>
      </x:c>
      <x:c r="CS43" s="117">
        <x:f>IF(AND(CS$3&gt;=$B$7,CS$3&lt;$B$8),MAX(0,'Вводные'!$B$26*'Вводные'!$V$90-(CS38+CS45))*'Вводные'!$B$29/12,0)</x:f>
      </x:c>
      <x:c r="CT43" s="117">
        <x:f>IF(AND(CT$3&gt;=$B$7,CT$3&lt;$B$8),MAX(0,'Вводные'!$B$26*'Вводные'!$V$90-(CT38+CT45))*'Вводные'!$B$29/12,0)</x:f>
      </x:c>
      <x:c r="CU43" s="117">
        <x:f>IF(AND(CU$3&gt;=$B$7,CU$3&lt;$B$8),MAX(0,'Вводные'!$B$26*'Вводные'!$V$90-(CU38+CU45))*'Вводные'!$B$29/12,0)</x:f>
      </x:c>
      <x:c r="CV43" s="117">
        <x:f>IF(AND(CV$3&gt;=$B$7,CV$3&lt;$B$8),MAX(0,'Вводные'!$B$26*'Вводные'!$V$90-(CV38+CV45))*'Вводные'!$B$29/12,0)</x:f>
      </x:c>
      <x:c r="CW43" s="117">
        <x:f>IF(AND(CW$3&gt;=$B$7,CW$3&lt;$B$8),MAX(0,'Вводные'!$B$26*'Вводные'!$V$90-(CW38+CW45))*'Вводные'!$B$29/12,0)</x:f>
      </x:c>
      <x:c r="CX43" s="117">
        <x:f>IF(AND(CX$3&gt;=$B$7,CX$3&lt;$B$8),MAX(0,'Вводные'!$B$26*'Вводные'!$V$90-(CX38+CX45))*'Вводные'!$B$29/12,0)</x:f>
      </x:c>
      <x:c r="CY43" s="117">
        <x:f>IF(AND(CY$3&gt;=$B$7,CY$3&lt;$B$8),MAX(0,'Вводные'!$B$26*'Вводные'!$V$90-(CY38+CY45))*'Вводные'!$B$29/12,0)</x:f>
      </x:c>
      <x:c r="CZ43" s="117">
        <x:f>IF(AND(CZ$3&gt;=$B$7,CZ$3&lt;$B$8),MAX(0,'Вводные'!$B$26*'Вводные'!$V$90-(CZ38+CZ45))*'Вводные'!$B$29/12,0)</x:f>
      </x:c>
      <x:c r="DA43" s="117">
        <x:f>IF(AND(DA$3&gt;=$B$7,DA$3&lt;$B$8),MAX(0,'Вводные'!$B$26*'Вводные'!$V$90-(DA38+DA45))*'Вводные'!$B$29/12,0)</x:f>
      </x:c>
      <x:c r="DB43" s="117">
        <x:f>IF(AND(DB$3&gt;=$B$7,DB$3&lt;$B$8),MAX(0,'Вводные'!$B$26*'Вводные'!$V$90-(DB38+DB45))*'Вводные'!$B$29/12,0)</x:f>
      </x:c>
      <x:c r="DC43" s="117">
        <x:f>IF(AND(DC$3&gt;=$B$7,DC$3&lt;$B$8),MAX(0,'Вводные'!$B$26*'Вводные'!$V$90-(DC38+DC45))*'Вводные'!$B$29/12,0)</x:f>
      </x:c>
      <x:c r="DD43" s="117">
        <x:f>IF(AND(DD$3&gt;=$B$7,DD$3&lt;$B$8),MAX(0,'Вводные'!$B$26*'Вводные'!$V$90-(DD38+DD45))*'Вводные'!$B$29/12,0)</x:f>
      </x:c>
      <x:c r="DE43" s="117">
        <x:f>IF(AND(DE$3&gt;=$B$7,DE$3&lt;$B$8),MAX(0,'Вводные'!$B$26*'Вводные'!$V$90-(DE38+DE45))*'Вводные'!$B$29/12,0)</x:f>
      </x:c>
      <x:c r="DF43" s="117">
        <x:f>IF(AND(DF$3&gt;=$B$7,DF$3&lt;$B$8),MAX(0,'Вводные'!$B$26*'Вводные'!$V$90-(DF38+DF45))*'Вводные'!$B$29/12,0)</x:f>
      </x:c>
      <x:c r="DG43" s="117">
        <x:f>IF(AND(DG$3&gt;=$B$7,DG$3&lt;$B$8),MAX(0,'Вводные'!$B$26*'Вводные'!$V$90-(DG38+DG45))*'Вводные'!$B$29/12,0)</x:f>
      </x:c>
      <x:c r="DH43" s="117">
        <x:f>IF(AND(DH$3&gt;=$B$7,DH$3&lt;$B$8),MAX(0,'Вводные'!$B$26*'Вводные'!$V$90-(DH38+DH45))*'Вводные'!$B$29/12,0)</x:f>
      </x:c>
      <x:c r="DI43" s="117">
        <x:f>IF(AND(DI$3&gt;=$B$7,DI$3&lt;$B$8),MAX(0,'Вводные'!$B$26*'Вводные'!$V$90-(DI38+DI45))*'Вводные'!$B$29/12,0)</x:f>
      </x:c>
      <x:c r="DJ43" s="117">
        <x:f>IF(AND(DJ$3&gt;=$B$7,DJ$3&lt;$B$8),MAX(0,'Вводные'!$B$26*'Вводные'!$V$90-(DJ38+DJ45))*'Вводные'!$B$29/12,0)</x:f>
      </x:c>
      <x:c r="DK43" s="117">
        <x:f>IF(AND(DK$3&gt;=$B$7,DK$3&lt;$B$8),MAX(0,'Вводные'!$B$26*'Вводные'!$V$90-(DK38+DK45))*'Вводные'!$B$29/12,0)</x:f>
      </x:c>
      <x:c r="DL43" s="117">
        <x:f>IF(AND(DL$3&gt;=$B$7,DL$3&lt;$B$8),MAX(0,'Вводные'!$B$26*'Вводные'!$V$90-(DL38+DL45))*'Вводные'!$B$29/12,0)</x:f>
      </x:c>
      <x:c r="DM43" s="117">
        <x:f>IF(AND(DM$3&gt;=$B$7,DM$3&lt;$B$8),MAX(0,'Вводные'!$B$26*'Вводные'!$V$90-(DM38+DM45))*'Вводные'!$B$29/12,0)</x:f>
      </x:c>
      <x:c r="DN43" s="117">
        <x:f>IF(AND(DN$3&gt;=$B$7,DN$3&lt;$B$8),MAX(0,'Вводные'!$B$26*'Вводные'!$V$90-(DN38+DN45))*'Вводные'!$B$29/12,0)</x:f>
      </x:c>
      <x:c r="DO43" s="117">
        <x:f>IF(AND(DO$3&gt;=$B$7,DO$3&lt;$B$8),MAX(0,'Вводные'!$B$26*'Вводные'!$V$90-(DO38+DO45))*'Вводные'!$B$29/12,0)</x:f>
      </x:c>
      <x:c r="DP43" s="117">
        <x:f>IF(AND(DP$3&gt;=$B$7,DP$3&lt;$B$8),MAX(0,'Вводные'!$B$26*'Вводные'!$V$90-(DP38+DP45))*'Вводные'!$B$29/12,0)</x:f>
      </x:c>
      <x:c r="DQ43" s="117">
        <x:f>IF(AND(DQ$3&gt;=$B$7,DQ$3&lt;$B$8),MAX(0,'Вводные'!$B$26*'Вводные'!$V$90-(DQ38+DQ45))*'Вводные'!$B$29/12,0)</x:f>
      </x:c>
      <x:c r="DR43" s="117">
        <x:f>IF(AND(DR$3&gt;=$B$7,DR$3&lt;$B$8),MAX(0,'Вводные'!$B$26*'Вводные'!$V$90-(DR38+DR45))*'Вводные'!$B$29/12,0)</x:f>
      </x:c>
      <x:c r="DS43" s="117">
        <x:f>IF(AND(DS$3&gt;=$B$7,DS$3&lt;$B$8),MAX(0,'Вводные'!$B$26*'Вводные'!$V$90-(DS38+DS45))*'Вводные'!$B$29/12,0)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IF(AND(YEAR(D$3)=YEAR($B$6),MONTH(D$3)=MONTH($B$6),$B$5=1),('CAPEX'!$B$82+'CAPEX'!$B$85+'CAPEX'!$B$86)*'Вводные'!$B$30,0)+IF(AND(YEAR(D$3)=YEAR($B$7),MONTH(D$3)=MONTH($B$7),$B$5=1),'Вводные'!$B$26*'Вводные'!$V$90*'Вводные'!$B$30,0)</x:f>
      </x:c>
      <x:c r="E57" s="117">
        <x:f>IF(AND(YEAR(E$3)=YEAR($B$6),MONTH(E$3)=MONTH($B$6),$B$5=1),('CAPEX'!$B$82+'CAPEX'!$B$85+'CAPEX'!$B$86)*'Вводные'!$B$30,0)+IF(AND(YEAR(E$3)=YEAR($B$7),MONTH(E$3)=MONTH($B$7),$B$5=1),'Вводные'!$B$26*'Вводные'!$V$90*'Вводные'!$B$30,0)</x:f>
      </x:c>
      <x:c r="F57" s="117">
        <x:f>IF(AND(YEAR(F$3)=YEAR($B$6),MONTH(F$3)=MONTH($B$6),$B$5=1),('CAPEX'!$B$82+'CAPEX'!$B$85+'CAPEX'!$B$86)*'Вводные'!$B$30,0)+IF(AND(YEAR(F$3)=YEAR($B$7),MONTH(F$3)=MONTH($B$7),$B$5=1),'Вводные'!$B$26*'Вводные'!$V$90*'Вводные'!$B$30,0)</x:f>
      </x:c>
      <x:c r="G57" s="117">
        <x:f>IF(AND(YEAR(G$3)=YEAR($B$6),MONTH(G$3)=MONTH($B$6),$B$5=1),('CAPEX'!$B$82+'CAPEX'!$B$85+'CAPEX'!$B$86)*'Вводные'!$B$30,0)+IF(AND(YEAR(G$3)=YEAR($B$7),MONTH(G$3)=MONTH($B$7),$B$5=1),'Вводные'!$B$26*'Вводные'!$V$90*'Вводные'!$B$30,0)</x:f>
      </x:c>
      <x:c r="H57" s="117">
        <x:f>IF(AND(YEAR(H$3)=YEAR($B$6),MONTH(H$3)=MONTH($B$6),$B$5=1),('CAPEX'!$B$82+'CAPEX'!$B$85+'CAPEX'!$B$86)*'Вводные'!$B$30,0)+IF(AND(YEAR(H$3)=YEAR($B$7),MONTH(H$3)=MONTH($B$7),$B$5=1),'Вводные'!$B$26*'Вводные'!$V$90*'Вводные'!$B$30,0)</x:f>
      </x:c>
      <x:c r="I57" s="117">
        <x:f>IF(AND(YEAR(I$3)=YEAR($B$6),MONTH(I$3)=MONTH($B$6),$B$5=1),('CAPEX'!$B$82+'CAPEX'!$B$85+'CAPEX'!$B$86)*'Вводные'!$B$30,0)+IF(AND(YEAR(I$3)=YEAR($B$7),MONTH(I$3)=MONTH($B$7),$B$5=1),'Вводные'!$B$26*'Вводные'!$V$90*'Вводные'!$B$30,0)</x:f>
      </x:c>
      <x:c r="J57" s="117">
        <x:f>IF(AND(YEAR(J$3)=YEAR($B$6),MONTH(J$3)=MONTH($B$6),$B$5=1),('CAPEX'!$B$82+'CAPEX'!$B$85+'CAPEX'!$B$86)*'Вводные'!$B$30,0)+IF(AND(YEAR(J$3)=YEAR($B$7),MONTH(J$3)=MONTH($B$7),$B$5=1),'Вводные'!$B$26*'Вводные'!$V$90*'Вводные'!$B$30,0)</x:f>
      </x:c>
      <x:c r="K57" s="117">
        <x:f>IF(AND(YEAR(K$3)=YEAR($B$6),MONTH(K$3)=MONTH($B$6),$B$5=1),('CAPEX'!$B$82+'CAPEX'!$B$85+'CAPEX'!$B$86)*'Вводные'!$B$30,0)+IF(AND(YEAR(K$3)=YEAR($B$7),MONTH(K$3)=MONTH($B$7),$B$5=1),'Вводные'!$B$26*'Вводные'!$V$90*'Вводные'!$B$30,0)</x:f>
      </x:c>
      <x:c r="L57" s="117">
        <x:f>IF(AND(YEAR(L$3)=YEAR($B$6),MONTH(L$3)=MONTH($B$6),$B$5=1),('CAPEX'!$B$82+'CAPEX'!$B$85+'CAPEX'!$B$86)*'Вводные'!$B$30,0)+IF(AND(YEAR(L$3)=YEAR($B$7),MONTH(L$3)=MONTH($B$7),$B$5=1),'Вводные'!$B$26*'Вводные'!$V$90*'Вводные'!$B$30,0)</x:f>
      </x:c>
      <x:c r="M57" s="117">
        <x:f>IF(AND(YEAR(M$3)=YEAR($B$6),MONTH(M$3)=MONTH($B$6),$B$5=1),('CAPEX'!$B$82+'CAPEX'!$B$85+'CAPEX'!$B$86)*'Вводные'!$B$30,0)+IF(AND(YEAR(M$3)=YEAR($B$7),MONTH(M$3)=MONTH($B$7),$B$5=1),'Вводные'!$B$26*'Вводные'!$V$90*'Вводные'!$B$30,0)</x:f>
      </x:c>
      <x:c r="N57" s="117">
        <x:f>IF(AND(YEAR(N$3)=YEAR($B$6),MONTH(N$3)=MONTH($B$6),$B$5=1),('CAPEX'!$B$82+'CAPEX'!$B$85+'CAPEX'!$B$86)*'Вводные'!$B$30,0)+IF(AND(YEAR(N$3)=YEAR($B$7),MONTH(N$3)=MONTH($B$7),$B$5=1),'Вводные'!$B$26*'Вводные'!$V$90*'Вводные'!$B$30,0)</x:f>
      </x:c>
      <x:c r="O57" s="117">
        <x:f>IF(AND(YEAR(O$3)=YEAR($B$6),MONTH(O$3)=MONTH($B$6),$B$5=1),('CAPEX'!$B$82+'CAPEX'!$B$85+'CAPEX'!$B$86)*'Вводные'!$B$30,0)+IF(AND(YEAR(O$3)=YEAR($B$7),MONTH(O$3)=MONTH($B$7),$B$5=1),'Вводные'!$B$26*'Вводные'!$V$90*'Вводные'!$B$30,0)</x:f>
      </x:c>
      <x:c r="P57" s="117">
        <x:f>IF(AND(YEAR(P$3)=YEAR($B$6),MONTH(P$3)=MONTH($B$6),$B$5=1),('CAPEX'!$B$82+'CAPEX'!$B$85+'CAPEX'!$B$86)*'Вводные'!$B$30,0)+IF(AND(YEAR(P$3)=YEAR($B$7),MONTH(P$3)=MONTH($B$7),$B$5=1),'Вводные'!$B$26*'Вводные'!$V$90*'Вводные'!$B$30,0)</x:f>
      </x:c>
      <x:c r="Q57" s="117">
        <x:f>IF(AND(YEAR(Q$3)=YEAR($B$6),MONTH(Q$3)=MONTH($B$6),$B$5=1),('CAPEX'!$B$82+'CAPEX'!$B$85+'CAPEX'!$B$86)*'Вводные'!$B$30,0)+IF(AND(YEAR(Q$3)=YEAR($B$7),MONTH(Q$3)=MONTH($B$7),$B$5=1),'Вводные'!$B$26*'Вводные'!$V$90*'Вводные'!$B$30,0)</x:f>
      </x:c>
      <x:c r="R57" s="117">
        <x:f>IF(AND(YEAR(R$3)=YEAR($B$6),MONTH(R$3)=MONTH($B$6),$B$5=1),('CAPEX'!$B$82+'CAPEX'!$B$85+'CAPEX'!$B$86)*'Вводные'!$B$30,0)+IF(AND(YEAR(R$3)=YEAR($B$7),MONTH(R$3)=MONTH($B$7),$B$5=1),'Вводные'!$B$26*'Вводные'!$V$90*'Вводные'!$B$30,0)</x:f>
      </x:c>
      <x:c r="S57" s="117">
        <x:f>IF(AND(YEAR(S$3)=YEAR($B$6),MONTH(S$3)=MONTH($B$6),$B$5=1),('CAPEX'!$B$82+'CAPEX'!$B$85+'CAPEX'!$B$86)*'Вводные'!$B$30,0)+IF(AND(YEAR(S$3)=YEAR($B$7),MONTH(S$3)=MONTH($B$7),$B$5=1),'Вводные'!$B$26*'Вводные'!$V$90*'Вводные'!$B$30,0)</x:f>
      </x:c>
      <x:c r="T57" s="117">
        <x:f>IF(AND(YEAR(T$3)=YEAR($B$6),MONTH(T$3)=MONTH($B$6),$B$5=1),('CAPEX'!$B$82+'CAPEX'!$B$85+'CAPEX'!$B$86)*'Вводные'!$B$30,0)+IF(AND(YEAR(T$3)=YEAR($B$7),MONTH(T$3)=MONTH($B$7),$B$5=1),'Вводные'!$B$26*'Вводные'!$V$90*'Вводные'!$B$30,0)</x:f>
      </x:c>
      <x:c r="U57" s="117">
        <x:f>IF(AND(YEAR(U$3)=YEAR($B$6),MONTH(U$3)=MONTH($B$6),$B$5=1),('CAPEX'!$B$82+'CAPEX'!$B$85+'CAPEX'!$B$86)*'Вводные'!$B$30,0)+IF(AND(YEAR(U$3)=YEAR($B$7),MONTH(U$3)=MONTH($B$7),$B$5=1),'Вводные'!$B$26*'Вводные'!$V$90*'Вводные'!$B$30,0)</x:f>
      </x:c>
      <x:c r="V57" s="117">
        <x:f>IF(AND(YEAR(V$3)=YEAR($B$6),MONTH(V$3)=MONTH($B$6),$B$5=1),('CAPEX'!$B$82+'CAPEX'!$B$85+'CAPEX'!$B$86)*'Вводные'!$B$30,0)+IF(AND(YEAR(V$3)=YEAR($B$7),MONTH(V$3)=MONTH($B$7),$B$5=1),'Вводные'!$B$26*'Вводные'!$V$90*'Вводные'!$B$30,0)</x:f>
      </x:c>
      <x:c r="W57" s="117">
        <x:f>IF(AND(YEAR(W$3)=YEAR($B$6),MONTH(W$3)=MONTH($B$6),$B$5=1),('CAPEX'!$B$82+'CAPEX'!$B$85+'CAPEX'!$B$86)*'Вводные'!$B$30,0)+IF(AND(YEAR(W$3)=YEAR($B$7),MONTH(W$3)=MONTH($B$7),$B$5=1),'Вводные'!$B$26*'Вводные'!$V$90*'Вводные'!$B$30,0)</x:f>
      </x:c>
      <x:c r="X57" s="117">
        <x:f>IF(AND(YEAR(X$3)=YEAR($B$6),MONTH(X$3)=MONTH($B$6),$B$5=1),('CAPEX'!$B$82+'CAPEX'!$B$85+'CAPEX'!$B$86)*'Вводные'!$B$30,0)+IF(AND(YEAR(X$3)=YEAR($B$7),MONTH(X$3)=MONTH($B$7),$B$5=1),'Вводные'!$B$26*'Вводные'!$V$90*'Вводные'!$B$30,0)</x:f>
      </x:c>
      <x:c r="Y57" s="117">
        <x:f>IF(AND(YEAR(Y$3)=YEAR($B$6),MONTH(Y$3)=MONTH($B$6),$B$5=1),('CAPEX'!$B$82+'CAPEX'!$B$85+'CAPEX'!$B$86)*'Вводные'!$B$30,0)+IF(AND(YEAR(Y$3)=YEAR($B$7),MONTH(Y$3)=MONTH($B$7),$B$5=1),'Вводные'!$B$26*'Вводные'!$V$90*'Вводные'!$B$30,0)</x:f>
      </x:c>
      <x:c r="Z57" s="117">
        <x:f>IF(AND(YEAR(Z$3)=YEAR($B$6),MONTH(Z$3)=MONTH($B$6),$B$5=1),('CAPEX'!$B$82+'CAPEX'!$B$85+'CAPEX'!$B$86)*'Вводные'!$B$30,0)+IF(AND(YEAR(Z$3)=YEAR($B$7),MONTH(Z$3)=MONTH($B$7),$B$5=1),'Вводные'!$B$26*'Вводные'!$V$90*'Вводные'!$B$30,0)</x:f>
      </x:c>
      <x:c r="AA57" s="117">
        <x:f>IF(AND(YEAR(AA$3)=YEAR($B$6),MONTH(AA$3)=MONTH($B$6),$B$5=1),('CAPEX'!$B$82+'CAPEX'!$B$85+'CAPEX'!$B$86)*'Вводные'!$B$30,0)+IF(AND(YEAR(AA$3)=YEAR($B$7),MONTH(AA$3)=MONTH($B$7),$B$5=1),'Вводные'!$B$26*'Вводные'!$V$90*'Вводные'!$B$30,0)</x:f>
      </x:c>
      <x:c r="AB57" s="117">
        <x:f>IF(AND(YEAR(AB$3)=YEAR($B$6),MONTH(AB$3)=MONTH($B$6),$B$5=1),('CAPEX'!$B$82+'CAPEX'!$B$85+'CAPEX'!$B$86)*'Вводные'!$B$30,0)+IF(AND(YEAR(AB$3)=YEAR($B$7),MONTH(AB$3)=MONTH($B$7),$B$5=1),'Вводные'!$B$26*'Вводные'!$V$90*'Вводные'!$B$30,0)</x:f>
      </x:c>
      <x:c r="AC57" s="117">
        <x:f>IF(AND(YEAR(AC$3)=YEAR($B$6),MONTH(AC$3)=MONTH($B$6),$B$5=1),('CAPEX'!$B$82+'CAPEX'!$B$85+'CAPEX'!$B$86)*'Вводные'!$B$30,0)+IF(AND(YEAR(AC$3)=YEAR($B$7),MONTH(AC$3)=MONTH($B$7),$B$5=1),'Вводные'!$B$26*'Вводные'!$V$90*'Вводные'!$B$30,0)</x:f>
      </x:c>
      <x:c r="AD57" s="117">
        <x:f>IF(AND(YEAR(AD$3)=YEAR($B$6),MONTH(AD$3)=MONTH($B$6),$B$5=1),('CAPEX'!$B$82+'CAPEX'!$B$85+'CAPEX'!$B$86)*'Вводные'!$B$30,0)+IF(AND(YEAR(AD$3)=YEAR($B$7),MONTH(AD$3)=MONTH($B$7),$B$5=1),'Вводные'!$B$26*'Вводные'!$V$90*'Вводные'!$B$30,0)</x:f>
      </x:c>
      <x:c r="AE57" s="117">
        <x:f>IF(AND(YEAR(AE$3)=YEAR($B$6),MONTH(AE$3)=MONTH($B$6),$B$5=1),('CAPEX'!$B$82+'CAPEX'!$B$85+'CAPEX'!$B$86)*'Вводные'!$B$30,0)+IF(AND(YEAR(AE$3)=YEAR($B$7),MONTH(AE$3)=MONTH($B$7),$B$5=1),'Вводные'!$B$26*'Вводные'!$V$90*'Вводные'!$B$30,0)</x:f>
      </x:c>
      <x:c r="AF57" s="117">
        <x:f>IF(AND(YEAR(AF$3)=YEAR($B$6),MONTH(AF$3)=MONTH($B$6),$B$5=1),('CAPEX'!$B$82+'CAPEX'!$B$85+'CAPEX'!$B$86)*'Вводные'!$B$30,0)+IF(AND(YEAR(AF$3)=YEAR($B$7),MONTH(AF$3)=MONTH($B$7),$B$5=1),'Вводные'!$B$26*'Вводные'!$V$90*'Вводные'!$B$30,0)</x:f>
      </x:c>
      <x:c r="AG57" s="117">
        <x:f>IF(AND(YEAR(AG$3)=YEAR($B$6),MONTH(AG$3)=MONTH($B$6),$B$5=1),('CAPEX'!$B$82+'CAPEX'!$B$85+'CAPEX'!$B$86)*'Вводные'!$B$30,0)+IF(AND(YEAR(AG$3)=YEAR($B$7),MONTH(AG$3)=MONTH($B$7),$B$5=1),'Вводные'!$B$26*'Вводные'!$V$90*'Вводные'!$B$30,0)</x:f>
      </x:c>
      <x:c r="AH57" s="117">
        <x:f>IF(AND(YEAR(AH$3)=YEAR($B$6),MONTH(AH$3)=MONTH($B$6),$B$5=1),('CAPEX'!$B$82+'CAPEX'!$B$85+'CAPEX'!$B$86)*'Вводные'!$B$30,0)+IF(AND(YEAR(AH$3)=YEAR($B$7),MONTH(AH$3)=MONTH($B$7),$B$5=1),'Вводные'!$B$26*'Вводные'!$V$90*'Вводные'!$B$30,0)</x:f>
      </x:c>
      <x:c r="AI57" s="117">
        <x:f>IF(AND(YEAR(AI$3)=YEAR($B$6),MONTH(AI$3)=MONTH($B$6),$B$5=1),('CAPEX'!$B$82+'CAPEX'!$B$85+'CAPEX'!$B$86)*'Вводные'!$B$30,0)+IF(AND(YEAR(AI$3)=YEAR($B$7),MONTH(AI$3)=MONTH($B$7),$B$5=1),'Вводные'!$B$26*'Вводные'!$V$90*'Вводные'!$B$30,0)</x:f>
      </x:c>
      <x:c r="AJ57" s="117">
        <x:f>IF(AND(YEAR(AJ$3)=YEAR($B$6),MONTH(AJ$3)=MONTH($B$6),$B$5=1),('CAPEX'!$B$82+'CAPEX'!$B$85+'CAPEX'!$B$86)*'Вводные'!$B$30,0)+IF(AND(YEAR(AJ$3)=YEAR($B$7),MONTH(AJ$3)=MONTH($B$7),$B$5=1),'Вводные'!$B$26*'Вводные'!$V$90*'Вводные'!$B$30,0)</x:f>
      </x:c>
      <x:c r="AK57" s="117">
        <x:f>IF(AND(YEAR(AK$3)=YEAR($B$6),MONTH(AK$3)=MONTH($B$6),$B$5=1),('CAPEX'!$B$82+'CAPEX'!$B$85+'CAPEX'!$B$86)*'Вводные'!$B$30,0)+IF(AND(YEAR(AK$3)=YEAR($B$7),MONTH(AK$3)=MONTH($B$7),$B$5=1),'Вводные'!$B$26*'Вводные'!$V$90*'Вводные'!$B$30,0)</x:f>
      </x:c>
      <x:c r="AL57" s="117">
        <x:f>IF(AND(YEAR(AL$3)=YEAR($B$6),MONTH(AL$3)=MONTH($B$6),$B$5=1),('CAPEX'!$B$82+'CAPEX'!$B$85+'CAPEX'!$B$86)*'Вводные'!$B$30,0)+IF(AND(YEAR(AL$3)=YEAR($B$7),MONTH(AL$3)=MONTH($B$7),$B$5=1),'Вводные'!$B$26*'Вводные'!$V$90*'Вводные'!$B$30,0)</x:f>
      </x:c>
      <x:c r="AM57" s="117">
        <x:f>IF(AND(YEAR(AM$3)=YEAR($B$6),MONTH(AM$3)=MONTH($B$6),$B$5=1),('CAPEX'!$B$82+'CAPEX'!$B$85+'CAPEX'!$B$86)*'Вводные'!$B$30,0)+IF(AND(YEAR(AM$3)=YEAR($B$7),MONTH(AM$3)=MONTH($B$7),$B$5=1),'Вводные'!$B$26*'Вводные'!$V$90*'Вводные'!$B$30,0)</x:f>
      </x:c>
      <x:c r="AN57" s="117">
        <x:f>IF(AND(YEAR(AN$3)=YEAR($B$6),MONTH(AN$3)=MONTH($B$6),$B$5=1),('CAPEX'!$B$82+'CAPEX'!$B$85+'CAPEX'!$B$86)*'Вводные'!$B$30,0)+IF(AND(YEAR(AN$3)=YEAR($B$7),MONTH(AN$3)=MONTH($B$7),$B$5=1),'Вводные'!$B$26*'Вводные'!$V$90*'Вводные'!$B$30,0)</x:f>
      </x:c>
      <x:c r="AO57" s="117">
        <x:f>IF(AND(YEAR(AO$3)=YEAR($B$6),MONTH(AO$3)=MONTH($B$6),$B$5=1),('CAPEX'!$B$82+'CAPEX'!$B$85+'CAPEX'!$B$86)*'Вводные'!$B$30,0)+IF(AND(YEAR(AO$3)=YEAR($B$7),MONTH(AO$3)=MONTH($B$7),$B$5=1),'Вводные'!$B$26*'Вводные'!$V$90*'Вводные'!$B$30,0)</x:f>
      </x:c>
      <x:c r="AP57" s="117">
        <x:f>IF(AND(YEAR(AP$3)=YEAR($B$6),MONTH(AP$3)=MONTH($B$6),$B$5=1),('CAPEX'!$B$82+'CAPEX'!$B$85+'CAPEX'!$B$86)*'Вводные'!$B$30,0)+IF(AND(YEAR(AP$3)=YEAR($B$7),MONTH(AP$3)=MONTH($B$7),$B$5=1),'Вводные'!$B$26*'Вводные'!$V$90*'Вводные'!$B$30,0)</x:f>
      </x:c>
      <x:c r="AQ57" s="117">
        <x:f>IF(AND(YEAR(AQ$3)=YEAR($B$6),MONTH(AQ$3)=MONTH($B$6),$B$5=1),('CAPEX'!$B$82+'CAPEX'!$B$85+'CAPEX'!$B$86)*'Вводные'!$B$30,0)+IF(AND(YEAR(AQ$3)=YEAR($B$7),MONTH(AQ$3)=MONTH($B$7),$B$5=1),'Вводные'!$B$26*'Вводные'!$V$90*'Вводные'!$B$30,0)</x:f>
      </x:c>
      <x:c r="AR57" s="117">
        <x:f>IF(AND(YEAR(AR$3)=YEAR($B$6),MONTH(AR$3)=MONTH($B$6),$B$5=1),('CAPEX'!$B$82+'CAPEX'!$B$85+'CAPEX'!$B$86)*'Вводные'!$B$30,0)+IF(AND(YEAR(AR$3)=YEAR($B$7),MONTH(AR$3)=MONTH($B$7),$B$5=1),'Вводные'!$B$26*'Вводные'!$V$90*'Вводные'!$B$30,0)</x:f>
      </x:c>
      <x:c r="AS57" s="117">
        <x:f>IF(AND(YEAR(AS$3)=YEAR($B$6),MONTH(AS$3)=MONTH($B$6),$B$5=1),('CAPEX'!$B$82+'CAPEX'!$B$85+'CAPEX'!$B$86)*'Вводные'!$B$30,0)+IF(AND(YEAR(AS$3)=YEAR($B$7),MONTH(AS$3)=MONTH($B$7),$B$5=1),'Вводные'!$B$26*'Вводные'!$V$90*'Вводные'!$B$30,0)</x:f>
      </x:c>
      <x:c r="AT57" s="117">
        <x:f>IF(AND(YEAR(AT$3)=YEAR($B$6),MONTH(AT$3)=MONTH($B$6),$B$5=1),('CAPEX'!$B$82+'CAPEX'!$B$85+'CAPEX'!$B$86)*'Вводные'!$B$30,0)+IF(AND(YEAR(AT$3)=YEAR($B$7),MONTH(AT$3)=MONTH($B$7),$B$5=1),'Вводные'!$B$26*'Вводные'!$V$90*'Вводные'!$B$30,0)</x:f>
      </x:c>
      <x:c r="AU57" s="117">
        <x:f>IF(AND(YEAR(AU$3)=YEAR($B$6),MONTH(AU$3)=MONTH($B$6),$B$5=1),('CAPEX'!$B$82+'CAPEX'!$B$85+'CAPEX'!$B$86)*'Вводные'!$B$30,0)+IF(AND(YEAR(AU$3)=YEAR($B$7),MONTH(AU$3)=MONTH($B$7),$B$5=1),'Вводные'!$B$26*'Вводные'!$V$90*'Вводные'!$B$30,0)</x:f>
      </x:c>
      <x:c r="AV57" s="117">
        <x:f>IF(AND(YEAR(AV$3)=YEAR($B$6),MONTH(AV$3)=MONTH($B$6),$B$5=1),('CAPEX'!$B$82+'CAPEX'!$B$85+'CAPEX'!$B$86)*'Вводные'!$B$30,0)+IF(AND(YEAR(AV$3)=YEAR($B$7),MONTH(AV$3)=MONTH($B$7),$B$5=1),'Вводные'!$B$26*'Вводные'!$V$90*'Вводные'!$B$30,0)</x:f>
      </x:c>
      <x:c r="AW57" s="117">
        <x:f>IF(AND(YEAR(AW$3)=YEAR($B$6),MONTH(AW$3)=MONTH($B$6),$B$5=1),('CAPEX'!$B$82+'CAPEX'!$B$85+'CAPEX'!$B$86)*'Вводные'!$B$30,0)+IF(AND(YEAR(AW$3)=YEAR($B$7),MONTH(AW$3)=MONTH($B$7),$B$5=1),'Вводные'!$B$26*'Вводные'!$V$90*'Вводные'!$B$30,0)</x:f>
      </x:c>
      <x:c r="AX57" s="117">
        <x:f>IF(AND(YEAR(AX$3)=YEAR($B$6),MONTH(AX$3)=MONTH($B$6),$B$5=1),('CAPEX'!$B$82+'CAPEX'!$B$85+'CAPEX'!$B$86)*'Вводные'!$B$30,0)+IF(AND(YEAR(AX$3)=YEAR($B$7),MONTH(AX$3)=MONTH($B$7),$B$5=1),'Вводные'!$B$26*'Вводные'!$V$90*'Вводные'!$B$30,0)</x:f>
      </x:c>
      <x:c r="AY57" s="117">
        <x:f>IF(AND(YEAR(AY$3)=YEAR($B$6),MONTH(AY$3)=MONTH($B$6),$B$5=1),('CAPEX'!$B$82+'CAPEX'!$B$85+'CAPEX'!$B$86)*'Вводные'!$B$30,0)+IF(AND(YEAR(AY$3)=YEAR($B$7),MONTH(AY$3)=MONTH($B$7),$B$5=1),'Вводные'!$B$26*'Вводные'!$V$90*'Вводные'!$B$30,0)</x:f>
      </x:c>
      <x:c r="AZ57" s="117">
        <x:f>IF(AND(YEAR(AZ$3)=YEAR($B$6),MONTH(AZ$3)=MONTH($B$6),$B$5=1),('CAPEX'!$B$82+'CAPEX'!$B$85+'CAPEX'!$B$86)*'Вводные'!$B$30,0)+IF(AND(YEAR(AZ$3)=YEAR($B$7),MONTH(AZ$3)=MONTH($B$7),$B$5=1),'Вводные'!$B$26*'Вводные'!$V$90*'Вводные'!$B$30,0)</x:f>
      </x:c>
      <x:c r="BA57" s="117">
        <x:f>IF(AND(YEAR(BA$3)=YEAR($B$6),MONTH(BA$3)=MONTH($B$6),$B$5=1),('CAPEX'!$B$82+'CAPEX'!$B$85+'CAPEX'!$B$86)*'Вводные'!$B$30,0)+IF(AND(YEAR(BA$3)=YEAR($B$7),MONTH(BA$3)=MONTH($B$7),$B$5=1),'Вводные'!$B$26*'Вводные'!$V$90*'Вводные'!$B$30,0)</x:f>
      </x:c>
      <x:c r="BB57" s="117">
        <x:f>IF(AND(YEAR(BB$3)=YEAR($B$6),MONTH(BB$3)=MONTH($B$6),$B$5=1),('CAPEX'!$B$82+'CAPEX'!$B$85+'CAPEX'!$B$86)*'Вводные'!$B$30,0)+IF(AND(YEAR(BB$3)=YEAR($B$7),MONTH(BB$3)=MONTH($B$7),$B$5=1),'Вводные'!$B$26*'Вводные'!$V$90*'Вводные'!$B$30,0)</x:f>
      </x:c>
      <x:c r="BC57" s="117">
        <x:f>IF(AND(YEAR(BC$3)=YEAR($B$6),MONTH(BC$3)=MONTH($B$6),$B$5=1),('CAPEX'!$B$82+'CAPEX'!$B$85+'CAPEX'!$B$86)*'Вводные'!$B$30,0)+IF(AND(YEAR(BC$3)=YEAR($B$7),MONTH(BC$3)=MONTH($B$7),$B$5=1),'Вводные'!$B$26*'Вводные'!$V$90*'Вводные'!$B$30,0)</x:f>
      </x:c>
      <x:c r="BD57" s="117">
        <x:f>IF(AND(YEAR(BD$3)=YEAR($B$6),MONTH(BD$3)=MONTH($B$6),$B$5=1),('CAPEX'!$B$82+'CAPEX'!$B$85+'CAPEX'!$B$86)*'Вводные'!$B$30,0)+IF(AND(YEAR(BD$3)=YEAR($B$7),MONTH(BD$3)=MONTH($B$7),$B$5=1),'Вводные'!$B$26*'Вводные'!$V$90*'Вводные'!$B$30,0)</x:f>
      </x:c>
      <x:c r="BE57" s="117">
        <x:f>IF(AND(YEAR(BE$3)=YEAR($B$6),MONTH(BE$3)=MONTH($B$6),$B$5=1),('CAPEX'!$B$82+'CAPEX'!$B$85+'CAPEX'!$B$86)*'Вводные'!$B$30,0)+IF(AND(YEAR(BE$3)=YEAR($B$7),MONTH(BE$3)=MONTH($B$7),$B$5=1),'Вводные'!$B$26*'Вводные'!$V$90*'Вводные'!$B$30,0)</x:f>
      </x:c>
      <x:c r="BF57" s="117">
        <x:f>IF(AND(YEAR(BF$3)=YEAR($B$6),MONTH(BF$3)=MONTH($B$6),$B$5=1),('CAPEX'!$B$82+'CAPEX'!$B$85+'CAPEX'!$B$86)*'Вводные'!$B$30,0)+IF(AND(YEAR(BF$3)=YEAR($B$7),MONTH(BF$3)=MONTH($B$7),$B$5=1),'Вводные'!$B$26*'Вводные'!$V$90*'Вводные'!$B$30,0)</x:f>
      </x:c>
      <x:c r="BG57" s="117">
        <x:f>IF(AND(YEAR(BG$3)=YEAR($B$6),MONTH(BG$3)=MONTH($B$6),$B$5=1),('CAPEX'!$B$82+'CAPEX'!$B$85+'CAPEX'!$B$86)*'Вводные'!$B$30,0)+IF(AND(YEAR(BG$3)=YEAR($B$7),MONTH(BG$3)=MONTH($B$7),$B$5=1),'Вводные'!$B$26*'Вводные'!$V$90*'Вводные'!$B$30,0)</x:f>
      </x:c>
      <x:c r="BH57" s="117">
        <x:f>IF(AND(YEAR(BH$3)=YEAR($B$6),MONTH(BH$3)=MONTH($B$6),$B$5=1),('CAPEX'!$B$82+'CAPEX'!$B$85+'CAPEX'!$B$86)*'Вводные'!$B$30,0)+IF(AND(YEAR(BH$3)=YEAR($B$7),MONTH(BH$3)=MONTH($B$7),$B$5=1),'Вводные'!$B$26*'Вводные'!$V$90*'Вводные'!$B$30,0)</x:f>
      </x:c>
      <x:c r="BI57" s="117">
        <x:f>IF(AND(YEAR(BI$3)=YEAR($B$6),MONTH(BI$3)=MONTH($B$6),$B$5=1),('CAPEX'!$B$82+'CAPEX'!$B$85+'CAPEX'!$B$86)*'Вводные'!$B$30,0)+IF(AND(YEAR(BI$3)=YEAR($B$7),MONTH(BI$3)=MONTH($B$7),$B$5=1),'Вводные'!$B$26*'Вводные'!$V$90*'Вводные'!$B$30,0)</x:f>
      </x:c>
      <x:c r="BJ57" s="117">
        <x:f>IF(AND(YEAR(BJ$3)=YEAR($B$6),MONTH(BJ$3)=MONTH($B$6),$B$5=1),('CAPEX'!$B$82+'CAPEX'!$B$85+'CAPEX'!$B$86)*'Вводные'!$B$30,0)+IF(AND(YEAR(BJ$3)=YEAR($B$7),MONTH(BJ$3)=MONTH($B$7),$B$5=1),'Вводные'!$B$26*'Вводные'!$V$90*'Вводные'!$B$30,0)</x:f>
      </x:c>
      <x:c r="BK57" s="117">
        <x:f>IF(AND(YEAR(BK$3)=YEAR($B$6),MONTH(BK$3)=MONTH($B$6),$B$5=1),('CAPEX'!$B$82+'CAPEX'!$B$85+'CAPEX'!$B$86)*'Вводные'!$B$30,0)+IF(AND(YEAR(BK$3)=YEAR($B$7),MONTH(BK$3)=MONTH($B$7),$B$5=1),'Вводные'!$B$26*'Вводные'!$V$90*'Вводные'!$B$30,0)</x:f>
      </x:c>
      <x:c r="BL57" s="117">
        <x:f>IF(AND(YEAR(BL$3)=YEAR($B$6),MONTH(BL$3)=MONTH($B$6),$B$5=1),('CAPEX'!$B$82+'CAPEX'!$B$85+'CAPEX'!$B$86)*'Вводные'!$B$30,0)+IF(AND(YEAR(BL$3)=YEAR($B$7),MONTH(BL$3)=MONTH($B$7),$B$5=1),'Вводные'!$B$26*'Вводные'!$V$90*'Вводные'!$B$30,0)</x:f>
      </x:c>
      <x:c r="BM57" s="117">
        <x:f>IF(AND(YEAR(BM$3)=YEAR($B$6),MONTH(BM$3)=MONTH($B$6),$B$5=1),('CAPEX'!$B$82+'CAPEX'!$B$85+'CAPEX'!$B$86)*'Вводные'!$B$30,0)+IF(AND(YEAR(BM$3)=YEAR($B$7),MONTH(BM$3)=MONTH($B$7),$B$5=1),'Вводные'!$B$26*'Вводные'!$V$90*'Вводные'!$B$30,0)</x:f>
      </x:c>
      <x:c r="BN57" s="117">
        <x:f>IF(AND(YEAR(BN$3)=YEAR($B$6),MONTH(BN$3)=MONTH($B$6),$B$5=1),('CAPEX'!$B$82+'CAPEX'!$B$85+'CAPEX'!$B$86)*'Вводные'!$B$30,0)+IF(AND(YEAR(BN$3)=YEAR($B$7),MONTH(BN$3)=MONTH($B$7),$B$5=1),'Вводные'!$B$26*'Вводные'!$V$90*'Вводные'!$B$30,0)</x:f>
      </x:c>
      <x:c r="BO57" s="117">
        <x:f>IF(AND(YEAR(BO$3)=YEAR($B$6),MONTH(BO$3)=MONTH($B$6),$B$5=1),('CAPEX'!$B$82+'CAPEX'!$B$85+'CAPEX'!$B$86)*'Вводные'!$B$30,0)+IF(AND(YEAR(BO$3)=YEAR($B$7),MONTH(BO$3)=MONTH($B$7),$B$5=1),'Вводные'!$B$26*'Вводные'!$V$90*'Вводные'!$B$30,0)</x:f>
      </x:c>
      <x:c r="BP57" s="117">
        <x:f>IF(AND(YEAR(BP$3)=YEAR($B$6),MONTH(BP$3)=MONTH($B$6),$B$5=1),('CAPEX'!$B$82+'CAPEX'!$B$85+'CAPEX'!$B$86)*'Вводные'!$B$30,0)+IF(AND(YEAR(BP$3)=YEAR($B$7),MONTH(BP$3)=MONTH($B$7),$B$5=1),'Вводные'!$B$26*'Вводные'!$V$90*'Вводные'!$B$30,0)</x:f>
      </x:c>
      <x:c r="BQ57" s="117">
        <x:f>IF(AND(YEAR(BQ$3)=YEAR($B$6),MONTH(BQ$3)=MONTH($B$6),$B$5=1),('CAPEX'!$B$82+'CAPEX'!$B$85+'CAPEX'!$B$86)*'Вводные'!$B$30,0)+IF(AND(YEAR(BQ$3)=YEAR($B$7),MONTH(BQ$3)=MONTH($B$7),$B$5=1),'Вводные'!$B$26*'Вводные'!$V$90*'Вводные'!$B$30,0)</x:f>
      </x:c>
      <x:c r="BR57" s="117">
        <x:f>IF(AND(YEAR(BR$3)=YEAR($B$6),MONTH(BR$3)=MONTH($B$6),$B$5=1),('CAPEX'!$B$82+'CAPEX'!$B$85+'CAPEX'!$B$86)*'Вводные'!$B$30,0)+IF(AND(YEAR(BR$3)=YEAR($B$7),MONTH(BR$3)=MONTH($B$7),$B$5=1),'Вводные'!$B$26*'Вводные'!$V$90*'Вводные'!$B$30,0)</x:f>
      </x:c>
      <x:c r="BS57" s="117">
        <x:f>IF(AND(YEAR(BS$3)=YEAR($B$6),MONTH(BS$3)=MONTH($B$6),$B$5=1),('CAPEX'!$B$82+'CAPEX'!$B$85+'CAPEX'!$B$86)*'Вводные'!$B$30,0)+IF(AND(YEAR(BS$3)=YEAR($B$7),MONTH(BS$3)=MONTH($B$7),$B$5=1),'Вводные'!$B$26*'Вводные'!$V$90*'Вводные'!$B$30,0)</x:f>
      </x:c>
      <x:c r="BT57" s="117">
        <x:f>IF(AND(YEAR(BT$3)=YEAR($B$6),MONTH(BT$3)=MONTH($B$6),$B$5=1),('CAPEX'!$B$82+'CAPEX'!$B$85+'CAPEX'!$B$86)*'Вводные'!$B$30,0)+IF(AND(YEAR(BT$3)=YEAR($B$7),MONTH(BT$3)=MONTH($B$7),$B$5=1),'Вводные'!$B$26*'Вводные'!$V$90*'Вводные'!$B$30,0)</x:f>
      </x:c>
      <x:c r="BU57" s="117">
        <x:f>IF(AND(YEAR(BU$3)=YEAR($B$6),MONTH(BU$3)=MONTH($B$6),$B$5=1),('CAPEX'!$B$82+'CAPEX'!$B$85+'CAPEX'!$B$86)*'Вводные'!$B$30,0)+IF(AND(YEAR(BU$3)=YEAR($B$7),MONTH(BU$3)=MONTH($B$7),$B$5=1),'Вводные'!$B$26*'Вводные'!$V$90*'Вводные'!$B$30,0)</x:f>
      </x:c>
      <x:c r="BV57" s="117">
        <x:f>IF(AND(YEAR(BV$3)=YEAR($B$6),MONTH(BV$3)=MONTH($B$6),$B$5=1),('CAPEX'!$B$82+'CAPEX'!$B$85+'CAPEX'!$B$86)*'Вводные'!$B$30,0)+IF(AND(YEAR(BV$3)=YEAR($B$7),MONTH(BV$3)=MONTH($B$7),$B$5=1),'Вводные'!$B$26*'Вводные'!$V$90*'Вводные'!$B$30,0)</x:f>
      </x:c>
      <x:c r="BW57" s="117">
        <x:f>IF(AND(YEAR(BW$3)=YEAR($B$6),MONTH(BW$3)=MONTH($B$6),$B$5=1),('CAPEX'!$B$82+'CAPEX'!$B$85+'CAPEX'!$B$86)*'Вводные'!$B$30,0)+IF(AND(YEAR(BW$3)=YEAR($B$7),MONTH(BW$3)=MONTH($B$7),$B$5=1),'Вводные'!$B$26*'Вводные'!$V$90*'Вводные'!$B$30,0)</x:f>
      </x:c>
      <x:c r="BX57" s="117">
        <x:f>IF(AND(YEAR(BX$3)=YEAR($B$6),MONTH(BX$3)=MONTH($B$6),$B$5=1),('CAPEX'!$B$82+'CAPEX'!$B$85+'CAPEX'!$B$86)*'Вводные'!$B$30,0)+IF(AND(YEAR(BX$3)=YEAR($B$7),MONTH(BX$3)=MONTH($B$7),$B$5=1),'Вводные'!$B$26*'Вводные'!$V$90*'Вводные'!$B$30,0)</x:f>
      </x:c>
      <x:c r="BY57" s="117">
        <x:f>IF(AND(YEAR(BY$3)=YEAR($B$6),MONTH(BY$3)=MONTH($B$6),$B$5=1),('CAPEX'!$B$82+'CAPEX'!$B$85+'CAPEX'!$B$86)*'Вводные'!$B$30,0)+IF(AND(YEAR(BY$3)=YEAR($B$7),MONTH(BY$3)=MONTH($B$7),$B$5=1),'Вводные'!$B$26*'Вводные'!$V$90*'Вводные'!$B$30,0)</x:f>
      </x:c>
      <x:c r="BZ57" s="117">
        <x:f>IF(AND(YEAR(BZ$3)=YEAR($B$6),MONTH(BZ$3)=MONTH($B$6),$B$5=1),('CAPEX'!$B$82+'CAPEX'!$B$85+'CAPEX'!$B$86)*'Вводные'!$B$30,0)+IF(AND(YEAR(BZ$3)=YEAR($B$7),MONTH(BZ$3)=MONTH($B$7),$B$5=1),'Вводные'!$B$26*'Вводные'!$V$90*'Вводные'!$B$30,0)</x:f>
      </x:c>
      <x:c r="CA57" s="117">
        <x:f>IF(AND(YEAR(CA$3)=YEAR($B$6),MONTH(CA$3)=MONTH($B$6),$B$5=1),('CAPEX'!$B$82+'CAPEX'!$B$85+'CAPEX'!$B$86)*'Вводные'!$B$30,0)+IF(AND(YEAR(CA$3)=YEAR($B$7),MONTH(CA$3)=MONTH($B$7),$B$5=1),'Вводные'!$B$26*'Вводные'!$V$90*'Вводные'!$B$30,0)</x:f>
      </x:c>
      <x:c r="CB57" s="117">
        <x:f>IF(AND(YEAR(CB$3)=YEAR($B$6),MONTH(CB$3)=MONTH($B$6),$B$5=1),('CAPEX'!$B$82+'CAPEX'!$B$85+'CAPEX'!$B$86)*'Вводные'!$B$30,0)+IF(AND(YEAR(CB$3)=YEAR($B$7),MONTH(CB$3)=MONTH($B$7),$B$5=1),'Вводные'!$B$26*'Вводные'!$V$90*'Вводные'!$B$30,0)</x:f>
      </x:c>
      <x:c r="CC57" s="117">
        <x:f>IF(AND(YEAR(CC$3)=YEAR($B$6),MONTH(CC$3)=MONTH($B$6),$B$5=1),('CAPEX'!$B$82+'CAPEX'!$B$85+'CAPEX'!$B$86)*'Вводные'!$B$30,0)+IF(AND(YEAR(CC$3)=YEAR($B$7),MONTH(CC$3)=MONTH($B$7),$B$5=1),'Вводные'!$B$26*'Вводные'!$V$90*'Вводные'!$B$30,0)</x:f>
      </x:c>
      <x:c r="CD57" s="117">
        <x:f>IF(AND(YEAR(CD$3)=YEAR($B$6),MONTH(CD$3)=MONTH($B$6),$B$5=1),('CAPEX'!$B$82+'CAPEX'!$B$85+'CAPEX'!$B$86)*'Вводные'!$B$30,0)+IF(AND(YEAR(CD$3)=YEAR($B$7),MONTH(CD$3)=MONTH($B$7),$B$5=1),'Вводные'!$B$26*'Вводные'!$V$90*'Вводные'!$B$30,0)</x:f>
      </x:c>
      <x:c r="CE57" s="117">
        <x:f>IF(AND(YEAR(CE$3)=YEAR($B$6),MONTH(CE$3)=MONTH($B$6),$B$5=1),('CAPEX'!$B$82+'CAPEX'!$B$85+'CAPEX'!$B$86)*'Вводные'!$B$30,0)+IF(AND(YEAR(CE$3)=YEAR($B$7),MONTH(CE$3)=MONTH($B$7),$B$5=1),'Вводные'!$B$26*'Вводные'!$V$90*'Вводные'!$B$30,0)</x:f>
      </x:c>
      <x:c r="CF57" s="117">
        <x:f>IF(AND(YEAR(CF$3)=YEAR($B$6),MONTH(CF$3)=MONTH($B$6),$B$5=1),('CAPEX'!$B$82+'CAPEX'!$B$85+'CAPEX'!$B$86)*'Вводные'!$B$30,0)+IF(AND(YEAR(CF$3)=YEAR($B$7),MONTH(CF$3)=MONTH($B$7),$B$5=1),'Вводные'!$B$26*'Вводные'!$V$90*'Вводные'!$B$30,0)</x:f>
      </x:c>
      <x:c r="CG57" s="117">
        <x:f>IF(AND(YEAR(CG$3)=YEAR($B$6),MONTH(CG$3)=MONTH($B$6),$B$5=1),('CAPEX'!$B$82+'CAPEX'!$B$85+'CAPEX'!$B$86)*'Вводные'!$B$30,0)+IF(AND(YEAR(CG$3)=YEAR($B$7),MONTH(CG$3)=MONTH($B$7),$B$5=1),'Вводные'!$B$26*'Вводные'!$V$90*'Вводные'!$B$30,0)</x:f>
      </x:c>
      <x:c r="CH57" s="117">
        <x:f>IF(AND(YEAR(CH$3)=YEAR($B$6),MONTH(CH$3)=MONTH($B$6),$B$5=1),('CAPEX'!$B$82+'CAPEX'!$B$85+'CAPEX'!$B$86)*'Вводные'!$B$30,0)+IF(AND(YEAR(CH$3)=YEAR($B$7),MONTH(CH$3)=MONTH($B$7),$B$5=1),'Вводные'!$B$26*'Вводные'!$V$90*'Вводные'!$B$30,0)</x:f>
      </x:c>
      <x:c r="CI57" s="117">
        <x:f>IF(AND(YEAR(CI$3)=YEAR($B$6),MONTH(CI$3)=MONTH($B$6),$B$5=1),('CAPEX'!$B$82+'CAPEX'!$B$85+'CAPEX'!$B$86)*'Вводные'!$B$30,0)+IF(AND(YEAR(CI$3)=YEAR($B$7),MONTH(CI$3)=MONTH($B$7),$B$5=1),'Вводные'!$B$26*'Вводные'!$V$90*'Вводные'!$B$30,0)</x:f>
      </x:c>
      <x:c r="CJ57" s="117">
        <x:f>IF(AND(YEAR(CJ$3)=YEAR($B$6),MONTH(CJ$3)=MONTH($B$6),$B$5=1),('CAPEX'!$B$82+'CAPEX'!$B$85+'CAPEX'!$B$86)*'Вводные'!$B$30,0)+IF(AND(YEAR(CJ$3)=YEAR($B$7),MONTH(CJ$3)=MONTH($B$7),$B$5=1),'Вводные'!$B$26*'Вводные'!$V$90*'Вводные'!$B$30,0)</x:f>
      </x:c>
      <x:c r="CK57" s="117">
        <x:f>IF(AND(YEAR(CK$3)=YEAR($B$6),MONTH(CK$3)=MONTH($B$6),$B$5=1),('CAPEX'!$B$82+'CAPEX'!$B$85+'CAPEX'!$B$86)*'Вводные'!$B$30,0)+IF(AND(YEAR(CK$3)=YEAR($B$7),MONTH(CK$3)=MONTH($B$7),$B$5=1),'Вводные'!$B$26*'Вводные'!$V$90*'Вводные'!$B$30,0)</x:f>
      </x:c>
      <x:c r="CL57" s="117">
        <x:f>IF(AND(YEAR(CL$3)=YEAR($B$6),MONTH(CL$3)=MONTH($B$6),$B$5=1),('CAPEX'!$B$82+'CAPEX'!$B$85+'CAPEX'!$B$86)*'Вводные'!$B$30,0)+IF(AND(YEAR(CL$3)=YEAR($B$7),MONTH(CL$3)=MONTH($B$7),$B$5=1),'Вводные'!$B$26*'Вводные'!$V$90*'Вводные'!$B$30,0)</x:f>
      </x:c>
      <x:c r="CM57" s="117">
        <x:f>IF(AND(YEAR(CM$3)=YEAR($B$6),MONTH(CM$3)=MONTH($B$6),$B$5=1),('CAPEX'!$B$82+'CAPEX'!$B$85+'CAPEX'!$B$86)*'Вводные'!$B$30,0)+IF(AND(YEAR(CM$3)=YEAR($B$7),MONTH(CM$3)=MONTH($B$7),$B$5=1),'Вводные'!$B$26*'Вводные'!$V$90*'Вводные'!$B$30,0)</x:f>
      </x:c>
      <x:c r="CN57" s="117">
        <x:f>IF(AND(YEAR(CN$3)=YEAR($B$6),MONTH(CN$3)=MONTH($B$6),$B$5=1),('CAPEX'!$B$82+'CAPEX'!$B$85+'CAPEX'!$B$86)*'Вводные'!$B$30,0)+IF(AND(YEAR(CN$3)=YEAR($B$7),MONTH(CN$3)=MONTH($B$7),$B$5=1),'Вводные'!$B$26*'Вводные'!$V$90*'Вводные'!$B$30,0)</x:f>
      </x:c>
      <x:c r="CO57" s="117">
        <x:f>IF(AND(YEAR(CO$3)=YEAR($B$6),MONTH(CO$3)=MONTH($B$6),$B$5=1),('CAPEX'!$B$82+'CAPEX'!$B$85+'CAPEX'!$B$86)*'Вводные'!$B$30,0)+IF(AND(YEAR(CO$3)=YEAR($B$7),MONTH(CO$3)=MONTH($B$7),$B$5=1),'Вводные'!$B$26*'Вводные'!$V$90*'Вводные'!$B$30,0)</x:f>
      </x:c>
      <x:c r="CP57" s="117">
        <x:f>IF(AND(YEAR(CP$3)=YEAR($B$6),MONTH(CP$3)=MONTH($B$6),$B$5=1),('CAPEX'!$B$82+'CAPEX'!$B$85+'CAPEX'!$B$86)*'Вводные'!$B$30,0)+IF(AND(YEAR(CP$3)=YEAR($B$7),MONTH(CP$3)=MONTH($B$7),$B$5=1),'Вводные'!$B$26*'Вводные'!$V$90*'Вводные'!$B$30,0)</x:f>
      </x:c>
      <x:c r="CQ57" s="117">
        <x:f>IF(AND(YEAR(CQ$3)=YEAR($B$6),MONTH(CQ$3)=MONTH($B$6),$B$5=1),('CAPEX'!$B$82+'CAPEX'!$B$85+'CAPEX'!$B$86)*'Вводные'!$B$30,0)+IF(AND(YEAR(CQ$3)=YEAR($B$7),MONTH(CQ$3)=MONTH($B$7),$B$5=1),'Вводные'!$B$26*'Вводные'!$V$90*'Вводные'!$B$30,0)</x:f>
      </x:c>
      <x:c r="CR57" s="117">
        <x:f>IF(AND(YEAR(CR$3)=YEAR($B$6),MONTH(CR$3)=MONTH($B$6),$B$5=1),('CAPEX'!$B$82+'CAPEX'!$B$85+'CAPEX'!$B$86)*'Вводные'!$B$30,0)+IF(AND(YEAR(CR$3)=YEAR($B$7),MONTH(CR$3)=MONTH($B$7),$B$5=1),'Вводные'!$B$26*'Вводные'!$V$90*'Вводные'!$B$30,0)</x:f>
      </x:c>
      <x:c r="CS57" s="117">
        <x:f>IF(AND(YEAR(CS$3)=YEAR($B$6),MONTH(CS$3)=MONTH($B$6),$B$5=1),('CAPEX'!$B$82+'CAPEX'!$B$85+'CAPEX'!$B$86)*'Вводные'!$B$30,0)+IF(AND(YEAR(CS$3)=YEAR($B$7),MONTH(CS$3)=MONTH($B$7),$B$5=1),'Вводные'!$B$26*'Вводные'!$V$90*'Вводные'!$B$30,0)</x:f>
      </x:c>
      <x:c r="CT57" s="117">
        <x:f>IF(AND(YEAR(CT$3)=YEAR($B$6),MONTH(CT$3)=MONTH($B$6),$B$5=1),('CAPEX'!$B$82+'CAPEX'!$B$85+'CAPEX'!$B$86)*'Вводные'!$B$30,0)+IF(AND(YEAR(CT$3)=YEAR($B$7),MONTH(CT$3)=MONTH($B$7),$B$5=1),'Вводные'!$B$26*'Вводные'!$V$90*'Вводные'!$B$30,0)</x:f>
      </x:c>
      <x:c r="CU57" s="117">
        <x:f>IF(AND(YEAR(CU$3)=YEAR($B$6),MONTH(CU$3)=MONTH($B$6),$B$5=1),('CAPEX'!$B$82+'CAPEX'!$B$85+'CAPEX'!$B$86)*'Вводные'!$B$30,0)+IF(AND(YEAR(CU$3)=YEAR($B$7),MONTH(CU$3)=MONTH($B$7),$B$5=1),'Вводные'!$B$26*'Вводные'!$V$90*'Вводные'!$B$30,0)</x:f>
      </x:c>
      <x:c r="CV57" s="117">
        <x:f>IF(AND(YEAR(CV$3)=YEAR($B$6),MONTH(CV$3)=MONTH($B$6),$B$5=1),('CAPEX'!$B$82+'CAPEX'!$B$85+'CAPEX'!$B$86)*'Вводные'!$B$30,0)+IF(AND(YEAR(CV$3)=YEAR($B$7),MONTH(CV$3)=MONTH($B$7),$B$5=1),'Вводные'!$B$26*'Вводные'!$V$90*'Вводные'!$B$30,0)</x:f>
      </x:c>
      <x:c r="CW57" s="117">
        <x:f>IF(AND(YEAR(CW$3)=YEAR($B$6),MONTH(CW$3)=MONTH($B$6),$B$5=1),('CAPEX'!$B$82+'CAPEX'!$B$85+'CAPEX'!$B$86)*'Вводные'!$B$30,0)+IF(AND(YEAR(CW$3)=YEAR($B$7),MONTH(CW$3)=MONTH($B$7),$B$5=1),'Вводные'!$B$26*'Вводные'!$V$90*'Вводные'!$B$30,0)</x:f>
      </x:c>
      <x:c r="CX57" s="117">
        <x:f>IF(AND(YEAR(CX$3)=YEAR($B$6),MONTH(CX$3)=MONTH($B$6),$B$5=1),('CAPEX'!$B$82+'CAPEX'!$B$85+'CAPEX'!$B$86)*'Вводные'!$B$30,0)+IF(AND(YEAR(CX$3)=YEAR($B$7),MONTH(CX$3)=MONTH($B$7),$B$5=1),'Вводные'!$B$26*'Вводные'!$V$90*'Вводные'!$B$30,0)</x:f>
      </x:c>
      <x:c r="CY57" s="117">
        <x:f>IF(AND(YEAR(CY$3)=YEAR($B$6),MONTH(CY$3)=MONTH($B$6),$B$5=1),('CAPEX'!$B$82+'CAPEX'!$B$85+'CAPEX'!$B$86)*'Вводные'!$B$30,0)+IF(AND(YEAR(CY$3)=YEAR($B$7),MONTH(CY$3)=MONTH($B$7),$B$5=1),'Вводные'!$B$26*'Вводные'!$V$90*'Вводные'!$B$30,0)</x:f>
      </x:c>
      <x:c r="CZ57" s="117">
        <x:f>IF(AND(YEAR(CZ$3)=YEAR($B$6),MONTH(CZ$3)=MONTH($B$6),$B$5=1),('CAPEX'!$B$82+'CAPEX'!$B$85+'CAPEX'!$B$86)*'Вводные'!$B$30,0)+IF(AND(YEAR(CZ$3)=YEAR($B$7),MONTH(CZ$3)=MONTH($B$7),$B$5=1),'Вводные'!$B$26*'Вводные'!$V$90*'Вводные'!$B$30,0)</x:f>
      </x:c>
      <x:c r="DA57" s="117">
        <x:f>IF(AND(YEAR(DA$3)=YEAR($B$6),MONTH(DA$3)=MONTH($B$6),$B$5=1),('CAPEX'!$B$82+'CAPEX'!$B$85+'CAPEX'!$B$86)*'Вводные'!$B$30,0)+IF(AND(YEAR(DA$3)=YEAR($B$7),MONTH(DA$3)=MONTH($B$7),$B$5=1),'Вводные'!$B$26*'Вводные'!$V$90*'Вводные'!$B$30,0)</x:f>
      </x:c>
      <x:c r="DB57" s="117">
        <x:f>IF(AND(YEAR(DB$3)=YEAR($B$6),MONTH(DB$3)=MONTH($B$6),$B$5=1),('CAPEX'!$B$82+'CAPEX'!$B$85+'CAPEX'!$B$86)*'Вводные'!$B$30,0)+IF(AND(YEAR(DB$3)=YEAR($B$7),MONTH(DB$3)=MONTH($B$7),$B$5=1),'Вводные'!$B$26*'Вводные'!$V$90*'Вводные'!$B$30,0)</x:f>
      </x:c>
      <x:c r="DC57" s="117">
        <x:f>IF(AND(YEAR(DC$3)=YEAR($B$6),MONTH(DC$3)=MONTH($B$6),$B$5=1),('CAPEX'!$B$82+'CAPEX'!$B$85+'CAPEX'!$B$86)*'Вводные'!$B$30,0)+IF(AND(YEAR(DC$3)=YEAR($B$7),MONTH(DC$3)=MONTH($B$7),$B$5=1),'Вводные'!$B$26*'Вводные'!$V$90*'Вводные'!$B$30,0)</x:f>
      </x:c>
      <x:c r="DD57" s="117">
        <x:f>IF(AND(YEAR(DD$3)=YEAR($B$6),MONTH(DD$3)=MONTH($B$6),$B$5=1),('CAPEX'!$B$82+'CAPEX'!$B$85+'CAPEX'!$B$86)*'Вводные'!$B$30,0)+IF(AND(YEAR(DD$3)=YEAR($B$7),MONTH(DD$3)=MONTH($B$7),$B$5=1),'Вводные'!$B$26*'Вводные'!$V$90*'Вводные'!$B$30,0)</x:f>
      </x:c>
      <x:c r="DE57" s="117">
        <x:f>IF(AND(YEAR(DE$3)=YEAR($B$6),MONTH(DE$3)=MONTH($B$6),$B$5=1),('CAPEX'!$B$82+'CAPEX'!$B$85+'CAPEX'!$B$86)*'Вводные'!$B$30,0)+IF(AND(YEAR(DE$3)=YEAR($B$7),MONTH(DE$3)=MONTH($B$7),$B$5=1),'Вводные'!$B$26*'Вводные'!$V$90*'Вводные'!$B$30,0)</x:f>
      </x:c>
      <x:c r="DF57" s="117">
        <x:f>IF(AND(YEAR(DF$3)=YEAR($B$6),MONTH(DF$3)=MONTH($B$6),$B$5=1),('CAPEX'!$B$82+'CAPEX'!$B$85+'CAPEX'!$B$86)*'Вводные'!$B$30,0)+IF(AND(YEAR(DF$3)=YEAR($B$7),MONTH(DF$3)=MONTH($B$7),$B$5=1),'Вводные'!$B$26*'Вводные'!$V$90*'Вводные'!$B$30,0)</x:f>
      </x:c>
      <x:c r="DG57" s="117">
        <x:f>IF(AND(YEAR(DG$3)=YEAR($B$6),MONTH(DG$3)=MONTH($B$6),$B$5=1),('CAPEX'!$B$82+'CAPEX'!$B$85+'CAPEX'!$B$86)*'Вводные'!$B$30,0)+IF(AND(YEAR(DG$3)=YEAR($B$7),MONTH(DG$3)=MONTH($B$7),$B$5=1),'Вводные'!$B$26*'Вводные'!$V$90*'Вводные'!$B$30,0)</x:f>
      </x:c>
      <x:c r="DH57" s="117">
        <x:f>IF(AND(YEAR(DH$3)=YEAR($B$6),MONTH(DH$3)=MONTH($B$6),$B$5=1),('CAPEX'!$B$82+'CAPEX'!$B$85+'CAPEX'!$B$86)*'Вводные'!$B$30,0)+IF(AND(YEAR(DH$3)=YEAR($B$7),MONTH(DH$3)=MONTH($B$7),$B$5=1),'Вводные'!$B$26*'Вводные'!$V$90*'Вводные'!$B$30,0)</x:f>
      </x:c>
      <x:c r="DI57" s="117">
        <x:f>IF(AND(YEAR(DI$3)=YEAR($B$6),MONTH(DI$3)=MONTH($B$6),$B$5=1),('CAPEX'!$B$82+'CAPEX'!$B$85+'CAPEX'!$B$86)*'Вводные'!$B$30,0)+IF(AND(YEAR(DI$3)=YEAR($B$7),MONTH(DI$3)=MONTH($B$7),$B$5=1),'Вводные'!$B$26*'Вводные'!$V$90*'Вводные'!$B$30,0)</x:f>
      </x:c>
      <x:c r="DJ57" s="117">
        <x:f>IF(AND(YEAR(DJ$3)=YEAR($B$6),MONTH(DJ$3)=MONTH($B$6),$B$5=1),('CAPEX'!$B$82+'CAPEX'!$B$85+'CAPEX'!$B$86)*'Вводные'!$B$30,0)+IF(AND(YEAR(DJ$3)=YEAR($B$7),MONTH(DJ$3)=MONTH($B$7),$B$5=1),'Вводные'!$B$26*'Вводные'!$V$90*'Вводные'!$B$30,0)</x:f>
      </x:c>
      <x:c r="DK57" s="117">
        <x:f>IF(AND(YEAR(DK$3)=YEAR($B$6),MONTH(DK$3)=MONTH($B$6),$B$5=1),('CAPEX'!$B$82+'CAPEX'!$B$85+'CAPEX'!$B$86)*'Вводные'!$B$30,0)+IF(AND(YEAR(DK$3)=YEAR($B$7),MONTH(DK$3)=MONTH($B$7),$B$5=1),'Вводные'!$B$26*'Вводные'!$V$90*'Вводные'!$B$30,0)</x:f>
      </x:c>
      <x:c r="DL57" s="117">
        <x:f>IF(AND(YEAR(DL$3)=YEAR($B$6),MONTH(DL$3)=MONTH($B$6),$B$5=1),('CAPEX'!$B$82+'CAPEX'!$B$85+'CAPEX'!$B$86)*'Вводные'!$B$30,0)+IF(AND(YEAR(DL$3)=YEAR($B$7),MONTH(DL$3)=MONTH($B$7),$B$5=1),'Вводные'!$B$26*'Вводные'!$V$90*'Вводные'!$B$30,0)</x:f>
      </x:c>
      <x:c r="DM57" s="117">
        <x:f>IF(AND(YEAR(DM$3)=YEAR($B$6),MONTH(DM$3)=MONTH($B$6),$B$5=1),('CAPEX'!$B$82+'CAPEX'!$B$85+'CAPEX'!$B$86)*'Вводные'!$B$30,0)+IF(AND(YEAR(DM$3)=YEAR($B$7),MONTH(DM$3)=MONTH($B$7),$B$5=1),'Вводные'!$B$26*'Вводные'!$V$90*'Вводные'!$B$30,0)</x:f>
      </x:c>
      <x:c r="DN57" s="117">
        <x:f>IF(AND(YEAR(DN$3)=YEAR($B$6),MONTH(DN$3)=MONTH($B$6),$B$5=1),('CAPEX'!$B$82+'CAPEX'!$B$85+'CAPEX'!$B$86)*'Вводные'!$B$30,0)+IF(AND(YEAR(DN$3)=YEAR($B$7),MONTH(DN$3)=MONTH($B$7),$B$5=1),'Вводные'!$B$26*'Вводные'!$V$90*'Вводные'!$B$30,0)</x:f>
      </x:c>
      <x:c r="DO57" s="117">
        <x:f>IF(AND(YEAR(DO$3)=YEAR($B$6),MONTH(DO$3)=MONTH($B$6),$B$5=1),('CAPEX'!$B$82+'CAPEX'!$B$85+'CAPEX'!$B$86)*'Вводные'!$B$30,0)+IF(AND(YEAR(DO$3)=YEAR($B$7),MONTH(DO$3)=MONTH($B$7),$B$5=1),'Вводные'!$B$26*'Вводные'!$V$90*'Вводные'!$B$30,0)</x:f>
      </x:c>
      <x:c r="DP57" s="117">
        <x:f>IF(AND(YEAR(DP$3)=YEAR($B$6),MONTH(DP$3)=MONTH($B$6),$B$5=1),('CAPEX'!$B$82+'CAPEX'!$B$85+'CAPEX'!$B$86)*'Вводные'!$B$30,0)+IF(AND(YEAR(DP$3)=YEAR($B$7),MONTH(DP$3)=MONTH($B$7),$B$5=1),'Вводные'!$B$26*'Вводные'!$V$90*'Вводные'!$B$30,0)</x:f>
      </x:c>
      <x:c r="DQ57" s="117">
        <x:f>IF(AND(YEAR(DQ$3)=YEAR($B$6),MONTH(DQ$3)=MONTH($B$6),$B$5=1),('CAPEX'!$B$82+'CAPEX'!$B$85+'CAPEX'!$B$86)*'Вводные'!$B$30,0)+IF(AND(YEAR(DQ$3)=YEAR($B$7),MONTH(DQ$3)=MONTH($B$7),$B$5=1),'Вводные'!$B$26*'Вводные'!$V$90*'Вводные'!$B$30,0)</x:f>
      </x:c>
      <x:c r="DR57" s="117">
        <x:f>IF(AND(YEAR(DR$3)=YEAR($B$6),MONTH(DR$3)=MONTH($B$6),$B$5=1),('CAPEX'!$B$82+'CAPEX'!$B$85+'CAPEX'!$B$86)*'Вводные'!$B$30,0)+IF(AND(YEAR(DR$3)=YEAR($B$7),MONTH(DR$3)=MONTH($B$7),$B$5=1),'Вводные'!$B$26*'Вводные'!$V$90*'Вводные'!$B$30,0)</x:f>
      </x:c>
      <x:c r="DS57" s="117">
        <x:f>IF(AND(YEAR(DS$3)=YEAR($B$6),MONTH(DS$3)=MONTH($B$6),$B$5=1),('CAPEX'!$B$82+'CAPEX'!$B$85+'CAPEX'!$B$86)*'Вводные'!$B$30,0)+IF(AND(YEAR(DS$3)=YEAR($B$7),MONTH(DS$3)=MONTH($B$7),$B$5=1),'Вводные'!$B$26*'Вводные'!$V$90*'Вводные'!$B$30,0)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SUM('CF_1'!D43,'CF_2'!D43,'CF_3'!D43,'CF_4'!D43,'CF_1'!D57,'CF_2'!D57,'CF_3'!D57,'CF_4'!D57)</x:f>
      </x:c>
      <x:c r="E21" s="117" t="n">
        <x:f>SUM('CF_1'!E43,'CF_2'!E43,'CF_3'!E43,'CF_4'!E43,'CF_1'!E57,'CF_2'!E57,'CF_3'!E57,'CF_4'!E57)</x:f>
      </x:c>
      <x:c r="F21" s="117" t="n">
        <x:f>SUM('CF_1'!F43,'CF_2'!F43,'CF_3'!F43,'CF_4'!F43,'CF_1'!F57,'CF_2'!F57,'CF_3'!F57,'CF_4'!F57)</x:f>
      </x:c>
      <x:c r="G21" s="117" t="n">
        <x:f>SUM('CF_1'!G43,'CF_2'!G43,'CF_3'!G43,'CF_4'!G43,'CF_1'!G57,'CF_2'!G57,'CF_3'!G57,'CF_4'!G57)</x:f>
      </x:c>
      <x:c r="H21" s="117" t="n">
        <x:f>SUM('CF_1'!H43,'CF_2'!H43,'CF_3'!H43,'CF_4'!H43,'CF_1'!H57,'CF_2'!H57,'CF_3'!H57,'CF_4'!H57)</x:f>
      </x:c>
      <x:c r="I21" s="117" t="n">
        <x:f>SUM('CF_1'!I43,'CF_2'!I43,'CF_3'!I43,'CF_4'!I43,'CF_1'!I57,'CF_2'!I57,'CF_3'!I57,'CF_4'!I57)</x:f>
      </x:c>
      <x:c r="J21" s="117" t="n">
        <x:f>SUM('CF_1'!J43,'CF_2'!J43,'CF_3'!J43,'CF_4'!J43,'CF_1'!J57,'CF_2'!J57,'CF_3'!J57,'CF_4'!J57)</x:f>
      </x:c>
      <x:c r="K21" s="117" t="n">
        <x:f>SUM('CF_1'!K43,'CF_2'!K43,'CF_3'!K43,'CF_4'!K43,'CF_1'!K57,'CF_2'!K57,'CF_3'!K57,'CF_4'!K57)</x:f>
      </x:c>
      <x:c r="L21" s="117" t="n">
        <x:f>SUM('CF_1'!L43,'CF_2'!L43,'CF_3'!L43,'CF_4'!L43,'CF_1'!L57,'CF_2'!L57,'CF_3'!L57,'CF_4'!L57)</x:f>
      </x:c>
      <x:c r="M21" s="117" t="n">
        <x:f>SUM('CF_1'!M43,'CF_2'!M43,'CF_3'!M43,'CF_4'!M43,'CF_1'!M57,'CF_2'!M57,'CF_3'!M57,'CF_4'!M57)</x:f>
      </x:c>
      <x:c r="N21" s="117" t="n">
        <x:f>SUM('CF_1'!N43,'CF_2'!N43,'CF_3'!N43,'CF_4'!N43,'CF_1'!N57,'CF_2'!N57,'CF_3'!N57,'CF_4'!N57)</x:f>
      </x:c>
      <x:c r="O21" s="117" t="n">
        <x:f>SUM('CF_1'!O43,'CF_2'!O43,'CF_3'!O43,'CF_4'!O43,'CF_1'!O57,'CF_2'!O57,'CF_3'!O57,'CF_4'!O57)</x:f>
      </x:c>
      <x:c r="P21" s="117" t="n">
        <x:f>SUM('CF_1'!P43,'CF_2'!P43,'CF_3'!P43,'CF_4'!P43,'CF_1'!P57,'CF_2'!P57,'CF_3'!P57,'CF_4'!P57)</x:f>
      </x:c>
      <x:c r="Q21" s="117" t="n">
        <x:f>SUM('CF_1'!Q43,'CF_2'!Q43,'CF_3'!Q43,'CF_4'!Q43,'CF_1'!Q57,'CF_2'!Q57,'CF_3'!Q57,'CF_4'!Q57)</x:f>
      </x:c>
      <x:c r="R21" s="117" t="n">
        <x:f>SUM('CF_1'!R43,'CF_2'!R43,'CF_3'!R43,'CF_4'!R43,'CF_1'!R57,'CF_2'!R57,'CF_3'!R57,'CF_4'!R57)</x:f>
      </x:c>
      <x:c r="S21" s="117" t="n">
        <x:f>SUM('CF_1'!S43,'CF_2'!S43,'CF_3'!S43,'CF_4'!S43,'CF_1'!S57,'CF_2'!S57,'CF_3'!S57,'CF_4'!S57)</x:f>
      </x:c>
      <x:c r="T21" s="117" t="n">
        <x:f>SUM('CF_1'!T43,'CF_2'!T43,'CF_3'!T43,'CF_4'!T43,'CF_1'!T57,'CF_2'!T57,'CF_3'!T57,'CF_4'!T57)</x:f>
      </x:c>
      <x:c r="U21" s="117" t="n">
        <x:f>SUM('CF_1'!U43,'CF_2'!U43,'CF_3'!U43,'CF_4'!U43,'CF_1'!U57,'CF_2'!U57,'CF_3'!U57,'CF_4'!U57)</x:f>
      </x:c>
      <x:c r="V21" s="117" t="n">
        <x:f>SUM('CF_1'!V43,'CF_2'!V43,'CF_3'!V43,'CF_4'!V43,'CF_1'!V57,'CF_2'!V57,'CF_3'!V57,'CF_4'!V57)</x:f>
      </x:c>
      <x:c r="W21" s="117" t="n">
        <x:f>SUM('CF_1'!W43,'CF_2'!W43,'CF_3'!W43,'CF_4'!W43,'CF_1'!W57,'CF_2'!W57,'CF_3'!W57,'CF_4'!W57)</x:f>
      </x:c>
      <x:c r="X21" s="117" t="n">
        <x:f>SUM('CF_1'!X43,'CF_2'!X43,'CF_3'!X43,'CF_4'!X43,'CF_1'!X57,'CF_2'!X57,'CF_3'!X57,'CF_4'!X57)</x:f>
      </x:c>
      <x:c r="Y21" s="117" t="n">
        <x:f>SUM('CF_1'!Y43,'CF_2'!Y43,'CF_3'!Y43,'CF_4'!Y43,'CF_1'!Y57,'CF_2'!Y57,'CF_3'!Y57,'CF_4'!Y57)</x:f>
      </x:c>
      <x:c r="Z21" s="117" t="n">
        <x:f>SUM('CF_1'!Z43,'CF_2'!Z43,'CF_3'!Z43,'CF_4'!Z43,'CF_1'!Z57,'CF_2'!Z57,'CF_3'!Z57,'CF_4'!Z57)</x:f>
      </x:c>
      <x:c r="AA21" s="117" t="n">
        <x:f>SUM('CF_1'!AA43,'CF_2'!AA43,'CF_3'!AA43,'CF_4'!AA43,'CF_1'!AA57,'CF_2'!AA57,'CF_3'!AA57,'CF_4'!AA57)</x:f>
      </x:c>
      <x:c r="AB21" s="117" t="n">
        <x:f>SUM('CF_1'!AB43,'CF_2'!AB43,'CF_3'!AB43,'CF_4'!AB43,'CF_1'!AB57,'CF_2'!AB57,'CF_3'!AB57,'CF_4'!AB57)</x:f>
      </x:c>
      <x:c r="AC21" s="117" t="n">
        <x:f>SUM('CF_1'!AC43,'CF_2'!AC43,'CF_3'!AC43,'CF_4'!AC43,'CF_1'!AC57,'CF_2'!AC57,'CF_3'!AC57,'CF_4'!AC57)</x:f>
      </x:c>
      <x:c r="AD21" s="117" t="n">
        <x:f>SUM('CF_1'!AD43,'CF_2'!AD43,'CF_3'!AD43,'CF_4'!AD43,'CF_1'!AD57,'CF_2'!AD57,'CF_3'!AD57,'CF_4'!AD57)</x:f>
      </x:c>
      <x:c r="AE21" s="117" t="n">
        <x:f>SUM('CF_1'!AE43,'CF_2'!AE43,'CF_3'!AE43,'CF_4'!AE43,'CF_1'!AE57,'CF_2'!AE57,'CF_3'!AE57,'CF_4'!AE57)</x:f>
      </x:c>
      <x:c r="AF21" s="117" t="n">
        <x:f>SUM('CF_1'!AF43,'CF_2'!AF43,'CF_3'!AF43,'CF_4'!AF43,'CF_1'!AF57,'CF_2'!AF57,'CF_3'!AF57,'CF_4'!AF57)</x:f>
      </x:c>
      <x:c r="AG21" s="117" t="n">
        <x:f>SUM('CF_1'!AG43,'CF_2'!AG43,'CF_3'!AG43,'CF_4'!AG43,'CF_1'!AG57,'CF_2'!AG57,'CF_3'!AG57,'CF_4'!AG57)</x:f>
      </x:c>
      <x:c r="AH21" s="117" t="n">
        <x:f>SUM('CF_1'!AH43,'CF_2'!AH43,'CF_3'!AH43,'CF_4'!AH43,'CF_1'!AH57,'CF_2'!AH57,'CF_3'!AH57,'CF_4'!AH57)</x:f>
      </x:c>
      <x:c r="AI21" s="117" t="n">
        <x:f>SUM('CF_1'!AI43,'CF_2'!AI43,'CF_3'!AI43,'CF_4'!AI43,'CF_1'!AI57,'CF_2'!AI57,'CF_3'!AI57,'CF_4'!AI57)</x:f>
      </x:c>
      <x:c r="AJ21" s="117" t="n">
        <x:f>SUM('CF_1'!AJ43,'CF_2'!AJ43,'CF_3'!AJ43,'CF_4'!AJ43,'CF_1'!AJ57,'CF_2'!AJ57,'CF_3'!AJ57,'CF_4'!AJ57)</x:f>
      </x:c>
      <x:c r="AK21" s="117" t="n">
        <x:f>SUM('CF_1'!AK43,'CF_2'!AK43,'CF_3'!AK43,'CF_4'!AK43,'CF_1'!AK57,'CF_2'!AK57,'CF_3'!AK57,'CF_4'!AK57)</x:f>
      </x:c>
      <x:c r="AL21" s="117" t="n">
        <x:f>SUM('CF_1'!AL43,'CF_2'!AL43,'CF_3'!AL43,'CF_4'!AL43,'CF_1'!AL57,'CF_2'!AL57,'CF_3'!AL57,'CF_4'!AL57)</x:f>
      </x:c>
      <x:c r="AM21" s="117" t="n">
        <x:f>SUM('CF_1'!AM43,'CF_2'!AM43,'CF_3'!AM43,'CF_4'!AM43,'CF_1'!AM57,'CF_2'!AM57,'CF_3'!AM57,'CF_4'!AM57)</x:f>
      </x:c>
      <x:c r="AN21" s="117" t="n">
        <x:f>SUM('CF_1'!AN43,'CF_2'!AN43,'CF_3'!AN43,'CF_4'!AN43,'CF_1'!AN57,'CF_2'!AN57,'CF_3'!AN57,'CF_4'!AN57)</x:f>
      </x:c>
      <x:c r="AO21" s="117" t="n">
        <x:f>SUM('CF_1'!AO43,'CF_2'!AO43,'CF_3'!AO43,'CF_4'!AO43,'CF_1'!AO57,'CF_2'!AO57,'CF_3'!AO57,'CF_4'!AO57)</x:f>
      </x:c>
      <x:c r="AP21" s="117" t="n">
        <x:f>SUM('CF_1'!AP43,'CF_2'!AP43,'CF_3'!AP43,'CF_4'!AP43,'CF_1'!AP57,'CF_2'!AP57,'CF_3'!AP57,'CF_4'!AP57)</x:f>
      </x:c>
      <x:c r="AQ21" s="117" t="n">
        <x:f>SUM('CF_1'!AQ43,'CF_2'!AQ43,'CF_3'!AQ43,'CF_4'!AQ43,'CF_1'!AQ57,'CF_2'!AQ57,'CF_3'!AQ57,'CF_4'!AQ57)</x:f>
      </x:c>
      <x:c r="AR21" s="117" t="n">
        <x:f>SUM('CF_1'!AR43,'CF_2'!AR43,'CF_3'!AR43,'CF_4'!AR43,'CF_1'!AR57,'CF_2'!AR57,'CF_3'!AR57,'CF_4'!AR57)</x:f>
      </x:c>
      <x:c r="AS21" s="117" t="n">
        <x:f>SUM('CF_1'!AS43,'CF_2'!AS43,'CF_3'!AS43,'CF_4'!AS43,'CF_1'!AS57,'CF_2'!AS57,'CF_3'!AS57,'CF_4'!AS57)</x:f>
      </x:c>
      <x:c r="AT21" s="117" t="n">
        <x:f>SUM('CF_1'!AT43,'CF_2'!AT43,'CF_3'!AT43,'CF_4'!AT43,'CF_1'!AT57,'CF_2'!AT57,'CF_3'!AT57,'CF_4'!AT57)</x:f>
      </x:c>
      <x:c r="AU21" s="117" t="n">
        <x:f>SUM('CF_1'!AU43,'CF_2'!AU43,'CF_3'!AU43,'CF_4'!AU43,'CF_1'!AU57,'CF_2'!AU57,'CF_3'!AU57,'CF_4'!AU57)</x:f>
      </x:c>
      <x:c r="AV21" s="117" t="n">
        <x:f>SUM('CF_1'!AV43,'CF_2'!AV43,'CF_3'!AV43,'CF_4'!AV43,'CF_1'!AV57,'CF_2'!AV57,'CF_3'!AV57,'CF_4'!AV57)</x:f>
      </x:c>
      <x:c r="AW21" s="117" t="n">
        <x:f>SUM('CF_1'!AW43,'CF_2'!AW43,'CF_3'!AW43,'CF_4'!AW43,'CF_1'!AW57,'CF_2'!AW57,'CF_3'!AW57,'CF_4'!AW57)</x:f>
      </x:c>
      <x:c r="AX21" s="117" t="n">
        <x:f>SUM('CF_1'!AX43,'CF_2'!AX43,'CF_3'!AX43,'CF_4'!AX43,'CF_1'!AX57,'CF_2'!AX57,'CF_3'!AX57,'CF_4'!AX57)</x:f>
      </x:c>
      <x:c r="AY21" s="117" t="n">
        <x:f>SUM('CF_1'!AY43,'CF_2'!AY43,'CF_3'!AY43,'CF_4'!AY43,'CF_1'!AY57,'CF_2'!AY57,'CF_3'!AY57,'CF_4'!AY57)</x:f>
      </x:c>
      <x:c r="AZ21" s="117" t="n">
        <x:f>SUM('CF_1'!AZ43,'CF_2'!AZ43,'CF_3'!AZ43,'CF_4'!AZ43,'CF_1'!AZ57,'CF_2'!AZ57,'CF_3'!AZ57,'CF_4'!AZ57)</x:f>
      </x:c>
      <x:c r="BA21" s="117" t="n">
        <x:f>SUM('CF_1'!BA43,'CF_2'!BA43,'CF_3'!BA43,'CF_4'!BA43,'CF_1'!BA57,'CF_2'!BA57,'CF_3'!BA57,'CF_4'!BA57)</x:f>
      </x:c>
      <x:c r="BB21" s="117" t="n">
        <x:f>SUM('CF_1'!BB43,'CF_2'!BB43,'CF_3'!BB43,'CF_4'!BB43,'CF_1'!BB57,'CF_2'!BB57,'CF_3'!BB57,'CF_4'!BB57)</x:f>
      </x:c>
      <x:c r="BC21" s="117" t="n">
        <x:f>SUM('CF_1'!BC43,'CF_2'!BC43,'CF_3'!BC43,'CF_4'!BC43,'CF_1'!BC57,'CF_2'!BC57,'CF_3'!BC57,'CF_4'!BC57)</x:f>
      </x:c>
      <x:c r="BD21" s="117" t="n">
        <x:f>SUM('CF_1'!BD43,'CF_2'!BD43,'CF_3'!BD43,'CF_4'!BD43,'CF_1'!BD57,'CF_2'!BD57,'CF_3'!BD57,'CF_4'!BD57)</x:f>
      </x:c>
      <x:c r="BE21" s="117" t="n">
        <x:f>SUM('CF_1'!BE43,'CF_2'!BE43,'CF_3'!BE43,'CF_4'!BE43,'CF_1'!BE57,'CF_2'!BE57,'CF_3'!BE57,'CF_4'!BE57)</x:f>
      </x:c>
      <x:c r="BF21" s="117" t="n">
        <x:f>SUM('CF_1'!BF43,'CF_2'!BF43,'CF_3'!BF43,'CF_4'!BF43,'CF_1'!BF57,'CF_2'!BF57,'CF_3'!BF57,'CF_4'!BF57)</x:f>
      </x:c>
      <x:c r="BG21" s="117" t="n">
        <x:f>SUM('CF_1'!BG43,'CF_2'!BG43,'CF_3'!BG43,'CF_4'!BG43,'CF_1'!BG57,'CF_2'!BG57,'CF_3'!BG57,'CF_4'!BG57)</x:f>
      </x:c>
      <x:c r="BH21" s="117" t="n">
        <x:f>SUM('CF_1'!BH43,'CF_2'!BH43,'CF_3'!BH43,'CF_4'!BH43,'CF_1'!BH57,'CF_2'!BH57,'CF_3'!BH57,'CF_4'!BH57)</x:f>
      </x:c>
      <x:c r="BI21" s="117" t="n">
        <x:f>SUM('CF_1'!BI43,'CF_2'!BI43,'CF_3'!BI43,'CF_4'!BI43,'CF_1'!BI57,'CF_2'!BI57,'CF_3'!BI57,'CF_4'!BI57)</x:f>
      </x:c>
      <x:c r="BJ21" s="117" t="n">
        <x:f>SUM('CF_1'!BJ43,'CF_2'!BJ43,'CF_3'!BJ43,'CF_4'!BJ43,'CF_1'!BJ57,'CF_2'!BJ57,'CF_3'!BJ57,'CF_4'!BJ57)</x:f>
      </x:c>
      <x:c r="BK21" s="117" t="n">
        <x:f>SUM('CF_1'!BK43,'CF_2'!BK43,'CF_3'!BK43,'CF_4'!BK43,'CF_1'!BK57,'CF_2'!BK57,'CF_3'!BK57,'CF_4'!BK57)</x:f>
      </x:c>
      <x:c r="BL21" s="117" t="n">
        <x:f>SUM('CF_1'!BL43,'CF_2'!BL43,'CF_3'!BL43,'CF_4'!BL43,'CF_1'!BL57,'CF_2'!BL57,'CF_3'!BL57,'CF_4'!BL57)</x:f>
      </x:c>
      <x:c r="BM21" s="117" t="n">
        <x:f>SUM('CF_1'!BM43,'CF_2'!BM43,'CF_3'!BM43,'CF_4'!BM43,'CF_1'!BM57,'CF_2'!BM57,'CF_3'!BM57,'CF_4'!BM57)</x:f>
      </x:c>
      <x:c r="BN21" s="117" t="n">
        <x:f>SUM('CF_1'!BN43,'CF_2'!BN43,'CF_3'!BN43,'CF_4'!BN43,'CF_1'!BN57,'CF_2'!BN57,'CF_3'!BN57,'CF_4'!BN57)</x:f>
      </x:c>
      <x:c r="BO21" s="117" t="n">
        <x:f>SUM('CF_1'!BO43,'CF_2'!BO43,'CF_3'!BO43,'CF_4'!BO43,'CF_1'!BO57,'CF_2'!BO57,'CF_3'!BO57,'CF_4'!BO57)</x:f>
      </x:c>
      <x:c r="BP21" s="117" t="n">
        <x:f>SUM('CF_1'!BP43,'CF_2'!BP43,'CF_3'!BP43,'CF_4'!BP43,'CF_1'!BP57,'CF_2'!BP57,'CF_3'!BP57,'CF_4'!BP57)</x:f>
      </x:c>
      <x:c r="BQ21" s="117" t="n">
        <x:f>SUM('CF_1'!BQ43,'CF_2'!BQ43,'CF_3'!BQ43,'CF_4'!BQ43,'CF_1'!BQ57,'CF_2'!BQ57,'CF_3'!BQ57,'CF_4'!BQ57)</x:f>
      </x:c>
      <x:c r="BR21" s="117" t="n">
        <x:f>SUM('CF_1'!BR43,'CF_2'!BR43,'CF_3'!BR43,'CF_4'!BR43,'CF_1'!BR57,'CF_2'!BR57,'CF_3'!BR57,'CF_4'!BR57)</x:f>
      </x:c>
      <x:c r="BS21" s="117" t="n">
        <x:f>SUM('CF_1'!BS43,'CF_2'!BS43,'CF_3'!BS43,'CF_4'!BS43,'CF_1'!BS57,'CF_2'!BS57,'CF_3'!BS57,'CF_4'!BS57)</x:f>
      </x:c>
      <x:c r="BT21" s="117" t="n">
        <x:f>SUM('CF_1'!BT43,'CF_2'!BT43,'CF_3'!BT43,'CF_4'!BT43,'CF_1'!BT57,'CF_2'!BT57,'CF_3'!BT57,'CF_4'!BT57)</x:f>
      </x:c>
      <x:c r="BU21" s="117" t="n">
        <x:f>SUM('CF_1'!BU43,'CF_2'!BU43,'CF_3'!BU43,'CF_4'!BU43,'CF_1'!BU57,'CF_2'!BU57,'CF_3'!BU57,'CF_4'!BU57)</x:f>
      </x:c>
      <x:c r="BV21" s="117" t="n">
        <x:f>SUM('CF_1'!BV43,'CF_2'!BV43,'CF_3'!BV43,'CF_4'!BV43,'CF_1'!BV57,'CF_2'!BV57,'CF_3'!BV57,'CF_4'!BV57)</x:f>
      </x:c>
      <x:c r="BW21" s="117" t="n">
        <x:f>SUM('CF_1'!BW43,'CF_2'!BW43,'CF_3'!BW43,'CF_4'!BW43,'CF_1'!BW57,'CF_2'!BW57,'CF_3'!BW57,'CF_4'!BW57)</x:f>
      </x:c>
      <x:c r="BX21" s="117" t="n">
        <x:f>SUM('CF_1'!BX43,'CF_2'!BX43,'CF_3'!BX43,'CF_4'!BX43,'CF_1'!BX57,'CF_2'!BX57,'CF_3'!BX57,'CF_4'!BX57)</x:f>
      </x:c>
      <x:c r="BY21" s="117" t="n">
        <x:f>SUM('CF_1'!BY43,'CF_2'!BY43,'CF_3'!BY43,'CF_4'!BY43,'CF_1'!BY57,'CF_2'!BY57,'CF_3'!BY57,'CF_4'!BY57)</x:f>
      </x:c>
      <x:c r="BZ21" s="117" t="n">
        <x:f>SUM('CF_1'!BZ43,'CF_2'!BZ43,'CF_3'!BZ43,'CF_4'!BZ43,'CF_1'!BZ57,'CF_2'!BZ57,'CF_3'!BZ57,'CF_4'!BZ57)</x:f>
      </x:c>
      <x:c r="CA21" s="117" t="n">
        <x:f>SUM('CF_1'!CA43,'CF_2'!CA43,'CF_3'!CA43,'CF_4'!CA43,'CF_1'!CA57,'CF_2'!CA57,'CF_3'!CA57,'CF_4'!CA57)</x:f>
      </x:c>
      <x:c r="CB21" s="117" t="n">
        <x:f>SUM('CF_1'!CB43,'CF_2'!CB43,'CF_3'!CB43,'CF_4'!CB43,'CF_1'!CB57,'CF_2'!CB57,'CF_3'!CB57,'CF_4'!CB57)</x:f>
      </x:c>
      <x:c r="CC21" s="117" t="n">
        <x:f>SUM('CF_1'!CC43,'CF_2'!CC43,'CF_3'!CC43,'CF_4'!CC43,'CF_1'!CC57,'CF_2'!CC57,'CF_3'!CC57,'CF_4'!CC57)</x:f>
      </x:c>
      <x:c r="CD21" s="117" t="n">
        <x:f>SUM('CF_1'!CD43,'CF_2'!CD43,'CF_3'!CD43,'CF_4'!CD43,'CF_1'!CD57,'CF_2'!CD57,'CF_3'!CD57,'CF_4'!CD57)</x:f>
      </x:c>
      <x:c r="CE21" s="117" t="n">
        <x:f>SUM('CF_1'!CE43,'CF_2'!CE43,'CF_3'!CE43,'CF_4'!CE43,'CF_1'!CE57,'CF_2'!CE57,'CF_3'!CE57,'CF_4'!CE57)</x:f>
      </x:c>
      <x:c r="CF21" s="117" t="n">
        <x:f>SUM('CF_1'!CF43,'CF_2'!CF43,'CF_3'!CF43,'CF_4'!CF43,'CF_1'!CF57,'CF_2'!CF57,'CF_3'!CF57,'CF_4'!CF57)</x:f>
      </x:c>
      <x:c r="CG21" s="117" t="n">
        <x:f>SUM('CF_1'!CG43,'CF_2'!CG43,'CF_3'!CG43,'CF_4'!CG43,'CF_1'!CG57,'CF_2'!CG57,'CF_3'!CG57,'CF_4'!CG57)</x:f>
      </x:c>
      <x:c r="CH21" s="117" t="n">
        <x:f>SUM('CF_1'!CH43,'CF_2'!CH43,'CF_3'!CH43,'CF_4'!CH43,'CF_1'!CH57,'CF_2'!CH57,'CF_3'!CH57,'CF_4'!CH57)</x:f>
      </x:c>
      <x:c r="CI21" s="117" t="n">
        <x:f>SUM('CF_1'!CI43,'CF_2'!CI43,'CF_3'!CI43,'CF_4'!CI43,'CF_1'!CI57,'CF_2'!CI57,'CF_3'!CI57,'CF_4'!CI57)</x:f>
      </x:c>
      <x:c r="CJ21" s="117" t="n">
        <x:f>SUM('CF_1'!CJ43,'CF_2'!CJ43,'CF_3'!CJ43,'CF_4'!CJ43,'CF_1'!CJ57,'CF_2'!CJ57,'CF_3'!CJ57,'CF_4'!CJ57)</x:f>
      </x:c>
      <x:c r="CK21" s="117" t="n">
        <x:f>SUM('CF_1'!CK43,'CF_2'!CK43,'CF_3'!CK43,'CF_4'!CK43,'CF_1'!CK57,'CF_2'!CK57,'CF_3'!CK57,'CF_4'!CK57)</x:f>
      </x:c>
      <x:c r="CL21" s="117" t="n">
        <x:f>SUM('CF_1'!CL43,'CF_2'!CL43,'CF_3'!CL43,'CF_4'!CL43,'CF_1'!CL57,'CF_2'!CL57,'CF_3'!CL57,'CF_4'!CL57)</x:f>
      </x:c>
      <x:c r="CM21" s="117" t="n">
        <x:f>SUM('CF_1'!CM43,'CF_2'!CM43,'CF_3'!CM43,'CF_4'!CM43,'CF_1'!CM57,'CF_2'!CM57,'CF_3'!CM57,'CF_4'!CM57)</x:f>
      </x:c>
      <x:c r="CN21" s="117" t="n">
        <x:f>SUM('CF_1'!CN43,'CF_2'!CN43,'CF_3'!CN43,'CF_4'!CN43,'CF_1'!CN57,'CF_2'!CN57,'CF_3'!CN57,'CF_4'!CN57)</x:f>
      </x:c>
      <x:c r="CO21" s="117" t="n">
        <x:f>SUM('CF_1'!CO43,'CF_2'!CO43,'CF_3'!CO43,'CF_4'!CO43,'CF_1'!CO57,'CF_2'!CO57,'CF_3'!CO57,'CF_4'!CO57)</x:f>
      </x:c>
      <x:c r="CP21" s="117" t="n">
        <x:f>SUM('CF_1'!CP43,'CF_2'!CP43,'CF_3'!CP43,'CF_4'!CP43,'CF_1'!CP57,'CF_2'!CP57,'CF_3'!CP57,'CF_4'!CP57)</x:f>
      </x:c>
      <x:c r="CQ21" s="117" t="n">
        <x:f>SUM('CF_1'!CQ43,'CF_2'!CQ43,'CF_3'!CQ43,'CF_4'!CQ43,'CF_1'!CQ57,'CF_2'!CQ57,'CF_3'!CQ57,'CF_4'!CQ57)</x:f>
      </x:c>
      <x:c r="CR21" s="117" t="n">
        <x:f>SUM('CF_1'!CR43,'CF_2'!CR43,'CF_3'!CR43,'CF_4'!CR43,'CF_1'!CR57,'CF_2'!CR57,'CF_3'!CR57,'CF_4'!CR57)</x:f>
      </x:c>
      <x:c r="CS21" s="117" t="n">
        <x:f>SUM('CF_1'!CS43,'CF_2'!CS43,'CF_3'!CS43,'CF_4'!CS43,'CF_1'!CS57,'CF_2'!CS57,'CF_3'!CS57,'CF_4'!CS57)</x:f>
      </x:c>
      <x:c r="CT21" s="117" t="n">
        <x:f>SUM('CF_1'!CT43,'CF_2'!CT43,'CF_3'!CT43,'CF_4'!CT43,'CF_1'!CT57,'CF_2'!CT57,'CF_3'!CT57,'CF_4'!CT57)</x:f>
      </x:c>
      <x:c r="CU21" s="117" t="n">
        <x:f>SUM('CF_1'!CU43,'CF_2'!CU43,'CF_3'!CU43,'CF_4'!CU43,'CF_1'!CU57,'CF_2'!CU57,'CF_3'!CU57,'CF_4'!CU57)</x:f>
      </x:c>
      <x:c r="CV21" s="117" t="n">
        <x:f>SUM('CF_1'!CV43,'CF_2'!CV43,'CF_3'!CV43,'CF_4'!CV43,'CF_1'!CV57,'CF_2'!CV57,'CF_3'!CV57,'CF_4'!CV57)</x:f>
      </x:c>
      <x:c r="CW21" s="117" t="n">
        <x:f>SUM('CF_1'!CW43,'CF_2'!CW43,'CF_3'!CW43,'CF_4'!CW43,'CF_1'!CW57,'CF_2'!CW57,'CF_3'!CW57,'CF_4'!CW57)</x:f>
      </x:c>
      <x:c r="CX21" s="117" t="n">
        <x:f>SUM('CF_1'!CX43,'CF_2'!CX43,'CF_3'!CX43,'CF_4'!CX43,'CF_1'!CX57,'CF_2'!CX57,'CF_3'!CX57,'CF_4'!CX57)</x:f>
      </x:c>
      <x:c r="CY21" s="117" t="n">
        <x:f>SUM('CF_1'!CY43,'CF_2'!CY43,'CF_3'!CY43,'CF_4'!CY43,'CF_1'!CY57,'CF_2'!CY57,'CF_3'!CY57,'CF_4'!CY57)</x:f>
      </x:c>
      <x:c r="CZ21" s="117" t="n">
        <x:f>SUM('CF_1'!CZ43,'CF_2'!CZ43,'CF_3'!CZ43,'CF_4'!CZ43,'CF_1'!CZ57,'CF_2'!CZ57,'CF_3'!CZ57,'CF_4'!CZ57)</x:f>
      </x:c>
      <x:c r="DA21" s="117" t="n">
        <x:f>SUM('CF_1'!DA43,'CF_2'!DA43,'CF_3'!DA43,'CF_4'!DA43,'CF_1'!DA57,'CF_2'!DA57,'CF_3'!DA57,'CF_4'!DA57)</x:f>
      </x:c>
      <x:c r="DB21" s="117" t="n">
        <x:f>SUM('CF_1'!DB43,'CF_2'!DB43,'CF_3'!DB43,'CF_4'!DB43,'CF_1'!DB57,'CF_2'!DB57,'CF_3'!DB57,'CF_4'!DB57)</x:f>
      </x:c>
      <x:c r="DC21" s="117" t="n">
        <x:f>SUM('CF_1'!DC43,'CF_2'!DC43,'CF_3'!DC43,'CF_4'!DC43,'CF_1'!DC57,'CF_2'!DC57,'CF_3'!DC57,'CF_4'!DC57)</x:f>
      </x:c>
      <x:c r="DD21" s="117" t="n">
        <x:f>SUM('CF_1'!DD43,'CF_2'!DD43,'CF_3'!DD43,'CF_4'!DD43,'CF_1'!DD57,'CF_2'!DD57,'CF_3'!DD57,'CF_4'!DD57)</x:f>
      </x:c>
      <x:c r="DE21" s="117" t="n">
        <x:f>SUM('CF_1'!DE43,'CF_2'!DE43,'CF_3'!DE43,'CF_4'!DE43,'CF_1'!DE57,'CF_2'!DE57,'CF_3'!DE57,'CF_4'!DE57)</x:f>
      </x:c>
      <x:c r="DF21" s="117" t="n">
        <x:f>SUM('CF_1'!DF43,'CF_2'!DF43,'CF_3'!DF43,'CF_4'!DF43,'CF_1'!DF57,'CF_2'!DF57,'CF_3'!DF57,'CF_4'!DF57)</x:f>
      </x:c>
      <x:c r="DG21" s="117" t="n">
        <x:f>SUM('CF_1'!DG43,'CF_2'!DG43,'CF_3'!DG43,'CF_4'!DG43,'CF_1'!DG57,'CF_2'!DG57,'CF_3'!DG57,'CF_4'!DG57)</x:f>
      </x:c>
      <x:c r="DH21" s="117" t="n">
        <x:f>SUM('CF_1'!DH43,'CF_2'!DH43,'CF_3'!DH43,'CF_4'!DH43,'CF_1'!DH57,'CF_2'!DH57,'CF_3'!DH57,'CF_4'!DH57)</x:f>
      </x:c>
      <x:c r="DI21" s="117" t="n">
        <x:f>SUM('CF_1'!DI43,'CF_2'!DI43,'CF_3'!DI43,'CF_4'!DI43,'CF_1'!DI57,'CF_2'!DI57,'CF_3'!DI57,'CF_4'!DI57)</x:f>
      </x:c>
      <x:c r="DJ21" s="117" t="n">
        <x:f>SUM('CF_1'!DJ43,'CF_2'!DJ43,'CF_3'!DJ43,'CF_4'!DJ43,'CF_1'!DJ57,'CF_2'!DJ57,'CF_3'!DJ57,'CF_4'!DJ57)</x:f>
      </x:c>
      <x:c r="DK21" s="117" t="n">
        <x:f>SUM('CF_1'!DK43,'CF_2'!DK43,'CF_3'!DK43,'CF_4'!DK43,'CF_1'!DK57,'CF_2'!DK57,'CF_3'!DK57,'CF_4'!DK57)</x:f>
      </x:c>
      <x:c r="DL21" s="117" t="n">
        <x:f>SUM('CF_1'!DL43,'CF_2'!DL43,'CF_3'!DL43,'CF_4'!DL43,'CF_1'!DL57,'CF_2'!DL57,'CF_3'!DL57,'CF_4'!DL57)</x:f>
      </x:c>
      <x:c r="DM21" s="117" t="n">
        <x:f>SUM('CF_1'!DM43,'CF_2'!DM43,'CF_3'!DM43,'CF_4'!DM43,'CF_1'!DM57,'CF_2'!DM57,'CF_3'!DM57,'CF_4'!DM57)</x:f>
      </x:c>
      <x:c r="DN21" s="117" t="n">
        <x:f>SUM('CF_1'!DN43,'CF_2'!DN43,'CF_3'!DN43,'CF_4'!DN43,'CF_1'!DN57,'CF_2'!DN57,'CF_3'!DN57,'CF_4'!DN57)</x:f>
      </x:c>
      <x:c r="DO21" s="117" t="n">
        <x:f>SUM('CF_1'!DO43,'CF_2'!DO43,'CF_3'!DO43,'CF_4'!DO43,'CF_1'!DO57,'CF_2'!DO57,'CF_3'!DO57,'CF_4'!DO57)</x:f>
      </x:c>
      <x:c r="DP21" s="117" t="n">
        <x:f>SUM('CF_1'!DP43,'CF_2'!DP43,'CF_3'!DP43,'CF_4'!DP43,'CF_1'!DP57,'CF_2'!DP57,'CF_3'!DP57,'CF_4'!DP57)</x:f>
      </x:c>
      <x:c r="DQ21" s="117" t="n">
        <x:f>SUM('CF_1'!DQ43,'CF_2'!DQ43,'CF_3'!DQ43,'CF_4'!DQ43,'CF_1'!DQ57,'CF_2'!DQ57,'CF_3'!DQ57,'CF_4'!DQ57)</x:f>
      </x:c>
      <x:c r="DR21" s="117" t="n">
        <x:f>SUM('CF_1'!DR43,'CF_2'!DR43,'CF_3'!DR43,'CF_4'!DR43,'CF_1'!DR57,'CF_2'!DR57,'CF_3'!DR57,'CF_4'!DR57)</x:f>
      </x:c>
      <x:c r="DS21" s="117" t="n">
        <x:f>SUM('CF_1'!DS43,'CF_2'!DS43,'CF_3'!DS43,'CF_4'!DS43,'CF_1'!DS57,'CF_2'!DS57,'CF_3'!DS57,'CF_4'!DS57)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IFERROR((SUM(D6:DS6)-SUM(D11:DS11)-SUM(D12:DS12)-SUM(D14:DS14)+SUM('CF_1'!D45:DS45,'CF_2'!D45:DS45,'CF_3'!D45:DS45,'CF_4'!D45:DS45))/(SUM('CF_1'!D45:DS45,'CF_2'!D45:DS45,'CF_3'!D45:DS45,'CF_4'!D45:DS45)+SUM(D20:DS20)+SUM(D21:DS21)),0)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IF(COUNTIF(F6:F75,"FAIL")&gt;0,"СБОЙ",IF(COUNTIF(F6:F75,"WARN")&gt;0,"ПРОЙДЕНО С ПРЕДУПРЕЖДЕНИЯМИ","ПРОЙДЕНО"))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$B$3="ПРОЙДЕНО"</x:formula>
    </x:cfRule>
    <x:cfRule type="expression" dxfId="7" priority="8">
      <x:formula>$B$3="ПРОЙДЕНО С ПРЕДУПРЕЖДЕНИЯМИ"</x:formula>
    </x:cfRule>
    <x:cfRule type="expression" dxfId="8" priority="9">
      <x:formula>$B$3="СБОЙ"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IF(AND(D$3&gt;=$B$11,D$3&lt;EDATE($B$11,MAX(1,'Вводные'!$K$33)),AND($B$7="Да",IFERROR(INDEX('Вводные'!$B$88:$B$91,$B$8),"Нет")="Да")),1,0)</x:f>
      </x:c>
      <x:c r="E18" s="35" t="n">
        <x:f>IF(AND(E$3&gt;=$B$11,E$3&lt;EDATE($B$11,MAX(1,'Вводные'!$K$33)),AND($B$7="Да",IFERROR(INDEX('Вводные'!$B$88:$B$91,$B$8),"Нет")="Да")),1,0)</x:f>
      </x:c>
      <x:c r="F18" s="35" t="n">
        <x:f>IF(AND(F$3&gt;=$B$11,F$3&lt;EDATE($B$11,MAX(1,'Вводные'!$K$33)),AND($B$7="Да",IFERROR(INDEX('Вводные'!$B$88:$B$91,$B$8),"Нет")="Да")),1,0)</x:f>
      </x:c>
      <x:c r="G18" s="35" t="n">
        <x:f>IF(AND(G$3&gt;=$B$11,G$3&lt;EDATE($B$11,MAX(1,'Вводные'!$K$33)),AND($B$7="Да",IFERROR(INDEX('Вводные'!$B$88:$B$91,$B$8),"Нет")="Да")),1,0)</x:f>
      </x:c>
      <x:c r="H18" s="35" t="n">
        <x:f>IF(AND(H$3&gt;=$B$11,H$3&lt;EDATE($B$11,MAX(1,'Вводные'!$K$33)),AND($B$7="Да",IFERROR(INDEX('Вводные'!$B$88:$B$91,$B$8),"Нет")="Да")),1,0)</x:f>
      </x:c>
      <x:c r="I18" s="35" t="n">
        <x:f>IF(AND(I$3&gt;=$B$11,I$3&lt;EDATE($B$11,MAX(1,'Вводные'!$K$33)),AND($B$7="Да",IFERROR(INDEX('Вводные'!$B$88:$B$91,$B$8),"Нет")="Да")),1,0)</x:f>
      </x:c>
      <x:c r="J18" s="35" t="n">
        <x:f>IF(AND(J$3&gt;=$B$11,J$3&lt;EDATE($B$11,MAX(1,'Вводные'!$K$33)),AND($B$7="Да",IFERROR(INDEX('Вводные'!$B$88:$B$91,$B$8),"Нет")="Да")),1,0)</x:f>
      </x:c>
      <x:c r="K18" s="35" t="n">
        <x:f>IF(AND(K$3&gt;=$B$11,K$3&lt;EDATE($B$11,MAX(1,'Вводные'!$K$33)),AND($B$7="Да",IFERROR(INDEX('Вводные'!$B$88:$B$91,$B$8),"Нет")="Да")),1,0)</x:f>
      </x:c>
      <x:c r="L18" s="35" t="n">
        <x:f>IF(AND(L$3&gt;=$B$11,L$3&lt;EDATE($B$11,MAX(1,'Вводные'!$K$33)),AND($B$7="Да",IFERROR(INDEX('Вводные'!$B$88:$B$91,$B$8),"Нет")="Да")),1,0)</x:f>
      </x:c>
      <x:c r="M18" s="35" t="n">
        <x:f>IF(AND(M$3&gt;=$B$11,M$3&lt;EDATE($B$11,MAX(1,'Вводные'!$K$33)),AND($B$7="Да",IFERROR(INDEX('Вводные'!$B$88:$B$91,$B$8),"Нет")="Да")),1,0)</x:f>
      </x:c>
      <x:c r="N18" s="35" t="n">
        <x:f>IF(AND(N$3&gt;=$B$11,N$3&lt;EDATE($B$11,MAX(1,'Вводные'!$K$33)),AND($B$7="Да",IFERROR(INDEX('Вводные'!$B$88:$B$91,$B$8),"Нет")="Да")),1,0)</x:f>
      </x:c>
      <x:c r="O18" s="35" t="n">
        <x:f>IF(AND(O$3&gt;=$B$11,O$3&lt;EDATE($B$11,MAX(1,'Вводные'!$K$33)),AND($B$7="Да",IFERROR(INDEX('Вводные'!$B$88:$B$91,$B$8),"Нет")="Да")),1,0)</x:f>
      </x:c>
      <x:c r="P18" s="35" t="n">
        <x:f>IF(AND(P$3&gt;=$B$11,P$3&lt;EDATE($B$11,MAX(1,'Вводные'!$K$33)),AND($B$7="Да",IFERROR(INDEX('Вводные'!$B$88:$B$91,$B$8),"Нет")="Да")),1,0)</x:f>
      </x:c>
      <x:c r="Q18" s="35" t="n">
        <x:f>IF(AND(Q$3&gt;=$B$11,Q$3&lt;EDATE($B$11,MAX(1,'Вводные'!$K$33)),AND($B$7="Да",IFERROR(INDEX('Вводные'!$B$88:$B$91,$B$8),"Нет")="Да")),1,0)</x:f>
      </x:c>
      <x:c r="R18" s="35" t="n">
        <x:f>IF(AND(R$3&gt;=$B$11,R$3&lt;EDATE($B$11,MAX(1,'Вводные'!$K$33)),AND($B$7="Да",IFERROR(INDEX('Вводные'!$B$88:$B$91,$B$8),"Нет")="Да")),1,0)</x:f>
      </x:c>
      <x:c r="S18" s="35" t="n">
        <x:f>IF(AND(S$3&gt;=$B$11,S$3&lt;EDATE($B$11,MAX(1,'Вводные'!$K$33)),AND($B$7="Да",IFERROR(INDEX('Вводные'!$B$88:$B$91,$B$8),"Нет")="Да")),1,0)</x:f>
      </x:c>
      <x:c r="T18" s="35" t="n">
        <x:f>IF(AND(T$3&gt;=$B$11,T$3&lt;EDATE($B$11,MAX(1,'Вводные'!$K$33)),AND($B$7="Да",IFERROR(INDEX('Вводные'!$B$88:$B$91,$B$8),"Нет")="Да")),1,0)</x:f>
      </x:c>
      <x:c r="U18" s="35" t="n">
        <x:f>IF(AND(U$3&gt;=$B$11,U$3&lt;EDATE($B$11,MAX(1,'Вводные'!$K$33)),AND($B$7="Да",IFERROR(INDEX('Вводные'!$B$88:$B$91,$B$8),"Нет")="Да")),1,0)</x:f>
      </x:c>
      <x:c r="V18" s="35" t="n">
        <x:f>IF(AND(V$3&gt;=$B$11,V$3&lt;EDATE($B$11,MAX(1,'Вводные'!$K$33)),AND($B$7="Да",IFERROR(INDEX('Вводные'!$B$88:$B$91,$B$8),"Нет")="Да")),1,0)</x:f>
      </x:c>
      <x:c r="W18" s="35" t="n">
        <x:f>IF(AND(W$3&gt;=$B$11,W$3&lt;EDATE($B$11,MAX(1,'Вводные'!$K$33)),AND($B$7="Да",IFERROR(INDEX('Вводные'!$B$88:$B$91,$B$8),"Нет")="Да")),1,0)</x:f>
      </x:c>
      <x:c r="X18" s="35" t="n">
        <x:f>IF(AND(X$3&gt;=$B$11,X$3&lt;EDATE($B$11,MAX(1,'Вводные'!$K$33)),AND($B$7="Да",IFERROR(INDEX('Вводные'!$B$88:$B$91,$B$8),"Нет")="Да")),1,0)</x:f>
      </x:c>
      <x:c r="Y18" s="35" t="n">
        <x:f>IF(AND(Y$3&gt;=$B$11,Y$3&lt;EDATE($B$11,MAX(1,'Вводные'!$K$33)),AND($B$7="Да",IFERROR(INDEX('Вводные'!$B$88:$B$91,$B$8),"Нет")="Да")),1,0)</x:f>
      </x:c>
      <x:c r="Z18" s="35" t="n">
        <x:f>IF(AND(Z$3&gt;=$B$11,Z$3&lt;EDATE($B$11,MAX(1,'Вводные'!$K$33)),AND($B$7="Да",IFERROR(INDEX('Вводные'!$B$88:$B$91,$B$8),"Нет")="Да")),1,0)</x:f>
      </x:c>
      <x:c r="AA18" s="35" t="n">
        <x:f>IF(AND(AA$3&gt;=$B$11,AA$3&lt;EDATE($B$11,MAX(1,'Вводные'!$K$33)),AND($B$7="Да",IFERROR(INDEX('Вводные'!$B$88:$B$91,$B$8),"Нет")="Да")),1,0)</x:f>
      </x:c>
      <x:c r="AB18" s="35" t="n">
        <x:f>IF(AND(AB$3&gt;=$B$11,AB$3&lt;EDATE($B$11,MAX(1,'Вводные'!$K$33)),AND($B$7="Да",IFERROR(INDEX('Вводные'!$B$88:$B$91,$B$8),"Нет")="Да")),1,0)</x:f>
      </x:c>
      <x:c r="AC18" s="35" t="n">
        <x:f>IF(AND(AC$3&gt;=$B$11,AC$3&lt;EDATE($B$11,MAX(1,'Вводные'!$K$33)),AND($B$7="Да",IFERROR(INDEX('Вводные'!$B$88:$B$91,$B$8),"Нет")="Да")),1,0)</x:f>
      </x:c>
      <x:c r="AD18" s="35" t="n">
        <x:f>IF(AND(AD$3&gt;=$B$11,AD$3&lt;EDATE($B$11,MAX(1,'Вводные'!$K$33)),AND($B$7="Да",IFERROR(INDEX('Вводные'!$B$88:$B$91,$B$8),"Нет")="Да")),1,0)</x:f>
      </x:c>
      <x:c r="AE18" s="35" t="n">
        <x:f>IF(AND(AE$3&gt;=$B$11,AE$3&lt;EDATE($B$11,MAX(1,'Вводные'!$K$33)),AND($B$7="Да",IFERROR(INDEX('Вводные'!$B$88:$B$91,$B$8),"Нет")="Да")),1,0)</x:f>
      </x:c>
      <x:c r="AF18" s="35" t="n">
        <x:f>IF(AND(AF$3&gt;=$B$11,AF$3&lt;EDATE($B$11,MAX(1,'Вводные'!$K$33)),AND($B$7="Да",IFERROR(INDEX('Вводные'!$B$88:$B$91,$B$8),"Нет")="Да")),1,0)</x:f>
      </x:c>
      <x:c r="AG18" s="35" t="n">
        <x:f>IF(AND(AG$3&gt;=$B$11,AG$3&lt;EDATE($B$11,MAX(1,'Вводные'!$K$33)),AND($B$7="Да",IFERROR(INDEX('Вводные'!$B$88:$B$91,$B$8),"Нет")="Да")),1,0)</x:f>
      </x:c>
      <x:c r="AH18" s="35" t="n">
        <x:f>IF(AND(AH$3&gt;=$B$11,AH$3&lt;EDATE($B$11,MAX(1,'Вводные'!$K$33)),AND($B$7="Да",IFERROR(INDEX('Вводные'!$B$88:$B$91,$B$8),"Нет")="Да")),1,0)</x:f>
      </x:c>
      <x:c r="AI18" s="35" t="n">
        <x:f>IF(AND(AI$3&gt;=$B$11,AI$3&lt;EDATE($B$11,MAX(1,'Вводные'!$K$33)),AND($B$7="Да",IFERROR(INDEX('Вводные'!$B$88:$B$91,$B$8),"Нет")="Да")),1,0)</x:f>
      </x:c>
      <x:c r="AJ18" s="35" t="n">
        <x:f>IF(AND(AJ$3&gt;=$B$11,AJ$3&lt;EDATE($B$11,MAX(1,'Вводные'!$K$33)),AND($B$7="Да",IFERROR(INDEX('Вводные'!$B$88:$B$91,$B$8),"Нет")="Да")),1,0)</x:f>
      </x:c>
      <x:c r="AK18" s="35" t="n">
        <x:f>IF(AND(AK$3&gt;=$B$11,AK$3&lt;EDATE($B$11,MAX(1,'Вводные'!$K$33)),AND($B$7="Да",IFERROR(INDEX('Вводные'!$B$88:$B$91,$B$8),"Нет")="Да")),1,0)</x:f>
      </x:c>
      <x:c r="AL18" s="35" t="n">
        <x:f>IF(AND(AL$3&gt;=$B$11,AL$3&lt;EDATE($B$11,MAX(1,'Вводные'!$K$33)),AND($B$7="Да",IFERROR(INDEX('Вводные'!$B$88:$B$91,$B$8),"Нет")="Да")),1,0)</x:f>
      </x:c>
      <x:c r="AM18" s="35" t="n">
        <x:f>IF(AND(AM$3&gt;=$B$11,AM$3&lt;EDATE($B$11,MAX(1,'Вводные'!$K$33)),AND($B$7="Да",IFERROR(INDEX('Вводные'!$B$88:$B$91,$B$8),"Нет")="Да")),1,0)</x:f>
      </x:c>
      <x:c r="AN18" s="35" t="n">
        <x:f>IF(AND(AN$3&gt;=$B$11,AN$3&lt;EDATE($B$11,MAX(1,'Вводные'!$K$33)),AND($B$7="Да",IFERROR(INDEX('Вводные'!$B$88:$B$91,$B$8),"Нет")="Да")),1,0)</x:f>
      </x:c>
      <x:c r="AO18" s="35" t="n">
        <x:f>IF(AND(AO$3&gt;=$B$11,AO$3&lt;EDATE($B$11,MAX(1,'Вводные'!$K$33)),AND($B$7="Да",IFERROR(INDEX('Вводные'!$B$88:$B$91,$B$8),"Нет")="Да")),1,0)</x:f>
      </x:c>
      <x:c r="AP18" s="35" t="n">
        <x:f>IF(AND(AP$3&gt;=$B$11,AP$3&lt;EDATE($B$11,MAX(1,'Вводные'!$K$33)),AND($B$7="Да",IFERROR(INDEX('Вводные'!$B$88:$B$91,$B$8),"Нет")="Да")),1,0)</x:f>
      </x:c>
      <x:c r="AQ18" s="35" t="n">
        <x:f>IF(AND(AQ$3&gt;=$B$11,AQ$3&lt;EDATE($B$11,MAX(1,'Вводные'!$K$33)),AND($B$7="Да",IFERROR(INDEX('Вводные'!$B$88:$B$91,$B$8),"Нет")="Да")),1,0)</x:f>
      </x:c>
      <x:c r="AR18" s="35" t="n">
        <x:f>IF(AND(AR$3&gt;=$B$11,AR$3&lt;EDATE($B$11,MAX(1,'Вводные'!$K$33)),AND($B$7="Да",IFERROR(INDEX('Вводные'!$B$88:$B$91,$B$8),"Нет")="Да")),1,0)</x:f>
      </x:c>
      <x:c r="AS18" s="35" t="n">
        <x:f>IF(AND(AS$3&gt;=$B$11,AS$3&lt;EDATE($B$11,MAX(1,'Вводные'!$K$33)),AND($B$7="Да",IFERROR(INDEX('Вводные'!$B$88:$B$91,$B$8),"Нет")="Да")),1,0)</x:f>
      </x:c>
      <x:c r="AT18" s="35" t="n">
        <x:f>IF(AND(AT$3&gt;=$B$11,AT$3&lt;EDATE($B$11,MAX(1,'Вводные'!$K$33)),AND($B$7="Да",IFERROR(INDEX('Вводные'!$B$88:$B$91,$B$8),"Нет")="Да")),1,0)</x:f>
      </x:c>
      <x:c r="AU18" s="35" t="n">
        <x:f>IF(AND(AU$3&gt;=$B$11,AU$3&lt;EDATE($B$11,MAX(1,'Вводные'!$K$33)),AND($B$7="Да",IFERROR(INDEX('Вводные'!$B$88:$B$91,$B$8),"Нет")="Да")),1,0)</x:f>
      </x:c>
      <x:c r="AV18" s="35" t="n">
        <x:f>IF(AND(AV$3&gt;=$B$11,AV$3&lt;EDATE($B$11,MAX(1,'Вводные'!$K$33)),AND($B$7="Да",IFERROR(INDEX('Вводные'!$B$88:$B$91,$B$8),"Нет")="Да")),1,0)</x:f>
      </x:c>
      <x:c r="AW18" s="35" t="n">
        <x:f>IF(AND(AW$3&gt;=$B$11,AW$3&lt;EDATE($B$11,MAX(1,'Вводные'!$K$33)),AND($B$7="Да",IFERROR(INDEX('Вводные'!$B$88:$B$91,$B$8),"Нет")="Да")),1,0)</x:f>
      </x:c>
      <x:c r="AX18" s="35" t="n">
        <x:f>IF(AND(AX$3&gt;=$B$11,AX$3&lt;EDATE($B$11,MAX(1,'Вводные'!$K$33)),AND($B$7="Да",IFERROR(INDEX('Вводные'!$B$88:$B$91,$B$8),"Нет")="Да")),1,0)</x:f>
      </x:c>
      <x:c r="AY18" s="35" t="n">
        <x:f>IF(AND(AY$3&gt;=$B$11,AY$3&lt;EDATE($B$11,MAX(1,'Вводные'!$K$33)),AND($B$7="Да",IFERROR(INDEX('Вводные'!$B$88:$B$91,$B$8),"Нет")="Да")),1,0)</x:f>
      </x:c>
      <x:c r="AZ18" s="35" t="n">
        <x:f>IF(AND(AZ$3&gt;=$B$11,AZ$3&lt;EDATE($B$11,MAX(1,'Вводные'!$K$33)),AND($B$7="Да",IFERROR(INDEX('Вводные'!$B$88:$B$91,$B$8),"Нет")="Да")),1,0)</x:f>
      </x:c>
      <x:c r="BA18" s="35" t="n">
        <x:f>IF(AND(BA$3&gt;=$B$11,BA$3&lt;EDATE($B$11,MAX(1,'Вводные'!$K$33)),AND($B$7="Да",IFERROR(INDEX('Вводные'!$B$88:$B$91,$B$8),"Нет")="Да")),1,0)</x:f>
      </x:c>
      <x:c r="BB18" s="35" t="n">
        <x:f>IF(AND(BB$3&gt;=$B$11,BB$3&lt;EDATE($B$11,MAX(1,'Вводные'!$K$33)),AND($B$7="Да",IFERROR(INDEX('Вводные'!$B$88:$B$91,$B$8),"Нет")="Да")),1,0)</x:f>
      </x:c>
      <x:c r="BC18" s="35" t="n">
        <x:f>IF(AND(BC$3&gt;=$B$11,BC$3&lt;EDATE($B$11,MAX(1,'Вводные'!$K$33)),AND($B$7="Да",IFERROR(INDEX('Вводные'!$B$88:$B$91,$B$8),"Нет")="Да")),1,0)</x:f>
      </x:c>
      <x:c r="BD18" s="35" t="n">
        <x:f>IF(AND(BD$3&gt;=$B$11,BD$3&lt;EDATE($B$11,MAX(1,'Вводные'!$K$33)),AND($B$7="Да",IFERROR(INDEX('Вводные'!$B$88:$B$91,$B$8),"Нет")="Да")),1,0)</x:f>
      </x:c>
      <x:c r="BE18" s="35" t="n">
        <x:f>IF(AND(BE$3&gt;=$B$11,BE$3&lt;EDATE($B$11,MAX(1,'Вводные'!$K$33)),AND($B$7="Да",IFERROR(INDEX('Вводные'!$B$88:$B$91,$B$8),"Нет")="Да")),1,0)</x:f>
      </x:c>
      <x:c r="BF18" s="35" t="n">
        <x:f>IF(AND(BF$3&gt;=$B$11,BF$3&lt;EDATE($B$11,MAX(1,'Вводные'!$K$33)),AND($B$7="Да",IFERROR(INDEX('Вводные'!$B$88:$B$91,$B$8),"Нет")="Да")),1,0)</x:f>
      </x:c>
      <x:c r="BG18" s="35" t="n">
        <x:f>IF(AND(BG$3&gt;=$B$11,BG$3&lt;EDATE($B$11,MAX(1,'Вводные'!$K$33)),AND($B$7="Да",IFERROR(INDEX('Вводные'!$B$88:$B$91,$B$8),"Нет")="Да")),1,0)</x:f>
      </x:c>
      <x:c r="BH18" s="35" t="n">
        <x:f>IF(AND(BH$3&gt;=$B$11,BH$3&lt;EDATE($B$11,MAX(1,'Вводные'!$K$33)),AND($B$7="Да",IFERROR(INDEX('Вводные'!$B$88:$B$91,$B$8),"Нет")="Да")),1,0)</x:f>
      </x:c>
      <x:c r="BI18" s="35" t="n">
        <x:f>IF(AND(BI$3&gt;=$B$11,BI$3&lt;EDATE($B$11,MAX(1,'Вводные'!$K$33)),AND($B$7="Да",IFERROR(INDEX('Вводные'!$B$88:$B$91,$B$8),"Нет")="Да")),1,0)</x:f>
      </x:c>
      <x:c r="BJ18" s="35" t="n">
        <x:f>IF(AND(BJ$3&gt;=$B$11,BJ$3&lt;EDATE($B$11,MAX(1,'Вводные'!$K$33)),AND($B$7="Да",IFERROR(INDEX('Вводные'!$B$88:$B$91,$B$8),"Нет")="Да")),1,0)</x:f>
      </x:c>
      <x:c r="BK18" s="35" t="n">
        <x:f>IF(AND(BK$3&gt;=$B$11,BK$3&lt;EDATE($B$11,MAX(1,'Вводные'!$K$33)),AND($B$7="Да",IFERROR(INDEX('Вводные'!$B$88:$B$91,$B$8),"Нет")="Да")),1,0)</x:f>
      </x:c>
      <x:c r="BL18" s="35" t="n">
        <x:f>IF(AND(BL$3&gt;=$B$11,BL$3&lt;EDATE($B$11,MAX(1,'Вводные'!$K$33)),AND($B$7="Да",IFERROR(INDEX('Вводные'!$B$88:$B$91,$B$8),"Нет")="Да")),1,0)</x:f>
      </x:c>
      <x:c r="BM18" s="35" t="n">
        <x:f>IF(AND(BM$3&gt;=$B$11,BM$3&lt;EDATE($B$11,MAX(1,'Вводные'!$K$33)),AND($B$7="Да",IFERROR(INDEX('Вводные'!$B$88:$B$91,$B$8),"Нет")="Да")),1,0)</x:f>
      </x:c>
      <x:c r="BN18" s="35" t="n">
        <x:f>IF(AND(BN$3&gt;=$B$11,BN$3&lt;EDATE($B$11,MAX(1,'Вводные'!$K$33)),AND($B$7="Да",IFERROR(INDEX('Вводные'!$B$88:$B$91,$B$8),"Нет")="Да")),1,0)</x:f>
      </x:c>
      <x:c r="BO18" s="35" t="n">
        <x:f>IF(AND(BO$3&gt;=$B$11,BO$3&lt;EDATE($B$11,MAX(1,'Вводные'!$K$33)),AND($B$7="Да",IFERROR(INDEX('Вводные'!$B$88:$B$91,$B$8),"Нет")="Да")),1,0)</x:f>
      </x:c>
      <x:c r="BP18" s="35" t="n">
        <x:f>IF(AND(BP$3&gt;=$B$11,BP$3&lt;EDATE($B$11,MAX(1,'Вводные'!$K$33)),AND($B$7="Да",IFERROR(INDEX('Вводные'!$B$88:$B$91,$B$8),"Нет")="Да")),1,0)</x:f>
      </x:c>
      <x:c r="BQ18" s="35" t="n">
        <x:f>IF(AND(BQ$3&gt;=$B$11,BQ$3&lt;EDATE($B$11,MAX(1,'Вводные'!$K$33)),AND($B$7="Да",IFERROR(INDEX('Вводные'!$B$88:$B$91,$B$8),"Нет")="Да")),1,0)</x:f>
      </x:c>
      <x:c r="BR18" s="35" t="n">
        <x:f>IF(AND(BR$3&gt;=$B$11,BR$3&lt;EDATE($B$11,MAX(1,'Вводные'!$K$33)),AND($B$7="Да",IFERROR(INDEX('Вводные'!$B$88:$B$91,$B$8),"Нет")="Да")),1,0)</x:f>
      </x:c>
      <x:c r="BS18" s="35" t="n">
        <x:f>IF(AND(BS$3&gt;=$B$11,BS$3&lt;EDATE($B$11,MAX(1,'Вводные'!$K$33)),AND($B$7="Да",IFERROR(INDEX('Вводные'!$B$88:$B$91,$B$8),"Нет")="Да")),1,0)</x:f>
      </x:c>
      <x:c r="BT18" s="35" t="n">
        <x:f>IF(AND(BT$3&gt;=$B$11,BT$3&lt;EDATE($B$11,MAX(1,'Вводные'!$K$33)),AND($B$7="Да",IFERROR(INDEX('Вводные'!$B$88:$B$91,$B$8),"Нет")="Да")),1,0)</x:f>
      </x:c>
      <x:c r="BU18" s="35" t="n">
        <x:f>IF(AND(BU$3&gt;=$B$11,BU$3&lt;EDATE($B$11,MAX(1,'Вводные'!$K$33)),AND($B$7="Да",IFERROR(INDEX('Вводные'!$B$88:$B$91,$B$8),"Нет")="Да")),1,0)</x:f>
      </x:c>
      <x:c r="BV18" s="35" t="n">
        <x:f>IF(AND(BV$3&gt;=$B$11,BV$3&lt;EDATE($B$11,MAX(1,'Вводные'!$K$33)),AND($B$7="Да",IFERROR(INDEX('Вводные'!$B$88:$B$91,$B$8),"Нет")="Да")),1,0)</x:f>
      </x:c>
      <x:c r="BW18" s="35" t="n">
        <x:f>IF(AND(BW$3&gt;=$B$11,BW$3&lt;EDATE($B$11,MAX(1,'Вводные'!$K$33)),AND($B$7="Да",IFERROR(INDEX('Вводные'!$B$88:$B$91,$B$8),"Нет")="Да")),1,0)</x:f>
      </x:c>
      <x:c r="BX18" s="35" t="n">
        <x:f>IF(AND(BX$3&gt;=$B$11,BX$3&lt;EDATE($B$11,MAX(1,'Вводные'!$K$33)),AND($B$7="Да",IFERROR(INDEX('Вводные'!$B$88:$B$91,$B$8),"Нет")="Да")),1,0)</x:f>
      </x:c>
      <x:c r="BY18" s="35" t="n">
        <x:f>IF(AND(BY$3&gt;=$B$11,BY$3&lt;EDATE($B$11,MAX(1,'Вводные'!$K$33)),AND($B$7="Да",IFERROR(INDEX('Вводные'!$B$88:$B$91,$B$8),"Нет")="Да")),1,0)</x:f>
      </x:c>
      <x:c r="BZ18" s="35" t="n">
        <x:f>IF(AND(BZ$3&gt;=$B$11,BZ$3&lt;EDATE($B$11,MAX(1,'Вводные'!$K$33)),AND($B$7="Да",IFERROR(INDEX('Вводные'!$B$88:$B$91,$B$8),"Нет")="Да")),1,0)</x:f>
      </x:c>
      <x:c r="CA18" s="35" t="n">
        <x:f>IF(AND(CA$3&gt;=$B$11,CA$3&lt;EDATE($B$11,MAX(1,'Вводные'!$K$33)),AND($B$7="Да",IFERROR(INDEX('Вводные'!$B$88:$B$91,$B$8),"Нет")="Да")),1,0)</x:f>
      </x:c>
      <x:c r="CB18" s="35" t="n">
        <x:f>IF(AND(CB$3&gt;=$B$11,CB$3&lt;EDATE($B$11,MAX(1,'Вводные'!$K$33)),AND($B$7="Да",IFERROR(INDEX('Вводные'!$B$88:$B$91,$B$8),"Нет")="Да")),1,0)</x:f>
      </x:c>
      <x:c r="CC18" s="35" t="n">
        <x:f>IF(AND(CC$3&gt;=$B$11,CC$3&lt;EDATE($B$11,MAX(1,'Вводные'!$K$33)),AND($B$7="Да",IFERROR(INDEX('Вводные'!$B$88:$B$91,$B$8),"Нет")="Да")),1,0)</x:f>
      </x:c>
      <x:c r="CD18" s="35" t="n">
        <x:f>IF(AND(CD$3&gt;=$B$11,CD$3&lt;EDATE($B$11,MAX(1,'Вводные'!$K$33)),AND($B$7="Да",IFERROR(INDEX('Вводные'!$B$88:$B$91,$B$8),"Нет")="Да")),1,0)</x:f>
      </x:c>
      <x:c r="CE18" s="35" t="n">
        <x:f>IF(AND(CE$3&gt;=$B$11,CE$3&lt;EDATE($B$11,MAX(1,'Вводные'!$K$33)),AND($B$7="Да",IFERROR(INDEX('Вводные'!$B$88:$B$91,$B$8),"Нет")="Да")),1,0)</x:f>
      </x:c>
      <x:c r="CF18" s="35" t="n">
        <x:f>IF(AND(CF$3&gt;=$B$11,CF$3&lt;EDATE($B$11,MAX(1,'Вводные'!$K$33)),AND($B$7="Да",IFERROR(INDEX('Вводные'!$B$88:$B$91,$B$8),"Нет")="Да")),1,0)</x:f>
      </x:c>
      <x:c r="CG18" s="35" t="n">
        <x:f>IF(AND(CG$3&gt;=$B$11,CG$3&lt;EDATE($B$11,MAX(1,'Вводные'!$K$33)),AND($B$7="Да",IFERROR(INDEX('Вводные'!$B$88:$B$91,$B$8),"Нет")="Да")),1,0)</x:f>
      </x:c>
      <x:c r="CH18" s="35" t="n">
        <x:f>IF(AND(CH$3&gt;=$B$11,CH$3&lt;EDATE($B$11,MAX(1,'Вводные'!$K$33)),AND($B$7="Да",IFERROR(INDEX('Вводные'!$B$88:$B$91,$B$8),"Нет")="Да")),1,0)</x:f>
      </x:c>
      <x:c r="CI18" s="35" t="n">
        <x:f>IF(AND(CI$3&gt;=$B$11,CI$3&lt;EDATE($B$11,MAX(1,'Вводные'!$K$33)),AND($B$7="Да",IFERROR(INDEX('Вводные'!$B$88:$B$91,$B$8),"Нет")="Да")),1,0)</x:f>
      </x:c>
      <x:c r="CJ18" s="35" t="n">
        <x:f>IF(AND(CJ$3&gt;=$B$11,CJ$3&lt;EDATE($B$11,MAX(1,'Вводные'!$K$33)),AND($B$7="Да",IFERROR(INDEX('Вводные'!$B$88:$B$91,$B$8),"Нет")="Да")),1,0)</x:f>
      </x:c>
      <x:c r="CK18" s="35" t="n">
        <x:f>IF(AND(CK$3&gt;=$B$11,CK$3&lt;EDATE($B$11,MAX(1,'Вводные'!$K$33)),AND($B$7="Да",IFERROR(INDEX('Вводные'!$B$88:$B$91,$B$8),"Нет")="Да")),1,0)</x:f>
      </x:c>
      <x:c r="CL18" s="35" t="n">
        <x:f>IF(AND(CL$3&gt;=$B$11,CL$3&lt;EDATE($B$11,MAX(1,'Вводные'!$K$33)),AND($B$7="Да",IFERROR(INDEX('Вводные'!$B$88:$B$91,$B$8),"Нет")="Да")),1,0)</x:f>
      </x:c>
      <x:c r="CM18" s="35" t="n">
        <x:f>IF(AND(CM$3&gt;=$B$11,CM$3&lt;EDATE($B$11,MAX(1,'Вводные'!$K$33)),AND($B$7="Да",IFERROR(INDEX('Вводные'!$B$88:$B$91,$B$8),"Нет")="Да")),1,0)</x:f>
      </x:c>
      <x:c r="CN18" s="35" t="n">
        <x:f>IF(AND(CN$3&gt;=$B$11,CN$3&lt;EDATE($B$11,MAX(1,'Вводные'!$K$33)),AND($B$7="Да",IFERROR(INDEX('Вводные'!$B$88:$B$91,$B$8),"Нет")="Да")),1,0)</x:f>
      </x:c>
      <x:c r="CO18" s="35" t="n">
        <x:f>IF(AND(CO$3&gt;=$B$11,CO$3&lt;EDATE($B$11,MAX(1,'Вводные'!$K$33)),AND($B$7="Да",IFERROR(INDEX('Вводные'!$B$88:$B$91,$B$8),"Нет")="Да")),1,0)</x:f>
      </x:c>
      <x:c r="CP18" s="35" t="n">
        <x:f>IF(AND(CP$3&gt;=$B$11,CP$3&lt;EDATE($B$11,MAX(1,'Вводные'!$K$33)),AND($B$7="Да",IFERROR(INDEX('Вводные'!$B$88:$B$91,$B$8),"Нет")="Да")),1,0)</x:f>
      </x:c>
      <x:c r="CQ18" s="35" t="n">
        <x:f>IF(AND(CQ$3&gt;=$B$11,CQ$3&lt;EDATE($B$11,MAX(1,'Вводные'!$K$33)),AND($B$7="Да",IFERROR(INDEX('Вводные'!$B$88:$B$91,$B$8),"Нет")="Да")),1,0)</x:f>
      </x:c>
      <x:c r="CR18" s="35" t="n">
        <x:f>IF(AND(CR$3&gt;=$B$11,CR$3&lt;EDATE($B$11,MAX(1,'Вводные'!$K$33)),AND($B$7="Да",IFERROR(INDEX('Вводные'!$B$88:$B$91,$B$8),"Нет")="Да")),1,0)</x:f>
      </x:c>
      <x:c r="CS18" s="35" t="n">
        <x:f>IF(AND(CS$3&gt;=$B$11,CS$3&lt;EDATE($B$11,MAX(1,'Вводные'!$K$33)),AND($B$7="Да",IFERROR(INDEX('Вводные'!$B$88:$B$91,$B$8),"Нет")="Да")),1,0)</x:f>
      </x:c>
      <x:c r="CT18" s="35" t="n">
        <x:f>IF(AND(CT$3&gt;=$B$11,CT$3&lt;EDATE($B$11,MAX(1,'Вводные'!$K$33)),AND($B$7="Да",IFERROR(INDEX('Вводные'!$B$88:$B$91,$B$8),"Нет")="Да")),1,0)</x:f>
      </x:c>
      <x:c r="CU18" s="35" t="n">
        <x:f>IF(AND(CU$3&gt;=$B$11,CU$3&lt;EDATE($B$11,MAX(1,'Вводные'!$K$33)),AND($B$7="Да",IFERROR(INDEX('Вводные'!$B$88:$B$91,$B$8),"Нет")="Да")),1,0)</x:f>
      </x:c>
      <x:c r="CV18" s="35" t="n">
        <x:f>IF(AND(CV$3&gt;=$B$11,CV$3&lt;EDATE($B$11,MAX(1,'Вводные'!$K$33)),AND($B$7="Да",IFERROR(INDEX('Вводные'!$B$88:$B$91,$B$8),"Нет")="Да")),1,0)</x:f>
      </x:c>
      <x:c r="CW18" s="35" t="n">
        <x:f>IF(AND(CW$3&gt;=$B$11,CW$3&lt;EDATE($B$11,MAX(1,'Вводные'!$K$33)),AND($B$7="Да",IFERROR(INDEX('Вводные'!$B$88:$B$91,$B$8),"Нет")="Да")),1,0)</x:f>
      </x:c>
      <x:c r="CX18" s="35" t="n">
        <x:f>IF(AND(CX$3&gt;=$B$11,CX$3&lt;EDATE($B$11,MAX(1,'Вводные'!$K$33)),AND($B$7="Да",IFERROR(INDEX('Вводные'!$B$88:$B$91,$B$8),"Нет")="Да")),1,0)</x:f>
      </x:c>
      <x:c r="CY18" s="35" t="n">
        <x:f>IF(AND(CY$3&gt;=$B$11,CY$3&lt;EDATE($B$11,MAX(1,'Вводные'!$K$33)),AND($B$7="Да",IFERROR(INDEX('Вводные'!$B$88:$B$91,$B$8),"Нет")="Да")),1,0)</x:f>
      </x:c>
      <x:c r="CZ18" s="35" t="n">
        <x:f>IF(AND(CZ$3&gt;=$B$11,CZ$3&lt;EDATE($B$11,MAX(1,'Вводные'!$K$33)),AND($B$7="Да",IFERROR(INDEX('Вводные'!$B$88:$B$91,$B$8),"Нет")="Да")),1,0)</x:f>
      </x:c>
      <x:c r="DA18" s="35" t="n">
        <x:f>IF(AND(DA$3&gt;=$B$11,DA$3&lt;EDATE($B$11,MAX(1,'Вводные'!$K$33)),AND($B$7="Да",IFERROR(INDEX('Вводные'!$B$88:$B$91,$B$8),"Нет")="Да")),1,0)</x:f>
      </x:c>
      <x:c r="DB18" s="35" t="n">
        <x:f>IF(AND(DB$3&gt;=$B$11,DB$3&lt;EDATE($B$11,MAX(1,'Вводные'!$K$33)),AND($B$7="Да",IFERROR(INDEX('Вводные'!$B$88:$B$91,$B$8),"Нет")="Да")),1,0)</x:f>
      </x:c>
      <x:c r="DC18" s="35" t="n">
        <x:f>IF(AND(DC$3&gt;=$B$11,DC$3&lt;EDATE($B$11,MAX(1,'Вводные'!$K$33)),AND($B$7="Да",IFERROR(INDEX('Вводные'!$B$88:$B$91,$B$8),"Нет")="Да")),1,0)</x:f>
      </x:c>
      <x:c r="DD18" s="35" t="n">
        <x:f>IF(AND(DD$3&gt;=$B$11,DD$3&lt;EDATE($B$11,MAX(1,'Вводные'!$K$33)),AND($B$7="Да",IFERROR(INDEX('Вводные'!$B$88:$B$91,$B$8),"Нет")="Да")),1,0)</x:f>
      </x:c>
      <x:c r="DE18" s="35" t="n">
        <x:f>IF(AND(DE$3&gt;=$B$11,DE$3&lt;EDATE($B$11,MAX(1,'Вводные'!$K$33)),AND($B$7="Да",IFERROR(INDEX('Вводные'!$B$88:$B$91,$B$8),"Нет")="Да")),1,0)</x:f>
      </x:c>
      <x:c r="DF18" s="35" t="n">
        <x:f>IF(AND(DF$3&gt;=$B$11,DF$3&lt;EDATE($B$11,MAX(1,'Вводные'!$K$33)),AND($B$7="Да",IFERROR(INDEX('Вводные'!$B$88:$B$91,$B$8),"Нет")="Да")),1,0)</x:f>
      </x:c>
      <x:c r="DG18" s="35" t="n">
        <x:f>IF(AND(DG$3&gt;=$B$11,DG$3&lt;EDATE($B$11,MAX(1,'Вводные'!$K$33)),AND($B$7="Да",IFERROR(INDEX('Вводные'!$B$88:$B$91,$B$8),"Нет")="Да")),1,0)</x:f>
      </x:c>
      <x:c r="DH18" s="35" t="n">
        <x:f>IF(AND(DH$3&gt;=$B$11,DH$3&lt;EDATE($B$11,MAX(1,'Вводные'!$K$33)),AND($B$7="Да",IFERROR(INDEX('Вводные'!$B$88:$B$91,$B$8),"Нет")="Да")),1,0)</x:f>
      </x:c>
      <x:c r="DI18" s="35" t="n">
        <x:f>IF(AND(DI$3&gt;=$B$11,DI$3&lt;EDATE($B$11,MAX(1,'Вводные'!$K$33)),AND($B$7="Да",IFERROR(INDEX('Вводные'!$B$88:$B$91,$B$8),"Нет")="Да")),1,0)</x:f>
      </x:c>
      <x:c r="DJ18" s="35" t="n">
        <x:f>IF(AND(DJ$3&gt;=$B$11,DJ$3&lt;EDATE($B$11,MAX(1,'Вводные'!$K$33)),AND($B$7="Да",IFERROR(INDEX('Вводные'!$B$88:$B$91,$B$8),"Нет")="Да")),1,0)</x:f>
      </x:c>
      <x:c r="DK18" s="35" t="n">
        <x:f>IF(AND(DK$3&gt;=$B$11,DK$3&lt;EDATE($B$11,MAX(1,'Вводные'!$K$33)),AND($B$7="Да",IFERROR(INDEX('Вводные'!$B$88:$B$91,$B$8),"Нет")="Да")),1,0)</x:f>
      </x:c>
      <x:c r="DL18" s="35" t="n">
        <x:f>IF(AND(DL$3&gt;=$B$11,DL$3&lt;EDATE($B$11,MAX(1,'Вводные'!$K$33)),AND($B$7="Да",IFERROR(INDEX('Вводные'!$B$88:$B$91,$B$8),"Нет")="Да")),1,0)</x:f>
      </x:c>
      <x:c r="DM18" s="35" t="n">
        <x:f>IF(AND(DM$3&gt;=$B$11,DM$3&lt;EDATE($B$11,MAX(1,'Вводные'!$K$33)),AND($B$7="Да",IFERROR(INDEX('Вводные'!$B$88:$B$91,$B$8),"Нет")="Да")),1,0)</x:f>
      </x:c>
      <x:c r="DN18" s="35" t="n">
        <x:f>IF(AND(DN$3&gt;=$B$11,DN$3&lt;EDATE($B$11,MAX(1,'Вводные'!$K$33)),AND($B$7="Да",IFERROR(INDEX('Вводные'!$B$88:$B$91,$B$8),"Нет")="Да")),1,0)</x:f>
      </x:c>
      <x:c r="DO18" s="35" t="n">
        <x:f>IF(AND(DO$3&gt;=$B$11,DO$3&lt;EDATE($B$11,MAX(1,'Вводные'!$K$33)),AND($B$7="Да",IFERROR(INDEX('Вводные'!$B$88:$B$91,$B$8),"Нет")="Да")),1,0)</x:f>
      </x:c>
      <x:c r="DP18" s="35" t="n">
        <x:f>IF(AND(DP$3&gt;=$B$11,DP$3&lt;EDATE($B$11,MAX(1,'Вводные'!$K$33)),AND($B$7="Да",IFERROR(INDEX('Вводные'!$B$88:$B$91,$B$8),"Нет")="Да")),1,0)</x:f>
      </x:c>
      <x:c r="DQ18" s="35" t="n">
        <x:f>IF(AND(DQ$3&gt;=$B$11,DQ$3&lt;EDATE($B$11,MAX(1,'Вводные'!$K$33)),AND($B$7="Да",IFERROR(INDEX('Вводные'!$B$88:$B$91,$B$8),"Нет")="Да")),1,0)</x:f>
      </x:c>
      <x:c r="DR18" s="35" t="n">
        <x:f>IF(AND(DR$3&gt;=$B$11,DR$3&lt;EDATE($B$11,MAX(1,'Вводные'!$K$33)),AND($B$7="Да",IFERROR(INDEX('Вводные'!$B$88:$B$91,$B$8),"Нет")="Да")),1,0)</x:f>
      </x:c>
      <x:c r="DS18" s="35" t="n">
        <x:f>IF(AND(DS$3&gt;=$B$11,DS$3&lt;EDATE($B$11,MAX(1,'Вводные'!$K$33)),AND($B$7="Да",IFERROR(INDEX('Вводные'!$B$88:$B$91,$B$8),"Нет")="Да")),1,0)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IF(D$3&lt;EDATE(INDEX('Вводные'!$D$88:$D$91,$B$8),INDEX('Вводные'!$E$88:$E$91,$B$8)+INDEX('Вводные'!$F$88:$F$91,$B$8)+'Вводные'!$H$9),D24,0)</x:f>
      </x:c>
      <x:c r="E25" s="107" t="n">
        <x:f>IF(E$3&lt;EDATE(INDEX('Вводные'!$D$88:$D$91,$B$8),INDEX('Вводные'!$E$88:$E$91,$B$8)+INDEX('Вводные'!$F$88:$F$91,$B$8)+'Вводные'!$H$9),E24,0)</x:f>
      </x:c>
      <x:c r="F25" s="107" t="n">
        <x:f>IF(F$3&lt;EDATE(INDEX('Вводные'!$D$88:$D$91,$B$8),INDEX('Вводные'!$E$88:$E$91,$B$8)+INDEX('Вводные'!$F$88:$F$91,$B$8)+'Вводные'!$H$9),F24,0)</x:f>
      </x:c>
      <x:c r="G25" s="107" t="n">
        <x:f>IF(G$3&lt;EDATE(INDEX('Вводные'!$D$88:$D$91,$B$8),INDEX('Вводные'!$E$88:$E$91,$B$8)+INDEX('Вводные'!$F$88:$F$91,$B$8)+'Вводные'!$H$9),G24,0)</x:f>
      </x:c>
      <x:c r="H25" s="107" t="n">
        <x:f>IF(H$3&lt;EDATE(INDEX('Вводные'!$D$88:$D$91,$B$8),INDEX('Вводные'!$E$88:$E$91,$B$8)+INDEX('Вводные'!$F$88:$F$91,$B$8)+'Вводные'!$H$9),H24,0)</x:f>
      </x:c>
      <x:c r="I25" s="107" t="n">
        <x:f>IF(I$3&lt;EDATE(INDEX('Вводные'!$D$88:$D$91,$B$8),INDEX('Вводные'!$E$88:$E$91,$B$8)+INDEX('Вводные'!$F$88:$F$91,$B$8)+'Вводные'!$H$9),I24,0)</x:f>
      </x:c>
      <x:c r="J25" s="107" t="n">
        <x:f>IF(J$3&lt;EDATE(INDEX('Вводные'!$D$88:$D$91,$B$8),INDEX('Вводные'!$E$88:$E$91,$B$8)+INDEX('Вводные'!$F$88:$F$91,$B$8)+'Вводные'!$H$9),J24,0)</x:f>
      </x:c>
      <x:c r="K25" s="107" t="n">
        <x:f>IF(K$3&lt;EDATE(INDEX('Вводные'!$D$88:$D$91,$B$8),INDEX('Вводные'!$E$88:$E$91,$B$8)+INDEX('Вводные'!$F$88:$F$91,$B$8)+'Вводные'!$H$9),K24,0)</x:f>
      </x:c>
      <x:c r="L25" s="107" t="n">
        <x:f>IF(L$3&lt;EDATE(INDEX('Вводные'!$D$88:$D$91,$B$8),INDEX('Вводные'!$E$88:$E$91,$B$8)+INDEX('Вводные'!$F$88:$F$91,$B$8)+'Вводные'!$H$9),L24,0)</x:f>
      </x:c>
      <x:c r="M25" s="107" t="n">
        <x:f>IF(M$3&lt;EDATE(INDEX('Вводные'!$D$88:$D$91,$B$8),INDEX('Вводные'!$E$88:$E$91,$B$8)+INDEX('Вводные'!$F$88:$F$91,$B$8)+'Вводные'!$H$9),M24,0)</x:f>
      </x:c>
      <x:c r="N25" s="107" t="n">
        <x:f>IF(N$3&lt;EDATE(INDEX('Вводные'!$D$88:$D$91,$B$8),INDEX('Вводные'!$E$88:$E$91,$B$8)+INDEX('Вводные'!$F$88:$F$91,$B$8)+'Вводные'!$H$9),N24,0)</x:f>
      </x:c>
      <x:c r="O25" s="107" t="n">
        <x:f>IF(O$3&lt;EDATE(INDEX('Вводные'!$D$88:$D$91,$B$8),INDEX('Вводные'!$E$88:$E$91,$B$8)+INDEX('Вводные'!$F$88:$F$91,$B$8)+'Вводные'!$H$9),O24,0)</x:f>
      </x:c>
      <x:c r="P25" s="107" t="n">
        <x:f>IF(P$3&lt;EDATE(INDEX('Вводные'!$D$88:$D$91,$B$8),INDEX('Вводные'!$E$88:$E$91,$B$8)+INDEX('Вводные'!$F$88:$F$91,$B$8)+'Вводные'!$H$9),P24,0)</x:f>
      </x:c>
      <x:c r="Q25" s="107" t="n">
        <x:f>IF(Q$3&lt;EDATE(INDEX('Вводные'!$D$88:$D$91,$B$8),INDEX('Вводные'!$E$88:$E$91,$B$8)+INDEX('Вводные'!$F$88:$F$91,$B$8)+'Вводные'!$H$9),Q24,0)</x:f>
      </x:c>
      <x:c r="R25" s="107" t="n">
        <x:f>IF(R$3&lt;EDATE(INDEX('Вводные'!$D$88:$D$91,$B$8),INDEX('Вводные'!$E$88:$E$91,$B$8)+INDEX('Вводные'!$F$88:$F$91,$B$8)+'Вводные'!$H$9),R24,0)</x:f>
      </x:c>
      <x:c r="S25" s="107" t="n">
        <x:f>IF(S$3&lt;EDATE(INDEX('Вводные'!$D$88:$D$91,$B$8),INDEX('Вводные'!$E$88:$E$91,$B$8)+INDEX('Вводные'!$F$88:$F$91,$B$8)+'Вводные'!$H$9),S24,0)</x:f>
      </x:c>
      <x:c r="T25" s="107" t="n">
        <x:f>IF(T$3&lt;EDATE(INDEX('Вводные'!$D$88:$D$91,$B$8),INDEX('Вводные'!$E$88:$E$91,$B$8)+INDEX('Вводные'!$F$88:$F$91,$B$8)+'Вводные'!$H$9),T24,0)</x:f>
      </x:c>
      <x:c r="U25" s="107" t="n">
        <x:f>IF(U$3&lt;EDATE(INDEX('Вводные'!$D$88:$D$91,$B$8),INDEX('Вводные'!$E$88:$E$91,$B$8)+INDEX('Вводные'!$F$88:$F$91,$B$8)+'Вводные'!$H$9),U24,0)</x:f>
      </x:c>
      <x:c r="V25" s="107" t="n">
        <x:f>IF(V$3&lt;EDATE(INDEX('Вводные'!$D$88:$D$91,$B$8),INDEX('Вводные'!$E$88:$E$91,$B$8)+INDEX('Вводные'!$F$88:$F$91,$B$8)+'Вводные'!$H$9),V24,0)</x:f>
      </x:c>
      <x:c r="W25" s="107" t="n">
        <x:f>IF(W$3&lt;EDATE(INDEX('Вводные'!$D$88:$D$91,$B$8),INDEX('Вводные'!$E$88:$E$91,$B$8)+INDEX('Вводные'!$F$88:$F$91,$B$8)+'Вводные'!$H$9),W24,0)</x:f>
      </x:c>
      <x:c r="X25" s="107" t="n">
        <x:f>IF(X$3&lt;EDATE(INDEX('Вводные'!$D$88:$D$91,$B$8),INDEX('Вводные'!$E$88:$E$91,$B$8)+INDEX('Вводные'!$F$88:$F$91,$B$8)+'Вводные'!$H$9),X24,0)</x:f>
      </x:c>
      <x:c r="Y25" s="107" t="n">
        <x:f>IF(Y$3&lt;EDATE(INDEX('Вводные'!$D$88:$D$91,$B$8),INDEX('Вводные'!$E$88:$E$91,$B$8)+INDEX('Вводные'!$F$88:$F$91,$B$8)+'Вводные'!$H$9),Y24,0)</x:f>
      </x:c>
      <x:c r="Z25" s="107" t="n">
        <x:f>IF(Z$3&lt;EDATE(INDEX('Вводные'!$D$88:$D$91,$B$8),INDEX('Вводные'!$E$88:$E$91,$B$8)+INDEX('Вводные'!$F$88:$F$91,$B$8)+'Вводные'!$H$9),Z24,0)</x:f>
      </x:c>
      <x:c r="AA25" s="107" t="n">
        <x:f>IF(AA$3&lt;EDATE(INDEX('Вводные'!$D$88:$D$91,$B$8),INDEX('Вводные'!$E$88:$E$91,$B$8)+INDEX('Вводные'!$F$88:$F$91,$B$8)+'Вводные'!$H$9),AA24,0)</x:f>
      </x:c>
      <x:c r="AB25" s="107" t="n">
        <x:f>IF(AB$3&lt;EDATE(INDEX('Вводные'!$D$88:$D$91,$B$8),INDEX('Вводные'!$E$88:$E$91,$B$8)+INDEX('Вводные'!$F$88:$F$91,$B$8)+'Вводные'!$H$9),AB24,0)</x:f>
      </x:c>
      <x:c r="AC25" s="107" t="n">
        <x:f>IF(AC$3&lt;EDATE(INDEX('Вводные'!$D$88:$D$91,$B$8),INDEX('Вводные'!$E$88:$E$91,$B$8)+INDEX('Вводные'!$F$88:$F$91,$B$8)+'Вводные'!$H$9),AC24,0)</x:f>
      </x:c>
      <x:c r="AD25" s="107" t="n">
        <x:f>IF(AD$3&lt;EDATE(INDEX('Вводные'!$D$88:$D$91,$B$8),INDEX('Вводные'!$E$88:$E$91,$B$8)+INDEX('Вводные'!$F$88:$F$91,$B$8)+'Вводные'!$H$9),AD24,0)</x:f>
      </x:c>
      <x:c r="AE25" s="107" t="n">
        <x:f>IF(AE$3&lt;EDATE(INDEX('Вводные'!$D$88:$D$91,$B$8),INDEX('Вводные'!$E$88:$E$91,$B$8)+INDEX('Вводные'!$F$88:$F$91,$B$8)+'Вводные'!$H$9),AE24,0)</x:f>
      </x:c>
      <x:c r="AF25" s="107" t="n">
        <x:f>IF(AF$3&lt;EDATE(INDEX('Вводные'!$D$88:$D$91,$B$8),INDEX('Вводные'!$E$88:$E$91,$B$8)+INDEX('Вводные'!$F$88:$F$91,$B$8)+'Вводные'!$H$9),AF24,0)</x:f>
      </x:c>
      <x:c r="AG25" s="107" t="n">
        <x:f>IF(AG$3&lt;EDATE(INDEX('Вводные'!$D$88:$D$91,$B$8),INDEX('Вводные'!$E$88:$E$91,$B$8)+INDEX('Вводные'!$F$88:$F$91,$B$8)+'Вводные'!$H$9),AG24,0)</x:f>
      </x:c>
      <x:c r="AH25" s="107" t="n">
        <x:f>IF(AH$3&lt;EDATE(INDEX('Вводные'!$D$88:$D$91,$B$8),INDEX('Вводные'!$E$88:$E$91,$B$8)+INDEX('Вводные'!$F$88:$F$91,$B$8)+'Вводные'!$H$9),AH24,0)</x:f>
      </x:c>
      <x:c r="AI25" s="107" t="n">
        <x:f>IF(AI$3&lt;EDATE(INDEX('Вводные'!$D$88:$D$91,$B$8),INDEX('Вводные'!$E$88:$E$91,$B$8)+INDEX('Вводные'!$F$88:$F$91,$B$8)+'Вводные'!$H$9),AI24,0)</x:f>
      </x:c>
      <x:c r="AJ25" s="107" t="n">
        <x:f>IF(AJ$3&lt;EDATE(INDEX('Вводные'!$D$88:$D$91,$B$8),INDEX('Вводные'!$E$88:$E$91,$B$8)+INDEX('Вводные'!$F$88:$F$91,$B$8)+'Вводные'!$H$9),AJ24,0)</x:f>
      </x:c>
      <x:c r="AK25" s="107" t="n">
        <x:f>IF(AK$3&lt;EDATE(INDEX('Вводные'!$D$88:$D$91,$B$8),INDEX('Вводные'!$E$88:$E$91,$B$8)+INDEX('Вводные'!$F$88:$F$91,$B$8)+'Вводные'!$H$9),AK24,0)</x:f>
      </x:c>
      <x:c r="AL25" s="107" t="n">
        <x:f>IF(AL$3&lt;EDATE(INDEX('Вводные'!$D$88:$D$91,$B$8),INDEX('Вводные'!$E$88:$E$91,$B$8)+INDEX('Вводные'!$F$88:$F$91,$B$8)+'Вводные'!$H$9),AL24,0)</x:f>
      </x:c>
      <x:c r="AM25" s="107" t="n">
        <x:f>IF(AM$3&lt;EDATE(INDEX('Вводные'!$D$88:$D$91,$B$8),INDEX('Вводные'!$E$88:$E$91,$B$8)+INDEX('Вводные'!$F$88:$F$91,$B$8)+'Вводные'!$H$9),AM24,0)</x:f>
      </x:c>
      <x:c r="AN25" s="107" t="n">
        <x:f>IF(AN$3&lt;EDATE(INDEX('Вводные'!$D$88:$D$91,$B$8),INDEX('Вводные'!$E$88:$E$91,$B$8)+INDEX('Вводные'!$F$88:$F$91,$B$8)+'Вводные'!$H$9),AN24,0)</x:f>
      </x:c>
      <x:c r="AO25" s="107" t="n">
        <x:f>IF(AO$3&lt;EDATE(INDEX('Вводные'!$D$88:$D$91,$B$8),INDEX('Вводные'!$E$88:$E$91,$B$8)+INDEX('Вводные'!$F$88:$F$91,$B$8)+'Вводные'!$H$9),AO24,0)</x:f>
      </x:c>
      <x:c r="AP25" s="107" t="n">
        <x:f>IF(AP$3&lt;EDATE(INDEX('Вводные'!$D$88:$D$91,$B$8),INDEX('Вводные'!$E$88:$E$91,$B$8)+INDEX('Вводные'!$F$88:$F$91,$B$8)+'Вводные'!$H$9),AP24,0)</x:f>
      </x:c>
      <x:c r="AQ25" s="107" t="n">
        <x:f>IF(AQ$3&lt;EDATE(INDEX('Вводные'!$D$88:$D$91,$B$8),INDEX('Вводные'!$E$88:$E$91,$B$8)+INDEX('Вводные'!$F$88:$F$91,$B$8)+'Вводные'!$H$9),AQ24,0)</x:f>
      </x:c>
      <x:c r="AR25" s="107" t="n">
        <x:f>IF(AR$3&lt;EDATE(INDEX('Вводные'!$D$88:$D$91,$B$8),INDEX('Вводные'!$E$88:$E$91,$B$8)+INDEX('Вводные'!$F$88:$F$91,$B$8)+'Вводные'!$H$9),AR24,0)</x:f>
      </x:c>
      <x:c r="AS25" s="107" t="n">
        <x:f>IF(AS$3&lt;EDATE(INDEX('Вводные'!$D$88:$D$91,$B$8),INDEX('Вводные'!$E$88:$E$91,$B$8)+INDEX('Вводные'!$F$88:$F$91,$B$8)+'Вводные'!$H$9),AS24,0)</x:f>
      </x:c>
      <x:c r="AT25" s="107" t="n">
        <x:f>IF(AT$3&lt;EDATE(INDEX('Вводные'!$D$88:$D$91,$B$8),INDEX('Вводные'!$E$88:$E$91,$B$8)+INDEX('Вводные'!$F$88:$F$91,$B$8)+'Вводные'!$H$9),AT24,0)</x:f>
      </x:c>
      <x:c r="AU25" s="107" t="n">
        <x:f>IF(AU$3&lt;EDATE(INDEX('Вводные'!$D$88:$D$91,$B$8),INDEX('Вводные'!$E$88:$E$91,$B$8)+INDEX('Вводные'!$F$88:$F$91,$B$8)+'Вводные'!$H$9),AU24,0)</x:f>
      </x:c>
      <x:c r="AV25" s="107" t="n">
        <x:f>IF(AV$3&lt;EDATE(INDEX('Вводные'!$D$88:$D$91,$B$8),INDEX('Вводные'!$E$88:$E$91,$B$8)+INDEX('Вводные'!$F$88:$F$91,$B$8)+'Вводные'!$H$9),AV24,0)</x:f>
      </x:c>
      <x:c r="AW25" s="107" t="n">
        <x:f>IF(AW$3&lt;EDATE(INDEX('Вводные'!$D$88:$D$91,$B$8),INDEX('Вводные'!$E$88:$E$91,$B$8)+INDEX('Вводные'!$F$88:$F$91,$B$8)+'Вводные'!$H$9),AW24,0)</x:f>
      </x:c>
      <x:c r="AX25" s="107" t="n">
        <x:f>IF(AX$3&lt;EDATE(INDEX('Вводные'!$D$88:$D$91,$B$8),INDEX('Вводные'!$E$88:$E$91,$B$8)+INDEX('Вводные'!$F$88:$F$91,$B$8)+'Вводные'!$H$9),AX24,0)</x:f>
      </x:c>
      <x:c r="AY25" s="107" t="n">
        <x:f>IF(AY$3&lt;EDATE(INDEX('Вводные'!$D$88:$D$91,$B$8),INDEX('Вводные'!$E$88:$E$91,$B$8)+INDEX('Вводные'!$F$88:$F$91,$B$8)+'Вводные'!$H$9),AY24,0)</x:f>
      </x:c>
      <x:c r="AZ25" s="107" t="n">
        <x:f>IF(AZ$3&lt;EDATE(INDEX('Вводные'!$D$88:$D$91,$B$8),INDEX('Вводные'!$E$88:$E$91,$B$8)+INDEX('Вводные'!$F$88:$F$91,$B$8)+'Вводные'!$H$9),AZ24,0)</x:f>
      </x:c>
      <x:c r="BA25" s="107" t="n">
        <x:f>IF(BA$3&lt;EDATE(INDEX('Вводные'!$D$88:$D$91,$B$8),INDEX('Вводные'!$E$88:$E$91,$B$8)+INDEX('Вводные'!$F$88:$F$91,$B$8)+'Вводные'!$H$9),BA24,0)</x:f>
      </x:c>
      <x:c r="BB25" s="107" t="n">
        <x:f>IF(BB$3&lt;EDATE(INDEX('Вводные'!$D$88:$D$91,$B$8),INDEX('Вводные'!$E$88:$E$91,$B$8)+INDEX('Вводные'!$F$88:$F$91,$B$8)+'Вводные'!$H$9),BB24,0)</x:f>
      </x:c>
      <x:c r="BC25" s="107" t="n">
        <x:f>IF(BC$3&lt;EDATE(INDEX('Вводные'!$D$88:$D$91,$B$8),INDEX('Вводные'!$E$88:$E$91,$B$8)+INDEX('Вводные'!$F$88:$F$91,$B$8)+'Вводные'!$H$9),BC24,0)</x:f>
      </x:c>
      <x:c r="BD25" s="107" t="n">
        <x:f>IF(BD$3&lt;EDATE(INDEX('Вводные'!$D$88:$D$91,$B$8),INDEX('Вводные'!$E$88:$E$91,$B$8)+INDEX('Вводные'!$F$88:$F$91,$B$8)+'Вводные'!$H$9),BD24,0)</x:f>
      </x:c>
      <x:c r="BE25" s="107" t="n">
        <x:f>IF(BE$3&lt;EDATE(INDEX('Вводные'!$D$88:$D$91,$B$8),INDEX('Вводные'!$E$88:$E$91,$B$8)+INDEX('Вводные'!$F$88:$F$91,$B$8)+'Вводные'!$H$9),BE24,0)</x:f>
      </x:c>
      <x:c r="BF25" s="107" t="n">
        <x:f>IF(BF$3&lt;EDATE(INDEX('Вводные'!$D$88:$D$91,$B$8),INDEX('Вводные'!$E$88:$E$91,$B$8)+INDEX('Вводные'!$F$88:$F$91,$B$8)+'Вводные'!$H$9),BF24,0)</x:f>
      </x:c>
      <x:c r="BG25" s="107" t="n">
        <x:f>IF(BG$3&lt;EDATE(INDEX('Вводные'!$D$88:$D$91,$B$8),INDEX('Вводные'!$E$88:$E$91,$B$8)+INDEX('Вводные'!$F$88:$F$91,$B$8)+'Вводные'!$H$9),BG24,0)</x:f>
      </x:c>
      <x:c r="BH25" s="107" t="n">
        <x:f>IF(BH$3&lt;EDATE(INDEX('Вводные'!$D$88:$D$91,$B$8),INDEX('Вводные'!$E$88:$E$91,$B$8)+INDEX('Вводные'!$F$88:$F$91,$B$8)+'Вводные'!$H$9),BH24,0)</x:f>
      </x:c>
      <x:c r="BI25" s="107" t="n">
        <x:f>IF(BI$3&lt;EDATE(INDEX('Вводные'!$D$88:$D$91,$B$8),INDEX('Вводные'!$E$88:$E$91,$B$8)+INDEX('Вводные'!$F$88:$F$91,$B$8)+'Вводные'!$H$9),BI24,0)</x:f>
      </x:c>
      <x:c r="BJ25" s="107" t="n">
        <x:f>IF(BJ$3&lt;EDATE(INDEX('Вводные'!$D$88:$D$91,$B$8),INDEX('Вводные'!$E$88:$E$91,$B$8)+INDEX('Вводные'!$F$88:$F$91,$B$8)+'Вводные'!$H$9),BJ24,0)</x:f>
      </x:c>
      <x:c r="BK25" s="107" t="n">
        <x:f>IF(BK$3&lt;EDATE(INDEX('Вводные'!$D$88:$D$91,$B$8),INDEX('Вводные'!$E$88:$E$91,$B$8)+INDEX('Вводные'!$F$88:$F$91,$B$8)+'Вводные'!$H$9),BK24,0)</x:f>
      </x:c>
      <x:c r="BL25" s="107" t="n">
        <x:f>IF(BL$3&lt;EDATE(INDEX('Вводные'!$D$88:$D$91,$B$8),INDEX('Вводные'!$E$88:$E$91,$B$8)+INDEX('Вводные'!$F$88:$F$91,$B$8)+'Вводные'!$H$9),BL24,0)</x:f>
      </x:c>
      <x:c r="BM25" s="107" t="n">
        <x:f>IF(BM$3&lt;EDATE(INDEX('Вводные'!$D$88:$D$91,$B$8),INDEX('Вводные'!$E$88:$E$91,$B$8)+INDEX('Вводные'!$F$88:$F$91,$B$8)+'Вводные'!$H$9),BM24,0)</x:f>
      </x:c>
      <x:c r="BN25" s="107" t="n">
        <x:f>IF(BN$3&lt;EDATE(INDEX('Вводные'!$D$88:$D$91,$B$8),INDEX('Вводные'!$E$88:$E$91,$B$8)+INDEX('Вводные'!$F$88:$F$91,$B$8)+'Вводные'!$H$9),BN24,0)</x:f>
      </x:c>
      <x:c r="BO25" s="107" t="n">
        <x:f>IF(BO$3&lt;EDATE(INDEX('Вводные'!$D$88:$D$91,$B$8),INDEX('Вводные'!$E$88:$E$91,$B$8)+INDEX('Вводные'!$F$88:$F$91,$B$8)+'Вводные'!$H$9),BO24,0)</x:f>
      </x:c>
      <x:c r="BP25" s="107" t="n">
        <x:f>IF(BP$3&lt;EDATE(INDEX('Вводные'!$D$88:$D$91,$B$8),INDEX('Вводные'!$E$88:$E$91,$B$8)+INDEX('Вводные'!$F$88:$F$91,$B$8)+'Вводные'!$H$9),BP24,0)</x:f>
      </x:c>
      <x:c r="BQ25" s="107" t="n">
        <x:f>IF(BQ$3&lt;EDATE(INDEX('Вводные'!$D$88:$D$91,$B$8),INDEX('Вводные'!$E$88:$E$91,$B$8)+INDEX('Вводные'!$F$88:$F$91,$B$8)+'Вводные'!$H$9),BQ24,0)</x:f>
      </x:c>
      <x:c r="BR25" s="107" t="n">
        <x:f>IF(BR$3&lt;EDATE(INDEX('Вводные'!$D$88:$D$91,$B$8),INDEX('Вводные'!$E$88:$E$91,$B$8)+INDEX('Вводные'!$F$88:$F$91,$B$8)+'Вводные'!$H$9),BR24,0)</x:f>
      </x:c>
      <x:c r="BS25" s="107" t="n">
        <x:f>IF(BS$3&lt;EDATE(INDEX('Вводные'!$D$88:$D$91,$B$8),INDEX('Вводные'!$E$88:$E$91,$B$8)+INDEX('Вводные'!$F$88:$F$91,$B$8)+'Вводные'!$H$9),BS24,0)</x:f>
      </x:c>
      <x:c r="BT25" s="107" t="n">
        <x:f>IF(BT$3&lt;EDATE(INDEX('Вводные'!$D$88:$D$91,$B$8),INDEX('Вводные'!$E$88:$E$91,$B$8)+INDEX('Вводные'!$F$88:$F$91,$B$8)+'Вводные'!$H$9),BT24,0)</x:f>
      </x:c>
      <x:c r="BU25" s="107" t="n">
        <x:f>IF(BU$3&lt;EDATE(INDEX('Вводные'!$D$88:$D$91,$B$8),INDEX('Вводные'!$E$88:$E$91,$B$8)+INDEX('Вводные'!$F$88:$F$91,$B$8)+'Вводные'!$H$9),BU24,0)</x:f>
      </x:c>
      <x:c r="BV25" s="107" t="n">
        <x:f>IF(BV$3&lt;EDATE(INDEX('Вводные'!$D$88:$D$91,$B$8),INDEX('Вводные'!$E$88:$E$91,$B$8)+INDEX('Вводные'!$F$88:$F$91,$B$8)+'Вводные'!$H$9),BV24,0)</x:f>
      </x:c>
      <x:c r="BW25" s="107" t="n">
        <x:f>IF(BW$3&lt;EDATE(INDEX('Вводные'!$D$88:$D$91,$B$8),INDEX('Вводные'!$E$88:$E$91,$B$8)+INDEX('Вводные'!$F$88:$F$91,$B$8)+'Вводные'!$H$9),BW24,0)</x:f>
      </x:c>
      <x:c r="BX25" s="107" t="n">
        <x:f>IF(BX$3&lt;EDATE(INDEX('Вводные'!$D$88:$D$91,$B$8),INDEX('Вводные'!$E$88:$E$91,$B$8)+INDEX('Вводные'!$F$88:$F$91,$B$8)+'Вводные'!$H$9),BX24,0)</x:f>
      </x:c>
      <x:c r="BY25" s="107" t="n">
        <x:f>IF(BY$3&lt;EDATE(INDEX('Вводные'!$D$88:$D$91,$B$8),INDEX('Вводные'!$E$88:$E$91,$B$8)+INDEX('Вводные'!$F$88:$F$91,$B$8)+'Вводные'!$H$9),BY24,0)</x:f>
      </x:c>
      <x:c r="BZ25" s="107" t="n">
        <x:f>IF(BZ$3&lt;EDATE(INDEX('Вводные'!$D$88:$D$91,$B$8),INDEX('Вводные'!$E$88:$E$91,$B$8)+INDEX('Вводные'!$F$88:$F$91,$B$8)+'Вводные'!$H$9),BZ24,0)</x:f>
      </x:c>
      <x:c r="CA25" s="107" t="n">
        <x:f>IF(CA$3&lt;EDATE(INDEX('Вводные'!$D$88:$D$91,$B$8),INDEX('Вводные'!$E$88:$E$91,$B$8)+INDEX('Вводные'!$F$88:$F$91,$B$8)+'Вводные'!$H$9),CA24,0)</x:f>
      </x:c>
      <x:c r="CB25" s="107" t="n">
        <x:f>IF(CB$3&lt;EDATE(INDEX('Вводные'!$D$88:$D$91,$B$8),INDEX('Вводные'!$E$88:$E$91,$B$8)+INDEX('Вводные'!$F$88:$F$91,$B$8)+'Вводные'!$H$9),CB24,0)</x:f>
      </x:c>
      <x:c r="CC25" s="107" t="n">
        <x:f>IF(CC$3&lt;EDATE(INDEX('Вводные'!$D$88:$D$91,$B$8),INDEX('Вводные'!$E$88:$E$91,$B$8)+INDEX('Вводные'!$F$88:$F$91,$B$8)+'Вводные'!$H$9),CC24,0)</x:f>
      </x:c>
      <x:c r="CD25" s="107" t="n">
        <x:f>IF(CD$3&lt;EDATE(INDEX('Вводные'!$D$88:$D$91,$B$8),INDEX('Вводные'!$E$88:$E$91,$B$8)+INDEX('Вводные'!$F$88:$F$91,$B$8)+'Вводные'!$H$9),CD24,0)</x:f>
      </x:c>
      <x:c r="CE25" s="107" t="n">
        <x:f>IF(CE$3&lt;EDATE(INDEX('Вводные'!$D$88:$D$91,$B$8),INDEX('Вводные'!$E$88:$E$91,$B$8)+INDEX('Вводные'!$F$88:$F$91,$B$8)+'Вводные'!$H$9),CE24,0)</x:f>
      </x:c>
      <x:c r="CF25" s="107" t="n">
        <x:f>IF(CF$3&lt;EDATE(INDEX('Вводные'!$D$88:$D$91,$B$8),INDEX('Вводные'!$E$88:$E$91,$B$8)+INDEX('Вводные'!$F$88:$F$91,$B$8)+'Вводные'!$H$9),CF24,0)</x:f>
      </x:c>
      <x:c r="CG25" s="107" t="n">
        <x:f>IF(CG$3&lt;EDATE(INDEX('Вводные'!$D$88:$D$91,$B$8),INDEX('Вводные'!$E$88:$E$91,$B$8)+INDEX('Вводные'!$F$88:$F$91,$B$8)+'Вводные'!$H$9),CG24,0)</x:f>
      </x:c>
      <x:c r="CH25" s="107" t="n">
        <x:f>IF(CH$3&lt;EDATE(INDEX('Вводные'!$D$88:$D$91,$B$8),INDEX('Вводные'!$E$88:$E$91,$B$8)+INDEX('Вводные'!$F$88:$F$91,$B$8)+'Вводные'!$H$9),CH24,0)</x:f>
      </x:c>
      <x:c r="CI25" s="107" t="n">
        <x:f>IF(CI$3&lt;EDATE(INDEX('Вводные'!$D$88:$D$91,$B$8),INDEX('Вводные'!$E$88:$E$91,$B$8)+INDEX('Вводные'!$F$88:$F$91,$B$8)+'Вводные'!$H$9),CI24,0)</x:f>
      </x:c>
      <x:c r="CJ25" s="107" t="n">
        <x:f>IF(CJ$3&lt;EDATE(INDEX('Вводные'!$D$88:$D$91,$B$8),INDEX('Вводные'!$E$88:$E$91,$B$8)+INDEX('Вводные'!$F$88:$F$91,$B$8)+'Вводные'!$H$9),CJ24,0)</x:f>
      </x:c>
      <x:c r="CK25" s="107" t="n">
        <x:f>IF(CK$3&lt;EDATE(INDEX('Вводные'!$D$88:$D$91,$B$8),INDEX('Вводные'!$E$88:$E$91,$B$8)+INDEX('Вводные'!$F$88:$F$91,$B$8)+'Вводные'!$H$9),CK24,0)</x:f>
      </x:c>
      <x:c r="CL25" s="107" t="n">
        <x:f>IF(CL$3&lt;EDATE(INDEX('Вводные'!$D$88:$D$91,$B$8),INDEX('Вводные'!$E$88:$E$91,$B$8)+INDEX('Вводные'!$F$88:$F$91,$B$8)+'Вводные'!$H$9),CL24,0)</x:f>
      </x:c>
      <x:c r="CM25" s="107" t="n">
        <x:f>IF(CM$3&lt;EDATE(INDEX('Вводные'!$D$88:$D$91,$B$8),INDEX('Вводные'!$E$88:$E$91,$B$8)+INDEX('Вводные'!$F$88:$F$91,$B$8)+'Вводные'!$H$9),CM24,0)</x:f>
      </x:c>
      <x:c r="CN25" s="107" t="n">
        <x:f>IF(CN$3&lt;EDATE(INDEX('Вводные'!$D$88:$D$91,$B$8),INDEX('Вводные'!$E$88:$E$91,$B$8)+INDEX('Вводные'!$F$88:$F$91,$B$8)+'Вводные'!$H$9),CN24,0)</x:f>
      </x:c>
      <x:c r="CO25" s="107" t="n">
        <x:f>IF(CO$3&lt;EDATE(INDEX('Вводные'!$D$88:$D$91,$B$8),INDEX('Вводные'!$E$88:$E$91,$B$8)+INDEX('Вводные'!$F$88:$F$91,$B$8)+'Вводные'!$H$9),CO24,0)</x:f>
      </x:c>
      <x:c r="CP25" s="107" t="n">
        <x:f>IF(CP$3&lt;EDATE(INDEX('Вводные'!$D$88:$D$91,$B$8),INDEX('Вводные'!$E$88:$E$91,$B$8)+INDEX('Вводные'!$F$88:$F$91,$B$8)+'Вводные'!$H$9),CP24,0)</x:f>
      </x:c>
      <x:c r="CQ25" s="107" t="n">
        <x:f>IF(CQ$3&lt;EDATE(INDEX('Вводные'!$D$88:$D$91,$B$8),INDEX('Вводные'!$E$88:$E$91,$B$8)+INDEX('Вводные'!$F$88:$F$91,$B$8)+'Вводные'!$H$9),CQ24,0)</x:f>
      </x:c>
      <x:c r="CR25" s="107" t="n">
        <x:f>IF(CR$3&lt;EDATE(INDEX('Вводные'!$D$88:$D$91,$B$8),INDEX('Вводные'!$E$88:$E$91,$B$8)+INDEX('Вводные'!$F$88:$F$91,$B$8)+'Вводные'!$H$9),CR24,0)</x:f>
      </x:c>
      <x:c r="CS25" s="107" t="n">
        <x:f>IF(CS$3&lt;EDATE(INDEX('Вводные'!$D$88:$D$91,$B$8),INDEX('Вводные'!$E$88:$E$91,$B$8)+INDEX('Вводные'!$F$88:$F$91,$B$8)+'Вводные'!$H$9),CS24,0)</x:f>
      </x:c>
      <x:c r="CT25" s="107" t="n">
        <x:f>IF(CT$3&lt;EDATE(INDEX('Вводные'!$D$88:$D$91,$B$8),INDEX('Вводные'!$E$88:$E$91,$B$8)+INDEX('Вводные'!$F$88:$F$91,$B$8)+'Вводные'!$H$9),CT24,0)</x:f>
      </x:c>
      <x:c r="CU25" s="107" t="n">
        <x:f>IF(CU$3&lt;EDATE(INDEX('Вводные'!$D$88:$D$91,$B$8),INDEX('Вводные'!$E$88:$E$91,$B$8)+INDEX('Вводные'!$F$88:$F$91,$B$8)+'Вводные'!$H$9),CU24,0)</x:f>
      </x:c>
      <x:c r="CV25" s="107" t="n">
        <x:f>IF(CV$3&lt;EDATE(INDEX('Вводные'!$D$88:$D$91,$B$8),INDEX('Вводные'!$E$88:$E$91,$B$8)+INDEX('Вводные'!$F$88:$F$91,$B$8)+'Вводные'!$H$9),CV24,0)</x:f>
      </x:c>
      <x:c r="CW25" s="107" t="n">
        <x:f>IF(CW$3&lt;EDATE(INDEX('Вводные'!$D$88:$D$91,$B$8),INDEX('Вводные'!$E$88:$E$91,$B$8)+INDEX('Вводные'!$F$88:$F$91,$B$8)+'Вводные'!$H$9),CW24,0)</x:f>
      </x:c>
      <x:c r="CX25" s="107" t="n">
        <x:f>IF(CX$3&lt;EDATE(INDEX('Вводные'!$D$88:$D$91,$B$8),INDEX('Вводные'!$E$88:$E$91,$B$8)+INDEX('Вводные'!$F$88:$F$91,$B$8)+'Вводные'!$H$9),CX24,0)</x:f>
      </x:c>
      <x:c r="CY25" s="107" t="n">
        <x:f>IF(CY$3&lt;EDATE(INDEX('Вводные'!$D$88:$D$91,$B$8),INDEX('Вводные'!$E$88:$E$91,$B$8)+INDEX('Вводные'!$F$88:$F$91,$B$8)+'Вводные'!$H$9),CY24,0)</x:f>
      </x:c>
      <x:c r="CZ25" s="107" t="n">
        <x:f>IF(CZ$3&lt;EDATE(INDEX('Вводные'!$D$88:$D$91,$B$8),INDEX('Вводные'!$E$88:$E$91,$B$8)+INDEX('Вводные'!$F$88:$F$91,$B$8)+'Вводные'!$H$9),CZ24,0)</x:f>
      </x:c>
      <x:c r="DA25" s="107" t="n">
        <x:f>IF(DA$3&lt;EDATE(INDEX('Вводные'!$D$88:$D$91,$B$8),INDEX('Вводные'!$E$88:$E$91,$B$8)+INDEX('Вводные'!$F$88:$F$91,$B$8)+'Вводные'!$H$9),DA24,0)</x:f>
      </x:c>
      <x:c r="DB25" s="107" t="n">
        <x:f>IF(DB$3&lt;EDATE(INDEX('Вводные'!$D$88:$D$91,$B$8),INDEX('Вводные'!$E$88:$E$91,$B$8)+INDEX('Вводные'!$F$88:$F$91,$B$8)+'Вводные'!$H$9),DB24,0)</x:f>
      </x:c>
      <x:c r="DC25" s="107" t="n">
        <x:f>IF(DC$3&lt;EDATE(INDEX('Вводные'!$D$88:$D$91,$B$8),INDEX('Вводные'!$E$88:$E$91,$B$8)+INDEX('Вводные'!$F$88:$F$91,$B$8)+'Вводные'!$H$9),DC24,0)</x:f>
      </x:c>
      <x:c r="DD25" s="107" t="n">
        <x:f>IF(DD$3&lt;EDATE(INDEX('Вводные'!$D$88:$D$91,$B$8),INDEX('Вводные'!$E$88:$E$91,$B$8)+INDEX('Вводные'!$F$88:$F$91,$B$8)+'Вводные'!$H$9),DD24,0)</x:f>
      </x:c>
      <x:c r="DE25" s="107" t="n">
        <x:f>IF(DE$3&lt;EDATE(INDEX('Вводные'!$D$88:$D$91,$B$8),INDEX('Вводные'!$E$88:$E$91,$B$8)+INDEX('Вводные'!$F$88:$F$91,$B$8)+'Вводные'!$H$9),DE24,0)</x:f>
      </x:c>
      <x:c r="DF25" s="107" t="n">
        <x:f>IF(DF$3&lt;EDATE(INDEX('Вводные'!$D$88:$D$91,$B$8),INDEX('Вводные'!$E$88:$E$91,$B$8)+INDEX('Вводные'!$F$88:$F$91,$B$8)+'Вводные'!$H$9),DF24,0)</x:f>
      </x:c>
      <x:c r="DG25" s="107" t="n">
        <x:f>IF(DG$3&lt;EDATE(INDEX('Вводные'!$D$88:$D$91,$B$8),INDEX('Вводные'!$E$88:$E$91,$B$8)+INDEX('Вводные'!$F$88:$F$91,$B$8)+'Вводные'!$H$9),DG24,0)</x:f>
      </x:c>
      <x:c r="DH25" s="107" t="n">
        <x:f>IF(DH$3&lt;EDATE(INDEX('Вводные'!$D$88:$D$91,$B$8),INDEX('Вводные'!$E$88:$E$91,$B$8)+INDEX('Вводные'!$F$88:$F$91,$B$8)+'Вводные'!$H$9),DH24,0)</x:f>
      </x:c>
      <x:c r="DI25" s="107" t="n">
        <x:f>IF(DI$3&lt;EDATE(INDEX('Вводные'!$D$88:$D$91,$B$8),INDEX('Вводные'!$E$88:$E$91,$B$8)+INDEX('Вводные'!$F$88:$F$91,$B$8)+'Вводные'!$H$9),DI24,0)</x:f>
      </x:c>
      <x:c r="DJ25" s="107" t="n">
        <x:f>IF(DJ$3&lt;EDATE(INDEX('Вводные'!$D$88:$D$91,$B$8),INDEX('Вводные'!$E$88:$E$91,$B$8)+INDEX('Вводные'!$F$88:$F$91,$B$8)+'Вводные'!$H$9),DJ24,0)</x:f>
      </x:c>
      <x:c r="DK25" s="107" t="n">
        <x:f>IF(DK$3&lt;EDATE(INDEX('Вводные'!$D$88:$D$91,$B$8),INDEX('Вводные'!$E$88:$E$91,$B$8)+INDEX('Вводные'!$F$88:$F$91,$B$8)+'Вводные'!$H$9),DK24,0)</x:f>
      </x:c>
      <x:c r="DL25" s="107" t="n">
        <x:f>IF(DL$3&lt;EDATE(INDEX('Вводные'!$D$88:$D$91,$B$8),INDEX('Вводные'!$E$88:$E$91,$B$8)+INDEX('Вводные'!$F$88:$F$91,$B$8)+'Вводные'!$H$9),DL24,0)</x:f>
      </x:c>
      <x:c r="DM25" s="107" t="n">
        <x:f>IF(DM$3&lt;EDATE(INDEX('Вводные'!$D$88:$D$91,$B$8),INDEX('Вводные'!$E$88:$E$91,$B$8)+INDEX('Вводные'!$F$88:$F$91,$B$8)+'Вводные'!$H$9),DM24,0)</x:f>
      </x:c>
      <x:c r="DN25" s="107" t="n">
        <x:f>IF(DN$3&lt;EDATE(INDEX('Вводные'!$D$88:$D$91,$B$8),INDEX('Вводные'!$E$88:$E$91,$B$8)+INDEX('Вводные'!$F$88:$F$91,$B$8)+'Вводные'!$H$9),DN24,0)</x:f>
      </x:c>
      <x:c r="DO25" s="107" t="n">
        <x:f>IF(DO$3&lt;EDATE(INDEX('Вводные'!$D$88:$D$91,$B$8),INDEX('Вводные'!$E$88:$E$91,$B$8)+INDEX('Вводные'!$F$88:$F$91,$B$8)+'Вводные'!$H$9),DO24,0)</x:f>
      </x:c>
      <x:c r="DP25" s="107" t="n">
        <x:f>IF(DP$3&lt;EDATE(INDEX('Вводные'!$D$88:$D$91,$B$8),INDEX('Вводные'!$E$88:$E$91,$B$8)+INDEX('Вводные'!$F$88:$F$91,$B$8)+'Вводные'!$H$9),DP24,0)</x:f>
      </x:c>
      <x:c r="DQ25" s="107" t="n">
        <x:f>IF(DQ$3&lt;EDATE(INDEX('Вводные'!$D$88:$D$91,$B$8),INDEX('Вводные'!$E$88:$E$91,$B$8)+INDEX('Вводные'!$F$88:$F$91,$B$8)+'Вводные'!$H$9),DQ24,0)</x:f>
      </x:c>
      <x:c r="DR25" s="107" t="n">
        <x:f>IF(DR$3&lt;EDATE(INDEX('Вводные'!$D$88:$D$91,$B$8),INDEX('Вводные'!$E$88:$E$91,$B$8)+INDEX('Вводные'!$F$88:$F$91,$B$8)+'Вводные'!$H$9),DR24,0)</x:f>
      </x:c>
      <x:c r="DS25" s="107" t="n">
        <x:f>IF(DS$3&lt;EDATE(INDEX('Вводные'!$D$88:$D$91,$B$8),INDEX('Вводные'!$E$88:$E$91,$B$8)+INDEX('Вводные'!$F$88:$F$91,$B$8)+'Вводные'!$H$9),DS24,0)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IF(D$3&gt;=EDATE(INDEX('Вводные'!$D$88:$D$91,$B$8),INDEX('Вводные'!$E$88:$E$91,$B$8)+INDEX('Вводные'!$F$88:$F$91,$B$8)+'Вводные'!$H$9),D24,0)</x:f>
      </x:c>
      <x:c r="E26" s="107" t="n">
        <x:f>IF(E$3&gt;=EDATE(INDEX('Вводные'!$D$88:$D$91,$B$8),INDEX('Вводные'!$E$88:$E$91,$B$8)+INDEX('Вводные'!$F$88:$F$91,$B$8)+'Вводные'!$H$9),E24,0)</x:f>
      </x:c>
      <x:c r="F26" s="107" t="n">
        <x:f>IF(F$3&gt;=EDATE(INDEX('Вводные'!$D$88:$D$91,$B$8),INDEX('Вводные'!$E$88:$E$91,$B$8)+INDEX('Вводные'!$F$88:$F$91,$B$8)+'Вводные'!$H$9),F24,0)</x:f>
      </x:c>
      <x:c r="G26" s="107" t="n">
        <x:f>IF(G$3&gt;=EDATE(INDEX('Вводные'!$D$88:$D$91,$B$8),INDEX('Вводные'!$E$88:$E$91,$B$8)+INDEX('Вводные'!$F$88:$F$91,$B$8)+'Вводные'!$H$9),G24,0)</x:f>
      </x:c>
      <x:c r="H26" s="107" t="n">
        <x:f>IF(H$3&gt;=EDATE(INDEX('Вводные'!$D$88:$D$91,$B$8),INDEX('Вводные'!$E$88:$E$91,$B$8)+INDEX('Вводные'!$F$88:$F$91,$B$8)+'Вводные'!$H$9),H24,0)</x:f>
      </x:c>
      <x:c r="I26" s="107" t="n">
        <x:f>IF(I$3&gt;=EDATE(INDEX('Вводные'!$D$88:$D$91,$B$8),INDEX('Вводные'!$E$88:$E$91,$B$8)+INDEX('Вводные'!$F$88:$F$91,$B$8)+'Вводные'!$H$9),I24,0)</x:f>
      </x:c>
      <x:c r="J26" s="107" t="n">
        <x:f>IF(J$3&gt;=EDATE(INDEX('Вводные'!$D$88:$D$91,$B$8),INDEX('Вводные'!$E$88:$E$91,$B$8)+INDEX('Вводные'!$F$88:$F$91,$B$8)+'Вводные'!$H$9),J24,0)</x:f>
      </x:c>
      <x:c r="K26" s="107" t="n">
        <x:f>IF(K$3&gt;=EDATE(INDEX('Вводные'!$D$88:$D$91,$B$8),INDEX('Вводные'!$E$88:$E$91,$B$8)+INDEX('Вводные'!$F$88:$F$91,$B$8)+'Вводные'!$H$9),K24,0)</x:f>
      </x:c>
      <x:c r="L26" s="107" t="n">
        <x:f>IF(L$3&gt;=EDATE(INDEX('Вводные'!$D$88:$D$91,$B$8),INDEX('Вводные'!$E$88:$E$91,$B$8)+INDEX('Вводные'!$F$88:$F$91,$B$8)+'Вводные'!$H$9),L24,0)</x:f>
      </x:c>
      <x:c r="M26" s="107" t="n">
        <x:f>IF(M$3&gt;=EDATE(INDEX('Вводные'!$D$88:$D$91,$B$8),INDEX('Вводные'!$E$88:$E$91,$B$8)+INDEX('Вводные'!$F$88:$F$91,$B$8)+'Вводные'!$H$9),M24,0)</x:f>
      </x:c>
      <x:c r="N26" s="107" t="n">
        <x:f>IF(N$3&gt;=EDATE(INDEX('Вводные'!$D$88:$D$91,$B$8),INDEX('Вводные'!$E$88:$E$91,$B$8)+INDEX('Вводные'!$F$88:$F$91,$B$8)+'Вводные'!$H$9),N24,0)</x:f>
      </x:c>
      <x:c r="O26" s="107" t="n">
        <x:f>IF(O$3&gt;=EDATE(INDEX('Вводные'!$D$88:$D$91,$B$8),INDEX('Вводные'!$E$88:$E$91,$B$8)+INDEX('Вводные'!$F$88:$F$91,$B$8)+'Вводные'!$H$9),O24,0)</x:f>
      </x:c>
      <x:c r="P26" s="107" t="n">
        <x:f>IF(P$3&gt;=EDATE(INDEX('Вводные'!$D$88:$D$91,$B$8),INDEX('Вводные'!$E$88:$E$91,$B$8)+INDEX('Вводные'!$F$88:$F$91,$B$8)+'Вводные'!$H$9),P24,0)</x:f>
      </x:c>
      <x:c r="Q26" s="107" t="n">
        <x:f>IF(Q$3&gt;=EDATE(INDEX('Вводные'!$D$88:$D$91,$B$8),INDEX('Вводные'!$E$88:$E$91,$B$8)+INDEX('Вводные'!$F$88:$F$91,$B$8)+'Вводные'!$H$9),Q24,0)</x:f>
      </x:c>
      <x:c r="R26" s="107" t="n">
        <x:f>IF(R$3&gt;=EDATE(INDEX('Вводные'!$D$88:$D$91,$B$8),INDEX('Вводные'!$E$88:$E$91,$B$8)+INDEX('Вводные'!$F$88:$F$91,$B$8)+'Вводные'!$H$9),R24,0)</x:f>
      </x:c>
      <x:c r="S26" s="107" t="n">
        <x:f>IF(S$3&gt;=EDATE(INDEX('Вводные'!$D$88:$D$91,$B$8),INDEX('Вводные'!$E$88:$E$91,$B$8)+INDEX('Вводные'!$F$88:$F$91,$B$8)+'Вводные'!$H$9),S24,0)</x:f>
      </x:c>
      <x:c r="T26" s="107" t="n">
        <x:f>IF(T$3&gt;=EDATE(INDEX('Вводные'!$D$88:$D$91,$B$8),INDEX('Вводные'!$E$88:$E$91,$B$8)+INDEX('Вводные'!$F$88:$F$91,$B$8)+'Вводные'!$H$9),T24,0)</x:f>
      </x:c>
      <x:c r="U26" s="107" t="n">
        <x:f>IF(U$3&gt;=EDATE(INDEX('Вводные'!$D$88:$D$91,$B$8),INDEX('Вводные'!$E$88:$E$91,$B$8)+INDEX('Вводные'!$F$88:$F$91,$B$8)+'Вводные'!$H$9),U24,0)</x:f>
      </x:c>
      <x:c r="V26" s="107" t="n">
        <x:f>IF(V$3&gt;=EDATE(INDEX('Вводные'!$D$88:$D$91,$B$8),INDEX('Вводные'!$E$88:$E$91,$B$8)+INDEX('Вводные'!$F$88:$F$91,$B$8)+'Вводные'!$H$9),V24,0)</x:f>
      </x:c>
      <x:c r="W26" s="107" t="n">
        <x:f>IF(W$3&gt;=EDATE(INDEX('Вводные'!$D$88:$D$91,$B$8),INDEX('Вводные'!$E$88:$E$91,$B$8)+INDEX('Вводные'!$F$88:$F$91,$B$8)+'Вводные'!$H$9),W24,0)</x:f>
      </x:c>
      <x:c r="X26" s="107" t="n">
        <x:f>IF(X$3&gt;=EDATE(INDEX('Вводные'!$D$88:$D$91,$B$8),INDEX('Вводные'!$E$88:$E$91,$B$8)+INDEX('Вводные'!$F$88:$F$91,$B$8)+'Вводные'!$H$9),X24,0)</x:f>
      </x:c>
      <x:c r="Y26" s="107" t="n">
        <x:f>IF(Y$3&gt;=EDATE(INDEX('Вводные'!$D$88:$D$91,$B$8),INDEX('Вводные'!$E$88:$E$91,$B$8)+INDEX('Вводные'!$F$88:$F$91,$B$8)+'Вводные'!$H$9),Y24,0)</x:f>
      </x:c>
      <x:c r="Z26" s="107" t="n">
        <x:f>IF(Z$3&gt;=EDATE(INDEX('Вводные'!$D$88:$D$91,$B$8),INDEX('Вводные'!$E$88:$E$91,$B$8)+INDEX('Вводные'!$F$88:$F$91,$B$8)+'Вводные'!$H$9),Z24,0)</x:f>
      </x:c>
      <x:c r="AA26" s="107" t="n">
        <x:f>IF(AA$3&gt;=EDATE(INDEX('Вводные'!$D$88:$D$91,$B$8),INDEX('Вводные'!$E$88:$E$91,$B$8)+INDEX('Вводные'!$F$88:$F$91,$B$8)+'Вводные'!$H$9),AA24,0)</x:f>
      </x:c>
      <x:c r="AB26" s="107" t="n">
        <x:f>IF(AB$3&gt;=EDATE(INDEX('Вводные'!$D$88:$D$91,$B$8),INDEX('Вводные'!$E$88:$E$91,$B$8)+INDEX('Вводные'!$F$88:$F$91,$B$8)+'Вводные'!$H$9),AB24,0)</x:f>
      </x:c>
      <x:c r="AC26" s="107" t="n">
        <x:f>IF(AC$3&gt;=EDATE(INDEX('Вводные'!$D$88:$D$91,$B$8),INDEX('Вводные'!$E$88:$E$91,$B$8)+INDEX('Вводные'!$F$88:$F$91,$B$8)+'Вводные'!$H$9),AC24,0)</x:f>
      </x:c>
      <x:c r="AD26" s="107" t="n">
        <x:f>IF(AD$3&gt;=EDATE(INDEX('Вводные'!$D$88:$D$91,$B$8),INDEX('Вводные'!$E$88:$E$91,$B$8)+INDEX('Вводные'!$F$88:$F$91,$B$8)+'Вводные'!$H$9),AD24,0)</x:f>
      </x:c>
      <x:c r="AE26" s="107" t="n">
        <x:f>IF(AE$3&gt;=EDATE(INDEX('Вводные'!$D$88:$D$91,$B$8),INDEX('Вводные'!$E$88:$E$91,$B$8)+INDEX('Вводные'!$F$88:$F$91,$B$8)+'Вводные'!$H$9),AE24,0)</x:f>
      </x:c>
      <x:c r="AF26" s="107" t="n">
        <x:f>IF(AF$3&gt;=EDATE(INDEX('Вводные'!$D$88:$D$91,$B$8),INDEX('Вводные'!$E$88:$E$91,$B$8)+INDEX('Вводные'!$F$88:$F$91,$B$8)+'Вводные'!$H$9),AF24,0)</x:f>
      </x:c>
      <x:c r="AG26" s="107" t="n">
        <x:f>IF(AG$3&gt;=EDATE(INDEX('Вводные'!$D$88:$D$91,$B$8),INDEX('Вводные'!$E$88:$E$91,$B$8)+INDEX('Вводные'!$F$88:$F$91,$B$8)+'Вводные'!$H$9),AG24,0)</x:f>
      </x:c>
      <x:c r="AH26" s="107" t="n">
        <x:f>IF(AH$3&gt;=EDATE(INDEX('Вводные'!$D$88:$D$91,$B$8),INDEX('Вводные'!$E$88:$E$91,$B$8)+INDEX('Вводные'!$F$88:$F$91,$B$8)+'Вводные'!$H$9),AH24,0)</x:f>
      </x:c>
      <x:c r="AI26" s="107" t="n">
        <x:f>IF(AI$3&gt;=EDATE(INDEX('Вводные'!$D$88:$D$91,$B$8),INDEX('Вводные'!$E$88:$E$91,$B$8)+INDEX('Вводные'!$F$88:$F$91,$B$8)+'Вводные'!$H$9),AI24,0)</x:f>
      </x:c>
      <x:c r="AJ26" s="107" t="n">
        <x:f>IF(AJ$3&gt;=EDATE(INDEX('Вводные'!$D$88:$D$91,$B$8),INDEX('Вводные'!$E$88:$E$91,$B$8)+INDEX('Вводные'!$F$88:$F$91,$B$8)+'Вводные'!$H$9),AJ24,0)</x:f>
      </x:c>
      <x:c r="AK26" s="107" t="n">
        <x:f>IF(AK$3&gt;=EDATE(INDEX('Вводные'!$D$88:$D$91,$B$8),INDEX('Вводные'!$E$88:$E$91,$B$8)+INDEX('Вводные'!$F$88:$F$91,$B$8)+'Вводные'!$H$9),AK24,0)</x:f>
      </x:c>
      <x:c r="AL26" s="107" t="n">
        <x:f>IF(AL$3&gt;=EDATE(INDEX('Вводные'!$D$88:$D$91,$B$8),INDEX('Вводные'!$E$88:$E$91,$B$8)+INDEX('Вводные'!$F$88:$F$91,$B$8)+'Вводные'!$H$9),AL24,0)</x:f>
      </x:c>
      <x:c r="AM26" s="107" t="n">
        <x:f>IF(AM$3&gt;=EDATE(INDEX('Вводные'!$D$88:$D$91,$B$8),INDEX('Вводные'!$E$88:$E$91,$B$8)+INDEX('Вводные'!$F$88:$F$91,$B$8)+'Вводные'!$H$9),AM24,0)</x:f>
      </x:c>
      <x:c r="AN26" s="107" t="n">
        <x:f>IF(AN$3&gt;=EDATE(INDEX('Вводные'!$D$88:$D$91,$B$8),INDEX('Вводные'!$E$88:$E$91,$B$8)+INDEX('Вводные'!$F$88:$F$91,$B$8)+'Вводные'!$H$9),AN24,0)</x:f>
      </x:c>
      <x:c r="AO26" s="107" t="n">
        <x:f>IF(AO$3&gt;=EDATE(INDEX('Вводные'!$D$88:$D$91,$B$8),INDEX('Вводные'!$E$88:$E$91,$B$8)+INDEX('Вводные'!$F$88:$F$91,$B$8)+'Вводные'!$H$9),AO24,0)</x:f>
      </x:c>
      <x:c r="AP26" s="107" t="n">
        <x:f>IF(AP$3&gt;=EDATE(INDEX('Вводные'!$D$88:$D$91,$B$8),INDEX('Вводные'!$E$88:$E$91,$B$8)+INDEX('Вводные'!$F$88:$F$91,$B$8)+'Вводные'!$H$9),AP24,0)</x:f>
      </x:c>
      <x:c r="AQ26" s="107" t="n">
        <x:f>IF(AQ$3&gt;=EDATE(INDEX('Вводные'!$D$88:$D$91,$B$8),INDEX('Вводные'!$E$88:$E$91,$B$8)+INDEX('Вводные'!$F$88:$F$91,$B$8)+'Вводные'!$H$9),AQ24,0)</x:f>
      </x:c>
      <x:c r="AR26" s="107" t="n">
        <x:f>IF(AR$3&gt;=EDATE(INDEX('Вводные'!$D$88:$D$91,$B$8),INDEX('Вводные'!$E$88:$E$91,$B$8)+INDEX('Вводные'!$F$88:$F$91,$B$8)+'Вводные'!$H$9),AR24,0)</x:f>
      </x:c>
      <x:c r="AS26" s="107" t="n">
        <x:f>IF(AS$3&gt;=EDATE(INDEX('Вводные'!$D$88:$D$91,$B$8),INDEX('Вводные'!$E$88:$E$91,$B$8)+INDEX('Вводные'!$F$88:$F$91,$B$8)+'Вводные'!$H$9),AS24,0)</x:f>
      </x:c>
      <x:c r="AT26" s="107" t="n">
        <x:f>IF(AT$3&gt;=EDATE(INDEX('Вводные'!$D$88:$D$91,$B$8),INDEX('Вводные'!$E$88:$E$91,$B$8)+INDEX('Вводные'!$F$88:$F$91,$B$8)+'Вводные'!$H$9),AT24,0)</x:f>
      </x:c>
      <x:c r="AU26" s="107" t="n">
        <x:f>IF(AU$3&gt;=EDATE(INDEX('Вводные'!$D$88:$D$91,$B$8),INDEX('Вводные'!$E$88:$E$91,$B$8)+INDEX('Вводные'!$F$88:$F$91,$B$8)+'Вводные'!$H$9),AU24,0)</x:f>
      </x:c>
      <x:c r="AV26" s="107" t="n">
        <x:f>IF(AV$3&gt;=EDATE(INDEX('Вводные'!$D$88:$D$91,$B$8),INDEX('Вводные'!$E$88:$E$91,$B$8)+INDEX('Вводные'!$F$88:$F$91,$B$8)+'Вводные'!$H$9),AV24,0)</x:f>
      </x:c>
      <x:c r="AW26" s="107" t="n">
        <x:f>IF(AW$3&gt;=EDATE(INDEX('Вводные'!$D$88:$D$91,$B$8),INDEX('Вводные'!$E$88:$E$91,$B$8)+INDEX('Вводные'!$F$88:$F$91,$B$8)+'Вводные'!$H$9),AW24,0)</x:f>
      </x:c>
      <x:c r="AX26" s="107" t="n">
        <x:f>IF(AX$3&gt;=EDATE(INDEX('Вводные'!$D$88:$D$91,$B$8),INDEX('Вводные'!$E$88:$E$91,$B$8)+INDEX('Вводные'!$F$88:$F$91,$B$8)+'Вводные'!$H$9),AX24,0)</x:f>
      </x:c>
      <x:c r="AY26" s="107" t="n">
        <x:f>IF(AY$3&gt;=EDATE(INDEX('Вводные'!$D$88:$D$91,$B$8),INDEX('Вводные'!$E$88:$E$91,$B$8)+INDEX('Вводные'!$F$88:$F$91,$B$8)+'Вводные'!$H$9),AY24,0)</x:f>
      </x:c>
      <x:c r="AZ26" s="107" t="n">
        <x:f>IF(AZ$3&gt;=EDATE(INDEX('Вводные'!$D$88:$D$91,$B$8),INDEX('Вводные'!$E$88:$E$91,$B$8)+INDEX('Вводные'!$F$88:$F$91,$B$8)+'Вводные'!$H$9),AZ24,0)</x:f>
      </x:c>
      <x:c r="BA26" s="107" t="n">
        <x:f>IF(BA$3&gt;=EDATE(INDEX('Вводные'!$D$88:$D$91,$B$8),INDEX('Вводные'!$E$88:$E$91,$B$8)+INDEX('Вводные'!$F$88:$F$91,$B$8)+'Вводные'!$H$9),BA24,0)</x:f>
      </x:c>
      <x:c r="BB26" s="107" t="n">
        <x:f>IF(BB$3&gt;=EDATE(INDEX('Вводные'!$D$88:$D$91,$B$8),INDEX('Вводные'!$E$88:$E$91,$B$8)+INDEX('Вводные'!$F$88:$F$91,$B$8)+'Вводные'!$H$9),BB24,0)</x:f>
      </x:c>
      <x:c r="BC26" s="107" t="n">
        <x:f>IF(BC$3&gt;=EDATE(INDEX('Вводные'!$D$88:$D$91,$B$8),INDEX('Вводные'!$E$88:$E$91,$B$8)+INDEX('Вводные'!$F$88:$F$91,$B$8)+'Вводные'!$H$9),BC24,0)</x:f>
      </x:c>
      <x:c r="BD26" s="107" t="n">
        <x:f>IF(BD$3&gt;=EDATE(INDEX('Вводные'!$D$88:$D$91,$B$8),INDEX('Вводные'!$E$88:$E$91,$B$8)+INDEX('Вводные'!$F$88:$F$91,$B$8)+'Вводные'!$H$9),BD24,0)</x:f>
      </x:c>
      <x:c r="BE26" s="107" t="n">
        <x:f>IF(BE$3&gt;=EDATE(INDEX('Вводные'!$D$88:$D$91,$B$8),INDEX('Вводные'!$E$88:$E$91,$B$8)+INDEX('Вводные'!$F$88:$F$91,$B$8)+'Вводные'!$H$9),BE24,0)</x:f>
      </x:c>
      <x:c r="BF26" s="107" t="n">
        <x:f>IF(BF$3&gt;=EDATE(INDEX('Вводные'!$D$88:$D$91,$B$8),INDEX('Вводные'!$E$88:$E$91,$B$8)+INDEX('Вводные'!$F$88:$F$91,$B$8)+'Вводные'!$H$9),BF24,0)</x:f>
      </x:c>
      <x:c r="BG26" s="107" t="n">
        <x:f>IF(BG$3&gt;=EDATE(INDEX('Вводные'!$D$88:$D$91,$B$8),INDEX('Вводные'!$E$88:$E$91,$B$8)+INDEX('Вводные'!$F$88:$F$91,$B$8)+'Вводные'!$H$9),BG24,0)</x:f>
      </x:c>
      <x:c r="BH26" s="107" t="n">
        <x:f>IF(BH$3&gt;=EDATE(INDEX('Вводные'!$D$88:$D$91,$B$8),INDEX('Вводные'!$E$88:$E$91,$B$8)+INDEX('Вводные'!$F$88:$F$91,$B$8)+'Вводные'!$H$9),BH24,0)</x:f>
      </x:c>
      <x:c r="BI26" s="107" t="n">
        <x:f>IF(BI$3&gt;=EDATE(INDEX('Вводные'!$D$88:$D$91,$B$8),INDEX('Вводные'!$E$88:$E$91,$B$8)+INDEX('Вводные'!$F$88:$F$91,$B$8)+'Вводные'!$H$9),BI24,0)</x:f>
      </x:c>
      <x:c r="BJ26" s="107" t="n">
        <x:f>IF(BJ$3&gt;=EDATE(INDEX('Вводные'!$D$88:$D$91,$B$8),INDEX('Вводные'!$E$88:$E$91,$B$8)+INDEX('Вводные'!$F$88:$F$91,$B$8)+'Вводные'!$H$9),BJ24,0)</x:f>
      </x:c>
      <x:c r="BK26" s="107" t="n">
        <x:f>IF(BK$3&gt;=EDATE(INDEX('Вводные'!$D$88:$D$91,$B$8),INDEX('Вводные'!$E$88:$E$91,$B$8)+INDEX('Вводные'!$F$88:$F$91,$B$8)+'Вводные'!$H$9),BK24,0)</x:f>
      </x:c>
      <x:c r="BL26" s="107" t="n">
        <x:f>IF(BL$3&gt;=EDATE(INDEX('Вводные'!$D$88:$D$91,$B$8),INDEX('Вводные'!$E$88:$E$91,$B$8)+INDEX('Вводные'!$F$88:$F$91,$B$8)+'Вводные'!$H$9),BL24,0)</x:f>
      </x:c>
      <x:c r="BM26" s="107" t="n">
        <x:f>IF(BM$3&gt;=EDATE(INDEX('Вводные'!$D$88:$D$91,$B$8),INDEX('Вводные'!$E$88:$E$91,$B$8)+INDEX('Вводные'!$F$88:$F$91,$B$8)+'Вводные'!$H$9),BM24,0)</x:f>
      </x:c>
      <x:c r="BN26" s="107" t="n">
        <x:f>IF(BN$3&gt;=EDATE(INDEX('Вводные'!$D$88:$D$91,$B$8),INDEX('Вводные'!$E$88:$E$91,$B$8)+INDEX('Вводные'!$F$88:$F$91,$B$8)+'Вводные'!$H$9),BN24,0)</x:f>
      </x:c>
      <x:c r="BO26" s="107" t="n">
        <x:f>IF(BO$3&gt;=EDATE(INDEX('Вводные'!$D$88:$D$91,$B$8),INDEX('Вводные'!$E$88:$E$91,$B$8)+INDEX('Вводные'!$F$88:$F$91,$B$8)+'Вводные'!$H$9),BO24,0)</x:f>
      </x:c>
      <x:c r="BP26" s="107" t="n">
        <x:f>IF(BP$3&gt;=EDATE(INDEX('Вводные'!$D$88:$D$91,$B$8),INDEX('Вводные'!$E$88:$E$91,$B$8)+INDEX('Вводные'!$F$88:$F$91,$B$8)+'Вводные'!$H$9),BP24,0)</x:f>
      </x:c>
      <x:c r="BQ26" s="107" t="n">
        <x:f>IF(BQ$3&gt;=EDATE(INDEX('Вводные'!$D$88:$D$91,$B$8),INDEX('Вводные'!$E$88:$E$91,$B$8)+INDEX('Вводные'!$F$88:$F$91,$B$8)+'Вводные'!$H$9),BQ24,0)</x:f>
      </x:c>
      <x:c r="BR26" s="107" t="n">
        <x:f>IF(BR$3&gt;=EDATE(INDEX('Вводные'!$D$88:$D$91,$B$8),INDEX('Вводные'!$E$88:$E$91,$B$8)+INDEX('Вводные'!$F$88:$F$91,$B$8)+'Вводные'!$H$9),BR24,0)</x:f>
      </x:c>
      <x:c r="BS26" s="107" t="n">
        <x:f>IF(BS$3&gt;=EDATE(INDEX('Вводные'!$D$88:$D$91,$B$8),INDEX('Вводные'!$E$88:$E$91,$B$8)+INDEX('Вводные'!$F$88:$F$91,$B$8)+'Вводные'!$H$9),BS24,0)</x:f>
      </x:c>
      <x:c r="BT26" s="107" t="n">
        <x:f>IF(BT$3&gt;=EDATE(INDEX('Вводные'!$D$88:$D$91,$B$8),INDEX('Вводные'!$E$88:$E$91,$B$8)+INDEX('Вводные'!$F$88:$F$91,$B$8)+'Вводные'!$H$9),BT24,0)</x:f>
      </x:c>
      <x:c r="BU26" s="107" t="n">
        <x:f>IF(BU$3&gt;=EDATE(INDEX('Вводные'!$D$88:$D$91,$B$8),INDEX('Вводные'!$E$88:$E$91,$B$8)+INDEX('Вводные'!$F$88:$F$91,$B$8)+'Вводные'!$H$9),BU24,0)</x:f>
      </x:c>
      <x:c r="BV26" s="107" t="n">
        <x:f>IF(BV$3&gt;=EDATE(INDEX('Вводные'!$D$88:$D$91,$B$8),INDEX('Вводные'!$E$88:$E$91,$B$8)+INDEX('Вводные'!$F$88:$F$91,$B$8)+'Вводные'!$H$9),BV24,0)</x:f>
      </x:c>
      <x:c r="BW26" s="107" t="n">
        <x:f>IF(BW$3&gt;=EDATE(INDEX('Вводные'!$D$88:$D$91,$B$8),INDEX('Вводные'!$E$88:$E$91,$B$8)+INDEX('Вводные'!$F$88:$F$91,$B$8)+'Вводные'!$H$9),BW24,0)</x:f>
      </x:c>
      <x:c r="BX26" s="107" t="n">
        <x:f>IF(BX$3&gt;=EDATE(INDEX('Вводные'!$D$88:$D$91,$B$8),INDEX('Вводные'!$E$88:$E$91,$B$8)+INDEX('Вводные'!$F$88:$F$91,$B$8)+'Вводные'!$H$9),BX24,0)</x:f>
      </x:c>
      <x:c r="BY26" s="107" t="n">
        <x:f>IF(BY$3&gt;=EDATE(INDEX('Вводные'!$D$88:$D$91,$B$8),INDEX('Вводные'!$E$88:$E$91,$B$8)+INDEX('Вводные'!$F$88:$F$91,$B$8)+'Вводные'!$H$9),BY24,0)</x:f>
      </x:c>
      <x:c r="BZ26" s="107" t="n">
        <x:f>IF(BZ$3&gt;=EDATE(INDEX('Вводные'!$D$88:$D$91,$B$8),INDEX('Вводные'!$E$88:$E$91,$B$8)+INDEX('Вводные'!$F$88:$F$91,$B$8)+'Вводные'!$H$9),BZ24,0)</x:f>
      </x:c>
      <x:c r="CA26" s="107" t="n">
        <x:f>IF(CA$3&gt;=EDATE(INDEX('Вводные'!$D$88:$D$91,$B$8),INDEX('Вводные'!$E$88:$E$91,$B$8)+INDEX('Вводные'!$F$88:$F$91,$B$8)+'Вводные'!$H$9),CA24,0)</x:f>
      </x:c>
      <x:c r="CB26" s="107" t="n">
        <x:f>IF(CB$3&gt;=EDATE(INDEX('Вводные'!$D$88:$D$91,$B$8),INDEX('Вводные'!$E$88:$E$91,$B$8)+INDEX('Вводные'!$F$88:$F$91,$B$8)+'Вводные'!$H$9),CB24,0)</x:f>
      </x:c>
      <x:c r="CC26" s="107" t="n">
        <x:f>IF(CC$3&gt;=EDATE(INDEX('Вводные'!$D$88:$D$91,$B$8),INDEX('Вводные'!$E$88:$E$91,$B$8)+INDEX('Вводные'!$F$88:$F$91,$B$8)+'Вводные'!$H$9),CC24,0)</x:f>
      </x:c>
      <x:c r="CD26" s="107" t="n">
        <x:f>IF(CD$3&gt;=EDATE(INDEX('Вводные'!$D$88:$D$91,$B$8),INDEX('Вводные'!$E$88:$E$91,$B$8)+INDEX('Вводные'!$F$88:$F$91,$B$8)+'Вводные'!$H$9),CD24,0)</x:f>
      </x:c>
      <x:c r="CE26" s="107" t="n">
        <x:f>IF(CE$3&gt;=EDATE(INDEX('Вводные'!$D$88:$D$91,$B$8),INDEX('Вводные'!$E$88:$E$91,$B$8)+INDEX('Вводные'!$F$88:$F$91,$B$8)+'Вводные'!$H$9),CE24,0)</x:f>
      </x:c>
      <x:c r="CF26" s="107" t="n">
        <x:f>IF(CF$3&gt;=EDATE(INDEX('Вводные'!$D$88:$D$91,$B$8),INDEX('Вводные'!$E$88:$E$91,$B$8)+INDEX('Вводные'!$F$88:$F$91,$B$8)+'Вводные'!$H$9),CF24,0)</x:f>
      </x:c>
      <x:c r="CG26" s="107" t="n">
        <x:f>IF(CG$3&gt;=EDATE(INDEX('Вводные'!$D$88:$D$91,$B$8),INDEX('Вводные'!$E$88:$E$91,$B$8)+INDEX('Вводные'!$F$88:$F$91,$B$8)+'Вводные'!$H$9),CG24,0)</x:f>
      </x:c>
      <x:c r="CH26" s="107" t="n">
        <x:f>IF(CH$3&gt;=EDATE(INDEX('Вводные'!$D$88:$D$91,$B$8),INDEX('Вводные'!$E$88:$E$91,$B$8)+INDEX('Вводные'!$F$88:$F$91,$B$8)+'Вводные'!$H$9),CH24,0)</x:f>
      </x:c>
      <x:c r="CI26" s="107" t="n">
        <x:f>IF(CI$3&gt;=EDATE(INDEX('Вводные'!$D$88:$D$91,$B$8),INDEX('Вводные'!$E$88:$E$91,$B$8)+INDEX('Вводные'!$F$88:$F$91,$B$8)+'Вводные'!$H$9),CI24,0)</x:f>
      </x:c>
      <x:c r="CJ26" s="107" t="n">
        <x:f>IF(CJ$3&gt;=EDATE(INDEX('Вводные'!$D$88:$D$91,$B$8),INDEX('Вводные'!$E$88:$E$91,$B$8)+INDEX('Вводные'!$F$88:$F$91,$B$8)+'Вводные'!$H$9),CJ24,0)</x:f>
      </x:c>
      <x:c r="CK26" s="107" t="n">
        <x:f>IF(CK$3&gt;=EDATE(INDEX('Вводные'!$D$88:$D$91,$B$8),INDEX('Вводные'!$E$88:$E$91,$B$8)+INDEX('Вводные'!$F$88:$F$91,$B$8)+'Вводные'!$H$9),CK24,0)</x:f>
      </x:c>
      <x:c r="CL26" s="107" t="n">
        <x:f>IF(CL$3&gt;=EDATE(INDEX('Вводные'!$D$88:$D$91,$B$8),INDEX('Вводные'!$E$88:$E$91,$B$8)+INDEX('Вводные'!$F$88:$F$91,$B$8)+'Вводные'!$H$9),CL24,0)</x:f>
      </x:c>
      <x:c r="CM26" s="107" t="n">
        <x:f>IF(CM$3&gt;=EDATE(INDEX('Вводные'!$D$88:$D$91,$B$8),INDEX('Вводные'!$E$88:$E$91,$B$8)+INDEX('Вводные'!$F$88:$F$91,$B$8)+'Вводные'!$H$9),CM24,0)</x:f>
      </x:c>
      <x:c r="CN26" s="107" t="n">
        <x:f>IF(CN$3&gt;=EDATE(INDEX('Вводные'!$D$88:$D$91,$B$8),INDEX('Вводные'!$E$88:$E$91,$B$8)+INDEX('Вводные'!$F$88:$F$91,$B$8)+'Вводные'!$H$9),CN24,0)</x:f>
      </x:c>
      <x:c r="CO26" s="107" t="n">
        <x:f>IF(CO$3&gt;=EDATE(INDEX('Вводные'!$D$88:$D$91,$B$8),INDEX('Вводные'!$E$88:$E$91,$B$8)+INDEX('Вводные'!$F$88:$F$91,$B$8)+'Вводные'!$H$9),CO24,0)</x:f>
      </x:c>
      <x:c r="CP26" s="107" t="n">
        <x:f>IF(CP$3&gt;=EDATE(INDEX('Вводные'!$D$88:$D$91,$B$8),INDEX('Вводные'!$E$88:$E$91,$B$8)+INDEX('Вводные'!$F$88:$F$91,$B$8)+'Вводные'!$H$9),CP24,0)</x:f>
      </x:c>
      <x:c r="CQ26" s="107" t="n">
        <x:f>IF(CQ$3&gt;=EDATE(INDEX('Вводные'!$D$88:$D$91,$B$8),INDEX('Вводные'!$E$88:$E$91,$B$8)+INDEX('Вводные'!$F$88:$F$91,$B$8)+'Вводные'!$H$9),CQ24,0)</x:f>
      </x:c>
      <x:c r="CR26" s="107" t="n">
        <x:f>IF(CR$3&gt;=EDATE(INDEX('Вводные'!$D$88:$D$91,$B$8),INDEX('Вводные'!$E$88:$E$91,$B$8)+INDEX('Вводные'!$F$88:$F$91,$B$8)+'Вводные'!$H$9),CR24,0)</x:f>
      </x:c>
      <x:c r="CS26" s="107" t="n">
        <x:f>IF(CS$3&gt;=EDATE(INDEX('Вводные'!$D$88:$D$91,$B$8),INDEX('Вводные'!$E$88:$E$91,$B$8)+INDEX('Вводные'!$F$88:$F$91,$B$8)+'Вводные'!$H$9),CS24,0)</x:f>
      </x:c>
      <x:c r="CT26" s="107" t="n">
        <x:f>IF(CT$3&gt;=EDATE(INDEX('Вводные'!$D$88:$D$91,$B$8),INDEX('Вводные'!$E$88:$E$91,$B$8)+INDEX('Вводные'!$F$88:$F$91,$B$8)+'Вводные'!$H$9),CT24,0)</x:f>
      </x:c>
      <x:c r="CU26" s="107" t="n">
        <x:f>IF(CU$3&gt;=EDATE(INDEX('Вводные'!$D$88:$D$91,$B$8),INDEX('Вводные'!$E$88:$E$91,$B$8)+INDEX('Вводные'!$F$88:$F$91,$B$8)+'Вводные'!$H$9),CU24,0)</x:f>
      </x:c>
      <x:c r="CV26" s="107" t="n">
        <x:f>IF(CV$3&gt;=EDATE(INDEX('Вводные'!$D$88:$D$91,$B$8),INDEX('Вводные'!$E$88:$E$91,$B$8)+INDEX('Вводные'!$F$88:$F$91,$B$8)+'Вводные'!$H$9),CV24,0)</x:f>
      </x:c>
      <x:c r="CW26" s="107" t="n">
        <x:f>IF(CW$3&gt;=EDATE(INDEX('Вводные'!$D$88:$D$91,$B$8),INDEX('Вводные'!$E$88:$E$91,$B$8)+INDEX('Вводные'!$F$88:$F$91,$B$8)+'Вводные'!$H$9),CW24,0)</x:f>
      </x:c>
      <x:c r="CX26" s="107" t="n">
        <x:f>IF(CX$3&gt;=EDATE(INDEX('Вводные'!$D$88:$D$91,$B$8),INDEX('Вводные'!$E$88:$E$91,$B$8)+INDEX('Вводные'!$F$88:$F$91,$B$8)+'Вводные'!$H$9),CX24,0)</x:f>
      </x:c>
      <x:c r="CY26" s="107" t="n">
        <x:f>IF(CY$3&gt;=EDATE(INDEX('Вводные'!$D$88:$D$91,$B$8),INDEX('Вводные'!$E$88:$E$91,$B$8)+INDEX('Вводные'!$F$88:$F$91,$B$8)+'Вводные'!$H$9),CY24,0)</x:f>
      </x:c>
      <x:c r="CZ26" s="107" t="n">
        <x:f>IF(CZ$3&gt;=EDATE(INDEX('Вводные'!$D$88:$D$91,$B$8),INDEX('Вводные'!$E$88:$E$91,$B$8)+INDEX('Вводные'!$F$88:$F$91,$B$8)+'Вводные'!$H$9),CZ24,0)</x:f>
      </x:c>
      <x:c r="DA26" s="107" t="n">
        <x:f>IF(DA$3&gt;=EDATE(INDEX('Вводные'!$D$88:$D$91,$B$8),INDEX('Вводные'!$E$88:$E$91,$B$8)+INDEX('Вводные'!$F$88:$F$91,$B$8)+'Вводные'!$H$9),DA24,0)</x:f>
      </x:c>
      <x:c r="DB26" s="107" t="n">
        <x:f>IF(DB$3&gt;=EDATE(INDEX('Вводные'!$D$88:$D$91,$B$8),INDEX('Вводные'!$E$88:$E$91,$B$8)+INDEX('Вводные'!$F$88:$F$91,$B$8)+'Вводные'!$H$9),DB24,0)</x:f>
      </x:c>
      <x:c r="DC26" s="107" t="n">
        <x:f>IF(DC$3&gt;=EDATE(INDEX('Вводные'!$D$88:$D$91,$B$8),INDEX('Вводные'!$E$88:$E$91,$B$8)+INDEX('Вводные'!$F$88:$F$91,$B$8)+'Вводные'!$H$9),DC24,0)</x:f>
      </x:c>
      <x:c r="DD26" s="107" t="n">
        <x:f>IF(DD$3&gt;=EDATE(INDEX('Вводные'!$D$88:$D$91,$B$8),INDEX('Вводные'!$E$88:$E$91,$B$8)+INDEX('Вводные'!$F$88:$F$91,$B$8)+'Вводные'!$H$9),DD24,0)</x:f>
      </x:c>
      <x:c r="DE26" s="107" t="n">
        <x:f>IF(DE$3&gt;=EDATE(INDEX('Вводные'!$D$88:$D$91,$B$8),INDEX('Вводные'!$E$88:$E$91,$B$8)+INDEX('Вводные'!$F$88:$F$91,$B$8)+'Вводные'!$H$9),DE24,0)</x:f>
      </x:c>
      <x:c r="DF26" s="107" t="n">
        <x:f>IF(DF$3&gt;=EDATE(INDEX('Вводные'!$D$88:$D$91,$B$8),INDEX('Вводные'!$E$88:$E$91,$B$8)+INDEX('Вводные'!$F$88:$F$91,$B$8)+'Вводные'!$H$9),DF24,0)</x:f>
      </x:c>
      <x:c r="DG26" s="107" t="n">
        <x:f>IF(DG$3&gt;=EDATE(INDEX('Вводные'!$D$88:$D$91,$B$8),INDEX('Вводные'!$E$88:$E$91,$B$8)+INDEX('Вводные'!$F$88:$F$91,$B$8)+'Вводные'!$H$9),DG24,0)</x:f>
      </x:c>
      <x:c r="DH26" s="107" t="n">
        <x:f>IF(DH$3&gt;=EDATE(INDEX('Вводные'!$D$88:$D$91,$B$8),INDEX('Вводные'!$E$88:$E$91,$B$8)+INDEX('Вводные'!$F$88:$F$91,$B$8)+'Вводные'!$H$9),DH24,0)</x:f>
      </x:c>
      <x:c r="DI26" s="107" t="n">
        <x:f>IF(DI$3&gt;=EDATE(INDEX('Вводные'!$D$88:$D$91,$B$8),INDEX('Вводные'!$E$88:$E$91,$B$8)+INDEX('Вводные'!$F$88:$F$91,$B$8)+'Вводные'!$H$9),DI24,0)</x:f>
      </x:c>
      <x:c r="DJ26" s="107" t="n">
        <x:f>IF(DJ$3&gt;=EDATE(INDEX('Вводные'!$D$88:$D$91,$B$8),INDEX('Вводные'!$E$88:$E$91,$B$8)+INDEX('Вводные'!$F$88:$F$91,$B$8)+'Вводные'!$H$9),DJ24,0)</x:f>
      </x:c>
      <x:c r="DK26" s="107" t="n">
        <x:f>IF(DK$3&gt;=EDATE(INDEX('Вводные'!$D$88:$D$91,$B$8),INDEX('Вводные'!$E$88:$E$91,$B$8)+INDEX('Вводные'!$F$88:$F$91,$B$8)+'Вводные'!$H$9),DK24,0)</x:f>
      </x:c>
      <x:c r="DL26" s="107" t="n">
        <x:f>IF(DL$3&gt;=EDATE(INDEX('Вводные'!$D$88:$D$91,$B$8),INDEX('Вводные'!$E$88:$E$91,$B$8)+INDEX('Вводные'!$F$88:$F$91,$B$8)+'Вводные'!$H$9),DL24,0)</x:f>
      </x:c>
      <x:c r="DM26" s="107" t="n">
        <x:f>IF(DM$3&gt;=EDATE(INDEX('Вводные'!$D$88:$D$91,$B$8),INDEX('Вводные'!$E$88:$E$91,$B$8)+INDEX('Вводные'!$F$88:$F$91,$B$8)+'Вводные'!$H$9),DM24,0)</x:f>
      </x:c>
      <x:c r="DN26" s="107" t="n">
        <x:f>IF(DN$3&gt;=EDATE(INDEX('Вводные'!$D$88:$D$91,$B$8),INDEX('Вводные'!$E$88:$E$91,$B$8)+INDEX('Вводные'!$F$88:$F$91,$B$8)+'Вводные'!$H$9),DN24,0)</x:f>
      </x:c>
      <x:c r="DO26" s="107" t="n">
        <x:f>IF(DO$3&gt;=EDATE(INDEX('Вводные'!$D$88:$D$91,$B$8),INDEX('Вводные'!$E$88:$E$91,$B$8)+INDEX('Вводные'!$F$88:$F$91,$B$8)+'Вводные'!$H$9),DO24,0)</x:f>
      </x:c>
      <x:c r="DP26" s="107" t="n">
        <x:f>IF(DP$3&gt;=EDATE(INDEX('Вводные'!$D$88:$D$91,$B$8),INDEX('Вводные'!$E$88:$E$91,$B$8)+INDEX('Вводные'!$F$88:$F$91,$B$8)+'Вводные'!$H$9),DP24,0)</x:f>
      </x:c>
      <x:c r="DQ26" s="107" t="n">
        <x:f>IF(DQ$3&gt;=EDATE(INDEX('Вводные'!$D$88:$D$91,$B$8),INDEX('Вводные'!$E$88:$E$91,$B$8)+INDEX('Вводные'!$F$88:$F$91,$B$8)+'Вводные'!$H$9),DQ24,0)</x:f>
      </x:c>
      <x:c r="DR26" s="107" t="n">
        <x:f>IF(DR$3&gt;=EDATE(INDEX('Вводные'!$D$88:$D$91,$B$8),INDEX('Вводные'!$E$88:$E$91,$B$8)+INDEX('Вводные'!$F$88:$F$91,$B$8)+'Вводные'!$H$9),DR24,0)</x:f>
      </x:c>
      <x:c r="DS26" s="107" t="n">
        <x:f>IF(DS$3&gt;=EDATE(INDEX('Вводные'!$D$88:$D$91,$B$8),INDEX('Вводные'!$E$88:$E$91,$B$8)+INDEX('Вводные'!$F$88:$F$91,$B$8)+'Вводные'!$H$9),DS24,0)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EDATE(INDEX('Вводные'!$D$88:$D$91,$B$8),INDEX('Вводные'!$E$88:$E$91,$B$8)+INDEX('Вводные'!$F$88:$F$91,$B$8)+'Вводные'!$H$9)),MONTH(D$3)=MONTH(EDATE(INDEX('Вводные'!$D$88:$D$91,$B$8),INDEX('Вводные'!$E$88:$E$91,$B$8)+INDEX('Вводные'!$F$88:$F$91,$B$8)+'Вводные'!$H$9)),AND($B$7="Да",IFERROR(INDEX('Вводные'!$B$88:$B$91,$B$8),"Нет")="Да")),MAX(0,SUM($D25:D25)-D25),0)</x:f>
      </x:c>
      <x:c r="E27" s="107" t="n">
        <x:f>IF(AND(YEAR(E$3)=YEAR(EDATE(INDEX('Вводные'!$D$88:$D$91,$B$8),INDEX('Вводные'!$E$88:$E$91,$B$8)+INDEX('Вводные'!$F$88:$F$91,$B$8)+'Вводные'!$H$9)),MONTH(E$3)=MONTH(EDATE(INDEX('Вводные'!$D$88:$D$91,$B$8),INDEX('Вводные'!$E$88:$E$91,$B$8)+INDEX('Вводные'!$F$88:$F$91,$B$8)+'Вводные'!$H$9)),AND($B$7="Да",IFERROR(INDEX('Вводные'!$B$88:$B$91,$B$8),"Нет")="Да")),MAX(0,SUM($D25:E25)-E25),0)</x:f>
      </x:c>
      <x:c r="F27" s="107" t="n">
        <x:f>IF(AND(YEAR(F$3)=YEAR(EDATE(INDEX('Вводные'!$D$88:$D$91,$B$8),INDEX('Вводные'!$E$88:$E$91,$B$8)+INDEX('Вводные'!$F$88:$F$91,$B$8)+'Вводные'!$H$9)),MONTH(F$3)=MONTH(EDATE(INDEX('Вводные'!$D$88:$D$91,$B$8),INDEX('Вводные'!$E$88:$E$91,$B$8)+INDEX('Вводные'!$F$88:$F$91,$B$8)+'Вводные'!$H$9)),AND($B$7="Да",IFERROR(INDEX('Вводные'!$B$88:$B$91,$B$8),"Нет")="Да")),MAX(0,SUM($D25:F25)-F25),0)</x:f>
      </x:c>
      <x:c r="G27" s="107" t="n">
        <x:f>IF(AND(YEAR(G$3)=YEAR(EDATE(INDEX('Вводные'!$D$88:$D$91,$B$8),INDEX('Вводные'!$E$88:$E$91,$B$8)+INDEX('Вводные'!$F$88:$F$91,$B$8)+'Вводные'!$H$9)),MONTH(G$3)=MONTH(EDATE(INDEX('Вводные'!$D$88:$D$91,$B$8),INDEX('Вводные'!$E$88:$E$91,$B$8)+INDEX('Вводные'!$F$88:$F$91,$B$8)+'Вводные'!$H$9)),AND($B$7="Да",IFERROR(INDEX('Вводные'!$B$88:$B$91,$B$8),"Нет")="Да")),MAX(0,SUM($D25:G25)-G25),0)</x:f>
      </x:c>
      <x:c r="H27" s="107" t="n">
        <x:f>IF(AND(YEAR(H$3)=YEAR(EDATE(INDEX('Вводные'!$D$88:$D$91,$B$8),INDEX('Вводные'!$E$88:$E$91,$B$8)+INDEX('Вводные'!$F$88:$F$91,$B$8)+'Вводные'!$H$9)),MONTH(H$3)=MONTH(EDATE(INDEX('Вводные'!$D$88:$D$91,$B$8),INDEX('Вводные'!$E$88:$E$91,$B$8)+INDEX('Вводные'!$F$88:$F$91,$B$8)+'Вводные'!$H$9)),AND($B$7="Да",IFERROR(INDEX('Вводные'!$B$88:$B$91,$B$8),"Нет")="Да")),MAX(0,SUM($D25:H25)-H25),0)</x:f>
      </x:c>
      <x:c r="I27" s="107" t="n">
        <x:f>IF(AND(YEAR(I$3)=YEAR(EDATE(INDEX('Вводные'!$D$88:$D$91,$B$8),INDEX('Вводные'!$E$88:$E$91,$B$8)+INDEX('Вводные'!$F$88:$F$91,$B$8)+'Вводные'!$H$9)),MONTH(I$3)=MONTH(EDATE(INDEX('Вводные'!$D$88:$D$91,$B$8),INDEX('Вводные'!$E$88:$E$91,$B$8)+INDEX('Вводные'!$F$88:$F$91,$B$8)+'Вводные'!$H$9)),AND($B$7="Да",IFERROR(INDEX('Вводные'!$B$88:$B$91,$B$8),"Нет")="Да")),MAX(0,SUM($D25:I25)-I25),0)</x:f>
      </x:c>
      <x:c r="J27" s="107" t="n">
        <x:f>IF(AND(YEAR(J$3)=YEAR(EDATE(INDEX('Вводные'!$D$88:$D$91,$B$8),INDEX('Вводные'!$E$88:$E$91,$B$8)+INDEX('Вводные'!$F$88:$F$91,$B$8)+'Вводные'!$H$9)),MONTH(J$3)=MONTH(EDATE(INDEX('Вводные'!$D$88:$D$91,$B$8),INDEX('Вводные'!$E$88:$E$91,$B$8)+INDEX('Вводные'!$F$88:$F$91,$B$8)+'Вводные'!$H$9)),AND($B$7="Да",IFERROR(INDEX('Вводные'!$B$88:$B$91,$B$8),"Нет")="Да")),MAX(0,SUM($D25:J25)-J25),0)</x:f>
      </x:c>
      <x:c r="K27" s="107" t="n">
        <x:f>IF(AND(YEAR(K$3)=YEAR(EDATE(INDEX('Вводные'!$D$88:$D$91,$B$8),INDEX('Вводные'!$E$88:$E$91,$B$8)+INDEX('Вводные'!$F$88:$F$91,$B$8)+'Вводные'!$H$9)),MONTH(K$3)=MONTH(EDATE(INDEX('Вводные'!$D$88:$D$91,$B$8),INDEX('Вводные'!$E$88:$E$91,$B$8)+INDEX('Вводные'!$F$88:$F$91,$B$8)+'Вводные'!$H$9)),AND($B$7="Да",IFERROR(INDEX('Вводные'!$B$88:$B$91,$B$8),"Нет")="Да")),MAX(0,SUM($D25:K25)-K25),0)</x:f>
      </x:c>
      <x:c r="L27" s="107" t="n">
        <x:f>IF(AND(YEAR(L$3)=YEAR(EDATE(INDEX('Вводные'!$D$88:$D$91,$B$8),INDEX('Вводные'!$E$88:$E$91,$B$8)+INDEX('Вводные'!$F$88:$F$91,$B$8)+'Вводные'!$H$9)),MONTH(L$3)=MONTH(EDATE(INDEX('Вводные'!$D$88:$D$91,$B$8),INDEX('Вводные'!$E$88:$E$91,$B$8)+INDEX('Вводные'!$F$88:$F$91,$B$8)+'Вводные'!$H$9)),AND($B$7="Да",IFERROR(INDEX('Вводные'!$B$88:$B$91,$B$8),"Нет")="Да")),MAX(0,SUM($D25:L25)-L25),0)</x:f>
      </x:c>
      <x:c r="M27" s="107" t="n">
        <x:f>IF(AND(YEAR(M$3)=YEAR(EDATE(INDEX('Вводные'!$D$88:$D$91,$B$8),INDEX('Вводные'!$E$88:$E$91,$B$8)+INDEX('Вводные'!$F$88:$F$91,$B$8)+'Вводные'!$H$9)),MONTH(M$3)=MONTH(EDATE(INDEX('Вводные'!$D$88:$D$91,$B$8),INDEX('Вводные'!$E$88:$E$91,$B$8)+INDEX('Вводные'!$F$88:$F$91,$B$8)+'Вводные'!$H$9)),AND($B$7="Да",IFERROR(INDEX('Вводные'!$B$88:$B$91,$B$8),"Нет")="Да")),MAX(0,SUM($D25:M25)-M25),0)</x:f>
      </x:c>
      <x:c r="N27" s="107" t="n">
        <x:f>IF(AND(YEAR(N$3)=YEAR(EDATE(INDEX('Вводные'!$D$88:$D$91,$B$8),INDEX('Вводные'!$E$88:$E$91,$B$8)+INDEX('Вводные'!$F$88:$F$91,$B$8)+'Вводные'!$H$9)),MONTH(N$3)=MONTH(EDATE(INDEX('Вводные'!$D$88:$D$91,$B$8),INDEX('Вводные'!$E$88:$E$91,$B$8)+INDEX('Вводные'!$F$88:$F$91,$B$8)+'Вводные'!$H$9)),AND($B$7="Да",IFERROR(INDEX('Вводные'!$B$88:$B$91,$B$8),"Нет")="Да")),MAX(0,SUM($D25:N25)-N25),0)</x:f>
      </x:c>
      <x:c r="O27" s="107" t="n">
        <x:f>IF(AND(YEAR(O$3)=YEAR(EDATE(INDEX('Вводные'!$D$88:$D$91,$B$8),INDEX('Вводные'!$E$88:$E$91,$B$8)+INDEX('Вводные'!$F$88:$F$91,$B$8)+'Вводные'!$H$9)),MONTH(O$3)=MONTH(EDATE(INDEX('Вводные'!$D$88:$D$91,$B$8),INDEX('Вводные'!$E$88:$E$91,$B$8)+INDEX('Вводные'!$F$88:$F$91,$B$8)+'Вводные'!$H$9)),AND($B$7="Да",IFERROR(INDEX('Вводные'!$B$88:$B$91,$B$8),"Нет")="Да")),MAX(0,SUM($D25:O25)-O25),0)</x:f>
      </x:c>
      <x:c r="P27" s="107" t="n">
        <x:f>IF(AND(YEAR(P$3)=YEAR(EDATE(INDEX('Вводные'!$D$88:$D$91,$B$8),INDEX('Вводные'!$E$88:$E$91,$B$8)+INDEX('Вводные'!$F$88:$F$91,$B$8)+'Вводные'!$H$9)),MONTH(P$3)=MONTH(EDATE(INDEX('Вводные'!$D$88:$D$91,$B$8),INDEX('Вводные'!$E$88:$E$91,$B$8)+INDEX('Вводные'!$F$88:$F$91,$B$8)+'Вводные'!$H$9)),AND($B$7="Да",IFERROR(INDEX('Вводные'!$B$88:$B$91,$B$8),"Нет")="Да")),MAX(0,SUM($D25:P25)-P25),0)</x:f>
      </x:c>
      <x:c r="Q27" s="107" t="n">
        <x:f>IF(AND(YEAR(Q$3)=YEAR(EDATE(INDEX('Вводные'!$D$88:$D$91,$B$8),INDEX('Вводные'!$E$88:$E$91,$B$8)+INDEX('Вводные'!$F$88:$F$91,$B$8)+'Вводные'!$H$9)),MONTH(Q$3)=MONTH(EDATE(INDEX('Вводные'!$D$88:$D$91,$B$8),INDEX('Вводные'!$E$88:$E$91,$B$8)+INDEX('Вводные'!$F$88:$F$91,$B$8)+'Вводные'!$H$9)),AND($B$7="Да",IFERROR(INDEX('Вводные'!$B$88:$B$91,$B$8),"Нет")="Да")),MAX(0,SUM($D25:Q25)-Q25),0)</x:f>
      </x:c>
      <x:c r="R27" s="107" t="n">
        <x:f>IF(AND(YEAR(R$3)=YEAR(EDATE(INDEX('Вводные'!$D$88:$D$91,$B$8),INDEX('Вводные'!$E$88:$E$91,$B$8)+INDEX('Вводные'!$F$88:$F$91,$B$8)+'Вводные'!$H$9)),MONTH(R$3)=MONTH(EDATE(INDEX('Вводные'!$D$88:$D$91,$B$8),INDEX('Вводные'!$E$88:$E$91,$B$8)+INDEX('Вводные'!$F$88:$F$91,$B$8)+'Вводные'!$H$9)),AND($B$7="Да",IFERROR(INDEX('Вводные'!$B$88:$B$91,$B$8),"Нет")="Да")),MAX(0,SUM($D25:R25)-R25),0)</x:f>
      </x:c>
      <x:c r="S27" s="107" t="n">
        <x:f>IF(AND(YEAR(S$3)=YEAR(EDATE(INDEX('Вводные'!$D$88:$D$91,$B$8),INDEX('Вводные'!$E$88:$E$91,$B$8)+INDEX('Вводные'!$F$88:$F$91,$B$8)+'Вводные'!$H$9)),MONTH(S$3)=MONTH(EDATE(INDEX('Вводные'!$D$88:$D$91,$B$8),INDEX('Вводные'!$E$88:$E$91,$B$8)+INDEX('Вводные'!$F$88:$F$91,$B$8)+'Вводные'!$H$9)),AND($B$7="Да",IFERROR(INDEX('Вводные'!$B$88:$B$91,$B$8),"Нет")="Да")),MAX(0,SUM($D25:S25)-S25),0)</x:f>
      </x:c>
      <x:c r="T27" s="107" t="n">
        <x:f>IF(AND(YEAR(T$3)=YEAR(EDATE(INDEX('Вводные'!$D$88:$D$91,$B$8),INDEX('Вводные'!$E$88:$E$91,$B$8)+INDEX('Вводные'!$F$88:$F$91,$B$8)+'Вводные'!$H$9)),MONTH(T$3)=MONTH(EDATE(INDEX('Вводные'!$D$88:$D$91,$B$8),INDEX('Вводные'!$E$88:$E$91,$B$8)+INDEX('Вводные'!$F$88:$F$91,$B$8)+'Вводные'!$H$9)),AND($B$7="Да",IFERROR(INDEX('Вводные'!$B$88:$B$91,$B$8),"Нет")="Да")),MAX(0,SUM($D25:T25)-T25),0)</x:f>
      </x:c>
      <x:c r="U27" s="107" t="n">
        <x:f>IF(AND(YEAR(U$3)=YEAR(EDATE(INDEX('Вводные'!$D$88:$D$91,$B$8),INDEX('Вводные'!$E$88:$E$91,$B$8)+INDEX('Вводные'!$F$88:$F$91,$B$8)+'Вводные'!$H$9)),MONTH(U$3)=MONTH(EDATE(INDEX('Вводные'!$D$88:$D$91,$B$8),INDEX('Вводные'!$E$88:$E$91,$B$8)+INDEX('Вводные'!$F$88:$F$91,$B$8)+'Вводные'!$H$9)),AND($B$7="Да",IFERROR(INDEX('Вводные'!$B$88:$B$91,$B$8),"Нет")="Да")),MAX(0,SUM($D25:U25)-U25),0)</x:f>
      </x:c>
      <x:c r="V27" s="107" t="n">
        <x:f>IF(AND(YEAR(V$3)=YEAR(EDATE(INDEX('Вводные'!$D$88:$D$91,$B$8),INDEX('Вводные'!$E$88:$E$91,$B$8)+INDEX('Вводные'!$F$88:$F$91,$B$8)+'Вводные'!$H$9)),MONTH(V$3)=MONTH(EDATE(INDEX('Вводные'!$D$88:$D$91,$B$8),INDEX('Вводные'!$E$88:$E$91,$B$8)+INDEX('Вводные'!$F$88:$F$91,$B$8)+'Вводные'!$H$9)),AND($B$7="Да",IFERROR(INDEX('Вводные'!$B$88:$B$91,$B$8),"Нет")="Да")),MAX(0,SUM($D25:V25)-V25),0)</x:f>
      </x:c>
      <x:c r="W27" s="107" t="n">
        <x:f>IF(AND(YEAR(W$3)=YEAR(EDATE(INDEX('Вводные'!$D$88:$D$91,$B$8),INDEX('Вводные'!$E$88:$E$91,$B$8)+INDEX('Вводные'!$F$88:$F$91,$B$8)+'Вводные'!$H$9)),MONTH(W$3)=MONTH(EDATE(INDEX('Вводные'!$D$88:$D$91,$B$8),INDEX('Вводные'!$E$88:$E$91,$B$8)+INDEX('Вводные'!$F$88:$F$91,$B$8)+'Вводные'!$H$9)),AND($B$7="Да",IFERROR(INDEX('Вводные'!$B$88:$B$91,$B$8),"Нет")="Да")),MAX(0,SUM($D25:W25)-W25),0)</x:f>
      </x:c>
      <x:c r="X27" s="107" t="n">
        <x:f>IF(AND(YEAR(X$3)=YEAR(EDATE(INDEX('Вводные'!$D$88:$D$91,$B$8),INDEX('Вводные'!$E$88:$E$91,$B$8)+INDEX('Вводные'!$F$88:$F$91,$B$8)+'Вводные'!$H$9)),MONTH(X$3)=MONTH(EDATE(INDEX('Вводные'!$D$88:$D$91,$B$8),INDEX('Вводные'!$E$88:$E$91,$B$8)+INDEX('Вводные'!$F$88:$F$91,$B$8)+'Вводные'!$H$9)),AND($B$7="Да",IFERROR(INDEX('Вводные'!$B$88:$B$91,$B$8),"Нет")="Да")),MAX(0,SUM($D25:X25)-X25),0)</x:f>
      </x:c>
      <x:c r="Y27" s="107" t="n">
        <x:f>IF(AND(YEAR(Y$3)=YEAR(EDATE(INDEX('Вводные'!$D$88:$D$91,$B$8),INDEX('Вводные'!$E$88:$E$91,$B$8)+INDEX('Вводные'!$F$88:$F$91,$B$8)+'Вводные'!$H$9)),MONTH(Y$3)=MONTH(EDATE(INDEX('Вводные'!$D$88:$D$91,$B$8),INDEX('Вводные'!$E$88:$E$91,$B$8)+INDEX('Вводные'!$F$88:$F$91,$B$8)+'Вводные'!$H$9)),AND($B$7="Да",IFERROR(INDEX('Вводные'!$B$88:$B$91,$B$8),"Нет")="Да")),MAX(0,SUM($D25:Y25)-Y25),0)</x:f>
      </x:c>
      <x:c r="Z27" s="107" t="n">
        <x:f>IF(AND(YEAR(Z$3)=YEAR(EDATE(INDEX('Вводные'!$D$88:$D$91,$B$8),INDEX('Вводные'!$E$88:$E$91,$B$8)+INDEX('Вводные'!$F$88:$F$91,$B$8)+'Вводные'!$H$9)),MONTH(Z$3)=MONTH(EDATE(INDEX('Вводные'!$D$88:$D$91,$B$8),INDEX('Вводные'!$E$88:$E$91,$B$8)+INDEX('Вводные'!$F$88:$F$91,$B$8)+'Вводные'!$H$9)),AND($B$7="Да",IFERROR(INDEX('Вводные'!$B$88:$B$91,$B$8),"Нет")="Да")),MAX(0,SUM($D25:Z25)-Z25),0)</x:f>
      </x:c>
      <x:c r="AA27" s="107" t="n">
        <x:f>IF(AND(YEAR(AA$3)=YEAR(EDATE(INDEX('Вводные'!$D$88:$D$91,$B$8),INDEX('Вводные'!$E$88:$E$91,$B$8)+INDEX('Вводные'!$F$88:$F$91,$B$8)+'Вводные'!$H$9)),MONTH(AA$3)=MONTH(EDATE(INDEX('Вводные'!$D$88:$D$91,$B$8),INDEX('Вводные'!$E$88:$E$91,$B$8)+INDEX('Вводные'!$F$88:$F$91,$B$8)+'Вводные'!$H$9)),AND($B$7="Да",IFERROR(INDEX('Вводные'!$B$88:$B$91,$B$8),"Нет")="Да")),MAX(0,SUM($D25:AA25)-AA25),0)</x:f>
      </x:c>
      <x:c r="AB27" s="107" t="n">
        <x:f>IF(AND(YEAR(AB$3)=YEAR(EDATE(INDEX('Вводные'!$D$88:$D$91,$B$8),INDEX('Вводные'!$E$88:$E$91,$B$8)+INDEX('Вводные'!$F$88:$F$91,$B$8)+'Вводные'!$H$9)),MONTH(AB$3)=MONTH(EDATE(INDEX('Вводные'!$D$88:$D$91,$B$8),INDEX('Вводные'!$E$88:$E$91,$B$8)+INDEX('Вводные'!$F$88:$F$91,$B$8)+'Вводные'!$H$9)),AND($B$7="Да",IFERROR(INDEX('Вводные'!$B$88:$B$91,$B$8),"Нет")="Да")),MAX(0,SUM($D25:AB25)-AB25),0)</x:f>
      </x:c>
      <x:c r="AC27" s="107" t="n">
        <x:f>IF(AND(YEAR(AC$3)=YEAR(EDATE(INDEX('Вводные'!$D$88:$D$91,$B$8),INDEX('Вводные'!$E$88:$E$91,$B$8)+INDEX('Вводные'!$F$88:$F$91,$B$8)+'Вводные'!$H$9)),MONTH(AC$3)=MONTH(EDATE(INDEX('Вводные'!$D$88:$D$91,$B$8),INDEX('Вводные'!$E$88:$E$91,$B$8)+INDEX('Вводные'!$F$88:$F$91,$B$8)+'Вводные'!$H$9)),AND($B$7="Да",IFERROR(INDEX('Вводные'!$B$88:$B$91,$B$8),"Нет")="Да")),MAX(0,SUM($D25:AC25)-AC25),0)</x:f>
      </x:c>
      <x:c r="AD27" s="107" t="n">
        <x:f>IF(AND(YEAR(AD$3)=YEAR(EDATE(INDEX('Вводные'!$D$88:$D$91,$B$8),INDEX('Вводные'!$E$88:$E$91,$B$8)+INDEX('Вводные'!$F$88:$F$91,$B$8)+'Вводные'!$H$9)),MONTH(AD$3)=MONTH(EDATE(INDEX('Вводные'!$D$88:$D$91,$B$8),INDEX('Вводные'!$E$88:$E$91,$B$8)+INDEX('Вводные'!$F$88:$F$91,$B$8)+'Вводные'!$H$9)),AND($B$7="Да",IFERROR(INDEX('Вводные'!$B$88:$B$91,$B$8),"Нет")="Да")),MAX(0,SUM($D25:AD25)-AD25),0)</x:f>
      </x:c>
      <x:c r="AE27" s="107" t="n">
        <x:f>IF(AND(YEAR(AE$3)=YEAR(EDATE(INDEX('Вводные'!$D$88:$D$91,$B$8),INDEX('Вводные'!$E$88:$E$91,$B$8)+INDEX('Вводные'!$F$88:$F$91,$B$8)+'Вводные'!$H$9)),MONTH(AE$3)=MONTH(EDATE(INDEX('Вводные'!$D$88:$D$91,$B$8),INDEX('Вводные'!$E$88:$E$91,$B$8)+INDEX('Вводные'!$F$88:$F$91,$B$8)+'Вводные'!$H$9)),AND($B$7="Да",IFERROR(INDEX('Вводные'!$B$88:$B$91,$B$8),"Нет")="Да")),MAX(0,SUM($D25:AE25)-AE25),0)</x:f>
      </x:c>
      <x:c r="AF27" s="107" t="n">
        <x:f>IF(AND(YEAR(AF$3)=YEAR(EDATE(INDEX('Вводные'!$D$88:$D$91,$B$8),INDEX('Вводные'!$E$88:$E$91,$B$8)+INDEX('Вводные'!$F$88:$F$91,$B$8)+'Вводные'!$H$9)),MONTH(AF$3)=MONTH(EDATE(INDEX('Вводные'!$D$88:$D$91,$B$8),INDEX('Вводные'!$E$88:$E$91,$B$8)+INDEX('Вводные'!$F$88:$F$91,$B$8)+'Вводные'!$H$9)),AND($B$7="Да",IFERROR(INDEX('Вводные'!$B$88:$B$91,$B$8),"Нет")="Да")),MAX(0,SUM($D25:AF25)-AF25),0)</x:f>
      </x:c>
      <x:c r="AG27" s="107" t="n">
        <x:f>IF(AND(YEAR(AG$3)=YEAR(EDATE(INDEX('Вводные'!$D$88:$D$91,$B$8),INDEX('Вводные'!$E$88:$E$91,$B$8)+INDEX('Вводные'!$F$88:$F$91,$B$8)+'Вводные'!$H$9)),MONTH(AG$3)=MONTH(EDATE(INDEX('Вводные'!$D$88:$D$91,$B$8),INDEX('Вводные'!$E$88:$E$91,$B$8)+INDEX('Вводные'!$F$88:$F$91,$B$8)+'Вводные'!$H$9)),AND($B$7="Да",IFERROR(INDEX('Вводные'!$B$88:$B$91,$B$8),"Нет")="Да")),MAX(0,SUM($D25:AG25)-AG25),0)</x:f>
      </x:c>
      <x:c r="AH27" s="107" t="n">
        <x:f>IF(AND(YEAR(AH$3)=YEAR(EDATE(INDEX('Вводные'!$D$88:$D$91,$B$8),INDEX('Вводные'!$E$88:$E$91,$B$8)+INDEX('Вводные'!$F$88:$F$91,$B$8)+'Вводные'!$H$9)),MONTH(AH$3)=MONTH(EDATE(INDEX('Вводные'!$D$88:$D$91,$B$8),INDEX('Вводные'!$E$88:$E$91,$B$8)+INDEX('Вводные'!$F$88:$F$91,$B$8)+'Вводные'!$H$9)),AND($B$7="Да",IFERROR(INDEX('Вводные'!$B$88:$B$91,$B$8),"Нет")="Да")),MAX(0,SUM($D25:AH25)-AH25),0)</x:f>
      </x:c>
      <x:c r="AI27" s="107" t="n">
        <x:f>IF(AND(YEAR(AI$3)=YEAR(EDATE(INDEX('Вводные'!$D$88:$D$91,$B$8),INDEX('Вводные'!$E$88:$E$91,$B$8)+INDEX('Вводные'!$F$88:$F$91,$B$8)+'Вводные'!$H$9)),MONTH(AI$3)=MONTH(EDATE(INDEX('Вводные'!$D$88:$D$91,$B$8),INDEX('Вводные'!$E$88:$E$91,$B$8)+INDEX('Вводные'!$F$88:$F$91,$B$8)+'Вводные'!$H$9)),AND($B$7="Да",IFERROR(INDEX('Вводные'!$B$88:$B$91,$B$8),"Нет")="Да")),MAX(0,SUM($D25:AI25)-AI25),0)</x:f>
      </x:c>
      <x:c r="AJ27" s="107" t="n">
        <x:f>IF(AND(YEAR(AJ$3)=YEAR(EDATE(INDEX('Вводные'!$D$88:$D$91,$B$8),INDEX('Вводные'!$E$88:$E$91,$B$8)+INDEX('Вводные'!$F$88:$F$91,$B$8)+'Вводные'!$H$9)),MONTH(AJ$3)=MONTH(EDATE(INDEX('Вводные'!$D$88:$D$91,$B$8),INDEX('Вводные'!$E$88:$E$91,$B$8)+INDEX('Вводные'!$F$88:$F$91,$B$8)+'Вводные'!$H$9)),AND($B$7="Да",IFERROR(INDEX('Вводные'!$B$88:$B$91,$B$8),"Нет")="Да")),MAX(0,SUM($D25:AJ25)-AJ25),0)</x:f>
      </x:c>
      <x:c r="AK27" s="107" t="n">
        <x:f>IF(AND(YEAR(AK$3)=YEAR(EDATE(INDEX('Вводные'!$D$88:$D$91,$B$8),INDEX('Вводные'!$E$88:$E$91,$B$8)+INDEX('Вводные'!$F$88:$F$91,$B$8)+'Вводные'!$H$9)),MONTH(AK$3)=MONTH(EDATE(INDEX('Вводные'!$D$88:$D$91,$B$8),INDEX('Вводные'!$E$88:$E$91,$B$8)+INDEX('Вводные'!$F$88:$F$91,$B$8)+'Вводные'!$H$9)),AND($B$7="Да",IFERROR(INDEX('Вводные'!$B$88:$B$91,$B$8),"Нет")="Да")),MAX(0,SUM($D25:AK25)-AK25),0)</x:f>
      </x:c>
      <x:c r="AL27" s="107" t="n">
        <x:f>IF(AND(YEAR(AL$3)=YEAR(EDATE(INDEX('Вводные'!$D$88:$D$91,$B$8),INDEX('Вводные'!$E$88:$E$91,$B$8)+INDEX('Вводные'!$F$88:$F$91,$B$8)+'Вводные'!$H$9)),MONTH(AL$3)=MONTH(EDATE(INDEX('Вводные'!$D$88:$D$91,$B$8),INDEX('Вводные'!$E$88:$E$91,$B$8)+INDEX('Вводные'!$F$88:$F$91,$B$8)+'Вводные'!$H$9)),AND($B$7="Да",IFERROR(INDEX('Вводные'!$B$88:$B$91,$B$8),"Нет")="Да")),MAX(0,SUM($D25:AL25)-AL25),0)</x:f>
      </x:c>
      <x:c r="AM27" s="107" t="n">
        <x:f>IF(AND(YEAR(AM$3)=YEAR(EDATE(INDEX('Вводные'!$D$88:$D$91,$B$8),INDEX('Вводные'!$E$88:$E$91,$B$8)+INDEX('Вводные'!$F$88:$F$91,$B$8)+'Вводные'!$H$9)),MONTH(AM$3)=MONTH(EDATE(INDEX('Вводные'!$D$88:$D$91,$B$8),INDEX('Вводные'!$E$88:$E$91,$B$8)+INDEX('Вводные'!$F$88:$F$91,$B$8)+'Вводные'!$H$9)),AND($B$7="Да",IFERROR(INDEX('Вводные'!$B$88:$B$91,$B$8),"Нет")="Да")),MAX(0,SUM($D25:AM25)-AM25),0)</x:f>
      </x:c>
      <x:c r="AN27" s="107" t="n">
        <x:f>IF(AND(YEAR(AN$3)=YEAR(EDATE(INDEX('Вводные'!$D$88:$D$91,$B$8),INDEX('Вводные'!$E$88:$E$91,$B$8)+INDEX('Вводные'!$F$88:$F$91,$B$8)+'Вводные'!$H$9)),MONTH(AN$3)=MONTH(EDATE(INDEX('Вводные'!$D$88:$D$91,$B$8),INDEX('Вводные'!$E$88:$E$91,$B$8)+INDEX('Вводные'!$F$88:$F$91,$B$8)+'Вводные'!$H$9)),AND($B$7="Да",IFERROR(INDEX('Вводные'!$B$88:$B$91,$B$8),"Нет")="Да")),MAX(0,SUM($D25:AN25)-AN25),0)</x:f>
      </x:c>
      <x:c r="AO27" s="107" t="n">
        <x:f>IF(AND(YEAR(AO$3)=YEAR(EDATE(INDEX('Вводные'!$D$88:$D$91,$B$8),INDEX('Вводные'!$E$88:$E$91,$B$8)+INDEX('Вводные'!$F$88:$F$91,$B$8)+'Вводные'!$H$9)),MONTH(AO$3)=MONTH(EDATE(INDEX('Вводные'!$D$88:$D$91,$B$8),INDEX('Вводные'!$E$88:$E$91,$B$8)+INDEX('Вводные'!$F$88:$F$91,$B$8)+'Вводные'!$H$9)),AND($B$7="Да",IFERROR(INDEX('Вводные'!$B$88:$B$91,$B$8),"Нет")="Да")),MAX(0,SUM($D25:AO25)-AO25),0)</x:f>
      </x:c>
      <x:c r="AP27" s="107" t="n">
        <x:f>IF(AND(YEAR(AP$3)=YEAR(EDATE(INDEX('Вводные'!$D$88:$D$91,$B$8),INDEX('Вводные'!$E$88:$E$91,$B$8)+INDEX('Вводные'!$F$88:$F$91,$B$8)+'Вводные'!$H$9)),MONTH(AP$3)=MONTH(EDATE(INDEX('Вводные'!$D$88:$D$91,$B$8),INDEX('Вводные'!$E$88:$E$91,$B$8)+INDEX('Вводные'!$F$88:$F$91,$B$8)+'Вводные'!$H$9)),AND($B$7="Да",IFERROR(INDEX('Вводные'!$B$88:$B$91,$B$8),"Нет")="Да")),MAX(0,SUM($D25:AP25)-AP25),0)</x:f>
      </x:c>
      <x:c r="AQ27" s="107" t="n">
        <x:f>IF(AND(YEAR(AQ$3)=YEAR(EDATE(INDEX('Вводные'!$D$88:$D$91,$B$8),INDEX('Вводные'!$E$88:$E$91,$B$8)+INDEX('Вводные'!$F$88:$F$91,$B$8)+'Вводные'!$H$9)),MONTH(AQ$3)=MONTH(EDATE(INDEX('Вводные'!$D$88:$D$91,$B$8),INDEX('Вводные'!$E$88:$E$91,$B$8)+INDEX('Вводные'!$F$88:$F$91,$B$8)+'Вводные'!$H$9)),AND($B$7="Да",IFERROR(INDEX('Вводные'!$B$88:$B$91,$B$8),"Нет")="Да")),MAX(0,SUM($D25:AQ25)-AQ25),0)</x:f>
      </x:c>
      <x:c r="AR27" s="107" t="n">
        <x:f>IF(AND(YEAR(AR$3)=YEAR(EDATE(INDEX('Вводные'!$D$88:$D$91,$B$8),INDEX('Вводные'!$E$88:$E$91,$B$8)+INDEX('Вводные'!$F$88:$F$91,$B$8)+'Вводные'!$H$9)),MONTH(AR$3)=MONTH(EDATE(INDEX('Вводные'!$D$88:$D$91,$B$8),INDEX('Вводные'!$E$88:$E$91,$B$8)+INDEX('Вводные'!$F$88:$F$91,$B$8)+'Вводные'!$H$9)),AND($B$7="Да",IFERROR(INDEX('Вводные'!$B$88:$B$91,$B$8),"Нет")="Да")),MAX(0,SUM($D25:AR25)-AR25),0)</x:f>
      </x:c>
      <x:c r="AS27" s="107" t="n">
        <x:f>IF(AND(YEAR(AS$3)=YEAR(EDATE(INDEX('Вводные'!$D$88:$D$91,$B$8),INDEX('Вводные'!$E$88:$E$91,$B$8)+INDEX('Вводные'!$F$88:$F$91,$B$8)+'Вводные'!$H$9)),MONTH(AS$3)=MONTH(EDATE(INDEX('Вводные'!$D$88:$D$91,$B$8),INDEX('Вводные'!$E$88:$E$91,$B$8)+INDEX('Вводные'!$F$88:$F$91,$B$8)+'Вводные'!$H$9)),AND($B$7="Да",IFERROR(INDEX('Вводные'!$B$88:$B$91,$B$8),"Нет")="Да")),MAX(0,SUM($D25:AS25)-AS25),0)</x:f>
      </x:c>
      <x:c r="AT27" s="107" t="n">
        <x:f>IF(AND(YEAR(AT$3)=YEAR(EDATE(INDEX('Вводные'!$D$88:$D$91,$B$8),INDEX('Вводные'!$E$88:$E$91,$B$8)+INDEX('Вводные'!$F$88:$F$91,$B$8)+'Вводные'!$H$9)),MONTH(AT$3)=MONTH(EDATE(INDEX('Вводные'!$D$88:$D$91,$B$8),INDEX('Вводные'!$E$88:$E$91,$B$8)+INDEX('Вводные'!$F$88:$F$91,$B$8)+'Вводные'!$H$9)),AND($B$7="Да",IFERROR(INDEX('Вводные'!$B$88:$B$91,$B$8),"Нет")="Да")),MAX(0,SUM($D25:AT25)-AT25),0)</x:f>
      </x:c>
      <x:c r="AU27" s="107" t="n">
        <x:f>IF(AND(YEAR(AU$3)=YEAR(EDATE(INDEX('Вводные'!$D$88:$D$91,$B$8),INDEX('Вводные'!$E$88:$E$91,$B$8)+INDEX('Вводные'!$F$88:$F$91,$B$8)+'Вводные'!$H$9)),MONTH(AU$3)=MONTH(EDATE(INDEX('Вводные'!$D$88:$D$91,$B$8),INDEX('Вводные'!$E$88:$E$91,$B$8)+INDEX('Вводные'!$F$88:$F$91,$B$8)+'Вводные'!$H$9)),AND($B$7="Да",IFERROR(INDEX('Вводные'!$B$88:$B$91,$B$8),"Нет")="Да")),MAX(0,SUM($D25:AU25)-AU25),0)</x:f>
      </x:c>
      <x:c r="AV27" s="107" t="n">
        <x:f>IF(AND(YEAR(AV$3)=YEAR(EDATE(INDEX('Вводные'!$D$88:$D$91,$B$8),INDEX('Вводные'!$E$88:$E$91,$B$8)+INDEX('Вводные'!$F$88:$F$91,$B$8)+'Вводные'!$H$9)),MONTH(AV$3)=MONTH(EDATE(INDEX('Вводные'!$D$88:$D$91,$B$8),INDEX('Вводные'!$E$88:$E$91,$B$8)+INDEX('Вводные'!$F$88:$F$91,$B$8)+'Вводные'!$H$9)),AND($B$7="Да",IFERROR(INDEX('Вводные'!$B$88:$B$91,$B$8),"Нет")="Да")),MAX(0,SUM($D25:AV25)-AV25),0)</x:f>
      </x:c>
      <x:c r="AW27" s="107" t="n">
        <x:f>IF(AND(YEAR(AW$3)=YEAR(EDATE(INDEX('Вводные'!$D$88:$D$91,$B$8),INDEX('Вводные'!$E$88:$E$91,$B$8)+INDEX('Вводные'!$F$88:$F$91,$B$8)+'Вводные'!$H$9)),MONTH(AW$3)=MONTH(EDATE(INDEX('Вводные'!$D$88:$D$91,$B$8),INDEX('Вводные'!$E$88:$E$91,$B$8)+INDEX('Вводные'!$F$88:$F$91,$B$8)+'Вводные'!$H$9)),AND($B$7="Да",IFERROR(INDEX('Вводные'!$B$88:$B$91,$B$8),"Нет")="Да")),MAX(0,SUM($D25:AW25)-AW25),0)</x:f>
      </x:c>
      <x:c r="AX27" s="107" t="n">
        <x:f>IF(AND(YEAR(AX$3)=YEAR(EDATE(INDEX('Вводные'!$D$88:$D$91,$B$8),INDEX('Вводные'!$E$88:$E$91,$B$8)+INDEX('Вводные'!$F$88:$F$91,$B$8)+'Вводные'!$H$9)),MONTH(AX$3)=MONTH(EDATE(INDEX('Вводные'!$D$88:$D$91,$B$8),INDEX('Вводные'!$E$88:$E$91,$B$8)+INDEX('Вводные'!$F$88:$F$91,$B$8)+'Вводные'!$H$9)),AND($B$7="Да",IFERROR(INDEX('Вводные'!$B$88:$B$91,$B$8),"Нет")="Да")),MAX(0,SUM($D25:AX25)-AX25),0)</x:f>
      </x:c>
      <x:c r="AY27" s="107" t="n">
        <x:f>IF(AND(YEAR(AY$3)=YEAR(EDATE(INDEX('Вводные'!$D$88:$D$91,$B$8),INDEX('Вводные'!$E$88:$E$91,$B$8)+INDEX('Вводные'!$F$88:$F$91,$B$8)+'Вводные'!$H$9)),MONTH(AY$3)=MONTH(EDATE(INDEX('Вводные'!$D$88:$D$91,$B$8),INDEX('Вводные'!$E$88:$E$91,$B$8)+INDEX('Вводные'!$F$88:$F$91,$B$8)+'Вводные'!$H$9)),AND($B$7="Да",IFERROR(INDEX('Вводные'!$B$88:$B$91,$B$8),"Нет")="Да")),MAX(0,SUM($D25:AY25)-AY25),0)</x:f>
      </x:c>
      <x:c r="AZ27" s="107" t="n">
        <x:f>IF(AND(YEAR(AZ$3)=YEAR(EDATE(INDEX('Вводные'!$D$88:$D$91,$B$8),INDEX('Вводные'!$E$88:$E$91,$B$8)+INDEX('Вводные'!$F$88:$F$91,$B$8)+'Вводные'!$H$9)),MONTH(AZ$3)=MONTH(EDATE(INDEX('Вводные'!$D$88:$D$91,$B$8),INDEX('Вводные'!$E$88:$E$91,$B$8)+INDEX('Вводные'!$F$88:$F$91,$B$8)+'Вводные'!$H$9)),AND($B$7="Да",IFERROR(INDEX('Вводные'!$B$88:$B$91,$B$8),"Нет")="Да")),MAX(0,SUM($D25:AZ25)-AZ25),0)</x:f>
      </x:c>
      <x:c r="BA27" s="107" t="n">
        <x:f>IF(AND(YEAR(BA$3)=YEAR(EDATE(INDEX('Вводные'!$D$88:$D$91,$B$8),INDEX('Вводные'!$E$88:$E$91,$B$8)+INDEX('Вводные'!$F$88:$F$91,$B$8)+'Вводные'!$H$9)),MONTH(BA$3)=MONTH(EDATE(INDEX('Вводные'!$D$88:$D$91,$B$8),INDEX('Вводные'!$E$88:$E$91,$B$8)+INDEX('Вводные'!$F$88:$F$91,$B$8)+'Вводные'!$H$9)),AND($B$7="Да",IFERROR(INDEX('Вводные'!$B$88:$B$91,$B$8),"Нет")="Да")),MAX(0,SUM($D25:BA25)-BA25),0)</x:f>
      </x:c>
      <x:c r="BB27" s="107" t="n">
        <x:f>IF(AND(YEAR(BB$3)=YEAR(EDATE(INDEX('Вводные'!$D$88:$D$91,$B$8),INDEX('Вводные'!$E$88:$E$91,$B$8)+INDEX('Вводные'!$F$88:$F$91,$B$8)+'Вводные'!$H$9)),MONTH(BB$3)=MONTH(EDATE(INDEX('Вводные'!$D$88:$D$91,$B$8),INDEX('Вводные'!$E$88:$E$91,$B$8)+INDEX('Вводные'!$F$88:$F$91,$B$8)+'Вводные'!$H$9)),AND($B$7="Да",IFERROR(INDEX('Вводные'!$B$88:$B$91,$B$8),"Нет")="Да")),MAX(0,SUM($D25:BB25)-BB25),0)</x:f>
      </x:c>
      <x:c r="BC27" s="107" t="n">
        <x:f>IF(AND(YEAR(BC$3)=YEAR(EDATE(INDEX('Вводные'!$D$88:$D$91,$B$8),INDEX('Вводные'!$E$88:$E$91,$B$8)+INDEX('Вводные'!$F$88:$F$91,$B$8)+'Вводные'!$H$9)),MONTH(BC$3)=MONTH(EDATE(INDEX('Вводные'!$D$88:$D$91,$B$8),INDEX('Вводные'!$E$88:$E$91,$B$8)+INDEX('Вводные'!$F$88:$F$91,$B$8)+'Вводные'!$H$9)),AND($B$7="Да",IFERROR(INDEX('Вводные'!$B$88:$B$91,$B$8),"Нет")="Да")),MAX(0,SUM($D25:BC25)-BC25),0)</x:f>
      </x:c>
      <x:c r="BD27" s="107" t="n">
        <x:f>IF(AND(YEAR(BD$3)=YEAR(EDATE(INDEX('Вводные'!$D$88:$D$91,$B$8),INDEX('Вводные'!$E$88:$E$91,$B$8)+INDEX('Вводные'!$F$88:$F$91,$B$8)+'Вводные'!$H$9)),MONTH(BD$3)=MONTH(EDATE(INDEX('Вводные'!$D$88:$D$91,$B$8),INDEX('Вводные'!$E$88:$E$91,$B$8)+INDEX('Вводные'!$F$88:$F$91,$B$8)+'Вводные'!$H$9)),AND($B$7="Да",IFERROR(INDEX('Вводные'!$B$88:$B$91,$B$8),"Нет")="Да")),MAX(0,SUM($D25:BD25)-BD25),0)</x:f>
      </x:c>
      <x:c r="BE27" s="107" t="n">
        <x:f>IF(AND(YEAR(BE$3)=YEAR(EDATE(INDEX('Вводные'!$D$88:$D$91,$B$8),INDEX('Вводные'!$E$88:$E$91,$B$8)+INDEX('Вводные'!$F$88:$F$91,$B$8)+'Вводные'!$H$9)),MONTH(BE$3)=MONTH(EDATE(INDEX('Вводные'!$D$88:$D$91,$B$8),INDEX('Вводные'!$E$88:$E$91,$B$8)+INDEX('Вводные'!$F$88:$F$91,$B$8)+'Вводные'!$H$9)),AND($B$7="Да",IFERROR(INDEX('Вводные'!$B$88:$B$91,$B$8),"Нет")="Да")),MAX(0,SUM($D25:BE25)-BE25),0)</x:f>
      </x:c>
      <x:c r="BF27" s="107" t="n">
        <x:f>IF(AND(YEAR(BF$3)=YEAR(EDATE(INDEX('Вводные'!$D$88:$D$91,$B$8),INDEX('Вводные'!$E$88:$E$91,$B$8)+INDEX('Вводные'!$F$88:$F$91,$B$8)+'Вводные'!$H$9)),MONTH(BF$3)=MONTH(EDATE(INDEX('Вводные'!$D$88:$D$91,$B$8),INDEX('Вводные'!$E$88:$E$91,$B$8)+INDEX('Вводные'!$F$88:$F$91,$B$8)+'Вводные'!$H$9)),AND($B$7="Да",IFERROR(INDEX('Вводные'!$B$88:$B$91,$B$8),"Нет")="Да")),MAX(0,SUM($D25:BF25)-BF25),0)</x:f>
      </x:c>
      <x:c r="BG27" s="107" t="n">
        <x:f>IF(AND(YEAR(BG$3)=YEAR(EDATE(INDEX('Вводные'!$D$88:$D$91,$B$8),INDEX('Вводные'!$E$88:$E$91,$B$8)+INDEX('Вводные'!$F$88:$F$91,$B$8)+'Вводные'!$H$9)),MONTH(BG$3)=MONTH(EDATE(INDEX('Вводные'!$D$88:$D$91,$B$8),INDEX('Вводные'!$E$88:$E$91,$B$8)+INDEX('Вводные'!$F$88:$F$91,$B$8)+'Вводные'!$H$9)),AND($B$7="Да",IFERROR(INDEX('Вводные'!$B$88:$B$91,$B$8),"Нет")="Да")),MAX(0,SUM($D25:BG25)-BG25),0)</x:f>
      </x:c>
      <x:c r="BH27" s="107" t="n">
        <x:f>IF(AND(YEAR(BH$3)=YEAR(EDATE(INDEX('Вводные'!$D$88:$D$91,$B$8),INDEX('Вводные'!$E$88:$E$91,$B$8)+INDEX('Вводные'!$F$88:$F$91,$B$8)+'Вводные'!$H$9)),MONTH(BH$3)=MONTH(EDATE(INDEX('Вводные'!$D$88:$D$91,$B$8),INDEX('Вводные'!$E$88:$E$91,$B$8)+INDEX('Вводные'!$F$88:$F$91,$B$8)+'Вводные'!$H$9)),AND($B$7="Да",IFERROR(INDEX('Вводные'!$B$88:$B$91,$B$8),"Нет")="Да")),MAX(0,SUM($D25:BH25)-BH25),0)</x:f>
      </x:c>
      <x:c r="BI27" s="107" t="n">
        <x:f>IF(AND(YEAR(BI$3)=YEAR(EDATE(INDEX('Вводные'!$D$88:$D$91,$B$8),INDEX('Вводные'!$E$88:$E$91,$B$8)+INDEX('Вводные'!$F$88:$F$91,$B$8)+'Вводные'!$H$9)),MONTH(BI$3)=MONTH(EDATE(INDEX('Вводные'!$D$88:$D$91,$B$8),INDEX('Вводные'!$E$88:$E$91,$B$8)+INDEX('Вводные'!$F$88:$F$91,$B$8)+'Вводные'!$H$9)),AND($B$7="Да",IFERROR(INDEX('Вводные'!$B$88:$B$91,$B$8),"Нет")="Да")),MAX(0,SUM($D25:BI25)-BI25),0)</x:f>
      </x:c>
      <x:c r="BJ27" s="107" t="n">
        <x:f>IF(AND(YEAR(BJ$3)=YEAR(EDATE(INDEX('Вводные'!$D$88:$D$91,$B$8),INDEX('Вводные'!$E$88:$E$91,$B$8)+INDEX('Вводные'!$F$88:$F$91,$B$8)+'Вводные'!$H$9)),MONTH(BJ$3)=MONTH(EDATE(INDEX('Вводные'!$D$88:$D$91,$B$8),INDEX('Вводные'!$E$88:$E$91,$B$8)+INDEX('Вводные'!$F$88:$F$91,$B$8)+'Вводные'!$H$9)),AND($B$7="Да",IFERROR(INDEX('Вводные'!$B$88:$B$91,$B$8),"Нет")="Да")),MAX(0,SUM($D25:BJ25)-BJ25),0)</x:f>
      </x:c>
      <x:c r="BK27" s="107" t="n">
        <x:f>IF(AND(YEAR(BK$3)=YEAR(EDATE(INDEX('Вводные'!$D$88:$D$91,$B$8),INDEX('Вводные'!$E$88:$E$91,$B$8)+INDEX('Вводные'!$F$88:$F$91,$B$8)+'Вводные'!$H$9)),MONTH(BK$3)=MONTH(EDATE(INDEX('Вводные'!$D$88:$D$91,$B$8),INDEX('Вводные'!$E$88:$E$91,$B$8)+INDEX('Вводные'!$F$88:$F$91,$B$8)+'Вводные'!$H$9)),AND($B$7="Да",IFERROR(INDEX('Вводные'!$B$88:$B$91,$B$8),"Нет")="Да")),MAX(0,SUM($D25:BK25)-BK25),0)</x:f>
      </x:c>
      <x:c r="BL27" s="107" t="n">
        <x:f>IF(AND(YEAR(BL$3)=YEAR(EDATE(INDEX('Вводные'!$D$88:$D$91,$B$8),INDEX('Вводные'!$E$88:$E$91,$B$8)+INDEX('Вводные'!$F$88:$F$91,$B$8)+'Вводные'!$H$9)),MONTH(BL$3)=MONTH(EDATE(INDEX('Вводные'!$D$88:$D$91,$B$8),INDEX('Вводные'!$E$88:$E$91,$B$8)+INDEX('Вводные'!$F$88:$F$91,$B$8)+'Вводные'!$H$9)),AND($B$7="Да",IFERROR(INDEX('Вводные'!$B$88:$B$91,$B$8),"Нет")="Да")),MAX(0,SUM($D25:BL25)-BL25),0)</x:f>
      </x:c>
      <x:c r="BM27" s="107" t="n">
        <x:f>IF(AND(YEAR(BM$3)=YEAR(EDATE(INDEX('Вводные'!$D$88:$D$91,$B$8),INDEX('Вводные'!$E$88:$E$91,$B$8)+INDEX('Вводные'!$F$88:$F$91,$B$8)+'Вводные'!$H$9)),MONTH(BM$3)=MONTH(EDATE(INDEX('Вводные'!$D$88:$D$91,$B$8),INDEX('Вводные'!$E$88:$E$91,$B$8)+INDEX('Вводные'!$F$88:$F$91,$B$8)+'Вводные'!$H$9)),AND($B$7="Да",IFERROR(INDEX('Вводные'!$B$88:$B$91,$B$8),"Нет")="Да")),MAX(0,SUM($D25:BM25)-BM25),0)</x:f>
      </x:c>
      <x:c r="BN27" s="107" t="n">
        <x:f>IF(AND(YEAR(BN$3)=YEAR(EDATE(INDEX('Вводные'!$D$88:$D$91,$B$8),INDEX('Вводные'!$E$88:$E$91,$B$8)+INDEX('Вводные'!$F$88:$F$91,$B$8)+'Вводные'!$H$9)),MONTH(BN$3)=MONTH(EDATE(INDEX('Вводные'!$D$88:$D$91,$B$8),INDEX('Вводные'!$E$88:$E$91,$B$8)+INDEX('Вводные'!$F$88:$F$91,$B$8)+'Вводные'!$H$9)),AND($B$7="Да",IFERROR(INDEX('Вводные'!$B$88:$B$91,$B$8),"Нет")="Да")),MAX(0,SUM($D25:BN25)-BN25),0)</x:f>
      </x:c>
      <x:c r="BO27" s="107" t="n">
        <x:f>IF(AND(YEAR(BO$3)=YEAR(EDATE(INDEX('Вводные'!$D$88:$D$91,$B$8),INDEX('Вводные'!$E$88:$E$91,$B$8)+INDEX('Вводные'!$F$88:$F$91,$B$8)+'Вводные'!$H$9)),MONTH(BO$3)=MONTH(EDATE(INDEX('Вводные'!$D$88:$D$91,$B$8),INDEX('Вводные'!$E$88:$E$91,$B$8)+INDEX('Вводные'!$F$88:$F$91,$B$8)+'Вводные'!$H$9)),AND($B$7="Да",IFERROR(INDEX('Вводные'!$B$88:$B$91,$B$8),"Нет")="Да")),MAX(0,SUM($D25:BO25)-BO25),0)</x:f>
      </x:c>
      <x:c r="BP27" s="107" t="n">
        <x:f>IF(AND(YEAR(BP$3)=YEAR(EDATE(INDEX('Вводные'!$D$88:$D$91,$B$8),INDEX('Вводные'!$E$88:$E$91,$B$8)+INDEX('Вводные'!$F$88:$F$91,$B$8)+'Вводные'!$H$9)),MONTH(BP$3)=MONTH(EDATE(INDEX('Вводные'!$D$88:$D$91,$B$8),INDEX('Вводные'!$E$88:$E$91,$B$8)+INDEX('Вводные'!$F$88:$F$91,$B$8)+'Вводные'!$H$9)),AND($B$7="Да",IFERROR(INDEX('Вводные'!$B$88:$B$91,$B$8),"Нет")="Да")),MAX(0,SUM($D25:BP25)-BP25),0)</x:f>
      </x:c>
      <x:c r="BQ27" s="107" t="n">
        <x:f>IF(AND(YEAR(BQ$3)=YEAR(EDATE(INDEX('Вводные'!$D$88:$D$91,$B$8),INDEX('Вводные'!$E$88:$E$91,$B$8)+INDEX('Вводные'!$F$88:$F$91,$B$8)+'Вводные'!$H$9)),MONTH(BQ$3)=MONTH(EDATE(INDEX('Вводные'!$D$88:$D$91,$B$8),INDEX('Вводные'!$E$88:$E$91,$B$8)+INDEX('Вводные'!$F$88:$F$91,$B$8)+'Вводные'!$H$9)),AND($B$7="Да",IFERROR(INDEX('Вводные'!$B$88:$B$91,$B$8),"Нет")="Да")),MAX(0,SUM($D25:BQ25)-BQ25),0)</x:f>
      </x:c>
      <x:c r="BR27" s="107" t="n">
        <x:f>IF(AND(YEAR(BR$3)=YEAR(EDATE(INDEX('Вводные'!$D$88:$D$91,$B$8),INDEX('Вводные'!$E$88:$E$91,$B$8)+INDEX('Вводные'!$F$88:$F$91,$B$8)+'Вводные'!$H$9)),MONTH(BR$3)=MONTH(EDATE(INDEX('Вводные'!$D$88:$D$91,$B$8),INDEX('Вводные'!$E$88:$E$91,$B$8)+INDEX('Вводные'!$F$88:$F$91,$B$8)+'Вводные'!$H$9)),AND($B$7="Да",IFERROR(INDEX('Вводные'!$B$88:$B$91,$B$8),"Нет")="Да")),MAX(0,SUM($D25:BR25)-BR25),0)</x:f>
      </x:c>
      <x:c r="BS27" s="107" t="n">
        <x:f>IF(AND(YEAR(BS$3)=YEAR(EDATE(INDEX('Вводные'!$D$88:$D$91,$B$8),INDEX('Вводные'!$E$88:$E$91,$B$8)+INDEX('Вводные'!$F$88:$F$91,$B$8)+'Вводные'!$H$9)),MONTH(BS$3)=MONTH(EDATE(INDEX('Вводные'!$D$88:$D$91,$B$8),INDEX('Вводные'!$E$88:$E$91,$B$8)+INDEX('Вводные'!$F$88:$F$91,$B$8)+'Вводные'!$H$9)),AND($B$7="Да",IFERROR(INDEX('Вводные'!$B$88:$B$91,$B$8),"Нет")="Да")),MAX(0,SUM($D25:BS25)-BS25),0)</x:f>
      </x:c>
      <x:c r="BT27" s="107" t="n">
        <x:f>IF(AND(YEAR(BT$3)=YEAR(EDATE(INDEX('Вводные'!$D$88:$D$91,$B$8),INDEX('Вводные'!$E$88:$E$91,$B$8)+INDEX('Вводные'!$F$88:$F$91,$B$8)+'Вводные'!$H$9)),MONTH(BT$3)=MONTH(EDATE(INDEX('Вводные'!$D$88:$D$91,$B$8),INDEX('Вводные'!$E$88:$E$91,$B$8)+INDEX('Вводные'!$F$88:$F$91,$B$8)+'Вводные'!$H$9)),AND($B$7="Да",IFERROR(INDEX('Вводные'!$B$88:$B$91,$B$8),"Нет")="Да")),MAX(0,SUM($D25:BT25)-BT25),0)</x:f>
      </x:c>
      <x:c r="BU27" s="107" t="n">
        <x:f>IF(AND(YEAR(BU$3)=YEAR(EDATE(INDEX('Вводные'!$D$88:$D$91,$B$8),INDEX('Вводные'!$E$88:$E$91,$B$8)+INDEX('Вводные'!$F$88:$F$91,$B$8)+'Вводные'!$H$9)),MONTH(BU$3)=MONTH(EDATE(INDEX('Вводные'!$D$88:$D$91,$B$8),INDEX('Вводные'!$E$88:$E$91,$B$8)+INDEX('Вводные'!$F$88:$F$91,$B$8)+'Вводные'!$H$9)),AND($B$7="Да",IFERROR(INDEX('Вводные'!$B$88:$B$91,$B$8),"Нет")="Да")),MAX(0,SUM($D25:BU25)-BU25),0)</x:f>
      </x:c>
      <x:c r="BV27" s="107" t="n">
        <x:f>IF(AND(YEAR(BV$3)=YEAR(EDATE(INDEX('Вводные'!$D$88:$D$91,$B$8),INDEX('Вводные'!$E$88:$E$91,$B$8)+INDEX('Вводные'!$F$88:$F$91,$B$8)+'Вводные'!$H$9)),MONTH(BV$3)=MONTH(EDATE(INDEX('Вводные'!$D$88:$D$91,$B$8),INDEX('Вводные'!$E$88:$E$91,$B$8)+INDEX('Вводные'!$F$88:$F$91,$B$8)+'Вводные'!$H$9)),AND($B$7="Да",IFERROR(INDEX('Вводные'!$B$88:$B$91,$B$8),"Нет")="Да")),MAX(0,SUM($D25:BV25)-BV25),0)</x:f>
      </x:c>
      <x:c r="BW27" s="107" t="n">
        <x:f>IF(AND(YEAR(BW$3)=YEAR(EDATE(INDEX('Вводные'!$D$88:$D$91,$B$8),INDEX('Вводные'!$E$88:$E$91,$B$8)+INDEX('Вводные'!$F$88:$F$91,$B$8)+'Вводные'!$H$9)),MONTH(BW$3)=MONTH(EDATE(INDEX('Вводные'!$D$88:$D$91,$B$8),INDEX('Вводные'!$E$88:$E$91,$B$8)+INDEX('Вводные'!$F$88:$F$91,$B$8)+'Вводные'!$H$9)),AND($B$7="Да",IFERROR(INDEX('Вводные'!$B$88:$B$91,$B$8),"Нет")="Да")),MAX(0,SUM($D25:BW25)-BW25),0)</x:f>
      </x:c>
      <x:c r="BX27" s="107" t="n">
        <x:f>IF(AND(YEAR(BX$3)=YEAR(EDATE(INDEX('Вводные'!$D$88:$D$91,$B$8),INDEX('Вводные'!$E$88:$E$91,$B$8)+INDEX('Вводные'!$F$88:$F$91,$B$8)+'Вводные'!$H$9)),MONTH(BX$3)=MONTH(EDATE(INDEX('Вводные'!$D$88:$D$91,$B$8),INDEX('Вводные'!$E$88:$E$91,$B$8)+INDEX('Вводные'!$F$88:$F$91,$B$8)+'Вводные'!$H$9)),AND($B$7="Да",IFERROR(INDEX('Вводные'!$B$88:$B$91,$B$8),"Нет")="Да")),MAX(0,SUM($D25:BX25)-BX25),0)</x:f>
      </x:c>
      <x:c r="BY27" s="107" t="n">
        <x:f>IF(AND(YEAR(BY$3)=YEAR(EDATE(INDEX('Вводные'!$D$88:$D$91,$B$8),INDEX('Вводные'!$E$88:$E$91,$B$8)+INDEX('Вводные'!$F$88:$F$91,$B$8)+'Вводные'!$H$9)),MONTH(BY$3)=MONTH(EDATE(INDEX('Вводные'!$D$88:$D$91,$B$8),INDEX('Вводные'!$E$88:$E$91,$B$8)+INDEX('Вводные'!$F$88:$F$91,$B$8)+'Вводные'!$H$9)),AND($B$7="Да",IFERROR(INDEX('Вводные'!$B$88:$B$91,$B$8),"Нет")="Да")),MAX(0,SUM($D25:BY25)-BY25),0)</x:f>
      </x:c>
      <x:c r="BZ27" s="107" t="n">
        <x:f>IF(AND(YEAR(BZ$3)=YEAR(EDATE(INDEX('Вводные'!$D$88:$D$91,$B$8),INDEX('Вводные'!$E$88:$E$91,$B$8)+INDEX('Вводные'!$F$88:$F$91,$B$8)+'Вводные'!$H$9)),MONTH(BZ$3)=MONTH(EDATE(INDEX('Вводные'!$D$88:$D$91,$B$8),INDEX('Вводные'!$E$88:$E$91,$B$8)+INDEX('Вводные'!$F$88:$F$91,$B$8)+'Вводные'!$H$9)),AND($B$7="Да",IFERROR(INDEX('Вводные'!$B$88:$B$91,$B$8),"Нет")="Да")),MAX(0,SUM($D25:BZ25)-BZ25),0)</x:f>
      </x:c>
      <x:c r="CA27" s="107" t="n">
        <x:f>IF(AND(YEAR(CA$3)=YEAR(EDATE(INDEX('Вводные'!$D$88:$D$91,$B$8),INDEX('Вводные'!$E$88:$E$91,$B$8)+INDEX('Вводные'!$F$88:$F$91,$B$8)+'Вводные'!$H$9)),MONTH(CA$3)=MONTH(EDATE(INDEX('Вводные'!$D$88:$D$91,$B$8),INDEX('Вводные'!$E$88:$E$91,$B$8)+INDEX('Вводные'!$F$88:$F$91,$B$8)+'Вводные'!$H$9)),AND($B$7="Да",IFERROR(INDEX('Вводные'!$B$88:$B$91,$B$8),"Нет")="Да")),MAX(0,SUM($D25:CA25)-CA25),0)</x:f>
      </x:c>
      <x:c r="CB27" s="107" t="n">
        <x:f>IF(AND(YEAR(CB$3)=YEAR(EDATE(INDEX('Вводные'!$D$88:$D$91,$B$8),INDEX('Вводные'!$E$88:$E$91,$B$8)+INDEX('Вводные'!$F$88:$F$91,$B$8)+'Вводные'!$H$9)),MONTH(CB$3)=MONTH(EDATE(INDEX('Вводные'!$D$88:$D$91,$B$8),INDEX('Вводные'!$E$88:$E$91,$B$8)+INDEX('Вводные'!$F$88:$F$91,$B$8)+'Вводные'!$H$9)),AND($B$7="Да",IFERROR(INDEX('Вводные'!$B$88:$B$91,$B$8),"Нет")="Да")),MAX(0,SUM($D25:CB25)-CB25),0)</x:f>
      </x:c>
      <x:c r="CC27" s="107" t="n">
        <x:f>IF(AND(YEAR(CC$3)=YEAR(EDATE(INDEX('Вводные'!$D$88:$D$91,$B$8),INDEX('Вводные'!$E$88:$E$91,$B$8)+INDEX('Вводные'!$F$88:$F$91,$B$8)+'Вводные'!$H$9)),MONTH(CC$3)=MONTH(EDATE(INDEX('Вводные'!$D$88:$D$91,$B$8),INDEX('Вводные'!$E$88:$E$91,$B$8)+INDEX('Вводные'!$F$88:$F$91,$B$8)+'Вводные'!$H$9)),AND($B$7="Да",IFERROR(INDEX('Вводные'!$B$88:$B$91,$B$8),"Нет")="Да")),MAX(0,SUM($D25:CC25)-CC25),0)</x:f>
      </x:c>
      <x:c r="CD27" s="107" t="n">
        <x:f>IF(AND(YEAR(CD$3)=YEAR(EDATE(INDEX('Вводные'!$D$88:$D$91,$B$8),INDEX('Вводные'!$E$88:$E$91,$B$8)+INDEX('Вводные'!$F$88:$F$91,$B$8)+'Вводные'!$H$9)),MONTH(CD$3)=MONTH(EDATE(INDEX('Вводные'!$D$88:$D$91,$B$8),INDEX('Вводные'!$E$88:$E$91,$B$8)+INDEX('Вводные'!$F$88:$F$91,$B$8)+'Вводные'!$H$9)),AND($B$7="Да",IFERROR(INDEX('Вводные'!$B$88:$B$91,$B$8),"Нет")="Да")),MAX(0,SUM($D25:CD25)-CD25),0)</x:f>
      </x:c>
      <x:c r="CE27" s="107" t="n">
        <x:f>IF(AND(YEAR(CE$3)=YEAR(EDATE(INDEX('Вводные'!$D$88:$D$91,$B$8),INDEX('Вводные'!$E$88:$E$91,$B$8)+INDEX('Вводные'!$F$88:$F$91,$B$8)+'Вводные'!$H$9)),MONTH(CE$3)=MONTH(EDATE(INDEX('Вводные'!$D$88:$D$91,$B$8),INDEX('Вводные'!$E$88:$E$91,$B$8)+INDEX('Вводные'!$F$88:$F$91,$B$8)+'Вводные'!$H$9)),AND($B$7="Да",IFERROR(INDEX('Вводные'!$B$88:$B$91,$B$8),"Нет")="Да")),MAX(0,SUM($D25:CE25)-CE25),0)</x:f>
      </x:c>
      <x:c r="CF27" s="107" t="n">
        <x:f>IF(AND(YEAR(CF$3)=YEAR(EDATE(INDEX('Вводные'!$D$88:$D$91,$B$8),INDEX('Вводные'!$E$88:$E$91,$B$8)+INDEX('Вводные'!$F$88:$F$91,$B$8)+'Вводные'!$H$9)),MONTH(CF$3)=MONTH(EDATE(INDEX('Вводные'!$D$88:$D$91,$B$8),INDEX('Вводные'!$E$88:$E$91,$B$8)+INDEX('Вводные'!$F$88:$F$91,$B$8)+'Вводные'!$H$9)),AND($B$7="Да",IFERROR(INDEX('Вводные'!$B$88:$B$91,$B$8),"Нет")="Да")),MAX(0,SUM($D25:CF25)-CF25),0)</x:f>
      </x:c>
      <x:c r="CG27" s="107" t="n">
        <x:f>IF(AND(YEAR(CG$3)=YEAR(EDATE(INDEX('Вводные'!$D$88:$D$91,$B$8),INDEX('Вводные'!$E$88:$E$91,$B$8)+INDEX('Вводные'!$F$88:$F$91,$B$8)+'Вводные'!$H$9)),MONTH(CG$3)=MONTH(EDATE(INDEX('Вводные'!$D$88:$D$91,$B$8),INDEX('Вводные'!$E$88:$E$91,$B$8)+INDEX('Вводные'!$F$88:$F$91,$B$8)+'Вводные'!$H$9)),AND($B$7="Да",IFERROR(INDEX('Вводные'!$B$88:$B$91,$B$8),"Нет")="Да")),MAX(0,SUM($D25:CG25)-CG25),0)</x:f>
      </x:c>
      <x:c r="CH27" s="107" t="n">
        <x:f>IF(AND(YEAR(CH$3)=YEAR(EDATE(INDEX('Вводные'!$D$88:$D$91,$B$8),INDEX('Вводные'!$E$88:$E$91,$B$8)+INDEX('Вводные'!$F$88:$F$91,$B$8)+'Вводные'!$H$9)),MONTH(CH$3)=MONTH(EDATE(INDEX('Вводные'!$D$88:$D$91,$B$8),INDEX('Вводные'!$E$88:$E$91,$B$8)+INDEX('Вводные'!$F$88:$F$91,$B$8)+'Вводные'!$H$9)),AND($B$7="Да",IFERROR(INDEX('Вводные'!$B$88:$B$91,$B$8),"Нет")="Да")),MAX(0,SUM($D25:CH25)-CH25),0)</x:f>
      </x:c>
      <x:c r="CI27" s="107" t="n">
        <x:f>IF(AND(YEAR(CI$3)=YEAR(EDATE(INDEX('Вводные'!$D$88:$D$91,$B$8),INDEX('Вводные'!$E$88:$E$91,$B$8)+INDEX('Вводные'!$F$88:$F$91,$B$8)+'Вводные'!$H$9)),MONTH(CI$3)=MONTH(EDATE(INDEX('Вводные'!$D$88:$D$91,$B$8),INDEX('Вводные'!$E$88:$E$91,$B$8)+INDEX('Вводные'!$F$88:$F$91,$B$8)+'Вводные'!$H$9)),AND($B$7="Да",IFERROR(INDEX('Вводные'!$B$88:$B$91,$B$8),"Нет")="Да")),MAX(0,SUM($D25:CI25)-CI25),0)</x:f>
      </x:c>
      <x:c r="CJ27" s="107" t="n">
        <x:f>IF(AND(YEAR(CJ$3)=YEAR(EDATE(INDEX('Вводные'!$D$88:$D$91,$B$8),INDEX('Вводные'!$E$88:$E$91,$B$8)+INDEX('Вводные'!$F$88:$F$91,$B$8)+'Вводные'!$H$9)),MONTH(CJ$3)=MONTH(EDATE(INDEX('Вводные'!$D$88:$D$91,$B$8),INDEX('Вводные'!$E$88:$E$91,$B$8)+INDEX('Вводные'!$F$88:$F$91,$B$8)+'Вводные'!$H$9)),AND($B$7="Да",IFERROR(INDEX('Вводные'!$B$88:$B$91,$B$8),"Нет")="Да")),MAX(0,SUM($D25:CJ25)-CJ25),0)</x:f>
      </x:c>
      <x:c r="CK27" s="107" t="n">
        <x:f>IF(AND(YEAR(CK$3)=YEAR(EDATE(INDEX('Вводные'!$D$88:$D$91,$B$8),INDEX('Вводные'!$E$88:$E$91,$B$8)+INDEX('Вводные'!$F$88:$F$91,$B$8)+'Вводные'!$H$9)),MONTH(CK$3)=MONTH(EDATE(INDEX('Вводные'!$D$88:$D$91,$B$8),INDEX('Вводные'!$E$88:$E$91,$B$8)+INDEX('Вводные'!$F$88:$F$91,$B$8)+'Вводные'!$H$9)),AND($B$7="Да",IFERROR(INDEX('Вводные'!$B$88:$B$91,$B$8),"Нет")="Да")),MAX(0,SUM($D25:CK25)-CK25),0)</x:f>
      </x:c>
      <x:c r="CL27" s="107" t="n">
        <x:f>IF(AND(YEAR(CL$3)=YEAR(EDATE(INDEX('Вводные'!$D$88:$D$91,$B$8),INDEX('Вводные'!$E$88:$E$91,$B$8)+INDEX('Вводные'!$F$88:$F$91,$B$8)+'Вводные'!$H$9)),MONTH(CL$3)=MONTH(EDATE(INDEX('Вводные'!$D$88:$D$91,$B$8),INDEX('Вводные'!$E$88:$E$91,$B$8)+INDEX('Вводные'!$F$88:$F$91,$B$8)+'Вводные'!$H$9)),AND($B$7="Да",IFERROR(INDEX('Вводные'!$B$88:$B$91,$B$8),"Нет")="Да")),MAX(0,SUM($D25:CL25)-CL25),0)</x:f>
      </x:c>
      <x:c r="CM27" s="107" t="n">
        <x:f>IF(AND(YEAR(CM$3)=YEAR(EDATE(INDEX('Вводные'!$D$88:$D$91,$B$8),INDEX('Вводные'!$E$88:$E$91,$B$8)+INDEX('Вводные'!$F$88:$F$91,$B$8)+'Вводные'!$H$9)),MONTH(CM$3)=MONTH(EDATE(INDEX('Вводные'!$D$88:$D$91,$B$8),INDEX('Вводные'!$E$88:$E$91,$B$8)+INDEX('Вводные'!$F$88:$F$91,$B$8)+'Вводные'!$H$9)),AND($B$7="Да",IFERROR(INDEX('Вводные'!$B$88:$B$91,$B$8),"Нет")="Да")),MAX(0,SUM($D25:CM25)-CM25),0)</x:f>
      </x:c>
      <x:c r="CN27" s="107" t="n">
        <x:f>IF(AND(YEAR(CN$3)=YEAR(EDATE(INDEX('Вводные'!$D$88:$D$91,$B$8),INDEX('Вводные'!$E$88:$E$91,$B$8)+INDEX('Вводные'!$F$88:$F$91,$B$8)+'Вводные'!$H$9)),MONTH(CN$3)=MONTH(EDATE(INDEX('Вводные'!$D$88:$D$91,$B$8),INDEX('Вводные'!$E$88:$E$91,$B$8)+INDEX('Вводные'!$F$88:$F$91,$B$8)+'Вводные'!$H$9)),AND($B$7="Да",IFERROR(INDEX('Вводные'!$B$88:$B$91,$B$8),"Нет")="Да")),MAX(0,SUM($D25:CN25)-CN25),0)</x:f>
      </x:c>
      <x:c r="CO27" s="107" t="n">
        <x:f>IF(AND(YEAR(CO$3)=YEAR(EDATE(INDEX('Вводные'!$D$88:$D$91,$B$8),INDEX('Вводные'!$E$88:$E$91,$B$8)+INDEX('Вводные'!$F$88:$F$91,$B$8)+'Вводные'!$H$9)),MONTH(CO$3)=MONTH(EDATE(INDEX('Вводные'!$D$88:$D$91,$B$8),INDEX('Вводные'!$E$88:$E$91,$B$8)+INDEX('Вводные'!$F$88:$F$91,$B$8)+'Вводные'!$H$9)),AND($B$7="Да",IFERROR(INDEX('Вводные'!$B$88:$B$91,$B$8),"Нет")="Да")),MAX(0,SUM($D25:CO25)-CO25),0)</x:f>
      </x:c>
      <x:c r="CP27" s="107" t="n">
        <x:f>IF(AND(YEAR(CP$3)=YEAR(EDATE(INDEX('Вводные'!$D$88:$D$91,$B$8),INDEX('Вводные'!$E$88:$E$91,$B$8)+INDEX('Вводные'!$F$88:$F$91,$B$8)+'Вводные'!$H$9)),MONTH(CP$3)=MONTH(EDATE(INDEX('Вводные'!$D$88:$D$91,$B$8),INDEX('Вводные'!$E$88:$E$91,$B$8)+INDEX('Вводные'!$F$88:$F$91,$B$8)+'Вводные'!$H$9)),AND($B$7="Да",IFERROR(INDEX('Вводные'!$B$88:$B$91,$B$8),"Нет")="Да")),MAX(0,SUM($D25:CP25)-CP25),0)</x:f>
      </x:c>
      <x:c r="CQ27" s="107" t="n">
        <x:f>IF(AND(YEAR(CQ$3)=YEAR(EDATE(INDEX('Вводные'!$D$88:$D$91,$B$8),INDEX('Вводные'!$E$88:$E$91,$B$8)+INDEX('Вводные'!$F$88:$F$91,$B$8)+'Вводные'!$H$9)),MONTH(CQ$3)=MONTH(EDATE(INDEX('Вводные'!$D$88:$D$91,$B$8),INDEX('Вводные'!$E$88:$E$91,$B$8)+INDEX('Вводные'!$F$88:$F$91,$B$8)+'Вводные'!$H$9)),AND($B$7="Да",IFERROR(INDEX('Вводные'!$B$88:$B$91,$B$8),"Нет")="Да")),MAX(0,SUM($D25:CQ25)-CQ25),0)</x:f>
      </x:c>
      <x:c r="CR27" s="107" t="n">
        <x:f>IF(AND(YEAR(CR$3)=YEAR(EDATE(INDEX('Вводные'!$D$88:$D$91,$B$8),INDEX('Вводные'!$E$88:$E$91,$B$8)+INDEX('Вводные'!$F$88:$F$91,$B$8)+'Вводные'!$H$9)),MONTH(CR$3)=MONTH(EDATE(INDEX('Вводные'!$D$88:$D$91,$B$8),INDEX('Вводные'!$E$88:$E$91,$B$8)+INDEX('Вводные'!$F$88:$F$91,$B$8)+'Вводные'!$H$9)),AND($B$7="Да",IFERROR(INDEX('Вводные'!$B$88:$B$91,$B$8),"Нет")="Да")),MAX(0,SUM($D25:CR25)-CR25),0)</x:f>
      </x:c>
      <x:c r="CS27" s="107" t="n">
        <x:f>IF(AND(YEAR(CS$3)=YEAR(EDATE(INDEX('Вводные'!$D$88:$D$91,$B$8),INDEX('Вводные'!$E$88:$E$91,$B$8)+INDEX('Вводные'!$F$88:$F$91,$B$8)+'Вводные'!$H$9)),MONTH(CS$3)=MONTH(EDATE(INDEX('Вводные'!$D$88:$D$91,$B$8),INDEX('Вводные'!$E$88:$E$91,$B$8)+INDEX('Вводные'!$F$88:$F$91,$B$8)+'Вводные'!$H$9)),AND($B$7="Да",IFERROR(INDEX('Вводные'!$B$88:$B$91,$B$8),"Нет")="Да")),MAX(0,SUM($D25:CS25)-CS25),0)</x:f>
      </x:c>
      <x:c r="CT27" s="107" t="n">
        <x:f>IF(AND(YEAR(CT$3)=YEAR(EDATE(INDEX('Вводные'!$D$88:$D$91,$B$8),INDEX('Вводные'!$E$88:$E$91,$B$8)+INDEX('Вводные'!$F$88:$F$91,$B$8)+'Вводные'!$H$9)),MONTH(CT$3)=MONTH(EDATE(INDEX('Вводные'!$D$88:$D$91,$B$8),INDEX('Вводные'!$E$88:$E$91,$B$8)+INDEX('Вводные'!$F$88:$F$91,$B$8)+'Вводные'!$H$9)),AND($B$7="Да",IFERROR(INDEX('Вводные'!$B$88:$B$91,$B$8),"Нет")="Да")),MAX(0,SUM($D25:CT25)-CT25),0)</x:f>
      </x:c>
      <x:c r="CU27" s="107" t="n">
        <x:f>IF(AND(YEAR(CU$3)=YEAR(EDATE(INDEX('Вводные'!$D$88:$D$91,$B$8),INDEX('Вводные'!$E$88:$E$91,$B$8)+INDEX('Вводные'!$F$88:$F$91,$B$8)+'Вводные'!$H$9)),MONTH(CU$3)=MONTH(EDATE(INDEX('Вводные'!$D$88:$D$91,$B$8),INDEX('Вводные'!$E$88:$E$91,$B$8)+INDEX('Вводные'!$F$88:$F$91,$B$8)+'Вводные'!$H$9)),AND($B$7="Да",IFERROR(INDEX('Вводные'!$B$88:$B$91,$B$8),"Нет")="Да")),MAX(0,SUM($D25:CU25)-CU25),0)</x:f>
      </x:c>
      <x:c r="CV27" s="107" t="n">
        <x:f>IF(AND(YEAR(CV$3)=YEAR(EDATE(INDEX('Вводные'!$D$88:$D$91,$B$8),INDEX('Вводные'!$E$88:$E$91,$B$8)+INDEX('Вводные'!$F$88:$F$91,$B$8)+'Вводные'!$H$9)),MONTH(CV$3)=MONTH(EDATE(INDEX('Вводные'!$D$88:$D$91,$B$8),INDEX('Вводные'!$E$88:$E$91,$B$8)+INDEX('Вводные'!$F$88:$F$91,$B$8)+'Вводные'!$H$9)),AND($B$7="Да",IFERROR(INDEX('Вводные'!$B$88:$B$91,$B$8),"Нет")="Да")),MAX(0,SUM($D25:CV25)-CV25),0)</x:f>
      </x:c>
      <x:c r="CW27" s="107" t="n">
        <x:f>IF(AND(YEAR(CW$3)=YEAR(EDATE(INDEX('Вводные'!$D$88:$D$91,$B$8),INDEX('Вводные'!$E$88:$E$91,$B$8)+INDEX('Вводные'!$F$88:$F$91,$B$8)+'Вводные'!$H$9)),MONTH(CW$3)=MONTH(EDATE(INDEX('Вводные'!$D$88:$D$91,$B$8),INDEX('Вводные'!$E$88:$E$91,$B$8)+INDEX('Вводные'!$F$88:$F$91,$B$8)+'Вводные'!$H$9)),AND($B$7="Да",IFERROR(INDEX('Вводные'!$B$88:$B$91,$B$8),"Нет")="Да")),MAX(0,SUM($D25:CW25)-CW25),0)</x:f>
      </x:c>
      <x:c r="CX27" s="107" t="n">
        <x:f>IF(AND(YEAR(CX$3)=YEAR(EDATE(INDEX('Вводные'!$D$88:$D$91,$B$8),INDEX('Вводные'!$E$88:$E$91,$B$8)+INDEX('Вводные'!$F$88:$F$91,$B$8)+'Вводные'!$H$9)),MONTH(CX$3)=MONTH(EDATE(INDEX('Вводные'!$D$88:$D$91,$B$8),INDEX('Вводные'!$E$88:$E$91,$B$8)+INDEX('Вводные'!$F$88:$F$91,$B$8)+'Вводные'!$H$9)),AND($B$7="Да",IFERROR(INDEX('Вводные'!$B$88:$B$91,$B$8),"Нет")="Да")),MAX(0,SUM($D25:CX25)-CX25),0)</x:f>
      </x:c>
      <x:c r="CY27" s="107" t="n">
        <x:f>IF(AND(YEAR(CY$3)=YEAR(EDATE(INDEX('Вводные'!$D$88:$D$91,$B$8),INDEX('Вводные'!$E$88:$E$91,$B$8)+INDEX('Вводные'!$F$88:$F$91,$B$8)+'Вводные'!$H$9)),MONTH(CY$3)=MONTH(EDATE(INDEX('Вводные'!$D$88:$D$91,$B$8),INDEX('Вводные'!$E$88:$E$91,$B$8)+INDEX('Вводные'!$F$88:$F$91,$B$8)+'Вводные'!$H$9)),AND($B$7="Да",IFERROR(INDEX('Вводные'!$B$88:$B$91,$B$8),"Нет")="Да")),MAX(0,SUM($D25:CY25)-CY25),0)</x:f>
      </x:c>
      <x:c r="CZ27" s="107" t="n">
        <x:f>IF(AND(YEAR(CZ$3)=YEAR(EDATE(INDEX('Вводные'!$D$88:$D$91,$B$8),INDEX('Вводные'!$E$88:$E$91,$B$8)+INDEX('Вводные'!$F$88:$F$91,$B$8)+'Вводные'!$H$9)),MONTH(CZ$3)=MONTH(EDATE(INDEX('Вводные'!$D$88:$D$91,$B$8),INDEX('Вводные'!$E$88:$E$91,$B$8)+INDEX('Вводные'!$F$88:$F$91,$B$8)+'Вводные'!$H$9)),AND($B$7="Да",IFERROR(INDEX('Вводные'!$B$88:$B$91,$B$8),"Нет")="Да")),MAX(0,SUM($D25:CZ25)-CZ25),0)</x:f>
      </x:c>
      <x:c r="DA27" s="107" t="n">
        <x:f>IF(AND(YEAR(DA$3)=YEAR(EDATE(INDEX('Вводные'!$D$88:$D$91,$B$8),INDEX('Вводные'!$E$88:$E$91,$B$8)+INDEX('Вводные'!$F$88:$F$91,$B$8)+'Вводные'!$H$9)),MONTH(DA$3)=MONTH(EDATE(INDEX('Вводные'!$D$88:$D$91,$B$8),INDEX('Вводные'!$E$88:$E$91,$B$8)+INDEX('Вводные'!$F$88:$F$91,$B$8)+'Вводные'!$H$9)),AND($B$7="Да",IFERROR(INDEX('Вводные'!$B$88:$B$91,$B$8),"Нет")="Да")),MAX(0,SUM($D25:DA25)-DA25),0)</x:f>
      </x:c>
      <x:c r="DB27" s="107" t="n">
        <x:f>IF(AND(YEAR(DB$3)=YEAR(EDATE(INDEX('Вводные'!$D$88:$D$91,$B$8),INDEX('Вводные'!$E$88:$E$91,$B$8)+INDEX('Вводные'!$F$88:$F$91,$B$8)+'Вводные'!$H$9)),MONTH(DB$3)=MONTH(EDATE(INDEX('Вводные'!$D$88:$D$91,$B$8),INDEX('Вводные'!$E$88:$E$91,$B$8)+INDEX('Вводные'!$F$88:$F$91,$B$8)+'Вводные'!$H$9)),AND($B$7="Да",IFERROR(INDEX('Вводные'!$B$88:$B$91,$B$8),"Нет")="Да")),MAX(0,SUM($D25:DB25)-DB25),0)</x:f>
      </x:c>
      <x:c r="DC27" s="107" t="n">
        <x:f>IF(AND(YEAR(DC$3)=YEAR(EDATE(INDEX('Вводные'!$D$88:$D$91,$B$8),INDEX('Вводные'!$E$88:$E$91,$B$8)+INDEX('Вводные'!$F$88:$F$91,$B$8)+'Вводные'!$H$9)),MONTH(DC$3)=MONTH(EDATE(INDEX('Вводные'!$D$88:$D$91,$B$8),INDEX('Вводные'!$E$88:$E$91,$B$8)+INDEX('Вводные'!$F$88:$F$91,$B$8)+'Вводные'!$H$9)),AND($B$7="Да",IFERROR(INDEX('Вводные'!$B$88:$B$91,$B$8),"Нет")="Да")),MAX(0,SUM($D25:DC25)-DC25),0)</x:f>
      </x:c>
      <x:c r="DD27" s="107" t="n">
        <x:f>IF(AND(YEAR(DD$3)=YEAR(EDATE(INDEX('Вводные'!$D$88:$D$91,$B$8),INDEX('Вводные'!$E$88:$E$91,$B$8)+INDEX('Вводные'!$F$88:$F$91,$B$8)+'Вводные'!$H$9)),MONTH(DD$3)=MONTH(EDATE(INDEX('Вводные'!$D$88:$D$91,$B$8),INDEX('Вводные'!$E$88:$E$91,$B$8)+INDEX('Вводные'!$F$88:$F$91,$B$8)+'Вводные'!$H$9)),AND($B$7="Да",IFERROR(INDEX('Вводные'!$B$88:$B$91,$B$8),"Нет")="Да")),MAX(0,SUM($D25:DD25)-DD25),0)</x:f>
      </x:c>
      <x:c r="DE27" s="107" t="n">
        <x:f>IF(AND(YEAR(DE$3)=YEAR(EDATE(INDEX('Вводные'!$D$88:$D$91,$B$8),INDEX('Вводные'!$E$88:$E$91,$B$8)+INDEX('Вводные'!$F$88:$F$91,$B$8)+'Вводные'!$H$9)),MONTH(DE$3)=MONTH(EDATE(INDEX('Вводные'!$D$88:$D$91,$B$8),INDEX('Вводные'!$E$88:$E$91,$B$8)+INDEX('Вводные'!$F$88:$F$91,$B$8)+'Вводные'!$H$9)),AND($B$7="Да",IFERROR(INDEX('Вводные'!$B$88:$B$91,$B$8),"Нет")="Да")),MAX(0,SUM($D25:DE25)-DE25),0)</x:f>
      </x:c>
      <x:c r="DF27" s="107" t="n">
        <x:f>IF(AND(YEAR(DF$3)=YEAR(EDATE(INDEX('Вводные'!$D$88:$D$91,$B$8),INDEX('Вводные'!$E$88:$E$91,$B$8)+INDEX('Вводные'!$F$88:$F$91,$B$8)+'Вводные'!$H$9)),MONTH(DF$3)=MONTH(EDATE(INDEX('Вводные'!$D$88:$D$91,$B$8),INDEX('Вводные'!$E$88:$E$91,$B$8)+INDEX('Вводные'!$F$88:$F$91,$B$8)+'Вводные'!$H$9)),AND($B$7="Да",IFERROR(INDEX('Вводные'!$B$88:$B$91,$B$8),"Нет")="Да")),MAX(0,SUM($D25:DF25)-DF25),0)</x:f>
      </x:c>
      <x:c r="DG27" s="107" t="n">
        <x:f>IF(AND(YEAR(DG$3)=YEAR(EDATE(INDEX('Вводные'!$D$88:$D$91,$B$8),INDEX('Вводные'!$E$88:$E$91,$B$8)+INDEX('Вводные'!$F$88:$F$91,$B$8)+'Вводные'!$H$9)),MONTH(DG$3)=MONTH(EDATE(INDEX('Вводные'!$D$88:$D$91,$B$8),INDEX('Вводные'!$E$88:$E$91,$B$8)+INDEX('Вводные'!$F$88:$F$91,$B$8)+'Вводные'!$H$9)),AND($B$7="Да",IFERROR(INDEX('Вводные'!$B$88:$B$91,$B$8),"Нет")="Да")),MAX(0,SUM($D25:DG25)-DG25),0)</x:f>
      </x:c>
      <x:c r="DH27" s="107" t="n">
        <x:f>IF(AND(YEAR(DH$3)=YEAR(EDATE(INDEX('Вводные'!$D$88:$D$91,$B$8),INDEX('Вводные'!$E$88:$E$91,$B$8)+INDEX('Вводные'!$F$88:$F$91,$B$8)+'Вводные'!$H$9)),MONTH(DH$3)=MONTH(EDATE(INDEX('Вводные'!$D$88:$D$91,$B$8),INDEX('Вводные'!$E$88:$E$91,$B$8)+INDEX('Вводные'!$F$88:$F$91,$B$8)+'Вводные'!$H$9)),AND($B$7="Да",IFERROR(INDEX('Вводные'!$B$88:$B$91,$B$8),"Нет")="Да")),MAX(0,SUM($D25:DH25)-DH25),0)</x:f>
      </x:c>
      <x:c r="DI27" s="107" t="n">
        <x:f>IF(AND(YEAR(DI$3)=YEAR(EDATE(INDEX('Вводные'!$D$88:$D$91,$B$8),INDEX('Вводные'!$E$88:$E$91,$B$8)+INDEX('Вводные'!$F$88:$F$91,$B$8)+'Вводные'!$H$9)),MONTH(DI$3)=MONTH(EDATE(INDEX('Вводные'!$D$88:$D$91,$B$8),INDEX('Вводные'!$E$88:$E$91,$B$8)+INDEX('Вводные'!$F$88:$F$91,$B$8)+'Вводные'!$H$9)),AND($B$7="Да",IFERROR(INDEX('Вводные'!$B$88:$B$91,$B$8),"Нет")="Да")),MAX(0,SUM($D25:DI25)-DI25),0)</x:f>
      </x:c>
      <x:c r="DJ27" s="107" t="n">
        <x:f>IF(AND(YEAR(DJ$3)=YEAR(EDATE(INDEX('Вводные'!$D$88:$D$91,$B$8),INDEX('Вводные'!$E$88:$E$91,$B$8)+INDEX('Вводные'!$F$88:$F$91,$B$8)+'Вводные'!$H$9)),MONTH(DJ$3)=MONTH(EDATE(INDEX('Вводные'!$D$88:$D$91,$B$8),INDEX('Вводные'!$E$88:$E$91,$B$8)+INDEX('Вводные'!$F$88:$F$91,$B$8)+'Вводные'!$H$9)),AND($B$7="Да",IFERROR(INDEX('Вводные'!$B$88:$B$91,$B$8),"Нет")="Да")),MAX(0,SUM($D25:DJ25)-DJ25),0)</x:f>
      </x:c>
      <x:c r="DK27" s="107" t="n">
        <x:f>IF(AND(YEAR(DK$3)=YEAR(EDATE(INDEX('Вводные'!$D$88:$D$91,$B$8),INDEX('Вводные'!$E$88:$E$91,$B$8)+INDEX('Вводные'!$F$88:$F$91,$B$8)+'Вводные'!$H$9)),MONTH(DK$3)=MONTH(EDATE(INDEX('Вводные'!$D$88:$D$91,$B$8),INDEX('Вводные'!$E$88:$E$91,$B$8)+INDEX('Вводные'!$F$88:$F$91,$B$8)+'Вводные'!$H$9)),AND($B$7="Да",IFERROR(INDEX('Вводные'!$B$88:$B$91,$B$8),"Нет")="Да")),MAX(0,SUM($D25:DK25)-DK25),0)</x:f>
      </x:c>
      <x:c r="DL27" s="107" t="n">
        <x:f>IF(AND(YEAR(DL$3)=YEAR(EDATE(INDEX('Вводные'!$D$88:$D$91,$B$8),INDEX('Вводные'!$E$88:$E$91,$B$8)+INDEX('Вводные'!$F$88:$F$91,$B$8)+'Вводные'!$H$9)),MONTH(DL$3)=MONTH(EDATE(INDEX('Вводные'!$D$88:$D$91,$B$8),INDEX('Вводные'!$E$88:$E$91,$B$8)+INDEX('Вводные'!$F$88:$F$91,$B$8)+'Вводные'!$H$9)),AND($B$7="Да",IFERROR(INDEX('Вводные'!$B$88:$B$91,$B$8),"Нет")="Да")),MAX(0,SUM($D25:DL25)-DL25),0)</x:f>
      </x:c>
      <x:c r="DM27" s="107" t="n">
        <x:f>IF(AND(YEAR(DM$3)=YEAR(EDATE(INDEX('Вводные'!$D$88:$D$91,$B$8),INDEX('Вводные'!$E$88:$E$91,$B$8)+INDEX('Вводные'!$F$88:$F$91,$B$8)+'Вводные'!$H$9)),MONTH(DM$3)=MONTH(EDATE(INDEX('Вводные'!$D$88:$D$91,$B$8),INDEX('Вводные'!$E$88:$E$91,$B$8)+INDEX('Вводные'!$F$88:$F$91,$B$8)+'Вводные'!$H$9)),AND($B$7="Да",IFERROR(INDEX('Вводные'!$B$88:$B$91,$B$8),"Нет")="Да")),MAX(0,SUM($D25:DM25)-DM25),0)</x:f>
      </x:c>
      <x:c r="DN27" s="107" t="n">
        <x:f>IF(AND(YEAR(DN$3)=YEAR(EDATE(INDEX('Вводные'!$D$88:$D$91,$B$8),INDEX('Вводные'!$E$88:$E$91,$B$8)+INDEX('Вводные'!$F$88:$F$91,$B$8)+'Вводные'!$H$9)),MONTH(DN$3)=MONTH(EDATE(INDEX('Вводные'!$D$88:$D$91,$B$8),INDEX('Вводные'!$E$88:$E$91,$B$8)+INDEX('Вводные'!$F$88:$F$91,$B$8)+'Вводные'!$H$9)),AND($B$7="Да",IFERROR(INDEX('Вводные'!$B$88:$B$91,$B$8),"Нет")="Да")),MAX(0,SUM($D25:DN25)-DN25),0)</x:f>
      </x:c>
      <x:c r="DO27" s="107" t="n">
        <x:f>IF(AND(YEAR(DO$3)=YEAR(EDATE(INDEX('Вводные'!$D$88:$D$91,$B$8),INDEX('Вводные'!$E$88:$E$91,$B$8)+INDEX('Вводные'!$F$88:$F$91,$B$8)+'Вводные'!$H$9)),MONTH(DO$3)=MONTH(EDATE(INDEX('Вводные'!$D$88:$D$91,$B$8),INDEX('Вводные'!$E$88:$E$91,$B$8)+INDEX('Вводные'!$F$88:$F$91,$B$8)+'Вводные'!$H$9)),AND($B$7="Да",IFERROR(INDEX('Вводные'!$B$88:$B$91,$B$8),"Нет")="Да")),MAX(0,SUM($D25:DO25)-DO25),0)</x:f>
      </x:c>
      <x:c r="DP27" s="107" t="n">
        <x:f>IF(AND(YEAR(DP$3)=YEAR(EDATE(INDEX('Вводные'!$D$88:$D$91,$B$8),INDEX('Вводные'!$E$88:$E$91,$B$8)+INDEX('Вводные'!$F$88:$F$91,$B$8)+'Вводные'!$H$9)),MONTH(DP$3)=MONTH(EDATE(INDEX('Вводные'!$D$88:$D$91,$B$8),INDEX('Вводные'!$E$88:$E$91,$B$8)+INDEX('Вводные'!$F$88:$F$91,$B$8)+'Вводные'!$H$9)),AND($B$7="Да",IFERROR(INDEX('Вводные'!$B$88:$B$91,$B$8),"Нет")="Да")),MAX(0,SUM($D25:DP25)-DP25),0)</x:f>
      </x:c>
      <x:c r="DQ27" s="107" t="n">
        <x:f>IF(AND(YEAR(DQ$3)=YEAR(EDATE(INDEX('Вводные'!$D$88:$D$91,$B$8),INDEX('Вводные'!$E$88:$E$91,$B$8)+INDEX('Вводные'!$F$88:$F$91,$B$8)+'Вводные'!$H$9)),MONTH(DQ$3)=MONTH(EDATE(INDEX('Вводные'!$D$88:$D$91,$B$8),INDEX('Вводные'!$E$88:$E$91,$B$8)+INDEX('Вводные'!$F$88:$F$91,$B$8)+'Вводные'!$H$9)),AND($B$7="Да",IFERROR(INDEX('Вводные'!$B$88:$B$91,$B$8),"Нет")="Да")),MAX(0,SUM($D25:DQ25)-DQ25),0)</x:f>
      </x:c>
      <x:c r="DR27" s="107" t="n">
        <x:f>IF(AND(YEAR(DR$3)=YEAR(EDATE(INDEX('Вводные'!$D$88:$D$91,$B$8),INDEX('Вводные'!$E$88:$E$91,$B$8)+INDEX('Вводные'!$F$88:$F$91,$B$8)+'Вводные'!$H$9)),MONTH(DR$3)=MONTH(EDATE(INDEX('Вводные'!$D$88:$D$91,$B$8),INDEX('Вводные'!$E$88:$E$91,$B$8)+INDEX('Вводные'!$F$88:$F$91,$B$8)+'Вводные'!$H$9)),AND($B$7="Да",IFERROR(INDEX('Вводные'!$B$88:$B$91,$B$8),"Нет")="Да")),MAX(0,SUM($D25:DR25)-DR25),0)</x:f>
      </x:c>
      <x:c r="DS27" s="107" t="n">
        <x:f>IF(AND(YEAR(DS$3)=YEAR(EDATE(INDEX('Вводные'!$D$88:$D$91,$B$8),INDEX('Вводные'!$E$88:$E$91,$B$8)+INDEX('Вводные'!$F$88:$F$91,$B$8)+'Вводные'!$H$9)),MONTH(DS$3)=MONTH(EDATE(INDEX('Вводные'!$D$88:$D$91,$B$8),INDEX('Вводные'!$E$88:$E$91,$B$8)+INDEX('Вводные'!$F$88:$F$91,$B$8)+'Вводные'!$H$9)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IF(AND(D$3&gt;=$B$39,D$3&lt;EDATE($B$39,MAX(1,'Вводные'!$K$53)),AND($B$35="Да",IFERROR(INDEX('Вводные'!$B$88:$B$91,$B$36),"Нет")="Да")),1,0)</x:f>
      </x:c>
      <x:c r="E46" s="35" t="n">
        <x:f>IF(AND(E$3&gt;=$B$39,E$3&lt;EDATE($B$39,MAX(1,'Вводные'!$K$53)),AND($B$35="Да",IFERROR(INDEX('Вводные'!$B$88:$B$91,$B$36),"Нет")="Да")),1,0)</x:f>
      </x:c>
      <x:c r="F46" s="35" t="n">
        <x:f>IF(AND(F$3&gt;=$B$39,F$3&lt;EDATE($B$39,MAX(1,'Вводные'!$K$53)),AND($B$35="Да",IFERROR(INDEX('Вводные'!$B$88:$B$91,$B$36),"Нет")="Да")),1,0)</x:f>
      </x:c>
      <x:c r="G46" s="35" t="n">
        <x:f>IF(AND(G$3&gt;=$B$39,G$3&lt;EDATE($B$39,MAX(1,'Вводные'!$K$53)),AND($B$35="Да",IFERROR(INDEX('Вводные'!$B$88:$B$91,$B$36),"Нет")="Да")),1,0)</x:f>
      </x:c>
      <x:c r="H46" s="35" t="n">
        <x:f>IF(AND(H$3&gt;=$B$39,H$3&lt;EDATE($B$39,MAX(1,'Вводные'!$K$53)),AND($B$35="Да",IFERROR(INDEX('Вводные'!$B$88:$B$91,$B$36),"Нет")="Да")),1,0)</x:f>
      </x:c>
      <x:c r="I46" s="35" t="n">
        <x:f>IF(AND(I$3&gt;=$B$39,I$3&lt;EDATE($B$39,MAX(1,'Вводные'!$K$53)),AND($B$35="Да",IFERROR(INDEX('Вводные'!$B$88:$B$91,$B$36),"Нет")="Да")),1,0)</x:f>
      </x:c>
      <x:c r="J46" s="35" t="n">
        <x:f>IF(AND(J$3&gt;=$B$39,J$3&lt;EDATE($B$39,MAX(1,'Вводные'!$K$53)),AND($B$35="Да",IFERROR(INDEX('Вводные'!$B$88:$B$91,$B$36),"Нет")="Да")),1,0)</x:f>
      </x:c>
      <x:c r="K46" s="35" t="n">
        <x:f>IF(AND(K$3&gt;=$B$39,K$3&lt;EDATE($B$39,MAX(1,'Вводные'!$K$53)),AND($B$35="Да",IFERROR(INDEX('Вводные'!$B$88:$B$91,$B$36),"Нет")="Да")),1,0)</x:f>
      </x:c>
      <x:c r="L46" s="35" t="n">
        <x:f>IF(AND(L$3&gt;=$B$39,L$3&lt;EDATE($B$39,MAX(1,'Вводные'!$K$53)),AND($B$35="Да",IFERROR(INDEX('Вводные'!$B$88:$B$91,$B$36),"Нет")="Да")),1,0)</x:f>
      </x:c>
      <x:c r="M46" s="35" t="n">
        <x:f>IF(AND(M$3&gt;=$B$39,M$3&lt;EDATE($B$39,MAX(1,'Вводные'!$K$53)),AND($B$35="Да",IFERROR(INDEX('Вводные'!$B$88:$B$91,$B$36),"Нет")="Да")),1,0)</x:f>
      </x:c>
      <x:c r="N46" s="35" t="n">
        <x:f>IF(AND(N$3&gt;=$B$39,N$3&lt;EDATE($B$39,MAX(1,'Вводные'!$K$53)),AND($B$35="Да",IFERROR(INDEX('Вводные'!$B$88:$B$91,$B$36),"Нет")="Да")),1,0)</x:f>
      </x:c>
      <x:c r="O46" s="35" t="n">
        <x:f>IF(AND(O$3&gt;=$B$39,O$3&lt;EDATE($B$39,MAX(1,'Вводные'!$K$53)),AND($B$35="Да",IFERROR(INDEX('Вводные'!$B$88:$B$91,$B$36),"Нет")="Да")),1,0)</x:f>
      </x:c>
      <x:c r="P46" s="35" t="n">
        <x:f>IF(AND(P$3&gt;=$B$39,P$3&lt;EDATE($B$39,MAX(1,'Вводные'!$K$53)),AND($B$35="Да",IFERROR(INDEX('Вводные'!$B$88:$B$91,$B$36),"Нет")="Да")),1,0)</x:f>
      </x:c>
      <x:c r="Q46" s="35" t="n">
        <x:f>IF(AND(Q$3&gt;=$B$39,Q$3&lt;EDATE($B$39,MAX(1,'Вводные'!$K$53)),AND($B$35="Да",IFERROR(INDEX('Вводные'!$B$88:$B$91,$B$36),"Нет")="Да")),1,0)</x:f>
      </x:c>
      <x:c r="R46" s="35" t="n">
        <x:f>IF(AND(R$3&gt;=$B$39,R$3&lt;EDATE($B$39,MAX(1,'Вводные'!$K$53)),AND($B$35="Да",IFERROR(INDEX('Вводные'!$B$88:$B$91,$B$36),"Нет")="Да")),1,0)</x:f>
      </x:c>
      <x:c r="S46" s="35" t="n">
        <x:f>IF(AND(S$3&gt;=$B$39,S$3&lt;EDATE($B$39,MAX(1,'Вводные'!$K$53)),AND($B$35="Да",IFERROR(INDEX('Вводные'!$B$88:$B$91,$B$36),"Нет")="Да")),1,0)</x:f>
      </x:c>
      <x:c r="T46" s="35" t="n">
        <x:f>IF(AND(T$3&gt;=$B$39,T$3&lt;EDATE($B$39,MAX(1,'Вводные'!$K$53)),AND($B$35="Да",IFERROR(INDEX('Вводные'!$B$88:$B$91,$B$36),"Нет")="Да")),1,0)</x:f>
      </x:c>
      <x:c r="U46" s="35" t="n">
        <x:f>IF(AND(U$3&gt;=$B$39,U$3&lt;EDATE($B$39,MAX(1,'Вводные'!$K$53)),AND($B$35="Да",IFERROR(INDEX('Вводные'!$B$88:$B$91,$B$36),"Нет")="Да")),1,0)</x:f>
      </x:c>
      <x:c r="V46" s="35" t="n">
        <x:f>IF(AND(V$3&gt;=$B$39,V$3&lt;EDATE($B$39,MAX(1,'Вводные'!$K$53)),AND($B$35="Да",IFERROR(INDEX('Вводные'!$B$88:$B$91,$B$36),"Нет")="Да")),1,0)</x:f>
      </x:c>
      <x:c r="W46" s="35" t="n">
        <x:f>IF(AND(W$3&gt;=$B$39,W$3&lt;EDATE($B$39,MAX(1,'Вводные'!$K$53)),AND($B$35="Да",IFERROR(INDEX('Вводные'!$B$88:$B$91,$B$36),"Нет")="Да")),1,0)</x:f>
      </x:c>
      <x:c r="X46" s="35" t="n">
        <x:f>IF(AND(X$3&gt;=$B$39,X$3&lt;EDATE($B$39,MAX(1,'Вводные'!$K$53)),AND($B$35="Да",IFERROR(INDEX('Вводные'!$B$88:$B$91,$B$36),"Нет")="Да")),1,0)</x:f>
      </x:c>
      <x:c r="Y46" s="35" t="n">
        <x:f>IF(AND(Y$3&gt;=$B$39,Y$3&lt;EDATE($B$39,MAX(1,'Вводные'!$K$53)),AND($B$35="Да",IFERROR(INDEX('Вводные'!$B$88:$B$91,$B$36),"Нет")="Да")),1,0)</x:f>
      </x:c>
      <x:c r="Z46" s="35" t="n">
        <x:f>IF(AND(Z$3&gt;=$B$39,Z$3&lt;EDATE($B$39,MAX(1,'Вводные'!$K$53)),AND($B$35="Да",IFERROR(INDEX('Вводные'!$B$88:$B$91,$B$36),"Нет")="Да")),1,0)</x:f>
      </x:c>
      <x:c r="AA46" s="35" t="n">
        <x:f>IF(AND(AA$3&gt;=$B$39,AA$3&lt;EDATE($B$39,MAX(1,'Вводные'!$K$53)),AND($B$35="Да",IFERROR(INDEX('Вводные'!$B$88:$B$91,$B$36),"Нет")="Да")),1,0)</x:f>
      </x:c>
      <x:c r="AB46" s="35" t="n">
        <x:f>IF(AND(AB$3&gt;=$B$39,AB$3&lt;EDATE($B$39,MAX(1,'Вводные'!$K$53)),AND($B$35="Да",IFERROR(INDEX('Вводные'!$B$88:$B$91,$B$36),"Нет")="Да")),1,0)</x:f>
      </x:c>
      <x:c r="AC46" s="35" t="n">
        <x:f>IF(AND(AC$3&gt;=$B$39,AC$3&lt;EDATE($B$39,MAX(1,'Вводные'!$K$53)),AND($B$35="Да",IFERROR(INDEX('Вводные'!$B$88:$B$91,$B$36),"Нет")="Да")),1,0)</x:f>
      </x:c>
      <x:c r="AD46" s="35" t="n">
        <x:f>IF(AND(AD$3&gt;=$B$39,AD$3&lt;EDATE($B$39,MAX(1,'Вводные'!$K$53)),AND($B$35="Да",IFERROR(INDEX('Вводные'!$B$88:$B$91,$B$36),"Нет")="Да")),1,0)</x:f>
      </x:c>
      <x:c r="AE46" s="35" t="n">
        <x:f>IF(AND(AE$3&gt;=$B$39,AE$3&lt;EDATE($B$39,MAX(1,'Вводные'!$K$53)),AND($B$35="Да",IFERROR(INDEX('Вводные'!$B$88:$B$91,$B$36),"Нет")="Да")),1,0)</x:f>
      </x:c>
      <x:c r="AF46" s="35" t="n">
        <x:f>IF(AND(AF$3&gt;=$B$39,AF$3&lt;EDATE($B$39,MAX(1,'Вводные'!$K$53)),AND($B$35="Да",IFERROR(INDEX('Вводные'!$B$88:$B$91,$B$36),"Нет")="Да")),1,0)</x:f>
      </x:c>
      <x:c r="AG46" s="35" t="n">
        <x:f>IF(AND(AG$3&gt;=$B$39,AG$3&lt;EDATE($B$39,MAX(1,'Вводные'!$K$53)),AND($B$35="Да",IFERROR(INDEX('Вводные'!$B$88:$B$91,$B$36),"Нет")="Да")),1,0)</x:f>
      </x:c>
      <x:c r="AH46" s="35" t="n">
        <x:f>IF(AND(AH$3&gt;=$B$39,AH$3&lt;EDATE($B$39,MAX(1,'Вводные'!$K$53)),AND($B$35="Да",IFERROR(INDEX('Вводные'!$B$88:$B$91,$B$36),"Нет")="Да")),1,0)</x:f>
      </x:c>
      <x:c r="AI46" s="35" t="n">
        <x:f>IF(AND(AI$3&gt;=$B$39,AI$3&lt;EDATE($B$39,MAX(1,'Вводные'!$K$53)),AND($B$35="Да",IFERROR(INDEX('Вводные'!$B$88:$B$91,$B$36),"Нет")="Да")),1,0)</x:f>
      </x:c>
      <x:c r="AJ46" s="35" t="n">
        <x:f>IF(AND(AJ$3&gt;=$B$39,AJ$3&lt;EDATE($B$39,MAX(1,'Вводные'!$K$53)),AND($B$35="Да",IFERROR(INDEX('Вводные'!$B$88:$B$91,$B$36),"Нет")="Да")),1,0)</x:f>
      </x:c>
      <x:c r="AK46" s="35" t="n">
        <x:f>IF(AND(AK$3&gt;=$B$39,AK$3&lt;EDATE($B$39,MAX(1,'Вводные'!$K$53)),AND($B$35="Да",IFERROR(INDEX('Вводные'!$B$88:$B$91,$B$36),"Нет")="Да")),1,0)</x:f>
      </x:c>
      <x:c r="AL46" s="35" t="n">
        <x:f>IF(AND(AL$3&gt;=$B$39,AL$3&lt;EDATE($B$39,MAX(1,'Вводные'!$K$53)),AND($B$35="Да",IFERROR(INDEX('Вводные'!$B$88:$B$91,$B$36),"Нет")="Да")),1,0)</x:f>
      </x:c>
      <x:c r="AM46" s="35" t="n">
        <x:f>IF(AND(AM$3&gt;=$B$39,AM$3&lt;EDATE($B$39,MAX(1,'Вводные'!$K$53)),AND($B$35="Да",IFERROR(INDEX('Вводные'!$B$88:$B$91,$B$36),"Нет")="Да")),1,0)</x:f>
      </x:c>
      <x:c r="AN46" s="35" t="n">
        <x:f>IF(AND(AN$3&gt;=$B$39,AN$3&lt;EDATE($B$39,MAX(1,'Вводные'!$K$53)),AND($B$35="Да",IFERROR(INDEX('Вводные'!$B$88:$B$91,$B$36),"Нет")="Да")),1,0)</x:f>
      </x:c>
      <x:c r="AO46" s="35" t="n">
        <x:f>IF(AND(AO$3&gt;=$B$39,AO$3&lt;EDATE($B$39,MAX(1,'Вводные'!$K$53)),AND($B$35="Да",IFERROR(INDEX('Вводные'!$B$88:$B$91,$B$36),"Нет")="Да")),1,0)</x:f>
      </x:c>
      <x:c r="AP46" s="35" t="n">
        <x:f>IF(AND(AP$3&gt;=$B$39,AP$3&lt;EDATE($B$39,MAX(1,'Вводные'!$K$53)),AND($B$35="Да",IFERROR(INDEX('Вводные'!$B$88:$B$91,$B$36),"Нет")="Да")),1,0)</x:f>
      </x:c>
      <x:c r="AQ46" s="35" t="n">
        <x:f>IF(AND(AQ$3&gt;=$B$39,AQ$3&lt;EDATE($B$39,MAX(1,'Вводные'!$K$53)),AND($B$35="Да",IFERROR(INDEX('Вводные'!$B$88:$B$91,$B$36),"Нет")="Да")),1,0)</x:f>
      </x:c>
      <x:c r="AR46" s="35" t="n">
        <x:f>IF(AND(AR$3&gt;=$B$39,AR$3&lt;EDATE($B$39,MAX(1,'Вводные'!$K$53)),AND($B$35="Да",IFERROR(INDEX('Вводные'!$B$88:$B$91,$B$36),"Нет")="Да")),1,0)</x:f>
      </x:c>
      <x:c r="AS46" s="35" t="n">
        <x:f>IF(AND(AS$3&gt;=$B$39,AS$3&lt;EDATE($B$39,MAX(1,'Вводные'!$K$53)),AND($B$35="Да",IFERROR(INDEX('Вводные'!$B$88:$B$91,$B$36),"Нет")="Да")),1,0)</x:f>
      </x:c>
      <x:c r="AT46" s="35" t="n">
        <x:f>IF(AND(AT$3&gt;=$B$39,AT$3&lt;EDATE($B$39,MAX(1,'Вводные'!$K$53)),AND($B$35="Да",IFERROR(INDEX('Вводные'!$B$88:$B$91,$B$36),"Нет")="Да")),1,0)</x:f>
      </x:c>
      <x:c r="AU46" s="35" t="n">
        <x:f>IF(AND(AU$3&gt;=$B$39,AU$3&lt;EDATE($B$39,MAX(1,'Вводные'!$K$53)),AND($B$35="Да",IFERROR(INDEX('Вводные'!$B$88:$B$91,$B$36),"Нет")="Да")),1,0)</x:f>
      </x:c>
      <x:c r="AV46" s="35" t="n">
        <x:f>IF(AND(AV$3&gt;=$B$39,AV$3&lt;EDATE($B$39,MAX(1,'Вводные'!$K$53)),AND($B$35="Да",IFERROR(INDEX('Вводные'!$B$88:$B$91,$B$36),"Нет")="Да")),1,0)</x:f>
      </x:c>
      <x:c r="AW46" s="35" t="n">
        <x:f>IF(AND(AW$3&gt;=$B$39,AW$3&lt;EDATE($B$39,MAX(1,'Вводные'!$K$53)),AND($B$35="Да",IFERROR(INDEX('Вводные'!$B$88:$B$91,$B$36),"Нет")="Да")),1,0)</x:f>
      </x:c>
      <x:c r="AX46" s="35" t="n">
        <x:f>IF(AND(AX$3&gt;=$B$39,AX$3&lt;EDATE($B$39,MAX(1,'Вводные'!$K$53)),AND($B$35="Да",IFERROR(INDEX('Вводные'!$B$88:$B$91,$B$36),"Нет")="Да")),1,0)</x:f>
      </x:c>
      <x:c r="AY46" s="35" t="n">
        <x:f>IF(AND(AY$3&gt;=$B$39,AY$3&lt;EDATE($B$39,MAX(1,'Вводные'!$K$53)),AND($B$35="Да",IFERROR(INDEX('Вводные'!$B$88:$B$91,$B$36),"Нет")="Да")),1,0)</x:f>
      </x:c>
      <x:c r="AZ46" s="35" t="n">
        <x:f>IF(AND(AZ$3&gt;=$B$39,AZ$3&lt;EDATE($B$39,MAX(1,'Вводные'!$K$53)),AND($B$35="Да",IFERROR(INDEX('Вводные'!$B$88:$B$91,$B$36),"Нет")="Да")),1,0)</x:f>
      </x:c>
      <x:c r="BA46" s="35" t="n">
        <x:f>IF(AND(BA$3&gt;=$B$39,BA$3&lt;EDATE($B$39,MAX(1,'Вводные'!$K$53)),AND($B$35="Да",IFERROR(INDEX('Вводные'!$B$88:$B$91,$B$36),"Нет")="Да")),1,0)</x:f>
      </x:c>
      <x:c r="BB46" s="35" t="n">
        <x:f>IF(AND(BB$3&gt;=$B$39,BB$3&lt;EDATE($B$39,MAX(1,'Вводные'!$K$53)),AND($B$35="Да",IFERROR(INDEX('Вводные'!$B$88:$B$91,$B$36),"Нет")="Да")),1,0)</x:f>
      </x:c>
      <x:c r="BC46" s="35" t="n">
        <x:f>IF(AND(BC$3&gt;=$B$39,BC$3&lt;EDATE($B$39,MAX(1,'Вводные'!$K$53)),AND($B$35="Да",IFERROR(INDEX('Вводные'!$B$88:$B$91,$B$36),"Нет")="Да")),1,0)</x:f>
      </x:c>
      <x:c r="BD46" s="35" t="n">
        <x:f>IF(AND(BD$3&gt;=$B$39,BD$3&lt;EDATE($B$39,MAX(1,'Вводные'!$K$53)),AND($B$35="Да",IFERROR(INDEX('Вводные'!$B$88:$B$91,$B$36),"Нет")="Да")),1,0)</x:f>
      </x:c>
      <x:c r="BE46" s="35" t="n">
        <x:f>IF(AND(BE$3&gt;=$B$39,BE$3&lt;EDATE($B$39,MAX(1,'Вводные'!$K$53)),AND($B$35="Да",IFERROR(INDEX('Вводные'!$B$88:$B$91,$B$36),"Нет")="Да")),1,0)</x:f>
      </x:c>
      <x:c r="BF46" s="35" t="n">
        <x:f>IF(AND(BF$3&gt;=$B$39,BF$3&lt;EDATE($B$39,MAX(1,'Вводные'!$K$53)),AND($B$35="Да",IFERROR(INDEX('Вводные'!$B$88:$B$91,$B$36),"Нет")="Да")),1,0)</x:f>
      </x:c>
      <x:c r="BG46" s="35" t="n">
        <x:f>IF(AND(BG$3&gt;=$B$39,BG$3&lt;EDATE($B$39,MAX(1,'Вводные'!$K$53)),AND($B$35="Да",IFERROR(INDEX('Вводные'!$B$88:$B$91,$B$36),"Нет")="Да")),1,0)</x:f>
      </x:c>
      <x:c r="BH46" s="35" t="n">
        <x:f>IF(AND(BH$3&gt;=$B$39,BH$3&lt;EDATE($B$39,MAX(1,'Вводные'!$K$53)),AND($B$35="Да",IFERROR(INDEX('Вводные'!$B$88:$B$91,$B$36),"Нет")="Да")),1,0)</x:f>
      </x:c>
      <x:c r="BI46" s="35" t="n">
        <x:f>IF(AND(BI$3&gt;=$B$39,BI$3&lt;EDATE($B$39,MAX(1,'Вводные'!$K$53)),AND($B$35="Да",IFERROR(INDEX('Вводные'!$B$88:$B$91,$B$36),"Нет")="Да")),1,0)</x:f>
      </x:c>
      <x:c r="BJ46" s="35" t="n">
        <x:f>IF(AND(BJ$3&gt;=$B$39,BJ$3&lt;EDATE($B$39,MAX(1,'Вводные'!$K$53)),AND($B$35="Да",IFERROR(INDEX('Вводные'!$B$88:$B$91,$B$36),"Нет")="Да")),1,0)</x:f>
      </x:c>
      <x:c r="BK46" s="35" t="n">
        <x:f>IF(AND(BK$3&gt;=$B$39,BK$3&lt;EDATE($B$39,MAX(1,'Вводные'!$K$53)),AND($B$35="Да",IFERROR(INDEX('Вводные'!$B$88:$B$91,$B$36),"Нет")="Да")),1,0)</x:f>
      </x:c>
      <x:c r="BL46" s="35" t="n">
        <x:f>IF(AND(BL$3&gt;=$B$39,BL$3&lt;EDATE($B$39,MAX(1,'Вводные'!$K$53)),AND($B$35="Да",IFERROR(INDEX('Вводные'!$B$88:$B$91,$B$36),"Нет")="Да")),1,0)</x:f>
      </x:c>
      <x:c r="BM46" s="35" t="n">
        <x:f>IF(AND(BM$3&gt;=$B$39,BM$3&lt;EDATE($B$39,MAX(1,'Вводные'!$K$53)),AND($B$35="Да",IFERROR(INDEX('Вводные'!$B$88:$B$91,$B$36),"Нет")="Да")),1,0)</x:f>
      </x:c>
      <x:c r="BN46" s="35" t="n">
        <x:f>IF(AND(BN$3&gt;=$B$39,BN$3&lt;EDATE($B$39,MAX(1,'Вводные'!$K$53)),AND($B$35="Да",IFERROR(INDEX('Вводные'!$B$88:$B$91,$B$36),"Нет")="Да")),1,0)</x:f>
      </x:c>
      <x:c r="BO46" s="35" t="n">
        <x:f>IF(AND(BO$3&gt;=$B$39,BO$3&lt;EDATE($B$39,MAX(1,'Вводные'!$K$53)),AND($B$35="Да",IFERROR(INDEX('Вводные'!$B$88:$B$91,$B$36),"Нет")="Да")),1,0)</x:f>
      </x:c>
      <x:c r="BP46" s="35" t="n">
        <x:f>IF(AND(BP$3&gt;=$B$39,BP$3&lt;EDATE($B$39,MAX(1,'Вводные'!$K$53)),AND($B$35="Да",IFERROR(INDEX('Вводные'!$B$88:$B$91,$B$36),"Нет")="Да")),1,0)</x:f>
      </x:c>
      <x:c r="BQ46" s="35" t="n">
        <x:f>IF(AND(BQ$3&gt;=$B$39,BQ$3&lt;EDATE($B$39,MAX(1,'Вводные'!$K$53)),AND($B$35="Да",IFERROR(INDEX('Вводные'!$B$88:$B$91,$B$36),"Нет")="Да")),1,0)</x:f>
      </x:c>
      <x:c r="BR46" s="35" t="n">
        <x:f>IF(AND(BR$3&gt;=$B$39,BR$3&lt;EDATE($B$39,MAX(1,'Вводные'!$K$53)),AND($B$35="Да",IFERROR(INDEX('Вводные'!$B$88:$B$91,$B$36),"Нет")="Да")),1,0)</x:f>
      </x:c>
      <x:c r="BS46" s="35" t="n">
        <x:f>IF(AND(BS$3&gt;=$B$39,BS$3&lt;EDATE($B$39,MAX(1,'Вводные'!$K$53)),AND($B$35="Да",IFERROR(INDEX('Вводные'!$B$88:$B$91,$B$36),"Нет")="Да")),1,0)</x:f>
      </x:c>
      <x:c r="BT46" s="35" t="n">
        <x:f>IF(AND(BT$3&gt;=$B$39,BT$3&lt;EDATE($B$39,MAX(1,'Вводные'!$K$53)),AND($B$35="Да",IFERROR(INDEX('Вводные'!$B$88:$B$91,$B$36),"Нет")="Да")),1,0)</x:f>
      </x:c>
      <x:c r="BU46" s="35" t="n">
        <x:f>IF(AND(BU$3&gt;=$B$39,BU$3&lt;EDATE($B$39,MAX(1,'Вводные'!$K$53)),AND($B$35="Да",IFERROR(INDEX('Вводные'!$B$88:$B$91,$B$36),"Нет")="Да")),1,0)</x:f>
      </x:c>
      <x:c r="BV46" s="35" t="n">
        <x:f>IF(AND(BV$3&gt;=$B$39,BV$3&lt;EDATE($B$39,MAX(1,'Вводные'!$K$53)),AND($B$35="Да",IFERROR(INDEX('Вводные'!$B$88:$B$91,$B$36),"Нет")="Да")),1,0)</x:f>
      </x:c>
      <x:c r="BW46" s="35" t="n">
        <x:f>IF(AND(BW$3&gt;=$B$39,BW$3&lt;EDATE($B$39,MAX(1,'Вводные'!$K$53)),AND($B$35="Да",IFERROR(INDEX('Вводные'!$B$88:$B$91,$B$36),"Нет")="Да")),1,0)</x:f>
      </x:c>
      <x:c r="BX46" s="35" t="n">
        <x:f>IF(AND(BX$3&gt;=$B$39,BX$3&lt;EDATE($B$39,MAX(1,'Вводные'!$K$53)),AND($B$35="Да",IFERROR(INDEX('Вводные'!$B$88:$B$91,$B$36),"Нет")="Да")),1,0)</x:f>
      </x:c>
      <x:c r="BY46" s="35" t="n">
        <x:f>IF(AND(BY$3&gt;=$B$39,BY$3&lt;EDATE($B$39,MAX(1,'Вводные'!$K$53)),AND($B$35="Да",IFERROR(INDEX('Вводные'!$B$88:$B$91,$B$36),"Нет")="Да")),1,0)</x:f>
      </x:c>
      <x:c r="BZ46" s="35" t="n">
        <x:f>IF(AND(BZ$3&gt;=$B$39,BZ$3&lt;EDATE($B$39,MAX(1,'Вводные'!$K$53)),AND($B$35="Да",IFERROR(INDEX('Вводные'!$B$88:$B$91,$B$36),"Нет")="Да")),1,0)</x:f>
      </x:c>
      <x:c r="CA46" s="35" t="n">
        <x:f>IF(AND(CA$3&gt;=$B$39,CA$3&lt;EDATE($B$39,MAX(1,'Вводные'!$K$53)),AND($B$35="Да",IFERROR(INDEX('Вводные'!$B$88:$B$91,$B$36),"Нет")="Да")),1,0)</x:f>
      </x:c>
      <x:c r="CB46" s="35" t="n">
        <x:f>IF(AND(CB$3&gt;=$B$39,CB$3&lt;EDATE($B$39,MAX(1,'Вводные'!$K$53)),AND($B$35="Да",IFERROR(INDEX('Вводные'!$B$88:$B$91,$B$36),"Нет")="Да")),1,0)</x:f>
      </x:c>
      <x:c r="CC46" s="35" t="n">
        <x:f>IF(AND(CC$3&gt;=$B$39,CC$3&lt;EDATE($B$39,MAX(1,'Вводные'!$K$53)),AND($B$35="Да",IFERROR(INDEX('Вводные'!$B$88:$B$91,$B$36),"Нет")="Да")),1,0)</x:f>
      </x:c>
      <x:c r="CD46" s="35" t="n">
        <x:f>IF(AND(CD$3&gt;=$B$39,CD$3&lt;EDATE($B$39,MAX(1,'Вводные'!$K$53)),AND($B$35="Да",IFERROR(INDEX('Вводные'!$B$88:$B$91,$B$36),"Нет")="Да")),1,0)</x:f>
      </x:c>
      <x:c r="CE46" s="35" t="n">
        <x:f>IF(AND(CE$3&gt;=$B$39,CE$3&lt;EDATE($B$39,MAX(1,'Вводные'!$K$53)),AND($B$35="Да",IFERROR(INDEX('Вводные'!$B$88:$B$91,$B$36),"Нет")="Да")),1,0)</x:f>
      </x:c>
      <x:c r="CF46" s="35" t="n">
        <x:f>IF(AND(CF$3&gt;=$B$39,CF$3&lt;EDATE($B$39,MAX(1,'Вводные'!$K$53)),AND($B$35="Да",IFERROR(INDEX('Вводные'!$B$88:$B$91,$B$36),"Нет")="Да")),1,0)</x:f>
      </x:c>
      <x:c r="CG46" s="35" t="n">
        <x:f>IF(AND(CG$3&gt;=$B$39,CG$3&lt;EDATE($B$39,MAX(1,'Вводные'!$K$53)),AND($B$35="Да",IFERROR(INDEX('Вводные'!$B$88:$B$91,$B$36),"Нет")="Да")),1,0)</x:f>
      </x:c>
      <x:c r="CH46" s="35" t="n">
        <x:f>IF(AND(CH$3&gt;=$B$39,CH$3&lt;EDATE($B$39,MAX(1,'Вводные'!$K$53)),AND($B$35="Да",IFERROR(INDEX('Вводные'!$B$88:$B$91,$B$36),"Нет")="Да")),1,0)</x:f>
      </x:c>
      <x:c r="CI46" s="35" t="n">
        <x:f>IF(AND(CI$3&gt;=$B$39,CI$3&lt;EDATE($B$39,MAX(1,'Вводные'!$K$53)),AND($B$35="Да",IFERROR(INDEX('Вводные'!$B$88:$B$91,$B$36),"Нет")="Да")),1,0)</x:f>
      </x:c>
      <x:c r="CJ46" s="35" t="n">
        <x:f>IF(AND(CJ$3&gt;=$B$39,CJ$3&lt;EDATE($B$39,MAX(1,'Вводные'!$K$53)),AND($B$35="Да",IFERROR(INDEX('Вводные'!$B$88:$B$91,$B$36),"Нет")="Да")),1,0)</x:f>
      </x:c>
      <x:c r="CK46" s="35" t="n">
        <x:f>IF(AND(CK$3&gt;=$B$39,CK$3&lt;EDATE($B$39,MAX(1,'Вводные'!$K$53)),AND($B$35="Да",IFERROR(INDEX('Вводные'!$B$88:$B$91,$B$36),"Нет")="Да")),1,0)</x:f>
      </x:c>
      <x:c r="CL46" s="35" t="n">
        <x:f>IF(AND(CL$3&gt;=$B$39,CL$3&lt;EDATE($B$39,MAX(1,'Вводные'!$K$53)),AND($B$35="Да",IFERROR(INDEX('Вводные'!$B$88:$B$91,$B$36),"Нет")="Да")),1,0)</x:f>
      </x:c>
      <x:c r="CM46" s="35" t="n">
        <x:f>IF(AND(CM$3&gt;=$B$39,CM$3&lt;EDATE($B$39,MAX(1,'Вводные'!$K$53)),AND($B$35="Да",IFERROR(INDEX('Вводные'!$B$88:$B$91,$B$36),"Нет")="Да")),1,0)</x:f>
      </x:c>
      <x:c r="CN46" s="35" t="n">
        <x:f>IF(AND(CN$3&gt;=$B$39,CN$3&lt;EDATE($B$39,MAX(1,'Вводные'!$K$53)),AND($B$35="Да",IFERROR(INDEX('Вводные'!$B$88:$B$91,$B$36),"Нет")="Да")),1,0)</x:f>
      </x:c>
      <x:c r="CO46" s="35" t="n">
        <x:f>IF(AND(CO$3&gt;=$B$39,CO$3&lt;EDATE($B$39,MAX(1,'Вводные'!$K$53)),AND($B$35="Да",IFERROR(INDEX('Вводные'!$B$88:$B$91,$B$36),"Нет")="Да")),1,0)</x:f>
      </x:c>
      <x:c r="CP46" s="35" t="n">
        <x:f>IF(AND(CP$3&gt;=$B$39,CP$3&lt;EDATE($B$39,MAX(1,'Вводные'!$K$53)),AND($B$35="Да",IFERROR(INDEX('Вводные'!$B$88:$B$91,$B$36),"Нет")="Да")),1,0)</x:f>
      </x:c>
      <x:c r="CQ46" s="35" t="n">
        <x:f>IF(AND(CQ$3&gt;=$B$39,CQ$3&lt;EDATE($B$39,MAX(1,'Вводные'!$K$53)),AND($B$35="Да",IFERROR(INDEX('Вводные'!$B$88:$B$91,$B$36),"Нет")="Да")),1,0)</x:f>
      </x:c>
      <x:c r="CR46" s="35" t="n">
        <x:f>IF(AND(CR$3&gt;=$B$39,CR$3&lt;EDATE($B$39,MAX(1,'Вводные'!$K$53)),AND($B$35="Да",IFERROR(INDEX('Вводные'!$B$88:$B$91,$B$36),"Нет")="Да")),1,0)</x:f>
      </x:c>
      <x:c r="CS46" s="35" t="n">
        <x:f>IF(AND(CS$3&gt;=$B$39,CS$3&lt;EDATE($B$39,MAX(1,'Вводные'!$K$53)),AND($B$35="Да",IFERROR(INDEX('Вводные'!$B$88:$B$91,$B$36),"Нет")="Да")),1,0)</x:f>
      </x:c>
      <x:c r="CT46" s="35" t="n">
        <x:f>IF(AND(CT$3&gt;=$B$39,CT$3&lt;EDATE($B$39,MAX(1,'Вводные'!$K$53)),AND($B$35="Да",IFERROR(INDEX('Вводные'!$B$88:$B$91,$B$36),"Нет")="Да")),1,0)</x:f>
      </x:c>
      <x:c r="CU46" s="35" t="n">
        <x:f>IF(AND(CU$3&gt;=$B$39,CU$3&lt;EDATE($B$39,MAX(1,'Вводные'!$K$53)),AND($B$35="Да",IFERROR(INDEX('Вводные'!$B$88:$B$91,$B$36),"Нет")="Да")),1,0)</x:f>
      </x:c>
      <x:c r="CV46" s="35" t="n">
        <x:f>IF(AND(CV$3&gt;=$B$39,CV$3&lt;EDATE($B$39,MAX(1,'Вводные'!$K$53)),AND($B$35="Да",IFERROR(INDEX('Вводные'!$B$88:$B$91,$B$36),"Нет")="Да")),1,0)</x:f>
      </x:c>
      <x:c r="CW46" s="35" t="n">
        <x:f>IF(AND(CW$3&gt;=$B$39,CW$3&lt;EDATE($B$39,MAX(1,'Вводные'!$K$53)),AND($B$35="Да",IFERROR(INDEX('Вводные'!$B$88:$B$91,$B$36),"Нет")="Да")),1,0)</x:f>
      </x:c>
      <x:c r="CX46" s="35" t="n">
        <x:f>IF(AND(CX$3&gt;=$B$39,CX$3&lt;EDATE($B$39,MAX(1,'Вводные'!$K$53)),AND($B$35="Да",IFERROR(INDEX('Вводные'!$B$88:$B$91,$B$36),"Нет")="Да")),1,0)</x:f>
      </x:c>
      <x:c r="CY46" s="35" t="n">
        <x:f>IF(AND(CY$3&gt;=$B$39,CY$3&lt;EDATE($B$39,MAX(1,'Вводные'!$K$53)),AND($B$35="Да",IFERROR(INDEX('Вводные'!$B$88:$B$91,$B$36),"Нет")="Да")),1,0)</x:f>
      </x:c>
      <x:c r="CZ46" s="35" t="n">
        <x:f>IF(AND(CZ$3&gt;=$B$39,CZ$3&lt;EDATE($B$39,MAX(1,'Вводные'!$K$53)),AND($B$35="Да",IFERROR(INDEX('Вводные'!$B$88:$B$91,$B$36),"Нет")="Да")),1,0)</x:f>
      </x:c>
      <x:c r="DA46" s="35" t="n">
        <x:f>IF(AND(DA$3&gt;=$B$39,DA$3&lt;EDATE($B$39,MAX(1,'Вводные'!$K$53)),AND($B$35="Да",IFERROR(INDEX('Вводные'!$B$88:$B$91,$B$36),"Нет")="Да")),1,0)</x:f>
      </x:c>
      <x:c r="DB46" s="35" t="n">
        <x:f>IF(AND(DB$3&gt;=$B$39,DB$3&lt;EDATE($B$39,MAX(1,'Вводные'!$K$53)),AND($B$35="Да",IFERROR(INDEX('Вводные'!$B$88:$B$91,$B$36),"Нет")="Да")),1,0)</x:f>
      </x:c>
      <x:c r="DC46" s="35" t="n">
        <x:f>IF(AND(DC$3&gt;=$B$39,DC$3&lt;EDATE($B$39,MAX(1,'Вводные'!$K$53)),AND($B$35="Да",IFERROR(INDEX('Вводные'!$B$88:$B$91,$B$36),"Нет")="Да")),1,0)</x:f>
      </x:c>
      <x:c r="DD46" s="35" t="n">
        <x:f>IF(AND(DD$3&gt;=$B$39,DD$3&lt;EDATE($B$39,MAX(1,'Вводные'!$K$53)),AND($B$35="Да",IFERROR(INDEX('Вводные'!$B$88:$B$91,$B$36),"Нет")="Да")),1,0)</x:f>
      </x:c>
      <x:c r="DE46" s="35" t="n">
        <x:f>IF(AND(DE$3&gt;=$B$39,DE$3&lt;EDATE($B$39,MAX(1,'Вводные'!$K$53)),AND($B$35="Да",IFERROR(INDEX('Вводные'!$B$88:$B$91,$B$36),"Нет")="Да")),1,0)</x:f>
      </x:c>
      <x:c r="DF46" s="35" t="n">
        <x:f>IF(AND(DF$3&gt;=$B$39,DF$3&lt;EDATE($B$39,MAX(1,'Вводные'!$K$53)),AND($B$35="Да",IFERROR(INDEX('Вводные'!$B$88:$B$91,$B$36),"Нет")="Да")),1,0)</x:f>
      </x:c>
      <x:c r="DG46" s="35" t="n">
        <x:f>IF(AND(DG$3&gt;=$B$39,DG$3&lt;EDATE($B$39,MAX(1,'Вводные'!$K$53)),AND($B$35="Да",IFERROR(INDEX('Вводные'!$B$88:$B$91,$B$36),"Нет")="Да")),1,0)</x:f>
      </x:c>
      <x:c r="DH46" s="35" t="n">
        <x:f>IF(AND(DH$3&gt;=$B$39,DH$3&lt;EDATE($B$39,MAX(1,'Вводные'!$K$53)),AND($B$35="Да",IFERROR(INDEX('Вводные'!$B$88:$B$91,$B$36),"Нет")="Да")),1,0)</x:f>
      </x:c>
      <x:c r="DI46" s="35" t="n">
        <x:f>IF(AND(DI$3&gt;=$B$39,DI$3&lt;EDATE($B$39,MAX(1,'Вводные'!$K$53)),AND($B$35="Да",IFERROR(INDEX('Вводные'!$B$88:$B$91,$B$36),"Нет")="Да")),1,0)</x:f>
      </x:c>
      <x:c r="DJ46" s="35" t="n">
        <x:f>IF(AND(DJ$3&gt;=$B$39,DJ$3&lt;EDATE($B$39,MAX(1,'Вводные'!$K$53)),AND($B$35="Да",IFERROR(INDEX('Вводные'!$B$88:$B$91,$B$36),"Нет")="Да")),1,0)</x:f>
      </x:c>
      <x:c r="DK46" s="35" t="n">
        <x:f>IF(AND(DK$3&gt;=$B$39,DK$3&lt;EDATE($B$39,MAX(1,'Вводные'!$K$53)),AND($B$35="Да",IFERROR(INDEX('Вводные'!$B$88:$B$91,$B$36),"Нет")="Да")),1,0)</x:f>
      </x:c>
      <x:c r="DL46" s="35" t="n">
        <x:f>IF(AND(DL$3&gt;=$B$39,DL$3&lt;EDATE($B$39,MAX(1,'Вводные'!$K$53)),AND($B$35="Да",IFERROR(INDEX('Вводные'!$B$88:$B$91,$B$36),"Нет")="Да")),1,0)</x:f>
      </x:c>
      <x:c r="DM46" s="35" t="n">
        <x:f>IF(AND(DM$3&gt;=$B$39,DM$3&lt;EDATE($B$39,MAX(1,'Вводные'!$K$53)),AND($B$35="Да",IFERROR(INDEX('Вводные'!$B$88:$B$91,$B$36),"Нет")="Да")),1,0)</x:f>
      </x:c>
      <x:c r="DN46" s="35" t="n">
        <x:f>IF(AND(DN$3&gt;=$B$39,DN$3&lt;EDATE($B$39,MAX(1,'Вводные'!$K$53)),AND($B$35="Да",IFERROR(INDEX('Вводные'!$B$88:$B$91,$B$36),"Нет")="Да")),1,0)</x:f>
      </x:c>
      <x:c r="DO46" s="35" t="n">
        <x:f>IF(AND(DO$3&gt;=$B$39,DO$3&lt;EDATE($B$39,MAX(1,'Вводные'!$K$53)),AND($B$35="Да",IFERROR(INDEX('Вводные'!$B$88:$B$91,$B$36),"Нет")="Да")),1,0)</x:f>
      </x:c>
      <x:c r="DP46" s="35" t="n">
        <x:f>IF(AND(DP$3&gt;=$B$39,DP$3&lt;EDATE($B$39,MAX(1,'Вводные'!$K$53)),AND($B$35="Да",IFERROR(INDEX('Вводные'!$B$88:$B$91,$B$36),"Нет")="Да")),1,0)</x:f>
      </x:c>
      <x:c r="DQ46" s="35" t="n">
        <x:f>IF(AND(DQ$3&gt;=$B$39,DQ$3&lt;EDATE($B$39,MAX(1,'Вводные'!$K$53)),AND($B$35="Да",IFERROR(INDEX('Вводные'!$B$88:$B$91,$B$36),"Нет")="Да")),1,0)</x:f>
      </x:c>
      <x:c r="DR46" s="35" t="n">
        <x:f>IF(AND(DR$3&gt;=$B$39,DR$3&lt;EDATE($B$39,MAX(1,'Вводные'!$K$53)),AND($B$35="Да",IFERROR(INDEX('Вводные'!$B$88:$B$91,$B$36),"Нет")="Да")),1,0)</x:f>
      </x:c>
      <x:c r="DS46" s="35" t="n">
        <x:f>IF(AND(DS$3&gt;=$B$39,DS$3&lt;EDATE($B$39,MAX(1,'Вводные'!$K$53)),AND($B$35="Да",IFERROR(INDEX('Вводные'!$B$88:$B$91,$B$36),"Нет")="Да")),1,0)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IF(D$3&lt;EDATE(INDEX('Вводные'!$D$88:$D$91,$B$36),INDEX('Вводные'!$E$88:$E$91,$B$36)+INDEX('Вводные'!$F$88:$F$91,$B$36)+'Вводные'!$H$9),D52,0)</x:f>
      </x:c>
      <x:c r="E53" s="107" t="n">
        <x:f>IF(E$3&lt;EDATE(INDEX('Вводные'!$D$88:$D$91,$B$36),INDEX('Вводные'!$E$88:$E$91,$B$36)+INDEX('Вводные'!$F$88:$F$91,$B$36)+'Вводные'!$H$9),E52,0)</x:f>
      </x:c>
      <x:c r="F53" s="107" t="n">
        <x:f>IF(F$3&lt;EDATE(INDEX('Вводные'!$D$88:$D$91,$B$36),INDEX('Вводные'!$E$88:$E$91,$B$36)+INDEX('Вводные'!$F$88:$F$91,$B$36)+'Вводные'!$H$9),F52,0)</x:f>
      </x:c>
      <x:c r="G53" s="107" t="n">
        <x:f>IF(G$3&lt;EDATE(INDEX('Вводные'!$D$88:$D$91,$B$36),INDEX('Вводные'!$E$88:$E$91,$B$36)+INDEX('Вводные'!$F$88:$F$91,$B$36)+'Вводные'!$H$9),G52,0)</x:f>
      </x:c>
      <x:c r="H53" s="107" t="n">
        <x:f>IF(H$3&lt;EDATE(INDEX('Вводные'!$D$88:$D$91,$B$36),INDEX('Вводные'!$E$88:$E$91,$B$36)+INDEX('Вводные'!$F$88:$F$91,$B$36)+'Вводные'!$H$9),H52,0)</x:f>
      </x:c>
      <x:c r="I53" s="107" t="n">
        <x:f>IF(I$3&lt;EDATE(INDEX('Вводные'!$D$88:$D$91,$B$36),INDEX('Вводные'!$E$88:$E$91,$B$36)+INDEX('Вводные'!$F$88:$F$91,$B$36)+'Вводные'!$H$9),I52,0)</x:f>
      </x:c>
      <x:c r="J53" s="107" t="n">
        <x:f>IF(J$3&lt;EDATE(INDEX('Вводные'!$D$88:$D$91,$B$36),INDEX('Вводные'!$E$88:$E$91,$B$36)+INDEX('Вводные'!$F$88:$F$91,$B$36)+'Вводные'!$H$9),J52,0)</x:f>
      </x:c>
      <x:c r="K53" s="107" t="n">
        <x:f>IF(K$3&lt;EDATE(INDEX('Вводные'!$D$88:$D$91,$B$36),INDEX('Вводные'!$E$88:$E$91,$B$36)+INDEX('Вводные'!$F$88:$F$91,$B$36)+'Вводные'!$H$9),K52,0)</x:f>
      </x:c>
      <x:c r="L53" s="107" t="n">
        <x:f>IF(L$3&lt;EDATE(INDEX('Вводные'!$D$88:$D$91,$B$36),INDEX('Вводные'!$E$88:$E$91,$B$36)+INDEX('Вводные'!$F$88:$F$91,$B$36)+'Вводные'!$H$9),L52,0)</x:f>
      </x:c>
      <x:c r="M53" s="107" t="n">
        <x:f>IF(M$3&lt;EDATE(INDEX('Вводные'!$D$88:$D$91,$B$36),INDEX('Вводные'!$E$88:$E$91,$B$36)+INDEX('Вводные'!$F$88:$F$91,$B$36)+'Вводные'!$H$9),M52,0)</x:f>
      </x:c>
      <x:c r="N53" s="107" t="n">
        <x:f>IF(N$3&lt;EDATE(INDEX('Вводные'!$D$88:$D$91,$B$36),INDEX('Вводные'!$E$88:$E$91,$B$36)+INDEX('Вводные'!$F$88:$F$91,$B$36)+'Вводные'!$H$9),N52,0)</x:f>
      </x:c>
      <x:c r="O53" s="107" t="n">
        <x:f>IF(O$3&lt;EDATE(INDEX('Вводные'!$D$88:$D$91,$B$36),INDEX('Вводные'!$E$88:$E$91,$B$36)+INDEX('Вводные'!$F$88:$F$91,$B$36)+'Вводные'!$H$9),O52,0)</x:f>
      </x:c>
      <x:c r="P53" s="107" t="n">
        <x:f>IF(P$3&lt;EDATE(INDEX('Вводные'!$D$88:$D$91,$B$36),INDEX('Вводные'!$E$88:$E$91,$B$36)+INDEX('Вводные'!$F$88:$F$91,$B$36)+'Вводные'!$H$9),P52,0)</x:f>
      </x:c>
      <x:c r="Q53" s="107" t="n">
        <x:f>IF(Q$3&lt;EDATE(INDEX('Вводные'!$D$88:$D$91,$B$36),INDEX('Вводные'!$E$88:$E$91,$B$36)+INDEX('Вводные'!$F$88:$F$91,$B$36)+'Вводные'!$H$9),Q52,0)</x:f>
      </x:c>
      <x:c r="R53" s="107" t="n">
        <x:f>IF(R$3&lt;EDATE(INDEX('Вводные'!$D$88:$D$91,$B$36),INDEX('Вводные'!$E$88:$E$91,$B$36)+INDEX('Вводные'!$F$88:$F$91,$B$36)+'Вводные'!$H$9),R52,0)</x:f>
      </x:c>
      <x:c r="S53" s="107" t="n">
        <x:f>IF(S$3&lt;EDATE(INDEX('Вводные'!$D$88:$D$91,$B$36),INDEX('Вводные'!$E$88:$E$91,$B$36)+INDEX('Вводные'!$F$88:$F$91,$B$36)+'Вводные'!$H$9),S52,0)</x:f>
      </x:c>
      <x:c r="T53" s="107" t="n">
        <x:f>IF(T$3&lt;EDATE(INDEX('Вводные'!$D$88:$D$91,$B$36),INDEX('Вводные'!$E$88:$E$91,$B$36)+INDEX('Вводные'!$F$88:$F$91,$B$36)+'Вводные'!$H$9),T52,0)</x:f>
      </x:c>
      <x:c r="U53" s="107" t="n">
        <x:f>IF(U$3&lt;EDATE(INDEX('Вводные'!$D$88:$D$91,$B$36),INDEX('Вводные'!$E$88:$E$91,$B$36)+INDEX('Вводные'!$F$88:$F$91,$B$36)+'Вводные'!$H$9),U52,0)</x:f>
      </x:c>
      <x:c r="V53" s="107" t="n">
        <x:f>IF(V$3&lt;EDATE(INDEX('Вводные'!$D$88:$D$91,$B$36),INDEX('Вводные'!$E$88:$E$91,$B$36)+INDEX('Вводные'!$F$88:$F$91,$B$36)+'Вводные'!$H$9),V52,0)</x:f>
      </x:c>
      <x:c r="W53" s="107" t="n">
        <x:f>IF(W$3&lt;EDATE(INDEX('Вводные'!$D$88:$D$91,$B$36),INDEX('Вводные'!$E$88:$E$91,$B$36)+INDEX('Вводные'!$F$88:$F$91,$B$36)+'Вводные'!$H$9),W52,0)</x:f>
      </x:c>
      <x:c r="X53" s="107" t="n">
        <x:f>IF(X$3&lt;EDATE(INDEX('Вводные'!$D$88:$D$91,$B$36),INDEX('Вводные'!$E$88:$E$91,$B$36)+INDEX('Вводные'!$F$88:$F$91,$B$36)+'Вводные'!$H$9),X52,0)</x:f>
      </x:c>
      <x:c r="Y53" s="107" t="n">
        <x:f>IF(Y$3&lt;EDATE(INDEX('Вводные'!$D$88:$D$91,$B$36),INDEX('Вводные'!$E$88:$E$91,$B$36)+INDEX('Вводные'!$F$88:$F$91,$B$36)+'Вводные'!$H$9),Y52,0)</x:f>
      </x:c>
      <x:c r="Z53" s="107" t="n">
        <x:f>IF(Z$3&lt;EDATE(INDEX('Вводные'!$D$88:$D$91,$B$36),INDEX('Вводные'!$E$88:$E$91,$B$36)+INDEX('Вводные'!$F$88:$F$91,$B$36)+'Вводные'!$H$9),Z52,0)</x:f>
      </x:c>
      <x:c r="AA53" s="107" t="n">
        <x:f>IF(AA$3&lt;EDATE(INDEX('Вводные'!$D$88:$D$91,$B$36),INDEX('Вводные'!$E$88:$E$91,$B$36)+INDEX('Вводные'!$F$88:$F$91,$B$36)+'Вводные'!$H$9),AA52,0)</x:f>
      </x:c>
      <x:c r="AB53" s="107" t="n">
        <x:f>IF(AB$3&lt;EDATE(INDEX('Вводные'!$D$88:$D$91,$B$36),INDEX('Вводные'!$E$88:$E$91,$B$36)+INDEX('Вводные'!$F$88:$F$91,$B$36)+'Вводные'!$H$9),AB52,0)</x:f>
      </x:c>
      <x:c r="AC53" s="107" t="n">
        <x:f>IF(AC$3&lt;EDATE(INDEX('Вводные'!$D$88:$D$91,$B$36),INDEX('Вводные'!$E$88:$E$91,$B$36)+INDEX('Вводные'!$F$88:$F$91,$B$36)+'Вводные'!$H$9),AC52,0)</x:f>
      </x:c>
      <x:c r="AD53" s="107" t="n">
        <x:f>IF(AD$3&lt;EDATE(INDEX('Вводные'!$D$88:$D$91,$B$36),INDEX('Вводные'!$E$88:$E$91,$B$36)+INDEX('Вводные'!$F$88:$F$91,$B$36)+'Вводные'!$H$9),AD52,0)</x:f>
      </x:c>
      <x:c r="AE53" s="107" t="n">
        <x:f>IF(AE$3&lt;EDATE(INDEX('Вводные'!$D$88:$D$91,$B$36),INDEX('Вводные'!$E$88:$E$91,$B$36)+INDEX('Вводные'!$F$88:$F$91,$B$36)+'Вводные'!$H$9),AE52,0)</x:f>
      </x:c>
      <x:c r="AF53" s="107" t="n">
        <x:f>IF(AF$3&lt;EDATE(INDEX('Вводные'!$D$88:$D$91,$B$36),INDEX('Вводные'!$E$88:$E$91,$B$36)+INDEX('Вводные'!$F$88:$F$91,$B$36)+'Вводные'!$H$9),AF52,0)</x:f>
      </x:c>
      <x:c r="AG53" s="107" t="n">
        <x:f>IF(AG$3&lt;EDATE(INDEX('Вводные'!$D$88:$D$91,$B$36),INDEX('Вводные'!$E$88:$E$91,$B$36)+INDEX('Вводные'!$F$88:$F$91,$B$36)+'Вводные'!$H$9),AG52,0)</x:f>
      </x:c>
      <x:c r="AH53" s="107" t="n">
        <x:f>IF(AH$3&lt;EDATE(INDEX('Вводные'!$D$88:$D$91,$B$36),INDEX('Вводные'!$E$88:$E$91,$B$36)+INDEX('Вводные'!$F$88:$F$91,$B$36)+'Вводные'!$H$9),AH52,0)</x:f>
      </x:c>
      <x:c r="AI53" s="107" t="n">
        <x:f>IF(AI$3&lt;EDATE(INDEX('Вводные'!$D$88:$D$91,$B$36),INDEX('Вводные'!$E$88:$E$91,$B$36)+INDEX('Вводные'!$F$88:$F$91,$B$36)+'Вводные'!$H$9),AI52,0)</x:f>
      </x:c>
      <x:c r="AJ53" s="107" t="n">
        <x:f>IF(AJ$3&lt;EDATE(INDEX('Вводные'!$D$88:$D$91,$B$36),INDEX('Вводные'!$E$88:$E$91,$B$36)+INDEX('Вводные'!$F$88:$F$91,$B$36)+'Вводные'!$H$9),AJ52,0)</x:f>
      </x:c>
      <x:c r="AK53" s="107" t="n">
        <x:f>IF(AK$3&lt;EDATE(INDEX('Вводные'!$D$88:$D$91,$B$36),INDEX('Вводные'!$E$88:$E$91,$B$36)+INDEX('Вводные'!$F$88:$F$91,$B$36)+'Вводные'!$H$9),AK52,0)</x:f>
      </x:c>
      <x:c r="AL53" s="107" t="n">
        <x:f>IF(AL$3&lt;EDATE(INDEX('Вводные'!$D$88:$D$91,$B$36),INDEX('Вводные'!$E$88:$E$91,$B$36)+INDEX('Вводные'!$F$88:$F$91,$B$36)+'Вводные'!$H$9),AL52,0)</x:f>
      </x:c>
      <x:c r="AM53" s="107" t="n">
        <x:f>IF(AM$3&lt;EDATE(INDEX('Вводные'!$D$88:$D$91,$B$36),INDEX('Вводные'!$E$88:$E$91,$B$36)+INDEX('Вводные'!$F$88:$F$91,$B$36)+'Вводные'!$H$9),AM52,0)</x:f>
      </x:c>
      <x:c r="AN53" s="107" t="n">
        <x:f>IF(AN$3&lt;EDATE(INDEX('Вводные'!$D$88:$D$91,$B$36),INDEX('Вводные'!$E$88:$E$91,$B$36)+INDEX('Вводные'!$F$88:$F$91,$B$36)+'Вводные'!$H$9),AN52,0)</x:f>
      </x:c>
      <x:c r="AO53" s="107" t="n">
        <x:f>IF(AO$3&lt;EDATE(INDEX('Вводные'!$D$88:$D$91,$B$36),INDEX('Вводные'!$E$88:$E$91,$B$36)+INDEX('Вводные'!$F$88:$F$91,$B$36)+'Вводные'!$H$9),AO52,0)</x:f>
      </x:c>
      <x:c r="AP53" s="107" t="n">
        <x:f>IF(AP$3&lt;EDATE(INDEX('Вводные'!$D$88:$D$91,$B$36),INDEX('Вводные'!$E$88:$E$91,$B$36)+INDEX('Вводные'!$F$88:$F$91,$B$36)+'Вводные'!$H$9),AP52,0)</x:f>
      </x:c>
      <x:c r="AQ53" s="107" t="n">
        <x:f>IF(AQ$3&lt;EDATE(INDEX('Вводные'!$D$88:$D$91,$B$36),INDEX('Вводные'!$E$88:$E$91,$B$36)+INDEX('Вводные'!$F$88:$F$91,$B$36)+'Вводные'!$H$9),AQ52,0)</x:f>
      </x:c>
      <x:c r="AR53" s="107" t="n">
        <x:f>IF(AR$3&lt;EDATE(INDEX('Вводные'!$D$88:$D$91,$B$36),INDEX('Вводные'!$E$88:$E$91,$B$36)+INDEX('Вводные'!$F$88:$F$91,$B$36)+'Вводные'!$H$9),AR52,0)</x:f>
      </x:c>
      <x:c r="AS53" s="107" t="n">
        <x:f>IF(AS$3&lt;EDATE(INDEX('Вводные'!$D$88:$D$91,$B$36),INDEX('Вводные'!$E$88:$E$91,$B$36)+INDEX('Вводные'!$F$88:$F$91,$B$36)+'Вводные'!$H$9),AS52,0)</x:f>
      </x:c>
      <x:c r="AT53" s="107" t="n">
        <x:f>IF(AT$3&lt;EDATE(INDEX('Вводные'!$D$88:$D$91,$B$36),INDEX('Вводные'!$E$88:$E$91,$B$36)+INDEX('Вводные'!$F$88:$F$91,$B$36)+'Вводные'!$H$9),AT52,0)</x:f>
      </x:c>
      <x:c r="AU53" s="107" t="n">
        <x:f>IF(AU$3&lt;EDATE(INDEX('Вводные'!$D$88:$D$91,$B$36),INDEX('Вводные'!$E$88:$E$91,$B$36)+INDEX('Вводные'!$F$88:$F$91,$B$36)+'Вводные'!$H$9),AU52,0)</x:f>
      </x:c>
      <x:c r="AV53" s="107" t="n">
        <x:f>IF(AV$3&lt;EDATE(INDEX('Вводные'!$D$88:$D$91,$B$36),INDEX('Вводные'!$E$88:$E$91,$B$36)+INDEX('Вводные'!$F$88:$F$91,$B$36)+'Вводные'!$H$9),AV52,0)</x:f>
      </x:c>
      <x:c r="AW53" s="107" t="n">
        <x:f>IF(AW$3&lt;EDATE(INDEX('Вводные'!$D$88:$D$91,$B$36),INDEX('Вводные'!$E$88:$E$91,$B$36)+INDEX('Вводные'!$F$88:$F$91,$B$36)+'Вводные'!$H$9),AW52,0)</x:f>
      </x:c>
      <x:c r="AX53" s="107" t="n">
        <x:f>IF(AX$3&lt;EDATE(INDEX('Вводные'!$D$88:$D$91,$B$36),INDEX('Вводные'!$E$88:$E$91,$B$36)+INDEX('Вводные'!$F$88:$F$91,$B$36)+'Вводные'!$H$9),AX52,0)</x:f>
      </x:c>
      <x:c r="AY53" s="107" t="n">
        <x:f>IF(AY$3&lt;EDATE(INDEX('Вводные'!$D$88:$D$91,$B$36),INDEX('Вводные'!$E$88:$E$91,$B$36)+INDEX('Вводные'!$F$88:$F$91,$B$36)+'Вводные'!$H$9),AY52,0)</x:f>
      </x:c>
      <x:c r="AZ53" s="107" t="n">
        <x:f>IF(AZ$3&lt;EDATE(INDEX('Вводные'!$D$88:$D$91,$B$36),INDEX('Вводные'!$E$88:$E$91,$B$36)+INDEX('Вводные'!$F$88:$F$91,$B$36)+'Вводные'!$H$9),AZ52,0)</x:f>
      </x:c>
      <x:c r="BA53" s="107" t="n">
        <x:f>IF(BA$3&lt;EDATE(INDEX('Вводные'!$D$88:$D$91,$B$36),INDEX('Вводные'!$E$88:$E$91,$B$36)+INDEX('Вводные'!$F$88:$F$91,$B$36)+'Вводные'!$H$9),BA52,0)</x:f>
      </x:c>
      <x:c r="BB53" s="107" t="n">
        <x:f>IF(BB$3&lt;EDATE(INDEX('Вводные'!$D$88:$D$91,$B$36),INDEX('Вводные'!$E$88:$E$91,$B$36)+INDEX('Вводные'!$F$88:$F$91,$B$36)+'Вводные'!$H$9),BB52,0)</x:f>
      </x:c>
      <x:c r="BC53" s="107" t="n">
        <x:f>IF(BC$3&lt;EDATE(INDEX('Вводные'!$D$88:$D$91,$B$36),INDEX('Вводные'!$E$88:$E$91,$B$36)+INDEX('Вводные'!$F$88:$F$91,$B$36)+'Вводные'!$H$9),BC52,0)</x:f>
      </x:c>
      <x:c r="BD53" s="107" t="n">
        <x:f>IF(BD$3&lt;EDATE(INDEX('Вводные'!$D$88:$D$91,$B$36),INDEX('Вводные'!$E$88:$E$91,$B$36)+INDEX('Вводные'!$F$88:$F$91,$B$36)+'Вводные'!$H$9),BD52,0)</x:f>
      </x:c>
      <x:c r="BE53" s="107" t="n">
        <x:f>IF(BE$3&lt;EDATE(INDEX('Вводные'!$D$88:$D$91,$B$36),INDEX('Вводные'!$E$88:$E$91,$B$36)+INDEX('Вводные'!$F$88:$F$91,$B$36)+'Вводные'!$H$9),BE52,0)</x:f>
      </x:c>
      <x:c r="BF53" s="107" t="n">
        <x:f>IF(BF$3&lt;EDATE(INDEX('Вводные'!$D$88:$D$91,$B$36),INDEX('Вводные'!$E$88:$E$91,$B$36)+INDEX('Вводные'!$F$88:$F$91,$B$36)+'Вводные'!$H$9),BF52,0)</x:f>
      </x:c>
      <x:c r="BG53" s="107" t="n">
        <x:f>IF(BG$3&lt;EDATE(INDEX('Вводные'!$D$88:$D$91,$B$36),INDEX('Вводные'!$E$88:$E$91,$B$36)+INDEX('Вводные'!$F$88:$F$91,$B$36)+'Вводные'!$H$9),BG52,0)</x:f>
      </x:c>
      <x:c r="BH53" s="107" t="n">
        <x:f>IF(BH$3&lt;EDATE(INDEX('Вводные'!$D$88:$D$91,$B$36),INDEX('Вводные'!$E$88:$E$91,$B$36)+INDEX('Вводные'!$F$88:$F$91,$B$36)+'Вводные'!$H$9),BH52,0)</x:f>
      </x:c>
      <x:c r="BI53" s="107" t="n">
        <x:f>IF(BI$3&lt;EDATE(INDEX('Вводные'!$D$88:$D$91,$B$36),INDEX('Вводные'!$E$88:$E$91,$B$36)+INDEX('Вводные'!$F$88:$F$91,$B$36)+'Вводные'!$H$9),BI52,0)</x:f>
      </x:c>
      <x:c r="BJ53" s="107" t="n">
        <x:f>IF(BJ$3&lt;EDATE(INDEX('Вводные'!$D$88:$D$91,$B$36),INDEX('Вводные'!$E$88:$E$91,$B$36)+INDEX('Вводные'!$F$88:$F$91,$B$36)+'Вводные'!$H$9),BJ52,0)</x:f>
      </x:c>
      <x:c r="BK53" s="107" t="n">
        <x:f>IF(BK$3&lt;EDATE(INDEX('Вводные'!$D$88:$D$91,$B$36),INDEX('Вводные'!$E$88:$E$91,$B$36)+INDEX('Вводные'!$F$88:$F$91,$B$36)+'Вводные'!$H$9),BK52,0)</x:f>
      </x:c>
      <x:c r="BL53" s="107" t="n">
        <x:f>IF(BL$3&lt;EDATE(INDEX('Вводные'!$D$88:$D$91,$B$36),INDEX('Вводные'!$E$88:$E$91,$B$36)+INDEX('Вводные'!$F$88:$F$91,$B$36)+'Вводные'!$H$9),BL52,0)</x:f>
      </x:c>
      <x:c r="BM53" s="107" t="n">
        <x:f>IF(BM$3&lt;EDATE(INDEX('Вводные'!$D$88:$D$91,$B$36),INDEX('Вводные'!$E$88:$E$91,$B$36)+INDEX('Вводные'!$F$88:$F$91,$B$36)+'Вводные'!$H$9),BM52,0)</x:f>
      </x:c>
      <x:c r="BN53" s="107" t="n">
        <x:f>IF(BN$3&lt;EDATE(INDEX('Вводные'!$D$88:$D$91,$B$36),INDEX('Вводные'!$E$88:$E$91,$B$36)+INDEX('Вводные'!$F$88:$F$91,$B$36)+'Вводные'!$H$9),BN52,0)</x:f>
      </x:c>
      <x:c r="BO53" s="107" t="n">
        <x:f>IF(BO$3&lt;EDATE(INDEX('Вводные'!$D$88:$D$91,$B$36),INDEX('Вводные'!$E$88:$E$91,$B$36)+INDEX('Вводные'!$F$88:$F$91,$B$36)+'Вводные'!$H$9),BO52,0)</x:f>
      </x:c>
      <x:c r="BP53" s="107" t="n">
        <x:f>IF(BP$3&lt;EDATE(INDEX('Вводные'!$D$88:$D$91,$B$36),INDEX('Вводные'!$E$88:$E$91,$B$36)+INDEX('Вводные'!$F$88:$F$91,$B$36)+'Вводные'!$H$9),BP52,0)</x:f>
      </x:c>
      <x:c r="BQ53" s="107" t="n">
        <x:f>IF(BQ$3&lt;EDATE(INDEX('Вводные'!$D$88:$D$91,$B$36),INDEX('Вводные'!$E$88:$E$91,$B$36)+INDEX('Вводные'!$F$88:$F$91,$B$36)+'Вводные'!$H$9),BQ52,0)</x:f>
      </x:c>
      <x:c r="BR53" s="107" t="n">
        <x:f>IF(BR$3&lt;EDATE(INDEX('Вводные'!$D$88:$D$91,$B$36),INDEX('Вводные'!$E$88:$E$91,$B$36)+INDEX('Вводные'!$F$88:$F$91,$B$36)+'Вводные'!$H$9),BR52,0)</x:f>
      </x:c>
      <x:c r="BS53" s="107" t="n">
        <x:f>IF(BS$3&lt;EDATE(INDEX('Вводные'!$D$88:$D$91,$B$36),INDEX('Вводные'!$E$88:$E$91,$B$36)+INDEX('Вводные'!$F$88:$F$91,$B$36)+'Вводные'!$H$9),BS52,0)</x:f>
      </x:c>
      <x:c r="BT53" s="107" t="n">
        <x:f>IF(BT$3&lt;EDATE(INDEX('Вводные'!$D$88:$D$91,$B$36),INDEX('Вводные'!$E$88:$E$91,$B$36)+INDEX('Вводные'!$F$88:$F$91,$B$36)+'Вводные'!$H$9),BT52,0)</x:f>
      </x:c>
      <x:c r="BU53" s="107" t="n">
        <x:f>IF(BU$3&lt;EDATE(INDEX('Вводные'!$D$88:$D$91,$B$36),INDEX('Вводные'!$E$88:$E$91,$B$36)+INDEX('Вводные'!$F$88:$F$91,$B$36)+'Вводные'!$H$9),BU52,0)</x:f>
      </x:c>
      <x:c r="BV53" s="107" t="n">
        <x:f>IF(BV$3&lt;EDATE(INDEX('Вводные'!$D$88:$D$91,$B$36),INDEX('Вводные'!$E$88:$E$91,$B$36)+INDEX('Вводные'!$F$88:$F$91,$B$36)+'Вводные'!$H$9),BV52,0)</x:f>
      </x:c>
      <x:c r="BW53" s="107" t="n">
        <x:f>IF(BW$3&lt;EDATE(INDEX('Вводные'!$D$88:$D$91,$B$36),INDEX('Вводные'!$E$88:$E$91,$B$36)+INDEX('Вводные'!$F$88:$F$91,$B$36)+'Вводные'!$H$9),BW52,0)</x:f>
      </x:c>
      <x:c r="BX53" s="107" t="n">
        <x:f>IF(BX$3&lt;EDATE(INDEX('Вводные'!$D$88:$D$91,$B$36),INDEX('Вводные'!$E$88:$E$91,$B$36)+INDEX('Вводные'!$F$88:$F$91,$B$36)+'Вводные'!$H$9),BX52,0)</x:f>
      </x:c>
      <x:c r="BY53" s="107" t="n">
        <x:f>IF(BY$3&lt;EDATE(INDEX('Вводные'!$D$88:$D$91,$B$36),INDEX('Вводные'!$E$88:$E$91,$B$36)+INDEX('Вводные'!$F$88:$F$91,$B$36)+'Вводные'!$H$9),BY52,0)</x:f>
      </x:c>
      <x:c r="BZ53" s="107" t="n">
        <x:f>IF(BZ$3&lt;EDATE(INDEX('Вводные'!$D$88:$D$91,$B$36),INDEX('Вводные'!$E$88:$E$91,$B$36)+INDEX('Вводные'!$F$88:$F$91,$B$36)+'Вводные'!$H$9),BZ52,0)</x:f>
      </x:c>
      <x:c r="CA53" s="107" t="n">
        <x:f>IF(CA$3&lt;EDATE(INDEX('Вводные'!$D$88:$D$91,$B$36),INDEX('Вводные'!$E$88:$E$91,$B$36)+INDEX('Вводные'!$F$88:$F$91,$B$36)+'Вводные'!$H$9),CA52,0)</x:f>
      </x:c>
      <x:c r="CB53" s="107" t="n">
        <x:f>IF(CB$3&lt;EDATE(INDEX('Вводные'!$D$88:$D$91,$B$36),INDEX('Вводные'!$E$88:$E$91,$B$36)+INDEX('Вводные'!$F$88:$F$91,$B$36)+'Вводные'!$H$9),CB52,0)</x:f>
      </x:c>
      <x:c r="CC53" s="107" t="n">
        <x:f>IF(CC$3&lt;EDATE(INDEX('Вводные'!$D$88:$D$91,$B$36),INDEX('Вводные'!$E$88:$E$91,$B$36)+INDEX('Вводные'!$F$88:$F$91,$B$36)+'Вводные'!$H$9),CC52,0)</x:f>
      </x:c>
      <x:c r="CD53" s="107" t="n">
        <x:f>IF(CD$3&lt;EDATE(INDEX('Вводные'!$D$88:$D$91,$B$36),INDEX('Вводные'!$E$88:$E$91,$B$36)+INDEX('Вводные'!$F$88:$F$91,$B$36)+'Вводные'!$H$9),CD52,0)</x:f>
      </x:c>
      <x:c r="CE53" s="107" t="n">
        <x:f>IF(CE$3&lt;EDATE(INDEX('Вводные'!$D$88:$D$91,$B$36),INDEX('Вводные'!$E$88:$E$91,$B$36)+INDEX('Вводные'!$F$88:$F$91,$B$36)+'Вводные'!$H$9),CE52,0)</x:f>
      </x:c>
      <x:c r="CF53" s="107" t="n">
        <x:f>IF(CF$3&lt;EDATE(INDEX('Вводные'!$D$88:$D$91,$B$36),INDEX('Вводные'!$E$88:$E$91,$B$36)+INDEX('Вводные'!$F$88:$F$91,$B$36)+'Вводные'!$H$9),CF52,0)</x:f>
      </x:c>
      <x:c r="CG53" s="107" t="n">
        <x:f>IF(CG$3&lt;EDATE(INDEX('Вводные'!$D$88:$D$91,$B$36),INDEX('Вводные'!$E$88:$E$91,$B$36)+INDEX('Вводные'!$F$88:$F$91,$B$36)+'Вводные'!$H$9),CG52,0)</x:f>
      </x:c>
      <x:c r="CH53" s="107" t="n">
        <x:f>IF(CH$3&lt;EDATE(INDEX('Вводные'!$D$88:$D$91,$B$36),INDEX('Вводные'!$E$88:$E$91,$B$36)+INDEX('Вводные'!$F$88:$F$91,$B$36)+'Вводные'!$H$9),CH52,0)</x:f>
      </x:c>
      <x:c r="CI53" s="107" t="n">
        <x:f>IF(CI$3&lt;EDATE(INDEX('Вводные'!$D$88:$D$91,$B$36),INDEX('Вводные'!$E$88:$E$91,$B$36)+INDEX('Вводные'!$F$88:$F$91,$B$36)+'Вводные'!$H$9),CI52,0)</x:f>
      </x:c>
      <x:c r="CJ53" s="107" t="n">
        <x:f>IF(CJ$3&lt;EDATE(INDEX('Вводные'!$D$88:$D$91,$B$36),INDEX('Вводные'!$E$88:$E$91,$B$36)+INDEX('Вводные'!$F$88:$F$91,$B$36)+'Вводные'!$H$9),CJ52,0)</x:f>
      </x:c>
      <x:c r="CK53" s="107" t="n">
        <x:f>IF(CK$3&lt;EDATE(INDEX('Вводные'!$D$88:$D$91,$B$36),INDEX('Вводные'!$E$88:$E$91,$B$36)+INDEX('Вводные'!$F$88:$F$91,$B$36)+'Вводные'!$H$9),CK52,0)</x:f>
      </x:c>
      <x:c r="CL53" s="107" t="n">
        <x:f>IF(CL$3&lt;EDATE(INDEX('Вводные'!$D$88:$D$91,$B$36),INDEX('Вводные'!$E$88:$E$91,$B$36)+INDEX('Вводные'!$F$88:$F$91,$B$36)+'Вводные'!$H$9),CL52,0)</x:f>
      </x:c>
      <x:c r="CM53" s="107" t="n">
        <x:f>IF(CM$3&lt;EDATE(INDEX('Вводные'!$D$88:$D$91,$B$36),INDEX('Вводные'!$E$88:$E$91,$B$36)+INDEX('Вводные'!$F$88:$F$91,$B$36)+'Вводные'!$H$9),CM52,0)</x:f>
      </x:c>
      <x:c r="CN53" s="107" t="n">
        <x:f>IF(CN$3&lt;EDATE(INDEX('Вводные'!$D$88:$D$91,$B$36),INDEX('Вводные'!$E$88:$E$91,$B$36)+INDEX('Вводные'!$F$88:$F$91,$B$36)+'Вводные'!$H$9),CN52,0)</x:f>
      </x:c>
      <x:c r="CO53" s="107" t="n">
        <x:f>IF(CO$3&lt;EDATE(INDEX('Вводные'!$D$88:$D$91,$B$36),INDEX('Вводные'!$E$88:$E$91,$B$36)+INDEX('Вводные'!$F$88:$F$91,$B$36)+'Вводные'!$H$9),CO52,0)</x:f>
      </x:c>
      <x:c r="CP53" s="107" t="n">
        <x:f>IF(CP$3&lt;EDATE(INDEX('Вводные'!$D$88:$D$91,$B$36),INDEX('Вводные'!$E$88:$E$91,$B$36)+INDEX('Вводные'!$F$88:$F$91,$B$36)+'Вводные'!$H$9),CP52,0)</x:f>
      </x:c>
      <x:c r="CQ53" s="107" t="n">
        <x:f>IF(CQ$3&lt;EDATE(INDEX('Вводные'!$D$88:$D$91,$B$36),INDEX('Вводные'!$E$88:$E$91,$B$36)+INDEX('Вводные'!$F$88:$F$91,$B$36)+'Вводные'!$H$9),CQ52,0)</x:f>
      </x:c>
      <x:c r="CR53" s="107" t="n">
        <x:f>IF(CR$3&lt;EDATE(INDEX('Вводные'!$D$88:$D$91,$B$36),INDEX('Вводные'!$E$88:$E$91,$B$36)+INDEX('Вводные'!$F$88:$F$91,$B$36)+'Вводные'!$H$9),CR52,0)</x:f>
      </x:c>
      <x:c r="CS53" s="107" t="n">
        <x:f>IF(CS$3&lt;EDATE(INDEX('Вводные'!$D$88:$D$91,$B$36),INDEX('Вводные'!$E$88:$E$91,$B$36)+INDEX('Вводные'!$F$88:$F$91,$B$36)+'Вводные'!$H$9),CS52,0)</x:f>
      </x:c>
      <x:c r="CT53" s="107" t="n">
        <x:f>IF(CT$3&lt;EDATE(INDEX('Вводные'!$D$88:$D$91,$B$36),INDEX('Вводные'!$E$88:$E$91,$B$36)+INDEX('Вводные'!$F$88:$F$91,$B$36)+'Вводные'!$H$9),CT52,0)</x:f>
      </x:c>
      <x:c r="CU53" s="107" t="n">
        <x:f>IF(CU$3&lt;EDATE(INDEX('Вводные'!$D$88:$D$91,$B$36),INDEX('Вводные'!$E$88:$E$91,$B$36)+INDEX('Вводные'!$F$88:$F$91,$B$36)+'Вводные'!$H$9),CU52,0)</x:f>
      </x:c>
      <x:c r="CV53" s="107" t="n">
        <x:f>IF(CV$3&lt;EDATE(INDEX('Вводные'!$D$88:$D$91,$B$36),INDEX('Вводные'!$E$88:$E$91,$B$36)+INDEX('Вводные'!$F$88:$F$91,$B$36)+'Вводные'!$H$9),CV52,0)</x:f>
      </x:c>
      <x:c r="CW53" s="107" t="n">
        <x:f>IF(CW$3&lt;EDATE(INDEX('Вводные'!$D$88:$D$91,$B$36),INDEX('Вводные'!$E$88:$E$91,$B$36)+INDEX('Вводные'!$F$88:$F$91,$B$36)+'Вводные'!$H$9),CW52,0)</x:f>
      </x:c>
      <x:c r="CX53" s="107" t="n">
        <x:f>IF(CX$3&lt;EDATE(INDEX('Вводные'!$D$88:$D$91,$B$36),INDEX('Вводные'!$E$88:$E$91,$B$36)+INDEX('Вводные'!$F$88:$F$91,$B$36)+'Вводные'!$H$9),CX52,0)</x:f>
      </x:c>
      <x:c r="CY53" s="107" t="n">
        <x:f>IF(CY$3&lt;EDATE(INDEX('Вводные'!$D$88:$D$91,$B$36),INDEX('Вводные'!$E$88:$E$91,$B$36)+INDEX('Вводные'!$F$88:$F$91,$B$36)+'Вводные'!$H$9),CY52,0)</x:f>
      </x:c>
      <x:c r="CZ53" s="107" t="n">
        <x:f>IF(CZ$3&lt;EDATE(INDEX('Вводные'!$D$88:$D$91,$B$36),INDEX('Вводные'!$E$88:$E$91,$B$36)+INDEX('Вводные'!$F$88:$F$91,$B$36)+'Вводные'!$H$9),CZ52,0)</x:f>
      </x:c>
      <x:c r="DA53" s="107" t="n">
        <x:f>IF(DA$3&lt;EDATE(INDEX('Вводные'!$D$88:$D$91,$B$36),INDEX('Вводные'!$E$88:$E$91,$B$36)+INDEX('Вводные'!$F$88:$F$91,$B$36)+'Вводные'!$H$9),DA52,0)</x:f>
      </x:c>
      <x:c r="DB53" s="107" t="n">
        <x:f>IF(DB$3&lt;EDATE(INDEX('Вводные'!$D$88:$D$91,$B$36),INDEX('Вводные'!$E$88:$E$91,$B$36)+INDEX('Вводные'!$F$88:$F$91,$B$36)+'Вводные'!$H$9),DB52,0)</x:f>
      </x:c>
      <x:c r="DC53" s="107" t="n">
        <x:f>IF(DC$3&lt;EDATE(INDEX('Вводные'!$D$88:$D$91,$B$36),INDEX('Вводные'!$E$88:$E$91,$B$36)+INDEX('Вводные'!$F$88:$F$91,$B$36)+'Вводные'!$H$9),DC52,0)</x:f>
      </x:c>
      <x:c r="DD53" s="107" t="n">
        <x:f>IF(DD$3&lt;EDATE(INDEX('Вводные'!$D$88:$D$91,$B$36),INDEX('Вводные'!$E$88:$E$91,$B$36)+INDEX('Вводные'!$F$88:$F$91,$B$36)+'Вводные'!$H$9),DD52,0)</x:f>
      </x:c>
      <x:c r="DE53" s="107" t="n">
        <x:f>IF(DE$3&lt;EDATE(INDEX('Вводные'!$D$88:$D$91,$B$36),INDEX('Вводные'!$E$88:$E$91,$B$36)+INDEX('Вводные'!$F$88:$F$91,$B$36)+'Вводные'!$H$9),DE52,0)</x:f>
      </x:c>
      <x:c r="DF53" s="107" t="n">
        <x:f>IF(DF$3&lt;EDATE(INDEX('Вводные'!$D$88:$D$91,$B$36),INDEX('Вводные'!$E$88:$E$91,$B$36)+INDEX('Вводные'!$F$88:$F$91,$B$36)+'Вводные'!$H$9),DF52,0)</x:f>
      </x:c>
      <x:c r="DG53" s="107" t="n">
        <x:f>IF(DG$3&lt;EDATE(INDEX('Вводные'!$D$88:$D$91,$B$36),INDEX('Вводные'!$E$88:$E$91,$B$36)+INDEX('Вводные'!$F$88:$F$91,$B$36)+'Вводные'!$H$9),DG52,0)</x:f>
      </x:c>
      <x:c r="DH53" s="107" t="n">
        <x:f>IF(DH$3&lt;EDATE(INDEX('Вводные'!$D$88:$D$91,$B$36),INDEX('Вводные'!$E$88:$E$91,$B$36)+INDEX('Вводные'!$F$88:$F$91,$B$36)+'Вводные'!$H$9),DH52,0)</x:f>
      </x:c>
      <x:c r="DI53" s="107" t="n">
        <x:f>IF(DI$3&lt;EDATE(INDEX('Вводные'!$D$88:$D$91,$B$36),INDEX('Вводные'!$E$88:$E$91,$B$36)+INDEX('Вводные'!$F$88:$F$91,$B$36)+'Вводные'!$H$9),DI52,0)</x:f>
      </x:c>
      <x:c r="DJ53" s="107" t="n">
        <x:f>IF(DJ$3&lt;EDATE(INDEX('Вводные'!$D$88:$D$91,$B$36),INDEX('Вводные'!$E$88:$E$91,$B$36)+INDEX('Вводные'!$F$88:$F$91,$B$36)+'Вводные'!$H$9),DJ52,0)</x:f>
      </x:c>
      <x:c r="DK53" s="107" t="n">
        <x:f>IF(DK$3&lt;EDATE(INDEX('Вводные'!$D$88:$D$91,$B$36),INDEX('Вводные'!$E$88:$E$91,$B$36)+INDEX('Вводные'!$F$88:$F$91,$B$36)+'Вводные'!$H$9),DK52,0)</x:f>
      </x:c>
      <x:c r="DL53" s="107" t="n">
        <x:f>IF(DL$3&lt;EDATE(INDEX('Вводные'!$D$88:$D$91,$B$36),INDEX('Вводные'!$E$88:$E$91,$B$36)+INDEX('Вводные'!$F$88:$F$91,$B$36)+'Вводные'!$H$9),DL52,0)</x:f>
      </x:c>
      <x:c r="DM53" s="107" t="n">
        <x:f>IF(DM$3&lt;EDATE(INDEX('Вводные'!$D$88:$D$91,$B$36),INDEX('Вводные'!$E$88:$E$91,$B$36)+INDEX('Вводные'!$F$88:$F$91,$B$36)+'Вводные'!$H$9),DM52,0)</x:f>
      </x:c>
      <x:c r="DN53" s="107" t="n">
        <x:f>IF(DN$3&lt;EDATE(INDEX('Вводные'!$D$88:$D$91,$B$36),INDEX('Вводные'!$E$88:$E$91,$B$36)+INDEX('Вводные'!$F$88:$F$91,$B$36)+'Вводные'!$H$9),DN52,0)</x:f>
      </x:c>
      <x:c r="DO53" s="107" t="n">
        <x:f>IF(DO$3&lt;EDATE(INDEX('Вводные'!$D$88:$D$91,$B$36),INDEX('Вводные'!$E$88:$E$91,$B$36)+INDEX('Вводные'!$F$88:$F$91,$B$36)+'Вводные'!$H$9),DO52,0)</x:f>
      </x:c>
      <x:c r="DP53" s="107" t="n">
        <x:f>IF(DP$3&lt;EDATE(INDEX('Вводные'!$D$88:$D$91,$B$36),INDEX('Вводные'!$E$88:$E$91,$B$36)+INDEX('Вводные'!$F$88:$F$91,$B$36)+'Вводные'!$H$9),DP52,0)</x:f>
      </x:c>
      <x:c r="DQ53" s="107" t="n">
        <x:f>IF(DQ$3&lt;EDATE(INDEX('Вводные'!$D$88:$D$91,$B$36),INDEX('Вводные'!$E$88:$E$91,$B$36)+INDEX('Вводные'!$F$88:$F$91,$B$36)+'Вводные'!$H$9),DQ52,0)</x:f>
      </x:c>
      <x:c r="DR53" s="107" t="n">
        <x:f>IF(DR$3&lt;EDATE(INDEX('Вводные'!$D$88:$D$91,$B$36),INDEX('Вводные'!$E$88:$E$91,$B$36)+INDEX('Вводные'!$F$88:$F$91,$B$36)+'Вводные'!$H$9),DR52,0)</x:f>
      </x:c>
      <x:c r="DS53" s="107" t="n">
        <x:f>IF(DS$3&lt;EDATE(INDEX('Вводные'!$D$88:$D$91,$B$36),INDEX('Вводные'!$E$88:$E$91,$B$36)+INDEX('Вводные'!$F$88:$F$91,$B$36)+'Вводные'!$H$9),DS52,0)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IF(D$3&gt;=EDATE(INDEX('Вводные'!$D$88:$D$91,$B$36),INDEX('Вводные'!$E$88:$E$91,$B$36)+INDEX('Вводные'!$F$88:$F$91,$B$36)+'Вводные'!$H$9),D52,0)</x:f>
      </x:c>
      <x:c r="E54" s="107" t="n">
        <x:f>IF(E$3&gt;=EDATE(INDEX('Вводные'!$D$88:$D$91,$B$36),INDEX('Вводные'!$E$88:$E$91,$B$36)+INDEX('Вводные'!$F$88:$F$91,$B$36)+'Вводные'!$H$9),E52,0)</x:f>
      </x:c>
      <x:c r="F54" s="107" t="n">
        <x:f>IF(F$3&gt;=EDATE(INDEX('Вводные'!$D$88:$D$91,$B$36),INDEX('Вводные'!$E$88:$E$91,$B$36)+INDEX('Вводные'!$F$88:$F$91,$B$36)+'Вводные'!$H$9),F52,0)</x:f>
      </x:c>
      <x:c r="G54" s="107" t="n">
        <x:f>IF(G$3&gt;=EDATE(INDEX('Вводные'!$D$88:$D$91,$B$36),INDEX('Вводные'!$E$88:$E$91,$B$36)+INDEX('Вводные'!$F$88:$F$91,$B$36)+'Вводные'!$H$9),G52,0)</x:f>
      </x:c>
      <x:c r="H54" s="107" t="n">
        <x:f>IF(H$3&gt;=EDATE(INDEX('Вводные'!$D$88:$D$91,$B$36),INDEX('Вводные'!$E$88:$E$91,$B$36)+INDEX('Вводные'!$F$88:$F$91,$B$36)+'Вводные'!$H$9),H52,0)</x:f>
      </x:c>
      <x:c r="I54" s="107" t="n">
        <x:f>IF(I$3&gt;=EDATE(INDEX('Вводные'!$D$88:$D$91,$B$36),INDEX('Вводные'!$E$88:$E$91,$B$36)+INDEX('Вводные'!$F$88:$F$91,$B$36)+'Вводные'!$H$9),I52,0)</x:f>
      </x:c>
      <x:c r="J54" s="107" t="n">
        <x:f>IF(J$3&gt;=EDATE(INDEX('Вводные'!$D$88:$D$91,$B$36),INDEX('Вводные'!$E$88:$E$91,$B$36)+INDEX('Вводные'!$F$88:$F$91,$B$36)+'Вводные'!$H$9),J52,0)</x:f>
      </x:c>
      <x:c r="K54" s="107" t="n">
        <x:f>IF(K$3&gt;=EDATE(INDEX('Вводные'!$D$88:$D$91,$B$36),INDEX('Вводные'!$E$88:$E$91,$B$36)+INDEX('Вводные'!$F$88:$F$91,$B$36)+'Вводные'!$H$9),K52,0)</x:f>
      </x:c>
      <x:c r="L54" s="107" t="n">
        <x:f>IF(L$3&gt;=EDATE(INDEX('Вводные'!$D$88:$D$91,$B$36),INDEX('Вводные'!$E$88:$E$91,$B$36)+INDEX('Вводные'!$F$88:$F$91,$B$36)+'Вводные'!$H$9),L52,0)</x:f>
      </x:c>
      <x:c r="M54" s="107" t="n">
        <x:f>IF(M$3&gt;=EDATE(INDEX('Вводные'!$D$88:$D$91,$B$36),INDEX('Вводные'!$E$88:$E$91,$B$36)+INDEX('Вводные'!$F$88:$F$91,$B$36)+'Вводные'!$H$9),M52,0)</x:f>
      </x:c>
      <x:c r="N54" s="107" t="n">
        <x:f>IF(N$3&gt;=EDATE(INDEX('Вводные'!$D$88:$D$91,$B$36),INDEX('Вводные'!$E$88:$E$91,$B$36)+INDEX('Вводные'!$F$88:$F$91,$B$36)+'Вводные'!$H$9),N52,0)</x:f>
      </x:c>
      <x:c r="O54" s="107" t="n">
        <x:f>IF(O$3&gt;=EDATE(INDEX('Вводные'!$D$88:$D$91,$B$36),INDEX('Вводные'!$E$88:$E$91,$B$36)+INDEX('Вводные'!$F$88:$F$91,$B$36)+'Вводные'!$H$9),O52,0)</x:f>
      </x:c>
      <x:c r="P54" s="107" t="n">
        <x:f>IF(P$3&gt;=EDATE(INDEX('Вводные'!$D$88:$D$91,$B$36),INDEX('Вводные'!$E$88:$E$91,$B$36)+INDEX('Вводные'!$F$88:$F$91,$B$36)+'Вводные'!$H$9),P52,0)</x:f>
      </x:c>
      <x:c r="Q54" s="107" t="n">
        <x:f>IF(Q$3&gt;=EDATE(INDEX('Вводные'!$D$88:$D$91,$B$36),INDEX('Вводные'!$E$88:$E$91,$B$36)+INDEX('Вводные'!$F$88:$F$91,$B$36)+'Вводные'!$H$9),Q52,0)</x:f>
      </x:c>
      <x:c r="R54" s="107" t="n">
        <x:f>IF(R$3&gt;=EDATE(INDEX('Вводные'!$D$88:$D$91,$B$36),INDEX('Вводные'!$E$88:$E$91,$B$36)+INDEX('Вводные'!$F$88:$F$91,$B$36)+'Вводные'!$H$9),R52,0)</x:f>
      </x:c>
      <x:c r="S54" s="107" t="n">
        <x:f>IF(S$3&gt;=EDATE(INDEX('Вводные'!$D$88:$D$91,$B$36),INDEX('Вводные'!$E$88:$E$91,$B$36)+INDEX('Вводные'!$F$88:$F$91,$B$36)+'Вводные'!$H$9),S52,0)</x:f>
      </x:c>
      <x:c r="T54" s="107" t="n">
        <x:f>IF(T$3&gt;=EDATE(INDEX('Вводные'!$D$88:$D$91,$B$36),INDEX('Вводные'!$E$88:$E$91,$B$36)+INDEX('Вводные'!$F$88:$F$91,$B$36)+'Вводные'!$H$9),T52,0)</x:f>
      </x:c>
      <x:c r="U54" s="107" t="n">
        <x:f>IF(U$3&gt;=EDATE(INDEX('Вводные'!$D$88:$D$91,$B$36),INDEX('Вводные'!$E$88:$E$91,$B$36)+INDEX('Вводные'!$F$88:$F$91,$B$36)+'Вводные'!$H$9),U52,0)</x:f>
      </x:c>
      <x:c r="V54" s="107" t="n">
        <x:f>IF(V$3&gt;=EDATE(INDEX('Вводные'!$D$88:$D$91,$B$36),INDEX('Вводные'!$E$88:$E$91,$B$36)+INDEX('Вводные'!$F$88:$F$91,$B$36)+'Вводные'!$H$9),V52,0)</x:f>
      </x:c>
      <x:c r="W54" s="107" t="n">
        <x:f>IF(W$3&gt;=EDATE(INDEX('Вводные'!$D$88:$D$91,$B$36),INDEX('Вводные'!$E$88:$E$91,$B$36)+INDEX('Вводные'!$F$88:$F$91,$B$36)+'Вводные'!$H$9),W52,0)</x:f>
      </x:c>
      <x:c r="X54" s="107" t="n">
        <x:f>IF(X$3&gt;=EDATE(INDEX('Вводные'!$D$88:$D$91,$B$36),INDEX('Вводные'!$E$88:$E$91,$B$36)+INDEX('Вводные'!$F$88:$F$91,$B$36)+'Вводные'!$H$9),X52,0)</x:f>
      </x:c>
      <x:c r="Y54" s="107" t="n">
        <x:f>IF(Y$3&gt;=EDATE(INDEX('Вводные'!$D$88:$D$91,$B$36),INDEX('Вводные'!$E$88:$E$91,$B$36)+INDEX('Вводные'!$F$88:$F$91,$B$36)+'Вводные'!$H$9),Y52,0)</x:f>
      </x:c>
      <x:c r="Z54" s="107" t="n">
        <x:f>IF(Z$3&gt;=EDATE(INDEX('Вводные'!$D$88:$D$91,$B$36),INDEX('Вводные'!$E$88:$E$91,$B$36)+INDEX('Вводные'!$F$88:$F$91,$B$36)+'Вводные'!$H$9),Z52,0)</x:f>
      </x:c>
      <x:c r="AA54" s="107" t="n">
        <x:f>IF(AA$3&gt;=EDATE(INDEX('Вводные'!$D$88:$D$91,$B$36),INDEX('Вводные'!$E$88:$E$91,$B$36)+INDEX('Вводные'!$F$88:$F$91,$B$36)+'Вводные'!$H$9),AA52,0)</x:f>
      </x:c>
      <x:c r="AB54" s="107" t="n">
        <x:f>IF(AB$3&gt;=EDATE(INDEX('Вводные'!$D$88:$D$91,$B$36),INDEX('Вводные'!$E$88:$E$91,$B$36)+INDEX('Вводные'!$F$88:$F$91,$B$36)+'Вводные'!$H$9),AB52,0)</x:f>
      </x:c>
      <x:c r="AC54" s="107" t="n">
        <x:f>IF(AC$3&gt;=EDATE(INDEX('Вводные'!$D$88:$D$91,$B$36),INDEX('Вводные'!$E$88:$E$91,$B$36)+INDEX('Вводные'!$F$88:$F$91,$B$36)+'Вводные'!$H$9),AC52,0)</x:f>
      </x:c>
      <x:c r="AD54" s="107" t="n">
        <x:f>IF(AD$3&gt;=EDATE(INDEX('Вводные'!$D$88:$D$91,$B$36),INDEX('Вводные'!$E$88:$E$91,$B$36)+INDEX('Вводные'!$F$88:$F$91,$B$36)+'Вводные'!$H$9),AD52,0)</x:f>
      </x:c>
      <x:c r="AE54" s="107" t="n">
        <x:f>IF(AE$3&gt;=EDATE(INDEX('Вводные'!$D$88:$D$91,$B$36),INDEX('Вводные'!$E$88:$E$91,$B$36)+INDEX('Вводные'!$F$88:$F$91,$B$36)+'Вводные'!$H$9),AE52,0)</x:f>
      </x:c>
      <x:c r="AF54" s="107" t="n">
        <x:f>IF(AF$3&gt;=EDATE(INDEX('Вводные'!$D$88:$D$91,$B$36),INDEX('Вводные'!$E$88:$E$91,$B$36)+INDEX('Вводные'!$F$88:$F$91,$B$36)+'Вводные'!$H$9),AF52,0)</x:f>
      </x:c>
      <x:c r="AG54" s="107" t="n">
        <x:f>IF(AG$3&gt;=EDATE(INDEX('Вводные'!$D$88:$D$91,$B$36),INDEX('Вводные'!$E$88:$E$91,$B$36)+INDEX('Вводные'!$F$88:$F$91,$B$36)+'Вводные'!$H$9),AG52,0)</x:f>
      </x:c>
      <x:c r="AH54" s="107" t="n">
        <x:f>IF(AH$3&gt;=EDATE(INDEX('Вводные'!$D$88:$D$91,$B$36),INDEX('Вводные'!$E$88:$E$91,$B$36)+INDEX('Вводные'!$F$88:$F$91,$B$36)+'Вводные'!$H$9),AH52,0)</x:f>
      </x:c>
      <x:c r="AI54" s="107" t="n">
        <x:f>IF(AI$3&gt;=EDATE(INDEX('Вводные'!$D$88:$D$91,$B$36),INDEX('Вводные'!$E$88:$E$91,$B$36)+INDEX('Вводные'!$F$88:$F$91,$B$36)+'Вводные'!$H$9),AI52,0)</x:f>
      </x:c>
      <x:c r="AJ54" s="107" t="n">
        <x:f>IF(AJ$3&gt;=EDATE(INDEX('Вводные'!$D$88:$D$91,$B$36),INDEX('Вводные'!$E$88:$E$91,$B$36)+INDEX('Вводные'!$F$88:$F$91,$B$36)+'Вводные'!$H$9),AJ52,0)</x:f>
      </x:c>
      <x:c r="AK54" s="107" t="n">
        <x:f>IF(AK$3&gt;=EDATE(INDEX('Вводные'!$D$88:$D$91,$B$36),INDEX('Вводные'!$E$88:$E$91,$B$36)+INDEX('Вводные'!$F$88:$F$91,$B$36)+'Вводные'!$H$9),AK52,0)</x:f>
      </x:c>
      <x:c r="AL54" s="107" t="n">
        <x:f>IF(AL$3&gt;=EDATE(INDEX('Вводные'!$D$88:$D$91,$B$36),INDEX('Вводные'!$E$88:$E$91,$B$36)+INDEX('Вводные'!$F$88:$F$91,$B$36)+'Вводные'!$H$9),AL52,0)</x:f>
      </x:c>
      <x:c r="AM54" s="107" t="n">
        <x:f>IF(AM$3&gt;=EDATE(INDEX('Вводные'!$D$88:$D$91,$B$36),INDEX('Вводные'!$E$88:$E$91,$B$36)+INDEX('Вводные'!$F$88:$F$91,$B$36)+'Вводные'!$H$9),AM52,0)</x:f>
      </x:c>
      <x:c r="AN54" s="107" t="n">
        <x:f>IF(AN$3&gt;=EDATE(INDEX('Вводные'!$D$88:$D$91,$B$36),INDEX('Вводные'!$E$88:$E$91,$B$36)+INDEX('Вводные'!$F$88:$F$91,$B$36)+'Вводные'!$H$9),AN52,0)</x:f>
      </x:c>
      <x:c r="AO54" s="107" t="n">
        <x:f>IF(AO$3&gt;=EDATE(INDEX('Вводные'!$D$88:$D$91,$B$36),INDEX('Вводные'!$E$88:$E$91,$B$36)+INDEX('Вводные'!$F$88:$F$91,$B$36)+'Вводные'!$H$9),AO52,0)</x:f>
      </x:c>
      <x:c r="AP54" s="107" t="n">
        <x:f>IF(AP$3&gt;=EDATE(INDEX('Вводные'!$D$88:$D$91,$B$36),INDEX('Вводные'!$E$88:$E$91,$B$36)+INDEX('Вводные'!$F$88:$F$91,$B$36)+'Вводные'!$H$9),AP52,0)</x:f>
      </x:c>
      <x:c r="AQ54" s="107" t="n">
        <x:f>IF(AQ$3&gt;=EDATE(INDEX('Вводные'!$D$88:$D$91,$B$36),INDEX('Вводные'!$E$88:$E$91,$B$36)+INDEX('Вводные'!$F$88:$F$91,$B$36)+'Вводные'!$H$9),AQ52,0)</x:f>
      </x:c>
      <x:c r="AR54" s="107" t="n">
        <x:f>IF(AR$3&gt;=EDATE(INDEX('Вводные'!$D$88:$D$91,$B$36),INDEX('Вводные'!$E$88:$E$91,$B$36)+INDEX('Вводные'!$F$88:$F$91,$B$36)+'Вводные'!$H$9),AR52,0)</x:f>
      </x:c>
      <x:c r="AS54" s="107" t="n">
        <x:f>IF(AS$3&gt;=EDATE(INDEX('Вводные'!$D$88:$D$91,$B$36),INDEX('Вводные'!$E$88:$E$91,$B$36)+INDEX('Вводные'!$F$88:$F$91,$B$36)+'Вводные'!$H$9),AS52,0)</x:f>
      </x:c>
      <x:c r="AT54" s="107" t="n">
        <x:f>IF(AT$3&gt;=EDATE(INDEX('Вводные'!$D$88:$D$91,$B$36),INDEX('Вводные'!$E$88:$E$91,$B$36)+INDEX('Вводные'!$F$88:$F$91,$B$36)+'Вводные'!$H$9),AT52,0)</x:f>
      </x:c>
      <x:c r="AU54" s="107" t="n">
        <x:f>IF(AU$3&gt;=EDATE(INDEX('Вводные'!$D$88:$D$91,$B$36),INDEX('Вводные'!$E$88:$E$91,$B$36)+INDEX('Вводные'!$F$88:$F$91,$B$36)+'Вводные'!$H$9),AU52,0)</x:f>
      </x:c>
      <x:c r="AV54" s="107" t="n">
        <x:f>IF(AV$3&gt;=EDATE(INDEX('Вводные'!$D$88:$D$91,$B$36),INDEX('Вводные'!$E$88:$E$91,$B$36)+INDEX('Вводные'!$F$88:$F$91,$B$36)+'Вводные'!$H$9),AV52,0)</x:f>
      </x:c>
      <x:c r="AW54" s="107" t="n">
        <x:f>IF(AW$3&gt;=EDATE(INDEX('Вводные'!$D$88:$D$91,$B$36),INDEX('Вводные'!$E$88:$E$91,$B$36)+INDEX('Вводные'!$F$88:$F$91,$B$36)+'Вводные'!$H$9),AW52,0)</x:f>
      </x:c>
      <x:c r="AX54" s="107" t="n">
        <x:f>IF(AX$3&gt;=EDATE(INDEX('Вводные'!$D$88:$D$91,$B$36),INDEX('Вводные'!$E$88:$E$91,$B$36)+INDEX('Вводные'!$F$88:$F$91,$B$36)+'Вводные'!$H$9),AX52,0)</x:f>
      </x:c>
      <x:c r="AY54" s="107" t="n">
        <x:f>IF(AY$3&gt;=EDATE(INDEX('Вводные'!$D$88:$D$91,$B$36),INDEX('Вводные'!$E$88:$E$91,$B$36)+INDEX('Вводные'!$F$88:$F$91,$B$36)+'Вводные'!$H$9),AY52,0)</x:f>
      </x:c>
      <x:c r="AZ54" s="107" t="n">
        <x:f>IF(AZ$3&gt;=EDATE(INDEX('Вводные'!$D$88:$D$91,$B$36),INDEX('Вводные'!$E$88:$E$91,$B$36)+INDEX('Вводные'!$F$88:$F$91,$B$36)+'Вводные'!$H$9),AZ52,0)</x:f>
      </x:c>
      <x:c r="BA54" s="107" t="n">
        <x:f>IF(BA$3&gt;=EDATE(INDEX('Вводные'!$D$88:$D$91,$B$36),INDEX('Вводные'!$E$88:$E$91,$B$36)+INDEX('Вводные'!$F$88:$F$91,$B$36)+'Вводные'!$H$9),BA52,0)</x:f>
      </x:c>
      <x:c r="BB54" s="107" t="n">
        <x:f>IF(BB$3&gt;=EDATE(INDEX('Вводные'!$D$88:$D$91,$B$36),INDEX('Вводные'!$E$88:$E$91,$B$36)+INDEX('Вводные'!$F$88:$F$91,$B$36)+'Вводные'!$H$9),BB52,0)</x:f>
      </x:c>
      <x:c r="BC54" s="107" t="n">
        <x:f>IF(BC$3&gt;=EDATE(INDEX('Вводные'!$D$88:$D$91,$B$36),INDEX('Вводные'!$E$88:$E$91,$B$36)+INDEX('Вводные'!$F$88:$F$91,$B$36)+'Вводные'!$H$9),BC52,0)</x:f>
      </x:c>
      <x:c r="BD54" s="107" t="n">
        <x:f>IF(BD$3&gt;=EDATE(INDEX('Вводные'!$D$88:$D$91,$B$36),INDEX('Вводные'!$E$88:$E$91,$B$36)+INDEX('Вводные'!$F$88:$F$91,$B$36)+'Вводные'!$H$9),BD52,0)</x:f>
      </x:c>
      <x:c r="BE54" s="107" t="n">
        <x:f>IF(BE$3&gt;=EDATE(INDEX('Вводные'!$D$88:$D$91,$B$36),INDEX('Вводные'!$E$88:$E$91,$B$36)+INDEX('Вводные'!$F$88:$F$91,$B$36)+'Вводные'!$H$9),BE52,0)</x:f>
      </x:c>
      <x:c r="BF54" s="107" t="n">
        <x:f>IF(BF$3&gt;=EDATE(INDEX('Вводные'!$D$88:$D$91,$B$36),INDEX('Вводные'!$E$88:$E$91,$B$36)+INDEX('Вводные'!$F$88:$F$91,$B$36)+'Вводные'!$H$9),BF52,0)</x:f>
      </x:c>
      <x:c r="BG54" s="107" t="n">
        <x:f>IF(BG$3&gt;=EDATE(INDEX('Вводные'!$D$88:$D$91,$B$36),INDEX('Вводные'!$E$88:$E$91,$B$36)+INDEX('Вводные'!$F$88:$F$91,$B$36)+'Вводные'!$H$9),BG52,0)</x:f>
      </x:c>
      <x:c r="BH54" s="107" t="n">
        <x:f>IF(BH$3&gt;=EDATE(INDEX('Вводные'!$D$88:$D$91,$B$36),INDEX('Вводные'!$E$88:$E$91,$B$36)+INDEX('Вводные'!$F$88:$F$91,$B$36)+'Вводные'!$H$9),BH52,0)</x:f>
      </x:c>
      <x:c r="BI54" s="107" t="n">
        <x:f>IF(BI$3&gt;=EDATE(INDEX('Вводные'!$D$88:$D$91,$B$36),INDEX('Вводные'!$E$88:$E$91,$B$36)+INDEX('Вводные'!$F$88:$F$91,$B$36)+'Вводные'!$H$9),BI52,0)</x:f>
      </x:c>
      <x:c r="BJ54" s="107" t="n">
        <x:f>IF(BJ$3&gt;=EDATE(INDEX('Вводные'!$D$88:$D$91,$B$36),INDEX('Вводные'!$E$88:$E$91,$B$36)+INDEX('Вводные'!$F$88:$F$91,$B$36)+'Вводные'!$H$9),BJ52,0)</x:f>
      </x:c>
      <x:c r="BK54" s="107" t="n">
        <x:f>IF(BK$3&gt;=EDATE(INDEX('Вводные'!$D$88:$D$91,$B$36),INDEX('Вводные'!$E$88:$E$91,$B$36)+INDEX('Вводные'!$F$88:$F$91,$B$36)+'Вводные'!$H$9),BK52,0)</x:f>
      </x:c>
      <x:c r="BL54" s="107" t="n">
        <x:f>IF(BL$3&gt;=EDATE(INDEX('Вводные'!$D$88:$D$91,$B$36),INDEX('Вводные'!$E$88:$E$91,$B$36)+INDEX('Вводные'!$F$88:$F$91,$B$36)+'Вводные'!$H$9),BL52,0)</x:f>
      </x:c>
      <x:c r="BM54" s="107" t="n">
        <x:f>IF(BM$3&gt;=EDATE(INDEX('Вводные'!$D$88:$D$91,$B$36),INDEX('Вводные'!$E$88:$E$91,$B$36)+INDEX('Вводные'!$F$88:$F$91,$B$36)+'Вводные'!$H$9),BM52,0)</x:f>
      </x:c>
      <x:c r="BN54" s="107" t="n">
        <x:f>IF(BN$3&gt;=EDATE(INDEX('Вводные'!$D$88:$D$91,$B$36),INDEX('Вводные'!$E$88:$E$91,$B$36)+INDEX('Вводные'!$F$88:$F$91,$B$36)+'Вводные'!$H$9),BN52,0)</x:f>
      </x:c>
      <x:c r="BO54" s="107" t="n">
        <x:f>IF(BO$3&gt;=EDATE(INDEX('Вводные'!$D$88:$D$91,$B$36),INDEX('Вводные'!$E$88:$E$91,$B$36)+INDEX('Вводные'!$F$88:$F$91,$B$36)+'Вводные'!$H$9),BO52,0)</x:f>
      </x:c>
      <x:c r="BP54" s="107" t="n">
        <x:f>IF(BP$3&gt;=EDATE(INDEX('Вводные'!$D$88:$D$91,$B$36),INDEX('Вводные'!$E$88:$E$91,$B$36)+INDEX('Вводные'!$F$88:$F$91,$B$36)+'Вводные'!$H$9),BP52,0)</x:f>
      </x:c>
      <x:c r="BQ54" s="107" t="n">
        <x:f>IF(BQ$3&gt;=EDATE(INDEX('Вводные'!$D$88:$D$91,$B$36),INDEX('Вводные'!$E$88:$E$91,$B$36)+INDEX('Вводные'!$F$88:$F$91,$B$36)+'Вводные'!$H$9),BQ52,0)</x:f>
      </x:c>
      <x:c r="BR54" s="107" t="n">
        <x:f>IF(BR$3&gt;=EDATE(INDEX('Вводные'!$D$88:$D$91,$B$36),INDEX('Вводные'!$E$88:$E$91,$B$36)+INDEX('Вводные'!$F$88:$F$91,$B$36)+'Вводные'!$H$9),BR52,0)</x:f>
      </x:c>
      <x:c r="BS54" s="107" t="n">
        <x:f>IF(BS$3&gt;=EDATE(INDEX('Вводные'!$D$88:$D$91,$B$36),INDEX('Вводные'!$E$88:$E$91,$B$36)+INDEX('Вводные'!$F$88:$F$91,$B$36)+'Вводные'!$H$9),BS52,0)</x:f>
      </x:c>
      <x:c r="BT54" s="107" t="n">
        <x:f>IF(BT$3&gt;=EDATE(INDEX('Вводные'!$D$88:$D$91,$B$36),INDEX('Вводные'!$E$88:$E$91,$B$36)+INDEX('Вводные'!$F$88:$F$91,$B$36)+'Вводные'!$H$9),BT52,0)</x:f>
      </x:c>
      <x:c r="BU54" s="107" t="n">
        <x:f>IF(BU$3&gt;=EDATE(INDEX('Вводные'!$D$88:$D$91,$B$36),INDEX('Вводные'!$E$88:$E$91,$B$36)+INDEX('Вводные'!$F$88:$F$91,$B$36)+'Вводные'!$H$9),BU52,0)</x:f>
      </x:c>
      <x:c r="BV54" s="107" t="n">
        <x:f>IF(BV$3&gt;=EDATE(INDEX('Вводные'!$D$88:$D$91,$B$36),INDEX('Вводные'!$E$88:$E$91,$B$36)+INDEX('Вводные'!$F$88:$F$91,$B$36)+'Вводные'!$H$9),BV52,0)</x:f>
      </x:c>
      <x:c r="BW54" s="107" t="n">
        <x:f>IF(BW$3&gt;=EDATE(INDEX('Вводные'!$D$88:$D$91,$B$36),INDEX('Вводные'!$E$88:$E$91,$B$36)+INDEX('Вводные'!$F$88:$F$91,$B$36)+'Вводные'!$H$9),BW52,0)</x:f>
      </x:c>
      <x:c r="BX54" s="107" t="n">
        <x:f>IF(BX$3&gt;=EDATE(INDEX('Вводные'!$D$88:$D$91,$B$36),INDEX('Вводные'!$E$88:$E$91,$B$36)+INDEX('Вводные'!$F$88:$F$91,$B$36)+'Вводные'!$H$9),BX52,0)</x:f>
      </x:c>
      <x:c r="BY54" s="107" t="n">
        <x:f>IF(BY$3&gt;=EDATE(INDEX('Вводные'!$D$88:$D$91,$B$36),INDEX('Вводные'!$E$88:$E$91,$B$36)+INDEX('Вводные'!$F$88:$F$91,$B$36)+'Вводные'!$H$9),BY52,0)</x:f>
      </x:c>
      <x:c r="BZ54" s="107" t="n">
        <x:f>IF(BZ$3&gt;=EDATE(INDEX('Вводные'!$D$88:$D$91,$B$36),INDEX('Вводные'!$E$88:$E$91,$B$36)+INDEX('Вводные'!$F$88:$F$91,$B$36)+'Вводные'!$H$9),BZ52,0)</x:f>
      </x:c>
      <x:c r="CA54" s="107" t="n">
        <x:f>IF(CA$3&gt;=EDATE(INDEX('Вводные'!$D$88:$D$91,$B$36),INDEX('Вводные'!$E$88:$E$91,$B$36)+INDEX('Вводные'!$F$88:$F$91,$B$36)+'Вводные'!$H$9),CA52,0)</x:f>
      </x:c>
      <x:c r="CB54" s="107" t="n">
        <x:f>IF(CB$3&gt;=EDATE(INDEX('Вводные'!$D$88:$D$91,$B$36),INDEX('Вводные'!$E$88:$E$91,$B$36)+INDEX('Вводные'!$F$88:$F$91,$B$36)+'Вводные'!$H$9),CB52,0)</x:f>
      </x:c>
      <x:c r="CC54" s="107" t="n">
        <x:f>IF(CC$3&gt;=EDATE(INDEX('Вводные'!$D$88:$D$91,$B$36),INDEX('Вводные'!$E$88:$E$91,$B$36)+INDEX('Вводные'!$F$88:$F$91,$B$36)+'Вводные'!$H$9),CC52,0)</x:f>
      </x:c>
      <x:c r="CD54" s="107" t="n">
        <x:f>IF(CD$3&gt;=EDATE(INDEX('Вводные'!$D$88:$D$91,$B$36),INDEX('Вводные'!$E$88:$E$91,$B$36)+INDEX('Вводные'!$F$88:$F$91,$B$36)+'Вводные'!$H$9),CD52,0)</x:f>
      </x:c>
      <x:c r="CE54" s="107" t="n">
        <x:f>IF(CE$3&gt;=EDATE(INDEX('Вводные'!$D$88:$D$91,$B$36),INDEX('Вводные'!$E$88:$E$91,$B$36)+INDEX('Вводные'!$F$88:$F$91,$B$36)+'Вводные'!$H$9),CE52,0)</x:f>
      </x:c>
      <x:c r="CF54" s="107" t="n">
        <x:f>IF(CF$3&gt;=EDATE(INDEX('Вводные'!$D$88:$D$91,$B$36),INDEX('Вводные'!$E$88:$E$91,$B$36)+INDEX('Вводные'!$F$88:$F$91,$B$36)+'Вводные'!$H$9),CF52,0)</x:f>
      </x:c>
      <x:c r="CG54" s="107" t="n">
        <x:f>IF(CG$3&gt;=EDATE(INDEX('Вводные'!$D$88:$D$91,$B$36),INDEX('Вводные'!$E$88:$E$91,$B$36)+INDEX('Вводные'!$F$88:$F$91,$B$36)+'Вводные'!$H$9),CG52,0)</x:f>
      </x:c>
      <x:c r="CH54" s="107" t="n">
        <x:f>IF(CH$3&gt;=EDATE(INDEX('Вводные'!$D$88:$D$91,$B$36),INDEX('Вводные'!$E$88:$E$91,$B$36)+INDEX('Вводные'!$F$88:$F$91,$B$36)+'Вводные'!$H$9),CH52,0)</x:f>
      </x:c>
      <x:c r="CI54" s="107" t="n">
        <x:f>IF(CI$3&gt;=EDATE(INDEX('Вводные'!$D$88:$D$91,$B$36),INDEX('Вводные'!$E$88:$E$91,$B$36)+INDEX('Вводные'!$F$88:$F$91,$B$36)+'Вводные'!$H$9),CI52,0)</x:f>
      </x:c>
      <x:c r="CJ54" s="107" t="n">
        <x:f>IF(CJ$3&gt;=EDATE(INDEX('Вводные'!$D$88:$D$91,$B$36),INDEX('Вводные'!$E$88:$E$91,$B$36)+INDEX('Вводные'!$F$88:$F$91,$B$36)+'Вводные'!$H$9),CJ52,0)</x:f>
      </x:c>
      <x:c r="CK54" s="107" t="n">
        <x:f>IF(CK$3&gt;=EDATE(INDEX('Вводные'!$D$88:$D$91,$B$36),INDEX('Вводные'!$E$88:$E$91,$B$36)+INDEX('Вводные'!$F$88:$F$91,$B$36)+'Вводные'!$H$9),CK52,0)</x:f>
      </x:c>
      <x:c r="CL54" s="107" t="n">
        <x:f>IF(CL$3&gt;=EDATE(INDEX('Вводные'!$D$88:$D$91,$B$36),INDEX('Вводные'!$E$88:$E$91,$B$36)+INDEX('Вводные'!$F$88:$F$91,$B$36)+'Вводные'!$H$9),CL52,0)</x:f>
      </x:c>
      <x:c r="CM54" s="107" t="n">
        <x:f>IF(CM$3&gt;=EDATE(INDEX('Вводные'!$D$88:$D$91,$B$36),INDEX('Вводные'!$E$88:$E$91,$B$36)+INDEX('Вводные'!$F$88:$F$91,$B$36)+'Вводные'!$H$9),CM52,0)</x:f>
      </x:c>
      <x:c r="CN54" s="107" t="n">
        <x:f>IF(CN$3&gt;=EDATE(INDEX('Вводные'!$D$88:$D$91,$B$36),INDEX('Вводные'!$E$88:$E$91,$B$36)+INDEX('Вводные'!$F$88:$F$91,$B$36)+'Вводные'!$H$9),CN52,0)</x:f>
      </x:c>
      <x:c r="CO54" s="107" t="n">
        <x:f>IF(CO$3&gt;=EDATE(INDEX('Вводные'!$D$88:$D$91,$B$36),INDEX('Вводные'!$E$88:$E$91,$B$36)+INDEX('Вводные'!$F$88:$F$91,$B$36)+'Вводные'!$H$9),CO52,0)</x:f>
      </x:c>
      <x:c r="CP54" s="107" t="n">
        <x:f>IF(CP$3&gt;=EDATE(INDEX('Вводные'!$D$88:$D$91,$B$36),INDEX('Вводные'!$E$88:$E$91,$B$36)+INDEX('Вводные'!$F$88:$F$91,$B$36)+'Вводные'!$H$9),CP52,0)</x:f>
      </x:c>
      <x:c r="CQ54" s="107" t="n">
        <x:f>IF(CQ$3&gt;=EDATE(INDEX('Вводные'!$D$88:$D$91,$B$36),INDEX('Вводные'!$E$88:$E$91,$B$36)+INDEX('Вводные'!$F$88:$F$91,$B$36)+'Вводные'!$H$9),CQ52,0)</x:f>
      </x:c>
      <x:c r="CR54" s="107" t="n">
        <x:f>IF(CR$3&gt;=EDATE(INDEX('Вводные'!$D$88:$D$91,$B$36),INDEX('Вводные'!$E$88:$E$91,$B$36)+INDEX('Вводные'!$F$88:$F$91,$B$36)+'Вводные'!$H$9),CR52,0)</x:f>
      </x:c>
      <x:c r="CS54" s="107" t="n">
        <x:f>IF(CS$3&gt;=EDATE(INDEX('Вводные'!$D$88:$D$91,$B$36),INDEX('Вводные'!$E$88:$E$91,$B$36)+INDEX('Вводные'!$F$88:$F$91,$B$36)+'Вводные'!$H$9),CS52,0)</x:f>
      </x:c>
      <x:c r="CT54" s="107" t="n">
        <x:f>IF(CT$3&gt;=EDATE(INDEX('Вводные'!$D$88:$D$91,$B$36),INDEX('Вводные'!$E$88:$E$91,$B$36)+INDEX('Вводные'!$F$88:$F$91,$B$36)+'Вводные'!$H$9),CT52,0)</x:f>
      </x:c>
      <x:c r="CU54" s="107" t="n">
        <x:f>IF(CU$3&gt;=EDATE(INDEX('Вводные'!$D$88:$D$91,$B$36),INDEX('Вводные'!$E$88:$E$91,$B$36)+INDEX('Вводные'!$F$88:$F$91,$B$36)+'Вводные'!$H$9),CU52,0)</x:f>
      </x:c>
      <x:c r="CV54" s="107" t="n">
        <x:f>IF(CV$3&gt;=EDATE(INDEX('Вводные'!$D$88:$D$91,$B$36),INDEX('Вводные'!$E$88:$E$91,$B$36)+INDEX('Вводные'!$F$88:$F$91,$B$36)+'Вводные'!$H$9),CV52,0)</x:f>
      </x:c>
      <x:c r="CW54" s="107" t="n">
        <x:f>IF(CW$3&gt;=EDATE(INDEX('Вводные'!$D$88:$D$91,$B$36),INDEX('Вводные'!$E$88:$E$91,$B$36)+INDEX('Вводные'!$F$88:$F$91,$B$36)+'Вводные'!$H$9),CW52,0)</x:f>
      </x:c>
      <x:c r="CX54" s="107" t="n">
        <x:f>IF(CX$3&gt;=EDATE(INDEX('Вводные'!$D$88:$D$91,$B$36),INDEX('Вводные'!$E$88:$E$91,$B$36)+INDEX('Вводные'!$F$88:$F$91,$B$36)+'Вводные'!$H$9),CX52,0)</x:f>
      </x:c>
      <x:c r="CY54" s="107" t="n">
        <x:f>IF(CY$3&gt;=EDATE(INDEX('Вводные'!$D$88:$D$91,$B$36),INDEX('Вводные'!$E$88:$E$91,$B$36)+INDEX('Вводные'!$F$88:$F$91,$B$36)+'Вводные'!$H$9),CY52,0)</x:f>
      </x:c>
      <x:c r="CZ54" s="107" t="n">
        <x:f>IF(CZ$3&gt;=EDATE(INDEX('Вводные'!$D$88:$D$91,$B$36),INDEX('Вводные'!$E$88:$E$91,$B$36)+INDEX('Вводные'!$F$88:$F$91,$B$36)+'Вводные'!$H$9),CZ52,0)</x:f>
      </x:c>
      <x:c r="DA54" s="107" t="n">
        <x:f>IF(DA$3&gt;=EDATE(INDEX('Вводные'!$D$88:$D$91,$B$36),INDEX('Вводные'!$E$88:$E$91,$B$36)+INDEX('Вводные'!$F$88:$F$91,$B$36)+'Вводные'!$H$9),DA52,0)</x:f>
      </x:c>
      <x:c r="DB54" s="107" t="n">
        <x:f>IF(DB$3&gt;=EDATE(INDEX('Вводные'!$D$88:$D$91,$B$36),INDEX('Вводные'!$E$88:$E$91,$B$36)+INDEX('Вводные'!$F$88:$F$91,$B$36)+'Вводные'!$H$9),DB52,0)</x:f>
      </x:c>
      <x:c r="DC54" s="107" t="n">
        <x:f>IF(DC$3&gt;=EDATE(INDEX('Вводные'!$D$88:$D$91,$B$36),INDEX('Вводные'!$E$88:$E$91,$B$36)+INDEX('Вводные'!$F$88:$F$91,$B$36)+'Вводные'!$H$9),DC52,0)</x:f>
      </x:c>
      <x:c r="DD54" s="107" t="n">
        <x:f>IF(DD$3&gt;=EDATE(INDEX('Вводные'!$D$88:$D$91,$B$36),INDEX('Вводные'!$E$88:$E$91,$B$36)+INDEX('Вводные'!$F$88:$F$91,$B$36)+'Вводные'!$H$9),DD52,0)</x:f>
      </x:c>
      <x:c r="DE54" s="107" t="n">
        <x:f>IF(DE$3&gt;=EDATE(INDEX('Вводные'!$D$88:$D$91,$B$36),INDEX('Вводные'!$E$88:$E$91,$B$36)+INDEX('Вводные'!$F$88:$F$91,$B$36)+'Вводные'!$H$9),DE52,0)</x:f>
      </x:c>
      <x:c r="DF54" s="107" t="n">
        <x:f>IF(DF$3&gt;=EDATE(INDEX('Вводные'!$D$88:$D$91,$B$36),INDEX('Вводные'!$E$88:$E$91,$B$36)+INDEX('Вводные'!$F$88:$F$91,$B$36)+'Вводные'!$H$9),DF52,0)</x:f>
      </x:c>
      <x:c r="DG54" s="107" t="n">
        <x:f>IF(DG$3&gt;=EDATE(INDEX('Вводные'!$D$88:$D$91,$B$36),INDEX('Вводные'!$E$88:$E$91,$B$36)+INDEX('Вводные'!$F$88:$F$91,$B$36)+'Вводные'!$H$9),DG52,0)</x:f>
      </x:c>
      <x:c r="DH54" s="107" t="n">
        <x:f>IF(DH$3&gt;=EDATE(INDEX('Вводные'!$D$88:$D$91,$B$36),INDEX('Вводные'!$E$88:$E$91,$B$36)+INDEX('Вводные'!$F$88:$F$91,$B$36)+'Вводные'!$H$9),DH52,0)</x:f>
      </x:c>
      <x:c r="DI54" s="107" t="n">
        <x:f>IF(DI$3&gt;=EDATE(INDEX('Вводные'!$D$88:$D$91,$B$36),INDEX('Вводные'!$E$88:$E$91,$B$36)+INDEX('Вводные'!$F$88:$F$91,$B$36)+'Вводные'!$H$9),DI52,0)</x:f>
      </x:c>
      <x:c r="DJ54" s="107" t="n">
        <x:f>IF(DJ$3&gt;=EDATE(INDEX('Вводные'!$D$88:$D$91,$B$36),INDEX('Вводные'!$E$88:$E$91,$B$36)+INDEX('Вводные'!$F$88:$F$91,$B$36)+'Вводные'!$H$9),DJ52,0)</x:f>
      </x:c>
      <x:c r="DK54" s="107" t="n">
        <x:f>IF(DK$3&gt;=EDATE(INDEX('Вводные'!$D$88:$D$91,$B$36),INDEX('Вводные'!$E$88:$E$91,$B$36)+INDEX('Вводные'!$F$88:$F$91,$B$36)+'Вводные'!$H$9),DK52,0)</x:f>
      </x:c>
      <x:c r="DL54" s="107" t="n">
        <x:f>IF(DL$3&gt;=EDATE(INDEX('Вводные'!$D$88:$D$91,$B$36),INDEX('Вводные'!$E$88:$E$91,$B$36)+INDEX('Вводные'!$F$88:$F$91,$B$36)+'Вводные'!$H$9),DL52,0)</x:f>
      </x:c>
      <x:c r="DM54" s="107" t="n">
        <x:f>IF(DM$3&gt;=EDATE(INDEX('Вводные'!$D$88:$D$91,$B$36),INDEX('Вводные'!$E$88:$E$91,$B$36)+INDEX('Вводные'!$F$88:$F$91,$B$36)+'Вводные'!$H$9),DM52,0)</x:f>
      </x:c>
      <x:c r="DN54" s="107" t="n">
        <x:f>IF(DN$3&gt;=EDATE(INDEX('Вводные'!$D$88:$D$91,$B$36),INDEX('Вводные'!$E$88:$E$91,$B$36)+INDEX('Вводные'!$F$88:$F$91,$B$36)+'Вводные'!$H$9),DN52,0)</x:f>
      </x:c>
      <x:c r="DO54" s="107" t="n">
        <x:f>IF(DO$3&gt;=EDATE(INDEX('Вводные'!$D$88:$D$91,$B$36),INDEX('Вводные'!$E$88:$E$91,$B$36)+INDEX('Вводные'!$F$88:$F$91,$B$36)+'Вводные'!$H$9),DO52,0)</x:f>
      </x:c>
      <x:c r="DP54" s="107" t="n">
        <x:f>IF(DP$3&gt;=EDATE(INDEX('Вводные'!$D$88:$D$91,$B$36),INDEX('Вводные'!$E$88:$E$91,$B$36)+INDEX('Вводные'!$F$88:$F$91,$B$36)+'Вводные'!$H$9),DP52,0)</x:f>
      </x:c>
      <x:c r="DQ54" s="107" t="n">
        <x:f>IF(DQ$3&gt;=EDATE(INDEX('Вводные'!$D$88:$D$91,$B$36),INDEX('Вводные'!$E$88:$E$91,$B$36)+INDEX('Вводные'!$F$88:$F$91,$B$36)+'Вводные'!$H$9),DQ52,0)</x:f>
      </x:c>
      <x:c r="DR54" s="107" t="n">
        <x:f>IF(DR$3&gt;=EDATE(INDEX('Вводные'!$D$88:$D$91,$B$36),INDEX('Вводные'!$E$88:$E$91,$B$36)+INDEX('Вводные'!$F$88:$F$91,$B$36)+'Вводные'!$H$9),DR52,0)</x:f>
      </x:c>
      <x:c r="DS54" s="107" t="n">
        <x:f>IF(DS$3&gt;=EDATE(INDEX('Вводные'!$D$88:$D$91,$B$36),INDEX('Вводные'!$E$88:$E$91,$B$36)+INDEX('Вводные'!$F$88:$F$91,$B$36)+'Вводные'!$H$9),DS52,0)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EDATE(INDEX('Вводные'!$D$88:$D$91,$B$36),INDEX('Вводные'!$E$88:$E$91,$B$36)+INDEX('Вводные'!$F$88:$F$91,$B$36)+'Вводные'!$H$9)),MONTH(D$3)=MONTH(EDATE(INDEX('Вводные'!$D$88:$D$91,$B$36),INDEX('Вводные'!$E$88:$E$91,$B$36)+INDEX('Вводные'!$F$88:$F$91,$B$36)+'Вводные'!$H$9)),AND($B$35="Да",IFERROR(INDEX('Вводные'!$B$88:$B$91,$B$36),"Нет")="Да")),MAX(0,SUM($D53:D53)-D53),0)</x:f>
      </x:c>
      <x:c r="E55" s="107" t="n">
        <x:f>IF(AND(YEAR(E$3)=YEAR(EDATE(INDEX('Вводные'!$D$88:$D$91,$B$36),INDEX('Вводные'!$E$88:$E$91,$B$36)+INDEX('Вводные'!$F$88:$F$91,$B$36)+'Вводные'!$H$9)),MONTH(E$3)=MONTH(EDATE(INDEX('Вводные'!$D$88:$D$91,$B$36),INDEX('Вводные'!$E$88:$E$91,$B$36)+INDEX('Вводные'!$F$88:$F$91,$B$36)+'Вводные'!$H$9)),AND($B$35="Да",IFERROR(INDEX('Вводные'!$B$88:$B$91,$B$36),"Нет")="Да")),MAX(0,SUM($D53:E53)-E53),0)</x:f>
      </x:c>
      <x:c r="F55" s="107" t="n">
        <x:f>IF(AND(YEAR(F$3)=YEAR(EDATE(INDEX('Вводные'!$D$88:$D$91,$B$36),INDEX('Вводные'!$E$88:$E$91,$B$36)+INDEX('Вводные'!$F$88:$F$91,$B$36)+'Вводные'!$H$9)),MONTH(F$3)=MONTH(EDATE(INDEX('Вводные'!$D$88:$D$91,$B$36),INDEX('Вводные'!$E$88:$E$91,$B$36)+INDEX('Вводные'!$F$88:$F$91,$B$36)+'Вводные'!$H$9)),AND($B$35="Да",IFERROR(INDEX('Вводные'!$B$88:$B$91,$B$36),"Нет")="Да")),MAX(0,SUM($D53:F53)-F53),0)</x:f>
      </x:c>
      <x:c r="G55" s="107" t="n">
        <x:f>IF(AND(YEAR(G$3)=YEAR(EDATE(INDEX('Вводные'!$D$88:$D$91,$B$36),INDEX('Вводные'!$E$88:$E$91,$B$36)+INDEX('Вводные'!$F$88:$F$91,$B$36)+'Вводные'!$H$9)),MONTH(G$3)=MONTH(EDATE(INDEX('Вводные'!$D$88:$D$91,$B$36),INDEX('Вводные'!$E$88:$E$91,$B$36)+INDEX('Вводные'!$F$88:$F$91,$B$36)+'Вводные'!$H$9)),AND($B$35="Да",IFERROR(INDEX('Вводные'!$B$88:$B$91,$B$36),"Нет")="Да")),MAX(0,SUM($D53:G53)-G53),0)</x:f>
      </x:c>
      <x:c r="H55" s="107" t="n">
        <x:f>IF(AND(YEAR(H$3)=YEAR(EDATE(INDEX('Вводные'!$D$88:$D$91,$B$36),INDEX('Вводные'!$E$88:$E$91,$B$36)+INDEX('Вводные'!$F$88:$F$91,$B$36)+'Вводные'!$H$9)),MONTH(H$3)=MONTH(EDATE(INDEX('Вводные'!$D$88:$D$91,$B$36),INDEX('Вводные'!$E$88:$E$91,$B$36)+INDEX('Вводные'!$F$88:$F$91,$B$36)+'Вводные'!$H$9)),AND($B$35="Да",IFERROR(INDEX('Вводные'!$B$88:$B$91,$B$36),"Нет")="Да")),MAX(0,SUM($D53:H53)-H53),0)</x:f>
      </x:c>
      <x:c r="I55" s="107" t="n">
        <x:f>IF(AND(YEAR(I$3)=YEAR(EDATE(INDEX('Вводные'!$D$88:$D$91,$B$36),INDEX('Вводные'!$E$88:$E$91,$B$36)+INDEX('Вводные'!$F$88:$F$91,$B$36)+'Вводные'!$H$9)),MONTH(I$3)=MONTH(EDATE(INDEX('Вводные'!$D$88:$D$91,$B$36),INDEX('Вводные'!$E$88:$E$91,$B$36)+INDEX('Вводные'!$F$88:$F$91,$B$36)+'Вводные'!$H$9)),AND($B$35="Да",IFERROR(INDEX('Вводные'!$B$88:$B$91,$B$36),"Нет")="Да")),MAX(0,SUM($D53:I53)-I53),0)</x:f>
      </x:c>
      <x:c r="J55" s="107" t="n">
        <x:f>IF(AND(YEAR(J$3)=YEAR(EDATE(INDEX('Вводные'!$D$88:$D$91,$B$36),INDEX('Вводные'!$E$88:$E$91,$B$36)+INDEX('Вводные'!$F$88:$F$91,$B$36)+'Вводные'!$H$9)),MONTH(J$3)=MONTH(EDATE(INDEX('Вводные'!$D$88:$D$91,$B$36),INDEX('Вводные'!$E$88:$E$91,$B$36)+INDEX('Вводные'!$F$88:$F$91,$B$36)+'Вводные'!$H$9)),AND($B$35="Да",IFERROR(INDEX('Вводные'!$B$88:$B$91,$B$36),"Нет")="Да")),MAX(0,SUM($D53:J53)-J53),0)</x:f>
      </x:c>
      <x:c r="K55" s="107" t="n">
        <x:f>IF(AND(YEAR(K$3)=YEAR(EDATE(INDEX('Вводные'!$D$88:$D$91,$B$36),INDEX('Вводные'!$E$88:$E$91,$B$36)+INDEX('Вводные'!$F$88:$F$91,$B$36)+'Вводные'!$H$9)),MONTH(K$3)=MONTH(EDATE(INDEX('Вводные'!$D$88:$D$91,$B$36),INDEX('Вводные'!$E$88:$E$91,$B$36)+INDEX('Вводные'!$F$88:$F$91,$B$36)+'Вводные'!$H$9)),AND($B$35="Да",IFERROR(INDEX('Вводные'!$B$88:$B$91,$B$36),"Нет")="Да")),MAX(0,SUM($D53:K53)-K53),0)</x:f>
      </x:c>
      <x:c r="L55" s="107" t="n">
        <x:f>IF(AND(YEAR(L$3)=YEAR(EDATE(INDEX('Вводные'!$D$88:$D$91,$B$36),INDEX('Вводные'!$E$88:$E$91,$B$36)+INDEX('Вводные'!$F$88:$F$91,$B$36)+'Вводные'!$H$9)),MONTH(L$3)=MONTH(EDATE(INDEX('Вводные'!$D$88:$D$91,$B$36),INDEX('Вводные'!$E$88:$E$91,$B$36)+INDEX('Вводные'!$F$88:$F$91,$B$36)+'Вводные'!$H$9)),AND($B$35="Да",IFERROR(INDEX('Вводные'!$B$88:$B$91,$B$36),"Нет")="Да")),MAX(0,SUM($D53:L53)-L53),0)</x:f>
      </x:c>
      <x:c r="M55" s="107" t="n">
        <x:f>IF(AND(YEAR(M$3)=YEAR(EDATE(INDEX('Вводные'!$D$88:$D$91,$B$36),INDEX('Вводные'!$E$88:$E$91,$B$36)+INDEX('Вводные'!$F$88:$F$91,$B$36)+'Вводные'!$H$9)),MONTH(M$3)=MONTH(EDATE(INDEX('Вводные'!$D$88:$D$91,$B$36),INDEX('Вводные'!$E$88:$E$91,$B$36)+INDEX('Вводные'!$F$88:$F$91,$B$36)+'Вводные'!$H$9)),AND($B$35="Да",IFERROR(INDEX('Вводные'!$B$88:$B$91,$B$36),"Нет")="Да")),MAX(0,SUM($D53:M53)-M53),0)</x:f>
      </x:c>
      <x:c r="N55" s="107" t="n">
        <x:f>IF(AND(YEAR(N$3)=YEAR(EDATE(INDEX('Вводные'!$D$88:$D$91,$B$36),INDEX('Вводные'!$E$88:$E$91,$B$36)+INDEX('Вводные'!$F$88:$F$91,$B$36)+'Вводные'!$H$9)),MONTH(N$3)=MONTH(EDATE(INDEX('Вводные'!$D$88:$D$91,$B$36),INDEX('Вводные'!$E$88:$E$91,$B$36)+INDEX('Вводные'!$F$88:$F$91,$B$36)+'Вводные'!$H$9)),AND($B$35="Да",IFERROR(INDEX('Вводные'!$B$88:$B$91,$B$36),"Нет")="Да")),MAX(0,SUM($D53:N53)-N53),0)</x:f>
      </x:c>
      <x:c r="O55" s="107" t="n">
        <x:f>IF(AND(YEAR(O$3)=YEAR(EDATE(INDEX('Вводные'!$D$88:$D$91,$B$36),INDEX('Вводные'!$E$88:$E$91,$B$36)+INDEX('Вводные'!$F$88:$F$91,$B$36)+'Вводные'!$H$9)),MONTH(O$3)=MONTH(EDATE(INDEX('Вводные'!$D$88:$D$91,$B$36),INDEX('Вводные'!$E$88:$E$91,$B$36)+INDEX('Вводные'!$F$88:$F$91,$B$36)+'Вводные'!$H$9)),AND($B$35="Да",IFERROR(INDEX('Вводные'!$B$88:$B$91,$B$36),"Нет")="Да")),MAX(0,SUM($D53:O53)-O53),0)</x:f>
      </x:c>
      <x:c r="P55" s="107" t="n">
        <x:f>IF(AND(YEAR(P$3)=YEAR(EDATE(INDEX('Вводные'!$D$88:$D$91,$B$36),INDEX('Вводные'!$E$88:$E$91,$B$36)+INDEX('Вводные'!$F$88:$F$91,$B$36)+'Вводные'!$H$9)),MONTH(P$3)=MONTH(EDATE(INDEX('Вводные'!$D$88:$D$91,$B$36),INDEX('Вводные'!$E$88:$E$91,$B$36)+INDEX('Вводные'!$F$88:$F$91,$B$36)+'Вводные'!$H$9)),AND($B$35="Да",IFERROR(INDEX('Вводные'!$B$88:$B$91,$B$36),"Нет")="Да")),MAX(0,SUM($D53:P53)-P53),0)</x:f>
      </x:c>
      <x:c r="Q55" s="107" t="n">
        <x:f>IF(AND(YEAR(Q$3)=YEAR(EDATE(INDEX('Вводные'!$D$88:$D$91,$B$36),INDEX('Вводные'!$E$88:$E$91,$B$36)+INDEX('Вводные'!$F$88:$F$91,$B$36)+'Вводные'!$H$9)),MONTH(Q$3)=MONTH(EDATE(INDEX('Вводные'!$D$88:$D$91,$B$36),INDEX('Вводные'!$E$88:$E$91,$B$36)+INDEX('Вводные'!$F$88:$F$91,$B$36)+'Вводные'!$H$9)),AND($B$35="Да",IFERROR(INDEX('Вводные'!$B$88:$B$91,$B$36),"Нет")="Да")),MAX(0,SUM($D53:Q53)-Q53),0)</x:f>
      </x:c>
      <x:c r="R55" s="107" t="n">
        <x:f>IF(AND(YEAR(R$3)=YEAR(EDATE(INDEX('Вводные'!$D$88:$D$91,$B$36),INDEX('Вводные'!$E$88:$E$91,$B$36)+INDEX('Вводные'!$F$88:$F$91,$B$36)+'Вводные'!$H$9)),MONTH(R$3)=MONTH(EDATE(INDEX('Вводные'!$D$88:$D$91,$B$36),INDEX('Вводные'!$E$88:$E$91,$B$36)+INDEX('Вводные'!$F$88:$F$91,$B$36)+'Вводные'!$H$9)),AND($B$35="Да",IFERROR(INDEX('Вводные'!$B$88:$B$91,$B$36),"Нет")="Да")),MAX(0,SUM($D53:R53)-R53),0)</x:f>
      </x:c>
      <x:c r="S55" s="107" t="n">
        <x:f>IF(AND(YEAR(S$3)=YEAR(EDATE(INDEX('Вводные'!$D$88:$D$91,$B$36),INDEX('Вводные'!$E$88:$E$91,$B$36)+INDEX('Вводные'!$F$88:$F$91,$B$36)+'Вводные'!$H$9)),MONTH(S$3)=MONTH(EDATE(INDEX('Вводные'!$D$88:$D$91,$B$36),INDEX('Вводные'!$E$88:$E$91,$B$36)+INDEX('Вводные'!$F$88:$F$91,$B$36)+'Вводные'!$H$9)),AND($B$35="Да",IFERROR(INDEX('Вводные'!$B$88:$B$91,$B$36),"Нет")="Да")),MAX(0,SUM($D53:S53)-S53),0)</x:f>
      </x:c>
      <x:c r="T55" s="107" t="n">
        <x:f>IF(AND(YEAR(T$3)=YEAR(EDATE(INDEX('Вводные'!$D$88:$D$91,$B$36),INDEX('Вводные'!$E$88:$E$91,$B$36)+INDEX('Вводные'!$F$88:$F$91,$B$36)+'Вводные'!$H$9)),MONTH(T$3)=MONTH(EDATE(INDEX('Вводные'!$D$88:$D$91,$B$36),INDEX('Вводные'!$E$88:$E$91,$B$36)+INDEX('Вводные'!$F$88:$F$91,$B$36)+'Вводные'!$H$9)),AND($B$35="Да",IFERROR(INDEX('Вводные'!$B$88:$B$91,$B$36),"Нет")="Да")),MAX(0,SUM($D53:T53)-T53),0)</x:f>
      </x:c>
      <x:c r="U55" s="107" t="n">
        <x:f>IF(AND(YEAR(U$3)=YEAR(EDATE(INDEX('Вводные'!$D$88:$D$91,$B$36),INDEX('Вводные'!$E$88:$E$91,$B$36)+INDEX('Вводные'!$F$88:$F$91,$B$36)+'Вводные'!$H$9)),MONTH(U$3)=MONTH(EDATE(INDEX('Вводные'!$D$88:$D$91,$B$36),INDEX('Вводные'!$E$88:$E$91,$B$36)+INDEX('Вводные'!$F$88:$F$91,$B$36)+'Вводные'!$H$9)),AND($B$35="Да",IFERROR(INDEX('Вводные'!$B$88:$B$91,$B$36),"Нет")="Да")),MAX(0,SUM($D53:U53)-U53),0)</x:f>
      </x:c>
      <x:c r="V55" s="107" t="n">
        <x:f>IF(AND(YEAR(V$3)=YEAR(EDATE(INDEX('Вводные'!$D$88:$D$91,$B$36),INDEX('Вводные'!$E$88:$E$91,$B$36)+INDEX('Вводные'!$F$88:$F$91,$B$36)+'Вводные'!$H$9)),MONTH(V$3)=MONTH(EDATE(INDEX('Вводные'!$D$88:$D$91,$B$36),INDEX('Вводные'!$E$88:$E$91,$B$36)+INDEX('Вводные'!$F$88:$F$91,$B$36)+'Вводные'!$H$9)),AND($B$35="Да",IFERROR(INDEX('Вводные'!$B$88:$B$91,$B$36),"Нет")="Да")),MAX(0,SUM($D53:V53)-V53),0)</x:f>
      </x:c>
      <x:c r="W55" s="107" t="n">
        <x:f>IF(AND(YEAR(W$3)=YEAR(EDATE(INDEX('Вводные'!$D$88:$D$91,$B$36),INDEX('Вводные'!$E$88:$E$91,$B$36)+INDEX('Вводные'!$F$88:$F$91,$B$36)+'Вводные'!$H$9)),MONTH(W$3)=MONTH(EDATE(INDEX('Вводные'!$D$88:$D$91,$B$36),INDEX('Вводные'!$E$88:$E$91,$B$36)+INDEX('Вводные'!$F$88:$F$91,$B$36)+'Вводные'!$H$9)),AND($B$35="Да",IFERROR(INDEX('Вводные'!$B$88:$B$91,$B$36),"Нет")="Да")),MAX(0,SUM($D53:W53)-W53),0)</x:f>
      </x:c>
      <x:c r="X55" s="107" t="n">
        <x:f>IF(AND(YEAR(X$3)=YEAR(EDATE(INDEX('Вводные'!$D$88:$D$91,$B$36),INDEX('Вводные'!$E$88:$E$91,$B$36)+INDEX('Вводные'!$F$88:$F$91,$B$36)+'Вводные'!$H$9)),MONTH(X$3)=MONTH(EDATE(INDEX('Вводные'!$D$88:$D$91,$B$36),INDEX('Вводные'!$E$88:$E$91,$B$36)+INDEX('Вводные'!$F$88:$F$91,$B$36)+'Вводные'!$H$9)),AND($B$35="Да",IFERROR(INDEX('Вводные'!$B$88:$B$91,$B$36),"Нет")="Да")),MAX(0,SUM($D53:X53)-X53),0)</x:f>
      </x:c>
      <x:c r="Y55" s="107" t="n">
        <x:f>IF(AND(YEAR(Y$3)=YEAR(EDATE(INDEX('Вводные'!$D$88:$D$91,$B$36),INDEX('Вводные'!$E$88:$E$91,$B$36)+INDEX('Вводные'!$F$88:$F$91,$B$36)+'Вводные'!$H$9)),MONTH(Y$3)=MONTH(EDATE(INDEX('Вводные'!$D$88:$D$91,$B$36),INDEX('Вводные'!$E$88:$E$91,$B$36)+INDEX('Вводные'!$F$88:$F$91,$B$36)+'Вводные'!$H$9)),AND($B$35="Да",IFERROR(INDEX('Вводные'!$B$88:$B$91,$B$36),"Нет")="Да")),MAX(0,SUM($D53:Y53)-Y53),0)</x:f>
      </x:c>
      <x:c r="Z55" s="107" t="n">
        <x:f>IF(AND(YEAR(Z$3)=YEAR(EDATE(INDEX('Вводные'!$D$88:$D$91,$B$36),INDEX('Вводные'!$E$88:$E$91,$B$36)+INDEX('Вводные'!$F$88:$F$91,$B$36)+'Вводные'!$H$9)),MONTH(Z$3)=MONTH(EDATE(INDEX('Вводные'!$D$88:$D$91,$B$36),INDEX('Вводные'!$E$88:$E$91,$B$36)+INDEX('Вводные'!$F$88:$F$91,$B$36)+'Вводные'!$H$9)),AND($B$35="Да",IFERROR(INDEX('Вводные'!$B$88:$B$91,$B$36),"Нет")="Да")),MAX(0,SUM($D53:Z53)-Z53),0)</x:f>
      </x:c>
      <x:c r="AA55" s="107" t="n">
        <x:f>IF(AND(YEAR(AA$3)=YEAR(EDATE(INDEX('Вводные'!$D$88:$D$91,$B$36),INDEX('Вводные'!$E$88:$E$91,$B$36)+INDEX('Вводные'!$F$88:$F$91,$B$36)+'Вводные'!$H$9)),MONTH(AA$3)=MONTH(EDATE(INDEX('Вводные'!$D$88:$D$91,$B$36),INDEX('Вводные'!$E$88:$E$91,$B$36)+INDEX('Вводные'!$F$88:$F$91,$B$36)+'Вводные'!$H$9)),AND($B$35="Да",IFERROR(INDEX('Вводные'!$B$88:$B$91,$B$36),"Нет")="Да")),MAX(0,SUM($D53:AA53)-AA53),0)</x:f>
      </x:c>
      <x:c r="AB55" s="107" t="n">
        <x:f>IF(AND(YEAR(AB$3)=YEAR(EDATE(INDEX('Вводные'!$D$88:$D$91,$B$36),INDEX('Вводные'!$E$88:$E$91,$B$36)+INDEX('Вводные'!$F$88:$F$91,$B$36)+'Вводные'!$H$9)),MONTH(AB$3)=MONTH(EDATE(INDEX('Вводные'!$D$88:$D$91,$B$36),INDEX('Вводные'!$E$88:$E$91,$B$36)+INDEX('Вводные'!$F$88:$F$91,$B$36)+'Вводные'!$H$9)),AND($B$35="Да",IFERROR(INDEX('Вводные'!$B$88:$B$91,$B$36),"Нет")="Да")),MAX(0,SUM($D53:AB53)-AB53),0)</x:f>
      </x:c>
      <x:c r="AC55" s="107" t="n">
        <x:f>IF(AND(YEAR(AC$3)=YEAR(EDATE(INDEX('Вводные'!$D$88:$D$91,$B$36),INDEX('Вводные'!$E$88:$E$91,$B$36)+INDEX('Вводные'!$F$88:$F$91,$B$36)+'Вводные'!$H$9)),MONTH(AC$3)=MONTH(EDATE(INDEX('Вводные'!$D$88:$D$91,$B$36),INDEX('Вводные'!$E$88:$E$91,$B$36)+INDEX('Вводные'!$F$88:$F$91,$B$36)+'Вводные'!$H$9)),AND($B$35="Да",IFERROR(INDEX('Вводные'!$B$88:$B$91,$B$36),"Нет")="Да")),MAX(0,SUM($D53:AC53)-AC53),0)</x:f>
      </x:c>
      <x:c r="AD55" s="107" t="n">
        <x:f>IF(AND(YEAR(AD$3)=YEAR(EDATE(INDEX('Вводные'!$D$88:$D$91,$B$36),INDEX('Вводные'!$E$88:$E$91,$B$36)+INDEX('Вводные'!$F$88:$F$91,$B$36)+'Вводные'!$H$9)),MONTH(AD$3)=MONTH(EDATE(INDEX('Вводные'!$D$88:$D$91,$B$36),INDEX('Вводные'!$E$88:$E$91,$B$36)+INDEX('Вводные'!$F$88:$F$91,$B$36)+'Вводные'!$H$9)),AND($B$35="Да",IFERROR(INDEX('Вводные'!$B$88:$B$91,$B$36),"Нет")="Да")),MAX(0,SUM($D53:AD53)-AD53),0)</x:f>
      </x:c>
      <x:c r="AE55" s="107" t="n">
        <x:f>IF(AND(YEAR(AE$3)=YEAR(EDATE(INDEX('Вводные'!$D$88:$D$91,$B$36),INDEX('Вводные'!$E$88:$E$91,$B$36)+INDEX('Вводные'!$F$88:$F$91,$B$36)+'Вводные'!$H$9)),MONTH(AE$3)=MONTH(EDATE(INDEX('Вводные'!$D$88:$D$91,$B$36),INDEX('Вводные'!$E$88:$E$91,$B$36)+INDEX('Вводные'!$F$88:$F$91,$B$36)+'Вводные'!$H$9)),AND($B$35="Да",IFERROR(INDEX('Вводные'!$B$88:$B$91,$B$36),"Нет")="Да")),MAX(0,SUM($D53:AE53)-AE53),0)</x:f>
      </x:c>
      <x:c r="AF55" s="107" t="n">
        <x:f>IF(AND(YEAR(AF$3)=YEAR(EDATE(INDEX('Вводные'!$D$88:$D$91,$B$36),INDEX('Вводные'!$E$88:$E$91,$B$36)+INDEX('Вводные'!$F$88:$F$91,$B$36)+'Вводные'!$H$9)),MONTH(AF$3)=MONTH(EDATE(INDEX('Вводные'!$D$88:$D$91,$B$36),INDEX('Вводные'!$E$88:$E$91,$B$36)+INDEX('Вводные'!$F$88:$F$91,$B$36)+'Вводные'!$H$9)),AND($B$35="Да",IFERROR(INDEX('Вводные'!$B$88:$B$91,$B$36),"Нет")="Да")),MAX(0,SUM($D53:AF53)-AF53),0)</x:f>
      </x:c>
      <x:c r="AG55" s="107" t="n">
        <x:f>IF(AND(YEAR(AG$3)=YEAR(EDATE(INDEX('Вводные'!$D$88:$D$91,$B$36),INDEX('Вводные'!$E$88:$E$91,$B$36)+INDEX('Вводные'!$F$88:$F$91,$B$36)+'Вводные'!$H$9)),MONTH(AG$3)=MONTH(EDATE(INDEX('Вводные'!$D$88:$D$91,$B$36),INDEX('Вводные'!$E$88:$E$91,$B$36)+INDEX('Вводные'!$F$88:$F$91,$B$36)+'Вводные'!$H$9)),AND($B$35="Да",IFERROR(INDEX('Вводные'!$B$88:$B$91,$B$36),"Нет")="Да")),MAX(0,SUM($D53:AG53)-AG53),0)</x:f>
      </x:c>
      <x:c r="AH55" s="107" t="n">
        <x:f>IF(AND(YEAR(AH$3)=YEAR(EDATE(INDEX('Вводные'!$D$88:$D$91,$B$36),INDEX('Вводные'!$E$88:$E$91,$B$36)+INDEX('Вводные'!$F$88:$F$91,$B$36)+'Вводные'!$H$9)),MONTH(AH$3)=MONTH(EDATE(INDEX('Вводные'!$D$88:$D$91,$B$36),INDEX('Вводные'!$E$88:$E$91,$B$36)+INDEX('Вводные'!$F$88:$F$91,$B$36)+'Вводные'!$H$9)),AND($B$35="Да",IFERROR(INDEX('Вводные'!$B$88:$B$91,$B$36),"Нет")="Да")),MAX(0,SUM($D53:AH53)-AH53),0)</x:f>
      </x:c>
      <x:c r="AI55" s="107" t="n">
        <x:f>IF(AND(YEAR(AI$3)=YEAR(EDATE(INDEX('Вводные'!$D$88:$D$91,$B$36),INDEX('Вводные'!$E$88:$E$91,$B$36)+INDEX('Вводные'!$F$88:$F$91,$B$36)+'Вводные'!$H$9)),MONTH(AI$3)=MONTH(EDATE(INDEX('Вводные'!$D$88:$D$91,$B$36),INDEX('Вводные'!$E$88:$E$91,$B$36)+INDEX('Вводные'!$F$88:$F$91,$B$36)+'Вводные'!$H$9)),AND($B$35="Да",IFERROR(INDEX('Вводные'!$B$88:$B$91,$B$36),"Нет")="Да")),MAX(0,SUM($D53:AI53)-AI53),0)</x:f>
      </x:c>
      <x:c r="AJ55" s="107" t="n">
        <x:f>IF(AND(YEAR(AJ$3)=YEAR(EDATE(INDEX('Вводные'!$D$88:$D$91,$B$36),INDEX('Вводные'!$E$88:$E$91,$B$36)+INDEX('Вводные'!$F$88:$F$91,$B$36)+'Вводные'!$H$9)),MONTH(AJ$3)=MONTH(EDATE(INDEX('Вводные'!$D$88:$D$91,$B$36),INDEX('Вводные'!$E$88:$E$91,$B$36)+INDEX('Вводные'!$F$88:$F$91,$B$36)+'Вводные'!$H$9)),AND($B$35="Да",IFERROR(INDEX('Вводные'!$B$88:$B$91,$B$36),"Нет")="Да")),MAX(0,SUM($D53:AJ53)-AJ53),0)</x:f>
      </x:c>
      <x:c r="AK55" s="107" t="n">
        <x:f>IF(AND(YEAR(AK$3)=YEAR(EDATE(INDEX('Вводные'!$D$88:$D$91,$B$36),INDEX('Вводные'!$E$88:$E$91,$B$36)+INDEX('Вводные'!$F$88:$F$91,$B$36)+'Вводные'!$H$9)),MONTH(AK$3)=MONTH(EDATE(INDEX('Вводные'!$D$88:$D$91,$B$36),INDEX('Вводные'!$E$88:$E$91,$B$36)+INDEX('Вводные'!$F$88:$F$91,$B$36)+'Вводные'!$H$9)),AND($B$35="Да",IFERROR(INDEX('Вводные'!$B$88:$B$91,$B$36),"Нет")="Да")),MAX(0,SUM($D53:AK53)-AK53),0)</x:f>
      </x:c>
      <x:c r="AL55" s="107" t="n">
        <x:f>IF(AND(YEAR(AL$3)=YEAR(EDATE(INDEX('Вводные'!$D$88:$D$91,$B$36),INDEX('Вводные'!$E$88:$E$91,$B$36)+INDEX('Вводные'!$F$88:$F$91,$B$36)+'Вводные'!$H$9)),MONTH(AL$3)=MONTH(EDATE(INDEX('Вводные'!$D$88:$D$91,$B$36),INDEX('Вводные'!$E$88:$E$91,$B$36)+INDEX('Вводные'!$F$88:$F$91,$B$36)+'Вводные'!$H$9)),AND($B$35="Да",IFERROR(INDEX('Вводные'!$B$88:$B$91,$B$36),"Нет")="Да")),MAX(0,SUM($D53:AL53)-AL53),0)</x:f>
      </x:c>
      <x:c r="AM55" s="107" t="n">
        <x:f>IF(AND(YEAR(AM$3)=YEAR(EDATE(INDEX('Вводные'!$D$88:$D$91,$B$36),INDEX('Вводные'!$E$88:$E$91,$B$36)+INDEX('Вводные'!$F$88:$F$91,$B$36)+'Вводные'!$H$9)),MONTH(AM$3)=MONTH(EDATE(INDEX('Вводные'!$D$88:$D$91,$B$36),INDEX('Вводные'!$E$88:$E$91,$B$36)+INDEX('Вводные'!$F$88:$F$91,$B$36)+'Вводные'!$H$9)),AND($B$35="Да",IFERROR(INDEX('Вводные'!$B$88:$B$91,$B$36),"Нет")="Да")),MAX(0,SUM($D53:AM53)-AM53),0)</x:f>
      </x:c>
      <x:c r="AN55" s="107" t="n">
        <x:f>IF(AND(YEAR(AN$3)=YEAR(EDATE(INDEX('Вводные'!$D$88:$D$91,$B$36),INDEX('Вводные'!$E$88:$E$91,$B$36)+INDEX('Вводные'!$F$88:$F$91,$B$36)+'Вводные'!$H$9)),MONTH(AN$3)=MONTH(EDATE(INDEX('Вводные'!$D$88:$D$91,$B$36),INDEX('Вводные'!$E$88:$E$91,$B$36)+INDEX('Вводные'!$F$88:$F$91,$B$36)+'Вводные'!$H$9)),AND($B$35="Да",IFERROR(INDEX('Вводные'!$B$88:$B$91,$B$36),"Нет")="Да")),MAX(0,SUM($D53:AN53)-AN53),0)</x:f>
      </x:c>
      <x:c r="AO55" s="107" t="n">
        <x:f>IF(AND(YEAR(AO$3)=YEAR(EDATE(INDEX('Вводные'!$D$88:$D$91,$B$36),INDEX('Вводные'!$E$88:$E$91,$B$36)+INDEX('Вводные'!$F$88:$F$91,$B$36)+'Вводные'!$H$9)),MONTH(AO$3)=MONTH(EDATE(INDEX('Вводные'!$D$88:$D$91,$B$36),INDEX('Вводные'!$E$88:$E$91,$B$36)+INDEX('Вводные'!$F$88:$F$91,$B$36)+'Вводные'!$H$9)),AND($B$35="Да",IFERROR(INDEX('Вводные'!$B$88:$B$91,$B$36),"Нет")="Да")),MAX(0,SUM($D53:AO53)-AO53),0)</x:f>
      </x:c>
      <x:c r="AP55" s="107" t="n">
        <x:f>IF(AND(YEAR(AP$3)=YEAR(EDATE(INDEX('Вводные'!$D$88:$D$91,$B$36),INDEX('Вводные'!$E$88:$E$91,$B$36)+INDEX('Вводные'!$F$88:$F$91,$B$36)+'Вводные'!$H$9)),MONTH(AP$3)=MONTH(EDATE(INDEX('Вводные'!$D$88:$D$91,$B$36),INDEX('Вводные'!$E$88:$E$91,$B$36)+INDEX('Вводные'!$F$88:$F$91,$B$36)+'Вводные'!$H$9)),AND($B$35="Да",IFERROR(INDEX('Вводные'!$B$88:$B$91,$B$36),"Нет")="Да")),MAX(0,SUM($D53:AP53)-AP53),0)</x:f>
      </x:c>
      <x:c r="AQ55" s="107" t="n">
        <x:f>IF(AND(YEAR(AQ$3)=YEAR(EDATE(INDEX('Вводные'!$D$88:$D$91,$B$36),INDEX('Вводные'!$E$88:$E$91,$B$36)+INDEX('Вводные'!$F$88:$F$91,$B$36)+'Вводные'!$H$9)),MONTH(AQ$3)=MONTH(EDATE(INDEX('Вводные'!$D$88:$D$91,$B$36),INDEX('Вводные'!$E$88:$E$91,$B$36)+INDEX('Вводные'!$F$88:$F$91,$B$36)+'Вводные'!$H$9)),AND($B$35="Да",IFERROR(INDEX('Вводные'!$B$88:$B$91,$B$36),"Нет")="Да")),MAX(0,SUM($D53:AQ53)-AQ53),0)</x:f>
      </x:c>
      <x:c r="AR55" s="107" t="n">
        <x:f>IF(AND(YEAR(AR$3)=YEAR(EDATE(INDEX('Вводные'!$D$88:$D$91,$B$36),INDEX('Вводные'!$E$88:$E$91,$B$36)+INDEX('Вводные'!$F$88:$F$91,$B$36)+'Вводные'!$H$9)),MONTH(AR$3)=MONTH(EDATE(INDEX('Вводные'!$D$88:$D$91,$B$36),INDEX('Вводные'!$E$88:$E$91,$B$36)+INDEX('Вводные'!$F$88:$F$91,$B$36)+'Вводные'!$H$9)),AND($B$35="Да",IFERROR(INDEX('Вводные'!$B$88:$B$91,$B$36),"Нет")="Да")),MAX(0,SUM($D53:AR53)-AR53),0)</x:f>
      </x:c>
      <x:c r="AS55" s="107" t="n">
        <x:f>IF(AND(YEAR(AS$3)=YEAR(EDATE(INDEX('Вводные'!$D$88:$D$91,$B$36),INDEX('Вводные'!$E$88:$E$91,$B$36)+INDEX('Вводные'!$F$88:$F$91,$B$36)+'Вводные'!$H$9)),MONTH(AS$3)=MONTH(EDATE(INDEX('Вводные'!$D$88:$D$91,$B$36),INDEX('Вводные'!$E$88:$E$91,$B$36)+INDEX('Вводные'!$F$88:$F$91,$B$36)+'Вводные'!$H$9)),AND($B$35="Да",IFERROR(INDEX('Вводные'!$B$88:$B$91,$B$36),"Нет")="Да")),MAX(0,SUM($D53:AS53)-AS53),0)</x:f>
      </x:c>
      <x:c r="AT55" s="107" t="n">
        <x:f>IF(AND(YEAR(AT$3)=YEAR(EDATE(INDEX('Вводные'!$D$88:$D$91,$B$36),INDEX('Вводные'!$E$88:$E$91,$B$36)+INDEX('Вводные'!$F$88:$F$91,$B$36)+'Вводные'!$H$9)),MONTH(AT$3)=MONTH(EDATE(INDEX('Вводные'!$D$88:$D$91,$B$36),INDEX('Вводные'!$E$88:$E$91,$B$36)+INDEX('Вводные'!$F$88:$F$91,$B$36)+'Вводные'!$H$9)),AND($B$35="Да",IFERROR(INDEX('Вводные'!$B$88:$B$91,$B$36),"Нет")="Да")),MAX(0,SUM($D53:AT53)-AT53),0)</x:f>
      </x:c>
      <x:c r="AU55" s="107" t="n">
        <x:f>IF(AND(YEAR(AU$3)=YEAR(EDATE(INDEX('Вводные'!$D$88:$D$91,$B$36),INDEX('Вводные'!$E$88:$E$91,$B$36)+INDEX('Вводные'!$F$88:$F$91,$B$36)+'Вводные'!$H$9)),MONTH(AU$3)=MONTH(EDATE(INDEX('Вводные'!$D$88:$D$91,$B$36),INDEX('Вводные'!$E$88:$E$91,$B$36)+INDEX('Вводные'!$F$88:$F$91,$B$36)+'Вводные'!$H$9)),AND($B$35="Да",IFERROR(INDEX('Вводные'!$B$88:$B$91,$B$36),"Нет")="Да")),MAX(0,SUM($D53:AU53)-AU53),0)</x:f>
      </x:c>
      <x:c r="AV55" s="107" t="n">
        <x:f>IF(AND(YEAR(AV$3)=YEAR(EDATE(INDEX('Вводные'!$D$88:$D$91,$B$36),INDEX('Вводные'!$E$88:$E$91,$B$36)+INDEX('Вводные'!$F$88:$F$91,$B$36)+'Вводные'!$H$9)),MONTH(AV$3)=MONTH(EDATE(INDEX('Вводные'!$D$88:$D$91,$B$36),INDEX('Вводные'!$E$88:$E$91,$B$36)+INDEX('Вводные'!$F$88:$F$91,$B$36)+'Вводные'!$H$9)),AND($B$35="Да",IFERROR(INDEX('Вводные'!$B$88:$B$91,$B$36),"Нет")="Да")),MAX(0,SUM($D53:AV53)-AV53),0)</x:f>
      </x:c>
      <x:c r="AW55" s="107" t="n">
        <x:f>IF(AND(YEAR(AW$3)=YEAR(EDATE(INDEX('Вводные'!$D$88:$D$91,$B$36),INDEX('Вводные'!$E$88:$E$91,$B$36)+INDEX('Вводные'!$F$88:$F$91,$B$36)+'Вводные'!$H$9)),MONTH(AW$3)=MONTH(EDATE(INDEX('Вводные'!$D$88:$D$91,$B$36),INDEX('Вводные'!$E$88:$E$91,$B$36)+INDEX('Вводные'!$F$88:$F$91,$B$36)+'Вводные'!$H$9)),AND($B$35="Да",IFERROR(INDEX('Вводные'!$B$88:$B$91,$B$36),"Нет")="Да")),MAX(0,SUM($D53:AW53)-AW53),0)</x:f>
      </x:c>
      <x:c r="AX55" s="107" t="n">
        <x:f>IF(AND(YEAR(AX$3)=YEAR(EDATE(INDEX('Вводные'!$D$88:$D$91,$B$36),INDEX('Вводные'!$E$88:$E$91,$B$36)+INDEX('Вводные'!$F$88:$F$91,$B$36)+'Вводные'!$H$9)),MONTH(AX$3)=MONTH(EDATE(INDEX('Вводные'!$D$88:$D$91,$B$36),INDEX('Вводные'!$E$88:$E$91,$B$36)+INDEX('Вводные'!$F$88:$F$91,$B$36)+'Вводные'!$H$9)),AND($B$35="Да",IFERROR(INDEX('Вводные'!$B$88:$B$91,$B$36),"Нет")="Да")),MAX(0,SUM($D53:AX53)-AX53),0)</x:f>
      </x:c>
      <x:c r="AY55" s="107" t="n">
        <x:f>IF(AND(YEAR(AY$3)=YEAR(EDATE(INDEX('Вводные'!$D$88:$D$91,$B$36),INDEX('Вводные'!$E$88:$E$91,$B$36)+INDEX('Вводные'!$F$88:$F$91,$B$36)+'Вводные'!$H$9)),MONTH(AY$3)=MONTH(EDATE(INDEX('Вводные'!$D$88:$D$91,$B$36),INDEX('Вводные'!$E$88:$E$91,$B$36)+INDEX('Вводные'!$F$88:$F$91,$B$36)+'Вводные'!$H$9)),AND($B$35="Да",IFERROR(INDEX('Вводные'!$B$88:$B$91,$B$36),"Нет")="Да")),MAX(0,SUM($D53:AY53)-AY53),0)</x:f>
      </x:c>
      <x:c r="AZ55" s="107" t="n">
        <x:f>IF(AND(YEAR(AZ$3)=YEAR(EDATE(INDEX('Вводные'!$D$88:$D$91,$B$36),INDEX('Вводные'!$E$88:$E$91,$B$36)+INDEX('Вводные'!$F$88:$F$91,$B$36)+'Вводные'!$H$9)),MONTH(AZ$3)=MONTH(EDATE(INDEX('Вводные'!$D$88:$D$91,$B$36),INDEX('Вводные'!$E$88:$E$91,$B$36)+INDEX('Вводные'!$F$88:$F$91,$B$36)+'Вводные'!$H$9)),AND($B$35="Да",IFERROR(INDEX('Вводные'!$B$88:$B$91,$B$36),"Нет")="Да")),MAX(0,SUM($D53:AZ53)-AZ53),0)</x:f>
      </x:c>
      <x:c r="BA55" s="107" t="n">
        <x:f>IF(AND(YEAR(BA$3)=YEAR(EDATE(INDEX('Вводные'!$D$88:$D$91,$B$36),INDEX('Вводные'!$E$88:$E$91,$B$36)+INDEX('Вводные'!$F$88:$F$91,$B$36)+'Вводные'!$H$9)),MONTH(BA$3)=MONTH(EDATE(INDEX('Вводные'!$D$88:$D$91,$B$36),INDEX('Вводные'!$E$88:$E$91,$B$36)+INDEX('Вводные'!$F$88:$F$91,$B$36)+'Вводные'!$H$9)),AND($B$35="Да",IFERROR(INDEX('Вводные'!$B$88:$B$91,$B$36),"Нет")="Да")),MAX(0,SUM($D53:BA53)-BA53),0)</x:f>
      </x:c>
      <x:c r="BB55" s="107" t="n">
        <x:f>IF(AND(YEAR(BB$3)=YEAR(EDATE(INDEX('Вводные'!$D$88:$D$91,$B$36),INDEX('Вводные'!$E$88:$E$91,$B$36)+INDEX('Вводные'!$F$88:$F$91,$B$36)+'Вводные'!$H$9)),MONTH(BB$3)=MONTH(EDATE(INDEX('Вводные'!$D$88:$D$91,$B$36),INDEX('Вводные'!$E$88:$E$91,$B$36)+INDEX('Вводные'!$F$88:$F$91,$B$36)+'Вводные'!$H$9)),AND($B$35="Да",IFERROR(INDEX('Вводные'!$B$88:$B$91,$B$36),"Нет")="Да")),MAX(0,SUM($D53:BB53)-BB53),0)</x:f>
      </x:c>
      <x:c r="BC55" s="107" t="n">
        <x:f>IF(AND(YEAR(BC$3)=YEAR(EDATE(INDEX('Вводные'!$D$88:$D$91,$B$36),INDEX('Вводные'!$E$88:$E$91,$B$36)+INDEX('Вводные'!$F$88:$F$91,$B$36)+'Вводные'!$H$9)),MONTH(BC$3)=MONTH(EDATE(INDEX('Вводные'!$D$88:$D$91,$B$36),INDEX('Вводные'!$E$88:$E$91,$B$36)+INDEX('Вводные'!$F$88:$F$91,$B$36)+'Вводные'!$H$9)),AND($B$35="Да",IFERROR(INDEX('Вводные'!$B$88:$B$91,$B$36),"Нет")="Да")),MAX(0,SUM($D53:BC53)-BC53),0)</x:f>
      </x:c>
      <x:c r="BD55" s="107" t="n">
        <x:f>IF(AND(YEAR(BD$3)=YEAR(EDATE(INDEX('Вводные'!$D$88:$D$91,$B$36),INDEX('Вводные'!$E$88:$E$91,$B$36)+INDEX('Вводные'!$F$88:$F$91,$B$36)+'Вводные'!$H$9)),MONTH(BD$3)=MONTH(EDATE(INDEX('Вводные'!$D$88:$D$91,$B$36),INDEX('Вводные'!$E$88:$E$91,$B$36)+INDEX('Вводные'!$F$88:$F$91,$B$36)+'Вводные'!$H$9)),AND($B$35="Да",IFERROR(INDEX('Вводные'!$B$88:$B$91,$B$36),"Нет")="Да")),MAX(0,SUM($D53:BD53)-BD53),0)</x:f>
      </x:c>
      <x:c r="BE55" s="107" t="n">
        <x:f>IF(AND(YEAR(BE$3)=YEAR(EDATE(INDEX('Вводные'!$D$88:$D$91,$B$36),INDEX('Вводные'!$E$88:$E$91,$B$36)+INDEX('Вводные'!$F$88:$F$91,$B$36)+'Вводные'!$H$9)),MONTH(BE$3)=MONTH(EDATE(INDEX('Вводные'!$D$88:$D$91,$B$36),INDEX('Вводные'!$E$88:$E$91,$B$36)+INDEX('Вводные'!$F$88:$F$91,$B$36)+'Вводные'!$H$9)),AND($B$35="Да",IFERROR(INDEX('Вводные'!$B$88:$B$91,$B$36),"Нет")="Да")),MAX(0,SUM($D53:BE53)-BE53),0)</x:f>
      </x:c>
      <x:c r="BF55" s="107" t="n">
        <x:f>IF(AND(YEAR(BF$3)=YEAR(EDATE(INDEX('Вводные'!$D$88:$D$91,$B$36),INDEX('Вводные'!$E$88:$E$91,$B$36)+INDEX('Вводные'!$F$88:$F$91,$B$36)+'Вводные'!$H$9)),MONTH(BF$3)=MONTH(EDATE(INDEX('Вводные'!$D$88:$D$91,$B$36),INDEX('Вводные'!$E$88:$E$91,$B$36)+INDEX('Вводные'!$F$88:$F$91,$B$36)+'Вводные'!$H$9)),AND($B$35="Да",IFERROR(INDEX('Вводные'!$B$88:$B$91,$B$36),"Нет")="Да")),MAX(0,SUM($D53:BF53)-BF53),0)</x:f>
      </x:c>
      <x:c r="BG55" s="107" t="n">
        <x:f>IF(AND(YEAR(BG$3)=YEAR(EDATE(INDEX('Вводные'!$D$88:$D$91,$B$36),INDEX('Вводные'!$E$88:$E$91,$B$36)+INDEX('Вводные'!$F$88:$F$91,$B$36)+'Вводные'!$H$9)),MONTH(BG$3)=MONTH(EDATE(INDEX('Вводные'!$D$88:$D$91,$B$36),INDEX('Вводные'!$E$88:$E$91,$B$36)+INDEX('Вводные'!$F$88:$F$91,$B$36)+'Вводные'!$H$9)),AND($B$35="Да",IFERROR(INDEX('Вводные'!$B$88:$B$91,$B$36),"Нет")="Да")),MAX(0,SUM($D53:BG53)-BG53),0)</x:f>
      </x:c>
      <x:c r="BH55" s="107" t="n">
        <x:f>IF(AND(YEAR(BH$3)=YEAR(EDATE(INDEX('Вводные'!$D$88:$D$91,$B$36),INDEX('Вводные'!$E$88:$E$91,$B$36)+INDEX('Вводные'!$F$88:$F$91,$B$36)+'Вводные'!$H$9)),MONTH(BH$3)=MONTH(EDATE(INDEX('Вводные'!$D$88:$D$91,$B$36),INDEX('Вводные'!$E$88:$E$91,$B$36)+INDEX('Вводные'!$F$88:$F$91,$B$36)+'Вводные'!$H$9)),AND($B$35="Да",IFERROR(INDEX('Вводные'!$B$88:$B$91,$B$36),"Нет")="Да")),MAX(0,SUM($D53:BH53)-BH53),0)</x:f>
      </x:c>
      <x:c r="BI55" s="107" t="n">
        <x:f>IF(AND(YEAR(BI$3)=YEAR(EDATE(INDEX('Вводные'!$D$88:$D$91,$B$36),INDEX('Вводные'!$E$88:$E$91,$B$36)+INDEX('Вводные'!$F$88:$F$91,$B$36)+'Вводные'!$H$9)),MONTH(BI$3)=MONTH(EDATE(INDEX('Вводные'!$D$88:$D$91,$B$36),INDEX('Вводные'!$E$88:$E$91,$B$36)+INDEX('Вводные'!$F$88:$F$91,$B$36)+'Вводные'!$H$9)),AND($B$35="Да",IFERROR(INDEX('Вводные'!$B$88:$B$91,$B$36),"Нет")="Да")),MAX(0,SUM($D53:BI53)-BI53),0)</x:f>
      </x:c>
      <x:c r="BJ55" s="107" t="n">
        <x:f>IF(AND(YEAR(BJ$3)=YEAR(EDATE(INDEX('Вводные'!$D$88:$D$91,$B$36),INDEX('Вводные'!$E$88:$E$91,$B$36)+INDEX('Вводные'!$F$88:$F$91,$B$36)+'Вводные'!$H$9)),MONTH(BJ$3)=MONTH(EDATE(INDEX('Вводные'!$D$88:$D$91,$B$36),INDEX('Вводные'!$E$88:$E$91,$B$36)+INDEX('Вводные'!$F$88:$F$91,$B$36)+'Вводные'!$H$9)),AND($B$35="Да",IFERROR(INDEX('Вводные'!$B$88:$B$91,$B$36),"Нет")="Да")),MAX(0,SUM($D53:BJ53)-BJ53),0)</x:f>
      </x:c>
      <x:c r="BK55" s="107" t="n">
        <x:f>IF(AND(YEAR(BK$3)=YEAR(EDATE(INDEX('Вводные'!$D$88:$D$91,$B$36),INDEX('Вводные'!$E$88:$E$91,$B$36)+INDEX('Вводные'!$F$88:$F$91,$B$36)+'Вводные'!$H$9)),MONTH(BK$3)=MONTH(EDATE(INDEX('Вводные'!$D$88:$D$91,$B$36),INDEX('Вводные'!$E$88:$E$91,$B$36)+INDEX('Вводные'!$F$88:$F$91,$B$36)+'Вводные'!$H$9)),AND($B$35="Да",IFERROR(INDEX('Вводные'!$B$88:$B$91,$B$36),"Нет")="Да")),MAX(0,SUM($D53:BK53)-BK53),0)</x:f>
      </x:c>
      <x:c r="BL55" s="107" t="n">
        <x:f>IF(AND(YEAR(BL$3)=YEAR(EDATE(INDEX('Вводные'!$D$88:$D$91,$B$36),INDEX('Вводные'!$E$88:$E$91,$B$36)+INDEX('Вводные'!$F$88:$F$91,$B$36)+'Вводные'!$H$9)),MONTH(BL$3)=MONTH(EDATE(INDEX('Вводные'!$D$88:$D$91,$B$36),INDEX('Вводные'!$E$88:$E$91,$B$36)+INDEX('Вводные'!$F$88:$F$91,$B$36)+'Вводные'!$H$9)),AND($B$35="Да",IFERROR(INDEX('Вводные'!$B$88:$B$91,$B$36),"Нет")="Да")),MAX(0,SUM($D53:BL53)-BL53),0)</x:f>
      </x:c>
      <x:c r="BM55" s="107" t="n">
        <x:f>IF(AND(YEAR(BM$3)=YEAR(EDATE(INDEX('Вводные'!$D$88:$D$91,$B$36),INDEX('Вводные'!$E$88:$E$91,$B$36)+INDEX('Вводные'!$F$88:$F$91,$B$36)+'Вводные'!$H$9)),MONTH(BM$3)=MONTH(EDATE(INDEX('Вводные'!$D$88:$D$91,$B$36),INDEX('Вводные'!$E$88:$E$91,$B$36)+INDEX('Вводные'!$F$88:$F$91,$B$36)+'Вводные'!$H$9)),AND($B$35="Да",IFERROR(INDEX('Вводные'!$B$88:$B$91,$B$36),"Нет")="Да")),MAX(0,SUM($D53:BM53)-BM53),0)</x:f>
      </x:c>
      <x:c r="BN55" s="107" t="n">
        <x:f>IF(AND(YEAR(BN$3)=YEAR(EDATE(INDEX('Вводные'!$D$88:$D$91,$B$36),INDEX('Вводные'!$E$88:$E$91,$B$36)+INDEX('Вводные'!$F$88:$F$91,$B$36)+'Вводные'!$H$9)),MONTH(BN$3)=MONTH(EDATE(INDEX('Вводные'!$D$88:$D$91,$B$36),INDEX('Вводные'!$E$88:$E$91,$B$36)+INDEX('Вводные'!$F$88:$F$91,$B$36)+'Вводные'!$H$9)),AND($B$35="Да",IFERROR(INDEX('Вводные'!$B$88:$B$91,$B$36),"Нет")="Да")),MAX(0,SUM($D53:BN53)-BN53),0)</x:f>
      </x:c>
      <x:c r="BO55" s="107" t="n">
        <x:f>IF(AND(YEAR(BO$3)=YEAR(EDATE(INDEX('Вводные'!$D$88:$D$91,$B$36),INDEX('Вводные'!$E$88:$E$91,$B$36)+INDEX('Вводные'!$F$88:$F$91,$B$36)+'Вводные'!$H$9)),MONTH(BO$3)=MONTH(EDATE(INDEX('Вводные'!$D$88:$D$91,$B$36),INDEX('Вводные'!$E$88:$E$91,$B$36)+INDEX('Вводные'!$F$88:$F$91,$B$36)+'Вводные'!$H$9)),AND($B$35="Да",IFERROR(INDEX('Вводные'!$B$88:$B$91,$B$36),"Нет")="Да")),MAX(0,SUM($D53:BO53)-BO53),0)</x:f>
      </x:c>
      <x:c r="BP55" s="107" t="n">
        <x:f>IF(AND(YEAR(BP$3)=YEAR(EDATE(INDEX('Вводные'!$D$88:$D$91,$B$36),INDEX('Вводные'!$E$88:$E$91,$B$36)+INDEX('Вводные'!$F$88:$F$91,$B$36)+'Вводные'!$H$9)),MONTH(BP$3)=MONTH(EDATE(INDEX('Вводные'!$D$88:$D$91,$B$36),INDEX('Вводные'!$E$88:$E$91,$B$36)+INDEX('Вводные'!$F$88:$F$91,$B$36)+'Вводные'!$H$9)),AND($B$35="Да",IFERROR(INDEX('Вводные'!$B$88:$B$91,$B$36),"Нет")="Да")),MAX(0,SUM($D53:BP53)-BP53),0)</x:f>
      </x:c>
      <x:c r="BQ55" s="107" t="n">
        <x:f>IF(AND(YEAR(BQ$3)=YEAR(EDATE(INDEX('Вводные'!$D$88:$D$91,$B$36),INDEX('Вводные'!$E$88:$E$91,$B$36)+INDEX('Вводные'!$F$88:$F$91,$B$36)+'Вводные'!$H$9)),MONTH(BQ$3)=MONTH(EDATE(INDEX('Вводные'!$D$88:$D$91,$B$36),INDEX('Вводные'!$E$88:$E$91,$B$36)+INDEX('Вводные'!$F$88:$F$91,$B$36)+'Вводные'!$H$9)),AND($B$35="Да",IFERROR(INDEX('Вводные'!$B$88:$B$91,$B$36),"Нет")="Да")),MAX(0,SUM($D53:BQ53)-BQ53),0)</x:f>
      </x:c>
      <x:c r="BR55" s="107" t="n">
        <x:f>IF(AND(YEAR(BR$3)=YEAR(EDATE(INDEX('Вводные'!$D$88:$D$91,$B$36),INDEX('Вводные'!$E$88:$E$91,$B$36)+INDEX('Вводные'!$F$88:$F$91,$B$36)+'Вводные'!$H$9)),MONTH(BR$3)=MONTH(EDATE(INDEX('Вводные'!$D$88:$D$91,$B$36),INDEX('Вводные'!$E$88:$E$91,$B$36)+INDEX('Вводные'!$F$88:$F$91,$B$36)+'Вводные'!$H$9)),AND($B$35="Да",IFERROR(INDEX('Вводные'!$B$88:$B$91,$B$36),"Нет")="Да")),MAX(0,SUM($D53:BR53)-BR53),0)</x:f>
      </x:c>
      <x:c r="BS55" s="107" t="n">
        <x:f>IF(AND(YEAR(BS$3)=YEAR(EDATE(INDEX('Вводные'!$D$88:$D$91,$B$36),INDEX('Вводные'!$E$88:$E$91,$B$36)+INDEX('Вводные'!$F$88:$F$91,$B$36)+'Вводные'!$H$9)),MONTH(BS$3)=MONTH(EDATE(INDEX('Вводные'!$D$88:$D$91,$B$36),INDEX('Вводные'!$E$88:$E$91,$B$36)+INDEX('Вводные'!$F$88:$F$91,$B$36)+'Вводные'!$H$9)),AND($B$35="Да",IFERROR(INDEX('Вводные'!$B$88:$B$91,$B$36),"Нет")="Да")),MAX(0,SUM($D53:BS53)-BS53),0)</x:f>
      </x:c>
      <x:c r="BT55" s="107" t="n">
        <x:f>IF(AND(YEAR(BT$3)=YEAR(EDATE(INDEX('Вводные'!$D$88:$D$91,$B$36),INDEX('Вводные'!$E$88:$E$91,$B$36)+INDEX('Вводные'!$F$88:$F$91,$B$36)+'Вводные'!$H$9)),MONTH(BT$3)=MONTH(EDATE(INDEX('Вводные'!$D$88:$D$91,$B$36),INDEX('Вводные'!$E$88:$E$91,$B$36)+INDEX('Вводные'!$F$88:$F$91,$B$36)+'Вводные'!$H$9)),AND($B$35="Да",IFERROR(INDEX('Вводные'!$B$88:$B$91,$B$36),"Нет")="Да")),MAX(0,SUM($D53:BT53)-BT53),0)</x:f>
      </x:c>
      <x:c r="BU55" s="107" t="n">
        <x:f>IF(AND(YEAR(BU$3)=YEAR(EDATE(INDEX('Вводные'!$D$88:$D$91,$B$36),INDEX('Вводные'!$E$88:$E$91,$B$36)+INDEX('Вводные'!$F$88:$F$91,$B$36)+'Вводные'!$H$9)),MONTH(BU$3)=MONTH(EDATE(INDEX('Вводные'!$D$88:$D$91,$B$36),INDEX('Вводные'!$E$88:$E$91,$B$36)+INDEX('Вводные'!$F$88:$F$91,$B$36)+'Вводные'!$H$9)),AND($B$35="Да",IFERROR(INDEX('Вводные'!$B$88:$B$91,$B$36),"Нет")="Да")),MAX(0,SUM($D53:BU53)-BU53),0)</x:f>
      </x:c>
      <x:c r="BV55" s="107" t="n">
        <x:f>IF(AND(YEAR(BV$3)=YEAR(EDATE(INDEX('Вводные'!$D$88:$D$91,$B$36),INDEX('Вводные'!$E$88:$E$91,$B$36)+INDEX('Вводные'!$F$88:$F$91,$B$36)+'Вводные'!$H$9)),MONTH(BV$3)=MONTH(EDATE(INDEX('Вводные'!$D$88:$D$91,$B$36),INDEX('Вводные'!$E$88:$E$91,$B$36)+INDEX('Вводные'!$F$88:$F$91,$B$36)+'Вводные'!$H$9)),AND($B$35="Да",IFERROR(INDEX('Вводные'!$B$88:$B$91,$B$36),"Нет")="Да")),MAX(0,SUM($D53:BV53)-BV53),0)</x:f>
      </x:c>
      <x:c r="BW55" s="107" t="n">
        <x:f>IF(AND(YEAR(BW$3)=YEAR(EDATE(INDEX('Вводные'!$D$88:$D$91,$B$36),INDEX('Вводные'!$E$88:$E$91,$B$36)+INDEX('Вводные'!$F$88:$F$91,$B$36)+'Вводные'!$H$9)),MONTH(BW$3)=MONTH(EDATE(INDEX('Вводные'!$D$88:$D$91,$B$36),INDEX('Вводные'!$E$88:$E$91,$B$36)+INDEX('Вводные'!$F$88:$F$91,$B$36)+'Вводные'!$H$9)),AND($B$35="Да",IFERROR(INDEX('Вводные'!$B$88:$B$91,$B$36),"Нет")="Да")),MAX(0,SUM($D53:BW53)-BW53),0)</x:f>
      </x:c>
      <x:c r="BX55" s="107" t="n">
        <x:f>IF(AND(YEAR(BX$3)=YEAR(EDATE(INDEX('Вводные'!$D$88:$D$91,$B$36),INDEX('Вводные'!$E$88:$E$91,$B$36)+INDEX('Вводные'!$F$88:$F$91,$B$36)+'Вводные'!$H$9)),MONTH(BX$3)=MONTH(EDATE(INDEX('Вводные'!$D$88:$D$91,$B$36),INDEX('Вводные'!$E$88:$E$91,$B$36)+INDEX('Вводные'!$F$88:$F$91,$B$36)+'Вводные'!$H$9)),AND($B$35="Да",IFERROR(INDEX('Вводные'!$B$88:$B$91,$B$36),"Нет")="Да")),MAX(0,SUM($D53:BX53)-BX53),0)</x:f>
      </x:c>
      <x:c r="BY55" s="107" t="n">
        <x:f>IF(AND(YEAR(BY$3)=YEAR(EDATE(INDEX('Вводные'!$D$88:$D$91,$B$36),INDEX('Вводные'!$E$88:$E$91,$B$36)+INDEX('Вводные'!$F$88:$F$91,$B$36)+'Вводные'!$H$9)),MONTH(BY$3)=MONTH(EDATE(INDEX('Вводные'!$D$88:$D$91,$B$36),INDEX('Вводные'!$E$88:$E$91,$B$36)+INDEX('Вводные'!$F$88:$F$91,$B$36)+'Вводные'!$H$9)),AND($B$35="Да",IFERROR(INDEX('Вводные'!$B$88:$B$91,$B$36),"Нет")="Да")),MAX(0,SUM($D53:BY53)-BY53),0)</x:f>
      </x:c>
      <x:c r="BZ55" s="107" t="n">
        <x:f>IF(AND(YEAR(BZ$3)=YEAR(EDATE(INDEX('Вводные'!$D$88:$D$91,$B$36),INDEX('Вводные'!$E$88:$E$91,$B$36)+INDEX('Вводные'!$F$88:$F$91,$B$36)+'Вводные'!$H$9)),MONTH(BZ$3)=MONTH(EDATE(INDEX('Вводные'!$D$88:$D$91,$B$36),INDEX('Вводные'!$E$88:$E$91,$B$36)+INDEX('Вводные'!$F$88:$F$91,$B$36)+'Вводные'!$H$9)),AND($B$35="Да",IFERROR(INDEX('Вводные'!$B$88:$B$91,$B$36),"Нет")="Да")),MAX(0,SUM($D53:BZ53)-BZ53),0)</x:f>
      </x:c>
      <x:c r="CA55" s="107" t="n">
        <x:f>IF(AND(YEAR(CA$3)=YEAR(EDATE(INDEX('Вводные'!$D$88:$D$91,$B$36),INDEX('Вводные'!$E$88:$E$91,$B$36)+INDEX('Вводные'!$F$88:$F$91,$B$36)+'Вводные'!$H$9)),MONTH(CA$3)=MONTH(EDATE(INDEX('Вводные'!$D$88:$D$91,$B$36),INDEX('Вводные'!$E$88:$E$91,$B$36)+INDEX('Вводные'!$F$88:$F$91,$B$36)+'Вводные'!$H$9)),AND($B$35="Да",IFERROR(INDEX('Вводные'!$B$88:$B$91,$B$36),"Нет")="Да")),MAX(0,SUM($D53:CA53)-CA53),0)</x:f>
      </x:c>
      <x:c r="CB55" s="107" t="n">
        <x:f>IF(AND(YEAR(CB$3)=YEAR(EDATE(INDEX('Вводные'!$D$88:$D$91,$B$36),INDEX('Вводные'!$E$88:$E$91,$B$36)+INDEX('Вводные'!$F$88:$F$91,$B$36)+'Вводные'!$H$9)),MONTH(CB$3)=MONTH(EDATE(INDEX('Вводные'!$D$88:$D$91,$B$36),INDEX('Вводные'!$E$88:$E$91,$B$36)+INDEX('Вводные'!$F$88:$F$91,$B$36)+'Вводные'!$H$9)),AND($B$35="Да",IFERROR(INDEX('Вводные'!$B$88:$B$91,$B$36),"Нет")="Да")),MAX(0,SUM($D53:CB53)-CB53),0)</x:f>
      </x:c>
      <x:c r="CC55" s="107" t="n">
        <x:f>IF(AND(YEAR(CC$3)=YEAR(EDATE(INDEX('Вводные'!$D$88:$D$91,$B$36),INDEX('Вводные'!$E$88:$E$91,$B$36)+INDEX('Вводные'!$F$88:$F$91,$B$36)+'Вводные'!$H$9)),MONTH(CC$3)=MONTH(EDATE(INDEX('Вводные'!$D$88:$D$91,$B$36),INDEX('Вводные'!$E$88:$E$91,$B$36)+INDEX('Вводные'!$F$88:$F$91,$B$36)+'Вводные'!$H$9)),AND($B$35="Да",IFERROR(INDEX('Вводные'!$B$88:$B$91,$B$36),"Нет")="Да")),MAX(0,SUM($D53:CC53)-CC53),0)</x:f>
      </x:c>
      <x:c r="CD55" s="107" t="n">
        <x:f>IF(AND(YEAR(CD$3)=YEAR(EDATE(INDEX('Вводные'!$D$88:$D$91,$B$36),INDEX('Вводные'!$E$88:$E$91,$B$36)+INDEX('Вводные'!$F$88:$F$91,$B$36)+'Вводные'!$H$9)),MONTH(CD$3)=MONTH(EDATE(INDEX('Вводные'!$D$88:$D$91,$B$36),INDEX('Вводные'!$E$88:$E$91,$B$36)+INDEX('Вводные'!$F$88:$F$91,$B$36)+'Вводные'!$H$9)),AND($B$35="Да",IFERROR(INDEX('Вводные'!$B$88:$B$91,$B$36),"Нет")="Да")),MAX(0,SUM($D53:CD53)-CD53),0)</x:f>
      </x:c>
      <x:c r="CE55" s="107" t="n">
        <x:f>IF(AND(YEAR(CE$3)=YEAR(EDATE(INDEX('Вводные'!$D$88:$D$91,$B$36),INDEX('Вводные'!$E$88:$E$91,$B$36)+INDEX('Вводные'!$F$88:$F$91,$B$36)+'Вводные'!$H$9)),MONTH(CE$3)=MONTH(EDATE(INDEX('Вводные'!$D$88:$D$91,$B$36),INDEX('Вводные'!$E$88:$E$91,$B$36)+INDEX('Вводные'!$F$88:$F$91,$B$36)+'Вводные'!$H$9)),AND($B$35="Да",IFERROR(INDEX('Вводные'!$B$88:$B$91,$B$36),"Нет")="Да")),MAX(0,SUM($D53:CE53)-CE53),0)</x:f>
      </x:c>
      <x:c r="CF55" s="107" t="n">
        <x:f>IF(AND(YEAR(CF$3)=YEAR(EDATE(INDEX('Вводные'!$D$88:$D$91,$B$36),INDEX('Вводные'!$E$88:$E$91,$B$36)+INDEX('Вводные'!$F$88:$F$91,$B$36)+'Вводные'!$H$9)),MONTH(CF$3)=MONTH(EDATE(INDEX('Вводные'!$D$88:$D$91,$B$36),INDEX('Вводные'!$E$88:$E$91,$B$36)+INDEX('Вводные'!$F$88:$F$91,$B$36)+'Вводные'!$H$9)),AND($B$35="Да",IFERROR(INDEX('Вводные'!$B$88:$B$91,$B$36),"Нет")="Да")),MAX(0,SUM($D53:CF53)-CF53),0)</x:f>
      </x:c>
      <x:c r="CG55" s="107" t="n">
        <x:f>IF(AND(YEAR(CG$3)=YEAR(EDATE(INDEX('Вводные'!$D$88:$D$91,$B$36),INDEX('Вводные'!$E$88:$E$91,$B$36)+INDEX('Вводные'!$F$88:$F$91,$B$36)+'Вводные'!$H$9)),MONTH(CG$3)=MONTH(EDATE(INDEX('Вводные'!$D$88:$D$91,$B$36),INDEX('Вводные'!$E$88:$E$91,$B$36)+INDEX('Вводные'!$F$88:$F$91,$B$36)+'Вводные'!$H$9)),AND($B$35="Да",IFERROR(INDEX('Вводные'!$B$88:$B$91,$B$36),"Нет")="Да")),MAX(0,SUM($D53:CG53)-CG53),0)</x:f>
      </x:c>
      <x:c r="CH55" s="107" t="n">
        <x:f>IF(AND(YEAR(CH$3)=YEAR(EDATE(INDEX('Вводные'!$D$88:$D$91,$B$36),INDEX('Вводные'!$E$88:$E$91,$B$36)+INDEX('Вводные'!$F$88:$F$91,$B$36)+'Вводные'!$H$9)),MONTH(CH$3)=MONTH(EDATE(INDEX('Вводные'!$D$88:$D$91,$B$36),INDEX('Вводные'!$E$88:$E$91,$B$36)+INDEX('Вводные'!$F$88:$F$91,$B$36)+'Вводные'!$H$9)),AND($B$35="Да",IFERROR(INDEX('Вводные'!$B$88:$B$91,$B$36),"Нет")="Да")),MAX(0,SUM($D53:CH53)-CH53),0)</x:f>
      </x:c>
      <x:c r="CI55" s="107" t="n">
        <x:f>IF(AND(YEAR(CI$3)=YEAR(EDATE(INDEX('Вводные'!$D$88:$D$91,$B$36),INDEX('Вводные'!$E$88:$E$91,$B$36)+INDEX('Вводные'!$F$88:$F$91,$B$36)+'Вводные'!$H$9)),MONTH(CI$3)=MONTH(EDATE(INDEX('Вводные'!$D$88:$D$91,$B$36),INDEX('Вводные'!$E$88:$E$91,$B$36)+INDEX('Вводные'!$F$88:$F$91,$B$36)+'Вводные'!$H$9)),AND($B$35="Да",IFERROR(INDEX('Вводные'!$B$88:$B$91,$B$36),"Нет")="Да")),MAX(0,SUM($D53:CI53)-CI53),0)</x:f>
      </x:c>
      <x:c r="CJ55" s="107" t="n">
        <x:f>IF(AND(YEAR(CJ$3)=YEAR(EDATE(INDEX('Вводные'!$D$88:$D$91,$B$36),INDEX('Вводные'!$E$88:$E$91,$B$36)+INDEX('Вводные'!$F$88:$F$91,$B$36)+'Вводные'!$H$9)),MONTH(CJ$3)=MONTH(EDATE(INDEX('Вводные'!$D$88:$D$91,$B$36),INDEX('Вводные'!$E$88:$E$91,$B$36)+INDEX('Вводные'!$F$88:$F$91,$B$36)+'Вводные'!$H$9)),AND($B$35="Да",IFERROR(INDEX('Вводные'!$B$88:$B$91,$B$36),"Нет")="Да")),MAX(0,SUM($D53:CJ53)-CJ53),0)</x:f>
      </x:c>
      <x:c r="CK55" s="107" t="n">
        <x:f>IF(AND(YEAR(CK$3)=YEAR(EDATE(INDEX('Вводные'!$D$88:$D$91,$B$36),INDEX('Вводные'!$E$88:$E$91,$B$36)+INDEX('Вводные'!$F$88:$F$91,$B$36)+'Вводные'!$H$9)),MONTH(CK$3)=MONTH(EDATE(INDEX('Вводные'!$D$88:$D$91,$B$36),INDEX('Вводные'!$E$88:$E$91,$B$36)+INDEX('Вводные'!$F$88:$F$91,$B$36)+'Вводные'!$H$9)),AND($B$35="Да",IFERROR(INDEX('Вводные'!$B$88:$B$91,$B$36),"Нет")="Да")),MAX(0,SUM($D53:CK53)-CK53),0)</x:f>
      </x:c>
      <x:c r="CL55" s="107" t="n">
        <x:f>IF(AND(YEAR(CL$3)=YEAR(EDATE(INDEX('Вводные'!$D$88:$D$91,$B$36),INDEX('Вводные'!$E$88:$E$91,$B$36)+INDEX('Вводные'!$F$88:$F$91,$B$36)+'Вводные'!$H$9)),MONTH(CL$3)=MONTH(EDATE(INDEX('Вводные'!$D$88:$D$91,$B$36),INDEX('Вводные'!$E$88:$E$91,$B$36)+INDEX('Вводные'!$F$88:$F$91,$B$36)+'Вводные'!$H$9)),AND($B$35="Да",IFERROR(INDEX('Вводные'!$B$88:$B$91,$B$36),"Нет")="Да")),MAX(0,SUM($D53:CL53)-CL53),0)</x:f>
      </x:c>
      <x:c r="CM55" s="107" t="n">
        <x:f>IF(AND(YEAR(CM$3)=YEAR(EDATE(INDEX('Вводные'!$D$88:$D$91,$B$36),INDEX('Вводные'!$E$88:$E$91,$B$36)+INDEX('Вводные'!$F$88:$F$91,$B$36)+'Вводные'!$H$9)),MONTH(CM$3)=MONTH(EDATE(INDEX('Вводные'!$D$88:$D$91,$B$36),INDEX('Вводные'!$E$88:$E$91,$B$36)+INDEX('Вводные'!$F$88:$F$91,$B$36)+'Вводные'!$H$9)),AND($B$35="Да",IFERROR(INDEX('Вводные'!$B$88:$B$91,$B$36),"Нет")="Да")),MAX(0,SUM($D53:CM53)-CM53),0)</x:f>
      </x:c>
      <x:c r="CN55" s="107" t="n">
        <x:f>IF(AND(YEAR(CN$3)=YEAR(EDATE(INDEX('Вводные'!$D$88:$D$91,$B$36),INDEX('Вводные'!$E$88:$E$91,$B$36)+INDEX('Вводные'!$F$88:$F$91,$B$36)+'Вводные'!$H$9)),MONTH(CN$3)=MONTH(EDATE(INDEX('Вводные'!$D$88:$D$91,$B$36),INDEX('Вводные'!$E$88:$E$91,$B$36)+INDEX('Вводные'!$F$88:$F$91,$B$36)+'Вводные'!$H$9)),AND($B$35="Да",IFERROR(INDEX('Вводные'!$B$88:$B$91,$B$36),"Нет")="Да")),MAX(0,SUM($D53:CN53)-CN53),0)</x:f>
      </x:c>
      <x:c r="CO55" s="107" t="n">
        <x:f>IF(AND(YEAR(CO$3)=YEAR(EDATE(INDEX('Вводные'!$D$88:$D$91,$B$36),INDEX('Вводные'!$E$88:$E$91,$B$36)+INDEX('Вводные'!$F$88:$F$91,$B$36)+'Вводные'!$H$9)),MONTH(CO$3)=MONTH(EDATE(INDEX('Вводные'!$D$88:$D$91,$B$36),INDEX('Вводные'!$E$88:$E$91,$B$36)+INDEX('Вводные'!$F$88:$F$91,$B$36)+'Вводные'!$H$9)),AND($B$35="Да",IFERROR(INDEX('Вводные'!$B$88:$B$91,$B$36),"Нет")="Да")),MAX(0,SUM($D53:CO53)-CO53),0)</x:f>
      </x:c>
      <x:c r="CP55" s="107" t="n">
        <x:f>IF(AND(YEAR(CP$3)=YEAR(EDATE(INDEX('Вводные'!$D$88:$D$91,$B$36),INDEX('Вводные'!$E$88:$E$91,$B$36)+INDEX('Вводные'!$F$88:$F$91,$B$36)+'Вводные'!$H$9)),MONTH(CP$3)=MONTH(EDATE(INDEX('Вводные'!$D$88:$D$91,$B$36),INDEX('Вводные'!$E$88:$E$91,$B$36)+INDEX('Вводные'!$F$88:$F$91,$B$36)+'Вводные'!$H$9)),AND($B$35="Да",IFERROR(INDEX('Вводные'!$B$88:$B$91,$B$36),"Нет")="Да")),MAX(0,SUM($D53:CP53)-CP53),0)</x:f>
      </x:c>
      <x:c r="CQ55" s="107" t="n">
        <x:f>IF(AND(YEAR(CQ$3)=YEAR(EDATE(INDEX('Вводные'!$D$88:$D$91,$B$36),INDEX('Вводные'!$E$88:$E$91,$B$36)+INDEX('Вводные'!$F$88:$F$91,$B$36)+'Вводные'!$H$9)),MONTH(CQ$3)=MONTH(EDATE(INDEX('Вводные'!$D$88:$D$91,$B$36),INDEX('Вводные'!$E$88:$E$91,$B$36)+INDEX('Вводные'!$F$88:$F$91,$B$36)+'Вводные'!$H$9)),AND($B$35="Да",IFERROR(INDEX('Вводные'!$B$88:$B$91,$B$36),"Нет")="Да")),MAX(0,SUM($D53:CQ53)-CQ53),0)</x:f>
      </x:c>
      <x:c r="CR55" s="107" t="n">
        <x:f>IF(AND(YEAR(CR$3)=YEAR(EDATE(INDEX('Вводные'!$D$88:$D$91,$B$36),INDEX('Вводные'!$E$88:$E$91,$B$36)+INDEX('Вводные'!$F$88:$F$91,$B$36)+'Вводные'!$H$9)),MONTH(CR$3)=MONTH(EDATE(INDEX('Вводные'!$D$88:$D$91,$B$36),INDEX('Вводные'!$E$88:$E$91,$B$36)+INDEX('Вводные'!$F$88:$F$91,$B$36)+'Вводные'!$H$9)),AND($B$35="Да",IFERROR(INDEX('Вводные'!$B$88:$B$91,$B$36),"Нет")="Да")),MAX(0,SUM($D53:CR53)-CR53),0)</x:f>
      </x:c>
      <x:c r="CS55" s="107" t="n">
        <x:f>IF(AND(YEAR(CS$3)=YEAR(EDATE(INDEX('Вводные'!$D$88:$D$91,$B$36),INDEX('Вводные'!$E$88:$E$91,$B$36)+INDEX('Вводные'!$F$88:$F$91,$B$36)+'Вводные'!$H$9)),MONTH(CS$3)=MONTH(EDATE(INDEX('Вводные'!$D$88:$D$91,$B$36),INDEX('Вводные'!$E$88:$E$91,$B$36)+INDEX('Вводные'!$F$88:$F$91,$B$36)+'Вводные'!$H$9)),AND($B$35="Да",IFERROR(INDEX('Вводные'!$B$88:$B$91,$B$36),"Нет")="Да")),MAX(0,SUM($D53:CS53)-CS53),0)</x:f>
      </x:c>
      <x:c r="CT55" s="107" t="n">
        <x:f>IF(AND(YEAR(CT$3)=YEAR(EDATE(INDEX('Вводные'!$D$88:$D$91,$B$36),INDEX('Вводные'!$E$88:$E$91,$B$36)+INDEX('Вводные'!$F$88:$F$91,$B$36)+'Вводные'!$H$9)),MONTH(CT$3)=MONTH(EDATE(INDEX('Вводные'!$D$88:$D$91,$B$36),INDEX('Вводные'!$E$88:$E$91,$B$36)+INDEX('Вводные'!$F$88:$F$91,$B$36)+'Вводные'!$H$9)),AND($B$35="Да",IFERROR(INDEX('Вводные'!$B$88:$B$91,$B$36),"Нет")="Да")),MAX(0,SUM($D53:CT53)-CT53),0)</x:f>
      </x:c>
      <x:c r="CU55" s="107" t="n">
        <x:f>IF(AND(YEAR(CU$3)=YEAR(EDATE(INDEX('Вводные'!$D$88:$D$91,$B$36),INDEX('Вводные'!$E$88:$E$91,$B$36)+INDEX('Вводные'!$F$88:$F$91,$B$36)+'Вводные'!$H$9)),MONTH(CU$3)=MONTH(EDATE(INDEX('Вводные'!$D$88:$D$91,$B$36),INDEX('Вводные'!$E$88:$E$91,$B$36)+INDEX('Вводные'!$F$88:$F$91,$B$36)+'Вводные'!$H$9)),AND($B$35="Да",IFERROR(INDEX('Вводные'!$B$88:$B$91,$B$36),"Нет")="Да")),MAX(0,SUM($D53:CU53)-CU53),0)</x:f>
      </x:c>
      <x:c r="CV55" s="107" t="n">
        <x:f>IF(AND(YEAR(CV$3)=YEAR(EDATE(INDEX('Вводные'!$D$88:$D$91,$B$36),INDEX('Вводные'!$E$88:$E$91,$B$36)+INDEX('Вводные'!$F$88:$F$91,$B$36)+'Вводные'!$H$9)),MONTH(CV$3)=MONTH(EDATE(INDEX('Вводные'!$D$88:$D$91,$B$36),INDEX('Вводные'!$E$88:$E$91,$B$36)+INDEX('Вводные'!$F$88:$F$91,$B$36)+'Вводные'!$H$9)),AND($B$35="Да",IFERROR(INDEX('Вводные'!$B$88:$B$91,$B$36),"Нет")="Да")),MAX(0,SUM($D53:CV53)-CV53),0)</x:f>
      </x:c>
      <x:c r="CW55" s="107" t="n">
        <x:f>IF(AND(YEAR(CW$3)=YEAR(EDATE(INDEX('Вводные'!$D$88:$D$91,$B$36),INDEX('Вводные'!$E$88:$E$91,$B$36)+INDEX('Вводные'!$F$88:$F$91,$B$36)+'Вводные'!$H$9)),MONTH(CW$3)=MONTH(EDATE(INDEX('Вводные'!$D$88:$D$91,$B$36),INDEX('Вводные'!$E$88:$E$91,$B$36)+INDEX('Вводные'!$F$88:$F$91,$B$36)+'Вводные'!$H$9)),AND($B$35="Да",IFERROR(INDEX('Вводные'!$B$88:$B$91,$B$36),"Нет")="Да")),MAX(0,SUM($D53:CW53)-CW53),0)</x:f>
      </x:c>
      <x:c r="CX55" s="107" t="n">
        <x:f>IF(AND(YEAR(CX$3)=YEAR(EDATE(INDEX('Вводные'!$D$88:$D$91,$B$36),INDEX('Вводные'!$E$88:$E$91,$B$36)+INDEX('Вводные'!$F$88:$F$91,$B$36)+'Вводные'!$H$9)),MONTH(CX$3)=MONTH(EDATE(INDEX('Вводные'!$D$88:$D$91,$B$36),INDEX('Вводные'!$E$88:$E$91,$B$36)+INDEX('Вводные'!$F$88:$F$91,$B$36)+'Вводные'!$H$9)),AND($B$35="Да",IFERROR(INDEX('Вводные'!$B$88:$B$91,$B$36),"Нет")="Да")),MAX(0,SUM($D53:CX53)-CX53),0)</x:f>
      </x:c>
      <x:c r="CY55" s="107" t="n">
        <x:f>IF(AND(YEAR(CY$3)=YEAR(EDATE(INDEX('Вводные'!$D$88:$D$91,$B$36),INDEX('Вводные'!$E$88:$E$91,$B$36)+INDEX('Вводные'!$F$88:$F$91,$B$36)+'Вводные'!$H$9)),MONTH(CY$3)=MONTH(EDATE(INDEX('Вводные'!$D$88:$D$91,$B$36),INDEX('Вводные'!$E$88:$E$91,$B$36)+INDEX('Вводные'!$F$88:$F$91,$B$36)+'Вводные'!$H$9)),AND($B$35="Да",IFERROR(INDEX('Вводные'!$B$88:$B$91,$B$36),"Нет")="Да")),MAX(0,SUM($D53:CY53)-CY53),0)</x:f>
      </x:c>
      <x:c r="CZ55" s="107" t="n">
        <x:f>IF(AND(YEAR(CZ$3)=YEAR(EDATE(INDEX('Вводные'!$D$88:$D$91,$B$36),INDEX('Вводные'!$E$88:$E$91,$B$36)+INDEX('Вводные'!$F$88:$F$91,$B$36)+'Вводные'!$H$9)),MONTH(CZ$3)=MONTH(EDATE(INDEX('Вводные'!$D$88:$D$91,$B$36),INDEX('Вводные'!$E$88:$E$91,$B$36)+INDEX('Вводные'!$F$88:$F$91,$B$36)+'Вводные'!$H$9)),AND($B$35="Да",IFERROR(INDEX('Вводные'!$B$88:$B$91,$B$36),"Нет")="Да")),MAX(0,SUM($D53:CZ53)-CZ53),0)</x:f>
      </x:c>
      <x:c r="DA55" s="107" t="n">
        <x:f>IF(AND(YEAR(DA$3)=YEAR(EDATE(INDEX('Вводные'!$D$88:$D$91,$B$36),INDEX('Вводные'!$E$88:$E$91,$B$36)+INDEX('Вводные'!$F$88:$F$91,$B$36)+'Вводные'!$H$9)),MONTH(DA$3)=MONTH(EDATE(INDEX('Вводные'!$D$88:$D$91,$B$36),INDEX('Вводные'!$E$88:$E$91,$B$36)+INDEX('Вводные'!$F$88:$F$91,$B$36)+'Вводные'!$H$9)),AND($B$35="Да",IFERROR(INDEX('Вводные'!$B$88:$B$91,$B$36),"Нет")="Да")),MAX(0,SUM($D53:DA53)-DA53),0)</x:f>
      </x:c>
      <x:c r="DB55" s="107" t="n">
        <x:f>IF(AND(YEAR(DB$3)=YEAR(EDATE(INDEX('Вводные'!$D$88:$D$91,$B$36),INDEX('Вводные'!$E$88:$E$91,$B$36)+INDEX('Вводные'!$F$88:$F$91,$B$36)+'Вводные'!$H$9)),MONTH(DB$3)=MONTH(EDATE(INDEX('Вводные'!$D$88:$D$91,$B$36),INDEX('Вводные'!$E$88:$E$91,$B$36)+INDEX('Вводные'!$F$88:$F$91,$B$36)+'Вводные'!$H$9)),AND($B$35="Да",IFERROR(INDEX('Вводные'!$B$88:$B$91,$B$36),"Нет")="Да")),MAX(0,SUM($D53:DB53)-DB53),0)</x:f>
      </x:c>
      <x:c r="DC55" s="107" t="n">
        <x:f>IF(AND(YEAR(DC$3)=YEAR(EDATE(INDEX('Вводные'!$D$88:$D$91,$B$36),INDEX('Вводные'!$E$88:$E$91,$B$36)+INDEX('Вводные'!$F$88:$F$91,$B$36)+'Вводные'!$H$9)),MONTH(DC$3)=MONTH(EDATE(INDEX('Вводные'!$D$88:$D$91,$B$36),INDEX('Вводные'!$E$88:$E$91,$B$36)+INDEX('Вводные'!$F$88:$F$91,$B$36)+'Вводные'!$H$9)),AND($B$35="Да",IFERROR(INDEX('Вводные'!$B$88:$B$91,$B$36),"Нет")="Да")),MAX(0,SUM($D53:DC53)-DC53),0)</x:f>
      </x:c>
      <x:c r="DD55" s="107" t="n">
        <x:f>IF(AND(YEAR(DD$3)=YEAR(EDATE(INDEX('Вводные'!$D$88:$D$91,$B$36),INDEX('Вводные'!$E$88:$E$91,$B$36)+INDEX('Вводные'!$F$88:$F$91,$B$36)+'Вводные'!$H$9)),MONTH(DD$3)=MONTH(EDATE(INDEX('Вводные'!$D$88:$D$91,$B$36),INDEX('Вводные'!$E$88:$E$91,$B$36)+INDEX('Вводные'!$F$88:$F$91,$B$36)+'Вводные'!$H$9)),AND($B$35="Да",IFERROR(INDEX('Вводные'!$B$88:$B$91,$B$36),"Нет")="Да")),MAX(0,SUM($D53:DD53)-DD53),0)</x:f>
      </x:c>
      <x:c r="DE55" s="107" t="n">
        <x:f>IF(AND(YEAR(DE$3)=YEAR(EDATE(INDEX('Вводные'!$D$88:$D$91,$B$36),INDEX('Вводные'!$E$88:$E$91,$B$36)+INDEX('Вводные'!$F$88:$F$91,$B$36)+'Вводные'!$H$9)),MONTH(DE$3)=MONTH(EDATE(INDEX('Вводные'!$D$88:$D$91,$B$36),INDEX('Вводные'!$E$88:$E$91,$B$36)+INDEX('Вводные'!$F$88:$F$91,$B$36)+'Вводные'!$H$9)),AND($B$35="Да",IFERROR(INDEX('Вводные'!$B$88:$B$91,$B$36),"Нет")="Да")),MAX(0,SUM($D53:DE53)-DE53),0)</x:f>
      </x:c>
      <x:c r="DF55" s="107" t="n">
        <x:f>IF(AND(YEAR(DF$3)=YEAR(EDATE(INDEX('Вводные'!$D$88:$D$91,$B$36),INDEX('Вводные'!$E$88:$E$91,$B$36)+INDEX('Вводные'!$F$88:$F$91,$B$36)+'Вводные'!$H$9)),MONTH(DF$3)=MONTH(EDATE(INDEX('Вводные'!$D$88:$D$91,$B$36),INDEX('Вводные'!$E$88:$E$91,$B$36)+INDEX('Вводные'!$F$88:$F$91,$B$36)+'Вводные'!$H$9)),AND($B$35="Да",IFERROR(INDEX('Вводные'!$B$88:$B$91,$B$36),"Нет")="Да")),MAX(0,SUM($D53:DF53)-DF53),0)</x:f>
      </x:c>
      <x:c r="DG55" s="107" t="n">
        <x:f>IF(AND(YEAR(DG$3)=YEAR(EDATE(INDEX('Вводные'!$D$88:$D$91,$B$36),INDEX('Вводные'!$E$88:$E$91,$B$36)+INDEX('Вводные'!$F$88:$F$91,$B$36)+'Вводные'!$H$9)),MONTH(DG$3)=MONTH(EDATE(INDEX('Вводные'!$D$88:$D$91,$B$36),INDEX('Вводные'!$E$88:$E$91,$B$36)+INDEX('Вводные'!$F$88:$F$91,$B$36)+'Вводные'!$H$9)),AND($B$35="Да",IFERROR(INDEX('Вводные'!$B$88:$B$91,$B$36),"Нет")="Да")),MAX(0,SUM($D53:DG53)-DG53),0)</x:f>
      </x:c>
      <x:c r="DH55" s="107" t="n">
        <x:f>IF(AND(YEAR(DH$3)=YEAR(EDATE(INDEX('Вводные'!$D$88:$D$91,$B$36),INDEX('Вводные'!$E$88:$E$91,$B$36)+INDEX('Вводные'!$F$88:$F$91,$B$36)+'Вводные'!$H$9)),MONTH(DH$3)=MONTH(EDATE(INDEX('Вводные'!$D$88:$D$91,$B$36),INDEX('Вводные'!$E$88:$E$91,$B$36)+INDEX('Вводные'!$F$88:$F$91,$B$36)+'Вводные'!$H$9)),AND($B$35="Да",IFERROR(INDEX('Вводные'!$B$88:$B$91,$B$36),"Нет")="Да")),MAX(0,SUM($D53:DH53)-DH53),0)</x:f>
      </x:c>
      <x:c r="DI55" s="107" t="n">
        <x:f>IF(AND(YEAR(DI$3)=YEAR(EDATE(INDEX('Вводные'!$D$88:$D$91,$B$36),INDEX('Вводные'!$E$88:$E$91,$B$36)+INDEX('Вводные'!$F$88:$F$91,$B$36)+'Вводные'!$H$9)),MONTH(DI$3)=MONTH(EDATE(INDEX('Вводные'!$D$88:$D$91,$B$36),INDEX('Вводные'!$E$88:$E$91,$B$36)+INDEX('Вводные'!$F$88:$F$91,$B$36)+'Вводные'!$H$9)),AND($B$35="Да",IFERROR(INDEX('Вводные'!$B$88:$B$91,$B$36),"Нет")="Да")),MAX(0,SUM($D53:DI53)-DI53),0)</x:f>
      </x:c>
      <x:c r="DJ55" s="107" t="n">
        <x:f>IF(AND(YEAR(DJ$3)=YEAR(EDATE(INDEX('Вводные'!$D$88:$D$91,$B$36),INDEX('Вводные'!$E$88:$E$91,$B$36)+INDEX('Вводные'!$F$88:$F$91,$B$36)+'Вводные'!$H$9)),MONTH(DJ$3)=MONTH(EDATE(INDEX('Вводные'!$D$88:$D$91,$B$36),INDEX('Вводные'!$E$88:$E$91,$B$36)+INDEX('Вводные'!$F$88:$F$91,$B$36)+'Вводные'!$H$9)),AND($B$35="Да",IFERROR(INDEX('Вводные'!$B$88:$B$91,$B$36),"Нет")="Да")),MAX(0,SUM($D53:DJ53)-DJ53),0)</x:f>
      </x:c>
      <x:c r="DK55" s="107" t="n">
        <x:f>IF(AND(YEAR(DK$3)=YEAR(EDATE(INDEX('Вводные'!$D$88:$D$91,$B$36),INDEX('Вводные'!$E$88:$E$91,$B$36)+INDEX('Вводные'!$F$88:$F$91,$B$36)+'Вводные'!$H$9)),MONTH(DK$3)=MONTH(EDATE(INDEX('Вводные'!$D$88:$D$91,$B$36),INDEX('Вводные'!$E$88:$E$91,$B$36)+INDEX('Вводные'!$F$88:$F$91,$B$36)+'Вводные'!$H$9)),AND($B$35="Да",IFERROR(INDEX('Вводные'!$B$88:$B$91,$B$36),"Нет")="Да")),MAX(0,SUM($D53:DK53)-DK53),0)</x:f>
      </x:c>
      <x:c r="DL55" s="107" t="n">
        <x:f>IF(AND(YEAR(DL$3)=YEAR(EDATE(INDEX('Вводные'!$D$88:$D$91,$B$36),INDEX('Вводные'!$E$88:$E$91,$B$36)+INDEX('Вводные'!$F$88:$F$91,$B$36)+'Вводные'!$H$9)),MONTH(DL$3)=MONTH(EDATE(INDEX('Вводные'!$D$88:$D$91,$B$36),INDEX('Вводные'!$E$88:$E$91,$B$36)+INDEX('Вводные'!$F$88:$F$91,$B$36)+'Вводные'!$H$9)),AND($B$35="Да",IFERROR(INDEX('Вводные'!$B$88:$B$91,$B$36),"Нет")="Да")),MAX(0,SUM($D53:DL53)-DL53),0)</x:f>
      </x:c>
      <x:c r="DM55" s="107" t="n">
        <x:f>IF(AND(YEAR(DM$3)=YEAR(EDATE(INDEX('Вводные'!$D$88:$D$91,$B$36),INDEX('Вводные'!$E$88:$E$91,$B$36)+INDEX('Вводные'!$F$88:$F$91,$B$36)+'Вводные'!$H$9)),MONTH(DM$3)=MONTH(EDATE(INDEX('Вводные'!$D$88:$D$91,$B$36),INDEX('Вводные'!$E$88:$E$91,$B$36)+INDEX('Вводные'!$F$88:$F$91,$B$36)+'Вводные'!$H$9)),AND($B$35="Да",IFERROR(INDEX('Вводные'!$B$88:$B$91,$B$36),"Нет")="Да")),MAX(0,SUM($D53:DM53)-DM53),0)</x:f>
      </x:c>
      <x:c r="DN55" s="107" t="n">
        <x:f>IF(AND(YEAR(DN$3)=YEAR(EDATE(INDEX('Вводные'!$D$88:$D$91,$B$36),INDEX('Вводные'!$E$88:$E$91,$B$36)+INDEX('Вводные'!$F$88:$F$91,$B$36)+'Вводные'!$H$9)),MONTH(DN$3)=MONTH(EDATE(INDEX('Вводные'!$D$88:$D$91,$B$36),INDEX('Вводные'!$E$88:$E$91,$B$36)+INDEX('Вводные'!$F$88:$F$91,$B$36)+'Вводные'!$H$9)),AND($B$35="Да",IFERROR(INDEX('Вводные'!$B$88:$B$91,$B$36),"Нет")="Да")),MAX(0,SUM($D53:DN53)-DN53),0)</x:f>
      </x:c>
      <x:c r="DO55" s="107" t="n">
        <x:f>IF(AND(YEAR(DO$3)=YEAR(EDATE(INDEX('Вводные'!$D$88:$D$91,$B$36),INDEX('Вводные'!$E$88:$E$91,$B$36)+INDEX('Вводные'!$F$88:$F$91,$B$36)+'Вводные'!$H$9)),MONTH(DO$3)=MONTH(EDATE(INDEX('Вводные'!$D$88:$D$91,$B$36),INDEX('Вводные'!$E$88:$E$91,$B$36)+INDEX('Вводные'!$F$88:$F$91,$B$36)+'Вводные'!$H$9)),AND($B$35="Да",IFERROR(INDEX('Вводные'!$B$88:$B$91,$B$36),"Нет")="Да")),MAX(0,SUM($D53:DO53)-DO53),0)</x:f>
      </x:c>
      <x:c r="DP55" s="107" t="n">
        <x:f>IF(AND(YEAR(DP$3)=YEAR(EDATE(INDEX('Вводные'!$D$88:$D$91,$B$36),INDEX('Вводные'!$E$88:$E$91,$B$36)+INDEX('Вводные'!$F$88:$F$91,$B$36)+'Вводные'!$H$9)),MONTH(DP$3)=MONTH(EDATE(INDEX('Вводные'!$D$88:$D$91,$B$36),INDEX('Вводные'!$E$88:$E$91,$B$36)+INDEX('Вводные'!$F$88:$F$91,$B$36)+'Вводные'!$H$9)),AND($B$35="Да",IFERROR(INDEX('Вводные'!$B$88:$B$91,$B$36),"Нет")="Да")),MAX(0,SUM($D53:DP53)-DP53),0)</x:f>
      </x:c>
      <x:c r="DQ55" s="107" t="n">
        <x:f>IF(AND(YEAR(DQ$3)=YEAR(EDATE(INDEX('Вводные'!$D$88:$D$91,$B$36),INDEX('Вводные'!$E$88:$E$91,$B$36)+INDEX('Вводные'!$F$88:$F$91,$B$36)+'Вводные'!$H$9)),MONTH(DQ$3)=MONTH(EDATE(INDEX('Вводные'!$D$88:$D$91,$B$36),INDEX('Вводные'!$E$88:$E$91,$B$36)+INDEX('Вводные'!$F$88:$F$91,$B$36)+'Вводные'!$H$9)),AND($B$35="Да",IFERROR(INDEX('Вводные'!$B$88:$B$91,$B$36),"Нет")="Да")),MAX(0,SUM($D53:DQ53)-DQ53),0)</x:f>
      </x:c>
      <x:c r="DR55" s="107" t="n">
        <x:f>IF(AND(YEAR(DR$3)=YEAR(EDATE(INDEX('Вводные'!$D$88:$D$91,$B$36),INDEX('Вводные'!$E$88:$E$91,$B$36)+INDEX('Вводные'!$F$88:$F$91,$B$36)+'Вводные'!$H$9)),MONTH(DR$3)=MONTH(EDATE(INDEX('Вводные'!$D$88:$D$91,$B$36),INDEX('Вводные'!$E$88:$E$91,$B$36)+INDEX('Вводные'!$F$88:$F$91,$B$36)+'Вводные'!$H$9)),AND($B$35="Да",IFERROR(INDEX('Вводные'!$B$88:$B$91,$B$36),"Нет")="Да")),MAX(0,SUM($D53:DR53)-DR53),0)</x:f>
      </x:c>
      <x:c r="DS55" s="107" t="n">
        <x:f>IF(AND(YEAR(DS$3)=YEAR(EDATE(INDEX('Вводные'!$D$88:$D$91,$B$36),INDEX('Вводные'!$E$88:$E$91,$B$36)+INDEX('Вводные'!$F$88:$F$91,$B$36)+'Вводные'!$H$9)),MONTH(DS$3)=MONTH(EDATE(INDEX('Вводные'!$D$88:$D$91,$B$36),INDEX('Вводные'!$E$88:$E$91,$B$36)+INDEX('Вводные'!$F$88:$F$91,$B$36)+'Вводные'!$H$9)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IF(AND(D$3&gt;=$B$67,D$3&lt;EDATE($B$67,MAX(1,'Вводные'!$K$73)),AND($B$63="Да",IFERROR(INDEX('Вводные'!$B$88:$B$91,$B$64),"Нет")="Да")),1,0)</x:f>
      </x:c>
      <x:c r="E74" s="35" t="n">
        <x:f>IF(AND(E$3&gt;=$B$67,E$3&lt;EDATE($B$67,MAX(1,'Вводные'!$K$73)),AND($B$63="Да",IFERROR(INDEX('Вводные'!$B$88:$B$91,$B$64),"Нет")="Да")),1,0)</x:f>
      </x:c>
      <x:c r="F74" s="35" t="n">
        <x:f>IF(AND(F$3&gt;=$B$67,F$3&lt;EDATE($B$67,MAX(1,'Вводные'!$K$73)),AND($B$63="Да",IFERROR(INDEX('Вводные'!$B$88:$B$91,$B$64),"Нет")="Да")),1,0)</x:f>
      </x:c>
      <x:c r="G74" s="35" t="n">
        <x:f>IF(AND(G$3&gt;=$B$67,G$3&lt;EDATE($B$67,MAX(1,'Вводные'!$K$73)),AND($B$63="Да",IFERROR(INDEX('Вводные'!$B$88:$B$91,$B$64),"Нет")="Да")),1,0)</x:f>
      </x:c>
      <x:c r="H74" s="35" t="n">
        <x:f>IF(AND(H$3&gt;=$B$67,H$3&lt;EDATE($B$67,MAX(1,'Вводные'!$K$73)),AND($B$63="Да",IFERROR(INDEX('Вводные'!$B$88:$B$91,$B$64),"Нет")="Да")),1,0)</x:f>
      </x:c>
      <x:c r="I74" s="35" t="n">
        <x:f>IF(AND(I$3&gt;=$B$67,I$3&lt;EDATE($B$67,MAX(1,'Вводные'!$K$73)),AND($B$63="Да",IFERROR(INDEX('Вводные'!$B$88:$B$91,$B$64),"Нет")="Да")),1,0)</x:f>
      </x:c>
      <x:c r="J74" s="35" t="n">
        <x:f>IF(AND(J$3&gt;=$B$67,J$3&lt;EDATE($B$67,MAX(1,'Вводные'!$K$73)),AND($B$63="Да",IFERROR(INDEX('Вводные'!$B$88:$B$91,$B$64),"Нет")="Да")),1,0)</x:f>
      </x:c>
      <x:c r="K74" s="35" t="n">
        <x:f>IF(AND(K$3&gt;=$B$67,K$3&lt;EDATE($B$67,MAX(1,'Вводные'!$K$73)),AND($B$63="Да",IFERROR(INDEX('Вводные'!$B$88:$B$91,$B$64),"Нет")="Да")),1,0)</x:f>
      </x:c>
      <x:c r="L74" s="35" t="n">
        <x:f>IF(AND(L$3&gt;=$B$67,L$3&lt;EDATE($B$67,MAX(1,'Вводные'!$K$73)),AND($B$63="Да",IFERROR(INDEX('Вводные'!$B$88:$B$91,$B$64),"Нет")="Да")),1,0)</x:f>
      </x:c>
      <x:c r="M74" s="35" t="n">
        <x:f>IF(AND(M$3&gt;=$B$67,M$3&lt;EDATE($B$67,MAX(1,'Вводные'!$K$73)),AND($B$63="Да",IFERROR(INDEX('Вводные'!$B$88:$B$91,$B$64),"Нет")="Да")),1,0)</x:f>
      </x:c>
      <x:c r="N74" s="35" t="n">
        <x:f>IF(AND(N$3&gt;=$B$67,N$3&lt;EDATE($B$67,MAX(1,'Вводные'!$K$73)),AND($B$63="Да",IFERROR(INDEX('Вводные'!$B$88:$B$91,$B$64),"Нет")="Да")),1,0)</x:f>
      </x:c>
      <x:c r="O74" s="35" t="n">
        <x:f>IF(AND(O$3&gt;=$B$67,O$3&lt;EDATE($B$67,MAX(1,'Вводные'!$K$73)),AND($B$63="Да",IFERROR(INDEX('Вводные'!$B$88:$B$91,$B$64),"Нет")="Да")),1,0)</x:f>
      </x:c>
      <x:c r="P74" s="35" t="n">
        <x:f>IF(AND(P$3&gt;=$B$67,P$3&lt;EDATE($B$67,MAX(1,'Вводные'!$K$73)),AND($B$63="Да",IFERROR(INDEX('Вводные'!$B$88:$B$91,$B$64),"Нет")="Да")),1,0)</x:f>
      </x:c>
      <x:c r="Q74" s="35" t="n">
        <x:f>IF(AND(Q$3&gt;=$B$67,Q$3&lt;EDATE($B$67,MAX(1,'Вводные'!$K$73)),AND($B$63="Да",IFERROR(INDEX('Вводные'!$B$88:$B$91,$B$64),"Нет")="Да")),1,0)</x:f>
      </x:c>
      <x:c r="R74" s="35" t="n">
        <x:f>IF(AND(R$3&gt;=$B$67,R$3&lt;EDATE($B$67,MAX(1,'Вводные'!$K$73)),AND($B$63="Да",IFERROR(INDEX('Вводные'!$B$88:$B$91,$B$64),"Нет")="Да")),1,0)</x:f>
      </x:c>
      <x:c r="S74" s="35" t="n">
        <x:f>IF(AND(S$3&gt;=$B$67,S$3&lt;EDATE($B$67,MAX(1,'Вводные'!$K$73)),AND($B$63="Да",IFERROR(INDEX('Вводные'!$B$88:$B$91,$B$64),"Нет")="Да")),1,0)</x:f>
      </x:c>
      <x:c r="T74" s="35" t="n">
        <x:f>IF(AND(T$3&gt;=$B$67,T$3&lt;EDATE($B$67,MAX(1,'Вводные'!$K$73)),AND($B$63="Да",IFERROR(INDEX('Вводные'!$B$88:$B$91,$B$64),"Нет")="Да")),1,0)</x:f>
      </x:c>
      <x:c r="U74" s="35" t="n">
        <x:f>IF(AND(U$3&gt;=$B$67,U$3&lt;EDATE($B$67,MAX(1,'Вводные'!$K$73)),AND($B$63="Да",IFERROR(INDEX('Вводные'!$B$88:$B$91,$B$64),"Нет")="Да")),1,0)</x:f>
      </x:c>
      <x:c r="V74" s="35" t="n">
        <x:f>IF(AND(V$3&gt;=$B$67,V$3&lt;EDATE($B$67,MAX(1,'Вводные'!$K$73)),AND($B$63="Да",IFERROR(INDEX('Вводные'!$B$88:$B$91,$B$64),"Нет")="Да")),1,0)</x:f>
      </x:c>
      <x:c r="W74" s="35" t="n">
        <x:f>IF(AND(W$3&gt;=$B$67,W$3&lt;EDATE($B$67,MAX(1,'Вводные'!$K$73)),AND($B$63="Да",IFERROR(INDEX('Вводные'!$B$88:$B$91,$B$64),"Нет")="Да")),1,0)</x:f>
      </x:c>
      <x:c r="X74" s="35" t="n">
        <x:f>IF(AND(X$3&gt;=$B$67,X$3&lt;EDATE($B$67,MAX(1,'Вводные'!$K$73)),AND($B$63="Да",IFERROR(INDEX('Вводные'!$B$88:$B$91,$B$64),"Нет")="Да")),1,0)</x:f>
      </x:c>
      <x:c r="Y74" s="35" t="n">
        <x:f>IF(AND(Y$3&gt;=$B$67,Y$3&lt;EDATE($B$67,MAX(1,'Вводные'!$K$73)),AND($B$63="Да",IFERROR(INDEX('Вводные'!$B$88:$B$91,$B$64),"Нет")="Да")),1,0)</x:f>
      </x:c>
      <x:c r="Z74" s="35" t="n">
        <x:f>IF(AND(Z$3&gt;=$B$67,Z$3&lt;EDATE($B$67,MAX(1,'Вводные'!$K$73)),AND($B$63="Да",IFERROR(INDEX('Вводные'!$B$88:$B$91,$B$64),"Нет")="Да")),1,0)</x:f>
      </x:c>
      <x:c r="AA74" s="35" t="n">
        <x:f>IF(AND(AA$3&gt;=$B$67,AA$3&lt;EDATE($B$67,MAX(1,'Вводные'!$K$73)),AND($B$63="Да",IFERROR(INDEX('Вводные'!$B$88:$B$91,$B$64),"Нет")="Да")),1,0)</x:f>
      </x:c>
      <x:c r="AB74" s="35" t="n">
        <x:f>IF(AND(AB$3&gt;=$B$67,AB$3&lt;EDATE($B$67,MAX(1,'Вводные'!$K$73)),AND($B$63="Да",IFERROR(INDEX('Вводные'!$B$88:$B$91,$B$64),"Нет")="Да")),1,0)</x:f>
      </x:c>
      <x:c r="AC74" s="35" t="n">
        <x:f>IF(AND(AC$3&gt;=$B$67,AC$3&lt;EDATE($B$67,MAX(1,'Вводные'!$K$73)),AND($B$63="Да",IFERROR(INDEX('Вводные'!$B$88:$B$91,$B$64),"Нет")="Да")),1,0)</x:f>
      </x:c>
      <x:c r="AD74" s="35" t="n">
        <x:f>IF(AND(AD$3&gt;=$B$67,AD$3&lt;EDATE($B$67,MAX(1,'Вводные'!$K$73)),AND($B$63="Да",IFERROR(INDEX('Вводные'!$B$88:$B$91,$B$64),"Нет")="Да")),1,0)</x:f>
      </x:c>
      <x:c r="AE74" s="35" t="n">
        <x:f>IF(AND(AE$3&gt;=$B$67,AE$3&lt;EDATE($B$67,MAX(1,'Вводные'!$K$73)),AND($B$63="Да",IFERROR(INDEX('Вводные'!$B$88:$B$91,$B$64),"Нет")="Да")),1,0)</x:f>
      </x:c>
      <x:c r="AF74" s="35" t="n">
        <x:f>IF(AND(AF$3&gt;=$B$67,AF$3&lt;EDATE($B$67,MAX(1,'Вводные'!$K$73)),AND($B$63="Да",IFERROR(INDEX('Вводные'!$B$88:$B$91,$B$64),"Нет")="Да")),1,0)</x:f>
      </x:c>
      <x:c r="AG74" s="35" t="n">
        <x:f>IF(AND(AG$3&gt;=$B$67,AG$3&lt;EDATE($B$67,MAX(1,'Вводные'!$K$73)),AND($B$63="Да",IFERROR(INDEX('Вводные'!$B$88:$B$91,$B$64),"Нет")="Да")),1,0)</x:f>
      </x:c>
      <x:c r="AH74" s="35" t="n">
        <x:f>IF(AND(AH$3&gt;=$B$67,AH$3&lt;EDATE($B$67,MAX(1,'Вводные'!$K$73)),AND($B$63="Да",IFERROR(INDEX('Вводные'!$B$88:$B$91,$B$64),"Нет")="Да")),1,0)</x:f>
      </x:c>
      <x:c r="AI74" s="35" t="n">
        <x:f>IF(AND(AI$3&gt;=$B$67,AI$3&lt;EDATE($B$67,MAX(1,'Вводные'!$K$73)),AND($B$63="Да",IFERROR(INDEX('Вводные'!$B$88:$B$91,$B$64),"Нет")="Да")),1,0)</x:f>
      </x:c>
      <x:c r="AJ74" s="35" t="n">
        <x:f>IF(AND(AJ$3&gt;=$B$67,AJ$3&lt;EDATE($B$67,MAX(1,'Вводные'!$K$73)),AND($B$63="Да",IFERROR(INDEX('Вводные'!$B$88:$B$91,$B$64),"Нет")="Да")),1,0)</x:f>
      </x:c>
      <x:c r="AK74" s="35" t="n">
        <x:f>IF(AND(AK$3&gt;=$B$67,AK$3&lt;EDATE($B$67,MAX(1,'Вводные'!$K$73)),AND($B$63="Да",IFERROR(INDEX('Вводные'!$B$88:$B$91,$B$64),"Нет")="Да")),1,0)</x:f>
      </x:c>
      <x:c r="AL74" s="35" t="n">
        <x:f>IF(AND(AL$3&gt;=$B$67,AL$3&lt;EDATE($B$67,MAX(1,'Вводные'!$K$73)),AND($B$63="Да",IFERROR(INDEX('Вводные'!$B$88:$B$91,$B$64),"Нет")="Да")),1,0)</x:f>
      </x:c>
      <x:c r="AM74" s="35" t="n">
        <x:f>IF(AND(AM$3&gt;=$B$67,AM$3&lt;EDATE($B$67,MAX(1,'Вводные'!$K$73)),AND($B$63="Да",IFERROR(INDEX('Вводные'!$B$88:$B$91,$B$64),"Нет")="Да")),1,0)</x:f>
      </x:c>
      <x:c r="AN74" s="35" t="n">
        <x:f>IF(AND(AN$3&gt;=$B$67,AN$3&lt;EDATE($B$67,MAX(1,'Вводные'!$K$73)),AND($B$63="Да",IFERROR(INDEX('Вводные'!$B$88:$B$91,$B$64),"Нет")="Да")),1,0)</x:f>
      </x:c>
      <x:c r="AO74" s="35" t="n">
        <x:f>IF(AND(AO$3&gt;=$B$67,AO$3&lt;EDATE($B$67,MAX(1,'Вводные'!$K$73)),AND($B$63="Да",IFERROR(INDEX('Вводные'!$B$88:$B$91,$B$64),"Нет")="Да")),1,0)</x:f>
      </x:c>
      <x:c r="AP74" s="35" t="n">
        <x:f>IF(AND(AP$3&gt;=$B$67,AP$3&lt;EDATE($B$67,MAX(1,'Вводные'!$K$73)),AND($B$63="Да",IFERROR(INDEX('Вводные'!$B$88:$B$91,$B$64),"Нет")="Да")),1,0)</x:f>
      </x:c>
      <x:c r="AQ74" s="35" t="n">
        <x:f>IF(AND(AQ$3&gt;=$B$67,AQ$3&lt;EDATE($B$67,MAX(1,'Вводные'!$K$73)),AND($B$63="Да",IFERROR(INDEX('Вводные'!$B$88:$B$91,$B$64),"Нет")="Да")),1,0)</x:f>
      </x:c>
      <x:c r="AR74" s="35" t="n">
        <x:f>IF(AND(AR$3&gt;=$B$67,AR$3&lt;EDATE($B$67,MAX(1,'Вводные'!$K$73)),AND($B$63="Да",IFERROR(INDEX('Вводные'!$B$88:$B$91,$B$64),"Нет")="Да")),1,0)</x:f>
      </x:c>
      <x:c r="AS74" s="35" t="n">
        <x:f>IF(AND(AS$3&gt;=$B$67,AS$3&lt;EDATE($B$67,MAX(1,'Вводные'!$K$73)),AND($B$63="Да",IFERROR(INDEX('Вводные'!$B$88:$B$91,$B$64),"Нет")="Да")),1,0)</x:f>
      </x:c>
      <x:c r="AT74" s="35" t="n">
        <x:f>IF(AND(AT$3&gt;=$B$67,AT$3&lt;EDATE($B$67,MAX(1,'Вводные'!$K$73)),AND($B$63="Да",IFERROR(INDEX('Вводные'!$B$88:$B$91,$B$64),"Нет")="Да")),1,0)</x:f>
      </x:c>
      <x:c r="AU74" s="35" t="n">
        <x:f>IF(AND(AU$3&gt;=$B$67,AU$3&lt;EDATE($B$67,MAX(1,'Вводные'!$K$73)),AND($B$63="Да",IFERROR(INDEX('Вводные'!$B$88:$B$91,$B$64),"Нет")="Да")),1,0)</x:f>
      </x:c>
      <x:c r="AV74" s="35" t="n">
        <x:f>IF(AND(AV$3&gt;=$B$67,AV$3&lt;EDATE($B$67,MAX(1,'Вводные'!$K$73)),AND($B$63="Да",IFERROR(INDEX('Вводные'!$B$88:$B$91,$B$64),"Нет")="Да")),1,0)</x:f>
      </x:c>
      <x:c r="AW74" s="35" t="n">
        <x:f>IF(AND(AW$3&gt;=$B$67,AW$3&lt;EDATE($B$67,MAX(1,'Вводные'!$K$73)),AND($B$63="Да",IFERROR(INDEX('Вводные'!$B$88:$B$91,$B$64),"Нет")="Да")),1,0)</x:f>
      </x:c>
      <x:c r="AX74" s="35" t="n">
        <x:f>IF(AND(AX$3&gt;=$B$67,AX$3&lt;EDATE($B$67,MAX(1,'Вводные'!$K$73)),AND($B$63="Да",IFERROR(INDEX('Вводные'!$B$88:$B$91,$B$64),"Нет")="Да")),1,0)</x:f>
      </x:c>
      <x:c r="AY74" s="35" t="n">
        <x:f>IF(AND(AY$3&gt;=$B$67,AY$3&lt;EDATE($B$67,MAX(1,'Вводные'!$K$73)),AND($B$63="Да",IFERROR(INDEX('Вводные'!$B$88:$B$91,$B$64),"Нет")="Да")),1,0)</x:f>
      </x:c>
      <x:c r="AZ74" s="35" t="n">
        <x:f>IF(AND(AZ$3&gt;=$B$67,AZ$3&lt;EDATE($B$67,MAX(1,'Вводные'!$K$73)),AND($B$63="Да",IFERROR(INDEX('Вводные'!$B$88:$B$91,$B$64),"Нет")="Да")),1,0)</x:f>
      </x:c>
      <x:c r="BA74" s="35" t="n">
        <x:f>IF(AND(BA$3&gt;=$B$67,BA$3&lt;EDATE($B$67,MAX(1,'Вводные'!$K$73)),AND($B$63="Да",IFERROR(INDEX('Вводные'!$B$88:$B$91,$B$64),"Нет")="Да")),1,0)</x:f>
      </x:c>
      <x:c r="BB74" s="35" t="n">
        <x:f>IF(AND(BB$3&gt;=$B$67,BB$3&lt;EDATE($B$67,MAX(1,'Вводные'!$K$73)),AND($B$63="Да",IFERROR(INDEX('Вводные'!$B$88:$B$91,$B$64),"Нет")="Да")),1,0)</x:f>
      </x:c>
      <x:c r="BC74" s="35" t="n">
        <x:f>IF(AND(BC$3&gt;=$B$67,BC$3&lt;EDATE($B$67,MAX(1,'Вводные'!$K$73)),AND($B$63="Да",IFERROR(INDEX('Вводные'!$B$88:$B$91,$B$64),"Нет")="Да")),1,0)</x:f>
      </x:c>
      <x:c r="BD74" s="35" t="n">
        <x:f>IF(AND(BD$3&gt;=$B$67,BD$3&lt;EDATE($B$67,MAX(1,'Вводные'!$K$73)),AND($B$63="Да",IFERROR(INDEX('Вводные'!$B$88:$B$91,$B$64),"Нет")="Да")),1,0)</x:f>
      </x:c>
      <x:c r="BE74" s="35" t="n">
        <x:f>IF(AND(BE$3&gt;=$B$67,BE$3&lt;EDATE($B$67,MAX(1,'Вводные'!$K$73)),AND($B$63="Да",IFERROR(INDEX('Вводные'!$B$88:$B$91,$B$64),"Нет")="Да")),1,0)</x:f>
      </x:c>
      <x:c r="BF74" s="35" t="n">
        <x:f>IF(AND(BF$3&gt;=$B$67,BF$3&lt;EDATE($B$67,MAX(1,'Вводные'!$K$73)),AND($B$63="Да",IFERROR(INDEX('Вводные'!$B$88:$B$91,$B$64),"Нет")="Да")),1,0)</x:f>
      </x:c>
      <x:c r="BG74" s="35" t="n">
        <x:f>IF(AND(BG$3&gt;=$B$67,BG$3&lt;EDATE($B$67,MAX(1,'Вводные'!$K$73)),AND($B$63="Да",IFERROR(INDEX('Вводные'!$B$88:$B$91,$B$64),"Нет")="Да")),1,0)</x:f>
      </x:c>
      <x:c r="BH74" s="35" t="n">
        <x:f>IF(AND(BH$3&gt;=$B$67,BH$3&lt;EDATE($B$67,MAX(1,'Вводные'!$K$73)),AND($B$63="Да",IFERROR(INDEX('Вводные'!$B$88:$B$91,$B$64),"Нет")="Да")),1,0)</x:f>
      </x:c>
      <x:c r="BI74" s="35" t="n">
        <x:f>IF(AND(BI$3&gt;=$B$67,BI$3&lt;EDATE($B$67,MAX(1,'Вводные'!$K$73)),AND($B$63="Да",IFERROR(INDEX('Вводные'!$B$88:$B$91,$B$64),"Нет")="Да")),1,0)</x:f>
      </x:c>
      <x:c r="BJ74" s="35" t="n">
        <x:f>IF(AND(BJ$3&gt;=$B$67,BJ$3&lt;EDATE($B$67,MAX(1,'Вводные'!$K$73)),AND($B$63="Да",IFERROR(INDEX('Вводные'!$B$88:$B$91,$B$64),"Нет")="Да")),1,0)</x:f>
      </x:c>
      <x:c r="BK74" s="35" t="n">
        <x:f>IF(AND(BK$3&gt;=$B$67,BK$3&lt;EDATE($B$67,MAX(1,'Вводные'!$K$73)),AND($B$63="Да",IFERROR(INDEX('Вводные'!$B$88:$B$91,$B$64),"Нет")="Да")),1,0)</x:f>
      </x:c>
      <x:c r="BL74" s="35" t="n">
        <x:f>IF(AND(BL$3&gt;=$B$67,BL$3&lt;EDATE($B$67,MAX(1,'Вводные'!$K$73)),AND($B$63="Да",IFERROR(INDEX('Вводные'!$B$88:$B$91,$B$64),"Нет")="Да")),1,0)</x:f>
      </x:c>
      <x:c r="BM74" s="35" t="n">
        <x:f>IF(AND(BM$3&gt;=$B$67,BM$3&lt;EDATE($B$67,MAX(1,'Вводные'!$K$73)),AND($B$63="Да",IFERROR(INDEX('Вводные'!$B$88:$B$91,$B$64),"Нет")="Да")),1,0)</x:f>
      </x:c>
      <x:c r="BN74" s="35" t="n">
        <x:f>IF(AND(BN$3&gt;=$B$67,BN$3&lt;EDATE($B$67,MAX(1,'Вводные'!$K$73)),AND($B$63="Да",IFERROR(INDEX('Вводные'!$B$88:$B$91,$B$64),"Нет")="Да")),1,0)</x:f>
      </x:c>
      <x:c r="BO74" s="35" t="n">
        <x:f>IF(AND(BO$3&gt;=$B$67,BO$3&lt;EDATE($B$67,MAX(1,'Вводные'!$K$73)),AND($B$63="Да",IFERROR(INDEX('Вводные'!$B$88:$B$91,$B$64),"Нет")="Да")),1,0)</x:f>
      </x:c>
      <x:c r="BP74" s="35" t="n">
        <x:f>IF(AND(BP$3&gt;=$B$67,BP$3&lt;EDATE($B$67,MAX(1,'Вводные'!$K$73)),AND($B$63="Да",IFERROR(INDEX('Вводные'!$B$88:$B$91,$B$64),"Нет")="Да")),1,0)</x:f>
      </x:c>
      <x:c r="BQ74" s="35" t="n">
        <x:f>IF(AND(BQ$3&gt;=$B$67,BQ$3&lt;EDATE($B$67,MAX(1,'Вводные'!$K$73)),AND($B$63="Да",IFERROR(INDEX('Вводные'!$B$88:$B$91,$B$64),"Нет")="Да")),1,0)</x:f>
      </x:c>
      <x:c r="BR74" s="35" t="n">
        <x:f>IF(AND(BR$3&gt;=$B$67,BR$3&lt;EDATE($B$67,MAX(1,'Вводные'!$K$73)),AND($B$63="Да",IFERROR(INDEX('Вводные'!$B$88:$B$91,$B$64),"Нет")="Да")),1,0)</x:f>
      </x:c>
      <x:c r="BS74" s="35" t="n">
        <x:f>IF(AND(BS$3&gt;=$B$67,BS$3&lt;EDATE($B$67,MAX(1,'Вводные'!$K$73)),AND($B$63="Да",IFERROR(INDEX('Вводные'!$B$88:$B$91,$B$64),"Нет")="Да")),1,0)</x:f>
      </x:c>
      <x:c r="BT74" s="35" t="n">
        <x:f>IF(AND(BT$3&gt;=$B$67,BT$3&lt;EDATE($B$67,MAX(1,'Вводные'!$K$73)),AND($B$63="Да",IFERROR(INDEX('Вводные'!$B$88:$B$91,$B$64),"Нет")="Да")),1,0)</x:f>
      </x:c>
      <x:c r="BU74" s="35" t="n">
        <x:f>IF(AND(BU$3&gt;=$B$67,BU$3&lt;EDATE($B$67,MAX(1,'Вводные'!$K$73)),AND($B$63="Да",IFERROR(INDEX('Вводные'!$B$88:$B$91,$B$64),"Нет")="Да")),1,0)</x:f>
      </x:c>
      <x:c r="BV74" s="35" t="n">
        <x:f>IF(AND(BV$3&gt;=$B$67,BV$3&lt;EDATE($B$67,MAX(1,'Вводные'!$K$73)),AND($B$63="Да",IFERROR(INDEX('Вводные'!$B$88:$B$91,$B$64),"Нет")="Да")),1,0)</x:f>
      </x:c>
      <x:c r="BW74" s="35" t="n">
        <x:f>IF(AND(BW$3&gt;=$B$67,BW$3&lt;EDATE($B$67,MAX(1,'Вводные'!$K$73)),AND($B$63="Да",IFERROR(INDEX('Вводные'!$B$88:$B$91,$B$64),"Нет")="Да")),1,0)</x:f>
      </x:c>
      <x:c r="BX74" s="35" t="n">
        <x:f>IF(AND(BX$3&gt;=$B$67,BX$3&lt;EDATE($B$67,MAX(1,'Вводные'!$K$73)),AND($B$63="Да",IFERROR(INDEX('Вводные'!$B$88:$B$91,$B$64),"Нет")="Да")),1,0)</x:f>
      </x:c>
      <x:c r="BY74" s="35" t="n">
        <x:f>IF(AND(BY$3&gt;=$B$67,BY$3&lt;EDATE($B$67,MAX(1,'Вводные'!$K$73)),AND($B$63="Да",IFERROR(INDEX('Вводные'!$B$88:$B$91,$B$64),"Нет")="Да")),1,0)</x:f>
      </x:c>
      <x:c r="BZ74" s="35" t="n">
        <x:f>IF(AND(BZ$3&gt;=$B$67,BZ$3&lt;EDATE($B$67,MAX(1,'Вводные'!$K$73)),AND($B$63="Да",IFERROR(INDEX('Вводные'!$B$88:$B$91,$B$64),"Нет")="Да")),1,0)</x:f>
      </x:c>
      <x:c r="CA74" s="35" t="n">
        <x:f>IF(AND(CA$3&gt;=$B$67,CA$3&lt;EDATE($B$67,MAX(1,'Вводные'!$K$73)),AND($B$63="Да",IFERROR(INDEX('Вводные'!$B$88:$B$91,$B$64),"Нет")="Да")),1,0)</x:f>
      </x:c>
      <x:c r="CB74" s="35" t="n">
        <x:f>IF(AND(CB$3&gt;=$B$67,CB$3&lt;EDATE($B$67,MAX(1,'Вводные'!$K$73)),AND($B$63="Да",IFERROR(INDEX('Вводные'!$B$88:$B$91,$B$64),"Нет")="Да")),1,0)</x:f>
      </x:c>
      <x:c r="CC74" s="35" t="n">
        <x:f>IF(AND(CC$3&gt;=$B$67,CC$3&lt;EDATE($B$67,MAX(1,'Вводные'!$K$73)),AND($B$63="Да",IFERROR(INDEX('Вводные'!$B$88:$B$91,$B$64),"Нет")="Да")),1,0)</x:f>
      </x:c>
      <x:c r="CD74" s="35" t="n">
        <x:f>IF(AND(CD$3&gt;=$B$67,CD$3&lt;EDATE($B$67,MAX(1,'Вводные'!$K$73)),AND($B$63="Да",IFERROR(INDEX('Вводные'!$B$88:$B$91,$B$64),"Нет")="Да")),1,0)</x:f>
      </x:c>
      <x:c r="CE74" s="35" t="n">
        <x:f>IF(AND(CE$3&gt;=$B$67,CE$3&lt;EDATE($B$67,MAX(1,'Вводные'!$K$73)),AND($B$63="Да",IFERROR(INDEX('Вводные'!$B$88:$B$91,$B$64),"Нет")="Да")),1,0)</x:f>
      </x:c>
      <x:c r="CF74" s="35" t="n">
        <x:f>IF(AND(CF$3&gt;=$B$67,CF$3&lt;EDATE($B$67,MAX(1,'Вводные'!$K$73)),AND($B$63="Да",IFERROR(INDEX('Вводные'!$B$88:$B$91,$B$64),"Нет")="Да")),1,0)</x:f>
      </x:c>
      <x:c r="CG74" s="35" t="n">
        <x:f>IF(AND(CG$3&gt;=$B$67,CG$3&lt;EDATE($B$67,MAX(1,'Вводные'!$K$73)),AND($B$63="Да",IFERROR(INDEX('Вводные'!$B$88:$B$91,$B$64),"Нет")="Да")),1,0)</x:f>
      </x:c>
      <x:c r="CH74" s="35" t="n">
        <x:f>IF(AND(CH$3&gt;=$B$67,CH$3&lt;EDATE($B$67,MAX(1,'Вводные'!$K$73)),AND($B$63="Да",IFERROR(INDEX('Вводные'!$B$88:$B$91,$B$64),"Нет")="Да")),1,0)</x:f>
      </x:c>
      <x:c r="CI74" s="35" t="n">
        <x:f>IF(AND(CI$3&gt;=$B$67,CI$3&lt;EDATE($B$67,MAX(1,'Вводные'!$K$73)),AND($B$63="Да",IFERROR(INDEX('Вводные'!$B$88:$B$91,$B$64),"Нет")="Да")),1,0)</x:f>
      </x:c>
      <x:c r="CJ74" s="35" t="n">
        <x:f>IF(AND(CJ$3&gt;=$B$67,CJ$3&lt;EDATE($B$67,MAX(1,'Вводные'!$K$73)),AND($B$63="Да",IFERROR(INDEX('Вводные'!$B$88:$B$91,$B$64),"Нет")="Да")),1,0)</x:f>
      </x:c>
      <x:c r="CK74" s="35" t="n">
        <x:f>IF(AND(CK$3&gt;=$B$67,CK$3&lt;EDATE($B$67,MAX(1,'Вводные'!$K$73)),AND($B$63="Да",IFERROR(INDEX('Вводные'!$B$88:$B$91,$B$64),"Нет")="Да")),1,0)</x:f>
      </x:c>
      <x:c r="CL74" s="35" t="n">
        <x:f>IF(AND(CL$3&gt;=$B$67,CL$3&lt;EDATE($B$67,MAX(1,'Вводные'!$K$73)),AND($B$63="Да",IFERROR(INDEX('Вводные'!$B$88:$B$91,$B$64),"Нет")="Да")),1,0)</x:f>
      </x:c>
      <x:c r="CM74" s="35" t="n">
        <x:f>IF(AND(CM$3&gt;=$B$67,CM$3&lt;EDATE($B$67,MAX(1,'Вводные'!$K$73)),AND($B$63="Да",IFERROR(INDEX('Вводные'!$B$88:$B$91,$B$64),"Нет")="Да")),1,0)</x:f>
      </x:c>
      <x:c r="CN74" s="35" t="n">
        <x:f>IF(AND(CN$3&gt;=$B$67,CN$3&lt;EDATE($B$67,MAX(1,'Вводные'!$K$73)),AND($B$63="Да",IFERROR(INDEX('Вводные'!$B$88:$B$91,$B$64),"Нет")="Да")),1,0)</x:f>
      </x:c>
      <x:c r="CO74" s="35" t="n">
        <x:f>IF(AND(CO$3&gt;=$B$67,CO$3&lt;EDATE($B$67,MAX(1,'Вводные'!$K$73)),AND($B$63="Да",IFERROR(INDEX('Вводные'!$B$88:$B$91,$B$64),"Нет")="Да")),1,0)</x:f>
      </x:c>
      <x:c r="CP74" s="35" t="n">
        <x:f>IF(AND(CP$3&gt;=$B$67,CP$3&lt;EDATE($B$67,MAX(1,'Вводные'!$K$73)),AND($B$63="Да",IFERROR(INDEX('Вводные'!$B$88:$B$91,$B$64),"Нет")="Да")),1,0)</x:f>
      </x:c>
      <x:c r="CQ74" s="35" t="n">
        <x:f>IF(AND(CQ$3&gt;=$B$67,CQ$3&lt;EDATE($B$67,MAX(1,'Вводные'!$K$73)),AND($B$63="Да",IFERROR(INDEX('Вводные'!$B$88:$B$91,$B$64),"Нет")="Да")),1,0)</x:f>
      </x:c>
      <x:c r="CR74" s="35" t="n">
        <x:f>IF(AND(CR$3&gt;=$B$67,CR$3&lt;EDATE($B$67,MAX(1,'Вводные'!$K$73)),AND($B$63="Да",IFERROR(INDEX('Вводные'!$B$88:$B$91,$B$64),"Нет")="Да")),1,0)</x:f>
      </x:c>
      <x:c r="CS74" s="35" t="n">
        <x:f>IF(AND(CS$3&gt;=$B$67,CS$3&lt;EDATE($B$67,MAX(1,'Вводные'!$K$73)),AND($B$63="Да",IFERROR(INDEX('Вводные'!$B$88:$B$91,$B$64),"Нет")="Да")),1,0)</x:f>
      </x:c>
      <x:c r="CT74" s="35" t="n">
        <x:f>IF(AND(CT$3&gt;=$B$67,CT$3&lt;EDATE($B$67,MAX(1,'Вводные'!$K$73)),AND($B$63="Да",IFERROR(INDEX('Вводные'!$B$88:$B$91,$B$64),"Нет")="Да")),1,0)</x:f>
      </x:c>
      <x:c r="CU74" s="35" t="n">
        <x:f>IF(AND(CU$3&gt;=$B$67,CU$3&lt;EDATE($B$67,MAX(1,'Вводные'!$K$73)),AND($B$63="Да",IFERROR(INDEX('Вводные'!$B$88:$B$91,$B$64),"Нет")="Да")),1,0)</x:f>
      </x:c>
      <x:c r="CV74" s="35" t="n">
        <x:f>IF(AND(CV$3&gt;=$B$67,CV$3&lt;EDATE($B$67,MAX(1,'Вводные'!$K$73)),AND($B$63="Да",IFERROR(INDEX('Вводные'!$B$88:$B$91,$B$64),"Нет")="Да")),1,0)</x:f>
      </x:c>
      <x:c r="CW74" s="35" t="n">
        <x:f>IF(AND(CW$3&gt;=$B$67,CW$3&lt;EDATE($B$67,MAX(1,'Вводные'!$K$73)),AND($B$63="Да",IFERROR(INDEX('Вводные'!$B$88:$B$91,$B$64),"Нет")="Да")),1,0)</x:f>
      </x:c>
      <x:c r="CX74" s="35" t="n">
        <x:f>IF(AND(CX$3&gt;=$B$67,CX$3&lt;EDATE($B$67,MAX(1,'Вводные'!$K$73)),AND($B$63="Да",IFERROR(INDEX('Вводные'!$B$88:$B$91,$B$64),"Нет")="Да")),1,0)</x:f>
      </x:c>
      <x:c r="CY74" s="35" t="n">
        <x:f>IF(AND(CY$3&gt;=$B$67,CY$3&lt;EDATE($B$67,MAX(1,'Вводные'!$K$73)),AND($B$63="Да",IFERROR(INDEX('Вводные'!$B$88:$B$91,$B$64),"Нет")="Да")),1,0)</x:f>
      </x:c>
      <x:c r="CZ74" s="35" t="n">
        <x:f>IF(AND(CZ$3&gt;=$B$67,CZ$3&lt;EDATE($B$67,MAX(1,'Вводные'!$K$73)),AND($B$63="Да",IFERROR(INDEX('Вводные'!$B$88:$B$91,$B$64),"Нет")="Да")),1,0)</x:f>
      </x:c>
      <x:c r="DA74" s="35" t="n">
        <x:f>IF(AND(DA$3&gt;=$B$67,DA$3&lt;EDATE($B$67,MAX(1,'Вводные'!$K$73)),AND($B$63="Да",IFERROR(INDEX('Вводные'!$B$88:$B$91,$B$64),"Нет")="Да")),1,0)</x:f>
      </x:c>
      <x:c r="DB74" s="35" t="n">
        <x:f>IF(AND(DB$3&gt;=$B$67,DB$3&lt;EDATE($B$67,MAX(1,'Вводные'!$K$73)),AND($B$63="Да",IFERROR(INDEX('Вводные'!$B$88:$B$91,$B$64),"Нет")="Да")),1,0)</x:f>
      </x:c>
      <x:c r="DC74" s="35" t="n">
        <x:f>IF(AND(DC$3&gt;=$B$67,DC$3&lt;EDATE($B$67,MAX(1,'Вводные'!$K$73)),AND($B$63="Да",IFERROR(INDEX('Вводные'!$B$88:$B$91,$B$64),"Нет")="Да")),1,0)</x:f>
      </x:c>
      <x:c r="DD74" s="35" t="n">
        <x:f>IF(AND(DD$3&gt;=$B$67,DD$3&lt;EDATE($B$67,MAX(1,'Вводные'!$K$73)),AND($B$63="Да",IFERROR(INDEX('Вводные'!$B$88:$B$91,$B$64),"Нет")="Да")),1,0)</x:f>
      </x:c>
      <x:c r="DE74" s="35" t="n">
        <x:f>IF(AND(DE$3&gt;=$B$67,DE$3&lt;EDATE($B$67,MAX(1,'Вводные'!$K$73)),AND($B$63="Да",IFERROR(INDEX('Вводные'!$B$88:$B$91,$B$64),"Нет")="Да")),1,0)</x:f>
      </x:c>
      <x:c r="DF74" s="35" t="n">
        <x:f>IF(AND(DF$3&gt;=$B$67,DF$3&lt;EDATE($B$67,MAX(1,'Вводные'!$K$73)),AND($B$63="Да",IFERROR(INDEX('Вводные'!$B$88:$B$91,$B$64),"Нет")="Да")),1,0)</x:f>
      </x:c>
      <x:c r="DG74" s="35" t="n">
        <x:f>IF(AND(DG$3&gt;=$B$67,DG$3&lt;EDATE($B$67,MAX(1,'Вводные'!$K$73)),AND($B$63="Да",IFERROR(INDEX('Вводные'!$B$88:$B$91,$B$64),"Нет")="Да")),1,0)</x:f>
      </x:c>
      <x:c r="DH74" s="35" t="n">
        <x:f>IF(AND(DH$3&gt;=$B$67,DH$3&lt;EDATE($B$67,MAX(1,'Вводные'!$K$73)),AND($B$63="Да",IFERROR(INDEX('Вводные'!$B$88:$B$91,$B$64),"Нет")="Да")),1,0)</x:f>
      </x:c>
      <x:c r="DI74" s="35" t="n">
        <x:f>IF(AND(DI$3&gt;=$B$67,DI$3&lt;EDATE($B$67,MAX(1,'Вводные'!$K$73)),AND($B$63="Да",IFERROR(INDEX('Вводные'!$B$88:$B$91,$B$64),"Нет")="Да")),1,0)</x:f>
      </x:c>
      <x:c r="DJ74" s="35" t="n">
        <x:f>IF(AND(DJ$3&gt;=$B$67,DJ$3&lt;EDATE($B$67,MAX(1,'Вводные'!$K$73)),AND($B$63="Да",IFERROR(INDEX('Вводные'!$B$88:$B$91,$B$64),"Нет")="Да")),1,0)</x:f>
      </x:c>
      <x:c r="DK74" s="35" t="n">
        <x:f>IF(AND(DK$3&gt;=$B$67,DK$3&lt;EDATE($B$67,MAX(1,'Вводные'!$K$73)),AND($B$63="Да",IFERROR(INDEX('Вводные'!$B$88:$B$91,$B$64),"Нет")="Да")),1,0)</x:f>
      </x:c>
      <x:c r="DL74" s="35" t="n">
        <x:f>IF(AND(DL$3&gt;=$B$67,DL$3&lt;EDATE($B$67,MAX(1,'Вводные'!$K$73)),AND($B$63="Да",IFERROR(INDEX('Вводные'!$B$88:$B$91,$B$64),"Нет")="Да")),1,0)</x:f>
      </x:c>
      <x:c r="DM74" s="35" t="n">
        <x:f>IF(AND(DM$3&gt;=$B$67,DM$3&lt;EDATE($B$67,MAX(1,'Вводные'!$K$73)),AND($B$63="Да",IFERROR(INDEX('Вводные'!$B$88:$B$91,$B$64),"Нет")="Да")),1,0)</x:f>
      </x:c>
      <x:c r="DN74" s="35" t="n">
        <x:f>IF(AND(DN$3&gt;=$B$67,DN$3&lt;EDATE($B$67,MAX(1,'Вводные'!$K$73)),AND($B$63="Да",IFERROR(INDEX('Вводные'!$B$88:$B$91,$B$64),"Нет")="Да")),1,0)</x:f>
      </x:c>
      <x:c r="DO74" s="35" t="n">
        <x:f>IF(AND(DO$3&gt;=$B$67,DO$3&lt;EDATE($B$67,MAX(1,'Вводные'!$K$73)),AND($B$63="Да",IFERROR(INDEX('Вводные'!$B$88:$B$91,$B$64),"Нет")="Да")),1,0)</x:f>
      </x:c>
      <x:c r="DP74" s="35" t="n">
        <x:f>IF(AND(DP$3&gt;=$B$67,DP$3&lt;EDATE($B$67,MAX(1,'Вводные'!$K$73)),AND($B$63="Да",IFERROR(INDEX('Вводные'!$B$88:$B$91,$B$64),"Нет")="Да")),1,0)</x:f>
      </x:c>
      <x:c r="DQ74" s="35" t="n">
        <x:f>IF(AND(DQ$3&gt;=$B$67,DQ$3&lt;EDATE($B$67,MAX(1,'Вводные'!$K$73)),AND($B$63="Да",IFERROR(INDEX('Вводные'!$B$88:$B$91,$B$64),"Нет")="Да")),1,0)</x:f>
      </x:c>
      <x:c r="DR74" s="35" t="n">
        <x:f>IF(AND(DR$3&gt;=$B$67,DR$3&lt;EDATE($B$67,MAX(1,'Вводные'!$K$73)),AND($B$63="Да",IFERROR(INDEX('Вводные'!$B$88:$B$91,$B$64),"Нет")="Да")),1,0)</x:f>
      </x:c>
      <x:c r="DS74" s="35" t="n">
        <x:f>IF(AND(DS$3&gt;=$B$67,DS$3&lt;EDATE($B$67,MAX(1,'Вводные'!$K$73)),AND($B$63="Да",IFERROR(INDEX('Вводные'!$B$88:$B$91,$B$64),"Нет")="Да")),1,0)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IF(D$3&lt;EDATE(INDEX('Вводные'!$D$88:$D$91,$B$64),INDEX('Вводные'!$E$88:$E$91,$B$64)+INDEX('Вводные'!$F$88:$F$91,$B$64)+'Вводные'!$H$9),D80,0)</x:f>
      </x:c>
      <x:c r="E81" s="107" t="n">
        <x:f>IF(E$3&lt;EDATE(INDEX('Вводные'!$D$88:$D$91,$B$64),INDEX('Вводные'!$E$88:$E$91,$B$64)+INDEX('Вводные'!$F$88:$F$91,$B$64)+'Вводные'!$H$9),E80,0)</x:f>
      </x:c>
      <x:c r="F81" s="107" t="n">
        <x:f>IF(F$3&lt;EDATE(INDEX('Вводные'!$D$88:$D$91,$B$64),INDEX('Вводные'!$E$88:$E$91,$B$64)+INDEX('Вводные'!$F$88:$F$91,$B$64)+'Вводные'!$H$9),F80,0)</x:f>
      </x:c>
      <x:c r="G81" s="107" t="n">
        <x:f>IF(G$3&lt;EDATE(INDEX('Вводные'!$D$88:$D$91,$B$64),INDEX('Вводные'!$E$88:$E$91,$B$64)+INDEX('Вводные'!$F$88:$F$91,$B$64)+'Вводные'!$H$9),G80,0)</x:f>
      </x:c>
      <x:c r="H81" s="107" t="n">
        <x:f>IF(H$3&lt;EDATE(INDEX('Вводные'!$D$88:$D$91,$B$64),INDEX('Вводные'!$E$88:$E$91,$B$64)+INDEX('Вводные'!$F$88:$F$91,$B$64)+'Вводные'!$H$9),H80,0)</x:f>
      </x:c>
      <x:c r="I81" s="107" t="n">
        <x:f>IF(I$3&lt;EDATE(INDEX('Вводные'!$D$88:$D$91,$B$64),INDEX('Вводные'!$E$88:$E$91,$B$64)+INDEX('Вводные'!$F$88:$F$91,$B$64)+'Вводные'!$H$9),I80,0)</x:f>
      </x:c>
      <x:c r="J81" s="107" t="n">
        <x:f>IF(J$3&lt;EDATE(INDEX('Вводные'!$D$88:$D$91,$B$64),INDEX('Вводные'!$E$88:$E$91,$B$64)+INDEX('Вводные'!$F$88:$F$91,$B$64)+'Вводные'!$H$9),J80,0)</x:f>
      </x:c>
      <x:c r="K81" s="107" t="n">
        <x:f>IF(K$3&lt;EDATE(INDEX('Вводные'!$D$88:$D$91,$B$64),INDEX('Вводные'!$E$88:$E$91,$B$64)+INDEX('Вводные'!$F$88:$F$91,$B$64)+'Вводные'!$H$9),K80,0)</x:f>
      </x:c>
      <x:c r="L81" s="107" t="n">
        <x:f>IF(L$3&lt;EDATE(INDEX('Вводные'!$D$88:$D$91,$B$64),INDEX('Вводные'!$E$88:$E$91,$B$64)+INDEX('Вводные'!$F$88:$F$91,$B$64)+'Вводные'!$H$9),L80,0)</x:f>
      </x:c>
      <x:c r="M81" s="107" t="n">
        <x:f>IF(M$3&lt;EDATE(INDEX('Вводные'!$D$88:$D$91,$B$64),INDEX('Вводные'!$E$88:$E$91,$B$64)+INDEX('Вводные'!$F$88:$F$91,$B$64)+'Вводные'!$H$9),M80,0)</x:f>
      </x:c>
      <x:c r="N81" s="107" t="n">
        <x:f>IF(N$3&lt;EDATE(INDEX('Вводные'!$D$88:$D$91,$B$64),INDEX('Вводные'!$E$88:$E$91,$B$64)+INDEX('Вводные'!$F$88:$F$91,$B$64)+'Вводные'!$H$9),N80,0)</x:f>
      </x:c>
      <x:c r="O81" s="107" t="n">
        <x:f>IF(O$3&lt;EDATE(INDEX('Вводные'!$D$88:$D$91,$B$64),INDEX('Вводные'!$E$88:$E$91,$B$64)+INDEX('Вводные'!$F$88:$F$91,$B$64)+'Вводные'!$H$9),O80,0)</x:f>
      </x:c>
      <x:c r="P81" s="107" t="n">
        <x:f>IF(P$3&lt;EDATE(INDEX('Вводные'!$D$88:$D$91,$B$64),INDEX('Вводные'!$E$88:$E$91,$B$64)+INDEX('Вводные'!$F$88:$F$91,$B$64)+'Вводные'!$H$9),P80,0)</x:f>
      </x:c>
      <x:c r="Q81" s="107" t="n">
        <x:f>IF(Q$3&lt;EDATE(INDEX('Вводные'!$D$88:$D$91,$B$64),INDEX('Вводные'!$E$88:$E$91,$B$64)+INDEX('Вводные'!$F$88:$F$91,$B$64)+'Вводные'!$H$9),Q80,0)</x:f>
      </x:c>
      <x:c r="R81" s="107" t="n">
        <x:f>IF(R$3&lt;EDATE(INDEX('Вводные'!$D$88:$D$91,$B$64),INDEX('Вводные'!$E$88:$E$91,$B$64)+INDEX('Вводные'!$F$88:$F$91,$B$64)+'Вводные'!$H$9),R80,0)</x:f>
      </x:c>
      <x:c r="S81" s="107" t="n">
        <x:f>IF(S$3&lt;EDATE(INDEX('Вводные'!$D$88:$D$91,$B$64),INDEX('Вводные'!$E$88:$E$91,$B$64)+INDEX('Вводные'!$F$88:$F$91,$B$64)+'Вводные'!$H$9),S80,0)</x:f>
      </x:c>
      <x:c r="T81" s="107" t="n">
        <x:f>IF(T$3&lt;EDATE(INDEX('Вводные'!$D$88:$D$91,$B$64),INDEX('Вводные'!$E$88:$E$91,$B$64)+INDEX('Вводные'!$F$88:$F$91,$B$64)+'Вводные'!$H$9),T80,0)</x:f>
      </x:c>
      <x:c r="U81" s="107" t="n">
        <x:f>IF(U$3&lt;EDATE(INDEX('Вводные'!$D$88:$D$91,$B$64),INDEX('Вводные'!$E$88:$E$91,$B$64)+INDEX('Вводные'!$F$88:$F$91,$B$64)+'Вводные'!$H$9),U80,0)</x:f>
      </x:c>
      <x:c r="V81" s="107" t="n">
        <x:f>IF(V$3&lt;EDATE(INDEX('Вводные'!$D$88:$D$91,$B$64),INDEX('Вводные'!$E$88:$E$91,$B$64)+INDEX('Вводные'!$F$88:$F$91,$B$64)+'Вводные'!$H$9),V80,0)</x:f>
      </x:c>
      <x:c r="W81" s="107" t="n">
        <x:f>IF(W$3&lt;EDATE(INDEX('Вводные'!$D$88:$D$91,$B$64),INDEX('Вводные'!$E$88:$E$91,$B$64)+INDEX('Вводные'!$F$88:$F$91,$B$64)+'Вводные'!$H$9),W80,0)</x:f>
      </x:c>
      <x:c r="X81" s="107" t="n">
        <x:f>IF(X$3&lt;EDATE(INDEX('Вводные'!$D$88:$D$91,$B$64),INDEX('Вводные'!$E$88:$E$91,$B$64)+INDEX('Вводные'!$F$88:$F$91,$B$64)+'Вводные'!$H$9),X80,0)</x:f>
      </x:c>
      <x:c r="Y81" s="107" t="n">
        <x:f>IF(Y$3&lt;EDATE(INDEX('Вводные'!$D$88:$D$91,$B$64),INDEX('Вводные'!$E$88:$E$91,$B$64)+INDEX('Вводные'!$F$88:$F$91,$B$64)+'Вводные'!$H$9),Y80,0)</x:f>
      </x:c>
      <x:c r="Z81" s="107" t="n">
        <x:f>IF(Z$3&lt;EDATE(INDEX('Вводные'!$D$88:$D$91,$B$64),INDEX('Вводные'!$E$88:$E$91,$B$64)+INDEX('Вводные'!$F$88:$F$91,$B$64)+'Вводные'!$H$9),Z80,0)</x:f>
      </x:c>
      <x:c r="AA81" s="107" t="n">
        <x:f>IF(AA$3&lt;EDATE(INDEX('Вводные'!$D$88:$D$91,$B$64),INDEX('Вводные'!$E$88:$E$91,$B$64)+INDEX('Вводные'!$F$88:$F$91,$B$64)+'Вводные'!$H$9),AA80,0)</x:f>
      </x:c>
      <x:c r="AB81" s="107" t="n">
        <x:f>IF(AB$3&lt;EDATE(INDEX('Вводные'!$D$88:$D$91,$B$64),INDEX('Вводные'!$E$88:$E$91,$B$64)+INDEX('Вводные'!$F$88:$F$91,$B$64)+'Вводные'!$H$9),AB80,0)</x:f>
      </x:c>
      <x:c r="AC81" s="107" t="n">
        <x:f>IF(AC$3&lt;EDATE(INDEX('Вводные'!$D$88:$D$91,$B$64),INDEX('Вводные'!$E$88:$E$91,$B$64)+INDEX('Вводные'!$F$88:$F$91,$B$64)+'Вводные'!$H$9),AC80,0)</x:f>
      </x:c>
      <x:c r="AD81" s="107" t="n">
        <x:f>IF(AD$3&lt;EDATE(INDEX('Вводные'!$D$88:$D$91,$B$64),INDEX('Вводные'!$E$88:$E$91,$B$64)+INDEX('Вводные'!$F$88:$F$91,$B$64)+'Вводные'!$H$9),AD80,0)</x:f>
      </x:c>
      <x:c r="AE81" s="107" t="n">
        <x:f>IF(AE$3&lt;EDATE(INDEX('Вводные'!$D$88:$D$91,$B$64),INDEX('Вводные'!$E$88:$E$91,$B$64)+INDEX('Вводные'!$F$88:$F$91,$B$64)+'Вводные'!$H$9),AE80,0)</x:f>
      </x:c>
      <x:c r="AF81" s="107" t="n">
        <x:f>IF(AF$3&lt;EDATE(INDEX('Вводные'!$D$88:$D$91,$B$64),INDEX('Вводные'!$E$88:$E$91,$B$64)+INDEX('Вводные'!$F$88:$F$91,$B$64)+'Вводные'!$H$9),AF80,0)</x:f>
      </x:c>
      <x:c r="AG81" s="107" t="n">
        <x:f>IF(AG$3&lt;EDATE(INDEX('Вводные'!$D$88:$D$91,$B$64),INDEX('Вводные'!$E$88:$E$91,$B$64)+INDEX('Вводные'!$F$88:$F$91,$B$64)+'Вводные'!$H$9),AG80,0)</x:f>
      </x:c>
      <x:c r="AH81" s="107" t="n">
        <x:f>IF(AH$3&lt;EDATE(INDEX('Вводные'!$D$88:$D$91,$B$64),INDEX('Вводные'!$E$88:$E$91,$B$64)+INDEX('Вводные'!$F$88:$F$91,$B$64)+'Вводные'!$H$9),AH80,0)</x:f>
      </x:c>
      <x:c r="AI81" s="107" t="n">
        <x:f>IF(AI$3&lt;EDATE(INDEX('Вводные'!$D$88:$D$91,$B$64),INDEX('Вводные'!$E$88:$E$91,$B$64)+INDEX('Вводные'!$F$88:$F$91,$B$64)+'Вводные'!$H$9),AI80,0)</x:f>
      </x:c>
      <x:c r="AJ81" s="107" t="n">
        <x:f>IF(AJ$3&lt;EDATE(INDEX('Вводные'!$D$88:$D$91,$B$64),INDEX('Вводные'!$E$88:$E$91,$B$64)+INDEX('Вводные'!$F$88:$F$91,$B$64)+'Вводные'!$H$9),AJ80,0)</x:f>
      </x:c>
      <x:c r="AK81" s="107" t="n">
        <x:f>IF(AK$3&lt;EDATE(INDEX('Вводные'!$D$88:$D$91,$B$64),INDEX('Вводные'!$E$88:$E$91,$B$64)+INDEX('Вводные'!$F$88:$F$91,$B$64)+'Вводные'!$H$9),AK80,0)</x:f>
      </x:c>
      <x:c r="AL81" s="107" t="n">
        <x:f>IF(AL$3&lt;EDATE(INDEX('Вводные'!$D$88:$D$91,$B$64),INDEX('Вводные'!$E$88:$E$91,$B$64)+INDEX('Вводные'!$F$88:$F$91,$B$64)+'Вводные'!$H$9),AL80,0)</x:f>
      </x:c>
      <x:c r="AM81" s="107" t="n">
        <x:f>IF(AM$3&lt;EDATE(INDEX('Вводные'!$D$88:$D$91,$B$64),INDEX('Вводные'!$E$88:$E$91,$B$64)+INDEX('Вводные'!$F$88:$F$91,$B$64)+'Вводные'!$H$9),AM80,0)</x:f>
      </x:c>
      <x:c r="AN81" s="107" t="n">
        <x:f>IF(AN$3&lt;EDATE(INDEX('Вводные'!$D$88:$D$91,$B$64),INDEX('Вводные'!$E$88:$E$91,$B$64)+INDEX('Вводные'!$F$88:$F$91,$B$64)+'Вводные'!$H$9),AN80,0)</x:f>
      </x:c>
      <x:c r="AO81" s="107" t="n">
        <x:f>IF(AO$3&lt;EDATE(INDEX('Вводные'!$D$88:$D$91,$B$64),INDEX('Вводные'!$E$88:$E$91,$B$64)+INDEX('Вводные'!$F$88:$F$91,$B$64)+'Вводные'!$H$9),AO80,0)</x:f>
      </x:c>
      <x:c r="AP81" s="107" t="n">
        <x:f>IF(AP$3&lt;EDATE(INDEX('Вводные'!$D$88:$D$91,$B$64),INDEX('Вводные'!$E$88:$E$91,$B$64)+INDEX('Вводные'!$F$88:$F$91,$B$64)+'Вводные'!$H$9),AP80,0)</x:f>
      </x:c>
      <x:c r="AQ81" s="107" t="n">
        <x:f>IF(AQ$3&lt;EDATE(INDEX('Вводные'!$D$88:$D$91,$B$64),INDEX('Вводные'!$E$88:$E$91,$B$64)+INDEX('Вводные'!$F$88:$F$91,$B$64)+'Вводные'!$H$9),AQ80,0)</x:f>
      </x:c>
      <x:c r="AR81" s="107" t="n">
        <x:f>IF(AR$3&lt;EDATE(INDEX('Вводные'!$D$88:$D$91,$B$64),INDEX('Вводные'!$E$88:$E$91,$B$64)+INDEX('Вводные'!$F$88:$F$91,$B$64)+'Вводные'!$H$9),AR80,0)</x:f>
      </x:c>
      <x:c r="AS81" s="107" t="n">
        <x:f>IF(AS$3&lt;EDATE(INDEX('Вводные'!$D$88:$D$91,$B$64),INDEX('Вводные'!$E$88:$E$91,$B$64)+INDEX('Вводные'!$F$88:$F$91,$B$64)+'Вводные'!$H$9),AS80,0)</x:f>
      </x:c>
      <x:c r="AT81" s="107" t="n">
        <x:f>IF(AT$3&lt;EDATE(INDEX('Вводные'!$D$88:$D$91,$B$64),INDEX('Вводные'!$E$88:$E$91,$B$64)+INDEX('Вводные'!$F$88:$F$91,$B$64)+'Вводные'!$H$9),AT80,0)</x:f>
      </x:c>
      <x:c r="AU81" s="107" t="n">
        <x:f>IF(AU$3&lt;EDATE(INDEX('Вводные'!$D$88:$D$91,$B$64),INDEX('Вводные'!$E$88:$E$91,$B$64)+INDEX('Вводные'!$F$88:$F$91,$B$64)+'Вводные'!$H$9),AU80,0)</x:f>
      </x:c>
      <x:c r="AV81" s="107" t="n">
        <x:f>IF(AV$3&lt;EDATE(INDEX('Вводные'!$D$88:$D$91,$B$64),INDEX('Вводные'!$E$88:$E$91,$B$64)+INDEX('Вводные'!$F$88:$F$91,$B$64)+'Вводные'!$H$9),AV80,0)</x:f>
      </x:c>
      <x:c r="AW81" s="107" t="n">
        <x:f>IF(AW$3&lt;EDATE(INDEX('Вводные'!$D$88:$D$91,$B$64),INDEX('Вводные'!$E$88:$E$91,$B$64)+INDEX('Вводные'!$F$88:$F$91,$B$64)+'Вводные'!$H$9),AW80,0)</x:f>
      </x:c>
      <x:c r="AX81" s="107" t="n">
        <x:f>IF(AX$3&lt;EDATE(INDEX('Вводные'!$D$88:$D$91,$B$64),INDEX('Вводные'!$E$88:$E$91,$B$64)+INDEX('Вводные'!$F$88:$F$91,$B$64)+'Вводные'!$H$9),AX80,0)</x:f>
      </x:c>
      <x:c r="AY81" s="107" t="n">
        <x:f>IF(AY$3&lt;EDATE(INDEX('Вводные'!$D$88:$D$91,$B$64),INDEX('Вводные'!$E$88:$E$91,$B$64)+INDEX('Вводные'!$F$88:$F$91,$B$64)+'Вводные'!$H$9),AY80,0)</x:f>
      </x:c>
      <x:c r="AZ81" s="107" t="n">
        <x:f>IF(AZ$3&lt;EDATE(INDEX('Вводные'!$D$88:$D$91,$B$64),INDEX('Вводные'!$E$88:$E$91,$B$64)+INDEX('Вводные'!$F$88:$F$91,$B$64)+'Вводные'!$H$9),AZ80,0)</x:f>
      </x:c>
      <x:c r="BA81" s="107" t="n">
        <x:f>IF(BA$3&lt;EDATE(INDEX('Вводные'!$D$88:$D$91,$B$64),INDEX('Вводные'!$E$88:$E$91,$B$64)+INDEX('Вводные'!$F$88:$F$91,$B$64)+'Вводные'!$H$9),BA80,0)</x:f>
      </x:c>
      <x:c r="BB81" s="107" t="n">
        <x:f>IF(BB$3&lt;EDATE(INDEX('Вводные'!$D$88:$D$91,$B$64),INDEX('Вводные'!$E$88:$E$91,$B$64)+INDEX('Вводные'!$F$88:$F$91,$B$64)+'Вводные'!$H$9),BB80,0)</x:f>
      </x:c>
      <x:c r="BC81" s="107" t="n">
        <x:f>IF(BC$3&lt;EDATE(INDEX('Вводные'!$D$88:$D$91,$B$64),INDEX('Вводные'!$E$88:$E$91,$B$64)+INDEX('Вводные'!$F$88:$F$91,$B$64)+'Вводные'!$H$9),BC80,0)</x:f>
      </x:c>
      <x:c r="BD81" s="107" t="n">
        <x:f>IF(BD$3&lt;EDATE(INDEX('Вводные'!$D$88:$D$91,$B$64),INDEX('Вводные'!$E$88:$E$91,$B$64)+INDEX('Вводные'!$F$88:$F$91,$B$64)+'Вводные'!$H$9),BD80,0)</x:f>
      </x:c>
      <x:c r="BE81" s="107" t="n">
        <x:f>IF(BE$3&lt;EDATE(INDEX('Вводные'!$D$88:$D$91,$B$64),INDEX('Вводные'!$E$88:$E$91,$B$64)+INDEX('Вводные'!$F$88:$F$91,$B$64)+'Вводные'!$H$9),BE80,0)</x:f>
      </x:c>
      <x:c r="BF81" s="107" t="n">
        <x:f>IF(BF$3&lt;EDATE(INDEX('Вводные'!$D$88:$D$91,$B$64),INDEX('Вводные'!$E$88:$E$91,$B$64)+INDEX('Вводные'!$F$88:$F$91,$B$64)+'Вводные'!$H$9),BF80,0)</x:f>
      </x:c>
      <x:c r="BG81" s="107" t="n">
        <x:f>IF(BG$3&lt;EDATE(INDEX('Вводные'!$D$88:$D$91,$B$64),INDEX('Вводные'!$E$88:$E$91,$B$64)+INDEX('Вводные'!$F$88:$F$91,$B$64)+'Вводные'!$H$9),BG80,0)</x:f>
      </x:c>
      <x:c r="BH81" s="107" t="n">
        <x:f>IF(BH$3&lt;EDATE(INDEX('Вводные'!$D$88:$D$91,$B$64),INDEX('Вводные'!$E$88:$E$91,$B$64)+INDEX('Вводные'!$F$88:$F$91,$B$64)+'Вводные'!$H$9),BH80,0)</x:f>
      </x:c>
      <x:c r="BI81" s="107" t="n">
        <x:f>IF(BI$3&lt;EDATE(INDEX('Вводные'!$D$88:$D$91,$B$64),INDEX('Вводные'!$E$88:$E$91,$B$64)+INDEX('Вводные'!$F$88:$F$91,$B$64)+'Вводные'!$H$9),BI80,0)</x:f>
      </x:c>
      <x:c r="BJ81" s="107" t="n">
        <x:f>IF(BJ$3&lt;EDATE(INDEX('Вводные'!$D$88:$D$91,$B$64),INDEX('Вводные'!$E$88:$E$91,$B$64)+INDEX('Вводные'!$F$88:$F$91,$B$64)+'Вводные'!$H$9),BJ80,0)</x:f>
      </x:c>
      <x:c r="BK81" s="107" t="n">
        <x:f>IF(BK$3&lt;EDATE(INDEX('Вводные'!$D$88:$D$91,$B$64),INDEX('Вводные'!$E$88:$E$91,$B$64)+INDEX('Вводные'!$F$88:$F$91,$B$64)+'Вводные'!$H$9),BK80,0)</x:f>
      </x:c>
      <x:c r="BL81" s="107" t="n">
        <x:f>IF(BL$3&lt;EDATE(INDEX('Вводные'!$D$88:$D$91,$B$64),INDEX('Вводные'!$E$88:$E$91,$B$64)+INDEX('Вводные'!$F$88:$F$91,$B$64)+'Вводные'!$H$9),BL80,0)</x:f>
      </x:c>
      <x:c r="BM81" s="107" t="n">
        <x:f>IF(BM$3&lt;EDATE(INDEX('Вводные'!$D$88:$D$91,$B$64),INDEX('Вводные'!$E$88:$E$91,$B$64)+INDEX('Вводные'!$F$88:$F$91,$B$64)+'Вводные'!$H$9),BM80,0)</x:f>
      </x:c>
      <x:c r="BN81" s="107" t="n">
        <x:f>IF(BN$3&lt;EDATE(INDEX('Вводные'!$D$88:$D$91,$B$64),INDEX('Вводные'!$E$88:$E$91,$B$64)+INDEX('Вводные'!$F$88:$F$91,$B$64)+'Вводные'!$H$9),BN80,0)</x:f>
      </x:c>
      <x:c r="BO81" s="107" t="n">
        <x:f>IF(BO$3&lt;EDATE(INDEX('Вводные'!$D$88:$D$91,$B$64),INDEX('Вводные'!$E$88:$E$91,$B$64)+INDEX('Вводные'!$F$88:$F$91,$B$64)+'Вводные'!$H$9),BO80,0)</x:f>
      </x:c>
      <x:c r="BP81" s="107" t="n">
        <x:f>IF(BP$3&lt;EDATE(INDEX('Вводные'!$D$88:$D$91,$B$64),INDEX('Вводные'!$E$88:$E$91,$B$64)+INDEX('Вводные'!$F$88:$F$91,$B$64)+'Вводные'!$H$9),BP80,0)</x:f>
      </x:c>
      <x:c r="BQ81" s="107" t="n">
        <x:f>IF(BQ$3&lt;EDATE(INDEX('Вводные'!$D$88:$D$91,$B$64),INDEX('Вводные'!$E$88:$E$91,$B$64)+INDEX('Вводные'!$F$88:$F$91,$B$64)+'Вводные'!$H$9),BQ80,0)</x:f>
      </x:c>
      <x:c r="BR81" s="107" t="n">
        <x:f>IF(BR$3&lt;EDATE(INDEX('Вводные'!$D$88:$D$91,$B$64),INDEX('Вводные'!$E$88:$E$91,$B$64)+INDEX('Вводные'!$F$88:$F$91,$B$64)+'Вводные'!$H$9),BR80,0)</x:f>
      </x:c>
      <x:c r="BS81" s="107" t="n">
        <x:f>IF(BS$3&lt;EDATE(INDEX('Вводные'!$D$88:$D$91,$B$64),INDEX('Вводные'!$E$88:$E$91,$B$64)+INDEX('Вводные'!$F$88:$F$91,$B$64)+'Вводные'!$H$9),BS80,0)</x:f>
      </x:c>
      <x:c r="BT81" s="107" t="n">
        <x:f>IF(BT$3&lt;EDATE(INDEX('Вводные'!$D$88:$D$91,$B$64),INDEX('Вводные'!$E$88:$E$91,$B$64)+INDEX('Вводные'!$F$88:$F$91,$B$64)+'Вводные'!$H$9),BT80,0)</x:f>
      </x:c>
      <x:c r="BU81" s="107" t="n">
        <x:f>IF(BU$3&lt;EDATE(INDEX('Вводные'!$D$88:$D$91,$B$64),INDEX('Вводные'!$E$88:$E$91,$B$64)+INDEX('Вводные'!$F$88:$F$91,$B$64)+'Вводные'!$H$9),BU80,0)</x:f>
      </x:c>
      <x:c r="BV81" s="107" t="n">
        <x:f>IF(BV$3&lt;EDATE(INDEX('Вводные'!$D$88:$D$91,$B$64),INDEX('Вводные'!$E$88:$E$91,$B$64)+INDEX('Вводные'!$F$88:$F$91,$B$64)+'Вводные'!$H$9),BV80,0)</x:f>
      </x:c>
      <x:c r="BW81" s="107" t="n">
        <x:f>IF(BW$3&lt;EDATE(INDEX('Вводные'!$D$88:$D$91,$B$64),INDEX('Вводные'!$E$88:$E$91,$B$64)+INDEX('Вводные'!$F$88:$F$91,$B$64)+'Вводные'!$H$9),BW80,0)</x:f>
      </x:c>
      <x:c r="BX81" s="107" t="n">
        <x:f>IF(BX$3&lt;EDATE(INDEX('Вводные'!$D$88:$D$91,$B$64),INDEX('Вводные'!$E$88:$E$91,$B$64)+INDEX('Вводные'!$F$88:$F$91,$B$64)+'Вводные'!$H$9),BX80,0)</x:f>
      </x:c>
      <x:c r="BY81" s="107" t="n">
        <x:f>IF(BY$3&lt;EDATE(INDEX('Вводные'!$D$88:$D$91,$B$64),INDEX('Вводные'!$E$88:$E$91,$B$64)+INDEX('Вводные'!$F$88:$F$91,$B$64)+'Вводные'!$H$9),BY80,0)</x:f>
      </x:c>
      <x:c r="BZ81" s="107" t="n">
        <x:f>IF(BZ$3&lt;EDATE(INDEX('Вводные'!$D$88:$D$91,$B$64),INDEX('Вводные'!$E$88:$E$91,$B$64)+INDEX('Вводные'!$F$88:$F$91,$B$64)+'Вводные'!$H$9),BZ80,0)</x:f>
      </x:c>
      <x:c r="CA81" s="107" t="n">
        <x:f>IF(CA$3&lt;EDATE(INDEX('Вводные'!$D$88:$D$91,$B$64),INDEX('Вводные'!$E$88:$E$91,$B$64)+INDEX('Вводные'!$F$88:$F$91,$B$64)+'Вводные'!$H$9),CA80,0)</x:f>
      </x:c>
      <x:c r="CB81" s="107" t="n">
        <x:f>IF(CB$3&lt;EDATE(INDEX('Вводные'!$D$88:$D$91,$B$64),INDEX('Вводные'!$E$88:$E$91,$B$64)+INDEX('Вводные'!$F$88:$F$91,$B$64)+'Вводные'!$H$9),CB80,0)</x:f>
      </x:c>
      <x:c r="CC81" s="107" t="n">
        <x:f>IF(CC$3&lt;EDATE(INDEX('Вводные'!$D$88:$D$91,$B$64),INDEX('Вводные'!$E$88:$E$91,$B$64)+INDEX('Вводные'!$F$88:$F$91,$B$64)+'Вводные'!$H$9),CC80,0)</x:f>
      </x:c>
      <x:c r="CD81" s="107" t="n">
        <x:f>IF(CD$3&lt;EDATE(INDEX('Вводные'!$D$88:$D$91,$B$64),INDEX('Вводные'!$E$88:$E$91,$B$64)+INDEX('Вводные'!$F$88:$F$91,$B$64)+'Вводные'!$H$9),CD80,0)</x:f>
      </x:c>
      <x:c r="CE81" s="107" t="n">
        <x:f>IF(CE$3&lt;EDATE(INDEX('Вводные'!$D$88:$D$91,$B$64),INDEX('Вводные'!$E$88:$E$91,$B$64)+INDEX('Вводные'!$F$88:$F$91,$B$64)+'Вводные'!$H$9),CE80,0)</x:f>
      </x:c>
      <x:c r="CF81" s="107" t="n">
        <x:f>IF(CF$3&lt;EDATE(INDEX('Вводные'!$D$88:$D$91,$B$64),INDEX('Вводные'!$E$88:$E$91,$B$64)+INDEX('Вводные'!$F$88:$F$91,$B$64)+'Вводные'!$H$9),CF80,0)</x:f>
      </x:c>
      <x:c r="CG81" s="107" t="n">
        <x:f>IF(CG$3&lt;EDATE(INDEX('Вводные'!$D$88:$D$91,$B$64),INDEX('Вводные'!$E$88:$E$91,$B$64)+INDEX('Вводные'!$F$88:$F$91,$B$64)+'Вводные'!$H$9),CG80,0)</x:f>
      </x:c>
      <x:c r="CH81" s="107" t="n">
        <x:f>IF(CH$3&lt;EDATE(INDEX('Вводные'!$D$88:$D$91,$B$64),INDEX('Вводные'!$E$88:$E$91,$B$64)+INDEX('Вводные'!$F$88:$F$91,$B$64)+'Вводные'!$H$9),CH80,0)</x:f>
      </x:c>
      <x:c r="CI81" s="107" t="n">
        <x:f>IF(CI$3&lt;EDATE(INDEX('Вводные'!$D$88:$D$91,$B$64),INDEX('Вводные'!$E$88:$E$91,$B$64)+INDEX('Вводные'!$F$88:$F$91,$B$64)+'Вводные'!$H$9),CI80,0)</x:f>
      </x:c>
      <x:c r="CJ81" s="107" t="n">
        <x:f>IF(CJ$3&lt;EDATE(INDEX('Вводные'!$D$88:$D$91,$B$64),INDEX('Вводные'!$E$88:$E$91,$B$64)+INDEX('Вводные'!$F$88:$F$91,$B$64)+'Вводные'!$H$9),CJ80,0)</x:f>
      </x:c>
      <x:c r="CK81" s="107" t="n">
        <x:f>IF(CK$3&lt;EDATE(INDEX('Вводные'!$D$88:$D$91,$B$64),INDEX('Вводные'!$E$88:$E$91,$B$64)+INDEX('Вводные'!$F$88:$F$91,$B$64)+'Вводные'!$H$9),CK80,0)</x:f>
      </x:c>
      <x:c r="CL81" s="107" t="n">
        <x:f>IF(CL$3&lt;EDATE(INDEX('Вводные'!$D$88:$D$91,$B$64),INDEX('Вводные'!$E$88:$E$91,$B$64)+INDEX('Вводные'!$F$88:$F$91,$B$64)+'Вводные'!$H$9),CL80,0)</x:f>
      </x:c>
      <x:c r="CM81" s="107" t="n">
        <x:f>IF(CM$3&lt;EDATE(INDEX('Вводные'!$D$88:$D$91,$B$64),INDEX('Вводные'!$E$88:$E$91,$B$64)+INDEX('Вводные'!$F$88:$F$91,$B$64)+'Вводные'!$H$9),CM80,0)</x:f>
      </x:c>
      <x:c r="CN81" s="107" t="n">
        <x:f>IF(CN$3&lt;EDATE(INDEX('Вводные'!$D$88:$D$91,$B$64),INDEX('Вводные'!$E$88:$E$91,$B$64)+INDEX('Вводные'!$F$88:$F$91,$B$64)+'Вводные'!$H$9),CN80,0)</x:f>
      </x:c>
      <x:c r="CO81" s="107" t="n">
        <x:f>IF(CO$3&lt;EDATE(INDEX('Вводные'!$D$88:$D$91,$B$64),INDEX('Вводные'!$E$88:$E$91,$B$64)+INDEX('Вводные'!$F$88:$F$91,$B$64)+'Вводные'!$H$9),CO80,0)</x:f>
      </x:c>
      <x:c r="CP81" s="107" t="n">
        <x:f>IF(CP$3&lt;EDATE(INDEX('Вводные'!$D$88:$D$91,$B$64),INDEX('Вводные'!$E$88:$E$91,$B$64)+INDEX('Вводные'!$F$88:$F$91,$B$64)+'Вводные'!$H$9),CP80,0)</x:f>
      </x:c>
      <x:c r="CQ81" s="107" t="n">
        <x:f>IF(CQ$3&lt;EDATE(INDEX('Вводные'!$D$88:$D$91,$B$64),INDEX('Вводные'!$E$88:$E$91,$B$64)+INDEX('Вводные'!$F$88:$F$91,$B$64)+'Вводные'!$H$9),CQ80,0)</x:f>
      </x:c>
      <x:c r="CR81" s="107" t="n">
        <x:f>IF(CR$3&lt;EDATE(INDEX('Вводные'!$D$88:$D$91,$B$64),INDEX('Вводные'!$E$88:$E$91,$B$64)+INDEX('Вводные'!$F$88:$F$91,$B$64)+'Вводные'!$H$9),CR80,0)</x:f>
      </x:c>
      <x:c r="CS81" s="107" t="n">
        <x:f>IF(CS$3&lt;EDATE(INDEX('Вводные'!$D$88:$D$91,$B$64),INDEX('Вводные'!$E$88:$E$91,$B$64)+INDEX('Вводные'!$F$88:$F$91,$B$64)+'Вводные'!$H$9),CS80,0)</x:f>
      </x:c>
      <x:c r="CT81" s="107" t="n">
        <x:f>IF(CT$3&lt;EDATE(INDEX('Вводные'!$D$88:$D$91,$B$64),INDEX('Вводные'!$E$88:$E$91,$B$64)+INDEX('Вводные'!$F$88:$F$91,$B$64)+'Вводные'!$H$9),CT80,0)</x:f>
      </x:c>
      <x:c r="CU81" s="107" t="n">
        <x:f>IF(CU$3&lt;EDATE(INDEX('Вводные'!$D$88:$D$91,$B$64),INDEX('Вводные'!$E$88:$E$91,$B$64)+INDEX('Вводные'!$F$88:$F$91,$B$64)+'Вводные'!$H$9),CU80,0)</x:f>
      </x:c>
      <x:c r="CV81" s="107" t="n">
        <x:f>IF(CV$3&lt;EDATE(INDEX('Вводные'!$D$88:$D$91,$B$64),INDEX('Вводные'!$E$88:$E$91,$B$64)+INDEX('Вводные'!$F$88:$F$91,$B$64)+'Вводные'!$H$9),CV80,0)</x:f>
      </x:c>
      <x:c r="CW81" s="107" t="n">
        <x:f>IF(CW$3&lt;EDATE(INDEX('Вводные'!$D$88:$D$91,$B$64),INDEX('Вводные'!$E$88:$E$91,$B$64)+INDEX('Вводные'!$F$88:$F$91,$B$64)+'Вводные'!$H$9),CW80,0)</x:f>
      </x:c>
      <x:c r="CX81" s="107" t="n">
        <x:f>IF(CX$3&lt;EDATE(INDEX('Вводные'!$D$88:$D$91,$B$64),INDEX('Вводные'!$E$88:$E$91,$B$64)+INDEX('Вводные'!$F$88:$F$91,$B$64)+'Вводные'!$H$9),CX80,0)</x:f>
      </x:c>
      <x:c r="CY81" s="107" t="n">
        <x:f>IF(CY$3&lt;EDATE(INDEX('Вводные'!$D$88:$D$91,$B$64),INDEX('Вводные'!$E$88:$E$91,$B$64)+INDEX('Вводные'!$F$88:$F$91,$B$64)+'Вводные'!$H$9),CY80,0)</x:f>
      </x:c>
      <x:c r="CZ81" s="107" t="n">
        <x:f>IF(CZ$3&lt;EDATE(INDEX('Вводные'!$D$88:$D$91,$B$64),INDEX('Вводные'!$E$88:$E$91,$B$64)+INDEX('Вводные'!$F$88:$F$91,$B$64)+'Вводные'!$H$9),CZ80,0)</x:f>
      </x:c>
      <x:c r="DA81" s="107" t="n">
        <x:f>IF(DA$3&lt;EDATE(INDEX('Вводные'!$D$88:$D$91,$B$64),INDEX('Вводные'!$E$88:$E$91,$B$64)+INDEX('Вводные'!$F$88:$F$91,$B$64)+'Вводные'!$H$9),DA80,0)</x:f>
      </x:c>
      <x:c r="DB81" s="107" t="n">
        <x:f>IF(DB$3&lt;EDATE(INDEX('Вводные'!$D$88:$D$91,$B$64),INDEX('Вводные'!$E$88:$E$91,$B$64)+INDEX('Вводные'!$F$88:$F$91,$B$64)+'Вводные'!$H$9),DB80,0)</x:f>
      </x:c>
      <x:c r="DC81" s="107" t="n">
        <x:f>IF(DC$3&lt;EDATE(INDEX('Вводные'!$D$88:$D$91,$B$64),INDEX('Вводные'!$E$88:$E$91,$B$64)+INDEX('Вводные'!$F$88:$F$91,$B$64)+'Вводные'!$H$9),DC80,0)</x:f>
      </x:c>
      <x:c r="DD81" s="107" t="n">
        <x:f>IF(DD$3&lt;EDATE(INDEX('Вводные'!$D$88:$D$91,$B$64),INDEX('Вводные'!$E$88:$E$91,$B$64)+INDEX('Вводные'!$F$88:$F$91,$B$64)+'Вводные'!$H$9),DD80,0)</x:f>
      </x:c>
      <x:c r="DE81" s="107" t="n">
        <x:f>IF(DE$3&lt;EDATE(INDEX('Вводные'!$D$88:$D$91,$B$64),INDEX('Вводные'!$E$88:$E$91,$B$64)+INDEX('Вводные'!$F$88:$F$91,$B$64)+'Вводные'!$H$9),DE80,0)</x:f>
      </x:c>
      <x:c r="DF81" s="107" t="n">
        <x:f>IF(DF$3&lt;EDATE(INDEX('Вводные'!$D$88:$D$91,$B$64),INDEX('Вводные'!$E$88:$E$91,$B$64)+INDEX('Вводные'!$F$88:$F$91,$B$64)+'Вводные'!$H$9),DF80,0)</x:f>
      </x:c>
      <x:c r="DG81" s="107" t="n">
        <x:f>IF(DG$3&lt;EDATE(INDEX('Вводные'!$D$88:$D$91,$B$64),INDEX('Вводные'!$E$88:$E$91,$B$64)+INDEX('Вводные'!$F$88:$F$91,$B$64)+'Вводные'!$H$9),DG80,0)</x:f>
      </x:c>
      <x:c r="DH81" s="107" t="n">
        <x:f>IF(DH$3&lt;EDATE(INDEX('Вводные'!$D$88:$D$91,$B$64),INDEX('Вводные'!$E$88:$E$91,$B$64)+INDEX('Вводные'!$F$88:$F$91,$B$64)+'Вводные'!$H$9),DH80,0)</x:f>
      </x:c>
      <x:c r="DI81" s="107" t="n">
        <x:f>IF(DI$3&lt;EDATE(INDEX('Вводные'!$D$88:$D$91,$B$64),INDEX('Вводные'!$E$88:$E$91,$B$64)+INDEX('Вводные'!$F$88:$F$91,$B$64)+'Вводные'!$H$9),DI80,0)</x:f>
      </x:c>
      <x:c r="DJ81" s="107" t="n">
        <x:f>IF(DJ$3&lt;EDATE(INDEX('Вводные'!$D$88:$D$91,$B$64),INDEX('Вводные'!$E$88:$E$91,$B$64)+INDEX('Вводные'!$F$88:$F$91,$B$64)+'Вводные'!$H$9),DJ80,0)</x:f>
      </x:c>
      <x:c r="DK81" s="107" t="n">
        <x:f>IF(DK$3&lt;EDATE(INDEX('Вводные'!$D$88:$D$91,$B$64),INDEX('Вводные'!$E$88:$E$91,$B$64)+INDEX('Вводные'!$F$88:$F$91,$B$64)+'Вводные'!$H$9),DK80,0)</x:f>
      </x:c>
      <x:c r="DL81" s="107" t="n">
        <x:f>IF(DL$3&lt;EDATE(INDEX('Вводные'!$D$88:$D$91,$B$64),INDEX('Вводные'!$E$88:$E$91,$B$64)+INDEX('Вводные'!$F$88:$F$91,$B$64)+'Вводные'!$H$9),DL80,0)</x:f>
      </x:c>
      <x:c r="DM81" s="107" t="n">
        <x:f>IF(DM$3&lt;EDATE(INDEX('Вводные'!$D$88:$D$91,$B$64),INDEX('Вводные'!$E$88:$E$91,$B$64)+INDEX('Вводные'!$F$88:$F$91,$B$64)+'Вводные'!$H$9),DM80,0)</x:f>
      </x:c>
      <x:c r="DN81" s="107" t="n">
        <x:f>IF(DN$3&lt;EDATE(INDEX('Вводные'!$D$88:$D$91,$B$64),INDEX('Вводные'!$E$88:$E$91,$B$64)+INDEX('Вводные'!$F$88:$F$91,$B$64)+'Вводные'!$H$9),DN80,0)</x:f>
      </x:c>
      <x:c r="DO81" s="107" t="n">
        <x:f>IF(DO$3&lt;EDATE(INDEX('Вводные'!$D$88:$D$91,$B$64),INDEX('Вводные'!$E$88:$E$91,$B$64)+INDEX('Вводные'!$F$88:$F$91,$B$64)+'Вводные'!$H$9),DO80,0)</x:f>
      </x:c>
      <x:c r="DP81" s="107" t="n">
        <x:f>IF(DP$3&lt;EDATE(INDEX('Вводные'!$D$88:$D$91,$B$64),INDEX('Вводные'!$E$88:$E$91,$B$64)+INDEX('Вводные'!$F$88:$F$91,$B$64)+'Вводные'!$H$9),DP80,0)</x:f>
      </x:c>
      <x:c r="DQ81" s="107" t="n">
        <x:f>IF(DQ$3&lt;EDATE(INDEX('Вводные'!$D$88:$D$91,$B$64),INDEX('Вводные'!$E$88:$E$91,$B$64)+INDEX('Вводные'!$F$88:$F$91,$B$64)+'Вводные'!$H$9),DQ80,0)</x:f>
      </x:c>
      <x:c r="DR81" s="107" t="n">
        <x:f>IF(DR$3&lt;EDATE(INDEX('Вводные'!$D$88:$D$91,$B$64),INDEX('Вводные'!$E$88:$E$91,$B$64)+INDEX('Вводные'!$F$88:$F$91,$B$64)+'Вводные'!$H$9),DR80,0)</x:f>
      </x:c>
      <x:c r="DS81" s="107" t="n">
        <x:f>IF(DS$3&lt;EDATE(INDEX('Вводные'!$D$88:$D$91,$B$64),INDEX('Вводные'!$E$88:$E$91,$B$64)+INDEX('Вводные'!$F$88:$F$91,$B$64)+'Вводные'!$H$9),DS80,0)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IF(D$3&gt;=EDATE(INDEX('Вводные'!$D$88:$D$91,$B$64),INDEX('Вводные'!$E$88:$E$91,$B$64)+INDEX('Вводные'!$F$88:$F$91,$B$64)+'Вводные'!$H$9),D80,0)</x:f>
      </x:c>
      <x:c r="E82" s="107" t="n">
        <x:f>IF(E$3&gt;=EDATE(INDEX('Вводные'!$D$88:$D$91,$B$64),INDEX('Вводные'!$E$88:$E$91,$B$64)+INDEX('Вводные'!$F$88:$F$91,$B$64)+'Вводные'!$H$9),E80,0)</x:f>
      </x:c>
      <x:c r="F82" s="107" t="n">
        <x:f>IF(F$3&gt;=EDATE(INDEX('Вводные'!$D$88:$D$91,$B$64),INDEX('Вводные'!$E$88:$E$91,$B$64)+INDEX('Вводные'!$F$88:$F$91,$B$64)+'Вводные'!$H$9),F80,0)</x:f>
      </x:c>
      <x:c r="G82" s="107" t="n">
        <x:f>IF(G$3&gt;=EDATE(INDEX('Вводные'!$D$88:$D$91,$B$64),INDEX('Вводные'!$E$88:$E$91,$B$64)+INDEX('Вводные'!$F$88:$F$91,$B$64)+'Вводные'!$H$9),G80,0)</x:f>
      </x:c>
      <x:c r="H82" s="107" t="n">
        <x:f>IF(H$3&gt;=EDATE(INDEX('Вводные'!$D$88:$D$91,$B$64),INDEX('Вводные'!$E$88:$E$91,$B$64)+INDEX('Вводные'!$F$88:$F$91,$B$64)+'Вводные'!$H$9),H80,0)</x:f>
      </x:c>
      <x:c r="I82" s="107" t="n">
        <x:f>IF(I$3&gt;=EDATE(INDEX('Вводные'!$D$88:$D$91,$B$64),INDEX('Вводные'!$E$88:$E$91,$B$64)+INDEX('Вводные'!$F$88:$F$91,$B$64)+'Вводные'!$H$9),I80,0)</x:f>
      </x:c>
      <x:c r="J82" s="107" t="n">
        <x:f>IF(J$3&gt;=EDATE(INDEX('Вводные'!$D$88:$D$91,$B$64),INDEX('Вводные'!$E$88:$E$91,$B$64)+INDEX('Вводные'!$F$88:$F$91,$B$64)+'Вводные'!$H$9),J80,0)</x:f>
      </x:c>
      <x:c r="K82" s="107" t="n">
        <x:f>IF(K$3&gt;=EDATE(INDEX('Вводные'!$D$88:$D$91,$B$64),INDEX('Вводные'!$E$88:$E$91,$B$64)+INDEX('Вводные'!$F$88:$F$91,$B$64)+'Вводные'!$H$9),K80,0)</x:f>
      </x:c>
      <x:c r="L82" s="107" t="n">
        <x:f>IF(L$3&gt;=EDATE(INDEX('Вводные'!$D$88:$D$91,$B$64),INDEX('Вводные'!$E$88:$E$91,$B$64)+INDEX('Вводные'!$F$88:$F$91,$B$64)+'Вводные'!$H$9),L80,0)</x:f>
      </x:c>
      <x:c r="M82" s="107" t="n">
        <x:f>IF(M$3&gt;=EDATE(INDEX('Вводные'!$D$88:$D$91,$B$64),INDEX('Вводные'!$E$88:$E$91,$B$64)+INDEX('Вводные'!$F$88:$F$91,$B$64)+'Вводные'!$H$9),M80,0)</x:f>
      </x:c>
      <x:c r="N82" s="107" t="n">
        <x:f>IF(N$3&gt;=EDATE(INDEX('Вводные'!$D$88:$D$91,$B$64),INDEX('Вводные'!$E$88:$E$91,$B$64)+INDEX('Вводные'!$F$88:$F$91,$B$64)+'Вводные'!$H$9),N80,0)</x:f>
      </x:c>
      <x:c r="O82" s="107" t="n">
        <x:f>IF(O$3&gt;=EDATE(INDEX('Вводные'!$D$88:$D$91,$B$64),INDEX('Вводные'!$E$88:$E$91,$B$64)+INDEX('Вводные'!$F$88:$F$91,$B$64)+'Вводные'!$H$9),O80,0)</x:f>
      </x:c>
      <x:c r="P82" s="107" t="n">
        <x:f>IF(P$3&gt;=EDATE(INDEX('Вводные'!$D$88:$D$91,$B$64),INDEX('Вводные'!$E$88:$E$91,$B$64)+INDEX('Вводные'!$F$88:$F$91,$B$64)+'Вводные'!$H$9),P80,0)</x:f>
      </x:c>
      <x:c r="Q82" s="107" t="n">
        <x:f>IF(Q$3&gt;=EDATE(INDEX('Вводные'!$D$88:$D$91,$B$64),INDEX('Вводные'!$E$88:$E$91,$B$64)+INDEX('Вводные'!$F$88:$F$91,$B$64)+'Вводные'!$H$9),Q80,0)</x:f>
      </x:c>
      <x:c r="R82" s="107" t="n">
        <x:f>IF(R$3&gt;=EDATE(INDEX('Вводные'!$D$88:$D$91,$B$64),INDEX('Вводные'!$E$88:$E$91,$B$64)+INDEX('Вводные'!$F$88:$F$91,$B$64)+'Вводные'!$H$9),R80,0)</x:f>
      </x:c>
      <x:c r="S82" s="107" t="n">
        <x:f>IF(S$3&gt;=EDATE(INDEX('Вводные'!$D$88:$D$91,$B$64),INDEX('Вводные'!$E$88:$E$91,$B$64)+INDEX('Вводные'!$F$88:$F$91,$B$64)+'Вводные'!$H$9),S80,0)</x:f>
      </x:c>
      <x:c r="T82" s="107" t="n">
        <x:f>IF(T$3&gt;=EDATE(INDEX('Вводные'!$D$88:$D$91,$B$64),INDEX('Вводные'!$E$88:$E$91,$B$64)+INDEX('Вводные'!$F$88:$F$91,$B$64)+'Вводные'!$H$9),T80,0)</x:f>
      </x:c>
      <x:c r="U82" s="107" t="n">
        <x:f>IF(U$3&gt;=EDATE(INDEX('Вводные'!$D$88:$D$91,$B$64),INDEX('Вводные'!$E$88:$E$91,$B$64)+INDEX('Вводные'!$F$88:$F$91,$B$64)+'Вводные'!$H$9),U80,0)</x:f>
      </x:c>
      <x:c r="V82" s="107" t="n">
        <x:f>IF(V$3&gt;=EDATE(INDEX('Вводные'!$D$88:$D$91,$B$64),INDEX('Вводные'!$E$88:$E$91,$B$64)+INDEX('Вводные'!$F$88:$F$91,$B$64)+'Вводные'!$H$9),V80,0)</x:f>
      </x:c>
      <x:c r="W82" s="107" t="n">
        <x:f>IF(W$3&gt;=EDATE(INDEX('Вводные'!$D$88:$D$91,$B$64),INDEX('Вводные'!$E$88:$E$91,$B$64)+INDEX('Вводные'!$F$88:$F$91,$B$64)+'Вводные'!$H$9),W80,0)</x:f>
      </x:c>
      <x:c r="X82" s="107" t="n">
        <x:f>IF(X$3&gt;=EDATE(INDEX('Вводные'!$D$88:$D$91,$B$64),INDEX('Вводные'!$E$88:$E$91,$B$64)+INDEX('Вводные'!$F$88:$F$91,$B$64)+'Вводные'!$H$9),X80,0)</x:f>
      </x:c>
      <x:c r="Y82" s="107" t="n">
        <x:f>IF(Y$3&gt;=EDATE(INDEX('Вводные'!$D$88:$D$91,$B$64),INDEX('Вводные'!$E$88:$E$91,$B$64)+INDEX('Вводные'!$F$88:$F$91,$B$64)+'Вводные'!$H$9),Y80,0)</x:f>
      </x:c>
      <x:c r="Z82" s="107" t="n">
        <x:f>IF(Z$3&gt;=EDATE(INDEX('Вводные'!$D$88:$D$91,$B$64),INDEX('Вводные'!$E$88:$E$91,$B$64)+INDEX('Вводные'!$F$88:$F$91,$B$64)+'Вводные'!$H$9),Z80,0)</x:f>
      </x:c>
      <x:c r="AA82" s="107" t="n">
        <x:f>IF(AA$3&gt;=EDATE(INDEX('Вводные'!$D$88:$D$91,$B$64),INDEX('Вводные'!$E$88:$E$91,$B$64)+INDEX('Вводные'!$F$88:$F$91,$B$64)+'Вводные'!$H$9),AA80,0)</x:f>
      </x:c>
      <x:c r="AB82" s="107" t="n">
        <x:f>IF(AB$3&gt;=EDATE(INDEX('Вводные'!$D$88:$D$91,$B$64),INDEX('Вводные'!$E$88:$E$91,$B$64)+INDEX('Вводные'!$F$88:$F$91,$B$64)+'Вводные'!$H$9),AB80,0)</x:f>
      </x:c>
      <x:c r="AC82" s="107" t="n">
        <x:f>IF(AC$3&gt;=EDATE(INDEX('Вводные'!$D$88:$D$91,$B$64),INDEX('Вводные'!$E$88:$E$91,$B$64)+INDEX('Вводные'!$F$88:$F$91,$B$64)+'Вводные'!$H$9),AC80,0)</x:f>
      </x:c>
      <x:c r="AD82" s="107" t="n">
        <x:f>IF(AD$3&gt;=EDATE(INDEX('Вводные'!$D$88:$D$91,$B$64),INDEX('Вводные'!$E$88:$E$91,$B$64)+INDEX('Вводные'!$F$88:$F$91,$B$64)+'Вводные'!$H$9),AD80,0)</x:f>
      </x:c>
      <x:c r="AE82" s="107" t="n">
        <x:f>IF(AE$3&gt;=EDATE(INDEX('Вводные'!$D$88:$D$91,$B$64),INDEX('Вводные'!$E$88:$E$91,$B$64)+INDEX('Вводные'!$F$88:$F$91,$B$64)+'Вводные'!$H$9),AE80,0)</x:f>
      </x:c>
      <x:c r="AF82" s="107" t="n">
        <x:f>IF(AF$3&gt;=EDATE(INDEX('Вводные'!$D$88:$D$91,$B$64),INDEX('Вводные'!$E$88:$E$91,$B$64)+INDEX('Вводные'!$F$88:$F$91,$B$64)+'Вводные'!$H$9),AF80,0)</x:f>
      </x:c>
      <x:c r="AG82" s="107" t="n">
        <x:f>IF(AG$3&gt;=EDATE(INDEX('Вводные'!$D$88:$D$91,$B$64),INDEX('Вводные'!$E$88:$E$91,$B$64)+INDEX('Вводные'!$F$88:$F$91,$B$64)+'Вводные'!$H$9),AG80,0)</x:f>
      </x:c>
      <x:c r="AH82" s="107" t="n">
        <x:f>IF(AH$3&gt;=EDATE(INDEX('Вводные'!$D$88:$D$91,$B$64),INDEX('Вводные'!$E$88:$E$91,$B$64)+INDEX('Вводные'!$F$88:$F$91,$B$64)+'Вводные'!$H$9),AH80,0)</x:f>
      </x:c>
      <x:c r="AI82" s="107" t="n">
        <x:f>IF(AI$3&gt;=EDATE(INDEX('Вводные'!$D$88:$D$91,$B$64),INDEX('Вводные'!$E$88:$E$91,$B$64)+INDEX('Вводные'!$F$88:$F$91,$B$64)+'Вводные'!$H$9),AI80,0)</x:f>
      </x:c>
      <x:c r="AJ82" s="107" t="n">
        <x:f>IF(AJ$3&gt;=EDATE(INDEX('Вводные'!$D$88:$D$91,$B$64),INDEX('Вводные'!$E$88:$E$91,$B$64)+INDEX('Вводные'!$F$88:$F$91,$B$64)+'Вводные'!$H$9),AJ80,0)</x:f>
      </x:c>
      <x:c r="AK82" s="107" t="n">
        <x:f>IF(AK$3&gt;=EDATE(INDEX('Вводные'!$D$88:$D$91,$B$64),INDEX('Вводные'!$E$88:$E$91,$B$64)+INDEX('Вводные'!$F$88:$F$91,$B$64)+'Вводные'!$H$9),AK80,0)</x:f>
      </x:c>
      <x:c r="AL82" s="107" t="n">
        <x:f>IF(AL$3&gt;=EDATE(INDEX('Вводные'!$D$88:$D$91,$B$64),INDEX('Вводные'!$E$88:$E$91,$B$64)+INDEX('Вводные'!$F$88:$F$91,$B$64)+'Вводные'!$H$9),AL80,0)</x:f>
      </x:c>
      <x:c r="AM82" s="107" t="n">
        <x:f>IF(AM$3&gt;=EDATE(INDEX('Вводные'!$D$88:$D$91,$B$64),INDEX('Вводные'!$E$88:$E$91,$B$64)+INDEX('Вводные'!$F$88:$F$91,$B$64)+'Вводные'!$H$9),AM80,0)</x:f>
      </x:c>
      <x:c r="AN82" s="107" t="n">
        <x:f>IF(AN$3&gt;=EDATE(INDEX('Вводные'!$D$88:$D$91,$B$64),INDEX('Вводные'!$E$88:$E$91,$B$64)+INDEX('Вводные'!$F$88:$F$91,$B$64)+'Вводные'!$H$9),AN80,0)</x:f>
      </x:c>
      <x:c r="AO82" s="107" t="n">
        <x:f>IF(AO$3&gt;=EDATE(INDEX('Вводные'!$D$88:$D$91,$B$64),INDEX('Вводные'!$E$88:$E$91,$B$64)+INDEX('Вводные'!$F$88:$F$91,$B$64)+'Вводные'!$H$9),AO80,0)</x:f>
      </x:c>
      <x:c r="AP82" s="107" t="n">
        <x:f>IF(AP$3&gt;=EDATE(INDEX('Вводные'!$D$88:$D$91,$B$64),INDEX('Вводные'!$E$88:$E$91,$B$64)+INDEX('Вводные'!$F$88:$F$91,$B$64)+'Вводные'!$H$9),AP80,0)</x:f>
      </x:c>
      <x:c r="AQ82" s="107" t="n">
        <x:f>IF(AQ$3&gt;=EDATE(INDEX('Вводные'!$D$88:$D$91,$B$64),INDEX('Вводные'!$E$88:$E$91,$B$64)+INDEX('Вводные'!$F$88:$F$91,$B$64)+'Вводные'!$H$9),AQ80,0)</x:f>
      </x:c>
      <x:c r="AR82" s="107" t="n">
        <x:f>IF(AR$3&gt;=EDATE(INDEX('Вводные'!$D$88:$D$91,$B$64),INDEX('Вводные'!$E$88:$E$91,$B$64)+INDEX('Вводные'!$F$88:$F$91,$B$64)+'Вводные'!$H$9),AR80,0)</x:f>
      </x:c>
      <x:c r="AS82" s="107" t="n">
        <x:f>IF(AS$3&gt;=EDATE(INDEX('Вводные'!$D$88:$D$91,$B$64),INDEX('Вводные'!$E$88:$E$91,$B$64)+INDEX('Вводные'!$F$88:$F$91,$B$64)+'Вводные'!$H$9),AS80,0)</x:f>
      </x:c>
      <x:c r="AT82" s="107" t="n">
        <x:f>IF(AT$3&gt;=EDATE(INDEX('Вводные'!$D$88:$D$91,$B$64),INDEX('Вводные'!$E$88:$E$91,$B$64)+INDEX('Вводные'!$F$88:$F$91,$B$64)+'Вводные'!$H$9),AT80,0)</x:f>
      </x:c>
      <x:c r="AU82" s="107" t="n">
        <x:f>IF(AU$3&gt;=EDATE(INDEX('Вводные'!$D$88:$D$91,$B$64),INDEX('Вводные'!$E$88:$E$91,$B$64)+INDEX('Вводные'!$F$88:$F$91,$B$64)+'Вводные'!$H$9),AU80,0)</x:f>
      </x:c>
      <x:c r="AV82" s="107" t="n">
        <x:f>IF(AV$3&gt;=EDATE(INDEX('Вводные'!$D$88:$D$91,$B$64),INDEX('Вводные'!$E$88:$E$91,$B$64)+INDEX('Вводные'!$F$88:$F$91,$B$64)+'Вводные'!$H$9),AV80,0)</x:f>
      </x:c>
      <x:c r="AW82" s="107" t="n">
        <x:f>IF(AW$3&gt;=EDATE(INDEX('Вводные'!$D$88:$D$91,$B$64),INDEX('Вводные'!$E$88:$E$91,$B$64)+INDEX('Вводные'!$F$88:$F$91,$B$64)+'Вводные'!$H$9),AW80,0)</x:f>
      </x:c>
      <x:c r="AX82" s="107" t="n">
        <x:f>IF(AX$3&gt;=EDATE(INDEX('Вводные'!$D$88:$D$91,$B$64),INDEX('Вводные'!$E$88:$E$91,$B$64)+INDEX('Вводные'!$F$88:$F$91,$B$64)+'Вводные'!$H$9),AX80,0)</x:f>
      </x:c>
      <x:c r="AY82" s="107" t="n">
        <x:f>IF(AY$3&gt;=EDATE(INDEX('Вводные'!$D$88:$D$91,$B$64),INDEX('Вводные'!$E$88:$E$91,$B$64)+INDEX('Вводные'!$F$88:$F$91,$B$64)+'Вводные'!$H$9),AY80,0)</x:f>
      </x:c>
      <x:c r="AZ82" s="107" t="n">
        <x:f>IF(AZ$3&gt;=EDATE(INDEX('Вводные'!$D$88:$D$91,$B$64),INDEX('Вводные'!$E$88:$E$91,$B$64)+INDEX('Вводные'!$F$88:$F$91,$B$64)+'Вводные'!$H$9),AZ80,0)</x:f>
      </x:c>
      <x:c r="BA82" s="107" t="n">
        <x:f>IF(BA$3&gt;=EDATE(INDEX('Вводные'!$D$88:$D$91,$B$64),INDEX('Вводные'!$E$88:$E$91,$B$64)+INDEX('Вводные'!$F$88:$F$91,$B$64)+'Вводные'!$H$9),BA80,0)</x:f>
      </x:c>
      <x:c r="BB82" s="107" t="n">
        <x:f>IF(BB$3&gt;=EDATE(INDEX('Вводные'!$D$88:$D$91,$B$64),INDEX('Вводные'!$E$88:$E$91,$B$64)+INDEX('Вводные'!$F$88:$F$91,$B$64)+'Вводные'!$H$9),BB80,0)</x:f>
      </x:c>
      <x:c r="BC82" s="107" t="n">
        <x:f>IF(BC$3&gt;=EDATE(INDEX('Вводные'!$D$88:$D$91,$B$64),INDEX('Вводные'!$E$88:$E$91,$B$64)+INDEX('Вводные'!$F$88:$F$91,$B$64)+'Вводные'!$H$9),BC80,0)</x:f>
      </x:c>
      <x:c r="BD82" s="107" t="n">
        <x:f>IF(BD$3&gt;=EDATE(INDEX('Вводные'!$D$88:$D$91,$B$64),INDEX('Вводные'!$E$88:$E$91,$B$64)+INDEX('Вводные'!$F$88:$F$91,$B$64)+'Вводные'!$H$9),BD80,0)</x:f>
      </x:c>
      <x:c r="BE82" s="107" t="n">
        <x:f>IF(BE$3&gt;=EDATE(INDEX('Вводные'!$D$88:$D$91,$B$64),INDEX('Вводные'!$E$88:$E$91,$B$64)+INDEX('Вводные'!$F$88:$F$91,$B$64)+'Вводные'!$H$9),BE80,0)</x:f>
      </x:c>
      <x:c r="BF82" s="107" t="n">
        <x:f>IF(BF$3&gt;=EDATE(INDEX('Вводные'!$D$88:$D$91,$B$64),INDEX('Вводные'!$E$88:$E$91,$B$64)+INDEX('Вводные'!$F$88:$F$91,$B$64)+'Вводные'!$H$9),BF80,0)</x:f>
      </x:c>
      <x:c r="BG82" s="107" t="n">
        <x:f>IF(BG$3&gt;=EDATE(INDEX('Вводные'!$D$88:$D$91,$B$64),INDEX('Вводные'!$E$88:$E$91,$B$64)+INDEX('Вводные'!$F$88:$F$91,$B$64)+'Вводные'!$H$9),BG80,0)</x:f>
      </x:c>
      <x:c r="BH82" s="107" t="n">
        <x:f>IF(BH$3&gt;=EDATE(INDEX('Вводные'!$D$88:$D$91,$B$64),INDEX('Вводные'!$E$88:$E$91,$B$64)+INDEX('Вводные'!$F$88:$F$91,$B$64)+'Вводные'!$H$9),BH80,0)</x:f>
      </x:c>
      <x:c r="BI82" s="107" t="n">
        <x:f>IF(BI$3&gt;=EDATE(INDEX('Вводные'!$D$88:$D$91,$B$64),INDEX('Вводные'!$E$88:$E$91,$B$64)+INDEX('Вводные'!$F$88:$F$91,$B$64)+'Вводные'!$H$9),BI80,0)</x:f>
      </x:c>
      <x:c r="BJ82" s="107" t="n">
        <x:f>IF(BJ$3&gt;=EDATE(INDEX('Вводные'!$D$88:$D$91,$B$64),INDEX('Вводные'!$E$88:$E$91,$B$64)+INDEX('Вводные'!$F$88:$F$91,$B$64)+'Вводные'!$H$9),BJ80,0)</x:f>
      </x:c>
      <x:c r="BK82" s="107" t="n">
        <x:f>IF(BK$3&gt;=EDATE(INDEX('Вводные'!$D$88:$D$91,$B$64),INDEX('Вводные'!$E$88:$E$91,$B$64)+INDEX('Вводные'!$F$88:$F$91,$B$64)+'Вводные'!$H$9),BK80,0)</x:f>
      </x:c>
      <x:c r="BL82" s="107" t="n">
        <x:f>IF(BL$3&gt;=EDATE(INDEX('Вводные'!$D$88:$D$91,$B$64),INDEX('Вводные'!$E$88:$E$91,$B$64)+INDEX('Вводные'!$F$88:$F$91,$B$64)+'Вводные'!$H$9),BL80,0)</x:f>
      </x:c>
      <x:c r="BM82" s="107" t="n">
        <x:f>IF(BM$3&gt;=EDATE(INDEX('Вводные'!$D$88:$D$91,$B$64),INDEX('Вводные'!$E$88:$E$91,$B$64)+INDEX('Вводные'!$F$88:$F$91,$B$64)+'Вводные'!$H$9),BM80,0)</x:f>
      </x:c>
      <x:c r="BN82" s="107" t="n">
        <x:f>IF(BN$3&gt;=EDATE(INDEX('Вводные'!$D$88:$D$91,$B$64),INDEX('Вводные'!$E$88:$E$91,$B$64)+INDEX('Вводные'!$F$88:$F$91,$B$64)+'Вводные'!$H$9),BN80,0)</x:f>
      </x:c>
      <x:c r="BO82" s="107" t="n">
        <x:f>IF(BO$3&gt;=EDATE(INDEX('Вводные'!$D$88:$D$91,$B$64),INDEX('Вводные'!$E$88:$E$91,$B$64)+INDEX('Вводные'!$F$88:$F$91,$B$64)+'Вводные'!$H$9),BO80,0)</x:f>
      </x:c>
      <x:c r="BP82" s="107" t="n">
        <x:f>IF(BP$3&gt;=EDATE(INDEX('Вводные'!$D$88:$D$91,$B$64),INDEX('Вводные'!$E$88:$E$91,$B$64)+INDEX('Вводные'!$F$88:$F$91,$B$64)+'Вводные'!$H$9),BP80,0)</x:f>
      </x:c>
      <x:c r="BQ82" s="107" t="n">
        <x:f>IF(BQ$3&gt;=EDATE(INDEX('Вводные'!$D$88:$D$91,$B$64),INDEX('Вводные'!$E$88:$E$91,$B$64)+INDEX('Вводные'!$F$88:$F$91,$B$64)+'Вводные'!$H$9),BQ80,0)</x:f>
      </x:c>
      <x:c r="BR82" s="107" t="n">
        <x:f>IF(BR$3&gt;=EDATE(INDEX('Вводные'!$D$88:$D$91,$B$64),INDEX('Вводные'!$E$88:$E$91,$B$64)+INDEX('Вводные'!$F$88:$F$91,$B$64)+'Вводные'!$H$9),BR80,0)</x:f>
      </x:c>
      <x:c r="BS82" s="107" t="n">
        <x:f>IF(BS$3&gt;=EDATE(INDEX('Вводные'!$D$88:$D$91,$B$64),INDEX('Вводные'!$E$88:$E$91,$B$64)+INDEX('Вводные'!$F$88:$F$91,$B$64)+'Вводные'!$H$9),BS80,0)</x:f>
      </x:c>
      <x:c r="BT82" s="107" t="n">
        <x:f>IF(BT$3&gt;=EDATE(INDEX('Вводные'!$D$88:$D$91,$B$64),INDEX('Вводные'!$E$88:$E$91,$B$64)+INDEX('Вводные'!$F$88:$F$91,$B$64)+'Вводные'!$H$9),BT80,0)</x:f>
      </x:c>
      <x:c r="BU82" s="107" t="n">
        <x:f>IF(BU$3&gt;=EDATE(INDEX('Вводные'!$D$88:$D$91,$B$64),INDEX('Вводные'!$E$88:$E$91,$B$64)+INDEX('Вводные'!$F$88:$F$91,$B$64)+'Вводные'!$H$9),BU80,0)</x:f>
      </x:c>
      <x:c r="BV82" s="107" t="n">
        <x:f>IF(BV$3&gt;=EDATE(INDEX('Вводные'!$D$88:$D$91,$B$64),INDEX('Вводные'!$E$88:$E$91,$B$64)+INDEX('Вводные'!$F$88:$F$91,$B$64)+'Вводные'!$H$9),BV80,0)</x:f>
      </x:c>
      <x:c r="BW82" s="107" t="n">
        <x:f>IF(BW$3&gt;=EDATE(INDEX('Вводные'!$D$88:$D$91,$B$64),INDEX('Вводные'!$E$88:$E$91,$B$64)+INDEX('Вводные'!$F$88:$F$91,$B$64)+'Вводные'!$H$9),BW80,0)</x:f>
      </x:c>
      <x:c r="BX82" s="107" t="n">
        <x:f>IF(BX$3&gt;=EDATE(INDEX('Вводные'!$D$88:$D$91,$B$64),INDEX('Вводные'!$E$88:$E$91,$B$64)+INDEX('Вводные'!$F$88:$F$91,$B$64)+'Вводные'!$H$9),BX80,0)</x:f>
      </x:c>
      <x:c r="BY82" s="107" t="n">
        <x:f>IF(BY$3&gt;=EDATE(INDEX('Вводные'!$D$88:$D$91,$B$64),INDEX('Вводные'!$E$88:$E$91,$B$64)+INDEX('Вводные'!$F$88:$F$91,$B$64)+'Вводные'!$H$9),BY80,0)</x:f>
      </x:c>
      <x:c r="BZ82" s="107" t="n">
        <x:f>IF(BZ$3&gt;=EDATE(INDEX('Вводные'!$D$88:$D$91,$B$64),INDEX('Вводные'!$E$88:$E$91,$B$64)+INDEX('Вводные'!$F$88:$F$91,$B$64)+'Вводные'!$H$9),BZ80,0)</x:f>
      </x:c>
      <x:c r="CA82" s="107" t="n">
        <x:f>IF(CA$3&gt;=EDATE(INDEX('Вводные'!$D$88:$D$91,$B$64),INDEX('Вводные'!$E$88:$E$91,$B$64)+INDEX('Вводные'!$F$88:$F$91,$B$64)+'Вводные'!$H$9),CA80,0)</x:f>
      </x:c>
      <x:c r="CB82" s="107" t="n">
        <x:f>IF(CB$3&gt;=EDATE(INDEX('Вводные'!$D$88:$D$91,$B$64),INDEX('Вводные'!$E$88:$E$91,$B$64)+INDEX('Вводные'!$F$88:$F$91,$B$64)+'Вводные'!$H$9),CB80,0)</x:f>
      </x:c>
      <x:c r="CC82" s="107" t="n">
        <x:f>IF(CC$3&gt;=EDATE(INDEX('Вводные'!$D$88:$D$91,$B$64),INDEX('Вводные'!$E$88:$E$91,$B$64)+INDEX('Вводные'!$F$88:$F$91,$B$64)+'Вводные'!$H$9),CC80,0)</x:f>
      </x:c>
      <x:c r="CD82" s="107" t="n">
        <x:f>IF(CD$3&gt;=EDATE(INDEX('Вводные'!$D$88:$D$91,$B$64),INDEX('Вводные'!$E$88:$E$91,$B$64)+INDEX('Вводные'!$F$88:$F$91,$B$64)+'Вводные'!$H$9),CD80,0)</x:f>
      </x:c>
      <x:c r="CE82" s="107" t="n">
        <x:f>IF(CE$3&gt;=EDATE(INDEX('Вводные'!$D$88:$D$91,$B$64),INDEX('Вводные'!$E$88:$E$91,$B$64)+INDEX('Вводные'!$F$88:$F$91,$B$64)+'Вводные'!$H$9),CE80,0)</x:f>
      </x:c>
      <x:c r="CF82" s="107" t="n">
        <x:f>IF(CF$3&gt;=EDATE(INDEX('Вводные'!$D$88:$D$91,$B$64),INDEX('Вводные'!$E$88:$E$91,$B$64)+INDEX('Вводные'!$F$88:$F$91,$B$64)+'Вводные'!$H$9),CF80,0)</x:f>
      </x:c>
      <x:c r="CG82" s="107" t="n">
        <x:f>IF(CG$3&gt;=EDATE(INDEX('Вводные'!$D$88:$D$91,$B$64),INDEX('Вводные'!$E$88:$E$91,$B$64)+INDEX('Вводные'!$F$88:$F$91,$B$64)+'Вводные'!$H$9),CG80,0)</x:f>
      </x:c>
      <x:c r="CH82" s="107" t="n">
        <x:f>IF(CH$3&gt;=EDATE(INDEX('Вводные'!$D$88:$D$91,$B$64),INDEX('Вводные'!$E$88:$E$91,$B$64)+INDEX('Вводные'!$F$88:$F$91,$B$64)+'Вводные'!$H$9),CH80,0)</x:f>
      </x:c>
      <x:c r="CI82" s="107" t="n">
        <x:f>IF(CI$3&gt;=EDATE(INDEX('Вводные'!$D$88:$D$91,$B$64),INDEX('Вводные'!$E$88:$E$91,$B$64)+INDEX('Вводные'!$F$88:$F$91,$B$64)+'Вводные'!$H$9),CI80,0)</x:f>
      </x:c>
      <x:c r="CJ82" s="107" t="n">
        <x:f>IF(CJ$3&gt;=EDATE(INDEX('Вводные'!$D$88:$D$91,$B$64),INDEX('Вводные'!$E$88:$E$91,$B$64)+INDEX('Вводные'!$F$88:$F$91,$B$64)+'Вводные'!$H$9),CJ80,0)</x:f>
      </x:c>
      <x:c r="CK82" s="107" t="n">
        <x:f>IF(CK$3&gt;=EDATE(INDEX('Вводные'!$D$88:$D$91,$B$64),INDEX('Вводные'!$E$88:$E$91,$B$64)+INDEX('Вводные'!$F$88:$F$91,$B$64)+'Вводные'!$H$9),CK80,0)</x:f>
      </x:c>
      <x:c r="CL82" s="107" t="n">
        <x:f>IF(CL$3&gt;=EDATE(INDEX('Вводные'!$D$88:$D$91,$B$64),INDEX('Вводные'!$E$88:$E$91,$B$64)+INDEX('Вводные'!$F$88:$F$91,$B$64)+'Вводные'!$H$9),CL80,0)</x:f>
      </x:c>
      <x:c r="CM82" s="107" t="n">
        <x:f>IF(CM$3&gt;=EDATE(INDEX('Вводные'!$D$88:$D$91,$B$64),INDEX('Вводные'!$E$88:$E$91,$B$64)+INDEX('Вводные'!$F$88:$F$91,$B$64)+'Вводные'!$H$9),CM80,0)</x:f>
      </x:c>
      <x:c r="CN82" s="107" t="n">
        <x:f>IF(CN$3&gt;=EDATE(INDEX('Вводные'!$D$88:$D$91,$B$64),INDEX('Вводные'!$E$88:$E$91,$B$64)+INDEX('Вводные'!$F$88:$F$91,$B$64)+'Вводные'!$H$9),CN80,0)</x:f>
      </x:c>
      <x:c r="CO82" s="107" t="n">
        <x:f>IF(CO$3&gt;=EDATE(INDEX('Вводные'!$D$88:$D$91,$B$64),INDEX('Вводные'!$E$88:$E$91,$B$64)+INDEX('Вводные'!$F$88:$F$91,$B$64)+'Вводные'!$H$9),CO80,0)</x:f>
      </x:c>
      <x:c r="CP82" s="107" t="n">
        <x:f>IF(CP$3&gt;=EDATE(INDEX('Вводные'!$D$88:$D$91,$B$64),INDEX('Вводные'!$E$88:$E$91,$B$64)+INDEX('Вводные'!$F$88:$F$91,$B$64)+'Вводные'!$H$9),CP80,0)</x:f>
      </x:c>
      <x:c r="CQ82" s="107" t="n">
        <x:f>IF(CQ$3&gt;=EDATE(INDEX('Вводные'!$D$88:$D$91,$B$64),INDEX('Вводные'!$E$88:$E$91,$B$64)+INDEX('Вводные'!$F$88:$F$91,$B$64)+'Вводные'!$H$9),CQ80,0)</x:f>
      </x:c>
      <x:c r="CR82" s="107" t="n">
        <x:f>IF(CR$3&gt;=EDATE(INDEX('Вводные'!$D$88:$D$91,$B$64),INDEX('Вводные'!$E$88:$E$91,$B$64)+INDEX('Вводные'!$F$88:$F$91,$B$64)+'Вводные'!$H$9),CR80,0)</x:f>
      </x:c>
      <x:c r="CS82" s="107" t="n">
        <x:f>IF(CS$3&gt;=EDATE(INDEX('Вводные'!$D$88:$D$91,$B$64),INDEX('Вводные'!$E$88:$E$91,$B$64)+INDEX('Вводные'!$F$88:$F$91,$B$64)+'Вводные'!$H$9),CS80,0)</x:f>
      </x:c>
      <x:c r="CT82" s="107" t="n">
        <x:f>IF(CT$3&gt;=EDATE(INDEX('Вводные'!$D$88:$D$91,$B$64),INDEX('Вводные'!$E$88:$E$91,$B$64)+INDEX('Вводные'!$F$88:$F$91,$B$64)+'Вводные'!$H$9),CT80,0)</x:f>
      </x:c>
      <x:c r="CU82" s="107" t="n">
        <x:f>IF(CU$3&gt;=EDATE(INDEX('Вводные'!$D$88:$D$91,$B$64),INDEX('Вводные'!$E$88:$E$91,$B$64)+INDEX('Вводные'!$F$88:$F$91,$B$64)+'Вводные'!$H$9),CU80,0)</x:f>
      </x:c>
      <x:c r="CV82" s="107" t="n">
        <x:f>IF(CV$3&gt;=EDATE(INDEX('Вводные'!$D$88:$D$91,$B$64),INDEX('Вводные'!$E$88:$E$91,$B$64)+INDEX('Вводные'!$F$88:$F$91,$B$64)+'Вводные'!$H$9),CV80,0)</x:f>
      </x:c>
      <x:c r="CW82" s="107" t="n">
        <x:f>IF(CW$3&gt;=EDATE(INDEX('Вводные'!$D$88:$D$91,$B$64),INDEX('Вводные'!$E$88:$E$91,$B$64)+INDEX('Вводные'!$F$88:$F$91,$B$64)+'Вводные'!$H$9),CW80,0)</x:f>
      </x:c>
      <x:c r="CX82" s="107" t="n">
        <x:f>IF(CX$3&gt;=EDATE(INDEX('Вводные'!$D$88:$D$91,$B$64),INDEX('Вводные'!$E$88:$E$91,$B$64)+INDEX('Вводные'!$F$88:$F$91,$B$64)+'Вводные'!$H$9),CX80,0)</x:f>
      </x:c>
      <x:c r="CY82" s="107" t="n">
        <x:f>IF(CY$3&gt;=EDATE(INDEX('Вводные'!$D$88:$D$91,$B$64),INDEX('Вводные'!$E$88:$E$91,$B$64)+INDEX('Вводные'!$F$88:$F$91,$B$64)+'Вводные'!$H$9),CY80,0)</x:f>
      </x:c>
      <x:c r="CZ82" s="107" t="n">
        <x:f>IF(CZ$3&gt;=EDATE(INDEX('Вводные'!$D$88:$D$91,$B$64),INDEX('Вводные'!$E$88:$E$91,$B$64)+INDEX('Вводные'!$F$88:$F$91,$B$64)+'Вводные'!$H$9),CZ80,0)</x:f>
      </x:c>
      <x:c r="DA82" s="107" t="n">
        <x:f>IF(DA$3&gt;=EDATE(INDEX('Вводные'!$D$88:$D$91,$B$64),INDEX('Вводные'!$E$88:$E$91,$B$64)+INDEX('Вводные'!$F$88:$F$91,$B$64)+'Вводные'!$H$9),DA80,0)</x:f>
      </x:c>
      <x:c r="DB82" s="107" t="n">
        <x:f>IF(DB$3&gt;=EDATE(INDEX('Вводные'!$D$88:$D$91,$B$64),INDEX('Вводные'!$E$88:$E$91,$B$64)+INDEX('Вводные'!$F$88:$F$91,$B$64)+'Вводные'!$H$9),DB80,0)</x:f>
      </x:c>
      <x:c r="DC82" s="107" t="n">
        <x:f>IF(DC$3&gt;=EDATE(INDEX('Вводные'!$D$88:$D$91,$B$64),INDEX('Вводные'!$E$88:$E$91,$B$64)+INDEX('Вводные'!$F$88:$F$91,$B$64)+'Вводные'!$H$9),DC80,0)</x:f>
      </x:c>
      <x:c r="DD82" s="107" t="n">
        <x:f>IF(DD$3&gt;=EDATE(INDEX('Вводные'!$D$88:$D$91,$B$64),INDEX('Вводные'!$E$88:$E$91,$B$64)+INDEX('Вводные'!$F$88:$F$91,$B$64)+'Вводные'!$H$9),DD80,0)</x:f>
      </x:c>
      <x:c r="DE82" s="107" t="n">
        <x:f>IF(DE$3&gt;=EDATE(INDEX('Вводные'!$D$88:$D$91,$B$64),INDEX('Вводные'!$E$88:$E$91,$B$64)+INDEX('Вводные'!$F$88:$F$91,$B$64)+'Вводные'!$H$9),DE80,0)</x:f>
      </x:c>
      <x:c r="DF82" s="107" t="n">
        <x:f>IF(DF$3&gt;=EDATE(INDEX('Вводные'!$D$88:$D$91,$B$64),INDEX('Вводные'!$E$88:$E$91,$B$64)+INDEX('Вводные'!$F$88:$F$91,$B$64)+'Вводные'!$H$9),DF80,0)</x:f>
      </x:c>
      <x:c r="DG82" s="107" t="n">
        <x:f>IF(DG$3&gt;=EDATE(INDEX('Вводные'!$D$88:$D$91,$B$64),INDEX('Вводные'!$E$88:$E$91,$B$64)+INDEX('Вводные'!$F$88:$F$91,$B$64)+'Вводные'!$H$9),DG80,0)</x:f>
      </x:c>
      <x:c r="DH82" s="107" t="n">
        <x:f>IF(DH$3&gt;=EDATE(INDEX('Вводные'!$D$88:$D$91,$B$64),INDEX('Вводные'!$E$88:$E$91,$B$64)+INDEX('Вводные'!$F$88:$F$91,$B$64)+'Вводные'!$H$9),DH80,0)</x:f>
      </x:c>
      <x:c r="DI82" s="107" t="n">
        <x:f>IF(DI$3&gt;=EDATE(INDEX('Вводные'!$D$88:$D$91,$B$64),INDEX('Вводные'!$E$88:$E$91,$B$64)+INDEX('Вводные'!$F$88:$F$91,$B$64)+'Вводные'!$H$9),DI80,0)</x:f>
      </x:c>
      <x:c r="DJ82" s="107" t="n">
        <x:f>IF(DJ$3&gt;=EDATE(INDEX('Вводные'!$D$88:$D$91,$B$64),INDEX('Вводные'!$E$88:$E$91,$B$64)+INDEX('Вводные'!$F$88:$F$91,$B$64)+'Вводные'!$H$9),DJ80,0)</x:f>
      </x:c>
      <x:c r="DK82" s="107" t="n">
        <x:f>IF(DK$3&gt;=EDATE(INDEX('Вводные'!$D$88:$D$91,$B$64),INDEX('Вводные'!$E$88:$E$91,$B$64)+INDEX('Вводные'!$F$88:$F$91,$B$64)+'Вводные'!$H$9),DK80,0)</x:f>
      </x:c>
      <x:c r="DL82" s="107" t="n">
        <x:f>IF(DL$3&gt;=EDATE(INDEX('Вводные'!$D$88:$D$91,$B$64),INDEX('Вводные'!$E$88:$E$91,$B$64)+INDEX('Вводные'!$F$88:$F$91,$B$64)+'Вводные'!$H$9),DL80,0)</x:f>
      </x:c>
      <x:c r="DM82" s="107" t="n">
        <x:f>IF(DM$3&gt;=EDATE(INDEX('Вводные'!$D$88:$D$91,$B$64),INDEX('Вводные'!$E$88:$E$91,$B$64)+INDEX('Вводные'!$F$88:$F$91,$B$64)+'Вводные'!$H$9),DM80,0)</x:f>
      </x:c>
      <x:c r="DN82" s="107" t="n">
        <x:f>IF(DN$3&gt;=EDATE(INDEX('Вводные'!$D$88:$D$91,$B$64),INDEX('Вводные'!$E$88:$E$91,$B$64)+INDEX('Вводные'!$F$88:$F$91,$B$64)+'Вводные'!$H$9),DN80,0)</x:f>
      </x:c>
      <x:c r="DO82" s="107" t="n">
        <x:f>IF(DO$3&gt;=EDATE(INDEX('Вводные'!$D$88:$D$91,$B$64),INDEX('Вводные'!$E$88:$E$91,$B$64)+INDEX('Вводные'!$F$88:$F$91,$B$64)+'Вводные'!$H$9),DO80,0)</x:f>
      </x:c>
      <x:c r="DP82" s="107" t="n">
        <x:f>IF(DP$3&gt;=EDATE(INDEX('Вводные'!$D$88:$D$91,$B$64),INDEX('Вводные'!$E$88:$E$91,$B$64)+INDEX('Вводные'!$F$88:$F$91,$B$64)+'Вводные'!$H$9),DP80,0)</x:f>
      </x:c>
      <x:c r="DQ82" s="107" t="n">
        <x:f>IF(DQ$3&gt;=EDATE(INDEX('Вводные'!$D$88:$D$91,$B$64),INDEX('Вводные'!$E$88:$E$91,$B$64)+INDEX('Вводные'!$F$88:$F$91,$B$64)+'Вводные'!$H$9),DQ80,0)</x:f>
      </x:c>
      <x:c r="DR82" s="107" t="n">
        <x:f>IF(DR$3&gt;=EDATE(INDEX('Вводные'!$D$88:$D$91,$B$64),INDEX('Вводные'!$E$88:$E$91,$B$64)+INDEX('Вводные'!$F$88:$F$91,$B$64)+'Вводные'!$H$9),DR80,0)</x:f>
      </x:c>
      <x:c r="DS82" s="107" t="n">
        <x:f>IF(DS$3&gt;=EDATE(INDEX('Вводные'!$D$88:$D$91,$B$64),INDEX('Вводные'!$E$88:$E$91,$B$64)+INDEX('Вводные'!$F$88:$F$91,$B$64)+'Вводные'!$H$9),DS80,0)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EDATE(INDEX('Вводные'!$D$88:$D$91,$B$64),INDEX('Вводные'!$E$88:$E$91,$B$64)+INDEX('Вводные'!$F$88:$F$91,$B$64)+'Вводные'!$H$9)),MONTH(D$3)=MONTH(EDATE(INDEX('Вводные'!$D$88:$D$91,$B$64),INDEX('Вводные'!$E$88:$E$91,$B$64)+INDEX('Вводные'!$F$88:$F$91,$B$64)+'Вводные'!$H$9)),AND($B$63="Да",IFERROR(INDEX('Вводные'!$B$88:$B$91,$B$64),"Нет")="Да")),MAX(0,SUM($D81:D81)-D81),0)</x:f>
      </x:c>
      <x:c r="E83" s="107" t="n">
        <x:f>IF(AND(YEAR(E$3)=YEAR(EDATE(INDEX('Вводные'!$D$88:$D$91,$B$64),INDEX('Вводные'!$E$88:$E$91,$B$64)+INDEX('Вводные'!$F$88:$F$91,$B$64)+'Вводные'!$H$9)),MONTH(E$3)=MONTH(EDATE(INDEX('Вводные'!$D$88:$D$91,$B$64),INDEX('Вводные'!$E$88:$E$91,$B$64)+INDEX('Вводные'!$F$88:$F$91,$B$64)+'Вводные'!$H$9)),AND($B$63="Да",IFERROR(INDEX('Вводные'!$B$88:$B$91,$B$64),"Нет")="Да")),MAX(0,SUM($D81:E81)-E81),0)</x:f>
      </x:c>
      <x:c r="F83" s="107" t="n">
        <x:f>IF(AND(YEAR(F$3)=YEAR(EDATE(INDEX('Вводные'!$D$88:$D$91,$B$64),INDEX('Вводные'!$E$88:$E$91,$B$64)+INDEX('Вводные'!$F$88:$F$91,$B$64)+'Вводные'!$H$9)),MONTH(F$3)=MONTH(EDATE(INDEX('Вводные'!$D$88:$D$91,$B$64),INDEX('Вводные'!$E$88:$E$91,$B$64)+INDEX('Вводные'!$F$88:$F$91,$B$64)+'Вводные'!$H$9)),AND($B$63="Да",IFERROR(INDEX('Вводные'!$B$88:$B$91,$B$64),"Нет")="Да")),MAX(0,SUM($D81:F81)-F81),0)</x:f>
      </x:c>
      <x:c r="G83" s="107" t="n">
        <x:f>IF(AND(YEAR(G$3)=YEAR(EDATE(INDEX('Вводные'!$D$88:$D$91,$B$64),INDEX('Вводные'!$E$88:$E$91,$B$64)+INDEX('Вводные'!$F$88:$F$91,$B$64)+'Вводные'!$H$9)),MONTH(G$3)=MONTH(EDATE(INDEX('Вводные'!$D$88:$D$91,$B$64),INDEX('Вводные'!$E$88:$E$91,$B$64)+INDEX('Вводные'!$F$88:$F$91,$B$64)+'Вводные'!$H$9)),AND($B$63="Да",IFERROR(INDEX('Вводные'!$B$88:$B$91,$B$64),"Нет")="Да")),MAX(0,SUM($D81:G81)-G81),0)</x:f>
      </x:c>
      <x:c r="H83" s="107" t="n">
        <x:f>IF(AND(YEAR(H$3)=YEAR(EDATE(INDEX('Вводные'!$D$88:$D$91,$B$64),INDEX('Вводные'!$E$88:$E$91,$B$64)+INDEX('Вводные'!$F$88:$F$91,$B$64)+'Вводные'!$H$9)),MONTH(H$3)=MONTH(EDATE(INDEX('Вводные'!$D$88:$D$91,$B$64),INDEX('Вводные'!$E$88:$E$91,$B$64)+INDEX('Вводные'!$F$88:$F$91,$B$64)+'Вводные'!$H$9)),AND($B$63="Да",IFERROR(INDEX('Вводные'!$B$88:$B$91,$B$64),"Нет")="Да")),MAX(0,SUM($D81:H81)-H81),0)</x:f>
      </x:c>
      <x:c r="I83" s="107" t="n">
        <x:f>IF(AND(YEAR(I$3)=YEAR(EDATE(INDEX('Вводные'!$D$88:$D$91,$B$64),INDEX('Вводные'!$E$88:$E$91,$B$64)+INDEX('Вводные'!$F$88:$F$91,$B$64)+'Вводные'!$H$9)),MONTH(I$3)=MONTH(EDATE(INDEX('Вводные'!$D$88:$D$91,$B$64),INDEX('Вводные'!$E$88:$E$91,$B$64)+INDEX('Вводные'!$F$88:$F$91,$B$64)+'Вводные'!$H$9)),AND($B$63="Да",IFERROR(INDEX('Вводные'!$B$88:$B$91,$B$64),"Нет")="Да")),MAX(0,SUM($D81:I81)-I81),0)</x:f>
      </x:c>
      <x:c r="J83" s="107" t="n">
        <x:f>IF(AND(YEAR(J$3)=YEAR(EDATE(INDEX('Вводные'!$D$88:$D$91,$B$64),INDEX('Вводные'!$E$88:$E$91,$B$64)+INDEX('Вводные'!$F$88:$F$91,$B$64)+'Вводные'!$H$9)),MONTH(J$3)=MONTH(EDATE(INDEX('Вводные'!$D$88:$D$91,$B$64),INDEX('Вводные'!$E$88:$E$91,$B$64)+INDEX('Вводные'!$F$88:$F$91,$B$64)+'Вводные'!$H$9)),AND($B$63="Да",IFERROR(INDEX('Вводные'!$B$88:$B$91,$B$64),"Нет")="Да")),MAX(0,SUM($D81:J81)-J81),0)</x:f>
      </x:c>
      <x:c r="K83" s="107" t="n">
        <x:f>IF(AND(YEAR(K$3)=YEAR(EDATE(INDEX('Вводные'!$D$88:$D$91,$B$64),INDEX('Вводные'!$E$88:$E$91,$B$64)+INDEX('Вводные'!$F$88:$F$91,$B$64)+'Вводные'!$H$9)),MONTH(K$3)=MONTH(EDATE(INDEX('Вводные'!$D$88:$D$91,$B$64),INDEX('Вводные'!$E$88:$E$91,$B$64)+INDEX('Вводные'!$F$88:$F$91,$B$64)+'Вводные'!$H$9)),AND($B$63="Да",IFERROR(INDEX('Вводные'!$B$88:$B$91,$B$64),"Нет")="Да")),MAX(0,SUM($D81:K81)-K81),0)</x:f>
      </x:c>
      <x:c r="L83" s="107" t="n">
        <x:f>IF(AND(YEAR(L$3)=YEAR(EDATE(INDEX('Вводные'!$D$88:$D$91,$B$64),INDEX('Вводные'!$E$88:$E$91,$B$64)+INDEX('Вводные'!$F$88:$F$91,$B$64)+'Вводные'!$H$9)),MONTH(L$3)=MONTH(EDATE(INDEX('Вводные'!$D$88:$D$91,$B$64),INDEX('Вводные'!$E$88:$E$91,$B$64)+INDEX('Вводные'!$F$88:$F$91,$B$64)+'Вводные'!$H$9)),AND($B$63="Да",IFERROR(INDEX('Вводные'!$B$88:$B$91,$B$64),"Нет")="Да")),MAX(0,SUM($D81:L81)-L81),0)</x:f>
      </x:c>
      <x:c r="M83" s="107" t="n">
        <x:f>IF(AND(YEAR(M$3)=YEAR(EDATE(INDEX('Вводные'!$D$88:$D$91,$B$64),INDEX('Вводные'!$E$88:$E$91,$B$64)+INDEX('Вводные'!$F$88:$F$91,$B$64)+'Вводные'!$H$9)),MONTH(M$3)=MONTH(EDATE(INDEX('Вводные'!$D$88:$D$91,$B$64),INDEX('Вводные'!$E$88:$E$91,$B$64)+INDEX('Вводные'!$F$88:$F$91,$B$64)+'Вводные'!$H$9)),AND($B$63="Да",IFERROR(INDEX('Вводные'!$B$88:$B$91,$B$64),"Нет")="Да")),MAX(0,SUM($D81:M81)-M81),0)</x:f>
      </x:c>
      <x:c r="N83" s="107" t="n">
        <x:f>IF(AND(YEAR(N$3)=YEAR(EDATE(INDEX('Вводные'!$D$88:$D$91,$B$64),INDEX('Вводные'!$E$88:$E$91,$B$64)+INDEX('Вводные'!$F$88:$F$91,$B$64)+'Вводные'!$H$9)),MONTH(N$3)=MONTH(EDATE(INDEX('Вводные'!$D$88:$D$91,$B$64),INDEX('Вводные'!$E$88:$E$91,$B$64)+INDEX('Вводные'!$F$88:$F$91,$B$64)+'Вводные'!$H$9)),AND($B$63="Да",IFERROR(INDEX('Вводные'!$B$88:$B$91,$B$64),"Нет")="Да")),MAX(0,SUM($D81:N81)-N81),0)</x:f>
      </x:c>
      <x:c r="O83" s="107" t="n">
        <x:f>IF(AND(YEAR(O$3)=YEAR(EDATE(INDEX('Вводные'!$D$88:$D$91,$B$64),INDEX('Вводные'!$E$88:$E$91,$B$64)+INDEX('Вводные'!$F$88:$F$91,$B$64)+'Вводные'!$H$9)),MONTH(O$3)=MONTH(EDATE(INDEX('Вводные'!$D$88:$D$91,$B$64),INDEX('Вводные'!$E$88:$E$91,$B$64)+INDEX('Вводные'!$F$88:$F$91,$B$64)+'Вводные'!$H$9)),AND($B$63="Да",IFERROR(INDEX('Вводные'!$B$88:$B$91,$B$64),"Нет")="Да")),MAX(0,SUM($D81:O81)-O81),0)</x:f>
      </x:c>
      <x:c r="P83" s="107" t="n">
        <x:f>IF(AND(YEAR(P$3)=YEAR(EDATE(INDEX('Вводные'!$D$88:$D$91,$B$64),INDEX('Вводные'!$E$88:$E$91,$B$64)+INDEX('Вводные'!$F$88:$F$91,$B$64)+'Вводные'!$H$9)),MONTH(P$3)=MONTH(EDATE(INDEX('Вводные'!$D$88:$D$91,$B$64),INDEX('Вводные'!$E$88:$E$91,$B$64)+INDEX('Вводные'!$F$88:$F$91,$B$64)+'Вводные'!$H$9)),AND($B$63="Да",IFERROR(INDEX('Вводные'!$B$88:$B$91,$B$64),"Нет")="Да")),MAX(0,SUM($D81:P81)-P81),0)</x:f>
      </x:c>
      <x:c r="Q83" s="107" t="n">
        <x:f>IF(AND(YEAR(Q$3)=YEAR(EDATE(INDEX('Вводные'!$D$88:$D$91,$B$64),INDEX('Вводные'!$E$88:$E$91,$B$64)+INDEX('Вводные'!$F$88:$F$91,$B$64)+'Вводные'!$H$9)),MONTH(Q$3)=MONTH(EDATE(INDEX('Вводные'!$D$88:$D$91,$B$64),INDEX('Вводные'!$E$88:$E$91,$B$64)+INDEX('Вводные'!$F$88:$F$91,$B$64)+'Вводные'!$H$9)),AND($B$63="Да",IFERROR(INDEX('Вводные'!$B$88:$B$91,$B$64),"Нет")="Да")),MAX(0,SUM($D81:Q81)-Q81),0)</x:f>
      </x:c>
      <x:c r="R83" s="107" t="n">
        <x:f>IF(AND(YEAR(R$3)=YEAR(EDATE(INDEX('Вводные'!$D$88:$D$91,$B$64),INDEX('Вводные'!$E$88:$E$91,$B$64)+INDEX('Вводные'!$F$88:$F$91,$B$64)+'Вводные'!$H$9)),MONTH(R$3)=MONTH(EDATE(INDEX('Вводные'!$D$88:$D$91,$B$64),INDEX('Вводные'!$E$88:$E$91,$B$64)+INDEX('Вводные'!$F$88:$F$91,$B$64)+'Вводные'!$H$9)),AND($B$63="Да",IFERROR(INDEX('Вводные'!$B$88:$B$91,$B$64),"Нет")="Да")),MAX(0,SUM($D81:R81)-R81),0)</x:f>
      </x:c>
      <x:c r="S83" s="107" t="n">
        <x:f>IF(AND(YEAR(S$3)=YEAR(EDATE(INDEX('Вводные'!$D$88:$D$91,$B$64),INDEX('Вводные'!$E$88:$E$91,$B$64)+INDEX('Вводные'!$F$88:$F$91,$B$64)+'Вводные'!$H$9)),MONTH(S$3)=MONTH(EDATE(INDEX('Вводные'!$D$88:$D$91,$B$64),INDEX('Вводные'!$E$88:$E$91,$B$64)+INDEX('Вводные'!$F$88:$F$91,$B$64)+'Вводные'!$H$9)),AND($B$63="Да",IFERROR(INDEX('Вводные'!$B$88:$B$91,$B$64),"Нет")="Да")),MAX(0,SUM($D81:S81)-S81),0)</x:f>
      </x:c>
      <x:c r="T83" s="107" t="n">
        <x:f>IF(AND(YEAR(T$3)=YEAR(EDATE(INDEX('Вводные'!$D$88:$D$91,$B$64),INDEX('Вводные'!$E$88:$E$91,$B$64)+INDEX('Вводные'!$F$88:$F$91,$B$64)+'Вводные'!$H$9)),MONTH(T$3)=MONTH(EDATE(INDEX('Вводные'!$D$88:$D$91,$B$64),INDEX('Вводные'!$E$88:$E$91,$B$64)+INDEX('Вводные'!$F$88:$F$91,$B$64)+'Вводные'!$H$9)),AND($B$63="Да",IFERROR(INDEX('Вводные'!$B$88:$B$91,$B$64),"Нет")="Да")),MAX(0,SUM($D81:T81)-T81),0)</x:f>
      </x:c>
      <x:c r="U83" s="107" t="n">
        <x:f>IF(AND(YEAR(U$3)=YEAR(EDATE(INDEX('Вводные'!$D$88:$D$91,$B$64),INDEX('Вводные'!$E$88:$E$91,$B$64)+INDEX('Вводные'!$F$88:$F$91,$B$64)+'Вводные'!$H$9)),MONTH(U$3)=MONTH(EDATE(INDEX('Вводные'!$D$88:$D$91,$B$64),INDEX('Вводные'!$E$88:$E$91,$B$64)+INDEX('Вводные'!$F$88:$F$91,$B$64)+'Вводные'!$H$9)),AND($B$63="Да",IFERROR(INDEX('Вводные'!$B$88:$B$91,$B$64),"Нет")="Да")),MAX(0,SUM($D81:U81)-U81),0)</x:f>
      </x:c>
      <x:c r="V83" s="107" t="n">
        <x:f>IF(AND(YEAR(V$3)=YEAR(EDATE(INDEX('Вводные'!$D$88:$D$91,$B$64),INDEX('Вводные'!$E$88:$E$91,$B$64)+INDEX('Вводные'!$F$88:$F$91,$B$64)+'Вводные'!$H$9)),MONTH(V$3)=MONTH(EDATE(INDEX('Вводные'!$D$88:$D$91,$B$64),INDEX('Вводные'!$E$88:$E$91,$B$64)+INDEX('Вводные'!$F$88:$F$91,$B$64)+'Вводные'!$H$9)),AND($B$63="Да",IFERROR(INDEX('Вводные'!$B$88:$B$91,$B$64),"Нет")="Да")),MAX(0,SUM($D81:V81)-V81),0)</x:f>
      </x:c>
      <x:c r="W83" s="107" t="n">
        <x:f>IF(AND(YEAR(W$3)=YEAR(EDATE(INDEX('Вводные'!$D$88:$D$91,$B$64),INDEX('Вводные'!$E$88:$E$91,$B$64)+INDEX('Вводные'!$F$88:$F$91,$B$64)+'Вводные'!$H$9)),MONTH(W$3)=MONTH(EDATE(INDEX('Вводные'!$D$88:$D$91,$B$64),INDEX('Вводные'!$E$88:$E$91,$B$64)+INDEX('Вводные'!$F$88:$F$91,$B$64)+'Вводные'!$H$9)),AND($B$63="Да",IFERROR(INDEX('Вводные'!$B$88:$B$91,$B$64),"Нет")="Да")),MAX(0,SUM($D81:W81)-W81),0)</x:f>
      </x:c>
      <x:c r="X83" s="107" t="n">
        <x:f>IF(AND(YEAR(X$3)=YEAR(EDATE(INDEX('Вводные'!$D$88:$D$91,$B$64),INDEX('Вводные'!$E$88:$E$91,$B$64)+INDEX('Вводные'!$F$88:$F$91,$B$64)+'Вводные'!$H$9)),MONTH(X$3)=MONTH(EDATE(INDEX('Вводные'!$D$88:$D$91,$B$64),INDEX('Вводные'!$E$88:$E$91,$B$64)+INDEX('Вводные'!$F$88:$F$91,$B$64)+'Вводные'!$H$9)),AND($B$63="Да",IFERROR(INDEX('Вводные'!$B$88:$B$91,$B$64),"Нет")="Да")),MAX(0,SUM($D81:X81)-X81),0)</x:f>
      </x:c>
      <x:c r="Y83" s="107" t="n">
        <x:f>IF(AND(YEAR(Y$3)=YEAR(EDATE(INDEX('Вводные'!$D$88:$D$91,$B$64),INDEX('Вводные'!$E$88:$E$91,$B$64)+INDEX('Вводные'!$F$88:$F$91,$B$64)+'Вводные'!$H$9)),MONTH(Y$3)=MONTH(EDATE(INDEX('Вводные'!$D$88:$D$91,$B$64),INDEX('Вводные'!$E$88:$E$91,$B$64)+INDEX('Вводные'!$F$88:$F$91,$B$64)+'Вводные'!$H$9)),AND($B$63="Да",IFERROR(INDEX('Вводные'!$B$88:$B$91,$B$64),"Нет")="Да")),MAX(0,SUM($D81:Y81)-Y81),0)</x:f>
      </x:c>
      <x:c r="Z83" s="107" t="n">
        <x:f>IF(AND(YEAR(Z$3)=YEAR(EDATE(INDEX('Вводные'!$D$88:$D$91,$B$64),INDEX('Вводные'!$E$88:$E$91,$B$64)+INDEX('Вводные'!$F$88:$F$91,$B$64)+'Вводные'!$H$9)),MONTH(Z$3)=MONTH(EDATE(INDEX('Вводные'!$D$88:$D$91,$B$64),INDEX('Вводные'!$E$88:$E$91,$B$64)+INDEX('Вводные'!$F$88:$F$91,$B$64)+'Вводные'!$H$9)),AND($B$63="Да",IFERROR(INDEX('Вводные'!$B$88:$B$91,$B$64),"Нет")="Да")),MAX(0,SUM($D81:Z81)-Z81),0)</x:f>
      </x:c>
      <x:c r="AA83" s="107" t="n">
        <x:f>IF(AND(YEAR(AA$3)=YEAR(EDATE(INDEX('Вводные'!$D$88:$D$91,$B$64),INDEX('Вводные'!$E$88:$E$91,$B$64)+INDEX('Вводные'!$F$88:$F$91,$B$64)+'Вводные'!$H$9)),MONTH(AA$3)=MONTH(EDATE(INDEX('Вводные'!$D$88:$D$91,$B$64),INDEX('Вводные'!$E$88:$E$91,$B$64)+INDEX('Вводные'!$F$88:$F$91,$B$64)+'Вводные'!$H$9)),AND($B$63="Да",IFERROR(INDEX('Вводные'!$B$88:$B$91,$B$64),"Нет")="Да")),MAX(0,SUM($D81:AA81)-AA81),0)</x:f>
      </x:c>
      <x:c r="AB83" s="107" t="n">
        <x:f>IF(AND(YEAR(AB$3)=YEAR(EDATE(INDEX('Вводные'!$D$88:$D$91,$B$64),INDEX('Вводные'!$E$88:$E$91,$B$64)+INDEX('Вводные'!$F$88:$F$91,$B$64)+'Вводные'!$H$9)),MONTH(AB$3)=MONTH(EDATE(INDEX('Вводные'!$D$88:$D$91,$B$64),INDEX('Вводные'!$E$88:$E$91,$B$64)+INDEX('Вводные'!$F$88:$F$91,$B$64)+'Вводные'!$H$9)),AND($B$63="Да",IFERROR(INDEX('Вводные'!$B$88:$B$91,$B$64),"Нет")="Да")),MAX(0,SUM($D81:AB81)-AB81),0)</x:f>
      </x:c>
      <x:c r="AC83" s="107" t="n">
        <x:f>IF(AND(YEAR(AC$3)=YEAR(EDATE(INDEX('Вводные'!$D$88:$D$91,$B$64),INDEX('Вводные'!$E$88:$E$91,$B$64)+INDEX('Вводные'!$F$88:$F$91,$B$64)+'Вводные'!$H$9)),MONTH(AC$3)=MONTH(EDATE(INDEX('Вводные'!$D$88:$D$91,$B$64),INDEX('Вводные'!$E$88:$E$91,$B$64)+INDEX('Вводные'!$F$88:$F$91,$B$64)+'Вводные'!$H$9)),AND($B$63="Да",IFERROR(INDEX('Вводные'!$B$88:$B$91,$B$64),"Нет")="Да")),MAX(0,SUM($D81:AC81)-AC81),0)</x:f>
      </x:c>
      <x:c r="AD83" s="107" t="n">
        <x:f>IF(AND(YEAR(AD$3)=YEAR(EDATE(INDEX('Вводные'!$D$88:$D$91,$B$64),INDEX('Вводные'!$E$88:$E$91,$B$64)+INDEX('Вводные'!$F$88:$F$91,$B$64)+'Вводные'!$H$9)),MONTH(AD$3)=MONTH(EDATE(INDEX('Вводные'!$D$88:$D$91,$B$64),INDEX('Вводные'!$E$88:$E$91,$B$64)+INDEX('Вводные'!$F$88:$F$91,$B$64)+'Вводные'!$H$9)),AND($B$63="Да",IFERROR(INDEX('Вводные'!$B$88:$B$91,$B$64),"Нет")="Да")),MAX(0,SUM($D81:AD81)-AD81),0)</x:f>
      </x:c>
      <x:c r="AE83" s="107" t="n">
        <x:f>IF(AND(YEAR(AE$3)=YEAR(EDATE(INDEX('Вводные'!$D$88:$D$91,$B$64),INDEX('Вводные'!$E$88:$E$91,$B$64)+INDEX('Вводные'!$F$88:$F$91,$B$64)+'Вводные'!$H$9)),MONTH(AE$3)=MONTH(EDATE(INDEX('Вводные'!$D$88:$D$91,$B$64),INDEX('Вводные'!$E$88:$E$91,$B$64)+INDEX('Вводные'!$F$88:$F$91,$B$64)+'Вводные'!$H$9)),AND($B$63="Да",IFERROR(INDEX('Вводные'!$B$88:$B$91,$B$64),"Нет")="Да")),MAX(0,SUM($D81:AE81)-AE81),0)</x:f>
      </x:c>
      <x:c r="AF83" s="107" t="n">
        <x:f>IF(AND(YEAR(AF$3)=YEAR(EDATE(INDEX('Вводные'!$D$88:$D$91,$B$64),INDEX('Вводные'!$E$88:$E$91,$B$64)+INDEX('Вводные'!$F$88:$F$91,$B$64)+'Вводные'!$H$9)),MONTH(AF$3)=MONTH(EDATE(INDEX('Вводные'!$D$88:$D$91,$B$64),INDEX('Вводные'!$E$88:$E$91,$B$64)+INDEX('Вводные'!$F$88:$F$91,$B$64)+'Вводные'!$H$9)),AND($B$63="Да",IFERROR(INDEX('Вводные'!$B$88:$B$91,$B$64),"Нет")="Да")),MAX(0,SUM($D81:AF81)-AF81),0)</x:f>
      </x:c>
      <x:c r="AG83" s="107" t="n">
        <x:f>IF(AND(YEAR(AG$3)=YEAR(EDATE(INDEX('Вводные'!$D$88:$D$91,$B$64),INDEX('Вводные'!$E$88:$E$91,$B$64)+INDEX('Вводные'!$F$88:$F$91,$B$64)+'Вводные'!$H$9)),MONTH(AG$3)=MONTH(EDATE(INDEX('Вводные'!$D$88:$D$91,$B$64),INDEX('Вводные'!$E$88:$E$91,$B$64)+INDEX('Вводные'!$F$88:$F$91,$B$64)+'Вводные'!$H$9)),AND($B$63="Да",IFERROR(INDEX('Вводные'!$B$88:$B$91,$B$64),"Нет")="Да")),MAX(0,SUM($D81:AG81)-AG81),0)</x:f>
      </x:c>
      <x:c r="AH83" s="107" t="n">
        <x:f>IF(AND(YEAR(AH$3)=YEAR(EDATE(INDEX('Вводные'!$D$88:$D$91,$B$64),INDEX('Вводные'!$E$88:$E$91,$B$64)+INDEX('Вводные'!$F$88:$F$91,$B$64)+'Вводные'!$H$9)),MONTH(AH$3)=MONTH(EDATE(INDEX('Вводные'!$D$88:$D$91,$B$64),INDEX('Вводные'!$E$88:$E$91,$B$64)+INDEX('Вводные'!$F$88:$F$91,$B$64)+'Вводные'!$H$9)),AND($B$63="Да",IFERROR(INDEX('Вводные'!$B$88:$B$91,$B$64),"Нет")="Да")),MAX(0,SUM($D81:AH81)-AH81),0)</x:f>
      </x:c>
      <x:c r="AI83" s="107" t="n">
        <x:f>IF(AND(YEAR(AI$3)=YEAR(EDATE(INDEX('Вводные'!$D$88:$D$91,$B$64),INDEX('Вводные'!$E$88:$E$91,$B$64)+INDEX('Вводные'!$F$88:$F$91,$B$64)+'Вводные'!$H$9)),MONTH(AI$3)=MONTH(EDATE(INDEX('Вводные'!$D$88:$D$91,$B$64),INDEX('Вводные'!$E$88:$E$91,$B$64)+INDEX('Вводные'!$F$88:$F$91,$B$64)+'Вводные'!$H$9)),AND($B$63="Да",IFERROR(INDEX('Вводные'!$B$88:$B$91,$B$64),"Нет")="Да")),MAX(0,SUM($D81:AI81)-AI81),0)</x:f>
      </x:c>
      <x:c r="AJ83" s="107" t="n">
        <x:f>IF(AND(YEAR(AJ$3)=YEAR(EDATE(INDEX('Вводные'!$D$88:$D$91,$B$64),INDEX('Вводные'!$E$88:$E$91,$B$64)+INDEX('Вводные'!$F$88:$F$91,$B$64)+'Вводные'!$H$9)),MONTH(AJ$3)=MONTH(EDATE(INDEX('Вводные'!$D$88:$D$91,$B$64),INDEX('Вводные'!$E$88:$E$91,$B$64)+INDEX('Вводные'!$F$88:$F$91,$B$64)+'Вводные'!$H$9)),AND($B$63="Да",IFERROR(INDEX('Вводные'!$B$88:$B$91,$B$64),"Нет")="Да")),MAX(0,SUM($D81:AJ81)-AJ81),0)</x:f>
      </x:c>
      <x:c r="AK83" s="107" t="n">
        <x:f>IF(AND(YEAR(AK$3)=YEAR(EDATE(INDEX('Вводные'!$D$88:$D$91,$B$64),INDEX('Вводные'!$E$88:$E$91,$B$64)+INDEX('Вводные'!$F$88:$F$91,$B$64)+'Вводные'!$H$9)),MONTH(AK$3)=MONTH(EDATE(INDEX('Вводные'!$D$88:$D$91,$B$64),INDEX('Вводные'!$E$88:$E$91,$B$64)+INDEX('Вводные'!$F$88:$F$91,$B$64)+'Вводные'!$H$9)),AND($B$63="Да",IFERROR(INDEX('Вводные'!$B$88:$B$91,$B$64),"Нет")="Да")),MAX(0,SUM($D81:AK81)-AK81),0)</x:f>
      </x:c>
      <x:c r="AL83" s="107" t="n">
        <x:f>IF(AND(YEAR(AL$3)=YEAR(EDATE(INDEX('Вводные'!$D$88:$D$91,$B$64),INDEX('Вводные'!$E$88:$E$91,$B$64)+INDEX('Вводные'!$F$88:$F$91,$B$64)+'Вводные'!$H$9)),MONTH(AL$3)=MONTH(EDATE(INDEX('Вводные'!$D$88:$D$91,$B$64),INDEX('Вводные'!$E$88:$E$91,$B$64)+INDEX('Вводные'!$F$88:$F$91,$B$64)+'Вводные'!$H$9)),AND($B$63="Да",IFERROR(INDEX('Вводные'!$B$88:$B$91,$B$64),"Нет")="Да")),MAX(0,SUM($D81:AL81)-AL81),0)</x:f>
      </x:c>
      <x:c r="AM83" s="107" t="n">
        <x:f>IF(AND(YEAR(AM$3)=YEAR(EDATE(INDEX('Вводные'!$D$88:$D$91,$B$64),INDEX('Вводные'!$E$88:$E$91,$B$64)+INDEX('Вводные'!$F$88:$F$91,$B$64)+'Вводные'!$H$9)),MONTH(AM$3)=MONTH(EDATE(INDEX('Вводные'!$D$88:$D$91,$B$64),INDEX('Вводные'!$E$88:$E$91,$B$64)+INDEX('Вводные'!$F$88:$F$91,$B$64)+'Вводные'!$H$9)),AND($B$63="Да",IFERROR(INDEX('Вводные'!$B$88:$B$91,$B$64),"Нет")="Да")),MAX(0,SUM($D81:AM81)-AM81),0)</x:f>
      </x:c>
      <x:c r="AN83" s="107" t="n">
        <x:f>IF(AND(YEAR(AN$3)=YEAR(EDATE(INDEX('Вводные'!$D$88:$D$91,$B$64),INDEX('Вводные'!$E$88:$E$91,$B$64)+INDEX('Вводные'!$F$88:$F$91,$B$64)+'Вводные'!$H$9)),MONTH(AN$3)=MONTH(EDATE(INDEX('Вводные'!$D$88:$D$91,$B$64),INDEX('Вводные'!$E$88:$E$91,$B$64)+INDEX('Вводные'!$F$88:$F$91,$B$64)+'Вводные'!$H$9)),AND($B$63="Да",IFERROR(INDEX('Вводные'!$B$88:$B$91,$B$64),"Нет")="Да")),MAX(0,SUM($D81:AN81)-AN81),0)</x:f>
      </x:c>
      <x:c r="AO83" s="107" t="n">
        <x:f>IF(AND(YEAR(AO$3)=YEAR(EDATE(INDEX('Вводные'!$D$88:$D$91,$B$64),INDEX('Вводные'!$E$88:$E$91,$B$64)+INDEX('Вводные'!$F$88:$F$91,$B$64)+'Вводные'!$H$9)),MONTH(AO$3)=MONTH(EDATE(INDEX('Вводные'!$D$88:$D$91,$B$64),INDEX('Вводные'!$E$88:$E$91,$B$64)+INDEX('Вводные'!$F$88:$F$91,$B$64)+'Вводные'!$H$9)),AND($B$63="Да",IFERROR(INDEX('Вводные'!$B$88:$B$91,$B$64),"Нет")="Да")),MAX(0,SUM($D81:AO81)-AO81),0)</x:f>
      </x:c>
      <x:c r="AP83" s="107" t="n">
        <x:f>IF(AND(YEAR(AP$3)=YEAR(EDATE(INDEX('Вводные'!$D$88:$D$91,$B$64),INDEX('Вводные'!$E$88:$E$91,$B$64)+INDEX('Вводные'!$F$88:$F$91,$B$64)+'Вводные'!$H$9)),MONTH(AP$3)=MONTH(EDATE(INDEX('Вводные'!$D$88:$D$91,$B$64),INDEX('Вводные'!$E$88:$E$91,$B$64)+INDEX('Вводные'!$F$88:$F$91,$B$64)+'Вводные'!$H$9)),AND($B$63="Да",IFERROR(INDEX('Вводные'!$B$88:$B$91,$B$64),"Нет")="Да")),MAX(0,SUM($D81:AP81)-AP81),0)</x:f>
      </x:c>
      <x:c r="AQ83" s="107" t="n">
        <x:f>IF(AND(YEAR(AQ$3)=YEAR(EDATE(INDEX('Вводные'!$D$88:$D$91,$B$64),INDEX('Вводные'!$E$88:$E$91,$B$64)+INDEX('Вводные'!$F$88:$F$91,$B$64)+'Вводные'!$H$9)),MONTH(AQ$3)=MONTH(EDATE(INDEX('Вводные'!$D$88:$D$91,$B$64),INDEX('Вводные'!$E$88:$E$91,$B$64)+INDEX('Вводные'!$F$88:$F$91,$B$64)+'Вводные'!$H$9)),AND($B$63="Да",IFERROR(INDEX('Вводные'!$B$88:$B$91,$B$64),"Нет")="Да")),MAX(0,SUM($D81:AQ81)-AQ81),0)</x:f>
      </x:c>
      <x:c r="AR83" s="107" t="n">
        <x:f>IF(AND(YEAR(AR$3)=YEAR(EDATE(INDEX('Вводные'!$D$88:$D$91,$B$64),INDEX('Вводные'!$E$88:$E$91,$B$64)+INDEX('Вводные'!$F$88:$F$91,$B$64)+'Вводные'!$H$9)),MONTH(AR$3)=MONTH(EDATE(INDEX('Вводные'!$D$88:$D$91,$B$64),INDEX('Вводные'!$E$88:$E$91,$B$64)+INDEX('Вводные'!$F$88:$F$91,$B$64)+'Вводные'!$H$9)),AND($B$63="Да",IFERROR(INDEX('Вводные'!$B$88:$B$91,$B$64),"Нет")="Да")),MAX(0,SUM($D81:AR81)-AR81),0)</x:f>
      </x:c>
      <x:c r="AS83" s="107" t="n">
        <x:f>IF(AND(YEAR(AS$3)=YEAR(EDATE(INDEX('Вводные'!$D$88:$D$91,$B$64),INDEX('Вводные'!$E$88:$E$91,$B$64)+INDEX('Вводные'!$F$88:$F$91,$B$64)+'Вводные'!$H$9)),MONTH(AS$3)=MONTH(EDATE(INDEX('Вводные'!$D$88:$D$91,$B$64),INDEX('Вводные'!$E$88:$E$91,$B$64)+INDEX('Вводные'!$F$88:$F$91,$B$64)+'Вводные'!$H$9)),AND($B$63="Да",IFERROR(INDEX('Вводные'!$B$88:$B$91,$B$64),"Нет")="Да")),MAX(0,SUM($D81:AS81)-AS81),0)</x:f>
      </x:c>
      <x:c r="AT83" s="107" t="n">
        <x:f>IF(AND(YEAR(AT$3)=YEAR(EDATE(INDEX('Вводные'!$D$88:$D$91,$B$64),INDEX('Вводные'!$E$88:$E$91,$B$64)+INDEX('Вводные'!$F$88:$F$91,$B$64)+'Вводные'!$H$9)),MONTH(AT$3)=MONTH(EDATE(INDEX('Вводные'!$D$88:$D$91,$B$64),INDEX('Вводные'!$E$88:$E$91,$B$64)+INDEX('Вводные'!$F$88:$F$91,$B$64)+'Вводные'!$H$9)),AND($B$63="Да",IFERROR(INDEX('Вводные'!$B$88:$B$91,$B$64),"Нет")="Да")),MAX(0,SUM($D81:AT81)-AT81),0)</x:f>
      </x:c>
      <x:c r="AU83" s="107" t="n">
        <x:f>IF(AND(YEAR(AU$3)=YEAR(EDATE(INDEX('Вводные'!$D$88:$D$91,$B$64),INDEX('Вводные'!$E$88:$E$91,$B$64)+INDEX('Вводные'!$F$88:$F$91,$B$64)+'Вводные'!$H$9)),MONTH(AU$3)=MONTH(EDATE(INDEX('Вводные'!$D$88:$D$91,$B$64),INDEX('Вводные'!$E$88:$E$91,$B$64)+INDEX('Вводные'!$F$88:$F$91,$B$64)+'Вводные'!$H$9)),AND($B$63="Да",IFERROR(INDEX('Вводные'!$B$88:$B$91,$B$64),"Нет")="Да")),MAX(0,SUM($D81:AU81)-AU81),0)</x:f>
      </x:c>
      <x:c r="AV83" s="107" t="n">
        <x:f>IF(AND(YEAR(AV$3)=YEAR(EDATE(INDEX('Вводные'!$D$88:$D$91,$B$64),INDEX('Вводные'!$E$88:$E$91,$B$64)+INDEX('Вводные'!$F$88:$F$91,$B$64)+'Вводные'!$H$9)),MONTH(AV$3)=MONTH(EDATE(INDEX('Вводные'!$D$88:$D$91,$B$64),INDEX('Вводные'!$E$88:$E$91,$B$64)+INDEX('Вводные'!$F$88:$F$91,$B$64)+'Вводные'!$H$9)),AND($B$63="Да",IFERROR(INDEX('Вводные'!$B$88:$B$91,$B$64),"Нет")="Да")),MAX(0,SUM($D81:AV81)-AV81),0)</x:f>
      </x:c>
      <x:c r="AW83" s="107" t="n">
        <x:f>IF(AND(YEAR(AW$3)=YEAR(EDATE(INDEX('Вводные'!$D$88:$D$91,$B$64),INDEX('Вводные'!$E$88:$E$91,$B$64)+INDEX('Вводные'!$F$88:$F$91,$B$64)+'Вводные'!$H$9)),MONTH(AW$3)=MONTH(EDATE(INDEX('Вводные'!$D$88:$D$91,$B$64),INDEX('Вводные'!$E$88:$E$91,$B$64)+INDEX('Вводные'!$F$88:$F$91,$B$64)+'Вводные'!$H$9)),AND($B$63="Да",IFERROR(INDEX('Вводные'!$B$88:$B$91,$B$64),"Нет")="Да")),MAX(0,SUM($D81:AW81)-AW81),0)</x:f>
      </x:c>
      <x:c r="AX83" s="107" t="n">
        <x:f>IF(AND(YEAR(AX$3)=YEAR(EDATE(INDEX('Вводные'!$D$88:$D$91,$B$64),INDEX('Вводные'!$E$88:$E$91,$B$64)+INDEX('Вводные'!$F$88:$F$91,$B$64)+'Вводные'!$H$9)),MONTH(AX$3)=MONTH(EDATE(INDEX('Вводные'!$D$88:$D$91,$B$64),INDEX('Вводные'!$E$88:$E$91,$B$64)+INDEX('Вводные'!$F$88:$F$91,$B$64)+'Вводные'!$H$9)),AND($B$63="Да",IFERROR(INDEX('Вводные'!$B$88:$B$91,$B$64),"Нет")="Да")),MAX(0,SUM($D81:AX81)-AX81),0)</x:f>
      </x:c>
      <x:c r="AY83" s="107" t="n">
        <x:f>IF(AND(YEAR(AY$3)=YEAR(EDATE(INDEX('Вводные'!$D$88:$D$91,$B$64),INDEX('Вводные'!$E$88:$E$91,$B$64)+INDEX('Вводные'!$F$88:$F$91,$B$64)+'Вводные'!$H$9)),MONTH(AY$3)=MONTH(EDATE(INDEX('Вводные'!$D$88:$D$91,$B$64),INDEX('Вводные'!$E$88:$E$91,$B$64)+INDEX('Вводные'!$F$88:$F$91,$B$64)+'Вводные'!$H$9)),AND($B$63="Да",IFERROR(INDEX('Вводные'!$B$88:$B$91,$B$64),"Нет")="Да")),MAX(0,SUM($D81:AY81)-AY81),0)</x:f>
      </x:c>
      <x:c r="AZ83" s="107" t="n">
        <x:f>IF(AND(YEAR(AZ$3)=YEAR(EDATE(INDEX('Вводные'!$D$88:$D$91,$B$64),INDEX('Вводные'!$E$88:$E$91,$B$64)+INDEX('Вводные'!$F$88:$F$91,$B$64)+'Вводные'!$H$9)),MONTH(AZ$3)=MONTH(EDATE(INDEX('Вводные'!$D$88:$D$91,$B$64),INDEX('Вводные'!$E$88:$E$91,$B$64)+INDEX('Вводные'!$F$88:$F$91,$B$64)+'Вводные'!$H$9)),AND($B$63="Да",IFERROR(INDEX('Вводные'!$B$88:$B$91,$B$64),"Нет")="Да")),MAX(0,SUM($D81:AZ81)-AZ81),0)</x:f>
      </x:c>
      <x:c r="BA83" s="107" t="n">
        <x:f>IF(AND(YEAR(BA$3)=YEAR(EDATE(INDEX('Вводные'!$D$88:$D$91,$B$64),INDEX('Вводные'!$E$88:$E$91,$B$64)+INDEX('Вводные'!$F$88:$F$91,$B$64)+'Вводные'!$H$9)),MONTH(BA$3)=MONTH(EDATE(INDEX('Вводные'!$D$88:$D$91,$B$64),INDEX('Вводные'!$E$88:$E$91,$B$64)+INDEX('Вводные'!$F$88:$F$91,$B$64)+'Вводные'!$H$9)),AND($B$63="Да",IFERROR(INDEX('Вводные'!$B$88:$B$91,$B$64),"Нет")="Да")),MAX(0,SUM($D81:BA81)-BA81),0)</x:f>
      </x:c>
      <x:c r="BB83" s="107" t="n">
        <x:f>IF(AND(YEAR(BB$3)=YEAR(EDATE(INDEX('Вводные'!$D$88:$D$91,$B$64),INDEX('Вводные'!$E$88:$E$91,$B$64)+INDEX('Вводные'!$F$88:$F$91,$B$64)+'Вводные'!$H$9)),MONTH(BB$3)=MONTH(EDATE(INDEX('Вводные'!$D$88:$D$91,$B$64),INDEX('Вводные'!$E$88:$E$91,$B$64)+INDEX('Вводные'!$F$88:$F$91,$B$64)+'Вводные'!$H$9)),AND($B$63="Да",IFERROR(INDEX('Вводные'!$B$88:$B$91,$B$64),"Нет")="Да")),MAX(0,SUM($D81:BB81)-BB81),0)</x:f>
      </x:c>
      <x:c r="BC83" s="107" t="n">
        <x:f>IF(AND(YEAR(BC$3)=YEAR(EDATE(INDEX('Вводные'!$D$88:$D$91,$B$64),INDEX('Вводные'!$E$88:$E$91,$B$64)+INDEX('Вводные'!$F$88:$F$91,$B$64)+'Вводные'!$H$9)),MONTH(BC$3)=MONTH(EDATE(INDEX('Вводные'!$D$88:$D$91,$B$64),INDEX('Вводные'!$E$88:$E$91,$B$64)+INDEX('Вводные'!$F$88:$F$91,$B$64)+'Вводные'!$H$9)),AND($B$63="Да",IFERROR(INDEX('Вводные'!$B$88:$B$91,$B$64),"Нет")="Да")),MAX(0,SUM($D81:BC81)-BC81),0)</x:f>
      </x:c>
      <x:c r="BD83" s="107" t="n">
        <x:f>IF(AND(YEAR(BD$3)=YEAR(EDATE(INDEX('Вводные'!$D$88:$D$91,$B$64),INDEX('Вводные'!$E$88:$E$91,$B$64)+INDEX('Вводные'!$F$88:$F$91,$B$64)+'Вводные'!$H$9)),MONTH(BD$3)=MONTH(EDATE(INDEX('Вводные'!$D$88:$D$91,$B$64),INDEX('Вводные'!$E$88:$E$91,$B$64)+INDEX('Вводные'!$F$88:$F$91,$B$64)+'Вводные'!$H$9)),AND($B$63="Да",IFERROR(INDEX('Вводные'!$B$88:$B$91,$B$64),"Нет")="Да")),MAX(0,SUM($D81:BD81)-BD81),0)</x:f>
      </x:c>
      <x:c r="BE83" s="107" t="n">
        <x:f>IF(AND(YEAR(BE$3)=YEAR(EDATE(INDEX('Вводные'!$D$88:$D$91,$B$64),INDEX('Вводные'!$E$88:$E$91,$B$64)+INDEX('Вводные'!$F$88:$F$91,$B$64)+'Вводные'!$H$9)),MONTH(BE$3)=MONTH(EDATE(INDEX('Вводные'!$D$88:$D$91,$B$64),INDEX('Вводные'!$E$88:$E$91,$B$64)+INDEX('Вводные'!$F$88:$F$91,$B$64)+'Вводные'!$H$9)),AND($B$63="Да",IFERROR(INDEX('Вводные'!$B$88:$B$91,$B$64),"Нет")="Да")),MAX(0,SUM($D81:BE81)-BE81),0)</x:f>
      </x:c>
      <x:c r="BF83" s="107" t="n">
        <x:f>IF(AND(YEAR(BF$3)=YEAR(EDATE(INDEX('Вводные'!$D$88:$D$91,$B$64),INDEX('Вводные'!$E$88:$E$91,$B$64)+INDEX('Вводные'!$F$88:$F$91,$B$64)+'Вводные'!$H$9)),MONTH(BF$3)=MONTH(EDATE(INDEX('Вводные'!$D$88:$D$91,$B$64),INDEX('Вводные'!$E$88:$E$91,$B$64)+INDEX('Вводные'!$F$88:$F$91,$B$64)+'Вводные'!$H$9)),AND($B$63="Да",IFERROR(INDEX('Вводные'!$B$88:$B$91,$B$64),"Нет")="Да")),MAX(0,SUM($D81:BF81)-BF81),0)</x:f>
      </x:c>
      <x:c r="BG83" s="107" t="n">
        <x:f>IF(AND(YEAR(BG$3)=YEAR(EDATE(INDEX('Вводные'!$D$88:$D$91,$B$64),INDEX('Вводные'!$E$88:$E$91,$B$64)+INDEX('Вводные'!$F$88:$F$91,$B$64)+'Вводные'!$H$9)),MONTH(BG$3)=MONTH(EDATE(INDEX('Вводные'!$D$88:$D$91,$B$64),INDEX('Вводные'!$E$88:$E$91,$B$64)+INDEX('Вводные'!$F$88:$F$91,$B$64)+'Вводные'!$H$9)),AND($B$63="Да",IFERROR(INDEX('Вводные'!$B$88:$B$91,$B$64),"Нет")="Да")),MAX(0,SUM($D81:BG81)-BG81),0)</x:f>
      </x:c>
      <x:c r="BH83" s="107" t="n">
        <x:f>IF(AND(YEAR(BH$3)=YEAR(EDATE(INDEX('Вводные'!$D$88:$D$91,$B$64),INDEX('Вводные'!$E$88:$E$91,$B$64)+INDEX('Вводные'!$F$88:$F$91,$B$64)+'Вводные'!$H$9)),MONTH(BH$3)=MONTH(EDATE(INDEX('Вводные'!$D$88:$D$91,$B$64),INDEX('Вводные'!$E$88:$E$91,$B$64)+INDEX('Вводные'!$F$88:$F$91,$B$64)+'Вводные'!$H$9)),AND($B$63="Да",IFERROR(INDEX('Вводные'!$B$88:$B$91,$B$64),"Нет")="Да")),MAX(0,SUM($D81:BH81)-BH81),0)</x:f>
      </x:c>
      <x:c r="BI83" s="107" t="n">
        <x:f>IF(AND(YEAR(BI$3)=YEAR(EDATE(INDEX('Вводные'!$D$88:$D$91,$B$64),INDEX('Вводные'!$E$88:$E$91,$B$64)+INDEX('Вводные'!$F$88:$F$91,$B$64)+'Вводные'!$H$9)),MONTH(BI$3)=MONTH(EDATE(INDEX('Вводные'!$D$88:$D$91,$B$64),INDEX('Вводные'!$E$88:$E$91,$B$64)+INDEX('Вводные'!$F$88:$F$91,$B$64)+'Вводные'!$H$9)),AND($B$63="Да",IFERROR(INDEX('Вводные'!$B$88:$B$91,$B$64),"Нет")="Да")),MAX(0,SUM($D81:BI81)-BI81),0)</x:f>
      </x:c>
      <x:c r="BJ83" s="107" t="n">
        <x:f>IF(AND(YEAR(BJ$3)=YEAR(EDATE(INDEX('Вводные'!$D$88:$D$91,$B$64),INDEX('Вводные'!$E$88:$E$91,$B$64)+INDEX('Вводные'!$F$88:$F$91,$B$64)+'Вводные'!$H$9)),MONTH(BJ$3)=MONTH(EDATE(INDEX('Вводные'!$D$88:$D$91,$B$64),INDEX('Вводные'!$E$88:$E$91,$B$64)+INDEX('Вводные'!$F$88:$F$91,$B$64)+'Вводные'!$H$9)),AND($B$63="Да",IFERROR(INDEX('Вводные'!$B$88:$B$91,$B$64),"Нет")="Да")),MAX(0,SUM($D81:BJ81)-BJ81),0)</x:f>
      </x:c>
      <x:c r="BK83" s="107" t="n">
        <x:f>IF(AND(YEAR(BK$3)=YEAR(EDATE(INDEX('Вводные'!$D$88:$D$91,$B$64),INDEX('Вводные'!$E$88:$E$91,$B$64)+INDEX('Вводные'!$F$88:$F$91,$B$64)+'Вводные'!$H$9)),MONTH(BK$3)=MONTH(EDATE(INDEX('Вводные'!$D$88:$D$91,$B$64),INDEX('Вводные'!$E$88:$E$91,$B$64)+INDEX('Вводные'!$F$88:$F$91,$B$64)+'Вводные'!$H$9)),AND($B$63="Да",IFERROR(INDEX('Вводные'!$B$88:$B$91,$B$64),"Нет")="Да")),MAX(0,SUM($D81:BK81)-BK81),0)</x:f>
      </x:c>
      <x:c r="BL83" s="107" t="n">
        <x:f>IF(AND(YEAR(BL$3)=YEAR(EDATE(INDEX('Вводные'!$D$88:$D$91,$B$64),INDEX('Вводные'!$E$88:$E$91,$B$64)+INDEX('Вводные'!$F$88:$F$91,$B$64)+'Вводные'!$H$9)),MONTH(BL$3)=MONTH(EDATE(INDEX('Вводные'!$D$88:$D$91,$B$64),INDEX('Вводные'!$E$88:$E$91,$B$64)+INDEX('Вводные'!$F$88:$F$91,$B$64)+'Вводные'!$H$9)),AND($B$63="Да",IFERROR(INDEX('Вводные'!$B$88:$B$91,$B$64),"Нет")="Да")),MAX(0,SUM($D81:BL81)-BL81),0)</x:f>
      </x:c>
      <x:c r="BM83" s="107" t="n">
        <x:f>IF(AND(YEAR(BM$3)=YEAR(EDATE(INDEX('Вводные'!$D$88:$D$91,$B$64),INDEX('Вводные'!$E$88:$E$91,$B$64)+INDEX('Вводные'!$F$88:$F$91,$B$64)+'Вводные'!$H$9)),MONTH(BM$3)=MONTH(EDATE(INDEX('Вводные'!$D$88:$D$91,$B$64),INDEX('Вводные'!$E$88:$E$91,$B$64)+INDEX('Вводные'!$F$88:$F$91,$B$64)+'Вводные'!$H$9)),AND($B$63="Да",IFERROR(INDEX('Вводные'!$B$88:$B$91,$B$64),"Нет")="Да")),MAX(0,SUM($D81:BM81)-BM81),0)</x:f>
      </x:c>
      <x:c r="BN83" s="107" t="n">
        <x:f>IF(AND(YEAR(BN$3)=YEAR(EDATE(INDEX('Вводные'!$D$88:$D$91,$B$64),INDEX('Вводные'!$E$88:$E$91,$B$64)+INDEX('Вводные'!$F$88:$F$91,$B$64)+'Вводные'!$H$9)),MONTH(BN$3)=MONTH(EDATE(INDEX('Вводные'!$D$88:$D$91,$B$64),INDEX('Вводные'!$E$88:$E$91,$B$64)+INDEX('Вводные'!$F$88:$F$91,$B$64)+'Вводные'!$H$9)),AND($B$63="Да",IFERROR(INDEX('Вводные'!$B$88:$B$91,$B$64),"Нет")="Да")),MAX(0,SUM($D81:BN81)-BN81),0)</x:f>
      </x:c>
      <x:c r="BO83" s="107" t="n">
        <x:f>IF(AND(YEAR(BO$3)=YEAR(EDATE(INDEX('Вводные'!$D$88:$D$91,$B$64),INDEX('Вводные'!$E$88:$E$91,$B$64)+INDEX('Вводные'!$F$88:$F$91,$B$64)+'Вводные'!$H$9)),MONTH(BO$3)=MONTH(EDATE(INDEX('Вводные'!$D$88:$D$91,$B$64),INDEX('Вводные'!$E$88:$E$91,$B$64)+INDEX('Вводные'!$F$88:$F$91,$B$64)+'Вводные'!$H$9)),AND($B$63="Да",IFERROR(INDEX('Вводные'!$B$88:$B$91,$B$64),"Нет")="Да")),MAX(0,SUM($D81:BO81)-BO81),0)</x:f>
      </x:c>
      <x:c r="BP83" s="107" t="n">
        <x:f>IF(AND(YEAR(BP$3)=YEAR(EDATE(INDEX('Вводные'!$D$88:$D$91,$B$64),INDEX('Вводные'!$E$88:$E$91,$B$64)+INDEX('Вводные'!$F$88:$F$91,$B$64)+'Вводные'!$H$9)),MONTH(BP$3)=MONTH(EDATE(INDEX('Вводные'!$D$88:$D$91,$B$64),INDEX('Вводные'!$E$88:$E$91,$B$64)+INDEX('Вводные'!$F$88:$F$91,$B$64)+'Вводные'!$H$9)),AND($B$63="Да",IFERROR(INDEX('Вводные'!$B$88:$B$91,$B$64),"Нет")="Да")),MAX(0,SUM($D81:BP81)-BP81),0)</x:f>
      </x:c>
      <x:c r="BQ83" s="107" t="n">
        <x:f>IF(AND(YEAR(BQ$3)=YEAR(EDATE(INDEX('Вводные'!$D$88:$D$91,$B$64),INDEX('Вводные'!$E$88:$E$91,$B$64)+INDEX('Вводные'!$F$88:$F$91,$B$64)+'Вводные'!$H$9)),MONTH(BQ$3)=MONTH(EDATE(INDEX('Вводные'!$D$88:$D$91,$B$64),INDEX('Вводные'!$E$88:$E$91,$B$64)+INDEX('Вводные'!$F$88:$F$91,$B$64)+'Вводные'!$H$9)),AND($B$63="Да",IFERROR(INDEX('Вводные'!$B$88:$B$91,$B$64),"Нет")="Да")),MAX(0,SUM($D81:BQ81)-BQ81),0)</x:f>
      </x:c>
      <x:c r="BR83" s="107" t="n">
        <x:f>IF(AND(YEAR(BR$3)=YEAR(EDATE(INDEX('Вводные'!$D$88:$D$91,$B$64),INDEX('Вводные'!$E$88:$E$91,$B$64)+INDEX('Вводные'!$F$88:$F$91,$B$64)+'Вводные'!$H$9)),MONTH(BR$3)=MONTH(EDATE(INDEX('Вводные'!$D$88:$D$91,$B$64),INDEX('Вводные'!$E$88:$E$91,$B$64)+INDEX('Вводные'!$F$88:$F$91,$B$64)+'Вводные'!$H$9)),AND($B$63="Да",IFERROR(INDEX('Вводные'!$B$88:$B$91,$B$64),"Нет")="Да")),MAX(0,SUM($D81:BR81)-BR81),0)</x:f>
      </x:c>
      <x:c r="BS83" s="107" t="n">
        <x:f>IF(AND(YEAR(BS$3)=YEAR(EDATE(INDEX('Вводные'!$D$88:$D$91,$B$64),INDEX('Вводные'!$E$88:$E$91,$B$64)+INDEX('Вводные'!$F$88:$F$91,$B$64)+'Вводные'!$H$9)),MONTH(BS$3)=MONTH(EDATE(INDEX('Вводные'!$D$88:$D$91,$B$64),INDEX('Вводные'!$E$88:$E$91,$B$64)+INDEX('Вводные'!$F$88:$F$91,$B$64)+'Вводные'!$H$9)),AND($B$63="Да",IFERROR(INDEX('Вводные'!$B$88:$B$91,$B$64),"Нет")="Да")),MAX(0,SUM($D81:BS81)-BS81),0)</x:f>
      </x:c>
      <x:c r="BT83" s="107" t="n">
        <x:f>IF(AND(YEAR(BT$3)=YEAR(EDATE(INDEX('Вводные'!$D$88:$D$91,$B$64),INDEX('Вводные'!$E$88:$E$91,$B$64)+INDEX('Вводные'!$F$88:$F$91,$B$64)+'Вводные'!$H$9)),MONTH(BT$3)=MONTH(EDATE(INDEX('Вводные'!$D$88:$D$91,$B$64),INDEX('Вводные'!$E$88:$E$91,$B$64)+INDEX('Вводные'!$F$88:$F$91,$B$64)+'Вводные'!$H$9)),AND($B$63="Да",IFERROR(INDEX('Вводные'!$B$88:$B$91,$B$64),"Нет")="Да")),MAX(0,SUM($D81:BT81)-BT81),0)</x:f>
      </x:c>
      <x:c r="BU83" s="107" t="n">
        <x:f>IF(AND(YEAR(BU$3)=YEAR(EDATE(INDEX('Вводные'!$D$88:$D$91,$B$64),INDEX('Вводные'!$E$88:$E$91,$B$64)+INDEX('Вводные'!$F$88:$F$91,$B$64)+'Вводные'!$H$9)),MONTH(BU$3)=MONTH(EDATE(INDEX('Вводные'!$D$88:$D$91,$B$64),INDEX('Вводные'!$E$88:$E$91,$B$64)+INDEX('Вводные'!$F$88:$F$91,$B$64)+'Вводные'!$H$9)),AND($B$63="Да",IFERROR(INDEX('Вводные'!$B$88:$B$91,$B$64),"Нет")="Да")),MAX(0,SUM($D81:BU81)-BU81),0)</x:f>
      </x:c>
      <x:c r="BV83" s="107" t="n">
        <x:f>IF(AND(YEAR(BV$3)=YEAR(EDATE(INDEX('Вводные'!$D$88:$D$91,$B$64),INDEX('Вводные'!$E$88:$E$91,$B$64)+INDEX('Вводные'!$F$88:$F$91,$B$64)+'Вводные'!$H$9)),MONTH(BV$3)=MONTH(EDATE(INDEX('Вводные'!$D$88:$D$91,$B$64),INDEX('Вводные'!$E$88:$E$91,$B$64)+INDEX('Вводные'!$F$88:$F$91,$B$64)+'Вводные'!$H$9)),AND($B$63="Да",IFERROR(INDEX('Вводные'!$B$88:$B$91,$B$64),"Нет")="Да")),MAX(0,SUM($D81:BV81)-BV81),0)</x:f>
      </x:c>
      <x:c r="BW83" s="107" t="n">
        <x:f>IF(AND(YEAR(BW$3)=YEAR(EDATE(INDEX('Вводные'!$D$88:$D$91,$B$64),INDEX('Вводные'!$E$88:$E$91,$B$64)+INDEX('Вводные'!$F$88:$F$91,$B$64)+'Вводные'!$H$9)),MONTH(BW$3)=MONTH(EDATE(INDEX('Вводные'!$D$88:$D$91,$B$64),INDEX('Вводные'!$E$88:$E$91,$B$64)+INDEX('Вводные'!$F$88:$F$91,$B$64)+'Вводные'!$H$9)),AND($B$63="Да",IFERROR(INDEX('Вводные'!$B$88:$B$91,$B$64),"Нет")="Да")),MAX(0,SUM($D81:BW81)-BW81),0)</x:f>
      </x:c>
      <x:c r="BX83" s="107" t="n">
        <x:f>IF(AND(YEAR(BX$3)=YEAR(EDATE(INDEX('Вводные'!$D$88:$D$91,$B$64),INDEX('Вводные'!$E$88:$E$91,$B$64)+INDEX('Вводные'!$F$88:$F$91,$B$64)+'Вводные'!$H$9)),MONTH(BX$3)=MONTH(EDATE(INDEX('Вводные'!$D$88:$D$91,$B$64),INDEX('Вводные'!$E$88:$E$91,$B$64)+INDEX('Вводные'!$F$88:$F$91,$B$64)+'Вводные'!$H$9)),AND($B$63="Да",IFERROR(INDEX('Вводные'!$B$88:$B$91,$B$64),"Нет")="Да")),MAX(0,SUM($D81:BX81)-BX81),0)</x:f>
      </x:c>
      <x:c r="BY83" s="107" t="n">
        <x:f>IF(AND(YEAR(BY$3)=YEAR(EDATE(INDEX('Вводные'!$D$88:$D$91,$B$64),INDEX('Вводные'!$E$88:$E$91,$B$64)+INDEX('Вводные'!$F$88:$F$91,$B$64)+'Вводные'!$H$9)),MONTH(BY$3)=MONTH(EDATE(INDEX('Вводные'!$D$88:$D$91,$B$64),INDEX('Вводные'!$E$88:$E$91,$B$64)+INDEX('Вводные'!$F$88:$F$91,$B$64)+'Вводные'!$H$9)),AND($B$63="Да",IFERROR(INDEX('Вводные'!$B$88:$B$91,$B$64),"Нет")="Да")),MAX(0,SUM($D81:BY81)-BY81),0)</x:f>
      </x:c>
      <x:c r="BZ83" s="107" t="n">
        <x:f>IF(AND(YEAR(BZ$3)=YEAR(EDATE(INDEX('Вводные'!$D$88:$D$91,$B$64),INDEX('Вводные'!$E$88:$E$91,$B$64)+INDEX('Вводные'!$F$88:$F$91,$B$64)+'Вводные'!$H$9)),MONTH(BZ$3)=MONTH(EDATE(INDEX('Вводные'!$D$88:$D$91,$B$64),INDEX('Вводные'!$E$88:$E$91,$B$64)+INDEX('Вводные'!$F$88:$F$91,$B$64)+'Вводные'!$H$9)),AND($B$63="Да",IFERROR(INDEX('Вводные'!$B$88:$B$91,$B$64),"Нет")="Да")),MAX(0,SUM($D81:BZ81)-BZ81),0)</x:f>
      </x:c>
      <x:c r="CA83" s="107" t="n">
        <x:f>IF(AND(YEAR(CA$3)=YEAR(EDATE(INDEX('Вводные'!$D$88:$D$91,$B$64),INDEX('Вводные'!$E$88:$E$91,$B$64)+INDEX('Вводные'!$F$88:$F$91,$B$64)+'Вводные'!$H$9)),MONTH(CA$3)=MONTH(EDATE(INDEX('Вводные'!$D$88:$D$91,$B$64),INDEX('Вводные'!$E$88:$E$91,$B$64)+INDEX('Вводные'!$F$88:$F$91,$B$64)+'Вводные'!$H$9)),AND($B$63="Да",IFERROR(INDEX('Вводные'!$B$88:$B$91,$B$64),"Нет")="Да")),MAX(0,SUM($D81:CA81)-CA81),0)</x:f>
      </x:c>
      <x:c r="CB83" s="107" t="n">
        <x:f>IF(AND(YEAR(CB$3)=YEAR(EDATE(INDEX('Вводные'!$D$88:$D$91,$B$64),INDEX('Вводные'!$E$88:$E$91,$B$64)+INDEX('Вводные'!$F$88:$F$91,$B$64)+'Вводные'!$H$9)),MONTH(CB$3)=MONTH(EDATE(INDEX('Вводные'!$D$88:$D$91,$B$64),INDEX('Вводные'!$E$88:$E$91,$B$64)+INDEX('Вводные'!$F$88:$F$91,$B$64)+'Вводные'!$H$9)),AND($B$63="Да",IFERROR(INDEX('Вводные'!$B$88:$B$91,$B$64),"Нет")="Да")),MAX(0,SUM($D81:CB81)-CB81),0)</x:f>
      </x:c>
      <x:c r="CC83" s="107" t="n">
        <x:f>IF(AND(YEAR(CC$3)=YEAR(EDATE(INDEX('Вводные'!$D$88:$D$91,$B$64),INDEX('Вводные'!$E$88:$E$91,$B$64)+INDEX('Вводные'!$F$88:$F$91,$B$64)+'Вводные'!$H$9)),MONTH(CC$3)=MONTH(EDATE(INDEX('Вводные'!$D$88:$D$91,$B$64),INDEX('Вводные'!$E$88:$E$91,$B$64)+INDEX('Вводные'!$F$88:$F$91,$B$64)+'Вводные'!$H$9)),AND($B$63="Да",IFERROR(INDEX('Вводные'!$B$88:$B$91,$B$64),"Нет")="Да")),MAX(0,SUM($D81:CC81)-CC81),0)</x:f>
      </x:c>
      <x:c r="CD83" s="107" t="n">
        <x:f>IF(AND(YEAR(CD$3)=YEAR(EDATE(INDEX('Вводные'!$D$88:$D$91,$B$64),INDEX('Вводные'!$E$88:$E$91,$B$64)+INDEX('Вводные'!$F$88:$F$91,$B$64)+'Вводные'!$H$9)),MONTH(CD$3)=MONTH(EDATE(INDEX('Вводные'!$D$88:$D$91,$B$64),INDEX('Вводные'!$E$88:$E$91,$B$64)+INDEX('Вводные'!$F$88:$F$91,$B$64)+'Вводные'!$H$9)),AND($B$63="Да",IFERROR(INDEX('Вводные'!$B$88:$B$91,$B$64),"Нет")="Да")),MAX(0,SUM($D81:CD81)-CD81),0)</x:f>
      </x:c>
      <x:c r="CE83" s="107" t="n">
        <x:f>IF(AND(YEAR(CE$3)=YEAR(EDATE(INDEX('Вводные'!$D$88:$D$91,$B$64),INDEX('Вводные'!$E$88:$E$91,$B$64)+INDEX('Вводные'!$F$88:$F$91,$B$64)+'Вводные'!$H$9)),MONTH(CE$3)=MONTH(EDATE(INDEX('Вводные'!$D$88:$D$91,$B$64),INDEX('Вводные'!$E$88:$E$91,$B$64)+INDEX('Вводные'!$F$88:$F$91,$B$64)+'Вводные'!$H$9)),AND($B$63="Да",IFERROR(INDEX('Вводные'!$B$88:$B$91,$B$64),"Нет")="Да")),MAX(0,SUM($D81:CE81)-CE81),0)</x:f>
      </x:c>
      <x:c r="CF83" s="107" t="n">
        <x:f>IF(AND(YEAR(CF$3)=YEAR(EDATE(INDEX('Вводные'!$D$88:$D$91,$B$64),INDEX('Вводные'!$E$88:$E$91,$B$64)+INDEX('Вводные'!$F$88:$F$91,$B$64)+'Вводные'!$H$9)),MONTH(CF$3)=MONTH(EDATE(INDEX('Вводные'!$D$88:$D$91,$B$64),INDEX('Вводные'!$E$88:$E$91,$B$64)+INDEX('Вводные'!$F$88:$F$91,$B$64)+'Вводные'!$H$9)),AND($B$63="Да",IFERROR(INDEX('Вводные'!$B$88:$B$91,$B$64),"Нет")="Да")),MAX(0,SUM($D81:CF81)-CF81),0)</x:f>
      </x:c>
      <x:c r="CG83" s="107" t="n">
        <x:f>IF(AND(YEAR(CG$3)=YEAR(EDATE(INDEX('Вводные'!$D$88:$D$91,$B$64),INDEX('Вводные'!$E$88:$E$91,$B$64)+INDEX('Вводные'!$F$88:$F$91,$B$64)+'Вводные'!$H$9)),MONTH(CG$3)=MONTH(EDATE(INDEX('Вводные'!$D$88:$D$91,$B$64),INDEX('Вводные'!$E$88:$E$91,$B$64)+INDEX('Вводные'!$F$88:$F$91,$B$64)+'Вводные'!$H$9)),AND($B$63="Да",IFERROR(INDEX('Вводные'!$B$88:$B$91,$B$64),"Нет")="Да")),MAX(0,SUM($D81:CG81)-CG81),0)</x:f>
      </x:c>
      <x:c r="CH83" s="107" t="n">
        <x:f>IF(AND(YEAR(CH$3)=YEAR(EDATE(INDEX('Вводные'!$D$88:$D$91,$B$64),INDEX('Вводные'!$E$88:$E$91,$B$64)+INDEX('Вводные'!$F$88:$F$91,$B$64)+'Вводные'!$H$9)),MONTH(CH$3)=MONTH(EDATE(INDEX('Вводные'!$D$88:$D$91,$B$64),INDEX('Вводные'!$E$88:$E$91,$B$64)+INDEX('Вводные'!$F$88:$F$91,$B$64)+'Вводные'!$H$9)),AND($B$63="Да",IFERROR(INDEX('Вводные'!$B$88:$B$91,$B$64),"Нет")="Да")),MAX(0,SUM($D81:CH81)-CH81),0)</x:f>
      </x:c>
      <x:c r="CI83" s="107" t="n">
        <x:f>IF(AND(YEAR(CI$3)=YEAR(EDATE(INDEX('Вводные'!$D$88:$D$91,$B$64),INDEX('Вводные'!$E$88:$E$91,$B$64)+INDEX('Вводные'!$F$88:$F$91,$B$64)+'Вводные'!$H$9)),MONTH(CI$3)=MONTH(EDATE(INDEX('Вводные'!$D$88:$D$91,$B$64),INDEX('Вводные'!$E$88:$E$91,$B$64)+INDEX('Вводные'!$F$88:$F$91,$B$64)+'Вводные'!$H$9)),AND($B$63="Да",IFERROR(INDEX('Вводные'!$B$88:$B$91,$B$64),"Нет")="Да")),MAX(0,SUM($D81:CI81)-CI81),0)</x:f>
      </x:c>
      <x:c r="CJ83" s="107" t="n">
        <x:f>IF(AND(YEAR(CJ$3)=YEAR(EDATE(INDEX('Вводные'!$D$88:$D$91,$B$64),INDEX('Вводные'!$E$88:$E$91,$B$64)+INDEX('Вводные'!$F$88:$F$91,$B$64)+'Вводные'!$H$9)),MONTH(CJ$3)=MONTH(EDATE(INDEX('Вводные'!$D$88:$D$91,$B$64),INDEX('Вводные'!$E$88:$E$91,$B$64)+INDEX('Вводные'!$F$88:$F$91,$B$64)+'Вводные'!$H$9)),AND($B$63="Да",IFERROR(INDEX('Вводные'!$B$88:$B$91,$B$64),"Нет")="Да")),MAX(0,SUM($D81:CJ81)-CJ81),0)</x:f>
      </x:c>
      <x:c r="CK83" s="107" t="n">
        <x:f>IF(AND(YEAR(CK$3)=YEAR(EDATE(INDEX('Вводные'!$D$88:$D$91,$B$64),INDEX('Вводные'!$E$88:$E$91,$B$64)+INDEX('Вводные'!$F$88:$F$91,$B$64)+'Вводные'!$H$9)),MONTH(CK$3)=MONTH(EDATE(INDEX('Вводные'!$D$88:$D$91,$B$64),INDEX('Вводные'!$E$88:$E$91,$B$64)+INDEX('Вводные'!$F$88:$F$91,$B$64)+'Вводные'!$H$9)),AND($B$63="Да",IFERROR(INDEX('Вводные'!$B$88:$B$91,$B$64),"Нет")="Да")),MAX(0,SUM($D81:CK81)-CK81),0)</x:f>
      </x:c>
      <x:c r="CL83" s="107" t="n">
        <x:f>IF(AND(YEAR(CL$3)=YEAR(EDATE(INDEX('Вводные'!$D$88:$D$91,$B$64),INDEX('Вводные'!$E$88:$E$91,$B$64)+INDEX('Вводные'!$F$88:$F$91,$B$64)+'Вводные'!$H$9)),MONTH(CL$3)=MONTH(EDATE(INDEX('Вводные'!$D$88:$D$91,$B$64),INDEX('Вводные'!$E$88:$E$91,$B$64)+INDEX('Вводные'!$F$88:$F$91,$B$64)+'Вводные'!$H$9)),AND($B$63="Да",IFERROR(INDEX('Вводные'!$B$88:$B$91,$B$64),"Нет")="Да")),MAX(0,SUM($D81:CL81)-CL81),0)</x:f>
      </x:c>
      <x:c r="CM83" s="107" t="n">
        <x:f>IF(AND(YEAR(CM$3)=YEAR(EDATE(INDEX('Вводные'!$D$88:$D$91,$B$64),INDEX('Вводные'!$E$88:$E$91,$B$64)+INDEX('Вводные'!$F$88:$F$91,$B$64)+'Вводные'!$H$9)),MONTH(CM$3)=MONTH(EDATE(INDEX('Вводные'!$D$88:$D$91,$B$64),INDEX('Вводные'!$E$88:$E$91,$B$64)+INDEX('Вводные'!$F$88:$F$91,$B$64)+'Вводные'!$H$9)),AND($B$63="Да",IFERROR(INDEX('Вводные'!$B$88:$B$91,$B$64),"Нет")="Да")),MAX(0,SUM($D81:CM81)-CM81),0)</x:f>
      </x:c>
      <x:c r="CN83" s="107" t="n">
        <x:f>IF(AND(YEAR(CN$3)=YEAR(EDATE(INDEX('Вводные'!$D$88:$D$91,$B$64),INDEX('Вводные'!$E$88:$E$91,$B$64)+INDEX('Вводные'!$F$88:$F$91,$B$64)+'Вводные'!$H$9)),MONTH(CN$3)=MONTH(EDATE(INDEX('Вводные'!$D$88:$D$91,$B$64),INDEX('Вводные'!$E$88:$E$91,$B$64)+INDEX('Вводные'!$F$88:$F$91,$B$64)+'Вводные'!$H$9)),AND($B$63="Да",IFERROR(INDEX('Вводные'!$B$88:$B$91,$B$64),"Нет")="Да")),MAX(0,SUM($D81:CN81)-CN81),0)</x:f>
      </x:c>
      <x:c r="CO83" s="107" t="n">
        <x:f>IF(AND(YEAR(CO$3)=YEAR(EDATE(INDEX('Вводные'!$D$88:$D$91,$B$64),INDEX('Вводные'!$E$88:$E$91,$B$64)+INDEX('Вводные'!$F$88:$F$91,$B$64)+'Вводные'!$H$9)),MONTH(CO$3)=MONTH(EDATE(INDEX('Вводные'!$D$88:$D$91,$B$64),INDEX('Вводные'!$E$88:$E$91,$B$64)+INDEX('Вводные'!$F$88:$F$91,$B$64)+'Вводные'!$H$9)),AND($B$63="Да",IFERROR(INDEX('Вводные'!$B$88:$B$91,$B$64),"Нет")="Да")),MAX(0,SUM($D81:CO81)-CO81),0)</x:f>
      </x:c>
      <x:c r="CP83" s="107" t="n">
        <x:f>IF(AND(YEAR(CP$3)=YEAR(EDATE(INDEX('Вводные'!$D$88:$D$91,$B$64),INDEX('Вводные'!$E$88:$E$91,$B$64)+INDEX('Вводные'!$F$88:$F$91,$B$64)+'Вводные'!$H$9)),MONTH(CP$3)=MONTH(EDATE(INDEX('Вводные'!$D$88:$D$91,$B$64),INDEX('Вводные'!$E$88:$E$91,$B$64)+INDEX('Вводные'!$F$88:$F$91,$B$64)+'Вводные'!$H$9)),AND($B$63="Да",IFERROR(INDEX('Вводные'!$B$88:$B$91,$B$64),"Нет")="Да")),MAX(0,SUM($D81:CP81)-CP81),0)</x:f>
      </x:c>
      <x:c r="CQ83" s="107" t="n">
        <x:f>IF(AND(YEAR(CQ$3)=YEAR(EDATE(INDEX('Вводные'!$D$88:$D$91,$B$64),INDEX('Вводные'!$E$88:$E$91,$B$64)+INDEX('Вводные'!$F$88:$F$91,$B$64)+'Вводные'!$H$9)),MONTH(CQ$3)=MONTH(EDATE(INDEX('Вводные'!$D$88:$D$91,$B$64),INDEX('Вводные'!$E$88:$E$91,$B$64)+INDEX('Вводные'!$F$88:$F$91,$B$64)+'Вводные'!$H$9)),AND($B$63="Да",IFERROR(INDEX('Вводные'!$B$88:$B$91,$B$64),"Нет")="Да")),MAX(0,SUM($D81:CQ81)-CQ81),0)</x:f>
      </x:c>
      <x:c r="CR83" s="107" t="n">
        <x:f>IF(AND(YEAR(CR$3)=YEAR(EDATE(INDEX('Вводные'!$D$88:$D$91,$B$64),INDEX('Вводные'!$E$88:$E$91,$B$64)+INDEX('Вводные'!$F$88:$F$91,$B$64)+'Вводные'!$H$9)),MONTH(CR$3)=MONTH(EDATE(INDEX('Вводные'!$D$88:$D$91,$B$64),INDEX('Вводные'!$E$88:$E$91,$B$64)+INDEX('Вводные'!$F$88:$F$91,$B$64)+'Вводные'!$H$9)),AND($B$63="Да",IFERROR(INDEX('Вводные'!$B$88:$B$91,$B$64),"Нет")="Да")),MAX(0,SUM($D81:CR81)-CR81),0)</x:f>
      </x:c>
      <x:c r="CS83" s="107" t="n">
        <x:f>IF(AND(YEAR(CS$3)=YEAR(EDATE(INDEX('Вводные'!$D$88:$D$91,$B$64),INDEX('Вводные'!$E$88:$E$91,$B$64)+INDEX('Вводные'!$F$88:$F$91,$B$64)+'Вводные'!$H$9)),MONTH(CS$3)=MONTH(EDATE(INDEX('Вводные'!$D$88:$D$91,$B$64),INDEX('Вводные'!$E$88:$E$91,$B$64)+INDEX('Вводные'!$F$88:$F$91,$B$64)+'Вводные'!$H$9)),AND($B$63="Да",IFERROR(INDEX('Вводные'!$B$88:$B$91,$B$64),"Нет")="Да")),MAX(0,SUM($D81:CS81)-CS81),0)</x:f>
      </x:c>
      <x:c r="CT83" s="107" t="n">
        <x:f>IF(AND(YEAR(CT$3)=YEAR(EDATE(INDEX('Вводные'!$D$88:$D$91,$B$64),INDEX('Вводные'!$E$88:$E$91,$B$64)+INDEX('Вводные'!$F$88:$F$91,$B$64)+'Вводные'!$H$9)),MONTH(CT$3)=MONTH(EDATE(INDEX('Вводные'!$D$88:$D$91,$B$64),INDEX('Вводные'!$E$88:$E$91,$B$64)+INDEX('Вводные'!$F$88:$F$91,$B$64)+'Вводные'!$H$9)),AND($B$63="Да",IFERROR(INDEX('Вводные'!$B$88:$B$91,$B$64),"Нет")="Да")),MAX(0,SUM($D81:CT81)-CT81),0)</x:f>
      </x:c>
      <x:c r="CU83" s="107" t="n">
        <x:f>IF(AND(YEAR(CU$3)=YEAR(EDATE(INDEX('Вводные'!$D$88:$D$91,$B$64),INDEX('Вводные'!$E$88:$E$91,$B$64)+INDEX('Вводные'!$F$88:$F$91,$B$64)+'Вводные'!$H$9)),MONTH(CU$3)=MONTH(EDATE(INDEX('Вводные'!$D$88:$D$91,$B$64),INDEX('Вводные'!$E$88:$E$91,$B$64)+INDEX('Вводные'!$F$88:$F$91,$B$64)+'Вводные'!$H$9)),AND($B$63="Да",IFERROR(INDEX('Вводные'!$B$88:$B$91,$B$64),"Нет")="Да")),MAX(0,SUM($D81:CU81)-CU81),0)</x:f>
      </x:c>
      <x:c r="CV83" s="107" t="n">
        <x:f>IF(AND(YEAR(CV$3)=YEAR(EDATE(INDEX('Вводные'!$D$88:$D$91,$B$64),INDEX('Вводные'!$E$88:$E$91,$B$64)+INDEX('Вводные'!$F$88:$F$91,$B$64)+'Вводные'!$H$9)),MONTH(CV$3)=MONTH(EDATE(INDEX('Вводные'!$D$88:$D$91,$B$64),INDEX('Вводные'!$E$88:$E$91,$B$64)+INDEX('Вводные'!$F$88:$F$91,$B$64)+'Вводные'!$H$9)),AND($B$63="Да",IFERROR(INDEX('Вводные'!$B$88:$B$91,$B$64),"Нет")="Да")),MAX(0,SUM($D81:CV81)-CV81),0)</x:f>
      </x:c>
      <x:c r="CW83" s="107" t="n">
        <x:f>IF(AND(YEAR(CW$3)=YEAR(EDATE(INDEX('Вводные'!$D$88:$D$91,$B$64),INDEX('Вводные'!$E$88:$E$91,$B$64)+INDEX('Вводные'!$F$88:$F$91,$B$64)+'Вводные'!$H$9)),MONTH(CW$3)=MONTH(EDATE(INDEX('Вводные'!$D$88:$D$91,$B$64),INDEX('Вводные'!$E$88:$E$91,$B$64)+INDEX('Вводные'!$F$88:$F$91,$B$64)+'Вводные'!$H$9)),AND($B$63="Да",IFERROR(INDEX('Вводные'!$B$88:$B$91,$B$64),"Нет")="Да")),MAX(0,SUM($D81:CW81)-CW81),0)</x:f>
      </x:c>
      <x:c r="CX83" s="107" t="n">
        <x:f>IF(AND(YEAR(CX$3)=YEAR(EDATE(INDEX('Вводные'!$D$88:$D$91,$B$64),INDEX('Вводные'!$E$88:$E$91,$B$64)+INDEX('Вводные'!$F$88:$F$91,$B$64)+'Вводные'!$H$9)),MONTH(CX$3)=MONTH(EDATE(INDEX('Вводные'!$D$88:$D$91,$B$64),INDEX('Вводные'!$E$88:$E$91,$B$64)+INDEX('Вводные'!$F$88:$F$91,$B$64)+'Вводные'!$H$9)),AND($B$63="Да",IFERROR(INDEX('Вводные'!$B$88:$B$91,$B$64),"Нет")="Да")),MAX(0,SUM($D81:CX81)-CX81),0)</x:f>
      </x:c>
      <x:c r="CY83" s="107" t="n">
        <x:f>IF(AND(YEAR(CY$3)=YEAR(EDATE(INDEX('Вводные'!$D$88:$D$91,$B$64),INDEX('Вводные'!$E$88:$E$91,$B$64)+INDEX('Вводные'!$F$88:$F$91,$B$64)+'Вводные'!$H$9)),MONTH(CY$3)=MONTH(EDATE(INDEX('Вводные'!$D$88:$D$91,$B$64),INDEX('Вводные'!$E$88:$E$91,$B$64)+INDEX('Вводные'!$F$88:$F$91,$B$64)+'Вводные'!$H$9)),AND($B$63="Да",IFERROR(INDEX('Вводные'!$B$88:$B$91,$B$64),"Нет")="Да")),MAX(0,SUM($D81:CY81)-CY81),0)</x:f>
      </x:c>
      <x:c r="CZ83" s="107" t="n">
        <x:f>IF(AND(YEAR(CZ$3)=YEAR(EDATE(INDEX('Вводные'!$D$88:$D$91,$B$64),INDEX('Вводные'!$E$88:$E$91,$B$64)+INDEX('Вводные'!$F$88:$F$91,$B$64)+'Вводные'!$H$9)),MONTH(CZ$3)=MONTH(EDATE(INDEX('Вводные'!$D$88:$D$91,$B$64),INDEX('Вводные'!$E$88:$E$91,$B$64)+INDEX('Вводные'!$F$88:$F$91,$B$64)+'Вводные'!$H$9)),AND($B$63="Да",IFERROR(INDEX('Вводные'!$B$88:$B$91,$B$64),"Нет")="Да")),MAX(0,SUM($D81:CZ81)-CZ81),0)</x:f>
      </x:c>
      <x:c r="DA83" s="107" t="n">
        <x:f>IF(AND(YEAR(DA$3)=YEAR(EDATE(INDEX('Вводные'!$D$88:$D$91,$B$64),INDEX('Вводные'!$E$88:$E$91,$B$64)+INDEX('Вводные'!$F$88:$F$91,$B$64)+'Вводные'!$H$9)),MONTH(DA$3)=MONTH(EDATE(INDEX('Вводные'!$D$88:$D$91,$B$64),INDEX('Вводные'!$E$88:$E$91,$B$64)+INDEX('Вводные'!$F$88:$F$91,$B$64)+'Вводные'!$H$9)),AND($B$63="Да",IFERROR(INDEX('Вводные'!$B$88:$B$91,$B$64),"Нет")="Да")),MAX(0,SUM($D81:DA81)-DA81),0)</x:f>
      </x:c>
      <x:c r="DB83" s="107" t="n">
        <x:f>IF(AND(YEAR(DB$3)=YEAR(EDATE(INDEX('Вводные'!$D$88:$D$91,$B$64),INDEX('Вводные'!$E$88:$E$91,$B$64)+INDEX('Вводные'!$F$88:$F$91,$B$64)+'Вводные'!$H$9)),MONTH(DB$3)=MONTH(EDATE(INDEX('Вводные'!$D$88:$D$91,$B$64),INDEX('Вводные'!$E$88:$E$91,$B$64)+INDEX('Вводные'!$F$88:$F$91,$B$64)+'Вводные'!$H$9)),AND($B$63="Да",IFERROR(INDEX('Вводные'!$B$88:$B$91,$B$64),"Нет")="Да")),MAX(0,SUM($D81:DB81)-DB81),0)</x:f>
      </x:c>
      <x:c r="DC83" s="107" t="n">
        <x:f>IF(AND(YEAR(DC$3)=YEAR(EDATE(INDEX('Вводные'!$D$88:$D$91,$B$64),INDEX('Вводные'!$E$88:$E$91,$B$64)+INDEX('Вводные'!$F$88:$F$91,$B$64)+'Вводные'!$H$9)),MONTH(DC$3)=MONTH(EDATE(INDEX('Вводные'!$D$88:$D$91,$B$64),INDEX('Вводные'!$E$88:$E$91,$B$64)+INDEX('Вводные'!$F$88:$F$91,$B$64)+'Вводные'!$H$9)),AND($B$63="Да",IFERROR(INDEX('Вводные'!$B$88:$B$91,$B$64),"Нет")="Да")),MAX(0,SUM($D81:DC81)-DC81),0)</x:f>
      </x:c>
      <x:c r="DD83" s="107" t="n">
        <x:f>IF(AND(YEAR(DD$3)=YEAR(EDATE(INDEX('Вводные'!$D$88:$D$91,$B$64),INDEX('Вводные'!$E$88:$E$91,$B$64)+INDEX('Вводные'!$F$88:$F$91,$B$64)+'Вводные'!$H$9)),MONTH(DD$3)=MONTH(EDATE(INDEX('Вводные'!$D$88:$D$91,$B$64),INDEX('Вводные'!$E$88:$E$91,$B$64)+INDEX('Вводные'!$F$88:$F$91,$B$64)+'Вводные'!$H$9)),AND($B$63="Да",IFERROR(INDEX('Вводные'!$B$88:$B$91,$B$64),"Нет")="Да")),MAX(0,SUM($D81:DD81)-DD81),0)</x:f>
      </x:c>
      <x:c r="DE83" s="107" t="n">
        <x:f>IF(AND(YEAR(DE$3)=YEAR(EDATE(INDEX('Вводные'!$D$88:$D$91,$B$64),INDEX('Вводные'!$E$88:$E$91,$B$64)+INDEX('Вводные'!$F$88:$F$91,$B$64)+'Вводные'!$H$9)),MONTH(DE$3)=MONTH(EDATE(INDEX('Вводные'!$D$88:$D$91,$B$64),INDEX('Вводные'!$E$88:$E$91,$B$64)+INDEX('Вводные'!$F$88:$F$91,$B$64)+'Вводные'!$H$9)),AND($B$63="Да",IFERROR(INDEX('Вводные'!$B$88:$B$91,$B$64),"Нет")="Да")),MAX(0,SUM($D81:DE81)-DE81),0)</x:f>
      </x:c>
      <x:c r="DF83" s="107" t="n">
        <x:f>IF(AND(YEAR(DF$3)=YEAR(EDATE(INDEX('Вводные'!$D$88:$D$91,$B$64),INDEX('Вводные'!$E$88:$E$91,$B$64)+INDEX('Вводные'!$F$88:$F$91,$B$64)+'Вводные'!$H$9)),MONTH(DF$3)=MONTH(EDATE(INDEX('Вводные'!$D$88:$D$91,$B$64),INDEX('Вводные'!$E$88:$E$91,$B$64)+INDEX('Вводные'!$F$88:$F$91,$B$64)+'Вводные'!$H$9)),AND($B$63="Да",IFERROR(INDEX('Вводные'!$B$88:$B$91,$B$64),"Нет")="Да")),MAX(0,SUM($D81:DF81)-DF81),0)</x:f>
      </x:c>
      <x:c r="DG83" s="107" t="n">
        <x:f>IF(AND(YEAR(DG$3)=YEAR(EDATE(INDEX('Вводные'!$D$88:$D$91,$B$64),INDEX('Вводные'!$E$88:$E$91,$B$64)+INDEX('Вводные'!$F$88:$F$91,$B$64)+'Вводные'!$H$9)),MONTH(DG$3)=MONTH(EDATE(INDEX('Вводные'!$D$88:$D$91,$B$64),INDEX('Вводные'!$E$88:$E$91,$B$64)+INDEX('Вводные'!$F$88:$F$91,$B$64)+'Вводные'!$H$9)),AND($B$63="Да",IFERROR(INDEX('Вводные'!$B$88:$B$91,$B$64),"Нет")="Да")),MAX(0,SUM($D81:DG81)-DG81),0)</x:f>
      </x:c>
      <x:c r="DH83" s="107" t="n">
        <x:f>IF(AND(YEAR(DH$3)=YEAR(EDATE(INDEX('Вводные'!$D$88:$D$91,$B$64),INDEX('Вводные'!$E$88:$E$91,$B$64)+INDEX('Вводные'!$F$88:$F$91,$B$64)+'Вводные'!$H$9)),MONTH(DH$3)=MONTH(EDATE(INDEX('Вводные'!$D$88:$D$91,$B$64),INDEX('Вводные'!$E$88:$E$91,$B$64)+INDEX('Вводные'!$F$88:$F$91,$B$64)+'Вводные'!$H$9)),AND($B$63="Да",IFERROR(INDEX('Вводные'!$B$88:$B$91,$B$64),"Нет")="Да")),MAX(0,SUM($D81:DH81)-DH81),0)</x:f>
      </x:c>
      <x:c r="DI83" s="107" t="n">
        <x:f>IF(AND(YEAR(DI$3)=YEAR(EDATE(INDEX('Вводные'!$D$88:$D$91,$B$64),INDEX('Вводные'!$E$88:$E$91,$B$64)+INDEX('Вводные'!$F$88:$F$91,$B$64)+'Вводные'!$H$9)),MONTH(DI$3)=MONTH(EDATE(INDEX('Вводные'!$D$88:$D$91,$B$64),INDEX('Вводные'!$E$88:$E$91,$B$64)+INDEX('Вводные'!$F$88:$F$91,$B$64)+'Вводные'!$H$9)),AND($B$63="Да",IFERROR(INDEX('Вводные'!$B$88:$B$91,$B$64),"Нет")="Да")),MAX(0,SUM($D81:DI81)-DI81),0)</x:f>
      </x:c>
      <x:c r="DJ83" s="107" t="n">
        <x:f>IF(AND(YEAR(DJ$3)=YEAR(EDATE(INDEX('Вводные'!$D$88:$D$91,$B$64),INDEX('Вводные'!$E$88:$E$91,$B$64)+INDEX('Вводные'!$F$88:$F$91,$B$64)+'Вводные'!$H$9)),MONTH(DJ$3)=MONTH(EDATE(INDEX('Вводные'!$D$88:$D$91,$B$64),INDEX('Вводные'!$E$88:$E$91,$B$64)+INDEX('Вводные'!$F$88:$F$91,$B$64)+'Вводные'!$H$9)),AND($B$63="Да",IFERROR(INDEX('Вводные'!$B$88:$B$91,$B$64),"Нет")="Да")),MAX(0,SUM($D81:DJ81)-DJ81),0)</x:f>
      </x:c>
      <x:c r="DK83" s="107" t="n">
        <x:f>IF(AND(YEAR(DK$3)=YEAR(EDATE(INDEX('Вводные'!$D$88:$D$91,$B$64),INDEX('Вводные'!$E$88:$E$91,$B$64)+INDEX('Вводные'!$F$88:$F$91,$B$64)+'Вводные'!$H$9)),MONTH(DK$3)=MONTH(EDATE(INDEX('Вводные'!$D$88:$D$91,$B$64),INDEX('Вводные'!$E$88:$E$91,$B$64)+INDEX('Вводные'!$F$88:$F$91,$B$64)+'Вводные'!$H$9)),AND($B$63="Да",IFERROR(INDEX('Вводные'!$B$88:$B$91,$B$64),"Нет")="Да")),MAX(0,SUM($D81:DK81)-DK81),0)</x:f>
      </x:c>
      <x:c r="DL83" s="107" t="n">
        <x:f>IF(AND(YEAR(DL$3)=YEAR(EDATE(INDEX('Вводные'!$D$88:$D$91,$B$64),INDEX('Вводные'!$E$88:$E$91,$B$64)+INDEX('Вводные'!$F$88:$F$91,$B$64)+'Вводные'!$H$9)),MONTH(DL$3)=MONTH(EDATE(INDEX('Вводные'!$D$88:$D$91,$B$64),INDEX('Вводные'!$E$88:$E$91,$B$64)+INDEX('Вводные'!$F$88:$F$91,$B$64)+'Вводные'!$H$9)),AND($B$63="Да",IFERROR(INDEX('Вводные'!$B$88:$B$91,$B$64),"Нет")="Да")),MAX(0,SUM($D81:DL81)-DL81),0)</x:f>
      </x:c>
      <x:c r="DM83" s="107" t="n">
        <x:f>IF(AND(YEAR(DM$3)=YEAR(EDATE(INDEX('Вводные'!$D$88:$D$91,$B$64),INDEX('Вводные'!$E$88:$E$91,$B$64)+INDEX('Вводные'!$F$88:$F$91,$B$64)+'Вводные'!$H$9)),MONTH(DM$3)=MONTH(EDATE(INDEX('Вводные'!$D$88:$D$91,$B$64),INDEX('Вводные'!$E$88:$E$91,$B$64)+INDEX('Вводные'!$F$88:$F$91,$B$64)+'Вводные'!$H$9)),AND($B$63="Да",IFERROR(INDEX('Вводные'!$B$88:$B$91,$B$64),"Нет")="Да")),MAX(0,SUM($D81:DM81)-DM81),0)</x:f>
      </x:c>
      <x:c r="DN83" s="107" t="n">
        <x:f>IF(AND(YEAR(DN$3)=YEAR(EDATE(INDEX('Вводные'!$D$88:$D$91,$B$64),INDEX('Вводные'!$E$88:$E$91,$B$64)+INDEX('Вводные'!$F$88:$F$91,$B$64)+'Вводные'!$H$9)),MONTH(DN$3)=MONTH(EDATE(INDEX('Вводные'!$D$88:$D$91,$B$64),INDEX('Вводные'!$E$88:$E$91,$B$64)+INDEX('Вводные'!$F$88:$F$91,$B$64)+'Вводные'!$H$9)),AND($B$63="Да",IFERROR(INDEX('Вводные'!$B$88:$B$91,$B$64),"Нет")="Да")),MAX(0,SUM($D81:DN81)-DN81),0)</x:f>
      </x:c>
      <x:c r="DO83" s="107" t="n">
        <x:f>IF(AND(YEAR(DO$3)=YEAR(EDATE(INDEX('Вводные'!$D$88:$D$91,$B$64),INDEX('Вводные'!$E$88:$E$91,$B$64)+INDEX('Вводные'!$F$88:$F$91,$B$64)+'Вводные'!$H$9)),MONTH(DO$3)=MONTH(EDATE(INDEX('Вводные'!$D$88:$D$91,$B$64),INDEX('Вводные'!$E$88:$E$91,$B$64)+INDEX('Вводные'!$F$88:$F$91,$B$64)+'Вводные'!$H$9)),AND($B$63="Да",IFERROR(INDEX('Вводные'!$B$88:$B$91,$B$64),"Нет")="Да")),MAX(0,SUM($D81:DO81)-DO81),0)</x:f>
      </x:c>
      <x:c r="DP83" s="107" t="n">
        <x:f>IF(AND(YEAR(DP$3)=YEAR(EDATE(INDEX('Вводные'!$D$88:$D$91,$B$64),INDEX('Вводные'!$E$88:$E$91,$B$64)+INDEX('Вводные'!$F$88:$F$91,$B$64)+'Вводные'!$H$9)),MONTH(DP$3)=MONTH(EDATE(INDEX('Вводные'!$D$88:$D$91,$B$64),INDEX('Вводные'!$E$88:$E$91,$B$64)+INDEX('Вводные'!$F$88:$F$91,$B$64)+'Вводные'!$H$9)),AND($B$63="Да",IFERROR(INDEX('Вводные'!$B$88:$B$91,$B$64),"Нет")="Да")),MAX(0,SUM($D81:DP81)-DP81),0)</x:f>
      </x:c>
      <x:c r="DQ83" s="107" t="n">
        <x:f>IF(AND(YEAR(DQ$3)=YEAR(EDATE(INDEX('Вводные'!$D$88:$D$91,$B$64),INDEX('Вводные'!$E$88:$E$91,$B$64)+INDEX('Вводные'!$F$88:$F$91,$B$64)+'Вводные'!$H$9)),MONTH(DQ$3)=MONTH(EDATE(INDEX('Вводные'!$D$88:$D$91,$B$64),INDEX('Вводные'!$E$88:$E$91,$B$64)+INDEX('Вводные'!$F$88:$F$91,$B$64)+'Вводные'!$H$9)),AND($B$63="Да",IFERROR(INDEX('Вводные'!$B$88:$B$91,$B$64),"Нет")="Да")),MAX(0,SUM($D81:DQ81)-DQ81),0)</x:f>
      </x:c>
      <x:c r="DR83" s="107" t="n">
        <x:f>IF(AND(YEAR(DR$3)=YEAR(EDATE(INDEX('Вводные'!$D$88:$D$91,$B$64),INDEX('Вводные'!$E$88:$E$91,$B$64)+INDEX('Вводные'!$F$88:$F$91,$B$64)+'Вводные'!$H$9)),MONTH(DR$3)=MONTH(EDATE(INDEX('Вводные'!$D$88:$D$91,$B$64),INDEX('Вводные'!$E$88:$E$91,$B$64)+INDEX('Вводные'!$F$88:$F$91,$B$64)+'Вводные'!$H$9)),AND($B$63="Да",IFERROR(INDEX('Вводные'!$B$88:$B$91,$B$64),"Нет")="Да")),MAX(0,SUM($D81:DR81)-DR81),0)</x:f>
      </x:c>
      <x:c r="DS83" s="107" t="n">
        <x:f>IF(AND(YEAR(DS$3)=YEAR(EDATE(INDEX('Вводные'!$D$88:$D$91,$B$64),INDEX('Вводные'!$E$88:$E$91,$B$64)+INDEX('Вводные'!$F$88:$F$91,$B$64)+'Вводные'!$H$9)),MONTH(DS$3)=MONTH(EDATE(INDEX('Вводные'!$D$88:$D$91,$B$64),INDEX('Вводные'!$E$88:$E$91,$B$64)+INDEX('Вводные'!$F$88:$F$91,$B$64)+'Вводные'!$H$9)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D10-D20-D53-D57</x:f>
      </x:c>
      <x:c r="E22" s="117">
        <x:f>E10-E20-E53-E57</x:f>
      </x:c>
      <x:c r="F22" s="117">
        <x:f>F10-F20-F53-F57</x:f>
      </x:c>
      <x:c r="G22" s="117">
        <x:f>G10-G20-G53-G57</x:f>
      </x:c>
      <x:c r="H22" s="117">
        <x:f>H10-H20-H53-H57</x:f>
      </x:c>
      <x:c r="I22" s="117">
        <x:f>I10-I20-I53-I57</x:f>
      </x:c>
      <x:c r="J22" s="117">
        <x:f>J10-J20-J53-J57</x:f>
      </x:c>
      <x:c r="K22" s="117">
        <x:f>K10-K20-K53-K57</x:f>
      </x:c>
      <x:c r="L22" s="117">
        <x:f>L10-L20-L53-L57</x:f>
      </x:c>
      <x:c r="M22" s="117">
        <x:f>M10-M20-M53-M57</x:f>
      </x:c>
      <x:c r="N22" s="117">
        <x:f>N10-N20-N53-N57</x:f>
      </x:c>
      <x:c r="O22" s="117">
        <x:f>O10-O20-O53-O57</x:f>
      </x:c>
      <x:c r="P22" s="117">
        <x:f>P10-P20-P53-P57</x:f>
      </x:c>
      <x:c r="Q22" s="117">
        <x:f>Q10-Q20-Q53-Q57</x:f>
      </x:c>
      <x:c r="R22" s="117">
        <x:f>R10-R20-R53-R57</x:f>
      </x:c>
      <x:c r="S22" s="117">
        <x:f>S10-S20-S53-S57</x:f>
      </x:c>
      <x:c r="T22" s="117">
        <x:f>T10-T20-T53-T57</x:f>
      </x:c>
      <x:c r="U22" s="117">
        <x:f>U10-U20-U53-U57</x:f>
      </x:c>
      <x:c r="V22" s="117">
        <x:f>V10-V20-V53-V57</x:f>
      </x:c>
      <x:c r="W22" s="117">
        <x:f>W10-W20-W53-W57</x:f>
      </x:c>
      <x:c r="X22" s="117">
        <x:f>X10-X20-X53-X57</x:f>
      </x:c>
      <x:c r="Y22" s="117">
        <x:f>Y10-Y20-Y53-Y57</x:f>
      </x:c>
      <x:c r="Z22" s="117">
        <x:f>Z10-Z20-Z53-Z57</x:f>
      </x:c>
      <x:c r="AA22" s="117">
        <x:f>AA10-AA20-AA53-AA57</x:f>
      </x:c>
      <x:c r="AB22" s="117">
        <x:f>AB10-AB20-AB53-AB57</x:f>
      </x:c>
      <x:c r="AC22" s="117">
        <x:f>AC10-AC20-AC53-AC57</x:f>
      </x:c>
      <x:c r="AD22" s="117">
        <x:f>AD10-AD20-AD53-AD57</x:f>
      </x:c>
      <x:c r="AE22" s="117">
        <x:f>AE10-AE20-AE53-AE57</x:f>
      </x:c>
      <x:c r="AF22" s="117">
        <x:f>AF10-AF20-AF53-AF57</x:f>
      </x:c>
      <x:c r="AG22" s="117">
        <x:f>AG10-AG20-AG53-AG57</x:f>
      </x:c>
      <x:c r="AH22" s="117">
        <x:f>AH10-AH20-AH53-AH57</x:f>
      </x:c>
      <x:c r="AI22" s="117">
        <x:f>AI10-AI20-AI53-AI57</x:f>
      </x:c>
      <x:c r="AJ22" s="117">
        <x:f>AJ10-AJ20-AJ53-AJ57</x:f>
      </x:c>
      <x:c r="AK22" s="117">
        <x:f>AK10-AK20-AK53-AK57</x:f>
      </x:c>
      <x:c r="AL22" s="117">
        <x:f>AL10-AL20-AL53-AL57</x:f>
      </x:c>
      <x:c r="AM22" s="117">
        <x:f>AM10-AM20-AM53-AM57</x:f>
      </x:c>
      <x:c r="AN22" s="117">
        <x:f>AN10-AN20-AN53-AN57</x:f>
      </x:c>
      <x:c r="AO22" s="117">
        <x:f>AO10-AO20-AO53-AO57</x:f>
      </x:c>
      <x:c r="AP22" s="117">
        <x:f>AP10-AP20-AP53-AP57</x:f>
      </x:c>
      <x:c r="AQ22" s="117">
        <x:f>AQ10-AQ20-AQ53-AQ57</x:f>
      </x:c>
      <x:c r="AR22" s="117">
        <x:f>AR10-AR20-AR53-AR57</x:f>
      </x:c>
      <x:c r="AS22" s="117">
        <x:f>AS10-AS20-AS53-AS57</x:f>
      </x:c>
      <x:c r="AT22" s="117">
        <x:f>AT10-AT20-AT53-AT57</x:f>
      </x:c>
      <x:c r="AU22" s="117">
        <x:f>AU10-AU20-AU53-AU57</x:f>
      </x:c>
      <x:c r="AV22" s="117">
        <x:f>AV10-AV20-AV53-AV57</x:f>
      </x:c>
      <x:c r="AW22" s="117">
        <x:f>AW10-AW20-AW53-AW57</x:f>
      </x:c>
      <x:c r="AX22" s="117">
        <x:f>AX10-AX20-AX53-AX57</x:f>
      </x:c>
      <x:c r="AY22" s="117">
        <x:f>AY10-AY20-AY53-AY57</x:f>
      </x:c>
      <x:c r="AZ22" s="117">
        <x:f>AZ10-AZ20-AZ53-AZ57</x:f>
      </x:c>
      <x:c r="BA22" s="117">
        <x:f>BA10-BA20-BA53-BA57</x:f>
      </x:c>
      <x:c r="BB22" s="117">
        <x:f>BB10-BB20-BB53-BB57</x:f>
      </x:c>
      <x:c r="BC22" s="117">
        <x:f>BC10-BC20-BC53-BC57</x:f>
      </x:c>
      <x:c r="BD22" s="117">
        <x:f>BD10-BD20-BD53-BD57</x:f>
      </x:c>
      <x:c r="BE22" s="117">
        <x:f>BE10-BE20-BE53-BE57</x:f>
      </x:c>
      <x:c r="BF22" s="117">
        <x:f>BF10-BF20-BF53-BF57</x:f>
      </x:c>
      <x:c r="BG22" s="117">
        <x:f>BG10-BG20-BG53-BG57</x:f>
      </x:c>
      <x:c r="BH22" s="117">
        <x:f>BH10-BH20-BH53-BH57</x:f>
      </x:c>
      <x:c r="BI22" s="117">
        <x:f>BI10-BI20-BI53-BI57</x:f>
      </x:c>
      <x:c r="BJ22" s="117">
        <x:f>BJ10-BJ20-BJ53-BJ57</x:f>
      </x:c>
      <x:c r="BK22" s="117">
        <x:f>BK10-BK20-BK53-BK57</x:f>
      </x:c>
      <x:c r="BL22" s="117">
        <x:f>BL10-BL20-BL53-BL57</x:f>
      </x:c>
      <x:c r="BM22" s="117">
        <x:f>BM10-BM20-BM53-BM57</x:f>
      </x:c>
      <x:c r="BN22" s="117">
        <x:f>BN10-BN20-BN53-BN57</x:f>
      </x:c>
      <x:c r="BO22" s="117">
        <x:f>BO10-BO20-BO53-BO57</x:f>
      </x:c>
      <x:c r="BP22" s="117">
        <x:f>BP10-BP20-BP53-BP57</x:f>
      </x:c>
      <x:c r="BQ22" s="117">
        <x:f>BQ10-BQ20-BQ53-BQ57</x:f>
      </x:c>
      <x:c r="BR22" s="117">
        <x:f>BR10-BR20-BR53-BR57</x:f>
      </x:c>
      <x:c r="BS22" s="117">
        <x:f>BS10-BS20-BS53-BS57</x:f>
      </x:c>
      <x:c r="BT22" s="117">
        <x:f>BT10-BT20-BT53-BT57</x:f>
      </x:c>
      <x:c r="BU22" s="117">
        <x:f>BU10-BU20-BU53-BU57</x:f>
      </x:c>
      <x:c r="BV22" s="117">
        <x:f>BV10-BV20-BV53-BV57</x:f>
      </x:c>
      <x:c r="BW22" s="117">
        <x:f>BW10-BW20-BW53-BW57</x:f>
      </x:c>
      <x:c r="BX22" s="117">
        <x:f>BX10-BX20-BX53-BX57</x:f>
      </x:c>
      <x:c r="BY22" s="117">
        <x:f>BY10-BY20-BY53-BY57</x:f>
      </x:c>
      <x:c r="BZ22" s="117">
        <x:f>BZ10-BZ20-BZ53-BZ57</x:f>
      </x:c>
      <x:c r="CA22" s="117">
        <x:f>CA10-CA20-CA53-CA57</x:f>
      </x:c>
      <x:c r="CB22" s="117">
        <x:f>CB10-CB20-CB53-CB57</x:f>
      </x:c>
      <x:c r="CC22" s="117">
        <x:f>CC10-CC20-CC53-CC57</x:f>
      </x:c>
      <x:c r="CD22" s="117">
        <x:f>CD10-CD20-CD53-CD57</x:f>
      </x:c>
      <x:c r="CE22" s="117">
        <x:f>CE10-CE20-CE53-CE57</x:f>
      </x:c>
      <x:c r="CF22" s="117">
        <x:f>CF10-CF20-CF53-CF57</x:f>
      </x:c>
      <x:c r="CG22" s="117">
        <x:f>CG10-CG20-CG53-CG57</x:f>
      </x:c>
      <x:c r="CH22" s="117">
        <x:f>CH10-CH20-CH53-CH57</x:f>
      </x:c>
      <x:c r="CI22" s="117">
        <x:f>CI10-CI20-CI53-CI57</x:f>
      </x:c>
      <x:c r="CJ22" s="117">
        <x:f>CJ10-CJ20-CJ53-CJ57</x:f>
      </x:c>
      <x:c r="CK22" s="117">
        <x:f>CK10-CK20-CK53-CK57</x:f>
      </x:c>
      <x:c r="CL22" s="117">
        <x:f>CL10-CL20-CL53-CL57</x:f>
      </x:c>
      <x:c r="CM22" s="117">
        <x:f>CM10-CM20-CM53-CM57</x:f>
      </x:c>
      <x:c r="CN22" s="117">
        <x:f>CN10-CN20-CN53-CN57</x:f>
      </x:c>
      <x:c r="CO22" s="117">
        <x:f>CO10-CO20-CO53-CO57</x:f>
      </x:c>
      <x:c r="CP22" s="117">
        <x:f>CP10-CP20-CP53-CP57</x:f>
      </x:c>
      <x:c r="CQ22" s="117">
        <x:f>CQ10-CQ20-CQ53-CQ57</x:f>
      </x:c>
      <x:c r="CR22" s="117">
        <x:f>CR10-CR20-CR53-CR57</x:f>
      </x:c>
      <x:c r="CS22" s="117">
        <x:f>CS10-CS20-CS53-CS57</x:f>
      </x:c>
      <x:c r="CT22" s="117">
        <x:f>CT10-CT20-CT53-CT57</x:f>
      </x:c>
      <x:c r="CU22" s="117">
        <x:f>CU10-CU20-CU53-CU57</x:f>
      </x:c>
      <x:c r="CV22" s="117">
        <x:f>CV10-CV20-CV53-CV57</x:f>
      </x:c>
      <x:c r="CW22" s="117">
        <x:f>CW10-CW20-CW53-CW57</x:f>
      </x:c>
      <x:c r="CX22" s="117">
        <x:f>CX10-CX20-CX53-CX57</x:f>
      </x:c>
      <x:c r="CY22" s="117">
        <x:f>CY10-CY20-CY53-CY57</x:f>
      </x:c>
      <x:c r="CZ22" s="117">
        <x:f>CZ10-CZ20-CZ53-CZ57</x:f>
      </x:c>
      <x:c r="DA22" s="117">
        <x:f>DA10-DA20-DA53-DA57</x:f>
      </x:c>
      <x:c r="DB22" s="117">
        <x:f>DB10-DB20-DB53-DB57</x:f>
      </x:c>
      <x:c r="DC22" s="117">
        <x:f>DC10-DC20-DC53-DC57</x:f>
      </x:c>
      <x:c r="DD22" s="117">
        <x:f>DD10-DD20-DD53-DD57</x:f>
      </x:c>
      <x:c r="DE22" s="117">
        <x:f>DE10-DE20-DE53-DE57</x:f>
      </x:c>
      <x:c r="DF22" s="117">
        <x:f>DF10-DF20-DF53-DF57</x:f>
      </x:c>
      <x:c r="DG22" s="117">
        <x:f>DG10-DG20-DG53-DG57</x:f>
      </x:c>
      <x:c r="DH22" s="117">
        <x:f>DH10-DH20-DH53-DH57</x:f>
      </x:c>
      <x:c r="DI22" s="117">
        <x:f>DI10-DI20-DI53-DI57</x:f>
      </x:c>
      <x:c r="DJ22" s="117">
        <x:f>DJ10-DJ20-DJ53-DJ57</x:f>
      </x:c>
      <x:c r="DK22" s="117">
        <x:f>DK10-DK20-DK53-DK57</x:f>
      </x:c>
      <x:c r="DL22" s="117">
        <x:f>DL10-DL20-DL53-DL57</x:f>
      </x:c>
      <x:c r="DM22" s="117">
        <x:f>DM10-DM20-DM53-DM57</x:f>
      </x:c>
      <x:c r="DN22" s="117">
        <x:f>DN10-DN20-DN53-DN57</x:f>
      </x:c>
      <x:c r="DO22" s="117">
        <x:f>DO10-DO20-DO53-DO57</x:f>
      </x:c>
      <x:c r="DP22" s="117">
        <x:f>DP10-DP20-DP53-DP57</x:f>
      </x:c>
      <x:c r="DQ22" s="117">
        <x:f>DQ10-DQ20-DQ53-DQ57</x:f>
      </x:c>
      <x:c r="DR22" s="117">
        <x:f>DR10-DR20-DR53-DR57</x:f>
      </x:c>
      <x:c r="DS22" s="117">
        <x:f>DS10-DS20-DS53-DS57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D33</x:f>
      </x:c>
      <x:c r="E34" s="117">
        <x:f>E33</x:f>
      </x:c>
      <x:c r="F34" s="117">
        <x:f>F33</x:f>
      </x:c>
      <x:c r="G34" s="117">
        <x:f>G33</x:f>
      </x:c>
      <x:c r="H34" s="117">
        <x:f>H33</x:f>
      </x:c>
      <x:c r="I34" s="117">
        <x:f>I33</x:f>
      </x:c>
      <x:c r="J34" s="117">
        <x:f>J33</x:f>
      </x:c>
      <x:c r="K34" s="117">
        <x:f>K33</x:f>
      </x:c>
      <x:c r="L34" s="117">
        <x:f>L33</x:f>
      </x:c>
      <x:c r="M34" s="117">
        <x:f>M33</x:f>
      </x:c>
      <x:c r="N34" s="117">
        <x:f>N33</x:f>
      </x:c>
      <x:c r="O34" s="117">
        <x:f>O33</x:f>
      </x:c>
      <x:c r="P34" s="117">
        <x:f>P33</x:f>
      </x:c>
      <x:c r="Q34" s="117">
        <x:f>Q33</x:f>
      </x:c>
      <x:c r="R34" s="117">
        <x:f>R33</x:f>
      </x:c>
      <x:c r="S34" s="117">
        <x:f>S33</x:f>
      </x:c>
      <x:c r="T34" s="117">
        <x:f>T33</x:f>
      </x:c>
      <x:c r="U34" s="117">
        <x:f>U33</x:f>
      </x:c>
      <x:c r="V34" s="117">
        <x:f>V33</x:f>
      </x:c>
      <x:c r="W34" s="117">
        <x:f>W33</x:f>
      </x:c>
      <x:c r="X34" s="117">
        <x:f>X33</x:f>
      </x:c>
      <x:c r="Y34" s="117">
        <x:f>Y33</x:f>
      </x:c>
      <x:c r="Z34" s="117">
        <x:f>Z33</x:f>
      </x:c>
      <x:c r="AA34" s="117">
        <x:f>AA33</x:f>
      </x:c>
      <x:c r="AB34" s="117">
        <x:f>AB33</x:f>
      </x:c>
      <x:c r="AC34" s="117">
        <x:f>AC33</x:f>
      </x:c>
      <x:c r="AD34" s="117">
        <x:f>AD33</x:f>
      </x:c>
      <x:c r="AE34" s="117">
        <x:f>AE33</x:f>
      </x:c>
      <x:c r="AF34" s="117">
        <x:f>AF33</x:f>
      </x:c>
      <x:c r="AG34" s="117">
        <x:f>AG33</x:f>
      </x:c>
      <x:c r="AH34" s="117">
        <x:f>AH33</x:f>
      </x:c>
      <x:c r="AI34" s="117">
        <x:f>AI33</x:f>
      </x:c>
      <x:c r="AJ34" s="117">
        <x:f>AJ33</x:f>
      </x:c>
      <x:c r="AK34" s="117">
        <x:f>AK33</x:f>
      </x:c>
      <x:c r="AL34" s="117">
        <x:f>AL33</x:f>
      </x:c>
      <x:c r="AM34" s="117">
        <x:f>AM33</x:f>
      </x:c>
      <x:c r="AN34" s="117">
        <x:f>AN33</x:f>
      </x:c>
      <x:c r="AO34" s="117">
        <x:f>AO33</x:f>
      </x:c>
      <x:c r="AP34" s="117">
        <x:f>AP33</x:f>
      </x:c>
      <x:c r="AQ34" s="117">
        <x:f>AQ33</x:f>
      </x:c>
      <x:c r="AR34" s="117">
        <x:f>AR33</x:f>
      </x:c>
      <x:c r="AS34" s="117">
        <x:f>AS33</x:f>
      </x:c>
      <x:c r="AT34" s="117">
        <x:f>AT33</x:f>
      </x:c>
      <x:c r="AU34" s="117">
        <x:f>AU33</x:f>
      </x:c>
      <x:c r="AV34" s="117">
        <x:f>AV33</x:f>
      </x:c>
      <x:c r="AW34" s="117">
        <x:f>AW33</x:f>
      </x:c>
      <x:c r="AX34" s="117">
        <x:f>AX33</x:f>
      </x:c>
      <x:c r="AY34" s="117">
        <x:f>AY33</x:f>
      </x:c>
      <x:c r="AZ34" s="117">
        <x:f>AZ33</x:f>
      </x:c>
      <x:c r="BA34" s="117">
        <x:f>BA33</x:f>
      </x:c>
      <x:c r="BB34" s="117">
        <x:f>BB33</x:f>
      </x:c>
      <x:c r="BC34" s="117">
        <x:f>BC33</x:f>
      </x:c>
      <x:c r="BD34" s="117">
        <x:f>BD33</x:f>
      </x:c>
      <x:c r="BE34" s="117">
        <x:f>BE33</x:f>
      </x:c>
      <x:c r="BF34" s="117">
        <x:f>BF33</x:f>
      </x:c>
      <x:c r="BG34" s="117">
        <x:f>BG33</x:f>
      </x:c>
      <x:c r="BH34" s="117">
        <x:f>BH33</x:f>
      </x:c>
      <x:c r="BI34" s="117">
        <x:f>BI33</x:f>
      </x:c>
      <x:c r="BJ34" s="117">
        <x:f>BJ33</x:f>
      </x:c>
      <x:c r="BK34" s="117">
        <x:f>BK33</x:f>
      </x:c>
      <x:c r="BL34" s="117">
        <x:f>BL33</x:f>
      </x:c>
      <x:c r="BM34" s="117">
        <x:f>BM33</x:f>
      </x:c>
      <x:c r="BN34" s="117">
        <x:f>BN33</x:f>
      </x:c>
      <x:c r="BO34" s="117">
        <x:f>BO33</x:f>
      </x:c>
      <x:c r="BP34" s="117">
        <x:f>BP33</x:f>
      </x:c>
      <x:c r="BQ34" s="117">
        <x:f>BQ33</x:f>
      </x:c>
      <x:c r="BR34" s="117">
        <x:f>BR33</x:f>
      </x:c>
      <x:c r="BS34" s="117">
        <x:f>BS33</x:f>
      </x:c>
      <x:c r="BT34" s="117">
        <x:f>BT33</x:f>
      </x:c>
      <x:c r="BU34" s="117">
        <x:f>BU33</x:f>
      </x:c>
      <x:c r="BV34" s="117">
        <x:f>BV33</x:f>
      </x:c>
      <x:c r="BW34" s="117">
        <x:f>BW33</x:f>
      </x:c>
      <x:c r="BX34" s="117">
        <x:f>BX33</x:f>
      </x:c>
      <x:c r="BY34" s="117">
        <x:f>BY33</x:f>
      </x:c>
      <x:c r="BZ34" s="117">
        <x:f>BZ33</x:f>
      </x:c>
      <x:c r="CA34" s="117">
        <x:f>CA33</x:f>
      </x:c>
      <x:c r="CB34" s="117">
        <x:f>CB33</x:f>
      </x:c>
      <x:c r="CC34" s="117">
        <x:f>CC33</x:f>
      </x:c>
      <x:c r="CD34" s="117">
        <x:f>CD33</x:f>
      </x:c>
      <x:c r="CE34" s="117">
        <x:f>CE33</x:f>
      </x:c>
      <x:c r="CF34" s="117">
        <x:f>CF33</x:f>
      </x:c>
      <x:c r="CG34" s="117">
        <x:f>CG33</x:f>
      </x:c>
      <x:c r="CH34" s="117">
        <x:f>CH33</x:f>
      </x:c>
      <x:c r="CI34" s="117">
        <x:f>CI33</x:f>
      </x:c>
      <x:c r="CJ34" s="117">
        <x:f>CJ33</x:f>
      </x:c>
      <x:c r="CK34" s="117">
        <x:f>CK33</x:f>
      </x:c>
      <x:c r="CL34" s="117">
        <x:f>CL33</x:f>
      </x:c>
      <x:c r="CM34" s="117">
        <x:f>CM33</x:f>
      </x:c>
      <x:c r="CN34" s="117">
        <x:f>CN33</x:f>
      </x:c>
      <x:c r="CO34" s="117">
        <x:f>CO33</x:f>
      </x:c>
      <x:c r="CP34" s="117">
        <x:f>CP33</x:f>
      </x:c>
      <x:c r="CQ34" s="117">
        <x:f>CQ33</x:f>
      </x:c>
      <x:c r="CR34" s="117">
        <x:f>CR33</x:f>
      </x:c>
      <x:c r="CS34" s="117">
        <x:f>CS33</x:f>
      </x:c>
      <x:c r="CT34" s="117">
        <x:f>CT33</x:f>
      </x:c>
      <x:c r="CU34" s="117">
        <x:f>CU33</x:f>
      </x:c>
      <x:c r="CV34" s="117">
        <x:f>CV33</x:f>
      </x:c>
      <x:c r="CW34" s="117">
        <x:f>CW33</x:f>
      </x:c>
      <x:c r="CX34" s="117">
        <x:f>CX33</x:f>
      </x:c>
      <x:c r="CY34" s="117">
        <x:f>CY33</x:f>
      </x:c>
      <x:c r="CZ34" s="117">
        <x:f>CZ33</x:f>
      </x:c>
      <x:c r="DA34" s="117">
        <x:f>DA33</x:f>
      </x:c>
      <x:c r="DB34" s="117">
        <x:f>DB33</x:f>
      </x:c>
      <x:c r="DC34" s="117">
        <x:f>DC33</x:f>
      </x:c>
      <x:c r="DD34" s="117">
        <x:f>DD33</x:f>
      </x:c>
      <x:c r="DE34" s="117">
        <x:f>DE33</x:f>
      </x:c>
      <x:c r="DF34" s="117">
        <x:f>DF33</x:f>
      </x:c>
      <x:c r="DG34" s="117">
        <x:f>DG33</x:f>
      </x:c>
      <x:c r="DH34" s="117">
        <x:f>DH33</x:f>
      </x:c>
      <x:c r="DI34" s="117">
        <x:f>DI33</x:f>
      </x:c>
      <x:c r="DJ34" s="117">
        <x:f>DJ33</x:f>
      </x:c>
      <x:c r="DK34" s="117">
        <x:f>DK33</x:f>
      </x:c>
      <x:c r="DL34" s="117">
        <x:f>DL33</x:f>
      </x:c>
      <x:c r="DM34" s="117">
        <x:f>DM33</x:f>
      </x:c>
      <x:c r="DN34" s="117">
        <x:f>DN33</x:f>
      </x:c>
      <x:c r="DO34" s="117">
        <x:f>DO33</x:f>
      </x:c>
      <x:c r="DP34" s="117">
        <x:f>DP33</x:f>
      </x:c>
      <x:c r="DQ34" s="117">
        <x:f>DQ33</x:f>
      </x:c>
      <x:c r="DR34" s="117">
        <x:f>DR33</x:f>
      </x:c>
      <x:c r="DS34" s="117">
        <x:f>DS33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IF(AND((D38+D45)&gt;0,$B$5=1,D$3&lt;EDATE($B$8,'Вводные'!$H$91)),(D38+D45)*D41/12,0)</x:f>
      </x:c>
      <x:c r="E42" s="117">
        <x:f>IF(AND((E38+E45)&gt;0,$B$5=1,E$3&lt;EDATE($B$8,'Вводные'!$H$91)),(E38+E45)*E41/12,0)</x:f>
      </x:c>
      <x:c r="F42" s="117">
        <x:f>IF(AND((F38+F45)&gt;0,$B$5=1,F$3&lt;EDATE($B$8,'Вводные'!$H$91)),(F38+F45)*F41/12,0)</x:f>
      </x:c>
      <x:c r="G42" s="117">
        <x:f>IF(AND((G38+G45)&gt;0,$B$5=1,G$3&lt;EDATE($B$8,'Вводные'!$H$91)),(G38+G45)*G41/12,0)</x:f>
      </x:c>
      <x:c r="H42" s="117">
        <x:f>IF(AND((H38+H45)&gt;0,$B$5=1,H$3&lt;EDATE($B$8,'Вводные'!$H$91)),(H38+H45)*H41/12,0)</x:f>
      </x:c>
      <x:c r="I42" s="117">
        <x:f>IF(AND((I38+I45)&gt;0,$B$5=1,I$3&lt;EDATE($B$8,'Вводные'!$H$91)),(I38+I45)*I41/12,0)</x:f>
      </x:c>
      <x:c r="J42" s="117">
        <x:f>IF(AND((J38+J45)&gt;0,$B$5=1,J$3&lt;EDATE($B$8,'Вводные'!$H$91)),(J38+J45)*J41/12,0)</x:f>
      </x:c>
      <x:c r="K42" s="117">
        <x:f>IF(AND((K38+K45)&gt;0,$B$5=1,K$3&lt;EDATE($B$8,'Вводные'!$H$91)),(K38+K45)*K41/12,0)</x:f>
      </x:c>
      <x:c r="L42" s="117">
        <x:f>IF(AND((L38+L45)&gt;0,$B$5=1,L$3&lt;EDATE($B$8,'Вводные'!$H$91)),(L38+L45)*L41/12,0)</x:f>
      </x:c>
      <x:c r="M42" s="117">
        <x:f>IF(AND((M38+M45)&gt;0,$B$5=1,M$3&lt;EDATE($B$8,'Вводные'!$H$91)),(M38+M45)*M41/12,0)</x:f>
      </x:c>
      <x:c r="N42" s="117">
        <x:f>IF(AND((N38+N45)&gt;0,$B$5=1,N$3&lt;EDATE($B$8,'Вводные'!$H$91)),(N38+N45)*N41/12,0)</x:f>
      </x:c>
      <x:c r="O42" s="117">
        <x:f>IF(AND((O38+O45)&gt;0,$B$5=1,O$3&lt;EDATE($B$8,'Вводные'!$H$91)),(O38+O45)*O41/12,0)</x:f>
      </x:c>
      <x:c r="P42" s="117">
        <x:f>IF(AND((P38+P45)&gt;0,$B$5=1,P$3&lt;EDATE($B$8,'Вводные'!$H$91)),(P38+P45)*P41/12,0)</x:f>
      </x:c>
      <x:c r="Q42" s="117">
        <x:f>IF(AND((Q38+Q45)&gt;0,$B$5=1,Q$3&lt;EDATE($B$8,'Вводные'!$H$91)),(Q38+Q45)*Q41/12,0)</x:f>
      </x:c>
      <x:c r="R42" s="117">
        <x:f>IF(AND((R38+R45)&gt;0,$B$5=1,R$3&lt;EDATE($B$8,'Вводные'!$H$91)),(R38+R45)*R41/12,0)</x:f>
      </x:c>
      <x:c r="S42" s="117">
        <x:f>IF(AND((S38+S45)&gt;0,$B$5=1,S$3&lt;EDATE($B$8,'Вводные'!$H$91)),(S38+S45)*S41/12,0)</x:f>
      </x:c>
      <x:c r="T42" s="117">
        <x:f>IF(AND((T38+T45)&gt;0,$B$5=1,T$3&lt;EDATE($B$8,'Вводные'!$H$91)),(T38+T45)*T41/12,0)</x:f>
      </x:c>
      <x:c r="U42" s="117">
        <x:f>IF(AND((U38+U45)&gt;0,$B$5=1,U$3&lt;EDATE($B$8,'Вводные'!$H$91)),(U38+U45)*U41/12,0)</x:f>
      </x:c>
      <x:c r="V42" s="117">
        <x:f>IF(AND((V38+V45)&gt;0,$B$5=1,V$3&lt;EDATE($B$8,'Вводные'!$H$91)),(V38+V45)*V41/12,0)</x:f>
      </x:c>
      <x:c r="W42" s="117">
        <x:f>IF(AND((W38+W45)&gt;0,$B$5=1,W$3&lt;EDATE($B$8,'Вводные'!$H$91)),(W38+W45)*W41/12,0)</x:f>
      </x:c>
      <x:c r="X42" s="117">
        <x:f>IF(AND((X38+X45)&gt;0,$B$5=1,X$3&lt;EDATE($B$8,'Вводные'!$H$91)),(X38+X45)*X41/12,0)</x:f>
      </x:c>
      <x:c r="Y42" s="117">
        <x:f>IF(AND((Y38+Y45)&gt;0,$B$5=1,Y$3&lt;EDATE($B$8,'Вводные'!$H$91)),(Y38+Y45)*Y41/12,0)</x:f>
      </x:c>
      <x:c r="Z42" s="117">
        <x:f>IF(AND((Z38+Z45)&gt;0,$B$5=1,Z$3&lt;EDATE($B$8,'Вводные'!$H$91)),(Z38+Z45)*Z41/12,0)</x:f>
      </x:c>
      <x:c r="AA42" s="117">
        <x:f>IF(AND((AA38+AA45)&gt;0,$B$5=1,AA$3&lt;EDATE($B$8,'Вводные'!$H$91)),(AA38+AA45)*AA41/12,0)</x:f>
      </x:c>
      <x:c r="AB42" s="117">
        <x:f>IF(AND((AB38+AB45)&gt;0,$B$5=1,AB$3&lt;EDATE($B$8,'Вводные'!$H$91)),(AB38+AB45)*AB41/12,0)</x:f>
      </x:c>
      <x:c r="AC42" s="117">
        <x:f>IF(AND((AC38+AC45)&gt;0,$B$5=1,AC$3&lt;EDATE($B$8,'Вводные'!$H$91)),(AC38+AC45)*AC41/12,0)</x:f>
      </x:c>
      <x:c r="AD42" s="117">
        <x:f>IF(AND((AD38+AD45)&gt;0,$B$5=1,AD$3&lt;EDATE($B$8,'Вводные'!$H$91)),(AD38+AD45)*AD41/12,0)</x:f>
      </x:c>
      <x:c r="AE42" s="117">
        <x:f>IF(AND((AE38+AE45)&gt;0,$B$5=1,AE$3&lt;EDATE($B$8,'Вводные'!$H$91)),(AE38+AE45)*AE41/12,0)</x:f>
      </x:c>
      <x:c r="AF42" s="117">
        <x:f>IF(AND((AF38+AF45)&gt;0,$B$5=1,AF$3&lt;EDATE($B$8,'Вводные'!$H$91)),(AF38+AF45)*AF41/12,0)</x:f>
      </x:c>
      <x:c r="AG42" s="117">
        <x:f>IF(AND((AG38+AG45)&gt;0,$B$5=1,AG$3&lt;EDATE($B$8,'Вводные'!$H$91)),(AG38+AG45)*AG41/12,0)</x:f>
      </x:c>
      <x:c r="AH42" s="117">
        <x:f>IF(AND((AH38+AH45)&gt;0,$B$5=1,AH$3&lt;EDATE($B$8,'Вводные'!$H$91)),(AH38+AH45)*AH41/12,0)</x:f>
      </x:c>
      <x:c r="AI42" s="117">
        <x:f>IF(AND((AI38+AI45)&gt;0,$B$5=1,AI$3&lt;EDATE($B$8,'Вводные'!$H$91)),(AI38+AI45)*AI41/12,0)</x:f>
      </x:c>
      <x:c r="AJ42" s="117">
        <x:f>IF(AND((AJ38+AJ45)&gt;0,$B$5=1,AJ$3&lt;EDATE($B$8,'Вводные'!$H$91)),(AJ38+AJ45)*AJ41/12,0)</x:f>
      </x:c>
      <x:c r="AK42" s="117">
        <x:f>IF(AND((AK38+AK45)&gt;0,$B$5=1,AK$3&lt;EDATE($B$8,'Вводные'!$H$91)),(AK38+AK45)*AK41/12,0)</x:f>
      </x:c>
      <x:c r="AL42" s="117">
        <x:f>IF(AND((AL38+AL45)&gt;0,$B$5=1,AL$3&lt;EDATE($B$8,'Вводные'!$H$91)),(AL38+AL45)*AL41/12,0)</x:f>
      </x:c>
      <x:c r="AM42" s="117">
        <x:f>IF(AND((AM38+AM45)&gt;0,$B$5=1,AM$3&lt;EDATE($B$8,'Вводные'!$H$91)),(AM38+AM45)*AM41/12,0)</x:f>
      </x:c>
      <x:c r="AN42" s="117">
        <x:f>IF(AND((AN38+AN45)&gt;0,$B$5=1,AN$3&lt;EDATE($B$8,'Вводные'!$H$91)),(AN38+AN45)*AN41/12,0)</x:f>
      </x:c>
      <x:c r="AO42" s="117">
        <x:f>IF(AND((AO38+AO45)&gt;0,$B$5=1,AO$3&lt;EDATE($B$8,'Вводные'!$H$91)),(AO38+AO45)*AO41/12,0)</x:f>
      </x:c>
      <x:c r="AP42" s="117">
        <x:f>IF(AND((AP38+AP45)&gt;0,$B$5=1,AP$3&lt;EDATE($B$8,'Вводные'!$H$91)),(AP38+AP45)*AP41/12,0)</x:f>
      </x:c>
      <x:c r="AQ42" s="117">
        <x:f>IF(AND((AQ38+AQ45)&gt;0,$B$5=1,AQ$3&lt;EDATE($B$8,'Вводные'!$H$91)),(AQ38+AQ45)*AQ41/12,0)</x:f>
      </x:c>
      <x:c r="AR42" s="117">
        <x:f>IF(AND((AR38+AR45)&gt;0,$B$5=1,AR$3&lt;EDATE($B$8,'Вводные'!$H$91)),(AR38+AR45)*AR41/12,0)</x:f>
      </x:c>
      <x:c r="AS42" s="117">
        <x:f>IF(AND((AS38+AS45)&gt;0,$B$5=1,AS$3&lt;EDATE($B$8,'Вводные'!$H$91)),(AS38+AS45)*AS41/12,0)</x:f>
      </x:c>
      <x:c r="AT42" s="117">
        <x:f>IF(AND((AT38+AT45)&gt;0,$B$5=1,AT$3&lt;EDATE($B$8,'Вводные'!$H$91)),(AT38+AT45)*AT41/12,0)</x:f>
      </x:c>
      <x:c r="AU42" s="117">
        <x:f>IF(AND((AU38+AU45)&gt;0,$B$5=1,AU$3&lt;EDATE($B$8,'Вводные'!$H$91)),(AU38+AU45)*AU41/12,0)</x:f>
      </x:c>
      <x:c r="AV42" s="117">
        <x:f>IF(AND((AV38+AV45)&gt;0,$B$5=1,AV$3&lt;EDATE($B$8,'Вводные'!$H$91)),(AV38+AV45)*AV41/12,0)</x:f>
      </x:c>
      <x:c r="AW42" s="117">
        <x:f>IF(AND((AW38+AW45)&gt;0,$B$5=1,AW$3&lt;EDATE($B$8,'Вводные'!$H$91)),(AW38+AW45)*AW41/12,0)</x:f>
      </x:c>
      <x:c r="AX42" s="117">
        <x:f>IF(AND((AX38+AX45)&gt;0,$B$5=1,AX$3&lt;EDATE($B$8,'Вводные'!$H$91)),(AX38+AX45)*AX41/12,0)</x:f>
      </x:c>
      <x:c r="AY42" s="117">
        <x:f>IF(AND((AY38+AY45)&gt;0,$B$5=1,AY$3&lt;EDATE($B$8,'Вводные'!$H$91)),(AY38+AY45)*AY41/12,0)</x:f>
      </x:c>
      <x:c r="AZ42" s="117">
        <x:f>IF(AND((AZ38+AZ45)&gt;0,$B$5=1,AZ$3&lt;EDATE($B$8,'Вводные'!$H$91)),(AZ38+AZ45)*AZ41/12,0)</x:f>
      </x:c>
      <x:c r="BA42" s="117">
        <x:f>IF(AND((BA38+BA45)&gt;0,$B$5=1,BA$3&lt;EDATE($B$8,'Вводные'!$H$91)),(BA38+BA45)*BA41/12,0)</x:f>
      </x:c>
      <x:c r="BB42" s="117">
        <x:f>IF(AND((BB38+BB45)&gt;0,$B$5=1,BB$3&lt;EDATE($B$8,'Вводные'!$H$91)),(BB38+BB45)*BB41/12,0)</x:f>
      </x:c>
      <x:c r="BC42" s="117">
        <x:f>IF(AND((BC38+BC45)&gt;0,$B$5=1,BC$3&lt;EDATE($B$8,'Вводные'!$H$91)),(BC38+BC45)*BC41/12,0)</x:f>
      </x:c>
      <x:c r="BD42" s="117">
        <x:f>IF(AND((BD38+BD45)&gt;0,$B$5=1,BD$3&lt;EDATE($B$8,'Вводные'!$H$91)),(BD38+BD45)*BD41/12,0)</x:f>
      </x:c>
      <x:c r="BE42" s="117">
        <x:f>IF(AND((BE38+BE45)&gt;0,$B$5=1,BE$3&lt;EDATE($B$8,'Вводные'!$H$91)),(BE38+BE45)*BE41/12,0)</x:f>
      </x:c>
      <x:c r="BF42" s="117">
        <x:f>IF(AND((BF38+BF45)&gt;0,$B$5=1,BF$3&lt;EDATE($B$8,'Вводные'!$H$91)),(BF38+BF45)*BF41/12,0)</x:f>
      </x:c>
      <x:c r="BG42" s="117">
        <x:f>IF(AND((BG38+BG45)&gt;0,$B$5=1,BG$3&lt;EDATE($B$8,'Вводные'!$H$91)),(BG38+BG45)*BG41/12,0)</x:f>
      </x:c>
      <x:c r="BH42" s="117">
        <x:f>IF(AND((BH38+BH45)&gt;0,$B$5=1,BH$3&lt;EDATE($B$8,'Вводные'!$H$91)),(BH38+BH45)*BH41/12,0)</x:f>
      </x:c>
      <x:c r="BI42" s="117">
        <x:f>IF(AND((BI38+BI45)&gt;0,$B$5=1,BI$3&lt;EDATE($B$8,'Вводные'!$H$91)),(BI38+BI45)*BI41/12,0)</x:f>
      </x:c>
      <x:c r="BJ42" s="117">
        <x:f>IF(AND((BJ38+BJ45)&gt;0,$B$5=1,BJ$3&lt;EDATE($B$8,'Вводные'!$H$91)),(BJ38+BJ45)*BJ41/12,0)</x:f>
      </x:c>
      <x:c r="BK42" s="117">
        <x:f>IF(AND((BK38+BK45)&gt;0,$B$5=1,BK$3&lt;EDATE($B$8,'Вводные'!$H$91)),(BK38+BK45)*BK41/12,0)</x:f>
      </x:c>
      <x:c r="BL42" s="117">
        <x:f>IF(AND((BL38+BL45)&gt;0,$B$5=1,BL$3&lt;EDATE($B$8,'Вводные'!$H$91)),(BL38+BL45)*BL41/12,0)</x:f>
      </x:c>
      <x:c r="BM42" s="117">
        <x:f>IF(AND((BM38+BM45)&gt;0,$B$5=1,BM$3&lt;EDATE($B$8,'Вводные'!$H$91)),(BM38+BM45)*BM41/12,0)</x:f>
      </x:c>
      <x:c r="BN42" s="117">
        <x:f>IF(AND((BN38+BN45)&gt;0,$B$5=1,BN$3&lt;EDATE($B$8,'Вводные'!$H$91)),(BN38+BN45)*BN41/12,0)</x:f>
      </x:c>
      <x:c r="BO42" s="117">
        <x:f>IF(AND((BO38+BO45)&gt;0,$B$5=1,BO$3&lt;EDATE($B$8,'Вводные'!$H$91)),(BO38+BO45)*BO41/12,0)</x:f>
      </x:c>
      <x:c r="BP42" s="117">
        <x:f>IF(AND((BP38+BP45)&gt;0,$B$5=1,BP$3&lt;EDATE($B$8,'Вводные'!$H$91)),(BP38+BP45)*BP41/12,0)</x:f>
      </x:c>
      <x:c r="BQ42" s="117">
        <x:f>IF(AND((BQ38+BQ45)&gt;0,$B$5=1,BQ$3&lt;EDATE($B$8,'Вводные'!$H$91)),(BQ38+BQ45)*BQ41/12,0)</x:f>
      </x:c>
      <x:c r="BR42" s="117">
        <x:f>IF(AND((BR38+BR45)&gt;0,$B$5=1,BR$3&lt;EDATE($B$8,'Вводные'!$H$91)),(BR38+BR45)*BR41/12,0)</x:f>
      </x:c>
      <x:c r="BS42" s="117">
        <x:f>IF(AND((BS38+BS45)&gt;0,$B$5=1,BS$3&lt;EDATE($B$8,'Вводные'!$H$91)),(BS38+BS45)*BS41/12,0)</x:f>
      </x:c>
      <x:c r="BT42" s="117">
        <x:f>IF(AND((BT38+BT45)&gt;0,$B$5=1,BT$3&lt;EDATE($B$8,'Вводные'!$H$91)),(BT38+BT45)*BT41/12,0)</x:f>
      </x:c>
      <x:c r="BU42" s="117">
        <x:f>IF(AND((BU38+BU45)&gt;0,$B$5=1,BU$3&lt;EDATE($B$8,'Вводные'!$H$91)),(BU38+BU45)*BU41/12,0)</x:f>
      </x:c>
      <x:c r="BV42" s="117">
        <x:f>IF(AND((BV38+BV45)&gt;0,$B$5=1,BV$3&lt;EDATE($B$8,'Вводные'!$H$91)),(BV38+BV45)*BV41/12,0)</x:f>
      </x:c>
      <x:c r="BW42" s="117">
        <x:f>IF(AND((BW38+BW45)&gt;0,$B$5=1,BW$3&lt;EDATE($B$8,'Вводные'!$H$91)),(BW38+BW45)*BW41/12,0)</x:f>
      </x:c>
      <x:c r="BX42" s="117">
        <x:f>IF(AND((BX38+BX45)&gt;0,$B$5=1,BX$3&lt;EDATE($B$8,'Вводные'!$H$91)),(BX38+BX45)*BX41/12,0)</x:f>
      </x:c>
      <x:c r="BY42" s="117">
        <x:f>IF(AND((BY38+BY45)&gt;0,$B$5=1,BY$3&lt;EDATE($B$8,'Вводные'!$H$91)),(BY38+BY45)*BY41/12,0)</x:f>
      </x:c>
      <x:c r="BZ42" s="117">
        <x:f>IF(AND((BZ38+BZ45)&gt;0,$B$5=1,BZ$3&lt;EDATE($B$8,'Вводные'!$H$91)),(BZ38+BZ45)*BZ41/12,0)</x:f>
      </x:c>
      <x:c r="CA42" s="117">
        <x:f>IF(AND((CA38+CA45)&gt;0,$B$5=1,CA$3&lt;EDATE($B$8,'Вводные'!$H$91)),(CA38+CA45)*CA41/12,0)</x:f>
      </x:c>
      <x:c r="CB42" s="117">
        <x:f>IF(AND((CB38+CB45)&gt;0,$B$5=1,CB$3&lt;EDATE($B$8,'Вводные'!$H$91)),(CB38+CB45)*CB41/12,0)</x:f>
      </x:c>
      <x:c r="CC42" s="117">
        <x:f>IF(AND((CC38+CC45)&gt;0,$B$5=1,CC$3&lt;EDATE($B$8,'Вводные'!$H$91)),(CC38+CC45)*CC41/12,0)</x:f>
      </x:c>
      <x:c r="CD42" s="117">
        <x:f>IF(AND((CD38+CD45)&gt;0,$B$5=1,CD$3&lt;EDATE($B$8,'Вводные'!$H$91)),(CD38+CD45)*CD41/12,0)</x:f>
      </x:c>
      <x:c r="CE42" s="117">
        <x:f>IF(AND((CE38+CE45)&gt;0,$B$5=1,CE$3&lt;EDATE($B$8,'Вводные'!$H$91)),(CE38+CE45)*CE41/12,0)</x:f>
      </x:c>
      <x:c r="CF42" s="117">
        <x:f>IF(AND((CF38+CF45)&gt;0,$B$5=1,CF$3&lt;EDATE($B$8,'Вводные'!$H$91)),(CF38+CF45)*CF41/12,0)</x:f>
      </x:c>
      <x:c r="CG42" s="117">
        <x:f>IF(AND((CG38+CG45)&gt;0,$B$5=1,CG$3&lt;EDATE($B$8,'Вводные'!$H$91)),(CG38+CG45)*CG41/12,0)</x:f>
      </x:c>
      <x:c r="CH42" s="117">
        <x:f>IF(AND((CH38+CH45)&gt;0,$B$5=1,CH$3&lt;EDATE($B$8,'Вводные'!$H$91)),(CH38+CH45)*CH41/12,0)</x:f>
      </x:c>
      <x:c r="CI42" s="117">
        <x:f>IF(AND((CI38+CI45)&gt;0,$B$5=1,CI$3&lt;EDATE($B$8,'Вводные'!$H$91)),(CI38+CI45)*CI41/12,0)</x:f>
      </x:c>
      <x:c r="CJ42" s="117">
        <x:f>IF(AND((CJ38+CJ45)&gt;0,$B$5=1,CJ$3&lt;EDATE($B$8,'Вводные'!$H$91)),(CJ38+CJ45)*CJ41/12,0)</x:f>
      </x:c>
      <x:c r="CK42" s="117">
        <x:f>IF(AND((CK38+CK45)&gt;0,$B$5=1,CK$3&lt;EDATE($B$8,'Вводные'!$H$91)),(CK38+CK45)*CK41/12,0)</x:f>
      </x:c>
      <x:c r="CL42" s="117">
        <x:f>IF(AND((CL38+CL45)&gt;0,$B$5=1,CL$3&lt;EDATE($B$8,'Вводные'!$H$91)),(CL38+CL45)*CL41/12,0)</x:f>
      </x:c>
      <x:c r="CM42" s="117">
        <x:f>IF(AND((CM38+CM45)&gt;0,$B$5=1,CM$3&lt;EDATE($B$8,'Вводные'!$H$91)),(CM38+CM45)*CM41/12,0)</x:f>
      </x:c>
      <x:c r="CN42" s="117">
        <x:f>IF(AND((CN38+CN45)&gt;0,$B$5=1,CN$3&lt;EDATE($B$8,'Вводные'!$H$91)),(CN38+CN45)*CN41/12,0)</x:f>
      </x:c>
      <x:c r="CO42" s="117">
        <x:f>IF(AND((CO38+CO45)&gt;0,$B$5=1,CO$3&lt;EDATE($B$8,'Вводные'!$H$91)),(CO38+CO45)*CO41/12,0)</x:f>
      </x:c>
      <x:c r="CP42" s="117">
        <x:f>IF(AND((CP38+CP45)&gt;0,$B$5=1,CP$3&lt;EDATE($B$8,'Вводные'!$H$91)),(CP38+CP45)*CP41/12,0)</x:f>
      </x:c>
      <x:c r="CQ42" s="117">
        <x:f>IF(AND((CQ38+CQ45)&gt;0,$B$5=1,CQ$3&lt;EDATE($B$8,'Вводные'!$H$91)),(CQ38+CQ45)*CQ41/12,0)</x:f>
      </x:c>
      <x:c r="CR42" s="117">
        <x:f>IF(AND((CR38+CR45)&gt;0,$B$5=1,CR$3&lt;EDATE($B$8,'Вводные'!$H$91)),(CR38+CR45)*CR41/12,0)</x:f>
      </x:c>
      <x:c r="CS42" s="117">
        <x:f>IF(AND((CS38+CS45)&gt;0,$B$5=1,CS$3&lt;EDATE($B$8,'Вводные'!$H$91)),(CS38+CS45)*CS41/12,0)</x:f>
      </x:c>
      <x:c r="CT42" s="117">
        <x:f>IF(AND((CT38+CT45)&gt;0,$B$5=1,CT$3&lt;EDATE($B$8,'Вводные'!$H$91)),(CT38+CT45)*CT41/12,0)</x:f>
      </x:c>
      <x:c r="CU42" s="117">
        <x:f>IF(AND((CU38+CU45)&gt;0,$B$5=1,CU$3&lt;EDATE($B$8,'Вводные'!$H$91)),(CU38+CU45)*CU41/12,0)</x:f>
      </x:c>
      <x:c r="CV42" s="117">
        <x:f>IF(AND((CV38+CV45)&gt;0,$B$5=1,CV$3&lt;EDATE($B$8,'Вводные'!$H$91)),(CV38+CV45)*CV41/12,0)</x:f>
      </x:c>
      <x:c r="CW42" s="117">
        <x:f>IF(AND((CW38+CW45)&gt;0,$B$5=1,CW$3&lt;EDATE($B$8,'Вводные'!$H$91)),(CW38+CW45)*CW41/12,0)</x:f>
      </x:c>
      <x:c r="CX42" s="117">
        <x:f>IF(AND((CX38+CX45)&gt;0,$B$5=1,CX$3&lt;EDATE($B$8,'Вводные'!$H$91)),(CX38+CX45)*CX41/12,0)</x:f>
      </x:c>
      <x:c r="CY42" s="117">
        <x:f>IF(AND((CY38+CY45)&gt;0,$B$5=1,CY$3&lt;EDATE($B$8,'Вводные'!$H$91)),(CY38+CY45)*CY41/12,0)</x:f>
      </x:c>
      <x:c r="CZ42" s="117">
        <x:f>IF(AND((CZ38+CZ45)&gt;0,$B$5=1,CZ$3&lt;EDATE($B$8,'Вводные'!$H$91)),(CZ38+CZ45)*CZ41/12,0)</x:f>
      </x:c>
      <x:c r="DA42" s="117">
        <x:f>IF(AND((DA38+DA45)&gt;0,$B$5=1,DA$3&lt;EDATE($B$8,'Вводные'!$H$91)),(DA38+DA45)*DA41/12,0)</x:f>
      </x:c>
      <x:c r="DB42" s="117">
        <x:f>IF(AND((DB38+DB45)&gt;0,$B$5=1,DB$3&lt;EDATE($B$8,'Вводные'!$H$91)),(DB38+DB45)*DB41/12,0)</x:f>
      </x:c>
      <x:c r="DC42" s="117">
        <x:f>IF(AND((DC38+DC45)&gt;0,$B$5=1,DC$3&lt;EDATE($B$8,'Вводные'!$H$91)),(DC38+DC45)*DC41/12,0)</x:f>
      </x:c>
      <x:c r="DD42" s="117">
        <x:f>IF(AND((DD38+DD45)&gt;0,$B$5=1,DD$3&lt;EDATE($B$8,'Вводные'!$H$91)),(DD38+DD45)*DD41/12,0)</x:f>
      </x:c>
      <x:c r="DE42" s="117">
        <x:f>IF(AND((DE38+DE45)&gt;0,$B$5=1,DE$3&lt;EDATE($B$8,'Вводные'!$H$91)),(DE38+DE45)*DE41/12,0)</x:f>
      </x:c>
      <x:c r="DF42" s="117">
        <x:f>IF(AND((DF38+DF45)&gt;0,$B$5=1,DF$3&lt;EDATE($B$8,'Вводные'!$H$91)),(DF38+DF45)*DF41/12,0)</x:f>
      </x:c>
      <x:c r="DG42" s="117">
        <x:f>IF(AND((DG38+DG45)&gt;0,$B$5=1,DG$3&lt;EDATE($B$8,'Вводные'!$H$91)),(DG38+DG45)*DG41/12,0)</x:f>
      </x:c>
      <x:c r="DH42" s="117">
        <x:f>IF(AND((DH38+DH45)&gt;0,$B$5=1,DH$3&lt;EDATE($B$8,'Вводные'!$H$91)),(DH38+DH45)*DH41/12,0)</x:f>
      </x:c>
      <x:c r="DI42" s="117">
        <x:f>IF(AND((DI38+DI45)&gt;0,$B$5=1,DI$3&lt;EDATE($B$8,'Вводные'!$H$91)),(DI38+DI45)*DI41/12,0)</x:f>
      </x:c>
      <x:c r="DJ42" s="117">
        <x:f>IF(AND((DJ38+DJ45)&gt;0,$B$5=1,DJ$3&lt;EDATE($B$8,'Вводные'!$H$91)),(DJ38+DJ45)*DJ41/12,0)</x:f>
      </x:c>
      <x:c r="DK42" s="117">
        <x:f>IF(AND((DK38+DK45)&gt;0,$B$5=1,DK$3&lt;EDATE($B$8,'Вводные'!$H$91)),(DK38+DK45)*DK41/12,0)</x:f>
      </x:c>
      <x:c r="DL42" s="117">
        <x:f>IF(AND((DL38+DL45)&gt;0,$B$5=1,DL$3&lt;EDATE($B$8,'Вводные'!$H$91)),(DL38+DL45)*DL41/12,0)</x:f>
      </x:c>
      <x:c r="DM42" s="117">
        <x:f>IF(AND((DM38+DM45)&gt;0,$B$5=1,DM$3&lt;EDATE($B$8,'Вводные'!$H$91)),(DM38+DM45)*DM41/12,0)</x:f>
      </x:c>
      <x:c r="DN42" s="117">
        <x:f>IF(AND((DN38+DN45)&gt;0,$B$5=1,DN$3&lt;EDATE($B$8,'Вводные'!$H$91)),(DN38+DN45)*DN41/12,0)</x:f>
      </x:c>
      <x:c r="DO42" s="117">
        <x:f>IF(AND((DO38+DO45)&gt;0,$B$5=1,DO$3&lt;EDATE($B$8,'Вводные'!$H$91)),(DO38+DO45)*DO41/12,0)</x:f>
      </x:c>
      <x:c r="DP42" s="117">
        <x:f>IF(AND((DP38+DP45)&gt;0,$B$5=1,DP$3&lt;EDATE($B$8,'Вводные'!$H$91)),(DP38+DP45)*DP41/12,0)</x:f>
      </x:c>
      <x:c r="DQ42" s="117">
        <x:f>IF(AND((DQ38+DQ45)&gt;0,$B$5=1,DQ$3&lt;EDATE($B$8,'Вводные'!$H$91)),(DQ38+DQ45)*DQ41/12,0)</x:f>
      </x:c>
      <x:c r="DR42" s="117">
        <x:f>IF(AND((DR38+DR45)&gt;0,$B$5=1,DR$3&lt;EDATE($B$8,'Вводные'!$H$91)),(DR38+DR45)*DR41/12,0)</x:f>
      </x:c>
      <x:c r="DS42" s="117">
        <x:f>IF(AND((DS38+DS45)&gt;0,$B$5=1,DS$3&lt;EDATE($B$8,'Вводные'!$H$91)),(DS38+DS45)*DS41/12,0)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IF(AND(D$3&gt;=$B$7,D$3&lt;$B$8),MAX(0,'Вводные'!$B$26*'Вводные'!$V$91-(D38+D45))*'Вводные'!$B$29/12,0)</x:f>
      </x:c>
      <x:c r="E43" s="117">
        <x:f>IF(AND(E$3&gt;=$B$7,E$3&lt;$B$8),MAX(0,'Вводные'!$B$26*'Вводные'!$V$91-(E38+E45))*'Вводные'!$B$29/12,0)</x:f>
      </x:c>
      <x:c r="F43" s="117">
        <x:f>IF(AND(F$3&gt;=$B$7,F$3&lt;$B$8),MAX(0,'Вводные'!$B$26*'Вводные'!$V$91-(F38+F45))*'Вводные'!$B$29/12,0)</x:f>
      </x:c>
      <x:c r="G43" s="117">
        <x:f>IF(AND(G$3&gt;=$B$7,G$3&lt;$B$8),MAX(0,'Вводные'!$B$26*'Вводные'!$V$91-(G38+G45))*'Вводные'!$B$29/12,0)</x:f>
      </x:c>
      <x:c r="H43" s="117">
        <x:f>IF(AND(H$3&gt;=$B$7,H$3&lt;$B$8),MAX(0,'Вводные'!$B$26*'Вводные'!$V$91-(H38+H45))*'Вводные'!$B$29/12,0)</x:f>
      </x:c>
      <x:c r="I43" s="117">
        <x:f>IF(AND(I$3&gt;=$B$7,I$3&lt;$B$8),MAX(0,'Вводные'!$B$26*'Вводные'!$V$91-(I38+I45))*'Вводные'!$B$29/12,0)</x:f>
      </x:c>
      <x:c r="J43" s="117">
        <x:f>IF(AND(J$3&gt;=$B$7,J$3&lt;$B$8),MAX(0,'Вводные'!$B$26*'Вводные'!$V$91-(J38+J45))*'Вводные'!$B$29/12,0)</x:f>
      </x:c>
      <x:c r="K43" s="117">
        <x:f>IF(AND(K$3&gt;=$B$7,K$3&lt;$B$8),MAX(0,'Вводные'!$B$26*'Вводные'!$V$91-(K38+K45))*'Вводные'!$B$29/12,0)</x:f>
      </x:c>
      <x:c r="L43" s="117">
        <x:f>IF(AND(L$3&gt;=$B$7,L$3&lt;$B$8),MAX(0,'Вводные'!$B$26*'Вводные'!$V$91-(L38+L45))*'Вводные'!$B$29/12,0)</x:f>
      </x:c>
      <x:c r="M43" s="117">
        <x:f>IF(AND(M$3&gt;=$B$7,M$3&lt;$B$8),MAX(0,'Вводные'!$B$26*'Вводные'!$V$91-(M38+M45))*'Вводные'!$B$29/12,0)</x:f>
      </x:c>
      <x:c r="N43" s="117">
        <x:f>IF(AND(N$3&gt;=$B$7,N$3&lt;$B$8),MAX(0,'Вводные'!$B$26*'Вводные'!$V$91-(N38+N45))*'Вводные'!$B$29/12,0)</x:f>
      </x:c>
      <x:c r="O43" s="117">
        <x:f>IF(AND(O$3&gt;=$B$7,O$3&lt;$B$8),MAX(0,'Вводные'!$B$26*'Вводные'!$V$91-(O38+O45))*'Вводные'!$B$29/12,0)</x:f>
      </x:c>
      <x:c r="P43" s="117">
        <x:f>IF(AND(P$3&gt;=$B$7,P$3&lt;$B$8),MAX(0,'Вводные'!$B$26*'Вводные'!$V$91-(P38+P45))*'Вводные'!$B$29/12,0)</x:f>
      </x:c>
      <x:c r="Q43" s="117">
        <x:f>IF(AND(Q$3&gt;=$B$7,Q$3&lt;$B$8),MAX(0,'Вводные'!$B$26*'Вводные'!$V$91-(Q38+Q45))*'Вводные'!$B$29/12,0)</x:f>
      </x:c>
      <x:c r="R43" s="117">
        <x:f>IF(AND(R$3&gt;=$B$7,R$3&lt;$B$8),MAX(0,'Вводные'!$B$26*'Вводные'!$V$91-(R38+R45))*'Вводные'!$B$29/12,0)</x:f>
      </x:c>
      <x:c r="S43" s="117">
        <x:f>IF(AND(S$3&gt;=$B$7,S$3&lt;$B$8),MAX(0,'Вводные'!$B$26*'Вводные'!$V$91-(S38+S45))*'Вводные'!$B$29/12,0)</x:f>
      </x:c>
      <x:c r="T43" s="117">
        <x:f>IF(AND(T$3&gt;=$B$7,T$3&lt;$B$8),MAX(0,'Вводные'!$B$26*'Вводные'!$V$91-(T38+T45))*'Вводные'!$B$29/12,0)</x:f>
      </x:c>
      <x:c r="U43" s="117">
        <x:f>IF(AND(U$3&gt;=$B$7,U$3&lt;$B$8),MAX(0,'Вводные'!$B$26*'Вводные'!$V$91-(U38+U45))*'Вводные'!$B$29/12,0)</x:f>
      </x:c>
      <x:c r="V43" s="117">
        <x:f>IF(AND(V$3&gt;=$B$7,V$3&lt;$B$8),MAX(0,'Вводные'!$B$26*'Вводные'!$V$91-(V38+V45))*'Вводные'!$B$29/12,0)</x:f>
      </x:c>
      <x:c r="W43" s="117">
        <x:f>IF(AND(W$3&gt;=$B$7,W$3&lt;$B$8),MAX(0,'Вводные'!$B$26*'Вводные'!$V$91-(W38+W45))*'Вводные'!$B$29/12,0)</x:f>
      </x:c>
      <x:c r="X43" s="117">
        <x:f>IF(AND(X$3&gt;=$B$7,X$3&lt;$B$8),MAX(0,'Вводные'!$B$26*'Вводные'!$V$91-(X38+X45))*'Вводные'!$B$29/12,0)</x:f>
      </x:c>
      <x:c r="Y43" s="117">
        <x:f>IF(AND(Y$3&gt;=$B$7,Y$3&lt;$B$8),MAX(0,'Вводные'!$B$26*'Вводные'!$V$91-(Y38+Y45))*'Вводные'!$B$29/12,0)</x:f>
      </x:c>
      <x:c r="Z43" s="117">
        <x:f>IF(AND(Z$3&gt;=$B$7,Z$3&lt;$B$8),MAX(0,'Вводные'!$B$26*'Вводные'!$V$91-(Z38+Z45))*'Вводные'!$B$29/12,0)</x:f>
      </x:c>
      <x:c r="AA43" s="117">
        <x:f>IF(AND(AA$3&gt;=$B$7,AA$3&lt;$B$8),MAX(0,'Вводные'!$B$26*'Вводные'!$V$91-(AA38+AA45))*'Вводные'!$B$29/12,0)</x:f>
      </x:c>
      <x:c r="AB43" s="117">
        <x:f>IF(AND(AB$3&gt;=$B$7,AB$3&lt;$B$8),MAX(0,'Вводные'!$B$26*'Вводные'!$V$91-(AB38+AB45))*'Вводные'!$B$29/12,0)</x:f>
      </x:c>
      <x:c r="AC43" s="117">
        <x:f>IF(AND(AC$3&gt;=$B$7,AC$3&lt;$B$8),MAX(0,'Вводные'!$B$26*'Вводные'!$V$91-(AC38+AC45))*'Вводные'!$B$29/12,0)</x:f>
      </x:c>
      <x:c r="AD43" s="117">
        <x:f>IF(AND(AD$3&gt;=$B$7,AD$3&lt;$B$8),MAX(0,'Вводные'!$B$26*'Вводные'!$V$91-(AD38+AD45))*'Вводные'!$B$29/12,0)</x:f>
      </x:c>
      <x:c r="AE43" s="117">
        <x:f>IF(AND(AE$3&gt;=$B$7,AE$3&lt;$B$8),MAX(0,'Вводные'!$B$26*'Вводные'!$V$91-(AE38+AE45))*'Вводные'!$B$29/12,0)</x:f>
      </x:c>
      <x:c r="AF43" s="117">
        <x:f>IF(AND(AF$3&gt;=$B$7,AF$3&lt;$B$8),MAX(0,'Вводные'!$B$26*'Вводные'!$V$91-(AF38+AF45))*'Вводные'!$B$29/12,0)</x:f>
      </x:c>
      <x:c r="AG43" s="117">
        <x:f>IF(AND(AG$3&gt;=$B$7,AG$3&lt;$B$8),MAX(0,'Вводные'!$B$26*'Вводные'!$V$91-(AG38+AG45))*'Вводные'!$B$29/12,0)</x:f>
      </x:c>
      <x:c r="AH43" s="117">
        <x:f>IF(AND(AH$3&gt;=$B$7,AH$3&lt;$B$8),MAX(0,'Вводные'!$B$26*'Вводные'!$V$91-(AH38+AH45))*'Вводные'!$B$29/12,0)</x:f>
      </x:c>
      <x:c r="AI43" s="117">
        <x:f>IF(AND(AI$3&gt;=$B$7,AI$3&lt;$B$8),MAX(0,'Вводные'!$B$26*'Вводные'!$V$91-(AI38+AI45))*'Вводные'!$B$29/12,0)</x:f>
      </x:c>
      <x:c r="AJ43" s="117">
        <x:f>IF(AND(AJ$3&gt;=$B$7,AJ$3&lt;$B$8),MAX(0,'Вводные'!$B$26*'Вводные'!$V$91-(AJ38+AJ45))*'Вводные'!$B$29/12,0)</x:f>
      </x:c>
      <x:c r="AK43" s="117">
        <x:f>IF(AND(AK$3&gt;=$B$7,AK$3&lt;$B$8),MAX(0,'Вводные'!$B$26*'Вводные'!$V$91-(AK38+AK45))*'Вводные'!$B$29/12,0)</x:f>
      </x:c>
      <x:c r="AL43" s="117">
        <x:f>IF(AND(AL$3&gt;=$B$7,AL$3&lt;$B$8),MAX(0,'Вводные'!$B$26*'Вводные'!$V$91-(AL38+AL45))*'Вводные'!$B$29/12,0)</x:f>
      </x:c>
      <x:c r="AM43" s="117">
        <x:f>IF(AND(AM$3&gt;=$B$7,AM$3&lt;$B$8),MAX(0,'Вводные'!$B$26*'Вводные'!$V$91-(AM38+AM45))*'Вводные'!$B$29/12,0)</x:f>
      </x:c>
      <x:c r="AN43" s="117">
        <x:f>IF(AND(AN$3&gt;=$B$7,AN$3&lt;$B$8),MAX(0,'Вводные'!$B$26*'Вводные'!$V$91-(AN38+AN45))*'Вводные'!$B$29/12,0)</x:f>
      </x:c>
      <x:c r="AO43" s="117">
        <x:f>IF(AND(AO$3&gt;=$B$7,AO$3&lt;$B$8),MAX(0,'Вводные'!$B$26*'Вводные'!$V$91-(AO38+AO45))*'Вводные'!$B$29/12,0)</x:f>
      </x:c>
      <x:c r="AP43" s="117">
        <x:f>IF(AND(AP$3&gt;=$B$7,AP$3&lt;$B$8),MAX(0,'Вводные'!$B$26*'Вводные'!$V$91-(AP38+AP45))*'Вводные'!$B$29/12,0)</x:f>
      </x:c>
      <x:c r="AQ43" s="117">
        <x:f>IF(AND(AQ$3&gt;=$B$7,AQ$3&lt;$B$8),MAX(0,'Вводные'!$B$26*'Вводные'!$V$91-(AQ38+AQ45))*'Вводные'!$B$29/12,0)</x:f>
      </x:c>
      <x:c r="AR43" s="117">
        <x:f>IF(AND(AR$3&gt;=$B$7,AR$3&lt;$B$8),MAX(0,'Вводные'!$B$26*'Вводные'!$V$91-(AR38+AR45))*'Вводные'!$B$29/12,0)</x:f>
      </x:c>
      <x:c r="AS43" s="117">
        <x:f>IF(AND(AS$3&gt;=$B$7,AS$3&lt;$B$8),MAX(0,'Вводные'!$B$26*'Вводные'!$V$91-(AS38+AS45))*'Вводные'!$B$29/12,0)</x:f>
      </x:c>
      <x:c r="AT43" s="117">
        <x:f>IF(AND(AT$3&gt;=$B$7,AT$3&lt;$B$8),MAX(0,'Вводные'!$B$26*'Вводные'!$V$91-(AT38+AT45))*'Вводные'!$B$29/12,0)</x:f>
      </x:c>
      <x:c r="AU43" s="117">
        <x:f>IF(AND(AU$3&gt;=$B$7,AU$3&lt;$B$8),MAX(0,'Вводные'!$B$26*'Вводные'!$V$91-(AU38+AU45))*'Вводные'!$B$29/12,0)</x:f>
      </x:c>
      <x:c r="AV43" s="117">
        <x:f>IF(AND(AV$3&gt;=$B$7,AV$3&lt;$B$8),MAX(0,'Вводные'!$B$26*'Вводные'!$V$91-(AV38+AV45))*'Вводные'!$B$29/12,0)</x:f>
      </x:c>
      <x:c r="AW43" s="117">
        <x:f>IF(AND(AW$3&gt;=$B$7,AW$3&lt;$B$8),MAX(0,'Вводные'!$B$26*'Вводные'!$V$91-(AW38+AW45))*'Вводные'!$B$29/12,0)</x:f>
      </x:c>
      <x:c r="AX43" s="117">
        <x:f>IF(AND(AX$3&gt;=$B$7,AX$3&lt;$B$8),MAX(0,'Вводные'!$B$26*'Вводные'!$V$91-(AX38+AX45))*'Вводные'!$B$29/12,0)</x:f>
      </x:c>
      <x:c r="AY43" s="117">
        <x:f>IF(AND(AY$3&gt;=$B$7,AY$3&lt;$B$8),MAX(0,'Вводные'!$B$26*'Вводные'!$V$91-(AY38+AY45))*'Вводные'!$B$29/12,0)</x:f>
      </x:c>
      <x:c r="AZ43" s="117">
        <x:f>IF(AND(AZ$3&gt;=$B$7,AZ$3&lt;$B$8),MAX(0,'Вводные'!$B$26*'Вводные'!$V$91-(AZ38+AZ45))*'Вводные'!$B$29/12,0)</x:f>
      </x:c>
      <x:c r="BA43" s="117">
        <x:f>IF(AND(BA$3&gt;=$B$7,BA$3&lt;$B$8),MAX(0,'Вводные'!$B$26*'Вводные'!$V$91-(BA38+BA45))*'Вводные'!$B$29/12,0)</x:f>
      </x:c>
      <x:c r="BB43" s="117">
        <x:f>IF(AND(BB$3&gt;=$B$7,BB$3&lt;$B$8),MAX(0,'Вводные'!$B$26*'Вводные'!$V$91-(BB38+BB45))*'Вводные'!$B$29/12,0)</x:f>
      </x:c>
      <x:c r="BC43" s="117">
        <x:f>IF(AND(BC$3&gt;=$B$7,BC$3&lt;$B$8),MAX(0,'Вводные'!$B$26*'Вводные'!$V$91-(BC38+BC45))*'Вводные'!$B$29/12,0)</x:f>
      </x:c>
      <x:c r="BD43" s="117">
        <x:f>IF(AND(BD$3&gt;=$B$7,BD$3&lt;$B$8),MAX(0,'Вводные'!$B$26*'Вводные'!$V$91-(BD38+BD45))*'Вводные'!$B$29/12,0)</x:f>
      </x:c>
      <x:c r="BE43" s="117">
        <x:f>IF(AND(BE$3&gt;=$B$7,BE$3&lt;$B$8),MAX(0,'Вводные'!$B$26*'Вводные'!$V$91-(BE38+BE45))*'Вводные'!$B$29/12,0)</x:f>
      </x:c>
      <x:c r="BF43" s="117">
        <x:f>IF(AND(BF$3&gt;=$B$7,BF$3&lt;$B$8),MAX(0,'Вводные'!$B$26*'Вводные'!$V$91-(BF38+BF45))*'Вводные'!$B$29/12,0)</x:f>
      </x:c>
      <x:c r="BG43" s="117">
        <x:f>IF(AND(BG$3&gt;=$B$7,BG$3&lt;$B$8),MAX(0,'Вводные'!$B$26*'Вводные'!$V$91-(BG38+BG45))*'Вводные'!$B$29/12,0)</x:f>
      </x:c>
      <x:c r="BH43" s="117">
        <x:f>IF(AND(BH$3&gt;=$B$7,BH$3&lt;$B$8),MAX(0,'Вводные'!$B$26*'Вводные'!$V$91-(BH38+BH45))*'Вводные'!$B$29/12,0)</x:f>
      </x:c>
      <x:c r="BI43" s="117">
        <x:f>IF(AND(BI$3&gt;=$B$7,BI$3&lt;$B$8),MAX(0,'Вводные'!$B$26*'Вводные'!$V$91-(BI38+BI45))*'Вводные'!$B$29/12,0)</x:f>
      </x:c>
      <x:c r="BJ43" s="117">
        <x:f>IF(AND(BJ$3&gt;=$B$7,BJ$3&lt;$B$8),MAX(0,'Вводные'!$B$26*'Вводные'!$V$91-(BJ38+BJ45))*'Вводные'!$B$29/12,0)</x:f>
      </x:c>
      <x:c r="BK43" s="117">
        <x:f>IF(AND(BK$3&gt;=$B$7,BK$3&lt;$B$8),MAX(0,'Вводные'!$B$26*'Вводные'!$V$91-(BK38+BK45))*'Вводные'!$B$29/12,0)</x:f>
      </x:c>
      <x:c r="BL43" s="117">
        <x:f>IF(AND(BL$3&gt;=$B$7,BL$3&lt;$B$8),MAX(0,'Вводные'!$B$26*'Вводные'!$V$91-(BL38+BL45))*'Вводные'!$B$29/12,0)</x:f>
      </x:c>
      <x:c r="BM43" s="117">
        <x:f>IF(AND(BM$3&gt;=$B$7,BM$3&lt;$B$8),MAX(0,'Вводные'!$B$26*'Вводные'!$V$91-(BM38+BM45))*'Вводные'!$B$29/12,0)</x:f>
      </x:c>
      <x:c r="BN43" s="117">
        <x:f>IF(AND(BN$3&gt;=$B$7,BN$3&lt;$B$8),MAX(0,'Вводные'!$B$26*'Вводные'!$V$91-(BN38+BN45))*'Вводные'!$B$29/12,0)</x:f>
      </x:c>
      <x:c r="BO43" s="117">
        <x:f>IF(AND(BO$3&gt;=$B$7,BO$3&lt;$B$8),MAX(0,'Вводные'!$B$26*'Вводные'!$V$91-(BO38+BO45))*'Вводные'!$B$29/12,0)</x:f>
      </x:c>
      <x:c r="BP43" s="117">
        <x:f>IF(AND(BP$3&gt;=$B$7,BP$3&lt;$B$8),MAX(0,'Вводные'!$B$26*'Вводные'!$V$91-(BP38+BP45))*'Вводные'!$B$29/12,0)</x:f>
      </x:c>
      <x:c r="BQ43" s="117">
        <x:f>IF(AND(BQ$3&gt;=$B$7,BQ$3&lt;$B$8),MAX(0,'Вводные'!$B$26*'Вводные'!$V$91-(BQ38+BQ45))*'Вводные'!$B$29/12,0)</x:f>
      </x:c>
      <x:c r="BR43" s="117">
        <x:f>IF(AND(BR$3&gt;=$B$7,BR$3&lt;$B$8),MAX(0,'Вводные'!$B$26*'Вводные'!$V$91-(BR38+BR45))*'Вводные'!$B$29/12,0)</x:f>
      </x:c>
      <x:c r="BS43" s="117">
        <x:f>IF(AND(BS$3&gt;=$B$7,BS$3&lt;$B$8),MAX(0,'Вводные'!$B$26*'Вводные'!$V$91-(BS38+BS45))*'Вводные'!$B$29/12,0)</x:f>
      </x:c>
      <x:c r="BT43" s="117">
        <x:f>IF(AND(BT$3&gt;=$B$7,BT$3&lt;$B$8),MAX(0,'Вводные'!$B$26*'Вводные'!$V$91-(BT38+BT45))*'Вводные'!$B$29/12,0)</x:f>
      </x:c>
      <x:c r="BU43" s="117">
        <x:f>IF(AND(BU$3&gt;=$B$7,BU$3&lt;$B$8),MAX(0,'Вводные'!$B$26*'Вводные'!$V$91-(BU38+BU45))*'Вводные'!$B$29/12,0)</x:f>
      </x:c>
      <x:c r="BV43" s="117">
        <x:f>IF(AND(BV$3&gt;=$B$7,BV$3&lt;$B$8),MAX(0,'Вводные'!$B$26*'Вводные'!$V$91-(BV38+BV45))*'Вводные'!$B$29/12,0)</x:f>
      </x:c>
      <x:c r="BW43" s="117">
        <x:f>IF(AND(BW$3&gt;=$B$7,BW$3&lt;$B$8),MAX(0,'Вводные'!$B$26*'Вводные'!$V$91-(BW38+BW45))*'Вводные'!$B$29/12,0)</x:f>
      </x:c>
      <x:c r="BX43" s="117">
        <x:f>IF(AND(BX$3&gt;=$B$7,BX$3&lt;$B$8),MAX(0,'Вводные'!$B$26*'Вводные'!$V$91-(BX38+BX45))*'Вводные'!$B$29/12,0)</x:f>
      </x:c>
      <x:c r="BY43" s="117">
        <x:f>IF(AND(BY$3&gt;=$B$7,BY$3&lt;$B$8),MAX(0,'Вводные'!$B$26*'Вводные'!$V$91-(BY38+BY45))*'Вводные'!$B$29/12,0)</x:f>
      </x:c>
      <x:c r="BZ43" s="117">
        <x:f>IF(AND(BZ$3&gt;=$B$7,BZ$3&lt;$B$8),MAX(0,'Вводные'!$B$26*'Вводные'!$V$91-(BZ38+BZ45))*'Вводные'!$B$29/12,0)</x:f>
      </x:c>
      <x:c r="CA43" s="117">
        <x:f>IF(AND(CA$3&gt;=$B$7,CA$3&lt;$B$8),MAX(0,'Вводные'!$B$26*'Вводные'!$V$91-(CA38+CA45))*'Вводные'!$B$29/12,0)</x:f>
      </x:c>
      <x:c r="CB43" s="117">
        <x:f>IF(AND(CB$3&gt;=$B$7,CB$3&lt;$B$8),MAX(0,'Вводные'!$B$26*'Вводные'!$V$91-(CB38+CB45))*'Вводные'!$B$29/12,0)</x:f>
      </x:c>
      <x:c r="CC43" s="117">
        <x:f>IF(AND(CC$3&gt;=$B$7,CC$3&lt;$B$8),MAX(0,'Вводные'!$B$26*'Вводные'!$V$91-(CC38+CC45))*'Вводные'!$B$29/12,0)</x:f>
      </x:c>
      <x:c r="CD43" s="117">
        <x:f>IF(AND(CD$3&gt;=$B$7,CD$3&lt;$B$8),MAX(0,'Вводные'!$B$26*'Вводные'!$V$91-(CD38+CD45))*'Вводные'!$B$29/12,0)</x:f>
      </x:c>
      <x:c r="CE43" s="117">
        <x:f>IF(AND(CE$3&gt;=$B$7,CE$3&lt;$B$8),MAX(0,'Вводные'!$B$26*'Вводные'!$V$91-(CE38+CE45))*'Вводные'!$B$29/12,0)</x:f>
      </x:c>
      <x:c r="CF43" s="117">
        <x:f>IF(AND(CF$3&gt;=$B$7,CF$3&lt;$B$8),MAX(0,'Вводные'!$B$26*'Вводные'!$V$91-(CF38+CF45))*'Вводные'!$B$29/12,0)</x:f>
      </x:c>
      <x:c r="CG43" s="117">
        <x:f>IF(AND(CG$3&gt;=$B$7,CG$3&lt;$B$8),MAX(0,'Вводные'!$B$26*'Вводные'!$V$91-(CG38+CG45))*'Вводные'!$B$29/12,0)</x:f>
      </x:c>
      <x:c r="CH43" s="117">
        <x:f>IF(AND(CH$3&gt;=$B$7,CH$3&lt;$B$8),MAX(0,'Вводные'!$B$26*'Вводные'!$V$91-(CH38+CH45))*'Вводные'!$B$29/12,0)</x:f>
      </x:c>
      <x:c r="CI43" s="117">
        <x:f>IF(AND(CI$3&gt;=$B$7,CI$3&lt;$B$8),MAX(0,'Вводные'!$B$26*'Вводные'!$V$91-(CI38+CI45))*'Вводные'!$B$29/12,0)</x:f>
      </x:c>
      <x:c r="CJ43" s="117">
        <x:f>IF(AND(CJ$3&gt;=$B$7,CJ$3&lt;$B$8),MAX(0,'Вводные'!$B$26*'Вводные'!$V$91-(CJ38+CJ45))*'Вводные'!$B$29/12,0)</x:f>
      </x:c>
      <x:c r="CK43" s="117">
        <x:f>IF(AND(CK$3&gt;=$B$7,CK$3&lt;$B$8),MAX(0,'Вводные'!$B$26*'Вводные'!$V$91-(CK38+CK45))*'Вводные'!$B$29/12,0)</x:f>
      </x:c>
      <x:c r="CL43" s="117">
        <x:f>IF(AND(CL$3&gt;=$B$7,CL$3&lt;$B$8),MAX(0,'Вводные'!$B$26*'Вводные'!$V$91-(CL38+CL45))*'Вводные'!$B$29/12,0)</x:f>
      </x:c>
      <x:c r="CM43" s="117">
        <x:f>IF(AND(CM$3&gt;=$B$7,CM$3&lt;$B$8),MAX(0,'Вводные'!$B$26*'Вводные'!$V$91-(CM38+CM45))*'Вводные'!$B$29/12,0)</x:f>
      </x:c>
      <x:c r="CN43" s="117">
        <x:f>IF(AND(CN$3&gt;=$B$7,CN$3&lt;$B$8),MAX(0,'Вводные'!$B$26*'Вводные'!$V$91-(CN38+CN45))*'Вводные'!$B$29/12,0)</x:f>
      </x:c>
      <x:c r="CO43" s="117">
        <x:f>IF(AND(CO$3&gt;=$B$7,CO$3&lt;$B$8),MAX(0,'Вводные'!$B$26*'Вводные'!$V$91-(CO38+CO45))*'Вводные'!$B$29/12,0)</x:f>
      </x:c>
      <x:c r="CP43" s="117">
        <x:f>IF(AND(CP$3&gt;=$B$7,CP$3&lt;$B$8),MAX(0,'Вводные'!$B$26*'Вводные'!$V$91-(CP38+CP45))*'Вводные'!$B$29/12,0)</x:f>
      </x:c>
      <x:c r="CQ43" s="117">
        <x:f>IF(AND(CQ$3&gt;=$B$7,CQ$3&lt;$B$8),MAX(0,'Вводные'!$B$26*'Вводные'!$V$91-(CQ38+CQ45))*'Вводные'!$B$29/12,0)</x:f>
      </x:c>
      <x:c r="CR43" s="117">
        <x:f>IF(AND(CR$3&gt;=$B$7,CR$3&lt;$B$8),MAX(0,'Вводные'!$B$26*'Вводные'!$V$91-(CR38+CR45))*'Вводные'!$B$29/12,0)</x:f>
      </x:c>
      <x:c r="CS43" s="117">
        <x:f>IF(AND(CS$3&gt;=$B$7,CS$3&lt;$B$8),MAX(0,'Вводные'!$B$26*'Вводные'!$V$91-(CS38+CS45))*'Вводные'!$B$29/12,0)</x:f>
      </x:c>
      <x:c r="CT43" s="117">
        <x:f>IF(AND(CT$3&gt;=$B$7,CT$3&lt;$B$8),MAX(0,'Вводные'!$B$26*'Вводные'!$V$91-(CT38+CT45))*'Вводные'!$B$29/12,0)</x:f>
      </x:c>
      <x:c r="CU43" s="117">
        <x:f>IF(AND(CU$3&gt;=$B$7,CU$3&lt;$B$8),MAX(0,'Вводные'!$B$26*'Вводные'!$V$91-(CU38+CU45))*'Вводные'!$B$29/12,0)</x:f>
      </x:c>
      <x:c r="CV43" s="117">
        <x:f>IF(AND(CV$3&gt;=$B$7,CV$3&lt;$B$8),MAX(0,'Вводные'!$B$26*'Вводные'!$V$91-(CV38+CV45))*'Вводные'!$B$29/12,0)</x:f>
      </x:c>
      <x:c r="CW43" s="117">
        <x:f>IF(AND(CW$3&gt;=$B$7,CW$3&lt;$B$8),MAX(0,'Вводные'!$B$26*'Вводные'!$V$91-(CW38+CW45))*'Вводные'!$B$29/12,0)</x:f>
      </x:c>
      <x:c r="CX43" s="117">
        <x:f>IF(AND(CX$3&gt;=$B$7,CX$3&lt;$B$8),MAX(0,'Вводные'!$B$26*'Вводные'!$V$91-(CX38+CX45))*'Вводные'!$B$29/12,0)</x:f>
      </x:c>
      <x:c r="CY43" s="117">
        <x:f>IF(AND(CY$3&gt;=$B$7,CY$3&lt;$B$8),MAX(0,'Вводные'!$B$26*'Вводные'!$V$91-(CY38+CY45))*'Вводные'!$B$29/12,0)</x:f>
      </x:c>
      <x:c r="CZ43" s="117">
        <x:f>IF(AND(CZ$3&gt;=$B$7,CZ$3&lt;$B$8),MAX(0,'Вводные'!$B$26*'Вводные'!$V$91-(CZ38+CZ45))*'Вводные'!$B$29/12,0)</x:f>
      </x:c>
      <x:c r="DA43" s="117">
        <x:f>IF(AND(DA$3&gt;=$B$7,DA$3&lt;$B$8),MAX(0,'Вводные'!$B$26*'Вводные'!$V$91-(DA38+DA45))*'Вводные'!$B$29/12,0)</x:f>
      </x:c>
      <x:c r="DB43" s="117">
        <x:f>IF(AND(DB$3&gt;=$B$7,DB$3&lt;$B$8),MAX(0,'Вводные'!$B$26*'Вводные'!$V$91-(DB38+DB45))*'Вводные'!$B$29/12,0)</x:f>
      </x:c>
      <x:c r="DC43" s="117">
        <x:f>IF(AND(DC$3&gt;=$B$7,DC$3&lt;$B$8),MAX(0,'Вводные'!$B$26*'Вводные'!$V$91-(DC38+DC45))*'Вводные'!$B$29/12,0)</x:f>
      </x:c>
      <x:c r="DD43" s="117">
        <x:f>IF(AND(DD$3&gt;=$B$7,DD$3&lt;$B$8),MAX(0,'Вводные'!$B$26*'Вводные'!$V$91-(DD38+DD45))*'Вводные'!$B$29/12,0)</x:f>
      </x:c>
      <x:c r="DE43" s="117">
        <x:f>IF(AND(DE$3&gt;=$B$7,DE$3&lt;$B$8),MAX(0,'Вводные'!$B$26*'Вводные'!$V$91-(DE38+DE45))*'Вводные'!$B$29/12,0)</x:f>
      </x:c>
      <x:c r="DF43" s="117">
        <x:f>IF(AND(DF$3&gt;=$B$7,DF$3&lt;$B$8),MAX(0,'Вводные'!$B$26*'Вводные'!$V$91-(DF38+DF45))*'Вводные'!$B$29/12,0)</x:f>
      </x:c>
      <x:c r="DG43" s="117">
        <x:f>IF(AND(DG$3&gt;=$B$7,DG$3&lt;$B$8),MAX(0,'Вводные'!$B$26*'Вводные'!$V$91-(DG38+DG45))*'Вводные'!$B$29/12,0)</x:f>
      </x:c>
      <x:c r="DH43" s="117">
        <x:f>IF(AND(DH$3&gt;=$B$7,DH$3&lt;$B$8),MAX(0,'Вводные'!$B$26*'Вводные'!$V$91-(DH38+DH45))*'Вводные'!$B$29/12,0)</x:f>
      </x:c>
      <x:c r="DI43" s="117">
        <x:f>IF(AND(DI$3&gt;=$B$7,DI$3&lt;$B$8),MAX(0,'Вводные'!$B$26*'Вводные'!$V$91-(DI38+DI45))*'Вводные'!$B$29/12,0)</x:f>
      </x:c>
      <x:c r="DJ43" s="117">
        <x:f>IF(AND(DJ$3&gt;=$B$7,DJ$3&lt;$B$8),MAX(0,'Вводные'!$B$26*'Вводные'!$V$91-(DJ38+DJ45))*'Вводные'!$B$29/12,0)</x:f>
      </x:c>
      <x:c r="DK43" s="117">
        <x:f>IF(AND(DK$3&gt;=$B$7,DK$3&lt;$B$8),MAX(0,'Вводные'!$B$26*'Вводные'!$V$91-(DK38+DK45))*'Вводные'!$B$29/12,0)</x:f>
      </x:c>
      <x:c r="DL43" s="117">
        <x:f>IF(AND(DL$3&gt;=$B$7,DL$3&lt;$B$8),MAX(0,'Вводные'!$B$26*'Вводные'!$V$91-(DL38+DL45))*'Вводные'!$B$29/12,0)</x:f>
      </x:c>
      <x:c r="DM43" s="117">
        <x:f>IF(AND(DM$3&gt;=$B$7,DM$3&lt;$B$8),MAX(0,'Вводные'!$B$26*'Вводные'!$V$91-(DM38+DM45))*'Вводные'!$B$29/12,0)</x:f>
      </x:c>
      <x:c r="DN43" s="117">
        <x:f>IF(AND(DN$3&gt;=$B$7,DN$3&lt;$B$8),MAX(0,'Вводные'!$B$26*'Вводные'!$V$91-(DN38+DN45))*'Вводные'!$B$29/12,0)</x:f>
      </x:c>
      <x:c r="DO43" s="117">
        <x:f>IF(AND(DO$3&gt;=$B$7,DO$3&lt;$B$8),MAX(0,'Вводные'!$B$26*'Вводные'!$V$91-(DO38+DO45))*'Вводные'!$B$29/12,0)</x:f>
      </x:c>
      <x:c r="DP43" s="117">
        <x:f>IF(AND(DP$3&gt;=$B$7,DP$3&lt;$B$8),MAX(0,'Вводные'!$B$26*'Вводные'!$V$91-(DP38+DP45))*'Вводные'!$B$29/12,0)</x:f>
      </x:c>
      <x:c r="DQ43" s="117">
        <x:f>IF(AND(DQ$3&gt;=$B$7,DQ$3&lt;$B$8),MAX(0,'Вводные'!$B$26*'Вводные'!$V$91-(DQ38+DQ45))*'Вводные'!$B$29/12,0)</x:f>
      </x:c>
      <x:c r="DR43" s="117">
        <x:f>IF(AND(DR$3&gt;=$B$7,DR$3&lt;$B$8),MAX(0,'Вводные'!$B$26*'Вводные'!$V$91-(DR38+DR45))*'Вводные'!$B$29/12,0)</x:f>
      </x:c>
      <x:c r="DS43" s="117">
        <x:f>IF(AND(DS$3&gt;=$B$7,DS$3&lt;$B$8),MAX(0,'Вводные'!$B$26*'Вводные'!$V$91-(DS38+DS45))*'Вводные'!$B$29/12,0)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IF(AND(YEAR(D$3)=YEAR($B$6),MONTH(D$3)=MONTH($B$6),$B$5=1),('CAPEX'!$B$116+'CAPEX'!$B$119+'CAPEX'!$B$120)*'Вводные'!$B$30,0)+IF(AND(YEAR(D$3)=YEAR($B$7),MONTH(D$3)=MONTH($B$7),$B$5=1),'Вводные'!$B$26*'Вводные'!$V$91*'Вводные'!$B$30,0)</x:f>
      </x:c>
      <x:c r="E57" s="117">
        <x:f>IF(AND(YEAR(E$3)=YEAR($B$6),MONTH(E$3)=MONTH($B$6),$B$5=1),('CAPEX'!$B$116+'CAPEX'!$B$119+'CAPEX'!$B$120)*'Вводные'!$B$30,0)+IF(AND(YEAR(E$3)=YEAR($B$7),MONTH(E$3)=MONTH($B$7),$B$5=1),'Вводные'!$B$26*'Вводные'!$V$91*'Вводные'!$B$30,0)</x:f>
      </x:c>
      <x:c r="F57" s="117">
        <x:f>IF(AND(YEAR(F$3)=YEAR($B$6),MONTH(F$3)=MONTH($B$6),$B$5=1),('CAPEX'!$B$116+'CAPEX'!$B$119+'CAPEX'!$B$120)*'Вводные'!$B$30,0)+IF(AND(YEAR(F$3)=YEAR($B$7),MONTH(F$3)=MONTH($B$7),$B$5=1),'Вводные'!$B$26*'Вводные'!$V$91*'Вводные'!$B$30,0)</x:f>
      </x:c>
      <x:c r="G57" s="117">
        <x:f>IF(AND(YEAR(G$3)=YEAR($B$6),MONTH(G$3)=MONTH($B$6),$B$5=1),('CAPEX'!$B$116+'CAPEX'!$B$119+'CAPEX'!$B$120)*'Вводные'!$B$30,0)+IF(AND(YEAR(G$3)=YEAR($B$7),MONTH(G$3)=MONTH($B$7),$B$5=1),'Вводные'!$B$26*'Вводные'!$V$91*'Вводные'!$B$30,0)</x:f>
      </x:c>
      <x:c r="H57" s="117">
        <x:f>IF(AND(YEAR(H$3)=YEAR($B$6),MONTH(H$3)=MONTH($B$6),$B$5=1),('CAPEX'!$B$116+'CAPEX'!$B$119+'CAPEX'!$B$120)*'Вводные'!$B$30,0)+IF(AND(YEAR(H$3)=YEAR($B$7),MONTH(H$3)=MONTH($B$7),$B$5=1),'Вводные'!$B$26*'Вводные'!$V$91*'Вводные'!$B$30,0)</x:f>
      </x:c>
      <x:c r="I57" s="117">
        <x:f>IF(AND(YEAR(I$3)=YEAR($B$6),MONTH(I$3)=MONTH($B$6),$B$5=1),('CAPEX'!$B$116+'CAPEX'!$B$119+'CAPEX'!$B$120)*'Вводные'!$B$30,0)+IF(AND(YEAR(I$3)=YEAR($B$7),MONTH(I$3)=MONTH($B$7),$B$5=1),'Вводные'!$B$26*'Вводные'!$V$91*'Вводные'!$B$30,0)</x:f>
      </x:c>
      <x:c r="J57" s="117">
        <x:f>IF(AND(YEAR(J$3)=YEAR($B$6),MONTH(J$3)=MONTH($B$6),$B$5=1),('CAPEX'!$B$116+'CAPEX'!$B$119+'CAPEX'!$B$120)*'Вводные'!$B$30,0)+IF(AND(YEAR(J$3)=YEAR($B$7),MONTH(J$3)=MONTH($B$7),$B$5=1),'Вводные'!$B$26*'Вводные'!$V$91*'Вводные'!$B$30,0)</x:f>
      </x:c>
      <x:c r="K57" s="117">
        <x:f>IF(AND(YEAR(K$3)=YEAR($B$6),MONTH(K$3)=MONTH($B$6),$B$5=1),('CAPEX'!$B$116+'CAPEX'!$B$119+'CAPEX'!$B$120)*'Вводные'!$B$30,0)+IF(AND(YEAR(K$3)=YEAR($B$7),MONTH(K$3)=MONTH($B$7),$B$5=1),'Вводные'!$B$26*'Вводные'!$V$91*'Вводные'!$B$30,0)</x:f>
      </x:c>
      <x:c r="L57" s="117">
        <x:f>IF(AND(YEAR(L$3)=YEAR($B$6),MONTH(L$3)=MONTH($B$6),$B$5=1),('CAPEX'!$B$116+'CAPEX'!$B$119+'CAPEX'!$B$120)*'Вводные'!$B$30,0)+IF(AND(YEAR(L$3)=YEAR($B$7),MONTH(L$3)=MONTH($B$7),$B$5=1),'Вводные'!$B$26*'Вводные'!$V$91*'Вводные'!$B$30,0)</x:f>
      </x:c>
      <x:c r="M57" s="117">
        <x:f>IF(AND(YEAR(M$3)=YEAR($B$6),MONTH(M$3)=MONTH($B$6),$B$5=1),('CAPEX'!$B$116+'CAPEX'!$B$119+'CAPEX'!$B$120)*'Вводные'!$B$30,0)+IF(AND(YEAR(M$3)=YEAR($B$7),MONTH(M$3)=MONTH($B$7),$B$5=1),'Вводные'!$B$26*'Вводные'!$V$91*'Вводные'!$B$30,0)</x:f>
      </x:c>
      <x:c r="N57" s="117">
        <x:f>IF(AND(YEAR(N$3)=YEAR($B$6),MONTH(N$3)=MONTH($B$6),$B$5=1),('CAPEX'!$B$116+'CAPEX'!$B$119+'CAPEX'!$B$120)*'Вводные'!$B$30,0)+IF(AND(YEAR(N$3)=YEAR($B$7),MONTH(N$3)=MONTH($B$7),$B$5=1),'Вводные'!$B$26*'Вводные'!$V$91*'Вводные'!$B$30,0)</x:f>
      </x:c>
      <x:c r="O57" s="117">
        <x:f>IF(AND(YEAR(O$3)=YEAR($B$6),MONTH(O$3)=MONTH($B$6),$B$5=1),('CAPEX'!$B$116+'CAPEX'!$B$119+'CAPEX'!$B$120)*'Вводные'!$B$30,0)+IF(AND(YEAR(O$3)=YEAR($B$7),MONTH(O$3)=MONTH($B$7),$B$5=1),'Вводные'!$B$26*'Вводные'!$V$91*'Вводные'!$B$30,0)</x:f>
      </x:c>
      <x:c r="P57" s="117">
        <x:f>IF(AND(YEAR(P$3)=YEAR($B$6),MONTH(P$3)=MONTH($B$6),$B$5=1),('CAPEX'!$B$116+'CAPEX'!$B$119+'CAPEX'!$B$120)*'Вводные'!$B$30,0)+IF(AND(YEAR(P$3)=YEAR($B$7),MONTH(P$3)=MONTH($B$7),$B$5=1),'Вводные'!$B$26*'Вводные'!$V$91*'Вводные'!$B$30,0)</x:f>
      </x:c>
      <x:c r="Q57" s="117">
        <x:f>IF(AND(YEAR(Q$3)=YEAR($B$6),MONTH(Q$3)=MONTH($B$6),$B$5=1),('CAPEX'!$B$116+'CAPEX'!$B$119+'CAPEX'!$B$120)*'Вводные'!$B$30,0)+IF(AND(YEAR(Q$3)=YEAR($B$7),MONTH(Q$3)=MONTH($B$7),$B$5=1),'Вводные'!$B$26*'Вводные'!$V$91*'Вводные'!$B$30,0)</x:f>
      </x:c>
      <x:c r="R57" s="117">
        <x:f>IF(AND(YEAR(R$3)=YEAR($B$6),MONTH(R$3)=MONTH($B$6),$B$5=1),('CAPEX'!$B$116+'CAPEX'!$B$119+'CAPEX'!$B$120)*'Вводные'!$B$30,0)+IF(AND(YEAR(R$3)=YEAR($B$7),MONTH(R$3)=MONTH($B$7),$B$5=1),'Вводные'!$B$26*'Вводные'!$V$91*'Вводные'!$B$30,0)</x:f>
      </x:c>
      <x:c r="S57" s="117">
        <x:f>IF(AND(YEAR(S$3)=YEAR($B$6),MONTH(S$3)=MONTH($B$6),$B$5=1),('CAPEX'!$B$116+'CAPEX'!$B$119+'CAPEX'!$B$120)*'Вводные'!$B$30,0)+IF(AND(YEAR(S$3)=YEAR($B$7),MONTH(S$3)=MONTH($B$7),$B$5=1),'Вводные'!$B$26*'Вводные'!$V$91*'Вводные'!$B$30,0)</x:f>
      </x:c>
      <x:c r="T57" s="117">
        <x:f>IF(AND(YEAR(T$3)=YEAR($B$6),MONTH(T$3)=MONTH($B$6),$B$5=1),('CAPEX'!$B$116+'CAPEX'!$B$119+'CAPEX'!$B$120)*'Вводные'!$B$30,0)+IF(AND(YEAR(T$3)=YEAR($B$7),MONTH(T$3)=MONTH($B$7),$B$5=1),'Вводные'!$B$26*'Вводные'!$V$91*'Вводные'!$B$30,0)</x:f>
      </x:c>
      <x:c r="U57" s="117">
        <x:f>IF(AND(YEAR(U$3)=YEAR($B$6),MONTH(U$3)=MONTH($B$6),$B$5=1),('CAPEX'!$B$116+'CAPEX'!$B$119+'CAPEX'!$B$120)*'Вводные'!$B$30,0)+IF(AND(YEAR(U$3)=YEAR($B$7),MONTH(U$3)=MONTH($B$7),$B$5=1),'Вводные'!$B$26*'Вводные'!$V$91*'Вводные'!$B$30,0)</x:f>
      </x:c>
      <x:c r="V57" s="117">
        <x:f>IF(AND(YEAR(V$3)=YEAR($B$6),MONTH(V$3)=MONTH($B$6),$B$5=1),('CAPEX'!$B$116+'CAPEX'!$B$119+'CAPEX'!$B$120)*'Вводные'!$B$30,0)+IF(AND(YEAR(V$3)=YEAR($B$7),MONTH(V$3)=MONTH($B$7),$B$5=1),'Вводные'!$B$26*'Вводные'!$V$91*'Вводные'!$B$30,0)</x:f>
      </x:c>
      <x:c r="W57" s="117">
        <x:f>IF(AND(YEAR(W$3)=YEAR($B$6),MONTH(W$3)=MONTH($B$6),$B$5=1),('CAPEX'!$B$116+'CAPEX'!$B$119+'CAPEX'!$B$120)*'Вводные'!$B$30,0)+IF(AND(YEAR(W$3)=YEAR($B$7),MONTH(W$3)=MONTH($B$7),$B$5=1),'Вводные'!$B$26*'Вводные'!$V$91*'Вводные'!$B$30,0)</x:f>
      </x:c>
      <x:c r="X57" s="117">
        <x:f>IF(AND(YEAR(X$3)=YEAR($B$6),MONTH(X$3)=MONTH($B$6),$B$5=1),('CAPEX'!$B$116+'CAPEX'!$B$119+'CAPEX'!$B$120)*'Вводные'!$B$30,0)+IF(AND(YEAR(X$3)=YEAR($B$7),MONTH(X$3)=MONTH($B$7),$B$5=1),'Вводные'!$B$26*'Вводные'!$V$91*'Вводные'!$B$30,0)</x:f>
      </x:c>
      <x:c r="Y57" s="117">
        <x:f>IF(AND(YEAR(Y$3)=YEAR($B$6),MONTH(Y$3)=MONTH($B$6),$B$5=1),('CAPEX'!$B$116+'CAPEX'!$B$119+'CAPEX'!$B$120)*'Вводные'!$B$30,0)+IF(AND(YEAR(Y$3)=YEAR($B$7),MONTH(Y$3)=MONTH($B$7),$B$5=1),'Вводные'!$B$26*'Вводные'!$V$91*'Вводные'!$B$30,0)</x:f>
      </x:c>
      <x:c r="Z57" s="117">
        <x:f>IF(AND(YEAR(Z$3)=YEAR($B$6),MONTH(Z$3)=MONTH($B$6),$B$5=1),('CAPEX'!$B$116+'CAPEX'!$B$119+'CAPEX'!$B$120)*'Вводные'!$B$30,0)+IF(AND(YEAR(Z$3)=YEAR($B$7),MONTH(Z$3)=MONTH($B$7),$B$5=1),'Вводные'!$B$26*'Вводные'!$V$91*'Вводные'!$B$30,0)</x:f>
      </x:c>
      <x:c r="AA57" s="117">
        <x:f>IF(AND(YEAR(AA$3)=YEAR($B$6),MONTH(AA$3)=MONTH($B$6),$B$5=1),('CAPEX'!$B$116+'CAPEX'!$B$119+'CAPEX'!$B$120)*'Вводные'!$B$30,0)+IF(AND(YEAR(AA$3)=YEAR($B$7),MONTH(AA$3)=MONTH($B$7),$B$5=1),'Вводные'!$B$26*'Вводные'!$V$91*'Вводные'!$B$30,0)</x:f>
      </x:c>
      <x:c r="AB57" s="117">
        <x:f>IF(AND(YEAR(AB$3)=YEAR($B$6),MONTH(AB$3)=MONTH($B$6),$B$5=1),('CAPEX'!$B$116+'CAPEX'!$B$119+'CAPEX'!$B$120)*'Вводные'!$B$30,0)+IF(AND(YEAR(AB$3)=YEAR($B$7),MONTH(AB$3)=MONTH($B$7),$B$5=1),'Вводные'!$B$26*'Вводные'!$V$91*'Вводные'!$B$30,0)</x:f>
      </x:c>
      <x:c r="AC57" s="117">
        <x:f>IF(AND(YEAR(AC$3)=YEAR($B$6),MONTH(AC$3)=MONTH($B$6),$B$5=1),('CAPEX'!$B$116+'CAPEX'!$B$119+'CAPEX'!$B$120)*'Вводные'!$B$30,0)+IF(AND(YEAR(AC$3)=YEAR($B$7),MONTH(AC$3)=MONTH($B$7),$B$5=1),'Вводные'!$B$26*'Вводные'!$V$91*'Вводные'!$B$30,0)</x:f>
      </x:c>
      <x:c r="AD57" s="117">
        <x:f>IF(AND(YEAR(AD$3)=YEAR($B$6),MONTH(AD$3)=MONTH($B$6),$B$5=1),('CAPEX'!$B$116+'CAPEX'!$B$119+'CAPEX'!$B$120)*'Вводные'!$B$30,0)+IF(AND(YEAR(AD$3)=YEAR($B$7),MONTH(AD$3)=MONTH($B$7),$B$5=1),'Вводные'!$B$26*'Вводные'!$V$91*'Вводные'!$B$30,0)</x:f>
      </x:c>
      <x:c r="AE57" s="117">
        <x:f>IF(AND(YEAR(AE$3)=YEAR($B$6),MONTH(AE$3)=MONTH($B$6),$B$5=1),('CAPEX'!$B$116+'CAPEX'!$B$119+'CAPEX'!$B$120)*'Вводные'!$B$30,0)+IF(AND(YEAR(AE$3)=YEAR($B$7),MONTH(AE$3)=MONTH($B$7),$B$5=1),'Вводные'!$B$26*'Вводные'!$V$91*'Вводные'!$B$30,0)</x:f>
      </x:c>
      <x:c r="AF57" s="117">
        <x:f>IF(AND(YEAR(AF$3)=YEAR($B$6),MONTH(AF$3)=MONTH($B$6),$B$5=1),('CAPEX'!$B$116+'CAPEX'!$B$119+'CAPEX'!$B$120)*'Вводные'!$B$30,0)+IF(AND(YEAR(AF$3)=YEAR($B$7),MONTH(AF$3)=MONTH($B$7),$B$5=1),'Вводные'!$B$26*'Вводные'!$V$91*'Вводные'!$B$30,0)</x:f>
      </x:c>
      <x:c r="AG57" s="117">
        <x:f>IF(AND(YEAR(AG$3)=YEAR($B$6),MONTH(AG$3)=MONTH($B$6),$B$5=1),('CAPEX'!$B$116+'CAPEX'!$B$119+'CAPEX'!$B$120)*'Вводные'!$B$30,0)+IF(AND(YEAR(AG$3)=YEAR($B$7),MONTH(AG$3)=MONTH($B$7),$B$5=1),'Вводные'!$B$26*'Вводные'!$V$91*'Вводные'!$B$30,0)</x:f>
      </x:c>
      <x:c r="AH57" s="117">
        <x:f>IF(AND(YEAR(AH$3)=YEAR($B$6),MONTH(AH$3)=MONTH($B$6),$B$5=1),('CAPEX'!$B$116+'CAPEX'!$B$119+'CAPEX'!$B$120)*'Вводные'!$B$30,0)+IF(AND(YEAR(AH$3)=YEAR($B$7),MONTH(AH$3)=MONTH($B$7),$B$5=1),'Вводные'!$B$26*'Вводные'!$V$91*'Вводные'!$B$30,0)</x:f>
      </x:c>
      <x:c r="AI57" s="117">
        <x:f>IF(AND(YEAR(AI$3)=YEAR($B$6),MONTH(AI$3)=MONTH($B$6),$B$5=1),('CAPEX'!$B$116+'CAPEX'!$B$119+'CAPEX'!$B$120)*'Вводные'!$B$30,0)+IF(AND(YEAR(AI$3)=YEAR($B$7),MONTH(AI$3)=MONTH($B$7),$B$5=1),'Вводные'!$B$26*'Вводные'!$V$91*'Вводные'!$B$30,0)</x:f>
      </x:c>
      <x:c r="AJ57" s="117">
        <x:f>IF(AND(YEAR(AJ$3)=YEAR($B$6),MONTH(AJ$3)=MONTH($B$6),$B$5=1),('CAPEX'!$B$116+'CAPEX'!$B$119+'CAPEX'!$B$120)*'Вводные'!$B$30,0)+IF(AND(YEAR(AJ$3)=YEAR($B$7),MONTH(AJ$3)=MONTH($B$7),$B$5=1),'Вводные'!$B$26*'Вводные'!$V$91*'Вводные'!$B$30,0)</x:f>
      </x:c>
      <x:c r="AK57" s="117">
        <x:f>IF(AND(YEAR(AK$3)=YEAR($B$6),MONTH(AK$3)=MONTH($B$6),$B$5=1),('CAPEX'!$B$116+'CAPEX'!$B$119+'CAPEX'!$B$120)*'Вводные'!$B$30,0)+IF(AND(YEAR(AK$3)=YEAR($B$7),MONTH(AK$3)=MONTH($B$7),$B$5=1),'Вводные'!$B$26*'Вводные'!$V$91*'Вводные'!$B$30,0)</x:f>
      </x:c>
      <x:c r="AL57" s="117">
        <x:f>IF(AND(YEAR(AL$3)=YEAR($B$6),MONTH(AL$3)=MONTH($B$6),$B$5=1),('CAPEX'!$B$116+'CAPEX'!$B$119+'CAPEX'!$B$120)*'Вводные'!$B$30,0)+IF(AND(YEAR(AL$3)=YEAR($B$7),MONTH(AL$3)=MONTH($B$7),$B$5=1),'Вводные'!$B$26*'Вводные'!$V$91*'Вводные'!$B$30,0)</x:f>
      </x:c>
      <x:c r="AM57" s="117">
        <x:f>IF(AND(YEAR(AM$3)=YEAR($B$6),MONTH(AM$3)=MONTH($B$6),$B$5=1),('CAPEX'!$B$116+'CAPEX'!$B$119+'CAPEX'!$B$120)*'Вводные'!$B$30,0)+IF(AND(YEAR(AM$3)=YEAR($B$7),MONTH(AM$3)=MONTH($B$7),$B$5=1),'Вводные'!$B$26*'Вводные'!$V$91*'Вводные'!$B$30,0)</x:f>
      </x:c>
      <x:c r="AN57" s="117">
        <x:f>IF(AND(YEAR(AN$3)=YEAR($B$6),MONTH(AN$3)=MONTH($B$6),$B$5=1),('CAPEX'!$B$116+'CAPEX'!$B$119+'CAPEX'!$B$120)*'Вводные'!$B$30,0)+IF(AND(YEAR(AN$3)=YEAR($B$7),MONTH(AN$3)=MONTH($B$7),$B$5=1),'Вводные'!$B$26*'Вводные'!$V$91*'Вводные'!$B$30,0)</x:f>
      </x:c>
      <x:c r="AO57" s="117">
        <x:f>IF(AND(YEAR(AO$3)=YEAR($B$6),MONTH(AO$3)=MONTH($B$6),$B$5=1),('CAPEX'!$B$116+'CAPEX'!$B$119+'CAPEX'!$B$120)*'Вводные'!$B$30,0)+IF(AND(YEAR(AO$3)=YEAR($B$7),MONTH(AO$3)=MONTH($B$7),$B$5=1),'Вводные'!$B$26*'Вводные'!$V$91*'Вводные'!$B$30,0)</x:f>
      </x:c>
      <x:c r="AP57" s="117">
        <x:f>IF(AND(YEAR(AP$3)=YEAR($B$6),MONTH(AP$3)=MONTH($B$6),$B$5=1),('CAPEX'!$B$116+'CAPEX'!$B$119+'CAPEX'!$B$120)*'Вводные'!$B$30,0)+IF(AND(YEAR(AP$3)=YEAR($B$7),MONTH(AP$3)=MONTH($B$7),$B$5=1),'Вводные'!$B$26*'Вводные'!$V$91*'Вводные'!$B$30,0)</x:f>
      </x:c>
      <x:c r="AQ57" s="117">
        <x:f>IF(AND(YEAR(AQ$3)=YEAR($B$6),MONTH(AQ$3)=MONTH($B$6),$B$5=1),('CAPEX'!$B$116+'CAPEX'!$B$119+'CAPEX'!$B$120)*'Вводные'!$B$30,0)+IF(AND(YEAR(AQ$3)=YEAR($B$7),MONTH(AQ$3)=MONTH($B$7),$B$5=1),'Вводные'!$B$26*'Вводные'!$V$91*'Вводные'!$B$30,0)</x:f>
      </x:c>
      <x:c r="AR57" s="117">
        <x:f>IF(AND(YEAR(AR$3)=YEAR($B$6),MONTH(AR$3)=MONTH($B$6),$B$5=1),('CAPEX'!$B$116+'CAPEX'!$B$119+'CAPEX'!$B$120)*'Вводные'!$B$30,0)+IF(AND(YEAR(AR$3)=YEAR($B$7),MONTH(AR$3)=MONTH($B$7),$B$5=1),'Вводные'!$B$26*'Вводные'!$V$91*'Вводные'!$B$30,0)</x:f>
      </x:c>
      <x:c r="AS57" s="117">
        <x:f>IF(AND(YEAR(AS$3)=YEAR($B$6),MONTH(AS$3)=MONTH($B$6),$B$5=1),('CAPEX'!$B$116+'CAPEX'!$B$119+'CAPEX'!$B$120)*'Вводные'!$B$30,0)+IF(AND(YEAR(AS$3)=YEAR($B$7),MONTH(AS$3)=MONTH($B$7),$B$5=1),'Вводные'!$B$26*'Вводные'!$V$91*'Вводные'!$B$30,0)</x:f>
      </x:c>
      <x:c r="AT57" s="117">
        <x:f>IF(AND(YEAR(AT$3)=YEAR($B$6),MONTH(AT$3)=MONTH($B$6),$B$5=1),('CAPEX'!$B$116+'CAPEX'!$B$119+'CAPEX'!$B$120)*'Вводные'!$B$30,0)+IF(AND(YEAR(AT$3)=YEAR($B$7),MONTH(AT$3)=MONTH($B$7),$B$5=1),'Вводные'!$B$26*'Вводные'!$V$91*'Вводные'!$B$30,0)</x:f>
      </x:c>
      <x:c r="AU57" s="117">
        <x:f>IF(AND(YEAR(AU$3)=YEAR($B$6),MONTH(AU$3)=MONTH($B$6),$B$5=1),('CAPEX'!$B$116+'CAPEX'!$B$119+'CAPEX'!$B$120)*'Вводные'!$B$30,0)+IF(AND(YEAR(AU$3)=YEAR($B$7),MONTH(AU$3)=MONTH($B$7),$B$5=1),'Вводные'!$B$26*'Вводные'!$V$91*'Вводные'!$B$30,0)</x:f>
      </x:c>
      <x:c r="AV57" s="117">
        <x:f>IF(AND(YEAR(AV$3)=YEAR($B$6),MONTH(AV$3)=MONTH($B$6),$B$5=1),('CAPEX'!$B$116+'CAPEX'!$B$119+'CAPEX'!$B$120)*'Вводные'!$B$30,0)+IF(AND(YEAR(AV$3)=YEAR($B$7),MONTH(AV$3)=MONTH($B$7),$B$5=1),'Вводные'!$B$26*'Вводные'!$V$91*'Вводные'!$B$30,0)</x:f>
      </x:c>
      <x:c r="AW57" s="117">
        <x:f>IF(AND(YEAR(AW$3)=YEAR($B$6),MONTH(AW$3)=MONTH($B$6),$B$5=1),('CAPEX'!$B$116+'CAPEX'!$B$119+'CAPEX'!$B$120)*'Вводные'!$B$30,0)+IF(AND(YEAR(AW$3)=YEAR($B$7),MONTH(AW$3)=MONTH($B$7),$B$5=1),'Вводные'!$B$26*'Вводные'!$V$91*'Вводные'!$B$30,0)</x:f>
      </x:c>
      <x:c r="AX57" s="117">
        <x:f>IF(AND(YEAR(AX$3)=YEAR($B$6),MONTH(AX$3)=MONTH($B$6),$B$5=1),('CAPEX'!$B$116+'CAPEX'!$B$119+'CAPEX'!$B$120)*'Вводные'!$B$30,0)+IF(AND(YEAR(AX$3)=YEAR($B$7),MONTH(AX$3)=MONTH($B$7),$B$5=1),'Вводные'!$B$26*'Вводные'!$V$91*'Вводные'!$B$30,0)</x:f>
      </x:c>
      <x:c r="AY57" s="117">
        <x:f>IF(AND(YEAR(AY$3)=YEAR($B$6),MONTH(AY$3)=MONTH($B$6),$B$5=1),('CAPEX'!$B$116+'CAPEX'!$B$119+'CAPEX'!$B$120)*'Вводные'!$B$30,0)+IF(AND(YEAR(AY$3)=YEAR($B$7),MONTH(AY$3)=MONTH($B$7),$B$5=1),'Вводные'!$B$26*'Вводные'!$V$91*'Вводные'!$B$30,0)</x:f>
      </x:c>
      <x:c r="AZ57" s="117">
        <x:f>IF(AND(YEAR(AZ$3)=YEAR($B$6),MONTH(AZ$3)=MONTH($B$6),$B$5=1),('CAPEX'!$B$116+'CAPEX'!$B$119+'CAPEX'!$B$120)*'Вводные'!$B$30,0)+IF(AND(YEAR(AZ$3)=YEAR($B$7),MONTH(AZ$3)=MONTH($B$7),$B$5=1),'Вводные'!$B$26*'Вводные'!$V$91*'Вводные'!$B$30,0)</x:f>
      </x:c>
      <x:c r="BA57" s="117">
        <x:f>IF(AND(YEAR(BA$3)=YEAR($B$6),MONTH(BA$3)=MONTH($B$6),$B$5=1),('CAPEX'!$B$116+'CAPEX'!$B$119+'CAPEX'!$B$120)*'Вводные'!$B$30,0)+IF(AND(YEAR(BA$3)=YEAR($B$7),MONTH(BA$3)=MONTH($B$7),$B$5=1),'Вводные'!$B$26*'Вводные'!$V$91*'Вводные'!$B$30,0)</x:f>
      </x:c>
      <x:c r="BB57" s="117">
        <x:f>IF(AND(YEAR(BB$3)=YEAR($B$6),MONTH(BB$3)=MONTH($B$6),$B$5=1),('CAPEX'!$B$116+'CAPEX'!$B$119+'CAPEX'!$B$120)*'Вводные'!$B$30,0)+IF(AND(YEAR(BB$3)=YEAR($B$7),MONTH(BB$3)=MONTH($B$7),$B$5=1),'Вводные'!$B$26*'Вводные'!$V$91*'Вводные'!$B$30,0)</x:f>
      </x:c>
      <x:c r="BC57" s="117">
        <x:f>IF(AND(YEAR(BC$3)=YEAR($B$6),MONTH(BC$3)=MONTH($B$6),$B$5=1),('CAPEX'!$B$116+'CAPEX'!$B$119+'CAPEX'!$B$120)*'Вводные'!$B$30,0)+IF(AND(YEAR(BC$3)=YEAR($B$7),MONTH(BC$3)=MONTH($B$7),$B$5=1),'Вводные'!$B$26*'Вводные'!$V$91*'Вводные'!$B$30,0)</x:f>
      </x:c>
      <x:c r="BD57" s="117">
        <x:f>IF(AND(YEAR(BD$3)=YEAR($B$6),MONTH(BD$3)=MONTH($B$6),$B$5=1),('CAPEX'!$B$116+'CAPEX'!$B$119+'CAPEX'!$B$120)*'Вводные'!$B$30,0)+IF(AND(YEAR(BD$3)=YEAR($B$7),MONTH(BD$3)=MONTH($B$7),$B$5=1),'Вводные'!$B$26*'Вводные'!$V$91*'Вводные'!$B$30,0)</x:f>
      </x:c>
      <x:c r="BE57" s="117">
        <x:f>IF(AND(YEAR(BE$3)=YEAR($B$6),MONTH(BE$3)=MONTH($B$6),$B$5=1),('CAPEX'!$B$116+'CAPEX'!$B$119+'CAPEX'!$B$120)*'Вводные'!$B$30,0)+IF(AND(YEAR(BE$3)=YEAR($B$7),MONTH(BE$3)=MONTH($B$7),$B$5=1),'Вводные'!$B$26*'Вводные'!$V$91*'Вводные'!$B$30,0)</x:f>
      </x:c>
      <x:c r="BF57" s="117">
        <x:f>IF(AND(YEAR(BF$3)=YEAR($B$6),MONTH(BF$3)=MONTH($B$6),$B$5=1),('CAPEX'!$B$116+'CAPEX'!$B$119+'CAPEX'!$B$120)*'Вводные'!$B$30,0)+IF(AND(YEAR(BF$3)=YEAR($B$7),MONTH(BF$3)=MONTH($B$7),$B$5=1),'Вводные'!$B$26*'Вводные'!$V$91*'Вводные'!$B$30,0)</x:f>
      </x:c>
      <x:c r="BG57" s="117">
        <x:f>IF(AND(YEAR(BG$3)=YEAR($B$6),MONTH(BG$3)=MONTH($B$6),$B$5=1),('CAPEX'!$B$116+'CAPEX'!$B$119+'CAPEX'!$B$120)*'Вводные'!$B$30,0)+IF(AND(YEAR(BG$3)=YEAR($B$7),MONTH(BG$3)=MONTH($B$7),$B$5=1),'Вводные'!$B$26*'Вводные'!$V$91*'Вводные'!$B$30,0)</x:f>
      </x:c>
      <x:c r="BH57" s="117">
        <x:f>IF(AND(YEAR(BH$3)=YEAR($B$6),MONTH(BH$3)=MONTH($B$6),$B$5=1),('CAPEX'!$B$116+'CAPEX'!$B$119+'CAPEX'!$B$120)*'Вводные'!$B$30,0)+IF(AND(YEAR(BH$3)=YEAR($B$7),MONTH(BH$3)=MONTH($B$7),$B$5=1),'Вводные'!$B$26*'Вводные'!$V$91*'Вводные'!$B$30,0)</x:f>
      </x:c>
      <x:c r="BI57" s="117">
        <x:f>IF(AND(YEAR(BI$3)=YEAR($B$6),MONTH(BI$3)=MONTH($B$6),$B$5=1),('CAPEX'!$B$116+'CAPEX'!$B$119+'CAPEX'!$B$120)*'Вводные'!$B$30,0)+IF(AND(YEAR(BI$3)=YEAR($B$7),MONTH(BI$3)=MONTH($B$7),$B$5=1),'Вводные'!$B$26*'Вводные'!$V$91*'Вводные'!$B$30,0)</x:f>
      </x:c>
      <x:c r="BJ57" s="117">
        <x:f>IF(AND(YEAR(BJ$3)=YEAR($B$6),MONTH(BJ$3)=MONTH($B$6),$B$5=1),('CAPEX'!$B$116+'CAPEX'!$B$119+'CAPEX'!$B$120)*'Вводные'!$B$30,0)+IF(AND(YEAR(BJ$3)=YEAR($B$7),MONTH(BJ$3)=MONTH($B$7),$B$5=1),'Вводные'!$B$26*'Вводные'!$V$91*'Вводные'!$B$30,0)</x:f>
      </x:c>
      <x:c r="BK57" s="117">
        <x:f>IF(AND(YEAR(BK$3)=YEAR($B$6),MONTH(BK$3)=MONTH($B$6),$B$5=1),('CAPEX'!$B$116+'CAPEX'!$B$119+'CAPEX'!$B$120)*'Вводные'!$B$30,0)+IF(AND(YEAR(BK$3)=YEAR($B$7),MONTH(BK$3)=MONTH($B$7),$B$5=1),'Вводные'!$B$26*'Вводные'!$V$91*'Вводные'!$B$30,0)</x:f>
      </x:c>
      <x:c r="BL57" s="117">
        <x:f>IF(AND(YEAR(BL$3)=YEAR($B$6),MONTH(BL$3)=MONTH($B$6),$B$5=1),('CAPEX'!$B$116+'CAPEX'!$B$119+'CAPEX'!$B$120)*'Вводные'!$B$30,0)+IF(AND(YEAR(BL$3)=YEAR($B$7),MONTH(BL$3)=MONTH($B$7),$B$5=1),'Вводные'!$B$26*'Вводные'!$V$91*'Вводные'!$B$30,0)</x:f>
      </x:c>
      <x:c r="BM57" s="117">
        <x:f>IF(AND(YEAR(BM$3)=YEAR($B$6),MONTH(BM$3)=MONTH($B$6),$B$5=1),('CAPEX'!$B$116+'CAPEX'!$B$119+'CAPEX'!$B$120)*'Вводные'!$B$30,0)+IF(AND(YEAR(BM$3)=YEAR($B$7),MONTH(BM$3)=MONTH($B$7),$B$5=1),'Вводные'!$B$26*'Вводные'!$V$91*'Вводные'!$B$30,0)</x:f>
      </x:c>
      <x:c r="BN57" s="117">
        <x:f>IF(AND(YEAR(BN$3)=YEAR($B$6),MONTH(BN$3)=MONTH($B$6),$B$5=1),('CAPEX'!$B$116+'CAPEX'!$B$119+'CAPEX'!$B$120)*'Вводные'!$B$30,0)+IF(AND(YEAR(BN$3)=YEAR($B$7),MONTH(BN$3)=MONTH($B$7),$B$5=1),'Вводные'!$B$26*'Вводные'!$V$91*'Вводные'!$B$30,0)</x:f>
      </x:c>
      <x:c r="BO57" s="117">
        <x:f>IF(AND(YEAR(BO$3)=YEAR($B$6),MONTH(BO$3)=MONTH($B$6),$B$5=1),('CAPEX'!$B$116+'CAPEX'!$B$119+'CAPEX'!$B$120)*'Вводные'!$B$30,0)+IF(AND(YEAR(BO$3)=YEAR($B$7),MONTH(BO$3)=MONTH($B$7),$B$5=1),'Вводные'!$B$26*'Вводные'!$V$91*'Вводные'!$B$30,0)</x:f>
      </x:c>
      <x:c r="BP57" s="117">
        <x:f>IF(AND(YEAR(BP$3)=YEAR($B$6),MONTH(BP$3)=MONTH($B$6),$B$5=1),('CAPEX'!$B$116+'CAPEX'!$B$119+'CAPEX'!$B$120)*'Вводные'!$B$30,0)+IF(AND(YEAR(BP$3)=YEAR($B$7),MONTH(BP$3)=MONTH($B$7),$B$5=1),'Вводные'!$B$26*'Вводные'!$V$91*'Вводные'!$B$30,0)</x:f>
      </x:c>
      <x:c r="BQ57" s="117">
        <x:f>IF(AND(YEAR(BQ$3)=YEAR($B$6),MONTH(BQ$3)=MONTH($B$6),$B$5=1),('CAPEX'!$B$116+'CAPEX'!$B$119+'CAPEX'!$B$120)*'Вводные'!$B$30,0)+IF(AND(YEAR(BQ$3)=YEAR($B$7),MONTH(BQ$3)=MONTH($B$7),$B$5=1),'Вводные'!$B$26*'Вводные'!$V$91*'Вводные'!$B$30,0)</x:f>
      </x:c>
      <x:c r="BR57" s="117">
        <x:f>IF(AND(YEAR(BR$3)=YEAR($B$6),MONTH(BR$3)=MONTH($B$6),$B$5=1),('CAPEX'!$B$116+'CAPEX'!$B$119+'CAPEX'!$B$120)*'Вводные'!$B$30,0)+IF(AND(YEAR(BR$3)=YEAR($B$7),MONTH(BR$3)=MONTH($B$7),$B$5=1),'Вводные'!$B$26*'Вводные'!$V$91*'Вводные'!$B$30,0)</x:f>
      </x:c>
      <x:c r="BS57" s="117">
        <x:f>IF(AND(YEAR(BS$3)=YEAR($B$6),MONTH(BS$3)=MONTH($B$6),$B$5=1),('CAPEX'!$B$116+'CAPEX'!$B$119+'CAPEX'!$B$120)*'Вводные'!$B$30,0)+IF(AND(YEAR(BS$3)=YEAR($B$7),MONTH(BS$3)=MONTH($B$7),$B$5=1),'Вводные'!$B$26*'Вводные'!$V$91*'Вводные'!$B$30,0)</x:f>
      </x:c>
      <x:c r="BT57" s="117">
        <x:f>IF(AND(YEAR(BT$3)=YEAR($B$6),MONTH(BT$3)=MONTH($B$6),$B$5=1),('CAPEX'!$B$116+'CAPEX'!$B$119+'CAPEX'!$B$120)*'Вводные'!$B$30,0)+IF(AND(YEAR(BT$3)=YEAR($B$7),MONTH(BT$3)=MONTH($B$7),$B$5=1),'Вводные'!$B$26*'Вводные'!$V$91*'Вводные'!$B$30,0)</x:f>
      </x:c>
      <x:c r="BU57" s="117">
        <x:f>IF(AND(YEAR(BU$3)=YEAR($B$6),MONTH(BU$3)=MONTH($B$6),$B$5=1),('CAPEX'!$B$116+'CAPEX'!$B$119+'CAPEX'!$B$120)*'Вводные'!$B$30,0)+IF(AND(YEAR(BU$3)=YEAR($B$7),MONTH(BU$3)=MONTH($B$7),$B$5=1),'Вводные'!$B$26*'Вводные'!$V$91*'Вводные'!$B$30,0)</x:f>
      </x:c>
      <x:c r="BV57" s="117">
        <x:f>IF(AND(YEAR(BV$3)=YEAR($B$6),MONTH(BV$3)=MONTH($B$6),$B$5=1),('CAPEX'!$B$116+'CAPEX'!$B$119+'CAPEX'!$B$120)*'Вводные'!$B$30,0)+IF(AND(YEAR(BV$3)=YEAR($B$7),MONTH(BV$3)=MONTH($B$7),$B$5=1),'Вводные'!$B$26*'Вводные'!$V$91*'Вводные'!$B$30,0)</x:f>
      </x:c>
      <x:c r="BW57" s="117">
        <x:f>IF(AND(YEAR(BW$3)=YEAR($B$6),MONTH(BW$3)=MONTH($B$6),$B$5=1),('CAPEX'!$B$116+'CAPEX'!$B$119+'CAPEX'!$B$120)*'Вводные'!$B$30,0)+IF(AND(YEAR(BW$3)=YEAR($B$7),MONTH(BW$3)=MONTH($B$7),$B$5=1),'Вводные'!$B$26*'Вводные'!$V$91*'Вводные'!$B$30,0)</x:f>
      </x:c>
      <x:c r="BX57" s="117">
        <x:f>IF(AND(YEAR(BX$3)=YEAR($B$6),MONTH(BX$3)=MONTH($B$6),$B$5=1),('CAPEX'!$B$116+'CAPEX'!$B$119+'CAPEX'!$B$120)*'Вводные'!$B$30,0)+IF(AND(YEAR(BX$3)=YEAR($B$7),MONTH(BX$3)=MONTH($B$7),$B$5=1),'Вводные'!$B$26*'Вводные'!$V$91*'Вводные'!$B$30,0)</x:f>
      </x:c>
      <x:c r="BY57" s="117">
        <x:f>IF(AND(YEAR(BY$3)=YEAR($B$6),MONTH(BY$3)=MONTH($B$6),$B$5=1),('CAPEX'!$B$116+'CAPEX'!$B$119+'CAPEX'!$B$120)*'Вводные'!$B$30,0)+IF(AND(YEAR(BY$3)=YEAR($B$7),MONTH(BY$3)=MONTH($B$7),$B$5=1),'Вводные'!$B$26*'Вводные'!$V$91*'Вводные'!$B$30,0)</x:f>
      </x:c>
      <x:c r="BZ57" s="117">
        <x:f>IF(AND(YEAR(BZ$3)=YEAR($B$6),MONTH(BZ$3)=MONTH($B$6),$B$5=1),('CAPEX'!$B$116+'CAPEX'!$B$119+'CAPEX'!$B$120)*'Вводные'!$B$30,0)+IF(AND(YEAR(BZ$3)=YEAR($B$7),MONTH(BZ$3)=MONTH($B$7),$B$5=1),'Вводные'!$B$26*'Вводные'!$V$91*'Вводные'!$B$30,0)</x:f>
      </x:c>
      <x:c r="CA57" s="117">
        <x:f>IF(AND(YEAR(CA$3)=YEAR($B$6),MONTH(CA$3)=MONTH($B$6),$B$5=1),('CAPEX'!$B$116+'CAPEX'!$B$119+'CAPEX'!$B$120)*'Вводные'!$B$30,0)+IF(AND(YEAR(CA$3)=YEAR($B$7),MONTH(CA$3)=MONTH($B$7),$B$5=1),'Вводные'!$B$26*'Вводные'!$V$91*'Вводные'!$B$30,0)</x:f>
      </x:c>
      <x:c r="CB57" s="117">
        <x:f>IF(AND(YEAR(CB$3)=YEAR($B$6),MONTH(CB$3)=MONTH($B$6),$B$5=1),('CAPEX'!$B$116+'CAPEX'!$B$119+'CAPEX'!$B$120)*'Вводные'!$B$30,0)+IF(AND(YEAR(CB$3)=YEAR($B$7),MONTH(CB$3)=MONTH($B$7),$B$5=1),'Вводные'!$B$26*'Вводные'!$V$91*'Вводные'!$B$30,0)</x:f>
      </x:c>
      <x:c r="CC57" s="117">
        <x:f>IF(AND(YEAR(CC$3)=YEAR($B$6),MONTH(CC$3)=MONTH($B$6),$B$5=1),('CAPEX'!$B$116+'CAPEX'!$B$119+'CAPEX'!$B$120)*'Вводные'!$B$30,0)+IF(AND(YEAR(CC$3)=YEAR($B$7),MONTH(CC$3)=MONTH($B$7),$B$5=1),'Вводные'!$B$26*'Вводные'!$V$91*'Вводные'!$B$30,0)</x:f>
      </x:c>
      <x:c r="CD57" s="117">
        <x:f>IF(AND(YEAR(CD$3)=YEAR($B$6),MONTH(CD$3)=MONTH($B$6),$B$5=1),('CAPEX'!$B$116+'CAPEX'!$B$119+'CAPEX'!$B$120)*'Вводные'!$B$30,0)+IF(AND(YEAR(CD$3)=YEAR($B$7),MONTH(CD$3)=MONTH($B$7),$B$5=1),'Вводные'!$B$26*'Вводные'!$V$91*'Вводные'!$B$30,0)</x:f>
      </x:c>
      <x:c r="CE57" s="117">
        <x:f>IF(AND(YEAR(CE$3)=YEAR($B$6),MONTH(CE$3)=MONTH($B$6),$B$5=1),('CAPEX'!$B$116+'CAPEX'!$B$119+'CAPEX'!$B$120)*'Вводные'!$B$30,0)+IF(AND(YEAR(CE$3)=YEAR($B$7),MONTH(CE$3)=MONTH($B$7),$B$5=1),'Вводные'!$B$26*'Вводные'!$V$91*'Вводные'!$B$30,0)</x:f>
      </x:c>
      <x:c r="CF57" s="117">
        <x:f>IF(AND(YEAR(CF$3)=YEAR($B$6),MONTH(CF$3)=MONTH($B$6),$B$5=1),('CAPEX'!$B$116+'CAPEX'!$B$119+'CAPEX'!$B$120)*'Вводные'!$B$30,0)+IF(AND(YEAR(CF$3)=YEAR($B$7),MONTH(CF$3)=MONTH($B$7),$B$5=1),'Вводные'!$B$26*'Вводные'!$V$91*'Вводные'!$B$30,0)</x:f>
      </x:c>
      <x:c r="CG57" s="117">
        <x:f>IF(AND(YEAR(CG$3)=YEAR($B$6),MONTH(CG$3)=MONTH($B$6),$B$5=1),('CAPEX'!$B$116+'CAPEX'!$B$119+'CAPEX'!$B$120)*'Вводные'!$B$30,0)+IF(AND(YEAR(CG$3)=YEAR($B$7),MONTH(CG$3)=MONTH($B$7),$B$5=1),'Вводные'!$B$26*'Вводные'!$V$91*'Вводные'!$B$30,0)</x:f>
      </x:c>
      <x:c r="CH57" s="117">
        <x:f>IF(AND(YEAR(CH$3)=YEAR($B$6),MONTH(CH$3)=MONTH($B$6),$B$5=1),('CAPEX'!$B$116+'CAPEX'!$B$119+'CAPEX'!$B$120)*'Вводные'!$B$30,0)+IF(AND(YEAR(CH$3)=YEAR($B$7),MONTH(CH$3)=MONTH($B$7),$B$5=1),'Вводные'!$B$26*'Вводные'!$V$91*'Вводные'!$B$30,0)</x:f>
      </x:c>
      <x:c r="CI57" s="117">
        <x:f>IF(AND(YEAR(CI$3)=YEAR($B$6),MONTH(CI$3)=MONTH($B$6),$B$5=1),('CAPEX'!$B$116+'CAPEX'!$B$119+'CAPEX'!$B$120)*'Вводные'!$B$30,0)+IF(AND(YEAR(CI$3)=YEAR($B$7),MONTH(CI$3)=MONTH($B$7),$B$5=1),'Вводные'!$B$26*'Вводные'!$V$91*'Вводные'!$B$30,0)</x:f>
      </x:c>
      <x:c r="CJ57" s="117">
        <x:f>IF(AND(YEAR(CJ$3)=YEAR($B$6),MONTH(CJ$3)=MONTH($B$6),$B$5=1),('CAPEX'!$B$116+'CAPEX'!$B$119+'CAPEX'!$B$120)*'Вводные'!$B$30,0)+IF(AND(YEAR(CJ$3)=YEAR($B$7),MONTH(CJ$3)=MONTH($B$7),$B$5=1),'Вводные'!$B$26*'Вводные'!$V$91*'Вводные'!$B$30,0)</x:f>
      </x:c>
      <x:c r="CK57" s="117">
        <x:f>IF(AND(YEAR(CK$3)=YEAR($B$6),MONTH(CK$3)=MONTH($B$6),$B$5=1),('CAPEX'!$B$116+'CAPEX'!$B$119+'CAPEX'!$B$120)*'Вводные'!$B$30,0)+IF(AND(YEAR(CK$3)=YEAR($B$7),MONTH(CK$3)=MONTH($B$7),$B$5=1),'Вводные'!$B$26*'Вводные'!$V$91*'Вводные'!$B$30,0)</x:f>
      </x:c>
      <x:c r="CL57" s="117">
        <x:f>IF(AND(YEAR(CL$3)=YEAR($B$6),MONTH(CL$3)=MONTH($B$6),$B$5=1),('CAPEX'!$B$116+'CAPEX'!$B$119+'CAPEX'!$B$120)*'Вводные'!$B$30,0)+IF(AND(YEAR(CL$3)=YEAR($B$7),MONTH(CL$3)=MONTH($B$7),$B$5=1),'Вводные'!$B$26*'Вводные'!$V$91*'Вводные'!$B$30,0)</x:f>
      </x:c>
      <x:c r="CM57" s="117">
        <x:f>IF(AND(YEAR(CM$3)=YEAR($B$6),MONTH(CM$3)=MONTH($B$6),$B$5=1),('CAPEX'!$B$116+'CAPEX'!$B$119+'CAPEX'!$B$120)*'Вводные'!$B$30,0)+IF(AND(YEAR(CM$3)=YEAR($B$7),MONTH(CM$3)=MONTH($B$7),$B$5=1),'Вводные'!$B$26*'Вводные'!$V$91*'Вводные'!$B$30,0)</x:f>
      </x:c>
      <x:c r="CN57" s="117">
        <x:f>IF(AND(YEAR(CN$3)=YEAR($B$6),MONTH(CN$3)=MONTH($B$6),$B$5=1),('CAPEX'!$B$116+'CAPEX'!$B$119+'CAPEX'!$B$120)*'Вводные'!$B$30,0)+IF(AND(YEAR(CN$3)=YEAR($B$7),MONTH(CN$3)=MONTH($B$7),$B$5=1),'Вводные'!$B$26*'Вводные'!$V$91*'Вводные'!$B$30,0)</x:f>
      </x:c>
      <x:c r="CO57" s="117">
        <x:f>IF(AND(YEAR(CO$3)=YEAR($B$6),MONTH(CO$3)=MONTH($B$6),$B$5=1),('CAPEX'!$B$116+'CAPEX'!$B$119+'CAPEX'!$B$120)*'Вводные'!$B$30,0)+IF(AND(YEAR(CO$3)=YEAR($B$7),MONTH(CO$3)=MONTH($B$7),$B$5=1),'Вводные'!$B$26*'Вводные'!$V$91*'Вводные'!$B$30,0)</x:f>
      </x:c>
      <x:c r="CP57" s="117">
        <x:f>IF(AND(YEAR(CP$3)=YEAR($B$6),MONTH(CP$3)=MONTH($B$6),$B$5=1),('CAPEX'!$B$116+'CAPEX'!$B$119+'CAPEX'!$B$120)*'Вводные'!$B$30,0)+IF(AND(YEAR(CP$3)=YEAR($B$7),MONTH(CP$3)=MONTH($B$7),$B$5=1),'Вводные'!$B$26*'Вводные'!$V$91*'Вводные'!$B$30,0)</x:f>
      </x:c>
      <x:c r="CQ57" s="117">
        <x:f>IF(AND(YEAR(CQ$3)=YEAR($B$6),MONTH(CQ$3)=MONTH($B$6),$B$5=1),('CAPEX'!$B$116+'CAPEX'!$B$119+'CAPEX'!$B$120)*'Вводные'!$B$30,0)+IF(AND(YEAR(CQ$3)=YEAR($B$7),MONTH(CQ$3)=MONTH($B$7),$B$5=1),'Вводные'!$B$26*'Вводные'!$V$91*'Вводные'!$B$30,0)</x:f>
      </x:c>
      <x:c r="CR57" s="117">
        <x:f>IF(AND(YEAR(CR$3)=YEAR($B$6),MONTH(CR$3)=MONTH($B$6),$B$5=1),('CAPEX'!$B$116+'CAPEX'!$B$119+'CAPEX'!$B$120)*'Вводные'!$B$30,0)+IF(AND(YEAR(CR$3)=YEAR($B$7),MONTH(CR$3)=MONTH($B$7),$B$5=1),'Вводные'!$B$26*'Вводные'!$V$91*'Вводные'!$B$30,0)</x:f>
      </x:c>
      <x:c r="CS57" s="117">
        <x:f>IF(AND(YEAR(CS$3)=YEAR($B$6),MONTH(CS$3)=MONTH($B$6),$B$5=1),('CAPEX'!$B$116+'CAPEX'!$B$119+'CAPEX'!$B$120)*'Вводные'!$B$30,0)+IF(AND(YEAR(CS$3)=YEAR($B$7),MONTH(CS$3)=MONTH($B$7),$B$5=1),'Вводные'!$B$26*'Вводные'!$V$91*'Вводные'!$B$30,0)</x:f>
      </x:c>
      <x:c r="CT57" s="117">
        <x:f>IF(AND(YEAR(CT$3)=YEAR($B$6),MONTH(CT$3)=MONTH($B$6),$B$5=1),('CAPEX'!$B$116+'CAPEX'!$B$119+'CAPEX'!$B$120)*'Вводные'!$B$30,0)+IF(AND(YEAR(CT$3)=YEAR($B$7),MONTH(CT$3)=MONTH($B$7),$B$5=1),'Вводные'!$B$26*'Вводные'!$V$91*'Вводные'!$B$30,0)</x:f>
      </x:c>
      <x:c r="CU57" s="117">
        <x:f>IF(AND(YEAR(CU$3)=YEAR($B$6),MONTH(CU$3)=MONTH($B$6),$B$5=1),('CAPEX'!$B$116+'CAPEX'!$B$119+'CAPEX'!$B$120)*'Вводные'!$B$30,0)+IF(AND(YEAR(CU$3)=YEAR($B$7),MONTH(CU$3)=MONTH($B$7),$B$5=1),'Вводные'!$B$26*'Вводные'!$V$91*'Вводные'!$B$30,0)</x:f>
      </x:c>
      <x:c r="CV57" s="117">
        <x:f>IF(AND(YEAR(CV$3)=YEAR($B$6),MONTH(CV$3)=MONTH($B$6),$B$5=1),('CAPEX'!$B$116+'CAPEX'!$B$119+'CAPEX'!$B$120)*'Вводные'!$B$30,0)+IF(AND(YEAR(CV$3)=YEAR($B$7),MONTH(CV$3)=MONTH($B$7),$B$5=1),'Вводные'!$B$26*'Вводные'!$V$91*'Вводные'!$B$30,0)</x:f>
      </x:c>
      <x:c r="CW57" s="117">
        <x:f>IF(AND(YEAR(CW$3)=YEAR($B$6),MONTH(CW$3)=MONTH($B$6),$B$5=1),('CAPEX'!$B$116+'CAPEX'!$B$119+'CAPEX'!$B$120)*'Вводные'!$B$30,0)+IF(AND(YEAR(CW$3)=YEAR($B$7),MONTH(CW$3)=MONTH($B$7),$B$5=1),'Вводные'!$B$26*'Вводные'!$V$91*'Вводные'!$B$30,0)</x:f>
      </x:c>
      <x:c r="CX57" s="117">
        <x:f>IF(AND(YEAR(CX$3)=YEAR($B$6),MONTH(CX$3)=MONTH($B$6),$B$5=1),('CAPEX'!$B$116+'CAPEX'!$B$119+'CAPEX'!$B$120)*'Вводные'!$B$30,0)+IF(AND(YEAR(CX$3)=YEAR($B$7),MONTH(CX$3)=MONTH($B$7),$B$5=1),'Вводные'!$B$26*'Вводные'!$V$91*'Вводные'!$B$30,0)</x:f>
      </x:c>
      <x:c r="CY57" s="117">
        <x:f>IF(AND(YEAR(CY$3)=YEAR($B$6),MONTH(CY$3)=MONTH($B$6),$B$5=1),('CAPEX'!$B$116+'CAPEX'!$B$119+'CAPEX'!$B$120)*'Вводные'!$B$30,0)+IF(AND(YEAR(CY$3)=YEAR($B$7),MONTH(CY$3)=MONTH($B$7),$B$5=1),'Вводные'!$B$26*'Вводные'!$V$91*'Вводные'!$B$30,0)</x:f>
      </x:c>
      <x:c r="CZ57" s="117">
        <x:f>IF(AND(YEAR(CZ$3)=YEAR($B$6),MONTH(CZ$3)=MONTH($B$6),$B$5=1),('CAPEX'!$B$116+'CAPEX'!$B$119+'CAPEX'!$B$120)*'Вводные'!$B$30,0)+IF(AND(YEAR(CZ$3)=YEAR($B$7),MONTH(CZ$3)=MONTH($B$7),$B$5=1),'Вводные'!$B$26*'Вводные'!$V$91*'Вводные'!$B$30,0)</x:f>
      </x:c>
      <x:c r="DA57" s="117">
        <x:f>IF(AND(YEAR(DA$3)=YEAR($B$6),MONTH(DA$3)=MONTH($B$6),$B$5=1),('CAPEX'!$B$116+'CAPEX'!$B$119+'CAPEX'!$B$120)*'Вводные'!$B$30,0)+IF(AND(YEAR(DA$3)=YEAR($B$7),MONTH(DA$3)=MONTH($B$7),$B$5=1),'Вводные'!$B$26*'Вводные'!$V$91*'Вводные'!$B$30,0)</x:f>
      </x:c>
      <x:c r="DB57" s="117">
        <x:f>IF(AND(YEAR(DB$3)=YEAR($B$6),MONTH(DB$3)=MONTH($B$6),$B$5=1),('CAPEX'!$B$116+'CAPEX'!$B$119+'CAPEX'!$B$120)*'Вводные'!$B$30,0)+IF(AND(YEAR(DB$3)=YEAR($B$7),MONTH(DB$3)=MONTH($B$7),$B$5=1),'Вводные'!$B$26*'Вводные'!$V$91*'Вводные'!$B$30,0)</x:f>
      </x:c>
      <x:c r="DC57" s="117">
        <x:f>IF(AND(YEAR(DC$3)=YEAR($B$6),MONTH(DC$3)=MONTH($B$6),$B$5=1),('CAPEX'!$B$116+'CAPEX'!$B$119+'CAPEX'!$B$120)*'Вводные'!$B$30,0)+IF(AND(YEAR(DC$3)=YEAR($B$7),MONTH(DC$3)=MONTH($B$7),$B$5=1),'Вводные'!$B$26*'Вводные'!$V$91*'Вводные'!$B$30,0)</x:f>
      </x:c>
      <x:c r="DD57" s="117">
        <x:f>IF(AND(YEAR(DD$3)=YEAR($B$6),MONTH(DD$3)=MONTH($B$6),$B$5=1),('CAPEX'!$B$116+'CAPEX'!$B$119+'CAPEX'!$B$120)*'Вводные'!$B$30,0)+IF(AND(YEAR(DD$3)=YEAR($B$7),MONTH(DD$3)=MONTH($B$7),$B$5=1),'Вводные'!$B$26*'Вводные'!$V$91*'Вводные'!$B$30,0)</x:f>
      </x:c>
      <x:c r="DE57" s="117">
        <x:f>IF(AND(YEAR(DE$3)=YEAR($B$6),MONTH(DE$3)=MONTH($B$6),$B$5=1),('CAPEX'!$B$116+'CAPEX'!$B$119+'CAPEX'!$B$120)*'Вводные'!$B$30,0)+IF(AND(YEAR(DE$3)=YEAR($B$7),MONTH(DE$3)=MONTH($B$7),$B$5=1),'Вводные'!$B$26*'Вводные'!$V$91*'Вводные'!$B$30,0)</x:f>
      </x:c>
      <x:c r="DF57" s="117">
        <x:f>IF(AND(YEAR(DF$3)=YEAR($B$6),MONTH(DF$3)=MONTH($B$6),$B$5=1),('CAPEX'!$B$116+'CAPEX'!$B$119+'CAPEX'!$B$120)*'Вводные'!$B$30,0)+IF(AND(YEAR(DF$3)=YEAR($B$7),MONTH(DF$3)=MONTH($B$7),$B$5=1),'Вводные'!$B$26*'Вводные'!$V$91*'Вводные'!$B$30,0)</x:f>
      </x:c>
      <x:c r="DG57" s="117">
        <x:f>IF(AND(YEAR(DG$3)=YEAR($B$6),MONTH(DG$3)=MONTH($B$6),$B$5=1),('CAPEX'!$B$116+'CAPEX'!$B$119+'CAPEX'!$B$120)*'Вводные'!$B$30,0)+IF(AND(YEAR(DG$3)=YEAR($B$7),MONTH(DG$3)=MONTH($B$7),$B$5=1),'Вводные'!$B$26*'Вводные'!$V$91*'Вводные'!$B$30,0)</x:f>
      </x:c>
      <x:c r="DH57" s="117">
        <x:f>IF(AND(YEAR(DH$3)=YEAR($B$6),MONTH(DH$3)=MONTH($B$6),$B$5=1),('CAPEX'!$B$116+'CAPEX'!$B$119+'CAPEX'!$B$120)*'Вводные'!$B$30,0)+IF(AND(YEAR(DH$3)=YEAR($B$7),MONTH(DH$3)=MONTH($B$7),$B$5=1),'Вводные'!$B$26*'Вводные'!$V$91*'Вводные'!$B$30,0)</x:f>
      </x:c>
      <x:c r="DI57" s="117">
        <x:f>IF(AND(YEAR(DI$3)=YEAR($B$6),MONTH(DI$3)=MONTH($B$6),$B$5=1),('CAPEX'!$B$116+'CAPEX'!$B$119+'CAPEX'!$B$120)*'Вводные'!$B$30,0)+IF(AND(YEAR(DI$3)=YEAR($B$7),MONTH(DI$3)=MONTH($B$7),$B$5=1),'Вводные'!$B$26*'Вводные'!$V$91*'Вводные'!$B$30,0)</x:f>
      </x:c>
      <x:c r="DJ57" s="117">
        <x:f>IF(AND(YEAR(DJ$3)=YEAR($B$6),MONTH(DJ$3)=MONTH($B$6),$B$5=1),('CAPEX'!$B$116+'CAPEX'!$B$119+'CAPEX'!$B$120)*'Вводные'!$B$30,0)+IF(AND(YEAR(DJ$3)=YEAR($B$7),MONTH(DJ$3)=MONTH($B$7),$B$5=1),'Вводные'!$B$26*'Вводные'!$V$91*'Вводные'!$B$30,0)</x:f>
      </x:c>
      <x:c r="DK57" s="117">
        <x:f>IF(AND(YEAR(DK$3)=YEAR($B$6),MONTH(DK$3)=MONTH($B$6),$B$5=1),('CAPEX'!$B$116+'CAPEX'!$B$119+'CAPEX'!$B$120)*'Вводные'!$B$30,0)+IF(AND(YEAR(DK$3)=YEAR($B$7),MONTH(DK$3)=MONTH($B$7),$B$5=1),'Вводные'!$B$26*'Вводные'!$V$91*'Вводные'!$B$30,0)</x:f>
      </x:c>
      <x:c r="DL57" s="117">
        <x:f>IF(AND(YEAR(DL$3)=YEAR($B$6),MONTH(DL$3)=MONTH($B$6),$B$5=1),('CAPEX'!$B$116+'CAPEX'!$B$119+'CAPEX'!$B$120)*'Вводные'!$B$30,0)+IF(AND(YEAR(DL$3)=YEAR($B$7),MONTH(DL$3)=MONTH($B$7),$B$5=1),'Вводные'!$B$26*'Вводные'!$V$91*'Вводные'!$B$30,0)</x:f>
      </x:c>
      <x:c r="DM57" s="117">
        <x:f>IF(AND(YEAR(DM$3)=YEAR($B$6),MONTH(DM$3)=MONTH($B$6),$B$5=1),('CAPEX'!$B$116+'CAPEX'!$B$119+'CAPEX'!$B$120)*'Вводные'!$B$30,0)+IF(AND(YEAR(DM$3)=YEAR($B$7),MONTH(DM$3)=MONTH($B$7),$B$5=1),'Вводные'!$B$26*'Вводные'!$V$91*'Вводные'!$B$30,0)</x:f>
      </x:c>
      <x:c r="DN57" s="117">
        <x:f>IF(AND(YEAR(DN$3)=YEAR($B$6),MONTH(DN$3)=MONTH($B$6),$B$5=1),('CAPEX'!$B$116+'CAPEX'!$B$119+'CAPEX'!$B$120)*'Вводные'!$B$30,0)+IF(AND(YEAR(DN$3)=YEAR($B$7),MONTH(DN$3)=MONTH($B$7),$B$5=1),'Вводные'!$B$26*'Вводные'!$V$91*'Вводные'!$B$30,0)</x:f>
      </x:c>
      <x:c r="DO57" s="117">
        <x:f>IF(AND(YEAR(DO$3)=YEAR($B$6),MONTH(DO$3)=MONTH($B$6),$B$5=1),('CAPEX'!$B$116+'CAPEX'!$B$119+'CAPEX'!$B$120)*'Вводные'!$B$30,0)+IF(AND(YEAR(DO$3)=YEAR($B$7),MONTH(DO$3)=MONTH($B$7),$B$5=1),'Вводные'!$B$26*'Вводные'!$V$91*'Вводные'!$B$30,0)</x:f>
      </x:c>
      <x:c r="DP57" s="117">
        <x:f>IF(AND(YEAR(DP$3)=YEAR($B$6),MONTH(DP$3)=MONTH($B$6),$B$5=1),('CAPEX'!$B$116+'CAPEX'!$B$119+'CAPEX'!$B$120)*'Вводные'!$B$30,0)+IF(AND(YEAR(DP$3)=YEAR($B$7),MONTH(DP$3)=MONTH($B$7),$B$5=1),'Вводные'!$B$26*'Вводные'!$V$91*'Вводные'!$B$30,0)</x:f>
      </x:c>
      <x:c r="DQ57" s="117">
        <x:f>IF(AND(YEAR(DQ$3)=YEAR($B$6),MONTH(DQ$3)=MONTH($B$6),$B$5=1),('CAPEX'!$B$116+'CAPEX'!$B$119+'CAPEX'!$B$120)*'Вводные'!$B$30,0)+IF(AND(YEAR(DQ$3)=YEAR($B$7),MONTH(DQ$3)=MONTH($B$7),$B$5=1),'Вводные'!$B$26*'Вводные'!$V$91*'Вводные'!$B$30,0)</x:f>
      </x:c>
      <x:c r="DR57" s="117">
        <x:f>IF(AND(YEAR(DR$3)=YEAR($B$6),MONTH(DR$3)=MONTH($B$6),$B$5=1),('CAPEX'!$B$116+'CAPEX'!$B$119+'CAPEX'!$B$120)*'Вводные'!$B$30,0)+IF(AND(YEAR(DR$3)=YEAR($B$7),MONTH(DR$3)=MONTH($B$7),$B$5=1),'Вводные'!$B$26*'Вводные'!$V$91*'Вводные'!$B$30,0)</x:f>
      </x:c>
      <x:c r="DS57" s="117">
        <x:f>IF(AND(YEAR(DS$3)=YEAR($B$6),MONTH(DS$3)=MONTH($B$6),$B$5=1),('CAPEX'!$B$116+'CAPEX'!$B$119+'CAPEX'!$B$120)*'Вводные'!$B$30,0)+IF(AND(YEAR(DS$3)=YEAR($B$7),MONTH(DS$3)=MONTH($B$7),$B$5=1),'Вводные'!$B$26*'Вводные'!$V$91*'Вводные'!$B$30,0)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